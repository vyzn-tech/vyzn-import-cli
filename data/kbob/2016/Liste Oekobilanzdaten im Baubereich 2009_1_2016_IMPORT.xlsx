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efDimensions" sheetId="2" r:id="rId5"/>
    <sheet state="visible" name="MepClassificationAndLifecycle" sheetId="3" r:id="rId6"/>
    <sheet state="visible" name="Erläuterung  Explication" sheetId="4" r:id="rId7"/>
    <sheet state="visible" name="ImportBaumaterialien" sheetId="5" r:id="rId8"/>
    <sheet state="visible" name="ConsolidatedBaumaterialien" sheetId="6" r:id="rId9"/>
    <sheet state="visible" name="Baumaterialien Matériaux" sheetId="7" r:id="rId10"/>
    <sheet state="visible" name="ImportGebäudetechnik" sheetId="8" r:id="rId11"/>
    <sheet state="visible" name="ConsolidatedGebäudetechnik" sheetId="9" r:id="rId12"/>
    <sheet state="visible" name="Gebäudetechnik Technique" sheetId="10" r:id="rId13"/>
    <sheet state="visible" name="ImportEnergie" sheetId="11" r:id="rId14"/>
    <sheet state="visible" name="ConsolidatedEnergie" sheetId="12" r:id="rId15"/>
    <sheet state="visible" name="Energie Énergie" sheetId="13" r:id="rId16"/>
    <sheet state="visible" name="ImportTransports" sheetId="14" r:id="rId17"/>
    <sheet state="visible" name="ConsolidatedTransports" sheetId="15" r:id="rId18"/>
    <sheet state="visible" name="Transporte Transports" sheetId="16" r:id="rId19"/>
    <sheet state="visible" name="ImportEntsorgung" sheetId="17" r:id="rId20"/>
    <sheet state="visible" name="ConsolidatedEntsorgung" sheetId="18" r:id="rId21"/>
    <sheet state="visible" name="Entsorgung Déchets" sheetId="19" r:id="rId22"/>
    <sheet state="hidden" name="BM UBP" sheetId="20" r:id="rId23"/>
    <sheet state="hidden" name="BM CED" sheetId="21" r:id="rId24"/>
    <sheet state="hidden" name="BM THG" sheetId="22" r:id="rId25"/>
    <sheet state="hidden" name="Gebäudetechnik" sheetId="23" r:id="rId26"/>
    <sheet state="hidden" name="Energiesysteme" sheetId="24" r:id="rId27"/>
    <sheet state="hidden" name="Transporte" sheetId="25" r:id="rId28"/>
    <sheet state="hidden" name="Beispiele" sheetId="26" r:id="rId29"/>
  </sheets>
  <definedNames>
    <definedName localSheetId="21" name="Z_0111E7B5_3E0B_11D4_8303_000102284B93_.wvu.PrintArea">#REF!</definedName>
    <definedName localSheetId="18" name="Z_011E7B5_3E0B_11D4_8303_000102284B94">#REF!</definedName>
    <definedName localSheetId="18" name="Z_EC51EC7F_3C0B_4CF9_8F20_C7FD08174DA8_.wvu.PrintArea">'Entsorgung Déchets'!$B$1:$S$10</definedName>
    <definedName localSheetId="9" name="Z_EC51EC7F_3C0B_4CF9_8F20_C7FD08174DA8_.wvu.PrintArea">'Gebäudetechnik Technique'!$B$1:$W$48</definedName>
    <definedName localSheetId="6" name="Z_EC51EC7F_3C0B_4CF9_8F20_C7FD08174DA8_.wvu.PrintArea">'Baumaterialien Matériaux'!$B$1:$V$271</definedName>
    <definedName localSheetId="15" name="Z_011E7B5_3E0B_11D4_8303_000102284B94">#REF!</definedName>
    <definedName localSheetId="12" name="Z_EC51EC7F_3C0B_4CF9_8F20_C7FD08174DA8_.wvu.PrintArea">'Energie Énergie'!$B$1:$L$95</definedName>
    <definedName localSheetId="3" name="Z_EC51EC7F_3C0B_4CF9_8F20_C7FD08174DA8_.wvu.PrintTitles">'Erläuterung  Explication'!$1:$2</definedName>
    <definedName localSheetId="12" name="Z_EC51EC7F_3C0B_4CF9_8F20_C7FD08174DA8_.wvu.PrintTitles">'Energie Énergie'!$1:$7</definedName>
    <definedName localSheetId="9" name="Z_011E7B5_3E0B_11D4_8303_000102284B94">#REF!</definedName>
    <definedName localSheetId="15" name="Z_EC51EC7F_3C0B_4CF9_8F20_C7FD08174DA8_.wvu.PrintTitles">'Transporte Transports'!$1:$9</definedName>
    <definedName localSheetId="18" name="Z_EC51EC7F_3C0B_4CF9_8F20_C7FD08174DA8_.wvu.PrintTitles">'Entsorgung Déchets'!$1:$10</definedName>
    <definedName localSheetId="15" name="Z_0111E7B5_3E0B_11D4_8303_000102284B93_.wvu.PrintArea">#REF!</definedName>
    <definedName localSheetId="9" name="Z_0111E7B5_3E0B_11D4_8303_000102284B93_.wvu.PrintArea">#REF!</definedName>
    <definedName localSheetId="9" name="Z_EC51EC7F_3C0B_4CF9_8F20_C7FD08174DA8_.wvu.PrintTitles">'Gebäudetechnik Technique'!$1:$9</definedName>
    <definedName name="Z_0111E7B5_3E0B_11D4_8303_000102284B93_.wvu.PrintArea">#REF!</definedName>
    <definedName localSheetId="12" name="Z_011E7B5_3E0B_11D4_8303_000102284B94">#REF!</definedName>
    <definedName localSheetId="6" name="Z_011E7B5_3E0B_11D4_8303_000102284B94">#REF!</definedName>
    <definedName localSheetId="6" name="Z_EC51EC7F_3C0B_4CF9_8F20_C7FD08174DA8_.wvu.PrintTitles">'Baumaterialien Matériaux'!$1:$9</definedName>
    <definedName localSheetId="12" name="Z_0111E7B5_3E0B_11D4_8303_000102284B93_.wvu.PrintArea">#REF!</definedName>
    <definedName localSheetId="18" name="Z_0111E7B5_3E0B_11D4_8303_000102284B93_.wvu.PrintArea">#REF!</definedName>
    <definedName name="Z_011E7B5_3E0B_11D4_8303_000102284B94">#REF!</definedName>
    <definedName localSheetId="15" name="Z_EC51EC7F_3C0B_4CF9_8F20_C7FD08174DA8_.wvu.PrintArea">'Transporte Transports'!$B$1:$Z$73</definedName>
    <definedName localSheetId="6" name="Z_0111E7B5_3E0B_11D4_8303_000102284B93_.wvu.PrintArea">#REF!</definedName>
    <definedName localSheetId="20" name="Z_0111E7B5_3E0B_11D4_8303_000102284B93_.wvu.PrintArea">#REF!</definedName>
    <definedName localSheetId="3" name="Z_EC51EC7F_3C0B_4CF9_8F20_C7FD08174DA8_.wvu.PrintArea">'Erläuterung  Explication'!$A$1:$D$18</definedName>
  </definedNames>
  <calcPr/>
  <extLst>
    <ext uri="GoogleSheetsCustomDataVersion2">
      <go:sheetsCustomData xmlns:go="http://customooxmlschemas.google.com/" r:id="rId30" roundtripDataChecksum="+fSgpMz+BaC1bZ5+Z3q2Hkrw8Wjl9ikPAXDx252wVFc="/>
    </ext>
  </extLst>
</workbook>
</file>

<file path=xl/sharedStrings.xml><?xml version="1.0" encoding="utf-8"?>
<sst xmlns="http://schemas.openxmlformats.org/spreadsheetml/2006/main" count="17737" uniqueCount="5924">
  <si>
    <t>Overview</t>
  </si>
  <si>
    <t>This sheet transforms KBOB v5 into CSV so that it can be imported into the vyzn platform.</t>
  </si>
  <si>
    <t>1. Open Sheet "Consolidated Energy"</t>
  </si>
  <si>
    <t>2. Copy all contents to sheet "Import Energy" without formatting (ctrl+shift+v)</t>
  </si>
  <si>
    <t>3. Go to sheet "Import Energy"</t>
  </si>
  <si>
    <t>4. Delete all rows that are no actual records such as that subtexts, legends or explanations</t>
  </si>
  <si>
    <t>5. Select all number columns, then choose Edit-&gt;Format-&gt;Number-&gt;Plain Text</t>
  </si>
  <si>
    <t>6. Then choose Edit-&gt;Find and replace, then replace "," by ""</t>
  </si>
  <si>
    <t>7. Click File-&gt;Download-&gt;CSV</t>
  </si>
  <si>
    <t>8. Run vyzn-import-cli as follows:</t>
  </si>
  <si>
    <t>npx tsc &amp;&amp; node dist/main.js import-products --input data/kbob_2022_v5_energy.csv --url https://dbs-gateway-service-dev.azurewebsites.net --auth data/auth.txt --category none</t>
  </si>
  <si>
    <t>9 Repeat the same for the other tabs: transports, baumaterialien, gebäudetechnik, entsorgung</t>
  </si>
  <si>
    <t>10. Copy "Import Baumaterialien" to sheet "Import Ref Mat"</t>
  </si>
  <si>
    <t>11. In Import Ref Mat, Delete all rows of type OTHER_RESOURCE</t>
  </si>
  <si>
    <t>12. Replace column "Type" from "MATERIAL" to "REFERENCE_MATERIAL"</t>
  </si>
  <si>
    <t>13. In the "Name" and "ProductKey" columns replace "(KBOB.2022v5)" by "(KBOB.2022v5_r)" to avoid unique ID collisions</t>
  </si>
  <si>
    <t>14. Set "categoryPath" column to "Alle &gt; REFERENZ-MATERIALIEN &gt; kbob.admin.ch &gt; KBOB / ecobau / IPB 2009/1:2022v5"</t>
  </si>
  <si>
    <t>14. Download CSV and import</t>
  </si>
  <si>
    <t>Be super careful when changing "Consolidated Gebäudtechnik" as it the rows contains gaps, so you can not simply update formulas accross all rows. To be improved.</t>
  </si>
  <si>
    <t>Name</t>
  </si>
  <si>
    <t>EnumValue</t>
  </si>
  <si>
    <t>EBF</t>
  </si>
  <si>
    <t>energyReferenceArea</t>
  </si>
  <si>
    <t>Masse</t>
  </si>
  <si>
    <t>mass</t>
  </si>
  <si>
    <t>Sondenlänge</t>
  </si>
  <si>
    <t>probeLength</t>
  </si>
  <si>
    <t>Gerät</t>
  </si>
  <si>
    <t>device</t>
  </si>
  <si>
    <t>Kollektorfläche</t>
  </si>
  <si>
    <t>collectorArea</t>
  </si>
  <si>
    <t>Speicherkap.</t>
  </si>
  <si>
    <t>storageCapacity</t>
  </si>
  <si>
    <t>Max. Leistung</t>
  </si>
  <si>
    <t>maxPower</t>
  </si>
  <si>
    <t>Panelfläche</t>
  </si>
  <si>
    <t>panelArea</t>
  </si>
  <si>
    <t>Endenergie</t>
  </si>
  <si>
    <t>finalEnergy</t>
  </si>
  <si>
    <t>Nutzwärme</t>
  </si>
  <si>
    <t>usefulHeat</t>
  </si>
  <si>
    <t>Aushubvolumen</t>
  </si>
  <si>
    <t>excavationVolume</t>
  </si>
  <si>
    <t>Transportleistung</t>
  </si>
  <si>
    <t>haulageCapacity</t>
  </si>
  <si>
    <t>Einsatzzeit</t>
  </si>
  <si>
    <t>operatingTime</t>
  </si>
  <si>
    <t>Fahrleistung</t>
  </si>
  <si>
    <t>mileage</t>
  </si>
  <si>
    <t>Nutzwärme2</t>
  </si>
  <si>
    <t>Key</t>
  </si>
  <si>
    <t>vyzn.catalogue.ch.minergie.eco.MepClassification</t>
  </si>
  <si>
    <t>vyzn.catalogue.lifeCycle</t>
  </si>
  <si>
    <t>backported from KBOB 2022 v5</t>
  </si>
  <si>
    <t>31.001</t>
  </si>
  <si>
    <t>heatGeneration</t>
  </si>
  <si>
    <t>31.002</t>
  </si>
  <si>
    <t>31.003</t>
  </si>
  <si>
    <t>31.027</t>
  </si>
  <si>
    <t>31.021</t>
  </si>
  <si>
    <t>heatDistribution</t>
  </si>
  <si>
    <t>31.022</t>
  </si>
  <si>
    <t>31.023</t>
  </si>
  <si>
    <t>heatEmission</t>
  </si>
  <si>
    <t>31.024</t>
  </si>
  <si>
    <t>31.025</t>
  </si>
  <si>
    <t>31.015</t>
  </si>
  <si>
    <t>31.016</t>
  </si>
  <si>
    <t>geothermalProbe</t>
  </si>
  <si>
    <t>31.026</t>
  </si>
  <si>
    <t>31.017</t>
  </si>
  <si>
    <t>31.018</t>
  </si>
  <si>
    <t>31.019</t>
  </si>
  <si>
    <t>31.020</t>
  </si>
  <si>
    <t>31.007</t>
  </si>
  <si>
    <t>31.008</t>
  </si>
  <si>
    <t>31.009</t>
  </si>
  <si>
    <t>31.010</t>
  </si>
  <si>
    <t>31.028</t>
  </si>
  <si>
    <t>31.029</t>
  </si>
  <si>
    <t>32.011</t>
  </si>
  <si>
    <t>ventilation</t>
  </si>
  <si>
    <t>32.005</t>
  </si>
  <si>
    <t>32.006</t>
  </si>
  <si>
    <t>32.007</t>
  </si>
  <si>
    <t>32.012</t>
  </si>
  <si>
    <t>32.001</t>
  </si>
  <si>
    <t>32.002</t>
  </si>
  <si>
    <t>32.003</t>
  </si>
  <si>
    <t>32.004</t>
  </si>
  <si>
    <t>32.008</t>
  </si>
  <si>
    <t>32.009</t>
  </si>
  <si>
    <t>32.010</t>
  </si>
  <si>
    <t>33.001</t>
  </si>
  <si>
    <t>sanitary</t>
  </si>
  <si>
    <t>33.002</t>
  </si>
  <si>
    <t>33.003</t>
  </si>
  <si>
    <t>34.037</t>
  </si>
  <si>
    <t>electrical</t>
  </si>
  <si>
    <t>34.038</t>
  </si>
  <si>
    <t>34.001</t>
  </si>
  <si>
    <t>34.002</t>
  </si>
  <si>
    <t>34.024</t>
  </si>
  <si>
    <t>photovoltaicSystem</t>
  </si>
  <si>
    <t>34.025</t>
  </si>
  <si>
    <t>34.026</t>
  </si>
  <si>
    <t>34.027</t>
  </si>
  <si>
    <t>34.028</t>
  </si>
  <si>
    <t>34.029</t>
  </si>
  <si>
    <t>34.030</t>
  </si>
  <si>
    <t>34.031</t>
  </si>
  <si>
    <t>34.032</t>
  </si>
  <si>
    <t>34.033</t>
  </si>
  <si>
    <t>34.034</t>
  </si>
  <si>
    <t>34.035</t>
  </si>
  <si>
    <t>34.036</t>
  </si>
  <si>
    <r>
      <rPr>
        <rFont val="Arial"/>
        <b/>
        <color rgb="FFFFFFFF"/>
        <sz val="16.0"/>
      </rPr>
      <t>Ökobilanzdaten im Baubereich                                  KBOB / eco-bau / I</t>
    </r>
    <r>
      <rPr>
        <rFont val="Arial"/>
        <b/>
        <color theme="0"/>
        <sz val="16.0"/>
      </rPr>
      <t>PB  2009/1:2016</t>
    </r>
  </si>
  <si>
    <t>Données écobilans dans la construction</t>
  </si>
  <si>
    <r>
      <rPr>
        <rFont val="Arial"/>
        <color theme="1"/>
        <sz val="10.0"/>
      </rPr>
      <t xml:space="preserve">Die Ökobilanz-Kennwerte wurden mit aktualisierten Hintergrunddaten (KBOB-Datenbestand 2016, basierend auf dem ecoinvent-Datenbestand v2.2) gerechnet. Neu wird in der pdf-Datei der Indikator "Primärenergie erneuerbar" anstelle des Indikators "Primärenergie, gesamt" aufgeführt. Zudem wurden die Sachbilanzen einzelner Baumaterialien (Durchschnitt und herstellerspezifische), Gebäudetechnikelemente, Energiesysteme und Transportsysteme aktualisiert beziehungsweise neu hinzugefügt. 
</t>
    </r>
    <r>
      <rPr>
        <rFont val="Arial"/>
        <b/>
        <color theme="1"/>
        <sz val="10.0"/>
      </rPr>
      <t>Legende:</t>
    </r>
    <r>
      <rPr>
        <rFont val="Arial"/>
        <color theme="1"/>
        <sz val="10.0"/>
      </rPr>
      <t xml:space="preserve">
schwarz:
aktualisierte Hintergrunddaten (Sachbilanzdaten unverändert)
rot:
- Zahlen in rot: Sachbilanz- und Hintergrunddaten bei bestehenden Datensätzen aktualisiert (z.B. ID-Nr. 06.001)
- ganze Zeile rot: Datensatz neu in die KBOB-Ökobilanzdaten 2016 aufgenommen (z.B. ID-Nr. 00.001)
blau schattiert (nur in der Excel-Datei verfügbar):
hersteller- oder herstellerregionenspezifische Datensätze
Sortierkriterien für die KBOB-Ökobilanzdaten 2016:
1. Gruppe gemäss vorderem Teil der ID-Nummer (z.B. ID-Nr. 06.xxx)
2. innerhalb Gruppe alphabetisch nach Name in deutscher Sprache</t>
    </r>
  </si>
  <si>
    <t xml:space="preserve">Auf www.kbob.ch &gt; Publikationen &gt; Nachhaltiges Bauen, sind zwei Dateien platziert:
Die pdf-Datei «Ökobilanzdaten im Baubereich 2009/1:2016» soll den Planenden den Einstieg in diese Thematik erleichtern. Sie enthält für die Schweiz repräsentative Daten für Baumaterialien und Gebäudetechnik (Herstellung, Entsorgung), Energie sowie Transporte (Betrieb, Fahrzeug, Infrastruktur).
Die Excel-Datei «Ökobilanzdaten im Baubereich 2009/1:2016» enthält zusätzlich die Ergebnisse des Indikators "Primärenergie, gesamt", herstellerspezifische Daten sowie die Daten zu den bauspezifischen Entsorgungsprozessen. Die Excel-Datei wird in zwei Versionen angeboten, in denen die Primärenergie in MJ bzw. in kWh gezeigt wird. Ab 2017 wird nur noch die Einheit kWh verwendet. Die Excel-Datei stellt ein Arbeitsinstrument dar. </t>
  </si>
  <si>
    <t>Gesamtbewertung</t>
  </si>
  <si>
    <t>Teilbewertung</t>
  </si>
  <si>
    <t>UBP'13</t>
  </si>
  <si>
    <t>Primärenergie (PE)</t>
  </si>
  <si>
    <t>Treibhausgasemissionen (THG-E)</t>
  </si>
  <si>
    <t>erneuerbar</t>
  </si>
  <si>
    <t>nicht erneuerbar (Graue Energie)</t>
  </si>
  <si>
    <t>Die Umweltbelastungspunkte 2013 (UBP'13) quantifizieren die Umweltbelastungen durch die Nutzung von Energie- und stofflichen Ressourcen, von Land und Süsswasser, durch Emissionen in Luft, Gewässer und Boden, durch die Ablagerung von Rückständen aus der Abfallbehandlung sowie durch Verkehrslärm.</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</si>
  <si>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</si>
  <si>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t>
  </si>
  <si>
    <r>
      <rPr>
        <rFont val="Arial"/>
        <color theme="1"/>
        <sz val="10.0"/>
      </rPr>
      <t>Die Treibhausgasemissionen quantifizieren die kumulierten Wirkungen verschiedener Treibhausgase bezogen auf die Leitsubstanz CO</t>
    </r>
    <r>
      <rPr>
        <rFont val="Arial"/>
        <color theme="1"/>
        <sz val="10.0"/>
        <vertAlign val="subscript"/>
      </rPr>
      <t>2</t>
    </r>
    <r>
      <rPr>
        <rFont val="Arial"/>
        <color theme="1"/>
        <sz val="10.0"/>
      </rPr>
      <t>. Die Treibhauswirkung wird auf Basis der Treibhauspotenziale des 5. Sachstandberichts des IPCC (2013) quantifiziert.</t>
    </r>
  </si>
  <si>
    <t>Die Umweltauswirkungen der Teilbewertungen sind in der Gesamtbewertung UBP enthalten.</t>
  </si>
  <si>
    <t>Diese Kenngrösse ist Teil der Betrachtung gemäss 2000 Watt Gesellschaft. Mit der Summe aus Primärenergie erneuerbar und nicht erneuerbar wird die dem Gebäude zugeführte Energiemenge (Endenergie) gemäss Merkblatt SIA 2031 «Energieausweis für Gebäude» bewertet.</t>
  </si>
  <si>
    <t>Mit dieser Kenngrösse wird die Bezugsgrösse gemäss Merkblatt SIA 2032 «Graue Energie von Gebäuden» und gemäss Merkblatt SIA 2040 „SIA-Effizienzpfad Gebäude“ bewertet.</t>
  </si>
  <si>
    <t>Mit dieser Kenngrösse werden die dem Gebäude zugeführte Energiemenge gemäss Merkblatt SIA 2031 «Energieausweis für Gebäude», die Bezugsgrösse gemäss Merkblatt SIA 2032 «Graue Energie von Gebäuden» sowie der Energieverbrauch gemäss Merkblatt SIA 2040 «Effizienzpfad Energie» bewertet.</t>
  </si>
  <si>
    <t>Die Beurteilung mit der Methode der ökologischen Knappheit zeigt in Umweltbelastungspunkten (UBP'13) ein vollständiges Bild der Umweltauswirkungen auf und basiert auf der Schweizerischen Umweltpolitik. Sie entspricht den Anforderungen eines „true and fair view“ bezüglich Umweltinformationen.</t>
  </si>
  <si>
    <t>Die nicht erneuerbare Primärenergie (Graue Energie) ist ein im Baubereich etablierter Kennwert. Die Instrumente des Vereins eco-bau (eco-devis, Eco-BKP-Merkblätter) stützen sich für eine gesamtheitliche Beurteilung neben zusätzlichen ökologischen Merkmalen auf diese Teilbewertung ab.</t>
  </si>
  <si>
    <r>
      <rPr>
        <rFont val="Arial"/>
        <b/>
        <color theme="1"/>
        <sz val="10.0"/>
      </rPr>
      <t>Die in dieser Empfehlung ausgewiesenen Treibhausgasemissionen sind ein Kennwert für die Klimaerwärmung. Sie sind nicht gleichbedeutend mit dem standortgebundenen CO</t>
    </r>
    <r>
      <rPr>
        <rFont val="Arial"/>
        <b/>
        <color theme="1"/>
        <sz val="10.0"/>
        <vertAlign val="subscript"/>
      </rPr>
      <t>2</t>
    </r>
    <r>
      <rPr>
        <rFont val="Arial"/>
        <b/>
        <color theme="1"/>
        <sz val="10.0"/>
      </rPr>
      <t>-Ausstoss, welcher Gegenstand von Zielvereinbarungen zwischen Emittenten und der Eidgenossenschaft im Rahmen des CO</t>
    </r>
    <r>
      <rPr>
        <rFont val="Arial"/>
        <b/>
        <color theme="1"/>
        <sz val="10.0"/>
        <vertAlign val="subscript"/>
      </rPr>
      <t>2</t>
    </r>
    <r>
      <rPr>
        <rFont val="Arial"/>
        <b/>
        <color theme="1"/>
        <sz val="10.0"/>
      </rPr>
      <t>-Gesetzes ist.</t>
    </r>
  </si>
  <si>
    <t xml:space="preserve">Ökobilanzen basieren auf Modellen, die von Wertvorstellungen geprägt sind. Somit sind die Ergebnisse nicht wertfrei. In dieser Empfehlung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t>
  </si>
  <si>
    <t>Les valeurs relatives aux écobilans ont été calculées sur la base des données fondamentales actuelles (données 2016 de la KBOB fondées sur la base de données ecoinvent v2.2). L'indice «énergie primaire, renouvelable» remplace dorénavant l'indice «énergie primaire, totale» dans le fichier pdf.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(par ex. no ID 06.001).
- toute la cellule en rouge: groupe de données ajouté à la liste (par ex. no ID 00.001)
bleu: données spécifiques aux fabricants et aux régions de production (disponibles en format Excel uniquement)
Critères de tri pour la liste des écobilans de la KBOB 2016:
1. groupes selon la première partie du no d'identification (par ex. no ID 06.xxx)
2. au sein des groupes, désignations en allemand par ordre alphabétique</t>
  </si>
  <si>
    <t xml:space="preserve">A l’adresse www.kbob.ch &gt; Publications &gt; Construction durable, se trouvent deux fichiers: 
Le fichier pdf «Données des écobilans dans la construction 2009/1:2016» doit permettre aux planificateurs de mieux aborder ce thème. Il contient des données pertinentes pour la Suisse sur les matériaux de construction et la technique du bâtiment (fabrication, élimination) ainsi que sur l'énergie et les transports (exploitation, véhicule, infrastructure).
Le fichier excel «Liste Oekobilanzdaten im Baubereich 2009/1:2016» contient en outre des données concernant le fabricant ainsi que des données sur les processus d'élimination dans le domaine de la construction. Il sert d'instrument de travail. </t>
  </si>
  <si>
    <t>Evaluation globale</t>
  </si>
  <si>
    <t>Evaluation partielle</t>
  </si>
  <si>
    <t>Energie primaire</t>
  </si>
  <si>
    <t>Emissions de gaz à effet de serre</t>
  </si>
  <si>
    <t>renouvelable</t>
  </si>
  <si>
    <t>non renouvelable
énergie grise</t>
  </si>
  <si>
    <t xml:space="preserve">Les Ecopoints (UBP) 2013 quantifient les charges environnementales résultant de l'utilisation des ressources matérielles et énergétiques, de la terre et de l'eau douce, des émissions dans l'air, l'eau et le sol, du dépôt de résidus découlant du traitement des déchêts ainsi que du bruit de la circulation.
</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</si>
  <si>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</si>
  <si>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t>
  </si>
  <si>
    <r>
      <rPr>
        <rFont val="Arial"/>
        <color theme="1"/>
        <sz val="10.0"/>
      </rPr>
      <t>L'effet de serre évalue les effets cumulés de différents gaz à effet de serre par rapport à la substance principale qu'est le CO</t>
    </r>
    <r>
      <rPr>
        <rFont val="Arial"/>
        <color theme="1"/>
        <sz val="10.0"/>
        <vertAlign val="subscript"/>
      </rPr>
      <t>2</t>
    </r>
    <r>
      <rPr>
        <rFont val="Arial"/>
        <color theme="1"/>
        <sz val="10.0"/>
      </rPr>
      <t>. L'effet de serre est quantifié sur la base du potentiel de réchauffement évoqué dans le cinquième rapport d'évaluation (2013) du GIEC.</t>
    </r>
  </si>
  <si>
    <t xml:space="preserve">Les répercussions sur l'environnement des évaluations partielles sont prises en compte dans l'évaluation globale UPB. </t>
  </si>
  <si>
    <t>Cette valeur fait partie des observations contenues dans le projet Société à 2000 watts. La consommation d'énergie du bâtiment (énergie finale) est évaluée conformément à la fiche technique SIA 2031 «Certificat énergétique des bâtiments».</t>
  </si>
  <si>
    <t xml:space="preserve">Cette valeur permet d'évaluer l'énergie grise selon la fiche technique SIA 2031 «Energie grise» et la fiche technique SIA 2040 «En route pour l'efficacité énergétique». </t>
  </si>
  <si>
    <t>Cette valeur permet d'évaluer la consommation totale d'un bâtiment selon la fiche technique SIA 2031 «Certificat énergétique des bâtiments», les émissions de gaz à effet de serre des matériaux selon la fiche technique SIA 2032 «Energie grise des bâtiments» ainsi que la consommation d'énergie selon la fiche technique SIA 2040 «La voie SIA vers l'efficacité énergétique».</t>
  </si>
  <si>
    <t xml:space="preserve">L'évaluation fondée sur la méthode de la raréfaction des ressources fournit une récapitulation complète des répercussions sur l'environnement à l'aide d'écopoints (UBP) et se fonde sur la politique environnementale suisse. Elle répond au principe de l'image fidèle («True and Fair View») en ce qui concerne l'information en matière d'environnement. </t>
  </si>
  <si>
    <t>L'énergie primaire non renouvelable (énergie grise) est une valeur connue dans la construction, elle est indiquée séparément. Plusieurs instruments de l'association eco-bau (eco-devis, feuilles CFC-Eco) s'appuient aujourd'hui, pour une évaluation générale, sur cette évaluation partielle, en plus des caractéristiques écologiques.</t>
  </si>
  <si>
    <r>
      <rPr>
        <rFont val="Arial"/>
        <b/>
        <color theme="1"/>
        <sz val="10.0"/>
      </rPr>
      <t>L'effet de serre dont il est question dans la présente recommandation est un indice du réchauffement climatique. Il n'est pas comparable avec l'émission de CO</t>
    </r>
    <r>
      <rPr>
        <rFont val="Arial"/>
        <b/>
        <color theme="1"/>
        <sz val="10.0"/>
        <vertAlign val="subscript"/>
      </rPr>
      <t>2</t>
    </r>
    <r>
      <rPr>
        <rFont val="Arial"/>
        <b/>
        <color theme="1"/>
        <sz val="10.0"/>
      </rPr>
      <t xml:space="preserve"> liée à l'emplacement et dont les objectifs doivent être fixés, en relation avec la loi sur le CO</t>
    </r>
    <r>
      <rPr>
        <rFont val="Arial"/>
        <b/>
        <color theme="1"/>
        <sz val="10.0"/>
        <vertAlign val="subscript"/>
      </rPr>
      <t>2</t>
    </r>
    <r>
      <rPr>
        <rFont val="Arial"/>
        <b/>
        <color theme="1"/>
        <sz val="10.0"/>
      </rPr>
      <t>,</t>
    </r>
    <r>
      <rPr>
        <rFont val="Arial"/>
        <b/>
        <color theme="1"/>
        <sz val="10.0"/>
        <vertAlign val="subscript"/>
      </rPr>
      <t xml:space="preserve"> </t>
    </r>
    <r>
      <rPr>
        <rFont val="Arial"/>
        <b/>
        <color theme="1"/>
        <sz val="10.0"/>
      </rPr>
      <t>dans le cadre d'une négociation entre les émetteurs et la Confédération.</t>
    </r>
  </si>
  <si>
    <t>Les éco-bilans se fondent sur des modèles empreints de valeurs. Par conséquent, les résultats ne sont pas neutres. Dans la présente recommandation,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t>
  </si>
  <si>
    <t>ProductKey</t>
  </si>
  <si>
    <t>Description</t>
  </si>
  <si>
    <t>Picture</t>
  </si>
  <si>
    <t>Product sections</t>
  </si>
  <si>
    <t>Type</t>
  </si>
  <si>
    <t>SubType</t>
  </si>
  <si>
    <t>hatchingPattern</t>
  </si>
  <si>
    <t>vyzn.catalogue.Density</t>
  </si>
  <si>
    <t>vyzn.catalogue.ch.KBOB2022.UBPTotal</t>
  </si>
  <si>
    <t>vyzn.catalogue.ch.KBOB2022.UBPProduction</t>
  </si>
  <si>
    <t>vyzn.catalogue.ch.KBOB2022.UBPDisposal</t>
  </si>
  <si>
    <t>vyzn.catalogue.ch.KBOB2022.RenewableEnergyTotal</t>
  </si>
  <si>
    <t>vyzn.catalogue.ch.KBOB2022.RenewableEnergyProduction</t>
  </si>
  <si>
    <t>vyzn.catalogue.ch.KBOB2022.RenewableEnergyDisposal</t>
  </si>
  <si>
    <t>vyzn.catalogue.ch.KBOB2022.GreyEnergyTotal</t>
  </si>
  <si>
    <t>vyzn.catalogue.ch.KBOB2022.GreyEnergyProduction</t>
  </si>
  <si>
    <t>vyzn.catalogue.ch.KBOB2022.GreyEnergyDisposal</t>
  </si>
  <si>
    <t>vyzn.catalogue.ch.KBOB2022.GHGEmissionsTotal</t>
  </si>
  <si>
    <t>vyzn.catalogue.ch.KBOB2022.GHGEmissionsProduction</t>
  </si>
  <si>
    <t>vyzn.catalogue.ch.KBOB2022.GHGEmissionsDisposal</t>
  </si>
  <si>
    <t>vyzn.catalogue.ch.KBOB2022.LCARefUnit</t>
  </si>
  <si>
    <t>vyzn.catalogue.ch.KBOB2022.LCARefDimension</t>
  </si>
  <si>
    <t>vyzn.catalogue.ch.KBOB2022.BiogenicCarbon</t>
  </si>
  <si>
    <t>KBOB REF</t>
  </si>
  <si>
    <t>vyzn.catalogue.SourceENV</t>
  </si>
  <si>
    <t>categoryPath</t>
  </si>
  <si>
    <t>00.001 Baugrubensicherung, Bohrpfahlwand, gespriesst (KBOB.2016)</t>
  </si>
  <si>
    <t>OTHER_RESOURCE</t>
  </si>
  <si>
    <t>OTHER_RESOURCE_CONSTRUCTION_MATERIAL_PREPARATION_WORK</t>
  </si>
  <si>
    <t>1010000.000000</t>
  </si>
  <si>
    <t>877000.000000</t>
  </si>
  <si>
    <t>130000.000000</t>
  </si>
  <si>
    <t>110.000000</t>
  </si>
  <si>
    <t>101.000000</t>
  </si>
  <si>
    <t>9.570000</t>
  </si>
  <si>
    <t>2280.000000</t>
  </si>
  <si>
    <t>2020.000000</t>
  </si>
  <si>
    <t>258.000000</t>
  </si>
  <si>
    <t>828.000000</t>
  </si>
  <si>
    <t>778.000000</t>
  </si>
  <si>
    <t>50.200000</t>
  </si>
  <si>
    <t>m2</t>
  </si>
  <si>
    <t>area</t>
  </si>
  <si>
    <t>00.001</t>
  </si>
  <si>
    <t>KBOB 2016</t>
  </si>
  <si>
    <t>Alle &gt; RESSOURCEN &gt; kbob.admin.ch &gt; KBOB / ecobau / IPB 2009/1:2016</t>
  </si>
  <si>
    <t>00.002 Baugrubensicherung, Bohrpfahlwand, unverankert (KBOB.2016)</t>
  </si>
  <si>
    <t>952000.000000</t>
  </si>
  <si>
    <t>822000.000000</t>
  </si>
  <si>
    <t>94.300000</t>
  </si>
  <si>
    <t>84.800000</t>
  </si>
  <si>
    <t>2090.000000</t>
  </si>
  <si>
    <t>1830.000000</t>
  </si>
  <si>
    <t>788.000000</t>
  </si>
  <si>
    <t>738.000000</t>
  </si>
  <si>
    <t>00.002</t>
  </si>
  <si>
    <t>00.003 Baugrubensicherung, Bohrpfahlwand, verankert (KBOB.2016)</t>
  </si>
  <si>
    <t>778000.000000</t>
  </si>
  <si>
    <t>692000.000000</t>
  </si>
  <si>
    <t>86200.000000</t>
  </si>
  <si>
    <t>82.800000</t>
  </si>
  <si>
    <t>76.400000</t>
  </si>
  <si>
    <t>6.320000</t>
  </si>
  <si>
    <t>1510.000000</t>
  </si>
  <si>
    <t>1340.000000</t>
  </si>
  <si>
    <t>170.000000</t>
  </si>
  <si>
    <t>512.000000</t>
  </si>
  <si>
    <t>478.000000</t>
  </si>
  <si>
    <t>33.100000</t>
  </si>
  <si>
    <t>00.003</t>
  </si>
  <si>
    <t>00.004 Baugrubensicherung, Nagelwand (KBOB.2016)</t>
  </si>
  <si>
    <t>171000.000000</t>
  </si>
  <si>
    <t>152000.000000</t>
  </si>
  <si>
    <t>18900.000000</t>
  </si>
  <si>
    <t>17.900000</t>
  </si>
  <si>
    <t>16.600000</t>
  </si>
  <si>
    <t>1.390000</t>
  </si>
  <si>
    <t>324.000000</t>
  </si>
  <si>
    <t>286.000000</t>
  </si>
  <si>
    <t>37.500000</t>
  </si>
  <si>
    <t>116.000000</t>
  </si>
  <si>
    <t>109.000000</t>
  </si>
  <si>
    <t>7.280000</t>
  </si>
  <si>
    <t>00.004</t>
  </si>
  <si>
    <t>00.005 Baugrubensicherung, Rühlwand, auskragend (KBOB.2016)</t>
  </si>
  <si>
    <t>332000.000000</t>
  </si>
  <si>
    <t>302000.000000</t>
  </si>
  <si>
    <t>30100.000000</t>
  </si>
  <si>
    <t>108.000000</t>
  </si>
  <si>
    <t>106.000000</t>
  </si>
  <si>
    <t>2.200000</t>
  </si>
  <si>
    <t>934.000000</t>
  </si>
  <si>
    <t>874.000000</t>
  </si>
  <si>
    <t>59.500000</t>
  </si>
  <si>
    <t>266.000000</t>
  </si>
  <si>
    <t>254.000000</t>
  </si>
  <si>
    <t>11.600000</t>
  </si>
  <si>
    <t>00.005</t>
  </si>
  <si>
    <t>00.006 Baugrubensicherung, Rühlwand, gespriesst (KBOB.2016)</t>
  </si>
  <si>
    <t>240000.000000</t>
  </si>
  <si>
    <t>222000.000000</t>
  </si>
  <si>
    <t>17800.000000</t>
  </si>
  <si>
    <t>46.700000</t>
  </si>
  <si>
    <t>45.400000</t>
  </si>
  <si>
    <t>1.310000</t>
  </si>
  <si>
    <t>677.000000</t>
  </si>
  <si>
    <t>642.000000</t>
  </si>
  <si>
    <t>35.200000</t>
  </si>
  <si>
    <t>184.000000</t>
  </si>
  <si>
    <t>177.000000</t>
  </si>
  <si>
    <t>6.840000</t>
  </si>
  <si>
    <t>00.006</t>
  </si>
  <si>
    <t>00.007 Baugrubensicherung, Rühlwand, verankert (KBOB.2016)</t>
  </si>
  <si>
    <t>259000.000000</t>
  </si>
  <si>
    <t>238000.000000</t>
  </si>
  <si>
    <t>20600.000000</t>
  </si>
  <si>
    <t>43.900000</t>
  </si>
  <si>
    <t>42.400000</t>
  </si>
  <si>
    <t>1.510000</t>
  </si>
  <si>
    <t>681.000000</t>
  </si>
  <si>
    <t>640.000000</t>
  </si>
  <si>
    <t>40.700000</t>
  </si>
  <si>
    <t>192.000000</t>
  </si>
  <si>
    <t>7.900000</t>
  </si>
  <si>
    <t>00.007</t>
  </si>
  <si>
    <t>00.008 Baugrubensicherung, Schlitzwand, 400 mm (KBOB.2016)</t>
  </si>
  <si>
    <t>648000.000000</t>
  </si>
  <si>
    <t>583000.000000</t>
  </si>
  <si>
    <t>65500.000000</t>
  </si>
  <si>
    <t>73.300000</t>
  </si>
  <si>
    <t>68.600000</t>
  </si>
  <si>
    <t>4.760000</t>
  </si>
  <si>
    <t>1250.000000</t>
  </si>
  <si>
    <t>1120.000000</t>
  </si>
  <si>
    <t>130.000000</t>
  </si>
  <si>
    <t>407.000000</t>
  </si>
  <si>
    <t>382.000000</t>
  </si>
  <si>
    <t>25.200000</t>
  </si>
  <si>
    <t>00.008</t>
  </si>
  <si>
    <t>00.009 Baugrubensicherung, Schlitzwand, 800 mm (KBOB.2016)</t>
  </si>
  <si>
    <t>1230000.000000</t>
  </si>
  <si>
    <t>1100000.000000</t>
  </si>
  <si>
    <t>129000.000000</t>
  </si>
  <si>
    <t>136.000000</t>
  </si>
  <si>
    <t>126.000000</t>
  </si>
  <si>
    <t>9.430000</t>
  </si>
  <si>
    <t>2270.000000</t>
  </si>
  <si>
    <t>2010.000000</t>
  </si>
  <si>
    <t>256.000000</t>
  </si>
  <si>
    <t>777.000000</t>
  </si>
  <si>
    <t>728.000000</t>
  </si>
  <si>
    <t>49.600000</t>
  </si>
  <si>
    <t>00.009</t>
  </si>
  <si>
    <t>00.010 Baugrubensicherung, Spundwand, auskragend (KBOB.2016)</t>
  </si>
  <si>
    <t>228000.000000</t>
  </si>
  <si>
    <t>0.000000</t>
  </si>
  <si>
    <t>46.200000</t>
  </si>
  <si>
    <t>747.000000</t>
  </si>
  <si>
    <t>163.000000</t>
  </si>
  <si>
    <t>00.010</t>
  </si>
  <si>
    <t>00.011 Baugrubensicherung, Spundwand, gespriesst (KBOB.2016)</t>
  </si>
  <si>
    <t>25.300000</t>
  </si>
  <si>
    <t>421.000000</t>
  </si>
  <si>
    <t>92.300000</t>
  </si>
  <si>
    <t>00.011</t>
  </si>
  <si>
    <t>00.012 Baugrubensicherung, Spundwand, verankert (KBOB.2016)</t>
  </si>
  <si>
    <t>255000.000000</t>
  </si>
  <si>
    <t>55.300000</t>
  </si>
  <si>
    <t>813.000000</t>
  </si>
  <si>
    <t>181.000000</t>
  </si>
  <si>
    <t>00.012</t>
  </si>
  <si>
    <t>00.013 Tiefgründung, Mikrobohrpfahl (KBOB.2016)</t>
  </si>
  <si>
    <t>48600.000000</t>
  </si>
  <si>
    <t>7.740000</t>
  </si>
  <si>
    <t>30.600000</t>
  </si>
  <si>
    <t>m</t>
  </si>
  <si>
    <t>00.013</t>
  </si>
  <si>
    <t>00.014 Tiefgründung, Ortbetonbohrpfahl, 700 mm (KBOB.2016)</t>
  </si>
  <si>
    <t>229000.000000</t>
  </si>
  <si>
    <t>22.400000</t>
  </si>
  <si>
    <t>404.000000</t>
  </si>
  <si>
    <t>159.000000</t>
  </si>
  <si>
    <t>00.014</t>
  </si>
  <si>
    <t>00.015 Tiefgründung, Ortbetonbohrpfahl, 900 mm (KBOB.2016)</t>
  </si>
  <si>
    <t>331000.000000</t>
  </si>
  <si>
    <t>35.000000</t>
  </si>
  <si>
    <t>566.000000</t>
  </si>
  <si>
    <t>239.000000</t>
  </si>
  <si>
    <t>00.015</t>
  </si>
  <si>
    <t>00.016 Tiefgründung, Ortbetonbohrpfahl, 1200 mm (KBOB.2016)</t>
  </si>
  <si>
    <t>506000.000000</t>
  </si>
  <si>
    <t>55.600000</t>
  </si>
  <si>
    <t>851.000000</t>
  </si>
  <si>
    <t>372.000000</t>
  </si>
  <si>
    <t>00.016</t>
  </si>
  <si>
    <t>00.017 Tiefgründung, Ortbetonverdrängungspfahl 560/480 mm (KBOB.2016)</t>
  </si>
  <si>
    <t>122000.000000</t>
  </si>
  <si>
    <t>9.870000</t>
  </si>
  <si>
    <t>226.000000</t>
  </si>
  <si>
    <t>72.200000</t>
  </si>
  <si>
    <t>00.017</t>
  </si>
  <si>
    <t>00.018 Tiefgründung, Ortbetonverdrängungspfahl 660/580 mm (KBOB.2016)</t>
  </si>
  <si>
    <t>13.200000</t>
  </si>
  <si>
    <t>273.000000</t>
  </si>
  <si>
    <t>91.300000</t>
  </si>
  <si>
    <t>00.018</t>
  </si>
  <si>
    <t>00.019 Tiefgründung, Rüttelstopfsäule (KBOB.2016)</t>
  </si>
  <si>
    <t>29900.000000</t>
  </si>
  <si>
    <t>1.100000</t>
  </si>
  <si>
    <t>30.900000</t>
  </si>
  <si>
    <t>6.450000</t>
  </si>
  <si>
    <t>00.019</t>
  </si>
  <si>
    <t>00.020 Tiefgründung, Vorgefertigter Betonpfahl (KBOB.2016)</t>
  </si>
  <si>
    <t>38800.000000</t>
  </si>
  <si>
    <t>4.220000</t>
  </si>
  <si>
    <t>66.100000</t>
  </si>
  <si>
    <t>28.600000</t>
  </si>
  <si>
    <t>00.020</t>
  </si>
  <si>
    <t>00.021 Wasserhaltung, Pumphöhe 2.5 m (KBOB.2016)</t>
  </si>
  <si>
    <t>14.400000</t>
  </si>
  <si>
    <t>0.019600</t>
  </si>
  <si>
    <t>0.101000</t>
  </si>
  <si>
    <t>0.004210</t>
  </si>
  <si>
    <t>m3</t>
  </si>
  <si>
    <t>volume</t>
  </si>
  <si>
    <t>00.021</t>
  </si>
  <si>
    <t>00.022 Wasserhaltung, Pumphöhe 5 m (KBOB.2016)</t>
  </si>
  <si>
    <t>16.800000</t>
  </si>
  <si>
    <t>0.023000</t>
  </si>
  <si>
    <t>0.119000</t>
  </si>
  <si>
    <t>0.004920</t>
  </si>
  <si>
    <t>00.022</t>
  </si>
  <si>
    <t>00.023 Wasserhaltung, Pumphöhe 7.5 m (KBOB.2016)</t>
  </si>
  <si>
    <t>19.600000</t>
  </si>
  <si>
    <t>0.026800</t>
  </si>
  <si>
    <t>0.138000</t>
  </si>
  <si>
    <t>0.005710</t>
  </si>
  <si>
    <t>00.023</t>
  </si>
  <si>
    <t>00.024 Wasserhaltung, Pumphöhe 10 m (KBOB.2016)</t>
  </si>
  <si>
    <t>22.500000</t>
  </si>
  <si>
    <t>0.030900</t>
  </si>
  <si>
    <t>0.159000</t>
  </si>
  <si>
    <t>0.006560</t>
  </si>
  <si>
    <t>00.024</t>
  </si>
  <si>
    <t>Ökobilanzdaten im Baubereich</t>
  </si>
  <si>
    <t>KBOB / eco-bau / IPB  2009/1:2016</t>
  </si>
  <si>
    <t>Total</t>
  </si>
  <si>
    <t>Total, renewable</t>
  </si>
  <si>
    <t>Total, non-renewable</t>
  </si>
  <si>
    <t>IPCC GWP 100a</t>
  </si>
  <si>
    <t>ID-Nummer</t>
  </si>
  <si>
    <r>
      <rPr>
        <rFont val="Arial"/>
        <b/>
        <color theme="1"/>
        <sz val="14.0"/>
      </rPr>
      <t xml:space="preserve">BAUMATERIALIEN
</t>
    </r>
    <r>
      <rPr>
        <rFont val="Arial"/>
        <b val="0"/>
        <i/>
        <color theme="1"/>
        <sz val="10.0"/>
      </rPr>
      <t>[Bibliographie treeze, version 2.2:2016]</t>
    </r>
  </si>
  <si>
    <t>ID-Nummer
Entsorgung</t>
  </si>
  <si>
    <t>Entsorgung</t>
  </si>
  <si>
    <t>Rohdichte/
Flächen-masse</t>
  </si>
  <si>
    <r>
      <rPr>
        <rFont val="Arial"/>
        <b/>
        <color theme="1"/>
        <sz val="9.0"/>
      </rPr>
      <t xml:space="preserve">Bezug
</t>
    </r>
    <r>
      <rPr>
        <rFont val="Arial"/>
        <b/>
        <i/>
        <color theme="1"/>
        <sz val="9.0"/>
      </rPr>
      <t>Référence</t>
    </r>
  </si>
  <si>
    <r>
      <rPr>
        <rFont val="Arial"/>
        <b/>
        <color theme="1"/>
        <sz val="9.0"/>
      </rPr>
      <t xml:space="preserve">Primärenergie 
</t>
    </r>
    <r>
      <rPr>
        <rFont val="Arial"/>
        <b/>
        <i/>
        <color theme="1"/>
        <sz val="9.0"/>
      </rPr>
      <t>Energie primaire</t>
    </r>
  </si>
  <si>
    <t>Treibhaus-
gasemissionen</t>
  </si>
  <si>
    <r>
      <rPr>
        <rFont val="Arial"/>
        <b/>
        <i/>
        <color theme="1"/>
        <sz val="14.0"/>
      </rPr>
      <t>MATÉRIAUX</t>
    </r>
    <r>
      <rPr>
        <rFont val="Arial"/>
        <b/>
        <i/>
        <color theme="1"/>
        <sz val="11.0"/>
      </rPr>
      <t xml:space="preserve">
</t>
    </r>
    <r>
      <rPr>
        <rFont val="Arial"/>
        <b val="0"/>
        <i/>
        <color theme="1"/>
        <sz val="10.0"/>
      </rPr>
      <t>[Bibliographie treeze, version 2.2:2016]</t>
    </r>
  </si>
  <si>
    <t>No d'identi-fication</t>
  </si>
  <si>
    <t>No d'identification
Déchets</t>
  </si>
  <si>
    <t>UBP</t>
  </si>
  <si>
    <t>gesamt</t>
  </si>
  <si>
    <t>Emissions de gaz</t>
  </si>
  <si>
    <t>Masse volumique/  surface</t>
  </si>
  <si>
    <t>globale</t>
  </si>
  <si>
    <t>non renouvelable (énergie grise)</t>
  </si>
  <si>
    <t>à effet de serre</t>
  </si>
  <si>
    <r>
      <rPr>
        <rFont val="Arial"/>
        <b/>
        <color theme="1"/>
        <sz val="10.0"/>
      </rPr>
      <t xml:space="preserve">Hinweis: </t>
    </r>
    <r>
      <rPr>
        <rFont val="Arial"/>
        <b val="0"/>
        <color theme="1"/>
        <sz val="10.0"/>
      </rPr>
      <t>Anzeigen der</t>
    </r>
    <r>
      <rPr>
        <rFont val="Arial"/>
        <b/>
        <color theme="1"/>
        <sz val="10.0"/>
      </rPr>
      <t xml:space="preserve"> </t>
    </r>
    <r>
      <rPr>
        <rFont val="Arial"/>
        <b val="0"/>
        <color theme="1"/>
        <sz val="10.0"/>
      </rPr>
      <t>herstellerspezifischen und herstellerregionenspezifischen Daten durch Anklicken der '+' am linken Rand.</t>
    </r>
  </si>
  <si>
    <t xml:space="preserve"> </t>
  </si>
  <si>
    <t>Herstellung</t>
  </si>
  <si>
    <r>
      <rPr>
        <rFont val="Arial"/>
        <b/>
        <color theme="1"/>
        <sz val="10.0"/>
      </rPr>
      <t>Remarque:</t>
    </r>
    <r>
      <rPr>
        <rFont val="Arial"/>
        <color theme="1"/>
        <sz val="10.0"/>
      </rPr>
      <t xml:space="preserve"> Affichage des données spécifiques aux fabricants et aux régions de production en cliquant sur les '+' sur le bord gauche.</t>
    </r>
  </si>
  <si>
    <t>Fabrication</t>
  </si>
  <si>
    <t>Elimination</t>
  </si>
  <si>
    <t>kWh oil-eq</t>
  </si>
  <si>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</si>
  <si>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</si>
  <si>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</si>
  <si>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t>Vorbereitungsarbeiten</t>
  </si>
  <si>
    <t>-</t>
  </si>
  <si>
    <t>Travails de préparation</t>
  </si>
  <si>
    <t>Baugrubensicherung, Bohrpfahlwand, gespriesst</t>
  </si>
  <si>
    <t>91.074</t>
  </si>
  <si>
    <t>Entsorgung, Baugrubensicherung, Bohrpfahlwand, gespriesst</t>
  </si>
  <si>
    <r>
      <rPr>
        <rFont val="Arial"/>
        <color rgb="FFFF0000"/>
        <sz val="10.0"/>
      </rPr>
      <t>m</t>
    </r>
    <r>
      <rPr>
        <rFont val="Arial"/>
        <color rgb="FFFF0000"/>
        <sz val="10.0"/>
        <vertAlign val="superscript"/>
      </rPr>
      <t>2</t>
    </r>
  </si>
  <si>
    <t>Blindage de fouille, paroi parisienne, étayé</t>
  </si>
  <si>
    <t>Baugrubensicherung, Bohrpfahlwand, unverankert</t>
  </si>
  <si>
    <t>91.075</t>
  </si>
  <si>
    <t>Entsorgung, Baugrubensicherung, Bohrpfahlwand, unverankert</t>
  </si>
  <si>
    <r>
      <rPr>
        <rFont val="Arial"/>
        <color rgb="FFFF0000"/>
        <sz val="10.0"/>
      </rPr>
      <t>m</t>
    </r>
    <r>
      <rPr>
        <rFont val="Arial"/>
        <color rgb="FFFF0000"/>
        <sz val="10.0"/>
        <vertAlign val="superscript"/>
      </rPr>
      <t>2</t>
    </r>
  </si>
  <si>
    <t>Blindage de fouille, paroi parisienne, flottant</t>
  </si>
  <si>
    <t>Baugrubensicherung, Bohrpfahlwand, verankert</t>
  </si>
  <si>
    <t>91.076</t>
  </si>
  <si>
    <t>Entsorgung, Baugrubensicherung, Bohrpfahlwand, verankert</t>
  </si>
  <si>
    <r>
      <rPr>
        <rFont val="Arial"/>
        <color rgb="FFFF0000"/>
        <sz val="10.0"/>
      </rPr>
      <t>m</t>
    </r>
    <r>
      <rPr>
        <rFont val="Arial"/>
        <color rgb="FFFF0000"/>
        <sz val="10.0"/>
        <vertAlign val="superscript"/>
      </rPr>
      <t>2</t>
    </r>
  </si>
  <si>
    <t>Blindage de fouille, paroi parisienne, fixe</t>
  </si>
  <si>
    <t>Baugrubensicherung, Nagelwand</t>
  </si>
  <si>
    <t>91.077</t>
  </si>
  <si>
    <t>Entsorgung, Baugrubensicherung, Nagelwand</t>
  </si>
  <si>
    <r>
      <rPr>
        <rFont val="Arial"/>
        <color rgb="FFFF0000"/>
        <sz val="10.0"/>
      </rPr>
      <t>m</t>
    </r>
    <r>
      <rPr>
        <rFont val="Arial"/>
        <color rgb="FFFF0000"/>
        <sz val="10.0"/>
        <vertAlign val="superscript"/>
      </rPr>
      <t>2</t>
    </r>
  </si>
  <si>
    <t>Blindage de fouille, paroi clouée</t>
  </si>
  <si>
    <t>Baugrubensicherung, Rühlwand, auskragend</t>
  </si>
  <si>
    <t>91.078</t>
  </si>
  <si>
    <t>Entsorgung, Baugrubensicherung, Rühlwand, auskragend</t>
  </si>
  <si>
    <r>
      <rPr>
        <rFont val="Arial"/>
        <color rgb="FFFF0000"/>
        <sz val="10.0"/>
      </rPr>
      <t>m</t>
    </r>
    <r>
      <rPr>
        <rFont val="Arial"/>
        <color rgb="FFFF0000"/>
        <sz val="10.0"/>
        <vertAlign val="superscript"/>
      </rPr>
      <t>2</t>
    </r>
  </si>
  <si>
    <t>Blindage de fouille, paroi berlinoise, en porte-à-faux</t>
  </si>
  <si>
    <t>Baugrubensicherung, Rühlwand, gespriesst</t>
  </si>
  <si>
    <t>91.079</t>
  </si>
  <si>
    <t>Entsorgung, Baugrubensicherung, Rühlwand, gespriesst</t>
  </si>
  <si>
    <r>
      <rPr>
        <rFont val="Arial"/>
        <color rgb="FFFF0000"/>
        <sz val="10.0"/>
      </rPr>
      <t>m</t>
    </r>
    <r>
      <rPr>
        <rFont val="Arial"/>
        <color rgb="FFFF0000"/>
        <sz val="10.0"/>
        <vertAlign val="superscript"/>
      </rPr>
      <t>2</t>
    </r>
  </si>
  <si>
    <t>Blindage de fouille, paroi berlinoise, étayé</t>
  </si>
  <si>
    <t>Baugrubensicherung, Rühlwand, verankert</t>
  </si>
  <si>
    <t>91.080</t>
  </si>
  <si>
    <t>Entsorgung, Baugrubensicherung, Rühlwand, verankert</t>
  </si>
  <si>
    <r>
      <rPr>
        <rFont val="Arial"/>
        <color rgb="FFFF0000"/>
        <sz val="10.0"/>
      </rPr>
      <t>m</t>
    </r>
    <r>
      <rPr>
        <rFont val="Arial"/>
        <color rgb="FFFF0000"/>
        <sz val="10.0"/>
        <vertAlign val="superscript"/>
      </rPr>
      <t>2</t>
    </r>
  </si>
  <si>
    <t>Blindage de fouille, paroi berlinoise, fixe</t>
  </si>
  <si>
    <t>Baugrubensicherung, Schlitzwand, 400 mm</t>
  </si>
  <si>
    <t>91.081</t>
  </si>
  <si>
    <t>Entsorgung, Baugrubensicherung, Schlitzwand, 400mm</t>
  </si>
  <si>
    <r>
      <rPr>
        <rFont val="Arial"/>
        <color rgb="FFFF0000"/>
        <sz val="10.0"/>
      </rPr>
      <t>m</t>
    </r>
    <r>
      <rPr>
        <rFont val="Arial"/>
        <color rgb="FFFF0000"/>
        <sz val="10.0"/>
        <vertAlign val="superscript"/>
      </rPr>
      <t>2</t>
    </r>
  </si>
  <si>
    <t>Blindage de fouille, paroi moulée, 400 mm</t>
  </si>
  <si>
    <t>Baugrubensicherung, Schlitzwand, 800 mm</t>
  </si>
  <si>
    <t>91.082</t>
  </si>
  <si>
    <t>Entsorgung, Baugrubensicherung, Schlitzwand, 800mm</t>
  </si>
  <si>
    <r>
      <rPr>
        <rFont val="Arial"/>
        <color rgb="FFFF0000"/>
        <sz val="10.0"/>
      </rPr>
      <t>m</t>
    </r>
    <r>
      <rPr>
        <rFont val="Arial"/>
        <color rgb="FFFF0000"/>
        <sz val="10.0"/>
        <vertAlign val="superscript"/>
      </rPr>
      <t>2</t>
    </r>
  </si>
  <si>
    <t>Blindage de fouille, paroi moulée, 800 mm</t>
  </si>
  <si>
    <t>Baugrubensicherung, Spundwand, auskragend</t>
  </si>
  <si>
    <t>91.083</t>
  </si>
  <si>
    <t>Entsorgung, Baugrubensicherung, Spundwand, auskragend</t>
  </si>
  <si>
    <r>
      <rPr>
        <rFont val="Arial"/>
        <color rgb="FFFF0000"/>
        <sz val="10.0"/>
      </rPr>
      <t>m</t>
    </r>
    <r>
      <rPr>
        <rFont val="Arial"/>
        <color rgb="FFFF0000"/>
        <sz val="10.0"/>
        <vertAlign val="superscript"/>
      </rPr>
      <t>2</t>
    </r>
  </si>
  <si>
    <t>Blindage de fouille, paroi de palplanche, en porte-à-faux</t>
  </si>
  <si>
    <t>Baugrubensicherung, Spundwand, gespriesst</t>
  </si>
  <si>
    <t>91.084</t>
  </si>
  <si>
    <t>Entsorgung, Baugrubensicherung, Spundwand, gespriesst</t>
  </si>
  <si>
    <r>
      <rPr>
        <rFont val="Arial"/>
        <color rgb="FFFF0000"/>
        <sz val="10.0"/>
      </rPr>
      <t>m</t>
    </r>
    <r>
      <rPr>
        <rFont val="Arial"/>
        <color rgb="FFFF0000"/>
        <sz val="10.0"/>
        <vertAlign val="superscript"/>
      </rPr>
      <t>2</t>
    </r>
  </si>
  <si>
    <t>Blindage de fouille, paroi de palplanche, étayé</t>
  </si>
  <si>
    <t>Baugrubensicherung, Spundwand, verankert</t>
  </si>
  <si>
    <t>91.085</t>
  </si>
  <si>
    <t>Entsorgung, Baugrubensicherung, Spundwand, verankert</t>
  </si>
  <si>
    <r>
      <rPr>
        <rFont val="Arial"/>
        <color rgb="FFFF0000"/>
        <sz val="10.0"/>
      </rPr>
      <t>m</t>
    </r>
    <r>
      <rPr>
        <rFont val="Arial"/>
        <color rgb="FFFF0000"/>
        <sz val="10.0"/>
        <vertAlign val="superscript"/>
      </rPr>
      <t>2</t>
    </r>
  </si>
  <si>
    <t>Blindage de fouille, paroi de palplanche, fixe</t>
  </si>
  <si>
    <t>Tiefgründung, Mikrobohrpfahl</t>
  </si>
  <si>
    <t>91.086</t>
  </si>
  <si>
    <t>Entsorgung, Tiefgründung, Mikrobohrpfahl</t>
  </si>
  <si>
    <t xml:space="preserve">Fondations profondes, micropieu </t>
  </si>
  <si>
    <t>Tiefgründung, Ortbetonbohrpfahl, 700 mm</t>
  </si>
  <si>
    <t>91.087</t>
  </si>
  <si>
    <t>Entsorgung, Tiefgründung, Ortbetonbohrpfahl, 700mm</t>
  </si>
  <si>
    <t>Fondations profondes, pieu coulé sur site, 700 mm</t>
  </si>
  <si>
    <t>Tiefgründung, Ortbetonbohrpfahl, 900 mm</t>
  </si>
  <si>
    <t>91.088</t>
  </si>
  <si>
    <t>Entsorgung, Tiefgründung, Ortbetonbohrpfahl, 900mm</t>
  </si>
  <si>
    <t>Fondations profondes, pieu coulé sur site, 900 mm</t>
  </si>
  <si>
    <t>Tiefgründung, Ortbetonbohrpfahl, 1200 mm</t>
  </si>
  <si>
    <t>91.089</t>
  </si>
  <si>
    <t>Entsorgung, Tiefgründung, Ortbetonbohrpfahl, 1200mm</t>
  </si>
  <si>
    <t>Fondations profondes, pieu coulé sur site, 1200 mm</t>
  </si>
  <si>
    <t>Tiefgründung, Ortbetonverdrängungspfahl 560/480 mm</t>
  </si>
  <si>
    <t>91.090</t>
  </si>
  <si>
    <t>Entsorgung, Tiefgründung, Ortbetonverdrängungspfahl 560/480mm</t>
  </si>
  <si>
    <t>Fondations profondes, pieux forés vissés, 560/480 mm</t>
  </si>
  <si>
    <t>Tiefgründung, Ortbetonverdrängungspfahl 660/580 mm</t>
  </si>
  <si>
    <t>91.091</t>
  </si>
  <si>
    <t>Entsorgung, Tiefgründung, Ortbetonverdrängungspfahl 660/580mm</t>
  </si>
  <si>
    <t>Fondations profondes, pieux forés vissés, 660/580 mm</t>
  </si>
  <si>
    <t>Tiefgründung, Rüttelstopfsäule</t>
  </si>
  <si>
    <t>91.092</t>
  </si>
  <si>
    <t>Entsorgung, Tiefgründung, Rüttelstopfsäule</t>
  </si>
  <si>
    <t>Fondations profondes, colonnes ballastées</t>
  </si>
  <si>
    <t>Tiefgründung, Vorgefertigter Betonpfahl</t>
  </si>
  <si>
    <t>91.093</t>
  </si>
  <si>
    <t>Entsorgung, Tiefgründung, Vorgefertigter Betonpfahl</t>
  </si>
  <si>
    <t>Fondations profondes, pieu en béton préfabriqué</t>
  </si>
  <si>
    <t>Wasserhaltung, Pumphöhe 2.5 m</t>
  </si>
  <si>
    <t>91.094</t>
  </si>
  <si>
    <t>Entsorgung, Wasserhaltung, Pumphöhe 2.5m</t>
  </si>
  <si>
    <r>
      <rPr>
        <rFont val="Arial"/>
        <color rgb="FFFF0000"/>
        <sz val="10.0"/>
      </rPr>
      <t>m</t>
    </r>
    <r>
      <rPr>
        <rFont val="Arial"/>
        <color rgb="FFFF0000"/>
        <sz val="10.0"/>
        <vertAlign val="superscript"/>
      </rPr>
      <t>3</t>
    </r>
  </si>
  <si>
    <t>Épuisement des eaux, hauteur de refoulement, 2,5 m</t>
  </si>
  <si>
    <t>Wasserhaltung, Pumphöhe 5 m</t>
  </si>
  <si>
    <t>91.095</t>
  </si>
  <si>
    <t>Entsorgung, Wasserhaltung, Pumphöhe 5m</t>
  </si>
  <si>
    <r>
      <rPr>
        <rFont val="Arial"/>
        <color rgb="FFFF0000"/>
        <sz val="10.0"/>
      </rPr>
      <t>m</t>
    </r>
    <r>
      <rPr>
        <rFont val="Arial"/>
        <color rgb="FFFF0000"/>
        <sz val="10.0"/>
        <vertAlign val="superscript"/>
      </rPr>
      <t>3</t>
    </r>
  </si>
  <si>
    <t>Épuisement des eaux, hauteur de refoulement, 5 m</t>
  </si>
  <si>
    <t>Wasserhaltung, Pumphöhe 7.5 m</t>
  </si>
  <si>
    <t>91.096</t>
  </si>
  <si>
    <t>Entsorgung, Wasserhaltung, Pumphöhe 7.5m</t>
  </si>
  <si>
    <r>
      <rPr>
        <rFont val="Arial"/>
        <color rgb="FFFF0000"/>
        <sz val="10.0"/>
      </rPr>
      <t>m</t>
    </r>
    <r>
      <rPr>
        <rFont val="Arial"/>
        <color rgb="FFFF0000"/>
        <sz val="10.0"/>
        <vertAlign val="superscript"/>
      </rPr>
      <t>3</t>
    </r>
  </si>
  <si>
    <t>Épuisement des eaux, hauteur de refoulement, 7,5 m</t>
  </si>
  <si>
    <t>Wasserhaltung, Pumphöhe 10 m</t>
  </si>
  <si>
    <t>91.097</t>
  </si>
  <si>
    <t>Entsorgung, Wasserhaltung, Pumphöhe 10m</t>
  </si>
  <si>
    <r>
      <rPr>
        <rFont val="Arial"/>
        <color rgb="FFFF0000"/>
        <sz val="10.0"/>
      </rPr>
      <t>m</t>
    </r>
    <r>
      <rPr>
        <rFont val="Arial"/>
        <color rgb="FFFF0000"/>
        <sz val="10.0"/>
        <vertAlign val="superscript"/>
      </rPr>
      <t>3</t>
    </r>
  </si>
  <si>
    <t>Épuisement des eaux, hauteur de refoulement, 10 m</t>
  </si>
  <si>
    <t>01</t>
  </si>
  <si>
    <t>Beton</t>
  </si>
  <si>
    <r>
      <rPr>
        <rFont val="Arial"/>
        <b/>
        <color theme="1"/>
        <sz val="10.0"/>
      </rPr>
      <t>kg/m</t>
    </r>
    <r>
      <rPr>
        <rFont val="Arial"/>
        <b/>
        <color theme="1"/>
        <sz val="10.0"/>
        <vertAlign val="superscript"/>
      </rPr>
      <t>3</t>
    </r>
  </si>
  <si>
    <t>Béton</t>
  </si>
  <si>
    <t>Magerbeton (ohne Bewehrung)</t>
  </si>
  <si>
    <t>91.061</t>
  </si>
  <si>
    <t>Entsorgungsmix, Beton unbewehrt</t>
  </si>
  <si>
    <t>kg</t>
  </si>
  <si>
    <t>Béton maigre (sans armature)</t>
  </si>
  <si>
    <t>Hochbaubeton (ohne Bewehrung)</t>
  </si>
  <si>
    <t>91.060</t>
  </si>
  <si>
    <t>Entsorgungsmix, Beton bewehrt</t>
  </si>
  <si>
    <t>Béton pour bâtiment (sans armature)</t>
  </si>
  <si>
    <t>Tiefbaubeton (ohne Bewehrung)</t>
  </si>
  <si>
    <t>Béton pour travaux de génie civil (sans armature)</t>
  </si>
  <si>
    <t>Bohrpfahlbeton (ohne Bewehrung)</t>
  </si>
  <si>
    <t>Béton pour pieux (sans armature)</t>
  </si>
  <si>
    <t>01.041</t>
  </si>
  <si>
    <t>Betonfertigteil, hochfester Beton, ab Werk</t>
  </si>
  <si>
    <t>Élément préfabriqué en béton, béton à hautes performances, sortie d'usine</t>
  </si>
  <si>
    <t>01.042</t>
  </si>
  <si>
    <t>Betonfertigteil, Normalbeton, ab Werk</t>
  </si>
  <si>
    <t>Élément préfabriqué en béton, béton normal, sortie d'usine</t>
  </si>
  <si>
    <t>01.043</t>
  </si>
  <si>
    <t>Hanfbeton</t>
  </si>
  <si>
    <t>91.073</t>
  </si>
  <si>
    <t>Entsorgungsmix, Hanfbeton</t>
  </si>
  <si>
    <t>Béton chaux-chanvre</t>
  </si>
  <si>
    <t>01.043.01</t>
  </si>
  <si>
    <t>Hanfbeton, ARBIO</t>
  </si>
  <si>
    <t>Béton chaux-chanvre, ARBIO</t>
  </si>
  <si>
    <r>
      <rPr>
        <rFont val="Arial"/>
        <b/>
        <color theme="1"/>
        <sz val="10.0"/>
      </rPr>
      <t xml:space="preserve">Betonsortenrechner: </t>
    </r>
    <r>
      <rPr>
        <rFont val="Arial"/>
        <color theme="1"/>
        <sz val="10.0"/>
      </rPr>
      <t>Mit dem Betonsortenrechner (http://treeze.ch/de/rechner/betonsortenrechner/) können die Umweltkennwerte von spezifischen Betonen mit verschiedenen Zementtypen und Gesteinskörnungen berechnet werden.</t>
    </r>
  </si>
  <si>
    <r>
      <rPr>
        <rFont val="Arial"/>
        <b/>
        <color theme="1"/>
        <sz val="10.0"/>
      </rPr>
      <t>Calculatrice à béton:</t>
    </r>
    <r>
      <rPr>
        <rFont val="Arial"/>
        <color theme="1"/>
        <sz val="10.0"/>
      </rPr>
      <t xml:space="preserve"> la calculatrice (http://treeze.ch/de/rechner/betonsortenrechner/) permet de calculer les données environnementales des différents types de béton fabriqués à partir de ciments et granulats divers.</t>
    </r>
  </si>
  <si>
    <t>02</t>
  </si>
  <si>
    <t>Mauersteine</t>
  </si>
  <si>
    <r>
      <rPr>
        <rFont val="Arial"/>
        <b/>
        <color theme="1"/>
        <sz val="10.0"/>
      </rPr>
      <t>kg/m</t>
    </r>
    <r>
      <rPr>
        <rFont val="Arial"/>
        <b/>
        <color theme="1"/>
        <sz val="10.0"/>
        <vertAlign val="superscript"/>
      </rPr>
      <t>3</t>
    </r>
  </si>
  <si>
    <t xml:space="preserve">Pierres de taille </t>
  </si>
  <si>
    <t>02.001</t>
  </si>
  <si>
    <t>Backstein</t>
  </si>
  <si>
    <t>91.059</t>
  </si>
  <si>
    <t>Entsorgungsmix, Backstein</t>
  </si>
  <si>
    <t>Brique en terre cuite</t>
  </si>
  <si>
    <t>02.002</t>
  </si>
  <si>
    <t>Kalksandstein</t>
  </si>
  <si>
    <t>91.065</t>
  </si>
  <si>
    <t>Entsorgungsmix, Kalksandstein</t>
  </si>
  <si>
    <t>Grès</t>
  </si>
  <si>
    <t>02.002.01</t>
  </si>
  <si>
    <t>Kalksandstein, FBB</t>
  </si>
  <si>
    <t>Grès, FBB</t>
  </si>
  <si>
    <t>02.003</t>
  </si>
  <si>
    <t>Leichtlehmstein</t>
  </si>
  <si>
    <t>Brique en argile léger</t>
  </si>
  <si>
    <t>02.004</t>
  </si>
  <si>
    <t>Leichtzementstein, Blähton</t>
  </si>
  <si>
    <t>91.070</t>
  </si>
  <si>
    <t>Entsorgungsmix, Zement (in Beton) und Mauermörtel</t>
  </si>
  <si>
    <t>Pierre en béton léger: argile expansée</t>
  </si>
  <si>
    <t>02.005</t>
  </si>
  <si>
    <t>Leichtzementstein, Naturbims</t>
  </si>
  <si>
    <t>Pierre en béton léger: pierre ponce naturelle</t>
  </si>
  <si>
    <t>02.006</t>
  </si>
  <si>
    <t>Porenbetonstein</t>
  </si>
  <si>
    <t>Béton cellulaire</t>
  </si>
  <si>
    <t>02.007</t>
  </si>
  <si>
    <t>Zementstein</t>
  </si>
  <si>
    <t>Plot de ciment</t>
  </si>
  <si>
    <t>03</t>
  </si>
  <si>
    <t>Andere Massivbaustoffe</t>
  </si>
  <si>
    <r>
      <rPr>
        <rFont val="Arial"/>
        <b/>
        <color theme="1"/>
        <sz val="10.0"/>
      </rPr>
      <t>kg/m</t>
    </r>
    <r>
      <rPr>
        <rFont val="Arial"/>
        <b/>
        <color theme="1"/>
        <sz val="10.0"/>
        <vertAlign val="superscript"/>
      </rPr>
      <t>3</t>
    </r>
  </si>
  <si>
    <t>Autres matériaux massifs</t>
  </si>
  <si>
    <t>03.001</t>
  </si>
  <si>
    <t>Betonziegel</t>
  </si>
  <si>
    <t>Tuiles en béton</t>
  </si>
  <si>
    <t>03.002</t>
  </si>
  <si>
    <t>Faserzement-Dachschindel</t>
  </si>
  <si>
    <t>Bardeau de fibrociment</t>
  </si>
  <si>
    <t>03.003</t>
  </si>
  <si>
    <t>Faserzementplatte gross</t>
  </si>
  <si>
    <t>Dalle de fibrociment, grande</t>
  </si>
  <si>
    <t>03.004</t>
  </si>
  <si>
    <t>Faserzement-Wellplatte</t>
  </si>
  <si>
    <t>Plaque ondulée en fibrociment</t>
  </si>
  <si>
    <t>03.005</t>
  </si>
  <si>
    <t>Flachglas beschichtet</t>
  </si>
  <si>
    <t>91.032</t>
  </si>
  <si>
    <t>Entsorgung, Gebäude, Flachglas, in Beseitigung</t>
  </si>
  <si>
    <t>Verre plat, enduit</t>
  </si>
  <si>
    <t>03.006</t>
  </si>
  <si>
    <t>Flachglas unbeschichtet</t>
  </si>
  <si>
    <t>Verre plat, non enduit</t>
  </si>
  <si>
    <t>03.007</t>
  </si>
  <si>
    <t>Gipsfaserplatte</t>
  </si>
  <si>
    <t>91.063</t>
  </si>
  <si>
    <t>Entsorgungsmix, Gipsfaserplatte</t>
  </si>
  <si>
    <t>Plaque de plâtre armé de fibres</t>
  </si>
  <si>
    <t>03.008</t>
  </si>
  <si>
    <t>Gipskartonplatte</t>
  </si>
  <si>
    <t>91.064</t>
  </si>
  <si>
    <t>Entsorgungsmix, Gipskartonplatte</t>
  </si>
  <si>
    <t>Plaque de plâtre cartonnées</t>
  </si>
  <si>
    <t>03.016</t>
  </si>
  <si>
    <t>Gips-Wandbauplatte / Vollgipsplatte</t>
  </si>
  <si>
    <t>91.069</t>
  </si>
  <si>
    <t>Entsorgungsmix, Gips-Wandbauplatte / Vollgipsplatte</t>
  </si>
  <si>
    <t>Blocs de gypse / plâtre massif</t>
  </si>
  <si>
    <t>03.009</t>
  </si>
  <si>
    <t>Hartsandsteinplatte</t>
  </si>
  <si>
    <t>Plaque de grès dur</t>
  </si>
  <si>
    <t>03.017</t>
  </si>
  <si>
    <t>Kalksteinplatte</t>
  </si>
  <si>
    <t>Plaque de calcaire dur</t>
  </si>
  <si>
    <t>03.010</t>
  </si>
  <si>
    <t>Keramik-/Steinzeugplatte</t>
  </si>
  <si>
    <t>Dalle de céramique/grès</t>
  </si>
  <si>
    <t>03.011</t>
  </si>
  <si>
    <t>Kies gebrochen</t>
  </si>
  <si>
    <t>91.062</t>
  </si>
  <si>
    <t>Entsorgungsmix, Betonkies</t>
  </si>
  <si>
    <t>Gravier concassé</t>
  </si>
  <si>
    <t>03.012</t>
  </si>
  <si>
    <t>Rundkies</t>
  </si>
  <si>
    <t>Gravier rond</t>
  </si>
  <si>
    <t>03.013</t>
  </si>
  <si>
    <t>Sand</t>
  </si>
  <si>
    <t>91.068</t>
  </si>
  <si>
    <t>Entsorgungsmix, Sand</t>
  </si>
  <si>
    <t>Sable</t>
  </si>
  <si>
    <t>03.014</t>
  </si>
  <si>
    <t>Sanitärkeramik</t>
  </si>
  <si>
    <t>Céramique sanitaire</t>
  </si>
  <si>
    <t>03.020</t>
  </si>
  <si>
    <t>Stampflehm</t>
  </si>
  <si>
    <t>Pisé</t>
  </si>
  <si>
    <t>03.015</t>
  </si>
  <si>
    <t>Tonziegel</t>
  </si>
  <si>
    <t>Tuile en terre cuite</t>
  </si>
  <si>
    <t>04</t>
  </si>
  <si>
    <t>Mörtel und Putze</t>
  </si>
  <si>
    <r>
      <rPr>
        <rFont val="Arial"/>
        <b/>
        <color theme="1"/>
        <sz val="10.0"/>
      </rPr>
      <t>kg/m</t>
    </r>
    <r>
      <rPr>
        <rFont val="Arial"/>
        <b/>
        <color theme="1"/>
        <sz val="10.0"/>
        <vertAlign val="superscript"/>
      </rPr>
      <t>3</t>
    </r>
  </si>
  <si>
    <t>Mortiers et enduits</t>
  </si>
  <si>
    <t>04.008</t>
  </si>
  <si>
    <t>Baukleber/Einbettmörtel mineralisch</t>
  </si>
  <si>
    <t>91.100</t>
  </si>
  <si>
    <t>Entsorgungsmix, Putz, ausgehärtet</t>
  </si>
  <si>
    <t xml:space="preserve">Colle de construction/mortier d'enrobage minéral(e) </t>
  </si>
  <si>
    <t>04.010</t>
  </si>
  <si>
    <t>Baukleber/Einbettmörtel mineralisch Leichtzuschlag</t>
  </si>
  <si>
    <t>Colle de construction/mortier d'enrobage minéral(e) avec agrégats légers</t>
  </si>
  <si>
    <t>04.002</t>
  </si>
  <si>
    <t>Baukleber/Einbettmörtel organisch</t>
  </si>
  <si>
    <t>Colle de construction/mortier d'enrobage biologique</t>
  </si>
  <si>
    <t>04.017</t>
  </si>
  <si>
    <t>Gips-Kalk-Putz</t>
  </si>
  <si>
    <t>91.098</t>
  </si>
  <si>
    <t>Entsorgungsmix, Gips-Kalk-Putz</t>
  </si>
  <si>
    <t>Enduit en plâtre et chaux</t>
  </si>
  <si>
    <t>Gips-/Weissputz</t>
  </si>
  <si>
    <t>91.099</t>
  </si>
  <si>
    <t>Entsorgungsmix, Gips-/Weissputz</t>
  </si>
  <si>
    <t>Enduit minéral</t>
  </si>
  <si>
    <t>Kunststoffputz (Dispersionsputz)</t>
  </si>
  <si>
    <t>Crépi synthétique (enduit de dispersion)</t>
  </si>
  <si>
    <t>04.013</t>
  </si>
  <si>
    <t>Kalk-Zement/Zement-Kalk-Putz</t>
  </si>
  <si>
    <t>Enduit en plâtre et en ciment</t>
  </si>
  <si>
    <t>04.004</t>
  </si>
  <si>
    <t>Lehmputz</t>
  </si>
  <si>
    <t>91.067</t>
  </si>
  <si>
    <t>Entsorgungsmix, Mineralischer Putz</t>
  </si>
  <si>
    <t>Enduit de glaise</t>
  </si>
  <si>
    <t>04.015</t>
  </si>
  <si>
    <t>Leichtputz mineralisch</t>
  </si>
  <si>
    <t>Enduit de glaise minéral</t>
  </si>
  <si>
    <t>04.011</t>
  </si>
  <si>
    <t>Silikatputz (Dispersionssilikatputz)</t>
  </si>
  <si>
    <t>Crépi silicate (silicate de dispersion)</t>
  </si>
  <si>
    <t>04.012</t>
  </si>
  <si>
    <t>Silikonharzputz</t>
  </si>
  <si>
    <t>Crépi à la résine de silicone</t>
  </si>
  <si>
    <t>04.016</t>
  </si>
  <si>
    <t>Sumpfkalkputz</t>
  </si>
  <si>
    <t>Enduit à la chaux grasse</t>
  </si>
  <si>
    <t>04.005</t>
  </si>
  <si>
    <t>Unterlagsboden Anhydrit, 60 mm</t>
  </si>
  <si>
    <t>91.101</t>
  </si>
  <si>
    <t>Entsorgungsmix, Unterlagsboden Anhydrit, 60 mm</t>
  </si>
  <si>
    <t>Chape d'anhydrite, 60 mm</t>
  </si>
  <si>
    <t>04.006</t>
  </si>
  <si>
    <t>Unterlagsboden Zement, 85 mm</t>
  </si>
  <si>
    <t>91.102</t>
  </si>
  <si>
    <t>Entsorgungsmix, Unterlagsboden Zement, 85 mm</t>
  </si>
  <si>
    <t>Chape de ciment, 85 mm</t>
  </si>
  <si>
    <t>04.007</t>
  </si>
  <si>
    <t>Wärmedämmputz EPS</t>
  </si>
  <si>
    <t>Enduit d'isolation thermique EPS</t>
  </si>
  <si>
    <t>04.014</t>
  </si>
  <si>
    <t>Weisszementputz</t>
  </si>
  <si>
    <t>Crépit en ciment</t>
  </si>
  <si>
    <t>Zementputz</t>
  </si>
  <si>
    <t>Enduit de ciment</t>
  </si>
  <si>
    <t>05</t>
  </si>
  <si>
    <t>Fenster, Sonnenschutz, Fassadenverkleidungen</t>
  </si>
  <si>
    <r>
      <rPr>
        <rFont val="Arial"/>
        <b/>
        <color theme="1"/>
        <sz val="10.0"/>
      </rPr>
      <t>kg/m</t>
    </r>
    <r>
      <rPr>
        <rFont val="Arial"/>
        <b/>
        <color theme="1"/>
        <sz val="10.0"/>
        <vertAlign val="superscript"/>
      </rPr>
      <t>2</t>
    </r>
  </si>
  <si>
    <t>Fenêtre et façades verre/métal</t>
  </si>
  <si>
    <t>05.008</t>
  </si>
  <si>
    <t>Fassade, Pfosten-Riegel, Alu/Glas</t>
  </si>
  <si>
    <t>91.135</t>
  </si>
  <si>
    <t>Entsorgung, Fassade, Pfosten-Riegel, Alu/Glas</t>
  </si>
  <si>
    <r>
      <rPr>
        <rFont val="Arial"/>
        <color theme="1"/>
        <sz val="10.0"/>
      </rPr>
      <t>m</t>
    </r>
    <r>
      <rPr>
        <rFont val="Arial"/>
        <color theme="1"/>
        <sz val="10.0"/>
        <vertAlign val="superscript"/>
      </rPr>
      <t>2</t>
    </r>
  </si>
  <si>
    <t>Façade, à montants et traverses, Alu/Glas</t>
  </si>
  <si>
    <t>05.022</t>
  </si>
  <si>
    <t>Fassadenplatte, Aluverbund, 4 mm</t>
  </si>
  <si>
    <t>91.103</t>
  </si>
  <si>
    <t>Entsorgungsmix, Fassadenplatte, Aluverbund, 4 mm</t>
  </si>
  <si>
    <r>
      <rPr>
        <rFont val="Arial"/>
        <color rgb="FFFF0000"/>
        <sz val="10.0"/>
      </rPr>
      <t>m</t>
    </r>
    <r>
      <rPr>
        <rFont val="Arial"/>
        <color rgb="FFFF0000"/>
        <sz val="10.0"/>
        <vertAlign val="superscript"/>
      </rPr>
      <t>2</t>
    </r>
  </si>
  <si>
    <t>Panneau de façade, en aluminium, 4 mm</t>
  </si>
  <si>
    <t>05.023</t>
  </si>
  <si>
    <t>Fassadenplatte, Hochdrucklaminatplatte (HPL), 8.1 mm</t>
  </si>
  <si>
    <t>91.106</t>
  </si>
  <si>
    <t>Entsorgung, HPL-Fassadenplatten, in Kehrichtverbrennung</t>
  </si>
  <si>
    <r>
      <rPr>
        <rFont val="Arial"/>
        <color rgb="FFFF0000"/>
        <sz val="10.0"/>
      </rPr>
      <t>m</t>
    </r>
    <r>
      <rPr>
        <rFont val="Arial"/>
        <color rgb="FFFF0000"/>
        <sz val="10.0"/>
        <vertAlign val="superscript"/>
      </rPr>
      <t>2</t>
    </r>
  </si>
  <si>
    <t>Panneau de façade, stratifié (HPL), 8,1 mm</t>
  </si>
  <si>
    <t>05.025</t>
  </si>
  <si>
    <t>Fassadenplatte, Kalkstein, 30 mm</t>
  </si>
  <si>
    <r>
      <rPr>
        <rFont val="Arial"/>
        <color rgb="FFFF0000"/>
        <sz val="10.0"/>
      </rPr>
      <t>m</t>
    </r>
    <r>
      <rPr>
        <rFont val="Arial"/>
        <color rgb="FFFF0000"/>
        <sz val="10.0"/>
        <vertAlign val="superscript"/>
      </rPr>
      <t>2</t>
    </r>
  </si>
  <si>
    <t>Panneau de façade, calcaire, 30 mm</t>
  </si>
  <si>
    <t>05.024</t>
  </si>
  <si>
    <t>Fassadenplatte, Kunststoff glasfaserverstärkt (GFK), 1.6 mm</t>
  </si>
  <si>
    <t>91.071</t>
  </si>
  <si>
    <t xml:space="preserve">Entsorgung, glasfaserverstärkter Kunststoff (GFK), in Kehrichtverbrennung </t>
  </si>
  <si>
    <r>
      <rPr>
        <rFont val="Arial"/>
        <color rgb="FFFF0000"/>
        <sz val="10.0"/>
      </rPr>
      <t>m</t>
    </r>
    <r>
      <rPr>
        <rFont val="Arial"/>
        <color rgb="FFFF0000"/>
        <sz val="10.0"/>
        <vertAlign val="superscript"/>
      </rPr>
      <t>2</t>
    </r>
  </si>
  <si>
    <t>Panneau de façade, plastique à renfort de verre (PRV), 1,6 mm</t>
  </si>
  <si>
    <t>05.004</t>
  </si>
  <si>
    <t>Fensterrahmen Aluminium</t>
  </si>
  <si>
    <t>91.105</t>
  </si>
  <si>
    <t>Entsorgungsmix, Fensterrahmen Aluminium</t>
  </si>
  <si>
    <r>
      <rPr>
        <rFont val="Arial"/>
        <color theme="1"/>
        <sz val="10.0"/>
      </rPr>
      <t>m</t>
    </r>
    <r>
      <rPr>
        <rFont val="Arial"/>
        <color theme="1"/>
        <sz val="10.0"/>
        <vertAlign val="superscript"/>
      </rPr>
      <t>2</t>
    </r>
  </si>
  <si>
    <t>Cadre de fenêtre en aluminium</t>
  </si>
  <si>
    <t>05.004.01</t>
  </si>
  <si>
    <t>Fensterrahmen Aluminium, WICLINE 75evo</t>
  </si>
  <si>
    <t>91.105.01</t>
  </si>
  <si>
    <t>Entsorgungsmix, Fensterrahmen Aluminium, WICLINE 75evo</t>
  </si>
  <si>
    <r>
      <rPr>
        <rFont val="Arial"/>
        <color rgb="FFFF0000"/>
        <sz val="10.0"/>
      </rPr>
      <t>m</t>
    </r>
    <r>
      <rPr>
        <rFont val="Arial"/>
        <color rgb="FFFF0000"/>
        <sz val="10.0"/>
        <vertAlign val="superscript"/>
      </rPr>
      <t>2</t>
    </r>
  </si>
  <si>
    <t>Cadre de fenêtre en aluminium, WICLINE 75evo</t>
  </si>
  <si>
    <t>05.005</t>
  </si>
  <si>
    <t>Fensterrahmen Holz</t>
  </si>
  <si>
    <t>91.029</t>
  </si>
  <si>
    <t>Entsorgung, Gebäude, Fensterrahmen, Holz, in Beseitigung</t>
  </si>
  <si>
    <r>
      <rPr>
        <rFont val="Arial"/>
        <color theme="1"/>
        <sz val="10.0"/>
      </rPr>
      <t>m</t>
    </r>
    <r>
      <rPr>
        <rFont val="Arial"/>
        <color theme="1"/>
        <sz val="10.0"/>
        <vertAlign val="superscript"/>
      </rPr>
      <t>2</t>
    </r>
  </si>
  <si>
    <t>Cadre de fenêtre en bois</t>
  </si>
  <si>
    <t>05.006</t>
  </si>
  <si>
    <t>Fensterrahmen Holz-Aluminium</t>
  </si>
  <si>
    <t>91.030</t>
  </si>
  <si>
    <t>Entsorgung, Gebäude, Fensterrahmen, Holz-Metall, in Beseitigung</t>
  </si>
  <si>
    <r>
      <rPr>
        <rFont val="Arial"/>
        <color theme="1"/>
        <sz val="10.0"/>
      </rPr>
      <t>m</t>
    </r>
    <r>
      <rPr>
        <rFont val="Arial"/>
        <color theme="1"/>
        <sz val="10.0"/>
        <vertAlign val="superscript"/>
      </rPr>
      <t>2</t>
    </r>
  </si>
  <si>
    <t>Cadre de fenêtre bois-aluminium</t>
  </si>
  <si>
    <t>05.007</t>
  </si>
  <si>
    <t>Fensterrahmen Kunststoff/PVC</t>
  </si>
  <si>
    <t>91.031</t>
  </si>
  <si>
    <t>Entsorgung, Gebäude, Fensterrahmen, Plastik, in Beseitigung</t>
  </si>
  <si>
    <r>
      <rPr>
        <rFont val="Arial"/>
        <color theme="1"/>
        <sz val="10.0"/>
      </rPr>
      <t>m</t>
    </r>
    <r>
      <rPr>
        <rFont val="Arial"/>
        <color theme="1"/>
        <sz val="10.0"/>
        <vertAlign val="superscript"/>
      </rPr>
      <t>2</t>
    </r>
  </si>
  <si>
    <t>Cadre en matière synthétique (PVC)</t>
  </si>
  <si>
    <t>05.001</t>
  </si>
  <si>
    <r>
      <rPr>
        <rFont val="Arial"/>
        <color rgb="FFFF0000"/>
        <sz val="10.0"/>
      </rPr>
      <t>Isolierverglasung 2-fach, Ug-Wert 1.1 W/m</t>
    </r>
    <r>
      <rPr>
        <rFont val="Arial"/>
        <color rgb="FFFF0000"/>
        <sz val="10.0"/>
        <vertAlign val="superscript"/>
      </rPr>
      <t>2</t>
    </r>
    <r>
      <rPr>
        <rFont val="Arial"/>
        <color rgb="FFFF0000"/>
        <sz val="10.0"/>
      </rPr>
      <t>K, Dicke 24 mm</t>
    </r>
  </si>
  <si>
    <t>91.042</t>
  </si>
  <si>
    <t>Entsorgungsmix, Isolierverglasung 2-fach, Ug-Wert 1.1 W/m2K, Dicke 24 mm</t>
  </si>
  <si>
    <r>
      <rPr>
        <rFont val="Arial"/>
        <color theme="1"/>
        <sz val="10.0"/>
      </rPr>
      <t>m</t>
    </r>
    <r>
      <rPr>
        <rFont val="Arial"/>
        <color theme="1"/>
        <sz val="10.0"/>
        <vertAlign val="superscript"/>
      </rPr>
      <t>2</t>
    </r>
  </si>
  <si>
    <r>
      <rPr>
        <rFont val="Arial"/>
        <i/>
        <color rgb="FFFF0000"/>
        <sz val="10.0"/>
      </rPr>
      <t>Double vitrage, U&lt;1.1 W/m</t>
    </r>
    <r>
      <rPr>
        <rFont val="Arial"/>
        <i/>
        <color rgb="FFFF0000"/>
        <sz val="10.0"/>
        <vertAlign val="superscript"/>
      </rPr>
      <t>2</t>
    </r>
    <r>
      <rPr>
        <rFont val="Arial"/>
        <i/>
        <color rgb="FFFF0000"/>
        <sz val="10.0"/>
      </rPr>
      <t>K, épaisseur 24 mm</t>
    </r>
  </si>
  <si>
    <t>05.009</t>
  </si>
  <si>
    <r>
      <rPr>
        <rFont val="Arial"/>
        <color rgb="FFFF0000"/>
        <sz val="10.0"/>
      </rPr>
      <t>Isolierverglasung 2-fach, Ug-Wert 1.1 W/m</t>
    </r>
    <r>
      <rPr>
        <rFont val="Arial"/>
        <color rgb="FFFF0000"/>
        <sz val="10.0"/>
        <vertAlign val="superscript"/>
      </rPr>
      <t>2</t>
    </r>
    <r>
      <rPr>
        <rFont val="Arial"/>
        <color rgb="FFFF0000"/>
        <sz val="10.0"/>
      </rPr>
      <t>K, Dicke 18 mm</t>
    </r>
  </si>
  <si>
    <t>91.107</t>
  </si>
  <si>
    <t>Entsorgungsmix, Isolierverglasung 2-fach, Ug-Wert 1.1 W/m2K, Dicke 18 mm</t>
  </si>
  <si>
    <r>
      <rPr>
        <rFont val="Arial"/>
        <color rgb="FFFF0000"/>
        <sz val="10.0"/>
      </rPr>
      <t>m</t>
    </r>
    <r>
      <rPr>
        <rFont val="Arial"/>
        <color rgb="FFFF0000"/>
        <sz val="10.0"/>
        <vertAlign val="superscript"/>
      </rPr>
      <t>2</t>
    </r>
  </si>
  <si>
    <r>
      <rPr>
        <rFont val="Arial"/>
        <i/>
        <color rgb="FFFF0000"/>
        <sz val="10.0"/>
      </rPr>
      <t>Double vitrage, U&lt;1.1 W/m</t>
    </r>
    <r>
      <rPr>
        <rFont val="Arial"/>
        <i/>
        <color rgb="FFFF0000"/>
        <sz val="10.0"/>
        <vertAlign val="superscript"/>
      </rPr>
      <t>2</t>
    </r>
    <r>
      <rPr>
        <rFont val="Arial"/>
        <i/>
        <color rgb="FFFF0000"/>
        <sz val="10.0"/>
      </rPr>
      <t>K, épaisseur 18 mm</t>
    </r>
  </si>
  <si>
    <t>05.010</t>
  </si>
  <si>
    <r>
      <rPr>
        <rFont val="Arial"/>
        <color rgb="FFFF0000"/>
        <sz val="10.0"/>
      </rPr>
      <t>Isolierverglasung 2-fach, ESG, Ug-Wert 1.1 W/m</t>
    </r>
    <r>
      <rPr>
        <rFont val="Arial"/>
        <color rgb="FFFF0000"/>
        <sz val="10.0"/>
        <vertAlign val="superscript"/>
      </rPr>
      <t>2</t>
    </r>
    <r>
      <rPr>
        <rFont val="Arial"/>
        <color rgb="FFFF0000"/>
        <sz val="10.0"/>
      </rPr>
      <t>K</t>
    </r>
  </si>
  <si>
    <t>91.108</t>
  </si>
  <si>
    <t>Entsorgungsmix, Isolierverglasung 2-fach, ESG, Ug-Wert 1.1 W/m2K</t>
  </si>
  <si>
    <r>
      <rPr>
        <rFont val="Arial"/>
        <color rgb="FFFF0000"/>
        <sz val="10.0"/>
      </rPr>
      <t>m</t>
    </r>
    <r>
      <rPr>
        <rFont val="Arial"/>
        <color rgb="FFFF0000"/>
        <sz val="10.0"/>
        <vertAlign val="superscript"/>
      </rPr>
      <t>2</t>
    </r>
  </si>
  <si>
    <r>
      <rPr>
        <rFont val="Arial"/>
        <i/>
        <color rgb="FFFF0000"/>
        <sz val="10.0"/>
      </rPr>
      <t>Double vitrage, verre ESG, U&lt;1.1 W/m</t>
    </r>
    <r>
      <rPr>
        <rFont val="Arial"/>
        <i/>
        <color rgb="FFFF0000"/>
        <sz val="10.0"/>
        <vertAlign val="superscript"/>
      </rPr>
      <t>2</t>
    </r>
    <r>
      <rPr>
        <rFont val="Arial"/>
        <i/>
        <color rgb="FFFF0000"/>
        <sz val="10.0"/>
      </rPr>
      <t>K</t>
    </r>
  </si>
  <si>
    <t>05.002</t>
  </si>
  <si>
    <r>
      <rPr>
        <rFont val="Arial"/>
        <color rgb="FFFF0000"/>
        <sz val="10.0"/>
      </rPr>
      <t>Isolierverglasung 2-fach, VSG, Ug-Wert 1.1 W/m</t>
    </r>
    <r>
      <rPr>
        <rFont val="Arial"/>
        <color rgb="FFFF0000"/>
        <sz val="10.0"/>
        <vertAlign val="superscript"/>
      </rPr>
      <t>2</t>
    </r>
    <r>
      <rPr>
        <rFont val="Arial"/>
        <color rgb="FFFF0000"/>
        <sz val="10.0"/>
      </rPr>
      <t>K</t>
    </r>
  </si>
  <si>
    <t>91.043</t>
  </si>
  <si>
    <t>Entsorgungsmix, Isolierverglasung 2-fach, VSG, Ug-Wert 1.1 W/m2K</t>
  </si>
  <si>
    <r>
      <rPr>
        <rFont val="Arial"/>
        <color theme="1"/>
        <sz val="10.0"/>
      </rPr>
      <t>m</t>
    </r>
    <r>
      <rPr>
        <rFont val="Arial"/>
        <color theme="1"/>
        <sz val="10.0"/>
        <vertAlign val="superscript"/>
      </rPr>
      <t>2</t>
    </r>
  </si>
  <si>
    <r>
      <rPr>
        <rFont val="Arial"/>
        <i/>
        <color rgb="FFFF0000"/>
        <sz val="10.0"/>
      </rPr>
      <t>Double vitrage, verre VSG, U&lt;1.1 W/m</t>
    </r>
    <r>
      <rPr>
        <rFont val="Arial"/>
        <i/>
        <color rgb="FFFF0000"/>
        <sz val="10.0"/>
        <vertAlign val="superscript"/>
      </rPr>
      <t>2</t>
    </r>
    <r>
      <rPr>
        <rFont val="Arial"/>
        <i/>
        <color rgb="FFFF0000"/>
        <sz val="10.0"/>
      </rPr>
      <t>K</t>
    </r>
  </si>
  <si>
    <t>05.011</t>
  </si>
  <si>
    <r>
      <rPr>
        <rFont val="Arial"/>
        <color rgb="FFFF0000"/>
        <sz val="10.0"/>
      </rPr>
      <t>Isolierverglasung 2-fach, ESG/VSG, Ug-Wert 1.1 W/m</t>
    </r>
    <r>
      <rPr>
        <rFont val="Arial"/>
        <color rgb="FFFF0000"/>
        <sz val="10.0"/>
        <vertAlign val="superscript"/>
      </rPr>
      <t>2</t>
    </r>
    <r>
      <rPr>
        <rFont val="Arial"/>
        <color rgb="FFFF0000"/>
        <sz val="10.0"/>
      </rPr>
      <t>K</t>
    </r>
  </si>
  <si>
    <t>91.109</t>
  </si>
  <si>
    <t>Entsorgungsmix, Isolierverglasung 2-fach, ESG/VSG, Ug-Wert 1.1 W/m2K</t>
  </si>
  <si>
    <r>
      <rPr>
        <rFont val="Arial"/>
        <color rgb="FFFF0000"/>
        <sz val="10.0"/>
      </rPr>
      <t>m</t>
    </r>
    <r>
      <rPr>
        <rFont val="Arial"/>
        <color rgb="FFFF0000"/>
        <sz val="10.0"/>
        <vertAlign val="superscript"/>
      </rPr>
      <t>2</t>
    </r>
  </si>
  <si>
    <r>
      <rPr>
        <rFont val="Arial"/>
        <i/>
        <color rgb="FFFF0000"/>
        <sz val="10.0"/>
      </rPr>
      <t>Double vitrage, verre ESG/VSG, U&lt;1.1 W/m</t>
    </r>
    <r>
      <rPr>
        <rFont val="Arial"/>
        <i/>
        <color rgb="FFFF0000"/>
        <sz val="10.0"/>
        <vertAlign val="superscript"/>
      </rPr>
      <t>2</t>
    </r>
    <r>
      <rPr>
        <rFont val="Arial"/>
        <i/>
        <color rgb="FFFF0000"/>
        <sz val="10.0"/>
      </rPr>
      <t>K</t>
    </r>
  </si>
  <si>
    <t>05.003</t>
  </si>
  <si>
    <r>
      <rPr>
        <rFont val="Arial"/>
        <color rgb="FFFF0000"/>
        <sz val="10.0"/>
      </rPr>
      <t>Isolierverglasung 3-fach, Ug-Wert 0.5 W/m</t>
    </r>
    <r>
      <rPr>
        <rFont val="Arial"/>
        <color rgb="FFFF0000"/>
        <sz val="10.0"/>
        <vertAlign val="superscript"/>
      </rPr>
      <t>2</t>
    </r>
    <r>
      <rPr>
        <rFont val="Arial"/>
        <color rgb="FFFF0000"/>
        <sz val="10.0"/>
      </rPr>
      <t>K, Dicke 36 mm</t>
    </r>
  </si>
  <si>
    <t>91.044</t>
  </si>
  <si>
    <t>Entsorgungsmix, Isolierverglasung 3-fach, Ug-Wert 0.5 W/m2K, Dicke 36 mm</t>
  </si>
  <si>
    <r>
      <rPr>
        <rFont val="Arial"/>
        <color theme="1"/>
        <sz val="10.0"/>
      </rPr>
      <t>m</t>
    </r>
    <r>
      <rPr>
        <rFont val="Arial"/>
        <color theme="1"/>
        <sz val="10.0"/>
        <vertAlign val="superscript"/>
      </rPr>
      <t>2</t>
    </r>
  </si>
  <si>
    <r>
      <rPr>
        <rFont val="Arial"/>
        <i/>
        <color rgb="FFFF0000"/>
        <sz val="10.0"/>
      </rPr>
      <t>Triple vitrage, U&lt;0.5 W/m</t>
    </r>
    <r>
      <rPr>
        <rFont val="Arial"/>
        <i/>
        <color rgb="FFFF0000"/>
        <sz val="10.0"/>
        <vertAlign val="superscript"/>
      </rPr>
      <t>2</t>
    </r>
    <r>
      <rPr>
        <rFont val="Arial"/>
        <i/>
        <color rgb="FFFF0000"/>
        <sz val="10.0"/>
      </rPr>
      <t>K, épaisseur 36 mm</t>
    </r>
  </si>
  <si>
    <t>05.012</t>
  </si>
  <si>
    <r>
      <rPr>
        <rFont val="Arial"/>
        <color rgb="FFFF0000"/>
        <sz val="10.0"/>
      </rPr>
      <t>Isolierverglasung 3-fach, Ug-Wert 0.6 W/m</t>
    </r>
    <r>
      <rPr>
        <rFont val="Arial"/>
        <color rgb="FFFF0000"/>
        <sz val="10.0"/>
        <vertAlign val="superscript"/>
      </rPr>
      <t>2</t>
    </r>
    <r>
      <rPr>
        <rFont val="Arial"/>
        <color rgb="FFFF0000"/>
        <sz val="10.0"/>
      </rPr>
      <t>K, Dicke 40 mm</t>
    </r>
  </si>
  <si>
    <t>91.110</t>
  </si>
  <si>
    <t>Entsorgungsmix, Isolierverglasung 3-fach, Ug-Wert 0.6 W/m2K, Dicke 40 mm</t>
  </si>
  <si>
    <r>
      <rPr>
        <rFont val="Arial"/>
        <color rgb="FFFF0000"/>
        <sz val="10.0"/>
      </rPr>
      <t>m</t>
    </r>
    <r>
      <rPr>
        <rFont val="Arial"/>
        <color rgb="FFFF0000"/>
        <sz val="10.0"/>
        <vertAlign val="superscript"/>
      </rPr>
      <t>2</t>
    </r>
  </si>
  <si>
    <r>
      <rPr>
        <rFont val="Arial"/>
        <i/>
        <color rgb="FFFF0000"/>
        <sz val="10.0"/>
      </rPr>
      <t>Triple vitrage, U&lt;0.6 W/m</t>
    </r>
    <r>
      <rPr>
        <rFont val="Arial"/>
        <i/>
        <color rgb="FFFF0000"/>
        <sz val="10.0"/>
        <vertAlign val="superscript"/>
      </rPr>
      <t>2</t>
    </r>
    <r>
      <rPr>
        <rFont val="Arial"/>
        <i/>
        <color rgb="FFFF0000"/>
        <sz val="10.0"/>
      </rPr>
      <t>K, épaisseur 40 mm</t>
    </r>
  </si>
  <si>
    <t>05.013</t>
  </si>
  <si>
    <r>
      <rPr>
        <rFont val="Arial"/>
        <color rgb="FFFF0000"/>
        <sz val="10.0"/>
      </rPr>
      <t>Isolierverglasung 3-fach, ESG/ESG, Ug-Wert 0.6 W/m</t>
    </r>
    <r>
      <rPr>
        <rFont val="Arial"/>
        <color rgb="FFFF0000"/>
        <sz val="10.0"/>
        <vertAlign val="superscript"/>
      </rPr>
      <t>2</t>
    </r>
    <r>
      <rPr>
        <rFont val="Arial"/>
        <color rgb="FFFF0000"/>
        <sz val="10.0"/>
      </rPr>
      <t>K</t>
    </r>
  </si>
  <si>
    <t>91.111</t>
  </si>
  <si>
    <t>Entsorgungsmix, Isolierverglasung 3-fach, ESG/ESG, Ug-Wert 0.6 W/m2K</t>
  </si>
  <si>
    <r>
      <rPr>
        <rFont val="Arial"/>
        <color rgb="FFFF0000"/>
        <sz val="10.0"/>
      </rPr>
      <t>m</t>
    </r>
    <r>
      <rPr>
        <rFont val="Arial"/>
        <color rgb="FFFF0000"/>
        <sz val="10.0"/>
        <vertAlign val="superscript"/>
      </rPr>
      <t>2</t>
    </r>
  </si>
  <si>
    <r>
      <rPr>
        <rFont val="Arial"/>
        <i/>
        <color rgb="FFFF0000"/>
        <sz val="10.0"/>
      </rPr>
      <t>Triple vitrage, verre ESG/ESG, U&lt;0.6 W/m</t>
    </r>
    <r>
      <rPr>
        <rFont val="Arial"/>
        <i/>
        <color rgb="FFFF0000"/>
        <sz val="10.0"/>
        <vertAlign val="superscript"/>
      </rPr>
      <t>2</t>
    </r>
    <r>
      <rPr>
        <rFont val="Arial"/>
        <i/>
        <color rgb="FFFF0000"/>
        <sz val="10.0"/>
      </rPr>
      <t>K</t>
    </r>
  </si>
  <si>
    <t>05.014</t>
  </si>
  <si>
    <r>
      <rPr>
        <rFont val="Arial"/>
        <color rgb="FFFF0000"/>
        <sz val="10.0"/>
      </rPr>
      <t>Isolierverglasung 3-fach, ESG/ESG/ESG, Ug-Wert 0.6 W/m</t>
    </r>
    <r>
      <rPr>
        <rFont val="Arial"/>
        <color rgb="FFFF0000"/>
        <sz val="10.0"/>
        <vertAlign val="superscript"/>
      </rPr>
      <t>2</t>
    </r>
    <r>
      <rPr>
        <rFont val="Arial"/>
        <color rgb="FFFF0000"/>
        <sz val="10.0"/>
      </rPr>
      <t>K</t>
    </r>
  </si>
  <si>
    <t>91.112</t>
  </si>
  <si>
    <t>Entsorgungsmix, Isolierverglasung 3-fach, ESG/ESG/ESG, Ug-Wert 0.6 W/m2K</t>
  </si>
  <si>
    <r>
      <rPr>
        <rFont val="Arial"/>
        <color rgb="FFFF0000"/>
        <sz val="10.0"/>
      </rPr>
      <t>m</t>
    </r>
    <r>
      <rPr>
        <rFont val="Arial"/>
        <color rgb="FFFF0000"/>
        <sz val="10.0"/>
        <vertAlign val="superscript"/>
      </rPr>
      <t>2</t>
    </r>
  </si>
  <si>
    <r>
      <rPr>
        <rFont val="Arial"/>
        <i/>
        <color rgb="FFFF0000"/>
        <sz val="10.0"/>
      </rPr>
      <t>Triple vitrage, verre ESG/ESG/ESG, U&lt;0.6 W/m</t>
    </r>
    <r>
      <rPr>
        <rFont val="Arial"/>
        <i/>
        <color rgb="FFFF0000"/>
        <sz val="10.0"/>
        <vertAlign val="superscript"/>
      </rPr>
      <t>2</t>
    </r>
    <r>
      <rPr>
        <rFont val="Arial"/>
        <i/>
        <color rgb="FFFF0000"/>
        <sz val="10.0"/>
      </rPr>
      <t>K</t>
    </r>
  </si>
  <si>
    <t>05.015</t>
  </si>
  <si>
    <r>
      <rPr>
        <rFont val="Arial"/>
        <color rgb="FFFF0000"/>
        <sz val="10.0"/>
      </rPr>
      <t>Isolierverglasung 3-fach, VSG, Ug-Wert 0.6 W/m</t>
    </r>
    <r>
      <rPr>
        <rFont val="Arial"/>
        <color rgb="FFFF0000"/>
        <sz val="10.0"/>
        <vertAlign val="superscript"/>
      </rPr>
      <t>2</t>
    </r>
    <r>
      <rPr>
        <rFont val="Arial"/>
        <color rgb="FFFF0000"/>
        <sz val="10.0"/>
      </rPr>
      <t>K</t>
    </r>
  </si>
  <si>
    <t>91.113</t>
  </si>
  <si>
    <t>Entsorgungsmix, Isolierverglasung 3-fach, VSG, Ug-Wert 0.6 W/m2K</t>
  </si>
  <si>
    <r>
      <rPr>
        <rFont val="Arial"/>
        <color rgb="FFFF0000"/>
        <sz val="10.0"/>
      </rPr>
      <t>m</t>
    </r>
    <r>
      <rPr>
        <rFont val="Arial"/>
        <color rgb="FFFF0000"/>
        <sz val="10.0"/>
        <vertAlign val="superscript"/>
      </rPr>
      <t>2</t>
    </r>
  </si>
  <si>
    <r>
      <rPr>
        <rFont val="Arial"/>
        <i/>
        <color rgb="FFFF0000"/>
        <sz val="10.0"/>
      </rPr>
      <t>Triple vitrage, verre VSG, U&lt;0.6 W/m</t>
    </r>
    <r>
      <rPr>
        <rFont val="Arial"/>
        <i/>
        <color rgb="FFFF0000"/>
        <sz val="10.0"/>
        <vertAlign val="superscript"/>
      </rPr>
      <t>2</t>
    </r>
    <r>
      <rPr>
        <rFont val="Arial"/>
        <i/>
        <color rgb="FFFF0000"/>
        <sz val="10.0"/>
      </rPr>
      <t>K</t>
    </r>
  </si>
  <si>
    <t>05.016</t>
  </si>
  <si>
    <r>
      <rPr>
        <rFont val="Arial"/>
        <color rgb="FFFF0000"/>
        <sz val="10.0"/>
      </rPr>
      <t>Isolierverglasung 3-fach, ESG/VSG, Ug-Wert 0.6 W/m</t>
    </r>
    <r>
      <rPr>
        <rFont val="Arial"/>
        <color rgb="FFFF0000"/>
        <sz val="10.0"/>
        <vertAlign val="superscript"/>
      </rPr>
      <t>2</t>
    </r>
    <r>
      <rPr>
        <rFont val="Arial"/>
        <color rgb="FFFF0000"/>
        <sz val="10.0"/>
      </rPr>
      <t>K</t>
    </r>
  </si>
  <si>
    <t>91.114</t>
  </si>
  <si>
    <t>Entsorgungsmix, Isolierverglasung 3-fach, ESG/VSG, Ug-Wert 0.6 W/m2K</t>
  </si>
  <si>
    <r>
      <rPr>
        <rFont val="Arial"/>
        <color rgb="FFFF0000"/>
        <sz val="10.0"/>
      </rPr>
      <t>m</t>
    </r>
    <r>
      <rPr>
        <rFont val="Arial"/>
        <color rgb="FFFF0000"/>
        <sz val="10.0"/>
        <vertAlign val="superscript"/>
      </rPr>
      <t>2</t>
    </r>
  </si>
  <si>
    <r>
      <rPr>
        <rFont val="Arial"/>
        <i/>
        <color rgb="FFFF0000"/>
        <sz val="10.0"/>
      </rPr>
      <t>Triple vitrage, verre ESG/VSG, U&lt;0.6 W/m</t>
    </r>
    <r>
      <rPr>
        <rFont val="Arial"/>
        <i/>
        <color rgb="FFFF0000"/>
        <sz val="10.0"/>
        <vertAlign val="superscript"/>
      </rPr>
      <t>2</t>
    </r>
    <r>
      <rPr>
        <rFont val="Arial"/>
        <i/>
        <color rgb="FFFF0000"/>
        <sz val="10.0"/>
      </rPr>
      <t>K</t>
    </r>
  </si>
  <si>
    <t>05.020</t>
  </si>
  <si>
    <t>Putzträgerplatte kunstharzgebunden 13 mm</t>
  </si>
  <si>
    <t>91.116</t>
  </si>
  <si>
    <t>Entsorgungsmix, Putzträgerplatte kunstharzgebunden 13 mm</t>
  </si>
  <si>
    <r>
      <rPr>
        <rFont val="Arial"/>
        <color rgb="FFFF0000"/>
        <sz val="10.0"/>
      </rPr>
      <t>m</t>
    </r>
    <r>
      <rPr>
        <rFont val="Arial"/>
        <color rgb="FFFF0000"/>
        <sz val="10.0"/>
        <vertAlign val="superscript"/>
      </rPr>
      <t>2</t>
    </r>
  </si>
  <si>
    <t>Panneau de support de crépis, liant en résine synthétique, 13 mm</t>
  </si>
  <si>
    <t>05.021</t>
  </si>
  <si>
    <t>Putzträgerplatte mineralisch gebunden 12.5 mm</t>
  </si>
  <si>
    <t>91.117</t>
  </si>
  <si>
    <t>Entsorgungsmix, Putzträgerplatte mineralisch gebunden 12.5 mm</t>
  </si>
  <si>
    <r>
      <rPr>
        <rFont val="Arial"/>
        <color rgb="FFFF0000"/>
        <sz val="10.0"/>
      </rPr>
      <t>m</t>
    </r>
    <r>
      <rPr>
        <rFont val="Arial"/>
        <color rgb="FFFF0000"/>
        <sz val="10.0"/>
        <vertAlign val="superscript"/>
      </rPr>
      <t>2</t>
    </r>
  </si>
  <si>
    <t>Panneau de support de crépis, liant en matière minérale, 12,5 mm</t>
  </si>
  <si>
    <t>05.018</t>
  </si>
  <si>
    <t>Sonnenschutz, Ausstellstoren motorisiert</t>
  </si>
  <si>
    <t>91.104</t>
  </si>
  <si>
    <t>Entsorgungsmix, Sonnenschutz, Ausstellstoren motorisiert</t>
  </si>
  <si>
    <r>
      <rPr>
        <rFont val="Arial"/>
        <color rgb="FFFF0000"/>
        <sz val="10.0"/>
      </rPr>
      <t>m</t>
    </r>
    <r>
      <rPr>
        <rFont val="Arial"/>
        <color rgb="FFFF0000"/>
        <sz val="10.0"/>
        <vertAlign val="superscript"/>
      </rPr>
      <t>2</t>
    </r>
  </si>
  <si>
    <t>Protection solaire, stores à projection avec moteur</t>
  </si>
  <si>
    <t>05.017</t>
  </si>
  <si>
    <t>Sonnenschutz, Lamellenstoren motorisiert</t>
  </si>
  <si>
    <t>91.115</t>
  </si>
  <si>
    <t>Entsorgungsmix, Sonnenschutz, Lamellenstoren motorisiert</t>
  </si>
  <si>
    <r>
      <rPr>
        <rFont val="Arial"/>
        <color rgb="FFFF0000"/>
        <sz val="10.0"/>
      </rPr>
      <t>m</t>
    </r>
    <r>
      <rPr>
        <rFont val="Arial"/>
        <color rgb="FFFF0000"/>
        <sz val="10.0"/>
        <vertAlign val="superscript"/>
      </rPr>
      <t>2</t>
    </r>
  </si>
  <si>
    <t>Protection solaire, stores vénitiens avec moteur</t>
  </si>
  <si>
    <t>05.019</t>
  </si>
  <si>
    <t>Sonnenschutz, Rollladen motorisiert</t>
  </si>
  <si>
    <t>91.118</t>
  </si>
  <si>
    <t>Entsorgungsmix, Sonnenschutz, Rollladen motorisiert</t>
  </si>
  <si>
    <r>
      <rPr>
        <rFont val="Arial"/>
        <color rgb="FFFF0000"/>
        <sz val="10.0"/>
      </rPr>
      <t>m</t>
    </r>
    <r>
      <rPr>
        <rFont val="Arial"/>
        <color rgb="FFFF0000"/>
        <sz val="10.0"/>
        <vertAlign val="superscript"/>
      </rPr>
      <t>2</t>
    </r>
  </si>
  <si>
    <t>Protection solaire, contrevent sur enrouleur avec moteur</t>
  </si>
  <si>
    <r>
      <rPr>
        <rFont val="Arial"/>
        <b/>
        <color theme="1"/>
        <sz val="10.0"/>
      </rPr>
      <t>Bezugsgrössen:</t>
    </r>
    <r>
      <rPr>
        <rFont val="Arial"/>
        <color theme="1"/>
        <sz val="10.0"/>
      </rPr>
      <t xml:space="preserve"> Fassade: Glas- und Rahmenfläche; Fensterrahmen: Rahmenfläche; Isolierverglasung: Glasfläche; Sonnenschutz: Fensterlichtmass; </t>
    </r>
    <r>
      <rPr>
        <rFont val="Arial"/>
        <b/>
        <color theme="1"/>
        <sz val="10.0"/>
      </rPr>
      <t>Valeurs de référence:</t>
    </r>
    <r>
      <rPr>
        <rFont val="Arial"/>
        <color theme="1"/>
        <sz val="10.0"/>
      </rPr>
      <t xml:space="preserve"> façade: surface en verre et cadres; cadres de fenêtre; double vitrage: surface en verre; protection solaire: fenêtres</t>
    </r>
  </si>
  <si>
    <t>06</t>
  </si>
  <si>
    <t xml:space="preserve">Metallbaustoffe </t>
  </si>
  <si>
    <r>
      <rPr>
        <rFont val="Arial"/>
        <b/>
        <color theme="1"/>
        <sz val="10.0"/>
      </rPr>
      <t>kg/m</t>
    </r>
    <r>
      <rPr>
        <rFont val="Arial"/>
        <b/>
        <color theme="1"/>
        <sz val="10.0"/>
        <vertAlign val="superscript"/>
      </rPr>
      <t>3</t>
    </r>
  </si>
  <si>
    <t xml:space="preserve">Produits en métal </t>
  </si>
  <si>
    <t>06.001</t>
  </si>
  <si>
    <t>Aluminiumblech, blank</t>
  </si>
  <si>
    <t>Recycling</t>
  </si>
  <si>
    <t>Tôle d'aluminium, nue</t>
  </si>
  <si>
    <t>06.002</t>
  </si>
  <si>
    <t>Aluminiumprofil, blank</t>
  </si>
  <si>
    <t>Profil d'aluminium, nu</t>
  </si>
  <si>
    <t>06.002.01</t>
  </si>
  <si>
    <t>Aluminiumprofil, blank, 80% Recyclinganteil, WICONA</t>
  </si>
  <si>
    <t>Profil d'aluminium, nu, fraction recyclée 80%, WICONA</t>
  </si>
  <si>
    <t>06.003</t>
  </si>
  <si>
    <t>Armierungsstahl</t>
  </si>
  <si>
    <t>Acier d'armature</t>
  </si>
  <si>
    <t>06.014</t>
  </si>
  <si>
    <t>Blei</t>
  </si>
  <si>
    <t>Plomb</t>
  </si>
  <si>
    <t>06.004</t>
  </si>
  <si>
    <t>Chromnickelstahlblech 18/8 blank</t>
  </si>
  <si>
    <t>Tôle d'acier nickel-chrome 18/8, nue</t>
  </si>
  <si>
    <t>06.005</t>
  </si>
  <si>
    <t>Chromnickelstahlblech 18/8 verzinnt</t>
  </si>
  <si>
    <t>Tôle d'acier nickel-chrome étamée 18/8</t>
  </si>
  <si>
    <t>06.006</t>
  </si>
  <si>
    <t>Chromstahlblech blank</t>
  </si>
  <si>
    <t>Tôle d'acier chromé, nue</t>
  </si>
  <si>
    <t>06.007</t>
  </si>
  <si>
    <t>Chromstahlblech verzinnt</t>
  </si>
  <si>
    <t>Tôle d'acier chromé, étamée</t>
  </si>
  <si>
    <t>06.008</t>
  </si>
  <si>
    <t>Kupferblech, blank</t>
  </si>
  <si>
    <t>Tôle de cuivre, nue</t>
  </si>
  <si>
    <t>06.009</t>
  </si>
  <si>
    <t>Messing-/Baubronzeblech</t>
  </si>
  <si>
    <t>Tôle de laiton/bronze de construction</t>
  </si>
  <si>
    <t>06.010</t>
  </si>
  <si>
    <t>Stahlblech, blank</t>
  </si>
  <si>
    <t>Tôle d'acier nue</t>
  </si>
  <si>
    <t>06.011</t>
  </si>
  <si>
    <t>Stahlblech, verzinkt</t>
  </si>
  <si>
    <t>Tôle d'acier, zinguée</t>
  </si>
  <si>
    <t>06.012</t>
  </si>
  <si>
    <t>Stahlprofil, blank</t>
  </si>
  <si>
    <t>Profil en acier, nu</t>
  </si>
  <si>
    <t>06.013</t>
  </si>
  <si>
    <t>Titanzinkblech</t>
  </si>
  <si>
    <t>Tôle zinc-titane</t>
  </si>
  <si>
    <t>07</t>
  </si>
  <si>
    <t>Holz und Holzwerkstoffe</t>
  </si>
  <si>
    <r>
      <rPr>
        <rFont val="Arial"/>
        <b/>
        <color theme="1"/>
        <sz val="10.0"/>
      </rPr>
      <t>kg/m</t>
    </r>
    <r>
      <rPr>
        <rFont val="Arial"/>
        <b/>
        <color theme="1"/>
        <sz val="10.0"/>
        <vertAlign val="superscript"/>
      </rPr>
      <t>3</t>
    </r>
  </si>
  <si>
    <t>Bois et produits en bois</t>
  </si>
  <si>
    <t>07.001</t>
  </si>
  <si>
    <t>3-Schicht Massivholzplatte, PVAc-gebunden</t>
  </si>
  <si>
    <t>91.048</t>
  </si>
  <si>
    <t>Entsorgungsmix Dreischichtplatte</t>
  </si>
  <si>
    <t>Panneau de bois massif 3 couches, colle PVAc</t>
  </si>
  <si>
    <t>07.003</t>
  </si>
  <si>
    <t>Brettschichtholz, MF-gebunden, Feuchtbereich</t>
  </si>
  <si>
    <t>91.047</t>
  </si>
  <si>
    <t>Entsorgungsmix Brettschichtholz verleimt</t>
  </si>
  <si>
    <t>Bois lamellé-collé, colle MF, zone humide</t>
  </si>
  <si>
    <t>07.003.01</t>
  </si>
  <si>
    <t>Brettschichtholz, MF-gebunden, Feuchtbereich, Produktion Schweiz</t>
  </si>
  <si>
    <t>Bois lamellé-collé, colle MF, zone humide, production Suisse</t>
  </si>
  <si>
    <t>07.002</t>
  </si>
  <si>
    <t>Brettschichtholz, UF-gebunden, Trockenbereich</t>
  </si>
  <si>
    <t>Bois lamellé-collé, colle UF, zone sèche</t>
  </si>
  <si>
    <t>07.002.01</t>
  </si>
  <si>
    <t>Brettschichtholz, UF-gebunden, Trockenbereich, Produktion Schweiz</t>
  </si>
  <si>
    <t>Bois lamellé-collé, colle UF, zone sèche, production Suisse</t>
  </si>
  <si>
    <t>07.004</t>
  </si>
  <si>
    <t>Hartfaserplatte</t>
  </si>
  <si>
    <t>91.049</t>
  </si>
  <si>
    <t>Entsorgungsmix Faserplatte hart</t>
  </si>
  <si>
    <t>Panneau de particules dur</t>
  </si>
  <si>
    <t>07.005</t>
  </si>
  <si>
    <t>Holzwolle-Leichtbauplatte, zementgebunden</t>
  </si>
  <si>
    <t>91.033</t>
  </si>
  <si>
    <t>Entsorgung, Gebäude, Holzzementplatte, in Beseitigung</t>
  </si>
  <si>
    <t>Panneau de bois léger à paille de bois liée par du ciment</t>
  </si>
  <si>
    <t>07.008</t>
  </si>
  <si>
    <t>Massivholz Buche / Eiche, kammergetrocknet, gehobelt</t>
  </si>
  <si>
    <t>91.052</t>
  </si>
  <si>
    <t>Entsorgungsmix Schnittholz, Laubholz, luft-/kammergetrocknet</t>
  </si>
  <si>
    <t>Bois massif hêtre / chêne, séché en cellule, raboté</t>
  </si>
  <si>
    <t>07.008.01</t>
  </si>
  <si>
    <t>Massivholz Buche / Eiche, kammergetrocknet, gehobelt, Produktion Schweiz</t>
  </si>
  <si>
    <t>Bois massif hêtre / chêne, séché en cellule, raboté, production Suisse</t>
  </si>
  <si>
    <t>07.007</t>
  </si>
  <si>
    <t>Massivholz Buche / Eiche, kammergetrocknet, rau</t>
  </si>
  <si>
    <t>Bois massif hêtre, chêne, séché en cellule, brut</t>
  </si>
  <si>
    <t>07.007.01</t>
  </si>
  <si>
    <t>Massivholz Buche / Eiche, kammergetrocknet, rau, Produktion Schweiz</t>
  </si>
  <si>
    <t>Bois massif hêtre, chêne, séché en cellule, brut, production Suisse</t>
  </si>
  <si>
    <t>07.006</t>
  </si>
  <si>
    <t>Massivholz Buche / Eiche, luftgetrocknet, rau</t>
  </si>
  <si>
    <t>91.053</t>
  </si>
  <si>
    <t>Entsorgungsmix Schnittholz, Laubholz, luftgetrocknet</t>
  </si>
  <si>
    <t>Bois massif hêtre / chêne, séché à l'air, brut</t>
  </si>
  <si>
    <t>07.006.01</t>
  </si>
  <si>
    <t>Massivholz Buche / Eiche, luftgetrocknet, rau, Produktion Schweiz</t>
  </si>
  <si>
    <t>Bois massif hêtre / chêne, séché à l'air, brut, production Suisse</t>
  </si>
  <si>
    <t>07.011</t>
  </si>
  <si>
    <t>Massivholz Fichte / Tanne / Lärche, kammergetr., gehobelt</t>
  </si>
  <si>
    <t>91.054</t>
  </si>
  <si>
    <t>Entsorgungsmix Schnittholz, Nadelholz, kammergetrocknet</t>
  </si>
  <si>
    <t>Bois massif épicéa / sapin / mélèze, séché en cellule, raboté</t>
  </si>
  <si>
    <t>07.011.01</t>
  </si>
  <si>
    <t>Massivholz Fichte / Tanne / Lärche, kammergetr., gehobelt, Produktion Schweiz</t>
  </si>
  <si>
    <t>Bois massif épicéa / sapin / mélèze, séché en cellule, raboté, production Suisse</t>
  </si>
  <si>
    <t>07.011.02</t>
  </si>
  <si>
    <t>Massivholz Fichte / Tanne, kammergetr., Vollholzhaus holzpur</t>
  </si>
  <si>
    <t>91.054.01</t>
  </si>
  <si>
    <t>Entsorgungsmix Schnittholz, Nadelholz, kammergetrocknet, holzpur</t>
  </si>
  <si>
    <t>Bois massif épicéa / sapin, séché en cellule, holzpur</t>
  </si>
  <si>
    <t>07.010</t>
  </si>
  <si>
    <t>Massivholz Fichte / Tanne / Lärche, luftgetr., gehobelt</t>
  </si>
  <si>
    <t>91.055</t>
  </si>
  <si>
    <t>Entsorgungsmix Schnittholz, Nadelholz, luftgetrocknet</t>
  </si>
  <si>
    <t>Bois massif épicéa / sapin / mélèze, séché à l'air, raboté</t>
  </si>
  <si>
    <t>07.010.01</t>
  </si>
  <si>
    <t>Massivholz Fichte / Tanne / Lärche, luftgetr., gehobelt, Produktion Schweiz</t>
  </si>
  <si>
    <t>Bois massif épicéa / sapin / mélèze, séché à l'air, raboté, production Suisse</t>
  </si>
  <si>
    <t>07.009</t>
  </si>
  <si>
    <t>Massivholz Fichte / Tanne / Lärche, luftgetrocknet, rau</t>
  </si>
  <si>
    <t>Bois massif épicéa / sapin / mélèze, séché à l'air, brut</t>
  </si>
  <si>
    <t>07.009.01</t>
  </si>
  <si>
    <t>Massivholz Fichte / Tanne / Lärche, luftgetrocknet, rau, Produktion Schweiz</t>
  </si>
  <si>
    <t>Bois massif épicéa / sapin / mélèze, séché à l'air, brut, production Suisse</t>
  </si>
  <si>
    <t>07.012</t>
  </si>
  <si>
    <t>Mitteldichte Faserplatte (MDF), UF-gebunden</t>
  </si>
  <si>
    <t>91.050</t>
  </si>
  <si>
    <t>Entsorgungsmix Faserplatte mittlerer Dichte (MDF)</t>
  </si>
  <si>
    <t>Panneau de fibres à densité moyenne (MDF), colle UF</t>
  </si>
  <si>
    <t>07.013</t>
  </si>
  <si>
    <t>OSB Platte, PF-gebunden, Feuchtbereich</t>
  </si>
  <si>
    <t>91.056</t>
  </si>
  <si>
    <t>Entsorgungsmix Spanplatte, Aussenanwendung</t>
  </si>
  <si>
    <t>Panneau d'aggloméré type OSB, colle PF, zone humide</t>
  </si>
  <si>
    <t>07.015</t>
  </si>
  <si>
    <t>Spanplatte, PF-gebunden, Feuchtbereich</t>
  </si>
  <si>
    <t>Panneau de particules, colle PF, zone humide</t>
  </si>
  <si>
    <t>07.016</t>
  </si>
  <si>
    <t>Spanplatte, UF-gebunden, beschichtet, Trockenbereich</t>
  </si>
  <si>
    <t>91.057</t>
  </si>
  <si>
    <t>Entsorgungsmix Spanplatte, Innenanwendung</t>
  </si>
  <si>
    <t>Panneau de particules, colle UF, enduit, zone sèche</t>
  </si>
  <si>
    <t>07.014</t>
  </si>
  <si>
    <t>Spanplatte, UF-gebunden, Trockenbereich</t>
  </si>
  <si>
    <t>Panneau de particules, colle UF, zone sèche</t>
  </si>
  <si>
    <t>07.018</t>
  </si>
  <si>
    <t>Sperrholz/Multiplex, PF-gebunden, Feuchtbereich</t>
  </si>
  <si>
    <t>91.058</t>
  </si>
  <si>
    <t>Entsorgungsmix Sperrholz, Aussenanwendung</t>
  </si>
  <si>
    <t>Bois lamellé / multiplex, colle PF, zone humide</t>
  </si>
  <si>
    <t>07.017</t>
  </si>
  <si>
    <t>Sperrholz/Multiplex, UF-gebunden, Trockenbereich</t>
  </si>
  <si>
    <t>Bois lamellé / multiplex, colle UF, zone sèche</t>
  </si>
  <si>
    <t>08</t>
  </si>
  <si>
    <t>Klebstoffe und Fugendichtungsmassen</t>
  </si>
  <si>
    <r>
      <rPr>
        <rFont val="Arial"/>
        <b/>
        <color theme="1"/>
        <sz val="10.0"/>
      </rPr>
      <t>kg/m</t>
    </r>
    <r>
      <rPr>
        <rFont val="Arial"/>
        <b/>
        <color theme="1"/>
        <sz val="10.0"/>
        <vertAlign val="superscript"/>
      </rPr>
      <t>3</t>
    </r>
  </si>
  <si>
    <t>Colles et masses de jointoiement</t>
  </si>
  <si>
    <t>08.001</t>
  </si>
  <si>
    <t>2-Komponenten Klebstoff</t>
  </si>
  <si>
    <t>91.002</t>
  </si>
  <si>
    <t>Entsorgung, Bodenbelag, 2K-Fliessbelag Industrie (Epoxidharz), 2.25 mm</t>
  </si>
  <si>
    <t>Colle bicomposant</t>
  </si>
  <si>
    <t>08.002</t>
  </si>
  <si>
    <t>Heissbitumen</t>
  </si>
  <si>
    <t>91.027</t>
  </si>
  <si>
    <t>Entsorgung, Gebäude, Bitumenbahn, in Beseitigung</t>
  </si>
  <si>
    <t>Masse bitumeuse, chaude</t>
  </si>
  <si>
    <t>08.003</t>
  </si>
  <si>
    <t>Kautschukdichtungsmasse</t>
  </si>
  <si>
    <t>91.045</t>
  </si>
  <si>
    <t>Entsorgung, Gummi, unspezifisch, 0% Wasser, in Kehrichtverbrennung</t>
  </si>
  <si>
    <t>Masse de jointoiement en caoutchouc</t>
  </si>
  <si>
    <t>08.004</t>
  </si>
  <si>
    <t>Polysulfiddichtungsmasse</t>
  </si>
  <si>
    <t>Masse de jointoiement en polysulfide</t>
  </si>
  <si>
    <t>08.005</t>
  </si>
  <si>
    <t>Silicon-Fugenmasse</t>
  </si>
  <si>
    <t>Masse de jointoiement en silicone</t>
  </si>
  <si>
    <t>09</t>
  </si>
  <si>
    <t>Dichtungsbahnen und Schutzfolien</t>
  </si>
  <si>
    <r>
      <rPr>
        <rFont val="Arial"/>
        <b/>
        <color theme="1"/>
        <sz val="10.0"/>
      </rPr>
      <t>kg/m</t>
    </r>
    <r>
      <rPr>
        <rFont val="Arial"/>
        <b/>
        <color theme="1"/>
        <sz val="10.0"/>
        <vertAlign val="superscript"/>
      </rPr>
      <t>3</t>
    </r>
  </si>
  <si>
    <t xml:space="preserve">Lés d'étanchéité et feuilles de protection </t>
  </si>
  <si>
    <t>09.001</t>
  </si>
  <si>
    <t>Dampfbremse bituminös</t>
  </si>
  <si>
    <t>Barrière de vapeur bitumineuse</t>
  </si>
  <si>
    <t>09.002</t>
  </si>
  <si>
    <t>Dampfbremse Polyethylen (PE)</t>
  </si>
  <si>
    <t>91.037</t>
  </si>
  <si>
    <t>Entsorgung, Gebäude, PE-Dichtungsbahn, in Beseitigung</t>
  </si>
  <si>
    <t>Barrière de vapeur PE</t>
  </si>
  <si>
    <t>09.003</t>
  </si>
  <si>
    <t>Dichtungsbahn bituminös</t>
  </si>
  <si>
    <t>Lé d'étanchéité bitumineux</t>
  </si>
  <si>
    <t>09.003.01</t>
  </si>
  <si>
    <t>Bituminöse Dichtungsbahn, swissporBIKUTOP EP4</t>
  </si>
  <si>
    <t>Lé d'étanchéité bitumineux, swissporBIKUTOP EP4</t>
  </si>
  <si>
    <t>09.003.02</t>
  </si>
  <si>
    <t>Bituminöse Dichtungsbahn, 50% Recyclinganteil, swissporBIKUTOP ECO EP4</t>
  </si>
  <si>
    <t>Lé d'étanchéité bitumineux, fraction recyclée 50%, swissporBIKUTOP ECO EP4</t>
  </si>
  <si>
    <t>09.003.03</t>
  </si>
  <si>
    <t>Bituminöse Dichtungsbahn, swissporBIKUTOP EGV3</t>
  </si>
  <si>
    <t>Lé d'étanchéité bitumineux, swissporBIKUTOP EGV3</t>
  </si>
  <si>
    <t>09.003.04</t>
  </si>
  <si>
    <t>Bituminöse Dichtungsbahn, 50% Recyclinganteil, swissporBIKUTOP ECO EGV3</t>
  </si>
  <si>
    <t>Lé d'étanchéité bitumineux, fraction recyclée 50%, swissporBIKUTOP ECO EGV3</t>
  </si>
  <si>
    <t>09.003.05</t>
  </si>
  <si>
    <t>Bituminöse Dichtungsbahn, swissporBIKUTOP EGV3.5</t>
  </si>
  <si>
    <t>Lé d'étanchéité bitumineux, swissporBIKUTOP EGV3.5</t>
  </si>
  <si>
    <t>09.003.06</t>
  </si>
  <si>
    <t>Bituminöse Dichtungsbahn, 50% Recyclinganteil, swissporBIKUTOP ECO EGV3.5</t>
  </si>
  <si>
    <t>Lé d'étanchéité bitumineux, fraction recyclée 50%, swissporBIKUTOP ECO EGV3.5</t>
  </si>
  <si>
    <t>09.003.07</t>
  </si>
  <si>
    <t>Bituminöse Dichtungsbahn, swissporBIKUTOP EP5</t>
  </si>
  <si>
    <t>Lé d'étanchéité bitumineux, swissporBIKUTOP EP5</t>
  </si>
  <si>
    <t>09.003.08</t>
  </si>
  <si>
    <t>Bituminöse Dichtungsbahn, 50% Recyclinganteil, swissporBIKUTOP ECO EP5</t>
  </si>
  <si>
    <t>Lé d'étanchéité bitumineux, fraction recyclée 50%, swissporBIKUTOP ECO EP5</t>
  </si>
  <si>
    <t>09.003.09</t>
  </si>
  <si>
    <t>Bituminöse Dichtungsbahn, swissporBIKUTOP LL Vario</t>
  </si>
  <si>
    <t>Lé d'étanchéité bitumineux, swissporBIKUTOP LL Vario</t>
  </si>
  <si>
    <t>09.003.10</t>
  </si>
  <si>
    <t>Bituminöse Dichtungsbahn, 50% Recyclinganteil, swissporBIKUTOP ECO LL Vario</t>
  </si>
  <si>
    <t>Lé d'étanchéité bitumineux, fraction recyclée 50%, swissporBIKUTOP ECO LL Vario</t>
  </si>
  <si>
    <t>09.004</t>
  </si>
  <si>
    <t>Dichtungsbahn Gummi (EPDM)</t>
  </si>
  <si>
    <t>Lé d'étanchéité caoutchouc (EPDM)</t>
  </si>
  <si>
    <t>09.005</t>
  </si>
  <si>
    <t>Dichtungsbahn Polyolefin (FPO)</t>
  </si>
  <si>
    <t>91.038</t>
  </si>
  <si>
    <t>Entsorgung, Gebäude, Polyethylen/Polypropylen-Produkte, in Beseitigung</t>
  </si>
  <si>
    <t>Lé d'étanchéité polyoléfine (FPO)</t>
  </si>
  <si>
    <t>09.006</t>
  </si>
  <si>
    <t>Kraftpapier</t>
  </si>
  <si>
    <t>91.046</t>
  </si>
  <si>
    <t>Entsorgung, Papier, 11.2% Wasser, in Kehrichtverbrennung</t>
  </si>
  <si>
    <t>Papier Kraft</t>
  </si>
  <si>
    <t>09.007</t>
  </si>
  <si>
    <t>Polyethylenfolie (PE)</t>
  </si>
  <si>
    <t>Feuille de polyéthylène (PE)</t>
  </si>
  <si>
    <t>09.008</t>
  </si>
  <si>
    <t>Polyethylenvlies (PE)</t>
  </si>
  <si>
    <t>Voile de polyéthylène (PE)</t>
  </si>
  <si>
    <t>10</t>
  </si>
  <si>
    <t>Wärmedämmstoffe</t>
  </si>
  <si>
    <r>
      <rPr>
        <rFont val="Arial"/>
        <b/>
        <color theme="1"/>
        <sz val="10.0"/>
      </rPr>
      <t>kg/m</t>
    </r>
    <r>
      <rPr>
        <rFont val="Arial"/>
        <b/>
        <color theme="1"/>
        <sz val="10.0"/>
        <vertAlign val="superscript"/>
      </rPr>
      <t>3</t>
    </r>
  </si>
  <si>
    <t>Produits d'isolation thermique</t>
  </si>
  <si>
    <t>10.014</t>
  </si>
  <si>
    <t>Aerogel-Vlies</t>
  </si>
  <si>
    <t>91.119</t>
  </si>
  <si>
    <t>Entsorgungsmix, Aerogel-Vlies</t>
  </si>
  <si>
    <t>Fibres d'aérogel</t>
  </si>
  <si>
    <t>10.012</t>
  </si>
  <si>
    <t>Blähperlit</t>
  </si>
  <si>
    <t>91.036</t>
  </si>
  <si>
    <t>Entsorgung, Gebäude, Mineralwolle, in Beseitigung</t>
  </si>
  <si>
    <t>65-140</t>
  </si>
  <si>
    <t>Perlite expansée</t>
  </si>
  <si>
    <t>10.011</t>
  </si>
  <si>
    <t>Blähvermiculit</t>
  </si>
  <si>
    <t>Vermiculite expansée</t>
  </si>
  <si>
    <t>10.016</t>
  </si>
  <si>
    <t>Flachsfasern</t>
  </si>
  <si>
    <t>91.121</t>
  </si>
  <si>
    <t>Entsorgungsmix, Flachsfasern</t>
  </si>
  <si>
    <t>Isolation lin</t>
  </si>
  <si>
    <t>10.016.01</t>
  </si>
  <si>
    <t>Flachsfasern, MAGRIPOL, Premium</t>
  </si>
  <si>
    <t>Isolation lin, MAGRIPOL, Premium</t>
  </si>
  <si>
    <t>10.017</t>
  </si>
  <si>
    <t>Flachsfasern, feuerfest</t>
  </si>
  <si>
    <t>Isolation lin, résistant au feu</t>
  </si>
  <si>
    <t>10.017.01</t>
  </si>
  <si>
    <t>Flachsfasern, feuerfest, MAGRIPOL, Premium+</t>
  </si>
  <si>
    <t>Isolation lin, anti-feu, MAGRIPOL, Premium+</t>
  </si>
  <si>
    <t>10.001</t>
  </si>
  <si>
    <t>Glaswolle</t>
  </si>
  <si>
    <t>20-100</t>
  </si>
  <si>
    <t>Laine de verre</t>
  </si>
  <si>
    <t>10.001.01</t>
  </si>
  <si>
    <t>Glaswolle, Isover</t>
  </si>
  <si>
    <t>Laine de verre, Isover</t>
  </si>
  <si>
    <t>10.002</t>
  </si>
  <si>
    <t>Korkplatte</t>
  </si>
  <si>
    <t>91.041</t>
  </si>
  <si>
    <t>Entsorgung, Gebäude, Spanplatte, in Beseitigung</t>
  </si>
  <si>
    <t>Panneau en liège</t>
  </si>
  <si>
    <t>10.003</t>
  </si>
  <si>
    <t>Phenolharz (PF)</t>
  </si>
  <si>
    <t>91.040</t>
  </si>
  <si>
    <t>Entsorgung, Gebäude, PVC-Produkte, in Beseitigung</t>
  </si>
  <si>
    <t>Résine phénolique  (PF)</t>
  </si>
  <si>
    <t>10.004</t>
  </si>
  <si>
    <t>Polystyrol expandiert (EPS)</t>
  </si>
  <si>
    <t>91.028</t>
  </si>
  <si>
    <t>Entsorgung, Gebäude, EPS-Isolation flammgeschützt, in Beseitigung</t>
  </si>
  <si>
    <t>15-40</t>
  </si>
  <si>
    <t>Polystyrène expansé (EPS)</t>
  </si>
  <si>
    <t>10.005</t>
  </si>
  <si>
    <t>Polystyrol extrudiert (XPS)</t>
  </si>
  <si>
    <t>30-35</t>
  </si>
  <si>
    <t>Polystyrène extrudé (XPS)</t>
  </si>
  <si>
    <t>10.006</t>
  </si>
  <si>
    <t>Polyurethan (PUR/PIR)</t>
  </si>
  <si>
    <t>91.039</t>
  </si>
  <si>
    <t>Entsorgung, Gebäude, PUR-Schaum, in Beseitigung</t>
  </si>
  <si>
    <t>Polyuréthane (PUR/PIR)</t>
  </si>
  <si>
    <t>10.007</t>
  </si>
  <si>
    <t>Schaumglas</t>
  </si>
  <si>
    <t>100-165</t>
  </si>
  <si>
    <t>Verre cellulaire</t>
  </si>
  <si>
    <t>10.013</t>
  </si>
  <si>
    <t>Schaumglasschotter</t>
  </si>
  <si>
    <t>91.120</t>
  </si>
  <si>
    <t>Entsorgungsmix, Schaumglasschotter</t>
  </si>
  <si>
    <t>125-150</t>
  </si>
  <si>
    <t>Gravier de verre cellulaire</t>
  </si>
  <si>
    <t>10.013.01</t>
  </si>
  <si>
    <t>Schaumglasschotter, Misapor</t>
  </si>
  <si>
    <t>Gravier de verre cellulaire, Misapor</t>
  </si>
  <si>
    <t>10.008</t>
  </si>
  <si>
    <t>Steinwolle</t>
  </si>
  <si>
    <t>32-160</t>
  </si>
  <si>
    <t>Laine de roche</t>
  </si>
  <si>
    <t>10.008.01</t>
  </si>
  <si>
    <t>Steinwolle, Flumroc</t>
  </si>
  <si>
    <t>Laine de roche, Flumroc</t>
  </si>
  <si>
    <t>10.015</t>
  </si>
  <si>
    <t>Strohballenwand</t>
  </si>
  <si>
    <t>91.122</t>
  </si>
  <si>
    <t>Entsorgungsmix, Strohballenwand</t>
  </si>
  <si>
    <t>Mur en botte de paille</t>
  </si>
  <si>
    <t>10.009</t>
  </si>
  <si>
    <t>Weichfaserplatte</t>
  </si>
  <si>
    <t>91.051</t>
  </si>
  <si>
    <t>Entsorgungsmix Faserplatte weich</t>
  </si>
  <si>
    <t>Panneau de fibres mou</t>
  </si>
  <si>
    <t>10.009.01</t>
  </si>
  <si>
    <t>Weichfaserplatte, Pavatex</t>
  </si>
  <si>
    <t>Panneau de fibres mou, Pavatex</t>
  </si>
  <si>
    <t>10.010</t>
  </si>
  <si>
    <t>Zellulosefasern</t>
  </si>
  <si>
    <t>35-60</t>
  </si>
  <si>
    <t>Fibres de cellulose (soufflées)</t>
  </si>
  <si>
    <t>10.010.01</t>
  </si>
  <si>
    <t>Zellulosefasern, Isofloc</t>
  </si>
  <si>
    <t>Fibres de cellulose (soufflées), Isofloc</t>
  </si>
  <si>
    <t>11</t>
  </si>
  <si>
    <t>Bodenbeläge</t>
  </si>
  <si>
    <r>
      <rPr>
        <rFont val="Arial"/>
        <b/>
        <color theme="1"/>
        <sz val="10.0"/>
      </rPr>
      <t>kg/m</t>
    </r>
    <r>
      <rPr>
        <rFont val="Arial"/>
        <b/>
        <color theme="1"/>
        <sz val="10.0"/>
        <vertAlign val="superscript"/>
      </rPr>
      <t>2</t>
    </r>
  </si>
  <si>
    <t>Revêtements de sol</t>
  </si>
  <si>
    <t>11.001</t>
  </si>
  <si>
    <t>2K-Fliessbelag Industrie (Epoxidharz), 2.25 mm</t>
  </si>
  <si>
    <r>
      <rPr>
        <rFont val="Arial"/>
        <color theme="1"/>
        <sz val="10.0"/>
      </rPr>
      <t>m</t>
    </r>
    <r>
      <rPr>
        <rFont val="Arial"/>
        <color theme="1"/>
        <sz val="10.0"/>
        <vertAlign val="superscript"/>
      </rPr>
      <t>2</t>
    </r>
  </si>
  <si>
    <t>Revêtement coulé à 2 comp., industrie (résine époxy), 2,25 mm</t>
  </si>
  <si>
    <t>11.002</t>
  </si>
  <si>
    <t>2K-Fliessbelag Wohnen/Verwaltung (Epoxidharz, PU), 2 mm</t>
  </si>
  <si>
    <t>91.003</t>
  </si>
  <si>
    <t>Entsorgung, Bodenbelag, 2K-Fliessbelag Wohnen/Verwaltung (Epoxidharz, PU), 2 mm</t>
  </si>
  <si>
    <r>
      <rPr>
        <rFont val="Arial"/>
        <color theme="1"/>
        <sz val="10.0"/>
      </rPr>
      <t>m</t>
    </r>
    <r>
      <rPr>
        <rFont val="Arial"/>
        <color theme="1"/>
        <sz val="10.0"/>
        <vertAlign val="superscript"/>
      </rPr>
      <t>2</t>
    </r>
  </si>
  <si>
    <t>Revêtement coulé à 2 comp., habitation/admin. (résine époxy PU), 2 mm</t>
  </si>
  <si>
    <t>11.003</t>
  </si>
  <si>
    <t>Gummigranulat versiegelt, 7.5 mm</t>
  </si>
  <si>
    <t>91.004</t>
  </si>
  <si>
    <t>Entsorgung, Bodenbelag, Gummigranulat versiegelt, 7.5 mm</t>
  </si>
  <si>
    <r>
      <rPr>
        <rFont val="Arial"/>
        <color theme="1"/>
        <sz val="10.0"/>
      </rPr>
      <t>m</t>
    </r>
    <r>
      <rPr>
        <rFont val="Arial"/>
        <color theme="1"/>
        <sz val="10.0"/>
        <vertAlign val="superscript"/>
      </rPr>
      <t>2</t>
    </r>
  </si>
  <si>
    <t>Caouchouc granulé, vitrifié, 7,5 mm</t>
  </si>
  <si>
    <t>11.004</t>
  </si>
  <si>
    <t>Gussasphalt, 27.5 mm</t>
  </si>
  <si>
    <t>91.001</t>
  </si>
  <si>
    <t>Entsorgung, Asphalt, 0.1% Wasser, in Reaktordeponie</t>
  </si>
  <si>
    <r>
      <rPr>
        <rFont val="Arial"/>
        <color theme="1"/>
        <sz val="10.0"/>
      </rPr>
      <t>m</t>
    </r>
    <r>
      <rPr>
        <rFont val="Arial"/>
        <color theme="1"/>
        <sz val="10.0"/>
        <vertAlign val="superscript"/>
      </rPr>
      <t>2</t>
    </r>
  </si>
  <si>
    <t>Asphalte coulé, 27,5 mm</t>
  </si>
  <si>
    <t>11.005</t>
  </si>
  <si>
    <t>Hartbeton einschichtig, 27.5 mm</t>
  </si>
  <si>
    <t>91.005</t>
  </si>
  <si>
    <t>Entsorgung, Bodenbelag, Hartbeton einschichtig, 27.5 mm</t>
  </si>
  <si>
    <r>
      <rPr>
        <rFont val="Arial"/>
        <color theme="1"/>
        <sz val="10.0"/>
      </rPr>
      <t>m</t>
    </r>
    <r>
      <rPr>
        <rFont val="Arial"/>
        <color theme="1"/>
        <sz val="10.0"/>
        <vertAlign val="superscript"/>
      </rPr>
      <t>2</t>
    </r>
  </si>
  <si>
    <t>Béton dur, 1 couche, 27,5 mm</t>
  </si>
  <si>
    <t>11.006</t>
  </si>
  <si>
    <t>Hartbeton zweischichtig, 35 mm</t>
  </si>
  <si>
    <t>91.006</t>
  </si>
  <si>
    <t>Entsorgung, Bodenbelag, Hartbeton zweischichtig, 35 mm</t>
  </si>
  <si>
    <r>
      <rPr>
        <rFont val="Arial"/>
        <color theme="1"/>
        <sz val="10.0"/>
      </rPr>
      <t>m</t>
    </r>
    <r>
      <rPr>
        <rFont val="Arial"/>
        <color theme="1"/>
        <sz val="10.0"/>
        <vertAlign val="superscript"/>
      </rPr>
      <t>2</t>
    </r>
  </si>
  <si>
    <t>Béton dur, 2 couches, 35 mm</t>
  </si>
  <si>
    <t>11.007</t>
  </si>
  <si>
    <t>Kautschuk, 2 mm</t>
  </si>
  <si>
    <t>91.007</t>
  </si>
  <si>
    <t>Entsorgung, Bodenbelag, Kautschuk, 2mm</t>
  </si>
  <si>
    <r>
      <rPr>
        <rFont val="Arial"/>
        <color theme="1"/>
        <sz val="10.0"/>
      </rPr>
      <t>m</t>
    </r>
    <r>
      <rPr>
        <rFont val="Arial"/>
        <color theme="1"/>
        <sz val="10.0"/>
        <vertAlign val="superscript"/>
      </rPr>
      <t>2</t>
    </r>
  </si>
  <si>
    <t>Caouchouc, 2 mm</t>
  </si>
  <si>
    <t>11.008</t>
  </si>
  <si>
    <t>Keramik-/Steinzeugplatte, 9 mm</t>
  </si>
  <si>
    <r>
      <rPr>
        <rFont val="Arial"/>
        <color theme="1"/>
        <sz val="10.0"/>
      </rPr>
      <t>m</t>
    </r>
    <r>
      <rPr>
        <rFont val="Arial"/>
        <color theme="1"/>
        <sz val="10.0"/>
        <vertAlign val="superscript"/>
      </rPr>
      <t>2</t>
    </r>
  </si>
  <si>
    <t>Dalle en céramique/grès, 9 mm</t>
  </si>
  <si>
    <t>11.009</t>
  </si>
  <si>
    <t>Kork Fertigparkett, 10.5 mm</t>
  </si>
  <si>
    <t>91.008</t>
  </si>
  <si>
    <t>Entsorgung, Bodenbelag, Kork Fertigparkett, 10.5 mm</t>
  </si>
  <si>
    <r>
      <rPr>
        <rFont val="Arial"/>
        <color theme="1"/>
        <sz val="10.0"/>
      </rPr>
      <t>m</t>
    </r>
    <r>
      <rPr>
        <rFont val="Arial"/>
        <color theme="1"/>
        <sz val="10.0"/>
        <vertAlign val="superscript"/>
      </rPr>
      <t>2</t>
    </r>
  </si>
  <si>
    <t>Parquet préfabriqué en liège, 10,5 mm</t>
  </si>
  <si>
    <t>11.010</t>
  </si>
  <si>
    <t>Kork PVC-beschichtet, 3.2 mm</t>
  </si>
  <si>
    <t>91.009</t>
  </si>
  <si>
    <t>Entsorgung, Bodenbelag, Kork PVC-beschichtet, 3.2 mm</t>
  </si>
  <si>
    <r>
      <rPr>
        <rFont val="Arial"/>
        <color theme="1"/>
        <sz val="10.0"/>
      </rPr>
      <t>m</t>
    </r>
    <r>
      <rPr>
        <rFont val="Arial"/>
        <color theme="1"/>
        <sz val="10.0"/>
        <vertAlign val="superscript"/>
      </rPr>
      <t>2</t>
    </r>
  </si>
  <si>
    <t xml:space="preserve">Parquet en liège, revêtement PVC, 3,2 mm </t>
  </si>
  <si>
    <t>11.011</t>
  </si>
  <si>
    <t>Korkparkett geölt/versiegelt, 5.3 mm</t>
  </si>
  <si>
    <t>91.010</t>
  </si>
  <si>
    <t>Entsorgung, Bodenbelag, Korkparkett geölt/versiegelt, 5.3 mm</t>
  </si>
  <si>
    <r>
      <rPr>
        <rFont val="Arial"/>
        <color theme="1"/>
        <sz val="10.0"/>
      </rPr>
      <t>m</t>
    </r>
    <r>
      <rPr>
        <rFont val="Arial"/>
        <color theme="1"/>
        <sz val="10.0"/>
        <vertAlign val="superscript"/>
      </rPr>
      <t>2</t>
    </r>
  </si>
  <si>
    <t xml:space="preserve">Parquet en liège, huilé et vitrifié, 5,3 mm </t>
  </si>
  <si>
    <t>11.012</t>
  </si>
  <si>
    <t>Kunststeinplatte zementgebunden, 10 mm</t>
  </si>
  <si>
    <r>
      <rPr>
        <rFont val="Arial"/>
        <color theme="1"/>
        <sz val="10.0"/>
      </rPr>
      <t>m</t>
    </r>
    <r>
      <rPr>
        <rFont val="Arial"/>
        <color theme="1"/>
        <sz val="10.0"/>
        <vertAlign val="superscript"/>
      </rPr>
      <t>2</t>
    </r>
  </si>
  <si>
    <t>Dalle en pierre artificielle, liée au ciment, 10 mm</t>
  </si>
  <si>
    <t>11.013</t>
  </si>
  <si>
    <t>Laminat, 8.5 mm</t>
  </si>
  <si>
    <t>91.011</t>
  </si>
  <si>
    <t>Entsorgung, Bodenbelag, Laminat, 8.5 mm</t>
  </si>
  <si>
    <r>
      <rPr>
        <rFont val="Arial"/>
        <color theme="1"/>
        <sz val="10.0"/>
      </rPr>
      <t>m</t>
    </r>
    <r>
      <rPr>
        <rFont val="Arial"/>
        <color theme="1"/>
        <sz val="10.0"/>
        <vertAlign val="superscript"/>
      </rPr>
      <t>2</t>
    </r>
  </si>
  <si>
    <t>Stratifiés, 8,5 mm</t>
  </si>
  <si>
    <t>11.014</t>
  </si>
  <si>
    <t>Linoleum, 2.5 mm</t>
  </si>
  <si>
    <t>91.012</t>
  </si>
  <si>
    <t>Entsorgung, Bodenbelag, Linoleum, 2.5 mm</t>
  </si>
  <si>
    <r>
      <rPr>
        <rFont val="Arial"/>
        <color theme="1"/>
        <sz val="10.0"/>
      </rPr>
      <t>m</t>
    </r>
    <r>
      <rPr>
        <rFont val="Arial"/>
        <color theme="1"/>
        <sz val="10.0"/>
        <vertAlign val="superscript"/>
      </rPr>
      <t>2</t>
    </r>
  </si>
  <si>
    <t>Linoléum, 2,5 mm</t>
  </si>
  <si>
    <t>11.015</t>
  </si>
  <si>
    <t>Natursteinplatte geschliffen, 15 mm</t>
  </si>
  <si>
    <r>
      <rPr>
        <rFont val="Arial"/>
        <color rgb="FFFF0000"/>
        <sz val="10.0"/>
      </rPr>
      <t>m</t>
    </r>
    <r>
      <rPr>
        <rFont val="Arial"/>
        <color rgb="FFFF0000"/>
        <sz val="10.0"/>
        <vertAlign val="superscript"/>
      </rPr>
      <t>2</t>
    </r>
  </si>
  <si>
    <t>Dalle en pierre naturelle rectifiée, 15 mm</t>
  </si>
  <si>
    <t>11.015.01</t>
  </si>
  <si>
    <t>Natursteinplatte geschliffen, Europa, 15 mm</t>
  </si>
  <si>
    <r>
      <rPr>
        <rFont val="Arial"/>
        <color rgb="FFFF0000"/>
        <sz val="10.0"/>
      </rPr>
      <t>m</t>
    </r>
    <r>
      <rPr>
        <rFont val="Arial"/>
        <color rgb="FFFF0000"/>
        <sz val="10.0"/>
        <vertAlign val="superscript"/>
      </rPr>
      <t>2</t>
    </r>
  </si>
  <si>
    <t>Dalle en pierre naturelle rectifiée, Europe, 15 mm</t>
  </si>
  <si>
    <t>11.015.02</t>
  </si>
  <si>
    <t>Natursteinplatte geschliffen, Schweiz, 15 mm</t>
  </si>
  <si>
    <r>
      <rPr>
        <rFont val="Arial"/>
        <color rgb="FFFF0000"/>
        <sz val="10.0"/>
      </rPr>
      <t>m</t>
    </r>
    <r>
      <rPr>
        <rFont val="Arial"/>
        <color rgb="FFFF0000"/>
        <sz val="10.0"/>
        <vertAlign val="superscript"/>
      </rPr>
      <t>2</t>
    </r>
  </si>
  <si>
    <t>Dalle en pierre naturelle rectifiée, Suisse, 15 mm</t>
  </si>
  <si>
    <t>11.015.03</t>
  </si>
  <si>
    <t>Natursteinplatte geschliffen, Übersee, 15 mm</t>
  </si>
  <si>
    <r>
      <rPr>
        <rFont val="Arial"/>
        <color rgb="FFFF0000"/>
        <sz val="10.0"/>
      </rPr>
      <t>m</t>
    </r>
    <r>
      <rPr>
        <rFont val="Arial"/>
        <color rgb="FFFF0000"/>
        <sz val="10.0"/>
        <vertAlign val="superscript"/>
      </rPr>
      <t>2</t>
    </r>
  </si>
  <si>
    <t>Dalle en pierre naturelle rectifiée, d'outre-mer, 15 mm</t>
  </si>
  <si>
    <t>11.016</t>
  </si>
  <si>
    <t>Natursteinplatte geschnitten, 15 mm</t>
  </si>
  <si>
    <r>
      <rPr>
        <rFont val="Arial"/>
        <color rgb="FFFF0000"/>
        <sz val="10.0"/>
      </rPr>
      <t>m</t>
    </r>
    <r>
      <rPr>
        <rFont val="Arial"/>
        <color rgb="FFFF0000"/>
        <sz val="10.0"/>
        <vertAlign val="superscript"/>
      </rPr>
      <t>2</t>
    </r>
  </si>
  <si>
    <t>Dalle en pierre naturelle coupée, 15 mm</t>
  </si>
  <si>
    <t>11.017</t>
  </si>
  <si>
    <t>Natursteinplatte poliert, 15 mm</t>
  </si>
  <si>
    <r>
      <rPr>
        <rFont val="Arial"/>
        <color rgb="FFFF0000"/>
        <sz val="10.0"/>
      </rPr>
      <t>m</t>
    </r>
    <r>
      <rPr>
        <rFont val="Arial"/>
        <color rgb="FFFF0000"/>
        <sz val="10.0"/>
        <vertAlign val="superscript"/>
      </rPr>
      <t>2</t>
    </r>
  </si>
  <si>
    <t>Dalle en pierre naturelle polie, 15 mm</t>
  </si>
  <si>
    <t>11.018</t>
  </si>
  <si>
    <t>Parkett 2-Schicht werkversiegelt, 11 mm</t>
  </si>
  <si>
    <t>91.013</t>
  </si>
  <si>
    <t>Entsorgung, Bodenbelag, Parkett 2-Schicht werkversiegelt, 11 mm</t>
  </si>
  <si>
    <r>
      <rPr>
        <rFont val="Arial"/>
        <color theme="1"/>
        <sz val="10.0"/>
      </rPr>
      <t>m</t>
    </r>
    <r>
      <rPr>
        <rFont val="Arial"/>
        <color theme="1"/>
        <sz val="10.0"/>
        <vertAlign val="superscript"/>
      </rPr>
      <t>2</t>
    </r>
  </si>
  <si>
    <t>Parquet, 2 plis, vitrifié d'usine, 11 mm</t>
  </si>
  <si>
    <t>11.019</t>
  </si>
  <si>
    <t>Parkett 3-Schicht werkversiegelt, 15 mm</t>
  </si>
  <si>
    <t>91.014</t>
  </si>
  <si>
    <t>Entsorgung, Bodenbelag, Parkett 3-Schicht werkversiegelt, 15 mm</t>
  </si>
  <si>
    <r>
      <rPr>
        <rFont val="Arial"/>
        <color theme="1"/>
        <sz val="10.0"/>
      </rPr>
      <t>m</t>
    </r>
    <r>
      <rPr>
        <rFont val="Arial"/>
        <color theme="1"/>
        <sz val="10.0"/>
        <vertAlign val="superscript"/>
      </rPr>
      <t>2</t>
    </r>
  </si>
  <si>
    <t>Parquet, 3 plis, vitrifié d'usine, 15 mm</t>
  </si>
  <si>
    <t>11.020</t>
  </si>
  <si>
    <t>Parkett Mosaik werkversiegelt, 8 mm</t>
  </si>
  <si>
    <t>91.015</t>
  </si>
  <si>
    <t>Entsorgung, Bodenbelag, Parkett Mosaik werkversiegelt, 8 mm</t>
  </si>
  <si>
    <r>
      <rPr>
        <rFont val="Arial"/>
        <color theme="1"/>
        <sz val="10.0"/>
      </rPr>
      <t>m</t>
    </r>
    <r>
      <rPr>
        <rFont val="Arial"/>
        <color theme="1"/>
        <sz val="10.0"/>
        <vertAlign val="superscript"/>
      </rPr>
      <t>2</t>
    </r>
  </si>
  <si>
    <t>Parquet type mosaïque, vitrifié d'usine, 8 mm</t>
  </si>
  <si>
    <t>11.021</t>
  </si>
  <si>
    <t>PVC homogen, 2 mm</t>
  </si>
  <si>
    <t>91.016</t>
  </si>
  <si>
    <t>Entsorgung, Bodenbelag, PVC homogen, 2 mm</t>
  </si>
  <si>
    <r>
      <rPr>
        <rFont val="Arial"/>
        <color theme="1"/>
        <sz val="10.0"/>
      </rPr>
      <t>m</t>
    </r>
    <r>
      <rPr>
        <rFont val="Arial"/>
        <color theme="1"/>
        <sz val="10.0"/>
        <vertAlign val="superscript"/>
      </rPr>
      <t>2</t>
    </r>
  </si>
  <si>
    <t>PVC homogène, 2 mm</t>
  </si>
  <si>
    <t>11.022</t>
  </si>
  <si>
    <t>Steinholz versiegelt, 16.5 mm</t>
  </si>
  <si>
    <t>91.017</t>
  </si>
  <si>
    <t>Entsorgung, Bodenbelag, Steinholz versiegelt, 16.5 mm</t>
  </si>
  <si>
    <r>
      <rPr>
        <rFont val="Arial"/>
        <color theme="1"/>
        <sz val="10.0"/>
      </rPr>
      <t>m</t>
    </r>
    <r>
      <rPr>
        <rFont val="Arial"/>
        <color theme="1"/>
        <sz val="10.0"/>
        <vertAlign val="superscript"/>
      </rPr>
      <t>2</t>
    </r>
  </si>
  <si>
    <t>Xylolithe, vitrifié, 16.5 mm</t>
  </si>
  <si>
    <t>11.023</t>
  </si>
  <si>
    <t>Synthetische thermoplastische Beläge (TPO), 2 mm</t>
  </si>
  <si>
    <t>91.018</t>
  </si>
  <si>
    <t>Entsorgung, Bodenbelag, Synthetische thermoplastische Beläge (TPO), 2 mm</t>
  </si>
  <si>
    <r>
      <rPr>
        <rFont val="Arial"/>
        <color theme="1"/>
        <sz val="10.0"/>
      </rPr>
      <t>m</t>
    </r>
    <r>
      <rPr>
        <rFont val="Arial"/>
        <color theme="1"/>
        <sz val="10.0"/>
        <vertAlign val="superscript"/>
      </rPr>
      <t>2</t>
    </r>
  </si>
  <si>
    <t>Revêtements synthétiques, thermoplastiques (POT), 2 mm</t>
  </si>
  <si>
    <t>11.024</t>
  </si>
  <si>
    <t>Teppich Kunstfaser getuftet</t>
  </si>
  <si>
    <t>91.019</t>
  </si>
  <si>
    <t>Entsorgung, Bodenbelag, Teppich Kunstfaser getuftet</t>
  </si>
  <si>
    <r>
      <rPr>
        <rFont val="Arial"/>
        <color theme="1"/>
        <sz val="10.0"/>
      </rPr>
      <t>m</t>
    </r>
    <r>
      <rPr>
        <rFont val="Arial"/>
        <color theme="1"/>
        <sz val="10.0"/>
        <vertAlign val="superscript"/>
      </rPr>
      <t>2</t>
    </r>
  </si>
  <si>
    <t>Moquette en fibres synthétiques, tuftée</t>
  </si>
  <si>
    <t>11.025</t>
  </si>
  <si>
    <t>Teppich Nadelfilz</t>
  </si>
  <si>
    <t>91.020</t>
  </si>
  <si>
    <t>Entsorgung, Bodenbelag, Teppich Nadelfilz</t>
  </si>
  <si>
    <r>
      <rPr>
        <rFont val="Arial"/>
        <color theme="1"/>
        <sz val="10.0"/>
      </rPr>
      <t>m</t>
    </r>
    <r>
      <rPr>
        <rFont val="Arial"/>
        <color theme="1"/>
        <sz val="10.0"/>
        <vertAlign val="superscript"/>
      </rPr>
      <t>2</t>
    </r>
  </si>
  <si>
    <t>Moquette en feutre aiguilleté</t>
  </si>
  <si>
    <t>11.026</t>
  </si>
  <si>
    <t>Teppich Naturfaser</t>
  </si>
  <si>
    <t>91.021</t>
  </si>
  <si>
    <t>Entsorgung, Bodenbelag, Teppich Naturfaser</t>
  </si>
  <si>
    <r>
      <rPr>
        <rFont val="Arial"/>
        <color theme="1"/>
        <sz val="10.0"/>
      </rPr>
      <t>m</t>
    </r>
    <r>
      <rPr>
        <rFont val="Arial"/>
        <color theme="1"/>
        <sz val="10.0"/>
        <vertAlign val="superscript"/>
      </rPr>
      <t>2</t>
    </r>
  </si>
  <si>
    <t>Moquette en fibres naturelles</t>
  </si>
  <si>
    <t>11.027</t>
  </si>
  <si>
    <t>Terrazzo versiegelt, 40 mm</t>
  </si>
  <si>
    <t>91.022</t>
  </si>
  <si>
    <t>Entsorgung, Bodenbelag, Terrazzo versiegelt, 40 mm</t>
  </si>
  <si>
    <r>
      <rPr>
        <rFont val="Arial"/>
        <color theme="1"/>
        <sz val="10.0"/>
      </rPr>
      <t>m</t>
    </r>
    <r>
      <rPr>
        <rFont val="Arial"/>
        <color theme="1"/>
        <sz val="10.0"/>
        <vertAlign val="superscript"/>
      </rPr>
      <t>2</t>
    </r>
  </si>
  <si>
    <t>Terrazzo vitrifié, 40 mm</t>
  </si>
  <si>
    <t>12</t>
  </si>
  <si>
    <t>Türen</t>
  </si>
  <si>
    <t>Portes</t>
  </si>
  <si>
    <t>12.001</t>
  </si>
  <si>
    <t>Aussentüre, Holz, aluminiumbeplankt</t>
  </si>
  <si>
    <t>91.024</t>
  </si>
  <si>
    <t>Entsorgung, Gebäude, Aussentüre, Holz-Aluminium, in Beseitigung</t>
  </si>
  <si>
    <r>
      <rPr>
        <rFont val="Arial"/>
        <color theme="1"/>
        <sz val="10.0"/>
      </rPr>
      <t>m</t>
    </r>
    <r>
      <rPr>
        <rFont val="Arial"/>
        <color theme="1"/>
        <sz val="10.0"/>
        <vertAlign val="superscript"/>
      </rPr>
      <t>2</t>
    </r>
  </si>
  <si>
    <t xml:space="preserve">Portes extérieures bois, doublées alu </t>
  </si>
  <si>
    <t>12.002</t>
  </si>
  <si>
    <t>Aussentüre, Holz, Glaseinsatz</t>
  </si>
  <si>
    <t>91.025</t>
  </si>
  <si>
    <t>Entsorgung, Gebäude, Aussentüre, Holz-Glas, in Beseitigung</t>
  </si>
  <si>
    <r>
      <rPr>
        <rFont val="Arial"/>
        <color theme="1"/>
        <sz val="10.0"/>
      </rPr>
      <t>m</t>
    </r>
    <r>
      <rPr>
        <rFont val="Arial"/>
        <color theme="1"/>
        <sz val="10.0"/>
        <vertAlign val="superscript"/>
      </rPr>
      <t>2</t>
    </r>
  </si>
  <si>
    <t>Portes extérieures bois, avec vitrage</t>
  </si>
  <si>
    <t>12.003</t>
  </si>
  <si>
    <t>Innentüre, Holz</t>
  </si>
  <si>
    <t>91.035</t>
  </si>
  <si>
    <t>Entsorgung, Gebäude, Innentüre, Holz, in Beseitigung</t>
  </si>
  <si>
    <r>
      <rPr>
        <rFont val="Arial"/>
        <color theme="1"/>
        <sz val="10.0"/>
      </rPr>
      <t>m</t>
    </r>
    <r>
      <rPr>
        <rFont val="Arial"/>
        <color theme="1"/>
        <sz val="10.0"/>
        <vertAlign val="superscript"/>
      </rPr>
      <t>2</t>
    </r>
  </si>
  <si>
    <t>Portes intérieures bois</t>
  </si>
  <si>
    <t>12.004</t>
  </si>
  <si>
    <t>Innentüre, Holz, Glaseinsatz</t>
  </si>
  <si>
    <t>91.034</t>
  </si>
  <si>
    <t>Entsorgung, Gebäude, Innentüre, Glas-Holz, in Beseitigung</t>
  </si>
  <si>
    <r>
      <rPr>
        <rFont val="Arial"/>
        <color theme="1"/>
        <sz val="10.0"/>
      </rPr>
      <t>m</t>
    </r>
    <r>
      <rPr>
        <rFont val="Arial"/>
        <color theme="1"/>
        <sz val="10.0"/>
        <vertAlign val="superscript"/>
      </rPr>
      <t>2</t>
    </r>
  </si>
  <si>
    <t>Portes intérieures bois, avec vitrage</t>
  </si>
  <si>
    <t>13</t>
  </si>
  <si>
    <t>Rohre</t>
  </si>
  <si>
    <r>
      <rPr>
        <rFont val="Arial"/>
        <b/>
        <color theme="1"/>
        <sz val="10.0"/>
      </rPr>
      <t>kg/m</t>
    </r>
    <r>
      <rPr>
        <rFont val="Arial"/>
        <b/>
        <color theme="1"/>
        <sz val="10.0"/>
        <vertAlign val="superscript"/>
      </rPr>
      <t>3</t>
    </r>
  </si>
  <si>
    <t>Tuyaux</t>
  </si>
  <si>
    <t>13.001</t>
  </si>
  <si>
    <r>
      <rPr>
        <rFont val="Arial"/>
        <color theme="1"/>
        <sz val="10.0"/>
      </rPr>
      <t>Acrylnitril-Butadien-Styrol (ABS)</t>
    </r>
  </si>
  <si>
    <t>Acrylonitril-butadiène-styrène (ABS)</t>
  </si>
  <si>
    <t>13.005</t>
  </si>
  <si>
    <t>Gusseisen</t>
  </si>
  <si>
    <t>Fer de fonte</t>
  </si>
  <si>
    <t>13.002</t>
  </si>
  <si>
    <t>Polyethylen (PE)</t>
  </si>
  <si>
    <t>Polyéthylène (HDPE)</t>
  </si>
  <si>
    <t>13.003</t>
  </si>
  <si>
    <t>Polypropylen (PP)</t>
  </si>
  <si>
    <t>Polypropylène (PP)</t>
  </si>
  <si>
    <t>13.003.01</t>
  </si>
  <si>
    <t>Polypropylen (PP), rezykliert, Rehau</t>
  </si>
  <si>
    <t>Polypropylène (PP), recyclée, Rehau</t>
  </si>
  <si>
    <t>13.004</t>
  </si>
  <si>
    <t>Polyvinylchlorid (PVC)</t>
  </si>
  <si>
    <t>Chlorure de polyvinyle (PVC)</t>
  </si>
  <si>
    <t>14</t>
  </si>
  <si>
    <t>Anstrichstoffe, Beschichtungen</t>
  </si>
  <si>
    <r>
      <rPr>
        <rFont val="Arial"/>
        <b/>
        <color theme="1"/>
        <sz val="10.0"/>
      </rPr>
      <t>kg/m</t>
    </r>
    <r>
      <rPr>
        <rFont val="Arial"/>
        <b/>
        <color theme="1"/>
        <sz val="10.0"/>
        <vertAlign val="superscript"/>
      </rPr>
      <t>2</t>
    </r>
  </si>
  <si>
    <t>Enduits et revêtements</t>
  </si>
  <si>
    <t>14.002</t>
  </si>
  <si>
    <t>Anstrich, lösemittelverdünnbar, 2 Anstriche</t>
  </si>
  <si>
    <t>91.023</t>
  </si>
  <si>
    <t>Entsorgung, Gebäude, Anstrich auf Holz, in Beseitigung</t>
  </si>
  <si>
    <r>
      <rPr>
        <rFont val="Arial"/>
        <color theme="1"/>
        <sz val="10.0"/>
      </rPr>
      <t>m</t>
    </r>
    <r>
      <rPr>
        <rFont val="Arial"/>
        <color theme="1"/>
        <sz val="10.0"/>
        <vertAlign val="superscript"/>
      </rPr>
      <t>2</t>
    </r>
  </si>
  <si>
    <t>Enduit, diluable au solvant, 2 couches</t>
  </si>
  <si>
    <t>14.001</t>
  </si>
  <si>
    <t>Anstrich, wasserverdünnbar, 2 Anstriche</t>
  </si>
  <si>
    <r>
      <rPr>
        <rFont val="Arial"/>
        <color theme="1"/>
        <sz val="10.0"/>
      </rPr>
      <t>m</t>
    </r>
    <r>
      <rPr>
        <rFont val="Arial"/>
        <color theme="1"/>
        <sz val="10.0"/>
        <vertAlign val="superscript"/>
      </rPr>
      <t>2</t>
    </r>
  </si>
  <si>
    <t>Enduit, diluable à l'eau, 2 couches</t>
  </si>
  <si>
    <t>14.003</t>
  </si>
  <si>
    <t>Bitumenemulsion, 1 Anstrich</t>
  </si>
  <si>
    <r>
      <rPr>
        <rFont val="Arial"/>
        <color theme="1"/>
        <sz val="10.0"/>
      </rPr>
      <t>m</t>
    </r>
    <r>
      <rPr>
        <rFont val="Arial"/>
        <color theme="1"/>
        <sz val="10.0"/>
        <vertAlign val="superscript"/>
      </rPr>
      <t>2</t>
    </r>
  </si>
  <si>
    <t>Emulsion de bitume, 1 couche</t>
  </si>
  <si>
    <t>14.004</t>
  </si>
  <si>
    <t>Emaillieren, Metall</t>
  </si>
  <si>
    <t>keine</t>
  </si>
  <si>
    <r>
      <rPr>
        <rFont val="Arial"/>
        <color theme="1"/>
        <sz val="10.0"/>
      </rPr>
      <t>m</t>
    </r>
    <r>
      <rPr>
        <rFont val="Arial"/>
        <color theme="1"/>
        <sz val="10.0"/>
        <vertAlign val="superscript"/>
      </rPr>
      <t>2</t>
    </r>
  </si>
  <si>
    <t>Emaillage, métal</t>
  </si>
  <si>
    <t>14.005</t>
  </si>
  <si>
    <t>Pulverbeschichten, Aluminium</t>
  </si>
  <si>
    <r>
      <rPr>
        <rFont val="Arial"/>
        <color theme="1"/>
        <sz val="10.0"/>
      </rPr>
      <t>m</t>
    </r>
    <r>
      <rPr>
        <rFont val="Arial"/>
        <color theme="1"/>
        <sz val="10.0"/>
        <vertAlign val="superscript"/>
      </rPr>
      <t>2</t>
    </r>
  </si>
  <si>
    <t>Revêtement pulvérisé, aluminium</t>
  </si>
  <si>
    <t>14.006</t>
  </si>
  <si>
    <t>Pulverbeschichten, Stahl</t>
  </si>
  <si>
    <r>
      <rPr>
        <rFont val="Arial"/>
        <color theme="1"/>
        <sz val="10.0"/>
      </rPr>
      <t>m</t>
    </r>
    <r>
      <rPr>
        <rFont val="Arial"/>
        <color theme="1"/>
        <sz val="10.0"/>
        <vertAlign val="superscript"/>
      </rPr>
      <t>2</t>
    </r>
  </si>
  <si>
    <t>Revêtement pulvérisé, acier</t>
  </si>
  <si>
    <t>14.007</t>
  </si>
  <si>
    <t>Verchromen, Stahl</t>
  </si>
  <si>
    <r>
      <rPr>
        <rFont val="Arial"/>
        <color theme="1"/>
        <sz val="10.0"/>
      </rPr>
      <t>m</t>
    </r>
    <r>
      <rPr>
        <rFont val="Arial"/>
        <color theme="1"/>
        <sz val="10.0"/>
        <vertAlign val="superscript"/>
      </rPr>
      <t>2</t>
    </r>
  </si>
  <si>
    <t>Chromage, acier</t>
  </si>
  <si>
    <t>14.008</t>
  </si>
  <si>
    <t>Verzinken, Stahl</t>
  </si>
  <si>
    <r>
      <rPr>
        <rFont val="Arial"/>
        <color theme="1"/>
        <sz val="10.0"/>
      </rPr>
      <t>m</t>
    </r>
    <r>
      <rPr>
        <rFont val="Arial"/>
        <color theme="1"/>
        <sz val="10.0"/>
        <vertAlign val="superscript"/>
      </rPr>
      <t>2</t>
    </r>
  </si>
  <si>
    <t>Zincage, acier</t>
  </si>
  <si>
    <t>15</t>
  </si>
  <si>
    <t>Kunststoffe</t>
  </si>
  <si>
    <r>
      <rPr>
        <rFont val="Arial"/>
        <b/>
        <color theme="1"/>
        <sz val="10.0"/>
      </rPr>
      <t>kg/m</t>
    </r>
    <r>
      <rPr>
        <rFont val="Arial"/>
        <b/>
        <color theme="1"/>
        <sz val="10.0"/>
        <vertAlign val="superscript"/>
      </rPr>
      <t>3</t>
    </r>
  </si>
  <si>
    <t>Matières plastique</t>
  </si>
  <si>
    <t>15.001</t>
  </si>
  <si>
    <r>
      <rPr>
        <rFont val="Arial"/>
        <color theme="1"/>
        <sz val="10.0"/>
      </rPr>
      <t>Plexiglas (PMMA, Acrylglas)</t>
    </r>
  </si>
  <si>
    <t>Plexiglas (PMMA, verre acrylique)</t>
  </si>
  <si>
    <t>15.002</t>
  </si>
  <si>
    <t>Polyamid (PA) glasfaserverstärkt</t>
  </si>
  <si>
    <t>GFK in KVA</t>
  </si>
  <si>
    <t xml:space="preserve">Polyamide (PA) renforcé par des fibres de verre </t>
  </si>
  <si>
    <t>15.003</t>
  </si>
  <si>
    <t>Polycarbonat (PC)</t>
  </si>
  <si>
    <t>Polycarbonate (PC)</t>
  </si>
  <si>
    <t>15.004</t>
  </si>
  <si>
    <t>Polyester (UP) glasfaserverstärkt</t>
  </si>
  <si>
    <t>Polyester (UP) renforcé par des fibres de verre</t>
  </si>
  <si>
    <t>15.005</t>
  </si>
  <si>
    <t>Polystyrol (PS)</t>
  </si>
  <si>
    <t>Polystyrène (PS)</t>
  </si>
  <si>
    <t>Kücheneinbauten und -möbel</t>
  </si>
  <si>
    <t>Installations et meubles de cuisine</t>
  </si>
  <si>
    <t>21.001</t>
  </si>
  <si>
    <t>Abfalltrennsystem</t>
  </si>
  <si>
    <t>91.123</t>
  </si>
  <si>
    <t>Entsorgung, Abfalltrennsystem</t>
  </si>
  <si>
    <t>Stk.</t>
  </si>
  <si>
    <t>Système de tri des déchets</t>
  </si>
  <si>
    <t>21.002</t>
  </si>
  <si>
    <t>Arbeitsplatte Chromstahl, high-end</t>
  </si>
  <si>
    <r>
      <rPr>
        <rFont val="Arial"/>
        <color rgb="FFFF0000"/>
        <sz val="10.0"/>
      </rPr>
      <t>m</t>
    </r>
    <r>
      <rPr>
        <rFont val="Arial"/>
        <color rgb="FFFF0000"/>
        <sz val="10.0"/>
        <vertAlign val="superscript"/>
      </rPr>
      <t>2</t>
    </r>
  </si>
  <si>
    <t>Plan de travail en acier chromé, haut de gamme</t>
  </si>
  <si>
    <t>21.003</t>
  </si>
  <si>
    <t>Arbeitsplatte Chromstahl, Standard</t>
  </si>
  <si>
    <t>91.124</t>
  </si>
  <si>
    <t>Entsorgung, Arbeitsplatte Chromstahl, Standard</t>
  </si>
  <si>
    <r>
      <rPr>
        <rFont val="Arial"/>
        <color rgb="FFFF0000"/>
        <sz val="10.0"/>
      </rPr>
      <t>m</t>
    </r>
    <r>
      <rPr>
        <rFont val="Arial"/>
        <color rgb="FFFF0000"/>
        <sz val="10.0"/>
        <vertAlign val="superscript"/>
      </rPr>
      <t>2</t>
    </r>
  </si>
  <si>
    <t>Plan de travail en acier chromé, standard</t>
  </si>
  <si>
    <t>21.004</t>
  </si>
  <si>
    <t>Arbeitsplatte Kompositwerkstoff (auf Aluminiumhydroxidbasis)</t>
  </si>
  <si>
    <t>91.125</t>
  </si>
  <si>
    <t>Entsorgung, Arbeitsplatte Kompositwerkstoff (auf Aluminiumhydroxidbasis)</t>
  </si>
  <si>
    <r>
      <rPr>
        <rFont val="Arial"/>
        <color rgb="FFFF0000"/>
        <sz val="10.0"/>
      </rPr>
      <t>m</t>
    </r>
    <r>
      <rPr>
        <rFont val="Arial"/>
        <color rgb="FFFF0000"/>
        <sz val="10.0"/>
        <vertAlign val="superscript"/>
      </rPr>
      <t>2</t>
    </r>
  </si>
  <si>
    <t>Plan de travail en matériau composite (base: hydroxide d'aluminium)</t>
  </si>
  <si>
    <t>21.005</t>
  </si>
  <si>
    <t>Arbeitsplatte kunstharzbeschichtet</t>
  </si>
  <si>
    <t>91.126</t>
  </si>
  <si>
    <t>Entsorgung, Arbeitsplatte kunstharzbeschichtet</t>
  </si>
  <si>
    <r>
      <rPr>
        <rFont val="Arial"/>
        <color rgb="FFFF0000"/>
        <sz val="10.0"/>
      </rPr>
      <t>m</t>
    </r>
    <r>
      <rPr>
        <rFont val="Arial"/>
        <color rgb="FFFF0000"/>
        <sz val="10.0"/>
        <vertAlign val="superscript"/>
      </rPr>
      <t>2</t>
    </r>
  </si>
  <si>
    <t>Plan de travail en résine synthétique</t>
  </si>
  <si>
    <t>21.006</t>
  </si>
  <si>
    <t>Arbeitsplatte Massivholz</t>
  </si>
  <si>
    <t>91.127</t>
  </si>
  <si>
    <t>Entsorgung, Arbeitsplatte Massivholz</t>
  </si>
  <si>
    <r>
      <rPr>
        <rFont val="Arial"/>
        <color rgb="FFFF0000"/>
        <sz val="10.0"/>
      </rPr>
      <t>m</t>
    </r>
    <r>
      <rPr>
        <rFont val="Arial"/>
        <color rgb="FFFF0000"/>
        <sz val="10.0"/>
        <vertAlign val="superscript"/>
      </rPr>
      <t>2</t>
    </r>
  </si>
  <si>
    <t>Plan de travail en bois massif</t>
  </si>
  <si>
    <t>21.007</t>
  </si>
  <si>
    <t>Arbeitsplatte Naturstein</t>
  </si>
  <si>
    <t>91.128</t>
  </si>
  <si>
    <t>Entsorgung, Arbeitsplatte Naturstein</t>
  </si>
  <si>
    <r>
      <rPr>
        <rFont val="Arial"/>
        <color rgb="FFFF0000"/>
        <sz val="10.0"/>
      </rPr>
      <t>m</t>
    </r>
    <r>
      <rPr>
        <rFont val="Arial"/>
        <color rgb="FFFF0000"/>
        <sz val="10.0"/>
        <vertAlign val="superscript"/>
      </rPr>
      <t>2</t>
    </r>
  </si>
  <si>
    <t>Plan de travail en pierre naturelle</t>
  </si>
  <si>
    <t>21.008</t>
  </si>
  <si>
    <t>Dampfabzug</t>
  </si>
  <si>
    <t>91.129</t>
  </si>
  <si>
    <t>Entsorgung, Dampfabzug</t>
  </si>
  <si>
    <t>Hotte de ventilation</t>
  </si>
  <si>
    <t>21.009</t>
  </si>
  <si>
    <t>Küche, Massivholz, 16-teilig</t>
  </si>
  <si>
    <t>91.130</t>
  </si>
  <si>
    <t>Entsorgung, Küche, Massivholz, 16-teilig</t>
  </si>
  <si>
    <t>Cuisine, bois massif, 16 éléments</t>
  </si>
  <si>
    <t>21.010</t>
  </si>
  <si>
    <t>Küche, Metall, 16-teilig</t>
  </si>
  <si>
    <t>91.131</t>
  </si>
  <si>
    <t>Entsorgung, Küche, Metall, 16-teilig</t>
  </si>
  <si>
    <t>Cuisine, métal, 16 éléments</t>
  </si>
  <si>
    <t>21.011</t>
  </si>
  <si>
    <t>Küche, Spanplatte, 16-teilig</t>
  </si>
  <si>
    <t>91.132</t>
  </si>
  <si>
    <t>Entsorgung, Küche, Spanplatte, 16-teilig</t>
  </si>
  <si>
    <t>Cuisine, bois reconstitué, 16 éléments</t>
  </si>
  <si>
    <t>21.012</t>
  </si>
  <si>
    <t>Spüle Chromstahl</t>
  </si>
  <si>
    <t>91.133</t>
  </si>
  <si>
    <t>Entsorgung, Spüle Chromstahl</t>
  </si>
  <si>
    <t>Armoire-évier en acier chromé</t>
  </si>
  <si>
    <t>21.013</t>
  </si>
  <si>
    <t>Spüle Kompositwerkstoff (auf Gesteinsmehlbasis)</t>
  </si>
  <si>
    <t>91.134</t>
  </si>
  <si>
    <t>Entsorgung, Spüle Kompositwerkstoff (auf Gesteinsmehlbasis)</t>
  </si>
  <si>
    <t>Armoire-évier en matières composites (base: poudre de roche)</t>
  </si>
  <si>
    <t>31.001 Wärmeerzeuger, spez. Leistungsbedarf 10 W/m2 (KBOB.2016)</t>
  </si>
  <si>
    <t>BUILDING_TECHNOLOGY</t>
  </si>
  <si>
    <t>BUILDING_TECHNOLOGY_HEATING</t>
  </si>
  <si>
    <t>1200.000000</t>
  </si>
  <si>
    <t>1190.000000</t>
  </si>
  <si>
    <t>10.600000</t>
  </si>
  <si>
    <t>0.236000</t>
  </si>
  <si>
    <t>0.000317</t>
  </si>
  <si>
    <t>2.280000</t>
  </si>
  <si>
    <t>2.260000</t>
  </si>
  <si>
    <t>0.018100</t>
  </si>
  <si>
    <t>0.512000</t>
  </si>
  <si>
    <t>0.501000</t>
  </si>
  <si>
    <t>0.010900</t>
  </si>
  <si>
    <t>Alle &gt; GEBÄUDETECHNIK &gt; kbob.admin.ch &gt; KBOB / ecobau / IPB 2009/1:2016</t>
  </si>
  <si>
    <t>31.002 Wärmeerzeuger, spez. Leistungsbedarf 30 W/m2 (KBOB.2016)</t>
  </si>
  <si>
    <t>3590.000000</t>
  </si>
  <si>
    <t>3560.000000</t>
  </si>
  <si>
    <t>31.800000</t>
  </si>
  <si>
    <t>0.708000</t>
  </si>
  <si>
    <t>0.707000</t>
  </si>
  <si>
    <t>0.000952</t>
  </si>
  <si>
    <t>6.830000</t>
  </si>
  <si>
    <t>6.780000</t>
  </si>
  <si>
    <t>0.054400</t>
  </si>
  <si>
    <t>1.530000</t>
  </si>
  <si>
    <t>1.500000</t>
  </si>
  <si>
    <t>0.032700</t>
  </si>
  <si>
    <t>31.003 Wärmeerzeuger, spez. Leistungsbedarf 50 W/m2 (KBOB.2016)</t>
  </si>
  <si>
    <t>5990.000000</t>
  </si>
  <si>
    <t>5930.000000</t>
  </si>
  <si>
    <t>53.000000</t>
  </si>
  <si>
    <t>1.180000</t>
  </si>
  <si>
    <t>0.001590</t>
  </si>
  <si>
    <t>11.400000</t>
  </si>
  <si>
    <t>11.300000</t>
  </si>
  <si>
    <t>0.090600</t>
  </si>
  <si>
    <t>2.560000</t>
  </si>
  <si>
    <t>2.500000</t>
  </si>
  <si>
    <t>0.054500</t>
  </si>
  <si>
    <t>31.021 Wärmeverteilung Wohngebäude (KBOB.2016)</t>
  </si>
  <si>
    <t>5480.000000</t>
  </si>
  <si>
    <t>4670.000000</t>
  </si>
  <si>
    <t>807.000000</t>
  </si>
  <si>
    <t>1.140000</t>
  </si>
  <si>
    <t>0.370000</t>
  </si>
  <si>
    <t>14.300000</t>
  </si>
  <si>
    <t>12.000000</t>
  </si>
  <si>
    <t>2.330000</t>
  </si>
  <si>
    <t>3.070000</t>
  </si>
  <si>
    <t>2.390000</t>
  </si>
  <si>
    <t>0.674000</t>
  </si>
  <si>
    <t>31.022 Wärmeverteilung Bürogebäude (KBOB.2016)</t>
  </si>
  <si>
    <t>15000.000000</t>
  </si>
  <si>
    <t>13900.000000</t>
  </si>
  <si>
    <t>1090.000000</t>
  </si>
  <si>
    <t>2.680000</t>
  </si>
  <si>
    <t>2.250000</t>
  </si>
  <si>
    <t>0.433000</t>
  </si>
  <si>
    <t>32.700000</t>
  </si>
  <si>
    <t>29.900000</t>
  </si>
  <si>
    <t>2.790000</t>
  </si>
  <si>
    <t>7.620000</t>
  </si>
  <si>
    <t>6.560000</t>
  </si>
  <si>
    <t>1.060000</t>
  </si>
  <si>
    <t>31.023 Wärmeabgabe über Heizkörper (KBOB.2016)</t>
  </si>
  <si>
    <t>10200.000000</t>
  </si>
  <si>
    <t>1.630000</t>
  </si>
  <si>
    <t>1.620000</t>
  </si>
  <si>
    <t>0.001850</t>
  </si>
  <si>
    <t>22.800000</t>
  </si>
  <si>
    <t>22.700000</t>
  </si>
  <si>
    <t>0.035200</t>
  </si>
  <si>
    <t>5.460000</t>
  </si>
  <si>
    <t>5.440000</t>
  </si>
  <si>
    <t>0.022700</t>
  </si>
  <si>
    <t>31.024 Wärmeabgabe über Fussbodenheizung (KBOB.2016)</t>
  </si>
  <si>
    <t>4040.000000</t>
  </si>
  <si>
    <t>3040.000000</t>
  </si>
  <si>
    <t>997.000000</t>
  </si>
  <si>
    <t>1.480000</t>
  </si>
  <si>
    <t>0.001650</t>
  </si>
  <si>
    <t>22.300000</t>
  </si>
  <si>
    <t>22.200000</t>
  </si>
  <si>
    <t>0.091700</t>
  </si>
  <si>
    <t>5.060000</t>
  </si>
  <si>
    <t>3.020000</t>
  </si>
  <si>
    <t>2.040000</t>
  </si>
  <si>
    <t>31.025 Wärmeabgabe über Heizkühldecke (ohne Gips- oder Metalldecke) (KBOB.2016)</t>
  </si>
  <si>
    <t>39400.000000</t>
  </si>
  <si>
    <t>70.400000</t>
  </si>
  <si>
    <t>4.470000</t>
  </si>
  <si>
    <t>26.400000</t>
  </si>
  <si>
    <t>26.300000</t>
  </si>
  <si>
    <t>0.030600</t>
  </si>
  <si>
    <t>5.770000</t>
  </si>
  <si>
    <t>5.640000</t>
  </si>
  <si>
    <t>0.134000</t>
  </si>
  <si>
    <t>31.015 Wärmeverteilung und Abgabe, Luftheizung (KBOB.2016)</t>
  </si>
  <si>
    <t>2940.000000</t>
  </si>
  <si>
    <t>2910.000000</t>
  </si>
  <si>
    <t>33.600000</t>
  </si>
  <si>
    <t>0.325000</t>
  </si>
  <si>
    <t>0.000083</t>
  </si>
  <si>
    <t>7.960000</t>
  </si>
  <si>
    <t>7.950000</t>
  </si>
  <si>
    <t>0.006480</t>
  </si>
  <si>
    <t>1.700000</t>
  </si>
  <si>
    <t>0.067200</t>
  </si>
  <si>
    <t>31.016 Erdsonden, für Sole-Wasser-Wärmepumpe (KBOB.2016)</t>
  </si>
  <si>
    <t>34600.000000</t>
  </si>
  <si>
    <t>30500.000000</t>
  </si>
  <si>
    <t>4100.000000</t>
  </si>
  <si>
    <t>2.870000</t>
  </si>
  <si>
    <t>2.610000</t>
  </si>
  <si>
    <t>0.255000</t>
  </si>
  <si>
    <t>129.000000</t>
  </si>
  <si>
    <t>28.100000</t>
  </si>
  <si>
    <t>2.730000</t>
  </si>
  <si>
    <t>31.017 Sole-Wasser Wärmepumpe 8 kW (KBOB.2016)</t>
  </si>
  <si>
    <t>4220000.000000</t>
  </si>
  <si>
    <t>3860000.000000</t>
  </si>
  <si>
    <t>367000.000000</t>
  </si>
  <si>
    <t>506.000000</t>
  </si>
  <si>
    <t>503.000000</t>
  </si>
  <si>
    <t>3.820000</t>
  </si>
  <si>
    <t>5520.000000</t>
  </si>
  <si>
    <t>45.200000</t>
  </si>
  <si>
    <t>2180.000000</t>
  </si>
  <si>
    <t>1470.000000</t>
  </si>
  <si>
    <t>706.000000</t>
  </si>
  <si>
    <t>31.018 Sole-Wasser Wärmepumpe 8 kW (KBOB.2016)</t>
  </si>
  <si>
    <t>22500.000000</t>
  </si>
  <si>
    <t>1960.000000</t>
  </si>
  <si>
    <t>2.700000</t>
  </si>
  <si>
    <t>0.020400</t>
  </si>
  <si>
    <t>29.500000</t>
  </si>
  <si>
    <t>29.200000</t>
  </si>
  <si>
    <t>0.241000</t>
  </si>
  <si>
    <t>7.860000</t>
  </si>
  <si>
    <t>3.770000</t>
  </si>
  <si>
    <t>31.019 Luft-Wasser Wärmepumpe 8 kW (KBOB.2016)</t>
  </si>
  <si>
    <t>5460000.000000</t>
  </si>
  <si>
    <t>4910000.000000</t>
  </si>
  <si>
    <t>546000.000000</t>
  </si>
  <si>
    <t>641.000000</t>
  </si>
  <si>
    <t>636.000000</t>
  </si>
  <si>
    <t>5.010000</t>
  </si>
  <si>
    <t>6460.000000</t>
  </si>
  <si>
    <t>6400.000000</t>
  </si>
  <si>
    <t>60.200000</t>
  </si>
  <si>
    <t>1860.000000</t>
  </si>
  <si>
    <t>1050.000000</t>
  </si>
  <si>
    <t>31.020 Luft-Wasser Wärmepumpe 8 kW (KBOB.2016)</t>
  </si>
  <si>
    <t>22400.000000</t>
  </si>
  <si>
    <t>20200.000000</t>
  </si>
  <si>
    <t>2240.000000</t>
  </si>
  <si>
    <t>2.630000</t>
  </si>
  <si>
    <t>0.020600</t>
  </si>
  <si>
    <t>26.500000</t>
  </si>
  <si>
    <t>26.200000</t>
  </si>
  <si>
    <t>0.248000</t>
  </si>
  <si>
    <t>4.330000</t>
  </si>
  <si>
    <t>31.007 Flachkollektor für Warmwasser EFH (KBOB.2016)</t>
  </si>
  <si>
    <t>676000.000000</t>
  </si>
  <si>
    <t>142.000000</t>
  </si>
  <si>
    <t>1140.000000</t>
  </si>
  <si>
    <t>31.008 Flachkollektor für Raumheizung und Warmwasser EFH (KBOB.2016)</t>
  </si>
  <si>
    <t>452000.000000</t>
  </si>
  <si>
    <t>102.000000</t>
  </si>
  <si>
    <t>824.000000</t>
  </si>
  <si>
    <t>31.009 Flachkollektor für Warmwasser MFH (KBOB.2016)</t>
  </si>
  <si>
    <t>394000.000000</t>
  </si>
  <si>
    <t>79.000000</t>
  </si>
  <si>
    <t>695.000000</t>
  </si>
  <si>
    <t>155.000000</t>
  </si>
  <si>
    <t>31.010 Röhrenkollektor für Raumheizung und Warmwasser EFH (KBOB.2016)</t>
  </si>
  <si>
    <t>465000.000000</t>
  </si>
  <si>
    <t>924.000000</t>
  </si>
  <si>
    <t>208.000000</t>
  </si>
  <si>
    <t>32.011 Lüftungsanlage, spez. Luftmenge 1 m3/hm2 EBF (KBOB.2016)</t>
  </si>
  <si>
    <t>BUILDING_TECHNOLOGY_VENTILATION</t>
  </si>
  <si>
    <t>31700.000000</t>
  </si>
  <si>
    <t>31400.000000</t>
  </si>
  <si>
    <t>222.000000</t>
  </si>
  <si>
    <t>4.350000</t>
  </si>
  <si>
    <t>0.006950</t>
  </si>
  <si>
    <t>54.500000</t>
  </si>
  <si>
    <t>54.300000</t>
  </si>
  <si>
    <t>0.208000</t>
  </si>
  <si>
    <t>12.700000</t>
  </si>
  <si>
    <t>12.300000</t>
  </si>
  <si>
    <t>0.345000</t>
  </si>
  <si>
    <t>32.005 Lüftungsanlage, spez. Luftmenge 2 m3/hm2 EBF (KBOB.2016)</t>
  </si>
  <si>
    <t>42700.000000</t>
  </si>
  <si>
    <t>42400.000000</t>
  </si>
  <si>
    <t>311.000000</t>
  </si>
  <si>
    <t>5.850000</t>
  </si>
  <si>
    <t>5.840000</t>
  </si>
  <si>
    <t>0.009470</t>
  </si>
  <si>
    <t>73.600000</t>
  </si>
  <si>
    <t>0.287000</t>
  </si>
  <si>
    <t>17.100000</t>
  </si>
  <si>
    <t>0.485000</t>
  </si>
  <si>
    <t>32.006 Lüftungsanlage, spez. Luftmenge 4 m3/hm2 EBF (KBOB.2016)</t>
  </si>
  <si>
    <t>64800.000000</t>
  </si>
  <si>
    <t>64300.000000</t>
  </si>
  <si>
    <t>488.000000</t>
  </si>
  <si>
    <t>8.840000</t>
  </si>
  <si>
    <t>8.830000</t>
  </si>
  <si>
    <t>0.014500</t>
  </si>
  <si>
    <t>112.000000</t>
  </si>
  <si>
    <t>111.000000</t>
  </si>
  <si>
    <t>0.444000</t>
  </si>
  <si>
    <t>25.900000</t>
  </si>
  <si>
    <t>0.763000</t>
  </si>
  <si>
    <t>32.007 Lüftungsanlage, spez. Luftmenge 6 m3/hm2 EBF (KBOB.2016)</t>
  </si>
  <si>
    <t>86900.000000</t>
  </si>
  <si>
    <t>666.000000</t>
  </si>
  <si>
    <t>11.800000</t>
  </si>
  <si>
    <t>150.000000</t>
  </si>
  <si>
    <t>149.000000</t>
  </si>
  <si>
    <t>0.601000</t>
  </si>
  <si>
    <t>34.800000</t>
  </si>
  <si>
    <t>33.700000</t>
  </si>
  <si>
    <t>1.040000</t>
  </si>
  <si>
    <t>32.012 Lüftungsanlage, spez. Luftmenge 8 m3/hm2 EBF (KBOB.2016)</t>
  </si>
  <si>
    <t>109000.000000</t>
  </si>
  <si>
    <t>108000.000000</t>
  </si>
  <si>
    <t>843.000000</t>
  </si>
  <si>
    <t>14.800000</t>
  </si>
  <si>
    <t>0.024600</t>
  </si>
  <si>
    <t>188.000000</t>
  </si>
  <si>
    <t>187.000000</t>
  </si>
  <si>
    <t>0.758000</t>
  </si>
  <si>
    <t>43.600000</t>
  </si>
  <si>
    <t>42.300000</t>
  </si>
  <si>
    <t>1.320000</t>
  </si>
  <si>
    <t>32.001 Lüftungsanlage Wohnen, Blechkanäle, inkl. Küchenabluft (KBOB.2016)</t>
  </si>
  <si>
    <t>45200.000000</t>
  </si>
  <si>
    <t>45000.000000</t>
  </si>
  <si>
    <t>182.000000</t>
  </si>
  <si>
    <t>3.990000</t>
  </si>
  <si>
    <t>0.003880</t>
  </si>
  <si>
    <t>53.300000</t>
  </si>
  <si>
    <t>53.200000</t>
  </si>
  <si>
    <t>0.083100</t>
  </si>
  <si>
    <t>11.700000</t>
  </si>
  <si>
    <t>0.299000</t>
  </si>
  <si>
    <t>32.002 Lüftungsanlage Wohnen, PE-Kanäle, inkl. Küchenabluft (KBOB.2016)</t>
  </si>
  <si>
    <t>22000.000000</t>
  </si>
  <si>
    <t>21600.000000</t>
  </si>
  <si>
    <t>371.000000</t>
  </si>
  <si>
    <t>2.360000</t>
  </si>
  <si>
    <t>0.002530</t>
  </si>
  <si>
    <t>32.600000</t>
  </si>
  <si>
    <t>0.074300</t>
  </si>
  <si>
    <t>7.320000</t>
  </si>
  <si>
    <t>6.600000</t>
  </si>
  <si>
    <t>0.724000</t>
  </si>
  <si>
    <t>32.003 Abluftanlage Küche und Bad (KBOB.2016)</t>
  </si>
  <si>
    <t>13300.000000</t>
  </si>
  <si>
    <t>65.700000</t>
  </si>
  <si>
    <t>0.981000</t>
  </si>
  <si>
    <t>0.980000</t>
  </si>
  <si>
    <t>0.000208</t>
  </si>
  <si>
    <t>15.100000</t>
  </si>
  <si>
    <t>0.016500</t>
  </si>
  <si>
    <t>3.400000</t>
  </si>
  <si>
    <t>3.280000</t>
  </si>
  <si>
    <t>0.126000</t>
  </si>
  <si>
    <t>32.004 Erdregister zu Lüftungsanlage Wohnen (KBOB.2016)</t>
  </si>
  <si>
    <t>4550.000000</t>
  </si>
  <si>
    <t>3220.000000</t>
  </si>
  <si>
    <t>1330.000000</t>
  </si>
  <si>
    <t>0.554000</t>
  </si>
  <si>
    <t>0.502000</t>
  </si>
  <si>
    <t>0.051800</t>
  </si>
  <si>
    <t>16.100000</t>
  </si>
  <si>
    <t>1.280000</t>
  </si>
  <si>
    <t>4.550000</t>
  </si>
  <si>
    <t>2.920000</t>
  </si>
  <si>
    <t>32.008 Erdregister kurz zu Lüftungsanlage Büro (0.27 m/m2 EBF) (KBOB.2016)</t>
  </si>
  <si>
    <t>7890.000000</t>
  </si>
  <si>
    <t>5590.000000</t>
  </si>
  <si>
    <t>2300.000000</t>
  </si>
  <si>
    <t>0.960000</t>
  </si>
  <si>
    <t>0.870000</t>
  </si>
  <si>
    <t>0.089800</t>
  </si>
  <si>
    <t>27.900000</t>
  </si>
  <si>
    <t>25.700000</t>
  </si>
  <si>
    <t>2.220000</t>
  </si>
  <si>
    <t>7.890000</t>
  </si>
  <si>
    <t>2.820000</t>
  </si>
  <si>
    <t>32.009 Erdregister lang zu Lüftungsanlage Büro (0.67 m/m2 EBF) (KBOB.2016)</t>
  </si>
  <si>
    <t>19700.000000</t>
  </si>
  <si>
    <t>14000.000000</t>
  </si>
  <si>
    <t>5760.000000</t>
  </si>
  <si>
    <t>2.400000</t>
  </si>
  <si>
    <t>2.180000</t>
  </si>
  <si>
    <t>0.224000</t>
  </si>
  <si>
    <t>69.700000</t>
  </si>
  <si>
    <t>64.200000</t>
  </si>
  <si>
    <t>5.540000</t>
  </si>
  <si>
    <t>19.700000</t>
  </si>
  <si>
    <t>7.050000</t>
  </si>
  <si>
    <t>32.010 Einzelraumlüfer Fenstermodell 10-30 m3/h, ohne Montage (KBOB.2016)</t>
  </si>
  <si>
    <t>63200.000000</t>
  </si>
  <si>
    <t>59900.000000</t>
  </si>
  <si>
    <t>3260.000000</t>
  </si>
  <si>
    <t>0.075800</t>
  </si>
  <si>
    <t>220.000000</t>
  </si>
  <si>
    <t>218.000000</t>
  </si>
  <si>
    <t>1.410000</t>
  </si>
  <si>
    <t>43.500000</t>
  </si>
  <si>
    <t>38.000000</t>
  </si>
  <si>
    <t>5.480000</t>
  </si>
  <si>
    <t>33.001 Sanitäranlagen, Büro, einfach, inkl. Apparate und Leitungen (KBOB.2016)</t>
  </si>
  <si>
    <t>BUILDING_TECHNOLOGY_SANITARY</t>
  </si>
  <si>
    <t>6980.000000</t>
  </si>
  <si>
    <t>6390.000000</t>
  </si>
  <si>
    <t>587.000000</t>
  </si>
  <si>
    <t>1.200000</t>
  </si>
  <si>
    <t>1.190000</t>
  </si>
  <si>
    <t>0.004580</t>
  </si>
  <si>
    <t>19.400000</t>
  </si>
  <si>
    <t>0.137000</t>
  </si>
  <si>
    <t>4.480000</t>
  </si>
  <si>
    <t>3.330000</t>
  </si>
  <si>
    <t>1.150000</t>
  </si>
  <si>
    <t>33.002 Sanitäranlagen, Büro, aufwändig, inkl. Apparate und Leitungen (KBOB.2016)</t>
  </si>
  <si>
    <t>18600.000000</t>
  </si>
  <si>
    <t>16700.000000</t>
  </si>
  <si>
    <t>1950.000000</t>
  </si>
  <si>
    <t>3.370000</t>
  </si>
  <si>
    <t>3.350000</t>
  </si>
  <si>
    <t>0.014700</t>
  </si>
  <si>
    <t>46.600000</t>
  </si>
  <si>
    <t>0.478000</t>
  </si>
  <si>
    <t>8.050000</t>
  </si>
  <si>
    <t>3.760000</t>
  </si>
  <si>
    <t>33.003 Sanitäranlagen, Wohnen, inkl. Apparate und Leitungen (KBOB.2016)</t>
  </si>
  <si>
    <t>24100.000000</t>
  </si>
  <si>
    <t>23200.000000</t>
  </si>
  <si>
    <t>833.000000</t>
  </si>
  <si>
    <t>3.850000</t>
  </si>
  <si>
    <t>3.830000</t>
  </si>
  <si>
    <t>0.019200</t>
  </si>
  <si>
    <t>48.600000</t>
  </si>
  <si>
    <t>48.200000</t>
  </si>
  <si>
    <t>0.337000</t>
  </si>
  <si>
    <t>9.810000</t>
  </si>
  <si>
    <t>1.550000</t>
  </si>
  <si>
    <t>34.001 Elektroanlagen Wohnen (KBOB.2016)</t>
  </si>
  <si>
    <t>BUILDING_TECHNOLOGY_ELECTRICAL</t>
  </si>
  <si>
    <t>47200.000000</t>
  </si>
  <si>
    <t>45400.000000</t>
  </si>
  <si>
    <t>1820.000000</t>
  </si>
  <si>
    <t>4.850000</t>
  </si>
  <si>
    <t>4.790000</t>
  </si>
  <si>
    <t>0.058100</t>
  </si>
  <si>
    <t>55.400000</t>
  </si>
  <si>
    <t>54.600000</t>
  </si>
  <si>
    <t>0.757000</t>
  </si>
  <si>
    <t>9.300000</t>
  </si>
  <si>
    <t>34.002 Elektroanlagen Büro (KBOB.2016)</t>
  </si>
  <si>
    <t>117000.000000</t>
  </si>
  <si>
    <t>116000.000000</t>
  </si>
  <si>
    <t>900.000000</t>
  </si>
  <si>
    <t>76.200000</t>
  </si>
  <si>
    <t>76.100000</t>
  </si>
  <si>
    <t>0.048300</t>
  </si>
  <si>
    <t>114.000000</t>
  </si>
  <si>
    <t>113.000000</t>
  </si>
  <si>
    <t>0.832000</t>
  </si>
  <si>
    <t>23.800000</t>
  </si>
  <si>
    <t>1.450000</t>
  </si>
  <si>
    <t>34.024 Solarstromanlage (KBOB.2016)</t>
  </si>
  <si>
    <t>3170000.000000</t>
  </si>
  <si>
    <t>905.000000</t>
  </si>
  <si>
    <t>7390.000000</t>
  </si>
  <si>
    <t>2080.000000</t>
  </si>
  <si>
    <t>kWp</t>
  </si>
  <si>
    <t>34.025 Solarstromanlage Schrägdach (KBOB.2016)</t>
  </si>
  <si>
    <t>3190000.000000</t>
  </si>
  <si>
    <t>897.000000</t>
  </si>
  <si>
    <t>7290.000000</t>
  </si>
  <si>
    <t>2030.000000</t>
  </si>
  <si>
    <t>34.026 Solarstromanlage Flachdach (KBOB.2016)</t>
  </si>
  <si>
    <t>3070000.000000</t>
  </si>
  <si>
    <t>959.000000</t>
  </si>
  <si>
    <t>8020.000000</t>
  </si>
  <si>
    <t>2320.000000</t>
  </si>
  <si>
    <t>34.027 Solarstromanlage Fassade (KBOB.2016)</t>
  </si>
  <si>
    <t>7460.000000</t>
  </si>
  <si>
    <t>2140.000000</t>
  </si>
  <si>
    <t>Données des écobilans dans la construction</t>
  </si>
  <si>
    <t>PEF-ges</t>
  </si>
  <si>
    <t>PEF-e</t>
  </si>
  <si>
    <t>PEF-ne</t>
  </si>
  <si>
    <t>THG</t>
  </si>
  <si>
    <r>
      <rPr>
        <rFont val="Arial"/>
        <b/>
        <color theme="1"/>
        <sz val="14.0"/>
      </rPr>
      <t xml:space="preserve">GEBÄUDETECHNIK
</t>
    </r>
    <r>
      <rPr>
        <rFont val="Arial"/>
        <b val="0"/>
        <i/>
        <color theme="1"/>
        <sz val="10.0"/>
      </rPr>
      <t>[Bibliographie B&amp;H, BfU, treeze, version 2.2:2016]</t>
    </r>
  </si>
  <si>
    <t>Bezug
Référence</t>
  </si>
  <si>
    <r>
      <rPr>
        <rFont val="Arial"/>
        <b/>
        <color theme="1"/>
        <sz val="9.0"/>
      </rPr>
      <t xml:space="preserve">Primärenergie 
</t>
    </r>
    <r>
      <rPr>
        <rFont val="Arial"/>
        <b/>
        <i/>
        <color theme="1"/>
        <sz val="9.0"/>
      </rPr>
      <t>Energie primaire</t>
    </r>
  </si>
  <si>
    <t>Référence</t>
  </si>
  <si>
    <r>
      <rPr>
        <rFont val="Arial"/>
        <b/>
        <i/>
        <color theme="1"/>
        <sz val="14.0"/>
      </rPr>
      <t>TECHNIQUE DU BÂTIMENT</t>
    </r>
    <r>
      <rPr>
        <rFont val="Arial"/>
        <b/>
        <i/>
        <color theme="1"/>
        <sz val="12.0"/>
      </rPr>
      <t xml:space="preserve">
</t>
    </r>
    <r>
      <rPr>
        <rFont val="Arial"/>
        <b val="0"/>
        <i/>
        <color theme="1"/>
        <sz val="10.0"/>
      </rPr>
      <t>[Bibliographie B&amp;H, BfU, treeze, version v2.2:2016]</t>
    </r>
  </si>
  <si>
    <t>nicht erneuerbar</t>
  </si>
  <si>
    <t>Grösse</t>
  </si>
  <si>
    <t>non renouvelable</t>
  </si>
  <si>
    <t>Dimension</t>
  </si>
  <si>
    <t>Einheit / Unité</t>
  </si>
  <si>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</si>
  <si>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</si>
  <si>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</si>
  <si>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t>31</t>
  </si>
  <si>
    <t>Heizungsanlagen</t>
  </si>
  <si>
    <t>Installations de chauffage</t>
  </si>
  <si>
    <r>
      <rPr>
        <rFont val="Arial"/>
        <color theme="1"/>
        <sz val="10.0"/>
      </rPr>
      <t>Wärmeerzeuger, spez. Leistungsbedarf 10 W/m</t>
    </r>
    <r>
      <rPr>
        <rFont val="Arial"/>
        <color theme="1"/>
        <sz val="10.0"/>
        <vertAlign val="superscript"/>
      </rPr>
      <t>2</t>
    </r>
  </si>
  <si>
    <t>92.006</t>
  </si>
  <si>
    <t>Entsorgung, Wärmeerzeuger, spez. Leistungsbedarf 10 W/m2</t>
  </si>
  <si>
    <r>
      <rPr>
        <rFont val="Arial"/>
        <color theme="1"/>
        <sz val="10.0"/>
      </rPr>
      <t>m</t>
    </r>
    <r>
      <rPr>
        <rFont val="Arial"/>
        <color theme="1"/>
        <sz val="10.0"/>
        <vertAlign val="superscript"/>
      </rPr>
      <t>2</t>
    </r>
  </si>
  <si>
    <t>SRE</t>
  </si>
  <si>
    <r>
      <rPr>
        <rFont val="Arial"/>
        <i/>
        <color theme="1"/>
        <sz val="10.0"/>
      </rPr>
      <t>Prod. de chaleur, besoins en puissance 10 W/m</t>
    </r>
    <r>
      <rPr>
        <rFont val="Arial"/>
        <i/>
        <color theme="1"/>
        <sz val="10.0"/>
        <vertAlign val="superscript"/>
      </rPr>
      <t>2</t>
    </r>
  </si>
  <si>
    <r>
      <rPr>
        <rFont val="Arial"/>
        <color theme="1"/>
        <sz val="10.0"/>
      </rPr>
      <t>Wärmeerzeuger, spez. Leistungsbedarf 30 W/m</t>
    </r>
    <r>
      <rPr>
        <rFont val="Arial"/>
        <color theme="1"/>
        <sz val="10.0"/>
        <vertAlign val="superscript"/>
      </rPr>
      <t>2</t>
    </r>
  </si>
  <si>
    <t>92.007</t>
  </si>
  <si>
    <t>Entsorgung, Wärmeerzeuger, spez. Leistungsbedarf 30 W/m2</t>
  </si>
  <si>
    <r>
      <rPr>
        <rFont val="Arial"/>
        <color theme="1"/>
        <sz val="10.0"/>
      </rPr>
      <t>m</t>
    </r>
    <r>
      <rPr>
        <rFont val="Arial"/>
        <color theme="1"/>
        <sz val="10.0"/>
        <vertAlign val="superscript"/>
      </rPr>
      <t>2</t>
    </r>
  </si>
  <si>
    <r>
      <rPr>
        <rFont val="Arial"/>
        <i/>
        <color theme="1"/>
        <sz val="10.0"/>
      </rPr>
      <t>Prod.de chaleur, besoins en puissance 30 W/m</t>
    </r>
    <r>
      <rPr>
        <rFont val="Arial"/>
        <i/>
        <color theme="1"/>
        <sz val="10.0"/>
        <vertAlign val="superscript"/>
      </rPr>
      <t>2</t>
    </r>
  </si>
  <si>
    <r>
      <rPr>
        <rFont val="Arial"/>
        <color theme="1"/>
        <sz val="10.0"/>
      </rPr>
      <t>Wärmeerzeuger, spez. Leistungsbedarf 50 W/m</t>
    </r>
    <r>
      <rPr>
        <rFont val="Arial"/>
        <color theme="1"/>
        <sz val="10.0"/>
        <vertAlign val="superscript"/>
      </rPr>
      <t>2</t>
    </r>
  </si>
  <si>
    <t>92.008</t>
  </si>
  <si>
    <t>Entsorgung, Wärmeerzeuger, spez. Leistungsbedarf 50 W/m2</t>
  </si>
  <si>
    <r>
      <rPr>
        <rFont val="Arial"/>
        <color theme="1"/>
        <sz val="10.0"/>
      </rPr>
      <t>m</t>
    </r>
    <r>
      <rPr>
        <rFont val="Arial"/>
        <color theme="1"/>
        <sz val="10.0"/>
        <vertAlign val="superscript"/>
      </rPr>
      <t>2</t>
    </r>
  </si>
  <si>
    <r>
      <rPr>
        <rFont val="Arial"/>
        <i/>
        <color theme="1"/>
        <sz val="10.0"/>
      </rPr>
      <t>Prod.de chaleur, besoins en puissance 50 W/m</t>
    </r>
    <r>
      <rPr>
        <rFont val="Arial"/>
        <i/>
        <color theme="1"/>
        <sz val="10.0"/>
        <vertAlign val="superscript"/>
      </rPr>
      <t>2</t>
    </r>
  </si>
  <si>
    <t>Wärmeverteilung Wohngebäude</t>
  </si>
  <si>
    <t>92.014</t>
  </si>
  <si>
    <t>Entsorgung, Verteilung Wohngebäude</t>
  </si>
  <si>
    <r>
      <rPr>
        <rFont val="Arial"/>
        <color theme="1"/>
        <sz val="10.0"/>
      </rPr>
      <t>m</t>
    </r>
    <r>
      <rPr>
        <rFont val="Arial"/>
        <color theme="1"/>
        <sz val="10.0"/>
        <vertAlign val="superscript"/>
      </rPr>
      <t>2</t>
    </r>
  </si>
  <si>
    <t>Distribution de chaleur, bâtiment d'habitation</t>
  </si>
  <si>
    <t>Wärmeverteilung Bürogebäude</t>
  </si>
  <si>
    <t>92.015</t>
  </si>
  <si>
    <t>Entsorgung, Verteilung Bürogebäude</t>
  </si>
  <si>
    <r>
      <rPr>
        <rFont val="Arial"/>
        <color theme="1"/>
        <sz val="10.0"/>
      </rPr>
      <t>m</t>
    </r>
    <r>
      <rPr>
        <rFont val="Arial"/>
        <color theme="1"/>
        <sz val="10.0"/>
        <vertAlign val="superscript"/>
      </rPr>
      <t>2</t>
    </r>
  </si>
  <si>
    <t>Distribution de chaleur, bâtiment administratif</t>
  </si>
  <si>
    <t>Wärmeabgabe über Heizkörper</t>
  </si>
  <si>
    <t>92.016</t>
  </si>
  <si>
    <t>Entsorgung, Abgabe über Heizkörper</t>
  </si>
  <si>
    <r>
      <rPr>
        <rFont val="Arial"/>
        <color theme="1"/>
        <sz val="10.0"/>
      </rPr>
      <t>m</t>
    </r>
    <r>
      <rPr>
        <rFont val="Arial"/>
        <color theme="1"/>
        <sz val="10.0"/>
        <vertAlign val="superscript"/>
      </rPr>
      <t>2</t>
    </r>
  </si>
  <si>
    <t>Diffusion de chaleur par le biais du corps de chauffe</t>
  </si>
  <si>
    <t>Wärmeabgabe über Fussbodenheizung</t>
  </si>
  <si>
    <t>92.017</t>
  </si>
  <si>
    <t>Entsorgung, Abgabe über Fussbodenheizung</t>
  </si>
  <si>
    <r>
      <rPr>
        <rFont val="Arial"/>
        <color theme="1"/>
        <sz val="10.0"/>
      </rPr>
      <t>m</t>
    </r>
    <r>
      <rPr>
        <rFont val="Arial"/>
        <color theme="1"/>
        <sz val="10.0"/>
        <vertAlign val="superscript"/>
      </rPr>
      <t>2</t>
    </r>
  </si>
  <si>
    <t>Diffusion de chaleur par le biais du chauffage au sol</t>
  </si>
  <si>
    <t>Wärmeabgabe über Heizkühldecke (ohne Gips- oder Metalldecke)</t>
  </si>
  <si>
    <t>92.018</t>
  </si>
  <si>
    <t>Entsorgung, Abgabe über Heizkühldecke (ohne Gips- oder Metalldecke)</t>
  </si>
  <si>
    <r>
      <rPr>
        <rFont val="Arial"/>
        <color theme="1"/>
        <sz val="10.0"/>
      </rPr>
      <t>m</t>
    </r>
    <r>
      <rPr>
        <rFont val="Arial"/>
        <color theme="1"/>
        <sz val="10.0"/>
        <vertAlign val="superscript"/>
      </rPr>
      <t>2</t>
    </r>
  </si>
  <si>
    <t>Diffusion de chaleur par le biais du système de chauffage et de refroidissement au plafond</t>
  </si>
  <si>
    <t>Wärmeverteilung und Abgabe, Luftheizung</t>
  </si>
  <si>
    <t>92.019</t>
  </si>
  <si>
    <t>Entsorgung, Wärmeverteilung und Abgabe, Luftheizung</t>
  </si>
  <si>
    <r>
      <rPr>
        <rFont val="Arial"/>
        <color theme="1"/>
        <sz val="10.0"/>
      </rPr>
      <t>m</t>
    </r>
    <r>
      <rPr>
        <rFont val="Arial"/>
        <color theme="1"/>
        <sz val="10.0"/>
        <vertAlign val="superscript"/>
      </rPr>
      <t>2</t>
    </r>
  </si>
  <si>
    <t>Distribution de chaleur, chauffage à air chaud</t>
  </si>
  <si>
    <t>Erdsonden, für Sole-Wasser-Wärmepumpe</t>
  </si>
  <si>
    <t>92.009</t>
  </si>
  <si>
    <t>Entsorgung, Erdsonden, für Sole-Wasser-Wärmepumpe</t>
  </si>
  <si>
    <t>longueur</t>
  </si>
  <si>
    <t>Sondes géothermiques, pour la pompe à chaleur saumure-eau</t>
  </si>
  <si>
    <t>Sole-Wasser Wärmepumpe 8 kW</t>
  </si>
  <si>
    <t>92.010</t>
  </si>
  <si>
    <t>Entsorgung, Sole-Wasser Wärmepumpe 8 kW</t>
  </si>
  <si>
    <t>appareil</t>
  </si>
  <si>
    <t>Pompe à chaleur saumure-eau 8 kW</t>
  </si>
  <si>
    <t>92.011</t>
  </si>
  <si>
    <t>masse</t>
  </si>
  <si>
    <t>Luft-Wasser Wärmepumpe 8 kW</t>
  </si>
  <si>
    <t>92.012</t>
  </si>
  <si>
    <t>Entsorgung, Luft-Wasser Wärmepumpe 8 kW</t>
  </si>
  <si>
    <t>Pompe à chaleur air-eau 8 kW</t>
  </si>
  <si>
    <t>92.013</t>
  </si>
  <si>
    <t>Flachkollektor für Warmwasser EFH</t>
  </si>
  <si>
    <r>
      <rPr>
        <rFont val="Arial"/>
        <color theme="1"/>
        <sz val="10.0"/>
      </rPr>
      <t>m</t>
    </r>
    <r>
      <rPr>
        <rFont val="Arial"/>
        <color theme="1"/>
        <sz val="10.0"/>
        <vertAlign val="superscript"/>
      </rPr>
      <t>2</t>
    </r>
  </si>
  <si>
    <t>inkl.</t>
  </si>
  <si>
    <t>Surf. collecteurs</t>
  </si>
  <si>
    <t>Collecteurs solaires plan, eau chaude maison individuelle</t>
  </si>
  <si>
    <t>Flachkollektor für Raumheizung und Warmwasser EFH</t>
  </si>
  <si>
    <r>
      <rPr>
        <rFont val="Arial"/>
        <color theme="1"/>
        <sz val="10.0"/>
      </rPr>
      <t>m</t>
    </r>
    <r>
      <rPr>
        <rFont val="Arial"/>
        <color theme="1"/>
        <sz val="10.0"/>
        <vertAlign val="superscript"/>
      </rPr>
      <t>2</t>
    </r>
  </si>
  <si>
    <t>Collecteurs solaires plan, chaleur et eau chaude  maison individuelle</t>
  </si>
  <si>
    <t>Flachkollektor für Warmwasser MFH</t>
  </si>
  <si>
    <r>
      <rPr>
        <rFont val="Arial"/>
        <color theme="1"/>
        <sz val="10.0"/>
      </rPr>
      <t>m</t>
    </r>
    <r>
      <rPr>
        <rFont val="Arial"/>
        <color theme="1"/>
        <sz val="10.0"/>
        <vertAlign val="superscript"/>
      </rPr>
      <t>2</t>
    </r>
  </si>
  <si>
    <t>Collecteurs solaires plan, eau chaude immeuble locatif</t>
  </si>
  <si>
    <t>Röhrenkollektor für Raumheizung und Warmwasser EFH</t>
  </si>
  <si>
    <r>
      <rPr>
        <rFont val="Arial"/>
        <color theme="1"/>
        <sz val="10.0"/>
      </rPr>
      <t>m</t>
    </r>
    <r>
      <rPr>
        <rFont val="Arial"/>
        <color theme="1"/>
        <sz val="10.0"/>
        <vertAlign val="superscript"/>
      </rPr>
      <t>2</t>
    </r>
  </si>
  <si>
    <t>Collecteurs solaires à tubes, chaleur et eau chaude  maison individuelle</t>
  </si>
  <si>
    <t>32</t>
  </si>
  <si>
    <t>Lüftungsanlagen</t>
  </si>
  <si>
    <t>Ventilation</t>
  </si>
  <si>
    <r>
      <rPr>
        <rFont val="Arial"/>
        <color theme="1"/>
        <sz val="10.0"/>
      </rPr>
      <t>Lüftungsanlage, spez. Luftmenge 1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</si>
  <si>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t>92.027</t>
  </si>
  <si>
    <t>Entsorgung, Lüftungsanlage, spez. Luftmenge 1 m3/hm2 EBF</t>
  </si>
  <si>
    <r>
      <rPr>
        <rFont val="Arial"/>
        <color theme="1"/>
        <sz val="10.0"/>
      </rPr>
      <t>m</t>
    </r>
    <r>
      <rPr>
        <rFont val="Arial"/>
        <color theme="1"/>
        <sz val="10.0"/>
        <vertAlign val="superscript"/>
      </rPr>
      <t>2</t>
    </r>
  </si>
  <si>
    <r>
      <rPr>
        <rFont val="Arial"/>
        <i/>
        <color theme="1"/>
        <sz val="10.0"/>
      </rPr>
      <t>Ventilation bureau, canaux en tôle, besoins en air 1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EBF</t>
    </r>
  </si>
  <si>
    <r>
      <rPr>
        <rFont val="Arial"/>
        <color theme="1"/>
        <sz val="10.0"/>
      </rPr>
      <t>Lüftungsanlage, spez. Luftmenge 2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</si>
  <si>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t>92.028</t>
  </si>
  <si>
    <t>Entsorgung, Lüftungsanlage, spez. Luftmenge 2 m3/hm2 EBF</t>
  </si>
  <si>
    <r>
      <rPr>
        <rFont val="Arial"/>
        <color theme="1"/>
        <sz val="10.0"/>
      </rPr>
      <t>m</t>
    </r>
    <r>
      <rPr>
        <rFont val="Arial"/>
        <color theme="1"/>
        <sz val="10.0"/>
        <vertAlign val="superscript"/>
      </rPr>
      <t>2</t>
    </r>
  </si>
  <si>
    <r>
      <rPr>
        <rFont val="Arial"/>
        <i/>
        <color theme="1"/>
        <sz val="10.0"/>
      </rPr>
      <t>Ventilation bureau, canaux en tôle, besoins en air  2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</si>
  <si>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Lüftungsanlage, spez. Luftmenge 4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</si>
  <si>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t>92.029</t>
  </si>
  <si>
    <t>Entsorgung, Lüftungsanlage, spez. Luftmenge 4 m3/hm2 EBF</t>
  </si>
  <si>
    <r>
      <rPr>
        <rFont val="Arial"/>
        <color theme="1"/>
        <sz val="10.0"/>
      </rPr>
      <t>m</t>
    </r>
    <r>
      <rPr>
        <rFont val="Arial"/>
        <color theme="1"/>
        <sz val="10.0"/>
        <vertAlign val="superscript"/>
      </rPr>
      <t>2</t>
    </r>
  </si>
  <si>
    <r>
      <rPr>
        <rFont val="Arial"/>
        <i/>
        <color theme="1"/>
        <sz val="10.0"/>
      </rPr>
      <t>Ventilation bureau, canaux en tôle, besoins en air 4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</si>
  <si>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Lüftungsanlage, spez. Luftmenge 6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</si>
  <si>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t>92.030</t>
  </si>
  <si>
    <t>Entsorgung, Lüftungsanlage, spez. Luftmenge 6 m3/hm2 EBF</t>
  </si>
  <si>
    <r>
      <rPr>
        <rFont val="Arial"/>
        <color theme="1"/>
        <sz val="10.0"/>
      </rPr>
      <t>m</t>
    </r>
    <r>
      <rPr>
        <rFont val="Arial"/>
        <color theme="1"/>
        <sz val="10.0"/>
        <vertAlign val="superscript"/>
      </rPr>
      <t>2</t>
    </r>
  </si>
  <si>
    <r>
      <rPr>
        <rFont val="Arial"/>
        <i/>
        <color theme="1"/>
        <sz val="10.0"/>
      </rPr>
      <t>Ventilation bureau, canaux en tôle, besoins en air 6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</si>
  <si>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Lüftungsanlage, spez. Luftmenge 8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</si>
  <si>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t>92.031</t>
  </si>
  <si>
    <t>Entsorgung, Lüftungsanlage, spez. Luftmenge 8 m3/hm2 EBF</t>
  </si>
  <si>
    <r>
      <rPr>
        <rFont val="Arial"/>
        <color theme="1"/>
        <sz val="10.0"/>
      </rPr>
      <t>m</t>
    </r>
    <r>
      <rPr>
        <rFont val="Arial"/>
        <color theme="1"/>
        <sz val="10.0"/>
        <vertAlign val="superscript"/>
      </rPr>
      <t>2</t>
    </r>
  </si>
  <si>
    <r>
      <rPr>
        <rFont val="Arial"/>
        <i/>
        <color theme="1"/>
        <sz val="10.0"/>
      </rPr>
      <t>Ventilation bureau, canaux en tôle, besoins en air 8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</si>
  <si>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t>Lüftungsanlage Wohnen, Blechkanäle, inkl. Küchenabluft</t>
  </si>
  <si>
    <t>92.021</t>
  </si>
  <si>
    <t>Entsorgung, Lüftungsanlage Wohnen, Blechkanäle, inkl. Küchenabluft</t>
  </si>
  <si>
    <r>
      <rPr>
        <rFont val="Arial"/>
        <color theme="1"/>
        <sz val="10.0"/>
      </rPr>
      <t>m</t>
    </r>
    <r>
      <rPr>
        <rFont val="Arial"/>
        <color theme="1"/>
        <sz val="10.0"/>
        <vertAlign val="superscript"/>
      </rPr>
      <t>2</t>
    </r>
  </si>
  <si>
    <t xml:space="preserve">Ventilation habitation, canaux en tôle, évacuation d'air (cuisine) </t>
  </si>
  <si>
    <t>Lüftungsanlage Wohnen, PE-Kanäle, inkl. Küchenabluft</t>
  </si>
  <si>
    <t>92.022</t>
  </si>
  <si>
    <t>Entsorgung, Lüftungsanlage Wohnen, PE-Kanäle, inkl. Küchenabluft</t>
  </si>
  <si>
    <r>
      <rPr>
        <rFont val="Arial"/>
        <color theme="1"/>
        <sz val="10.0"/>
      </rPr>
      <t>m</t>
    </r>
    <r>
      <rPr>
        <rFont val="Arial"/>
        <color theme="1"/>
        <sz val="10.0"/>
        <vertAlign val="superscript"/>
      </rPr>
      <t>2</t>
    </r>
  </si>
  <si>
    <t xml:space="preserve">Ventilation habitation, canaux en HDPE, évacuation d'air (cuisine) </t>
  </si>
  <si>
    <t>Abluftanlage Küche und Bad</t>
  </si>
  <si>
    <t>92.023</t>
  </si>
  <si>
    <t>Entsorgung, Abluftanlage Küche und Bad</t>
  </si>
  <si>
    <r>
      <rPr>
        <rFont val="Arial"/>
        <color theme="1"/>
        <sz val="10.0"/>
      </rPr>
      <t>m</t>
    </r>
    <r>
      <rPr>
        <rFont val="Arial"/>
        <color theme="1"/>
        <sz val="10.0"/>
        <vertAlign val="superscript"/>
      </rPr>
      <t>2</t>
    </r>
  </si>
  <si>
    <t>Evacuation d'air cuisine et salle de bain</t>
  </si>
  <si>
    <t>Erdregister zu Lüftungsanlage Wohnen</t>
  </si>
  <si>
    <t>92.024</t>
  </si>
  <si>
    <t>Entsorgung, Erdregister zu Lüftungsanlage Wohnen</t>
  </si>
  <si>
    <r>
      <rPr>
        <rFont val="Arial"/>
        <color theme="1"/>
        <sz val="10.0"/>
      </rPr>
      <t>m</t>
    </r>
    <r>
      <rPr>
        <rFont val="Arial"/>
        <color theme="1"/>
        <sz val="10.0"/>
        <vertAlign val="superscript"/>
      </rPr>
      <t>2</t>
    </r>
  </si>
  <si>
    <t>Registre de terre pour ventilation habitation</t>
  </si>
  <si>
    <r>
      <rPr>
        <rFont val="Arial"/>
        <color theme="1"/>
        <sz val="10.0"/>
      </rPr>
      <t>Erdregister kurz zu Lüftungsanlage Büro (0.27 m/m</t>
    </r>
    <r>
      <rPr>
        <rFont val="Arial"/>
        <color theme="1"/>
        <sz val="10.0"/>
        <vertAlign val="superscript"/>
      </rPr>
      <t>2</t>
    </r>
    <r>
      <rPr>
        <rFont val="Arial"/>
        <color theme="1"/>
        <sz val="10.0"/>
      </rPr>
      <t xml:space="preserve"> EBF)</t>
    </r>
  </si>
  <si>
    <t>92.025</t>
  </si>
  <si>
    <t>Entsorgung, Erdregister kurz zu Lüftungsanlage Büro (0.27 m/m2 EBF)</t>
  </si>
  <si>
    <r>
      <rPr>
        <rFont val="Arial"/>
        <color theme="1"/>
        <sz val="10.0"/>
      </rPr>
      <t>m</t>
    </r>
    <r>
      <rPr>
        <rFont val="Arial"/>
        <color theme="1"/>
        <sz val="10.0"/>
        <vertAlign val="superscript"/>
      </rPr>
      <t>2</t>
    </r>
  </si>
  <si>
    <r>
      <rPr>
        <rFont val="Arial"/>
        <i/>
        <color theme="1"/>
        <sz val="10.0"/>
      </rPr>
      <t>Registre de terre court pour ventilation bureau (0.27 m/m</t>
    </r>
    <r>
      <rPr>
        <rFont val="Arial"/>
        <i/>
        <color theme="1"/>
        <sz val="10.0"/>
        <vertAlign val="superscript"/>
      </rPr>
      <t>2</t>
    </r>
    <r>
      <rPr>
        <rFont val="Arial"/>
        <i/>
        <color theme="1"/>
        <sz val="10.0"/>
      </rPr>
      <t xml:space="preserve"> SRE)</t>
    </r>
  </si>
  <si>
    <r>
      <rPr>
        <rFont val="Arial"/>
        <color theme="1"/>
        <sz val="10.0"/>
      </rPr>
      <t>Erdregister lang zu Lüftungsanlage Büro (0.67 m/m</t>
    </r>
    <r>
      <rPr>
        <rFont val="Arial"/>
        <color theme="1"/>
        <sz val="10.0"/>
        <vertAlign val="superscript"/>
      </rPr>
      <t>2</t>
    </r>
    <r>
      <rPr>
        <rFont val="Arial"/>
        <color theme="1"/>
        <sz val="10.0"/>
      </rPr>
      <t xml:space="preserve"> EBF)</t>
    </r>
  </si>
  <si>
    <t>92.026</t>
  </si>
  <si>
    <t>Entsorgung, Erdregister lang zu Lüftungsanlage Büro (0.67 m/m2 EBF)</t>
  </si>
  <si>
    <r>
      <rPr>
        <rFont val="Arial"/>
        <color theme="1"/>
        <sz val="10.0"/>
      </rPr>
      <t>m</t>
    </r>
    <r>
      <rPr>
        <rFont val="Arial"/>
        <color theme="1"/>
        <sz val="10.0"/>
        <vertAlign val="superscript"/>
      </rPr>
      <t>2</t>
    </r>
  </si>
  <si>
    <r>
      <rPr>
        <rFont val="Arial"/>
        <i/>
        <color theme="1"/>
        <sz val="10.0"/>
      </rPr>
      <t>Registre de terre long pour ventilation bureau (0.67 m/m</t>
    </r>
    <r>
      <rPr>
        <rFont val="Arial"/>
        <i/>
        <color theme="1"/>
        <sz val="10.0"/>
        <vertAlign val="superscript"/>
      </rPr>
      <t>2</t>
    </r>
    <r>
      <rPr>
        <rFont val="Arial"/>
        <i/>
        <color theme="1"/>
        <sz val="10.0"/>
      </rPr>
      <t xml:space="preserve"> SRE)</t>
    </r>
  </si>
  <si>
    <r>
      <rPr>
        <rFont val="Arial"/>
        <color theme="1"/>
        <sz val="10.0"/>
      </rPr>
      <t>Einzelraumlüfer Fenstermodell 10-30 m</t>
    </r>
    <r>
      <rPr>
        <rFont val="Arial"/>
        <color theme="1"/>
        <sz val="10.0"/>
        <vertAlign val="superscript"/>
      </rPr>
      <t>3</t>
    </r>
    <r>
      <rPr>
        <rFont val="Arial"/>
        <color theme="1"/>
        <sz val="10.0"/>
      </rPr>
      <t>/h, ohne Montage</t>
    </r>
  </si>
  <si>
    <t>92.020</t>
  </si>
  <si>
    <t>Entsorgung, Einzelraumlüfer Fenstermodell 10-30 m3/h, ohne Montage</t>
  </si>
  <si>
    <r>
      <rPr>
        <rFont val="Arial"/>
        <i/>
        <color theme="1"/>
        <sz val="10.0"/>
      </rPr>
      <t>Ventilation pièce individuelle, modèle de fenêtre 10-30 m</t>
    </r>
    <r>
      <rPr>
        <rFont val="Arial"/>
        <i/>
        <color theme="1"/>
        <sz val="10.0"/>
        <vertAlign val="superscript"/>
      </rPr>
      <t>3</t>
    </r>
    <r>
      <rPr>
        <rFont val="Arial"/>
        <i/>
        <color theme="1"/>
        <sz val="10.0"/>
      </rPr>
      <t>/h, sans montage</t>
    </r>
  </si>
  <si>
    <t>33</t>
  </si>
  <si>
    <t>Sanitäranlagen</t>
  </si>
  <si>
    <t>Installations sanitaires</t>
  </si>
  <si>
    <t>Sanitäranlagen, Büro, einfach, inkl. Apparate und Leitungen</t>
  </si>
  <si>
    <t>92.001</t>
  </si>
  <si>
    <t>Entsorgung, Büro, einfache Installation, inkl. Apparate und Leitungen</t>
  </si>
  <si>
    <r>
      <rPr>
        <rFont val="Arial"/>
        <color theme="1"/>
        <sz val="10.0"/>
      </rPr>
      <t>m</t>
    </r>
    <r>
      <rPr>
        <rFont val="Arial"/>
        <color theme="1"/>
        <sz val="10.0"/>
        <vertAlign val="superscript"/>
      </rPr>
      <t>2</t>
    </r>
  </si>
  <si>
    <t>Bureau, degré de complexité faible, appareils et conduites compris</t>
  </si>
  <si>
    <t>Sanitäranlagen, Büro, aufwändig, inkl. Apparate und Leitungen</t>
  </si>
  <si>
    <t>92.002</t>
  </si>
  <si>
    <t>Entsorgung, Büro, aufwändige Installation, inkl. Apparate und Leitungen</t>
  </si>
  <si>
    <r>
      <rPr>
        <rFont val="Arial"/>
        <color theme="1"/>
        <sz val="10.0"/>
      </rPr>
      <t>m</t>
    </r>
    <r>
      <rPr>
        <rFont val="Arial"/>
        <color theme="1"/>
        <sz val="10.0"/>
        <vertAlign val="superscript"/>
      </rPr>
      <t>2</t>
    </r>
  </si>
  <si>
    <t>Bureau, degré de complexité élevé, appareils et conduites compris</t>
  </si>
  <si>
    <t>Sanitäranlagen, Wohnen, inkl. Apparate und Leitungen</t>
  </si>
  <si>
    <t>92.003</t>
  </si>
  <si>
    <t>Entsorgung, Wohnen, inkl. Apparate und Leitungen</t>
  </si>
  <si>
    <r>
      <rPr>
        <rFont val="Arial"/>
        <color theme="1"/>
        <sz val="10.0"/>
      </rPr>
      <t>m</t>
    </r>
    <r>
      <rPr>
        <rFont val="Arial"/>
        <color theme="1"/>
        <sz val="10.0"/>
        <vertAlign val="superscript"/>
      </rPr>
      <t>2</t>
    </r>
  </si>
  <si>
    <t>Habitation, appareils et conduites compris</t>
  </si>
  <si>
    <t>34</t>
  </si>
  <si>
    <t>Elektroanlagen</t>
  </si>
  <si>
    <t>Installations électriques</t>
  </si>
  <si>
    <t>Elektroanlagen Wohnen</t>
  </si>
  <si>
    <t>92.004</t>
  </si>
  <si>
    <t>Entsorgung, Elektroanlagen Wohnen</t>
  </si>
  <si>
    <r>
      <rPr>
        <rFont val="Arial"/>
        <color theme="1"/>
        <sz val="10.0"/>
      </rPr>
      <t>m</t>
    </r>
    <r>
      <rPr>
        <rFont val="Arial"/>
        <color theme="1"/>
        <sz val="10.0"/>
        <vertAlign val="superscript"/>
      </rPr>
      <t>2</t>
    </r>
  </si>
  <si>
    <t>Installations électriques, habitation</t>
  </si>
  <si>
    <t>Elektroanlagen Büro</t>
  </si>
  <si>
    <t>92.005</t>
  </si>
  <si>
    <t>Entsorgung, Elektroanlagen Büro</t>
  </si>
  <si>
    <r>
      <rPr>
        <rFont val="Arial"/>
        <color theme="1"/>
        <sz val="10.0"/>
      </rPr>
      <t>m</t>
    </r>
    <r>
      <rPr>
        <rFont val="Arial"/>
        <color theme="1"/>
        <sz val="10.0"/>
        <vertAlign val="superscript"/>
      </rPr>
      <t>2</t>
    </r>
  </si>
  <si>
    <t>Installations électriques, bureau</t>
  </si>
  <si>
    <t>Solarstromanlage</t>
  </si>
  <si>
    <t>Puissance max.</t>
  </si>
  <si>
    <t>Installations photovoltaïque</t>
  </si>
  <si>
    <t>Solarstromanlage Schrägdach</t>
  </si>
  <si>
    <t>Installations photovoltaïque toiture inclinée</t>
  </si>
  <si>
    <t>Solarstromanlage Flachdach</t>
  </si>
  <si>
    <t>Installations photovoltaïque toiture plate</t>
  </si>
  <si>
    <t>Solarstromanlage Fassade</t>
  </si>
  <si>
    <t>Installations photovoltaïque façade</t>
  </si>
  <si>
    <t/>
  </si>
  <si>
    <t>41.001 Heizöl EL (KBOB.2016)</t>
  </si>
  <si>
    <t>OTHER_RESOURCE_ENERGY_FUEL</t>
  </si>
  <si>
    <t>kWh</t>
  </si>
  <si>
    <t>41.001</t>
  </si>
  <si>
    <t>41.002 Erdgas (KBOB.2016)</t>
  </si>
  <si>
    <t>41.002</t>
  </si>
  <si>
    <t>41.003 Propan/Butan (KBOB.2016)</t>
  </si>
  <si>
    <t>41.003</t>
  </si>
  <si>
    <t>41.004 Kohle Koks (KBOB.2016)</t>
  </si>
  <si>
    <t>41.004</t>
  </si>
  <si>
    <t>41.005 Kohle Brikett (KBOB.2016)</t>
  </si>
  <si>
    <t>41.005</t>
  </si>
  <si>
    <t>41.006 Stückholz (KBOB.2016)</t>
  </si>
  <si>
    <t>41.006</t>
  </si>
  <si>
    <t>41.010 Stückholz mit Partikelfilter (KBOB.2016)</t>
  </si>
  <si>
    <t>41.010</t>
  </si>
  <si>
    <t>41.007 Holzschnitzel (KBOB.2016)</t>
  </si>
  <si>
    <t>41.007</t>
  </si>
  <si>
    <t>41.011 Holzschnitzel mit Partikelfilter (KBOB.2016)</t>
  </si>
  <si>
    <t>41.011</t>
  </si>
  <si>
    <t>41.008 Pellets (KBOB.2016)</t>
  </si>
  <si>
    <t>41.008</t>
  </si>
  <si>
    <t>41.012 Pellets mit Partikelfilter (KBOB.2016)</t>
  </si>
  <si>
    <t>41.012</t>
  </si>
  <si>
    <t>41.009 Biogas (KBOB.2016)</t>
  </si>
  <si>
    <t>41.009</t>
  </si>
  <si>
    <t>42.001 Heizzentrale Oel (KBOB.2016)</t>
  </si>
  <si>
    <t>OTHER_RESOURCE_ENERGY_DISTRICT_HEAT</t>
  </si>
  <si>
    <t>42.001</t>
  </si>
  <si>
    <t>42.002 Heizzentrale Gas (KBOB.2016)</t>
  </si>
  <si>
    <t>42.002</t>
  </si>
  <si>
    <t>42.003 Heizzentrale Holz (KBOB.2016)</t>
  </si>
  <si>
    <t>42.003</t>
  </si>
  <si>
    <t>42.004 Heizkraftwerk Holz (KBOB.2016)</t>
  </si>
  <si>
    <t>42.004</t>
  </si>
  <si>
    <t>42.005 Heizzentrale EWP Luft/Wasser (JAZ 2.8) (KBOB.2016)</t>
  </si>
  <si>
    <t>42.005</t>
  </si>
  <si>
    <t>42.006 Heizzentrale EWP Abwasser (JAZ 3.4) (KBOB.2016)</t>
  </si>
  <si>
    <t>42.006</t>
  </si>
  <si>
    <t>42.007 Heizzentrale EWP Grundwasser (JAZ 3.4) (KBOB.2016)</t>
  </si>
  <si>
    <t>42.007</t>
  </si>
  <si>
    <t>42.008 Heizzentrale EWP Erdsonde (JAZ 3.9) (KBOB.2016)</t>
  </si>
  <si>
    <t>42.008</t>
  </si>
  <si>
    <t>42.009 Heizzentrale Geothermie (KBOB.2016)</t>
  </si>
  <si>
    <t>42.009</t>
  </si>
  <si>
    <t>42.010 Heizkraftwerk Geothermie (KBOB.2016)</t>
  </si>
  <si>
    <t>42.010</t>
  </si>
  <si>
    <t>42.011 Kehrichtverbrennung (KBOB.2016)</t>
  </si>
  <si>
    <t>42.011</t>
  </si>
  <si>
    <t>42.012 Blockheizkraftwerk Diesel (KBOB.2016)</t>
  </si>
  <si>
    <t>42.012</t>
  </si>
  <si>
    <t>42.013 Blockheizkraftwerk Gas (KBOB.2016)</t>
  </si>
  <si>
    <t>42.013</t>
  </si>
  <si>
    <t>42.014 Blockheizkraftwerk Biogas (KBOB.2016)</t>
  </si>
  <si>
    <t>42.014</t>
  </si>
  <si>
    <t>42.015 Blockheizkraftwerk Biogas, Landwirtschaft (KBOB.2016)</t>
  </si>
  <si>
    <t>42.015</t>
  </si>
  <si>
    <t>42.016 Fernwärme Durchschnitt Netze CH (KBOB.2016)</t>
  </si>
  <si>
    <t>42.016</t>
  </si>
  <si>
    <t>42.017 Fernwärme mit Nutzung Kehrichtwärme, Durchschnitt Netze CH (KBOB.2016)</t>
  </si>
  <si>
    <t>42.017</t>
  </si>
  <si>
    <t>43.001 Heizkessel Heizöl EL (KBOB.2016)</t>
  </si>
  <si>
    <t>OTHER_RESOURCE_ENERGY_USEFUL_HEAT</t>
  </si>
  <si>
    <t>43.001</t>
  </si>
  <si>
    <t>43.002 Heizkessel Erdgas (KBOB.2016)</t>
  </si>
  <si>
    <t>43.002</t>
  </si>
  <si>
    <t>43.003 Heizkessel Propan / Butan (KBOB.2016)</t>
  </si>
  <si>
    <t>43.003</t>
  </si>
  <si>
    <t>43.004 Heizkessel Kohle Koks (KBOB.2016)</t>
  </si>
  <si>
    <t>43.004</t>
  </si>
  <si>
    <t>43.005 Heizkessel Kohle Brikett (KBOB.2016)</t>
  </si>
  <si>
    <t>43.005</t>
  </si>
  <si>
    <t>43.006 Heizkessel Stückholz (KBOB.2016)</t>
  </si>
  <si>
    <t>43.006</t>
  </si>
  <si>
    <t>43.010 Heizkessel Stückholz mit Partikelfilter (KBOB.2016)</t>
  </si>
  <si>
    <t>43.010</t>
  </si>
  <si>
    <t>43.007 Heizkessel Holzschnitzel (KBOB.2016)</t>
  </si>
  <si>
    <t>43.007</t>
  </si>
  <si>
    <t>43.011 Heizkessel Holzschnitzel mit Partikelfilter (KBOB.2016)</t>
  </si>
  <si>
    <t>43.011</t>
  </si>
  <si>
    <t>43.008 Heizkessel Pellets (KBOB.2016)</t>
  </si>
  <si>
    <t>43.008</t>
  </si>
  <si>
    <t>43.012 Heizkessel Pellets mit Partikelfilter (KBOB.2016)</t>
  </si>
  <si>
    <t>43.012</t>
  </si>
  <si>
    <t>43.009 Heizkessel Biogas (KBOB.2016)</t>
  </si>
  <si>
    <t>43.009</t>
  </si>
  <si>
    <t>44.001 Elektrowärmepumpe Luft / Wasser (JAZ 2.8) (KBOB.2016)</t>
  </si>
  <si>
    <t>OTHER_RESOURCE_ENERGY_USEFUL_HEAT_GENERATED_LOCALLY</t>
  </si>
  <si>
    <t>44.001</t>
  </si>
  <si>
    <t>44.002 Elektrowärmepumpe Erdsonden (JAZ 3.9) (KBOB.2016)</t>
  </si>
  <si>
    <t>44.002</t>
  </si>
  <si>
    <t>44.003 Elektrowärmepumpe Grundwasser (JAZ 3.4) (KBOB.2016)</t>
  </si>
  <si>
    <t>44.003</t>
  </si>
  <si>
    <t>44.004 Flachkollektor für Warmwasser EFH (KBOB.2016)</t>
  </si>
  <si>
    <t>44.004</t>
  </si>
  <si>
    <t>44.005 Flachkollektor für Raumheizung und Warmwasser EFH (KBOB.2016)</t>
  </si>
  <si>
    <t>44.005</t>
  </si>
  <si>
    <t>44.006 Flachkollektor für Warmwasser MFH (KBOB.2016)</t>
  </si>
  <si>
    <t>44.006</t>
  </si>
  <si>
    <t>44.007 Röhrenkollektor für Raumheizung und Warmwasser EFH (KBOB.2016)</t>
  </si>
  <si>
    <t>44.007</t>
  </si>
  <si>
    <t>44.008 Kleinblockheizkraftwerk, Erdgas (KBOB.2016)</t>
  </si>
  <si>
    <t>44.008</t>
  </si>
  <si>
    <t>45.001 Atomkraftwerk (KBOB.2016)</t>
  </si>
  <si>
    <t>OTHER_RESOURCE_ENERGY_ELECTRICITY_NET</t>
  </si>
  <si>
    <t>45.001</t>
  </si>
  <si>
    <t>45.002 Erdgaskombikraftwerk GuD (KBOB.2016)</t>
  </si>
  <si>
    <t>45.002</t>
  </si>
  <si>
    <t>45.023 Braunkohlekraftwerk (KBOB.2016)</t>
  </si>
  <si>
    <t>45.023</t>
  </si>
  <si>
    <t>45.003 Steinkohlekraftwerk (KBOB.2016)</t>
  </si>
  <si>
    <t>45.003</t>
  </si>
  <si>
    <t>45.004 Kraftwerk Schweröl (KBOB.2016)</t>
  </si>
  <si>
    <t>45.004</t>
  </si>
  <si>
    <t>45.005 Kehrichtverbrennung (KBOB.2016)</t>
  </si>
  <si>
    <t>45.005</t>
  </si>
  <si>
    <t>45.006 Heizkraftwerk Holz (KBOB.2016)</t>
  </si>
  <si>
    <t>45.006</t>
  </si>
  <si>
    <t>45.007 Blockheizkraftwerk Diesel (KBOB.2016)</t>
  </si>
  <si>
    <t>45.007</t>
  </si>
  <si>
    <t>45.008 Blockheizkraftwerk Gas (KBOB.2016)</t>
  </si>
  <si>
    <t>45.008</t>
  </si>
  <si>
    <t>45.009 Blockheizkraftwerk Biogas (KBOB.2016)</t>
  </si>
  <si>
    <t>45.009</t>
  </si>
  <si>
    <t>45.010 Blockheizkraftwerk Biogas, Landwirtschaft (KBOB.2016)</t>
  </si>
  <si>
    <t>45.010</t>
  </si>
  <si>
    <t>45.011 Photovoltaik (KBOB.2016)</t>
  </si>
  <si>
    <t>45.011</t>
  </si>
  <si>
    <t>45.012 Photovoltaik Schrägdach (KBOB.2016)</t>
  </si>
  <si>
    <t>45.012</t>
  </si>
  <si>
    <t>45.013 Photovoltaik Flachdach (KBOB.2016)</t>
  </si>
  <si>
    <t>45.013</t>
  </si>
  <si>
    <t>45.014 Photovoltaik Fassade (KBOB.2016)</t>
  </si>
  <si>
    <t>45.014</t>
  </si>
  <si>
    <t>45.015 Windkraft (KBOB.2016)</t>
  </si>
  <si>
    <t>45.015</t>
  </si>
  <si>
    <t>45.016 Wasserkraft (KBOB.2016)</t>
  </si>
  <si>
    <t>45.016</t>
  </si>
  <si>
    <t>45.017 Pumpspeicherung (KBOB.2016)</t>
  </si>
  <si>
    <t>45.017</t>
  </si>
  <si>
    <t>45.018 Heizkraftwerk Geothermie (KBOB.2016)</t>
  </si>
  <si>
    <t>45.018</t>
  </si>
  <si>
    <t>45.019 CH-Produktionsmix (KBOB.2016)</t>
  </si>
  <si>
    <t>45.019</t>
  </si>
  <si>
    <t>45.022 Mix Stromprodukte aus erneuerbaren Energien (KBOB.2016)</t>
  </si>
  <si>
    <t>45.022</t>
  </si>
  <si>
    <t>45.020 CH-Verbrauchermix3 (KBOB.2016)</t>
  </si>
  <si>
    <t>45.020</t>
  </si>
  <si>
    <t>45.021 ENTSO-E-Mix (ehemals UCTE-Mix) (KBOB.2016)</t>
  </si>
  <si>
    <t>45.021</t>
  </si>
  <si>
    <t>46.001 Photovoltaik (KBOB.2016)</t>
  </si>
  <si>
    <t>OTHER_RESOURCE_ENERGY_ELECTRICITY_GENERATED_LOCALLY</t>
  </si>
  <si>
    <t>46.001</t>
  </si>
  <si>
    <t>46.002 Photovoltaik Schrägdach (KBOB.2016)</t>
  </si>
  <si>
    <t>46.002</t>
  </si>
  <si>
    <t>46.003 Photovoltaik Flachdach (KBOB.2016)</t>
  </si>
  <si>
    <t>46.003</t>
  </si>
  <si>
    <t>46.004 Photovoltaik Fassade (KBOB.2016)</t>
  </si>
  <si>
    <t>46.004</t>
  </si>
  <si>
    <t>46.005 Windkraft (KBOB.2016)</t>
  </si>
  <si>
    <t>46.005</t>
  </si>
  <si>
    <t>46.006 Biogas (KBOB.2016)</t>
  </si>
  <si>
    <t>46.006</t>
  </si>
  <si>
    <t>46.007 Biogas, Landwirtschaft (KBOB.2016)</t>
  </si>
  <si>
    <t>46.007</t>
  </si>
  <si>
    <t>46.008 Kleinblockheizkraftwerk, Erdgas (KBOB.2016)</t>
  </si>
  <si>
    <t>46.008</t>
  </si>
  <si>
    <t>PEF-es</t>
  </si>
  <si>
    <r>
      <rPr>
        <rFont val="Arial"/>
        <b/>
        <color theme="1"/>
        <sz val="14.0"/>
      </rPr>
      <t xml:space="preserve">ENERGIE
</t>
    </r>
    <r>
      <rPr>
        <rFont val="Arial"/>
        <b val="0"/>
        <i/>
        <color theme="1"/>
        <sz val="10.0"/>
      </rPr>
      <t>[Bibliographie treeze, version 2.2:2016]</t>
    </r>
  </si>
  <si>
    <t>Bezug
Réference</t>
  </si>
  <si>
    <r>
      <rPr>
        <rFont val="Arial"/>
        <b/>
        <color theme="1"/>
        <sz val="9.0"/>
      </rPr>
      <t xml:space="preserve">UBP'13
</t>
    </r>
    <r>
      <rPr>
        <rFont val="Arial"/>
        <b/>
        <i/>
        <color theme="1"/>
        <sz val="9.0"/>
      </rPr>
      <t>UBP</t>
    </r>
  </si>
  <si>
    <r>
      <rPr>
        <rFont val="Arial"/>
        <b/>
        <color theme="1"/>
        <sz val="9.0"/>
      </rPr>
      <t xml:space="preserve">Primärenergie 
</t>
    </r>
    <r>
      <rPr>
        <rFont val="Arial"/>
        <b/>
        <i/>
        <color theme="1"/>
        <sz val="9.0"/>
      </rPr>
      <t>Energie primaire</t>
    </r>
  </si>
  <si>
    <t>Treibhausgas-
emissionen</t>
  </si>
  <si>
    <r>
      <rPr>
        <rFont val="Arial"/>
        <b/>
        <i/>
        <color theme="1"/>
        <sz val="14.0"/>
      </rPr>
      <t>ENERGIE</t>
    </r>
    <r>
      <rPr>
        <rFont val="Arial"/>
        <b/>
        <i/>
        <color theme="1"/>
        <sz val="12.0"/>
      </rPr>
      <t xml:space="preserve">
</t>
    </r>
    <r>
      <rPr>
        <rFont val="Arial"/>
        <b val="0"/>
        <i/>
        <color theme="1"/>
        <sz val="10.0"/>
      </rPr>
      <t>[Bibliographie treeze, version 2.2:2016]</t>
    </r>
  </si>
  <si>
    <t>erneuerbar am Standort</t>
  </si>
  <si>
    <t>renouvelable du site</t>
  </si>
  <si>
    <t>Einheit
Unité</t>
  </si>
  <si>
    <r>
      <rPr>
        <rFont val="Arial"/>
        <color theme="1"/>
        <sz val="8.0"/>
      </rPr>
      <t>kg CO</t>
    </r>
    <r>
      <rPr>
        <rFont val="Arial"/>
        <color theme="1"/>
        <sz val="8.0"/>
        <vertAlign val="subscript"/>
      </rPr>
      <t>2</t>
    </r>
    <r>
      <rPr>
        <rFont val="Arial"/>
        <color theme="1"/>
        <sz val="8.0"/>
      </rPr>
      <t>-eq</t>
    </r>
  </si>
  <si>
    <t>41</t>
  </si>
  <si>
    <r>
      <rPr>
        <rFont val="Arial"/>
        <b/>
        <color theme="1"/>
        <sz val="10.0"/>
      </rPr>
      <t>Brennstoffe</t>
    </r>
    <r>
      <rPr>
        <rFont val="Arial"/>
        <b/>
        <color theme="1"/>
        <sz val="10.0"/>
        <vertAlign val="superscript"/>
      </rPr>
      <t>1</t>
    </r>
  </si>
  <si>
    <r>
      <rPr>
        <rFont val="Arial"/>
        <b/>
        <i/>
        <color theme="1"/>
        <sz val="10.0"/>
      </rPr>
      <t>Combustibles</t>
    </r>
    <r>
      <rPr>
        <rFont val="Arial"/>
        <b/>
        <i/>
        <color theme="1"/>
        <sz val="10.0"/>
        <vertAlign val="superscript"/>
      </rPr>
      <t>1</t>
    </r>
  </si>
  <si>
    <t>Heizöl EL</t>
  </si>
  <si>
    <t>Enérgie finale</t>
  </si>
  <si>
    <t>Mazout EL</t>
  </si>
  <si>
    <t>Erdgas</t>
  </si>
  <si>
    <t>Gaz naturel</t>
  </si>
  <si>
    <t>Propan/Butan</t>
  </si>
  <si>
    <t>Propane/butane</t>
  </si>
  <si>
    <t>Kohle Koks</t>
  </si>
  <si>
    <t>Coke de houille</t>
  </si>
  <si>
    <t>Kohle Brikett</t>
  </si>
  <si>
    <t>Briquette de houille</t>
  </si>
  <si>
    <t>Stückholz</t>
  </si>
  <si>
    <t>Bûches de bois</t>
  </si>
  <si>
    <t>Stückholz mit Partikelfilter</t>
  </si>
  <si>
    <t>Bûches de bois avec filtre à particules</t>
  </si>
  <si>
    <t>Holzschnitzel</t>
  </si>
  <si>
    <t>Particules de bois</t>
  </si>
  <si>
    <t>Holzschnitzel mit Partikelfilter</t>
  </si>
  <si>
    <t>Particules de bois avec filtre à particules</t>
  </si>
  <si>
    <t>Pellets</t>
  </si>
  <si>
    <t>Granules (pellets)</t>
  </si>
  <si>
    <t>Pellets mit Partikelfilter</t>
  </si>
  <si>
    <t>Granules (pellets) avec filtre à particules</t>
  </si>
  <si>
    <t>Biogas</t>
  </si>
  <si>
    <t>Biogaz</t>
  </si>
  <si>
    <t>42</t>
  </si>
  <si>
    <t>Fernwärme</t>
  </si>
  <si>
    <t>Chauffage urbain</t>
  </si>
  <si>
    <t>Heizzentrale Oel</t>
  </si>
  <si>
    <t>Centrale de chauffage, pétrole</t>
  </si>
  <si>
    <t>Heizzentrale Gas</t>
  </si>
  <si>
    <t>Centrale de chauffage, gaz</t>
  </si>
  <si>
    <t>Heizzentrale Holz</t>
  </si>
  <si>
    <t>Centrale de chauffage, bois</t>
  </si>
  <si>
    <t>Heizkraftwerk Holz</t>
  </si>
  <si>
    <t>Centrale à cogénération, bois</t>
  </si>
  <si>
    <t>Heizzentrale EWP Luft/Wasser (JAZ 2.8)</t>
  </si>
  <si>
    <t>Centrale de chauffage PACE, air/eau (COPA 2.8)</t>
  </si>
  <si>
    <t>Heizzentrale EWP Abwasser (JAZ 3.4)</t>
  </si>
  <si>
    <t>Centrale de chauffage PACE, eaux usées (COPA 3.4)</t>
  </si>
  <si>
    <t>Heizzentrale EWP Grundwasser (JAZ 3.4)</t>
  </si>
  <si>
    <t>Centrale de chauffage PACE, eaux souterraines (COPA 3.4)</t>
  </si>
  <si>
    <t>Heizzentrale EWP Erdsonde (JAZ 3.9)</t>
  </si>
  <si>
    <t>Centrale de chauffage PACE, sonde géothermique (COPA 3.9)</t>
  </si>
  <si>
    <t>Heizzentrale Geothermie</t>
  </si>
  <si>
    <t>Centrale de chauffage, géothermie</t>
  </si>
  <si>
    <t>Heizkraftwerk Geothermie</t>
  </si>
  <si>
    <t>Centrale à cogénération, géothermie</t>
  </si>
  <si>
    <t>Kehrichtverbrennung</t>
  </si>
  <si>
    <t>Incinération des ordures ménagères</t>
  </si>
  <si>
    <t>Blockheizkraftwerk Diesel</t>
  </si>
  <si>
    <t>Centrale à cogénération, diesel</t>
  </si>
  <si>
    <t>Blockheizkraftwerk Gas</t>
  </si>
  <si>
    <t>Centrale à cogénération, gaz</t>
  </si>
  <si>
    <t>Blockheizkraftwerk Biogas</t>
  </si>
  <si>
    <t>Centrale à cogénération, biogaz</t>
  </si>
  <si>
    <t>Blockheizkraftwerk Biogas, Landwirtschaft</t>
  </si>
  <si>
    <t>Centrale à cogénération, biogaz agricole</t>
  </si>
  <si>
    <t>Fernwärme Durchschnitt Netze CH</t>
  </si>
  <si>
    <t>Chauffage à distance, moyenne réseaux CH</t>
  </si>
  <si>
    <t>Fernwärme mit Nutzung Kehrichtwärme, Durchschnitt Netze CH</t>
  </si>
  <si>
    <t>Chauffage à distance de l'incinération des ordures, moyenne réseaux CH</t>
  </si>
  <si>
    <t>43</t>
  </si>
  <si>
    <r>
      <rPr>
        <rFont val="Arial"/>
        <b/>
        <color theme="1"/>
        <sz val="10.0"/>
      </rPr>
      <t>Nutzwärme</t>
    </r>
  </si>
  <si>
    <t>Chaleur utile</t>
  </si>
  <si>
    <t>Heizkessel Heizöl EL</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</si>
  <si>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</si>
  <si>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</si>
  <si>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mazout EL</t>
  </si>
  <si>
    <t>Heizkessel Erdgas</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</si>
  <si>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</si>
  <si>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</si>
  <si>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gaz naturel</t>
  </si>
  <si>
    <t>Heizkessel Propan / Butan</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</si>
  <si>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</si>
  <si>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</si>
  <si>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propane/butane</t>
  </si>
  <si>
    <t>Heizkessel Kohle Koks</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</si>
  <si>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</si>
  <si>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</si>
  <si>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coke de houille</t>
  </si>
  <si>
    <t>Heizkessel Kohle Brikett</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</si>
  <si>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</si>
  <si>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</si>
  <si>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briquette de houille</t>
  </si>
  <si>
    <t>Heizkessel Stückholz</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</si>
  <si>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</si>
  <si>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</si>
  <si>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bûches de bois</t>
  </si>
  <si>
    <t>Heizkessel Stückholz mit Partikelfilter</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</si>
  <si>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</si>
  <si>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</si>
  <si>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bûches de bois avec filtre à particules</t>
  </si>
  <si>
    <t>Heizkessel Holzschnitzel</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</si>
  <si>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</si>
  <si>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</si>
  <si>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particules de bois</t>
  </si>
  <si>
    <t>Heizkessel Holzschnitzel mit Partikelfilter</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</si>
  <si>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</si>
  <si>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</si>
  <si>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particules de bois avec filtre à particules</t>
  </si>
  <si>
    <t>Heizkessel Pellets</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</si>
  <si>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</si>
  <si>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</si>
  <si>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granules (pellets)</t>
  </si>
  <si>
    <t>Heizkessel Pellets mit Partikelfilter</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</si>
  <si>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</si>
  <si>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</si>
  <si>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granules (pellets) avec filtre à particules</t>
  </si>
  <si>
    <t>Heizkessel Biogas</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</si>
  <si>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</si>
  <si>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</si>
  <si>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Chaudière, biogaz</t>
  </si>
  <si>
    <t>44</t>
  </si>
  <si>
    <t>Nutzwärme am Standort erzeugt, inkl. erneuerbare Energien</t>
  </si>
  <si>
    <t>Chaleur utile produite sur place, y compris énergies renouvelables</t>
  </si>
  <si>
    <t>Elektrowärmepumpe Luft / Wasser (JAZ 2.8)</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</si>
  <si>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</si>
  <si>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</si>
  <si>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Pompe à chaleur électrique air-eau (COPA 2.8)</t>
  </si>
  <si>
    <t>Elektrowärmepumpe Erdsonden (JAZ 3.9)</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</si>
  <si>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</si>
  <si>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</si>
  <si>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Pompe à chaleur électrique sondes géothermiques (COPA 3.9)</t>
  </si>
  <si>
    <t>Elektrowärmepumpe Grundwasser (JAZ 3.4)</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</si>
  <si>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</si>
  <si>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</si>
  <si>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Pompe à chaleur électrique eaux souterraines (COPA 3.4)</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</si>
  <si>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</si>
  <si>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</si>
  <si>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</si>
  <si>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</si>
  <si>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Collecteurs solaires plan, chaleur et eau chaude maison individuelle</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</si>
  <si>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</si>
  <si>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</si>
  <si>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</si>
  <si>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</si>
  <si>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Collecteurs solaires à tubes, chaleur et eau chaude maison individuelle</t>
  </si>
  <si>
    <t>Kleinblockheizkraftwerk, Erdgas</t>
  </si>
  <si>
    <r>
      <rPr>
        <rFont val="Arial"/>
        <color theme="1"/>
        <sz val="10.0"/>
      </rPr>
      <t>Nutzwärme</t>
    </r>
    <r>
      <rPr>
        <rFont val="Arial"/>
        <color theme="1"/>
        <sz val="10.0"/>
        <vertAlign val="superscript"/>
      </rPr>
      <t>2</t>
    </r>
  </si>
  <si>
    <r>
      <rPr>
        <rFont val="Arial"/>
        <i/>
        <color theme="1"/>
        <sz val="10.0"/>
      </rPr>
      <t>Chaleur utile</t>
    </r>
    <r>
      <rPr>
        <rFont val="Arial"/>
        <i/>
        <color theme="1"/>
        <sz val="10.0"/>
        <vertAlign val="superscript"/>
      </rPr>
      <t>2</t>
    </r>
  </si>
  <si>
    <t>Centrale à cogénération, petite, gaz</t>
  </si>
  <si>
    <r>
      <rPr>
        <rFont val="Arial"/>
        <color theme="1"/>
        <sz val="9.0"/>
      </rPr>
      <t>1</t>
    </r>
    <r>
      <rPr>
        <rFont val="Arial"/>
        <color theme="1"/>
        <sz val="9.0"/>
      </rPr>
      <t xml:space="preserve">Oberer Heizwert
</t>
    </r>
    <r>
      <rPr>
        <rFont val="Arial"/>
        <color theme="1"/>
        <sz val="9.0"/>
        <vertAlign val="superscript"/>
      </rPr>
      <t>2</t>
    </r>
    <r>
      <rPr>
        <rFont val="Arial"/>
        <color theme="1"/>
        <sz val="9.0"/>
      </rPr>
      <t xml:space="preserve">inkl. Verteilverluste (Wärme am Ausgang Wärmeerzeuger)
</t>
    </r>
  </si>
  <si>
    <r>
      <rPr>
        <rFont val="Arial"/>
        <i/>
        <color theme="1"/>
        <sz val="9.0"/>
      </rPr>
      <t>1</t>
    </r>
    <r>
      <rPr>
        <rFont val="Arial"/>
        <i/>
        <color theme="1"/>
        <sz val="9.0"/>
      </rPr>
      <t xml:space="preserve">Pouvoir calorifique supérieur
</t>
    </r>
    <r>
      <rPr>
        <rFont val="Arial"/>
        <i/>
        <color theme="1"/>
        <sz val="9.0"/>
        <vertAlign val="superscript"/>
      </rPr>
      <t>2</t>
    </r>
    <r>
      <rPr>
        <rFont val="Arial"/>
        <i/>
        <color theme="1"/>
        <sz val="9.0"/>
      </rPr>
      <t xml:space="preserve">y compris pertes de distribution (Chaleur à la sortie du producteur de chaleur)
</t>
    </r>
  </si>
  <si>
    <t>45</t>
  </si>
  <si>
    <t>Elektrizität vom Netz</t>
  </si>
  <si>
    <t>Electricité du réseau</t>
  </si>
  <si>
    <t>Atomkraftwerk</t>
  </si>
  <si>
    <t>Centrale nucléaire</t>
  </si>
  <si>
    <t>Erdgaskombikraftwerk GuD</t>
  </si>
  <si>
    <t>Centrale combinée gaz naturel G+V</t>
  </si>
  <si>
    <t>Braunkohlekraftwerk</t>
  </si>
  <si>
    <t>Centrale au lignite</t>
  </si>
  <si>
    <t>Steinkohlekraftwerk</t>
  </si>
  <si>
    <t>Centrale au charbon</t>
  </si>
  <si>
    <t>Kraftwerk Schweröl</t>
  </si>
  <si>
    <t>Centrale, pétrole</t>
  </si>
  <si>
    <t>Photovoltaik</t>
  </si>
  <si>
    <t>Photovoltaïque</t>
  </si>
  <si>
    <t>Photovoltaik Schrägdach</t>
  </si>
  <si>
    <t>Photovoltaïque toiture inclinée</t>
  </si>
  <si>
    <t>Photovoltaik Flachdach</t>
  </si>
  <si>
    <t>Photovoltaïque toiture plate</t>
  </si>
  <si>
    <t>Photovoltaik Fassade</t>
  </si>
  <si>
    <t>Photovoltaïque façade</t>
  </si>
  <si>
    <t>Windkraft</t>
  </si>
  <si>
    <t>Energie éolienne</t>
  </si>
  <si>
    <t>Wasserkraft</t>
  </si>
  <si>
    <t>Energie hydraulique</t>
  </si>
  <si>
    <t>Pumpspeicherung</t>
  </si>
  <si>
    <t>Accumulation par pompage</t>
  </si>
  <si>
    <t>CH-Produktionsmix</t>
  </si>
  <si>
    <t>Mix de production CH</t>
  </si>
  <si>
    <t>Mix Stromprodukte aus erneuerbaren Energien</t>
  </si>
  <si>
    <t>Mix de produits des énergies renouvelables CH</t>
  </si>
  <si>
    <r>
      <rPr>
        <rFont val="Arial"/>
        <color theme="1"/>
        <sz val="10.0"/>
      </rPr>
      <t>CH-Verbrauchermix</t>
    </r>
    <r>
      <rPr>
        <rFont val="Arial"/>
        <color theme="1"/>
        <sz val="10.0"/>
        <vertAlign val="superscript"/>
      </rPr>
      <t>3</t>
    </r>
  </si>
  <si>
    <r>
      <rPr>
        <rFont val="Arial"/>
        <i/>
        <color theme="1"/>
        <sz val="10.0"/>
      </rPr>
      <t>Mix consommateur CH</t>
    </r>
    <r>
      <rPr>
        <rFont val="Arial"/>
        <i/>
        <color theme="1"/>
        <sz val="10.0"/>
        <vertAlign val="superscript"/>
      </rPr>
      <t>3</t>
    </r>
  </si>
  <si>
    <t>ENTSO-E-Mix (ehemals UCTE-Mix)</t>
  </si>
  <si>
    <t xml:space="preserve">Mix ENTSO-E (anc. mix UCTE) </t>
  </si>
  <si>
    <r>
      <rPr>
        <rFont val="Arial"/>
        <color theme="1"/>
        <sz val="9.0"/>
      </rPr>
      <t>3</t>
    </r>
    <r>
      <rPr>
        <rFont val="Arial"/>
        <color theme="1"/>
        <sz val="9.0"/>
      </rPr>
      <t>ohne Stromprodukte aus erneuerbaren Energien</t>
    </r>
  </si>
  <si>
    <r>
      <rPr>
        <rFont val="Arial"/>
        <i/>
        <color theme="1"/>
        <sz val="9.0"/>
      </rPr>
      <t>3</t>
    </r>
    <r>
      <rPr>
        <rFont val="Arial"/>
        <i/>
        <color theme="1"/>
        <sz val="9.0"/>
      </rPr>
      <t>sans produits des énergies renouvelables</t>
    </r>
  </si>
  <si>
    <t>46</t>
  </si>
  <si>
    <t>Elektrizität am Standort erzeugt, inkl. erneuerbare Energien</t>
  </si>
  <si>
    <t>Electricité produite sur place, y compris énergies renouvelables</t>
  </si>
  <si>
    <t>Biogas, Landwirtschaft</t>
  </si>
  <si>
    <t>Biogaz agricole</t>
  </si>
  <si>
    <t>61.003 Endenergie (KBOB.2016)</t>
  </si>
  <si>
    <t>OTHER_RESOURCE_TRANSPORT_FUEL</t>
  </si>
  <si>
    <t>309.000000</t>
  </si>
  <si>
    <t>0.004240</t>
  </si>
  <si>
    <t>1.270000</t>
  </si>
  <si>
    <t>0.320000</t>
  </si>
  <si>
    <t>61.003</t>
  </si>
  <si>
    <t>61.009 Endenergie (KBOB.2016)</t>
  </si>
  <si>
    <t>886.000000</t>
  </si>
  <si>
    <t>0.004300</t>
  </si>
  <si>
    <t>0.384000</t>
  </si>
  <si>
    <t>61.009</t>
  </si>
  <si>
    <t>61.005 Endenergie (KBOB.2016)</t>
  </si>
  <si>
    <t>161.000000</t>
  </si>
  <si>
    <t>0.036800</t>
  </si>
  <si>
    <t>0.310000</t>
  </si>
  <si>
    <t>0.115000</t>
  </si>
  <si>
    <t>61.005</t>
  </si>
  <si>
    <t>61.001 Endenergie (KBOB.2016)</t>
  </si>
  <si>
    <t>357.000000</t>
  </si>
  <si>
    <t>0.003420</t>
  </si>
  <si>
    <t>1.240000</t>
  </si>
  <si>
    <t>61.001</t>
  </si>
  <si>
    <t>61.002 Endenergie (KBOB.2016)</t>
  </si>
  <si>
    <t>400.000000</t>
  </si>
  <si>
    <t>0.003250</t>
  </si>
  <si>
    <t>1.220000</t>
  </si>
  <si>
    <t>0.307000</t>
  </si>
  <si>
    <t>61.002</t>
  </si>
  <si>
    <t>61.004 Endenergie (KBOB.2016)</t>
  </si>
  <si>
    <t>292.000000</t>
  </si>
  <si>
    <t>0.003140</t>
  </si>
  <si>
    <t>1.210000</t>
  </si>
  <si>
    <t>0.304000</t>
  </si>
  <si>
    <t>61.004</t>
  </si>
  <si>
    <t>61.006 Endenergie (KBOB.2016)</t>
  </si>
  <si>
    <t>200.000000</t>
  </si>
  <si>
    <t>0.009190</t>
  </si>
  <si>
    <t>1.120000</t>
  </si>
  <si>
    <t>0.230000</t>
  </si>
  <si>
    <t>61.006</t>
  </si>
  <si>
    <t>61.007 Endenergie (KBOB.2016)</t>
  </si>
  <si>
    <t>322.000000</t>
  </si>
  <si>
    <t>0.003060</t>
  </si>
  <si>
    <t>0.300000</t>
  </si>
  <si>
    <t>61.007</t>
  </si>
  <si>
    <t>61.008 Endenergie (KBOB.2016)</t>
  </si>
  <si>
    <t>438.000000</t>
  </si>
  <si>
    <t>0.488000</t>
  </si>
  <si>
    <t>2.520000</t>
  </si>
  <si>
    <t>0.102000</t>
  </si>
  <si>
    <t>61.008</t>
  </si>
  <si>
    <t>62.001 Aushubvolumen (KBOB.2016)</t>
  </si>
  <si>
    <t>OTHER_RESOURCE_TRANSPORT_FREIGHT</t>
  </si>
  <si>
    <t>489.000000</t>
  </si>
  <si>
    <t>0.012600</t>
  </si>
  <si>
    <t>1.670000</t>
  </si>
  <si>
    <t>0.412000</t>
  </si>
  <si>
    <t>62.001</t>
  </si>
  <si>
    <t>62.014 Aushubvolumen (KBOB.2016)</t>
  </si>
  <si>
    <t>62.014</t>
  </si>
  <si>
    <t>62.015 Aushubvolumen (KBOB.2016)</t>
  </si>
  <si>
    <t>494.000000</t>
  </si>
  <si>
    <t>0.012500</t>
  </si>
  <si>
    <t>0.401000</t>
  </si>
  <si>
    <t>62.015</t>
  </si>
  <si>
    <t>62.002 Transportleistung (KBOB.2016)</t>
  </si>
  <si>
    <t>61.800000</t>
  </si>
  <si>
    <t>0.002990</t>
  </si>
  <si>
    <t>0.180000</t>
  </si>
  <si>
    <t>0.047200</t>
  </si>
  <si>
    <t>tkm</t>
  </si>
  <si>
    <t>62.002</t>
  </si>
  <si>
    <t>62.011 Transportleistung (KBOB.2016)</t>
  </si>
  <si>
    <t>0.026000</t>
  </si>
  <si>
    <t>4.730000</t>
  </si>
  <si>
    <t>1.170000</t>
  </si>
  <si>
    <t>62.011</t>
  </si>
  <si>
    <t>62.012 Transportleistung (KBOB.2016)</t>
  </si>
  <si>
    <t>2330.000000</t>
  </si>
  <si>
    <t>0.188000</t>
  </si>
  <si>
    <t>9.330000</t>
  </si>
  <si>
    <t>62.012</t>
  </si>
  <si>
    <t>62.013 Transportleistung (KBOB.2016)</t>
  </si>
  <si>
    <t>0.016600</t>
  </si>
  <si>
    <t>4.460000</t>
  </si>
  <si>
    <t>1.110000</t>
  </si>
  <si>
    <t>62.013</t>
  </si>
  <si>
    <t>62.003 Transportleistung (KBOB.2016)</t>
  </si>
  <si>
    <t>51.300000</t>
  </si>
  <si>
    <t>0.073100</t>
  </si>
  <si>
    <t>0.152000</t>
  </si>
  <si>
    <t>0.013500</t>
  </si>
  <si>
    <t>62.003</t>
  </si>
  <si>
    <t>62.005 Transportleistung (KBOB.2016)</t>
  </si>
  <si>
    <t>18.300000</t>
  </si>
  <si>
    <t>0.000938</t>
  </si>
  <si>
    <t>0.046200</t>
  </si>
  <si>
    <t>62.005</t>
  </si>
  <si>
    <t>62.006 Transportleistung (KBOB.2016)</t>
  </si>
  <si>
    <t>0.000532</t>
  </si>
  <si>
    <t>0.024500</t>
  </si>
  <si>
    <t>0.005730</t>
  </si>
  <si>
    <t>62.006</t>
  </si>
  <si>
    <t>62.007 Transportleistung (KBOB.2016)</t>
  </si>
  <si>
    <t>1790.000000</t>
  </si>
  <si>
    <t>0.203000</t>
  </si>
  <si>
    <t>6.970000</t>
  </si>
  <si>
    <t>1.520000</t>
  </si>
  <si>
    <t>62.007</t>
  </si>
  <si>
    <t>62.016 Transportleistung (KBOB.2016)</t>
  </si>
  <si>
    <t>0.009200</t>
  </si>
  <si>
    <t>0.622000</t>
  </si>
  <si>
    <t>0.135000</t>
  </si>
  <si>
    <t>62.016</t>
  </si>
  <si>
    <t>62.017 Transportleistung (KBOB.2016)</t>
  </si>
  <si>
    <t>794.000000</t>
  </si>
  <si>
    <t>0.518000</t>
  </si>
  <si>
    <t>62.017</t>
  </si>
  <si>
    <t>62.009 Transportleistung (KBOB.2016)</t>
  </si>
  <si>
    <t>304.000000</t>
  </si>
  <si>
    <t>0.017100</t>
  </si>
  <si>
    <t>0.999000</t>
  </si>
  <si>
    <t>0.218000</t>
  </si>
  <si>
    <t>62.009</t>
  </si>
  <si>
    <t>62.008 Transportleistung (KBOB.2016)</t>
  </si>
  <si>
    <t>251.000000</t>
  </si>
  <si>
    <t>0.011600</t>
  </si>
  <si>
    <t>0.783000</t>
  </si>
  <si>
    <t>0.171000</t>
  </si>
  <si>
    <t>62.008</t>
  </si>
  <si>
    <t>62.010 Transportleistung (KBOB.2016)</t>
  </si>
  <si>
    <t>153.000000</t>
  </si>
  <si>
    <t>0.007380</t>
  </si>
  <si>
    <t>0.514000</t>
  </si>
  <si>
    <t>0.110000</t>
  </si>
  <si>
    <t>62.010</t>
  </si>
  <si>
    <t>63.003 Transportleistung (KBOB.2016)</t>
  </si>
  <si>
    <t>OTHER_RESOURCE_TRANSPORT_STAFF</t>
  </si>
  <si>
    <t>148.000000</t>
  </si>
  <si>
    <t>0.006960</t>
  </si>
  <si>
    <t>0.454000</t>
  </si>
  <si>
    <t>0.104000</t>
  </si>
  <si>
    <t>pkm</t>
  </si>
  <si>
    <t>63.003</t>
  </si>
  <si>
    <t>63.001 Transportleistung (KBOB.2016)</t>
  </si>
  <si>
    <t>30.700000</t>
  </si>
  <si>
    <t>0.063300</t>
  </si>
  <si>
    <t>0.114000</t>
  </si>
  <si>
    <t>0.006440</t>
  </si>
  <si>
    <t>63.001</t>
  </si>
  <si>
    <t>63.002 Transportleistung (KBOB.2016)</t>
  </si>
  <si>
    <t>63.500000</t>
  </si>
  <si>
    <t>0.018000</t>
  </si>
  <si>
    <t>0.271000</t>
  </si>
  <si>
    <t>0.062300</t>
  </si>
  <si>
    <t>63.002</t>
  </si>
  <si>
    <t>63.004 Transportleistung (KBOB.2016)</t>
  </si>
  <si>
    <t>158.000000</t>
  </si>
  <si>
    <t>0.007710</t>
  </si>
  <si>
    <t>0.612000</t>
  </si>
  <si>
    <t>0.148000</t>
  </si>
  <si>
    <t>63.004</t>
  </si>
  <si>
    <t>63.005 Transportleistung (KBOB.2016)</t>
  </si>
  <si>
    <t>233.000000</t>
  </si>
  <si>
    <t>0.018900</t>
  </si>
  <si>
    <t>0.934000</t>
  </si>
  <si>
    <t>0.220000</t>
  </si>
  <si>
    <t>63.005</t>
  </si>
  <si>
    <t>63.006 Transportleistung (KBOB.2016)</t>
  </si>
  <si>
    <t>121.000000</t>
  </si>
  <si>
    <t>0.002170</t>
  </si>
  <si>
    <t>0.112000</t>
  </si>
  <si>
    <t>63.006</t>
  </si>
  <si>
    <t>63.007 Transportleistung (KBOB.2016)</t>
  </si>
  <si>
    <t>217.000000</t>
  </si>
  <si>
    <t>0.026300</t>
  </si>
  <si>
    <t>0.893000</t>
  </si>
  <si>
    <t>0.195000</t>
  </si>
  <si>
    <t>63.007</t>
  </si>
  <si>
    <t>63.008 Transportleistung (KBOB.2016)</t>
  </si>
  <si>
    <t>221.000000</t>
  </si>
  <si>
    <t>0.026400</t>
  </si>
  <si>
    <t>0.909000</t>
  </si>
  <si>
    <t>0.199000</t>
  </si>
  <si>
    <t>63.008</t>
  </si>
  <si>
    <t>63.014 Transportleistung (KBOB.2016)</t>
  </si>
  <si>
    <t>154.000000</t>
  </si>
  <si>
    <t>0.047800</t>
  </si>
  <si>
    <t>0.430000</t>
  </si>
  <si>
    <t>0.098300</t>
  </si>
  <si>
    <t>63.014</t>
  </si>
  <si>
    <t>63.009 Transportleistung (KBOB.2016)</t>
  </si>
  <si>
    <t>198.000000</t>
  </si>
  <si>
    <t>0.025700</t>
  </si>
  <si>
    <t>0.816000</t>
  </si>
  <si>
    <t>0.176000</t>
  </si>
  <si>
    <t>63.009</t>
  </si>
  <si>
    <t>63.016 Transportleistung (KBOB.2016)</t>
  </si>
  <si>
    <t>0.094500</t>
  </si>
  <si>
    <t>0.643000</t>
  </si>
  <si>
    <t>0.058400</t>
  </si>
  <si>
    <t>63.016</t>
  </si>
  <si>
    <t>63.015 Transportleistung (KBOB.2016)</t>
  </si>
  <si>
    <t>172.000000</t>
  </si>
  <si>
    <t>0.031200</t>
  </si>
  <si>
    <t>0.881000</t>
  </si>
  <si>
    <t>0.160000</t>
  </si>
  <si>
    <t>63.015</t>
  </si>
  <si>
    <t>63.010 Transportleistung (KBOB.2016)</t>
  </si>
  <si>
    <t>51.700000</t>
  </si>
  <si>
    <t>0.136000</t>
  </si>
  <si>
    <t>0.223000</t>
  </si>
  <si>
    <t>0.009890</t>
  </si>
  <si>
    <t>63.010</t>
  </si>
  <si>
    <t>63.011 Transportleistung (KBOB.2016)</t>
  </si>
  <si>
    <t>76.700000</t>
  </si>
  <si>
    <t>0.004470</t>
  </si>
  <si>
    <t>0.233000</t>
  </si>
  <si>
    <t>63.011</t>
  </si>
  <si>
    <t>63.017 Transportleistung (KBOB.2016)</t>
  </si>
  <si>
    <t>271.000000</t>
  </si>
  <si>
    <t>0.004690</t>
  </si>
  <si>
    <t>0.429000</t>
  </si>
  <si>
    <t>0.122000</t>
  </si>
  <si>
    <t>63.017</t>
  </si>
  <si>
    <t>63.012 Transportleistung (KBOB.2016)</t>
  </si>
  <si>
    <t>55.500000</t>
  </si>
  <si>
    <t>0.048500</t>
  </si>
  <si>
    <t>0.289000</t>
  </si>
  <si>
    <t>63.012</t>
  </si>
  <si>
    <t>63.013 Transportleistung (KBOB.2016)</t>
  </si>
  <si>
    <t>0.058900</t>
  </si>
  <si>
    <t>0.350000</t>
  </si>
  <si>
    <t>0.019900</t>
  </si>
  <si>
    <t>63.013</t>
  </si>
  <si>
    <t>64.003 Fahrleistung (KBOB.2016)</t>
  </si>
  <si>
    <t>OTHER_RESOURCE_TRANSPORT_PEOPLE</t>
  </si>
  <si>
    <t>2070.000000</t>
  </si>
  <si>
    <t>0.097400</t>
  </si>
  <si>
    <t>6.360000</t>
  </si>
  <si>
    <t>1.460000</t>
  </si>
  <si>
    <t>km</t>
  </si>
  <si>
    <t>64.003</t>
  </si>
  <si>
    <t>64.001 Fahrleistung (KBOB.2016)</t>
  </si>
  <si>
    <t>12000.000000</t>
  </si>
  <si>
    <t>24.800000</t>
  </si>
  <si>
    <t>44.600000</t>
  </si>
  <si>
    <t>2.530000</t>
  </si>
  <si>
    <t>64.001</t>
  </si>
  <si>
    <t>64.002 Fahrleistung (KBOB.2016)</t>
  </si>
  <si>
    <t>19600.000000</t>
  </si>
  <si>
    <t>5.560000</t>
  </si>
  <si>
    <t>83.800000</t>
  </si>
  <si>
    <t>19.200000</t>
  </si>
  <si>
    <t>64.002</t>
  </si>
  <si>
    <t>64.004 Fahrleistung (KBOB.2016)</t>
  </si>
  <si>
    <t>44000.000000</t>
  </si>
  <si>
    <t>2.150000</t>
  </si>
  <si>
    <t>171.000000</t>
  </si>
  <si>
    <t>41.200000</t>
  </si>
  <si>
    <t>64.004</t>
  </si>
  <si>
    <t>64.005 Fahrleistung (KBOB.2016)</t>
  </si>
  <si>
    <t>15200.000000</t>
  </si>
  <si>
    <t>1.230000</t>
  </si>
  <si>
    <t>60.700000</t>
  </si>
  <si>
    <t>64.005</t>
  </si>
  <si>
    <t>64.006 Fahrleistung (KBOB.2016)</t>
  </si>
  <si>
    <t>38600.000000</t>
  </si>
  <si>
    <t>0.695000</t>
  </si>
  <si>
    <t>145.000000</t>
  </si>
  <si>
    <t>35.900000</t>
  </si>
  <si>
    <t>64.006</t>
  </si>
  <si>
    <t>64.007 Fahrleistung (KBOB.2016)</t>
  </si>
  <si>
    <t>347.000000</t>
  </si>
  <si>
    <t>0.042100</t>
  </si>
  <si>
    <t>1.430000</t>
  </si>
  <si>
    <t>0.313000</t>
  </si>
  <si>
    <t>64.007</t>
  </si>
  <si>
    <t>64.008 Fahrleistung (KBOB.2016)</t>
  </si>
  <si>
    <t>353.000000</t>
  </si>
  <si>
    <t>0.042300</t>
  </si>
  <si>
    <t>0.319000</t>
  </si>
  <si>
    <t>64.008</t>
  </si>
  <si>
    <t>64.014 Fahrleistung (KBOB.2016)</t>
  </si>
  <si>
    <t>247.000000</t>
  </si>
  <si>
    <t>0.076500</t>
  </si>
  <si>
    <t>0.688000</t>
  </si>
  <si>
    <t>0.157000</t>
  </si>
  <si>
    <t>64.014</t>
  </si>
  <si>
    <t>64.009 Fahrleistung (KBOB.2016)</t>
  </si>
  <si>
    <t>316.000000</t>
  </si>
  <si>
    <t>0.041100</t>
  </si>
  <si>
    <t>0.281000</t>
  </si>
  <si>
    <t>64.009</t>
  </si>
  <si>
    <t>64.016 Fahrleistung (KBOB.2016)</t>
  </si>
  <si>
    <t>261.000000</t>
  </si>
  <si>
    <t>0.151000</t>
  </si>
  <si>
    <t>1.030000</t>
  </si>
  <si>
    <t>0.093400</t>
  </si>
  <si>
    <t>64.016</t>
  </si>
  <si>
    <t>64.015 Fahrleistung (KBOB.2016)</t>
  </si>
  <si>
    <t>275.000000</t>
  </si>
  <si>
    <t>0.049900</t>
  </si>
  <si>
    <t>0.256000</t>
  </si>
  <si>
    <t>64.015</t>
  </si>
  <si>
    <t>64.010 Fahrleistung (KBOB.2016)</t>
  </si>
  <si>
    <t>2380.000000</t>
  </si>
  <si>
    <t>6.280000</t>
  </si>
  <si>
    <t>10.300000</t>
  </si>
  <si>
    <t>0.456000</t>
  </si>
  <si>
    <t>64.010</t>
  </si>
  <si>
    <t>64.011 Fahrleistung (KBOB.2016)</t>
  </si>
  <si>
    <t>1610.000000</t>
  </si>
  <si>
    <t>0.093900</t>
  </si>
  <si>
    <t>4.900000</t>
  </si>
  <si>
    <t>1.090000</t>
  </si>
  <si>
    <t>64.011</t>
  </si>
  <si>
    <t>64.017 Fahrleistung (KBOB.2016)</t>
  </si>
  <si>
    <t>298.000000</t>
  </si>
  <si>
    <t>0.005160</t>
  </si>
  <si>
    <t>0.471000</t>
  </si>
  <si>
    <t>64.017</t>
  </si>
  <si>
    <t>64.012 Fahrleistung (KBOB.2016)</t>
  </si>
  <si>
    <t>2.570000</t>
  </si>
  <si>
    <t>15.300000</t>
  </si>
  <si>
    <t>64.012</t>
  </si>
  <si>
    <t>64.013 Fahrleistung (KBOB.2016)</t>
  </si>
  <si>
    <t>1440.000000</t>
  </si>
  <si>
    <t>9.100000</t>
  </si>
  <si>
    <t>64.013</t>
  </si>
  <si>
    <r>
      <rPr>
        <rFont val="Arial"/>
        <b/>
        <color theme="0"/>
        <sz val="16.0"/>
      </rPr>
      <t>KBOB / eco-bau</t>
    </r>
    <r>
      <rPr>
        <rFont val="Arial"/>
        <b/>
        <color rgb="FFFFFFFF"/>
        <sz val="16.0"/>
      </rPr>
      <t xml:space="preserve"> / IPB  2009/1:2016</t>
    </r>
  </si>
  <si>
    <r>
      <rPr>
        <rFont val="Arial"/>
        <b/>
        <color theme="1"/>
        <sz val="14.0"/>
      </rPr>
      <t xml:space="preserve">TRANSPORTE
</t>
    </r>
    <r>
      <rPr>
        <rFont val="Arial"/>
        <b val="0"/>
        <i/>
        <color theme="1"/>
        <sz val="10.0"/>
      </rPr>
      <t>[Bibliographie treeze, v2.2:2016]</t>
    </r>
  </si>
  <si>
    <t>Bezug</t>
  </si>
  <si>
    <r>
      <rPr>
        <rFont val="Arial"/>
        <b/>
        <color theme="1"/>
        <sz val="9.0"/>
      </rPr>
      <t xml:space="preserve">Primärenergie 
</t>
    </r>
    <r>
      <rPr>
        <rFont val="Arial"/>
        <b/>
        <i/>
        <color theme="1"/>
        <sz val="9.0"/>
      </rPr>
      <t>Energie primaire</t>
    </r>
  </si>
  <si>
    <r>
      <rPr>
        <rFont val="Arial"/>
        <b/>
        <i/>
        <color theme="1"/>
        <sz val="14.0"/>
      </rPr>
      <t>TRANSPORTS</t>
    </r>
    <r>
      <rPr>
        <rFont val="Arial"/>
        <b/>
        <i/>
        <color theme="1"/>
        <sz val="12.0"/>
      </rPr>
      <t xml:space="preserve"> 
</t>
    </r>
    <r>
      <rPr>
        <rFont val="Arial"/>
        <b val="0"/>
        <i/>
        <color theme="1"/>
        <sz val="10.0"/>
      </rPr>
      <t>[Bibliographie treeze, v2.2:2016]</t>
    </r>
  </si>
  <si>
    <t>Betrieb</t>
  </si>
  <si>
    <t>Fahrzeug</t>
  </si>
  <si>
    <t>Infrastruktur</t>
  </si>
  <si>
    <t>Exploitation</t>
  </si>
  <si>
    <t>Véhicule</t>
  </si>
  <si>
    <t>Infrastructure</t>
  </si>
  <si>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</si>
  <si>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</si>
  <si>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</si>
  <si>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</si>
  <si>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t>61</t>
  </si>
  <si>
    <t>Treibstoffe</t>
  </si>
  <si>
    <t>Carburants</t>
  </si>
  <si>
    <t>Benzin in Personenwagen</t>
  </si>
  <si>
    <t>Energie finale</t>
  </si>
  <si>
    <t>Essence pour voitures</t>
  </si>
  <si>
    <t>Benzin in Scooter</t>
  </si>
  <si>
    <t>Essence pour scooter</t>
  </si>
  <si>
    <t>Biogas in Personenwagen</t>
  </si>
  <si>
    <t>Biogaz pour voitures</t>
  </si>
  <si>
    <t>Diesel in Baumaschine</t>
  </si>
  <si>
    <t>Gasoil pour engin de chantier, sans FAP</t>
  </si>
  <si>
    <t>Diesel in Lastwagen</t>
  </si>
  <si>
    <t>Gasoil pour camions</t>
  </si>
  <si>
    <t>Diesel in Personenwagen</t>
  </si>
  <si>
    <t>Gasoil pour voitures</t>
  </si>
  <si>
    <t>Erdgas in Personenwagen</t>
  </si>
  <si>
    <t>gaz naturel pour voitures</t>
  </si>
  <si>
    <t>Kerosin in Flugzeug</t>
  </si>
  <si>
    <t>Kérosène pour avions</t>
  </si>
  <si>
    <t>Strom in Personenwagen</t>
  </si>
  <si>
    <t>Electricité pour voitures</t>
  </si>
  <si>
    <t>62</t>
  </si>
  <si>
    <t>Güter-Transporte</t>
  </si>
  <si>
    <t>Transports de marchandises</t>
  </si>
  <si>
    <t>Aushub maschinell, Durchschnitt</t>
  </si>
  <si>
    <r>
      <rPr>
        <rFont val="Arial"/>
        <color theme="1"/>
        <sz val="10.0"/>
      </rPr>
      <t>m</t>
    </r>
    <r>
      <rPr>
        <rFont val="Arial"/>
        <color theme="1"/>
        <sz val="10.0"/>
        <vertAlign val="superscript"/>
      </rPr>
      <t>3</t>
    </r>
  </si>
  <si>
    <t>Vol.excavation</t>
  </si>
  <si>
    <t>Excavations mécaniques, en moyenne</t>
  </si>
  <si>
    <t>Aushub maschinell, mit PF</t>
  </si>
  <si>
    <r>
      <rPr>
        <rFont val="Arial"/>
        <color rgb="FFFF0000"/>
        <sz val="10.0"/>
      </rPr>
      <t>m</t>
    </r>
    <r>
      <rPr>
        <rFont val="Arial"/>
        <color rgb="FFFF0000"/>
        <sz val="10.0"/>
        <vertAlign val="superscript"/>
      </rPr>
      <t>3</t>
    </r>
  </si>
  <si>
    <t>Excavations mécaniques, avec FAP</t>
  </si>
  <si>
    <t>Aushub maschinell, ohne PF</t>
  </si>
  <si>
    <r>
      <rPr>
        <rFont val="Arial"/>
        <color rgb="FFFF0000"/>
        <sz val="10.0"/>
      </rPr>
      <t>m</t>
    </r>
    <r>
      <rPr>
        <rFont val="Arial"/>
        <color rgb="FFFF0000"/>
        <sz val="10.0"/>
        <vertAlign val="superscript"/>
      </rPr>
      <t>3</t>
    </r>
  </si>
  <si>
    <t>Excavations mécaniques, sans FAP</t>
  </si>
  <si>
    <t>Binnenschiff</t>
  </si>
  <si>
    <t>Rend.du transp.</t>
  </si>
  <si>
    <t>Cargo de marchandise, navigation intérieure</t>
  </si>
  <si>
    <t>Flugzeug, Durchschnitt</t>
  </si>
  <si>
    <t>Transport aérien, moyenne</t>
  </si>
  <si>
    <t>Flugzeug, Europa</t>
  </si>
  <si>
    <t>Transport aérien , Europe</t>
  </si>
  <si>
    <t>Flugzeug, Interkontinental</t>
  </si>
  <si>
    <t>Transport aérien, intercontinental</t>
  </si>
  <si>
    <t>Güterzug</t>
  </si>
  <si>
    <t>Train de marchandises</t>
  </si>
  <si>
    <t>62.004</t>
  </si>
  <si>
    <t>Helikopter</t>
  </si>
  <si>
    <t>h</t>
  </si>
  <si>
    <t>Heures de vol</t>
  </si>
  <si>
    <t>Hélicoptère</t>
  </si>
  <si>
    <t>Hochseeschiff</t>
  </si>
  <si>
    <t>Navire de haute mer</t>
  </si>
  <si>
    <t>Hochseetanker</t>
  </si>
  <si>
    <t>Pétrolier de haute mer</t>
  </si>
  <si>
    <t>Kleintransporter (&lt;3.5 t)</t>
  </si>
  <si>
    <t xml:space="preserve">Véhicule de transport, jusqu'à 3.5 t </t>
  </si>
  <si>
    <t>Lastwagen, Durchschnitt</t>
  </si>
  <si>
    <t>Camion</t>
  </si>
  <si>
    <t>Lastwagen 3.5t-7.5 t</t>
  </si>
  <si>
    <t>Camion 3.5-7.5 t</t>
  </si>
  <si>
    <t>Lastwagen 7.5-16 t</t>
  </si>
  <si>
    <t>Camion 7.5-16 t</t>
  </si>
  <si>
    <t>Lastwagen 16-32 t</t>
  </si>
  <si>
    <t>Camion 16-32 t</t>
  </si>
  <si>
    <t>Lastwagen 32-40 t</t>
  </si>
  <si>
    <t>Camion 32-40 t</t>
  </si>
  <si>
    <t>63</t>
  </si>
  <si>
    <t>Personen-Transporte</t>
  </si>
  <si>
    <t>Transports de personnes</t>
  </si>
  <si>
    <t>Autobus</t>
  </si>
  <si>
    <t>Fernreisezug Schweiz</t>
  </si>
  <si>
    <t>Train de grand parcours Suisse</t>
  </si>
  <si>
    <t>Fernreisezug Deutschland, ICE</t>
  </si>
  <si>
    <t>Train de grand parcours Allemagne, ICE</t>
  </si>
  <si>
    <t>Avion passagers, moyenne</t>
  </si>
  <si>
    <t>Avion passagers, Europe</t>
  </si>
  <si>
    <t>Avion passagers, intercontinental</t>
  </si>
  <si>
    <t>Personenwagen, Durchschnitt</t>
  </si>
  <si>
    <t>Voiture, moyenne</t>
  </si>
  <si>
    <t>Personenwagen, Benzin</t>
  </si>
  <si>
    <t>Voiture, essence</t>
  </si>
  <si>
    <t>Personenwagen, Biogas</t>
  </si>
  <si>
    <t>Voiture, biogaz</t>
  </si>
  <si>
    <t>Personenwagen, Diesel</t>
  </si>
  <si>
    <t>Voiture, gasoil</t>
  </si>
  <si>
    <t>Personenwagen, elektrisch</t>
  </si>
  <si>
    <t>Voiture, électricité</t>
  </si>
  <si>
    <t>Personenwagen, Erdgas</t>
  </si>
  <si>
    <t>Voiture, gaz naturel</t>
  </si>
  <si>
    <t>Regionalzug</t>
  </si>
  <si>
    <t>Train régional</t>
  </si>
  <si>
    <t>Reisebus</t>
  </si>
  <si>
    <t>Autocar</t>
  </si>
  <si>
    <t>Scooter, Benzin</t>
  </si>
  <si>
    <t>Scooter, essence</t>
  </si>
  <si>
    <t>Tram</t>
  </si>
  <si>
    <t>Trolleybus</t>
  </si>
  <si>
    <t>64</t>
  </si>
  <si>
    <t>km parcourus</t>
  </si>
  <si>
    <t>Voiture, electricité</t>
  </si>
  <si>
    <t>91.001 Entsorgung, Asphalt, 0.1% Wasser, in Reaktordeponie (KBOB.2016)</t>
  </si>
  <si>
    <t>OTHER_RESOURCE_DISPOSAL_CONSTRUCTION_MATERIAL</t>
  </si>
  <si>
    <t>121</t>
  </si>
  <si>
    <t>0.00</t>
  </si>
  <si>
    <t>0.09</t>
  </si>
  <si>
    <t>0.02</t>
  </si>
  <si>
    <t>91.002 Entsorgung, Bodenbelag, 2K-Fliessbelag Industrie (Epoxidharz), 2.25 mm (KBOB.2016)</t>
  </si>
  <si>
    <t>3430</t>
  </si>
  <si>
    <t>1.58</t>
  </si>
  <si>
    <t>6.09</t>
  </si>
  <si>
    <t>91.003 Entsorgung, Bodenbelag, 2K-Fliessbelag Wohnen/Verwaltung (Epoxidharz, PU), 2 mm (KBOB.2016)</t>
  </si>
  <si>
    <t>2980</t>
  </si>
  <si>
    <t>1.54</t>
  </si>
  <si>
    <t>5.19</t>
  </si>
  <si>
    <t>91.004 Entsorgung, Bodenbelag, Gummigranulat versiegelt, 7.5 mm (KBOB.2016)</t>
  </si>
  <si>
    <t>6780</t>
  </si>
  <si>
    <t>0.04</t>
  </si>
  <si>
    <t>2.15</t>
  </si>
  <si>
    <t>12.60</t>
  </si>
  <si>
    <t>91.005 Entsorgung, Bodenbelag, Hartbeton einschichtig, 27.5 mm (KBOB.2016)</t>
  </si>
  <si>
    <t>214</t>
  </si>
  <si>
    <t>0.51</t>
  </si>
  <si>
    <t>91.006 Entsorgung, Bodenbelag, Hartbeton zweischichtig, 35 mm (KBOB.2016)</t>
  </si>
  <si>
    <t>270</t>
  </si>
  <si>
    <t>0.01</t>
  </si>
  <si>
    <t>0.64</t>
  </si>
  <si>
    <t>0.11</t>
  </si>
  <si>
    <t>91.007 Entsorgung, Bodenbelag, Kautschuk, 2mm (KBOB.2016)</t>
  </si>
  <si>
    <t>2600</t>
  </si>
  <si>
    <t>0.54</t>
  </si>
  <si>
    <t>4.78</t>
  </si>
  <si>
    <t>91.008 Entsorgung, Bodenbelag, Kork Fertigparkett, 10.5 mm (KBOB.2016)</t>
  </si>
  <si>
    <t>1210</t>
  </si>
  <si>
    <t>0.63</t>
  </si>
  <si>
    <t>1.66</t>
  </si>
  <si>
    <t>91.009 Entsorgung, Bodenbelag, Kork PVC-beschichtet, 3.2 mm (KBOB.2016)</t>
  </si>
  <si>
    <t>1550</t>
  </si>
  <si>
    <t>0.36</t>
  </si>
  <si>
    <t>2.82</t>
  </si>
  <si>
    <t>91.010 Entsorgung, Bodenbelag, Korkparkett geölt/versiegelt, 5.3 mm (KBOB.2016)</t>
  </si>
  <si>
    <t>401</t>
  </si>
  <si>
    <t>0.19</t>
  </si>
  <si>
    <t>0.59</t>
  </si>
  <si>
    <t>91.011 Entsorgung, Bodenbelag, Laminat, 8.5 mm (KBOB.2016)</t>
  </si>
  <si>
    <t>248</t>
  </si>
  <si>
    <t>0.29</t>
  </si>
  <si>
    <t>91.012 Entsorgung, Bodenbelag, Linoleum, 2.5 mm (KBOB.2016)</t>
  </si>
  <si>
    <t>378</t>
  </si>
  <si>
    <t>0.27</t>
  </si>
  <si>
    <t>0.46</t>
  </si>
  <si>
    <t>91.013 Entsorgung, Bodenbelag, Parkett 2-Schicht werkversiegelt, 11 mm (KBOB.2016)</t>
  </si>
  <si>
    <t>159</t>
  </si>
  <si>
    <t>0.18</t>
  </si>
  <si>
    <t>0.06</t>
  </si>
  <si>
    <t>91.014 Entsorgung, Bodenbelag, Parkett 3-Schicht werkversiegelt, 15 mm (KBOB.2016)</t>
  </si>
  <si>
    <t>216</t>
  </si>
  <si>
    <t>0.25</t>
  </si>
  <si>
    <t>0.08</t>
  </si>
  <si>
    <t>91.015 Entsorgung, Bodenbelag, Parkett Mosaik werkversiegelt, 8 mm (KBOB.2016)</t>
  </si>
  <si>
    <t>134</t>
  </si>
  <si>
    <t>0.16</t>
  </si>
  <si>
    <t>0.05</t>
  </si>
  <si>
    <t>91.016 Entsorgung, Bodenbelag, PVC homogen, 2 mm (KBOB.2016)</t>
  </si>
  <si>
    <t>3050</t>
  </si>
  <si>
    <t>2.32</t>
  </si>
  <si>
    <t>5.24</t>
  </si>
  <si>
    <t>91.017 Entsorgung, Bodenbelag, Steinholz versiegelt, 16.5 mm (KBOB.2016)</t>
  </si>
  <si>
    <t>330</t>
  </si>
  <si>
    <t>1.26</t>
  </si>
  <si>
    <t>91.018 Entsorgung, Bodenbelag, Synthetische thermoplastische Beläge (TPO), 2 mm (KBOB.2016)</t>
  </si>
  <si>
    <t>2790</t>
  </si>
  <si>
    <t>0.68</t>
  </si>
  <si>
    <t>5.10</t>
  </si>
  <si>
    <t>91.019 Entsorgung, Bodenbelag, Teppich Kunstfaser getuftet (KBOB.2016)</t>
  </si>
  <si>
    <t>2270</t>
  </si>
  <si>
    <t>0.40</t>
  </si>
  <si>
    <t>4.41</t>
  </si>
  <si>
    <t>91.020 Entsorgung, Bodenbelag, Teppich Nadelfilz (KBOB.2016)</t>
  </si>
  <si>
    <t>1880</t>
  </si>
  <si>
    <t>3.68</t>
  </si>
  <si>
    <t>91.021 Entsorgung, Bodenbelag, Teppich Naturfaser (KBOB.2016)</t>
  </si>
  <si>
    <t>710</t>
  </si>
  <si>
    <t>0.24</t>
  </si>
  <si>
    <t>1.16</t>
  </si>
  <si>
    <t>91.022 Entsorgung, Bodenbelag, Terrazzo versiegelt, 40 mm (KBOB.2016)</t>
  </si>
  <si>
    <t>339</t>
  </si>
  <si>
    <t>0.81</t>
  </si>
  <si>
    <t>0.14</t>
  </si>
  <si>
    <t>91.023 Entsorgung, Gebäude, Anstrich auf Holz, in Beseitigung (KBOB.2016)</t>
  </si>
  <si>
    <t>1570</t>
  </si>
  <si>
    <t>2.40</t>
  </si>
  <si>
    <t>91.024 Entsorgung, Gebäude, Aussentüre, Holz-Aluminium, in Beseitigung (KBOB.2016)</t>
  </si>
  <si>
    <t>4680</t>
  </si>
  <si>
    <t>0.12</t>
  </si>
  <si>
    <t>8.66</t>
  </si>
  <si>
    <t>3.27</t>
  </si>
  <si>
    <t>91.025 Entsorgung, Gebäude, Aussentüre, Holz-Glas, in Beseitigung (KBOB.2016)</t>
  </si>
  <si>
    <t>5500</t>
  </si>
  <si>
    <t>8.39</t>
  </si>
  <si>
    <t>5.62</t>
  </si>
  <si>
    <t>91.026 Entsorgung, Gebäude, Backstein, in Beseitigung (KBOB.2016)</t>
  </si>
  <si>
    <t>35</t>
  </si>
  <si>
    <t>91.026</t>
  </si>
  <si>
    <t>91.027 Entsorgung, Gebäude, Bitumenbahn, in Beseitigung (KBOB.2016)</t>
  </si>
  <si>
    <t>1180</t>
  </si>
  <si>
    <t>0.22</t>
  </si>
  <si>
    <t>2.37</t>
  </si>
  <si>
    <t>91.028 Entsorgung, Gebäude, EPS-Isolation flammgeschützt, in Beseitigung (KBOB.2016)</t>
  </si>
  <si>
    <t>0.13</t>
  </si>
  <si>
    <t>3.19</t>
  </si>
  <si>
    <t>91.029 Entsorgung, Gebäude, Fensterrahmen, Holz, in Beseitigung (KBOB.2016)</t>
  </si>
  <si>
    <t>15900</t>
  </si>
  <si>
    <t>8.09</t>
  </si>
  <si>
    <t>19.60</t>
  </si>
  <si>
    <t>91.030 Entsorgung, Gebäude, Fensterrahmen, Holz-Metall, in Beseitigung (KBOB.2016)</t>
  </si>
  <si>
    <t>18400</t>
  </si>
  <si>
    <t>7.75</t>
  </si>
  <si>
    <t>25.70</t>
  </si>
  <si>
    <t>91.031 Entsorgung, Gebäude, Fensterrahmen, Plastik, in Beseitigung (KBOB.2016)</t>
  </si>
  <si>
    <t>33200</t>
  </si>
  <si>
    <t>2.42</t>
  </si>
  <si>
    <t>28.90</t>
  </si>
  <si>
    <t>57.20</t>
  </si>
  <si>
    <t>91.032 Entsorgung, Gebäude, Flachglas, in Beseitigung (KBOB.2016)</t>
  </si>
  <si>
    <t>19</t>
  </si>
  <si>
    <t>0.07</t>
  </si>
  <si>
    <t>91.033 Entsorgung, Gebäude, Holzzementplatte, in Beseitigung (KBOB.2016)</t>
  </si>
  <si>
    <t>53</t>
  </si>
  <si>
    <t>91.034 Entsorgung, Gebäude, Innentüre, Glas-Holz, in Beseitigung (KBOB.2016)</t>
  </si>
  <si>
    <t>10600</t>
  </si>
  <si>
    <t>0.30</t>
  </si>
  <si>
    <t>20.50</t>
  </si>
  <si>
    <t>11.60</t>
  </si>
  <si>
    <t>91.035 Entsorgung, Gebäude, Innentüre, Holz, in Beseitigung (KBOB.2016)</t>
  </si>
  <si>
    <t>5370</t>
  </si>
  <si>
    <t>4.10</t>
  </si>
  <si>
    <t>7.73</t>
  </si>
  <si>
    <t>91.036 Entsorgung, Gebäude, Mineralwolle, in Beseitigung (KBOB.2016)</t>
  </si>
  <si>
    <t>30</t>
  </si>
  <si>
    <t>91.037 Entsorgung, Gebäude, PE-Dichtungsbahn, in Beseitigung (KBOB.2016)</t>
  </si>
  <si>
    <t>1360</t>
  </si>
  <si>
    <t>2.58</t>
  </si>
  <si>
    <t>91.038 Entsorgung, Gebäude, Polyethylen/Polypropylen-Produkte, in Beseitigung (KBOB.2016)</t>
  </si>
  <si>
    <t>1480</t>
  </si>
  <si>
    <t>3.03</t>
  </si>
  <si>
    <t>91.039 Entsorgung, Gebäude, PUR-Schaum, in Beseitigung (KBOB.2016)</t>
  </si>
  <si>
    <t>1510</t>
  </si>
  <si>
    <t>2.72</t>
  </si>
  <si>
    <t>91.040 Entsorgung, Gebäude, PVC-Produkte, in Beseitigung (KBOB.2016)</t>
  </si>
  <si>
    <t>1.03</t>
  </si>
  <si>
    <t>2.04</t>
  </si>
  <si>
    <t>91.041 Entsorgung, Gebäude, Spanplatte, in Beseitigung (KBOB.2016)</t>
  </si>
  <si>
    <t>91.042 Entsorgungsmix, Isolierverglasung 2-fach, Ug-Wert 1.1 W/m2K, Dicke 24 mm (KBOB.2016)</t>
  </si>
  <si>
    <t>2180</t>
  </si>
  <si>
    <t>1.35</t>
  </si>
  <si>
    <t>3.88</t>
  </si>
  <si>
    <t>91.043 Entsorgungsmix, Isolierverglasung 2-fach, VSG, Ug-Wert 1.1 W/m2K (KBOB.2016)</t>
  </si>
  <si>
    <t>3900</t>
  </si>
  <si>
    <t>2.05</t>
  </si>
  <si>
    <t>7.16</t>
  </si>
  <si>
    <t>91.044 Entsorgungsmix, Isolierverglasung 3-fach, Ug-Wert 0.5 W/m2K, Dicke 36 mm (KBOB.2016)</t>
  </si>
  <si>
    <t>0.03</t>
  </si>
  <si>
    <t>1.99</t>
  </si>
  <si>
    <t>5.25</t>
  </si>
  <si>
    <t>91.071 Entsorgung, glasfaserverstärkter Kunststoff (GFK), in Kehrichtverbrennung  (KBOB.2016)</t>
  </si>
  <si>
    <t>1030</t>
  </si>
  <si>
    <t>1.98</t>
  </si>
  <si>
    <t>91.045 Entsorgung, Gummi, unspezifisch, 0% Wasser, in Kehrichtverbrennung (KBOB.2016)</t>
  </si>
  <si>
    <t>1590</t>
  </si>
  <si>
    <t>3.16</t>
  </si>
  <si>
    <t>91.046 Entsorgung, Papier, 11.2% Wasser, in Kehrichtverbrennung (KBOB.2016)</t>
  </si>
  <si>
    <t>86</t>
  </si>
  <si>
    <t>0.10</t>
  </si>
  <si>
    <t>91.047 Entsorgungsmix Brettschichtholz verleimt (KBOB.2016)</t>
  </si>
  <si>
    <t>87</t>
  </si>
  <si>
    <t>91.048 Entsorgungsmix Dreischichtplatte (KBOB.2016)</t>
  </si>
  <si>
    <t>80</t>
  </si>
  <si>
    <t>91.049 Entsorgungsmix Faserplatte hart (KBOB.2016)</t>
  </si>
  <si>
    <t>91</t>
  </si>
  <si>
    <t>91.050 Entsorgungsmix Faserplatte mittlerer Dichte (MDF) (KBOB.2016)</t>
  </si>
  <si>
    <t>91.051 Entsorgungsmix Faserplatte weich (KBOB.2016)</t>
  </si>
  <si>
    <t>91.052 Entsorgungsmix Schnittholz, Laubholz, luft-/kammergetrocknet (KBOB.2016)</t>
  </si>
  <si>
    <t>27</t>
  </si>
  <si>
    <t>91.053 Entsorgungsmix Schnittholz, Laubholz, luftgetrocknet (KBOB.2016)</t>
  </si>
  <si>
    <t>25</t>
  </si>
  <si>
    <t>91.054 Entsorgungsmix Schnittholz, Nadelholz, kammergetrocknet (KBOB.2016)</t>
  </si>
  <si>
    <t>91.054.01 Entsorgungsmix Schnittholz, Nadelholz, kammergetrocknet, holzpur (KBOB.2016)</t>
  </si>
  <si>
    <t>91.055 Entsorgungsmix Schnittholz, Nadelholz, luftgetrocknet (KBOB.2016)</t>
  </si>
  <si>
    <t>91.056 Entsorgungsmix Spanplatte, Aussenanwendung (KBOB.2016)</t>
  </si>
  <si>
    <t>91.057 Entsorgungsmix Spanplatte, Innenanwendung (KBOB.2016)</t>
  </si>
  <si>
    <t>91.058 Entsorgungsmix Sperrholz, Aussenanwendung (KBOB.2016)</t>
  </si>
  <si>
    <t>91.059 Entsorgungsmix, Backstein (KBOB.2016)</t>
  </si>
  <si>
    <t>26</t>
  </si>
  <si>
    <t>91.060 Entsorgungsmix, Beton bewehrt (KBOB.2016)</t>
  </si>
  <si>
    <t>91.061 Entsorgungsmix, Beton unbewehrt (KBOB.2016)</t>
  </si>
  <si>
    <t>91.062 Entsorgungsmix, Betonkies (KBOB.2016)</t>
  </si>
  <si>
    <t>91.063 Entsorgungsmix, Gipsfaserplatte (KBOB.2016)</t>
  </si>
  <si>
    <t>18</t>
  </si>
  <si>
    <t>91.064 Entsorgungsmix, Gipskartonplatte (KBOB.2016)</t>
  </si>
  <si>
    <t>17</t>
  </si>
  <si>
    <t>91.065 Entsorgungsmix, Kalksandstein (KBOB.2016)</t>
  </si>
  <si>
    <t>91.066 Entsorgungsmix, Kunststoffputz (KBOB.2016)</t>
  </si>
  <si>
    <t>20</t>
  </si>
  <si>
    <t>91.066</t>
  </si>
  <si>
    <t>91.067 Entsorgungsmix, Mineralischer Putz (KBOB.2016)</t>
  </si>
  <si>
    <t>91.068 Entsorgungsmix, Sand (KBOB.2016)</t>
  </si>
  <si>
    <t>91.069 Entsorgungsmix, Gips-Wandbauplatte / Vollgipsplatte (KBOB.2016)</t>
  </si>
  <si>
    <t>91.070 Entsorgungsmix, Zement (in Beton) und Mauermörtel (KBOB.2016)</t>
  </si>
  <si>
    <t>91.073 Entsorgungsmix, Hanfbeton (KBOB.2016)</t>
  </si>
  <si>
    <t>1</t>
  </si>
  <si>
    <t>91.074 Entsorgung, Baugrubensicherung, Bohrpfahlwand, gespriesst (KBOB.2016)</t>
  </si>
  <si>
    <t>130000</t>
  </si>
  <si>
    <t>9.57</t>
  </si>
  <si>
    <t>258.00</t>
  </si>
  <si>
    <t>50.20</t>
  </si>
  <si>
    <t>91.075 Entsorgung, Baugrubensicherung, Bohrpfahlwand, unverankert (KBOB.2016)</t>
  </si>
  <si>
    <t>91.076 Entsorgung, Baugrubensicherung, Bohrpfahlwand, verankert (KBOB.2016)</t>
  </si>
  <si>
    <t>86200</t>
  </si>
  <si>
    <t>6.32</t>
  </si>
  <si>
    <t>170.00</t>
  </si>
  <si>
    <t>33.10</t>
  </si>
  <si>
    <t>91.077 Entsorgung, Baugrubensicherung, Nagelwand (KBOB.2016)</t>
  </si>
  <si>
    <t>18900</t>
  </si>
  <si>
    <t>1.39</t>
  </si>
  <si>
    <t>37.50</t>
  </si>
  <si>
    <t>7.28</t>
  </si>
  <si>
    <t>91.078 Entsorgung, Baugrubensicherung, Rühlwand, auskragend (KBOB.2016)</t>
  </si>
  <si>
    <t>30100</t>
  </si>
  <si>
    <t>2.20</t>
  </si>
  <si>
    <t>59.50</t>
  </si>
  <si>
    <t>91.079 Entsorgung, Baugrubensicherung, Rühlwand, gespriesst (KBOB.2016)</t>
  </si>
  <si>
    <t>17800</t>
  </si>
  <si>
    <t>1.31</t>
  </si>
  <si>
    <t>35.20</t>
  </si>
  <si>
    <t>6.84</t>
  </si>
  <si>
    <t>91.080 Entsorgung, Baugrubensicherung, Rühlwand, verankert (KBOB.2016)</t>
  </si>
  <si>
    <t>20600</t>
  </si>
  <si>
    <t>1.51</t>
  </si>
  <si>
    <t>40.70</t>
  </si>
  <si>
    <t>7.90</t>
  </si>
  <si>
    <t>91.081 Entsorgung, Baugrubensicherung, Schlitzwand, 400 mm (KBOB.2016)</t>
  </si>
  <si>
    <t>65500</t>
  </si>
  <si>
    <t>4.76</t>
  </si>
  <si>
    <t>130.00</t>
  </si>
  <si>
    <t>25.20</t>
  </si>
  <si>
    <t>91.082 Entsorgung, Baugrubensicherung, Schlitzwand, 800 mm (KBOB.2016)</t>
  </si>
  <si>
    <t>129000</t>
  </si>
  <si>
    <t>9.43</t>
  </si>
  <si>
    <t>256.00</t>
  </si>
  <si>
    <t>49.60</t>
  </si>
  <si>
    <t>91.083 Entsorgung, Baugrubensicherung, Spundwand, auskragend (KBOB.2016)</t>
  </si>
  <si>
    <t>0</t>
  </si>
  <si>
    <t>91.084 Entsorgung, Baugrubensicherung, Spundwand, gespriesst (KBOB.2016)</t>
  </si>
  <si>
    <t>91.085 Entsorgung, Baugrubensicherung, Spundwand, verankert (KBOB.2016)</t>
  </si>
  <si>
    <t>91.086 Entsorgung, Tiefgründung, Mikrobohrpfahl (KBOB.2016)</t>
  </si>
  <si>
    <t>91.087 Entsorgung, Tiefgründung, Ortbetonbohrpfahl, 700 mm (KBOB.2016)</t>
  </si>
  <si>
    <t>91.088 Entsorgung, Tiefgründung, Ortbetonbohrpfahl, 900 mm (KBOB.2016)</t>
  </si>
  <si>
    <t>91.089 Entsorgung, Tiefgründung, Ortbetonbohrpfahl, 1200 mm (KBOB.2016)</t>
  </si>
  <si>
    <t>91.090 Entsorgung, Tiefgründung, Ortbetonverdrängungspfahl 560/480 mm (KBOB.2016)</t>
  </si>
  <si>
    <t>91.091 Entsorgung, Tiefgründung, Ortbetonverdrängungspfahl 660/580 mm (KBOB.2016)</t>
  </si>
  <si>
    <t>91.092 Entsorgung, Tiefgründung, Rüttelstopfsäule (KBOB.2016)</t>
  </si>
  <si>
    <t>91.093 Entsorgung, Tiefgründung, Vorgefertigter Betonpfahl (KBOB.2016)</t>
  </si>
  <si>
    <t>91.094 Entsorgung, Wasserhaltung, Pumphöhe 2.5 m (KBOB.2016)</t>
  </si>
  <si>
    <t>91.095 Entsorgung, Wasserhaltung, Pumphöhe 5 m (KBOB.2016)</t>
  </si>
  <si>
    <t>91.096 Entsorgung, Wasserhaltung, Pumphöhe 7.5 m (KBOB.2016)</t>
  </si>
  <si>
    <t>91.097 Entsorgung, Wasserhaltung, Pumphöhe 10 m (KBOB.2016)</t>
  </si>
  <si>
    <t>91.098 Entsorgungsmix, Gips-Kalk-Putz (KBOB.2016)</t>
  </si>
  <si>
    <t>91.099 Entsorgungsmix, Gips-/Weissputz (KBOB.2016)</t>
  </si>
  <si>
    <t>91.100 Entsorgungsmix, Putz, ausgehärtet (KBOB.2016)</t>
  </si>
  <si>
    <t>91.101 Entsorgungsmix, Unterlagsboden Anhydrit, 60 mm (KBOB.2016)</t>
  </si>
  <si>
    <t>91.102 Entsorgungsmix, Unterlagsboden Zement, 85 mm (KBOB.2016)</t>
  </si>
  <si>
    <t>91.103 Entsorgungsmix, Aluverbund, Fassadenplatte 4 mm (KBOB.2016)</t>
  </si>
  <si>
    <t>4240</t>
  </si>
  <si>
    <t>0.53</t>
  </si>
  <si>
    <t>8.58</t>
  </si>
  <si>
    <t>91.104 Entsorgungsmix, Ausstellstoren motorisiert (KBOB.2016)</t>
  </si>
  <si>
    <t>831</t>
  </si>
  <si>
    <t>0.45</t>
  </si>
  <si>
    <t>1.48</t>
  </si>
  <si>
    <t>91.105 Entsorgungsmix, Fensterrahmen Aluminium (KBOB.2016)</t>
  </si>
  <si>
    <t>18600</t>
  </si>
  <si>
    <t>3.42</t>
  </si>
  <si>
    <t>36.10</t>
  </si>
  <si>
    <t>91.105.01 Entsorgungsmix, Fensterrahmen Aluminium, WICLINE 75evo (KBOB.2016)</t>
  </si>
  <si>
    <t>10900</t>
  </si>
  <si>
    <t>1.59</t>
  </si>
  <si>
    <t>21.40</t>
  </si>
  <si>
    <t>91.106 Entsorgung, HPL-Fassadenplatten, in Kehrichtverbrennung (KBOB.2016)</t>
  </si>
  <si>
    <t>6310</t>
  </si>
  <si>
    <t>1.82</t>
  </si>
  <si>
    <t>11.10</t>
  </si>
  <si>
    <t>91.107 Entsorgungsmix, Isolierverglasung 2-fach, Ug-Wert 1.1 W/m2K, Dicke 18 mm (KBOB.2016)</t>
  </si>
  <si>
    <t>1730</t>
  </si>
  <si>
    <t>1.30</t>
  </si>
  <si>
    <t>2.98</t>
  </si>
  <si>
    <t>91.108 Entsorgungsmix, Isolierverglasung 2-fach, ESG, Ug-Wert 1.1 W/m2K (KBOB.2016)</t>
  </si>
  <si>
    <t>91.109 Entsorgungsmix, Isolierverglasung 2-fach, ESG/VSG, Ug-Wert 1.1 W/m2K (KBOB.2016)</t>
  </si>
  <si>
    <t>91.110 Entsorgungsmix, Isolierverglasung 3-fach, Ug-Wert 0.6 W/m2K, Dicke 40 mm (KBOB.2016)</t>
  </si>
  <si>
    <t>3450</t>
  </si>
  <si>
    <t>6.16</t>
  </si>
  <si>
    <t>91.111 Entsorgungsmix, Isolierverglasung 3-fach, ESG/ESG, Ug-Wert 0.6 W/m2K (KBOB.2016)</t>
  </si>
  <si>
    <t>91.112 Entsorgungsmix, Isolierverglasung 3-fach, ESG/ESG/ESG, Ug-Wert 0.6 W/m2K (KBOB.2016)</t>
  </si>
  <si>
    <t>91.113 Entsorgungsmix, Isolierverglasung 3-fach, VSG, Ug-Wert 0.6 W/m2K (KBOB.2016)</t>
  </si>
  <si>
    <t>5170</t>
  </si>
  <si>
    <t>2.74</t>
  </si>
  <si>
    <t>9.45</t>
  </si>
  <si>
    <t>91.114 Entsorgungsmix, Isolierverglasung 3-fach, ESG/VSG, Ug-Wert 0.6 W/m2K (KBOB.2016)</t>
  </si>
  <si>
    <t>91.115 Entsorgungsmix, Lamellenstoren motorisiert (KBOB.2016)</t>
  </si>
  <si>
    <t>633</t>
  </si>
  <si>
    <t>0.37</t>
  </si>
  <si>
    <t>1.11</t>
  </si>
  <si>
    <t>91.116 Entsorgungsmix, Putzträgerplatte kunstharzgebunden 13 mm (KBOB.2016)</t>
  </si>
  <si>
    <t>108</t>
  </si>
  <si>
    <t>91.117 Entsorgungsmix, Putzträgerplatte mineralisch gebunden 12.5 mm (KBOB.2016)</t>
  </si>
  <si>
    <t>0.92</t>
  </si>
  <si>
    <t>91.118 Entsorgungsmix, Rollladen motorisiert (KBOB.2016)</t>
  </si>
  <si>
    <t>284</t>
  </si>
  <si>
    <t>0.41</t>
  </si>
  <si>
    <t>91.119 Entsorgungsmix, Aerogel-Vlies (KBOB.2016)</t>
  </si>
  <si>
    <t>181</t>
  </si>
  <si>
    <t>91.120 Entsorgungsmix, Schaumglasschotter (KBOB.2016)</t>
  </si>
  <si>
    <t>91.121 Entsorgungsmix, Flachsfasern (KBOB.2016)</t>
  </si>
  <si>
    <t>144</t>
  </si>
  <si>
    <t>91.122 Entsorgungsmix, Strohballenwand (KBOB.2016)</t>
  </si>
  <si>
    <t>91.123 Entsorgung, Abfalltrennsystem (KBOB.2016)</t>
  </si>
  <si>
    <t>3770</t>
  </si>
  <si>
    <t>0.34</t>
  </si>
  <si>
    <t>7.68</t>
  </si>
  <si>
    <t>91.124 Entsorgung, Arbeitsplatte Chromstahl, Standard (KBOB.2016)</t>
  </si>
  <si>
    <t>1130</t>
  </si>
  <si>
    <t>0.75</t>
  </si>
  <si>
    <t>1.57</t>
  </si>
  <si>
    <t>91.125 Entsorgung, Arbeitsplatte Kompositwerkstoff (auf Aluminiumhydroxidbasis) (KBOB.2016)</t>
  </si>
  <si>
    <t>10200</t>
  </si>
  <si>
    <t>16.90</t>
  </si>
  <si>
    <t>91.126 Entsorgung, Arbeitsplatte kunstharzbeschichtet (KBOB.2016)</t>
  </si>
  <si>
    <t>1750</t>
  </si>
  <si>
    <t>0.79</t>
  </si>
  <si>
    <t>2.51</t>
  </si>
  <si>
    <t>91.127 Entsorgung, Arbeitsplatte Massivholz (KBOB.2016)</t>
  </si>
  <si>
    <t>634</t>
  </si>
  <si>
    <t>0.80</t>
  </si>
  <si>
    <t>91.128 Entsorgung, Arbeitsplatte Naturstein (KBOB.2016)</t>
  </si>
  <si>
    <t>2130</t>
  </si>
  <si>
    <t>0.15</t>
  </si>
  <si>
    <t>4.17</t>
  </si>
  <si>
    <t>91.129 Entsorgung, Dampfabzug (KBOB.2016)</t>
  </si>
  <si>
    <t>8630</t>
  </si>
  <si>
    <t>17.10</t>
  </si>
  <si>
    <t>91.130 Entsorgung, Küche, Massivholz, 16-teilig (KBOB.2016)</t>
  </si>
  <si>
    <t>45200</t>
  </si>
  <si>
    <t>22.30</t>
  </si>
  <si>
    <t>71.80</t>
  </si>
  <si>
    <t>91.131 Entsorgung, Küche, Metall, 16-teilig (KBOB.2016)</t>
  </si>
  <si>
    <t>15200</t>
  </si>
  <si>
    <t>2.65</t>
  </si>
  <si>
    <t>29.60</t>
  </si>
  <si>
    <t>91.132 Entsorgung, Küche, Spanplatte, 16-teilig (KBOB.2016)</t>
  </si>
  <si>
    <t>77700</t>
  </si>
  <si>
    <t>0.58</t>
  </si>
  <si>
    <t>36.00</t>
  </si>
  <si>
    <t>119.00</t>
  </si>
  <si>
    <t>91.133 Entsorgung, Spüle Chromstahl (KBOB.2016)</t>
  </si>
  <si>
    <t>2240</t>
  </si>
  <si>
    <t>0.21</t>
  </si>
  <si>
    <t>4.57</t>
  </si>
  <si>
    <t>91.134 Entsorgung, Spüle Kompositwerkstoff (auf Gesteinsmehlbasis) (KBOB.2016)</t>
  </si>
  <si>
    <t>4490</t>
  </si>
  <si>
    <t>6.39</t>
  </si>
  <si>
    <t>91.135 Entsorgung, Fassade, Pfosten-Riegel, Alu/Glas (KBOB.2016)</t>
  </si>
  <si>
    <t>7250</t>
  </si>
  <si>
    <t>3.08</t>
  </si>
  <si>
    <t>13.50</t>
  </si>
  <si>
    <t>92.016 Entsorgung, Abgabe über Heizkörper (KBOB.2016)</t>
  </si>
  <si>
    <t>OTHER_RESOURCE_DISPOSAL_BUILDING_TECHNOLOGY</t>
  </si>
  <si>
    <t>92.018 Entsorgung, Abgabe über Heizkühldecke (ohne Gips- oder Metalldecke) (KBOB.2016)</t>
  </si>
  <si>
    <t>70</t>
  </si>
  <si>
    <t>92.017 Entsorgung, Abgabe über Fussbodenheizung (KBOB.2016)</t>
  </si>
  <si>
    <t>997</t>
  </si>
  <si>
    <t>92.023 Entsorgung, Abluftanlage Küche und Bad (KBOB.2016)</t>
  </si>
  <si>
    <t>66</t>
  </si>
  <si>
    <t>92.002 Entsorgung, Büro, aufwändige Installation, inkl. Apparate und Leitungen (KBOB.2016)</t>
  </si>
  <si>
    <t>1950</t>
  </si>
  <si>
    <t>0.48</t>
  </si>
  <si>
    <t>3.76</t>
  </si>
  <si>
    <t>92.001 Entsorgung, Büro, einfache Installation, inkl. Apparate und Leitungen (KBOB.2016)</t>
  </si>
  <si>
    <t>587</t>
  </si>
  <si>
    <t>1.15</t>
  </si>
  <si>
    <t>92.020 Entsorgung, Einzelraumlüfer Fenstermodell 10-30 m3/h, ohne Montage (KBOB.2016)</t>
  </si>
  <si>
    <t>3260</t>
  </si>
  <si>
    <t>1.41</t>
  </si>
  <si>
    <t>5.48</t>
  </si>
  <si>
    <t>92.004 Entsorgung, Elektroanlagen Wohnen (KBOB.2016)</t>
  </si>
  <si>
    <t>1820</t>
  </si>
  <si>
    <t>0.76</t>
  </si>
  <si>
    <t>3.40</t>
  </si>
  <si>
    <t>92.005 Entsorgung, Elektroanlagen Büro (KBOB.2016)</t>
  </si>
  <si>
    <t>900</t>
  </si>
  <si>
    <t>0.83</t>
  </si>
  <si>
    <t>1.45</t>
  </si>
  <si>
    <t>92.025 Entsorgung, Erdregister kurz zu Lüftungsanlage Büro (0.27 m/m2 EBF) (KBOB.2016)</t>
  </si>
  <si>
    <t>2300</t>
  </si>
  <si>
    <t>2.22</t>
  </si>
  <si>
    <t>92.026 Entsorgung, Erdregister lang zu Lüftungsanlage Büro (0.67 m/m2 EBF) (KBOB.2016)</t>
  </si>
  <si>
    <t>5760</t>
  </si>
  <si>
    <t>5.54</t>
  </si>
  <si>
    <t>7.05</t>
  </si>
  <si>
    <t>92.024 Entsorgung, Erdregister zu Lüftungsanlage Wohnen (KBOB.2016)</t>
  </si>
  <si>
    <t>1330</t>
  </si>
  <si>
    <t>1.28</t>
  </si>
  <si>
    <t>1.63</t>
  </si>
  <si>
    <t>92.009 Entsorgung, Erdsonden, für Sole-Wasser-Wärmepumpe (KBOB.2016)</t>
  </si>
  <si>
    <t>4100</t>
  </si>
  <si>
    <t>0.26</t>
  </si>
  <si>
    <t>2.73</t>
  </si>
  <si>
    <t>92.027 Entsorgung, Lüftungsanlage, spez. Luftmenge 1 m3/hm2 EBF (KBOB.2016)</t>
  </si>
  <si>
    <t>222</t>
  </si>
  <si>
    <t>0.35</t>
  </si>
  <si>
    <t>92.028 Entsorgung, Lüftungsanlage, spez. Luftmenge 2 m3/hm2 EBF (KBOB.2016)</t>
  </si>
  <si>
    <t>311</t>
  </si>
  <si>
    <t>0.49</t>
  </si>
  <si>
    <t>92.029 Entsorgung, Lüftungsanlage, spez. Luftmenge 4 m3/hm2 EBF (KBOB.2016)</t>
  </si>
  <si>
    <t>488</t>
  </si>
  <si>
    <t>0.44</t>
  </si>
  <si>
    <t>92.030 Entsorgung, Lüftungsanlage, spez. Luftmenge 6 m3/hm2 EBF (KBOB.2016)</t>
  </si>
  <si>
    <t>666</t>
  </si>
  <si>
    <t>0.60</t>
  </si>
  <si>
    <t>1.04</t>
  </si>
  <si>
    <t>92.031 Entsorgung, Lüftungsanlage, spez. Luftmenge 8 m3/hm2 EBF (KBOB.2016)</t>
  </si>
  <si>
    <t>843</t>
  </si>
  <si>
    <t>1.32</t>
  </si>
  <si>
    <t>92.021 Entsorgung, Lüftungsanlage Wohnen, Blechkanäle, inkl. Küchenabluft (KBOB.2016)</t>
  </si>
  <si>
    <t>182</t>
  </si>
  <si>
    <t>92.022 Entsorgung, Lüftungsanlage Wohnen, PE-Kanäle, inkl. Küchenabluft (KBOB.2016)</t>
  </si>
  <si>
    <t>371</t>
  </si>
  <si>
    <t>0.72</t>
  </si>
  <si>
    <t>92.012 Entsorgung, Luft-Wasser Wärmepumpe 8 kW (KBOB.2016)</t>
  </si>
  <si>
    <t>546000</t>
  </si>
  <si>
    <t>5.01</t>
  </si>
  <si>
    <t>60.20</t>
  </si>
  <si>
    <t>1050.00</t>
  </si>
  <si>
    <t>92.013 Entsorgung, Luft-Wasser Wärmepumpe 8 kW (KBOB.2016)</t>
  </si>
  <si>
    <t>4.33</t>
  </si>
  <si>
    <t>92.010 Entsorgung, Sole-Wasser Wärmepumpe 8 kW (KBOB.2016)</t>
  </si>
  <si>
    <t>367000</t>
  </si>
  <si>
    <t>3.82</t>
  </si>
  <si>
    <t>45.20</t>
  </si>
  <si>
    <t>706.00</t>
  </si>
  <si>
    <t>92.011 Entsorgung, Sole-Wasser Wärmepumpe 8 kW (KBOB.2016)</t>
  </si>
  <si>
    <t>1960</t>
  </si>
  <si>
    <t>3.77</t>
  </si>
  <si>
    <t>92.015 Entsorgung, Verteilung Bürogebäude (KBOB.2016)</t>
  </si>
  <si>
    <t>1090</t>
  </si>
  <si>
    <t>0.43</t>
  </si>
  <si>
    <t>2.79</t>
  </si>
  <si>
    <t>1.06</t>
  </si>
  <si>
    <t>92.014 Entsorgung, Verteilung Wohngebäude (KBOB.2016)</t>
  </si>
  <si>
    <t>807</t>
  </si>
  <si>
    <t>2.33</t>
  </si>
  <si>
    <t>0.67</t>
  </si>
  <si>
    <t>92.006 Entsorgung, Wärmeerzeuger, spez. Leistungsbedarf 10 W/m2 (KBOB.2016)</t>
  </si>
  <si>
    <t>92.007 Entsorgung, Wärmeerzeuger, spez. Leistungsbedarf 30 W/m2 (KBOB.2016)</t>
  </si>
  <si>
    <t>92.008 Entsorgung, Wärmeerzeuger, spez. Leistungsbedarf 50 W/m2 (KBOB.2016)</t>
  </si>
  <si>
    <t>92.019 Entsorgung, Wärmeverteilung und Abgabe, Luftheizung (KBOB.2016)</t>
  </si>
  <si>
    <t>92.003 Entsorgung, Wohnen, inkl. Apparate und Leitungen (KBOB.2016)</t>
  </si>
  <si>
    <t>833</t>
  </si>
  <si>
    <t>1.55</t>
  </si>
  <si>
    <r>
      <rPr>
        <rFont val="Arial"/>
        <b/>
        <color theme="1"/>
        <sz val="14.0"/>
      </rPr>
      <t xml:space="preserve">Entsorgung
</t>
    </r>
    <r>
      <rPr>
        <rFont val="Arial"/>
        <b val="0"/>
        <i/>
        <color theme="1"/>
        <sz val="10.0"/>
      </rPr>
      <t>[Bibliographie treeze, version 2.2:2016]</t>
    </r>
  </si>
  <si>
    <r>
      <rPr>
        <rFont val="Arial"/>
        <b/>
        <color theme="1"/>
        <sz val="9.0"/>
      </rPr>
      <t xml:space="preserve">Bezug
</t>
    </r>
    <r>
      <rPr>
        <rFont val="Arial"/>
        <b/>
        <i/>
        <color theme="1"/>
        <sz val="9.0"/>
      </rPr>
      <t>Référence</t>
    </r>
  </si>
  <si>
    <r>
      <rPr>
        <rFont val="Arial"/>
        <b/>
        <color theme="1"/>
        <sz val="9.0"/>
      </rPr>
      <t xml:space="preserve">Primärenergie 
</t>
    </r>
    <r>
      <rPr>
        <rFont val="Arial"/>
        <b/>
        <i/>
        <color theme="1"/>
        <sz val="9.0"/>
      </rPr>
      <t>Energie primaire</t>
    </r>
  </si>
  <si>
    <r>
      <rPr>
        <rFont val="Arial"/>
        <b/>
        <i/>
        <color theme="1"/>
        <sz val="14.0"/>
      </rPr>
      <t xml:space="preserve">Traitement des déchets
</t>
    </r>
    <r>
      <rPr>
        <rFont val="Arial"/>
        <b val="0"/>
        <i/>
        <color theme="1"/>
        <sz val="10.0"/>
      </rPr>
      <t>[Bibliographie treeze, version 2.2:2016]</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</si>
  <si>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</si>
  <si>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</si>
  <si>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r>
      <rPr>
        <rFont val="Arial"/>
        <color theme="1"/>
        <sz val="8.0"/>
      </rPr>
      <t>kg CO</t>
    </r>
    <r>
      <rPr>
        <rFont val="Arial"/>
        <color theme="1"/>
        <sz val="8.0"/>
        <vertAlign val="subscript"/>
      </rPr>
      <t>2</t>
    </r>
    <r>
      <rPr>
        <rFont val="Arial"/>
        <color theme="1"/>
        <sz val="8.0"/>
      </rPr>
      <t>-eq</t>
    </r>
  </si>
  <si>
    <t>Entsorgung Baumaterialien</t>
  </si>
  <si>
    <t>Elimination des matériaux de construction</t>
  </si>
  <si>
    <t>Elimination, asphalte, 0,1% d'eau, dans une décharge bioactive</t>
  </si>
  <si>
    <r>
      <rPr>
        <rFont val="Arial"/>
        <color theme="1"/>
        <sz val="10.0"/>
      </rPr>
      <t>m</t>
    </r>
    <r>
      <rPr>
        <rFont val="Arial"/>
        <color theme="1"/>
        <sz val="10.0"/>
        <vertAlign val="superscript"/>
      </rPr>
      <t>2</t>
    </r>
  </si>
  <si>
    <t>Elimination, revêtement coulé à 2 comp. industrie (résine époxy), 2,25 mm</t>
  </si>
  <si>
    <r>
      <rPr>
        <rFont val="Arial"/>
        <color theme="1"/>
        <sz val="10.0"/>
      </rPr>
      <t>m</t>
    </r>
    <r>
      <rPr>
        <rFont val="Arial"/>
        <color theme="1"/>
        <sz val="10.0"/>
        <vertAlign val="superscript"/>
      </rPr>
      <t>2</t>
    </r>
  </si>
  <si>
    <t>Elimination, revêtement coulé à 2 comp. habitation/administration (résine époxy, PU), 2 mm</t>
  </si>
  <si>
    <r>
      <rPr>
        <rFont val="Arial"/>
        <color theme="1"/>
        <sz val="10.0"/>
      </rPr>
      <t>m</t>
    </r>
    <r>
      <rPr>
        <rFont val="Arial"/>
        <color theme="1"/>
        <sz val="10.0"/>
        <vertAlign val="superscript"/>
      </rPr>
      <t>2</t>
    </r>
  </si>
  <si>
    <t>Elimination, revêtement, granulés de caoutchouc vitrifiés, 7,5 mm</t>
  </si>
  <si>
    <r>
      <rPr>
        <rFont val="Arial"/>
        <color theme="1"/>
        <sz val="10.0"/>
      </rPr>
      <t>m</t>
    </r>
    <r>
      <rPr>
        <rFont val="Arial"/>
        <color theme="1"/>
        <sz val="10.0"/>
        <vertAlign val="superscript"/>
      </rPr>
      <t>2</t>
    </r>
  </si>
  <si>
    <t>Elimination, revêtement, béton dur, 1 couche, 27,5 mm</t>
  </si>
  <si>
    <r>
      <rPr>
        <rFont val="Arial"/>
        <color theme="1"/>
        <sz val="10.0"/>
      </rPr>
      <t>m</t>
    </r>
    <r>
      <rPr>
        <rFont val="Arial"/>
        <color theme="1"/>
        <sz val="10.0"/>
        <vertAlign val="superscript"/>
      </rPr>
      <t>2</t>
    </r>
  </si>
  <si>
    <t>Elimination, revêtement, béton dur, 2 couches, 35 mm</t>
  </si>
  <si>
    <r>
      <rPr>
        <rFont val="Arial"/>
        <color theme="1"/>
        <sz val="10.0"/>
      </rPr>
      <t>m</t>
    </r>
    <r>
      <rPr>
        <rFont val="Arial"/>
        <color theme="1"/>
        <sz val="10.0"/>
        <vertAlign val="superscript"/>
      </rPr>
      <t>2</t>
    </r>
  </si>
  <si>
    <t>Elimination, revêtement, caoutchouc, 2 mm</t>
  </si>
  <si>
    <r>
      <rPr>
        <rFont val="Arial"/>
        <color theme="1"/>
        <sz val="10.0"/>
      </rPr>
      <t>m</t>
    </r>
    <r>
      <rPr>
        <rFont val="Arial"/>
        <color theme="1"/>
        <sz val="10.0"/>
        <vertAlign val="superscript"/>
      </rPr>
      <t>2</t>
    </r>
  </si>
  <si>
    <t>Elimination, revêtement, parquet préfabriqué en liège, 10,5 mm</t>
  </si>
  <si>
    <r>
      <rPr>
        <rFont val="Arial"/>
        <color theme="1"/>
        <sz val="10.0"/>
      </rPr>
      <t>m</t>
    </r>
    <r>
      <rPr>
        <rFont val="Arial"/>
        <color theme="1"/>
        <sz val="10.0"/>
        <vertAlign val="superscript"/>
      </rPr>
      <t>2</t>
    </r>
  </si>
  <si>
    <t>Elimination, revêtement, liège, revêtement PVC, 3,2 mm</t>
  </si>
  <si>
    <r>
      <rPr>
        <rFont val="Arial"/>
        <color theme="1"/>
        <sz val="10.0"/>
      </rPr>
      <t>m</t>
    </r>
    <r>
      <rPr>
        <rFont val="Arial"/>
        <color theme="1"/>
        <sz val="10.0"/>
        <vertAlign val="superscript"/>
      </rPr>
      <t>2</t>
    </r>
  </si>
  <si>
    <t>Elimination, revêtement, parquet en liège, huilé et vitrifié, 5,3 mm</t>
  </si>
  <si>
    <r>
      <rPr>
        <rFont val="Arial"/>
        <color theme="1"/>
        <sz val="10.0"/>
      </rPr>
      <t>m</t>
    </r>
    <r>
      <rPr>
        <rFont val="Arial"/>
        <color theme="1"/>
        <sz val="10.0"/>
        <vertAlign val="superscript"/>
      </rPr>
      <t>2</t>
    </r>
  </si>
  <si>
    <t xml:space="preserve">Elimination, revêtement, stratifiés, 8,5 mm </t>
  </si>
  <si>
    <r>
      <rPr>
        <rFont val="Arial"/>
        <color theme="1"/>
        <sz val="10.0"/>
      </rPr>
      <t>m</t>
    </r>
    <r>
      <rPr>
        <rFont val="Arial"/>
        <color theme="1"/>
        <sz val="10.0"/>
        <vertAlign val="superscript"/>
      </rPr>
      <t>2</t>
    </r>
  </si>
  <si>
    <t>Elimination, revêtement, linoléum, 2,5 mm</t>
  </si>
  <si>
    <r>
      <rPr>
        <rFont val="Arial"/>
        <color theme="1"/>
        <sz val="10.0"/>
      </rPr>
      <t>m</t>
    </r>
    <r>
      <rPr>
        <rFont val="Arial"/>
        <color theme="1"/>
        <sz val="10.0"/>
        <vertAlign val="superscript"/>
      </rPr>
      <t>2</t>
    </r>
  </si>
  <si>
    <t>Elimination, revêtement, parquet 2 plis, vitrifié d'usine, 11 mm</t>
  </si>
  <si>
    <r>
      <rPr>
        <rFont val="Arial"/>
        <color theme="1"/>
        <sz val="10.0"/>
      </rPr>
      <t>m</t>
    </r>
    <r>
      <rPr>
        <rFont val="Arial"/>
        <color theme="1"/>
        <sz val="10.0"/>
        <vertAlign val="superscript"/>
      </rPr>
      <t>2</t>
    </r>
  </si>
  <si>
    <t>Elimination, revêtement, parquet 3 plis, vitrifié d'usine, 15 mm</t>
  </si>
  <si>
    <r>
      <rPr>
        <rFont val="Arial"/>
        <color theme="1"/>
        <sz val="10.0"/>
      </rPr>
      <t>m</t>
    </r>
    <r>
      <rPr>
        <rFont val="Arial"/>
        <color theme="1"/>
        <sz val="10.0"/>
        <vertAlign val="superscript"/>
      </rPr>
      <t>2</t>
    </r>
  </si>
  <si>
    <t>Elimination, revêtement, parquet mosaïque, vitrifié d'usine, 8 mm</t>
  </si>
  <si>
    <r>
      <rPr>
        <rFont val="Arial"/>
        <color theme="1"/>
        <sz val="10.0"/>
      </rPr>
      <t>m</t>
    </r>
    <r>
      <rPr>
        <rFont val="Arial"/>
        <color theme="1"/>
        <sz val="10.0"/>
        <vertAlign val="superscript"/>
      </rPr>
      <t>2</t>
    </r>
  </si>
  <si>
    <t>Elimination, revêtement, PVC homogène, 2 mm</t>
  </si>
  <si>
    <r>
      <rPr>
        <rFont val="Arial"/>
        <color theme="1"/>
        <sz val="10.0"/>
      </rPr>
      <t>m</t>
    </r>
    <r>
      <rPr>
        <rFont val="Arial"/>
        <color theme="1"/>
        <sz val="10.0"/>
        <vertAlign val="superscript"/>
      </rPr>
      <t>2</t>
    </r>
  </si>
  <si>
    <t>Elimination, revêtement, kylolithe, vitrifié, 16,5 mm</t>
  </si>
  <si>
    <r>
      <rPr>
        <rFont val="Arial"/>
        <color theme="1"/>
        <sz val="10.0"/>
      </rPr>
      <t>m</t>
    </r>
    <r>
      <rPr>
        <rFont val="Arial"/>
        <color theme="1"/>
        <sz val="10.0"/>
        <vertAlign val="superscript"/>
      </rPr>
      <t>2</t>
    </r>
  </si>
  <si>
    <t>Elimination, revêtement, revêtements synthétiques, thermoplastiques (POT), 2 mm</t>
  </si>
  <si>
    <r>
      <rPr>
        <rFont val="Arial"/>
        <color theme="1"/>
        <sz val="10.0"/>
      </rPr>
      <t>m</t>
    </r>
    <r>
      <rPr>
        <rFont val="Arial"/>
        <color theme="1"/>
        <sz val="10.0"/>
        <vertAlign val="superscript"/>
      </rPr>
      <t>2</t>
    </r>
  </si>
  <si>
    <t>Elimination, revêtement, moquette en fibres synthétiques, tuftée</t>
  </si>
  <si>
    <r>
      <rPr>
        <rFont val="Arial"/>
        <color theme="1"/>
        <sz val="10.0"/>
      </rPr>
      <t>m</t>
    </r>
    <r>
      <rPr>
        <rFont val="Arial"/>
        <color theme="1"/>
        <sz val="10.0"/>
        <vertAlign val="superscript"/>
      </rPr>
      <t>2</t>
    </r>
  </si>
  <si>
    <t>Elimination, revêtement, moquette en feutre aiguilleté</t>
  </si>
  <si>
    <r>
      <rPr>
        <rFont val="Arial"/>
        <color theme="1"/>
        <sz val="10.0"/>
      </rPr>
      <t>m</t>
    </r>
    <r>
      <rPr>
        <rFont val="Arial"/>
        <color theme="1"/>
        <sz val="10.0"/>
        <vertAlign val="superscript"/>
      </rPr>
      <t>2</t>
    </r>
  </si>
  <si>
    <t>Elimination, revêtement, moquette en fibres naturelles</t>
  </si>
  <si>
    <r>
      <rPr>
        <rFont val="Arial"/>
        <color theme="1"/>
        <sz val="10.0"/>
      </rPr>
      <t>m</t>
    </r>
    <r>
      <rPr>
        <rFont val="Arial"/>
        <color theme="1"/>
        <sz val="10.0"/>
        <vertAlign val="superscript"/>
      </rPr>
      <t>2</t>
    </r>
  </si>
  <si>
    <t>Elimination, revêtement, terrazzo vitrifié, 40 mm</t>
  </si>
  <si>
    <t>Elimination, bâtiment, peinture sur bois, élimination</t>
  </si>
  <si>
    <r>
      <rPr>
        <rFont val="Arial"/>
        <color theme="1"/>
        <sz val="10.0"/>
      </rPr>
      <t>m</t>
    </r>
    <r>
      <rPr>
        <rFont val="Arial"/>
        <color theme="1"/>
        <sz val="10.0"/>
        <vertAlign val="superscript"/>
      </rPr>
      <t>2</t>
    </r>
  </si>
  <si>
    <t>Elimination, bâtiment, portes extérieures bois-aluminium, élimination,</t>
  </si>
  <si>
    <r>
      <rPr>
        <rFont val="Arial"/>
        <color theme="1"/>
        <sz val="10.0"/>
      </rPr>
      <t>m</t>
    </r>
    <r>
      <rPr>
        <rFont val="Arial"/>
        <color theme="1"/>
        <sz val="10.0"/>
        <vertAlign val="superscript"/>
      </rPr>
      <t>2</t>
    </r>
  </si>
  <si>
    <t>Elimination, bâtiment, portes extérieures bois-verre, élimination,</t>
  </si>
  <si>
    <t>Entsorgung, Gebäude, Backstein, in Beseitigung</t>
  </si>
  <si>
    <t>Elimination, bâtiment, brique en terre cuite, élimination</t>
  </si>
  <si>
    <t>Elimination, bâtiment, lé en bithume, élimination</t>
  </si>
  <si>
    <t>Elimination, bâtiment, isolation EPS ignifuge, élimination</t>
  </si>
  <si>
    <r>
      <rPr>
        <rFont val="Arial"/>
        <color theme="1"/>
        <sz val="10.0"/>
      </rPr>
      <t>m</t>
    </r>
    <r>
      <rPr>
        <rFont val="Arial"/>
        <color theme="1"/>
        <sz val="10.0"/>
        <vertAlign val="superscript"/>
      </rPr>
      <t>2</t>
    </r>
  </si>
  <si>
    <t>Elimination, bâtiment, cadre de fenêtre bois, élimination</t>
  </si>
  <si>
    <r>
      <rPr>
        <rFont val="Arial"/>
        <color theme="1"/>
        <sz val="10.0"/>
      </rPr>
      <t>m</t>
    </r>
    <r>
      <rPr>
        <rFont val="Arial"/>
        <color theme="1"/>
        <sz val="10.0"/>
        <vertAlign val="superscript"/>
      </rPr>
      <t>2</t>
    </r>
  </si>
  <si>
    <t>Elimination, bâtiment, cadre de fenêtre bois-métal, élimination</t>
  </si>
  <si>
    <r>
      <rPr>
        <rFont val="Arial"/>
        <color theme="1"/>
        <sz val="10.0"/>
      </rPr>
      <t>m</t>
    </r>
    <r>
      <rPr>
        <rFont val="Arial"/>
        <color theme="1"/>
        <sz val="10.0"/>
        <vertAlign val="superscript"/>
      </rPr>
      <t>2</t>
    </r>
  </si>
  <si>
    <t>Elimination, bâtiment, cadre de fenêtre plastique, élimination</t>
  </si>
  <si>
    <t>Elimination, bâtiment, verre plat, élimination</t>
  </si>
  <si>
    <t>Elimination, bâtiment, panneau ciment-sciure, élimination</t>
  </si>
  <si>
    <r>
      <rPr>
        <rFont val="Arial"/>
        <color theme="1"/>
        <sz val="10.0"/>
      </rPr>
      <t>m</t>
    </r>
    <r>
      <rPr>
        <rFont val="Arial"/>
        <color theme="1"/>
        <sz val="10.0"/>
        <vertAlign val="superscript"/>
      </rPr>
      <t>2</t>
    </r>
  </si>
  <si>
    <t>Elimination, bâtiment, portes intérieures verre-bois, élimination</t>
  </si>
  <si>
    <r>
      <rPr>
        <rFont val="Arial"/>
        <color theme="1"/>
        <sz val="10.0"/>
      </rPr>
      <t>m</t>
    </r>
    <r>
      <rPr>
        <rFont val="Arial"/>
        <color theme="1"/>
        <sz val="10.0"/>
        <vertAlign val="superscript"/>
      </rPr>
      <t>2</t>
    </r>
  </si>
  <si>
    <t>Elimination, bâtiment, portes intérieures bois, élimination</t>
  </si>
  <si>
    <t>Elimination, bâtiment, laine minérale, élimination</t>
  </si>
  <si>
    <t>Elimination, bâtiment, bande d'étanchéité en PE, élimination</t>
  </si>
  <si>
    <t>Elimination, bâtiment, produits en polyéthylène/polypropylène, élimination</t>
  </si>
  <si>
    <t>Elimination, bâtiment, mousse de polyuréthane, élimination</t>
  </si>
  <si>
    <t>Elimination, bâtiment, produits en PVC, élimination</t>
  </si>
  <si>
    <t>Elimination, bâtiment, panneau d'aggloméré, élimination</t>
  </si>
  <si>
    <r>
      <rPr>
        <rFont val="Arial"/>
        <color rgb="FFFF0000"/>
        <sz val="10.0"/>
      </rPr>
      <t>Entsorgungsmix, Isolierverglasung 2-fach, Ug-Wert 1.1 W/m</t>
    </r>
    <r>
      <rPr>
        <rFont val="Arial"/>
        <color rgb="FFFF0000"/>
        <sz val="10.0"/>
        <vertAlign val="superscript"/>
      </rPr>
      <t>2</t>
    </r>
    <r>
      <rPr>
        <rFont val="Arial"/>
        <color rgb="FFFF0000"/>
        <sz val="10.0"/>
      </rPr>
      <t>K, Dicke 24 mm</t>
    </r>
  </si>
  <si>
    <r>
      <rPr>
        <rFont val="Arial"/>
        <color theme="1"/>
        <sz val="10.0"/>
      </rPr>
      <t>m</t>
    </r>
    <r>
      <rPr>
        <rFont val="Arial"/>
        <color theme="1"/>
        <sz val="10.0"/>
        <vertAlign val="superscript"/>
      </rPr>
      <t>2</t>
    </r>
  </si>
  <si>
    <r>
      <rPr>
        <rFont val="Arial"/>
        <i/>
        <color rgb="FFFF0000"/>
        <sz val="10.0"/>
      </rPr>
      <t>Elimination, bâtiment, vitrage 2-IV, U&lt;1.1 W/m</t>
    </r>
    <r>
      <rPr>
        <rFont val="Arial"/>
        <i/>
        <color rgb="FFFF0000"/>
        <sz val="10.0"/>
        <vertAlign val="superscript"/>
      </rPr>
      <t>2</t>
    </r>
    <r>
      <rPr>
        <rFont val="Arial"/>
        <i/>
        <color rgb="FFFF0000"/>
        <sz val="10.0"/>
      </rPr>
      <t>K, élimination</t>
    </r>
  </si>
  <si>
    <r>
      <rPr>
        <rFont val="Arial"/>
        <color rgb="FFFF0000"/>
        <sz val="10.0"/>
      </rPr>
      <t>Entsorgungsmix, Isolierverglasung 2-fach, VSG, Ug-Wert 1.1 W/m</t>
    </r>
    <r>
      <rPr>
        <rFont val="Arial"/>
        <color rgb="FFFF0000"/>
        <sz val="10.0"/>
        <vertAlign val="superscript"/>
      </rPr>
      <t>2</t>
    </r>
    <r>
      <rPr>
        <rFont val="Arial"/>
        <color rgb="FFFF0000"/>
        <sz val="10.0"/>
      </rPr>
      <t>K</t>
    </r>
  </si>
  <si>
    <r>
      <rPr>
        <rFont val="Arial"/>
        <color theme="1"/>
        <sz val="10.0"/>
      </rPr>
      <t>m</t>
    </r>
    <r>
      <rPr>
        <rFont val="Arial"/>
        <color theme="1"/>
        <sz val="10.0"/>
        <vertAlign val="superscript"/>
      </rPr>
      <t>2</t>
    </r>
  </si>
  <si>
    <r>
      <rPr>
        <rFont val="Arial"/>
        <i/>
        <color rgb="FFFF0000"/>
        <sz val="10.0"/>
      </rPr>
      <t>Elimination, bâtiment, vitrage 2-IV, U&lt;1.1 W/m</t>
    </r>
    <r>
      <rPr>
        <rFont val="Arial"/>
        <i/>
        <color rgb="FFFF0000"/>
        <sz val="10.0"/>
        <vertAlign val="superscript"/>
      </rPr>
      <t>2</t>
    </r>
    <r>
      <rPr>
        <rFont val="Arial"/>
        <i/>
        <color rgb="FFFF0000"/>
        <sz val="10.0"/>
      </rPr>
      <t>K, VSF, élimination</t>
    </r>
  </si>
  <si>
    <r>
      <rPr>
        <rFont val="Arial"/>
        <color rgb="FFFF0000"/>
        <sz val="10.0"/>
      </rPr>
      <t>Entsorgungsmix, Isolierverglasung 3-fach, Ug-Wert 0.5 W/m</t>
    </r>
    <r>
      <rPr>
        <rFont val="Arial"/>
        <color rgb="FFFF0000"/>
        <sz val="10.0"/>
        <vertAlign val="superscript"/>
      </rPr>
      <t>2</t>
    </r>
    <r>
      <rPr>
        <rFont val="Arial"/>
        <color rgb="FFFF0000"/>
        <sz val="10.0"/>
      </rPr>
      <t>K, Dicke 36 mm</t>
    </r>
  </si>
  <si>
    <r>
      <rPr>
        <rFont val="Arial"/>
        <color theme="1"/>
        <sz val="10.0"/>
      </rPr>
      <t>m</t>
    </r>
    <r>
      <rPr>
        <rFont val="Arial"/>
        <color theme="1"/>
        <sz val="10.0"/>
        <vertAlign val="superscript"/>
      </rPr>
      <t>2</t>
    </r>
  </si>
  <si>
    <r>
      <rPr>
        <rFont val="Arial"/>
        <i/>
        <color rgb="FFFF0000"/>
        <sz val="10.0"/>
      </rPr>
      <t>Elimination, bâtiment, vitrage 3-IV, U&lt;0.5 W/m</t>
    </r>
    <r>
      <rPr>
        <rFont val="Arial"/>
        <i/>
        <color rgb="FFFF0000"/>
        <sz val="10.0"/>
        <vertAlign val="superscript"/>
      </rPr>
      <t>2</t>
    </r>
    <r>
      <rPr>
        <rFont val="Arial"/>
        <i/>
        <color rgb="FFFF0000"/>
        <sz val="10.0"/>
      </rPr>
      <t>K, élimination</t>
    </r>
  </si>
  <si>
    <t>Elimination, matière plastique renforcée de fibre de verre (PRV), incinération</t>
  </si>
  <si>
    <t xml:space="preserve">Elimination, caoutchouc, non spécifique, 0% d'eau, incinération </t>
  </si>
  <si>
    <t xml:space="preserve">Elimination, papier, 11,2% d'eau, incinération </t>
  </si>
  <si>
    <t>Elimination mixte, lamellé-collé</t>
  </si>
  <si>
    <t>Elimination mixte, panneau tricouche</t>
  </si>
  <si>
    <t>Elimination mixte, panneau de fibres dur</t>
  </si>
  <si>
    <t>Elimination mixte, panneau de fibres de compacité moyenne</t>
  </si>
  <si>
    <t>Elimination mixte, panneau de fibres souple</t>
  </si>
  <si>
    <t>Elimination mixte, madrier, bois feuillu, séché à l'air libre / en chambre</t>
  </si>
  <si>
    <t>Elimination mixte, madrier, bois résineux, séché en chambre</t>
  </si>
  <si>
    <t>Elimination mixte, madrier, bois résineux, séché en chambre, holzpur</t>
  </si>
  <si>
    <t>Elimination mixte, madrier, bois résineux, séché à l'air libre</t>
  </si>
  <si>
    <t>Elimination mixte, panneau d'aggloméré, utilisation à l'extérieur</t>
  </si>
  <si>
    <t>Elimination mixte, panneau d'aggloméré, utilisation à l'intérieur</t>
  </si>
  <si>
    <t>Elimination mixte, contreplaqué, utilisation à l'extérieur</t>
  </si>
  <si>
    <t>Elimination mixte, brique de terre cuite</t>
  </si>
  <si>
    <t>Elimination mixte, béton armé</t>
  </si>
  <si>
    <t>Elimination mixte, béton non armé</t>
  </si>
  <si>
    <t>Elimination mixte, gravier à béton</t>
  </si>
  <si>
    <t>Elimination mixte, plaque de plâtre armé de fibres</t>
  </si>
  <si>
    <t>Elimination mixte, plaque de plâtre cartonné</t>
  </si>
  <si>
    <t>Elimination mixte, grès calcaire</t>
  </si>
  <si>
    <t>Entsorgungsmix, Kunststoffputz</t>
  </si>
  <si>
    <t>Elimination mixte, crépi synthétique</t>
  </si>
  <si>
    <t>Elimination mixte, crépi minéral</t>
  </si>
  <si>
    <t>Elimination mixte, sable</t>
  </si>
  <si>
    <t>Elimination mixte, plaque de plâtre massif</t>
  </si>
  <si>
    <t>Elimination mixte, gypse</t>
  </si>
  <si>
    <t>Élimination mixte, béton chaux-chanvre</t>
  </si>
  <si>
    <r>
      <rPr>
        <rFont val="Arial"/>
        <color rgb="FFFF0000"/>
        <sz val="10.0"/>
      </rPr>
      <t>m</t>
    </r>
    <r>
      <rPr>
        <rFont val="Arial"/>
        <color rgb="FFFF0000"/>
        <sz val="10.0"/>
        <vertAlign val="superscript"/>
      </rPr>
      <t>2</t>
    </r>
  </si>
  <si>
    <t>Élimination, blindage de fouille, paroi parisienne, étayé</t>
  </si>
  <si>
    <r>
      <rPr>
        <rFont val="Arial"/>
        <color rgb="FFFF0000"/>
        <sz val="10.0"/>
      </rPr>
      <t>m</t>
    </r>
    <r>
      <rPr>
        <rFont val="Arial"/>
        <color rgb="FFFF0000"/>
        <sz val="10.0"/>
        <vertAlign val="superscript"/>
      </rPr>
      <t>2</t>
    </r>
  </si>
  <si>
    <t>Élimination, blindage de fouille, paroi parisienne, flottant</t>
  </si>
  <si>
    <r>
      <rPr>
        <rFont val="Arial"/>
        <color rgb="FFFF0000"/>
        <sz val="10.0"/>
      </rPr>
      <t>m</t>
    </r>
    <r>
      <rPr>
        <rFont val="Arial"/>
        <color rgb="FFFF0000"/>
        <sz val="10.0"/>
        <vertAlign val="superscript"/>
      </rPr>
      <t>2</t>
    </r>
  </si>
  <si>
    <t>Élimination, blindage de fouille, paroi parisienne, fixe</t>
  </si>
  <si>
    <r>
      <rPr>
        <rFont val="Arial"/>
        <color rgb="FFFF0000"/>
        <sz val="10.0"/>
      </rPr>
      <t>m</t>
    </r>
    <r>
      <rPr>
        <rFont val="Arial"/>
        <color rgb="FFFF0000"/>
        <sz val="10.0"/>
        <vertAlign val="superscript"/>
      </rPr>
      <t>2</t>
    </r>
  </si>
  <si>
    <t>Élimination, blindage de fouille, paroi clouée</t>
  </si>
  <si>
    <r>
      <rPr>
        <rFont val="Arial"/>
        <color rgb="FFFF0000"/>
        <sz val="10.0"/>
      </rPr>
      <t>m</t>
    </r>
    <r>
      <rPr>
        <rFont val="Arial"/>
        <color rgb="FFFF0000"/>
        <sz val="10.0"/>
        <vertAlign val="superscript"/>
      </rPr>
      <t>2</t>
    </r>
  </si>
  <si>
    <t>Élimination, blindage de fouille, paroi berlinoise, en porte-à-faux</t>
  </si>
  <si>
    <r>
      <rPr>
        <rFont val="Arial"/>
        <color rgb="FFFF0000"/>
        <sz val="10.0"/>
      </rPr>
      <t>m</t>
    </r>
    <r>
      <rPr>
        <rFont val="Arial"/>
        <color rgb="FFFF0000"/>
        <sz val="10.0"/>
        <vertAlign val="superscript"/>
      </rPr>
      <t>2</t>
    </r>
  </si>
  <si>
    <t>Élimination, blindage de fouille, paroi berlinoise, étayé</t>
  </si>
  <si>
    <r>
      <rPr>
        <rFont val="Arial"/>
        <color rgb="FFFF0000"/>
        <sz val="10.0"/>
      </rPr>
      <t>m</t>
    </r>
    <r>
      <rPr>
        <rFont val="Arial"/>
        <color rgb="FFFF0000"/>
        <sz val="10.0"/>
        <vertAlign val="superscript"/>
      </rPr>
      <t>2</t>
    </r>
  </si>
  <si>
    <t>Élimination, blindage de fouille, paroi berlinoise, fixe</t>
  </si>
  <si>
    <t>Entsorgung, Baugrubensicherung, Schlitzwand, 400 mm</t>
  </si>
  <si>
    <r>
      <rPr>
        <rFont val="Arial"/>
        <color rgb="FFFF0000"/>
        <sz val="10.0"/>
      </rPr>
      <t>m</t>
    </r>
    <r>
      <rPr>
        <rFont val="Arial"/>
        <color rgb="FFFF0000"/>
        <sz val="10.0"/>
        <vertAlign val="superscript"/>
      </rPr>
      <t>2</t>
    </r>
  </si>
  <si>
    <t>Élimination, blindage de fouille, paroi moulée, 400 mm</t>
  </si>
  <si>
    <t>Entsorgung, Baugrubensicherung, Schlitzwand, 800 mm</t>
  </si>
  <si>
    <r>
      <rPr>
        <rFont val="Arial"/>
        <color rgb="FFFF0000"/>
        <sz val="10.0"/>
      </rPr>
      <t>m</t>
    </r>
    <r>
      <rPr>
        <rFont val="Arial"/>
        <color rgb="FFFF0000"/>
        <sz val="10.0"/>
        <vertAlign val="superscript"/>
      </rPr>
      <t>2</t>
    </r>
  </si>
  <si>
    <t>Élimination, blindage de fouille, paroi moulée, 800 mm</t>
  </si>
  <si>
    <r>
      <rPr>
        <rFont val="Arial"/>
        <color rgb="FFFF0000"/>
        <sz val="10.0"/>
      </rPr>
      <t>m</t>
    </r>
    <r>
      <rPr>
        <rFont val="Arial"/>
        <color rgb="FFFF0000"/>
        <sz val="10.0"/>
        <vertAlign val="superscript"/>
      </rPr>
      <t>2</t>
    </r>
  </si>
  <si>
    <t>Élimination, blindage de fouille, paroi de palplanche, en porte-à-faux</t>
  </si>
  <si>
    <r>
      <rPr>
        <rFont val="Arial"/>
        <color rgb="FFFF0000"/>
        <sz val="10.0"/>
      </rPr>
      <t>m</t>
    </r>
    <r>
      <rPr>
        <rFont val="Arial"/>
        <color rgb="FFFF0000"/>
        <sz val="10.0"/>
        <vertAlign val="superscript"/>
      </rPr>
      <t>2</t>
    </r>
  </si>
  <si>
    <t>Élimination, blindage de fouille, paroi de palplanche, étayé</t>
  </si>
  <si>
    <r>
      <rPr>
        <rFont val="Arial"/>
        <color rgb="FFFF0000"/>
        <sz val="10.0"/>
      </rPr>
      <t>m</t>
    </r>
    <r>
      <rPr>
        <rFont val="Arial"/>
        <color rgb="FFFF0000"/>
        <sz val="10.0"/>
        <vertAlign val="superscript"/>
      </rPr>
      <t>2</t>
    </r>
  </si>
  <si>
    <t>Élimination, blindage de fouille, paroi de palplanche, fixe</t>
  </si>
  <si>
    <t xml:space="preserve">Élimination, fondations profondes, micropieu </t>
  </si>
  <si>
    <t>Entsorgung, Tiefgründung, Ortbetonbohrpfahl, 700 mm</t>
  </si>
  <si>
    <t>Élimination, fondations profondes, pieu coulé sur site, 700 mm</t>
  </si>
  <si>
    <t>Entsorgung, Tiefgründung, Ortbetonbohrpfahl, 900 mm</t>
  </si>
  <si>
    <t>Élimination, fondations profondes, pieu coulé sur site, 900 mm</t>
  </si>
  <si>
    <t>Entsorgung, Tiefgründung, Ortbetonbohrpfahl, 1200 mm</t>
  </si>
  <si>
    <t>Élimination, fondations profondes, pieu coulé sur site, 1200 mm</t>
  </si>
  <si>
    <t>Entsorgung, Tiefgründung, Ortbetonverdrängungspfahl 560/480 mm</t>
  </si>
  <si>
    <t>Élimination, fondations profondes, pieux forés vissés, 560/480 mm</t>
  </si>
  <si>
    <t>Entsorgung, Tiefgründung, Ortbetonverdrängungspfahl 660/580 mm</t>
  </si>
  <si>
    <t>Élimination, fondations profondes, pieux forés vissés, 660/580 mm</t>
  </si>
  <si>
    <t>Élimination, fondations profondes, colonnes ballastées</t>
  </si>
  <si>
    <t>Élimination, fondations profondes, pieu en béton préfabriqué</t>
  </si>
  <si>
    <t>Entsorgung, Wasserhaltung, Pumphöhe 2.5 m</t>
  </si>
  <si>
    <r>
      <rPr>
        <rFont val="Arial"/>
        <color rgb="FFFF0000"/>
        <sz val="10.0"/>
      </rPr>
      <t>m</t>
    </r>
    <r>
      <rPr>
        <rFont val="Arial"/>
        <color rgb="FFFF0000"/>
        <sz val="10.0"/>
        <vertAlign val="superscript"/>
      </rPr>
      <t>3</t>
    </r>
  </si>
  <si>
    <t>Élimination, épuisement des eaux, hauteur de refoulement, 2,5 m</t>
  </si>
  <si>
    <t>Entsorgung, Wasserhaltung, Pumphöhe 5 m</t>
  </si>
  <si>
    <r>
      <rPr>
        <rFont val="Arial"/>
        <color rgb="FFFF0000"/>
        <sz val="10.0"/>
      </rPr>
      <t>m</t>
    </r>
    <r>
      <rPr>
        <rFont val="Arial"/>
        <color rgb="FFFF0000"/>
        <sz val="10.0"/>
        <vertAlign val="superscript"/>
      </rPr>
      <t>3</t>
    </r>
  </si>
  <si>
    <t>Élimination, épuisement des eaux, hauteur de refoulement, 5 m</t>
  </si>
  <si>
    <t>Entsorgung, Wasserhaltung, Pumphöhe 7.5 m</t>
  </si>
  <si>
    <r>
      <rPr>
        <rFont val="Arial"/>
        <color rgb="FFFF0000"/>
        <sz val="10.0"/>
      </rPr>
      <t>m</t>
    </r>
    <r>
      <rPr>
        <rFont val="Arial"/>
        <color rgb="FFFF0000"/>
        <sz val="10.0"/>
        <vertAlign val="superscript"/>
      </rPr>
      <t>3</t>
    </r>
  </si>
  <si>
    <t>Élimination, épuisement des eaux, hauteur de refoulement, 7,5 m</t>
  </si>
  <si>
    <t>Entsorgung, Wasserhaltung, Pumphöhe 10 m</t>
  </si>
  <si>
    <r>
      <rPr>
        <rFont val="Arial"/>
        <color rgb="FFFF0000"/>
        <sz val="10.0"/>
      </rPr>
      <t>m</t>
    </r>
    <r>
      <rPr>
        <rFont val="Arial"/>
        <color rgb="FFFF0000"/>
        <sz val="10.0"/>
        <vertAlign val="superscript"/>
      </rPr>
      <t>3</t>
    </r>
  </si>
  <si>
    <t>Élimination, épuisement des eaux, hauteur de refoulement, 10 m</t>
  </si>
  <si>
    <t>Élimination mixte, enduit en plâtre et chaux</t>
  </si>
  <si>
    <t>Élimination mixte, répi synthétique</t>
  </si>
  <si>
    <t>Élimination mixte, enduit, durci</t>
  </si>
  <si>
    <t>Élimination mixte, chape d'anhydrite, 60 mm</t>
  </si>
  <si>
    <t>Élimination mixte, chape de ciment, 85 mm</t>
  </si>
  <si>
    <t>Entsorgungsmix, Aluverbund, Fassadenplatte 4 mm</t>
  </si>
  <si>
    <r>
      <rPr>
        <rFont val="Arial"/>
        <color rgb="FFFF0000"/>
        <sz val="10.0"/>
      </rPr>
      <t>m</t>
    </r>
    <r>
      <rPr>
        <rFont val="Arial"/>
        <color rgb="FFFF0000"/>
        <sz val="10.0"/>
        <vertAlign val="superscript"/>
      </rPr>
      <t>2</t>
    </r>
  </si>
  <si>
    <t>Elimination mixte, panneau de façade, en aluminium, 4 mm</t>
  </si>
  <si>
    <t>Entsorgungsmix, Ausstellstoren motorisiert</t>
  </si>
  <si>
    <r>
      <rPr>
        <rFont val="Arial"/>
        <color rgb="FFFF0000"/>
        <sz val="10.0"/>
      </rPr>
      <t>m</t>
    </r>
    <r>
      <rPr>
        <rFont val="Arial"/>
        <color rgb="FFFF0000"/>
        <sz val="10.0"/>
        <vertAlign val="superscript"/>
      </rPr>
      <t>2</t>
    </r>
  </si>
  <si>
    <t>Élimination mixte, stores à projection avec moteur</t>
  </si>
  <si>
    <r>
      <rPr>
        <rFont val="Arial"/>
        <color rgb="FFFF0000"/>
        <sz val="10.0"/>
      </rPr>
      <t>m</t>
    </r>
    <r>
      <rPr>
        <rFont val="Arial"/>
        <color rgb="FFFF0000"/>
        <sz val="10.0"/>
        <vertAlign val="superscript"/>
      </rPr>
      <t>2</t>
    </r>
  </si>
  <si>
    <t>Élimination mixte, cadre de fenêtre en aluminium</t>
  </si>
  <si>
    <r>
      <rPr>
        <rFont val="Arial"/>
        <color rgb="FFFF0000"/>
        <sz val="10.0"/>
      </rPr>
      <t>m</t>
    </r>
    <r>
      <rPr>
        <rFont val="Arial"/>
        <color rgb="FFFF0000"/>
        <sz val="10.0"/>
        <vertAlign val="superscript"/>
      </rPr>
      <t>2</t>
    </r>
  </si>
  <si>
    <t>Élimination mixte, cadre de fenêtre en aluminium, WICLINE 75evo</t>
  </si>
  <si>
    <r>
      <rPr>
        <rFont val="Arial"/>
        <color rgb="FFFF0000"/>
        <sz val="10.0"/>
      </rPr>
      <t>m</t>
    </r>
    <r>
      <rPr>
        <rFont val="Arial"/>
        <color rgb="FFFF0000"/>
        <sz val="10.0"/>
        <vertAlign val="superscript"/>
      </rPr>
      <t>2</t>
    </r>
  </si>
  <si>
    <t>Élimination, panneaux de façade stratifiés, incinération</t>
  </si>
  <si>
    <r>
      <rPr>
        <rFont val="Arial"/>
        <color rgb="FFFF0000"/>
        <sz val="10.0"/>
      </rPr>
      <t>Entsorgungsmix, Isolierverglasung 2-fach, Ug-Wert 1.1 W/m</t>
    </r>
    <r>
      <rPr>
        <rFont val="Arial"/>
        <color rgb="FFFF0000"/>
        <sz val="10.0"/>
        <vertAlign val="superscript"/>
      </rPr>
      <t>2</t>
    </r>
    <r>
      <rPr>
        <rFont val="Arial"/>
        <color rgb="FFFF0000"/>
        <sz val="10.0"/>
      </rPr>
      <t>K, Dicke 18 mm</t>
    </r>
  </si>
  <si>
    <r>
      <rPr>
        <rFont val="Arial"/>
        <color rgb="FFFF0000"/>
        <sz val="10.0"/>
      </rPr>
      <t>m</t>
    </r>
    <r>
      <rPr>
        <rFont val="Arial"/>
        <color rgb="FFFF0000"/>
        <sz val="10.0"/>
        <vertAlign val="superscript"/>
      </rPr>
      <t>2</t>
    </r>
  </si>
  <si>
    <r>
      <rPr>
        <rFont val="Arial"/>
        <i/>
        <color rgb="FFFF0000"/>
        <sz val="10.0"/>
      </rPr>
      <t>Élimination mixte, double vitrage, U&lt;1.1 W/m</t>
    </r>
    <r>
      <rPr>
        <rFont val="Arial"/>
        <i/>
        <color rgb="FFFF0000"/>
        <sz val="10.0"/>
        <vertAlign val="superscript"/>
      </rPr>
      <t>2</t>
    </r>
    <r>
      <rPr>
        <rFont val="Arial"/>
        <i/>
        <color rgb="FFFF0000"/>
        <sz val="10.0"/>
      </rPr>
      <t>K, épaisseur 18 mm</t>
    </r>
  </si>
  <si>
    <r>
      <rPr>
        <rFont val="Arial"/>
        <color rgb="FFFF0000"/>
        <sz val="10.0"/>
      </rPr>
      <t>Entsorgungsmix, Isolierverglasung 2-fach, ESG, Ug-Wert 1.1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</si>
  <si>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</si>
  <si>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double vitrage, verre ESG, U&lt;1.1 W/m</t>
    </r>
    <r>
      <rPr>
        <rFont val="Arial"/>
        <i/>
        <color rgb="FFFF0000"/>
        <sz val="10.0"/>
        <vertAlign val="superscript"/>
      </rPr>
      <t>2</t>
    </r>
    <r>
      <rPr>
        <rFont val="Arial"/>
        <i/>
        <color rgb="FFFF0000"/>
        <sz val="10.0"/>
      </rPr>
      <t>K</t>
    </r>
  </si>
  <si>
    <r>
      <rPr>
        <rFont val="Arial"/>
        <color rgb="FFFF0000"/>
        <sz val="10.0"/>
      </rPr>
      <t>Entsorgungsmix, Isolierverglasung 2-fach, ESG/VSG, Ug-Wert 1.1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</si>
  <si>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</si>
  <si>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double vitrage, verre ESG/VSG, U&lt;1.1 W/m</t>
    </r>
    <r>
      <rPr>
        <rFont val="Arial"/>
        <i/>
        <color rgb="FFFF0000"/>
        <sz val="10.0"/>
        <vertAlign val="superscript"/>
      </rPr>
      <t>2</t>
    </r>
    <r>
      <rPr>
        <rFont val="Arial"/>
        <i/>
        <color rgb="FFFF0000"/>
        <sz val="10.0"/>
      </rPr>
      <t>K</t>
    </r>
  </si>
  <si>
    <r>
      <rPr>
        <rFont val="Arial"/>
        <color rgb="FFFF0000"/>
        <sz val="10.0"/>
      </rPr>
      <t>Entsorgungsmix, Isolierverglasung 3-fach, Ug-Wert 0.6 W/m</t>
    </r>
    <r>
      <rPr>
        <rFont val="Arial"/>
        <color rgb="FFFF0000"/>
        <sz val="10.0"/>
        <vertAlign val="superscript"/>
      </rPr>
      <t>2</t>
    </r>
    <r>
      <rPr>
        <rFont val="Arial"/>
        <color rgb="FFFF0000"/>
        <sz val="10.0"/>
      </rPr>
      <t>K, Dicke 40 mm</t>
    </r>
  </si>
  <si>
    <r>
      <rPr>
        <rFont val="Arial"/>
        <color rgb="FFFF0000"/>
        <sz val="10.0"/>
      </rPr>
      <t>m</t>
    </r>
    <r>
      <rPr>
        <rFont val="Arial"/>
        <color rgb="FFFF0000"/>
        <sz val="10.0"/>
        <vertAlign val="superscript"/>
      </rPr>
      <t>2</t>
    </r>
  </si>
  <si>
    <r>
      <rPr>
        <rFont val="Arial"/>
        <i/>
        <color rgb="FFFF0000"/>
        <sz val="10.0"/>
      </rPr>
      <t>Élimination mixte, triple vitrage, U&lt;0.6 W/m</t>
    </r>
    <r>
      <rPr>
        <rFont val="Arial"/>
        <i/>
        <color rgb="FFFF0000"/>
        <sz val="10.0"/>
        <vertAlign val="superscript"/>
      </rPr>
      <t>2</t>
    </r>
    <r>
      <rPr>
        <rFont val="Arial"/>
        <i/>
        <color rgb="FFFF0000"/>
        <sz val="10.0"/>
      </rPr>
      <t>K, épaisseur 40 mm</t>
    </r>
  </si>
  <si>
    <r>
      <rPr>
        <rFont val="Arial"/>
        <color rgb="FFFF0000"/>
        <sz val="10.0"/>
      </rPr>
      <t>Entsorgungsmix, Isolierverglasung 3-fach, ESG/ESG, Ug-Wert 0.6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</si>
  <si>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</si>
  <si>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triple vitrage, verre ESG/ESG, U&lt;0.6 W/m</t>
    </r>
    <r>
      <rPr>
        <rFont val="Arial"/>
        <i/>
        <color rgb="FFFF0000"/>
        <sz val="10.0"/>
        <vertAlign val="superscript"/>
      </rPr>
      <t>2</t>
    </r>
    <r>
      <rPr>
        <rFont val="Arial"/>
        <i/>
        <color rgb="FFFF0000"/>
        <sz val="10.0"/>
      </rPr>
      <t>K</t>
    </r>
  </si>
  <si>
    <r>
      <rPr>
        <rFont val="Arial"/>
        <color rgb="FFFF0000"/>
        <sz val="10.0"/>
      </rPr>
      <t>Entsorgungsmix, Isolierverglasung 3-fach, ESG/ESG/ESG, Ug-Wert 0.6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</si>
  <si>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</si>
  <si>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triple vitrage, verre ESG/ESG/ESG, U&lt;0.6 W/m</t>
    </r>
    <r>
      <rPr>
        <rFont val="Arial"/>
        <i/>
        <color rgb="FFFF0000"/>
        <sz val="10.0"/>
        <vertAlign val="superscript"/>
      </rPr>
      <t>2</t>
    </r>
    <r>
      <rPr>
        <rFont val="Arial"/>
        <i/>
        <color rgb="FFFF0000"/>
        <sz val="10.0"/>
      </rPr>
      <t>K</t>
    </r>
  </si>
  <si>
    <r>
      <rPr>
        <rFont val="Arial"/>
        <color rgb="FFFF0000"/>
        <sz val="10.0"/>
      </rPr>
      <t>Entsorgungsmix, Isolierverglasung 3-fach, VSG, Ug-Wert 0.6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</si>
  <si>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</si>
  <si>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triple vitrage, verre VSG, U&lt;0.6 W/m</t>
    </r>
    <r>
      <rPr>
        <rFont val="Arial"/>
        <i/>
        <color rgb="FFFF0000"/>
        <sz val="10.0"/>
        <vertAlign val="superscript"/>
      </rPr>
      <t>2</t>
    </r>
    <r>
      <rPr>
        <rFont val="Arial"/>
        <i/>
        <color rgb="FFFF0000"/>
        <sz val="10.0"/>
      </rPr>
      <t>K</t>
    </r>
  </si>
  <si>
    <r>
      <rPr>
        <rFont val="Arial"/>
        <color rgb="FFFF0000"/>
        <sz val="10.0"/>
      </rPr>
      <t>Entsorgungsmix, Isolierverglasung 3-fach, ESG/VSG, Ug-Wert 0.6 W/m</t>
    </r>
    <r>
      <rPr>
        <rFont val="Arial"/>
        <color rgb="FFFF0000"/>
        <sz val="10.0"/>
        <vertAlign val="superscript"/>
      </rPr>
      <t>2</t>
    </r>
    <r>
      <rPr>
        <rFont val="Arial"/>
        <color rgb="FFFF0000"/>
        <sz val="10.0"/>
      </rPr>
      <t>K</t>
    </r>
  </si>
  <si>
    <r>
      <rPr>
        <rFont val="Arial"/>
        <color rgb="FFFF0000"/>
        <sz val="10.0"/>
      </rPr>
      <t>m</t>
    </r>
    <r>
      <rPr>
        <rFont val="Arial"/>
        <color rgb="FFFF0000"/>
        <sz val="10.0"/>
        <vertAlign val="superscript"/>
      </rPr>
      <t>2</t>
    </r>
  </si>
  <si>
    <r>
      <rPr>
        <rFont val="Arial"/>
        <i/>
        <color rgb="FFFF0000"/>
        <sz val="10.0"/>
      </rPr>
      <t>Élimination mixte, triple vitrage, verre ESG/VSG, U&lt;0.6 W/m</t>
    </r>
    <r>
      <rPr>
        <rFont val="Arial"/>
        <i/>
        <color rgb="FFFF0000"/>
        <sz val="10.0"/>
        <vertAlign val="superscript"/>
      </rPr>
      <t>2</t>
    </r>
    <r>
      <rPr>
        <rFont val="Arial"/>
        <i/>
        <color rgb="FFFF0000"/>
        <sz val="10.0"/>
      </rPr>
      <t>K</t>
    </r>
  </si>
  <si>
    <t>Entsorgungsmix, Lamellenstoren motorisiert</t>
  </si>
  <si>
    <r>
      <rPr>
        <rFont val="Arial"/>
        <color rgb="FFFF0000"/>
        <sz val="10.0"/>
      </rPr>
      <t>m</t>
    </r>
    <r>
      <rPr>
        <rFont val="Arial"/>
        <color rgb="FFFF0000"/>
        <sz val="10.0"/>
        <vertAlign val="superscript"/>
      </rPr>
      <t>2</t>
    </r>
  </si>
  <si>
    <t>Élimination mixte, stores vénitiens avec moteur</t>
  </si>
  <si>
    <r>
      <rPr>
        <rFont val="Arial"/>
        <color rgb="FFFF0000"/>
        <sz val="10.0"/>
      </rPr>
      <t>m</t>
    </r>
    <r>
      <rPr>
        <rFont val="Arial"/>
        <color rgb="FFFF0000"/>
        <sz val="10.0"/>
        <vertAlign val="superscript"/>
      </rPr>
      <t>2</t>
    </r>
  </si>
  <si>
    <t>Élimination mixte, panneau de support de crépis, liant en résine synthétique, 13 mm</t>
  </si>
  <si>
    <r>
      <rPr>
        <rFont val="Arial"/>
        <color rgb="FFFF0000"/>
        <sz val="10.0"/>
      </rPr>
      <t>m</t>
    </r>
    <r>
      <rPr>
        <rFont val="Arial"/>
        <color rgb="FFFF0000"/>
        <sz val="10.0"/>
        <vertAlign val="superscript"/>
      </rPr>
      <t>2</t>
    </r>
  </si>
  <si>
    <t>Élimination mixte, panneau de support de crépis, liant en matière minérale, 12,5 mm</t>
  </si>
  <si>
    <t>Entsorgungsmix, Rollladen motorisiert</t>
  </si>
  <si>
    <r>
      <rPr>
        <rFont val="Arial"/>
        <color rgb="FFFF0000"/>
        <sz val="10.0"/>
      </rPr>
      <t>m</t>
    </r>
    <r>
      <rPr>
        <rFont val="Arial"/>
        <color rgb="FFFF0000"/>
        <sz val="10.0"/>
        <vertAlign val="superscript"/>
      </rPr>
      <t>2</t>
    </r>
  </si>
  <si>
    <t>Élimination mixte, contrevent sur enrouleur avec moteur</t>
  </si>
  <si>
    <t>Élimination mixte, fibres d'aérogel</t>
  </si>
  <si>
    <t>Élimination mixte, gravier de verre cellulaire</t>
  </si>
  <si>
    <t>Élimination mixte, isolation lin</t>
  </si>
  <si>
    <t>Élimination mixte, mur en botte de paille</t>
  </si>
  <si>
    <t>Élimination, système de tri des déchets</t>
  </si>
  <si>
    <r>
      <rPr>
        <rFont val="Arial"/>
        <color rgb="FFFF0000"/>
        <sz val="10.0"/>
      </rPr>
      <t>m</t>
    </r>
    <r>
      <rPr>
        <rFont val="Arial"/>
        <color rgb="FFFF0000"/>
        <sz val="10.0"/>
        <vertAlign val="superscript"/>
      </rPr>
      <t>2</t>
    </r>
  </si>
  <si>
    <t>Élimination, plan de travail en acier chromé, standard</t>
  </si>
  <si>
    <r>
      <rPr>
        <rFont val="Arial"/>
        <color rgb="FFFF0000"/>
        <sz val="10.0"/>
      </rPr>
      <t>m</t>
    </r>
    <r>
      <rPr>
        <rFont val="Arial"/>
        <color rgb="FFFF0000"/>
        <sz val="10.0"/>
        <vertAlign val="superscript"/>
      </rPr>
      <t>2</t>
    </r>
  </si>
  <si>
    <t>Élimination, plan de travail en matériau composite (base: hydroxide d'aluminium)</t>
  </si>
  <si>
    <r>
      <rPr>
        <rFont val="Arial"/>
        <color rgb="FFFF0000"/>
        <sz val="10.0"/>
      </rPr>
      <t>m</t>
    </r>
    <r>
      <rPr>
        <rFont val="Arial"/>
        <color rgb="FFFF0000"/>
        <sz val="10.0"/>
        <vertAlign val="superscript"/>
      </rPr>
      <t>2</t>
    </r>
  </si>
  <si>
    <t>Élimination, plan de travail en résine synthétique</t>
  </si>
  <si>
    <r>
      <rPr>
        <rFont val="Arial"/>
        <color rgb="FFFF0000"/>
        <sz val="10.0"/>
      </rPr>
      <t>m</t>
    </r>
    <r>
      <rPr>
        <rFont val="Arial"/>
        <color rgb="FFFF0000"/>
        <sz val="10.0"/>
        <vertAlign val="superscript"/>
      </rPr>
      <t>2</t>
    </r>
  </si>
  <si>
    <t>Élimination, plan de travail en bois massif</t>
  </si>
  <si>
    <r>
      <rPr>
        <rFont val="Arial"/>
        <color rgb="FFFF0000"/>
        <sz val="10.0"/>
      </rPr>
      <t>m</t>
    </r>
    <r>
      <rPr>
        <rFont val="Arial"/>
        <color rgb="FFFF0000"/>
        <sz val="10.0"/>
        <vertAlign val="superscript"/>
      </rPr>
      <t>2</t>
    </r>
  </si>
  <si>
    <t>Élimination, plan de travail en pierre naturelle</t>
  </si>
  <si>
    <t>Élimination, hotte de ventilation</t>
  </si>
  <si>
    <t>Élimination, Cuisine, bois massif, 16 éléments</t>
  </si>
  <si>
    <t>Élimination, Cuisine, métal, 16 éléments</t>
  </si>
  <si>
    <t>Élimination, Cuisine, bois reconstitué, 16 éléments</t>
  </si>
  <si>
    <t>Élimination, Armoire-évier en acier chromé</t>
  </si>
  <si>
    <t>Élimination, Armoire-évier en matières composites (base: poudre de roche)</t>
  </si>
  <si>
    <r>
      <rPr>
        <rFont val="Arial"/>
        <color rgb="FFFF0000"/>
        <sz val="10.0"/>
      </rPr>
      <t>m</t>
    </r>
    <r>
      <rPr>
        <rFont val="Arial"/>
        <color rgb="FFFF0000"/>
        <sz val="10.0"/>
        <vertAlign val="superscript"/>
      </rPr>
      <t>2</t>
    </r>
  </si>
  <si>
    <t>Élimination, Façade, à montants et traverses, aluminium/verre</t>
  </si>
  <si>
    <t>92</t>
  </si>
  <si>
    <t>Entsorgung Gebäudetechnik</t>
  </si>
  <si>
    <t>Elimination des éléments techniques du bâtiment</t>
  </si>
  <si>
    <r>
      <rPr>
        <rFont val="Arial"/>
        <color theme="1"/>
        <sz val="10.0"/>
      </rPr>
      <t>m</t>
    </r>
    <r>
      <rPr>
        <rFont val="Arial"/>
        <color theme="1"/>
        <sz val="10.0"/>
        <vertAlign val="superscript"/>
      </rPr>
      <t>2</t>
    </r>
  </si>
  <si>
    <t>Elimination, diffusion par le biais du corps de chauffe</t>
  </si>
  <si>
    <r>
      <rPr>
        <rFont val="Arial"/>
        <color theme="1"/>
        <sz val="10.0"/>
      </rPr>
      <t>m</t>
    </r>
    <r>
      <rPr>
        <rFont val="Arial"/>
        <color theme="1"/>
        <sz val="10.0"/>
        <vertAlign val="superscript"/>
      </rPr>
      <t>2</t>
    </r>
  </si>
  <si>
    <t>Elimination, diffusion par le biais du système de chauffage et de refroidissement au plafond</t>
  </si>
  <si>
    <r>
      <rPr>
        <rFont val="Arial"/>
        <color theme="1"/>
        <sz val="10.0"/>
      </rPr>
      <t>m</t>
    </r>
    <r>
      <rPr>
        <rFont val="Arial"/>
        <color theme="1"/>
        <sz val="10.0"/>
        <vertAlign val="superscript"/>
      </rPr>
      <t>2</t>
    </r>
  </si>
  <si>
    <t>Elimination, diffusion par le biais du chauffage au sol</t>
  </si>
  <si>
    <r>
      <rPr>
        <rFont val="Arial"/>
        <color theme="1"/>
        <sz val="10.0"/>
      </rPr>
      <t>m</t>
    </r>
    <r>
      <rPr>
        <rFont val="Arial"/>
        <color theme="1"/>
        <sz val="10.0"/>
        <vertAlign val="superscript"/>
      </rPr>
      <t>2</t>
    </r>
  </si>
  <si>
    <t>Elimination, évacuation d'air cuisine et salle de bains</t>
  </si>
  <si>
    <r>
      <rPr>
        <rFont val="Arial"/>
        <color theme="1"/>
        <sz val="10.0"/>
      </rPr>
      <t>m</t>
    </r>
    <r>
      <rPr>
        <rFont val="Arial"/>
        <color theme="1"/>
        <sz val="10.0"/>
        <vertAlign val="superscript"/>
      </rPr>
      <t>2</t>
    </r>
  </si>
  <si>
    <t>Elimination, bureau, installation complexe, y c. appareils et conduites</t>
  </si>
  <si>
    <r>
      <rPr>
        <rFont val="Arial"/>
        <color theme="1"/>
        <sz val="10.0"/>
      </rPr>
      <t>m</t>
    </r>
    <r>
      <rPr>
        <rFont val="Arial"/>
        <color theme="1"/>
        <sz val="10.0"/>
        <vertAlign val="superscript"/>
      </rPr>
      <t>2</t>
    </r>
  </si>
  <si>
    <t>Elimination, bureau, installation simple, y c. appareils et conduites</t>
  </si>
  <si>
    <r>
      <rPr>
        <rFont val="Arial"/>
        <color theme="1"/>
        <sz val="10.0"/>
      </rPr>
      <t>Entsorgung, Einzelraumlüfer Fenstermodell 10-30 m</t>
    </r>
    <r>
      <rPr>
        <rFont val="Arial"/>
        <color theme="1"/>
        <sz val="10.0"/>
        <vertAlign val="superscript"/>
      </rPr>
      <t>3</t>
    </r>
    <r>
      <rPr>
        <rFont val="Arial"/>
        <color theme="1"/>
        <sz val="10.0"/>
      </rPr>
      <t>/h, ohne Montage</t>
    </r>
  </si>
  <si>
    <r>
      <rPr>
        <rFont val="Arial"/>
        <i/>
        <color theme="1"/>
        <sz val="10.0"/>
      </rPr>
      <t>Elimination, ventilation pièce individuelle, modèle de fenêtre 10-30 m</t>
    </r>
    <r>
      <rPr>
        <rFont val="Arial"/>
        <i/>
        <color theme="1"/>
        <sz val="10.0"/>
        <vertAlign val="superscript"/>
      </rPr>
      <t>3</t>
    </r>
    <r>
      <rPr>
        <rFont val="Arial"/>
        <i/>
        <color theme="1"/>
        <sz val="10.0"/>
      </rPr>
      <t>/h, sans montage</t>
    </r>
  </si>
  <si>
    <r>
      <rPr>
        <rFont val="Arial"/>
        <color theme="1"/>
        <sz val="10.0"/>
      </rPr>
      <t>m</t>
    </r>
    <r>
      <rPr>
        <rFont val="Arial"/>
        <color theme="1"/>
        <sz val="10.0"/>
        <vertAlign val="superscript"/>
      </rPr>
      <t>2</t>
    </r>
  </si>
  <si>
    <t>Elimination, installations électriques habitation</t>
  </si>
  <si>
    <r>
      <rPr>
        <rFont val="Arial"/>
        <color theme="1"/>
        <sz val="10.0"/>
      </rPr>
      <t>m</t>
    </r>
    <r>
      <rPr>
        <rFont val="Arial"/>
        <color theme="1"/>
        <sz val="10.0"/>
        <vertAlign val="superscript"/>
      </rPr>
      <t>2</t>
    </r>
  </si>
  <si>
    <t xml:space="preserve">Elimination, installations électriques bureau </t>
  </si>
  <si>
    <r>
      <rPr>
        <rFont val="Arial"/>
        <color theme="1"/>
        <sz val="10.0"/>
      </rPr>
      <t>Entsorgung, Erdregister kurz zu Lüftungsanlage Büro (0.27 m/m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</si>
  <si>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</si>
  <si>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registre de terre court pour ventilation bureau (0,27 m</t>
    </r>
    <r>
      <rPr>
        <rFont val="Arial"/>
        <i/>
        <color theme="1"/>
        <sz val="10.0"/>
        <vertAlign val="superscript"/>
      </rPr>
      <t>3</t>
    </r>
    <r>
      <rPr>
        <rFont val="Arial"/>
        <i/>
        <color theme="1"/>
        <sz val="10.0"/>
      </rPr>
      <t>/m</t>
    </r>
    <r>
      <rPr>
        <rFont val="Arial"/>
        <i/>
        <color theme="1"/>
        <sz val="10.0"/>
        <vertAlign val="superscript"/>
      </rPr>
      <t>2</t>
    </r>
    <r>
      <rPr>
        <rFont val="Arial"/>
        <i/>
        <color theme="1"/>
        <sz val="10.0"/>
      </rPr>
      <t xml:space="preserve"> SRE)</t>
    </r>
  </si>
  <si>
    <r>
      <rPr>
        <rFont val="Arial"/>
        <color theme="1"/>
        <sz val="10.0"/>
      </rPr>
      <t>Entsorgung, Erdregister lang zu Lüftungsanlage Büro (0.67 m/m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</si>
  <si>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</si>
  <si>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registre de terre long pour ventilation bureau (0,67 m</t>
    </r>
    <r>
      <rPr>
        <rFont val="Arial"/>
        <i/>
        <color theme="1"/>
        <sz val="10.0"/>
        <vertAlign val="superscript"/>
      </rPr>
      <t>3</t>
    </r>
    <r>
      <rPr>
        <rFont val="Arial"/>
        <i/>
        <color theme="1"/>
        <sz val="10.0"/>
      </rPr>
      <t>/m</t>
    </r>
    <r>
      <rPr>
        <rFont val="Arial"/>
        <i/>
        <color theme="1"/>
        <sz val="10.0"/>
        <vertAlign val="superscript"/>
      </rPr>
      <t>2</t>
    </r>
    <r>
      <rPr>
        <rFont val="Arial"/>
        <i/>
        <color theme="1"/>
        <sz val="10.0"/>
      </rPr>
      <t xml:space="preserve"> SRE)</t>
    </r>
  </si>
  <si>
    <r>
      <rPr>
        <rFont val="Arial"/>
        <color theme="1"/>
        <sz val="10.0"/>
      </rPr>
      <t>m</t>
    </r>
    <r>
      <rPr>
        <rFont val="Arial"/>
        <color theme="1"/>
        <sz val="10.0"/>
        <vertAlign val="superscript"/>
      </rPr>
      <t>2</t>
    </r>
  </si>
  <si>
    <t>Elimination, registre de terre pour ventilation habitation</t>
  </si>
  <si>
    <t>Elimination, sondes géothermiques</t>
  </si>
  <si>
    <r>
      <rPr>
        <rFont val="Arial"/>
        <color theme="1"/>
        <sz val="10.0"/>
      </rPr>
      <t>Entsorgung, Lüftungsanlage, spez. Luftmenge 1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</si>
  <si>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</si>
  <si>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ventilation, besoins en air 1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</si>
  <si>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Entsorgung, Lüftungsanlage, spez. Luftmenge 2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</si>
  <si>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</si>
  <si>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ventilation, besoins en air 2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</si>
  <si>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Entsorgung, Lüftungsanlage, spez. Luftmenge 4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</si>
  <si>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</si>
  <si>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ventilation, besoins en air 4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</si>
  <si>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Entsorgung, Lüftungsanlage, spez. Luftmenge 6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</si>
  <si>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</si>
  <si>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ventilation, besoins en air 6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</si>
  <si>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Entsorgung, Lüftungsanlage, spez. Luftmenge 8 m</t>
    </r>
    <r>
      <rPr>
        <rFont val="Arial"/>
        <color theme="1"/>
        <sz val="10.0"/>
        <vertAlign val="superscript"/>
      </rPr>
      <t>3</t>
    </r>
    <r>
      <rPr>
        <rFont val="Arial"/>
        <color theme="1"/>
        <sz val="10.0"/>
      </rPr>
      <t>/hm</t>
    </r>
    <r>
      <rPr>
        <rFont val="Arial"/>
        <color theme="1"/>
        <sz val="10.0"/>
        <vertAlign val="superscript"/>
      </rPr>
      <t>2</t>
    </r>
    <r>
      <rPr>
        <rFont val="Arial"/>
        <color theme="1"/>
        <sz val="10.0"/>
      </rPr>
      <t xml:space="preserve"> EBF</t>
    </r>
  </si>
  <si>
    <r>
      <rPr>
        <rFont val="Arial"/>
        <color theme="1"/>
        <sz val="10.0"/>
      </rPr>
      <t>m</t>
    </r>
    <r>
      <rPr>
        <rFont val="Arial"/>
        <color theme="1"/>
        <sz val="10.0"/>
        <vertAlign val="superscript"/>
      </rPr>
      <t>2</t>
    </r>
  </si>
  <si>
    <r>
      <rPr>
        <rFont val="Arial"/>
        <i/>
        <color theme="1"/>
        <sz val="10.0"/>
      </rPr>
      <t>Elimination, ventilation, besoins en air 8 m</t>
    </r>
    <r>
      <rPr>
        <rFont val="Arial"/>
        <i/>
        <color theme="1"/>
        <sz val="10.0"/>
        <vertAlign val="superscript"/>
      </rPr>
      <t>3</t>
    </r>
    <r>
      <rPr>
        <rFont val="Arial"/>
        <i/>
        <color theme="1"/>
        <sz val="10.0"/>
      </rPr>
      <t>/hm</t>
    </r>
    <r>
      <rPr>
        <rFont val="Arial"/>
        <i/>
        <color theme="1"/>
        <sz val="10.0"/>
        <vertAlign val="superscript"/>
      </rPr>
      <t>2</t>
    </r>
    <r>
      <rPr>
        <rFont val="Arial"/>
        <i/>
        <color theme="1"/>
        <sz val="10.0"/>
      </rPr>
      <t xml:space="preserve"> SRE</t>
    </r>
  </si>
  <si>
    <r>
      <rPr>
        <rFont val="Arial"/>
        <color theme="1"/>
        <sz val="10.0"/>
      </rPr>
      <t>m</t>
    </r>
    <r>
      <rPr>
        <rFont val="Arial"/>
        <color theme="1"/>
        <sz val="10.0"/>
        <vertAlign val="superscript"/>
      </rPr>
      <t>2</t>
    </r>
  </si>
  <si>
    <t>Elimination, ventilation habitation, canaux en tôle, y c. évacuation d'air (cuisine)</t>
  </si>
  <si>
    <r>
      <rPr>
        <rFont val="Arial"/>
        <color theme="1"/>
        <sz val="10.0"/>
      </rPr>
      <t>m</t>
    </r>
    <r>
      <rPr>
        <rFont val="Arial"/>
        <color theme="1"/>
        <sz val="10.0"/>
        <vertAlign val="superscript"/>
      </rPr>
      <t>2</t>
    </r>
  </si>
  <si>
    <t xml:space="preserve">Elimination, ventilation habitation, canaux en HDPE, y c. évacuation d'air (cuisine) </t>
  </si>
  <si>
    <t>Elimination, pompe à chaleur air-eau 8 kW</t>
  </si>
  <si>
    <t>Elimination, pompe à chaleur saumure-eau 8 kW</t>
  </si>
  <si>
    <r>
      <rPr>
        <rFont val="Arial"/>
        <color theme="1"/>
        <sz val="10.0"/>
      </rPr>
      <t>m</t>
    </r>
    <r>
      <rPr>
        <rFont val="Arial"/>
        <color theme="1"/>
        <sz val="10.0"/>
        <vertAlign val="superscript"/>
      </rPr>
      <t>2</t>
    </r>
  </si>
  <si>
    <t>Elimination, distribution bâtiment administratif</t>
  </si>
  <si>
    <r>
      <rPr>
        <rFont val="Arial"/>
        <color theme="1"/>
        <sz val="10.0"/>
      </rPr>
      <t>m</t>
    </r>
    <r>
      <rPr>
        <rFont val="Arial"/>
        <color theme="1"/>
        <sz val="10.0"/>
        <vertAlign val="superscript"/>
      </rPr>
      <t>2</t>
    </r>
  </si>
  <si>
    <t>Elimination, distribution bâtiment d'habitation</t>
  </si>
  <si>
    <r>
      <rPr>
        <rFont val="Arial"/>
        <color theme="1"/>
        <sz val="10.0"/>
      </rPr>
      <t>Entsorgung, Wärmeerzeuger, spez. Leistungsbedarf 10 W/m</t>
    </r>
    <r>
      <rPr>
        <rFont val="Arial"/>
        <color theme="1"/>
        <sz val="10.0"/>
        <vertAlign val="superscript"/>
      </rPr>
      <t>2</t>
    </r>
  </si>
  <si>
    <r>
      <rPr>
        <rFont val="Arial"/>
        <color theme="1"/>
        <sz val="10.0"/>
      </rPr>
      <t>m</t>
    </r>
    <r>
      <rPr>
        <rFont val="Arial"/>
        <color theme="1"/>
        <sz val="10.0"/>
        <vertAlign val="superscript"/>
      </rPr>
      <t>2</t>
    </r>
  </si>
  <si>
    <r>
      <rPr>
        <rFont val="Arial"/>
        <i/>
        <color theme="1"/>
        <sz val="10.0"/>
      </rPr>
      <t>Elimination, producteur de chaleur, besoin spéc. en puissance 10 W/m</t>
    </r>
    <r>
      <rPr>
        <rFont val="Arial"/>
        <i/>
        <color theme="1"/>
        <sz val="10.0"/>
        <vertAlign val="superscript"/>
      </rPr>
      <t>2</t>
    </r>
  </si>
  <si>
    <r>
      <rPr>
        <rFont val="Arial"/>
        <color theme="1"/>
        <sz val="10.0"/>
      </rPr>
      <t>Entsorgung, Wärmeerzeuger, spez. Leistungsbedarf 30 W/m</t>
    </r>
    <r>
      <rPr>
        <rFont val="Arial"/>
        <color theme="1"/>
        <sz val="10.0"/>
        <vertAlign val="superscript"/>
      </rPr>
      <t>2</t>
    </r>
  </si>
  <si>
    <r>
      <rPr>
        <rFont val="Arial"/>
        <color theme="1"/>
        <sz val="10.0"/>
      </rPr>
      <t>m</t>
    </r>
    <r>
      <rPr>
        <rFont val="Arial"/>
        <color theme="1"/>
        <sz val="10.0"/>
        <vertAlign val="superscript"/>
      </rPr>
      <t>2</t>
    </r>
  </si>
  <si>
    <r>
      <rPr>
        <rFont val="Arial"/>
        <i/>
        <color theme="1"/>
        <sz val="10.0"/>
      </rPr>
      <t>Elimination, producteur de chaleur, besoin spéc. en puissance 30 W/m</t>
    </r>
    <r>
      <rPr>
        <rFont val="Arial"/>
        <i/>
        <color theme="1"/>
        <sz val="10.0"/>
        <vertAlign val="superscript"/>
      </rPr>
      <t>2</t>
    </r>
  </si>
  <si>
    <r>
      <rPr>
        <rFont val="Arial"/>
        <color theme="1"/>
        <sz val="10.0"/>
      </rPr>
      <t>Entsorgung, Wärmeerzeuger, spez. Leistungsbedarf 50 W/m</t>
    </r>
    <r>
      <rPr>
        <rFont val="Arial"/>
        <color theme="1"/>
        <sz val="10.0"/>
        <vertAlign val="superscript"/>
      </rPr>
      <t>2</t>
    </r>
  </si>
  <si>
    <r>
      <rPr>
        <rFont val="Arial"/>
        <color theme="1"/>
        <sz val="10.0"/>
      </rPr>
      <t>m</t>
    </r>
    <r>
      <rPr>
        <rFont val="Arial"/>
        <color theme="1"/>
        <sz val="10.0"/>
        <vertAlign val="superscript"/>
      </rPr>
      <t>2</t>
    </r>
  </si>
  <si>
    <r>
      <rPr>
        <rFont val="Arial"/>
        <i/>
        <color theme="1"/>
        <sz val="10.0"/>
      </rPr>
      <t>Elimination, producteur de chaleur, besoin spéc. en puissance 50 W/m</t>
    </r>
    <r>
      <rPr>
        <rFont val="Arial"/>
        <i/>
        <color theme="1"/>
        <sz val="10.0"/>
        <vertAlign val="superscript"/>
      </rPr>
      <t>2</t>
    </r>
  </si>
  <si>
    <r>
      <rPr>
        <rFont val="Arial"/>
        <color theme="1"/>
        <sz val="10.0"/>
      </rPr>
      <t>m</t>
    </r>
    <r>
      <rPr>
        <rFont val="Arial"/>
        <color theme="1"/>
        <sz val="10.0"/>
        <vertAlign val="superscript"/>
      </rPr>
      <t>2</t>
    </r>
  </si>
  <si>
    <t>Elimination, distribution et diffusion de chaleur, chauffage à air</t>
  </si>
  <si>
    <r>
      <rPr>
        <rFont val="Arial"/>
        <color theme="1"/>
        <sz val="10.0"/>
      </rPr>
      <t>m</t>
    </r>
    <r>
      <rPr>
        <rFont val="Arial"/>
        <color theme="1"/>
        <sz val="10.0"/>
        <vertAlign val="superscript"/>
      </rPr>
      <t>2</t>
    </r>
  </si>
  <si>
    <t>Elimination, habitation, y c. appareils et conduites</t>
  </si>
  <si>
    <t>Baumaterialien UBP</t>
  </si>
  <si>
    <t xml:space="preserve">Calculation: </t>
  </si>
  <si>
    <t>Compare</t>
  </si>
  <si>
    <t xml:space="preserve">Results: </t>
  </si>
  <si>
    <t>Impact assessment</t>
  </si>
  <si>
    <t xml:space="preserve">Product 1: </t>
  </si>
  <si>
    <t>1 kg Acrylic dispersion, 65% in H2O, at plant/RER U (of project Ecoinvent unit processes v2.2:2016)</t>
  </si>
  <si>
    <t xml:space="preserve">Product 2: </t>
  </si>
  <si>
    <t>1 kg acrylic render, matured/CH U (of project KBOB Liste)</t>
  </si>
  <si>
    <t xml:space="preserve">Product 3: </t>
  </si>
  <si>
    <t>1 kg acrylnitril-butadien-styrol (ABS) pipe/kg/CH U (of project KBOB Liste)</t>
  </si>
  <si>
    <t xml:space="preserve">Product 4: </t>
  </si>
  <si>
    <t>1 kg Adhesive for metals, at plant/DE U (of project Ecoinvent unit processes v2.2:2016)</t>
  </si>
  <si>
    <t xml:space="preserve">Product 5: </t>
  </si>
  <si>
    <t>1 kg adhesive with lightweight aggregate, mineral, matured/CH U (of project KBOB Liste)</t>
  </si>
  <si>
    <t xml:space="preserve">Product 6: </t>
  </si>
  <si>
    <t>1 kg adhesive, mineral, matured/CH U (of project KBOB Liste)</t>
  </si>
  <si>
    <t xml:space="preserve">Product 7: </t>
  </si>
  <si>
    <t>1 kg adhesive, organic, matured/CH U (of project KBOB Liste)</t>
  </si>
  <si>
    <t xml:space="preserve">Product 8: </t>
  </si>
  <si>
    <t>1 kg aerogel board, at regional storage/CH U (of project KBOB Liste)</t>
  </si>
  <si>
    <t xml:space="preserve">Product 9: </t>
  </si>
  <si>
    <t>1 kg Alkyd paint, white, 60% in solvent, at plant/RER U (of project Ecoinvent unit processes v2.2:2016)</t>
  </si>
  <si>
    <t xml:space="preserve">Product 10: </t>
  </si>
  <si>
    <t>1 m2 aluminium blinds, at plant, with resource correction/CH U (of project KBOB Liste)</t>
  </si>
  <si>
    <t xml:space="preserve">Product 11: </t>
  </si>
  <si>
    <t>1 m2 aluminium composite panel, at regional storage, with resource correction/CH U (of project KBOB Liste)</t>
  </si>
  <si>
    <t xml:space="preserve">Product 12: </t>
  </si>
  <si>
    <t>1 kg aluminium profile, uncoated, SZFF 2014, recycling share 52%, with resource correction/CH U (of project KBOB Liste)</t>
  </si>
  <si>
    <t xml:space="preserve">Product 13: </t>
  </si>
  <si>
    <t>1 kg aluminium profile, uncoated, Wicona, recycling share 80%, at regional storage/CH U (of project KBOB Liste)</t>
  </si>
  <si>
    <t xml:space="preserve">Product 14: </t>
  </si>
  <si>
    <t>1 kg aluminium sheet, uncoated, with resource correction/CH U (of project KBOB Liste)</t>
  </si>
  <si>
    <t xml:space="preserve">Product 15: </t>
  </si>
  <si>
    <t>1 kg anhydrite floor screed, matured/CH U (of project KBOB Liste)</t>
  </si>
  <si>
    <t xml:space="preserve">Product 16: </t>
  </si>
  <si>
    <t>1 kg Autoclaved aerated concrete block, at plant/CH U (of project Ecoinvent unit processes v2.2:2016)</t>
  </si>
  <si>
    <t xml:space="preserve">Product 17: </t>
  </si>
  <si>
    <t>1 kg bATITECH - disposal, flax insulation/GLO U (of project KBOB Liste)</t>
  </si>
  <si>
    <t xml:space="preserve">Product 18: </t>
  </si>
  <si>
    <t>1 kg bATITECH - disposal, hemp lime concrete/GLO U (of project KBOB Liste)</t>
  </si>
  <si>
    <t xml:space="preserve">Product 19: </t>
  </si>
  <si>
    <t>1 kg bATITECH - disposal, rammed earth wall/GLO U (of project KBOB Liste)</t>
  </si>
  <si>
    <t xml:space="preserve">Product 20: </t>
  </si>
  <si>
    <t>1 kg bATITECH - disposal, rectangular straw bale/kg/GLO U (of project KBOB Liste)</t>
  </si>
  <si>
    <t xml:space="preserve">Product 21: </t>
  </si>
  <si>
    <t>1 kg bATITECH - Flax insulation fabrication, at regional storage/GLO U (of project KBOB Liste)</t>
  </si>
  <si>
    <t xml:space="preserve">Product 22: </t>
  </si>
  <si>
    <t>1 kg bATITECH - Flax insulation fabrication, fireproof, at regional storage/GLO U (of project KBOB Liste)</t>
  </si>
  <si>
    <t xml:space="preserve">Product 23: </t>
  </si>
  <si>
    <t>1 kg bATITECH - Flax insulation fabrication, fireproof/GLO U System (of project KBOB Liste)</t>
  </si>
  <si>
    <t xml:space="preserve">Product 24: </t>
  </si>
  <si>
    <t>1 kg bATITECH - Flax insulation fabrication/GLO U System (of project KBOB Liste)</t>
  </si>
  <si>
    <t xml:space="preserve">Product 25: </t>
  </si>
  <si>
    <t>1 kg bATITECH - Hemp lime concrete, at regional storage/GLO U (of project KBOB Liste)</t>
  </si>
  <si>
    <t xml:space="preserve">Product 26: </t>
  </si>
  <si>
    <t>1 kg bATITECH - Hemp lime concrete/GLO U System (of project KBOB Liste)</t>
  </si>
  <si>
    <t xml:space="preserve">Product 27: </t>
  </si>
  <si>
    <t>1 kg bATITECH - Rammed earth wall process 2 - building the wall/GLO U System (of project KBOB Liste)</t>
  </si>
  <si>
    <t xml:space="preserve">Product 28: </t>
  </si>
  <si>
    <t>1 kg bATITECH - Rectangular straw bale process 2 - baling &amp; loading bales/kg/GLO U (of project KBOB Liste)</t>
  </si>
  <si>
    <t xml:space="preserve">Product 29: </t>
  </si>
  <si>
    <t>1 m2 berlin wall anchored, infill concrete, average/m2/CH U (of project KBOB Liste)</t>
  </si>
  <si>
    <t xml:space="preserve">Product 30: </t>
  </si>
  <si>
    <t>1 m2 berlin wall projecting, drilled, infill concrete, average/m2/CH U (of project KBOB Liste)</t>
  </si>
  <si>
    <t xml:space="preserve">Product 31: </t>
  </si>
  <si>
    <t>1 m2 berlin wall strutted apart, infill concrete, average/m2/CH U (of project KBOB Liste)</t>
  </si>
  <si>
    <t xml:space="preserve">Product 32: </t>
  </si>
  <si>
    <t>1 kg Bitumen adhesive compound, cold, at plant/RER U (of project Ecoinvent unit processes v2.2:2016)</t>
  </si>
  <si>
    <t xml:space="preserve">Product 33: </t>
  </si>
  <si>
    <t>1 kg Bitumen adhesive compound, hot, at plant/RER U (of project Ecoinvent unit processes v2.2:2016)</t>
  </si>
  <si>
    <t xml:space="preserve">Product 34: </t>
  </si>
  <si>
    <t>1 kg Bitumen sealing Alu80, at plant/RER U (of project Ecoinvent unit processes v2.2:2016)</t>
  </si>
  <si>
    <t xml:space="preserve">Product 35: </t>
  </si>
  <si>
    <t>1 kg Bitumen sealing, EGV3, new, at plant/CH U System (of project KBOB Liste)</t>
  </si>
  <si>
    <t xml:space="preserve">Product 36: </t>
  </si>
  <si>
    <t>1 kg Bitumen sealing, EGV3, recycled 50%, at plant/CH U System (of project KBOB Liste)</t>
  </si>
  <si>
    <t xml:space="preserve">Product 37: </t>
  </si>
  <si>
    <t>1 kg Bitumen sealing, EGV3.5, new, at plant/CH U System (of project KBOB Liste)</t>
  </si>
  <si>
    <t xml:space="preserve">Product 38: </t>
  </si>
  <si>
    <t>1 kg Bitumen sealing, EGV3.5, recycled 50%, at plant/CH U System (of project KBOB Liste)</t>
  </si>
  <si>
    <t xml:space="preserve">Product 39: </t>
  </si>
  <si>
    <t>1 kg Bitumen sealing, EP4, new, at plant/CH U System (of project KBOB Liste)</t>
  </si>
  <si>
    <t xml:space="preserve">Product 40: </t>
  </si>
  <si>
    <t>1 kg Bitumen sealing, EP4, recycled 50%, at plant/CH U System (of project KBOB Liste)</t>
  </si>
  <si>
    <t xml:space="preserve">Product 41: </t>
  </si>
  <si>
    <t>1 kg Bitumen sealing, EP5, new, at plant/CH U System (of project KBOB Liste)</t>
  </si>
  <si>
    <t xml:space="preserve">Product 42: </t>
  </si>
  <si>
    <t>1 kg Bitumen sealing, EP5, recycled 50%, at plant/CH U System (of project KBOB Liste)</t>
  </si>
  <si>
    <t xml:space="preserve">Product 43: </t>
  </si>
  <si>
    <t>1 kg Bitumen sealing, LL Vario, new, at plant/CH U System (of project KBOB Liste)</t>
  </si>
  <si>
    <t xml:space="preserve">Product 44: </t>
  </si>
  <si>
    <t>1 kg Bitumen sealing, LL Vario, recycled 50%, at plant/CH U System (of project KBOB Liste)</t>
  </si>
  <si>
    <t xml:space="preserve">Product 45: </t>
  </si>
  <si>
    <t>1 kg Bitumen sealing, polymer EP4 flame retardant, at plant/RER U (of project Ecoinvent unit processes v2.2:2016)</t>
  </si>
  <si>
    <t xml:space="preserve">Product 46: </t>
  </si>
  <si>
    <t>1 m2 bored pile wall, overlapped, anchored, Stadtspital Triemli Zürich/m2/CH U (of project KBOB Liste)</t>
  </si>
  <si>
    <t xml:space="preserve">Product 47: </t>
  </si>
  <si>
    <t>1 m2 bored pile wall, overlapped, non-anchored/m2/CH U (of project KBOB Liste)</t>
  </si>
  <si>
    <t xml:space="preserve">Product 48: </t>
  </si>
  <si>
    <t>1 m2 bored pile wall, overlapped, strutted apart, Alterssiedlung Seefeldstrasse Zürich/m2/CH U (of project KBOB Liste)</t>
  </si>
  <si>
    <t xml:space="preserve">Product 49: </t>
  </si>
  <si>
    <t>1 kg brass / architectural bronze sheet, with resource correction/CH U (of project KBOB Liste)</t>
  </si>
  <si>
    <t xml:space="preserve">Product 50: </t>
  </si>
  <si>
    <t>1 kg brick, market mix, at regional storage/CH U (of project KBOB Liste)</t>
  </si>
  <si>
    <t xml:space="preserve">Product 51: </t>
  </si>
  <si>
    <t>1 kg cast iron, at plant, with resource correction/kg/CH U (of project KBOB Liste)</t>
  </si>
  <si>
    <t xml:space="preserve">Product 52: </t>
  </si>
  <si>
    <t>1 kg cellular glass aggregate Misapor, at plant/CH U System (of project KBOB Liste)</t>
  </si>
  <si>
    <t xml:space="preserve">Product 53: </t>
  </si>
  <si>
    <t>1 kg cellular glass aggregate, at regional storage/CH U System (of project KBOB Liste)</t>
  </si>
  <si>
    <t xml:space="preserve">Product 54: </t>
  </si>
  <si>
    <t>1 kg cellulose fibres (injected) (isofloc 2012)/kg/CH U System (of project KBOB Liste)</t>
  </si>
  <si>
    <t xml:space="preserve">Product 55: </t>
  </si>
  <si>
    <t>1 kg cellulose fibres (injected), at regional storage/kg/CH U (of project KBOB Liste)</t>
  </si>
  <si>
    <t xml:space="preserve">Product 56: </t>
  </si>
  <si>
    <t>1 kg cement floor screed, matured/CH U (of project KBOB Liste)</t>
  </si>
  <si>
    <t xml:space="preserve">Product 57: </t>
  </si>
  <si>
    <t>1 kg cement lime plaster, matured/CH U (of project KBOB Liste)</t>
  </si>
  <si>
    <t xml:space="preserve">Product 58: </t>
  </si>
  <si>
    <t>1 kg cement plaster, matured/CH U (of project KBOB Liste)</t>
  </si>
  <si>
    <t xml:space="preserve">Product 59: </t>
  </si>
  <si>
    <t>1 kg Ceramic tiles, at regional storage/CH U (of project Ecoinvent unit processes v2.2:2016)</t>
  </si>
  <si>
    <t xml:space="preserve">Product 60: </t>
  </si>
  <si>
    <t>1 kg chromium-nickel steel sheet 18/8, recycling share 2000 (37% Rec.), with resource correction/CH U (of project KBOB Liste)</t>
  </si>
  <si>
    <t xml:space="preserve">Product 61: </t>
  </si>
  <si>
    <t>1 kg chromium-nickel steel sheet 18/8, tin-coated, recycling share 2000 (37% Rec.), with resource correction/CH U (of project KBOB Liste)</t>
  </si>
  <si>
    <t xml:space="preserve">Product 62: </t>
  </si>
  <si>
    <t>1 kg chromium steel sheet 18, recycling share 2000 (37% Rec.), with resource correction/CH U (of project KBOB Liste)</t>
  </si>
  <si>
    <t xml:space="preserve">Product 63: </t>
  </si>
  <si>
    <t>1 kg chromium steel sheet 18, tin-coated, recyling share 2000 (37% Rec.), with resource correction/CH U (of project KBOB Liste)</t>
  </si>
  <si>
    <t xml:space="preserve">Product 64: </t>
  </si>
  <si>
    <t>1 m2 cladding, crossbar-pole, aluminium, at plant, with resource correction/m2/CH U (of project KBOB Liste)</t>
  </si>
  <si>
    <t xml:space="preserve">Product 65: </t>
  </si>
  <si>
    <t>1 kg Clay plaster, at plant/CH U (of project Ecoinvent unit processes v2.2:2016)</t>
  </si>
  <si>
    <t xml:space="preserve">Product 66: </t>
  </si>
  <si>
    <t>1 kg concrete block, at plant, with resource correction/kg/CH U (of project KBOB Liste)</t>
  </si>
  <si>
    <t xml:space="preserve">Product 67: </t>
  </si>
  <si>
    <t>1 m3 concrete for building construction, unspecific, at plant, with resource correction/m3/CH U (of project KBOB Liste)</t>
  </si>
  <si>
    <t xml:space="preserve">Product 68: </t>
  </si>
  <si>
    <t>1 m3 concrete for civil engineering, unspecific, at plant, with resource correction/m3/CH U (of project KBOB Liste)</t>
  </si>
  <si>
    <t xml:space="preserve">Product 69: </t>
  </si>
  <si>
    <t>1 m3 concrete for drilled piles, unspecific, at plant, with resource correction/m3/CH U (of project KBOB Liste)</t>
  </si>
  <si>
    <t xml:space="preserve">Product 70: </t>
  </si>
  <si>
    <t>1 m concrete pile, 1200mm, piped, average/m/CH U (of project KBOB Liste)</t>
  </si>
  <si>
    <t xml:space="preserve">Product 71: </t>
  </si>
  <si>
    <t>1 m concrete pile, 700mm, piped, average/m/CH U (of project KBOB Liste)</t>
  </si>
  <si>
    <t xml:space="preserve">Product 72: </t>
  </si>
  <si>
    <t>1 m concrete pile, 900mm, piped, average/m/CH U (of project KBOB Liste)</t>
  </si>
  <si>
    <t xml:space="preserve">Product 73: </t>
  </si>
  <si>
    <t>1 kg concrete roof tile, at plant, with resource correction/kg/CH U (of project KBOB Liste)</t>
  </si>
  <si>
    <t xml:space="preserve">Product 74: </t>
  </si>
  <si>
    <t>1 p cooker hood, kitchen, at regional storage/CH U (of project KBOB Liste)</t>
  </si>
  <si>
    <t xml:space="preserve">Product 75: </t>
  </si>
  <si>
    <t>1 kg copper sheet, uncoated, recycling share 2000 (44% Rec.), with resource correction/CH U (of project KBOB Liste)</t>
  </si>
  <si>
    <t xml:space="preserve">Product 76: </t>
  </si>
  <si>
    <t>1 kg Cork slab, at plant/RER U (of project Ecoinvent unit processes v2.2:2016)</t>
  </si>
  <si>
    <t xml:space="preserve">Product 77: </t>
  </si>
  <si>
    <t>1 m3 dewatering, building pit, pumping head 10m/m3/CH U (of project KBOB Liste)</t>
  </si>
  <si>
    <t xml:space="preserve">Product 78: </t>
  </si>
  <si>
    <t>1 m3 dewatering, building pit, pumping head 2.5m/m3/CH U (of project KBOB Liste)</t>
  </si>
  <si>
    <t xml:space="preserve">Product 79: </t>
  </si>
  <si>
    <t>1 m3 dewatering, building pit, pumping head 5m/m3/CH U (of project KBOB Liste)</t>
  </si>
  <si>
    <t xml:space="preserve">Product 80: </t>
  </si>
  <si>
    <t>1 m3 dewatering, building pit, pumping head 7.5m/m3/CH U (of project KBOB Liste)</t>
  </si>
  <si>
    <t xml:space="preserve">Product 81: </t>
  </si>
  <si>
    <t>1 m2 diaphragm wall, 400mm, Implenia/m2/CH U (of project KBOB Liste)</t>
  </si>
  <si>
    <t xml:space="preserve">Product 82: </t>
  </si>
  <si>
    <t>1 m2 diaphragm wall, 800mm, average/m2/CH U (of project KBOB Liste)</t>
  </si>
  <si>
    <t xml:space="preserve">Product 83: </t>
  </si>
  <si>
    <t>1 m displacement pile, concrete 520mm, Integra Wohnen Wallisellen/m/CH U (of project KBOB Liste)</t>
  </si>
  <si>
    <t xml:space="preserve">Product 84: </t>
  </si>
  <si>
    <t>1 m displacement pile, concrete 620mm, Integra Wohnen Wallisellen/m/CH U (of project KBOB Liste)</t>
  </si>
  <si>
    <t xml:space="preserve">Product 85: </t>
  </si>
  <si>
    <t>1 kg disposal, aerogel board/CH U (of project KBOB Liste)</t>
  </si>
  <si>
    <t xml:space="preserve">Product 86: </t>
  </si>
  <si>
    <t>1 m2 disposal, aluminium blinds/CH U (of project KBOB Liste)</t>
  </si>
  <si>
    <t xml:space="preserve">Product 87: </t>
  </si>
  <si>
    <t>1 m2 disposal, aluminium composite panel/CH U (of project KBOB Liste)</t>
  </si>
  <si>
    <t xml:space="preserve">Product 88: </t>
  </si>
  <si>
    <t>1 kg disposal, anhydrite floor screed/CH U (of project KBOB Liste)</t>
  </si>
  <si>
    <t xml:space="preserve">Product 89: </t>
  </si>
  <si>
    <t>1 kg Disposal, asphalt, 0.1% water, to sanitary landfill/CH U (of project Ecoinvent unit processes v2.2:2016)</t>
  </si>
  <si>
    <t xml:space="preserve">Product 90: </t>
  </si>
  <si>
    <t>1 m2 disposal, berlin wall anchored, infill concrete, average/m2/CH U (of project KBOB Liste)</t>
  </si>
  <si>
    <t xml:space="preserve">Product 91: </t>
  </si>
  <si>
    <t>1 m2 disposal, berlin wall projecting, drilled, infill concrete, average/m2/CH U (of project KBOB Liste)</t>
  </si>
  <si>
    <t xml:space="preserve">Product 92: </t>
  </si>
  <si>
    <t>1 m2 disposal, berlin wall strutted apart, infill concrete, average/m2/CH U (of project KBOB Liste)</t>
  </si>
  <si>
    <t xml:space="preserve">Product 93: </t>
  </si>
  <si>
    <t>1 m2 disposal, bored pile wall, overlapped, anchored, Stadtspital Triemli Zürich/m2/CH U (of project KBOB Liste)</t>
  </si>
  <si>
    <t xml:space="preserve">Product 94: </t>
  </si>
  <si>
    <t>1 m2 disposal, bored pile wall, overlapped, non-anchored/m2/CH U (of project KBOB Liste)</t>
  </si>
  <si>
    <t xml:space="preserve">Product 95: </t>
  </si>
  <si>
    <t>1 m2 disposal, bored pile wall, overlapped, strutted apart, Alterssiedlung Seefeldstrasse Zürich/m2/CH U (of project KBOB Liste)</t>
  </si>
  <si>
    <t xml:space="preserve">Product 96: </t>
  </si>
  <si>
    <t>1 kg disposal, brick/kg/CH U (of project KBOB Liste)</t>
  </si>
  <si>
    <t xml:space="preserve">Product 97: </t>
  </si>
  <si>
    <t>1 kg Disposal, building, bitumen sheet, to final disposal/CH U (of project Ecoinvent unit processes v2.2:2016)</t>
  </si>
  <si>
    <t xml:space="preserve">Product 98: </t>
  </si>
  <si>
    <t>1 kg Disposal, building, brick, to final disposal/CH U (of project Ecoinvent unit processes v2.2:2016)</t>
  </si>
  <si>
    <t xml:space="preserve">Product 99: </t>
  </si>
  <si>
    <t>1 kg Disposal, building, cement-fibre slab, to final disposal/CH U (of project Ecoinvent unit processes v2.2:2016)</t>
  </si>
  <si>
    <t xml:space="preserve">Product 100: </t>
  </si>
  <si>
    <t>1 m2 Disposal, building, door, inner, glass-wood, to final disposal/CH U (of project Ecoinvent unit processes v2.2:2016)</t>
  </si>
  <si>
    <t xml:space="preserve">Product 101: </t>
  </si>
  <si>
    <t>1 m2 Disposal, building, door, inner, wood, to final disposal/CH U (of project Ecoinvent unit processes v2.2:2016)</t>
  </si>
  <si>
    <t xml:space="preserve">Product 102: </t>
  </si>
  <si>
    <t>1 m2 Disposal, building, door, outer, wood-aluminium, to final disposal/CH U (of project Ecoinvent unit processes v2.2:2016)</t>
  </si>
  <si>
    <t xml:space="preserve">Product 103: </t>
  </si>
  <si>
    <t>1 m2 Disposal, building, door, outer, wood-glass, to final disposal/CH U (of project Ecoinvent unit processes v2.2:2016)</t>
  </si>
  <si>
    <t xml:space="preserve">Product 104: </t>
  </si>
  <si>
    <t>1 kg Disposal, building, fibre board, to final disposal/CH U (of project Ecoinvent unit processes v2.2:2016)</t>
  </si>
  <si>
    <t xml:space="preserve">Product 105: </t>
  </si>
  <si>
    <t>1 kg Disposal, building, glass sheet, to final disposal/CH U (of project Ecoinvent unit processes v2.2:2016)</t>
  </si>
  <si>
    <t xml:space="preserve">Product 106: </t>
  </si>
  <si>
    <t>1 m2 disposal, building, glazing, 2-IV, U=1.1 W/m2K, 4 ESG / 16 Ar / 4 Low E 1.1 Float, to final disposal/CH U (of project KBOB Liste)</t>
  </si>
  <si>
    <t xml:space="preserve">Product 107: </t>
  </si>
  <si>
    <t>1 m2 disposal, building, glazing, 2-IV, U=1.1 W/m2K, 4 ESG / 16 Ar / VSG 2x4, 0.76 PVB, Low E 1.1 Float, to final disposal/CH U (of project KBOB Liste)</t>
  </si>
  <si>
    <t xml:space="preserve">Product 108: </t>
  </si>
  <si>
    <t>1 m2 disposal, building, glazing, 2-IV, U=1.1 W/m2K, 4 Float / 10 Kr / 4 Low E 1.1, to final disposal/CH U (of project KBOB Liste)</t>
  </si>
  <si>
    <t xml:space="preserve">Product 109: </t>
  </si>
  <si>
    <t>1 m2 disposal, building, glazing, 2-IV, U=1.1 W/m2K, 4 Float / 16 Ar / 4 Low E 1.1 Float, to final disposal/CH U (of project KBOB Liste)</t>
  </si>
  <si>
    <t xml:space="preserve">Product 110: </t>
  </si>
  <si>
    <t>1 m2 disposal, building, glazing, 2-IV, U=1.1 W/m2K, 4 Float / 16 Ar / VSG 2x4, 0.76 PVB, Low E 1.1, to final disposal/CH U (of project Ecoinvent unit processes v2.2:2016)</t>
  </si>
  <si>
    <t xml:space="preserve">Product 111: </t>
  </si>
  <si>
    <t>1 m2 disposal, building, glazing, 3-IV, U=0.5 W/m2K, 4 Low E 1.1 Float / 12 Kr / 4 Float / 12 Kr / 4 Low E 1.1 Float, to final disposal/CH U (of project KBOB Liste)</t>
  </si>
  <si>
    <t xml:space="preserve">Product 112: </t>
  </si>
  <si>
    <t>1 m2 disposal, building, glazing, 3-IV, U=0.6 W/m2K, 4 Low E 1.1 ESG / 14 Ar / 4 ESG / 14 Ar / 4 Low E 1.1 ESG, to final disposal/CH U (of project KBOB Liste)</t>
  </si>
  <si>
    <t xml:space="preserve">Product 113: </t>
  </si>
  <si>
    <t>1 m2 disposal, building, glazing, 3-IV, U=0.6 W/m2K, 4 Low E 1.1 ESG / 14 Ar / 4 Float / 14 Ar / 4 Low E 1.1 ESG, to final disposal/CH U (of project KBOB Liste)</t>
  </si>
  <si>
    <t xml:space="preserve">Product 114: </t>
  </si>
  <si>
    <t>1 m2 disposal, building, glazing, 3-IV, U=0.6 W/m2K, 4 Low E 1.1 ESG / 14 Ar / 4 Float / 14 Ar / VSG 2x4, 0.76 PVB, Low E 1.1 Float, to final disposal/CH U (of project KBOB Liste)</t>
  </si>
  <si>
    <t xml:space="preserve">Product 115: </t>
  </si>
  <si>
    <t>1 m2 disposal, building, glazing, 3-IV, U=0.6 W/m2K, 4 Low E 1.1 Float / 14 Ar / 4 Float / 14 Ar / 4 Low E 1.1 Float, to final disposal/CH U (of project KBOB Liste)</t>
  </si>
  <si>
    <t xml:space="preserve">Product 116: </t>
  </si>
  <si>
    <t>1 m2 disposal, building, glazing, 3-IV, U=0.6 W/m2K, 4 Low E 1.1 Float / 14 Ar / 4 Float / 14 Ar / VSG 2x4, 0.76 PVB, Low E 1.1 Float, to final disposal/CH U (of project Ecoinvent unit processes v2.2:2016)</t>
  </si>
  <si>
    <t xml:space="preserve">Product 117: </t>
  </si>
  <si>
    <t>1 kg Disposal, building, mineral wool, to final disposal/CH U (of project Ecoinvent unit processes v2.2:2016)</t>
  </si>
  <si>
    <t xml:space="preserve">Product 118: </t>
  </si>
  <si>
    <t>1 kg Disposal, building, paint on wood, to final disposal/CH U (of project Ecoinvent unit processes v2.2:2016)</t>
  </si>
  <si>
    <t xml:space="preserve">Product 119: </t>
  </si>
  <si>
    <t>1 kg Disposal, building, PE sealing sheet, to final disposal/CH U (of project Ecoinvent unit processes v2.2:2016)</t>
  </si>
  <si>
    <t xml:space="preserve">Product 120: </t>
  </si>
  <si>
    <t>1 kg Disposal, building, polyethylene/polypropylene products, to final disposal/CH U (of project Ecoinvent unit processes v2.2:2016)</t>
  </si>
  <si>
    <t xml:space="preserve">Product 121: </t>
  </si>
  <si>
    <t>1 kg Disposal, building, polystyrene isolation, flame-retardant, to final disposal/CH U (of project Ecoinvent unit processes v2.2:2016)</t>
  </si>
  <si>
    <t xml:space="preserve">Product 122: </t>
  </si>
  <si>
    <t>1 kg Disposal, building, polyurethane foam, to final disposal/CH U (of project Ecoinvent unit processes v2.2:2016)</t>
  </si>
  <si>
    <t xml:space="preserve">Product 123: </t>
  </si>
  <si>
    <t>1 kg Disposal, building, polyvinylchloride products, to final disposal/CH U (of project Ecoinvent unit processes v2.2:2016)</t>
  </si>
  <si>
    <t xml:space="preserve">Product 124: </t>
  </si>
  <si>
    <t>1 m2 disposal, building, window frame, aluminium, recycling share 80%, Wicline 75evo, U=1.2W/m2K/CH U System (of project KBOB Liste)</t>
  </si>
  <si>
    <t xml:space="preserve">Product 125: </t>
  </si>
  <si>
    <t>1 m2 disposal, building, window frame, aluminium, to final disposal/CH U (of project KBOB Liste)</t>
  </si>
  <si>
    <t xml:space="preserve">Product 126: </t>
  </si>
  <si>
    <t>1 m2 disposal, building, window frame, plastic, to final disposal/CH U (of project KBOB Liste)</t>
  </si>
  <si>
    <t xml:space="preserve">Product 127: </t>
  </si>
  <si>
    <t>1 m2 Disposal, building, window frame, wood-metal, to final disposal/CH U (of project Ecoinvent unit processes v2.2:2016)</t>
  </si>
  <si>
    <t xml:space="preserve">Product 128: </t>
  </si>
  <si>
    <t>1 m2 Disposal, building, window frame, wood, to final disposal/CH U (of project Ecoinvent unit processes v2.2:2016)</t>
  </si>
  <si>
    <t xml:space="preserve">Product 129: </t>
  </si>
  <si>
    <t>1 kg disposal, cellular glass aggregate Misapor/CH U (of project KBOB Liste)</t>
  </si>
  <si>
    <t xml:space="preserve">Product 130: </t>
  </si>
  <si>
    <t>1 kg disposal, cement (in concrete) and masonry mortar/kg/CH U (of project KBOB Liste)</t>
  </si>
  <si>
    <t xml:space="preserve">Product 131: </t>
  </si>
  <si>
    <t>1 kg disposal, cement floor screed/CH U (of project KBOB Liste)</t>
  </si>
  <si>
    <t xml:space="preserve">Product 132: </t>
  </si>
  <si>
    <t>1 m2 disposal, cladding, crossbar-pole, aluminium, to final disposal/RER U (of project KBOB Liste)</t>
  </si>
  <si>
    <t xml:space="preserve">Product 133: </t>
  </si>
  <si>
    <t>1 kg disposal, concrete gravel/kg/CH U (of project KBOB Liste)</t>
  </si>
  <si>
    <t xml:space="preserve">Product 134: </t>
  </si>
  <si>
    <t>1 m disposal, concrete pile, 1200mm, piped, average/m/CH U (of project KBOB Liste)</t>
  </si>
  <si>
    <t xml:space="preserve">Product 135: </t>
  </si>
  <si>
    <t>1 m disposal, concrete pile, 700mm, piped, average/m/CH U (of project KBOB Liste)</t>
  </si>
  <si>
    <t xml:space="preserve">Product 136: </t>
  </si>
  <si>
    <t>1 m disposal, concrete pile, 900mm, piped, average/m/CH U (of project KBOB Liste)</t>
  </si>
  <si>
    <t xml:space="preserve">Product 137: </t>
  </si>
  <si>
    <t>1 kg disposal, concrete, reinforced/kg/CH U (of project KBOB Liste)</t>
  </si>
  <si>
    <t xml:space="preserve">Product 138: </t>
  </si>
  <si>
    <t>1 kg disposal, concrete, unreinforced/kg/CH U (of project KBOB Liste)</t>
  </si>
  <si>
    <t xml:space="preserve">Product 139: </t>
  </si>
  <si>
    <t>1 p disposal, cooker hood, kitchen/CH U (of project KBOB Liste)</t>
  </si>
  <si>
    <t xml:space="preserve">Product 140: </t>
  </si>
  <si>
    <t>1 m3 disposal, dewatering, building pit, pumping head 10m/m3/CH U (of project KBOB Liste)</t>
  </si>
  <si>
    <t xml:space="preserve">Product 141: </t>
  </si>
  <si>
    <t>1 m3 disposal, dewatering, building pit, pumping head 2.5m/m3/CH U (of project KBOB Liste)</t>
  </si>
  <si>
    <t xml:space="preserve">Product 142: </t>
  </si>
  <si>
    <t>1 m3 disposal, dewatering, building pit, pumping head 5m/m3/CH U (of project KBOB Liste)</t>
  </si>
  <si>
    <t xml:space="preserve">Product 143: </t>
  </si>
  <si>
    <t>1 m3 disposal, dewatering, building pit, pumping head 7.5m/m3/CH U (of project KBOB Liste)</t>
  </si>
  <si>
    <t xml:space="preserve">Product 144: </t>
  </si>
  <si>
    <t>1 m2 disposal, diaphragm wall, 400mm, Implenia/m2/CH U (of project KBOB Liste)</t>
  </si>
  <si>
    <t xml:space="preserve">Product 145: </t>
  </si>
  <si>
    <t>1 m2 disposal, diaphragm wall, 800mm, average/m2/CH U (of project KBOB Liste)</t>
  </si>
  <si>
    <t xml:space="preserve">Product 146: </t>
  </si>
  <si>
    <t>1 m disposal, displacement pile, concrete 520mm, Integra Wohnen Wallisellen/m/CH U (of project KBOB Liste)</t>
  </si>
  <si>
    <t xml:space="preserve">Product 147: </t>
  </si>
  <si>
    <t>1 m disposal, displacement pile, concrete 620mm, Integra Wohnen Wallisellen/m/CH U (of project KBOB Liste)</t>
  </si>
  <si>
    <t xml:space="preserve">Product 148: </t>
  </si>
  <si>
    <t>1 m2 disposal, drop-arm awning/CH U (of project KBOB Liste)</t>
  </si>
  <si>
    <t xml:space="preserve">Product 149: </t>
  </si>
  <si>
    <t>1 kg disposal, fibreboard, hard/kg/CH U (of project KBOB Liste)</t>
  </si>
  <si>
    <t xml:space="preserve">Product 150: </t>
  </si>
  <si>
    <t>1 kg disposal, fibreboard, medium density (MDF)/kg/CH U (of project KBOB Liste)</t>
  </si>
  <si>
    <t xml:space="preserve">Product 151: </t>
  </si>
  <si>
    <t>1 kg disposal, fibreboard, soft/kg/CH U (of project KBOB Liste)</t>
  </si>
  <si>
    <t xml:space="preserve">Product 152: </t>
  </si>
  <si>
    <t>1 m2 disposal, flooring,  linoleum/CH U (of project KBOB Liste)</t>
  </si>
  <si>
    <t xml:space="preserve">Product 153: </t>
  </si>
  <si>
    <t>1 m2 disposal, flooring, 2K/CH U (of project KBOB Liste)</t>
  </si>
  <si>
    <t xml:space="preserve">Product 154: </t>
  </si>
  <si>
    <t>1 m2 disposal, flooring, based on epoxy resin/CH U (of project KBOB Liste)</t>
  </si>
  <si>
    <t xml:space="preserve">Product 155: </t>
  </si>
  <si>
    <t>1 m2 disposal, flooring, carpet from natural fibre/CH U (of project KBOB Liste)</t>
  </si>
  <si>
    <t xml:space="preserve">Product 156: </t>
  </si>
  <si>
    <t>1 m2 disposal, flooring, cork parquet, prefinished, multilayered/CH U (of project KBOB Liste)</t>
  </si>
  <si>
    <t xml:space="preserve">Product 157: </t>
  </si>
  <si>
    <t>1 m2 disposal, flooring, cork parquett/CH U (of project KBOB Liste)</t>
  </si>
  <si>
    <t xml:space="preserve">Product 158: </t>
  </si>
  <si>
    <t>1 m2 disposal, flooring, cork, PVC coated/CH U (of project KBOB Liste)</t>
  </si>
  <si>
    <t xml:space="preserve">Product 159: </t>
  </si>
  <si>
    <t>1 m2 disposal, flooring, from rubber granulate/CH U (of project KBOB Liste)</t>
  </si>
  <si>
    <t xml:space="preserve">Product 160: </t>
  </si>
  <si>
    <t>1 m2 disposal, flooring, granolithic concrete, one layer/CH U (of project KBOB Liste)</t>
  </si>
  <si>
    <t xml:space="preserve">Product 161: </t>
  </si>
  <si>
    <t>1 m2 disposal, flooring, granolithic concrete, two layers/CH U (of project KBOB Liste)</t>
  </si>
  <si>
    <t xml:space="preserve">Product 162: </t>
  </si>
  <si>
    <t>1 m2 disposal, flooring, laminate/CH U (of project KBOB Liste)</t>
  </si>
  <si>
    <t xml:space="preserve">Product 163: </t>
  </si>
  <si>
    <t>1 m2 disposal, flooring, mosaic parquet/CH U (of project KBOB Liste)</t>
  </si>
  <si>
    <t xml:space="preserve">Product 164: </t>
  </si>
  <si>
    <t>1 m2 disposal, flooring, natural rubber/CH U (of project KBOB Liste)</t>
  </si>
  <si>
    <t xml:space="preserve">Product 165: </t>
  </si>
  <si>
    <t>1 m2 disposal, flooring, needle felt/CH U (of project KBOB Liste)</t>
  </si>
  <si>
    <t xml:space="preserve">Product 166: </t>
  </si>
  <si>
    <t>1 m2 disposal, flooring, parquet, three layers/CH U (of project KBOB Liste)</t>
  </si>
  <si>
    <t xml:space="preserve">Product 167: </t>
  </si>
  <si>
    <t>1 m2 disposal, flooring, parquet, two layers/CH U (of project KBOB Liste)</t>
  </si>
  <si>
    <t xml:space="preserve">Product 168: </t>
  </si>
  <si>
    <t>1 m2 disposal, flooring, polyolefins/CH U (of project KBOB Liste)</t>
  </si>
  <si>
    <t xml:space="preserve">Product 169: </t>
  </si>
  <si>
    <t>1 m2 disposal, flooring, PVC homogeneous/CH U (of project KBOB Liste)</t>
  </si>
  <si>
    <t xml:space="preserve">Product 170: </t>
  </si>
  <si>
    <t>1 m2 disposal, flooring, Terrazzo/CH U (of project KBOB Liste)</t>
  </si>
  <si>
    <t xml:space="preserve">Product 171: </t>
  </si>
  <si>
    <t>1 m2 disposal, flooring, tufted carpet with textile fabric backs/CH U (of project KBOB Liste)</t>
  </si>
  <si>
    <t xml:space="preserve">Product 172: </t>
  </si>
  <si>
    <t>1 m2 disposal, flooring, xylolite/CH U (of project KBOB Liste)</t>
  </si>
  <si>
    <t xml:space="preserve">Product 173: </t>
  </si>
  <si>
    <t>1 m2 disposal, glass fibre-reinforced polymer panel, polyester resin/CH U (of project KBOB Liste)</t>
  </si>
  <si>
    <t xml:space="preserve">Product 174: </t>
  </si>
  <si>
    <t>1 kg disposal, glue-laminated timber/kg/CH U (of project KBOB Liste)</t>
  </si>
  <si>
    <t xml:space="preserve">Product 175: </t>
  </si>
  <si>
    <t>1 m2 disposal, gypsum block/CH U (of project KBOB Liste)</t>
  </si>
  <si>
    <t xml:space="preserve">Product 176: </t>
  </si>
  <si>
    <t>1 m2 disposal, gypsum fibre board/CH U (of project KBOB Liste)</t>
  </si>
  <si>
    <t xml:space="preserve">Product 177: </t>
  </si>
  <si>
    <t>1 kg disposal, gypsum lime plaster/CH U (of project KBOB Liste)</t>
  </si>
  <si>
    <t xml:space="preserve">Product 178: </t>
  </si>
  <si>
    <t>1 m2 disposal, gypsum plaster board/CH U (of project KBOB Liste)</t>
  </si>
  <si>
    <t xml:space="preserve">Product 179: </t>
  </si>
  <si>
    <t>1 kg disposal, gypsum plaster/CH U (of project KBOB Liste)</t>
  </si>
  <si>
    <t xml:space="preserve">Product 180: </t>
  </si>
  <si>
    <t>1 m2 disposal, high pressure laminate HPL outdoor use, to municipal incineration/CH U (of project KBOB Liste)</t>
  </si>
  <si>
    <t xml:space="preserve">Product 181: </t>
  </si>
  <si>
    <t>1 m3 disposal, holzpur, softwood, raw, air / kiln dried, u=6%/CH U (of project KBOB Liste)</t>
  </si>
  <si>
    <t xml:space="preserve">Product 182: </t>
  </si>
  <si>
    <t>1 m2 disposal, kitchen worktop, aluminiumtrihydroxide-acrylic glass/CH U (of project KBOB Liste)</t>
  </si>
  <si>
    <t xml:space="preserve">Product 183: </t>
  </si>
  <si>
    <t>1 m2 disposal, kitchen worktop, chromium steel, standard/CH U (of project KBOB Liste)</t>
  </si>
  <si>
    <t xml:space="preserve">Product 184: </t>
  </si>
  <si>
    <t>1 m2 disposal, kitchen worktop, melamin coated worktop/CH U (of project KBOB Liste)</t>
  </si>
  <si>
    <t xml:space="preserve">Product 185: </t>
  </si>
  <si>
    <t>1 m2 disposal, kitchen worktop, natural stone, granite/CH U (of project KBOB Liste)</t>
  </si>
  <si>
    <t xml:space="preserve">Product 186: </t>
  </si>
  <si>
    <t>1 m2 disposal, kitchen worktop, wood/CH U (of project KBOB Liste)</t>
  </si>
  <si>
    <t xml:space="preserve">Product 187: </t>
  </si>
  <si>
    <t>1 p disposal, kitchen, front profile metal/CH U (of project KBOB Liste)</t>
  </si>
  <si>
    <t xml:space="preserve">Product 188: </t>
  </si>
  <si>
    <t>1 p disposal, kitchen, front profile particle board, at plant/CH U (of project KBOB Liste)</t>
  </si>
  <si>
    <t xml:space="preserve">Product 189: </t>
  </si>
  <si>
    <t>1 p disposal, kitchen, front profile solid wood/CH U (of project KBOB Liste)</t>
  </si>
  <si>
    <t xml:space="preserve">Product 190: </t>
  </si>
  <si>
    <t>1 kg disposal, mineral plaster/kg/CH U (of project KBOB Liste)</t>
  </si>
  <si>
    <t xml:space="preserve">Product 191: </t>
  </si>
  <si>
    <t>1 kg disposal, paper, 11.2% water, to municipal incineration/kg/CH U (of project Ecoinvent unit processes v2.2:2016)</t>
  </si>
  <si>
    <t xml:space="preserve">Product 192: </t>
  </si>
  <si>
    <t>1 kg disposal, particle board, indoor application/kg/CH U (of project KBOB Liste)</t>
  </si>
  <si>
    <t xml:space="preserve">Product 193: </t>
  </si>
  <si>
    <t>1 kg disposal, particle board, outdoor application/kg/CH U (of project KBOB Liste)</t>
  </si>
  <si>
    <t xml:space="preserve">Product 194: </t>
  </si>
  <si>
    <t>1 kg disposal, plaster, matured/CH U (of project KBOB Liste)</t>
  </si>
  <si>
    <t xml:space="preserve">Product 195: </t>
  </si>
  <si>
    <t>1 kg disposal, plastic plaster/kg/CH U (of project KBOB Liste)</t>
  </si>
  <si>
    <t xml:space="preserve">Product 196: </t>
  </si>
  <si>
    <t>1 kg disposal, plywood, outdoor application/kg/CH U (of project KBOB Liste)</t>
  </si>
  <si>
    <t xml:space="preserve">Product 197: </t>
  </si>
  <si>
    <t>1 m disposal, prefabricated driven pile, concrete, average/m/CH U (of project KBOB Liste)</t>
  </si>
  <si>
    <t xml:space="preserve">Product 198: </t>
  </si>
  <si>
    <t>1 m disposal, pushed pile, average/m/CH U (of project KBOB Liste)</t>
  </si>
  <si>
    <t xml:space="preserve">Product 199: </t>
  </si>
  <si>
    <t>1 m2 disposal, render carrier board, cement bound, to inert material landfill/CH U (of project KBOB Liste)</t>
  </si>
  <si>
    <t xml:space="preserve">Product 200: </t>
  </si>
  <si>
    <t>1 m2 disposal, render carrier board, resin bound, to inert material landfill/CH U (of project KBOB Liste)</t>
  </si>
  <si>
    <t xml:space="preserve">Product 201: </t>
  </si>
  <si>
    <t>1 m2 disposal, roller shutters/CH U (of project KBOB Liste)</t>
  </si>
  <si>
    <t xml:space="preserve">Product 202: </t>
  </si>
  <si>
    <t>1 kg disposal, rubber, unspecified, 0% water, to municipal incineration/kg/CH U (of project Ecoinvent unit processes v2.2:2016)</t>
  </si>
  <si>
    <t xml:space="preserve">Product 203: </t>
  </si>
  <si>
    <t>1 kg disposal, sand-lime brick/kg/CH U (of project KBOB Liste)</t>
  </si>
  <si>
    <t xml:space="preserve">Product 204: </t>
  </si>
  <si>
    <t>1 kg disposal, sand/kg/CH U (of project KBOB Liste)</t>
  </si>
  <si>
    <t xml:space="preserve">Product 205: </t>
  </si>
  <si>
    <t>1 kg disposal, sawn timber, hardwood, air-/kiln-dried/kg/CH U (of project KBOB Liste)</t>
  </si>
  <si>
    <t xml:space="preserve">Product 206: </t>
  </si>
  <si>
    <t>1 kg disposal, sawn timber, hardwood, air-dried/kg/CH U (of project KBOB Liste)</t>
  </si>
  <si>
    <t xml:space="preserve">Product 207: </t>
  </si>
  <si>
    <t>1 m2 disposal, sheet pile wall, anchored, average/m2/CH U (of project KBOB Liste)</t>
  </si>
  <si>
    <t xml:space="preserve">Product 208: </t>
  </si>
  <si>
    <t>1 m2 disposal, sheet pile wall, projecting, vibrated, Siedlung Werdwies Zürich/m2/CH U (of project KBOB Liste)</t>
  </si>
  <si>
    <t xml:space="preserve">Product 209: </t>
  </si>
  <si>
    <t>1 m2 disposal, sheet pile wall, strutted appart, average/m2/CH U (of project KBOB Liste)</t>
  </si>
  <si>
    <t xml:space="preserve">Product 210: </t>
  </si>
  <si>
    <t>1 p disposal, sink, chromium steel/CH U (of project KBOB Liste)</t>
  </si>
  <si>
    <t xml:space="preserve">Product 211: </t>
  </si>
  <si>
    <t>1 p disposal, sink, granite-acrylresin/CH U (of project KBOB Liste)</t>
  </si>
  <si>
    <t xml:space="preserve">Product 212: </t>
  </si>
  <si>
    <t>1 kg disposal, softwood, air-dried/kg/CH U (of project KBOB Liste)</t>
  </si>
  <si>
    <t xml:space="preserve">Product 213: </t>
  </si>
  <si>
    <t>1 kg disposal, softwood, kiln-dried/kg/CH U (of project KBOB Liste)</t>
  </si>
  <si>
    <t xml:space="preserve">Product 214: </t>
  </si>
  <si>
    <t>1 m2 disposal, soil nailing, sprayed concrete, reinforced, average/m2/CH U (of project KBOB Liste)</t>
  </si>
  <si>
    <t xml:space="preserve">Product 215: </t>
  </si>
  <si>
    <t>1 m disposal, stone columns, average/m/CH U (of project KBOB Liste)</t>
  </si>
  <si>
    <t xml:space="preserve">Product 216: </t>
  </si>
  <si>
    <t>1 kg disposal, three-layer slab/kg/CH U (of project KBOB Liste)</t>
  </si>
  <si>
    <t xml:space="preserve">Product 217: </t>
  </si>
  <si>
    <t>1 p disposal, waste separation system/CH U (of project KBOB Liste)</t>
  </si>
  <si>
    <t xml:space="preserve">Product 218: </t>
  </si>
  <si>
    <t>1 m2 door, inner, glass-wood, at plant, with resource correction/m2/CH U (of project KBOB Liste)</t>
  </si>
  <si>
    <t xml:space="preserve">Product 219: </t>
  </si>
  <si>
    <t>1 m2 door, inner, wood, at plant, with resource correction/m2/CH U (of project KBOB Liste)</t>
  </si>
  <si>
    <t xml:space="preserve">Product 220: </t>
  </si>
  <si>
    <t>1 m2 door, outer, wood-aluminium, at plant, with resource correction/m2/CH U (of project KBOB Liste)</t>
  </si>
  <si>
    <t xml:space="preserve">Product 221: </t>
  </si>
  <si>
    <t>1 m2 door, outer, wood-glass, at plant, with resource correction/m2/CH U (of project KBOB Liste)</t>
  </si>
  <si>
    <t xml:space="preserve">Product 222: </t>
  </si>
  <si>
    <t>1 m2 drop-arm awning, at plant, with resource correction/CH U (of project KBOB Liste)</t>
  </si>
  <si>
    <t xml:space="preserve">Product 223: </t>
  </si>
  <si>
    <t>1 m2 Enamelling/RER U (of project Ecoinvent unit processes v2.2:2016)</t>
  </si>
  <si>
    <t xml:space="preserve">Product 224: </t>
  </si>
  <si>
    <t>1 kg Expanded perlite, at plant/CH U (of project Ecoinvent unit processes v2.2:2016)</t>
  </si>
  <si>
    <t xml:space="preserve">Product 225: </t>
  </si>
  <si>
    <t>1 kg Expanded vermiculite, at plant/CH U (of project Ecoinvent unit processes v2.2:2016)</t>
  </si>
  <si>
    <t xml:space="preserve">Product 226: </t>
  </si>
  <si>
    <t>1 kg Fibre cement corrugated slab, at plant/CH U (of project Ecoinvent unit processes v2.2:2016)</t>
  </si>
  <si>
    <t xml:space="preserve">Product 227: </t>
  </si>
  <si>
    <t>1 kg Fibre cement facing tile, at plant/CH U (of project Ecoinvent unit processes v2.2:2016)</t>
  </si>
  <si>
    <t xml:space="preserve">Product 228: </t>
  </si>
  <si>
    <t>1 kg Fibre cement roof slate, at plant/CH U (of project Ecoinvent unit processes v2.2:2016)</t>
  </si>
  <si>
    <t xml:space="preserve">Product 229: </t>
  </si>
  <si>
    <t>1 m3 fibreboard soft, at plant (u=7%)/m3/CH U (of project Ecoinvent unit processes v2.2:2016)</t>
  </si>
  <si>
    <t xml:space="preserve">Product 230: </t>
  </si>
  <si>
    <t>1 kg fibreboard, hard, at regional storage, with resource correction/CH U (of project KBOB Liste)</t>
  </si>
  <si>
    <t xml:space="preserve">Product 231: </t>
  </si>
  <si>
    <t>1 kg fibreboard, soft, at regional storage, with resource correction/CH U (of project KBOB Liste)</t>
  </si>
  <si>
    <t xml:space="preserve">Product 232: </t>
  </si>
  <si>
    <t>1 kg Fleece, polyethylene, at plant/RER U (of project Ecoinvent unit processes v2.2:2016)</t>
  </si>
  <si>
    <t xml:space="preserve">Product 233: </t>
  </si>
  <si>
    <t>1 kg float glass, at plant/RER U (of project KBOB Liste)</t>
  </si>
  <si>
    <t xml:space="preserve">Product 234: </t>
  </si>
  <si>
    <t>1 kg float glass, coated, at plant/RER U (of project KBOB Liste)</t>
  </si>
  <si>
    <t xml:space="preserve">Product 235: </t>
  </si>
  <si>
    <t>1 m2 flooring 2K, epoxy resin, industrial use, at plant/CH U (of project KBOB Liste)</t>
  </si>
  <si>
    <t xml:space="preserve">Product 236: </t>
  </si>
  <si>
    <t>1 m2 flooring, 2K epoxy resin PU, living and administration, at plant/CH U (of project KBOB Liste)</t>
  </si>
  <si>
    <t xml:space="preserve">Product 237: </t>
  </si>
  <si>
    <t>1 m2 flooring, carpet from natural fibre, at regional storage/CH U (of project KBOB Liste)</t>
  </si>
  <si>
    <t xml:space="preserve">Product 238: </t>
  </si>
  <si>
    <t>1 m2 flooring, cork parquet, at regional storage/CH U (of project KBOB Liste)</t>
  </si>
  <si>
    <t xml:space="preserve">Product 239: </t>
  </si>
  <si>
    <t>1 m2 flooring, cork parquet, prefinished, multilayered, at regional storage/CH U (of project KBOB Liste)</t>
  </si>
  <si>
    <t xml:space="preserve">Product 240: </t>
  </si>
  <si>
    <t>1 m2 flooring, cork, PVC coated, at regional storage/CH U (of project KBOB Liste)</t>
  </si>
  <si>
    <t xml:space="preserve">Product 241: </t>
  </si>
  <si>
    <t>1 m2 flooring, from rubber granulate, at plant/CH U (of project KBOB Liste)</t>
  </si>
  <si>
    <t xml:space="preserve">Product 242: </t>
  </si>
  <si>
    <t>1 m2 flooring, granolithic concrete, one layer, at plant/CH U (of project KBOB Liste)</t>
  </si>
  <si>
    <t xml:space="preserve">Product 243: </t>
  </si>
  <si>
    <t>1 m2 flooring, granolithic concrete, two layers, at plant/CH U (of project KBOB Liste)</t>
  </si>
  <si>
    <t xml:space="preserve">Product 244: </t>
  </si>
  <si>
    <t>1 m2 flooring, laminate, at regional storage/CH U (of project KBOB Liste)</t>
  </si>
  <si>
    <t xml:space="preserve">Product 245: </t>
  </si>
  <si>
    <t>1 m2 flooring, linoleum, at regional storage/CH U (of project KBOB Liste)</t>
  </si>
  <si>
    <t xml:space="preserve">Product 246: </t>
  </si>
  <si>
    <t>1 m2 flooring, mosaic parquet, at regional storage/CH U (of project KBOB Liste)</t>
  </si>
  <si>
    <t xml:space="preserve">Product 247: </t>
  </si>
  <si>
    <t>1 m2 flooring, natural rubber, at regional storage/CH U (of project KBOB Liste)</t>
  </si>
  <si>
    <t xml:space="preserve">Product 248: </t>
  </si>
  <si>
    <t>1 m2 flooring, needle felt, at regional storage/CH U (of project KBOB Liste)</t>
  </si>
  <si>
    <t xml:space="preserve">Product 249: </t>
  </si>
  <si>
    <t>1 m2 flooring, parquet, three layers, at regional storage/CH U (of project KBOB Liste)</t>
  </si>
  <si>
    <t xml:space="preserve">Product 250: </t>
  </si>
  <si>
    <t>1 m2 flooring, parquet, two layers, at regional storage/CH U (of project KBOB Liste)</t>
  </si>
  <si>
    <t xml:space="preserve">Product 251: </t>
  </si>
  <si>
    <t>1 m2 flooring, polyolefins, at regional storage/CH U (of project KBOB Liste)</t>
  </si>
  <si>
    <t xml:space="preserve">Product 252: </t>
  </si>
  <si>
    <t>1 m2 flooring, PVC homogeneous, at regional storage/CH U (of project KBOB Liste)</t>
  </si>
  <si>
    <t xml:space="preserve">Product 253: </t>
  </si>
  <si>
    <t>1 m2 flooring, Terrazzo, at plant/CH U (of project KBOB Liste)</t>
  </si>
  <si>
    <t xml:space="preserve">Product 254: </t>
  </si>
  <si>
    <t>1 m2 flooring, tufted carpet with textile fabric backs, at regional storage/CH U (of project KBOB Liste)</t>
  </si>
  <si>
    <t xml:space="preserve">Product 255: </t>
  </si>
  <si>
    <t>1 m2 flooring, xylolite, at plant/CH U (of project KBOB Liste)</t>
  </si>
  <si>
    <t xml:space="preserve">Product 256: </t>
  </si>
  <si>
    <t>1 kg Foam glass, at regional storage/CH U (of project Ecoinvent unit processes v2.2:2016)</t>
  </si>
  <si>
    <t xml:space="preserve">Product 257: </t>
  </si>
  <si>
    <t>1 m2 glass fibre-reinforced polymer panel, polyester resin, at regional storage/CH U (of project KBOB Liste)</t>
  </si>
  <si>
    <t xml:space="preserve">Product 258: </t>
  </si>
  <si>
    <t>1 kg Glass fibre reinforced plastic, polyamide, injection moulding, at plant/RER U (of project Ecoinvent unit processes v2.2:2016)</t>
  </si>
  <si>
    <t xml:space="preserve">Product 259: </t>
  </si>
  <si>
    <t>1 kg glass reinforced plastic sheet (GFK), in MSWI/kg/CH U (of project KBOB Liste)</t>
  </si>
  <si>
    <t xml:space="preserve">Product 260: </t>
  </si>
  <si>
    <t>1 kg glass wool, market mix, at regional storage/CH U (of project KBOB Liste)</t>
  </si>
  <si>
    <t xml:space="preserve">Product 261: </t>
  </si>
  <si>
    <t>1 m2 glazing, double (2-IV), U=1.1 W/m2K, 4 ESG / 16 Ar / 4 Low E 1.1 Float, at plant/CH U (of project KBOB Liste)</t>
  </si>
  <si>
    <t xml:space="preserve">Product 262: </t>
  </si>
  <si>
    <t>1 m2 glazing, double (2-IV), U=1.1 W/m2K, 4 ESG / 16 Ar / VSG 2x4, 0.76 PVB, Low E 1.1 Float, at plant/CH U (of project KBOB Liste)</t>
  </si>
  <si>
    <t xml:space="preserve">Product 263: </t>
  </si>
  <si>
    <t>1 m2 glazing, double (2-IV), U=1.1 W/m2K, 4 Float / 10 Kr / 4 Low E 1.1 Float, at plant/CH U (of project KBOB Liste)</t>
  </si>
  <si>
    <t xml:space="preserve">Product 264: </t>
  </si>
  <si>
    <t>1 m2 glazing, double (2-IV), U=1.1 W/m2K, 4 Float / 16 Ar / 4 Low E 1.1 Float, at plant/CH U (of project KBOB Liste)</t>
  </si>
  <si>
    <t xml:space="preserve">Product 265: </t>
  </si>
  <si>
    <t>1 m2 glazing, double (2-IV), U=1.1 W/m2K, 4 Float / 16 Ar / VSG 2x4, 0.76 PVB, Low E 1.1, at plant/CH U (of project KBOB Liste)</t>
  </si>
  <si>
    <t xml:space="preserve">Product 266: </t>
  </si>
  <si>
    <t>1 m2 glazing, triple (3-IV), U=0.5 W/m2K, 4 Low E 1.1 Float / 12 Kr / 4 Float / 12 Kr / 4 Low E 1.1 Float, at plant/CH U (of project KBOB Liste)</t>
  </si>
  <si>
    <t xml:space="preserve">Product 267: </t>
  </si>
  <si>
    <t>1 m2 glazing, triple (3-IV), U=0.6 W/m2K, 4 Low E 1.1 ESG / 14 Ar / 4 Float / 14 Ar / 4 Low E 1.1 ESG, at plant/CH U (of project KBOB Liste)</t>
  </si>
  <si>
    <t xml:space="preserve">Product 268: </t>
  </si>
  <si>
    <t>1 m2 glazing, triple (3-IV), U=0.6 W/m2K, 4 Low E 1.1 ESG / 14 Ar / 4 Float / 14 Ar / VSG 2x4, 0.76 PVB, Low E 1.1 Float, at plant/CH U (of project KBOB Liste)</t>
  </si>
  <si>
    <t xml:space="preserve">Product 269: </t>
  </si>
  <si>
    <t>1 m2 glazing, triple (3-IV), U=0.6 W/m2K, 4 Low E 1.1 Float / 14 Ar / 4 Float / 14 Ar / 4 Low E 1.1 Float, at plant/CH U (of project KBOB Liste)</t>
  </si>
  <si>
    <t xml:space="preserve">Product 270: </t>
  </si>
  <si>
    <t>1 m2 glazing, triple (3-IV), U=0.6 W/m2K, 4 Low E 1.1 Float / 14 Ar / 4 Float / 14 Ar / VSG 2x4, 0.76 PVB, Low E 1.1 Float, at plant/CH U (of project KBOB Liste)</t>
  </si>
  <si>
    <t xml:space="preserve">Product 271: </t>
  </si>
  <si>
    <t>1 m2 glazing, triple (3-IV), U=0.6, W/m2K, 4 Low E 1.1 ESG / 14 Ar / 4 ESG / 14 Ar / 4 Low E 1.1 ESG, at plant/CH U (of project KBOB Liste)</t>
  </si>
  <si>
    <t xml:space="preserve">Product 272: </t>
  </si>
  <si>
    <t>1 kg glued laminated timber, indoor use, at regional storage, with resource correction/CH U (of project KBOB Liste)</t>
  </si>
  <si>
    <t xml:space="preserve">Product 273: </t>
  </si>
  <si>
    <t>1 kg glued laminated timber, indoor use, Swiss wood, at regional storage, with resource correction/CH U (of project KBOB Liste)</t>
  </si>
  <si>
    <t xml:space="preserve">Product 274: </t>
  </si>
  <si>
    <t>1 kg glued laminated timber, oudoor use, at regional storage, with resource correction/CH U (of project KBOB Liste)</t>
  </si>
  <si>
    <t xml:space="preserve">Product 275: </t>
  </si>
  <si>
    <t>1 kg glued laminated timber, oudoor use, Swiss wood, at regional storage, with resource correction/CH U (of project KBOB Liste)</t>
  </si>
  <si>
    <t xml:space="preserve">Product 276: </t>
  </si>
  <si>
    <t>1 kg gravel, crushed, market mix, at regional storage/CH U (of project KBOB Liste)</t>
  </si>
  <si>
    <t xml:space="preserve">Product 277: </t>
  </si>
  <si>
    <t>1 kg gravel, round, market mix, at regional storage/CH U (of project KBOB Liste)</t>
  </si>
  <si>
    <t xml:space="preserve">Product 278: </t>
  </si>
  <si>
    <t>1 m2 gypsum block, at regional storage/m2/CH U (of project KBOB Liste)</t>
  </si>
  <si>
    <t xml:space="preserve">Product 279: </t>
  </si>
  <si>
    <t>1 m2 gypsum fibre board, at regional storage/m2/CH U (of project KBOB Liste)</t>
  </si>
  <si>
    <t xml:space="preserve">Product 280: </t>
  </si>
  <si>
    <t>1 kg gypsum lime plaster, matured/CH U (of project KBOB Liste)</t>
  </si>
  <si>
    <t xml:space="preserve">Product 281: </t>
  </si>
  <si>
    <t>1 m2 gypsum plaster board, at regional storage/m2/CH U (of project KBOB Liste)</t>
  </si>
  <si>
    <t xml:space="preserve">Product 282: </t>
  </si>
  <si>
    <t>1 kg gypsum plaster, matured/CH U (of project KBOB Liste)</t>
  </si>
  <si>
    <t xml:space="preserve">Product 283: </t>
  </si>
  <si>
    <t>1 m3 hard sandstone, at plant/m3/CH U (of project KBOB Liste)</t>
  </si>
  <si>
    <t xml:space="preserve">Product 284: </t>
  </si>
  <si>
    <t>1 m2 high pressure laminate HPL outdoor use, at regional storage/CH U (of project KBOB Liste)</t>
  </si>
  <si>
    <t xml:space="preserve">Product 285: </t>
  </si>
  <si>
    <t>1 m3 holzpur, softwood, raw, air / kiln dried, u=6%, at plant, with resource correction/CH U (of project KBOB Liste)</t>
  </si>
  <si>
    <t xml:space="preserve">Product 286: </t>
  </si>
  <si>
    <t>1 m2 kitchen worktop, aluminiumtrihydroxide-acrylic glass, at plant/CH U (of project KBOB Liste)</t>
  </si>
  <si>
    <t xml:space="preserve">Product 287: </t>
  </si>
  <si>
    <t>1 m2 kitchen worktop, chromium steel, high-end, at plant/CH U (of project KBOB Liste)</t>
  </si>
  <si>
    <t xml:space="preserve">Product 288: </t>
  </si>
  <si>
    <t>1 m2 kitchen worktop, chromium steel, standard, at plant/CH U (of project KBOB Liste)</t>
  </si>
  <si>
    <t xml:space="preserve">Product 289: </t>
  </si>
  <si>
    <t>1 m2 kitchen worktop, melamin coated worktop, at plant/CH U (of project KBOB Liste)</t>
  </si>
  <si>
    <t xml:space="preserve">Product 290: </t>
  </si>
  <si>
    <t>1 m2 kitchen worktop, natural stone, granite, at plant/CH U (of project KBOB Liste)</t>
  </si>
  <si>
    <t xml:space="preserve">Product 291: </t>
  </si>
  <si>
    <t>1 m2 kitchen worktop, wood, at plant/CH U (of project KBOB Liste)</t>
  </si>
  <si>
    <t xml:space="preserve">Product 292: </t>
  </si>
  <si>
    <t>1 p kitchen, front profile metal, at plant/CH U (of project KBOB Liste)</t>
  </si>
  <si>
    <t xml:space="preserve">Product 293: </t>
  </si>
  <si>
    <t>1 p kitchen, front profile particle board, at plant/CH U (of project KBOB Liste)</t>
  </si>
  <si>
    <t xml:space="preserve">Product 294: </t>
  </si>
  <si>
    <t>1 p kitchen, front profile solid wood, at plant/CH U (of project KBOB Liste)</t>
  </si>
  <si>
    <t xml:space="preserve">Product 295: </t>
  </si>
  <si>
    <t>1 kg Kraft paper, bleached, at plant/RER U (of project Ecoinvent unit processes v2.2:2016)</t>
  </si>
  <si>
    <t xml:space="preserve">Product 296: </t>
  </si>
  <si>
    <t>1 kg lead, at regional storage, with resource correction/CH U (of project KBOB Liste)</t>
  </si>
  <si>
    <t xml:space="preserve">Product 297: </t>
  </si>
  <si>
    <t>1 m3 lean concrete, unspecific, at plant, with resource correction/m3/CH U (of project KBOB Liste)</t>
  </si>
  <si>
    <t xml:space="preserve">Product 298: </t>
  </si>
  <si>
    <t>1 kg Light clay brick, at plant/DE U (of project Ecoinvent unit processes v2.2:2016)</t>
  </si>
  <si>
    <t xml:space="preserve">Product 299: </t>
  </si>
  <si>
    <t>1 kg Lightweight concrete block, expanded clay, at plant/CH U (of project Ecoinvent unit processes v2.2:2016)</t>
  </si>
  <si>
    <t xml:space="preserve">Product 300: </t>
  </si>
  <si>
    <t>1 kg Lightweight concrete block, pumice, at plant/DE U (of project Ecoinvent unit processes v2.2:2016)</t>
  </si>
  <si>
    <t xml:space="preserve">Product 301: </t>
  </si>
  <si>
    <t>1 kg lightweight plaster, mineral, matured/CH U (of project KBOB Liste)</t>
  </si>
  <si>
    <t xml:space="preserve">Product 302: </t>
  </si>
  <si>
    <t>1 kg marble pit lime plaster, matured/CH U (of project KBOB Liste)</t>
  </si>
  <si>
    <t xml:space="preserve">Product 303: </t>
  </si>
  <si>
    <t>1 kg Mastic asphalt, at plant/CH U (of project Ecoinvent unit processes v2.2:2016)</t>
  </si>
  <si>
    <t xml:space="preserve">Product 304: </t>
  </si>
  <si>
    <t>1 kg medium density fibreboard, at regional storage, with resource correction/CH U (of project KBOB Liste)</t>
  </si>
  <si>
    <t xml:space="preserve">Product 305: </t>
  </si>
  <si>
    <t>1 kg Natural rubber based sealing, at plant/DE U (of project Ecoinvent unit processes v2.2:2016)</t>
  </si>
  <si>
    <t xml:space="preserve">Product 306: </t>
  </si>
  <si>
    <t>1 kg natural stone plate, cut, market mix, at regional storage/CH U (of project KBOB Liste)</t>
  </si>
  <si>
    <t xml:space="preserve">Product 307: </t>
  </si>
  <si>
    <t>1 kg Natural stone plate, grounded, at regional storage/CH U (of project Ecoinvent unit processes v2.2:2016)</t>
  </si>
  <si>
    <t xml:space="preserve">Product 308: </t>
  </si>
  <si>
    <t>1 kg natural stone plate, grounded, market mix, at regional storage/CH U (of project KBOB Liste)</t>
  </si>
  <si>
    <t xml:space="preserve">Product 309: </t>
  </si>
  <si>
    <t>1 kg natural stone plate, grounded, overseas, at regional storage/CH U (of project KBOB Liste)</t>
  </si>
  <si>
    <t xml:space="preserve">Product 310: </t>
  </si>
  <si>
    <t>1 kg natural stone plate, grounded, RER, at regional storage/CH U (of project KBOB Liste)</t>
  </si>
  <si>
    <t xml:space="preserve">Product 311: </t>
  </si>
  <si>
    <t>1 kg natural stone plate, polished, market mix, at regional storage/CH U (of project KBOB Liste)</t>
  </si>
  <si>
    <t xml:space="preserve">Product 312: </t>
  </si>
  <si>
    <t>1 kg oriented strand board, at regional storage, with resource correction/CH U (of project KBOB Liste)</t>
  </si>
  <si>
    <t xml:space="preserve">Product 313: </t>
  </si>
  <si>
    <t>1 kg Packaging film, LDPE, at plant/RER U (of project Ecoinvent unit processes v2.2:2016)</t>
  </si>
  <si>
    <t xml:space="preserve">Product 314: </t>
  </si>
  <si>
    <t>1 kg particleboard 18 mm, average glue mix, melamine faced, at regional storage, with resource correction/CH U (of project KBOB Liste)</t>
  </si>
  <si>
    <t xml:space="preserve">Product 315: </t>
  </si>
  <si>
    <t>1 kg particleboard, uncoated, average glue mix, at regional storage, with resource correction/CH U (of project KBOB Liste)</t>
  </si>
  <si>
    <t xml:space="preserve">Product 316: </t>
  </si>
  <si>
    <t>1 kg Phenolic resin, at plant/RER U (of project Ecoinvent unit processes v2.2:2016)</t>
  </si>
  <si>
    <t xml:space="preserve">Product 317: </t>
  </si>
  <si>
    <t>1 kg plywood, indoor use, at regional storage, with resource correction/CH U (of project KBOB Liste)</t>
  </si>
  <si>
    <t xml:space="preserve">Product 318: </t>
  </si>
  <si>
    <t>1 kg plywood, outdoor use, at regional storage, with resource correction/CH U (of project KBOB Liste)</t>
  </si>
  <si>
    <t xml:space="preserve">Product 319: </t>
  </si>
  <si>
    <t>1 kg polycarbonate disk/kg/CH U (of project KBOB Liste)</t>
  </si>
  <si>
    <t xml:space="preserve">Product 320: </t>
  </si>
  <si>
    <t>1 kg polyethylen (HDPE) pipe/kg/CH U (of project KBOB Liste)</t>
  </si>
  <si>
    <t xml:space="preserve">Product 321: </t>
  </si>
  <si>
    <t>1 kg Polymethyl methacrylate, sheet, at plant/RER U (of project Ecoinvent unit processes v2.2:2016)</t>
  </si>
  <si>
    <t xml:space="preserve">Product 322: </t>
  </si>
  <si>
    <t>1 kg polypropylen (PP) pipe/kg/CH U (of project KBOB Liste)</t>
  </si>
  <si>
    <t xml:space="preserve">Product 323: </t>
  </si>
  <si>
    <t>1 kg polystyrene foam slab, market mix, at regional storage/CH U (of project KBOB Liste)</t>
  </si>
  <si>
    <t xml:space="preserve">Product 324: </t>
  </si>
  <si>
    <t>1 kg polystyrene, extruded (XPS), market mix, at regional storage/CH U (of project KBOB Liste)</t>
  </si>
  <si>
    <t xml:space="preserve">Product 325: </t>
  </si>
  <si>
    <t>1 kg Polystyrene, high impact, HIPS, at plant/RER U (of project Ecoinvent unit processes v2.2:2016)</t>
  </si>
  <si>
    <t xml:space="preserve">Product 326: </t>
  </si>
  <si>
    <t>1 kg Polysulphide, sealing compound, at plant/RER U (of project Ecoinvent unit processes v2.2:2016)</t>
  </si>
  <si>
    <t xml:space="preserve">Product 327: </t>
  </si>
  <si>
    <t>1 kg polyurethane, rigid foam, market mix, at regional storage/CH U (of project KBOB Liste)</t>
  </si>
  <si>
    <t xml:space="preserve">Product 328: </t>
  </si>
  <si>
    <t>1 kg polyvinylchloride (PVC) pipe/kg/CH U (of project KBOB Liste)</t>
  </si>
  <si>
    <t xml:space="preserve">Product 329: </t>
  </si>
  <si>
    <t>1 m2 Powder coating, aluminium sheet/RER U (of project Ecoinvent unit processes v2.2:2016)</t>
  </si>
  <si>
    <t xml:space="preserve">Product 330: </t>
  </si>
  <si>
    <t>1 m2 Powder coating, steel/RER U (of project Ecoinvent unit processes v2.2:2016)</t>
  </si>
  <si>
    <t xml:space="preserve">Product 331: </t>
  </si>
  <si>
    <t>1 m3 precast concrete, high performance concrete, at plant/m3/CH U (of project KBOB Liste)</t>
  </si>
  <si>
    <t xml:space="preserve">Product 332: </t>
  </si>
  <si>
    <t>1 m3 precast concrete, standard concrete, at plant/m3/CH U (of project KBOB Liste)</t>
  </si>
  <si>
    <t xml:space="preserve">Product 333: </t>
  </si>
  <si>
    <t>1 m prefabricated driven pile, concrete, average/m/CH U (of project KBOB Liste)</t>
  </si>
  <si>
    <t xml:space="preserve">Product 334: </t>
  </si>
  <si>
    <t>1 m pushed pile, average/m/CH U (of project KBOB Liste)</t>
  </si>
  <si>
    <t xml:space="preserve">Product 335: </t>
  </si>
  <si>
    <t>1 kg Quarry tile, at plant/CH U (of project Ecoinvent unit processes v2.2:2016)</t>
  </si>
  <si>
    <t xml:space="preserve">Product 336: </t>
  </si>
  <si>
    <t>1 kg reinforcing steel, secondary production, (100% Rec.), with resource correction/CH U (of project KBOB Liste)</t>
  </si>
  <si>
    <t xml:space="preserve">Product 337: </t>
  </si>
  <si>
    <t>1 m2 render carrier board, cement bound, at regional storage/CH U (of project KBOB Liste)</t>
  </si>
  <si>
    <t xml:space="preserve">Product 338: </t>
  </si>
  <si>
    <t>1 m2 render carrier board, resin bound, at regional storehouse/CH U (of project KBOB Liste)</t>
  </si>
  <si>
    <t xml:space="preserve">Product 339: </t>
  </si>
  <si>
    <t>1 kg rock wool, at regional storage/kg/CH U (of project KBOB Liste)</t>
  </si>
  <si>
    <t xml:space="preserve">Product 340: </t>
  </si>
  <si>
    <t>1 kg rock wool, Flumroc, at plant/kg/CH/I U (of project KBOB Liste)</t>
  </si>
  <si>
    <t xml:space="preserve">Product 341: </t>
  </si>
  <si>
    <t>1 kg rolled steel, at regional storage, with resource correction/CH U (of project KBOB Liste)</t>
  </si>
  <si>
    <t xml:space="preserve">Product 342: </t>
  </si>
  <si>
    <t>1 m2 roller shutters, at plant, with resource correction/CH U (of project KBOB Liste)</t>
  </si>
  <si>
    <t xml:space="preserve">Product 343: </t>
  </si>
  <si>
    <t>1 kg roof tile, market mix, at regional storage/CH U (of project KBOB Liste)</t>
  </si>
  <si>
    <t xml:space="preserve">Product 344: </t>
  </si>
  <si>
    <t>1 kg Sand-lime brick, at plant/DE U (of project Ecoinvent unit processes v2.2:2016)</t>
  </si>
  <si>
    <t xml:space="preserve">Product 345: </t>
  </si>
  <si>
    <t>1 kg sand, market mix, at regional storage/CH U (of project KBOB Liste)</t>
  </si>
  <si>
    <t xml:space="preserve">Product 346: </t>
  </si>
  <si>
    <t>1 kg Sanitary ceramics, at regional storage/CH U (of project Ecoinvent unit processes v2.2:2016)</t>
  </si>
  <si>
    <t xml:space="preserve">Product 347: </t>
  </si>
  <si>
    <t>1 kg sawnwood, hardwood, raw, dried (u=10%), at regional storage, with resource correction/CH U (of project KBOB Liste)</t>
  </si>
  <si>
    <t xml:space="preserve">Product 348: </t>
  </si>
  <si>
    <t>1 kg sawnwood, hardwood, raw, dried (u=10%), planed, at regional storage, with resource correction/CH U (of project KBOB Liste)</t>
  </si>
  <si>
    <t xml:space="preserve">Product 349: </t>
  </si>
  <si>
    <t>1 kg sawnwood, hardwood, raw, dried (u=10%), planed, Swiss wood, at regional storage, with resource correction/CH U (of project KBOB Liste)</t>
  </si>
  <si>
    <t xml:space="preserve">Product 350: </t>
  </si>
  <si>
    <t>1 kg sawnwood, hardwood, raw, dried (u=10%), Swiss wood, at regional storage, with resource correction/CH U (of project KBOB Liste)</t>
  </si>
  <si>
    <t xml:space="preserve">Product 351: </t>
  </si>
  <si>
    <t>1 kg sawnwood, hardwood, raw, dried (u=20%), at regional storage, with resource correction/CH U (of project KBOB Liste)</t>
  </si>
  <si>
    <t xml:space="preserve">Product 352: </t>
  </si>
  <si>
    <t>1 kg sawnwood, hardwood, raw, dried (u=20%), Swiss wood, at regional storage, with resource correction/CH U (of project KBOB Liste)</t>
  </si>
  <si>
    <t xml:space="preserve">Product 353: </t>
  </si>
  <si>
    <t>1 kg sawnwood, softwood, raw, dried (u=10%), planed, at regional storage, with resource correction/CH U (of project KBOB Liste)</t>
  </si>
  <si>
    <t xml:space="preserve">Product 354: </t>
  </si>
  <si>
    <t>1 kg sawnwood, softwood, raw, dried (u=10%), planed, Swiss wood, at regional storage, with resource correction/CH U (of project KBOB Liste)</t>
  </si>
  <si>
    <t xml:space="preserve">Product 355: </t>
  </si>
  <si>
    <t>1 kg sawnwood, softwood, raw, dried (u=20%), at regional storage, with resource correction/CH U (of project KBOB Liste)</t>
  </si>
  <si>
    <t xml:space="preserve">Product 356: </t>
  </si>
  <si>
    <t>1 kg sawnwood, softwood, raw, dried (u=20%), planed, at regional storage, with resource correction/CH U (of project KBOB Liste)</t>
  </si>
  <si>
    <t xml:space="preserve">Product 357: </t>
  </si>
  <si>
    <t>1 kg sawnwood, softwood, raw, dried (u=20%), planed, Swiss wood, at regional storage, with resource correction/CH U (of project KBOB Liste)</t>
  </si>
  <si>
    <t xml:space="preserve">Product 358: </t>
  </si>
  <si>
    <t>1 kg sawnwood, softwood, raw, dried (u=20%), Swiss wood, at regional storage, with resource correction/CH U (of project KBOB Liste)</t>
  </si>
  <si>
    <t xml:space="preserve">Product 359: </t>
  </si>
  <si>
    <t>1 m2 Selective coating, stainless steel sheet, black chrome/CH U (of project Ecoinvent unit processes v2.2:2016)</t>
  </si>
  <si>
    <t xml:space="preserve">Product 360: </t>
  </si>
  <si>
    <t>1 m2 sheet pile wall, anchored, average/m2/CH U (of project KBOB Liste)</t>
  </si>
  <si>
    <t xml:space="preserve">Product 361: </t>
  </si>
  <si>
    <t>1 m2 sheet pile wall, projecting, vibrated, Siedlung Werdwies Zürich/m2/CH U (of project KBOB Liste)</t>
  </si>
  <si>
    <t xml:space="preserve">Product 362: </t>
  </si>
  <si>
    <t>1 m2 sheet pile wall, strutted appart, average/m2/CH U (of project KBOB Liste)</t>
  </si>
  <si>
    <t xml:space="preserve">Product 363: </t>
  </si>
  <si>
    <t>1 kg silicate plaster, dispersion, matured/CH U (of project KBOB Liste)</t>
  </si>
  <si>
    <t xml:space="preserve">Product 364: </t>
  </si>
  <si>
    <t>1 kg silicone plaster, matured/CH U (of project KBOB Liste)</t>
  </si>
  <si>
    <t xml:space="preserve">Product 365: </t>
  </si>
  <si>
    <t>1 kg Silicone product, at plant/RER U (of project Ecoinvent unit processes v2.2:2016)</t>
  </si>
  <si>
    <t xml:space="preserve">Product 366: </t>
  </si>
  <si>
    <t>1 p sink, chromium steel, at plant/CH U (of project KBOB Liste)</t>
  </si>
  <si>
    <t xml:space="preserve">Product 367: </t>
  </si>
  <si>
    <t>1 p sink, granite-acrylresin, at plant/CH U (of project KBOB Liste)</t>
  </si>
  <si>
    <t xml:space="preserve">Product 368: </t>
  </si>
  <si>
    <t>1 m3 soft fibreboard, Switzerland/m3/CH U (of project KBOB Liste)</t>
  </si>
  <si>
    <t xml:space="preserve">Product 369: </t>
  </si>
  <si>
    <t>1 m2 soil nailing, sprayed concrete, reinforced, average/m2/CH U (of project KBOB Liste)</t>
  </si>
  <si>
    <t xml:space="preserve">Product 370: </t>
  </si>
  <si>
    <t>1 kg steel sheet, uncoated, recycling share 2000 (37% Rec.), with resource correction/CH U (of project KBOB Liste)</t>
  </si>
  <si>
    <t xml:space="preserve">Product 371: </t>
  </si>
  <si>
    <t>1 kg steel sheet, zinc-coated, recycling share 2000 (37% Rec.), with resource correction/CH U (of project KBOB Liste)</t>
  </si>
  <si>
    <t xml:space="preserve">Product 372: </t>
  </si>
  <si>
    <t>1 m stone columns, average/m/CH U (of project KBOB Liste)</t>
  </si>
  <si>
    <t xml:space="preserve">Product 373: </t>
  </si>
  <si>
    <t>1 kg Synthetic rubber, at plant/RER U (of project Ecoinvent unit processes v2.2:2016)</t>
  </si>
  <si>
    <t xml:space="preserve">Product 374: </t>
  </si>
  <si>
    <t>1 kg thermal insulation plaster EPS, matured/CH U (of project KBOB Liste)</t>
  </si>
  <si>
    <t xml:space="preserve">Product 375: </t>
  </si>
  <si>
    <t>1 kg three layered laminated board, at regional storage, with resource correction/CH U (of project KBOB Liste)</t>
  </si>
  <si>
    <t xml:space="preserve">Product 376: </t>
  </si>
  <si>
    <t>1 kg titanium zinc plate, without pre-weathering, at plant, with resource correction/CH U (of project KBOB Liste)</t>
  </si>
  <si>
    <t xml:space="preserve">Product 377: </t>
  </si>
  <si>
    <t>1 p waste separation system, at plant/CH U (of project KBOB Liste)</t>
  </si>
  <si>
    <t xml:space="preserve">Product 378: </t>
  </si>
  <si>
    <t>1 kg white cement plaster, matured/CH U (of project KBOB Liste)</t>
  </si>
  <si>
    <t xml:space="preserve">Product 379: </t>
  </si>
  <si>
    <t>1 m2 window frame, aluminium, recycling share 80%, Wicline 75evo, U=1.2W/m2K, at regional storage/CH U (of project KBOB Liste)</t>
  </si>
  <si>
    <t xml:space="preserve">Product 380: </t>
  </si>
  <si>
    <t>1 m2 window frame, aluminium, U=1.5 W/m2K, at plant, with resource correction/CH U (of project KBOB Liste)</t>
  </si>
  <si>
    <t xml:space="preserve">Product 381: </t>
  </si>
  <si>
    <t>1 m2 window frame, plastic (PVC), U=1.1 W/m2K, at regional storage/CH U (of project KBOB Liste)</t>
  </si>
  <si>
    <t xml:space="preserve">Product 382: </t>
  </si>
  <si>
    <t>1 m2 window frame, wood-metal, U=1.6 W/m2K, at plant, with resource correction/m2/CH U (of project KBOB Liste)</t>
  </si>
  <si>
    <t xml:space="preserve">Product 383: </t>
  </si>
  <si>
    <t>1 m2 window frame, wood, U=1.5 W/m2K, at plant, with resource correction/m2/CH U (of project KBOB Liste)</t>
  </si>
  <si>
    <t xml:space="preserve">Product 384: </t>
  </si>
  <si>
    <t>1 kg wood wool board, cement bonded, at regional storage, with resource correction/CH U (of project KBOB Liste)</t>
  </si>
  <si>
    <t xml:space="preserve">Product 385: </t>
  </si>
  <si>
    <t>1 m2 Zinc coating, pieces/RER U (of project Ecoinvent unit processes v2.2:2016)</t>
  </si>
  <si>
    <t xml:space="preserve">Method: </t>
  </si>
  <si>
    <t>Ecological Scarcity 2013, categories, res. cor. V1.03 / Ecological scarcity 2013</t>
  </si>
  <si>
    <t xml:space="preserve">Indicator: </t>
  </si>
  <si>
    <t>Single score</t>
  </si>
  <si>
    <t xml:space="preserve">Skip categories: </t>
  </si>
  <si>
    <t>Never</t>
  </si>
  <si>
    <t xml:space="preserve">Default units: </t>
  </si>
  <si>
    <t>Yes</t>
  </si>
  <si>
    <t xml:space="preserve">Exclude infrastructure processes: </t>
  </si>
  <si>
    <t>No</t>
  </si>
  <si>
    <t xml:space="preserve">Exclude long-term emissions: </t>
  </si>
  <si>
    <t xml:space="preserve">Sorted on item: </t>
  </si>
  <si>
    <t>Impact category</t>
  </si>
  <si>
    <t xml:space="preserve">Sort order: </t>
  </si>
  <si>
    <t>Ascending</t>
  </si>
  <si>
    <t>Unit</t>
  </si>
  <si>
    <t>Acrylic dispersion, 65% in H2O, at plant/RER U</t>
  </si>
  <si>
    <t>acrylic render, matured/CH U</t>
  </si>
  <si>
    <t>acrylnitril-butadien-styrol (ABS) pipe/kg/CH U</t>
  </si>
  <si>
    <t>Adhesive for metals, at plant/DE U</t>
  </si>
  <si>
    <t>adhesive with lightweight aggregate, mineral, matured/CH U</t>
  </si>
  <si>
    <t>adhesive, mineral, matured/CH U</t>
  </si>
  <si>
    <t>adhesive, organic, matured/CH U</t>
  </si>
  <si>
    <t>aerogel board, at regional storage/CH U</t>
  </si>
  <si>
    <t>Alkyd paint, white, 60% in solvent, at plant/RER U</t>
  </si>
  <si>
    <t>aluminium blinds, at plant, with resource correction/CH U</t>
  </si>
  <si>
    <t>aluminium composite panel, at regional storage, with resource correction/CH U</t>
  </si>
  <si>
    <t>aluminium profile, uncoated, SZFF 2014, recycling share 52%, with resource correction/CH U</t>
  </si>
  <si>
    <t>aluminium profile, uncoated, Wicona, recycling share 80%, at regional storage/CH U</t>
  </si>
  <si>
    <t>aluminium sheet, uncoated, with resource correction/CH U</t>
  </si>
  <si>
    <t>anhydrite floor screed, matured/CH U</t>
  </si>
  <si>
    <t>Autoclaved aerated concrete block, at plant/CH U</t>
  </si>
  <si>
    <t>bATITECH - disposal, flax insulation/GLO U</t>
  </si>
  <si>
    <t>bATITECH - disposal, hemp lime concrete/GLO U</t>
  </si>
  <si>
    <t>bATITECH - disposal, rammed earth wall/GLO U</t>
  </si>
  <si>
    <t>bATITECH - disposal, rectangular straw bale/kg/GLO U</t>
  </si>
  <si>
    <t>bATITECH - Flax insulation fabrication, at regional storage/GLO U</t>
  </si>
  <si>
    <t>bATITECH - Flax insulation fabrication, fireproof, at regional storage/GLO U</t>
  </si>
  <si>
    <t>bATITECH - Flax insulation fabrication, fireproof/GLO U System</t>
  </si>
  <si>
    <t>bATITECH - Flax insulation fabrication/GLO U System</t>
  </si>
  <si>
    <t>bATITECH - Hemp lime concrete, at regional storage/GLO U</t>
  </si>
  <si>
    <t>bATITECH - Hemp lime concrete/GLO U System</t>
  </si>
  <si>
    <t>bATITECH - Rammed earth wall process 2 - building the wall/GLO U System</t>
  </si>
  <si>
    <t>bATITECH - Rectangular straw bale process 2 - baling &amp; loading bales/kg/GLO U</t>
  </si>
  <si>
    <t>berlin wall anchored, infill concrete, average/m2/CH U</t>
  </si>
  <si>
    <t>berlin wall projecting, drilled, infill concrete, average/m2/CH U</t>
  </si>
  <si>
    <t>berlin wall strutted apart, infill concrete, average/m2/CH U</t>
  </si>
  <si>
    <t>Bitumen adhesive compound, cold, at plant/RER U</t>
  </si>
  <si>
    <t>Bitumen adhesive compound, hot, at plant/RER U</t>
  </si>
  <si>
    <t>Bitumen sealing Alu80, at plant/RER U</t>
  </si>
  <si>
    <t>Bitumen sealing, EGV3, new, at plant/CH U System</t>
  </si>
  <si>
    <t>Bitumen sealing, EGV3, recycled 50%, at plant/CH U System</t>
  </si>
  <si>
    <t>Bitumen sealing, EGV3.5, new, at plant/CH U System</t>
  </si>
  <si>
    <t>Bitumen sealing, EGV3.5, recycled 50%, at plant/CH U System</t>
  </si>
  <si>
    <t>Bitumen sealing, EP4, new, at plant/CH U System</t>
  </si>
  <si>
    <t>Bitumen sealing, EP4, recycled 50%, at plant/CH U System</t>
  </si>
  <si>
    <t>Bitumen sealing, EP5, new, at plant/CH U System</t>
  </si>
  <si>
    <t>Bitumen sealing, EP5, recycled 50%, at plant/CH U System</t>
  </si>
  <si>
    <t>Bitumen sealing, LL Vario, new, at plant/CH U System</t>
  </si>
  <si>
    <t>Bitumen sealing, LL Vario, recycled 50%, at plant/CH U System</t>
  </si>
  <si>
    <t>Bitumen sealing, polymer EP4 flame retardant, at plant/RER U</t>
  </si>
  <si>
    <t>bored pile wall, overlapped, anchored, Stadtspital Triemli Zürich/m2/CH U</t>
  </si>
  <si>
    <t>bored pile wall, overlapped, non-anchored/m2/CH U</t>
  </si>
  <si>
    <t>bored pile wall, overlapped, strutted apart, Alterssiedlung Seefeldstrasse Zürich/m2/CH U</t>
  </si>
  <si>
    <t>brass / architectural bronze sheet, with resource correction/CH U</t>
  </si>
  <si>
    <t>brick, market mix, at regional storage/CH U</t>
  </si>
  <si>
    <t>cast iron, at plant, with resource correction/kg/CH U</t>
  </si>
  <si>
    <t>cellular glass aggregate Misapor, at plant/CH U System</t>
  </si>
  <si>
    <t>cellular glass aggregate, at regional storage/CH U System</t>
  </si>
  <si>
    <t>cellulose fibres (injected) (isofloc 2012)/kg/CH U System</t>
  </si>
  <si>
    <t>cellulose fibres (injected), at regional storage/kg/CH U</t>
  </si>
  <si>
    <t>cement floor screed, matured/CH U</t>
  </si>
  <si>
    <t>cement lime plaster, matured/CH U</t>
  </si>
  <si>
    <t>cement plaster, matured/CH U</t>
  </si>
  <si>
    <t>Ceramic tiles, at regional storage/CH U</t>
  </si>
  <si>
    <t>chromium-nickel steel sheet 18/8, recycling share 2000 (37% Rec.), with resource correction/CH U</t>
  </si>
  <si>
    <t>chromium-nickel steel sheet 18/8, tin-coated, recycling share 2000 (37% Rec.), with resource correction/CH U</t>
  </si>
  <si>
    <t>chromium steel sheet 18, recycling share 2000 (37% Rec.), with resource correction/CH U</t>
  </si>
  <si>
    <t>chromium steel sheet 18, tin-coated, recyling share 2000 (37% Rec.), with resource correction/CH U</t>
  </si>
  <si>
    <t>cladding, crossbar-pole, aluminium, at plant, with resource correction/m2/CH U</t>
  </si>
  <si>
    <t>Clay plaster, at plant/CH U</t>
  </si>
  <si>
    <t>concrete block, at plant, with resource correction/kg/CH U</t>
  </si>
  <si>
    <t>concrete for building construction, unspecific, at plant, with resource correction/m3/CH U</t>
  </si>
  <si>
    <t>concrete for civil engineering, unspecific, at plant, with resource correction/m3/CH U</t>
  </si>
  <si>
    <t>concrete for drilled piles, unspecific, at plant, with resource correction/m3/CH U</t>
  </si>
  <si>
    <t>concrete pile, 1200mm, piped, average/m/CH U</t>
  </si>
  <si>
    <t>concrete pile, 700mm, piped, average/m/CH U</t>
  </si>
  <si>
    <t>concrete pile, 900mm, piped, average/m/CH U</t>
  </si>
  <si>
    <t>concrete roof tile, at plant, with resource correction/kg/CH U</t>
  </si>
  <si>
    <t>cooker hood, kitchen, at regional storage/CH U</t>
  </si>
  <si>
    <t>copper sheet, uncoated, recycling share 2000 (44% Rec.), with resource correction/CH U</t>
  </si>
  <si>
    <t>Cork slab, at plant/RER U</t>
  </si>
  <si>
    <t>dewatering, building pit, pumping head 10m/m3/CH U</t>
  </si>
  <si>
    <t>dewatering, building pit, pumping head 2.5m/m3/CH U</t>
  </si>
  <si>
    <t>dewatering, building pit, pumping head 5m/m3/CH U</t>
  </si>
  <si>
    <t>dewatering, building pit, pumping head 7.5m/m3/CH U</t>
  </si>
  <si>
    <t>diaphragm wall, 400mm, Implenia/m2/CH U</t>
  </si>
  <si>
    <t>diaphragm wall, 800mm, average/m2/CH U</t>
  </si>
  <si>
    <t>displacement pile, concrete 520mm, Integra Wohnen Wallisellen/m/CH U</t>
  </si>
  <si>
    <t>displacement pile, concrete 620mm, Integra Wohnen Wallisellen/m/CH U</t>
  </si>
  <si>
    <t>disposal, aerogel board/CH U</t>
  </si>
  <si>
    <t>disposal, aluminium blinds/CH U</t>
  </si>
  <si>
    <t>disposal, aluminium composite panel/CH U</t>
  </si>
  <si>
    <t>disposal, anhydrite floor screed/CH U</t>
  </si>
  <si>
    <t>Disposal, asphalt, 0.1% water, to sanitary landfill/CH U</t>
  </si>
  <si>
    <t>disposal, berlin wall anchored, infill concrete, average/m2/CH U</t>
  </si>
  <si>
    <t>disposal, berlin wall projecting, drilled, infill concrete, average/m2/CH U</t>
  </si>
  <si>
    <t>disposal, berlin wall strutted apart, infill concrete, average/m2/CH U</t>
  </si>
  <si>
    <t>disposal, bored pile wall, overlapped, anchored, Stadtspital Triemli Zürich/m2/CH U</t>
  </si>
  <si>
    <t>disposal, bored pile wall, overlapped, non-anchored/m2/CH U</t>
  </si>
  <si>
    <t>disposal, bored pile wall, overlapped, strutted apart, Alterssiedlung Seefeldstrasse Zürich/m2/CH U</t>
  </si>
  <si>
    <t>disposal, brick/kg/CH U</t>
  </si>
  <si>
    <t>Disposal, building, bitumen sheet, to final disposal/CH U</t>
  </si>
  <si>
    <t>Disposal, building, brick, to final disposal/CH U</t>
  </si>
  <si>
    <t>Disposal, building, cement-fibre slab, to final disposal/CH U</t>
  </si>
  <si>
    <t>Disposal, building, door, inner, glass-wood, to final disposal/CH U</t>
  </si>
  <si>
    <t>Disposal, building, door, inner, wood, to final disposal/CH U</t>
  </si>
  <si>
    <t>Disposal, building, door, outer, wood-aluminium, to final disposal/CH U</t>
  </si>
  <si>
    <t>Disposal, building, door, outer, wood-glass, to final disposal/CH U</t>
  </si>
  <si>
    <t>Disposal, building, fibre board, to final disposal/CH U</t>
  </si>
  <si>
    <t>Disposal, building, glass sheet, to final disposal/CH U</t>
  </si>
  <si>
    <t>disposal, building, glazing, 2-IV, U=1.1 W/m2K, 4 ESG / 16 Ar / 4 Low E 1.1 Float, to final disposal/CH U</t>
  </si>
  <si>
    <t>disposal, building, glazing, 2-IV, U=1.1 W/m2K, 4 ESG / 16 Ar / VSG 2x4, 0.76 PVB, Low E 1.1 Float, to final disposal/CH U</t>
  </si>
  <si>
    <t>disposal, building, glazing, 2-IV, U=1.1 W/m2K, 4 Float / 10 Kr / 4 Low E 1.1, to final disposal/CH U</t>
  </si>
  <si>
    <t>disposal, building, glazing, 2-IV, U=1.1 W/m2K, 4 Float / 16 Ar / 4 Low E 1.1 Float, to final disposal/CH U</t>
  </si>
  <si>
    <t>disposal, building, glazing, 2-IV, U=1.1 W/m2K, 4 Float / 16 Ar / VSG 2x4, 0.76 PVB, Low E 1.1, to final disposal/CH U</t>
  </si>
  <si>
    <t>disposal, building, glazing, 3-IV, U=0.5 W/m2K, 4 Low E 1.1 Float / 12 Kr / 4 Float / 12 Kr / 4 Low E 1.1 Float, to final disposal/CH U</t>
  </si>
  <si>
    <t>disposal, building, glazing, 3-IV, U=0.6 W/m2K, 4 Low E 1.1 ESG / 14 Ar / 4 ESG / 14 Ar / 4 Low E 1.1 ESG, to final disposal/CH U</t>
  </si>
  <si>
    <t>disposal, building, glazing, 3-IV, U=0.6 W/m2K, 4 Low E 1.1 ESG / 14 Ar / 4 Float / 14 Ar / 4 Low E 1.1 ESG, to final disposal/CH U</t>
  </si>
  <si>
    <t>disposal, building, glazing, 3-IV, U=0.6 W/m2K, 4 Low E 1.1 ESG / 14 Ar / 4 Float / 14 Ar / VSG 2x4, 0.76 PVB, Low E 1.1 Float, to final disposal/CH U</t>
  </si>
  <si>
    <t>disposal, building, glazing, 3-IV, U=0.6 W/m2K, 4 Low E 1.1 Float / 14 Ar / 4 Float / 14 Ar / 4 Low E 1.1 Float, to final disposal/CH U</t>
  </si>
  <si>
    <t>disposal, building, glazing, 3-IV, U=0.6 W/m2K, 4 Low E 1.1 Float / 14 Ar / 4 Float / 14 Ar / VSG 2x4, 0.76 PVB, Low E 1.1 Float, to final disposal/CH U</t>
  </si>
  <si>
    <t>Disposal, building, mineral wool, to final disposal/CH U</t>
  </si>
  <si>
    <t>Disposal, building, paint on wood, to final disposal/CH U</t>
  </si>
  <si>
    <t>Disposal, building, PE sealing sheet, to final disposal/CH U</t>
  </si>
  <si>
    <t>Disposal, building, polyethylene/polypropylene products, to final disposal/CH U</t>
  </si>
  <si>
    <t>Disposal, building, polystyrene isolation, flame-retardant, to final disposal/CH U</t>
  </si>
  <si>
    <t>Disposal, building, polyurethane foam, to final disposal/CH U</t>
  </si>
  <si>
    <t>Disposal, building, polyvinylchloride products, to final disposal/CH U</t>
  </si>
  <si>
    <t>disposal, building, window frame, aluminium, recycling share 80%, Wicline 75evo, U=1.2W/m2K/CH U System</t>
  </si>
  <si>
    <t>disposal, building, window frame, aluminium, to final disposal/CH U</t>
  </si>
  <si>
    <t>disposal, building, window frame, plastic, to final disposal/CH U</t>
  </si>
  <si>
    <t>Disposal, building, window frame, wood-metal, to final disposal/CH U</t>
  </si>
  <si>
    <t>Disposal, building, window frame, wood, to final disposal/CH U</t>
  </si>
  <si>
    <t>disposal, cellular glass aggregate Misapor/CH U</t>
  </si>
  <si>
    <t>disposal, cement (in concrete) and masonry mortar/kg/CH U</t>
  </si>
  <si>
    <t>disposal, cement floor screed/CH U</t>
  </si>
  <si>
    <t>disposal, cladding, crossbar-pole, aluminium, to final disposal/RER U</t>
  </si>
  <si>
    <t>disposal, concrete gravel/kg/CH U</t>
  </si>
  <si>
    <t>disposal, concrete pile, 1200mm, piped, average/m/CH U</t>
  </si>
  <si>
    <t>disposal, concrete pile, 700mm, piped, average/m/CH U</t>
  </si>
  <si>
    <t>disposal, concrete pile, 900mm, piped, average/m/CH U</t>
  </si>
  <si>
    <t>disposal, concrete, reinforced/kg/CH U</t>
  </si>
  <si>
    <t>disposal, concrete, unreinforced/kg/CH U</t>
  </si>
  <si>
    <t>disposal, cooker hood, kitchen/CH U</t>
  </si>
  <si>
    <t>disposal, dewatering, building pit, pumping head 10m/m3/CH U</t>
  </si>
  <si>
    <t>disposal, dewatering, building pit, pumping head 2.5m/m3/CH U</t>
  </si>
  <si>
    <t>disposal, dewatering, building pit, pumping head 5m/m3/CH U</t>
  </si>
  <si>
    <t>disposal, dewatering, building pit, pumping head 7.5m/m3/CH U</t>
  </si>
  <si>
    <t>disposal, diaphragm wall, 400mm, Implenia/m2/CH U</t>
  </si>
  <si>
    <t>disposal, diaphragm wall, 800mm, average/m2/CH U</t>
  </si>
  <si>
    <t>disposal, displacement pile, concrete 520mm, Integra Wohnen Wallisellen/m/CH U</t>
  </si>
  <si>
    <t>disposal, displacement pile, concrete 620mm, Integra Wohnen Wallisellen/m/CH U</t>
  </si>
  <si>
    <t>disposal, drop-arm awning/CH U</t>
  </si>
  <si>
    <t>disposal, fibreboard, hard/kg/CH U</t>
  </si>
  <si>
    <t>disposal, fibreboard, medium density (MDF)/kg/CH U</t>
  </si>
  <si>
    <t>disposal, fibreboard, soft/kg/CH U</t>
  </si>
  <si>
    <t>disposal, flooring,  linoleum/CH U</t>
  </si>
  <si>
    <t>disposal, flooring, 2K/CH U</t>
  </si>
  <si>
    <t>disposal, flooring, based on epoxy resin/CH U</t>
  </si>
  <si>
    <t>disposal, flooring, carpet from natural fibre/CH U</t>
  </si>
  <si>
    <t>disposal, flooring, cork parquet, prefinished, multilayered/CH U</t>
  </si>
  <si>
    <t>disposal, flooring, cork parquett/CH U</t>
  </si>
  <si>
    <t>disposal, flooring, cork, PVC coated/CH U</t>
  </si>
  <si>
    <t>disposal, flooring, from rubber granulate/CH U</t>
  </si>
  <si>
    <t>disposal, flooring, granolithic concrete, one layer/CH U</t>
  </si>
  <si>
    <t>disposal, flooring, granolithic concrete, two layers/CH U</t>
  </si>
  <si>
    <t>disposal, flooring, laminate/CH U</t>
  </si>
  <si>
    <t>disposal, flooring, mosaic parquet/CH U</t>
  </si>
  <si>
    <t>disposal, flooring, natural rubber/CH U</t>
  </si>
  <si>
    <t>disposal, flooring, needle felt/CH U</t>
  </si>
  <si>
    <t>disposal, flooring, parquet, three layers/CH U</t>
  </si>
  <si>
    <t>disposal, flooring, parquet, two layers/CH U</t>
  </si>
  <si>
    <t>disposal, flooring, polyolefins/CH U</t>
  </si>
  <si>
    <t>disposal, flooring, PVC homogeneous/CH U</t>
  </si>
  <si>
    <t>disposal, flooring, Terrazzo/CH U</t>
  </si>
  <si>
    <t>disposal, flooring, tufted carpet with textile fabric backs/CH U</t>
  </si>
  <si>
    <t>disposal, flooring, xylolite/CH U</t>
  </si>
  <si>
    <t>disposal, glass fibre-reinforced polymer panel, polyester resin/CH U</t>
  </si>
  <si>
    <t>disposal, glue-laminated timber/kg/CH U</t>
  </si>
  <si>
    <t>disposal, gypsum block/CH U</t>
  </si>
  <si>
    <t>disposal, gypsum fibre board/CH U</t>
  </si>
  <si>
    <t>disposal, gypsum lime plaster/CH U</t>
  </si>
  <si>
    <t>disposal, gypsum plaster board/CH U</t>
  </si>
  <si>
    <t>disposal, gypsum plaster/CH U</t>
  </si>
  <si>
    <t>disposal, high pressure laminate HPL outdoor use, to municipal incineration/CH U</t>
  </si>
  <si>
    <t>disposal, holzpur, softwood, raw, air / kiln dried, u=6%/CH U</t>
  </si>
  <si>
    <t>disposal, kitchen worktop, aluminiumtrihydroxide-acrylic glass/CH U</t>
  </si>
  <si>
    <t>disposal, kitchen worktop, chromium steel, standard/CH U</t>
  </si>
  <si>
    <t>disposal, kitchen worktop, melamin coated worktop/CH U</t>
  </si>
  <si>
    <t>disposal, kitchen worktop, natural stone, granite/CH U</t>
  </si>
  <si>
    <t>disposal, kitchen worktop, wood/CH U</t>
  </si>
  <si>
    <t>disposal, kitchen, front profile metal/CH U</t>
  </si>
  <si>
    <t>disposal, kitchen, front profile particle board, at plant/CH U</t>
  </si>
  <si>
    <t>disposal, kitchen, front profile solid wood/CH U</t>
  </si>
  <si>
    <t>disposal, mineral plaster/kg/CH U</t>
  </si>
  <si>
    <t>disposal, paper, 11.2% water, to municipal incineration/kg/CH U</t>
  </si>
  <si>
    <t>disposal, particle board, indoor application/kg/CH U</t>
  </si>
  <si>
    <t>disposal, particle board, outdoor application/kg/CH U</t>
  </si>
  <si>
    <t>disposal, plaster, matured/CH U</t>
  </si>
  <si>
    <t>disposal, plastic plaster/kg/CH U</t>
  </si>
  <si>
    <t>disposal, plywood, outdoor application/kg/CH U</t>
  </si>
  <si>
    <t>disposal, prefabricated driven pile, concrete, average/m/CH U</t>
  </si>
  <si>
    <t>disposal, pushed pile, average/m/CH U</t>
  </si>
  <si>
    <t>disposal, render carrier board, cement bound, to inert material landfill/CH U</t>
  </si>
  <si>
    <t>disposal, render carrier board, resin bound, to inert material landfill/CH U</t>
  </si>
  <si>
    <t>disposal, roller shutters/CH U</t>
  </si>
  <si>
    <t>disposal, rubber, unspecified, 0% water, to municipal incineration/kg/CH U</t>
  </si>
  <si>
    <t>disposal, sand-lime brick/kg/CH U</t>
  </si>
  <si>
    <t>disposal, sand/kg/CH U</t>
  </si>
  <si>
    <t>disposal, sawn timber, hardwood, air-/kiln-dried/kg/CH U</t>
  </si>
  <si>
    <t>disposal, sawn timber, hardwood, air-dried/kg/CH U</t>
  </si>
  <si>
    <t>disposal, sheet pile wall, anchored, average/m2/CH U</t>
  </si>
  <si>
    <t>disposal, sheet pile wall, projecting, vibrated, Siedlung Werdwies Zürich/m2/CH U</t>
  </si>
  <si>
    <t>disposal, sheet pile wall, strutted appart, average/m2/CH U</t>
  </si>
  <si>
    <t>disposal, sink, chromium steel/CH U</t>
  </si>
  <si>
    <t>disposal, sink, granite-acrylresin/CH U</t>
  </si>
  <si>
    <t>disposal, softwood, air-dried/kg/CH U</t>
  </si>
  <si>
    <t>disposal, softwood, kiln-dried/kg/CH U</t>
  </si>
  <si>
    <t>disposal, soil nailing, sprayed concrete, reinforced, average/m2/CH U</t>
  </si>
  <si>
    <t>disposal, stone columns, average/m/CH U</t>
  </si>
  <si>
    <t>disposal, three-layer slab/kg/CH U</t>
  </si>
  <si>
    <t>disposal, waste separation system/CH U</t>
  </si>
  <si>
    <t>door, inner, glass-wood, at plant, with resource correction/m2/CH U</t>
  </si>
  <si>
    <t>door, inner, wood, at plant, with resource correction/m2/CH U</t>
  </si>
  <si>
    <t>door, outer, wood-aluminium, at plant, with resource correction/m2/CH U</t>
  </si>
  <si>
    <t>door, outer, wood-glass, at plant, with resource correction/m2/CH U</t>
  </si>
  <si>
    <t>drop-arm awning, at plant, with resource correction/CH U</t>
  </si>
  <si>
    <t>Enamelling/RER U</t>
  </si>
  <si>
    <t>Expanded perlite, at plant/CH U</t>
  </si>
  <si>
    <t>Expanded vermiculite, at plant/CH U</t>
  </si>
  <si>
    <t>Fibre cement corrugated slab, at plant/CH U</t>
  </si>
  <si>
    <t>Fibre cement facing tile, at plant/CH U</t>
  </si>
  <si>
    <t>Fibre cement roof slate, at plant/CH U</t>
  </si>
  <si>
    <t>fibreboard soft, at plant (u=7%)/m3/CH U</t>
  </si>
  <si>
    <t>fibreboard, hard, at regional storage, with resource correction/CH U</t>
  </si>
  <si>
    <t>fibreboard, soft, at regional storage, with resource correction/CH U</t>
  </si>
  <si>
    <t>Fleece, polyethylene, at plant/RER U</t>
  </si>
  <si>
    <t>float glass, at plant/RER U</t>
  </si>
  <si>
    <t>float glass, coated, at plant/RER U</t>
  </si>
  <si>
    <t>flooring 2K, epoxy resin, industrial use, at plant/CH U</t>
  </si>
  <si>
    <t>flooring, 2K epoxy resin PU, living and administration, at plant/CH U</t>
  </si>
  <si>
    <t>flooring, carpet from natural fibre, at regional storage/CH U</t>
  </si>
  <si>
    <t>flooring, cork parquet, at regional storage/CH U</t>
  </si>
  <si>
    <t>flooring, cork parquet, prefinished, multilayered, at regional storage/CH U</t>
  </si>
  <si>
    <t>flooring, cork, PVC coated, at regional storage/CH U</t>
  </si>
  <si>
    <t>flooring, from rubber granulate, at plant/CH U</t>
  </si>
  <si>
    <t>flooring, granolithic concrete, one layer, at plant/CH U</t>
  </si>
  <si>
    <t>flooring, granolithic concrete, two layers, at plant/CH U</t>
  </si>
  <si>
    <t>flooring, laminate, at regional storage/CH U</t>
  </si>
  <si>
    <t>flooring, linoleum, at regional storage/CH U</t>
  </si>
  <si>
    <t>flooring, mosaic parquet, at regional storage/CH U</t>
  </si>
  <si>
    <t>flooring, natural rubber, at regional storage/CH U</t>
  </si>
  <si>
    <t>flooring, needle felt, at regional storage/CH U</t>
  </si>
  <si>
    <t>flooring, parquet, three layers, at regional storage/CH U</t>
  </si>
  <si>
    <t>flooring, parquet, two layers, at regional storage/CH U</t>
  </si>
  <si>
    <t>flooring, polyolefins, at regional storage/CH U</t>
  </si>
  <si>
    <t>flooring, PVC homogeneous, at regional storage/CH U</t>
  </si>
  <si>
    <t>flooring, Terrazzo, at plant/CH U</t>
  </si>
  <si>
    <t>flooring, tufted carpet with textile fabric backs, at regional storage/CH U</t>
  </si>
  <si>
    <t>flooring, xylolite, at plant/CH U</t>
  </si>
  <si>
    <t>Foam glass, at regional storage/CH U</t>
  </si>
  <si>
    <t>glass fibre-reinforced polymer panel, polyester resin, at regional storage/CH U</t>
  </si>
  <si>
    <t>Glass fibre reinforced plastic, polyamide, injection moulding, at plant/RER U</t>
  </si>
  <si>
    <t>glass reinforced plastic sheet (GFK), in MSWI/kg/CH U</t>
  </si>
  <si>
    <t>glass wool, market mix, at regional storage/CH U</t>
  </si>
  <si>
    <t>glazing, double (2-IV), U=1.1 W/m2K, 4 ESG / 16 Ar / 4 Low E 1.1 Float, at plant/CH U</t>
  </si>
  <si>
    <t>glazing, double (2-IV), U=1.1 W/m2K, 4 ESG / 16 Ar / VSG 2x4, 0.76 PVB, Low E 1.1 Float, at plant/CH U</t>
  </si>
  <si>
    <t>glazing, double (2-IV), U=1.1 W/m2K, 4 Float / 10 Kr / 4 Low E 1.1 Float, at plant/CH U</t>
  </si>
  <si>
    <t>glazing, double (2-IV), U=1.1 W/m2K, 4 Float / 16 Ar / 4 Low E 1.1 Float, at plant/CH U</t>
  </si>
  <si>
    <t>glazing, double (2-IV), U=1.1 W/m2K, 4 Float / 16 Ar / VSG 2x4, 0.76 PVB, Low E 1.1, at plant/CH U</t>
  </si>
  <si>
    <t>glazing, triple (3-IV), U=0.5 W/m2K, 4 Low E 1.1 Float / 12 Kr / 4 Float / 12 Kr / 4 Low E 1.1 Float, at plant/CH U</t>
  </si>
  <si>
    <t>glazing, triple (3-IV), U=0.6 W/m2K, 4 Low E 1.1 ESG / 14 Ar / 4 Float / 14 Ar / 4 Low E 1.1 ESG, at plant/CH U</t>
  </si>
  <si>
    <t>glazing, triple (3-IV), U=0.6 W/m2K, 4 Low E 1.1 ESG / 14 Ar / 4 Float / 14 Ar / VSG 2x4, 0.76 PVB, Low E 1.1 Float, at plant/CH U</t>
  </si>
  <si>
    <t>glazing, triple (3-IV), U=0.6 W/m2K, 4 Low E 1.1 Float / 14 Ar / 4 Float / 14 Ar / 4 Low E 1.1 Float, at plant/CH U</t>
  </si>
  <si>
    <t>glazing, triple (3-IV), U=0.6 W/m2K, 4 Low E 1.1 Float / 14 Ar / 4 Float / 14 Ar / VSG 2x4, 0.76 PVB, Low E 1.1 Float, at plant/CH U</t>
  </si>
  <si>
    <t>glazing, triple (3-IV), U=0.6, W/m2K, 4 Low E 1.1 ESG / 14 Ar / 4 ESG / 14 Ar / 4 Low E 1.1 ESG, at plant/CH U</t>
  </si>
  <si>
    <t>glued laminated timber, indoor use, at regional storage, with resource correction/CH U</t>
  </si>
  <si>
    <t>glued laminated timber, indoor use, Swiss wood, at regional storage, with resource correction/CH U</t>
  </si>
  <si>
    <t>glued laminated timber, oudoor use, at regional storage, with resource correction/CH U</t>
  </si>
  <si>
    <t>glued laminated timber, oudoor use, Swiss wood, at regional storage, with resource correction/CH U</t>
  </si>
  <si>
    <t>gravel, crushed, market mix, at regional storage/CH U</t>
  </si>
  <si>
    <t>gravel, round, market mix, at regional storage/CH U</t>
  </si>
  <si>
    <t>gypsum block, at regional storage/m2/CH U</t>
  </si>
  <si>
    <t>gypsum fibre board, at regional storage/m2/CH U</t>
  </si>
  <si>
    <t>gypsum lime plaster, matured/CH U</t>
  </si>
  <si>
    <t>gypsum plaster board, at regional storage/m2/CH U</t>
  </si>
  <si>
    <t>gypsum plaster, matured/CH U</t>
  </si>
  <si>
    <t>hard sandstone, at plant/m3/CH U</t>
  </si>
  <si>
    <t>high pressure laminate HPL outdoor use, at regional storage/CH U</t>
  </si>
  <si>
    <t>holzpur, softwood, raw, air / kiln dried, u=6%, at plant, with resource correction/CH U</t>
  </si>
  <si>
    <t>kitchen worktop, aluminiumtrihydroxide-acrylic glass, at plant/CH U</t>
  </si>
  <si>
    <t>kitchen worktop, chromium steel, high-end, at plant/CH U</t>
  </si>
  <si>
    <t>kitchen worktop, chromium steel, standard, at plant/CH U</t>
  </si>
  <si>
    <t>kitchen worktop, melamin coated worktop, at plant/CH U</t>
  </si>
  <si>
    <t>kitchen worktop, natural stone, granite, at plant/CH U</t>
  </si>
  <si>
    <t>kitchen worktop, wood, at plant/CH U</t>
  </si>
  <si>
    <t>kitchen, front profile metal, at plant/CH U</t>
  </si>
  <si>
    <t>kitchen, front profile particle board, at plant/CH U</t>
  </si>
  <si>
    <t>kitchen, front profile solid wood, at plant/CH U</t>
  </si>
  <si>
    <t>Kraft paper, bleached, at plant/RER U</t>
  </si>
  <si>
    <t>lead, at regional storage, with resource correction/CH U</t>
  </si>
  <si>
    <t>lean concrete, unspecific, at plant, with resource correction/m3/CH U</t>
  </si>
  <si>
    <t>Light clay brick, at plant/DE U</t>
  </si>
  <si>
    <t>Lightweight concrete block, expanded clay, at plant/CH U</t>
  </si>
  <si>
    <t>Lightweight concrete block, pumice, at plant/DE U</t>
  </si>
  <si>
    <t>lightweight plaster, mineral, matured/CH U</t>
  </si>
  <si>
    <t>marble pit lime plaster, matured/CH U</t>
  </si>
  <si>
    <t>Mastic asphalt, at plant/CH U</t>
  </si>
  <si>
    <t>medium density fibreboard, at regional storage, with resource correction/CH U</t>
  </si>
  <si>
    <t>Natural rubber based sealing, at plant/DE U</t>
  </si>
  <si>
    <t>natural stone plate, cut, market mix, at regional storage/CH U</t>
  </si>
  <si>
    <t>Natural stone plate, grounded, at regional storage/CH U</t>
  </si>
  <si>
    <t>natural stone plate, grounded, market mix, at regional storage/CH U</t>
  </si>
  <si>
    <t>natural stone plate, grounded, overseas, at regional storage/CH U</t>
  </si>
  <si>
    <t>natural stone plate, grounded, RER, at regional storage/CH U</t>
  </si>
  <si>
    <t>natural stone plate, polished, market mix, at regional storage/CH U</t>
  </si>
  <si>
    <t>oriented strand board, at regional storage, with resource correction/CH U</t>
  </si>
  <si>
    <t>Packaging film, LDPE, at plant/RER U</t>
  </si>
  <si>
    <t>particleboard 18 mm, average glue mix, melamine faced, at regional storage, with resource correction/CH U</t>
  </si>
  <si>
    <t>particleboard, uncoated, average glue mix, at regional storage, with resource correction/CH U</t>
  </si>
  <si>
    <t>Phenolic resin, at plant/RER U</t>
  </si>
  <si>
    <t>plywood, indoor use, at regional storage, with resource correction/CH U</t>
  </si>
  <si>
    <t>plywood, outdoor use, at regional storage, with resource correction/CH U</t>
  </si>
  <si>
    <t>polycarbonate disk/kg/CH U</t>
  </si>
  <si>
    <t>polyethylen (HDPE) pipe/kg/CH U</t>
  </si>
  <si>
    <t>Polymethyl methacrylate, sheet, at plant/RER U</t>
  </si>
  <si>
    <t>polypropylen (PP) pipe/kg/CH U</t>
  </si>
  <si>
    <t>polystyrene foam slab, market mix, at regional storage/CH U</t>
  </si>
  <si>
    <t>polystyrene, extruded (XPS), market mix, at regional storage/CH U</t>
  </si>
  <si>
    <t>Polystyrene, high impact, HIPS, at plant/RER U</t>
  </si>
  <si>
    <t>Polysulphide, sealing compound, at plant/RER U</t>
  </si>
  <si>
    <t>polyurethane, rigid foam, market mix, at regional storage/CH U</t>
  </si>
  <si>
    <t>polyvinylchloride (PVC) pipe/kg/CH U</t>
  </si>
  <si>
    <t>Powder coating, aluminium sheet/RER U</t>
  </si>
  <si>
    <t>Powder coating, steel/RER U</t>
  </si>
  <si>
    <t>precast concrete, high performance concrete, at plant/m3/CH U</t>
  </si>
  <si>
    <t>precast concrete, standard concrete, at plant/m3/CH U</t>
  </si>
  <si>
    <t>prefabricated driven pile, concrete, average/m/CH U</t>
  </si>
  <si>
    <t>pushed pile, average/m/CH U</t>
  </si>
  <si>
    <t>Quarry tile, at plant/CH U</t>
  </si>
  <si>
    <t>reinforcing steel, secondary production, (100% Rec.), with resource correction/CH U</t>
  </si>
  <si>
    <t>render carrier board, cement bound, at regional storage/CH U</t>
  </si>
  <si>
    <t>render carrier board, resin bound, at regional storehouse/CH U</t>
  </si>
  <si>
    <t>rock wool, at regional storage/kg/CH U</t>
  </si>
  <si>
    <t>rock wool, Flumroc, at plant/kg/CH/I U</t>
  </si>
  <si>
    <t>rolled steel, at regional storage, with resource correction/CH U</t>
  </si>
  <si>
    <t>roller shutters, at plant, with resource correction/CH U</t>
  </si>
  <si>
    <t>roof tile, market mix, at regional storage/CH U</t>
  </si>
  <si>
    <t>Sand-lime brick, at plant/DE U</t>
  </si>
  <si>
    <t>sand, market mix, at regional storage/CH U</t>
  </si>
  <si>
    <t>Sanitary ceramics, at regional storage/CH U</t>
  </si>
  <si>
    <t>sawnwood, hardwood, raw, dried (u=10%), at regional storage, with resource correction/CH U</t>
  </si>
  <si>
    <t>sawnwood, hardwood, raw, dried (u=10%), planed, at regional storage, with resource correction/CH U</t>
  </si>
  <si>
    <t>sawnwood, hardwood, raw, dried (u=10%), planed, Swiss wood, at regional storage, with resource correction/CH U</t>
  </si>
  <si>
    <t>sawnwood, hardwood, raw, dried (u=10%), Swiss wood, at regional storage, with resource correction/CH U</t>
  </si>
  <si>
    <t>sawnwood, hardwood, raw, dried (u=20%), at regional storage, with resource correction/CH U</t>
  </si>
  <si>
    <t>sawnwood, hardwood, raw, dried (u=20%), Swiss wood, at regional storage, with resource correction/CH U</t>
  </si>
  <si>
    <t>sawnwood, softwood, raw, dried (u=10%), planed, at regional storage, with resource correction/CH U</t>
  </si>
  <si>
    <t>sawnwood, softwood, raw, dried (u=10%), planed, Swiss wood, at regional storage, with resource correction/CH U</t>
  </si>
  <si>
    <t>sawnwood, softwood, raw, dried (u=20%), at regional storage, with resource correction/CH U</t>
  </si>
  <si>
    <t>sawnwood, softwood, raw, dried (u=20%), planed, at regional storage, with resource correction/CH U</t>
  </si>
  <si>
    <t>sawnwood, softwood, raw, dried (u=20%), planed, Swiss wood, at regional storage, with resource correction/CH U</t>
  </si>
  <si>
    <t>sawnwood, softwood, raw, dried (u=20%), Swiss wood, at regional storage, with resource correction/CH U</t>
  </si>
  <si>
    <t>Selective coating, stainless steel sheet, black chrome/CH U</t>
  </si>
  <si>
    <t>sheet pile wall, anchored, average/m2/CH U</t>
  </si>
  <si>
    <t>sheet pile wall, projecting, vibrated, Siedlung Werdwies Zürich/m2/CH U</t>
  </si>
  <si>
    <t>sheet pile wall, strutted appart, average/m2/CH U</t>
  </si>
  <si>
    <t>silicate plaster, dispersion, matured/CH U</t>
  </si>
  <si>
    <t>silicone plaster, matured/CH U</t>
  </si>
  <si>
    <t>Silicone product, at plant/RER U</t>
  </si>
  <si>
    <t>sink, chromium steel, at plant/CH U</t>
  </si>
  <si>
    <t>sink, granite-acrylresin, at plant/CH U</t>
  </si>
  <si>
    <t>soft fibreboard, Switzerland/m3/CH U</t>
  </si>
  <si>
    <t>soil nailing, sprayed concrete, reinforced, average/m2/CH U</t>
  </si>
  <si>
    <t>steel sheet, uncoated, recycling share 2000 (37% Rec.), with resource correction/CH U</t>
  </si>
  <si>
    <t>steel sheet, zinc-coated, recycling share 2000 (37% Rec.), with resource correction/CH U</t>
  </si>
  <si>
    <t>stone columns, average/m/CH U</t>
  </si>
  <si>
    <t>Synthetic rubber, at plant/RER U</t>
  </si>
  <si>
    <t>thermal insulation plaster EPS, matured/CH U</t>
  </si>
  <si>
    <t>three layered laminated board, at regional storage, with resource correction/CH U</t>
  </si>
  <si>
    <t>titanium zinc plate, without pre-weathering, at plant, with resource correction/CH U</t>
  </si>
  <si>
    <t>waste separation system, at plant/CH U</t>
  </si>
  <si>
    <t>white cement plaster, matured/CH U</t>
  </si>
  <si>
    <t>window frame, aluminium, recycling share 80%, Wicline 75evo, U=1.2W/m2K, at regional storage/CH U</t>
  </si>
  <si>
    <t>window frame, aluminium, U=1.5 W/m2K, at plant, with resource correction/CH U</t>
  </si>
  <si>
    <t>window frame, plastic (PVC), U=1.1 W/m2K, at regional storage/CH U</t>
  </si>
  <si>
    <t>window frame, wood-metal, U=1.6 W/m2K, at plant, with resource correction/m2/CH U</t>
  </si>
  <si>
    <t>window frame, wood, U=1.5 W/m2K, at plant, with resource correction/m2/CH U</t>
  </si>
  <si>
    <t>wood wool board, cement bonded, at regional storage, with resource correction/CH U</t>
  </si>
  <si>
    <t>Zinc coating, pieces/RER U</t>
  </si>
  <si>
    <t>Kalkstein, Fassadenplatte, ab Werk (Thomann AG)_NEU</t>
  </si>
  <si>
    <t>Kalkstein, Fassadenplatte, ab Werk (Franken-Schotter)</t>
  </si>
  <si>
    <t>Pt</t>
  </si>
  <si>
    <t>Water resources</t>
  </si>
  <si>
    <t>Energy resources</t>
  </si>
  <si>
    <t>Mineral resources</t>
  </si>
  <si>
    <t>Land use</t>
  </si>
  <si>
    <t>Land use, high CF for intensive forest</t>
  </si>
  <si>
    <t>Global warming</t>
  </si>
  <si>
    <t>Global warming, specific CF for aviation</t>
  </si>
  <si>
    <t>Ozone layer depletion</t>
  </si>
  <si>
    <t>Main air pollutants and PM</t>
  </si>
  <si>
    <t>Carcinogenic substances into air</t>
  </si>
  <si>
    <t>Heavy metals into air</t>
  </si>
  <si>
    <t>Water pollutants</t>
  </si>
  <si>
    <t>POP into water</t>
  </si>
  <si>
    <t>Heavy metals into water</t>
  </si>
  <si>
    <t>Pesticides into soil</t>
  </si>
  <si>
    <t>Heavy metals into soil</t>
  </si>
  <si>
    <t>Radioactive substances into air</t>
  </si>
  <si>
    <t>Radioactive substances into water</t>
  </si>
  <si>
    <t>Noise</t>
  </si>
  <si>
    <t>Non radioactive waste to deposit</t>
  </si>
  <si>
    <t>Radioactive waste to deposit</t>
  </si>
  <si>
    <t>Verwertbarer Kalkstein (m3)</t>
  </si>
  <si>
    <t xml:space="preserve">Werner 2013: Berechnung der Grauen Energie für Fassadenelemente aus Kalkstein der Thomann AG und der Franken-Schotter GmbH &amp; Co. KG </t>
  </si>
  <si>
    <t>Anteil</t>
  </si>
  <si>
    <t>Baumaterialien CED</t>
  </si>
  <si>
    <t>Cumulative Energy Demand V1.09 / Cumulative energy demand</t>
  </si>
  <si>
    <t>MJ</t>
  </si>
  <si>
    <t>Non renewable, fossil</t>
  </si>
  <si>
    <t>Non-renewable, nuclear</t>
  </si>
  <si>
    <t>Non-renewable, biomass</t>
  </si>
  <si>
    <t>Renewable, biomass</t>
  </si>
  <si>
    <t>Renewable, wind, solar, geothe</t>
  </si>
  <si>
    <t>Renewable, water</t>
  </si>
  <si>
    <t>Baumaterialien THG</t>
  </si>
  <si>
    <t>IPCC 2013 GWP 100a V1.01 / IPCC GWP 100a</t>
  </si>
  <si>
    <t>Characterisation</t>
  </si>
  <si>
    <t>kg CO2 eq</t>
  </si>
  <si>
    <t>IPCC GWP 100a, specific CF for aviation</t>
  </si>
  <si>
    <t>Kopieren aus "563-Gebäudetechnik-2016-v0.x.xlsx"</t>
  </si>
  <si>
    <t>zurück zum Start</t>
  </si>
  <si>
    <t>Gebäudetechnik</t>
  </si>
  <si>
    <t>Carbon dioxide, fossil</t>
  </si>
  <si>
    <t>ID-Nr.</t>
  </si>
  <si>
    <t>Anlagentyp</t>
  </si>
  <si>
    <t>Anlage-grösse in m2</t>
  </si>
  <si>
    <t>Technologie</t>
  </si>
  <si>
    <t>eindeutige Namen</t>
  </si>
  <si>
    <t>Bezugsgrösse</t>
  </si>
  <si>
    <t>Primärenergiefaktor total [MJ-eq]</t>
  </si>
  <si>
    <t>Primärenergiefaktor fossil [MJ-eq]</t>
  </si>
  <si>
    <t>Primärenergiefaktor nuklear [MJ-eq]</t>
  </si>
  <si>
    <t>Primärenergiefaktor total erneuerbar [MJ-eq]</t>
  </si>
  <si>
    <t>Primärenergiefaktor Abwärme / Abfall [MJ-eq]</t>
  </si>
  <si>
    <t>CO2-Äquivalente
[kg CO2-eq]</t>
  </si>
  <si>
    <t>Kohlendioxid, fossil
[kg]</t>
  </si>
  <si>
    <t>Umweltbelastungspunkte [UBP'13]</t>
  </si>
  <si>
    <t>Primärenergiefaktor nicht-erneuerbar [MJ-eq]</t>
  </si>
  <si>
    <t>31.007Herstellung</t>
  </si>
  <si>
    <t>Kollektoranlage</t>
  </si>
  <si>
    <t>Cu-Kollektoranlage, EFH, für Warmwasser</t>
  </si>
  <si>
    <t>solar system, 5 m2 Cu flat plate collector, one-family house, hot water/CH/I U</t>
  </si>
  <si>
    <t>31.010Herstellung</t>
  </si>
  <si>
    <t>am Gebäudestandort</t>
  </si>
  <si>
    <t>Vakuumröhrenkollektor, EFH, für RH und WW</t>
  </si>
  <si>
    <t>solar system, 10.5 m2 evacuated tube collector, one-family house, combined system/CH/I U</t>
  </si>
  <si>
    <t>31.008Herstellung</t>
  </si>
  <si>
    <t>Cu-Kollektoranlage, EFH, für RH und WW</t>
  </si>
  <si>
    <t>solar system, 12 m2 Cu flat plate collector, one-family house, combined system/CH/I U</t>
  </si>
  <si>
    <t>31.009Herstellung</t>
  </si>
  <si>
    <t>Cu-Kollektoranlage, MFH, auf Schrägdach, für Warmwasser</t>
  </si>
  <si>
    <t>solar system, 20 m2 Cu flat plate collector, on slanted roof, hot water/CH/I U</t>
  </si>
  <si>
    <t>Al-Cu-Kollektoranl., MFH, auf Schrägdach, für Warmwasser</t>
  </si>
  <si>
    <t>solar system, 30 m2  Al-Cu flat plate collector, on slanted roof, hot water/CH/I U</t>
  </si>
  <si>
    <t>Cu-Kollektoranlage, MFH, auf Flachdach, für Warmwasser</t>
  </si>
  <si>
    <t>solar system, 30 m2 Cu flat plate collector, on flat roof, hot water/CH/I U</t>
  </si>
  <si>
    <t>solar system, 30 m2 Cu flat plate collector, on slanted roof, hot water/CH/I U</t>
  </si>
  <si>
    <t>Cu-Kollektor-Grossanlage, MFH, für Warmwasser</t>
  </si>
  <si>
    <t>solar system, 81 m2 Cu flat plate collector, multiple dwelling, hot water/CH/I U</t>
  </si>
  <si>
    <t>Photovoltaikanlage in m2 
am Gebäudestandort</t>
  </si>
  <si>
    <t>eigene Berechnungen in Excel</t>
  </si>
  <si>
    <t>34.024Herstellung</t>
  </si>
  <si>
    <t>Photovoltaikanlage in kWp 
am Gebäudestandort</t>
  </si>
  <si>
    <t>34.025Herstellung</t>
  </si>
  <si>
    <t>34.026Herstellung</t>
  </si>
  <si>
    <t>34.027Herstellung</t>
  </si>
  <si>
    <t>31.001Herstellung</t>
  </si>
  <si>
    <t>Wärmeerzeuger, spez. Leistungsbedarf 10 W/m2</t>
  </si>
  <si>
    <t>heat production system, specific heat demand 10W/m2/CH U</t>
  </si>
  <si>
    <t>31.002Herstellung</t>
  </si>
  <si>
    <t>Wärmeerzeuger, spez. Leistungsbedarf 30 W/m2</t>
  </si>
  <si>
    <t>heat production system, specific heat demand 30W/m2/CH U</t>
  </si>
  <si>
    <t>31.003Herstellung</t>
  </si>
  <si>
    <t>Wärmeerzeuger, spez. Leistungsbedarf 50 W/m2</t>
  </si>
  <si>
    <t>heat production system, specific heat demand 50W/m2/CH U</t>
  </si>
  <si>
    <t>31.016Herstellung</t>
  </si>
  <si>
    <t>borehole heat exchanger/CH U</t>
  </si>
  <si>
    <t>31.017Herstellung</t>
  </si>
  <si>
    <t>heat pump, brine-water, 8kW/CH U</t>
  </si>
  <si>
    <t>Stk</t>
  </si>
  <si>
    <t>31.018Herstellung</t>
  </si>
  <si>
    <t>heat pump, brine-water, per kg/CH U</t>
  </si>
  <si>
    <t>31.019Herstellung</t>
  </si>
  <si>
    <t>heat pump, air-water, 8kW/CH U</t>
  </si>
  <si>
    <t>31.020Herstellung</t>
  </si>
  <si>
    <t>heat pump, air-water, per kg/CH U</t>
  </si>
  <si>
    <t>31.021Herstellung</t>
  </si>
  <si>
    <t>Verteilung Wohngebäude</t>
  </si>
  <si>
    <t>production of heat distribution system, apartment building/CH U</t>
  </si>
  <si>
    <t>31.022Herstellung</t>
  </si>
  <si>
    <t>Verteilung Bürogebäude</t>
  </si>
  <si>
    <t>production of heat distribution system, office building/CH U</t>
  </si>
  <si>
    <t>31.023Herstellung</t>
  </si>
  <si>
    <t>Abgabe über Heizkörper</t>
  </si>
  <si>
    <t>production of heat dissipation system with radiator/CH U</t>
  </si>
  <si>
    <t>31.024Herstellung</t>
  </si>
  <si>
    <t>Abgabe über Fussbodenheizung</t>
  </si>
  <si>
    <t>production of heat dissipation system with floor heating/CH U</t>
  </si>
  <si>
    <t>31.025Herstellung</t>
  </si>
  <si>
    <t>Abgabe über Heizkühldecke (ohne Gips- oder Metalldecke)</t>
  </si>
  <si>
    <t>production of heat dissipation system with heating-cooling ceiling/CH U</t>
  </si>
  <si>
    <t>31.015Herstellung</t>
  </si>
  <si>
    <t>Wärmeverteilung, Luftheizung</t>
  </si>
  <si>
    <t>heat distribution system, air heating, specific heat demand 10W/m2/CH U</t>
  </si>
  <si>
    <t>31.001Entsorgung</t>
  </si>
  <si>
    <t>disposal, heat production system, specific heat demand 10W/m2/CH U</t>
  </si>
  <si>
    <t>31.002Entsorgung</t>
  </si>
  <si>
    <t>disposal, heat production system, specific heat demand 30W/m2/CH U</t>
  </si>
  <si>
    <t>31.003Entsorgung</t>
  </si>
  <si>
    <t>disposal, heat production system, specific heat demand 50W/m2/CH U</t>
  </si>
  <si>
    <t>31.016Entsorgung</t>
  </si>
  <si>
    <t>disposal, borehole heat exchanger/CH U</t>
  </si>
  <si>
    <t>31.017Entsorgung</t>
  </si>
  <si>
    <t>disposal, heat pump, brine-water, 8kW/CH U</t>
  </si>
  <si>
    <t>31.018Entsorgung</t>
  </si>
  <si>
    <t>disposal, heat pump, brine-water, per kg/CH U</t>
  </si>
  <si>
    <t>31.019Entsorgung</t>
  </si>
  <si>
    <t>disposal, heat pump, air-water, 8kW/CH U</t>
  </si>
  <si>
    <t>31.020Entsorgung</t>
  </si>
  <si>
    <t>disposal, heat pump, air-water, per kg/CH U</t>
  </si>
  <si>
    <t>31.021Entsorgung</t>
  </si>
  <si>
    <t>disposal of heat distribution system, apartment building/CH U</t>
  </si>
  <si>
    <t>31.022Entsorgung</t>
  </si>
  <si>
    <t>disposal of heat distribution system, office building/CH U</t>
  </si>
  <si>
    <t>31.023Entsorgung</t>
  </si>
  <si>
    <t>disposal of heat dissipation system with radiator/CH U</t>
  </si>
  <si>
    <t>31.024Entsorgung</t>
  </si>
  <si>
    <t>disposal of heat dissipation system with floor heating/CH U</t>
  </si>
  <si>
    <t>31.025Entsorgung</t>
  </si>
  <si>
    <t>disposal of heat dissipation system with heating-cooling ceiling/CH U</t>
  </si>
  <si>
    <t>31.015Entsorgung</t>
  </si>
  <si>
    <t>Entsorgung, Wärmeverteilung, Luftheizung</t>
  </si>
  <si>
    <t>disposal, heat distribution system, air heating, specific heat demand 10W/m2/CH U</t>
  </si>
  <si>
    <t>32.010Herstellung</t>
  </si>
  <si>
    <t>Einzelraumlüfer Fenstermodell 10-30 m3/h, ohne Montage</t>
  </si>
  <si>
    <t>single room ventilator with heat recovery window frame model/p/CH U</t>
  </si>
  <si>
    <t>32.001Herstellung</t>
  </si>
  <si>
    <t>ventilation system, average for appartment buildings, steel ducts, without GHE/CH U</t>
  </si>
  <si>
    <t>32.002Herstellung</t>
  </si>
  <si>
    <t>ventilation system, average for appartment buildings, PE ducts, without GHE/CH U</t>
  </si>
  <si>
    <t>32.003Herstellung</t>
  </si>
  <si>
    <t>exhaust air system for kitchen and bathroom in appartment buildings/CH U</t>
  </si>
  <si>
    <t>32.004Herstellung</t>
  </si>
  <si>
    <t>ground heat exchanger for appartment buildings, PE ducts/CH U</t>
  </si>
  <si>
    <t>32.008Herstellung</t>
  </si>
  <si>
    <t>Erdregister kurz zu Lüftungsanlage Büro (0.27 m/m2 EBF)</t>
  </si>
  <si>
    <t>ground heat exchanger for office buildings, short: 0.267 m/CH U</t>
  </si>
  <si>
    <t>32.009Herstellung</t>
  </si>
  <si>
    <t>Erdregister lang zu Lüftungsanlage Büro (0.67 m/m2 EBF)</t>
  </si>
  <si>
    <t>ground heat exchanger for office buildings, long: 0.667 m/CH U</t>
  </si>
  <si>
    <t>32.011Herstellung</t>
  </si>
  <si>
    <t>Lüftungsanlage, zentral, Mittelwert für 1 m3/(h m2)</t>
  </si>
  <si>
    <t>ventilation system, centralized, average for 1 m3/(h m2)/CH U</t>
  </si>
  <si>
    <t>32.005Herstellung</t>
  </si>
  <si>
    <t>Lüftungsanlage, zentral, Mittelwert für 2 m3/(h m2)</t>
  </si>
  <si>
    <t>ventilation system, centralized, average for 2 m3/(h m2)/CH U</t>
  </si>
  <si>
    <t>32.006Herstellung</t>
  </si>
  <si>
    <t>Lüftungsanlage, zentral, Mittelwert für 4 m3/(h m2)</t>
  </si>
  <si>
    <t>ventilation system, centralized, average for 4 m3/(h m2)/CH U</t>
  </si>
  <si>
    <t>32.007Herstellung</t>
  </si>
  <si>
    <t>Lüftungsanlage, zentral, Mittelwert für 6 m3/(h m2)</t>
  </si>
  <si>
    <t>ventilation system, centralized, average for 6 m3/(h m2)/CH U</t>
  </si>
  <si>
    <t>32.012Herstellung</t>
  </si>
  <si>
    <t>Lüftungsanlage, zentral, Mittelwert für 8 m3/(h m2)</t>
  </si>
  <si>
    <t>ventilation system, centralized, average for 8 m3/(h m2)/CH U</t>
  </si>
  <si>
    <t>32.010Entsorgung</t>
  </si>
  <si>
    <t>disposal, single room ventilator with heat recovery window frame model/p/CH U</t>
  </si>
  <si>
    <t>32.001Entsorgung</t>
  </si>
  <si>
    <t>disposal, ventilation system for appartment buildings, steel ducts, without GHE/CH U</t>
  </si>
  <si>
    <t>32.002Entsorgung</t>
  </si>
  <si>
    <t>disposal, ventilation system for appartment buildings, PE ducts, without GHE/CH U</t>
  </si>
  <si>
    <t>32.003Entsorgung</t>
  </si>
  <si>
    <t>disposal, exhaust air system for kitchen and bathroom in appartment buildings/CH U</t>
  </si>
  <si>
    <t>32.004Entsorgung</t>
  </si>
  <si>
    <t>disposal, ground heat exchanger for appartment buildings, PE ducts/CH U</t>
  </si>
  <si>
    <t>32.008Entsorgung</t>
  </si>
  <si>
    <t>disposal, ground heat exchanger for office buildings, short: 0.267 m/CH U</t>
  </si>
  <si>
    <t>32.009Entsorgung</t>
  </si>
  <si>
    <t>disposal, ground heat exchanger for office buildings, short: 0.667 m/CH U</t>
  </si>
  <si>
    <t>32.011Entsorgung</t>
  </si>
  <si>
    <t>Entsorgung, Lüftungsanlage, zentral, Mittelwert für 1 m3/(h m2)</t>
  </si>
  <si>
    <t>disposal, ventilation system, centralized, average for 1 m3/(h m2)/CH U</t>
  </si>
  <si>
    <t>32.005Entsorgung</t>
  </si>
  <si>
    <t>Entsorgung, Lüftungsanlage, zentral, Mittelwert für 2 m3/(h m2)</t>
  </si>
  <si>
    <t>disposal, ventilation system, centralized, average for 2 m3/(h m2)/CH U</t>
  </si>
  <si>
    <t>32.006Entsorgung</t>
  </si>
  <si>
    <t>Entsorgung, Lüftungsanlage, zentral, Mittelwert für 4 m3/(h m2)</t>
  </si>
  <si>
    <t>disposal, ventilation system, centralized, average for 4 m3/(h m2)/CH U</t>
  </si>
  <si>
    <t>32.007Entsorgung</t>
  </si>
  <si>
    <t>Entsorgung, Lüftungsanlage, zentral, Mittelwert für 6 m3/(h m2)</t>
  </si>
  <si>
    <t>disposal, ventilation system, centralized, average for 6 m3/(h m2)/CH U</t>
  </si>
  <si>
    <t>32.012Entsorgung</t>
  </si>
  <si>
    <t>Entsorgung, Lüftungsanlage, zentral, Mittelwert für 8 m3/(h m2)</t>
  </si>
  <si>
    <t>disposal, ventilation system, centralized, average for 8 m3/(h m2)/CH U</t>
  </si>
  <si>
    <t>33.001Herstellung</t>
  </si>
  <si>
    <t>Büro, einfache Installation, inkl. Apparate und Leitungen, Erstellung</t>
  </si>
  <si>
    <t>office, simple sanitary installation, incl. appliances and pipes, construction/CH U</t>
  </si>
  <si>
    <t>33.001Entsorgung</t>
  </si>
  <si>
    <t>Büro, einfache Installation, inkl. Apparate und Leitungen, Rückbau</t>
  </si>
  <si>
    <t>office, simple sanitary installation, incl. appliances and pipes, deconstruction/CH U</t>
  </si>
  <si>
    <t>33.002Herstellung</t>
  </si>
  <si>
    <t>Büro, aufwändige Installation, inkl. Apparate und Leitungen, Erstellung</t>
  </si>
  <si>
    <t>office, complex sanitary installation, incl. appliances and pipes, construction/CH U</t>
  </si>
  <si>
    <t>33.002Entsorgung</t>
  </si>
  <si>
    <t>Büro, aufwändige Installation, inkl. Apparate und Leitungen, Rückbau</t>
  </si>
  <si>
    <t>office, complex sanitary installation, incl. appliances and pipes, deconstruction/CH U</t>
  </si>
  <si>
    <t>33.003Herstellung</t>
  </si>
  <si>
    <t>Wohnen, inkl. Apparate und Leitungen, Erstellung</t>
  </si>
  <si>
    <t>EKG I, sanitary facilities, residental building, construction/m2/CH/I U</t>
  </si>
  <si>
    <t>33.003Entsorgung</t>
  </si>
  <si>
    <t>Wohnen, inkl. Apparate und Leitungen, Rückbau</t>
  </si>
  <si>
    <t>EKG I, sanitary facilities, residental building, deconstruction/m2/CH/I U</t>
  </si>
  <si>
    <t>34.002Herstellung</t>
  </si>
  <si>
    <t>Büro, Erstellung</t>
  </si>
  <si>
    <t>EKG I, electrical system, office building, construction/m2/CH/I U</t>
  </si>
  <si>
    <t>34.002Entsorgung</t>
  </si>
  <si>
    <t>Büro, Rückbau</t>
  </si>
  <si>
    <t>EKG I, electrical system, office building, deconstruction/m2/CH/I U</t>
  </si>
  <si>
    <t>34.001Herstellung</t>
  </si>
  <si>
    <t>Wohnen, Erstellung</t>
  </si>
  <si>
    <t>EKG I, electrical system, residental building, construction/m2/CH/I U</t>
  </si>
  <si>
    <t>34.001Entsorgung</t>
  </si>
  <si>
    <t>Wohnen, Rückbau</t>
  </si>
  <si>
    <t>EKG I, electrical system, residental building, deconstruction/m2/CH/I U</t>
  </si>
  <si>
    <t>Datenquelle: ecoinvent Datenbestand v2.2:2016 und eigene Berechnungen</t>
  </si>
  <si>
    <t>© treeze Ltd. 2012-2016</t>
  </si>
  <si>
    <t>Kopieren aus "563-Energiesysteme-2016-v0.x.xlsx", PEF-AEW</t>
  </si>
  <si>
    <t>Ausgang Energiewandler</t>
  </si>
  <si>
    <t>Kategorie</t>
  </si>
  <si>
    <t>Primärenergiefaktor erneuerbar am Standort [MJ-eq]</t>
  </si>
  <si>
    <t>Brennstoffe</t>
  </si>
  <si>
    <t>fossil</t>
  </si>
  <si>
    <t>Wärme Heizöl EL</t>
  </si>
  <si>
    <t>Heizkessel Heizöl EL (Brennstoffe: fossil) am Ausgang Energiewandler</t>
  </si>
  <si>
    <t>Wärme Erdgas</t>
  </si>
  <si>
    <t>Heizkessel Erdgas (Brennstoffe: fossil) am Ausgang Energiewandler</t>
  </si>
  <si>
    <t>Wärme Propan/Butan</t>
  </si>
  <si>
    <t>Heizkessel Propan / Butan (Brennstoffe: fossil) am Ausgang Energiewandler</t>
  </si>
  <si>
    <t>Wärme Kohle Koks</t>
  </si>
  <si>
    <t>Heizkessel Kohle Koks (Brennstoffe: fossil) am Ausgang Energiewandler</t>
  </si>
  <si>
    <t>Wärme Kohle Brikett</t>
  </si>
  <si>
    <t>Heizkessel Kohle Brikett (Brennstoffe: fossil) am Ausgang Energiewandler</t>
  </si>
  <si>
    <t>Biomasse</t>
  </si>
  <si>
    <t>Wärme Stückholz</t>
  </si>
  <si>
    <t>Heizkessel Stückholz (Brennstoffe: Biomasse) am Ausgang Energiewandler</t>
  </si>
  <si>
    <t>Wärme Stückholz mit Partikelfilter</t>
  </si>
  <si>
    <t>Heizkessel Stückholz mit Partikelfilter (Brennstoffe: Biomasse) am Ausgang Energiewandler</t>
  </si>
  <si>
    <t xml:space="preserve">Wärme Holzschnitzel </t>
  </si>
  <si>
    <t>Heizkessel Holzschnitzel (Brennstoffe: Biomasse) am Ausgang Energiewandler</t>
  </si>
  <si>
    <t>Wärme Holzschnitzel mit Partikelfilter</t>
  </si>
  <si>
    <t>Heizkessel Holzschnitzel mit Partikelfilter (Brennstoffe: Biomasse) am Ausgang Energiewandler</t>
  </si>
  <si>
    <t>Wärme Pellets</t>
  </si>
  <si>
    <t>Heizkessel Pellets (Brennstoffe: Biomasse) am Ausgang Energiewandler</t>
  </si>
  <si>
    <t>Wärme Pellets mit Partikelfilter</t>
  </si>
  <si>
    <t>Heizkessel Pellets mit Partikelfilter (Brennstoffe: Biomasse) am Ausgang Energiewandler</t>
  </si>
  <si>
    <t>Wärme Biogas</t>
  </si>
  <si>
    <t>Heizkessel Biogas (Brennstoffe: Biomasse) am Ausgang Energiewandler</t>
  </si>
  <si>
    <t>Transport Diesel Lastwagen</t>
  </si>
  <si>
    <t>Lastwagen, Durchschnitt (Treibstoffe: fossil) am Ausgang Energiewandler</t>
  </si>
  <si>
    <t>Aushub mit Baumaschine</t>
  </si>
  <si>
    <t>Aushub maschinell, Durchschnitt (Treibstoffe: fossil) am Ausgang Energiewandler</t>
  </si>
  <si>
    <t>Transport Diesel Personenwagen</t>
  </si>
  <si>
    <t>Personenwagen, Diesel (Treibstoffe: fossil) am Ausgang Energiewandler</t>
  </si>
  <si>
    <t>Transport Benzin Personenwagen</t>
  </si>
  <si>
    <t>Personenwagen, Benzin (Treibstoffe: fossil) am Ausgang Energiewandler</t>
  </si>
  <si>
    <t>Transport Erdgas Personenwagen</t>
  </si>
  <si>
    <t>Personenwagen, Erdgas (Treibstoffe: fossil) am Ausgang Energiewandler</t>
  </si>
  <si>
    <t>Transport Personenwagen elektrisch</t>
  </si>
  <si>
    <t>Personenwagen, elektrisch (Treibstoffe: fossil) am Ausgang Energiewandler</t>
  </si>
  <si>
    <t>Transport Scooter</t>
  </si>
  <si>
    <t>Scooter, Benzin (Treibstoffe: fossil) am Ausgang Energiewandler</t>
  </si>
  <si>
    <t>Transport Flugzeug</t>
  </si>
  <si>
    <t>Flugzeug, Europa (Treibstoffe: fossil) am Ausgang Energiewandler</t>
  </si>
  <si>
    <t>Transport Biogas Personenwagen</t>
  </si>
  <si>
    <t>Personenwagen, Biogas (Treibstoffe: Biomasse) am Ausgang Energiewandler</t>
  </si>
  <si>
    <t>Wärme</t>
  </si>
  <si>
    <t>Klein-Blockheizkraftwerk, Erdgas</t>
  </si>
  <si>
    <t>Kleinblockheizkraftwerk, Erdgas (Wärme: am Gebäudestandort) am Ausgang Energiewandler</t>
  </si>
  <si>
    <t>Flachkollektor Warmwasser EFH</t>
  </si>
  <si>
    <t>Flachkollektor für Warmwasser EFH (Wärme: am Gebäudestandort) am Ausgang Energiewandler</t>
  </si>
  <si>
    <t>Flachkollektor WW und RH EFH</t>
  </si>
  <si>
    <t>Flachkollektor für Raumheizung und Warmwasser EFH (Wärme: am Gebäudestandort) am Ausgang Energiewandler</t>
  </si>
  <si>
    <t>Flachkollektor Warmwasser MFH</t>
  </si>
  <si>
    <t>Flachkollektor für Warmwasser MFH (Wärme: am Gebäudestandort) am Ausgang Energiewandler</t>
  </si>
  <si>
    <t>Röhrenkollektor WW und RH EFH</t>
  </si>
  <si>
    <t>Röhrenkollektor für Raumheizung und Warmwasser EFH (Wärme: am Gebäudestandort) am Ausgang Energiewandler</t>
  </si>
  <si>
    <t>EWP Luft/Wasser (JAZ 2.8)</t>
  </si>
  <si>
    <t>Elektrowärmepumpe Luft / Wasser (JAZ 2.8) (Wärme: am Gebäudestandort) am Ausgang Energiewandler</t>
  </si>
  <si>
    <t>EWP Erdsonde (JAZ 3.9)</t>
  </si>
  <si>
    <t>Elektrowärmepumpe Erdsonden (JAZ 3.9) (Wärme: am Gebäudestandort) am Ausgang Energiewandler</t>
  </si>
  <si>
    <t>EWP Grundwasser (JAZ 3.4)</t>
  </si>
  <si>
    <t>Elektrowärmepumpe Grundwasser (JAZ 3.4) (Wärme: am Gebäudestandort) am Ausgang Energiewandler</t>
  </si>
  <si>
    <t>Elektrizität</t>
  </si>
  <si>
    <t>Kleinblockheizkraftwerk, Erdgas (Elektrizität: am Gebäudestandort) am Ausgang Energiewandler</t>
  </si>
  <si>
    <t>Fotovoltaik</t>
  </si>
  <si>
    <t>Photovoltaik (Elektrizität: am Gebäudestandort) am Ausgang Energiewandler</t>
  </si>
  <si>
    <t>Fotovoltaik Schrägdach</t>
  </si>
  <si>
    <t>Photovoltaik Schrägdach (Elektrizität: am Gebäudestandort) am Ausgang Energiewandler</t>
  </si>
  <si>
    <t>Fotovoltaik Flachdach</t>
  </si>
  <si>
    <t>Photovoltaik Flachdach (Elektrizität: am Gebäudestandort) am Ausgang Energiewandler</t>
  </si>
  <si>
    <t>Fotovoltaik Fassade</t>
  </si>
  <si>
    <t>Photovoltaik Fassade (Elektrizität: am Gebäudestandort) am Ausgang Energiewandler</t>
  </si>
  <si>
    <t>Windkraft (Elektrizität: am Gebäudestandort) am Ausgang Energiewandler</t>
  </si>
  <si>
    <t>Biogas (Elektrizität: am Gebäudestandort) am Ausgang Energiewandler</t>
  </si>
  <si>
    <t>Biogas, Landwirtschaft (Elektrizität: am Gebäudestandort) am Ausgang Energiewandler</t>
  </si>
  <si>
    <t>Bezugsgrösse: Brennstoffe: Nutzenergie; Treibstoffe: Transportdienstleistung beziehungsweise Aushubvolumen</t>
  </si>
  <si>
    <t>Kopieren aus "563-Energiesysteme-2016-v0.x.xlsx", PEF-EGoT</t>
  </si>
  <si>
    <t>Eingang Gebäude / Tank</t>
  </si>
  <si>
    <t>Heizöl EL (Brennstoffe: fossil) am Eingang Gebäude / Tank</t>
  </si>
  <si>
    <t>Erdgas (Brennstoffe: fossil) am Eingang Gebäude / Tank</t>
  </si>
  <si>
    <t>Propan/Butan (Brennstoffe: fossil) am Eingang Gebäude / Tank</t>
  </si>
  <si>
    <t>Kohle Koks (Brennstoffe: fossil) am Eingang Gebäude / Tank</t>
  </si>
  <si>
    <t>Kohle Brikett (Brennstoffe: fossil) am Eingang Gebäude / Tank</t>
  </si>
  <si>
    <t>Stückholz (Brennstoffe: Biomasse) am Eingang Gebäude / Tank</t>
  </si>
  <si>
    <t>Stückholz mit Partikelfilter (Brennstoffe: Biomasse) am Eingang Gebäude / Tank</t>
  </si>
  <si>
    <t xml:space="preserve">Holzschnitzel </t>
  </si>
  <si>
    <t>Holzschnitzel (Brennstoffe: Biomasse) am Eingang Gebäude / Tank</t>
  </si>
  <si>
    <t>Holzschnitzel mit Partikelfilter (Brennstoffe: Biomasse) am Eingang Gebäude / Tank</t>
  </si>
  <si>
    <t>Pellets (Brennstoffe: Biomasse) am Eingang Gebäude / Tank</t>
  </si>
  <si>
    <t>Pellets mit Partikelfilter (Brennstoffe: Biomasse) am Eingang Gebäude / Tank</t>
  </si>
  <si>
    <t>Biogas (Brennstoffe: Biomasse) am Eingang Gebäude / Tank</t>
  </si>
  <si>
    <t>Diesel in Lastwagen (Treibstoffe: fossil) am Eingang Gebäude / Tank</t>
  </si>
  <si>
    <t>Diesel in Baumaschine (Treibstoffe: fossil) am Eingang Gebäude / Tank</t>
  </si>
  <si>
    <t>Diesel in Personenwagen (Treibstoffe: fossil) am Eingang Gebäude / Tank</t>
  </si>
  <si>
    <t>Benzin in Personenwagen (Treibstoffe: fossil) am Eingang Gebäude / Tank</t>
  </si>
  <si>
    <t>Erdgas in Personenwagen (Treibstoffe: fossil) am Eingang Gebäude / Tank</t>
  </si>
  <si>
    <t>Strom in Personenwagen (Treibstoffe: fossil) am Eingang Gebäude / Tank</t>
  </si>
  <si>
    <t>Benzin in Scooter (Treibstoffe: fossil) am Eingang Gebäude / Tank</t>
  </si>
  <si>
    <t>Kerosin in Flugzeug (Treibstoffe: fossil) am Eingang Gebäude / Tank</t>
  </si>
  <si>
    <t>Biogas in Personenwagen (Treibstoffe: Biomasse) am Eingang Gebäude / Tank</t>
  </si>
  <si>
    <t>Heizzentrale Oel (Wärme: Fernwärme) am Eingang Gebäude / Tank</t>
  </si>
  <si>
    <t>Heizzentrale Gas (Wärme: Fernwärme) am Eingang Gebäude / Tank</t>
  </si>
  <si>
    <t>Heizzentrale Holz (Wärme: Fernwärme) am Eingang Gebäude / Tank</t>
  </si>
  <si>
    <t>Heizkraftwerk Holz (Wärme: Fernwärme) am Eingang Gebäude / Tank</t>
  </si>
  <si>
    <t>Heizzentrale EWP Luft/Wasser (JAZ 2.8) (Wärme: Fernwärme) am Eingang Gebäude / Tank</t>
  </si>
  <si>
    <t>Heizzentrale EWP Erdsonde (JAZ 3.9) (Wärme: Fernwärme) am Eingang Gebäude / Tank</t>
  </si>
  <si>
    <t>Heizzentrale EWP Abwasser (JAZ 3.4) (Wärme: Fernwärme) am Eingang Gebäude / Tank</t>
  </si>
  <si>
    <t>Heizzentrale EWP Grundwasser (JAZ 3.4) (Wärme: Fernwärme) am Eingang Gebäude / Tank</t>
  </si>
  <si>
    <t>Heizzentrale Geothermie (Wärme: Fernwärme) am Eingang Gebäude / Tank</t>
  </si>
  <si>
    <t>Heizkraftwerk Geothermie (Wärme: Fernwärme) am Eingang Gebäude / Tank</t>
  </si>
  <si>
    <t>Kehrichtverbrennung (Wärme: Fernwärme) am Eingang Gebäude / Tank</t>
  </si>
  <si>
    <t>Blockheizkraftwerk Diesel (Wärme: Fernwärme) am Eingang Gebäude / Tank</t>
  </si>
  <si>
    <t>Blockheizkraftwerk Gas (Wärme: Fernwärme) am Eingang Gebäude / Tank</t>
  </si>
  <si>
    <t>Blockheizkraftwerk Biogas (Wärme: Fernwärme) am Eingang Gebäude / Tank</t>
  </si>
  <si>
    <t>Blockheizkraftwerk Biogas, Landwirtschaft (Wärme: Fernwärme) am Eingang Gebäude / Tank</t>
  </si>
  <si>
    <t>Fernwärme, Durchschnitt, CH</t>
  </si>
  <si>
    <t>Fernwärme Durchschnitt Netze CH (Wärme: Fernwärme) am Eingang Gebäude / Tank</t>
  </si>
  <si>
    <t>Fernwärme, Durchschnitt, KVA-Netze</t>
  </si>
  <si>
    <t>Fernwärme mit Nutzung Kehrichtwärme, Durchschnitt Netze CH (Wärme: Fernwärme) am Eingang Gebäude / Tank</t>
  </si>
  <si>
    <t>Elektrizitätsbezug via Netz</t>
  </si>
  <si>
    <t>Atomkraftwerk (Elektrizität: Bezug via Netz) am Eingang Gebäude / Tank</t>
  </si>
  <si>
    <t>Erdgaskombikraftwerk GuD (Elektrizität: Bezug via Netz) am Eingang Gebäude / Tank</t>
  </si>
  <si>
    <t>Braunkohlekraftwerk (Dampf)</t>
  </si>
  <si>
    <t>Braunkohlekraftwerk (Elektrizität: Bezug via Netz) am Eingang Gebäude / Tank</t>
  </si>
  <si>
    <t>Steinkohlekraftwerk (Dampf)</t>
  </si>
  <si>
    <t>Steinkohlekraftwerk (Elektrizität: Bezug via Netz) am Eingang Gebäude / Tank</t>
  </si>
  <si>
    <t>Kraftwerk Schweröl (Elektrizität: Bezug via Netz) am Eingang Gebäude / Tank</t>
  </si>
  <si>
    <t>Kehrichtverbrennung (Elektrizität: Bezug via Netz) am Eingang Gebäude / Tank</t>
  </si>
  <si>
    <t>Heizkraftwerk Holz (Elektrizität: Bezug via Netz) am Eingang Gebäude / Tank</t>
  </si>
  <si>
    <t>Blockheizkraftwerk Diesel (Elektrizität: Bezug via Netz) am Eingang Gebäude / Tank</t>
  </si>
  <si>
    <t>Blockheizkraftwerk Gas (Elektrizität: Bezug via Netz) am Eingang Gebäude / Tank</t>
  </si>
  <si>
    <t>Blockheizkraftwerk Biogas (Elektrizität: Bezug via Netz) am Eingang Gebäude / Tank</t>
  </si>
  <si>
    <t>Blockheizkraftwerk Biogas, Landwirtschaft (Elektrizität: Bezug via Netz) am Eingang Gebäude / Tank</t>
  </si>
  <si>
    <t>Photovoltaik (Elektrizität: Bezug via Netz) am Eingang Gebäude / Tank</t>
  </si>
  <si>
    <t>Photovoltaik Schrägdach (Elektrizität: Bezug via Netz) am Eingang Gebäude / Tank</t>
  </si>
  <si>
    <t>Photovoltaik Flachdach (Elektrizität: Bezug via Netz) am Eingang Gebäude / Tank</t>
  </si>
  <si>
    <t>Photovoltaik Fassade (Elektrizität: Bezug via Netz) am Eingang Gebäude / Tank</t>
  </si>
  <si>
    <t>Windkraft (Elektrizität: Bezug via Netz) am Eingang Gebäude / Tank</t>
  </si>
  <si>
    <t>Wasserkraft (Elektrizität: Bezug via Netz) am Eingang Gebäude / Tank</t>
  </si>
  <si>
    <t>Pumpspeicherung (Elektrizität: Bezug via Netz) am Eingang Gebäude / Tank</t>
  </si>
  <si>
    <t>Heizkraftwerk Geothermie (Elektrizität: Bezug via Netz) am Eingang Gebäude / Tank</t>
  </si>
  <si>
    <t>CH-Produktionsmix (Elektrizität: Bezug via Netz) am Eingang Gebäude / Tank</t>
  </si>
  <si>
    <t>Mix zertifizierte Stromprodukte CH</t>
  </si>
  <si>
    <t>Mix zertifizierte Stromprodukte CH (Elektrizität: Bezug via Netz) am Eingang Gebäude / Tank</t>
  </si>
  <si>
    <t>CH-Verbrauchermix</t>
  </si>
  <si>
    <t>CH-Verbrauchermix (Elektrizität: Bezug via Netz) am Eingang Gebäude / Tank</t>
  </si>
  <si>
    <t>ENTSO-E-Mix</t>
  </si>
  <si>
    <t>ENTSO-E-Mix (ehemals UCTE-Mix) (Elektrizität: Bezug via Netz) am Eingang Gebäude / Tank</t>
  </si>
  <si>
    <t>Bezugsgrösse: Brenn- und Treibstoffe: oberer Heizwert; Fernwärme und Elektrizität: in Gebäude gelieferte Energie</t>
  </si>
  <si>
    <t>Kopieren aus "563-Transporte-2016-v0.x.xlsx"</t>
  </si>
  <si>
    <t>Transporte</t>
  </si>
  <si>
    <t>Bereich</t>
  </si>
  <si>
    <t>Auslastung Durchschnitt
[t] oder [Pers.]</t>
  </si>
  <si>
    <t>62.001Total</t>
  </si>
  <si>
    <t>Aushub maschinell, Durchschnitt-Total</t>
  </si>
  <si>
    <t>excavation, hydraulic digger, average/CH U</t>
  </si>
  <si>
    <t>62.001Betrieb</t>
  </si>
  <si>
    <t>Aushub maschinell, Durchschnitt-Betrieb</t>
  </si>
  <si>
    <t>excavation, hydraulic digger, average, Betrieb/CH U</t>
  </si>
  <si>
    <t>62.001Infrastruktur</t>
  </si>
  <si>
    <t>Aushub maschinell, Durchschnitt-Infrastruktur</t>
  </si>
  <si>
    <t>62.001Fahrzeug</t>
  </si>
  <si>
    <t>Aushub maschinell, Durchschnitt-Fahrzeug</t>
  </si>
  <si>
    <t>excavation, hydraulic digger, average, Fahrzeug/CH U</t>
  </si>
  <si>
    <t>62.014Total</t>
  </si>
  <si>
    <t>Aushub maschinell, mit PF-Total</t>
  </si>
  <si>
    <t>excavation, hydraulic digger, with particle filter/CH U</t>
  </si>
  <si>
    <t>62.014Betrieb</t>
  </si>
  <si>
    <t>Aushub maschinell, mit PF-Betrieb</t>
  </si>
  <si>
    <t>excavation, hydraulic digger, with particle filter, Betrieb/CH U</t>
  </si>
  <si>
    <t>62.014Infrastruktur</t>
  </si>
  <si>
    <t>Aushub maschinell, mit PF-Infrastruktur</t>
  </si>
  <si>
    <t>62.014Fahrzeug</t>
  </si>
  <si>
    <t>Aushub maschinell, mit PF-Fahrzeug</t>
  </si>
  <si>
    <t>62.015Total</t>
  </si>
  <si>
    <t>Aushub maschinell, ohne PF-Total</t>
  </si>
  <si>
    <t>excavation, hydraulic digger, without particle filter/CH U</t>
  </si>
  <si>
    <t>62.015Betrieb</t>
  </si>
  <si>
    <t>Aushub maschinell, ohne PF-Betrieb</t>
  </si>
  <si>
    <t>excavation, hydraulic digger, without particle filter, Betrieb/CH U</t>
  </si>
  <si>
    <t>62.015Infrastruktur</t>
  </si>
  <si>
    <t>Aushub maschinell, ohne PF-Infrastruktur</t>
  </si>
  <si>
    <t>62.015Fahrzeug</t>
  </si>
  <si>
    <t>Aushub maschinell, ohne PF-Fahrzeug</t>
  </si>
  <si>
    <t>62.002Total</t>
  </si>
  <si>
    <t>Binnenschiff-Total</t>
  </si>
  <si>
    <t>Transport, barge (proj. 500)/RER U</t>
  </si>
  <si>
    <t>62.002Betrieb</t>
  </si>
  <si>
    <t>Binnenschiff-Betrieb</t>
  </si>
  <si>
    <t>Transport, barge (proj. 500), Betrieb/RER U</t>
  </si>
  <si>
    <t>62.002Infrastruktur</t>
  </si>
  <si>
    <t>Binnenschiff-Infrastruktur</t>
  </si>
  <si>
    <t>Transport, barge (proj. 500), Infrastruktur/RER U</t>
  </si>
  <si>
    <t>62.002Fahrzeug</t>
  </si>
  <si>
    <t>Binnenschiff-Fahrzeug</t>
  </si>
  <si>
    <t>Transport, barge (proj. 500), Fahrzeug/RER U</t>
  </si>
  <si>
    <t>62.003Total</t>
  </si>
  <si>
    <t>Güterzug-Total</t>
  </si>
  <si>
    <t>Transport, freight, rail (proj.500)/CH U</t>
  </si>
  <si>
    <t>62.003Betrieb</t>
  </si>
  <si>
    <t>Güterzug-Betrieb</t>
  </si>
  <si>
    <t>Transport, freight, rail (proj.500), Betrieb/CH U</t>
  </si>
  <si>
    <t>62.003Infrastruktur</t>
  </si>
  <si>
    <t>Güterzug-Infrastruktur</t>
  </si>
  <si>
    <t>Transport, freight, rail (proj.500), Infrastruktur/CH U</t>
  </si>
  <si>
    <t>62.003Fahrzeug</t>
  </si>
  <si>
    <t>Güterzug-Fahrzeug</t>
  </si>
  <si>
    <t>Transport, freight, rail (proj.500), Fahrzeug/CH U</t>
  </si>
  <si>
    <t>62.004Total</t>
  </si>
  <si>
    <t>Helikopter-Total</t>
  </si>
  <si>
    <t>Transport, helicopter (proj. 500)/GLO U</t>
  </si>
  <si>
    <t>62.004Betrieb</t>
  </si>
  <si>
    <t>Helikopter-Betrieb</t>
  </si>
  <si>
    <t>Transport, helicopter (proj. 500), Betrieb/GLO U</t>
  </si>
  <si>
    <t>62.004Infrastruktur</t>
  </si>
  <si>
    <t>Helikopter-Infrastruktur</t>
  </si>
  <si>
    <t>62.004Fahrzeug</t>
  </si>
  <si>
    <t>Helikopter-Fahrzeug</t>
  </si>
  <si>
    <t>Transport, helicopter (proj. 500), Fahrzeug/GLO U</t>
  </si>
  <si>
    <t>62.005Total</t>
  </si>
  <si>
    <t>Hochseeschiff-Total</t>
  </si>
  <si>
    <t>Transport, transoceanic freight ship (proj. 500)/OCE U</t>
  </si>
  <si>
    <t>62.005Betrieb</t>
  </si>
  <si>
    <t>Hochseeschiff-Betrieb</t>
  </si>
  <si>
    <t>Transport, transoceanic freight ship (proj. 500), Betrieb/OCE U</t>
  </si>
  <si>
    <t>62.005Infrastruktur</t>
  </si>
  <si>
    <t>Hochseeschiff-Infrastruktur</t>
  </si>
  <si>
    <t>Transport, transoceanic freight ship (proj. 500), Infrastruktur/OCE U</t>
  </si>
  <si>
    <t>62.005Fahrzeug</t>
  </si>
  <si>
    <t>Hochseeschiff-Fahrzeug</t>
  </si>
  <si>
    <t>Transport, transoceanic freight ship (proj. 500), Fahrzeug/OCE U</t>
  </si>
  <si>
    <t>62.006Total</t>
  </si>
  <si>
    <t>Hochseetanker-Total</t>
  </si>
  <si>
    <t>Transport, transoceanic tanker (proj. 500)/OCE U</t>
  </si>
  <si>
    <t>62.006Betrieb</t>
  </si>
  <si>
    <t>Hochseetanker-Betrieb</t>
  </si>
  <si>
    <t>Transport, transoceanic tanker (proj. 500), Betrieb/OCE U</t>
  </si>
  <si>
    <t>62.006Infrastruktur</t>
  </si>
  <si>
    <t>Hochseetanker-Infrastruktur</t>
  </si>
  <si>
    <t>Transport, transoceanic tanker (proj. 500), Infrastruktur/OCE U</t>
  </si>
  <si>
    <t>62.006Fahrzeug</t>
  </si>
  <si>
    <t>Hochseetanker-Fahrzeug</t>
  </si>
  <si>
    <t>Transport, transoceanic tanker (proj. 500), Fahrzeug/OCE U</t>
  </si>
  <si>
    <t>62.007Total</t>
  </si>
  <si>
    <t>Kleintransporter (&lt;3.5t)</t>
  </si>
  <si>
    <t>Kleintransporter (&lt;3.5t)-Total</t>
  </si>
  <si>
    <t>Transport, van &lt;3.5t (proj. 500)/CH U</t>
  </si>
  <si>
    <t>62.007Betrieb</t>
  </si>
  <si>
    <t>Kleintransporter (&lt;3.5t)-Betrieb</t>
  </si>
  <si>
    <t>Transport, van &lt;3.5t (proj. 500), Betrieb/CH U</t>
  </si>
  <si>
    <t>62.007Infrastruktur</t>
  </si>
  <si>
    <t>Kleintransporter (&lt;3.5t)-Infrastruktur</t>
  </si>
  <si>
    <t>Transport, van &lt;3.5t (proj. 500), Infrastruktur/CH U</t>
  </si>
  <si>
    <t>62.007Fahrzeug</t>
  </si>
  <si>
    <t>Kleintransporter (&lt;3.5t)-Fahrzeug</t>
  </si>
  <si>
    <t>Transport, van &lt;3.5t (proj. 500), Fahrzeug/CH U</t>
  </si>
  <si>
    <t>62.016Total</t>
  </si>
  <si>
    <t>Lastwagen, Durchschnitt-Total</t>
  </si>
  <si>
    <t>transport, freight, lorry, fleet average/CH U</t>
  </si>
  <si>
    <t>62.016Betrieb</t>
  </si>
  <si>
    <t>Lastwagen, Durchschnitt-Betrieb</t>
  </si>
  <si>
    <t>transport, freight, lorry, fleet average, Betrieb/CH U</t>
  </si>
  <si>
    <t>62.016Infrastruktur</t>
  </si>
  <si>
    <t>Lastwagen, Durchschnitt-Infrastruktur</t>
  </si>
  <si>
    <t>transport, freight, lorry, fleet average, Infrastruktur/CH U</t>
  </si>
  <si>
    <t>62.016Fahrzeug</t>
  </si>
  <si>
    <t>Lastwagen, Durchschnitt-Fahrzeug</t>
  </si>
  <si>
    <t>transport, freight, lorry, fleet average, Fahrzeug/CH U</t>
  </si>
  <si>
    <t>62.017Total</t>
  </si>
  <si>
    <t>Lastwagen 3.5t-7.5t</t>
  </si>
  <si>
    <t>Lastwagen 3.5t-7.5t-Total</t>
  </si>
  <si>
    <t>transport, freight, lorry 3.5-7.5 metric ton, fleet average/CH U</t>
  </si>
  <si>
    <t>62.017Betrieb</t>
  </si>
  <si>
    <t>Lastwagen 3.5t-7.5t-Betrieb</t>
  </si>
  <si>
    <t>transport, freight, lorry 3.5-7.5 metric ton, fleet average, Betrieb/CH U</t>
  </si>
  <si>
    <t>62.017Infrastruktur</t>
  </si>
  <si>
    <t>Lastwagen 3.5t-7.5t-Infrastruktur</t>
  </si>
  <si>
    <t>transport, freight, lorry 3.5-7.5 metric ton, fleet average, Infrastruktur/CH U</t>
  </si>
  <si>
    <t>62.017Fahrzeug</t>
  </si>
  <si>
    <t>Lastwagen 3.5t-7.5t-Fahrzeug</t>
  </si>
  <si>
    <t>transport, freight, lorry 3.5-7.5 metric ton, fleet average, Fahrzeug/CH U</t>
  </si>
  <si>
    <t>62.009Total</t>
  </si>
  <si>
    <t>Lastwagen 7.5-16t</t>
  </si>
  <si>
    <t>Lastwagen 7.5-16t-Total</t>
  </si>
  <si>
    <t>transport, freight, lorry 7.5-16 metric ton, fleet average/CH U</t>
  </si>
  <si>
    <t>62.009Betrieb</t>
  </si>
  <si>
    <t>Lastwagen 7.5-16t-Betrieb</t>
  </si>
  <si>
    <t>transport, freight, lorry 7.5-16 metric ton, fleet average, Betrieb/CH U</t>
  </si>
  <si>
    <t>62.009Infrastruktur</t>
  </si>
  <si>
    <t>Lastwagen 7.5-16t-Infrastruktur</t>
  </si>
  <si>
    <t>transport, freight, lorry 7.5-16 metric ton, fleet average, Infrastruktur/CH U</t>
  </si>
  <si>
    <t>62.009Fahrzeug</t>
  </si>
  <si>
    <t>Lastwagen 7.5-16t-Fahrzeug</t>
  </si>
  <si>
    <t>transport, freight, lorry 7.5-16 metric ton, fleet average, Fahrzeug/CH U</t>
  </si>
  <si>
    <t>62.008Total</t>
  </si>
  <si>
    <t>Lastwagen 16-32t</t>
  </si>
  <si>
    <t>Lastwagen 16-32t-Total</t>
  </si>
  <si>
    <t>transport, freight, lorry 16-32 metric ton, fleet average/CH U</t>
  </si>
  <si>
    <t>62.008Betrieb</t>
  </si>
  <si>
    <t>Lastwagen 16-32t-Betrieb</t>
  </si>
  <si>
    <t>transport, freight, lorry 16-32 metric ton, fleet average, Betrieb/CH U</t>
  </si>
  <si>
    <t>62.008Infrastruktur</t>
  </si>
  <si>
    <t>Lastwagen 16-32t-Infrastruktur</t>
  </si>
  <si>
    <t>transport, freight, lorry 16-32 metric ton, fleet average, Infrastruktur/CH U</t>
  </si>
  <si>
    <t>62.008Fahrzeug</t>
  </si>
  <si>
    <t>Lastwagen 16-32t-Fahrzeug</t>
  </si>
  <si>
    <t>transport, freight, lorry 16-32 metric ton, fleet average, Fahrzeug/CH U</t>
  </si>
  <si>
    <t>62.010Total</t>
  </si>
  <si>
    <t>Lastwagen 32-40t</t>
  </si>
  <si>
    <t>Lastwagen 32-40t-Total</t>
  </si>
  <si>
    <t>transport, freight, lorry 32-40 metric ton, fleet average/CH U</t>
  </si>
  <si>
    <t>62.010Betrieb</t>
  </si>
  <si>
    <t>Lastwagen 32-40t-Betrieb</t>
  </si>
  <si>
    <t>transport, freight, lorry 32-40 metric ton, fleet average, Betrieb/CH U</t>
  </si>
  <si>
    <t>62.010Infrastruktur</t>
  </si>
  <si>
    <t>Lastwagen 32-40t-Infrastruktur</t>
  </si>
  <si>
    <t>transport, freight, lorry 32-40 metric ton, fleet average, Infrastruktur/CH U</t>
  </si>
  <si>
    <t>62.010Fahrzeug</t>
  </si>
  <si>
    <t>Lastwagen 32-40t-Fahrzeug</t>
  </si>
  <si>
    <t>transport, freight, lorry 32-40 metric ton, fleet average, Fahrzeug/CH U</t>
  </si>
  <si>
    <t>62.011Total</t>
  </si>
  <si>
    <t>Flugzeug, Durchschnitt1</t>
  </si>
  <si>
    <t>Güter-Transporte-Flugzeug, Durchschnitt1-Total</t>
  </si>
  <si>
    <t>Transport, aircraft, freight (proj. 500)/RER U</t>
  </si>
  <si>
    <t>62.011Betrieb</t>
  </si>
  <si>
    <t>Güter-Transporte-Flugzeug, Durchschnitt1-Betrieb</t>
  </si>
  <si>
    <t>Transport, aircraft, freight (proj. 500), Betrieb/RER U</t>
  </si>
  <si>
    <t>62.011Infrastruktur</t>
  </si>
  <si>
    <t>Güter-Transporte-Flugzeug, Durchschnitt1-Infrastruktur</t>
  </si>
  <si>
    <t>Transport, aircraft, freight (proj. 500), Infrastruktur/RER U</t>
  </si>
  <si>
    <t>62.011Fahrzeug</t>
  </si>
  <si>
    <t>Güter-Transporte-Flugzeug, Durchschnitt1-Fahrzeug</t>
  </si>
  <si>
    <t>Transport, aircraft, freight (proj. 500), Fahrzeug/RER U</t>
  </si>
  <si>
    <t>62.012Total</t>
  </si>
  <si>
    <t>Flugzeug, Europa1</t>
  </si>
  <si>
    <t>Güter-Transporte-Flugzeug, Europa1-Total</t>
  </si>
  <si>
    <t>Transport, aircraft, freight, Europe/RER U</t>
  </si>
  <si>
    <t>62.012Betrieb</t>
  </si>
  <si>
    <t>Güter-Transporte-Flugzeug, Europa1-Betrieb</t>
  </si>
  <si>
    <t>Transport, aircraft, freight, Europe, Betrieb/RER U</t>
  </si>
  <si>
    <t>62.012Infrastruktur</t>
  </si>
  <si>
    <t>Güter-Transporte-Flugzeug, Europa1-Infrastruktur</t>
  </si>
  <si>
    <t>Transport, aircraft, freight, Europe, Infrastruktur/RER U</t>
  </si>
  <si>
    <t>62.012Fahrzeug</t>
  </si>
  <si>
    <t>Güter-Transporte-Flugzeug, Europa1-Fahrzeug</t>
  </si>
  <si>
    <t>Transport, aircraft, freight, Europe, Fahrzeug/RER U</t>
  </si>
  <si>
    <t>62.013Total</t>
  </si>
  <si>
    <t>Flugzeug, Interkontintental1</t>
  </si>
  <si>
    <t>Güter-Transporte-Flugzeug, Interkontintental1-Total</t>
  </si>
  <si>
    <t>Transport, aircraft, freight, intercontinental/RER U</t>
  </si>
  <si>
    <t>62.013Betrieb</t>
  </si>
  <si>
    <t>Güter-Transporte-Flugzeug, Interkontintental1-Betrieb</t>
  </si>
  <si>
    <t>Transport, aircraft, freight, intercontinental, Betrieb/RER U</t>
  </si>
  <si>
    <t>62.013Infrastruktur</t>
  </si>
  <si>
    <t>Güter-Transporte-Flugzeug, Interkontintental1-Infrastruktur</t>
  </si>
  <si>
    <t>Transport, aircraft, freight, intercontinental, Infrastruktur/RER U</t>
  </si>
  <si>
    <t>62.013Fahrzeug</t>
  </si>
  <si>
    <t>Güter-Transporte-Flugzeug, Interkontintental1-Fahrzeug</t>
  </si>
  <si>
    <t>Transport, aircraft, freight, intercontinental, Fahrzeug/RER U</t>
  </si>
  <si>
    <t>63.001Total</t>
  </si>
  <si>
    <t>Fernreisezug Schweiz-Total</t>
  </si>
  <si>
    <t>Transport, long-distance train, SBB mix/CH U</t>
  </si>
  <si>
    <t>63.001Betrieb</t>
  </si>
  <si>
    <t>Fernreisezug Schweiz-Betrieb</t>
  </si>
  <si>
    <t>Transport, long-distance train, SBB mix, Betrieb/CH U</t>
  </si>
  <si>
    <t>63.001Infrastruktur</t>
  </si>
  <si>
    <t>Fernreisezug Schweiz-Infrastruktur</t>
  </si>
  <si>
    <t>Transport, long-distance train, SBB mix, Infrastruktur/CH U</t>
  </si>
  <si>
    <t>63.001Fahrzeug</t>
  </si>
  <si>
    <t>Fernreisezug Schweiz-Fahrzeug</t>
  </si>
  <si>
    <t>Transport, long-distance train, SBB mix, Fahrzeug/CH U</t>
  </si>
  <si>
    <t>63.002Total</t>
  </si>
  <si>
    <t>Fernreisezug Deutschland, ICE-Total</t>
  </si>
  <si>
    <t>Transport, high speed train/DE U</t>
  </si>
  <si>
    <t>63.002Betrieb</t>
  </si>
  <si>
    <t>Fernreisezug Deutschland, ICE-Betrieb</t>
  </si>
  <si>
    <t>Transport, high speed train, Betrieb/DE U</t>
  </si>
  <si>
    <t>63.002Infrastruktur</t>
  </si>
  <si>
    <t>Fernreisezug Deutschland, ICE-Infrastruktur</t>
  </si>
  <si>
    <t>Transport, high speed train, Infrastruktur/DE U</t>
  </si>
  <si>
    <t>63.002Fahrzeug</t>
  </si>
  <si>
    <t>Fernreisezug Deutschland, ICE-Fahrzeug</t>
  </si>
  <si>
    <t>Transport, high speed train, Fahrzeug/DE U</t>
  </si>
  <si>
    <t>63.003Total</t>
  </si>
  <si>
    <t>Autobus-Total</t>
  </si>
  <si>
    <t>Transport, regular bus/CH U</t>
  </si>
  <si>
    <t>63.003Betrieb</t>
  </si>
  <si>
    <t>Autobus-Betrieb</t>
  </si>
  <si>
    <t>Transport, regular bus, Betrieb/CH U</t>
  </si>
  <si>
    <t>63.003Infrastruktur</t>
  </si>
  <si>
    <t>Autobus-Infrastruktur</t>
  </si>
  <si>
    <t>Transport, regular bus, Infrastruktur/CH U</t>
  </si>
  <si>
    <t>63.003Fahrzeug</t>
  </si>
  <si>
    <t>Autobus-Fahrzeug</t>
  </si>
  <si>
    <t>Transport, regular bus, Fahrzeug/CH U</t>
  </si>
  <si>
    <t>63.004Total</t>
  </si>
  <si>
    <t>Personen-Transporte-Flugzeug, Durchschnitt1-Total</t>
  </si>
  <si>
    <t>Transport, aircraft, passenger/RER U</t>
  </si>
  <si>
    <t>63.004Betrieb</t>
  </si>
  <si>
    <t>Personen-Transporte-Flugzeug, Durchschnitt1-Betrieb</t>
  </si>
  <si>
    <t>Transport, aircraft, passenger, Betrieb/RER U</t>
  </si>
  <si>
    <t>63.004Infrastruktur</t>
  </si>
  <si>
    <t>Personen-Transporte-Flugzeug, Durchschnitt1-Infrastruktur</t>
  </si>
  <si>
    <t>Transport, aircraft, passenger, Infrastruktur/RER U</t>
  </si>
  <si>
    <t>63.004Fahrzeug</t>
  </si>
  <si>
    <t>Personen-Transporte-Flugzeug, Durchschnitt1-Fahrzeug</t>
  </si>
  <si>
    <t>Transport, aircraft, passenger, Fahrzeug/RER U</t>
  </si>
  <si>
    <t>63.005Total</t>
  </si>
  <si>
    <t>Personen-Transporte-Flugzeug, Europa1-Total</t>
  </si>
  <si>
    <t>Transport, aircraft, passenger, Europe/RER U</t>
  </si>
  <si>
    <t>63.005Betrieb</t>
  </si>
  <si>
    <t>Personen-Transporte-Flugzeug, Europa1-Betrieb</t>
  </si>
  <si>
    <t>Transport, aircraft, passenger, Europe, Betrieb/RER U</t>
  </si>
  <si>
    <t>63.005Infrastruktur</t>
  </si>
  <si>
    <t>Personen-Transporte-Flugzeug, Europa1-Infrastruktur</t>
  </si>
  <si>
    <t>Transport, aircraft, passenger, Europe, Infrastruktur/RER U</t>
  </si>
  <si>
    <t>63.005Fahrzeug</t>
  </si>
  <si>
    <t>Personen-Transporte-Flugzeug, Europa1-Fahrzeug</t>
  </si>
  <si>
    <t>Transport, aircraft, passenger, Europe, Fahrzeug/RER U</t>
  </si>
  <si>
    <t>63.006Total</t>
  </si>
  <si>
    <t>Personen-Transporte-Flugzeug, Interkontintental1-Total</t>
  </si>
  <si>
    <t>Transport, aircraft, passenger, intercontinental/RER U</t>
  </si>
  <si>
    <t>63.006Betrieb</t>
  </si>
  <si>
    <t>Personen-Transporte-Flugzeug, Interkontintental1-Betrieb</t>
  </si>
  <si>
    <t>Transport, aircraft, passenger, intercontinental, Betrieb/RER U</t>
  </si>
  <si>
    <t>63.006Infrastruktur</t>
  </si>
  <si>
    <t>Personen-Transporte-Flugzeug, Interkontintental1-Infrastruktur</t>
  </si>
  <si>
    <t>Transport, aircraft, passenger, intercontinental, Infrastruktur/RER U</t>
  </si>
  <si>
    <t>63.006Fahrzeug</t>
  </si>
  <si>
    <t>Personen-Transporte-Flugzeug, Interkontintental1-Fahrzeug</t>
  </si>
  <si>
    <t>Transport, aircraft, passenger, intercontinental, Fahrzeug/RER U</t>
  </si>
  <si>
    <t>63.007Total</t>
  </si>
  <si>
    <t>Personenwagen, Durchschnitt-Total</t>
  </si>
  <si>
    <t>Transport, passenger car (proj. 500)/CH U</t>
  </si>
  <si>
    <t>63.007Betrieb</t>
  </si>
  <si>
    <t>Personenwagen, Durchschnitt-Betrieb</t>
  </si>
  <si>
    <t>Transport, passenger car (proj. 500), Betrieb/CH U</t>
  </si>
  <si>
    <t>63.007Infrastruktur</t>
  </si>
  <si>
    <t>Personenwagen, Durchschnitt-Infrastruktur</t>
  </si>
  <si>
    <t>Transport, passenger car (proj. 500), Infrastruktur/CH U</t>
  </si>
  <si>
    <t>63.007Fahrzeug</t>
  </si>
  <si>
    <t>Personenwagen, Durchschnitt-Fahrzeug</t>
  </si>
  <si>
    <t>Transport, passenger car (proj. 500), Fahrzeug/CH U</t>
  </si>
  <si>
    <t>63.008Total</t>
  </si>
  <si>
    <t>Personenwagen, Benzin-Total</t>
  </si>
  <si>
    <t>Transport, passenger car, petrol, fleet average/CH U</t>
  </si>
  <si>
    <t>63.008Betrieb</t>
  </si>
  <si>
    <t>Personenwagen, Benzin-Betrieb</t>
  </si>
  <si>
    <t>Transport, passenger car, petrol, fleet average, Betrieb/CH U</t>
  </si>
  <si>
    <t>63.008Infrastruktur</t>
  </si>
  <si>
    <t>Personenwagen, Benzin-Infrastruktur</t>
  </si>
  <si>
    <t>Transport, passenger car, petrol, fleet average, Infrastruktur/CH U</t>
  </si>
  <si>
    <t>63.008Fahrzeug</t>
  </si>
  <si>
    <t>Personenwagen, Benzin-Fahrzeug</t>
  </si>
  <si>
    <t>Transport, passenger car, petrol, fleet average, Fahrzeug/CH U</t>
  </si>
  <si>
    <t>63.009Total</t>
  </si>
  <si>
    <t>Personenwagen, Diesel-Total</t>
  </si>
  <si>
    <t>Transport, passenger car, diesel, fleet average/CH U</t>
  </si>
  <si>
    <t>63.009Betrieb</t>
  </si>
  <si>
    <t>Personenwagen, Diesel-Betrieb</t>
  </si>
  <si>
    <t>Transport, passenger car, diesel, fleet average, Betrieb/CH U</t>
  </si>
  <si>
    <t>63.009Infrastruktur</t>
  </si>
  <si>
    <t>Personenwagen, Diesel-Infrastruktur</t>
  </si>
  <si>
    <t>Transport, passenger car, diesel, fleet average, Infrastruktur/CH U</t>
  </si>
  <si>
    <t>63.009Fahrzeug</t>
  </si>
  <si>
    <t>Personenwagen, Diesel-Fahrzeug</t>
  </si>
  <si>
    <t>Transport, passenger car, diesel, fleet average, Fahrzeug/CH U</t>
  </si>
  <si>
    <t>63.015Total</t>
  </si>
  <si>
    <t>Personenwagen, Erdgas-Total</t>
  </si>
  <si>
    <t>Transport, passenger car, natural gas/CH U</t>
  </si>
  <si>
    <t>63.015Betrieb</t>
  </si>
  <si>
    <t>Personenwagen, Erdgas-Betrieb</t>
  </si>
  <si>
    <t>Transport, passenger car, natural gas, Betrieb/CH U</t>
  </si>
  <si>
    <t>63.015Infrastruktur</t>
  </si>
  <si>
    <t>Personenwagen, Erdgas-Infrastruktur</t>
  </si>
  <si>
    <t>Transport, passenger car, natural gas, Infrastruktur/CH U</t>
  </si>
  <si>
    <t>63.015Fahrzeug</t>
  </si>
  <si>
    <t>Personenwagen, Erdgas-Fahrzeug</t>
  </si>
  <si>
    <t>Transport, passenger car, natural gas, Fahrzeug/CH U</t>
  </si>
  <si>
    <t>63.014Total</t>
  </si>
  <si>
    <t>Personenwagen, Biogas-Total</t>
  </si>
  <si>
    <t>Transport, passenger car, methane, 96 vol-%, from biogas/CH U</t>
  </si>
  <si>
    <t>63.014Betrieb</t>
  </si>
  <si>
    <t>Personenwagen, Biogas-Betrieb</t>
  </si>
  <si>
    <t>Transport, passenger car, methane, 96 vol-%, from biogas, Betrieb/CH U</t>
  </si>
  <si>
    <t>63.014Infrastruktur</t>
  </si>
  <si>
    <t>Personenwagen, Biogas-Infrastruktur</t>
  </si>
  <si>
    <t>Transport, passenger car, methane, 96 vol-%, from biogas, Infrastruktur/CH U</t>
  </si>
  <si>
    <t>63.014Fahrzeug</t>
  </si>
  <si>
    <t>Personenwagen, Biogas-Fahrzeug</t>
  </si>
  <si>
    <t>Transport, passenger car, methane, 96 vol-%, from biogas, Fahrzeug/CH U</t>
  </si>
  <si>
    <t>63.016Total</t>
  </si>
  <si>
    <t>Personenwagen, elektrisch-Total</t>
  </si>
  <si>
    <t>transport, passenger car, electric, LiMn2O4 (proj. 500)/CH U</t>
  </si>
  <si>
    <t>63.016Betrieb</t>
  </si>
  <si>
    <t>Personenwagen, elektrisch-Betrieb</t>
  </si>
  <si>
    <t>transport, passenger car, electric, LiMn2O4 (proj. 500), Betrieb/CH U</t>
  </si>
  <si>
    <t>63.016Infrastruktur</t>
  </si>
  <si>
    <t>Personenwagen, elektrisch-Infrastruktur</t>
  </si>
  <si>
    <t>transport, passenger car, electric, LiMn2O4 (proj. 500), Infrastruktur/CH U</t>
  </si>
  <si>
    <t>63.016Fahrzeug</t>
  </si>
  <si>
    <t>Personenwagen, elektrisch-Fahrzeug</t>
  </si>
  <si>
    <t>transport, passenger car, electric, LiMn2O4 (proj. 500), Fahrzeug/CH U</t>
  </si>
  <si>
    <t>63.017Total</t>
  </si>
  <si>
    <t>Scooter, Benzin-Total</t>
  </si>
  <si>
    <t>Transport, scooter/CH U</t>
  </si>
  <si>
    <t>63.017Betrieb</t>
  </si>
  <si>
    <t>Scooter, Benzin-Betrieb</t>
  </si>
  <si>
    <t>Transport, scooter, Betrieb/CH U</t>
  </si>
  <si>
    <t>63.017Infrastruktur</t>
  </si>
  <si>
    <t>Scooter, Benzin-Infrastruktur</t>
  </si>
  <si>
    <t>Transport, scooter, Infrastruktur/CH U</t>
  </si>
  <si>
    <t>63.017Fahrzeug</t>
  </si>
  <si>
    <t>Scooter, Benzin-Fahrzeug</t>
  </si>
  <si>
    <t>Transport, scooter, Fahrzeug/CH U</t>
  </si>
  <si>
    <t>63.010Total</t>
  </si>
  <si>
    <t>Regionalzug-Total</t>
  </si>
  <si>
    <t>Transport, regional train, SBB mix/CH U</t>
  </si>
  <si>
    <t>63.010Betrieb</t>
  </si>
  <si>
    <t>Regionalzug-Betrieb</t>
  </si>
  <si>
    <t>Transport, regional train, SBB mix, Betrieb/CH U</t>
  </si>
  <si>
    <t>63.010Infrastruktur</t>
  </si>
  <si>
    <t>Regionalzug-Infrastruktur</t>
  </si>
  <si>
    <t>Transport, regional train, SBB mix, Infrastruktur/CH U</t>
  </si>
  <si>
    <t>63.010Fahrzeug</t>
  </si>
  <si>
    <t>Regionalzug-Fahrzeug</t>
  </si>
  <si>
    <t>Transport, regional train, SBB mix, Fahrzeug/CH U</t>
  </si>
  <si>
    <t>63.011Total</t>
  </si>
  <si>
    <t>Reisebus-Total</t>
  </si>
  <si>
    <t>Transport, coach/CH U</t>
  </si>
  <si>
    <t>63.011Betrieb</t>
  </si>
  <si>
    <t>Reisebus-Betrieb</t>
  </si>
  <si>
    <t>Transport, coach, Betrieb/CH U</t>
  </si>
  <si>
    <t>63.011Infrastruktur</t>
  </si>
  <si>
    <t>Reisebus-Infrastruktur</t>
  </si>
  <si>
    <t>Transport, coach, Infrastruktur/CH U</t>
  </si>
  <si>
    <t>63.011Fahrzeug</t>
  </si>
  <si>
    <t>Reisebus-Fahrzeug</t>
  </si>
  <si>
    <t>Transport, coach, Fahrzeug/CH U</t>
  </si>
  <si>
    <t>63.012Total</t>
  </si>
  <si>
    <t>Tram-Total</t>
  </si>
  <si>
    <t>Transport, tram/CH U</t>
  </si>
  <si>
    <t>63.012Betrieb</t>
  </si>
  <si>
    <t>Tram-Betrieb</t>
  </si>
  <si>
    <t>Transport, tram, Betrieb/CH U</t>
  </si>
  <si>
    <t>63.012Infrastruktur</t>
  </si>
  <si>
    <t>Tram-Infrastruktur</t>
  </si>
  <si>
    <t>Transport, tram, Infrastruktur/CH U</t>
  </si>
  <si>
    <t>63.012Fahrzeug</t>
  </si>
  <si>
    <t>Tram-Fahrzeug</t>
  </si>
  <si>
    <t>Transport, tram, Fahrzeug/CH U</t>
  </si>
  <si>
    <t>63.013Total</t>
  </si>
  <si>
    <t>Trolleybus-Total</t>
  </si>
  <si>
    <t>Transport, trolleybus/CH U</t>
  </si>
  <si>
    <t>63.013Betrieb</t>
  </si>
  <si>
    <t>Trolleybus-Betrieb</t>
  </si>
  <si>
    <t>Transport, trolleybus, Betrieb/CH U</t>
  </si>
  <si>
    <t>63.013Infrastruktur</t>
  </si>
  <si>
    <t>Trolleybus-Infrastruktur</t>
  </si>
  <si>
    <t>Transport, trolleybus, Infrastruktur/CH U</t>
  </si>
  <si>
    <t>63.013Fahrzeug</t>
  </si>
  <si>
    <t>Trolleybus-Fahrzeug</t>
  </si>
  <si>
    <t>Transport, trolleybus, Fahrzeug/CH U</t>
  </si>
  <si>
    <t>1 Angaben für die kombinierte Passagier- und Frachttransporte; Allokation auf Passagiere und Fracht basierend auf der Tonnage (1 Person = 100 kg)</t>
  </si>
  <si>
    <t>© treeze Ltd. 2013-2016</t>
  </si>
  <si>
    <t>Transporte pro Fahrzeugkilometer (vkm)</t>
  </si>
  <si>
    <t>Auslastung Durchschnitt
[t] oder [pers.]</t>
  </si>
  <si>
    <t>Treibstoffverbrauch ungerundet
[kg] resp. [kWh]</t>
  </si>
  <si>
    <t>0.095 kg Diesel</t>
  </si>
  <si>
    <t>0.092 kg Diesel</t>
  </si>
  <si>
    <t>vkm</t>
  </si>
  <si>
    <t>6.67 kg Diesel</t>
  </si>
  <si>
    <t>29.57 kWh Elektr. + 0.23 kg Diesel</t>
  </si>
  <si>
    <t>26.40 kg Kerosin</t>
  </si>
  <si>
    <t>81.25 kg Schweröl</t>
  </si>
  <si>
    <t>92.95 kg Schweröl</t>
  </si>
  <si>
    <t>0.055 kg Diesel + 0.033 kg Benzin</t>
  </si>
  <si>
    <t>0.24 kg Diesel</t>
  </si>
  <si>
    <t>0.11 kg Diesel</t>
  </si>
  <si>
    <t>0.16 kg Diesel</t>
  </si>
  <si>
    <t>0.22 kg Diesel</t>
  </si>
  <si>
    <t>0.26 kg Diesel</t>
  </si>
  <si>
    <t>7.00 kg Kerosin</t>
  </si>
  <si>
    <t>0.45 kg Kerosin</t>
  </si>
  <si>
    <t>7.20 kg Kerosin</t>
  </si>
  <si>
    <t>64.001Total</t>
  </si>
  <si>
    <t>29.32 kWh Elektrizität</t>
  </si>
  <si>
    <t>64.001Betrieb</t>
  </si>
  <si>
    <t>64.001Infrastruktur</t>
  </si>
  <si>
    <t>64.001Fahrzeug</t>
  </si>
  <si>
    <t>64.002Total</t>
  </si>
  <si>
    <t>26.24 kWh Elektrizität</t>
  </si>
  <si>
    <t>64.002Betrieb</t>
  </si>
  <si>
    <t>64.002Infrastruktur</t>
  </si>
  <si>
    <t>64.002Fahrzeug</t>
  </si>
  <si>
    <t>64.003Total</t>
  </si>
  <si>
    <t>0.35 kg Diesel</t>
  </si>
  <si>
    <t>64.003Betrieb</t>
  </si>
  <si>
    <t>64.003Infrastruktur</t>
  </si>
  <si>
    <t>64.003Fahrzeug</t>
  </si>
  <si>
    <t>64.004Total</t>
  </si>
  <si>
    <t>8.21 kg Kerosin</t>
  </si>
  <si>
    <t>64.004Betrieb</t>
  </si>
  <si>
    <t>64.004Infrastruktur</t>
  </si>
  <si>
    <t>64.004Fahrzeug</t>
  </si>
  <si>
    <t>64.005Total</t>
  </si>
  <si>
    <t>2.94 kg Kerosin</t>
  </si>
  <si>
    <t>64.005Betrieb</t>
  </si>
  <si>
    <t>64.005Infrastruktur</t>
  </si>
  <si>
    <t>64.005Fahrzeug</t>
  </si>
  <si>
    <t>64.006Total</t>
  </si>
  <si>
    <t>9.22 kg Kerosin</t>
  </si>
  <si>
    <t>64.006Betrieb</t>
  </si>
  <si>
    <t>64.006Infrastruktur</t>
  </si>
  <si>
    <t>64.006Fahrzeug</t>
  </si>
  <si>
    <t>64.007Total</t>
  </si>
  <si>
    <t>0.057 kg Benzin + 0.010 kg Diesel</t>
  </si>
  <si>
    <t>64.007Betrieb</t>
  </si>
  <si>
    <t>64.007Infrastruktur</t>
  </si>
  <si>
    <t>64.007Fahrzeug</t>
  </si>
  <si>
    <t>64.008Total</t>
  </si>
  <si>
    <t>0.068 kg Benzin</t>
  </si>
  <si>
    <t>64.008Betrieb</t>
  </si>
  <si>
    <t>64.008Infrastruktur</t>
  </si>
  <si>
    <t>64.008Fahrzeug</t>
  </si>
  <si>
    <t>64.009Total</t>
  </si>
  <si>
    <t>0.061 kg Diesel</t>
  </si>
  <si>
    <t>64.009Betrieb</t>
  </si>
  <si>
    <t>64.009Infrastruktur</t>
  </si>
  <si>
    <t>64.009Fahrzeug</t>
  </si>
  <si>
    <t>64.015Total</t>
  </si>
  <si>
    <t>0.064 kg Erdgas</t>
  </si>
  <si>
    <t>64.015Betrieb</t>
  </si>
  <si>
    <t>64.015Infrastruktur</t>
  </si>
  <si>
    <t>64.015Fahrzeug</t>
  </si>
  <si>
    <t>64.014Total</t>
  </si>
  <si>
    <t>0.067 kg Biogas</t>
  </si>
  <si>
    <t>64.014Betrieb</t>
  </si>
  <si>
    <t>64.014Infrastruktur</t>
  </si>
  <si>
    <t>64.014Fahrzeug</t>
  </si>
  <si>
    <t>64.016Total</t>
  </si>
  <si>
    <t>0.20 kWh Elektrizität</t>
  </si>
  <si>
    <t>64.016Betrieb</t>
  </si>
  <si>
    <t>64.016Infrastruktur</t>
  </si>
  <si>
    <t>64.016Fahrzeug</t>
  </si>
  <si>
    <t>64.017Total</t>
  </si>
  <si>
    <t>0.025 kg Benzin</t>
  </si>
  <si>
    <t>64.017Betrieb</t>
  </si>
  <si>
    <t>64.017Infrastruktur</t>
  </si>
  <si>
    <t>64.017Fahrzeug</t>
  </si>
  <si>
    <t>64.010Total</t>
  </si>
  <si>
    <t>7.56 kWh Elektrizität</t>
  </si>
  <si>
    <t>64.010Betrieb</t>
  </si>
  <si>
    <t>64.010Infrastruktur</t>
  </si>
  <si>
    <t>64.010Fahrzeug</t>
  </si>
  <si>
    <t>64.011Total</t>
  </si>
  <si>
    <t>0.25 kg Diesel</t>
  </si>
  <si>
    <t>64.011Betrieb</t>
  </si>
  <si>
    <t>64.011Infrastruktur</t>
  </si>
  <si>
    <t>64.011Fahrzeug</t>
  </si>
  <si>
    <t>64.012Total</t>
  </si>
  <si>
    <t>4.75 kWh Elektrizität</t>
  </si>
  <si>
    <t>64.012Betrieb</t>
  </si>
  <si>
    <t>64.012Infrastruktur</t>
  </si>
  <si>
    <t>64.012Fahrzeug</t>
  </si>
  <si>
    <t>64.013Total</t>
  </si>
  <si>
    <t>3.04 kWh Elektrizität</t>
  </si>
  <si>
    <t>64.013Betrieb</t>
  </si>
  <si>
    <t>64.013Infrastruktur</t>
  </si>
  <si>
    <t>64.013Fahrzeug</t>
  </si>
  <si>
    <t>INNEN</t>
  </si>
  <si>
    <r>
      <rPr>
        <rFont val="Times New Roman"/>
        <color theme="1"/>
        <sz val="10.0"/>
      </rPr>
      <t>kg/m</t>
    </r>
    <r>
      <rPr>
        <rFont val="Times New Roman"/>
        <color theme="1"/>
        <sz val="5.0"/>
      </rPr>
      <t>2</t>
    </r>
  </si>
  <si>
    <t>UBP/kg</t>
  </si>
  <si>
    <r>
      <rPr>
        <rFont val="Times New Roman"/>
        <b/>
        <color theme="1"/>
        <sz val="10.0"/>
      </rPr>
      <t>UBP/m</t>
    </r>
    <r>
      <rPr>
        <rFont val="Times New Roman"/>
        <b/>
        <color theme="1"/>
        <sz val="5.0"/>
      </rPr>
      <t>2</t>
    </r>
  </si>
  <si>
    <t>Alte Tabelle aus Projekt 500</t>
  </si>
  <si>
    <t>Hochbaubeton, CEM II/B, 0.15 m</t>
  </si>
  <si>
    <t>Armierungsstahl, (100 % Recycling)</t>
  </si>
  <si>
    <t>Schalung Typ 2 (Verwendung 5x)</t>
  </si>
  <si>
    <t>Lattenrost Holz 140/60 mm + 120/60 mm</t>
  </si>
  <si>
    <r>
      <rPr>
        <rFont val="Times New Roman"/>
        <color theme="1"/>
        <sz val="10.0"/>
      </rPr>
      <t>Glaswolle 38 kg/m</t>
    </r>
    <r>
      <rPr>
        <rFont val="Times New Roman"/>
        <color theme="1"/>
        <sz val="5.0"/>
      </rPr>
      <t>3</t>
    </r>
    <r>
      <rPr>
        <rFont val="Times New Roman"/>
        <color theme="1"/>
        <sz val="10.0"/>
      </rPr>
      <t>, 260 mm</t>
    </r>
  </si>
  <si>
    <t>Holzlatte 30/60 mm</t>
  </si>
  <si>
    <t>Massivholz Fichte, rauh</t>
  </si>
  <si>
    <t>AUSSEN</t>
  </si>
  <si>
    <t>UBP/MJ</t>
  </si>
  <si>
    <r>
      <rPr>
        <rFont val="Times New Roman"/>
        <strike/>
        <color rgb="FFFF0000"/>
        <sz val="10.0"/>
      </rPr>
      <t>Pellet</t>
    </r>
    <r>
      <rPr>
        <rFont val="Times New Roman"/>
        <strike val="0"/>
        <color rgb="FF008080"/>
        <sz val="10.0"/>
        <u/>
      </rPr>
      <t>Holzpellets, mit Partikelfilter</t>
    </r>
  </si>
  <si>
    <t>Elektrowärmepumpe Erdsonden, JAZ 3.9</t>
  </si>
  <si>
    <t>Pkm</t>
  </si>
  <si>
    <t>UBP/pkm</t>
  </si>
  <si>
    <t>Fernreisezug</t>
  </si>
  <si>
    <t>Passagierflugzeug, interkontinental</t>
  </si>
  <si>
    <t>Personenwagen, Elektro</t>
  </si>
  <si>
    <t>UBP/tkm</t>
  </si>
  <si>
    <t>Lieferwagen bis 3,5 Tonnen</t>
  </si>
  <si>
    <t>LKW über 28 Tonnen</t>
  </si>
  <si>
    <t>Hochseefrachter</t>
  </si>
  <si>
    <t>Frachtflugzeug</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</si>
</sst>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00000"/>
    <numFmt numFmtId="165" formatCode="0.000000"/>
    <numFmt numFmtId="166" formatCode="_ * #,##0.00_ ;_ * \-#,##0.00_ ;_ * &quot;-&quot;??_ ;_ @_ "/>
    <numFmt numFmtId="167" formatCode="0.000"/>
    <numFmt numFmtId="168" formatCode="#,##0.0"/>
    <numFmt numFmtId="169" formatCode="00"/>
    <numFmt numFmtId="170" formatCode="0.0"/>
    <numFmt numFmtId="171" formatCode="00.000"/>
    <numFmt numFmtId="172" formatCode="0.0000"/>
    <numFmt numFmtId="173" formatCode="0.00000"/>
    <numFmt numFmtId="174" formatCode="#,##0.000"/>
    <numFmt numFmtId="175" formatCode="#,##0.0000"/>
    <numFmt numFmtId="176" formatCode="_ * #,##0_ ;_ * \-#,##0_ ;_ * &quot;-&quot;??_ ;_ @_ "/>
    <numFmt numFmtId="177" formatCode="_ * #,##0.0_ ;_ * \-#,##0.0_ ;_ * &quot;-&quot;??_ ;_ @_ "/>
    <numFmt numFmtId="178" formatCode="_ * #,##0.000_ ;_ * \-#,##0.000_ ;_ * &quot;-&quot;??_ ;_ @_ "/>
    <numFmt numFmtId="179" formatCode="_ * #,##0.0000_ ;_ * \-#,##0.0000_ ;_ * &quot;-&quot;??_ ;_ @_ "/>
  </numFmts>
  <fonts count="77">
    <font>
      <sz val="10.0"/>
      <color rgb="FF000000"/>
      <name val="Calibri"/>
      <scheme val="minor"/>
    </font>
    <font>
      <b/>
      <color theme="1"/>
      <name val="Calibri"/>
    </font>
    <font>
      <color theme="1"/>
      <name val="Calibri"/>
    </font>
    <font>
      <color rgb="FFFF0000"/>
      <name val="Calibri"/>
    </font>
    <font>
      <color theme="1"/>
      <name val="Calibri"/>
      <scheme val="minor"/>
    </font>
    <font>
      <b/>
      <color theme="1"/>
      <name val="Arial"/>
    </font>
    <font>
      <b/>
      <color rgb="FFFF0000"/>
      <name val="Arial"/>
    </font>
    <font>
      <b/>
      <sz val="16.0"/>
      <color rgb="FFFFFFFF"/>
      <name val="Arial"/>
    </font>
    <font>
      <b/>
      <i/>
      <sz val="16.0"/>
      <color rgb="FFFFFFFF"/>
      <name val="Arial"/>
    </font>
    <font>
      <sz val="16.0"/>
      <color rgb="FFFFFFFF"/>
      <name val="Arial"/>
    </font>
    <font>
      <b/>
      <sz val="12.0"/>
      <color rgb="FFFF0000"/>
      <name val="Arial"/>
    </font>
    <font/>
    <font>
      <b/>
      <i/>
      <sz val="12.0"/>
      <color theme="1"/>
      <name val="Arial"/>
    </font>
    <font>
      <b/>
      <i/>
      <sz val="12.0"/>
      <color rgb="FFFF0000"/>
      <name val="Arial"/>
    </font>
    <font>
      <sz val="12.0"/>
      <color theme="1"/>
      <name val="Arial"/>
    </font>
    <font>
      <sz val="10.0"/>
      <color theme="1"/>
      <name val="Arial"/>
    </font>
    <font>
      <sz val="10.0"/>
      <color theme="1"/>
      <name val="Verdana"/>
    </font>
    <font>
      <b/>
      <sz val="11.0"/>
      <color theme="1"/>
      <name val="Arial"/>
    </font>
    <font>
      <b/>
      <sz val="10.0"/>
      <color theme="1"/>
      <name val="Arial"/>
    </font>
    <font>
      <b/>
      <sz val="10.0"/>
      <color theme="1"/>
      <name val="Verdana"/>
    </font>
    <font>
      <sz val="10.0"/>
      <color rgb="FFFF0000"/>
      <name val="Arial"/>
    </font>
    <font>
      <sz val="12.0"/>
      <color theme="1"/>
      <name val="Verdana"/>
    </font>
    <font>
      <sz val="12.0"/>
      <color theme="1"/>
      <name val="Times New Roman"/>
    </font>
    <font>
      <i/>
      <sz val="10.0"/>
      <color theme="1"/>
      <name val="Verdana"/>
    </font>
    <font>
      <color theme="1"/>
      <name val="Arial"/>
    </font>
    <font>
      <sz val="16.0"/>
      <color theme="0"/>
      <name val="Arial"/>
    </font>
    <font>
      <b/>
      <sz val="16.0"/>
      <color theme="0"/>
      <name val="Arial"/>
    </font>
    <font>
      <b/>
      <i/>
      <sz val="16.0"/>
      <color theme="0"/>
      <name val="Arial"/>
    </font>
    <font>
      <sz val="12.0"/>
      <color theme="0"/>
      <name val="Arial"/>
    </font>
    <font>
      <b/>
      <sz val="12.0"/>
      <color theme="0"/>
      <name val="Arial"/>
    </font>
    <font>
      <b/>
      <i/>
      <sz val="12.0"/>
      <color theme="0"/>
      <name val="Arial"/>
    </font>
    <font>
      <i/>
      <sz val="10.0"/>
      <color theme="1"/>
      <name val="Arial"/>
    </font>
    <font>
      <b/>
      <sz val="14.0"/>
      <color theme="1"/>
      <name val="Arial"/>
    </font>
    <font>
      <b/>
      <sz val="9.0"/>
      <color theme="1"/>
      <name val="Arial"/>
    </font>
    <font>
      <b/>
      <i/>
      <sz val="11.0"/>
      <color theme="1"/>
      <name val="Arial"/>
    </font>
    <font>
      <sz val="8.0"/>
      <color theme="1"/>
      <name val="Arial"/>
    </font>
    <font>
      <b/>
      <i/>
      <sz val="9.0"/>
      <color theme="1"/>
      <name val="Arial"/>
    </font>
    <font>
      <b/>
      <sz val="9.0"/>
      <color rgb="FFFF0000"/>
      <name val="Arial"/>
    </font>
    <font>
      <b/>
      <i/>
      <sz val="9.0"/>
      <color rgb="FFFF0000"/>
      <name val="Arial"/>
    </font>
    <font>
      <b/>
      <sz val="8.0"/>
      <color theme="1"/>
      <name val="Arial"/>
    </font>
    <font>
      <b/>
      <i/>
      <sz val="8.0"/>
      <color theme="1"/>
      <name val="Arial"/>
    </font>
    <font>
      <i/>
      <sz val="8.0"/>
      <color theme="1"/>
      <name val="Arial"/>
    </font>
    <font>
      <sz val="8.0"/>
      <color rgb="FFFF0000"/>
      <name val="Arial"/>
    </font>
    <font>
      <b/>
      <i/>
      <sz val="14.0"/>
      <color theme="1"/>
      <name val="Arial"/>
    </font>
    <font>
      <b/>
      <sz val="10.0"/>
      <color rgb="FFFF0000"/>
      <name val="Arial"/>
    </font>
    <font>
      <b/>
      <i/>
      <sz val="10.0"/>
      <color rgb="FFFF0000"/>
      <name val="Arial"/>
    </font>
    <font>
      <i/>
      <sz val="10.0"/>
      <color rgb="FFFF0000"/>
      <name val="Arial"/>
    </font>
    <font>
      <b/>
      <i/>
      <sz val="10.0"/>
      <color theme="1"/>
      <name val="Arial"/>
    </font>
    <font>
      <i/>
      <sz val="12.0"/>
      <color theme="0"/>
      <name val="Arial"/>
    </font>
    <font>
      <sz val="9.0"/>
      <color theme="1"/>
      <name val="Arial"/>
    </font>
    <font>
      <i/>
      <sz val="9.0"/>
      <color theme="1"/>
      <name val="Arial"/>
    </font>
    <font>
      <color rgb="FFFF0000"/>
      <name val="Calibri"/>
      <scheme val="minor"/>
    </font>
    <font>
      <vertAlign val="superscript"/>
      <sz val="10.0"/>
      <color theme="1"/>
      <name val="Arial"/>
    </font>
    <font>
      <i/>
      <vertAlign val="superscript"/>
      <sz val="10.0"/>
      <color theme="1"/>
      <name val="Arial"/>
    </font>
    <font>
      <vertAlign val="superscript"/>
      <sz val="9.0"/>
      <color theme="1"/>
      <name val="Arial"/>
    </font>
    <font>
      <i/>
      <vertAlign val="superscript"/>
      <sz val="9.0"/>
      <color theme="1"/>
      <name val="Arial"/>
    </font>
    <font>
      <vertAlign val="superscript"/>
      <sz val="9.0"/>
      <color theme="1"/>
      <name val="Arial"/>
    </font>
    <font>
      <i/>
      <vertAlign val="superscript"/>
      <sz val="9.0"/>
      <color theme="1"/>
      <name val="Arial"/>
    </font>
    <font>
      <b/>
      <sz val="12.0"/>
      <color theme="1"/>
      <name val="Arial"/>
    </font>
    <font>
      <sz val="10.0"/>
      <color theme="1"/>
      <name val="Trebuchet MS"/>
    </font>
    <font>
      <sz val="8.0"/>
      <color theme="1"/>
      <name val="Trebuchet MS"/>
    </font>
    <font>
      <sz val="16.0"/>
      <color rgb="FFFF0000"/>
      <name val="Trebuchet MS"/>
    </font>
    <font>
      <u/>
      <sz val="10.0"/>
      <color rgb="FF0000D4"/>
      <name val="Trebuchet MS"/>
    </font>
    <font>
      <b/>
      <sz val="12.0"/>
      <color theme="1"/>
      <name val="Trebuchet MS"/>
    </font>
    <font>
      <b/>
      <sz val="8.0"/>
      <color theme="1"/>
      <name val="Trebuchet MS"/>
    </font>
    <font>
      <b/>
      <sz val="10.0"/>
      <color theme="1"/>
      <name val="Trebuchet MS"/>
    </font>
    <font>
      <b/>
      <sz val="11.0"/>
      <color theme="1"/>
      <name val="Trebuchet MS"/>
    </font>
    <font>
      <sz val="8.0"/>
      <color rgb="FFFF0000"/>
      <name val="Trebuchet MS"/>
    </font>
    <font>
      <sz val="10.0"/>
      <color rgb="FFFF0000"/>
      <name val="Trebuchet MS"/>
    </font>
    <font>
      <vertAlign val="superscript"/>
      <sz val="9.0"/>
      <color theme="1"/>
      <name val="Trebuchet MS"/>
    </font>
    <font>
      <sz val="10.0"/>
      <color theme="1"/>
      <name val="Times New Roman"/>
    </font>
    <font>
      <b/>
      <sz val="10.0"/>
      <color theme="1"/>
      <name val="Times New Roman"/>
    </font>
    <font>
      <i/>
      <sz val="11.0"/>
      <color rgb="FFFF0000"/>
      <name val="Calibri"/>
    </font>
    <font>
      <sz val="8.0"/>
      <color theme="1"/>
      <name val="Calibri"/>
    </font>
    <font>
      <strike/>
      <sz val="10.0"/>
      <color rgb="FFFF0000"/>
      <name val="Times New Roman"/>
    </font>
    <font>
      <u/>
      <sz val="10.0"/>
      <color rgb="FF008080"/>
      <name val="Times New Roman"/>
    </font>
    <font>
      <u/>
      <sz val="10.0"/>
      <color rgb="FF008080"/>
      <name val="Times New Roman"/>
    </font>
  </fonts>
  <fills count="16">
    <fill>
      <patternFill patternType="none"/>
    </fill>
    <fill>
      <patternFill patternType="lightGray"/>
    </fill>
    <fill>
      <patternFill patternType="solid">
        <fgColor rgb="FFF4CCCC"/>
        <bgColor rgb="FFF4CCCC"/>
      </patternFill>
    </fill>
    <fill>
      <patternFill patternType="solid">
        <fgColor rgb="FF808080"/>
        <bgColor rgb="FF808080"/>
      </patternFill>
    </fill>
    <fill>
      <patternFill patternType="solid">
        <fgColor rgb="FFCCFFCC"/>
        <bgColor rgb="FFCCFFCC"/>
      </patternFill>
    </fill>
    <fill>
      <patternFill patternType="solid">
        <fgColor rgb="FF7F7F7F"/>
        <bgColor rgb="FF7F7F7F"/>
      </patternFill>
    </fill>
    <fill>
      <patternFill patternType="solid">
        <fgColor theme="0"/>
        <bgColor theme="0"/>
      </patternFill>
    </fill>
    <fill>
      <patternFill patternType="solid">
        <fgColor rgb="FFC0C0C0"/>
        <bgColor rgb="FFC0C0C0"/>
      </patternFill>
    </fill>
    <fill>
      <patternFill patternType="solid">
        <fgColor rgb="FFBFBFBF"/>
        <bgColor rgb="FFBFBFBF"/>
      </patternFill>
    </fill>
    <fill>
      <patternFill patternType="solid">
        <fgColor rgb="FF92CDDC"/>
        <bgColor rgb="FF92CDDC"/>
      </patternFill>
    </fill>
    <fill>
      <patternFill patternType="solid">
        <fgColor theme="8"/>
        <bgColor theme="8"/>
      </patternFill>
    </fill>
    <fill>
      <patternFill patternType="solid">
        <fgColor rgb="FFD8D8D8"/>
        <bgColor rgb="FFD8D8D8"/>
      </patternFill>
    </fill>
    <fill>
      <patternFill patternType="solid">
        <fgColor rgb="FFF2F2F2"/>
        <bgColor rgb="FFF2F2F2"/>
      </patternFill>
    </fill>
    <fill>
      <patternFill patternType="solid">
        <fgColor rgb="FFD2E3C2"/>
        <bgColor rgb="FFD2E3C2"/>
      </patternFill>
    </fill>
    <fill>
      <patternFill patternType="solid">
        <fgColor rgb="FFA0C680"/>
        <bgColor rgb="FFA0C680"/>
      </patternFill>
    </fill>
    <fill>
      <patternFill patternType="solid">
        <fgColor rgb="FFFFFF00"/>
        <bgColor rgb="FFFFFF00"/>
      </patternFill>
    </fill>
  </fills>
  <borders count="105">
    <border/>
    <border>
      <bottom style="thin">
        <color rgb="FF000000"/>
      </bottom>
    </border>
    <border>
      <left style="thin">
        <color rgb="FF969696"/>
      </left>
      <right/>
      <top style="thin">
        <color rgb="FF969696"/>
      </top>
      <bottom/>
    </border>
    <border>
      <left/>
      <right/>
      <top style="thin">
        <color rgb="FF969696"/>
      </top>
      <bottom/>
    </border>
    <border>
      <left/>
      <right style="thin">
        <color rgb="FF969696"/>
      </right>
      <top style="thin">
        <color rgb="FF969696"/>
      </top>
      <bottom/>
    </border>
    <border>
      <left style="thin">
        <color rgb="FF969696"/>
      </left>
      <top/>
      <bottom style="thin">
        <color rgb="FF969696"/>
      </bottom>
    </border>
    <border>
      <right/>
      <top/>
      <bottom style="thin">
        <color rgb="FF969696"/>
      </bottom>
    </border>
    <border>
      <left/>
      <right/>
      <top/>
      <bottom style="thin">
        <color rgb="FF969696"/>
      </bottom>
    </border>
    <border>
      <left/>
      <right/>
      <top/>
      <bottom/>
    </border>
    <border>
      <left style="thin">
        <color rgb="FF969696"/>
      </left>
      <top style="thin">
        <color rgb="FF969696"/>
      </top>
      <bottom style="thin">
        <color rgb="FF969696"/>
      </bottom>
    </border>
    <border>
      <right style="thin">
        <color rgb="FF969696"/>
      </right>
      <top style="thin">
        <color rgb="FF969696"/>
      </top>
      <bottom style="thin">
        <color rgb="FF969696"/>
      </bottom>
    </border>
    <border>
      <left style="thin">
        <color rgb="FF969696"/>
      </left>
      <right style="thin">
        <color rgb="FF969696"/>
      </right>
      <top style="thin">
        <color rgb="FF969696"/>
      </top>
      <bottom style="thin">
        <color rgb="FF969696"/>
      </bottom>
    </border>
    <border>
      <top style="thin">
        <color rgb="FF969696"/>
      </top>
      <bottom style="thin">
        <color rgb="FF969696"/>
      </bottom>
    </border>
    <border>
      <right style="thin">
        <color rgb="FF000000"/>
      </right>
      <top style="thin">
        <color rgb="FF969696"/>
      </top>
      <bottom style="thin">
        <color rgb="FF969696"/>
      </bottom>
    </border>
    <border>
      <left style="thin">
        <color rgb="FF969696"/>
      </left>
      <right style="thin">
        <color rgb="FF969696"/>
      </right>
      <top style="thin">
        <color rgb="FF969696"/>
      </top>
    </border>
    <border>
      <left style="thin">
        <color rgb="FF969696"/>
      </left>
      <right style="thin">
        <color rgb="FF969696"/>
      </right>
      <bottom style="thin">
        <color rgb="FF969696"/>
      </bottom>
    </border>
    <border>
      <left style="thin">
        <color rgb="FF7F7F7F"/>
      </left>
      <right style="thin">
        <color rgb="FF969696"/>
      </right>
      <top style="thin">
        <color rgb="FF7F7F7F"/>
      </top>
      <bottom/>
    </border>
    <border>
      <left style="thin">
        <color rgb="FF969696"/>
      </left>
      <right/>
      <top style="thin">
        <color rgb="FF7F7F7F"/>
      </top>
      <bottom/>
    </border>
    <border>
      <left/>
      <right/>
      <top style="thin">
        <color rgb="FF7F7F7F"/>
      </top>
      <bottom/>
    </border>
    <border>
      <left/>
      <right style="thin">
        <color rgb="FF7F7F7F"/>
      </right>
      <top style="thin">
        <color rgb="FF7F7F7F"/>
      </top>
      <bottom/>
    </border>
    <border>
      <left style="thin">
        <color rgb="FF7F7F7F"/>
      </left>
      <right/>
      <top/>
      <bottom style="thin">
        <color rgb="FF7F7F7F"/>
      </bottom>
    </border>
    <border>
      <left style="thin">
        <color rgb="FF969696"/>
      </left>
      <right/>
      <top/>
      <bottom style="thin">
        <color rgb="FF7F7F7F"/>
      </bottom>
    </border>
    <border>
      <left/>
      <right/>
      <top/>
      <bottom style="thin">
        <color rgb="FF7F7F7F"/>
      </bottom>
    </border>
    <border>
      <left/>
      <right style="thin">
        <color rgb="FF7F7F7F"/>
      </right>
      <top/>
      <bottom style="thin">
        <color rgb="FF7F7F7F"/>
      </bottom>
    </border>
    <border>
      <left style="thin">
        <color rgb="FF7F7F7F"/>
      </left>
      <right style="thin">
        <color rgb="FF969696"/>
      </right>
      <top/>
      <bottom/>
    </border>
    <border>
      <left/>
      <right style="thin">
        <color rgb="FF7F7F7F"/>
      </right>
      <top/>
      <bottom/>
    </border>
    <border>
      <left/>
      <right style="thin">
        <color rgb="FF969696"/>
      </right>
      <top/>
      <bottom/>
    </border>
    <border>
      <left style="thin">
        <color rgb="FF969696"/>
      </left>
      <right style="thin">
        <color rgb="FF969696"/>
      </right>
      <top/>
      <bottom/>
    </border>
    <border>
      <left style="thin">
        <color rgb="FF7F7F7F"/>
      </left>
      <right style="thin">
        <color rgb="FF7F7F7F"/>
      </right>
      <top style="thin">
        <color rgb="FF7F7F7F"/>
      </top>
      <bottom/>
    </border>
    <border>
      <left style="thin">
        <color rgb="FF7F7F7F"/>
      </left>
      <right style="thin">
        <color rgb="FF7F7F7F"/>
      </right>
      <top style="thin">
        <color rgb="FF7F7F7F"/>
      </top>
    </border>
    <border>
      <left style="thin">
        <color rgb="FF969696"/>
      </left>
      <right/>
      <top/>
    </border>
    <border>
      <left style="thin">
        <color rgb="FF7F7F7F"/>
      </left>
      <top style="thin">
        <color rgb="FF7F7F7F"/>
      </top>
      <bottom/>
    </border>
    <border>
      <top style="thin">
        <color rgb="FF7F7F7F"/>
      </top>
      <bottom/>
    </border>
    <border>
      <right style="thin">
        <color rgb="FF7F7F7F"/>
      </right>
      <top style="thin">
        <color rgb="FF7F7F7F"/>
      </top>
      <bottom/>
    </border>
    <border>
      <left style="thin">
        <color rgb="FF7F7F7F"/>
      </left>
      <right style="thin">
        <color rgb="FF7F7F7F"/>
      </right>
      <top/>
    </border>
    <border>
      <left style="thin">
        <color rgb="FF7F7F7F"/>
      </left>
      <right style="thin">
        <color rgb="FF7F7F7F"/>
      </right>
    </border>
    <border>
      <left/>
      <right style="thin">
        <color rgb="FF969696"/>
      </right>
      <top/>
    </border>
    <border>
      <left style="thin">
        <color rgb="FF969696"/>
      </left>
      <right/>
    </border>
    <border>
      <left style="thin">
        <color rgb="FF7F7F7F"/>
      </left>
      <right style="thin">
        <color rgb="FF7F7F7F"/>
      </right>
      <bottom/>
    </border>
    <border>
      <left style="thin">
        <color rgb="FF7F7F7F"/>
      </left>
      <top/>
    </border>
    <border>
      <top/>
    </border>
    <border>
      <right style="thin">
        <color rgb="FF7F7F7F"/>
      </right>
      <top/>
    </border>
    <border>
      <left style="thin">
        <color rgb="FF7F7F7F"/>
      </left>
      <top/>
      <bottom/>
    </border>
    <border>
      <top/>
      <bottom/>
    </border>
    <border>
      <right style="thin">
        <color rgb="FF7F7F7F"/>
      </right>
      <top/>
      <bottom/>
    </border>
    <border>
      <left/>
      <right style="thin">
        <color rgb="FF969696"/>
      </right>
      <bottom/>
    </border>
    <border>
      <left style="thin">
        <color rgb="FF969696"/>
      </left>
      <right/>
      <bottom/>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7F7F7F"/>
      </left>
      <top/>
      <bottom style="thin">
        <color rgb="FF7F7F7F"/>
      </bottom>
    </border>
    <border>
      <top/>
      <bottom style="thin">
        <color rgb="FF7F7F7F"/>
      </bottom>
    </border>
    <border>
      <right style="thin">
        <color rgb="FF7F7F7F"/>
      </right>
      <top/>
      <bottom style="thin">
        <color rgb="FF7F7F7F"/>
      </bottom>
    </border>
    <border>
      <left style="thin">
        <color rgb="FF7F7F7F"/>
      </left>
      <right style="thin">
        <color rgb="FF7F7F7F"/>
      </right>
      <top/>
      <bottom/>
    </border>
    <border>
      <left style="thin">
        <color rgb="FF969696"/>
      </left>
      <right/>
      <top/>
      <bottom/>
    </border>
    <border>
      <left style="thin">
        <color rgb="FF7F7F7F"/>
      </left>
      <right style="thin">
        <color rgb="FF7F7F7F"/>
      </right>
      <top/>
      <bottom style="thin">
        <color rgb="FF7F7F7F"/>
      </bottom>
    </border>
    <border>
      <left style="thin">
        <color rgb="FF7F7F7F"/>
      </left>
      <right style="thin">
        <color rgb="FF7F7F7F"/>
      </right>
      <bottom style="thin">
        <color rgb="FF7F7F7F"/>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top style="thin">
        <color rgb="FF7F7F7F"/>
      </top>
      <bottom/>
    </border>
    <border>
      <left style="thin">
        <color rgb="FF969696"/>
      </left>
      <top/>
      <bottom style="thin">
        <color rgb="FF7F7F7F"/>
      </bottom>
    </border>
    <border>
      <right/>
      <top/>
      <bottom style="thin">
        <color rgb="FF7F7F7F"/>
      </bottom>
    </border>
    <border>
      <left/>
      <top style="thin">
        <color rgb="FF969696"/>
      </top>
      <bottom/>
    </border>
    <border>
      <top style="thin">
        <color rgb="FF969696"/>
      </top>
      <bottom/>
    </border>
    <border>
      <right/>
      <top style="thin">
        <color rgb="FF969696"/>
      </top>
      <bottom/>
    </border>
    <border>
      <left/>
      <right style="thin">
        <color rgb="FF969696"/>
      </right>
      <top style="thin">
        <color rgb="FF7F7F7F"/>
      </top>
      <bottom/>
    </border>
    <border>
      <left style="thin">
        <color rgb="FF7F7F7F"/>
      </left>
      <right/>
      <top style="medium">
        <color rgb="FF7F7F7F"/>
      </top>
      <bottom style="thin">
        <color rgb="FF7F7F7F"/>
      </bottom>
    </border>
    <border>
      <left style="thin">
        <color rgb="FF969696"/>
      </left>
      <top style="medium">
        <color rgb="FF7F7F7F"/>
      </top>
      <bottom style="thin">
        <color rgb="FF7F7F7F"/>
      </bottom>
    </border>
    <border>
      <top style="medium">
        <color rgb="FF7F7F7F"/>
      </top>
      <bottom style="thin">
        <color rgb="FF7F7F7F"/>
      </bottom>
    </border>
    <border>
      <right/>
      <top style="medium">
        <color rgb="FF7F7F7F"/>
      </top>
      <bottom style="thin">
        <color rgb="FF7F7F7F"/>
      </bottom>
    </border>
    <border>
      <left/>
      <right/>
      <top style="medium">
        <color rgb="FF7F7F7F"/>
      </top>
      <bottom style="thin">
        <color rgb="FF7F7F7F"/>
      </bottom>
    </border>
    <border>
      <left/>
      <right style="thin">
        <color rgb="FF969696"/>
      </right>
      <top style="medium">
        <color rgb="FF7F7F7F"/>
      </top>
      <bottom style="thin">
        <color rgb="FF7F7F7F"/>
      </bottom>
    </border>
    <border>
      <left/>
      <right style="thin">
        <color rgb="FF7F7F7F"/>
      </right>
      <top style="medium">
        <color rgb="FF7F7F7F"/>
      </top>
      <bottom style="thin">
        <color rgb="FF7F7F7F"/>
      </bottom>
    </border>
    <border>
      <left style="thin">
        <color rgb="FF7F7F7F"/>
      </left>
      <right style="thin">
        <color rgb="FF969696"/>
      </right>
      <top/>
      <bottom style="thin">
        <color rgb="FF7F7F7F"/>
      </bottom>
    </border>
    <border>
      <left style="thin">
        <color rgb="FF969696"/>
      </left>
      <right style="thin">
        <color rgb="FF969696"/>
      </right>
      <top/>
      <bottom style="thin">
        <color rgb="FF7F7F7F"/>
      </bottom>
    </border>
    <border>
      <left style="thin">
        <color rgb="FF7F7F7F"/>
      </left>
      <right/>
      <top style="thin">
        <color rgb="FF7F7F7F"/>
      </top>
    </border>
    <border>
      <left style="thin">
        <color rgb="FF7F7F7F"/>
      </left>
      <right/>
    </border>
    <border>
      <left style="thin">
        <color rgb="FF7F7F7F"/>
      </left>
      <right/>
      <bottom/>
    </border>
    <border>
      <left style="thin">
        <color rgb="FF7F7F7F"/>
      </left>
      <bottom/>
    </border>
    <border>
      <bottom/>
    </border>
    <border>
      <right style="thin">
        <color rgb="FF7F7F7F"/>
      </right>
      <bottom/>
    </border>
    <border>
      <left style="thin">
        <color rgb="FF7F7F7F"/>
      </left>
      <right/>
      <top/>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FFFFFF"/>
      </right>
      <top/>
      <bottom style="medium">
        <color rgb="FFFFFFFF"/>
      </bottom>
    </border>
    <border>
      <left/>
      <right/>
      <top/>
      <bottom style="medium">
        <color rgb="FFFFFFFF"/>
      </bottom>
    </border>
    <border>
      <left/>
      <right style="medium">
        <color rgb="FFFFFFFF"/>
      </right>
      <top/>
      <bottom/>
    </border>
    <border>
      <left style="medium">
        <color rgb="FFFFFFFF"/>
      </left>
      <right style="medium">
        <color rgb="FFFFFFFF"/>
      </right>
      <top style="medium">
        <color rgb="FFFFFFFF"/>
      </top>
      <bottom/>
    </border>
    <border>
      <left style="medium">
        <color rgb="FFFFFFFF"/>
      </left>
      <right style="medium">
        <color rgb="FFFFFFFF"/>
      </right>
      <top/>
      <bottom style="medium">
        <color rgb="FFFFFFFF"/>
      </bottom>
    </border>
    <border>
      <left style="medium">
        <color rgb="FFFFFFFF"/>
      </left>
      <right style="medium">
        <color rgb="FFFFFFFF"/>
      </right>
      <top/>
      <bottom/>
    </border>
  </borders>
  <cellStyleXfs count="1">
    <xf borderId="0" fillId="0" fontId="0" numFmtId="0" applyAlignment="1" applyFont="1"/>
  </cellStyleXfs>
  <cellXfs count="82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horizontal="right" readingOrder="0" vertical="bottom"/>
    </xf>
    <xf borderId="0" fillId="2" fontId="3" numFmtId="0" xfId="0" applyAlignment="1" applyFill="1" applyFont="1">
      <alignment horizontal="right" readingOrder="0"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3" numFmtId="0" xfId="0" applyAlignment="1" applyBorder="1" applyFont="1">
      <alignment horizontal="right" readingOrder="0" vertical="bottom"/>
    </xf>
    <xf borderId="2" fillId="3" fontId="7" numFmtId="0" xfId="0" applyAlignment="1" applyBorder="1" applyFill="1" applyFont="1">
      <alignment horizontal="left" vertical="center"/>
    </xf>
    <xf borderId="3" fillId="3" fontId="7" numFmtId="0" xfId="0" applyAlignment="1" applyBorder="1" applyFont="1">
      <alignment horizontal="center" vertical="center"/>
    </xf>
    <xf borderId="3" fillId="3" fontId="8" numFmtId="0" xfId="0" applyAlignment="1" applyBorder="1" applyFont="1">
      <alignment horizontal="left" vertical="center"/>
    </xf>
    <xf borderId="4" fillId="3" fontId="8" numFmtId="0" xfId="0" applyAlignment="1" applyBorder="1" applyFont="1">
      <alignment horizontal="right" vertical="center"/>
    </xf>
    <xf borderId="0" fillId="0" fontId="9" numFmtId="0" xfId="0" applyFont="1"/>
    <xf borderId="5" fillId="3" fontId="10" numFmtId="0" xfId="0" applyAlignment="1" applyBorder="1" applyFont="1">
      <alignment horizontal="left"/>
    </xf>
    <xf borderId="6" fillId="0" fontId="11" numFmtId="0" xfId="0" applyBorder="1" applyFont="1"/>
    <xf borderId="7" fillId="3" fontId="12" numFmtId="0" xfId="0" applyAlignment="1" applyBorder="1" applyFont="1">
      <alignment horizontal="left"/>
    </xf>
    <xf borderId="8" fillId="3" fontId="13" numFmtId="0" xfId="0" applyAlignment="1" applyBorder="1" applyFont="1">
      <alignment horizontal="right"/>
    </xf>
    <xf borderId="0" fillId="0" fontId="14" numFmtId="0" xfId="0" applyFont="1"/>
    <xf borderId="9" fillId="0" fontId="15" numFmtId="0" xfId="0" applyAlignment="1" applyBorder="1" applyFont="1">
      <alignment horizontal="left" shrinkToFit="0" vertical="top" wrapText="1"/>
    </xf>
    <xf borderId="10" fillId="0" fontId="11" numFmtId="0" xfId="0" applyBorder="1" applyFont="1"/>
    <xf borderId="0" fillId="0" fontId="15" numFmtId="0" xfId="0" applyFont="1"/>
    <xf borderId="0" fillId="0" fontId="16" numFmtId="0" xfId="0" applyFont="1"/>
    <xf borderId="11" fillId="4" fontId="17" numFmtId="0" xfId="0" applyAlignment="1" applyBorder="1" applyFill="1" applyFont="1">
      <alignment horizontal="center" vertical="center"/>
    </xf>
    <xf borderId="9" fillId="0" fontId="17" numFmtId="0" xfId="0" applyAlignment="1" applyBorder="1" applyFont="1">
      <alignment horizontal="center" vertical="center"/>
    </xf>
    <xf borderId="12" fillId="0" fontId="11" numFmtId="0" xfId="0" applyBorder="1" applyFont="1"/>
    <xf borderId="0" fillId="0" fontId="18" numFmtId="0" xfId="0" applyFont="1"/>
    <xf borderId="0" fillId="0" fontId="19" numFmtId="0" xfId="0" applyFont="1"/>
    <xf borderId="11" fillId="4" fontId="18" numFmtId="0" xfId="0" applyAlignment="1" applyBorder="1" applyFont="1">
      <alignment horizontal="center" vertical="center"/>
    </xf>
    <xf borderId="9" fillId="0" fontId="18" numFmtId="0" xfId="0" applyAlignment="1" applyBorder="1" applyFont="1">
      <alignment horizontal="center" vertical="center"/>
    </xf>
    <xf borderId="11" fillId="0" fontId="18" numFmtId="0" xfId="0" applyAlignment="1" applyBorder="1" applyFont="1">
      <alignment horizontal="center" vertical="center"/>
    </xf>
    <xf borderId="11" fillId="0" fontId="18" numFmtId="0" xfId="0" applyAlignment="1" applyBorder="1" applyFont="1">
      <alignment horizontal="center" shrinkToFit="0" vertical="center" wrapText="1"/>
    </xf>
    <xf borderId="11" fillId="4" fontId="15" numFmtId="0" xfId="0" applyAlignment="1" applyBorder="1" applyFont="1">
      <alignment horizontal="left" shrinkToFit="0" vertical="top" wrapText="1"/>
    </xf>
    <xf borderId="11" fillId="0" fontId="15" numFmtId="0" xfId="0" applyAlignment="1" applyBorder="1" applyFont="1">
      <alignment horizontal="left" shrinkToFit="0" vertical="top" wrapText="1"/>
    </xf>
    <xf borderId="11" fillId="0" fontId="15" numFmtId="0" xfId="0" applyAlignment="1" applyBorder="1" applyFont="1">
      <alignment shrinkToFit="0" vertical="top" wrapText="1"/>
    </xf>
    <xf borderId="11" fillId="4" fontId="18" numFmtId="0" xfId="0" applyAlignment="1" applyBorder="1" applyFont="1">
      <alignment shrinkToFit="0" vertical="top" wrapText="1"/>
    </xf>
    <xf borderId="11" fillId="0" fontId="18" numFmtId="0" xfId="0" applyAlignment="1" applyBorder="1" applyFont="1">
      <alignment shrinkToFit="0" vertical="top" wrapText="1"/>
    </xf>
    <xf borderId="0" fillId="0" fontId="15" numFmtId="0" xfId="0" applyAlignment="1" applyFont="1">
      <alignment vertical="top"/>
    </xf>
    <xf borderId="0" fillId="0" fontId="16" numFmtId="0" xfId="0" applyAlignment="1" applyFont="1">
      <alignment vertical="top"/>
    </xf>
    <xf borderId="9" fillId="0" fontId="15" numFmtId="0" xfId="0" applyAlignment="1" applyBorder="1" applyFont="1">
      <alignment shrinkToFit="0" vertical="top" wrapText="1"/>
    </xf>
    <xf borderId="13" fillId="0" fontId="11" numFmtId="0" xfId="0" applyBorder="1" applyFont="1"/>
    <xf borderId="14" fillId="0" fontId="15" numFmtId="0" xfId="0" applyAlignment="1" applyBorder="1" applyFont="1">
      <alignment horizontal="left" shrinkToFit="0" vertical="top" wrapText="1"/>
    </xf>
    <xf borderId="15" fillId="0" fontId="18" numFmtId="0" xfId="0" applyAlignment="1" applyBorder="1" applyFont="1">
      <alignment shrinkToFit="0" vertical="top" wrapText="1"/>
    </xf>
    <xf borderId="0" fillId="0" fontId="15" numFmtId="0" xfId="0" applyAlignment="1" applyFont="1">
      <alignment horizontal="left" shrinkToFit="0" vertical="center" wrapText="1"/>
    </xf>
    <xf borderId="0" fillId="0" fontId="20" numFmtId="0" xfId="0" applyFont="1"/>
    <xf borderId="0" fillId="0" fontId="21" numFmtId="0" xfId="0" applyFont="1"/>
    <xf borderId="0" fillId="0" fontId="15" numFmtId="0" xfId="0" applyAlignment="1" applyFont="1">
      <alignment horizontal="left" vertical="center"/>
    </xf>
    <xf borderId="0" fillId="0" fontId="22" numFmtId="0" xfId="0" applyAlignment="1" applyFont="1">
      <alignment horizontal="left" vertical="center"/>
    </xf>
    <xf borderId="0" fillId="0" fontId="22" numFmtId="0" xfId="0" applyAlignment="1" applyFont="1">
      <alignment horizontal="left" shrinkToFit="0" vertical="center" wrapText="1"/>
    </xf>
    <xf borderId="0" fillId="0" fontId="16" numFmtId="0" xfId="0" applyAlignment="1" applyFont="1">
      <alignment horizontal="center"/>
    </xf>
    <xf borderId="0" fillId="0" fontId="23" numFmtId="0" xfId="0" applyFont="1"/>
    <xf borderId="0" fillId="0" fontId="4" numFmtId="0" xfId="0" applyFont="1"/>
    <xf borderId="0" fillId="0" fontId="4" numFmtId="164" xfId="0" applyFont="1" applyNumberFormat="1"/>
    <xf borderId="0" fillId="0" fontId="4" numFmtId="49" xfId="0" applyAlignment="1" applyFont="1" applyNumberFormat="1">
      <alignment readingOrder="0"/>
    </xf>
    <xf borderId="0" fillId="0" fontId="4" numFmtId="49" xfId="0" applyFont="1" applyNumberFormat="1"/>
    <xf borderId="0" fillId="0" fontId="4" numFmtId="165" xfId="0" applyFont="1" applyNumberFormat="1"/>
    <xf borderId="0" fillId="0" fontId="4" numFmtId="11" xfId="0" applyFont="1" applyNumberFormat="1"/>
    <xf borderId="0" fillId="0" fontId="5" numFmtId="0" xfId="0" applyAlignment="1" applyFont="1">
      <alignment vertical="bottom"/>
    </xf>
    <xf borderId="0" fillId="0" fontId="6" numFmtId="0" xfId="0" applyAlignment="1" applyFont="1">
      <alignment vertical="bottom"/>
    </xf>
    <xf borderId="0" fillId="0" fontId="2" numFmtId="164" xfId="0" applyAlignment="1" applyFont="1" applyNumberForma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2" numFmtId="165" xfId="0" applyAlignment="1" applyFont="1" applyNumberFormat="1">
      <alignment vertical="bottom"/>
    </xf>
    <xf borderId="0" fillId="0" fontId="24" numFmtId="0" xfId="0" applyAlignment="1" applyFont="1">
      <alignment vertical="bottom"/>
    </xf>
    <xf borderId="0" fillId="0" fontId="2" numFmtId="0" xfId="0" applyAlignment="1" applyFont="1">
      <alignment horizontal="right" vertical="bottom"/>
    </xf>
    <xf borderId="0" fillId="0" fontId="2" numFmtId="11" xfId="0" applyAlignment="1" applyFont="1" applyNumberFormat="1">
      <alignment vertical="bottom"/>
    </xf>
    <xf borderId="16" fillId="3" fontId="25" numFmtId="0" xfId="0" applyAlignment="1" applyBorder="1" applyFont="1">
      <alignment horizontal="left" vertical="center"/>
    </xf>
    <xf borderId="17" fillId="3" fontId="26" numFmtId="0" xfId="0" applyAlignment="1" applyBorder="1" applyFont="1">
      <alignment horizontal="left" vertical="center"/>
    </xf>
    <xf borderId="18" fillId="3" fontId="25" numFmtId="0" xfId="0" applyAlignment="1" applyBorder="1" applyFont="1">
      <alignment horizontal="left" vertical="center"/>
    </xf>
    <xf borderId="18" fillId="3" fontId="26" numFmtId="0" xfId="0" applyAlignment="1" applyBorder="1" applyFont="1">
      <alignment horizontal="left" vertical="center"/>
    </xf>
    <xf borderId="18" fillId="5" fontId="26" numFmtId="0" xfId="0" applyAlignment="1" applyBorder="1" applyFill="1" applyFont="1">
      <alignment horizontal="left" vertical="center"/>
    </xf>
    <xf borderId="18" fillId="5" fontId="26" numFmtId="0" xfId="0" applyAlignment="1" applyBorder="1" applyFont="1">
      <alignment horizontal="center" vertical="center"/>
    </xf>
    <xf borderId="18" fillId="3" fontId="26" numFmtId="0" xfId="0" applyAlignment="1" applyBorder="1" applyFont="1">
      <alignment horizontal="center" vertical="center"/>
    </xf>
    <xf borderId="19" fillId="3" fontId="27" numFmtId="0" xfId="0" applyAlignment="1" applyBorder="1" applyFont="1">
      <alignment horizontal="right" vertical="center"/>
    </xf>
    <xf borderId="8" fillId="6" fontId="25" numFmtId="0" xfId="0" applyAlignment="1" applyBorder="1" applyFill="1" applyFont="1">
      <alignment vertical="center"/>
    </xf>
    <xf borderId="20" fillId="3" fontId="28" numFmtId="0" xfId="0" applyAlignment="1" applyBorder="1" applyFont="1">
      <alignment vertical="center"/>
    </xf>
    <xf borderId="21" fillId="3" fontId="29" numFmtId="0" xfId="0" applyAlignment="1" applyBorder="1" applyFont="1">
      <alignment horizontal="left" vertical="center"/>
    </xf>
    <xf borderId="22" fillId="3" fontId="28" numFmtId="0" xfId="0" applyAlignment="1" applyBorder="1" applyFont="1">
      <alignment vertical="center"/>
    </xf>
    <xf borderId="22" fillId="3" fontId="29" numFmtId="0" xfId="0" applyAlignment="1" applyBorder="1" applyFont="1">
      <alignment horizontal="left" vertical="center"/>
    </xf>
    <xf borderId="22" fillId="5" fontId="29" numFmtId="0" xfId="0" applyAlignment="1" applyBorder="1" applyFont="1">
      <alignment horizontal="left" vertical="center"/>
    </xf>
    <xf borderId="22" fillId="3" fontId="29" numFmtId="0" xfId="0" applyAlignment="1" applyBorder="1" applyFont="1">
      <alignment vertical="center"/>
    </xf>
    <xf borderId="23" fillId="3" fontId="30" numFmtId="0" xfId="0" applyAlignment="1" applyBorder="1" applyFont="1">
      <alignment horizontal="right" vertical="center"/>
    </xf>
    <xf borderId="8" fillId="6" fontId="28" numFmtId="0" xfId="0" applyAlignment="1" applyBorder="1" applyFont="1">
      <alignment vertical="center"/>
    </xf>
    <xf borderId="24" fillId="6" fontId="15" numFmtId="0" xfId="0" applyAlignment="1" applyBorder="1" applyFont="1">
      <alignment vertical="center"/>
    </xf>
    <xf borderId="25" fillId="6" fontId="18" numFmtId="0" xfId="0" applyAlignment="1" applyBorder="1" applyFont="1">
      <alignment vertical="center"/>
    </xf>
    <xf borderId="26" fillId="6" fontId="15" numFmtId="0" xfId="0" applyAlignment="1" applyBorder="1" applyFont="1">
      <alignment vertical="center"/>
    </xf>
    <xf borderId="27" fillId="6" fontId="18" numFmtId="0" xfId="0" applyAlignment="1" applyBorder="1" applyFont="1">
      <alignment vertical="center"/>
    </xf>
    <xf borderId="8" fillId="6" fontId="15" numFmtId="0" xfId="0" applyAlignment="1" applyBorder="1" applyFont="1">
      <alignment vertical="center"/>
    </xf>
    <xf borderId="8" fillId="6" fontId="15" numFmtId="166" xfId="0" applyAlignment="1" applyBorder="1" applyFont="1" applyNumberFormat="1">
      <alignment vertical="center"/>
    </xf>
    <xf borderId="8" fillId="6" fontId="15" numFmtId="167" xfId="0" applyAlignment="1" applyBorder="1" applyFont="1" applyNumberFormat="1">
      <alignment vertical="center"/>
    </xf>
    <xf borderId="25" fillId="6" fontId="31" numFmtId="0" xfId="0" applyAlignment="1" applyBorder="1" applyFont="1">
      <alignment horizontal="left" vertical="center"/>
    </xf>
    <xf borderId="28" fillId="6" fontId="18" numFmtId="0" xfId="0" applyAlignment="1" applyBorder="1" applyFont="1">
      <alignment shrinkToFit="0" vertical="center" wrapText="1"/>
    </xf>
    <xf borderId="29" fillId="6" fontId="32" numFmtId="0" xfId="0" applyAlignment="1" applyBorder="1" applyFont="1">
      <alignment horizontal="left" shrinkToFit="0" vertical="center" wrapText="1"/>
    </xf>
    <xf borderId="26" fillId="6" fontId="18" numFmtId="0" xfId="0" applyAlignment="1" applyBorder="1" applyFont="1">
      <alignment shrinkToFit="0" vertical="center" wrapText="1"/>
    </xf>
    <xf borderId="30" fillId="6" fontId="32" numFmtId="0" xfId="0" applyAlignment="1" applyBorder="1" applyFont="1">
      <alignment horizontal="left" shrinkToFit="0" vertical="center" wrapText="1"/>
    </xf>
    <xf borderId="29" fillId="6" fontId="18" numFmtId="0" xfId="0" applyAlignment="1" applyBorder="1" applyFont="1">
      <alignment horizontal="center" shrinkToFit="0" vertical="center" wrapText="1"/>
    </xf>
    <xf borderId="29" fillId="6" fontId="33" numFmtId="0" xfId="0" applyAlignment="1" applyBorder="1" applyFont="1">
      <alignment horizontal="center" shrinkToFit="0" textRotation="90" vertical="center" wrapText="1"/>
    </xf>
    <xf borderId="31" fillId="4" fontId="33" numFmtId="0" xfId="0" applyAlignment="1" applyBorder="1" applyFont="1">
      <alignment horizontal="center" shrinkToFit="0" vertical="center" wrapText="1"/>
    </xf>
    <xf borderId="32" fillId="0" fontId="11" numFmtId="0" xfId="0" applyBorder="1" applyFont="1"/>
    <xf borderId="33" fillId="0" fontId="11" numFmtId="0" xfId="0" applyBorder="1" applyFont="1"/>
    <xf borderId="31" fillId="6" fontId="33" numFmtId="0" xfId="0" applyAlignment="1" applyBorder="1" applyFont="1">
      <alignment horizontal="center" shrinkToFit="0" vertical="center" wrapText="1"/>
    </xf>
    <xf borderId="29" fillId="6" fontId="34" numFmtId="0" xfId="0" applyAlignment="1" applyBorder="1" applyFont="1">
      <alignment horizontal="left" shrinkToFit="0" vertical="center" wrapText="1"/>
    </xf>
    <xf borderId="34" fillId="6" fontId="35" numFmtId="0" xfId="0" applyAlignment="1" applyBorder="1" applyFont="1">
      <alignment shrinkToFit="0" vertical="center" wrapText="1"/>
    </xf>
    <xf borderId="35" fillId="0" fontId="11" numFmtId="0" xfId="0" applyBorder="1" applyFont="1"/>
    <xf borderId="36" fillId="6" fontId="35" numFmtId="0" xfId="0" applyAlignment="1" applyBorder="1" applyFont="1">
      <alignment shrinkToFit="0" vertical="center" wrapText="1"/>
    </xf>
    <xf borderId="37" fillId="0" fontId="11" numFmtId="0" xfId="0" applyBorder="1" applyFont="1"/>
    <xf borderId="38" fillId="0" fontId="11" numFmtId="0" xfId="0" applyBorder="1" applyFont="1"/>
    <xf borderId="39" fillId="4" fontId="36" numFmtId="0" xfId="0" applyAlignment="1" applyBorder="1" applyFont="1">
      <alignment horizontal="center" shrinkToFit="0" vertical="center" wrapText="1"/>
    </xf>
    <xf borderId="40" fillId="0" fontId="11" numFmtId="0" xfId="0" applyBorder="1" applyFont="1"/>
    <xf borderId="41" fillId="0" fontId="11" numFmtId="0" xfId="0" applyBorder="1" applyFont="1"/>
    <xf borderId="42" fillId="6" fontId="33" numFmtId="0" xfId="0" applyAlignment="1" applyBorder="1" applyFont="1">
      <alignment horizontal="center" shrinkToFit="0" vertical="center" wrapText="1"/>
    </xf>
    <xf borderId="43" fillId="0" fontId="11" numFmtId="0" xfId="0" applyBorder="1" applyFont="1"/>
    <xf borderId="44" fillId="0" fontId="11" numFmtId="0" xfId="0" applyBorder="1" applyFont="1"/>
    <xf borderId="42" fillId="6" fontId="37" numFmtId="0" xfId="0" applyAlignment="1" applyBorder="1" applyFont="1">
      <alignment horizontal="center" shrinkToFit="0" vertical="center" wrapText="1"/>
    </xf>
    <xf borderId="42" fillId="6" fontId="36" numFmtId="0" xfId="0" applyAlignment="1" applyBorder="1" applyFont="1">
      <alignment horizontal="center" shrinkToFit="0" vertical="center" wrapText="1"/>
    </xf>
    <xf borderId="45" fillId="0" fontId="11" numFmtId="0" xfId="0" applyBorder="1" applyFont="1"/>
    <xf borderId="46" fillId="0" fontId="11" numFmtId="0" xfId="0" applyBorder="1" applyFont="1"/>
    <xf borderId="34" fillId="6" fontId="18" numFmtId="0" xfId="0" applyAlignment="1" applyBorder="1" applyFont="1">
      <alignment horizontal="center" shrinkToFit="0" vertical="center" wrapText="1"/>
    </xf>
    <xf borderId="47" fillId="0" fontId="11" numFmtId="0" xfId="0" applyBorder="1" applyFont="1"/>
    <xf borderId="48" fillId="0" fontId="11" numFmtId="0" xfId="0" applyBorder="1" applyFont="1"/>
    <xf borderId="49" fillId="0" fontId="11" numFmtId="0" xfId="0" applyBorder="1" applyFont="1"/>
    <xf borderId="50" fillId="6" fontId="36" numFmtId="0" xfId="0" applyAlignment="1" applyBorder="1" applyFont="1">
      <alignment horizontal="center" shrinkToFit="0" vertical="center" wrapText="1"/>
    </xf>
    <xf borderId="51" fillId="0" fontId="11" numFmtId="0" xfId="0" applyBorder="1" applyFont="1"/>
    <xf borderId="52" fillId="0" fontId="11" numFmtId="0" xfId="0" applyBorder="1" applyFont="1"/>
    <xf borderId="50" fillId="6" fontId="38" numFmtId="0" xfId="0" applyAlignment="1" applyBorder="1" applyFont="1">
      <alignment horizontal="center" shrinkToFit="0" vertical="center" wrapText="1"/>
    </xf>
    <xf borderId="53" fillId="6" fontId="15" numFmtId="0" xfId="0" applyAlignment="1" applyBorder="1" applyFont="1">
      <alignment vertical="center"/>
    </xf>
    <xf borderId="34" fillId="6" fontId="18" numFmtId="0" xfId="0" applyAlignment="1" applyBorder="1" applyFont="1">
      <alignment horizontal="left" shrinkToFit="0" vertical="center" wrapText="1"/>
    </xf>
    <xf borderId="54" fillId="6" fontId="17" numFmtId="0" xfId="0" applyAlignment="1" applyBorder="1" applyFont="1">
      <alignment shrinkToFit="0" vertical="center" wrapText="1"/>
    </xf>
    <xf borderId="28" fillId="4" fontId="39" numFmtId="0" xfId="0" applyAlignment="1" applyBorder="1" applyFont="1">
      <alignment horizontal="center" shrinkToFit="0" vertical="center" wrapText="1"/>
    </xf>
    <xf borderId="28" fillId="4" fontId="35" numFmtId="0" xfId="0" applyAlignment="1" applyBorder="1" applyFont="1">
      <alignment horizontal="center" shrinkToFit="0" vertical="center" wrapText="1"/>
    </xf>
    <xf borderId="28" fillId="6" fontId="39" numFmtId="0" xfId="0" applyAlignment="1" applyBorder="1" applyFont="1">
      <alignment horizontal="center" shrinkToFit="0" vertical="center" wrapText="1"/>
    </xf>
    <xf borderId="28" fillId="6" fontId="35" numFmtId="0" xfId="0" applyAlignment="1" applyBorder="1" applyFont="1">
      <alignment horizontal="center" shrinkToFit="0" vertical="center" wrapText="1"/>
    </xf>
    <xf borderId="34" fillId="6" fontId="15" numFmtId="0" xfId="0" applyAlignment="1" applyBorder="1" applyFont="1">
      <alignment horizontal="left" shrinkToFit="0" vertical="top" wrapText="1"/>
    </xf>
    <xf borderId="53" fillId="6" fontId="35" numFmtId="0" xfId="0" applyAlignment="1" applyBorder="1" applyFont="1">
      <alignment vertical="center"/>
    </xf>
    <xf borderId="53" fillId="4" fontId="40" numFmtId="0" xfId="0" applyAlignment="1" applyBorder="1" applyFont="1">
      <alignment horizontal="center" shrinkToFit="0" vertical="center" wrapText="1"/>
    </xf>
    <xf borderId="53" fillId="4" fontId="35" numFmtId="0" xfId="0" applyAlignment="1" applyBorder="1" applyFont="1">
      <alignment horizontal="center" shrinkToFit="0" vertical="center" wrapText="1"/>
    </xf>
    <xf borderId="53" fillId="6" fontId="40" numFmtId="0" xfId="0" applyAlignment="1" applyBorder="1" applyFont="1">
      <alignment horizontal="center" shrinkToFit="0" vertical="center" wrapText="1"/>
    </xf>
    <xf borderId="53" fillId="6" fontId="41" numFmtId="0" xfId="0" applyAlignment="1" applyBorder="1" applyFont="1">
      <alignment horizontal="center" shrinkToFit="0" vertical="center" wrapText="1"/>
    </xf>
    <xf borderId="8" fillId="6" fontId="35" numFmtId="0" xfId="0" applyAlignment="1" applyBorder="1" applyFont="1">
      <alignment vertical="center"/>
    </xf>
    <xf borderId="55" fillId="6" fontId="35" numFmtId="0" xfId="0" applyAlignment="1" applyBorder="1" applyFont="1">
      <alignment vertical="center"/>
    </xf>
    <xf borderId="55" fillId="6" fontId="17" numFmtId="0" xfId="0" applyAlignment="1" applyBorder="1" applyFont="1">
      <alignment shrinkToFit="0" vertical="center" wrapText="1"/>
    </xf>
    <xf borderId="55" fillId="6" fontId="15" numFmtId="0" xfId="0" applyAlignment="1" applyBorder="1" applyFont="1">
      <alignment horizontal="center" shrinkToFit="0" vertical="center" wrapText="1"/>
    </xf>
    <xf borderId="56" fillId="0" fontId="11" numFmtId="0" xfId="0" applyBorder="1" applyFont="1"/>
    <xf borderId="55" fillId="4" fontId="35" numFmtId="0" xfId="0" applyAlignment="1" applyBorder="1" applyFont="1">
      <alignment horizontal="center" shrinkToFit="0" vertical="center" wrapText="1"/>
    </xf>
    <xf borderId="55" fillId="6" fontId="42" numFmtId="3" xfId="0" applyAlignment="1" applyBorder="1" applyFont="1" applyNumberFormat="1">
      <alignment horizontal="center" shrinkToFit="0" vertical="center" wrapText="1"/>
    </xf>
    <xf borderId="55" fillId="6" fontId="35" numFmtId="168" xfId="0" applyAlignment="1" applyBorder="1" applyFont="1" applyNumberFormat="1">
      <alignment horizontal="center" shrinkToFit="0" vertical="center" wrapText="1"/>
    </xf>
    <xf borderId="55" fillId="6" fontId="43" numFmtId="0" xfId="0" applyAlignment="1" applyBorder="1" applyFont="1">
      <alignment horizontal="left" shrinkToFit="0" vertical="center" wrapText="1"/>
    </xf>
    <xf borderId="57" fillId="7" fontId="44" numFmtId="169" xfId="0" applyAlignment="1" applyBorder="1" applyFill="1" applyFont="1" applyNumberFormat="1">
      <alignment horizontal="left" shrinkToFit="0" vertical="center" wrapText="1"/>
    </xf>
    <xf borderId="57" fillId="7" fontId="44" numFmtId="0" xfId="0" applyAlignment="1" applyBorder="1" applyFont="1">
      <alignment shrinkToFit="0" vertical="center" wrapText="1"/>
    </xf>
    <xf borderId="57" fillId="7" fontId="44" numFmtId="169" xfId="0" applyAlignment="1" applyBorder="1" applyFont="1" applyNumberFormat="1">
      <alignment shrinkToFit="0" vertical="center" wrapText="1"/>
    </xf>
    <xf borderId="57" fillId="8" fontId="44" numFmtId="0" xfId="0" applyAlignment="1" applyBorder="1" applyFill="1" applyFont="1">
      <alignment horizontal="center" shrinkToFit="0" vertical="center" wrapText="1"/>
    </xf>
    <xf borderId="57" fillId="7" fontId="45" numFmtId="0" xfId="0" applyAlignment="1" applyBorder="1" applyFont="1">
      <alignment shrinkToFit="0" vertical="center" wrapText="1"/>
    </xf>
    <xf borderId="57" fillId="7" fontId="44" numFmtId="170" xfId="0" applyAlignment="1" applyBorder="1" applyFont="1" applyNumberFormat="1">
      <alignment horizontal="center" shrinkToFit="0" vertical="center" wrapText="1"/>
    </xf>
    <xf borderId="57" fillId="7" fontId="20" numFmtId="0" xfId="0" applyAlignment="1" applyBorder="1" applyFont="1">
      <alignment horizontal="center" shrinkToFit="0" vertical="center" wrapText="1"/>
    </xf>
    <xf borderId="57" fillId="7" fontId="20" numFmtId="167" xfId="0" applyAlignment="1" applyBorder="1" applyFont="1" applyNumberFormat="1">
      <alignment horizontal="center" shrinkToFit="0" vertical="center" wrapText="1"/>
    </xf>
    <xf borderId="57" fillId="7" fontId="44" numFmtId="0" xfId="0" applyAlignment="1" applyBorder="1" applyFont="1">
      <alignment horizontal="center" shrinkToFit="0" vertical="center" wrapText="1"/>
    </xf>
    <xf borderId="57" fillId="7" fontId="45" numFmtId="0" xfId="0" applyAlignment="1" applyBorder="1" applyFont="1">
      <alignment horizontal="left" shrinkToFit="0" vertical="center" wrapText="1"/>
    </xf>
    <xf quotePrefix="1" borderId="57" fillId="6" fontId="20" numFmtId="0" xfId="0" applyAlignment="1" applyBorder="1" applyFont="1">
      <alignment horizontal="left" shrinkToFit="0" vertical="center" wrapText="1"/>
    </xf>
    <xf borderId="57" fillId="6" fontId="20" numFmtId="0" xfId="0" applyAlignment="1" applyBorder="1" applyFont="1">
      <alignment shrinkToFit="0" vertical="center" wrapText="1"/>
    </xf>
    <xf borderId="57" fillId="6" fontId="20" numFmtId="167" xfId="0" applyAlignment="1" applyBorder="1" applyFont="1" applyNumberFormat="1">
      <alignment horizontal="center" shrinkToFit="0" vertical="center" wrapText="1"/>
    </xf>
    <xf borderId="57" fillId="6" fontId="20" numFmtId="0" xfId="0" applyAlignment="1" applyBorder="1" applyFont="1">
      <alignment horizontal="center" shrinkToFit="0" vertical="center" wrapText="1"/>
    </xf>
    <xf borderId="57" fillId="4" fontId="44" numFmtId="3" xfId="0" applyAlignment="1" applyBorder="1" applyFont="1" applyNumberFormat="1">
      <alignment horizontal="center" shrinkToFit="0" vertical="center" wrapText="1"/>
    </xf>
    <xf borderId="57" fillId="4" fontId="20" numFmtId="3" xfId="0" applyAlignment="1" applyBorder="1" applyFont="1" applyNumberFormat="1">
      <alignment horizontal="center" shrinkToFit="0" vertical="center" wrapText="1"/>
    </xf>
    <xf borderId="57" fillId="0" fontId="44" numFmtId="1" xfId="0" applyAlignment="1" applyBorder="1" applyFont="1" applyNumberFormat="1">
      <alignment horizontal="center" shrinkToFit="0" vertical="center" wrapText="1"/>
    </xf>
    <xf borderId="57" fillId="0" fontId="20" numFmtId="1" xfId="0" applyAlignment="1" applyBorder="1" applyFont="1" applyNumberFormat="1">
      <alignment horizontal="center" shrinkToFit="0" vertical="center" wrapText="1"/>
    </xf>
    <xf borderId="57" fillId="0" fontId="46" numFmtId="0" xfId="0" applyAlignment="1" applyBorder="1" applyFont="1">
      <alignment horizontal="left" shrinkToFit="0" vertical="center" wrapText="1"/>
    </xf>
    <xf borderId="8" fillId="6" fontId="20" numFmtId="0" xfId="0" applyAlignment="1" applyBorder="1" applyFont="1">
      <alignment vertical="center"/>
    </xf>
    <xf borderId="57" fillId="6" fontId="44" numFmtId="1" xfId="0" applyAlignment="1" applyBorder="1" applyFont="1" applyNumberFormat="1">
      <alignment horizontal="center" shrinkToFit="0" vertical="center" wrapText="1"/>
    </xf>
    <xf borderId="57" fillId="6" fontId="20" numFmtId="1" xfId="0" applyAlignment="1" applyBorder="1" applyFont="1" applyNumberFormat="1">
      <alignment horizontal="center" shrinkToFit="0" vertical="center" wrapText="1"/>
    </xf>
    <xf borderId="57" fillId="6" fontId="46" numFmtId="0" xfId="0" applyAlignment="1" applyBorder="1" applyFont="1">
      <alignment horizontal="left" shrinkToFit="0" vertical="center" wrapText="1"/>
    </xf>
    <xf borderId="57" fillId="6" fontId="20" numFmtId="11" xfId="0" applyAlignment="1" applyBorder="1" applyFont="1" applyNumberFormat="1">
      <alignment horizontal="center" shrinkToFit="0" vertical="center" wrapText="1"/>
    </xf>
    <xf quotePrefix="1" borderId="57" fillId="7" fontId="18" numFmtId="169" xfId="0" applyAlignment="1" applyBorder="1" applyFont="1" applyNumberFormat="1">
      <alignment shrinkToFit="0" vertical="center" wrapText="1"/>
    </xf>
    <xf borderId="57" fillId="7" fontId="18" numFmtId="169" xfId="0" applyAlignment="1" applyBorder="1" applyFont="1" applyNumberFormat="1">
      <alignment shrinkToFit="0" vertical="center" wrapText="1"/>
    </xf>
    <xf borderId="57" fillId="7" fontId="18" numFmtId="0" xfId="0" applyAlignment="1" applyBorder="1" applyFont="1">
      <alignment shrinkToFit="0" vertical="center" wrapText="1"/>
    </xf>
    <xf borderId="57" fillId="8" fontId="18" numFmtId="0" xfId="0" applyAlignment="1" applyBorder="1" applyFont="1">
      <alignment horizontal="center" shrinkToFit="0" vertical="center" wrapText="1"/>
    </xf>
    <xf borderId="57" fillId="7" fontId="47" numFmtId="0" xfId="0" applyAlignment="1" applyBorder="1" applyFont="1">
      <alignment shrinkToFit="0" vertical="center" wrapText="1"/>
    </xf>
    <xf borderId="57" fillId="7" fontId="18" numFmtId="0" xfId="0" applyAlignment="1" applyBorder="1" applyFont="1">
      <alignment horizontal="center" shrinkToFit="0" vertical="center" wrapText="1"/>
    </xf>
    <xf borderId="57" fillId="7" fontId="15" numFmtId="0" xfId="0" applyAlignment="1" applyBorder="1" applyFont="1">
      <alignment horizontal="center" shrinkToFit="0" vertical="center" wrapText="1"/>
    </xf>
    <xf borderId="57" fillId="6" fontId="15" numFmtId="171" xfId="0" applyAlignment="1" applyBorder="1" applyFont="1" applyNumberFormat="1">
      <alignment horizontal="left" vertical="center"/>
    </xf>
    <xf borderId="57" fillId="6" fontId="15" numFmtId="171" xfId="0" applyAlignment="1" applyBorder="1" applyFont="1" applyNumberFormat="1">
      <alignment vertical="center"/>
    </xf>
    <xf borderId="57" fillId="6" fontId="15" numFmtId="0" xfId="0" applyAlignment="1" applyBorder="1" applyFont="1">
      <alignment shrinkToFit="0" vertical="center" wrapText="1"/>
    </xf>
    <xf borderId="57" fillId="6" fontId="20" numFmtId="3" xfId="0" applyAlignment="1" applyBorder="1" applyFont="1" applyNumberFormat="1">
      <alignment horizontal="center" shrinkToFit="0" vertical="center" wrapText="1"/>
    </xf>
    <xf borderId="57" fillId="6" fontId="15" numFmtId="0" xfId="0" applyAlignment="1" applyBorder="1" applyFont="1">
      <alignment horizontal="center" shrinkToFit="0" vertical="center" wrapText="1"/>
    </xf>
    <xf borderId="57" fillId="4" fontId="44" numFmtId="170" xfId="0" applyAlignment="1" applyBorder="1" applyFont="1" applyNumberFormat="1">
      <alignment horizontal="center" shrinkToFit="0" vertical="center" wrapText="1"/>
    </xf>
    <xf borderId="57" fillId="4" fontId="20" numFmtId="170" xfId="0" applyAlignment="1" applyBorder="1" applyFont="1" applyNumberFormat="1">
      <alignment horizontal="center" shrinkToFit="0" vertical="center" wrapText="1"/>
    </xf>
    <xf borderId="57" fillId="6" fontId="44" numFmtId="167" xfId="0" applyAlignment="1" applyBorder="1" applyFont="1" applyNumberFormat="1">
      <alignment horizontal="center" shrinkToFit="0" vertical="center" wrapText="1"/>
    </xf>
    <xf borderId="57" fillId="6" fontId="44" numFmtId="172" xfId="0" applyAlignment="1" applyBorder="1" applyFont="1" applyNumberFormat="1">
      <alignment horizontal="center" shrinkToFit="0" vertical="center" wrapText="1"/>
    </xf>
    <xf borderId="57" fillId="6" fontId="20" numFmtId="172" xfId="0" applyAlignment="1" applyBorder="1" applyFont="1" applyNumberFormat="1">
      <alignment horizontal="center" shrinkToFit="0" vertical="center" wrapText="1"/>
    </xf>
    <xf borderId="57" fillId="6" fontId="20" numFmtId="173" xfId="0" applyAlignment="1" applyBorder="1" applyFont="1" applyNumberFormat="1">
      <alignment horizontal="center" shrinkToFit="0" vertical="center" wrapText="1"/>
    </xf>
    <xf quotePrefix="1" borderId="57" fillId="6" fontId="15" numFmtId="171" xfId="0" applyAlignment="1" applyBorder="1" applyFont="1" applyNumberFormat="1">
      <alignment horizontal="left" vertical="center"/>
    </xf>
    <xf borderId="57" fillId="6" fontId="46" numFmtId="0" xfId="0" applyAlignment="1" applyBorder="1" applyFont="1">
      <alignment shrinkToFit="0" vertical="center" wrapText="1"/>
    </xf>
    <xf borderId="57" fillId="4" fontId="44" numFmtId="1" xfId="0" applyAlignment="1" applyBorder="1" applyFont="1" applyNumberFormat="1">
      <alignment horizontal="center" shrinkToFit="0" vertical="center" wrapText="1"/>
    </xf>
    <xf borderId="57" fillId="4" fontId="20" numFmtId="1" xfId="0" applyAlignment="1" applyBorder="1" applyFont="1" applyNumberFormat="1">
      <alignment horizontal="center" shrinkToFit="0" vertical="center" wrapText="1"/>
    </xf>
    <xf borderId="57" fillId="6" fontId="20" numFmtId="171" xfId="0" applyAlignment="1" applyBorder="1" applyFont="1" applyNumberFormat="1">
      <alignment horizontal="left" vertical="center"/>
    </xf>
    <xf quotePrefix="1" borderId="57" fillId="6" fontId="20" numFmtId="171" xfId="0" applyAlignment="1" applyBorder="1" applyFont="1" applyNumberFormat="1">
      <alignment horizontal="left" vertical="center"/>
    </xf>
    <xf quotePrefix="1" borderId="57" fillId="6" fontId="20" numFmtId="171" xfId="0" applyAlignment="1" applyBorder="1" applyFont="1" applyNumberFormat="1">
      <alignment vertical="center"/>
    </xf>
    <xf quotePrefix="1" borderId="57" fillId="9" fontId="20" numFmtId="171" xfId="0" applyAlignment="1" applyBorder="1" applyFill="1" applyFont="1" applyNumberFormat="1">
      <alignment horizontal="left" vertical="center"/>
    </xf>
    <xf borderId="57" fillId="9" fontId="20" numFmtId="0" xfId="0" applyAlignment="1" applyBorder="1" applyFont="1">
      <alignment shrinkToFit="0" vertical="center" wrapText="1"/>
    </xf>
    <xf borderId="57" fillId="9" fontId="20" numFmtId="171" xfId="0" applyAlignment="1" applyBorder="1" applyFont="1" applyNumberFormat="1">
      <alignment vertical="center"/>
    </xf>
    <xf borderId="57" fillId="9" fontId="20" numFmtId="3" xfId="0" applyAlignment="1" applyBorder="1" applyFont="1" applyNumberFormat="1">
      <alignment horizontal="center" shrinkToFit="0" vertical="center" wrapText="1"/>
    </xf>
    <xf borderId="57" fillId="9" fontId="20" numFmtId="0" xfId="0" applyAlignment="1" applyBorder="1" applyFont="1">
      <alignment horizontal="center" shrinkToFit="0" vertical="center" wrapText="1"/>
    </xf>
    <xf borderId="57" fillId="9" fontId="44" numFmtId="3" xfId="0" applyAlignment="1" applyBorder="1" applyFont="1" applyNumberFormat="1">
      <alignment horizontal="center" shrinkToFit="0" vertical="center" wrapText="1"/>
    </xf>
    <xf borderId="57" fillId="9" fontId="44" numFmtId="170" xfId="0" applyAlignment="1" applyBorder="1" applyFont="1" applyNumberFormat="1">
      <alignment horizontal="center" shrinkToFit="0" vertical="center" wrapText="1"/>
    </xf>
    <xf borderId="57" fillId="9" fontId="20" numFmtId="170" xfId="0" applyAlignment="1" applyBorder="1" applyFont="1" applyNumberFormat="1">
      <alignment horizontal="center" shrinkToFit="0" vertical="center" wrapText="1"/>
    </xf>
    <xf borderId="57" fillId="9" fontId="20" numFmtId="167" xfId="0" applyAlignment="1" applyBorder="1" applyFont="1" applyNumberFormat="1">
      <alignment horizontal="center" shrinkToFit="0" vertical="center" wrapText="1"/>
    </xf>
    <xf borderId="57" fillId="9" fontId="44" numFmtId="2" xfId="0" applyAlignment="1" applyBorder="1" applyFont="1" applyNumberFormat="1">
      <alignment horizontal="center" shrinkToFit="0" vertical="center" wrapText="1"/>
    </xf>
    <xf borderId="57" fillId="9" fontId="20" numFmtId="2" xfId="0" applyAlignment="1" applyBorder="1" applyFont="1" applyNumberFormat="1">
      <alignment horizontal="center" shrinkToFit="0" vertical="center" wrapText="1"/>
    </xf>
    <xf borderId="58" fillId="6" fontId="15" numFmtId="171" xfId="0" applyAlignment="1" applyBorder="1" applyFont="1" applyNumberFormat="1">
      <alignment horizontal="left" vertical="center"/>
    </xf>
    <xf borderId="59" fillId="0" fontId="11" numFmtId="0" xfId="0" applyBorder="1" applyFont="1"/>
    <xf borderId="60" fillId="0" fontId="11" numFmtId="0" xfId="0" applyBorder="1" applyFont="1"/>
    <xf quotePrefix="1" borderId="57" fillId="7" fontId="18" numFmtId="169" xfId="0" applyAlignment="1" applyBorder="1" applyFont="1" applyNumberFormat="1">
      <alignment horizontal="left" shrinkToFit="0" vertical="center" wrapText="1"/>
    </xf>
    <xf borderId="57" fillId="7" fontId="18" numFmtId="167" xfId="0" applyAlignment="1" applyBorder="1" applyFont="1" applyNumberFormat="1">
      <alignment horizontal="center" shrinkToFit="0" vertical="center" wrapText="1"/>
    </xf>
    <xf borderId="57" fillId="7" fontId="15" numFmtId="167" xfId="0" applyAlignment="1" applyBorder="1" applyFont="1" applyNumberFormat="1">
      <alignment horizontal="center" shrinkToFit="0" vertical="center" wrapText="1"/>
    </xf>
    <xf borderId="57" fillId="7" fontId="47" numFmtId="0" xfId="0" applyAlignment="1" applyBorder="1" applyFont="1">
      <alignment horizontal="left" shrinkToFit="0" vertical="center" wrapText="1"/>
    </xf>
    <xf borderId="57" fillId="6" fontId="15" numFmtId="3" xfId="0" applyAlignment="1" applyBorder="1" applyFont="1" applyNumberFormat="1">
      <alignment horizontal="center" shrinkToFit="0" vertical="center" wrapText="1"/>
    </xf>
    <xf borderId="57" fillId="6" fontId="44" numFmtId="2" xfId="0" applyAlignment="1" applyBorder="1" applyFont="1" applyNumberFormat="1">
      <alignment horizontal="center" shrinkToFit="0" vertical="center" wrapText="1"/>
    </xf>
    <xf borderId="57" fillId="6" fontId="20" numFmtId="2" xfId="0" applyAlignment="1" applyBorder="1" applyFont="1" applyNumberFormat="1">
      <alignment horizontal="center" shrinkToFit="0" vertical="center" wrapText="1"/>
    </xf>
    <xf borderId="57" fillId="6" fontId="31" numFmtId="0" xfId="0" applyAlignment="1" applyBorder="1" applyFont="1">
      <alignment horizontal="left" shrinkToFit="0" vertical="center" wrapText="1"/>
    </xf>
    <xf borderId="57" fillId="4" fontId="18" numFmtId="1" xfId="0" applyAlignment="1" applyBorder="1" applyFont="1" applyNumberFormat="1">
      <alignment horizontal="center" shrinkToFit="0" vertical="center" wrapText="1"/>
    </xf>
    <xf borderId="57" fillId="4" fontId="15" numFmtId="1" xfId="0" applyAlignment="1" applyBorder="1" applyFont="1" applyNumberFormat="1">
      <alignment horizontal="center" shrinkToFit="0" vertical="center" wrapText="1"/>
    </xf>
    <xf borderId="57" fillId="4" fontId="15" numFmtId="170" xfId="0" applyAlignment="1" applyBorder="1" applyFont="1" applyNumberFormat="1">
      <alignment horizontal="center" shrinkToFit="0" vertical="center" wrapText="1"/>
    </xf>
    <xf borderId="57" fillId="6" fontId="18" numFmtId="2" xfId="0" applyAlignment="1" applyBorder="1" applyFont="1" applyNumberFormat="1">
      <alignment horizontal="center" shrinkToFit="0" vertical="center" wrapText="1"/>
    </xf>
    <xf borderId="57" fillId="6" fontId="15" numFmtId="2" xfId="0" applyAlignment="1" applyBorder="1" applyFont="1" applyNumberFormat="1">
      <alignment horizontal="center" shrinkToFit="0" vertical="center" wrapText="1"/>
    </xf>
    <xf borderId="57" fillId="6" fontId="15" numFmtId="167" xfId="0" applyAlignment="1" applyBorder="1" applyFont="1" applyNumberFormat="1">
      <alignment horizontal="center" shrinkToFit="0" vertical="center" wrapText="1"/>
    </xf>
    <xf borderId="57" fillId="6" fontId="18" numFmtId="167" xfId="0" applyAlignment="1" applyBorder="1" applyFont="1" applyNumberFormat="1">
      <alignment horizontal="center" shrinkToFit="0" vertical="center" wrapText="1"/>
    </xf>
    <xf borderId="57" fillId="6" fontId="15" numFmtId="173" xfId="0" applyAlignment="1" applyBorder="1" applyFont="1" applyNumberFormat="1">
      <alignment horizontal="center" shrinkToFit="0" vertical="center" wrapText="1"/>
    </xf>
    <xf borderId="57" fillId="6" fontId="18" numFmtId="170" xfId="0" applyAlignment="1" applyBorder="1" applyFont="1" applyNumberFormat="1">
      <alignment horizontal="center" shrinkToFit="0" vertical="center" wrapText="1"/>
    </xf>
    <xf borderId="57" fillId="6" fontId="15" numFmtId="170" xfId="0" applyAlignment="1" applyBorder="1" applyFont="1" applyNumberFormat="1">
      <alignment horizontal="center" shrinkToFit="0" vertical="center" wrapText="1"/>
    </xf>
    <xf borderId="57" fillId="6" fontId="15" numFmtId="172" xfId="0" applyAlignment="1" applyBorder="1" applyFont="1" applyNumberFormat="1">
      <alignment horizontal="center" shrinkToFit="0" vertical="center" wrapText="1"/>
    </xf>
    <xf borderId="57" fillId="4" fontId="18" numFmtId="3" xfId="0" applyAlignment="1" applyBorder="1" applyFont="1" applyNumberFormat="1">
      <alignment horizontal="center" shrinkToFit="0" vertical="center" wrapText="1"/>
    </xf>
    <xf borderId="57" fillId="4" fontId="15" numFmtId="3" xfId="0" applyAlignment="1" applyBorder="1" applyFont="1" applyNumberFormat="1">
      <alignment horizontal="center" shrinkToFit="0" vertical="center" wrapText="1"/>
    </xf>
    <xf borderId="57" fillId="6" fontId="44" numFmtId="170" xfId="0" applyAlignment="1" applyBorder="1" applyFont="1" applyNumberFormat="1">
      <alignment horizontal="center" shrinkToFit="0" vertical="center" wrapText="1"/>
    </xf>
    <xf borderId="57" fillId="6" fontId="20" numFmtId="170" xfId="0" applyAlignment="1" applyBorder="1" applyFont="1" applyNumberFormat="1">
      <alignment horizontal="center" shrinkToFit="0" vertical="center" wrapText="1"/>
    </xf>
    <xf borderId="57" fillId="4" fontId="18" numFmtId="170" xfId="0" applyAlignment="1" applyBorder="1" applyFont="1" applyNumberFormat="1">
      <alignment horizontal="center" shrinkToFit="0" vertical="center" wrapText="1"/>
    </xf>
    <xf borderId="57" fillId="6" fontId="18" numFmtId="172" xfId="0" applyAlignment="1" applyBorder="1" applyFont="1" applyNumberFormat="1">
      <alignment horizontal="center" shrinkToFit="0" vertical="center" wrapText="1"/>
    </xf>
    <xf borderId="57" fillId="6" fontId="20" numFmtId="171" xfId="0" applyAlignment="1" applyBorder="1" applyFont="1" applyNumberFormat="1">
      <alignment vertical="center"/>
    </xf>
    <xf borderId="57" fillId="7" fontId="15" numFmtId="2" xfId="0" applyAlignment="1" applyBorder="1" applyFont="1" applyNumberFormat="1">
      <alignment horizontal="center" shrinkToFit="0" vertical="center" wrapText="1"/>
    </xf>
    <xf borderId="57" fillId="6" fontId="18" numFmtId="3" xfId="0" applyAlignment="1" applyBorder="1" applyFont="1" applyNumberFormat="1">
      <alignment horizontal="center" shrinkToFit="0" vertical="center" wrapText="1"/>
    </xf>
    <xf borderId="57" fillId="6" fontId="15" numFmtId="1" xfId="0" applyAlignment="1" applyBorder="1" applyFont="1" applyNumberFormat="1">
      <alignment horizontal="center" shrinkToFit="0" vertical="center" wrapText="1"/>
    </xf>
    <xf borderId="57" fillId="6" fontId="18" numFmtId="1" xfId="0" applyAlignment="1" applyBorder="1" applyFont="1" applyNumberFormat="1">
      <alignment horizontal="center" shrinkToFit="0" vertical="center" wrapText="1"/>
    </xf>
    <xf borderId="57" fillId="6" fontId="44" numFmtId="3" xfId="0" applyAlignment="1" applyBorder="1" applyFont="1" applyNumberFormat="1">
      <alignment horizontal="center" shrinkToFit="0" vertical="center" wrapText="1"/>
    </xf>
    <xf borderId="57" fillId="9" fontId="46" numFmtId="0" xfId="0" applyAlignment="1" applyBorder="1" applyFont="1">
      <alignment horizontal="left" shrinkToFit="0" vertical="center" wrapText="1"/>
    </xf>
    <xf borderId="57" fillId="6" fontId="20" numFmtId="168" xfId="0" applyAlignment="1" applyBorder="1" applyFont="1" applyNumberFormat="1">
      <alignment horizontal="center" shrinkToFit="0" vertical="center" wrapText="1"/>
    </xf>
    <xf borderId="57" fillId="7" fontId="47" numFmtId="167" xfId="0" applyAlignment="1" applyBorder="1" applyFont="1" applyNumberFormat="1">
      <alignment shrinkToFit="0" vertical="center" wrapText="1"/>
    </xf>
    <xf borderId="57" fillId="7" fontId="47" numFmtId="2" xfId="0" applyAlignment="1" applyBorder="1" applyFont="1" applyNumberFormat="1">
      <alignment shrinkToFit="0" vertical="center" wrapText="1"/>
    </xf>
    <xf borderId="57" fillId="4" fontId="20" numFmtId="0" xfId="0" applyAlignment="1" applyBorder="1" applyFont="1">
      <alignment horizontal="center" shrinkToFit="0" vertical="center" wrapText="1"/>
    </xf>
    <xf borderId="57" fillId="4" fontId="15" numFmtId="0" xfId="0" applyAlignment="1" applyBorder="1" applyFont="1">
      <alignment horizontal="center" shrinkToFit="0" vertical="center" wrapText="1"/>
    </xf>
    <xf borderId="57" fillId="7" fontId="47" numFmtId="0" xfId="0" applyAlignment="1" applyBorder="1" applyFont="1">
      <alignment horizontal="left" vertical="center"/>
    </xf>
    <xf borderId="57" fillId="9" fontId="15" numFmtId="171" xfId="0" applyAlignment="1" applyBorder="1" applyFont="1" applyNumberFormat="1">
      <alignment horizontal="left" vertical="center"/>
    </xf>
    <xf borderId="57" fillId="9" fontId="15" numFmtId="0" xfId="0" applyAlignment="1" applyBorder="1" applyFont="1">
      <alignment shrinkToFit="0" vertical="center" wrapText="1"/>
    </xf>
    <xf borderId="57" fillId="9" fontId="15" numFmtId="171" xfId="0" applyAlignment="1" applyBorder="1" applyFont="1" applyNumberFormat="1">
      <alignment vertical="center"/>
    </xf>
    <xf borderId="57" fillId="9" fontId="15" numFmtId="3" xfId="0" applyAlignment="1" applyBorder="1" applyFont="1" applyNumberFormat="1">
      <alignment horizontal="center" shrinkToFit="0" vertical="center" wrapText="1"/>
    </xf>
    <xf borderId="57" fillId="9" fontId="15" numFmtId="0" xfId="0" applyAlignment="1" applyBorder="1" applyFont="1">
      <alignment horizontal="center" shrinkToFit="0" vertical="center" wrapText="1"/>
    </xf>
    <xf borderId="57" fillId="9" fontId="18" numFmtId="3" xfId="0" applyAlignment="1" applyBorder="1" applyFont="1" applyNumberFormat="1">
      <alignment horizontal="center" shrinkToFit="0" vertical="center" wrapText="1"/>
    </xf>
    <xf borderId="57" fillId="9" fontId="18" numFmtId="170" xfId="0" applyAlignment="1" applyBorder="1" applyFont="1" applyNumberFormat="1">
      <alignment horizontal="center" shrinkToFit="0" vertical="center" wrapText="1"/>
    </xf>
    <xf borderId="57" fillId="9" fontId="15" numFmtId="170" xfId="0" applyAlignment="1" applyBorder="1" applyFont="1" applyNumberFormat="1">
      <alignment horizontal="center" shrinkToFit="0" vertical="center" wrapText="1"/>
    </xf>
    <xf borderId="57" fillId="9" fontId="15" numFmtId="167" xfId="0" applyAlignment="1" applyBorder="1" applyFont="1" applyNumberFormat="1">
      <alignment horizontal="center" shrinkToFit="0" vertical="center" wrapText="1"/>
    </xf>
    <xf borderId="57" fillId="9" fontId="18" numFmtId="2" xfId="0" applyAlignment="1" applyBorder="1" applyFont="1" applyNumberFormat="1">
      <alignment horizontal="center" shrinkToFit="0" vertical="center" wrapText="1"/>
    </xf>
    <xf borderId="57" fillId="9" fontId="15" numFmtId="2" xfId="0" applyAlignment="1" applyBorder="1" applyFont="1" applyNumberFormat="1">
      <alignment horizontal="center" shrinkToFit="0" vertical="center" wrapText="1"/>
    </xf>
    <xf borderId="57" fillId="9" fontId="31" numFmtId="0" xfId="0" applyAlignment="1" applyBorder="1" applyFont="1">
      <alignment horizontal="left" shrinkToFit="0" vertical="center" wrapText="1"/>
    </xf>
    <xf borderId="57" fillId="4" fontId="15" numFmtId="168" xfId="0" applyAlignment="1" applyBorder="1" applyFont="1" applyNumberFormat="1">
      <alignment horizontal="center" shrinkToFit="0" vertical="center" wrapText="1"/>
    </xf>
    <xf borderId="57" fillId="9" fontId="20" numFmtId="172" xfId="0" applyAlignment="1" applyBorder="1" applyFont="1" applyNumberFormat="1">
      <alignment horizontal="center" shrinkToFit="0" vertical="center" wrapText="1"/>
    </xf>
    <xf borderId="57" fillId="9" fontId="15" numFmtId="172" xfId="0" applyAlignment="1" applyBorder="1" applyFont="1" applyNumberFormat="1">
      <alignment horizontal="center" shrinkToFit="0" vertical="center" wrapText="1"/>
    </xf>
    <xf borderId="57" fillId="9" fontId="20" numFmtId="1" xfId="0" applyAlignment="1" applyBorder="1" applyFont="1" applyNumberFormat="1">
      <alignment horizontal="center" shrinkToFit="0" vertical="center" wrapText="1"/>
    </xf>
    <xf borderId="57" fillId="9" fontId="18" numFmtId="1" xfId="0" applyAlignment="1" applyBorder="1" applyFont="1" applyNumberFormat="1">
      <alignment horizontal="center" shrinkToFit="0" vertical="center" wrapText="1"/>
    </xf>
    <xf borderId="57" fillId="9" fontId="15" numFmtId="1" xfId="0" applyAlignment="1" applyBorder="1" applyFont="1" applyNumberFormat="1">
      <alignment horizontal="center" shrinkToFit="0" vertical="center" wrapText="1"/>
    </xf>
    <xf borderId="57" fillId="9" fontId="18" numFmtId="167" xfId="0" applyAlignment="1" applyBorder="1" applyFont="1" applyNumberFormat="1">
      <alignment horizontal="center" shrinkToFit="0" vertical="center" wrapText="1"/>
    </xf>
    <xf borderId="57" fillId="6" fontId="15" numFmtId="0" xfId="0" applyAlignment="1" applyBorder="1" applyFont="1">
      <alignment horizontal="left" shrinkToFit="0" vertical="center" wrapText="1"/>
    </xf>
    <xf borderId="57" fillId="9" fontId="20" numFmtId="171" xfId="0" applyAlignment="1" applyBorder="1" applyFont="1" applyNumberFormat="1">
      <alignment horizontal="left" vertical="center"/>
    </xf>
    <xf borderId="57" fillId="9" fontId="44" numFmtId="1" xfId="0" applyAlignment="1" applyBorder="1" applyFont="1" applyNumberFormat="1">
      <alignment horizontal="center" shrinkToFit="0" vertical="center" wrapText="1"/>
    </xf>
    <xf borderId="57" fillId="9" fontId="44" numFmtId="167" xfId="0" applyAlignment="1" applyBorder="1" applyFont="1" applyNumberFormat="1">
      <alignment horizontal="center" shrinkToFit="0" vertical="center" wrapText="1"/>
    </xf>
    <xf borderId="57" fillId="7" fontId="18" numFmtId="170" xfId="0" applyAlignment="1" applyBorder="1" applyFont="1" applyNumberFormat="1">
      <alignment horizontal="center" shrinkToFit="0" vertical="center" wrapText="1"/>
    </xf>
    <xf borderId="57" fillId="6" fontId="31" numFmtId="0" xfId="0" applyAlignment="1" applyBorder="1" applyFont="1">
      <alignment shrinkToFit="0" vertical="center" wrapText="1"/>
    </xf>
    <xf borderId="8" fillId="6" fontId="15" numFmtId="0" xfId="0" applyBorder="1" applyFont="1"/>
    <xf borderId="8" fillId="6" fontId="18" numFmtId="0" xfId="0" applyBorder="1" applyFont="1"/>
    <xf borderId="8" fillId="6" fontId="18" numFmtId="0" xfId="0" applyAlignment="1" applyBorder="1" applyFont="1">
      <alignment horizontal="center"/>
    </xf>
    <xf borderId="25" fillId="6" fontId="31" numFmtId="0" xfId="0" applyAlignment="1" applyBorder="1" applyFont="1">
      <alignment horizontal="left"/>
    </xf>
    <xf borderId="0" fillId="0" fontId="4" numFmtId="171" xfId="0" applyFont="1" applyNumberFormat="1"/>
    <xf borderId="0" fillId="0" fontId="2" numFmtId="171" xfId="0" applyAlignment="1" applyFont="1" applyNumberFormat="1">
      <alignment vertical="bottom"/>
    </xf>
    <xf borderId="0" fillId="0" fontId="3" numFmtId="0" xfId="0" applyAlignment="1" applyFont="1">
      <alignment horizontal="right" vertical="bottom"/>
    </xf>
    <xf borderId="1" fillId="0" fontId="2" numFmtId="164" xfId="0" applyAlignment="1" applyBorder="1" applyFont="1" applyNumberFormat="1">
      <alignment vertical="bottom"/>
    </xf>
    <xf borderId="1" fillId="0" fontId="2" numFmtId="164" xfId="0" applyAlignment="1" applyBorder="1" applyFont="1" applyNumberFormat="1">
      <alignment horizontal="right" vertical="bottom"/>
    </xf>
    <xf borderId="1" fillId="0" fontId="2" numFmtId="0" xfId="0" applyAlignment="1" applyBorder="1" applyFont="1">
      <alignment horizontal="right" vertical="bottom"/>
    </xf>
    <xf borderId="1" fillId="0" fontId="2" numFmtId="171" xfId="0" applyAlignment="1" applyBorder="1" applyFont="1" applyNumberFormat="1">
      <alignment vertical="bottom"/>
    </xf>
    <xf borderId="1" fillId="0" fontId="24" numFmtId="0" xfId="0" applyAlignment="1" applyBorder="1" applyFont="1">
      <alignment vertical="bottom"/>
    </xf>
    <xf borderId="61" fillId="3" fontId="25" numFmtId="0" xfId="0" applyAlignment="1" applyBorder="1" applyFont="1">
      <alignment horizontal="center"/>
    </xf>
    <xf borderId="17" fillId="3" fontId="26" numFmtId="0" xfId="0" applyAlignment="1" applyBorder="1" applyFont="1">
      <alignment horizontal="left"/>
    </xf>
    <xf borderId="18" fillId="3" fontId="25" numFmtId="0" xfId="0" applyAlignment="1" applyBorder="1" applyFont="1">
      <alignment horizontal="center"/>
    </xf>
    <xf borderId="18" fillId="3" fontId="26" numFmtId="0" xfId="0" applyAlignment="1" applyBorder="1" applyFont="1">
      <alignment horizontal="left"/>
    </xf>
    <xf borderId="18" fillId="3" fontId="26" numFmtId="0" xfId="0" applyAlignment="1" applyBorder="1" applyFont="1">
      <alignment horizontal="center"/>
    </xf>
    <xf borderId="18" fillId="3" fontId="26" numFmtId="3" xfId="0" applyAlignment="1" applyBorder="1" applyFont="1" applyNumberFormat="1">
      <alignment horizontal="center"/>
    </xf>
    <xf borderId="18" fillId="3" fontId="25" numFmtId="3" xfId="0" applyAlignment="1" applyBorder="1" applyFont="1" applyNumberFormat="1">
      <alignment horizontal="center"/>
    </xf>
    <xf borderId="18" fillId="3" fontId="25" numFmtId="168" xfId="0" applyAlignment="1" applyBorder="1" applyFont="1" applyNumberFormat="1">
      <alignment horizontal="center"/>
    </xf>
    <xf borderId="18" fillId="3" fontId="27" numFmtId="0" xfId="0" applyAlignment="1" applyBorder="1" applyFont="1">
      <alignment horizontal="center"/>
    </xf>
    <xf borderId="19" fillId="3" fontId="27" numFmtId="0" xfId="0" applyAlignment="1" applyBorder="1" applyFont="1">
      <alignment horizontal="right"/>
    </xf>
    <xf borderId="8" fillId="6" fontId="25" numFmtId="0" xfId="0" applyBorder="1" applyFont="1"/>
    <xf borderId="20" fillId="3" fontId="28" numFmtId="0" xfId="0" applyAlignment="1" applyBorder="1" applyFont="1">
      <alignment horizontal="center"/>
    </xf>
    <xf borderId="62" fillId="3" fontId="29" numFmtId="0" xfId="0" applyAlignment="1" applyBorder="1" applyFont="1">
      <alignment horizontal="left"/>
    </xf>
    <xf borderId="63" fillId="0" fontId="11" numFmtId="0" xfId="0" applyBorder="1" applyFont="1"/>
    <xf borderId="22" fillId="3" fontId="28" numFmtId="3" xfId="0" applyAlignment="1" applyBorder="1" applyFont="1" applyNumberFormat="1">
      <alignment horizontal="center"/>
    </xf>
    <xf borderId="22" fillId="3" fontId="29" numFmtId="3" xfId="0" applyAlignment="1" applyBorder="1" applyFont="1" applyNumberFormat="1">
      <alignment horizontal="center"/>
    </xf>
    <xf borderId="22" fillId="3" fontId="28" numFmtId="168" xfId="0" applyAlignment="1" applyBorder="1" applyFont="1" applyNumberFormat="1">
      <alignment horizontal="center"/>
    </xf>
    <xf borderId="22" fillId="3" fontId="48" numFmtId="0" xfId="0" applyAlignment="1" applyBorder="1" applyFont="1">
      <alignment horizontal="center"/>
    </xf>
    <xf borderId="23" fillId="3" fontId="30" numFmtId="0" xfId="0" applyAlignment="1" applyBorder="1" applyFont="1">
      <alignment horizontal="right"/>
    </xf>
    <xf borderId="8" fillId="6" fontId="28" numFmtId="0" xfId="0" applyBorder="1" applyFont="1"/>
    <xf borderId="28" fillId="6" fontId="18" numFmtId="0" xfId="0" applyAlignment="1" applyBorder="1" applyFont="1">
      <alignment shrinkToFit="0" wrapText="1"/>
    </xf>
    <xf borderId="29" fillId="6" fontId="32" numFmtId="0" xfId="0" applyAlignment="1" applyBorder="1" applyFont="1">
      <alignment shrinkToFit="0" vertical="center" wrapText="1"/>
    </xf>
    <xf borderId="58" fillId="6" fontId="33" numFmtId="0" xfId="0" applyAlignment="1" applyBorder="1" applyFont="1">
      <alignment horizontal="center" shrinkToFit="0" vertical="center" wrapText="1"/>
    </xf>
    <xf borderId="64" fillId="6" fontId="33" numFmtId="3" xfId="0" applyAlignment="1" applyBorder="1" applyFont="1" applyNumberFormat="1">
      <alignment horizontal="center" shrinkToFit="0" vertical="center" wrapText="1"/>
    </xf>
    <xf borderId="65" fillId="0" fontId="11" numFmtId="0" xfId="0" applyBorder="1" applyFont="1"/>
    <xf borderId="66" fillId="0" fontId="11" numFmtId="0" xfId="0" applyBorder="1" applyFont="1"/>
    <xf borderId="31" fillId="6" fontId="33" numFmtId="168" xfId="0" applyAlignment="1" applyBorder="1" applyFont="1" applyNumberFormat="1">
      <alignment horizontal="center" shrinkToFit="0" vertical="center" wrapText="1"/>
    </xf>
    <xf borderId="57" fillId="6" fontId="36" numFmtId="0" xfId="0" applyAlignment="1" applyBorder="1" applyFont="1">
      <alignment horizontal="center" shrinkToFit="0" vertical="center" wrapText="1"/>
    </xf>
    <xf borderId="29" fillId="6" fontId="12" numFmtId="0" xfId="0" applyAlignment="1" applyBorder="1" applyFont="1">
      <alignment shrinkToFit="0" vertical="center" wrapText="1"/>
    </xf>
    <xf borderId="34" fillId="6" fontId="35" numFmtId="0" xfId="0" applyAlignment="1" applyBorder="1" applyFont="1">
      <alignment shrinkToFit="0" wrapText="1"/>
    </xf>
    <xf borderId="28" fillId="6" fontId="18" numFmtId="0" xfId="0" applyAlignment="1" applyBorder="1" applyFont="1">
      <alignment horizontal="center" vertical="center"/>
    </xf>
    <xf borderId="28" fillId="6" fontId="33" numFmtId="0" xfId="0" applyAlignment="1" applyBorder="1" applyFont="1">
      <alignment horizontal="center" shrinkToFit="0" vertical="center" wrapText="1"/>
    </xf>
    <xf borderId="39" fillId="4" fontId="36" numFmtId="3" xfId="0" applyAlignment="1" applyBorder="1" applyFont="1" applyNumberFormat="1">
      <alignment horizontal="center" shrinkToFit="0" vertical="center" wrapText="1"/>
    </xf>
    <xf borderId="42" fillId="6" fontId="33" numFmtId="0" xfId="0" applyAlignment="1" applyBorder="1" applyFont="1">
      <alignment horizontal="center" shrinkToFit="0" vertical="top" wrapText="1"/>
    </xf>
    <xf borderId="42" fillId="6" fontId="37" numFmtId="3" xfId="0" applyAlignment="1" applyBorder="1" applyFont="1" applyNumberFormat="1">
      <alignment horizontal="center" shrinkToFit="0" vertical="center" wrapText="1"/>
    </xf>
    <xf borderId="42" fillId="6" fontId="33" numFmtId="3" xfId="0" applyAlignment="1" applyBorder="1" applyFont="1" applyNumberFormat="1">
      <alignment horizontal="center" shrinkToFit="0" vertical="center" wrapText="1"/>
    </xf>
    <xf borderId="42" fillId="6" fontId="36" numFmtId="168" xfId="0" applyAlignment="1" applyBorder="1" applyFont="1" applyNumberFormat="1">
      <alignment horizontal="center" vertical="center"/>
    </xf>
    <xf borderId="28" fillId="6" fontId="47" numFmtId="0" xfId="0" applyAlignment="1" applyBorder="1" applyFont="1">
      <alignment horizontal="center" shrinkToFit="0" vertical="center" wrapText="1"/>
    </xf>
    <xf borderId="53" fillId="6" fontId="33" numFmtId="0" xfId="0" applyAlignment="1" applyBorder="1" applyFont="1">
      <alignment horizontal="center" shrinkToFit="0" vertical="center" wrapText="1"/>
    </xf>
    <xf borderId="53" fillId="6" fontId="36" numFmtId="0" xfId="0" applyAlignment="1" applyBorder="1" applyFont="1">
      <alignment horizontal="center" shrinkToFit="0" vertical="center" wrapText="1"/>
    </xf>
    <xf borderId="50" fillId="6" fontId="36" numFmtId="0" xfId="0" applyAlignment="1" applyBorder="1" applyFont="1">
      <alignment horizontal="center" shrinkToFit="0" vertical="top" wrapText="1"/>
    </xf>
    <xf borderId="50" fillId="6" fontId="38" numFmtId="3" xfId="0" applyAlignment="1" applyBorder="1" applyFont="1" applyNumberFormat="1">
      <alignment horizontal="center" shrinkToFit="0" vertical="center" wrapText="1"/>
    </xf>
    <xf borderId="50" fillId="6" fontId="36" numFmtId="3" xfId="0" applyAlignment="1" applyBorder="1" applyFont="1" applyNumberFormat="1">
      <alignment horizontal="center" shrinkToFit="0" vertical="center" wrapText="1"/>
    </xf>
    <xf borderId="50" fillId="6" fontId="36" numFmtId="168" xfId="0" applyAlignment="1" applyBorder="1" applyFont="1" applyNumberFormat="1">
      <alignment horizontal="center" shrinkToFit="0" vertical="center" wrapText="1"/>
    </xf>
    <xf borderId="53" fillId="6" fontId="47" numFmtId="0" xfId="0" applyAlignment="1" applyBorder="1" applyFont="1">
      <alignment horizontal="center" shrinkToFit="0" vertical="center" wrapText="1"/>
    </xf>
    <xf borderId="53" fillId="6" fontId="17" numFmtId="0" xfId="0" applyAlignment="1" applyBorder="1" applyFont="1">
      <alignment shrinkToFit="0" vertical="center" wrapText="1"/>
    </xf>
    <xf borderId="53" fillId="6" fontId="15" numFmtId="0" xfId="0" applyAlignment="1" applyBorder="1" applyFont="1">
      <alignment shrinkToFit="0" vertical="center" wrapText="1"/>
    </xf>
    <xf borderId="28" fillId="4" fontId="39" numFmtId="3" xfId="0" applyAlignment="1" applyBorder="1" applyFont="1" applyNumberFormat="1">
      <alignment horizontal="center" shrinkToFit="0" vertical="center" wrapText="1"/>
    </xf>
    <xf borderId="28" fillId="4" fontId="35" numFmtId="3" xfId="0" applyAlignment="1" applyBorder="1" applyFont="1" applyNumberFormat="1">
      <alignment horizontal="center" shrinkToFit="0" vertical="center" wrapText="1"/>
    </xf>
    <xf borderId="28" fillId="6" fontId="39" numFmtId="3" xfId="0" applyAlignment="1" applyBorder="1" applyFont="1" applyNumberFormat="1">
      <alignment horizontal="center" shrinkToFit="0" vertical="center" wrapText="1"/>
    </xf>
    <xf borderId="28" fillId="6" fontId="35" numFmtId="3" xfId="0" applyAlignment="1" applyBorder="1" applyFont="1" applyNumberFormat="1">
      <alignment horizontal="center" shrinkToFit="0" vertical="center" wrapText="1"/>
    </xf>
    <xf borderId="28" fillId="6" fontId="39" numFmtId="168" xfId="0" applyAlignment="1" applyBorder="1" applyFont="1" applyNumberFormat="1">
      <alignment horizontal="center" shrinkToFit="0" vertical="center" wrapText="1"/>
    </xf>
    <xf borderId="28" fillId="6" fontId="35" numFmtId="168" xfId="0" applyAlignment="1" applyBorder="1" applyFont="1" applyNumberFormat="1">
      <alignment horizontal="center" shrinkToFit="0" vertical="center" wrapText="1"/>
    </xf>
    <xf borderId="53" fillId="6" fontId="34" numFmtId="0" xfId="0" applyAlignment="1" applyBorder="1" applyFont="1">
      <alignment horizontal="center" shrinkToFit="0" vertical="center" wrapText="1"/>
    </xf>
    <xf borderId="53" fillId="6" fontId="43" numFmtId="0" xfId="0" applyAlignment="1" applyBorder="1" applyFont="1">
      <alignment horizontal="left" shrinkToFit="0" vertical="center" wrapText="1"/>
    </xf>
    <xf borderId="53" fillId="6" fontId="33" numFmtId="0" xfId="0" applyAlignment="1" applyBorder="1" applyFont="1">
      <alignment shrinkToFit="0" vertical="center" wrapText="1"/>
    </xf>
    <xf borderId="53" fillId="4" fontId="40" numFmtId="3" xfId="0" applyAlignment="1" applyBorder="1" applyFont="1" applyNumberFormat="1">
      <alignment horizontal="center" shrinkToFit="0" vertical="center" wrapText="1"/>
    </xf>
    <xf borderId="53" fillId="4" fontId="35" numFmtId="3" xfId="0" applyAlignment="1" applyBorder="1" applyFont="1" applyNumberFormat="1">
      <alignment horizontal="center" shrinkToFit="0" vertical="center" wrapText="1"/>
    </xf>
    <xf borderId="53" fillId="6" fontId="40" numFmtId="3" xfId="0" applyAlignment="1" applyBorder="1" applyFont="1" applyNumberFormat="1">
      <alignment horizontal="center" shrinkToFit="0" vertical="center" wrapText="1"/>
    </xf>
    <xf borderId="53" fillId="6" fontId="41" numFmtId="3" xfId="0" applyAlignment="1" applyBorder="1" applyFont="1" applyNumberFormat="1">
      <alignment horizontal="center" shrinkToFit="0" vertical="center" wrapText="1"/>
    </xf>
    <xf borderId="53" fillId="6" fontId="40" numFmtId="168" xfId="0" applyAlignment="1" applyBorder="1" applyFont="1" applyNumberFormat="1">
      <alignment horizontal="center" shrinkToFit="0" vertical="center" wrapText="1"/>
    </xf>
    <xf borderId="53" fillId="6" fontId="41" numFmtId="168" xfId="0" applyAlignment="1" applyBorder="1" applyFont="1" applyNumberFormat="1">
      <alignment horizontal="center" shrinkToFit="0" vertical="center" wrapText="1"/>
    </xf>
    <xf borderId="55" fillId="6" fontId="17" numFmtId="0" xfId="0" applyAlignment="1" applyBorder="1" applyFont="1">
      <alignment shrinkToFit="0" vertical="top" wrapText="1"/>
    </xf>
    <xf borderId="55" fillId="6" fontId="33" numFmtId="0" xfId="0" applyAlignment="1" applyBorder="1" applyFont="1">
      <alignment horizontal="center" shrinkToFit="0" vertical="top" wrapText="1"/>
    </xf>
    <xf borderId="55" fillId="6" fontId="33" numFmtId="0" xfId="0" applyAlignment="1" applyBorder="1" applyFont="1">
      <alignment shrinkToFit="0" vertical="top" wrapText="1"/>
    </xf>
    <xf borderId="55" fillId="4" fontId="35" numFmtId="3" xfId="0" applyAlignment="1" applyBorder="1" applyFont="1" applyNumberFormat="1">
      <alignment horizontal="center" shrinkToFit="0" vertical="center" wrapText="1"/>
    </xf>
    <xf borderId="55" fillId="6" fontId="34" numFmtId="0" xfId="0" applyAlignment="1" applyBorder="1" applyFont="1">
      <alignment horizontal="center" shrinkToFit="0" vertical="top" wrapText="1"/>
    </xf>
    <xf borderId="57" fillId="7" fontId="18" numFmtId="3" xfId="0" applyAlignment="1" applyBorder="1" applyFont="1" applyNumberFormat="1">
      <alignment horizontal="center" shrinkToFit="0" vertical="center" wrapText="1"/>
    </xf>
    <xf borderId="57" fillId="7" fontId="47" numFmtId="3" xfId="0" applyAlignment="1" applyBorder="1" applyFont="1" applyNumberFormat="1">
      <alignment horizontal="center" shrinkToFit="0" vertical="center" wrapText="1"/>
    </xf>
    <xf borderId="58" fillId="7" fontId="47" numFmtId="3" xfId="0" applyAlignment="1" applyBorder="1" applyFont="1" applyNumberFormat="1">
      <alignment horizontal="center" shrinkToFit="0" vertical="center" wrapText="1"/>
    </xf>
    <xf borderId="57" fillId="7" fontId="47" numFmtId="168" xfId="0" applyAlignment="1" applyBorder="1" applyFont="1" applyNumberFormat="1">
      <alignment horizontal="center" shrinkToFit="0" vertical="center" wrapText="1"/>
    </xf>
    <xf borderId="57" fillId="7" fontId="47" numFmtId="0" xfId="0" applyAlignment="1" applyBorder="1" applyFont="1">
      <alignment horizontal="center" shrinkToFit="0" vertical="center" wrapText="1"/>
    </xf>
    <xf borderId="57" fillId="6" fontId="15" numFmtId="0" xfId="0" applyAlignment="1" applyBorder="1" applyFont="1">
      <alignment horizontal="center" shrinkToFit="1" vertical="center" wrapText="0"/>
    </xf>
    <xf borderId="57" fillId="0" fontId="18" numFmtId="4" xfId="0" applyAlignment="1" applyBorder="1" applyFont="1" applyNumberFormat="1">
      <alignment horizontal="center" shrinkToFit="0" vertical="center" wrapText="1"/>
    </xf>
    <xf borderId="57" fillId="0" fontId="15" numFmtId="4" xfId="0" applyAlignment="1" applyBorder="1" applyFont="1" applyNumberFormat="1">
      <alignment horizontal="center" shrinkToFit="0" vertical="center" wrapText="1"/>
    </xf>
    <xf borderId="57" fillId="6" fontId="18" numFmtId="4" xfId="0" applyAlignment="1" applyBorder="1" applyFont="1" applyNumberFormat="1">
      <alignment horizontal="center" shrinkToFit="0" vertical="center" wrapText="1"/>
    </xf>
    <xf borderId="57" fillId="6" fontId="15" numFmtId="4" xfId="0" applyAlignment="1" applyBorder="1" applyFont="1" applyNumberFormat="1">
      <alignment horizontal="center" shrinkToFit="0" vertical="center" wrapText="1"/>
    </xf>
    <xf borderId="57" fillId="6" fontId="15" numFmtId="174" xfId="0" applyAlignment="1" applyBorder="1" applyFont="1" applyNumberFormat="1">
      <alignment horizontal="center" shrinkToFit="0" vertical="center" wrapText="1"/>
    </xf>
    <xf borderId="57" fillId="6" fontId="15" numFmtId="175" xfId="0" applyAlignment="1" applyBorder="1" applyFont="1" applyNumberFormat="1">
      <alignment horizontal="center" shrinkToFit="0" vertical="center" wrapText="1"/>
    </xf>
    <xf borderId="57" fillId="6" fontId="31" numFmtId="0" xfId="0" applyAlignment="1" applyBorder="1" applyFont="1">
      <alignment horizontal="center" shrinkToFit="0" vertical="center" wrapText="1"/>
    </xf>
    <xf borderId="57" fillId="6" fontId="15" numFmtId="0" xfId="0" applyAlignment="1" applyBorder="1" applyFont="1">
      <alignment horizontal="left" shrinkToFit="1" vertical="center" wrapText="0"/>
    </xf>
    <xf borderId="57" fillId="6" fontId="31" numFmtId="0" xfId="0" applyAlignment="1" applyBorder="1" applyFont="1">
      <alignment horizontal="center" shrinkToFit="1" vertical="center" wrapText="0"/>
    </xf>
    <xf borderId="57" fillId="6" fontId="31" numFmtId="0" xfId="0" applyAlignment="1" applyBorder="1" applyFont="1">
      <alignment horizontal="left" shrinkToFit="1" vertical="center" wrapText="0"/>
    </xf>
    <xf quotePrefix="1" borderId="57" fillId="6" fontId="15" numFmtId="171" xfId="0" applyAlignment="1" applyBorder="1" applyFont="1" applyNumberFormat="1">
      <alignment vertical="center"/>
    </xf>
    <xf borderId="57" fillId="4" fontId="15" numFmtId="3" xfId="0" applyAlignment="1" applyBorder="1" applyFont="1" applyNumberFormat="1">
      <alignment horizontal="center" shrinkToFit="1" vertical="center" wrapText="0"/>
    </xf>
    <xf borderId="57" fillId="0" fontId="18" numFmtId="3" xfId="0" applyAlignment="1" applyBorder="1" applyFont="1" applyNumberFormat="1">
      <alignment horizontal="center" shrinkToFit="0" vertical="center" wrapText="1"/>
    </xf>
    <xf borderId="57" fillId="0" fontId="15" numFmtId="3" xfId="0" applyAlignment="1" applyBorder="1" applyFont="1" applyNumberFormat="1">
      <alignment horizontal="center" shrinkToFit="1" vertical="center" wrapText="0"/>
    </xf>
    <xf borderId="57" fillId="6" fontId="15" numFmtId="3" xfId="0" applyAlignment="1" applyBorder="1" applyFont="1" applyNumberFormat="1">
      <alignment horizontal="center" shrinkToFit="1" vertical="center" wrapText="0"/>
    </xf>
    <xf borderId="57" fillId="6" fontId="18" numFmtId="3" xfId="0" applyAlignment="1" applyBorder="1" applyFont="1" applyNumberFormat="1">
      <alignment horizontal="center" shrinkToFit="1" vertical="center" wrapText="0"/>
    </xf>
    <xf borderId="57" fillId="6" fontId="15" numFmtId="168" xfId="0" applyAlignment="1" applyBorder="1" applyFont="1" applyNumberFormat="1">
      <alignment horizontal="center" shrinkToFit="1" vertical="center" wrapText="0"/>
    </xf>
    <xf borderId="57" fillId="7" fontId="18" numFmtId="0" xfId="0" applyAlignment="1" applyBorder="1" applyFont="1">
      <alignment horizontal="left" shrinkToFit="1" vertical="center" wrapText="0"/>
    </xf>
    <xf borderId="57" fillId="7" fontId="18" numFmtId="0" xfId="0" applyAlignment="1" applyBorder="1" applyFont="1">
      <alignment horizontal="center" shrinkToFit="1" vertical="center" wrapText="0"/>
    </xf>
    <xf borderId="57" fillId="7" fontId="18" numFmtId="3" xfId="0" applyAlignment="1" applyBorder="1" applyFont="1" applyNumberFormat="1">
      <alignment horizontal="center" shrinkToFit="1" vertical="center" wrapText="0"/>
    </xf>
    <xf borderId="57" fillId="7" fontId="47" numFmtId="3" xfId="0" applyAlignment="1" applyBorder="1" applyFont="1" applyNumberFormat="1">
      <alignment horizontal="center" shrinkToFit="1" vertical="center" wrapText="0"/>
    </xf>
    <xf borderId="57" fillId="7" fontId="31" numFmtId="3" xfId="0" applyAlignment="1" applyBorder="1" applyFont="1" applyNumberFormat="1">
      <alignment horizontal="center" shrinkToFit="1" vertical="center" wrapText="0"/>
    </xf>
    <xf borderId="57" fillId="7" fontId="47" numFmtId="168" xfId="0" applyAlignment="1" applyBorder="1" applyFont="1" applyNumberFormat="1">
      <alignment horizontal="center" shrinkToFit="1" vertical="center" wrapText="0"/>
    </xf>
    <xf borderId="57" fillId="7" fontId="31" numFmtId="168" xfId="0" applyAlignment="1" applyBorder="1" applyFont="1" applyNumberFormat="1">
      <alignment horizontal="center" shrinkToFit="1" vertical="center" wrapText="0"/>
    </xf>
    <xf borderId="57" fillId="7" fontId="47" numFmtId="0" xfId="0" applyAlignment="1" applyBorder="1" applyFont="1">
      <alignment horizontal="center" shrinkToFit="1" vertical="center" wrapText="0"/>
    </xf>
    <xf borderId="57" fillId="7" fontId="47" numFmtId="0" xfId="0" applyAlignment="1" applyBorder="1" applyFont="1">
      <alignment horizontal="left" shrinkToFit="1" vertical="center" wrapText="0"/>
    </xf>
    <xf borderId="57" fillId="4" fontId="18" numFmtId="3" xfId="0" applyAlignment="1" applyBorder="1" applyFont="1" applyNumberFormat="1">
      <alignment horizontal="center" shrinkToFit="1" vertical="center" wrapText="0"/>
    </xf>
    <xf borderId="57" fillId="4" fontId="44" numFmtId="3" xfId="0" applyAlignment="1" applyBorder="1" applyFont="1" applyNumberFormat="1">
      <alignment horizontal="center" shrinkToFit="1" vertical="center" wrapText="0"/>
    </xf>
    <xf borderId="57" fillId="4" fontId="20" numFmtId="3" xfId="0" applyAlignment="1" applyBorder="1" applyFont="1" applyNumberFormat="1">
      <alignment horizontal="center" shrinkToFit="1" vertical="center" wrapText="0"/>
    </xf>
    <xf borderId="57" fillId="0" fontId="44" numFmtId="3" xfId="0" applyAlignment="1" applyBorder="1" applyFont="1" applyNumberFormat="1">
      <alignment horizontal="center" shrinkToFit="0" vertical="center" wrapText="1"/>
    </xf>
    <xf borderId="57" fillId="0" fontId="20" numFmtId="4" xfId="0" applyAlignment="1" applyBorder="1" applyFont="1" applyNumberFormat="1">
      <alignment horizontal="center" shrinkToFit="0" vertical="center" wrapText="1"/>
    </xf>
    <xf borderId="57" fillId="0" fontId="20" numFmtId="3" xfId="0" applyAlignment="1" applyBorder="1" applyFont="1" applyNumberFormat="1">
      <alignment horizontal="center" shrinkToFit="1" vertical="center" wrapText="0"/>
    </xf>
    <xf borderId="57" fillId="6" fontId="20" numFmtId="4" xfId="0" applyAlignment="1" applyBorder="1" applyFont="1" applyNumberFormat="1">
      <alignment horizontal="center" shrinkToFit="0" vertical="center" wrapText="1"/>
    </xf>
    <xf borderId="57" fillId="6" fontId="20" numFmtId="3" xfId="0" applyAlignment="1" applyBorder="1" applyFont="1" applyNumberFormat="1">
      <alignment horizontal="center" shrinkToFit="1" vertical="center" wrapText="0"/>
    </xf>
    <xf borderId="57" fillId="6" fontId="44" numFmtId="3" xfId="0" applyAlignment="1" applyBorder="1" applyFont="1" applyNumberFormat="1">
      <alignment horizontal="center" shrinkToFit="1" vertical="center" wrapText="0"/>
    </xf>
    <xf borderId="57" fillId="6" fontId="20" numFmtId="174" xfId="0" applyAlignment="1" applyBorder="1" applyFont="1" applyNumberFormat="1">
      <alignment horizontal="center" shrinkToFit="0" vertical="center" wrapText="1"/>
    </xf>
    <xf borderId="57" fillId="6" fontId="20" numFmtId="168" xfId="0" applyAlignment="1" applyBorder="1" applyFont="1" applyNumberFormat="1">
      <alignment horizontal="center" shrinkToFit="1" vertical="center" wrapText="0"/>
    </xf>
    <xf borderId="8" fillId="6" fontId="49" numFmtId="0" xfId="0" applyAlignment="1" applyBorder="1" applyFont="1">
      <alignment shrinkToFit="0" vertical="center" wrapText="1"/>
    </xf>
    <xf borderId="8" fillId="6" fontId="49" numFmtId="0" xfId="0" applyAlignment="1" applyBorder="1" applyFont="1">
      <alignment horizontal="center" shrinkToFit="0" vertical="center" wrapText="1"/>
    </xf>
    <xf borderId="8" fillId="6" fontId="49" numFmtId="3" xfId="0" applyAlignment="1" applyBorder="1" applyFont="1" applyNumberFormat="1">
      <alignment horizontal="center" shrinkToFit="0" vertical="center" wrapText="1"/>
    </xf>
    <xf borderId="8" fillId="6" fontId="33" numFmtId="3" xfId="0" applyAlignment="1" applyBorder="1" applyFont="1" applyNumberFormat="1">
      <alignment horizontal="center" shrinkToFit="0" vertical="center" wrapText="1"/>
    </xf>
    <xf borderId="8" fillId="6" fontId="49" numFmtId="168" xfId="0" applyAlignment="1" applyBorder="1" applyFont="1" applyNumberFormat="1">
      <alignment horizontal="center" shrinkToFit="0" vertical="center" wrapText="1"/>
    </xf>
    <xf borderId="8" fillId="6" fontId="50" numFmtId="0" xfId="0" applyAlignment="1" applyBorder="1" applyFont="1">
      <alignment horizontal="center" shrinkToFit="0" vertical="center" wrapText="1"/>
    </xf>
    <xf borderId="8" fillId="6" fontId="50" numFmtId="0" xfId="0" applyAlignment="1" applyBorder="1" applyFont="1">
      <alignment horizontal="left" shrinkToFit="0" vertical="center" wrapText="1"/>
    </xf>
    <xf borderId="8" fillId="6" fontId="15" numFmtId="0" xfId="0" applyAlignment="1" applyBorder="1" applyFont="1">
      <alignment horizontal="center"/>
    </xf>
    <xf borderId="8" fillId="6" fontId="15" numFmtId="3" xfId="0" applyAlignment="1" applyBorder="1" applyFont="1" applyNumberFormat="1">
      <alignment horizontal="center"/>
    </xf>
    <xf borderId="8" fillId="6" fontId="15" numFmtId="168" xfId="0" applyAlignment="1" applyBorder="1" applyFont="1" applyNumberFormat="1">
      <alignment horizontal="center"/>
    </xf>
    <xf borderId="8" fillId="6" fontId="47" numFmtId="0" xfId="0" applyAlignment="1" applyBorder="1" applyFont="1">
      <alignment horizontal="center"/>
    </xf>
    <xf borderId="8" fillId="6" fontId="31" numFmtId="0" xfId="0" applyAlignment="1" applyBorder="1" applyFont="1">
      <alignment horizontal="left"/>
    </xf>
    <xf borderId="8" fillId="6" fontId="15" numFmtId="3" xfId="0" applyBorder="1" applyFont="1" applyNumberFormat="1"/>
    <xf borderId="8" fillId="6" fontId="15" numFmtId="168" xfId="0" applyBorder="1" applyFont="1" applyNumberFormat="1"/>
    <xf borderId="0" fillId="0" fontId="4" numFmtId="4" xfId="0" applyFont="1" applyNumberFormat="1"/>
    <xf borderId="0" fillId="0" fontId="51" numFmtId="0" xfId="0" applyAlignment="1" applyFont="1">
      <alignment readingOrder="0"/>
    </xf>
    <xf borderId="0" fillId="0" fontId="4" numFmtId="4" xfId="0" applyAlignment="1" applyFont="1" applyNumberFormat="1">
      <alignment readingOrder="0"/>
    </xf>
    <xf borderId="61" fillId="3" fontId="25" numFmtId="0" xfId="0" applyAlignment="1" applyBorder="1" applyFont="1">
      <alignment horizontal="left" vertical="center"/>
    </xf>
    <xf borderId="18" fillId="3" fontId="26" numFmtId="3" xfId="0" applyAlignment="1" applyBorder="1" applyFont="1" applyNumberFormat="1">
      <alignment horizontal="center" vertical="center"/>
    </xf>
    <xf borderId="67" fillId="3" fontId="27" numFmtId="0" xfId="0" applyAlignment="1" applyBorder="1" applyFont="1">
      <alignment horizontal="center" vertical="center"/>
    </xf>
    <xf borderId="68" fillId="3" fontId="28" numFmtId="0" xfId="0" applyAlignment="1" applyBorder="1" applyFont="1">
      <alignment vertical="center"/>
    </xf>
    <xf borderId="69" fillId="3" fontId="29" numFmtId="0" xfId="0" applyAlignment="1" applyBorder="1" applyFont="1">
      <alignment horizontal="left" vertical="center"/>
    </xf>
    <xf borderId="70" fillId="0" fontId="11" numFmtId="0" xfId="0" applyBorder="1" applyFont="1"/>
    <xf borderId="71" fillId="0" fontId="11" numFmtId="0" xfId="0" applyBorder="1" applyFont="1"/>
    <xf borderId="72" fillId="3" fontId="28" numFmtId="0" xfId="0" applyAlignment="1" applyBorder="1" applyFont="1">
      <alignment vertical="center"/>
    </xf>
    <xf borderId="73" fillId="3" fontId="48" numFmtId="0" xfId="0" applyAlignment="1" applyBorder="1" applyFont="1">
      <alignment vertical="center"/>
    </xf>
    <xf borderId="74" fillId="3" fontId="30" numFmtId="0" xfId="0" applyAlignment="1" applyBorder="1" applyFont="1">
      <alignment horizontal="right" vertical="center"/>
    </xf>
    <xf borderId="54" fillId="6" fontId="15" numFmtId="0" xfId="0" applyAlignment="1" applyBorder="1" applyFont="1">
      <alignment vertical="center"/>
    </xf>
    <xf borderId="26" fillId="6" fontId="50" numFmtId="0" xfId="0" applyAlignment="1" applyBorder="1" applyFont="1">
      <alignment horizontal="left" shrinkToFit="0" vertical="center" wrapText="1"/>
    </xf>
    <xf borderId="28" fillId="4" fontId="33" numFmtId="0" xfId="0" applyAlignment="1" applyBorder="1" applyFont="1">
      <alignment horizontal="center" shrinkToFit="0" vertical="center" wrapText="1"/>
    </xf>
    <xf borderId="28" fillId="6" fontId="36" numFmtId="0" xfId="0" applyAlignment="1" applyBorder="1" applyFont="1">
      <alignment horizontal="center" shrinkToFit="0" vertical="center" wrapText="1"/>
    </xf>
    <xf borderId="28" fillId="6" fontId="15" numFmtId="0" xfId="0" applyAlignment="1" applyBorder="1" applyFont="1">
      <alignment vertical="center"/>
    </xf>
    <xf borderId="53" fillId="4" fontId="36" numFmtId="0" xfId="0" applyAlignment="1" applyBorder="1" applyFont="1">
      <alignment horizontal="center" shrinkToFit="0" vertical="center" wrapText="1"/>
    </xf>
    <xf borderId="53" fillId="6" fontId="37" numFmtId="0" xfId="0" applyAlignment="1" applyBorder="1" applyFont="1">
      <alignment horizontal="center" shrinkToFit="0" vertical="center" wrapText="1"/>
    </xf>
    <xf borderId="53" fillId="6" fontId="39" numFmtId="0" xfId="0" applyAlignment="1" applyBorder="1" applyFont="1">
      <alignment horizontal="center" shrinkToFit="0" vertical="center" wrapText="1"/>
    </xf>
    <xf borderId="53" fillId="6" fontId="38" numFmtId="0" xfId="0" applyAlignment="1" applyBorder="1" applyFont="1">
      <alignment horizontal="center" shrinkToFit="0" vertical="center" wrapText="1"/>
    </xf>
    <xf borderId="55" fillId="6" fontId="15" numFmtId="0" xfId="0" applyAlignment="1" applyBorder="1" applyFont="1">
      <alignment vertical="center"/>
    </xf>
    <xf borderId="55" fillId="6" fontId="17" numFmtId="0" xfId="0" applyAlignment="1" applyBorder="1" applyFont="1">
      <alignment horizontal="center" shrinkToFit="0" vertical="center" wrapText="1"/>
    </xf>
    <xf borderId="55" fillId="6" fontId="36" numFmtId="0" xfId="0" applyAlignment="1" applyBorder="1" applyFont="1">
      <alignment horizontal="center" shrinkToFit="0" vertical="center" wrapText="1"/>
    </xf>
    <xf borderId="55" fillId="4" fontId="35" numFmtId="168" xfId="0" applyAlignment="1" applyBorder="1" applyFont="1" applyNumberFormat="1">
      <alignment horizontal="center" shrinkToFit="0" vertical="center" wrapText="1"/>
    </xf>
    <xf quotePrefix="1" borderId="57" fillId="7" fontId="18" numFmtId="0" xfId="0" applyAlignment="1" applyBorder="1" applyFont="1">
      <alignment shrinkToFit="0" vertical="center" wrapText="1"/>
    </xf>
    <xf borderId="57" fillId="7" fontId="18" numFmtId="0" xfId="0" applyAlignment="1" applyBorder="1" applyFont="1">
      <alignment vertical="center"/>
    </xf>
    <xf borderId="57" fillId="7" fontId="18" numFmtId="0" xfId="0" applyAlignment="1" applyBorder="1" applyFont="1">
      <alignment horizontal="center" vertical="center"/>
    </xf>
    <xf borderId="57" fillId="7" fontId="47" numFmtId="0" xfId="0" applyAlignment="1" applyBorder="1" applyFont="1">
      <alignment vertical="center"/>
    </xf>
    <xf borderId="57" fillId="7" fontId="47" numFmtId="0" xfId="0" applyAlignment="1" applyBorder="1" applyFont="1">
      <alignment horizontal="center" vertical="center"/>
    </xf>
    <xf borderId="8" fillId="6" fontId="15" numFmtId="0" xfId="0" applyAlignment="1" applyBorder="1" applyFont="1">
      <alignment horizontal="right" vertical="center"/>
    </xf>
    <xf borderId="57" fillId="6" fontId="15" numFmtId="0" xfId="0" applyAlignment="1" applyBorder="1" applyFont="1">
      <alignment vertical="center"/>
    </xf>
    <xf borderId="57" fillId="6" fontId="15" numFmtId="0" xfId="0" applyAlignment="1" applyBorder="1" applyFont="1">
      <alignment horizontal="center" vertical="center"/>
    </xf>
    <xf borderId="57" fillId="6" fontId="20" numFmtId="0" xfId="0" applyAlignment="1" applyBorder="1" applyFont="1">
      <alignment horizontal="center" vertical="center"/>
    </xf>
    <xf borderId="57" fillId="4" fontId="44" numFmtId="167" xfId="0" applyAlignment="1" applyBorder="1" applyFont="1" applyNumberFormat="1">
      <alignment horizontal="center" vertical="center"/>
    </xf>
    <xf borderId="57" fillId="6" fontId="44" numFmtId="2" xfId="0" applyAlignment="1" applyBorder="1" applyFont="1" applyNumberFormat="1">
      <alignment horizontal="center" vertical="center"/>
    </xf>
    <xf borderId="57" fillId="6" fontId="44" numFmtId="172" xfId="0" applyAlignment="1" applyBorder="1" applyFont="1" applyNumberFormat="1">
      <alignment horizontal="center" vertical="center"/>
    </xf>
    <xf borderId="57" fillId="6" fontId="31" numFmtId="0" xfId="0" applyAlignment="1" applyBorder="1" applyFont="1">
      <alignment horizontal="left" vertical="center"/>
    </xf>
    <xf borderId="57" fillId="4" fontId="18" numFmtId="170" xfId="0" applyAlignment="1" applyBorder="1" applyFont="1" applyNumberFormat="1">
      <alignment horizontal="center" vertical="center"/>
    </xf>
    <xf borderId="57" fillId="6" fontId="18" numFmtId="2" xfId="0" applyAlignment="1" applyBorder="1" applyFont="1" applyNumberFormat="1">
      <alignment horizontal="center" vertical="center"/>
    </xf>
    <xf borderId="57" fillId="6" fontId="18" numFmtId="172" xfId="0" applyAlignment="1" applyBorder="1" applyFont="1" applyNumberFormat="1">
      <alignment horizontal="center" vertical="center"/>
    </xf>
    <xf borderId="57" fillId="4" fontId="44" numFmtId="170" xfId="0" applyAlignment="1" applyBorder="1" applyFont="1" applyNumberFormat="1">
      <alignment horizontal="center" vertical="center"/>
    </xf>
    <xf borderId="57" fillId="6" fontId="18" numFmtId="167" xfId="0" applyAlignment="1" applyBorder="1" applyFont="1" applyNumberFormat="1">
      <alignment horizontal="center" vertical="center"/>
    </xf>
    <xf borderId="57" fillId="6" fontId="44" numFmtId="173" xfId="0" applyAlignment="1" applyBorder="1" applyFont="1" applyNumberFormat="1">
      <alignment horizontal="center" vertical="center"/>
    </xf>
    <xf borderId="57" fillId="6" fontId="44" numFmtId="167" xfId="0" applyAlignment="1" applyBorder="1" applyFont="1" applyNumberFormat="1">
      <alignment horizontal="center" vertical="center"/>
    </xf>
    <xf borderId="57" fillId="7" fontId="15" numFmtId="0" xfId="0" applyAlignment="1" applyBorder="1" applyFont="1">
      <alignment horizontal="center" vertical="center"/>
    </xf>
    <xf borderId="57" fillId="7" fontId="18" numFmtId="2" xfId="0" applyAlignment="1" applyBorder="1" applyFont="1" applyNumberFormat="1">
      <alignment horizontal="center" vertical="center"/>
    </xf>
    <xf borderId="57" fillId="7" fontId="18" numFmtId="167" xfId="0" applyAlignment="1" applyBorder="1" applyFont="1" applyNumberFormat="1">
      <alignment horizontal="center" vertical="center"/>
    </xf>
    <xf borderId="57" fillId="6" fontId="18" numFmtId="173" xfId="0" applyAlignment="1" applyBorder="1" applyFont="1" applyNumberFormat="1">
      <alignment horizontal="center" vertical="center"/>
    </xf>
    <xf borderId="57" fillId="4" fontId="18" numFmtId="2" xfId="0" applyAlignment="1" applyBorder="1" applyFont="1" applyNumberFormat="1">
      <alignment horizontal="center" vertical="center"/>
    </xf>
    <xf borderId="57" fillId="7" fontId="52" numFmtId="0" xfId="0" applyAlignment="1" applyBorder="1" applyFont="1">
      <alignment horizontal="center" vertical="center"/>
    </xf>
    <xf borderId="57" fillId="7" fontId="53" numFmtId="0" xfId="0" applyAlignment="1" applyBorder="1" applyFont="1">
      <alignment horizontal="center" shrinkToFit="1" vertical="center" wrapText="0"/>
    </xf>
    <xf borderId="57" fillId="4" fontId="18" numFmtId="1" xfId="0" applyAlignment="1" applyBorder="1" applyFont="1" applyNumberFormat="1">
      <alignment horizontal="center" vertical="center"/>
    </xf>
    <xf borderId="57" fillId="6" fontId="54" numFmtId="0" xfId="0" applyAlignment="1" applyBorder="1" applyFont="1">
      <alignment shrinkToFit="0" vertical="center" wrapText="1"/>
    </xf>
    <xf borderId="57" fillId="6" fontId="31" numFmtId="0" xfId="0" applyAlignment="1" applyBorder="1" applyFont="1">
      <alignment horizontal="center" vertical="center"/>
    </xf>
    <xf borderId="57" fillId="6" fontId="55" numFmtId="0" xfId="0" applyAlignment="1" applyBorder="1" applyFont="1">
      <alignment shrinkToFit="0" vertical="center" wrapText="1"/>
    </xf>
    <xf borderId="57" fillId="6" fontId="15" numFmtId="49" xfId="0" applyAlignment="1" applyBorder="1" applyFont="1" applyNumberFormat="1">
      <alignment vertical="center"/>
    </xf>
    <xf borderId="57" fillId="4" fontId="44" numFmtId="1" xfId="0" applyAlignment="1" applyBorder="1" applyFont="1" applyNumberFormat="1">
      <alignment horizontal="center" vertical="center"/>
    </xf>
    <xf borderId="57" fillId="6" fontId="56" numFmtId="0" xfId="0" applyAlignment="1" applyBorder="1" applyFont="1">
      <alignment vertical="center"/>
    </xf>
    <xf borderId="57" fillId="4" fontId="18" numFmtId="0" xfId="0" applyAlignment="1" applyBorder="1" applyFont="1">
      <alignment horizontal="center" vertical="center"/>
    </xf>
    <xf borderId="57" fillId="6" fontId="18" numFmtId="0" xfId="0" applyAlignment="1" applyBorder="1" applyFont="1">
      <alignment horizontal="center" vertical="center"/>
    </xf>
    <xf borderId="57" fillId="6" fontId="57" numFmtId="0" xfId="0" applyAlignment="1" applyBorder="1" applyFont="1">
      <alignment vertical="center"/>
    </xf>
    <xf borderId="8" fillId="6" fontId="33" numFmtId="0" xfId="0" applyAlignment="1" applyBorder="1" applyFont="1">
      <alignment horizontal="center" shrinkToFit="0" vertical="center" wrapText="1"/>
    </xf>
    <xf borderId="26" fillId="6" fontId="31" numFmtId="0" xfId="0" applyAlignment="1" applyBorder="1" applyFont="1">
      <alignment horizontal="left"/>
    </xf>
    <xf borderId="0" fillId="0" fontId="5" numFmtId="49" xfId="0" applyAlignment="1" applyFont="1" applyNumberFormat="1">
      <alignment vertical="bottom"/>
    </xf>
    <xf borderId="16" fillId="3" fontId="25" numFmtId="0" xfId="0" applyAlignment="1" applyBorder="1" applyFont="1">
      <alignment horizontal="left"/>
    </xf>
    <xf borderId="17" fillId="3" fontId="26" numFmtId="11" xfId="0" applyAlignment="1" applyBorder="1" applyFont="1" applyNumberFormat="1">
      <alignment horizontal="left"/>
    </xf>
    <xf borderId="18" fillId="3" fontId="26" numFmtId="11" xfId="0" applyAlignment="1" applyBorder="1" applyFont="1" applyNumberFormat="1">
      <alignment horizontal="center"/>
    </xf>
    <xf borderId="18" fillId="3" fontId="25" numFmtId="11" xfId="0" applyAlignment="1" applyBorder="1" applyFont="1" applyNumberFormat="1">
      <alignment horizontal="left"/>
    </xf>
    <xf borderId="18" fillId="3" fontId="26" numFmtId="11" xfId="0" applyAlignment="1" applyBorder="1" applyFont="1" applyNumberFormat="1">
      <alignment horizontal="left"/>
    </xf>
    <xf borderId="18" fillId="3" fontId="27" numFmtId="11" xfId="0" applyAlignment="1" applyBorder="1" applyFont="1" applyNumberFormat="1">
      <alignment horizontal="center"/>
    </xf>
    <xf borderId="19" fillId="3" fontId="27" numFmtId="11" xfId="0" applyAlignment="1" applyBorder="1" applyFont="1" applyNumberFormat="1">
      <alignment horizontal="right"/>
    </xf>
    <xf borderId="3" fillId="6" fontId="25" numFmtId="0" xfId="0" applyBorder="1" applyFont="1"/>
    <xf borderId="75" fillId="3" fontId="28" numFmtId="0" xfId="0" applyBorder="1" applyFont="1"/>
    <xf borderId="76" fillId="3" fontId="29" numFmtId="0" xfId="0" applyAlignment="1" applyBorder="1" applyFont="1">
      <alignment horizontal="left"/>
    </xf>
    <xf borderId="21" fillId="3" fontId="29" numFmtId="0" xfId="0" applyAlignment="1" applyBorder="1" applyFont="1">
      <alignment horizontal="left"/>
    </xf>
    <xf borderId="22" fillId="3" fontId="29" numFmtId="0" xfId="0" applyAlignment="1" applyBorder="1" applyFont="1">
      <alignment horizontal="left"/>
    </xf>
    <xf borderId="22" fillId="3" fontId="28" numFmtId="11" xfId="0" applyBorder="1" applyFont="1" applyNumberFormat="1"/>
    <xf borderId="22" fillId="3" fontId="48" numFmtId="11" xfId="0" applyBorder="1" applyFont="1" applyNumberFormat="1"/>
    <xf borderId="8" fillId="6" fontId="29" numFmtId="0" xfId="0" applyAlignment="1" applyBorder="1" applyFont="1">
      <alignment horizontal="left"/>
    </xf>
    <xf borderId="27" fillId="6" fontId="15" numFmtId="0" xfId="0" applyAlignment="1" applyBorder="1" applyFont="1">
      <alignment shrinkToFit="0" vertical="center" wrapText="1"/>
    </xf>
    <xf borderId="27" fillId="6" fontId="49" numFmtId="11" xfId="0" applyAlignment="1" applyBorder="1" applyFont="1" applyNumberFormat="1">
      <alignment shrinkToFit="0" vertical="center" wrapText="1"/>
    </xf>
    <xf borderId="27" fillId="6" fontId="49" numFmtId="11" xfId="0" applyAlignment="1" applyBorder="1" applyFont="1" applyNumberFormat="1">
      <alignment horizontal="center" shrinkToFit="0" vertical="center" wrapText="1"/>
    </xf>
    <xf borderId="27" fillId="6" fontId="50" numFmtId="11" xfId="0" applyAlignment="1" applyBorder="1" applyFont="1" applyNumberFormat="1">
      <alignment horizontal="center" shrinkToFit="0" vertical="center" wrapText="1"/>
    </xf>
    <xf borderId="27" fillId="6" fontId="50" numFmtId="11" xfId="0" applyAlignment="1" applyBorder="1" applyFont="1" applyNumberFormat="1">
      <alignment horizontal="left" shrinkToFit="0" vertical="center" wrapText="1"/>
    </xf>
    <xf borderId="8" fillId="6" fontId="15" numFmtId="0" xfId="0" applyAlignment="1" applyBorder="1" applyFont="1">
      <alignment shrinkToFit="0" wrapText="1"/>
    </xf>
    <xf borderId="8" fillId="6" fontId="15" numFmtId="11" xfId="0" applyAlignment="1" applyBorder="1" applyFont="1" applyNumberFormat="1">
      <alignment shrinkToFit="0" wrapText="1"/>
    </xf>
    <xf borderId="8" fillId="6" fontId="15" numFmtId="0" xfId="0" applyAlignment="1" applyBorder="1" applyFont="1">
      <alignment shrinkToFit="0" vertical="center" wrapText="1"/>
    </xf>
    <xf borderId="77" fillId="6" fontId="32" numFmtId="11" xfId="0" applyAlignment="1" applyBorder="1" applyFont="1" applyNumberFormat="1">
      <alignment shrinkToFit="0" vertical="center" wrapText="1"/>
    </xf>
    <xf borderId="58" fillId="6" fontId="33" numFmtId="11" xfId="0" applyAlignment="1" applyBorder="1" applyFont="1" applyNumberFormat="1">
      <alignment horizontal="center" shrinkToFit="0" vertical="center" wrapText="1"/>
    </xf>
    <xf borderId="31" fillId="4" fontId="33" numFmtId="11" xfId="0" applyAlignment="1" applyBorder="1" applyFont="1" applyNumberFormat="1">
      <alignment horizontal="center" shrinkToFit="0" vertical="center" wrapText="1"/>
    </xf>
    <xf borderId="31" fillId="6" fontId="33" numFmtId="11" xfId="0" applyAlignment="1" applyBorder="1" applyFont="1" applyNumberFormat="1">
      <alignment horizontal="center" shrinkToFit="0" vertical="top" wrapText="1"/>
    </xf>
    <xf borderId="31" fillId="6" fontId="33" numFmtId="11" xfId="0" applyAlignment="1" applyBorder="1" applyFont="1" applyNumberFormat="1">
      <alignment horizontal="center" shrinkToFit="0" vertical="center" wrapText="1"/>
    </xf>
    <xf borderId="57" fillId="6" fontId="36" numFmtId="11" xfId="0" applyAlignment="1" applyBorder="1" applyFont="1" applyNumberFormat="1">
      <alignment horizontal="center" shrinkToFit="0" vertical="center" wrapText="1"/>
    </xf>
    <xf borderId="29" fillId="6" fontId="12" numFmtId="11" xfId="0" applyAlignment="1" applyBorder="1" applyFont="1" applyNumberFormat="1">
      <alignment shrinkToFit="0" vertical="center" wrapText="1"/>
    </xf>
    <xf borderId="78" fillId="0" fontId="11" numFmtId="0" xfId="0" applyBorder="1" applyFont="1"/>
    <xf borderId="28" fillId="6" fontId="36" numFmtId="11" xfId="0" applyAlignment="1" applyBorder="1" applyFont="1" applyNumberFormat="1">
      <alignment horizontal="center" shrinkToFit="0" vertical="top" wrapText="1"/>
    </xf>
    <xf borderId="28" fillId="6" fontId="15" numFmtId="0" xfId="0" applyBorder="1" applyFont="1"/>
    <xf borderId="39" fillId="4" fontId="36" numFmtId="11" xfId="0" applyAlignment="1" applyBorder="1" applyFont="1" applyNumberFormat="1">
      <alignment horizontal="center" shrinkToFit="0" vertical="center" wrapText="1"/>
    </xf>
    <xf borderId="42" fillId="6" fontId="33" numFmtId="11" xfId="0" applyAlignment="1" applyBorder="1" applyFont="1" applyNumberFormat="1">
      <alignment horizontal="center" shrinkToFit="0" vertical="top" wrapText="1"/>
    </xf>
    <xf borderId="42" fillId="6" fontId="37" numFmtId="11" xfId="0" applyAlignment="1" applyBorder="1" applyFont="1" applyNumberFormat="1">
      <alignment horizontal="center" shrinkToFit="0" vertical="top" wrapText="1"/>
    </xf>
    <xf borderId="42" fillId="6" fontId="36" numFmtId="0" xfId="0" applyAlignment="1" applyBorder="1" applyFont="1">
      <alignment horizontal="center" vertical="top"/>
    </xf>
    <xf borderId="28" fillId="6" fontId="47" numFmtId="0" xfId="0" applyAlignment="1" applyBorder="1" applyFont="1">
      <alignment horizontal="center"/>
    </xf>
    <xf borderId="79" fillId="0" fontId="11" numFmtId="0" xfId="0" applyBorder="1" applyFont="1"/>
    <xf borderId="53" fillId="6" fontId="36" numFmtId="11" xfId="0" applyAlignment="1" applyBorder="1" applyFont="1" applyNumberFormat="1">
      <alignment horizontal="center" shrinkToFit="0" vertical="top" wrapText="1"/>
    </xf>
    <xf borderId="53" fillId="6" fontId="15" numFmtId="0" xfId="0" applyBorder="1" applyFont="1"/>
    <xf borderId="80" fillId="0" fontId="11" numFmtId="0" xfId="0" applyBorder="1" applyFont="1"/>
    <xf borderId="81" fillId="0" fontId="11" numFmtId="0" xfId="0" applyBorder="1" applyFont="1"/>
    <xf borderId="82" fillId="0" fontId="11" numFmtId="0" xfId="0" applyBorder="1" applyFont="1"/>
    <xf borderId="50" fillId="6" fontId="36" numFmtId="11" xfId="0" applyAlignment="1" applyBorder="1" applyFont="1" applyNumberFormat="1">
      <alignment horizontal="center" shrinkToFit="0" vertical="top" wrapText="1"/>
    </xf>
    <xf borderId="50" fillId="6" fontId="38" numFmtId="11" xfId="0" applyAlignment="1" applyBorder="1" applyFont="1" applyNumberFormat="1">
      <alignment horizontal="center" shrinkToFit="0" vertical="top" wrapText="1"/>
    </xf>
    <xf borderId="55" fillId="6" fontId="36" numFmtId="11" xfId="0" applyAlignment="1" applyBorder="1" applyFont="1" applyNumberFormat="1">
      <alignment horizontal="center" shrinkToFit="0" vertical="top" wrapText="1"/>
    </xf>
    <xf borderId="83" fillId="6" fontId="17" numFmtId="11" xfId="0" applyAlignment="1" applyBorder="1" applyFont="1" applyNumberFormat="1">
      <alignment shrinkToFit="0" vertical="top" wrapText="1"/>
    </xf>
    <xf borderId="53" fillId="6" fontId="17" numFmtId="11" xfId="0" applyAlignment="1" applyBorder="1" applyFont="1" applyNumberFormat="1">
      <alignment horizontal="center" shrinkToFit="0" vertical="top" wrapText="1"/>
    </xf>
    <xf borderId="53" fillId="6" fontId="39" numFmtId="11" xfId="0" applyAlignment="1" applyBorder="1" applyFont="1" applyNumberFormat="1">
      <alignment shrinkToFit="0" vertical="top" wrapText="1"/>
    </xf>
    <xf borderId="28" fillId="4" fontId="39" numFmtId="11" xfId="0" applyAlignment="1" applyBorder="1" applyFont="1" applyNumberFormat="1">
      <alignment horizontal="center" shrinkToFit="0" vertical="center" wrapText="1"/>
    </xf>
    <xf borderId="28" fillId="4" fontId="35" numFmtId="11" xfId="0" applyAlignment="1" applyBorder="1" applyFont="1" applyNumberFormat="1">
      <alignment horizontal="center" shrinkToFit="0" vertical="center" wrapText="1"/>
    </xf>
    <xf borderId="19" fillId="6" fontId="39" numFmtId="11" xfId="0" applyAlignment="1" applyBorder="1" applyFont="1" applyNumberFormat="1">
      <alignment horizontal="center" shrinkToFit="0" vertical="center" wrapText="1"/>
    </xf>
    <xf borderId="28" fillId="6" fontId="35" numFmtId="11" xfId="0" applyAlignment="1" applyBorder="1" applyFont="1" applyNumberFormat="1">
      <alignment horizontal="center" shrinkToFit="0" vertical="center" wrapText="1"/>
    </xf>
    <xf borderId="28" fillId="6" fontId="39" numFmtId="11" xfId="0" applyAlignment="1" applyBorder="1" applyFont="1" applyNumberFormat="1">
      <alignment horizontal="center" shrinkToFit="0" vertical="center" wrapText="1"/>
    </xf>
    <xf borderId="28" fillId="6" fontId="34" numFmtId="11" xfId="0" applyAlignment="1" applyBorder="1" applyFont="1" applyNumberFormat="1">
      <alignment horizontal="center" shrinkToFit="0" vertical="top" wrapText="1"/>
    </xf>
    <xf borderId="53" fillId="6" fontId="43" numFmtId="11" xfId="0" applyAlignment="1" applyBorder="1" applyFont="1" applyNumberFormat="1">
      <alignment horizontal="left" shrinkToFit="0" vertical="center" wrapText="1"/>
    </xf>
    <xf borderId="53" fillId="6" fontId="33" numFmtId="11" xfId="0" applyAlignment="1" applyBorder="1" applyFont="1" applyNumberFormat="1">
      <alignment shrinkToFit="0" vertical="top" wrapText="1"/>
    </xf>
    <xf borderId="53" fillId="4" fontId="40" numFmtId="11" xfId="0" applyAlignment="1" applyBorder="1" applyFont="1" applyNumberFormat="1">
      <alignment horizontal="center" shrinkToFit="0" vertical="center" wrapText="1"/>
    </xf>
    <xf borderId="53" fillId="4" fontId="41" numFmtId="11" xfId="0" applyAlignment="1" applyBorder="1" applyFont="1" applyNumberFormat="1">
      <alignment horizontal="center" shrinkToFit="0" vertical="center" wrapText="1"/>
    </xf>
    <xf borderId="25" fillId="6" fontId="40" numFmtId="11" xfId="0" applyAlignment="1" applyBorder="1" applyFont="1" applyNumberFormat="1">
      <alignment horizontal="center" shrinkToFit="0" vertical="center" wrapText="1"/>
    </xf>
    <xf borderId="53" fillId="6" fontId="41" numFmtId="11" xfId="0" applyAlignment="1" applyBorder="1" applyFont="1" applyNumberFormat="1">
      <alignment horizontal="center" shrinkToFit="0" vertical="center" wrapText="1"/>
    </xf>
    <xf borderId="53" fillId="6" fontId="40" numFmtId="11" xfId="0" applyAlignment="1" applyBorder="1" applyFont="1" applyNumberFormat="1">
      <alignment horizontal="center" shrinkToFit="0" vertical="center" wrapText="1"/>
    </xf>
    <xf borderId="53" fillId="6" fontId="34" numFmtId="11" xfId="0" applyAlignment="1" applyBorder="1" applyFont="1" applyNumberFormat="1">
      <alignment horizontal="center" shrinkToFit="0" vertical="top" wrapText="1"/>
    </xf>
    <xf borderId="20" fillId="6" fontId="17" numFmtId="11" xfId="0" applyAlignment="1" applyBorder="1" applyFont="1" applyNumberFormat="1">
      <alignment shrinkToFit="0" vertical="top" wrapText="1"/>
    </xf>
    <xf borderId="55" fillId="6" fontId="17" numFmtId="11" xfId="0" applyAlignment="1" applyBorder="1" applyFont="1" applyNumberFormat="1">
      <alignment horizontal="center" shrinkToFit="0" vertical="top" wrapText="1"/>
    </xf>
    <xf borderId="55" fillId="6" fontId="36" numFmtId="11" xfId="0" applyAlignment="1" applyBorder="1" applyFont="1" applyNumberFormat="1">
      <alignment shrinkToFit="0" vertical="top" wrapText="1"/>
    </xf>
    <xf borderId="55" fillId="4" fontId="35" numFmtId="11" xfId="0" applyAlignment="1" applyBorder="1" applyFont="1" applyNumberFormat="1">
      <alignment horizontal="center" shrinkToFit="0" vertical="center" wrapText="1"/>
    </xf>
    <xf borderId="23" fillId="6" fontId="42" numFmtId="3" xfId="0" applyAlignment="1" applyBorder="1" applyFont="1" applyNumberFormat="1">
      <alignment horizontal="center" shrinkToFit="0" vertical="center" wrapText="1"/>
    </xf>
    <xf borderId="55" fillId="6" fontId="34" numFmtId="11" xfId="0" applyAlignment="1" applyBorder="1" applyFont="1" applyNumberFormat="1">
      <alignment horizontal="center" shrinkToFit="0" vertical="top" wrapText="1"/>
    </xf>
    <xf borderId="55" fillId="6" fontId="43" numFmtId="11" xfId="0" applyAlignment="1" applyBorder="1" applyFont="1" applyNumberFormat="1">
      <alignment horizontal="left" shrinkToFit="0" vertical="center" wrapText="1"/>
    </xf>
    <xf borderId="83" fillId="6" fontId="15" numFmtId="0" xfId="0" applyBorder="1" applyFont="1"/>
    <xf borderId="57" fillId="7" fontId="18" numFmtId="11" xfId="0" applyAlignment="1" applyBorder="1" applyFont="1" applyNumberFormat="1">
      <alignment shrinkToFit="0" vertical="center" wrapText="1"/>
    </xf>
    <xf borderId="55" fillId="7" fontId="18" numFmtId="11" xfId="0" applyAlignment="1" applyBorder="1" applyFont="1" applyNumberFormat="1">
      <alignment horizontal="center" shrinkToFit="0" vertical="center" wrapText="1"/>
    </xf>
    <xf borderId="55" fillId="7" fontId="47" numFmtId="11" xfId="0" applyAlignment="1" applyBorder="1" applyFont="1" applyNumberFormat="1">
      <alignment shrinkToFit="0" vertical="center" wrapText="1"/>
    </xf>
    <xf borderId="57" fillId="7" fontId="47" numFmtId="11" xfId="0" applyAlignment="1" applyBorder="1" applyFont="1" applyNumberFormat="1">
      <alignment shrinkToFit="0" vertical="center" wrapText="1"/>
    </xf>
    <xf borderId="57" fillId="7" fontId="47" numFmtId="11" xfId="0" applyAlignment="1" applyBorder="1" applyFont="1" applyNumberFormat="1">
      <alignment horizontal="center" vertical="center"/>
    </xf>
    <xf borderId="57" fillId="7" fontId="47" numFmtId="11" xfId="0" applyAlignment="1" applyBorder="1" applyFont="1" applyNumberFormat="1">
      <alignment horizontal="center" shrinkToFit="0" vertical="center" wrapText="1"/>
    </xf>
    <xf borderId="57" fillId="7" fontId="47" numFmtId="11" xfId="0" applyAlignment="1" applyBorder="1" applyFont="1" applyNumberFormat="1">
      <alignment horizontal="left" shrinkToFit="0" vertical="center" wrapText="1"/>
    </xf>
    <xf borderId="57" fillId="6" fontId="20" numFmtId="11" xfId="0" applyAlignment="1" applyBorder="1" applyFont="1" applyNumberFormat="1">
      <alignment shrinkToFit="0" vertical="center" wrapText="1"/>
    </xf>
    <xf borderId="57" fillId="6" fontId="15" numFmtId="11" xfId="0" applyAlignment="1" applyBorder="1" applyFont="1" applyNumberFormat="1">
      <alignment horizontal="center" shrinkToFit="1" vertical="center" wrapText="0"/>
    </xf>
    <xf borderId="57" fillId="6" fontId="20" numFmtId="11" xfId="0" applyAlignment="1" applyBorder="1" applyFont="1" applyNumberFormat="1">
      <alignment horizontal="center" shrinkToFit="1" vertical="center" wrapText="0"/>
    </xf>
    <xf borderId="57" fillId="6" fontId="31" numFmtId="11" xfId="0" applyAlignment="1" applyBorder="1" applyFont="1" applyNumberFormat="1">
      <alignment horizontal="center" shrinkToFit="1" vertical="center" wrapText="0"/>
    </xf>
    <xf borderId="57" fillId="6" fontId="46" numFmtId="11" xfId="0" applyAlignment="1" applyBorder="1" applyFont="1" applyNumberFormat="1">
      <alignment horizontal="left" shrinkToFit="0" vertical="center" wrapText="1"/>
    </xf>
    <xf borderId="57" fillId="6" fontId="15" numFmtId="11" xfId="0" applyAlignment="1" applyBorder="1" applyFont="1" applyNumberFormat="1">
      <alignment shrinkToFit="0" vertical="center" wrapText="1"/>
    </xf>
    <xf borderId="57" fillId="6" fontId="31" numFmtId="11" xfId="0" applyAlignment="1" applyBorder="1" applyFont="1" applyNumberFormat="1">
      <alignment horizontal="left" shrinkToFit="0" vertical="center" wrapText="1"/>
    </xf>
    <xf borderId="57" fillId="7" fontId="18" numFmtId="11" xfId="0" applyAlignment="1" applyBorder="1" applyFont="1" applyNumberFormat="1">
      <alignment horizontal="center" shrinkToFit="1" vertical="center" wrapText="0"/>
    </xf>
    <xf borderId="57" fillId="7" fontId="15" numFmtId="11" xfId="0" applyAlignment="1" applyBorder="1" applyFont="1" applyNumberFormat="1">
      <alignment horizontal="center" shrinkToFit="0" vertical="center" wrapText="1"/>
    </xf>
    <xf borderId="57" fillId="7" fontId="47" numFmtId="11" xfId="0" applyAlignment="1" applyBorder="1" applyFont="1" applyNumberFormat="1">
      <alignment horizontal="center" shrinkToFit="1" vertical="center" wrapText="0"/>
    </xf>
    <xf borderId="57" fillId="6" fontId="15" numFmtId="11" xfId="0" applyAlignment="1" applyBorder="1" applyFont="1" applyNumberFormat="1">
      <alignment horizontal="center" shrinkToFit="0" vertical="center" wrapText="1"/>
    </xf>
    <xf borderId="57" fillId="6" fontId="20" numFmtId="2" xfId="0" applyAlignment="1" applyBorder="1" applyFont="1" applyNumberFormat="1">
      <alignment horizontal="center"/>
    </xf>
    <xf borderId="57" fillId="6" fontId="20" numFmtId="167" xfId="0" applyAlignment="1" applyBorder="1" applyFont="1" applyNumberFormat="1">
      <alignment horizontal="center"/>
    </xf>
    <xf borderId="57" fillId="6" fontId="20" numFmtId="172" xfId="0" applyAlignment="1" applyBorder="1" applyFont="1" applyNumberFormat="1">
      <alignment horizontal="center"/>
    </xf>
    <xf borderId="57" fillId="6" fontId="20" numFmtId="173" xfId="0" applyAlignment="1" applyBorder="1" applyFont="1" applyNumberFormat="1">
      <alignment horizontal="center"/>
    </xf>
    <xf borderId="8" fillId="6" fontId="15" numFmtId="11" xfId="0" applyBorder="1" applyFont="1" applyNumberFormat="1"/>
    <xf borderId="57" fillId="6" fontId="46" numFmtId="11" xfId="0" applyAlignment="1" applyBorder="1" applyFont="1" applyNumberFormat="1">
      <alignment horizontal="center" shrinkToFit="1" vertical="center" wrapText="0"/>
    </xf>
    <xf borderId="8" fillId="6" fontId="20" numFmtId="0" xfId="0" applyBorder="1" applyFont="1"/>
    <xf borderId="8" fillId="6" fontId="20" numFmtId="11" xfId="0" applyBorder="1" applyFont="1" applyNumberFormat="1"/>
    <xf borderId="57" fillId="6" fontId="15" numFmtId="167" xfId="0" applyAlignment="1" applyBorder="1" applyFont="1" applyNumberFormat="1">
      <alignment horizontal="center"/>
    </xf>
    <xf borderId="57" fillId="6" fontId="15" numFmtId="172" xfId="0" applyAlignment="1" applyBorder="1" applyFont="1" applyNumberFormat="1">
      <alignment horizontal="center"/>
    </xf>
    <xf borderId="57" fillId="6" fontId="15" numFmtId="173" xfId="0" applyAlignment="1" applyBorder="1" applyFont="1" applyNumberFormat="1">
      <alignment horizontal="center"/>
    </xf>
    <xf borderId="57" fillId="6" fontId="15" numFmtId="170" xfId="0" applyAlignment="1" applyBorder="1" applyFont="1" applyNumberFormat="1">
      <alignment horizontal="center"/>
    </xf>
    <xf borderId="57" fillId="6" fontId="15" numFmtId="2" xfId="0" applyAlignment="1" applyBorder="1" applyFont="1" applyNumberFormat="1">
      <alignment horizontal="center"/>
    </xf>
    <xf borderId="57" fillId="6" fontId="15" numFmtId="1" xfId="0" applyAlignment="1" applyBorder="1" applyFont="1" applyNumberFormat="1">
      <alignment horizontal="center"/>
    </xf>
    <xf borderId="57" fillId="6" fontId="15" numFmtId="165" xfId="0" applyAlignment="1" applyBorder="1" applyFont="1" applyNumberFormat="1">
      <alignment horizontal="center"/>
    </xf>
    <xf borderId="57" fillId="6" fontId="18" numFmtId="173" xfId="0" applyAlignment="1" applyBorder="1" applyFont="1" applyNumberFormat="1">
      <alignment horizontal="center" shrinkToFit="0" vertical="center" wrapText="1"/>
    </xf>
    <xf borderId="57" fillId="4" fontId="15" numFmtId="1" xfId="0" applyAlignment="1" applyBorder="1" applyFont="1" applyNumberFormat="1">
      <alignment horizontal="center"/>
    </xf>
    <xf borderId="57" fillId="4" fontId="15" numFmtId="2" xfId="0" applyAlignment="1" applyBorder="1" applyFont="1" applyNumberFormat="1">
      <alignment horizontal="center"/>
    </xf>
    <xf borderId="57" fillId="4" fontId="15" numFmtId="170" xfId="0" applyAlignment="1" applyBorder="1" applyFont="1" applyNumberFormat="1">
      <alignment horizontal="center"/>
    </xf>
    <xf borderId="57" fillId="4" fontId="15" numFmtId="167" xfId="0" applyAlignment="1" applyBorder="1" applyFont="1" applyNumberFormat="1">
      <alignment horizontal="center"/>
    </xf>
    <xf borderId="57" fillId="4" fontId="15" numFmtId="3" xfId="0" applyAlignment="1" applyBorder="1" applyFont="1" applyNumberFormat="1">
      <alignment horizontal="center"/>
    </xf>
    <xf borderId="57" fillId="6" fontId="18" numFmtId="170" xfId="0" applyAlignment="1" applyBorder="1" applyFont="1" applyNumberFormat="1">
      <alignment horizontal="center"/>
    </xf>
    <xf borderId="57" fillId="6" fontId="18" numFmtId="2" xfId="0" applyAlignment="1" applyBorder="1" applyFont="1" applyNumberFormat="1">
      <alignment horizontal="center"/>
    </xf>
    <xf borderId="57" fillId="6" fontId="18" numFmtId="1" xfId="0" applyAlignment="1" applyBorder="1" applyFont="1" applyNumberFormat="1">
      <alignment horizontal="center"/>
    </xf>
    <xf borderId="57" fillId="6" fontId="18" numFmtId="167" xfId="0" applyAlignment="1" applyBorder="1" applyFont="1" applyNumberFormat="1">
      <alignment horizontal="center"/>
    </xf>
    <xf borderId="57" fillId="6" fontId="39" numFmtId="167" xfId="0" applyAlignment="1" applyBorder="1" applyFont="1" applyNumberFormat="1">
      <alignment horizontal="center" shrinkToFit="0" vertical="center" wrapText="1"/>
    </xf>
    <xf borderId="8" fillId="6" fontId="49" numFmtId="11" xfId="0" applyAlignment="1" applyBorder="1" applyFont="1" applyNumberFormat="1">
      <alignment shrinkToFit="0" vertical="center" wrapText="1"/>
    </xf>
    <xf borderId="8" fillId="6" fontId="49" numFmtId="11" xfId="0" applyAlignment="1" applyBorder="1" applyFont="1" applyNumberFormat="1">
      <alignment horizontal="center" shrinkToFit="0" vertical="center" wrapText="1"/>
    </xf>
    <xf borderId="8" fillId="6" fontId="33" numFmtId="11" xfId="0" applyAlignment="1" applyBorder="1" applyFont="1" applyNumberFormat="1">
      <alignment horizontal="center" shrinkToFit="0" vertical="center" wrapText="1"/>
    </xf>
    <xf borderId="8" fillId="6" fontId="50" numFmtId="11" xfId="0" applyAlignment="1" applyBorder="1" applyFont="1" applyNumberFormat="1">
      <alignment horizontal="center" shrinkToFit="0" vertical="center" wrapText="1"/>
    </xf>
    <xf borderId="8" fillId="6" fontId="50" numFmtId="11" xfId="0" applyAlignment="1" applyBorder="1" applyFont="1" applyNumberFormat="1">
      <alignment horizontal="left" shrinkToFit="0" vertical="center" wrapText="1"/>
    </xf>
    <xf borderId="0" fillId="0" fontId="2" numFmtId="1" xfId="0" applyAlignment="1" applyFont="1" applyNumberFormat="1">
      <alignment horizontal="right" vertical="bottom"/>
    </xf>
    <xf borderId="0" fillId="0" fontId="2" numFmtId="2" xfId="0" applyAlignment="1" applyFont="1" applyNumberFormat="1">
      <alignment horizontal="right" vertical="bottom"/>
    </xf>
    <xf borderId="0" fillId="0" fontId="2" numFmtId="170" xfId="0" applyAlignment="1" applyFont="1" applyNumberFormat="1">
      <alignment vertical="bottom"/>
    </xf>
    <xf borderId="61" fillId="3" fontId="25" numFmtId="0" xfId="0" applyAlignment="1" applyBorder="1" applyFont="1">
      <alignment horizontal="left"/>
    </xf>
    <xf borderId="18" fillId="5" fontId="26" numFmtId="0" xfId="0" applyAlignment="1" applyBorder="1" applyFont="1">
      <alignment horizontal="center"/>
    </xf>
    <xf borderId="18" fillId="3" fontId="25" numFmtId="0" xfId="0" applyAlignment="1" applyBorder="1" applyFont="1">
      <alignment horizontal="left"/>
    </xf>
    <xf borderId="20" fillId="3" fontId="28" numFmtId="0" xfId="0" applyBorder="1" applyFont="1"/>
    <xf borderId="22" fillId="5" fontId="29" numFmtId="0" xfId="0" applyAlignment="1" applyBorder="1" applyFont="1">
      <alignment horizontal="left"/>
    </xf>
    <xf borderId="22" fillId="3" fontId="28" numFmtId="0" xfId="0" applyBorder="1" applyFont="1"/>
    <xf borderId="22" fillId="3" fontId="29" numFmtId="0" xfId="0" applyBorder="1" applyFont="1"/>
    <xf borderId="54" fillId="6" fontId="15" numFmtId="0" xfId="0" applyBorder="1" applyFont="1"/>
    <xf borderId="8" fillId="6" fontId="18" numFmtId="0" xfId="0" applyAlignment="1" applyBorder="1" applyFont="1">
      <alignment shrinkToFit="0" wrapText="1"/>
    </xf>
    <xf borderId="31" fillId="6" fontId="33" numFmtId="0" xfId="0" applyAlignment="1" applyBorder="1" applyFont="1">
      <alignment horizontal="center" shrinkToFit="0" vertical="top" wrapText="1"/>
    </xf>
    <xf borderId="29" fillId="6" fontId="43" numFmtId="0" xfId="0" applyAlignment="1" applyBorder="1" applyFont="1">
      <alignment horizontal="left" shrinkToFit="0" vertical="center" wrapText="1"/>
    </xf>
    <xf borderId="42" fillId="6" fontId="37" numFmtId="0" xfId="0" applyAlignment="1" applyBorder="1" applyFont="1">
      <alignment horizontal="center" shrinkToFit="0" vertical="top" wrapText="1"/>
    </xf>
    <xf borderId="42" fillId="6" fontId="36" numFmtId="0" xfId="0" applyAlignment="1" applyBorder="1" applyFont="1">
      <alignment horizontal="center" shrinkToFit="0" vertical="top" wrapText="1"/>
    </xf>
    <xf borderId="50" fillId="6" fontId="38" numFmtId="0" xfId="0" applyAlignment="1" applyBorder="1" applyFont="1">
      <alignment horizontal="center" shrinkToFit="0" vertical="top" wrapText="1"/>
    </xf>
    <xf borderId="53" fillId="6" fontId="17" numFmtId="0" xfId="0" applyAlignment="1" applyBorder="1" applyFont="1">
      <alignment shrinkToFit="0" vertical="top" wrapText="1"/>
    </xf>
    <xf borderId="28" fillId="6" fontId="35" numFmtId="0" xfId="0" applyAlignment="1" applyBorder="1" applyFont="1">
      <alignment horizontal="center" shrinkToFit="0" vertical="top" wrapText="1"/>
    </xf>
    <xf borderId="53" fillId="6" fontId="41" numFmtId="0" xfId="0" applyAlignment="1" applyBorder="1" applyFont="1">
      <alignment horizontal="center" shrinkToFit="0" vertical="top" wrapText="1"/>
    </xf>
    <xf quotePrefix="1" borderId="57" fillId="9" fontId="20" numFmtId="171" xfId="0" applyAlignment="1" applyBorder="1" applyFont="1" applyNumberFormat="1">
      <alignment vertical="center"/>
    </xf>
    <xf borderId="57" fillId="7" fontId="18" numFmtId="1" xfId="0" applyAlignment="1" applyBorder="1" applyFont="1" applyNumberFormat="1">
      <alignment horizontal="center" shrinkToFit="0" vertical="center" wrapText="1"/>
    </xf>
    <xf borderId="57" fillId="7" fontId="18" numFmtId="2" xfId="0" applyAlignment="1" applyBorder="1" applyFont="1" applyNumberFormat="1">
      <alignment horizontal="center" shrinkToFit="0" vertical="center" wrapText="1"/>
    </xf>
    <xf borderId="57" fillId="7" fontId="15" numFmtId="172" xfId="0" applyAlignment="1" applyBorder="1" applyFont="1" applyNumberFormat="1">
      <alignment horizontal="center" shrinkToFit="0" vertical="center" wrapText="1"/>
    </xf>
    <xf borderId="0" fillId="0" fontId="58" numFmtId="0" xfId="0" applyFont="1"/>
    <xf borderId="8" fillId="10" fontId="15" numFmtId="0" xfId="0" applyBorder="1" applyFill="1" applyFont="1"/>
    <xf borderId="0" fillId="0" fontId="15" numFmtId="0" xfId="0" applyAlignment="1" applyFont="1">
      <alignment shrinkToFit="0" wrapText="1"/>
    </xf>
    <xf borderId="8" fillId="11" fontId="15" numFmtId="0" xfId="0" applyAlignment="1" applyBorder="1" applyFill="1" applyFont="1">
      <alignment shrinkToFit="0" wrapText="1"/>
    </xf>
    <xf borderId="0" fillId="0" fontId="18" numFmtId="2" xfId="0" applyFont="1" applyNumberFormat="1"/>
    <xf borderId="0" fillId="0" fontId="18" numFmtId="2" xfId="0" applyAlignment="1" applyFont="1" applyNumberFormat="1">
      <alignment shrinkToFit="0" wrapText="1"/>
    </xf>
    <xf borderId="0" fillId="0" fontId="15" numFmtId="2" xfId="0" applyFont="1" applyNumberFormat="1"/>
    <xf borderId="0" fillId="0" fontId="15" numFmtId="2" xfId="0" applyAlignment="1" applyFont="1" applyNumberFormat="1">
      <alignment shrinkToFit="0" wrapText="1"/>
    </xf>
    <xf borderId="0" fillId="0" fontId="15" numFmtId="170" xfId="0" applyFont="1" applyNumberFormat="1"/>
    <xf borderId="0" fillId="0" fontId="18" numFmtId="170" xfId="0" applyFont="1" applyNumberFormat="1"/>
    <xf borderId="8" fillId="6" fontId="59" numFmtId="0" xfId="0" applyBorder="1" applyFont="1"/>
    <xf borderId="8" fillId="6" fontId="60" numFmtId="0" xfId="0" applyBorder="1" applyFont="1"/>
    <xf borderId="8" fillId="6" fontId="60" numFmtId="0" xfId="0" applyAlignment="1" applyBorder="1" applyFont="1">
      <alignment horizontal="center"/>
    </xf>
    <xf borderId="8" fillId="6" fontId="60" numFmtId="0" xfId="0" applyAlignment="1" applyBorder="1" applyFont="1">
      <alignment horizontal="center" shrinkToFit="0" vertical="center" wrapText="1"/>
    </xf>
    <xf borderId="8" fillId="8" fontId="59" numFmtId="0" xfId="0" applyAlignment="1" applyBorder="1" applyFont="1">
      <alignment vertical="center"/>
    </xf>
    <xf borderId="8" fillId="8" fontId="61" numFmtId="0" xfId="0" applyAlignment="1" applyBorder="1" applyFont="1">
      <alignment vertical="center"/>
    </xf>
    <xf borderId="8" fillId="8" fontId="62" numFmtId="0" xfId="0" applyAlignment="1" applyBorder="1" applyFont="1">
      <alignment vertical="center"/>
    </xf>
    <xf borderId="8" fillId="8" fontId="60" numFmtId="0" xfId="0" applyAlignment="1" applyBorder="1" applyFont="1">
      <alignment horizontal="center" vertical="center"/>
    </xf>
    <xf borderId="8" fillId="8" fontId="60" numFmtId="0" xfId="0" applyAlignment="1" applyBorder="1" applyFont="1">
      <alignment vertical="center"/>
    </xf>
    <xf borderId="8" fillId="12" fontId="59" numFmtId="0" xfId="0" applyBorder="1" applyFill="1" applyFont="1"/>
    <xf borderId="8" fillId="12" fontId="63" numFmtId="0" xfId="0" applyBorder="1" applyFont="1"/>
    <xf borderId="8" fillId="12" fontId="60" numFmtId="0" xfId="0" applyBorder="1" applyFont="1"/>
    <xf borderId="8" fillId="12" fontId="60" numFmtId="0" xfId="0" applyAlignment="1" applyBorder="1" applyFont="1">
      <alignment horizontal="center"/>
    </xf>
    <xf borderId="8" fillId="12" fontId="64" numFmtId="0" xfId="0" applyBorder="1" applyFont="1"/>
    <xf borderId="8" fillId="12" fontId="60" numFmtId="167" xfId="0" applyBorder="1" applyFont="1" applyNumberFormat="1"/>
    <xf borderId="8" fillId="12" fontId="60" numFmtId="1" xfId="0" applyBorder="1" applyFont="1" applyNumberFormat="1"/>
    <xf borderId="8" fillId="6" fontId="60" numFmtId="1" xfId="0" applyBorder="1" applyFont="1" applyNumberFormat="1"/>
    <xf borderId="8" fillId="6" fontId="60" numFmtId="170" xfId="0" applyBorder="1" applyFont="1" applyNumberFormat="1"/>
    <xf borderId="8" fillId="12" fontId="65" numFmtId="0" xfId="0" applyBorder="1" applyFont="1"/>
    <xf borderId="84" fillId="12" fontId="66" numFmtId="0" xfId="0" applyBorder="1" applyFont="1"/>
    <xf borderId="84" fillId="12" fontId="66" numFmtId="0" xfId="0" applyAlignment="1" applyBorder="1" applyFont="1">
      <alignment shrinkToFit="0" wrapText="1"/>
    </xf>
    <xf borderId="85" fillId="12" fontId="66" numFmtId="0" xfId="0" applyBorder="1" applyFont="1"/>
    <xf borderId="86" fillId="12" fontId="60" numFmtId="0" xfId="0" applyAlignment="1" applyBorder="1" applyFont="1">
      <alignment horizontal="center" shrinkToFit="0" textRotation="90" vertical="top" wrapText="1"/>
    </xf>
    <xf borderId="87" fillId="12" fontId="60" numFmtId="0" xfId="0" applyAlignment="1" applyBorder="1" applyFont="1">
      <alignment horizontal="center" shrinkToFit="0" textRotation="90" vertical="top" wrapText="1"/>
    </xf>
    <xf borderId="86" fillId="6" fontId="60" numFmtId="0" xfId="0" applyAlignment="1" applyBorder="1" applyFont="1">
      <alignment horizontal="center" shrinkToFit="0" textRotation="90" vertical="top" wrapText="1"/>
    </xf>
    <xf borderId="87" fillId="12" fontId="66" numFmtId="0" xfId="0" applyBorder="1" applyFont="1"/>
    <xf borderId="87" fillId="12" fontId="60" numFmtId="0" xfId="0" applyBorder="1" applyFont="1"/>
    <xf borderId="87" fillId="12" fontId="60" numFmtId="166" xfId="0" applyAlignment="1" applyBorder="1" applyFont="1" applyNumberFormat="1">
      <alignment horizontal="center"/>
    </xf>
    <xf borderId="87" fillId="12" fontId="60" numFmtId="176" xfId="0" applyBorder="1" applyFont="1" applyNumberFormat="1"/>
    <xf borderId="87" fillId="12" fontId="60" numFmtId="166" xfId="0" applyBorder="1" applyFont="1" applyNumberFormat="1"/>
    <xf borderId="87" fillId="6" fontId="60" numFmtId="176" xfId="0" applyBorder="1" applyFont="1" applyNumberFormat="1"/>
    <xf borderId="88" fillId="12" fontId="66" numFmtId="0" xfId="0" applyBorder="1" applyFont="1"/>
    <xf borderId="88" fillId="12" fontId="60" numFmtId="0" xfId="0" applyBorder="1" applyFont="1"/>
    <xf borderId="88" fillId="12" fontId="60" numFmtId="166" xfId="0" applyAlignment="1" applyBorder="1" applyFont="1" applyNumberFormat="1">
      <alignment horizontal="center"/>
    </xf>
    <xf borderId="88" fillId="12" fontId="60" numFmtId="176" xfId="0" applyBorder="1" applyFont="1" applyNumberFormat="1"/>
    <xf borderId="88" fillId="12" fontId="60" numFmtId="166" xfId="0" applyBorder="1" applyFont="1" applyNumberFormat="1"/>
    <xf borderId="88" fillId="6" fontId="60" numFmtId="176" xfId="0" applyBorder="1" applyFont="1" applyNumberFormat="1"/>
    <xf borderId="89" fillId="12" fontId="66" numFmtId="0" xfId="0" applyBorder="1" applyFont="1"/>
    <xf borderId="89" fillId="12" fontId="60" numFmtId="0" xfId="0" applyBorder="1" applyFont="1"/>
    <xf borderId="89" fillId="12" fontId="60" numFmtId="166" xfId="0" applyAlignment="1" applyBorder="1" applyFont="1" applyNumberFormat="1">
      <alignment horizontal="center"/>
    </xf>
    <xf borderId="89" fillId="12" fontId="60" numFmtId="176" xfId="0" applyBorder="1" applyFont="1" applyNumberFormat="1"/>
    <xf borderId="89" fillId="12" fontId="60" numFmtId="166" xfId="0" applyBorder="1" applyFont="1" applyNumberFormat="1"/>
    <xf borderId="89" fillId="6" fontId="60" numFmtId="176" xfId="0" applyBorder="1" applyFont="1" applyNumberFormat="1"/>
    <xf borderId="87" fillId="12" fontId="65" numFmtId="0" xfId="0" applyBorder="1" applyFont="1"/>
    <xf borderId="88" fillId="12" fontId="65" numFmtId="0" xfId="0" applyBorder="1" applyFont="1"/>
    <xf borderId="89" fillId="12" fontId="65" numFmtId="0" xfId="0" applyBorder="1" applyFont="1"/>
    <xf borderId="87" fillId="12" fontId="60" numFmtId="177" xfId="0" applyBorder="1" applyFont="1" applyNumberFormat="1"/>
    <xf borderId="88" fillId="12" fontId="60" numFmtId="177" xfId="0" applyBorder="1" applyFont="1" applyNumberFormat="1"/>
    <xf borderId="88" fillId="12" fontId="65" numFmtId="0" xfId="0" applyAlignment="1" applyBorder="1" applyFont="1">
      <alignment shrinkToFit="0" wrapText="1"/>
    </xf>
    <xf borderId="88" fillId="12" fontId="59" numFmtId="0" xfId="0" applyBorder="1" applyFont="1"/>
    <xf borderId="88" fillId="12" fontId="59" numFmtId="0" xfId="0" applyAlignment="1" applyBorder="1" applyFont="1">
      <alignment shrinkToFit="0" wrapText="1"/>
    </xf>
    <xf borderId="88" fillId="12" fontId="60" numFmtId="178" xfId="0" applyBorder="1" applyFont="1" applyNumberFormat="1"/>
    <xf borderId="89" fillId="12" fontId="59" numFmtId="0" xfId="0" applyBorder="1" applyFont="1"/>
    <xf borderId="89" fillId="12" fontId="60" numFmtId="178" xfId="0" applyBorder="1" applyFont="1" applyNumberFormat="1"/>
    <xf borderId="87" fillId="12" fontId="59" numFmtId="0" xfId="0" applyBorder="1" applyFont="1"/>
    <xf borderId="8" fillId="12" fontId="59" numFmtId="179" xfId="0" applyBorder="1" applyFont="1" applyNumberFormat="1"/>
    <xf borderId="8" fillId="6" fontId="65" numFmtId="0" xfId="0" applyBorder="1" applyFont="1"/>
    <xf borderId="90" fillId="12" fontId="60" numFmtId="166" xfId="0" applyAlignment="1" applyBorder="1" applyFont="1" applyNumberFormat="1">
      <alignment horizontal="center"/>
    </xf>
    <xf borderId="90" fillId="12" fontId="60" numFmtId="166" xfId="0" applyBorder="1" applyFont="1" applyNumberFormat="1"/>
    <xf borderId="91" fillId="12" fontId="60" numFmtId="166" xfId="0" applyBorder="1" applyFont="1" applyNumberFormat="1"/>
    <xf borderId="91" fillId="12" fontId="60" numFmtId="178" xfId="0" applyBorder="1" applyFont="1" applyNumberFormat="1"/>
    <xf borderId="92" fillId="12" fontId="60" numFmtId="177" xfId="0" applyBorder="1" applyFont="1" applyNumberFormat="1"/>
    <xf borderId="87" fillId="6" fontId="60" numFmtId="166" xfId="0" applyBorder="1" applyFont="1" applyNumberFormat="1"/>
    <xf borderId="93" fillId="12" fontId="60" numFmtId="166" xfId="0" applyAlignment="1" applyBorder="1" applyFont="1" applyNumberFormat="1">
      <alignment horizontal="center"/>
    </xf>
    <xf borderId="93" fillId="12" fontId="60" numFmtId="166" xfId="0" applyBorder="1" applyFont="1" applyNumberFormat="1"/>
    <xf borderId="8" fillId="12" fontId="60" numFmtId="166" xfId="0" applyBorder="1" applyFont="1" applyNumberFormat="1"/>
    <xf borderId="8" fillId="12" fontId="60" numFmtId="178" xfId="0" applyBorder="1" applyFont="1" applyNumberFormat="1"/>
    <xf borderId="94" fillId="12" fontId="60" numFmtId="177" xfId="0" applyBorder="1" applyFont="1" applyNumberFormat="1"/>
    <xf borderId="88" fillId="6" fontId="60" numFmtId="166" xfId="0" applyBorder="1" applyFont="1" applyNumberFormat="1"/>
    <xf borderId="95" fillId="12" fontId="60" numFmtId="166" xfId="0" applyAlignment="1" applyBorder="1" applyFont="1" applyNumberFormat="1">
      <alignment horizontal="center"/>
    </xf>
    <xf borderId="95" fillId="12" fontId="60" numFmtId="166" xfId="0" applyBorder="1" applyFont="1" applyNumberFormat="1"/>
    <xf borderId="84" fillId="12" fontId="60" numFmtId="166" xfId="0" applyBorder="1" applyFont="1" applyNumberFormat="1"/>
    <xf borderId="84" fillId="12" fontId="60" numFmtId="178" xfId="0" applyBorder="1" applyFont="1" applyNumberFormat="1"/>
    <xf borderId="85" fillId="12" fontId="60" numFmtId="177" xfId="0" applyBorder="1" applyFont="1" applyNumberFormat="1"/>
    <xf borderId="89" fillId="6" fontId="60" numFmtId="166" xfId="0" applyBorder="1" applyFont="1" applyNumberFormat="1"/>
    <xf borderId="86" fillId="12" fontId="65" numFmtId="0" xfId="0" applyBorder="1" applyFont="1"/>
    <xf borderId="96" fillId="12" fontId="60" numFmtId="166" xfId="0" applyAlignment="1" applyBorder="1" applyFont="1" applyNumberFormat="1">
      <alignment horizontal="center"/>
    </xf>
    <xf borderId="96" fillId="12" fontId="60" numFmtId="166" xfId="0" applyBorder="1" applyFont="1" applyNumberFormat="1"/>
    <xf borderId="97" fillId="12" fontId="60" numFmtId="166" xfId="0" applyBorder="1" applyFont="1" applyNumberFormat="1"/>
    <xf borderId="97" fillId="12" fontId="60" numFmtId="178" xfId="0" applyBorder="1" applyFont="1" applyNumberFormat="1"/>
    <xf borderId="98" fillId="12" fontId="60" numFmtId="177" xfId="0" applyBorder="1" applyFont="1" applyNumberFormat="1"/>
    <xf borderId="86" fillId="6" fontId="60" numFmtId="177" xfId="0" applyBorder="1" applyFont="1" applyNumberFormat="1"/>
    <xf borderId="87" fillId="12" fontId="65" numFmtId="0" xfId="0" applyAlignment="1" applyBorder="1" applyFont="1">
      <alignment shrinkToFit="0" wrapText="1"/>
    </xf>
    <xf borderId="87" fillId="6" fontId="60" numFmtId="177" xfId="0" applyBorder="1" applyFont="1" applyNumberFormat="1"/>
    <xf borderId="88" fillId="6" fontId="60" numFmtId="177" xfId="0" applyBorder="1" applyFont="1" applyNumberFormat="1"/>
    <xf borderId="89" fillId="6" fontId="60" numFmtId="177" xfId="0" applyBorder="1" applyFont="1" applyNumberFormat="1"/>
    <xf borderId="8" fillId="6" fontId="59" numFmtId="9" xfId="0" applyBorder="1" applyFont="1" applyNumberFormat="1"/>
    <xf borderId="8" fillId="12" fontId="60" numFmtId="179" xfId="0" applyBorder="1" applyFont="1" applyNumberFormat="1"/>
    <xf borderId="8" fillId="6" fontId="60" numFmtId="0" xfId="0" applyAlignment="1" applyBorder="1" applyFont="1">
      <alignment horizontal="center" shrinkToFit="0" textRotation="90" vertical="top" wrapText="1"/>
    </xf>
    <xf borderId="8" fillId="6" fontId="60" numFmtId="177" xfId="0" applyBorder="1" applyFont="1" applyNumberFormat="1"/>
    <xf borderId="86" fillId="12" fontId="60" numFmtId="0" xfId="0" applyBorder="1" applyFont="1"/>
    <xf borderId="92" fillId="12" fontId="65" numFmtId="0" xfId="0" applyBorder="1" applyFont="1"/>
    <xf borderId="94" fillId="12" fontId="65" numFmtId="0" xfId="0" applyBorder="1" applyFont="1"/>
    <xf borderId="8" fillId="6" fontId="67" numFmtId="177" xfId="0" applyBorder="1" applyFont="1" applyNumberFormat="1"/>
    <xf borderId="8" fillId="6" fontId="67" numFmtId="0" xfId="0" applyBorder="1" applyFont="1"/>
    <xf borderId="8" fillId="6" fontId="68" numFmtId="0" xfId="0" applyBorder="1" applyFont="1"/>
    <xf borderId="94" fillId="12" fontId="59" numFmtId="0" xfId="0" applyBorder="1" applyFont="1"/>
    <xf borderId="8" fillId="12" fontId="59" numFmtId="170" xfId="0" applyBorder="1" applyFont="1" applyNumberFormat="1"/>
    <xf borderId="8" fillId="12" fontId="60" numFmtId="170" xfId="0" applyBorder="1" applyFont="1" applyNumberFormat="1"/>
    <xf borderId="87" fillId="12" fontId="60" numFmtId="167" xfId="0" applyAlignment="1" applyBorder="1" applyFont="1" applyNumberFormat="1">
      <alignment horizontal="center" shrinkToFit="0" textRotation="90" vertical="top" wrapText="1"/>
    </xf>
    <xf borderId="87" fillId="12" fontId="60" numFmtId="1" xfId="0" applyAlignment="1" applyBorder="1" applyFont="1" applyNumberFormat="1">
      <alignment horizontal="center" shrinkToFit="0" textRotation="90" vertical="top" wrapText="1"/>
    </xf>
    <xf borderId="87" fillId="12" fontId="60" numFmtId="170" xfId="0" applyAlignment="1" applyBorder="1" applyFont="1" applyNumberFormat="1">
      <alignment horizontal="center" shrinkToFit="0" textRotation="90" vertical="top" wrapText="1"/>
    </xf>
    <xf borderId="93" fillId="12" fontId="66" numFmtId="0" xfId="0" applyBorder="1" applyFont="1"/>
    <xf borderId="90" fillId="12" fontId="60" numFmtId="0" xfId="0" applyAlignment="1" applyBorder="1" applyFont="1">
      <alignment shrinkToFit="0" wrapText="1"/>
    </xf>
    <xf borderId="87" fillId="12" fontId="60" numFmtId="0" xfId="0" applyAlignment="1" applyBorder="1" applyFont="1">
      <alignment shrinkToFit="0" wrapText="1"/>
    </xf>
    <xf borderId="87" fillId="12" fontId="60" numFmtId="11" xfId="0" applyBorder="1" applyFont="1" applyNumberFormat="1"/>
    <xf borderId="87" fillId="12" fontId="60" numFmtId="167" xfId="0" applyBorder="1" applyFont="1" applyNumberFormat="1"/>
    <xf borderId="87" fillId="12" fontId="60" numFmtId="170" xfId="0" applyBorder="1" applyFont="1" applyNumberFormat="1"/>
    <xf borderId="87" fillId="12" fontId="60" numFmtId="1" xfId="0" applyAlignment="1" applyBorder="1" applyFont="1" applyNumberFormat="1">
      <alignment horizontal="right"/>
    </xf>
    <xf borderId="93" fillId="12" fontId="60" numFmtId="0" xfId="0" applyAlignment="1" applyBorder="1" applyFont="1">
      <alignment shrinkToFit="0" wrapText="1"/>
    </xf>
    <xf borderId="88" fillId="12" fontId="60" numFmtId="0" xfId="0" applyAlignment="1" applyBorder="1" applyFont="1">
      <alignment shrinkToFit="0" wrapText="1"/>
    </xf>
    <xf borderId="88" fillId="12" fontId="60" numFmtId="11" xfId="0" applyBorder="1" applyFont="1" applyNumberFormat="1"/>
    <xf borderId="88" fillId="12" fontId="60" numFmtId="167" xfId="0" applyBorder="1" applyFont="1" applyNumberFormat="1"/>
    <xf borderId="88" fillId="12" fontId="60" numFmtId="170" xfId="0" applyBorder="1" applyFont="1" applyNumberFormat="1"/>
    <xf borderId="88" fillId="12" fontId="60" numFmtId="1" xfId="0" applyAlignment="1" applyBorder="1" applyFont="1" applyNumberFormat="1">
      <alignment horizontal="right"/>
    </xf>
    <xf borderId="89" fillId="12" fontId="60" numFmtId="11" xfId="0" applyBorder="1" applyFont="1" applyNumberFormat="1"/>
    <xf borderId="89" fillId="12" fontId="60" numFmtId="167" xfId="0" applyBorder="1" applyFont="1" applyNumberFormat="1"/>
    <xf borderId="89" fillId="12" fontId="60" numFmtId="170" xfId="0" applyBorder="1" applyFont="1" applyNumberFormat="1"/>
    <xf borderId="89" fillId="12" fontId="60" numFmtId="1" xfId="0" applyAlignment="1" applyBorder="1" applyFont="1" applyNumberFormat="1">
      <alignment horizontal="right"/>
    </xf>
    <xf borderId="95" fillId="12" fontId="60" numFmtId="0" xfId="0" applyAlignment="1" applyBorder="1" applyFont="1">
      <alignment shrinkToFit="0" wrapText="1"/>
    </xf>
    <xf borderId="87" fillId="12" fontId="60" numFmtId="1" xfId="0" applyBorder="1" applyFont="1" applyNumberFormat="1"/>
    <xf borderId="88" fillId="12" fontId="60" numFmtId="1" xfId="0" applyBorder="1" applyFont="1" applyNumberFormat="1"/>
    <xf borderId="89" fillId="12" fontId="60" numFmtId="1" xfId="0" applyBorder="1" applyFont="1" applyNumberFormat="1"/>
    <xf borderId="87" fillId="12" fontId="60" numFmtId="2" xfId="0" applyBorder="1" applyFont="1" applyNumberFormat="1"/>
    <xf borderId="88" fillId="12" fontId="60" numFmtId="2" xfId="0" applyBorder="1" applyFont="1" applyNumberFormat="1"/>
    <xf borderId="89" fillId="12" fontId="60" numFmtId="2" xfId="0" applyBorder="1" applyFont="1" applyNumberFormat="1"/>
    <xf borderId="92" fillId="12" fontId="60" numFmtId="170" xfId="0" applyBorder="1" applyFont="1" applyNumberFormat="1"/>
    <xf borderId="94" fillId="12" fontId="60" numFmtId="170" xfId="0" applyBorder="1" applyFont="1" applyNumberFormat="1"/>
    <xf borderId="85" fillId="12" fontId="60" numFmtId="170" xfId="0" applyBorder="1" applyFont="1" applyNumberFormat="1"/>
    <xf borderId="89" fillId="12" fontId="60" numFmtId="0" xfId="0" applyAlignment="1" applyBorder="1" applyFont="1">
      <alignment shrinkToFit="0" wrapText="1"/>
    </xf>
    <xf borderId="90" fillId="12" fontId="66" numFmtId="0" xfId="0" applyBorder="1" applyFont="1"/>
    <xf borderId="86" fillId="6" fontId="60" numFmtId="166" xfId="0" applyBorder="1" applyFont="1" applyNumberFormat="1"/>
    <xf borderId="8" fillId="12" fontId="69" numFmtId="0" xfId="0" applyBorder="1" applyFont="1"/>
    <xf borderId="8" fillId="12" fontId="59" numFmtId="167" xfId="0" applyBorder="1" applyFont="1" applyNumberFormat="1"/>
    <xf borderId="8" fillId="12" fontId="59" numFmtId="1" xfId="0" applyBorder="1" applyFont="1" applyNumberFormat="1"/>
    <xf borderId="87" fillId="12" fontId="60" numFmtId="1" xfId="0" applyAlignment="1" applyBorder="1" applyFont="1" applyNumberFormat="1">
      <alignment horizontal="center"/>
    </xf>
    <xf borderId="87" fillId="12" fontId="60" numFmtId="166" xfId="0" applyAlignment="1" applyBorder="1" applyFont="1" applyNumberFormat="1">
      <alignment horizontal="right"/>
    </xf>
    <xf borderId="88" fillId="12" fontId="60" numFmtId="1" xfId="0" applyAlignment="1" applyBorder="1" applyFont="1" applyNumberFormat="1">
      <alignment horizontal="center"/>
    </xf>
    <xf borderId="88" fillId="12" fontId="60" numFmtId="166" xfId="0" applyAlignment="1" applyBorder="1" applyFont="1" applyNumberFormat="1">
      <alignment horizontal="right"/>
    </xf>
    <xf borderId="89" fillId="12" fontId="60" numFmtId="1" xfId="0" applyAlignment="1" applyBorder="1" applyFont="1" applyNumberFormat="1">
      <alignment horizontal="center"/>
    </xf>
    <xf borderId="89" fillId="12" fontId="60" numFmtId="166" xfId="0" applyAlignment="1" applyBorder="1" applyFont="1" applyNumberFormat="1">
      <alignment horizontal="right"/>
    </xf>
    <xf borderId="87" fillId="12" fontId="60" numFmtId="176" xfId="0" applyAlignment="1" applyBorder="1" applyFont="1" applyNumberFormat="1">
      <alignment horizontal="center"/>
    </xf>
    <xf borderId="88" fillId="12" fontId="60" numFmtId="176" xfId="0" applyAlignment="1" applyBorder="1" applyFont="1" applyNumberFormat="1">
      <alignment horizontal="center"/>
    </xf>
    <xf borderId="89" fillId="12" fontId="60" numFmtId="176" xfId="0" applyAlignment="1" applyBorder="1" applyFont="1" applyNumberFormat="1">
      <alignment horizontal="center"/>
    </xf>
    <xf borderId="87" fillId="12" fontId="60" numFmtId="177" xfId="0" applyAlignment="1" applyBorder="1" applyFont="1" applyNumberFormat="1">
      <alignment horizontal="center"/>
    </xf>
    <xf borderId="88" fillId="12" fontId="60" numFmtId="177" xfId="0" applyAlignment="1" applyBorder="1" applyFont="1" applyNumberFormat="1">
      <alignment horizontal="center"/>
    </xf>
    <xf borderId="89" fillId="12" fontId="60" numFmtId="177" xfId="0" applyBorder="1" applyFont="1" applyNumberFormat="1"/>
    <xf borderId="89" fillId="12" fontId="60" numFmtId="177" xfId="0" applyAlignment="1" applyBorder="1" applyFont="1" applyNumberFormat="1">
      <alignment horizontal="center"/>
    </xf>
    <xf borderId="87" fillId="12" fontId="60" numFmtId="0" xfId="0" applyAlignment="1" applyBorder="1" applyFont="1">
      <alignment shrinkToFit="0" vertical="center" wrapText="1"/>
    </xf>
    <xf borderId="88" fillId="12" fontId="60" numFmtId="0" xfId="0" applyAlignment="1" applyBorder="1" applyFont="1">
      <alignment shrinkToFit="0" vertical="center" wrapText="1"/>
    </xf>
    <xf quotePrefix="1" borderId="8" fillId="12" fontId="59" numFmtId="0" xfId="0" applyBorder="1" applyFont="1"/>
    <xf borderId="90" fillId="12" fontId="60" numFmtId="0" xfId="0" applyAlignment="1" applyBorder="1" applyFont="1">
      <alignment shrinkToFit="0" vertical="center" wrapText="1"/>
    </xf>
    <xf borderId="93" fillId="12" fontId="60" numFmtId="0" xfId="0" applyAlignment="1" applyBorder="1" applyFont="1">
      <alignment shrinkToFit="0" vertical="center" wrapText="1"/>
    </xf>
    <xf borderId="89" fillId="12" fontId="60" numFmtId="0" xfId="0" applyAlignment="1" applyBorder="1" applyFont="1">
      <alignment shrinkToFit="0" vertical="center" wrapText="1"/>
    </xf>
    <xf borderId="8" fillId="6" fontId="60" numFmtId="167" xfId="0" applyBorder="1" applyFont="1" applyNumberFormat="1"/>
    <xf borderId="8" fillId="6" fontId="59" numFmtId="170" xfId="0" applyBorder="1" applyFont="1" applyNumberFormat="1"/>
    <xf borderId="99" fillId="13" fontId="22" numFmtId="0" xfId="0" applyAlignment="1" applyBorder="1" applyFill="1" applyFont="1">
      <alignment shrinkToFit="0" vertical="center" wrapText="1"/>
    </xf>
    <xf borderId="99" fillId="13" fontId="70" numFmtId="0" xfId="0" applyAlignment="1" applyBorder="1" applyFont="1">
      <alignment horizontal="left" shrinkToFit="0" vertical="center" wrapText="1"/>
    </xf>
    <xf borderId="100" fillId="14" fontId="71" numFmtId="3" xfId="0" applyAlignment="1" applyBorder="1" applyFill="1" applyFont="1" applyNumberFormat="1">
      <alignment horizontal="left" shrinkToFit="0" vertical="center" wrapText="1"/>
    </xf>
    <xf borderId="8" fillId="15" fontId="72" numFmtId="0" xfId="0" applyAlignment="1" applyBorder="1" applyFill="1" applyFont="1">
      <alignment horizontal="left"/>
    </xf>
    <xf borderId="99" fillId="13" fontId="70" numFmtId="0" xfId="0" applyAlignment="1" applyBorder="1" applyFont="1">
      <alignment shrinkToFit="0" vertical="center" wrapText="1"/>
    </xf>
    <xf borderId="99" fillId="13" fontId="70" numFmtId="2" xfId="0" applyAlignment="1" applyBorder="1" applyFont="1" applyNumberFormat="1">
      <alignment horizontal="left" shrinkToFit="0" vertical="center" wrapText="1"/>
    </xf>
    <xf borderId="99" fillId="14" fontId="70" numFmtId="3" xfId="0" applyAlignment="1" applyBorder="1" applyFont="1" applyNumberFormat="1">
      <alignment horizontal="center" shrinkToFit="0" vertical="center" wrapText="1"/>
    </xf>
    <xf borderId="100" fillId="14" fontId="70" numFmtId="3" xfId="0" applyAlignment="1" applyBorder="1" applyFont="1" applyNumberFormat="1">
      <alignment horizontal="center" shrinkToFit="0" vertical="center" wrapText="1"/>
    </xf>
    <xf borderId="100" fillId="14" fontId="70" numFmtId="2" xfId="0" applyAlignment="1" applyBorder="1" applyFont="1" applyNumberFormat="1">
      <alignment horizontal="left" shrinkToFit="0" vertical="center" wrapText="1"/>
    </xf>
    <xf borderId="101" fillId="13" fontId="22" numFmtId="0" xfId="0" applyAlignment="1" applyBorder="1" applyFont="1">
      <alignment shrinkToFit="0" vertical="center" wrapText="1"/>
    </xf>
    <xf borderId="101" fillId="13" fontId="70" numFmtId="0" xfId="0" applyAlignment="1" applyBorder="1" applyFont="1">
      <alignment horizontal="left" shrinkToFit="0" vertical="center" wrapText="1"/>
    </xf>
    <xf borderId="101" fillId="13" fontId="22" numFmtId="0" xfId="0" applyAlignment="1" applyBorder="1" applyFont="1">
      <alignment horizontal="left" shrinkToFit="0" vertical="center" wrapText="1"/>
    </xf>
    <xf borderId="8" fillId="14" fontId="70" numFmtId="3" xfId="0" applyAlignment="1" applyBorder="1" applyFont="1" applyNumberFormat="1">
      <alignment horizontal="center" shrinkToFit="0" vertical="center" wrapText="1"/>
    </xf>
    <xf borderId="0" fillId="0" fontId="73" numFmtId="0" xfId="0" applyAlignment="1" applyFont="1">
      <alignment vertical="center"/>
    </xf>
    <xf borderId="0" fillId="0" fontId="15" numFmtId="3" xfId="0" applyAlignment="1" applyFont="1" applyNumberFormat="1">
      <alignment horizontal="center"/>
    </xf>
    <xf borderId="99" fillId="13" fontId="70" numFmtId="0" xfId="0" applyAlignment="1" applyBorder="1" applyFont="1">
      <alignment horizontal="center" shrinkToFit="0" vertical="center" wrapText="1"/>
    </xf>
    <xf borderId="99" fillId="14" fontId="71" numFmtId="3" xfId="0" applyAlignment="1" applyBorder="1" applyFont="1" applyNumberFormat="1">
      <alignment horizontal="center" shrinkToFit="0" vertical="center" wrapText="1"/>
    </xf>
    <xf borderId="99" fillId="13" fontId="22" numFmtId="170" xfId="0" applyAlignment="1" applyBorder="1" applyFont="1" applyNumberFormat="1">
      <alignment horizontal="center" shrinkToFit="0" vertical="center" wrapText="1"/>
    </xf>
    <xf borderId="99" fillId="14" fontId="22" numFmtId="3" xfId="0" applyAlignment="1" applyBorder="1" applyFont="1" applyNumberFormat="1">
      <alignment horizontal="center" shrinkToFit="0" vertical="center" wrapText="1"/>
    </xf>
    <xf borderId="99" fillId="13" fontId="74" numFmtId="0" xfId="0" applyAlignment="1" applyBorder="1" applyFont="1">
      <alignment shrinkToFit="0" vertical="center" wrapText="1"/>
    </xf>
    <xf borderId="101" fillId="13" fontId="70" numFmtId="0" xfId="0" applyAlignment="1" applyBorder="1" applyFont="1">
      <alignment shrinkToFit="0" vertical="center" wrapText="1"/>
    </xf>
    <xf borderId="102" fillId="13" fontId="70" numFmtId="2" xfId="0" applyAlignment="1" applyBorder="1" applyFont="1" applyNumberFormat="1">
      <alignment horizontal="center" shrinkToFit="0" vertical="center" wrapText="1"/>
    </xf>
    <xf borderId="102" fillId="13" fontId="22" numFmtId="170" xfId="0" applyAlignment="1" applyBorder="1" applyFont="1" applyNumberFormat="1">
      <alignment horizontal="center" shrinkToFit="0" vertical="center" wrapText="1"/>
    </xf>
    <xf borderId="99" fillId="13" fontId="75" numFmtId="0" xfId="0" applyAlignment="1" applyBorder="1" applyFont="1">
      <alignment shrinkToFit="0" vertical="center" wrapText="1"/>
    </xf>
    <xf borderId="103" fillId="13" fontId="70" numFmtId="2" xfId="0" applyAlignment="1" applyBorder="1" applyFont="1" applyNumberFormat="1">
      <alignment shrinkToFit="0" vertical="center" wrapText="1"/>
    </xf>
    <xf borderId="103" fillId="13" fontId="22" numFmtId="170" xfId="0" applyAlignment="1" applyBorder="1" applyFont="1" applyNumberFormat="1">
      <alignment shrinkToFit="0" vertical="center" wrapText="1"/>
    </xf>
    <xf borderId="99" fillId="13" fontId="22" numFmtId="1" xfId="0" applyAlignment="1" applyBorder="1" applyFont="1" applyNumberFormat="1">
      <alignment horizontal="center" shrinkToFit="0" vertical="center" wrapText="1"/>
    </xf>
    <xf borderId="102" fillId="13" fontId="70" numFmtId="0" xfId="0" applyAlignment="1" applyBorder="1" applyFont="1">
      <alignment horizontal="center" shrinkToFit="0" vertical="center" wrapText="1"/>
    </xf>
    <xf borderId="102" fillId="13" fontId="22" numFmtId="1" xfId="0" applyAlignment="1" applyBorder="1" applyFont="1" applyNumberFormat="1">
      <alignment horizontal="center" shrinkToFit="0" vertical="center" wrapText="1"/>
    </xf>
    <xf borderId="101" fillId="13" fontId="76" numFmtId="0" xfId="0" applyAlignment="1" applyBorder="1" applyFont="1">
      <alignment shrinkToFit="0" vertical="center" wrapText="1"/>
    </xf>
    <xf borderId="104" fillId="13" fontId="70" numFmtId="0" xfId="0" applyAlignment="1" applyBorder="1" applyFont="1">
      <alignment shrinkToFit="0" vertical="center" wrapText="1"/>
    </xf>
    <xf borderId="104" fillId="13" fontId="22" numFmtId="0" xfId="0" applyAlignment="1" applyBorder="1" applyFont="1">
      <alignment shrinkToFit="0" vertical="center" wrapText="1"/>
    </xf>
    <xf borderId="104" fillId="14" fontId="22" numFmtId="3" xfId="0" applyAlignment="1" applyBorder="1" applyFont="1" applyNumberFormat="1">
      <alignment horizontal="center" shrinkToFit="0" vertical="center" wrapText="1"/>
    </xf>
  </cellXfs>
  <cellStyles count="1">
    <cellStyle xfId="0" name="Normal" builtinId="0"/>
  </cellStyles>
  <dxfs count="9">
    <dxf>
      <font/>
      <numFmt numFmtId="0" formatCode="0"/>
      <fill>
        <patternFill patternType="none"/>
      </fill>
      <border/>
    </dxf>
    <dxf>
      <font/>
      <numFmt numFmtId="0" formatCode="#,##0"/>
      <fill>
        <patternFill patternType="none"/>
      </fill>
      <border/>
    </dxf>
    <dxf>
      <font/>
      <numFmt numFmtId="0" formatCode="0.0"/>
      <fill>
        <patternFill patternType="none"/>
      </fill>
      <border/>
    </dxf>
    <dxf>
      <font/>
      <numFmt numFmtId="0" formatCode="0.00"/>
      <fill>
        <patternFill patternType="none"/>
      </fill>
      <border/>
    </dxf>
    <dxf>
      <font/>
      <numFmt numFmtId="0" formatCode="0.000"/>
      <fill>
        <patternFill patternType="none"/>
      </fill>
      <border/>
    </dxf>
    <dxf>
      <font/>
      <numFmt numFmtId="0" formatCode="#,##0.0"/>
      <fill>
        <patternFill patternType="none"/>
      </fill>
      <border/>
    </dxf>
    <dxf>
      <font/>
      <numFmt numFmtId="0" formatCode="#,##0.00"/>
      <fill>
        <patternFill patternType="none"/>
      </fill>
      <border/>
    </dxf>
    <dxf>
      <font/>
      <numFmt numFmtId="0" formatCode="#,##0.000"/>
      <fill>
        <patternFill patternType="none"/>
      </fill>
      <border/>
    </dxf>
    <dxf>
      <font>
        <color rgb="FFBFBFBF"/>
      </font>
      <numFmt numFmtId="0" formatCode="0"/>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2"/>
    </row>
    <row r="3">
      <c r="A3" s="2" t="s">
        <v>1</v>
      </c>
    </row>
    <row r="4">
      <c r="A4" s="2"/>
    </row>
    <row r="5">
      <c r="A5" s="2" t="s">
        <v>2</v>
      </c>
    </row>
    <row r="6">
      <c r="A6" s="2" t="s">
        <v>3</v>
      </c>
    </row>
    <row r="7">
      <c r="A7" s="2" t="s">
        <v>4</v>
      </c>
    </row>
    <row r="8">
      <c r="A8" s="2" t="s">
        <v>5</v>
      </c>
    </row>
    <row r="9">
      <c r="A9" s="2" t="s">
        <v>6</v>
      </c>
    </row>
    <row r="10">
      <c r="A10" s="2" t="s">
        <v>7</v>
      </c>
    </row>
    <row r="11">
      <c r="A11" s="2" t="s">
        <v>8</v>
      </c>
    </row>
    <row r="12">
      <c r="A12" s="2" t="s">
        <v>9</v>
      </c>
    </row>
    <row r="13">
      <c r="A13" s="2" t="s">
        <v>10</v>
      </c>
    </row>
    <row r="14">
      <c r="A14" s="2" t="s">
        <v>11</v>
      </c>
    </row>
    <row r="15">
      <c r="A15" s="2" t="s">
        <v>12</v>
      </c>
    </row>
    <row r="16">
      <c r="A16" s="2" t="s">
        <v>13</v>
      </c>
    </row>
    <row r="17">
      <c r="A17" s="2" t="s">
        <v>14</v>
      </c>
    </row>
    <row r="18">
      <c r="A18" s="2" t="s">
        <v>15</v>
      </c>
    </row>
    <row r="19">
      <c r="A19" s="2" t="s">
        <v>16</v>
      </c>
    </row>
    <row r="20">
      <c r="A20" s="2" t="s">
        <v>17</v>
      </c>
    </row>
    <row r="21">
      <c r="A21" s="2"/>
    </row>
    <row r="22">
      <c r="A22" s="3" t="s">
        <v>18</v>
      </c>
    </row>
    <row r="23">
      <c r="A2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57"/>
    <col customWidth="1" min="2" max="2" width="26.57"/>
  </cols>
  <sheetData>
    <row r="1">
      <c r="A1" s="4" t="s">
        <v>19</v>
      </c>
      <c r="B1" s="4" t="s">
        <v>20</v>
      </c>
    </row>
    <row r="2">
      <c r="A2" s="4" t="s">
        <v>21</v>
      </c>
      <c r="B2" s="4" t="s">
        <v>22</v>
      </c>
    </row>
    <row r="3">
      <c r="A3" s="4" t="s">
        <v>23</v>
      </c>
      <c r="B3" s="4" t="s">
        <v>24</v>
      </c>
    </row>
    <row r="4">
      <c r="A4" s="4" t="s">
        <v>25</v>
      </c>
      <c r="B4" s="4" t="s">
        <v>26</v>
      </c>
    </row>
    <row r="5">
      <c r="A5" s="4" t="s">
        <v>27</v>
      </c>
      <c r="B5" s="4" t="s">
        <v>28</v>
      </c>
    </row>
    <row r="6">
      <c r="A6" s="4" t="s">
        <v>29</v>
      </c>
      <c r="B6" s="4" t="s">
        <v>30</v>
      </c>
    </row>
    <row r="7">
      <c r="A7" s="4" t="s">
        <v>31</v>
      </c>
      <c r="B7" s="4" t="s">
        <v>32</v>
      </c>
    </row>
    <row r="8">
      <c r="A8" s="4" t="s">
        <v>33</v>
      </c>
      <c r="B8" s="4" t="s">
        <v>34</v>
      </c>
    </row>
    <row r="9">
      <c r="A9" s="4" t="s">
        <v>35</v>
      </c>
      <c r="B9" s="4" t="s">
        <v>36</v>
      </c>
    </row>
    <row r="10">
      <c r="A10" s="4" t="s">
        <v>37</v>
      </c>
      <c r="B10" s="4" t="s">
        <v>38</v>
      </c>
    </row>
    <row r="11">
      <c r="A11" s="4" t="s">
        <v>39</v>
      </c>
      <c r="B11" s="4" t="s">
        <v>40</v>
      </c>
    </row>
    <row r="12">
      <c r="A12" s="4" t="s">
        <v>41</v>
      </c>
      <c r="B12" s="4" t="s">
        <v>42</v>
      </c>
    </row>
    <row r="13">
      <c r="A13" s="4" t="s">
        <v>43</v>
      </c>
      <c r="B13" s="4" t="s">
        <v>44</v>
      </c>
    </row>
    <row r="14">
      <c r="A14" s="4" t="s">
        <v>45</v>
      </c>
      <c r="B14" s="4" t="s">
        <v>46</v>
      </c>
    </row>
    <row r="15">
      <c r="A15" s="4" t="s">
        <v>47</v>
      </c>
      <c r="B15" s="4" t="s">
        <v>48</v>
      </c>
    </row>
    <row r="16">
      <c r="A16" s="4" t="s">
        <v>49</v>
      </c>
      <c r="B16" s="4" t="s">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0"/>
    <col customWidth="1" min="2" max="2" width="46.57"/>
    <col customWidth="1" min="3" max="3" width="27.43"/>
  </cols>
  <sheetData>
    <row r="1">
      <c r="A1" s="5" t="s">
        <v>50</v>
      </c>
      <c r="B1" s="5" t="s">
        <v>51</v>
      </c>
      <c r="C1" s="6" t="s">
        <v>52</v>
      </c>
      <c r="E1" s="4" t="s">
        <v>53</v>
      </c>
    </row>
    <row r="2">
      <c r="A2" s="2" t="s">
        <v>54</v>
      </c>
      <c r="B2" s="7" t="s">
        <v>55</v>
      </c>
      <c r="C2" s="8">
        <v>20.0</v>
      </c>
    </row>
    <row r="3">
      <c r="A3" s="2" t="s">
        <v>56</v>
      </c>
      <c r="B3" s="7" t="s">
        <v>55</v>
      </c>
      <c r="C3" s="8">
        <v>20.0</v>
      </c>
    </row>
    <row r="4">
      <c r="A4" s="2" t="s">
        <v>57</v>
      </c>
      <c r="B4" s="7" t="s">
        <v>55</v>
      </c>
      <c r="C4" s="8">
        <v>20.0</v>
      </c>
    </row>
    <row r="5">
      <c r="A5" s="2" t="s">
        <v>58</v>
      </c>
      <c r="B5" s="7" t="s">
        <v>55</v>
      </c>
      <c r="C5" s="8">
        <v>20.0</v>
      </c>
    </row>
    <row r="6">
      <c r="A6" s="2" t="s">
        <v>59</v>
      </c>
      <c r="B6" s="7" t="s">
        <v>60</v>
      </c>
      <c r="C6" s="8">
        <v>30.0</v>
      </c>
    </row>
    <row r="7">
      <c r="A7" s="2" t="s">
        <v>61</v>
      </c>
      <c r="B7" s="7" t="s">
        <v>60</v>
      </c>
      <c r="C7" s="8">
        <v>30.0</v>
      </c>
    </row>
    <row r="8">
      <c r="A8" s="2" t="s">
        <v>62</v>
      </c>
      <c r="B8" s="7" t="s">
        <v>63</v>
      </c>
      <c r="C8" s="8">
        <v>30.0</v>
      </c>
    </row>
    <row r="9">
      <c r="A9" s="2" t="s">
        <v>64</v>
      </c>
      <c r="B9" s="7" t="s">
        <v>63</v>
      </c>
      <c r="C9" s="8">
        <v>30.0</v>
      </c>
    </row>
    <row r="10">
      <c r="A10" s="2" t="s">
        <v>65</v>
      </c>
      <c r="B10" s="7" t="s">
        <v>63</v>
      </c>
      <c r="C10" s="8">
        <v>30.0</v>
      </c>
    </row>
    <row r="11">
      <c r="A11" s="2" t="s">
        <v>66</v>
      </c>
      <c r="B11" s="7" t="s">
        <v>60</v>
      </c>
      <c r="C11" s="8">
        <v>30.0</v>
      </c>
    </row>
    <row r="12">
      <c r="A12" s="2" t="s">
        <v>67</v>
      </c>
      <c r="B12" s="7" t="s">
        <v>68</v>
      </c>
      <c r="C12" s="8">
        <v>40.0</v>
      </c>
    </row>
    <row r="13">
      <c r="A13" s="2" t="s">
        <v>69</v>
      </c>
      <c r="B13" s="7" t="s">
        <v>55</v>
      </c>
      <c r="C13" s="9">
        <v>20.0</v>
      </c>
    </row>
    <row r="14">
      <c r="A14" s="2" t="s">
        <v>70</v>
      </c>
      <c r="B14" s="7" t="s">
        <v>55</v>
      </c>
      <c r="C14" s="9">
        <v>20.0</v>
      </c>
    </row>
    <row r="15">
      <c r="A15" s="2" t="s">
        <v>71</v>
      </c>
      <c r="B15" s="7" t="s">
        <v>55</v>
      </c>
      <c r="C15" s="9">
        <v>20.0</v>
      </c>
    </row>
    <row r="16">
      <c r="A16" s="2" t="s">
        <v>72</v>
      </c>
      <c r="B16" s="7" t="s">
        <v>55</v>
      </c>
      <c r="C16" s="9">
        <v>20.0</v>
      </c>
    </row>
    <row r="17">
      <c r="A17" s="2" t="s">
        <v>73</v>
      </c>
      <c r="B17" s="7" t="s">
        <v>55</v>
      </c>
      <c r="C17" s="9">
        <v>20.0</v>
      </c>
    </row>
    <row r="18">
      <c r="A18" s="2" t="s">
        <v>74</v>
      </c>
      <c r="B18" s="7" t="s">
        <v>55</v>
      </c>
      <c r="C18" s="8">
        <v>30.0</v>
      </c>
    </row>
    <row r="19">
      <c r="A19" s="2" t="s">
        <v>75</v>
      </c>
      <c r="B19" s="7" t="s">
        <v>55</v>
      </c>
      <c r="C19" s="8">
        <v>30.0</v>
      </c>
    </row>
    <row r="20">
      <c r="A20" s="2" t="s">
        <v>76</v>
      </c>
      <c r="B20" s="7" t="s">
        <v>55</v>
      </c>
      <c r="C20" s="8">
        <v>30.0</v>
      </c>
    </row>
    <row r="21">
      <c r="A21" s="2" t="s">
        <v>77</v>
      </c>
      <c r="B21" s="7" t="s">
        <v>55</v>
      </c>
      <c r="C21" s="8">
        <v>30.0</v>
      </c>
    </row>
    <row r="22">
      <c r="A22" s="2" t="s">
        <v>78</v>
      </c>
      <c r="B22" s="7" t="s">
        <v>55</v>
      </c>
      <c r="C22" s="8">
        <v>30.0</v>
      </c>
    </row>
    <row r="23">
      <c r="A23" s="10" t="s">
        <v>79</v>
      </c>
      <c r="B23" s="11" t="s">
        <v>55</v>
      </c>
      <c r="C23" s="12">
        <v>30.0</v>
      </c>
    </row>
    <row r="24">
      <c r="A24" s="2" t="s">
        <v>80</v>
      </c>
      <c r="B24" s="7" t="s">
        <v>81</v>
      </c>
      <c r="C24" s="8">
        <v>30.0</v>
      </c>
    </row>
    <row r="25">
      <c r="A25" s="2" t="s">
        <v>82</v>
      </c>
      <c r="B25" s="7" t="s">
        <v>81</v>
      </c>
      <c r="C25" s="8">
        <v>30.0</v>
      </c>
    </row>
    <row r="26">
      <c r="A26" s="2" t="s">
        <v>83</v>
      </c>
      <c r="B26" s="7" t="s">
        <v>81</v>
      </c>
      <c r="C26" s="8">
        <v>30.0</v>
      </c>
    </row>
    <row r="27">
      <c r="A27" s="2" t="s">
        <v>84</v>
      </c>
      <c r="B27" s="7" t="s">
        <v>81</v>
      </c>
      <c r="C27" s="8">
        <v>30.0</v>
      </c>
    </row>
    <row r="28">
      <c r="A28" s="2" t="s">
        <v>85</v>
      </c>
      <c r="B28" s="7" t="s">
        <v>81</v>
      </c>
      <c r="C28" s="8">
        <v>30.0</v>
      </c>
    </row>
    <row r="29">
      <c r="A29" s="2" t="s">
        <v>86</v>
      </c>
      <c r="B29" s="7" t="s">
        <v>81</v>
      </c>
      <c r="C29" s="8">
        <v>30.0</v>
      </c>
    </row>
    <row r="30">
      <c r="A30" s="2" t="s">
        <v>87</v>
      </c>
      <c r="B30" s="7" t="s">
        <v>81</v>
      </c>
      <c r="C30" s="8">
        <v>30.0</v>
      </c>
    </row>
    <row r="31">
      <c r="A31" s="2" t="s">
        <v>88</v>
      </c>
      <c r="B31" s="7" t="s">
        <v>81</v>
      </c>
      <c r="C31" s="8">
        <v>30.0</v>
      </c>
    </row>
    <row r="32">
      <c r="A32" s="2" t="s">
        <v>89</v>
      </c>
      <c r="B32" s="7" t="s">
        <v>81</v>
      </c>
      <c r="C32" s="8">
        <v>30.0</v>
      </c>
    </row>
    <row r="33">
      <c r="A33" s="2" t="s">
        <v>90</v>
      </c>
      <c r="B33" s="7" t="s">
        <v>81</v>
      </c>
      <c r="C33" s="8">
        <v>30.0</v>
      </c>
    </row>
    <row r="34">
      <c r="A34" s="2" t="s">
        <v>91</v>
      </c>
      <c r="B34" s="7" t="s">
        <v>81</v>
      </c>
      <c r="C34" s="8">
        <v>30.0</v>
      </c>
    </row>
    <row r="35">
      <c r="A35" s="10" t="s">
        <v>92</v>
      </c>
      <c r="B35" s="11" t="s">
        <v>81</v>
      </c>
      <c r="C35" s="12">
        <v>30.0</v>
      </c>
    </row>
    <row r="36">
      <c r="A36" s="2" t="s">
        <v>93</v>
      </c>
      <c r="B36" s="7" t="s">
        <v>94</v>
      </c>
      <c r="C36" s="8">
        <v>30.0</v>
      </c>
    </row>
    <row r="37">
      <c r="A37" s="2" t="s">
        <v>95</v>
      </c>
      <c r="B37" s="7" t="s">
        <v>94</v>
      </c>
      <c r="C37" s="8">
        <v>30.0</v>
      </c>
    </row>
    <row r="38">
      <c r="A38" s="10" t="s">
        <v>96</v>
      </c>
      <c r="B38" s="11" t="s">
        <v>94</v>
      </c>
      <c r="C38" s="12">
        <v>30.0</v>
      </c>
    </row>
    <row r="39">
      <c r="A39" s="2" t="s">
        <v>97</v>
      </c>
      <c r="B39" s="7" t="s">
        <v>98</v>
      </c>
      <c r="C39" s="8">
        <v>30.0</v>
      </c>
    </row>
    <row r="40">
      <c r="A40" s="2" t="s">
        <v>99</v>
      </c>
      <c r="B40" s="7" t="s">
        <v>98</v>
      </c>
      <c r="C40" s="8">
        <v>30.0</v>
      </c>
    </row>
    <row r="41">
      <c r="A41" s="2" t="s">
        <v>100</v>
      </c>
      <c r="B41" s="7" t="s">
        <v>98</v>
      </c>
      <c r="C41" s="8">
        <v>30.0</v>
      </c>
    </row>
    <row r="42">
      <c r="A42" s="2" t="s">
        <v>101</v>
      </c>
      <c r="B42" s="7" t="s">
        <v>98</v>
      </c>
      <c r="C42" s="8">
        <v>30.0</v>
      </c>
    </row>
    <row r="43">
      <c r="A43" s="2" t="s">
        <v>102</v>
      </c>
      <c r="B43" s="7" t="s">
        <v>103</v>
      </c>
      <c r="C43" s="8">
        <v>30.0</v>
      </c>
    </row>
    <row r="44">
      <c r="A44" s="2" t="s">
        <v>104</v>
      </c>
      <c r="B44" s="7" t="s">
        <v>103</v>
      </c>
      <c r="C44" s="8">
        <v>30.0</v>
      </c>
    </row>
    <row r="45">
      <c r="A45" s="2" t="s">
        <v>105</v>
      </c>
      <c r="B45" s="7" t="s">
        <v>103</v>
      </c>
      <c r="C45" s="8">
        <v>30.0</v>
      </c>
    </row>
    <row r="46">
      <c r="A46" s="2" t="s">
        <v>106</v>
      </c>
      <c r="B46" s="7" t="s">
        <v>103</v>
      </c>
      <c r="C46" s="8">
        <v>30.0</v>
      </c>
    </row>
    <row r="47">
      <c r="A47" s="2" t="s">
        <v>106</v>
      </c>
      <c r="B47" s="7" t="s">
        <v>103</v>
      </c>
      <c r="C47" s="8">
        <v>30.0</v>
      </c>
    </row>
    <row r="48">
      <c r="A48" s="2" t="s">
        <v>106</v>
      </c>
      <c r="B48" s="7" t="s">
        <v>103</v>
      </c>
      <c r="C48" s="8">
        <v>30.0</v>
      </c>
    </row>
    <row r="49">
      <c r="A49" s="2" t="s">
        <v>106</v>
      </c>
      <c r="B49" s="7" t="s">
        <v>103</v>
      </c>
      <c r="C49" s="8">
        <v>30.0</v>
      </c>
    </row>
    <row r="50">
      <c r="A50" s="2" t="s">
        <v>106</v>
      </c>
      <c r="B50" s="7" t="s">
        <v>103</v>
      </c>
      <c r="C50" s="8">
        <v>30.0</v>
      </c>
    </row>
    <row r="51">
      <c r="A51" s="2" t="s">
        <v>106</v>
      </c>
      <c r="B51" s="7" t="s">
        <v>103</v>
      </c>
      <c r="C51" s="8">
        <v>30.0</v>
      </c>
    </row>
    <row r="52">
      <c r="A52" s="2" t="s">
        <v>106</v>
      </c>
      <c r="B52" s="7" t="s">
        <v>103</v>
      </c>
      <c r="C52" s="8">
        <v>30.0</v>
      </c>
    </row>
    <row r="53">
      <c r="A53" s="2" t="s">
        <v>106</v>
      </c>
      <c r="B53" s="7" t="s">
        <v>103</v>
      </c>
      <c r="C53" s="8">
        <v>30.0</v>
      </c>
    </row>
    <row r="54">
      <c r="A54" s="2" t="s">
        <v>106</v>
      </c>
      <c r="B54" s="7" t="s">
        <v>103</v>
      </c>
      <c r="C54" s="8">
        <v>30.0</v>
      </c>
    </row>
    <row r="55">
      <c r="A55" s="2" t="s">
        <v>106</v>
      </c>
      <c r="B55" s="7" t="s">
        <v>103</v>
      </c>
      <c r="C55" s="8">
        <v>30.0</v>
      </c>
    </row>
    <row r="56">
      <c r="A56" s="2" t="s">
        <v>106</v>
      </c>
      <c r="B56" s="7" t="s">
        <v>103</v>
      </c>
      <c r="C56" s="8">
        <v>30.0</v>
      </c>
    </row>
    <row r="57">
      <c r="A57" s="2" t="s">
        <v>106</v>
      </c>
      <c r="B57" s="7" t="s">
        <v>103</v>
      </c>
      <c r="C57" s="8">
        <v>30.0</v>
      </c>
    </row>
    <row r="58">
      <c r="A58" s="2" t="s">
        <v>106</v>
      </c>
      <c r="B58" s="7" t="s">
        <v>103</v>
      </c>
      <c r="C58" s="8">
        <v>30.0</v>
      </c>
    </row>
    <row r="59">
      <c r="A59" s="2" t="s">
        <v>106</v>
      </c>
      <c r="B59" s="7" t="s">
        <v>103</v>
      </c>
      <c r="C59" s="8">
        <v>30.0</v>
      </c>
    </row>
    <row r="60">
      <c r="A60" s="2" t="s">
        <v>107</v>
      </c>
      <c r="B60" s="7" t="s">
        <v>103</v>
      </c>
      <c r="C60" s="8">
        <v>30.0</v>
      </c>
    </row>
    <row r="61">
      <c r="A61" s="2" t="s">
        <v>108</v>
      </c>
      <c r="B61" s="7" t="s">
        <v>103</v>
      </c>
      <c r="C61" s="8">
        <v>30.0</v>
      </c>
    </row>
    <row r="62">
      <c r="A62" s="2" t="s">
        <v>109</v>
      </c>
      <c r="B62" s="7" t="s">
        <v>103</v>
      </c>
      <c r="C62" s="8">
        <v>30.0</v>
      </c>
    </row>
    <row r="63">
      <c r="A63" s="2" t="s">
        <v>110</v>
      </c>
      <c r="B63" s="7" t="s">
        <v>103</v>
      </c>
      <c r="C63" s="8">
        <v>30.0</v>
      </c>
    </row>
    <row r="64">
      <c r="A64" s="2" t="s">
        <v>111</v>
      </c>
      <c r="B64" s="7" t="s">
        <v>98</v>
      </c>
      <c r="C64" s="8">
        <v>30.0</v>
      </c>
    </row>
    <row r="65">
      <c r="A65" s="2" t="s">
        <v>112</v>
      </c>
      <c r="B65" s="7" t="s">
        <v>98</v>
      </c>
      <c r="C65" s="8">
        <v>30.0</v>
      </c>
    </row>
    <row r="66">
      <c r="A66" s="2" t="s">
        <v>113</v>
      </c>
      <c r="B66" s="7" t="s">
        <v>98</v>
      </c>
      <c r="C66" s="8">
        <v>30.0</v>
      </c>
    </row>
    <row r="67">
      <c r="A67" s="2" t="s">
        <v>114</v>
      </c>
      <c r="B67" s="7" t="s">
        <v>98</v>
      </c>
      <c r="C67" s="8">
        <v>30.0</v>
      </c>
    </row>
    <row r="68">
      <c r="A68" s="2" t="s">
        <v>115</v>
      </c>
      <c r="B68" s="7" t="s">
        <v>103</v>
      </c>
      <c r="C68" s="8">
        <v>30.0</v>
      </c>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4" width="50.71"/>
    <col customWidth="1" min="5" max="16" width="10.86"/>
    <col customWidth="1" min="17" max="24" width="11.43"/>
    <col customWidth="1" min="25" max="26" width="10.71"/>
  </cols>
  <sheetData>
    <row r="1" ht="22.5" customHeight="1">
      <c r="A1" s="13" t="s">
        <v>116</v>
      </c>
      <c r="B1" s="14"/>
      <c r="C1" s="15"/>
      <c r="D1" s="16" t="s">
        <v>117</v>
      </c>
      <c r="E1" s="17"/>
      <c r="F1" s="17"/>
      <c r="G1" s="17"/>
      <c r="H1" s="17"/>
      <c r="I1" s="17"/>
      <c r="J1" s="17"/>
      <c r="K1" s="17"/>
      <c r="L1" s="17"/>
      <c r="M1" s="17"/>
      <c r="N1" s="17"/>
      <c r="O1" s="17"/>
      <c r="P1" s="17"/>
      <c r="Q1" s="17"/>
      <c r="R1" s="17"/>
      <c r="S1" s="17"/>
      <c r="T1" s="17"/>
      <c r="U1" s="17"/>
      <c r="V1" s="17"/>
      <c r="W1" s="17"/>
      <c r="X1" s="17"/>
      <c r="Y1" s="17"/>
      <c r="Z1" s="17"/>
    </row>
    <row r="2" ht="15.0" customHeight="1">
      <c r="A2" s="18"/>
      <c r="B2" s="19"/>
      <c r="C2" s="20"/>
      <c r="D2" s="21"/>
      <c r="E2" s="22"/>
      <c r="F2" s="22"/>
      <c r="G2" s="22"/>
      <c r="H2" s="22"/>
      <c r="I2" s="22"/>
      <c r="J2" s="22"/>
      <c r="K2" s="22"/>
      <c r="L2" s="22"/>
      <c r="M2" s="22"/>
      <c r="N2" s="22"/>
      <c r="O2" s="22"/>
      <c r="P2" s="22"/>
      <c r="Q2" s="22"/>
      <c r="R2" s="22"/>
      <c r="S2" s="22"/>
      <c r="T2" s="22"/>
      <c r="U2" s="22"/>
      <c r="V2" s="22"/>
      <c r="W2" s="22"/>
      <c r="X2" s="22"/>
      <c r="Y2" s="22"/>
      <c r="Z2" s="22"/>
    </row>
    <row r="3" ht="249.75" customHeight="1">
      <c r="A3" s="23" t="s">
        <v>118</v>
      </c>
      <c r="B3" s="24"/>
      <c r="C3" s="23" t="s">
        <v>119</v>
      </c>
      <c r="D3" s="24"/>
      <c r="E3" s="25"/>
      <c r="F3" s="25"/>
      <c r="G3" s="25"/>
      <c r="H3" s="25"/>
      <c r="I3" s="25"/>
      <c r="J3" s="25"/>
      <c r="K3" s="25"/>
      <c r="L3" s="25"/>
      <c r="M3" s="25"/>
      <c r="N3" s="25"/>
      <c r="O3" s="25"/>
      <c r="P3" s="25"/>
      <c r="Q3" s="26"/>
      <c r="R3" s="26"/>
      <c r="S3" s="26"/>
      <c r="T3" s="26"/>
      <c r="U3" s="26"/>
      <c r="V3" s="26"/>
      <c r="W3" s="26"/>
      <c r="X3" s="26"/>
      <c r="Y3" s="26"/>
      <c r="Z3" s="26"/>
    </row>
    <row r="4" ht="27.75" customHeight="1">
      <c r="A4" s="27" t="s">
        <v>120</v>
      </c>
      <c r="B4" s="28" t="s">
        <v>121</v>
      </c>
      <c r="C4" s="29"/>
      <c r="D4" s="24"/>
      <c r="E4" s="30"/>
      <c r="F4" s="30"/>
      <c r="G4" s="30"/>
      <c r="H4" s="30"/>
      <c r="I4" s="30"/>
      <c r="J4" s="30"/>
      <c r="K4" s="30"/>
      <c r="L4" s="30"/>
      <c r="M4" s="30"/>
      <c r="N4" s="30"/>
      <c r="O4" s="30"/>
      <c r="P4" s="30"/>
      <c r="Q4" s="31"/>
      <c r="R4" s="31"/>
      <c r="S4" s="31"/>
      <c r="T4" s="31"/>
      <c r="U4" s="31"/>
      <c r="V4" s="31"/>
      <c r="W4" s="31"/>
      <c r="X4" s="31"/>
      <c r="Y4" s="31"/>
      <c r="Z4" s="31"/>
    </row>
    <row r="5" ht="27.75" customHeight="1">
      <c r="A5" s="32" t="s">
        <v>122</v>
      </c>
      <c r="B5" s="33" t="s">
        <v>123</v>
      </c>
      <c r="C5" s="24"/>
      <c r="D5" s="34" t="s">
        <v>124</v>
      </c>
      <c r="E5" s="30"/>
      <c r="F5" s="30"/>
      <c r="G5" s="30"/>
      <c r="H5" s="30"/>
      <c r="I5" s="30"/>
      <c r="J5" s="30"/>
      <c r="K5" s="30"/>
      <c r="L5" s="30"/>
      <c r="M5" s="30"/>
      <c r="N5" s="30"/>
      <c r="O5" s="30"/>
      <c r="P5" s="30"/>
      <c r="Q5" s="31"/>
      <c r="R5" s="31"/>
      <c r="S5" s="31"/>
      <c r="T5" s="31"/>
      <c r="U5" s="31"/>
      <c r="V5" s="31"/>
      <c r="W5" s="31"/>
      <c r="X5" s="31"/>
      <c r="Y5" s="31"/>
      <c r="Z5" s="31"/>
    </row>
    <row r="6" ht="27.75" customHeight="1">
      <c r="A6" s="32"/>
      <c r="B6" s="34" t="s">
        <v>125</v>
      </c>
      <c r="C6" s="35" t="s">
        <v>126</v>
      </c>
      <c r="D6" s="34"/>
      <c r="E6" s="30"/>
      <c r="F6" s="30"/>
      <c r="G6" s="30"/>
      <c r="H6" s="30"/>
      <c r="I6" s="30"/>
      <c r="J6" s="30"/>
      <c r="K6" s="30"/>
      <c r="L6" s="30"/>
      <c r="M6" s="30"/>
      <c r="N6" s="30"/>
      <c r="O6" s="30"/>
      <c r="P6" s="30"/>
      <c r="Q6" s="31"/>
      <c r="R6" s="31"/>
      <c r="S6" s="31"/>
      <c r="T6" s="31"/>
      <c r="U6" s="31"/>
      <c r="V6" s="31"/>
      <c r="W6" s="31"/>
      <c r="X6" s="31"/>
      <c r="Y6" s="31"/>
      <c r="Z6" s="31"/>
    </row>
    <row r="7" ht="109.5" customHeight="1">
      <c r="A7" s="36" t="s">
        <v>127</v>
      </c>
      <c r="B7" s="37" t="s">
        <v>128</v>
      </c>
      <c r="C7" s="37" t="s">
        <v>129</v>
      </c>
      <c r="D7" s="37" t="s">
        <v>130</v>
      </c>
      <c r="E7" s="25"/>
      <c r="F7" s="25"/>
      <c r="G7" s="25"/>
      <c r="H7" s="25"/>
      <c r="I7" s="25"/>
      <c r="J7" s="25"/>
      <c r="K7" s="25"/>
      <c r="L7" s="25"/>
      <c r="M7" s="25"/>
      <c r="N7" s="25"/>
      <c r="O7" s="25"/>
      <c r="P7" s="25"/>
      <c r="Q7" s="26"/>
      <c r="R7" s="26"/>
      <c r="S7" s="26"/>
      <c r="T7" s="26"/>
      <c r="U7" s="26"/>
      <c r="V7" s="26"/>
      <c r="W7" s="26"/>
      <c r="X7" s="26"/>
      <c r="Y7" s="26"/>
      <c r="Z7" s="26"/>
    </row>
    <row r="8" ht="109.5" customHeight="1">
      <c r="A8" s="36" t="s">
        <v>131</v>
      </c>
      <c r="B8" s="38" t="s">
        <v>132</v>
      </c>
      <c r="C8" s="37" t="s">
        <v>133</v>
      </c>
      <c r="D8" s="37" t="s">
        <v>134</v>
      </c>
      <c r="E8" s="25"/>
      <c r="F8" s="25"/>
      <c r="G8" s="25"/>
      <c r="H8" s="25"/>
      <c r="I8" s="25"/>
      <c r="J8" s="25"/>
      <c r="K8" s="25"/>
      <c r="L8" s="25"/>
      <c r="M8" s="25"/>
      <c r="N8" s="25"/>
      <c r="O8" s="25"/>
      <c r="P8" s="25"/>
      <c r="Q8" s="26"/>
      <c r="R8" s="26"/>
      <c r="S8" s="26"/>
      <c r="T8" s="26"/>
      <c r="U8" s="26"/>
      <c r="V8" s="26"/>
      <c r="W8" s="26"/>
      <c r="X8" s="26"/>
      <c r="Y8" s="26"/>
      <c r="Z8" s="26"/>
    </row>
    <row r="9" ht="109.5" customHeight="1">
      <c r="A9" s="39" t="s">
        <v>135</v>
      </c>
      <c r="B9" s="38"/>
      <c r="C9" s="40" t="s">
        <v>136</v>
      </c>
      <c r="D9" s="40" t="s">
        <v>137</v>
      </c>
      <c r="E9" s="25"/>
      <c r="F9" s="25"/>
      <c r="G9" s="25"/>
      <c r="H9" s="25"/>
      <c r="I9" s="25"/>
      <c r="J9" s="25"/>
      <c r="K9" s="25"/>
      <c r="L9" s="25"/>
      <c r="M9" s="25"/>
      <c r="N9" s="25"/>
      <c r="O9" s="25"/>
      <c r="P9" s="25"/>
      <c r="Q9" s="26"/>
      <c r="R9" s="26"/>
      <c r="S9" s="26"/>
      <c r="T9" s="26"/>
      <c r="U9" s="26"/>
      <c r="V9" s="26"/>
      <c r="W9" s="26"/>
      <c r="X9" s="26"/>
      <c r="Y9" s="26"/>
      <c r="Z9" s="26"/>
    </row>
    <row r="10" ht="60.0" customHeight="1">
      <c r="A10" s="23" t="s">
        <v>138</v>
      </c>
      <c r="B10" s="29"/>
      <c r="C10" s="29"/>
      <c r="D10" s="24"/>
      <c r="E10" s="41"/>
      <c r="F10" s="41"/>
      <c r="G10" s="41"/>
      <c r="H10" s="41"/>
      <c r="I10" s="41"/>
      <c r="J10" s="41"/>
      <c r="K10" s="41"/>
      <c r="L10" s="41"/>
      <c r="M10" s="41"/>
      <c r="N10" s="41"/>
      <c r="O10" s="41"/>
      <c r="P10" s="41"/>
      <c r="Q10" s="42"/>
      <c r="R10" s="42"/>
      <c r="S10" s="42"/>
      <c r="T10" s="42"/>
      <c r="U10" s="42"/>
      <c r="V10" s="42"/>
      <c r="W10" s="42"/>
      <c r="X10" s="42"/>
      <c r="Y10" s="42"/>
      <c r="Z10" s="42"/>
    </row>
    <row r="11" ht="249.75" customHeight="1">
      <c r="A11" s="43" t="s">
        <v>139</v>
      </c>
      <c r="B11" s="24"/>
      <c r="C11" s="23" t="s">
        <v>140</v>
      </c>
      <c r="D11" s="44"/>
      <c r="E11" s="25"/>
      <c r="F11" s="25"/>
      <c r="G11" s="25"/>
      <c r="H11" s="25"/>
      <c r="I11" s="25"/>
      <c r="J11" s="25"/>
      <c r="K11" s="25"/>
      <c r="L11" s="25"/>
      <c r="M11" s="25"/>
      <c r="N11" s="25"/>
      <c r="O11" s="25"/>
      <c r="P11" s="25"/>
      <c r="Q11" s="26"/>
      <c r="R11" s="26"/>
      <c r="S11" s="26"/>
      <c r="T11" s="26"/>
      <c r="U11" s="26"/>
      <c r="V11" s="26"/>
      <c r="W11" s="26"/>
      <c r="X11" s="26"/>
      <c r="Y11" s="26"/>
      <c r="Z11" s="26"/>
    </row>
    <row r="12" ht="27.75" customHeight="1">
      <c r="A12" s="27" t="s">
        <v>141</v>
      </c>
      <c r="B12" s="28" t="s">
        <v>142</v>
      </c>
      <c r="C12" s="29"/>
      <c r="D12" s="24"/>
      <c r="E12" s="30"/>
      <c r="F12" s="30"/>
      <c r="G12" s="30"/>
      <c r="H12" s="30"/>
      <c r="I12" s="30"/>
      <c r="J12" s="30"/>
      <c r="K12" s="30"/>
      <c r="L12" s="30"/>
      <c r="M12" s="30"/>
      <c r="N12" s="30"/>
      <c r="O12" s="30"/>
      <c r="P12" s="30"/>
      <c r="Q12" s="31"/>
      <c r="R12" s="31"/>
      <c r="S12" s="31"/>
      <c r="T12" s="31"/>
      <c r="U12" s="31"/>
      <c r="V12" s="31"/>
      <c r="W12" s="31"/>
      <c r="X12" s="31"/>
      <c r="Y12" s="31"/>
      <c r="Z12" s="31"/>
    </row>
    <row r="13" ht="27.75" customHeight="1">
      <c r="A13" s="32" t="s">
        <v>122</v>
      </c>
      <c r="B13" s="33" t="s">
        <v>143</v>
      </c>
      <c r="C13" s="24"/>
      <c r="D13" s="34" t="s">
        <v>144</v>
      </c>
      <c r="E13" s="30"/>
      <c r="F13" s="30"/>
      <c r="G13" s="30"/>
      <c r="H13" s="30"/>
      <c r="I13" s="30"/>
      <c r="J13" s="30"/>
      <c r="K13" s="30"/>
      <c r="L13" s="30"/>
      <c r="M13" s="30"/>
      <c r="N13" s="30"/>
      <c r="O13" s="30"/>
      <c r="P13" s="30"/>
      <c r="Q13" s="31"/>
      <c r="R13" s="31"/>
      <c r="S13" s="31"/>
      <c r="T13" s="31"/>
      <c r="U13" s="31"/>
      <c r="V13" s="31"/>
      <c r="W13" s="31"/>
      <c r="X13" s="31"/>
      <c r="Y13" s="31"/>
      <c r="Z13" s="31"/>
    </row>
    <row r="14" ht="27.75" customHeight="1">
      <c r="A14" s="32"/>
      <c r="B14" s="34" t="s">
        <v>145</v>
      </c>
      <c r="C14" s="35" t="s">
        <v>146</v>
      </c>
      <c r="D14" s="34"/>
      <c r="E14" s="30"/>
      <c r="F14" s="30"/>
      <c r="G14" s="30"/>
      <c r="H14" s="30"/>
      <c r="I14" s="30"/>
      <c r="J14" s="30"/>
      <c r="K14" s="30"/>
      <c r="L14" s="30"/>
      <c r="M14" s="30"/>
      <c r="N14" s="30"/>
      <c r="O14" s="30"/>
      <c r="P14" s="30"/>
      <c r="Q14" s="31"/>
      <c r="R14" s="31"/>
      <c r="S14" s="31"/>
      <c r="T14" s="31"/>
      <c r="U14" s="31"/>
      <c r="V14" s="31"/>
      <c r="W14" s="31"/>
      <c r="X14" s="31"/>
      <c r="Y14" s="31"/>
      <c r="Z14" s="31"/>
    </row>
    <row r="15" ht="109.5" customHeight="1">
      <c r="A15" s="36" t="s">
        <v>147</v>
      </c>
      <c r="B15" s="37" t="s">
        <v>148</v>
      </c>
      <c r="C15" s="37" t="s">
        <v>149</v>
      </c>
      <c r="D15" s="45" t="s">
        <v>150</v>
      </c>
      <c r="E15" s="30"/>
      <c r="F15" s="30"/>
      <c r="G15" s="30"/>
      <c r="H15" s="30"/>
      <c r="I15" s="30"/>
      <c r="J15" s="30"/>
      <c r="K15" s="30"/>
      <c r="L15" s="30"/>
      <c r="M15" s="30"/>
      <c r="N15" s="30"/>
      <c r="O15" s="30"/>
      <c r="P15" s="30"/>
      <c r="Q15" s="31"/>
      <c r="R15" s="31"/>
      <c r="S15" s="31"/>
      <c r="T15" s="31"/>
      <c r="U15" s="31"/>
      <c r="V15" s="31"/>
      <c r="W15" s="31"/>
      <c r="X15" s="31"/>
      <c r="Y15" s="31"/>
      <c r="Z15" s="31"/>
    </row>
    <row r="16" ht="109.5" customHeight="1">
      <c r="A16" s="36" t="s">
        <v>151</v>
      </c>
      <c r="B16" s="38" t="s">
        <v>152</v>
      </c>
      <c r="C16" s="37" t="s">
        <v>153</v>
      </c>
      <c r="D16" s="37" t="s">
        <v>154</v>
      </c>
      <c r="E16" s="30"/>
      <c r="F16" s="30"/>
      <c r="G16" s="30"/>
      <c r="H16" s="30"/>
      <c r="I16" s="30"/>
      <c r="J16" s="30"/>
      <c r="K16" s="30"/>
      <c r="L16" s="30"/>
      <c r="M16" s="30"/>
      <c r="N16" s="30"/>
      <c r="O16" s="30"/>
      <c r="P16" s="30"/>
      <c r="Q16" s="31"/>
      <c r="R16" s="31"/>
      <c r="S16" s="31"/>
      <c r="T16" s="31"/>
      <c r="U16" s="31"/>
      <c r="V16" s="31"/>
      <c r="W16" s="31"/>
      <c r="X16" s="31"/>
      <c r="Y16" s="31"/>
      <c r="Z16" s="31"/>
    </row>
    <row r="17" ht="109.5" customHeight="1">
      <c r="A17" s="39" t="s">
        <v>155</v>
      </c>
      <c r="B17" s="38"/>
      <c r="C17" s="40" t="s">
        <v>156</v>
      </c>
      <c r="D17" s="46" t="s">
        <v>157</v>
      </c>
      <c r="E17" s="25"/>
      <c r="F17" s="25"/>
      <c r="G17" s="25"/>
      <c r="H17" s="25"/>
      <c r="I17" s="25"/>
      <c r="J17" s="25"/>
      <c r="K17" s="25"/>
      <c r="L17" s="25"/>
      <c r="M17" s="25"/>
      <c r="N17" s="25"/>
      <c r="O17" s="25"/>
      <c r="P17" s="25"/>
      <c r="Q17" s="26"/>
      <c r="R17" s="26"/>
      <c r="S17" s="26"/>
      <c r="T17" s="26"/>
      <c r="U17" s="26"/>
      <c r="V17" s="26"/>
      <c r="W17" s="26"/>
      <c r="X17" s="26"/>
      <c r="Y17" s="26"/>
      <c r="Z17" s="26"/>
    </row>
    <row r="18" ht="60.0" customHeight="1">
      <c r="A18" s="23" t="s">
        <v>158</v>
      </c>
      <c r="B18" s="29"/>
      <c r="C18" s="29"/>
      <c r="D18" s="24"/>
      <c r="E18" s="25"/>
      <c r="F18" s="25"/>
      <c r="G18" s="25"/>
      <c r="H18" s="25"/>
      <c r="I18" s="25"/>
      <c r="J18" s="25"/>
      <c r="K18" s="25"/>
      <c r="L18" s="25"/>
      <c r="M18" s="25"/>
      <c r="N18" s="25"/>
      <c r="O18" s="25"/>
      <c r="P18" s="25"/>
      <c r="Q18" s="26"/>
      <c r="R18" s="26"/>
      <c r="S18" s="26"/>
      <c r="T18" s="26"/>
      <c r="U18" s="26"/>
      <c r="V18" s="26"/>
      <c r="W18" s="26"/>
      <c r="X18" s="26"/>
      <c r="Y18" s="26"/>
      <c r="Z18" s="26"/>
    </row>
    <row r="19" ht="12.75" customHeight="1">
      <c r="A19" s="47"/>
      <c r="B19" s="47"/>
      <c r="C19" s="47"/>
      <c r="D19" s="47"/>
      <c r="E19" s="25"/>
      <c r="F19" s="25"/>
      <c r="G19" s="25"/>
      <c r="H19" s="25"/>
      <c r="I19" s="25"/>
      <c r="J19" s="25"/>
      <c r="K19" s="25"/>
      <c r="L19" s="25"/>
      <c r="M19" s="25"/>
      <c r="N19" s="25"/>
      <c r="O19" s="25"/>
      <c r="P19" s="25"/>
      <c r="Q19" s="25"/>
      <c r="R19" s="25"/>
      <c r="S19" s="25"/>
      <c r="T19" s="25"/>
      <c r="U19" s="25"/>
      <c r="V19" s="25"/>
      <c r="W19" s="25"/>
      <c r="X19" s="25"/>
      <c r="Y19" s="25"/>
      <c r="Z19" s="25"/>
    </row>
    <row r="20" ht="12.75" customHeight="1">
      <c r="A20" s="47"/>
      <c r="B20" s="47"/>
      <c r="C20" s="47"/>
      <c r="D20" s="47"/>
      <c r="E20" s="25"/>
      <c r="F20" s="25"/>
      <c r="G20" s="25"/>
      <c r="H20" s="25"/>
      <c r="I20" s="25"/>
      <c r="J20" s="25"/>
      <c r="K20" s="25"/>
      <c r="L20" s="25"/>
      <c r="M20" s="25"/>
      <c r="N20" s="25"/>
      <c r="O20" s="25"/>
      <c r="P20" s="25"/>
      <c r="Q20" s="25"/>
      <c r="R20" s="25"/>
      <c r="S20" s="25"/>
      <c r="T20" s="25"/>
      <c r="U20" s="25"/>
      <c r="V20" s="25"/>
      <c r="W20" s="25"/>
      <c r="X20" s="25"/>
      <c r="Y20" s="25"/>
      <c r="Z20" s="25"/>
    </row>
    <row r="21" ht="12.75" customHeight="1">
      <c r="A21" s="47"/>
      <c r="B21" s="47"/>
      <c r="C21" s="47"/>
      <c r="D21" s="47"/>
      <c r="E21" s="25"/>
      <c r="F21" s="25"/>
      <c r="G21" s="25"/>
      <c r="H21" s="25"/>
      <c r="I21" s="25"/>
      <c r="J21" s="25"/>
      <c r="K21" s="25"/>
      <c r="L21" s="25"/>
      <c r="M21" s="25"/>
      <c r="N21" s="25"/>
      <c r="O21" s="25"/>
      <c r="P21" s="25"/>
      <c r="Q21" s="25"/>
      <c r="R21" s="25"/>
      <c r="S21" s="25"/>
      <c r="T21" s="25"/>
      <c r="U21" s="25"/>
      <c r="V21" s="25"/>
      <c r="W21" s="25"/>
      <c r="X21" s="25"/>
      <c r="Y21" s="25"/>
      <c r="Z21" s="25"/>
    </row>
    <row r="22" ht="12.75" customHeight="1">
      <c r="A22" s="47"/>
      <c r="B22" s="47"/>
      <c r="C22" s="47"/>
      <c r="D22" s="47"/>
      <c r="E22" s="48"/>
      <c r="F22" s="48"/>
      <c r="G22" s="48"/>
      <c r="H22" s="48"/>
      <c r="I22" s="48"/>
      <c r="J22" s="48"/>
      <c r="K22" s="48"/>
      <c r="L22" s="48"/>
      <c r="M22" s="48"/>
      <c r="N22" s="48"/>
      <c r="O22" s="48"/>
      <c r="P22" s="48"/>
      <c r="Q22" s="48"/>
      <c r="R22" s="48"/>
      <c r="S22" s="48"/>
      <c r="T22" s="48"/>
      <c r="U22" s="48"/>
      <c r="V22" s="48"/>
      <c r="W22" s="48"/>
      <c r="X22" s="48"/>
      <c r="Y22" s="48"/>
      <c r="Z22" s="48"/>
    </row>
    <row r="23" ht="12.75" customHeight="1">
      <c r="A23" s="47"/>
      <c r="B23" s="47"/>
      <c r="C23" s="47"/>
      <c r="D23" s="47"/>
      <c r="E23" s="25"/>
      <c r="F23" s="25"/>
      <c r="G23" s="25"/>
      <c r="H23" s="25"/>
      <c r="I23" s="25"/>
      <c r="J23" s="25"/>
      <c r="K23" s="25"/>
      <c r="L23" s="25"/>
      <c r="M23" s="25"/>
      <c r="N23" s="25"/>
      <c r="O23" s="25"/>
      <c r="P23" s="25"/>
      <c r="Q23" s="26"/>
      <c r="R23" s="26"/>
      <c r="S23" s="26"/>
      <c r="T23" s="26"/>
      <c r="U23" s="26"/>
      <c r="V23" s="26"/>
      <c r="W23" s="26"/>
      <c r="X23" s="26"/>
      <c r="Y23" s="26"/>
      <c r="Z23" s="26"/>
    </row>
    <row r="24" ht="12.75" customHeight="1">
      <c r="A24" s="47"/>
      <c r="B24" s="47"/>
      <c r="C24" s="47"/>
      <c r="D24" s="47"/>
      <c r="E24" s="25"/>
      <c r="F24" s="25"/>
      <c r="G24" s="25"/>
      <c r="H24" s="25"/>
      <c r="I24" s="25"/>
      <c r="J24" s="25"/>
      <c r="K24" s="25"/>
      <c r="L24" s="25"/>
      <c r="M24" s="25"/>
      <c r="N24" s="25"/>
      <c r="O24" s="25"/>
      <c r="P24" s="25"/>
      <c r="Q24" s="26"/>
      <c r="R24" s="26"/>
      <c r="S24" s="26"/>
      <c r="T24" s="26"/>
      <c r="U24" s="26"/>
      <c r="V24" s="26"/>
      <c r="W24" s="26"/>
      <c r="X24" s="26"/>
      <c r="Y24" s="26"/>
      <c r="Z24" s="26"/>
    </row>
    <row r="25" ht="12.75" customHeight="1">
      <c r="A25" s="47"/>
      <c r="B25" s="47"/>
      <c r="C25" s="47"/>
      <c r="D25" s="47"/>
      <c r="E25" s="25"/>
      <c r="F25" s="25"/>
      <c r="G25" s="25"/>
      <c r="H25" s="25"/>
      <c r="I25" s="25"/>
      <c r="J25" s="25"/>
      <c r="K25" s="25"/>
      <c r="L25" s="25"/>
      <c r="M25" s="25"/>
      <c r="N25" s="25"/>
      <c r="O25" s="25"/>
      <c r="P25" s="25"/>
      <c r="Q25" s="25"/>
      <c r="R25" s="25"/>
      <c r="S25" s="25"/>
      <c r="T25" s="25"/>
      <c r="U25" s="25"/>
      <c r="V25" s="25"/>
      <c r="W25" s="25"/>
      <c r="X25" s="25"/>
      <c r="Y25" s="25"/>
      <c r="Z25" s="25"/>
    </row>
    <row r="26" ht="12.75" customHeight="1">
      <c r="A26" s="47"/>
      <c r="B26" s="47"/>
      <c r="C26" s="47"/>
      <c r="D26" s="47"/>
      <c r="E26" s="25"/>
      <c r="F26" s="25"/>
      <c r="G26" s="25"/>
      <c r="H26" s="25"/>
      <c r="I26" s="25"/>
      <c r="J26" s="25"/>
      <c r="K26" s="25"/>
      <c r="L26" s="25"/>
      <c r="M26" s="25"/>
      <c r="N26" s="25"/>
      <c r="O26" s="25"/>
      <c r="P26" s="25"/>
      <c r="Q26" s="26"/>
      <c r="R26" s="26"/>
      <c r="S26" s="26"/>
      <c r="T26" s="26"/>
      <c r="U26" s="26"/>
      <c r="V26" s="26"/>
      <c r="W26" s="26"/>
      <c r="X26" s="26"/>
      <c r="Y26" s="26"/>
      <c r="Z26" s="26"/>
    </row>
    <row r="27" ht="39.0" customHeight="1">
      <c r="A27" s="47"/>
      <c r="B27" s="47"/>
      <c r="C27" s="47"/>
      <c r="D27" s="47"/>
      <c r="E27" s="22"/>
      <c r="F27" s="22"/>
      <c r="G27" s="22"/>
      <c r="H27" s="22"/>
      <c r="I27" s="22"/>
      <c r="J27" s="22"/>
      <c r="K27" s="22"/>
      <c r="L27" s="22"/>
      <c r="M27" s="22"/>
      <c r="N27" s="22"/>
      <c r="O27" s="22"/>
      <c r="P27" s="22"/>
      <c r="Q27" s="49"/>
      <c r="R27" s="49"/>
      <c r="S27" s="49"/>
      <c r="T27" s="49"/>
      <c r="U27" s="49"/>
      <c r="V27" s="49"/>
      <c r="W27" s="49"/>
      <c r="X27" s="49"/>
      <c r="Y27" s="49"/>
      <c r="Z27" s="49"/>
    </row>
    <row r="28" ht="39.0" customHeight="1">
      <c r="A28" s="50"/>
      <c r="B28" s="47"/>
      <c r="C28" s="47"/>
      <c r="D28" s="51"/>
      <c r="E28" s="52"/>
      <c r="F28" s="52"/>
      <c r="G28" s="51"/>
      <c r="H28" s="52"/>
      <c r="I28" s="52"/>
      <c r="J28" s="51"/>
      <c r="K28" s="52"/>
      <c r="L28" s="52"/>
      <c r="M28" s="51"/>
      <c r="N28" s="52"/>
      <c r="O28" s="52"/>
      <c r="P28" s="51"/>
      <c r="Q28" s="52"/>
      <c r="R28" s="52"/>
      <c r="S28" s="51"/>
      <c r="T28" s="52"/>
      <c r="U28" s="52"/>
      <c r="V28" s="51"/>
      <c r="W28" s="52"/>
      <c r="X28" s="52"/>
      <c r="Y28" s="51"/>
      <c r="Z28" s="52"/>
    </row>
    <row r="29" ht="39.0" customHeight="1">
      <c r="A29" s="50"/>
      <c r="B29" s="47"/>
      <c r="C29" s="47"/>
      <c r="D29" s="51"/>
      <c r="E29" s="52"/>
      <c r="F29" s="52"/>
      <c r="G29" s="51"/>
      <c r="H29" s="52"/>
      <c r="I29" s="52"/>
      <c r="J29" s="51"/>
      <c r="K29" s="52"/>
      <c r="L29" s="52"/>
      <c r="M29" s="51"/>
      <c r="N29" s="52"/>
      <c r="O29" s="52"/>
      <c r="P29" s="51"/>
      <c r="Q29" s="52"/>
      <c r="R29" s="52"/>
      <c r="S29" s="51"/>
      <c r="T29" s="52"/>
      <c r="U29" s="52"/>
      <c r="V29" s="51"/>
      <c r="W29" s="52"/>
      <c r="X29" s="52"/>
      <c r="Y29" s="51"/>
      <c r="Z29" s="52"/>
    </row>
    <row r="30" ht="39.0" customHeight="1">
      <c r="A30" s="50"/>
      <c r="B30" s="47"/>
      <c r="D30" s="51"/>
      <c r="E30" s="52"/>
      <c r="G30" s="51"/>
      <c r="H30" s="52"/>
      <c r="J30" s="51"/>
      <c r="K30" s="52"/>
      <c r="M30" s="51"/>
      <c r="N30" s="52"/>
      <c r="P30" s="51"/>
      <c r="Q30" s="52"/>
      <c r="S30" s="51"/>
      <c r="T30" s="52"/>
      <c r="V30" s="51"/>
      <c r="W30" s="52"/>
      <c r="Y30" s="51"/>
      <c r="Z30" s="52"/>
    </row>
    <row r="31" ht="39.0" customHeight="1">
      <c r="A31" s="50"/>
      <c r="B31" s="47"/>
      <c r="D31" s="51"/>
      <c r="E31" s="52"/>
      <c r="G31" s="51"/>
      <c r="H31" s="52"/>
      <c r="J31" s="51"/>
      <c r="K31" s="52"/>
      <c r="M31" s="51"/>
      <c r="N31" s="52"/>
      <c r="P31" s="51"/>
      <c r="Q31" s="52"/>
      <c r="S31" s="51"/>
      <c r="T31" s="52"/>
      <c r="V31" s="51"/>
      <c r="W31" s="52"/>
      <c r="Y31" s="51"/>
      <c r="Z31" s="52"/>
    </row>
    <row r="32" ht="39.0" customHeight="1">
      <c r="A32" s="50"/>
      <c r="B32" s="47"/>
      <c r="D32" s="51"/>
      <c r="E32" s="52"/>
      <c r="G32" s="51"/>
      <c r="H32" s="52"/>
      <c r="J32" s="51"/>
      <c r="K32" s="52"/>
      <c r="M32" s="51"/>
      <c r="N32" s="52"/>
      <c r="P32" s="51"/>
      <c r="Q32" s="52"/>
      <c r="S32" s="51"/>
      <c r="T32" s="52"/>
      <c r="V32" s="51"/>
      <c r="W32" s="52"/>
      <c r="Y32" s="51"/>
      <c r="Z32" s="52"/>
    </row>
    <row r="33" ht="12.75" customHeight="1">
      <c r="A33" s="31"/>
      <c r="B33" s="53"/>
      <c r="C33" s="26"/>
      <c r="D33" s="54"/>
      <c r="E33" s="25"/>
      <c r="F33" s="25"/>
      <c r="G33" s="25"/>
      <c r="H33" s="25"/>
      <c r="I33" s="25"/>
      <c r="J33" s="25"/>
      <c r="K33" s="25"/>
      <c r="L33" s="25"/>
      <c r="M33" s="25"/>
      <c r="N33" s="25"/>
      <c r="O33" s="25"/>
      <c r="P33" s="25"/>
      <c r="Q33" s="26"/>
      <c r="R33" s="26"/>
      <c r="S33" s="26"/>
      <c r="T33" s="26"/>
      <c r="U33" s="26"/>
      <c r="V33" s="26"/>
      <c r="W33" s="26"/>
      <c r="X33" s="26"/>
      <c r="Y33" s="26"/>
      <c r="Z33" s="26"/>
    </row>
    <row r="34" ht="12.75" customHeight="1">
      <c r="A34" s="31"/>
      <c r="B34" s="53"/>
      <c r="C34" s="26"/>
      <c r="D34" s="54"/>
      <c r="E34" s="25"/>
      <c r="F34" s="25"/>
      <c r="G34" s="25"/>
      <c r="H34" s="25"/>
      <c r="I34" s="25"/>
      <c r="J34" s="25"/>
      <c r="K34" s="25"/>
      <c r="L34" s="25"/>
      <c r="M34" s="25"/>
      <c r="N34" s="25"/>
      <c r="O34" s="25"/>
      <c r="P34" s="25"/>
      <c r="Q34" s="26"/>
      <c r="R34" s="26"/>
      <c r="S34" s="26"/>
      <c r="T34" s="26"/>
      <c r="U34" s="26"/>
      <c r="V34" s="26"/>
      <c r="W34" s="26"/>
      <c r="X34" s="26"/>
      <c r="Y34" s="26"/>
      <c r="Z34" s="26"/>
    </row>
    <row r="35" ht="12.75" customHeight="1">
      <c r="A35" s="31"/>
      <c r="B35" s="53"/>
      <c r="C35" s="26"/>
      <c r="D35" s="54"/>
      <c r="E35" s="25"/>
      <c r="F35" s="25"/>
      <c r="G35" s="25"/>
      <c r="H35" s="25"/>
      <c r="I35" s="25"/>
      <c r="J35" s="25"/>
      <c r="K35" s="25"/>
      <c r="L35" s="25"/>
      <c r="M35" s="25"/>
      <c r="N35" s="25"/>
      <c r="O35" s="25"/>
      <c r="P35" s="25"/>
      <c r="Q35" s="26"/>
      <c r="R35" s="26"/>
      <c r="S35" s="26"/>
      <c r="T35" s="26"/>
      <c r="U35" s="26"/>
      <c r="V35" s="26"/>
      <c r="W35" s="26"/>
      <c r="X35" s="26"/>
      <c r="Y35" s="26"/>
      <c r="Z35" s="26"/>
    </row>
    <row r="36" ht="12.75" customHeight="1">
      <c r="A36" s="31"/>
      <c r="B36" s="53"/>
      <c r="C36" s="26"/>
      <c r="D36" s="54"/>
      <c r="E36" s="25"/>
      <c r="F36" s="25"/>
      <c r="G36" s="25"/>
      <c r="H36" s="25"/>
      <c r="I36" s="25"/>
      <c r="J36" s="25"/>
      <c r="K36" s="25"/>
      <c r="L36" s="25"/>
      <c r="M36" s="25"/>
      <c r="N36" s="25"/>
      <c r="O36" s="25"/>
      <c r="P36" s="25"/>
      <c r="Q36" s="26"/>
      <c r="R36" s="26"/>
      <c r="S36" s="26"/>
      <c r="T36" s="26"/>
      <c r="U36" s="26"/>
      <c r="V36" s="26"/>
      <c r="W36" s="26"/>
      <c r="X36" s="26"/>
      <c r="Y36" s="26"/>
      <c r="Z36" s="26"/>
    </row>
    <row r="37" ht="12.75" customHeight="1">
      <c r="A37" s="31"/>
      <c r="B37" s="53"/>
      <c r="C37" s="26"/>
      <c r="D37" s="54"/>
      <c r="E37" s="25"/>
      <c r="F37" s="25"/>
      <c r="G37" s="25"/>
      <c r="H37" s="25"/>
      <c r="I37" s="25"/>
      <c r="J37" s="25"/>
      <c r="K37" s="25"/>
      <c r="L37" s="25"/>
      <c r="M37" s="25"/>
      <c r="N37" s="25"/>
      <c r="O37" s="25"/>
      <c r="P37" s="25"/>
      <c r="Q37" s="26"/>
      <c r="R37" s="26"/>
      <c r="S37" s="26"/>
      <c r="T37" s="26"/>
      <c r="U37" s="26"/>
      <c r="V37" s="26"/>
      <c r="W37" s="26"/>
      <c r="X37" s="26"/>
      <c r="Y37" s="26"/>
      <c r="Z37" s="26"/>
    </row>
    <row r="38" ht="12.75" customHeight="1">
      <c r="A38" s="31"/>
      <c r="B38" s="53"/>
      <c r="C38" s="26"/>
      <c r="D38" s="54"/>
      <c r="E38" s="25"/>
      <c r="F38" s="25"/>
      <c r="G38" s="25"/>
      <c r="H38" s="25"/>
      <c r="I38" s="25"/>
      <c r="J38" s="25"/>
      <c r="K38" s="25"/>
      <c r="L38" s="25"/>
      <c r="M38" s="25"/>
      <c r="N38" s="25"/>
      <c r="O38" s="25"/>
      <c r="P38" s="25"/>
      <c r="Q38" s="26"/>
      <c r="R38" s="26"/>
      <c r="S38" s="26"/>
      <c r="T38" s="26"/>
      <c r="U38" s="26"/>
      <c r="V38" s="26"/>
      <c r="W38" s="26"/>
      <c r="X38" s="26"/>
      <c r="Y38" s="26"/>
      <c r="Z38" s="26"/>
    </row>
    <row r="39" ht="12.75" customHeight="1">
      <c r="A39" s="31"/>
      <c r="B39" s="53"/>
      <c r="C39" s="26"/>
      <c r="D39" s="54"/>
      <c r="E39" s="25"/>
      <c r="F39" s="25"/>
      <c r="G39" s="25"/>
      <c r="H39" s="25"/>
      <c r="I39" s="25"/>
      <c r="J39" s="25"/>
      <c r="K39" s="25"/>
      <c r="L39" s="25"/>
      <c r="M39" s="25"/>
      <c r="N39" s="25"/>
      <c r="O39" s="25"/>
      <c r="P39" s="25"/>
      <c r="Q39" s="26"/>
      <c r="R39" s="26"/>
      <c r="S39" s="26"/>
      <c r="T39" s="26"/>
      <c r="U39" s="26"/>
      <c r="V39" s="26"/>
      <c r="W39" s="26"/>
      <c r="X39" s="26"/>
      <c r="Y39" s="26"/>
      <c r="Z39" s="26"/>
    </row>
    <row r="40" ht="12.75" customHeight="1">
      <c r="A40" s="31"/>
      <c r="B40" s="53"/>
      <c r="C40" s="26"/>
      <c r="D40" s="54"/>
      <c r="E40" s="25"/>
      <c r="F40" s="25"/>
      <c r="G40" s="25"/>
      <c r="H40" s="25"/>
      <c r="I40" s="25"/>
      <c r="J40" s="25"/>
      <c r="K40" s="25"/>
      <c r="L40" s="25"/>
      <c r="M40" s="25"/>
      <c r="N40" s="25"/>
      <c r="O40" s="25"/>
      <c r="P40" s="25"/>
      <c r="Q40" s="26"/>
      <c r="R40" s="26"/>
      <c r="S40" s="26"/>
      <c r="T40" s="26"/>
      <c r="U40" s="26"/>
      <c r="V40" s="26"/>
      <c r="W40" s="26"/>
      <c r="X40" s="26"/>
      <c r="Y40" s="26"/>
      <c r="Z40" s="26"/>
    </row>
    <row r="41" ht="12.75" customHeight="1">
      <c r="A41" s="31"/>
      <c r="B41" s="53"/>
      <c r="C41" s="26"/>
      <c r="D41" s="54"/>
      <c r="E41" s="25"/>
      <c r="F41" s="25"/>
      <c r="G41" s="25"/>
      <c r="H41" s="25"/>
      <c r="I41" s="25"/>
      <c r="J41" s="25"/>
      <c r="K41" s="25"/>
      <c r="L41" s="25"/>
      <c r="M41" s="25"/>
      <c r="N41" s="25"/>
      <c r="O41" s="25"/>
      <c r="P41" s="25"/>
      <c r="Q41" s="26"/>
      <c r="R41" s="26"/>
      <c r="S41" s="26"/>
      <c r="T41" s="26"/>
      <c r="U41" s="26"/>
      <c r="V41" s="26"/>
      <c r="W41" s="26"/>
      <c r="X41" s="26"/>
      <c r="Y41" s="26"/>
      <c r="Z41" s="26"/>
    </row>
    <row r="42" ht="12.75" customHeight="1">
      <c r="A42" s="31"/>
      <c r="B42" s="53"/>
      <c r="C42" s="26"/>
      <c r="D42" s="54"/>
      <c r="E42" s="25"/>
      <c r="F42" s="25"/>
      <c r="G42" s="25"/>
      <c r="H42" s="25"/>
      <c r="I42" s="25"/>
      <c r="J42" s="25"/>
      <c r="K42" s="25"/>
      <c r="L42" s="25"/>
      <c r="M42" s="25"/>
      <c r="N42" s="25"/>
      <c r="O42" s="25"/>
      <c r="P42" s="25"/>
      <c r="Q42" s="26"/>
      <c r="R42" s="26"/>
      <c r="S42" s="26"/>
      <c r="T42" s="26"/>
      <c r="U42" s="26"/>
      <c r="V42" s="26"/>
      <c r="W42" s="26"/>
      <c r="X42" s="26"/>
      <c r="Y42" s="26"/>
      <c r="Z42" s="26"/>
    </row>
    <row r="43" ht="12.75" customHeight="1">
      <c r="A43" s="31"/>
      <c r="B43" s="53"/>
      <c r="C43" s="26"/>
      <c r="D43" s="54"/>
      <c r="E43" s="25"/>
      <c r="F43" s="25"/>
      <c r="G43" s="25"/>
      <c r="H43" s="25"/>
      <c r="I43" s="25"/>
      <c r="J43" s="25"/>
      <c r="K43" s="25"/>
      <c r="L43" s="25"/>
      <c r="M43" s="25"/>
      <c r="N43" s="25"/>
      <c r="O43" s="25"/>
      <c r="P43" s="25"/>
      <c r="Q43" s="26"/>
      <c r="R43" s="26"/>
      <c r="S43" s="26"/>
      <c r="T43" s="26"/>
      <c r="U43" s="26"/>
      <c r="V43" s="26"/>
      <c r="W43" s="26"/>
      <c r="X43" s="26"/>
      <c r="Y43" s="26"/>
      <c r="Z43" s="26"/>
    </row>
    <row r="44" ht="12.75" customHeight="1">
      <c r="A44" s="31"/>
      <c r="B44" s="53"/>
      <c r="C44" s="26"/>
      <c r="D44" s="54"/>
      <c r="E44" s="25"/>
      <c r="F44" s="25"/>
      <c r="G44" s="25"/>
      <c r="H44" s="25"/>
      <c r="I44" s="25"/>
      <c r="J44" s="25"/>
      <c r="K44" s="25"/>
      <c r="L44" s="25"/>
      <c r="M44" s="25"/>
      <c r="N44" s="25"/>
      <c r="O44" s="25"/>
      <c r="P44" s="25"/>
      <c r="Q44" s="26"/>
      <c r="R44" s="26"/>
      <c r="S44" s="26"/>
      <c r="T44" s="26"/>
      <c r="U44" s="26"/>
      <c r="V44" s="26"/>
      <c r="W44" s="26"/>
      <c r="X44" s="26"/>
      <c r="Y44" s="26"/>
      <c r="Z44" s="26"/>
    </row>
    <row r="45" ht="12.75" customHeight="1">
      <c r="A45" s="31"/>
      <c r="B45" s="53"/>
      <c r="C45" s="26"/>
      <c r="D45" s="54"/>
      <c r="E45" s="25"/>
      <c r="F45" s="25"/>
      <c r="G45" s="25"/>
      <c r="H45" s="25"/>
      <c r="I45" s="25"/>
      <c r="J45" s="25"/>
      <c r="K45" s="25"/>
      <c r="L45" s="25"/>
      <c r="M45" s="25"/>
      <c r="N45" s="25"/>
      <c r="O45" s="25"/>
      <c r="P45" s="25"/>
      <c r="Q45" s="26"/>
      <c r="R45" s="26"/>
      <c r="S45" s="26"/>
      <c r="T45" s="26"/>
      <c r="U45" s="26"/>
      <c r="V45" s="26"/>
      <c r="W45" s="26"/>
      <c r="X45" s="26"/>
      <c r="Y45" s="26"/>
      <c r="Z45" s="26"/>
    </row>
    <row r="46" ht="12.75" customHeight="1">
      <c r="A46" s="31"/>
      <c r="B46" s="53"/>
      <c r="C46" s="26"/>
      <c r="D46" s="54"/>
      <c r="E46" s="25"/>
      <c r="F46" s="25"/>
      <c r="G46" s="25"/>
      <c r="H46" s="25"/>
      <c r="I46" s="25"/>
      <c r="J46" s="25"/>
      <c r="K46" s="25"/>
      <c r="L46" s="25"/>
      <c r="M46" s="25"/>
      <c r="N46" s="25"/>
      <c r="O46" s="25"/>
      <c r="P46" s="25"/>
      <c r="Q46" s="26"/>
      <c r="R46" s="26"/>
      <c r="S46" s="26"/>
      <c r="T46" s="26"/>
      <c r="U46" s="26"/>
      <c r="V46" s="26"/>
      <c r="W46" s="26"/>
      <c r="X46" s="26"/>
      <c r="Y46" s="26"/>
      <c r="Z46" s="26"/>
    </row>
    <row r="47" ht="12.75" customHeight="1">
      <c r="A47" s="31"/>
      <c r="B47" s="53"/>
      <c r="C47" s="26"/>
      <c r="D47" s="54"/>
      <c r="E47" s="25"/>
      <c r="F47" s="25"/>
      <c r="G47" s="25"/>
      <c r="H47" s="25"/>
      <c r="I47" s="25"/>
      <c r="J47" s="25"/>
      <c r="K47" s="25"/>
      <c r="L47" s="25"/>
      <c r="M47" s="25"/>
      <c r="N47" s="25"/>
      <c r="O47" s="25"/>
      <c r="P47" s="25"/>
      <c r="Q47" s="26"/>
      <c r="R47" s="26"/>
      <c r="S47" s="26"/>
      <c r="T47" s="26"/>
      <c r="U47" s="26"/>
      <c r="V47" s="26"/>
      <c r="W47" s="26"/>
      <c r="X47" s="26"/>
      <c r="Y47" s="26"/>
      <c r="Z47" s="26"/>
    </row>
    <row r="48" ht="12.75" customHeight="1">
      <c r="A48" s="31"/>
      <c r="B48" s="53"/>
      <c r="C48" s="26"/>
      <c r="D48" s="54"/>
      <c r="E48" s="25"/>
      <c r="F48" s="25"/>
      <c r="G48" s="25"/>
      <c r="H48" s="25"/>
      <c r="I48" s="25"/>
      <c r="J48" s="25"/>
      <c r="K48" s="25"/>
      <c r="L48" s="25"/>
      <c r="M48" s="25"/>
      <c r="N48" s="25"/>
      <c r="O48" s="25"/>
      <c r="P48" s="25"/>
      <c r="Q48" s="26"/>
      <c r="R48" s="26"/>
      <c r="S48" s="26"/>
      <c r="T48" s="26"/>
      <c r="U48" s="26"/>
      <c r="V48" s="26"/>
      <c r="W48" s="26"/>
      <c r="X48" s="26"/>
      <c r="Y48" s="26"/>
      <c r="Z48" s="26"/>
    </row>
    <row r="49" ht="12.75" customHeight="1">
      <c r="A49" s="31"/>
      <c r="B49" s="53"/>
      <c r="C49" s="26"/>
      <c r="D49" s="54"/>
      <c r="E49" s="25"/>
      <c r="F49" s="25"/>
      <c r="G49" s="25"/>
      <c r="H49" s="25"/>
      <c r="I49" s="25"/>
      <c r="J49" s="25"/>
      <c r="K49" s="25"/>
      <c r="L49" s="25"/>
      <c r="M49" s="25"/>
      <c r="N49" s="25"/>
      <c r="O49" s="25"/>
      <c r="P49" s="25"/>
      <c r="Q49" s="26"/>
      <c r="R49" s="26"/>
      <c r="S49" s="26"/>
      <c r="T49" s="26"/>
      <c r="U49" s="26"/>
      <c r="V49" s="26"/>
      <c r="W49" s="26"/>
      <c r="X49" s="26"/>
      <c r="Y49" s="26"/>
      <c r="Z49" s="26"/>
    </row>
    <row r="50" ht="12.75" customHeight="1">
      <c r="A50" s="31"/>
      <c r="B50" s="53"/>
      <c r="C50" s="26"/>
      <c r="D50" s="54"/>
      <c r="E50" s="25"/>
      <c r="F50" s="25"/>
      <c r="G50" s="25"/>
      <c r="H50" s="25"/>
      <c r="I50" s="25"/>
      <c r="J50" s="25"/>
      <c r="K50" s="25"/>
      <c r="L50" s="25"/>
      <c r="M50" s="25"/>
      <c r="N50" s="25"/>
      <c r="O50" s="25"/>
      <c r="P50" s="25"/>
      <c r="Q50" s="26"/>
      <c r="R50" s="26"/>
      <c r="S50" s="26"/>
      <c r="T50" s="26"/>
      <c r="U50" s="26"/>
      <c r="V50" s="26"/>
      <c r="W50" s="26"/>
      <c r="X50" s="26"/>
      <c r="Y50" s="26"/>
      <c r="Z50" s="26"/>
    </row>
    <row r="51" ht="12.75" customHeight="1">
      <c r="A51" s="31"/>
      <c r="B51" s="53"/>
      <c r="C51" s="26"/>
      <c r="D51" s="54"/>
      <c r="E51" s="25"/>
      <c r="F51" s="25"/>
      <c r="G51" s="25"/>
      <c r="H51" s="25"/>
      <c r="I51" s="25"/>
      <c r="J51" s="25"/>
      <c r="K51" s="25"/>
      <c r="L51" s="25"/>
      <c r="M51" s="25"/>
      <c r="N51" s="25"/>
      <c r="O51" s="25"/>
      <c r="P51" s="25"/>
      <c r="Q51" s="26"/>
      <c r="R51" s="26"/>
      <c r="S51" s="26"/>
      <c r="T51" s="26"/>
      <c r="U51" s="26"/>
      <c r="V51" s="26"/>
      <c r="W51" s="26"/>
      <c r="X51" s="26"/>
      <c r="Y51" s="26"/>
      <c r="Z51" s="26"/>
    </row>
    <row r="52" ht="12.75" customHeight="1">
      <c r="A52" s="31"/>
      <c r="B52" s="53"/>
      <c r="C52" s="26"/>
      <c r="D52" s="54"/>
      <c r="E52" s="25"/>
      <c r="F52" s="25"/>
      <c r="G52" s="25"/>
      <c r="H52" s="25"/>
      <c r="I52" s="25"/>
      <c r="J52" s="25"/>
      <c r="K52" s="25"/>
      <c r="L52" s="25"/>
      <c r="M52" s="25"/>
      <c r="N52" s="25"/>
      <c r="O52" s="25"/>
      <c r="P52" s="25"/>
      <c r="Q52" s="26"/>
      <c r="R52" s="26"/>
      <c r="S52" s="26"/>
      <c r="T52" s="26"/>
      <c r="U52" s="26"/>
      <c r="V52" s="26"/>
      <c r="W52" s="26"/>
      <c r="X52" s="26"/>
      <c r="Y52" s="26"/>
      <c r="Z52" s="26"/>
    </row>
    <row r="53" ht="12.75" customHeight="1">
      <c r="A53" s="31"/>
      <c r="B53" s="53"/>
      <c r="C53" s="26"/>
      <c r="D53" s="54"/>
      <c r="E53" s="25"/>
      <c r="F53" s="25"/>
      <c r="G53" s="25"/>
      <c r="H53" s="25"/>
      <c r="I53" s="25"/>
      <c r="J53" s="25"/>
      <c r="K53" s="25"/>
      <c r="L53" s="25"/>
      <c r="M53" s="25"/>
      <c r="N53" s="25"/>
      <c r="O53" s="25"/>
      <c r="P53" s="25"/>
      <c r="Q53" s="26"/>
      <c r="R53" s="26"/>
      <c r="S53" s="26"/>
      <c r="T53" s="26"/>
      <c r="U53" s="26"/>
      <c r="V53" s="26"/>
      <c r="W53" s="26"/>
      <c r="X53" s="26"/>
      <c r="Y53" s="26"/>
      <c r="Z53" s="26"/>
    </row>
    <row r="54" ht="12.75" customHeight="1">
      <c r="A54" s="31"/>
      <c r="B54" s="53"/>
      <c r="C54" s="26"/>
      <c r="D54" s="54"/>
      <c r="E54" s="25"/>
      <c r="F54" s="25"/>
      <c r="G54" s="25"/>
      <c r="H54" s="25"/>
      <c r="I54" s="25"/>
      <c r="J54" s="25"/>
      <c r="K54" s="25"/>
      <c r="L54" s="25"/>
      <c r="M54" s="25"/>
      <c r="N54" s="25"/>
      <c r="O54" s="25"/>
      <c r="P54" s="25"/>
      <c r="Q54" s="26"/>
      <c r="R54" s="26"/>
      <c r="S54" s="26"/>
      <c r="T54" s="26"/>
      <c r="U54" s="26"/>
      <c r="V54" s="26"/>
      <c r="W54" s="26"/>
      <c r="X54" s="26"/>
      <c r="Y54" s="26"/>
      <c r="Z54" s="26"/>
    </row>
    <row r="55" ht="12.75" customHeight="1">
      <c r="A55" s="31"/>
      <c r="B55" s="53"/>
      <c r="C55" s="26"/>
      <c r="D55" s="54"/>
      <c r="E55" s="25"/>
      <c r="F55" s="25"/>
      <c r="G55" s="25"/>
      <c r="H55" s="25"/>
      <c r="I55" s="25"/>
      <c r="J55" s="25"/>
      <c r="K55" s="25"/>
      <c r="L55" s="25"/>
      <c r="M55" s="25"/>
      <c r="N55" s="25"/>
      <c r="O55" s="25"/>
      <c r="P55" s="25"/>
      <c r="Q55" s="26"/>
      <c r="R55" s="26"/>
      <c r="S55" s="26"/>
      <c r="T55" s="26"/>
      <c r="U55" s="26"/>
      <c r="V55" s="26"/>
      <c r="W55" s="26"/>
      <c r="X55" s="26"/>
      <c r="Y55" s="26"/>
      <c r="Z55" s="26"/>
    </row>
    <row r="56" ht="12.75" customHeight="1">
      <c r="A56" s="31"/>
      <c r="B56" s="53"/>
      <c r="C56" s="26"/>
      <c r="D56" s="54"/>
      <c r="E56" s="25"/>
      <c r="F56" s="25"/>
      <c r="G56" s="25"/>
      <c r="H56" s="25"/>
      <c r="I56" s="25"/>
      <c r="J56" s="25"/>
      <c r="K56" s="25"/>
      <c r="L56" s="25"/>
      <c r="M56" s="25"/>
      <c r="N56" s="25"/>
      <c r="O56" s="25"/>
      <c r="P56" s="25"/>
      <c r="Q56" s="26"/>
      <c r="R56" s="26"/>
      <c r="S56" s="26"/>
      <c r="T56" s="26"/>
      <c r="U56" s="26"/>
      <c r="V56" s="26"/>
      <c r="W56" s="26"/>
      <c r="X56" s="26"/>
      <c r="Y56" s="26"/>
      <c r="Z56" s="26"/>
    </row>
    <row r="57" ht="12.75" customHeight="1">
      <c r="A57" s="31"/>
      <c r="B57" s="53"/>
      <c r="C57" s="26"/>
      <c r="D57" s="54"/>
      <c r="E57" s="25"/>
      <c r="F57" s="25"/>
      <c r="G57" s="25"/>
      <c r="H57" s="25"/>
      <c r="I57" s="25"/>
      <c r="J57" s="25"/>
      <c r="K57" s="25"/>
      <c r="L57" s="25"/>
      <c r="M57" s="25"/>
      <c r="N57" s="25"/>
      <c r="O57" s="25"/>
      <c r="P57" s="25"/>
      <c r="Q57" s="26"/>
      <c r="R57" s="26"/>
      <c r="S57" s="26"/>
      <c r="T57" s="26"/>
      <c r="U57" s="26"/>
      <c r="V57" s="26"/>
      <c r="W57" s="26"/>
      <c r="X57" s="26"/>
      <c r="Y57" s="26"/>
      <c r="Z57" s="26"/>
    </row>
    <row r="58" ht="12.75" customHeight="1">
      <c r="A58" s="31"/>
      <c r="B58" s="53"/>
      <c r="C58" s="26"/>
      <c r="D58" s="54"/>
      <c r="E58" s="25"/>
      <c r="F58" s="25"/>
      <c r="G58" s="25"/>
      <c r="H58" s="25"/>
      <c r="I58" s="25"/>
      <c r="J58" s="25"/>
      <c r="K58" s="25"/>
      <c r="L58" s="25"/>
      <c r="M58" s="25"/>
      <c r="N58" s="25"/>
      <c r="O58" s="25"/>
      <c r="P58" s="25"/>
      <c r="Q58" s="26"/>
      <c r="R58" s="26"/>
      <c r="S58" s="26"/>
      <c r="T58" s="26"/>
      <c r="U58" s="26"/>
      <c r="V58" s="26"/>
      <c r="W58" s="26"/>
      <c r="X58" s="26"/>
      <c r="Y58" s="26"/>
      <c r="Z58" s="26"/>
    </row>
    <row r="59" ht="12.75" customHeight="1">
      <c r="A59" s="31"/>
      <c r="B59" s="53"/>
      <c r="C59" s="26"/>
      <c r="D59" s="54"/>
      <c r="E59" s="25"/>
      <c r="F59" s="25"/>
      <c r="G59" s="25"/>
      <c r="H59" s="25"/>
      <c r="I59" s="25"/>
      <c r="J59" s="25"/>
      <c r="K59" s="25"/>
      <c r="L59" s="25"/>
      <c r="M59" s="25"/>
      <c r="N59" s="25"/>
      <c r="O59" s="25"/>
      <c r="P59" s="25"/>
      <c r="Q59" s="26"/>
      <c r="R59" s="26"/>
      <c r="S59" s="26"/>
      <c r="T59" s="26"/>
      <c r="U59" s="26"/>
      <c r="V59" s="26"/>
      <c r="W59" s="26"/>
      <c r="X59" s="26"/>
      <c r="Y59" s="26"/>
      <c r="Z59" s="26"/>
    </row>
    <row r="60" ht="12.75" customHeight="1">
      <c r="A60" s="31"/>
      <c r="B60" s="53"/>
      <c r="C60" s="26"/>
      <c r="D60" s="54"/>
      <c r="E60" s="25"/>
      <c r="F60" s="25"/>
      <c r="G60" s="25"/>
      <c r="H60" s="25"/>
      <c r="I60" s="25"/>
      <c r="J60" s="25"/>
      <c r="K60" s="25"/>
      <c r="L60" s="25"/>
      <c r="M60" s="25"/>
      <c r="N60" s="25"/>
      <c r="O60" s="25"/>
      <c r="P60" s="25"/>
      <c r="Q60" s="26"/>
      <c r="R60" s="26"/>
      <c r="S60" s="26"/>
      <c r="T60" s="26"/>
      <c r="U60" s="26"/>
      <c r="V60" s="26"/>
      <c r="W60" s="26"/>
      <c r="X60" s="26"/>
      <c r="Y60" s="26"/>
      <c r="Z60" s="26"/>
    </row>
    <row r="61" ht="12.75" customHeight="1">
      <c r="A61" s="31"/>
      <c r="B61" s="53"/>
      <c r="C61" s="26"/>
      <c r="D61" s="54"/>
      <c r="E61" s="25"/>
      <c r="F61" s="25"/>
      <c r="G61" s="25"/>
      <c r="H61" s="25"/>
      <c r="I61" s="25"/>
      <c r="J61" s="25"/>
      <c r="K61" s="25"/>
      <c r="L61" s="25"/>
      <c r="M61" s="25"/>
      <c r="N61" s="25"/>
      <c r="O61" s="25"/>
      <c r="P61" s="25"/>
      <c r="Q61" s="26"/>
      <c r="R61" s="26"/>
      <c r="S61" s="26"/>
      <c r="T61" s="26"/>
      <c r="U61" s="26"/>
      <c r="V61" s="26"/>
      <c r="W61" s="26"/>
      <c r="X61" s="26"/>
      <c r="Y61" s="26"/>
      <c r="Z61" s="26"/>
    </row>
    <row r="62" ht="12.75" customHeight="1">
      <c r="A62" s="31"/>
      <c r="B62" s="53"/>
      <c r="C62" s="26"/>
      <c r="D62" s="54"/>
      <c r="E62" s="25"/>
      <c r="F62" s="25"/>
      <c r="G62" s="25"/>
      <c r="H62" s="25"/>
      <c r="I62" s="25"/>
      <c r="J62" s="25"/>
      <c r="K62" s="25"/>
      <c r="L62" s="25"/>
      <c r="M62" s="25"/>
      <c r="N62" s="25"/>
      <c r="O62" s="25"/>
      <c r="P62" s="25"/>
      <c r="Q62" s="26"/>
      <c r="R62" s="26"/>
      <c r="S62" s="26"/>
      <c r="T62" s="26"/>
      <c r="U62" s="26"/>
      <c r="V62" s="26"/>
      <c r="W62" s="26"/>
      <c r="X62" s="26"/>
      <c r="Y62" s="26"/>
      <c r="Z62" s="26"/>
    </row>
    <row r="63" ht="12.75" customHeight="1">
      <c r="A63" s="31"/>
      <c r="B63" s="53"/>
      <c r="C63" s="26"/>
      <c r="D63" s="54"/>
      <c r="E63" s="25"/>
      <c r="F63" s="25"/>
      <c r="G63" s="25"/>
      <c r="H63" s="25"/>
      <c r="I63" s="25"/>
      <c r="J63" s="25"/>
      <c r="K63" s="25"/>
      <c r="L63" s="25"/>
      <c r="M63" s="25"/>
      <c r="N63" s="25"/>
      <c r="O63" s="25"/>
      <c r="P63" s="25"/>
      <c r="Q63" s="26"/>
      <c r="R63" s="26"/>
      <c r="S63" s="26"/>
      <c r="T63" s="26"/>
      <c r="U63" s="26"/>
      <c r="V63" s="26"/>
      <c r="W63" s="26"/>
      <c r="X63" s="26"/>
      <c r="Y63" s="26"/>
      <c r="Z63" s="26"/>
    </row>
    <row r="64" ht="12.75" customHeight="1">
      <c r="A64" s="31"/>
      <c r="B64" s="53"/>
      <c r="C64" s="26"/>
      <c r="D64" s="54"/>
      <c r="E64" s="25"/>
      <c r="F64" s="25"/>
      <c r="G64" s="25"/>
      <c r="H64" s="25"/>
      <c r="I64" s="25"/>
      <c r="J64" s="25"/>
      <c r="K64" s="25"/>
      <c r="L64" s="25"/>
      <c r="M64" s="25"/>
      <c r="N64" s="25"/>
      <c r="O64" s="25"/>
      <c r="P64" s="25"/>
      <c r="Q64" s="26"/>
      <c r="R64" s="26"/>
      <c r="S64" s="26"/>
      <c r="T64" s="26"/>
      <c r="U64" s="26"/>
      <c r="V64" s="26"/>
      <c r="W64" s="26"/>
      <c r="X64" s="26"/>
      <c r="Y64" s="26"/>
      <c r="Z64" s="26"/>
    </row>
    <row r="65" ht="12.75" customHeight="1">
      <c r="A65" s="31"/>
      <c r="B65" s="53"/>
      <c r="C65" s="26"/>
      <c r="D65" s="54"/>
      <c r="E65" s="25"/>
      <c r="F65" s="25"/>
      <c r="G65" s="25"/>
      <c r="H65" s="25"/>
      <c r="I65" s="25"/>
      <c r="J65" s="25"/>
      <c r="K65" s="25"/>
      <c r="L65" s="25"/>
      <c r="M65" s="25"/>
      <c r="N65" s="25"/>
      <c r="O65" s="25"/>
      <c r="P65" s="25"/>
      <c r="Q65" s="26"/>
      <c r="R65" s="26"/>
      <c r="S65" s="26"/>
      <c r="T65" s="26"/>
      <c r="U65" s="26"/>
      <c r="V65" s="26"/>
      <c r="W65" s="26"/>
      <c r="X65" s="26"/>
      <c r="Y65" s="26"/>
      <c r="Z65" s="26"/>
    </row>
    <row r="66" ht="12.75" customHeight="1">
      <c r="A66" s="31"/>
      <c r="B66" s="53"/>
      <c r="C66" s="26"/>
      <c r="D66" s="54"/>
      <c r="E66" s="25"/>
      <c r="F66" s="25"/>
      <c r="G66" s="25"/>
      <c r="H66" s="25"/>
      <c r="I66" s="25"/>
      <c r="J66" s="25"/>
      <c r="K66" s="25"/>
      <c r="L66" s="25"/>
      <c r="M66" s="25"/>
      <c r="N66" s="25"/>
      <c r="O66" s="25"/>
      <c r="P66" s="25"/>
      <c r="Q66" s="26"/>
      <c r="R66" s="26"/>
      <c r="S66" s="26"/>
      <c r="T66" s="26"/>
      <c r="U66" s="26"/>
      <c r="V66" s="26"/>
      <c r="W66" s="26"/>
      <c r="X66" s="26"/>
      <c r="Y66" s="26"/>
      <c r="Z66" s="26"/>
    </row>
    <row r="67" ht="12.75" customHeight="1">
      <c r="A67" s="31"/>
      <c r="B67" s="53"/>
      <c r="C67" s="26"/>
      <c r="D67" s="54"/>
      <c r="E67" s="25"/>
      <c r="F67" s="25"/>
      <c r="G67" s="25"/>
      <c r="H67" s="25"/>
      <c r="I67" s="25"/>
      <c r="J67" s="25"/>
      <c r="K67" s="25"/>
      <c r="L67" s="25"/>
      <c r="M67" s="25"/>
      <c r="N67" s="25"/>
      <c r="O67" s="25"/>
      <c r="P67" s="25"/>
      <c r="Q67" s="26"/>
      <c r="R67" s="26"/>
      <c r="S67" s="26"/>
      <c r="T67" s="26"/>
      <c r="U67" s="26"/>
      <c r="V67" s="26"/>
      <c r="W67" s="26"/>
      <c r="X67" s="26"/>
      <c r="Y67" s="26"/>
      <c r="Z67" s="26"/>
    </row>
    <row r="68" ht="12.75" customHeight="1">
      <c r="A68" s="31"/>
      <c r="B68" s="53"/>
      <c r="C68" s="26"/>
      <c r="D68" s="54"/>
      <c r="E68" s="25"/>
      <c r="F68" s="25"/>
      <c r="G68" s="25"/>
      <c r="H68" s="25"/>
      <c r="I68" s="25"/>
      <c r="J68" s="25"/>
      <c r="K68" s="25"/>
      <c r="L68" s="25"/>
      <c r="M68" s="25"/>
      <c r="N68" s="25"/>
      <c r="O68" s="25"/>
      <c r="P68" s="25"/>
      <c r="Q68" s="26"/>
      <c r="R68" s="26"/>
      <c r="S68" s="26"/>
      <c r="T68" s="26"/>
      <c r="U68" s="26"/>
      <c r="V68" s="26"/>
      <c r="W68" s="26"/>
      <c r="X68" s="26"/>
      <c r="Y68" s="26"/>
      <c r="Z68" s="26"/>
    </row>
    <row r="69" ht="12.75" customHeight="1">
      <c r="A69" s="31"/>
      <c r="B69" s="53"/>
      <c r="C69" s="26"/>
      <c r="D69" s="54"/>
      <c r="E69" s="25"/>
      <c r="F69" s="25"/>
      <c r="G69" s="25"/>
      <c r="H69" s="25"/>
      <c r="I69" s="25"/>
      <c r="J69" s="25"/>
      <c r="K69" s="25"/>
      <c r="L69" s="25"/>
      <c r="M69" s="25"/>
      <c r="N69" s="25"/>
      <c r="O69" s="25"/>
      <c r="P69" s="25"/>
      <c r="Q69" s="26"/>
      <c r="R69" s="26"/>
      <c r="S69" s="26"/>
      <c r="T69" s="26"/>
      <c r="U69" s="26"/>
      <c r="V69" s="26"/>
      <c r="W69" s="26"/>
      <c r="X69" s="26"/>
      <c r="Y69" s="26"/>
      <c r="Z69" s="26"/>
    </row>
    <row r="70" ht="12.75" customHeight="1">
      <c r="A70" s="31"/>
      <c r="B70" s="53"/>
      <c r="C70" s="26"/>
      <c r="D70" s="54"/>
      <c r="E70" s="25"/>
      <c r="F70" s="25"/>
      <c r="G70" s="25"/>
      <c r="H70" s="25"/>
      <c r="I70" s="25"/>
      <c r="J70" s="25"/>
      <c r="K70" s="25"/>
      <c r="L70" s="25"/>
      <c r="M70" s="25"/>
      <c r="N70" s="25"/>
      <c r="O70" s="25"/>
      <c r="P70" s="25"/>
      <c r="Q70" s="26"/>
      <c r="R70" s="26"/>
      <c r="S70" s="26"/>
      <c r="T70" s="26"/>
      <c r="U70" s="26"/>
      <c r="V70" s="26"/>
      <c r="W70" s="26"/>
      <c r="X70" s="26"/>
      <c r="Y70" s="26"/>
      <c r="Z70" s="26"/>
    </row>
    <row r="71" ht="12.75" customHeight="1">
      <c r="A71" s="31"/>
      <c r="B71" s="53"/>
      <c r="C71" s="26"/>
      <c r="D71" s="54"/>
      <c r="E71" s="25"/>
      <c r="F71" s="25"/>
      <c r="G71" s="25"/>
      <c r="H71" s="25"/>
      <c r="I71" s="25"/>
      <c r="J71" s="25"/>
      <c r="K71" s="25"/>
      <c r="L71" s="25"/>
      <c r="M71" s="25"/>
      <c r="N71" s="25"/>
      <c r="O71" s="25"/>
      <c r="P71" s="25"/>
      <c r="Q71" s="26"/>
      <c r="R71" s="26"/>
      <c r="S71" s="26"/>
      <c r="T71" s="26"/>
      <c r="U71" s="26"/>
      <c r="V71" s="26"/>
      <c r="W71" s="26"/>
      <c r="X71" s="26"/>
      <c r="Y71" s="26"/>
      <c r="Z71" s="26"/>
    </row>
    <row r="72" ht="12.75" customHeight="1">
      <c r="A72" s="31"/>
      <c r="B72" s="53"/>
      <c r="C72" s="26"/>
      <c r="D72" s="54"/>
      <c r="E72" s="25"/>
      <c r="F72" s="25"/>
      <c r="G72" s="25"/>
      <c r="H72" s="25"/>
      <c r="I72" s="25"/>
      <c r="J72" s="25"/>
      <c r="K72" s="25"/>
      <c r="L72" s="25"/>
      <c r="M72" s="25"/>
      <c r="N72" s="25"/>
      <c r="O72" s="25"/>
      <c r="P72" s="25"/>
      <c r="Q72" s="26"/>
      <c r="R72" s="26"/>
      <c r="S72" s="26"/>
      <c r="T72" s="26"/>
      <c r="U72" s="26"/>
      <c r="V72" s="26"/>
      <c r="W72" s="26"/>
      <c r="X72" s="26"/>
      <c r="Y72" s="26"/>
      <c r="Z72" s="26"/>
    </row>
    <row r="73" ht="12.75" customHeight="1">
      <c r="A73" s="31"/>
      <c r="B73" s="53"/>
      <c r="C73" s="26"/>
      <c r="D73" s="54"/>
      <c r="E73" s="25"/>
      <c r="F73" s="25"/>
      <c r="G73" s="25"/>
      <c r="H73" s="25"/>
      <c r="I73" s="25"/>
      <c r="J73" s="25"/>
      <c r="K73" s="25"/>
      <c r="L73" s="25"/>
      <c r="M73" s="25"/>
      <c r="N73" s="25"/>
      <c r="O73" s="25"/>
      <c r="P73" s="25"/>
      <c r="Q73" s="26"/>
      <c r="R73" s="26"/>
      <c r="S73" s="26"/>
      <c r="T73" s="26"/>
      <c r="U73" s="26"/>
      <c r="V73" s="26"/>
      <c r="W73" s="26"/>
      <c r="X73" s="26"/>
      <c r="Y73" s="26"/>
      <c r="Z73" s="26"/>
    </row>
    <row r="74" ht="12.75" customHeight="1">
      <c r="A74" s="31"/>
      <c r="B74" s="53"/>
      <c r="C74" s="26"/>
      <c r="D74" s="54"/>
      <c r="E74" s="25"/>
      <c r="F74" s="25"/>
      <c r="G74" s="25"/>
      <c r="H74" s="25"/>
      <c r="I74" s="25"/>
      <c r="J74" s="25"/>
      <c r="K74" s="25"/>
      <c r="L74" s="25"/>
      <c r="M74" s="25"/>
      <c r="N74" s="25"/>
      <c r="O74" s="25"/>
      <c r="P74" s="25"/>
      <c r="Q74" s="26"/>
      <c r="R74" s="26"/>
      <c r="S74" s="26"/>
      <c r="T74" s="26"/>
      <c r="U74" s="26"/>
      <c r="V74" s="26"/>
      <c r="W74" s="26"/>
      <c r="X74" s="26"/>
      <c r="Y74" s="26"/>
      <c r="Z74" s="26"/>
    </row>
    <row r="75" ht="12.75" customHeight="1">
      <c r="A75" s="31"/>
      <c r="B75" s="53"/>
      <c r="C75" s="26"/>
      <c r="D75" s="54"/>
      <c r="E75" s="25"/>
      <c r="F75" s="25"/>
      <c r="G75" s="25"/>
      <c r="H75" s="25"/>
      <c r="I75" s="25"/>
      <c r="J75" s="25"/>
      <c r="K75" s="25"/>
      <c r="L75" s="25"/>
      <c r="M75" s="25"/>
      <c r="N75" s="25"/>
      <c r="O75" s="25"/>
      <c r="P75" s="25"/>
      <c r="Q75" s="26"/>
      <c r="R75" s="26"/>
      <c r="S75" s="26"/>
      <c r="T75" s="26"/>
      <c r="U75" s="26"/>
      <c r="V75" s="26"/>
      <c r="W75" s="26"/>
      <c r="X75" s="26"/>
      <c r="Y75" s="26"/>
      <c r="Z75" s="26"/>
    </row>
    <row r="76" ht="12.75" customHeight="1">
      <c r="A76" s="31"/>
      <c r="B76" s="53"/>
      <c r="C76" s="26"/>
      <c r="D76" s="54"/>
      <c r="E76" s="25"/>
      <c r="F76" s="25"/>
      <c r="G76" s="25"/>
      <c r="H76" s="25"/>
      <c r="I76" s="25"/>
      <c r="J76" s="25"/>
      <c r="K76" s="25"/>
      <c r="L76" s="25"/>
      <c r="M76" s="25"/>
      <c r="N76" s="25"/>
      <c r="O76" s="25"/>
      <c r="P76" s="25"/>
      <c r="Q76" s="26"/>
      <c r="R76" s="26"/>
      <c r="S76" s="26"/>
      <c r="T76" s="26"/>
      <c r="U76" s="26"/>
      <c r="V76" s="26"/>
      <c r="W76" s="26"/>
      <c r="X76" s="26"/>
      <c r="Y76" s="26"/>
      <c r="Z76" s="26"/>
    </row>
    <row r="77" ht="12.75" customHeight="1">
      <c r="A77" s="31"/>
      <c r="B77" s="53"/>
      <c r="C77" s="26"/>
      <c r="D77" s="54"/>
      <c r="E77" s="25"/>
      <c r="F77" s="25"/>
      <c r="G77" s="25"/>
      <c r="H77" s="25"/>
      <c r="I77" s="25"/>
      <c r="J77" s="25"/>
      <c r="K77" s="25"/>
      <c r="L77" s="25"/>
      <c r="M77" s="25"/>
      <c r="N77" s="25"/>
      <c r="O77" s="25"/>
      <c r="P77" s="25"/>
      <c r="Q77" s="26"/>
      <c r="R77" s="26"/>
      <c r="S77" s="26"/>
      <c r="T77" s="26"/>
      <c r="U77" s="26"/>
      <c r="V77" s="26"/>
      <c r="W77" s="26"/>
      <c r="X77" s="26"/>
      <c r="Y77" s="26"/>
      <c r="Z77" s="26"/>
    </row>
    <row r="78" ht="12.75" customHeight="1">
      <c r="A78" s="31"/>
      <c r="B78" s="53"/>
      <c r="C78" s="26"/>
      <c r="D78" s="54"/>
      <c r="E78" s="25"/>
      <c r="F78" s="25"/>
      <c r="G78" s="25"/>
      <c r="H78" s="25"/>
      <c r="I78" s="25"/>
      <c r="J78" s="25"/>
      <c r="K78" s="25"/>
      <c r="L78" s="25"/>
      <c r="M78" s="25"/>
      <c r="N78" s="25"/>
      <c r="O78" s="25"/>
      <c r="P78" s="25"/>
      <c r="Q78" s="26"/>
      <c r="R78" s="26"/>
      <c r="S78" s="26"/>
      <c r="T78" s="26"/>
      <c r="U78" s="26"/>
      <c r="V78" s="26"/>
      <c r="W78" s="26"/>
      <c r="X78" s="26"/>
      <c r="Y78" s="26"/>
      <c r="Z78" s="26"/>
    </row>
    <row r="79" ht="12.75" customHeight="1">
      <c r="A79" s="31"/>
      <c r="B79" s="53"/>
      <c r="C79" s="26"/>
      <c r="D79" s="54"/>
      <c r="E79" s="25"/>
      <c r="F79" s="25"/>
      <c r="G79" s="25"/>
      <c r="H79" s="25"/>
      <c r="I79" s="25"/>
      <c r="J79" s="25"/>
      <c r="K79" s="25"/>
      <c r="L79" s="25"/>
      <c r="M79" s="25"/>
      <c r="N79" s="25"/>
      <c r="O79" s="25"/>
      <c r="P79" s="25"/>
      <c r="Q79" s="26"/>
      <c r="R79" s="26"/>
      <c r="S79" s="26"/>
      <c r="T79" s="26"/>
      <c r="U79" s="26"/>
      <c r="V79" s="26"/>
      <c r="W79" s="26"/>
      <c r="X79" s="26"/>
      <c r="Y79" s="26"/>
      <c r="Z79" s="26"/>
    </row>
    <row r="80" ht="12.75" customHeight="1">
      <c r="A80" s="31"/>
      <c r="B80" s="53"/>
      <c r="C80" s="26"/>
      <c r="D80" s="54"/>
      <c r="E80" s="25"/>
      <c r="F80" s="25"/>
      <c r="G80" s="25"/>
      <c r="H80" s="25"/>
      <c r="I80" s="25"/>
      <c r="J80" s="25"/>
      <c r="K80" s="25"/>
      <c r="L80" s="25"/>
      <c r="M80" s="25"/>
      <c r="N80" s="25"/>
      <c r="O80" s="25"/>
      <c r="P80" s="25"/>
      <c r="Q80" s="26"/>
      <c r="R80" s="26"/>
      <c r="S80" s="26"/>
      <c r="T80" s="26"/>
      <c r="U80" s="26"/>
      <c r="V80" s="26"/>
      <c r="W80" s="26"/>
      <c r="X80" s="26"/>
      <c r="Y80" s="26"/>
      <c r="Z80" s="26"/>
    </row>
    <row r="81" ht="12.75" customHeight="1">
      <c r="A81" s="31"/>
      <c r="B81" s="53"/>
      <c r="C81" s="26"/>
      <c r="D81" s="54"/>
      <c r="E81" s="25"/>
      <c r="F81" s="25"/>
      <c r="G81" s="25"/>
      <c r="H81" s="25"/>
      <c r="I81" s="25"/>
      <c r="J81" s="25"/>
      <c r="K81" s="25"/>
      <c r="L81" s="25"/>
      <c r="M81" s="25"/>
      <c r="N81" s="25"/>
      <c r="O81" s="25"/>
      <c r="P81" s="25"/>
      <c r="Q81" s="26"/>
      <c r="R81" s="26"/>
      <c r="S81" s="26"/>
      <c r="T81" s="26"/>
      <c r="U81" s="26"/>
      <c r="V81" s="26"/>
      <c r="W81" s="26"/>
      <c r="X81" s="26"/>
      <c r="Y81" s="26"/>
      <c r="Z81" s="26"/>
    </row>
    <row r="82" ht="12.75" customHeight="1">
      <c r="A82" s="31"/>
      <c r="B82" s="53"/>
      <c r="C82" s="26"/>
      <c r="D82" s="54"/>
      <c r="E82" s="25"/>
      <c r="F82" s="25"/>
      <c r="G82" s="25"/>
      <c r="H82" s="25"/>
      <c r="I82" s="25"/>
      <c r="J82" s="25"/>
      <c r="K82" s="25"/>
      <c r="L82" s="25"/>
      <c r="M82" s="25"/>
      <c r="N82" s="25"/>
      <c r="O82" s="25"/>
      <c r="P82" s="25"/>
      <c r="Q82" s="26"/>
      <c r="R82" s="26"/>
      <c r="S82" s="26"/>
      <c r="T82" s="26"/>
      <c r="U82" s="26"/>
      <c r="V82" s="26"/>
      <c r="W82" s="26"/>
      <c r="X82" s="26"/>
      <c r="Y82" s="26"/>
      <c r="Z82" s="26"/>
    </row>
    <row r="83" ht="12.75" customHeight="1">
      <c r="A83" s="31"/>
      <c r="B83" s="53"/>
      <c r="C83" s="26"/>
      <c r="D83" s="54"/>
      <c r="E83" s="25"/>
      <c r="F83" s="25"/>
      <c r="G83" s="25"/>
      <c r="H83" s="25"/>
      <c r="I83" s="25"/>
      <c r="J83" s="25"/>
      <c r="K83" s="25"/>
      <c r="L83" s="25"/>
      <c r="M83" s="25"/>
      <c r="N83" s="25"/>
      <c r="O83" s="25"/>
      <c r="P83" s="25"/>
      <c r="Q83" s="26"/>
      <c r="R83" s="26"/>
      <c r="S83" s="26"/>
      <c r="T83" s="26"/>
      <c r="U83" s="26"/>
      <c r="V83" s="26"/>
      <c r="W83" s="26"/>
      <c r="X83" s="26"/>
      <c r="Y83" s="26"/>
      <c r="Z83" s="26"/>
    </row>
    <row r="84" ht="12.75" customHeight="1">
      <c r="A84" s="31"/>
      <c r="B84" s="53"/>
      <c r="C84" s="26"/>
      <c r="D84" s="54"/>
      <c r="E84" s="25"/>
      <c r="F84" s="25"/>
      <c r="G84" s="25"/>
      <c r="H84" s="25"/>
      <c r="I84" s="25"/>
      <c r="J84" s="25"/>
      <c r="K84" s="25"/>
      <c r="L84" s="25"/>
      <c r="M84" s="25"/>
      <c r="N84" s="25"/>
      <c r="O84" s="25"/>
      <c r="P84" s="25"/>
      <c r="Q84" s="26"/>
      <c r="R84" s="26"/>
      <c r="S84" s="26"/>
      <c r="T84" s="26"/>
      <c r="U84" s="26"/>
      <c r="V84" s="26"/>
      <c r="W84" s="26"/>
      <c r="X84" s="26"/>
      <c r="Y84" s="26"/>
      <c r="Z84" s="26"/>
    </row>
    <row r="85" ht="12.75" customHeight="1">
      <c r="A85" s="31"/>
      <c r="B85" s="53"/>
      <c r="C85" s="26"/>
      <c r="D85" s="54"/>
      <c r="E85" s="25"/>
      <c r="F85" s="25"/>
      <c r="G85" s="25"/>
      <c r="H85" s="25"/>
      <c r="I85" s="25"/>
      <c r="J85" s="25"/>
      <c r="K85" s="25"/>
      <c r="L85" s="25"/>
      <c r="M85" s="25"/>
      <c r="N85" s="25"/>
      <c r="O85" s="25"/>
      <c r="P85" s="25"/>
      <c r="Q85" s="26"/>
      <c r="R85" s="26"/>
      <c r="S85" s="26"/>
      <c r="T85" s="26"/>
      <c r="U85" s="26"/>
      <c r="V85" s="26"/>
      <c r="W85" s="26"/>
      <c r="X85" s="26"/>
      <c r="Y85" s="26"/>
      <c r="Z85" s="26"/>
    </row>
    <row r="86" ht="12.75" customHeight="1">
      <c r="A86" s="31"/>
      <c r="B86" s="53"/>
      <c r="C86" s="26"/>
      <c r="D86" s="54"/>
      <c r="E86" s="25"/>
      <c r="F86" s="25"/>
      <c r="G86" s="25"/>
      <c r="H86" s="25"/>
      <c r="I86" s="25"/>
      <c r="J86" s="25"/>
      <c r="K86" s="25"/>
      <c r="L86" s="25"/>
      <c r="M86" s="25"/>
      <c r="N86" s="25"/>
      <c r="O86" s="25"/>
      <c r="P86" s="25"/>
      <c r="Q86" s="26"/>
      <c r="R86" s="26"/>
      <c r="S86" s="26"/>
      <c r="T86" s="26"/>
      <c r="U86" s="26"/>
      <c r="V86" s="26"/>
      <c r="W86" s="26"/>
      <c r="X86" s="26"/>
      <c r="Y86" s="26"/>
      <c r="Z86" s="26"/>
    </row>
    <row r="87" ht="12.75" customHeight="1">
      <c r="A87" s="31"/>
      <c r="B87" s="53"/>
      <c r="C87" s="26"/>
      <c r="D87" s="54"/>
      <c r="E87" s="25"/>
      <c r="F87" s="25"/>
      <c r="G87" s="25"/>
      <c r="H87" s="25"/>
      <c r="I87" s="25"/>
      <c r="J87" s="25"/>
      <c r="K87" s="25"/>
      <c r="L87" s="25"/>
      <c r="M87" s="25"/>
      <c r="N87" s="25"/>
      <c r="O87" s="25"/>
      <c r="P87" s="25"/>
      <c r="Q87" s="26"/>
      <c r="R87" s="26"/>
      <c r="S87" s="26"/>
      <c r="T87" s="26"/>
      <c r="U87" s="26"/>
      <c r="V87" s="26"/>
      <c r="W87" s="26"/>
      <c r="X87" s="26"/>
      <c r="Y87" s="26"/>
      <c r="Z87" s="26"/>
    </row>
    <row r="88" ht="12.75" customHeight="1">
      <c r="A88" s="31"/>
      <c r="B88" s="53"/>
      <c r="C88" s="26"/>
      <c r="D88" s="54"/>
      <c r="E88" s="25"/>
      <c r="F88" s="25"/>
      <c r="G88" s="25"/>
      <c r="H88" s="25"/>
      <c r="I88" s="25"/>
      <c r="J88" s="25"/>
      <c r="K88" s="25"/>
      <c r="L88" s="25"/>
      <c r="M88" s="25"/>
      <c r="N88" s="25"/>
      <c r="O88" s="25"/>
      <c r="P88" s="25"/>
      <c r="Q88" s="26"/>
      <c r="R88" s="26"/>
      <c r="S88" s="26"/>
      <c r="T88" s="26"/>
      <c r="U88" s="26"/>
      <c r="V88" s="26"/>
      <c r="W88" s="26"/>
      <c r="X88" s="26"/>
      <c r="Y88" s="26"/>
      <c r="Z88" s="26"/>
    </row>
    <row r="89" ht="12.75" customHeight="1">
      <c r="A89" s="31"/>
      <c r="B89" s="53"/>
      <c r="C89" s="26"/>
      <c r="D89" s="54"/>
      <c r="E89" s="25"/>
      <c r="F89" s="25"/>
      <c r="G89" s="25"/>
      <c r="H89" s="25"/>
      <c r="I89" s="25"/>
      <c r="J89" s="25"/>
      <c r="K89" s="25"/>
      <c r="L89" s="25"/>
      <c r="M89" s="25"/>
      <c r="N89" s="25"/>
      <c r="O89" s="25"/>
      <c r="P89" s="25"/>
      <c r="Q89" s="26"/>
      <c r="R89" s="26"/>
      <c r="S89" s="26"/>
      <c r="T89" s="26"/>
      <c r="U89" s="26"/>
      <c r="V89" s="26"/>
      <c r="W89" s="26"/>
      <c r="X89" s="26"/>
      <c r="Y89" s="26"/>
      <c r="Z89" s="26"/>
    </row>
    <row r="90" ht="12.75" customHeight="1">
      <c r="A90" s="31"/>
      <c r="B90" s="53"/>
      <c r="C90" s="26"/>
      <c r="D90" s="54"/>
      <c r="E90" s="25"/>
      <c r="F90" s="25"/>
      <c r="G90" s="25"/>
      <c r="H90" s="25"/>
      <c r="I90" s="25"/>
      <c r="J90" s="25"/>
      <c r="K90" s="25"/>
      <c r="L90" s="25"/>
      <c r="M90" s="25"/>
      <c r="N90" s="25"/>
      <c r="O90" s="25"/>
      <c r="P90" s="25"/>
      <c r="Q90" s="26"/>
      <c r="R90" s="26"/>
      <c r="S90" s="26"/>
      <c r="T90" s="26"/>
      <c r="U90" s="26"/>
      <c r="V90" s="26"/>
      <c r="W90" s="26"/>
      <c r="X90" s="26"/>
      <c r="Y90" s="26"/>
      <c r="Z90" s="26"/>
    </row>
    <row r="91" ht="12.75" customHeight="1">
      <c r="A91" s="31"/>
      <c r="B91" s="53"/>
      <c r="C91" s="26"/>
      <c r="D91" s="54"/>
      <c r="E91" s="25"/>
      <c r="F91" s="25"/>
      <c r="G91" s="25"/>
      <c r="H91" s="25"/>
      <c r="I91" s="25"/>
      <c r="J91" s="25"/>
      <c r="K91" s="25"/>
      <c r="L91" s="25"/>
      <c r="M91" s="25"/>
      <c r="N91" s="25"/>
      <c r="O91" s="25"/>
      <c r="P91" s="25"/>
      <c r="Q91" s="26"/>
      <c r="R91" s="26"/>
      <c r="S91" s="26"/>
      <c r="T91" s="26"/>
      <c r="U91" s="26"/>
      <c r="V91" s="26"/>
      <c r="W91" s="26"/>
      <c r="X91" s="26"/>
      <c r="Y91" s="26"/>
      <c r="Z91" s="26"/>
    </row>
    <row r="92" ht="12.75" customHeight="1">
      <c r="A92" s="31"/>
      <c r="B92" s="53"/>
      <c r="C92" s="26"/>
      <c r="D92" s="54"/>
      <c r="E92" s="25"/>
      <c r="F92" s="25"/>
      <c r="G92" s="25"/>
      <c r="H92" s="25"/>
      <c r="I92" s="25"/>
      <c r="J92" s="25"/>
      <c r="K92" s="25"/>
      <c r="L92" s="25"/>
      <c r="M92" s="25"/>
      <c r="N92" s="25"/>
      <c r="O92" s="25"/>
      <c r="P92" s="25"/>
      <c r="Q92" s="26"/>
      <c r="R92" s="26"/>
      <c r="S92" s="26"/>
      <c r="T92" s="26"/>
      <c r="U92" s="26"/>
      <c r="V92" s="26"/>
      <c r="W92" s="26"/>
      <c r="X92" s="26"/>
      <c r="Y92" s="26"/>
      <c r="Z92" s="26"/>
    </row>
    <row r="93" ht="12.75" customHeight="1">
      <c r="A93" s="31"/>
      <c r="B93" s="53"/>
      <c r="C93" s="26"/>
      <c r="D93" s="54"/>
      <c r="E93" s="25"/>
      <c r="F93" s="25"/>
      <c r="G93" s="25"/>
      <c r="H93" s="25"/>
      <c r="I93" s="25"/>
      <c r="J93" s="25"/>
      <c r="K93" s="25"/>
      <c r="L93" s="25"/>
      <c r="M93" s="25"/>
      <c r="N93" s="25"/>
      <c r="O93" s="25"/>
      <c r="P93" s="25"/>
      <c r="Q93" s="26"/>
      <c r="R93" s="26"/>
      <c r="S93" s="26"/>
      <c r="T93" s="26"/>
      <c r="U93" s="26"/>
      <c r="V93" s="26"/>
      <c r="W93" s="26"/>
      <c r="X93" s="26"/>
      <c r="Y93" s="26"/>
      <c r="Z93" s="26"/>
    </row>
    <row r="94" ht="12.75" customHeight="1">
      <c r="A94" s="31"/>
      <c r="B94" s="53"/>
      <c r="C94" s="26"/>
      <c r="D94" s="54"/>
      <c r="E94" s="25"/>
      <c r="F94" s="25"/>
      <c r="G94" s="25"/>
      <c r="H94" s="25"/>
      <c r="I94" s="25"/>
      <c r="J94" s="25"/>
      <c r="K94" s="25"/>
      <c r="L94" s="25"/>
      <c r="M94" s="25"/>
      <c r="N94" s="25"/>
      <c r="O94" s="25"/>
      <c r="P94" s="25"/>
      <c r="Q94" s="26"/>
      <c r="R94" s="26"/>
      <c r="S94" s="26"/>
      <c r="T94" s="26"/>
      <c r="U94" s="26"/>
      <c r="V94" s="26"/>
      <c r="W94" s="26"/>
      <c r="X94" s="26"/>
      <c r="Y94" s="26"/>
      <c r="Z94" s="26"/>
    </row>
    <row r="95" ht="12.75" customHeight="1">
      <c r="A95" s="31"/>
      <c r="B95" s="53"/>
      <c r="C95" s="26"/>
      <c r="D95" s="54"/>
      <c r="E95" s="25"/>
      <c r="F95" s="25"/>
      <c r="G95" s="25"/>
      <c r="H95" s="25"/>
      <c r="I95" s="25"/>
      <c r="J95" s="25"/>
      <c r="K95" s="25"/>
      <c r="L95" s="25"/>
      <c r="M95" s="25"/>
      <c r="N95" s="25"/>
      <c r="O95" s="25"/>
      <c r="P95" s="25"/>
      <c r="Q95" s="26"/>
      <c r="R95" s="26"/>
      <c r="S95" s="26"/>
      <c r="T95" s="26"/>
      <c r="U95" s="26"/>
      <c r="V95" s="26"/>
      <c r="W95" s="26"/>
      <c r="X95" s="26"/>
      <c r="Y95" s="26"/>
      <c r="Z95" s="26"/>
    </row>
    <row r="96" ht="12.75" customHeight="1">
      <c r="A96" s="31"/>
      <c r="B96" s="53"/>
      <c r="C96" s="26"/>
      <c r="D96" s="54"/>
      <c r="E96" s="25"/>
      <c r="F96" s="25"/>
      <c r="G96" s="25"/>
      <c r="H96" s="25"/>
      <c r="I96" s="25"/>
      <c r="J96" s="25"/>
      <c r="K96" s="25"/>
      <c r="L96" s="25"/>
      <c r="M96" s="25"/>
      <c r="N96" s="25"/>
      <c r="O96" s="25"/>
      <c r="P96" s="25"/>
      <c r="Q96" s="26"/>
      <c r="R96" s="26"/>
      <c r="S96" s="26"/>
      <c r="T96" s="26"/>
      <c r="U96" s="26"/>
      <c r="V96" s="26"/>
      <c r="W96" s="26"/>
      <c r="X96" s="26"/>
      <c r="Y96" s="26"/>
      <c r="Z96" s="26"/>
    </row>
    <row r="97" ht="12.75" customHeight="1">
      <c r="A97" s="31"/>
      <c r="B97" s="53"/>
      <c r="C97" s="26"/>
      <c r="D97" s="54"/>
      <c r="E97" s="25"/>
      <c r="F97" s="25"/>
      <c r="G97" s="25"/>
      <c r="H97" s="25"/>
      <c r="I97" s="25"/>
      <c r="J97" s="25"/>
      <c r="K97" s="25"/>
      <c r="L97" s="25"/>
      <c r="M97" s="25"/>
      <c r="N97" s="25"/>
      <c r="O97" s="25"/>
      <c r="P97" s="25"/>
      <c r="Q97" s="26"/>
      <c r="R97" s="26"/>
      <c r="S97" s="26"/>
      <c r="T97" s="26"/>
      <c r="U97" s="26"/>
      <c r="V97" s="26"/>
      <c r="W97" s="26"/>
      <c r="X97" s="26"/>
      <c r="Y97" s="26"/>
      <c r="Z97" s="26"/>
    </row>
    <row r="98" ht="12.75" customHeight="1">
      <c r="A98" s="31"/>
      <c r="B98" s="53"/>
      <c r="C98" s="26"/>
      <c r="D98" s="54"/>
      <c r="E98" s="25"/>
      <c r="F98" s="25"/>
      <c r="G98" s="25"/>
      <c r="H98" s="25"/>
      <c r="I98" s="25"/>
      <c r="J98" s="25"/>
      <c r="K98" s="25"/>
      <c r="L98" s="25"/>
      <c r="M98" s="25"/>
      <c r="N98" s="25"/>
      <c r="O98" s="25"/>
      <c r="P98" s="25"/>
      <c r="Q98" s="26"/>
      <c r="R98" s="26"/>
      <c r="S98" s="26"/>
      <c r="T98" s="26"/>
      <c r="U98" s="26"/>
      <c r="V98" s="26"/>
      <c r="W98" s="26"/>
      <c r="X98" s="26"/>
      <c r="Y98" s="26"/>
      <c r="Z98" s="26"/>
    </row>
    <row r="99" ht="12.75" customHeight="1">
      <c r="A99" s="31"/>
      <c r="B99" s="53"/>
      <c r="C99" s="26"/>
      <c r="D99" s="54"/>
      <c r="E99" s="25"/>
      <c r="F99" s="25"/>
      <c r="G99" s="25"/>
      <c r="H99" s="25"/>
      <c r="I99" s="25"/>
      <c r="J99" s="25"/>
      <c r="K99" s="25"/>
      <c r="L99" s="25"/>
      <c r="M99" s="25"/>
      <c r="N99" s="25"/>
      <c r="O99" s="25"/>
      <c r="P99" s="25"/>
      <c r="Q99" s="26"/>
      <c r="R99" s="26"/>
      <c r="S99" s="26"/>
      <c r="T99" s="26"/>
      <c r="U99" s="26"/>
      <c r="V99" s="26"/>
      <c r="W99" s="26"/>
      <c r="X99" s="26"/>
      <c r="Y99" s="26"/>
      <c r="Z99" s="26"/>
    </row>
    <row r="100" ht="12.75" customHeight="1">
      <c r="A100" s="31"/>
      <c r="B100" s="53"/>
      <c r="C100" s="26"/>
      <c r="D100" s="54"/>
      <c r="E100" s="25"/>
      <c r="F100" s="25"/>
      <c r="G100" s="25"/>
      <c r="H100" s="25"/>
      <c r="I100" s="25"/>
      <c r="J100" s="25"/>
      <c r="K100" s="25"/>
      <c r="L100" s="25"/>
      <c r="M100" s="25"/>
      <c r="N100" s="25"/>
      <c r="O100" s="25"/>
      <c r="P100" s="25"/>
      <c r="Q100" s="26"/>
      <c r="R100" s="26"/>
      <c r="S100" s="26"/>
      <c r="T100" s="26"/>
      <c r="U100" s="26"/>
      <c r="V100" s="26"/>
      <c r="W100" s="26"/>
      <c r="X100" s="26"/>
      <c r="Y100" s="26"/>
      <c r="Z100" s="26"/>
    </row>
    <row r="101" ht="12.75" customHeight="1">
      <c r="A101" s="31"/>
      <c r="B101" s="53"/>
      <c r="C101" s="26"/>
      <c r="D101" s="54"/>
      <c r="E101" s="25"/>
      <c r="F101" s="25"/>
      <c r="G101" s="25"/>
      <c r="H101" s="25"/>
      <c r="I101" s="25"/>
      <c r="J101" s="25"/>
      <c r="K101" s="25"/>
      <c r="L101" s="25"/>
      <c r="M101" s="25"/>
      <c r="N101" s="25"/>
      <c r="O101" s="25"/>
      <c r="P101" s="25"/>
      <c r="Q101" s="26"/>
      <c r="R101" s="26"/>
      <c r="S101" s="26"/>
      <c r="T101" s="26"/>
      <c r="U101" s="26"/>
      <c r="V101" s="26"/>
      <c r="W101" s="26"/>
      <c r="X101" s="26"/>
      <c r="Y101" s="26"/>
      <c r="Z101" s="26"/>
    </row>
    <row r="102" ht="12.75" customHeight="1">
      <c r="A102" s="31"/>
      <c r="B102" s="53"/>
      <c r="C102" s="26"/>
      <c r="D102" s="54"/>
      <c r="E102" s="25"/>
      <c r="F102" s="25"/>
      <c r="G102" s="25"/>
      <c r="H102" s="25"/>
      <c r="I102" s="25"/>
      <c r="J102" s="25"/>
      <c r="K102" s="25"/>
      <c r="L102" s="25"/>
      <c r="M102" s="25"/>
      <c r="N102" s="25"/>
      <c r="O102" s="25"/>
      <c r="P102" s="25"/>
      <c r="Q102" s="26"/>
      <c r="R102" s="26"/>
      <c r="S102" s="26"/>
      <c r="T102" s="26"/>
      <c r="U102" s="26"/>
      <c r="V102" s="26"/>
      <c r="W102" s="26"/>
      <c r="X102" s="26"/>
      <c r="Y102" s="26"/>
      <c r="Z102" s="26"/>
    </row>
    <row r="103" ht="12.75" customHeight="1">
      <c r="A103" s="31"/>
      <c r="B103" s="53"/>
      <c r="C103" s="26"/>
      <c r="D103" s="54"/>
      <c r="E103" s="25"/>
      <c r="F103" s="25"/>
      <c r="G103" s="25"/>
      <c r="H103" s="25"/>
      <c r="I103" s="25"/>
      <c r="J103" s="25"/>
      <c r="K103" s="25"/>
      <c r="L103" s="25"/>
      <c r="M103" s="25"/>
      <c r="N103" s="25"/>
      <c r="O103" s="25"/>
      <c r="P103" s="25"/>
      <c r="Q103" s="26"/>
      <c r="R103" s="26"/>
      <c r="S103" s="26"/>
      <c r="T103" s="26"/>
      <c r="U103" s="26"/>
      <c r="V103" s="26"/>
      <c r="W103" s="26"/>
      <c r="X103" s="26"/>
      <c r="Y103" s="26"/>
      <c r="Z103" s="26"/>
    </row>
    <row r="104" ht="12.75" customHeight="1">
      <c r="A104" s="31"/>
      <c r="B104" s="53"/>
      <c r="C104" s="26"/>
      <c r="D104" s="54"/>
      <c r="E104" s="25"/>
      <c r="F104" s="25"/>
      <c r="G104" s="25"/>
      <c r="H104" s="25"/>
      <c r="I104" s="25"/>
      <c r="J104" s="25"/>
      <c r="K104" s="25"/>
      <c r="L104" s="25"/>
      <c r="M104" s="25"/>
      <c r="N104" s="25"/>
      <c r="O104" s="25"/>
      <c r="P104" s="25"/>
      <c r="Q104" s="26"/>
      <c r="R104" s="26"/>
      <c r="S104" s="26"/>
      <c r="T104" s="26"/>
      <c r="U104" s="26"/>
      <c r="V104" s="26"/>
      <c r="W104" s="26"/>
      <c r="X104" s="26"/>
      <c r="Y104" s="26"/>
      <c r="Z104" s="26"/>
    </row>
    <row r="105" ht="12.75" customHeight="1">
      <c r="A105" s="31"/>
      <c r="B105" s="53"/>
      <c r="C105" s="26"/>
      <c r="D105" s="54"/>
      <c r="E105" s="25"/>
      <c r="F105" s="25"/>
      <c r="G105" s="25"/>
      <c r="H105" s="25"/>
      <c r="I105" s="25"/>
      <c r="J105" s="25"/>
      <c r="K105" s="25"/>
      <c r="L105" s="25"/>
      <c r="M105" s="25"/>
      <c r="N105" s="25"/>
      <c r="O105" s="25"/>
      <c r="P105" s="25"/>
      <c r="Q105" s="26"/>
      <c r="R105" s="26"/>
      <c r="S105" s="26"/>
      <c r="T105" s="26"/>
      <c r="U105" s="26"/>
      <c r="V105" s="26"/>
      <c r="W105" s="26"/>
      <c r="X105" s="26"/>
      <c r="Y105" s="26"/>
      <c r="Z105" s="26"/>
    </row>
    <row r="106" ht="12.75" customHeight="1">
      <c r="A106" s="31"/>
      <c r="B106" s="53"/>
      <c r="C106" s="26"/>
      <c r="D106" s="54"/>
      <c r="E106" s="25"/>
      <c r="F106" s="25"/>
      <c r="G106" s="25"/>
      <c r="H106" s="25"/>
      <c r="I106" s="25"/>
      <c r="J106" s="25"/>
      <c r="K106" s="25"/>
      <c r="L106" s="25"/>
      <c r="M106" s="25"/>
      <c r="N106" s="25"/>
      <c r="O106" s="25"/>
      <c r="P106" s="25"/>
      <c r="Q106" s="26"/>
      <c r="R106" s="26"/>
      <c r="S106" s="26"/>
      <c r="T106" s="26"/>
      <c r="U106" s="26"/>
      <c r="V106" s="26"/>
      <c r="W106" s="26"/>
      <c r="X106" s="26"/>
      <c r="Y106" s="26"/>
      <c r="Z106" s="26"/>
    </row>
    <row r="107" ht="12.75" customHeight="1">
      <c r="A107" s="31"/>
      <c r="B107" s="53"/>
      <c r="C107" s="26"/>
      <c r="D107" s="54"/>
      <c r="E107" s="25"/>
      <c r="F107" s="25"/>
      <c r="G107" s="25"/>
      <c r="H107" s="25"/>
      <c r="I107" s="25"/>
      <c r="J107" s="25"/>
      <c r="K107" s="25"/>
      <c r="L107" s="25"/>
      <c r="M107" s="25"/>
      <c r="N107" s="25"/>
      <c r="O107" s="25"/>
      <c r="P107" s="25"/>
      <c r="Q107" s="26"/>
      <c r="R107" s="26"/>
      <c r="S107" s="26"/>
      <c r="T107" s="26"/>
      <c r="U107" s="26"/>
      <c r="V107" s="26"/>
      <c r="W107" s="26"/>
      <c r="X107" s="26"/>
      <c r="Y107" s="26"/>
      <c r="Z107" s="26"/>
    </row>
    <row r="108" ht="12.75" customHeight="1">
      <c r="A108" s="31"/>
      <c r="B108" s="53"/>
      <c r="C108" s="26"/>
      <c r="D108" s="54"/>
      <c r="E108" s="25"/>
      <c r="F108" s="25"/>
      <c r="G108" s="25"/>
      <c r="H108" s="25"/>
      <c r="I108" s="25"/>
      <c r="J108" s="25"/>
      <c r="K108" s="25"/>
      <c r="L108" s="25"/>
      <c r="M108" s="25"/>
      <c r="N108" s="25"/>
      <c r="O108" s="25"/>
      <c r="P108" s="25"/>
      <c r="Q108" s="26"/>
      <c r="R108" s="26"/>
      <c r="S108" s="26"/>
      <c r="T108" s="26"/>
      <c r="U108" s="26"/>
      <c r="V108" s="26"/>
      <c r="W108" s="26"/>
      <c r="X108" s="26"/>
      <c r="Y108" s="26"/>
      <c r="Z108" s="26"/>
    </row>
    <row r="109" ht="12.75" customHeight="1">
      <c r="A109" s="31"/>
      <c r="B109" s="53"/>
      <c r="C109" s="26"/>
      <c r="D109" s="54"/>
      <c r="E109" s="25"/>
      <c r="F109" s="25"/>
      <c r="G109" s="25"/>
      <c r="H109" s="25"/>
      <c r="I109" s="25"/>
      <c r="J109" s="25"/>
      <c r="K109" s="25"/>
      <c r="L109" s="25"/>
      <c r="M109" s="25"/>
      <c r="N109" s="25"/>
      <c r="O109" s="25"/>
      <c r="P109" s="25"/>
      <c r="Q109" s="26"/>
      <c r="R109" s="26"/>
      <c r="S109" s="26"/>
      <c r="T109" s="26"/>
      <c r="U109" s="26"/>
      <c r="V109" s="26"/>
      <c r="W109" s="26"/>
      <c r="X109" s="26"/>
      <c r="Y109" s="26"/>
      <c r="Z109" s="26"/>
    </row>
    <row r="110" ht="12.75" customHeight="1">
      <c r="A110" s="31"/>
      <c r="B110" s="53"/>
      <c r="C110" s="26"/>
      <c r="D110" s="54"/>
      <c r="E110" s="25"/>
      <c r="F110" s="25"/>
      <c r="G110" s="25"/>
      <c r="H110" s="25"/>
      <c r="I110" s="25"/>
      <c r="J110" s="25"/>
      <c r="K110" s="25"/>
      <c r="L110" s="25"/>
      <c r="M110" s="25"/>
      <c r="N110" s="25"/>
      <c r="O110" s="25"/>
      <c r="P110" s="25"/>
      <c r="Q110" s="26"/>
      <c r="R110" s="26"/>
      <c r="S110" s="26"/>
      <c r="T110" s="26"/>
      <c r="U110" s="26"/>
      <c r="V110" s="26"/>
      <c r="W110" s="26"/>
      <c r="X110" s="26"/>
      <c r="Y110" s="26"/>
      <c r="Z110" s="26"/>
    </row>
    <row r="111" ht="12.75" customHeight="1">
      <c r="A111" s="31"/>
      <c r="B111" s="53"/>
      <c r="C111" s="26"/>
      <c r="D111" s="54"/>
      <c r="E111" s="25"/>
      <c r="F111" s="25"/>
      <c r="G111" s="25"/>
      <c r="H111" s="25"/>
      <c r="I111" s="25"/>
      <c r="J111" s="25"/>
      <c r="K111" s="25"/>
      <c r="L111" s="25"/>
      <c r="M111" s="25"/>
      <c r="N111" s="25"/>
      <c r="O111" s="25"/>
      <c r="P111" s="25"/>
      <c r="Q111" s="26"/>
      <c r="R111" s="26"/>
      <c r="S111" s="26"/>
      <c r="T111" s="26"/>
      <c r="U111" s="26"/>
      <c r="V111" s="26"/>
      <c r="W111" s="26"/>
      <c r="X111" s="26"/>
      <c r="Y111" s="26"/>
      <c r="Z111" s="26"/>
    </row>
    <row r="112" ht="12.75" customHeight="1">
      <c r="A112" s="31"/>
      <c r="B112" s="53"/>
      <c r="C112" s="26"/>
      <c r="D112" s="54"/>
      <c r="E112" s="25"/>
      <c r="F112" s="25"/>
      <c r="G112" s="25"/>
      <c r="H112" s="25"/>
      <c r="I112" s="25"/>
      <c r="J112" s="25"/>
      <c r="K112" s="25"/>
      <c r="L112" s="25"/>
      <c r="M112" s="25"/>
      <c r="N112" s="25"/>
      <c r="O112" s="25"/>
      <c r="P112" s="25"/>
      <c r="Q112" s="26"/>
      <c r="R112" s="26"/>
      <c r="S112" s="26"/>
      <c r="T112" s="26"/>
      <c r="U112" s="26"/>
      <c r="V112" s="26"/>
      <c r="W112" s="26"/>
      <c r="X112" s="26"/>
      <c r="Y112" s="26"/>
      <c r="Z112" s="26"/>
    </row>
    <row r="113" ht="12.75" customHeight="1">
      <c r="A113" s="31"/>
      <c r="B113" s="53"/>
      <c r="C113" s="26"/>
      <c r="D113" s="54"/>
      <c r="E113" s="25"/>
      <c r="F113" s="25"/>
      <c r="G113" s="25"/>
      <c r="H113" s="25"/>
      <c r="I113" s="25"/>
      <c r="J113" s="25"/>
      <c r="K113" s="25"/>
      <c r="L113" s="25"/>
      <c r="M113" s="25"/>
      <c r="N113" s="25"/>
      <c r="O113" s="25"/>
      <c r="P113" s="25"/>
      <c r="Q113" s="26"/>
      <c r="R113" s="26"/>
      <c r="S113" s="26"/>
      <c r="T113" s="26"/>
      <c r="U113" s="26"/>
      <c r="V113" s="26"/>
      <c r="W113" s="26"/>
      <c r="X113" s="26"/>
      <c r="Y113" s="26"/>
      <c r="Z113" s="26"/>
    </row>
    <row r="114" ht="12.75" customHeight="1">
      <c r="A114" s="31"/>
      <c r="B114" s="53"/>
      <c r="C114" s="26"/>
      <c r="D114" s="54"/>
      <c r="E114" s="25"/>
      <c r="F114" s="25"/>
      <c r="G114" s="25"/>
      <c r="H114" s="25"/>
      <c r="I114" s="25"/>
      <c r="J114" s="25"/>
      <c r="K114" s="25"/>
      <c r="L114" s="25"/>
      <c r="M114" s="25"/>
      <c r="N114" s="25"/>
      <c r="O114" s="25"/>
      <c r="P114" s="25"/>
      <c r="Q114" s="26"/>
      <c r="R114" s="26"/>
      <c r="S114" s="26"/>
      <c r="T114" s="26"/>
      <c r="U114" s="26"/>
      <c r="V114" s="26"/>
      <c r="W114" s="26"/>
      <c r="X114" s="26"/>
      <c r="Y114" s="26"/>
      <c r="Z114" s="26"/>
    </row>
    <row r="115" ht="12.75" customHeight="1">
      <c r="A115" s="31"/>
      <c r="B115" s="53"/>
      <c r="C115" s="26"/>
      <c r="D115" s="54"/>
      <c r="E115" s="25"/>
      <c r="F115" s="25"/>
      <c r="G115" s="25"/>
      <c r="H115" s="25"/>
      <c r="I115" s="25"/>
      <c r="J115" s="25"/>
      <c r="K115" s="25"/>
      <c r="L115" s="25"/>
      <c r="M115" s="25"/>
      <c r="N115" s="25"/>
      <c r="O115" s="25"/>
      <c r="P115" s="25"/>
      <c r="Q115" s="26"/>
      <c r="R115" s="26"/>
      <c r="S115" s="26"/>
      <c r="T115" s="26"/>
      <c r="U115" s="26"/>
      <c r="V115" s="26"/>
      <c r="W115" s="26"/>
      <c r="X115" s="26"/>
      <c r="Y115" s="26"/>
      <c r="Z115" s="26"/>
    </row>
    <row r="116" ht="12.75" customHeight="1">
      <c r="A116" s="31"/>
      <c r="B116" s="53"/>
      <c r="C116" s="26"/>
      <c r="D116" s="54"/>
      <c r="E116" s="25"/>
      <c r="F116" s="25"/>
      <c r="G116" s="25"/>
      <c r="H116" s="25"/>
      <c r="I116" s="25"/>
      <c r="J116" s="25"/>
      <c r="K116" s="25"/>
      <c r="L116" s="25"/>
      <c r="M116" s="25"/>
      <c r="N116" s="25"/>
      <c r="O116" s="25"/>
      <c r="P116" s="25"/>
      <c r="Q116" s="26"/>
      <c r="R116" s="26"/>
      <c r="S116" s="26"/>
      <c r="T116" s="26"/>
      <c r="U116" s="26"/>
      <c r="V116" s="26"/>
      <c r="W116" s="26"/>
      <c r="X116" s="26"/>
      <c r="Y116" s="26"/>
      <c r="Z116" s="26"/>
    </row>
    <row r="117" ht="12.75" customHeight="1">
      <c r="A117" s="31"/>
      <c r="B117" s="53"/>
      <c r="C117" s="26"/>
      <c r="D117" s="54"/>
      <c r="E117" s="25"/>
      <c r="F117" s="25"/>
      <c r="G117" s="25"/>
      <c r="H117" s="25"/>
      <c r="I117" s="25"/>
      <c r="J117" s="25"/>
      <c r="K117" s="25"/>
      <c r="L117" s="25"/>
      <c r="M117" s="25"/>
      <c r="N117" s="25"/>
      <c r="O117" s="25"/>
      <c r="P117" s="25"/>
      <c r="Q117" s="26"/>
      <c r="R117" s="26"/>
      <c r="S117" s="26"/>
      <c r="T117" s="26"/>
      <c r="U117" s="26"/>
      <c r="V117" s="26"/>
      <c r="W117" s="26"/>
      <c r="X117" s="26"/>
      <c r="Y117" s="26"/>
      <c r="Z117" s="26"/>
    </row>
    <row r="118" ht="12.75" customHeight="1">
      <c r="A118" s="31"/>
      <c r="B118" s="53"/>
      <c r="C118" s="26"/>
      <c r="D118" s="54"/>
      <c r="E118" s="25"/>
      <c r="F118" s="25"/>
      <c r="G118" s="25"/>
      <c r="H118" s="25"/>
      <c r="I118" s="25"/>
      <c r="J118" s="25"/>
      <c r="K118" s="25"/>
      <c r="L118" s="25"/>
      <c r="M118" s="25"/>
      <c r="N118" s="25"/>
      <c r="O118" s="25"/>
      <c r="P118" s="25"/>
      <c r="Q118" s="26"/>
      <c r="R118" s="26"/>
      <c r="S118" s="26"/>
      <c r="T118" s="26"/>
      <c r="U118" s="26"/>
      <c r="V118" s="26"/>
      <c r="W118" s="26"/>
      <c r="X118" s="26"/>
      <c r="Y118" s="26"/>
      <c r="Z118" s="26"/>
    </row>
    <row r="119" ht="12.75" customHeight="1">
      <c r="A119" s="31"/>
      <c r="B119" s="53"/>
      <c r="C119" s="26"/>
      <c r="D119" s="54"/>
      <c r="E119" s="25"/>
      <c r="F119" s="25"/>
      <c r="G119" s="25"/>
      <c r="H119" s="25"/>
      <c r="I119" s="25"/>
      <c r="J119" s="25"/>
      <c r="K119" s="25"/>
      <c r="L119" s="25"/>
      <c r="M119" s="25"/>
      <c r="N119" s="25"/>
      <c r="O119" s="25"/>
      <c r="P119" s="25"/>
      <c r="Q119" s="26"/>
      <c r="R119" s="26"/>
      <c r="S119" s="26"/>
      <c r="T119" s="26"/>
      <c r="U119" s="26"/>
      <c r="V119" s="26"/>
      <c r="W119" s="26"/>
      <c r="X119" s="26"/>
      <c r="Y119" s="26"/>
      <c r="Z119" s="26"/>
    </row>
    <row r="120" ht="12.75" customHeight="1">
      <c r="A120" s="31"/>
      <c r="B120" s="53"/>
      <c r="C120" s="26"/>
      <c r="D120" s="54"/>
      <c r="E120" s="25"/>
      <c r="F120" s="25"/>
      <c r="G120" s="25"/>
      <c r="H120" s="25"/>
      <c r="I120" s="25"/>
      <c r="J120" s="25"/>
      <c r="K120" s="25"/>
      <c r="L120" s="25"/>
      <c r="M120" s="25"/>
      <c r="N120" s="25"/>
      <c r="O120" s="25"/>
      <c r="P120" s="25"/>
      <c r="Q120" s="26"/>
      <c r="R120" s="26"/>
      <c r="S120" s="26"/>
      <c r="T120" s="26"/>
      <c r="U120" s="26"/>
      <c r="V120" s="26"/>
      <c r="W120" s="26"/>
      <c r="X120" s="26"/>
      <c r="Y120" s="26"/>
      <c r="Z120" s="26"/>
    </row>
    <row r="121" ht="12.75" customHeight="1">
      <c r="A121" s="31"/>
      <c r="B121" s="53"/>
      <c r="C121" s="26"/>
      <c r="D121" s="54"/>
      <c r="E121" s="25"/>
      <c r="F121" s="25"/>
      <c r="G121" s="25"/>
      <c r="H121" s="25"/>
      <c r="I121" s="25"/>
      <c r="J121" s="25"/>
      <c r="K121" s="25"/>
      <c r="L121" s="25"/>
      <c r="M121" s="25"/>
      <c r="N121" s="25"/>
      <c r="O121" s="25"/>
      <c r="P121" s="25"/>
      <c r="Q121" s="26"/>
      <c r="R121" s="26"/>
      <c r="S121" s="26"/>
      <c r="T121" s="26"/>
      <c r="U121" s="26"/>
      <c r="V121" s="26"/>
      <c r="W121" s="26"/>
      <c r="X121" s="26"/>
      <c r="Y121" s="26"/>
      <c r="Z121" s="26"/>
    </row>
    <row r="122" ht="12.75" customHeight="1">
      <c r="A122" s="31"/>
      <c r="B122" s="53"/>
      <c r="C122" s="26"/>
      <c r="D122" s="54"/>
      <c r="E122" s="25"/>
      <c r="F122" s="25"/>
      <c r="G122" s="25"/>
      <c r="H122" s="25"/>
      <c r="I122" s="25"/>
      <c r="J122" s="25"/>
      <c r="K122" s="25"/>
      <c r="L122" s="25"/>
      <c r="M122" s="25"/>
      <c r="N122" s="25"/>
      <c r="O122" s="25"/>
      <c r="P122" s="25"/>
      <c r="Q122" s="26"/>
      <c r="R122" s="26"/>
      <c r="S122" s="26"/>
      <c r="T122" s="26"/>
      <c r="U122" s="26"/>
      <c r="V122" s="26"/>
      <c r="W122" s="26"/>
      <c r="X122" s="26"/>
      <c r="Y122" s="26"/>
      <c r="Z122" s="26"/>
    </row>
    <row r="123" ht="12.75" customHeight="1">
      <c r="A123" s="31"/>
      <c r="B123" s="53"/>
      <c r="C123" s="26"/>
      <c r="D123" s="54"/>
      <c r="E123" s="25"/>
      <c r="F123" s="25"/>
      <c r="G123" s="25"/>
      <c r="H123" s="25"/>
      <c r="I123" s="25"/>
      <c r="J123" s="25"/>
      <c r="K123" s="25"/>
      <c r="L123" s="25"/>
      <c r="M123" s="25"/>
      <c r="N123" s="25"/>
      <c r="O123" s="25"/>
      <c r="P123" s="25"/>
      <c r="Q123" s="26"/>
      <c r="R123" s="26"/>
      <c r="S123" s="26"/>
      <c r="T123" s="26"/>
      <c r="U123" s="26"/>
      <c r="V123" s="26"/>
      <c r="W123" s="26"/>
      <c r="X123" s="26"/>
      <c r="Y123" s="26"/>
      <c r="Z123" s="26"/>
    </row>
    <row r="124" ht="12.75" customHeight="1">
      <c r="A124" s="31"/>
      <c r="B124" s="53"/>
      <c r="C124" s="26"/>
      <c r="D124" s="54"/>
      <c r="E124" s="25"/>
      <c r="F124" s="25"/>
      <c r="G124" s="25"/>
      <c r="H124" s="25"/>
      <c r="I124" s="25"/>
      <c r="J124" s="25"/>
      <c r="K124" s="25"/>
      <c r="L124" s="25"/>
      <c r="M124" s="25"/>
      <c r="N124" s="25"/>
      <c r="O124" s="25"/>
      <c r="P124" s="25"/>
      <c r="Q124" s="26"/>
      <c r="R124" s="26"/>
      <c r="S124" s="26"/>
      <c r="T124" s="26"/>
      <c r="U124" s="26"/>
      <c r="V124" s="26"/>
      <c r="W124" s="26"/>
      <c r="X124" s="26"/>
      <c r="Y124" s="26"/>
      <c r="Z124" s="26"/>
    </row>
    <row r="125" ht="12.75" customHeight="1">
      <c r="A125" s="31"/>
      <c r="B125" s="53"/>
      <c r="C125" s="26"/>
      <c r="D125" s="54"/>
      <c r="E125" s="25"/>
      <c r="F125" s="25"/>
      <c r="G125" s="25"/>
      <c r="H125" s="25"/>
      <c r="I125" s="25"/>
      <c r="J125" s="25"/>
      <c r="K125" s="25"/>
      <c r="L125" s="25"/>
      <c r="M125" s="25"/>
      <c r="N125" s="25"/>
      <c r="O125" s="25"/>
      <c r="P125" s="25"/>
      <c r="Q125" s="26"/>
      <c r="R125" s="26"/>
      <c r="S125" s="26"/>
      <c r="T125" s="26"/>
      <c r="U125" s="26"/>
      <c r="V125" s="26"/>
      <c r="W125" s="26"/>
      <c r="X125" s="26"/>
      <c r="Y125" s="26"/>
      <c r="Z125" s="26"/>
    </row>
    <row r="126" ht="12.75" customHeight="1">
      <c r="A126" s="31"/>
      <c r="B126" s="53"/>
      <c r="C126" s="26"/>
      <c r="D126" s="54"/>
      <c r="E126" s="25"/>
      <c r="F126" s="25"/>
      <c r="G126" s="25"/>
      <c r="H126" s="25"/>
      <c r="I126" s="25"/>
      <c r="J126" s="25"/>
      <c r="K126" s="25"/>
      <c r="L126" s="25"/>
      <c r="M126" s="25"/>
      <c r="N126" s="25"/>
      <c r="O126" s="25"/>
      <c r="P126" s="25"/>
      <c r="Q126" s="26"/>
      <c r="R126" s="26"/>
      <c r="S126" s="26"/>
      <c r="T126" s="26"/>
      <c r="U126" s="26"/>
      <c r="V126" s="26"/>
      <c r="W126" s="26"/>
      <c r="X126" s="26"/>
      <c r="Y126" s="26"/>
      <c r="Z126" s="26"/>
    </row>
    <row r="127" ht="12.75" customHeight="1">
      <c r="A127" s="31"/>
      <c r="B127" s="53"/>
      <c r="C127" s="26"/>
      <c r="D127" s="54"/>
      <c r="E127" s="25"/>
      <c r="F127" s="25"/>
      <c r="G127" s="25"/>
      <c r="H127" s="25"/>
      <c r="I127" s="25"/>
      <c r="J127" s="25"/>
      <c r="K127" s="25"/>
      <c r="L127" s="25"/>
      <c r="M127" s="25"/>
      <c r="N127" s="25"/>
      <c r="O127" s="25"/>
      <c r="P127" s="25"/>
      <c r="Q127" s="26"/>
      <c r="R127" s="26"/>
      <c r="S127" s="26"/>
      <c r="T127" s="26"/>
      <c r="U127" s="26"/>
      <c r="V127" s="26"/>
      <c r="W127" s="26"/>
      <c r="X127" s="26"/>
      <c r="Y127" s="26"/>
      <c r="Z127" s="26"/>
    </row>
    <row r="128" ht="12.75" customHeight="1">
      <c r="A128" s="31"/>
      <c r="B128" s="53"/>
      <c r="C128" s="26"/>
      <c r="D128" s="54"/>
      <c r="E128" s="25"/>
      <c r="F128" s="25"/>
      <c r="G128" s="25"/>
      <c r="H128" s="25"/>
      <c r="I128" s="25"/>
      <c r="J128" s="25"/>
      <c r="K128" s="25"/>
      <c r="L128" s="25"/>
      <c r="M128" s="25"/>
      <c r="N128" s="25"/>
      <c r="O128" s="25"/>
      <c r="P128" s="25"/>
      <c r="Q128" s="26"/>
      <c r="R128" s="26"/>
      <c r="S128" s="26"/>
      <c r="T128" s="26"/>
      <c r="U128" s="26"/>
      <c r="V128" s="26"/>
      <c r="W128" s="26"/>
      <c r="X128" s="26"/>
      <c r="Y128" s="26"/>
      <c r="Z128" s="26"/>
    </row>
    <row r="129" ht="12.75" customHeight="1">
      <c r="A129" s="31"/>
      <c r="B129" s="53"/>
      <c r="C129" s="26"/>
      <c r="D129" s="54"/>
      <c r="E129" s="25"/>
      <c r="F129" s="25"/>
      <c r="G129" s="25"/>
      <c r="H129" s="25"/>
      <c r="I129" s="25"/>
      <c r="J129" s="25"/>
      <c r="K129" s="25"/>
      <c r="L129" s="25"/>
      <c r="M129" s="25"/>
      <c r="N129" s="25"/>
      <c r="O129" s="25"/>
      <c r="P129" s="25"/>
      <c r="Q129" s="26"/>
      <c r="R129" s="26"/>
      <c r="S129" s="26"/>
      <c r="T129" s="26"/>
      <c r="U129" s="26"/>
      <c r="V129" s="26"/>
      <c r="W129" s="26"/>
      <c r="X129" s="26"/>
      <c r="Y129" s="26"/>
      <c r="Z129" s="26"/>
    </row>
    <row r="130" ht="12.75" customHeight="1">
      <c r="A130" s="31"/>
      <c r="B130" s="53"/>
      <c r="C130" s="26"/>
      <c r="D130" s="54"/>
      <c r="E130" s="25"/>
      <c r="F130" s="25"/>
      <c r="G130" s="25"/>
      <c r="H130" s="25"/>
      <c r="I130" s="25"/>
      <c r="J130" s="25"/>
      <c r="K130" s="25"/>
      <c r="L130" s="25"/>
      <c r="M130" s="25"/>
      <c r="N130" s="25"/>
      <c r="O130" s="25"/>
      <c r="P130" s="25"/>
      <c r="Q130" s="26"/>
      <c r="R130" s="26"/>
      <c r="S130" s="26"/>
      <c r="T130" s="26"/>
      <c r="U130" s="26"/>
      <c r="V130" s="26"/>
      <c r="W130" s="26"/>
      <c r="X130" s="26"/>
      <c r="Y130" s="26"/>
      <c r="Z130" s="26"/>
    </row>
    <row r="131" ht="12.75" customHeight="1">
      <c r="A131" s="31"/>
      <c r="B131" s="53"/>
      <c r="C131" s="26"/>
      <c r="D131" s="54"/>
      <c r="E131" s="25"/>
      <c r="F131" s="25"/>
      <c r="G131" s="25"/>
      <c r="H131" s="25"/>
      <c r="I131" s="25"/>
      <c r="J131" s="25"/>
      <c r="K131" s="25"/>
      <c r="L131" s="25"/>
      <c r="M131" s="25"/>
      <c r="N131" s="25"/>
      <c r="O131" s="25"/>
      <c r="P131" s="25"/>
      <c r="Q131" s="26"/>
      <c r="R131" s="26"/>
      <c r="S131" s="26"/>
      <c r="T131" s="26"/>
      <c r="U131" s="26"/>
      <c r="V131" s="26"/>
      <c r="W131" s="26"/>
      <c r="X131" s="26"/>
      <c r="Y131" s="26"/>
      <c r="Z131" s="26"/>
    </row>
    <row r="132" ht="12.75" customHeight="1">
      <c r="A132" s="31"/>
      <c r="B132" s="53"/>
      <c r="C132" s="26"/>
      <c r="D132" s="54"/>
      <c r="E132" s="25"/>
      <c r="F132" s="25"/>
      <c r="G132" s="25"/>
      <c r="H132" s="25"/>
      <c r="I132" s="25"/>
      <c r="J132" s="25"/>
      <c r="K132" s="25"/>
      <c r="L132" s="25"/>
      <c r="M132" s="25"/>
      <c r="N132" s="25"/>
      <c r="O132" s="25"/>
      <c r="P132" s="25"/>
      <c r="Q132" s="26"/>
      <c r="R132" s="26"/>
      <c r="S132" s="26"/>
      <c r="T132" s="26"/>
      <c r="U132" s="26"/>
      <c r="V132" s="26"/>
      <c r="W132" s="26"/>
      <c r="X132" s="26"/>
      <c r="Y132" s="26"/>
      <c r="Z132" s="26"/>
    </row>
    <row r="133" ht="12.75" customHeight="1">
      <c r="A133" s="31"/>
      <c r="B133" s="53"/>
      <c r="C133" s="26"/>
      <c r="D133" s="54"/>
      <c r="E133" s="25"/>
      <c r="F133" s="25"/>
      <c r="G133" s="25"/>
      <c r="H133" s="25"/>
      <c r="I133" s="25"/>
      <c r="J133" s="25"/>
      <c r="K133" s="25"/>
      <c r="L133" s="25"/>
      <c r="M133" s="25"/>
      <c r="N133" s="25"/>
      <c r="O133" s="25"/>
      <c r="P133" s="25"/>
      <c r="Q133" s="26"/>
      <c r="R133" s="26"/>
      <c r="S133" s="26"/>
      <c r="T133" s="26"/>
      <c r="U133" s="26"/>
      <c r="V133" s="26"/>
      <c r="W133" s="26"/>
      <c r="X133" s="26"/>
      <c r="Y133" s="26"/>
      <c r="Z133" s="26"/>
    </row>
    <row r="134" ht="12.75" customHeight="1">
      <c r="A134" s="31"/>
      <c r="B134" s="53"/>
      <c r="C134" s="26"/>
      <c r="D134" s="54"/>
      <c r="E134" s="25"/>
      <c r="F134" s="25"/>
      <c r="G134" s="25"/>
      <c r="H134" s="25"/>
      <c r="I134" s="25"/>
      <c r="J134" s="25"/>
      <c r="K134" s="25"/>
      <c r="L134" s="25"/>
      <c r="M134" s="25"/>
      <c r="N134" s="25"/>
      <c r="O134" s="25"/>
      <c r="P134" s="25"/>
      <c r="Q134" s="26"/>
      <c r="R134" s="26"/>
      <c r="S134" s="26"/>
      <c r="T134" s="26"/>
      <c r="U134" s="26"/>
      <c r="V134" s="26"/>
      <c r="W134" s="26"/>
      <c r="X134" s="26"/>
      <c r="Y134" s="26"/>
      <c r="Z134" s="26"/>
    </row>
    <row r="135" ht="12.75" customHeight="1">
      <c r="A135" s="31"/>
      <c r="B135" s="53"/>
      <c r="C135" s="26"/>
      <c r="D135" s="54"/>
      <c r="E135" s="25"/>
      <c r="F135" s="25"/>
      <c r="G135" s="25"/>
      <c r="H135" s="25"/>
      <c r="I135" s="25"/>
      <c r="J135" s="25"/>
      <c r="K135" s="25"/>
      <c r="L135" s="25"/>
      <c r="M135" s="25"/>
      <c r="N135" s="25"/>
      <c r="O135" s="25"/>
      <c r="P135" s="25"/>
      <c r="Q135" s="26"/>
      <c r="R135" s="26"/>
      <c r="S135" s="26"/>
      <c r="T135" s="26"/>
      <c r="U135" s="26"/>
      <c r="V135" s="26"/>
      <c r="W135" s="26"/>
      <c r="X135" s="26"/>
      <c r="Y135" s="26"/>
      <c r="Z135" s="26"/>
    </row>
    <row r="136" ht="12.75" customHeight="1">
      <c r="A136" s="31"/>
      <c r="B136" s="53"/>
      <c r="C136" s="26"/>
      <c r="D136" s="54"/>
      <c r="E136" s="25"/>
      <c r="F136" s="25"/>
      <c r="G136" s="25"/>
      <c r="H136" s="25"/>
      <c r="I136" s="25"/>
      <c r="J136" s="25"/>
      <c r="K136" s="25"/>
      <c r="L136" s="25"/>
      <c r="M136" s="25"/>
      <c r="N136" s="25"/>
      <c r="O136" s="25"/>
      <c r="P136" s="25"/>
      <c r="Q136" s="26"/>
      <c r="R136" s="26"/>
      <c r="S136" s="26"/>
      <c r="T136" s="26"/>
      <c r="U136" s="26"/>
      <c r="V136" s="26"/>
      <c r="W136" s="26"/>
      <c r="X136" s="26"/>
      <c r="Y136" s="26"/>
      <c r="Z136" s="26"/>
    </row>
    <row r="137" ht="12.75" customHeight="1">
      <c r="A137" s="31"/>
      <c r="B137" s="53"/>
      <c r="C137" s="26"/>
      <c r="D137" s="54"/>
      <c r="E137" s="25"/>
      <c r="F137" s="25"/>
      <c r="G137" s="25"/>
      <c r="H137" s="25"/>
      <c r="I137" s="25"/>
      <c r="J137" s="25"/>
      <c r="K137" s="25"/>
      <c r="L137" s="25"/>
      <c r="M137" s="25"/>
      <c r="N137" s="25"/>
      <c r="O137" s="25"/>
      <c r="P137" s="25"/>
      <c r="Q137" s="26"/>
      <c r="R137" s="26"/>
      <c r="S137" s="26"/>
      <c r="T137" s="26"/>
      <c r="U137" s="26"/>
      <c r="V137" s="26"/>
      <c r="W137" s="26"/>
      <c r="X137" s="26"/>
      <c r="Y137" s="26"/>
      <c r="Z137" s="26"/>
    </row>
    <row r="138" ht="12.75" customHeight="1">
      <c r="A138" s="31"/>
      <c r="B138" s="53"/>
      <c r="C138" s="26"/>
      <c r="D138" s="54"/>
      <c r="E138" s="25"/>
      <c r="F138" s="25"/>
      <c r="G138" s="25"/>
      <c r="H138" s="25"/>
      <c r="I138" s="25"/>
      <c r="J138" s="25"/>
      <c r="K138" s="25"/>
      <c r="L138" s="25"/>
      <c r="M138" s="25"/>
      <c r="N138" s="25"/>
      <c r="O138" s="25"/>
      <c r="P138" s="25"/>
      <c r="Q138" s="26"/>
      <c r="R138" s="26"/>
      <c r="S138" s="26"/>
      <c r="T138" s="26"/>
      <c r="U138" s="26"/>
      <c r="V138" s="26"/>
      <c r="W138" s="26"/>
      <c r="X138" s="26"/>
      <c r="Y138" s="26"/>
      <c r="Z138" s="26"/>
    </row>
    <row r="139" ht="12.75" customHeight="1">
      <c r="A139" s="31"/>
      <c r="B139" s="53"/>
      <c r="C139" s="26"/>
      <c r="D139" s="54"/>
      <c r="E139" s="25"/>
      <c r="F139" s="25"/>
      <c r="G139" s="25"/>
      <c r="H139" s="25"/>
      <c r="I139" s="25"/>
      <c r="J139" s="25"/>
      <c r="K139" s="25"/>
      <c r="L139" s="25"/>
      <c r="M139" s="25"/>
      <c r="N139" s="25"/>
      <c r="O139" s="25"/>
      <c r="P139" s="25"/>
      <c r="Q139" s="26"/>
      <c r="R139" s="26"/>
      <c r="S139" s="26"/>
      <c r="T139" s="26"/>
      <c r="U139" s="26"/>
      <c r="V139" s="26"/>
      <c r="W139" s="26"/>
      <c r="X139" s="26"/>
      <c r="Y139" s="26"/>
      <c r="Z139" s="26"/>
    </row>
    <row r="140" ht="12.75" customHeight="1">
      <c r="A140" s="31"/>
      <c r="B140" s="53"/>
      <c r="C140" s="26"/>
      <c r="D140" s="54"/>
      <c r="E140" s="25"/>
      <c r="F140" s="25"/>
      <c r="G140" s="25"/>
      <c r="H140" s="25"/>
      <c r="I140" s="25"/>
      <c r="J140" s="25"/>
      <c r="K140" s="25"/>
      <c r="L140" s="25"/>
      <c r="M140" s="25"/>
      <c r="N140" s="25"/>
      <c r="O140" s="25"/>
      <c r="P140" s="25"/>
      <c r="Q140" s="26"/>
      <c r="R140" s="26"/>
      <c r="S140" s="26"/>
      <c r="T140" s="26"/>
      <c r="U140" s="26"/>
      <c r="V140" s="26"/>
      <c r="W140" s="26"/>
      <c r="X140" s="26"/>
      <c r="Y140" s="26"/>
      <c r="Z140" s="26"/>
    </row>
    <row r="141" ht="12.75" customHeight="1">
      <c r="A141" s="31"/>
      <c r="B141" s="53"/>
      <c r="C141" s="26"/>
      <c r="D141" s="54"/>
      <c r="E141" s="25"/>
      <c r="F141" s="25"/>
      <c r="G141" s="25"/>
      <c r="H141" s="25"/>
      <c r="I141" s="25"/>
      <c r="J141" s="25"/>
      <c r="K141" s="25"/>
      <c r="L141" s="25"/>
      <c r="M141" s="25"/>
      <c r="N141" s="25"/>
      <c r="O141" s="25"/>
      <c r="P141" s="25"/>
      <c r="Q141" s="26"/>
      <c r="R141" s="26"/>
      <c r="S141" s="26"/>
      <c r="T141" s="26"/>
      <c r="U141" s="26"/>
      <c r="V141" s="26"/>
      <c r="W141" s="26"/>
      <c r="X141" s="26"/>
      <c r="Y141" s="26"/>
      <c r="Z141" s="26"/>
    </row>
    <row r="142" ht="12.75" customHeight="1">
      <c r="A142" s="31"/>
      <c r="B142" s="53"/>
      <c r="C142" s="26"/>
      <c r="D142" s="54"/>
      <c r="E142" s="25"/>
      <c r="F142" s="25"/>
      <c r="G142" s="25"/>
      <c r="H142" s="25"/>
      <c r="I142" s="25"/>
      <c r="J142" s="25"/>
      <c r="K142" s="25"/>
      <c r="L142" s="25"/>
      <c r="M142" s="25"/>
      <c r="N142" s="25"/>
      <c r="O142" s="25"/>
      <c r="P142" s="25"/>
      <c r="Q142" s="26"/>
      <c r="R142" s="26"/>
      <c r="S142" s="26"/>
      <c r="T142" s="26"/>
      <c r="U142" s="26"/>
      <c r="V142" s="26"/>
      <c r="W142" s="26"/>
      <c r="X142" s="26"/>
      <c r="Y142" s="26"/>
      <c r="Z142" s="26"/>
    </row>
    <row r="143" ht="12.75" customHeight="1">
      <c r="A143" s="31"/>
      <c r="B143" s="53"/>
      <c r="C143" s="26"/>
      <c r="D143" s="54"/>
      <c r="E143" s="25"/>
      <c r="F143" s="25"/>
      <c r="G143" s="25"/>
      <c r="H143" s="25"/>
      <c r="I143" s="25"/>
      <c r="J143" s="25"/>
      <c r="K143" s="25"/>
      <c r="L143" s="25"/>
      <c r="M143" s="25"/>
      <c r="N143" s="25"/>
      <c r="O143" s="25"/>
      <c r="P143" s="25"/>
      <c r="Q143" s="26"/>
      <c r="R143" s="26"/>
      <c r="S143" s="26"/>
      <c r="T143" s="26"/>
      <c r="U143" s="26"/>
      <c r="V143" s="26"/>
      <c r="W143" s="26"/>
      <c r="X143" s="26"/>
      <c r="Y143" s="26"/>
      <c r="Z143" s="26"/>
    </row>
    <row r="144" ht="12.75" customHeight="1">
      <c r="A144" s="31"/>
      <c r="B144" s="53"/>
      <c r="C144" s="26"/>
      <c r="D144" s="54"/>
      <c r="E144" s="25"/>
      <c r="F144" s="25"/>
      <c r="G144" s="25"/>
      <c r="H144" s="25"/>
      <c r="I144" s="25"/>
      <c r="J144" s="25"/>
      <c r="K144" s="25"/>
      <c r="L144" s="25"/>
      <c r="M144" s="25"/>
      <c r="N144" s="25"/>
      <c r="O144" s="25"/>
      <c r="P144" s="25"/>
      <c r="Q144" s="26"/>
      <c r="R144" s="26"/>
      <c r="S144" s="26"/>
      <c r="T144" s="26"/>
      <c r="U144" s="26"/>
      <c r="V144" s="26"/>
      <c r="W144" s="26"/>
      <c r="X144" s="26"/>
      <c r="Y144" s="26"/>
      <c r="Z144" s="26"/>
    </row>
    <row r="145" ht="12.75" customHeight="1">
      <c r="A145" s="31"/>
      <c r="B145" s="53"/>
      <c r="C145" s="26"/>
      <c r="D145" s="54"/>
      <c r="E145" s="25"/>
      <c r="F145" s="25"/>
      <c r="G145" s="25"/>
      <c r="H145" s="25"/>
      <c r="I145" s="25"/>
      <c r="J145" s="25"/>
      <c r="K145" s="25"/>
      <c r="L145" s="25"/>
      <c r="M145" s="25"/>
      <c r="N145" s="25"/>
      <c r="O145" s="25"/>
      <c r="P145" s="25"/>
      <c r="Q145" s="26"/>
      <c r="R145" s="26"/>
      <c r="S145" s="26"/>
      <c r="T145" s="26"/>
      <c r="U145" s="26"/>
      <c r="V145" s="26"/>
      <c r="W145" s="26"/>
      <c r="X145" s="26"/>
      <c r="Y145" s="26"/>
      <c r="Z145" s="26"/>
    </row>
    <row r="146" ht="12.75" customHeight="1">
      <c r="A146" s="31"/>
      <c r="B146" s="53"/>
      <c r="C146" s="26"/>
      <c r="D146" s="54"/>
      <c r="E146" s="25"/>
      <c r="F146" s="25"/>
      <c r="G146" s="25"/>
      <c r="H146" s="25"/>
      <c r="I146" s="25"/>
      <c r="J146" s="25"/>
      <c r="K146" s="25"/>
      <c r="L146" s="25"/>
      <c r="M146" s="25"/>
      <c r="N146" s="25"/>
      <c r="O146" s="25"/>
      <c r="P146" s="25"/>
      <c r="Q146" s="26"/>
      <c r="R146" s="26"/>
      <c r="S146" s="26"/>
      <c r="T146" s="26"/>
      <c r="U146" s="26"/>
      <c r="V146" s="26"/>
      <c r="W146" s="26"/>
      <c r="X146" s="26"/>
      <c r="Y146" s="26"/>
      <c r="Z146" s="26"/>
    </row>
    <row r="147" ht="12.75" customHeight="1">
      <c r="A147" s="31"/>
      <c r="B147" s="53"/>
      <c r="C147" s="26"/>
      <c r="D147" s="54"/>
      <c r="E147" s="25"/>
      <c r="F147" s="25"/>
      <c r="G147" s="25"/>
      <c r="H147" s="25"/>
      <c r="I147" s="25"/>
      <c r="J147" s="25"/>
      <c r="K147" s="25"/>
      <c r="L147" s="25"/>
      <c r="M147" s="25"/>
      <c r="N147" s="25"/>
      <c r="O147" s="25"/>
      <c r="P147" s="25"/>
      <c r="Q147" s="26"/>
      <c r="R147" s="26"/>
      <c r="S147" s="26"/>
      <c r="T147" s="26"/>
      <c r="U147" s="26"/>
      <c r="V147" s="26"/>
      <c r="W147" s="26"/>
      <c r="X147" s="26"/>
      <c r="Y147" s="26"/>
      <c r="Z147" s="26"/>
    </row>
    <row r="148" ht="12.75" customHeight="1">
      <c r="A148" s="31"/>
      <c r="B148" s="53"/>
      <c r="C148" s="26"/>
      <c r="D148" s="54"/>
      <c r="E148" s="25"/>
      <c r="F148" s="25"/>
      <c r="G148" s="25"/>
      <c r="H148" s="25"/>
      <c r="I148" s="25"/>
      <c r="J148" s="25"/>
      <c r="K148" s="25"/>
      <c r="L148" s="25"/>
      <c r="M148" s="25"/>
      <c r="N148" s="25"/>
      <c r="O148" s="25"/>
      <c r="P148" s="25"/>
      <c r="Q148" s="26"/>
      <c r="R148" s="26"/>
      <c r="S148" s="26"/>
      <c r="T148" s="26"/>
      <c r="U148" s="26"/>
      <c r="V148" s="26"/>
      <c r="W148" s="26"/>
      <c r="X148" s="26"/>
      <c r="Y148" s="26"/>
      <c r="Z148" s="26"/>
    </row>
    <row r="149" ht="12.75" customHeight="1">
      <c r="A149" s="31"/>
      <c r="B149" s="53"/>
      <c r="C149" s="26"/>
      <c r="D149" s="54"/>
      <c r="E149" s="25"/>
      <c r="F149" s="25"/>
      <c r="G149" s="25"/>
      <c r="H149" s="25"/>
      <c r="I149" s="25"/>
      <c r="J149" s="25"/>
      <c r="K149" s="25"/>
      <c r="L149" s="25"/>
      <c r="M149" s="25"/>
      <c r="N149" s="25"/>
      <c r="O149" s="25"/>
      <c r="P149" s="25"/>
      <c r="Q149" s="26"/>
      <c r="R149" s="26"/>
      <c r="S149" s="26"/>
      <c r="T149" s="26"/>
      <c r="U149" s="26"/>
      <c r="V149" s="26"/>
      <c r="W149" s="26"/>
      <c r="X149" s="26"/>
      <c r="Y149" s="26"/>
      <c r="Z149" s="26"/>
    </row>
    <row r="150" ht="12.75" customHeight="1">
      <c r="A150" s="31"/>
      <c r="B150" s="53"/>
      <c r="C150" s="26"/>
      <c r="D150" s="54"/>
      <c r="E150" s="25"/>
      <c r="F150" s="25"/>
      <c r="G150" s="25"/>
      <c r="H150" s="25"/>
      <c r="I150" s="25"/>
      <c r="J150" s="25"/>
      <c r="K150" s="25"/>
      <c r="L150" s="25"/>
      <c r="M150" s="25"/>
      <c r="N150" s="25"/>
      <c r="O150" s="25"/>
      <c r="P150" s="25"/>
      <c r="Q150" s="26"/>
      <c r="R150" s="26"/>
      <c r="S150" s="26"/>
      <c r="T150" s="26"/>
      <c r="U150" s="26"/>
      <c r="V150" s="26"/>
      <c r="W150" s="26"/>
      <c r="X150" s="26"/>
      <c r="Y150" s="26"/>
      <c r="Z150" s="26"/>
    </row>
    <row r="151" ht="12.75" customHeight="1">
      <c r="A151" s="31"/>
      <c r="B151" s="53"/>
      <c r="C151" s="26"/>
      <c r="D151" s="54"/>
      <c r="E151" s="25"/>
      <c r="F151" s="25"/>
      <c r="G151" s="25"/>
      <c r="H151" s="25"/>
      <c r="I151" s="25"/>
      <c r="J151" s="25"/>
      <c r="K151" s="25"/>
      <c r="L151" s="25"/>
      <c r="M151" s="25"/>
      <c r="N151" s="25"/>
      <c r="O151" s="25"/>
      <c r="P151" s="25"/>
      <c r="Q151" s="26"/>
      <c r="R151" s="26"/>
      <c r="S151" s="26"/>
      <c r="T151" s="26"/>
      <c r="U151" s="26"/>
      <c r="V151" s="26"/>
      <c r="W151" s="26"/>
      <c r="X151" s="26"/>
      <c r="Y151" s="26"/>
      <c r="Z151" s="26"/>
    </row>
    <row r="152" ht="12.75" customHeight="1">
      <c r="A152" s="31"/>
      <c r="B152" s="53"/>
      <c r="C152" s="26"/>
      <c r="D152" s="54"/>
      <c r="E152" s="25"/>
      <c r="F152" s="25"/>
      <c r="G152" s="25"/>
      <c r="H152" s="25"/>
      <c r="I152" s="25"/>
      <c r="J152" s="25"/>
      <c r="K152" s="25"/>
      <c r="L152" s="25"/>
      <c r="M152" s="25"/>
      <c r="N152" s="25"/>
      <c r="O152" s="25"/>
      <c r="P152" s="25"/>
      <c r="Q152" s="26"/>
      <c r="R152" s="26"/>
      <c r="S152" s="26"/>
      <c r="T152" s="26"/>
      <c r="U152" s="26"/>
      <c r="V152" s="26"/>
      <c r="W152" s="26"/>
      <c r="X152" s="26"/>
      <c r="Y152" s="26"/>
      <c r="Z152" s="26"/>
    </row>
    <row r="153" ht="12.75" customHeight="1">
      <c r="A153" s="31"/>
      <c r="B153" s="53"/>
      <c r="C153" s="26"/>
      <c r="D153" s="54"/>
      <c r="E153" s="25"/>
      <c r="F153" s="25"/>
      <c r="G153" s="25"/>
      <c r="H153" s="25"/>
      <c r="I153" s="25"/>
      <c r="J153" s="25"/>
      <c r="K153" s="25"/>
      <c r="L153" s="25"/>
      <c r="M153" s="25"/>
      <c r="N153" s="25"/>
      <c r="O153" s="25"/>
      <c r="P153" s="25"/>
      <c r="Q153" s="26"/>
      <c r="R153" s="26"/>
      <c r="S153" s="26"/>
      <c r="T153" s="26"/>
      <c r="U153" s="26"/>
      <c r="V153" s="26"/>
      <c r="W153" s="26"/>
      <c r="X153" s="26"/>
      <c r="Y153" s="26"/>
      <c r="Z153" s="26"/>
    </row>
    <row r="154" ht="12.75" customHeight="1">
      <c r="A154" s="31"/>
      <c r="B154" s="53"/>
      <c r="C154" s="26"/>
      <c r="D154" s="54"/>
      <c r="E154" s="25"/>
      <c r="F154" s="25"/>
      <c r="G154" s="25"/>
      <c r="H154" s="25"/>
      <c r="I154" s="25"/>
      <c r="J154" s="25"/>
      <c r="K154" s="25"/>
      <c r="L154" s="25"/>
      <c r="M154" s="25"/>
      <c r="N154" s="25"/>
      <c r="O154" s="25"/>
      <c r="P154" s="25"/>
      <c r="Q154" s="26"/>
      <c r="R154" s="26"/>
      <c r="S154" s="26"/>
      <c r="T154" s="26"/>
      <c r="U154" s="26"/>
      <c r="V154" s="26"/>
      <c r="W154" s="26"/>
      <c r="X154" s="26"/>
      <c r="Y154" s="26"/>
      <c r="Z154" s="26"/>
    </row>
    <row r="155" ht="12.75" customHeight="1">
      <c r="A155" s="31"/>
      <c r="B155" s="53"/>
      <c r="C155" s="26"/>
      <c r="D155" s="54"/>
      <c r="E155" s="25"/>
      <c r="F155" s="25"/>
      <c r="G155" s="25"/>
      <c r="H155" s="25"/>
      <c r="I155" s="25"/>
      <c r="J155" s="25"/>
      <c r="K155" s="25"/>
      <c r="L155" s="25"/>
      <c r="M155" s="25"/>
      <c r="N155" s="25"/>
      <c r="O155" s="25"/>
      <c r="P155" s="25"/>
      <c r="Q155" s="26"/>
      <c r="R155" s="26"/>
      <c r="S155" s="26"/>
      <c r="T155" s="26"/>
      <c r="U155" s="26"/>
      <c r="V155" s="26"/>
      <c r="W155" s="26"/>
      <c r="X155" s="26"/>
      <c r="Y155" s="26"/>
      <c r="Z155" s="26"/>
    </row>
    <row r="156" ht="12.75" customHeight="1">
      <c r="A156" s="31"/>
      <c r="B156" s="53"/>
      <c r="C156" s="26"/>
      <c r="D156" s="54"/>
      <c r="E156" s="25"/>
      <c r="F156" s="25"/>
      <c r="G156" s="25"/>
      <c r="H156" s="25"/>
      <c r="I156" s="25"/>
      <c r="J156" s="25"/>
      <c r="K156" s="25"/>
      <c r="L156" s="25"/>
      <c r="M156" s="25"/>
      <c r="N156" s="25"/>
      <c r="O156" s="25"/>
      <c r="P156" s="25"/>
      <c r="Q156" s="26"/>
      <c r="R156" s="26"/>
      <c r="S156" s="26"/>
      <c r="T156" s="26"/>
      <c r="U156" s="26"/>
      <c r="V156" s="26"/>
      <c r="W156" s="26"/>
      <c r="X156" s="26"/>
      <c r="Y156" s="26"/>
      <c r="Z156" s="26"/>
    </row>
    <row r="157" ht="12.75" customHeight="1">
      <c r="A157" s="31"/>
      <c r="B157" s="53"/>
      <c r="C157" s="26"/>
      <c r="D157" s="54"/>
      <c r="E157" s="25"/>
      <c r="F157" s="25"/>
      <c r="G157" s="25"/>
      <c r="H157" s="25"/>
      <c r="I157" s="25"/>
      <c r="J157" s="25"/>
      <c r="K157" s="25"/>
      <c r="L157" s="25"/>
      <c r="M157" s="25"/>
      <c r="N157" s="25"/>
      <c r="O157" s="25"/>
      <c r="P157" s="25"/>
      <c r="Q157" s="26"/>
      <c r="R157" s="26"/>
      <c r="S157" s="26"/>
      <c r="T157" s="26"/>
      <c r="U157" s="26"/>
      <c r="V157" s="26"/>
      <c r="W157" s="26"/>
      <c r="X157" s="26"/>
      <c r="Y157" s="26"/>
      <c r="Z157" s="26"/>
    </row>
    <row r="158" ht="12.75" customHeight="1">
      <c r="A158" s="31"/>
      <c r="B158" s="53"/>
      <c r="C158" s="26"/>
      <c r="D158" s="54"/>
      <c r="E158" s="25"/>
      <c r="F158" s="25"/>
      <c r="G158" s="25"/>
      <c r="H158" s="25"/>
      <c r="I158" s="25"/>
      <c r="J158" s="25"/>
      <c r="K158" s="25"/>
      <c r="L158" s="25"/>
      <c r="M158" s="25"/>
      <c r="N158" s="25"/>
      <c r="O158" s="25"/>
      <c r="P158" s="25"/>
      <c r="Q158" s="26"/>
      <c r="R158" s="26"/>
      <c r="S158" s="26"/>
      <c r="T158" s="26"/>
      <c r="U158" s="26"/>
      <c r="V158" s="26"/>
      <c r="W158" s="26"/>
      <c r="X158" s="26"/>
      <c r="Y158" s="26"/>
      <c r="Z158" s="26"/>
    </row>
    <row r="159" ht="12.75" customHeight="1">
      <c r="A159" s="31"/>
      <c r="B159" s="53"/>
      <c r="C159" s="26"/>
      <c r="D159" s="54"/>
      <c r="E159" s="25"/>
      <c r="F159" s="25"/>
      <c r="G159" s="25"/>
      <c r="H159" s="25"/>
      <c r="I159" s="25"/>
      <c r="J159" s="25"/>
      <c r="K159" s="25"/>
      <c r="L159" s="25"/>
      <c r="M159" s="25"/>
      <c r="N159" s="25"/>
      <c r="O159" s="25"/>
      <c r="P159" s="25"/>
      <c r="Q159" s="26"/>
      <c r="R159" s="26"/>
      <c r="S159" s="26"/>
      <c r="T159" s="26"/>
      <c r="U159" s="26"/>
      <c r="V159" s="26"/>
      <c r="W159" s="26"/>
      <c r="X159" s="26"/>
      <c r="Y159" s="26"/>
      <c r="Z159" s="26"/>
    </row>
    <row r="160" ht="12.75" customHeight="1">
      <c r="A160" s="31"/>
      <c r="B160" s="53"/>
      <c r="C160" s="26"/>
      <c r="D160" s="54"/>
      <c r="E160" s="25"/>
      <c r="F160" s="25"/>
      <c r="G160" s="25"/>
      <c r="H160" s="25"/>
      <c r="I160" s="25"/>
      <c r="J160" s="25"/>
      <c r="K160" s="25"/>
      <c r="L160" s="25"/>
      <c r="M160" s="25"/>
      <c r="N160" s="25"/>
      <c r="O160" s="25"/>
      <c r="P160" s="25"/>
      <c r="Q160" s="26"/>
      <c r="R160" s="26"/>
      <c r="S160" s="26"/>
      <c r="T160" s="26"/>
      <c r="U160" s="26"/>
      <c r="V160" s="26"/>
      <c r="W160" s="26"/>
      <c r="X160" s="26"/>
      <c r="Y160" s="26"/>
      <c r="Z160" s="26"/>
    </row>
    <row r="161" ht="12.75" customHeight="1">
      <c r="A161" s="31"/>
      <c r="B161" s="53"/>
      <c r="C161" s="26"/>
      <c r="D161" s="54"/>
      <c r="E161" s="25"/>
      <c r="F161" s="25"/>
      <c r="G161" s="25"/>
      <c r="H161" s="25"/>
      <c r="I161" s="25"/>
      <c r="J161" s="25"/>
      <c r="K161" s="25"/>
      <c r="L161" s="25"/>
      <c r="M161" s="25"/>
      <c r="N161" s="25"/>
      <c r="O161" s="25"/>
      <c r="P161" s="25"/>
      <c r="Q161" s="26"/>
      <c r="R161" s="26"/>
      <c r="S161" s="26"/>
      <c r="T161" s="26"/>
      <c r="U161" s="26"/>
      <c r="V161" s="26"/>
      <c r="W161" s="26"/>
      <c r="X161" s="26"/>
      <c r="Y161" s="26"/>
      <c r="Z161" s="26"/>
    </row>
    <row r="162" ht="12.75" customHeight="1">
      <c r="A162" s="31"/>
      <c r="B162" s="53"/>
      <c r="C162" s="26"/>
      <c r="D162" s="54"/>
      <c r="E162" s="25"/>
      <c r="F162" s="25"/>
      <c r="G162" s="25"/>
      <c r="H162" s="25"/>
      <c r="I162" s="25"/>
      <c r="J162" s="25"/>
      <c r="K162" s="25"/>
      <c r="L162" s="25"/>
      <c r="M162" s="25"/>
      <c r="N162" s="25"/>
      <c r="O162" s="25"/>
      <c r="P162" s="25"/>
      <c r="Q162" s="26"/>
      <c r="R162" s="26"/>
      <c r="S162" s="26"/>
      <c r="T162" s="26"/>
      <c r="U162" s="26"/>
      <c r="V162" s="26"/>
      <c r="W162" s="26"/>
      <c r="X162" s="26"/>
      <c r="Y162" s="26"/>
      <c r="Z162" s="26"/>
    </row>
    <row r="163" ht="12.75" customHeight="1">
      <c r="A163" s="31"/>
      <c r="B163" s="53"/>
      <c r="C163" s="26"/>
      <c r="D163" s="54"/>
      <c r="E163" s="25"/>
      <c r="F163" s="25"/>
      <c r="G163" s="25"/>
      <c r="H163" s="25"/>
      <c r="I163" s="25"/>
      <c r="J163" s="25"/>
      <c r="K163" s="25"/>
      <c r="L163" s="25"/>
      <c r="M163" s="25"/>
      <c r="N163" s="25"/>
      <c r="O163" s="25"/>
      <c r="P163" s="25"/>
      <c r="Q163" s="26"/>
      <c r="R163" s="26"/>
      <c r="S163" s="26"/>
      <c r="T163" s="26"/>
      <c r="U163" s="26"/>
      <c r="V163" s="26"/>
      <c r="W163" s="26"/>
      <c r="X163" s="26"/>
      <c r="Y163" s="26"/>
      <c r="Z163" s="26"/>
    </row>
    <row r="164" ht="12.75" customHeight="1">
      <c r="A164" s="31"/>
      <c r="B164" s="53"/>
      <c r="C164" s="26"/>
      <c r="D164" s="54"/>
      <c r="E164" s="25"/>
      <c r="F164" s="25"/>
      <c r="G164" s="25"/>
      <c r="H164" s="25"/>
      <c r="I164" s="25"/>
      <c r="J164" s="25"/>
      <c r="K164" s="25"/>
      <c r="L164" s="25"/>
      <c r="M164" s="25"/>
      <c r="N164" s="25"/>
      <c r="O164" s="25"/>
      <c r="P164" s="25"/>
      <c r="Q164" s="26"/>
      <c r="R164" s="26"/>
      <c r="S164" s="26"/>
      <c r="T164" s="26"/>
      <c r="U164" s="26"/>
      <c r="V164" s="26"/>
      <c r="W164" s="26"/>
      <c r="X164" s="26"/>
      <c r="Y164" s="26"/>
      <c r="Z164" s="26"/>
    </row>
    <row r="165" ht="12.75" customHeight="1">
      <c r="A165" s="31"/>
      <c r="B165" s="53"/>
      <c r="C165" s="26"/>
      <c r="D165" s="54"/>
      <c r="E165" s="25"/>
      <c r="F165" s="25"/>
      <c r="G165" s="25"/>
      <c r="H165" s="25"/>
      <c r="I165" s="25"/>
      <c r="J165" s="25"/>
      <c r="K165" s="25"/>
      <c r="L165" s="25"/>
      <c r="M165" s="25"/>
      <c r="N165" s="25"/>
      <c r="O165" s="25"/>
      <c r="P165" s="25"/>
      <c r="Q165" s="26"/>
      <c r="R165" s="26"/>
      <c r="S165" s="26"/>
      <c r="T165" s="26"/>
      <c r="U165" s="26"/>
      <c r="V165" s="26"/>
      <c r="W165" s="26"/>
      <c r="X165" s="26"/>
      <c r="Y165" s="26"/>
      <c r="Z165" s="26"/>
    </row>
    <row r="166" ht="12.75" customHeight="1">
      <c r="A166" s="31"/>
      <c r="B166" s="53"/>
      <c r="C166" s="26"/>
      <c r="D166" s="54"/>
      <c r="E166" s="25"/>
      <c r="F166" s="25"/>
      <c r="G166" s="25"/>
      <c r="H166" s="25"/>
      <c r="I166" s="25"/>
      <c r="J166" s="25"/>
      <c r="K166" s="25"/>
      <c r="L166" s="25"/>
      <c r="M166" s="25"/>
      <c r="N166" s="25"/>
      <c r="O166" s="25"/>
      <c r="P166" s="25"/>
      <c r="Q166" s="26"/>
      <c r="R166" s="26"/>
      <c r="S166" s="26"/>
      <c r="T166" s="26"/>
      <c r="U166" s="26"/>
      <c r="V166" s="26"/>
      <c r="W166" s="26"/>
      <c r="X166" s="26"/>
      <c r="Y166" s="26"/>
      <c r="Z166" s="26"/>
    </row>
    <row r="167" ht="12.75" customHeight="1">
      <c r="A167" s="31"/>
      <c r="B167" s="53"/>
      <c r="C167" s="26"/>
      <c r="D167" s="54"/>
      <c r="E167" s="25"/>
      <c r="F167" s="25"/>
      <c r="G167" s="25"/>
      <c r="H167" s="25"/>
      <c r="I167" s="25"/>
      <c r="J167" s="25"/>
      <c r="K167" s="25"/>
      <c r="L167" s="25"/>
      <c r="M167" s="25"/>
      <c r="N167" s="25"/>
      <c r="O167" s="25"/>
      <c r="P167" s="25"/>
      <c r="Q167" s="26"/>
      <c r="R167" s="26"/>
      <c r="S167" s="26"/>
      <c r="T167" s="26"/>
      <c r="U167" s="26"/>
      <c r="V167" s="26"/>
      <c r="W167" s="26"/>
      <c r="X167" s="26"/>
      <c r="Y167" s="26"/>
      <c r="Z167" s="26"/>
    </row>
    <row r="168" ht="12.75" customHeight="1">
      <c r="A168" s="31"/>
      <c r="B168" s="53"/>
      <c r="C168" s="26"/>
      <c r="D168" s="54"/>
      <c r="E168" s="25"/>
      <c r="F168" s="25"/>
      <c r="G168" s="25"/>
      <c r="H168" s="25"/>
      <c r="I168" s="25"/>
      <c r="J168" s="25"/>
      <c r="K168" s="25"/>
      <c r="L168" s="25"/>
      <c r="M168" s="25"/>
      <c r="N168" s="25"/>
      <c r="O168" s="25"/>
      <c r="P168" s="25"/>
      <c r="Q168" s="26"/>
      <c r="R168" s="26"/>
      <c r="S168" s="26"/>
      <c r="T168" s="26"/>
      <c r="U168" s="26"/>
      <c r="V168" s="26"/>
      <c r="W168" s="26"/>
      <c r="X168" s="26"/>
      <c r="Y168" s="26"/>
      <c r="Z168" s="26"/>
    </row>
    <row r="169" ht="12.75" customHeight="1">
      <c r="A169" s="31"/>
      <c r="B169" s="53"/>
      <c r="C169" s="26"/>
      <c r="D169" s="54"/>
      <c r="E169" s="25"/>
      <c r="F169" s="25"/>
      <c r="G169" s="25"/>
      <c r="H169" s="25"/>
      <c r="I169" s="25"/>
      <c r="J169" s="25"/>
      <c r="K169" s="25"/>
      <c r="L169" s="25"/>
      <c r="M169" s="25"/>
      <c r="N169" s="25"/>
      <c r="O169" s="25"/>
      <c r="P169" s="25"/>
      <c r="Q169" s="26"/>
      <c r="R169" s="26"/>
      <c r="S169" s="26"/>
      <c r="T169" s="26"/>
      <c r="U169" s="26"/>
      <c r="V169" s="26"/>
      <c r="W169" s="26"/>
      <c r="X169" s="26"/>
      <c r="Y169" s="26"/>
      <c r="Z169" s="26"/>
    </row>
    <row r="170" ht="12.75" customHeight="1">
      <c r="A170" s="31"/>
      <c r="B170" s="53"/>
      <c r="C170" s="26"/>
      <c r="D170" s="54"/>
      <c r="E170" s="25"/>
      <c r="F170" s="25"/>
      <c r="G170" s="25"/>
      <c r="H170" s="25"/>
      <c r="I170" s="25"/>
      <c r="J170" s="25"/>
      <c r="K170" s="25"/>
      <c r="L170" s="25"/>
      <c r="M170" s="25"/>
      <c r="N170" s="25"/>
      <c r="O170" s="25"/>
      <c r="P170" s="25"/>
      <c r="Q170" s="26"/>
      <c r="R170" s="26"/>
      <c r="S170" s="26"/>
      <c r="T170" s="26"/>
      <c r="U170" s="26"/>
      <c r="V170" s="26"/>
      <c r="W170" s="26"/>
      <c r="X170" s="26"/>
      <c r="Y170" s="26"/>
      <c r="Z170" s="26"/>
    </row>
    <row r="171" ht="12.75" customHeight="1">
      <c r="A171" s="31"/>
      <c r="B171" s="53"/>
      <c r="C171" s="26"/>
      <c r="D171" s="54"/>
      <c r="E171" s="25"/>
      <c r="F171" s="25"/>
      <c r="G171" s="25"/>
      <c r="H171" s="25"/>
      <c r="I171" s="25"/>
      <c r="J171" s="25"/>
      <c r="K171" s="25"/>
      <c r="L171" s="25"/>
      <c r="M171" s="25"/>
      <c r="N171" s="25"/>
      <c r="O171" s="25"/>
      <c r="P171" s="25"/>
      <c r="Q171" s="26"/>
      <c r="R171" s="26"/>
      <c r="S171" s="26"/>
      <c r="T171" s="26"/>
      <c r="U171" s="26"/>
      <c r="V171" s="26"/>
      <c r="W171" s="26"/>
      <c r="X171" s="26"/>
      <c r="Y171" s="26"/>
      <c r="Z171" s="26"/>
    </row>
    <row r="172" ht="12.75" customHeight="1">
      <c r="A172" s="31"/>
      <c r="B172" s="53"/>
      <c r="C172" s="26"/>
      <c r="D172" s="54"/>
      <c r="E172" s="25"/>
      <c r="F172" s="25"/>
      <c r="G172" s="25"/>
      <c r="H172" s="25"/>
      <c r="I172" s="25"/>
      <c r="J172" s="25"/>
      <c r="K172" s="25"/>
      <c r="L172" s="25"/>
      <c r="M172" s="25"/>
      <c r="N172" s="25"/>
      <c r="O172" s="25"/>
      <c r="P172" s="25"/>
      <c r="Q172" s="26"/>
      <c r="R172" s="26"/>
      <c r="S172" s="26"/>
      <c r="T172" s="26"/>
      <c r="U172" s="26"/>
      <c r="V172" s="26"/>
      <c r="W172" s="26"/>
      <c r="X172" s="26"/>
      <c r="Y172" s="26"/>
      <c r="Z172" s="26"/>
    </row>
    <row r="173" ht="12.75" customHeight="1">
      <c r="A173" s="31"/>
      <c r="B173" s="53"/>
      <c r="C173" s="26"/>
      <c r="D173" s="54"/>
      <c r="E173" s="25"/>
      <c r="F173" s="25"/>
      <c r="G173" s="25"/>
      <c r="H173" s="25"/>
      <c r="I173" s="25"/>
      <c r="J173" s="25"/>
      <c r="K173" s="25"/>
      <c r="L173" s="25"/>
      <c r="M173" s="25"/>
      <c r="N173" s="25"/>
      <c r="O173" s="25"/>
      <c r="P173" s="25"/>
      <c r="Q173" s="26"/>
      <c r="R173" s="26"/>
      <c r="S173" s="26"/>
      <c r="T173" s="26"/>
      <c r="U173" s="26"/>
      <c r="V173" s="26"/>
      <c r="W173" s="26"/>
      <c r="X173" s="26"/>
      <c r="Y173" s="26"/>
      <c r="Z173" s="26"/>
    </row>
    <row r="174" ht="12.75" customHeight="1">
      <c r="A174" s="31"/>
      <c r="B174" s="53"/>
      <c r="C174" s="26"/>
      <c r="D174" s="54"/>
      <c r="E174" s="25"/>
      <c r="F174" s="25"/>
      <c r="G174" s="25"/>
      <c r="H174" s="25"/>
      <c r="I174" s="25"/>
      <c r="J174" s="25"/>
      <c r="K174" s="25"/>
      <c r="L174" s="25"/>
      <c r="M174" s="25"/>
      <c r="N174" s="25"/>
      <c r="O174" s="25"/>
      <c r="P174" s="25"/>
      <c r="Q174" s="26"/>
      <c r="R174" s="26"/>
      <c r="S174" s="26"/>
      <c r="T174" s="26"/>
      <c r="U174" s="26"/>
      <c r="V174" s="26"/>
      <c r="W174" s="26"/>
      <c r="X174" s="26"/>
      <c r="Y174" s="26"/>
      <c r="Z174" s="26"/>
    </row>
    <row r="175" ht="12.75" customHeight="1">
      <c r="A175" s="31"/>
      <c r="B175" s="53"/>
      <c r="C175" s="26"/>
      <c r="D175" s="54"/>
      <c r="E175" s="25"/>
      <c r="F175" s="25"/>
      <c r="G175" s="25"/>
      <c r="H175" s="25"/>
      <c r="I175" s="25"/>
      <c r="J175" s="25"/>
      <c r="K175" s="25"/>
      <c r="L175" s="25"/>
      <c r="M175" s="25"/>
      <c r="N175" s="25"/>
      <c r="O175" s="25"/>
      <c r="P175" s="25"/>
      <c r="Q175" s="26"/>
      <c r="R175" s="26"/>
      <c r="S175" s="26"/>
      <c r="T175" s="26"/>
      <c r="U175" s="26"/>
      <c r="V175" s="26"/>
      <c r="W175" s="26"/>
      <c r="X175" s="26"/>
      <c r="Y175" s="26"/>
      <c r="Z175" s="26"/>
    </row>
    <row r="176" ht="12.75" customHeight="1">
      <c r="A176" s="31"/>
      <c r="B176" s="53"/>
      <c r="C176" s="26"/>
      <c r="D176" s="54"/>
      <c r="E176" s="25"/>
      <c r="F176" s="25"/>
      <c r="G176" s="25"/>
      <c r="H176" s="25"/>
      <c r="I176" s="25"/>
      <c r="J176" s="25"/>
      <c r="K176" s="25"/>
      <c r="L176" s="25"/>
      <c r="M176" s="25"/>
      <c r="N176" s="25"/>
      <c r="O176" s="25"/>
      <c r="P176" s="25"/>
      <c r="Q176" s="26"/>
      <c r="R176" s="26"/>
      <c r="S176" s="26"/>
      <c r="T176" s="26"/>
      <c r="U176" s="26"/>
      <c r="V176" s="26"/>
      <c r="W176" s="26"/>
      <c r="X176" s="26"/>
      <c r="Y176" s="26"/>
      <c r="Z176" s="26"/>
    </row>
    <row r="177" ht="12.75" customHeight="1">
      <c r="A177" s="31"/>
      <c r="B177" s="53"/>
      <c r="C177" s="26"/>
      <c r="D177" s="54"/>
      <c r="E177" s="25"/>
      <c r="F177" s="25"/>
      <c r="G177" s="25"/>
      <c r="H177" s="25"/>
      <c r="I177" s="25"/>
      <c r="J177" s="25"/>
      <c r="K177" s="25"/>
      <c r="L177" s="25"/>
      <c r="M177" s="25"/>
      <c r="N177" s="25"/>
      <c r="O177" s="25"/>
      <c r="P177" s="25"/>
      <c r="Q177" s="26"/>
      <c r="R177" s="26"/>
      <c r="S177" s="26"/>
      <c r="T177" s="26"/>
      <c r="U177" s="26"/>
      <c r="V177" s="26"/>
      <c r="W177" s="26"/>
      <c r="X177" s="26"/>
      <c r="Y177" s="26"/>
      <c r="Z177" s="26"/>
    </row>
    <row r="178" ht="12.75" customHeight="1">
      <c r="A178" s="31"/>
      <c r="B178" s="53"/>
      <c r="C178" s="26"/>
      <c r="D178" s="54"/>
      <c r="E178" s="25"/>
      <c r="F178" s="25"/>
      <c r="G178" s="25"/>
      <c r="H178" s="25"/>
      <c r="I178" s="25"/>
      <c r="J178" s="25"/>
      <c r="K178" s="25"/>
      <c r="L178" s="25"/>
      <c r="M178" s="25"/>
      <c r="N178" s="25"/>
      <c r="O178" s="25"/>
      <c r="P178" s="25"/>
      <c r="Q178" s="26"/>
      <c r="R178" s="26"/>
      <c r="S178" s="26"/>
      <c r="T178" s="26"/>
      <c r="U178" s="26"/>
      <c r="V178" s="26"/>
      <c r="W178" s="26"/>
      <c r="X178" s="26"/>
      <c r="Y178" s="26"/>
      <c r="Z178" s="26"/>
    </row>
    <row r="179" ht="12.75" customHeight="1">
      <c r="A179" s="31"/>
      <c r="B179" s="53"/>
      <c r="C179" s="26"/>
      <c r="D179" s="54"/>
      <c r="E179" s="25"/>
      <c r="F179" s="25"/>
      <c r="G179" s="25"/>
      <c r="H179" s="25"/>
      <c r="I179" s="25"/>
      <c r="J179" s="25"/>
      <c r="K179" s="25"/>
      <c r="L179" s="25"/>
      <c r="M179" s="25"/>
      <c r="N179" s="25"/>
      <c r="O179" s="25"/>
      <c r="P179" s="25"/>
      <c r="Q179" s="26"/>
      <c r="R179" s="26"/>
      <c r="S179" s="26"/>
      <c r="T179" s="26"/>
      <c r="U179" s="26"/>
      <c r="V179" s="26"/>
      <c r="W179" s="26"/>
      <c r="X179" s="26"/>
      <c r="Y179" s="26"/>
      <c r="Z179" s="26"/>
    </row>
    <row r="180" ht="12.75" customHeight="1">
      <c r="A180" s="31"/>
      <c r="B180" s="53"/>
      <c r="C180" s="26"/>
      <c r="D180" s="54"/>
      <c r="E180" s="25"/>
      <c r="F180" s="25"/>
      <c r="G180" s="25"/>
      <c r="H180" s="25"/>
      <c r="I180" s="25"/>
      <c r="J180" s="25"/>
      <c r="K180" s="25"/>
      <c r="L180" s="25"/>
      <c r="M180" s="25"/>
      <c r="N180" s="25"/>
      <c r="O180" s="25"/>
      <c r="P180" s="25"/>
      <c r="Q180" s="26"/>
      <c r="R180" s="26"/>
      <c r="S180" s="26"/>
      <c r="T180" s="26"/>
      <c r="U180" s="26"/>
      <c r="V180" s="26"/>
      <c r="W180" s="26"/>
      <c r="X180" s="26"/>
      <c r="Y180" s="26"/>
      <c r="Z180" s="26"/>
    </row>
    <row r="181" ht="12.75" customHeight="1">
      <c r="A181" s="31"/>
      <c r="B181" s="53"/>
      <c r="C181" s="26"/>
      <c r="D181" s="54"/>
      <c r="E181" s="25"/>
      <c r="F181" s="25"/>
      <c r="G181" s="25"/>
      <c r="H181" s="25"/>
      <c r="I181" s="25"/>
      <c r="J181" s="25"/>
      <c r="K181" s="25"/>
      <c r="L181" s="25"/>
      <c r="M181" s="25"/>
      <c r="N181" s="25"/>
      <c r="O181" s="25"/>
      <c r="P181" s="25"/>
      <c r="Q181" s="26"/>
      <c r="R181" s="26"/>
      <c r="S181" s="26"/>
      <c r="T181" s="26"/>
      <c r="U181" s="26"/>
      <c r="V181" s="26"/>
      <c r="W181" s="26"/>
      <c r="X181" s="26"/>
      <c r="Y181" s="26"/>
      <c r="Z181" s="26"/>
    </row>
    <row r="182" ht="12.75" customHeight="1">
      <c r="A182" s="31"/>
      <c r="B182" s="53"/>
      <c r="C182" s="26"/>
      <c r="D182" s="54"/>
      <c r="E182" s="25"/>
      <c r="F182" s="25"/>
      <c r="G182" s="25"/>
      <c r="H182" s="25"/>
      <c r="I182" s="25"/>
      <c r="J182" s="25"/>
      <c r="K182" s="25"/>
      <c r="L182" s="25"/>
      <c r="M182" s="25"/>
      <c r="N182" s="25"/>
      <c r="O182" s="25"/>
      <c r="P182" s="25"/>
      <c r="Q182" s="26"/>
      <c r="R182" s="26"/>
      <c r="S182" s="26"/>
      <c r="T182" s="26"/>
      <c r="U182" s="26"/>
      <c r="V182" s="26"/>
      <c r="W182" s="26"/>
      <c r="X182" s="26"/>
      <c r="Y182" s="26"/>
      <c r="Z182" s="26"/>
    </row>
    <row r="183" ht="12.75" customHeight="1">
      <c r="A183" s="31"/>
      <c r="B183" s="53"/>
      <c r="C183" s="26"/>
      <c r="D183" s="54"/>
      <c r="E183" s="25"/>
      <c r="F183" s="25"/>
      <c r="G183" s="25"/>
      <c r="H183" s="25"/>
      <c r="I183" s="25"/>
      <c r="J183" s="25"/>
      <c r="K183" s="25"/>
      <c r="L183" s="25"/>
      <c r="M183" s="25"/>
      <c r="N183" s="25"/>
      <c r="O183" s="25"/>
      <c r="P183" s="25"/>
      <c r="Q183" s="26"/>
      <c r="R183" s="26"/>
      <c r="S183" s="26"/>
      <c r="T183" s="26"/>
      <c r="U183" s="26"/>
      <c r="V183" s="26"/>
      <c r="W183" s="26"/>
      <c r="X183" s="26"/>
      <c r="Y183" s="26"/>
      <c r="Z183" s="26"/>
    </row>
    <row r="184" ht="12.75" customHeight="1">
      <c r="A184" s="31"/>
      <c r="B184" s="53"/>
      <c r="C184" s="26"/>
      <c r="D184" s="54"/>
      <c r="E184" s="25"/>
      <c r="F184" s="25"/>
      <c r="G184" s="25"/>
      <c r="H184" s="25"/>
      <c r="I184" s="25"/>
      <c r="J184" s="25"/>
      <c r="K184" s="25"/>
      <c r="L184" s="25"/>
      <c r="M184" s="25"/>
      <c r="N184" s="25"/>
      <c r="O184" s="25"/>
      <c r="P184" s="25"/>
      <c r="Q184" s="26"/>
      <c r="R184" s="26"/>
      <c r="S184" s="26"/>
      <c r="T184" s="26"/>
      <c r="U184" s="26"/>
      <c r="V184" s="26"/>
      <c r="W184" s="26"/>
      <c r="X184" s="26"/>
      <c r="Y184" s="26"/>
      <c r="Z184" s="26"/>
    </row>
    <row r="185" ht="12.75" customHeight="1">
      <c r="A185" s="31"/>
      <c r="B185" s="53"/>
      <c r="C185" s="26"/>
      <c r="D185" s="54"/>
      <c r="E185" s="25"/>
      <c r="F185" s="25"/>
      <c r="G185" s="25"/>
      <c r="H185" s="25"/>
      <c r="I185" s="25"/>
      <c r="J185" s="25"/>
      <c r="K185" s="25"/>
      <c r="L185" s="25"/>
      <c r="M185" s="25"/>
      <c r="N185" s="25"/>
      <c r="O185" s="25"/>
      <c r="P185" s="25"/>
      <c r="Q185" s="26"/>
      <c r="R185" s="26"/>
      <c r="S185" s="26"/>
      <c r="T185" s="26"/>
      <c r="U185" s="26"/>
      <c r="V185" s="26"/>
      <c r="W185" s="26"/>
      <c r="X185" s="26"/>
      <c r="Y185" s="26"/>
      <c r="Z185" s="26"/>
    </row>
    <row r="186" ht="12.75" customHeight="1">
      <c r="A186" s="31"/>
      <c r="B186" s="53"/>
      <c r="C186" s="26"/>
      <c r="D186" s="54"/>
      <c r="E186" s="25"/>
      <c r="F186" s="25"/>
      <c r="G186" s="25"/>
      <c r="H186" s="25"/>
      <c r="I186" s="25"/>
      <c r="J186" s="25"/>
      <c r="K186" s="25"/>
      <c r="L186" s="25"/>
      <c r="M186" s="25"/>
      <c r="N186" s="25"/>
      <c r="O186" s="25"/>
      <c r="P186" s="25"/>
      <c r="Q186" s="26"/>
      <c r="R186" s="26"/>
      <c r="S186" s="26"/>
      <c r="T186" s="26"/>
      <c r="U186" s="26"/>
      <c r="V186" s="26"/>
      <c r="W186" s="26"/>
      <c r="X186" s="26"/>
      <c r="Y186" s="26"/>
      <c r="Z186" s="26"/>
    </row>
    <row r="187" ht="12.75" customHeight="1">
      <c r="A187" s="31"/>
      <c r="B187" s="53"/>
      <c r="C187" s="26"/>
      <c r="D187" s="54"/>
      <c r="E187" s="25"/>
      <c r="F187" s="25"/>
      <c r="G187" s="25"/>
      <c r="H187" s="25"/>
      <c r="I187" s="25"/>
      <c r="J187" s="25"/>
      <c r="K187" s="25"/>
      <c r="L187" s="25"/>
      <c r="M187" s="25"/>
      <c r="N187" s="25"/>
      <c r="O187" s="25"/>
      <c r="P187" s="25"/>
      <c r="Q187" s="26"/>
      <c r="R187" s="26"/>
      <c r="S187" s="26"/>
      <c r="T187" s="26"/>
      <c r="U187" s="26"/>
      <c r="V187" s="26"/>
      <c r="W187" s="26"/>
      <c r="X187" s="26"/>
      <c r="Y187" s="26"/>
      <c r="Z187" s="26"/>
    </row>
    <row r="188" ht="12.75" customHeight="1">
      <c r="A188" s="31"/>
      <c r="B188" s="53"/>
      <c r="C188" s="26"/>
      <c r="D188" s="54"/>
      <c r="E188" s="25"/>
      <c r="F188" s="25"/>
      <c r="G188" s="25"/>
      <c r="H188" s="25"/>
      <c r="I188" s="25"/>
      <c r="J188" s="25"/>
      <c r="K188" s="25"/>
      <c r="L188" s="25"/>
      <c r="M188" s="25"/>
      <c r="N188" s="25"/>
      <c r="O188" s="25"/>
      <c r="P188" s="25"/>
      <c r="Q188" s="26"/>
      <c r="R188" s="26"/>
      <c r="S188" s="26"/>
      <c r="T188" s="26"/>
      <c r="U188" s="26"/>
      <c r="V188" s="26"/>
      <c r="W188" s="26"/>
      <c r="X188" s="26"/>
      <c r="Y188" s="26"/>
      <c r="Z188" s="26"/>
    </row>
    <row r="189" ht="12.75" customHeight="1">
      <c r="A189" s="31"/>
      <c r="B189" s="53"/>
      <c r="C189" s="26"/>
      <c r="D189" s="54"/>
      <c r="E189" s="25"/>
      <c r="F189" s="25"/>
      <c r="G189" s="25"/>
      <c r="H189" s="25"/>
      <c r="I189" s="25"/>
      <c r="J189" s="25"/>
      <c r="K189" s="25"/>
      <c r="L189" s="25"/>
      <c r="M189" s="25"/>
      <c r="N189" s="25"/>
      <c r="O189" s="25"/>
      <c r="P189" s="25"/>
      <c r="Q189" s="26"/>
      <c r="R189" s="26"/>
      <c r="S189" s="26"/>
      <c r="T189" s="26"/>
      <c r="U189" s="26"/>
      <c r="V189" s="26"/>
      <c r="W189" s="26"/>
      <c r="X189" s="26"/>
      <c r="Y189" s="26"/>
      <c r="Z189" s="26"/>
    </row>
    <row r="190" ht="12.75" customHeight="1">
      <c r="A190" s="31"/>
      <c r="B190" s="53"/>
      <c r="C190" s="26"/>
      <c r="D190" s="54"/>
      <c r="E190" s="25"/>
      <c r="F190" s="25"/>
      <c r="G190" s="25"/>
      <c r="H190" s="25"/>
      <c r="I190" s="25"/>
      <c r="J190" s="25"/>
      <c r="K190" s="25"/>
      <c r="L190" s="25"/>
      <c r="M190" s="25"/>
      <c r="N190" s="25"/>
      <c r="O190" s="25"/>
      <c r="P190" s="25"/>
      <c r="Q190" s="26"/>
      <c r="R190" s="26"/>
      <c r="S190" s="26"/>
      <c r="T190" s="26"/>
      <c r="U190" s="26"/>
      <c r="V190" s="26"/>
      <c r="W190" s="26"/>
      <c r="X190" s="26"/>
      <c r="Y190" s="26"/>
      <c r="Z190" s="26"/>
    </row>
    <row r="191" ht="12.75" customHeight="1">
      <c r="A191" s="31"/>
      <c r="B191" s="53"/>
      <c r="C191" s="26"/>
      <c r="D191" s="54"/>
      <c r="E191" s="25"/>
      <c r="F191" s="25"/>
      <c r="G191" s="25"/>
      <c r="H191" s="25"/>
      <c r="I191" s="25"/>
      <c r="J191" s="25"/>
      <c r="K191" s="25"/>
      <c r="L191" s="25"/>
      <c r="M191" s="25"/>
      <c r="N191" s="25"/>
      <c r="O191" s="25"/>
      <c r="P191" s="25"/>
      <c r="Q191" s="26"/>
      <c r="R191" s="26"/>
      <c r="S191" s="26"/>
      <c r="T191" s="26"/>
      <c r="U191" s="26"/>
      <c r="V191" s="26"/>
      <c r="W191" s="26"/>
      <c r="X191" s="26"/>
      <c r="Y191" s="26"/>
      <c r="Z191" s="26"/>
    </row>
    <row r="192" ht="12.75" customHeight="1">
      <c r="A192" s="31"/>
      <c r="B192" s="53"/>
      <c r="C192" s="26"/>
      <c r="D192" s="54"/>
      <c r="E192" s="25"/>
      <c r="F192" s="25"/>
      <c r="G192" s="25"/>
      <c r="H192" s="25"/>
      <c r="I192" s="25"/>
      <c r="J192" s="25"/>
      <c r="K192" s="25"/>
      <c r="L192" s="25"/>
      <c r="M192" s="25"/>
      <c r="N192" s="25"/>
      <c r="O192" s="25"/>
      <c r="P192" s="25"/>
      <c r="Q192" s="26"/>
      <c r="R192" s="26"/>
      <c r="S192" s="26"/>
      <c r="T192" s="26"/>
      <c r="U192" s="26"/>
      <c r="V192" s="26"/>
      <c r="W192" s="26"/>
      <c r="X192" s="26"/>
      <c r="Y192" s="26"/>
      <c r="Z192" s="26"/>
    </row>
    <row r="193" ht="12.75" customHeight="1">
      <c r="A193" s="31"/>
      <c r="B193" s="53"/>
      <c r="C193" s="26"/>
      <c r="D193" s="54"/>
      <c r="E193" s="25"/>
      <c r="F193" s="25"/>
      <c r="G193" s="25"/>
      <c r="H193" s="25"/>
      <c r="I193" s="25"/>
      <c r="J193" s="25"/>
      <c r="K193" s="25"/>
      <c r="L193" s="25"/>
      <c r="M193" s="25"/>
      <c r="N193" s="25"/>
      <c r="O193" s="25"/>
      <c r="P193" s="25"/>
      <c r="Q193" s="26"/>
      <c r="R193" s="26"/>
      <c r="S193" s="26"/>
      <c r="T193" s="26"/>
      <c r="U193" s="26"/>
      <c r="V193" s="26"/>
      <c r="W193" s="26"/>
      <c r="X193" s="26"/>
      <c r="Y193" s="26"/>
      <c r="Z193" s="26"/>
    </row>
    <row r="194" ht="12.75" customHeight="1">
      <c r="A194" s="31"/>
      <c r="B194" s="53"/>
      <c r="C194" s="26"/>
      <c r="D194" s="54"/>
      <c r="E194" s="25"/>
      <c r="F194" s="25"/>
      <c r="G194" s="25"/>
      <c r="H194" s="25"/>
      <c r="I194" s="25"/>
      <c r="J194" s="25"/>
      <c r="K194" s="25"/>
      <c r="L194" s="25"/>
      <c r="M194" s="25"/>
      <c r="N194" s="25"/>
      <c r="O194" s="25"/>
      <c r="P194" s="25"/>
      <c r="Q194" s="26"/>
      <c r="R194" s="26"/>
      <c r="S194" s="26"/>
      <c r="T194" s="26"/>
      <c r="U194" s="26"/>
      <c r="V194" s="26"/>
      <c r="W194" s="26"/>
      <c r="X194" s="26"/>
      <c r="Y194" s="26"/>
      <c r="Z194" s="26"/>
    </row>
    <row r="195" ht="12.75" customHeight="1">
      <c r="A195" s="31"/>
      <c r="B195" s="53"/>
      <c r="C195" s="26"/>
      <c r="D195" s="54"/>
      <c r="E195" s="25"/>
      <c r="F195" s="25"/>
      <c r="G195" s="25"/>
      <c r="H195" s="25"/>
      <c r="I195" s="25"/>
      <c r="J195" s="25"/>
      <c r="K195" s="25"/>
      <c r="L195" s="25"/>
      <c r="M195" s="25"/>
      <c r="N195" s="25"/>
      <c r="O195" s="25"/>
      <c r="P195" s="25"/>
      <c r="Q195" s="26"/>
      <c r="R195" s="26"/>
      <c r="S195" s="26"/>
      <c r="T195" s="26"/>
      <c r="U195" s="26"/>
      <c r="V195" s="26"/>
      <c r="W195" s="26"/>
      <c r="X195" s="26"/>
      <c r="Y195" s="26"/>
      <c r="Z195" s="26"/>
    </row>
    <row r="196" ht="12.75" customHeight="1">
      <c r="A196" s="31"/>
      <c r="B196" s="53"/>
      <c r="C196" s="26"/>
      <c r="D196" s="54"/>
      <c r="E196" s="25"/>
      <c r="F196" s="25"/>
      <c r="G196" s="25"/>
      <c r="H196" s="25"/>
      <c r="I196" s="25"/>
      <c r="J196" s="25"/>
      <c r="K196" s="25"/>
      <c r="L196" s="25"/>
      <c r="M196" s="25"/>
      <c r="N196" s="25"/>
      <c r="O196" s="25"/>
      <c r="P196" s="25"/>
      <c r="Q196" s="26"/>
      <c r="R196" s="26"/>
      <c r="S196" s="26"/>
      <c r="T196" s="26"/>
      <c r="U196" s="26"/>
      <c r="V196" s="26"/>
      <c r="W196" s="26"/>
      <c r="X196" s="26"/>
      <c r="Y196" s="26"/>
      <c r="Z196" s="26"/>
    </row>
    <row r="197" ht="12.75" customHeight="1">
      <c r="A197" s="31"/>
      <c r="B197" s="53"/>
      <c r="C197" s="26"/>
      <c r="D197" s="54"/>
      <c r="E197" s="25"/>
      <c r="F197" s="25"/>
      <c r="G197" s="25"/>
      <c r="H197" s="25"/>
      <c r="I197" s="25"/>
      <c r="J197" s="25"/>
      <c r="K197" s="25"/>
      <c r="L197" s="25"/>
      <c r="M197" s="25"/>
      <c r="N197" s="25"/>
      <c r="O197" s="25"/>
      <c r="P197" s="25"/>
      <c r="Q197" s="26"/>
      <c r="R197" s="26"/>
      <c r="S197" s="26"/>
      <c r="T197" s="26"/>
      <c r="U197" s="26"/>
      <c r="V197" s="26"/>
      <c r="W197" s="26"/>
      <c r="X197" s="26"/>
      <c r="Y197" s="26"/>
      <c r="Z197" s="26"/>
    </row>
    <row r="198" ht="12.75" customHeight="1">
      <c r="A198" s="31"/>
      <c r="B198" s="53"/>
      <c r="C198" s="26"/>
      <c r="D198" s="54"/>
      <c r="E198" s="25"/>
      <c r="F198" s="25"/>
      <c r="G198" s="25"/>
      <c r="H198" s="25"/>
      <c r="I198" s="25"/>
      <c r="J198" s="25"/>
      <c r="K198" s="25"/>
      <c r="L198" s="25"/>
      <c r="M198" s="25"/>
      <c r="N198" s="25"/>
      <c r="O198" s="25"/>
      <c r="P198" s="25"/>
      <c r="Q198" s="26"/>
      <c r="R198" s="26"/>
      <c r="S198" s="26"/>
      <c r="T198" s="26"/>
      <c r="U198" s="26"/>
      <c r="V198" s="26"/>
      <c r="W198" s="26"/>
      <c r="X198" s="26"/>
      <c r="Y198" s="26"/>
      <c r="Z198" s="26"/>
    </row>
    <row r="199" ht="12.75" customHeight="1">
      <c r="A199" s="31"/>
      <c r="B199" s="53"/>
      <c r="C199" s="26"/>
      <c r="D199" s="54"/>
      <c r="E199" s="25"/>
      <c r="F199" s="25"/>
      <c r="G199" s="25"/>
      <c r="H199" s="25"/>
      <c r="I199" s="25"/>
      <c r="J199" s="25"/>
      <c r="K199" s="25"/>
      <c r="L199" s="25"/>
      <c r="M199" s="25"/>
      <c r="N199" s="25"/>
      <c r="O199" s="25"/>
      <c r="P199" s="25"/>
      <c r="Q199" s="26"/>
      <c r="R199" s="26"/>
      <c r="S199" s="26"/>
      <c r="T199" s="26"/>
      <c r="U199" s="26"/>
      <c r="V199" s="26"/>
      <c r="W199" s="26"/>
      <c r="X199" s="26"/>
      <c r="Y199" s="26"/>
      <c r="Z199" s="26"/>
    </row>
    <row r="200" ht="12.75" customHeight="1">
      <c r="A200" s="31"/>
      <c r="B200" s="53"/>
      <c r="C200" s="26"/>
      <c r="D200" s="54"/>
      <c r="E200" s="25"/>
      <c r="F200" s="25"/>
      <c r="G200" s="25"/>
      <c r="H200" s="25"/>
      <c r="I200" s="25"/>
      <c r="J200" s="25"/>
      <c r="K200" s="25"/>
      <c r="L200" s="25"/>
      <c r="M200" s="25"/>
      <c r="N200" s="25"/>
      <c r="O200" s="25"/>
      <c r="P200" s="25"/>
      <c r="Q200" s="26"/>
      <c r="R200" s="26"/>
      <c r="S200" s="26"/>
      <c r="T200" s="26"/>
      <c r="U200" s="26"/>
      <c r="V200" s="26"/>
      <c r="W200" s="26"/>
      <c r="X200" s="26"/>
      <c r="Y200" s="26"/>
      <c r="Z200" s="26"/>
    </row>
    <row r="201" ht="12.75" customHeight="1">
      <c r="A201" s="31"/>
      <c r="B201" s="53"/>
      <c r="C201" s="26"/>
      <c r="D201" s="54"/>
      <c r="E201" s="25"/>
      <c r="F201" s="25"/>
      <c r="G201" s="25"/>
      <c r="H201" s="25"/>
      <c r="I201" s="25"/>
      <c r="J201" s="25"/>
      <c r="K201" s="25"/>
      <c r="L201" s="25"/>
      <c r="M201" s="25"/>
      <c r="N201" s="25"/>
      <c r="O201" s="25"/>
      <c r="P201" s="25"/>
      <c r="Q201" s="26"/>
      <c r="R201" s="26"/>
      <c r="S201" s="26"/>
      <c r="T201" s="26"/>
      <c r="U201" s="26"/>
      <c r="V201" s="26"/>
      <c r="W201" s="26"/>
      <c r="X201" s="26"/>
      <c r="Y201" s="26"/>
      <c r="Z201" s="26"/>
    </row>
    <row r="202" ht="12.75" customHeight="1">
      <c r="A202" s="31"/>
      <c r="B202" s="53"/>
      <c r="C202" s="26"/>
      <c r="D202" s="54"/>
      <c r="E202" s="25"/>
      <c r="F202" s="25"/>
      <c r="G202" s="25"/>
      <c r="H202" s="25"/>
      <c r="I202" s="25"/>
      <c r="J202" s="25"/>
      <c r="K202" s="25"/>
      <c r="L202" s="25"/>
      <c r="M202" s="25"/>
      <c r="N202" s="25"/>
      <c r="O202" s="25"/>
      <c r="P202" s="25"/>
      <c r="Q202" s="26"/>
      <c r="R202" s="26"/>
      <c r="S202" s="26"/>
      <c r="T202" s="26"/>
      <c r="U202" s="26"/>
      <c r="V202" s="26"/>
      <c r="W202" s="26"/>
      <c r="X202" s="26"/>
      <c r="Y202" s="26"/>
      <c r="Z202" s="26"/>
    </row>
    <row r="203" ht="12.75" customHeight="1">
      <c r="A203" s="31"/>
      <c r="B203" s="53"/>
      <c r="C203" s="26"/>
      <c r="D203" s="54"/>
      <c r="E203" s="25"/>
      <c r="F203" s="25"/>
      <c r="G203" s="25"/>
      <c r="H203" s="25"/>
      <c r="I203" s="25"/>
      <c r="J203" s="25"/>
      <c r="K203" s="25"/>
      <c r="L203" s="25"/>
      <c r="M203" s="25"/>
      <c r="N203" s="25"/>
      <c r="O203" s="25"/>
      <c r="P203" s="25"/>
      <c r="Q203" s="26"/>
      <c r="R203" s="26"/>
      <c r="S203" s="26"/>
      <c r="T203" s="26"/>
      <c r="U203" s="26"/>
      <c r="V203" s="26"/>
      <c r="W203" s="26"/>
      <c r="X203" s="26"/>
      <c r="Y203" s="26"/>
      <c r="Z203" s="26"/>
    </row>
    <row r="204" ht="12.75" customHeight="1">
      <c r="A204" s="31"/>
      <c r="B204" s="53"/>
      <c r="C204" s="26"/>
      <c r="D204" s="54"/>
      <c r="E204" s="25"/>
      <c r="F204" s="25"/>
      <c r="G204" s="25"/>
      <c r="H204" s="25"/>
      <c r="I204" s="25"/>
      <c r="J204" s="25"/>
      <c r="K204" s="25"/>
      <c r="L204" s="25"/>
      <c r="M204" s="25"/>
      <c r="N204" s="25"/>
      <c r="O204" s="25"/>
      <c r="P204" s="25"/>
      <c r="Q204" s="26"/>
      <c r="R204" s="26"/>
      <c r="S204" s="26"/>
      <c r="T204" s="26"/>
      <c r="U204" s="26"/>
      <c r="V204" s="26"/>
      <c r="W204" s="26"/>
      <c r="X204" s="26"/>
      <c r="Y204" s="26"/>
      <c r="Z204" s="26"/>
    </row>
    <row r="205" ht="12.75" customHeight="1">
      <c r="A205" s="31"/>
      <c r="B205" s="53"/>
      <c r="C205" s="26"/>
      <c r="D205" s="54"/>
      <c r="E205" s="25"/>
      <c r="F205" s="25"/>
      <c r="G205" s="25"/>
      <c r="H205" s="25"/>
      <c r="I205" s="25"/>
      <c r="J205" s="25"/>
      <c r="K205" s="25"/>
      <c r="L205" s="25"/>
      <c r="M205" s="25"/>
      <c r="N205" s="25"/>
      <c r="O205" s="25"/>
      <c r="P205" s="25"/>
      <c r="Q205" s="26"/>
      <c r="R205" s="26"/>
      <c r="S205" s="26"/>
      <c r="T205" s="26"/>
      <c r="U205" s="26"/>
      <c r="V205" s="26"/>
      <c r="W205" s="26"/>
      <c r="X205" s="26"/>
      <c r="Y205" s="26"/>
      <c r="Z205" s="26"/>
    </row>
    <row r="206" ht="12.75" customHeight="1">
      <c r="A206" s="31"/>
      <c r="B206" s="53"/>
      <c r="C206" s="26"/>
      <c r="D206" s="54"/>
      <c r="E206" s="25"/>
      <c r="F206" s="25"/>
      <c r="G206" s="25"/>
      <c r="H206" s="25"/>
      <c r="I206" s="25"/>
      <c r="J206" s="25"/>
      <c r="K206" s="25"/>
      <c r="L206" s="25"/>
      <c r="M206" s="25"/>
      <c r="N206" s="25"/>
      <c r="O206" s="25"/>
      <c r="P206" s="25"/>
      <c r="Q206" s="26"/>
      <c r="R206" s="26"/>
      <c r="S206" s="26"/>
      <c r="T206" s="26"/>
      <c r="U206" s="26"/>
      <c r="V206" s="26"/>
      <c r="W206" s="26"/>
      <c r="X206" s="26"/>
      <c r="Y206" s="26"/>
      <c r="Z206" s="26"/>
    </row>
    <row r="207" ht="12.75" customHeight="1">
      <c r="A207" s="31"/>
      <c r="B207" s="53"/>
      <c r="C207" s="26"/>
      <c r="D207" s="54"/>
      <c r="E207" s="25"/>
      <c r="F207" s="25"/>
      <c r="G207" s="25"/>
      <c r="H207" s="25"/>
      <c r="I207" s="25"/>
      <c r="J207" s="25"/>
      <c r="K207" s="25"/>
      <c r="L207" s="25"/>
      <c r="M207" s="25"/>
      <c r="N207" s="25"/>
      <c r="O207" s="25"/>
      <c r="P207" s="25"/>
      <c r="Q207" s="26"/>
      <c r="R207" s="26"/>
      <c r="S207" s="26"/>
      <c r="T207" s="26"/>
      <c r="U207" s="26"/>
      <c r="V207" s="26"/>
      <c r="W207" s="26"/>
      <c r="X207" s="26"/>
      <c r="Y207" s="26"/>
      <c r="Z207" s="26"/>
    </row>
    <row r="208" ht="12.75" customHeight="1">
      <c r="A208" s="31"/>
      <c r="B208" s="53"/>
      <c r="C208" s="26"/>
      <c r="D208" s="54"/>
      <c r="E208" s="25"/>
      <c r="F208" s="25"/>
      <c r="G208" s="25"/>
      <c r="H208" s="25"/>
      <c r="I208" s="25"/>
      <c r="J208" s="25"/>
      <c r="K208" s="25"/>
      <c r="L208" s="25"/>
      <c r="M208" s="25"/>
      <c r="N208" s="25"/>
      <c r="O208" s="25"/>
      <c r="P208" s="25"/>
      <c r="Q208" s="26"/>
      <c r="R208" s="26"/>
      <c r="S208" s="26"/>
      <c r="T208" s="26"/>
      <c r="U208" s="26"/>
      <c r="V208" s="26"/>
      <c r="W208" s="26"/>
      <c r="X208" s="26"/>
      <c r="Y208" s="26"/>
      <c r="Z208" s="26"/>
    </row>
    <row r="209" ht="12.75" customHeight="1">
      <c r="A209" s="31"/>
      <c r="B209" s="53"/>
      <c r="C209" s="26"/>
      <c r="D209" s="54"/>
      <c r="E209" s="25"/>
      <c r="F209" s="25"/>
      <c r="G209" s="25"/>
      <c r="H209" s="25"/>
      <c r="I209" s="25"/>
      <c r="J209" s="25"/>
      <c r="K209" s="25"/>
      <c r="L209" s="25"/>
      <c r="M209" s="25"/>
      <c r="N209" s="25"/>
      <c r="O209" s="25"/>
      <c r="P209" s="25"/>
      <c r="Q209" s="26"/>
      <c r="R209" s="26"/>
      <c r="S209" s="26"/>
      <c r="T209" s="26"/>
      <c r="U209" s="26"/>
      <c r="V209" s="26"/>
      <c r="W209" s="26"/>
      <c r="X209" s="26"/>
      <c r="Y209" s="26"/>
      <c r="Z209" s="26"/>
    </row>
    <row r="210" ht="12.75" customHeight="1">
      <c r="A210" s="31"/>
      <c r="B210" s="53"/>
      <c r="C210" s="26"/>
      <c r="D210" s="54"/>
      <c r="E210" s="25"/>
      <c r="F210" s="25"/>
      <c r="G210" s="25"/>
      <c r="H210" s="25"/>
      <c r="I210" s="25"/>
      <c r="J210" s="25"/>
      <c r="K210" s="25"/>
      <c r="L210" s="25"/>
      <c r="M210" s="25"/>
      <c r="N210" s="25"/>
      <c r="O210" s="25"/>
      <c r="P210" s="25"/>
      <c r="Q210" s="26"/>
      <c r="R210" s="26"/>
      <c r="S210" s="26"/>
      <c r="T210" s="26"/>
      <c r="U210" s="26"/>
      <c r="V210" s="26"/>
      <c r="W210" s="26"/>
      <c r="X210" s="26"/>
      <c r="Y210" s="26"/>
      <c r="Z210" s="26"/>
    </row>
    <row r="211" ht="12.75" customHeight="1">
      <c r="A211" s="31"/>
      <c r="B211" s="53"/>
      <c r="C211" s="26"/>
      <c r="D211" s="54"/>
      <c r="E211" s="25"/>
      <c r="F211" s="25"/>
      <c r="G211" s="25"/>
      <c r="H211" s="25"/>
      <c r="I211" s="25"/>
      <c r="J211" s="25"/>
      <c r="K211" s="25"/>
      <c r="L211" s="25"/>
      <c r="M211" s="25"/>
      <c r="N211" s="25"/>
      <c r="O211" s="25"/>
      <c r="P211" s="25"/>
      <c r="Q211" s="26"/>
      <c r="R211" s="26"/>
      <c r="S211" s="26"/>
      <c r="T211" s="26"/>
      <c r="U211" s="26"/>
      <c r="V211" s="26"/>
      <c r="W211" s="26"/>
      <c r="X211" s="26"/>
      <c r="Y211" s="26"/>
      <c r="Z211" s="26"/>
    </row>
    <row r="212" ht="12.75" customHeight="1">
      <c r="A212" s="31"/>
      <c r="B212" s="53"/>
      <c r="C212" s="26"/>
      <c r="D212" s="54"/>
      <c r="E212" s="25"/>
      <c r="F212" s="25"/>
      <c r="G212" s="25"/>
      <c r="H212" s="25"/>
      <c r="I212" s="25"/>
      <c r="J212" s="25"/>
      <c r="K212" s="25"/>
      <c r="L212" s="25"/>
      <c r="M212" s="25"/>
      <c r="N212" s="25"/>
      <c r="O212" s="25"/>
      <c r="P212" s="25"/>
      <c r="Q212" s="26"/>
      <c r="R212" s="26"/>
      <c r="S212" s="26"/>
      <c r="T212" s="26"/>
      <c r="U212" s="26"/>
      <c r="V212" s="26"/>
      <c r="W212" s="26"/>
      <c r="X212" s="26"/>
      <c r="Y212" s="26"/>
      <c r="Z212" s="26"/>
    </row>
    <row r="213" ht="12.75" customHeight="1">
      <c r="A213" s="31"/>
      <c r="B213" s="53"/>
      <c r="C213" s="26"/>
      <c r="D213" s="54"/>
      <c r="E213" s="25"/>
      <c r="F213" s="25"/>
      <c r="G213" s="25"/>
      <c r="H213" s="25"/>
      <c r="I213" s="25"/>
      <c r="J213" s="25"/>
      <c r="K213" s="25"/>
      <c r="L213" s="25"/>
      <c r="M213" s="25"/>
      <c r="N213" s="25"/>
      <c r="O213" s="25"/>
      <c r="P213" s="25"/>
      <c r="Q213" s="26"/>
      <c r="R213" s="26"/>
      <c r="S213" s="26"/>
      <c r="T213" s="26"/>
      <c r="U213" s="26"/>
      <c r="V213" s="26"/>
      <c r="W213" s="26"/>
      <c r="X213" s="26"/>
      <c r="Y213" s="26"/>
      <c r="Z213" s="26"/>
    </row>
    <row r="214" ht="12.75" customHeight="1">
      <c r="A214" s="31"/>
      <c r="B214" s="53"/>
      <c r="C214" s="26"/>
      <c r="D214" s="54"/>
      <c r="E214" s="25"/>
      <c r="F214" s="25"/>
      <c r="G214" s="25"/>
      <c r="H214" s="25"/>
      <c r="I214" s="25"/>
      <c r="J214" s="25"/>
      <c r="K214" s="25"/>
      <c r="L214" s="25"/>
      <c r="M214" s="25"/>
      <c r="N214" s="25"/>
      <c r="O214" s="25"/>
      <c r="P214" s="25"/>
      <c r="Q214" s="26"/>
      <c r="R214" s="26"/>
      <c r="S214" s="26"/>
      <c r="T214" s="26"/>
      <c r="U214" s="26"/>
      <c r="V214" s="26"/>
      <c r="W214" s="26"/>
      <c r="X214" s="26"/>
      <c r="Y214" s="26"/>
      <c r="Z214" s="26"/>
    </row>
    <row r="215" ht="12.75" customHeight="1">
      <c r="A215" s="31"/>
      <c r="B215" s="53"/>
      <c r="C215" s="26"/>
      <c r="D215" s="54"/>
      <c r="E215" s="25"/>
      <c r="F215" s="25"/>
      <c r="G215" s="25"/>
      <c r="H215" s="25"/>
      <c r="I215" s="25"/>
      <c r="J215" s="25"/>
      <c r="K215" s="25"/>
      <c r="L215" s="25"/>
      <c r="M215" s="25"/>
      <c r="N215" s="25"/>
      <c r="O215" s="25"/>
      <c r="P215" s="25"/>
      <c r="Q215" s="26"/>
      <c r="R215" s="26"/>
      <c r="S215" s="26"/>
      <c r="T215" s="26"/>
      <c r="U215" s="26"/>
      <c r="V215" s="26"/>
      <c r="W215" s="26"/>
      <c r="X215" s="26"/>
      <c r="Y215" s="26"/>
      <c r="Z215" s="26"/>
    </row>
    <row r="216" ht="12.75" customHeight="1">
      <c r="A216" s="31"/>
      <c r="B216" s="53"/>
      <c r="C216" s="26"/>
      <c r="D216" s="54"/>
      <c r="E216" s="25"/>
      <c r="F216" s="25"/>
      <c r="G216" s="25"/>
      <c r="H216" s="25"/>
      <c r="I216" s="25"/>
      <c r="J216" s="25"/>
      <c r="K216" s="25"/>
      <c r="L216" s="25"/>
      <c r="M216" s="25"/>
      <c r="N216" s="25"/>
      <c r="O216" s="25"/>
      <c r="P216" s="25"/>
      <c r="Q216" s="26"/>
      <c r="R216" s="26"/>
      <c r="S216" s="26"/>
      <c r="T216" s="26"/>
      <c r="U216" s="26"/>
      <c r="V216" s="26"/>
      <c r="W216" s="26"/>
      <c r="X216" s="26"/>
      <c r="Y216" s="26"/>
      <c r="Z216" s="26"/>
    </row>
    <row r="217" ht="12.75" customHeight="1">
      <c r="A217" s="31"/>
      <c r="B217" s="53"/>
      <c r="C217" s="26"/>
      <c r="D217" s="54"/>
      <c r="E217" s="25"/>
      <c r="F217" s="25"/>
      <c r="G217" s="25"/>
      <c r="H217" s="25"/>
      <c r="I217" s="25"/>
      <c r="J217" s="25"/>
      <c r="K217" s="25"/>
      <c r="L217" s="25"/>
      <c r="M217" s="25"/>
      <c r="N217" s="25"/>
      <c r="O217" s="25"/>
      <c r="P217" s="25"/>
      <c r="Q217" s="26"/>
      <c r="R217" s="26"/>
      <c r="S217" s="26"/>
      <c r="T217" s="26"/>
      <c r="U217" s="26"/>
      <c r="V217" s="26"/>
      <c r="W217" s="26"/>
      <c r="X217" s="26"/>
      <c r="Y217" s="26"/>
      <c r="Z217" s="26"/>
    </row>
    <row r="218" ht="12.75" customHeight="1">
      <c r="A218" s="31"/>
      <c r="B218" s="53"/>
      <c r="C218" s="26"/>
      <c r="D218" s="54"/>
      <c r="E218" s="25"/>
      <c r="F218" s="25"/>
      <c r="G218" s="25"/>
      <c r="H218" s="25"/>
      <c r="I218" s="25"/>
      <c r="J218" s="25"/>
      <c r="K218" s="25"/>
      <c r="L218" s="25"/>
      <c r="M218" s="25"/>
      <c r="N218" s="25"/>
      <c r="O218" s="25"/>
      <c r="P218" s="25"/>
      <c r="Q218" s="26"/>
      <c r="R218" s="26"/>
      <c r="S218" s="26"/>
      <c r="T218" s="26"/>
      <c r="U218" s="26"/>
      <c r="V218" s="26"/>
      <c r="W218" s="26"/>
      <c r="X218" s="26"/>
      <c r="Y218" s="26"/>
      <c r="Z218" s="26"/>
    </row>
    <row r="219" ht="12.75" customHeight="1">
      <c r="A219" s="31"/>
      <c r="B219" s="53"/>
      <c r="C219" s="26"/>
      <c r="D219" s="54"/>
      <c r="E219" s="25"/>
      <c r="F219" s="25"/>
      <c r="G219" s="25"/>
      <c r="H219" s="25"/>
      <c r="I219" s="25"/>
      <c r="J219" s="25"/>
      <c r="K219" s="25"/>
      <c r="L219" s="25"/>
      <c r="M219" s="25"/>
      <c r="N219" s="25"/>
      <c r="O219" s="25"/>
      <c r="P219" s="25"/>
      <c r="Q219" s="26"/>
      <c r="R219" s="26"/>
      <c r="S219" s="26"/>
      <c r="T219" s="26"/>
      <c r="U219" s="26"/>
      <c r="V219" s="26"/>
      <c r="W219" s="26"/>
      <c r="X219" s="26"/>
      <c r="Y219" s="26"/>
      <c r="Z219" s="26"/>
    </row>
    <row r="220" ht="12.75" customHeight="1">
      <c r="A220" s="31"/>
      <c r="B220" s="53"/>
      <c r="C220" s="26"/>
      <c r="D220" s="54"/>
      <c r="E220" s="25"/>
      <c r="F220" s="25"/>
      <c r="G220" s="25"/>
      <c r="H220" s="25"/>
      <c r="I220" s="25"/>
      <c r="J220" s="25"/>
      <c r="K220" s="25"/>
      <c r="L220" s="25"/>
      <c r="M220" s="25"/>
      <c r="N220" s="25"/>
      <c r="O220" s="25"/>
      <c r="P220" s="25"/>
      <c r="Q220" s="26"/>
      <c r="R220" s="26"/>
      <c r="S220" s="26"/>
      <c r="T220" s="26"/>
      <c r="U220" s="26"/>
      <c r="V220" s="26"/>
      <c r="W220" s="26"/>
      <c r="X220" s="26"/>
      <c r="Y220" s="26"/>
      <c r="Z220" s="26"/>
    </row>
    <row r="221" ht="12.75" customHeight="1">
      <c r="A221" s="31"/>
      <c r="B221" s="53"/>
      <c r="C221" s="26"/>
      <c r="D221" s="54"/>
      <c r="E221" s="25"/>
      <c r="F221" s="25"/>
      <c r="G221" s="25"/>
      <c r="H221" s="25"/>
      <c r="I221" s="25"/>
      <c r="J221" s="25"/>
      <c r="K221" s="25"/>
      <c r="L221" s="25"/>
      <c r="M221" s="25"/>
      <c r="N221" s="25"/>
      <c r="O221" s="25"/>
      <c r="P221" s="25"/>
      <c r="Q221" s="26"/>
      <c r="R221" s="26"/>
      <c r="S221" s="26"/>
      <c r="T221" s="26"/>
      <c r="U221" s="26"/>
      <c r="V221" s="26"/>
      <c r="W221" s="26"/>
      <c r="X221" s="26"/>
      <c r="Y221" s="26"/>
      <c r="Z221" s="26"/>
    </row>
    <row r="222" ht="12.75" customHeight="1">
      <c r="A222" s="31"/>
      <c r="B222" s="53"/>
      <c r="C222" s="26"/>
      <c r="D222" s="54"/>
      <c r="E222" s="25"/>
      <c r="F222" s="25"/>
      <c r="G222" s="25"/>
      <c r="H222" s="25"/>
      <c r="I222" s="25"/>
      <c r="J222" s="25"/>
      <c r="K222" s="25"/>
      <c r="L222" s="25"/>
      <c r="M222" s="25"/>
      <c r="N222" s="25"/>
      <c r="O222" s="25"/>
      <c r="P222" s="25"/>
      <c r="Q222" s="26"/>
      <c r="R222" s="26"/>
      <c r="S222" s="26"/>
      <c r="T222" s="26"/>
      <c r="U222" s="26"/>
      <c r="V222" s="26"/>
      <c r="W222" s="26"/>
      <c r="X222" s="26"/>
      <c r="Y222" s="26"/>
      <c r="Z222" s="26"/>
    </row>
    <row r="223" ht="12.75" customHeight="1">
      <c r="A223" s="31"/>
      <c r="B223" s="53"/>
      <c r="C223" s="26"/>
      <c r="D223" s="54"/>
      <c r="E223" s="25"/>
      <c r="F223" s="25"/>
      <c r="G223" s="25"/>
      <c r="H223" s="25"/>
      <c r="I223" s="25"/>
      <c r="J223" s="25"/>
      <c r="K223" s="25"/>
      <c r="L223" s="25"/>
      <c r="M223" s="25"/>
      <c r="N223" s="25"/>
      <c r="O223" s="25"/>
      <c r="P223" s="25"/>
      <c r="Q223" s="26"/>
      <c r="R223" s="26"/>
      <c r="S223" s="26"/>
      <c r="T223" s="26"/>
      <c r="U223" s="26"/>
      <c r="V223" s="26"/>
      <c r="W223" s="26"/>
      <c r="X223" s="26"/>
      <c r="Y223" s="26"/>
      <c r="Z223" s="26"/>
    </row>
    <row r="224" ht="12.75" customHeight="1">
      <c r="A224" s="31"/>
      <c r="B224" s="53"/>
      <c r="C224" s="26"/>
      <c r="D224" s="54"/>
      <c r="E224" s="25"/>
      <c r="F224" s="25"/>
      <c r="G224" s="25"/>
      <c r="H224" s="25"/>
      <c r="I224" s="25"/>
      <c r="J224" s="25"/>
      <c r="K224" s="25"/>
      <c r="L224" s="25"/>
      <c r="M224" s="25"/>
      <c r="N224" s="25"/>
      <c r="O224" s="25"/>
      <c r="P224" s="25"/>
      <c r="Q224" s="26"/>
      <c r="R224" s="26"/>
      <c r="S224" s="26"/>
      <c r="T224" s="26"/>
      <c r="U224" s="26"/>
      <c r="V224" s="26"/>
      <c r="W224" s="26"/>
      <c r="X224" s="26"/>
      <c r="Y224" s="26"/>
      <c r="Z224" s="26"/>
    </row>
    <row r="225" ht="12.75" customHeight="1">
      <c r="A225" s="31"/>
      <c r="B225" s="53"/>
      <c r="C225" s="26"/>
      <c r="D225" s="54"/>
      <c r="E225" s="25"/>
      <c r="F225" s="25"/>
      <c r="G225" s="25"/>
      <c r="H225" s="25"/>
      <c r="I225" s="25"/>
      <c r="J225" s="25"/>
      <c r="K225" s="25"/>
      <c r="L225" s="25"/>
      <c r="M225" s="25"/>
      <c r="N225" s="25"/>
      <c r="O225" s="25"/>
      <c r="P225" s="25"/>
      <c r="Q225" s="26"/>
      <c r="R225" s="26"/>
      <c r="S225" s="26"/>
      <c r="T225" s="26"/>
      <c r="U225" s="26"/>
      <c r="V225" s="26"/>
      <c r="W225" s="26"/>
      <c r="X225" s="26"/>
      <c r="Y225" s="26"/>
      <c r="Z225" s="26"/>
    </row>
    <row r="226" ht="12.75" customHeight="1">
      <c r="A226" s="31"/>
      <c r="B226" s="53"/>
      <c r="C226" s="26"/>
      <c r="D226" s="54"/>
      <c r="E226" s="25"/>
      <c r="F226" s="25"/>
      <c r="G226" s="25"/>
      <c r="H226" s="25"/>
      <c r="I226" s="25"/>
      <c r="J226" s="25"/>
      <c r="K226" s="25"/>
      <c r="L226" s="25"/>
      <c r="M226" s="25"/>
      <c r="N226" s="25"/>
      <c r="O226" s="25"/>
      <c r="P226" s="25"/>
      <c r="Q226" s="26"/>
      <c r="R226" s="26"/>
      <c r="S226" s="26"/>
      <c r="T226" s="26"/>
      <c r="U226" s="26"/>
      <c r="V226" s="26"/>
      <c r="W226" s="26"/>
      <c r="X226" s="26"/>
      <c r="Y226" s="26"/>
      <c r="Z226" s="26"/>
    </row>
    <row r="227" ht="12.75" customHeight="1">
      <c r="A227" s="31"/>
      <c r="B227" s="53"/>
      <c r="C227" s="26"/>
      <c r="D227" s="54"/>
      <c r="E227" s="25"/>
      <c r="F227" s="25"/>
      <c r="G227" s="25"/>
      <c r="H227" s="25"/>
      <c r="I227" s="25"/>
      <c r="J227" s="25"/>
      <c r="K227" s="25"/>
      <c r="L227" s="25"/>
      <c r="M227" s="25"/>
      <c r="N227" s="25"/>
      <c r="O227" s="25"/>
      <c r="P227" s="25"/>
      <c r="Q227" s="26"/>
      <c r="R227" s="26"/>
      <c r="S227" s="26"/>
      <c r="T227" s="26"/>
      <c r="U227" s="26"/>
      <c r="V227" s="26"/>
      <c r="W227" s="26"/>
      <c r="X227" s="26"/>
      <c r="Y227" s="26"/>
      <c r="Z227" s="26"/>
    </row>
    <row r="228" ht="12.75" customHeight="1">
      <c r="A228" s="31"/>
      <c r="B228" s="53"/>
      <c r="C228" s="26"/>
      <c r="D228" s="54"/>
      <c r="E228" s="25"/>
      <c r="F228" s="25"/>
      <c r="G228" s="25"/>
      <c r="H228" s="25"/>
      <c r="I228" s="25"/>
      <c r="J228" s="25"/>
      <c r="K228" s="25"/>
      <c r="L228" s="25"/>
      <c r="M228" s="25"/>
      <c r="N228" s="25"/>
      <c r="O228" s="25"/>
      <c r="P228" s="25"/>
      <c r="Q228" s="26"/>
      <c r="R228" s="26"/>
      <c r="S228" s="26"/>
      <c r="T228" s="26"/>
      <c r="U228" s="26"/>
      <c r="V228" s="26"/>
      <c r="W228" s="26"/>
      <c r="X228" s="26"/>
      <c r="Y228" s="26"/>
      <c r="Z228" s="26"/>
    </row>
    <row r="229" ht="12.75" customHeight="1">
      <c r="A229" s="31"/>
      <c r="B229" s="53"/>
      <c r="C229" s="26"/>
      <c r="D229" s="54"/>
      <c r="E229" s="25"/>
      <c r="F229" s="25"/>
      <c r="G229" s="25"/>
      <c r="H229" s="25"/>
      <c r="I229" s="25"/>
      <c r="J229" s="25"/>
      <c r="K229" s="25"/>
      <c r="L229" s="25"/>
      <c r="M229" s="25"/>
      <c r="N229" s="25"/>
      <c r="O229" s="25"/>
      <c r="P229" s="25"/>
      <c r="Q229" s="26"/>
      <c r="R229" s="26"/>
      <c r="S229" s="26"/>
      <c r="T229" s="26"/>
      <c r="U229" s="26"/>
      <c r="V229" s="26"/>
      <c r="W229" s="26"/>
      <c r="X229" s="26"/>
      <c r="Y229" s="26"/>
      <c r="Z229" s="26"/>
    </row>
    <row r="230" ht="12.75" customHeight="1">
      <c r="A230" s="31"/>
      <c r="B230" s="53"/>
      <c r="C230" s="26"/>
      <c r="D230" s="54"/>
      <c r="E230" s="25"/>
      <c r="F230" s="25"/>
      <c r="G230" s="25"/>
      <c r="H230" s="25"/>
      <c r="I230" s="25"/>
      <c r="J230" s="25"/>
      <c r="K230" s="25"/>
      <c r="L230" s="25"/>
      <c r="M230" s="25"/>
      <c r="N230" s="25"/>
      <c r="O230" s="25"/>
      <c r="P230" s="25"/>
      <c r="Q230" s="26"/>
      <c r="R230" s="26"/>
      <c r="S230" s="26"/>
      <c r="T230" s="26"/>
      <c r="U230" s="26"/>
      <c r="V230" s="26"/>
      <c r="W230" s="26"/>
      <c r="X230" s="26"/>
      <c r="Y230" s="26"/>
      <c r="Z230" s="26"/>
    </row>
    <row r="231" ht="12.75" customHeight="1">
      <c r="A231" s="31"/>
      <c r="B231" s="53"/>
      <c r="C231" s="26"/>
      <c r="D231" s="54"/>
      <c r="E231" s="25"/>
      <c r="F231" s="25"/>
      <c r="G231" s="25"/>
      <c r="H231" s="25"/>
      <c r="I231" s="25"/>
      <c r="J231" s="25"/>
      <c r="K231" s="25"/>
      <c r="L231" s="25"/>
      <c r="M231" s="25"/>
      <c r="N231" s="25"/>
      <c r="O231" s="25"/>
      <c r="P231" s="25"/>
      <c r="Q231" s="26"/>
      <c r="R231" s="26"/>
      <c r="S231" s="26"/>
      <c r="T231" s="26"/>
      <c r="U231" s="26"/>
      <c r="V231" s="26"/>
      <c r="W231" s="26"/>
      <c r="X231" s="26"/>
      <c r="Y231" s="26"/>
      <c r="Z231" s="26"/>
    </row>
    <row r="232" ht="12.75" customHeight="1">
      <c r="A232" s="31"/>
      <c r="B232" s="53"/>
      <c r="C232" s="26"/>
      <c r="D232" s="54"/>
      <c r="E232" s="25"/>
      <c r="F232" s="25"/>
      <c r="G232" s="25"/>
      <c r="H232" s="25"/>
      <c r="I232" s="25"/>
      <c r="J232" s="25"/>
      <c r="K232" s="25"/>
      <c r="L232" s="25"/>
      <c r="M232" s="25"/>
      <c r="N232" s="25"/>
      <c r="O232" s="25"/>
      <c r="P232" s="25"/>
      <c r="Q232" s="26"/>
      <c r="R232" s="26"/>
      <c r="S232" s="26"/>
      <c r="T232" s="26"/>
      <c r="U232" s="26"/>
      <c r="V232" s="26"/>
      <c r="W232" s="26"/>
      <c r="X232" s="26"/>
      <c r="Y232" s="26"/>
      <c r="Z232" s="26"/>
    </row>
    <row r="233" ht="12.75" customHeight="1">
      <c r="A233" s="31"/>
      <c r="B233" s="53"/>
      <c r="C233" s="26"/>
      <c r="D233" s="54"/>
      <c r="E233" s="25"/>
      <c r="F233" s="25"/>
      <c r="G233" s="25"/>
      <c r="H233" s="25"/>
      <c r="I233" s="25"/>
      <c r="J233" s="25"/>
      <c r="K233" s="25"/>
      <c r="L233" s="25"/>
      <c r="M233" s="25"/>
      <c r="N233" s="25"/>
      <c r="O233" s="25"/>
      <c r="P233" s="25"/>
      <c r="Q233" s="26"/>
      <c r="R233" s="26"/>
      <c r="S233" s="26"/>
      <c r="T233" s="26"/>
      <c r="U233" s="26"/>
      <c r="V233" s="26"/>
      <c r="W233" s="26"/>
      <c r="X233" s="26"/>
      <c r="Y233" s="26"/>
      <c r="Z233" s="26"/>
    </row>
    <row r="234" ht="12.75" customHeight="1">
      <c r="A234" s="31"/>
      <c r="B234" s="53"/>
      <c r="C234" s="26"/>
      <c r="D234" s="54"/>
      <c r="E234" s="25"/>
      <c r="F234" s="25"/>
      <c r="G234" s="25"/>
      <c r="H234" s="25"/>
      <c r="I234" s="25"/>
      <c r="J234" s="25"/>
      <c r="K234" s="25"/>
      <c r="L234" s="25"/>
      <c r="M234" s="25"/>
      <c r="N234" s="25"/>
      <c r="O234" s="25"/>
      <c r="P234" s="25"/>
      <c r="Q234" s="26"/>
      <c r="R234" s="26"/>
      <c r="S234" s="26"/>
      <c r="T234" s="26"/>
      <c r="U234" s="26"/>
      <c r="V234" s="26"/>
      <c r="W234" s="26"/>
      <c r="X234" s="26"/>
      <c r="Y234" s="26"/>
      <c r="Z234" s="26"/>
    </row>
    <row r="235" ht="12.75" customHeight="1">
      <c r="A235" s="31"/>
      <c r="B235" s="53"/>
      <c r="C235" s="26"/>
      <c r="D235" s="54"/>
      <c r="E235" s="25"/>
      <c r="F235" s="25"/>
      <c r="G235" s="25"/>
      <c r="H235" s="25"/>
      <c r="I235" s="25"/>
      <c r="J235" s="25"/>
      <c r="K235" s="25"/>
      <c r="L235" s="25"/>
      <c r="M235" s="25"/>
      <c r="N235" s="25"/>
      <c r="O235" s="25"/>
      <c r="P235" s="25"/>
      <c r="Q235" s="26"/>
      <c r="R235" s="26"/>
      <c r="S235" s="26"/>
      <c r="T235" s="26"/>
      <c r="U235" s="26"/>
      <c r="V235" s="26"/>
      <c r="W235" s="26"/>
      <c r="X235" s="26"/>
      <c r="Y235" s="26"/>
      <c r="Z235" s="26"/>
    </row>
    <row r="236" ht="12.75" customHeight="1">
      <c r="A236" s="31"/>
      <c r="B236" s="53"/>
      <c r="C236" s="26"/>
      <c r="D236" s="54"/>
      <c r="E236" s="25"/>
      <c r="F236" s="25"/>
      <c r="G236" s="25"/>
      <c r="H236" s="25"/>
      <c r="I236" s="25"/>
      <c r="J236" s="25"/>
      <c r="K236" s="25"/>
      <c r="L236" s="25"/>
      <c r="M236" s="25"/>
      <c r="N236" s="25"/>
      <c r="O236" s="25"/>
      <c r="P236" s="25"/>
      <c r="Q236" s="26"/>
      <c r="R236" s="26"/>
      <c r="S236" s="26"/>
      <c r="T236" s="26"/>
      <c r="U236" s="26"/>
      <c r="V236" s="26"/>
      <c r="W236" s="26"/>
      <c r="X236" s="26"/>
      <c r="Y236" s="26"/>
      <c r="Z236" s="26"/>
    </row>
    <row r="237" ht="12.75" customHeight="1">
      <c r="A237" s="31"/>
      <c r="B237" s="53"/>
      <c r="C237" s="26"/>
      <c r="D237" s="54"/>
      <c r="E237" s="25"/>
      <c r="F237" s="25"/>
      <c r="G237" s="25"/>
      <c r="H237" s="25"/>
      <c r="I237" s="25"/>
      <c r="J237" s="25"/>
      <c r="K237" s="25"/>
      <c r="L237" s="25"/>
      <c r="M237" s="25"/>
      <c r="N237" s="25"/>
      <c r="O237" s="25"/>
      <c r="P237" s="25"/>
      <c r="Q237" s="26"/>
      <c r="R237" s="26"/>
      <c r="S237" s="26"/>
      <c r="T237" s="26"/>
      <c r="U237" s="26"/>
      <c r="V237" s="26"/>
      <c r="W237" s="26"/>
      <c r="X237" s="26"/>
      <c r="Y237" s="26"/>
      <c r="Z237" s="26"/>
    </row>
    <row r="238" ht="12.75" customHeight="1">
      <c r="A238" s="31"/>
      <c r="B238" s="53"/>
      <c r="C238" s="26"/>
      <c r="D238" s="54"/>
      <c r="E238" s="25"/>
      <c r="F238" s="25"/>
      <c r="G238" s="25"/>
      <c r="H238" s="25"/>
      <c r="I238" s="25"/>
      <c r="J238" s="25"/>
      <c r="K238" s="25"/>
      <c r="L238" s="25"/>
      <c r="M238" s="25"/>
      <c r="N238" s="25"/>
      <c r="O238" s="25"/>
      <c r="P238" s="25"/>
      <c r="Q238" s="26"/>
      <c r="R238" s="26"/>
      <c r="S238" s="26"/>
      <c r="T238" s="26"/>
      <c r="U238" s="26"/>
      <c r="V238" s="26"/>
      <c r="W238" s="26"/>
      <c r="X238" s="26"/>
      <c r="Y238" s="26"/>
      <c r="Z238" s="26"/>
    </row>
    <row r="239" ht="12.75" customHeight="1">
      <c r="A239" s="31"/>
      <c r="B239" s="53"/>
      <c r="C239" s="26"/>
      <c r="D239" s="54"/>
      <c r="E239" s="25"/>
      <c r="F239" s="25"/>
      <c r="G239" s="25"/>
      <c r="H239" s="25"/>
      <c r="I239" s="25"/>
      <c r="J239" s="25"/>
      <c r="K239" s="25"/>
      <c r="L239" s="25"/>
      <c r="M239" s="25"/>
      <c r="N239" s="25"/>
      <c r="O239" s="25"/>
      <c r="P239" s="25"/>
      <c r="Q239" s="26"/>
      <c r="R239" s="26"/>
      <c r="S239" s="26"/>
      <c r="T239" s="26"/>
      <c r="U239" s="26"/>
      <c r="V239" s="26"/>
      <c r="W239" s="26"/>
      <c r="X239" s="26"/>
      <c r="Y239" s="26"/>
      <c r="Z239" s="26"/>
    </row>
    <row r="240" ht="12.75" customHeight="1">
      <c r="A240" s="31"/>
      <c r="B240" s="53"/>
      <c r="C240" s="26"/>
      <c r="D240" s="54"/>
      <c r="E240" s="25"/>
      <c r="F240" s="25"/>
      <c r="G240" s="25"/>
      <c r="H240" s="25"/>
      <c r="I240" s="25"/>
      <c r="J240" s="25"/>
      <c r="K240" s="25"/>
      <c r="L240" s="25"/>
      <c r="M240" s="25"/>
      <c r="N240" s="25"/>
      <c r="O240" s="25"/>
      <c r="P240" s="25"/>
      <c r="Q240" s="26"/>
      <c r="R240" s="26"/>
      <c r="S240" s="26"/>
      <c r="T240" s="26"/>
      <c r="U240" s="26"/>
      <c r="V240" s="26"/>
      <c r="W240" s="26"/>
      <c r="X240" s="26"/>
      <c r="Y240" s="26"/>
      <c r="Z240" s="26"/>
    </row>
    <row r="241" ht="12.75" customHeight="1">
      <c r="A241" s="31"/>
      <c r="B241" s="53"/>
      <c r="C241" s="26"/>
      <c r="D241" s="54"/>
      <c r="E241" s="25"/>
      <c r="F241" s="25"/>
      <c r="G241" s="25"/>
      <c r="H241" s="25"/>
      <c r="I241" s="25"/>
      <c r="J241" s="25"/>
      <c r="K241" s="25"/>
      <c r="L241" s="25"/>
      <c r="M241" s="25"/>
      <c r="N241" s="25"/>
      <c r="O241" s="25"/>
      <c r="P241" s="25"/>
      <c r="Q241" s="26"/>
      <c r="R241" s="26"/>
      <c r="S241" s="26"/>
      <c r="T241" s="26"/>
      <c r="U241" s="26"/>
      <c r="V241" s="26"/>
      <c r="W241" s="26"/>
      <c r="X241" s="26"/>
      <c r="Y241" s="26"/>
      <c r="Z241" s="26"/>
    </row>
    <row r="242" ht="12.75" customHeight="1">
      <c r="A242" s="31"/>
      <c r="B242" s="53"/>
      <c r="C242" s="26"/>
      <c r="D242" s="54"/>
      <c r="E242" s="25"/>
      <c r="F242" s="25"/>
      <c r="G242" s="25"/>
      <c r="H242" s="25"/>
      <c r="I242" s="25"/>
      <c r="J242" s="25"/>
      <c r="K242" s="25"/>
      <c r="L242" s="25"/>
      <c r="M242" s="25"/>
      <c r="N242" s="25"/>
      <c r="O242" s="25"/>
      <c r="P242" s="25"/>
      <c r="Q242" s="26"/>
      <c r="R242" s="26"/>
      <c r="S242" s="26"/>
      <c r="T242" s="26"/>
      <c r="U242" s="26"/>
      <c r="V242" s="26"/>
      <c r="W242" s="26"/>
      <c r="X242" s="26"/>
      <c r="Y242" s="26"/>
      <c r="Z242" s="26"/>
    </row>
    <row r="243" ht="12.75" customHeight="1">
      <c r="A243" s="31"/>
      <c r="B243" s="53"/>
      <c r="C243" s="26"/>
      <c r="D243" s="54"/>
      <c r="E243" s="25"/>
      <c r="F243" s="25"/>
      <c r="G243" s="25"/>
      <c r="H243" s="25"/>
      <c r="I243" s="25"/>
      <c r="J243" s="25"/>
      <c r="K243" s="25"/>
      <c r="L243" s="25"/>
      <c r="M243" s="25"/>
      <c r="N243" s="25"/>
      <c r="O243" s="25"/>
      <c r="P243" s="25"/>
      <c r="Q243" s="26"/>
      <c r="R243" s="26"/>
      <c r="S243" s="26"/>
      <c r="T243" s="26"/>
      <c r="U243" s="26"/>
      <c r="V243" s="26"/>
      <c r="W243" s="26"/>
      <c r="X243" s="26"/>
      <c r="Y243" s="26"/>
      <c r="Z243" s="26"/>
    </row>
    <row r="244" ht="12.75" customHeight="1">
      <c r="A244" s="31"/>
      <c r="B244" s="53"/>
      <c r="C244" s="26"/>
      <c r="D244" s="54"/>
      <c r="E244" s="25"/>
      <c r="F244" s="25"/>
      <c r="G244" s="25"/>
      <c r="H244" s="25"/>
      <c r="I244" s="25"/>
      <c r="J244" s="25"/>
      <c r="K244" s="25"/>
      <c r="L244" s="25"/>
      <c r="M244" s="25"/>
      <c r="N244" s="25"/>
      <c r="O244" s="25"/>
      <c r="P244" s="25"/>
      <c r="Q244" s="26"/>
      <c r="R244" s="26"/>
      <c r="S244" s="26"/>
      <c r="T244" s="26"/>
      <c r="U244" s="26"/>
      <c r="V244" s="26"/>
      <c r="W244" s="26"/>
      <c r="X244" s="26"/>
      <c r="Y244" s="26"/>
      <c r="Z244" s="26"/>
    </row>
    <row r="245" ht="12.75" customHeight="1">
      <c r="A245" s="31"/>
      <c r="B245" s="53"/>
      <c r="C245" s="26"/>
      <c r="D245" s="54"/>
      <c r="E245" s="25"/>
      <c r="F245" s="25"/>
      <c r="G245" s="25"/>
      <c r="H245" s="25"/>
      <c r="I245" s="25"/>
      <c r="J245" s="25"/>
      <c r="K245" s="25"/>
      <c r="L245" s="25"/>
      <c r="M245" s="25"/>
      <c r="N245" s="25"/>
      <c r="O245" s="25"/>
      <c r="P245" s="25"/>
      <c r="Q245" s="26"/>
      <c r="R245" s="26"/>
      <c r="S245" s="26"/>
      <c r="T245" s="26"/>
      <c r="U245" s="26"/>
      <c r="V245" s="26"/>
      <c r="W245" s="26"/>
      <c r="X245" s="26"/>
      <c r="Y245" s="26"/>
      <c r="Z245" s="26"/>
    </row>
    <row r="246" ht="12.75" customHeight="1">
      <c r="A246" s="31"/>
      <c r="B246" s="53"/>
      <c r="C246" s="26"/>
      <c r="D246" s="54"/>
      <c r="E246" s="25"/>
      <c r="F246" s="25"/>
      <c r="G246" s="25"/>
      <c r="H246" s="25"/>
      <c r="I246" s="25"/>
      <c r="J246" s="25"/>
      <c r="K246" s="25"/>
      <c r="L246" s="25"/>
      <c r="M246" s="25"/>
      <c r="N246" s="25"/>
      <c r="O246" s="25"/>
      <c r="P246" s="25"/>
      <c r="Q246" s="26"/>
      <c r="R246" s="26"/>
      <c r="S246" s="26"/>
      <c r="T246" s="26"/>
      <c r="U246" s="26"/>
      <c r="V246" s="26"/>
      <c r="W246" s="26"/>
      <c r="X246" s="26"/>
      <c r="Y246" s="26"/>
      <c r="Z246" s="26"/>
    </row>
    <row r="247" ht="12.75" customHeight="1">
      <c r="A247" s="31"/>
      <c r="B247" s="53"/>
      <c r="C247" s="26"/>
      <c r="D247" s="54"/>
      <c r="E247" s="25"/>
      <c r="F247" s="25"/>
      <c r="G247" s="25"/>
      <c r="H247" s="25"/>
      <c r="I247" s="25"/>
      <c r="J247" s="25"/>
      <c r="K247" s="25"/>
      <c r="L247" s="25"/>
      <c r="M247" s="25"/>
      <c r="N247" s="25"/>
      <c r="O247" s="25"/>
      <c r="P247" s="25"/>
      <c r="Q247" s="26"/>
      <c r="R247" s="26"/>
      <c r="S247" s="26"/>
      <c r="T247" s="26"/>
      <c r="U247" s="26"/>
      <c r="V247" s="26"/>
      <c r="W247" s="26"/>
      <c r="X247" s="26"/>
      <c r="Y247" s="26"/>
      <c r="Z247" s="26"/>
    </row>
    <row r="248" ht="12.75" customHeight="1">
      <c r="A248" s="31"/>
      <c r="B248" s="53"/>
      <c r="C248" s="26"/>
      <c r="D248" s="54"/>
      <c r="E248" s="25"/>
      <c r="F248" s="25"/>
      <c r="G248" s="25"/>
      <c r="H248" s="25"/>
      <c r="I248" s="25"/>
      <c r="J248" s="25"/>
      <c r="K248" s="25"/>
      <c r="L248" s="25"/>
      <c r="M248" s="25"/>
      <c r="N248" s="25"/>
      <c r="O248" s="25"/>
      <c r="P248" s="25"/>
      <c r="Q248" s="26"/>
      <c r="R248" s="26"/>
      <c r="S248" s="26"/>
      <c r="T248" s="26"/>
      <c r="U248" s="26"/>
      <c r="V248" s="26"/>
      <c r="W248" s="26"/>
      <c r="X248" s="26"/>
      <c r="Y248" s="26"/>
      <c r="Z248" s="26"/>
    </row>
    <row r="249" ht="12.75" customHeight="1">
      <c r="A249" s="31"/>
      <c r="B249" s="53"/>
      <c r="C249" s="26"/>
      <c r="D249" s="54"/>
      <c r="E249" s="25"/>
      <c r="F249" s="25"/>
      <c r="G249" s="25"/>
      <c r="H249" s="25"/>
      <c r="I249" s="25"/>
      <c r="J249" s="25"/>
      <c r="K249" s="25"/>
      <c r="L249" s="25"/>
      <c r="M249" s="25"/>
      <c r="N249" s="25"/>
      <c r="O249" s="25"/>
      <c r="P249" s="25"/>
      <c r="Q249" s="26"/>
      <c r="R249" s="26"/>
      <c r="S249" s="26"/>
      <c r="T249" s="26"/>
      <c r="U249" s="26"/>
      <c r="V249" s="26"/>
      <c r="W249" s="26"/>
      <c r="X249" s="26"/>
      <c r="Y249" s="26"/>
      <c r="Z249" s="26"/>
    </row>
    <row r="250" ht="12.75" customHeight="1">
      <c r="A250" s="31"/>
      <c r="B250" s="53"/>
      <c r="C250" s="26"/>
      <c r="D250" s="54"/>
      <c r="E250" s="25"/>
      <c r="F250" s="25"/>
      <c r="G250" s="25"/>
      <c r="H250" s="25"/>
      <c r="I250" s="25"/>
      <c r="J250" s="25"/>
      <c r="K250" s="25"/>
      <c r="L250" s="25"/>
      <c r="M250" s="25"/>
      <c r="N250" s="25"/>
      <c r="O250" s="25"/>
      <c r="P250" s="25"/>
      <c r="Q250" s="26"/>
      <c r="R250" s="26"/>
      <c r="S250" s="26"/>
      <c r="T250" s="26"/>
      <c r="U250" s="26"/>
      <c r="V250" s="26"/>
      <c r="W250" s="26"/>
      <c r="X250" s="26"/>
      <c r="Y250" s="26"/>
      <c r="Z250" s="26"/>
    </row>
    <row r="251" ht="12.75" customHeight="1">
      <c r="A251" s="31"/>
      <c r="B251" s="53"/>
      <c r="C251" s="26"/>
      <c r="D251" s="54"/>
      <c r="E251" s="25"/>
      <c r="F251" s="25"/>
      <c r="G251" s="25"/>
      <c r="H251" s="25"/>
      <c r="I251" s="25"/>
      <c r="J251" s="25"/>
      <c r="K251" s="25"/>
      <c r="L251" s="25"/>
      <c r="M251" s="25"/>
      <c r="N251" s="25"/>
      <c r="O251" s="25"/>
      <c r="P251" s="25"/>
      <c r="Q251" s="26"/>
      <c r="R251" s="26"/>
      <c r="S251" s="26"/>
      <c r="T251" s="26"/>
      <c r="U251" s="26"/>
      <c r="V251" s="26"/>
      <c r="W251" s="26"/>
      <c r="X251" s="26"/>
      <c r="Y251" s="26"/>
      <c r="Z251" s="26"/>
    </row>
    <row r="252" ht="12.75" customHeight="1">
      <c r="A252" s="31"/>
      <c r="B252" s="53"/>
      <c r="C252" s="26"/>
      <c r="D252" s="54"/>
      <c r="E252" s="25"/>
      <c r="F252" s="25"/>
      <c r="G252" s="25"/>
      <c r="H252" s="25"/>
      <c r="I252" s="25"/>
      <c r="J252" s="25"/>
      <c r="K252" s="25"/>
      <c r="L252" s="25"/>
      <c r="M252" s="25"/>
      <c r="N252" s="25"/>
      <c r="O252" s="25"/>
      <c r="P252" s="25"/>
      <c r="Q252" s="26"/>
      <c r="R252" s="26"/>
      <c r="S252" s="26"/>
      <c r="T252" s="26"/>
      <c r="U252" s="26"/>
      <c r="V252" s="26"/>
      <c r="W252" s="26"/>
      <c r="X252" s="26"/>
      <c r="Y252" s="26"/>
      <c r="Z252" s="26"/>
    </row>
    <row r="253" ht="12.75" customHeight="1">
      <c r="A253" s="31"/>
      <c r="B253" s="53"/>
      <c r="C253" s="26"/>
      <c r="D253" s="54"/>
      <c r="E253" s="25"/>
      <c r="F253" s="25"/>
      <c r="G253" s="25"/>
      <c r="H253" s="25"/>
      <c r="I253" s="25"/>
      <c r="J253" s="25"/>
      <c r="K253" s="25"/>
      <c r="L253" s="25"/>
      <c r="M253" s="25"/>
      <c r="N253" s="25"/>
      <c r="O253" s="25"/>
      <c r="P253" s="25"/>
      <c r="Q253" s="26"/>
      <c r="R253" s="26"/>
      <c r="S253" s="26"/>
      <c r="T253" s="26"/>
      <c r="U253" s="26"/>
      <c r="V253" s="26"/>
      <c r="W253" s="26"/>
      <c r="X253" s="26"/>
      <c r="Y253" s="26"/>
      <c r="Z253" s="26"/>
    </row>
    <row r="254" ht="12.75" customHeight="1">
      <c r="A254" s="31"/>
      <c r="B254" s="53"/>
      <c r="C254" s="26"/>
      <c r="D254" s="54"/>
      <c r="E254" s="25"/>
      <c r="F254" s="25"/>
      <c r="G254" s="25"/>
      <c r="H254" s="25"/>
      <c r="I254" s="25"/>
      <c r="J254" s="25"/>
      <c r="K254" s="25"/>
      <c r="L254" s="25"/>
      <c r="M254" s="25"/>
      <c r="N254" s="25"/>
      <c r="O254" s="25"/>
      <c r="P254" s="25"/>
      <c r="Q254" s="26"/>
      <c r="R254" s="26"/>
      <c r="S254" s="26"/>
      <c r="T254" s="26"/>
      <c r="U254" s="26"/>
      <c r="V254" s="26"/>
      <c r="W254" s="26"/>
      <c r="X254" s="26"/>
      <c r="Y254" s="26"/>
      <c r="Z254" s="26"/>
    </row>
    <row r="255" ht="12.75" customHeight="1">
      <c r="A255" s="31"/>
      <c r="B255" s="53"/>
      <c r="C255" s="26"/>
      <c r="D255" s="54"/>
      <c r="E255" s="25"/>
      <c r="F255" s="25"/>
      <c r="G255" s="25"/>
      <c r="H255" s="25"/>
      <c r="I255" s="25"/>
      <c r="J255" s="25"/>
      <c r="K255" s="25"/>
      <c r="L255" s="25"/>
      <c r="M255" s="25"/>
      <c r="N255" s="25"/>
      <c r="O255" s="25"/>
      <c r="P255" s="25"/>
      <c r="Q255" s="26"/>
      <c r="R255" s="26"/>
      <c r="S255" s="26"/>
      <c r="T255" s="26"/>
      <c r="U255" s="26"/>
      <c r="V255" s="26"/>
      <c r="W255" s="26"/>
      <c r="X255" s="26"/>
      <c r="Y255" s="26"/>
      <c r="Z255" s="26"/>
    </row>
    <row r="256" ht="12.75" customHeight="1">
      <c r="A256" s="31"/>
      <c r="B256" s="53"/>
      <c r="C256" s="26"/>
      <c r="D256" s="54"/>
      <c r="E256" s="25"/>
      <c r="F256" s="25"/>
      <c r="G256" s="25"/>
      <c r="H256" s="25"/>
      <c r="I256" s="25"/>
      <c r="J256" s="25"/>
      <c r="K256" s="25"/>
      <c r="L256" s="25"/>
      <c r="M256" s="25"/>
      <c r="N256" s="25"/>
      <c r="O256" s="25"/>
      <c r="P256" s="25"/>
      <c r="Q256" s="26"/>
      <c r="R256" s="26"/>
      <c r="S256" s="26"/>
      <c r="T256" s="26"/>
      <c r="U256" s="26"/>
      <c r="V256" s="26"/>
      <c r="W256" s="26"/>
      <c r="X256" s="26"/>
      <c r="Y256" s="26"/>
      <c r="Z256" s="26"/>
    </row>
    <row r="257" ht="12.75" customHeight="1">
      <c r="A257" s="31"/>
      <c r="B257" s="53"/>
      <c r="C257" s="26"/>
      <c r="D257" s="54"/>
      <c r="E257" s="25"/>
      <c r="F257" s="25"/>
      <c r="G257" s="25"/>
      <c r="H257" s="25"/>
      <c r="I257" s="25"/>
      <c r="J257" s="25"/>
      <c r="K257" s="25"/>
      <c r="L257" s="25"/>
      <c r="M257" s="25"/>
      <c r="N257" s="25"/>
      <c r="O257" s="25"/>
      <c r="P257" s="25"/>
      <c r="Q257" s="26"/>
      <c r="R257" s="26"/>
      <c r="S257" s="26"/>
      <c r="T257" s="26"/>
      <c r="U257" s="26"/>
      <c r="V257" s="26"/>
      <c r="W257" s="26"/>
      <c r="X257" s="26"/>
      <c r="Y257" s="26"/>
      <c r="Z257" s="26"/>
    </row>
    <row r="258" ht="12.75" customHeight="1">
      <c r="A258" s="31"/>
      <c r="B258" s="53"/>
      <c r="C258" s="26"/>
      <c r="D258" s="54"/>
      <c r="E258" s="25"/>
      <c r="F258" s="25"/>
      <c r="G258" s="25"/>
      <c r="H258" s="25"/>
      <c r="I258" s="25"/>
      <c r="J258" s="25"/>
      <c r="K258" s="25"/>
      <c r="L258" s="25"/>
      <c r="M258" s="25"/>
      <c r="N258" s="25"/>
      <c r="O258" s="25"/>
      <c r="P258" s="25"/>
      <c r="Q258" s="26"/>
      <c r="R258" s="26"/>
      <c r="S258" s="26"/>
      <c r="T258" s="26"/>
      <c r="U258" s="26"/>
      <c r="V258" s="26"/>
      <c r="W258" s="26"/>
      <c r="X258" s="26"/>
      <c r="Y258" s="26"/>
      <c r="Z258" s="26"/>
    </row>
    <row r="259" ht="12.75" customHeight="1">
      <c r="A259" s="31"/>
      <c r="B259" s="53"/>
      <c r="C259" s="26"/>
      <c r="D259" s="54"/>
      <c r="E259" s="25"/>
      <c r="F259" s="25"/>
      <c r="G259" s="25"/>
      <c r="H259" s="25"/>
      <c r="I259" s="25"/>
      <c r="J259" s="25"/>
      <c r="K259" s="25"/>
      <c r="L259" s="25"/>
      <c r="M259" s="25"/>
      <c r="N259" s="25"/>
      <c r="O259" s="25"/>
      <c r="P259" s="25"/>
      <c r="Q259" s="26"/>
      <c r="R259" s="26"/>
      <c r="S259" s="26"/>
      <c r="T259" s="26"/>
      <c r="U259" s="26"/>
      <c r="V259" s="26"/>
      <c r="W259" s="26"/>
      <c r="X259" s="26"/>
      <c r="Y259" s="26"/>
      <c r="Z259" s="26"/>
    </row>
    <row r="260" ht="12.75" customHeight="1">
      <c r="A260" s="31"/>
      <c r="B260" s="53"/>
      <c r="C260" s="26"/>
      <c r="D260" s="54"/>
      <c r="E260" s="25"/>
      <c r="F260" s="25"/>
      <c r="G260" s="25"/>
      <c r="H260" s="25"/>
      <c r="I260" s="25"/>
      <c r="J260" s="25"/>
      <c r="K260" s="25"/>
      <c r="L260" s="25"/>
      <c r="M260" s="25"/>
      <c r="N260" s="25"/>
      <c r="O260" s="25"/>
      <c r="P260" s="25"/>
      <c r="Q260" s="26"/>
      <c r="R260" s="26"/>
      <c r="S260" s="26"/>
      <c r="T260" s="26"/>
      <c r="U260" s="26"/>
      <c r="V260" s="26"/>
      <c r="W260" s="26"/>
      <c r="X260" s="26"/>
      <c r="Y260" s="26"/>
      <c r="Z260" s="26"/>
    </row>
    <row r="261" ht="12.75" customHeight="1">
      <c r="A261" s="31"/>
      <c r="B261" s="53"/>
      <c r="C261" s="26"/>
      <c r="D261" s="54"/>
      <c r="E261" s="25"/>
      <c r="F261" s="25"/>
      <c r="G261" s="25"/>
      <c r="H261" s="25"/>
      <c r="I261" s="25"/>
      <c r="J261" s="25"/>
      <c r="K261" s="25"/>
      <c r="L261" s="25"/>
      <c r="M261" s="25"/>
      <c r="N261" s="25"/>
      <c r="O261" s="25"/>
      <c r="P261" s="25"/>
      <c r="Q261" s="26"/>
      <c r="R261" s="26"/>
      <c r="S261" s="26"/>
      <c r="T261" s="26"/>
      <c r="U261" s="26"/>
      <c r="V261" s="26"/>
      <c r="W261" s="26"/>
      <c r="X261" s="26"/>
      <c r="Y261" s="26"/>
      <c r="Z261" s="26"/>
    </row>
    <row r="262" ht="12.75" customHeight="1">
      <c r="A262" s="31"/>
      <c r="B262" s="53"/>
      <c r="C262" s="26"/>
      <c r="D262" s="54"/>
      <c r="E262" s="25"/>
      <c r="F262" s="25"/>
      <c r="G262" s="25"/>
      <c r="H262" s="25"/>
      <c r="I262" s="25"/>
      <c r="J262" s="25"/>
      <c r="K262" s="25"/>
      <c r="L262" s="25"/>
      <c r="M262" s="25"/>
      <c r="N262" s="25"/>
      <c r="O262" s="25"/>
      <c r="P262" s="25"/>
      <c r="Q262" s="26"/>
      <c r="R262" s="26"/>
      <c r="S262" s="26"/>
      <c r="T262" s="26"/>
      <c r="U262" s="26"/>
      <c r="V262" s="26"/>
      <c r="W262" s="26"/>
      <c r="X262" s="26"/>
      <c r="Y262" s="26"/>
      <c r="Z262" s="26"/>
    </row>
    <row r="263" ht="12.75" customHeight="1">
      <c r="A263" s="31"/>
      <c r="B263" s="53"/>
      <c r="C263" s="26"/>
      <c r="D263" s="54"/>
      <c r="E263" s="25"/>
      <c r="F263" s="25"/>
      <c r="G263" s="25"/>
      <c r="H263" s="25"/>
      <c r="I263" s="25"/>
      <c r="J263" s="25"/>
      <c r="K263" s="25"/>
      <c r="L263" s="25"/>
      <c r="M263" s="25"/>
      <c r="N263" s="25"/>
      <c r="O263" s="25"/>
      <c r="P263" s="25"/>
      <c r="Q263" s="26"/>
      <c r="R263" s="26"/>
      <c r="S263" s="26"/>
      <c r="T263" s="26"/>
      <c r="U263" s="26"/>
      <c r="V263" s="26"/>
      <c r="W263" s="26"/>
      <c r="X263" s="26"/>
      <c r="Y263" s="26"/>
      <c r="Z263" s="26"/>
    </row>
    <row r="264" ht="12.75" customHeight="1">
      <c r="A264" s="31"/>
      <c r="B264" s="53"/>
      <c r="C264" s="26"/>
      <c r="D264" s="54"/>
      <c r="E264" s="25"/>
      <c r="F264" s="25"/>
      <c r="G264" s="25"/>
      <c r="H264" s="25"/>
      <c r="I264" s="25"/>
      <c r="J264" s="25"/>
      <c r="K264" s="25"/>
      <c r="L264" s="25"/>
      <c r="M264" s="25"/>
      <c r="N264" s="25"/>
      <c r="O264" s="25"/>
      <c r="P264" s="25"/>
      <c r="Q264" s="26"/>
      <c r="R264" s="26"/>
      <c r="S264" s="26"/>
      <c r="T264" s="26"/>
      <c r="U264" s="26"/>
      <c r="V264" s="26"/>
      <c r="W264" s="26"/>
      <c r="X264" s="26"/>
      <c r="Y264" s="26"/>
      <c r="Z264" s="26"/>
    </row>
    <row r="265" ht="12.75" customHeight="1">
      <c r="A265" s="31"/>
      <c r="B265" s="53"/>
      <c r="C265" s="26"/>
      <c r="D265" s="54"/>
      <c r="E265" s="25"/>
      <c r="F265" s="25"/>
      <c r="G265" s="25"/>
      <c r="H265" s="25"/>
      <c r="I265" s="25"/>
      <c r="J265" s="25"/>
      <c r="K265" s="25"/>
      <c r="L265" s="25"/>
      <c r="M265" s="25"/>
      <c r="N265" s="25"/>
      <c r="O265" s="25"/>
      <c r="P265" s="25"/>
      <c r="Q265" s="26"/>
      <c r="R265" s="26"/>
      <c r="S265" s="26"/>
      <c r="T265" s="26"/>
      <c r="U265" s="26"/>
      <c r="V265" s="26"/>
      <c r="W265" s="26"/>
      <c r="X265" s="26"/>
      <c r="Y265" s="26"/>
      <c r="Z265" s="26"/>
    </row>
    <row r="266" ht="12.75" customHeight="1">
      <c r="A266" s="31"/>
      <c r="B266" s="53"/>
      <c r="C266" s="26"/>
      <c r="D266" s="54"/>
      <c r="E266" s="25"/>
      <c r="F266" s="25"/>
      <c r="G266" s="25"/>
      <c r="H266" s="25"/>
      <c r="I266" s="25"/>
      <c r="J266" s="25"/>
      <c r="K266" s="25"/>
      <c r="L266" s="25"/>
      <c r="M266" s="25"/>
      <c r="N266" s="25"/>
      <c r="O266" s="25"/>
      <c r="P266" s="25"/>
      <c r="Q266" s="26"/>
      <c r="R266" s="26"/>
      <c r="S266" s="26"/>
      <c r="T266" s="26"/>
      <c r="U266" s="26"/>
      <c r="V266" s="26"/>
      <c r="W266" s="26"/>
      <c r="X266" s="26"/>
      <c r="Y266" s="26"/>
      <c r="Z266" s="26"/>
    </row>
    <row r="267" ht="12.75" customHeight="1">
      <c r="A267" s="31"/>
      <c r="B267" s="53"/>
      <c r="C267" s="26"/>
      <c r="D267" s="54"/>
      <c r="E267" s="25"/>
      <c r="F267" s="25"/>
      <c r="G267" s="25"/>
      <c r="H267" s="25"/>
      <c r="I267" s="25"/>
      <c r="J267" s="25"/>
      <c r="K267" s="25"/>
      <c r="L267" s="25"/>
      <c r="M267" s="25"/>
      <c r="N267" s="25"/>
      <c r="O267" s="25"/>
      <c r="P267" s="25"/>
      <c r="Q267" s="26"/>
      <c r="R267" s="26"/>
      <c r="S267" s="26"/>
      <c r="T267" s="26"/>
      <c r="U267" s="26"/>
      <c r="V267" s="26"/>
      <c r="W267" s="26"/>
      <c r="X267" s="26"/>
      <c r="Y267" s="26"/>
      <c r="Z267" s="26"/>
    </row>
    <row r="268" ht="12.75" customHeight="1">
      <c r="A268" s="31"/>
      <c r="B268" s="53"/>
      <c r="C268" s="26"/>
      <c r="D268" s="54"/>
      <c r="E268" s="25"/>
      <c r="F268" s="25"/>
      <c r="G268" s="25"/>
      <c r="H268" s="25"/>
      <c r="I268" s="25"/>
      <c r="J268" s="25"/>
      <c r="K268" s="25"/>
      <c r="L268" s="25"/>
      <c r="M268" s="25"/>
      <c r="N268" s="25"/>
      <c r="O268" s="25"/>
      <c r="P268" s="25"/>
      <c r="Q268" s="26"/>
      <c r="R268" s="26"/>
      <c r="S268" s="26"/>
      <c r="T268" s="26"/>
      <c r="U268" s="26"/>
      <c r="V268" s="26"/>
      <c r="W268" s="26"/>
      <c r="X268" s="26"/>
      <c r="Y268" s="26"/>
      <c r="Z268" s="26"/>
    </row>
    <row r="269" ht="12.75" customHeight="1">
      <c r="A269" s="31"/>
      <c r="B269" s="53"/>
      <c r="C269" s="26"/>
      <c r="D269" s="54"/>
      <c r="E269" s="25"/>
      <c r="F269" s="25"/>
      <c r="G269" s="25"/>
      <c r="H269" s="25"/>
      <c r="I269" s="25"/>
      <c r="J269" s="25"/>
      <c r="K269" s="25"/>
      <c r="L269" s="25"/>
      <c r="M269" s="25"/>
      <c r="N269" s="25"/>
      <c r="O269" s="25"/>
      <c r="P269" s="25"/>
      <c r="Q269" s="26"/>
      <c r="R269" s="26"/>
      <c r="S269" s="26"/>
      <c r="T269" s="26"/>
      <c r="U269" s="26"/>
      <c r="V269" s="26"/>
      <c r="W269" s="26"/>
      <c r="X269" s="26"/>
      <c r="Y269" s="26"/>
      <c r="Z269" s="26"/>
    </row>
    <row r="270" ht="12.75" customHeight="1">
      <c r="A270" s="31"/>
      <c r="B270" s="53"/>
      <c r="C270" s="26"/>
      <c r="D270" s="54"/>
      <c r="E270" s="25"/>
      <c r="F270" s="25"/>
      <c r="G270" s="25"/>
      <c r="H270" s="25"/>
      <c r="I270" s="25"/>
      <c r="J270" s="25"/>
      <c r="K270" s="25"/>
      <c r="L270" s="25"/>
      <c r="M270" s="25"/>
      <c r="N270" s="25"/>
      <c r="O270" s="25"/>
      <c r="P270" s="25"/>
      <c r="Q270" s="26"/>
      <c r="R270" s="26"/>
      <c r="S270" s="26"/>
      <c r="T270" s="26"/>
      <c r="U270" s="26"/>
      <c r="V270" s="26"/>
      <c r="W270" s="26"/>
      <c r="X270" s="26"/>
      <c r="Y270" s="26"/>
      <c r="Z270" s="26"/>
    </row>
    <row r="271" ht="12.75" customHeight="1">
      <c r="A271" s="31"/>
      <c r="B271" s="53"/>
      <c r="C271" s="26"/>
      <c r="D271" s="54"/>
      <c r="E271" s="25"/>
      <c r="F271" s="25"/>
      <c r="G271" s="25"/>
      <c r="H271" s="25"/>
      <c r="I271" s="25"/>
      <c r="J271" s="25"/>
      <c r="K271" s="25"/>
      <c r="L271" s="25"/>
      <c r="M271" s="25"/>
      <c r="N271" s="25"/>
      <c r="O271" s="25"/>
      <c r="P271" s="25"/>
      <c r="Q271" s="26"/>
      <c r="R271" s="26"/>
      <c r="S271" s="26"/>
      <c r="T271" s="26"/>
      <c r="U271" s="26"/>
      <c r="V271" s="26"/>
      <c r="W271" s="26"/>
      <c r="X271" s="26"/>
      <c r="Y271" s="26"/>
      <c r="Z271" s="26"/>
    </row>
    <row r="272" ht="12.75" customHeight="1">
      <c r="A272" s="31"/>
      <c r="B272" s="53"/>
      <c r="C272" s="26"/>
      <c r="D272" s="54"/>
      <c r="E272" s="25"/>
      <c r="F272" s="25"/>
      <c r="G272" s="25"/>
      <c r="H272" s="25"/>
      <c r="I272" s="25"/>
      <c r="J272" s="25"/>
      <c r="K272" s="25"/>
      <c r="L272" s="25"/>
      <c r="M272" s="25"/>
      <c r="N272" s="25"/>
      <c r="O272" s="25"/>
      <c r="P272" s="25"/>
      <c r="Q272" s="26"/>
      <c r="R272" s="26"/>
      <c r="S272" s="26"/>
      <c r="T272" s="26"/>
      <c r="U272" s="26"/>
      <c r="V272" s="26"/>
      <c r="W272" s="26"/>
      <c r="X272" s="26"/>
      <c r="Y272" s="26"/>
      <c r="Z272" s="26"/>
    </row>
    <row r="273" ht="12.75" customHeight="1">
      <c r="A273" s="31"/>
      <c r="B273" s="53"/>
      <c r="C273" s="26"/>
      <c r="D273" s="54"/>
      <c r="E273" s="25"/>
      <c r="F273" s="25"/>
      <c r="G273" s="25"/>
      <c r="H273" s="25"/>
      <c r="I273" s="25"/>
      <c r="J273" s="25"/>
      <c r="K273" s="25"/>
      <c r="L273" s="25"/>
      <c r="M273" s="25"/>
      <c r="N273" s="25"/>
      <c r="O273" s="25"/>
      <c r="P273" s="25"/>
      <c r="Q273" s="26"/>
      <c r="R273" s="26"/>
      <c r="S273" s="26"/>
      <c r="T273" s="26"/>
      <c r="U273" s="26"/>
      <c r="V273" s="26"/>
      <c r="W273" s="26"/>
      <c r="X273" s="26"/>
      <c r="Y273" s="26"/>
      <c r="Z273" s="26"/>
    </row>
    <row r="274" ht="12.75" customHeight="1">
      <c r="A274" s="31"/>
      <c r="B274" s="53"/>
      <c r="C274" s="26"/>
      <c r="D274" s="54"/>
      <c r="E274" s="25"/>
      <c r="F274" s="25"/>
      <c r="G274" s="25"/>
      <c r="H274" s="25"/>
      <c r="I274" s="25"/>
      <c r="J274" s="25"/>
      <c r="K274" s="25"/>
      <c r="L274" s="25"/>
      <c r="M274" s="25"/>
      <c r="N274" s="25"/>
      <c r="O274" s="25"/>
      <c r="P274" s="25"/>
      <c r="Q274" s="26"/>
      <c r="R274" s="26"/>
      <c r="S274" s="26"/>
      <c r="T274" s="26"/>
      <c r="U274" s="26"/>
      <c r="V274" s="26"/>
      <c r="W274" s="26"/>
      <c r="X274" s="26"/>
      <c r="Y274" s="26"/>
      <c r="Z274" s="26"/>
    </row>
    <row r="275" ht="12.75" customHeight="1">
      <c r="A275" s="31"/>
      <c r="B275" s="53"/>
      <c r="C275" s="26"/>
      <c r="D275" s="54"/>
      <c r="E275" s="25"/>
      <c r="F275" s="25"/>
      <c r="G275" s="25"/>
      <c r="H275" s="25"/>
      <c r="I275" s="25"/>
      <c r="J275" s="25"/>
      <c r="K275" s="25"/>
      <c r="L275" s="25"/>
      <c r="M275" s="25"/>
      <c r="N275" s="25"/>
      <c r="O275" s="25"/>
      <c r="P275" s="25"/>
      <c r="Q275" s="26"/>
      <c r="R275" s="26"/>
      <c r="S275" s="26"/>
      <c r="T275" s="26"/>
      <c r="U275" s="26"/>
      <c r="V275" s="26"/>
      <c r="W275" s="26"/>
      <c r="X275" s="26"/>
      <c r="Y275" s="26"/>
      <c r="Z275" s="26"/>
    </row>
    <row r="276" ht="12.75" customHeight="1">
      <c r="A276" s="31"/>
      <c r="B276" s="53"/>
      <c r="C276" s="26"/>
      <c r="D276" s="54"/>
      <c r="E276" s="25"/>
      <c r="F276" s="25"/>
      <c r="G276" s="25"/>
      <c r="H276" s="25"/>
      <c r="I276" s="25"/>
      <c r="J276" s="25"/>
      <c r="K276" s="25"/>
      <c r="L276" s="25"/>
      <c r="M276" s="25"/>
      <c r="N276" s="25"/>
      <c r="O276" s="25"/>
      <c r="P276" s="25"/>
      <c r="Q276" s="26"/>
      <c r="R276" s="26"/>
      <c r="S276" s="26"/>
      <c r="T276" s="26"/>
      <c r="U276" s="26"/>
      <c r="V276" s="26"/>
      <c r="W276" s="26"/>
      <c r="X276" s="26"/>
      <c r="Y276" s="26"/>
      <c r="Z276" s="26"/>
    </row>
    <row r="277" ht="12.75" customHeight="1">
      <c r="A277" s="31"/>
      <c r="B277" s="53"/>
      <c r="C277" s="26"/>
      <c r="D277" s="54"/>
      <c r="E277" s="25"/>
      <c r="F277" s="25"/>
      <c r="G277" s="25"/>
      <c r="H277" s="25"/>
      <c r="I277" s="25"/>
      <c r="J277" s="25"/>
      <c r="K277" s="25"/>
      <c r="L277" s="25"/>
      <c r="M277" s="25"/>
      <c r="N277" s="25"/>
      <c r="O277" s="25"/>
      <c r="P277" s="25"/>
      <c r="Q277" s="26"/>
      <c r="R277" s="26"/>
      <c r="S277" s="26"/>
      <c r="T277" s="26"/>
      <c r="U277" s="26"/>
      <c r="V277" s="26"/>
      <c r="W277" s="26"/>
      <c r="X277" s="26"/>
      <c r="Y277" s="26"/>
      <c r="Z277" s="26"/>
    </row>
    <row r="278" ht="12.75" customHeight="1">
      <c r="A278" s="31"/>
      <c r="B278" s="53"/>
      <c r="C278" s="26"/>
      <c r="D278" s="54"/>
      <c r="E278" s="25"/>
      <c r="F278" s="25"/>
      <c r="G278" s="25"/>
      <c r="H278" s="25"/>
      <c r="I278" s="25"/>
      <c r="J278" s="25"/>
      <c r="K278" s="25"/>
      <c r="L278" s="25"/>
      <c r="M278" s="25"/>
      <c r="N278" s="25"/>
      <c r="O278" s="25"/>
      <c r="P278" s="25"/>
      <c r="Q278" s="26"/>
      <c r="R278" s="26"/>
      <c r="S278" s="26"/>
      <c r="T278" s="26"/>
      <c r="U278" s="26"/>
      <c r="V278" s="26"/>
      <c r="W278" s="26"/>
      <c r="X278" s="26"/>
      <c r="Y278" s="26"/>
      <c r="Z278" s="26"/>
    </row>
    <row r="279" ht="12.75" customHeight="1">
      <c r="A279" s="31"/>
      <c r="B279" s="53"/>
      <c r="C279" s="26"/>
      <c r="D279" s="54"/>
      <c r="E279" s="25"/>
      <c r="F279" s="25"/>
      <c r="G279" s="25"/>
      <c r="H279" s="25"/>
      <c r="I279" s="25"/>
      <c r="J279" s="25"/>
      <c r="K279" s="25"/>
      <c r="L279" s="25"/>
      <c r="M279" s="25"/>
      <c r="N279" s="25"/>
      <c r="O279" s="25"/>
      <c r="P279" s="25"/>
      <c r="Q279" s="26"/>
      <c r="R279" s="26"/>
      <c r="S279" s="26"/>
      <c r="T279" s="26"/>
      <c r="U279" s="26"/>
      <c r="V279" s="26"/>
      <c r="W279" s="26"/>
      <c r="X279" s="26"/>
      <c r="Y279" s="26"/>
      <c r="Z279" s="26"/>
    </row>
    <row r="280" ht="12.75" customHeight="1">
      <c r="A280" s="31"/>
      <c r="B280" s="53"/>
      <c r="C280" s="26"/>
      <c r="D280" s="54"/>
      <c r="E280" s="25"/>
      <c r="F280" s="25"/>
      <c r="G280" s="25"/>
      <c r="H280" s="25"/>
      <c r="I280" s="25"/>
      <c r="J280" s="25"/>
      <c r="K280" s="25"/>
      <c r="L280" s="25"/>
      <c r="M280" s="25"/>
      <c r="N280" s="25"/>
      <c r="O280" s="25"/>
      <c r="P280" s="25"/>
      <c r="Q280" s="26"/>
      <c r="R280" s="26"/>
      <c r="S280" s="26"/>
      <c r="T280" s="26"/>
      <c r="U280" s="26"/>
      <c r="V280" s="26"/>
      <c r="W280" s="26"/>
      <c r="X280" s="26"/>
      <c r="Y280" s="26"/>
      <c r="Z280" s="26"/>
    </row>
    <row r="281" ht="12.75" customHeight="1">
      <c r="A281" s="31"/>
      <c r="B281" s="53"/>
      <c r="C281" s="26"/>
      <c r="D281" s="54"/>
      <c r="E281" s="25"/>
      <c r="F281" s="25"/>
      <c r="G281" s="25"/>
      <c r="H281" s="25"/>
      <c r="I281" s="25"/>
      <c r="J281" s="25"/>
      <c r="K281" s="25"/>
      <c r="L281" s="25"/>
      <c r="M281" s="25"/>
      <c r="N281" s="25"/>
      <c r="O281" s="25"/>
      <c r="P281" s="25"/>
      <c r="Q281" s="26"/>
      <c r="R281" s="26"/>
      <c r="S281" s="26"/>
      <c r="T281" s="26"/>
      <c r="U281" s="26"/>
      <c r="V281" s="26"/>
      <c r="W281" s="26"/>
      <c r="X281" s="26"/>
      <c r="Y281" s="26"/>
      <c r="Z281" s="26"/>
    </row>
    <row r="282" ht="12.75" customHeight="1">
      <c r="A282" s="31"/>
      <c r="B282" s="53"/>
      <c r="C282" s="26"/>
      <c r="D282" s="54"/>
      <c r="E282" s="25"/>
      <c r="F282" s="25"/>
      <c r="G282" s="25"/>
      <c r="H282" s="25"/>
      <c r="I282" s="25"/>
      <c r="J282" s="25"/>
      <c r="K282" s="25"/>
      <c r="L282" s="25"/>
      <c r="M282" s="25"/>
      <c r="N282" s="25"/>
      <c r="O282" s="25"/>
      <c r="P282" s="25"/>
      <c r="Q282" s="26"/>
      <c r="R282" s="26"/>
      <c r="S282" s="26"/>
      <c r="T282" s="26"/>
      <c r="U282" s="26"/>
      <c r="V282" s="26"/>
      <c r="W282" s="26"/>
      <c r="X282" s="26"/>
      <c r="Y282" s="26"/>
      <c r="Z282" s="26"/>
    </row>
    <row r="283" ht="12.75" customHeight="1">
      <c r="A283" s="31"/>
      <c r="B283" s="53"/>
      <c r="C283" s="26"/>
      <c r="D283" s="54"/>
      <c r="E283" s="25"/>
      <c r="F283" s="25"/>
      <c r="G283" s="25"/>
      <c r="H283" s="25"/>
      <c r="I283" s="25"/>
      <c r="J283" s="25"/>
      <c r="K283" s="25"/>
      <c r="L283" s="25"/>
      <c r="M283" s="25"/>
      <c r="N283" s="25"/>
      <c r="O283" s="25"/>
      <c r="P283" s="25"/>
      <c r="Q283" s="26"/>
      <c r="R283" s="26"/>
      <c r="S283" s="26"/>
      <c r="T283" s="26"/>
      <c r="U283" s="26"/>
      <c r="V283" s="26"/>
      <c r="W283" s="26"/>
      <c r="X283" s="26"/>
      <c r="Y283" s="26"/>
      <c r="Z283" s="26"/>
    </row>
    <row r="284" ht="12.75" customHeight="1">
      <c r="A284" s="31"/>
      <c r="B284" s="53"/>
      <c r="C284" s="26"/>
      <c r="D284" s="54"/>
      <c r="E284" s="25"/>
      <c r="F284" s="25"/>
      <c r="G284" s="25"/>
      <c r="H284" s="25"/>
      <c r="I284" s="25"/>
      <c r="J284" s="25"/>
      <c r="K284" s="25"/>
      <c r="L284" s="25"/>
      <c r="M284" s="25"/>
      <c r="N284" s="25"/>
      <c r="O284" s="25"/>
      <c r="P284" s="25"/>
      <c r="Q284" s="26"/>
      <c r="R284" s="26"/>
      <c r="S284" s="26"/>
      <c r="T284" s="26"/>
      <c r="U284" s="26"/>
      <c r="V284" s="26"/>
      <c r="W284" s="26"/>
      <c r="X284" s="26"/>
      <c r="Y284" s="26"/>
      <c r="Z284" s="26"/>
    </row>
    <row r="285" ht="12.75" customHeight="1">
      <c r="A285" s="31"/>
      <c r="B285" s="53"/>
      <c r="C285" s="26"/>
      <c r="D285" s="54"/>
      <c r="E285" s="25"/>
      <c r="F285" s="25"/>
      <c r="G285" s="25"/>
      <c r="H285" s="25"/>
      <c r="I285" s="25"/>
      <c r="J285" s="25"/>
      <c r="K285" s="25"/>
      <c r="L285" s="25"/>
      <c r="M285" s="25"/>
      <c r="N285" s="25"/>
      <c r="O285" s="25"/>
      <c r="P285" s="25"/>
      <c r="Q285" s="26"/>
      <c r="R285" s="26"/>
      <c r="S285" s="26"/>
      <c r="T285" s="26"/>
      <c r="U285" s="26"/>
      <c r="V285" s="26"/>
      <c r="W285" s="26"/>
      <c r="X285" s="26"/>
      <c r="Y285" s="26"/>
      <c r="Z285" s="26"/>
    </row>
    <row r="286" ht="12.75" customHeight="1">
      <c r="A286" s="31"/>
      <c r="B286" s="53"/>
      <c r="C286" s="26"/>
      <c r="D286" s="54"/>
      <c r="E286" s="25"/>
      <c r="F286" s="25"/>
      <c r="G286" s="25"/>
      <c r="H286" s="25"/>
      <c r="I286" s="25"/>
      <c r="J286" s="25"/>
      <c r="K286" s="25"/>
      <c r="L286" s="25"/>
      <c r="M286" s="25"/>
      <c r="N286" s="25"/>
      <c r="O286" s="25"/>
      <c r="P286" s="25"/>
      <c r="Q286" s="26"/>
      <c r="R286" s="26"/>
      <c r="S286" s="26"/>
      <c r="T286" s="26"/>
      <c r="U286" s="26"/>
      <c r="V286" s="26"/>
      <c r="W286" s="26"/>
      <c r="X286" s="26"/>
      <c r="Y286" s="26"/>
      <c r="Z286" s="26"/>
    </row>
    <row r="287" ht="12.75" customHeight="1">
      <c r="A287" s="31"/>
      <c r="B287" s="53"/>
      <c r="C287" s="26"/>
      <c r="D287" s="54"/>
      <c r="E287" s="25"/>
      <c r="F287" s="25"/>
      <c r="G287" s="25"/>
      <c r="H287" s="25"/>
      <c r="I287" s="25"/>
      <c r="J287" s="25"/>
      <c r="K287" s="25"/>
      <c r="L287" s="25"/>
      <c r="M287" s="25"/>
      <c r="N287" s="25"/>
      <c r="O287" s="25"/>
      <c r="P287" s="25"/>
      <c r="Q287" s="26"/>
      <c r="R287" s="26"/>
      <c r="S287" s="26"/>
      <c r="T287" s="26"/>
      <c r="U287" s="26"/>
      <c r="V287" s="26"/>
      <c r="W287" s="26"/>
      <c r="X287" s="26"/>
      <c r="Y287" s="26"/>
      <c r="Z287" s="26"/>
    </row>
    <row r="288" ht="12.75" customHeight="1">
      <c r="A288" s="31"/>
      <c r="B288" s="53"/>
      <c r="C288" s="26"/>
      <c r="D288" s="54"/>
      <c r="E288" s="25"/>
      <c r="F288" s="25"/>
      <c r="G288" s="25"/>
      <c r="H288" s="25"/>
      <c r="I288" s="25"/>
      <c r="J288" s="25"/>
      <c r="K288" s="25"/>
      <c r="L288" s="25"/>
      <c r="M288" s="25"/>
      <c r="N288" s="25"/>
      <c r="O288" s="25"/>
      <c r="P288" s="25"/>
      <c r="Q288" s="26"/>
      <c r="R288" s="26"/>
      <c r="S288" s="26"/>
      <c r="T288" s="26"/>
      <c r="U288" s="26"/>
      <c r="V288" s="26"/>
      <c r="W288" s="26"/>
      <c r="X288" s="26"/>
      <c r="Y288" s="26"/>
      <c r="Z288" s="26"/>
    </row>
    <row r="289" ht="12.75" customHeight="1">
      <c r="A289" s="31"/>
      <c r="B289" s="53"/>
      <c r="C289" s="26"/>
      <c r="D289" s="54"/>
      <c r="E289" s="25"/>
      <c r="F289" s="25"/>
      <c r="G289" s="25"/>
      <c r="H289" s="25"/>
      <c r="I289" s="25"/>
      <c r="J289" s="25"/>
      <c r="K289" s="25"/>
      <c r="L289" s="25"/>
      <c r="M289" s="25"/>
      <c r="N289" s="25"/>
      <c r="O289" s="25"/>
      <c r="P289" s="25"/>
      <c r="Q289" s="26"/>
      <c r="R289" s="26"/>
      <c r="S289" s="26"/>
      <c r="T289" s="26"/>
      <c r="U289" s="26"/>
      <c r="V289" s="26"/>
      <c r="W289" s="26"/>
      <c r="X289" s="26"/>
      <c r="Y289" s="26"/>
      <c r="Z289" s="26"/>
    </row>
    <row r="290" ht="12.75" customHeight="1">
      <c r="A290" s="31"/>
      <c r="B290" s="53"/>
      <c r="C290" s="26"/>
      <c r="D290" s="54"/>
      <c r="E290" s="25"/>
      <c r="F290" s="25"/>
      <c r="G290" s="25"/>
      <c r="H290" s="25"/>
      <c r="I290" s="25"/>
      <c r="J290" s="25"/>
      <c r="K290" s="25"/>
      <c r="L290" s="25"/>
      <c r="M290" s="25"/>
      <c r="N290" s="25"/>
      <c r="O290" s="25"/>
      <c r="P290" s="25"/>
      <c r="Q290" s="26"/>
      <c r="R290" s="26"/>
      <c r="S290" s="26"/>
      <c r="T290" s="26"/>
      <c r="U290" s="26"/>
      <c r="V290" s="26"/>
      <c r="W290" s="26"/>
      <c r="X290" s="26"/>
      <c r="Y290" s="26"/>
      <c r="Z290" s="26"/>
    </row>
    <row r="291" ht="12.75" customHeight="1">
      <c r="A291" s="31"/>
      <c r="B291" s="53"/>
      <c r="C291" s="26"/>
      <c r="D291" s="54"/>
      <c r="E291" s="25"/>
      <c r="F291" s="25"/>
      <c r="G291" s="25"/>
      <c r="H291" s="25"/>
      <c r="I291" s="25"/>
      <c r="J291" s="25"/>
      <c r="K291" s="25"/>
      <c r="L291" s="25"/>
      <c r="M291" s="25"/>
      <c r="N291" s="25"/>
      <c r="O291" s="25"/>
      <c r="P291" s="25"/>
      <c r="Q291" s="26"/>
      <c r="R291" s="26"/>
      <c r="S291" s="26"/>
      <c r="T291" s="26"/>
      <c r="U291" s="26"/>
      <c r="V291" s="26"/>
      <c r="W291" s="26"/>
      <c r="X291" s="26"/>
      <c r="Y291" s="26"/>
      <c r="Z291" s="26"/>
    </row>
    <row r="292" ht="12.75" customHeight="1">
      <c r="A292" s="31"/>
      <c r="B292" s="53"/>
      <c r="C292" s="26"/>
      <c r="D292" s="54"/>
      <c r="E292" s="25"/>
      <c r="F292" s="25"/>
      <c r="G292" s="25"/>
      <c r="H292" s="25"/>
      <c r="I292" s="25"/>
      <c r="J292" s="25"/>
      <c r="K292" s="25"/>
      <c r="L292" s="25"/>
      <c r="M292" s="25"/>
      <c r="N292" s="25"/>
      <c r="O292" s="25"/>
      <c r="P292" s="25"/>
      <c r="Q292" s="26"/>
      <c r="R292" s="26"/>
      <c r="S292" s="26"/>
      <c r="T292" s="26"/>
      <c r="U292" s="26"/>
      <c r="V292" s="26"/>
      <c r="W292" s="26"/>
      <c r="X292" s="26"/>
      <c r="Y292" s="26"/>
      <c r="Z292" s="26"/>
    </row>
    <row r="293" ht="12.75" customHeight="1">
      <c r="A293" s="31"/>
      <c r="B293" s="53"/>
      <c r="C293" s="26"/>
      <c r="D293" s="54"/>
      <c r="E293" s="25"/>
      <c r="F293" s="25"/>
      <c r="G293" s="25"/>
      <c r="H293" s="25"/>
      <c r="I293" s="25"/>
      <c r="J293" s="25"/>
      <c r="K293" s="25"/>
      <c r="L293" s="25"/>
      <c r="M293" s="25"/>
      <c r="N293" s="25"/>
      <c r="O293" s="25"/>
      <c r="P293" s="25"/>
      <c r="Q293" s="26"/>
      <c r="R293" s="26"/>
      <c r="S293" s="26"/>
      <c r="T293" s="26"/>
      <c r="U293" s="26"/>
      <c r="V293" s="26"/>
      <c r="W293" s="26"/>
      <c r="X293" s="26"/>
      <c r="Y293" s="26"/>
      <c r="Z293" s="26"/>
    </row>
    <row r="294" ht="12.75" customHeight="1">
      <c r="A294" s="31"/>
      <c r="B294" s="53"/>
      <c r="C294" s="26"/>
      <c r="D294" s="54"/>
      <c r="E294" s="25"/>
      <c r="F294" s="25"/>
      <c r="G294" s="25"/>
      <c r="H294" s="25"/>
      <c r="I294" s="25"/>
      <c r="J294" s="25"/>
      <c r="K294" s="25"/>
      <c r="L294" s="25"/>
      <c r="M294" s="25"/>
      <c r="N294" s="25"/>
      <c r="O294" s="25"/>
      <c r="P294" s="25"/>
      <c r="Q294" s="26"/>
      <c r="R294" s="26"/>
      <c r="S294" s="26"/>
      <c r="T294" s="26"/>
      <c r="U294" s="26"/>
      <c r="V294" s="26"/>
      <c r="W294" s="26"/>
      <c r="X294" s="26"/>
      <c r="Y294" s="26"/>
      <c r="Z294" s="26"/>
    </row>
    <row r="295" ht="12.75" customHeight="1">
      <c r="A295" s="31"/>
      <c r="B295" s="53"/>
      <c r="C295" s="26"/>
      <c r="D295" s="54"/>
      <c r="E295" s="25"/>
      <c r="F295" s="25"/>
      <c r="G295" s="25"/>
      <c r="H295" s="25"/>
      <c r="I295" s="25"/>
      <c r="J295" s="25"/>
      <c r="K295" s="25"/>
      <c r="L295" s="25"/>
      <c r="M295" s="25"/>
      <c r="N295" s="25"/>
      <c r="O295" s="25"/>
      <c r="P295" s="25"/>
      <c r="Q295" s="26"/>
      <c r="R295" s="26"/>
      <c r="S295" s="26"/>
      <c r="T295" s="26"/>
      <c r="U295" s="26"/>
      <c r="V295" s="26"/>
      <c r="W295" s="26"/>
      <c r="X295" s="26"/>
      <c r="Y295" s="26"/>
      <c r="Z295" s="26"/>
    </row>
    <row r="296" ht="12.75" customHeight="1">
      <c r="A296" s="31"/>
      <c r="B296" s="53"/>
      <c r="C296" s="26"/>
      <c r="D296" s="54"/>
      <c r="E296" s="25"/>
      <c r="F296" s="25"/>
      <c r="G296" s="25"/>
      <c r="H296" s="25"/>
      <c r="I296" s="25"/>
      <c r="J296" s="25"/>
      <c r="K296" s="25"/>
      <c r="L296" s="25"/>
      <c r="M296" s="25"/>
      <c r="N296" s="25"/>
      <c r="O296" s="25"/>
      <c r="P296" s="25"/>
      <c r="Q296" s="26"/>
      <c r="R296" s="26"/>
      <c r="S296" s="26"/>
      <c r="T296" s="26"/>
      <c r="U296" s="26"/>
      <c r="V296" s="26"/>
      <c r="W296" s="26"/>
      <c r="X296" s="26"/>
      <c r="Y296" s="26"/>
      <c r="Z296" s="26"/>
    </row>
    <row r="297" ht="12.75" customHeight="1">
      <c r="A297" s="31"/>
      <c r="B297" s="53"/>
      <c r="C297" s="26"/>
      <c r="D297" s="54"/>
      <c r="E297" s="25"/>
      <c r="F297" s="25"/>
      <c r="G297" s="25"/>
      <c r="H297" s="25"/>
      <c r="I297" s="25"/>
      <c r="J297" s="25"/>
      <c r="K297" s="25"/>
      <c r="L297" s="25"/>
      <c r="M297" s="25"/>
      <c r="N297" s="25"/>
      <c r="O297" s="25"/>
      <c r="P297" s="25"/>
      <c r="Q297" s="26"/>
      <c r="R297" s="26"/>
      <c r="S297" s="26"/>
      <c r="T297" s="26"/>
      <c r="U297" s="26"/>
      <c r="V297" s="26"/>
      <c r="W297" s="26"/>
      <c r="X297" s="26"/>
      <c r="Y297" s="26"/>
      <c r="Z297" s="26"/>
    </row>
    <row r="298" ht="12.75" customHeight="1">
      <c r="A298" s="31"/>
      <c r="B298" s="53"/>
      <c r="C298" s="26"/>
      <c r="D298" s="54"/>
      <c r="E298" s="25"/>
      <c r="F298" s="25"/>
      <c r="G298" s="25"/>
      <c r="H298" s="25"/>
      <c r="I298" s="25"/>
      <c r="J298" s="25"/>
      <c r="K298" s="25"/>
      <c r="L298" s="25"/>
      <c r="M298" s="25"/>
      <c r="N298" s="25"/>
      <c r="O298" s="25"/>
      <c r="P298" s="25"/>
      <c r="Q298" s="26"/>
      <c r="R298" s="26"/>
      <c r="S298" s="26"/>
      <c r="T298" s="26"/>
      <c r="U298" s="26"/>
      <c r="V298" s="26"/>
      <c r="W298" s="26"/>
      <c r="X298" s="26"/>
      <c r="Y298" s="26"/>
      <c r="Z298" s="26"/>
    </row>
    <row r="299" ht="12.75" customHeight="1">
      <c r="A299" s="31"/>
      <c r="B299" s="53"/>
      <c r="C299" s="26"/>
      <c r="D299" s="54"/>
      <c r="E299" s="25"/>
      <c r="F299" s="25"/>
      <c r="G299" s="25"/>
      <c r="H299" s="25"/>
      <c r="I299" s="25"/>
      <c r="J299" s="25"/>
      <c r="K299" s="25"/>
      <c r="L299" s="25"/>
      <c r="M299" s="25"/>
      <c r="N299" s="25"/>
      <c r="O299" s="25"/>
      <c r="P299" s="25"/>
      <c r="Q299" s="26"/>
      <c r="R299" s="26"/>
      <c r="S299" s="26"/>
      <c r="T299" s="26"/>
      <c r="U299" s="26"/>
      <c r="V299" s="26"/>
      <c r="W299" s="26"/>
      <c r="X299" s="26"/>
      <c r="Y299" s="26"/>
      <c r="Z299" s="26"/>
    </row>
    <row r="300" ht="12.75" customHeight="1">
      <c r="A300" s="31"/>
      <c r="B300" s="53"/>
      <c r="C300" s="26"/>
      <c r="D300" s="54"/>
      <c r="E300" s="25"/>
      <c r="F300" s="25"/>
      <c r="G300" s="25"/>
      <c r="H300" s="25"/>
      <c r="I300" s="25"/>
      <c r="J300" s="25"/>
      <c r="K300" s="25"/>
      <c r="L300" s="25"/>
      <c r="M300" s="25"/>
      <c r="N300" s="25"/>
      <c r="O300" s="25"/>
      <c r="P300" s="25"/>
      <c r="Q300" s="26"/>
      <c r="R300" s="26"/>
      <c r="S300" s="26"/>
      <c r="T300" s="26"/>
      <c r="U300" s="26"/>
      <c r="V300" s="26"/>
      <c r="W300" s="26"/>
      <c r="X300" s="26"/>
      <c r="Y300" s="26"/>
      <c r="Z300" s="26"/>
    </row>
    <row r="301" ht="12.75" customHeight="1">
      <c r="A301" s="31"/>
      <c r="B301" s="53"/>
      <c r="C301" s="26"/>
      <c r="D301" s="54"/>
      <c r="E301" s="25"/>
      <c r="F301" s="25"/>
      <c r="G301" s="25"/>
      <c r="H301" s="25"/>
      <c r="I301" s="25"/>
      <c r="J301" s="25"/>
      <c r="K301" s="25"/>
      <c r="L301" s="25"/>
      <c r="M301" s="25"/>
      <c r="N301" s="25"/>
      <c r="O301" s="25"/>
      <c r="P301" s="25"/>
      <c r="Q301" s="26"/>
      <c r="R301" s="26"/>
      <c r="S301" s="26"/>
      <c r="T301" s="26"/>
      <c r="U301" s="26"/>
      <c r="V301" s="26"/>
      <c r="W301" s="26"/>
      <c r="X301" s="26"/>
      <c r="Y301" s="26"/>
      <c r="Z301" s="26"/>
    </row>
    <row r="302" ht="12.75" customHeight="1">
      <c r="A302" s="31"/>
      <c r="B302" s="53"/>
      <c r="C302" s="26"/>
      <c r="D302" s="54"/>
      <c r="E302" s="25"/>
      <c r="F302" s="25"/>
      <c r="G302" s="25"/>
      <c r="H302" s="25"/>
      <c r="I302" s="25"/>
      <c r="J302" s="25"/>
      <c r="K302" s="25"/>
      <c r="L302" s="25"/>
      <c r="M302" s="25"/>
      <c r="N302" s="25"/>
      <c r="O302" s="25"/>
      <c r="P302" s="25"/>
      <c r="Q302" s="26"/>
      <c r="R302" s="26"/>
      <c r="S302" s="26"/>
      <c r="T302" s="26"/>
      <c r="U302" s="26"/>
      <c r="V302" s="26"/>
      <c r="W302" s="26"/>
      <c r="X302" s="26"/>
      <c r="Y302" s="26"/>
      <c r="Z302" s="26"/>
    </row>
    <row r="303" ht="12.75" customHeight="1">
      <c r="A303" s="31"/>
      <c r="B303" s="53"/>
      <c r="C303" s="26"/>
      <c r="D303" s="54"/>
      <c r="E303" s="25"/>
      <c r="F303" s="25"/>
      <c r="G303" s="25"/>
      <c r="H303" s="25"/>
      <c r="I303" s="25"/>
      <c r="J303" s="25"/>
      <c r="K303" s="25"/>
      <c r="L303" s="25"/>
      <c r="M303" s="25"/>
      <c r="N303" s="25"/>
      <c r="O303" s="25"/>
      <c r="P303" s="25"/>
      <c r="Q303" s="26"/>
      <c r="R303" s="26"/>
      <c r="S303" s="26"/>
      <c r="T303" s="26"/>
      <c r="U303" s="26"/>
      <c r="V303" s="26"/>
      <c r="W303" s="26"/>
      <c r="X303" s="26"/>
      <c r="Y303" s="26"/>
      <c r="Z303" s="26"/>
    </row>
    <row r="304" ht="12.75" customHeight="1">
      <c r="A304" s="31"/>
      <c r="B304" s="53"/>
      <c r="C304" s="26"/>
      <c r="D304" s="54"/>
      <c r="E304" s="25"/>
      <c r="F304" s="25"/>
      <c r="G304" s="25"/>
      <c r="H304" s="25"/>
      <c r="I304" s="25"/>
      <c r="J304" s="25"/>
      <c r="K304" s="25"/>
      <c r="L304" s="25"/>
      <c r="M304" s="25"/>
      <c r="N304" s="25"/>
      <c r="O304" s="25"/>
      <c r="P304" s="25"/>
      <c r="Q304" s="26"/>
      <c r="R304" s="26"/>
      <c r="S304" s="26"/>
      <c r="T304" s="26"/>
      <c r="U304" s="26"/>
      <c r="V304" s="26"/>
      <c r="W304" s="26"/>
      <c r="X304" s="26"/>
      <c r="Y304" s="26"/>
      <c r="Z304" s="26"/>
    </row>
    <row r="305" ht="12.75" customHeight="1">
      <c r="A305" s="31"/>
      <c r="B305" s="53"/>
      <c r="C305" s="26"/>
      <c r="D305" s="54"/>
      <c r="E305" s="25"/>
      <c r="F305" s="25"/>
      <c r="G305" s="25"/>
      <c r="H305" s="25"/>
      <c r="I305" s="25"/>
      <c r="J305" s="25"/>
      <c r="K305" s="25"/>
      <c r="L305" s="25"/>
      <c r="M305" s="25"/>
      <c r="N305" s="25"/>
      <c r="O305" s="25"/>
      <c r="P305" s="25"/>
      <c r="Q305" s="26"/>
      <c r="R305" s="26"/>
      <c r="S305" s="26"/>
      <c r="T305" s="26"/>
      <c r="U305" s="26"/>
      <c r="V305" s="26"/>
      <c r="W305" s="26"/>
      <c r="X305" s="26"/>
      <c r="Y305" s="26"/>
      <c r="Z305" s="26"/>
    </row>
    <row r="306" ht="12.75" customHeight="1">
      <c r="A306" s="31"/>
      <c r="B306" s="53"/>
      <c r="C306" s="26"/>
      <c r="D306" s="54"/>
      <c r="E306" s="25"/>
      <c r="F306" s="25"/>
      <c r="G306" s="25"/>
      <c r="H306" s="25"/>
      <c r="I306" s="25"/>
      <c r="J306" s="25"/>
      <c r="K306" s="25"/>
      <c r="L306" s="25"/>
      <c r="M306" s="25"/>
      <c r="N306" s="25"/>
      <c r="O306" s="25"/>
      <c r="P306" s="25"/>
      <c r="Q306" s="26"/>
      <c r="R306" s="26"/>
      <c r="S306" s="26"/>
      <c r="T306" s="26"/>
      <c r="U306" s="26"/>
      <c r="V306" s="26"/>
      <c r="W306" s="26"/>
      <c r="X306" s="26"/>
      <c r="Y306" s="26"/>
      <c r="Z306" s="26"/>
    </row>
    <row r="307" ht="12.75" customHeight="1">
      <c r="A307" s="31"/>
      <c r="B307" s="53"/>
      <c r="C307" s="26"/>
      <c r="D307" s="54"/>
      <c r="E307" s="25"/>
      <c r="F307" s="25"/>
      <c r="G307" s="25"/>
      <c r="H307" s="25"/>
      <c r="I307" s="25"/>
      <c r="J307" s="25"/>
      <c r="K307" s="25"/>
      <c r="L307" s="25"/>
      <c r="M307" s="25"/>
      <c r="N307" s="25"/>
      <c r="O307" s="25"/>
      <c r="P307" s="25"/>
      <c r="Q307" s="26"/>
      <c r="R307" s="26"/>
      <c r="S307" s="26"/>
      <c r="T307" s="26"/>
      <c r="U307" s="26"/>
      <c r="V307" s="26"/>
      <c r="W307" s="26"/>
      <c r="X307" s="26"/>
      <c r="Y307" s="26"/>
      <c r="Z307" s="26"/>
    </row>
    <row r="308" ht="12.75" customHeight="1">
      <c r="A308" s="31"/>
      <c r="B308" s="53"/>
      <c r="C308" s="26"/>
      <c r="D308" s="54"/>
      <c r="E308" s="25"/>
      <c r="F308" s="25"/>
      <c r="G308" s="25"/>
      <c r="H308" s="25"/>
      <c r="I308" s="25"/>
      <c r="J308" s="25"/>
      <c r="K308" s="25"/>
      <c r="L308" s="25"/>
      <c r="M308" s="25"/>
      <c r="N308" s="25"/>
      <c r="O308" s="25"/>
      <c r="P308" s="25"/>
      <c r="Q308" s="26"/>
      <c r="R308" s="26"/>
      <c r="S308" s="26"/>
      <c r="T308" s="26"/>
      <c r="U308" s="26"/>
      <c r="V308" s="26"/>
      <c r="W308" s="26"/>
      <c r="X308" s="26"/>
      <c r="Y308" s="26"/>
      <c r="Z308" s="26"/>
    </row>
    <row r="309" ht="12.75" customHeight="1">
      <c r="A309" s="31"/>
      <c r="B309" s="53"/>
      <c r="C309" s="26"/>
      <c r="D309" s="54"/>
      <c r="E309" s="25"/>
      <c r="F309" s="25"/>
      <c r="G309" s="25"/>
      <c r="H309" s="25"/>
      <c r="I309" s="25"/>
      <c r="J309" s="25"/>
      <c r="K309" s="25"/>
      <c r="L309" s="25"/>
      <c r="M309" s="25"/>
      <c r="N309" s="25"/>
      <c r="O309" s="25"/>
      <c r="P309" s="25"/>
      <c r="Q309" s="26"/>
      <c r="R309" s="26"/>
      <c r="S309" s="26"/>
      <c r="T309" s="26"/>
      <c r="U309" s="26"/>
      <c r="V309" s="26"/>
      <c r="W309" s="26"/>
      <c r="X309" s="26"/>
      <c r="Y309" s="26"/>
      <c r="Z309" s="26"/>
    </row>
    <row r="310" ht="12.75" customHeight="1">
      <c r="A310" s="31"/>
      <c r="B310" s="53"/>
      <c r="C310" s="26"/>
      <c r="D310" s="54"/>
      <c r="E310" s="25"/>
      <c r="F310" s="25"/>
      <c r="G310" s="25"/>
      <c r="H310" s="25"/>
      <c r="I310" s="25"/>
      <c r="J310" s="25"/>
      <c r="K310" s="25"/>
      <c r="L310" s="25"/>
      <c r="M310" s="25"/>
      <c r="N310" s="25"/>
      <c r="O310" s="25"/>
      <c r="P310" s="25"/>
      <c r="Q310" s="26"/>
      <c r="R310" s="26"/>
      <c r="S310" s="26"/>
      <c r="T310" s="26"/>
      <c r="U310" s="26"/>
      <c r="V310" s="26"/>
      <c r="W310" s="26"/>
      <c r="X310" s="26"/>
      <c r="Y310" s="26"/>
      <c r="Z310" s="26"/>
    </row>
    <row r="311" ht="12.75" customHeight="1">
      <c r="A311" s="31"/>
      <c r="B311" s="53"/>
      <c r="C311" s="26"/>
      <c r="D311" s="54"/>
      <c r="E311" s="25"/>
      <c r="F311" s="25"/>
      <c r="G311" s="25"/>
      <c r="H311" s="25"/>
      <c r="I311" s="25"/>
      <c r="J311" s="25"/>
      <c r="K311" s="25"/>
      <c r="L311" s="25"/>
      <c r="M311" s="25"/>
      <c r="N311" s="25"/>
      <c r="O311" s="25"/>
      <c r="P311" s="25"/>
      <c r="Q311" s="26"/>
      <c r="R311" s="26"/>
      <c r="S311" s="26"/>
      <c r="T311" s="26"/>
      <c r="U311" s="26"/>
      <c r="V311" s="26"/>
      <c r="W311" s="26"/>
      <c r="X311" s="26"/>
      <c r="Y311" s="26"/>
      <c r="Z311" s="26"/>
    </row>
    <row r="312" ht="12.75" customHeight="1">
      <c r="A312" s="31"/>
      <c r="B312" s="53"/>
      <c r="C312" s="26"/>
      <c r="D312" s="54"/>
      <c r="E312" s="25"/>
      <c r="F312" s="25"/>
      <c r="G312" s="25"/>
      <c r="H312" s="25"/>
      <c r="I312" s="25"/>
      <c r="J312" s="25"/>
      <c r="K312" s="25"/>
      <c r="L312" s="25"/>
      <c r="M312" s="25"/>
      <c r="N312" s="25"/>
      <c r="O312" s="25"/>
      <c r="P312" s="25"/>
      <c r="Q312" s="26"/>
      <c r="R312" s="26"/>
      <c r="S312" s="26"/>
      <c r="T312" s="26"/>
      <c r="U312" s="26"/>
      <c r="V312" s="26"/>
      <c r="W312" s="26"/>
      <c r="X312" s="26"/>
      <c r="Y312" s="26"/>
      <c r="Z312" s="26"/>
    </row>
    <row r="313" ht="12.75" customHeight="1">
      <c r="A313" s="31"/>
      <c r="B313" s="53"/>
      <c r="C313" s="26"/>
      <c r="D313" s="54"/>
      <c r="E313" s="25"/>
      <c r="F313" s="25"/>
      <c r="G313" s="25"/>
      <c r="H313" s="25"/>
      <c r="I313" s="25"/>
      <c r="J313" s="25"/>
      <c r="K313" s="25"/>
      <c r="L313" s="25"/>
      <c r="M313" s="25"/>
      <c r="N313" s="25"/>
      <c r="O313" s="25"/>
      <c r="P313" s="25"/>
      <c r="Q313" s="26"/>
      <c r="R313" s="26"/>
      <c r="S313" s="26"/>
      <c r="T313" s="26"/>
      <c r="U313" s="26"/>
      <c r="V313" s="26"/>
      <c r="W313" s="26"/>
      <c r="X313" s="26"/>
      <c r="Y313" s="26"/>
      <c r="Z313" s="26"/>
    </row>
    <row r="314" ht="12.75" customHeight="1">
      <c r="A314" s="31"/>
      <c r="B314" s="53"/>
      <c r="C314" s="26"/>
      <c r="D314" s="54"/>
      <c r="E314" s="25"/>
      <c r="F314" s="25"/>
      <c r="G314" s="25"/>
      <c r="H314" s="25"/>
      <c r="I314" s="25"/>
      <c r="J314" s="25"/>
      <c r="K314" s="25"/>
      <c r="L314" s="25"/>
      <c r="M314" s="25"/>
      <c r="N314" s="25"/>
      <c r="O314" s="25"/>
      <c r="P314" s="25"/>
      <c r="Q314" s="26"/>
      <c r="R314" s="26"/>
      <c r="S314" s="26"/>
      <c r="T314" s="26"/>
      <c r="U314" s="26"/>
      <c r="V314" s="26"/>
      <c r="W314" s="26"/>
      <c r="X314" s="26"/>
      <c r="Y314" s="26"/>
      <c r="Z314" s="26"/>
    </row>
    <row r="315" ht="12.75" customHeight="1">
      <c r="A315" s="31"/>
      <c r="B315" s="53"/>
      <c r="C315" s="26"/>
      <c r="D315" s="54"/>
      <c r="E315" s="25"/>
      <c r="F315" s="25"/>
      <c r="G315" s="25"/>
      <c r="H315" s="25"/>
      <c r="I315" s="25"/>
      <c r="J315" s="25"/>
      <c r="K315" s="25"/>
      <c r="L315" s="25"/>
      <c r="M315" s="25"/>
      <c r="N315" s="25"/>
      <c r="O315" s="25"/>
      <c r="P315" s="25"/>
      <c r="Q315" s="26"/>
      <c r="R315" s="26"/>
      <c r="S315" s="26"/>
      <c r="T315" s="26"/>
      <c r="U315" s="26"/>
      <c r="V315" s="26"/>
      <c r="W315" s="26"/>
      <c r="X315" s="26"/>
      <c r="Y315" s="26"/>
      <c r="Z315" s="26"/>
    </row>
    <row r="316" ht="12.75" customHeight="1">
      <c r="A316" s="31"/>
      <c r="B316" s="53"/>
      <c r="C316" s="26"/>
      <c r="D316" s="54"/>
      <c r="E316" s="25"/>
      <c r="F316" s="25"/>
      <c r="G316" s="25"/>
      <c r="H316" s="25"/>
      <c r="I316" s="25"/>
      <c r="J316" s="25"/>
      <c r="K316" s="25"/>
      <c r="L316" s="25"/>
      <c r="M316" s="25"/>
      <c r="N316" s="25"/>
      <c r="O316" s="25"/>
      <c r="P316" s="25"/>
      <c r="Q316" s="26"/>
      <c r="R316" s="26"/>
      <c r="S316" s="26"/>
      <c r="T316" s="26"/>
      <c r="U316" s="26"/>
      <c r="V316" s="26"/>
      <c r="W316" s="26"/>
      <c r="X316" s="26"/>
      <c r="Y316" s="26"/>
      <c r="Z316" s="26"/>
    </row>
    <row r="317" ht="12.75" customHeight="1">
      <c r="A317" s="31"/>
      <c r="B317" s="53"/>
      <c r="C317" s="26"/>
      <c r="D317" s="54"/>
      <c r="E317" s="25"/>
      <c r="F317" s="25"/>
      <c r="G317" s="25"/>
      <c r="H317" s="25"/>
      <c r="I317" s="25"/>
      <c r="J317" s="25"/>
      <c r="K317" s="25"/>
      <c r="L317" s="25"/>
      <c r="M317" s="25"/>
      <c r="N317" s="25"/>
      <c r="O317" s="25"/>
      <c r="P317" s="25"/>
      <c r="Q317" s="26"/>
      <c r="R317" s="26"/>
      <c r="S317" s="26"/>
      <c r="T317" s="26"/>
      <c r="U317" s="26"/>
      <c r="V317" s="26"/>
      <c r="W317" s="26"/>
      <c r="X317" s="26"/>
      <c r="Y317" s="26"/>
      <c r="Z317" s="26"/>
    </row>
    <row r="318" ht="12.75" customHeight="1">
      <c r="A318" s="31"/>
      <c r="B318" s="53"/>
      <c r="C318" s="26"/>
      <c r="D318" s="54"/>
      <c r="E318" s="25"/>
      <c r="F318" s="25"/>
      <c r="G318" s="25"/>
      <c r="H318" s="25"/>
      <c r="I318" s="25"/>
      <c r="J318" s="25"/>
      <c r="K318" s="25"/>
      <c r="L318" s="25"/>
      <c r="M318" s="25"/>
      <c r="N318" s="25"/>
      <c r="O318" s="25"/>
      <c r="P318" s="25"/>
      <c r="Q318" s="26"/>
      <c r="R318" s="26"/>
      <c r="S318" s="26"/>
      <c r="T318" s="26"/>
      <c r="U318" s="26"/>
      <c r="V318" s="26"/>
      <c r="W318" s="26"/>
      <c r="X318" s="26"/>
      <c r="Y318" s="26"/>
      <c r="Z318" s="26"/>
    </row>
    <row r="319" ht="12.75" customHeight="1">
      <c r="A319" s="31"/>
      <c r="B319" s="53"/>
      <c r="C319" s="26"/>
      <c r="D319" s="54"/>
      <c r="E319" s="25"/>
      <c r="F319" s="25"/>
      <c r="G319" s="25"/>
      <c r="H319" s="25"/>
      <c r="I319" s="25"/>
      <c r="J319" s="25"/>
      <c r="K319" s="25"/>
      <c r="L319" s="25"/>
      <c r="M319" s="25"/>
      <c r="N319" s="25"/>
      <c r="O319" s="25"/>
      <c r="P319" s="25"/>
      <c r="Q319" s="26"/>
      <c r="R319" s="26"/>
      <c r="S319" s="26"/>
      <c r="T319" s="26"/>
      <c r="U319" s="26"/>
      <c r="V319" s="26"/>
      <c r="W319" s="26"/>
      <c r="X319" s="26"/>
      <c r="Y319" s="26"/>
      <c r="Z319" s="26"/>
    </row>
    <row r="320" ht="12.75" customHeight="1">
      <c r="A320" s="31"/>
      <c r="B320" s="53"/>
      <c r="C320" s="26"/>
      <c r="D320" s="54"/>
      <c r="E320" s="25"/>
      <c r="F320" s="25"/>
      <c r="G320" s="25"/>
      <c r="H320" s="25"/>
      <c r="I320" s="25"/>
      <c r="J320" s="25"/>
      <c r="K320" s="25"/>
      <c r="L320" s="25"/>
      <c r="M320" s="25"/>
      <c r="N320" s="25"/>
      <c r="O320" s="25"/>
      <c r="P320" s="25"/>
      <c r="Q320" s="26"/>
      <c r="R320" s="26"/>
      <c r="S320" s="26"/>
      <c r="T320" s="26"/>
      <c r="U320" s="26"/>
      <c r="V320" s="26"/>
      <c r="W320" s="26"/>
      <c r="X320" s="26"/>
      <c r="Y320" s="26"/>
      <c r="Z320" s="26"/>
    </row>
    <row r="321" ht="12.75" customHeight="1">
      <c r="A321" s="31"/>
      <c r="B321" s="53"/>
      <c r="C321" s="26"/>
      <c r="D321" s="54"/>
      <c r="E321" s="25"/>
      <c r="F321" s="25"/>
      <c r="G321" s="25"/>
      <c r="H321" s="25"/>
      <c r="I321" s="25"/>
      <c r="J321" s="25"/>
      <c r="K321" s="25"/>
      <c r="L321" s="25"/>
      <c r="M321" s="25"/>
      <c r="N321" s="25"/>
      <c r="O321" s="25"/>
      <c r="P321" s="25"/>
      <c r="Q321" s="26"/>
      <c r="R321" s="26"/>
      <c r="S321" s="26"/>
      <c r="T321" s="26"/>
      <c r="U321" s="26"/>
      <c r="V321" s="26"/>
      <c r="W321" s="26"/>
      <c r="X321" s="26"/>
      <c r="Y321" s="26"/>
      <c r="Z321" s="26"/>
    </row>
    <row r="322" ht="12.75" customHeight="1">
      <c r="A322" s="31"/>
      <c r="B322" s="53"/>
      <c r="C322" s="26"/>
      <c r="D322" s="54"/>
      <c r="E322" s="25"/>
      <c r="F322" s="25"/>
      <c r="G322" s="25"/>
      <c r="H322" s="25"/>
      <c r="I322" s="25"/>
      <c r="J322" s="25"/>
      <c r="K322" s="25"/>
      <c r="L322" s="25"/>
      <c r="M322" s="25"/>
      <c r="N322" s="25"/>
      <c r="O322" s="25"/>
      <c r="P322" s="25"/>
      <c r="Q322" s="26"/>
      <c r="R322" s="26"/>
      <c r="S322" s="26"/>
      <c r="T322" s="26"/>
      <c r="U322" s="26"/>
      <c r="V322" s="26"/>
      <c r="W322" s="26"/>
      <c r="X322" s="26"/>
      <c r="Y322" s="26"/>
      <c r="Z322" s="26"/>
    </row>
    <row r="323" ht="12.75" customHeight="1">
      <c r="A323" s="31"/>
      <c r="B323" s="53"/>
      <c r="C323" s="26"/>
      <c r="D323" s="54"/>
      <c r="E323" s="25"/>
      <c r="F323" s="25"/>
      <c r="G323" s="25"/>
      <c r="H323" s="25"/>
      <c r="I323" s="25"/>
      <c r="J323" s="25"/>
      <c r="K323" s="25"/>
      <c r="L323" s="25"/>
      <c r="M323" s="25"/>
      <c r="N323" s="25"/>
      <c r="O323" s="25"/>
      <c r="P323" s="25"/>
      <c r="Q323" s="26"/>
      <c r="R323" s="26"/>
      <c r="S323" s="26"/>
      <c r="T323" s="26"/>
      <c r="U323" s="26"/>
      <c r="V323" s="26"/>
      <c r="W323" s="26"/>
      <c r="X323" s="26"/>
      <c r="Y323" s="26"/>
      <c r="Z323" s="26"/>
    </row>
    <row r="324" ht="12.75" customHeight="1">
      <c r="A324" s="31"/>
      <c r="B324" s="53"/>
      <c r="C324" s="26"/>
      <c r="D324" s="54"/>
      <c r="E324" s="25"/>
      <c r="F324" s="25"/>
      <c r="G324" s="25"/>
      <c r="H324" s="25"/>
      <c r="I324" s="25"/>
      <c r="J324" s="25"/>
      <c r="K324" s="25"/>
      <c r="L324" s="25"/>
      <c r="M324" s="25"/>
      <c r="N324" s="25"/>
      <c r="O324" s="25"/>
      <c r="P324" s="25"/>
      <c r="Q324" s="26"/>
      <c r="R324" s="26"/>
      <c r="S324" s="26"/>
      <c r="T324" s="26"/>
      <c r="U324" s="26"/>
      <c r="V324" s="26"/>
      <c r="W324" s="26"/>
      <c r="X324" s="26"/>
      <c r="Y324" s="26"/>
      <c r="Z324" s="26"/>
    </row>
    <row r="325" ht="12.75" customHeight="1">
      <c r="A325" s="31"/>
      <c r="B325" s="53"/>
      <c r="C325" s="26"/>
      <c r="D325" s="54"/>
      <c r="E325" s="25"/>
      <c r="F325" s="25"/>
      <c r="G325" s="25"/>
      <c r="H325" s="25"/>
      <c r="I325" s="25"/>
      <c r="J325" s="25"/>
      <c r="K325" s="25"/>
      <c r="L325" s="25"/>
      <c r="M325" s="25"/>
      <c r="N325" s="25"/>
      <c r="O325" s="25"/>
      <c r="P325" s="25"/>
      <c r="Q325" s="26"/>
      <c r="R325" s="26"/>
      <c r="S325" s="26"/>
      <c r="T325" s="26"/>
      <c r="U325" s="26"/>
      <c r="V325" s="26"/>
      <c r="W325" s="26"/>
      <c r="X325" s="26"/>
      <c r="Y325" s="26"/>
      <c r="Z325" s="26"/>
    </row>
    <row r="326" ht="12.75" customHeight="1">
      <c r="A326" s="31"/>
      <c r="B326" s="53"/>
      <c r="C326" s="26"/>
      <c r="D326" s="54"/>
      <c r="E326" s="25"/>
      <c r="F326" s="25"/>
      <c r="G326" s="25"/>
      <c r="H326" s="25"/>
      <c r="I326" s="25"/>
      <c r="J326" s="25"/>
      <c r="K326" s="25"/>
      <c r="L326" s="25"/>
      <c r="M326" s="25"/>
      <c r="N326" s="25"/>
      <c r="O326" s="25"/>
      <c r="P326" s="25"/>
      <c r="Q326" s="26"/>
      <c r="R326" s="26"/>
      <c r="S326" s="26"/>
      <c r="T326" s="26"/>
      <c r="U326" s="26"/>
      <c r="V326" s="26"/>
      <c r="W326" s="26"/>
      <c r="X326" s="26"/>
      <c r="Y326" s="26"/>
      <c r="Z326" s="26"/>
    </row>
    <row r="327" ht="12.75" customHeight="1">
      <c r="A327" s="31"/>
      <c r="B327" s="53"/>
      <c r="C327" s="26"/>
      <c r="D327" s="54"/>
      <c r="E327" s="25"/>
      <c r="F327" s="25"/>
      <c r="G327" s="25"/>
      <c r="H327" s="25"/>
      <c r="I327" s="25"/>
      <c r="J327" s="25"/>
      <c r="K327" s="25"/>
      <c r="L327" s="25"/>
      <c r="M327" s="25"/>
      <c r="N327" s="25"/>
      <c r="O327" s="25"/>
      <c r="P327" s="25"/>
      <c r="Q327" s="26"/>
      <c r="R327" s="26"/>
      <c r="S327" s="26"/>
      <c r="T327" s="26"/>
      <c r="U327" s="26"/>
      <c r="V327" s="26"/>
      <c r="W327" s="26"/>
      <c r="X327" s="26"/>
      <c r="Y327" s="26"/>
      <c r="Z327" s="26"/>
    </row>
    <row r="328" ht="12.75" customHeight="1">
      <c r="A328" s="31"/>
      <c r="B328" s="53"/>
      <c r="C328" s="26"/>
      <c r="D328" s="54"/>
      <c r="E328" s="25"/>
      <c r="F328" s="25"/>
      <c r="G328" s="25"/>
      <c r="H328" s="25"/>
      <c r="I328" s="25"/>
      <c r="J328" s="25"/>
      <c r="K328" s="25"/>
      <c r="L328" s="25"/>
      <c r="M328" s="25"/>
      <c r="N328" s="25"/>
      <c r="O328" s="25"/>
      <c r="P328" s="25"/>
      <c r="Q328" s="26"/>
      <c r="R328" s="26"/>
      <c r="S328" s="26"/>
      <c r="T328" s="26"/>
      <c r="U328" s="26"/>
      <c r="V328" s="26"/>
      <c r="W328" s="26"/>
      <c r="X328" s="26"/>
      <c r="Y328" s="26"/>
      <c r="Z328" s="26"/>
    </row>
    <row r="329" ht="12.75" customHeight="1">
      <c r="A329" s="31"/>
      <c r="B329" s="53"/>
      <c r="C329" s="26"/>
      <c r="D329" s="54"/>
      <c r="E329" s="25"/>
      <c r="F329" s="25"/>
      <c r="G329" s="25"/>
      <c r="H329" s="25"/>
      <c r="I329" s="25"/>
      <c r="J329" s="25"/>
      <c r="K329" s="25"/>
      <c r="L329" s="25"/>
      <c r="M329" s="25"/>
      <c r="N329" s="25"/>
      <c r="O329" s="25"/>
      <c r="P329" s="25"/>
      <c r="Q329" s="26"/>
      <c r="R329" s="26"/>
      <c r="S329" s="26"/>
      <c r="T329" s="26"/>
      <c r="U329" s="26"/>
      <c r="V329" s="26"/>
      <c r="W329" s="26"/>
      <c r="X329" s="26"/>
      <c r="Y329" s="26"/>
      <c r="Z329" s="26"/>
    </row>
    <row r="330" ht="12.75" customHeight="1">
      <c r="A330" s="31"/>
      <c r="B330" s="53"/>
      <c r="C330" s="26"/>
      <c r="D330" s="54"/>
      <c r="E330" s="25"/>
      <c r="F330" s="25"/>
      <c r="G330" s="25"/>
      <c r="H330" s="25"/>
      <c r="I330" s="25"/>
      <c r="J330" s="25"/>
      <c r="K330" s="25"/>
      <c r="L330" s="25"/>
      <c r="M330" s="25"/>
      <c r="N330" s="25"/>
      <c r="O330" s="25"/>
      <c r="P330" s="25"/>
      <c r="Q330" s="26"/>
      <c r="R330" s="26"/>
      <c r="S330" s="26"/>
      <c r="T330" s="26"/>
      <c r="U330" s="26"/>
      <c r="V330" s="26"/>
      <c r="W330" s="26"/>
      <c r="X330" s="26"/>
      <c r="Y330" s="26"/>
      <c r="Z330" s="26"/>
    </row>
    <row r="331" ht="12.75" customHeight="1">
      <c r="A331" s="31"/>
      <c r="B331" s="53"/>
      <c r="C331" s="26"/>
      <c r="D331" s="54"/>
      <c r="E331" s="25"/>
      <c r="F331" s="25"/>
      <c r="G331" s="25"/>
      <c r="H331" s="25"/>
      <c r="I331" s="25"/>
      <c r="J331" s="25"/>
      <c r="K331" s="25"/>
      <c r="L331" s="25"/>
      <c r="M331" s="25"/>
      <c r="N331" s="25"/>
      <c r="O331" s="25"/>
      <c r="P331" s="25"/>
      <c r="Q331" s="26"/>
      <c r="R331" s="26"/>
      <c r="S331" s="26"/>
      <c r="T331" s="26"/>
      <c r="U331" s="26"/>
      <c r="V331" s="26"/>
      <c r="W331" s="26"/>
      <c r="X331" s="26"/>
      <c r="Y331" s="26"/>
      <c r="Z331" s="26"/>
    </row>
    <row r="332" ht="12.75" customHeight="1">
      <c r="A332" s="31"/>
      <c r="B332" s="53"/>
      <c r="C332" s="26"/>
      <c r="D332" s="54"/>
      <c r="E332" s="25"/>
      <c r="F332" s="25"/>
      <c r="G332" s="25"/>
      <c r="H332" s="25"/>
      <c r="I332" s="25"/>
      <c r="J332" s="25"/>
      <c r="K332" s="25"/>
      <c r="L332" s="25"/>
      <c r="M332" s="25"/>
      <c r="N332" s="25"/>
      <c r="O332" s="25"/>
      <c r="P332" s="25"/>
      <c r="Q332" s="26"/>
      <c r="R332" s="26"/>
      <c r="S332" s="26"/>
      <c r="T332" s="26"/>
      <c r="U332" s="26"/>
      <c r="V332" s="26"/>
      <c r="W332" s="26"/>
      <c r="X332" s="26"/>
      <c r="Y332" s="26"/>
      <c r="Z332" s="26"/>
    </row>
    <row r="333" ht="12.75" customHeight="1">
      <c r="A333" s="31"/>
      <c r="B333" s="53"/>
      <c r="C333" s="26"/>
      <c r="D333" s="54"/>
      <c r="E333" s="25"/>
      <c r="F333" s="25"/>
      <c r="G333" s="25"/>
      <c r="H333" s="25"/>
      <c r="I333" s="25"/>
      <c r="J333" s="25"/>
      <c r="K333" s="25"/>
      <c r="L333" s="25"/>
      <c r="M333" s="25"/>
      <c r="N333" s="25"/>
      <c r="O333" s="25"/>
      <c r="P333" s="25"/>
      <c r="Q333" s="26"/>
      <c r="R333" s="26"/>
      <c r="S333" s="26"/>
      <c r="T333" s="26"/>
      <c r="U333" s="26"/>
      <c r="V333" s="26"/>
      <c r="W333" s="26"/>
      <c r="X333" s="26"/>
      <c r="Y333" s="26"/>
      <c r="Z333" s="26"/>
    </row>
    <row r="334" ht="12.75" customHeight="1">
      <c r="A334" s="31"/>
      <c r="B334" s="53"/>
      <c r="C334" s="26"/>
      <c r="D334" s="54"/>
      <c r="E334" s="25"/>
      <c r="F334" s="25"/>
      <c r="G334" s="25"/>
      <c r="H334" s="25"/>
      <c r="I334" s="25"/>
      <c r="J334" s="25"/>
      <c r="K334" s="25"/>
      <c r="L334" s="25"/>
      <c r="M334" s="25"/>
      <c r="N334" s="25"/>
      <c r="O334" s="25"/>
      <c r="P334" s="25"/>
      <c r="Q334" s="26"/>
      <c r="R334" s="26"/>
      <c r="S334" s="26"/>
      <c r="T334" s="26"/>
      <c r="U334" s="26"/>
      <c r="V334" s="26"/>
      <c r="W334" s="26"/>
      <c r="X334" s="26"/>
      <c r="Y334" s="26"/>
      <c r="Z334" s="26"/>
    </row>
    <row r="335" ht="12.75" customHeight="1">
      <c r="A335" s="31"/>
      <c r="B335" s="53"/>
      <c r="C335" s="26"/>
      <c r="D335" s="54"/>
      <c r="E335" s="25"/>
      <c r="F335" s="25"/>
      <c r="G335" s="25"/>
      <c r="H335" s="25"/>
      <c r="I335" s="25"/>
      <c r="J335" s="25"/>
      <c r="K335" s="25"/>
      <c r="L335" s="25"/>
      <c r="M335" s="25"/>
      <c r="N335" s="25"/>
      <c r="O335" s="25"/>
      <c r="P335" s="25"/>
      <c r="Q335" s="26"/>
      <c r="R335" s="26"/>
      <c r="S335" s="26"/>
      <c r="T335" s="26"/>
      <c r="U335" s="26"/>
      <c r="V335" s="26"/>
      <c r="W335" s="26"/>
      <c r="X335" s="26"/>
      <c r="Y335" s="26"/>
      <c r="Z335" s="26"/>
    </row>
    <row r="336" ht="12.75" customHeight="1">
      <c r="A336" s="31"/>
      <c r="B336" s="53"/>
      <c r="C336" s="26"/>
      <c r="D336" s="54"/>
      <c r="E336" s="25"/>
      <c r="F336" s="25"/>
      <c r="G336" s="25"/>
      <c r="H336" s="25"/>
      <c r="I336" s="25"/>
      <c r="J336" s="25"/>
      <c r="K336" s="25"/>
      <c r="L336" s="25"/>
      <c r="M336" s="25"/>
      <c r="N336" s="25"/>
      <c r="O336" s="25"/>
      <c r="P336" s="25"/>
      <c r="Q336" s="26"/>
      <c r="R336" s="26"/>
      <c r="S336" s="26"/>
      <c r="T336" s="26"/>
      <c r="U336" s="26"/>
      <c r="V336" s="26"/>
      <c r="W336" s="26"/>
      <c r="X336" s="26"/>
      <c r="Y336" s="26"/>
      <c r="Z336" s="26"/>
    </row>
    <row r="337" ht="12.75" customHeight="1">
      <c r="A337" s="31"/>
      <c r="B337" s="53"/>
      <c r="C337" s="26"/>
      <c r="D337" s="54"/>
      <c r="E337" s="25"/>
      <c r="F337" s="25"/>
      <c r="G337" s="25"/>
      <c r="H337" s="25"/>
      <c r="I337" s="25"/>
      <c r="J337" s="25"/>
      <c r="K337" s="25"/>
      <c r="L337" s="25"/>
      <c r="M337" s="25"/>
      <c r="N337" s="25"/>
      <c r="O337" s="25"/>
      <c r="P337" s="25"/>
      <c r="Q337" s="26"/>
      <c r="R337" s="26"/>
      <c r="S337" s="26"/>
      <c r="T337" s="26"/>
      <c r="U337" s="26"/>
      <c r="V337" s="26"/>
      <c r="W337" s="26"/>
      <c r="X337" s="26"/>
      <c r="Y337" s="26"/>
      <c r="Z337" s="26"/>
    </row>
    <row r="338" ht="12.75" customHeight="1">
      <c r="A338" s="31"/>
      <c r="B338" s="53"/>
      <c r="C338" s="26"/>
      <c r="D338" s="54"/>
      <c r="E338" s="25"/>
      <c r="F338" s="25"/>
      <c r="G338" s="25"/>
      <c r="H338" s="25"/>
      <c r="I338" s="25"/>
      <c r="J338" s="25"/>
      <c r="K338" s="25"/>
      <c r="L338" s="25"/>
      <c r="M338" s="25"/>
      <c r="N338" s="25"/>
      <c r="O338" s="25"/>
      <c r="P338" s="25"/>
      <c r="Q338" s="26"/>
      <c r="R338" s="26"/>
      <c r="S338" s="26"/>
      <c r="T338" s="26"/>
      <c r="U338" s="26"/>
      <c r="V338" s="26"/>
      <c r="W338" s="26"/>
      <c r="X338" s="26"/>
      <c r="Y338" s="26"/>
      <c r="Z338" s="26"/>
    </row>
    <row r="339" ht="12.75" customHeight="1">
      <c r="A339" s="31"/>
      <c r="B339" s="53"/>
      <c r="C339" s="26"/>
      <c r="D339" s="54"/>
      <c r="E339" s="25"/>
      <c r="F339" s="25"/>
      <c r="G339" s="25"/>
      <c r="H339" s="25"/>
      <c r="I339" s="25"/>
      <c r="J339" s="25"/>
      <c r="K339" s="25"/>
      <c r="L339" s="25"/>
      <c r="M339" s="25"/>
      <c r="N339" s="25"/>
      <c r="O339" s="25"/>
      <c r="P339" s="25"/>
      <c r="Q339" s="26"/>
      <c r="R339" s="26"/>
      <c r="S339" s="26"/>
      <c r="T339" s="26"/>
      <c r="U339" s="26"/>
      <c r="V339" s="26"/>
      <c r="W339" s="26"/>
      <c r="X339" s="26"/>
      <c r="Y339" s="26"/>
      <c r="Z339" s="26"/>
    </row>
    <row r="340" ht="12.75" customHeight="1">
      <c r="A340" s="31"/>
      <c r="B340" s="53"/>
      <c r="C340" s="26"/>
      <c r="D340" s="54"/>
      <c r="E340" s="25"/>
      <c r="F340" s="25"/>
      <c r="G340" s="25"/>
      <c r="H340" s="25"/>
      <c r="I340" s="25"/>
      <c r="J340" s="25"/>
      <c r="K340" s="25"/>
      <c r="L340" s="25"/>
      <c r="M340" s="25"/>
      <c r="N340" s="25"/>
      <c r="O340" s="25"/>
      <c r="P340" s="25"/>
      <c r="Q340" s="26"/>
      <c r="R340" s="26"/>
      <c r="S340" s="26"/>
      <c r="T340" s="26"/>
      <c r="U340" s="26"/>
      <c r="V340" s="26"/>
      <c r="W340" s="26"/>
      <c r="X340" s="26"/>
      <c r="Y340" s="26"/>
      <c r="Z340" s="26"/>
    </row>
    <row r="341" ht="12.75" customHeight="1">
      <c r="A341" s="31"/>
      <c r="B341" s="53"/>
      <c r="C341" s="26"/>
      <c r="D341" s="54"/>
      <c r="E341" s="25"/>
      <c r="F341" s="25"/>
      <c r="G341" s="25"/>
      <c r="H341" s="25"/>
      <c r="I341" s="25"/>
      <c r="J341" s="25"/>
      <c r="K341" s="25"/>
      <c r="L341" s="25"/>
      <c r="M341" s="25"/>
      <c r="N341" s="25"/>
      <c r="O341" s="25"/>
      <c r="P341" s="25"/>
      <c r="Q341" s="26"/>
      <c r="R341" s="26"/>
      <c r="S341" s="26"/>
      <c r="T341" s="26"/>
      <c r="U341" s="26"/>
      <c r="V341" s="26"/>
      <c r="W341" s="26"/>
      <c r="X341" s="26"/>
      <c r="Y341" s="26"/>
      <c r="Z341" s="26"/>
    </row>
    <row r="342" ht="12.75" customHeight="1">
      <c r="A342" s="31"/>
      <c r="B342" s="53"/>
      <c r="C342" s="26"/>
      <c r="D342" s="54"/>
      <c r="E342" s="25"/>
      <c r="F342" s="25"/>
      <c r="G342" s="25"/>
      <c r="H342" s="25"/>
      <c r="I342" s="25"/>
      <c r="J342" s="25"/>
      <c r="K342" s="25"/>
      <c r="L342" s="25"/>
      <c r="M342" s="25"/>
      <c r="N342" s="25"/>
      <c r="O342" s="25"/>
      <c r="P342" s="25"/>
      <c r="Q342" s="26"/>
      <c r="R342" s="26"/>
      <c r="S342" s="26"/>
      <c r="T342" s="26"/>
      <c r="U342" s="26"/>
      <c r="V342" s="26"/>
      <c r="W342" s="26"/>
      <c r="X342" s="26"/>
      <c r="Y342" s="26"/>
      <c r="Z342" s="26"/>
    </row>
    <row r="343" ht="12.75" customHeight="1">
      <c r="A343" s="31"/>
      <c r="B343" s="53"/>
      <c r="C343" s="26"/>
      <c r="D343" s="54"/>
      <c r="E343" s="25"/>
      <c r="F343" s="25"/>
      <c r="G343" s="25"/>
      <c r="H343" s="25"/>
      <c r="I343" s="25"/>
      <c r="J343" s="25"/>
      <c r="K343" s="25"/>
      <c r="L343" s="25"/>
      <c r="M343" s="25"/>
      <c r="N343" s="25"/>
      <c r="O343" s="25"/>
      <c r="P343" s="25"/>
      <c r="Q343" s="26"/>
      <c r="R343" s="26"/>
      <c r="S343" s="26"/>
      <c r="T343" s="26"/>
      <c r="U343" s="26"/>
      <c r="V343" s="26"/>
      <c r="W343" s="26"/>
      <c r="X343" s="26"/>
      <c r="Y343" s="26"/>
      <c r="Z343" s="26"/>
    </row>
    <row r="344" ht="12.75" customHeight="1">
      <c r="A344" s="31"/>
      <c r="B344" s="53"/>
      <c r="C344" s="26"/>
      <c r="D344" s="54"/>
      <c r="E344" s="25"/>
      <c r="F344" s="25"/>
      <c r="G344" s="25"/>
      <c r="H344" s="25"/>
      <c r="I344" s="25"/>
      <c r="J344" s="25"/>
      <c r="K344" s="25"/>
      <c r="L344" s="25"/>
      <c r="M344" s="25"/>
      <c r="N344" s="25"/>
      <c r="O344" s="25"/>
      <c r="P344" s="25"/>
      <c r="Q344" s="26"/>
      <c r="R344" s="26"/>
      <c r="S344" s="26"/>
      <c r="T344" s="26"/>
      <c r="U344" s="26"/>
      <c r="V344" s="26"/>
      <c r="W344" s="26"/>
      <c r="X344" s="26"/>
      <c r="Y344" s="26"/>
      <c r="Z344" s="26"/>
    </row>
    <row r="345" ht="12.75" customHeight="1">
      <c r="A345" s="31"/>
      <c r="B345" s="53"/>
      <c r="C345" s="26"/>
      <c r="D345" s="54"/>
      <c r="E345" s="25"/>
      <c r="F345" s="25"/>
      <c r="G345" s="25"/>
      <c r="H345" s="25"/>
      <c r="I345" s="25"/>
      <c r="J345" s="25"/>
      <c r="K345" s="25"/>
      <c r="L345" s="25"/>
      <c r="M345" s="25"/>
      <c r="N345" s="25"/>
      <c r="O345" s="25"/>
      <c r="P345" s="25"/>
      <c r="Q345" s="26"/>
      <c r="R345" s="26"/>
      <c r="S345" s="26"/>
      <c r="T345" s="26"/>
      <c r="U345" s="26"/>
      <c r="V345" s="26"/>
      <c r="W345" s="26"/>
      <c r="X345" s="26"/>
      <c r="Y345" s="26"/>
      <c r="Z345" s="26"/>
    </row>
    <row r="346" ht="12.75" customHeight="1">
      <c r="A346" s="31"/>
      <c r="B346" s="53"/>
      <c r="C346" s="26"/>
      <c r="D346" s="54"/>
      <c r="E346" s="25"/>
      <c r="F346" s="25"/>
      <c r="G346" s="25"/>
      <c r="H346" s="25"/>
      <c r="I346" s="25"/>
      <c r="J346" s="25"/>
      <c r="K346" s="25"/>
      <c r="L346" s="25"/>
      <c r="M346" s="25"/>
      <c r="N346" s="25"/>
      <c r="O346" s="25"/>
      <c r="P346" s="25"/>
      <c r="Q346" s="26"/>
      <c r="R346" s="26"/>
      <c r="S346" s="26"/>
      <c r="T346" s="26"/>
      <c r="U346" s="26"/>
      <c r="V346" s="26"/>
      <c r="W346" s="26"/>
      <c r="X346" s="26"/>
      <c r="Y346" s="26"/>
      <c r="Z346" s="26"/>
    </row>
    <row r="347" ht="12.75" customHeight="1">
      <c r="A347" s="31"/>
      <c r="B347" s="53"/>
      <c r="C347" s="26"/>
      <c r="D347" s="54"/>
      <c r="E347" s="25"/>
      <c r="F347" s="25"/>
      <c r="G347" s="25"/>
      <c r="H347" s="25"/>
      <c r="I347" s="25"/>
      <c r="J347" s="25"/>
      <c r="K347" s="25"/>
      <c r="L347" s="25"/>
      <c r="M347" s="25"/>
      <c r="N347" s="25"/>
      <c r="O347" s="25"/>
      <c r="P347" s="25"/>
      <c r="Q347" s="26"/>
      <c r="R347" s="26"/>
      <c r="S347" s="26"/>
      <c r="T347" s="26"/>
      <c r="U347" s="26"/>
      <c r="V347" s="26"/>
      <c r="W347" s="26"/>
      <c r="X347" s="26"/>
      <c r="Y347" s="26"/>
      <c r="Z347" s="26"/>
    </row>
    <row r="348" ht="12.75" customHeight="1">
      <c r="A348" s="31"/>
      <c r="B348" s="53"/>
      <c r="C348" s="26"/>
      <c r="D348" s="54"/>
      <c r="E348" s="25"/>
      <c r="F348" s="25"/>
      <c r="G348" s="25"/>
      <c r="H348" s="25"/>
      <c r="I348" s="25"/>
      <c r="J348" s="25"/>
      <c r="K348" s="25"/>
      <c r="L348" s="25"/>
      <c r="M348" s="25"/>
      <c r="N348" s="25"/>
      <c r="O348" s="25"/>
      <c r="P348" s="25"/>
      <c r="Q348" s="26"/>
      <c r="R348" s="26"/>
      <c r="S348" s="26"/>
      <c r="T348" s="26"/>
      <c r="U348" s="26"/>
      <c r="V348" s="26"/>
      <c r="W348" s="26"/>
      <c r="X348" s="26"/>
      <c r="Y348" s="26"/>
      <c r="Z348" s="26"/>
    </row>
    <row r="349" ht="12.75" customHeight="1">
      <c r="A349" s="31"/>
      <c r="B349" s="53"/>
      <c r="C349" s="26"/>
      <c r="D349" s="54"/>
      <c r="E349" s="25"/>
      <c r="F349" s="25"/>
      <c r="G349" s="25"/>
      <c r="H349" s="25"/>
      <c r="I349" s="25"/>
      <c r="J349" s="25"/>
      <c r="K349" s="25"/>
      <c r="L349" s="25"/>
      <c r="M349" s="25"/>
      <c r="N349" s="25"/>
      <c r="O349" s="25"/>
      <c r="P349" s="25"/>
      <c r="Q349" s="26"/>
      <c r="R349" s="26"/>
      <c r="S349" s="26"/>
      <c r="T349" s="26"/>
      <c r="U349" s="26"/>
      <c r="V349" s="26"/>
      <c r="W349" s="26"/>
      <c r="X349" s="26"/>
      <c r="Y349" s="26"/>
      <c r="Z349" s="26"/>
    </row>
    <row r="350" ht="12.75" customHeight="1">
      <c r="A350" s="31"/>
      <c r="B350" s="53"/>
      <c r="C350" s="26"/>
      <c r="D350" s="54"/>
      <c r="E350" s="25"/>
      <c r="F350" s="25"/>
      <c r="G350" s="25"/>
      <c r="H350" s="25"/>
      <c r="I350" s="25"/>
      <c r="J350" s="25"/>
      <c r="K350" s="25"/>
      <c r="L350" s="25"/>
      <c r="M350" s="25"/>
      <c r="N350" s="25"/>
      <c r="O350" s="25"/>
      <c r="P350" s="25"/>
      <c r="Q350" s="26"/>
      <c r="R350" s="26"/>
      <c r="S350" s="26"/>
      <c r="T350" s="26"/>
      <c r="U350" s="26"/>
      <c r="V350" s="26"/>
      <c r="W350" s="26"/>
      <c r="X350" s="26"/>
      <c r="Y350" s="26"/>
      <c r="Z350" s="26"/>
    </row>
    <row r="351" ht="12.75" customHeight="1">
      <c r="A351" s="31"/>
      <c r="B351" s="53"/>
      <c r="C351" s="26"/>
      <c r="D351" s="54"/>
      <c r="E351" s="25"/>
      <c r="F351" s="25"/>
      <c r="G351" s="25"/>
      <c r="H351" s="25"/>
      <c r="I351" s="25"/>
      <c r="J351" s="25"/>
      <c r="K351" s="25"/>
      <c r="L351" s="25"/>
      <c r="M351" s="25"/>
      <c r="N351" s="25"/>
      <c r="O351" s="25"/>
      <c r="P351" s="25"/>
      <c r="Q351" s="26"/>
      <c r="R351" s="26"/>
      <c r="S351" s="26"/>
      <c r="T351" s="26"/>
      <c r="U351" s="26"/>
      <c r="V351" s="26"/>
      <c r="W351" s="26"/>
      <c r="X351" s="26"/>
      <c r="Y351" s="26"/>
      <c r="Z351" s="26"/>
    </row>
    <row r="352" ht="12.75" customHeight="1">
      <c r="A352" s="31"/>
      <c r="B352" s="53"/>
      <c r="C352" s="26"/>
      <c r="D352" s="54"/>
      <c r="E352" s="25"/>
      <c r="F352" s="25"/>
      <c r="G352" s="25"/>
      <c r="H352" s="25"/>
      <c r="I352" s="25"/>
      <c r="J352" s="25"/>
      <c r="K352" s="25"/>
      <c r="L352" s="25"/>
      <c r="M352" s="25"/>
      <c r="N352" s="25"/>
      <c r="O352" s="25"/>
      <c r="P352" s="25"/>
      <c r="Q352" s="26"/>
      <c r="R352" s="26"/>
      <c r="S352" s="26"/>
      <c r="T352" s="26"/>
      <c r="U352" s="26"/>
      <c r="V352" s="26"/>
      <c r="W352" s="26"/>
      <c r="X352" s="26"/>
      <c r="Y352" s="26"/>
      <c r="Z352" s="26"/>
    </row>
    <row r="353" ht="12.75" customHeight="1">
      <c r="A353" s="31"/>
      <c r="B353" s="53"/>
      <c r="C353" s="26"/>
      <c r="D353" s="54"/>
      <c r="E353" s="25"/>
      <c r="F353" s="25"/>
      <c r="G353" s="25"/>
      <c r="H353" s="25"/>
      <c r="I353" s="25"/>
      <c r="J353" s="25"/>
      <c r="K353" s="25"/>
      <c r="L353" s="25"/>
      <c r="M353" s="25"/>
      <c r="N353" s="25"/>
      <c r="O353" s="25"/>
      <c r="P353" s="25"/>
      <c r="Q353" s="26"/>
      <c r="R353" s="26"/>
      <c r="S353" s="26"/>
      <c r="T353" s="26"/>
      <c r="U353" s="26"/>
      <c r="V353" s="26"/>
      <c r="W353" s="26"/>
      <c r="X353" s="26"/>
      <c r="Y353" s="26"/>
      <c r="Z353" s="26"/>
    </row>
    <row r="354" ht="12.75" customHeight="1">
      <c r="A354" s="31"/>
      <c r="B354" s="53"/>
      <c r="C354" s="26"/>
      <c r="D354" s="54"/>
      <c r="E354" s="25"/>
      <c r="F354" s="25"/>
      <c r="G354" s="25"/>
      <c r="H354" s="25"/>
      <c r="I354" s="25"/>
      <c r="J354" s="25"/>
      <c r="K354" s="25"/>
      <c r="L354" s="25"/>
      <c r="M354" s="25"/>
      <c r="N354" s="25"/>
      <c r="O354" s="25"/>
      <c r="P354" s="25"/>
      <c r="Q354" s="26"/>
      <c r="R354" s="26"/>
      <c r="S354" s="26"/>
      <c r="T354" s="26"/>
      <c r="U354" s="26"/>
      <c r="V354" s="26"/>
      <c r="W354" s="26"/>
      <c r="X354" s="26"/>
      <c r="Y354" s="26"/>
      <c r="Z354" s="26"/>
    </row>
    <row r="355" ht="12.75" customHeight="1">
      <c r="A355" s="31"/>
      <c r="B355" s="53"/>
      <c r="C355" s="26"/>
      <c r="D355" s="54"/>
      <c r="E355" s="25"/>
      <c r="F355" s="25"/>
      <c r="G355" s="25"/>
      <c r="H355" s="25"/>
      <c r="I355" s="25"/>
      <c r="J355" s="25"/>
      <c r="K355" s="25"/>
      <c r="L355" s="25"/>
      <c r="M355" s="25"/>
      <c r="N355" s="25"/>
      <c r="O355" s="25"/>
      <c r="P355" s="25"/>
      <c r="Q355" s="26"/>
      <c r="R355" s="26"/>
      <c r="S355" s="26"/>
      <c r="T355" s="26"/>
      <c r="U355" s="26"/>
      <c r="V355" s="26"/>
      <c r="W355" s="26"/>
      <c r="X355" s="26"/>
      <c r="Y355" s="26"/>
      <c r="Z355" s="26"/>
    </row>
    <row r="356" ht="12.75" customHeight="1">
      <c r="A356" s="31"/>
      <c r="B356" s="53"/>
      <c r="C356" s="26"/>
      <c r="D356" s="54"/>
      <c r="E356" s="25"/>
      <c r="F356" s="25"/>
      <c r="G356" s="25"/>
      <c r="H356" s="25"/>
      <c r="I356" s="25"/>
      <c r="J356" s="25"/>
      <c r="K356" s="25"/>
      <c r="L356" s="25"/>
      <c r="M356" s="25"/>
      <c r="N356" s="25"/>
      <c r="O356" s="25"/>
      <c r="P356" s="25"/>
      <c r="Q356" s="26"/>
      <c r="R356" s="26"/>
      <c r="S356" s="26"/>
      <c r="T356" s="26"/>
      <c r="U356" s="26"/>
      <c r="V356" s="26"/>
      <c r="W356" s="26"/>
      <c r="X356" s="26"/>
      <c r="Y356" s="26"/>
      <c r="Z356" s="26"/>
    </row>
    <row r="357" ht="12.75" customHeight="1">
      <c r="A357" s="31"/>
      <c r="B357" s="53"/>
      <c r="C357" s="26"/>
      <c r="D357" s="54"/>
      <c r="E357" s="25"/>
      <c r="F357" s="25"/>
      <c r="G357" s="25"/>
      <c r="H357" s="25"/>
      <c r="I357" s="25"/>
      <c r="J357" s="25"/>
      <c r="K357" s="25"/>
      <c r="L357" s="25"/>
      <c r="M357" s="25"/>
      <c r="N357" s="25"/>
      <c r="O357" s="25"/>
      <c r="P357" s="25"/>
      <c r="Q357" s="26"/>
      <c r="R357" s="26"/>
      <c r="S357" s="26"/>
      <c r="T357" s="26"/>
      <c r="U357" s="26"/>
      <c r="V357" s="26"/>
      <c r="W357" s="26"/>
      <c r="X357" s="26"/>
      <c r="Y357" s="26"/>
      <c r="Z357" s="26"/>
    </row>
    <row r="358" ht="12.75" customHeight="1">
      <c r="A358" s="31"/>
      <c r="B358" s="53"/>
      <c r="C358" s="26"/>
      <c r="D358" s="54"/>
      <c r="E358" s="25"/>
      <c r="F358" s="25"/>
      <c r="G358" s="25"/>
      <c r="H358" s="25"/>
      <c r="I358" s="25"/>
      <c r="J358" s="25"/>
      <c r="K358" s="25"/>
      <c r="L358" s="25"/>
      <c r="M358" s="25"/>
      <c r="N358" s="25"/>
      <c r="O358" s="25"/>
      <c r="P358" s="25"/>
      <c r="Q358" s="26"/>
      <c r="R358" s="26"/>
      <c r="S358" s="26"/>
      <c r="T358" s="26"/>
      <c r="U358" s="26"/>
      <c r="V358" s="26"/>
      <c r="W358" s="26"/>
      <c r="X358" s="26"/>
      <c r="Y358" s="26"/>
      <c r="Z358" s="26"/>
    </row>
    <row r="359" ht="12.75" customHeight="1">
      <c r="A359" s="31"/>
      <c r="B359" s="53"/>
      <c r="C359" s="26"/>
      <c r="D359" s="54"/>
      <c r="E359" s="25"/>
      <c r="F359" s="25"/>
      <c r="G359" s="25"/>
      <c r="H359" s="25"/>
      <c r="I359" s="25"/>
      <c r="J359" s="25"/>
      <c r="K359" s="25"/>
      <c r="L359" s="25"/>
      <c r="M359" s="25"/>
      <c r="N359" s="25"/>
      <c r="O359" s="25"/>
      <c r="P359" s="25"/>
      <c r="Q359" s="26"/>
      <c r="R359" s="26"/>
      <c r="S359" s="26"/>
      <c r="T359" s="26"/>
      <c r="U359" s="26"/>
      <c r="V359" s="26"/>
      <c r="W359" s="26"/>
      <c r="X359" s="26"/>
      <c r="Y359" s="26"/>
      <c r="Z359" s="26"/>
    </row>
    <row r="360" ht="12.75" customHeight="1">
      <c r="A360" s="31"/>
      <c r="B360" s="53"/>
      <c r="C360" s="26"/>
      <c r="D360" s="54"/>
      <c r="E360" s="25"/>
      <c r="F360" s="25"/>
      <c r="G360" s="25"/>
      <c r="H360" s="25"/>
      <c r="I360" s="25"/>
      <c r="J360" s="25"/>
      <c r="K360" s="25"/>
      <c r="L360" s="25"/>
      <c r="M360" s="25"/>
      <c r="N360" s="25"/>
      <c r="O360" s="25"/>
      <c r="P360" s="25"/>
      <c r="Q360" s="26"/>
      <c r="R360" s="26"/>
      <c r="S360" s="26"/>
      <c r="T360" s="26"/>
      <c r="U360" s="26"/>
      <c r="V360" s="26"/>
      <c r="W360" s="26"/>
      <c r="X360" s="26"/>
      <c r="Y360" s="26"/>
      <c r="Z360" s="26"/>
    </row>
    <row r="361" ht="12.75" customHeight="1">
      <c r="A361" s="31"/>
      <c r="B361" s="53"/>
      <c r="C361" s="26"/>
      <c r="D361" s="54"/>
      <c r="E361" s="25"/>
      <c r="F361" s="25"/>
      <c r="G361" s="25"/>
      <c r="H361" s="25"/>
      <c r="I361" s="25"/>
      <c r="J361" s="25"/>
      <c r="K361" s="25"/>
      <c r="L361" s="25"/>
      <c r="M361" s="25"/>
      <c r="N361" s="25"/>
      <c r="O361" s="25"/>
      <c r="P361" s="25"/>
      <c r="Q361" s="26"/>
      <c r="R361" s="26"/>
      <c r="S361" s="26"/>
      <c r="T361" s="26"/>
      <c r="U361" s="26"/>
      <c r="V361" s="26"/>
      <c r="W361" s="26"/>
      <c r="X361" s="26"/>
      <c r="Y361" s="26"/>
      <c r="Z361" s="26"/>
    </row>
    <row r="362" ht="12.75" customHeight="1">
      <c r="A362" s="31"/>
      <c r="B362" s="53"/>
      <c r="C362" s="26"/>
      <c r="D362" s="54"/>
      <c r="E362" s="25"/>
      <c r="F362" s="25"/>
      <c r="G362" s="25"/>
      <c r="H362" s="25"/>
      <c r="I362" s="25"/>
      <c r="J362" s="25"/>
      <c r="K362" s="25"/>
      <c r="L362" s="25"/>
      <c r="M362" s="25"/>
      <c r="N362" s="25"/>
      <c r="O362" s="25"/>
      <c r="P362" s="25"/>
      <c r="Q362" s="26"/>
      <c r="R362" s="26"/>
      <c r="S362" s="26"/>
      <c r="T362" s="26"/>
      <c r="U362" s="26"/>
      <c r="V362" s="26"/>
      <c r="W362" s="26"/>
      <c r="X362" s="26"/>
      <c r="Y362" s="26"/>
      <c r="Z362" s="26"/>
    </row>
    <row r="363" ht="12.75" customHeight="1">
      <c r="A363" s="31"/>
      <c r="B363" s="53"/>
      <c r="C363" s="26"/>
      <c r="D363" s="54"/>
      <c r="E363" s="25"/>
      <c r="F363" s="25"/>
      <c r="G363" s="25"/>
      <c r="H363" s="25"/>
      <c r="I363" s="25"/>
      <c r="J363" s="25"/>
      <c r="K363" s="25"/>
      <c r="L363" s="25"/>
      <c r="M363" s="25"/>
      <c r="N363" s="25"/>
      <c r="O363" s="25"/>
      <c r="P363" s="25"/>
      <c r="Q363" s="26"/>
      <c r="R363" s="26"/>
      <c r="S363" s="26"/>
      <c r="T363" s="26"/>
      <c r="U363" s="26"/>
      <c r="V363" s="26"/>
      <c r="W363" s="26"/>
      <c r="X363" s="26"/>
      <c r="Y363" s="26"/>
      <c r="Z363" s="26"/>
    </row>
    <row r="364" ht="12.75" customHeight="1">
      <c r="A364" s="31"/>
      <c r="B364" s="53"/>
      <c r="C364" s="26"/>
      <c r="D364" s="54"/>
      <c r="E364" s="25"/>
      <c r="F364" s="25"/>
      <c r="G364" s="25"/>
      <c r="H364" s="25"/>
      <c r="I364" s="25"/>
      <c r="J364" s="25"/>
      <c r="K364" s="25"/>
      <c r="L364" s="25"/>
      <c r="M364" s="25"/>
      <c r="N364" s="25"/>
      <c r="O364" s="25"/>
      <c r="P364" s="25"/>
      <c r="Q364" s="26"/>
      <c r="R364" s="26"/>
      <c r="S364" s="26"/>
      <c r="T364" s="26"/>
      <c r="U364" s="26"/>
      <c r="V364" s="26"/>
      <c r="W364" s="26"/>
      <c r="X364" s="26"/>
      <c r="Y364" s="26"/>
      <c r="Z364" s="26"/>
    </row>
    <row r="365" ht="12.75" customHeight="1">
      <c r="A365" s="31"/>
      <c r="B365" s="53"/>
      <c r="C365" s="26"/>
      <c r="D365" s="54"/>
      <c r="E365" s="25"/>
      <c r="F365" s="25"/>
      <c r="G365" s="25"/>
      <c r="H365" s="25"/>
      <c r="I365" s="25"/>
      <c r="J365" s="25"/>
      <c r="K365" s="25"/>
      <c r="L365" s="25"/>
      <c r="M365" s="25"/>
      <c r="N365" s="25"/>
      <c r="O365" s="25"/>
      <c r="P365" s="25"/>
      <c r="Q365" s="26"/>
      <c r="R365" s="26"/>
      <c r="S365" s="26"/>
      <c r="T365" s="26"/>
      <c r="U365" s="26"/>
      <c r="V365" s="26"/>
      <c r="W365" s="26"/>
      <c r="X365" s="26"/>
      <c r="Y365" s="26"/>
      <c r="Z365" s="26"/>
    </row>
    <row r="366" ht="12.75" customHeight="1">
      <c r="A366" s="31"/>
      <c r="B366" s="53"/>
      <c r="C366" s="26"/>
      <c r="D366" s="54"/>
      <c r="E366" s="25"/>
      <c r="F366" s="25"/>
      <c r="G366" s="25"/>
      <c r="H366" s="25"/>
      <c r="I366" s="25"/>
      <c r="J366" s="25"/>
      <c r="K366" s="25"/>
      <c r="L366" s="25"/>
      <c r="M366" s="25"/>
      <c r="N366" s="25"/>
      <c r="O366" s="25"/>
      <c r="P366" s="25"/>
      <c r="Q366" s="26"/>
      <c r="R366" s="26"/>
      <c r="S366" s="26"/>
      <c r="T366" s="26"/>
      <c r="U366" s="26"/>
      <c r="V366" s="26"/>
      <c r="W366" s="26"/>
      <c r="X366" s="26"/>
      <c r="Y366" s="26"/>
      <c r="Z366" s="26"/>
    </row>
    <row r="367" ht="12.75" customHeight="1">
      <c r="A367" s="31"/>
      <c r="B367" s="53"/>
      <c r="C367" s="26"/>
      <c r="D367" s="54"/>
      <c r="E367" s="25"/>
      <c r="F367" s="25"/>
      <c r="G367" s="25"/>
      <c r="H367" s="25"/>
      <c r="I367" s="25"/>
      <c r="J367" s="25"/>
      <c r="K367" s="25"/>
      <c r="L367" s="25"/>
      <c r="M367" s="25"/>
      <c r="N367" s="25"/>
      <c r="O367" s="25"/>
      <c r="P367" s="25"/>
      <c r="Q367" s="26"/>
      <c r="R367" s="26"/>
      <c r="S367" s="26"/>
      <c r="T367" s="26"/>
      <c r="U367" s="26"/>
      <c r="V367" s="26"/>
      <c r="W367" s="26"/>
      <c r="X367" s="26"/>
      <c r="Y367" s="26"/>
      <c r="Z367" s="26"/>
    </row>
    <row r="368" ht="12.75" customHeight="1">
      <c r="A368" s="31"/>
      <c r="B368" s="53"/>
      <c r="C368" s="26"/>
      <c r="D368" s="54"/>
      <c r="E368" s="25"/>
      <c r="F368" s="25"/>
      <c r="G368" s="25"/>
      <c r="H368" s="25"/>
      <c r="I368" s="25"/>
      <c r="J368" s="25"/>
      <c r="K368" s="25"/>
      <c r="L368" s="25"/>
      <c r="M368" s="25"/>
      <c r="N368" s="25"/>
      <c r="O368" s="25"/>
      <c r="P368" s="25"/>
      <c r="Q368" s="26"/>
      <c r="R368" s="26"/>
      <c r="S368" s="26"/>
      <c r="T368" s="26"/>
      <c r="U368" s="26"/>
      <c r="V368" s="26"/>
      <c r="W368" s="26"/>
      <c r="X368" s="26"/>
      <c r="Y368" s="26"/>
      <c r="Z368" s="26"/>
    </row>
    <row r="369" ht="12.75" customHeight="1">
      <c r="A369" s="31"/>
      <c r="B369" s="53"/>
      <c r="C369" s="26"/>
      <c r="D369" s="54"/>
      <c r="E369" s="25"/>
      <c r="F369" s="25"/>
      <c r="G369" s="25"/>
      <c r="H369" s="25"/>
      <c r="I369" s="25"/>
      <c r="J369" s="25"/>
      <c r="K369" s="25"/>
      <c r="L369" s="25"/>
      <c r="M369" s="25"/>
      <c r="N369" s="25"/>
      <c r="O369" s="25"/>
      <c r="P369" s="25"/>
      <c r="Q369" s="26"/>
      <c r="R369" s="26"/>
      <c r="S369" s="26"/>
      <c r="T369" s="26"/>
      <c r="U369" s="26"/>
      <c r="V369" s="26"/>
      <c r="W369" s="26"/>
      <c r="X369" s="26"/>
      <c r="Y369" s="26"/>
      <c r="Z369" s="26"/>
    </row>
    <row r="370" ht="12.75" customHeight="1">
      <c r="A370" s="31"/>
      <c r="B370" s="53"/>
      <c r="C370" s="26"/>
      <c r="D370" s="54"/>
      <c r="E370" s="25"/>
      <c r="F370" s="25"/>
      <c r="G370" s="25"/>
      <c r="H370" s="25"/>
      <c r="I370" s="25"/>
      <c r="J370" s="25"/>
      <c r="K370" s="25"/>
      <c r="L370" s="25"/>
      <c r="M370" s="25"/>
      <c r="N370" s="25"/>
      <c r="O370" s="25"/>
      <c r="P370" s="25"/>
      <c r="Q370" s="26"/>
      <c r="R370" s="26"/>
      <c r="S370" s="26"/>
      <c r="T370" s="26"/>
      <c r="U370" s="26"/>
      <c r="V370" s="26"/>
      <c r="W370" s="26"/>
      <c r="X370" s="26"/>
      <c r="Y370" s="26"/>
      <c r="Z370" s="26"/>
    </row>
    <row r="371" ht="12.75" customHeight="1">
      <c r="A371" s="31"/>
      <c r="B371" s="53"/>
      <c r="C371" s="26"/>
      <c r="D371" s="54"/>
      <c r="E371" s="25"/>
      <c r="F371" s="25"/>
      <c r="G371" s="25"/>
      <c r="H371" s="25"/>
      <c r="I371" s="25"/>
      <c r="J371" s="25"/>
      <c r="K371" s="25"/>
      <c r="L371" s="25"/>
      <c r="M371" s="25"/>
      <c r="N371" s="25"/>
      <c r="O371" s="25"/>
      <c r="P371" s="25"/>
      <c r="Q371" s="26"/>
      <c r="R371" s="26"/>
      <c r="S371" s="26"/>
      <c r="T371" s="26"/>
      <c r="U371" s="26"/>
      <c r="V371" s="26"/>
      <c r="W371" s="26"/>
      <c r="X371" s="26"/>
      <c r="Y371" s="26"/>
      <c r="Z371" s="26"/>
    </row>
    <row r="372" ht="12.75" customHeight="1">
      <c r="A372" s="31"/>
      <c r="B372" s="53"/>
      <c r="C372" s="26"/>
      <c r="D372" s="54"/>
      <c r="E372" s="25"/>
      <c r="F372" s="25"/>
      <c r="G372" s="25"/>
      <c r="H372" s="25"/>
      <c r="I372" s="25"/>
      <c r="J372" s="25"/>
      <c r="K372" s="25"/>
      <c r="L372" s="25"/>
      <c r="M372" s="25"/>
      <c r="N372" s="25"/>
      <c r="O372" s="25"/>
      <c r="P372" s="25"/>
      <c r="Q372" s="26"/>
      <c r="R372" s="26"/>
      <c r="S372" s="26"/>
      <c r="T372" s="26"/>
      <c r="U372" s="26"/>
      <c r="V372" s="26"/>
      <c r="W372" s="26"/>
      <c r="X372" s="26"/>
      <c r="Y372" s="26"/>
      <c r="Z372" s="26"/>
    </row>
    <row r="373" ht="12.75" customHeight="1">
      <c r="A373" s="31"/>
      <c r="B373" s="53"/>
      <c r="C373" s="26"/>
      <c r="D373" s="54"/>
      <c r="E373" s="25"/>
      <c r="F373" s="25"/>
      <c r="G373" s="25"/>
      <c r="H373" s="25"/>
      <c r="I373" s="25"/>
      <c r="J373" s="25"/>
      <c r="K373" s="25"/>
      <c r="L373" s="25"/>
      <c r="M373" s="25"/>
      <c r="N373" s="25"/>
      <c r="O373" s="25"/>
      <c r="P373" s="25"/>
      <c r="Q373" s="26"/>
      <c r="R373" s="26"/>
      <c r="S373" s="26"/>
      <c r="T373" s="26"/>
      <c r="U373" s="26"/>
      <c r="V373" s="26"/>
      <c r="W373" s="26"/>
      <c r="X373" s="26"/>
      <c r="Y373" s="26"/>
      <c r="Z373" s="26"/>
    </row>
    <row r="374" ht="12.75" customHeight="1">
      <c r="A374" s="31"/>
      <c r="B374" s="53"/>
      <c r="C374" s="26"/>
      <c r="D374" s="54"/>
      <c r="E374" s="25"/>
      <c r="F374" s="25"/>
      <c r="G374" s="25"/>
      <c r="H374" s="25"/>
      <c r="I374" s="25"/>
      <c r="J374" s="25"/>
      <c r="K374" s="25"/>
      <c r="L374" s="25"/>
      <c r="M374" s="25"/>
      <c r="N374" s="25"/>
      <c r="O374" s="25"/>
      <c r="P374" s="25"/>
      <c r="Q374" s="26"/>
      <c r="R374" s="26"/>
      <c r="S374" s="26"/>
      <c r="T374" s="26"/>
      <c r="U374" s="26"/>
      <c r="V374" s="26"/>
      <c r="W374" s="26"/>
      <c r="X374" s="26"/>
      <c r="Y374" s="26"/>
      <c r="Z374" s="26"/>
    </row>
    <row r="375" ht="12.75" customHeight="1">
      <c r="A375" s="31"/>
      <c r="B375" s="53"/>
      <c r="C375" s="26"/>
      <c r="D375" s="54"/>
      <c r="E375" s="25"/>
      <c r="F375" s="25"/>
      <c r="G375" s="25"/>
      <c r="H375" s="25"/>
      <c r="I375" s="25"/>
      <c r="J375" s="25"/>
      <c r="K375" s="25"/>
      <c r="L375" s="25"/>
      <c r="M375" s="25"/>
      <c r="N375" s="25"/>
      <c r="O375" s="25"/>
      <c r="P375" s="25"/>
      <c r="Q375" s="26"/>
      <c r="R375" s="26"/>
      <c r="S375" s="26"/>
      <c r="T375" s="26"/>
      <c r="U375" s="26"/>
      <c r="V375" s="26"/>
      <c r="W375" s="26"/>
      <c r="X375" s="26"/>
      <c r="Y375" s="26"/>
      <c r="Z375" s="26"/>
    </row>
    <row r="376" ht="12.75" customHeight="1">
      <c r="A376" s="31"/>
      <c r="B376" s="53"/>
      <c r="C376" s="26"/>
      <c r="D376" s="54"/>
      <c r="E376" s="25"/>
      <c r="F376" s="25"/>
      <c r="G376" s="25"/>
      <c r="H376" s="25"/>
      <c r="I376" s="25"/>
      <c r="J376" s="25"/>
      <c r="K376" s="25"/>
      <c r="L376" s="25"/>
      <c r="M376" s="25"/>
      <c r="N376" s="25"/>
      <c r="O376" s="25"/>
      <c r="P376" s="25"/>
      <c r="Q376" s="26"/>
      <c r="R376" s="26"/>
      <c r="S376" s="26"/>
      <c r="T376" s="26"/>
      <c r="U376" s="26"/>
      <c r="V376" s="26"/>
      <c r="W376" s="26"/>
      <c r="X376" s="26"/>
      <c r="Y376" s="26"/>
      <c r="Z376" s="26"/>
    </row>
    <row r="377" ht="12.75" customHeight="1">
      <c r="A377" s="31"/>
      <c r="B377" s="53"/>
      <c r="C377" s="26"/>
      <c r="D377" s="54"/>
      <c r="E377" s="25"/>
      <c r="F377" s="25"/>
      <c r="G377" s="25"/>
      <c r="H377" s="25"/>
      <c r="I377" s="25"/>
      <c r="J377" s="25"/>
      <c r="K377" s="25"/>
      <c r="L377" s="25"/>
      <c r="M377" s="25"/>
      <c r="N377" s="25"/>
      <c r="O377" s="25"/>
      <c r="P377" s="25"/>
      <c r="Q377" s="26"/>
      <c r="R377" s="26"/>
      <c r="S377" s="26"/>
      <c r="T377" s="26"/>
      <c r="U377" s="26"/>
      <c r="V377" s="26"/>
      <c r="W377" s="26"/>
      <c r="X377" s="26"/>
      <c r="Y377" s="26"/>
      <c r="Z377" s="26"/>
    </row>
    <row r="378" ht="12.75" customHeight="1">
      <c r="A378" s="31"/>
      <c r="B378" s="53"/>
      <c r="C378" s="26"/>
      <c r="D378" s="54"/>
      <c r="E378" s="25"/>
      <c r="F378" s="25"/>
      <c r="G378" s="25"/>
      <c r="H378" s="25"/>
      <c r="I378" s="25"/>
      <c r="J378" s="25"/>
      <c r="K378" s="25"/>
      <c r="L378" s="25"/>
      <c r="M378" s="25"/>
      <c r="N378" s="25"/>
      <c r="O378" s="25"/>
      <c r="P378" s="25"/>
      <c r="Q378" s="26"/>
      <c r="R378" s="26"/>
      <c r="S378" s="26"/>
      <c r="T378" s="26"/>
      <c r="U378" s="26"/>
      <c r="V378" s="26"/>
      <c r="W378" s="26"/>
      <c r="X378" s="26"/>
      <c r="Y378" s="26"/>
      <c r="Z378" s="26"/>
    </row>
    <row r="379" ht="12.75" customHeight="1">
      <c r="A379" s="31"/>
      <c r="B379" s="53"/>
      <c r="C379" s="26"/>
      <c r="D379" s="54"/>
      <c r="E379" s="25"/>
      <c r="F379" s="25"/>
      <c r="G379" s="25"/>
      <c r="H379" s="25"/>
      <c r="I379" s="25"/>
      <c r="J379" s="25"/>
      <c r="K379" s="25"/>
      <c r="L379" s="25"/>
      <c r="M379" s="25"/>
      <c r="N379" s="25"/>
      <c r="O379" s="25"/>
      <c r="P379" s="25"/>
      <c r="Q379" s="26"/>
      <c r="R379" s="26"/>
      <c r="S379" s="26"/>
      <c r="T379" s="26"/>
      <c r="U379" s="26"/>
      <c r="V379" s="26"/>
      <c r="W379" s="26"/>
      <c r="X379" s="26"/>
      <c r="Y379" s="26"/>
      <c r="Z379" s="26"/>
    </row>
    <row r="380" ht="12.75" customHeight="1">
      <c r="A380" s="31"/>
      <c r="B380" s="53"/>
      <c r="C380" s="26"/>
      <c r="D380" s="54"/>
      <c r="E380" s="25"/>
      <c r="F380" s="25"/>
      <c r="G380" s="25"/>
      <c r="H380" s="25"/>
      <c r="I380" s="25"/>
      <c r="J380" s="25"/>
      <c r="K380" s="25"/>
      <c r="L380" s="25"/>
      <c r="M380" s="25"/>
      <c r="N380" s="25"/>
      <c r="O380" s="25"/>
      <c r="P380" s="25"/>
      <c r="Q380" s="26"/>
      <c r="R380" s="26"/>
      <c r="S380" s="26"/>
      <c r="T380" s="26"/>
      <c r="U380" s="26"/>
      <c r="V380" s="26"/>
      <c r="W380" s="26"/>
      <c r="X380" s="26"/>
      <c r="Y380" s="26"/>
      <c r="Z380" s="26"/>
    </row>
    <row r="381" ht="12.75" customHeight="1">
      <c r="A381" s="31"/>
      <c r="B381" s="53"/>
      <c r="C381" s="26"/>
      <c r="D381" s="54"/>
      <c r="E381" s="25"/>
      <c r="F381" s="25"/>
      <c r="G381" s="25"/>
      <c r="H381" s="25"/>
      <c r="I381" s="25"/>
      <c r="J381" s="25"/>
      <c r="K381" s="25"/>
      <c r="L381" s="25"/>
      <c r="M381" s="25"/>
      <c r="N381" s="25"/>
      <c r="O381" s="25"/>
      <c r="P381" s="25"/>
      <c r="Q381" s="26"/>
      <c r="R381" s="26"/>
      <c r="S381" s="26"/>
      <c r="T381" s="26"/>
      <c r="U381" s="26"/>
      <c r="V381" s="26"/>
      <c r="W381" s="26"/>
      <c r="X381" s="26"/>
      <c r="Y381" s="26"/>
      <c r="Z381" s="26"/>
    </row>
    <row r="382" ht="12.75" customHeight="1">
      <c r="A382" s="31"/>
      <c r="B382" s="53"/>
      <c r="C382" s="26"/>
      <c r="D382" s="54"/>
      <c r="E382" s="25"/>
      <c r="F382" s="25"/>
      <c r="G382" s="25"/>
      <c r="H382" s="25"/>
      <c r="I382" s="25"/>
      <c r="J382" s="25"/>
      <c r="K382" s="25"/>
      <c r="L382" s="25"/>
      <c r="M382" s="25"/>
      <c r="N382" s="25"/>
      <c r="O382" s="25"/>
      <c r="P382" s="25"/>
      <c r="Q382" s="26"/>
      <c r="R382" s="26"/>
      <c r="S382" s="26"/>
      <c r="T382" s="26"/>
      <c r="U382" s="26"/>
      <c r="V382" s="26"/>
      <c r="W382" s="26"/>
      <c r="X382" s="26"/>
      <c r="Y382" s="26"/>
      <c r="Z382" s="26"/>
    </row>
    <row r="383" ht="12.75" customHeight="1">
      <c r="A383" s="31"/>
      <c r="B383" s="53"/>
      <c r="C383" s="26"/>
      <c r="D383" s="54"/>
      <c r="E383" s="25"/>
      <c r="F383" s="25"/>
      <c r="G383" s="25"/>
      <c r="H383" s="25"/>
      <c r="I383" s="25"/>
      <c r="J383" s="25"/>
      <c r="K383" s="25"/>
      <c r="L383" s="25"/>
      <c r="M383" s="25"/>
      <c r="N383" s="25"/>
      <c r="O383" s="25"/>
      <c r="P383" s="25"/>
      <c r="Q383" s="26"/>
      <c r="R383" s="26"/>
      <c r="S383" s="26"/>
      <c r="T383" s="26"/>
      <c r="U383" s="26"/>
      <c r="V383" s="26"/>
      <c r="W383" s="26"/>
      <c r="X383" s="26"/>
      <c r="Y383" s="26"/>
      <c r="Z383" s="26"/>
    </row>
    <row r="384" ht="12.75" customHeight="1">
      <c r="A384" s="31"/>
      <c r="B384" s="53"/>
      <c r="C384" s="26"/>
      <c r="D384" s="54"/>
      <c r="E384" s="25"/>
      <c r="F384" s="25"/>
      <c r="G384" s="25"/>
      <c r="H384" s="25"/>
      <c r="I384" s="25"/>
      <c r="J384" s="25"/>
      <c r="K384" s="25"/>
      <c r="L384" s="25"/>
      <c r="M384" s="25"/>
      <c r="N384" s="25"/>
      <c r="O384" s="25"/>
      <c r="P384" s="25"/>
      <c r="Q384" s="26"/>
      <c r="R384" s="26"/>
      <c r="S384" s="26"/>
      <c r="T384" s="26"/>
      <c r="U384" s="26"/>
      <c r="V384" s="26"/>
      <c r="W384" s="26"/>
      <c r="X384" s="26"/>
      <c r="Y384" s="26"/>
      <c r="Z384" s="26"/>
    </row>
    <row r="385" ht="12.75" customHeight="1">
      <c r="A385" s="31"/>
      <c r="B385" s="53"/>
      <c r="C385" s="26"/>
      <c r="D385" s="54"/>
      <c r="E385" s="25"/>
      <c r="F385" s="25"/>
      <c r="G385" s="25"/>
      <c r="H385" s="25"/>
      <c r="I385" s="25"/>
      <c r="J385" s="25"/>
      <c r="K385" s="25"/>
      <c r="L385" s="25"/>
      <c r="M385" s="25"/>
      <c r="N385" s="25"/>
      <c r="O385" s="25"/>
      <c r="P385" s="25"/>
      <c r="Q385" s="26"/>
      <c r="R385" s="26"/>
      <c r="S385" s="26"/>
      <c r="T385" s="26"/>
      <c r="U385" s="26"/>
      <c r="V385" s="26"/>
      <c r="W385" s="26"/>
      <c r="X385" s="26"/>
      <c r="Y385" s="26"/>
      <c r="Z385" s="26"/>
    </row>
    <row r="386" ht="12.75" customHeight="1">
      <c r="A386" s="31"/>
      <c r="B386" s="53"/>
      <c r="C386" s="26"/>
      <c r="D386" s="54"/>
      <c r="E386" s="25"/>
      <c r="F386" s="25"/>
      <c r="G386" s="25"/>
      <c r="H386" s="25"/>
      <c r="I386" s="25"/>
      <c r="J386" s="25"/>
      <c r="K386" s="25"/>
      <c r="L386" s="25"/>
      <c r="M386" s="25"/>
      <c r="N386" s="25"/>
      <c r="O386" s="25"/>
      <c r="P386" s="25"/>
      <c r="Q386" s="26"/>
      <c r="R386" s="26"/>
      <c r="S386" s="26"/>
      <c r="T386" s="26"/>
      <c r="U386" s="26"/>
      <c r="V386" s="26"/>
      <c r="W386" s="26"/>
      <c r="X386" s="26"/>
      <c r="Y386" s="26"/>
      <c r="Z386" s="26"/>
    </row>
    <row r="387" ht="12.75" customHeight="1">
      <c r="A387" s="31"/>
      <c r="B387" s="53"/>
      <c r="C387" s="26"/>
      <c r="D387" s="54"/>
      <c r="E387" s="25"/>
      <c r="F387" s="25"/>
      <c r="G387" s="25"/>
      <c r="H387" s="25"/>
      <c r="I387" s="25"/>
      <c r="J387" s="25"/>
      <c r="K387" s="25"/>
      <c r="L387" s="25"/>
      <c r="M387" s="25"/>
      <c r="N387" s="25"/>
      <c r="O387" s="25"/>
      <c r="P387" s="25"/>
      <c r="Q387" s="26"/>
      <c r="R387" s="26"/>
      <c r="S387" s="26"/>
      <c r="T387" s="26"/>
      <c r="U387" s="26"/>
      <c r="V387" s="26"/>
      <c r="W387" s="26"/>
      <c r="X387" s="26"/>
      <c r="Y387" s="26"/>
      <c r="Z387" s="26"/>
    </row>
    <row r="388" ht="12.75" customHeight="1">
      <c r="A388" s="31"/>
      <c r="B388" s="53"/>
      <c r="C388" s="26"/>
      <c r="D388" s="54"/>
      <c r="E388" s="25"/>
      <c r="F388" s="25"/>
      <c r="G388" s="25"/>
      <c r="H388" s="25"/>
      <c r="I388" s="25"/>
      <c r="J388" s="25"/>
      <c r="K388" s="25"/>
      <c r="L388" s="25"/>
      <c r="M388" s="25"/>
      <c r="N388" s="25"/>
      <c r="O388" s="25"/>
      <c r="P388" s="25"/>
      <c r="Q388" s="26"/>
      <c r="R388" s="26"/>
      <c r="S388" s="26"/>
      <c r="T388" s="26"/>
      <c r="U388" s="26"/>
      <c r="V388" s="26"/>
      <c r="W388" s="26"/>
      <c r="X388" s="26"/>
      <c r="Y388" s="26"/>
      <c r="Z388" s="26"/>
    </row>
    <row r="389" ht="12.75" customHeight="1">
      <c r="A389" s="31"/>
      <c r="B389" s="53"/>
      <c r="C389" s="26"/>
      <c r="D389" s="54"/>
      <c r="E389" s="25"/>
      <c r="F389" s="25"/>
      <c r="G389" s="25"/>
      <c r="H389" s="25"/>
      <c r="I389" s="25"/>
      <c r="J389" s="25"/>
      <c r="K389" s="25"/>
      <c r="L389" s="25"/>
      <c r="M389" s="25"/>
      <c r="N389" s="25"/>
      <c r="O389" s="25"/>
      <c r="P389" s="25"/>
      <c r="Q389" s="26"/>
      <c r="R389" s="26"/>
      <c r="S389" s="26"/>
      <c r="T389" s="26"/>
      <c r="U389" s="26"/>
      <c r="V389" s="26"/>
      <c r="W389" s="26"/>
      <c r="X389" s="26"/>
      <c r="Y389" s="26"/>
      <c r="Z389" s="26"/>
    </row>
    <row r="390" ht="12.75" customHeight="1">
      <c r="A390" s="31"/>
      <c r="B390" s="53"/>
      <c r="C390" s="26"/>
      <c r="D390" s="54"/>
      <c r="E390" s="25"/>
      <c r="F390" s="25"/>
      <c r="G390" s="25"/>
      <c r="H390" s="25"/>
      <c r="I390" s="25"/>
      <c r="J390" s="25"/>
      <c r="K390" s="25"/>
      <c r="L390" s="25"/>
      <c r="M390" s="25"/>
      <c r="N390" s="25"/>
      <c r="O390" s="25"/>
      <c r="P390" s="25"/>
      <c r="Q390" s="26"/>
      <c r="R390" s="26"/>
      <c r="S390" s="26"/>
      <c r="T390" s="26"/>
      <c r="U390" s="26"/>
      <c r="V390" s="26"/>
      <c r="W390" s="26"/>
      <c r="X390" s="26"/>
      <c r="Y390" s="26"/>
      <c r="Z390" s="26"/>
    </row>
    <row r="391" ht="12.75" customHeight="1">
      <c r="A391" s="31"/>
      <c r="B391" s="53"/>
      <c r="C391" s="26"/>
      <c r="D391" s="54"/>
      <c r="E391" s="25"/>
      <c r="F391" s="25"/>
      <c r="G391" s="25"/>
      <c r="H391" s="25"/>
      <c r="I391" s="25"/>
      <c r="J391" s="25"/>
      <c r="K391" s="25"/>
      <c r="L391" s="25"/>
      <c r="M391" s="25"/>
      <c r="N391" s="25"/>
      <c r="O391" s="25"/>
      <c r="P391" s="25"/>
      <c r="Q391" s="26"/>
      <c r="R391" s="26"/>
      <c r="S391" s="26"/>
      <c r="T391" s="26"/>
      <c r="U391" s="26"/>
      <c r="V391" s="26"/>
      <c r="W391" s="26"/>
      <c r="X391" s="26"/>
      <c r="Y391" s="26"/>
      <c r="Z391" s="26"/>
    </row>
    <row r="392" ht="12.75" customHeight="1">
      <c r="A392" s="31"/>
      <c r="B392" s="53"/>
      <c r="C392" s="26"/>
      <c r="D392" s="54"/>
      <c r="E392" s="25"/>
      <c r="F392" s="25"/>
      <c r="G392" s="25"/>
      <c r="H392" s="25"/>
      <c r="I392" s="25"/>
      <c r="J392" s="25"/>
      <c r="K392" s="25"/>
      <c r="L392" s="25"/>
      <c r="M392" s="25"/>
      <c r="N392" s="25"/>
      <c r="O392" s="25"/>
      <c r="P392" s="25"/>
      <c r="Q392" s="26"/>
      <c r="R392" s="26"/>
      <c r="S392" s="26"/>
      <c r="T392" s="26"/>
      <c r="U392" s="26"/>
      <c r="V392" s="26"/>
      <c r="W392" s="26"/>
      <c r="X392" s="26"/>
      <c r="Y392" s="26"/>
      <c r="Z392" s="26"/>
    </row>
    <row r="393" ht="12.75" customHeight="1">
      <c r="A393" s="31"/>
      <c r="B393" s="53"/>
      <c r="C393" s="26"/>
      <c r="D393" s="54"/>
      <c r="E393" s="25"/>
      <c r="F393" s="25"/>
      <c r="G393" s="25"/>
      <c r="H393" s="25"/>
      <c r="I393" s="25"/>
      <c r="J393" s="25"/>
      <c r="K393" s="25"/>
      <c r="L393" s="25"/>
      <c r="M393" s="25"/>
      <c r="N393" s="25"/>
      <c r="O393" s="25"/>
      <c r="P393" s="25"/>
      <c r="Q393" s="26"/>
      <c r="R393" s="26"/>
      <c r="S393" s="26"/>
      <c r="T393" s="26"/>
      <c r="U393" s="26"/>
      <c r="V393" s="26"/>
      <c r="W393" s="26"/>
      <c r="X393" s="26"/>
      <c r="Y393" s="26"/>
      <c r="Z393" s="26"/>
    </row>
    <row r="394" ht="12.75" customHeight="1">
      <c r="A394" s="31"/>
      <c r="B394" s="53"/>
      <c r="C394" s="26"/>
      <c r="D394" s="54"/>
      <c r="E394" s="25"/>
      <c r="F394" s="25"/>
      <c r="G394" s="25"/>
      <c r="H394" s="25"/>
      <c r="I394" s="25"/>
      <c r="J394" s="25"/>
      <c r="K394" s="25"/>
      <c r="L394" s="25"/>
      <c r="M394" s="25"/>
      <c r="N394" s="25"/>
      <c r="O394" s="25"/>
      <c r="P394" s="25"/>
      <c r="Q394" s="26"/>
      <c r="R394" s="26"/>
      <c r="S394" s="26"/>
      <c r="T394" s="26"/>
      <c r="U394" s="26"/>
      <c r="V394" s="26"/>
      <c r="W394" s="26"/>
      <c r="X394" s="26"/>
      <c r="Y394" s="26"/>
      <c r="Z394" s="26"/>
    </row>
    <row r="395" ht="12.75" customHeight="1">
      <c r="A395" s="31"/>
      <c r="B395" s="53"/>
      <c r="C395" s="26"/>
      <c r="D395" s="54"/>
      <c r="E395" s="25"/>
      <c r="F395" s="25"/>
      <c r="G395" s="25"/>
      <c r="H395" s="25"/>
      <c r="I395" s="25"/>
      <c r="J395" s="25"/>
      <c r="K395" s="25"/>
      <c r="L395" s="25"/>
      <c r="M395" s="25"/>
      <c r="N395" s="25"/>
      <c r="O395" s="25"/>
      <c r="P395" s="25"/>
      <c r="Q395" s="26"/>
      <c r="R395" s="26"/>
      <c r="S395" s="26"/>
      <c r="T395" s="26"/>
      <c r="U395" s="26"/>
      <c r="V395" s="26"/>
      <c r="W395" s="26"/>
      <c r="X395" s="26"/>
      <c r="Y395" s="26"/>
      <c r="Z395" s="26"/>
    </row>
    <row r="396" ht="12.75" customHeight="1">
      <c r="A396" s="31"/>
      <c r="B396" s="53"/>
      <c r="C396" s="26"/>
      <c r="D396" s="54"/>
      <c r="E396" s="25"/>
      <c r="F396" s="25"/>
      <c r="G396" s="25"/>
      <c r="H396" s="25"/>
      <c r="I396" s="25"/>
      <c r="J396" s="25"/>
      <c r="K396" s="25"/>
      <c r="L396" s="25"/>
      <c r="M396" s="25"/>
      <c r="N396" s="25"/>
      <c r="O396" s="25"/>
      <c r="P396" s="25"/>
      <c r="Q396" s="26"/>
      <c r="R396" s="26"/>
      <c r="S396" s="26"/>
      <c r="T396" s="26"/>
      <c r="U396" s="26"/>
      <c r="V396" s="26"/>
      <c r="W396" s="26"/>
      <c r="X396" s="26"/>
      <c r="Y396" s="26"/>
      <c r="Z396" s="26"/>
    </row>
    <row r="397" ht="12.75" customHeight="1">
      <c r="A397" s="31"/>
      <c r="B397" s="53"/>
      <c r="C397" s="26"/>
      <c r="D397" s="54"/>
      <c r="E397" s="25"/>
      <c r="F397" s="25"/>
      <c r="G397" s="25"/>
      <c r="H397" s="25"/>
      <c r="I397" s="25"/>
      <c r="J397" s="25"/>
      <c r="K397" s="25"/>
      <c r="L397" s="25"/>
      <c r="M397" s="25"/>
      <c r="N397" s="25"/>
      <c r="O397" s="25"/>
      <c r="P397" s="25"/>
      <c r="Q397" s="26"/>
      <c r="R397" s="26"/>
      <c r="S397" s="26"/>
      <c r="T397" s="26"/>
      <c r="U397" s="26"/>
      <c r="V397" s="26"/>
      <c r="W397" s="26"/>
      <c r="X397" s="26"/>
      <c r="Y397" s="26"/>
      <c r="Z397" s="26"/>
    </row>
    <row r="398" ht="12.75" customHeight="1">
      <c r="A398" s="31"/>
      <c r="B398" s="53"/>
      <c r="C398" s="26"/>
      <c r="D398" s="54"/>
      <c r="E398" s="25"/>
      <c r="F398" s="25"/>
      <c r="G398" s="25"/>
      <c r="H398" s="25"/>
      <c r="I398" s="25"/>
      <c r="J398" s="25"/>
      <c r="K398" s="25"/>
      <c r="L398" s="25"/>
      <c r="M398" s="25"/>
      <c r="N398" s="25"/>
      <c r="O398" s="25"/>
      <c r="P398" s="25"/>
      <c r="Q398" s="26"/>
      <c r="R398" s="26"/>
      <c r="S398" s="26"/>
      <c r="T398" s="26"/>
      <c r="U398" s="26"/>
      <c r="V398" s="26"/>
      <c r="W398" s="26"/>
      <c r="X398" s="26"/>
      <c r="Y398" s="26"/>
      <c r="Z398" s="26"/>
    </row>
    <row r="399" ht="12.75" customHeight="1">
      <c r="A399" s="31"/>
      <c r="B399" s="53"/>
      <c r="C399" s="26"/>
      <c r="D399" s="54"/>
      <c r="E399" s="25"/>
      <c r="F399" s="25"/>
      <c r="G399" s="25"/>
      <c r="H399" s="25"/>
      <c r="I399" s="25"/>
      <c r="J399" s="25"/>
      <c r="K399" s="25"/>
      <c r="L399" s="25"/>
      <c r="M399" s="25"/>
      <c r="N399" s="25"/>
      <c r="O399" s="25"/>
      <c r="P399" s="25"/>
      <c r="Q399" s="26"/>
      <c r="R399" s="26"/>
      <c r="S399" s="26"/>
      <c r="T399" s="26"/>
      <c r="U399" s="26"/>
      <c r="V399" s="26"/>
      <c r="W399" s="26"/>
      <c r="X399" s="26"/>
      <c r="Y399" s="26"/>
      <c r="Z399" s="26"/>
    </row>
    <row r="400" ht="12.75" customHeight="1">
      <c r="A400" s="31"/>
      <c r="B400" s="53"/>
      <c r="C400" s="26"/>
      <c r="D400" s="54"/>
      <c r="E400" s="25"/>
      <c r="F400" s="25"/>
      <c r="G400" s="25"/>
      <c r="H400" s="25"/>
      <c r="I400" s="25"/>
      <c r="J400" s="25"/>
      <c r="K400" s="25"/>
      <c r="L400" s="25"/>
      <c r="M400" s="25"/>
      <c r="N400" s="25"/>
      <c r="O400" s="25"/>
      <c r="P400" s="25"/>
      <c r="Q400" s="26"/>
      <c r="R400" s="26"/>
      <c r="S400" s="26"/>
      <c r="T400" s="26"/>
      <c r="U400" s="26"/>
      <c r="V400" s="26"/>
      <c r="W400" s="26"/>
      <c r="X400" s="26"/>
      <c r="Y400" s="26"/>
      <c r="Z400" s="26"/>
    </row>
    <row r="401" ht="12.75" customHeight="1">
      <c r="A401" s="31"/>
      <c r="B401" s="53"/>
      <c r="C401" s="26"/>
      <c r="D401" s="54"/>
      <c r="E401" s="25"/>
      <c r="F401" s="25"/>
      <c r="G401" s="25"/>
      <c r="H401" s="25"/>
      <c r="I401" s="25"/>
      <c r="J401" s="25"/>
      <c r="K401" s="25"/>
      <c r="L401" s="25"/>
      <c r="M401" s="25"/>
      <c r="N401" s="25"/>
      <c r="O401" s="25"/>
      <c r="P401" s="25"/>
      <c r="Q401" s="26"/>
      <c r="R401" s="26"/>
      <c r="S401" s="26"/>
      <c r="T401" s="26"/>
      <c r="U401" s="26"/>
      <c r="V401" s="26"/>
      <c r="W401" s="26"/>
      <c r="X401" s="26"/>
      <c r="Y401" s="26"/>
      <c r="Z401" s="26"/>
    </row>
    <row r="402" ht="12.75" customHeight="1">
      <c r="A402" s="31"/>
      <c r="B402" s="53"/>
      <c r="C402" s="26"/>
      <c r="D402" s="54"/>
      <c r="E402" s="25"/>
      <c r="F402" s="25"/>
      <c r="G402" s="25"/>
      <c r="H402" s="25"/>
      <c r="I402" s="25"/>
      <c r="J402" s="25"/>
      <c r="K402" s="25"/>
      <c r="L402" s="25"/>
      <c r="M402" s="25"/>
      <c r="N402" s="25"/>
      <c r="O402" s="25"/>
      <c r="P402" s="25"/>
      <c r="Q402" s="26"/>
      <c r="R402" s="26"/>
      <c r="S402" s="26"/>
      <c r="T402" s="26"/>
      <c r="U402" s="26"/>
      <c r="V402" s="26"/>
      <c r="W402" s="26"/>
      <c r="X402" s="26"/>
      <c r="Y402" s="26"/>
      <c r="Z402" s="26"/>
    </row>
    <row r="403" ht="12.75" customHeight="1">
      <c r="A403" s="31"/>
      <c r="B403" s="53"/>
      <c r="C403" s="26"/>
      <c r="D403" s="54"/>
      <c r="E403" s="25"/>
      <c r="F403" s="25"/>
      <c r="G403" s="25"/>
      <c r="H403" s="25"/>
      <c r="I403" s="25"/>
      <c r="J403" s="25"/>
      <c r="K403" s="25"/>
      <c r="L403" s="25"/>
      <c r="M403" s="25"/>
      <c r="N403" s="25"/>
      <c r="O403" s="25"/>
      <c r="P403" s="25"/>
      <c r="Q403" s="26"/>
      <c r="R403" s="26"/>
      <c r="S403" s="26"/>
      <c r="T403" s="26"/>
      <c r="U403" s="26"/>
      <c r="V403" s="26"/>
      <c r="W403" s="26"/>
      <c r="X403" s="26"/>
      <c r="Y403" s="26"/>
      <c r="Z403" s="26"/>
    </row>
    <row r="404" ht="12.75" customHeight="1">
      <c r="A404" s="31"/>
      <c r="B404" s="53"/>
      <c r="C404" s="26"/>
      <c r="D404" s="54"/>
      <c r="E404" s="25"/>
      <c r="F404" s="25"/>
      <c r="G404" s="25"/>
      <c r="H404" s="25"/>
      <c r="I404" s="25"/>
      <c r="J404" s="25"/>
      <c r="K404" s="25"/>
      <c r="L404" s="25"/>
      <c r="M404" s="25"/>
      <c r="N404" s="25"/>
      <c r="O404" s="25"/>
      <c r="P404" s="25"/>
      <c r="Q404" s="26"/>
      <c r="R404" s="26"/>
      <c r="S404" s="26"/>
      <c r="T404" s="26"/>
      <c r="U404" s="26"/>
      <c r="V404" s="26"/>
      <c r="W404" s="26"/>
      <c r="X404" s="26"/>
      <c r="Y404" s="26"/>
      <c r="Z404" s="26"/>
    </row>
    <row r="405" ht="12.75" customHeight="1">
      <c r="A405" s="31"/>
      <c r="B405" s="53"/>
      <c r="C405" s="26"/>
      <c r="D405" s="54"/>
      <c r="E405" s="25"/>
      <c r="F405" s="25"/>
      <c r="G405" s="25"/>
      <c r="H405" s="25"/>
      <c r="I405" s="25"/>
      <c r="J405" s="25"/>
      <c r="K405" s="25"/>
      <c r="L405" s="25"/>
      <c r="M405" s="25"/>
      <c r="N405" s="25"/>
      <c r="O405" s="25"/>
      <c r="P405" s="25"/>
      <c r="Q405" s="26"/>
      <c r="R405" s="26"/>
      <c r="S405" s="26"/>
      <c r="T405" s="26"/>
      <c r="U405" s="26"/>
      <c r="V405" s="26"/>
      <c r="W405" s="26"/>
      <c r="X405" s="26"/>
      <c r="Y405" s="26"/>
      <c r="Z405" s="26"/>
    </row>
    <row r="406" ht="12.75" customHeight="1">
      <c r="A406" s="31"/>
      <c r="B406" s="53"/>
      <c r="C406" s="26"/>
      <c r="D406" s="54"/>
      <c r="E406" s="25"/>
      <c r="F406" s="25"/>
      <c r="G406" s="25"/>
      <c r="H406" s="25"/>
      <c r="I406" s="25"/>
      <c r="J406" s="25"/>
      <c r="K406" s="25"/>
      <c r="L406" s="25"/>
      <c r="M406" s="25"/>
      <c r="N406" s="25"/>
      <c r="O406" s="25"/>
      <c r="P406" s="25"/>
      <c r="Q406" s="26"/>
      <c r="R406" s="26"/>
      <c r="S406" s="26"/>
      <c r="T406" s="26"/>
      <c r="U406" s="26"/>
      <c r="V406" s="26"/>
      <c r="W406" s="26"/>
      <c r="X406" s="26"/>
      <c r="Y406" s="26"/>
      <c r="Z406" s="26"/>
    </row>
    <row r="407" ht="12.75" customHeight="1">
      <c r="A407" s="31"/>
      <c r="B407" s="53"/>
      <c r="C407" s="26"/>
      <c r="D407" s="54"/>
      <c r="E407" s="25"/>
      <c r="F407" s="25"/>
      <c r="G407" s="25"/>
      <c r="H407" s="25"/>
      <c r="I407" s="25"/>
      <c r="J407" s="25"/>
      <c r="K407" s="25"/>
      <c r="L407" s="25"/>
      <c r="M407" s="25"/>
      <c r="N407" s="25"/>
      <c r="O407" s="25"/>
      <c r="P407" s="25"/>
      <c r="Q407" s="26"/>
      <c r="R407" s="26"/>
      <c r="S407" s="26"/>
      <c r="T407" s="26"/>
      <c r="U407" s="26"/>
      <c r="V407" s="26"/>
      <c r="W407" s="26"/>
      <c r="X407" s="26"/>
      <c r="Y407" s="26"/>
      <c r="Z407" s="26"/>
    </row>
    <row r="408" ht="12.75" customHeight="1">
      <c r="A408" s="31"/>
      <c r="B408" s="53"/>
      <c r="C408" s="26"/>
      <c r="D408" s="54"/>
      <c r="E408" s="25"/>
      <c r="F408" s="25"/>
      <c r="G408" s="25"/>
      <c r="H408" s="25"/>
      <c r="I408" s="25"/>
      <c r="J408" s="25"/>
      <c r="K408" s="25"/>
      <c r="L408" s="25"/>
      <c r="M408" s="25"/>
      <c r="N408" s="25"/>
      <c r="O408" s="25"/>
      <c r="P408" s="25"/>
      <c r="Q408" s="26"/>
      <c r="R408" s="26"/>
      <c r="S408" s="26"/>
      <c r="T408" s="26"/>
      <c r="U408" s="26"/>
      <c r="V408" s="26"/>
      <c r="W408" s="26"/>
      <c r="X408" s="26"/>
      <c r="Y408" s="26"/>
      <c r="Z408" s="26"/>
    </row>
    <row r="409" ht="12.75" customHeight="1">
      <c r="A409" s="31"/>
      <c r="B409" s="53"/>
      <c r="C409" s="26"/>
      <c r="D409" s="54"/>
      <c r="E409" s="25"/>
      <c r="F409" s="25"/>
      <c r="G409" s="25"/>
      <c r="H409" s="25"/>
      <c r="I409" s="25"/>
      <c r="J409" s="25"/>
      <c r="K409" s="25"/>
      <c r="L409" s="25"/>
      <c r="M409" s="25"/>
      <c r="N409" s="25"/>
      <c r="O409" s="25"/>
      <c r="P409" s="25"/>
      <c r="Q409" s="26"/>
      <c r="R409" s="26"/>
      <c r="S409" s="26"/>
      <c r="T409" s="26"/>
      <c r="U409" s="26"/>
      <c r="V409" s="26"/>
      <c r="W409" s="26"/>
      <c r="X409" s="26"/>
      <c r="Y409" s="26"/>
      <c r="Z409" s="26"/>
    </row>
    <row r="410" ht="12.75" customHeight="1">
      <c r="A410" s="31"/>
      <c r="B410" s="53"/>
      <c r="C410" s="26"/>
      <c r="D410" s="54"/>
      <c r="E410" s="25"/>
      <c r="F410" s="25"/>
      <c r="G410" s="25"/>
      <c r="H410" s="25"/>
      <c r="I410" s="25"/>
      <c r="J410" s="25"/>
      <c r="K410" s="25"/>
      <c r="L410" s="25"/>
      <c r="M410" s="25"/>
      <c r="N410" s="25"/>
      <c r="O410" s="25"/>
      <c r="P410" s="25"/>
      <c r="Q410" s="26"/>
      <c r="R410" s="26"/>
      <c r="S410" s="26"/>
      <c r="T410" s="26"/>
      <c r="U410" s="26"/>
      <c r="V410" s="26"/>
      <c r="W410" s="26"/>
      <c r="X410" s="26"/>
      <c r="Y410" s="26"/>
      <c r="Z410" s="26"/>
    </row>
    <row r="411" ht="12.75" customHeight="1">
      <c r="A411" s="31"/>
      <c r="B411" s="53"/>
      <c r="C411" s="26"/>
      <c r="D411" s="54"/>
      <c r="E411" s="25"/>
      <c r="F411" s="25"/>
      <c r="G411" s="25"/>
      <c r="H411" s="25"/>
      <c r="I411" s="25"/>
      <c r="J411" s="25"/>
      <c r="K411" s="25"/>
      <c r="L411" s="25"/>
      <c r="M411" s="25"/>
      <c r="N411" s="25"/>
      <c r="O411" s="25"/>
      <c r="P411" s="25"/>
      <c r="Q411" s="26"/>
      <c r="R411" s="26"/>
      <c r="S411" s="26"/>
      <c r="T411" s="26"/>
      <c r="U411" s="26"/>
      <c r="V411" s="26"/>
      <c r="W411" s="26"/>
      <c r="X411" s="26"/>
      <c r="Y411" s="26"/>
      <c r="Z411" s="26"/>
    </row>
    <row r="412" ht="12.75" customHeight="1">
      <c r="A412" s="31"/>
      <c r="B412" s="53"/>
      <c r="C412" s="26"/>
      <c r="D412" s="54"/>
      <c r="E412" s="25"/>
      <c r="F412" s="25"/>
      <c r="G412" s="25"/>
      <c r="H412" s="25"/>
      <c r="I412" s="25"/>
      <c r="J412" s="25"/>
      <c r="K412" s="25"/>
      <c r="L412" s="25"/>
      <c r="M412" s="25"/>
      <c r="N412" s="25"/>
      <c r="O412" s="25"/>
      <c r="P412" s="25"/>
      <c r="Q412" s="26"/>
      <c r="R412" s="26"/>
      <c r="S412" s="26"/>
      <c r="T412" s="26"/>
      <c r="U412" s="26"/>
      <c r="V412" s="26"/>
      <c r="W412" s="26"/>
      <c r="X412" s="26"/>
      <c r="Y412" s="26"/>
      <c r="Z412" s="26"/>
    </row>
    <row r="413" ht="12.75" customHeight="1">
      <c r="A413" s="31"/>
      <c r="B413" s="53"/>
      <c r="C413" s="26"/>
      <c r="D413" s="54"/>
      <c r="E413" s="25"/>
      <c r="F413" s="25"/>
      <c r="G413" s="25"/>
      <c r="H413" s="25"/>
      <c r="I413" s="25"/>
      <c r="J413" s="25"/>
      <c r="K413" s="25"/>
      <c r="L413" s="25"/>
      <c r="M413" s="25"/>
      <c r="N413" s="25"/>
      <c r="O413" s="25"/>
      <c r="P413" s="25"/>
      <c r="Q413" s="26"/>
      <c r="R413" s="26"/>
      <c r="S413" s="26"/>
      <c r="T413" s="26"/>
      <c r="U413" s="26"/>
      <c r="V413" s="26"/>
      <c r="W413" s="26"/>
      <c r="X413" s="26"/>
      <c r="Y413" s="26"/>
      <c r="Z413" s="26"/>
    </row>
    <row r="414" ht="12.75" customHeight="1">
      <c r="A414" s="31"/>
      <c r="B414" s="53"/>
      <c r="C414" s="26"/>
      <c r="D414" s="54"/>
      <c r="E414" s="25"/>
      <c r="F414" s="25"/>
      <c r="G414" s="25"/>
      <c r="H414" s="25"/>
      <c r="I414" s="25"/>
      <c r="J414" s="25"/>
      <c r="K414" s="25"/>
      <c r="L414" s="25"/>
      <c r="M414" s="25"/>
      <c r="N414" s="25"/>
      <c r="O414" s="25"/>
      <c r="P414" s="25"/>
      <c r="Q414" s="26"/>
      <c r="R414" s="26"/>
      <c r="S414" s="26"/>
      <c r="T414" s="26"/>
      <c r="U414" s="26"/>
      <c r="V414" s="26"/>
      <c r="W414" s="26"/>
      <c r="X414" s="26"/>
      <c r="Y414" s="26"/>
      <c r="Z414" s="26"/>
    </row>
    <row r="415" ht="12.75" customHeight="1">
      <c r="A415" s="31"/>
      <c r="B415" s="53"/>
      <c r="C415" s="26"/>
      <c r="D415" s="54"/>
      <c r="E415" s="25"/>
      <c r="F415" s="25"/>
      <c r="G415" s="25"/>
      <c r="H415" s="25"/>
      <c r="I415" s="25"/>
      <c r="J415" s="25"/>
      <c r="K415" s="25"/>
      <c r="L415" s="25"/>
      <c r="M415" s="25"/>
      <c r="N415" s="25"/>
      <c r="O415" s="25"/>
      <c r="P415" s="25"/>
      <c r="Q415" s="26"/>
      <c r="R415" s="26"/>
      <c r="S415" s="26"/>
      <c r="T415" s="26"/>
      <c r="U415" s="26"/>
      <c r="V415" s="26"/>
      <c r="W415" s="26"/>
      <c r="X415" s="26"/>
      <c r="Y415" s="26"/>
      <c r="Z415" s="26"/>
    </row>
    <row r="416" ht="12.75" customHeight="1">
      <c r="A416" s="31"/>
      <c r="B416" s="53"/>
      <c r="C416" s="26"/>
      <c r="D416" s="54"/>
      <c r="E416" s="25"/>
      <c r="F416" s="25"/>
      <c r="G416" s="25"/>
      <c r="H416" s="25"/>
      <c r="I416" s="25"/>
      <c r="J416" s="25"/>
      <c r="K416" s="25"/>
      <c r="L416" s="25"/>
      <c r="M416" s="25"/>
      <c r="N416" s="25"/>
      <c r="O416" s="25"/>
      <c r="P416" s="25"/>
      <c r="Q416" s="26"/>
      <c r="R416" s="26"/>
      <c r="S416" s="26"/>
      <c r="T416" s="26"/>
      <c r="U416" s="26"/>
      <c r="V416" s="26"/>
      <c r="W416" s="26"/>
      <c r="X416" s="26"/>
      <c r="Y416" s="26"/>
      <c r="Z416" s="26"/>
    </row>
    <row r="417" ht="12.75" customHeight="1">
      <c r="A417" s="31"/>
      <c r="B417" s="53"/>
      <c r="C417" s="26"/>
      <c r="D417" s="54"/>
      <c r="E417" s="25"/>
      <c r="F417" s="25"/>
      <c r="G417" s="25"/>
      <c r="H417" s="25"/>
      <c r="I417" s="25"/>
      <c r="J417" s="25"/>
      <c r="K417" s="25"/>
      <c r="L417" s="25"/>
      <c r="M417" s="25"/>
      <c r="N417" s="25"/>
      <c r="O417" s="25"/>
      <c r="P417" s="25"/>
      <c r="Q417" s="26"/>
      <c r="R417" s="26"/>
      <c r="S417" s="26"/>
      <c r="T417" s="26"/>
      <c r="U417" s="26"/>
      <c r="V417" s="26"/>
      <c r="W417" s="26"/>
      <c r="X417" s="26"/>
      <c r="Y417" s="26"/>
      <c r="Z417" s="26"/>
    </row>
    <row r="418" ht="12.75" customHeight="1">
      <c r="A418" s="31"/>
      <c r="B418" s="53"/>
      <c r="C418" s="26"/>
      <c r="D418" s="54"/>
      <c r="E418" s="25"/>
      <c r="F418" s="25"/>
      <c r="G418" s="25"/>
      <c r="H418" s="25"/>
      <c r="I418" s="25"/>
      <c r="J418" s="25"/>
      <c r="K418" s="25"/>
      <c r="L418" s="25"/>
      <c r="M418" s="25"/>
      <c r="N418" s="25"/>
      <c r="O418" s="25"/>
      <c r="P418" s="25"/>
      <c r="Q418" s="26"/>
      <c r="R418" s="26"/>
      <c r="S418" s="26"/>
      <c r="T418" s="26"/>
      <c r="U418" s="26"/>
      <c r="V418" s="26"/>
      <c r="W418" s="26"/>
      <c r="X418" s="26"/>
      <c r="Y418" s="26"/>
      <c r="Z418" s="26"/>
    </row>
    <row r="419" ht="12.75" customHeight="1">
      <c r="A419" s="31"/>
      <c r="B419" s="53"/>
      <c r="C419" s="26"/>
      <c r="D419" s="54"/>
      <c r="E419" s="25"/>
      <c r="F419" s="25"/>
      <c r="G419" s="25"/>
      <c r="H419" s="25"/>
      <c r="I419" s="25"/>
      <c r="J419" s="25"/>
      <c r="K419" s="25"/>
      <c r="L419" s="25"/>
      <c r="M419" s="25"/>
      <c r="N419" s="25"/>
      <c r="O419" s="25"/>
      <c r="P419" s="25"/>
      <c r="Q419" s="26"/>
      <c r="R419" s="26"/>
      <c r="S419" s="26"/>
      <c r="T419" s="26"/>
      <c r="U419" s="26"/>
      <c r="V419" s="26"/>
      <c r="W419" s="26"/>
      <c r="X419" s="26"/>
      <c r="Y419" s="26"/>
      <c r="Z419" s="26"/>
    </row>
    <row r="420" ht="12.75" customHeight="1">
      <c r="A420" s="31"/>
      <c r="B420" s="53"/>
      <c r="C420" s="26"/>
      <c r="D420" s="54"/>
      <c r="E420" s="25"/>
      <c r="F420" s="25"/>
      <c r="G420" s="25"/>
      <c r="H420" s="25"/>
      <c r="I420" s="25"/>
      <c r="J420" s="25"/>
      <c r="K420" s="25"/>
      <c r="L420" s="25"/>
      <c r="M420" s="25"/>
      <c r="N420" s="25"/>
      <c r="O420" s="25"/>
      <c r="P420" s="25"/>
      <c r="Q420" s="26"/>
      <c r="R420" s="26"/>
      <c r="S420" s="26"/>
      <c r="T420" s="26"/>
      <c r="U420" s="26"/>
      <c r="V420" s="26"/>
      <c r="W420" s="26"/>
      <c r="X420" s="26"/>
      <c r="Y420" s="26"/>
      <c r="Z420" s="26"/>
    </row>
    <row r="421" ht="12.75" customHeight="1">
      <c r="A421" s="31"/>
      <c r="B421" s="53"/>
      <c r="C421" s="26"/>
      <c r="D421" s="54"/>
      <c r="E421" s="25"/>
      <c r="F421" s="25"/>
      <c r="G421" s="25"/>
      <c r="H421" s="25"/>
      <c r="I421" s="25"/>
      <c r="J421" s="25"/>
      <c r="K421" s="25"/>
      <c r="L421" s="25"/>
      <c r="M421" s="25"/>
      <c r="N421" s="25"/>
      <c r="O421" s="25"/>
      <c r="P421" s="25"/>
      <c r="Q421" s="26"/>
      <c r="R421" s="26"/>
      <c r="S421" s="26"/>
      <c r="T421" s="26"/>
      <c r="U421" s="26"/>
      <c r="V421" s="26"/>
      <c r="W421" s="26"/>
      <c r="X421" s="26"/>
      <c r="Y421" s="26"/>
      <c r="Z421" s="26"/>
    </row>
    <row r="422" ht="12.75" customHeight="1">
      <c r="A422" s="31"/>
      <c r="B422" s="53"/>
      <c r="C422" s="26"/>
      <c r="D422" s="54"/>
      <c r="E422" s="25"/>
      <c r="F422" s="25"/>
      <c r="G422" s="25"/>
      <c r="H422" s="25"/>
      <c r="I422" s="25"/>
      <c r="J422" s="25"/>
      <c r="K422" s="25"/>
      <c r="L422" s="25"/>
      <c r="M422" s="25"/>
      <c r="N422" s="25"/>
      <c r="O422" s="25"/>
      <c r="P422" s="25"/>
      <c r="Q422" s="26"/>
      <c r="R422" s="26"/>
      <c r="S422" s="26"/>
      <c r="T422" s="26"/>
      <c r="U422" s="26"/>
      <c r="V422" s="26"/>
      <c r="W422" s="26"/>
      <c r="X422" s="26"/>
      <c r="Y422" s="26"/>
      <c r="Z422" s="26"/>
    </row>
    <row r="423" ht="12.75" customHeight="1">
      <c r="A423" s="31"/>
      <c r="B423" s="53"/>
      <c r="C423" s="26"/>
      <c r="D423" s="54"/>
      <c r="E423" s="25"/>
      <c r="F423" s="25"/>
      <c r="G423" s="25"/>
      <c r="H423" s="25"/>
      <c r="I423" s="25"/>
      <c r="J423" s="25"/>
      <c r="K423" s="25"/>
      <c r="L423" s="25"/>
      <c r="M423" s="25"/>
      <c r="N423" s="25"/>
      <c r="O423" s="25"/>
      <c r="P423" s="25"/>
      <c r="Q423" s="26"/>
      <c r="R423" s="26"/>
      <c r="S423" s="26"/>
      <c r="T423" s="26"/>
      <c r="U423" s="26"/>
      <c r="V423" s="26"/>
      <c r="W423" s="26"/>
      <c r="X423" s="26"/>
      <c r="Y423" s="26"/>
      <c r="Z423" s="26"/>
    </row>
    <row r="424" ht="12.75" customHeight="1">
      <c r="A424" s="31"/>
      <c r="B424" s="53"/>
      <c r="C424" s="26"/>
      <c r="D424" s="54"/>
      <c r="E424" s="25"/>
      <c r="F424" s="25"/>
      <c r="G424" s="25"/>
      <c r="H424" s="25"/>
      <c r="I424" s="25"/>
      <c r="J424" s="25"/>
      <c r="K424" s="25"/>
      <c r="L424" s="25"/>
      <c r="M424" s="25"/>
      <c r="N424" s="25"/>
      <c r="O424" s="25"/>
      <c r="P424" s="25"/>
      <c r="Q424" s="26"/>
      <c r="R424" s="26"/>
      <c r="S424" s="26"/>
      <c r="T424" s="26"/>
      <c r="U424" s="26"/>
      <c r="V424" s="26"/>
      <c r="W424" s="26"/>
      <c r="X424" s="26"/>
      <c r="Y424" s="26"/>
      <c r="Z424" s="26"/>
    </row>
    <row r="425" ht="12.75" customHeight="1">
      <c r="A425" s="31"/>
      <c r="B425" s="53"/>
      <c r="C425" s="26"/>
      <c r="D425" s="54"/>
      <c r="E425" s="25"/>
      <c r="F425" s="25"/>
      <c r="G425" s="25"/>
      <c r="H425" s="25"/>
      <c r="I425" s="25"/>
      <c r="J425" s="25"/>
      <c r="K425" s="25"/>
      <c r="L425" s="25"/>
      <c r="M425" s="25"/>
      <c r="N425" s="25"/>
      <c r="O425" s="25"/>
      <c r="P425" s="25"/>
      <c r="Q425" s="26"/>
      <c r="R425" s="26"/>
      <c r="S425" s="26"/>
      <c r="T425" s="26"/>
      <c r="U425" s="26"/>
      <c r="V425" s="26"/>
      <c r="W425" s="26"/>
      <c r="X425" s="26"/>
      <c r="Y425" s="26"/>
      <c r="Z425" s="26"/>
    </row>
    <row r="426" ht="12.75" customHeight="1">
      <c r="A426" s="31"/>
      <c r="B426" s="53"/>
      <c r="C426" s="26"/>
      <c r="D426" s="54"/>
      <c r="E426" s="25"/>
      <c r="F426" s="25"/>
      <c r="G426" s="25"/>
      <c r="H426" s="25"/>
      <c r="I426" s="25"/>
      <c r="J426" s="25"/>
      <c r="K426" s="25"/>
      <c r="L426" s="25"/>
      <c r="M426" s="25"/>
      <c r="N426" s="25"/>
      <c r="O426" s="25"/>
      <c r="P426" s="25"/>
      <c r="Q426" s="26"/>
      <c r="R426" s="26"/>
      <c r="S426" s="26"/>
      <c r="T426" s="26"/>
      <c r="U426" s="26"/>
      <c r="V426" s="26"/>
      <c r="W426" s="26"/>
      <c r="X426" s="26"/>
      <c r="Y426" s="26"/>
      <c r="Z426" s="26"/>
    </row>
    <row r="427" ht="12.75" customHeight="1">
      <c r="A427" s="31"/>
      <c r="B427" s="53"/>
      <c r="C427" s="26"/>
      <c r="D427" s="54"/>
      <c r="E427" s="25"/>
      <c r="F427" s="25"/>
      <c r="G427" s="25"/>
      <c r="H427" s="25"/>
      <c r="I427" s="25"/>
      <c r="J427" s="25"/>
      <c r="K427" s="25"/>
      <c r="L427" s="25"/>
      <c r="M427" s="25"/>
      <c r="N427" s="25"/>
      <c r="O427" s="25"/>
      <c r="P427" s="25"/>
      <c r="Q427" s="26"/>
      <c r="R427" s="26"/>
      <c r="S427" s="26"/>
      <c r="T427" s="26"/>
      <c r="U427" s="26"/>
      <c r="V427" s="26"/>
      <c r="W427" s="26"/>
      <c r="X427" s="26"/>
      <c r="Y427" s="26"/>
      <c r="Z427" s="26"/>
    </row>
    <row r="428" ht="12.75" customHeight="1">
      <c r="A428" s="31"/>
      <c r="B428" s="53"/>
      <c r="C428" s="26"/>
      <c r="D428" s="54"/>
      <c r="E428" s="25"/>
      <c r="F428" s="25"/>
      <c r="G428" s="25"/>
      <c r="H428" s="25"/>
      <c r="I428" s="25"/>
      <c r="J428" s="25"/>
      <c r="K428" s="25"/>
      <c r="L428" s="25"/>
      <c r="M428" s="25"/>
      <c r="N428" s="25"/>
      <c r="O428" s="25"/>
      <c r="P428" s="25"/>
      <c r="Q428" s="26"/>
      <c r="R428" s="26"/>
      <c r="S428" s="26"/>
      <c r="T428" s="26"/>
      <c r="U428" s="26"/>
      <c r="V428" s="26"/>
      <c r="W428" s="26"/>
      <c r="X428" s="26"/>
      <c r="Y428" s="26"/>
      <c r="Z428" s="26"/>
    </row>
    <row r="429" ht="12.75" customHeight="1">
      <c r="A429" s="31"/>
      <c r="B429" s="53"/>
      <c r="C429" s="26"/>
      <c r="D429" s="54"/>
      <c r="E429" s="25"/>
      <c r="F429" s="25"/>
      <c r="G429" s="25"/>
      <c r="H429" s="25"/>
      <c r="I429" s="25"/>
      <c r="J429" s="25"/>
      <c r="K429" s="25"/>
      <c r="L429" s="25"/>
      <c r="M429" s="25"/>
      <c r="N429" s="25"/>
      <c r="O429" s="25"/>
      <c r="P429" s="25"/>
      <c r="Q429" s="26"/>
      <c r="R429" s="26"/>
      <c r="S429" s="26"/>
      <c r="T429" s="26"/>
      <c r="U429" s="26"/>
      <c r="V429" s="26"/>
      <c r="W429" s="26"/>
      <c r="X429" s="26"/>
      <c r="Y429" s="26"/>
      <c r="Z429" s="26"/>
    </row>
    <row r="430" ht="12.75" customHeight="1">
      <c r="A430" s="31"/>
      <c r="B430" s="53"/>
      <c r="C430" s="26"/>
      <c r="D430" s="54"/>
      <c r="E430" s="25"/>
      <c r="F430" s="25"/>
      <c r="G430" s="25"/>
      <c r="H430" s="25"/>
      <c r="I430" s="25"/>
      <c r="J430" s="25"/>
      <c r="K430" s="25"/>
      <c r="L430" s="25"/>
      <c r="M430" s="25"/>
      <c r="N430" s="25"/>
      <c r="O430" s="25"/>
      <c r="P430" s="25"/>
      <c r="Q430" s="26"/>
      <c r="R430" s="26"/>
      <c r="S430" s="26"/>
      <c r="T430" s="26"/>
      <c r="U430" s="26"/>
      <c r="V430" s="26"/>
      <c r="W430" s="26"/>
      <c r="X430" s="26"/>
      <c r="Y430" s="26"/>
      <c r="Z430" s="26"/>
    </row>
    <row r="431" ht="12.75" customHeight="1">
      <c r="A431" s="31"/>
      <c r="B431" s="53"/>
      <c r="C431" s="26"/>
      <c r="D431" s="54"/>
      <c r="E431" s="25"/>
      <c r="F431" s="25"/>
      <c r="G431" s="25"/>
      <c r="H431" s="25"/>
      <c r="I431" s="25"/>
      <c r="J431" s="25"/>
      <c r="K431" s="25"/>
      <c r="L431" s="25"/>
      <c r="M431" s="25"/>
      <c r="N431" s="25"/>
      <c r="O431" s="25"/>
      <c r="P431" s="25"/>
      <c r="Q431" s="26"/>
      <c r="R431" s="26"/>
      <c r="S431" s="26"/>
      <c r="T431" s="26"/>
      <c r="U431" s="26"/>
      <c r="V431" s="26"/>
      <c r="W431" s="26"/>
      <c r="X431" s="26"/>
      <c r="Y431" s="26"/>
      <c r="Z431" s="26"/>
    </row>
    <row r="432" ht="12.75" customHeight="1">
      <c r="A432" s="31"/>
      <c r="B432" s="53"/>
      <c r="C432" s="26"/>
      <c r="D432" s="54"/>
      <c r="E432" s="25"/>
      <c r="F432" s="25"/>
      <c r="G432" s="25"/>
      <c r="H432" s="25"/>
      <c r="I432" s="25"/>
      <c r="J432" s="25"/>
      <c r="K432" s="25"/>
      <c r="L432" s="25"/>
      <c r="M432" s="25"/>
      <c r="N432" s="25"/>
      <c r="O432" s="25"/>
      <c r="P432" s="25"/>
      <c r="Q432" s="26"/>
      <c r="R432" s="26"/>
      <c r="S432" s="26"/>
      <c r="T432" s="26"/>
      <c r="U432" s="26"/>
      <c r="V432" s="26"/>
      <c r="W432" s="26"/>
      <c r="X432" s="26"/>
      <c r="Y432" s="26"/>
      <c r="Z432" s="26"/>
    </row>
    <row r="433" ht="12.75" customHeight="1">
      <c r="A433" s="31"/>
      <c r="B433" s="53"/>
      <c r="C433" s="26"/>
      <c r="D433" s="54"/>
      <c r="E433" s="25"/>
      <c r="F433" s="25"/>
      <c r="G433" s="25"/>
      <c r="H433" s="25"/>
      <c r="I433" s="25"/>
      <c r="J433" s="25"/>
      <c r="K433" s="25"/>
      <c r="L433" s="25"/>
      <c r="M433" s="25"/>
      <c r="N433" s="25"/>
      <c r="O433" s="25"/>
      <c r="P433" s="25"/>
      <c r="Q433" s="26"/>
      <c r="R433" s="26"/>
      <c r="S433" s="26"/>
      <c r="T433" s="26"/>
      <c r="U433" s="26"/>
      <c r="V433" s="26"/>
      <c r="W433" s="26"/>
      <c r="X433" s="26"/>
      <c r="Y433" s="26"/>
      <c r="Z433" s="26"/>
    </row>
    <row r="434" ht="12.75" customHeight="1">
      <c r="A434" s="31"/>
      <c r="B434" s="53"/>
      <c r="C434" s="26"/>
      <c r="D434" s="54"/>
      <c r="E434" s="25"/>
      <c r="F434" s="25"/>
      <c r="G434" s="25"/>
      <c r="H434" s="25"/>
      <c r="I434" s="25"/>
      <c r="J434" s="25"/>
      <c r="K434" s="25"/>
      <c r="L434" s="25"/>
      <c r="M434" s="25"/>
      <c r="N434" s="25"/>
      <c r="O434" s="25"/>
      <c r="P434" s="25"/>
      <c r="Q434" s="26"/>
      <c r="R434" s="26"/>
      <c r="S434" s="26"/>
      <c r="T434" s="26"/>
      <c r="U434" s="26"/>
      <c r="V434" s="26"/>
      <c r="W434" s="26"/>
      <c r="X434" s="26"/>
      <c r="Y434" s="26"/>
      <c r="Z434" s="26"/>
    </row>
    <row r="435" ht="12.75" customHeight="1">
      <c r="A435" s="31"/>
      <c r="B435" s="53"/>
      <c r="C435" s="26"/>
      <c r="D435" s="54"/>
      <c r="E435" s="25"/>
      <c r="F435" s="25"/>
      <c r="G435" s="25"/>
      <c r="H435" s="25"/>
      <c r="I435" s="25"/>
      <c r="J435" s="25"/>
      <c r="K435" s="25"/>
      <c r="L435" s="25"/>
      <c r="M435" s="25"/>
      <c r="N435" s="25"/>
      <c r="O435" s="25"/>
      <c r="P435" s="25"/>
      <c r="Q435" s="26"/>
      <c r="R435" s="26"/>
      <c r="S435" s="26"/>
      <c r="T435" s="26"/>
      <c r="U435" s="26"/>
      <c r="V435" s="26"/>
      <c r="W435" s="26"/>
      <c r="X435" s="26"/>
      <c r="Y435" s="26"/>
      <c r="Z435" s="26"/>
    </row>
    <row r="436" ht="12.75" customHeight="1">
      <c r="A436" s="31"/>
      <c r="B436" s="53"/>
      <c r="C436" s="26"/>
      <c r="D436" s="54"/>
      <c r="E436" s="25"/>
      <c r="F436" s="25"/>
      <c r="G436" s="25"/>
      <c r="H436" s="25"/>
      <c r="I436" s="25"/>
      <c r="J436" s="25"/>
      <c r="K436" s="25"/>
      <c r="L436" s="25"/>
      <c r="M436" s="25"/>
      <c r="N436" s="25"/>
      <c r="O436" s="25"/>
      <c r="P436" s="25"/>
      <c r="Q436" s="26"/>
      <c r="R436" s="26"/>
      <c r="S436" s="26"/>
      <c r="T436" s="26"/>
      <c r="U436" s="26"/>
      <c r="V436" s="26"/>
      <c r="W436" s="26"/>
      <c r="X436" s="26"/>
      <c r="Y436" s="26"/>
      <c r="Z436" s="26"/>
    </row>
    <row r="437" ht="12.75" customHeight="1">
      <c r="A437" s="31"/>
      <c r="B437" s="53"/>
      <c r="C437" s="26"/>
      <c r="D437" s="54"/>
      <c r="E437" s="25"/>
      <c r="F437" s="25"/>
      <c r="G437" s="25"/>
      <c r="H437" s="25"/>
      <c r="I437" s="25"/>
      <c r="J437" s="25"/>
      <c r="K437" s="25"/>
      <c r="L437" s="25"/>
      <c r="M437" s="25"/>
      <c r="N437" s="25"/>
      <c r="O437" s="25"/>
      <c r="P437" s="25"/>
      <c r="Q437" s="26"/>
      <c r="R437" s="26"/>
      <c r="S437" s="26"/>
      <c r="T437" s="26"/>
      <c r="U437" s="26"/>
      <c r="V437" s="26"/>
      <c r="W437" s="26"/>
      <c r="X437" s="26"/>
      <c r="Y437" s="26"/>
      <c r="Z437" s="26"/>
    </row>
    <row r="438" ht="12.75" customHeight="1">
      <c r="A438" s="31"/>
      <c r="B438" s="53"/>
      <c r="C438" s="26"/>
      <c r="D438" s="54"/>
      <c r="E438" s="25"/>
      <c r="F438" s="25"/>
      <c r="G438" s="25"/>
      <c r="H438" s="25"/>
      <c r="I438" s="25"/>
      <c r="J438" s="25"/>
      <c r="K438" s="25"/>
      <c r="L438" s="25"/>
      <c r="M438" s="25"/>
      <c r="N438" s="25"/>
      <c r="O438" s="25"/>
      <c r="P438" s="25"/>
      <c r="Q438" s="26"/>
      <c r="R438" s="26"/>
      <c r="S438" s="26"/>
      <c r="T438" s="26"/>
      <c r="U438" s="26"/>
      <c r="V438" s="26"/>
      <c r="W438" s="26"/>
      <c r="X438" s="26"/>
      <c r="Y438" s="26"/>
      <c r="Z438" s="26"/>
    </row>
    <row r="439" ht="12.75" customHeight="1">
      <c r="A439" s="31"/>
      <c r="B439" s="53"/>
      <c r="C439" s="26"/>
      <c r="D439" s="54"/>
      <c r="E439" s="25"/>
      <c r="F439" s="25"/>
      <c r="G439" s="25"/>
      <c r="H439" s="25"/>
      <c r="I439" s="25"/>
      <c r="J439" s="25"/>
      <c r="K439" s="25"/>
      <c r="L439" s="25"/>
      <c r="M439" s="25"/>
      <c r="N439" s="25"/>
      <c r="O439" s="25"/>
      <c r="P439" s="25"/>
      <c r="Q439" s="26"/>
      <c r="R439" s="26"/>
      <c r="S439" s="26"/>
      <c r="T439" s="26"/>
      <c r="U439" s="26"/>
      <c r="V439" s="26"/>
      <c r="W439" s="26"/>
      <c r="X439" s="26"/>
      <c r="Y439" s="26"/>
      <c r="Z439" s="26"/>
    </row>
    <row r="440" ht="12.75" customHeight="1">
      <c r="A440" s="31"/>
      <c r="B440" s="53"/>
      <c r="C440" s="26"/>
      <c r="D440" s="54"/>
      <c r="E440" s="25"/>
      <c r="F440" s="25"/>
      <c r="G440" s="25"/>
      <c r="H440" s="25"/>
      <c r="I440" s="25"/>
      <c r="J440" s="25"/>
      <c r="K440" s="25"/>
      <c r="L440" s="25"/>
      <c r="M440" s="25"/>
      <c r="N440" s="25"/>
      <c r="O440" s="25"/>
      <c r="P440" s="25"/>
      <c r="Q440" s="26"/>
      <c r="R440" s="26"/>
      <c r="S440" s="26"/>
      <c r="T440" s="26"/>
      <c r="U440" s="26"/>
      <c r="V440" s="26"/>
      <c r="W440" s="26"/>
      <c r="X440" s="26"/>
      <c r="Y440" s="26"/>
      <c r="Z440" s="26"/>
    </row>
    <row r="441" ht="12.75" customHeight="1">
      <c r="A441" s="31"/>
      <c r="B441" s="53"/>
      <c r="C441" s="26"/>
      <c r="D441" s="54"/>
      <c r="E441" s="25"/>
      <c r="F441" s="25"/>
      <c r="G441" s="25"/>
      <c r="H441" s="25"/>
      <c r="I441" s="25"/>
      <c r="J441" s="25"/>
      <c r="K441" s="25"/>
      <c r="L441" s="25"/>
      <c r="M441" s="25"/>
      <c r="N441" s="25"/>
      <c r="O441" s="25"/>
      <c r="P441" s="25"/>
      <c r="Q441" s="26"/>
      <c r="R441" s="26"/>
      <c r="S441" s="26"/>
      <c r="T441" s="26"/>
      <c r="U441" s="26"/>
      <c r="V441" s="26"/>
      <c r="W441" s="26"/>
      <c r="X441" s="26"/>
      <c r="Y441" s="26"/>
      <c r="Z441" s="26"/>
    </row>
    <row r="442" ht="12.75" customHeight="1">
      <c r="A442" s="31"/>
      <c r="B442" s="53"/>
      <c r="C442" s="26"/>
      <c r="D442" s="54"/>
      <c r="E442" s="25"/>
      <c r="F442" s="25"/>
      <c r="G442" s="25"/>
      <c r="H442" s="25"/>
      <c r="I442" s="25"/>
      <c r="J442" s="25"/>
      <c r="K442" s="25"/>
      <c r="L442" s="25"/>
      <c r="M442" s="25"/>
      <c r="N442" s="25"/>
      <c r="O442" s="25"/>
      <c r="P442" s="25"/>
      <c r="Q442" s="26"/>
      <c r="R442" s="26"/>
      <c r="S442" s="26"/>
      <c r="T442" s="26"/>
      <c r="U442" s="26"/>
      <c r="V442" s="26"/>
      <c r="W442" s="26"/>
      <c r="X442" s="26"/>
      <c r="Y442" s="26"/>
      <c r="Z442" s="26"/>
    </row>
    <row r="443" ht="12.75" customHeight="1">
      <c r="A443" s="31"/>
      <c r="B443" s="53"/>
      <c r="C443" s="26"/>
      <c r="D443" s="54"/>
      <c r="E443" s="25"/>
      <c r="F443" s="25"/>
      <c r="G443" s="25"/>
      <c r="H443" s="25"/>
      <c r="I443" s="25"/>
      <c r="J443" s="25"/>
      <c r="K443" s="25"/>
      <c r="L443" s="25"/>
      <c r="M443" s="25"/>
      <c r="N443" s="25"/>
      <c r="O443" s="25"/>
      <c r="P443" s="25"/>
      <c r="Q443" s="26"/>
      <c r="R443" s="26"/>
      <c r="S443" s="26"/>
      <c r="T443" s="26"/>
      <c r="U443" s="26"/>
      <c r="V443" s="26"/>
      <c r="W443" s="26"/>
      <c r="X443" s="26"/>
      <c r="Y443" s="26"/>
      <c r="Z443" s="26"/>
    </row>
    <row r="444" ht="12.75" customHeight="1">
      <c r="A444" s="31"/>
      <c r="B444" s="53"/>
      <c r="C444" s="26"/>
      <c r="D444" s="54"/>
      <c r="E444" s="25"/>
      <c r="F444" s="25"/>
      <c r="G444" s="25"/>
      <c r="H444" s="25"/>
      <c r="I444" s="25"/>
      <c r="J444" s="25"/>
      <c r="K444" s="25"/>
      <c r="L444" s="25"/>
      <c r="M444" s="25"/>
      <c r="N444" s="25"/>
      <c r="O444" s="25"/>
      <c r="P444" s="25"/>
      <c r="Q444" s="26"/>
      <c r="R444" s="26"/>
      <c r="S444" s="26"/>
      <c r="T444" s="26"/>
      <c r="U444" s="26"/>
      <c r="V444" s="26"/>
      <c r="W444" s="26"/>
      <c r="X444" s="26"/>
      <c r="Y444" s="26"/>
      <c r="Z444" s="26"/>
    </row>
    <row r="445" ht="12.75" customHeight="1">
      <c r="A445" s="31"/>
      <c r="B445" s="53"/>
      <c r="C445" s="26"/>
      <c r="D445" s="54"/>
      <c r="E445" s="25"/>
      <c r="F445" s="25"/>
      <c r="G445" s="25"/>
      <c r="H445" s="25"/>
      <c r="I445" s="25"/>
      <c r="J445" s="25"/>
      <c r="K445" s="25"/>
      <c r="L445" s="25"/>
      <c r="M445" s="25"/>
      <c r="N445" s="25"/>
      <c r="O445" s="25"/>
      <c r="P445" s="25"/>
      <c r="Q445" s="26"/>
      <c r="R445" s="26"/>
      <c r="S445" s="26"/>
      <c r="T445" s="26"/>
      <c r="U445" s="26"/>
      <c r="V445" s="26"/>
      <c r="W445" s="26"/>
      <c r="X445" s="26"/>
      <c r="Y445" s="26"/>
      <c r="Z445" s="26"/>
    </row>
    <row r="446" ht="12.75" customHeight="1">
      <c r="A446" s="31"/>
      <c r="B446" s="53"/>
      <c r="C446" s="26"/>
      <c r="D446" s="54"/>
      <c r="E446" s="25"/>
      <c r="F446" s="25"/>
      <c r="G446" s="25"/>
      <c r="H446" s="25"/>
      <c r="I446" s="25"/>
      <c r="J446" s="25"/>
      <c r="K446" s="25"/>
      <c r="L446" s="25"/>
      <c r="M446" s="25"/>
      <c r="N446" s="25"/>
      <c r="O446" s="25"/>
      <c r="P446" s="25"/>
      <c r="Q446" s="26"/>
      <c r="R446" s="26"/>
      <c r="S446" s="26"/>
      <c r="T446" s="26"/>
      <c r="U446" s="26"/>
      <c r="V446" s="26"/>
      <c r="W446" s="26"/>
      <c r="X446" s="26"/>
      <c r="Y446" s="26"/>
      <c r="Z446" s="26"/>
    </row>
    <row r="447" ht="12.75" customHeight="1">
      <c r="A447" s="31"/>
      <c r="B447" s="53"/>
      <c r="C447" s="26"/>
      <c r="D447" s="54"/>
      <c r="E447" s="25"/>
      <c r="F447" s="25"/>
      <c r="G447" s="25"/>
      <c r="H447" s="25"/>
      <c r="I447" s="25"/>
      <c r="J447" s="25"/>
      <c r="K447" s="25"/>
      <c r="L447" s="25"/>
      <c r="M447" s="25"/>
      <c r="N447" s="25"/>
      <c r="O447" s="25"/>
      <c r="P447" s="25"/>
      <c r="Q447" s="26"/>
      <c r="R447" s="26"/>
      <c r="S447" s="26"/>
      <c r="T447" s="26"/>
      <c r="U447" s="26"/>
      <c r="V447" s="26"/>
      <c r="W447" s="26"/>
      <c r="X447" s="26"/>
      <c r="Y447" s="26"/>
      <c r="Z447" s="26"/>
    </row>
    <row r="448" ht="12.75" customHeight="1">
      <c r="A448" s="31"/>
      <c r="B448" s="53"/>
      <c r="C448" s="26"/>
      <c r="D448" s="54"/>
      <c r="E448" s="25"/>
      <c r="F448" s="25"/>
      <c r="G448" s="25"/>
      <c r="H448" s="25"/>
      <c r="I448" s="25"/>
      <c r="J448" s="25"/>
      <c r="K448" s="25"/>
      <c r="L448" s="25"/>
      <c r="M448" s="25"/>
      <c r="N448" s="25"/>
      <c r="O448" s="25"/>
      <c r="P448" s="25"/>
      <c r="Q448" s="26"/>
      <c r="R448" s="26"/>
      <c r="S448" s="26"/>
      <c r="T448" s="26"/>
      <c r="U448" s="26"/>
      <c r="V448" s="26"/>
      <c r="W448" s="26"/>
      <c r="X448" s="26"/>
      <c r="Y448" s="26"/>
      <c r="Z448" s="26"/>
    </row>
    <row r="449" ht="12.75" customHeight="1">
      <c r="A449" s="31"/>
      <c r="B449" s="53"/>
      <c r="C449" s="26"/>
      <c r="D449" s="54"/>
      <c r="E449" s="25"/>
      <c r="F449" s="25"/>
      <c r="G449" s="25"/>
      <c r="H449" s="25"/>
      <c r="I449" s="25"/>
      <c r="J449" s="25"/>
      <c r="K449" s="25"/>
      <c r="L449" s="25"/>
      <c r="M449" s="25"/>
      <c r="N449" s="25"/>
      <c r="O449" s="25"/>
      <c r="P449" s="25"/>
      <c r="Q449" s="26"/>
      <c r="R449" s="26"/>
      <c r="S449" s="26"/>
      <c r="T449" s="26"/>
      <c r="U449" s="26"/>
      <c r="V449" s="26"/>
      <c r="W449" s="26"/>
      <c r="X449" s="26"/>
      <c r="Y449" s="26"/>
      <c r="Z449" s="26"/>
    </row>
    <row r="450" ht="12.75" customHeight="1">
      <c r="A450" s="31"/>
      <c r="B450" s="53"/>
      <c r="C450" s="26"/>
      <c r="D450" s="54"/>
      <c r="E450" s="25"/>
      <c r="F450" s="25"/>
      <c r="G450" s="25"/>
      <c r="H450" s="25"/>
      <c r="I450" s="25"/>
      <c r="J450" s="25"/>
      <c r="K450" s="25"/>
      <c r="L450" s="25"/>
      <c r="M450" s="25"/>
      <c r="N450" s="25"/>
      <c r="O450" s="25"/>
      <c r="P450" s="25"/>
      <c r="Q450" s="26"/>
      <c r="R450" s="26"/>
      <c r="S450" s="26"/>
      <c r="T450" s="26"/>
      <c r="U450" s="26"/>
      <c r="V450" s="26"/>
      <c r="W450" s="26"/>
      <c r="X450" s="26"/>
      <c r="Y450" s="26"/>
      <c r="Z450" s="26"/>
    </row>
    <row r="451" ht="12.75" customHeight="1">
      <c r="A451" s="31"/>
      <c r="B451" s="53"/>
      <c r="C451" s="26"/>
      <c r="D451" s="54"/>
      <c r="E451" s="25"/>
      <c r="F451" s="25"/>
      <c r="G451" s="25"/>
      <c r="H451" s="25"/>
      <c r="I451" s="25"/>
      <c r="J451" s="25"/>
      <c r="K451" s="25"/>
      <c r="L451" s="25"/>
      <c r="M451" s="25"/>
      <c r="N451" s="25"/>
      <c r="O451" s="25"/>
      <c r="P451" s="25"/>
      <c r="Q451" s="26"/>
      <c r="R451" s="26"/>
      <c r="S451" s="26"/>
      <c r="T451" s="26"/>
      <c r="U451" s="26"/>
      <c r="V451" s="26"/>
      <c r="W451" s="26"/>
      <c r="X451" s="26"/>
      <c r="Y451" s="26"/>
      <c r="Z451" s="26"/>
    </row>
    <row r="452" ht="12.75" customHeight="1">
      <c r="A452" s="31"/>
      <c r="B452" s="53"/>
      <c r="C452" s="26"/>
      <c r="D452" s="54"/>
      <c r="E452" s="25"/>
      <c r="F452" s="25"/>
      <c r="G452" s="25"/>
      <c r="H452" s="25"/>
      <c r="I452" s="25"/>
      <c r="J452" s="25"/>
      <c r="K452" s="25"/>
      <c r="L452" s="25"/>
      <c r="M452" s="25"/>
      <c r="N452" s="25"/>
      <c r="O452" s="25"/>
      <c r="P452" s="25"/>
      <c r="Q452" s="26"/>
      <c r="R452" s="26"/>
      <c r="S452" s="26"/>
      <c r="T452" s="26"/>
      <c r="U452" s="26"/>
      <c r="V452" s="26"/>
      <c r="W452" s="26"/>
      <c r="X452" s="26"/>
      <c r="Y452" s="26"/>
      <c r="Z452" s="26"/>
    </row>
    <row r="453" ht="12.75" customHeight="1">
      <c r="A453" s="31"/>
      <c r="B453" s="53"/>
      <c r="C453" s="26"/>
      <c r="D453" s="54"/>
      <c r="E453" s="25"/>
      <c r="F453" s="25"/>
      <c r="G453" s="25"/>
      <c r="H453" s="25"/>
      <c r="I453" s="25"/>
      <c r="J453" s="25"/>
      <c r="K453" s="25"/>
      <c r="L453" s="25"/>
      <c r="M453" s="25"/>
      <c r="N453" s="25"/>
      <c r="O453" s="25"/>
      <c r="P453" s="25"/>
      <c r="Q453" s="26"/>
      <c r="R453" s="26"/>
      <c r="S453" s="26"/>
      <c r="T453" s="26"/>
      <c r="U453" s="26"/>
      <c r="V453" s="26"/>
      <c r="W453" s="26"/>
      <c r="X453" s="26"/>
      <c r="Y453" s="26"/>
      <c r="Z453" s="26"/>
    </row>
    <row r="454" ht="12.75" customHeight="1">
      <c r="A454" s="31"/>
      <c r="B454" s="53"/>
      <c r="C454" s="26"/>
      <c r="D454" s="54"/>
      <c r="E454" s="25"/>
      <c r="F454" s="25"/>
      <c r="G454" s="25"/>
      <c r="H454" s="25"/>
      <c r="I454" s="25"/>
      <c r="J454" s="25"/>
      <c r="K454" s="25"/>
      <c r="L454" s="25"/>
      <c r="M454" s="25"/>
      <c r="N454" s="25"/>
      <c r="O454" s="25"/>
      <c r="P454" s="25"/>
      <c r="Q454" s="26"/>
      <c r="R454" s="26"/>
      <c r="S454" s="26"/>
      <c r="T454" s="26"/>
      <c r="U454" s="26"/>
      <c r="V454" s="26"/>
      <c r="W454" s="26"/>
      <c r="X454" s="26"/>
      <c r="Y454" s="26"/>
      <c r="Z454" s="26"/>
    </row>
    <row r="455" ht="12.75" customHeight="1">
      <c r="A455" s="31"/>
      <c r="B455" s="53"/>
      <c r="C455" s="26"/>
      <c r="D455" s="54"/>
      <c r="E455" s="25"/>
      <c r="F455" s="25"/>
      <c r="G455" s="25"/>
      <c r="H455" s="25"/>
      <c r="I455" s="25"/>
      <c r="J455" s="25"/>
      <c r="K455" s="25"/>
      <c r="L455" s="25"/>
      <c r="M455" s="25"/>
      <c r="N455" s="25"/>
      <c r="O455" s="25"/>
      <c r="P455" s="25"/>
      <c r="Q455" s="26"/>
      <c r="R455" s="26"/>
      <c r="S455" s="26"/>
      <c r="T455" s="26"/>
      <c r="U455" s="26"/>
      <c r="V455" s="26"/>
      <c r="W455" s="26"/>
      <c r="X455" s="26"/>
      <c r="Y455" s="26"/>
      <c r="Z455" s="26"/>
    </row>
    <row r="456" ht="12.75" customHeight="1">
      <c r="A456" s="31"/>
      <c r="B456" s="53"/>
      <c r="C456" s="26"/>
      <c r="D456" s="54"/>
      <c r="E456" s="25"/>
      <c r="F456" s="25"/>
      <c r="G456" s="25"/>
      <c r="H456" s="25"/>
      <c r="I456" s="25"/>
      <c r="J456" s="25"/>
      <c r="K456" s="25"/>
      <c r="L456" s="25"/>
      <c r="M456" s="25"/>
      <c r="N456" s="25"/>
      <c r="O456" s="25"/>
      <c r="P456" s="25"/>
      <c r="Q456" s="26"/>
      <c r="R456" s="26"/>
      <c r="S456" s="26"/>
      <c r="T456" s="26"/>
      <c r="U456" s="26"/>
      <c r="V456" s="26"/>
      <c r="W456" s="26"/>
      <c r="X456" s="26"/>
      <c r="Y456" s="26"/>
      <c r="Z456" s="26"/>
    </row>
    <row r="457" ht="12.75" customHeight="1">
      <c r="A457" s="31"/>
      <c r="B457" s="53"/>
      <c r="C457" s="26"/>
      <c r="D457" s="54"/>
      <c r="E457" s="25"/>
      <c r="F457" s="25"/>
      <c r="G457" s="25"/>
      <c r="H457" s="25"/>
      <c r="I457" s="25"/>
      <c r="J457" s="25"/>
      <c r="K457" s="25"/>
      <c r="L457" s="25"/>
      <c r="M457" s="25"/>
      <c r="N457" s="25"/>
      <c r="O457" s="25"/>
      <c r="P457" s="25"/>
      <c r="Q457" s="26"/>
      <c r="R457" s="26"/>
      <c r="S457" s="26"/>
      <c r="T457" s="26"/>
      <c r="U457" s="26"/>
      <c r="V457" s="26"/>
      <c r="W457" s="26"/>
      <c r="X457" s="26"/>
      <c r="Y457" s="26"/>
      <c r="Z457" s="26"/>
    </row>
    <row r="458" ht="12.75" customHeight="1">
      <c r="A458" s="31"/>
      <c r="B458" s="53"/>
      <c r="C458" s="26"/>
      <c r="D458" s="54"/>
      <c r="E458" s="25"/>
      <c r="F458" s="25"/>
      <c r="G458" s="25"/>
      <c r="H458" s="25"/>
      <c r="I458" s="25"/>
      <c r="J458" s="25"/>
      <c r="K458" s="25"/>
      <c r="L458" s="25"/>
      <c r="M458" s="25"/>
      <c r="N458" s="25"/>
      <c r="O458" s="25"/>
      <c r="P458" s="25"/>
      <c r="Q458" s="26"/>
      <c r="R458" s="26"/>
      <c r="S458" s="26"/>
      <c r="T458" s="26"/>
      <c r="U458" s="26"/>
      <c r="V458" s="26"/>
      <c r="W458" s="26"/>
      <c r="X458" s="26"/>
      <c r="Y458" s="26"/>
      <c r="Z458" s="26"/>
    </row>
    <row r="459" ht="12.75" customHeight="1">
      <c r="A459" s="31"/>
      <c r="B459" s="53"/>
      <c r="C459" s="26"/>
      <c r="D459" s="54"/>
      <c r="E459" s="25"/>
      <c r="F459" s="25"/>
      <c r="G459" s="25"/>
      <c r="H459" s="25"/>
      <c r="I459" s="25"/>
      <c r="J459" s="25"/>
      <c r="K459" s="25"/>
      <c r="L459" s="25"/>
      <c r="M459" s="25"/>
      <c r="N459" s="25"/>
      <c r="O459" s="25"/>
      <c r="P459" s="25"/>
      <c r="Q459" s="26"/>
      <c r="R459" s="26"/>
      <c r="S459" s="26"/>
      <c r="T459" s="26"/>
      <c r="U459" s="26"/>
      <c r="V459" s="26"/>
      <c r="W459" s="26"/>
      <c r="X459" s="26"/>
      <c r="Y459" s="26"/>
      <c r="Z459" s="26"/>
    </row>
    <row r="460" ht="12.75" customHeight="1">
      <c r="A460" s="31"/>
      <c r="B460" s="53"/>
      <c r="C460" s="26"/>
      <c r="D460" s="54"/>
      <c r="E460" s="25"/>
      <c r="F460" s="25"/>
      <c r="G460" s="25"/>
      <c r="H460" s="25"/>
      <c r="I460" s="25"/>
      <c r="J460" s="25"/>
      <c r="K460" s="25"/>
      <c r="L460" s="25"/>
      <c r="M460" s="25"/>
      <c r="N460" s="25"/>
      <c r="O460" s="25"/>
      <c r="P460" s="25"/>
      <c r="Q460" s="26"/>
      <c r="R460" s="26"/>
      <c r="S460" s="26"/>
      <c r="T460" s="26"/>
      <c r="U460" s="26"/>
      <c r="V460" s="26"/>
      <c r="W460" s="26"/>
      <c r="X460" s="26"/>
      <c r="Y460" s="26"/>
      <c r="Z460" s="26"/>
    </row>
    <row r="461" ht="12.75" customHeight="1">
      <c r="A461" s="31"/>
      <c r="B461" s="53"/>
      <c r="C461" s="26"/>
      <c r="D461" s="54"/>
      <c r="E461" s="25"/>
      <c r="F461" s="25"/>
      <c r="G461" s="25"/>
      <c r="H461" s="25"/>
      <c r="I461" s="25"/>
      <c r="J461" s="25"/>
      <c r="K461" s="25"/>
      <c r="L461" s="25"/>
      <c r="M461" s="25"/>
      <c r="N461" s="25"/>
      <c r="O461" s="25"/>
      <c r="P461" s="25"/>
      <c r="Q461" s="26"/>
      <c r="R461" s="26"/>
      <c r="S461" s="26"/>
      <c r="T461" s="26"/>
      <c r="U461" s="26"/>
      <c r="V461" s="26"/>
      <c r="W461" s="26"/>
      <c r="X461" s="26"/>
      <c r="Y461" s="26"/>
      <c r="Z461" s="26"/>
    </row>
    <row r="462" ht="12.75" customHeight="1">
      <c r="A462" s="31"/>
      <c r="B462" s="53"/>
      <c r="C462" s="26"/>
      <c r="D462" s="54"/>
      <c r="E462" s="25"/>
      <c r="F462" s="25"/>
      <c r="G462" s="25"/>
      <c r="H462" s="25"/>
      <c r="I462" s="25"/>
      <c r="J462" s="25"/>
      <c r="K462" s="25"/>
      <c r="L462" s="25"/>
      <c r="M462" s="25"/>
      <c r="N462" s="25"/>
      <c r="O462" s="25"/>
      <c r="P462" s="25"/>
      <c r="Q462" s="26"/>
      <c r="R462" s="26"/>
      <c r="S462" s="26"/>
      <c r="T462" s="26"/>
      <c r="U462" s="26"/>
      <c r="V462" s="26"/>
      <c r="W462" s="26"/>
      <c r="X462" s="26"/>
      <c r="Y462" s="26"/>
      <c r="Z462" s="26"/>
    </row>
    <row r="463" ht="12.75" customHeight="1">
      <c r="A463" s="31"/>
      <c r="B463" s="53"/>
      <c r="C463" s="26"/>
      <c r="D463" s="54"/>
      <c r="E463" s="25"/>
      <c r="F463" s="25"/>
      <c r="G463" s="25"/>
      <c r="H463" s="25"/>
      <c r="I463" s="25"/>
      <c r="J463" s="25"/>
      <c r="K463" s="25"/>
      <c r="L463" s="25"/>
      <c r="M463" s="25"/>
      <c r="N463" s="25"/>
      <c r="O463" s="25"/>
      <c r="P463" s="25"/>
      <c r="Q463" s="26"/>
      <c r="R463" s="26"/>
      <c r="S463" s="26"/>
      <c r="T463" s="26"/>
      <c r="U463" s="26"/>
      <c r="V463" s="26"/>
      <c r="W463" s="26"/>
      <c r="X463" s="26"/>
      <c r="Y463" s="26"/>
      <c r="Z463" s="26"/>
    </row>
    <row r="464" ht="12.75" customHeight="1">
      <c r="A464" s="31"/>
      <c r="B464" s="53"/>
      <c r="C464" s="26"/>
      <c r="D464" s="54"/>
      <c r="E464" s="25"/>
      <c r="F464" s="25"/>
      <c r="G464" s="25"/>
      <c r="H464" s="25"/>
      <c r="I464" s="25"/>
      <c r="J464" s="25"/>
      <c r="K464" s="25"/>
      <c r="L464" s="25"/>
      <c r="M464" s="25"/>
      <c r="N464" s="25"/>
      <c r="O464" s="25"/>
      <c r="P464" s="25"/>
      <c r="Q464" s="26"/>
      <c r="R464" s="26"/>
      <c r="S464" s="26"/>
      <c r="T464" s="26"/>
      <c r="U464" s="26"/>
      <c r="V464" s="26"/>
      <c r="W464" s="26"/>
      <c r="X464" s="26"/>
      <c r="Y464" s="26"/>
      <c r="Z464" s="26"/>
    </row>
    <row r="465" ht="12.75" customHeight="1">
      <c r="A465" s="31"/>
      <c r="B465" s="53"/>
      <c r="C465" s="26"/>
      <c r="D465" s="54"/>
      <c r="E465" s="25"/>
      <c r="F465" s="25"/>
      <c r="G465" s="25"/>
      <c r="H465" s="25"/>
      <c r="I465" s="25"/>
      <c r="J465" s="25"/>
      <c r="K465" s="25"/>
      <c r="L465" s="25"/>
      <c r="M465" s="25"/>
      <c r="N465" s="25"/>
      <c r="O465" s="25"/>
      <c r="P465" s="25"/>
      <c r="Q465" s="26"/>
      <c r="R465" s="26"/>
      <c r="S465" s="26"/>
      <c r="T465" s="26"/>
      <c r="U465" s="26"/>
      <c r="V465" s="26"/>
      <c r="W465" s="26"/>
      <c r="X465" s="26"/>
      <c r="Y465" s="26"/>
      <c r="Z465" s="26"/>
    </row>
    <row r="466" ht="12.75" customHeight="1">
      <c r="A466" s="31"/>
      <c r="B466" s="53"/>
      <c r="C466" s="26"/>
      <c r="D466" s="54"/>
      <c r="E466" s="25"/>
      <c r="F466" s="25"/>
      <c r="G466" s="25"/>
      <c r="H466" s="25"/>
      <c r="I466" s="25"/>
      <c r="J466" s="25"/>
      <c r="K466" s="25"/>
      <c r="L466" s="25"/>
      <c r="M466" s="25"/>
      <c r="N466" s="25"/>
      <c r="O466" s="25"/>
      <c r="P466" s="25"/>
      <c r="Q466" s="26"/>
      <c r="R466" s="26"/>
      <c r="S466" s="26"/>
      <c r="T466" s="26"/>
      <c r="U466" s="26"/>
      <c r="V466" s="26"/>
      <c r="W466" s="26"/>
      <c r="X466" s="26"/>
      <c r="Y466" s="26"/>
      <c r="Z466" s="26"/>
    </row>
    <row r="467" ht="12.75" customHeight="1">
      <c r="A467" s="31"/>
      <c r="B467" s="53"/>
      <c r="C467" s="26"/>
      <c r="D467" s="54"/>
      <c r="E467" s="25"/>
      <c r="F467" s="25"/>
      <c r="G467" s="25"/>
      <c r="H467" s="25"/>
      <c r="I467" s="25"/>
      <c r="J467" s="25"/>
      <c r="K467" s="25"/>
      <c r="L467" s="25"/>
      <c r="M467" s="25"/>
      <c r="N467" s="25"/>
      <c r="O467" s="25"/>
      <c r="P467" s="25"/>
      <c r="Q467" s="26"/>
      <c r="R467" s="26"/>
      <c r="S467" s="26"/>
      <c r="T467" s="26"/>
      <c r="U467" s="26"/>
      <c r="V467" s="26"/>
      <c r="W467" s="26"/>
      <c r="X467" s="26"/>
      <c r="Y467" s="26"/>
      <c r="Z467" s="26"/>
    </row>
    <row r="468" ht="12.75" customHeight="1">
      <c r="A468" s="31"/>
      <c r="B468" s="53"/>
      <c r="C468" s="26"/>
      <c r="D468" s="54"/>
      <c r="E468" s="25"/>
      <c r="F468" s="25"/>
      <c r="G468" s="25"/>
      <c r="H468" s="25"/>
      <c r="I468" s="25"/>
      <c r="J468" s="25"/>
      <c r="K468" s="25"/>
      <c r="L468" s="25"/>
      <c r="M468" s="25"/>
      <c r="N468" s="25"/>
      <c r="O468" s="25"/>
      <c r="P468" s="25"/>
      <c r="Q468" s="26"/>
      <c r="R468" s="26"/>
      <c r="S468" s="26"/>
      <c r="T468" s="26"/>
      <c r="U468" s="26"/>
      <c r="V468" s="26"/>
      <c r="W468" s="26"/>
      <c r="X468" s="26"/>
      <c r="Y468" s="26"/>
      <c r="Z468" s="26"/>
    </row>
    <row r="469" ht="12.75" customHeight="1">
      <c r="A469" s="31"/>
      <c r="B469" s="53"/>
      <c r="C469" s="26"/>
      <c r="D469" s="54"/>
      <c r="E469" s="25"/>
      <c r="F469" s="25"/>
      <c r="G469" s="25"/>
      <c r="H469" s="25"/>
      <c r="I469" s="25"/>
      <c r="J469" s="25"/>
      <c r="K469" s="25"/>
      <c r="L469" s="25"/>
      <c r="M469" s="25"/>
      <c r="N469" s="25"/>
      <c r="O469" s="25"/>
      <c r="P469" s="25"/>
      <c r="Q469" s="26"/>
      <c r="R469" s="26"/>
      <c r="S469" s="26"/>
      <c r="T469" s="26"/>
      <c r="U469" s="26"/>
      <c r="V469" s="26"/>
      <c r="W469" s="26"/>
      <c r="X469" s="26"/>
      <c r="Y469" s="26"/>
      <c r="Z469" s="26"/>
    </row>
    <row r="470" ht="12.75" customHeight="1">
      <c r="A470" s="31"/>
      <c r="B470" s="53"/>
      <c r="C470" s="26"/>
      <c r="D470" s="54"/>
      <c r="E470" s="25"/>
      <c r="F470" s="25"/>
      <c r="G470" s="25"/>
      <c r="H470" s="25"/>
      <c r="I470" s="25"/>
      <c r="J470" s="25"/>
      <c r="K470" s="25"/>
      <c r="L470" s="25"/>
      <c r="M470" s="25"/>
      <c r="N470" s="25"/>
      <c r="O470" s="25"/>
      <c r="P470" s="25"/>
      <c r="Q470" s="26"/>
      <c r="R470" s="26"/>
      <c r="S470" s="26"/>
      <c r="T470" s="26"/>
      <c r="U470" s="26"/>
      <c r="V470" s="26"/>
      <c r="W470" s="26"/>
      <c r="X470" s="26"/>
      <c r="Y470" s="26"/>
      <c r="Z470" s="26"/>
    </row>
    <row r="471" ht="12.75" customHeight="1">
      <c r="A471" s="31"/>
      <c r="B471" s="53"/>
      <c r="C471" s="26"/>
      <c r="D471" s="54"/>
      <c r="E471" s="25"/>
      <c r="F471" s="25"/>
      <c r="G471" s="25"/>
      <c r="H471" s="25"/>
      <c r="I471" s="25"/>
      <c r="J471" s="25"/>
      <c r="K471" s="25"/>
      <c r="L471" s="25"/>
      <c r="M471" s="25"/>
      <c r="N471" s="25"/>
      <c r="O471" s="25"/>
      <c r="P471" s="25"/>
      <c r="Q471" s="26"/>
      <c r="R471" s="26"/>
      <c r="S471" s="26"/>
      <c r="T471" s="26"/>
      <c r="U471" s="26"/>
      <c r="V471" s="26"/>
      <c r="W471" s="26"/>
      <c r="X471" s="26"/>
      <c r="Y471" s="26"/>
      <c r="Z471" s="26"/>
    </row>
    <row r="472" ht="12.75" customHeight="1">
      <c r="A472" s="31"/>
      <c r="B472" s="53"/>
      <c r="C472" s="26"/>
      <c r="D472" s="54"/>
      <c r="E472" s="25"/>
      <c r="F472" s="25"/>
      <c r="G472" s="25"/>
      <c r="H472" s="25"/>
      <c r="I472" s="25"/>
      <c r="J472" s="25"/>
      <c r="K472" s="25"/>
      <c r="L472" s="25"/>
      <c r="M472" s="25"/>
      <c r="N472" s="25"/>
      <c r="O472" s="25"/>
      <c r="P472" s="25"/>
      <c r="Q472" s="26"/>
      <c r="R472" s="26"/>
      <c r="S472" s="26"/>
      <c r="T472" s="26"/>
      <c r="U472" s="26"/>
      <c r="V472" s="26"/>
      <c r="W472" s="26"/>
      <c r="X472" s="26"/>
      <c r="Y472" s="26"/>
      <c r="Z472" s="26"/>
    </row>
    <row r="473" ht="12.75" customHeight="1">
      <c r="A473" s="31"/>
      <c r="B473" s="53"/>
      <c r="C473" s="26"/>
      <c r="D473" s="54"/>
      <c r="E473" s="25"/>
      <c r="F473" s="25"/>
      <c r="G473" s="25"/>
      <c r="H473" s="25"/>
      <c r="I473" s="25"/>
      <c r="J473" s="25"/>
      <c r="K473" s="25"/>
      <c r="L473" s="25"/>
      <c r="M473" s="25"/>
      <c r="N473" s="25"/>
      <c r="O473" s="25"/>
      <c r="P473" s="25"/>
      <c r="Q473" s="26"/>
      <c r="R473" s="26"/>
      <c r="S473" s="26"/>
      <c r="T473" s="26"/>
      <c r="U473" s="26"/>
      <c r="V473" s="26"/>
      <c r="W473" s="26"/>
      <c r="X473" s="26"/>
      <c r="Y473" s="26"/>
      <c r="Z473" s="26"/>
    </row>
    <row r="474" ht="12.75" customHeight="1">
      <c r="A474" s="31"/>
      <c r="B474" s="53"/>
      <c r="C474" s="26"/>
      <c r="D474" s="54"/>
      <c r="E474" s="25"/>
      <c r="F474" s="25"/>
      <c r="G474" s="25"/>
      <c r="H474" s="25"/>
      <c r="I474" s="25"/>
      <c r="J474" s="25"/>
      <c r="K474" s="25"/>
      <c r="L474" s="25"/>
      <c r="M474" s="25"/>
      <c r="N474" s="25"/>
      <c r="O474" s="25"/>
      <c r="P474" s="25"/>
      <c r="Q474" s="26"/>
      <c r="R474" s="26"/>
      <c r="S474" s="26"/>
      <c r="T474" s="26"/>
      <c r="U474" s="26"/>
      <c r="V474" s="26"/>
      <c r="W474" s="26"/>
      <c r="X474" s="26"/>
      <c r="Y474" s="26"/>
      <c r="Z474" s="26"/>
    </row>
    <row r="475" ht="12.75" customHeight="1">
      <c r="A475" s="31"/>
      <c r="B475" s="53"/>
      <c r="C475" s="26"/>
      <c r="D475" s="54"/>
      <c r="E475" s="25"/>
      <c r="F475" s="25"/>
      <c r="G475" s="25"/>
      <c r="H475" s="25"/>
      <c r="I475" s="25"/>
      <c r="J475" s="25"/>
      <c r="K475" s="25"/>
      <c r="L475" s="25"/>
      <c r="M475" s="25"/>
      <c r="N475" s="25"/>
      <c r="O475" s="25"/>
      <c r="P475" s="25"/>
      <c r="Q475" s="26"/>
      <c r="R475" s="26"/>
      <c r="S475" s="26"/>
      <c r="T475" s="26"/>
      <c r="U475" s="26"/>
      <c r="V475" s="26"/>
      <c r="W475" s="26"/>
      <c r="X475" s="26"/>
      <c r="Y475" s="26"/>
      <c r="Z475" s="26"/>
    </row>
    <row r="476" ht="12.75" customHeight="1">
      <c r="A476" s="31"/>
      <c r="B476" s="53"/>
      <c r="C476" s="26"/>
      <c r="D476" s="54"/>
      <c r="E476" s="25"/>
      <c r="F476" s="25"/>
      <c r="G476" s="25"/>
      <c r="H476" s="25"/>
      <c r="I476" s="25"/>
      <c r="J476" s="25"/>
      <c r="K476" s="25"/>
      <c r="L476" s="25"/>
      <c r="M476" s="25"/>
      <c r="N476" s="25"/>
      <c r="O476" s="25"/>
      <c r="P476" s="25"/>
      <c r="Q476" s="26"/>
      <c r="R476" s="26"/>
      <c r="S476" s="26"/>
      <c r="T476" s="26"/>
      <c r="U476" s="26"/>
      <c r="V476" s="26"/>
      <c r="W476" s="26"/>
      <c r="X476" s="26"/>
      <c r="Y476" s="26"/>
      <c r="Z476" s="26"/>
    </row>
    <row r="477" ht="12.75" customHeight="1">
      <c r="A477" s="31"/>
      <c r="B477" s="53"/>
      <c r="C477" s="26"/>
      <c r="D477" s="54"/>
      <c r="E477" s="25"/>
      <c r="F477" s="25"/>
      <c r="G477" s="25"/>
      <c r="H477" s="25"/>
      <c r="I477" s="25"/>
      <c r="J477" s="25"/>
      <c r="K477" s="25"/>
      <c r="L477" s="25"/>
      <c r="M477" s="25"/>
      <c r="N477" s="25"/>
      <c r="O477" s="25"/>
      <c r="P477" s="25"/>
      <c r="Q477" s="26"/>
      <c r="R477" s="26"/>
      <c r="S477" s="26"/>
      <c r="T477" s="26"/>
      <c r="U477" s="26"/>
      <c r="V477" s="26"/>
      <c r="W477" s="26"/>
      <c r="X477" s="26"/>
      <c r="Y477" s="26"/>
      <c r="Z477" s="26"/>
    </row>
    <row r="478" ht="12.75" customHeight="1">
      <c r="A478" s="31"/>
      <c r="B478" s="53"/>
      <c r="C478" s="26"/>
      <c r="D478" s="54"/>
      <c r="E478" s="25"/>
      <c r="F478" s="25"/>
      <c r="G478" s="25"/>
      <c r="H478" s="25"/>
      <c r="I478" s="25"/>
      <c r="J478" s="25"/>
      <c r="K478" s="25"/>
      <c r="L478" s="25"/>
      <c r="M478" s="25"/>
      <c r="N478" s="25"/>
      <c r="O478" s="25"/>
      <c r="P478" s="25"/>
      <c r="Q478" s="26"/>
      <c r="R478" s="26"/>
      <c r="S478" s="26"/>
      <c r="T478" s="26"/>
      <c r="U478" s="26"/>
      <c r="V478" s="26"/>
      <c r="W478" s="26"/>
      <c r="X478" s="26"/>
      <c r="Y478" s="26"/>
      <c r="Z478" s="26"/>
    </row>
    <row r="479" ht="12.75" customHeight="1">
      <c r="A479" s="31"/>
      <c r="B479" s="53"/>
      <c r="C479" s="26"/>
      <c r="D479" s="54"/>
      <c r="E479" s="25"/>
      <c r="F479" s="25"/>
      <c r="G479" s="25"/>
      <c r="H479" s="25"/>
      <c r="I479" s="25"/>
      <c r="J479" s="25"/>
      <c r="K479" s="25"/>
      <c r="L479" s="25"/>
      <c r="M479" s="25"/>
      <c r="N479" s="25"/>
      <c r="O479" s="25"/>
      <c r="P479" s="25"/>
      <c r="Q479" s="26"/>
      <c r="R479" s="26"/>
      <c r="S479" s="26"/>
      <c r="T479" s="26"/>
      <c r="U479" s="26"/>
      <c r="V479" s="26"/>
      <c r="W479" s="26"/>
      <c r="X479" s="26"/>
      <c r="Y479" s="26"/>
      <c r="Z479" s="26"/>
    </row>
    <row r="480" ht="12.75" customHeight="1">
      <c r="A480" s="31"/>
      <c r="B480" s="53"/>
      <c r="C480" s="26"/>
      <c r="D480" s="54"/>
      <c r="E480" s="25"/>
      <c r="F480" s="25"/>
      <c r="G480" s="25"/>
      <c r="H480" s="25"/>
      <c r="I480" s="25"/>
      <c r="J480" s="25"/>
      <c r="K480" s="25"/>
      <c r="L480" s="25"/>
      <c r="M480" s="25"/>
      <c r="N480" s="25"/>
      <c r="O480" s="25"/>
      <c r="P480" s="25"/>
      <c r="Q480" s="26"/>
      <c r="R480" s="26"/>
      <c r="S480" s="26"/>
      <c r="T480" s="26"/>
      <c r="U480" s="26"/>
      <c r="V480" s="26"/>
      <c r="W480" s="26"/>
      <c r="X480" s="26"/>
      <c r="Y480" s="26"/>
      <c r="Z480" s="26"/>
    </row>
    <row r="481" ht="12.75" customHeight="1">
      <c r="A481" s="31"/>
      <c r="B481" s="53"/>
      <c r="C481" s="26"/>
      <c r="D481" s="54"/>
      <c r="E481" s="25"/>
      <c r="F481" s="25"/>
      <c r="G481" s="25"/>
      <c r="H481" s="25"/>
      <c r="I481" s="25"/>
      <c r="J481" s="25"/>
      <c r="K481" s="25"/>
      <c r="L481" s="25"/>
      <c r="M481" s="25"/>
      <c r="N481" s="25"/>
      <c r="O481" s="25"/>
      <c r="P481" s="25"/>
      <c r="Q481" s="26"/>
      <c r="R481" s="26"/>
      <c r="S481" s="26"/>
      <c r="T481" s="26"/>
      <c r="U481" s="26"/>
      <c r="V481" s="26"/>
      <c r="W481" s="26"/>
      <c r="X481" s="26"/>
      <c r="Y481" s="26"/>
      <c r="Z481" s="26"/>
    </row>
    <row r="482" ht="12.75" customHeight="1">
      <c r="A482" s="31"/>
      <c r="B482" s="53"/>
      <c r="C482" s="26"/>
      <c r="D482" s="54"/>
      <c r="E482" s="25"/>
      <c r="F482" s="25"/>
      <c r="G482" s="25"/>
      <c r="H482" s="25"/>
      <c r="I482" s="25"/>
      <c r="J482" s="25"/>
      <c r="K482" s="25"/>
      <c r="L482" s="25"/>
      <c r="M482" s="25"/>
      <c r="N482" s="25"/>
      <c r="O482" s="25"/>
      <c r="P482" s="25"/>
      <c r="Q482" s="26"/>
      <c r="R482" s="26"/>
      <c r="S482" s="26"/>
      <c r="T482" s="26"/>
      <c r="U482" s="26"/>
      <c r="V482" s="26"/>
      <c r="W482" s="26"/>
      <c r="X482" s="26"/>
      <c r="Y482" s="26"/>
      <c r="Z482" s="26"/>
    </row>
    <row r="483" ht="12.75" customHeight="1">
      <c r="A483" s="31"/>
      <c r="B483" s="53"/>
      <c r="C483" s="26"/>
      <c r="D483" s="54"/>
      <c r="E483" s="25"/>
      <c r="F483" s="25"/>
      <c r="G483" s="25"/>
      <c r="H483" s="25"/>
      <c r="I483" s="25"/>
      <c r="J483" s="25"/>
      <c r="K483" s="25"/>
      <c r="L483" s="25"/>
      <c r="M483" s="25"/>
      <c r="N483" s="25"/>
      <c r="O483" s="25"/>
      <c r="P483" s="25"/>
      <c r="Q483" s="26"/>
      <c r="R483" s="26"/>
      <c r="S483" s="26"/>
      <c r="T483" s="26"/>
      <c r="U483" s="26"/>
      <c r="V483" s="26"/>
      <c r="W483" s="26"/>
      <c r="X483" s="26"/>
      <c r="Y483" s="26"/>
      <c r="Z483" s="26"/>
    </row>
    <row r="484" ht="12.75" customHeight="1">
      <c r="A484" s="31"/>
      <c r="B484" s="53"/>
      <c r="C484" s="26"/>
      <c r="D484" s="54"/>
      <c r="E484" s="25"/>
      <c r="F484" s="25"/>
      <c r="G484" s="25"/>
      <c r="H484" s="25"/>
      <c r="I484" s="25"/>
      <c r="J484" s="25"/>
      <c r="K484" s="25"/>
      <c r="L484" s="25"/>
      <c r="M484" s="25"/>
      <c r="N484" s="25"/>
      <c r="O484" s="25"/>
      <c r="P484" s="25"/>
      <c r="Q484" s="26"/>
      <c r="R484" s="26"/>
      <c r="S484" s="26"/>
      <c r="T484" s="26"/>
      <c r="U484" s="26"/>
      <c r="V484" s="26"/>
      <c r="W484" s="26"/>
      <c r="X484" s="26"/>
      <c r="Y484" s="26"/>
      <c r="Z484" s="26"/>
    </row>
    <row r="485" ht="12.75" customHeight="1">
      <c r="A485" s="31"/>
      <c r="B485" s="53"/>
      <c r="C485" s="26"/>
      <c r="D485" s="54"/>
      <c r="E485" s="25"/>
      <c r="F485" s="25"/>
      <c r="G485" s="25"/>
      <c r="H485" s="25"/>
      <c r="I485" s="25"/>
      <c r="J485" s="25"/>
      <c r="K485" s="25"/>
      <c r="L485" s="25"/>
      <c r="M485" s="25"/>
      <c r="N485" s="25"/>
      <c r="O485" s="25"/>
      <c r="P485" s="25"/>
      <c r="Q485" s="26"/>
      <c r="R485" s="26"/>
      <c r="S485" s="26"/>
      <c r="T485" s="26"/>
      <c r="U485" s="26"/>
      <c r="V485" s="26"/>
      <c r="W485" s="26"/>
      <c r="X485" s="26"/>
      <c r="Y485" s="26"/>
      <c r="Z485" s="26"/>
    </row>
    <row r="486" ht="12.75" customHeight="1">
      <c r="A486" s="31"/>
      <c r="B486" s="53"/>
      <c r="C486" s="26"/>
      <c r="D486" s="54"/>
      <c r="E486" s="25"/>
      <c r="F486" s="25"/>
      <c r="G486" s="25"/>
      <c r="H486" s="25"/>
      <c r="I486" s="25"/>
      <c r="J486" s="25"/>
      <c r="K486" s="25"/>
      <c r="L486" s="25"/>
      <c r="M486" s="25"/>
      <c r="N486" s="25"/>
      <c r="O486" s="25"/>
      <c r="P486" s="25"/>
      <c r="Q486" s="26"/>
      <c r="R486" s="26"/>
      <c r="S486" s="26"/>
      <c r="T486" s="26"/>
      <c r="U486" s="26"/>
      <c r="V486" s="26"/>
      <c r="W486" s="26"/>
      <c r="X486" s="26"/>
      <c r="Y486" s="26"/>
      <c r="Z486" s="26"/>
    </row>
    <row r="487" ht="12.75" customHeight="1">
      <c r="A487" s="31"/>
      <c r="B487" s="53"/>
      <c r="C487" s="26"/>
      <c r="D487" s="54"/>
      <c r="E487" s="25"/>
      <c r="F487" s="25"/>
      <c r="G487" s="25"/>
      <c r="H487" s="25"/>
      <c r="I487" s="25"/>
      <c r="J487" s="25"/>
      <c r="K487" s="25"/>
      <c r="L487" s="25"/>
      <c r="M487" s="25"/>
      <c r="N487" s="25"/>
      <c r="O487" s="25"/>
      <c r="P487" s="25"/>
      <c r="Q487" s="26"/>
      <c r="R487" s="26"/>
      <c r="S487" s="26"/>
      <c r="T487" s="26"/>
      <c r="U487" s="26"/>
      <c r="V487" s="26"/>
      <c r="W487" s="26"/>
      <c r="X487" s="26"/>
      <c r="Y487" s="26"/>
      <c r="Z487" s="26"/>
    </row>
    <row r="488" ht="12.75" customHeight="1">
      <c r="A488" s="31"/>
      <c r="B488" s="53"/>
      <c r="C488" s="26"/>
      <c r="D488" s="54"/>
      <c r="E488" s="25"/>
      <c r="F488" s="25"/>
      <c r="G488" s="25"/>
      <c r="H488" s="25"/>
      <c r="I488" s="25"/>
      <c r="J488" s="25"/>
      <c r="K488" s="25"/>
      <c r="L488" s="25"/>
      <c r="M488" s="25"/>
      <c r="N488" s="25"/>
      <c r="O488" s="25"/>
      <c r="P488" s="25"/>
      <c r="Q488" s="26"/>
      <c r="R488" s="26"/>
      <c r="S488" s="26"/>
      <c r="T488" s="26"/>
      <c r="U488" s="26"/>
      <c r="V488" s="26"/>
      <c r="W488" s="26"/>
      <c r="X488" s="26"/>
      <c r="Y488" s="26"/>
      <c r="Z488" s="26"/>
    </row>
    <row r="489" ht="12.75" customHeight="1">
      <c r="A489" s="31"/>
      <c r="B489" s="53"/>
      <c r="C489" s="26"/>
      <c r="D489" s="54"/>
      <c r="E489" s="25"/>
      <c r="F489" s="25"/>
      <c r="G489" s="25"/>
      <c r="H489" s="25"/>
      <c r="I489" s="25"/>
      <c r="J489" s="25"/>
      <c r="K489" s="25"/>
      <c r="L489" s="25"/>
      <c r="M489" s="25"/>
      <c r="N489" s="25"/>
      <c r="O489" s="25"/>
      <c r="P489" s="25"/>
      <c r="Q489" s="26"/>
      <c r="R489" s="26"/>
      <c r="S489" s="26"/>
      <c r="T489" s="26"/>
      <c r="U489" s="26"/>
      <c r="V489" s="26"/>
      <c r="W489" s="26"/>
      <c r="X489" s="26"/>
      <c r="Y489" s="26"/>
      <c r="Z489" s="26"/>
    </row>
    <row r="490" ht="12.75" customHeight="1">
      <c r="A490" s="31"/>
      <c r="B490" s="53"/>
      <c r="C490" s="26"/>
      <c r="D490" s="54"/>
      <c r="E490" s="25"/>
      <c r="F490" s="25"/>
      <c r="G490" s="25"/>
      <c r="H490" s="25"/>
      <c r="I490" s="25"/>
      <c r="J490" s="25"/>
      <c r="K490" s="25"/>
      <c r="L490" s="25"/>
      <c r="M490" s="25"/>
      <c r="N490" s="25"/>
      <c r="O490" s="25"/>
      <c r="P490" s="25"/>
      <c r="Q490" s="26"/>
      <c r="R490" s="26"/>
      <c r="S490" s="26"/>
      <c r="T490" s="26"/>
      <c r="U490" s="26"/>
      <c r="V490" s="26"/>
      <c r="W490" s="26"/>
      <c r="X490" s="26"/>
      <c r="Y490" s="26"/>
      <c r="Z490" s="26"/>
    </row>
    <row r="491" ht="12.75" customHeight="1">
      <c r="A491" s="31"/>
      <c r="B491" s="53"/>
      <c r="C491" s="26"/>
      <c r="D491" s="54"/>
      <c r="E491" s="25"/>
      <c r="F491" s="25"/>
      <c r="G491" s="25"/>
      <c r="H491" s="25"/>
      <c r="I491" s="25"/>
      <c r="J491" s="25"/>
      <c r="K491" s="25"/>
      <c r="L491" s="25"/>
      <c r="M491" s="25"/>
      <c r="N491" s="25"/>
      <c r="O491" s="25"/>
      <c r="P491" s="25"/>
      <c r="Q491" s="26"/>
      <c r="R491" s="26"/>
      <c r="S491" s="26"/>
      <c r="T491" s="26"/>
      <c r="U491" s="26"/>
      <c r="V491" s="26"/>
      <c r="W491" s="26"/>
      <c r="X491" s="26"/>
      <c r="Y491" s="26"/>
      <c r="Z491" s="26"/>
    </row>
    <row r="492" ht="12.75" customHeight="1">
      <c r="A492" s="31"/>
      <c r="B492" s="53"/>
      <c r="C492" s="26"/>
      <c r="D492" s="54"/>
      <c r="E492" s="25"/>
      <c r="F492" s="25"/>
      <c r="G492" s="25"/>
      <c r="H492" s="25"/>
      <c r="I492" s="25"/>
      <c r="J492" s="25"/>
      <c r="K492" s="25"/>
      <c r="L492" s="25"/>
      <c r="M492" s="25"/>
      <c r="N492" s="25"/>
      <c r="O492" s="25"/>
      <c r="P492" s="25"/>
      <c r="Q492" s="26"/>
      <c r="R492" s="26"/>
      <c r="S492" s="26"/>
      <c r="T492" s="26"/>
      <c r="U492" s="26"/>
      <c r="V492" s="26"/>
      <c r="W492" s="26"/>
      <c r="X492" s="26"/>
      <c r="Y492" s="26"/>
      <c r="Z492" s="26"/>
    </row>
    <row r="493" ht="12.75" customHeight="1">
      <c r="A493" s="31"/>
      <c r="B493" s="53"/>
      <c r="C493" s="26"/>
      <c r="D493" s="54"/>
      <c r="E493" s="25"/>
      <c r="F493" s="25"/>
      <c r="G493" s="25"/>
      <c r="H493" s="25"/>
      <c r="I493" s="25"/>
      <c r="J493" s="25"/>
      <c r="K493" s="25"/>
      <c r="L493" s="25"/>
      <c r="M493" s="25"/>
      <c r="N493" s="25"/>
      <c r="O493" s="25"/>
      <c r="P493" s="25"/>
      <c r="Q493" s="26"/>
      <c r="R493" s="26"/>
      <c r="S493" s="26"/>
      <c r="T493" s="26"/>
      <c r="U493" s="26"/>
      <c r="V493" s="26"/>
      <c r="W493" s="26"/>
      <c r="X493" s="26"/>
      <c r="Y493" s="26"/>
      <c r="Z493" s="26"/>
    </row>
    <row r="494" ht="12.75" customHeight="1">
      <c r="A494" s="31"/>
      <c r="B494" s="53"/>
      <c r="C494" s="26"/>
      <c r="D494" s="54"/>
      <c r="E494" s="25"/>
      <c r="F494" s="25"/>
      <c r="G494" s="25"/>
      <c r="H494" s="25"/>
      <c r="I494" s="25"/>
      <c r="J494" s="25"/>
      <c r="K494" s="25"/>
      <c r="L494" s="25"/>
      <c r="M494" s="25"/>
      <c r="N494" s="25"/>
      <c r="O494" s="25"/>
      <c r="P494" s="25"/>
      <c r="Q494" s="26"/>
      <c r="R494" s="26"/>
      <c r="S494" s="26"/>
      <c r="T494" s="26"/>
      <c r="U494" s="26"/>
      <c r="V494" s="26"/>
      <c r="W494" s="26"/>
      <c r="X494" s="26"/>
      <c r="Y494" s="26"/>
      <c r="Z494" s="26"/>
    </row>
    <row r="495" ht="12.75" customHeight="1">
      <c r="A495" s="31"/>
      <c r="B495" s="53"/>
      <c r="C495" s="26"/>
      <c r="D495" s="54"/>
      <c r="E495" s="25"/>
      <c r="F495" s="25"/>
      <c r="G495" s="25"/>
      <c r="H495" s="25"/>
      <c r="I495" s="25"/>
      <c r="J495" s="25"/>
      <c r="K495" s="25"/>
      <c r="L495" s="25"/>
      <c r="M495" s="25"/>
      <c r="N495" s="25"/>
      <c r="O495" s="25"/>
      <c r="P495" s="25"/>
      <c r="Q495" s="26"/>
      <c r="R495" s="26"/>
      <c r="S495" s="26"/>
      <c r="T495" s="26"/>
      <c r="U495" s="26"/>
      <c r="V495" s="26"/>
      <c r="W495" s="26"/>
      <c r="X495" s="26"/>
      <c r="Y495" s="26"/>
      <c r="Z495" s="26"/>
    </row>
    <row r="496" ht="12.75" customHeight="1">
      <c r="A496" s="31"/>
      <c r="B496" s="53"/>
      <c r="C496" s="26"/>
      <c r="D496" s="54"/>
      <c r="E496" s="25"/>
      <c r="F496" s="25"/>
      <c r="G496" s="25"/>
      <c r="H496" s="25"/>
      <c r="I496" s="25"/>
      <c r="J496" s="25"/>
      <c r="K496" s="25"/>
      <c r="L496" s="25"/>
      <c r="M496" s="25"/>
      <c r="N496" s="25"/>
      <c r="O496" s="25"/>
      <c r="P496" s="25"/>
      <c r="Q496" s="26"/>
      <c r="R496" s="26"/>
      <c r="S496" s="26"/>
      <c r="T496" s="26"/>
      <c r="U496" s="26"/>
      <c r="V496" s="26"/>
      <c r="W496" s="26"/>
      <c r="X496" s="26"/>
      <c r="Y496" s="26"/>
      <c r="Z496" s="26"/>
    </row>
    <row r="497" ht="12.75" customHeight="1">
      <c r="A497" s="31"/>
      <c r="B497" s="53"/>
      <c r="C497" s="26"/>
      <c r="D497" s="54"/>
      <c r="E497" s="25"/>
      <c r="F497" s="25"/>
      <c r="G497" s="25"/>
      <c r="H497" s="25"/>
      <c r="I497" s="25"/>
      <c r="J497" s="25"/>
      <c r="K497" s="25"/>
      <c r="L497" s="25"/>
      <c r="M497" s="25"/>
      <c r="N497" s="25"/>
      <c r="O497" s="25"/>
      <c r="P497" s="25"/>
      <c r="Q497" s="26"/>
      <c r="R497" s="26"/>
      <c r="S497" s="26"/>
      <c r="T497" s="26"/>
      <c r="U497" s="26"/>
      <c r="V497" s="26"/>
      <c r="W497" s="26"/>
      <c r="X497" s="26"/>
      <c r="Y497" s="26"/>
      <c r="Z497" s="26"/>
    </row>
    <row r="498" ht="12.75" customHeight="1">
      <c r="A498" s="31"/>
      <c r="B498" s="53"/>
      <c r="C498" s="26"/>
      <c r="D498" s="54"/>
      <c r="E498" s="25"/>
      <c r="F498" s="25"/>
      <c r="G498" s="25"/>
      <c r="H498" s="25"/>
      <c r="I498" s="25"/>
      <c r="J498" s="25"/>
      <c r="K498" s="25"/>
      <c r="L498" s="25"/>
      <c r="M498" s="25"/>
      <c r="N498" s="25"/>
      <c r="O498" s="25"/>
      <c r="P498" s="25"/>
      <c r="Q498" s="26"/>
      <c r="R498" s="26"/>
      <c r="S498" s="26"/>
      <c r="T498" s="26"/>
      <c r="U498" s="26"/>
      <c r="V498" s="26"/>
      <c r="W498" s="26"/>
      <c r="X498" s="26"/>
      <c r="Y498" s="26"/>
      <c r="Z498" s="26"/>
    </row>
    <row r="499" ht="12.75" customHeight="1">
      <c r="A499" s="31"/>
      <c r="B499" s="53"/>
      <c r="C499" s="26"/>
      <c r="D499" s="54"/>
      <c r="E499" s="25"/>
      <c r="F499" s="25"/>
      <c r="G499" s="25"/>
      <c r="H499" s="25"/>
      <c r="I499" s="25"/>
      <c r="J499" s="25"/>
      <c r="K499" s="25"/>
      <c r="L499" s="25"/>
      <c r="M499" s="25"/>
      <c r="N499" s="25"/>
      <c r="O499" s="25"/>
      <c r="P499" s="25"/>
      <c r="Q499" s="26"/>
      <c r="R499" s="26"/>
      <c r="S499" s="26"/>
      <c r="T499" s="26"/>
      <c r="U499" s="26"/>
      <c r="V499" s="26"/>
      <c r="W499" s="26"/>
      <c r="X499" s="26"/>
      <c r="Y499" s="26"/>
      <c r="Z499" s="26"/>
    </row>
    <row r="500" ht="12.75" customHeight="1">
      <c r="A500" s="31"/>
      <c r="B500" s="53"/>
      <c r="C500" s="26"/>
      <c r="D500" s="54"/>
      <c r="E500" s="25"/>
      <c r="F500" s="25"/>
      <c r="G500" s="25"/>
      <c r="H500" s="25"/>
      <c r="I500" s="25"/>
      <c r="J500" s="25"/>
      <c r="K500" s="25"/>
      <c r="L500" s="25"/>
      <c r="M500" s="25"/>
      <c r="N500" s="25"/>
      <c r="O500" s="25"/>
      <c r="P500" s="25"/>
      <c r="Q500" s="26"/>
      <c r="R500" s="26"/>
      <c r="S500" s="26"/>
      <c r="T500" s="26"/>
      <c r="U500" s="26"/>
      <c r="V500" s="26"/>
      <c r="W500" s="26"/>
      <c r="X500" s="26"/>
      <c r="Y500" s="26"/>
      <c r="Z500" s="26"/>
    </row>
    <row r="501" ht="12.75" customHeight="1">
      <c r="A501" s="31"/>
      <c r="B501" s="53"/>
      <c r="C501" s="26"/>
      <c r="D501" s="54"/>
      <c r="E501" s="25"/>
      <c r="F501" s="25"/>
      <c r="G501" s="25"/>
      <c r="H501" s="25"/>
      <c r="I501" s="25"/>
      <c r="J501" s="25"/>
      <c r="K501" s="25"/>
      <c r="L501" s="25"/>
      <c r="M501" s="25"/>
      <c r="N501" s="25"/>
      <c r="O501" s="25"/>
      <c r="P501" s="25"/>
      <c r="Q501" s="26"/>
      <c r="R501" s="26"/>
      <c r="S501" s="26"/>
      <c r="T501" s="26"/>
      <c r="U501" s="26"/>
      <c r="V501" s="26"/>
      <c r="W501" s="26"/>
      <c r="X501" s="26"/>
      <c r="Y501" s="26"/>
      <c r="Z501" s="26"/>
    </row>
    <row r="502" ht="12.75" customHeight="1">
      <c r="A502" s="31"/>
      <c r="B502" s="53"/>
      <c r="C502" s="26"/>
      <c r="D502" s="54"/>
      <c r="E502" s="25"/>
      <c r="F502" s="25"/>
      <c r="G502" s="25"/>
      <c r="H502" s="25"/>
      <c r="I502" s="25"/>
      <c r="J502" s="25"/>
      <c r="K502" s="25"/>
      <c r="L502" s="25"/>
      <c r="M502" s="25"/>
      <c r="N502" s="25"/>
      <c r="O502" s="25"/>
      <c r="P502" s="25"/>
      <c r="Q502" s="26"/>
      <c r="R502" s="26"/>
      <c r="S502" s="26"/>
      <c r="T502" s="26"/>
      <c r="U502" s="26"/>
      <c r="V502" s="26"/>
      <c r="W502" s="26"/>
      <c r="X502" s="26"/>
      <c r="Y502" s="26"/>
      <c r="Z502" s="26"/>
    </row>
    <row r="503" ht="12.75" customHeight="1">
      <c r="A503" s="31"/>
      <c r="B503" s="53"/>
      <c r="C503" s="26"/>
      <c r="D503" s="54"/>
      <c r="E503" s="25"/>
      <c r="F503" s="25"/>
      <c r="G503" s="25"/>
      <c r="H503" s="25"/>
      <c r="I503" s="25"/>
      <c r="J503" s="25"/>
      <c r="K503" s="25"/>
      <c r="L503" s="25"/>
      <c r="M503" s="25"/>
      <c r="N503" s="25"/>
      <c r="O503" s="25"/>
      <c r="P503" s="25"/>
      <c r="Q503" s="26"/>
      <c r="R503" s="26"/>
      <c r="S503" s="26"/>
      <c r="T503" s="26"/>
      <c r="U503" s="26"/>
      <c r="V503" s="26"/>
      <c r="W503" s="26"/>
      <c r="X503" s="26"/>
      <c r="Y503" s="26"/>
      <c r="Z503" s="26"/>
    </row>
    <row r="504" ht="12.75" customHeight="1">
      <c r="A504" s="31"/>
      <c r="B504" s="53"/>
      <c r="C504" s="26"/>
      <c r="D504" s="54"/>
      <c r="E504" s="25"/>
      <c r="F504" s="25"/>
      <c r="G504" s="25"/>
      <c r="H504" s="25"/>
      <c r="I504" s="25"/>
      <c r="J504" s="25"/>
      <c r="K504" s="25"/>
      <c r="L504" s="25"/>
      <c r="M504" s="25"/>
      <c r="N504" s="25"/>
      <c r="O504" s="25"/>
      <c r="P504" s="25"/>
      <c r="Q504" s="26"/>
      <c r="R504" s="26"/>
      <c r="S504" s="26"/>
      <c r="T504" s="26"/>
      <c r="U504" s="26"/>
      <c r="V504" s="26"/>
      <c r="W504" s="26"/>
      <c r="X504" s="26"/>
      <c r="Y504" s="26"/>
      <c r="Z504" s="26"/>
    </row>
    <row r="505" ht="12.75" customHeight="1">
      <c r="A505" s="31"/>
      <c r="B505" s="53"/>
      <c r="C505" s="26"/>
      <c r="D505" s="54"/>
      <c r="E505" s="25"/>
      <c r="F505" s="25"/>
      <c r="G505" s="25"/>
      <c r="H505" s="25"/>
      <c r="I505" s="25"/>
      <c r="J505" s="25"/>
      <c r="K505" s="25"/>
      <c r="L505" s="25"/>
      <c r="M505" s="25"/>
      <c r="N505" s="25"/>
      <c r="O505" s="25"/>
      <c r="P505" s="25"/>
      <c r="Q505" s="26"/>
      <c r="R505" s="26"/>
      <c r="S505" s="26"/>
      <c r="T505" s="26"/>
      <c r="U505" s="26"/>
      <c r="V505" s="26"/>
      <c r="W505" s="26"/>
      <c r="X505" s="26"/>
      <c r="Y505" s="26"/>
      <c r="Z505" s="26"/>
    </row>
    <row r="506" ht="12.75" customHeight="1">
      <c r="A506" s="31"/>
      <c r="B506" s="53"/>
      <c r="C506" s="26"/>
      <c r="D506" s="54"/>
      <c r="E506" s="25"/>
      <c r="F506" s="25"/>
      <c r="G506" s="25"/>
      <c r="H506" s="25"/>
      <c r="I506" s="25"/>
      <c r="J506" s="25"/>
      <c r="K506" s="25"/>
      <c r="L506" s="25"/>
      <c r="M506" s="25"/>
      <c r="N506" s="25"/>
      <c r="O506" s="25"/>
      <c r="P506" s="25"/>
      <c r="Q506" s="26"/>
      <c r="R506" s="26"/>
      <c r="S506" s="26"/>
      <c r="T506" s="26"/>
      <c r="U506" s="26"/>
      <c r="V506" s="26"/>
      <c r="W506" s="26"/>
      <c r="X506" s="26"/>
      <c r="Y506" s="26"/>
      <c r="Z506" s="26"/>
    </row>
    <row r="507" ht="12.75" customHeight="1">
      <c r="A507" s="31"/>
      <c r="B507" s="53"/>
      <c r="C507" s="26"/>
      <c r="D507" s="54"/>
      <c r="E507" s="25"/>
      <c r="F507" s="25"/>
      <c r="G507" s="25"/>
      <c r="H507" s="25"/>
      <c r="I507" s="25"/>
      <c r="J507" s="25"/>
      <c r="K507" s="25"/>
      <c r="L507" s="25"/>
      <c r="M507" s="25"/>
      <c r="N507" s="25"/>
      <c r="O507" s="25"/>
      <c r="P507" s="25"/>
      <c r="Q507" s="26"/>
      <c r="R507" s="26"/>
      <c r="S507" s="26"/>
      <c r="T507" s="26"/>
      <c r="U507" s="26"/>
      <c r="V507" s="26"/>
      <c r="W507" s="26"/>
      <c r="X507" s="26"/>
      <c r="Y507" s="26"/>
      <c r="Z507" s="26"/>
    </row>
    <row r="508" ht="12.75" customHeight="1">
      <c r="A508" s="31"/>
      <c r="B508" s="53"/>
      <c r="C508" s="26"/>
      <c r="D508" s="54"/>
      <c r="E508" s="25"/>
      <c r="F508" s="25"/>
      <c r="G508" s="25"/>
      <c r="H508" s="25"/>
      <c r="I508" s="25"/>
      <c r="J508" s="25"/>
      <c r="K508" s="25"/>
      <c r="L508" s="25"/>
      <c r="M508" s="25"/>
      <c r="N508" s="25"/>
      <c r="O508" s="25"/>
      <c r="P508" s="25"/>
      <c r="Q508" s="26"/>
      <c r="R508" s="26"/>
      <c r="S508" s="26"/>
      <c r="T508" s="26"/>
      <c r="U508" s="26"/>
      <c r="V508" s="26"/>
      <c r="W508" s="26"/>
      <c r="X508" s="26"/>
      <c r="Y508" s="26"/>
      <c r="Z508" s="26"/>
    </row>
    <row r="509" ht="12.75" customHeight="1">
      <c r="A509" s="31"/>
      <c r="B509" s="53"/>
      <c r="C509" s="26"/>
      <c r="D509" s="54"/>
      <c r="E509" s="25"/>
      <c r="F509" s="25"/>
      <c r="G509" s="25"/>
      <c r="H509" s="25"/>
      <c r="I509" s="25"/>
      <c r="J509" s="25"/>
      <c r="K509" s="25"/>
      <c r="L509" s="25"/>
      <c r="M509" s="25"/>
      <c r="N509" s="25"/>
      <c r="O509" s="25"/>
      <c r="P509" s="25"/>
      <c r="Q509" s="26"/>
      <c r="R509" s="26"/>
      <c r="S509" s="26"/>
      <c r="T509" s="26"/>
      <c r="U509" s="26"/>
      <c r="V509" s="26"/>
      <c r="W509" s="26"/>
      <c r="X509" s="26"/>
      <c r="Y509" s="26"/>
      <c r="Z509" s="26"/>
    </row>
    <row r="510" ht="12.75" customHeight="1">
      <c r="A510" s="31"/>
      <c r="B510" s="53"/>
      <c r="C510" s="26"/>
      <c r="D510" s="54"/>
      <c r="E510" s="25"/>
      <c r="F510" s="25"/>
      <c r="G510" s="25"/>
      <c r="H510" s="25"/>
      <c r="I510" s="25"/>
      <c r="J510" s="25"/>
      <c r="K510" s="25"/>
      <c r="L510" s="25"/>
      <c r="M510" s="25"/>
      <c r="N510" s="25"/>
      <c r="O510" s="25"/>
      <c r="P510" s="25"/>
      <c r="Q510" s="26"/>
      <c r="R510" s="26"/>
      <c r="S510" s="26"/>
      <c r="T510" s="26"/>
      <c r="U510" s="26"/>
      <c r="V510" s="26"/>
      <c r="W510" s="26"/>
      <c r="X510" s="26"/>
      <c r="Y510" s="26"/>
      <c r="Z510" s="26"/>
    </row>
    <row r="511" ht="12.75" customHeight="1">
      <c r="A511" s="31"/>
      <c r="B511" s="53"/>
      <c r="C511" s="26"/>
      <c r="D511" s="54"/>
      <c r="E511" s="25"/>
      <c r="F511" s="25"/>
      <c r="G511" s="25"/>
      <c r="H511" s="25"/>
      <c r="I511" s="25"/>
      <c r="J511" s="25"/>
      <c r="K511" s="25"/>
      <c r="L511" s="25"/>
      <c r="M511" s="25"/>
      <c r="N511" s="25"/>
      <c r="O511" s="25"/>
      <c r="P511" s="25"/>
      <c r="Q511" s="26"/>
      <c r="R511" s="26"/>
      <c r="S511" s="26"/>
      <c r="T511" s="26"/>
      <c r="U511" s="26"/>
      <c r="V511" s="26"/>
      <c r="W511" s="26"/>
      <c r="X511" s="26"/>
      <c r="Y511" s="26"/>
      <c r="Z511" s="26"/>
    </row>
    <row r="512" ht="12.75" customHeight="1">
      <c r="A512" s="31"/>
      <c r="B512" s="53"/>
      <c r="C512" s="26"/>
      <c r="D512" s="54"/>
      <c r="E512" s="25"/>
      <c r="F512" s="25"/>
      <c r="G512" s="25"/>
      <c r="H512" s="25"/>
      <c r="I512" s="25"/>
      <c r="J512" s="25"/>
      <c r="K512" s="25"/>
      <c r="L512" s="25"/>
      <c r="M512" s="25"/>
      <c r="N512" s="25"/>
      <c r="O512" s="25"/>
      <c r="P512" s="25"/>
      <c r="Q512" s="26"/>
      <c r="R512" s="26"/>
      <c r="S512" s="26"/>
      <c r="T512" s="26"/>
      <c r="U512" s="26"/>
      <c r="V512" s="26"/>
      <c r="W512" s="26"/>
      <c r="X512" s="26"/>
      <c r="Y512" s="26"/>
      <c r="Z512" s="26"/>
    </row>
    <row r="513" ht="12.75" customHeight="1">
      <c r="A513" s="31"/>
      <c r="B513" s="53"/>
      <c r="C513" s="26"/>
      <c r="D513" s="54"/>
      <c r="E513" s="25"/>
      <c r="F513" s="25"/>
      <c r="G513" s="25"/>
      <c r="H513" s="25"/>
      <c r="I513" s="25"/>
      <c r="J513" s="25"/>
      <c r="K513" s="25"/>
      <c r="L513" s="25"/>
      <c r="M513" s="25"/>
      <c r="N513" s="25"/>
      <c r="O513" s="25"/>
      <c r="P513" s="25"/>
      <c r="Q513" s="26"/>
      <c r="R513" s="26"/>
      <c r="S513" s="26"/>
      <c r="T513" s="26"/>
      <c r="U513" s="26"/>
      <c r="V513" s="26"/>
      <c r="W513" s="26"/>
      <c r="X513" s="26"/>
      <c r="Y513" s="26"/>
      <c r="Z513" s="26"/>
    </row>
    <row r="514" ht="12.75" customHeight="1">
      <c r="A514" s="31"/>
      <c r="B514" s="53"/>
      <c r="C514" s="26"/>
      <c r="D514" s="54"/>
      <c r="E514" s="25"/>
      <c r="F514" s="25"/>
      <c r="G514" s="25"/>
      <c r="H514" s="25"/>
      <c r="I514" s="25"/>
      <c r="J514" s="25"/>
      <c r="K514" s="25"/>
      <c r="L514" s="25"/>
      <c r="M514" s="25"/>
      <c r="N514" s="25"/>
      <c r="O514" s="25"/>
      <c r="P514" s="25"/>
      <c r="Q514" s="26"/>
      <c r="R514" s="26"/>
      <c r="S514" s="26"/>
      <c r="T514" s="26"/>
      <c r="U514" s="26"/>
      <c r="V514" s="26"/>
      <c r="W514" s="26"/>
      <c r="X514" s="26"/>
      <c r="Y514" s="26"/>
      <c r="Z514" s="26"/>
    </row>
    <row r="515" ht="12.75" customHeight="1">
      <c r="A515" s="31"/>
      <c r="B515" s="53"/>
      <c r="C515" s="26"/>
      <c r="D515" s="54"/>
      <c r="E515" s="25"/>
      <c r="F515" s="25"/>
      <c r="G515" s="25"/>
      <c r="H515" s="25"/>
      <c r="I515" s="25"/>
      <c r="J515" s="25"/>
      <c r="K515" s="25"/>
      <c r="L515" s="25"/>
      <c r="M515" s="25"/>
      <c r="N515" s="25"/>
      <c r="O515" s="25"/>
      <c r="P515" s="25"/>
      <c r="Q515" s="26"/>
      <c r="R515" s="26"/>
      <c r="S515" s="26"/>
      <c r="T515" s="26"/>
      <c r="U515" s="26"/>
      <c r="V515" s="26"/>
      <c r="W515" s="26"/>
      <c r="X515" s="26"/>
      <c r="Y515" s="26"/>
      <c r="Z515" s="26"/>
    </row>
    <row r="516" ht="12.75" customHeight="1">
      <c r="A516" s="31"/>
      <c r="B516" s="53"/>
      <c r="C516" s="26"/>
      <c r="D516" s="54"/>
      <c r="E516" s="25"/>
      <c r="F516" s="25"/>
      <c r="G516" s="25"/>
      <c r="H516" s="25"/>
      <c r="I516" s="25"/>
      <c r="J516" s="25"/>
      <c r="K516" s="25"/>
      <c r="L516" s="25"/>
      <c r="M516" s="25"/>
      <c r="N516" s="25"/>
      <c r="O516" s="25"/>
      <c r="P516" s="25"/>
      <c r="Q516" s="26"/>
      <c r="R516" s="26"/>
      <c r="S516" s="26"/>
      <c r="T516" s="26"/>
      <c r="U516" s="26"/>
      <c r="V516" s="26"/>
      <c r="W516" s="26"/>
      <c r="X516" s="26"/>
      <c r="Y516" s="26"/>
      <c r="Z516" s="26"/>
    </row>
    <row r="517" ht="12.75" customHeight="1">
      <c r="A517" s="31"/>
      <c r="B517" s="53"/>
      <c r="C517" s="26"/>
      <c r="D517" s="54"/>
      <c r="E517" s="25"/>
      <c r="F517" s="25"/>
      <c r="G517" s="25"/>
      <c r="H517" s="25"/>
      <c r="I517" s="25"/>
      <c r="J517" s="25"/>
      <c r="K517" s="25"/>
      <c r="L517" s="25"/>
      <c r="M517" s="25"/>
      <c r="N517" s="25"/>
      <c r="O517" s="25"/>
      <c r="P517" s="25"/>
      <c r="Q517" s="26"/>
      <c r="R517" s="26"/>
      <c r="S517" s="26"/>
      <c r="T517" s="26"/>
      <c r="U517" s="26"/>
      <c r="V517" s="26"/>
      <c r="W517" s="26"/>
      <c r="X517" s="26"/>
      <c r="Y517" s="26"/>
      <c r="Z517" s="26"/>
    </row>
    <row r="518" ht="12.75" customHeight="1">
      <c r="A518" s="31"/>
      <c r="B518" s="53"/>
      <c r="C518" s="26"/>
      <c r="D518" s="54"/>
      <c r="E518" s="25"/>
      <c r="F518" s="25"/>
      <c r="G518" s="25"/>
      <c r="H518" s="25"/>
      <c r="I518" s="25"/>
      <c r="J518" s="25"/>
      <c r="K518" s="25"/>
      <c r="L518" s="25"/>
      <c r="M518" s="25"/>
      <c r="N518" s="25"/>
      <c r="O518" s="25"/>
      <c r="P518" s="25"/>
      <c r="Q518" s="26"/>
      <c r="R518" s="26"/>
      <c r="S518" s="26"/>
      <c r="T518" s="26"/>
      <c r="U518" s="26"/>
      <c r="V518" s="26"/>
      <c r="W518" s="26"/>
      <c r="X518" s="26"/>
      <c r="Y518" s="26"/>
      <c r="Z518" s="26"/>
    </row>
    <row r="519" ht="12.75" customHeight="1">
      <c r="A519" s="31"/>
      <c r="B519" s="53"/>
      <c r="C519" s="26"/>
      <c r="D519" s="54"/>
      <c r="E519" s="25"/>
      <c r="F519" s="25"/>
      <c r="G519" s="25"/>
      <c r="H519" s="25"/>
      <c r="I519" s="25"/>
      <c r="J519" s="25"/>
      <c r="K519" s="25"/>
      <c r="L519" s="25"/>
      <c r="M519" s="25"/>
      <c r="N519" s="25"/>
      <c r="O519" s="25"/>
      <c r="P519" s="25"/>
      <c r="Q519" s="26"/>
      <c r="R519" s="26"/>
      <c r="S519" s="26"/>
      <c r="T519" s="26"/>
      <c r="U519" s="26"/>
      <c r="V519" s="26"/>
      <c r="W519" s="26"/>
      <c r="X519" s="26"/>
      <c r="Y519" s="26"/>
      <c r="Z519" s="26"/>
    </row>
    <row r="520" ht="12.75" customHeight="1">
      <c r="A520" s="31"/>
      <c r="B520" s="53"/>
      <c r="C520" s="26"/>
      <c r="D520" s="54"/>
      <c r="E520" s="25"/>
      <c r="F520" s="25"/>
      <c r="G520" s="25"/>
      <c r="H520" s="25"/>
      <c r="I520" s="25"/>
      <c r="J520" s="25"/>
      <c r="K520" s="25"/>
      <c r="L520" s="25"/>
      <c r="M520" s="25"/>
      <c r="N520" s="25"/>
      <c r="O520" s="25"/>
      <c r="P520" s="25"/>
      <c r="Q520" s="26"/>
      <c r="R520" s="26"/>
      <c r="S520" s="26"/>
      <c r="T520" s="26"/>
      <c r="U520" s="26"/>
      <c r="V520" s="26"/>
      <c r="W520" s="26"/>
      <c r="X520" s="26"/>
      <c r="Y520" s="26"/>
      <c r="Z520" s="26"/>
    </row>
    <row r="521" ht="12.75" customHeight="1">
      <c r="A521" s="31"/>
      <c r="B521" s="53"/>
      <c r="C521" s="26"/>
      <c r="D521" s="54"/>
      <c r="E521" s="25"/>
      <c r="F521" s="25"/>
      <c r="G521" s="25"/>
      <c r="H521" s="25"/>
      <c r="I521" s="25"/>
      <c r="J521" s="25"/>
      <c r="K521" s="25"/>
      <c r="L521" s="25"/>
      <c r="M521" s="25"/>
      <c r="N521" s="25"/>
      <c r="O521" s="25"/>
      <c r="P521" s="25"/>
      <c r="Q521" s="26"/>
      <c r="R521" s="26"/>
      <c r="S521" s="26"/>
      <c r="T521" s="26"/>
      <c r="U521" s="26"/>
      <c r="V521" s="26"/>
      <c r="W521" s="26"/>
      <c r="X521" s="26"/>
      <c r="Y521" s="26"/>
      <c r="Z521" s="26"/>
    </row>
    <row r="522" ht="12.75" customHeight="1">
      <c r="A522" s="31"/>
      <c r="B522" s="53"/>
      <c r="C522" s="26"/>
      <c r="D522" s="54"/>
      <c r="E522" s="25"/>
      <c r="F522" s="25"/>
      <c r="G522" s="25"/>
      <c r="H522" s="25"/>
      <c r="I522" s="25"/>
      <c r="J522" s="25"/>
      <c r="K522" s="25"/>
      <c r="L522" s="25"/>
      <c r="M522" s="25"/>
      <c r="N522" s="25"/>
      <c r="O522" s="25"/>
      <c r="P522" s="25"/>
      <c r="Q522" s="26"/>
      <c r="R522" s="26"/>
      <c r="S522" s="26"/>
      <c r="T522" s="26"/>
      <c r="U522" s="26"/>
      <c r="V522" s="26"/>
      <c r="W522" s="26"/>
      <c r="X522" s="26"/>
      <c r="Y522" s="26"/>
      <c r="Z522" s="26"/>
    </row>
    <row r="523" ht="12.75" customHeight="1">
      <c r="A523" s="31"/>
      <c r="B523" s="53"/>
      <c r="C523" s="26"/>
      <c r="D523" s="54"/>
      <c r="E523" s="25"/>
      <c r="F523" s="25"/>
      <c r="G523" s="25"/>
      <c r="H523" s="25"/>
      <c r="I523" s="25"/>
      <c r="J523" s="25"/>
      <c r="K523" s="25"/>
      <c r="L523" s="25"/>
      <c r="M523" s="25"/>
      <c r="N523" s="25"/>
      <c r="O523" s="25"/>
      <c r="P523" s="25"/>
      <c r="Q523" s="26"/>
      <c r="R523" s="26"/>
      <c r="S523" s="26"/>
      <c r="T523" s="26"/>
      <c r="U523" s="26"/>
      <c r="V523" s="26"/>
      <c r="W523" s="26"/>
      <c r="X523" s="26"/>
      <c r="Y523" s="26"/>
      <c r="Z523" s="26"/>
    </row>
    <row r="524" ht="12.75" customHeight="1">
      <c r="A524" s="31"/>
      <c r="B524" s="53"/>
      <c r="C524" s="26"/>
      <c r="D524" s="54"/>
      <c r="E524" s="25"/>
      <c r="F524" s="25"/>
      <c r="G524" s="25"/>
      <c r="H524" s="25"/>
      <c r="I524" s="25"/>
      <c r="J524" s="25"/>
      <c r="K524" s="25"/>
      <c r="L524" s="25"/>
      <c r="M524" s="25"/>
      <c r="N524" s="25"/>
      <c r="O524" s="25"/>
      <c r="P524" s="25"/>
      <c r="Q524" s="26"/>
      <c r="R524" s="26"/>
      <c r="S524" s="26"/>
      <c r="T524" s="26"/>
      <c r="U524" s="26"/>
      <c r="V524" s="26"/>
      <c r="W524" s="26"/>
      <c r="X524" s="26"/>
      <c r="Y524" s="26"/>
      <c r="Z524" s="26"/>
    </row>
    <row r="525" ht="12.75" customHeight="1">
      <c r="A525" s="31"/>
      <c r="B525" s="53"/>
      <c r="C525" s="26"/>
      <c r="D525" s="54"/>
      <c r="E525" s="25"/>
      <c r="F525" s="25"/>
      <c r="G525" s="25"/>
      <c r="H525" s="25"/>
      <c r="I525" s="25"/>
      <c r="J525" s="25"/>
      <c r="K525" s="25"/>
      <c r="L525" s="25"/>
      <c r="M525" s="25"/>
      <c r="N525" s="25"/>
      <c r="O525" s="25"/>
      <c r="P525" s="25"/>
      <c r="Q525" s="26"/>
      <c r="R525" s="26"/>
      <c r="S525" s="26"/>
      <c r="T525" s="26"/>
      <c r="U525" s="26"/>
      <c r="V525" s="26"/>
      <c r="W525" s="26"/>
      <c r="X525" s="26"/>
      <c r="Y525" s="26"/>
      <c r="Z525" s="26"/>
    </row>
    <row r="526" ht="12.75" customHeight="1">
      <c r="A526" s="31"/>
      <c r="B526" s="53"/>
      <c r="C526" s="26"/>
      <c r="D526" s="54"/>
      <c r="E526" s="25"/>
      <c r="F526" s="25"/>
      <c r="G526" s="25"/>
      <c r="H526" s="25"/>
      <c r="I526" s="25"/>
      <c r="J526" s="25"/>
      <c r="K526" s="25"/>
      <c r="L526" s="25"/>
      <c r="M526" s="25"/>
      <c r="N526" s="25"/>
      <c r="O526" s="25"/>
      <c r="P526" s="25"/>
      <c r="Q526" s="26"/>
      <c r="R526" s="26"/>
      <c r="S526" s="26"/>
      <c r="T526" s="26"/>
      <c r="U526" s="26"/>
      <c r="V526" s="26"/>
      <c r="W526" s="26"/>
      <c r="X526" s="26"/>
      <c r="Y526" s="26"/>
      <c r="Z526" s="26"/>
    </row>
    <row r="527" ht="12.75" customHeight="1">
      <c r="A527" s="31"/>
      <c r="B527" s="53"/>
      <c r="C527" s="26"/>
      <c r="D527" s="54"/>
      <c r="E527" s="25"/>
      <c r="F527" s="25"/>
      <c r="G527" s="25"/>
      <c r="H527" s="25"/>
      <c r="I527" s="25"/>
      <c r="J527" s="25"/>
      <c r="K527" s="25"/>
      <c r="L527" s="25"/>
      <c r="M527" s="25"/>
      <c r="N527" s="25"/>
      <c r="O527" s="25"/>
      <c r="P527" s="25"/>
      <c r="Q527" s="26"/>
      <c r="R527" s="26"/>
      <c r="S527" s="26"/>
      <c r="T527" s="26"/>
      <c r="U527" s="26"/>
      <c r="V527" s="26"/>
      <c r="W527" s="26"/>
      <c r="X527" s="26"/>
      <c r="Y527" s="26"/>
      <c r="Z527" s="26"/>
    </row>
    <row r="528" ht="12.75" customHeight="1">
      <c r="A528" s="31"/>
      <c r="B528" s="53"/>
      <c r="C528" s="26"/>
      <c r="D528" s="54"/>
      <c r="E528" s="25"/>
      <c r="F528" s="25"/>
      <c r="G528" s="25"/>
      <c r="H528" s="25"/>
      <c r="I528" s="25"/>
      <c r="J528" s="25"/>
      <c r="K528" s="25"/>
      <c r="L528" s="25"/>
      <c r="M528" s="25"/>
      <c r="N528" s="25"/>
      <c r="O528" s="25"/>
      <c r="P528" s="25"/>
      <c r="Q528" s="26"/>
      <c r="R528" s="26"/>
      <c r="S528" s="26"/>
      <c r="T528" s="26"/>
      <c r="U528" s="26"/>
      <c r="V528" s="26"/>
      <c r="W528" s="26"/>
      <c r="X528" s="26"/>
      <c r="Y528" s="26"/>
      <c r="Z528" s="26"/>
    </row>
    <row r="529" ht="12.75" customHeight="1">
      <c r="A529" s="31"/>
      <c r="B529" s="53"/>
      <c r="C529" s="26"/>
      <c r="D529" s="54"/>
      <c r="E529" s="25"/>
      <c r="F529" s="25"/>
      <c r="G529" s="25"/>
      <c r="H529" s="25"/>
      <c r="I529" s="25"/>
      <c r="J529" s="25"/>
      <c r="K529" s="25"/>
      <c r="L529" s="25"/>
      <c r="M529" s="25"/>
      <c r="N529" s="25"/>
      <c r="O529" s="25"/>
      <c r="P529" s="25"/>
      <c r="Q529" s="26"/>
      <c r="R529" s="26"/>
      <c r="S529" s="26"/>
      <c r="T529" s="26"/>
      <c r="U529" s="26"/>
      <c r="V529" s="26"/>
      <c r="W529" s="26"/>
      <c r="X529" s="26"/>
      <c r="Y529" s="26"/>
      <c r="Z529" s="26"/>
    </row>
    <row r="530" ht="12.75" customHeight="1">
      <c r="A530" s="31"/>
      <c r="B530" s="53"/>
      <c r="C530" s="26"/>
      <c r="D530" s="54"/>
      <c r="E530" s="25"/>
      <c r="F530" s="25"/>
      <c r="G530" s="25"/>
      <c r="H530" s="25"/>
      <c r="I530" s="25"/>
      <c r="J530" s="25"/>
      <c r="K530" s="25"/>
      <c r="L530" s="25"/>
      <c r="M530" s="25"/>
      <c r="N530" s="25"/>
      <c r="O530" s="25"/>
      <c r="P530" s="25"/>
      <c r="Q530" s="26"/>
      <c r="R530" s="26"/>
      <c r="S530" s="26"/>
      <c r="T530" s="26"/>
      <c r="U530" s="26"/>
      <c r="V530" s="26"/>
      <c r="W530" s="26"/>
      <c r="X530" s="26"/>
      <c r="Y530" s="26"/>
      <c r="Z530" s="26"/>
    </row>
    <row r="531" ht="12.75" customHeight="1">
      <c r="A531" s="31"/>
      <c r="B531" s="53"/>
      <c r="C531" s="26"/>
      <c r="D531" s="54"/>
      <c r="E531" s="25"/>
      <c r="F531" s="25"/>
      <c r="G531" s="25"/>
      <c r="H531" s="25"/>
      <c r="I531" s="25"/>
      <c r="J531" s="25"/>
      <c r="K531" s="25"/>
      <c r="L531" s="25"/>
      <c r="M531" s="25"/>
      <c r="N531" s="25"/>
      <c r="O531" s="25"/>
      <c r="P531" s="25"/>
      <c r="Q531" s="26"/>
      <c r="R531" s="26"/>
      <c r="S531" s="26"/>
      <c r="T531" s="26"/>
      <c r="U531" s="26"/>
      <c r="V531" s="26"/>
      <c r="W531" s="26"/>
      <c r="X531" s="26"/>
      <c r="Y531" s="26"/>
      <c r="Z531" s="26"/>
    </row>
    <row r="532" ht="12.75" customHeight="1">
      <c r="A532" s="31"/>
      <c r="B532" s="53"/>
      <c r="C532" s="26"/>
      <c r="D532" s="54"/>
      <c r="E532" s="25"/>
      <c r="F532" s="25"/>
      <c r="G532" s="25"/>
      <c r="H532" s="25"/>
      <c r="I532" s="25"/>
      <c r="J532" s="25"/>
      <c r="K532" s="25"/>
      <c r="L532" s="25"/>
      <c r="M532" s="25"/>
      <c r="N532" s="25"/>
      <c r="O532" s="25"/>
      <c r="P532" s="25"/>
      <c r="Q532" s="26"/>
      <c r="R532" s="26"/>
      <c r="S532" s="26"/>
      <c r="T532" s="26"/>
      <c r="U532" s="26"/>
      <c r="V532" s="26"/>
      <c r="W532" s="26"/>
      <c r="X532" s="26"/>
      <c r="Y532" s="26"/>
      <c r="Z532" s="26"/>
    </row>
    <row r="533" ht="12.75" customHeight="1">
      <c r="A533" s="31"/>
      <c r="B533" s="53"/>
      <c r="C533" s="26"/>
      <c r="D533" s="54"/>
      <c r="E533" s="25"/>
      <c r="F533" s="25"/>
      <c r="G533" s="25"/>
      <c r="H533" s="25"/>
      <c r="I533" s="25"/>
      <c r="J533" s="25"/>
      <c r="K533" s="25"/>
      <c r="L533" s="25"/>
      <c r="M533" s="25"/>
      <c r="N533" s="25"/>
      <c r="O533" s="25"/>
      <c r="P533" s="25"/>
      <c r="Q533" s="26"/>
      <c r="R533" s="26"/>
      <c r="S533" s="26"/>
      <c r="T533" s="26"/>
      <c r="U533" s="26"/>
      <c r="V533" s="26"/>
      <c r="W533" s="26"/>
      <c r="X533" s="26"/>
      <c r="Y533" s="26"/>
      <c r="Z533" s="26"/>
    </row>
    <row r="534" ht="12.75" customHeight="1">
      <c r="A534" s="31"/>
      <c r="B534" s="53"/>
      <c r="C534" s="26"/>
      <c r="D534" s="54"/>
      <c r="E534" s="25"/>
      <c r="F534" s="25"/>
      <c r="G534" s="25"/>
      <c r="H534" s="25"/>
      <c r="I534" s="25"/>
      <c r="J534" s="25"/>
      <c r="K534" s="25"/>
      <c r="L534" s="25"/>
      <c r="M534" s="25"/>
      <c r="N534" s="25"/>
      <c r="O534" s="25"/>
      <c r="P534" s="25"/>
      <c r="Q534" s="26"/>
      <c r="R534" s="26"/>
      <c r="S534" s="26"/>
      <c r="T534" s="26"/>
      <c r="U534" s="26"/>
      <c r="V534" s="26"/>
      <c r="W534" s="26"/>
      <c r="X534" s="26"/>
      <c r="Y534" s="26"/>
      <c r="Z534" s="26"/>
    </row>
    <row r="535" ht="12.75" customHeight="1">
      <c r="A535" s="31"/>
      <c r="B535" s="53"/>
      <c r="C535" s="26"/>
      <c r="D535" s="54"/>
      <c r="E535" s="25"/>
      <c r="F535" s="25"/>
      <c r="G535" s="25"/>
      <c r="H535" s="25"/>
      <c r="I535" s="25"/>
      <c r="J535" s="25"/>
      <c r="K535" s="25"/>
      <c r="L535" s="25"/>
      <c r="M535" s="25"/>
      <c r="N535" s="25"/>
      <c r="O535" s="25"/>
      <c r="P535" s="25"/>
      <c r="Q535" s="26"/>
      <c r="R535" s="26"/>
      <c r="S535" s="26"/>
      <c r="T535" s="26"/>
      <c r="U535" s="26"/>
      <c r="V535" s="26"/>
      <c r="W535" s="26"/>
      <c r="X535" s="26"/>
      <c r="Y535" s="26"/>
      <c r="Z535" s="26"/>
    </row>
    <row r="536" ht="12.75" customHeight="1">
      <c r="A536" s="31"/>
      <c r="B536" s="53"/>
      <c r="C536" s="26"/>
      <c r="D536" s="54"/>
      <c r="E536" s="25"/>
      <c r="F536" s="25"/>
      <c r="G536" s="25"/>
      <c r="H536" s="25"/>
      <c r="I536" s="25"/>
      <c r="J536" s="25"/>
      <c r="K536" s="25"/>
      <c r="L536" s="25"/>
      <c r="M536" s="25"/>
      <c r="N536" s="25"/>
      <c r="O536" s="25"/>
      <c r="P536" s="25"/>
      <c r="Q536" s="26"/>
      <c r="R536" s="26"/>
      <c r="S536" s="26"/>
      <c r="T536" s="26"/>
      <c r="U536" s="26"/>
      <c r="V536" s="26"/>
      <c r="W536" s="26"/>
      <c r="X536" s="26"/>
      <c r="Y536" s="26"/>
      <c r="Z536" s="26"/>
    </row>
    <row r="537" ht="12.75" customHeight="1">
      <c r="A537" s="31"/>
      <c r="B537" s="53"/>
      <c r="C537" s="26"/>
      <c r="D537" s="54"/>
      <c r="E537" s="25"/>
      <c r="F537" s="25"/>
      <c r="G537" s="25"/>
      <c r="H537" s="25"/>
      <c r="I537" s="25"/>
      <c r="J537" s="25"/>
      <c r="K537" s="25"/>
      <c r="L537" s="25"/>
      <c r="M537" s="25"/>
      <c r="N537" s="25"/>
      <c r="O537" s="25"/>
      <c r="P537" s="25"/>
      <c r="Q537" s="26"/>
      <c r="R537" s="26"/>
      <c r="S537" s="26"/>
      <c r="T537" s="26"/>
      <c r="U537" s="26"/>
      <c r="V537" s="26"/>
      <c r="W537" s="26"/>
      <c r="X537" s="26"/>
      <c r="Y537" s="26"/>
      <c r="Z537" s="26"/>
    </row>
    <row r="538" ht="12.75" customHeight="1">
      <c r="A538" s="31"/>
      <c r="B538" s="53"/>
      <c r="C538" s="26"/>
      <c r="D538" s="54"/>
      <c r="E538" s="25"/>
      <c r="F538" s="25"/>
      <c r="G538" s="25"/>
      <c r="H538" s="25"/>
      <c r="I538" s="25"/>
      <c r="J538" s="25"/>
      <c r="K538" s="25"/>
      <c r="L538" s="25"/>
      <c r="M538" s="25"/>
      <c r="N538" s="25"/>
      <c r="O538" s="25"/>
      <c r="P538" s="25"/>
      <c r="Q538" s="26"/>
      <c r="R538" s="26"/>
      <c r="S538" s="26"/>
      <c r="T538" s="26"/>
      <c r="U538" s="26"/>
      <c r="V538" s="26"/>
      <c r="W538" s="26"/>
      <c r="X538" s="26"/>
      <c r="Y538" s="26"/>
      <c r="Z538" s="26"/>
    </row>
    <row r="539" ht="12.75" customHeight="1">
      <c r="A539" s="31"/>
      <c r="B539" s="53"/>
      <c r="C539" s="26"/>
      <c r="D539" s="54"/>
      <c r="E539" s="25"/>
      <c r="F539" s="25"/>
      <c r="G539" s="25"/>
      <c r="H539" s="25"/>
      <c r="I539" s="25"/>
      <c r="J539" s="25"/>
      <c r="K539" s="25"/>
      <c r="L539" s="25"/>
      <c r="M539" s="25"/>
      <c r="N539" s="25"/>
      <c r="O539" s="25"/>
      <c r="P539" s="25"/>
      <c r="Q539" s="26"/>
      <c r="R539" s="26"/>
      <c r="S539" s="26"/>
      <c r="T539" s="26"/>
      <c r="U539" s="26"/>
      <c r="V539" s="26"/>
      <c r="W539" s="26"/>
      <c r="X539" s="26"/>
      <c r="Y539" s="26"/>
      <c r="Z539" s="26"/>
    </row>
    <row r="540" ht="12.75" customHeight="1">
      <c r="A540" s="31"/>
      <c r="B540" s="53"/>
      <c r="C540" s="26"/>
      <c r="D540" s="54"/>
      <c r="E540" s="25"/>
      <c r="F540" s="25"/>
      <c r="G540" s="25"/>
      <c r="H540" s="25"/>
      <c r="I540" s="25"/>
      <c r="J540" s="25"/>
      <c r="K540" s="25"/>
      <c r="L540" s="25"/>
      <c r="M540" s="25"/>
      <c r="N540" s="25"/>
      <c r="O540" s="25"/>
      <c r="P540" s="25"/>
      <c r="Q540" s="26"/>
      <c r="R540" s="26"/>
      <c r="S540" s="26"/>
      <c r="T540" s="26"/>
      <c r="U540" s="26"/>
      <c r="V540" s="26"/>
      <c r="W540" s="26"/>
      <c r="X540" s="26"/>
      <c r="Y540" s="26"/>
      <c r="Z540" s="26"/>
    </row>
    <row r="541" ht="12.75" customHeight="1">
      <c r="A541" s="31"/>
      <c r="B541" s="53"/>
      <c r="C541" s="26"/>
      <c r="D541" s="54"/>
      <c r="E541" s="25"/>
      <c r="F541" s="25"/>
      <c r="G541" s="25"/>
      <c r="H541" s="25"/>
      <c r="I541" s="25"/>
      <c r="J541" s="25"/>
      <c r="K541" s="25"/>
      <c r="L541" s="25"/>
      <c r="M541" s="25"/>
      <c r="N541" s="25"/>
      <c r="O541" s="25"/>
      <c r="P541" s="25"/>
      <c r="Q541" s="26"/>
      <c r="R541" s="26"/>
      <c r="S541" s="26"/>
      <c r="T541" s="26"/>
      <c r="U541" s="26"/>
      <c r="V541" s="26"/>
      <c r="W541" s="26"/>
      <c r="X541" s="26"/>
      <c r="Y541" s="26"/>
      <c r="Z541" s="26"/>
    </row>
    <row r="542" ht="12.75" customHeight="1">
      <c r="A542" s="31"/>
      <c r="B542" s="53"/>
      <c r="C542" s="26"/>
      <c r="D542" s="54"/>
      <c r="E542" s="25"/>
      <c r="F542" s="25"/>
      <c r="G542" s="25"/>
      <c r="H542" s="25"/>
      <c r="I542" s="25"/>
      <c r="J542" s="25"/>
      <c r="K542" s="25"/>
      <c r="L542" s="25"/>
      <c r="M542" s="25"/>
      <c r="N542" s="25"/>
      <c r="O542" s="25"/>
      <c r="P542" s="25"/>
      <c r="Q542" s="26"/>
      <c r="R542" s="26"/>
      <c r="S542" s="26"/>
      <c r="T542" s="26"/>
      <c r="U542" s="26"/>
      <c r="V542" s="26"/>
      <c r="W542" s="26"/>
      <c r="X542" s="26"/>
      <c r="Y542" s="26"/>
      <c r="Z542" s="26"/>
    </row>
    <row r="543" ht="12.75" customHeight="1">
      <c r="A543" s="31"/>
      <c r="B543" s="53"/>
      <c r="C543" s="26"/>
      <c r="D543" s="54"/>
      <c r="E543" s="25"/>
      <c r="F543" s="25"/>
      <c r="G543" s="25"/>
      <c r="H543" s="25"/>
      <c r="I543" s="25"/>
      <c r="J543" s="25"/>
      <c r="K543" s="25"/>
      <c r="L543" s="25"/>
      <c r="M543" s="25"/>
      <c r="N543" s="25"/>
      <c r="O543" s="25"/>
      <c r="P543" s="25"/>
      <c r="Q543" s="26"/>
      <c r="R543" s="26"/>
      <c r="S543" s="26"/>
      <c r="T543" s="26"/>
      <c r="U543" s="26"/>
      <c r="V543" s="26"/>
      <c r="W543" s="26"/>
      <c r="X543" s="26"/>
      <c r="Y543" s="26"/>
      <c r="Z543" s="26"/>
    </row>
    <row r="544" ht="12.75" customHeight="1">
      <c r="A544" s="31"/>
      <c r="B544" s="53"/>
      <c r="C544" s="26"/>
      <c r="D544" s="54"/>
      <c r="E544" s="25"/>
      <c r="F544" s="25"/>
      <c r="G544" s="25"/>
      <c r="H544" s="25"/>
      <c r="I544" s="25"/>
      <c r="J544" s="25"/>
      <c r="K544" s="25"/>
      <c r="L544" s="25"/>
      <c r="M544" s="25"/>
      <c r="N544" s="25"/>
      <c r="O544" s="25"/>
      <c r="P544" s="25"/>
      <c r="Q544" s="26"/>
      <c r="R544" s="26"/>
      <c r="S544" s="26"/>
      <c r="T544" s="26"/>
      <c r="U544" s="26"/>
      <c r="V544" s="26"/>
      <c r="W544" s="26"/>
      <c r="X544" s="26"/>
      <c r="Y544" s="26"/>
      <c r="Z544" s="26"/>
    </row>
    <row r="545" ht="12.75" customHeight="1">
      <c r="A545" s="31"/>
      <c r="B545" s="53"/>
      <c r="C545" s="26"/>
      <c r="D545" s="54"/>
      <c r="E545" s="25"/>
      <c r="F545" s="25"/>
      <c r="G545" s="25"/>
      <c r="H545" s="25"/>
      <c r="I545" s="25"/>
      <c r="J545" s="25"/>
      <c r="K545" s="25"/>
      <c r="L545" s="25"/>
      <c r="M545" s="25"/>
      <c r="N545" s="25"/>
      <c r="O545" s="25"/>
      <c r="P545" s="25"/>
      <c r="Q545" s="26"/>
      <c r="R545" s="26"/>
      <c r="S545" s="26"/>
      <c r="T545" s="26"/>
      <c r="U545" s="26"/>
      <c r="V545" s="26"/>
      <c r="W545" s="26"/>
      <c r="X545" s="26"/>
      <c r="Y545" s="26"/>
      <c r="Z545" s="26"/>
    </row>
    <row r="546" ht="12.75" customHeight="1">
      <c r="A546" s="31"/>
      <c r="B546" s="53"/>
      <c r="C546" s="26"/>
      <c r="D546" s="54"/>
      <c r="E546" s="25"/>
      <c r="F546" s="25"/>
      <c r="G546" s="25"/>
      <c r="H546" s="25"/>
      <c r="I546" s="25"/>
      <c r="J546" s="25"/>
      <c r="K546" s="25"/>
      <c r="L546" s="25"/>
      <c r="M546" s="25"/>
      <c r="N546" s="25"/>
      <c r="O546" s="25"/>
      <c r="P546" s="25"/>
      <c r="Q546" s="26"/>
      <c r="R546" s="26"/>
      <c r="S546" s="26"/>
      <c r="T546" s="26"/>
      <c r="U546" s="26"/>
      <c r="V546" s="26"/>
      <c r="W546" s="26"/>
      <c r="X546" s="26"/>
      <c r="Y546" s="26"/>
      <c r="Z546" s="26"/>
    </row>
    <row r="547" ht="12.75" customHeight="1">
      <c r="A547" s="31"/>
      <c r="B547" s="53"/>
      <c r="C547" s="26"/>
      <c r="D547" s="54"/>
      <c r="E547" s="25"/>
      <c r="F547" s="25"/>
      <c r="G547" s="25"/>
      <c r="H547" s="25"/>
      <c r="I547" s="25"/>
      <c r="J547" s="25"/>
      <c r="K547" s="25"/>
      <c r="L547" s="25"/>
      <c r="M547" s="25"/>
      <c r="N547" s="25"/>
      <c r="O547" s="25"/>
      <c r="P547" s="25"/>
      <c r="Q547" s="26"/>
      <c r="R547" s="26"/>
      <c r="S547" s="26"/>
      <c r="T547" s="26"/>
      <c r="U547" s="26"/>
      <c r="V547" s="26"/>
      <c r="W547" s="26"/>
      <c r="X547" s="26"/>
      <c r="Y547" s="26"/>
      <c r="Z547" s="26"/>
    </row>
    <row r="548" ht="12.75" customHeight="1">
      <c r="A548" s="31"/>
      <c r="B548" s="53"/>
      <c r="C548" s="26"/>
      <c r="D548" s="54"/>
      <c r="E548" s="25"/>
      <c r="F548" s="25"/>
      <c r="G548" s="25"/>
      <c r="H548" s="25"/>
      <c r="I548" s="25"/>
      <c r="J548" s="25"/>
      <c r="K548" s="25"/>
      <c r="L548" s="25"/>
      <c r="M548" s="25"/>
      <c r="N548" s="25"/>
      <c r="O548" s="25"/>
      <c r="P548" s="25"/>
      <c r="Q548" s="26"/>
      <c r="R548" s="26"/>
      <c r="S548" s="26"/>
      <c r="T548" s="26"/>
      <c r="U548" s="26"/>
      <c r="V548" s="26"/>
      <c r="W548" s="26"/>
      <c r="X548" s="26"/>
      <c r="Y548" s="26"/>
      <c r="Z548" s="26"/>
    </row>
    <row r="549" ht="12.75" customHeight="1">
      <c r="A549" s="31"/>
      <c r="B549" s="53"/>
      <c r="C549" s="26"/>
      <c r="D549" s="54"/>
      <c r="E549" s="25"/>
      <c r="F549" s="25"/>
      <c r="G549" s="25"/>
      <c r="H549" s="25"/>
      <c r="I549" s="25"/>
      <c r="J549" s="25"/>
      <c r="K549" s="25"/>
      <c r="L549" s="25"/>
      <c r="M549" s="25"/>
      <c r="N549" s="25"/>
      <c r="O549" s="25"/>
      <c r="P549" s="25"/>
      <c r="Q549" s="26"/>
      <c r="R549" s="26"/>
      <c r="S549" s="26"/>
      <c r="T549" s="26"/>
      <c r="U549" s="26"/>
      <c r="V549" s="26"/>
      <c r="W549" s="26"/>
      <c r="X549" s="26"/>
      <c r="Y549" s="26"/>
      <c r="Z549" s="26"/>
    </row>
    <row r="550" ht="12.75" customHeight="1">
      <c r="A550" s="31"/>
      <c r="B550" s="53"/>
      <c r="C550" s="26"/>
      <c r="D550" s="54"/>
      <c r="E550" s="25"/>
      <c r="F550" s="25"/>
      <c r="G550" s="25"/>
      <c r="H550" s="25"/>
      <c r="I550" s="25"/>
      <c r="J550" s="25"/>
      <c r="K550" s="25"/>
      <c r="L550" s="25"/>
      <c r="M550" s="25"/>
      <c r="N550" s="25"/>
      <c r="O550" s="25"/>
      <c r="P550" s="25"/>
      <c r="Q550" s="26"/>
      <c r="R550" s="26"/>
      <c r="S550" s="26"/>
      <c r="T550" s="26"/>
      <c r="U550" s="26"/>
      <c r="V550" s="26"/>
      <c r="W550" s="26"/>
      <c r="X550" s="26"/>
      <c r="Y550" s="26"/>
      <c r="Z550" s="26"/>
    </row>
    <row r="551" ht="12.75" customHeight="1">
      <c r="A551" s="31"/>
      <c r="B551" s="53"/>
      <c r="C551" s="26"/>
      <c r="D551" s="54"/>
      <c r="E551" s="25"/>
      <c r="F551" s="25"/>
      <c r="G551" s="25"/>
      <c r="H551" s="25"/>
      <c r="I551" s="25"/>
      <c r="J551" s="25"/>
      <c r="K551" s="25"/>
      <c r="L551" s="25"/>
      <c r="M551" s="25"/>
      <c r="N551" s="25"/>
      <c r="O551" s="25"/>
      <c r="P551" s="25"/>
      <c r="Q551" s="26"/>
      <c r="R551" s="26"/>
      <c r="S551" s="26"/>
      <c r="T551" s="26"/>
      <c r="U551" s="26"/>
      <c r="V551" s="26"/>
      <c r="W551" s="26"/>
      <c r="X551" s="26"/>
      <c r="Y551" s="26"/>
      <c r="Z551" s="26"/>
    </row>
    <row r="552" ht="12.75" customHeight="1">
      <c r="A552" s="31"/>
      <c r="B552" s="53"/>
      <c r="C552" s="26"/>
      <c r="D552" s="54"/>
      <c r="E552" s="25"/>
      <c r="F552" s="25"/>
      <c r="G552" s="25"/>
      <c r="H552" s="25"/>
      <c r="I552" s="25"/>
      <c r="J552" s="25"/>
      <c r="K552" s="25"/>
      <c r="L552" s="25"/>
      <c r="M552" s="25"/>
      <c r="N552" s="25"/>
      <c r="O552" s="25"/>
      <c r="P552" s="25"/>
      <c r="Q552" s="26"/>
      <c r="R552" s="26"/>
      <c r="S552" s="26"/>
      <c r="T552" s="26"/>
      <c r="U552" s="26"/>
      <c r="V552" s="26"/>
      <c r="W552" s="26"/>
      <c r="X552" s="26"/>
      <c r="Y552" s="26"/>
      <c r="Z552" s="26"/>
    </row>
    <row r="553" ht="12.75" customHeight="1">
      <c r="A553" s="31"/>
      <c r="B553" s="53"/>
      <c r="C553" s="26"/>
      <c r="D553" s="54"/>
      <c r="E553" s="25"/>
      <c r="F553" s="25"/>
      <c r="G553" s="25"/>
      <c r="H553" s="25"/>
      <c r="I553" s="25"/>
      <c r="J553" s="25"/>
      <c r="K553" s="25"/>
      <c r="L553" s="25"/>
      <c r="M553" s="25"/>
      <c r="N553" s="25"/>
      <c r="O553" s="25"/>
      <c r="P553" s="25"/>
      <c r="Q553" s="26"/>
      <c r="R553" s="26"/>
      <c r="S553" s="26"/>
      <c r="T553" s="26"/>
      <c r="U553" s="26"/>
      <c r="V553" s="26"/>
      <c r="W553" s="26"/>
      <c r="X553" s="26"/>
      <c r="Y553" s="26"/>
      <c r="Z553" s="26"/>
    </row>
    <row r="554" ht="12.75" customHeight="1">
      <c r="A554" s="31"/>
      <c r="B554" s="53"/>
      <c r="C554" s="26"/>
      <c r="D554" s="54"/>
      <c r="E554" s="25"/>
      <c r="F554" s="25"/>
      <c r="G554" s="25"/>
      <c r="H554" s="25"/>
      <c r="I554" s="25"/>
      <c r="J554" s="25"/>
      <c r="K554" s="25"/>
      <c r="L554" s="25"/>
      <c r="M554" s="25"/>
      <c r="N554" s="25"/>
      <c r="O554" s="25"/>
      <c r="P554" s="25"/>
      <c r="Q554" s="26"/>
      <c r="R554" s="26"/>
      <c r="S554" s="26"/>
      <c r="T554" s="26"/>
      <c r="U554" s="26"/>
      <c r="V554" s="26"/>
      <c r="W554" s="26"/>
      <c r="X554" s="26"/>
      <c r="Y554" s="26"/>
      <c r="Z554" s="26"/>
    </row>
    <row r="555" ht="12.75" customHeight="1">
      <c r="A555" s="31"/>
      <c r="B555" s="53"/>
      <c r="C555" s="26"/>
      <c r="D555" s="54"/>
      <c r="E555" s="25"/>
      <c r="F555" s="25"/>
      <c r="G555" s="25"/>
      <c r="H555" s="25"/>
      <c r="I555" s="25"/>
      <c r="J555" s="25"/>
      <c r="K555" s="25"/>
      <c r="L555" s="25"/>
      <c r="M555" s="25"/>
      <c r="N555" s="25"/>
      <c r="O555" s="25"/>
      <c r="P555" s="25"/>
      <c r="Q555" s="26"/>
      <c r="R555" s="26"/>
      <c r="S555" s="26"/>
      <c r="T555" s="26"/>
      <c r="U555" s="26"/>
      <c r="V555" s="26"/>
      <c r="W555" s="26"/>
      <c r="X555" s="26"/>
      <c r="Y555" s="26"/>
      <c r="Z555" s="26"/>
    </row>
    <row r="556" ht="12.75" customHeight="1">
      <c r="A556" s="31"/>
      <c r="B556" s="53"/>
      <c r="C556" s="26"/>
      <c r="D556" s="54"/>
      <c r="E556" s="25"/>
      <c r="F556" s="25"/>
      <c r="G556" s="25"/>
      <c r="H556" s="25"/>
      <c r="I556" s="25"/>
      <c r="J556" s="25"/>
      <c r="K556" s="25"/>
      <c r="L556" s="25"/>
      <c r="M556" s="25"/>
      <c r="N556" s="25"/>
      <c r="O556" s="25"/>
      <c r="P556" s="25"/>
      <c r="Q556" s="26"/>
      <c r="R556" s="26"/>
      <c r="S556" s="26"/>
      <c r="T556" s="26"/>
      <c r="U556" s="26"/>
      <c r="V556" s="26"/>
      <c r="W556" s="26"/>
      <c r="X556" s="26"/>
      <c r="Y556" s="26"/>
      <c r="Z556" s="26"/>
    </row>
    <row r="557" ht="12.75" customHeight="1">
      <c r="A557" s="31"/>
      <c r="B557" s="53"/>
      <c r="C557" s="26"/>
      <c r="D557" s="54"/>
      <c r="E557" s="25"/>
      <c r="F557" s="25"/>
      <c r="G557" s="25"/>
      <c r="H557" s="25"/>
      <c r="I557" s="25"/>
      <c r="J557" s="25"/>
      <c r="K557" s="25"/>
      <c r="L557" s="25"/>
      <c r="M557" s="25"/>
      <c r="N557" s="25"/>
      <c r="O557" s="25"/>
      <c r="P557" s="25"/>
      <c r="Q557" s="26"/>
      <c r="R557" s="26"/>
      <c r="S557" s="26"/>
      <c r="T557" s="26"/>
      <c r="U557" s="26"/>
      <c r="V557" s="26"/>
      <c r="W557" s="26"/>
      <c r="X557" s="26"/>
      <c r="Y557" s="26"/>
      <c r="Z557" s="26"/>
    </row>
    <row r="558" ht="12.75" customHeight="1">
      <c r="A558" s="31"/>
      <c r="B558" s="53"/>
      <c r="C558" s="26"/>
      <c r="D558" s="54"/>
      <c r="E558" s="25"/>
      <c r="F558" s="25"/>
      <c r="G558" s="25"/>
      <c r="H558" s="25"/>
      <c r="I558" s="25"/>
      <c r="J558" s="25"/>
      <c r="K558" s="25"/>
      <c r="L558" s="25"/>
      <c r="M558" s="25"/>
      <c r="N558" s="25"/>
      <c r="O558" s="25"/>
      <c r="P558" s="25"/>
      <c r="Q558" s="26"/>
      <c r="R558" s="26"/>
      <c r="S558" s="26"/>
      <c r="T558" s="26"/>
      <c r="U558" s="26"/>
      <c r="V558" s="26"/>
      <c r="W558" s="26"/>
      <c r="X558" s="26"/>
      <c r="Y558" s="26"/>
      <c r="Z558" s="26"/>
    </row>
    <row r="559" ht="12.75" customHeight="1">
      <c r="A559" s="31"/>
      <c r="B559" s="53"/>
      <c r="C559" s="26"/>
      <c r="D559" s="54"/>
      <c r="E559" s="25"/>
      <c r="F559" s="25"/>
      <c r="G559" s="25"/>
      <c r="H559" s="25"/>
      <c r="I559" s="25"/>
      <c r="J559" s="25"/>
      <c r="K559" s="25"/>
      <c r="L559" s="25"/>
      <c r="M559" s="25"/>
      <c r="N559" s="25"/>
      <c r="O559" s="25"/>
      <c r="P559" s="25"/>
      <c r="Q559" s="26"/>
      <c r="R559" s="26"/>
      <c r="S559" s="26"/>
      <c r="T559" s="26"/>
      <c r="U559" s="26"/>
      <c r="V559" s="26"/>
      <c r="W559" s="26"/>
      <c r="X559" s="26"/>
      <c r="Y559" s="26"/>
      <c r="Z559" s="26"/>
    </row>
    <row r="560" ht="12.75" customHeight="1">
      <c r="A560" s="31"/>
      <c r="B560" s="53"/>
      <c r="C560" s="26"/>
      <c r="D560" s="54"/>
      <c r="E560" s="25"/>
      <c r="F560" s="25"/>
      <c r="G560" s="25"/>
      <c r="H560" s="25"/>
      <c r="I560" s="25"/>
      <c r="J560" s="25"/>
      <c r="K560" s="25"/>
      <c r="L560" s="25"/>
      <c r="M560" s="25"/>
      <c r="N560" s="25"/>
      <c r="O560" s="25"/>
      <c r="P560" s="25"/>
      <c r="Q560" s="26"/>
      <c r="R560" s="26"/>
      <c r="S560" s="26"/>
      <c r="T560" s="26"/>
      <c r="U560" s="26"/>
      <c r="V560" s="26"/>
      <c r="W560" s="26"/>
      <c r="X560" s="26"/>
      <c r="Y560" s="26"/>
      <c r="Z560" s="26"/>
    </row>
    <row r="561" ht="12.75" customHeight="1">
      <c r="A561" s="31"/>
      <c r="B561" s="53"/>
      <c r="C561" s="26"/>
      <c r="D561" s="54"/>
      <c r="E561" s="25"/>
      <c r="F561" s="25"/>
      <c r="G561" s="25"/>
      <c r="H561" s="25"/>
      <c r="I561" s="25"/>
      <c r="J561" s="25"/>
      <c r="K561" s="25"/>
      <c r="L561" s="25"/>
      <c r="M561" s="25"/>
      <c r="N561" s="25"/>
      <c r="O561" s="25"/>
      <c r="P561" s="25"/>
      <c r="Q561" s="26"/>
      <c r="R561" s="26"/>
      <c r="S561" s="26"/>
      <c r="T561" s="26"/>
      <c r="U561" s="26"/>
      <c r="V561" s="26"/>
      <c r="W561" s="26"/>
      <c r="X561" s="26"/>
      <c r="Y561" s="26"/>
      <c r="Z561" s="26"/>
    </row>
    <row r="562" ht="12.75" customHeight="1">
      <c r="A562" s="31"/>
      <c r="B562" s="53"/>
      <c r="C562" s="26"/>
      <c r="D562" s="54"/>
      <c r="E562" s="25"/>
      <c r="F562" s="25"/>
      <c r="G562" s="25"/>
      <c r="H562" s="25"/>
      <c r="I562" s="25"/>
      <c r="J562" s="25"/>
      <c r="K562" s="25"/>
      <c r="L562" s="25"/>
      <c r="M562" s="25"/>
      <c r="N562" s="25"/>
      <c r="O562" s="25"/>
      <c r="P562" s="25"/>
      <c r="Q562" s="26"/>
      <c r="R562" s="26"/>
      <c r="S562" s="26"/>
      <c r="T562" s="26"/>
      <c r="U562" s="26"/>
      <c r="V562" s="26"/>
      <c r="W562" s="26"/>
      <c r="X562" s="26"/>
      <c r="Y562" s="26"/>
      <c r="Z562" s="26"/>
    </row>
    <row r="563" ht="12.75" customHeight="1">
      <c r="A563" s="31"/>
      <c r="B563" s="53"/>
      <c r="C563" s="26"/>
      <c r="D563" s="54"/>
      <c r="E563" s="25"/>
      <c r="F563" s="25"/>
      <c r="G563" s="25"/>
      <c r="H563" s="25"/>
      <c r="I563" s="25"/>
      <c r="J563" s="25"/>
      <c r="K563" s="25"/>
      <c r="L563" s="25"/>
      <c r="M563" s="25"/>
      <c r="N563" s="25"/>
      <c r="O563" s="25"/>
      <c r="P563" s="25"/>
      <c r="Q563" s="26"/>
      <c r="R563" s="26"/>
      <c r="S563" s="26"/>
      <c r="T563" s="26"/>
      <c r="U563" s="26"/>
      <c r="V563" s="26"/>
      <c r="W563" s="26"/>
      <c r="X563" s="26"/>
      <c r="Y563" s="26"/>
      <c r="Z563" s="26"/>
    </row>
    <row r="564" ht="12.75" customHeight="1">
      <c r="A564" s="31"/>
      <c r="B564" s="53"/>
      <c r="C564" s="26"/>
      <c r="D564" s="54"/>
      <c r="E564" s="25"/>
      <c r="F564" s="25"/>
      <c r="G564" s="25"/>
      <c r="H564" s="25"/>
      <c r="I564" s="25"/>
      <c r="J564" s="25"/>
      <c r="K564" s="25"/>
      <c r="L564" s="25"/>
      <c r="M564" s="25"/>
      <c r="N564" s="25"/>
      <c r="O564" s="25"/>
      <c r="P564" s="25"/>
      <c r="Q564" s="26"/>
      <c r="R564" s="26"/>
      <c r="S564" s="26"/>
      <c r="T564" s="26"/>
      <c r="U564" s="26"/>
      <c r="V564" s="26"/>
      <c r="W564" s="26"/>
      <c r="X564" s="26"/>
      <c r="Y564" s="26"/>
      <c r="Z564" s="26"/>
    </row>
    <row r="565" ht="12.75" customHeight="1">
      <c r="A565" s="31"/>
      <c r="B565" s="53"/>
      <c r="C565" s="26"/>
      <c r="D565" s="54"/>
      <c r="E565" s="25"/>
      <c r="F565" s="25"/>
      <c r="G565" s="25"/>
      <c r="H565" s="25"/>
      <c r="I565" s="25"/>
      <c r="J565" s="25"/>
      <c r="K565" s="25"/>
      <c r="L565" s="25"/>
      <c r="M565" s="25"/>
      <c r="N565" s="25"/>
      <c r="O565" s="25"/>
      <c r="P565" s="25"/>
      <c r="Q565" s="26"/>
      <c r="R565" s="26"/>
      <c r="S565" s="26"/>
      <c r="T565" s="26"/>
      <c r="U565" s="26"/>
      <c r="V565" s="26"/>
      <c r="W565" s="26"/>
      <c r="X565" s="26"/>
      <c r="Y565" s="26"/>
      <c r="Z565" s="26"/>
    </row>
    <row r="566" ht="12.75" customHeight="1">
      <c r="A566" s="31"/>
      <c r="B566" s="53"/>
      <c r="C566" s="26"/>
      <c r="D566" s="54"/>
      <c r="E566" s="25"/>
      <c r="F566" s="25"/>
      <c r="G566" s="25"/>
      <c r="H566" s="25"/>
      <c r="I566" s="25"/>
      <c r="J566" s="25"/>
      <c r="K566" s="25"/>
      <c r="L566" s="25"/>
      <c r="M566" s="25"/>
      <c r="N566" s="25"/>
      <c r="O566" s="25"/>
      <c r="P566" s="25"/>
      <c r="Q566" s="26"/>
      <c r="R566" s="26"/>
      <c r="S566" s="26"/>
      <c r="T566" s="26"/>
      <c r="U566" s="26"/>
      <c r="V566" s="26"/>
      <c r="W566" s="26"/>
      <c r="X566" s="26"/>
      <c r="Y566" s="26"/>
      <c r="Z566" s="26"/>
    </row>
    <row r="567" ht="12.75" customHeight="1">
      <c r="A567" s="31"/>
      <c r="B567" s="53"/>
      <c r="C567" s="26"/>
      <c r="D567" s="54"/>
      <c r="E567" s="25"/>
      <c r="F567" s="25"/>
      <c r="G567" s="25"/>
      <c r="H567" s="25"/>
      <c r="I567" s="25"/>
      <c r="J567" s="25"/>
      <c r="K567" s="25"/>
      <c r="L567" s="25"/>
      <c r="M567" s="25"/>
      <c r="N567" s="25"/>
      <c r="O567" s="25"/>
      <c r="P567" s="25"/>
      <c r="Q567" s="26"/>
      <c r="R567" s="26"/>
      <c r="S567" s="26"/>
      <c r="T567" s="26"/>
      <c r="U567" s="26"/>
      <c r="V567" s="26"/>
      <c r="W567" s="26"/>
      <c r="X567" s="26"/>
      <c r="Y567" s="26"/>
      <c r="Z567" s="26"/>
    </row>
    <row r="568" ht="12.75" customHeight="1">
      <c r="A568" s="31"/>
      <c r="B568" s="53"/>
      <c r="C568" s="26"/>
      <c r="D568" s="54"/>
      <c r="E568" s="25"/>
      <c r="F568" s="25"/>
      <c r="G568" s="25"/>
      <c r="H568" s="25"/>
      <c r="I568" s="25"/>
      <c r="J568" s="25"/>
      <c r="K568" s="25"/>
      <c r="L568" s="25"/>
      <c r="M568" s="25"/>
      <c r="N568" s="25"/>
      <c r="O568" s="25"/>
      <c r="P568" s="25"/>
      <c r="Q568" s="26"/>
      <c r="R568" s="26"/>
      <c r="S568" s="26"/>
      <c r="T568" s="26"/>
      <c r="U568" s="26"/>
      <c r="V568" s="26"/>
      <c r="W568" s="26"/>
      <c r="X568" s="26"/>
      <c r="Y568" s="26"/>
      <c r="Z568" s="26"/>
    </row>
    <row r="569" ht="12.75" customHeight="1">
      <c r="A569" s="31"/>
      <c r="B569" s="53"/>
      <c r="C569" s="26"/>
      <c r="D569" s="54"/>
      <c r="E569" s="25"/>
      <c r="F569" s="25"/>
      <c r="G569" s="25"/>
      <c r="H569" s="25"/>
      <c r="I569" s="25"/>
      <c r="J569" s="25"/>
      <c r="K569" s="25"/>
      <c r="L569" s="25"/>
      <c r="M569" s="25"/>
      <c r="N569" s="25"/>
      <c r="O569" s="25"/>
      <c r="P569" s="25"/>
      <c r="Q569" s="26"/>
      <c r="R569" s="26"/>
      <c r="S569" s="26"/>
      <c r="T569" s="26"/>
      <c r="U569" s="26"/>
      <c r="V569" s="26"/>
      <c r="W569" s="26"/>
      <c r="X569" s="26"/>
      <c r="Y569" s="26"/>
      <c r="Z569" s="26"/>
    </row>
    <row r="570" ht="12.75" customHeight="1">
      <c r="A570" s="31"/>
      <c r="B570" s="53"/>
      <c r="C570" s="26"/>
      <c r="D570" s="54"/>
      <c r="E570" s="25"/>
      <c r="F570" s="25"/>
      <c r="G570" s="25"/>
      <c r="H570" s="25"/>
      <c r="I570" s="25"/>
      <c r="J570" s="25"/>
      <c r="K570" s="25"/>
      <c r="L570" s="25"/>
      <c r="M570" s="25"/>
      <c r="N570" s="25"/>
      <c r="O570" s="25"/>
      <c r="P570" s="25"/>
      <c r="Q570" s="26"/>
      <c r="R570" s="26"/>
      <c r="S570" s="26"/>
      <c r="T570" s="26"/>
      <c r="U570" s="26"/>
      <c r="V570" s="26"/>
      <c r="W570" s="26"/>
      <c r="X570" s="26"/>
      <c r="Y570" s="26"/>
      <c r="Z570" s="26"/>
    </row>
    <row r="571" ht="12.75" customHeight="1">
      <c r="A571" s="31"/>
      <c r="B571" s="53"/>
      <c r="C571" s="26"/>
      <c r="D571" s="54"/>
      <c r="E571" s="25"/>
      <c r="F571" s="25"/>
      <c r="G571" s="25"/>
      <c r="H571" s="25"/>
      <c r="I571" s="25"/>
      <c r="J571" s="25"/>
      <c r="K571" s="25"/>
      <c r="L571" s="25"/>
      <c r="M571" s="25"/>
      <c r="N571" s="25"/>
      <c r="O571" s="25"/>
      <c r="P571" s="25"/>
      <c r="Q571" s="26"/>
      <c r="R571" s="26"/>
      <c r="S571" s="26"/>
      <c r="T571" s="26"/>
      <c r="U571" s="26"/>
      <c r="V571" s="26"/>
      <c r="W571" s="26"/>
      <c r="X571" s="26"/>
      <c r="Y571" s="26"/>
      <c r="Z571" s="26"/>
    </row>
    <row r="572" ht="12.75" customHeight="1">
      <c r="A572" s="31"/>
      <c r="B572" s="53"/>
      <c r="C572" s="26"/>
      <c r="D572" s="54"/>
      <c r="E572" s="25"/>
      <c r="F572" s="25"/>
      <c r="G572" s="25"/>
      <c r="H572" s="25"/>
      <c r="I572" s="25"/>
      <c r="J572" s="25"/>
      <c r="K572" s="25"/>
      <c r="L572" s="25"/>
      <c r="M572" s="25"/>
      <c r="N572" s="25"/>
      <c r="O572" s="25"/>
      <c r="P572" s="25"/>
      <c r="Q572" s="26"/>
      <c r="R572" s="26"/>
      <c r="S572" s="26"/>
      <c r="T572" s="26"/>
      <c r="U572" s="26"/>
      <c r="V572" s="26"/>
      <c r="W572" s="26"/>
      <c r="X572" s="26"/>
      <c r="Y572" s="26"/>
      <c r="Z572" s="26"/>
    </row>
    <row r="573" ht="12.75" customHeight="1">
      <c r="A573" s="31"/>
      <c r="B573" s="53"/>
      <c r="C573" s="26"/>
      <c r="D573" s="54"/>
      <c r="E573" s="25"/>
      <c r="F573" s="25"/>
      <c r="G573" s="25"/>
      <c r="H573" s="25"/>
      <c r="I573" s="25"/>
      <c r="J573" s="25"/>
      <c r="K573" s="25"/>
      <c r="L573" s="25"/>
      <c r="M573" s="25"/>
      <c r="N573" s="25"/>
      <c r="O573" s="25"/>
      <c r="P573" s="25"/>
      <c r="Q573" s="26"/>
      <c r="R573" s="26"/>
      <c r="S573" s="26"/>
      <c r="T573" s="26"/>
      <c r="U573" s="26"/>
      <c r="V573" s="26"/>
      <c r="W573" s="26"/>
      <c r="X573" s="26"/>
      <c r="Y573" s="26"/>
      <c r="Z573" s="26"/>
    </row>
    <row r="574" ht="12.75" customHeight="1">
      <c r="A574" s="31"/>
      <c r="B574" s="53"/>
      <c r="C574" s="26"/>
      <c r="D574" s="54"/>
      <c r="E574" s="25"/>
      <c r="F574" s="25"/>
      <c r="G574" s="25"/>
      <c r="H574" s="25"/>
      <c r="I574" s="25"/>
      <c r="J574" s="25"/>
      <c r="K574" s="25"/>
      <c r="L574" s="25"/>
      <c r="M574" s="25"/>
      <c r="N574" s="25"/>
      <c r="O574" s="25"/>
      <c r="P574" s="25"/>
      <c r="Q574" s="26"/>
      <c r="R574" s="26"/>
      <c r="S574" s="26"/>
      <c r="T574" s="26"/>
      <c r="U574" s="26"/>
      <c r="V574" s="26"/>
      <c r="W574" s="26"/>
      <c r="X574" s="26"/>
      <c r="Y574" s="26"/>
      <c r="Z574" s="26"/>
    </row>
    <row r="575" ht="12.75" customHeight="1">
      <c r="A575" s="31"/>
      <c r="B575" s="53"/>
      <c r="C575" s="26"/>
      <c r="D575" s="54"/>
      <c r="E575" s="25"/>
      <c r="F575" s="25"/>
      <c r="G575" s="25"/>
      <c r="H575" s="25"/>
      <c r="I575" s="25"/>
      <c r="J575" s="25"/>
      <c r="K575" s="25"/>
      <c r="L575" s="25"/>
      <c r="M575" s="25"/>
      <c r="N575" s="25"/>
      <c r="O575" s="25"/>
      <c r="P575" s="25"/>
      <c r="Q575" s="26"/>
      <c r="R575" s="26"/>
      <c r="S575" s="26"/>
      <c r="T575" s="26"/>
      <c r="U575" s="26"/>
      <c r="V575" s="26"/>
      <c r="W575" s="26"/>
      <c r="X575" s="26"/>
      <c r="Y575" s="26"/>
      <c r="Z575" s="26"/>
    </row>
    <row r="576" ht="12.75" customHeight="1">
      <c r="A576" s="31"/>
      <c r="B576" s="53"/>
      <c r="C576" s="26"/>
      <c r="D576" s="54"/>
      <c r="E576" s="25"/>
      <c r="F576" s="25"/>
      <c r="G576" s="25"/>
      <c r="H576" s="25"/>
      <c r="I576" s="25"/>
      <c r="J576" s="25"/>
      <c r="K576" s="25"/>
      <c r="L576" s="25"/>
      <c r="M576" s="25"/>
      <c r="N576" s="25"/>
      <c r="O576" s="25"/>
      <c r="P576" s="25"/>
      <c r="Q576" s="26"/>
      <c r="R576" s="26"/>
      <c r="S576" s="26"/>
      <c r="T576" s="26"/>
      <c r="U576" s="26"/>
      <c r="V576" s="26"/>
      <c r="W576" s="26"/>
      <c r="X576" s="26"/>
      <c r="Y576" s="26"/>
      <c r="Z576" s="26"/>
    </row>
    <row r="577" ht="12.75" customHeight="1">
      <c r="A577" s="31"/>
      <c r="B577" s="53"/>
      <c r="C577" s="26"/>
      <c r="D577" s="54"/>
      <c r="E577" s="25"/>
      <c r="F577" s="25"/>
      <c r="G577" s="25"/>
      <c r="H577" s="25"/>
      <c r="I577" s="25"/>
      <c r="J577" s="25"/>
      <c r="K577" s="25"/>
      <c r="L577" s="25"/>
      <c r="M577" s="25"/>
      <c r="N577" s="25"/>
      <c r="O577" s="25"/>
      <c r="P577" s="25"/>
      <c r="Q577" s="26"/>
      <c r="R577" s="26"/>
      <c r="S577" s="26"/>
      <c r="T577" s="26"/>
      <c r="U577" s="26"/>
      <c r="V577" s="26"/>
      <c r="W577" s="26"/>
      <c r="X577" s="26"/>
      <c r="Y577" s="26"/>
      <c r="Z577" s="26"/>
    </row>
    <row r="578" ht="12.75" customHeight="1">
      <c r="A578" s="31"/>
      <c r="B578" s="53"/>
      <c r="C578" s="26"/>
      <c r="D578" s="54"/>
      <c r="E578" s="25"/>
      <c r="F578" s="25"/>
      <c r="G578" s="25"/>
      <c r="H578" s="25"/>
      <c r="I578" s="25"/>
      <c r="J578" s="25"/>
      <c r="K578" s="25"/>
      <c r="L578" s="25"/>
      <c r="M578" s="25"/>
      <c r="N578" s="25"/>
      <c r="O578" s="25"/>
      <c r="P578" s="25"/>
      <c r="Q578" s="26"/>
      <c r="R578" s="26"/>
      <c r="S578" s="26"/>
      <c r="T578" s="26"/>
      <c r="U578" s="26"/>
      <c r="V578" s="26"/>
      <c r="W578" s="26"/>
      <c r="X578" s="26"/>
      <c r="Y578" s="26"/>
      <c r="Z578" s="26"/>
    </row>
    <row r="579" ht="12.75" customHeight="1">
      <c r="A579" s="31"/>
      <c r="B579" s="53"/>
      <c r="C579" s="26"/>
      <c r="D579" s="54"/>
      <c r="E579" s="25"/>
      <c r="F579" s="25"/>
      <c r="G579" s="25"/>
      <c r="H579" s="25"/>
      <c r="I579" s="25"/>
      <c r="J579" s="25"/>
      <c r="K579" s="25"/>
      <c r="L579" s="25"/>
      <c r="M579" s="25"/>
      <c r="N579" s="25"/>
      <c r="O579" s="25"/>
      <c r="P579" s="25"/>
      <c r="Q579" s="26"/>
      <c r="R579" s="26"/>
      <c r="S579" s="26"/>
      <c r="T579" s="26"/>
      <c r="U579" s="26"/>
      <c r="V579" s="26"/>
      <c r="W579" s="26"/>
      <c r="X579" s="26"/>
      <c r="Y579" s="26"/>
      <c r="Z579" s="26"/>
    </row>
    <row r="580" ht="12.75" customHeight="1">
      <c r="A580" s="31"/>
      <c r="B580" s="53"/>
      <c r="C580" s="26"/>
      <c r="D580" s="54"/>
      <c r="E580" s="25"/>
      <c r="F580" s="25"/>
      <c r="G580" s="25"/>
      <c r="H580" s="25"/>
      <c r="I580" s="25"/>
      <c r="J580" s="25"/>
      <c r="K580" s="25"/>
      <c r="L580" s="25"/>
      <c r="M580" s="25"/>
      <c r="N580" s="25"/>
      <c r="O580" s="25"/>
      <c r="P580" s="25"/>
      <c r="Q580" s="26"/>
      <c r="R580" s="26"/>
      <c r="S580" s="26"/>
      <c r="T580" s="26"/>
      <c r="U580" s="26"/>
      <c r="V580" s="26"/>
      <c r="W580" s="26"/>
      <c r="X580" s="26"/>
      <c r="Y580" s="26"/>
      <c r="Z580" s="26"/>
    </row>
    <row r="581" ht="12.75" customHeight="1">
      <c r="A581" s="31"/>
      <c r="B581" s="53"/>
      <c r="C581" s="26"/>
      <c r="D581" s="54"/>
      <c r="E581" s="25"/>
      <c r="F581" s="25"/>
      <c r="G581" s="25"/>
      <c r="H581" s="25"/>
      <c r="I581" s="25"/>
      <c r="J581" s="25"/>
      <c r="K581" s="25"/>
      <c r="L581" s="25"/>
      <c r="M581" s="25"/>
      <c r="N581" s="25"/>
      <c r="O581" s="25"/>
      <c r="P581" s="25"/>
      <c r="Q581" s="26"/>
      <c r="R581" s="26"/>
      <c r="S581" s="26"/>
      <c r="T581" s="26"/>
      <c r="U581" s="26"/>
      <c r="V581" s="26"/>
      <c r="W581" s="26"/>
      <c r="X581" s="26"/>
      <c r="Y581" s="26"/>
      <c r="Z581" s="26"/>
    </row>
    <row r="582" ht="12.75" customHeight="1">
      <c r="A582" s="31"/>
      <c r="B582" s="53"/>
      <c r="C582" s="26"/>
      <c r="D582" s="54"/>
      <c r="E582" s="25"/>
      <c r="F582" s="25"/>
      <c r="G582" s="25"/>
      <c r="H582" s="25"/>
      <c r="I582" s="25"/>
      <c r="J582" s="25"/>
      <c r="K582" s="25"/>
      <c r="L582" s="25"/>
      <c r="M582" s="25"/>
      <c r="N582" s="25"/>
      <c r="O582" s="25"/>
      <c r="P582" s="25"/>
      <c r="Q582" s="26"/>
      <c r="R582" s="26"/>
      <c r="S582" s="26"/>
      <c r="T582" s="26"/>
      <c r="U582" s="26"/>
      <c r="V582" s="26"/>
      <c r="W582" s="26"/>
      <c r="X582" s="26"/>
      <c r="Y582" s="26"/>
      <c r="Z582" s="26"/>
    </row>
    <row r="583" ht="12.75" customHeight="1">
      <c r="A583" s="31"/>
      <c r="B583" s="53"/>
      <c r="C583" s="26"/>
      <c r="D583" s="54"/>
      <c r="E583" s="25"/>
      <c r="F583" s="25"/>
      <c r="G583" s="25"/>
      <c r="H583" s="25"/>
      <c r="I583" s="25"/>
      <c r="J583" s="25"/>
      <c r="K583" s="25"/>
      <c r="L583" s="25"/>
      <c r="M583" s="25"/>
      <c r="N583" s="25"/>
      <c r="O583" s="25"/>
      <c r="P583" s="25"/>
      <c r="Q583" s="26"/>
      <c r="R583" s="26"/>
      <c r="S583" s="26"/>
      <c r="T583" s="26"/>
      <c r="U583" s="26"/>
      <c r="V583" s="26"/>
      <c r="W583" s="26"/>
      <c r="X583" s="26"/>
      <c r="Y583" s="26"/>
      <c r="Z583" s="26"/>
    </row>
    <row r="584" ht="12.75" customHeight="1">
      <c r="A584" s="31"/>
      <c r="B584" s="53"/>
      <c r="C584" s="26"/>
      <c r="D584" s="54"/>
      <c r="E584" s="25"/>
      <c r="F584" s="25"/>
      <c r="G584" s="25"/>
      <c r="H584" s="25"/>
      <c r="I584" s="25"/>
      <c r="J584" s="25"/>
      <c r="K584" s="25"/>
      <c r="L584" s="25"/>
      <c r="M584" s="25"/>
      <c r="N584" s="25"/>
      <c r="O584" s="25"/>
      <c r="P584" s="25"/>
      <c r="Q584" s="26"/>
      <c r="R584" s="26"/>
      <c r="S584" s="26"/>
      <c r="T584" s="26"/>
      <c r="U584" s="26"/>
      <c r="V584" s="26"/>
      <c r="W584" s="26"/>
      <c r="X584" s="26"/>
      <c r="Y584" s="26"/>
      <c r="Z584" s="26"/>
    </row>
    <row r="585" ht="12.75" customHeight="1">
      <c r="A585" s="31"/>
      <c r="B585" s="53"/>
      <c r="C585" s="26"/>
      <c r="D585" s="54"/>
      <c r="E585" s="25"/>
      <c r="F585" s="25"/>
      <c r="G585" s="25"/>
      <c r="H585" s="25"/>
      <c r="I585" s="25"/>
      <c r="J585" s="25"/>
      <c r="K585" s="25"/>
      <c r="L585" s="25"/>
      <c r="M585" s="25"/>
      <c r="N585" s="25"/>
      <c r="O585" s="25"/>
      <c r="P585" s="25"/>
      <c r="Q585" s="26"/>
      <c r="R585" s="26"/>
      <c r="S585" s="26"/>
      <c r="T585" s="26"/>
      <c r="U585" s="26"/>
      <c r="V585" s="26"/>
      <c r="W585" s="26"/>
      <c r="X585" s="26"/>
      <c r="Y585" s="26"/>
      <c r="Z585" s="26"/>
    </row>
    <row r="586" ht="12.75" customHeight="1">
      <c r="A586" s="31"/>
      <c r="B586" s="53"/>
      <c r="C586" s="26"/>
      <c r="D586" s="54"/>
      <c r="E586" s="25"/>
      <c r="F586" s="25"/>
      <c r="G586" s="25"/>
      <c r="H586" s="25"/>
      <c r="I586" s="25"/>
      <c r="J586" s="25"/>
      <c r="K586" s="25"/>
      <c r="L586" s="25"/>
      <c r="M586" s="25"/>
      <c r="N586" s="25"/>
      <c r="O586" s="25"/>
      <c r="P586" s="25"/>
      <c r="Q586" s="26"/>
      <c r="R586" s="26"/>
      <c r="S586" s="26"/>
      <c r="T586" s="26"/>
      <c r="U586" s="26"/>
      <c r="V586" s="26"/>
      <c r="W586" s="26"/>
      <c r="X586" s="26"/>
      <c r="Y586" s="26"/>
      <c r="Z586" s="26"/>
    </row>
    <row r="587" ht="12.75" customHeight="1">
      <c r="A587" s="31"/>
      <c r="B587" s="53"/>
      <c r="C587" s="26"/>
      <c r="D587" s="54"/>
      <c r="E587" s="25"/>
      <c r="F587" s="25"/>
      <c r="G587" s="25"/>
      <c r="H587" s="25"/>
      <c r="I587" s="25"/>
      <c r="J587" s="25"/>
      <c r="K587" s="25"/>
      <c r="L587" s="25"/>
      <c r="M587" s="25"/>
      <c r="N587" s="25"/>
      <c r="O587" s="25"/>
      <c r="P587" s="25"/>
      <c r="Q587" s="26"/>
      <c r="R587" s="26"/>
      <c r="S587" s="26"/>
      <c r="T587" s="26"/>
      <c r="U587" s="26"/>
      <c r="V587" s="26"/>
      <c r="W587" s="26"/>
      <c r="X587" s="26"/>
      <c r="Y587" s="26"/>
      <c r="Z587" s="26"/>
    </row>
    <row r="588" ht="12.75" customHeight="1">
      <c r="A588" s="31"/>
      <c r="B588" s="53"/>
      <c r="C588" s="26"/>
      <c r="D588" s="54"/>
      <c r="E588" s="25"/>
      <c r="F588" s="25"/>
      <c r="G588" s="25"/>
      <c r="H588" s="25"/>
      <c r="I588" s="25"/>
      <c r="J588" s="25"/>
      <c r="K588" s="25"/>
      <c r="L588" s="25"/>
      <c r="M588" s="25"/>
      <c r="N588" s="25"/>
      <c r="O588" s="25"/>
      <c r="P588" s="25"/>
      <c r="Q588" s="26"/>
      <c r="R588" s="26"/>
      <c r="S588" s="26"/>
      <c r="T588" s="26"/>
      <c r="U588" s="26"/>
      <c r="V588" s="26"/>
      <c r="W588" s="26"/>
      <c r="X588" s="26"/>
      <c r="Y588" s="26"/>
      <c r="Z588" s="26"/>
    </row>
    <row r="589" ht="12.75" customHeight="1">
      <c r="A589" s="31"/>
      <c r="B589" s="53"/>
      <c r="C589" s="26"/>
      <c r="D589" s="54"/>
      <c r="E589" s="25"/>
      <c r="F589" s="25"/>
      <c r="G589" s="25"/>
      <c r="H589" s="25"/>
      <c r="I589" s="25"/>
      <c r="J589" s="25"/>
      <c r="K589" s="25"/>
      <c r="L589" s="25"/>
      <c r="M589" s="25"/>
      <c r="N589" s="25"/>
      <c r="O589" s="25"/>
      <c r="P589" s="25"/>
      <c r="Q589" s="26"/>
      <c r="R589" s="26"/>
      <c r="S589" s="26"/>
      <c r="T589" s="26"/>
      <c r="U589" s="26"/>
      <c r="V589" s="26"/>
      <c r="W589" s="26"/>
      <c r="X589" s="26"/>
      <c r="Y589" s="26"/>
      <c r="Z589" s="26"/>
    </row>
    <row r="590" ht="12.75" customHeight="1">
      <c r="A590" s="31"/>
      <c r="B590" s="53"/>
      <c r="C590" s="26"/>
      <c r="D590" s="54"/>
      <c r="E590" s="25"/>
      <c r="F590" s="25"/>
      <c r="G590" s="25"/>
      <c r="H590" s="25"/>
      <c r="I590" s="25"/>
      <c r="J590" s="25"/>
      <c r="K590" s="25"/>
      <c r="L590" s="25"/>
      <c r="M590" s="25"/>
      <c r="N590" s="25"/>
      <c r="O590" s="25"/>
      <c r="P590" s="25"/>
      <c r="Q590" s="26"/>
      <c r="R590" s="26"/>
      <c r="S590" s="26"/>
      <c r="T590" s="26"/>
      <c r="U590" s="26"/>
      <c r="V590" s="26"/>
      <c r="W590" s="26"/>
      <c r="X590" s="26"/>
      <c r="Y590" s="26"/>
      <c r="Z590" s="26"/>
    </row>
    <row r="591" ht="12.75" customHeight="1">
      <c r="A591" s="31"/>
      <c r="B591" s="53"/>
      <c r="C591" s="26"/>
      <c r="D591" s="54"/>
      <c r="E591" s="25"/>
      <c r="F591" s="25"/>
      <c r="G591" s="25"/>
      <c r="H591" s="25"/>
      <c r="I591" s="25"/>
      <c r="J591" s="25"/>
      <c r="K591" s="25"/>
      <c r="L591" s="25"/>
      <c r="M591" s="25"/>
      <c r="N591" s="25"/>
      <c r="O591" s="25"/>
      <c r="P591" s="25"/>
      <c r="Q591" s="26"/>
      <c r="R591" s="26"/>
      <c r="S591" s="26"/>
      <c r="T591" s="26"/>
      <c r="U591" s="26"/>
      <c r="V591" s="26"/>
      <c r="W591" s="26"/>
      <c r="X591" s="26"/>
      <c r="Y591" s="26"/>
      <c r="Z591" s="26"/>
    </row>
    <row r="592" ht="12.75" customHeight="1">
      <c r="A592" s="31"/>
      <c r="B592" s="53"/>
      <c r="C592" s="26"/>
      <c r="D592" s="54"/>
      <c r="E592" s="25"/>
      <c r="F592" s="25"/>
      <c r="G592" s="25"/>
      <c r="H592" s="25"/>
      <c r="I592" s="25"/>
      <c r="J592" s="25"/>
      <c r="K592" s="25"/>
      <c r="L592" s="25"/>
      <c r="M592" s="25"/>
      <c r="N592" s="25"/>
      <c r="O592" s="25"/>
      <c r="P592" s="25"/>
      <c r="Q592" s="26"/>
      <c r="R592" s="26"/>
      <c r="S592" s="26"/>
      <c r="T592" s="26"/>
      <c r="U592" s="26"/>
      <c r="V592" s="26"/>
      <c r="W592" s="26"/>
      <c r="X592" s="26"/>
      <c r="Y592" s="26"/>
      <c r="Z592" s="26"/>
    </row>
    <row r="593" ht="12.75" customHeight="1">
      <c r="A593" s="31"/>
      <c r="B593" s="53"/>
      <c r="C593" s="26"/>
      <c r="D593" s="54"/>
      <c r="E593" s="25"/>
      <c r="F593" s="25"/>
      <c r="G593" s="25"/>
      <c r="H593" s="25"/>
      <c r="I593" s="25"/>
      <c r="J593" s="25"/>
      <c r="K593" s="25"/>
      <c r="L593" s="25"/>
      <c r="M593" s="25"/>
      <c r="N593" s="25"/>
      <c r="O593" s="25"/>
      <c r="P593" s="25"/>
      <c r="Q593" s="26"/>
      <c r="R593" s="26"/>
      <c r="S593" s="26"/>
      <c r="T593" s="26"/>
      <c r="U593" s="26"/>
      <c r="V593" s="26"/>
      <c r="W593" s="26"/>
      <c r="X593" s="26"/>
      <c r="Y593" s="26"/>
      <c r="Z593" s="26"/>
    </row>
    <row r="594" ht="12.75" customHeight="1">
      <c r="A594" s="31"/>
      <c r="B594" s="53"/>
      <c r="C594" s="26"/>
      <c r="D594" s="54"/>
      <c r="E594" s="25"/>
      <c r="F594" s="25"/>
      <c r="G594" s="25"/>
      <c r="H594" s="25"/>
      <c r="I594" s="25"/>
      <c r="J594" s="25"/>
      <c r="K594" s="25"/>
      <c r="L594" s="25"/>
      <c r="M594" s="25"/>
      <c r="N594" s="25"/>
      <c r="O594" s="25"/>
      <c r="P594" s="25"/>
      <c r="Q594" s="26"/>
      <c r="R594" s="26"/>
      <c r="S594" s="26"/>
      <c r="T594" s="26"/>
      <c r="U594" s="26"/>
      <c r="V594" s="26"/>
      <c r="W594" s="26"/>
      <c r="X594" s="26"/>
      <c r="Y594" s="26"/>
      <c r="Z594" s="26"/>
    </row>
    <row r="595" ht="12.75" customHeight="1">
      <c r="A595" s="31"/>
      <c r="B595" s="53"/>
      <c r="C595" s="26"/>
      <c r="D595" s="54"/>
      <c r="E595" s="25"/>
      <c r="F595" s="25"/>
      <c r="G595" s="25"/>
      <c r="H595" s="25"/>
      <c r="I595" s="25"/>
      <c r="J595" s="25"/>
      <c r="K595" s="25"/>
      <c r="L595" s="25"/>
      <c r="M595" s="25"/>
      <c r="N595" s="25"/>
      <c r="O595" s="25"/>
      <c r="P595" s="25"/>
      <c r="Q595" s="26"/>
      <c r="R595" s="26"/>
      <c r="S595" s="26"/>
      <c r="T595" s="26"/>
      <c r="U595" s="26"/>
      <c r="V595" s="26"/>
      <c r="W595" s="26"/>
      <c r="X595" s="26"/>
      <c r="Y595" s="26"/>
      <c r="Z595" s="26"/>
    </row>
    <row r="596" ht="12.75" customHeight="1">
      <c r="A596" s="31"/>
      <c r="B596" s="53"/>
      <c r="C596" s="26"/>
      <c r="D596" s="54"/>
      <c r="E596" s="25"/>
      <c r="F596" s="25"/>
      <c r="G596" s="25"/>
      <c r="H596" s="25"/>
      <c r="I596" s="25"/>
      <c r="J596" s="25"/>
      <c r="K596" s="25"/>
      <c r="L596" s="25"/>
      <c r="M596" s="25"/>
      <c r="N596" s="25"/>
      <c r="O596" s="25"/>
      <c r="P596" s="25"/>
      <c r="Q596" s="26"/>
      <c r="R596" s="26"/>
      <c r="S596" s="26"/>
      <c r="T596" s="26"/>
      <c r="U596" s="26"/>
      <c r="V596" s="26"/>
      <c r="W596" s="26"/>
      <c r="X596" s="26"/>
      <c r="Y596" s="26"/>
      <c r="Z596" s="26"/>
    </row>
    <row r="597" ht="12.75" customHeight="1">
      <c r="A597" s="31"/>
      <c r="B597" s="53"/>
      <c r="C597" s="26"/>
      <c r="D597" s="54"/>
      <c r="E597" s="25"/>
      <c r="F597" s="25"/>
      <c r="G597" s="25"/>
      <c r="H597" s="25"/>
      <c r="I597" s="25"/>
      <c r="J597" s="25"/>
      <c r="K597" s="25"/>
      <c r="L597" s="25"/>
      <c r="M597" s="25"/>
      <c r="N597" s="25"/>
      <c r="O597" s="25"/>
      <c r="P597" s="25"/>
      <c r="Q597" s="26"/>
      <c r="R597" s="26"/>
      <c r="S597" s="26"/>
      <c r="T597" s="26"/>
      <c r="U597" s="26"/>
      <c r="V597" s="26"/>
      <c r="W597" s="26"/>
      <c r="X597" s="26"/>
      <c r="Y597" s="26"/>
      <c r="Z597" s="26"/>
    </row>
    <row r="598" ht="12.75" customHeight="1">
      <c r="A598" s="31"/>
      <c r="B598" s="53"/>
      <c r="C598" s="26"/>
      <c r="D598" s="54"/>
      <c r="E598" s="25"/>
      <c r="F598" s="25"/>
      <c r="G598" s="25"/>
      <c r="H598" s="25"/>
      <c r="I598" s="25"/>
      <c r="J598" s="25"/>
      <c r="K598" s="25"/>
      <c r="L598" s="25"/>
      <c r="M598" s="25"/>
      <c r="N598" s="25"/>
      <c r="O598" s="25"/>
      <c r="P598" s="25"/>
      <c r="Q598" s="26"/>
      <c r="R598" s="26"/>
      <c r="S598" s="26"/>
      <c r="T598" s="26"/>
      <c r="U598" s="26"/>
      <c r="V598" s="26"/>
      <c r="W598" s="26"/>
      <c r="X598" s="26"/>
      <c r="Y598" s="26"/>
      <c r="Z598" s="26"/>
    </row>
    <row r="599" ht="12.75" customHeight="1">
      <c r="A599" s="31"/>
      <c r="B599" s="53"/>
      <c r="C599" s="26"/>
      <c r="D599" s="54"/>
      <c r="E599" s="25"/>
      <c r="F599" s="25"/>
      <c r="G599" s="25"/>
      <c r="H599" s="25"/>
      <c r="I599" s="25"/>
      <c r="J599" s="25"/>
      <c r="K599" s="25"/>
      <c r="L599" s="25"/>
      <c r="M599" s="25"/>
      <c r="N599" s="25"/>
      <c r="O599" s="25"/>
      <c r="P599" s="25"/>
      <c r="Q599" s="26"/>
      <c r="R599" s="26"/>
      <c r="S599" s="26"/>
      <c r="T599" s="26"/>
      <c r="U599" s="26"/>
      <c r="V599" s="26"/>
      <c r="W599" s="26"/>
      <c r="X599" s="26"/>
      <c r="Y599" s="26"/>
      <c r="Z599" s="26"/>
    </row>
    <row r="600" ht="12.75" customHeight="1">
      <c r="A600" s="31"/>
      <c r="B600" s="53"/>
      <c r="C600" s="26"/>
      <c r="D600" s="54"/>
      <c r="E600" s="25"/>
      <c r="F600" s="25"/>
      <c r="G600" s="25"/>
      <c r="H600" s="25"/>
      <c r="I600" s="25"/>
      <c r="J600" s="25"/>
      <c r="K600" s="25"/>
      <c r="L600" s="25"/>
      <c r="M600" s="25"/>
      <c r="N600" s="25"/>
      <c r="O600" s="25"/>
      <c r="P600" s="25"/>
      <c r="Q600" s="26"/>
      <c r="R600" s="26"/>
      <c r="S600" s="26"/>
      <c r="T600" s="26"/>
      <c r="U600" s="26"/>
      <c r="V600" s="26"/>
      <c r="W600" s="26"/>
      <c r="X600" s="26"/>
      <c r="Y600" s="26"/>
      <c r="Z600" s="26"/>
    </row>
    <row r="601" ht="12.75" customHeight="1">
      <c r="A601" s="31"/>
      <c r="B601" s="53"/>
      <c r="C601" s="26"/>
      <c r="D601" s="54"/>
      <c r="E601" s="25"/>
      <c r="F601" s="25"/>
      <c r="G601" s="25"/>
      <c r="H601" s="25"/>
      <c r="I601" s="25"/>
      <c r="J601" s="25"/>
      <c r="K601" s="25"/>
      <c r="L601" s="25"/>
      <c r="M601" s="25"/>
      <c r="N601" s="25"/>
      <c r="O601" s="25"/>
      <c r="P601" s="25"/>
      <c r="Q601" s="26"/>
      <c r="R601" s="26"/>
      <c r="S601" s="26"/>
      <c r="T601" s="26"/>
      <c r="U601" s="26"/>
      <c r="V601" s="26"/>
      <c r="W601" s="26"/>
      <c r="X601" s="26"/>
      <c r="Y601" s="26"/>
      <c r="Z601" s="26"/>
    </row>
    <row r="602" ht="12.75" customHeight="1">
      <c r="A602" s="31"/>
      <c r="B602" s="53"/>
      <c r="C602" s="26"/>
      <c r="D602" s="54"/>
      <c r="E602" s="25"/>
      <c r="F602" s="25"/>
      <c r="G602" s="25"/>
      <c r="H602" s="25"/>
      <c r="I602" s="25"/>
      <c r="J602" s="25"/>
      <c r="K602" s="25"/>
      <c r="L602" s="25"/>
      <c r="M602" s="25"/>
      <c r="N602" s="25"/>
      <c r="O602" s="25"/>
      <c r="P602" s="25"/>
      <c r="Q602" s="26"/>
      <c r="R602" s="26"/>
      <c r="S602" s="26"/>
      <c r="T602" s="26"/>
      <c r="U602" s="26"/>
      <c r="V602" s="26"/>
      <c r="W602" s="26"/>
      <c r="X602" s="26"/>
      <c r="Y602" s="26"/>
      <c r="Z602" s="26"/>
    </row>
    <row r="603" ht="12.75" customHeight="1">
      <c r="A603" s="31"/>
      <c r="B603" s="53"/>
      <c r="C603" s="26"/>
      <c r="D603" s="54"/>
      <c r="E603" s="25"/>
      <c r="F603" s="25"/>
      <c r="G603" s="25"/>
      <c r="H603" s="25"/>
      <c r="I603" s="25"/>
      <c r="J603" s="25"/>
      <c r="K603" s="25"/>
      <c r="L603" s="25"/>
      <c r="M603" s="25"/>
      <c r="N603" s="25"/>
      <c r="O603" s="25"/>
      <c r="P603" s="25"/>
      <c r="Q603" s="26"/>
      <c r="R603" s="26"/>
      <c r="S603" s="26"/>
      <c r="T603" s="26"/>
      <c r="U603" s="26"/>
      <c r="V603" s="26"/>
      <c r="W603" s="26"/>
      <c r="X603" s="26"/>
      <c r="Y603" s="26"/>
      <c r="Z603" s="26"/>
    </row>
    <row r="604" ht="12.75" customHeight="1">
      <c r="A604" s="31"/>
      <c r="B604" s="53"/>
      <c r="C604" s="26"/>
      <c r="D604" s="54"/>
      <c r="E604" s="25"/>
      <c r="F604" s="25"/>
      <c r="G604" s="25"/>
      <c r="H604" s="25"/>
      <c r="I604" s="25"/>
      <c r="J604" s="25"/>
      <c r="K604" s="25"/>
      <c r="L604" s="25"/>
      <c r="M604" s="25"/>
      <c r="N604" s="25"/>
      <c r="O604" s="25"/>
      <c r="P604" s="25"/>
      <c r="Q604" s="26"/>
      <c r="R604" s="26"/>
      <c r="S604" s="26"/>
      <c r="T604" s="26"/>
      <c r="U604" s="26"/>
      <c r="V604" s="26"/>
      <c r="W604" s="26"/>
      <c r="X604" s="26"/>
      <c r="Y604" s="26"/>
      <c r="Z604" s="26"/>
    </row>
    <row r="605" ht="12.75" customHeight="1">
      <c r="A605" s="31"/>
      <c r="B605" s="53"/>
      <c r="C605" s="26"/>
      <c r="D605" s="54"/>
      <c r="E605" s="25"/>
      <c r="F605" s="25"/>
      <c r="G605" s="25"/>
      <c r="H605" s="25"/>
      <c r="I605" s="25"/>
      <c r="J605" s="25"/>
      <c r="K605" s="25"/>
      <c r="L605" s="25"/>
      <c r="M605" s="25"/>
      <c r="N605" s="25"/>
      <c r="O605" s="25"/>
      <c r="P605" s="25"/>
      <c r="Q605" s="26"/>
      <c r="R605" s="26"/>
      <c r="S605" s="26"/>
      <c r="T605" s="26"/>
      <c r="U605" s="26"/>
      <c r="V605" s="26"/>
      <c r="W605" s="26"/>
      <c r="X605" s="26"/>
      <c r="Y605" s="26"/>
      <c r="Z605" s="26"/>
    </row>
    <row r="606" ht="12.75" customHeight="1">
      <c r="A606" s="31"/>
      <c r="B606" s="53"/>
      <c r="C606" s="26"/>
      <c r="D606" s="54"/>
      <c r="E606" s="25"/>
      <c r="F606" s="25"/>
      <c r="G606" s="25"/>
      <c r="H606" s="25"/>
      <c r="I606" s="25"/>
      <c r="J606" s="25"/>
      <c r="K606" s="25"/>
      <c r="L606" s="25"/>
      <c r="M606" s="25"/>
      <c r="N606" s="25"/>
      <c r="O606" s="25"/>
      <c r="P606" s="25"/>
      <c r="Q606" s="26"/>
      <c r="R606" s="26"/>
      <c r="S606" s="26"/>
      <c r="T606" s="26"/>
      <c r="U606" s="26"/>
      <c r="V606" s="26"/>
      <c r="W606" s="26"/>
      <c r="X606" s="26"/>
      <c r="Y606" s="26"/>
      <c r="Z606" s="26"/>
    </row>
    <row r="607" ht="12.75" customHeight="1">
      <c r="A607" s="31"/>
      <c r="B607" s="53"/>
      <c r="C607" s="26"/>
      <c r="D607" s="54"/>
      <c r="E607" s="25"/>
      <c r="F607" s="25"/>
      <c r="G607" s="25"/>
      <c r="H607" s="25"/>
      <c r="I607" s="25"/>
      <c r="J607" s="25"/>
      <c r="K607" s="25"/>
      <c r="L607" s="25"/>
      <c r="M607" s="25"/>
      <c r="N607" s="25"/>
      <c r="O607" s="25"/>
      <c r="P607" s="25"/>
      <c r="Q607" s="26"/>
      <c r="R607" s="26"/>
      <c r="S607" s="26"/>
      <c r="T607" s="26"/>
      <c r="U607" s="26"/>
      <c r="V607" s="26"/>
      <c r="W607" s="26"/>
      <c r="X607" s="26"/>
      <c r="Y607" s="26"/>
      <c r="Z607" s="26"/>
    </row>
    <row r="608" ht="12.75" customHeight="1">
      <c r="A608" s="31"/>
      <c r="B608" s="53"/>
      <c r="C608" s="26"/>
      <c r="D608" s="54"/>
      <c r="E608" s="25"/>
      <c r="F608" s="25"/>
      <c r="G608" s="25"/>
      <c r="H608" s="25"/>
      <c r="I608" s="25"/>
      <c r="J608" s="25"/>
      <c r="K608" s="25"/>
      <c r="L608" s="25"/>
      <c r="M608" s="25"/>
      <c r="N608" s="25"/>
      <c r="O608" s="25"/>
      <c r="P608" s="25"/>
      <c r="Q608" s="26"/>
      <c r="R608" s="26"/>
      <c r="S608" s="26"/>
      <c r="T608" s="26"/>
      <c r="U608" s="26"/>
      <c r="V608" s="26"/>
      <c r="W608" s="26"/>
      <c r="X608" s="26"/>
      <c r="Y608" s="26"/>
      <c r="Z608" s="26"/>
    </row>
    <row r="609" ht="12.75" customHeight="1">
      <c r="A609" s="31"/>
      <c r="B609" s="53"/>
      <c r="C609" s="26"/>
      <c r="D609" s="54"/>
      <c r="E609" s="25"/>
      <c r="F609" s="25"/>
      <c r="G609" s="25"/>
      <c r="H609" s="25"/>
      <c r="I609" s="25"/>
      <c r="J609" s="25"/>
      <c r="K609" s="25"/>
      <c r="L609" s="25"/>
      <c r="M609" s="25"/>
      <c r="N609" s="25"/>
      <c r="O609" s="25"/>
      <c r="P609" s="25"/>
      <c r="Q609" s="26"/>
      <c r="R609" s="26"/>
      <c r="S609" s="26"/>
      <c r="T609" s="26"/>
      <c r="U609" s="26"/>
      <c r="V609" s="26"/>
      <c r="W609" s="26"/>
      <c r="X609" s="26"/>
      <c r="Y609" s="26"/>
      <c r="Z609" s="26"/>
    </row>
    <row r="610" ht="12.75" customHeight="1">
      <c r="A610" s="31"/>
      <c r="B610" s="53"/>
      <c r="C610" s="26"/>
      <c r="D610" s="54"/>
      <c r="E610" s="25"/>
      <c r="F610" s="25"/>
      <c r="G610" s="25"/>
      <c r="H610" s="25"/>
      <c r="I610" s="25"/>
      <c r="J610" s="25"/>
      <c r="K610" s="25"/>
      <c r="L610" s="25"/>
      <c r="M610" s="25"/>
      <c r="N610" s="25"/>
      <c r="O610" s="25"/>
      <c r="P610" s="25"/>
      <c r="Q610" s="26"/>
      <c r="R610" s="26"/>
      <c r="S610" s="26"/>
      <c r="T610" s="26"/>
      <c r="U610" s="26"/>
      <c r="V610" s="26"/>
      <c r="W610" s="26"/>
      <c r="X610" s="26"/>
      <c r="Y610" s="26"/>
      <c r="Z610" s="26"/>
    </row>
    <row r="611" ht="12.75" customHeight="1">
      <c r="A611" s="31"/>
      <c r="B611" s="53"/>
      <c r="C611" s="26"/>
      <c r="D611" s="54"/>
      <c r="E611" s="25"/>
      <c r="F611" s="25"/>
      <c r="G611" s="25"/>
      <c r="H611" s="25"/>
      <c r="I611" s="25"/>
      <c r="J611" s="25"/>
      <c r="K611" s="25"/>
      <c r="L611" s="25"/>
      <c r="M611" s="25"/>
      <c r="N611" s="25"/>
      <c r="O611" s="25"/>
      <c r="P611" s="25"/>
      <c r="Q611" s="26"/>
      <c r="R611" s="26"/>
      <c r="S611" s="26"/>
      <c r="T611" s="26"/>
      <c r="U611" s="26"/>
      <c r="V611" s="26"/>
      <c r="W611" s="26"/>
      <c r="X611" s="26"/>
      <c r="Y611" s="26"/>
      <c r="Z611" s="26"/>
    </row>
    <row r="612" ht="12.75" customHeight="1">
      <c r="A612" s="31"/>
      <c r="B612" s="53"/>
      <c r="C612" s="26"/>
      <c r="D612" s="54"/>
      <c r="E612" s="25"/>
      <c r="F612" s="25"/>
      <c r="G612" s="25"/>
      <c r="H612" s="25"/>
      <c r="I612" s="25"/>
      <c r="J612" s="25"/>
      <c r="K612" s="25"/>
      <c r="L612" s="25"/>
      <c r="M612" s="25"/>
      <c r="N612" s="25"/>
      <c r="O612" s="25"/>
      <c r="P612" s="25"/>
      <c r="Q612" s="26"/>
      <c r="R612" s="26"/>
      <c r="S612" s="26"/>
      <c r="T612" s="26"/>
      <c r="U612" s="26"/>
      <c r="V612" s="26"/>
      <c r="W612" s="26"/>
      <c r="X612" s="26"/>
      <c r="Y612" s="26"/>
      <c r="Z612" s="26"/>
    </row>
    <row r="613" ht="12.75" customHeight="1">
      <c r="A613" s="31"/>
      <c r="B613" s="53"/>
      <c r="C613" s="26"/>
      <c r="D613" s="54"/>
      <c r="E613" s="25"/>
      <c r="F613" s="25"/>
      <c r="G613" s="25"/>
      <c r="H613" s="25"/>
      <c r="I613" s="25"/>
      <c r="J613" s="25"/>
      <c r="K613" s="25"/>
      <c r="L613" s="25"/>
      <c r="M613" s="25"/>
      <c r="N613" s="25"/>
      <c r="O613" s="25"/>
      <c r="P613" s="25"/>
      <c r="Q613" s="26"/>
      <c r="R613" s="26"/>
      <c r="S613" s="26"/>
      <c r="T613" s="26"/>
      <c r="U613" s="26"/>
      <c r="V613" s="26"/>
      <c r="W613" s="26"/>
      <c r="X613" s="26"/>
      <c r="Y613" s="26"/>
      <c r="Z613" s="26"/>
    </row>
    <row r="614" ht="12.75" customHeight="1">
      <c r="A614" s="31"/>
      <c r="B614" s="53"/>
      <c r="C614" s="26"/>
      <c r="D614" s="54"/>
      <c r="E614" s="25"/>
      <c r="F614" s="25"/>
      <c r="G614" s="25"/>
      <c r="H614" s="25"/>
      <c r="I614" s="25"/>
      <c r="J614" s="25"/>
      <c r="K614" s="25"/>
      <c r="L614" s="25"/>
      <c r="M614" s="25"/>
      <c r="N614" s="25"/>
      <c r="O614" s="25"/>
      <c r="P614" s="25"/>
      <c r="Q614" s="26"/>
      <c r="R614" s="26"/>
      <c r="S614" s="26"/>
      <c r="T614" s="26"/>
      <c r="U614" s="26"/>
      <c r="V614" s="26"/>
      <c r="W614" s="26"/>
      <c r="X614" s="26"/>
      <c r="Y614" s="26"/>
      <c r="Z614" s="26"/>
    </row>
    <row r="615" ht="12.75" customHeight="1">
      <c r="A615" s="31"/>
      <c r="B615" s="53"/>
      <c r="C615" s="26"/>
      <c r="D615" s="54"/>
      <c r="E615" s="25"/>
      <c r="F615" s="25"/>
      <c r="G615" s="25"/>
      <c r="H615" s="25"/>
      <c r="I615" s="25"/>
      <c r="J615" s="25"/>
      <c r="K615" s="25"/>
      <c r="L615" s="25"/>
      <c r="M615" s="25"/>
      <c r="N615" s="25"/>
      <c r="O615" s="25"/>
      <c r="P615" s="25"/>
      <c r="Q615" s="26"/>
      <c r="R615" s="26"/>
      <c r="S615" s="26"/>
      <c r="T615" s="26"/>
      <c r="U615" s="26"/>
      <c r="V615" s="26"/>
      <c r="W615" s="26"/>
      <c r="X615" s="26"/>
      <c r="Y615" s="26"/>
      <c r="Z615" s="26"/>
    </row>
    <row r="616" ht="12.75" customHeight="1">
      <c r="A616" s="31"/>
      <c r="B616" s="53"/>
      <c r="C616" s="26"/>
      <c r="D616" s="54"/>
      <c r="E616" s="25"/>
      <c r="F616" s="25"/>
      <c r="G616" s="25"/>
      <c r="H616" s="25"/>
      <c r="I616" s="25"/>
      <c r="J616" s="25"/>
      <c r="K616" s="25"/>
      <c r="L616" s="25"/>
      <c r="M616" s="25"/>
      <c r="N616" s="25"/>
      <c r="O616" s="25"/>
      <c r="P616" s="25"/>
      <c r="Q616" s="26"/>
      <c r="R616" s="26"/>
      <c r="S616" s="26"/>
      <c r="T616" s="26"/>
      <c r="U616" s="26"/>
      <c r="V616" s="26"/>
      <c r="W616" s="26"/>
      <c r="X616" s="26"/>
      <c r="Y616" s="26"/>
      <c r="Z616" s="26"/>
    </row>
    <row r="617" ht="12.75" customHeight="1">
      <c r="A617" s="31"/>
      <c r="B617" s="53"/>
      <c r="C617" s="26"/>
      <c r="D617" s="54"/>
      <c r="E617" s="25"/>
      <c r="F617" s="25"/>
      <c r="G617" s="25"/>
      <c r="H617" s="25"/>
      <c r="I617" s="25"/>
      <c r="J617" s="25"/>
      <c r="K617" s="25"/>
      <c r="L617" s="25"/>
      <c r="M617" s="25"/>
      <c r="N617" s="25"/>
      <c r="O617" s="25"/>
      <c r="P617" s="25"/>
      <c r="Q617" s="26"/>
      <c r="R617" s="26"/>
      <c r="S617" s="26"/>
      <c r="T617" s="26"/>
      <c r="U617" s="26"/>
      <c r="V617" s="26"/>
      <c r="W617" s="26"/>
      <c r="X617" s="26"/>
      <c r="Y617" s="26"/>
      <c r="Z617" s="26"/>
    </row>
    <row r="618" ht="12.75" customHeight="1">
      <c r="A618" s="31"/>
      <c r="B618" s="53"/>
      <c r="C618" s="26"/>
      <c r="D618" s="54"/>
      <c r="E618" s="25"/>
      <c r="F618" s="25"/>
      <c r="G618" s="25"/>
      <c r="H618" s="25"/>
      <c r="I618" s="25"/>
      <c r="J618" s="25"/>
      <c r="K618" s="25"/>
      <c r="L618" s="25"/>
      <c r="M618" s="25"/>
      <c r="N618" s="25"/>
      <c r="O618" s="25"/>
      <c r="P618" s="25"/>
      <c r="Q618" s="26"/>
      <c r="R618" s="26"/>
      <c r="S618" s="26"/>
      <c r="T618" s="26"/>
      <c r="U618" s="26"/>
      <c r="V618" s="26"/>
      <c r="W618" s="26"/>
      <c r="X618" s="26"/>
      <c r="Y618" s="26"/>
      <c r="Z618" s="26"/>
    </row>
    <row r="619" ht="12.75" customHeight="1">
      <c r="A619" s="31"/>
      <c r="B619" s="53"/>
      <c r="C619" s="26"/>
      <c r="D619" s="54"/>
      <c r="E619" s="25"/>
      <c r="F619" s="25"/>
      <c r="G619" s="25"/>
      <c r="H619" s="25"/>
      <c r="I619" s="25"/>
      <c r="J619" s="25"/>
      <c r="K619" s="25"/>
      <c r="L619" s="25"/>
      <c r="M619" s="25"/>
      <c r="N619" s="25"/>
      <c r="O619" s="25"/>
      <c r="P619" s="25"/>
      <c r="Q619" s="26"/>
      <c r="R619" s="26"/>
      <c r="S619" s="26"/>
      <c r="T619" s="26"/>
      <c r="U619" s="26"/>
      <c r="V619" s="26"/>
      <c r="W619" s="26"/>
      <c r="X619" s="26"/>
      <c r="Y619" s="26"/>
      <c r="Z619" s="26"/>
    </row>
    <row r="620" ht="12.75" customHeight="1">
      <c r="A620" s="31"/>
      <c r="B620" s="53"/>
      <c r="C620" s="26"/>
      <c r="D620" s="54"/>
      <c r="E620" s="25"/>
      <c r="F620" s="25"/>
      <c r="G620" s="25"/>
      <c r="H620" s="25"/>
      <c r="I620" s="25"/>
      <c r="J620" s="25"/>
      <c r="K620" s="25"/>
      <c r="L620" s="25"/>
      <c r="M620" s="25"/>
      <c r="N620" s="25"/>
      <c r="O620" s="25"/>
      <c r="P620" s="25"/>
      <c r="Q620" s="26"/>
      <c r="R620" s="26"/>
      <c r="S620" s="26"/>
      <c r="T620" s="26"/>
      <c r="U620" s="26"/>
      <c r="V620" s="26"/>
      <c r="W620" s="26"/>
      <c r="X620" s="26"/>
      <c r="Y620" s="26"/>
      <c r="Z620" s="26"/>
    </row>
    <row r="621" ht="12.75" customHeight="1">
      <c r="A621" s="31"/>
      <c r="B621" s="53"/>
      <c r="C621" s="26"/>
      <c r="D621" s="54"/>
      <c r="E621" s="25"/>
      <c r="F621" s="25"/>
      <c r="G621" s="25"/>
      <c r="H621" s="25"/>
      <c r="I621" s="25"/>
      <c r="J621" s="25"/>
      <c r="K621" s="25"/>
      <c r="L621" s="25"/>
      <c r="M621" s="25"/>
      <c r="N621" s="25"/>
      <c r="O621" s="25"/>
      <c r="P621" s="25"/>
      <c r="Q621" s="26"/>
      <c r="R621" s="26"/>
      <c r="S621" s="26"/>
      <c r="T621" s="26"/>
      <c r="U621" s="26"/>
      <c r="V621" s="26"/>
      <c r="W621" s="26"/>
      <c r="X621" s="26"/>
      <c r="Y621" s="26"/>
      <c r="Z621" s="26"/>
    </row>
    <row r="622" ht="12.75" customHeight="1">
      <c r="A622" s="31"/>
      <c r="B622" s="53"/>
      <c r="C622" s="26"/>
      <c r="D622" s="54"/>
      <c r="E622" s="25"/>
      <c r="F622" s="25"/>
      <c r="G622" s="25"/>
      <c r="H622" s="25"/>
      <c r="I622" s="25"/>
      <c r="J622" s="25"/>
      <c r="K622" s="25"/>
      <c r="L622" s="25"/>
      <c r="M622" s="25"/>
      <c r="N622" s="25"/>
      <c r="O622" s="25"/>
      <c r="P622" s="25"/>
      <c r="Q622" s="26"/>
      <c r="R622" s="26"/>
      <c r="S622" s="26"/>
      <c r="T622" s="26"/>
      <c r="U622" s="26"/>
      <c r="V622" s="26"/>
      <c r="W622" s="26"/>
      <c r="X622" s="26"/>
      <c r="Y622" s="26"/>
      <c r="Z622" s="26"/>
    </row>
    <row r="623" ht="12.75" customHeight="1">
      <c r="A623" s="31"/>
      <c r="B623" s="53"/>
      <c r="C623" s="26"/>
      <c r="D623" s="54"/>
      <c r="E623" s="25"/>
      <c r="F623" s="25"/>
      <c r="G623" s="25"/>
      <c r="H623" s="25"/>
      <c r="I623" s="25"/>
      <c r="J623" s="25"/>
      <c r="K623" s="25"/>
      <c r="L623" s="25"/>
      <c r="M623" s="25"/>
      <c r="N623" s="25"/>
      <c r="O623" s="25"/>
      <c r="P623" s="25"/>
      <c r="Q623" s="26"/>
      <c r="R623" s="26"/>
      <c r="S623" s="26"/>
      <c r="T623" s="26"/>
      <c r="U623" s="26"/>
      <c r="V623" s="26"/>
      <c r="W623" s="26"/>
      <c r="X623" s="26"/>
      <c r="Y623" s="26"/>
      <c r="Z623" s="26"/>
    </row>
    <row r="624" ht="12.75" customHeight="1">
      <c r="A624" s="31"/>
      <c r="B624" s="53"/>
      <c r="C624" s="26"/>
      <c r="D624" s="54"/>
      <c r="E624" s="25"/>
      <c r="F624" s="25"/>
      <c r="G624" s="25"/>
      <c r="H624" s="25"/>
      <c r="I624" s="25"/>
      <c r="J624" s="25"/>
      <c r="K624" s="25"/>
      <c r="L624" s="25"/>
      <c r="M624" s="25"/>
      <c r="N624" s="25"/>
      <c r="O624" s="25"/>
      <c r="P624" s="25"/>
      <c r="Q624" s="26"/>
      <c r="R624" s="26"/>
      <c r="S624" s="26"/>
      <c r="T624" s="26"/>
      <c r="U624" s="26"/>
      <c r="V624" s="26"/>
      <c r="W624" s="26"/>
      <c r="X624" s="26"/>
      <c r="Y624" s="26"/>
      <c r="Z624" s="26"/>
    </row>
    <row r="625" ht="12.75" customHeight="1">
      <c r="A625" s="31"/>
      <c r="B625" s="53"/>
      <c r="C625" s="26"/>
      <c r="D625" s="54"/>
      <c r="E625" s="25"/>
      <c r="F625" s="25"/>
      <c r="G625" s="25"/>
      <c r="H625" s="25"/>
      <c r="I625" s="25"/>
      <c r="J625" s="25"/>
      <c r="K625" s="25"/>
      <c r="L625" s="25"/>
      <c r="M625" s="25"/>
      <c r="N625" s="25"/>
      <c r="O625" s="25"/>
      <c r="P625" s="25"/>
      <c r="Q625" s="26"/>
      <c r="R625" s="26"/>
      <c r="S625" s="26"/>
      <c r="T625" s="26"/>
      <c r="U625" s="26"/>
      <c r="V625" s="26"/>
      <c r="W625" s="26"/>
      <c r="X625" s="26"/>
      <c r="Y625" s="26"/>
      <c r="Z625" s="26"/>
    </row>
    <row r="626" ht="12.75" customHeight="1">
      <c r="A626" s="31"/>
      <c r="B626" s="53"/>
      <c r="C626" s="26"/>
      <c r="D626" s="54"/>
      <c r="E626" s="25"/>
      <c r="F626" s="25"/>
      <c r="G626" s="25"/>
      <c r="H626" s="25"/>
      <c r="I626" s="25"/>
      <c r="J626" s="25"/>
      <c r="K626" s="25"/>
      <c r="L626" s="25"/>
      <c r="M626" s="25"/>
      <c r="N626" s="25"/>
      <c r="O626" s="25"/>
      <c r="P626" s="25"/>
      <c r="Q626" s="26"/>
      <c r="R626" s="26"/>
      <c r="S626" s="26"/>
      <c r="T626" s="26"/>
      <c r="U626" s="26"/>
      <c r="V626" s="26"/>
      <c r="W626" s="26"/>
      <c r="X626" s="26"/>
      <c r="Y626" s="26"/>
      <c r="Z626" s="26"/>
    </row>
    <row r="627" ht="12.75" customHeight="1">
      <c r="A627" s="31"/>
      <c r="B627" s="53"/>
      <c r="C627" s="26"/>
      <c r="D627" s="54"/>
      <c r="E627" s="25"/>
      <c r="F627" s="25"/>
      <c r="G627" s="25"/>
      <c r="H627" s="25"/>
      <c r="I627" s="25"/>
      <c r="J627" s="25"/>
      <c r="K627" s="25"/>
      <c r="L627" s="25"/>
      <c r="M627" s="25"/>
      <c r="N627" s="25"/>
      <c r="O627" s="25"/>
      <c r="P627" s="25"/>
      <c r="Q627" s="26"/>
      <c r="R627" s="26"/>
      <c r="S627" s="26"/>
      <c r="T627" s="26"/>
      <c r="U627" s="26"/>
      <c r="V627" s="26"/>
      <c r="W627" s="26"/>
      <c r="X627" s="26"/>
      <c r="Y627" s="26"/>
      <c r="Z627" s="26"/>
    </row>
    <row r="628" ht="12.75" customHeight="1">
      <c r="A628" s="31"/>
      <c r="B628" s="53"/>
      <c r="C628" s="26"/>
      <c r="D628" s="54"/>
      <c r="E628" s="25"/>
      <c r="F628" s="25"/>
      <c r="G628" s="25"/>
      <c r="H628" s="25"/>
      <c r="I628" s="25"/>
      <c r="J628" s="25"/>
      <c r="K628" s="25"/>
      <c r="L628" s="25"/>
      <c r="M628" s="25"/>
      <c r="N628" s="25"/>
      <c r="O628" s="25"/>
      <c r="P628" s="25"/>
      <c r="Q628" s="26"/>
      <c r="R628" s="26"/>
      <c r="S628" s="26"/>
      <c r="T628" s="26"/>
      <c r="U628" s="26"/>
      <c r="V628" s="26"/>
      <c r="W628" s="26"/>
      <c r="X628" s="26"/>
      <c r="Y628" s="26"/>
      <c r="Z628" s="26"/>
    </row>
    <row r="629" ht="12.75" customHeight="1">
      <c r="A629" s="31"/>
      <c r="B629" s="53"/>
      <c r="C629" s="26"/>
      <c r="D629" s="54"/>
      <c r="E629" s="25"/>
      <c r="F629" s="25"/>
      <c r="G629" s="25"/>
      <c r="H629" s="25"/>
      <c r="I629" s="25"/>
      <c r="J629" s="25"/>
      <c r="K629" s="25"/>
      <c r="L629" s="25"/>
      <c r="M629" s="25"/>
      <c r="N629" s="25"/>
      <c r="O629" s="25"/>
      <c r="P629" s="25"/>
      <c r="Q629" s="26"/>
      <c r="R629" s="26"/>
      <c r="S629" s="26"/>
      <c r="T629" s="26"/>
      <c r="U629" s="26"/>
      <c r="V629" s="26"/>
      <c r="W629" s="26"/>
      <c r="X629" s="26"/>
      <c r="Y629" s="26"/>
      <c r="Z629" s="26"/>
    </row>
    <row r="630" ht="12.75" customHeight="1">
      <c r="A630" s="31"/>
      <c r="B630" s="53"/>
      <c r="C630" s="26"/>
      <c r="D630" s="54"/>
      <c r="E630" s="25"/>
      <c r="F630" s="25"/>
      <c r="G630" s="25"/>
      <c r="H630" s="25"/>
      <c r="I630" s="25"/>
      <c r="J630" s="25"/>
      <c r="K630" s="25"/>
      <c r="L630" s="25"/>
      <c r="M630" s="25"/>
      <c r="N630" s="25"/>
      <c r="O630" s="25"/>
      <c r="P630" s="25"/>
      <c r="Q630" s="26"/>
      <c r="R630" s="26"/>
      <c r="S630" s="26"/>
      <c r="T630" s="26"/>
      <c r="U630" s="26"/>
      <c r="V630" s="26"/>
      <c r="W630" s="26"/>
      <c r="X630" s="26"/>
      <c r="Y630" s="26"/>
      <c r="Z630" s="26"/>
    </row>
    <row r="631" ht="12.75" customHeight="1">
      <c r="A631" s="31"/>
      <c r="B631" s="53"/>
      <c r="C631" s="26"/>
      <c r="D631" s="54"/>
      <c r="E631" s="25"/>
      <c r="F631" s="25"/>
      <c r="G631" s="25"/>
      <c r="H631" s="25"/>
      <c r="I631" s="25"/>
      <c r="J631" s="25"/>
      <c r="K631" s="25"/>
      <c r="L631" s="25"/>
      <c r="M631" s="25"/>
      <c r="N631" s="25"/>
      <c r="O631" s="25"/>
      <c r="P631" s="25"/>
      <c r="Q631" s="26"/>
      <c r="R631" s="26"/>
      <c r="S631" s="26"/>
      <c r="T631" s="26"/>
      <c r="U631" s="26"/>
      <c r="V631" s="26"/>
      <c r="W631" s="26"/>
      <c r="X631" s="26"/>
      <c r="Y631" s="26"/>
      <c r="Z631" s="26"/>
    </row>
    <row r="632" ht="12.75" customHeight="1">
      <c r="A632" s="31"/>
      <c r="B632" s="53"/>
      <c r="C632" s="26"/>
      <c r="D632" s="54"/>
      <c r="E632" s="25"/>
      <c r="F632" s="25"/>
      <c r="G632" s="25"/>
      <c r="H632" s="25"/>
      <c r="I632" s="25"/>
      <c r="J632" s="25"/>
      <c r="K632" s="25"/>
      <c r="L632" s="25"/>
      <c r="M632" s="25"/>
      <c r="N632" s="25"/>
      <c r="O632" s="25"/>
      <c r="P632" s="25"/>
      <c r="Q632" s="26"/>
      <c r="R632" s="26"/>
      <c r="S632" s="26"/>
      <c r="T632" s="26"/>
      <c r="U632" s="26"/>
      <c r="V632" s="26"/>
      <c r="W632" s="26"/>
      <c r="X632" s="26"/>
      <c r="Y632" s="26"/>
      <c r="Z632" s="26"/>
    </row>
    <row r="633" ht="12.75" customHeight="1">
      <c r="A633" s="31"/>
      <c r="B633" s="53"/>
      <c r="C633" s="26"/>
      <c r="D633" s="54"/>
      <c r="E633" s="25"/>
      <c r="F633" s="25"/>
      <c r="G633" s="25"/>
      <c r="H633" s="25"/>
      <c r="I633" s="25"/>
      <c r="J633" s="25"/>
      <c r="K633" s="25"/>
      <c r="L633" s="25"/>
      <c r="M633" s="25"/>
      <c r="N633" s="25"/>
      <c r="O633" s="25"/>
      <c r="P633" s="25"/>
      <c r="Q633" s="26"/>
      <c r="R633" s="26"/>
      <c r="S633" s="26"/>
      <c r="T633" s="26"/>
      <c r="U633" s="26"/>
      <c r="V633" s="26"/>
      <c r="W633" s="26"/>
      <c r="X633" s="26"/>
      <c r="Y633" s="26"/>
      <c r="Z633" s="26"/>
    </row>
    <row r="634" ht="12.75" customHeight="1">
      <c r="A634" s="31"/>
      <c r="B634" s="53"/>
      <c r="C634" s="26"/>
      <c r="D634" s="54"/>
      <c r="E634" s="25"/>
      <c r="F634" s="25"/>
      <c r="G634" s="25"/>
      <c r="H634" s="25"/>
      <c r="I634" s="25"/>
      <c r="J634" s="25"/>
      <c r="K634" s="25"/>
      <c r="L634" s="25"/>
      <c r="M634" s="25"/>
      <c r="N634" s="25"/>
      <c r="O634" s="25"/>
      <c r="P634" s="25"/>
      <c r="Q634" s="26"/>
      <c r="R634" s="26"/>
      <c r="S634" s="26"/>
      <c r="T634" s="26"/>
      <c r="U634" s="26"/>
      <c r="V634" s="26"/>
      <c r="W634" s="26"/>
      <c r="X634" s="26"/>
      <c r="Y634" s="26"/>
      <c r="Z634" s="26"/>
    </row>
    <row r="635" ht="12.75" customHeight="1">
      <c r="A635" s="31"/>
      <c r="B635" s="53"/>
      <c r="C635" s="26"/>
      <c r="D635" s="54"/>
      <c r="E635" s="25"/>
      <c r="F635" s="25"/>
      <c r="G635" s="25"/>
      <c r="H635" s="25"/>
      <c r="I635" s="25"/>
      <c r="J635" s="25"/>
      <c r="K635" s="25"/>
      <c r="L635" s="25"/>
      <c r="M635" s="25"/>
      <c r="N635" s="25"/>
      <c r="O635" s="25"/>
      <c r="P635" s="25"/>
      <c r="Q635" s="26"/>
      <c r="R635" s="26"/>
      <c r="S635" s="26"/>
      <c r="T635" s="26"/>
      <c r="U635" s="26"/>
      <c r="V635" s="26"/>
      <c r="W635" s="26"/>
      <c r="X635" s="26"/>
      <c r="Y635" s="26"/>
      <c r="Z635" s="26"/>
    </row>
    <row r="636" ht="12.75" customHeight="1">
      <c r="A636" s="31"/>
      <c r="B636" s="53"/>
      <c r="C636" s="26"/>
      <c r="D636" s="54"/>
      <c r="E636" s="25"/>
      <c r="F636" s="25"/>
      <c r="G636" s="25"/>
      <c r="H636" s="25"/>
      <c r="I636" s="25"/>
      <c r="J636" s="25"/>
      <c r="K636" s="25"/>
      <c r="L636" s="25"/>
      <c r="M636" s="25"/>
      <c r="N636" s="25"/>
      <c r="O636" s="25"/>
      <c r="P636" s="25"/>
      <c r="Q636" s="26"/>
      <c r="R636" s="26"/>
      <c r="S636" s="26"/>
      <c r="T636" s="26"/>
      <c r="U636" s="26"/>
      <c r="V636" s="26"/>
      <c r="W636" s="26"/>
      <c r="X636" s="26"/>
      <c r="Y636" s="26"/>
      <c r="Z636" s="26"/>
    </row>
    <row r="637" ht="12.75" customHeight="1">
      <c r="A637" s="31"/>
      <c r="B637" s="53"/>
      <c r="C637" s="26"/>
      <c r="D637" s="54"/>
      <c r="E637" s="25"/>
      <c r="F637" s="25"/>
      <c r="G637" s="25"/>
      <c r="H637" s="25"/>
      <c r="I637" s="25"/>
      <c r="J637" s="25"/>
      <c r="K637" s="25"/>
      <c r="L637" s="25"/>
      <c r="M637" s="25"/>
      <c r="N637" s="25"/>
      <c r="O637" s="25"/>
      <c r="P637" s="25"/>
      <c r="Q637" s="26"/>
      <c r="R637" s="26"/>
      <c r="S637" s="26"/>
      <c r="T637" s="26"/>
      <c r="U637" s="26"/>
      <c r="V637" s="26"/>
      <c r="W637" s="26"/>
      <c r="X637" s="26"/>
      <c r="Y637" s="26"/>
      <c r="Z637" s="26"/>
    </row>
    <row r="638" ht="12.75" customHeight="1">
      <c r="A638" s="31"/>
      <c r="B638" s="53"/>
      <c r="C638" s="26"/>
      <c r="D638" s="54"/>
      <c r="E638" s="25"/>
      <c r="F638" s="25"/>
      <c r="G638" s="25"/>
      <c r="H638" s="25"/>
      <c r="I638" s="25"/>
      <c r="J638" s="25"/>
      <c r="K638" s="25"/>
      <c r="L638" s="25"/>
      <c r="M638" s="25"/>
      <c r="N638" s="25"/>
      <c r="O638" s="25"/>
      <c r="P638" s="25"/>
      <c r="Q638" s="26"/>
      <c r="R638" s="26"/>
      <c r="S638" s="26"/>
      <c r="T638" s="26"/>
      <c r="U638" s="26"/>
      <c r="V638" s="26"/>
      <c r="W638" s="26"/>
      <c r="X638" s="26"/>
      <c r="Y638" s="26"/>
      <c r="Z638" s="26"/>
    </row>
    <row r="639" ht="12.75" customHeight="1">
      <c r="A639" s="31"/>
      <c r="B639" s="53"/>
      <c r="C639" s="26"/>
      <c r="D639" s="54"/>
      <c r="E639" s="25"/>
      <c r="F639" s="25"/>
      <c r="G639" s="25"/>
      <c r="H639" s="25"/>
      <c r="I639" s="25"/>
      <c r="J639" s="25"/>
      <c r="K639" s="25"/>
      <c r="L639" s="25"/>
      <c r="M639" s="25"/>
      <c r="N639" s="25"/>
      <c r="O639" s="25"/>
      <c r="P639" s="25"/>
      <c r="Q639" s="26"/>
      <c r="R639" s="26"/>
      <c r="S639" s="26"/>
      <c r="T639" s="26"/>
      <c r="U639" s="26"/>
      <c r="V639" s="26"/>
      <c r="W639" s="26"/>
      <c r="X639" s="26"/>
      <c r="Y639" s="26"/>
      <c r="Z639" s="26"/>
    </row>
    <row r="640" ht="12.75" customHeight="1">
      <c r="A640" s="31"/>
      <c r="B640" s="53"/>
      <c r="C640" s="26"/>
      <c r="D640" s="54"/>
      <c r="E640" s="25"/>
      <c r="F640" s="25"/>
      <c r="G640" s="25"/>
      <c r="H640" s="25"/>
      <c r="I640" s="25"/>
      <c r="J640" s="25"/>
      <c r="K640" s="25"/>
      <c r="L640" s="25"/>
      <c r="M640" s="25"/>
      <c r="N640" s="25"/>
      <c r="O640" s="25"/>
      <c r="P640" s="25"/>
      <c r="Q640" s="26"/>
      <c r="R640" s="26"/>
      <c r="S640" s="26"/>
      <c r="T640" s="26"/>
      <c r="U640" s="26"/>
      <c r="V640" s="26"/>
      <c r="W640" s="26"/>
      <c r="X640" s="26"/>
      <c r="Y640" s="26"/>
      <c r="Z640" s="26"/>
    </row>
    <row r="641" ht="12.75" customHeight="1">
      <c r="A641" s="31"/>
      <c r="B641" s="53"/>
      <c r="C641" s="26"/>
      <c r="D641" s="54"/>
      <c r="E641" s="25"/>
      <c r="F641" s="25"/>
      <c r="G641" s="25"/>
      <c r="H641" s="25"/>
      <c r="I641" s="25"/>
      <c r="J641" s="25"/>
      <c r="K641" s="25"/>
      <c r="L641" s="25"/>
      <c r="M641" s="25"/>
      <c r="N641" s="25"/>
      <c r="O641" s="25"/>
      <c r="P641" s="25"/>
      <c r="Q641" s="26"/>
      <c r="R641" s="26"/>
      <c r="S641" s="26"/>
      <c r="T641" s="26"/>
      <c r="U641" s="26"/>
      <c r="V641" s="26"/>
      <c r="W641" s="26"/>
      <c r="X641" s="26"/>
      <c r="Y641" s="26"/>
      <c r="Z641" s="26"/>
    </row>
    <row r="642" ht="12.75" customHeight="1">
      <c r="A642" s="31"/>
      <c r="B642" s="53"/>
      <c r="C642" s="26"/>
      <c r="D642" s="54"/>
      <c r="E642" s="25"/>
      <c r="F642" s="25"/>
      <c r="G642" s="25"/>
      <c r="H642" s="25"/>
      <c r="I642" s="25"/>
      <c r="J642" s="25"/>
      <c r="K642" s="25"/>
      <c r="L642" s="25"/>
      <c r="M642" s="25"/>
      <c r="N642" s="25"/>
      <c r="O642" s="25"/>
      <c r="P642" s="25"/>
      <c r="Q642" s="26"/>
      <c r="R642" s="26"/>
      <c r="S642" s="26"/>
      <c r="T642" s="26"/>
      <c r="U642" s="26"/>
      <c r="V642" s="26"/>
      <c r="W642" s="26"/>
      <c r="X642" s="26"/>
      <c r="Y642" s="26"/>
      <c r="Z642" s="26"/>
    </row>
    <row r="643" ht="12.75" customHeight="1">
      <c r="A643" s="31"/>
      <c r="B643" s="53"/>
      <c r="C643" s="26"/>
      <c r="D643" s="54"/>
      <c r="E643" s="25"/>
      <c r="F643" s="25"/>
      <c r="G643" s="25"/>
      <c r="H643" s="25"/>
      <c r="I643" s="25"/>
      <c r="J643" s="25"/>
      <c r="K643" s="25"/>
      <c r="L643" s="25"/>
      <c r="M643" s="25"/>
      <c r="N643" s="25"/>
      <c r="O643" s="25"/>
      <c r="P643" s="25"/>
      <c r="Q643" s="26"/>
      <c r="R643" s="26"/>
      <c r="S643" s="26"/>
      <c r="T643" s="26"/>
      <c r="U643" s="26"/>
      <c r="V643" s="26"/>
      <c r="W643" s="26"/>
      <c r="X643" s="26"/>
      <c r="Y643" s="26"/>
      <c r="Z643" s="26"/>
    </row>
    <row r="644" ht="12.75" customHeight="1">
      <c r="A644" s="31"/>
      <c r="B644" s="53"/>
      <c r="C644" s="26"/>
      <c r="D644" s="54"/>
      <c r="E644" s="25"/>
      <c r="F644" s="25"/>
      <c r="G644" s="25"/>
      <c r="H644" s="25"/>
      <c r="I644" s="25"/>
      <c r="J644" s="25"/>
      <c r="K644" s="25"/>
      <c r="L644" s="25"/>
      <c r="M644" s="25"/>
      <c r="N644" s="25"/>
      <c r="O644" s="25"/>
      <c r="P644" s="25"/>
      <c r="Q644" s="26"/>
      <c r="R644" s="26"/>
      <c r="S644" s="26"/>
      <c r="T644" s="26"/>
      <c r="U644" s="26"/>
      <c r="V644" s="26"/>
      <c r="W644" s="26"/>
      <c r="X644" s="26"/>
      <c r="Y644" s="26"/>
      <c r="Z644" s="26"/>
    </row>
    <row r="645" ht="12.75" customHeight="1">
      <c r="A645" s="31"/>
      <c r="B645" s="53"/>
      <c r="C645" s="26"/>
      <c r="D645" s="54"/>
      <c r="E645" s="25"/>
      <c r="F645" s="25"/>
      <c r="G645" s="25"/>
      <c r="H645" s="25"/>
      <c r="I645" s="25"/>
      <c r="J645" s="25"/>
      <c r="K645" s="25"/>
      <c r="L645" s="25"/>
      <c r="M645" s="25"/>
      <c r="N645" s="25"/>
      <c r="O645" s="25"/>
      <c r="P645" s="25"/>
      <c r="Q645" s="26"/>
      <c r="R645" s="26"/>
      <c r="S645" s="26"/>
      <c r="T645" s="26"/>
      <c r="U645" s="26"/>
      <c r="V645" s="26"/>
      <c r="W645" s="26"/>
      <c r="X645" s="26"/>
      <c r="Y645" s="26"/>
      <c r="Z645" s="26"/>
    </row>
    <row r="646" ht="12.75" customHeight="1">
      <c r="A646" s="31"/>
      <c r="B646" s="53"/>
      <c r="C646" s="26"/>
      <c r="D646" s="54"/>
      <c r="E646" s="25"/>
      <c r="F646" s="25"/>
      <c r="G646" s="25"/>
      <c r="H646" s="25"/>
      <c r="I646" s="25"/>
      <c r="J646" s="25"/>
      <c r="K646" s="25"/>
      <c r="L646" s="25"/>
      <c r="M646" s="25"/>
      <c r="N646" s="25"/>
      <c r="O646" s="25"/>
      <c r="P646" s="25"/>
      <c r="Q646" s="26"/>
      <c r="R646" s="26"/>
      <c r="S646" s="26"/>
      <c r="T646" s="26"/>
      <c r="U646" s="26"/>
      <c r="V646" s="26"/>
      <c r="W646" s="26"/>
      <c r="X646" s="26"/>
      <c r="Y646" s="26"/>
      <c r="Z646" s="26"/>
    </row>
    <row r="647" ht="12.75" customHeight="1">
      <c r="A647" s="31"/>
      <c r="B647" s="53"/>
      <c r="C647" s="26"/>
      <c r="D647" s="54"/>
      <c r="E647" s="25"/>
      <c r="F647" s="25"/>
      <c r="G647" s="25"/>
      <c r="H647" s="25"/>
      <c r="I647" s="25"/>
      <c r="J647" s="25"/>
      <c r="K647" s="25"/>
      <c r="L647" s="25"/>
      <c r="M647" s="25"/>
      <c r="N647" s="25"/>
      <c r="O647" s="25"/>
      <c r="P647" s="25"/>
      <c r="Q647" s="26"/>
      <c r="R647" s="26"/>
      <c r="S647" s="26"/>
      <c r="T647" s="26"/>
      <c r="U647" s="26"/>
      <c r="V647" s="26"/>
      <c r="W647" s="26"/>
      <c r="X647" s="26"/>
      <c r="Y647" s="26"/>
      <c r="Z647" s="26"/>
    </row>
    <row r="648" ht="12.75" customHeight="1">
      <c r="A648" s="31"/>
      <c r="B648" s="53"/>
      <c r="C648" s="26"/>
      <c r="D648" s="54"/>
      <c r="E648" s="25"/>
      <c r="F648" s="25"/>
      <c r="G648" s="25"/>
      <c r="H648" s="25"/>
      <c r="I648" s="25"/>
      <c r="J648" s="25"/>
      <c r="K648" s="25"/>
      <c r="L648" s="25"/>
      <c r="M648" s="25"/>
      <c r="N648" s="25"/>
      <c r="O648" s="25"/>
      <c r="P648" s="25"/>
      <c r="Q648" s="26"/>
      <c r="R648" s="26"/>
      <c r="S648" s="26"/>
      <c r="T648" s="26"/>
      <c r="U648" s="26"/>
      <c r="V648" s="26"/>
      <c r="W648" s="26"/>
      <c r="X648" s="26"/>
      <c r="Y648" s="26"/>
      <c r="Z648" s="26"/>
    </row>
    <row r="649" ht="12.75" customHeight="1">
      <c r="A649" s="31"/>
      <c r="B649" s="53"/>
      <c r="C649" s="26"/>
      <c r="D649" s="54"/>
      <c r="E649" s="25"/>
      <c r="F649" s="25"/>
      <c r="G649" s="25"/>
      <c r="H649" s="25"/>
      <c r="I649" s="25"/>
      <c r="J649" s="25"/>
      <c r="K649" s="25"/>
      <c r="L649" s="25"/>
      <c r="M649" s="25"/>
      <c r="N649" s="25"/>
      <c r="O649" s="25"/>
      <c r="P649" s="25"/>
      <c r="Q649" s="26"/>
      <c r="R649" s="26"/>
      <c r="S649" s="26"/>
      <c r="T649" s="26"/>
      <c r="U649" s="26"/>
      <c r="V649" s="26"/>
      <c r="W649" s="26"/>
      <c r="X649" s="26"/>
      <c r="Y649" s="26"/>
      <c r="Z649" s="26"/>
    </row>
    <row r="650" ht="12.75" customHeight="1">
      <c r="A650" s="31"/>
      <c r="B650" s="53"/>
      <c r="C650" s="26"/>
      <c r="D650" s="54"/>
      <c r="E650" s="25"/>
      <c r="F650" s="25"/>
      <c r="G650" s="25"/>
      <c r="H650" s="25"/>
      <c r="I650" s="25"/>
      <c r="J650" s="25"/>
      <c r="K650" s="25"/>
      <c r="L650" s="25"/>
      <c r="M650" s="25"/>
      <c r="N650" s="25"/>
      <c r="O650" s="25"/>
      <c r="P650" s="25"/>
      <c r="Q650" s="26"/>
      <c r="R650" s="26"/>
      <c r="S650" s="26"/>
      <c r="T650" s="26"/>
      <c r="U650" s="26"/>
      <c r="V650" s="26"/>
      <c r="W650" s="26"/>
      <c r="X650" s="26"/>
      <c r="Y650" s="26"/>
      <c r="Z650" s="26"/>
    </row>
    <row r="651" ht="12.75" customHeight="1">
      <c r="A651" s="31"/>
      <c r="B651" s="53"/>
      <c r="C651" s="26"/>
      <c r="D651" s="54"/>
      <c r="E651" s="25"/>
      <c r="F651" s="25"/>
      <c r="G651" s="25"/>
      <c r="H651" s="25"/>
      <c r="I651" s="25"/>
      <c r="J651" s="25"/>
      <c r="K651" s="25"/>
      <c r="L651" s="25"/>
      <c r="M651" s="25"/>
      <c r="N651" s="25"/>
      <c r="O651" s="25"/>
      <c r="P651" s="25"/>
      <c r="Q651" s="26"/>
      <c r="R651" s="26"/>
      <c r="S651" s="26"/>
      <c r="T651" s="26"/>
      <c r="U651" s="26"/>
      <c r="V651" s="26"/>
      <c r="W651" s="26"/>
      <c r="X651" s="26"/>
      <c r="Y651" s="26"/>
      <c r="Z651" s="26"/>
    </row>
    <row r="652" ht="12.75" customHeight="1">
      <c r="A652" s="31"/>
      <c r="B652" s="53"/>
      <c r="C652" s="26"/>
      <c r="D652" s="54"/>
      <c r="E652" s="25"/>
      <c r="F652" s="25"/>
      <c r="G652" s="25"/>
      <c r="H652" s="25"/>
      <c r="I652" s="25"/>
      <c r="J652" s="25"/>
      <c r="K652" s="25"/>
      <c r="L652" s="25"/>
      <c r="M652" s="25"/>
      <c r="N652" s="25"/>
      <c r="O652" s="25"/>
      <c r="P652" s="25"/>
      <c r="Q652" s="26"/>
      <c r="R652" s="26"/>
      <c r="S652" s="26"/>
      <c r="T652" s="26"/>
      <c r="U652" s="26"/>
      <c r="V652" s="26"/>
      <c r="W652" s="26"/>
      <c r="X652" s="26"/>
      <c r="Y652" s="26"/>
      <c r="Z652" s="26"/>
    </row>
    <row r="653" ht="12.75" customHeight="1">
      <c r="A653" s="31"/>
      <c r="B653" s="53"/>
      <c r="C653" s="26"/>
      <c r="D653" s="54"/>
      <c r="E653" s="25"/>
      <c r="F653" s="25"/>
      <c r="G653" s="25"/>
      <c r="H653" s="25"/>
      <c r="I653" s="25"/>
      <c r="J653" s="25"/>
      <c r="K653" s="25"/>
      <c r="L653" s="25"/>
      <c r="M653" s="25"/>
      <c r="N653" s="25"/>
      <c r="O653" s="25"/>
      <c r="P653" s="25"/>
      <c r="Q653" s="26"/>
      <c r="R653" s="26"/>
      <c r="S653" s="26"/>
      <c r="T653" s="26"/>
      <c r="U653" s="26"/>
      <c r="V653" s="26"/>
      <c r="W653" s="26"/>
      <c r="X653" s="26"/>
      <c r="Y653" s="26"/>
      <c r="Z653" s="26"/>
    </row>
    <row r="654" ht="12.75" customHeight="1">
      <c r="A654" s="31"/>
      <c r="B654" s="53"/>
      <c r="C654" s="26"/>
      <c r="D654" s="54"/>
      <c r="E654" s="25"/>
      <c r="F654" s="25"/>
      <c r="G654" s="25"/>
      <c r="H654" s="25"/>
      <c r="I654" s="25"/>
      <c r="J654" s="25"/>
      <c r="K654" s="25"/>
      <c r="L654" s="25"/>
      <c r="M654" s="25"/>
      <c r="N654" s="25"/>
      <c r="O654" s="25"/>
      <c r="P654" s="25"/>
      <c r="Q654" s="26"/>
      <c r="R654" s="26"/>
      <c r="S654" s="26"/>
      <c r="T654" s="26"/>
      <c r="U654" s="26"/>
      <c r="V654" s="26"/>
      <c r="W654" s="26"/>
      <c r="X654" s="26"/>
      <c r="Y654" s="26"/>
      <c r="Z654" s="26"/>
    </row>
    <row r="655" ht="12.75" customHeight="1">
      <c r="A655" s="31"/>
      <c r="B655" s="53"/>
      <c r="C655" s="26"/>
      <c r="D655" s="54"/>
      <c r="E655" s="25"/>
      <c r="F655" s="25"/>
      <c r="G655" s="25"/>
      <c r="H655" s="25"/>
      <c r="I655" s="25"/>
      <c r="J655" s="25"/>
      <c r="K655" s="25"/>
      <c r="L655" s="25"/>
      <c r="M655" s="25"/>
      <c r="N655" s="25"/>
      <c r="O655" s="25"/>
      <c r="P655" s="25"/>
      <c r="Q655" s="26"/>
      <c r="R655" s="26"/>
      <c r="S655" s="26"/>
      <c r="T655" s="26"/>
      <c r="U655" s="26"/>
      <c r="V655" s="26"/>
      <c r="W655" s="26"/>
      <c r="X655" s="26"/>
      <c r="Y655" s="26"/>
      <c r="Z655" s="26"/>
    </row>
    <row r="656" ht="12.75" customHeight="1">
      <c r="A656" s="31"/>
      <c r="B656" s="53"/>
      <c r="C656" s="26"/>
      <c r="D656" s="54"/>
      <c r="E656" s="25"/>
      <c r="F656" s="25"/>
      <c r="G656" s="25"/>
      <c r="H656" s="25"/>
      <c r="I656" s="25"/>
      <c r="J656" s="25"/>
      <c r="K656" s="25"/>
      <c r="L656" s="25"/>
      <c r="M656" s="25"/>
      <c r="N656" s="25"/>
      <c r="O656" s="25"/>
      <c r="P656" s="25"/>
      <c r="Q656" s="26"/>
      <c r="R656" s="26"/>
      <c r="S656" s="26"/>
      <c r="T656" s="26"/>
      <c r="U656" s="26"/>
      <c r="V656" s="26"/>
      <c r="W656" s="26"/>
      <c r="X656" s="26"/>
      <c r="Y656" s="26"/>
      <c r="Z656" s="26"/>
    </row>
    <row r="657" ht="12.75" customHeight="1">
      <c r="A657" s="31"/>
      <c r="B657" s="53"/>
      <c r="C657" s="26"/>
      <c r="D657" s="54"/>
      <c r="E657" s="25"/>
      <c r="F657" s="25"/>
      <c r="G657" s="25"/>
      <c r="H657" s="25"/>
      <c r="I657" s="25"/>
      <c r="J657" s="25"/>
      <c r="K657" s="25"/>
      <c r="L657" s="25"/>
      <c r="M657" s="25"/>
      <c r="N657" s="25"/>
      <c r="O657" s="25"/>
      <c r="P657" s="25"/>
      <c r="Q657" s="26"/>
      <c r="R657" s="26"/>
      <c r="S657" s="26"/>
      <c r="T657" s="26"/>
      <c r="U657" s="26"/>
      <c r="V657" s="26"/>
      <c r="W657" s="26"/>
      <c r="X657" s="26"/>
      <c r="Y657" s="26"/>
      <c r="Z657" s="26"/>
    </row>
    <row r="658" ht="12.75" customHeight="1">
      <c r="A658" s="31"/>
      <c r="B658" s="53"/>
      <c r="C658" s="26"/>
      <c r="D658" s="54"/>
      <c r="E658" s="25"/>
      <c r="F658" s="25"/>
      <c r="G658" s="25"/>
      <c r="H658" s="25"/>
      <c r="I658" s="25"/>
      <c r="J658" s="25"/>
      <c r="K658" s="25"/>
      <c r="L658" s="25"/>
      <c r="M658" s="25"/>
      <c r="N658" s="25"/>
      <c r="O658" s="25"/>
      <c r="P658" s="25"/>
      <c r="Q658" s="26"/>
      <c r="R658" s="26"/>
      <c r="S658" s="26"/>
      <c r="T658" s="26"/>
      <c r="U658" s="26"/>
      <c r="V658" s="26"/>
      <c r="W658" s="26"/>
      <c r="X658" s="26"/>
      <c r="Y658" s="26"/>
      <c r="Z658" s="26"/>
    </row>
    <row r="659" ht="12.75" customHeight="1">
      <c r="A659" s="31"/>
      <c r="B659" s="53"/>
      <c r="C659" s="26"/>
      <c r="D659" s="54"/>
      <c r="E659" s="25"/>
      <c r="F659" s="25"/>
      <c r="G659" s="25"/>
      <c r="H659" s="25"/>
      <c r="I659" s="25"/>
      <c r="J659" s="25"/>
      <c r="K659" s="25"/>
      <c r="L659" s="25"/>
      <c r="M659" s="25"/>
      <c r="N659" s="25"/>
      <c r="O659" s="25"/>
      <c r="P659" s="25"/>
      <c r="Q659" s="26"/>
      <c r="R659" s="26"/>
      <c r="S659" s="26"/>
      <c r="T659" s="26"/>
      <c r="U659" s="26"/>
      <c r="V659" s="26"/>
      <c r="W659" s="26"/>
      <c r="X659" s="26"/>
      <c r="Y659" s="26"/>
      <c r="Z659" s="26"/>
    </row>
    <row r="660" ht="12.75" customHeight="1">
      <c r="A660" s="31"/>
      <c r="B660" s="53"/>
      <c r="C660" s="26"/>
      <c r="D660" s="54"/>
      <c r="E660" s="25"/>
      <c r="F660" s="25"/>
      <c r="G660" s="25"/>
      <c r="H660" s="25"/>
      <c r="I660" s="25"/>
      <c r="J660" s="25"/>
      <c r="K660" s="25"/>
      <c r="L660" s="25"/>
      <c r="M660" s="25"/>
      <c r="N660" s="25"/>
      <c r="O660" s="25"/>
      <c r="P660" s="25"/>
      <c r="Q660" s="26"/>
      <c r="R660" s="26"/>
      <c r="S660" s="26"/>
      <c r="T660" s="26"/>
      <c r="U660" s="26"/>
      <c r="V660" s="26"/>
      <c r="W660" s="26"/>
      <c r="X660" s="26"/>
      <c r="Y660" s="26"/>
      <c r="Z660" s="26"/>
    </row>
    <row r="661" ht="12.75" customHeight="1">
      <c r="A661" s="31"/>
      <c r="B661" s="53"/>
      <c r="C661" s="26"/>
      <c r="D661" s="54"/>
      <c r="E661" s="25"/>
      <c r="F661" s="25"/>
      <c r="G661" s="25"/>
      <c r="H661" s="25"/>
      <c r="I661" s="25"/>
      <c r="J661" s="25"/>
      <c r="K661" s="25"/>
      <c r="L661" s="25"/>
      <c r="M661" s="25"/>
      <c r="N661" s="25"/>
      <c r="O661" s="25"/>
      <c r="P661" s="25"/>
      <c r="Q661" s="26"/>
      <c r="R661" s="26"/>
      <c r="S661" s="26"/>
      <c r="T661" s="26"/>
      <c r="U661" s="26"/>
      <c r="V661" s="26"/>
      <c r="W661" s="26"/>
      <c r="X661" s="26"/>
      <c r="Y661" s="26"/>
      <c r="Z661" s="26"/>
    </row>
    <row r="662" ht="12.75" customHeight="1">
      <c r="A662" s="31"/>
      <c r="B662" s="53"/>
      <c r="C662" s="26"/>
      <c r="D662" s="54"/>
      <c r="E662" s="25"/>
      <c r="F662" s="25"/>
      <c r="G662" s="25"/>
      <c r="H662" s="25"/>
      <c r="I662" s="25"/>
      <c r="J662" s="25"/>
      <c r="K662" s="25"/>
      <c r="L662" s="25"/>
      <c r="M662" s="25"/>
      <c r="N662" s="25"/>
      <c r="O662" s="25"/>
      <c r="P662" s="25"/>
      <c r="Q662" s="26"/>
      <c r="R662" s="26"/>
      <c r="S662" s="26"/>
      <c r="T662" s="26"/>
      <c r="U662" s="26"/>
      <c r="V662" s="26"/>
      <c r="W662" s="26"/>
      <c r="X662" s="26"/>
      <c r="Y662" s="26"/>
      <c r="Z662" s="26"/>
    </row>
    <row r="663" ht="12.75" customHeight="1">
      <c r="A663" s="31"/>
      <c r="B663" s="53"/>
      <c r="C663" s="26"/>
      <c r="D663" s="54"/>
      <c r="E663" s="25"/>
      <c r="F663" s="25"/>
      <c r="G663" s="25"/>
      <c r="H663" s="25"/>
      <c r="I663" s="25"/>
      <c r="J663" s="25"/>
      <c r="K663" s="25"/>
      <c r="L663" s="25"/>
      <c r="M663" s="25"/>
      <c r="N663" s="25"/>
      <c r="O663" s="25"/>
      <c r="P663" s="25"/>
      <c r="Q663" s="26"/>
      <c r="R663" s="26"/>
      <c r="S663" s="26"/>
      <c r="T663" s="26"/>
      <c r="U663" s="26"/>
      <c r="V663" s="26"/>
      <c r="W663" s="26"/>
      <c r="X663" s="26"/>
      <c r="Y663" s="26"/>
      <c r="Z663" s="26"/>
    </row>
    <row r="664" ht="12.75" customHeight="1">
      <c r="A664" s="31"/>
      <c r="B664" s="53"/>
      <c r="C664" s="26"/>
      <c r="D664" s="54"/>
      <c r="E664" s="25"/>
      <c r="F664" s="25"/>
      <c r="G664" s="25"/>
      <c r="H664" s="25"/>
      <c r="I664" s="25"/>
      <c r="J664" s="25"/>
      <c r="K664" s="25"/>
      <c r="L664" s="25"/>
      <c r="M664" s="25"/>
      <c r="N664" s="25"/>
      <c r="O664" s="25"/>
      <c r="P664" s="25"/>
      <c r="Q664" s="26"/>
      <c r="R664" s="26"/>
      <c r="S664" s="26"/>
      <c r="T664" s="26"/>
      <c r="U664" s="26"/>
      <c r="V664" s="26"/>
      <c r="W664" s="26"/>
      <c r="X664" s="26"/>
      <c r="Y664" s="26"/>
      <c r="Z664" s="26"/>
    </row>
    <row r="665" ht="12.75" customHeight="1">
      <c r="A665" s="31"/>
      <c r="B665" s="53"/>
      <c r="C665" s="26"/>
      <c r="D665" s="54"/>
      <c r="E665" s="25"/>
      <c r="F665" s="25"/>
      <c r="G665" s="25"/>
      <c r="H665" s="25"/>
      <c r="I665" s="25"/>
      <c r="J665" s="25"/>
      <c r="K665" s="25"/>
      <c r="L665" s="25"/>
      <c r="M665" s="25"/>
      <c r="N665" s="25"/>
      <c r="O665" s="25"/>
      <c r="P665" s="25"/>
      <c r="Q665" s="26"/>
      <c r="R665" s="26"/>
      <c r="S665" s="26"/>
      <c r="T665" s="26"/>
      <c r="U665" s="26"/>
      <c r="V665" s="26"/>
      <c r="W665" s="26"/>
      <c r="X665" s="26"/>
      <c r="Y665" s="26"/>
      <c r="Z665" s="26"/>
    </row>
    <row r="666" ht="12.75" customHeight="1">
      <c r="A666" s="31"/>
      <c r="B666" s="53"/>
      <c r="C666" s="26"/>
      <c r="D666" s="54"/>
      <c r="E666" s="25"/>
      <c r="F666" s="25"/>
      <c r="G666" s="25"/>
      <c r="H666" s="25"/>
      <c r="I666" s="25"/>
      <c r="J666" s="25"/>
      <c r="K666" s="25"/>
      <c r="L666" s="25"/>
      <c r="M666" s="25"/>
      <c r="N666" s="25"/>
      <c r="O666" s="25"/>
      <c r="P666" s="25"/>
      <c r="Q666" s="26"/>
      <c r="R666" s="26"/>
      <c r="S666" s="26"/>
      <c r="T666" s="26"/>
      <c r="U666" s="26"/>
      <c r="V666" s="26"/>
      <c r="W666" s="26"/>
      <c r="X666" s="26"/>
      <c r="Y666" s="26"/>
      <c r="Z666" s="26"/>
    </row>
    <row r="667" ht="12.75" customHeight="1">
      <c r="A667" s="31"/>
      <c r="B667" s="53"/>
      <c r="C667" s="26"/>
      <c r="D667" s="54"/>
      <c r="E667" s="25"/>
      <c r="F667" s="25"/>
      <c r="G667" s="25"/>
      <c r="H667" s="25"/>
      <c r="I667" s="25"/>
      <c r="J667" s="25"/>
      <c r="K667" s="25"/>
      <c r="L667" s="25"/>
      <c r="M667" s="25"/>
      <c r="N667" s="25"/>
      <c r="O667" s="25"/>
      <c r="P667" s="25"/>
      <c r="Q667" s="26"/>
      <c r="R667" s="26"/>
      <c r="S667" s="26"/>
      <c r="T667" s="26"/>
      <c r="U667" s="26"/>
      <c r="V667" s="26"/>
      <c r="W667" s="26"/>
      <c r="X667" s="26"/>
      <c r="Y667" s="26"/>
      <c r="Z667" s="26"/>
    </row>
    <row r="668" ht="12.75" customHeight="1">
      <c r="A668" s="31"/>
      <c r="B668" s="53"/>
      <c r="C668" s="26"/>
      <c r="D668" s="54"/>
      <c r="E668" s="25"/>
      <c r="F668" s="25"/>
      <c r="G668" s="25"/>
      <c r="H668" s="25"/>
      <c r="I668" s="25"/>
      <c r="J668" s="25"/>
      <c r="K668" s="25"/>
      <c r="L668" s="25"/>
      <c r="M668" s="25"/>
      <c r="N668" s="25"/>
      <c r="O668" s="25"/>
      <c r="P668" s="25"/>
      <c r="Q668" s="26"/>
      <c r="R668" s="26"/>
      <c r="S668" s="26"/>
      <c r="T668" s="26"/>
      <c r="U668" s="26"/>
      <c r="V668" s="26"/>
      <c r="W668" s="26"/>
      <c r="X668" s="26"/>
      <c r="Y668" s="26"/>
      <c r="Z668" s="26"/>
    </row>
    <row r="669" ht="12.75" customHeight="1">
      <c r="A669" s="31"/>
      <c r="B669" s="53"/>
      <c r="C669" s="26"/>
      <c r="D669" s="54"/>
      <c r="E669" s="25"/>
      <c r="F669" s="25"/>
      <c r="G669" s="25"/>
      <c r="H669" s="25"/>
      <c r="I669" s="25"/>
      <c r="J669" s="25"/>
      <c r="K669" s="25"/>
      <c r="L669" s="25"/>
      <c r="M669" s="25"/>
      <c r="N669" s="25"/>
      <c r="O669" s="25"/>
      <c r="P669" s="25"/>
      <c r="Q669" s="26"/>
      <c r="R669" s="26"/>
      <c r="S669" s="26"/>
      <c r="T669" s="26"/>
      <c r="U669" s="26"/>
      <c r="V669" s="26"/>
      <c r="W669" s="26"/>
      <c r="X669" s="26"/>
      <c r="Y669" s="26"/>
      <c r="Z669" s="26"/>
    </row>
    <row r="670" ht="12.75" customHeight="1">
      <c r="A670" s="31"/>
      <c r="B670" s="53"/>
      <c r="C670" s="26"/>
      <c r="D670" s="54"/>
      <c r="E670" s="25"/>
      <c r="F670" s="25"/>
      <c r="G670" s="25"/>
      <c r="H670" s="25"/>
      <c r="I670" s="25"/>
      <c r="J670" s="25"/>
      <c r="K670" s="25"/>
      <c r="L670" s="25"/>
      <c r="M670" s="25"/>
      <c r="N670" s="25"/>
      <c r="O670" s="25"/>
      <c r="P670" s="25"/>
      <c r="Q670" s="26"/>
      <c r="R670" s="26"/>
      <c r="S670" s="26"/>
      <c r="T670" s="26"/>
      <c r="U670" s="26"/>
      <c r="V670" s="26"/>
      <c r="W670" s="26"/>
      <c r="X670" s="26"/>
      <c r="Y670" s="26"/>
      <c r="Z670" s="26"/>
    </row>
    <row r="671" ht="12.75" customHeight="1">
      <c r="A671" s="31"/>
      <c r="B671" s="53"/>
      <c r="C671" s="26"/>
      <c r="D671" s="54"/>
      <c r="E671" s="25"/>
      <c r="F671" s="25"/>
      <c r="G671" s="25"/>
      <c r="H671" s="25"/>
      <c r="I671" s="25"/>
      <c r="J671" s="25"/>
      <c r="K671" s="25"/>
      <c r="L671" s="25"/>
      <c r="M671" s="25"/>
      <c r="N671" s="25"/>
      <c r="O671" s="25"/>
      <c r="P671" s="25"/>
      <c r="Q671" s="26"/>
      <c r="R671" s="26"/>
      <c r="S671" s="26"/>
      <c r="T671" s="26"/>
      <c r="U671" s="26"/>
      <c r="V671" s="26"/>
      <c r="W671" s="26"/>
      <c r="X671" s="26"/>
      <c r="Y671" s="26"/>
      <c r="Z671" s="26"/>
    </row>
    <row r="672" ht="12.75" customHeight="1">
      <c r="A672" s="31"/>
      <c r="B672" s="53"/>
      <c r="C672" s="26"/>
      <c r="D672" s="54"/>
      <c r="E672" s="25"/>
      <c r="F672" s="25"/>
      <c r="G672" s="25"/>
      <c r="H672" s="25"/>
      <c r="I672" s="25"/>
      <c r="J672" s="25"/>
      <c r="K672" s="25"/>
      <c r="L672" s="25"/>
      <c r="M672" s="25"/>
      <c r="N672" s="25"/>
      <c r="O672" s="25"/>
      <c r="P672" s="25"/>
      <c r="Q672" s="26"/>
      <c r="R672" s="26"/>
      <c r="S672" s="26"/>
      <c r="T672" s="26"/>
      <c r="U672" s="26"/>
      <c r="V672" s="26"/>
      <c r="W672" s="26"/>
      <c r="X672" s="26"/>
      <c r="Y672" s="26"/>
      <c r="Z672" s="26"/>
    </row>
    <row r="673" ht="12.75" customHeight="1">
      <c r="A673" s="31"/>
      <c r="B673" s="53"/>
      <c r="C673" s="26"/>
      <c r="D673" s="54"/>
      <c r="E673" s="25"/>
      <c r="F673" s="25"/>
      <c r="G673" s="25"/>
      <c r="H673" s="25"/>
      <c r="I673" s="25"/>
      <c r="J673" s="25"/>
      <c r="K673" s="25"/>
      <c r="L673" s="25"/>
      <c r="M673" s="25"/>
      <c r="N673" s="25"/>
      <c r="O673" s="25"/>
      <c r="P673" s="25"/>
      <c r="Q673" s="26"/>
      <c r="R673" s="26"/>
      <c r="S673" s="26"/>
      <c r="T673" s="26"/>
      <c r="U673" s="26"/>
      <c r="V673" s="26"/>
      <c r="W673" s="26"/>
      <c r="X673" s="26"/>
      <c r="Y673" s="26"/>
      <c r="Z673" s="26"/>
    </row>
    <row r="674" ht="12.75" customHeight="1">
      <c r="A674" s="31"/>
      <c r="B674" s="53"/>
      <c r="C674" s="26"/>
      <c r="D674" s="54"/>
      <c r="E674" s="25"/>
      <c r="F674" s="25"/>
      <c r="G674" s="25"/>
      <c r="H674" s="25"/>
      <c r="I674" s="25"/>
      <c r="J674" s="25"/>
      <c r="K674" s="25"/>
      <c r="L674" s="25"/>
      <c r="M674" s="25"/>
      <c r="N674" s="25"/>
      <c r="O674" s="25"/>
      <c r="P674" s="25"/>
      <c r="Q674" s="26"/>
      <c r="R674" s="26"/>
      <c r="S674" s="26"/>
      <c r="T674" s="26"/>
      <c r="U674" s="26"/>
      <c r="V674" s="26"/>
      <c r="W674" s="26"/>
      <c r="X674" s="26"/>
      <c r="Y674" s="26"/>
      <c r="Z674" s="26"/>
    </row>
    <row r="675" ht="12.75" customHeight="1">
      <c r="A675" s="31"/>
      <c r="B675" s="53"/>
      <c r="C675" s="26"/>
      <c r="D675" s="54"/>
      <c r="E675" s="25"/>
      <c r="F675" s="25"/>
      <c r="G675" s="25"/>
      <c r="H675" s="25"/>
      <c r="I675" s="25"/>
      <c r="J675" s="25"/>
      <c r="K675" s="25"/>
      <c r="L675" s="25"/>
      <c r="M675" s="25"/>
      <c r="N675" s="25"/>
      <c r="O675" s="25"/>
      <c r="P675" s="25"/>
      <c r="Q675" s="26"/>
      <c r="R675" s="26"/>
      <c r="S675" s="26"/>
      <c r="T675" s="26"/>
      <c r="U675" s="26"/>
      <c r="V675" s="26"/>
      <c r="W675" s="26"/>
      <c r="X675" s="26"/>
      <c r="Y675" s="26"/>
      <c r="Z675" s="26"/>
    </row>
    <row r="676" ht="12.75" customHeight="1">
      <c r="A676" s="31"/>
      <c r="B676" s="53"/>
      <c r="C676" s="26"/>
      <c r="D676" s="54"/>
      <c r="E676" s="25"/>
      <c r="F676" s="25"/>
      <c r="G676" s="25"/>
      <c r="H676" s="25"/>
      <c r="I676" s="25"/>
      <c r="J676" s="25"/>
      <c r="K676" s="25"/>
      <c r="L676" s="25"/>
      <c r="M676" s="25"/>
      <c r="N676" s="25"/>
      <c r="O676" s="25"/>
      <c r="P676" s="25"/>
      <c r="Q676" s="26"/>
      <c r="R676" s="26"/>
      <c r="S676" s="26"/>
      <c r="T676" s="26"/>
      <c r="U676" s="26"/>
      <c r="V676" s="26"/>
      <c r="W676" s="26"/>
      <c r="X676" s="26"/>
      <c r="Y676" s="26"/>
      <c r="Z676" s="26"/>
    </row>
    <row r="677" ht="12.75" customHeight="1">
      <c r="A677" s="31"/>
      <c r="B677" s="53"/>
      <c r="C677" s="26"/>
      <c r="D677" s="54"/>
      <c r="E677" s="25"/>
      <c r="F677" s="25"/>
      <c r="G677" s="25"/>
      <c r="H677" s="25"/>
      <c r="I677" s="25"/>
      <c r="J677" s="25"/>
      <c r="K677" s="25"/>
      <c r="L677" s="25"/>
      <c r="M677" s="25"/>
      <c r="N677" s="25"/>
      <c r="O677" s="25"/>
      <c r="P677" s="25"/>
      <c r="Q677" s="26"/>
      <c r="R677" s="26"/>
      <c r="S677" s="26"/>
      <c r="T677" s="26"/>
      <c r="U677" s="26"/>
      <c r="V677" s="26"/>
      <c r="W677" s="26"/>
      <c r="X677" s="26"/>
      <c r="Y677" s="26"/>
      <c r="Z677" s="26"/>
    </row>
    <row r="678" ht="12.75" customHeight="1">
      <c r="A678" s="31"/>
      <c r="B678" s="53"/>
      <c r="C678" s="26"/>
      <c r="D678" s="54"/>
      <c r="E678" s="25"/>
      <c r="F678" s="25"/>
      <c r="G678" s="25"/>
      <c r="H678" s="25"/>
      <c r="I678" s="25"/>
      <c r="J678" s="25"/>
      <c r="K678" s="25"/>
      <c r="L678" s="25"/>
      <c r="M678" s="25"/>
      <c r="N678" s="25"/>
      <c r="O678" s="25"/>
      <c r="P678" s="25"/>
      <c r="Q678" s="26"/>
      <c r="R678" s="26"/>
      <c r="S678" s="26"/>
      <c r="T678" s="26"/>
      <c r="U678" s="26"/>
      <c r="V678" s="26"/>
      <c r="W678" s="26"/>
      <c r="X678" s="26"/>
      <c r="Y678" s="26"/>
      <c r="Z678" s="26"/>
    </row>
    <row r="679" ht="12.75" customHeight="1">
      <c r="A679" s="31"/>
      <c r="B679" s="53"/>
      <c r="C679" s="26"/>
      <c r="D679" s="54"/>
      <c r="E679" s="25"/>
      <c r="F679" s="25"/>
      <c r="G679" s="25"/>
      <c r="H679" s="25"/>
      <c r="I679" s="25"/>
      <c r="J679" s="25"/>
      <c r="K679" s="25"/>
      <c r="L679" s="25"/>
      <c r="M679" s="25"/>
      <c r="N679" s="25"/>
      <c r="O679" s="25"/>
      <c r="P679" s="25"/>
      <c r="Q679" s="26"/>
      <c r="R679" s="26"/>
      <c r="S679" s="26"/>
      <c r="T679" s="26"/>
      <c r="U679" s="26"/>
      <c r="V679" s="26"/>
      <c r="W679" s="26"/>
      <c r="X679" s="26"/>
      <c r="Y679" s="26"/>
      <c r="Z679" s="26"/>
    </row>
    <row r="680" ht="12.75" customHeight="1">
      <c r="A680" s="31"/>
      <c r="B680" s="53"/>
      <c r="C680" s="26"/>
      <c r="D680" s="54"/>
      <c r="E680" s="25"/>
      <c r="F680" s="25"/>
      <c r="G680" s="25"/>
      <c r="H680" s="25"/>
      <c r="I680" s="25"/>
      <c r="J680" s="25"/>
      <c r="K680" s="25"/>
      <c r="L680" s="25"/>
      <c r="M680" s="25"/>
      <c r="N680" s="25"/>
      <c r="O680" s="25"/>
      <c r="P680" s="25"/>
      <c r="Q680" s="26"/>
      <c r="R680" s="26"/>
      <c r="S680" s="26"/>
      <c r="T680" s="26"/>
      <c r="U680" s="26"/>
      <c r="V680" s="26"/>
      <c r="W680" s="26"/>
      <c r="X680" s="26"/>
      <c r="Y680" s="26"/>
      <c r="Z680" s="26"/>
    </row>
    <row r="681" ht="12.75" customHeight="1">
      <c r="A681" s="31"/>
      <c r="B681" s="53"/>
      <c r="C681" s="26"/>
      <c r="D681" s="54"/>
      <c r="E681" s="25"/>
      <c r="F681" s="25"/>
      <c r="G681" s="25"/>
      <c r="H681" s="25"/>
      <c r="I681" s="25"/>
      <c r="J681" s="25"/>
      <c r="K681" s="25"/>
      <c r="L681" s="25"/>
      <c r="M681" s="25"/>
      <c r="N681" s="25"/>
      <c r="O681" s="25"/>
      <c r="P681" s="25"/>
      <c r="Q681" s="26"/>
      <c r="R681" s="26"/>
      <c r="S681" s="26"/>
      <c r="T681" s="26"/>
      <c r="U681" s="26"/>
      <c r="V681" s="26"/>
      <c r="W681" s="26"/>
      <c r="X681" s="26"/>
      <c r="Y681" s="26"/>
      <c r="Z681" s="26"/>
    </row>
    <row r="682" ht="12.75" customHeight="1">
      <c r="A682" s="31"/>
      <c r="B682" s="53"/>
      <c r="C682" s="26"/>
      <c r="D682" s="54"/>
      <c r="E682" s="25"/>
      <c r="F682" s="25"/>
      <c r="G682" s="25"/>
      <c r="H682" s="25"/>
      <c r="I682" s="25"/>
      <c r="J682" s="25"/>
      <c r="K682" s="25"/>
      <c r="L682" s="25"/>
      <c r="M682" s="25"/>
      <c r="N682" s="25"/>
      <c r="O682" s="25"/>
      <c r="P682" s="25"/>
      <c r="Q682" s="26"/>
      <c r="R682" s="26"/>
      <c r="S682" s="26"/>
      <c r="T682" s="26"/>
      <c r="U682" s="26"/>
      <c r="V682" s="26"/>
      <c r="W682" s="26"/>
      <c r="X682" s="26"/>
      <c r="Y682" s="26"/>
      <c r="Z682" s="26"/>
    </row>
    <row r="683" ht="12.75" customHeight="1">
      <c r="A683" s="31"/>
      <c r="B683" s="53"/>
      <c r="C683" s="26"/>
      <c r="D683" s="54"/>
      <c r="E683" s="25"/>
      <c r="F683" s="25"/>
      <c r="G683" s="25"/>
      <c r="H683" s="25"/>
      <c r="I683" s="25"/>
      <c r="J683" s="25"/>
      <c r="K683" s="25"/>
      <c r="L683" s="25"/>
      <c r="M683" s="25"/>
      <c r="N683" s="25"/>
      <c r="O683" s="25"/>
      <c r="P683" s="25"/>
      <c r="Q683" s="26"/>
      <c r="R683" s="26"/>
      <c r="S683" s="26"/>
      <c r="T683" s="26"/>
      <c r="U683" s="26"/>
      <c r="V683" s="26"/>
      <c r="W683" s="26"/>
      <c r="X683" s="26"/>
      <c r="Y683" s="26"/>
      <c r="Z683" s="26"/>
    </row>
    <row r="684" ht="12.75" customHeight="1">
      <c r="A684" s="31"/>
      <c r="B684" s="53"/>
      <c r="C684" s="26"/>
      <c r="D684" s="54"/>
      <c r="E684" s="25"/>
      <c r="F684" s="25"/>
      <c r="G684" s="25"/>
      <c r="H684" s="25"/>
      <c r="I684" s="25"/>
      <c r="J684" s="25"/>
      <c r="K684" s="25"/>
      <c r="L684" s="25"/>
      <c r="M684" s="25"/>
      <c r="N684" s="25"/>
      <c r="O684" s="25"/>
      <c r="P684" s="25"/>
      <c r="Q684" s="26"/>
      <c r="R684" s="26"/>
      <c r="S684" s="26"/>
      <c r="T684" s="26"/>
      <c r="U684" s="26"/>
      <c r="V684" s="26"/>
      <c r="W684" s="26"/>
      <c r="X684" s="26"/>
      <c r="Y684" s="26"/>
      <c r="Z684" s="26"/>
    </row>
    <row r="685" ht="12.75" customHeight="1">
      <c r="A685" s="31"/>
      <c r="B685" s="53"/>
      <c r="C685" s="26"/>
      <c r="D685" s="54"/>
      <c r="E685" s="25"/>
      <c r="F685" s="25"/>
      <c r="G685" s="25"/>
      <c r="H685" s="25"/>
      <c r="I685" s="25"/>
      <c r="J685" s="25"/>
      <c r="K685" s="25"/>
      <c r="L685" s="25"/>
      <c r="M685" s="25"/>
      <c r="N685" s="25"/>
      <c r="O685" s="25"/>
      <c r="P685" s="25"/>
      <c r="Q685" s="26"/>
      <c r="R685" s="26"/>
      <c r="S685" s="26"/>
      <c r="T685" s="26"/>
      <c r="U685" s="26"/>
      <c r="V685" s="26"/>
      <c r="W685" s="26"/>
      <c r="X685" s="26"/>
      <c r="Y685" s="26"/>
      <c r="Z685" s="26"/>
    </row>
    <row r="686" ht="12.75" customHeight="1">
      <c r="A686" s="31"/>
      <c r="B686" s="53"/>
      <c r="C686" s="26"/>
      <c r="D686" s="54"/>
      <c r="E686" s="25"/>
      <c r="F686" s="25"/>
      <c r="G686" s="25"/>
      <c r="H686" s="25"/>
      <c r="I686" s="25"/>
      <c r="J686" s="25"/>
      <c r="K686" s="25"/>
      <c r="L686" s="25"/>
      <c r="M686" s="25"/>
      <c r="N686" s="25"/>
      <c r="O686" s="25"/>
      <c r="P686" s="25"/>
      <c r="Q686" s="26"/>
      <c r="R686" s="26"/>
      <c r="S686" s="26"/>
      <c r="T686" s="26"/>
      <c r="U686" s="26"/>
      <c r="V686" s="26"/>
      <c r="W686" s="26"/>
      <c r="X686" s="26"/>
      <c r="Y686" s="26"/>
      <c r="Z686" s="26"/>
    </row>
    <row r="687" ht="12.75" customHeight="1">
      <c r="A687" s="31"/>
      <c r="B687" s="53"/>
      <c r="C687" s="26"/>
      <c r="D687" s="54"/>
      <c r="E687" s="25"/>
      <c r="F687" s="25"/>
      <c r="G687" s="25"/>
      <c r="H687" s="25"/>
      <c r="I687" s="25"/>
      <c r="J687" s="25"/>
      <c r="K687" s="25"/>
      <c r="L687" s="25"/>
      <c r="M687" s="25"/>
      <c r="N687" s="25"/>
      <c r="O687" s="25"/>
      <c r="P687" s="25"/>
      <c r="Q687" s="26"/>
      <c r="R687" s="26"/>
      <c r="S687" s="26"/>
      <c r="T687" s="26"/>
      <c r="U687" s="26"/>
      <c r="V687" s="26"/>
      <c r="W687" s="26"/>
      <c r="X687" s="26"/>
      <c r="Y687" s="26"/>
      <c r="Z687" s="26"/>
    </row>
    <row r="688" ht="12.75" customHeight="1">
      <c r="A688" s="31"/>
      <c r="B688" s="53"/>
      <c r="C688" s="26"/>
      <c r="D688" s="54"/>
      <c r="E688" s="25"/>
      <c r="F688" s="25"/>
      <c r="G688" s="25"/>
      <c r="H688" s="25"/>
      <c r="I688" s="25"/>
      <c r="J688" s="25"/>
      <c r="K688" s="25"/>
      <c r="L688" s="25"/>
      <c r="M688" s="25"/>
      <c r="N688" s="25"/>
      <c r="O688" s="25"/>
      <c r="P688" s="25"/>
      <c r="Q688" s="26"/>
      <c r="R688" s="26"/>
      <c r="S688" s="26"/>
      <c r="T688" s="26"/>
      <c r="U688" s="26"/>
      <c r="V688" s="26"/>
      <c r="W688" s="26"/>
      <c r="X688" s="26"/>
      <c r="Y688" s="26"/>
      <c r="Z688" s="26"/>
    </row>
    <row r="689" ht="12.75" customHeight="1">
      <c r="A689" s="31"/>
      <c r="B689" s="53"/>
      <c r="C689" s="26"/>
      <c r="D689" s="54"/>
      <c r="E689" s="25"/>
      <c r="F689" s="25"/>
      <c r="G689" s="25"/>
      <c r="H689" s="25"/>
      <c r="I689" s="25"/>
      <c r="J689" s="25"/>
      <c r="K689" s="25"/>
      <c r="L689" s="25"/>
      <c r="M689" s="25"/>
      <c r="N689" s="25"/>
      <c r="O689" s="25"/>
      <c r="P689" s="25"/>
      <c r="Q689" s="26"/>
      <c r="R689" s="26"/>
      <c r="S689" s="26"/>
      <c r="T689" s="26"/>
      <c r="U689" s="26"/>
      <c r="V689" s="26"/>
      <c r="W689" s="26"/>
      <c r="X689" s="26"/>
      <c r="Y689" s="26"/>
      <c r="Z689" s="26"/>
    </row>
    <row r="690" ht="12.75" customHeight="1">
      <c r="A690" s="31"/>
      <c r="B690" s="53"/>
      <c r="C690" s="26"/>
      <c r="D690" s="54"/>
      <c r="E690" s="25"/>
      <c r="F690" s="25"/>
      <c r="G690" s="25"/>
      <c r="H690" s="25"/>
      <c r="I690" s="25"/>
      <c r="J690" s="25"/>
      <c r="K690" s="25"/>
      <c r="L690" s="25"/>
      <c r="M690" s="25"/>
      <c r="N690" s="25"/>
      <c r="O690" s="25"/>
      <c r="P690" s="25"/>
      <c r="Q690" s="26"/>
      <c r="R690" s="26"/>
      <c r="S690" s="26"/>
      <c r="T690" s="26"/>
      <c r="U690" s="26"/>
      <c r="V690" s="26"/>
      <c r="W690" s="26"/>
      <c r="X690" s="26"/>
      <c r="Y690" s="26"/>
      <c r="Z690" s="26"/>
    </row>
    <row r="691" ht="12.75" customHeight="1">
      <c r="A691" s="31"/>
      <c r="B691" s="53"/>
      <c r="C691" s="26"/>
      <c r="D691" s="54"/>
      <c r="E691" s="25"/>
      <c r="F691" s="25"/>
      <c r="G691" s="25"/>
      <c r="H691" s="25"/>
      <c r="I691" s="25"/>
      <c r="J691" s="25"/>
      <c r="K691" s="25"/>
      <c r="L691" s="25"/>
      <c r="M691" s="25"/>
      <c r="N691" s="25"/>
      <c r="O691" s="25"/>
      <c r="P691" s="25"/>
      <c r="Q691" s="26"/>
      <c r="R691" s="26"/>
      <c r="S691" s="26"/>
      <c r="T691" s="26"/>
      <c r="U691" s="26"/>
      <c r="V691" s="26"/>
      <c r="W691" s="26"/>
      <c r="X691" s="26"/>
      <c r="Y691" s="26"/>
      <c r="Z691" s="26"/>
    </row>
    <row r="692" ht="12.75" customHeight="1">
      <c r="A692" s="31"/>
      <c r="B692" s="53"/>
      <c r="C692" s="26"/>
      <c r="D692" s="54"/>
      <c r="E692" s="25"/>
      <c r="F692" s="25"/>
      <c r="G692" s="25"/>
      <c r="H692" s="25"/>
      <c r="I692" s="25"/>
      <c r="J692" s="25"/>
      <c r="K692" s="25"/>
      <c r="L692" s="25"/>
      <c r="M692" s="25"/>
      <c r="N692" s="25"/>
      <c r="O692" s="25"/>
      <c r="P692" s="25"/>
      <c r="Q692" s="26"/>
      <c r="R692" s="26"/>
      <c r="S692" s="26"/>
      <c r="T692" s="26"/>
      <c r="U692" s="26"/>
      <c r="V692" s="26"/>
      <c r="W692" s="26"/>
      <c r="X692" s="26"/>
      <c r="Y692" s="26"/>
      <c r="Z692" s="26"/>
    </row>
    <row r="693" ht="12.75" customHeight="1">
      <c r="A693" s="31"/>
      <c r="B693" s="53"/>
      <c r="C693" s="26"/>
      <c r="D693" s="54"/>
      <c r="E693" s="25"/>
      <c r="F693" s="25"/>
      <c r="G693" s="25"/>
      <c r="H693" s="25"/>
      <c r="I693" s="25"/>
      <c r="J693" s="25"/>
      <c r="K693" s="25"/>
      <c r="L693" s="25"/>
      <c r="M693" s="25"/>
      <c r="N693" s="25"/>
      <c r="O693" s="25"/>
      <c r="P693" s="25"/>
      <c r="Q693" s="26"/>
      <c r="R693" s="26"/>
      <c r="S693" s="26"/>
      <c r="T693" s="26"/>
      <c r="U693" s="26"/>
      <c r="V693" s="26"/>
      <c r="W693" s="26"/>
      <c r="X693" s="26"/>
      <c r="Y693" s="26"/>
      <c r="Z693" s="26"/>
    </row>
    <row r="694" ht="12.75" customHeight="1">
      <c r="A694" s="31"/>
      <c r="B694" s="53"/>
      <c r="C694" s="26"/>
      <c r="D694" s="54"/>
      <c r="E694" s="25"/>
      <c r="F694" s="25"/>
      <c r="G694" s="25"/>
      <c r="H694" s="25"/>
      <c r="I694" s="25"/>
      <c r="J694" s="25"/>
      <c r="K694" s="25"/>
      <c r="L694" s="25"/>
      <c r="M694" s="25"/>
      <c r="N694" s="25"/>
      <c r="O694" s="25"/>
      <c r="P694" s="25"/>
      <c r="Q694" s="26"/>
      <c r="R694" s="26"/>
      <c r="S694" s="26"/>
      <c r="T694" s="26"/>
      <c r="U694" s="26"/>
      <c r="V694" s="26"/>
      <c r="W694" s="26"/>
      <c r="X694" s="26"/>
      <c r="Y694" s="26"/>
      <c r="Z694" s="26"/>
    </row>
    <row r="695" ht="12.75" customHeight="1">
      <c r="A695" s="31"/>
      <c r="B695" s="53"/>
      <c r="C695" s="26"/>
      <c r="D695" s="54"/>
      <c r="E695" s="25"/>
      <c r="F695" s="25"/>
      <c r="G695" s="25"/>
      <c r="H695" s="25"/>
      <c r="I695" s="25"/>
      <c r="J695" s="25"/>
      <c r="K695" s="25"/>
      <c r="L695" s="25"/>
      <c r="M695" s="25"/>
      <c r="N695" s="25"/>
      <c r="O695" s="25"/>
      <c r="P695" s="25"/>
      <c r="Q695" s="26"/>
      <c r="R695" s="26"/>
      <c r="S695" s="26"/>
      <c r="T695" s="26"/>
      <c r="U695" s="26"/>
      <c r="V695" s="26"/>
      <c r="W695" s="26"/>
      <c r="X695" s="26"/>
      <c r="Y695" s="26"/>
      <c r="Z695" s="26"/>
    </row>
    <row r="696" ht="12.75" customHeight="1">
      <c r="A696" s="31"/>
      <c r="B696" s="53"/>
      <c r="C696" s="26"/>
      <c r="D696" s="54"/>
      <c r="E696" s="25"/>
      <c r="F696" s="25"/>
      <c r="G696" s="25"/>
      <c r="H696" s="25"/>
      <c r="I696" s="25"/>
      <c r="J696" s="25"/>
      <c r="K696" s="25"/>
      <c r="L696" s="25"/>
      <c r="M696" s="25"/>
      <c r="N696" s="25"/>
      <c r="O696" s="25"/>
      <c r="P696" s="25"/>
      <c r="Q696" s="26"/>
      <c r="R696" s="26"/>
      <c r="S696" s="26"/>
      <c r="T696" s="26"/>
      <c r="U696" s="26"/>
      <c r="V696" s="26"/>
      <c r="W696" s="26"/>
      <c r="X696" s="26"/>
      <c r="Y696" s="26"/>
      <c r="Z696" s="26"/>
    </row>
    <row r="697" ht="12.75" customHeight="1">
      <c r="A697" s="31"/>
      <c r="B697" s="53"/>
      <c r="C697" s="26"/>
      <c r="D697" s="54"/>
      <c r="E697" s="25"/>
      <c r="F697" s="25"/>
      <c r="G697" s="25"/>
      <c r="H697" s="25"/>
      <c r="I697" s="25"/>
      <c r="J697" s="25"/>
      <c r="K697" s="25"/>
      <c r="L697" s="25"/>
      <c r="M697" s="25"/>
      <c r="N697" s="25"/>
      <c r="O697" s="25"/>
      <c r="P697" s="25"/>
      <c r="Q697" s="26"/>
      <c r="R697" s="26"/>
      <c r="S697" s="26"/>
      <c r="T697" s="26"/>
      <c r="U697" s="26"/>
      <c r="V697" s="26"/>
      <c r="W697" s="26"/>
      <c r="X697" s="26"/>
      <c r="Y697" s="26"/>
      <c r="Z697" s="26"/>
    </row>
    <row r="698" ht="12.75" customHeight="1">
      <c r="A698" s="31"/>
      <c r="B698" s="53"/>
      <c r="C698" s="26"/>
      <c r="D698" s="54"/>
      <c r="E698" s="25"/>
      <c r="F698" s="25"/>
      <c r="G698" s="25"/>
      <c r="H698" s="25"/>
      <c r="I698" s="25"/>
      <c r="J698" s="25"/>
      <c r="K698" s="25"/>
      <c r="L698" s="25"/>
      <c r="M698" s="25"/>
      <c r="N698" s="25"/>
      <c r="O698" s="25"/>
      <c r="P698" s="25"/>
      <c r="Q698" s="26"/>
      <c r="R698" s="26"/>
      <c r="S698" s="26"/>
      <c r="T698" s="26"/>
      <c r="U698" s="26"/>
      <c r="V698" s="26"/>
      <c r="W698" s="26"/>
      <c r="X698" s="26"/>
      <c r="Y698" s="26"/>
      <c r="Z698" s="26"/>
    </row>
    <row r="699" ht="12.75" customHeight="1">
      <c r="A699" s="31"/>
      <c r="B699" s="53"/>
      <c r="C699" s="26"/>
      <c r="D699" s="54"/>
      <c r="E699" s="25"/>
      <c r="F699" s="25"/>
      <c r="G699" s="25"/>
      <c r="H699" s="25"/>
      <c r="I699" s="25"/>
      <c r="J699" s="25"/>
      <c r="K699" s="25"/>
      <c r="L699" s="25"/>
      <c r="M699" s="25"/>
      <c r="N699" s="25"/>
      <c r="O699" s="25"/>
      <c r="P699" s="25"/>
      <c r="Q699" s="26"/>
      <c r="R699" s="26"/>
      <c r="S699" s="26"/>
      <c r="T699" s="26"/>
      <c r="U699" s="26"/>
      <c r="V699" s="26"/>
      <c r="W699" s="26"/>
      <c r="X699" s="26"/>
      <c r="Y699" s="26"/>
      <c r="Z699" s="26"/>
    </row>
    <row r="700" ht="12.75" customHeight="1">
      <c r="A700" s="31"/>
      <c r="B700" s="53"/>
      <c r="C700" s="26"/>
      <c r="D700" s="54"/>
      <c r="E700" s="25"/>
      <c r="F700" s="25"/>
      <c r="G700" s="25"/>
      <c r="H700" s="25"/>
      <c r="I700" s="25"/>
      <c r="J700" s="25"/>
      <c r="K700" s="25"/>
      <c r="L700" s="25"/>
      <c r="M700" s="25"/>
      <c r="N700" s="25"/>
      <c r="O700" s="25"/>
      <c r="P700" s="25"/>
      <c r="Q700" s="26"/>
      <c r="R700" s="26"/>
      <c r="S700" s="26"/>
      <c r="T700" s="26"/>
      <c r="U700" s="26"/>
      <c r="V700" s="26"/>
      <c r="W700" s="26"/>
      <c r="X700" s="26"/>
      <c r="Y700" s="26"/>
      <c r="Z700" s="26"/>
    </row>
    <row r="701" ht="12.75" customHeight="1">
      <c r="A701" s="31"/>
      <c r="B701" s="53"/>
      <c r="C701" s="26"/>
      <c r="D701" s="54"/>
      <c r="E701" s="25"/>
      <c r="F701" s="25"/>
      <c r="G701" s="25"/>
      <c r="H701" s="25"/>
      <c r="I701" s="25"/>
      <c r="J701" s="25"/>
      <c r="K701" s="25"/>
      <c r="L701" s="25"/>
      <c r="M701" s="25"/>
      <c r="N701" s="25"/>
      <c r="O701" s="25"/>
      <c r="P701" s="25"/>
      <c r="Q701" s="26"/>
      <c r="R701" s="26"/>
      <c r="S701" s="26"/>
      <c r="T701" s="26"/>
      <c r="U701" s="26"/>
      <c r="V701" s="26"/>
      <c r="W701" s="26"/>
      <c r="X701" s="26"/>
      <c r="Y701" s="26"/>
      <c r="Z701" s="26"/>
    </row>
    <row r="702" ht="12.75" customHeight="1">
      <c r="A702" s="31"/>
      <c r="B702" s="53"/>
      <c r="C702" s="26"/>
      <c r="D702" s="54"/>
      <c r="E702" s="25"/>
      <c r="F702" s="25"/>
      <c r="G702" s="25"/>
      <c r="H702" s="25"/>
      <c r="I702" s="25"/>
      <c r="J702" s="25"/>
      <c r="K702" s="25"/>
      <c r="L702" s="25"/>
      <c r="M702" s="25"/>
      <c r="N702" s="25"/>
      <c r="O702" s="25"/>
      <c r="P702" s="25"/>
      <c r="Q702" s="26"/>
      <c r="R702" s="26"/>
      <c r="S702" s="26"/>
      <c r="T702" s="26"/>
      <c r="U702" s="26"/>
      <c r="V702" s="26"/>
      <c r="W702" s="26"/>
      <c r="X702" s="26"/>
      <c r="Y702" s="26"/>
      <c r="Z702" s="26"/>
    </row>
    <row r="703" ht="12.75" customHeight="1">
      <c r="A703" s="31"/>
      <c r="B703" s="53"/>
      <c r="C703" s="26"/>
      <c r="D703" s="54"/>
      <c r="E703" s="25"/>
      <c r="F703" s="25"/>
      <c r="G703" s="25"/>
      <c r="H703" s="25"/>
      <c r="I703" s="25"/>
      <c r="J703" s="25"/>
      <c r="K703" s="25"/>
      <c r="L703" s="25"/>
      <c r="M703" s="25"/>
      <c r="N703" s="25"/>
      <c r="O703" s="25"/>
      <c r="P703" s="25"/>
      <c r="Q703" s="26"/>
      <c r="R703" s="26"/>
      <c r="S703" s="26"/>
      <c r="T703" s="26"/>
      <c r="U703" s="26"/>
      <c r="V703" s="26"/>
      <c r="W703" s="26"/>
      <c r="X703" s="26"/>
      <c r="Y703" s="26"/>
      <c r="Z703" s="26"/>
    </row>
    <row r="704" ht="12.75" customHeight="1">
      <c r="A704" s="31"/>
      <c r="B704" s="53"/>
      <c r="C704" s="26"/>
      <c r="D704" s="54"/>
      <c r="E704" s="25"/>
      <c r="F704" s="25"/>
      <c r="G704" s="25"/>
      <c r="H704" s="25"/>
      <c r="I704" s="25"/>
      <c r="J704" s="25"/>
      <c r="K704" s="25"/>
      <c r="L704" s="25"/>
      <c r="M704" s="25"/>
      <c r="N704" s="25"/>
      <c r="O704" s="25"/>
      <c r="P704" s="25"/>
      <c r="Q704" s="26"/>
      <c r="R704" s="26"/>
      <c r="S704" s="26"/>
      <c r="T704" s="26"/>
      <c r="U704" s="26"/>
      <c r="V704" s="26"/>
      <c r="W704" s="26"/>
      <c r="X704" s="26"/>
      <c r="Y704" s="26"/>
      <c r="Z704" s="26"/>
    </row>
    <row r="705" ht="12.75" customHeight="1">
      <c r="A705" s="31"/>
      <c r="B705" s="53"/>
      <c r="C705" s="26"/>
      <c r="D705" s="54"/>
      <c r="E705" s="25"/>
      <c r="F705" s="25"/>
      <c r="G705" s="25"/>
      <c r="H705" s="25"/>
      <c r="I705" s="25"/>
      <c r="J705" s="25"/>
      <c r="K705" s="25"/>
      <c r="L705" s="25"/>
      <c r="M705" s="25"/>
      <c r="N705" s="25"/>
      <c r="O705" s="25"/>
      <c r="P705" s="25"/>
      <c r="Q705" s="26"/>
      <c r="R705" s="26"/>
      <c r="S705" s="26"/>
      <c r="T705" s="26"/>
      <c r="U705" s="26"/>
      <c r="V705" s="26"/>
      <c r="W705" s="26"/>
      <c r="X705" s="26"/>
      <c r="Y705" s="26"/>
      <c r="Z705" s="26"/>
    </row>
    <row r="706" ht="12.75" customHeight="1">
      <c r="A706" s="31"/>
      <c r="B706" s="53"/>
      <c r="C706" s="26"/>
      <c r="D706" s="54"/>
      <c r="E706" s="25"/>
      <c r="F706" s="25"/>
      <c r="G706" s="25"/>
      <c r="H706" s="25"/>
      <c r="I706" s="25"/>
      <c r="J706" s="25"/>
      <c r="K706" s="25"/>
      <c r="L706" s="25"/>
      <c r="M706" s="25"/>
      <c r="N706" s="25"/>
      <c r="O706" s="25"/>
      <c r="P706" s="25"/>
      <c r="Q706" s="26"/>
      <c r="R706" s="26"/>
      <c r="S706" s="26"/>
      <c r="T706" s="26"/>
      <c r="U706" s="26"/>
      <c r="V706" s="26"/>
      <c r="W706" s="26"/>
      <c r="X706" s="26"/>
      <c r="Y706" s="26"/>
      <c r="Z706" s="26"/>
    </row>
    <row r="707" ht="12.75" customHeight="1">
      <c r="A707" s="31"/>
      <c r="B707" s="53"/>
      <c r="C707" s="26"/>
      <c r="D707" s="54"/>
      <c r="E707" s="25"/>
      <c r="F707" s="25"/>
      <c r="G707" s="25"/>
      <c r="H707" s="25"/>
      <c r="I707" s="25"/>
      <c r="J707" s="25"/>
      <c r="K707" s="25"/>
      <c r="L707" s="25"/>
      <c r="M707" s="25"/>
      <c r="N707" s="25"/>
      <c r="O707" s="25"/>
      <c r="P707" s="25"/>
      <c r="Q707" s="26"/>
      <c r="R707" s="26"/>
      <c r="S707" s="26"/>
      <c r="T707" s="26"/>
      <c r="U707" s="26"/>
      <c r="V707" s="26"/>
      <c r="W707" s="26"/>
      <c r="X707" s="26"/>
      <c r="Y707" s="26"/>
      <c r="Z707" s="26"/>
    </row>
    <row r="708" ht="12.75" customHeight="1">
      <c r="A708" s="31"/>
      <c r="B708" s="53"/>
      <c r="C708" s="26"/>
      <c r="D708" s="54"/>
      <c r="E708" s="25"/>
      <c r="F708" s="25"/>
      <c r="G708" s="25"/>
      <c r="H708" s="25"/>
      <c r="I708" s="25"/>
      <c r="J708" s="25"/>
      <c r="K708" s="25"/>
      <c r="L708" s="25"/>
      <c r="M708" s="25"/>
      <c r="N708" s="25"/>
      <c r="O708" s="25"/>
      <c r="P708" s="25"/>
      <c r="Q708" s="26"/>
      <c r="R708" s="26"/>
      <c r="S708" s="26"/>
      <c r="T708" s="26"/>
      <c r="U708" s="26"/>
      <c r="V708" s="26"/>
      <c r="W708" s="26"/>
      <c r="X708" s="26"/>
      <c r="Y708" s="26"/>
      <c r="Z708" s="26"/>
    </row>
    <row r="709" ht="12.75" customHeight="1">
      <c r="A709" s="31"/>
      <c r="B709" s="53"/>
      <c r="C709" s="26"/>
      <c r="D709" s="54"/>
      <c r="E709" s="25"/>
      <c r="F709" s="25"/>
      <c r="G709" s="25"/>
      <c r="H709" s="25"/>
      <c r="I709" s="25"/>
      <c r="J709" s="25"/>
      <c r="K709" s="25"/>
      <c r="L709" s="25"/>
      <c r="M709" s="25"/>
      <c r="N709" s="25"/>
      <c r="O709" s="25"/>
      <c r="P709" s="25"/>
      <c r="Q709" s="26"/>
      <c r="R709" s="26"/>
      <c r="S709" s="26"/>
      <c r="T709" s="26"/>
      <c r="U709" s="26"/>
      <c r="V709" s="26"/>
      <c r="W709" s="26"/>
      <c r="X709" s="26"/>
      <c r="Y709" s="26"/>
      <c r="Z709" s="26"/>
    </row>
    <row r="710" ht="12.75" customHeight="1">
      <c r="A710" s="31"/>
      <c r="B710" s="53"/>
      <c r="C710" s="26"/>
      <c r="D710" s="54"/>
      <c r="E710" s="25"/>
      <c r="F710" s="25"/>
      <c r="G710" s="25"/>
      <c r="H710" s="25"/>
      <c r="I710" s="25"/>
      <c r="J710" s="25"/>
      <c r="K710" s="25"/>
      <c r="L710" s="25"/>
      <c r="M710" s="25"/>
      <c r="N710" s="25"/>
      <c r="O710" s="25"/>
      <c r="P710" s="25"/>
      <c r="Q710" s="26"/>
      <c r="R710" s="26"/>
      <c r="S710" s="26"/>
      <c r="T710" s="26"/>
      <c r="U710" s="26"/>
      <c r="V710" s="26"/>
      <c r="W710" s="26"/>
      <c r="X710" s="26"/>
      <c r="Y710" s="26"/>
      <c r="Z710" s="26"/>
    </row>
    <row r="711" ht="12.75" customHeight="1">
      <c r="A711" s="31"/>
      <c r="B711" s="53"/>
      <c r="C711" s="26"/>
      <c r="D711" s="54"/>
      <c r="E711" s="25"/>
      <c r="F711" s="25"/>
      <c r="G711" s="25"/>
      <c r="H711" s="25"/>
      <c r="I711" s="25"/>
      <c r="J711" s="25"/>
      <c r="K711" s="25"/>
      <c r="L711" s="25"/>
      <c r="M711" s="25"/>
      <c r="N711" s="25"/>
      <c r="O711" s="25"/>
      <c r="P711" s="25"/>
      <c r="Q711" s="26"/>
      <c r="R711" s="26"/>
      <c r="S711" s="26"/>
      <c r="T711" s="26"/>
      <c r="U711" s="26"/>
      <c r="V711" s="26"/>
      <c r="W711" s="26"/>
      <c r="X711" s="26"/>
      <c r="Y711" s="26"/>
      <c r="Z711" s="26"/>
    </row>
    <row r="712" ht="12.75" customHeight="1">
      <c r="A712" s="31"/>
      <c r="B712" s="53"/>
      <c r="C712" s="26"/>
      <c r="D712" s="54"/>
      <c r="E712" s="25"/>
      <c r="F712" s="25"/>
      <c r="G712" s="25"/>
      <c r="H712" s="25"/>
      <c r="I712" s="25"/>
      <c r="J712" s="25"/>
      <c r="K712" s="25"/>
      <c r="L712" s="25"/>
      <c r="M712" s="25"/>
      <c r="N712" s="25"/>
      <c r="O712" s="25"/>
      <c r="P712" s="25"/>
      <c r="Q712" s="26"/>
      <c r="R712" s="26"/>
      <c r="S712" s="26"/>
      <c r="T712" s="26"/>
      <c r="U712" s="26"/>
      <c r="V712" s="26"/>
      <c r="W712" s="26"/>
      <c r="X712" s="26"/>
      <c r="Y712" s="26"/>
      <c r="Z712" s="26"/>
    </row>
    <row r="713" ht="12.75" customHeight="1">
      <c r="A713" s="31"/>
      <c r="B713" s="53"/>
      <c r="C713" s="26"/>
      <c r="D713" s="54"/>
      <c r="E713" s="25"/>
      <c r="F713" s="25"/>
      <c r="G713" s="25"/>
      <c r="H713" s="25"/>
      <c r="I713" s="25"/>
      <c r="J713" s="25"/>
      <c r="K713" s="25"/>
      <c r="L713" s="25"/>
      <c r="M713" s="25"/>
      <c r="N713" s="25"/>
      <c r="O713" s="25"/>
      <c r="P713" s="25"/>
      <c r="Q713" s="26"/>
      <c r="R713" s="26"/>
      <c r="S713" s="26"/>
      <c r="T713" s="26"/>
      <c r="U713" s="26"/>
      <c r="V713" s="26"/>
      <c r="W713" s="26"/>
      <c r="X713" s="26"/>
      <c r="Y713" s="26"/>
      <c r="Z713" s="26"/>
    </row>
    <row r="714" ht="12.75" customHeight="1">
      <c r="A714" s="31"/>
      <c r="B714" s="53"/>
      <c r="C714" s="26"/>
      <c r="D714" s="54"/>
      <c r="E714" s="25"/>
      <c r="F714" s="25"/>
      <c r="G714" s="25"/>
      <c r="H714" s="25"/>
      <c r="I714" s="25"/>
      <c r="J714" s="25"/>
      <c r="K714" s="25"/>
      <c r="L714" s="25"/>
      <c r="M714" s="25"/>
      <c r="N714" s="25"/>
      <c r="O714" s="25"/>
      <c r="P714" s="25"/>
      <c r="Q714" s="26"/>
      <c r="R714" s="26"/>
      <c r="S714" s="26"/>
      <c r="T714" s="26"/>
      <c r="U714" s="26"/>
      <c r="V714" s="26"/>
      <c r="W714" s="26"/>
      <c r="X714" s="26"/>
      <c r="Y714" s="26"/>
      <c r="Z714" s="26"/>
    </row>
    <row r="715" ht="12.75" customHeight="1">
      <c r="A715" s="31"/>
      <c r="B715" s="53"/>
      <c r="C715" s="26"/>
      <c r="D715" s="54"/>
      <c r="E715" s="25"/>
      <c r="F715" s="25"/>
      <c r="G715" s="25"/>
      <c r="H715" s="25"/>
      <c r="I715" s="25"/>
      <c r="J715" s="25"/>
      <c r="K715" s="25"/>
      <c r="L715" s="25"/>
      <c r="M715" s="25"/>
      <c r="N715" s="25"/>
      <c r="O715" s="25"/>
      <c r="P715" s="25"/>
      <c r="Q715" s="26"/>
      <c r="R715" s="26"/>
      <c r="S715" s="26"/>
      <c r="T715" s="26"/>
      <c r="U715" s="26"/>
      <c r="V715" s="26"/>
      <c r="W715" s="26"/>
      <c r="X715" s="26"/>
      <c r="Y715" s="26"/>
      <c r="Z715" s="26"/>
    </row>
    <row r="716" ht="12.75" customHeight="1">
      <c r="A716" s="31"/>
      <c r="B716" s="53"/>
      <c r="C716" s="26"/>
      <c r="D716" s="54"/>
      <c r="E716" s="25"/>
      <c r="F716" s="25"/>
      <c r="G716" s="25"/>
      <c r="H716" s="25"/>
      <c r="I716" s="25"/>
      <c r="J716" s="25"/>
      <c r="K716" s="25"/>
      <c r="L716" s="25"/>
      <c r="M716" s="25"/>
      <c r="N716" s="25"/>
      <c r="O716" s="25"/>
      <c r="P716" s="25"/>
      <c r="Q716" s="26"/>
      <c r="R716" s="26"/>
      <c r="S716" s="26"/>
      <c r="T716" s="26"/>
      <c r="U716" s="26"/>
      <c r="V716" s="26"/>
      <c r="W716" s="26"/>
      <c r="X716" s="26"/>
      <c r="Y716" s="26"/>
      <c r="Z716" s="26"/>
    </row>
    <row r="717" ht="12.75" customHeight="1">
      <c r="A717" s="31"/>
      <c r="B717" s="53"/>
      <c r="C717" s="26"/>
      <c r="D717" s="54"/>
      <c r="E717" s="25"/>
      <c r="F717" s="25"/>
      <c r="G717" s="25"/>
      <c r="H717" s="25"/>
      <c r="I717" s="25"/>
      <c r="J717" s="25"/>
      <c r="K717" s="25"/>
      <c r="L717" s="25"/>
      <c r="M717" s="25"/>
      <c r="N717" s="25"/>
      <c r="O717" s="25"/>
      <c r="P717" s="25"/>
      <c r="Q717" s="26"/>
      <c r="R717" s="26"/>
      <c r="S717" s="26"/>
      <c r="T717" s="26"/>
      <c r="U717" s="26"/>
      <c r="V717" s="26"/>
      <c r="W717" s="26"/>
      <c r="X717" s="26"/>
      <c r="Y717" s="26"/>
      <c r="Z717" s="26"/>
    </row>
    <row r="718" ht="12.75" customHeight="1">
      <c r="A718" s="31"/>
      <c r="B718" s="53"/>
      <c r="C718" s="26"/>
      <c r="D718" s="54"/>
      <c r="E718" s="25"/>
      <c r="F718" s="25"/>
      <c r="G718" s="25"/>
      <c r="H718" s="25"/>
      <c r="I718" s="25"/>
      <c r="J718" s="25"/>
      <c r="K718" s="25"/>
      <c r="L718" s="25"/>
      <c r="M718" s="25"/>
      <c r="N718" s="25"/>
      <c r="O718" s="25"/>
      <c r="P718" s="25"/>
      <c r="Q718" s="26"/>
      <c r="R718" s="26"/>
      <c r="S718" s="26"/>
      <c r="T718" s="26"/>
      <c r="U718" s="26"/>
      <c r="V718" s="26"/>
      <c r="W718" s="26"/>
      <c r="X718" s="26"/>
      <c r="Y718" s="26"/>
      <c r="Z718" s="26"/>
    </row>
    <row r="719" ht="12.75" customHeight="1">
      <c r="A719" s="31"/>
      <c r="B719" s="53"/>
      <c r="C719" s="26"/>
      <c r="D719" s="54"/>
      <c r="E719" s="25"/>
      <c r="F719" s="25"/>
      <c r="G719" s="25"/>
      <c r="H719" s="25"/>
      <c r="I719" s="25"/>
      <c r="J719" s="25"/>
      <c r="K719" s="25"/>
      <c r="L719" s="25"/>
      <c r="M719" s="25"/>
      <c r="N719" s="25"/>
      <c r="O719" s="25"/>
      <c r="P719" s="25"/>
      <c r="Q719" s="26"/>
      <c r="R719" s="26"/>
      <c r="S719" s="26"/>
      <c r="T719" s="26"/>
      <c r="U719" s="26"/>
      <c r="V719" s="26"/>
      <c r="W719" s="26"/>
      <c r="X719" s="26"/>
      <c r="Y719" s="26"/>
      <c r="Z719" s="26"/>
    </row>
    <row r="720" ht="12.75" customHeight="1">
      <c r="A720" s="31"/>
      <c r="B720" s="53"/>
      <c r="C720" s="26"/>
      <c r="D720" s="54"/>
      <c r="E720" s="25"/>
      <c r="F720" s="25"/>
      <c r="G720" s="25"/>
      <c r="H720" s="25"/>
      <c r="I720" s="25"/>
      <c r="J720" s="25"/>
      <c r="K720" s="25"/>
      <c r="L720" s="25"/>
      <c r="M720" s="25"/>
      <c r="N720" s="25"/>
      <c r="O720" s="25"/>
      <c r="P720" s="25"/>
      <c r="Q720" s="26"/>
      <c r="R720" s="26"/>
      <c r="S720" s="26"/>
      <c r="T720" s="26"/>
      <c r="U720" s="26"/>
      <c r="V720" s="26"/>
      <c r="W720" s="26"/>
      <c r="X720" s="26"/>
      <c r="Y720" s="26"/>
      <c r="Z720" s="26"/>
    </row>
    <row r="721" ht="12.75" customHeight="1">
      <c r="A721" s="31"/>
      <c r="B721" s="53"/>
      <c r="C721" s="26"/>
      <c r="D721" s="54"/>
      <c r="E721" s="25"/>
      <c r="F721" s="25"/>
      <c r="G721" s="25"/>
      <c r="H721" s="25"/>
      <c r="I721" s="25"/>
      <c r="J721" s="25"/>
      <c r="K721" s="25"/>
      <c r="L721" s="25"/>
      <c r="M721" s="25"/>
      <c r="N721" s="25"/>
      <c r="O721" s="25"/>
      <c r="P721" s="25"/>
      <c r="Q721" s="26"/>
      <c r="R721" s="26"/>
      <c r="S721" s="26"/>
      <c r="T721" s="26"/>
      <c r="U721" s="26"/>
      <c r="V721" s="26"/>
      <c r="W721" s="26"/>
      <c r="X721" s="26"/>
      <c r="Y721" s="26"/>
      <c r="Z721" s="26"/>
    </row>
    <row r="722" ht="12.75" customHeight="1">
      <c r="A722" s="31"/>
      <c r="B722" s="53"/>
      <c r="C722" s="26"/>
      <c r="D722" s="54"/>
      <c r="E722" s="25"/>
      <c r="F722" s="25"/>
      <c r="G722" s="25"/>
      <c r="H722" s="25"/>
      <c r="I722" s="25"/>
      <c r="J722" s="25"/>
      <c r="K722" s="25"/>
      <c r="L722" s="25"/>
      <c r="M722" s="25"/>
      <c r="N722" s="25"/>
      <c r="O722" s="25"/>
      <c r="P722" s="25"/>
      <c r="Q722" s="26"/>
      <c r="R722" s="26"/>
      <c r="S722" s="26"/>
      <c r="T722" s="26"/>
      <c r="U722" s="26"/>
      <c r="V722" s="26"/>
      <c r="W722" s="26"/>
      <c r="X722" s="26"/>
      <c r="Y722" s="26"/>
      <c r="Z722" s="26"/>
    </row>
    <row r="723" ht="12.75" customHeight="1">
      <c r="A723" s="31"/>
      <c r="B723" s="53"/>
      <c r="C723" s="26"/>
      <c r="D723" s="54"/>
      <c r="E723" s="25"/>
      <c r="F723" s="25"/>
      <c r="G723" s="25"/>
      <c r="H723" s="25"/>
      <c r="I723" s="25"/>
      <c r="J723" s="25"/>
      <c r="K723" s="25"/>
      <c r="L723" s="25"/>
      <c r="M723" s="25"/>
      <c r="N723" s="25"/>
      <c r="O723" s="25"/>
      <c r="P723" s="25"/>
      <c r="Q723" s="26"/>
      <c r="R723" s="26"/>
      <c r="S723" s="26"/>
      <c r="T723" s="26"/>
      <c r="U723" s="26"/>
      <c r="V723" s="26"/>
      <c r="W723" s="26"/>
      <c r="X723" s="26"/>
      <c r="Y723" s="26"/>
      <c r="Z723" s="26"/>
    </row>
    <row r="724" ht="12.75" customHeight="1">
      <c r="A724" s="31"/>
      <c r="B724" s="53"/>
      <c r="C724" s="26"/>
      <c r="D724" s="54"/>
      <c r="E724" s="25"/>
      <c r="F724" s="25"/>
      <c r="G724" s="25"/>
      <c r="H724" s="25"/>
      <c r="I724" s="25"/>
      <c r="J724" s="25"/>
      <c r="K724" s="25"/>
      <c r="L724" s="25"/>
      <c r="M724" s="25"/>
      <c r="N724" s="25"/>
      <c r="O724" s="25"/>
      <c r="P724" s="25"/>
      <c r="Q724" s="26"/>
      <c r="R724" s="26"/>
      <c r="S724" s="26"/>
      <c r="T724" s="26"/>
      <c r="U724" s="26"/>
      <c r="V724" s="26"/>
      <c r="W724" s="26"/>
      <c r="X724" s="26"/>
      <c r="Y724" s="26"/>
      <c r="Z724" s="26"/>
    </row>
    <row r="725" ht="12.75" customHeight="1">
      <c r="A725" s="31"/>
      <c r="B725" s="53"/>
      <c r="C725" s="26"/>
      <c r="D725" s="54"/>
      <c r="E725" s="25"/>
      <c r="F725" s="25"/>
      <c r="G725" s="25"/>
      <c r="H725" s="25"/>
      <c r="I725" s="25"/>
      <c r="J725" s="25"/>
      <c r="K725" s="25"/>
      <c r="L725" s="25"/>
      <c r="M725" s="25"/>
      <c r="N725" s="25"/>
      <c r="O725" s="25"/>
      <c r="P725" s="25"/>
      <c r="Q725" s="26"/>
      <c r="R725" s="26"/>
      <c r="S725" s="26"/>
      <c r="T725" s="26"/>
      <c r="U725" s="26"/>
      <c r="V725" s="26"/>
      <c r="W725" s="26"/>
      <c r="X725" s="26"/>
      <c r="Y725" s="26"/>
      <c r="Z725" s="26"/>
    </row>
    <row r="726" ht="12.75" customHeight="1">
      <c r="A726" s="31"/>
      <c r="B726" s="53"/>
      <c r="C726" s="26"/>
      <c r="D726" s="54"/>
      <c r="E726" s="25"/>
      <c r="F726" s="25"/>
      <c r="G726" s="25"/>
      <c r="H726" s="25"/>
      <c r="I726" s="25"/>
      <c r="J726" s="25"/>
      <c r="K726" s="25"/>
      <c r="L726" s="25"/>
      <c r="M726" s="25"/>
      <c r="N726" s="25"/>
      <c r="O726" s="25"/>
      <c r="P726" s="25"/>
      <c r="Q726" s="26"/>
      <c r="R726" s="26"/>
      <c r="S726" s="26"/>
      <c r="T726" s="26"/>
      <c r="U726" s="26"/>
      <c r="V726" s="26"/>
      <c r="W726" s="26"/>
      <c r="X726" s="26"/>
      <c r="Y726" s="26"/>
      <c r="Z726" s="26"/>
    </row>
    <row r="727" ht="12.75" customHeight="1">
      <c r="A727" s="31"/>
      <c r="B727" s="53"/>
      <c r="C727" s="26"/>
      <c r="D727" s="54"/>
      <c r="E727" s="25"/>
      <c r="F727" s="25"/>
      <c r="G727" s="25"/>
      <c r="H727" s="25"/>
      <c r="I727" s="25"/>
      <c r="J727" s="25"/>
      <c r="K727" s="25"/>
      <c r="L727" s="25"/>
      <c r="M727" s="25"/>
      <c r="N727" s="25"/>
      <c r="O727" s="25"/>
      <c r="P727" s="25"/>
      <c r="Q727" s="26"/>
      <c r="R727" s="26"/>
      <c r="S727" s="26"/>
      <c r="T727" s="26"/>
      <c r="U727" s="26"/>
      <c r="V727" s="26"/>
      <c r="W727" s="26"/>
      <c r="X727" s="26"/>
      <c r="Y727" s="26"/>
      <c r="Z727" s="26"/>
    </row>
    <row r="728" ht="12.75" customHeight="1">
      <c r="A728" s="31"/>
      <c r="B728" s="53"/>
      <c r="C728" s="26"/>
      <c r="D728" s="54"/>
      <c r="E728" s="25"/>
      <c r="F728" s="25"/>
      <c r="G728" s="25"/>
      <c r="H728" s="25"/>
      <c r="I728" s="25"/>
      <c r="J728" s="25"/>
      <c r="K728" s="25"/>
      <c r="L728" s="25"/>
      <c r="M728" s="25"/>
      <c r="N728" s="25"/>
      <c r="O728" s="25"/>
      <c r="P728" s="25"/>
      <c r="Q728" s="26"/>
      <c r="R728" s="26"/>
      <c r="S728" s="26"/>
      <c r="T728" s="26"/>
      <c r="U728" s="26"/>
      <c r="V728" s="26"/>
      <c r="W728" s="26"/>
      <c r="X728" s="26"/>
      <c r="Y728" s="26"/>
      <c r="Z728" s="26"/>
    </row>
    <row r="729" ht="12.75" customHeight="1">
      <c r="A729" s="31"/>
      <c r="B729" s="53"/>
      <c r="C729" s="26"/>
      <c r="D729" s="54"/>
      <c r="E729" s="25"/>
      <c r="F729" s="25"/>
      <c r="G729" s="25"/>
      <c r="H729" s="25"/>
      <c r="I729" s="25"/>
      <c r="J729" s="25"/>
      <c r="K729" s="25"/>
      <c r="L729" s="25"/>
      <c r="M729" s="25"/>
      <c r="N729" s="25"/>
      <c r="O729" s="25"/>
      <c r="P729" s="25"/>
      <c r="Q729" s="26"/>
      <c r="R729" s="26"/>
      <c r="S729" s="26"/>
      <c r="T729" s="26"/>
      <c r="U729" s="26"/>
      <c r="V729" s="26"/>
      <c r="W729" s="26"/>
      <c r="X729" s="26"/>
      <c r="Y729" s="26"/>
      <c r="Z729" s="26"/>
    </row>
    <row r="730" ht="12.75" customHeight="1">
      <c r="A730" s="31"/>
      <c r="B730" s="53"/>
      <c r="C730" s="26"/>
      <c r="D730" s="54"/>
      <c r="E730" s="25"/>
      <c r="F730" s="25"/>
      <c r="G730" s="25"/>
      <c r="H730" s="25"/>
      <c r="I730" s="25"/>
      <c r="J730" s="25"/>
      <c r="K730" s="25"/>
      <c r="L730" s="25"/>
      <c r="M730" s="25"/>
      <c r="N730" s="25"/>
      <c r="O730" s="25"/>
      <c r="P730" s="25"/>
      <c r="Q730" s="26"/>
      <c r="R730" s="26"/>
      <c r="S730" s="26"/>
      <c r="T730" s="26"/>
      <c r="U730" s="26"/>
      <c r="V730" s="26"/>
      <c r="W730" s="26"/>
      <c r="X730" s="26"/>
      <c r="Y730" s="26"/>
      <c r="Z730" s="26"/>
    </row>
    <row r="731" ht="12.75" customHeight="1">
      <c r="A731" s="31"/>
      <c r="B731" s="53"/>
      <c r="C731" s="26"/>
      <c r="D731" s="54"/>
      <c r="E731" s="25"/>
      <c r="F731" s="25"/>
      <c r="G731" s="25"/>
      <c r="H731" s="25"/>
      <c r="I731" s="25"/>
      <c r="J731" s="25"/>
      <c r="K731" s="25"/>
      <c r="L731" s="25"/>
      <c r="M731" s="25"/>
      <c r="N731" s="25"/>
      <c r="O731" s="25"/>
      <c r="P731" s="25"/>
      <c r="Q731" s="26"/>
      <c r="R731" s="26"/>
      <c r="S731" s="26"/>
      <c r="T731" s="26"/>
      <c r="U731" s="26"/>
      <c r="V731" s="26"/>
      <c r="W731" s="26"/>
      <c r="X731" s="26"/>
      <c r="Y731" s="26"/>
      <c r="Z731" s="26"/>
    </row>
    <row r="732" ht="12.75" customHeight="1">
      <c r="A732" s="31"/>
      <c r="B732" s="53"/>
      <c r="C732" s="26"/>
      <c r="D732" s="54"/>
      <c r="E732" s="25"/>
      <c r="F732" s="25"/>
      <c r="G732" s="25"/>
      <c r="H732" s="25"/>
      <c r="I732" s="25"/>
      <c r="J732" s="25"/>
      <c r="K732" s="25"/>
      <c r="L732" s="25"/>
      <c r="M732" s="25"/>
      <c r="N732" s="25"/>
      <c r="O732" s="25"/>
      <c r="P732" s="25"/>
      <c r="Q732" s="26"/>
      <c r="R732" s="26"/>
      <c r="S732" s="26"/>
      <c r="T732" s="26"/>
      <c r="U732" s="26"/>
      <c r="V732" s="26"/>
      <c r="W732" s="26"/>
      <c r="X732" s="26"/>
      <c r="Y732" s="26"/>
      <c r="Z732" s="26"/>
    </row>
    <row r="733" ht="12.75" customHeight="1">
      <c r="A733" s="31"/>
      <c r="B733" s="53"/>
      <c r="C733" s="26"/>
      <c r="D733" s="54"/>
      <c r="E733" s="25"/>
      <c r="F733" s="25"/>
      <c r="G733" s="25"/>
      <c r="H733" s="25"/>
      <c r="I733" s="25"/>
      <c r="J733" s="25"/>
      <c r="K733" s="25"/>
      <c r="L733" s="25"/>
      <c r="M733" s="25"/>
      <c r="N733" s="25"/>
      <c r="O733" s="25"/>
      <c r="P733" s="25"/>
      <c r="Q733" s="26"/>
      <c r="R733" s="26"/>
      <c r="S733" s="26"/>
      <c r="T733" s="26"/>
      <c r="U733" s="26"/>
      <c r="V733" s="26"/>
      <c r="W733" s="26"/>
      <c r="X733" s="26"/>
      <c r="Y733" s="26"/>
      <c r="Z733" s="26"/>
    </row>
    <row r="734" ht="12.75" customHeight="1">
      <c r="A734" s="31"/>
      <c r="B734" s="53"/>
      <c r="C734" s="26"/>
      <c r="D734" s="54"/>
      <c r="E734" s="25"/>
      <c r="F734" s="25"/>
      <c r="G734" s="25"/>
      <c r="H734" s="25"/>
      <c r="I734" s="25"/>
      <c r="J734" s="25"/>
      <c r="K734" s="25"/>
      <c r="L734" s="25"/>
      <c r="M734" s="25"/>
      <c r="N734" s="25"/>
      <c r="O734" s="25"/>
      <c r="P734" s="25"/>
      <c r="Q734" s="26"/>
      <c r="R734" s="26"/>
      <c r="S734" s="26"/>
      <c r="T734" s="26"/>
      <c r="U734" s="26"/>
      <c r="V734" s="26"/>
      <c r="W734" s="26"/>
      <c r="X734" s="26"/>
      <c r="Y734" s="26"/>
      <c r="Z734" s="26"/>
    </row>
    <row r="735" ht="12.75" customHeight="1">
      <c r="A735" s="31"/>
      <c r="B735" s="53"/>
      <c r="C735" s="26"/>
      <c r="D735" s="54"/>
      <c r="E735" s="25"/>
      <c r="F735" s="25"/>
      <c r="G735" s="25"/>
      <c r="H735" s="25"/>
      <c r="I735" s="25"/>
      <c r="J735" s="25"/>
      <c r="K735" s="25"/>
      <c r="L735" s="25"/>
      <c r="M735" s="25"/>
      <c r="N735" s="25"/>
      <c r="O735" s="25"/>
      <c r="P735" s="25"/>
      <c r="Q735" s="26"/>
      <c r="R735" s="26"/>
      <c r="S735" s="26"/>
      <c r="T735" s="26"/>
      <c r="U735" s="26"/>
      <c r="V735" s="26"/>
      <c r="W735" s="26"/>
      <c r="X735" s="26"/>
      <c r="Y735" s="26"/>
      <c r="Z735" s="26"/>
    </row>
    <row r="736" ht="12.75" customHeight="1">
      <c r="A736" s="31"/>
      <c r="B736" s="53"/>
      <c r="C736" s="26"/>
      <c r="D736" s="54"/>
      <c r="E736" s="25"/>
      <c r="F736" s="25"/>
      <c r="G736" s="25"/>
      <c r="H736" s="25"/>
      <c r="I736" s="25"/>
      <c r="J736" s="25"/>
      <c r="K736" s="25"/>
      <c r="L736" s="25"/>
      <c r="M736" s="25"/>
      <c r="N736" s="25"/>
      <c r="O736" s="25"/>
      <c r="P736" s="25"/>
      <c r="Q736" s="26"/>
      <c r="R736" s="26"/>
      <c r="S736" s="26"/>
      <c r="T736" s="26"/>
      <c r="U736" s="26"/>
      <c r="V736" s="26"/>
      <c r="W736" s="26"/>
      <c r="X736" s="26"/>
      <c r="Y736" s="26"/>
      <c r="Z736" s="26"/>
    </row>
    <row r="737" ht="12.75" customHeight="1">
      <c r="A737" s="31"/>
      <c r="B737" s="53"/>
      <c r="C737" s="26"/>
      <c r="D737" s="54"/>
      <c r="E737" s="25"/>
      <c r="F737" s="25"/>
      <c r="G737" s="25"/>
      <c r="H737" s="25"/>
      <c r="I737" s="25"/>
      <c r="J737" s="25"/>
      <c r="K737" s="25"/>
      <c r="L737" s="25"/>
      <c r="M737" s="25"/>
      <c r="N737" s="25"/>
      <c r="O737" s="25"/>
      <c r="P737" s="25"/>
      <c r="Q737" s="26"/>
      <c r="R737" s="26"/>
      <c r="S737" s="26"/>
      <c r="T737" s="26"/>
      <c r="U737" s="26"/>
      <c r="V737" s="26"/>
      <c r="W737" s="26"/>
      <c r="X737" s="26"/>
      <c r="Y737" s="26"/>
      <c r="Z737" s="26"/>
    </row>
    <row r="738" ht="12.75" customHeight="1">
      <c r="A738" s="31"/>
      <c r="B738" s="53"/>
      <c r="C738" s="26"/>
      <c r="D738" s="54"/>
      <c r="E738" s="25"/>
      <c r="F738" s="25"/>
      <c r="G738" s="25"/>
      <c r="H738" s="25"/>
      <c r="I738" s="25"/>
      <c r="J738" s="25"/>
      <c r="K738" s="25"/>
      <c r="L738" s="25"/>
      <c r="M738" s="25"/>
      <c r="N738" s="25"/>
      <c r="O738" s="25"/>
      <c r="P738" s="25"/>
      <c r="Q738" s="26"/>
      <c r="R738" s="26"/>
      <c r="S738" s="26"/>
      <c r="T738" s="26"/>
      <c r="U738" s="26"/>
      <c r="V738" s="26"/>
      <c r="W738" s="26"/>
      <c r="X738" s="26"/>
      <c r="Y738" s="26"/>
      <c r="Z738" s="26"/>
    </row>
    <row r="739" ht="12.75" customHeight="1">
      <c r="A739" s="31"/>
      <c r="B739" s="53"/>
      <c r="C739" s="26"/>
      <c r="D739" s="54"/>
      <c r="E739" s="25"/>
      <c r="F739" s="25"/>
      <c r="G739" s="25"/>
      <c r="H739" s="25"/>
      <c r="I739" s="25"/>
      <c r="J739" s="25"/>
      <c r="K739" s="25"/>
      <c r="L739" s="25"/>
      <c r="M739" s="25"/>
      <c r="N739" s="25"/>
      <c r="O739" s="25"/>
      <c r="P739" s="25"/>
      <c r="Q739" s="26"/>
      <c r="R739" s="26"/>
      <c r="S739" s="26"/>
      <c r="T739" s="26"/>
      <c r="U739" s="26"/>
      <c r="V739" s="26"/>
      <c r="W739" s="26"/>
      <c r="X739" s="26"/>
      <c r="Y739" s="26"/>
      <c r="Z739" s="26"/>
    </row>
    <row r="740" ht="12.75" customHeight="1">
      <c r="A740" s="31"/>
      <c r="B740" s="53"/>
      <c r="C740" s="26"/>
      <c r="D740" s="54"/>
      <c r="E740" s="25"/>
      <c r="F740" s="25"/>
      <c r="G740" s="25"/>
      <c r="H740" s="25"/>
      <c r="I740" s="25"/>
      <c r="J740" s="25"/>
      <c r="K740" s="25"/>
      <c r="L740" s="25"/>
      <c r="M740" s="25"/>
      <c r="N740" s="25"/>
      <c r="O740" s="25"/>
      <c r="P740" s="25"/>
      <c r="Q740" s="26"/>
      <c r="R740" s="26"/>
      <c r="S740" s="26"/>
      <c r="T740" s="26"/>
      <c r="U740" s="26"/>
      <c r="V740" s="26"/>
      <c r="W740" s="26"/>
      <c r="X740" s="26"/>
      <c r="Y740" s="26"/>
      <c r="Z740" s="26"/>
    </row>
    <row r="741" ht="12.75" customHeight="1">
      <c r="A741" s="31"/>
      <c r="B741" s="53"/>
      <c r="C741" s="26"/>
      <c r="D741" s="54"/>
      <c r="E741" s="25"/>
      <c r="F741" s="25"/>
      <c r="G741" s="25"/>
      <c r="H741" s="25"/>
      <c r="I741" s="25"/>
      <c r="J741" s="25"/>
      <c r="K741" s="25"/>
      <c r="L741" s="25"/>
      <c r="M741" s="25"/>
      <c r="N741" s="25"/>
      <c r="O741" s="25"/>
      <c r="P741" s="25"/>
      <c r="Q741" s="26"/>
      <c r="R741" s="26"/>
      <c r="S741" s="26"/>
      <c r="T741" s="26"/>
      <c r="U741" s="26"/>
      <c r="V741" s="26"/>
      <c r="W741" s="26"/>
      <c r="X741" s="26"/>
      <c r="Y741" s="26"/>
      <c r="Z741" s="26"/>
    </row>
    <row r="742" ht="12.75" customHeight="1">
      <c r="A742" s="31"/>
      <c r="B742" s="53"/>
      <c r="C742" s="26"/>
      <c r="D742" s="54"/>
      <c r="E742" s="25"/>
      <c r="F742" s="25"/>
      <c r="G742" s="25"/>
      <c r="H742" s="25"/>
      <c r="I742" s="25"/>
      <c r="J742" s="25"/>
      <c r="K742" s="25"/>
      <c r="L742" s="25"/>
      <c r="M742" s="25"/>
      <c r="N742" s="25"/>
      <c r="O742" s="25"/>
      <c r="P742" s="25"/>
      <c r="Q742" s="26"/>
      <c r="R742" s="26"/>
      <c r="S742" s="26"/>
      <c r="T742" s="26"/>
      <c r="U742" s="26"/>
      <c r="V742" s="26"/>
      <c r="W742" s="26"/>
      <c r="X742" s="26"/>
      <c r="Y742" s="26"/>
      <c r="Z742" s="26"/>
    </row>
    <row r="743" ht="12.75" customHeight="1">
      <c r="A743" s="31"/>
      <c r="B743" s="53"/>
      <c r="C743" s="26"/>
      <c r="D743" s="54"/>
      <c r="E743" s="25"/>
      <c r="F743" s="25"/>
      <c r="G743" s="25"/>
      <c r="H743" s="25"/>
      <c r="I743" s="25"/>
      <c r="J743" s="25"/>
      <c r="K743" s="25"/>
      <c r="L743" s="25"/>
      <c r="M743" s="25"/>
      <c r="N743" s="25"/>
      <c r="O743" s="25"/>
      <c r="P743" s="25"/>
      <c r="Q743" s="26"/>
      <c r="R743" s="26"/>
      <c r="S743" s="26"/>
      <c r="T743" s="26"/>
      <c r="U743" s="26"/>
      <c r="V743" s="26"/>
      <c r="W743" s="26"/>
      <c r="X743" s="26"/>
      <c r="Y743" s="26"/>
      <c r="Z743" s="26"/>
    </row>
    <row r="744" ht="12.75" customHeight="1">
      <c r="A744" s="31"/>
      <c r="B744" s="53"/>
      <c r="C744" s="26"/>
      <c r="D744" s="54"/>
      <c r="E744" s="25"/>
      <c r="F744" s="25"/>
      <c r="G744" s="25"/>
      <c r="H744" s="25"/>
      <c r="I744" s="25"/>
      <c r="J744" s="25"/>
      <c r="K744" s="25"/>
      <c r="L744" s="25"/>
      <c r="M744" s="25"/>
      <c r="N744" s="25"/>
      <c r="O744" s="25"/>
      <c r="P744" s="25"/>
      <c r="Q744" s="26"/>
      <c r="R744" s="26"/>
      <c r="S744" s="26"/>
      <c r="T744" s="26"/>
      <c r="U744" s="26"/>
      <c r="V744" s="26"/>
      <c r="W744" s="26"/>
      <c r="X744" s="26"/>
      <c r="Y744" s="26"/>
      <c r="Z744" s="26"/>
    </row>
    <row r="745" ht="12.75" customHeight="1">
      <c r="A745" s="31"/>
      <c r="B745" s="53"/>
      <c r="C745" s="26"/>
      <c r="D745" s="54"/>
      <c r="E745" s="25"/>
      <c r="F745" s="25"/>
      <c r="G745" s="25"/>
      <c r="H745" s="25"/>
      <c r="I745" s="25"/>
      <c r="J745" s="25"/>
      <c r="K745" s="25"/>
      <c r="L745" s="25"/>
      <c r="M745" s="25"/>
      <c r="N745" s="25"/>
      <c r="O745" s="25"/>
      <c r="P745" s="25"/>
      <c r="Q745" s="26"/>
      <c r="R745" s="26"/>
      <c r="S745" s="26"/>
      <c r="T745" s="26"/>
      <c r="U745" s="26"/>
      <c r="V745" s="26"/>
      <c r="W745" s="26"/>
      <c r="X745" s="26"/>
      <c r="Y745" s="26"/>
      <c r="Z745" s="26"/>
    </row>
    <row r="746" ht="12.75" customHeight="1">
      <c r="A746" s="31"/>
      <c r="B746" s="53"/>
      <c r="C746" s="26"/>
      <c r="D746" s="54"/>
      <c r="E746" s="25"/>
      <c r="F746" s="25"/>
      <c r="G746" s="25"/>
      <c r="H746" s="25"/>
      <c r="I746" s="25"/>
      <c r="J746" s="25"/>
      <c r="K746" s="25"/>
      <c r="L746" s="25"/>
      <c r="M746" s="25"/>
      <c r="N746" s="25"/>
      <c r="O746" s="25"/>
      <c r="P746" s="25"/>
      <c r="Q746" s="26"/>
      <c r="R746" s="26"/>
      <c r="S746" s="26"/>
      <c r="T746" s="26"/>
      <c r="U746" s="26"/>
      <c r="V746" s="26"/>
      <c r="W746" s="26"/>
      <c r="X746" s="26"/>
      <c r="Y746" s="26"/>
      <c r="Z746" s="26"/>
    </row>
    <row r="747" ht="12.75" customHeight="1">
      <c r="A747" s="31"/>
      <c r="B747" s="53"/>
      <c r="C747" s="26"/>
      <c r="D747" s="54"/>
      <c r="E747" s="25"/>
      <c r="F747" s="25"/>
      <c r="G747" s="25"/>
      <c r="H747" s="25"/>
      <c r="I747" s="25"/>
      <c r="J747" s="25"/>
      <c r="K747" s="25"/>
      <c r="L747" s="25"/>
      <c r="M747" s="25"/>
      <c r="N747" s="25"/>
      <c r="O747" s="25"/>
      <c r="P747" s="25"/>
      <c r="Q747" s="26"/>
      <c r="R747" s="26"/>
      <c r="S747" s="26"/>
      <c r="T747" s="26"/>
      <c r="U747" s="26"/>
      <c r="V747" s="26"/>
      <c r="W747" s="26"/>
      <c r="X747" s="26"/>
      <c r="Y747" s="26"/>
      <c r="Z747" s="26"/>
    </row>
    <row r="748" ht="12.75" customHeight="1">
      <c r="A748" s="31"/>
      <c r="B748" s="53"/>
      <c r="C748" s="26"/>
      <c r="D748" s="54"/>
      <c r="E748" s="25"/>
      <c r="F748" s="25"/>
      <c r="G748" s="25"/>
      <c r="H748" s="25"/>
      <c r="I748" s="25"/>
      <c r="J748" s="25"/>
      <c r="K748" s="25"/>
      <c r="L748" s="25"/>
      <c r="M748" s="25"/>
      <c r="N748" s="25"/>
      <c r="O748" s="25"/>
      <c r="P748" s="25"/>
      <c r="Q748" s="26"/>
      <c r="R748" s="26"/>
      <c r="S748" s="26"/>
      <c r="T748" s="26"/>
      <c r="U748" s="26"/>
      <c r="V748" s="26"/>
      <c r="W748" s="26"/>
      <c r="X748" s="26"/>
      <c r="Y748" s="26"/>
      <c r="Z748" s="26"/>
    </row>
    <row r="749" ht="12.75" customHeight="1">
      <c r="A749" s="31"/>
      <c r="B749" s="53"/>
      <c r="C749" s="26"/>
      <c r="D749" s="54"/>
      <c r="E749" s="25"/>
      <c r="F749" s="25"/>
      <c r="G749" s="25"/>
      <c r="H749" s="25"/>
      <c r="I749" s="25"/>
      <c r="J749" s="25"/>
      <c r="K749" s="25"/>
      <c r="L749" s="25"/>
      <c r="M749" s="25"/>
      <c r="N749" s="25"/>
      <c r="O749" s="25"/>
      <c r="P749" s="25"/>
      <c r="Q749" s="26"/>
      <c r="R749" s="26"/>
      <c r="S749" s="26"/>
      <c r="T749" s="26"/>
      <c r="U749" s="26"/>
      <c r="V749" s="26"/>
      <c r="W749" s="26"/>
      <c r="X749" s="26"/>
      <c r="Y749" s="26"/>
      <c r="Z749" s="26"/>
    </row>
    <row r="750" ht="12.75" customHeight="1">
      <c r="A750" s="31"/>
      <c r="B750" s="53"/>
      <c r="C750" s="26"/>
      <c r="D750" s="54"/>
      <c r="E750" s="25"/>
      <c r="F750" s="25"/>
      <c r="G750" s="25"/>
      <c r="H750" s="25"/>
      <c r="I750" s="25"/>
      <c r="J750" s="25"/>
      <c r="K750" s="25"/>
      <c r="L750" s="25"/>
      <c r="M750" s="25"/>
      <c r="N750" s="25"/>
      <c r="O750" s="25"/>
      <c r="P750" s="25"/>
      <c r="Q750" s="26"/>
      <c r="R750" s="26"/>
      <c r="S750" s="26"/>
      <c r="T750" s="26"/>
      <c r="U750" s="26"/>
      <c r="V750" s="26"/>
      <c r="W750" s="26"/>
      <c r="X750" s="26"/>
      <c r="Y750" s="26"/>
      <c r="Z750" s="26"/>
    </row>
    <row r="751" ht="12.75" customHeight="1">
      <c r="A751" s="31"/>
      <c r="B751" s="53"/>
      <c r="C751" s="26"/>
      <c r="D751" s="54"/>
      <c r="E751" s="25"/>
      <c r="F751" s="25"/>
      <c r="G751" s="25"/>
      <c r="H751" s="25"/>
      <c r="I751" s="25"/>
      <c r="J751" s="25"/>
      <c r="K751" s="25"/>
      <c r="L751" s="25"/>
      <c r="M751" s="25"/>
      <c r="N751" s="25"/>
      <c r="O751" s="25"/>
      <c r="P751" s="25"/>
      <c r="Q751" s="26"/>
      <c r="R751" s="26"/>
      <c r="S751" s="26"/>
      <c r="T751" s="26"/>
      <c r="U751" s="26"/>
      <c r="V751" s="26"/>
      <c r="W751" s="26"/>
      <c r="X751" s="26"/>
      <c r="Y751" s="26"/>
      <c r="Z751" s="26"/>
    </row>
    <row r="752" ht="12.75" customHeight="1">
      <c r="A752" s="31"/>
      <c r="B752" s="53"/>
      <c r="C752" s="26"/>
      <c r="D752" s="54"/>
      <c r="E752" s="25"/>
      <c r="F752" s="25"/>
      <c r="G752" s="25"/>
      <c r="H752" s="25"/>
      <c r="I752" s="25"/>
      <c r="J752" s="25"/>
      <c r="K752" s="25"/>
      <c r="L752" s="25"/>
      <c r="M752" s="25"/>
      <c r="N752" s="25"/>
      <c r="O752" s="25"/>
      <c r="P752" s="25"/>
      <c r="Q752" s="26"/>
      <c r="R752" s="26"/>
      <c r="S752" s="26"/>
      <c r="T752" s="26"/>
      <c r="U752" s="26"/>
      <c r="V752" s="26"/>
      <c r="W752" s="26"/>
      <c r="X752" s="26"/>
      <c r="Y752" s="26"/>
      <c r="Z752" s="26"/>
    </row>
    <row r="753" ht="12.75" customHeight="1">
      <c r="A753" s="31"/>
      <c r="B753" s="53"/>
      <c r="C753" s="26"/>
      <c r="D753" s="54"/>
      <c r="E753" s="25"/>
      <c r="F753" s="25"/>
      <c r="G753" s="25"/>
      <c r="H753" s="25"/>
      <c r="I753" s="25"/>
      <c r="J753" s="25"/>
      <c r="K753" s="25"/>
      <c r="L753" s="25"/>
      <c r="M753" s="25"/>
      <c r="N753" s="25"/>
      <c r="O753" s="25"/>
      <c r="P753" s="25"/>
      <c r="Q753" s="26"/>
      <c r="R753" s="26"/>
      <c r="S753" s="26"/>
      <c r="T753" s="26"/>
      <c r="U753" s="26"/>
      <c r="V753" s="26"/>
      <c r="W753" s="26"/>
      <c r="X753" s="26"/>
      <c r="Y753" s="26"/>
      <c r="Z753" s="26"/>
    </row>
    <row r="754" ht="12.75" customHeight="1">
      <c r="A754" s="31"/>
      <c r="B754" s="53"/>
      <c r="C754" s="26"/>
      <c r="D754" s="54"/>
      <c r="E754" s="25"/>
      <c r="F754" s="25"/>
      <c r="G754" s="25"/>
      <c r="H754" s="25"/>
      <c r="I754" s="25"/>
      <c r="J754" s="25"/>
      <c r="K754" s="25"/>
      <c r="L754" s="25"/>
      <c r="M754" s="25"/>
      <c r="N754" s="25"/>
      <c r="O754" s="25"/>
      <c r="P754" s="25"/>
      <c r="Q754" s="26"/>
      <c r="R754" s="26"/>
      <c r="S754" s="26"/>
      <c r="T754" s="26"/>
      <c r="U754" s="26"/>
      <c r="V754" s="26"/>
      <c r="W754" s="26"/>
      <c r="X754" s="26"/>
      <c r="Y754" s="26"/>
      <c r="Z754" s="26"/>
    </row>
    <row r="755" ht="12.75" customHeight="1">
      <c r="A755" s="31"/>
      <c r="B755" s="53"/>
      <c r="C755" s="26"/>
      <c r="D755" s="54"/>
      <c r="E755" s="25"/>
      <c r="F755" s="25"/>
      <c r="G755" s="25"/>
      <c r="H755" s="25"/>
      <c r="I755" s="25"/>
      <c r="J755" s="25"/>
      <c r="K755" s="25"/>
      <c r="L755" s="25"/>
      <c r="M755" s="25"/>
      <c r="N755" s="25"/>
      <c r="O755" s="25"/>
      <c r="P755" s="25"/>
      <c r="Q755" s="26"/>
      <c r="R755" s="26"/>
      <c r="S755" s="26"/>
      <c r="T755" s="26"/>
      <c r="U755" s="26"/>
      <c r="V755" s="26"/>
      <c r="W755" s="26"/>
      <c r="X755" s="26"/>
      <c r="Y755" s="26"/>
      <c r="Z755" s="26"/>
    </row>
    <row r="756" ht="12.75" customHeight="1">
      <c r="A756" s="31"/>
      <c r="B756" s="53"/>
      <c r="C756" s="26"/>
      <c r="D756" s="54"/>
      <c r="E756" s="25"/>
      <c r="F756" s="25"/>
      <c r="G756" s="25"/>
      <c r="H756" s="25"/>
      <c r="I756" s="25"/>
      <c r="J756" s="25"/>
      <c r="K756" s="25"/>
      <c r="L756" s="25"/>
      <c r="M756" s="25"/>
      <c r="N756" s="25"/>
      <c r="O756" s="25"/>
      <c r="P756" s="25"/>
      <c r="Q756" s="26"/>
      <c r="R756" s="26"/>
      <c r="S756" s="26"/>
      <c r="T756" s="26"/>
      <c r="U756" s="26"/>
      <c r="V756" s="26"/>
      <c r="W756" s="26"/>
      <c r="X756" s="26"/>
      <c r="Y756" s="26"/>
      <c r="Z756" s="26"/>
    </row>
    <row r="757" ht="12.75" customHeight="1">
      <c r="A757" s="31"/>
      <c r="B757" s="53"/>
      <c r="C757" s="26"/>
      <c r="D757" s="54"/>
      <c r="E757" s="25"/>
      <c r="F757" s="25"/>
      <c r="G757" s="25"/>
      <c r="H757" s="25"/>
      <c r="I757" s="25"/>
      <c r="J757" s="25"/>
      <c r="K757" s="25"/>
      <c r="L757" s="25"/>
      <c r="M757" s="25"/>
      <c r="N757" s="25"/>
      <c r="O757" s="25"/>
      <c r="P757" s="25"/>
      <c r="Q757" s="26"/>
      <c r="R757" s="26"/>
      <c r="S757" s="26"/>
      <c r="T757" s="26"/>
      <c r="U757" s="26"/>
      <c r="V757" s="26"/>
      <c r="W757" s="26"/>
      <c r="X757" s="26"/>
      <c r="Y757" s="26"/>
      <c r="Z757" s="26"/>
    </row>
    <row r="758" ht="12.75" customHeight="1">
      <c r="A758" s="31"/>
      <c r="B758" s="53"/>
      <c r="C758" s="26"/>
      <c r="D758" s="54"/>
      <c r="E758" s="25"/>
      <c r="F758" s="25"/>
      <c r="G758" s="25"/>
      <c r="H758" s="25"/>
      <c r="I758" s="25"/>
      <c r="J758" s="25"/>
      <c r="K758" s="25"/>
      <c r="L758" s="25"/>
      <c r="M758" s="25"/>
      <c r="N758" s="25"/>
      <c r="O758" s="25"/>
      <c r="P758" s="25"/>
      <c r="Q758" s="26"/>
      <c r="R758" s="26"/>
      <c r="S758" s="26"/>
      <c r="T758" s="26"/>
      <c r="U758" s="26"/>
      <c r="V758" s="26"/>
      <c r="W758" s="26"/>
      <c r="X758" s="26"/>
      <c r="Y758" s="26"/>
      <c r="Z758" s="26"/>
    </row>
    <row r="759" ht="12.75" customHeight="1">
      <c r="A759" s="31"/>
      <c r="B759" s="53"/>
      <c r="C759" s="26"/>
      <c r="D759" s="54"/>
      <c r="E759" s="25"/>
      <c r="F759" s="25"/>
      <c r="G759" s="25"/>
      <c r="H759" s="25"/>
      <c r="I759" s="25"/>
      <c r="J759" s="25"/>
      <c r="K759" s="25"/>
      <c r="L759" s="25"/>
      <c r="M759" s="25"/>
      <c r="N759" s="25"/>
      <c r="O759" s="25"/>
      <c r="P759" s="25"/>
      <c r="Q759" s="26"/>
      <c r="R759" s="26"/>
      <c r="S759" s="26"/>
      <c r="T759" s="26"/>
      <c r="U759" s="26"/>
      <c r="V759" s="26"/>
      <c r="W759" s="26"/>
      <c r="X759" s="26"/>
      <c r="Y759" s="26"/>
      <c r="Z759" s="26"/>
    </row>
    <row r="760" ht="12.75" customHeight="1">
      <c r="A760" s="31"/>
      <c r="B760" s="53"/>
      <c r="C760" s="26"/>
      <c r="D760" s="54"/>
      <c r="E760" s="25"/>
      <c r="F760" s="25"/>
      <c r="G760" s="25"/>
      <c r="H760" s="25"/>
      <c r="I760" s="25"/>
      <c r="J760" s="25"/>
      <c r="K760" s="25"/>
      <c r="L760" s="25"/>
      <c r="M760" s="25"/>
      <c r="N760" s="25"/>
      <c r="O760" s="25"/>
      <c r="P760" s="25"/>
      <c r="Q760" s="26"/>
      <c r="R760" s="26"/>
      <c r="S760" s="26"/>
      <c r="T760" s="26"/>
      <c r="U760" s="26"/>
      <c r="V760" s="26"/>
      <c r="W760" s="26"/>
      <c r="X760" s="26"/>
      <c r="Y760" s="26"/>
      <c r="Z760" s="26"/>
    </row>
    <row r="761" ht="12.75" customHeight="1">
      <c r="A761" s="31"/>
      <c r="B761" s="53"/>
      <c r="C761" s="26"/>
      <c r="D761" s="54"/>
      <c r="E761" s="25"/>
      <c r="F761" s="25"/>
      <c r="G761" s="25"/>
      <c r="H761" s="25"/>
      <c r="I761" s="25"/>
      <c r="J761" s="25"/>
      <c r="K761" s="25"/>
      <c r="L761" s="25"/>
      <c r="M761" s="25"/>
      <c r="N761" s="25"/>
      <c r="O761" s="25"/>
      <c r="P761" s="25"/>
      <c r="Q761" s="26"/>
      <c r="R761" s="26"/>
      <c r="S761" s="26"/>
      <c r="T761" s="26"/>
      <c r="U761" s="26"/>
      <c r="V761" s="26"/>
      <c r="W761" s="26"/>
      <c r="X761" s="26"/>
      <c r="Y761" s="26"/>
      <c r="Z761" s="26"/>
    </row>
    <row r="762" ht="12.75" customHeight="1">
      <c r="A762" s="31"/>
      <c r="B762" s="53"/>
      <c r="C762" s="26"/>
      <c r="D762" s="54"/>
      <c r="E762" s="25"/>
      <c r="F762" s="25"/>
      <c r="G762" s="25"/>
      <c r="H762" s="25"/>
      <c r="I762" s="25"/>
      <c r="J762" s="25"/>
      <c r="K762" s="25"/>
      <c r="L762" s="25"/>
      <c r="M762" s="25"/>
      <c r="N762" s="25"/>
      <c r="O762" s="25"/>
      <c r="P762" s="25"/>
      <c r="Q762" s="26"/>
      <c r="R762" s="26"/>
      <c r="S762" s="26"/>
      <c r="T762" s="26"/>
      <c r="U762" s="26"/>
      <c r="V762" s="26"/>
      <c r="W762" s="26"/>
      <c r="X762" s="26"/>
      <c r="Y762" s="26"/>
      <c r="Z762" s="26"/>
    </row>
    <row r="763" ht="12.75" customHeight="1">
      <c r="A763" s="31"/>
      <c r="B763" s="53"/>
      <c r="C763" s="26"/>
      <c r="D763" s="54"/>
      <c r="E763" s="25"/>
      <c r="F763" s="25"/>
      <c r="G763" s="25"/>
      <c r="H763" s="25"/>
      <c r="I763" s="25"/>
      <c r="J763" s="25"/>
      <c r="K763" s="25"/>
      <c r="L763" s="25"/>
      <c r="M763" s="25"/>
      <c r="N763" s="25"/>
      <c r="O763" s="25"/>
      <c r="P763" s="25"/>
      <c r="Q763" s="26"/>
      <c r="R763" s="26"/>
      <c r="S763" s="26"/>
      <c r="T763" s="26"/>
      <c r="U763" s="26"/>
      <c r="V763" s="26"/>
      <c r="W763" s="26"/>
      <c r="X763" s="26"/>
      <c r="Y763" s="26"/>
      <c r="Z763" s="26"/>
    </row>
    <row r="764" ht="12.75" customHeight="1">
      <c r="A764" s="31"/>
      <c r="B764" s="53"/>
      <c r="C764" s="26"/>
      <c r="D764" s="54"/>
      <c r="E764" s="25"/>
      <c r="F764" s="25"/>
      <c r="G764" s="25"/>
      <c r="H764" s="25"/>
      <c r="I764" s="25"/>
      <c r="J764" s="25"/>
      <c r="K764" s="25"/>
      <c r="L764" s="25"/>
      <c r="M764" s="25"/>
      <c r="N764" s="25"/>
      <c r="O764" s="25"/>
      <c r="P764" s="25"/>
      <c r="Q764" s="26"/>
      <c r="R764" s="26"/>
      <c r="S764" s="26"/>
      <c r="T764" s="26"/>
      <c r="U764" s="26"/>
      <c r="V764" s="26"/>
      <c r="W764" s="26"/>
      <c r="X764" s="26"/>
      <c r="Y764" s="26"/>
      <c r="Z764" s="26"/>
    </row>
    <row r="765" ht="12.75" customHeight="1">
      <c r="A765" s="31"/>
      <c r="B765" s="53"/>
      <c r="C765" s="26"/>
      <c r="D765" s="54"/>
      <c r="E765" s="25"/>
      <c r="F765" s="25"/>
      <c r="G765" s="25"/>
      <c r="H765" s="25"/>
      <c r="I765" s="25"/>
      <c r="J765" s="25"/>
      <c r="K765" s="25"/>
      <c r="L765" s="25"/>
      <c r="M765" s="25"/>
      <c r="N765" s="25"/>
      <c r="O765" s="25"/>
      <c r="P765" s="25"/>
      <c r="Q765" s="26"/>
      <c r="R765" s="26"/>
      <c r="S765" s="26"/>
      <c r="T765" s="26"/>
      <c r="U765" s="26"/>
      <c r="V765" s="26"/>
      <c r="W765" s="26"/>
      <c r="X765" s="26"/>
      <c r="Y765" s="26"/>
      <c r="Z765" s="26"/>
    </row>
    <row r="766" ht="12.75" customHeight="1">
      <c r="A766" s="31"/>
      <c r="B766" s="53"/>
      <c r="C766" s="26"/>
      <c r="D766" s="54"/>
      <c r="E766" s="25"/>
      <c r="F766" s="25"/>
      <c r="G766" s="25"/>
      <c r="H766" s="25"/>
      <c r="I766" s="25"/>
      <c r="J766" s="25"/>
      <c r="K766" s="25"/>
      <c r="L766" s="25"/>
      <c r="M766" s="25"/>
      <c r="N766" s="25"/>
      <c r="O766" s="25"/>
      <c r="P766" s="25"/>
      <c r="Q766" s="26"/>
      <c r="R766" s="26"/>
      <c r="S766" s="26"/>
      <c r="T766" s="26"/>
      <c r="U766" s="26"/>
      <c r="V766" s="26"/>
      <c r="W766" s="26"/>
      <c r="X766" s="26"/>
      <c r="Y766" s="26"/>
      <c r="Z766" s="26"/>
    </row>
    <row r="767" ht="12.75" customHeight="1">
      <c r="A767" s="31"/>
      <c r="B767" s="53"/>
      <c r="C767" s="26"/>
      <c r="D767" s="54"/>
      <c r="E767" s="25"/>
      <c r="F767" s="25"/>
      <c r="G767" s="25"/>
      <c r="H767" s="25"/>
      <c r="I767" s="25"/>
      <c r="J767" s="25"/>
      <c r="K767" s="25"/>
      <c r="L767" s="25"/>
      <c r="M767" s="25"/>
      <c r="N767" s="25"/>
      <c r="O767" s="25"/>
      <c r="P767" s="25"/>
      <c r="Q767" s="26"/>
      <c r="R767" s="26"/>
      <c r="S767" s="26"/>
      <c r="T767" s="26"/>
      <c r="U767" s="26"/>
      <c r="V767" s="26"/>
      <c r="W767" s="26"/>
      <c r="X767" s="26"/>
      <c r="Y767" s="26"/>
      <c r="Z767" s="26"/>
    </row>
    <row r="768" ht="12.75" customHeight="1">
      <c r="A768" s="31"/>
      <c r="B768" s="53"/>
      <c r="C768" s="26"/>
      <c r="D768" s="54"/>
      <c r="E768" s="25"/>
      <c r="F768" s="25"/>
      <c r="G768" s="25"/>
      <c r="H768" s="25"/>
      <c r="I768" s="25"/>
      <c r="J768" s="25"/>
      <c r="K768" s="25"/>
      <c r="L768" s="25"/>
      <c r="M768" s="25"/>
      <c r="N768" s="25"/>
      <c r="O768" s="25"/>
      <c r="P768" s="25"/>
      <c r="Q768" s="26"/>
      <c r="R768" s="26"/>
      <c r="S768" s="26"/>
      <c r="T768" s="26"/>
      <c r="U768" s="26"/>
      <c r="V768" s="26"/>
      <c r="W768" s="26"/>
      <c r="X768" s="26"/>
      <c r="Y768" s="26"/>
      <c r="Z768" s="26"/>
    </row>
    <row r="769" ht="12.75" customHeight="1">
      <c r="A769" s="31"/>
      <c r="B769" s="53"/>
      <c r="C769" s="26"/>
      <c r="D769" s="54"/>
      <c r="E769" s="25"/>
      <c r="F769" s="25"/>
      <c r="G769" s="25"/>
      <c r="H769" s="25"/>
      <c r="I769" s="25"/>
      <c r="J769" s="25"/>
      <c r="K769" s="25"/>
      <c r="L769" s="25"/>
      <c r="M769" s="25"/>
      <c r="N769" s="25"/>
      <c r="O769" s="25"/>
      <c r="P769" s="25"/>
      <c r="Q769" s="26"/>
      <c r="R769" s="26"/>
      <c r="S769" s="26"/>
      <c r="T769" s="26"/>
      <c r="U769" s="26"/>
      <c r="V769" s="26"/>
      <c r="W769" s="26"/>
      <c r="X769" s="26"/>
      <c r="Y769" s="26"/>
      <c r="Z769" s="26"/>
    </row>
    <row r="770" ht="12.75" customHeight="1">
      <c r="A770" s="31"/>
      <c r="B770" s="53"/>
      <c r="C770" s="26"/>
      <c r="D770" s="54"/>
      <c r="E770" s="25"/>
      <c r="F770" s="25"/>
      <c r="G770" s="25"/>
      <c r="H770" s="25"/>
      <c r="I770" s="25"/>
      <c r="J770" s="25"/>
      <c r="K770" s="25"/>
      <c r="L770" s="25"/>
      <c r="M770" s="25"/>
      <c r="N770" s="25"/>
      <c r="O770" s="25"/>
      <c r="P770" s="25"/>
      <c r="Q770" s="26"/>
      <c r="R770" s="26"/>
      <c r="S770" s="26"/>
      <c r="T770" s="26"/>
      <c r="U770" s="26"/>
      <c r="V770" s="26"/>
      <c r="W770" s="26"/>
      <c r="X770" s="26"/>
      <c r="Y770" s="26"/>
      <c r="Z770" s="26"/>
    </row>
    <row r="771" ht="12.75" customHeight="1">
      <c r="A771" s="31"/>
      <c r="B771" s="53"/>
      <c r="C771" s="26"/>
      <c r="D771" s="54"/>
      <c r="E771" s="25"/>
      <c r="F771" s="25"/>
      <c r="G771" s="25"/>
      <c r="H771" s="25"/>
      <c r="I771" s="25"/>
      <c r="J771" s="25"/>
      <c r="K771" s="25"/>
      <c r="L771" s="25"/>
      <c r="M771" s="25"/>
      <c r="N771" s="25"/>
      <c r="O771" s="25"/>
      <c r="P771" s="25"/>
      <c r="Q771" s="26"/>
      <c r="R771" s="26"/>
      <c r="S771" s="26"/>
      <c r="T771" s="26"/>
      <c r="U771" s="26"/>
      <c r="V771" s="26"/>
      <c r="W771" s="26"/>
      <c r="X771" s="26"/>
      <c r="Y771" s="26"/>
      <c r="Z771" s="26"/>
    </row>
    <row r="772" ht="12.75" customHeight="1">
      <c r="A772" s="31"/>
      <c r="B772" s="53"/>
      <c r="C772" s="26"/>
      <c r="D772" s="54"/>
      <c r="E772" s="25"/>
      <c r="F772" s="25"/>
      <c r="G772" s="25"/>
      <c r="H772" s="25"/>
      <c r="I772" s="25"/>
      <c r="J772" s="25"/>
      <c r="K772" s="25"/>
      <c r="L772" s="25"/>
      <c r="M772" s="25"/>
      <c r="N772" s="25"/>
      <c r="O772" s="25"/>
      <c r="P772" s="25"/>
      <c r="Q772" s="26"/>
      <c r="R772" s="26"/>
      <c r="S772" s="26"/>
      <c r="T772" s="26"/>
      <c r="U772" s="26"/>
      <c r="V772" s="26"/>
      <c r="W772" s="26"/>
      <c r="X772" s="26"/>
      <c r="Y772" s="26"/>
      <c r="Z772" s="26"/>
    </row>
    <row r="773" ht="12.75" customHeight="1">
      <c r="A773" s="31"/>
      <c r="B773" s="53"/>
      <c r="C773" s="26"/>
      <c r="D773" s="54"/>
      <c r="E773" s="25"/>
      <c r="F773" s="25"/>
      <c r="G773" s="25"/>
      <c r="H773" s="25"/>
      <c r="I773" s="25"/>
      <c r="J773" s="25"/>
      <c r="K773" s="25"/>
      <c r="L773" s="25"/>
      <c r="M773" s="25"/>
      <c r="N773" s="25"/>
      <c r="O773" s="25"/>
      <c r="P773" s="25"/>
      <c r="Q773" s="26"/>
      <c r="R773" s="26"/>
      <c r="S773" s="26"/>
      <c r="T773" s="26"/>
      <c r="U773" s="26"/>
      <c r="V773" s="26"/>
      <c r="W773" s="26"/>
      <c r="X773" s="26"/>
      <c r="Y773" s="26"/>
      <c r="Z773" s="26"/>
    </row>
    <row r="774" ht="12.75" customHeight="1">
      <c r="A774" s="31"/>
      <c r="B774" s="53"/>
      <c r="C774" s="26"/>
      <c r="D774" s="54"/>
      <c r="E774" s="25"/>
      <c r="F774" s="25"/>
      <c r="G774" s="25"/>
      <c r="H774" s="25"/>
      <c r="I774" s="25"/>
      <c r="J774" s="25"/>
      <c r="K774" s="25"/>
      <c r="L774" s="25"/>
      <c r="M774" s="25"/>
      <c r="N774" s="25"/>
      <c r="O774" s="25"/>
      <c r="P774" s="25"/>
      <c r="Q774" s="26"/>
      <c r="R774" s="26"/>
      <c r="S774" s="26"/>
      <c r="T774" s="26"/>
      <c r="U774" s="26"/>
      <c r="V774" s="26"/>
      <c r="W774" s="26"/>
      <c r="X774" s="26"/>
      <c r="Y774" s="26"/>
      <c r="Z774" s="26"/>
    </row>
    <row r="775" ht="12.75" customHeight="1">
      <c r="A775" s="31"/>
      <c r="B775" s="53"/>
      <c r="C775" s="26"/>
      <c r="D775" s="54"/>
      <c r="E775" s="25"/>
      <c r="F775" s="25"/>
      <c r="G775" s="25"/>
      <c r="H775" s="25"/>
      <c r="I775" s="25"/>
      <c r="J775" s="25"/>
      <c r="K775" s="25"/>
      <c r="L775" s="25"/>
      <c r="M775" s="25"/>
      <c r="N775" s="25"/>
      <c r="O775" s="25"/>
      <c r="P775" s="25"/>
      <c r="Q775" s="26"/>
      <c r="R775" s="26"/>
      <c r="S775" s="26"/>
      <c r="T775" s="26"/>
      <c r="U775" s="26"/>
      <c r="V775" s="26"/>
      <c r="W775" s="26"/>
      <c r="X775" s="26"/>
      <c r="Y775" s="26"/>
      <c r="Z775" s="26"/>
    </row>
    <row r="776" ht="12.75" customHeight="1">
      <c r="A776" s="31"/>
      <c r="B776" s="53"/>
      <c r="C776" s="26"/>
      <c r="D776" s="54"/>
      <c r="E776" s="25"/>
      <c r="F776" s="25"/>
      <c r="G776" s="25"/>
      <c r="H776" s="25"/>
      <c r="I776" s="25"/>
      <c r="J776" s="25"/>
      <c r="K776" s="25"/>
      <c r="L776" s="25"/>
      <c r="M776" s="25"/>
      <c r="N776" s="25"/>
      <c r="O776" s="25"/>
      <c r="P776" s="25"/>
      <c r="Q776" s="26"/>
      <c r="R776" s="26"/>
      <c r="S776" s="26"/>
      <c r="T776" s="26"/>
      <c r="U776" s="26"/>
      <c r="V776" s="26"/>
      <c r="W776" s="26"/>
      <c r="X776" s="26"/>
      <c r="Y776" s="26"/>
      <c r="Z776" s="26"/>
    </row>
    <row r="777" ht="12.75" customHeight="1">
      <c r="A777" s="31"/>
      <c r="B777" s="53"/>
      <c r="C777" s="26"/>
      <c r="D777" s="54"/>
      <c r="E777" s="25"/>
      <c r="F777" s="25"/>
      <c r="G777" s="25"/>
      <c r="H777" s="25"/>
      <c r="I777" s="25"/>
      <c r="J777" s="25"/>
      <c r="K777" s="25"/>
      <c r="L777" s="25"/>
      <c r="M777" s="25"/>
      <c r="N777" s="25"/>
      <c r="O777" s="25"/>
      <c r="P777" s="25"/>
      <c r="Q777" s="26"/>
      <c r="R777" s="26"/>
      <c r="S777" s="26"/>
      <c r="T777" s="26"/>
      <c r="U777" s="26"/>
      <c r="V777" s="26"/>
      <c r="W777" s="26"/>
      <c r="X777" s="26"/>
      <c r="Y777" s="26"/>
      <c r="Z777" s="26"/>
    </row>
    <row r="778" ht="12.75" customHeight="1">
      <c r="A778" s="31"/>
      <c r="B778" s="53"/>
      <c r="C778" s="26"/>
      <c r="D778" s="54"/>
      <c r="E778" s="25"/>
      <c r="F778" s="25"/>
      <c r="G778" s="25"/>
      <c r="H778" s="25"/>
      <c r="I778" s="25"/>
      <c r="J778" s="25"/>
      <c r="K778" s="25"/>
      <c r="L778" s="25"/>
      <c r="M778" s="25"/>
      <c r="N778" s="25"/>
      <c r="O778" s="25"/>
      <c r="P778" s="25"/>
      <c r="Q778" s="26"/>
      <c r="R778" s="26"/>
      <c r="S778" s="26"/>
      <c r="T778" s="26"/>
      <c r="U778" s="26"/>
      <c r="V778" s="26"/>
      <c r="W778" s="26"/>
      <c r="X778" s="26"/>
      <c r="Y778" s="26"/>
      <c r="Z778" s="26"/>
    </row>
    <row r="779" ht="12.75" customHeight="1">
      <c r="A779" s="31"/>
      <c r="B779" s="53"/>
      <c r="C779" s="26"/>
      <c r="D779" s="54"/>
      <c r="E779" s="25"/>
      <c r="F779" s="25"/>
      <c r="G779" s="25"/>
      <c r="H779" s="25"/>
      <c r="I779" s="25"/>
      <c r="J779" s="25"/>
      <c r="K779" s="25"/>
      <c r="L779" s="25"/>
      <c r="M779" s="25"/>
      <c r="N779" s="25"/>
      <c r="O779" s="25"/>
      <c r="P779" s="25"/>
      <c r="Q779" s="26"/>
      <c r="R779" s="26"/>
      <c r="S779" s="26"/>
      <c r="T779" s="26"/>
      <c r="U779" s="26"/>
      <c r="V779" s="26"/>
      <c r="W779" s="26"/>
      <c r="X779" s="26"/>
      <c r="Y779" s="26"/>
      <c r="Z779" s="26"/>
    </row>
    <row r="780" ht="12.75" customHeight="1">
      <c r="A780" s="31"/>
      <c r="B780" s="53"/>
      <c r="C780" s="26"/>
      <c r="D780" s="54"/>
      <c r="E780" s="25"/>
      <c r="F780" s="25"/>
      <c r="G780" s="25"/>
      <c r="H780" s="25"/>
      <c r="I780" s="25"/>
      <c r="J780" s="25"/>
      <c r="K780" s="25"/>
      <c r="L780" s="25"/>
      <c r="M780" s="25"/>
      <c r="N780" s="25"/>
      <c r="O780" s="25"/>
      <c r="P780" s="25"/>
      <c r="Q780" s="26"/>
      <c r="R780" s="26"/>
      <c r="S780" s="26"/>
      <c r="T780" s="26"/>
      <c r="U780" s="26"/>
      <c r="V780" s="26"/>
      <c r="W780" s="26"/>
      <c r="X780" s="26"/>
      <c r="Y780" s="26"/>
      <c r="Z780" s="26"/>
    </row>
    <row r="781" ht="12.75" customHeight="1">
      <c r="A781" s="31"/>
      <c r="B781" s="53"/>
      <c r="C781" s="26"/>
      <c r="D781" s="54"/>
      <c r="E781" s="25"/>
      <c r="F781" s="25"/>
      <c r="G781" s="25"/>
      <c r="H781" s="25"/>
      <c r="I781" s="25"/>
      <c r="J781" s="25"/>
      <c r="K781" s="25"/>
      <c r="L781" s="25"/>
      <c r="M781" s="25"/>
      <c r="N781" s="25"/>
      <c r="O781" s="25"/>
      <c r="P781" s="25"/>
      <c r="Q781" s="26"/>
      <c r="R781" s="26"/>
      <c r="S781" s="26"/>
      <c r="T781" s="26"/>
      <c r="U781" s="26"/>
      <c r="V781" s="26"/>
      <c r="W781" s="26"/>
      <c r="X781" s="26"/>
      <c r="Y781" s="26"/>
      <c r="Z781" s="26"/>
    </row>
    <row r="782" ht="12.75" customHeight="1">
      <c r="A782" s="31"/>
      <c r="B782" s="53"/>
      <c r="C782" s="26"/>
      <c r="D782" s="54"/>
      <c r="E782" s="25"/>
      <c r="F782" s="25"/>
      <c r="G782" s="25"/>
      <c r="H782" s="25"/>
      <c r="I782" s="25"/>
      <c r="J782" s="25"/>
      <c r="K782" s="25"/>
      <c r="L782" s="25"/>
      <c r="M782" s="25"/>
      <c r="N782" s="25"/>
      <c r="O782" s="25"/>
      <c r="P782" s="25"/>
      <c r="Q782" s="26"/>
      <c r="R782" s="26"/>
      <c r="S782" s="26"/>
      <c r="T782" s="26"/>
      <c r="U782" s="26"/>
      <c r="V782" s="26"/>
      <c r="W782" s="26"/>
      <c r="X782" s="26"/>
      <c r="Y782" s="26"/>
      <c r="Z782" s="26"/>
    </row>
    <row r="783" ht="12.75" customHeight="1">
      <c r="A783" s="31"/>
      <c r="B783" s="53"/>
      <c r="C783" s="26"/>
      <c r="D783" s="54"/>
      <c r="E783" s="25"/>
      <c r="F783" s="25"/>
      <c r="G783" s="25"/>
      <c r="H783" s="25"/>
      <c r="I783" s="25"/>
      <c r="J783" s="25"/>
      <c r="K783" s="25"/>
      <c r="L783" s="25"/>
      <c r="M783" s="25"/>
      <c r="N783" s="25"/>
      <c r="O783" s="25"/>
      <c r="P783" s="25"/>
      <c r="Q783" s="26"/>
      <c r="R783" s="26"/>
      <c r="S783" s="26"/>
      <c r="T783" s="26"/>
      <c r="U783" s="26"/>
      <c r="V783" s="26"/>
      <c r="W783" s="26"/>
      <c r="X783" s="26"/>
      <c r="Y783" s="26"/>
      <c r="Z783" s="26"/>
    </row>
    <row r="784" ht="12.75" customHeight="1">
      <c r="A784" s="31"/>
      <c r="B784" s="53"/>
      <c r="C784" s="26"/>
      <c r="D784" s="54"/>
      <c r="E784" s="25"/>
      <c r="F784" s="25"/>
      <c r="G784" s="25"/>
      <c r="H784" s="25"/>
      <c r="I784" s="25"/>
      <c r="J784" s="25"/>
      <c r="K784" s="25"/>
      <c r="L784" s="25"/>
      <c r="M784" s="25"/>
      <c r="N784" s="25"/>
      <c r="O784" s="25"/>
      <c r="P784" s="25"/>
      <c r="Q784" s="26"/>
      <c r="R784" s="26"/>
      <c r="S784" s="26"/>
      <c r="T784" s="26"/>
      <c r="U784" s="26"/>
      <c r="V784" s="26"/>
      <c r="W784" s="26"/>
      <c r="X784" s="26"/>
      <c r="Y784" s="26"/>
      <c r="Z784" s="26"/>
    </row>
    <row r="785" ht="12.75" customHeight="1">
      <c r="A785" s="31"/>
      <c r="B785" s="53"/>
      <c r="C785" s="26"/>
      <c r="D785" s="54"/>
      <c r="E785" s="25"/>
      <c r="F785" s="25"/>
      <c r="G785" s="25"/>
      <c r="H785" s="25"/>
      <c r="I785" s="25"/>
      <c r="J785" s="25"/>
      <c r="K785" s="25"/>
      <c r="L785" s="25"/>
      <c r="M785" s="25"/>
      <c r="N785" s="25"/>
      <c r="O785" s="25"/>
      <c r="P785" s="25"/>
      <c r="Q785" s="26"/>
      <c r="R785" s="26"/>
      <c r="S785" s="26"/>
      <c r="T785" s="26"/>
      <c r="U785" s="26"/>
      <c r="V785" s="26"/>
      <c r="W785" s="26"/>
      <c r="X785" s="26"/>
      <c r="Y785" s="26"/>
      <c r="Z785" s="26"/>
    </row>
    <row r="786" ht="12.75" customHeight="1">
      <c r="A786" s="31"/>
      <c r="B786" s="53"/>
      <c r="C786" s="26"/>
      <c r="D786" s="54"/>
      <c r="E786" s="25"/>
      <c r="F786" s="25"/>
      <c r="G786" s="25"/>
      <c r="H786" s="25"/>
      <c r="I786" s="25"/>
      <c r="J786" s="25"/>
      <c r="K786" s="25"/>
      <c r="L786" s="25"/>
      <c r="M786" s="25"/>
      <c r="N786" s="25"/>
      <c r="O786" s="25"/>
      <c r="P786" s="25"/>
      <c r="Q786" s="26"/>
      <c r="R786" s="26"/>
      <c r="S786" s="26"/>
      <c r="T786" s="26"/>
      <c r="U786" s="26"/>
      <c r="V786" s="26"/>
      <c r="W786" s="26"/>
      <c r="X786" s="26"/>
      <c r="Y786" s="26"/>
      <c r="Z786" s="26"/>
    </row>
    <row r="787" ht="12.75" customHeight="1">
      <c r="A787" s="31"/>
      <c r="B787" s="53"/>
      <c r="C787" s="26"/>
      <c r="D787" s="54"/>
      <c r="E787" s="25"/>
      <c r="F787" s="25"/>
      <c r="G787" s="25"/>
      <c r="H787" s="25"/>
      <c r="I787" s="25"/>
      <c r="J787" s="25"/>
      <c r="K787" s="25"/>
      <c r="L787" s="25"/>
      <c r="M787" s="25"/>
      <c r="N787" s="25"/>
      <c r="O787" s="25"/>
      <c r="P787" s="25"/>
      <c r="Q787" s="26"/>
      <c r="R787" s="26"/>
      <c r="S787" s="26"/>
      <c r="T787" s="26"/>
      <c r="U787" s="26"/>
      <c r="V787" s="26"/>
      <c r="W787" s="26"/>
      <c r="X787" s="26"/>
      <c r="Y787" s="26"/>
      <c r="Z787" s="26"/>
    </row>
    <row r="788" ht="12.75" customHeight="1">
      <c r="A788" s="31"/>
      <c r="B788" s="53"/>
      <c r="C788" s="26"/>
      <c r="D788" s="54"/>
      <c r="E788" s="25"/>
      <c r="F788" s="25"/>
      <c r="G788" s="25"/>
      <c r="H788" s="25"/>
      <c r="I788" s="25"/>
      <c r="J788" s="25"/>
      <c r="K788" s="25"/>
      <c r="L788" s="25"/>
      <c r="M788" s="25"/>
      <c r="N788" s="25"/>
      <c r="O788" s="25"/>
      <c r="P788" s="25"/>
      <c r="Q788" s="26"/>
      <c r="R788" s="26"/>
      <c r="S788" s="26"/>
      <c r="T788" s="26"/>
      <c r="U788" s="26"/>
      <c r="V788" s="26"/>
      <c r="W788" s="26"/>
      <c r="X788" s="26"/>
      <c r="Y788" s="26"/>
      <c r="Z788" s="26"/>
    </row>
    <row r="789" ht="12.75" customHeight="1">
      <c r="A789" s="31"/>
      <c r="B789" s="53"/>
      <c r="C789" s="26"/>
      <c r="D789" s="54"/>
      <c r="E789" s="25"/>
      <c r="F789" s="25"/>
      <c r="G789" s="25"/>
      <c r="H789" s="25"/>
      <c r="I789" s="25"/>
      <c r="J789" s="25"/>
      <c r="K789" s="25"/>
      <c r="L789" s="25"/>
      <c r="M789" s="25"/>
      <c r="N789" s="25"/>
      <c r="O789" s="25"/>
      <c r="P789" s="25"/>
      <c r="Q789" s="26"/>
      <c r="R789" s="26"/>
      <c r="S789" s="26"/>
      <c r="T789" s="26"/>
      <c r="U789" s="26"/>
      <c r="V789" s="26"/>
      <c r="W789" s="26"/>
      <c r="X789" s="26"/>
      <c r="Y789" s="26"/>
      <c r="Z789" s="26"/>
    </row>
    <row r="790" ht="12.75" customHeight="1">
      <c r="A790" s="31"/>
      <c r="B790" s="53"/>
      <c r="C790" s="26"/>
      <c r="D790" s="54"/>
      <c r="E790" s="25"/>
      <c r="F790" s="25"/>
      <c r="G790" s="25"/>
      <c r="H790" s="25"/>
      <c r="I790" s="25"/>
      <c r="J790" s="25"/>
      <c r="K790" s="25"/>
      <c r="L790" s="25"/>
      <c r="M790" s="25"/>
      <c r="N790" s="25"/>
      <c r="O790" s="25"/>
      <c r="P790" s="25"/>
      <c r="Q790" s="26"/>
      <c r="R790" s="26"/>
      <c r="S790" s="26"/>
      <c r="T790" s="26"/>
      <c r="U790" s="26"/>
      <c r="V790" s="26"/>
      <c r="W790" s="26"/>
      <c r="X790" s="26"/>
      <c r="Y790" s="26"/>
      <c r="Z790" s="26"/>
    </row>
    <row r="791" ht="12.75" customHeight="1">
      <c r="A791" s="31"/>
      <c r="B791" s="53"/>
      <c r="C791" s="26"/>
      <c r="D791" s="54"/>
      <c r="E791" s="25"/>
      <c r="F791" s="25"/>
      <c r="G791" s="25"/>
      <c r="H791" s="25"/>
      <c r="I791" s="25"/>
      <c r="J791" s="25"/>
      <c r="K791" s="25"/>
      <c r="L791" s="25"/>
      <c r="M791" s="25"/>
      <c r="N791" s="25"/>
      <c r="O791" s="25"/>
      <c r="P791" s="25"/>
      <c r="Q791" s="26"/>
      <c r="R791" s="26"/>
      <c r="S791" s="26"/>
      <c r="T791" s="26"/>
      <c r="U791" s="26"/>
      <c r="V791" s="26"/>
      <c r="W791" s="26"/>
      <c r="X791" s="26"/>
      <c r="Y791" s="26"/>
      <c r="Z791" s="26"/>
    </row>
    <row r="792" ht="12.75" customHeight="1">
      <c r="A792" s="31"/>
      <c r="B792" s="53"/>
      <c r="C792" s="26"/>
      <c r="D792" s="54"/>
      <c r="E792" s="25"/>
      <c r="F792" s="25"/>
      <c r="G792" s="25"/>
      <c r="H792" s="25"/>
      <c r="I792" s="25"/>
      <c r="J792" s="25"/>
      <c r="K792" s="25"/>
      <c r="L792" s="25"/>
      <c r="M792" s="25"/>
      <c r="N792" s="25"/>
      <c r="O792" s="25"/>
      <c r="P792" s="25"/>
      <c r="Q792" s="26"/>
      <c r="R792" s="26"/>
      <c r="S792" s="26"/>
      <c r="T792" s="26"/>
      <c r="U792" s="26"/>
      <c r="V792" s="26"/>
      <c r="W792" s="26"/>
      <c r="X792" s="26"/>
      <c r="Y792" s="26"/>
      <c r="Z792" s="26"/>
    </row>
    <row r="793" ht="12.75" customHeight="1">
      <c r="A793" s="31"/>
      <c r="B793" s="53"/>
      <c r="C793" s="26"/>
      <c r="D793" s="54"/>
      <c r="E793" s="25"/>
      <c r="F793" s="25"/>
      <c r="G793" s="25"/>
      <c r="H793" s="25"/>
      <c r="I793" s="25"/>
      <c r="J793" s="25"/>
      <c r="K793" s="25"/>
      <c r="L793" s="25"/>
      <c r="M793" s="25"/>
      <c r="N793" s="25"/>
      <c r="O793" s="25"/>
      <c r="P793" s="25"/>
      <c r="Q793" s="26"/>
      <c r="R793" s="26"/>
      <c r="S793" s="26"/>
      <c r="T793" s="26"/>
      <c r="U793" s="26"/>
      <c r="V793" s="26"/>
      <c r="W793" s="26"/>
      <c r="X793" s="26"/>
      <c r="Y793" s="26"/>
      <c r="Z793" s="26"/>
    </row>
    <row r="794" ht="12.75" customHeight="1">
      <c r="A794" s="31"/>
      <c r="B794" s="53"/>
      <c r="C794" s="26"/>
      <c r="D794" s="54"/>
      <c r="E794" s="25"/>
      <c r="F794" s="25"/>
      <c r="G794" s="25"/>
      <c r="H794" s="25"/>
      <c r="I794" s="25"/>
      <c r="J794" s="25"/>
      <c r="K794" s="25"/>
      <c r="L794" s="25"/>
      <c r="M794" s="25"/>
      <c r="N794" s="25"/>
      <c r="O794" s="25"/>
      <c r="P794" s="25"/>
      <c r="Q794" s="26"/>
      <c r="R794" s="26"/>
      <c r="S794" s="26"/>
      <c r="T794" s="26"/>
      <c r="U794" s="26"/>
      <c r="V794" s="26"/>
      <c r="W794" s="26"/>
      <c r="X794" s="26"/>
      <c r="Y794" s="26"/>
      <c r="Z794" s="26"/>
    </row>
    <row r="795" ht="12.75" customHeight="1">
      <c r="A795" s="31"/>
      <c r="B795" s="53"/>
      <c r="C795" s="26"/>
      <c r="D795" s="54"/>
      <c r="E795" s="25"/>
      <c r="F795" s="25"/>
      <c r="G795" s="25"/>
      <c r="H795" s="25"/>
      <c r="I795" s="25"/>
      <c r="J795" s="25"/>
      <c r="K795" s="25"/>
      <c r="L795" s="25"/>
      <c r="M795" s="25"/>
      <c r="N795" s="25"/>
      <c r="O795" s="25"/>
      <c r="P795" s="25"/>
      <c r="Q795" s="26"/>
      <c r="R795" s="26"/>
      <c r="S795" s="26"/>
      <c r="T795" s="26"/>
      <c r="U795" s="26"/>
      <c r="V795" s="26"/>
      <c r="W795" s="26"/>
      <c r="X795" s="26"/>
      <c r="Y795" s="26"/>
      <c r="Z795" s="26"/>
    </row>
    <row r="796" ht="12.75" customHeight="1">
      <c r="A796" s="31"/>
      <c r="B796" s="53"/>
      <c r="C796" s="26"/>
      <c r="D796" s="54"/>
      <c r="E796" s="25"/>
      <c r="F796" s="25"/>
      <c r="G796" s="25"/>
      <c r="H796" s="25"/>
      <c r="I796" s="25"/>
      <c r="J796" s="25"/>
      <c r="K796" s="25"/>
      <c r="L796" s="25"/>
      <c r="M796" s="25"/>
      <c r="N796" s="25"/>
      <c r="O796" s="25"/>
      <c r="P796" s="25"/>
      <c r="Q796" s="26"/>
      <c r="R796" s="26"/>
      <c r="S796" s="26"/>
      <c r="T796" s="26"/>
      <c r="U796" s="26"/>
      <c r="V796" s="26"/>
      <c r="W796" s="26"/>
      <c r="X796" s="26"/>
      <c r="Y796" s="26"/>
      <c r="Z796" s="26"/>
    </row>
    <row r="797" ht="12.75" customHeight="1">
      <c r="A797" s="31"/>
      <c r="B797" s="53"/>
      <c r="C797" s="26"/>
      <c r="D797" s="54"/>
      <c r="E797" s="25"/>
      <c r="F797" s="25"/>
      <c r="G797" s="25"/>
      <c r="H797" s="25"/>
      <c r="I797" s="25"/>
      <c r="J797" s="25"/>
      <c r="K797" s="25"/>
      <c r="L797" s="25"/>
      <c r="M797" s="25"/>
      <c r="N797" s="25"/>
      <c r="O797" s="25"/>
      <c r="P797" s="25"/>
      <c r="Q797" s="26"/>
      <c r="R797" s="26"/>
      <c r="S797" s="26"/>
      <c r="T797" s="26"/>
      <c r="U797" s="26"/>
      <c r="V797" s="26"/>
      <c r="W797" s="26"/>
      <c r="X797" s="26"/>
      <c r="Y797" s="26"/>
      <c r="Z797" s="26"/>
    </row>
    <row r="798" ht="12.75" customHeight="1">
      <c r="A798" s="31"/>
      <c r="B798" s="53"/>
      <c r="C798" s="26"/>
      <c r="D798" s="54"/>
      <c r="E798" s="25"/>
      <c r="F798" s="25"/>
      <c r="G798" s="25"/>
      <c r="H798" s="25"/>
      <c r="I798" s="25"/>
      <c r="J798" s="25"/>
      <c r="K798" s="25"/>
      <c r="L798" s="25"/>
      <c r="M798" s="25"/>
      <c r="N798" s="25"/>
      <c r="O798" s="25"/>
      <c r="P798" s="25"/>
      <c r="Q798" s="26"/>
      <c r="R798" s="26"/>
      <c r="S798" s="26"/>
      <c r="T798" s="26"/>
      <c r="U798" s="26"/>
      <c r="V798" s="26"/>
      <c r="W798" s="26"/>
      <c r="X798" s="26"/>
      <c r="Y798" s="26"/>
      <c r="Z798" s="26"/>
    </row>
    <row r="799" ht="12.75" customHeight="1">
      <c r="A799" s="31"/>
      <c r="B799" s="53"/>
      <c r="C799" s="26"/>
      <c r="D799" s="54"/>
      <c r="E799" s="25"/>
      <c r="F799" s="25"/>
      <c r="G799" s="25"/>
      <c r="H799" s="25"/>
      <c r="I799" s="25"/>
      <c r="J799" s="25"/>
      <c r="K799" s="25"/>
      <c r="L799" s="25"/>
      <c r="M799" s="25"/>
      <c r="N799" s="25"/>
      <c r="O799" s="25"/>
      <c r="P799" s="25"/>
      <c r="Q799" s="26"/>
      <c r="R799" s="26"/>
      <c r="S799" s="26"/>
      <c r="T799" s="26"/>
      <c r="U799" s="26"/>
      <c r="V799" s="26"/>
      <c r="W799" s="26"/>
      <c r="X799" s="26"/>
      <c r="Y799" s="26"/>
      <c r="Z799" s="26"/>
    </row>
    <row r="800" ht="12.75" customHeight="1">
      <c r="A800" s="31"/>
      <c r="B800" s="53"/>
      <c r="C800" s="26"/>
      <c r="D800" s="54"/>
      <c r="E800" s="25"/>
      <c r="F800" s="25"/>
      <c r="G800" s="25"/>
      <c r="H800" s="25"/>
      <c r="I800" s="25"/>
      <c r="J800" s="25"/>
      <c r="K800" s="25"/>
      <c r="L800" s="25"/>
      <c r="M800" s="25"/>
      <c r="N800" s="25"/>
      <c r="O800" s="25"/>
      <c r="P800" s="25"/>
      <c r="Q800" s="26"/>
      <c r="R800" s="26"/>
      <c r="S800" s="26"/>
      <c r="T800" s="26"/>
      <c r="U800" s="26"/>
      <c r="V800" s="26"/>
      <c r="W800" s="26"/>
      <c r="X800" s="26"/>
      <c r="Y800" s="26"/>
      <c r="Z800" s="26"/>
    </row>
    <row r="801" ht="12.75" customHeight="1">
      <c r="A801" s="31"/>
      <c r="B801" s="53"/>
      <c r="C801" s="26"/>
      <c r="D801" s="54"/>
      <c r="E801" s="25"/>
      <c r="F801" s="25"/>
      <c r="G801" s="25"/>
      <c r="H801" s="25"/>
      <c r="I801" s="25"/>
      <c r="J801" s="25"/>
      <c r="K801" s="25"/>
      <c r="L801" s="25"/>
      <c r="M801" s="25"/>
      <c r="N801" s="25"/>
      <c r="O801" s="25"/>
      <c r="P801" s="25"/>
      <c r="Q801" s="26"/>
      <c r="R801" s="26"/>
      <c r="S801" s="26"/>
      <c r="T801" s="26"/>
      <c r="U801" s="26"/>
      <c r="V801" s="26"/>
      <c r="W801" s="26"/>
      <c r="X801" s="26"/>
      <c r="Y801" s="26"/>
      <c r="Z801" s="26"/>
    </row>
    <row r="802" ht="12.75" customHeight="1">
      <c r="A802" s="31"/>
      <c r="B802" s="53"/>
      <c r="C802" s="26"/>
      <c r="D802" s="54"/>
      <c r="E802" s="25"/>
      <c r="F802" s="25"/>
      <c r="G802" s="25"/>
      <c r="H802" s="25"/>
      <c r="I802" s="25"/>
      <c r="J802" s="25"/>
      <c r="K802" s="25"/>
      <c r="L802" s="25"/>
      <c r="M802" s="25"/>
      <c r="N802" s="25"/>
      <c r="O802" s="25"/>
      <c r="P802" s="25"/>
      <c r="Q802" s="26"/>
      <c r="R802" s="26"/>
      <c r="S802" s="26"/>
      <c r="T802" s="26"/>
      <c r="U802" s="26"/>
      <c r="V802" s="26"/>
      <c r="W802" s="26"/>
      <c r="X802" s="26"/>
      <c r="Y802" s="26"/>
      <c r="Z802" s="26"/>
    </row>
    <row r="803" ht="12.75" customHeight="1">
      <c r="A803" s="31"/>
      <c r="B803" s="53"/>
      <c r="C803" s="26"/>
      <c r="D803" s="54"/>
      <c r="E803" s="25"/>
      <c r="F803" s="25"/>
      <c r="G803" s="25"/>
      <c r="H803" s="25"/>
      <c r="I803" s="25"/>
      <c r="J803" s="25"/>
      <c r="K803" s="25"/>
      <c r="L803" s="25"/>
      <c r="M803" s="25"/>
      <c r="N803" s="25"/>
      <c r="O803" s="25"/>
      <c r="P803" s="25"/>
      <c r="Q803" s="26"/>
      <c r="R803" s="26"/>
      <c r="S803" s="26"/>
      <c r="T803" s="26"/>
      <c r="U803" s="26"/>
      <c r="V803" s="26"/>
      <c r="W803" s="26"/>
      <c r="X803" s="26"/>
      <c r="Y803" s="26"/>
      <c r="Z803" s="26"/>
    </row>
    <row r="804" ht="12.75" customHeight="1">
      <c r="A804" s="31"/>
      <c r="B804" s="53"/>
      <c r="C804" s="26"/>
      <c r="D804" s="54"/>
      <c r="E804" s="25"/>
      <c r="F804" s="25"/>
      <c r="G804" s="25"/>
      <c r="H804" s="25"/>
      <c r="I804" s="25"/>
      <c r="J804" s="25"/>
      <c r="K804" s="25"/>
      <c r="L804" s="25"/>
      <c r="M804" s="25"/>
      <c r="N804" s="25"/>
      <c r="O804" s="25"/>
      <c r="P804" s="25"/>
      <c r="Q804" s="26"/>
      <c r="R804" s="26"/>
      <c r="S804" s="26"/>
      <c r="T804" s="26"/>
      <c r="U804" s="26"/>
      <c r="V804" s="26"/>
      <c r="W804" s="26"/>
      <c r="X804" s="26"/>
      <c r="Y804" s="26"/>
      <c r="Z804" s="26"/>
    </row>
    <row r="805" ht="12.75" customHeight="1">
      <c r="A805" s="31"/>
      <c r="B805" s="53"/>
      <c r="C805" s="26"/>
      <c r="D805" s="54"/>
      <c r="E805" s="25"/>
      <c r="F805" s="25"/>
      <c r="G805" s="25"/>
      <c r="H805" s="25"/>
      <c r="I805" s="25"/>
      <c r="J805" s="25"/>
      <c r="K805" s="25"/>
      <c r="L805" s="25"/>
      <c r="M805" s="25"/>
      <c r="N805" s="25"/>
      <c r="O805" s="25"/>
      <c r="P805" s="25"/>
      <c r="Q805" s="26"/>
      <c r="R805" s="26"/>
      <c r="S805" s="26"/>
      <c r="T805" s="26"/>
      <c r="U805" s="26"/>
      <c r="V805" s="26"/>
      <c r="W805" s="26"/>
      <c r="X805" s="26"/>
      <c r="Y805" s="26"/>
      <c r="Z805" s="26"/>
    </row>
    <row r="806" ht="12.75" customHeight="1">
      <c r="A806" s="31"/>
      <c r="B806" s="53"/>
      <c r="C806" s="26"/>
      <c r="D806" s="54"/>
      <c r="E806" s="25"/>
      <c r="F806" s="25"/>
      <c r="G806" s="25"/>
      <c r="H806" s="25"/>
      <c r="I806" s="25"/>
      <c r="J806" s="25"/>
      <c r="K806" s="25"/>
      <c r="L806" s="25"/>
      <c r="M806" s="25"/>
      <c r="N806" s="25"/>
      <c r="O806" s="25"/>
      <c r="P806" s="25"/>
      <c r="Q806" s="26"/>
      <c r="R806" s="26"/>
      <c r="S806" s="26"/>
      <c r="T806" s="26"/>
      <c r="U806" s="26"/>
      <c r="V806" s="26"/>
      <c r="W806" s="26"/>
      <c r="X806" s="26"/>
      <c r="Y806" s="26"/>
      <c r="Z806" s="26"/>
    </row>
    <row r="807" ht="12.75" customHeight="1">
      <c r="A807" s="31"/>
      <c r="B807" s="53"/>
      <c r="C807" s="26"/>
      <c r="D807" s="54"/>
      <c r="E807" s="25"/>
      <c r="F807" s="25"/>
      <c r="G807" s="25"/>
      <c r="H807" s="25"/>
      <c r="I807" s="25"/>
      <c r="J807" s="25"/>
      <c r="K807" s="25"/>
      <c r="L807" s="25"/>
      <c r="M807" s="25"/>
      <c r="N807" s="25"/>
      <c r="O807" s="25"/>
      <c r="P807" s="25"/>
      <c r="Q807" s="26"/>
      <c r="R807" s="26"/>
      <c r="S807" s="26"/>
      <c r="T807" s="26"/>
      <c r="U807" s="26"/>
      <c r="V807" s="26"/>
      <c r="W807" s="26"/>
      <c r="X807" s="26"/>
      <c r="Y807" s="26"/>
      <c r="Z807" s="26"/>
    </row>
    <row r="808" ht="12.75" customHeight="1">
      <c r="A808" s="31"/>
      <c r="B808" s="53"/>
      <c r="C808" s="26"/>
      <c r="D808" s="54"/>
      <c r="E808" s="25"/>
      <c r="F808" s="25"/>
      <c r="G808" s="25"/>
      <c r="H808" s="25"/>
      <c r="I808" s="25"/>
      <c r="J808" s="25"/>
      <c r="K808" s="25"/>
      <c r="L808" s="25"/>
      <c r="M808" s="25"/>
      <c r="N808" s="25"/>
      <c r="O808" s="25"/>
      <c r="P808" s="25"/>
      <c r="Q808" s="26"/>
      <c r="R808" s="26"/>
      <c r="S808" s="26"/>
      <c r="T808" s="26"/>
      <c r="U808" s="26"/>
      <c r="V808" s="26"/>
      <c r="W808" s="26"/>
      <c r="X808" s="26"/>
      <c r="Y808" s="26"/>
      <c r="Z808" s="26"/>
    </row>
    <row r="809" ht="12.75" customHeight="1">
      <c r="A809" s="31"/>
      <c r="B809" s="53"/>
      <c r="C809" s="26"/>
      <c r="D809" s="54"/>
      <c r="E809" s="25"/>
      <c r="F809" s="25"/>
      <c r="G809" s="25"/>
      <c r="H809" s="25"/>
      <c r="I809" s="25"/>
      <c r="J809" s="25"/>
      <c r="K809" s="25"/>
      <c r="L809" s="25"/>
      <c r="M809" s="25"/>
      <c r="N809" s="25"/>
      <c r="O809" s="25"/>
      <c r="P809" s="25"/>
      <c r="Q809" s="26"/>
      <c r="R809" s="26"/>
      <c r="S809" s="26"/>
      <c r="T809" s="26"/>
      <c r="U809" s="26"/>
      <c r="V809" s="26"/>
      <c r="W809" s="26"/>
      <c r="X809" s="26"/>
      <c r="Y809" s="26"/>
      <c r="Z809" s="26"/>
    </row>
    <row r="810" ht="12.75" customHeight="1">
      <c r="A810" s="31"/>
      <c r="B810" s="53"/>
      <c r="C810" s="26"/>
      <c r="D810" s="54"/>
      <c r="E810" s="25"/>
      <c r="F810" s="25"/>
      <c r="G810" s="25"/>
      <c r="H810" s="25"/>
      <c r="I810" s="25"/>
      <c r="J810" s="25"/>
      <c r="K810" s="25"/>
      <c r="L810" s="25"/>
      <c r="M810" s="25"/>
      <c r="N810" s="25"/>
      <c r="O810" s="25"/>
      <c r="P810" s="25"/>
      <c r="Q810" s="26"/>
      <c r="R810" s="26"/>
      <c r="S810" s="26"/>
      <c r="T810" s="26"/>
      <c r="U810" s="26"/>
      <c r="V810" s="26"/>
      <c r="W810" s="26"/>
      <c r="X810" s="26"/>
      <c r="Y810" s="26"/>
      <c r="Z810" s="26"/>
    </row>
    <row r="811" ht="12.75" customHeight="1">
      <c r="A811" s="31"/>
      <c r="B811" s="53"/>
      <c r="C811" s="26"/>
      <c r="D811" s="54"/>
      <c r="E811" s="25"/>
      <c r="F811" s="25"/>
      <c r="G811" s="25"/>
      <c r="H811" s="25"/>
      <c r="I811" s="25"/>
      <c r="J811" s="25"/>
      <c r="K811" s="25"/>
      <c r="L811" s="25"/>
      <c r="M811" s="25"/>
      <c r="N811" s="25"/>
      <c r="O811" s="25"/>
      <c r="P811" s="25"/>
      <c r="Q811" s="26"/>
      <c r="R811" s="26"/>
      <c r="S811" s="26"/>
      <c r="T811" s="26"/>
      <c r="U811" s="26"/>
      <c r="V811" s="26"/>
      <c r="W811" s="26"/>
      <c r="X811" s="26"/>
      <c r="Y811" s="26"/>
      <c r="Z811" s="26"/>
    </row>
    <row r="812" ht="12.75" customHeight="1">
      <c r="A812" s="31"/>
      <c r="B812" s="53"/>
      <c r="C812" s="26"/>
      <c r="D812" s="54"/>
      <c r="E812" s="25"/>
      <c r="F812" s="25"/>
      <c r="G812" s="25"/>
      <c r="H812" s="25"/>
      <c r="I812" s="25"/>
      <c r="J812" s="25"/>
      <c r="K812" s="25"/>
      <c r="L812" s="25"/>
      <c r="M812" s="25"/>
      <c r="N812" s="25"/>
      <c r="O812" s="25"/>
      <c r="P812" s="25"/>
      <c r="Q812" s="26"/>
      <c r="R812" s="26"/>
      <c r="S812" s="26"/>
      <c r="T812" s="26"/>
      <c r="U812" s="26"/>
      <c r="V812" s="26"/>
      <c r="W812" s="26"/>
      <c r="X812" s="26"/>
      <c r="Y812" s="26"/>
      <c r="Z812" s="26"/>
    </row>
    <row r="813" ht="12.75" customHeight="1">
      <c r="A813" s="31"/>
      <c r="B813" s="53"/>
      <c r="C813" s="26"/>
      <c r="D813" s="54"/>
      <c r="E813" s="25"/>
      <c r="F813" s="25"/>
      <c r="G813" s="25"/>
      <c r="H813" s="25"/>
      <c r="I813" s="25"/>
      <c r="J813" s="25"/>
      <c r="K813" s="25"/>
      <c r="L813" s="25"/>
      <c r="M813" s="25"/>
      <c r="N813" s="25"/>
      <c r="O813" s="25"/>
      <c r="P813" s="25"/>
      <c r="Q813" s="26"/>
      <c r="R813" s="26"/>
      <c r="S813" s="26"/>
      <c r="T813" s="26"/>
      <c r="U813" s="26"/>
      <c r="V813" s="26"/>
      <c r="W813" s="26"/>
      <c r="X813" s="26"/>
      <c r="Y813" s="26"/>
      <c r="Z813" s="26"/>
    </row>
    <row r="814" ht="12.75" customHeight="1">
      <c r="A814" s="31"/>
      <c r="B814" s="53"/>
      <c r="C814" s="26"/>
      <c r="D814" s="54"/>
      <c r="E814" s="25"/>
      <c r="F814" s="25"/>
      <c r="G814" s="25"/>
      <c r="H814" s="25"/>
      <c r="I814" s="25"/>
      <c r="J814" s="25"/>
      <c r="K814" s="25"/>
      <c r="L814" s="25"/>
      <c r="M814" s="25"/>
      <c r="N814" s="25"/>
      <c r="O814" s="25"/>
      <c r="P814" s="25"/>
      <c r="Q814" s="26"/>
      <c r="R814" s="26"/>
      <c r="S814" s="26"/>
      <c r="T814" s="26"/>
      <c r="U814" s="26"/>
      <c r="V814" s="26"/>
      <c r="W814" s="26"/>
      <c r="X814" s="26"/>
      <c r="Y814" s="26"/>
      <c r="Z814" s="26"/>
    </row>
    <row r="815" ht="12.75" customHeight="1">
      <c r="A815" s="31"/>
      <c r="B815" s="53"/>
      <c r="C815" s="26"/>
      <c r="D815" s="54"/>
      <c r="E815" s="25"/>
      <c r="F815" s="25"/>
      <c r="G815" s="25"/>
      <c r="H815" s="25"/>
      <c r="I815" s="25"/>
      <c r="J815" s="25"/>
      <c r="K815" s="25"/>
      <c r="L815" s="25"/>
      <c r="M815" s="25"/>
      <c r="N815" s="25"/>
      <c r="O815" s="25"/>
      <c r="P815" s="25"/>
      <c r="Q815" s="26"/>
      <c r="R815" s="26"/>
      <c r="S815" s="26"/>
      <c r="T815" s="26"/>
      <c r="U815" s="26"/>
      <c r="V815" s="26"/>
      <c r="W815" s="26"/>
      <c r="X815" s="26"/>
      <c r="Y815" s="26"/>
      <c r="Z815" s="26"/>
    </row>
    <row r="816" ht="12.75" customHeight="1">
      <c r="A816" s="31"/>
      <c r="B816" s="53"/>
      <c r="C816" s="26"/>
      <c r="D816" s="54"/>
      <c r="E816" s="25"/>
      <c r="F816" s="25"/>
      <c r="G816" s="25"/>
      <c r="H816" s="25"/>
      <c r="I816" s="25"/>
      <c r="J816" s="25"/>
      <c r="K816" s="25"/>
      <c r="L816" s="25"/>
      <c r="M816" s="25"/>
      <c r="N816" s="25"/>
      <c r="O816" s="25"/>
      <c r="P816" s="25"/>
      <c r="Q816" s="26"/>
      <c r="R816" s="26"/>
      <c r="S816" s="26"/>
      <c r="T816" s="26"/>
      <c r="U816" s="26"/>
      <c r="V816" s="26"/>
      <c r="W816" s="26"/>
      <c r="X816" s="26"/>
      <c r="Y816" s="26"/>
      <c r="Z816" s="26"/>
    </row>
    <row r="817" ht="12.75" customHeight="1">
      <c r="A817" s="31"/>
      <c r="B817" s="53"/>
      <c r="C817" s="26"/>
      <c r="D817" s="54"/>
      <c r="E817" s="25"/>
      <c r="F817" s="25"/>
      <c r="G817" s="25"/>
      <c r="H817" s="25"/>
      <c r="I817" s="25"/>
      <c r="J817" s="25"/>
      <c r="K817" s="25"/>
      <c r="L817" s="25"/>
      <c r="M817" s="25"/>
      <c r="N817" s="25"/>
      <c r="O817" s="25"/>
      <c r="P817" s="25"/>
      <c r="Q817" s="26"/>
      <c r="R817" s="26"/>
      <c r="S817" s="26"/>
      <c r="T817" s="26"/>
      <c r="U817" s="26"/>
      <c r="V817" s="26"/>
      <c r="W817" s="26"/>
      <c r="X817" s="26"/>
      <c r="Y817" s="26"/>
      <c r="Z817" s="26"/>
    </row>
    <row r="818" ht="12.75" customHeight="1">
      <c r="A818" s="31"/>
      <c r="B818" s="53"/>
      <c r="C818" s="26"/>
      <c r="D818" s="54"/>
      <c r="E818" s="25"/>
      <c r="F818" s="25"/>
      <c r="G818" s="25"/>
      <c r="H818" s="25"/>
      <c r="I818" s="25"/>
      <c r="J818" s="25"/>
      <c r="K818" s="25"/>
      <c r="L818" s="25"/>
      <c r="M818" s="25"/>
      <c r="N818" s="25"/>
      <c r="O818" s="25"/>
      <c r="P818" s="25"/>
      <c r="Q818" s="26"/>
      <c r="R818" s="26"/>
      <c r="S818" s="26"/>
      <c r="T818" s="26"/>
      <c r="U818" s="26"/>
      <c r="V818" s="26"/>
      <c r="W818" s="26"/>
      <c r="X818" s="26"/>
      <c r="Y818" s="26"/>
      <c r="Z818" s="26"/>
    </row>
    <row r="819" ht="12.75" customHeight="1">
      <c r="A819" s="31"/>
      <c r="B819" s="53"/>
      <c r="C819" s="26"/>
      <c r="D819" s="54"/>
      <c r="E819" s="25"/>
      <c r="F819" s="25"/>
      <c r="G819" s="25"/>
      <c r="H819" s="25"/>
      <c r="I819" s="25"/>
      <c r="J819" s="25"/>
      <c r="K819" s="25"/>
      <c r="L819" s="25"/>
      <c r="M819" s="25"/>
      <c r="N819" s="25"/>
      <c r="O819" s="25"/>
      <c r="P819" s="25"/>
      <c r="Q819" s="26"/>
      <c r="R819" s="26"/>
      <c r="S819" s="26"/>
      <c r="T819" s="26"/>
      <c r="U819" s="26"/>
      <c r="V819" s="26"/>
      <c r="W819" s="26"/>
      <c r="X819" s="26"/>
      <c r="Y819" s="26"/>
      <c r="Z819" s="26"/>
    </row>
    <row r="820" ht="12.75" customHeight="1">
      <c r="A820" s="31"/>
      <c r="B820" s="53"/>
      <c r="C820" s="26"/>
      <c r="D820" s="54"/>
      <c r="E820" s="25"/>
      <c r="F820" s="25"/>
      <c r="G820" s="25"/>
      <c r="H820" s="25"/>
      <c r="I820" s="25"/>
      <c r="J820" s="25"/>
      <c r="K820" s="25"/>
      <c r="L820" s="25"/>
      <c r="M820" s="25"/>
      <c r="N820" s="25"/>
      <c r="O820" s="25"/>
      <c r="P820" s="25"/>
      <c r="Q820" s="26"/>
      <c r="R820" s="26"/>
      <c r="S820" s="26"/>
      <c r="T820" s="26"/>
      <c r="U820" s="26"/>
      <c r="V820" s="26"/>
      <c r="W820" s="26"/>
      <c r="X820" s="26"/>
      <c r="Y820" s="26"/>
      <c r="Z820" s="26"/>
    </row>
    <row r="821" ht="12.75" customHeight="1">
      <c r="A821" s="31"/>
      <c r="B821" s="53"/>
      <c r="C821" s="26"/>
      <c r="D821" s="54"/>
      <c r="E821" s="25"/>
      <c r="F821" s="25"/>
      <c r="G821" s="25"/>
      <c r="H821" s="25"/>
      <c r="I821" s="25"/>
      <c r="J821" s="25"/>
      <c r="K821" s="25"/>
      <c r="L821" s="25"/>
      <c r="M821" s="25"/>
      <c r="N821" s="25"/>
      <c r="O821" s="25"/>
      <c r="P821" s="25"/>
      <c r="Q821" s="26"/>
      <c r="R821" s="26"/>
      <c r="S821" s="26"/>
      <c r="T821" s="26"/>
      <c r="U821" s="26"/>
      <c r="V821" s="26"/>
      <c r="W821" s="26"/>
      <c r="X821" s="26"/>
      <c r="Y821" s="26"/>
      <c r="Z821" s="26"/>
    </row>
    <row r="822" ht="12.75" customHeight="1">
      <c r="A822" s="31"/>
      <c r="B822" s="53"/>
      <c r="C822" s="26"/>
      <c r="D822" s="54"/>
      <c r="E822" s="25"/>
      <c r="F822" s="25"/>
      <c r="G822" s="25"/>
      <c r="H822" s="25"/>
      <c r="I822" s="25"/>
      <c r="J822" s="25"/>
      <c r="K822" s="25"/>
      <c r="L822" s="25"/>
      <c r="M822" s="25"/>
      <c r="N822" s="25"/>
      <c r="O822" s="25"/>
      <c r="P822" s="25"/>
      <c r="Q822" s="26"/>
      <c r="R822" s="26"/>
      <c r="S822" s="26"/>
      <c r="T822" s="26"/>
      <c r="U822" s="26"/>
      <c r="V822" s="26"/>
      <c r="W822" s="26"/>
      <c r="X822" s="26"/>
      <c r="Y822" s="26"/>
      <c r="Z822" s="26"/>
    </row>
    <row r="823" ht="12.75" customHeight="1">
      <c r="A823" s="31"/>
      <c r="B823" s="53"/>
      <c r="C823" s="26"/>
      <c r="D823" s="54"/>
      <c r="E823" s="25"/>
      <c r="F823" s="25"/>
      <c r="G823" s="25"/>
      <c r="H823" s="25"/>
      <c r="I823" s="25"/>
      <c r="J823" s="25"/>
      <c r="K823" s="25"/>
      <c r="L823" s="25"/>
      <c r="M823" s="25"/>
      <c r="N823" s="25"/>
      <c r="O823" s="25"/>
      <c r="P823" s="25"/>
      <c r="Q823" s="26"/>
      <c r="R823" s="26"/>
      <c r="S823" s="26"/>
      <c r="T823" s="26"/>
      <c r="U823" s="26"/>
      <c r="V823" s="26"/>
      <c r="W823" s="26"/>
      <c r="X823" s="26"/>
      <c r="Y823" s="26"/>
      <c r="Z823" s="26"/>
    </row>
    <row r="824" ht="12.75" customHeight="1">
      <c r="A824" s="31"/>
      <c r="B824" s="53"/>
      <c r="C824" s="26"/>
      <c r="D824" s="54"/>
      <c r="E824" s="25"/>
      <c r="F824" s="25"/>
      <c r="G824" s="25"/>
      <c r="H824" s="25"/>
      <c r="I824" s="25"/>
      <c r="J824" s="25"/>
      <c r="K824" s="25"/>
      <c r="L824" s="25"/>
      <c r="M824" s="25"/>
      <c r="N824" s="25"/>
      <c r="O824" s="25"/>
      <c r="P824" s="25"/>
      <c r="Q824" s="26"/>
      <c r="R824" s="26"/>
      <c r="S824" s="26"/>
      <c r="T824" s="26"/>
      <c r="U824" s="26"/>
      <c r="V824" s="26"/>
      <c r="W824" s="26"/>
      <c r="X824" s="26"/>
      <c r="Y824" s="26"/>
      <c r="Z824" s="26"/>
    </row>
    <row r="825" ht="12.75" customHeight="1">
      <c r="A825" s="31"/>
      <c r="B825" s="53"/>
      <c r="C825" s="26"/>
      <c r="D825" s="54"/>
      <c r="E825" s="25"/>
      <c r="F825" s="25"/>
      <c r="G825" s="25"/>
      <c r="H825" s="25"/>
      <c r="I825" s="25"/>
      <c r="J825" s="25"/>
      <c r="K825" s="25"/>
      <c r="L825" s="25"/>
      <c r="M825" s="25"/>
      <c r="N825" s="25"/>
      <c r="O825" s="25"/>
      <c r="P825" s="25"/>
      <c r="Q825" s="26"/>
      <c r="R825" s="26"/>
      <c r="S825" s="26"/>
      <c r="T825" s="26"/>
      <c r="U825" s="26"/>
      <c r="V825" s="26"/>
      <c r="W825" s="26"/>
      <c r="X825" s="26"/>
      <c r="Y825" s="26"/>
      <c r="Z825" s="26"/>
    </row>
    <row r="826" ht="12.75" customHeight="1">
      <c r="A826" s="31"/>
      <c r="B826" s="53"/>
      <c r="C826" s="26"/>
      <c r="D826" s="54"/>
      <c r="E826" s="25"/>
      <c r="F826" s="25"/>
      <c r="G826" s="25"/>
      <c r="H826" s="25"/>
      <c r="I826" s="25"/>
      <c r="J826" s="25"/>
      <c r="K826" s="25"/>
      <c r="L826" s="25"/>
      <c r="M826" s="25"/>
      <c r="N826" s="25"/>
      <c r="O826" s="25"/>
      <c r="P826" s="25"/>
      <c r="Q826" s="26"/>
      <c r="R826" s="26"/>
      <c r="S826" s="26"/>
      <c r="T826" s="26"/>
      <c r="U826" s="26"/>
      <c r="V826" s="26"/>
      <c r="W826" s="26"/>
      <c r="X826" s="26"/>
      <c r="Y826" s="26"/>
      <c r="Z826" s="26"/>
    </row>
    <row r="827" ht="12.75" customHeight="1">
      <c r="A827" s="31"/>
      <c r="B827" s="53"/>
      <c r="C827" s="26"/>
      <c r="D827" s="54"/>
      <c r="E827" s="25"/>
      <c r="F827" s="25"/>
      <c r="G827" s="25"/>
      <c r="H827" s="25"/>
      <c r="I827" s="25"/>
      <c r="J827" s="25"/>
      <c r="K827" s="25"/>
      <c r="L827" s="25"/>
      <c r="M827" s="25"/>
      <c r="N827" s="25"/>
      <c r="O827" s="25"/>
      <c r="P827" s="25"/>
      <c r="Q827" s="26"/>
      <c r="R827" s="26"/>
      <c r="S827" s="26"/>
      <c r="T827" s="26"/>
      <c r="U827" s="26"/>
      <c r="V827" s="26"/>
      <c r="W827" s="26"/>
      <c r="X827" s="26"/>
      <c r="Y827" s="26"/>
      <c r="Z827" s="26"/>
    </row>
    <row r="828" ht="12.75" customHeight="1">
      <c r="A828" s="31"/>
      <c r="B828" s="53"/>
      <c r="C828" s="26"/>
      <c r="D828" s="54"/>
      <c r="E828" s="25"/>
      <c r="F828" s="25"/>
      <c r="G828" s="25"/>
      <c r="H828" s="25"/>
      <c r="I828" s="25"/>
      <c r="J828" s="25"/>
      <c r="K828" s="25"/>
      <c r="L828" s="25"/>
      <c r="M828" s="25"/>
      <c r="N828" s="25"/>
      <c r="O828" s="25"/>
      <c r="P828" s="25"/>
      <c r="Q828" s="26"/>
      <c r="R828" s="26"/>
      <c r="S828" s="26"/>
      <c r="T828" s="26"/>
      <c r="U828" s="26"/>
      <c r="V828" s="26"/>
      <c r="W828" s="26"/>
      <c r="X828" s="26"/>
      <c r="Y828" s="26"/>
      <c r="Z828" s="26"/>
    </row>
    <row r="829" ht="12.75" customHeight="1">
      <c r="A829" s="31"/>
      <c r="B829" s="53"/>
      <c r="C829" s="26"/>
      <c r="D829" s="54"/>
      <c r="E829" s="25"/>
      <c r="F829" s="25"/>
      <c r="G829" s="25"/>
      <c r="H829" s="25"/>
      <c r="I829" s="25"/>
      <c r="J829" s="25"/>
      <c r="K829" s="25"/>
      <c r="L829" s="25"/>
      <c r="M829" s="25"/>
      <c r="N829" s="25"/>
      <c r="O829" s="25"/>
      <c r="P829" s="25"/>
      <c r="Q829" s="26"/>
      <c r="R829" s="26"/>
      <c r="S829" s="26"/>
      <c r="T829" s="26"/>
      <c r="U829" s="26"/>
      <c r="V829" s="26"/>
      <c r="W829" s="26"/>
      <c r="X829" s="26"/>
      <c r="Y829" s="26"/>
      <c r="Z829" s="26"/>
    </row>
    <row r="830" ht="12.75" customHeight="1">
      <c r="A830" s="31"/>
      <c r="B830" s="53"/>
      <c r="C830" s="26"/>
      <c r="D830" s="54"/>
      <c r="E830" s="25"/>
      <c r="F830" s="25"/>
      <c r="G830" s="25"/>
      <c r="H830" s="25"/>
      <c r="I830" s="25"/>
      <c r="J830" s="25"/>
      <c r="K830" s="25"/>
      <c r="L830" s="25"/>
      <c r="M830" s="25"/>
      <c r="N830" s="25"/>
      <c r="O830" s="25"/>
      <c r="P830" s="25"/>
      <c r="Q830" s="26"/>
      <c r="R830" s="26"/>
      <c r="S830" s="26"/>
      <c r="T830" s="26"/>
      <c r="U830" s="26"/>
      <c r="V830" s="26"/>
      <c r="W830" s="26"/>
      <c r="X830" s="26"/>
      <c r="Y830" s="26"/>
      <c r="Z830" s="26"/>
    </row>
    <row r="831" ht="12.75" customHeight="1">
      <c r="A831" s="31"/>
      <c r="B831" s="53"/>
      <c r="C831" s="26"/>
      <c r="D831" s="54"/>
      <c r="E831" s="25"/>
      <c r="F831" s="25"/>
      <c r="G831" s="25"/>
      <c r="H831" s="25"/>
      <c r="I831" s="25"/>
      <c r="J831" s="25"/>
      <c r="K831" s="25"/>
      <c r="L831" s="25"/>
      <c r="M831" s="25"/>
      <c r="N831" s="25"/>
      <c r="O831" s="25"/>
      <c r="P831" s="25"/>
      <c r="Q831" s="26"/>
      <c r="R831" s="26"/>
      <c r="S831" s="26"/>
      <c r="T831" s="26"/>
      <c r="U831" s="26"/>
      <c r="V831" s="26"/>
      <c r="W831" s="26"/>
      <c r="X831" s="26"/>
      <c r="Y831" s="26"/>
      <c r="Z831" s="26"/>
    </row>
    <row r="832" ht="12.75" customHeight="1">
      <c r="A832" s="31"/>
      <c r="B832" s="53"/>
      <c r="C832" s="26"/>
      <c r="D832" s="54"/>
      <c r="E832" s="25"/>
      <c r="F832" s="25"/>
      <c r="G832" s="25"/>
      <c r="H832" s="25"/>
      <c r="I832" s="25"/>
      <c r="J832" s="25"/>
      <c r="K832" s="25"/>
      <c r="L832" s="25"/>
      <c r="M832" s="25"/>
      <c r="N832" s="25"/>
      <c r="O832" s="25"/>
      <c r="P832" s="25"/>
      <c r="Q832" s="26"/>
      <c r="R832" s="26"/>
      <c r="S832" s="26"/>
      <c r="T832" s="26"/>
      <c r="U832" s="26"/>
      <c r="V832" s="26"/>
      <c r="W832" s="26"/>
      <c r="X832" s="26"/>
      <c r="Y832" s="26"/>
      <c r="Z832" s="26"/>
    </row>
    <row r="833" ht="12.75" customHeight="1">
      <c r="A833" s="31"/>
      <c r="B833" s="53"/>
      <c r="C833" s="26"/>
      <c r="D833" s="54"/>
      <c r="E833" s="25"/>
      <c r="F833" s="25"/>
      <c r="G833" s="25"/>
      <c r="H833" s="25"/>
      <c r="I833" s="25"/>
      <c r="J833" s="25"/>
      <c r="K833" s="25"/>
      <c r="L833" s="25"/>
      <c r="M833" s="25"/>
      <c r="N833" s="25"/>
      <c r="O833" s="25"/>
      <c r="P833" s="25"/>
      <c r="Q833" s="26"/>
      <c r="R833" s="26"/>
      <c r="S833" s="26"/>
      <c r="T833" s="26"/>
      <c r="U833" s="26"/>
      <c r="V833" s="26"/>
      <c r="W833" s="26"/>
      <c r="X833" s="26"/>
      <c r="Y833" s="26"/>
      <c r="Z833" s="26"/>
    </row>
    <row r="834" ht="12.75" customHeight="1">
      <c r="A834" s="31"/>
      <c r="B834" s="53"/>
      <c r="C834" s="26"/>
      <c r="D834" s="54"/>
      <c r="E834" s="25"/>
      <c r="F834" s="25"/>
      <c r="G834" s="25"/>
      <c r="H834" s="25"/>
      <c r="I834" s="25"/>
      <c r="J834" s="25"/>
      <c r="K834" s="25"/>
      <c r="L834" s="25"/>
      <c r="M834" s="25"/>
      <c r="N834" s="25"/>
      <c r="O834" s="25"/>
      <c r="P834" s="25"/>
      <c r="Q834" s="26"/>
      <c r="R834" s="26"/>
      <c r="S834" s="26"/>
      <c r="T834" s="26"/>
      <c r="U834" s="26"/>
      <c r="V834" s="26"/>
      <c r="W834" s="26"/>
      <c r="X834" s="26"/>
      <c r="Y834" s="26"/>
      <c r="Z834" s="26"/>
    </row>
    <row r="835" ht="12.75" customHeight="1">
      <c r="A835" s="31"/>
      <c r="B835" s="53"/>
      <c r="C835" s="26"/>
      <c r="D835" s="54"/>
      <c r="E835" s="25"/>
      <c r="F835" s="25"/>
      <c r="G835" s="25"/>
      <c r="H835" s="25"/>
      <c r="I835" s="25"/>
      <c r="J835" s="25"/>
      <c r="K835" s="25"/>
      <c r="L835" s="25"/>
      <c r="M835" s="25"/>
      <c r="N835" s="25"/>
      <c r="O835" s="25"/>
      <c r="P835" s="25"/>
      <c r="Q835" s="26"/>
      <c r="R835" s="26"/>
      <c r="S835" s="26"/>
      <c r="T835" s="26"/>
      <c r="U835" s="26"/>
      <c r="V835" s="26"/>
      <c r="W835" s="26"/>
      <c r="X835" s="26"/>
      <c r="Y835" s="26"/>
      <c r="Z835" s="26"/>
    </row>
    <row r="836" ht="12.75" customHeight="1">
      <c r="A836" s="31"/>
      <c r="B836" s="53"/>
      <c r="C836" s="26"/>
      <c r="D836" s="54"/>
      <c r="E836" s="25"/>
      <c r="F836" s="25"/>
      <c r="G836" s="25"/>
      <c r="H836" s="25"/>
      <c r="I836" s="25"/>
      <c r="J836" s="25"/>
      <c r="K836" s="25"/>
      <c r="L836" s="25"/>
      <c r="M836" s="25"/>
      <c r="N836" s="25"/>
      <c r="O836" s="25"/>
      <c r="P836" s="25"/>
      <c r="Q836" s="26"/>
      <c r="R836" s="26"/>
      <c r="S836" s="26"/>
      <c r="T836" s="26"/>
      <c r="U836" s="26"/>
      <c r="V836" s="26"/>
      <c r="W836" s="26"/>
      <c r="X836" s="26"/>
      <c r="Y836" s="26"/>
      <c r="Z836" s="26"/>
    </row>
    <row r="837" ht="12.75" customHeight="1">
      <c r="A837" s="31"/>
      <c r="B837" s="53"/>
      <c r="C837" s="26"/>
      <c r="D837" s="54"/>
      <c r="E837" s="25"/>
      <c r="F837" s="25"/>
      <c r="G837" s="25"/>
      <c r="H837" s="25"/>
      <c r="I837" s="25"/>
      <c r="J837" s="25"/>
      <c r="K837" s="25"/>
      <c r="L837" s="25"/>
      <c r="M837" s="25"/>
      <c r="N837" s="25"/>
      <c r="O837" s="25"/>
      <c r="P837" s="25"/>
      <c r="Q837" s="26"/>
      <c r="R837" s="26"/>
      <c r="S837" s="26"/>
      <c r="T837" s="26"/>
      <c r="U837" s="26"/>
      <c r="V837" s="26"/>
      <c r="W837" s="26"/>
      <c r="X837" s="26"/>
      <c r="Y837" s="26"/>
      <c r="Z837" s="26"/>
    </row>
    <row r="838" ht="12.75" customHeight="1">
      <c r="A838" s="31"/>
      <c r="B838" s="53"/>
      <c r="C838" s="26"/>
      <c r="D838" s="54"/>
      <c r="E838" s="25"/>
      <c r="F838" s="25"/>
      <c r="G838" s="25"/>
      <c r="H838" s="25"/>
      <c r="I838" s="25"/>
      <c r="J838" s="25"/>
      <c r="K838" s="25"/>
      <c r="L838" s="25"/>
      <c r="M838" s="25"/>
      <c r="N838" s="25"/>
      <c r="O838" s="25"/>
      <c r="P838" s="25"/>
      <c r="Q838" s="26"/>
      <c r="R838" s="26"/>
      <c r="S838" s="26"/>
      <c r="T838" s="26"/>
      <c r="U838" s="26"/>
      <c r="V838" s="26"/>
      <c r="W838" s="26"/>
      <c r="X838" s="26"/>
      <c r="Y838" s="26"/>
      <c r="Z838" s="26"/>
    </row>
    <row r="839" ht="12.75" customHeight="1">
      <c r="A839" s="31"/>
      <c r="B839" s="53"/>
      <c r="C839" s="26"/>
      <c r="D839" s="54"/>
      <c r="E839" s="25"/>
      <c r="F839" s="25"/>
      <c r="G839" s="25"/>
      <c r="H839" s="25"/>
      <c r="I839" s="25"/>
      <c r="J839" s="25"/>
      <c r="K839" s="25"/>
      <c r="L839" s="25"/>
      <c r="M839" s="25"/>
      <c r="N839" s="25"/>
      <c r="O839" s="25"/>
      <c r="P839" s="25"/>
      <c r="Q839" s="26"/>
      <c r="R839" s="26"/>
      <c r="S839" s="26"/>
      <c r="T839" s="26"/>
      <c r="U839" s="26"/>
      <c r="V839" s="26"/>
      <c r="W839" s="26"/>
      <c r="X839" s="26"/>
      <c r="Y839" s="26"/>
      <c r="Z839" s="26"/>
    </row>
    <row r="840" ht="12.75" customHeight="1">
      <c r="A840" s="31"/>
      <c r="B840" s="53"/>
      <c r="C840" s="26"/>
      <c r="D840" s="54"/>
      <c r="E840" s="25"/>
      <c r="F840" s="25"/>
      <c r="G840" s="25"/>
      <c r="H840" s="25"/>
      <c r="I840" s="25"/>
      <c r="J840" s="25"/>
      <c r="K840" s="25"/>
      <c r="L840" s="25"/>
      <c r="M840" s="25"/>
      <c r="N840" s="25"/>
      <c r="O840" s="25"/>
      <c r="P840" s="25"/>
      <c r="Q840" s="26"/>
      <c r="R840" s="26"/>
      <c r="S840" s="26"/>
      <c r="T840" s="26"/>
      <c r="U840" s="26"/>
      <c r="V840" s="26"/>
      <c r="W840" s="26"/>
      <c r="X840" s="26"/>
      <c r="Y840" s="26"/>
      <c r="Z840" s="26"/>
    </row>
    <row r="841" ht="12.75" customHeight="1">
      <c r="A841" s="31"/>
      <c r="B841" s="53"/>
      <c r="C841" s="26"/>
      <c r="D841" s="54"/>
      <c r="E841" s="25"/>
      <c r="F841" s="25"/>
      <c r="G841" s="25"/>
      <c r="H841" s="25"/>
      <c r="I841" s="25"/>
      <c r="J841" s="25"/>
      <c r="K841" s="25"/>
      <c r="L841" s="25"/>
      <c r="M841" s="25"/>
      <c r="N841" s="25"/>
      <c r="O841" s="25"/>
      <c r="P841" s="25"/>
      <c r="Q841" s="26"/>
      <c r="R841" s="26"/>
      <c r="S841" s="26"/>
      <c r="T841" s="26"/>
      <c r="U841" s="26"/>
      <c r="V841" s="26"/>
      <c r="W841" s="26"/>
      <c r="X841" s="26"/>
      <c r="Y841" s="26"/>
      <c r="Z841" s="26"/>
    </row>
    <row r="842" ht="12.75" customHeight="1">
      <c r="A842" s="31"/>
      <c r="B842" s="53"/>
      <c r="C842" s="26"/>
      <c r="D842" s="54"/>
      <c r="E842" s="25"/>
      <c r="F842" s="25"/>
      <c r="G842" s="25"/>
      <c r="H842" s="25"/>
      <c r="I842" s="25"/>
      <c r="J842" s="25"/>
      <c r="K842" s="25"/>
      <c r="L842" s="25"/>
      <c r="M842" s="25"/>
      <c r="N842" s="25"/>
      <c r="O842" s="25"/>
      <c r="P842" s="25"/>
      <c r="Q842" s="26"/>
      <c r="R842" s="26"/>
      <c r="S842" s="26"/>
      <c r="T842" s="26"/>
      <c r="U842" s="26"/>
      <c r="V842" s="26"/>
      <c r="W842" s="26"/>
      <c r="X842" s="26"/>
      <c r="Y842" s="26"/>
      <c r="Z842" s="26"/>
    </row>
    <row r="843" ht="12.75" customHeight="1">
      <c r="A843" s="31"/>
      <c r="B843" s="53"/>
      <c r="C843" s="26"/>
      <c r="D843" s="54"/>
      <c r="E843" s="25"/>
      <c r="F843" s="25"/>
      <c r="G843" s="25"/>
      <c r="H843" s="25"/>
      <c r="I843" s="25"/>
      <c r="J843" s="25"/>
      <c r="K843" s="25"/>
      <c r="L843" s="25"/>
      <c r="M843" s="25"/>
      <c r="N843" s="25"/>
      <c r="O843" s="25"/>
      <c r="P843" s="25"/>
      <c r="Q843" s="26"/>
      <c r="R843" s="26"/>
      <c r="S843" s="26"/>
      <c r="T843" s="26"/>
      <c r="U843" s="26"/>
      <c r="V843" s="26"/>
      <c r="W843" s="26"/>
      <c r="X843" s="26"/>
      <c r="Y843" s="26"/>
      <c r="Z843" s="26"/>
    </row>
    <row r="844" ht="12.75" customHeight="1">
      <c r="A844" s="31"/>
      <c r="B844" s="53"/>
      <c r="C844" s="26"/>
      <c r="D844" s="54"/>
      <c r="E844" s="25"/>
      <c r="F844" s="25"/>
      <c r="G844" s="25"/>
      <c r="H844" s="25"/>
      <c r="I844" s="25"/>
      <c r="J844" s="25"/>
      <c r="K844" s="25"/>
      <c r="L844" s="25"/>
      <c r="M844" s="25"/>
      <c r="N844" s="25"/>
      <c r="O844" s="25"/>
      <c r="P844" s="25"/>
      <c r="Q844" s="26"/>
      <c r="R844" s="26"/>
      <c r="S844" s="26"/>
      <c r="T844" s="26"/>
      <c r="U844" s="26"/>
      <c r="V844" s="26"/>
      <c r="W844" s="26"/>
      <c r="X844" s="26"/>
      <c r="Y844" s="26"/>
      <c r="Z844" s="26"/>
    </row>
    <row r="845" ht="12.75" customHeight="1">
      <c r="A845" s="31"/>
      <c r="B845" s="53"/>
      <c r="C845" s="26"/>
      <c r="D845" s="54"/>
      <c r="E845" s="25"/>
      <c r="F845" s="25"/>
      <c r="G845" s="25"/>
      <c r="H845" s="25"/>
      <c r="I845" s="25"/>
      <c r="J845" s="25"/>
      <c r="K845" s="25"/>
      <c r="L845" s="25"/>
      <c r="M845" s="25"/>
      <c r="N845" s="25"/>
      <c r="O845" s="25"/>
      <c r="P845" s="25"/>
      <c r="Q845" s="26"/>
      <c r="R845" s="26"/>
      <c r="S845" s="26"/>
      <c r="T845" s="26"/>
      <c r="U845" s="26"/>
      <c r="V845" s="26"/>
      <c r="W845" s="26"/>
      <c r="X845" s="26"/>
      <c r="Y845" s="26"/>
      <c r="Z845" s="26"/>
    </row>
    <row r="846" ht="12.75" customHeight="1">
      <c r="A846" s="31"/>
      <c r="B846" s="53"/>
      <c r="C846" s="26"/>
      <c r="D846" s="54"/>
      <c r="E846" s="25"/>
      <c r="F846" s="25"/>
      <c r="G846" s="25"/>
      <c r="H846" s="25"/>
      <c r="I846" s="25"/>
      <c r="J846" s="25"/>
      <c r="K846" s="25"/>
      <c r="L846" s="25"/>
      <c r="M846" s="25"/>
      <c r="N846" s="25"/>
      <c r="O846" s="25"/>
      <c r="P846" s="25"/>
      <c r="Q846" s="26"/>
      <c r="R846" s="26"/>
      <c r="S846" s="26"/>
      <c r="T846" s="26"/>
      <c r="U846" s="26"/>
      <c r="V846" s="26"/>
      <c r="W846" s="26"/>
      <c r="X846" s="26"/>
      <c r="Y846" s="26"/>
      <c r="Z846" s="26"/>
    </row>
    <row r="847" ht="12.75" customHeight="1">
      <c r="A847" s="31"/>
      <c r="B847" s="53"/>
      <c r="C847" s="26"/>
      <c r="D847" s="54"/>
      <c r="E847" s="25"/>
      <c r="F847" s="25"/>
      <c r="G847" s="25"/>
      <c r="H847" s="25"/>
      <c r="I847" s="25"/>
      <c r="J847" s="25"/>
      <c r="K847" s="25"/>
      <c r="L847" s="25"/>
      <c r="M847" s="25"/>
      <c r="N847" s="25"/>
      <c r="O847" s="25"/>
      <c r="P847" s="25"/>
      <c r="Q847" s="26"/>
      <c r="R847" s="26"/>
      <c r="S847" s="26"/>
      <c r="T847" s="26"/>
      <c r="U847" s="26"/>
      <c r="V847" s="26"/>
      <c r="W847" s="26"/>
      <c r="X847" s="26"/>
      <c r="Y847" s="26"/>
      <c r="Z847" s="26"/>
    </row>
    <row r="848" ht="12.75" customHeight="1">
      <c r="A848" s="31"/>
      <c r="B848" s="53"/>
      <c r="C848" s="26"/>
      <c r="D848" s="54"/>
      <c r="E848" s="25"/>
      <c r="F848" s="25"/>
      <c r="G848" s="25"/>
      <c r="H848" s="25"/>
      <c r="I848" s="25"/>
      <c r="J848" s="25"/>
      <c r="K848" s="25"/>
      <c r="L848" s="25"/>
      <c r="M848" s="25"/>
      <c r="N848" s="25"/>
      <c r="O848" s="25"/>
      <c r="P848" s="25"/>
      <c r="Q848" s="26"/>
      <c r="R848" s="26"/>
      <c r="S848" s="26"/>
      <c r="T848" s="26"/>
      <c r="U848" s="26"/>
      <c r="V848" s="26"/>
      <c r="W848" s="26"/>
      <c r="X848" s="26"/>
      <c r="Y848" s="26"/>
      <c r="Z848" s="26"/>
    </row>
    <row r="849" ht="12.75" customHeight="1">
      <c r="A849" s="31"/>
      <c r="B849" s="53"/>
      <c r="C849" s="26"/>
      <c r="D849" s="54"/>
      <c r="E849" s="25"/>
      <c r="F849" s="25"/>
      <c r="G849" s="25"/>
      <c r="H849" s="25"/>
      <c r="I849" s="25"/>
      <c r="J849" s="25"/>
      <c r="K849" s="25"/>
      <c r="L849" s="25"/>
      <c r="M849" s="25"/>
      <c r="N849" s="25"/>
      <c r="O849" s="25"/>
      <c r="P849" s="25"/>
      <c r="Q849" s="26"/>
      <c r="R849" s="26"/>
      <c r="S849" s="26"/>
      <c r="T849" s="26"/>
      <c r="U849" s="26"/>
      <c r="V849" s="26"/>
      <c r="W849" s="26"/>
      <c r="X849" s="26"/>
      <c r="Y849" s="26"/>
      <c r="Z849" s="26"/>
    </row>
    <row r="850" ht="12.75" customHeight="1">
      <c r="A850" s="31"/>
      <c r="B850" s="53"/>
      <c r="C850" s="26"/>
      <c r="D850" s="54"/>
      <c r="E850" s="25"/>
      <c r="F850" s="25"/>
      <c r="G850" s="25"/>
      <c r="H850" s="25"/>
      <c r="I850" s="25"/>
      <c r="J850" s="25"/>
      <c r="K850" s="25"/>
      <c r="L850" s="25"/>
      <c r="M850" s="25"/>
      <c r="N850" s="25"/>
      <c r="O850" s="25"/>
      <c r="P850" s="25"/>
      <c r="Q850" s="26"/>
      <c r="R850" s="26"/>
      <c r="S850" s="26"/>
      <c r="T850" s="26"/>
      <c r="U850" s="26"/>
      <c r="V850" s="26"/>
      <c r="W850" s="26"/>
      <c r="X850" s="26"/>
      <c r="Y850" s="26"/>
      <c r="Z850" s="26"/>
    </row>
    <row r="851" ht="12.75" customHeight="1">
      <c r="A851" s="31"/>
      <c r="B851" s="53"/>
      <c r="C851" s="26"/>
      <c r="D851" s="54"/>
      <c r="E851" s="25"/>
      <c r="F851" s="25"/>
      <c r="G851" s="25"/>
      <c r="H851" s="25"/>
      <c r="I851" s="25"/>
      <c r="J851" s="25"/>
      <c r="K851" s="25"/>
      <c r="L851" s="25"/>
      <c r="M851" s="25"/>
      <c r="N851" s="25"/>
      <c r="O851" s="25"/>
      <c r="P851" s="25"/>
      <c r="Q851" s="26"/>
      <c r="R851" s="26"/>
      <c r="S851" s="26"/>
      <c r="T851" s="26"/>
      <c r="U851" s="26"/>
      <c r="V851" s="26"/>
      <c r="W851" s="26"/>
      <c r="X851" s="26"/>
      <c r="Y851" s="26"/>
      <c r="Z851" s="26"/>
    </row>
    <row r="852" ht="12.75" customHeight="1">
      <c r="A852" s="31"/>
      <c r="B852" s="53"/>
      <c r="C852" s="26"/>
      <c r="D852" s="54"/>
      <c r="E852" s="25"/>
      <c r="F852" s="25"/>
      <c r="G852" s="25"/>
      <c r="H852" s="25"/>
      <c r="I852" s="25"/>
      <c r="J852" s="25"/>
      <c r="K852" s="25"/>
      <c r="L852" s="25"/>
      <c r="M852" s="25"/>
      <c r="N852" s="25"/>
      <c r="O852" s="25"/>
      <c r="P852" s="25"/>
      <c r="Q852" s="26"/>
      <c r="R852" s="26"/>
      <c r="S852" s="26"/>
      <c r="T852" s="26"/>
      <c r="U852" s="26"/>
      <c r="V852" s="26"/>
      <c r="W852" s="26"/>
      <c r="X852" s="26"/>
      <c r="Y852" s="26"/>
      <c r="Z852" s="26"/>
    </row>
    <row r="853" ht="12.75" customHeight="1">
      <c r="A853" s="31"/>
      <c r="B853" s="53"/>
      <c r="C853" s="26"/>
      <c r="D853" s="54"/>
      <c r="E853" s="25"/>
      <c r="F853" s="25"/>
      <c r="G853" s="25"/>
      <c r="H853" s="25"/>
      <c r="I853" s="25"/>
      <c r="J853" s="25"/>
      <c r="K853" s="25"/>
      <c r="L853" s="25"/>
      <c r="M853" s="25"/>
      <c r="N853" s="25"/>
      <c r="O853" s="25"/>
      <c r="P853" s="25"/>
      <c r="Q853" s="26"/>
      <c r="R853" s="26"/>
      <c r="S853" s="26"/>
      <c r="T853" s="26"/>
      <c r="U853" s="26"/>
      <c r="V853" s="26"/>
      <c r="W853" s="26"/>
      <c r="X853" s="26"/>
      <c r="Y853" s="26"/>
      <c r="Z853" s="26"/>
    </row>
    <row r="854" ht="12.75" customHeight="1">
      <c r="A854" s="31"/>
      <c r="B854" s="53"/>
      <c r="C854" s="26"/>
      <c r="D854" s="54"/>
      <c r="E854" s="25"/>
      <c r="F854" s="25"/>
      <c r="G854" s="25"/>
      <c r="H854" s="25"/>
      <c r="I854" s="25"/>
      <c r="J854" s="25"/>
      <c r="K854" s="25"/>
      <c r="L854" s="25"/>
      <c r="M854" s="25"/>
      <c r="N854" s="25"/>
      <c r="O854" s="25"/>
      <c r="P854" s="25"/>
      <c r="Q854" s="26"/>
      <c r="R854" s="26"/>
      <c r="S854" s="26"/>
      <c r="T854" s="26"/>
      <c r="U854" s="26"/>
      <c r="V854" s="26"/>
      <c r="W854" s="26"/>
      <c r="X854" s="26"/>
      <c r="Y854" s="26"/>
      <c r="Z854" s="26"/>
    </row>
    <row r="855" ht="12.75" customHeight="1">
      <c r="A855" s="31"/>
      <c r="B855" s="53"/>
      <c r="C855" s="26"/>
      <c r="D855" s="54"/>
      <c r="E855" s="25"/>
      <c r="F855" s="25"/>
      <c r="G855" s="25"/>
      <c r="H855" s="25"/>
      <c r="I855" s="25"/>
      <c r="J855" s="25"/>
      <c r="K855" s="25"/>
      <c r="L855" s="25"/>
      <c r="M855" s="25"/>
      <c r="N855" s="25"/>
      <c r="O855" s="25"/>
      <c r="P855" s="25"/>
      <c r="Q855" s="26"/>
      <c r="R855" s="26"/>
      <c r="S855" s="26"/>
      <c r="T855" s="26"/>
      <c r="U855" s="26"/>
      <c r="V855" s="26"/>
      <c r="W855" s="26"/>
      <c r="X855" s="26"/>
      <c r="Y855" s="26"/>
      <c r="Z855" s="26"/>
    </row>
    <row r="856" ht="12.75" customHeight="1">
      <c r="A856" s="31"/>
      <c r="B856" s="53"/>
      <c r="C856" s="26"/>
      <c r="D856" s="54"/>
      <c r="E856" s="25"/>
      <c r="F856" s="25"/>
      <c r="G856" s="25"/>
      <c r="H856" s="25"/>
      <c r="I856" s="25"/>
      <c r="J856" s="25"/>
      <c r="K856" s="25"/>
      <c r="L856" s="25"/>
      <c r="M856" s="25"/>
      <c r="N856" s="25"/>
      <c r="O856" s="25"/>
      <c r="P856" s="25"/>
      <c r="Q856" s="26"/>
      <c r="R856" s="26"/>
      <c r="S856" s="26"/>
      <c r="T856" s="26"/>
      <c r="U856" s="26"/>
      <c r="V856" s="26"/>
      <c r="W856" s="26"/>
      <c r="X856" s="26"/>
      <c r="Y856" s="26"/>
      <c r="Z856" s="26"/>
    </row>
    <row r="857" ht="12.75" customHeight="1">
      <c r="A857" s="31"/>
      <c r="B857" s="53"/>
      <c r="C857" s="26"/>
      <c r="D857" s="54"/>
      <c r="E857" s="25"/>
      <c r="F857" s="25"/>
      <c r="G857" s="25"/>
      <c r="H857" s="25"/>
      <c r="I857" s="25"/>
      <c r="J857" s="25"/>
      <c r="K857" s="25"/>
      <c r="L857" s="25"/>
      <c r="M857" s="25"/>
      <c r="N857" s="25"/>
      <c r="O857" s="25"/>
      <c r="P857" s="25"/>
      <c r="Q857" s="26"/>
      <c r="R857" s="26"/>
      <c r="S857" s="26"/>
      <c r="T857" s="26"/>
      <c r="U857" s="26"/>
      <c r="V857" s="26"/>
      <c r="W857" s="26"/>
      <c r="X857" s="26"/>
      <c r="Y857" s="26"/>
      <c r="Z857" s="26"/>
    </row>
    <row r="858" ht="12.75" customHeight="1">
      <c r="A858" s="31"/>
      <c r="B858" s="53"/>
      <c r="C858" s="26"/>
      <c r="D858" s="54"/>
      <c r="E858" s="25"/>
      <c r="F858" s="25"/>
      <c r="G858" s="25"/>
      <c r="H858" s="25"/>
      <c r="I858" s="25"/>
      <c r="J858" s="25"/>
      <c r="K858" s="25"/>
      <c r="L858" s="25"/>
      <c r="M858" s="25"/>
      <c r="N858" s="25"/>
      <c r="O858" s="25"/>
      <c r="P858" s="25"/>
      <c r="Q858" s="26"/>
      <c r="R858" s="26"/>
      <c r="S858" s="26"/>
      <c r="T858" s="26"/>
      <c r="U858" s="26"/>
      <c r="V858" s="26"/>
      <c r="W858" s="26"/>
      <c r="X858" s="26"/>
      <c r="Y858" s="26"/>
      <c r="Z858" s="26"/>
    </row>
    <row r="859" ht="12.75" customHeight="1">
      <c r="A859" s="31"/>
      <c r="B859" s="53"/>
      <c r="C859" s="26"/>
      <c r="D859" s="54"/>
      <c r="E859" s="25"/>
      <c r="F859" s="25"/>
      <c r="G859" s="25"/>
      <c r="H859" s="25"/>
      <c r="I859" s="25"/>
      <c r="J859" s="25"/>
      <c r="K859" s="25"/>
      <c r="L859" s="25"/>
      <c r="M859" s="25"/>
      <c r="N859" s="25"/>
      <c r="O859" s="25"/>
      <c r="P859" s="25"/>
      <c r="Q859" s="26"/>
      <c r="R859" s="26"/>
      <c r="S859" s="26"/>
      <c r="T859" s="26"/>
      <c r="U859" s="26"/>
      <c r="V859" s="26"/>
      <c r="W859" s="26"/>
      <c r="X859" s="26"/>
      <c r="Y859" s="26"/>
      <c r="Z859" s="26"/>
    </row>
    <row r="860" ht="12.75" customHeight="1">
      <c r="A860" s="31"/>
      <c r="B860" s="53"/>
      <c r="C860" s="26"/>
      <c r="D860" s="54"/>
      <c r="E860" s="25"/>
      <c r="F860" s="25"/>
      <c r="G860" s="25"/>
      <c r="H860" s="25"/>
      <c r="I860" s="25"/>
      <c r="J860" s="25"/>
      <c r="K860" s="25"/>
      <c r="L860" s="25"/>
      <c r="M860" s="25"/>
      <c r="N860" s="25"/>
      <c r="O860" s="25"/>
      <c r="P860" s="25"/>
      <c r="Q860" s="26"/>
      <c r="R860" s="26"/>
      <c r="S860" s="26"/>
      <c r="T860" s="26"/>
      <c r="U860" s="26"/>
      <c r="V860" s="26"/>
      <c r="W860" s="26"/>
      <c r="X860" s="26"/>
      <c r="Y860" s="26"/>
      <c r="Z860" s="26"/>
    </row>
    <row r="861" ht="12.75" customHeight="1">
      <c r="A861" s="31"/>
      <c r="B861" s="53"/>
      <c r="C861" s="26"/>
      <c r="D861" s="54"/>
      <c r="E861" s="25"/>
      <c r="F861" s="25"/>
      <c r="G861" s="25"/>
      <c r="H861" s="25"/>
      <c r="I861" s="25"/>
      <c r="J861" s="25"/>
      <c r="K861" s="25"/>
      <c r="L861" s="25"/>
      <c r="M861" s="25"/>
      <c r="N861" s="25"/>
      <c r="O861" s="25"/>
      <c r="P861" s="25"/>
      <c r="Q861" s="26"/>
      <c r="R861" s="26"/>
      <c r="S861" s="26"/>
      <c r="T861" s="26"/>
      <c r="U861" s="26"/>
      <c r="V861" s="26"/>
      <c r="W861" s="26"/>
      <c r="X861" s="26"/>
      <c r="Y861" s="26"/>
      <c r="Z861" s="26"/>
    </row>
    <row r="862" ht="12.75" customHeight="1">
      <c r="A862" s="31"/>
      <c r="B862" s="53"/>
      <c r="C862" s="26"/>
      <c r="D862" s="54"/>
      <c r="E862" s="25"/>
      <c r="F862" s="25"/>
      <c r="G862" s="25"/>
      <c r="H862" s="25"/>
      <c r="I862" s="25"/>
      <c r="J862" s="25"/>
      <c r="K862" s="25"/>
      <c r="L862" s="25"/>
      <c r="M862" s="25"/>
      <c r="N862" s="25"/>
      <c r="O862" s="25"/>
      <c r="P862" s="25"/>
      <c r="Q862" s="26"/>
      <c r="R862" s="26"/>
      <c r="S862" s="26"/>
      <c r="T862" s="26"/>
      <c r="U862" s="26"/>
      <c r="V862" s="26"/>
      <c r="W862" s="26"/>
      <c r="X862" s="26"/>
      <c r="Y862" s="26"/>
      <c r="Z862" s="26"/>
    </row>
    <row r="863" ht="12.75" customHeight="1">
      <c r="A863" s="31"/>
      <c r="B863" s="53"/>
      <c r="C863" s="26"/>
      <c r="D863" s="54"/>
      <c r="E863" s="25"/>
      <c r="F863" s="25"/>
      <c r="G863" s="25"/>
      <c r="H863" s="25"/>
      <c r="I863" s="25"/>
      <c r="J863" s="25"/>
      <c r="K863" s="25"/>
      <c r="L863" s="25"/>
      <c r="M863" s="25"/>
      <c r="N863" s="25"/>
      <c r="O863" s="25"/>
      <c r="P863" s="25"/>
      <c r="Q863" s="26"/>
      <c r="R863" s="26"/>
      <c r="S863" s="26"/>
      <c r="T863" s="26"/>
      <c r="U863" s="26"/>
      <c r="V863" s="26"/>
      <c r="W863" s="26"/>
      <c r="X863" s="26"/>
      <c r="Y863" s="26"/>
      <c r="Z863" s="26"/>
    </row>
    <row r="864" ht="12.75" customHeight="1">
      <c r="A864" s="31"/>
      <c r="B864" s="53"/>
      <c r="C864" s="26"/>
      <c r="D864" s="54"/>
      <c r="E864" s="25"/>
      <c r="F864" s="25"/>
      <c r="G864" s="25"/>
      <c r="H864" s="25"/>
      <c r="I864" s="25"/>
      <c r="J864" s="25"/>
      <c r="K864" s="25"/>
      <c r="L864" s="25"/>
      <c r="M864" s="25"/>
      <c r="N864" s="25"/>
      <c r="O864" s="25"/>
      <c r="P864" s="25"/>
      <c r="Q864" s="26"/>
      <c r="R864" s="26"/>
      <c r="S864" s="26"/>
      <c r="T864" s="26"/>
      <c r="U864" s="26"/>
      <c r="V864" s="26"/>
      <c r="W864" s="26"/>
      <c r="X864" s="26"/>
      <c r="Y864" s="26"/>
      <c r="Z864" s="26"/>
    </row>
    <row r="865" ht="12.75" customHeight="1">
      <c r="A865" s="31"/>
      <c r="B865" s="53"/>
      <c r="C865" s="26"/>
      <c r="D865" s="54"/>
      <c r="E865" s="25"/>
      <c r="F865" s="25"/>
      <c r="G865" s="25"/>
      <c r="H865" s="25"/>
      <c r="I865" s="25"/>
      <c r="J865" s="25"/>
      <c r="K865" s="25"/>
      <c r="L865" s="25"/>
      <c r="M865" s="25"/>
      <c r="N865" s="25"/>
      <c r="O865" s="25"/>
      <c r="P865" s="25"/>
      <c r="Q865" s="26"/>
      <c r="R865" s="26"/>
      <c r="S865" s="26"/>
      <c r="T865" s="26"/>
      <c r="U865" s="26"/>
      <c r="V865" s="26"/>
      <c r="W865" s="26"/>
      <c r="X865" s="26"/>
      <c r="Y865" s="26"/>
      <c r="Z865" s="26"/>
    </row>
    <row r="866" ht="12.75" customHeight="1">
      <c r="A866" s="31"/>
      <c r="B866" s="53"/>
      <c r="C866" s="26"/>
      <c r="D866" s="54"/>
      <c r="E866" s="25"/>
      <c r="F866" s="25"/>
      <c r="G866" s="25"/>
      <c r="H866" s="25"/>
      <c r="I866" s="25"/>
      <c r="J866" s="25"/>
      <c r="K866" s="25"/>
      <c r="L866" s="25"/>
      <c r="M866" s="25"/>
      <c r="N866" s="25"/>
      <c r="O866" s="25"/>
      <c r="P866" s="25"/>
      <c r="Q866" s="26"/>
      <c r="R866" s="26"/>
      <c r="S866" s="26"/>
      <c r="T866" s="26"/>
      <c r="U866" s="26"/>
      <c r="V866" s="26"/>
      <c r="W866" s="26"/>
      <c r="X866" s="26"/>
      <c r="Y866" s="26"/>
      <c r="Z866" s="26"/>
    </row>
    <row r="867" ht="12.75" customHeight="1">
      <c r="A867" s="31"/>
      <c r="B867" s="53"/>
      <c r="C867" s="26"/>
      <c r="D867" s="54"/>
      <c r="E867" s="25"/>
      <c r="F867" s="25"/>
      <c r="G867" s="25"/>
      <c r="H867" s="25"/>
      <c r="I867" s="25"/>
      <c r="J867" s="25"/>
      <c r="K867" s="25"/>
      <c r="L867" s="25"/>
      <c r="M867" s="25"/>
      <c r="N867" s="25"/>
      <c r="O867" s="25"/>
      <c r="P867" s="25"/>
      <c r="Q867" s="26"/>
      <c r="R867" s="26"/>
      <c r="S867" s="26"/>
      <c r="T867" s="26"/>
      <c r="U867" s="26"/>
      <c r="V867" s="26"/>
      <c r="W867" s="26"/>
      <c r="X867" s="26"/>
      <c r="Y867" s="26"/>
      <c r="Z867" s="26"/>
    </row>
    <row r="868" ht="12.75" customHeight="1">
      <c r="A868" s="31"/>
      <c r="B868" s="53"/>
      <c r="C868" s="26"/>
      <c r="D868" s="54"/>
      <c r="E868" s="25"/>
      <c r="F868" s="25"/>
      <c r="G868" s="25"/>
      <c r="H868" s="25"/>
      <c r="I868" s="25"/>
      <c r="J868" s="25"/>
      <c r="K868" s="25"/>
      <c r="L868" s="25"/>
      <c r="M868" s="25"/>
      <c r="N868" s="25"/>
      <c r="O868" s="25"/>
      <c r="P868" s="25"/>
      <c r="Q868" s="26"/>
      <c r="R868" s="26"/>
      <c r="S868" s="26"/>
      <c r="T868" s="26"/>
      <c r="U868" s="26"/>
      <c r="V868" s="26"/>
      <c r="W868" s="26"/>
      <c r="X868" s="26"/>
      <c r="Y868" s="26"/>
      <c r="Z868" s="26"/>
    </row>
    <row r="869" ht="12.75" customHeight="1">
      <c r="A869" s="31"/>
      <c r="B869" s="53"/>
      <c r="C869" s="26"/>
      <c r="D869" s="54"/>
      <c r="E869" s="25"/>
      <c r="F869" s="25"/>
      <c r="G869" s="25"/>
      <c r="H869" s="25"/>
      <c r="I869" s="25"/>
      <c r="J869" s="25"/>
      <c r="K869" s="25"/>
      <c r="L869" s="25"/>
      <c r="M869" s="25"/>
      <c r="N869" s="25"/>
      <c r="O869" s="25"/>
      <c r="P869" s="25"/>
      <c r="Q869" s="26"/>
      <c r="R869" s="26"/>
      <c r="S869" s="26"/>
      <c r="T869" s="26"/>
      <c r="U869" s="26"/>
      <c r="V869" s="26"/>
      <c r="W869" s="26"/>
      <c r="X869" s="26"/>
      <c r="Y869" s="26"/>
      <c r="Z869" s="26"/>
    </row>
    <row r="870" ht="12.75" customHeight="1">
      <c r="A870" s="31"/>
      <c r="B870" s="53"/>
      <c r="C870" s="26"/>
      <c r="D870" s="54"/>
      <c r="E870" s="25"/>
      <c r="F870" s="25"/>
      <c r="G870" s="25"/>
      <c r="H870" s="25"/>
      <c r="I870" s="25"/>
      <c r="J870" s="25"/>
      <c r="K870" s="25"/>
      <c r="L870" s="25"/>
      <c r="M870" s="25"/>
      <c r="N870" s="25"/>
      <c r="O870" s="25"/>
      <c r="P870" s="25"/>
      <c r="Q870" s="26"/>
      <c r="R870" s="26"/>
      <c r="S870" s="26"/>
      <c r="T870" s="26"/>
      <c r="U870" s="26"/>
      <c r="V870" s="26"/>
      <c r="W870" s="26"/>
      <c r="X870" s="26"/>
      <c r="Y870" s="26"/>
      <c r="Z870" s="26"/>
    </row>
    <row r="871" ht="12.75" customHeight="1">
      <c r="A871" s="31"/>
      <c r="B871" s="53"/>
      <c r="C871" s="26"/>
      <c r="D871" s="54"/>
      <c r="E871" s="25"/>
      <c r="F871" s="25"/>
      <c r="G871" s="25"/>
      <c r="H871" s="25"/>
      <c r="I871" s="25"/>
      <c r="J871" s="25"/>
      <c r="K871" s="25"/>
      <c r="L871" s="25"/>
      <c r="M871" s="25"/>
      <c r="N871" s="25"/>
      <c r="O871" s="25"/>
      <c r="P871" s="25"/>
      <c r="Q871" s="26"/>
      <c r="R871" s="26"/>
      <c r="S871" s="26"/>
      <c r="T871" s="26"/>
      <c r="U871" s="26"/>
      <c r="V871" s="26"/>
      <c r="W871" s="26"/>
      <c r="X871" s="26"/>
      <c r="Y871" s="26"/>
      <c r="Z871" s="26"/>
    </row>
    <row r="872" ht="12.75" customHeight="1">
      <c r="A872" s="31"/>
      <c r="B872" s="53"/>
      <c r="C872" s="26"/>
      <c r="D872" s="54"/>
      <c r="E872" s="25"/>
      <c r="F872" s="25"/>
      <c r="G872" s="25"/>
      <c r="H872" s="25"/>
      <c r="I872" s="25"/>
      <c r="J872" s="25"/>
      <c r="K872" s="25"/>
      <c r="L872" s="25"/>
      <c r="M872" s="25"/>
      <c r="N872" s="25"/>
      <c r="O872" s="25"/>
      <c r="P872" s="25"/>
      <c r="Q872" s="26"/>
      <c r="R872" s="26"/>
      <c r="S872" s="26"/>
      <c r="T872" s="26"/>
      <c r="U872" s="26"/>
      <c r="V872" s="26"/>
      <c r="W872" s="26"/>
      <c r="X872" s="26"/>
      <c r="Y872" s="26"/>
      <c r="Z872" s="26"/>
    </row>
    <row r="873" ht="12.75" customHeight="1">
      <c r="A873" s="31"/>
      <c r="B873" s="53"/>
      <c r="C873" s="26"/>
      <c r="D873" s="54"/>
      <c r="E873" s="25"/>
      <c r="F873" s="25"/>
      <c r="G873" s="25"/>
      <c r="H873" s="25"/>
      <c r="I873" s="25"/>
      <c r="J873" s="25"/>
      <c r="K873" s="25"/>
      <c r="L873" s="25"/>
      <c r="M873" s="25"/>
      <c r="N873" s="25"/>
      <c r="O873" s="25"/>
      <c r="P873" s="25"/>
      <c r="Q873" s="26"/>
      <c r="R873" s="26"/>
      <c r="S873" s="26"/>
      <c r="T873" s="26"/>
      <c r="U873" s="26"/>
      <c r="V873" s="26"/>
      <c r="W873" s="26"/>
      <c r="X873" s="26"/>
      <c r="Y873" s="26"/>
      <c r="Z873" s="26"/>
    </row>
    <row r="874" ht="12.75" customHeight="1">
      <c r="A874" s="31"/>
      <c r="B874" s="53"/>
      <c r="C874" s="26"/>
      <c r="D874" s="54"/>
      <c r="E874" s="25"/>
      <c r="F874" s="25"/>
      <c r="G874" s="25"/>
      <c r="H874" s="25"/>
      <c r="I874" s="25"/>
      <c r="J874" s="25"/>
      <c r="K874" s="25"/>
      <c r="L874" s="25"/>
      <c r="M874" s="25"/>
      <c r="N874" s="25"/>
      <c r="O874" s="25"/>
      <c r="P874" s="25"/>
      <c r="Q874" s="26"/>
      <c r="R874" s="26"/>
      <c r="S874" s="26"/>
      <c r="T874" s="26"/>
      <c r="U874" s="26"/>
      <c r="V874" s="26"/>
      <c r="W874" s="26"/>
      <c r="X874" s="26"/>
      <c r="Y874" s="26"/>
      <c r="Z874" s="26"/>
    </row>
    <row r="875" ht="12.75" customHeight="1">
      <c r="A875" s="31"/>
      <c r="B875" s="53"/>
      <c r="C875" s="26"/>
      <c r="D875" s="54"/>
      <c r="E875" s="25"/>
      <c r="F875" s="25"/>
      <c r="G875" s="25"/>
      <c r="H875" s="25"/>
      <c r="I875" s="25"/>
      <c r="J875" s="25"/>
      <c r="K875" s="25"/>
      <c r="L875" s="25"/>
      <c r="M875" s="25"/>
      <c r="N875" s="25"/>
      <c r="O875" s="25"/>
      <c r="P875" s="25"/>
      <c r="Q875" s="26"/>
      <c r="R875" s="26"/>
      <c r="S875" s="26"/>
      <c r="T875" s="26"/>
      <c r="U875" s="26"/>
      <c r="V875" s="26"/>
      <c r="W875" s="26"/>
      <c r="X875" s="26"/>
      <c r="Y875" s="26"/>
      <c r="Z875" s="26"/>
    </row>
    <row r="876" ht="12.75" customHeight="1">
      <c r="A876" s="31"/>
      <c r="B876" s="53"/>
      <c r="C876" s="26"/>
      <c r="D876" s="54"/>
      <c r="E876" s="25"/>
      <c r="F876" s="25"/>
      <c r="G876" s="25"/>
      <c r="H876" s="25"/>
      <c r="I876" s="25"/>
      <c r="J876" s="25"/>
      <c r="K876" s="25"/>
      <c r="L876" s="25"/>
      <c r="M876" s="25"/>
      <c r="N876" s="25"/>
      <c r="O876" s="25"/>
      <c r="P876" s="25"/>
      <c r="Q876" s="26"/>
      <c r="R876" s="26"/>
      <c r="S876" s="26"/>
      <c r="T876" s="26"/>
      <c r="U876" s="26"/>
      <c r="V876" s="26"/>
      <c r="W876" s="26"/>
      <c r="X876" s="26"/>
      <c r="Y876" s="26"/>
      <c r="Z876" s="26"/>
    </row>
    <row r="877" ht="12.75" customHeight="1">
      <c r="A877" s="31"/>
      <c r="B877" s="53"/>
      <c r="C877" s="26"/>
      <c r="D877" s="54"/>
      <c r="E877" s="25"/>
      <c r="F877" s="25"/>
      <c r="G877" s="25"/>
      <c r="H877" s="25"/>
      <c r="I877" s="25"/>
      <c r="J877" s="25"/>
      <c r="K877" s="25"/>
      <c r="L877" s="25"/>
      <c r="M877" s="25"/>
      <c r="N877" s="25"/>
      <c r="O877" s="25"/>
      <c r="P877" s="25"/>
      <c r="Q877" s="26"/>
      <c r="R877" s="26"/>
      <c r="S877" s="26"/>
      <c r="T877" s="26"/>
      <c r="U877" s="26"/>
      <c r="V877" s="26"/>
      <c r="W877" s="26"/>
      <c r="X877" s="26"/>
      <c r="Y877" s="26"/>
      <c r="Z877" s="26"/>
    </row>
    <row r="878" ht="12.75" customHeight="1">
      <c r="A878" s="31"/>
      <c r="B878" s="53"/>
      <c r="C878" s="26"/>
      <c r="D878" s="54"/>
      <c r="E878" s="25"/>
      <c r="F878" s="25"/>
      <c r="G878" s="25"/>
      <c r="H878" s="25"/>
      <c r="I878" s="25"/>
      <c r="J878" s="25"/>
      <c r="K878" s="25"/>
      <c r="L878" s="25"/>
      <c r="M878" s="25"/>
      <c r="N878" s="25"/>
      <c r="O878" s="25"/>
      <c r="P878" s="25"/>
      <c r="Q878" s="26"/>
      <c r="R878" s="26"/>
      <c r="S878" s="26"/>
      <c r="T878" s="26"/>
      <c r="U878" s="26"/>
      <c r="V878" s="26"/>
      <c r="W878" s="26"/>
      <c r="X878" s="26"/>
      <c r="Y878" s="26"/>
      <c r="Z878" s="26"/>
    </row>
    <row r="879" ht="12.75" customHeight="1">
      <c r="A879" s="31"/>
      <c r="B879" s="53"/>
      <c r="C879" s="26"/>
      <c r="D879" s="54"/>
      <c r="E879" s="25"/>
      <c r="F879" s="25"/>
      <c r="G879" s="25"/>
      <c r="H879" s="25"/>
      <c r="I879" s="25"/>
      <c r="J879" s="25"/>
      <c r="K879" s="25"/>
      <c r="L879" s="25"/>
      <c r="M879" s="25"/>
      <c r="N879" s="25"/>
      <c r="O879" s="25"/>
      <c r="P879" s="25"/>
      <c r="Q879" s="26"/>
      <c r="R879" s="26"/>
      <c r="S879" s="26"/>
      <c r="T879" s="26"/>
      <c r="U879" s="26"/>
      <c r="V879" s="26"/>
      <c r="W879" s="26"/>
      <c r="X879" s="26"/>
      <c r="Y879" s="26"/>
      <c r="Z879" s="26"/>
    </row>
    <row r="880" ht="12.75" customHeight="1">
      <c r="A880" s="31"/>
      <c r="B880" s="53"/>
      <c r="C880" s="26"/>
      <c r="D880" s="54"/>
      <c r="E880" s="25"/>
      <c r="F880" s="25"/>
      <c r="G880" s="25"/>
      <c r="H880" s="25"/>
      <c r="I880" s="25"/>
      <c r="J880" s="25"/>
      <c r="K880" s="25"/>
      <c r="L880" s="25"/>
      <c r="M880" s="25"/>
      <c r="N880" s="25"/>
      <c r="O880" s="25"/>
      <c r="P880" s="25"/>
      <c r="Q880" s="26"/>
      <c r="R880" s="26"/>
      <c r="S880" s="26"/>
      <c r="T880" s="26"/>
      <c r="U880" s="26"/>
      <c r="V880" s="26"/>
      <c r="W880" s="26"/>
      <c r="X880" s="26"/>
      <c r="Y880" s="26"/>
      <c r="Z880" s="26"/>
    </row>
    <row r="881" ht="12.75" customHeight="1">
      <c r="A881" s="31"/>
      <c r="B881" s="53"/>
      <c r="C881" s="26"/>
      <c r="D881" s="54"/>
      <c r="E881" s="25"/>
      <c r="F881" s="25"/>
      <c r="G881" s="25"/>
      <c r="H881" s="25"/>
      <c r="I881" s="25"/>
      <c r="J881" s="25"/>
      <c r="K881" s="25"/>
      <c r="L881" s="25"/>
      <c r="M881" s="25"/>
      <c r="N881" s="25"/>
      <c r="O881" s="25"/>
      <c r="P881" s="25"/>
      <c r="Q881" s="26"/>
      <c r="R881" s="26"/>
      <c r="S881" s="26"/>
      <c r="T881" s="26"/>
      <c r="U881" s="26"/>
      <c r="V881" s="26"/>
      <c r="W881" s="26"/>
      <c r="X881" s="26"/>
      <c r="Y881" s="26"/>
      <c r="Z881" s="26"/>
    </row>
    <row r="882" ht="12.75" customHeight="1">
      <c r="A882" s="31"/>
      <c r="B882" s="53"/>
      <c r="C882" s="26"/>
      <c r="D882" s="54"/>
      <c r="E882" s="25"/>
      <c r="F882" s="25"/>
      <c r="G882" s="25"/>
      <c r="H882" s="25"/>
      <c r="I882" s="25"/>
      <c r="J882" s="25"/>
      <c r="K882" s="25"/>
      <c r="L882" s="25"/>
      <c r="M882" s="25"/>
      <c r="N882" s="25"/>
      <c r="O882" s="25"/>
      <c r="P882" s="25"/>
      <c r="Q882" s="26"/>
      <c r="R882" s="26"/>
      <c r="S882" s="26"/>
      <c r="T882" s="26"/>
      <c r="U882" s="26"/>
      <c r="V882" s="26"/>
      <c r="W882" s="26"/>
      <c r="X882" s="26"/>
      <c r="Y882" s="26"/>
      <c r="Z882" s="26"/>
    </row>
    <row r="883" ht="12.75" customHeight="1">
      <c r="A883" s="31"/>
      <c r="B883" s="53"/>
      <c r="C883" s="26"/>
      <c r="D883" s="54"/>
      <c r="E883" s="25"/>
      <c r="F883" s="25"/>
      <c r="G883" s="25"/>
      <c r="H883" s="25"/>
      <c r="I883" s="25"/>
      <c r="J883" s="25"/>
      <c r="K883" s="25"/>
      <c r="L883" s="25"/>
      <c r="M883" s="25"/>
      <c r="N883" s="25"/>
      <c r="O883" s="25"/>
      <c r="P883" s="25"/>
      <c r="Q883" s="26"/>
      <c r="R883" s="26"/>
      <c r="S883" s="26"/>
      <c r="T883" s="26"/>
      <c r="U883" s="26"/>
      <c r="V883" s="26"/>
      <c r="W883" s="26"/>
      <c r="X883" s="26"/>
      <c r="Y883" s="26"/>
      <c r="Z883" s="26"/>
    </row>
    <row r="884" ht="12.75" customHeight="1">
      <c r="A884" s="31"/>
      <c r="B884" s="53"/>
      <c r="C884" s="26"/>
      <c r="D884" s="54"/>
      <c r="E884" s="25"/>
      <c r="F884" s="25"/>
      <c r="G884" s="25"/>
      <c r="H884" s="25"/>
      <c r="I884" s="25"/>
      <c r="J884" s="25"/>
      <c r="K884" s="25"/>
      <c r="L884" s="25"/>
      <c r="M884" s="25"/>
      <c r="N884" s="25"/>
      <c r="O884" s="25"/>
      <c r="P884" s="25"/>
      <c r="Q884" s="26"/>
      <c r="R884" s="26"/>
      <c r="S884" s="26"/>
      <c r="T884" s="26"/>
      <c r="U884" s="26"/>
      <c r="V884" s="26"/>
      <c r="W884" s="26"/>
      <c r="X884" s="26"/>
      <c r="Y884" s="26"/>
      <c r="Z884" s="26"/>
    </row>
    <row r="885" ht="12.75" customHeight="1">
      <c r="A885" s="31"/>
      <c r="B885" s="53"/>
      <c r="C885" s="26"/>
      <c r="D885" s="54"/>
      <c r="E885" s="25"/>
      <c r="F885" s="25"/>
      <c r="G885" s="25"/>
      <c r="H885" s="25"/>
      <c r="I885" s="25"/>
      <c r="J885" s="25"/>
      <c r="K885" s="25"/>
      <c r="L885" s="25"/>
      <c r="M885" s="25"/>
      <c r="N885" s="25"/>
      <c r="O885" s="25"/>
      <c r="P885" s="25"/>
      <c r="Q885" s="26"/>
      <c r="R885" s="26"/>
      <c r="S885" s="26"/>
      <c r="T885" s="26"/>
      <c r="U885" s="26"/>
      <c r="V885" s="26"/>
      <c r="W885" s="26"/>
      <c r="X885" s="26"/>
      <c r="Y885" s="26"/>
      <c r="Z885" s="26"/>
    </row>
    <row r="886" ht="12.75" customHeight="1">
      <c r="A886" s="31"/>
      <c r="B886" s="53"/>
      <c r="C886" s="26"/>
      <c r="D886" s="54"/>
      <c r="E886" s="25"/>
      <c r="F886" s="25"/>
      <c r="G886" s="25"/>
      <c r="H886" s="25"/>
      <c r="I886" s="25"/>
      <c r="J886" s="25"/>
      <c r="K886" s="25"/>
      <c r="L886" s="25"/>
      <c r="M886" s="25"/>
      <c r="N886" s="25"/>
      <c r="O886" s="25"/>
      <c r="P886" s="25"/>
      <c r="Q886" s="26"/>
      <c r="R886" s="26"/>
      <c r="S886" s="26"/>
      <c r="T886" s="26"/>
      <c r="U886" s="26"/>
      <c r="V886" s="26"/>
      <c r="W886" s="26"/>
      <c r="X886" s="26"/>
      <c r="Y886" s="26"/>
      <c r="Z886" s="26"/>
    </row>
    <row r="887" ht="12.75" customHeight="1">
      <c r="A887" s="31"/>
      <c r="B887" s="53"/>
      <c r="C887" s="26"/>
      <c r="D887" s="54"/>
      <c r="E887" s="25"/>
      <c r="F887" s="25"/>
      <c r="G887" s="25"/>
      <c r="H887" s="25"/>
      <c r="I887" s="25"/>
      <c r="J887" s="25"/>
      <c r="K887" s="25"/>
      <c r="L887" s="25"/>
      <c r="M887" s="25"/>
      <c r="N887" s="25"/>
      <c r="O887" s="25"/>
      <c r="P887" s="25"/>
      <c r="Q887" s="26"/>
      <c r="R887" s="26"/>
      <c r="S887" s="26"/>
      <c r="T887" s="26"/>
      <c r="U887" s="26"/>
      <c r="V887" s="26"/>
      <c r="W887" s="26"/>
      <c r="X887" s="26"/>
      <c r="Y887" s="26"/>
      <c r="Z887" s="26"/>
    </row>
    <row r="888" ht="12.75" customHeight="1">
      <c r="A888" s="31"/>
      <c r="B888" s="53"/>
      <c r="C888" s="26"/>
      <c r="D888" s="54"/>
      <c r="E888" s="25"/>
      <c r="F888" s="25"/>
      <c r="G888" s="25"/>
      <c r="H888" s="25"/>
      <c r="I888" s="25"/>
      <c r="J888" s="25"/>
      <c r="K888" s="25"/>
      <c r="L888" s="25"/>
      <c r="M888" s="25"/>
      <c r="N888" s="25"/>
      <c r="O888" s="25"/>
      <c r="P888" s="25"/>
      <c r="Q888" s="26"/>
      <c r="R888" s="26"/>
      <c r="S888" s="26"/>
      <c r="T888" s="26"/>
      <c r="U888" s="26"/>
      <c r="V888" s="26"/>
      <c r="W888" s="26"/>
      <c r="X888" s="26"/>
      <c r="Y888" s="26"/>
      <c r="Z888" s="26"/>
    </row>
    <row r="889" ht="12.75" customHeight="1">
      <c r="A889" s="31"/>
      <c r="B889" s="53"/>
      <c r="C889" s="26"/>
      <c r="D889" s="54"/>
      <c r="E889" s="25"/>
      <c r="F889" s="25"/>
      <c r="G889" s="25"/>
      <c r="H889" s="25"/>
      <c r="I889" s="25"/>
      <c r="J889" s="25"/>
      <c r="K889" s="25"/>
      <c r="L889" s="25"/>
      <c r="M889" s="25"/>
      <c r="N889" s="25"/>
      <c r="O889" s="25"/>
      <c r="P889" s="25"/>
      <c r="Q889" s="26"/>
      <c r="R889" s="26"/>
      <c r="S889" s="26"/>
      <c r="T889" s="26"/>
      <c r="U889" s="26"/>
      <c r="V889" s="26"/>
      <c r="W889" s="26"/>
      <c r="X889" s="26"/>
      <c r="Y889" s="26"/>
      <c r="Z889" s="26"/>
    </row>
    <row r="890" ht="12.75" customHeight="1">
      <c r="A890" s="31"/>
      <c r="B890" s="53"/>
      <c r="C890" s="26"/>
      <c r="D890" s="54"/>
      <c r="E890" s="25"/>
      <c r="F890" s="25"/>
      <c r="G890" s="25"/>
      <c r="H890" s="25"/>
      <c r="I890" s="25"/>
      <c r="J890" s="25"/>
      <c r="K890" s="25"/>
      <c r="L890" s="25"/>
      <c r="M890" s="25"/>
      <c r="N890" s="25"/>
      <c r="O890" s="25"/>
      <c r="P890" s="25"/>
      <c r="Q890" s="26"/>
      <c r="R890" s="26"/>
      <c r="S890" s="26"/>
      <c r="T890" s="26"/>
      <c r="U890" s="26"/>
      <c r="V890" s="26"/>
      <c r="W890" s="26"/>
      <c r="X890" s="26"/>
      <c r="Y890" s="26"/>
      <c r="Z890" s="26"/>
    </row>
    <row r="891" ht="12.75" customHeight="1">
      <c r="A891" s="31"/>
      <c r="B891" s="53"/>
      <c r="C891" s="26"/>
      <c r="D891" s="54"/>
      <c r="E891" s="25"/>
      <c r="F891" s="25"/>
      <c r="G891" s="25"/>
      <c r="H891" s="25"/>
      <c r="I891" s="25"/>
      <c r="J891" s="25"/>
      <c r="K891" s="25"/>
      <c r="L891" s="25"/>
      <c r="M891" s="25"/>
      <c r="N891" s="25"/>
      <c r="O891" s="25"/>
      <c r="P891" s="25"/>
      <c r="Q891" s="26"/>
      <c r="R891" s="26"/>
      <c r="S891" s="26"/>
      <c r="T891" s="26"/>
      <c r="U891" s="26"/>
      <c r="V891" s="26"/>
      <c r="W891" s="26"/>
      <c r="X891" s="26"/>
      <c r="Y891" s="26"/>
      <c r="Z891" s="26"/>
    </row>
    <row r="892" ht="12.75" customHeight="1">
      <c r="A892" s="31"/>
      <c r="B892" s="53"/>
      <c r="C892" s="26"/>
      <c r="D892" s="54"/>
      <c r="E892" s="25"/>
      <c r="F892" s="25"/>
      <c r="G892" s="25"/>
      <c r="H892" s="25"/>
      <c r="I892" s="25"/>
      <c r="J892" s="25"/>
      <c r="K892" s="25"/>
      <c r="L892" s="25"/>
      <c r="M892" s="25"/>
      <c r="N892" s="25"/>
      <c r="O892" s="25"/>
      <c r="P892" s="25"/>
      <c r="Q892" s="26"/>
      <c r="R892" s="26"/>
      <c r="S892" s="26"/>
      <c r="T892" s="26"/>
      <c r="U892" s="26"/>
      <c r="V892" s="26"/>
      <c r="W892" s="26"/>
      <c r="X892" s="26"/>
      <c r="Y892" s="26"/>
      <c r="Z892" s="26"/>
    </row>
    <row r="893" ht="12.75" customHeight="1">
      <c r="A893" s="31"/>
      <c r="B893" s="53"/>
      <c r="C893" s="26"/>
      <c r="D893" s="54"/>
      <c r="E893" s="25"/>
      <c r="F893" s="25"/>
      <c r="G893" s="25"/>
      <c r="H893" s="25"/>
      <c r="I893" s="25"/>
      <c r="J893" s="25"/>
      <c r="K893" s="25"/>
      <c r="L893" s="25"/>
      <c r="M893" s="25"/>
      <c r="N893" s="25"/>
      <c r="O893" s="25"/>
      <c r="P893" s="25"/>
      <c r="Q893" s="26"/>
      <c r="R893" s="26"/>
      <c r="S893" s="26"/>
      <c r="T893" s="26"/>
      <c r="U893" s="26"/>
      <c r="V893" s="26"/>
      <c r="W893" s="26"/>
      <c r="X893" s="26"/>
      <c r="Y893" s="26"/>
      <c r="Z893" s="26"/>
    </row>
    <row r="894" ht="12.75" customHeight="1">
      <c r="A894" s="31"/>
      <c r="B894" s="53"/>
      <c r="C894" s="26"/>
      <c r="D894" s="54"/>
      <c r="E894" s="25"/>
      <c r="F894" s="25"/>
      <c r="G894" s="25"/>
      <c r="H894" s="25"/>
      <c r="I894" s="25"/>
      <c r="J894" s="25"/>
      <c r="K894" s="25"/>
      <c r="L894" s="25"/>
      <c r="M894" s="25"/>
      <c r="N894" s="25"/>
      <c r="O894" s="25"/>
      <c r="P894" s="25"/>
      <c r="Q894" s="26"/>
      <c r="R894" s="26"/>
      <c r="S894" s="26"/>
      <c r="T894" s="26"/>
      <c r="U894" s="26"/>
      <c r="V894" s="26"/>
      <c r="W894" s="26"/>
      <c r="X894" s="26"/>
      <c r="Y894" s="26"/>
      <c r="Z894" s="26"/>
    </row>
    <row r="895" ht="12.75" customHeight="1">
      <c r="A895" s="31"/>
      <c r="B895" s="53"/>
      <c r="C895" s="26"/>
      <c r="D895" s="54"/>
      <c r="E895" s="25"/>
      <c r="F895" s="25"/>
      <c r="G895" s="25"/>
      <c r="H895" s="25"/>
      <c r="I895" s="25"/>
      <c r="J895" s="25"/>
      <c r="K895" s="25"/>
      <c r="L895" s="25"/>
      <c r="M895" s="25"/>
      <c r="N895" s="25"/>
      <c r="O895" s="25"/>
      <c r="P895" s="25"/>
      <c r="Q895" s="26"/>
      <c r="R895" s="26"/>
      <c r="S895" s="26"/>
      <c r="T895" s="26"/>
      <c r="U895" s="26"/>
      <c r="V895" s="26"/>
      <c r="W895" s="26"/>
      <c r="X895" s="26"/>
      <c r="Y895" s="26"/>
      <c r="Z895" s="26"/>
    </row>
    <row r="896" ht="12.75" customHeight="1">
      <c r="A896" s="31"/>
      <c r="B896" s="53"/>
      <c r="C896" s="26"/>
      <c r="D896" s="54"/>
      <c r="E896" s="25"/>
      <c r="F896" s="25"/>
      <c r="G896" s="25"/>
      <c r="H896" s="25"/>
      <c r="I896" s="25"/>
      <c r="J896" s="25"/>
      <c r="K896" s="25"/>
      <c r="L896" s="25"/>
      <c r="M896" s="25"/>
      <c r="N896" s="25"/>
      <c r="O896" s="25"/>
      <c r="P896" s="25"/>
      <c r="Q896" s="26"/>
      <c r="R896" s="26"/>
      <c r="S896" s="26"/>
      <c r="T896" s="26"/>
      <c r="U896" s="26"/>
      <c r="V896" s="26"/>
      <c r="W896" s="26"/>
      <c r="X896" s="26"/>
      <c r="Y896" s="26"/>
      <c r="Z896" s="26"/>
    </row>
    <row r="897" ht="12.75" customHeight="1">
      <c r="A897" s="31"/>
      <c r="B897" s="53"/>
      <c r="C897" s="26"/>
      <c r="D897" s="54"/>
      <c r="E897" s="25"/>
      <c r="F897" s="25"/>
      <c r="G897" s="25"/>
      <c r="H897" s="25"/>
      <c r="I897" s="25"/>
      <c r="J897" s="25"/>
      <c r="K897" s="25"/>
      <c r="L897" s="25"/>
      <c r="M897" s="25"/>
      <c r="N897" s="25"/>
      <c r="O897" s="25"/>
      <c r="P897" s="25"/>
      <c r="Q897" s="26"/>
      <c r="R897" s="26"/>
      <c r="S897" s="26"/>
      <c r="T897" s="26"/>
      <c r="U897" s="26"/>
      <c r="V897" s="26"/>
      <c r="W897" s="26"/>
      <c r="X897" s="26"/>
      <c r="Y897" s="26"/>
      <c r="Z897" s="26"/>
    </row>
    <row r="898" ht="12.75" customHeight="1">
      <c r="A898" s="31"/>
      <c r="B898" s="53"/>
      <c r="C898" s="26"/>
      <c r="D898" s="54"/>
      <c r="E898" s="25"/>
      <c r="F898" s="25"/>
      <c r="G898" s="25"/>
      <c r="H898" s="25"/>
      <c r="I898" s="25"/>
      <c r="J898" s="25"/>
      <c r="K898" s="25"/>
      <c r="L898" s="25"/>
      <c r="M898" s="25"/>
      <c r="N898" s="25"/>
      <c r="O898" s="25"/>
      <c r="P898" s="25"/>
      <c r="Q898" s="26"/>
      <c r="R898" s="26"/>
      <c r="S898" s="26"/>
      <c r="T898" s="26"/>
      <c r="U898" s="26"/>
      <c r="V898" s="26"/>
      <c r="W898" s="26"/>
      <c r="X898" s="26"/>
      <c r="Y898" s="26"/>
      <c r="Z898" s="26"/>
    </row>
    <row r="899" ht="12.75" customHeight="1">
      <c r="A899" s="31"/>
      <c r="B899" s="53"/>
      <c r="C899" s="26"/>
      <c r="D899" s="54"/>
      <c r="E899" s="25"/>
      <c r="F899" s="25"/>
      <c r="G899" s="25"/>
      <c r="H899" s="25"/>
      <c r="I899" s="25"/>
      <c r="J899" s="25"/>
      <c r="K899" s="25"/>
      <c r="L899" s="25"/>
      <c r="M899" s="25"/>
      <c r="N899" s="25"/>
      <c r="O899" s="25"/>
      <c r="P899" s="25"/>
      <c r="Q899" s="26"/>
      <c r="R899" s="26"/>
      <c r="S899" s="26"/>
      <c r="T899" s="26"/>
      <c r="U899" s="26"/>
      <c r="V899" s="26"/>
      <c r="W899" s="26"/>
      <c r="X899" s="26"/>
      <c r="Y899" s="26"/>
      <c r="Z899" s="26"/>
    </row>
    <row r="900" ht="12.75" customHeight="1">
      <c r="A900" s="31"/>
      <c r="B900" s="53"/>
      <c r="C900" s="26"/>
      <c r="D900" s="54"/>
      <c r="E900" s="25"/>
      <c r="F900" s="25"/>
      <c r="G900" s="25"/>
      <c r="H900" s="25"/>
      <c r="I900" s="25"/>
      <c r="J900" s="25"/>
      <c r="K900" s="25"/>
      <c r="L900" s="25"/>
      <c r="M900" s="25"/>
      <c r="N900" s="25"/>
      <c r="O900" s="25"/>
      <c r="P900" s="25"/>
      <c r="Q900" s="26"/>
      <c r="R900" s="26"/>
      <c r="S900" s="26"/>
      <c r="T900" s="26"/>
      <c r="U900" s="26"/>
      <c r="V900" s="26"/>
      <c r="W900" s="26"/>
      <c r="X900" s="26"/>
      <c r="Y900" s="26"/>
      <c r="Z900" s="26"/>
    </row>
    <row r="901" ht="12.75" customHeight="1">
      <c r="A901" s="31"/>
      <c r="B901" s="53"/>
      <c r="C901" s="26"/>
      <c r="D901" s="54"/>
      <c r="E901" s="25"/>
      <c r="F901" s="25"/>
      <c r="G901" s="25"/>
      <c r="H901" s="25"/>
      <c r="I901" s="25"/>
      <c r="J901" s="25"/>
      <c r="K901" s="25"/>
      <c r="L901" s="25"/>
      <c r="M901" s="25"/>
      <c r="N901" s="25"/>
      <c r="O901" s="25"/>
      <c r="P901" s="25"/>
      <c r="Q901" s="26"/>
      <c r="R901" s="26"/>
      <c r="S901" s="26"/>
      <c r="T901" s="26"/>
      <c r="U901" s="26"/>
      <c r="V901" s="26"/>
      <c r="W901" s="26"/>
      <c r="X901" s="26"/>
      <c r="Y901" s="26"/>
      <c r="Z901" s="26"/>
    </row>
    <row r="902" ht="12.75" customHeight="1">
      <c r="A902" s="31"/>
      <c r="B902" s="53"/>
      <c r="C902" s="26"/>
      <c r="D902" s="54"/>
      <c r="E902" s="25"/>
      <c r="F902" s="25"/>
      <c r="G902" s="25"/>
      <c r="H902" s="25"/>
      <c r="I902" s="25"/>
      <c r="J902" s="25"/>
      <c r="K902" s="25"/>
      <c r="L902" s="25"/>
      <c r="M902" s="25"/>
      <c r="N902" s="25"/>
      <c r="O902" s="25"/>
      <c r="P902" s="25"/>
      <c r="Q902" s="26"/>
      <c r="R902" s="26"/>
      <c r="S902" s="26"/>
      <c r="T902" s="26"/>
      <c r="U902" s="26"/>
      <c r="V902" s="26"/>
      <c r="W902" s="26"/>
      <c r="X902" s="26"/>
      <c r="Y902" s="26"/>
      <c r="Z902" s="26"/>
    </row>
    <row r="903" ht="12.75" customHeight="1">
      <c r="A903" s="31"/>
      <c r="B903" s="53"/>
      <c r="C903" s="26"/>
      <c r="D903" s="54"/>
      <c r="E903" s="25"/>
      <c r="F903" s="25"/>
      <c r="G903" s="25"/>
      <c r="H903" s="25"/>
      <c r="I903" s="25"/>
      <c r="J903" s="25"/>
      <c r="K903" s="25"/>
      <c r="L903" s="25"/>
      <c r="M903" s="25"/>
      <c r="N903" s="25"/>
      <c r="O903" s="25"/>
      <c r="P903" s="25"/>
      <c r="Q903" s="26"/>
      <c r="R903" s="26"/>
      <c r="S903" s="26"/>
      <c r="T903" s="26"/>
      <c r="U903" s="26"/>
      <c r="V903" s="26"/>
      <c r="W903" s="26"/>
      <c r="X903" s="26"/>
      <c r="Y903" s="26"/>
      <c r="Z903" s="26"/>
    </row>
    <row r="904" ht="12.75" customHeight="1">
      <c r="A904" s="31"/>
      <c r="B904" s="53"/>
      <c r="C904" s="26"/>
      <c r="D904" s="54"/>
      <c r="E904" s="25"/>
      <c r="F904" s="25"/>
      <c r="G904" s="25"/>
      <c r="H904" s="25"/>
      <c r="I904" s="25"/>
      <c r="J904" s="25"/>
      <c r="K904" s="25"/>
      <c r="L904" s="25"/>
      <c r="M904" s="25"/>
      <c r="N904" s="25"/>
      <c r="O904" s="25"/>
      <c r="P904" s="25"/>
      <c r="Q904" s="26"/>
      <c r="R904" s="26"/>
      <c r="S904" s="26"/>
      <c r="T904" s="26"/>
      <c r="U904" s="26"/>
      <c r="V904" s="26"/>
      <c r="W904" s="26"/>
      <c r="X904" s="26"/>
      <c r="Y904" s="26"/>
      <c r="Z904" s="26"/>
    </row>
    <row r="905" ht="12.75" customHeight="1">
      <c r="A905" s="31"/>
      <c r="B905" s="53"/>
      <c r="C905" s="26"/>
      <c r="D905" s="54"/>
      <c r="E905" s="25"/>
      <c r="F905" s="25"/>
      <c r="G905" s="25"/>
      <c r="H905" s="25"/>
      <c r="I905" s="25"/>
      <c r="J905" s="25"/>
      <c r="K905" s="25"/>
      <c r="L905" s="25"/>
      <c r="M905" s="25"/>
      <c r="N905" s="25"/>
      <c r="O905" s="25"/>
      <c r="P905" s="25"/>
      <c r="Q905" s="26"/>
      <c r="R905" s="26"/>
      <c r="S905" s="26"/>
      <c r="T905" s="26"/>
      <c r="U905" s="26"/>
      <c r="V905" s="26"/>
      <c r="W905" s="26"/>
      <c r="X905" s="26"/>
      <c r="Y905" s="26"/>
      <c r="Z905" s="26"/>
    </row>
    <row r="906" ht="12.75" customHeight="1">
      <c r="A906" s="31"/>
      <c r="B906" s="53"/>
      <c r="C906" s="26"/>
      <c r="D906" s="54"/>
      <c r="E906" s="25"/>
      <c r="F906" s="25"/>
      <c r="G906" s="25"/>
      <c r="H906" s="25"/>
      <c r="I906" s="25"/>
      <c r="J906" s="25"/>
      <c r="K906" s="25"/>
      <c r="L906" s="25"/>
      <c r="M906" s="25"/>
      <c r="N906" s="25"/>
      <c r="O906" s="25"/>
      <c r="P906" s="25"/>
      <c r="Q906" s="26"/>
      <c r="R906" s="26"/>
      <c r="S906" s="26"/>
      <c r="T906" s="26"/>
      <c r="U906" s="26"/>
      <c r="V906" s="26"/>
      <c r="W906" s="26"/>
      <c r="X906" s="26"/>
      <c r="Y906" s="26"/>
      <c r="Z906" s="26"/>
    </row>
    <row r="907" ht="12.75" customHeight="1">
      <c r="A907" s="31"/>
      <c r="B907" s="53"/>
      <c r="C907" s="26"/>
      <c r="D907" s="54"/>
      <c r="E907" s="25"/>
      <c r="F907" s="25"/>
      <c r="G907" s="25"/>
      <c r="H907" s="25"/>
      <c r="I907" s="25"/>
      <c r="J907" s="25"/>
      <c r="K907" s="25"/>
      <c r="L907" s="25"/>
      <c r="M907" s="25"/>
      <c r="N907" s="25"/>
      <c r="O907" s="25"/>
      <c r="P907" s="25"/>
      <c r="Q907" s="26"/>
      <c r="R907" s="26"/>
      <c r="S907" s="26"/>
      <c r="T907" s="26"/>
      <c r="U907" s="26"/>
      <c r="V907" s="26"/>
      <c r="W907" s="26"/>
      <c r="X907" s="26"/>
      <c r="Y907" s="26"/>
      <c r="Z907" s="26"/>
    </row>
    <row r="908" ht="12.75" customHeight="1">
      <c r="A908" s="31"/>
      <c r="B908" s="53"/>
      <c r="C908" s="26"/>
      <c r="D908" s="54"/>
      <c r="E908" s="25"/>
      <c r="F908" s="25"/>
      <c r="G908" s="25"/>
      <c r="H908" s="25"/>
      <c r="I908" s="25"/>
      <c r="J908" s="25"/>
      <c r="K908" s="25"/>
      <c r="L908" s="25"/>
      <c r="M908" s="25"/>
      <c r="N908" s="25"/>
      <c r="O908" s="25"/>
      <c r="P908" s="25"/>
      <c r="Q908" s="26"/>
      <c r="R908" s="26"/>
      <c r="S908" s="26"/>
      <c r="T908" s="26"/>
      <c r="U908" s="26"/>
      <c r="V908" s="26"/>
      <c r="W908" s="26"/>
      <c r="X908" s="26"/>
      <c r="Y908" s="26"/>
      <c r="Z908" s="26"/>
    </row>
    <row r="909" ht="12.75" customHeight="1">
      <c r="A909" s="31"/>
      <c r="B909" s="53"/>
      <c r="C909" s="26"/>
      <c r="D909" s="54"/>
      <c r="E909" s="25"/>
      <c r="F909" s="25"/>
      <c r="G909" s="25"/>
      <c r="H909" s="25"/>
      <c r="I909" s="25"/>
      <c r="J909" s="25"/>
      <c r="K909" s="25"/>
      <c r="L909" s="25"/>
      <c r="M909" s="25"/>
      <c r="N909" s="25"/>
      <c r="O909" s="25"/>
      <c r="P909" s="25"/>
      <c r="Q909" s="26"/>
      <c r="R909" s="26"/>
      <c r="S909" s="26"/>
      <c r="T909" s="26"/>
      <c r="U909" s="26"/>
      <c r="V909" s="26"/>
      <c r="W909" s="26"/>
      <c r="X909" s="26"/>
      <c r="Y909" s="26"/>
      <c r="Z909" s="26"/>
    </row>
    <row r="910" ht="12.75" customHeight="1">
      <c r="A910" s="31"/>
      <c r="B910" s="53"/>
      <c r="C910" s="26"/>
      <c r="D910" s="54"/>
      <c r="E910" s="25"/>
      <c r="F910" s="25"/>
      <c r="G910" s="25"/>
      <c r="H910" s="25"/>
      <c r="I910" s="25"/>
      <c r="J910" s="25"/>
      <c r="K910" s="25"/>
      <c r="L910" s="25"/>
      <c r="M910" s="25"/>
      <c r="N910" s="25"/>
      <c r="O910" s="25"/>
      <c r="P910" s="25"/>
      <c r="Q910" s="26"/>
      <c r="R910" s="26"/>
      <c r="S910" s="26"/>
      <c r="T910" s="26"/>
      <c r="U910" s="26"/>
      <c r="V910" s="26"/>
      <c r="W910" s="26"/>
      <c r="X910" s="26"/>
      <c r="Y910" s="26"/>
      <c r="Z910" s="26"/>
    </row>
    <row r="911" ht="12.75" customHeight="1">
      <c r="A911" s="31"/>
      <c r="B911" s="53"/>
      <c r="C911" s="26"/>
      <c r="D911" s="54"/>
      <c r="E911" s="25"/>
      <c r="F911" s="25"/>
      <c r="G911" s="25"/>
      <c r="H911" s="25"/>
      <c r="I911" s="25"/>
      <c r="J911" s="25"/>
      <c r="K911" s="25"/>
      <c r="L911" s="25"/>
      <c r="M911" s="25"/>
      <c r="N911" s="25"/>
      <c r="O911" s="25"/>
      <c r="P911" s="25"/>
      <c r="Q911" s="26"/>
      <c r="R911" s="26"/>
      <c r="S911" s="26"/>
      <c r="T911" s="26"/>
      <c r="U911" s="26"/>
      <c r="V911" s="26"/>
      <c r="W911" s="26"/>
      <c r="X911" s="26"/>
      <c r="Y911" s="26"/>
      <c r="Z911" s="26"/>
    </row>
    <row r="912" ht="12.75" customHeight="1">
      <c r="A912" s="31"/>
      <c r="B912" s="53"/>
      <c r="C912" s="26"/>
      <c r="D912" s="54"/>
      <c r="E912" s="25"/>
      <c r="F912" s="25"/>
      <c r="G912" s="25"/>
      <c r="H912" s="25"/>
      <c r="I912" s="25"/>
      <c r="J912" s="25"/>
      <c r="K912" s="25"/>
      <c r="L912" s="25"/>
      <c r="M912" s="25"/>
      <c r="N912" s="25"/>
      <c r="O912" s="25"/>
      <c r="P912" s="25"/>
      <c r="Q912" s="26"/>
      <c r="R912" s="26"/>
      <c r="S912" s="26"/>
      <c r="T912" s="26"/>
      <c r="U912" s="26"/>
      <c r="V912" s="26"/>
      <c r="W912" s="26"/>
      <c r="X912" s="26"/>
      <c r="Y912" s="26"/>
      <c r="Z912" s="26"/>
    </row>
    <row r="913" ht="12.75" customHeight="1">
      <c r="A913" s="31"/>
      <c r="B913" s="53"/>
      <c r="C913" s="26"/>
      <c r="D913" s="54"/>
      <c r="E913" s="25"/>
      <c r="F913" s="25"/>
      <c r="G913" s="25"/>
      <c r="H913" s="25"/>
      <c r="I913" s="25"/>
      <c r="J913" s="25"/>
      <c r="K913" s="25"/>
      <c r="L913" s="25"/>
      <c r="M913" s="25"/>
      <c r="N913" s="25"/>
      <c r="O913" s="25"/>
      <c r="P913" s="25"/>
      <c r="Q913" s="26"/>
      <c r="R913" s="26"/>
      <c r="S913" s="26"/>
      <c r="T913" s="26"/>
      <c r="U913" s="26"/>
      <c r="V913" s="26"/>
      <c r="W913" s="26"/>
      <c r="X913" s="26"/>
      <c r="Y913" s="26"/>
      <c r="Z913" s="26"/>
    </row>
    <row r="914" ht="12.75" customHeight="1">
      <c r="A914" s="31"/>
      <c r="B914" s="53"/>
      <c r="C914" s="26"/>
      <c r="D914" s="54"/>
      <c r="E914" s="25"/>
      <c r="F914" s="25"/>
      <c r="G914" s="25"/>
      <c r="H914" s="25"/>
      <c r="I914" s="25"/>
      <c r="J914" s="25"/>
      <c r="K914" s="25"/>
      <c r="L914" s="25"/>
      <c r="M914" s="25"/>
      <c r="N914" s="25"/>
      <c r="O914" s="25"/>
      <c r="P914" s="25"/>
      <c r="Q914" s="26"/>
      <c r="R914" s="26"/>
      <c r="S914" s="26"/>
      <c r="T914" s="26"/>
      <c r="U914" s="26"/>
      <c r="V914" s="26"/>
      <c r="W914" s="26"/>
      <c r="X914" s="26"/>
      <c r="Y914" s="26"/>
      <c r="Z914" s="26"/>
    </row>
    <row r="915" ht="12.75" customHeight="1">
      <c r="A915" s="31"/>
      <c r="B915" s="53"/>
      <c r="C915" s="26"/>
      <c r="D915" s="54"/>
      <c r="E915" s="25"/>
      <c r="F915" s="25"/>
      <c r="G915" s="25"/>
      <c r="H915" s="25"/>
      <c r="I915" s="25"/>
      <c r="J915" s="25"/>
      <c r="K915" s="25"/>
      <c r="L915" s="25"/>
      <c r="M915" s="25"/>
      <c r="N915" s="25"/>
      <c r="O915" s="25"/>
      <c r="P915" s="25"/>
      <c r="Q915" s="26"/>
      <c r="R915" s="26"/>
      <c r="S915" s="26"/>
      <c r="T915" s="26"/>
      <c r="U915" s="26"/>
      <c r="V915" s="26"/>
      <c r="W915" s="26"/>
      <c r="X915" s="26"/>
      <c r="Y915" s="26"/>
      <c r="Z915" s="26"/>
    </row>
    <row r="916" ht="12.75" customHeight="1">
      <c r="A916" s="31"/>
      <c r="B916" s="53"/>
      <c r="C916" s="26"/>
      <c r="D916" s="54"/>
      <c r="E916" s="25"/>
      <c r="F916" s="25"/>
      <c r="G916" s="25"/>
      <c r="H916" s="25"/>
      <c r="I916" s="25"/>
      <c r="J916" s="25"/>
      <c r="K916" s="25"/>
      <c r="L916" s="25"/>
      <c r="M916" s="25"/>
      <c r="N916" s="25"/>
      <c r="O916" s="25"/>
      <c r="P916" s="25"/>
      <c r="Q916" s="26"/>
      <c r="R916" s="26"/>
      <c r="S916" s="26"/>
      <c r="T916" s="26"/>
      <c r="U916" s="26"/>
      <c r="V916" s="26"/>
      <c r="W916" s="26"/>
      <c r="X916" s="26"/>
      <c r="Y916" s="26"/>
      <c r="Z916" s="26"/>
    </row>
    <row r="917" ht="12.75" customHeight="1">
      <c r="A917" s="31"/>
      <c r="B917" s="53"/>
      <c r="C917" s="26"/>
      <c r="D917" s="54"/>
      <c r="E917" s="25"/>
      <c r="F917" s="25"/>
      <c r="G917" s="25"/>
      <c r="H917" s="25"/>
      <c r="I917" s="25"/>
      <c r="J917" s="25"/>
      <c r="K917" s="25"/>
      <c r="L917" s="25"/>
      <c r="M917" s="25"/>
      <c r="N917" s="25"/>
      <c r="O917" s="25"/>
      <c r="P917" s="25"/>
      <c r="Q917" s="26"/>
      <c r="R917" s="26"/>
      <c r="S917" s="26"/>
      <c r="T917" s="26"/>
      <c r="U917" s="26"/>
      <c r="V917" s="26"/>
      <c r="W917" s="26"/>
      <c r="X917" s="26"/>
      <c r="Y917" s="26"/>
      <c r="Z917" s="26"/>
    </row>
    <row r="918" ht="12.75" customHeight="1">
      <c r="A918" s="31"/>
      <c r="B918" s="53"/>
      <c r="C918" s="26"/>
      <c r="D918" s="54"/>
      <c r="E918" s="25"/>
      <c r="F918" s="25"/>
      <c r="G918" s="25"/>
      <c r="H918" s="25"/>
      <c r="I918" s="25"/>
      <c r="J918" s="25"/>
      <c r="K918" s="25"/>
      <c r="L918" s="25"/>
      <c r="M918" s="25"/>
      <c r="N918" s="25"/>
      <c r="O918" s="25"/>
      <c r="P918" s="25"/>
      <c r="Q918" s="26"/>
      <c r="R918" s="26"/>
      <c r="S918" s="26"/>
      <c r="T918" s="26"/>
      <c r="U918" s="26"/>
      <c r="V918" s="26"/>
      <c r="W918" s="26"/>
      <c r="X918" s="26"/>
      <c r="Y918" s="26"/>
      <c r="Z918" s="26"/>
    </row>
    <row r="919" ht="12.75" customHeight="1">
      <c r="A919" s="31"/>
      <c r="B919" s="53"/>
      <c r="C919" s="26"/>
      <c r="D919" s="54"/>
      <c r="E919" s="25"/>
      <c r="F919" s="25"/>
      <c r="G919" s="25"/>
      <c r="H919" s="25"/>
      <c r="I919" s="25"/>
      <c r="J919" s="25"/>
      <c r="K919" s="25"/>
      <c r="L919" s="25"/>
      <c r="M919" s="25"/>
      <c r="N919" s="25"/>
      <c r="O919" s="25"/>
      <c r="P919" s="25"/>
      <c r="Q919" s="26"/>
      <c r="R919" s="26"/>
      <c r="S919" s="26"/>
      <c r="T919" s="26"/>
      <c r="U919" s="26"/>
      <c r="V919" s="26"/>
      <c r="W919" s="26"/>
      <c r="X919" s="26"/>
      <c r="Y919" s="26"/>
      <c r="Z919" s="26"/>
    </row>
    <row r="920" ht="12.75" customHeight="1">
      <c r="A920" s="31"/>
      <c r="B920" s="53"/>
      <c r="C920" s="26"/>
      <c r="D920" s="54"/>
      <c r="E920" s="25"/>
      <c r="F920" s="25"/>
      <c r="G920" s="25"/>
      <c r="H920" s="25"/>
      <c r="I920" s="25"/>
      <c r="J920" s="25"/>
      <c r="K920" s="25"/>
      <c r="L920" s="25"/>
      <c r="M920" s="25"/>
      <c r="N920" s="25"/>
      <c r="O920" s="25"/>
      <c r="P920" s="25"/>
      <c r="Q920" s="26"/>
      <c r="R920" s="26"/>
      <c r="S920" s="26"/>
      <c r="T920" s="26"/>
      <c r="U920" s="26"/>
      <c r="V920" s="26"/>
      <c r="W920" s="26"/>
      <c r="X920" s="26"/>
      <c r="Y920" s="26"/>
      <c r="Z920" s="26"/>
    </row>
    <row r="921" ht="12.75" customHeight="1">
      <c r="A921" s="31"/>
      <c r="B921" s="53"/>
      <c r="C921" s="26"/>
      <c r="D921" s="54"/>
      <c r="E921" s="25"/>
      <c r="F921" s="25"/>
      <c r="G921" s="25"/>
      <c r="H921" s="25"/>
      <c r="I921" s="25"/>
      <c r="J921" s="25"/>
      <c r="K921" s="25"/>
      <c r="L921" s="25"/>
      <c r="M921" s="25"/>
      <c r="N921" s="25"/>
      <c r="O921" s="25"/>
      <c r="P921" s="25"/>
      <c r="Q921" s="26"/>
      <c r="R921" s="26"/>
      <c r="S921" s="26"/>
      <c r="T921" s="26"/>
      <c r="U921" s="26"/>
      <c r="V921" s="26"/>
      <c r="W921" s="26"/>
      <c r="X921" s="26"/>
      <c r="Y921" s="26"/>
      <c r="Z921" s="26"/>
    </row>
    <row r="922" ht="12.75" customHeight="1">
      <c r="A922" s="31"/>
      <c r="B922" s="53"/>
      <c r="C922" s="26"/>
      <c r="D922" s="54"/>
      <c r="E922" s="25"/>
      <c r="F922" s="25"/>
      <c r="G922" s="25"/>
      <c r="H922" s="25"/>
      <c r="I922" s="25"/>
      <c r="J922" s="25"/>
      <c r="K922" s="25"/>
      <c r="L922" s="25"/>
      <c r="M922" s="25"/>
      <c r="N922" s="25"/>
      <c r="O922" s="25"/>
      <c r="P922" s="25"/>
      <c r="Q922" s="26"/>
      <c r="R922" s="26"/>
      <c r="S922" s="26"/>
      <c r="T922" s="26"/>
      <c r="U922" s="26"/>
      <c r="V922" s="26"/>
      <c r="W922" s="26"/>
      <c r="X922" s="26"/>
      <c r="Y922" s="26"/>
      <c r="Z922" s="26"/>
    </row>
    <row r="923" ht="12.75" customHeight="1">
      <c r="A923" s="31"/>
      <c r="B923" s="53"/>
      <c r="C923" s="26"/>
      <c r="D923" s="54"/>
      <c r="E923" s="25"/>
      <c r="F923" s="25"/>
      <c r="G923" s="25"/>
      <c r="H923" s="25"/>
      <c r="I923" s="25"/>
      <c r="J923" s="25"/>
      <c r="K923" s="25"/>
      <c r="L923" s="25"/>
      <c r="M923" s="25"/>
      <c r="N923" s="25"/>
      <c r="O923" s="25"/>
      <c r="P923" s="25"/>
      <c r="Q923" s="26"/>
      <c r="R923" s="26"/>
      <c r="S923" s="26"/>
      <c r="T923" s="26"/>
      <c r="U923" s="26"/>
      <c r="V923" s="26"/>
      <c r="W923" s="26"/>
      <c r="X923" s="26"/>
      <c r="Y923" s="26"/>
      <c r="Z923" s="26"/>
    </row>
    <row r="924" ht="12.75" customHeight="1">
      <c r="A924" s="31"/>
      <c r="B924" s="53"/>
      <c r="C924" s="26"/>
      <c r="D924" s="54"/>
      <c r="E924" s="25"/>
      <c r="F924" s="25"/>
      <c r="G924" s="25"/>
      <c r="H924" s="25"/>
      <c r="I924" s="25"/>
      <c r="J924" s="25"/>
      <c r="K924" s="25"/>
      <c r="L924" s="25"/>
      <c r="M924" s="25"/>
      <c r="N924" s="25"/>
      <c r="O924" s="25"/>
      <c r="P924" s="25"/>
      <c r="Q924" s="26"/>
      <c r="R924" s="26"/>
      <c r="S924" s="26"/>
      <c r="T924" s="26"/>
      <c r="U924" s="26"/>
      <c r="V924" s="26"/>
      <c r="W924" s="26"/>
      <c r="X924" s="26"/>
      <c r="Y924" s="26"/>
      <c r="Z924" s="26"/>
    </row>
    <row r="925" ht="12.75" customHeight="1">
      <c r="A925" s="31"/>
      <c r="B925" s="53"/>
      <c r="C925" s="26"/>
      <c r="D925" s="54"/>
      <c r="E925" s="25"/>
      <c r="F925" s="25"/>
      <c r="G925" s="25"/>
      <c r="H925" s="25"/>
      <c r="I925" s="25"/>
      <c r="J925" s="25"/>
      <c r="K925" s="25"/>
      <c r="L925" s="25"/>
      <c r="M925" s="25"/>
      <c r="N925" s="25"/>
      <c r="O925" s="25"/>
      <c r="P925" s="25"/>
      <c r="Q925" s="26"/>
      <c r="R925" s="26"/>
      <c r="S925" s="26"/>
      <c r="T925" s="26"/>
      <c r="U925" s="26"/>
      <c r="V925" s="26"/>
      <c r="W925" s="26"/>
      <c r="X925" s="26"/>
      <c r="Y925" s="26"/>
      <c r="Z925" s="26"/>
    </row>
    <row r="926" ht="12.75" customHeight="1">
      <c r="A926" s="31"/>
      <c r="B926" s="53"/>
      <c r="C926" s="26"/>
      <c r="D926" s="54"/>
      <c r="E926" s="25"/>
      <c r="F926" s="25"/>
      <c r="G926" s="25"/>
      <c r="H926" s="25"/>
      <c r="I926" s="25"/>
      <c r="J926" s="25"/>
      <c r="K926" s="25"/>
      <c r="L926" s="25"/>
      <c r="M926" s="25"/>
      <c r="N926" s="25"/>
      <c r="O926" s="25"/>
      <c r="P926" s="25"/>
      <c r="Q926" s="26"/>
      <c r="R926" s="26"/>
      <c r="S926" s="26"/>
      <c r="T926" s="26"/>
      <c r="U926" s="26"/>
      <c r="V926" s="26"/>
      <c r="W926" s="26"/>
      <c r="X926" s="26"/>
      <c r="Y926" s="26"/>
      <c r="Z926" s="26"/>
    </row>
    <row r="927" ht="12.75" customHeight="1">
      <c r="A927" s="31"/>
      <c r="B927" s="53"/>
      <c r="C927" s="26"/>
      <c r="D927" s="54"/>
      <c r="E927" s="25"/>
      <c r="F927" s="25"/>
      <c r="G927" s="25"/>
      <c r="H927" s="25"/>
      <c r="I927" s="25"/>
      <c r="J927" s="25"/>
      <c r="K927" s="25"/>
      <c r="L927" s="25"/>
      <c r="M927" s="25"/>
      <c r="N927" s="25"/>
      <c r="O927" s="25"/>
      <c r="P927" s="25"/>
      <c r="Q927" s="26"/>
      <c r="R927" s="26"/>
      <c r="S927" s="26"/>
      <c r="T927" s="26"/>
      <c r="U927" s="26"/>
      <c r="V927" s="26"/>
      <c r="W927" s="26"/>
      <c r="X927" s="26"/>
      <c r="Y927" s="26"/>
      <c r="Z927" s="26"/>
    </row>
    <row r="928" ht="12.75" customHeight="1">
      <c r="A928" s="31"/>
      <c r="B928" s="53"/>
      <c r="C928" s="26"/>
      <c r="D928" s="54"/>
      <c r="E928" s="25"/>
      <c r="F928" s="25"/>
      <c r="G928" s="25"/>
      <c r="H928" s="25"/>
      <c r="I928" s="25"/>
      <c r="J928" s="25"/>
      <c r="K928" s="25"/>
      <c r="L928" s="25"/>
      <c r="M928" s="25"/>
      <c r="N928" s="25"/>
      <c r="O928" s="25"/>
      <c r="P928" s="25"/>
      <c r="Q928" s="26"/>
      <c r="R928" s="26"/>
      <c r="S928" s="26"/>
      <c r="T928" s="26"/>
      <c r="U928" s="26"/>
      <c r="V928" s="26"/>
      <c r="W928" s="26"/>
      <c r="X928" s="26"/>
      <c r="Y928" s="26"/>
      <c r="Z928" s="26"/>
    </row>
    <row r="929" ht="12.75" customHeight="1">
      <c r="A929" s="31"/>
      <c r="B929" s="53"/>
      <c r="C929" s="26"/>
      <c r="D929" s="54"/>
      <c r="E929" s="25"/>
      <c r="F929" s="25"/>
      <c r="G929" s="25"/>
      <c r="H929" s="25"/>
      <c r="I929" s="25"/>
      <c r="J929" s="25"/>
      <c r="K929" s="25"/>
      <c r="L929" s="25"/>
      <c r="M929" s="25"/>
      <c r="N929" s="25"/>
      <c r="O929" s="25"/>
      <c r="P929" s="25"/>
      <c r="Q929" s="26"/>
      <c r="R929" s="26"/>
      <c r="S929" s="26"/>
      <c r="T929" s="26"/>
      <c r="U929" s="26"/>
      <c r="V929" s="26"/>
      <c r="W929" s="26"/>
      <c r="X929" s="26"/>
      <c r="Y929" s="26"/>
      <c r="Z929" s="26"/>
    </row>
    <row r="930" ht="12.75" customHeight="1">
      <c r="A930" s="31"/>
      <c r="B930" s="53"/>
      <c r="C930" s="26"/>
      <c r="D930" s="54"/>
      <c r="E930" s="25"/>
      <c r="F930" s="25"/>
      <c r="G930" s="25"/>
      <c r="H930" s="25"/>
      <c r="I930" s="25"/>
      <c r="J930" s="25"/>
      <c r="K930" s="25"/>
      <c r="L930" s="25"/>
      <c r="M930" s="25"/>
      <c r="N930" s="25"/>
      <c r="O930" s="25"/>
      <c r="P930" s="25"/>
      <c r="Q930" s="26"/>
      <c r="R930" s="26"/>
      <c r="S930" s="26"/>
      <c r="T930" s="26"/>
      <c r="U930" s="26"/>
      <c r="V930" s="26"/>
      <c r="W930" s="26"/>
      <c r="X930" s="26"/>
      <c r="Y930" s="26"/>
      <c r="Z930" s="26"/>
    </row>
    <row r="931" ht="12.75" customHeight="1">
      <c r="A931" s="31"/>
      <c r="B931" s="53"/>
      <c r="C931" s="26"/>
      <c r="D931" s="54"/>
      <c r="E931" s="25"/>
      <c r="F931" s="25"/>
      <c r="G931" s="25"/>
      <c r="H931" s="25"/>
      <c r="I931" s="25"/>
      <c r="J931" s="25"/>
      <c r="K931" s="25"/>
      <c r="L931" s="25"/>
      <c r="M931" s="25"/>
      <c r="N931" s="25"/>
      <c r="O931" s="25"/>
      <c r="P931" s="25"/>
      <c r="Q931" s="26"/>
      <c r="R931" s="26"/>
      <c r="S931" s="26"/>
      <c r="T931" s="26"/>
      <c r="U931" s="26"/>
      <c r="V931" s="26"/>
      <c r="W931" s="26"/>
      <c r="X931" s="26"/>
      <c r="Y931" s="26"/>
      <c r="Z931" s="26"/>
    </row>
    <row r="932" ht="12.75" customHeight="1">
      <c r="A932" s="31"/>
      <c r="B932" s="53"/>
      <c r="C932" s="26"/>
      <c r="D932" s="54"/>
      <c r="E932" s="25"/>
      <c r="F932" s="25"/>
      <c r="G932" s="25"/>
      <c r="H932" s="25"/>
      <c r="I932" s="25"/>
      <c r="J932" s="25"/>
      <c r="K932" s="25"/>
      <c r="L932" s="25"/>
      <c r="M932" s="25"/>
      <c r="N932" s="25"/>
      <c r="O932" s="25"/>
      <c r="P932" s="25"/>
      <c r="Q932" s="26"/>
      <c r="R932" s="26"/>
      <c r="S932" s="26"/>
      <c r="T932" s="26"/>
      <c r="U932" s="26"/>
      <c r="V932" s="26"/>
      <c r="W932" s="26"/>
      <c r="X932" s="26"/>
      <c r="Y932" s="26"/>
      <c r="Z932" s="26"/>
    </row>
    <row r="933" ht="12.75" customHeight="1">
      <c r="A933" s="31"/>
      <c r="B933" s="53"/>
      <c r="C933" s="26"/>
      <c r="D933" s="54"/>
      <c r="E933" s="25"/>
      <c r="F933" s="25"/>
      <c r="G933" s="25"/>
      <c r="H933" s="25"/>
      <c r="I933" s="25"/>
      <c r="J933" s="25"/>
      <c r="K933" s="25"/>
      <c r="L933" s="25"/>
      <c r="M933" s="25"/>
      <c r="N933" s="25"/>
      <c r="O933" s="25"/>
      <c r="P933" s="25"/>
      <c r="Q933" s="26"/>
      <c r="R933" s="26"/>
      <c r="S933" s="26"/>
      <c r="T933" s="26"/>
      <c r="U933" s="26"/>
      <c r="V933" s="26"/>
      <c r="W933" s="26"/>
      <c r="X933" s="26"/>
      <c r="Y933" s="26"/>
      <c r="Z933" s="26"/>
    </row>
    <row r="934" ht="12.75" customHeight="1">
      <c r="A934" s="31"/>
      <c r="B934" s="53"/>
      <c r="C934" s="26"/>
      <c r="D934" s="54"/>
      <c r="E934" s="25"/>
      <c r="F934" s="25"/>
      <c r="G934" s="25"/>
      <c r="H934" s="25"/>
      <c r="I934" s="25"/>
      <c r="J934" s="25"/>
      <c r="K934" s="25"/>
      <c r="L934" s="25"/>
      <c r="M934" s="25"/>
      <c r="N934" s="25"/>
      <c r="O934" s="25"/>
      <c r="P934" s="25"/>
      <c r="Q934" s="26"/>
      <c r="R934" s="26"/>
      <c r="S934" s="26"/>
      <c r="T934" s="26"/>
      <c r="U934" s="26"/>
      <c r="V934" s="26"/>
      <c r="W934" s="26"/>
      <c r="X934" s="26"/>
      <c r="Y934" s="26"/>
      <c r="Z934" s="26"/>
    </row>
    <row r="935" ht="12.75" customHeight="1">
      <c r="A935" s="31"/>
      <c r="B935" s="53"/>
      <c r="C935" s="26"/>
      <c r="D935" s="54"/>
      <c r="E935" s="25"/>
      <c r="F935" s="25"/>
      <c r="G935" s="25"/>
      <c r="H935" s="25"/>
      <c r="I935" s="25"/>
      <c r="J935" s="25"/>
      <c r="K935" s="25"/>
      <c r="L935" s="25"/>
      <c r="M935" s="25"/>
      <c r="N935" s="25"/>
      <c r="O935" s="25"/>
      <c r="P935" s="25"/>
      <c r="Q935" s="26"/>
      <c r="R935" s="26"/>
      <c r="S935" s="26"/>
      <c r="T935" s="26"/>
      <c r="U935" s="26"/>
      <c r="V935" s="26"/>
      <c r="W935" s="26"/>
      <c r="X935" s="26"/>
      <c r="Y935" s="26"/>
      <c r="Z935" s="26"/>
    </row>
    <row r="936" ht="12.75" customHeight="1">
      <c r="A936" s="31"/>
      <c r="B936" s="53"/>
      <c r="C936" s="26"/>
      <c r="D936" s="54"/>
      <c r="E936" s="25"/>
      <c r="F936" s="25"/>
      <c r="G936" s="25"/>
      <c r="H936" s="25"/>
      <c r="I936" s="25"/>
      <c r="J936" s="25"/>
      <c r="K936" s="25"/>
      <c r="L936" s="25"/>
      <c r="M936" s="25"/>
      <c r="N936" s="25"/>
      <c r="O936" s="25"/>
      <c r="P936" s="25"/>
      <c r="Q936" s="26"/>
      <c r="R936" s="26"/>
      <c r="S936" s="26"/>
      <c r="T936" s="26"/>
      <c r="U936" s="26"/>
      <c r="V936" s="26"/>
      <c r="W936" s="26"/>
      <c r="X936" s="26"/>
      <c r="Y936" s="26"/>
      <c r="Z936" s="26"/>
    </row>
    <row r="937" ht="12.75" customHeight="1">
      <c r="A937" s="31"/>
      <c r="B937" s="53"/>
      <c r="C937" s="26"/>
      <c r="D937" s="54"/>
      <c r="E937" s="25"/>
      <c r="F937" s="25"/>
      <c r="G937" s="25"/>
      <c r="H937" s="25"/>
      <c r="I937" s="25"/>
      <c r="J937" s="25"/>
      <c r="K937" s="25"/>
      <c r="L937" s="25"/>
      <c r="M937" s="25"/>
      <c r="N937" s="25"/>
      <c r="O937" s="25"/>
      <c r="P937" s="25"/>
      <c r="Q937" s="26"/>
      <c r="R937" s="26"/>
      <c r="S937" s="26"/>
      <c r="T937" s="26"/>
      <c r="U937" s="26"/>
      <c r="V937" s="26"/>
      <c r="W937" s="26"/>
      <c r="X937" s="26"/>
      <c r="Y937" s="26"/>
      <c r="Z937" s="26"/>
    </row>
    <row r="938" ht="12.75" customHeight="1">
      <c r="A938" s="31"/>
      <c r="B938" s="53"/>
      <c r="C938" s="26"/>
      <c r="D938" s="54"/>
      <c r="E938" s="25"/>
      <c r="F938" s="25"/>
      <c r="G938" s="25"/>
      <c r="H938" s="25"/>
      <c r="I938" s="25"/>
      <c r="J938" s="25"/>
      <c r="K938" s="25"/>
      <c r="L938" s="25"/>
      <c r="M938" s="25"/>
      <c r="N938" s="25"/>
      <c r="O938" s="25"/>
      <c r="P938" s="25"/>
      <c r="Q938" s="26"/>
      <c r="R938" s="26"/>
      <c r="S938" s="26"/>
      <c r="T938" s="26"/>
      <c r="U938" s="26"/>
      <c r="V938" s="26"/>
      <c r="W938" s="26"/>
      <c r="X938" s="26"/>
      <c r="Y938" s="26"/>
      <c r="Z938" s="26"/>
    </row>
    <row r="939" ht="12.75" customHeight="1">
      <c r="A939" s="31"/>
      <c r="B939" s="53"/>
      <c r="C939" s="26"/>
      <c r="D939" s="54"/>
      <c r="E939" s="25"/>
      <c r="F939" s="25"/>
      <c r="G939" s="25"/>
      <c r="H939" s="25"/>
      <c r="I939" s="25"/>
      <c r="J939" s="25"/>
      <c r="K939" s="25"/>
      <c r="L939" s="25"/>
      <c r="M939" s="25"/>
      <c r="N939" s="25"/>
      <c r="O939" s="25"/>
      <c r="P939" s="25"/>
      <c r="Q939" s="26"/>
      <c r="R939" s="26"/>
      <c r="S939" s="26"/>
      <c r="T939" s="26"/>
      <c r="U939" s="26"/>
      <c r="V939" s="26"/>
      <c r="W939" s="26"/>
      <c r="X939" s="26"/>
      <c r="Y939" s="26"/>
      <c r="Z939" s="26"/>
    </row>
    <row r="940" ht="12.75" customHeight="1">
      <c r="A940" s="31"/>
      <c r="B940" s="53"/>
      <c r="C940" s="26"/>
      <c r="D940" s="54"/>
      <c r="E940" s="25"/>
      <c r="F940" s="25"/>
      <c r="G940" s="25"/>
      <c r="H940" s="25"/>
      <c r="I940" s="25"/>
      <c r="J940" s="25"/>
      <c r="K940" s="25"/>
      <c r="L940" s="25"/>
      <c r="M940" s="25"/>
      <c r="N940" s="25"/>
      <c r="O940" s="25"/>
      <c r="P940" s="25"/>
      <c r="Q940" s="26"/>
      <c r="R940" s="26"/>
      <c r="S940" s="26"/>
      <c r="T940" s="26"/>
      <c r="U940" s="26"/>
      <c r="V940" s="26"/>
      <c r="W940" s="26"/>
      <c r="X940" s="26"/>
      <c r="Y940" s="26"/>
      <c r="Z940" s="26"/>
    </row>
    <row r="941" ht="12.75" customHeight="1">
      <c r="A941" s="31"/>
      <c r="B941" s="53"/>
      <c r="C941" s="26"/>
      <c r="D941" s="54"/>
      <c r="E941" s="25"/>
      <c r="F941" s="25"/>
      <c r="G941" s="25"/>
      <c r="H941" s="25"/>
      <c r="I941" s="25"/>
      <c r="J941" s="25"/>
      <c r="K941" s="25"/>
      <c r="L941" s="25"/>
      <c r="M941" s="25"/>
      <c r="N941" s="25"/>
      <c r="O941" s="25"/>
      <c r="P941" s="25"/>
      <c r="Q941" s="26"/>
      <c r="R941" s="26"/>
      <c r="S941" s="26"/>
      <c r="T941" s="26"/>
      <c r="U941" s="26"/>
      <c r="V941" s="26"/>
      <c r="W941" s="26"/>
      <c r="X941" s="26"/>
      <c r="Y941" s="26"/>
      <c r="Z941" s="26"/>
    </row>
    <row r="942" ht="12.75" customHeight="1">
      <c r="A942" s="31"/>
      <c r="B942" s="53"/>
      <c r="C942" s="26"/>
      <c r="D942" s="54"/>
      <c r="E942" s="25"/>
      <c r="F942" s="25"/>
      <c r="G942" s="25"/>
      <c r="H942" s="25"/>
      <c r="I942" s="25"/>
      <c r="J942" s="25"/>
      <c r="K942" s="25"/>
      <c r="L942" s="25"/>
      <c r="M942" s="25"/>
      <c r="N942" s="25"/>
      <c r="O942" s="25"/>
      <c r="P942" s="25"/>
      <c r="Q942" s="26"/>
      <c r="R942" s="26"/>
      <c r="S942" s="26"/>
      <c r="T942" s="26"/>
      <c r="U942" s="26"/>
      <c r="V942" s="26"/>
      <c r="W942" s="26"/>
      <c r="X942" s="26"/>
      <c r="Y942" s="26"/>
      <c r="Z942" s="26"/>
    </row>
    <row r="943" ht="12.75" customHeight="1">
      <c r="A943" s="31"/>
      <c r="B943" s="53"/>
      <c r="C943" s="26"/>
      <c r="D943" s="54"/>
      <c r="E943" s="25"/>
      <c r="F943" s="25"/>
      <c r="G943" s="25"/>
      <c r="H943" s="25"/>
      <c r="I943" s="25"/>
      <c r="J943" s="25"/>
      <c r="K943" s="25"/>
      <c r="L943" s="25"/>
      <c r="M943" s="25"/>
      <c r="N943" s="25"/>
      <c r="O943" s="25"/>
      <c r="P943" s="25"/>
      <c r="Q943" s="26"/>
      <c r="R943" s="26"/>
      <c r="S943" s="26"/>
      <c r="T943" s="26"/>
      <c r="U943" s="26"/>
      <c r="V943" s="26"/>
      <c r="W943" s="26"/>
      <c r="X943" s="26"/>
      <c r="Y943" s="26"/>
      <c r="Z943" s="26"/>
    </row>
    <row r="944" ht="12.75" customHeight="1">
      <c r="A944" s="31"/>
      <c r="B944" s="53"/>
      <c r="C944" s="26"/>
      <c r="D944" s="54"/>
      <c r="E944" s="25"/>
      <c r="F944" s="25"/>
      <c r="G944" s="25"/>
      <c r="H944" s="25"/>
      <c r="I944" s="25"/>
      <c r="J944" s="25"/>
      <c r="K944" s="25"/>
      <c r="L944" s="25"/>
      <c r="M944" s="25"/>
      <c r="N944" s="25"/>
      <c r="O944" s="25"/>
      <c r="P944" s="25"/>
      <c r="Q944" s="26"/>
      <c r="R944" s="26"/>
      <c r="S944" s="26"/>
      <c r="T944" s="26"/>
      <c r="U944" s="26"/>
      <c r="V944" s="26"/>
      <c r="W944" s="26"/>
      <c r="X944" s="26"/>
      <c r="Y944" s="26"/>
      <c r="Z944" s="26"/>
    </row>
    <row r="945" ht="12.75" customHeight="1">
      <c r="A945" s="31"/>
      <c r="B945" s="53"/>
      <c r="C945" s="26"/>
      <c r="D945" s="54"/>
      <c r="E945" s="25"/>
      <c r="F945" s="25"/>
      <c r="G945" s="25"/>
      <c r="H945" s="25"/>
      <c r="I945" s="25"/>
      <c r="J945" s="25"/>
      <c r="K945" s="25"/>
      <c r="L945" s="25"/>
      <c r="M945" s="25"/>
      <c r="N945" s="25"/>
      <c r="O945" s="25"/>
      <c r="P945" s="25"/>
      <c r="Q945" s="26"/>
      <c r="R945" s="26"/>
      <c r="S945" s="26"/>
      <c r="T945" s="26"/>
      <c r="U945" s="26"/>
      <c r="V945" s="26"/>
      <c r="W945" s="26"/>
      <c r="X945" s="26"/>
      <c r="Y945" s="26"/>
      <c r="Z945" s="26"/>
    </row>
    <row r="946" ht="12.75" customHeight="1">
      <c r="A946" s="31"/>
      <c r="B946" s="53"/>
      <c r="C946" s="26"/>
      <c r="D946" s="54"/>
      <c r="E946" s="25"/>
      <c r="F946" s="25"/>
      <c r="G946" s="25"/>
      <c r="H946" s="25"/>
      <c r="I946" s="25"/>
      <c r="J946" s="25"/>
      <c r="K946" s="25"/>
      <c r="L946" s="25"/>
      <c r="M946" s="25"/>
      <c r="N946" s="25"/>
      <c r="O946" s="25"/>
      <c r="P946" s="25"/>
      <c r="Q946" s="26"/>
      <c r="R946" s="26"/>
      <c r="S946" s="26"/>
      <c r="T946" s="26"/>
      <c r="U946" s="26"/>
      <c r="V946" s="26"/>
      <c r="W946" s="26"/>
      <c r="X946" s="26"/>
      <c r="Y946" s="26"/>
      <c r="Z946" s="26"/>
    </row>
    <row r="947" ht="12.75" customHeight="1">
      <c r="A947" s="31"/>
      <c r="B947" s="53"/>
      <c r="C947" s="26"/>
      <c r="D947" s="54"/>
      <c r="E947" s="25"/>
      <c r="F947" s="25"/>
      <c r="G947" s="25"/>
      <c r="H947" s="25"/>
      <c r="I947" s="25"/>
      <c r="J947" s="25"/>
      <c r="K947" s="25"/>
      <c r="L947" s="25"/>
      <c r="M947" s="25"/>
      <c r="N947" s="25"/>
      <c r="O947" s="25"/>
      <c r="P947" s="25"/>
      <c r="Q947" s="26"/>
      <c r="R947" s="26"/>
      <c r="S947" s="26"/>
      <c r="T947" s="26"/>
      <c r="U947" s="26"/>
      <c r="V947" s="26"/>
      <c r="W947" s="26"/>
      <c r="X947" s="26"/>
      <c r="Y947" s="26"/>
      <c r="Z947" s="26"/>
    </row>
    <row r="948" ht="12.75" customHeight="1">
      <c r="A948" s="31"/>
      <c r="B948" s="53"/>
      <c r="C948" s="26"/>
      <c r="D948" s="54"/>
      <c r="E948" s="25"/>
      <c r="F948" s="25"/>
      <c r="G948" s="25"/>
      <c r="H948" s="25"/>
      <c r="I948" s="25"/>
      <c r="J948" s="25"/>
      <c r="K948" s="25"/>
      <c r="L948" s="25"/>
      <c r="M948" s="25"/>
      <c r="N948" s="25"/>
      <c r="O948" s="25"/>
      <c r="P948" s="25"/>
      <c r="Q948" s="26"/>
      <c r="R948" s="26"/>
      <c r="S948" s="26"/>
      <c r="T948" s="26"/>
      <c r="U948" s="26"/>
      <c r="V948" s="26"/>
      <c r="W948" s="26"/>
      <c r="X948" s="26"/>
      <c r="Y948" s="26"/>
      <c r="Z948" s="26"/>
    </row>
    <row r="949" ht="12.75" customHeight="1">
      <c r="A949" s="31"/>
      <c r="B949" s="53"/>
      <c r="C949" s="26"/>
      <c r="D949" s="54"/>
      <c r="E949" s="25"/>
      <c r="F949" s="25"/>
      <c r="G949" s="25"/>
      <c r="H949" s="25"/>
      <c r="I949" s="25"/>
      <c r="J949" s="25"/>
      <c r="K949" s="25"/>
      <c r="L949" s="25"/>
      <c r="M949" s="25"/>
      <c r="N949" s="25"/>
      <c r="O949" s="25"/>
      <c r="P949" s="25"/>
      <c r="Q949" s="26"/>
      <c r="R949" s="26"/>
      <c r="S949" s="26"/>
      <c r="T949" s="26"/>
      <c r="U949" s="26"/>
      <c r="V949" s="26"/>
      <c r="W949" s="26"/>
      <c r="X949" s="26"/>
      <c r="Y949" s="26"/>
      <c r="Z949" s="26"/>
    </row>
    <row r="950" ht="12.75" customHeight="1">
      <c r="A950" s="31"/>
      <c r="B950" s="53"/>
      <c r="C950" s="26"/>
      <c r="D950" s="54"/>
      <c r="E950" s="25"/>
      <c r="F950" s="25"/>
      <c r="G950" s="25"/>
      <c r="H950" s="25"/>
      <c r="I950" s="25"/>
      <c r="J950" s="25"/>
      <c r="K950" s="25"/>
      <c r="L950" s="25"/>
      <c r="M950" s="25"/>
      <c r="N950" s="25"/>
      <c r="O950" s="25"/>
      <c r="P950" s="25"/>
      <c r="Q950" s="26"/>
      <c r="R950" s="26"/>
      <c r="S950" s="26"/>
      <c r="T950" s="26"/>
      <c r="U950" s="26"/>
      <c r="V950" s="26"/>
      <c r="W950" s="26"/>
      <c r="X950" s="26"/>
      <c r="Y950" s="26"/>
      <c r="Z950" s="26"/>
    </row>
    <row r="951" ht="12.75" customHeight="1">
      <c r="A951" s="31"/>
      <c r="B951" s="53"/>
      <c r="C951" s="26"/>
      <c r="D951" s="54"/>
      <c r="E951" s="25"/>
      <c r="F951" s="25"/>
      <c r="G951" s="25"/>
      <c r="H951" s="25"/>
      <c r="I951" s="25"/>
      <c r="J951" s="25"/>
      <c r="K951" s="25"/>
      <c r="L951" s="25"/>
      <c r="M951" s="25"/>
      <c r="N951" s="25"/>
      <c r="O951" s="25"/>
      <c r="P951" s="25"/>
      <c r="Q951" s="26"/>
      <c r="R951" s="26"/>
      <c r="S951" s="26"/>
      <c r="T951" s="26"/>
      <c r="U951" s="26"/>
      <c r="V951" s="26"/>
      <c r="W951" s="26"/>
      <c r="X951" s="26"/>
      <c r="Y951" s="26"/>
      <c r="Z951" s="26"/>
    </row>
    <row r="952" ht="12.75" customHeight="1">
      <c r="A952" s="31"/>
      <c r="B952" s="53"/>
      <c r="C952" s="26"/>
      <c r="D952" s="54"/>
      <c r="E952" s="25"/>
      <c r="F952" s="25"/>
      <c r="G952" s="25"/>
      <c r="H952" s="25"/>
      <c r="I952" s="25"/>
      <c r="J952" s="25"/>
      <c r="K952" s="25"/>
      <c r="L952" s="25"/>
      <c r="M952" s="25"/>
      <c r="N952" s="25"/>
      <c r="O952" s="25"/>
      <c r="P952" s="25"/>
      <c r="Q952" s="26"/>
      <c r="R952" s="26"/>
      <c r="S952" s="26"/>
      <c r="T952" s="26"/>
      <c r="U952" s="26"/>
      <c r="V952" s="26"/>
      <c r="W952" s="26"/>
      <c r="X952" s="26"/>
      <c r="Y952" s="26"/>
      <c r="Z952" s="26"/>
    </row>
    <row r="953" ht="12.75" customHeight="1">
      <c r="A953" s="31"/>
      <c r="B953" s="53"/>
      <c r="C953" s="26"/>
      <c r="D953" s="54"/>
      <c r="E953" s="25"/>
      <c r="F953" s="25"/>
      <c r="G953" s="25"/>
      <c r="H953" s="25"/>
      <c r="I953" s="25"/>
      <c r="J953" s="25"/>
      <c r="K953" s="25"/>
      <c r="L953" s="25"/>
      <c r="M953" s="25"/>
      <c r="N953" s="25"/>
      <c r="O953" s="25"/>
      <c r="P953" s="25"/>
      <c r="Q953" s="26"/>
      <c r="R953" s="26"/>
      <c r="S953" s="26"/>
      <c r="T953" s="26"/>
      <c r="U953" s="26"/>
      <c r="V953" s="26"/>
      <c r="W953" s="26"/>
      <c r="X953" s="26"/>
      <c r="Y953" s="26"/>
      <c r="Z953" s="26"/>
    </row>
    <row r="954" ht="12.75" customHeight="1">
      <c r="A954" s="31"/>
      <c r="B954" s="53"/>
      <c r="C954" s="26"/>
      <c r="D954" s="54"/>
      <c r="E954" s="25"/>
      <c r="F954" s="25"/>
      <c r="G954" s="25"/>
      <c r="H954" s="25"/>
      <c r="I954" s="25"/>
      <c r="J954" s="25"/>
      <c r="K954" s="25"/>
      <c r="L954" s="25"/>
      <c r="M954" s="25"/>
      <c r="N954" s="25"/>
      <c r="O954" s="25"/>
      <c r="P954" s="25"/>
      <c r="Q954" s="26"/>
      <c r="R954" s="26"/>
      <c r="S954" s="26"/>
      <c r="T954" s="26"/>
      <c r="U954" s="26"/>
      <c r="V954" s="26"/>
      <c r="W954" s="26"/>
      <c r="X954" s="26"/>
      <c r="Y954" s="26"/>
      <c r="Z954" s="26"/>
    </row>
    <row r="955" ht="12.75" customHeight="1">
      <c r="A955" s="31"/>
      <c r="B955" s="53"/>
      <c r="C955" s="26"/>
      <c r="D955" s="54"/>
      <c r="E955" s="25"/>
      <c r="F955" s="25"/>
      <c r="G955" s="25"/>
      <c r="H955" s="25"/>
      <c r="I955" s="25"/>
      <c r="J955" s="25"/>
      <c r="K955" s="25"/>
      <c r="L955" s="25"/>
      <c r="M955" s="25"/>
      <c r="N955" s="25"/>
      <c r="O955" s="25"/>
      <c r="P955" s="25"/>
      <c r="Q955" s="26"/>
      <c r="R955" s="26"/>
      <c r="S955" s="26"/>
      <c r="T955" s="26"/>
      <c r="U955" s="26"/>
      <c r="V955" s="26"/>
      <c r="W955" s="26"/>
      <c r="X955" s="26"/>
      <c r="Y955" s="26"/>
      <c r="Z955" s="26"/>
    </row>
    <row r="956" ht="12.75" customHeight="1">
      <c r="A956" s="31"/>
      <c r="B956" s="53"/>
      <c r="C956" s="26"/>
      <c r="D956" s="54"/>
      <c r="E956" s="25"/>
      <c r="F956" s="25"/>
      <c r="G956" s="25"/>
      <c r="H956" s="25"/>
      <c r="I956" s="25"/>
      <c r="J956" s="25"/>
      <c r="K956" s="25"/>
      <c r="L956" s="25"/>
      <c r="M956" s="25"/>
      <c r="N956" s="25"/>
      <c r="O956" s="25"/>
      <c r="P956" s="25"/>
      <c r="Q956" s="26"/>
      <c r="R956" s="26"/>
      <c r="S956" s="26"/>
      <c r="T956" s="26"/>
      <c r="U956" s="26"/>
      <c r="V956" s="26"/>
      <c r="W956" s="26"/>
      <c r="X956" s="26"/>
      <c r="Y956" s="26"/>
      <c r="Z956" s="26"/>
    </row>
    <row r="957" ht="12.75" customHeight="1">
      <c r="A957" s="31"/>
      <c r="B957" s="53"/>
      <c r="C957" s="26"/>
      <c r="D957" s="54"/>
      <c r="E957" s="25"/>
      <c r="F957" s="25"/>
      <c r="G957" s="25"/>
      <c r="H957" s="25"/>
      <c r="I957" s="25"/>
      <c r="J957" s="25"/>
      <c r="K957" s="25"/>
      <c r="L957" s="25"/>
      <c r="M957" s="25"/>
      <c r="N957" s="25"/>
      <c r="O957" s="25"/>
      <c r="P957" s="25"/>
      <c r="Q957" s="26"/>
      <c r="R957" s="26"/>
      <c r="S957" s="26"/>
      <c r="T957" s="26"/>
      <c r="U957" s="26"/>
      <c r="V957" s="26"/>
      <c r="W957" s="26"/>
      <c r="X957" s="26"/>
      <c r="Y957" s="26"/>
      <c r="Z957" s="26"/>
    </row>
    <row r="958" ht="12.75" customHeight="1">
      <c r="A958" s="31"/>
      <c r="B958" s="53"/>
      <c r="C958" s="26"/>
      <c r="D958" s="54"/>
      <c r="E958" s="25"/>
      <c r="F958" s="25"/>
      <c r="G958" s="25"/>
      <c r="H958" s="25"/>
      <c r="I958" s="25"/>
      <c r="J958" s="25"/>
      <c r="K958" s="25"/>
      <c r="L958" s="25"/>
      <c r="M958" s="25"/>
      <c r="N958" s="25"/>
      <c r="O958" s="25"/>
      <c r="P958" s="25"/>
      <c r="Q958" s="26"/>
      <c r="R958" s="26"/>
      <c r="S958" s="26"/>
      <c r="T958" s="26"/>
      <c r="U958" s="26"/>
      <c r="V958" s="26"/>
      <c r="W958" s="26"/>
      <c r="X958" s="26"/>
      <c r="Y958" s="26"/>
      <c r="Z958" s="26"/>
    </row>
    <row r="959" ht="12.75" customHeight="1">
      <c r="A959" s="31"/>
      <c r="B959" s="53"/>
      <c r="C959" s="26"/>
      <c r="D959" s="54"/>
      <c r="E959" s="25"/>
      <c r="F959" s="25"/>
      <c r="G959" s="25"/>
      <c r="H959" s="25"/>
      <c r="I959" s="25"/>
      <c r="J959" s="25"/>
      <c r="K959" s="25"/>
      <c r="L959" s="25"/>
      <c r="M959" s="25"/>
      <c r="N959" s="25"/>
      <c r="O959" s="25"/>
      <c r="P959" s="25"/>
      <c r="Q959" s="26"/>
      <c r="R959" s="26"/>
      <c r="S959" s="26"/>
      <c r="T959" s="26"/>
      <c r="U959" s="26"/>
      <c r="V959" s="26"/>
      <c r="W959" s="26"/>
      <c r="X959" s="26"/>
      <c r="Y959" s="26"/>
      <c r="Z959" s="26"/>
    </row>
    <row r="960" ht="12.75" customHeight="1">
      <c r="A960" s="31"/>
      <c r="B960" s="53"/>
      <c r="C960" s="26"/>
      <c r="D960" s="54"/>
      <c r="E960" s="25"/>
      <c r="F960" s="25"/>
      <c r="G960" s="25"/>
      <c r="H960" s="25"/>
      <c r="I960" s="25"/>
      <c r="J960" s="25"/>
      <c r="K960" s="25"/>
      <c r="L960" s="25"/>
      <c r="M960" s="25"/>
      <c r="N960" s="25"/>
      <c r="O960" s="25"/>
      <c r="P960" s="25"/>
      <c r="Q960" s="26"/>
      <c r="R960" s="26"/>
      <c r="S960" s="26"/>
      <c r="T960" s="26"/>
      <c r="U960" s="26"/>
      <c r="V960" s="26"/>
      <c r="W960" s="26"/>
      <c r="X960" s="26"/>
      <c r="Y960" s="26"/>
      <c r="Z960" s="26"/>
    </row>
    <row r="961" ht="12.75" customHeight="1">
      <c r="A961" s="31"/>
      <c r="B961" s="53"/>
      <c r="C961" s="26"/>
      <c r="D961" s="54"/>
      <c r="E961" s="25"/>
      <c r="F961" s="25"/>
      <c r="G961" s="25"/>
      <c r="H961" s="25"/>
      <c r="I961" s="25"/>
      <c r="J961" s="25"/>
      <c r="K961" s="25"/>
      <c r="L961" s="25"/>
      <c r="M961" s="25"/>
      <c r="N961" s="25"/>
      <c r="O961" s="25"/>
      <c r="P961" s="25"/>
      <c r="Q961" s="26"/>
      <c r="R961" s="26"/>
      <c r="S961" s="26"/>
      <c r="T961" s="26"/>
      <c r="U961" s="26"/>
      <c r="V961" s="26"/>
      <c r="W961" s="26"/>
      <c r="X961" s="26"/>
      <c r="Y961" s="26"/>
      <c r="Z961" s="26"/>
    </row>
    <row r="962" ht="12.75" customHeight="1">
      <c r="A962" s="31"/>
      <c r="B962" s="53"/>
      <c r="C962" s="26"/>
      <c r="D962" s="54"/>
      <c r="E962" s="25"/>
      <c r="F962" s="25"/>
      <c r="G962" s="25"/>
      <c r="H962" s="25"/>
      <c r="I962" s="25"/>
      <c r="J962" s="25"/>
      <c r="K962" s="25"/>
      <c r="L962" s="25"/>
      <c r="M962" s="25"/>
      <c r="N962" s="25"/>
      <c r="O962" s="25"/>
      <c r="P962" s="25"/>
      <c r="Q962" s="26"/>
      <c r="R962" s="26"/>
      <c r="S962" s="26"/>
      <c r="T962" s="26"/>
      <c r="U962" s="26"/>
      <c r="V962" s="26"/>
      <c r="W962" s="26"/>
      <c r="X962" s="26"/>
      <c r="Y962" s="26"/>
      <c r="Z962" s="26"/>
    </row>
    <row r="963" ht="12.75" customHeight="1">
      <c r="A963" s="31"/>
      <c r="B963" s="53"/>
      <c r="C963" s="26"/>
      <c r="D963" s="54"/>
      <c r="E963" s="25"/>
      <c r="F963" s="25"/>
      <c r="G963" s="25"/>
      <c r="H963" s="25"/>
      <c r="I963" s="25"/>
      <c r="J963" s="25"/>
      <c r="K963" s="25"/>
      <c r="L963" s="25"/>
      <c r="M963" s="25"/>
      <c r="N963" s="25"/>
      <c r="O963" s="25"/>
      <c r="P963" s="25"/>
      <c r="Q963" s="26"/>
      <c r="R963" s="26"/>
      <c r="S963" s="26"/>
      <c r="T963" s="26"/>
      <c r="U963" s="26"/>
      <c r="V963" s="26"/>
      <c r="W963" s="26"/>
      <c r="X963" s="26"/>
      <c r="Y963" s="26"/>
      <c r="Z963" s="26"/>
    </row>
    <row r="964" ht="12.75" customHeight="1">
      <c r="A964" s="31"/>
      <c r="B964" s="53"/>
      <c r="C964" s="26"/>
      <c r="D964" s="54"/>
      <c r="E964" s="25"/>
      <c r="F964" s="25"/>
      <c r="G964" s="25"/>
      <c r="H964" s="25"/>
      <c r="I964" s="25"/>
      <c r="J964" s="25"/>
      <c r="K964" s="25"/>
      <c r="L964" s="25"/>
      <c r="M964" s="25"/>
      <c r="N964" s="25"/>
      <c r="O964" s="25"/>
      <c r="P964" s="25"/>
      <c r="Q964" s="26"/>
      <c r="R964" s="26"/>
      <c r="S964" s="26"/>
      <c r="T964" s="26"/>
      <c r="U964" s="26"/>
      <c r="V964" s="26"/>
      <c r="W964" s="26"/>
      <c r="X964" s="26"/>
      <c r="Y964" s="26"/>
      <c r="Z964" s="26"/>
    </row>
    <row r="965" ht="12.75" customHeight="1">
      <c r="A965" s="31"/>
      <c r="B965" s="53"/>
      <c r="C965" s="26"/>
      <c r="D965" s="54"/>
      <c r="E965" s="25"/>
      <c r="F965" s="25"/>
      <c r="G965" s="25"/>
      <c r="H965" s="25"/>
      <c r="I965" s="25"/>
      <c r="J965" s="25"/>
      <c r="K965" s="25"/>
      <c r="L965" s="25"/>
      <c r="M965" s="25"/>
      <c r="N965" s="25"/>
      <c r="O965" s="25"/>
      <c r="P965" s="25"/>
      <c r="Q965" s="26"/>
      <c r="R965" s="26"/>
      <c r="S965" s="26"/>
      <c r="T965" s="26"/>
      <c r="U965" s="26"/>
      <c r="V965" s="26"/>
      <c r="W965" s="26"/>
      <c r="X965" s="26"/>
      <c r="Y965" s="26"/>
      <c r="Z965" s="26"/>
    </row>
    <row r="966" ht="12.75" customHeight="1">
      <c r="A966" s="31"/>
      <c r="B966" s="53"/>
      <c r="C966" s="26"/>
      <c r="D966" s="54"/>
      <c r="E966" s="25"/>
      <c r="F966" s="25"/>
      <c r="G966" s="25"/>
      <c r="H966" s="25"/>
      <c r="I966" s="25"/>
      <c r="J966" s="25"/>
      <c r="K966" s="25"/>
      <c r="L966" s="25"/>
      <c r="M966" s="25"/>
      <c r="N966" s="25"/>
      <c r="O966" s="25"/>
      <c r="P966" s="25"/>
      <c r="Q966" s="26"/>
      <c r="R966" s="26"/>
      <c r="S966" s="26"/>
      <c r="T966" s="26"/>
      <c r="U966" s="26"/>
      <c r="V966" s="26"/>
      <c r="W966" s="26"/>
      <c r="X966" s="26"/>
      <c r="Y966" s="26"/>
      <c r="Z966" s="26"/>
    </row>
    <row r="967" ht="12.75" customHeight="1">
      <c r="A967" s="31"/>
      <c r="B967" s="53"/>
      <c r="C967" s="26"/>
      <c r="D967" s="54"/>
      <c r="E967" s="25"/>
      <c r="F967" s="25"/>
      <c r="G967" s="25"/>
      <c r="H967" s="25"/>
      <c r="I967" s="25"/>
      <c r="J967" s="25"/>
      <c r="K967" s="25"/>
      <c r="L967" s="25"/>
      <c r="M967" s="25"/>
      <c r="N967" s="25"/>
      <c r="O967" s="25"/>
      <c r="P967" s="25"/>
      <c r="Q967" s="26"/>
      <c r="R967" s="26"/>
      <c r="S967" s="26"/>
      <c r="T967" s="26"/>
      <c r="U967" s="26"/>
      <c r="V967" s="26"/>
      <c r="W967" s="26"/>
      <c r="X967" s="26"/>
      <c r="Y967" s="26"/>
      <c r="Z967" s="26"/>
    </row>
    <row r="968" ht="12.75" customHeight="1">
      <c r="A968" s="31"/>
      <c r="B968" s="53"/>
      <c r="C968" s="26"/>
      <c r="D968" s="54"/>
      <c r="E968" s="25"/>
      <c r="F968" s="25"/>
      <c r="G968" s="25"/>
      <c r="H968" s="25"/>
      <c r="I968" s="25"/>
      <c r="J968" s="25"/>
      <c r="K968" s="25"/>
      <c r="L968" s="25"/>
      <c r="M968" s="25"/>
      <c r="N968" s="25"/>
      <c r="O968" s="25"/>
      <c r="P968" s="25"/>
      <c r="Q968" s="26"/>
      <c r="R968" s="26"/>
      <c r="S968" s="26"/>
      <c r="T968" s="26"/>
      <c r="U968" s="26"/>
      <c r="V968" s="26"/>
      <c r="W968" s="26"/>
      <c r="X968" s="26"/>
      <c r="Y968" s="26"/>
      <c r="Z968" s="26"/>
    </row>
    <row r="969" ht="12.75" customHeight="1">
      <c r="A969" s="31"/>
      <c r="B969" s="53"/>
      <c r="C969" s="26"/>
      <c r="D969" s="54"/>
      <c r="E969" s="25"/>
      <c r="F969" s="25"/>
      <c r="G969" s="25"/>
      <c r="H969" s="25"/>
      <c r="I969" s="25"/>
      <c r="J969" s="25"/>
      <c r="K969" s="25"/>
      <c r="L969" s="25"/>
      <c r="M969" s="25"/>
      <c r="N969" s="25"/>
      <c r="O969" s="25"/>
      <c r="P969" s="25"/>
      <c r="Q969" s="26"/>
      <c r="R969" s="26"/>
      <c r="S969" s="26"/>
      <c r="T969" s="26"/>
      <c r="U969" s="26"/>
      <c r="V969" s="26"/>
      <c r="W969" s="26"/>
      <c r="X969" s="26"/>
      <c r="Y969" s="26"/>
      <c r="Z969" s="26"/>
    </row>
    <row r="970" ht="12.75" customHeight="1">
      <c r="A970" s="31"/>
      <c r="B970" s="53"/>
      <c r="C970" s="26"/>
      <c r="D970" s="54"/>
      <c r="E970" s="25"/>
      <c r="F970" s="25"/>
      <c r="G970" s="25"/>
      <c r="H970" s="25"/>
      <c r="I970" s="25"/>
      <c r="J970" s="25"/>
      <c r="K970" s="25"/>
      <c r="L970" s="25"/>
      <c r="M970" s="25"/>
      <c r="N970" s="25"/>
      <c r="O970" s="25"/>
      <c r="P970" s="25"/>
      <c r="Q970" s="26"/>
      <c r="R970" s="26"/>
      <c r="S970" s="26"/>
      <c r="T970" s="26"/>
      <c r="U970" s="26"/>
      <c r="V970" s="26"/>
      <c r="W970" s="26"/>
      <c r="X970" s="26"/>
      <c r="Y970" s="26"/>
      <c r="Z970" s="26"/>
    </row>
    <row r="971" ht="12.75" customHeight="1">
      <c r="A971" s="31"/>
      <c r="B971" s="53"/>
      <c r="C971" s="26"/>
      <c r="D971" s="54"/>
      <c r="E971" s="25"/>
      <c r="F971" s="25"/>
      <c r="G971" s="25"/>
      <c r="H971" s="25"/>
      <c r="I971" s="25"/>
      <c r="J971" s="25"/>
      <c r="K971" s="25"/>
      <c r="L971" s="25"/>
      <c r="M971" s="25"/>
      <c r="N971" s="25"/>
      <c r="O971" s="25"/>
      <c r="P971" s="25"/>
      <c r="Q971" s="26"/>
      <c r="R971" s="26"/>
      <c r="S971" s="26"/>
      <c r="T971" s="26"/>
      <c r="U971" s="26"/>
      <c r="V971" s="26"/>
      <c r="W971" s="26"/>
      <c r="X971" s="26"/>
      <c r="Y971" s="26"/>
      <c r="Z971" s="26"/>
    </row>
    <row r="972" ht="12.75" customHeight="1">
      <c r="A972" s="31"/>
      <c r="B972" s="53"/>
      <c r="C972" s="26"/>
      <c r="D972" s="54"/>
      <c r="E972" s="25"/>
      <c r="F972" s="25"/>
      <c r="G972" s="25"/>
      <c r="H972" s="25"/>
      <c r="I972" s="25"/>
      <c r="J972" s="25"/>
      <c r="K972" s="25"/>
      <c r="L972" s="25"/>
      <c r="M972" s="25"/>
      <c r="N972" s="25"/>
      <c r="O972" s="25"/>
      <c r="P972" s="25"/>
      <c r="Q972" s="26"/>
      <c r="R972" s="26"/>
      <c r="S972" s="26"/>
      <c r="T972" s="26"/>
      <c r="U972" s="26"/>
      <c r="V972" s="26"/>
      <c r="W972" s="26"/>
      <c r="X972" s="26"/>
      <c r="Y972" s="26"/>
      <c r="Z972" s="26"/>
    </row>
    <row r="973" ht="12.75" customHeight="1">
      <c r="A973" s="31"/>
      <c r="B973" s="53"/>
      <c r="C973" s="26"/>
      <c r="D973" s="54"/>
      <c r="E973" s="25"/>
      <c r="F973" s="25"/>
      <c r="G973" s="25"/>
      <c r="H973" s="25"/>
      <c r="I973" s="25"/>
      <c r="J973" s="25"/>
      <c r="K973" s="25"/>
      <c r="L973" s="25"/>
      <c r="M973" s="25"/>
      <c r="N973" s="25"/>
      <c r="O973" s="25"/>
      <c r="P973" s="25"/>
      <c r="Q973" s="26"/>
      <c r="R973" s="26"/>
      <c r="S973" s="26"/>
      <c r="T973" s="26"/>
      <c r="U973" s="26"/>
      <c r="V973" s="26"/>
      <c r="W973" s="26"/>
      <c r="X973" s="26"/>
      <c r="Y973" s="26"/>
      <c r="Z973" s="26"/>
    </row>
    <row r="974" ht="12.75" customHeight="1">
      <c r="A974" s="31"/>
      <c r="B974" s="53"/>
      <c r="C974" s="26"/>
      <c r="D974" s="54"/>
      <c r="E974" s="25"/>
      <c r="F974" s="25"/>
      <c r="G974" s="25"/>
      <c r="H974" s="25"/>
      <c r="I974" s="25"/>
      <c r="J974" s="25"/>
      <c r="K974" s="25"/>
      <c r="L974" s="25"/>
      <c r="M974" s="25"/>
      <c r="N974" s="25"/>
      <c r="O974" s="25"/>
      <c r="P974" s="25"/>
      <c r="Q974" s="26"/>
      <c r="R974" s="26"/>
      <c r="S974" s="26"/>
      <c r="T974" s="26"/>
      <c r="U974" s="26"/>
      <c r="V974" s="26"/>
      <c r="W974" s="26"/>
      <c r="X974" s="26"/>
      <c r="Y974" s="26"/>
      <c r="Z974" s="26"/>
    </row>
    <row r="975" ht="12.75" customHeight="1">
      <c r="A975" s="31"/>
      <c r="B975" s="53"/>
      <c r="C975" s="26"/>
      <c r="D975" s="54"/>
      <c r="E975" s="25"/>
      <c r="F975" s="25"/>
      <c r="G975" s="25"/>
      <c r="H975" s="25"/>
      <c r="I975" s="25"/>
      <c r="J975" s="25"/>
      <c r="K975" s="25"/>
      <c r="L975" s="25"/>
      <c r="M975" s="25"/>
      <c r="N975" s="25"/>
      <c r="O975" s="25"/>
      <c r="P975" s="25"/>
      <c r="Q975" s="26"/>
      <c r="R975" s="26"/>
      <c r="S975" s="26"/>
      <c r="T975" s="26"/>
      <c r="U975" s="26"/>
      <c r="V975" s="26"/>
      <c r="W975" s="26"/>
      <c r="X975" s="26"/>
      <c r="Y975" s="26"/>
      <c r="Z975" s="26"/>
    </row>
    <row r="976" ht="12.75" customHeight="1">
      <c r="A976" s="31"/>
      <c r="B976" s="53"/>
      <c r="C976" s="26"/>
      <c r="D976" s="54"/>
      <c r="E976" s="25"/>
      <c r="F976" s="25"/>
      <c r="G976" s="25"/>
      <c r="H976" s="25"/>
      <c r="I976" s="25"/>
      <c r="J976" s="25"/>
      <c r="K976" s="25"/>
      <c r="L976" s="25"/>
      <c r="M976" s="25"/>
      <c r="N976" s="25"/>
      <c r="O976" s="25"/>
      <c r="P976" s="25"/>
      <c r="Q976" s="26"/>
      <c r="R976" s="26"/>
      <c r="S976" s="26"/>
      <c r="T976" s="26"/>
      <c r="U976" s="26"/>
      <c r="V976" s="26"/>
      <c r="W976" s="26"/>
      <c r="X976" s="26"/>
      <c r="Y976" s="26"/>
      <c r="Z976" s="26"/>
    </row>
    <row r="977" ht="12.75" customHeight="1">
      <c r="A977" s="31"/>
      <c r="B977" s="53"/>
      <c r="C977" s="26"/>
      <c r="D977" s="54"/>
      <c r="E977" s="25"/>
      <c r="F977" s="25"/>
      <c r="G977" s="25"/>
      <c r="H977" s="25"/>
      <c r="I977" s="25"/>
      <c r="J977" s="25"/>
      <c r="K977" s="25"/>
      <c r="L977" s="25"/>
      <c r="M977" s="25"/>
      <c r="N977" s="25"/>
      <c r="O977" s="25"/>
      <c r="P977" s="25"/>
      <c r="Q977" s="26"/>
      <c r="R977" s="26"/>
      <c r="S977" s="26"/>
      <c r="T977" s="26"/>
      <c r="U977" s="26"/>
      <c r="V977" s="26"/>
      <c r="W977" s="26"/>
      <c r="X977" s="26"/>
      <c r="Y977" s="26"/>
      <c r="Z977" s="26"/>
    </row>
    <row r="978" ht="12.75" customHeight="1">
      <c r="A978" s="31"/>
      <c r="B978" s="53"/>
      <c r="C978" s="26"/>
      <c r="D978" s="54"/>
      <c r="E978" s="25"/>
      <c r="F978" s="25"/>
      <c r="G978" s="25"/>
      <c r="H978" s="25"/>
      <c r="I978" s="25"/>
      <c r="J978" s="25"/>
      <c r="K978" s="25"/>
      <c r="L978" s="25"/>
      <c r="M978" s="25"/>
      <c r="N978" s="25"/>
      <c r="O978" s="25"/>
      <c r="P978" s="25"/>
      <c r="Q978" s="26"/>
      <c r="R978" s="26"/>
      <c r="S978" s="26"/>
      <c r="T978" s="26"/>
      <c r="U978" s="26"/>
      <c r="V978" s="26"/>
      <c r="W978" s="26"/>
      <c r="X978" s="26"/>
      <c r="Y978" s="26"/>
      <c r="Z978" s="26"/>
    </row>
    <row r="979" ht="12.75" customHeight="1">
      <c r="A979" s="31"/>
      <c r="B979" s="53"/>
      <c r="C979" s="26"/>
      <c r="D979" s="54"/>
      <c r="E979" s="25"/>
      <c r="F979" s="25"/>
      <c r="G979" s="25"/>
      <c r="H979" s="25"/>
      <c r="I979" s="25"/>
      <c r="J979" s="25"/>
      <c r="K979" s="25"/>
      <c r="L979" s="25"/>
      <c r="M979" s="25"/>
      <c r="N979" s="25"/>
      <c r="O979" s="25"/>
      <c r="P979" s="25"/>
      <c r="Q979" s="26"/>
      <c r="R979" s="26"/>
      <c r="S979" s="26"/>
      <c r="T979" s="26"/>
      <c r="U979" s="26"/>
      <c r="V979" s="26"/>
      <c r="W979" s="26"/>
      <c r="X979" s="26"/>
      <c r="Y979" s="26"/>
      <c r="Z979" s="26"/>
    </row>
    <row r="980" ht="12.75" customHeight="1">
      <c r="A980" s="31"/>
      <c r="B980" s="53"/>
      <c r="C980" s="26"/>
      <c r="D980" s="54"/>
      <c r="E980" s="25"/>
      <c r="F980" s="25"/>
      <c r="G980" s="25"/>
      <c r="H980" s="25"/>
      <c r="I980" s="25"/>
      <c r="J980" s="25"/>
      <c r="K980" s="25"/>
      <c r="L980" s="25"/>
      <c r="M980" s="25"/>
      <c r="N980" s="25"/>
      <c r="O980" s="25"/>
      <c r="P980" s="25"/>
      <c r="Q980" s="26"/>
      <c r="R980" s="26"/>
      <c r="S980" s="26"/>
      <c r="T980" s="26"/>
      <c r="U980" s="26"/>
      <c r="V980" s="26"/>
      <c r="W980" s="26"/>
      <c r="X980" s="26"/>
      <c r="Y980" s="26"/>
      <c r="Z980" s="26"/>
    </row>
    <row r="981" ht="12.75" customHeight="1">
      <c r="A981" s="31"/>
      <c r="B981" s="53"/>
      <c r="C981" s="26"/>
      <c r="D981" s="54"/>
      <c r="E981" s="25"/>
      <c r="F981" s="25"/>
      <c r="G981" s="25"/>
      <c r="H981" s="25"/>
      <c r="I981" s="25"/>
      <c r="J981" s="25"/>
      <c r="K981" s="25"/>
      <c r="L981" s="25"/>
      <c r="M981" s="25"/>
      <c r="N981" s="25"/>
      <c r="O981" s="25"/>
      <c r="P981" s="25"/>
      <c r="Q981" s="26"/>
      <c r="R981" s="26"/>
      <c r="S981" s="26"/>
      <c r="T981" s="26"/>
      <c r="U981" s="26"/>
      <c r="V981" s="26"/>
      <c r="W981" s="26"/>
      <c r="X981" s="26"/>
      <c r="Y981" s="26"/>
      <c r="Z981" s="26"/>
    </row>
    <row r="982" ht="12.75" customHeight="1">
      <c r="A982" s="31"/>
      <c r="B982" s="53"/>
      <c r="C982" s="26"/>
      <c r="D982" s="54"/>
      <c r="E982" s="25"/>
      <c r="F982" s="25"/>
      <c r="G982" s="25"/>
      <c r="H982" s="25"/>
      <c r="I982" s="25"/>
      <c r="J982" s="25"/>
      <c r="K982" s="25"/>
      <c r="L982" s="25"/>
      <c r="M982" s="25"/>
      <c r="N982" s="25"/>
      <c r="O982" s="25"/>
      <c r="P982" s="25"/>
      <c r="Q982" s="26"/>
      <c r="R982" s="26"/>
      <c r="S982" s="26"/>
      <c r="T982" s="26"/>
      <c r="U982" s="26"/>
      <c r="V982" s="26"/>
      <c r="W982" s="26"/>
      <c r="X982" s="26"/>
      <c r="Y982" s="26"/>
      <c r="Z982" s="26"/>
    </row>
    <row r="983" ht="12.75" customHeight="1">
      <c r="A983" s="31"/>
      <c r="B983" s="53"/>
      <c r="C983" s="26"/>
      <c r="D983" s="54"/>
      <c r="E983" s="25"/>
      <c r="F983" s="25"/>
      <c r="G983" s="25"/>
      <c r="H983" s="25"/>
      <c r="I983" s="25"/>
      <c r="J983" s="25"/>
      <c r="K983" s="25"/>
      <c r="L983" s="25"/>
      <c r="M983" s="25"/>
      <c r="N983" s="25"/>
      <c r="O983" s="25"/>
      <c r="P983" s="25"/>
      <c r="Q983" s="26"/>
      <c r="R983" s="26"/>
      <c r="S983" s="26"/>
      <c r="T983" s="26"/>
      <c r="U983" s="26"/>
      <c r="V983" s="26"/>
      <c r="W983" s="26"/>
      <c r="X983" s="26"/>
      <c r="Y983" s="26"/>
      <c r="Z983" s="26"/>
    </row>
    <row r="984" ht="12.75" customHeight="1">
      <c r="A984" s="31"/>
      <c r="B984" s="53"/>
      <c r="C984" s="26"/>
      <c r="D984" s="54"/>
      <c r="E984" s="25"/>
      <c r="F984" s="25"/>
      <c r="G984" s="25"/>
      <c r="H984" s="25"/>
      <c r="I984" s="25"/>
      <c r="J984" s="25"/>
      <c r="K984" s="25"/>
      <c r="L984" s="25"/>
      <c r="M984" s="25"/>
      <c r="N984" s="25"/>
      <c r="O984" s="25"/>
      <c r="P984" s="25"/>
      <c r="Q984" s="26"/>
      <c r="R984" s="26"/>
      <c r="S984" s="26"/>
      <c r="T984" s="26"/>
      <c r="U984" s="26"/>
      <c r="V984" s="26"/>
      <c r="W984" s="26"/>
      <c r="X984" s="26"/>
      <c r="Y984" s="26"/>
      <c r="Z984" s="26"/>
    </row>
    <row r="985" ht="12.75" customHeight="1">
      <c r="A985" s="31"/>
      <c r="B985" s="53"/>
      <c r="C985" s="26"/>
      <c r="D985" s="54"/>
      <c r="E985" s="25"/>
      <c r="F985" s="25"/>
      <c r="G985" s="25"/>
      <c r="H985" s="25"/>
      <c r="I985" s="25"/>
      <c r="J985" s="25"/>
      <c r="K985" s="25"/>
      <c r="L985" s="25"/>
      <c r="M985" s="25"/>
      <c r="N985" s="25"/>
      <c r="O985" s="25"/>
      <c r="P985" s="25"/>
      <c r="Q985" s="26"/>
      <c r="R985" s="26"/>
      <c r="S985" s="26"/>
      <c r="T985" s="26"/>
      <c r="U985" s="26"/>
      <c r="V985" s="26"/>
      <c r="W985" s="26"/>
      <c r="X985" s="26"/>
      <c r="Y985" s="26"/>
      <c r="Z985" s="26"/>
    </row>
    <row r="986" ht="12.75" customHeight="1">
      <c r="A986" s="31"/>
      <c r="B986" s="53"/>
      <c r="C986" s="26"/>
      <c r="D986" s="54"/>
      <c r="E986" s="25"/>
      <c r="F986" s="25"/>
      <c r="G986" s="25"/>
      <c r="H986" s="25"/>
      <c r="I986" s="25"/>
      <c r="J986" s="25"/>
      <c r="K986" s="25"/>
      <c r="L986" s="25"/>
      <c r="M986" s="25"/>
      <c r="N986" s="25"/>
      <c r="O986" s="25"/>
      <c r="P986" s="25"/>
      <c r="Q986" s="26"/>
      <c r="R986" s="26"/>
      <c r="S986" s="26"/>
      <c r="T986" s="26"/>
      <c r="U986" s="26"/>
      <c r="V986" s="26"/>
      <c r="W986" s="26"/>
      <c r="X986" s="26"/>
      <c r="Y986" s="26"/>
      <c r="Z986" s="26"/>
    </row>
    <row r="987" ht="12.75" customHeight="1">
      <c r="A987" s="31"/>
      <c r="B987" s="53"/>
      <c r="C987" s="26"/>
      <c r="D987" s="54"/>
      <c r="E987" s="25"/>
      <c r="F987" s="25"/>
      <c r="G987" s="25"/>
      <c r="H987" s="25"/>
      <c r="I987" s="25"/>
      <c r="J987" s="25"/>
      <c r="K987" s="25"/>
      <c r="L987" s="25"/>
      <c r="M987" s="25"/>
      <c r="N987" s="25"/>
      <c r="O987" s="25"/>
      <c r="P987" s="25"/>
      <c r="Q987" s="26"/>
      <c r="R987" s="26"/>
      <c r="S987" s="26"/>
      <c r="T987" s="26"/>
      <c r="U987" s="26"/>
      <c r="V987" s="26"/>
      <c r="W987" s="26"/>
      <c r="X987" s="26"/>
      <c r="Y987" s="26"/>
      <c r="Z987" s="26"/>
    </row>
    <row r="988" ht="12.75" customHeight="1">
      <c r="A988" s="31"/>
      <c r="B988" s="53"/>
      <c r="C988" s="26"/>
      <c r="D988" s="54"/>
      <c r="E988" s="25"/>
      <c r="F988" s="25"/>
      <c r="G988" s="25"/>
      <c r="H988" s="25"/>
      <c r="I988" s="25"/>
      <c r="J988" s="25"/>
      <c r="K988" s="25"/>
      <c r="L988" s="25"/>
      <c r="M988" s="25"/>
      <c r="N988" s="25"/>
      <c r="O988" s="25"/>
      <c r="P988" s="25"/>
      <c r="Q988" s="26"/>
      <c r="R988" s="26"/>
      <c r="S988" s="26"/>
      <c r="T988" s="26"/>
      <c r="U988" s="26"/>
      <c r="V988" s="26"/>
      <c r="W988" s="26"/>
      <c r="X988" s="26"/>
      <c r="Y988" s="26"/>
      <c r="Z988" s="26"/>
    </row>
    <row r="989" ht="12.75" customHeight="1">
      <c r="A989" s="31"/>
      <c r="B989" s="53"/>
      <c r="C989" s="26"/>
      <c r="D989" s="54"/>
      <c r="E989" s="25"/>
      <c r="F989" s="25"/>
      <c r="G989" s="25"/>
      <c r="H989" s="25"/>
      <c r="I989" s="25"/>
      <c r="J989" s="25"/>
      <c r="K989" s="25"/>
      <c r="L989" s="25"/>
      <c r="M989" s="25"/>
      <c r="N989" s="25"/>
      <c r="O989" s="25"/>
      <c r="P989" s="25"/>
      <c r="Q989" s="26"/>
      <c r="R989" s="26"/>
      <c r="S989" s="26"/>
      <c r="T989" s="26"/>
      <c r="U989" s="26"/>
      <c r="V989" s="26"/>
      <c r="W989" s="26"/>
      <c r="X989" s="26"/>
      <c r="Y989" s="26"/>
      <c r="Z989" s="26"/>
    </row>
    <row r="990" ht="12.75" customHeight="1">
      <c r="A990" s="31"/>
      <c r="B990" s="53"/>
      <c r="C990" s="26"/>
      <c r="D990" s="54"/>
      <c r="E990" s="25"/>
      <c r="F990" s="25"/>
      <c r="G990" s="25"/>
      <c r="H990" s="25"/>
      <c r="I990" s="25"/>
      <c r="J990" s="25"/>
      <c r="K990" s="25"/>
      <c r="L990" s="25"/>
      <c r="M990" s="25"/>
      <c r="N990" s="25"/>
      <c r="O990" s="25"/>
      <c r="P990" s="25"/>
      <c r="Q990" s="26"/>
      <c r="R990" s="26"/>
      <c r="S990" s="26"/>
      <c r="T990" s="26"/>
      <c r="U990" s="26"/>
      <c r="V990" s="26"/>
      <c r="W990" s="26"/>
      <c r="X990" s="26"/>
      <c r="Y990" s="26"/>
      <c r="Z990" s="26"/>
    </row>
    <row r="991" ht="12.75" customHeight="1">
      <c r="A991" s="31"/>
      <c r="B991" s="53"/>
      <c r="C991" s="26"/>
      <c r="D991" s="54"/>
      <c r="E991" s="25"/>
      <c r="F991" s="25"/>
      <c r="G991" s="25"/>
      <c r="H991" s="25"/>
      <c r="I991" s="25"/>
      <c r="J991" s="25"/>
      <c r="K991" s="25"/>
      <c r="L991" s="25"/>
      <c r="M991" s="25"/>
      <c r="N991" s="25"/>
      <c r="O991" s="25"/>
      <c r="P991" s="25"/>
      <c r="Q991" s="26"/>
      <c r="R991" s="26"/>
      <c r="S991" s="26"/>
      <c r="T991" s="26"/>
      <c r="U991" s="26"/>
      <c r="V991" s="26"/>
      <c r="W991" s="26"/>
      <c r="X991" s="26"/>
      <c r="Y991" s="26"/>
      <c r="Z991" s="26"/>
    </row>
    <row r="992" ht="12.75" customHeight="1">
      <c r="A992" s="31"/>
      <c r="B992" s="53"/>
      <c r="C992" s="26"/>
      <c r="D992" s="54"/>
      <c r="E992" s="25"/>
      <c r="F992" s="25"/>
      <c r="G992" s="25"/>
      <c r="H992" s="25"/>
      <c r="I992" s="25"/>
      <c r="J992" s="25"/>
      <c r="K992" s="25"/>
      <c r="L992" s="25"/>
      <c r="M992" s="25"/>
      <c r="N992" s="25"/>
      <c r="O992" s="25"/>
      <c r="P992" s="25"/>
      <c r="Q992" s="26"/>
      <c r="R992" s="26"/>
      <c r="S992" s="26"/>
      <c r="T992" s="26"/>
      <c r="U992" s="26"/>
      <c r="V992" s="26"/>
      <c r="W992" s="26"/>
      <c r="X992" s="26"/>
      <c r="Y992" s="26"/>
      <c r="Z992" s="26"/>
    </row>
    <row r="993" ht="12.75" customHeight="1">
      <c r="A993" s="31"/>
      <c r="B993" s="53"/>
      <c r="C993" s="26"/>
      <c r="D993" s="54"/>
      <c r="E993" s="25"/>
      <c r="F993" s="25"/>
      <c r="G993" s="25"/>
      <c r="H993" s="25"/>
      <c r="I993" s="25"/>
      <c r="J993" s="25"/>
      <c r="K993" s="25"/>
      <c r="L993" s="25"/>
      <c r="M993" s="25"/>
      <c r="N993" s="25"/>
      <c r="O993" s="25"/>
      <c r="P993" s="25"/>
      <c r="Q993" s="26"/>
      <c r="R993" s="26"/>
      <c r="S993" s="26"/>
      <c r="T993" s="26"/>
      <c r="U993" s="26"/>
      <c r="V993" s="26"/>
      <c r="W993" s="26"/>
      <c r="X993" s="26"/>
      <c r="Y993" s="26"/>
      <c r="Z993" s="26"/>
    </row>
    <row r="994" ht="12.75" customHeight="1">
      <c r="A994" s="31"/>
      <c r="B994" s="53"/>
      <c r="C994" s="26"/>
      <c r="D994" s="54"/>
      <c r="E994" s="25"/>
      <c r="F994" s="25"/>
      <c r="G994" s="25"/>
      <c r="H994" s="25"/>
      <c r="I994" s="25"/>
      <c r="J994" s="25"/>
      <c r="K994" s="25"/>
      <c r="L994" s="25"/>
      <c r="M994" s="25"/>
      <c r="N994" s="25"/>
      <c r="O994" s="25"/>
      <c r="P994" s="25"/>
      <c r="Q994" s="26"/>
      <c r="R994" s="26"/>
      <c r="S994" s="26"/>
      <c r="T994" s="26"/>
      <c r="U994" s="26"/>
      <c r="V994" s="26"/>
      <c r="W994" s="26"/>
      <c r="X994" s="26"/>
      <c r="Y994" s="26"/>
      <c r="Z994" s="26"/>
    </row>
    <row r="995" ht="12.75" customHeight="1">
      <c r="A995" s="31"/>
      <c r="B995" s="53"/>
      <c r="C995" s="26"/>
      <c r="D995" s="54"/>
      <c r="E995" s="25"/>
      <c r="F995" s="25"/>
      <c r="G995" s="25"/>
      <c r="H995" s="25"/>
      <c r="I995" s="25"/>
      <c r="J995" s="25"/>
      <c r="K995" s="25"/>
      <c r="L995" s="25"/>
      <c r="M995" s="25"/>
      <c r="N995" s="25"/>
      <c r="O995" s="25"/>
      <c r="P995" s="25"/>
      <c r="Q995" s="26"/>
      <c r="R995" s="26"/>
      <c r="S995" s="26"/>
      <c r="T995" s="26"/>
      <c r="U995" s="26"/>
      <c r="V995" s="26"/>
      <c r="W995" s="26"/>
      <c r="X995" s="26"/>
      <c r="Y995" s="26"/>
      <c r="Z995" s="26"/>
    </row>
    <row r="996" ht="12.75" customHeight="1">
      <c r="A996" s="31"/>
      <c r="B996" s="53"/>
      <c r="C996" s="26"/>
      <c r="D996" s="54"/>
      <c r="E996" s="25"/>
      <c r="F996" s="25"/>
      <c r="G996" s="25"/>
      <c r="H996" s="25"/>
      <c r="I996" s="25"/>
      <c r="J996" s="25"/>
      <c r="K996" s="25"/>
      <c r="L996" s="25"/>
      <c r="M996" s="25"/>
      <c r="N996" s="25"/>
      <c r="O996" s="25"/>
      <c r="P996" s="25"/>
      <c r="Q996" s="26"/>
      <c r="R996" s="26"/>
      <c r="S996" s="26"/>
      <c r="T996" s="26"/>
      <c r="U996" s="26"/>
      <c r="V996" s="26"/>
      <c r="W996" s="26"/>
      <c r="X996" s="26"/>
      <c r="Y996" s="26"/>
      <c r="Z996" s="26"/>
    </row>
    <row r="997" ht="12.75" customHeight="1">
      <c r="A997" s="31"/>
      <c r="B997" s="53"/>
      <c r="C997" s="26"/>
      <c r="D997" s="54"/>
      <c r="E997" s="25"/>
      <c r="F997" s="25"/>
      <c r="G997" s="25"/>
      <c r="H997" s="25"/>
      <c r="I997" s="25"/>
      <c r="J997" s="25"/>
      <c r="K997" s="25"/>
      <c r="L997" s="25"/>
      <c r="M997" s="25"/>
      <c r="N997" s="25"/>
      <c r="O997" s="25"/>
      <c r="P997" s="25"/>
      <c r="Q997" s="26"/>
      <c r="R997" s="26"/>
      <c r="S997" s="26"/>
      <c r="T997" s="26"/>
      <c r="U997" s="26"/>
      <c r="V997" s="26"/>
      <c r="W997" s="26"/>
      <c r="X997" s="26"/>
      <c r="Y997" s="26"/>
      <c r="Z997" s="26"/>
    </row>
    <row r="998" ht="12.75" customHeight="1">
      <c r="A998" s="31"/>
      <c r="B998" s="53"/>
      <c r="C998" s="26"/>
      <c r="D998" s="54"/>
      <c r="E998" s="25"/>
      <c r="F998" s="25"/>
      <c r="G998" s="25"/>
      <c r="H998" s="25"/>
      <c r="I998" s="25"/>
      <c r="J998" s="25"/>
      <c r="K998" s="25"/>
      <c r="L998" s="25"/>
      <c r="M998" s="25"/>
      <c r="N998" s="25"/>
      <c r="O998" s="25"/>
      <c r="P998" s="25"/>
      <c r="Q998" s="26"/>
      <c r="R998" s="26"/>
      <c r="S998" s="26"/>
      <c r="T998" s="26"/>
      <c r="U998" s="26"/>
      <c r="V998" s="26"/>
      <c r="W998" s="26"/>
      <c r="X998" s="26"/>
      <c r="Y998" s="26"/>
      <c r="Z998" s="26"/>
    </row>
    <row r="999" ht="12.75" customHeight="1">
      <c r="A999" s="31"/>
      <c r="B999" s="53"/>
      <c r="C999" s="26"/>
      <c r="D999" s="54"/>
      <c r="E999" s="25"/>
      <c r="F999" s="25"/>
      <c r="G999" s="25"/>
      <c r="H999" s="25"/>
      <c r="I999" s="25"/>
      <c r="J999" s="25"/>
      <c r="K999" s="25"/>
      <c r="L999" s="25"/>
      <c r="M999" s="25"/>
      <c r="N999" s="25"/>
      <c r="O999" s="25"/>
      <c r="P999" s="25"/>
      <c r="Q999" s="26"/>
      <c r="R999" s="26"/>
      <c r="S999" s="26"/>
      <c r="T999" s="26"/>
      <c r="U999" s="26"/>
      <c r="V999" s="26"/>
      <c r="W999" s="26"/>
      <c r="X999" s="26"/>
      <c r="Y999" s="26"/>
      <c r="Z999" s="26"/>
    </row>
    <row r="1000" ht="12.75" customHeight="1">
      <c r="A1000" s="31"/>
      <c r="B1000" s="53"/>
      <c r="C1000" s="26"/>
      <c r="D1000" s="54"/>
      <c r="E1000" s="25"/>
      <c r="F1000" s="25"/>
      <c r="G1000" s="25"/>
      <c r="H1000" s="25"/>
      <c r="I1000" s="25"/>
      <c r="J1000" s="25"/>
      <c r="K1000" s="25"/>
      <c r="L1000" s="25"/>
      <c r="M1000" s="25"/>
      <c r="N1000" s="25"/>
      <c r="O1000" s="25"/>
      <c r="P1000" s="25"/>
      <c r="Q1000" s="26"/>
      <c r="R1000" s="26"/>
      <c r="S1000" s="26"/>
      <c r="T1000" s="26"/>
      <c r="U1000" s="26"/>
      <c r="V1000" s="26"/>
      <c r="W1000" s="26"/>
      <c r="X1000" s="26"/>
      <c r="Y1000" s="26"/>
      <c r="Z1000" s="26"/>
    </row>
  </sheetData>
  <mergeCells count="35">
    <mergeCell ref="A2:B2"/>
    <mergeCell ref="A3:B3"/>
    <mergeCell ref="C3:D3"/>
    <mergeCell ref="B4:D4"/>
    <mergeCell ref="B5:C5"/>
    <mergeCell ref="A10:D10"/>
    <mergeCell ref="A11:B11"/>
    <mergeCell ref="K30:L30"/>
    <mergeCell ref="N30:O30"/>
    <mergeCell ref="Q30:R30"/>
    <mergeCell ref="T30:U30"/>
    <mergeCell ref="W30:X30"/>
    <mergeCell ref="E30:F30"/>
    <mergeCell ref="E31:F31"/>
    <mergeCell ref="K31:L31"/>
    <mergeCell ref="N31:O31"/>
    <mergeCell ref="Q31:R31"/>
    <mergeCell ref="T31:U31"/>
    <mergeCell ref="W31:X31"/>
    <mergeCell ref="C11:D11"/>
    <mergeCell ref="B12:D12"/>
    <mergeCell ref="B13:C13"/>
    <mergeCell ref="A18:D18"/>
    <mergeCell ref="B30:C30"/>
    <mergeCell ref="H30:I30"/>
    <mergeCell ref="H31:I31"/>
    <mergeCell ref="T32:U32"/>
    <mergeCell ref="W32:X32"/>
    <mergeCell ref="B31:C31"/>
    <mergeCell ref="B32:C32"/>
    <mergeCell ref="E32:F32"/>
    <mergeCell ref="H32:I32"/>
    <mergeCell ref="K32:L32"/>
    <mergeCell ref="N32:O32"/>
    <mergeCell ref="Q32:R32"/>
  </mergeCells>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60.29"/>
    <col customWidth="1" min="3" max="3" width="10.0"/>
    <col customWidth="1" min="4" max="4" width="6.57"/>
    <col customWidth="1" min="5" max="5" width="14.0"/>
    <col customWidth="1" min="6" max="6" width="15.57"/>
    <col customWidth="1" min="7" max="7" width="55.43"/>
    <col customWidth="1" min="8" max="8" width="13.43"/>
    <col customWidth="1" min="9" max="9" width="18.86"/>
    <col customWidth="1" min="10" max="10" width="31.0"/>
    <col customWidth="1" min="11" max="11" width="35.71"/>
    <col customWidth="1" min="12" max="12" width="33.71"/>
    <col customWidth="1" min="13" max="13" width="41.57"/>
    <col customWidth="1" min="14" max="14" width="46.29"/>
    <col customWidth="1" min="15" max="15" width="44.29"/>
    <col customWidth="1" min="16" max="16" width="36.57"/>
    <col customWidth="1" min="17" max="17" width="41.43"/>
    <col customWidth="1" min="18" max="18" width="39.29"/>
    <col customWidth="1" min="19" max="19" width="38.86"/>
    <col customWidth="1" min="20" max="20" width="43.57"/>
    <col customWidth="1" min="21" max="21" width="41.57"/>
    <col customWidth="1" min="22" max="22" width="32.71"/>
    <col customWidth="1" min="23" max="23" width="37.71"/>
    <col customWidth="1" min="24" max="24" width="36.14"/>
    <col customWidth="1" min="25" max="25" width="8.71"/>
    <col customWidth="1" min="26" max="26" width="21.57"/>
    <col customWidth="1" min="27" max="27" width="57.43"/>
    <col customWidth="1" min="28" max="28" width="19.43"/>
  </cols>
  <sheetData>
    <row r="1">
      <c r="A1" s="55" t="s">
        <v>19</v>
      </c>
      <c r="B1" s="55" t="s">
        <v>159</v>
      </c>
      <c r="C1" s="55" t="s">
        <v>160</v>
      </c>
      <c r="D1" s="55" t="s">
        <v>161</v>
      </c>
      <c r="E1" s="55" t="s">
        <v>162</v>
      </c>
      <c r="F1" s="55" t="s">
        <v>163</v>
      </c>
      <c r="G1" s="55" t="s">
        <v>164</v>
      </c>
      <c r="H1" s="55" t="s">
        <v>165</v>
      </c>
      <c r="I1" s="55" t="s">
        <v>166</v>
      </c>
      <c r="J1" s="55" t="s">
        <v>167</v>
      </c>
      <c r="K1" s="55" t="s">
        <v>168</v>
      </c>
      <c r="L1" s="55" t="s">
        <v>169</v>
      </c>
      <c r="M1" s="55" t="s">
        <v>170</v>
      </c>
      <c r="N1" s="55" t="s">
        <v>171</v>
      </c>
      <c r="O1" s="55" t="s">
        <v>172</v>
      </c>
      <c r="P1" s="55" t="s">
        <v>173</v>
      </c>
      <c r="Q1" s="55" t="s">
        <v>174</v>
      </c>
      <c r="R1" s="55" t="s">
        <v>175</v>
      </c>
      <c r="S1" s="55" t="s">
        <v>176</v>
      </c>
      <c r="T1" s="55" t="s">
        <v>177</v>
      </c>
      <c r="U1" s="55" t="s">
        <v>178</v>
      </c>
      <c r="V1" s="55" t="s">
        <v>179</v>
      </c>
      <c r="W1" s="55" t="s">
        <v>180</v>
      </c>
      <c r="X1" s="55" t="s">
        <v>181</v>
      </c>
      <c r="Y1" s="55" t="s">
        <v>182</v>
      </c>
      <c r="Z1" s="55" t="s">
        <v>183</v>
      </c>
      <c r="AA1" s="55" t="s">
        <v>184</v>
      </c>
      <c r="AB1" s="55" t="s">
        <v>52</v>
      </c>
    </row>
    <row r="2">
      <c r="A2" s="55" t="s">
        <v>185</v>
      </c>
      <c r="B2" s="55" t="s">
        <v>185</v>
      </c>
      <c r="F2" s="55" t="s">
        <v>186</v>
      </c>
      <c r="G2" s="55" t="s">
        <v>187</v>
      </c>
      <c r="I2" s="56"/>
      <c r="J2" s="57" t="s">
        <v>188</v>
      </c>
      <c r="K2" s="57" t="s">
        <v>189</v>
      </c>
      <c r="L2" s="57" t="s">
        <v>190</v>
      </c>
      <c r="M2" s="58" t="s">
        <v>191</v>
      </c>
      <c r="N2" s="58" t="s">
        <v>192</v>
      </c>
      <c r="O2" s="58" t="s">
        <v>193</v>
      </c>
      <c r="P2" s="57" t="s">
        <v>194</v>
      </c>
      <c r="Q2" s="57" t="s">
        <v>195</v>
      </c>
      <c r="R2" s="58" t="s">
        <v>196</v>
      </c>
      <c r="S2" s="58" t="s">
        <v>197</v>
      </c>
      <c r="T2" s="58" t="s">
        <v>198</v>
      </c>
      <c r="U2" s="58" t="s">
        <v>199</v>
      </c>
      <c r="V2" s="55" t="s">
        <v>200</v>
      </c>
      <c r="W2" s="55" t="s">
        <v>201</v>
      </c>
      <c r="X2" s="59"/>
      <c r="Y2" s="59" t="s">
        <v>202</v>
      </c>
      <c r="Z2" s="4" t="s">
        <v>203</v>
      </c>
      <c r="AA2" s="55" t="s">
        <v>204</v>
      </c>
      <c r="AB2" s="55">
        <v>60.0</v>
      </c>
    </row>
    <row r="3">
      <c r="A3" s="55" t="s">
        <v>205</v>
      </c>
      <c r="B3" s="55" t="s">
        <v>205</v>
      </c>
      <c r="F3" s="55" t="s">
        <v>186</v>
      </c>
      <c r="G3" s="55" t="s">
        <v>187</v>
      </c>
      <c r="I3" s="56"/>
      <c r="J3" s="57" t="s">
        <v>206</v>
      </c>
      <c r="K3" s="57" t="s">
        <v>207</v>
      </c>
      <c r="L3" s="57" t="s">
        <v>190</v>
      </c>
      <c r="M3" s="58" t="s">
        <v>208</v>
      </c>
      <c r="N3" s="58" t="s">
        <v>209</v>
      </c>
      <c r="O3" s="58" t="s">
        <v>193</v>
      </c>
      <c r="P3" s="57" t="s">
        <v>210</v>
      </c>
      <c r="Q3" s="57" t="s">
        <v>211</v>
      </c>
      <c r="R3" s="58" t="s">
        <v>196</v>
      </c>
      <c r="S3" s="58" t="s">
        <v>212</v>
      </c>
      <c r="T3" s="58" t="s">
        <v>213</v>
      </c>
      <c r="U3" s="58" t="s">
        <v>199</v>
      </c>
      <c r="V3" s="55" t="s">
        <v>200</v>
      </c>
      <c r="W3" s="55" t="s">
        <v>201</v>
      </c>
      <c r="X3" s="59"/>
      <c r="Y3" s="59" t="s">
        <v>214</v>
      </c>
      <c r="Z3" s="4" t="s">
        <v>203</v>
      </c>
      <c r="AA3" s="55" t="s">
        <v>204</v>
      </c>
      <c r="AB3" s="55">
        <v>60.0</v>
      </c>
    </row>
    <row r="4">
      <c r="A4" s="55" t="s">
        <v>215</v>
      </c>
      <c r="B4" s="55" t="s">
        <v>215</v>
      </c>
      <c r="F4" s="55" t="s">
        <v>186</v>
      </c>
      <c r="G4" s="55" t="s">
        <v>187</v>
      </c>
      <c r="I4" s="56"/>
      <c r="J4" s="57" t="s">
        <v>216</v>
      </c>
      <c r="K4" s="57" t="s">
        <v>217</v>
      </c>
      <c r="L4" s="57" t="s">
        <v>218</v>
      </c>
      <c r="M4" s="58" t="s">
        <v>219</v>
      </c>
      <c r="N4" s="58" t="s">
        <v>220</v>
      </c>
      <c r="O4" s="58" t="s">
        <v>221</v>
      </c>
      <c r="P4" s="57" t="s">
        <v>222</v>
      </c>
      <c r="Q4" s="57" t="s">
        <v>223</v>
      </c>
      <c r="R4" s="58" t="s">
        <v>224</v>
      </c>
      <c r="S4" s="58" t="s">
        <v>225</v>
      </c>
      <c r="T4" s="58" t="s">
        <v>226</v>
      </c>
      <c r="U4" s="58" t="s">
        <v>227</v>
      </c>
      <c r="V4" s="55" t="s">
        <v>200</v>
      </c>
      <c r="W4" s="55" t="s">
        <v>201</v>
      </c>
      <c r="X4" s="59"/>
      <c r="Y4" s="59" t="s">
        <v>228</v>
      </c>
      <c r="Z4" s="4" t="s">
        <v>203</v>
      </c>
      <c r="AA4" s="55" t="s">
        <v>204</v>
      </c>
      <c r="AB4" s="55">
        <v>60.0</v>
      </c>
    </row>
    <row r="5">
      <c r="A5" s="55" t="s">
        <v>229</v>
      </c>
      <c r="B5" s="55" t="s">
        <v>229</v>
      </c>
      <c r="F5" s="55" t="s">
        <v>186</v>
      </c>
      <c r="G5" s="55" t="s">
        <v>187</v>
      </c>
      <c r="I5" s="56"/>
      <c r="J5" s="57" t="s">
        <v>230</v>
      </c>
      <c r="K5" s="57" t="s">
        <v>231</v>
      </c>
      <c r="L5" s="57" t="s">
        <v>232</v>
      </c>
      <c r="M5" s="58" t="s">
        <v>233</v>
      </c>
      <c r="N5" s="58" t="s">
        <v>234</v>
      </c>
      <c r="O5" s="58" t="s">
        <v>235</v>
      </c>
      <c r="P5" s="58" t="s">
        <v>236</v>
      </c>
      <c r="Q5" s="58" t="s">
        <v>237</v>
      </c>
      <c r="R5" s="58" t="s">
        <v>238</v>
      </c>
      <c r="S5" s="58" t="s">
        <v>239</v>
      </c>
      <c r="T5" s="58" t="s">
        <v>240</v>
      </c>
      <c r="U5" s="58" t="s">
        <v>241</v>
      </c>
      <c r="V5" s="55" t="s">
        <v>200</v>
      </c>
      <c r="W5" s="55" t="s">
        <v>201</v>
      </c>
      <c r="X5" s="59"/>
      <c r="Y5" s="59" t="s">
        <v>242</v>
      </c>
      <c r="Z5" s="4" t="s">
        <v>203</v>
      </c>
      <c r="AA5" s="55" t="s">
        <v>204</v>
      </c>
      <c r="AB5" s="55">
        <v>60.0</v>
      </c>
    </row>
    <row r="6">
      <c r="A6" s="55" t="s">
        <v>243</v>
      </c>
      <c r="B6" s="55" t="s">
        <v>243</v>
      </c>
      <c r="F6" s="55" t="s">
        <v>186</v>
      </c>
      <c r="G6" s="55" t="s">
        <v>187</v>
      </c>
      <c r="I6" s="56"/>
      <c r="J6" s="57" t="s">
        <v>244</v>
      </c>
      <c r="K6" s="57" t="s">
        <v>245</v>
      </c>
      <c r="L6" s="57" t="s">
        <v>246</v>
      </c>
      <c r="M6" s="58" t="s">
        <v>247</v>
      </c>
      <c r="N6" s="58" t="s">
        <v>248</v>
      </c>
      <c r="O6" s="58" t="s">
        <v>249</v>
      </c>
      <c r="P6" s="58" t="s">
        <v>250</v>
      </c>
      <c r="Q6" s="58" t="s">
        <v>251</v>
      </c>
      <c r="R6" s="58" t="s">
        <v>252</v>
      </c>
      <c r="S6" s="58" t="s">
        <v>253</v>
      </c>
      <c r="T6" s="58" t="s">
        <v>254</v>
      </c>
      <c r="U6" s="58" t="s">
        <v>255</v>
      </c>
      <c r="V6" s="55" t="s">
        <v>200</v>
      </c>
      <c r="W6" s="55" t="s">
        <v>201</v>
      </c>
      <c r="X6" s="59"/>
      <c r="Y6" s="59" t="s">
        <v>256</v>
      </c>
      <c r="Z6" s="4" t="s">
        <v>203</v>
      </c>
      <c r="AA6" s="55" t="s">
        <v>204</v>
      </c>
      <c r="AB6" s="55">
        <v>60.0</v>
      </c>
    </row>
    <row r="7">
      <c r="A7" s="55" t="s">
        <v>257</v>
      </c>
      <c r="B7" s="55" t="s">
        <v>257</v>
      </c>
      <c r="F7" s="55" t="s">
        <v>186</v>
      </c>
      <c r="G7" s="55" t="s">
        <v>187</v>
      </c>
      <c r="I7" s="56"/>
      <c r="J7" s="57" t="s">
        <v>258</v>
      </c>
      <c r="K7" s="57" t="s">
        <v>259</v>
      </c>
      <c r="L7" s="57" t="s">
        <v>260</v>
      </c>
      <c r="M7" s="58" t="s">
        <v>261</v>
      </c>
      <c r="N7" s="58" t="s">
        <v>262</v>
      </c>
      <c r="O7" s="58" t="s">
        <v>263</v>
      </c>
      <c r="P7" s="58" t="s">
        <v>264</v>
      </c>
      <c r="Q7" s="58" t="s">
        <v>265</v>
      </c>
      <c r="R7" s="58" t="s">
        <v>266</v>
      </c>
      <c r="S7" s="58" t="s">
        <v>267</v>
      </c>
      <c r="T7" s="58" t="s">
        <v>268</v>
      </c>
      <c r="U7" s="58" t="s">
        <v>269</v>
      </c>
      <c r="V7" s="55" t="s">
        <v>200</v>
      </c>
      <c r="W7" s="55" t="s">
        <v>201</v>
      </c>
      <c r="X7" s="59"/>
      <c r="Y7" s="59" t="s">
        <v>270</v>
      </c>
      <c r="Z7" s="4" t="s">
        <v>203</v>
      </c>
      <c r="AA7" s="55" t="s">
        <v>204</v>
      </c>
      <c r="AB7" s="55">
        <v>60.0</v>
      </c>
    </row>
    <row r="8">
      <c r="A8" s="55" t="s">
        <v>271</v>
      </c>
      <c r="B8" s="55" t="s">
        <v>271</v>
      </c>
      <c r="F8" s="55" t="s">
        <v>186</v>
      </c>
      <c r="G8" s="55" t="s">
        <v>187</v>
      </c>
      <c r="I8" s="56"/>
      <c r="J8" s="57" t="s">
        <v>272</v>
      </c>
      <c r="K8" s="57" t="s">
        <v>273</v>
      </c>
      <c r="L8" s="57" t="s">
        <v>274</v>
      </c>
      <c r="M8" s="58" t="s">
        <v>275</v>
      </c>
      <c r="N8" s="58" t="s">
        <v>276</v>
      </c>
      <c r="O8" s="58" t="s">
        <v>277</v>
      </c>
      <c r="P8" s="58" t="s">
        <v>278</v>
      </c>
      <c r="Q8" s="58" t="s">
        <v>279</v>
      </c>
      <c r="R8" s="58" t="s">
        <v>280</v>
      </c>
      <c r="S8" s="58" t="s">
        <v>281</v>
      </c>
      <c r="T8" s="58" t="s">
        <v>267</v>
      </c>
      <c r="U8" s="58" t="s">
        <v>282</v>
      </c>
      <c r="V8" s="55" t="s">
        <v>200</v>
      </c>
      <c r="W8" s="55" t="s">
        <v>201</v>
      </c>
      <c r="X8" s="59"/>
      <c r="Y8" s="59" t="s">
        <v>283</v>
      </c>
      <c r="Z8" s="4" t="s">
        <v>203</v>
      </c>
      <c r="AA8" s="55" t="s">
        <v>204</v>
      </c>
      <c r="AB8" s="55">
        <v>60.0</v>
      </c>
    </row>
    <row r="9">
      <c r="A9" s="55" t="s">
        <v>284</v>
      </c>
      <c r="B9" s="55" t="s">
        <v>284</v>
      </c>
      <c r="F9" s="55" t="s">
        <v>186</v>
      </c>
      <c r="G9" s="55" t="s">
        <v>187</v>
      </c>
      <c r="I9" s="56"/>
      <c r="J9" s="57" t="s">
        <v>285</v>
      </c>
      <c r="K9" s="57" t="s">
        <v>286</v>
      </c>
      <c r="L9" s="57" t="s">
        <v>287</v>
      </c>
      <c r="M9" s="58" t="s">
        <v>288</v>
      </c>
      <c r="N9" s="58" t="s">
        <v>289</v>
      </c>
      <c r="O9" s="58" t="s">
        <v>290</v>
      </c>
      <c r="P9" s="57" t="s">
        <v>291</v>
      </c>
      <c r="Q9" s="57" t="s">
        <v>292</v>
      </c>
      <c r="R9" s="58" t="s">
        <v>293</v>
      </c>
      <c r="S9" s="58" t="s">
        <v>294</v>
      </c>
      <c r="T9" s="58" t="s">
        <v>295</v>
      </c>
      <c r="U9" s="58" t="s">
        <v>296</v>
      </c>
      <c r="V9" s="55" t="s">
        <v>200</v>
      </c>
      <c r="W9" s="55" t="s">
        <v>201</v>
      </c>
      <c r="X9" s="59"/>
      <c r="Y9" s="59" t="s">
        <v>297</v>
      </c>
      <c r="Z9" s="4" t="s">
        <v>203</v>
      </c>
      <c r="AA9" s="55" t="s">
        <v>204</v>
      </c>
      <c r="AB9" s="55">
        <v>60.0</v>
      </c>
    </row>
    <row r="10">
      <c r="A10" s="55" t="s">
        <v>298</v>
      </c>
      <c r="B10" s="55" t="s">
        <v>298</v>
      </c>
      <c r="F10" s="55" t="s">
        <v>186</v>
      </c>
      <c r="G10" s="55" t="s">
        <v>187</v>
      </c>
      <c r="I10" s="56"/>
      <c r="J10" s="57" t="s">
        <v>299</v>
      </c>
      <c r="K10" s="57" t="s">
        <v>300</v>
      </c>
      <c r="L10" s="57" t="s">
        <v>301</v>
      </c>
      <c r="M10" s="58" t="s">
        <v>302</v>
      </c>
      <c r="N10" s="58" t="s">
        <v>303</v>
      </c>
      <c r="O10" s="58" t="s">
        <v>304</v>
      </c>
      <c r="P10" s="57" t="s">
        <v>305</v>
      </c>
      <c r="Q10" s="57" t="s">
        <v>306</v>
      </c>
      <c r="R10" s="58" t="s">
        <v>307</v>
      </c>
      <c r="S10" s="58" t="s">
        <v>308</v>
      </c>
      <c r="T10" s="58" t="s">
        <v>309</v>
      </c>
      <c r="U10" s="58" t="s">
        <v>310</v>
      </c>
      <c r="V10" s="55" t="s">
        <v>200</v>
      </c>
      <c r="W10" s="55" t="s">
        <v>201</v>
      </c>
      <c r="X10" s="59"/>
      <c r="Y10" s="59" t="s">
        <v>311</v>
      </c>
      <c r="Z10" s="4" t="s">
        <v>203</v>
      </c>
      <c r="AA10" s="55" t="s">
        <v>204</v>
      </c>
      <c r="AB10" s="55">
        <v>60.0</v>
      </c>
    </row>
    <row r="11">
      <c r="A11" s="55" t="s">
        <v>312</v>
      </c>
      <c r="B11" s="55" t="s">
        <v>312</v>
      </c>
      <c r="F11" s="55" t="s">
        <v>186</v>
      </c>
      <c r="G11" s="55" t="s">
        <v>187</v>
      </c>
      <c r="I11" s="56"/>
      <c r="J11" s="57" t="s">
        <v>313</v>
      </c>
      <c r="K11" s="57" t="s">
        <v>313</v>
      </c>
      <c r="L11" s="58" t="s">
        <v>314</v>
      </c>
      <c r="M11" s="58" t="s">
        <v>315</v>
      </c>
      <c r="N11" s="58" t="s">
        <v>315</v>
      </c>
      <c r="O11" s="58" t="s">
        <v>314</v>
      </c>
      <c r="P11" s="58" t="s">
        <v>316</v>
      </c>
      <c r="Q11" s="58" t="s">
        <v>316</v>
      </c>
      <c r="R11" s="58" t="s">
        <v>314</v>
      </c>
      <c r="S11" s="58" t="s">
        <v>317</v>
      </c>
      <c r="T11" s="58" t="s">
        <v>317</v>
      </c>
      <c r="U11" s="58" t="s">
        <v>314</v>
      </c>
      <c r="V11" s="55" t="s">
        <v>200</v>
      </c>
      <c r="W11" s="55" t="s">
        <v>201</v>
      </c>
      <c r="X11" s="59"/>
      <c r="Y11" s="59" t="s">
        <v>318</v>
      </c>
      <c r="Z11" s="4" t="s">
        <v>203</v>
      </c>
      <c r="AA11" s="55" t="s">
        <v>204</v>
      </c>
      <c r="AB11" s="55">
        <v>60.0</v>
      </c>
    </row>
    <row r="12">
      <c r="A12" s="55" t="s">
        <v>319</v>
      </c>
      <c r="B12" s="55" t="s">
        <v>319</v>
      </c>
      <c r="F12" s="55" t="s">
        <v>186</v>
      </c>
      <c r="G12" s="55" t="s">
        <v>187</v>
      </c>
      <c r="I12" s="56"/>
      <c r="J12" s="57" t="s">
        <v>301</v>
      </c>
      <c r="K12" s="57" t="s">
        <v>301</v>
      </c>
      <c r="L12" s="58" t="s">
        <v>314</v>
      </c>
      <c r="M12" s="58" t="s">
        <v>320</v>
      </c>
      <c r="N12" s="58" t="s">
        <v>320</v>
      </c>
      <c r="O12" s="58" t="s">
        <v>314</v>
      </c>
      <c r="P12" s="58" t="s">
        <v>321</v>
      </c>
      <c r="Q12" s="58" t="s">
        <v>321</v>
      </c>
      <c r="R12" s="58" t="s">
        <v>314</v>
      </c>
      <c r="S12" s="58" t="s">
        <v>322</v>
      </c>
      <c r="T12" s="58" t="s">
        <v>322</v>
      </c>
      <c r="U12" s="58" t="s">
        <v>314</v>
      </c>
      <c r="V12" s="55" t="s">
        <v>200</v>
      </c>
      <c r="W12" s="55" t="s">
        <v>201</v>
      </c>
      <c r="X12" s="59"/>
      <c r="Y12" s="59" t="s">
        <v>323</v>
      </c>
      <c r="Z12" s="4" t="s">
        <v>203</v>
      </c>
      <c r="AA12" s="55" t="s">
        <v>204</v>
      </c>
      <c r="AB12" s="55">
        <v>60.0</v>
      </c>
    </row>
    <row r="13">
      <c r="A13" s="55" t="s">
        <v>324</v>
      </c>
      <c r="B13" s="55" t="s">
        <v>324</v>
      </c>
      <c r="F13" s="55" t="s">
        <v>186</v>
      </c>
      <c r="G13" s="55" t="s">
        <v>187</v>
      </c>
      <c r="I13" s="56"/>
      <c r="J13" s="57" t="s">
        <v>325</v>
      </c>
      <c r="K13" s="57" t="s">
        <v>325</v>
      </c>
      <c r="L13" s="58" t="s">
        <v>314</v>
      </c>
      <c r="M13" s="58" t="s">
        <v>326</v>
      </c>
      <c r="N13" s="58" t="s">
        <v>326</v>
      </c>
      <c r="O13" s="58" t="s">
        <v>314</v>
      </c>
      <c r="P13" s="58" t="s">
        <v>327</v>
      </c>
      <c r="Q13" s="58" t="s">
        <v>327</v>
      </c>
      <c r="R13" s="58" t="s">
        <v>314</v>
      </c>
      <c r="S13" s="58" t="s">
        <v>328</v>
      </c>
      <c r="T13" s="58" t="s">
        <v>328</v>
      </c>
      <c r="U13" s="58" t="s">
        <v>314</v>
      </c>
      <c r="V13" s="55" t="s">
        <v>200</v>
      </c>
      <c r="W13" s="55" t="s">
        <v>201</v>
      </c>
      <c r="X13" s="59"/>
      <c r="Y13" s="59" t="s">
        <v>329</v>
      </c>
      <c r="Z13" s="4" t="s">
        <v>203</v>
      </c>
      <c r="AA13" s="55" t="s">
        <v>204</v>
      </c>
      <c r="AB13" s="55">
        <v>60.0</v>
      </c>
    </row>
    <row r="14">
      <c r="A14" s="55" t="s">
        <v>330</v>
      </c>
      <c r="B14" s="55" t="s">
        <v>330</v>
      </c>
      <c r="F14" s="55" t="s">
        <v>186</v>
      </c>
      <c r="G14" s="55" t="s">
        <v>187</v>
      </c>
      <c r="I14" s="56"/>
      <c r="J14" s="57" t="s">
        <v>331</v>
      </c>
      <c r="K14" s="57" t="s">
        <v>331</v>
      </c>
      <c r="L14" s="58" t="s">
        <v>314</v>
      </c>
      <c r="M14" s="58" t="s">
        <v>332</v>
      </c>
      <c r="N14" s="58" t="s">
        <v>332</v>
      </c>
      <c r="O14" s="58" t="s">
        <v>314</v>
      </c>
      <c r="P14" s="58" t="s">
        <v>239</v>
      </c>
      <c r="Q14" s="58" t="s">
        <v>239</v>
      </c>
      <c r="R14" s="58" t="s">
        <v>314</v>
      </c>
      <c r="S14" s="58" t="s">
        <v>333</v>
      </c>
      <c r="T14" s="58" t="s">
        <v>333</v>
      </c>
      <c r="U14" s="58" t="s">
        <v>314</v>
      </c>
      <c r="V14" s="55" t="s">
        <v>334</v>
      </c>
      <c r="W14" s="55" t="s">
        <v>26</v>
      </c>
      <c r="X14" s="59"/>
      <c r="Y14" s="59" t="s">
        <v>335</v>
      </c>
      <c r="Z14" s="4" t="s">
        <v>203</v>
      </c>
      <c r="AA14" s="55" t="s">
        <v>204</v>
      </c>
      <c r="AB14" s="55">
        <v>60.0</v>
      </c>
    </row>
    <row r="15">
      <c r="A15" s="55" t="s">
        <v>336</v>
      </c>
      <c r="B15" s="55" t="s">
        <v>336</v>
      </c>
      <c r="F15" s="55" t="s">
        <v>186</v>
      </c>
      <c r="G15" s="55" t="s">
        <v>187</v>
      </c>
      <c r="I15" s="56"/>
      <c r="J15" s="57" t="s">
        <v>337</v>
      </c>
      <c r="K15" s="57" t="s">
        <v>337</v>
      </c>
      <c r="L15" s="58" t="s">
        <v>314</v>
      </c>
      <c r="M15" s="58" t="s">
        <v>338</v>
      </c>
      <c r="N15" s="58" t="s">
        <v>338</v>
      </c>
      <c r="O15" s="58" t="s">
        <v>314</v>
      </c>
      <c r="P15" s="58" t="s">
        <v>339</v>
      </c>
      <c r="Q15" s="58" t="s">
        <v>339</v>
      </c>
      <c r="R15" s="58" t="s">
        <v>314</v>
      </c>
      <c r="S15" s="58" t="s">
        <v>340</v>
      </c>
      <c r="T15" s="58" t="s">
        <v>340</v>
      </c>
      <c r="U15" s="58" t="s">
        <v>314</v>
      </c>
      <c r="V15" s="55" t="s">
        <v>334</v>
      </c>
      <c r="W15" s="55" t="s">
        <v>26</v>
      </c>
      <c r="X15" s="59"/>
      <c r="Y15" s="59" t="s">
        <v>341</v>
      </c>
      <c r="Z15" s="4" t="s">
        <v>203</v>
      </c>
      <c r="AA15" s="55" t="s">
        <v>204</v>
      </c>
      <c r="AB15" s="55">
        <v>60.0</v>
      </c>
    </row>
    <row r="16">
      <c r="A16" s="55" t="s">
        <v>342</v>
      </c>
      <c r="B16" s="55" t="s">
        <v>342</v>
      </c>
      <c r="F16" s="55" t="s">
        <v>186</v>
      </c>
      <c r="G16" s="55" t="s">
        <v>187</v>
      </c>
      <c r="I16" s="56"/>
      <c r="J16" s="57" t="s">
        <v>343</v>
      </c>
      <c r="K16" s="57" t="s">
        <v>343</v>
      </c>
      <c r="L16" s="58" t="s">
        <v>314</v>
      </c>
      <c r="M16" s="58" t="s">
        <v>344</v>
      </c>
      <c r="N16" s="58" t="s">
        <v>344</v>
      </c>
      <c r="O16" s="58" t="s">
        <v>314</v>
      </c>
      <c r="P16" s="58" t="s">
        <v>345</v>
      </c>
      <c r="Q16" s="58" t="s">
        <v>345</v>
      </c>
      <c r="R16" s="58" t="s">
        <v>314</v>
      </c>
      <c r="S16" s="58" t="s">
        <v>346</v>
      </c>
      <c r="T16" s="58" t="s">
        <v>346</v>
      </c>
      <c r="U16" s="58" t="s">
        <v>314</v>
      </c>
      <c r="V16" s="55" t="s">
        <v>334</v>
      </c>
      <c r="W16" s="55" t="s">
        <v>26</v>
      </c>
      <c r="X16" s="59"/>
      <c r="Y16" s="59" t="s">
        <v>347</v>
      </c>
      <c r="Z16" s="4" t="s">
        <v>203</v>
      </c>
      <c r="AA16" s="55" t="s">
        <v>204</v>
      </c>
      <c r="AB16" s="55">
        <v>60.0</v>
      </c>
    </row>
    <row r="17">
      <c r="A17" s="55" t="s">
        <v>348</v>
      </c>
      <c r="B17" s="55" t="s">
        <v>348</v>
      </c>
      <c r="F17" s="55" t="s">
        <v>186</v>
      </c>
      <c r="G17" s="55" t="s">
        <v>187</v>
      </c>
      <c r="I17" s="56"/>
      <c r="J17" s="57" t="s">
        <v>349</v>
      </c>
      <c r="K17" s="57" t="s">
        <v>349</v>
      </c>
      <c r="L17" s="58" t="s">
        <v>314</v>
      </c>
      <c r="M17" s="58" t="s">
        <v>350</v>
      </c>
      <c r="N17" s="58" t="s">
        <v>350</v>
      </c>
      <c r="O17" s="58" t="s">
        <v>314</v>
      </c>
      <c r="P17" s="58" t="s">
        <v>351</v>
      </c>
      <c r="Q17" s="58" t="s">
        <v>351</v>
      </c>
      <c r="R17" s="58" t="s">
        <v>314</v>
      </c>
      <c r="S17" s="58" t="s">
        <v>352</v>
      </c>
      <c r="T17" s="58" t="s">
        <v>352</v>
      </c>
      <c r="U17" s="58" t="s">
        <v>314</v>
      </c>
      <c r="V17" s="55" t="s">
        <v>334</v>
      </c>
      <c r="W17" s="55" t="s">
        <v>26</v>
      </c>
      <c r="X17" s="59"/>
      <c r="Y17" s="59" t="s">
        <v>353</v>
      </c>
      <c r="Z17" s="4" t="s">
        <v>203</v>
      </c>
      <c r="AA17" s="55" t="s">
        <v>204</v>
      </c>
      <c r="AB17" s="55">
        <v>60.0</v>
      </c>
    </row>
    <row r="18">
      <c r="A18" s="55" t="s">
        <v>354</v>
      </c>
      <c r="B18" s="55" t="s">
        <v>354</v>
      </c>
      <c r="F18" s="55" t="s">
        <v>186</v>
      </c>
      <c r="G18" s="55" t="s">
        <v>187</v>
      </c>
      <c r="I18" s="56"/>
      <c r="J18" s="57" t="s">
        <v>355</v>
      </c>
      <c r="K18" s="57" t="s">
        <v>355</v>
      </c>
      <c r="L18" s="58" t="s">
        <v>314</v>
      </c>
      <c r="M18" s="58" t="s">
        <v>356</v>
      </c>
      <c r="N18" s="58" t="s">
        <v>356</v>
      </c>
      <c r="O18" s="58" t="s">
        <v>314</v>
      </c>
      <c r="P18" s="58" t="s">
        <v>357</v>
      </c>
      <c r="Q18" s="58" t="s">
        <v>357</v>
      </c>
      <c r="R18" s="58" t="s">
        <v>314</v>
      </c>
      <c r="S18" s="58" t="s">
        <v>358</v>
      </c>
      <c r="T18" s="58" t="s">
        <v>358</v>
      </c>
      <c r="U18" s="58" t="s">
        <v>314</v>
      </c>
      <c r="V18" s="55" t="s">
        <v>334</v>
      </c>
      <c r="W18" s="55" t="s">
        <v>26</v>
      </c>
      <c r="X18" s="59"/>
      <c r="Y18" s="59" t="s">
        <v>359</v>
      </c>
      <c r="Z18" s="4" t="s">
        <v>203</v>
      </c>
      <c r="AA18" s="55" t="s">
        <v>204</v>
      </c>
      <c r="AB18" s="55">
        <v>60.0</v>
      </c>
    </row>
    <row r="19">
      <c r="A19" s="55" t="s">
        <v>360</v>
      </c>
      <c r="B19" s="55" t="s">
        <v>360</v>
      </c>
      <c r="F19" s="55" t="s">
        <v>186</v>
      </c>
      <c r="G19" s="55" t="s">
        <v>187</v>
      </c>
      <c r="I19" s="56"/>
      <c r="J19" s="57" t="s">
        <v>231</v>
      </c>
      <c r="K19" s="57" t="s">
        <v>231</v>
      </c>
      <c r="L19" s="58" t="s">
        <v>314</v>
      </c>
      <c r="M19" s="58" t="s">
        <v>361</v>
      </c>
      <c r="N19" s="58" t="s">
        <v>361</v>
      </c>
      <c r="O19" s="58" t="s">
        <v>314</v>
      </c>
      <c r="P19" s="58" t="s">
        <v>362</v>
      </c>
      <c r="Q19" s="58" t="s">
        <v>362</v>
      </c>
      <c r="R19" s="58" t="s">
        <v>314</v>
      </c>
      <c r="S19" s="58" t="s">
        <v>363</v>
      </c>
      <c r="T19" s="58" t="s">
        <v>363</v>
      </c>
      <c r="U19" s="58" t="s">
        <v>314</v>
      </c>
      <c r="V19" s="55" t="s">
        <v>334</v>
      </c>
      <c r="W19" s="55" t="s">
        <v>26</v>
      </c>
      <c r="X19" s="59"/>
      <c r="Y19" s="59" t="s">
        <v>364</v>
      </c>
      <c r="Z19" s="4" t="s">
        <v>203</v>
      </c>
      <c r="AA19" s="55" t="s">
        <v>204</v>
      </c>
      <c r="AB19" s="55">
        <v>60.0</v>
      </c>
    </row>
    <row r="20">
      <c r="A20" s="55" t="s">
        <v>365</v>
      </c>
      <c r="B20" s="55" t="s">
        <v>365</v>
      </c>
      <c r="F20" s="55" t="s">
        <v>186</v>
      </c>
      <c r="G20" s="55" t="s">
        <v>187</v>
      </c>
      <c r="I20" s="56"/>
      <c r="J20" s="57" t="s">
        <v>366</v>
      </c>
      <c r="K20" s="57" t="s">
        <v>366</v>
      </c>
      <c r="L20" s="58" t="s">
        <v>314</v>
      </c>
      <c r="M20" s="58" t="s">
        <v>367</v>
      </c>
      <c r="N20" s="58" t="s">
        <v>367</v>
      </c>
      <c r="O20" s="58" t="s">
        <v>314</v>
      </c>
      <c r="P20" s="58" t="s">
        <v>368</v>
      </c>
      <c r="Q20" s="58" t="s">
        <v>368</v>
      </c>
      <c r="R20" s="58" t="s">
        <v>314</v>
      </c>
      <c r="S20" s="58" t="s">
        <v>369</v>
      </c>
      <c r="T20" s="58" t="s">
        <v>369</v>
      </c>
      <c r="U20" s="58" t="s">
        <v>314</v>
      </c>
      <c r="V20" s="55" t="s">
        <v>334</v>
      </c>
      <c r="W20" s="55" t="s">
        <v>26</v>
      </c>
      <c r="X20" s="59"/>
      <c r="Y20" s="59" t="s">
        <v>370</v>
      </c>
      <c r="Z20" s="4" t="s">
        <v>203</v>
      </c>
      <c r="AA20" s="55" t="s">
        <v>204</v>
      </c>
      <c r="AB20" s="55">
        <v>60.0</v>
      </c>
    </row>
    <row r="21">
      <c r="A21" s="55" t="s">
        <v>371</v>
      </c>
      <c r="B21" s="55" t="s">
        <v>371</v>
      </c>
      <c r="F21" s="55" t="s">
        <v>186</v>
      </c>
      <c r="G21" s="55" t="s">
        <v>187</v>
      </c>
      <c r="I21" s="56"/>
      <c r="J21" s="57" t="s">
        <v>372</v>
      </c>
      <c r="K21" s="57" t="s">
        <v>372</v>
      </c>
      <c r="L21" s="58" t="s">
        <v>314</v>
      </c>
      <c r="M21" s="58" t="s">
        <v>373</v>
      </c>
      <c r="N21" s="58" t="s">
        <v>373</v>
      </c>
      <c r="O21" s="58" t="s">
        <v>314</v>
      </c>
      <c r="P21" s="58" t="s">
        <v>374</v>
      </c>
      <c r="Q21" s="58" t="s">
        <v>374</v>
      </c>
      <c r="R21" s="58" t="s">
        <v>314</v>
      </c>
      <c r="S21" s="58" t="s">
        <v>375</v>
      </c>
      <c r="T21" s="58" t="s">
        <v>375</v>
      </c>
      <c r="U21" s="58" t="s">
        <v>314</v>
      </c>
      <c r="V21" s="55" t="s">
        <v>334</v>
      </c>
      <c r="W21" s="55" t="s">
        <v>26</v>
      </c>
      <c r="X21" s="59"/>
      <c r="Y21" s="59" t="s">
        <v>376</v>
      </c>
      <c r="Z21" s="4" t="s">
        <v>203</v>
      </c>
      <c r="AA21" s="55" t="s">
        <v>204</v>
      </c>
      <c r="AB21" s="55">
        <v>60.0</v>
      </c>
    </row>
    <row r="22">
      <c r="A22" s="55" t="s">
        <v>377</v>
      </c>
      <c r="B22" s="55" t="s">
        <v>377</v>
      </c>
      <c r="F22" s="55" t="s">
        <v>186</v>
      </c>
      <c r="G22" s="55" t="s">
        <v>187</v>
      </c>
      <c r="I22" s="56"/>
      <c r="J22" s="58" t="s">
        <v>378</v>
      </c>
      <c r="K22" s="58" t="s">
        <v>378</v>
      </c>
      <c r="L22" s="58" t="s">
        <v>314</v>
      </c>
      <c r="M22" s="58" t="s">
        <v>379</v>
      </c>
      <c r="N22" s="58" t="s">
        <v>379</v>
      </c>
      <c r="O22" s="58" t="s">
        <v>314</v>
      </c>
      <c r="P22" s="58" t="s">
        <v>380</v>
      </c>
      <c r="Q22" s="58" t="s">
        <v>380</v>
      </c>
      <c r="R22" s="58" t="s">
        <v>314</v>
      </c>
      <c r="S22" s="58" t="s">
        <v>381</v>
      </c>
      <c r="T22" s="58" t="s">
        <v>381</v>
      </c>
      <c r="U22" s="58" t="s">
        <v>314</v>
      </c>
      <c r="V22" s="60" t="s">
        <v>382</v>
      </c>
      <c r="W22" s="55" t="s">
        <v>383</v>
      </c>
      <c r="X22" s="59"/>
      <c r="Y22" s="59" t="s">
        <v>384</v>
      </c>
      <c r="Z22" s="4" t="s">
        <v>203</v>
      </c>
      <c r="AA22" s="55" t="s">
        <v>204</v>
      </c>
      <c r="AB22" s="55">
        <v>60.0</v>
      </c>
    </row>
    <row r="23">
      <c r="A23" s="55" t="s">
        <v>385</v>
      </c>
      <c r="B23" s="55" t="s">
        <v>385</v>
      </c>
      <c r="F23" s="55" t="s">
        <v>186</v>
      </c>
      <c r="G23" s="55" t="s">
        <v>187</v>
      </c>
      <c r="I23" s="56"/>
      <c r="J23" s="58" t="s">
        <v>386</v>
      </c>
      <c r="K23" s="58" t="s">
        <v>386</v>
      </c>
      <c r="L23" s="58" t="s">
        <v>314</v>
      </c>
      <c r="M23" s="58" t="s">
        <v>387</v>
      </c>
      <c r="N23" s="58" t="s">
        <v>387</v>
      </c>
      <c r="O23" s="58" t="s">
        <v>314</v>
      </c>
      <c r="P23" s="58" t="s">
        <v>388</v>
      </c>
      <c r="Q23" s="58" t="s">
        <v>388</v>
      </c>
      <c r="R23" s="58" t="s">
        <v>314</v>
      </c>
      <c r="S23" s="58" t="s">
        <v>389</v>
      </c>
      <c r="T23" s="58" t="s">
        <v>389</v>
      </c>
      <c r="U23" s="58" t="s">
        <v>314</v>
      </c>
      <c r="V23" s="60" t="s">
        <v>382</v>
      </c>
      <c r="W23" s="55" t="s">
        <v>383</v>
      </c>
      <c r="X23" s="59"/>
      <c r="Y23" s="59" t="s">
        <v>390</v>
      </c>
      <c r="Z23" s="4" t="s">
        <v>203</v>
      </c>
      <c r="AA23" s="55" t="s">
        <v>204</v>
      </c>
      <c r="AB23" s="55">
        <v>60.0</v>
      </c>
    </row>
    <row r="24">
      <c r="A24" s="55" t="s">
        <v>391</v>
      </c>
      <c r="B24" s="55" t="s">
        <v>391</v>
      </c>
      <c r="F24" s="55" t="s">
        <v>186</v>
      </c>
      <c r="G24" s="55" t="s">
        <v>187</v>
      </c>
      <c r="I24" s="56"/>
      <c r="J24" s="58" t="s">
        <v>392</v>
      </c>
      <c r="K24" s="58" t="s">
        <v>392</v>
      </c>
      <c r="L24" s="58" t="s">
        <v>314</v>
      </c>
      <c r="M24" s="58" t="s">
        <v>393</v>
      </c>
      <c r="N24" s="58" t="s">
        <v>393</v>
      </c>
      <c r="O24" s="58" t="s">
        <v>314</v>
      </c>
      <c r="P24" s="58" t="s">
        <v>394</v>
      </c>
      <c r="Q24" s="58" t="s">
        <v>394</v>
      </c>
      <c r="R24" s="58" t="s">
        <v>314</v>
      </c>
      <c r="S24" s="58" t="s">
        <v>395</v>
      </c>
      <c r="T24" s="58" t="s">
        <v>395</v>
      </c>
      <c r="U24" s="58" t="s">
        <v>314</v>
      </c>
      <c r="V24" s="60" t="s">
        <v>382</v>
      </c>
      <c r="W24" s="55" t="s">
        <v>383</v>
      </c>
      <c r="X24" s="59"/>
      <c r="Y24" s="59" t="s">
        <v>396</v>
      </c>
      <c r="Z24" s="4" t="s">
        <v>203</v>
      </c>
      <c r="AA24" s="55" t="s">
        <v>204</v>
      </c>
      <c r="AB24" s="55">
        <v>60.0</v>
      </c>
    </row>
    <row r="25">
      <c r="A25" s="55" t="s">
        <v>397</v>
      </c>
      <c r="B25" s="55" t="s">
        <v>397</v>
      </c>
      <c r="F25" s="55" t="s">
        <v>186</v>
      </c>
      <c r="G25" s="55" t="s">
        <v>187</v>
      </c>
      <c r="I25" s="56"/>
      <c r="J25" s="58" t="s">
        <v>398</v>
      </c>
      <c r="K25" s="58" t="s">
        <v>398</v>
      </c>
      <c r="L25" s="58" t="s">
        <v>314</v>
      </c>
      <c r="M25" s="58" t="s">
        <v>399</v>
      </c>
      <c r="N25" s="58" t="s">
        <v>399</v>
      </c>
      <c r="O25" s="58" t="s">
        <v>314</v>
      </c>
      <c r="P25" s="58" t="s">
        <v>400</v>
      </c>
      <c r="Q25" s="58" t="s">
        <v>400</v>
      </c>
      <c r="R25" s="58" t="s">
        <v>314</v>
      </c>
      <c r="S25" s="58" t="s">
        <v>401</v>
      </c>
      <c r="T25" s="58" t="s">
        <v>401</v>
      </c>
      <c r="U25" s="58" t="s">
        <v>314</v>
      </c>
      <c r="V25" s="60" t="s">
        <v>382</v>
      </c>
      <c r="W25" s="55" t="s">
        <v>383</v>
      </c>
      <c r="X25" s="59"/>
      <c r="Y25" s="59" t="s">
        <v>402</v>
      </c>
      <c r="Z25" s="4" t="s">
        <v>203</v>
      </c>
      <c r="AA25" s="55" t="s">
        <v>204</v>
      </c>
      <c r="AB25" s="55">
        <v>60.0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54.43"/>
    <col customWidth="1" min="3" max="3" width="11.57"/>
    <col customWidth="1" min="4" max="4" width="7.57"/>
    <col customWidth="1" min="5" max="5" width="16.57"/>
    <col customWidth="1" min="6" max="6" width="15.57"/>
    <col customWidth="1" min="7" max="7" width="55.43"/>
    <col customWidth="1" min="8" max="8" width="15.57"/>
    <col customWidth="1" min="9" max="9" width="22.14"/>
    <col customWidth="1" min="10" max="10" width="36.86"/>
    <col customWidth="1" min="11" max="11" width="42.57"/>
    <col customWidth="1" min="12" max="12" width="40.43"/>
    <col customWidth="1" min="13" max="13" width="49.29"/>
    <col customWidth="1" min="14" max="14" width="54.86"/>
    <col customWidth="1" min="15" max="15" width="52.71"/>
    <col customWidth="1" min="16" max="16" width="43.71"/>
    <col customWidth="1" min="17" max="17" width="49.29"/>
    <col customWidth="1" min="18" max="18" width="47.14"/>
    <col customWidth="1" min="19" max="19" width="46.71"/>
    <col customWidth="1" min="20" max="20" width="52.29"/>
    <col customWidth="1" min="21" max="21" width="50.29"/>
    <col customWidth="1" min="22" max="22" width="39.14"/>
    <col customWidth="1" min="23" max="23" width="45.14"/>
    <col customWidth="1" min="24" max="24" width="43.14"/>
    <col customWidth="1" min="25" max="25" width="38.43"/>
    <col customWidth="1" min="26" max="26" width="25.71"/>
    <col customWidth="1" min="27" max="27" width="67.57"/>
    <col customWidth="1" min="28" max="28" width="23.14"/>
  </cols>
  <sheetData>
    <row r="1">
      <c r="A1" s="61" t="s">
        <v>19</v>
      </c>
      <c r="B1" s="61" t="s">
        <v>159</v>
      </c>
      <c r="C1" s="61" t="s">
        <v>160</v>
      </c>
      <c r="D1" s="61" t="s">
        <v>161</v>
      </c>
      <c r="E1" s="61" t="s">
        <v>162</v>
      </c>
      <c r="F1" s="61" t="s">
        <v>163</v>
      </c>
      <c r="G1" s="61" t="s">
        <v>164</v>
      </c>
      <c r="H1" s="62" t="s">
        <v>165</v>
      </c>
      <c r="I1" s="61" t="s">
        <v>166</v>
      </c>
      <c r="J1" s="61" t="s">
        <v>167</v>
      </c>
      <c r="K1" s="61" t="s">
        <v>168</v>
      </c>
      <c r="L1" s="61" t="s">
        <v>169</v>
      </c>
      <c r="M1" s="61" t="s">
        <v>170</v>
      </c>
      <c r="N1" s="61" t="s">
        <v>171</v>
      </c>
      <c r="O1" s="61" t="s">
        <v>172</v>
      </c>
      <c r="P1" s="61" t="s">
        <v>173</v>
      </c>
      <c r="Q1" s="61" t="s">
        <v>174</v>
      </c>
      <c r="R1" s="61" t="s">
        <v>175</v>
      </c>
      <c r="S1" s="61" t="s">
        <v>176</v>
      </c>
      <c r="T1" s="61" t="s">
        <v>177</v>
      </c>
      <c r="U1" s="61" t="s">
        <v>178</v>
      </c>
      <c r="V1" s="61" t="s">
        <v>179</v>
      </c>
      <c r="W1" s="62" t="s">
        <v>180</v>
      </c>
      <c r="X1" s="61" t="s">
        <v>181</v>
      </c>
      <c r="Y1" s="61" t="s">
        <v>182</v>
      </c>
      <c r="Z1" s="61" t="s">
        <v>183</v>
      </c>
      <c r="AA1" s="61" t="s">
        <v>184</v>
      </c>
      <c r="AB1" s="61" t="s">
        <v>52</v>
      </c>
      <c r="AC1" s="2"/>
    </row>
    <row r="2">
      <c r="A2" s="2" t="str">
        <f>'Baumaterialien Matériaux'!A11 &amp; " " &amp; 'Baumaterialien Matériaux'!B11 &amp; " (KBOB.2016)"</f>
        <v>00.001 Baugrubensicherung, Bohrpfahlwand, gespriesst (KBOB.2016)</v>
      </c>
      <c r="B2" s="2" t="str">
        <f t="shared" ref="B2:B25" si="1">A2</f>
        <v>00.001 Baugrubensicherung, Bohrpfahlwand, gespriesst (KBOB.2016)</v>
      </c>
      <c r="C2" s="2"/>
      <c r="D2" s="2"/>
      <c r="E2" s="2"/>
      <c r="F2" s="2" t="s">
        <v>186</v>
      </c>
      <c r="G2" s="2" t="str">
        <f t="shared" ref="G2:G25" si="2">SWITCH(LEFT(A2,2), "00", "OTHER_RESOURCE_CONSTRUCTION_MATERIAL_PREPARATION_WORK", "")</f>
        <v>OTHER_RESOURCE_CONSTRUCTION_MATERIAL_PREPARATION_WORK</v>
      </c>
      <c r="H2" s="2"/>
      <c r="I2" s="63"/>
      <c r="J2" s="64">
        <f>'Baumaterialien Matériaux'!G11</f>
        <v>1010000</v>
      </c>
      <c r="K2" s="64">
        <f>'Baumaterialien Matériaux'!H11</f>
        <v>877000</v>
      </c>
      <c r="L2" s="64">
        <f>'Baumaterialien Matériaux'!I11</f>
        <v>130000</v>
      </c>
      <c r="M2" s="64">
        <f>'Baumaterialien Matériaux'!M11</f>
        <v>110</v>
      </c>
      <c r="N2" s="64">
        <f>'Baumaterialien Matériaux'!N11</f>
        <v>101</v>
      </c>
      <c r="O2" s="64">
        <f>'Baumaterialien Matériaux'!O11</f>
        <v>9.57</v>
      </c>
      <c r="P2" s="64">
        <f>'Baumaterialien Matériaux'!P11</f>
        <v>2280</v>
      </c>
      <c r="Q2" s="64">
        <f>'Baumaterialien Matériaux'!Q11</f>
        <v>2020</v>
      </c>
      <c r="R2" s="64">
        <f>'Baumaterialien Matériaux'!R11</f>
        <v>258</v>
      </c>
      <c r="S2" s="64">
        <f>'Baumaterialien Matériaux'!S11</f>
        <v>828</v>
      </c>
      <c r="T2" s="64">
        <f>'Baumaterialien Matériaux'!T11</f>
        <v>778</v>
      </c>
      <c r="U2" s="64">
        <f>'Baumaterialien Matériaux'!U11</f>
        <v>50.2</v>
      </c>
      <c r="V2" s="2" t="str">
        <f>'Baumaterialien Matériaux'!F11</f>
        <v>m2</v>
      </c>
      <c r="W2" s="3" t="str">
        <f>SWITCH('Baumaterialien Matériaux'!F11, "m", "probeLength", "m2", "area", "m3", "volume", "kg", "mass", "Stk.", "device")</f>
        <v>area</v>
      </c>
      <c r="X2" s="65" t="str">
        <f>'Baumaterialien Matériaux'!AC11</f>
        <v/>
      </c>
      <c r="Y2" s="66" t="str">
        <f t="shared" ref="Y2:Y25" si="3">LEFT(A2,6)</f>
        <v>00.001</v>
      </c>
      <c r="Z2" s="7" t="s">
        <v>203</v>
      </c>
      <c r="AA2" s="67" t="str">
        <f t="shared" ref="AA2:AA25" si="4">"Alle &gt; " &amp; SWITCH(F2, "COMPONENT","BAUTEILE", "OTHER_RESOURCE", "RESSOURCEN", "BUILDING_TECHNOLOGY", "GEBÄUDETECHNIK", "MATERIAL", "MATERIALIEN") &amp; " &gt; kbob.admin.ch &gt; KBOB / ecobau / IPB 2009/1:2016"</f>
        <v>Alle &gt; RESSOURCEN &gt; kbob.admin.ch &gt; KBOB / ecobau / IPB 2009/1:2016</v>
      </c>
      <c r="AB2" s="68">
        <v>60.0</v>
      </c>
      <c r="AC2" s="2"/>
    </row>
    <row r="3">
      <c r="A3" s="2" t="str">
        <f>'Baumaterialien Matériaux'!A12 &amp; " " &amp; 'Baumaterialien Matériaux'!B12 &amp; " (KBOB.2016)"</f>
        <v>00.002 Baugrubensicherung, Bohrpfahlwand, unverankert (KBOB.2016)</v>
      </c>
      <c r="B3" s="2" t="str">
        <f t="shared" si="1"/>
        <v>00.002 Baugrubensicherung, Bohrpfahlwand, unverankert (KBOB.2016)</v>
      </c>
      <c r="C3" s="2"/>
      <c r="D3" s="2"/>
      <c r="E3" s="2"/>
      <c r="F3" s="2" t="s">
        <v>186</v>
      </c>
      <c r="G3" s="2" t="str">
        <f t="shared" si="2"/>
        <v>OTHER_RESOURCE_CONSTRUCTION_MATERIAL_PREPARATION_WORK</v>
      </c>
      <c r="H3" s="2"/>
      <c r="I3" s="63"/>
      <c r="J3" s="64">
        <f>'Baumaterialien Matériaux'!G12</f>
        <v>952000</v>
      </c>
      <c r="K3" s="64">
        <f>'Baumaterialien Matériaux'!H12</f>
        <v>822000</v>
      </c>
      <c r="L3" s="64">
        <f>'Baumaterialien Matériaux'!I12</f>
        <v>130000</v>
      </c>
      <c r="M3" s="64">
        <f>'Baumaterialien Matériaux'!M12</f>
        <v>94.3</v>
      </c>
      <c r="N3" s="64">
        <f>'Baumaterialien Matériaux'!N12</f>
        <v>84.8</v>
      </c>
      <c r="O3" s="64">
        <f>'Baumaterialien Matériaux'!O12</f>
        <v>9.57</v>
      </c>
      <c r="P3" s="64">
        <f>'Baumaterialien Matériaux'!P12</f>
        <v>2090</v>
      </c>
      <c r="Q3" s="64">
        <f>'Baumaterialien Matériaux'!Q12</f>
        <v>1830</v>
      </c>
      <c r="R3" s="64">
        <f>'Baumaterialien Matériaux'!R12</f>
        <v>258</v>
      </c>
      <c r="S3" s="64">
        <f>'Baumaterialien Matériaux'!S12</f>
        <v>788</v>
      </c>
      <c r="T3" s="64">
        <f>'Baumaterialien Matériaux'!T12</f>
        <v>738</v>
      </c>
      <c r="U3" s="64">
        <f>'Baumaterialien Matériaux'!U12</f>
        <v>50.2</v>
      </c>
      <c r="V3" s="2" t="str">
        <f>'Baumaterialien Matériaux'!F12</f>
        <v>m2</v>
      </c>
      <c r="W3" s="3" t="str">
        <f>SWITCH('Baumaterialien Matériaux'!F12, "m", "probeLength", "m2", "area", "m3", "volume", "kg", "mass", "Stk.", "device")</f>
        <v>area</v>
      </c>
      <c r="X3" s="65" t="str">
        <f>'Baumaterialien Matériaux'!AC12</f>
        <v/>
      </c>
      <c r="Y3" s="66" t="str">
        <f t="shared" si="3"/>
        <v>00.002</v>
      </c>
      <c r="Z3" s="7" t="s">
        <v>203</v>
      </c>
      <c r="AA3" s="67" t="str">
        <f t="shared" si="4"/>
        <v>Alle &gt; RESSOURCEN &gt; kbob.admin.ch &gt; KBOB / ecobau / IPB 2009/1:2016</v>
      </c>
      <c r="AB3" s="68">
        <v>60.0</v>
      </c>
    </row>
    <row r="4">
      <c r="A4" s="2" t="str">
        <f>'Baumaterialien Matériaux'!A13 &amp; " " &amp; 'Baumaterialien Matériaux'!B13 &amp; " (KBOB.2016)"</f>
        <v>00.003 Baugrubensicherung, Bohrpfahlwand, verankert (KBOB.2016)</v>
      </c>
      <c r="B4" s="2" t="str">
        <f t="shared" si="1"/>
        <v>00.003 Baugrubensicherung, Bohrpfahlwand, verankert (KBOB.2016)</v>
      </c>
      <c r="C4" s="2"/>
      <c r="D4" s="2"/>
      <c r="E4" s="2"/>
      <c r="F4" s="2" t="s">
        <v>186</v>
      </c>
      <c r="G4" s="2" t="str">
        <f t="shared" si="2"/>
        <v>OTHER_RESOURCE_CONSTRUCTION_MATERIAL_PREPARATION_WORK</v>
      </c>
      <c r="H4" s="2"/>
      <c r="I4" s="63"/>
      <c r="J4" s="64">
        <f>'Baumaterialien Matériaux'!G13</f>
        <v>778000</v>
      </c>
      <c r="K4" s="64">
        <f>'Baumaterialien Matériaux'!H13</f>
        <v>692000</v>
      </c>
      <c r="L4" s="64">
        <f>'Baumaterialien Matériaux'!I13</f>
        <v>86200</v>
      </c>
      <c r="M4" s="64">
        <f>'Baumaterialien Matériaux'!M13</f>
        <v>82.8</v>
      </c>
      <c r="N4" s="64">
        <f>'Baumaterialien Matériaux'!N13</f>
        <v>76.4</v>
      </c>
      <c r="O4" s="64">
        <f>'Baumaterialien Matériaux'!O13</f>
        <v>6.32</v>
      </c>
      <c r="P4" s="64">
        <f>'Baumaterialien Matériaux'!P13</f>
        <v>1510</v>
      </c>
      <c r="Q4" s="64">
        <f>'Baumaterialien Matériaux'!Q13</f>
        <v>1340</v>
      </c>
      <c r="R4" s="64">
        <f>'Baumaterialien Matériaux'!R13</f>
        <v>170</v>
      </c>
      <c r="S4" s="64">
        <f>'Baumaterialien Matériaux'!S13</f>
        <v>512</v>
      </c>
      <c r="T4" s="64">
        <f>'Baumaterialien Matériaux'!T13</f>
        <v>478</v>
      </c>
      <c r="U4" s="64">
        <f>'Baumaterialien Matériaux'!U13</f>
        <v>33.1</v>
      </c>
      <c r="V4" s="2" t="str">
        <f>'Baumaterialien Matériaux'!F13</f>
        <v>m2</v>
      </c>
      <c r="W4" s="3" t="str">
        <f>SWITCH('Baumaterialien Matériaux'!F13, "m", "probeLength", "m2", "area", "m3", "volume", "kg", "mass", "Stk.", "device")</f>
        <v>area</v>
      </c>
      <c r="X4" s="65" t="str">
        <f>'Baumaterialien Matériaux'!AC13</f>
        <v/>
      </c>
      <c r="Y4" s="66" t="str">
        <f t="shared" si="3"/>
        <v>00.003</v>
      </c>
      <c r="Z4" s="7" t="s">
        <v>203</v>
      </c>
      <c r="AA4" s="67" t="str">
        <f t="shared" si="4"/>
        <v>Alle &gt; RESSOURCEN &gt; kbob.admin.ch &gt; KBOB / ecobau / IPB 2009/1:2016</v>
      </c>
      <c r="AB4" s="68">
        <v>60.0</v>
      </c>
    </row>
    <row r="5">
      <c r="A5" s="2" t="str">
        <f>'Baumaterialien Matériaux'!A14 &amp; " " &amp; 'Baumaterialien Matériaux'!B14 &amp; " (KBOB.2016)"</f>
        <v>00.004 Baugrubensicherung, Nagelwand (KBOB.2016)</v>
      </c>
      <c r="B5" s="2" t="str">
        <f t="shared" si="1"/>
        <v>00.004 Baugrubensicherung, Nagelwand (KBOB.2016)</v>
      </c>
      <c r="C5" s="2"/>
      <c r="D5" s="2"/>
      <c r="E5" s="2"/>
      <c r="F5" s="2" t="s">
        <v>186</v>
      </c>
      <c r="G5" s="2" t="str">
        <f t="shared" si="2"/>
        <v>OTHER_RESOURCE_CONSTRUCTION_MATERIAL_PREPARATION_WORK</v>
      </c>
      <c r="H5" s="2"/>
      <c r="I5" s="63"/>
      <c r="J5" s="64">
        <f>'Baumaterialien Matériaux'!G14</f>
        <v>171000</v>
      </c>
      <c r="K5" s="64">
        <f>'Baumaterialien Matériaux'!H14</f>
        <v>152000</v>
      </c>
      <c r="L5" s="64">
        <f>'Baumaterialien Matériaux'!I14</f>
        <v>18900</v>
      </c>
      <c r="M5" s="64">
        <f>'Baumaterialien Matériaux'!M14</f>
        <v>17.9</v>
      </c>
      <c r="N5" s="64">
        <f>'Baumaterialien Matériaux'!N14</f>
        <v>16.6</v>
      </c>
      <c r="O5" s="64">
        <f>'Baumaterialien Matériaux'!O14</f>
        <v>1.39</v>
      </c>
      <c r="P5" s="64">
        <f>'Baumaterialien Matériaux'!P14</f>
        <v>324</v>
      </c>
      <c r="Q5" s="64">
        <f>'Baumaterialien Matériaux'!Q14</f>
        <v>286</v>
      </c>
      <c r="R5" s="64">
        <f>'Baumaterialien Matériaux'!R14</f>
        <v>37.5</v>
      </c>
      <c r="S5" s="64">
        <f>'Baumaterialien Matériaux'!S14</f>
        <v>116</v>
      </c>
      <c r="T5" s="64">
        <f>'Baumaterialien Matériaux'!T14</f>
        <v>109</v>
      </c>
      <c r="U5" s="64">
        <f>'Baumaterialien Matériaux'!U14</f>
        <v>7.28</v>
      </c>
      <c r="V5" s="2" t="str">
        <f>'Baumaterialien Matériaux'!F14</f>
        <v>m2</v>
      </c>
      <c r="W5" s="3" t="str">
        <f>SWITCH('Baumaterialien Matériaux'!F14, "m", "probeLength", "m2", "area", "m3", "volume", "kg", "mass", "Stk.", "device")</f>
        <v>area</v>
      </c>
      <c r="X5" s="65" t="str">
        <f>'Baumaterialien Matériaux'!AC14</f>
        <v/>
      </c>
      <c r="Y5" s="66" t="str">
        <f t="shared" si="3"/>
        <v>00.004</v>
      </c>
      <c r="Z5" s="7" t="s">
        <v>203</v>
      </c>
      <c r="AA5" s="67" t="str">
        <f t="shared" si="4"/>
        <v>Alle &gt; RESSOURCEN &gt; kbob.admin.ch &gt; KBOB / ecobau / IPB 2009/1:2016</v>
      </c>
      <c r="AB5" s="68">
        <v>60.0</v>
      </c>
    </row>
    <row r="6">
      <c r="A6" s="2" t="str">
        <f>'Baumaterialien Matériaux'!A15 &amp; " " &amp; 'Baumaterialien Matériaux'!B15 &amp; " (KBOB.2016)"</f>
        <v>00.005 Baugrubensicherung, Rühlwand, auskragend (KBOB.2016)</v>
      </c>
      <c r="B6" s="2" t="str">
        <f t="shared" si="1"/>
        <v>00.005 Baugrubensicherung, Rühlwand, auskragend (KBOB.2016)</v>
      </c>
      <c r="C6" s="2"/>
      <c r="D6" s="2"/>
      <c r="E6" s="2"/>
      <c r="F6" s="2" t="s">
        <v>186</v>
      </c>
      <c r="G6" s="2" t="str">
        <f t="shared" si="2"/>
        <v>OTHER_RESOURCE_CONSTRUCTION_MATERIAL_PREPARATION_WORK</v>
      </c>
      <c r="H6" s="2"/>
      <c r="I6" s="63"/>
      <c r="J6" s="64">
        <f>'Baumaterialien Matériaux'!G15</f>
        <v>332000</v>
      </c>
      <c r="K6" s="64">
        <f>'Baumaterialien Matériaux'!H15</f>
        <v>302000</v>
      </c>
      <c r="L6" s="64">
        <f>'Baumaterialien Matériaux'!I15</f>
        <v>30100</v>
      </c>
      <c r="M6" s="64">
        <f>'Baumaterialien Matériaux'!M15</f>
        <v>108</v>
      </c>
      <c r="N6" s="64">
        <f>'Baumaterialien Matériaux'!N15</f>
        <v>106</v>
      </c>
      <c r="O6" s="64">
        <f>'Baumaterialien Matériaux'!O15</f>
        <v>2.2</v>
      </c>
      <c r="P6" s="64">
        <f>'Baumaterialien Matériaux'!P15</f>
        <v>934</v>
      </c>
      <c r="Q6" s="64">
        <f>'Baumaterialien Matériaux'!Q15</f>
        <v>874</v>
      </c>
      <c r="R6" s="64">
        <f>'Baumaterialien Matériaux'!R15</f>
        <v>59.5</v>
      </c>
      <c r="S6" s="64">
        <f>'Baumaterialien Matériaux'!S15</f>
        <v>266</v>
      </c>
      <c r="T6" s="64">
        <f>'Baumaterialien Matériaux'!T15</f>
        <v>254</v>
      </c>
      <c r="U6" s="64">
        <f>'Baumaterialien Matériaux'!U15</f>
        <v>11.6</v>
      </c>
      <c r="V6" s="2" t="str">
        <f>'Baumaterialien Matériaux'!F15</f>
        <v>m2</v>
      </c>
      <c r="W6" s="3" t="str">
        <f>SWITCH('Baumaterialien Matériaux'!F15, "m", "probeLength", "m2", "area", "m3", "volume", "kg", "mass", "Stk.", "device")</f>
        <v>area</v>
      </c>
      <c r="X6" s="65" t="str">
        <f>'Baumaterialien Matériaux'!AC15</f>
        <v/>
      </c>
      <c r="Y6" s="66" t="str">
        <f t="shared" si="3"/>
        <v>00.005</v>
      </c>
      <c r="Z6" s="7" t="s">
        <v>203</v>
      </c>
      <c r="AA6" s="67" t="str">
        <f t="shared" si="4"/>
        <v>Alle &gt; RESSOURCEN &gt; kbob.admin.ch &gt; KBOB / ecobau / IPB 2009/1:2016</v>
      </c>
      <c r="AB6" s="68">
        <v>60.0</v>
      </c>
    </row>
    <row r="7">
      <c r="A7" s="2" t="str">
        <f>'Baumaterialien Matériaux'!A16 &amp; " " &amp; 'Baumaterialien Matériaux'!B16 &amp; " (KBOB.2016)"</f>
        <v>00.006 Baugrubensicherung, Rühlwand, gespriesst (KBOB.2016)</v>
      </c>
      <c r="B7" s="2" t="str">
        <f t="shared" si="1"/>
        <v>00.006 Baugrubensicherung, Rühlwand, gespriesst (KBOB.2016)</v>
      </c>
      <c r="C7" s="2"/>
      <c r="D7" s="2"/>
      <c r="E7" s="2"/>
      <c r="F7" s="2" t="s">
        <v>186</v>
      </c>
      <c r="G7" s="2" t="str">
        <f t="shared" si="2"/>
        <v>OTHER_RESOURCE_CONSTRUCTION_MATERIAL_PREPARATION_WORK</v>
      </c>
      <c r="H7" s="2"/>
      <c r="I7" s="63"/>
      <c r="J7" s="64">
        <f>'Baumaterialien Matériaux'!G16</f>
        <v>240000</v>
      </c>
      <c r="K7" s="64">
        <f>'Baumaterialien Matériaux'!H16</f>
        <v>222000</v>
      </c>
      <c r="L7" s="64">
        <f>'Baumaterialien Matériaux'!I16</f>
        <v>17800</v>
      </c>
      <c r="M7" s="64">
        <f>'Baumaterialien Matériaux'!M16</f>
        <v>46.7</v>
      </c>
      <c r="N7" s="64">
        <f>'Baumaterialien Matériaux'!N16</f>
        <v>45.4</v>
      </c>
      <c r="O7" s="64">
        <f>'Baumaterialien Matériaux'!O16</f>
        <v>1.31</v>
      </c>
      <c r="P7" s="64">
        <f>'Baumaterialien Matériaux'!P16</f>
        <v>677</v>
      </c>
      <c r="Q7" s="64">
        <f>'Baumaterialien Matériaux'!Q16</f>
        <v>642</v>
      </c>
      <c r="R7" s="64">
        <f>'Baumaterialien Matériaux'!R16</f>
        <v>35.2</v>
      </c>
      <c r="S7" s="64">
        <f>'Baumaterialien Matériaux'!S16</f>
        <v>184</v>
      </c>
      <c r="T7" s="64">
        <f>'Baumaterialien Matériaux'!T16</f>
        <v>177</v>
      </c>
      <c r="U7" s="64">
        <f>'Baumaterialien Matériaux'!U16</f>
        <v>6.84</v>
      </c>
      <c r="V7" s="2" t="str">
        <f>'Baumaterialien Matériaux'!F16</f>
        <v>m2</v>
      </c>
      <c r="W7" s="3" t="str">
        <f>SWITCH('Baumaterialien Matériaux'!F16, "m", "probeLength", "m2", "area", "m3", "volume", "kg", "mass", "Stk.", "device")</f>
        <v>area</v>
      </c>
      <c r="X7" s="65" t="str">
        <f>'Baumaterialien Matériaux'!AC16</f>
        <v/>
      </c>
      <c r="Y7" s="66" t="str">
        <f t="shared" si="3"/>
        <v>00.006</v>
      </c>
      <c r="Z7" s="7" t="s">
        <v>203</v>
      </c>
      <c r="AA7" s="67" t="str">
        <f t="shared" si="4"/>
        <v>Alle &gt; RESSOURCEN &gt; kbob.admin.ch &gt; KBOB / ecobau / IPB 2009/1:2016</v>
      </c>
      <c r="AB7" s="68">
        <v>60.0</v>
      </c>
    </row>
    <row r="8">
      <c r="A8" s="2" t="str">
        <f>'Baumaterialien Matériaux'!A17 &amp; " " &amp; 'Baumaterialien Matériaux'!B17 &amp; " (KBOB.2016)"</f>
        <v>00.007 Baugrubensicherung, Rühlwand, verankert (KBOB.2016)</v>
      </c>
      <c r="B8" s="2" t="str">
        <f t="shared" si="1"/>
        <v>00.007 Baugrubensicherung, Rühlwand, verankert (KBOB.2016)</v>
      </c>
      <c r="C8" s="2"/>
      <c r="D8" s="2"/>
      <c r="E8" s="2"/>
      <c r="F8" s="2" t="s">
        <v>186</v>
      </c>
      <c r="G8" s="2" t="str">
        <f t="shared" si="2"/>
        <v>OTHER_RESOURCE_CONSTRUCTION_MATERIAL_PREPARATION_WORK</v>
      </c>
      <c r="H8" s="2"/>
      <c r="I8" s="63"/>
      <c r="J8" s="64">
        <f>'Baumaterialien Matériaux'!G17</f>
        <v>259000</v>
      </c>
      <c r="K8" s="64">
        <f>'Baumaterialien Matériaux'!H17</f>
        <v>238000</v>
      </c>
      <c r="L8" s="64">
        <f>'Baumaterialien Matériaux'!I17</f>
        <v>20600</v>
      </c>
      <c r="M8" s="64">
        <f>'Baumaterialien Matériaux'!M17</f>
        <v>43.9</v>
      </c>
      <c r="N8" s="64">
        <f>'Baumaterialien Matériaux'!N17</f>
        <v>42.4</v>
      </c>
      <c r="O8" s="64">
        <f>'Baumaterialien Matériaux'!O17</f>
        <v>1.51</v>
      </c>
      <c r="P8" s="64">
        <f>'Baumaterialien Matériaux'!P17</f>
        <v>681</v>
      </c>
      <c r="Q8" s="64">
        <f>'Baumaterialien Matériaux'!Q17</f>
        <v>640</v>
      </c>
      <c r="R8" s="64">
        <f>'Baumaterialien Matériaux'!R17</f>
        <v>40.7</v>
      </c>
      <c r="S8" s="64">
        <f>'Baumaterialien Matériaux'!S17</f>
        <v>192</v>
      </c>
      <c r="T8" s="64">
        <f>'Baumaterialien Matériaux'!T17</f>
        <v>184</v>
      </c>
      <c r="U8" s="64">
        <f>'Baumaterialien Matériaux'!U17</f>
        <v>7.9</v>
      </c>
      <c r="V8" s="2" t="str">
        <f>'Baumaterialien Matériaux'!F17</f>
        <v>m2</v>
      </c>
      <c r="W8" s="3" t="str">
        <f>SWITCH('Baumaterialien Matériaux'!F17, "m", "probeLength", "m2", "area", "m3", "volume", "kg", "mass", "Stk.", "device")</f>
        <v>area</v>
      </c>
      <c r="X8" s="65" t="str">
        <f>'Baumaterialien Matériaux'!AC17</f>
        <v/>
      </c>
      <c r="Y8" s="66" t="str">
        <f t="shared" si="3"/>
        <v>00.007</v>
      </c>
      <c r="Z8" s="7" t="s">
        <v>203</v>
      </c>
      <c r="AA8" s="67" t="str">
        <f t="shared" si="4"/>
        <v>Alle &gt; RESSOURCEN &gt; kbob.admin.ch &gt; KBOB / ecobau / IPB 2009/1:2016</v>
      </c>
      <c r="AB8" s="68">
        <v>60.0</v>
      </c>
    </row>
    <row r="9">
      <c r="A9" s="2" t="str">
        <f>'Baumaterialien Matériaux'!A18 &amp; " " &amp; 'Baumaterialien Matériaux'!B18 &amp; " (KBOB.2016)"</f>
        <v>00.008 Baugrubensicherung, Schlitzwand, 400 mm (KBOB.2016)</v>
      </c>
      <c r="B9" s="2" t="str">
        <f t="shared" si="1"/>
        <v>00.008 Baugrubensicherung, Schlitzwand, 400 mm (KBOB.2016)</v>
      </c>
      <c r="C9" s="2"/>
      <c r="D9" s="2"/>
      <c r="E9" s="2"/>
      <c r="F9" s="2" t="s">
        <v>186</v>
      </c>
      <c r="G9" s="2" t="str">
        <f t="shared" si="2"/>
        <v>OTHER_RESOURCE_CONSTRUCTION_MATERIAL_PREPARATION_WORK</v>
      </c>
      <c r="H9" s="2"/>
      <c r="I9" s="63"/>
      <c r="J9" s="64">
        <f>'Baumaterialien Matériaux'!G18</f>
        <v>648000</v>
      </c>
      <c r="K9" s="64">
        <f>'Baumaterialien Matériaux'!H18</f>
        <v>583000</v>
      </c>
      <c r="L9" s="64">
        <f>'Baumaterialien Matériaux'!I18</f>
        <v>65500</v>
      </c>
      <c r="M9" s="64">
        <f>'Baumaterialien Matériaux'!M18</f>
        <v>73.3</v>
      </c>
      <c r="N9" s="64">
        <f>'Baumaterialien Matériaux'!N18</f>
        <v>68.6</v>
      </c>
      <c r="O9" s="64">
        <f>'Baumaterialien Matériaux'!O18</f>
        <v>4.76</v>
      </c>
      <c r="P9" s="64">
        <f>'Baumaterialien Matériaux'!P18</f>
        <v>1250</v>
      </c>
      <c r="Q9" s="64">
        <f>'Baumaterialien Matériaux'!Q18</f>
        <v>1120</v>
      </c>
      <c r="R9" s="64">
        <f>'Baumaterialien Matériaux'!R18</f>
        <v>130</v>
      </c>
      <c r="S9" s="64">
        <f>'Baumaterialien Matériaux'!S18</f>
        <v>407</v>
      </c>
      <c r="T9" s="64">
        <f>'Baumaterialien Matériaux'!T18</f>
        <v>382</v>
      </c>
      <c r="U9" s="64">
        <f>'Baumaterialien Matériaux'!U18</f>
        <v>25.2</v>
      </c>
      <c r="V9" s="2" t="str">
        <f>'Baumaterialien Matériaux'!F18</f>
        <v>m2</v>
      </c>
      <c r="W9" s="3" t="str">
        <f>SWITCH('Baumaterialien Matériaux'!F18, "m", "probeLength", "m2", "area", "m3", "volume", "kg", "mass", "Stk.", "device")</f>
        <v>area</v>
      </c>
      <c r="X9" s="65" t="str">
        <f>'Baumaterialien Matériaux'!AC18</f>
        <v/>
      </c>
      <c r="Y9" s="66" t="str">
        <f t="shared" si="3"/>
        <v>00.008</v>
      </c>
      <c r="Z9" s="7" t="s">
        <v>203</v>
      </c>
      <c r="AA9" s="67" t="str">
        <f t="shared" si="4"/>
        <v>Alle &gt; RESSOURCEN &gt; kbob.admin.ch &gt; KBOB / ecobau / IPB 2009/1:2016</v>
      </c>
      <c r="AB9" s="68">
        <v>60.0</v>
      </c>
    </row>
    <row r="10">
      <c r="A10" s="2" t="str">
        <f>'Baumaterialien Matériaux'!A19 &amp; " " &amp; 'Baumaterialien Matériaux'!B19 &amp; " (KBOB.2016)"</f>
        <v>00.009 Baugrubensicherung, Schlitzwand, 800 mm (KBOB.2016)</v>
      </c>
      <c r="B10" s="2" t="str">
        <f t="shared" si="1"/>
        <v>00.009 Baugrubensicherung, Schlitzwand, 800 mm (KBOB.2016)</v>
      </c>
      <c r="C10" s="2"/>
      <c r="D10" s="2"/>
      <c r="E10" s="2"/>
      <c r="F10" s="2" t="s">
        <v>186</v>
      </c>
      <c r="G10" s="2" t="str">
        <f t="shared" si="2"/>
        <v>OTHER_RESOURCE_CONSTRUCTION_MATERIAL_PREPARATION_WORK</v>
      </c>
      <c r="H10" s="2"/>
      <c r="I10" s="63"/>
      <c r="J10" s="64">
        <f>'Baumaterialien Matériaux'!G19</f>
        <v>1230000</v>
      </c>
      <c r="K10" s="64">
        <f>'Baumaterialien Matériaux'!H19</f>
        <v>1100000</v>
      </c>
      <c r="L10" s="64">
        <f>'Baumaterialien Matériaux'!I19</f>
        <v>129000</v>
      </c>
      <c r="M10" s="64">
        <f>'Baumaterialien Matériaux'!M19</f>
        <v>136</v>
      </c>
      <c r="N10" s="64">
        <f>'Baumaterialien Matériaux'!N19</f>
        <v>126</v>
      </c>
      <c r="O10" s="64">
        <f>'Baumaterialien Matériaux'!O19</f>
        <v>9.43</v>
      </c>
      <c r="P10" s="64">
        <f>'Baumaterialien Matériaux'!P19</f>
        <v>2270</v>
      </c>
      <c r="Q10" s="64">
        <f>'Baumaterialien Matériaux'!Q19</f>
        <v>2010</v>
      </c>
      <c r="R10" s="64">
        <f>'Baumaterialien Matériaux'!R19</f>
        <v>256</v>
      </c>
      <c r="S10" s="64">
        <f>'Baumaterialien Matériaux'!S19</f>
        <v>777</v>
      </c>
      <c r="T10" s="64">
        <f>'Baumaterialien Matériaux'!T19</f>
        <v>728</v>
      </c>
      <c r="U10" s="64">
        <f>'Baumaterialien Matériaux'!U19</f>
        <v>49.6</v>
      </c>
      <c r="V10" s="2" t="str">
        <f>'Baumaterialien Matériaux'!F19</f>
        <v>m2</v>
      </c>
      <c r="W10" s="3" t="str">
        <f>SWITCH('Baumaterialien Matériaux'!F19, "m", "probeLength", "m2", "area", "m3", "volume", "kg", "mass", "Stk.", "device")</f>
        <v>area</v>
      </c>
      <c r="X10" s="65" t="str">
        <f>'Baumaterialien Matériaux'!AC19</f>
        <v/>
      </c>
      <c r="Y10" s="66" t="str">
        <f t="shared" si="3"/>
        <v>00.009</v>
      </c>
      <c r="Z10" s="7" t="s">
        <v>203</v>
      </c>
      <c r="AA10" s="67" t="str">
        <f t="shared" si="4"/>
        <v>Alle &gt; RESSOURCEN &gt; kbob.admin.ch &gt; KBOB / ecobau / IPB 2009/1:2016</v>
      </c>
      <c r="AB10" s="68">
        <v>60.0</v>
      </c>
    </row>
    <row r="11">
      <c r="A11" s="2" t="str">
        <f>'Baumaterialien Matériaux'!A20 &amp; " " &amp; 'Baumaterialien Matériaux'!B20 &amp; " (KBOB.2016)"</f>
        <v>00.010 Baugrubensicherung, Spundwand, auskragend (KBOB.2016)</v>
      </c>
      <c r="B11" s="2" t="str">
        <f t="shared" si="1"/>
        <v>00.010 Baugrubensicherung, Spundwand, auskragend (KBOB.2016)</v>
      </c>
      <c r="C11" s="2"/>
      <c r="D11" s="2"/>
      <c r="E11" s="2"/>
      <c r="F11" s="2" t="s">
        <v>186</v>
      </c>
      <c r="G11" s="2" t="str">
        <f t="shared" si="2"/>
        <v>OTHER_RESOURCE_CONSTRUCTION_MATERIAL_PREPARATION_WORK</v>
      </c>
      <c r="H11" s="2"/>
      <c r="I11" s="63"/>
      <c r="J11" s="64">
        <f>'Baumaterialien Matériaux'!G20</f>
        <v>228000</v>
      </c>
      <c r="K11" s="64">
        <f>'Baumaterialien Matériaux'!H20</f>
        <v>228000</v>
      </c>
      <c r="L11" s="64">
        <f>'Baumaterialien Matériaux'!I20</f>
        <v>0</v>
      </c>
      <c r="M11" s="64">
        <f>'Baumaterialien Matériaux'!M20</f>
        <v>46.2</v>
      </c>
      <c r="N11" s="64">
        <f>'Baumaterialien Matériaux'!N20</f>
        <v>46.2</v>
      </c>
      <c r="O11" s="64">
        <f>'Baumaterialien Matériaux'!O20</f>
        <v>0</v>
      </c>
      <c r="P11" s="64">
        <f>'Baumaterialien Matériaux'!P20</f>
        <v>747</v>
      </c>
      <c r="Q11" s="64">
        <f>'Baumaterialien Matériaux'!Q20</f>
        <v>747</v>
      </c>
      <c r="R11" s="64">
        <f>'Baumaterialien Matériaux'!R20</f>
        <v>0</v>
      </c>
      <c r="S11" s="64">
        <f>'Baumaterialien Matériaux'!S20</f>
        <v>163</v>
      </c>
      <c r="T11" s="64">
        <f>'Baumaterialien Matériaux'!T20</f>
        <v>163</v>
      </c>
      <c r="U11" s="64">
        <f>'Baumaterialien Matériaux'!U20</f>
        <v>0</v>
      </c>
      <c r="V11" s="2" t="str">
        <f>'Baumaterialien Matériaux'!F20</f>
        <v>m2</v>
      </c>
      <c r="W11" s="3" t="str">
        <f>SWITCH('Baumaterialien Matériaux'!F20, "m", "probeLength", "m2", "area", "m3", "volume", "kg", "mass", "Stk.", "device")</f>
        <v>area</v>
      </c>
      <c r="X11" s="65" t="str">
        <f>'Baumaterialien Matériaux'!AC20</f>
        <v/>
      </c>
      <c r="Y11" s="66" t="str">
        <f t="shared" si="3"/>
        <v>00.010</v>
      </c>
      <c r="Z11" s="7" t="s">
        <v>203</v>
      </c>
      <c r="AA11" s="67" t="str">
        <f t="shared" si="4"/>
        <v>Alle &gt; RESSOURCEN &gt; kbob.admin.ch &gt; KBOB / ecobau / IPB 2009/1:2016</v>
      </c>
      <c r="AB11" s="68">
        <v>60.0</v>
      </c>
    </row>
    <row r="12">
      <c r="A12" s="2" t="str">
        <f>'Baumaterialien Matériaux'!A21 &amp; " " &amp; 'Baumaterialien Matériaux'!B21 &amp; " (KBOB.2016)"</f>
        <v>00.011 Baugrubensicherung, Spundwand, gespriesst (KBOB.2016)</v>
      </c>
      <c r="B12" s="2" t="str">
        <f t="shared" si="1"/>
        <v>00.011 Baugrubensicherung, Spundwand, gespriesst (KBOB.2016)</v>
      </c>
      <c r="C12" s="2"/>
      <c r="D12" s="2"/>
      <c r="E12" s="2"/>
      <c r="F12" s="2" t="s">
        <v>186</v>
      </c>
      <c r="G12" s="2" t="str">
        <f t="shared" si="2"/>
        <v>OTHER_RESOURCE_CONSTRUCTION_MATERIAL_PREPARATION_WORK</v>
      </c>
      <c r="H12" s="2"/>
      <c r="I12" s="63"/>
      <c r="J12" s="64">
        <f>'Baumaterialien Matériaux'!G21</f>
        <v>129000</v>
      </c>
      <c r="K12" s="64">
        <f>'Baumaterialien Matériaux'!H21</f>
        <v>129000</v>
      </c>
      <c r="L12" s="64">
        <f>'Baumaterialien Matériaux'!I21</f>
        <v>0</v>
      </c>
      <c r="M12" s="64">
        <f>'Baumaterialien Matériaux'!M21</f>
        <v>25.3</v>
      </c>
      <c r="N12" s="64">
        <f>'Baumaterialien Matériaux'!N21</f>
        <v>25.3</v>
      </c>
      <c r="O12" s="64">
        <f>'Baumaterialien Matériaux'!O21</f>
        <v>0</v>
      </c>
      <c r="P12" s="64">
        <f>'Baumaterialien Matériaux'!P21</f>
        <v>421</v>
      </c>
      <c r="Q12" s="64">
        <f>'Baumaterialien Matériaux'!Q21</f>
        <v>421</v>
      </c>
      <c r="R12" s="64">
        <f>'Baumaterialien Matériaux'!R21</f>
        <v>0</v>
      </c>
      <c r="S12" s="64">
        <f>'Baumaterialien Matériaux'!S21</f>
        <v>92.3</v>
      </c>
      <c r="T12" s="64">
        <f>'Baumaterialien Matériaux'!T21</f>
        <v>92.3</v>
      </c>
      <c r="U12" s="64">
        <f>'Baumaterialien Matériaux'!U21</f>
        <v>0</v>
      </c>
      <c r="V12" s="2" t="str">
        <f>'Baumaterialien Matériaux'!F21</f>
        <v>m2</v>
      </c>
      <c r="W12" s="3" t="str">
        <f>SWITCH('Baumaterialien Matériaux'!F21, "m", "probeLength", "m2", "area", "m3", "volume", "kg", "mass", "Stk.", "device")</f>
        <v>area</v>
      </c>
      <c r="X12" s="65" t="str">
        <f>'Baumaterialien Matériaux'!AC21</f>
        <v/>
      </c>
      <c r="Y12" s="66" t="str">
        <f t="shared" si="3"/>
        <v>00.011</v>
      </c>
      <c r="Z12" s="7" t="s">
        <v>203</v>
      </c>
      <c r="AA12" s="67" t="str">
        <f t="shared" si="4"/>
        <v>Alle &gt; RESSOURCEN &gt; kbob.admin.ch &gt; KBOB / ecobau / IPB 2009/1:2016</v>
      </c>
      <c r="AB12" s="68">
        <v>60.0</v>
      </c>
    </row>
    <row r="13">
      <c r="A13" s="2" t="str">
        <f>'Baumaterialien Matériaux'!A22 &amp; " " &amp; 'Baumaterialien Matériaux'!B22 &amp; " (KBOB.2016)"</f>
        <v>00.012 Baugrubensicherung, Spundwand, verankert (KBOB.2016)</v>
      </c>
      <c r="B13" s="2" t="str">
        <f t="shared" si="1"/>
        <v>00.012 Baugrubensicherung, Spundwand, verankert (KBOB.2016)</v>
      </c>
      <c r="C13" s="2"/>
      <c r="D13" s="2"/>
      <c r="E13" s="2"/>
      <c r="F13" s="2" t="s">
        <v>186</v>
      </c>
      <c r="G13" s="2" t="str">
        <f t="shared" si="2"/>
        <v>OTHER_RESOURCE_CONSTRUCTION_MATERIAL_PREPARATION_WORK</v>
      </c>
      <c r="H13" s="2"/>
      <c r="I13" s="63"/>
      <c r="J13" s="64">
        <f>'Baumaterialien Matériaux'!G22</f>
        <v>255000</v>
      </c>
      <c r="K13" s="64">
        <f>'Baumaterialien Matériaux'!H22</f>
        <v>255000</v>
      </c>
      <c r="L13" s="64">
        <f>'Baumaterialien Matériaux'!I22</f>
        <v>0</v>
      </c>
      <c r="M13" s="64">
        <f>'Baumaterialien Matériaux'!M22</f>
        <v>55.3</v>
      </c>
      <c r="N13" s="64">
        <f>'Baumaterialien Matériaux'!N22</f>
        <v>55.3</v>
      </c>
      <c r="O13" s="64">
        <f>'Baumaterialien Matériaux'!O22</f>
        <v>0</v>
      </c>
      <c r="P13" s="64">
        <f>'Baumaterialien Matériaux'!P22</f>
        <v>813</v>
      </c>
      <c r="Q13" s="64">
        <f>'Baumaterialien Matériaux'!Q22</f>
        <v>813</v>
      </c>
      <c r="R13" s="64">
        <f>'Baumaterialien Matériaux'!R22</f>
        <v>0</v>
      </c>
      <c r="S13" s="64">
        <f>'Baumaterialien Matériaux'!S22</f>
        <v>181</v>
      </c>
      <c r="T13" s="64">
        <f>'Baumaterialien Matériaux'!T22</f>
        <v>181</v>
      </c>
      <c r="U13" s="64">
        <f>'Baumaterialien Matériaux'!U22</f>
        <v>0</v>
      </c>
      <c r="V13" s="2" t="str">
        <f>'Baumaterialien Matériaux'!F22</f>
        <v>m2</v>
      </c>
      <c r="W13" s="3" t="str">
        <f>SWITCH('Baumaterialien Matériaux'!F22, "m", "probeLength", "m2", "area", "m3", "volume", "kg", "mass", "Stk.", "device")</f>
        <v>area</v>
      </c>
      <c r="X13" s="65" t="str">
        <f>'Baumaterialien Matériaux'!AC22</f>
        <v/>
      </c>
      <c r="Y13" s="66" t="str">
        <f t="shared" si="3"/>
        <v>00.012</v>
      </c>
      <c r="Z13" s="7" t="s">
        <v>203</v>
      </c>
      <c r="AA13" s="67" t="str">
        <f t="shared" si="4"/>
        <v>Alle &gt; RESSOURCEN &gt; kbob.admin.ch &gt; KBOB / ecobau / IPB 2009/1:2016</v>
      </c>
      <c r="AB13" s="68">
        <v>60.0</v>
      </c>
    </row>
    <row r="14">
      <c r="A14" s="2" t="str">
        <f>'Baumaterialien Matériaux'!A23 &amp; " " &amp; 'Baumaterialien Matériaux'!B23 &amp; " (KBOB.2016)"</f>
        <v>00.013 Tiefgründung, Mikrobohrpfahl (KBOB.2016)</v>
      </c>
      <c r="B14" s="2" t="str">
        <f t="shared" si="1"/>
        <v>00.013 Tiefgründung, Mikrobohrpfahl (KBOB.2016)</v>
      </c>
      <c r="C14" s="2"/>
      <c r="D14" s="2"/>
      <c r="E14" s="2"/>
      <c r="F14" s="2" t="s">
        <v>186</v>
      </c>
      <c r="G14" s="2" t="str">
        <f t="shared" si="2"/>
        <v>OTHER_RESOURCE_CONSTRUCTION_MATERIAL_PREPARATION_WORK</v>
      </c>
      <c r="H14" s="2"/>
      <c r="I14" s="63"/>
      <c r="J14" s="64">
        <f>'Baumaterialien Matériaux'!G23</f>
        <v>48600</v>
      </c>
      <c r="K14" s="64">
        <f>'Baumaterialien Matériaux'!H23</f>
        <v>48600</v>
      </c>
      <c r="L14" s="64">
        <f>'Baumaterialien Matériaux'!I23</f>
        <v>0</v>
      </c>
      <c r="M14" s="64">
        <f>'Baumaterialien Matériaux'!M23</f>
        <v>7.74</v>
      </c>
      <c r="N14" s="64">
        <f>'Baumaterialien Matériaux'!N23</f>
        <v>7.74</v>
      </c>
      <c r="O14" s="64">
        <f>'Baumaterialien Matériaux'!O23</f>
        <v>0</v>
      </c>
      <c r="P14" s="64">
        <f>'Baumaterialien Matériaux'!P23</f>
        <v>116</v>
      </c>
      <c r="Q14" s="64">
        <f>'Baumaterialien Matériaux'!Q23</f>
        <v>116</v>
      </c>
      <c r="R14" s="64">
        <f>'Baumaterialien Matériaux'!R23</f>
        <v>0</v>
      </c>
      <c r="S14" s="64">
        <f>'Baumaterialien Matériaux'!S23</f>
        <v>30.6</v>
      </c>
      <c r="T14" s="64">
        <f>'Baumaterialien Matériaux'!T23</f>
        <v>30.6</v>
      </c>
      <c r="U14" s="64">
        <f>'Baumaterialien Matériaux'!U23</f>
        <v>0</v>
      </c>
      <c r="V14" s="2" t="str">
        <f>'Baumaterialien Matériaux'!F23</f>
        <v>m</v>
      </c>
      <c r="W14" s="3" t="str">
        <f>SWITCH('Baumaterialien Matériaux'!F23, "m", "probeLength", "m2", "area", "m3", "volume", "kg", "mass", "Stk.", "device")</f>
        <v>probeLength</v>
      </c>
      <c r="X14" s="65" t="str">
        <f>'Baumaterialien Matériaux'!AC23</f>
        <v/>
      </c>
      <c r="Y14" s="66" t="str">
        <f t="shared" si="3"/>
        <v>00.013</v>
      </c>
      <c r="Z14" s="7" t="s">
        <v>203</v>
      </c>
      <c r="AA14" s="67" t="str">
        <f t="shared" si="4"/>
        <v>Alle &gt; RESSOURCEN &gt; kbob.admin.ch &gt; KBOB / ecobau / IPB 2009/1:2016</v>
      </c>
      <c r="AB14" s="68">
        <v>60.0</v>
      </c>
    </row>
    <row r="15">
      <c r="A15" s="2" t="str">
        <f>'Baumaterialien Matériaux'!A24 &amp; " " &amp; 'Baumaterialien Matériaux'!B24 &amp; " (KBOB.2016)"</f>
        <v>00.014 Tiefgründung, Ortbetonbohrpfahl, 700 mm (KBOB.2016)</v>
      </c>
      <c r="B15" s="2" t="str">
        <f t="shared" si="1"/>
        <v>00.014 Tiefgründung, Ortbetonbohrpfahl, 700 mm (KBOB.2016)</v>
      </c>
      <c r="C15" s="2"/>
      <c r="D15" s="2"/>
      <c r="E15" s="2"/>
      <c r="F15" s="2" t="s">
        <v>186</v>
      </c>
      <c r="G15" s="2" t="str">
        <f t="shared" si="2"/>
        <v>OTHER_RESOURCE_CONSTRUCTION_MATERIAL_PREPARATION_WORK</v>
      </c>
      <c r="H15" s="2"/>
      <c r="I15" s="63"/>
      <c r="J15" s="64">
        <f>'Baumaterialien Matériaux'!G24</f>
        <v>229000</v>
      </c>
      <c r="K15" s="64">
        <f>'Baumaterialien Matériaux'!H24</f>
        <v>229000</v>
      </c>
      <c r="L15" s="64">
        <f>'Baumaterialien Matériaux'!I24</f>
        <v>0</v>
      </c>
      <c r="M15" s="64">
        <f>'Baumaterialien Matériaux'!M24</f>
        <v>22.4</v>
      </c>
      <c r="N15" s="64">
        <f>'Baumaterialien Matériaux'!N24</f>
        <v>22.4</v>
      </c>
      <c r="O15" s="64">
        <f>'Baumaterialien Matériaux'!O24</f>
        <v>0</v>
      </c>
      <c r="P15" s="64">
        <f>'Baumaterialien Matériaux'!P24</f>
        <v>404</v>
      </c>
      <c r="Q15" s="64">
        <f>'Baumaterialien Matériaux'!Q24</f>
        <v>404</v>
      </c>
      <c r="R15" s="64">
        <f>'Baumaterialien Matériaux'!R24</f>
        <v>0</v>
      </c>
      <c r="S15" s="64">
        <f>'Baumaterialien Matériaux'!S24</f>
        <v>159</v>
      </c>
      <c r="T15" s="64">
        <f>'Baumaterialien Matériaux'!T24</f>
        <v>159</v>
      </c>
      <c r="U15" s="64">
        <f>'Baumaterialien Matériaux'!U24</f>
        <v>0</v>
      </c>
      <c r="V15" s="2" t="str">
        <f>'Baumaterialien Matériaux'!F24</f>
        <v>m</v>
      </c>
      <c r="W15" s="3" t="str">
        <f>SWITCH('Baumaterialien Matériaux'!F24, "m", "probeLength", "m2", "area", "m3", "volume", "kg", "mass", "Stk.", "device")</f>
        <v>probeLength</v>
      </c>
      <c r="X15" s="65" t="str">
        <f>'Baumaterialien Matériaux'!AC24</f>
        <v/>
      </c>
      <c r="Y15" s="66" t="str">
        <f t="shared" si="3"/>
        <v>00.014</v>
      </c>
      <c r="Z15" s="7" t="s">
        <v>203</v>
      </c>
      <c r="AA15" s="67" t="str">
        <f t="shared" si="4"/>
        <v>Alle &gt; RESSOURCEN &gt; kbob.admin.ch &gt; KBOB / ecobau / IPB 2009/1:2016</v>
      </c>
      <c r="AB15" s="68">
        <v>60.0</v>
      </c>
    </row>
    <row r="16">
      <c r="A16" s="2" t="str">
        <f>'Baumaterialien Matériaux'!A25 &amp; " " &amp; 'Baumaterialien Matériaux'!B25 &amp; " (KBOB.2016)"</f>
        <v>00.015 Tiefgründung, Ortbetonbohrpfahl, 900 mm (KBOB.2016)</v>
      </c>
      <c r="B16" s="2" t="str">
        <f t="shared" si="1"/>
        <v>00.015 Tiefgründung, Ortbetonbohrpfahl, 900 mm (KBOB.2016)</v>
      </c>
      <c r="C16" s="2"/>
      <c r="D16" s="2"/>
      <c r="E16" s="2"/>
      <c r="F16" s="2" t="s">
        <v>186</v>
      </c>
      <c r="G16" s="2" t="str">
        <f t="shared" si="2"/>
        <v>OTHER_RESOURCE_CONSTRUCTION_MATERIAL_PREPARATION_WORK</v>
      </c>
      <c r="H16" s="2"/>
      <c r="I16" s="63"/>
      <c r="J16" s="64">
        <f>'Baumaterialien Matériaux'!G25</f>
        <v>331000</v>
      </c>
      <c r="K16" s="64">
        <f>'Baumaterialien Matériaux'!H25</f>
        <v>331000</v>
      </c>
      <c r="L16" s="64">
        <f>'Baumaterialien Matériaux'!I25</f>
        <v>0</v>
      </c>
      <c r="M16" s="64">
        <f>'Baumaterialien Matériaux'!M25</f>
        <v>35</v>
      </c>
      <c r="N16" s="64">
        <f>'Baumaterialien Matériaux'!N25</f>
        <v>35</v>
      </c>
      <c r="O16" s="64">
        <f>'Baumaterialien Matériaux'!O25</f>
        <v>0</v>
      </c>
      <c r="P16" s="64">
        <f>'Baumaterialien Matériaux'!P25</f>
        <v>566</v>
      </c>
      <c r="Q16" s="64">
        <f>'Baumaterialien Matériaux'!Q25</f>
        <v>566</v>
      </c>
      <c r="R16" s="64">
        <f>'Baumaterialien Matériaux'!R25</f>
        <v>0</v>
      </c>
      <c r="S16" s="64">
        <f>'Baumaterialien Matériaux'!S25</f>
        <v>239</v>
      </c>
      <c r="T16" s="64">
        <f>'Baumaterialien Matériaux'!T25</f>
        <v>239</v>
      </c>
      <c r="U16" s="64">
        <f>'Baumaterialien Matériaux'!U25</f>
        <v>0</v>
      </c>
      <c r="V16" s="2" t="str">
        <f>'Baumaterialien Matériaux'!F25</f>
        <v>m</v>
      </c>
      <c r="W16" s="3" t="str">
        <f>SWITCH('Baumaterialien Matériaux'!F25, "m", "probeLength", "m2", "area", "m3", "volume", "kg", "mass", "Stk.", "device")</f>
        <v>probeLength</v>
      </c>
      <c r="X16" s="65" t="str">
        <f>'Baumaterialien Matériaux'!AC25</f>
        <v/>
      </c>
      <c r="Y16" s="66" t="str">
        <f t="shared" si="3"/>
        <v>00.015</v>
      </c>
      <c r="Z16" s="7" t="s">
        <v>203</v>
      </c>
      <c r="AA16" s="67" t="str">
        <f t="shared" si="4"/>
        <v>Alle &gt; RESSOURCEN &gt; kbob.admin.ch &gt; KBOB / ecobau / IPB 2009/1:2016</v>
      </c>
      <c r="AB16" s="68">
        <v>60.0</v>
      </c>
    </row>
    <row r="17">
      <c r="A17" s="2" t="str">
        <f>'Baumaterialien Matériaux'!A26 &amp; " " &amp; 'Baumaterialien Matériaux'!B26 &amp; " (KBOB.2016)"</f>
        <v>00.016 Tiefgründung, Ortbetonbohrpfahl, 1200 mm (KBOB.2016)</v>
      </c>
      <c r="B17" s="2" t="str">
        <f t="shared" si="1"/>
        <v>00.016 Tiefgründung, Ortbetonbohrpfahl, 1200 mm (KBOB.2016)</v>
      </c>
      <c r="C17" s="2"/>
      <c r="D17" s="2"/>
      <c r="E17" s="2"/>
      <c r="F17" s="2" t="s">
        <v>186</v>
      </c>
      <c r="G17" s="2" t="str">
        <f t="shared" si="2"/>
        <v>OTHER_RESOURCE_CONSTRUCTION_MATERIAL_PREPARATION_WORK</v>
      </c>
      <c r="H17" s="2"/>
      <c r="I17" s="63"/>
      <c r="J17" s="64">
        <f>'Baumaterialien Matériaux'!G26</f>
        <v>506000</v>
      </c>
      <c r="K17" s="64">
        <f>'Baumaterialien Matériaux'!H26</f>
        <v>506000</v>
      </c>
      <c r="L17" s="64">
        <f>'Baumaterialien Matériaux'!I26</f>
        <v>0</v>
      </c>
      <c r="M17" s="64">
        <f>'Baumaterialien Matériaux'!M26</f>
        <v>55.6</v>
      </c>
      <c r="N17" s="64">
        <f>'Baumaterialien Matériaux'!N26</f>
        <v>55.6</v>
      </c>
      <c r="O17" s="64">
        <f>'Baumaterialien Matériaux'!O26</f>
        <v>0</v>
      </c>
      <c r="P17" s="64">
        <f>'Baumaterialien Matériaux'!P26</f>
        <v>851</v>
      </c>
      <c r="Q17" s="64">
        <f>'Baumaterialien Matériaux'!Q26</f>
        <v>851</v>
      </c>
      <c r="R17" s="64">
        <f>'Baumaterialien Matériaux'!R26</f>
        <v>0</v>
      </c>
      <c r="S17" s="64">
        <f>'Baumaterialien Matériaux'!S26</f>
        <v>372</v>
      </c>
      <c r="T17" s="64">
        <f>'Baumaterialien Matériaux'!T26</f>
        <v>372</v>
      </c>
      <c r="U17" s="64">
        <f>'Baumaterialien Matériaux'!U26</f>
        <v>0</v>
      </c>
      <c r="V17" s="2" t="str">
        <f>'Baumaterialien Matériaux'!F26</f>
        <v>m</v>
      </c>
      <c r="W17" s="3" t="str">
        <f>SWITCH('Baumaterialien Matériaux'!F26, "m", "probeLength", "m2", "area", "m3", "volume", "kg", "mass", "Stk.", "device")</f>
        <v>probeLength</v>
      </c>
      <c r="X17" s="65" t="str">
        <f>'Baumaterialien Matériaux'!AC26</f>
        <v/>
      </c>
      <c r="Y17" s="66" t="str">
        <f t="shared" si="3"/>
        <v>00.016</v>
      </c>
      <c r="Z17" s="7" t="s">
        <v>203</v>
      </c>
      <c r="AA17" s="67" t="str">
        <f t="shared" si="4"/>
        <v>Alle &gt; RESSOURCEN &gt; kbob.admin.ch &gt; KBOB / ecobau / IPB 2009/1:2016</v>
      </c>
      <c r="AB17" s="68">
        <v>60.0</v>
      </c>
    </row>
    <row r="18">
      <c r="A18" s="2" t="str">
        <f>'Baumaterialien Matériaux'!A27 &amp; " " &amp; 'Baumaterialien Matériaux'!B27 &amp; " (KBOB.2016)"</f>
        <v>00.017 Tiefgründung, Ortbetonverdrängungspfahl 560/480 mm (KBOB.2016)</v>
      </c>
      <c r="B18" s="2" t="str">
        <f t="shared" si="1"/>
        <v>00.017 Tiefgründung, Ortbetonverdrängungspfahl 560/480 mm (KBOB.2016)</v>
      </c>
      <c r="C18" s="2"/>
      <c r="D18" s="2"/>
      <c r="E18" s="2"/>
      <c r="F18" s="2" t="s">
        <v>186</v>
      </c>
      <c r="G18" s="2" t="str">
        <f t="shared" si="2"/>
        <v>OTHER_RESOURCE_CONSTRUCTION_MATERIAL_PREPARATION_WORK</v>
      </c>
      <c r="H18" s="2"/>
      <c r="I18" s="63"/>
      <c r="J18" s="64">
        <f>'Baumaterialien Matériaux'!G27</f>
        <v>122000</v>
      </c>
      <c r="K18" s="64">
        <f>'Baumaterialien Matériaux'!H27</f>
        <v>122000</v>
      </c>
      <c r="L18" s="64">
        <f>'Baumaterialien Matériaux'!I27</f>
        <v>0</v>
      </c>
      <c r="M18" s="64">
        <f>'Baumaterialien Matériaux'!M27</f>
        <v>9.87</v>
      </c>
      <c r="N18" s="64">
        <f>'Baumaterialien Matériaux'!N27</f>
        <v>9.87</v>
      </c>
      <c r="O18" s="64">
        <f>'Baumaterialien Matériaux'!O27</f>
        <v>0</v>
      </c>
      <c r="P18" s="64">
        <f>'Baumaterialien Matériaux'!P27</f>
        <v>226</v>
      </c>
      <c r="Q18" s="64">
        <f>'Baumaterialien Matériaux'!Q27</f>
        <v>226</v>
      </c>
      <c r="R18" s="64">
        <f>'Baumaterialien Matériaux'!R27</f>
        <v>0</v>
      </c>
      <c r="S18" s="64">
        <f>'Baumaterialien Matériaux'!S27</f>
        <v>72.2</v>
      </c>
      <c r="T18" s="64">
        <f>'Baumaterialien Matériaux'!T27</f>
        <v>72.2</v>
      </c>
      <c r="U18" s="64">
        <f>'Baumaterialien Matériaux'!U27</f>
        <v>0</v>
      </c>
      <c r="V18" s="2" t="str">
        <f>'Baumaterialien Matériaux'!F27</f>
        <v>m</v>
      </c>
      <c r="W18" s="3" t="str">
        <f>SWITCH('Baumaterialien Matériaux'!F27, "m", "probeLength", "m2", "area", "m3", "volume", "kg", "mass", "Stk.", "device")</f>
        <v>probeLength</v>
      </c>
      <c r="X18" s="65" t="str">
        <f>'Baumaterialien Matériaux'!AC27</f>
        <v/>
      </c>
      <c r="Y18" s="66" t="str">
        <f t="shared" si="3"/>
        <v>00.017</v>
      </c>
      <c r="Z18" s="7" t="s">
        <v>203</v>
      </c>
      <c r="AA18" s="67" t="str">
        <f t="shared" si="4"/>
        <v>Alle &gt; RESSOURCEN &gt; kbob.admin.ch &gt; KBOB / ecobau / IPB 2009/1:2016</v>
      </c>
      <c r="AB18" s="68">
        <v>60.0</v>
      </c>
    </row>
    <row r="19">
      <c r="A19" s="2" t="str">
        <f>'Baumaterialien Matériaux'!A28 &amp; " " &amp; 'Baumaterialien Matériaux'!B28 &amp; " (KBOB.2016)"</f>
        <v>00.018 Tiefgründung, Ortbetonverdrängungspfahl 660/580 mm (KBOB.2016)</v>
      </c>
      <c r="B19" s="2" t="str">
        <f t="shared" si="1"/>
        <v>00.018 Tiefgründung, Ortbetonverdrängungspfahl 660/580 mm (KBOB.2016)</v>
      </c>
      <c r="C19" s="2"/>
      <c r="D19" s="2"/>
      <c r="E19" s="2"/>
      <c r="F19" s="2" t="s">
        <v>186</v>
      </c>
      <c r="G19" s="2" t="str">
        <f t="shared" si="2"/>
        <v>OTHER_RESOURCE_CONSTRUCTION_MATERIAL_PREPARATION_WORK</v>
      </c>
      <c r="H19" s="2"/>
      <c r="I19" s="63"/>
      <c r="J19" s="64">
        <f>'Baumaterialien Matériaux'!G28</f>
        <v>152000</v>
      </c>
      <c r="K19" s="64">
        <f>'Baumaterialien Matériaux'!H28</f>
        <v>152000</v>
      </c>
      <c r="L19" s="64">
        <f>'Baumaterialien Matériaux'!I28</f>
        <v>0</v>
      </c>
      <c r="M19" s="64">
        <f>'Baumaterialien Matériaux'!M28</f>
        <v>13.2</v>
      </c>
      <c r="N19" s="64">
        <f>'Baumaterialien Matériaux'!N28</f>
        <v>13.2</v>
      </c>
      <c r="O19" s="64">
        <f>'Baumaterialien Matériaux'!O28</f>
        <v>0</v>
      </c>
      <c r="P19" s="64">
        <f>'Baumaterialien Matériaux'!P28</f>
        <v>273</v>
      </c>
      <c r="Q19" s="64">
        <f>'Baumaterialien Matériaux'!Q28</f>
        <v>273</v>
      </c>
      <c r="R19" s="64">
        <f>'Baumaterialien Matériaux'!R28</f>
        <v>0</v>
      </c>
      <c r="S19" s="64">
        <f>'Baumaterialien Matériaux'!S28</f>
        <v>91.3</v>
      </c>
      <c r="T19" s="64">
        <f>'Baumaterialien Matériaux'!T28</f>
        <v>91.3</v>
      </c>
      <c r="U19" s="64">
        <f>'Baumaterialien Matériaux'!U28</f>
        <v>0</v>
      </c>
      <c r="V19" s="2" t="str">
        <f>'Baumaterialien Matériaux'!F28</f>
        <v>m</v>
      </c>
      <c r="W19" s="3" t="str">
        <f>SWITCH('Baumaterialien Matériaux'!F28, "m", "probeLength", "m2", "area", "m3", "volume", "kg", "mass", "Stk.", "device")</f>
        <v>probeLength</v>
      </c>
      <c r="X19" s="65" t="str">
        <f>'Baumaterialien Matériaux'!AC28</f>
        <v/>
      </c>
      <c r="Y19" s="66" t="str">
        <f t="shared" si="3"/>
        <v>00.018</v>
      </c>
      <c r="Z19" s="7" t="s">
        <v>203</v>
      </c>
      <c r="AA19" s="67" t="str">
        <f t="shared" si="4"/>
        <v>Alle &gt; RESSOURCEN &gt; kbob.admin.ch &gt; KBOB / ecobau / IPB 2009/1:2016</v>
      </c>
      <c r="AB19" s="68">
        <v>60.0</v>
      </c>
    </row>
    <row r="20">
      <c r="A20" s="2" t="str">
        <f>'Baumaterialien Matériaux'!A29 &amp; " " &amp; 'Baumaterialien Matériaux'!B29 &amp; " (KBOB.2016)"</f>
        <v>00.019 Tiefgründung, Rüttelstopfsäule (KBOB.2016)</v>
      </c>
      <c r="B20" s="2" t="str">
        <f t="shared" si="1"/>
        <v>00.019 Tiefgründung, Rüttelstopfsäule (KBOB.2016)</v>
      </c>
      <c r="C20" s="2"/>
      <c r="D20" s="2"/>
      <c r="E20" s="2"/>
      <c r="F20" s="2" t="s">
        <v>186</v>
      </c>
      <c r="G20" s="2" t="str">
        <f t="shared" si="2"/>
        <v>OTHER_RESOURCE_CONSTRUCTION_MATERIAL_PREPARATION_WORK</v>
      </c>
      <c r="H20" s="2"/>
      <c r="I20" s="63"/>
      <c r="J20" s="64">
        <f>'Baumaterialien Matériaux'!G29</f>
        <v>29900</v>
      </c>
      <c r="K20" s="64">
        <f>'Baumaterialien Matériaux'!H29</f>
        <v>29900</v>
      </c>
      <c r="L20" s="64">
        <f>'Baumaterialien Matériaux'!I29</f>
        <v>0</v>
      </c>
      <c r="M20" s="64">
        <f>'Baumaterialien Matériaux'!M29</f>
        <v>1.1</v>
      </c>
      <c r="N20" s="64">
        <f>'Baumaterialien Matériaux'!N29</f>
        <v>1.1</v>
      </c>
      <c r="O20" s="64">
        <f>'Baumaterialien Matériaux'!O29</f>
        <v>0</v>
      </c>
      <c r="P20" s="64">
        <f>'Baumaterialien Matériaux'!P29</f>
        <v>30.9</v>
      </c>
      <c r="Q20" s="64">
        <f>'Baumaterialien Matériaux'!Q29</f>
        <v>30.9</v>
      </c>
      <c r="R20" s="64">
        <f>'Baumaterialien Matériaux'!R29</f>
        <v>0</v>
      </c>
      <c r="S20" s="64">
        <f>'Baumaterialien Matériaux'!S29</f>
        <v>6.45</v>
      </c>
      <c r="T20" s="64">
        <f>'Baumaterialien Matériaux'!T29</f>
        <v>6.45</v>
      </c>
      <c r="U20" s="64">
        <f>'Baumaterialien Matériaux'!U29</f>
        <v>0</v>
      </c>
      <c r="V20" s="2" t="str">
        <f>'Baumaterialien Matériaux'!F29</f>
        <v>m</v>
      </c>
      <c r="W20" s="3" t="str">
        <f>SWITCH('Baumaterialien Matériaux'!F29, "m", "probeLength", "m2", "area", "m3", "volume", "kg", "mass", "Stk.", "device")</f>
        <v>probeLength</v>
      </c>
      <c r="X20" s="65" t="str">
        <f>'Baumaterialien Matériaux'!AC29</f>
        <v/>
      </c>
      <c r="Y20" s="66" t="str">
        <f t="shared" si="3"/>
        <v>00.019</v>
      </c>
      <c r="Z20" s="7" t="s">
        <v>203</v>
      </c>
      <c r="AA20" s="67" t="str">
        <f t="shared" si="4"/>
        <v>Alle &gt; RESSOURCEN &gt; kbob.admin.ch &gt; KBOB / ecobau / IPB 2009/1:2016</v>
      </c>
      <c r="AB20" s="68">
        <v>60.0</v>
      </c>
    </row>
    <row r="21">
      <c r="A21" s="2" t="str">
        <f>'Baumaterialien Matériaux'!A30 &amp; " " &amp; 'Baumaterialien Matériaux'!B30 &amp; " (KBOB.2016)"</f>
        <v>00.020 Tiefgründung, Vorgefertigter Betonpfahl (KBOB.2016)</v>
      </c>
      <c r="B21" s="2" t="str">
        <f t="shared" si="1"/>
        <v>00.020 Tiefgründung, Vorgefertigter Betonpfahl (KBOB.2016)</v>
      </c>
      <c r="C21" s="2"/>
      <c r="D21" s="2"/>
      <c r="E21" s="2"/>
      <c r="F21" s="2" t="s">
        <v>186</v>
      </c>
      <c r="G21" s="2" t="str">
        <f t="shared" si="2"/>
        <v>OTHER_RESOURCE_CONSTRUCTION_MATERIAL_PREPARATION_WORK</v>
      </c>
      <c r="H21" s="2"/>
      <c r="I21" s="63"/>
      <c r="J21" s="64">
        <f>'Baumaterialien Matériaux'!G30</f>
        <v>38800</v>
      </c>
      <c r="K21" s="64">
        <f>'Baumaterialien Matériaux'!H30</f>
        <v>38800</v>
      </c>
      <c r="L21" s="64">
        <f>'Baumaterialien Matériaux'!I30</f>
        <v>0</v>
      </c>
      <c r="M21" s="64">
        <f>'Baumaterialien Matériaux'!M30</f>
        <v>4.22</v>
      </c>
      <c r="N21" s="64">
        <f>'Baumaterialien Matériaux'!N30</f>
        <v>4.22</v>
      </c>
      <c r="O21" s="64">
        <f>'Baumaterialien Matériaux'!O30</f>
        <v>0</v>
      </c>
      <c r="P21" s="64">
        <f>'Baumaterialien Matériaux'!P30</f>
        <v>66.1</v>
      </c>
      <c r="Q21" s="64">
        <f>'Baumaterialien Matériaux'!Q30</f>
        <v>66.1</v>
      </c>
      <c r="R21" s="64">
        <f>'Baumaterialien Matériaux'!R30</f>
        <v>0</v>
      </c>
      <c r="S21" s="64">
        <f>'Baumaterialien Matériaux'!S30</f>
        <v>28.6</v>
      </c>
      <c r="T21" s="64">
        <f>'Baumaterialien Matériaux'!T30</f>
        <v>28.6</v>
      </c>
      <c r="U21" s="64">
        <f>'Baumaterialien Matériaux'!U30</f>
        <v>0</v>
      </c>
      <c r="V21" s="2" t="str">
        <f>'Baumaterialien Matériaux'!F30</f>
        <v>m</v>
      </c>
      <c r="W21" s="3" t="str">
        <f>SWITCH('Baumaterialien Matériaux'!F30, "m", "probeLength", "m2", "area", "m3", "volume", "kg", "mass", "Stk.", "device")</f>
        <v>probeLength</v>
      </c>
      <c r="X21" s="65" t="str">
        <f>'Baumaterialien Matériaux'!AC30</f>
        <v/>
      </c>
      <c r="Y21" s="66" t="str">
        <f t="shared" si="3"/>
        <v>00.020</v>
      </c>
      <c r="Z21" s="7" t="s">
        <v>203</v>
      </c>
      <c r="AA21" s="67" t="str">
        <f t="shared" si="4"/>
        <v>Alle &gt; RESSOURCEN &gt; kbob.admin.ch &gt; KBOB / ecobau / IPB 2009/1:2016</v>
      </c>
      <c r="AB21" s="68">
        <v>60.0</v>
      </c>
    </row>
    <row r="22">
      <c r="A22" s="2" t="str">
        <f>'Baumaterialien Matériaux'!A31 &amp; " " &amp; 'Baumaterialien Matériaux'!B31 &amp; " (KBOB.2016)"</f>
        <v>00.021 Wasserhaltung, Pumphöhe 2.5 m (KBOB.2016)</v>
      </c>
      <c r="B22" s="2" t="str">
        <f t="shared" si="1"/>
        <v>00.021 Wasserhaltung, Pumphöhe 2.5 m (KBOB.2016)</v>
      </c>
      <c r="C22" s="2"/>
      <c r="D22" s="2"/>
      <c r="E22" s="2"/>
      <c r="F22" s="2" t="s">
        <v>186</v>
      </c>
      <c r="G22" s="2" t="str">
        <f t="shared" si="2"/>
        <v>OTHER_RESOURCE_CONSTRUCTION_MATERIAL_PREPARATION_WORK</v>
      </c>
      <c r="H22" s="2"/>
      <c r="I22" s="63"/>
      <c r="J22" s="64">
        <f>'Baumaterialien Matériaux'!G31</f>
        <v>14.4</v>
      </c>
      <c r="K22" s="64">
        <f>'Baumaterialien Matériaux'!H31</f>
        <v>14.4</v>
      </c>
      <c r="L22" s="64">
        <f>'Baumaterialien Matériaux'!I31</f>
        <v>0</v>
      </c>
      <c r="M22" s="64">
        <f>'Baumaterialien Matériaux'!M31</f>
        <v>0.0196</v>
      </c>
      <c r="N22" s="64">
        <f>'Baumaterialien Matériaux'!N31</f>
        <v>0.0196</v>
      </c>
      <c r="O22" s="64">
        <f>'Baumaterialien Matériaux'!O31</f>
        <v>0</v>
      </c>
      <c r="P22" s="64">
        <f>'Baumaterialien Matériaux'!P31</f>
        <v>0.101</v>
      </c>
      <c r="Q22" s="64">
        <f>'Baumaterialien Matériaux'!Q31</f>
        <v>0.101</v>
      </c>
      <c r="R22" s="64">
        <f>'Baumaterialien Matériaux'!R31</f>
        <v>0</v>
      </c>
      <c r="S22" s="64">
        <f>'Baumaterialien Matériaux'!S31</f>
        <v>0.00421</v>
      </c>
      <c r="T22" s="64">
        <f>'Baumaterialien Matériaux'!T31</f>
        <v>0.00421</v>
      </c>
      <c r="U22" s="64">
        <f>'Baumaterialien Matériaux'!U31</f>
        <v>0</v>
      </c>
      <c r="V22" s="69" t="str">
        <f>'Baumaterialien Matériaux'!F31</f>
        <v>m3</v>
      </c>
      <c r="W22" s="3" t="str">
        <f>SWITCH('Baumaterialien Matériaux'!F31, "m", "probeLength", "m2", "area", "m3", "volume", "kg", "mass", "Stk.", "device")</f>
        <v>volume</v>
      </c>
      <c r="X22" s="65" t="str">
        <f>'Baumaterialien Matériaux'!AC31</f>
        <v/>
      </c>
      <c r="Y22" s="66" t="str">
        <f t="shared" si="3"/>
        <v>00.021</v>
      </c>
      <c r="Z22" s="7" t="s">
        <v>203</v>
      </c>
      <c r="AA22" s="67" t="str">
        <f t="shared" si="4"/>
        <v>Alle &gt; RESSOURCEN &gt; kbob.admin.ch &gt; KBOB / ecobau / IPB 2009/1:2016</v>
      </c>
      <c r="AB22" s="68">
        <v>60.0</v>
      </c>
    </row>
    <row r="23">
      <c r="A23" s="2" t="str">
        <f>'Baumaterialien Matériaux'!A32 &amp; " " &amp; 'Baumaterialien Matériaux'!B32 &amp; " (KBOB.2016)"</f>
        <v>00.022 Wasserhaltung, Pumphöhe 5 m (KBOB.2016)</v>
      </c>
      <c r="B23" s="2" t="str">
        <f t="shared" si="1"/>
        <v>00.022 Wasserhaltung, Pumphöhe 5 m (KBOB.2016)</v>
      </c>
      <c r="C23" s="2"/>
      <c r="D23" s="2"/>
      <c r="E23" s="2"/>
      <c r="F23" s="2" t="s">
        <v>186</v>
      </c>
      <c r="G23" s="2" t="str">
        <f t="shared" si="2"/>
        <v>OTHER_RESOURCE_CONSTRUCTION_MATERIAL_PREPARATION_WORK</v>
      </c>
      <c r="H23" s="2"/>
      <c r="I23" s="63"/>
      <c r="J23" s="64">
        <f>'Baumaterialien Matériaux'!G32</f>
        <v>16.8</v>
      </c>
      <c r="K23" s="64">
        <f>'Baumaterialien Matériaux'!H32</f>
        <v>16.8</v>
      </c>
      <c r="L23" s="64">
        <f>'Baumaterialien Matériaux'!I32</f>
        <v>0</v>
      </c>
      <c r="M23" s="64">
        <f>'Baumaterialien Matériaux'!M32</f>
        <v>0.023</v>
      </c>
      <c r="N23" s="64">
        <f>'Baumaterialien Matériaux'!N32</f>
        <v>0.023</v>
      </c>
      <c r="O23" s="64">
        <f>'Baumaterialien Matériaux'!O32</f>
        <v>0</v>
      </c>
      <c r="P23" s="64">
        <f>'Baumaterialien Matériaux'!P32</f>
        <v>0.119</v>
      </c>
      <c r="Q23" s="64">
        <f>'Baumaterialien Matériaux'!Q32</f>
        <v>0.119</v>
      </c>
      <c r="R23" s="64">
        <f>'Baumaterialien Matériaux'!R32</f>
        <v>0</v>
      </c>
      <c r="S23" s="64">
        <f>'Baumaterialien Matériaux'!S32</f>
        <v>0.00492</v>
      </c>
      <c r="T23" s="64">
        <f>'Baumaterialien Matériaux'!T32</f>
        <v>0.00492</v>
      </c>
      <c r="U23" s="64">
        <f>'Baumaterialien Matériaux'!U32</f>
        <v>0</v>
      </c>
      <c r="V23" s="69" t="str">
        <f>'Baumaterialien Matériaux'!F32</f>
        <v>m3</v>
      </c>
      <c r="W23" s="3" t="str">
        <f>SWITCH('Baumaterialien Matériaux'!F32, "m", "probeLength", "m2", "area", "m3", "volume", "kg", "mass", "Stk.", "device")</f>
        <v>volume</v>
      </c>
      <c r="X23" s="65" t="str">
        <f>'Baumaterialien Matériaux'!AC32</f>
        <v/>
      </c>
      <c r="Y23" s="66" t="str">
        <f t="shared" si="3"/>
        <v>00.022</v>
      </c>
      <c r="Z23" s="7" t="s">
        <v>203</v>
      </c>
      <c r="AA23" s="67" t="str">
        <f t="shared" si="4"/>
        <v>Alle &gt; RESSOURCEN &gt; kbob.admin.ch &gt; KBOB / ecobau / IPB 2009/1:2016</v>
      </c>
      <c r="AB23" s="68">
        <v>60.0</v>
      </c>
    </row>
    <row r="24">
      <c r="A24" s="2" t="str">
        <f>'Baumaterialien Matériaux'!A33 &amp; " " &amp; 'Baumaterialien Matériaux'!B33 &amp; " (KBOB.2016)"</f>
        <v>00.023 Wasserhaltung, Pumphöhe 7.5 m (KBOB.2016)</v>
      </c>
      <c r="B24" s="2" t="str">
        <f t="shared" si="1"/>
        <v>00.023 Wasserhaltung, Pumphöhe 7.5 m (KBOB.2016)</v>
      </c>
      <c r="C24" s="2"/>
      <c r="D24" s="2"/>
      <c r="E24" s="2"/>
      <c r="F24" s="2" t="s">
        <v>186</v>
      </c>
      <c r="G24" s="2" t="str">
        <f t="shared" si="2"/>
        <v>OTHER_RESOURCE_CONSTRUCTION_MATERIAL_PREPARATION_WORK</v>
      </c>
      <c r="H24" s="2"/>
      <c r="I24" s="63"/>
      <c r="J24" s="64">
        <f>'Baumaterialien Matériaux'!G33</f>
        <v>19.6</v>
      </c>
      <c r="K24" s="64">
        <f>'Baumaterialien Matériaux'!H33</f>
        <v>19.6</v>
      </c>
      <c r="L24" s="64">
        <f>'Baumaterialien Matériaux'!I33</f>
        <v>0</v>
      </c>
      <c r="M24" s="64">
        <f>'Baumaterialien Matériaux'!M33</f>
        <v>0.0268</v>
      </c>
      <c r="N24" s="64">
        <f>'Baumaterialien Matériaux'!N33</f>
        <v>0.0268</v>
      </c>
      <c r="O24" s="64">
        <f>'Baumaterialien Matériaux'!O33</f>
        <v>0</v>
      </c>
      <c r="P24" s="64">
        <f>'Baumaterialien Matériaux'!P33</f>
        <v>0.138</v>
      </c>
      <c r="Q24" s="64">
        <f>'Baumaterialien Matériaux'!Q33</f>
        <v>0.138</v>
      </c>
      <c r="R24" s="64">
        <f>'Baumaterialien Matériaux'!R33</f>
        <v>0</v>
      </c>
      <c r="S24" s="64">
        <f>'Baumaterialien Matériaux'!S33</f>
        <v>0.00571</v>
      </c>
      <c r="T24" s="64">
        <f>'Baumaterialien Matériaux'!T33</f>
        <v>0.00571</v>
      </c>
      <c r="U24" s="64">
        <f>'Baumaterialien Matériaux'!U33</f>
        <v>0</v>
      </c>
      <c r="V24" s="69" t="str">
        <f>'Baumaterialien Matériaux'!F33</f>
        <v>m3</v>
      </c>
      <c r="W24" s="3" t="str">
        <f>SWITCH('Baumaterialien Matériaux'!F33, "m", "probeLength", "m2", "area", "m3", "volume", "kg", "mass", "Stk.", "device")</f>
        <v>volume</v>
      </c>
      <c r="X24" s="65" t="str">
        <f>'Baumaterialien Matériaux'!AC33</f>
        <v/>
      </c>
      <c r="Y24" s="66" t="str">
        <f t="shared" si="3"/>
        <v>00.023</v>
      </c>
      <c r="Z24" s="7" t="s">
        <v>203</v>
      </c>
      <c r="AA24" s="67" t="str">
        <f t="shared" si="4"/>
        <v>Alle &gt; RESSOURCEN &gt; kbob.admin.ch &gt; KBOB / ecobau / IPB 2009/1:2016</v>
      </c>
      <c r="AB24" s="68">
        <v>60.0</v>
      </c>
    </row>
    <row r="25">
      <c r="A25" s="2" t="str">
        <f>'Baumaterialien Matériaux'!A34 &amp; " " &amp; 'Baumaterialien Matériaux'!B34 &amp; " (KBOB.2016)"</f>
        <v>00.024 Wasserhaltung, Pumphöhe 10 m (KBOB.2016)</v>
      </c>
      <c r="B25" s="2" t="str">
        <f t="shared" si="1"/>
        <v>00.024 Wasserhaltung, Pumphöhe 10 m (KBOB.2016)</v>
      </c>
      <c r="C25" s="2"/>
      <c r="D25" s="2"/>
      <c r="E25" s="2"/>
      <c r="F25" s="2" t="s">
        <v>186</v>
      </c>
      <c r="G25" s="2" t="str">
        <f t="shared" si="2"/>
        <v>OTHER_RESOURCE_CONSTRUCTION_MATERIAL_PREPARATION_WORK</v>
      </c>
      <c r="H25" s="2"/>
      <c r="I25" s="63"/>
      <c r="J25" s="64">
        <f>'Baumaterialien Matériaux'!G34</f>
        <v>22.5</v>
      </c>
      <c r="K25" s="64">
        <f>'Baumaterialien Matériaux'!H34</f>
        <v>22.5</v>
      </c>
      <c r="L25" s="64">
        <f>'Baumaterialien Matériaux'!I34</f>
        <v>0</v>
      </c>
      <c r="M25" s="64">
        <f>'Baumaterialien Matériaux'!M34</f>
        <v>0.0309</v>
      </c>
      <c r="N25" s="64">
        <f>'Baumaterialien Matériaux'!N34</f>
        <v>0.0309</v>
      </c>
      <c r="O25" s="64">
        <f>'Baumaterialien Matériaux'!O34</f>
        <v>0</v>
      </c>
      <c r="P25" s="64">
        <f>'Baumaterialien Matériaux'!P34</f>
        <v>0.159</v>
      </c>
      <c r="Q25" s="64">
        <f>'Baumaterialien Matériaux'!Q34</f>
        <v>0.159</v>
      </c>
      <c r="R25" s="64">
        <f>'Baumaterialien Matériaux'!R34</f>
        <v>0</v>
      </c>
      <c r="S25" s="64">
        <f>'Baumaterialien Matériaux'!S34</f>
        <v>0.00656</v>
      </c>
      <c r="T25" s="64">
        <f>'Baumaterialien Matériaux'!T34</f>
        <v>0.00656</v>
      </c>
      <c r="U25" s="64">
        <f>'Baumaterialien Matériaux'!U34</f>
        <v>0</v>
      </c>
      <c r="V25" s="69" t="str">
        <f>'Baumaterialien Matériaux'!F34</f>
        <v>m3</v>
      </c>
      <c r="W25" s="3" t="str">
        <f>SWITCH('Baumaterialien Matériaux'!F34, "m", "probeLength", "m2", "area", "m3", "volume", "kg", "mass", "Stk.", "device")</f>
        <v>volume</v>
      </c>
      <c r="X25" s="65" t="str">
        <f>'Baumaterialien Matériaux'!AC34</f>
        <v/>
      </c>
      <c r="Y25" s="66" t="str">
        <f t="shared" si="3"/>
        <v>00.024</v>
      </c>
      <c r="Z25" s="7" t="s">
        <v>203</v>
      </c>
      <c r="AA25" s="67" t="str">
        <f t="shared" si="4"/>
        <v>Alle &gt; RESSOURCEN &gt; kbob.admin.ch &gt; KBOB / ecobau / IPB 2009/1:2016</v>
      </c>
      <c r="AB25" s="68">
        <v>60.0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3E2"/>
    <outlinePr summaryRight="0"/>
    <pageSetUpPr fitToPage="1"/>
  </sheetPr>
  <sheetViews>
    <sheetView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4.43" defaultRowHeight="15.0" outlineLevelCol="1" outlineLevelRow="1"/>
  <cols>
    <col customWidth="1" min="1" max="1" width="10.71"/>
    <col collapsed="1" customWidth="1" min="2" max="2" width="53.14"/>
    <col customWidth="1" hidden="1" min="3" max="3" width="11.43" outlineLevel="1"/>
    <col customWidth="1" hidden="1" min="4" max="4" width="74.14" outlineLevel="1"/>
    <col customWidth="1" min="5" max="5" width="12.0"/>
    <col customWidth="1" min="6" max="6" width="7.14"/>
    <col customWidth="1" min="7" max="9" width="10.71"/>
    <col customWidth="1" min="10" max="12" width="10.71" outlineLevel="1"/>
    <col customWidth="1" min="13" max="21" width="10.71"/>
    <col customWidth="1" min="22" max="22" width="63.86"/>
    <col customWidth="1" min="23" max="32" width="11.43"/>
  </cols>
  <sheetData>
    <row r="1" ht="12.75" customHeight="1">
      <c r="A1" s="70"/>
      <c r="B1" s="71" t="s">
        <v>403</v>
      </c>
      <c r="C1" s="72"/>
      <c r="D1" s="73"/>
      <c r="E1" s="74"/>
      <c r="F1" s="75"/>
      <c r="G1" s="76"/>
      <c r="H1" s="72"/>
      <c r="I1" s="72"/>
      <c r="J1" s="76"/>
      <c r="K1" s="72"/>
      <c r="L1" s="72"/>
      <c r="M1" s="76" t="s">
        <v>404</v>
      </c>
      <c r="N1" s="72"/>
      <c r="O1" s="72"/>
      <c r="P1" s="72"/>
      <c r="Q1" s="72"/>
      <c r="R1" s="72"/>
      <c r="S1" s="72"/>
      <c r="T1" s="72"/>
      <c r="U1" s="72"/>
      <c r="V1" s="77" t="s">
        <v>117</v>
      </c>
      <c r="W1" s="78"/>
      <c r="X1" s="78"/>
      <c r="Y1" s="78"/>
      <c r="Z1" s="78"/>
      <c r="AA1" s="78"/>
      <c r="AB1" s="78"/>
      <c r="AC1" s="78"/>
      <c r="AD1" s="78"/>
      <c r="AE1" s="78"/>
      <c r="AF1" s="78"/>
    </row>
    <row r="2" ht="12.75" customHeight="1">
      <c r="A2" s="79"/>
      <c r="B2" s="80"/>
      <c r="C2" s="81"/>
      <c r="D2" s="82"/>
      <c r="E2" s="83"/>
      <c r="F2" s="83"/>
      <c r="G2" s="82"/>
      <c r="H2" s="81"/>
      <c r="I2" s="81"/>
      <c r="J2" s="81"/>
      <c r="K2" s="81"/>
      <c r="L2" s="84"/>
      <c r="M2" s="81"/>
      <c r="N2" s="81"/>
      <c r="O2" s="84"/>
      <c r="P2" s="84"/>
      <c r="Q2" s="81"/>
      <c r="R2" s="81"/>
      <c r="S2" s="81"/>
      <c r="T2" s="81"/>
      <c r="U2" s="81"/>
      <c r="V2" s="85"/>
      <c r="W2" s="86"/>
      <c r="X2" s="86"/>
      <c r="Y2" s="86"/>
      <c r="Z2" s="86"/>
      <c r="AA2" s="86"/>
      <c r="AB2" s="86"/>
      <c r="AC2" s="86"/>
      <c r="AD2" s="86"/>
      <c r="AE2" s="86"/>
      <c r="AF2" s="86"/>
    </row>
    <row r="3" ht="12.75" hidden="1" customHeight="1" outlineLevel="1">
      <c r="A3" s="87"/>
      <c r="B3" s="88"/>
      <c r="C3" s="89"/>
      <c r="D3" s="90"/>
      <c r="E3" s="90"/>
      <c r="F3" s="91"/>
      <c r="G3" s="92"/>
      <c r="H3" s="91" t="s">
        <v>405</v>
      </c>
      <c r="I3" s="91" t="s">
        <v>405</v>
      </c>
      <c r="J3" s="91"/>
      <c r="K3" s="91" t="s">
        <v>405</v>
      </c>
      <c r="L3" s="91" t="s">
        <v>405</v>
      </c>
      <c r="M3" s="91"/>
      <c r="N3" s="91" t="s">
        <v>406</v>
      </c>
      <c r="O3" s="91" t="s">
        <v>406</v>
      </c>
      <c r="P3" s="91"/>
      <c r="Q3" s="91" t="s">
        <v>407</v>
      </c>
      <c r="R3" s="93" t="s">
        <v>407</v>
      </c>
      <c r="S3" s="91"/>
      <c r="T3" s="91" t="s">
        <v>408</v>
      </c>
      <c r="U3" s="91" t="s">
        <v>408</v>
      </c>
      <c r="V3" s="94"/>
      <c r="W3" s="91"/>
      <c r="X3" s="91"/>
      <c r="Y3" s="91"/>
      <c r="Z3" s="91"/>
      <c r="AA3" s="91"/>
      <c r="AB3" s="91"/>
      <c r="AC3" s="91"/>
      <c r="AD3" s="91"/>
      <c r="AE3" s="91"/>
      <c r="AF3" s="91"/>
    </row>
    <row r="4" ht="25.5" customHeight="1" collapsed="1">
      <c r="A4" s="95" t="s">
        <v>409</v>
      </c>
      <c r="B4" s="96" t="s">
        <v>410</v>
      </c>
      <c r="C4" s="97" t="s">
        <v>411</v>
      </c>
      <c r="D4" s="98" t="s">
        <v>412</v>
      </c>
      <c r="E4" s="99" t="s">
        <v>413</v>
      </c>
      <c r="F4" s="100" t="s">
        <v>414</v>
      </c>
      <c r="G4" s="101" t="s">
        <v>122</v>
      </c>
      <c r="H4" s="102"/>
      <c r="I4" s="103"/>
      <c r="J4" s="104" t="s">
        <v>415</v>
      </c>
      <c r="K4" s="102"/>
      <c r="L4" s="102"/>
      <c r="M4" s="102"/>
      <c r="N4" s="102"/>
      <c r="O4" s="102"/>
      <c r="P4" s="102"/>
      <c r="Q4" s="102"/>
      <c r="R4" s="103"/>
      <c r="S4" s="104" t="s">
        <v>416</v>
      </c>
      <c r="T4" s="102"/>
      <c r="U4" s="103"/>
      <c r="V4" s="105" t="s">
        <v>417</v>
      </c>
      <c r="W4" s="91"/>
      <c r="X4" s="91"/>
      <c r="Y4" s="91"/>
      <c r="Z4" s="91"/>
      <c r="AA4" s="91"/>
      <c r="AB4" s="91"/>
      <c r="AC4" s="91"/>
      <c r="AD4" s="91"/>
      <c r="AE4" s="91"/>
      <c r="AF4" s="91"/>
    </row>
    <row r="5" ht="12.75" customHeight="1">
      <c r="A5" s="106" t="s">
        <v>418</v>
      </c>
      <c r="B5" s="107"/>
      <c r="C5" s="108" t="s">
        <v>419</v>
      </c>
      <c r="D5" s="109"/>
      <c r="E5" s="110"/>
      <c r="F5" s="107"/>
      <c r="G5" s="111" t="s">
        <v>420</v>
      </c>
      <c r="H5" s="112"/>
      <c r="I5" s="113"/>
      <c r="J5" s="114" t="s">
        <v>421</v>
      </c>
      <c r="K5" s="115"/>
      <c r="L5" s="116"/>
      <c r="M5" s="117" t="s">
        <v>125</v>
      </c>
      <c r="N5" s="115"/>
      <c r="O5" s="116"/>
      <c r="P5" s="114" t="s">
        <v>126</v>
      </c>
      <c r="Q5" s="115"/>
      <c r="R5" s="116"/>
      <c r="S5" s="118" t="s">
        <v>422</v>
      </c>
      <c r="T5" s="115"/>
      <c r="U5" s="116"/>
      <c r="V5" s="107"/>
      <c r="W5" s="91"/>
      <c r="X5" s="91"/>
      <c r="Y5" s="91"/>
      <c r="Z5" s="91"/>
      <c r="AA5" s="91"/>
      <c r="AB5" s="91"/>
      <c r="AC5" s="91"/>
      <c r="AD5" s="91"/>
      <c r="AE5" s="91"/>
      <c r="AF5" s="91"/>
    </row>
    <row r="6" ht="12.75" customHeight="1">
      <c r="A6" s="110"/>
      <c r="B6" s="110"/>
      <c r="C6" s="119"/>
      <c r="D6" s="120"/>
      <c r="E6" s="121" t="s">
        <v>423</v>
      </c>
      <c r="F6" s="107"/>
      <c r="G6" s="122"/>
      <c r="H6" s="123"/>
      <c r="I6" s="124"/>
      <c r="J6" s="125" t="s">
        <v>424</v>
      </c>
      <c r="K6" s="126"/>
      <c r="L6" s="127"/>
      <c r="M6" s="128" t="s">
        <v>145</v>
      </c>
      <c r="N6" s="126"/>
      <c r="O6" s="127"/>
      <c r="P6" s="125" t="s">
        <v>425</v>
      </c>
      <c r="Q6" s="126"/>
      <c r="R6" s="127"/>
      <c r="S6" s="125" t="s">
        <v>426</v>
      </c>
      <c r="T6" s="126"/>
      <c r="U6" s="127"/>
      <c r="V6" s="110"/>
      <c r="W6" s="91"/>
      <c r="X6" s="91"/>
      <c r="Y6" s="91"/>
      <c r="Z6" s="91"/>
      <c r="AA6" s="91"/>
      <c r="AB6" s="91"/>
      <c r="AC6" s="91"/>
      <c r="AD6" s="91"/>
      <c r="AE6" s="91"/>
      <c r="AF6" s="91"/>
    </row>
    <row r="7" ht="18.75" customHeight="1">
      <c r="A7" s="129"/>
      <c r="B7" s="130" t="s">
        <v>427</v>
      </c>
      <c r="C7" s="89"/>
      <c r="D7" s="131" t="s">
        <v>428</v>
      </c>
      <c r="E7" s="107"/>
      <c r="F7" s="107"/>
      <c r="G7" s="132" t="s">
        <v>405</v>
      </c>
      <c r="H7" s="133" t="s">
        <v>429</v>
      </c>
      <c r="I7" s="133" t="s">
        <v>412</v>
      </c>
      <c r="J7" s="134" t="s">
        <v>405</v>
      </c>
      <c r="K7" s="135" t="s">
        <v>429</v>
      </c>
      <c r="L7" s="135" t="s">
        <v>412</v>
      </c>
      <c r="M7" s="134" t="s">
        <v>405</v>
      </c>
      <c r="N7" s="135" t="s">
        <v>429</v>
      </c>
      <c r="O7" s="135" t="s">
        <v>412</v>
      </c>
      <c r="P7" s="134" t="s">
        <v>405</v>
      </c>
      <c r="Q7" s="135" t="s">
        <v>429</v>
      </c>
      <c r="R7" s="135" t="s">
        <v>412</v>
      </c>
      <c r="S7" s="134" t="s">
        <v>405</v>
      </c>
      <c r="T7" s="135" t="s">
        <v>429</v>
      </c>
      <c r="U7" s="135" t="s">
        <v>412</v>
      </c>
      <c r="V7" s="136" t="s">
        <v>430</v>
      </c>
      <c r="W7" s="91"/>
      <c r="X7" s="91"/>
      <c r="Y7" s="91"/>
      <c r="Z7" s="91"/>
      <c r="AA7" s="91"/>
      <c r="AB7" s="91"/>
      <c r="AC7" s="91"/>
      <c r="AD7" s="91"/>
      <c r="AE7" s="91"/>
      <c r="AF7" s="91"/>
    </row>
    <row r="8" ht="18.75" customHeight="1">
      <c r="A8" s="137"/>
      <c r="B8" s="110"/>
      <c r="C8" s="89"/>
      <c r="D8" s="131"/>
      <c r="E8" s="110"/>
      <c r="F8" s="107"/>
      <c r="G8" s="138" t="s">
        <v>405</v>
      </c>
      <c r="H8" s="139" t="s">
        <v>431</v>
      </c>
      <c r="I8" s="139" t="s">
        <v>432</v>
      </c>
      <c r="J8" s="140" t="s">
        <v>405</v>
      </c>
      <c r="K8" s="141" t="s">
        <v>431</v>
      </c>
      <c r="L8" s="141" t="s">
        <v>432</v>
      </c>
      <c r="M8" s="140" t="s">
        <v>405</v>
      </c>
      <c r="N8" s="141" t="s">
        <v>431</v>
      </c>
      <c r="O8" s="141" t="s">
        <v>432</v>
      </c>
      <c r="P8" s="140" t="s">
        <v>405</v>
      </c>
      <c r="Q8" s="141" t="s">
        <v>431</v>
      </c>
      <c r="R8" s="141" t="s">
        <v>432</v>
      </c>
      <c r="S8" s="140" t="s">
        <v>405</v>
      </c>
      <c r="T8" s="141" t="s">
        <v>431</v>
      </c>
      <c r="U8" s="141" t="s">
        <v>432</v>
      </c>
      <c r="V8" s="110"/>
      <c r="W8" s="142"/>
      <c r="X8" s="142"/>
      <c r="Y8" s="142"/>
      <c r="Z8" s="142"/>
      <c r="AA8" s="142"/>
      <c r="AB8" s="142"/>
      <c r="AC8" s="142"/>
      <c r="AD8" s="142"/>
      <c r="AE8" s="142"/>
      <c r="AF8" s="142"/>
    </row>
    <row r="9" ht="18.75" customHeight="1">
      <c r="A9" s="143"/>
      <c r="B9" s="144"/>
      <c r="C9" s="89"/>
      <c r="D9" s="131"/>
      <c r="E9" s="145"/>
      <c r="F9" s="146"/>
      <c r="G9" s="147" t="s">
        <v>420</v>
      </c>
      <c r="H9" s="147" t="s">
        <v>420</v>
      </c>
      <c r="I9" s="147" t="s">
        <v>420</v>
      </c>
      <c r="J9" s="148" t="s">
        <v>433</v>
      </c>
      <c r="K9" s="148" t="s">
        <v>433</v>
      </c>
      <c r="L9" s="148" t="s">
        <v>433</v>
      </c>
      <c r="M9" s="148" t="s">
        <v>433</v>
      </c>
      <c r="N9" s="148" t="s">
        <v>433</v>
      </c>
      <c r="O9" s="148" t="s">
        <v>433</v>
      </c>
      <c r="P9" s="148" t="s">
        <v>433</v>
      </c>
      <c r="Q9" s="148" t="s">
        <v>433</v>
      </c>
      <c r="R9" s="148" t="s">
        <v>433</v>
      </c>
      <c r="S9" s="149" t="s">
        <v>434</v>
      </c>
      <c r="T9" s="149" t="s">
        <v>435</v>
      </c>
      <c r="U9" s="149" t="s">
        <v>436</v>
      </c>
      <c r="V9" s="150"/>
      <c r="W9" s="142"/>
      <c r="X9" s="142"/>
      <c r="Y9" s="142"/>
      <c r="Z9" s="142"/>
      <c r="AA9" s="142"/>
      <c r="AB9" s="142"/>
      <c r="AC9" s="142"/>
      <c r="AD9" s="142"/>
      <c r="AE9" s="142"/>
      <c r="AF9" s="142"/>
    </row>
    <row r="10" ht="12.75" customHeight="1">
      <c r="A10" s="151">
        <v>0.0</v>
      </c>
      <c r="B10" s="152" t="s">
        <v>437</v>
      </c>
      <c r="C10" s="153"/>
      <c r="D10" s="152"/>
      <c r="E10" s="154" t="s">
        <v>438</v>
      </c>
      <c r="F10" s="155"/>
      <c r="G10" s="155"/>
      <c r="H10" s="155"/>
      <c r="I10" s="155"/>
      <c r="J10" s="156"/>
      <c r="K10" s="157"/>
      <c r="L10" s="158"/>
      <c r="M10" s="156"/>
      <c r="N10" s="157"/>
      <c r="O10" s="158"/>
      <c r="P10" s="159"/>
      <c r="Q10" s="157"/>
      <c r="R10" s="157"/>
      <c r="S10" s="159"/>
      <c r="T10" s="157"/>
      <c r="U10" s="157"/>
      <c r="V10" s="160" t="s">
        <v>439</v>
      </c>
      <c r="W10" s="91"/>
      <c r="X10" s="91"/>
      <c r="Y10" s="91"/>
      <c r="Z10" s="91"/>
      <c r="AA10" s="91"/>
      <c r="AB10" s="91"/>
      <c r="AC10" s="91"/>
      <c r="AD10" s="91"/>
      <c r="AE10" s="91"/>
      <c r="AF10" s="91"/>
    </row>
    <row r="11" ht="12.75" customHeight="1">
      <c r="A11" s="161" t="s">
        <v>202</v>
      </c>
      <c r="B11" s="162" t="s">
        <v>440</v>
      </c>
      <c r="C11" s="162" t="s">
        <v>441</v>
      </c>
      <c r="D11" s="162" t="s">
        <v>442</v>
      </c>
      <c r="E11" s="163" t="s">
        <v>438</v>
      </c>
      <c r="F11" s="164" t="s">
        <v>443</v>
      </c>
      <c r="G11" s="165">
        <v>1010000.0</v>
      </c>
      <c r="H11" s="166">
        <v>877000.0</v>
      </c>
      <c r="I11" s="166">
        <v>130000.0</v>
      </c>
      <c r="J11" s="167">
        <v>2390.0</v>
      </c>
      <c r="K11" s="168">
        <v>2120.0</v>
      </c>
      <c r="L11" s="168">
        <v>268.0</v>
      </c>
      <c r="M11" s="167">
        <v>110.0</v>
      </c>
      <c r="N11" s="168">
        <v>101.0</v>
      </c>
      <c r="O11" s="168">
        <v>9.57</v>
      </c>
      <c r="P11" s="167">
        <v>2280.0</v>
      </c>
      <c r="Q11" s="168">
        <v>2020.0</v>
      </c>
      <c r="R11" s="168">
        <v>258.0</v>
      </c>
      <c r="S11" s="167">
        <v>828.0</v>
      </c>
      <c r="T11" s="168">
        <v>778.0</v>
      </c>
      <c r="U11" s="168">
        <v>50.2</v>
      </c>
      <c r="V11" s="169" t="s">
        <v>444</v>
      </c>
      <c r="W11" s="170"/>
      <c r="X11" s="170"/>
      <c r="Y11" s="170"/>
      <c r="Z11" s="170"/>
      <c r="AA11" s="170"/>
      <c r="AB11" s="170"/>
      <c r="AC11" s="170"/>
      <c r="AD11" s="170"/>
      <c r="AE11" s="170"/>
      <c r="AF11" s="170"/>
    </row>
    <row r="12" ht="12.75" customHeight="1">
      <c r="A12" s="161" t="s">
        <v>214</v>
      </c>
      <c r="B12" s="162" t="s">
        <v>445</v>
      </c>
      <c r="C12" s="162" t="s">
        <v>446</v>
      </c>
      <c r="D12" s="162" t="s">
        <v>447</v>
      </c>
      <c r="E12" s="163" t="s">
        <v>438</v>
      </c>
      <c r="F12" s="164" t="s">
        <v>448</v>
      </c>
      <c r="G12" s="165">
        <v>952000.0</v>
      </c>
      <c r="H12" s="166">
        <v>822000.0</v>
      </c>
      <c r="I12" s="166">
        <v>130000.0</v>
      </c>
      <c r="J12" s="167">
        <v>2180.0</v>
      </c>
      <c r="K12" s="168">
        <v>1910.0</v>
      </c>
      <c r="L12" s="168">
        <v>268.0</v>
      </c>
      <c r="M12" s="167">
        <v>94.3</v>
      </c>
      <c r="N12" s="168">
        <v>84.8</v>
      </c>
      <c r="O12" s="168">
        <v>9.57</v>
      </c>
      <c r="P12" s="167">
        <v>2090.0</v>
      </c>
      <c r="Q12" s="168">
        <v>1830.0</v>
      </c>
      <c r="R12" s="168">
        <v>258.0</v>
      </c>
      <c r="S12" s="167">
        <v>788.0</v>
      </c>
      <c r="T12" s="168">
        <v>738.0</v>
      </c>
      <c r="U12" s="168">
        <v>50.2</v>
      </c>
      <c r="V12" s="169" t="s">
        <v>449</v>
      </c>
      <c r="W12" s="170"/>
      <c r="X12" s="170"/>
      <c r="Y12" s="170"/>
      <c r="Z12" s="170"/>
      <c r="AA12" s="170"/>
      <c r="AB12" s="170"/>
      <c r="AC12" s="170"/>
      <c r="AD12" s="170"/>
      <c r="AE12" s="170"/>
      <c r="AF12" s="170"/>
    </row>
    <row r="13" ht="12.75" customHeight="1">
      <c r="A13" s="161" t="s">
        <v>228</v>
      </c>
      <c r="B13" s="162" t="s">
        <v>450</v>
      </c>
      <c r="C13" s="162" t="s">
        <v>451</v>
      </c>
      <c r="D13" s="162" t="s">
        <v>452</v>
      </c>
      <c r="E13" s="163" t="s">
        <v>438</v>
      </c>
      <c r="F13" s="164" t="s">
        <v>453</v>
      </c>
      <c r="G13" s="165">
        <v>778000.0</v>
      </c>
      <c r="H13" s="166">
        <v>692000.0</v>
      </c>
      <c r="I13" s="166">
        <v>86200.0</v>
      </c>
      <c r="J13" s="171">
        <v>1590.0</v>
      </c>
      <c r="K13" s="172">
        <v>1410.0</v>
      </c>
      <c r="L13" s="172">
        <v>177.0</v>
      </c>
      <c r="M13" s="171">
        <v>82.8</v>
      </c>
      <c r="N13" s="172">
        <v>76.4</v>
      </c>
      <c r="O13" s="172">
        <v>6.32</v>
      </c>
      <c r="P13" s="171">
        <v>1510.0</v>
      </c>
      <c r="Q13" s="172">
        <v>1340.0</v>
      </c>
      <c r="R13" s="172">
        <v>170.0</v>
      </c>
      <c r="S13" s="171">
        <v>512.0</v>
      </c>
      <c r="T13" s="172">
        <v>478.0</v>
      </c>
      <c r="U13" s="172">
        <v>33.1</v>
      </c>
      <c r="V13" s="173" t="s">
        <v>454</v>
      </c>
      <c r="W13" s="170"/>
      <c r="X13" s="170"/>
      <c r="Y13" s="170"/>
      <c r="Z13" s="170"/>
      <c r="AA13" s="170"/>
      <c r="AB13" s="170"/>
      <c r="AC13" s="170"/>
      <c r="AD13" s="170"/>
      <c r="AE13" s="170"/>
      <c r="AF13" s="170"/>
    </row>
    <row r="14" ht="12.75" customHeight="1">
      <c r="A14" s="161" t="s">
        <v>242</v>
      </c>
      <c r="B14" s="162" t="s">
        <v>455</v>
      </c>
      <c r="C14" s="162" t="s">
        <v>456</v>
      </c>
      <c r="D14" s="162" t="s">
        <v>457</v>
      </c>
      <c r="E14" s="163" t="s">
        <v>438</v>
      </c>
      <c r="F14" s="164" t="s">
        <v>458</v>
      </c>
      <c r="G14" s="165">
        <v>171000.0</v>
      </c>
      <c r="H14" s="166">
        <v>152000.0</v>
      </c>
      <c r="I14" s="166">
        <v>18900.0</v>
      </c>
      <c r="J14" s="171">
        <v>342.0</v>
      </c>
      <c r="K14" s="172">
        <v>303.0</v>
      </c>
      <c r="L14" s="172">
        <v>38.8</v>
      </c>
      <c r="M14" s="171">
        <v>17.9</v>
      </c>
      <c r="N14" s="172">
        <v>16.6</v>
      </c>
      <c r="O14" s="172">
        <v>1.39</v>
      </c>
      <c r="P14" s="171">
        <v>324.0</v>
      </c>
      <c r="Q14" s="172">
        <v>286.0</v>
      </c>
      <c r="R14" s="172">
        <v>37.5</v>
      </c>
      <c r="S14" s="171">
        <v>116.0</v>
      </c>
      <c r="T14" s="172">
        <v>109.0</v>
      </c>
      <c r="U14" s="172">
        <v>7.28</v>
      </c>
      <c r="V14" s="173" t="s">
        <v>459</v>
      </c>
      <c r="W14" s="170"/>
      <c r="X14" s="170"/>
      <c r="Y14" s="170"/>
      <c r="Z14" s="170"/>
      <c r="AA14" s="170"/>
      <c r="AB14" s="170"/>
      <c r="AC14" s="170"/>
      <c r="AD14" s="170"/>
      <c r="AE14" s="170"/>
      <c r="AF14" s="170"/>
    </row>
    <row r="15" ht="12.75" customHeight="1">
      <c r="A15" s="161" t="s">
        <v>256</v>
      </c>
      <c r="B15" s="162" t="s">
        <v>460</v>
      </c>
      <c r="C15" s="162" t="s">
        <v>461</v>
      </c>
      <c r="D15" s="162" t="s">
        <v>462</v>
      </c>
      <c r="E15" s="163" t="s">
        <v>438</v>
      </c>
      <c r="F15" s="164" t="s">
        <v>463</v>
      </c>
      <c r="G15" s="165">
        <v>332000.0</v>
      </c>
      <c r="H15" s="166">
        <v>302000.0</v>
      </c>
      <c r="I15" s="166">
        <v>30100.0</v>
      </c>
      <c r="J15" s="171">
        <v>1040.0</v>
      </c>
      <c r="K15" s="172">
        <v>980.0</v>
      </c>
      <c r="L15" s="172">
        <v>61.7</v>
      </c>
      <c r="M15" s="171">
        <v>108.0</v>
      </c>
      <c r="N15" s="172">
        <v>106.0</v>
      </c>
      <c r="O15" s="172">
        <v>2.2</v>
      </c>
      <c r="P15" s="171">
        <v>934.0</v>
      </c>
      <c r="Q15" s="172">
        <v>874.0</v>
      </c>
      <c r="R15" s="172">
        <v>59.5</v>
      </c>
      <c r="S15" s="171">
        <v>266.0</v>
      </c>
      <c r="T15" s="172">
        <v>254.0</v>
      </c>
      <c r="U15" s="172">
        <v>11.6</v>
      </c>
      <c r="V15" s="173" t="s">
        <v>464</v>
      </c>
      <c r="W15" s="170"/>
      <c r="X15" s="170"/>
      <c r="Y15" s="170"/>
      <c r="Z15" s="170"/>
      <c r="AA15" s="170"/>
      <c r="AB15" s="170"/>
      <c r="AC15" s="170"/>
      <c r="AD15" s="170"/>
      <c r="AE15" s="170"/>
      <c r="AF15" s="170"/>
    </row>
    <row r="16" ht="12.75" customHeight="1">
      <c r="A16" s="161" t="s">
        <v>270</v>
      </c>
      <c r="B16" s="162" t="s">
        <v>465</v>
      </c>
      <c r="C16" s="162" t="s">
        <v>466</v>
      </c>
      <c r="D16" s="162" t="s">
        <v>467</v>
      </c>
      <c r="E16" s="163" t="s">
        <v>438</v>
      </c>
      <c r="F16" s="164" t="s">
        <v>468</v>
      </c>
      <c r="G16" s="165">
        <v>240000.0</v>
      </c>
      <c r="H16" s="166">
        <v>222000.0</v>
      </c>
      <c r="I16" s="166">
        <v>17800.0</v>
      </c>
      <c r="J16" s="171">
        <v>724.0</v>
      </c>
      <c r="K16" s="172">
        <v>687.0</v>
      </c>
      <c r="L16" s="172">
        <v>36.5</v>
      </c>
      <c r="M16" s="171">
        <v>46.7</v>
      </c>
      <c r="N16" s="172">
        <v>45.4</v>
      </c>
      <c r="O16" s="172">
        <v>1.31</v>
      </c>
      <c r="P16" s="171">
        <v>677.0</v>
      </c>
      <c r="Q16" s="172">
        <v>642.0</v>
      </c>
      <c r="R16" s="172">
        <v>35.2</v>
      </c>
      <c r="S16" s="171">
        <v>184.0</v>
      </c>
      <c r="T16" s="172">
        <v>177.0</v>
      </c>
      <c r="U16" s="172">
        <v>6.84</v>
      </c>
      <c r="V16" s="173" t="s">
        <v>469</v>
      </c>
      <c r="W16" s="170"/>
      <c r="X16" s="170"/>
      <c r="Y16" s="170"/>
      <c r="Z16" s="170"/>
      <c r="AA16" s="170"/>
      <c r="AB16" s="170"/>
      <c r="AC16" s="170"/>
      <c r="AD16" s="170"/>
      <c r="AE16" s="170"/>
      <c r="AF16" s="170"/>
    </row>
    <row r="17" ht="12.75" customHeight="1">
      <c r="A17" s="161" t="s">
        <v>283</v>
      </c>
      <c r="B17" s="162" t="s">
        <v>470</v>
      </c>
      <c r="C17" s="162" t="s">
        <v>471</v>
      </c>
      <c r="D17" s="162" t="s">
        <v>472</v>
      </c>
      <c r="E17" s="163" t="s">
        <v>438</v>
      </c>
      <c r="F17" s="164" t="s">
        <v>473</v>
      </c>
      <c r="G17" s="165">
        <v>259000.0</v>
      </c>
      <c r="H17" s="166">
        <v>238000.0</v>
      </c>
      <c r="I17" s="166">
        <v>20600.0</v>
      </c>
      <c r="J17" s="171">
        <v>725.0</v>
      </c>
      <c r="K17" s="172">
        <v>683.0</v>
      </c>
      <c r="L17" s="172">
        <v>42.2</v>
      </c>
      <c r="M17" s="171">
        <v>43.9</v>
      </c>
      <c r="N17" s="172">
        <v>42.4</v>
      </c>
      <c r="O17" s="172">
        <v>1.51</v>
      </c>
      <c r="P17" s="171">
        <v>681.0</v>
      </c>
      <c r="Q17" s="172">
        <v>640.0</v>
      </c>
      <c r="R17" s="172">
        <v>40.7</v>
      </c>
      <c r="S17" s="171">
        <v>192.0</v>
      </c>
      <c r="T17" s="172">
        <v>184.0</v>
      </c>
      <c r="U17" s="172">
        <v>7.9</v>
      </c>
      <c r="V17" s="173" t="s">
        <v>474</v>
      </c>
      <c r="W17" s="170"/>
      <c r="X17" s="170"/>
      <c r="Y17" s="170"/>
      <c r="Z17" s="170"/>
      <c r="AA17" s="170"/>
      <c r="AB17" s="170"/>
      <c r="AC17" s="170"/>
      <c r="AD17" s="170"/>
      <c r="AE17" s="170"/>
      <c r="AF17" s="170"/>
    </row>
    <row r="18" ht="12.75" customHeight="1">
      <c r="A18" s="161" t="s">
        <v>297</v>
      </c>
      <c r="B18" s="162" t="s">
        <v>475</v>
      </c>
      <c r="C18" s="162" t="s">
        <v>476</v>
      </c>
      <c r="D18" s="162" t="s">
        <v>477</v>
      </c>
      <c r="E18" s="163" t="s">
        <v>438</v>
      </c>
      <c r="F18" s="164" t="s">
        <v>478</v>
      </c>
      <c r="G18" s="165">
        <v>648000.0</v>
      </c>
      <c r="H18" s="166">
        <v>583000.0</v>
      </c>
      <c r="I18" s="166">
        <v>65500.0</v>
      </c>
      <c r="J18" s="171">
        <v>1320.0</v>
      </c>
      <c r="K18" s="172">
        <v>1190.0</v>
      </c>
      <c r="L18" s="172">
        <v>135.0</v>
      </c>
      <c r="M18" s="171">
        <v>73.3</v>
      </c>
      <c r="N18" s="172">
        <v>68.6</v>
      </c>
      <c r="O18" s="172">
        <v>4.76</v>
      </c>
      <c r="P18" s="171">
        <v>1250.0</v>
      </c>
      <c r="Q18" s="172">
        <v>1120.0</v>
      </c>
      <c r="R18" s="172">
        <v>130.0</v>
      </c>
      <c r="S18" s="171">
        <v>407.0</v>
      </c>
      <c r="T18" s="172">
        <v>382.0</v>
      </c>
      <c r="U18" s="172">
        <v>25.2</v>
      </c>
      <c r="V18" s="173" t="s">
        <v>479</v>
      </c>
      <c r="W18" s="170"/>
      <c r="X18" s="170"/>
      <c r="Y18" s="170"/>
      <c r="Z18" s="170"/>
      <c r="AA18" s="170"/>
      <c r="AB18" s="170"/>
      <c r="AC18" s="170"/>
      <c r="AD18" s="170"/>
      <c r="AE18" s="170"/>
      <c r="AF18" s="170"/>
    </row>
    <row r="19" ht="12.75" customHeight="1">
      <c r="A19" s="161" t="s">
        <v>311</v>
      </c>
      <c r="B19" s="162" t="s">
        <v>480</v>
      </c>
      <c r="C19" s="162" t="s">
        <v>481</v>
      </c>
      <c r="D19" s="162" t="s">
        <v>482</v>
      </c>
      <c r="E19" s="163" t="s">
        <v>438</v>
      </c>
      <c r="F19" s="164" t="s">
        <v>483</v>
      </c>
      <c r="G19" s="165">
        <v>1230000.0</v>
      </c>
      <c r="H19" s="166">
        <v>1100000.0</v>
      </c>
      <c r="I19" s="166">
        <v>129000.0</v>
      </c>
      <c r="J19" s="171">
        <v>2410.0</v>
      </c>
      <c r="K19" s="172">
        <v>2140.0</v>
      </c>
      <c r="L19" s="172">
        <v>265.0</v>
      </c>
      <c r="M19" s="171">
        <v>136.0</v>
      </c>
      <c r="N19" s="172">
        <v>126.0</v>
      </c>
      <c r="O19" s="172">
        <v>9.43</v>
      </c>
      <c r="P19" s="171">
        <v>2270.0</v>
      </c>
      <c r="Q19" s="172">
        <v>2010.0</v>
      </c>
      <c r="R19" s="172">
        <v>256.0</v>
      </c>
      <c r="S19" s="171">
        <v>777.0</v>
      </c>
      <c r="T19" s="172">
        <v>728.0</v>
      </c>
      <c r="U19" s="172">
        <v>49.6</v>
      </c>
      <c r="V19" s="173" t="s">
        <v>484</v>
      </c>
      <c r="W19" s="170"/>
      <c r="X19" s="170"/>
      <c r="Y19" s="170"/>
      <c r="Z19" s="170"/>
      <c r="AA19" s="170"/>
      <c r="AB19" s="170"/>
      <c r="AC19" s="170"/>
      <c r="AD19" s="170"/>
      <c r="AE19" s="170"/>
      <c r="AF19" s="170"/>
    </row>
    <row r="20" ht="12.75" customHeight="1">
      <c r="A20" s="161" t="s">
        <v>318</v>
      </c>
      <c r="B20" s="162" t="s">
        <v>485</v>
      </c>
      <c r="C20" s="162" t="s">
        <v>486</v>
      </c>
      <c r="D20" s="162" t="s">
        <v>487</v>
      </c>
      <c r="E20" s="163" t="s">
        <v>438</v>
      </c>
      <c r="F20" s="164" t="s">
        <v>488</v>
      </c>
      <c r="G20" s="165">
        <v>228000.0</v>
      </c>
      <c r="H20" s="166">
        <v>228000.0</v>
      </c>
      <c r="I20" s="166">
        <v>0.0</v>
      </c>
      <c r="J20" s="171">
        <v>793.0</v>
      </c>
      <c r="K20" s="172">
        <v>793.0</v>
      </c>
      <c r="L20" s="172">
        <v>0.0</v>
      </c>
      <c r="M20" s="171">
        <v>46.2</v>
      </c>
      <c r="N20" s="172">
        <v>46.2</v>
      </c>
      <c r="O20" s="172">
        <v>0.0</v>
      </c>
      <c r="P20" s="171">
        <v>747.0</v>
      </c>
      <c r="Q20" s="172">
        <v>747.0</v>
      </c>
      <c r="R20" s="172">
        <v>0.0</v>
      </c>
      <c r="S20" s="171">
        <v>163.0</v>
      </c>
      <c r="T20" s="172">
        <v>163.0</v>
      </c>
      <c r="U20" s="172">
        <v>0.0</v>
      </c>
      <c r="V20" s="173" t="s">
        <v>489</v>
      </c>
      <c r="W20" s="170"/>
      <c r="X20" s="170"/>
      <c r="Y20" s="170"/>
      <c r="Z20" s="170"/>
      <c r="AA20" s="170"/>
      <c r="AB20" s="170"/>
      <c r="AC20" s="170"/>
      <c r="AD20" s="170"/>
      <c r="AE20" s="170"/>
      <c r="AF20" s="170"/>
    </row>
    <row r="21" ht="12.75" customHeight="1">
      <c r="A21" s="161" t="s">
        <v>323</v>
      </c>
      <c r="B21" s="162" t="s">
        <v>490</v>
      </c>
      <c r="C21" s="162" t="s">
        <v>491</v>
      </c>
      <c r="D21" s="162" t="s">
        <v>492</v>
      </c>
      <c r="E21" s="163" t="s">
        <v>438</v>
      </c>
      <c r="F21" s="164" t="s">
        <v>493</v>
      </c>
      <c r="G21" s="165">
        <v>129000.0</v>
      </c>
      <c r="H21" s="166">
        <v>129000.0</v>
      </c>
      <c r="I21" s="166">
        <v>0.0</v>
      </c>
      <c r="J21" s="171">
        <v>446.0</v>
      </c>
      <c r="K21" s="172">
        <v>446.0</v>
      </c>
      <c r="L21" s="172">
        <v>0.0</v>
      </c>
      <c r="M21" s="171">
        <v>25.3</v>
      </c>
      <c r="N21" s="172">
        <v>25.3</v>
      </c>
      <c r="O21" s="172">
        <v>0.0</v>
      </c>
      <c r="P21" s="171">
        <v>421.0</v>
      </c>
      <c r="Q21" s="172">
        <v>421.0</v>
      </c>
      <c r="R21" s="172">
        <v>0.0</v>
      </c>
      <c r="S21" s="171">
        <v>92.3</v>
      </c>
      <c r="T21" s="172">
        <v>92.3</v>
      </c>
      <c r="U21" s="172">
        <v>0.0</v>
      </c>
      <c r="V21" s="173" t="s">
        <v>494</v>
      </c>
      <c r="W21" s="170"/>
      <c r="X21" s="170"/>
      <c r="Y21" s="170"/>
      <c r="Z21" s="170"/>
      <c r="AA21" s="170"/>
      <c r="AB21" s="170"/>
      <c r="AC21" s="170"/>
      <c r="AD21" s="170"/>
      <c r="AE21" s="170"/>
      <c r="AF21" s="170"/>
    </row>
    <row r="22" ht="12.75" customHeight="1">
      <c r="A22" s="161" t="s">
        <v>329</v>
      </c>
      <c r="B22" s="162" t="s">
        <v>495</v>
      </c>
      <c r="C22" s="162" t="s">
        <v>496</v>
      </c>
      <c r="D22" s="162" t="s">
        <v>497</v>
      </c>
      <c r="E22" s="163" t="s">
        <v>438</v>
      </c>
      <c r="F22" s="164" t="s">
        <v>498</v>
      </c>
      <c r="G22" s="165">
        <v>255000.0</v>
      </c>
      <c r="H22" s="166">
        <v>255000.0</v>
      </c>
      <c r="I22" s="166">
        <v>0.0</v>
      </c>
      <c r="J22" s="171">
        <v>868.0</v>
      </c>
      <c r="K22" s="172">
        <v>868.0</v>
      </c>
      <c r="L22" s="172">
        <v>0.0</v>
      </c>
      <c r="M22" s="171">
        <v>55.3</v>
      </c>
      <c r="N22" s="172">
        <v>55.3</v>
      </c>
      <c r="O22" s="172">
        <v>0.0</v>
      </c>
      <c r="P22" s="171">
        <v>813.0</v>
      </c>
      <c r="Q22" s="172">
        <v>813.0</v>
      </c>
      <c r="R22" s="172">
        <v>0.0</v>
      </c>
      <c r="S22" s="171">
        <v>181.0</v>
      </c>
      <c r="T22" s="172">
        <v>181.0</v>
      </c>
      <c r="U22" s="172">
        <v>0.0</v>
      </c>
      <c r="V22" s="173" t="s">
        <v>499</v>
      </c>
      <c r="W22" s="170"/>
      <c r="X22" s="170"/>
      <c r="Y22" s="170"/>
      <c r="Z22" s="170"/>
      <c r="AA22" s="170"/>
      <c r="AB22" s="170"/>
      <c r="AC22" s="170"/>
      <c r="AD22" s="170"/>
      <c r="AE22" s="170"/>
      <c r="AF22" s="170"/>
    </row>
    <row r="23" ht="12.75" customHeight="1">
      <c r="A23" s="161" t="s">
        <v>335</v>
      </c>
      <c r="B23" s="162" t="s">
        <v>500</v>
      </c>
      <c r="C23" s="162" t="s">
        <v>501</v>
      </c>
      <c r="D23" s="162" t="s">
        <v>502</v>
      </c>
      <c r="E23" s="163" t="s">
        <v>438</v>
      </c>
      <c r="F23" s="164" t="s">
        <v>334</v>
      </c>
      <c r="G23" s="165">
        <v>48600.0</v>
      </c>
      <c r="H23" s="166">
        <v>48600.0</v>
      </c>
      <c r="I23" s="166">
        <v>0.0</v>
      </c>
      <c r="J23" s="171">
        <v>124.0</v>
      </c>
      <c r="K23" s="172">
        <v>124.0</v>
      </c>
      <c r="L23" s="172">
        <v>0.0</v>
      </c>
      <c r="M23" s="171">
        <v>7.74</v>
      </c>
      <c r="N23" s="172">
        <v>7.74</v>
      </c>
      <c r="O23" s="172">
        <v>0.0</v>
      </c>
      <c r="P23" s="171">
        <v>116.0</v>
      </c>
      <c r="Q23" s="172">
        <v>116.0</v>
      </c>
      <c r="R23" s="172">
        <v>0.0</v>
      </c>
      <c r="S23" s="171">
        <v>30.6</v>
      </c>
      <c r="T23" s="172">
        <v>30.6</v>
      </c>
      <c r="U23" s="172">
        <v>0.0</v>
      </c>
      <c r="V23" s="173" t="s">
        <v>503</v>
      </c>
      <c r="W23" s="170"/>
      <c r="X23" s="170"/>
      <c r="Y23" s="170"/>
      <c r="Z23" s="170"/>
      <c r="AA23" s="170"/>
      <c r="AB23" s="170"/>
      <c r="AC23" s="170"/>
      <c r="AD23" s="170"/>
      <c r="AE23" s="170"/>
      <c r="AF23" s="170"/>
    </row>
    <row r="24" ht="12.75" customHeight="1">
      <c r="A24" s="161" t="s">
        <v>341</v>
      </c>
      <c r="B24" s="162" t="s">
        <v>504</v>
      </c>
      <c r="C24" s="162" t="s">
        <v>505</v>
      </c>
      <c r="D24" s="162" t="s">
        <v>506</v>
      </c>
      <c r="E24" s="163" t="s">
        <v>438</v>
      </c>
      <c r="F24" s="164" t="s">
        <v>334</v>
      </c>
      <c r="G24" s="165">
        <v>229000.0</v>
      </c>
      <c r="H24" s="166">
        <v>229000.0</v>
      </c>
      <c r="I24" s="166">
        <v>0.0</v>
      </c>
      <c r="J24" s="171">
        <v>427.0</v>
      </c>
      <c r="K24" s="172">
        <v>427.0</v>
      </c>
      <c r="L24" s="172">
        <v>0.0</v>
      </c>
      <c r="M24" s="171">
        <v>22.4</v>
      </c>
      <c r="N24" s="172">
        <v>22.4</v>
      </c>
      <c r="O24" s="172">
        <v>0.0</v>
      </c>
      <c r="P24" s="171">
        <v>404.0</v>
      </c>
      <c r="Q24" s="172">
        <v>404.0</v>
      </c>
      <c r="R24" s="172">
        <v>0.0</v>
      </c>
      <c r="S24" s="171">
        <v>159.0</v>
      </c>
      <c r="T24" s="172">
        <v>159.0</v>
      </c>
      <c r="U24" s="172">
        <v>0.0</v>
      </c>
      <c r="V24" s="173" t="s">
        <v>507</v>
      </c>
      <c r="W24" s="170"/>
      <c r="X24" s="170"/>
      <c r="Y24" s="170"/>
      <c r="Z24" s="170"/>
      <c r="AA24" s="170"/>
      <c r="AB24" s="170"/>
      <c r="AC24" s="170"/>
      <c r="AD24" s="170"/>
      <c r="AE24" s="170"/>
      <c r="AF24" s="170"/>
    </row>
    <row r="25" ht="12.75" customHeight="1">
      <c r="A25" s="161" t="s">
        <v>347</v>
      </c>
      <c r="B25" s="162" t="s">
        <v>508</v>
      </c>
      <c r="C25" s="162" t="s">
        <v>509</v>
      </c>
      <c r="D25" s="162" t="s">
        <v>510</v>
      </c>
      <c r="E25" s="163" t="s">
        <v>438</v>
      </c>
      <c r="F25" s="164" t="s">
        <v>334</v>
      </c>
      <c r="G25" s="165">
        <v>331000.0</v>
      </c>
      <c r="H25" s="166">
        <v>331000.0</v>
      </c>
      <c r="I25" s="166">
        <v>0.0</v>
      </c>
      <c r="J25" s="171">
        <v>601.0</v>
      </c>
      <c r="K25" s="172">
        <v>601.0</v>
      </c>
      <c r="L25" s="172">
        <v>0.0</v>
      </c>
      <c r="M25" s="171">
        <v>35.0</v>
      </c>
      <c r="N25" s="172">
        <v>35.0</v>
      </c>
      <c r="O25" s="172">
        <v>0.0</v>
      </c>
      <c r="P25" s="171">
        <v>566.0</v>
      </c>
      <c r="Q25" s="172">
        <v>566.0</v>
      </c>
      <c r="R25" s="172">
        <v>0.0</v>
      </c>
      <c r="S25" s="171">
        <v>239.0</v>
      </c>
      <c r="T25" s="172">
        <v>239.0</v>
      </c>
      <c r="U25" s="172">
        <v>0.0</v>
      </c>
      <c r="V25" s="173" t="s">
        <v>511</v>
      </c>
      <c r="W25" s="170"/>
      <c r="X25" s="170"/>
      <c r="Y25" s="170"/>
      <c r="Z25" s="170"/>
      <c r="AA25" s="170"/>
      <c r="AB25" s="170"/>
      <c r="AC25" s="170"/>
      <c r="AD25" s="170"/>
      <c r="AE25" s="170"/>
      <c r="AF25" s="170"/>
    </row>
    <row r="26" ht="12.75" customHeight="1">
      <c r="A26" s="161" t="s">
        <v>353</v>
      </c>
      <c r="B26" s="162" t="s">
        <v>512</v>
      </c>
      <c r="C26" s="162" t="s">
        <v>513</v>
      </c>
      <c r="D26" s="162" t="s">
        <v>514</v>
      </c>
      <c r="E26" s="163" t="s">
        <v>438</v>
      </c>
      <c r="F26" s="164" t="s">
        <v>334</v>
      </c>
      <c r="G26" s="165">
        <v>506000.0</v>
      </c>
      <c r="H26" s="166">
        <v>506000.0</v>
      </c>
      <c r="I26" s="166">
        <v>0.0</v>
      </c>
      <c r="J26" s="171">
        <v>907.0</v>
      </c>
      <c r="K26" s="172">
        <v>907.0</v>
      </c>
      <c r="L26" s="172">
        <v>0.0</v>
      </c>
      <c r="M26" s="171">
        <v>55.6</v>
      </c>
      <c r="N26" s="172">
        <v>55.6</v>
      </c>
      <c r="O26" s="172">
        <v>0.0</v>
      </c>
      <c r="P26" s="171">
        <v>851.0</v>
      </c>
      <c r="Q26" s="172">
        <v>851.0</v>
      </c>
      <c r="R26" s="172">
        <v>0.0</v>
      </c>
      <c r="S26" s="171">
        <v>372.0</v>
      </c>
      <c r="T26" s="172">
        <v>372.0</v>
      </c>
      <c r="U26" s="172">
        <v>0.0</v>
      </c>
      <c r="V26" s="173" t="s">
        <v>515</v>
      </c>
      <c r="W26" s="170"/>
      <c r="X26" s="170"/>
      <c r="Y26" s="170"/>
      <c r="Z26" s="170"/>
      <c r="AA26" s="170"/>
      <c r="AB26" s="170"/>
      <c r="AC26" s="170"/>
      <c r="AD26" s="170"/>
      <c r="AE26" s="170"/>
      <c r="AF26" s="170"/>
    </row>
    <row r="27" ht="12.75" customHeight="1">
      <c r="A27" s="161" t="s">
        <v>359</v>
      </c>
      <c r="B27" s="162" t="s">
        <v>516</v>
      </c>
      <c r="C27" s="162" t="s">
        <v>517</v>
      </c>
      <c r="D27" s="162" t="s">
        <v>518</v>
      </c>
      <c r="E27" s="163" t="s">
        <v>438</v>
      </c>
      <c r="F27" s="164" t="s">
        <v>334</v>
      </c>
      <c r="G27" s="165">
        <v>122000.0</v>
      </c>
      <c r="H27" s="166">
        <v>122000.0</v>
      </c>
      <c r="I27" s="166">
        <v>0.0</v>
      </c>
      <c r="J27" s="171">
        <v>236.0</v>
      </c>
      <c r="K27" s="172">
        <v>236.0</v>
      </c>
      <c r="L27" s="172">
        <v>0.0</v>
      </c>
      <c r="M27" s="171">
        <v>9.87</v>
      </c>
      <c r="N27" s="172">
        <v>9.87</v>
      </c>
      <c r="O27" s="172">
        <v>0.0</v>
      </c>
      <c r="P27" s="171">
        <v>226.0</v>
      </c>
      <c r="Q27" s="172">
        <v>226.0</v>
      </c>
      <c r="R27" s="172">
        <v>0.0</v>
      </c>
      <c r="S27" s="171">
        <v>72.2</v>
      </c>
      <c r="T27" s="172">
        <v>72.2</v>
      </c>
      <c r="U27" s="172">
        <v>0.0</v>
      </c>
      <c r="V27" s="173" t="s">
        <v>519</v>
      </c>
      <c r="W27" s="170"/>
      <c r="X27" s="170"/>
      <c r="Y27" s="170"/>
      <c r="Z27" s="170"/>
      <c r="AA27" s="170"/>
      <c r="AB27" s="170"/>
      <c r="AC27" s="170"/>
      <c r="AD27" s="170"/>
      <c r="AE27" s="170"/>
      <c r="AF27" s="170"/>
    </row>
    <row r="28" ht="12.75" customHeight="1">
      <c r="A28" s="161" t="s">
        <v>364</v>
      </c>
      <c r="B28" s="162" t="s">
        <v>520</v>
      </c>
      <c r="C28" s="162" t="s">
        <v>521</v>
      </c>
      <c r="D28" s="162" t="s">
        <v>522</v>
      </c>
      <c r="E28" s="163" t="s">
        <v>438</v>
      </c>
      <c r="F28" s="164" t="s">
        <v>334</v>
      </c>
      <c r="G28" s="165">
        <v>152000.0</v>
      </c>
      <c r="H28" s="166">
        <v>152000.0</v>
      </c>
      <c r="I28" s="166">
        <v>0.0</v>
      </c>
      <c r="J28" s="171">
        <v>286.0</v>
      </c>
      <c r="K28" s="172">
        <v>286.0</v>
      </c>
      <c r="L28" s="172">
        <v>0.0</v>
      </c>
      <c r="M28" s="171">
        <v>13.2</v>
      </c>
      <c r="N28" s="172">
        <v>13.2</v>
      </c>
      <c r="O28" s="172">
        <v>0.0</v>
      </c>
      <c r="P28" s="171">
        <v>273.0</v>
      </c>
      <c r="Q28" s="172">
        <v>273.0</v>
      </c>
      <c r="R28" s="172">
        <v>0.0</v>
      </c>
      <c r="S28" s="171">
        <v>91.3</v>
      </c>
      <c r="T28" s="172">
        <v>91.3</v>
      </c>
      <c r="U28" s="172">
        <v>0.0</v>
      </c>
      <c r="V28" s="173" t="s">
        <v>523</v>
      </c>
      <c r="W28" s="170"/>
      <c r="X28" s="170"/>
      <c r="Y28" s="170"/>
      <c r="Z28" s="170"/>
      <c r="AA28" s="170"/>
      <c r="AB28" s="170"/>
      <c r="AC28" s="170"/>
      <c r="AD28" s="170"/>
      <c r="AE28" s="170"/>
      <c r="AF28" s="170"/>
    </row>
    <row r="29" ht="12.75" customHeight="1">
      <c r="A29" s="161" t="s">
        <v>370</v>
      </c>
      <c r="B29" s="162" t="s">
        <v>524</v>
      </c>
      <c r="C29" s="162" t="s">
        <v>525</v>
      </c>
      <c r="D29" s="162" t="s">
        <v>526</v>
      </c>
      <c r="E29" s="163" t="s">
        <v>438</v>
      </c>
      <c r="F29" s="164" t="s">
        <v>334</v>
      </c>
      <c r="G29" s="165">
        <v>29900.0</v>
      </c>
      <c r="H29" s="166">
        <v>29900.0</v>
      </c>
      <c r="I29" s="166">
        <v>0.0</v>
      </c>
      <c r="J29" s="171">
        <v>32.0</v>
      </c>
      <c r="K29" s="172">
        <v>32.0</v>
      </c>
      <c r="L29" s="172">
        <v>0.0</v>
      </c>
      <c r="M29" s="171">
        <v>1.1</v>
      </c>
      <c r="N29" s="172">
        <v>1.1</v>
      </c>
      <c r="O29" s="172">
        <v>0.0</v>
      </c>
      <c r="P29" s="171">
        <v>30.9</v>
      </c>
      <c r="Q29" s="172">
        <v>30.9</v>
      </c>
      <c r="R29" s="172">
        <v>0.0</v>
      </c>
      <c r="S29" s="171">
        <v>6.45</v>
      </c>
      <c r="T29" s="172">
        <v>6.45</v>
      </c>
      <c r="U29" s="172">
        <v>0.0</v>
      </c>
      <c r="V29" s="173" t="s">
        <v>527</v>
      </c>
      <c r="W29" s="170"/>
      <c r="X29" s="170"/>
      <c r="Y29" s="170"/>
      <c r="Z29" s="170"/>
      <c r="AA29" s="170"/>
      <c r="AB29" s="170"/>
      <c r="AC29" s="170"/>
      <c r="AD29" s="170"/>
      <c r="AE29" s="170"/>
      <c r="AF29" s="170"/>
    </row>
    <row r="30" ht="12.75" customHeight="1">
      <c r="A30" s="161" t="s">
        <v>376</v>
      </c>
      <c r="B30" s="162" t="s">
        <v>528</v>
      </c>
      <c r="C30" s="162" t="s">
        <v>529</v>
      </c>
      <c r="D30" s="162" t="s">
        <v>530</v>
      </c>
      <c r="E30" s="163" t="s">
        <v>438</v>
      </c>
      <c r="F30" s="164" t="s">
        <v>334</v>
      </c>
      <c r="G30" s="165">
        <v>38800.0</v>
      </c>
      <c r="H30" s="166">
        <v>38800.0</v>
      </c>
      <c r="I30" s="166">
        <v>0.0</v>
      </c>
      <c r="J30" s="171">
        <v>70.3</v>
      </c>
      <c r="K30" s="172">
        <v>70.3</v>
      </c>
      <c r="L30" s="172">
        <v>0.0</v>
      </c>
      <c r="M30" s="171">
        <v>4.22</v>
      </c>
      <c r="N30" s="172">
        <v>4.22</v>
      </c>
      <c r="O30" s="172">
        <v>0.0</v>
      </c>
      <c r="P30" s="171">
        <v>66.1</v>
      </c>
      <c r="Q30" s="172">
        <v>66.1</v>
      </c>
      <c r="R30" s="172">
        <v>0.0</v>
      </c>
      <c r="S30" s="171">
        <v>28.6</v>
      </c>
      <c r="T30" s="172">
        <v>28.6</v>
      </c>
      <c r="U30" s="172">
        <v>0.0</v>
      </c>
      <c r="V30" s="173" t="s">
        <v>531</v>
      </c>
      <c r="W30" s="170"/>
      <c r="X30" s="170"/>
      <c r="Y30" s="170"/>
      <c r="Z30" s="170"/>
      <c r="AA30" s="170"/>
      <c r="AB30" s="170"/>
      <c r="AC30" s="170"/>
      <c r="AD30" s="170"/>
      <c r="AE30" s="170"/>
      <c r="AF30" s="170"/>
    </row>
    <row r="31" ht="12.75" customHeight="1">
      <c r="A31" s="161" t="s">
        <v>384</v>
      </c>
      <c r="B31" s="162" t="s">
        <v>532</v>
      </c>
      <c r="C31" s="162" t="s">
        <v>533</v>
      </c>
      <c r="D31" s="162" t="s">
        <v>534</v>
      </c>
      <c r="E31" s="163" t="s">
        <v>438</v>
      </c>
      <c r="F31" s="174" t="s">
        <v>535</v>
      </c>
      <c r="G31" s="165">
        <v>14.4</v>
      </c>
      <c r="H31" s="166">
        <v>14.4</v>
      </c>
      <c r="I31" s="166">
        <v>0.0</v>
      </c>
      <c r="J31" s="171">
        <v>0.121</v>
      </c>
      <c r="K31" s="172">
        <v>0.121</v>
      </c>
      <c r="L31" s="172">
        <v>0.0</v>
      </c>
      <c r="M31" s="171">
        <v>0.0196</v>
      </c>
      <c r="N31" s="172">
        <v>0.0196</v>
      </c>
      <c r="O31" s="172">
        <v>0.0</v>
      </c>
      <c r="P31" s="171">
        <v>0.101</v>
      </c>
      <c r="Q31" s="172">
        <v>0.101</v>
      </c>
      <c r="R31" s="172">
        <v>0.0</v>
      </c>
      <c r="S31" s="171">
        <v>0.00421</v>
      </c>
      <c r="T31" s="172">
        <v>0.00421</v>
      </c>
      <c r="U31" s="172">
        <v>0.0</v>
      </c>
      <c r="V31" s="173" t="s">
        <v>536</v>
      </c>
      <c r="W31" s="170"/>
      <c r="X31" s="170"/>
      <c r="Y31" s="170"/>
      <c r="Z31" s="170"/>
      <c r="AA31" s="170"/>
      <c r="AB31" s="170"/>
      <c r="AC31" s="170"/>
      <c r="AD31" s="170"/>
      <c r="AE31" s="170"/>
      <c r="AF31" s="170"/>
    </row>
    <row r="32" ht="12.75" customHeight="1">
      <c r="A32" s="161" t="s">
        <v>390</v>
      </c>
      <c r="B32" s="162" t="s">
        <v>537</v>
      </c>
      <c r="C32" s="162" t="s">
        <v>538</v>
      </c>
      <c r="D32" s="162" t="s">
        <v>539</v>
      </c>
      <c r="E32" s="163" t="s">
        <v>438</v>
      </c>
      <c r="F32" s="174" t="s">
        <v>540</v>
      </c>
      <c r="G32" s="165">
        <v>16.8</v>
      </c>
      <c r="H32" s="166">
        <v>16.8</v>
      </c>
      <c r="I32" s="166">
        <v>0.0</v>
      </c>
      <c r="J32" s="171">
        <v>0.142</v>
      </c>
      <c r="K32" s="172">
        <v>0.142</v>
      </c>
      <c r="L32" s="172">
        <v>0.0</v>
      </c>
      <c r="M32" s="171">
        <v>0.023</v>
      </c>
      <c r="N32" s="172">
        <v>0.023</v>
      </c>
      <c r="O32" s="172">
        <v>0.0</v>
      </c>
      <c r="P32" s="171">
        <v>0.119</v>
      </c>
      <c r="Q32" s="172">
        <v>0.119</v>
      </c>
      <c r="R32" s="172">
        <v>0.0</v>
      </c>
      <c r="S32" s="171">
        <v>0.00492</v>
      </c>
      <c r="T32" s="172">
        <v>0.00492</v>
      </c>
      <c r="U32" s="172">
        <v>0.0</v>
      </c>
      <c r="V32" s="173" t="s">
        <v>541</v>
      </c>
      <c r="W32" s="170"/>
      <c r="X32" s="170"/>
      <c r="Y32" s="170"/>
      <c r="Z32" s="170"/>
      <c r="AA32" s="170"/>
      <c r="AB32" s="170"/>
      <c r="AC32" s="170"/>
      <c r="AD32" s="170"/>
      <c r="AE32" s="170"/>
      <c r="AF32" s="170"/>
    </row>
    <row r="33" ht="12.75" customHeight="1">
      <c r="A33" s="161" t="s">
        <v>396</v>
      </c>
      <c r="B33" s="162" t="s">
        <v>542</v>
      </c>
      <c r="C33" s="162" t="s">
        <v>543</v>
      </c>
      <c r="D33" s="162" t="s">
        <v>544</v>
      </c>
      <c r="E33" s="163" t="s">
        <v>438</v>
      </c>
      <c r="F33" s="174" t="s">
        <v>545</v>
      </c>
      <c r="G33" s="165">
        <v>19.6</v>
      </c>
      <c r="H33" s="166">
        <v>19.6</v>
      </c>
      <c r="I33" s="166">
        <v>0.0</v>
      </c>
      <c r="J33" s="171">
        <v>0.165</v>
      </c>
      <c r="K33" s="172">
        <v>0.165</v>
      </c>
      <c r="L33" s="172">
        <v>0.0</v>
      </c>
      <c r="M33" s="171">
        <v>0.0268</v>
      </c>
      <c r="N33" s="172">
        <v>0.0268</v>
      </c>
      <c r="O33" s="172">
        <v>0.0</v>
      </c>
      <c r="P33" s="171">
        <v>0.138</v>
      </c>
      <c r="Q33" s="172">
        <v>0.138</v>
      </c>
      <c r="R33" s="172">
        <v>0.0</v>
      </c>
      <c r="S33" s="171">
        <v>0.00571</v>
      </c>
      <c r="T33" s="172">
        <v>0.00571</v>
      </c>
      <c r="U33" s="172">
        <v>0.0</v>
      </c>
      <c r="V33" s="173" t="s">
        <v>546</v>
      </c>
      <c r="W33" s="170"/>
      <c r="X33" s="170"/>
      <c r="Y33" s="170"/>
      <c r="Z33" s="170"/>
      <c r="AA33" s="170"/>
      <c r="AB33" s="170"/>
      <c r="AC33" s="170"/>
      <c r="AD33" s="170"/>
      <c r="AE33" s="170"/>
      <c r="AF33" s="170"/>
    </row>
    <row r="34" ht="12.75" customHeight="1">
      <c r="A34" s="161" t="s">
        <v>402</v>
      </c>
      <c r="B34" s="162" t="s">
        <v>547</v>
      </c>
      <c r="C34" s="162" t="s">
        <v>548</v>
      </c>
      <c r="D34" s="162" t="s">
        <v>549</v>
      </c>
      <c r="E34" s="163" t="s">
        <v>438</v>
      </c>
      <c r="F34" s="174" t="s">
        <v>550</v>
      </c>
      <c r="G34" s="165">
        <v>22.5</v>
      </c>
      <c r="H34" s="166">
        <v>22.5</v>
      </c>
      <c r="I34" s="166">
        <v>0.0</v>
      </c>
      <c r="J34" s="171">
        <v>0.19</v>
      </c>
      <c r="K34" s="172">
        <v>0.19</v>
      </c>
      <c r="L34" s="172">
        <v>0.0</v>
      </c>
      <c r="M34" s="171">
        <v>0.0309</v>
      </c>
      <c r="N34" s="172">
        <v>0.0309</v>
      </c>
      <c r="O34" s="172">
        <v>0.0</v>
      </c>
      <c r="P34" s="171">
        <v>0.159</v>
      </c>
      <c r="Q34" s="172">
        <v>0.159</v>
      </c>
      <c r="R34" s="172">
        <v>0.0</v>
      </c>
      <c r="S34" s="171">
        <v>0.00656</v>
      </c>
      <c r="T34" s="172">
        <v>0.00656</v>
      </c>
      <c r="U34" s="172">
        <v>0.0</v>
      </c>
      <c r="V34" s="173" t="s">
        <v>551</v>
      </c>
      <c r="W34" s="170"/>
      <c r="X34" s="170"/>
      <c r="Y34" s="170"/>
      <c r="Z34" s="170"/>
      <c r="AA34" s="170"/>
      <c r="AB34" s="170"/>
      <c r="AC34" s="170"/>
      <c r="AD34" s="170"/>
      <c r="AE34" s="170"/>
      <c r="AF34" s="170"/>
    </row>
    <row r="35" ht="14.25" customHeight="1">
      <c r="A35" s="175" t="s">
        <v>552</v>
      </c>
      <c r="B35" s="152" t="s">
        <v>553</v>
      </c>
      <c r="C35" s="176"/>
      <c r="D35" s="177"/>
      <c r="E35" s="178" t="s">
        <v>554</v>
      </c>
      <c r="F35" s="179"/>
      <c r="G35" s="179"/>
      <c r="H35" s="179"/>
      <c r="I35" s="179"/>
      <c r="J35" s="179"/>
      <c r="K35" s="179"/>
      <c r="L35" s="179"/>
      <c r="M35" s="179"/>
      <c r="N35" s="179"/>
      <c r="O35" s="179"/>
      <c r="P35" s="180"/>
      <c r="Q35" s="181"/>
      <c r="R35" s="181"/>
      <c r="S35" s="179"/>
      <c r="T35" s="179"/>
      <c r="U35" s="179"/>
      <c r="V35" s="160" t="s">
        <v>555</v>
      </c>
      <c r="W35" s="91"/>
      <c r="X35" s="91"/>
      <c r="Y35" s="91"/>
      <c r="Z35" s="91"/>
      <c r="AA35" s="91"/>
      <c r="AB35" s="91"/>
      <c r="AC35" s="91"/>
      <c r="AD35" s="91"/>
      <c r="AE35" s="91"/>
      <c r="AF35" s="91"/>
    </row>
    <row r="36" ht="12.75" customHeight="1">
      <c r="A36" s="182">
        <v>1.001</v>
      </c>
      <c r="B36" s="162" t="s">
        <v>556</v>
      </c>
      <c r="C36" s="183" t="s">
        <v>557</v>
      </c>
      <c r="D36" s="184" t="s">
        <v>558</v>
      </c>
      <c r="E36" s="185">
        <v>2150.0</v>
      </c>
      <c r="F36" s="186" t="s">
        <v>559</v>
      </c>
      <c r="G36" s="187">
        <v>65.1</v>
      </c>
      <c r="H36" s="188">
        <v>40.2</v>
      </c>
      <c r="I36" s="188">
        <v>24.9</v>
      </c>
      <c r="J36" s="189">
        <v>0.149</v>
      </c>
      <c r="K36" s="163">
        <v>0.0995</v>
      </c>
      <c r="L36" s="163">
        <v>0.049</v>
      </c>
      <c r="M36" s="189">
        <v>0.00923</v>
      </c>
      <c r="N36" s="163">
        <v>0.00727</v>
      </c>
      <c r="O36" s="163">
        <v>0.00196</v>
      </c>
      <c r="P36" s="189">
        <v>0.139</v>
      </c>
      <c r="Q36" s="163">
        <v>0.0922</v>
      </c>
      <c r="R36" s="163">
        <v>0.0471</v>
      </c>
      <c r="S36" s="190">
        <v>0.0591</v>
      </c>
      <c r="T36" s="191">
        <v>0.0503</v>
      </c>
      <c r="U36" s="192">
        <v>0.00881</v>
      </c>
      <c r="V36" s="173" t="s">
        <v>560</v>
      </c>
      <c r="W36" s="91"/>
      <c r="X36" s="91"/>
      <c r="Y36" s="91"/>
      <c r="Z36" s="91"/>
      <c r="AA36" s="91"/>
      <c r="AB36" s="91"/>
      <c r="AC36" s="91"/>
      <c r="AD36" s="91"/>
      <c r="AE36" s="91"/>
      <c r="AF36" s="91"/>
    </row>
    <row r="37" ht="12.75" customHeight="1">
      <c r="A37" s="182">
        <v>1.0019999999999998</v>
      </c>
      <c r="B37" s="162" t="s">
        <v>561</v>
      </c>
      <c r="C37" s="193" t="s">
        <v>562</v>
      </c>
      <c r="D37" s="184" t="s">
        <v>563</v>
      </c>
      <c r="E37" s="185">
        <v>2300.0</v>
      </c>
      <c r="F37" s="186" t="s">
        <v>559</v>
      </c>
      <c r="G37" s="187">
        <v>94.3</v>
      </c>
      <c r="H37" s="188">
        <v>67.3</v>
      </c>
      <c r="I37" s="188">
        <v>27.0</v>
      </c>
      <c r="J37" s="189">
        <v>0.215</v>
      </c>
      <c r="K37" s="163">
        <v>0.159</v>
      </c>
      <c r="L37" s="163">
        <v>0.0554</v>
      </c>
      <c r="M37" s="189">
        <v>0.0134</v>
      </c>
      <c r="N37" s="163">
        <v>0.0115</v>
      </c>
      <c r="O37" s="163">
        <v>0.00198</v>
      </c>
      <c r="P37" s="189">
        <v>0.201</v>
      </c>
      <c r="Q37" s="163">
        <v>0.148</v>
      </c>
      <c r="R37" s="163">
        <v>0.0535</v>
      </c>
      <c r="S37" s="190">
        <v>0.0992</v>
      </c>
      <c r="T37" s="191">
        <v>0.0889</v>
      </c>
      <c r="U37" s="191">
        <v>0.0104</v>
      </c>
      <c r="V37" s="194" t="s">
        <v>564</v>
      </c>
      <c r="W37" s="91"/>
      <c r="X37" s="91"/>
      <c r="Y37" s="91"/>
      <c r="Z37" s="91"/>
      <c r="AA37" s="91"/>
      <c r="AB37" s="91"/>
      <c r="AC37" s="91"/>
      <c r="AD37" s="91"/>
      <c r="AE37" s="91"/>
      <c r="AF37" s="91"/>
    </row>
    <row r="38" ht="12.75" customHeight="1">
      <c r="A38" s="182">
        <v>1.0029999999999997</v>
      </c>
      <c r="B38" s="162" t="s">
        <v>565</v>
      </c>
      <c r="C38" s="182" t="s">
        <v>562</v>
      </c>
      <c r="D38" s="184" t="s">
        <v>563</v>
      </c>
      <c r="E38" s="185">
        <v>2350.0</v>
      </c>
      <c r="F38" s="186" t="s">
        <v>559</v>
      </c>
      <c r="G38" s="195">
        <v>99.9</v>
      </c>
      <c r="H38" s="188">
        <v>72.9</v>
      </c>
      <c r="I38" s="188">
        <v>27.0</v>
      </c>
      <c r="J38" s="189">
        <v>0.232</v>
      </c>
      <c r="K38" s="163">
        <v>0.176</v>
      </c>
      <c r="L38" s="163">
        <v>0.0554</v>
      </c>
      <c r="M38" s="189">
        <v>0.0144</v>
      </c>
      <c r="N38" s="163">
        <v>0.0125</v>
      </c>
      <c r="O38" s="163">
        <v>0.00198</v>
      </c>
      <c r="P38" s="189">
        <v>0.217</v>
      </c>
      <c r="Q38" s="163">
        <v>0.164</v>
      </c>
      <c r="R38" s="163">
        <v>0.0534</v>
      </c>
      <c r="S38" s="189">
        <v>0.107</v>
      </c>
      <c r="T38" s="163">
        <v>0.0964</v>
      </c>
      <c r="U38" s="191">
        <v>0.0104</v>
      </c>
      <c r="V38" s="194" t="s">
        <v>566</v>
      </c>
      <c r="W38" s="91"/>
      <c r="X38" s="91"/>
      <c r="Y38" s="91"/>
      <c r="Z38" s="91"/>
      <c r="AA38" s="91"/>
      <c r="AB38" s="91"/>
      <c r="AC38" s="91"/>
      <c r="AD38" s="91"/>
      <c r="AE38" s="91"/>
      <c r="AF38" s="91"/>
    </row>
    <row r="39" ht="12.75" customHeight="1">
      <c r="A39" s="182">
        <v>1.0039999999999996</v>
      </c>
      <c r="B39" s="162" t="s">
        <v>567</v>
      </c>
      <c r="C39" s="182" t="s">
        <v>562</v>
      </c>
      <c r="D39" s="184" t="s">
        <v>563</v>
      </c>
      <c r="E39" s="185">
        <v>2325.0</v>
      </c>
      <c r="F39" s="186" t="s">
        <v>559</v>
      </c>
      <c r="G39" s="195">
        <v>106.0</v>
      </c>
      <c r="H39" s="196">
        <v>79.0</v>
      </c>
      <c r="I39" s="188">
        <v>26.9</v>
      </c>
      <c r="J39" s="189">
        <v>0.243</v>
      </c>
      <c r="K39" s="163">
        <v>0.188</v>
      </c>
      <c r="L39" s="163">
        <v>0.0553</v>
      </c>
      <c r="M39" s="189">
        <v>0.0155</v>
      </c>
      <c r="N39" s="163">
        <v>0.0135</v>
      </c>
      <c r="O39" s="163">
        <v>0.00198</v>
      </c>
      <c r="P39" s="189">
        <v>0.228</v>
      </c>
      <c r="Q39" s="163">
        <v>0.175</v>
      </c>
      <c r="R39" s="163">
        <v>0.0533</v>
      </c>
      <c r="S39" s="189">
        <v>0.117</v>
      </c>
      <c r="T39" s="163">
        <v>0.107</v>
      </c>
      <c r="U39" s="191">
        <v>0.0104</v>
      </c>
      <c r="V39" s="194" t="s">
        <v>568</v>
      </c>
      <c r="W39" s="91"/>
      <c r="X39" s="91"/>
      <c r="Y39" s="91"/>
      <c r="Z39" s="91"/>
      <c r="AA39" s="91"/>
      <c r="AB39" s="91"/>
      <c r="AC39" s="91"/>
      <c r="AD39" s="91"/>
      <c r="AE39" s="91"/>
      <c r="AF39" s="91"/>
    </row>
    <row r="40" ht="12.75" customHeight="1">
      <c r="A40" s="161" t="s">
        <v>569</v>
      </c>
      <c r="B40" s="162" t="s">
        <v>570</v>
      </c>
      <c r="C40" s="197" t="s">
        <v>562</v>
      </c>
      <c r="D40" s="162" t="s">
        <v>563</v>
      </c>
      <c r="E40" s="185">
        <v>2770.0</v>
      </c>
      <c r="F40" s="164" t="s">
        <v>559</v>
      </c>
      <c r="G40" s="187">
        <v>477.0</v>
      </c>
      <c r="H40" s="188">
        <v>454.0</v>
      </c>
      <c r="I40" s="188">
        <v>23.8</v>
      </c>
      <c r="J40" s="189">
        <v>0.826</v>
      </c>
      <c r="K40" s="163">
        <v>0.777</v>
      </c>
      <c r="L40" s="163">
        <v>0.0489</v>
      </c>
      <c r="M40" s="189">
        <v>0.0574</v>
      </c>
      <c r="N40" s="163">
        <v>0.0556</v>
      </c>
      <c r="O40" s="163">
        <v>0.00175</v>
      </c>
      <c r="P40" s="189">
        <v>0.768</v>
      </c>
      <c r="Q40" s="163">
        <v>0.721</v>
      </c>
      <c r="R40" s="163">
        <v>0.0472</v>
      </c>
      <c r="S40" s="189">
        <v>0.265</v>
      </c>
      <c r="T40" s="191">
        <v>0.255</v>
      </c>
      <c r="U40" s="192">
        <v>0.00917</v>
      </c>
      <c r="V40" s="194" t="s">
        <v>571</v>
      </c>
      <c r="W40" s="170"/>
      <c r="X40" s="91"/>
      <c r="Y40" s="170"/>
      <c r="Z40" s="170"/>
      <c r="AA40" s="170"/>
      <c r="AB40" s="170"/>
      <c r="AC40" s="170"/>
      <c r="AD40" s="170"/>
      <c r="AE40" s="170"/>
      <c r="AF40" s="170"/>
    </row>
    <row r="41" ht="12.75" customHeight="1">
      <c r="A41" s="161" t="s">
        <v>572</v>
      </c>
      <c r="B41" s="162" t="s">
        <v>573</v>
      </c>
      <c r="C41" s="197" t="s">
        <v>562</v>
      </c>
      <c r="D41" s="162" t="s">
        <v>563</v>
      </c>
      <c r="E41" s="185">
        <v>2500.0</v>
      </c>
      <c r="F41" s="164" t="s">
        <v>559</v>
      </c>
      <c r="G41" s="187">
        <v>245.0</v>
      </c>
      <c r="H41" s="188">
        <v>218.0</v>
      </c>
      <c r="I41" s="188">
        <v>26.1</v>
      </c>
      <c r="J41" s="189">
        <v>0.58</v>
      </c>
      <c r="K41" s="163">
        <v>0.526</v>
      </c>
      <c r="L41" s="163">
        <v>0.0535</v>
      </c>
      <c r="M41" s="189">
        <v>0.0961</v>
      </c>
      <c r="N41" s="163">
        <v>0.0942</v>
      </c>
      <c r="O41" s="163">
        <v>0.00191</v>
      </c>
      <c r="P41" s="189">
        <v>0.484</v>
      </c>
      <c r="Q41" s="163">
        <v>0.432</v>
      </c>
      <c r="R41" s="163">
        <v>0.0516</v>
      </c>
      <c r="S41" s="189">
        <v>0.172</v>
      </c>
      <c r="T41" s="191">
        <v>0.162</v>
      </c>
      <c r="U41" s="192">
        <v>0.01</v>
      </c>
      <c r="V41" s="194" t="s">
        <v>574</v>
      </c>
      <c r="W41" s="170"/>
      <c r="X41" s="91"/>
      <c r="Y41" s="170"/>
      <c r="Z41" s="170"/>
      <c r="AA41" s="170"/>
      <c r="AB41" s="170"/>
      <c r="AC41" s="170"/>
      <c r="AD41" s="170"/>
      <c r="AE41" s="170"/>
      <c r="AF41" s="170"/>
    </row>
    <row r="42" ht="12.75" customHeight="1">
      <c r="A42" s="198" t="s">
        <v>575</v>
      </c>
      <c r="B42" s="162" t="s">
        <v>576</v>
      </c>
      <c r="C42" s="199" t="s">
        <v>577</v>
      </c>
      <c r="D42" s="162" t="s">
        <v>578</v>
      </c>
      <c r="E42" s="185">
        <v>600.0</v>
      </c>
      <c r="F42" s="164" t="s">
        <v>559</v>
      </c>
      <c r="G42" s="187">
        <v>371.0</v>
      </c>
      <c r="H42" s="188">
        <v>370.0</v>
      </c>
      <c r="I42" s="188">
        <v>0.743</v>
      </c>
      <c r="J42" s="189">
        <v>1.87</v>
      </c>
      <c r="K42" s="163">
        <v>1.86</v>
      </c>
      <c r="L42" s="163">
        <v>0.0028</v>
      </c>
      <c r="M42" s="189">
        <v>0.882</v>
      </c>
      <c r="N42" s="163">
        <v>0.882</v>
      </c>
      <c r="O42" s="163">
        <v>2.59E-5</v>
      </c>
      <c r="P42" s="189">
        <v>0.984</v>
      </c>
      <c r="Q42" s="163">
        <v>0.982</v>
      </c>
      <c r="R42" s="163">
        <v>0.00278</v>
      </c>
      <c r="S42" s="189">
        <v>0.288</v>
      </c>
      <c r="T42" s="191">
        <v>0.288</v>
      </c>
      <c r="U42" s="192">
        <v>3.65E-4</v>
      </c>
      <c r="V42" s="173" t="s">
        <v>579</v>
      </c>
      <c r="W42" s="170"/>
      <c r="X42" s="170"/>
      <c r="Y42" s="170"/>
      <c r="Z42" s="170"/>
      <c r="AA42" s="170"/>
      <c r="AB42" s="170"/>
      <c r="AC42" s="170"/>
      <c r="AD42" s="170"/>
      <c r="AE42" s="170"/>
      <c r="AF42" s="170"/>
    </row>
    <row r="43" ht="12.75" customHeight="1" outlineLevel="1">
      <c r="A43" s="200" t="s">
        <v>580</v>
      </c>
      <c r="B43" s="201" t="s">
        <v>581</v>
      </c>
      <c r="C43" s="202" t="s">
        <v>577</v>
      </c>
      <c r="D43" s="201" t="s">
        <v>578</v>
      </c>
      <c r="E43" s="203">
        <v>600.0</v>
      </c>
      <c r="F43" s="204" t="s">
        <v>559</v>
      </c>
      <c r="G43" s="205">
        <v>357.0</v>
      </c>
      <c r="H43" s="203">
        <v>356.0</v>
      </c>
      <c r="I43" s="203">
        <v>0.743</v>
      </c>
      <c r="J43" s="206">
        <v>1.8</v>
      </c>
      <c r="K43" s="207">
        <v>1.79</v>
      </c>
      <c r="L43" s="208">
        <v>0.0028</v>
      </c>
      <c r="M43" s="206">
        <v>0.849</v>
      </c>
      <c r="N43" s="207">
        <v>0.848</v>
      </c>
      <c r="O43" s="208">
        <v>2.59E-5</v>
      </c>
      <c r="P43" s="206">
        <v>0.947</v>
      </c>
      <c r="Q43" s="207">
        <v>0.944</v>
      </c>
      <c r="R43" s="208">
        <v>0.00278</v>
      </c>
      <c r="S43" s="209">
        <v>0.277</v>
      </c>
      <c r="T43" s="208">
        <v>0.277</v>
      </c>
      <c r="U43" s="210">
        <v>3.65E-4</v>
      </c>
      <c r="V43" s="201" t="s">
        <v>582</v>
      </c>
      <c r="W43" s="170"/>
      <c r="X43" s="170"/>
      <c r="Y43" s="170"/>
      <c r="Z43" s="170"/>
      <c r="AA43" s="170"/>
      <c r="AB43" s="170"/>
      <c r="AC43" s="170"/>
      <c r="AD43" s="170"/>
      <c r="AE43" s="170"/>
      <c r="AF43" s="170"/>
    </row>
    <row r="44" ht="14.25" customHeight="1">
      <c r="A44" s="211" t="s">
        <v>583</v>
      </c>
      <c r="B44" s="212"/>
      <c r="C44" s="212"/>
      <c r="D44" s="212"/>
      <c r="E44" s="212"/>
      <c r="F44" s="212"/>
      <c r="G44" s="212"/>
      <c r="H44" s="212"/>
      <c r="I44" s="212"/>
      <c r="J44" s="212"/>
      <c r="K44" s="212"/>
      <c r="L44" s="212"/>
      <c r="M44" s="212"/>
      <c r="N44" s="212"/>
      <c r="O44" s="212"/>
      <c r="P44" s="212"/>
      <c r="Q44" s="212"/>
      <c r="R44" s="212"/>
      <c r="S44" s="212"/>
      <c r="T44" s="212"/>
      <c r="U44" s="212"/>
      <c r="V44" s="213"/>
      <c r="W44" s="170"/>
      <c r="X44" s="170"/>
      <c r="Y44" s="170"/>
      <c r="Z44" s="170"/>
      <c r="AA44" s="170"/>
      <c r="AB44" s="170"/>
      <c r="AC44" s="170"/>
      <c r="AD44" s="170"/>
      <c r="AE44" s="170"/>
      <c r="AF44" s="170"/>
    </row>
    <row r="45" ht="14.25" customHeight="1">
      <c r="A45" s="211" t="s">
        <v>584</v>
      </c>
      <c r="B45" s="212"/>
      <c r="C45" s="212"/>
      <c r="D45" s="212"/>
      <c r="E45" s="212"/>
      <c r="F45" s="212"/>
      <c r="G45" s="212"/>
      <c r="H45" s="212"/>
      <c r="I45" s="212"/>
      <c r="J45" s="212"/>
      <c r="K45" s="212"/>
      <c r="L45" s="212"/>
      <c r="M45" s="212"/>
      <c r="N45" s="212"/>
      <c r="O45" s="212"/>
      <c r="P45" s="212"/>
      <c r="Q45" s="212"/>
      <c r="R45" s="212"/>
      <c r="S45" s="212"/>
      <c r="T45" s="212"/>
      <c r="U45" s="212"/>
      <c r="V45" s="213"/>
      <c r="W45" s="170"/>
      <c r="X45" s="170"/>
      <c r="Y45" s="170"/>
      <c r="Z45" s="170"/>
      <c r="AA45" s="170"/>
      <c r="AB45" s="170"/>
      <c r="AC45" s="170"/>
      <c r="AD45" s="170"/>
      <c r="AE45" s="170"/>
      <c r="AF45" s="170"/>
    </row>
    <row r="46" ht="12.75" customHeight="1">
      <c r="A46" s="214" t="s">
        <v>585</v>
      </c>
      <c r="B46" s="177" t="s">
        <v>586</v>
      </c>
      <c r="C46" s="176"/>
      <c r="D46" s="177"/>
      <c r="E46" s="178" t="s">
        <v>587</v>
      </c>
      <c r="F46" s="179"/>
      <c r="G46" s="179"/>
      <c r="H46" s="179"/>
      <c r="I46" s="179"/>
      <c r="J46" s="215"/>
      <c r="K46" s="181"/>
      <c r="L46" s="216"/>
      <c r="M46" s="215"/>
      <c r="N46" s="181"/>
      <c r="O46" s="216"/>
      <c r="P46" s="180"/>
      <c r="Q46" s="181"/>
      <c r="R46" s="181"/>
      <c r="S46" s="180"/>
      <c r="T46" s="181"/>
      <c r="U46" s="181"/>
      <c r="V46" s="217" t="s">
        <v>588</v>
      </c>
      <c r="W46" s="91"/>
      <c r="X46" s="91"/>
      <c r="Y46" s="91"/>
      <c r="Z46" s="91"/>
      <c r="AA46" s="91"/>
      <c r="AB46" s="91"/>
      <c r="AC46" s="91"/>
      <c r="AD46" s="91"/>
      <c r="AE46" s="91"/>
      <c r="AF46" s="91"/>
    </row>
    <row r="47" ht="12.75" customHeight="1">
      <c r="A47" s="182" t="s">
        <v>589</v>
      </c>
      <c r="B47" s="184" t="s">
        <v>590</v>
      </c>
      <c r="C47" s="183" t="s">
        <v>591</v>
      </c>
      <c r="D47" s="184" t="s">
        <v>592</v>
      </c>
      <c r="E47" s="218">
        <v>900.0</v>
      </c>
      <c r="F47" s="186" t="s">
        <v>559</v>
      </c>
      <c r="G47" s="195">
        <v>217.0</v>
      </c>
      <c r="H47" s="196">
        <v>191.0</v>
      </c>
      <c r="I47" s="188">
        <v>25.8</v>
      </c>
      <c r="J47" s="219">
        <v>0.868</v>
      </c>
      <c r="K47" s="220">
        <v>0.816</v>
      </c>
      <c r="L47" s="163">
        <v>0.0523</v>
      </c>
      <c r="M47" s="219">
        <v>0.0775</v>
      </c>
      <c r="N47" s="220">
        <v>0.0757</v>
      </c>
      <c r="O47" s="163">
        <v>0.00177</v>
      </c>
      <c r="P47" s="219">
        <v>0.791</v>
      </c>
      <c r="Q47" s="220">
        <v>0.74</v>
      </c>
      <c r="R47" s="163">
        <v>0.0505</v>
      </c>
      <c r="S47" s="189">
        <v>0.258</v>
      </c>
      <c r="T47" s="163">
        <v>0.249</v>
      </c>
      <c r="U47" s="192">
        <v>0.00903</v>
      </c>
      <c r="V47" s="221" t="s">
        <v>593</v>
      </c>
      <c r="W47" s="91"/>
      <c r="X47" s="91"/>
      <c r="Y47" s="91"/>
      <c r="Z47" s="91"/>
      <c r="AA47" s="91"/>
      <c r="AB47" s="91"/>
      <c r="AC47" s="91"/>
      <c r="AD47" s="91"/>
      <c r="AE47" s="91"/>
      <c r="AF47" s="91"/>
    </row>
    <row r="48" ht="12.75" customHeight="1">
      <c r="A48" s="182" t="s">
        <v>594</v>
      </c>
      <c r="B48" s="184" t="s">
        <v>595</v>
      </c>
      <c r="C48" s="183" t="s">
        <v>596</v>
      </c>
      <c r="D48" s="184" t="s">
        <v>597</v>
      </c>
      <c r="E48" s="218">
        <v>1400.0</v>
      </c>
      <c r="F48" s="186" t="s">
        <v>559</v>
      </c>
      <c r="G48" s="222">
        <v>157.0</v>
      </c>
      <c r="H48" s="223">
        <v>132.0</v>
      </c>
      <c r="I48" s="224">
        <v>25.1</v>
      </c>
      <c r="J48" s="225">
        <v>0.434</v>
      </c>
      <c r="K48" s="226">
        <v>0.385</v>
      </c>
      <c r="L48" s="227">
        <v>0.0499</v>
      </c>
      <c r="M48" s="225">
        <v>0.0368</v>
      </c>
      <c r="N48" s="226">
        <v>0.035</v>
      </c>
      <c r="O48" s="227">
        <v>0.00186</v>
      </c>
      <c r="P48" s="225">
        <v>0.398</v>
      </c>
      <c r="Q48" s="226">
        <v>0.35</v>
      </c>
      <c r="R48" s="227">
        <v>0.0481</v>
      </c>
      <c r="S48" s="228">
        <v>0.138</v>
      </c>
      <c r="T48" s="227">
        <v>0.129</v>
      </c>
      <c r="U48" s="229">
        <v>0.00868</v>
      </c>
      <c r="V48" s="221" t="s">
        <v>598</v>
      </c>
      <c r="W48" s="91"/>
      <c r="X48" s="91"/>
      <c r="Y48" s="91"/>
      <c r="Z48" s="91"/>
      <c r="AA48" s="91"/>
      <c r="AB48" s="91"/>
      <c r="AC48" s="91"/>
      <c r="AD48" s="91"/>
      <c r="AE48" s="91"/>
      <c r="AF48" s="91"/>
    </row>
    <row r="49" ht="12.75" customHeight="1" outlineLevel="1">
      <c r="A49" s="200" t="s">
        <v>599</v>
      </c>
      <c r="B49" s="201" t="s">
        <v>600</v>
      </c>
      <c r="C49" s="202" t="s">
        <v>596</v>
      </c>
      <c r="D49" s="201" t="s">
        <v>597</v>
      </c>
      <c r="E49" s="203">
        <v>1400.0</v>
      </c>
      <c r="F49" s="204" t="s">
        <v>559</v>
      </c>
      <c r="G49" s="205">
        <v>122.0</v>
      </c>
      <c r="H49" s="203">
        <v>97.4</v>
      </c>
      <c r="I49" s="203">
        <v>25.1</v>
      </c>
      <c r="J49" s="206">
        <v>0.35</v>
      </c>
      <c r="K49" s="207">
        <v>0.3</v>
      </c>
      <c r="L49" s="208">
        <v>0.0499</v>
      </c>
      <c r="M49" s="206">
        <v>0.0344</v>
      </c>
      <c r="N49" s="207">
        <v>0.0325</v>
      </c>
      <c r="O49" s="208">
        <v>0.00186</v>
      </c>
      <c r="P49" s="206">
        <v>0.316</v>
      </c>
      <c r="Q49" s="207">
        <v>0.267</v>
      </c>
      <c r="R49" s="208">
        <v>0.0481</v>
      </c>
      <c r="S49" s="209">
        <v>0.108</v>
      </c>
      <c r="T49" s="208">
        <v>0.0996</v>
      </c>
      <c r="U49" s="210">
        <v>0.00868</v>
      </c>
      <c r="V49" s="201" t="s">
        <v>601</v>
      </c>
      <c r="W49" s="170"/>
      <c r="X49" s="170"/>
      <c r="Y49" s="170"/>
      <c r="Z49" s="170"/>
      <c r="AA49" s="170"/>
      <c r="AB49" s="170"/>
      <c r="AC49" s="170"/>
      <c r="AD49" s="170"/>
      <c r="AE49" s="170"/>
      <c r="AF49" s="170"/>
    </row>
    <row r="50" ht="12.75" customHeight="1">
      <c r="A50" s="182" t="s">
        <v>602</v>
      </c>
      <c r="B50" s="184" t="s">
        <v>603</v>
      </c>
      <c r="C50" s="183" t="s">
        <v>591</v>
      </c>
      <c r="D50" s="184" t="s">
        <v>592</v>
      </c>
      <c r="E50" s="218">
        <v>700.0</v>
      </c>
      <c r="F50" s="186" t="s">
        <v>559</v>
      </c>
      <c r="G50" s="222">
        <v>237.0</v>
      </c>
      <c r="H50" s="223">
        <v>212.0</v>
      </c>
      <c r="I50" s="224">
        <v>25.8</v>
      </c>
      <c r="J50" s="225">
        <v>1.56</v>
      </c>
      <c r="K50" s="226">
        <v>1.5</v>
      </c>
      <c r="L50" s="227">
        <v>0.0523</v>
      </c>
      <c r="M50" s="225">
        <v>0.793</v>
      </c>
      <c r="N50" s="226">
        <v>0.791</v>
      </c>
      <c r="O50" s="227">
        <v>0.00177</v>
      </c>
      <c r="P50" s="225">
        <v>0.762</v>
      </c>
      <c r="Q50" s="226">
        <v>0.712</v>
      </c>
      <c r="R50" s="227">
        <v>0.0505</v>
      </c>
      <c r="S50" s="228">
        <v>0.17</v>
      </c>
      <c r="T50" s="227">
        <v>0.161</v>
      </c>
      <c r="U50" s="229">
        <v>0.00903</v>
      </c>
      <c r="V50" s="221" t="s">
        <v>604</v>
      </c>
      <c r="W50" s="91"/>
      <c r="X50" s="91"/>
      <c r="Y50" s="91"/>
      <c r="Z50" s="91"/>
      <c r="AA50" s="91"/>
      <c r="AB50" s="91"/>
      <c r="AC50" s="91"/>
      <c r="AD50" s="91"/>
      <c r="AE50" s="91"/>
      <c r="AF50" s="91"/>
    </row>
    <row r="51" ht="12.75" customHeight="1">
      <c r="A51" s="182" t="s">
        <v>605</v>
      </c>
      <c r="B51" s="184" t="s">
        <v>606</v>
      </c>
      <c r="C51" s="183" t="s">
        <v>607</v>
      </c>
      <c r="D51" s="184" t="s">
        <v>608</v>
      </c>
      <c r="E51" s="218">
        <v>1200.0</v>
      </c>
      <c r="F51" s="186" t="s">
        <v>559</v>
      </c>
      <c r="G51" s="222">
        <v>471.0</v>
      </c>
      <c r="H51" s="223">
        <v>445.0</v>
      </c>
      <c r="I51" s="224">
        <v>26.6</v>
      </c>
      <c r="J51" s="225">
        <v>1.57</v>
      </c>
      <c r="K51" s="226">
        <v>1.51</v>
      </c>
      <c r="L51" s="227">
        <v>0.0547</v>
      </c>
      <c r="M51" s="225">
        <v>0.0521</v>
      </c>
      <c r="N51" s="226">
        <v>0.0503</v>
      </c>
      <c r="O51" s="227">
        <v>0.00178</v>
      </c>
      <c r="P51" s="225">
        <v>1.51</v>
      </c>
      <c r="Q51" s="226">
        <v>1.46</v>
      </c>
      <c r="R51" s="227">
        <v>0.0529</v>
      </c>
      <c r="S51" s="228">
        <v>0.417</v>
      </c>
      <c r="T51" s="227">
        <v>0.407</v>
      </c>
      <c r="U51" s="229">
        <v>0.00961</v>
      </c>
      <c r="V51" s="221" t="s">
        <v>609</v>
      </c>
      <c r="W51" s="91"/>
      <c r="X51" s="91"/>
      <c r="Y51" s="91"/>
      <c r="Z51" s="91"/>
      <c r="AA51" s="91"/>
      <c r="AB51" s="91"/>
      <c r="AC51" s="91"/>
      <c r="AD51" s="91"/>
      <c r="AE51" s="91"/>
      <c r="AF51" s="91"/>
    </row>
    <row r="52" ht="12.75" customHeight="1">
      <c r="A52" s="182" t="s">
        <v>610</v>
      </c>
      <c r="B52" s="184" t="s">
        <v>611</v>
      </c>
      <c r="C52" s="183" t="s">
        <v>607</v>
      </c>
      <c r="D52" s="184" t="s">
        <v>608</v>
      </c>
      <c r="E52" s="218">
        <v>1200.0</v>
      </c>
      <c r="F52" s="186" t="s">
        <v>559</v>
      </c>
      <c r="G52" s="222">
        <v>222.0</v>
      </c>
      <c r="H52" s="223">
        <v>195.0</v>
      </c>
      <c r="I52" s="224">
        <v>26.6</v>
      </c>
      <c r="J52" s="225">
        <v>0.455</v>
      </c>
      <c r="K52" s="226">
        <v>0.4</v>
      </c>
      <c r="L52" s="227">
        <v>0.0547</v>
      </c>
      <c r="M52" s="225">
        <v>0.0309</v>
      </c>
      <c r="N52" s="226">
        <v>0.0291</v>
      </c>
      <c r="O52" s="227">
        <v>0.00178</v>
      </c>
      <c r="P52" s="225">
        <v>0.424</v>
      </c>
      <c r="Q52" s="226">
        <v>0.371</v>
      </c>
      <c r="R52" s="227">
        <v>0.0529</v>
      </c>
      <c r="S52" s="228">
        <v>0.223</v>
      </c>
      <c r="T52" s="227">
        <v>0.214</v>
      </c>
      <c r="U52" s="229">
        <v>0.00961</v>
      </c>
      <c r="V52" s="221" t="s">
        <v>612</v>
      </c>
      <c r="W52" s="91"/>
      <c r="X52" s="91"/>
      <c r="Y52" s="91"/>
      <c r="Z52" s="91"/>
      <c r="AA52" s="91"/>
      <c r="AB52" s="91"/>
      <c r="AC52" s="91"/>
      <c r="AD52" s="91"/>
      <c r="AE52" s="91"/>
      <c r="AF52" s="91"/>
    </row>
    <row r="53" ht="12.75" customHeight="1">
      <c r="A53" s="182" t="s">
        <v>613</v>
      </c>
      <c r="B53" s="184" t="s">
        <v>614</v>
      </c>
      <c r="C53" s="183" t="s">
        <v>591</v>
      </c>
      <c r="D53" s="184" t="s">
        <v>592</v>
      </c>
      <c r="E53" s="218">
        <v>500.0</v>
      </c>
      <c r="F53" s="186" t="s">
        <v>559</v>
      </c>
      <c r="G53" s="222">
        <v>348.0</v>
      </c>
      <c r="H53" s="223">
        <v>323.0</v>
      </c>
      <c r="I53" s="224">
        <v>25.8</v>
      </c>
      <c r="J53" s="225">
        <v>0.99</v>
      </c>
      <c r="K53" s="226">
        <v>0.938</v>
      </c>
      <c r="L53" s="227">
        <v>0.0523</v>
      </c>
      <c r="M53" s="225">
        <v>0.0653</v>
      </c>
      <c r="N53" s="226">
        <v>0.0635</v>
      </c>
      <c r="O53" s="227">
        <v>0.00177</v>
      </c>
      <c r="P53" s="225">
        <v>0.925</v>
      </c>
      <c r="Q53" s="226">
        <v>0.875</v>
      </c>
      <c r="R53" s="227">
        <v>0.0505</v>
      </c>
      <c r="S53" s="228">
        <v>0.417</v>
      </c>
      <c r="T53" s="227">
        <v>0.408</v>
      </c>
      <c r="U53" s="229">
        <v>0.00903</v>
      </c>
      <c r="V53" s="221" t="s">
        <v>615</v>
      </c>
      <c r="W53" s="91"/>
      <c r="X53" s="91"/>
      <c r="Y53" s="91"/>
      <c r="Z53" s="91"/>
      <c r="AA53" s="91"/>
      <c r="AB53" s="91"/>
      <c r="AC53" s="91"/>
      <c r="AD53" s="91"/>
      <c r="AE53" s="91"/>
      <c r="AF53" s="91"/>
    </row>
    <row r="54" ht="12.75" customHeight="1">
      <c r="A54" s="182" t="s">
        <v>616</v>
      </c>
      <c r="B54" s="184" t="s">
        <v>617</v>
      </c>
      <c r="C54" s="183" t="s">
        <v>557</v>
      </c>
      <c r="D54" s="184" t="s">
        <v>558</v>
      </c>
      <c r="E54" s="218">
        <v>1700.0</v>
      </c>
      <c r="F54" s="186" t="s">
        <v>559</v>
      </c>
      <c r="G54" s="222">
        <v>133.0</v>
      </c>
      <c r="H54" s="223">
        <v>108.0</v>
      </c>
      <c r="I54" s="224">
        <v>25.1</v>
      </c>
      <c r="J54" s="225">
        <v>0.278</v>
      </c>
      <c r="K54" s="227">
        <v>0.229</v>
      </c>
      <c r="L54" s="227">
        <v>0.0494</v>
      </c>
      <c r="M54" s="225">
        <v>0.0238</v>
      </c>
      <c r="N54" s="227">
        <v>0.0219</v>
      </c>
      <c r="O54" s="227">
        <v>0.00198</v>
      </c>
      <c r="P54" s="228">
        <v>0.254</v>
      </c>
      <c r="Q54" s="227">
        <v>0.207</v>
      </c>
      <c r="R54" s="227">
        <v>0.0474</v>
      </c>
      <c r="S54" s="228">
        <v>0.129</v>
      </c>
      <c r="T54" s="227">
        <v>0.121</v>
      </c>
      <c r="U54" s="229">
        <v>0.00887</v>
      </c>
      <c r="V54" s="221" t="s">
        <v>618</v>
      </c>
      <c r="W54" s="91"/>
      <c r="X54" s="91"/>
      <c r="Y54" s="91"/>
      <c r="Z54" s="91"/>
      <c r="AA54" s="91"/>
      <c r="AB54" s="91"/>
      <c r="AC54" s="91"/>
      <c r="AD54" s="91"/>
      <c r="AE54" s="91"/>
      <c r="AF54" s="91"/>
    </row>
    <row r="55" ht="12.75" customHeight="1">
      <c r="A55" s="214" t="s">
        <v>619</v>
      </c>
      <c r="B55" s="177" t="s">
        <v>620</v>
      </c>
      <c r="C55" s="176"/>
      <c r="D55" s="177"/>
      <c r="E55" s="178" t="s">
        <v>621</v>
      </c>
      <c r="F55" s="179"/>
      <c r="G55" s="179"/>
      <c r="H55" s="179"/>
      <c r="I55" s="179"/>
      <c r="J55" s="215"/>
      <c r="K55" s="181"/>
      <c r="L55" s="216"/>
      <c r="M55" s="215"/>
      <c r="N55" s="181"/>
      <c r="O55" s="216"/>
      <c r="P55" s="180"/>
      <c r="Q55" s="181"/>
      <c r="R55" s="181"/>
      <c r="S55" s="180"/>
      <c r="T55" s="181"/>
      <c r="U55" s="181"/>
      <c r="V55" s="217" t="s">
        <v>622</v>
      </c>
      <c r="W55" s="91"/>
      <c r="X55" s="91"/>
      <c r="Y55" s="91"/>
      <c r="Z55" s="91"/>
      <c r="AA55" s="91"/>
      <c r="AB55" s="91"/>
      <c r="AC55" s="91"/>
      <c r="AD55" s="91"/>
      <c r="AE55" s="91"/>
      <c r="AF55" s="91"/>
    </row>
    <row r="56" ht="12.75" customHeight="1">
      <c r="A56" s="182" t="s">
        <v>623</v>
      </c>
      <c r="B56" s="184" t="s">
        <v>624</v>
      </c>
      <c r="C56" s="183" t="s">
        <v>591</v>
      </c>
      <c r="D56" s="184" t="s">
        <v>592</v>
      </c>
      <c r="E56" s="218">
        <v>2300.0</v>
      </c>
      <c r="F56" s="186" t="s">
        <v>559</v>
      </c>
      <c r="G56" s="222">
        <v>212.0</v>
      </c>
      <c r="H56" s="223">
        <v>187.0</v>
      </c>
      <c r="I56" s="224">
        <v>25.8</v>
      </c>
      <c r="J56" s="225">
        <v>0.551</v>
      </c>
      <c r="K56" s="226">
        <v>0.499</v>
      </c>
      <c r="L56" s="227">
        <v>0.0523</v>
      </c>
      <c r="M56" s="225">
        <v>0.0343</v>
      </c>
      <c r="N56" s="226">
        <v>0.0326</v>
      </c>
      <c r="O56" s="227">
        <v>0.00177</v>
      </c>
      <c r="P56" s="225">
        <v>0.517</v>
      </c>
      <c r="Q56" s="226">
        <v>0.466</v>
      </c>
      <c r="R56" s="227">
        <v>0.0505</v>
      </c>
      <c r="S56" s="228">
        <v>0.217</v>
      </c>
      <c r="T56" s="227">
        <v>0.208</v>
      </c>
      <c r="U56" s="229">
        <v>0.00903</v>
      </c>
      <c r="V56" s="221" t="s">
        <v>625</v>
      </c>
      <c r="W56" s="91"/>
      <c r="X56" s="91"/>
      <c r="Y56" s="91"/>
      <c r="Z56" s="91"/>
      <c r="AA56" s="91"/>
      <c r="AB56" s="91"/>
      <c r="AC56" s="91"/>
      <c r="AD56" s="91"/>
      <c r="AE56" s="91"/>
      <c r="AF56" s="91"/>
    </row>
    <row r="57" ht="12.75" customHeight="1">
      <c r="A57" s="182" t="s">
        <v>626</v>
      </c>
      <c r="B57" s="184" t="s">
        <v>627</v>
      </c>
      <c r="C57" s="183" t="s">
        <v>607</v>
      </c>
      <c r="D57" s="184" t="s">
        <v>608</v>
      </c>
      <c r="E57" s="218">
        <v>1800.0</v>
      </c>
      <c r="F57" s="186" t="s">
        <v>559</v>
      </c>
      <c r="G57" s="222">
        <v>751.0</v>
      </c>
      <c r="H57" s="223">
        <v>724.0</v>
      </c>
      <c r="I57" s="224">
        <v>26.6</v>
      </c>
      <c r="J57" s="230">
        <v>2.93</v>
      </c>
      <c r="K57" s="231">
        <v>2.87</v>
      </c>
      <c r="L57" s="227">
        <v>0.0547</v>
      </c>
      <c r="M57" s="230">
        <v>0.476</v>
      </c>
      <c r="N57" s="231">
        <v>0.474</v>
      </c>
      <c r="O57" s="227">
        <v>0.00178</v>
      </c>
      <c r="P57" s="225">
        <v>2.45</v>
      </c>
      <c r="Q57" s="226">
        <v>2.4</v>
      </c>
      <c r="R57" s="227">
        <v>0.0529</v>
      </c>
      <c r="S57" s="228">
        <v>0.727</v>
      </c>
      <c r="T57" s="227">
        <v>0.717</v>
      </c>
      <c r="U57" s="232">
        <v>0.00961</v>
      </c>
      <c r="V57" s="221" t="s">
        <v>628</v>
      </c>
      <c r="W57" s="91"/>
      <c r="X57" s="91"/>
      <c r="Y57" s="91"/>
      <c r="Z57" s="91"/>
      <c r="AA57" s="91"/>
      <c r="AB57" s="91"/>
      <c r="AC57" s="91"/>
      <c r="AD57" s="91"/>
      <c r="AE57" s="91"/>
      <c r="AF57" s="91"/>
    </row>
    <row r="58" ht="12.75" customHeight="1">
      <c r="A58" s="182" t="s">
        <v>629</v>
      </c>
      <c r="B58" s="184" t="s">
        <v>630</v>
      </c>
      <c r="C58" s="183" t="s">
        <v>607</v>
      </c>
      <c r="D58" s="184" t="s">
        <v>608</v>
      </c>
      <c r="E58" s="218">
        <v>1800.0</v>
      </c>
      <c r="F58" s="186" t="s">
        <v>559</v>
      </c>
      <c r="G58" s="233">
        <v>1030.0</v>
      </c>
      <c r="H58" s="234">
        <v>1000.0</v>
      </c>
      <c r="I58" s="224">
        <v>26.6</v>
      </c>
      <c r="J58" s="230">
        <v>3.9</v>
      </c>
      <c r="K58" s="231">
        <v>3.84</v>
      </c>
      <c r="L58" s="227">
        <v>0.0547</v>
      </c>
      <c r="M58" s="230">
        <v>0.624</v>
      </c>
      <c r="N58" s="231">
        <v>0.622</v>
      </c>
      <c r="O58" s="227">
        <v>0.00178</v>
      </c>
      <c r="P58" s="230">
        <v>3.27</v>
      </c>
      <c r="Q58" s="231">
        <v>3.22</v>
      </c>
      <c r="R58" s="227">
        <v>0.0529</v>
      </c>
      <c r="S58" s="225">
        <v>1.09</v>
      </c>
      <c r="T58" s="226">
        <v>1.08</v>
      </c>
      <c r="U58" s="232">
        <v>0.00961</v>
      </c>
      <c r="V58" s="221" t="s">
        <v>631</v>
      </c>
      <c r="W58" s="91"/>
      <c r="X58" s="91"/>
      <c r="Y58" s="91"/>
      <c r="Z58" s="91"/>
      <c r="AA58" s="91"/>
      <c r="AB58" s="91"/>
      <c r="AC58" s="91"/>
      <c r="AD58" s="91"/>
      <c r="AE58" s="91"/>
      <c r="AF58" s="91"/>
    </row>
    <row r="59" ht="12.75" customHeight="1">
      <c r="A59" s="182" t="s">
        <v>632</v>
      </c>
      <c r="B59" s="184" t="s">
        <v>633</v>
      </c>
      <c r="C59" s="183" t="s">
        <v>607</v>
      </c>
      <c r="D59" s="184" t="s">
        <v>608</v>
      </c>
      <c r="E59" s="218">
        <v>1800.0</v>
      </c>
      <c r="F59" s="186" t="s">
        <v>559</v>
      </c>
      <c r="G59" s="222">
        <v>726.0</v>
      </c>
      <c r="H59" s="223">
        <v>700.0</v>
      </c>
      <c r="I59" s="224">
        <v>26.6</v>
      </c>
      <c r="J59" s="225">
        <v>2.61</v>
      </c>
      <c r="K59" s="226">
        <v>2.55</v>
      </c>
      <c r="L59" s="227">
        <v>0.0547</v>
      </c>
      <c r="M59" s="225">
        <v>0.544</v>
      </c>
      <c r="N59" s="226">
        <v>0.543</v>
      </c>
      <c r="O59" s="227">
        <v>0.00178</v>
      </c>
      <c r="P59" s="225">
        <v>2.06</v>
      </c>
      <c r="Q59" s="226">
        <v>2.01</v>
      </c>
      <c r="R59" s="227">
        <v>0.0529</v>
      </c>
      <c r="S59" s="228">
        <v>0.678</v>
      </c>
      <c r="T59" s="227">
        <v>0.669</v>
      </c>
      <c r="U59" s="232">
        <v>0.00961</v>
      </c>
      <c r="V59" s="221" t="s">
        <v>634</v>
      </c>
      <c r="W59" s="91"/>
      <c r="X59" s="91"/>
      <c r="Y59" s="91"/>
      <c r="Z59" s="91"/>
      <c r="AA59" s="91"/>
      <c r="AB59" s="91"/>
      <c r="AC59" s="91"/>
      <c r="AD59" s="91"/>
      <c r="AE59" s="91"/>
      <c r="AF59" s="91"/>
    </row>
    <row r="60" ht="12.75" customHeight="1">
      <c r="A60" s="182" t="s">
        <v>635</v>
      </c>
      <c r="B60" s="184" t="s">
        <v>636</v>
      </c>
      <c r="C60" s="183" t="s">
        <v>637</v>
      </c>
      <c r="D60" s="184" t="s">
        <v>638</v>
      </c>
      <c r="E60" s="218">
        <v>2500.0</v>
      </c>
      <c r="F60" s="186" t="s">
        <v>559</v>
      </c>
      <c r="G60" s="165">
        <v>1350.0</v>
      </c>
      <c r="H60" s="166">
        <v>1340.0</v>
      </c>
      <c r="I60" s="188">
        <v>18.6</v>
      </c>
      <c r="J60" s="235">
        <v>4.95</v>
      </c>
      <c r="K60" s="236">
        <v>4.88</v>
      </c>
      <c r="L60" s="163">
        <v>0.0684</v>
      </c>
      <c r="M60" s="235">
        <v>0.233</v>
      </c>
      <c r="N60" s="236">
        <v>0.232</v>
      </c>
      <c r="O60" s="163">
        <v>6.68E-4</v>
      </c>
      <c r="P60" s="235">
        <v>4.71</v>
      </c>
      <c r="Q60" s="236">
        <v>4.65</v>
      </c>
      <c r="R60" s="163">
        <v>0.0678</v>
      </c>
      <c r="S60" s="219">
        <v>1.16</v>
      </c>
      <c r="T60" s="220">
        <v>1.15</v>
      </c>
      <c r="U60" s="191">
        <v>0.00999</v>
      </c>
      <c r="V60" s="221" t="s">
        <v>639</v>
      </c>
      <c r="W60" s="91"/>
      <c r="X60" s="91"/>
      <c r="Y60" s="91"/>
      <c r="Z60" s="91"/>
      <c r="AA60" s="91"/>
      <c r="AB60" s="91"/>
      <c r="AC60" s="91"/>
      <c r="AD60" s="91"/>
      <c r="AE60" s="91"/>
      <c r="AF60" s="91"/>
    </row>
    <row r="61" ht="12.75" customHeight="1">
      <c r="A61" s="182" t="s">
        <v>640</v>
      </c>
      <c r="B61" s="184" t="s">
        <v>641</v>
      </c>
      <c r="C61" s="183" t="s">
        <v>637</v>
      </c>
      <c r="D61" s="184" t="s">
        <v>638</v>
      </c>
      <c r="E61" s="218">
        <v>2500.0</v>
      </c>
      <c r="F61" s="186" t="s">
        <v>559</v>
      </c>
      <c r="G61" s="165">
        <v>1140.0</v>
      </c>
      <c r="H61" s="166">
        <v>1120.0</v>
      </c>
      <c r="I61" s="188">
        <v>18.6</v>
      </c>
      <c r="J61" s="235">
        <v>4.19</v>
      </c>
      <c r="K61" s="236">
        <v>4.13</v>
      </c>
      <c r="L61" s="163">
        <v>0.0684</v>
      </c>
      <c r="M61" s="235">
        <v>0.13</v>
      </c>
      <c r="N61" s="236">
        <v>0.13</v>
      </c>
      <c r="O61" s="163">
        <v>6.68E-4</v>
      </c>
      <c r="P61" s="235">
        <v>4.06</v>
      </c>
      <c r="Q61" s="236">
        <v>4.0</v>
      </c>
      <c r="R61" s="163">
        <v>0.0678</v>
      </c>
      <c r="S61" s="189">
        <v>1.1</v>
      </c>
      <c r="T61" s="163">
        <v>1.09</v>
      </c>
      <c r="U61" s="191">
        <v>0.00999</v>
      </c>
      <c r="V61" s="221" t="s">
        <v>642</v>
      </c>
      <c r="W61" s="91"/>
      <c r="X61" s="91"/>
      <c r="Y61" s="91"/>
      <c r="Z61" s="91"/>
      <c r="AA61" s="91"/>
      <c r="AB61" s="91"/>
      <c r="AC61" s="91"/>
      <c r="AD61" s="91"/>
      <c r="AE61" s="91"/>
      <c r="AF61" s="91"/>
    </row>
    <row r="62" ht="12.75" customHeight="1">
      <c r="A62" s="182" t="s">
        <v>643</v>
      </c>
      <c r="B62" s="184" t="s">
        <v>644</v>
      </c>
      <c r="C62" s="183" t="s">
        <v>645</v>
      </c>
      <c r="D62" s="184" t="s">
        <v>646</v>
      </c>
      <c r="E62" s="218">
        <v>1200.0</v>
      </c>
      <c r="F62" s="186" t="s">
        <v>559</v>
      </c>
      <c r="G62" s="195">
        <v>488.0</v>
      </c>
      <c r="H62" s="196">
        <v>470.0</v>
      </c>
      <c r="I62" s="188">
        <v>17.5</v>
      </c>
      <c r="J62" s="219">
        <v>2.55</v>
      </c>
      <c r="K62" s="220">
        <v>2.48</v>
      </c>
      <c r="L62" s="163">
        <v>0.0657</v>
      </c>
      <c r="M62" s="219">
        <v>0.0858</v>
      </c>
      <c r="N62" s="220">
        <v>0.0852</v>
      </c>
      <c r="O62" s="163">
        <v>6.26E-4</v>
      </c>
      <c r="P62" s="219">
        <v>2.46</v>
      </c>
      <c r="Q62" s="220">
        <v>2.4</v>
      </c>
      <c r="R62" s="163">
        <v>0.0651</v>
      </c>
      <c r="S62" s="189">
        <v>0.537</v>
      </c>
      <c r="T62" s="163">
        <v>0.527</v>
      </c>
      <c r="U62" s="191">
        <v>0.00926</v>
      </c>
      <c r="V62" s="221" t="s">
        <v>647</v>
      </c>
      <c r="W62" s="91"/>
      <c r="X62" s="91"/>
      <c r="Y62" s="91"/>
      <c r="Z62" s="91"/>
      <c r="AA62" s="91"/>
      <c r="AB62" s="91"/>
      <c r="AC62" s="91"/>
      <c r="AD62" s="91"/>
      <c r="AE62" s="91"/>
      <c r="AF62" s="91"/>
    </row>
    <row r="63" ht="12.75" customHeight="1">
      <c r="A63" s="182" t="s">
        <v>648</v>
      </c>
      <c r="B63" s="184" t="s">
        <v>649</v>
      </c>
      <c r="C63" s="183" t="s">
        <v>650</v>
      </c>
      <c r="D63" s="184" t="s">
        <v>651</v>
      </c>
      <c r="E63" s="218">
        <v>850.0</v>
      </c>
      <c r="F63" s="186" t="s">
        <v>559</v>
      </c>
      <c r="G63" s="195">
        <v>314.0</v>
      </c>
      <c r="H63" s="196">
        <v>296.0</v>
      </c>
      <c r="I63" s="188">
        <v>17.3</v>
      </c>
      <c r="J63" s="219">
        <v>1.43</v>
      </c>
      <c r="K63" s="220">
        <v>1.36</v>
      </c>
      <c r="L63" s="163">
        <v>0.0651</v>
      </c>
      <c r="M63" s="219">
        <v>0.0786</v>
      </c>
      <c r="N63" s="220">
        <v>0.078</v>
      </c>
      <c r="O63" s="163">
        <v>6.21E-4</v>
      </c>
      <c r="P63" s="219">
        <v>1.35</v>
      </c>
      <c r="Q63" s="220">
        <v>1.28</v>
      </c>
      <c r="R63" s="163">
        <v>0.0645</v>
      </c>
      <c r="S63" s="189">
        <v>0.293</v>
      </c>
      <c r="T63" s="163">
        <v>0.284</v>
      </c>
      <c r="U63" s="191">
        <v>0.00918</v>
      </c>
      <c r="V63" s="221" t="s">
        <v>652</v>
      </c>
      <c r="W63" s="91"/>
      <c r="X63" s="91"/>
      <c r="Y63" s="91"/>
      <c r="Z63" s="91"/>
      <c r="AA63" s="91"/>
      <c r="AB63" s="91"/>
      <c r="AC63" s="91"/>
      <c r="AD63" s="91"/>
      <c r="AE63" s="91"/>
      <c r="AF63" s="91"/>
    </row>
    <row r="64" ht="12.75" customHeight="1">
      <c r="A64" s="182" t="s">
        <v>653</v>
      </c>
      <c r="B64" s="162" t="s">
        <v>654</v>
      </c>
      <c r="C64" s="183" t="s">
        <v>655</v>
      </c>
      <c r="D64" s="162" t="s">
        <v>656</v>
      </c>
      <c r="E64" s="218">
        <v>1000.0</v>
      </c>
      <c r="F64" s="186" t="s">
        <v>559</v>
      </c>
      <c r="G64" s="195">
        <v>343.0</v>
      </c>
      <c r="H64" s="196">
        <v>326.0</v>
      </c>
      <c r="I64" s="188">
        <v>17.2</v>
      </c>
      <c r="J64" s="219">
        <v>1.47</v>
      </c>
      <c r="K64" s="220">
        <v>1.4</v>
      </c>
      <c r="L64" s="163">
        <v>0.0647</v>
      </c>
      <c r="M64" s="219">
        <v>0.029</v>
      </c>
      <c r="N64" s="220">
        <v>0.0284</v>
      </c>
      <c r="O64" s="163">
        <v>6.17E-4</v>
      </c>
      <c r="P64" s="219">
        <v>1.44</v>
      </c>
      <c r="Q64" s="220">
        <v>1.37</v>
      </c>
      <c r="R64" s="163">
        <v>0.0641</v>
      </c>
      <c r="S64" s="189">
        <v>0.307</v>
      </c>
      <c r="T64" s="163">
        <v>0.298</v>
      </c>
      <c r="U64" s="191">
        <v>0.00913</v>
      </c>
      <c r="V64" s="173" t="s">
        <v>657</v>
      </c>
      <c r="W64" s="91"/>
      <c r="X64" s="91"/>
      <c r="Y64" s="91"/>
      <c r="Z64" s="91"/>
      <c r="AA64" s="91"/>
      <c r="AB64" s="91"/>
      <c r="AC64" s="91"/>
      <c r="AD64" s="91"/>
      <c r="AE64" s="91"/>
      <c r="AF64" s="91"/>
    </row>
    <row r="65" ht="12.75" customHeight="1">
      <c r="A65" s="182" t="s">
        <v>658</v>
      </c>
      <c r="B65" s="162" t="s">
        <v>659</v>
      </c>
      <c r="C65" s="183" t="s">
        <v>596</v>
      </c>
      <c r="D65" s="184" t="s">
        <v>597</v>
      </c>
      <c r="E65" s="218">
        <v>2500.0</v>
      </c>
      <c r="F65" s="186" t="s">
        <v>559</v>
      </c>
      <c r="G65" s="237">
        <v>75.0</v>
      </c>
      <c r="H65" s="224">
        <v>49.9</v>
      </c>
      <c r="I65" s="224">
        <v>25.1</v>
      </c>
      <c r="J65" s="225">
        <v>0.341</v>
      </c>
      <c r="K65" s="226">
        <v>0.291</v>
      </c>
      <c r="L65" s="227">
        <v>0.0499</v>
      </c>
      <c r="M65" s="225">
        <v>0.039</v>
      </c>
      <c r="N65" s="226">
        <v>0.0371</v>
      </c>
      <c r="O65" s="227">
        <v>0.00186</v>
      </c>
      <c r="P65" s="225">
        <v>0.302</v>
      </c>
      <c r="Q65" s="227">
        <v>0.254</v>
      </c>
      <c r="R65" s="227">
        <v>0.0481</v>
      </c>
      <c r="S65" s="238">
        <v>0.0336</v>
      </c>
      <c r="T65" s="232">
        <v>0.0249</v>
      </c>
      <c r="U65" s="229">
        <v>0.00868</v>
      </c>
      <c r="V65" s="173" t="s">
        <v>660</v>
      </c>
      <c r="W65" s="91"/>
      <c r="X65" s="91"/>
      <c r="Y65" s="91"/>
      <c r="Z65" s="91"/>
      <c r="AA65" s="91"/>
      <c r="AB65" s="91"/>
      <c r="AC65" s="91"/>
      <c r="AD65" s="91"/>
      <c r="AE65" s="91"/>
      <c r="AF65" s="91"/>
    </row>
    <row r="66" ht="12.75" customHeight="1" outlineLevel="1">
      <c r="A66" s="182" t="s">
        <v>661</v>
      </c>
      <c r="B66" s="162" t="s">
        <v>662</v>
      </c>
      <c r="C66" s="183" t="s">
        <v>596</v>
      </c>
      <c r="D66" s="184" t="s">
        <v>597</v>
      </c>
      <c r="E66" s="218">
        <v>2600.0</v>
      </c>
      <c r="F66" s="186" t="s">
        <v>559</v>
      </c>
      <c r="G66" s="237">
        <v>79.0</v>
      </c>
      <c r="H66" s="224">
        <v>53.9</v>
      </c>
      <c r="I66" s="224">
        <v>25.1</v>
      </c>
      <c r="J66" s="225">
        <v>0.352</v>
      </c>
      <c r="K66" s="226">
        <v>0.303</v>
      </c>
      <c r="L66" s="227">
        <v>0.0499</v>
      </c>
      <c r="M66" s="225">
        <v>0.0246</v>
      </c>
      <c r="N66" s="226">
        <v>0.0227</v>
      </c>
      <c r="O66" s="227">
        <v>0.00186</v>
      </c>
      <c r="P66" s="225">
        <v>0.328</v>
      </c>
      <c r="Q66" s="226">
        <v>0.28</v>
      </c>
      <c r="R66" s="227">
        <v>0.0481</v>
      </c>
      <c r="S66" s="238">
        <v>0.0657</v>
      </c>
      <c r="T66" s="232">
        <v>0.057</v>
      </c>
      <c r="U66" s="229">
        <v>0.00868</v>
      </c>
      <c r="V66" s="173" t="s">
        <v>663</v>
      </c>
      <c r="W66" s="91"/>
      <c r="X66" s="91"/>
      <c r="Y66" s="91"/>
      <c r="Z66" s="91"/>
      <c r="AA66" s="91"/>
      <c r="AB66" s="91"/>
      <c r="AC66" s="91"/>
      <c r="AD66" s="91"/>
      <c r="AE66" s="91"/>
      <c r="AF66" s="91"/>
    </row>
    <row r="67" ht="12.75" customHeight="1">
      <c r="A67" s="182" t="s">
        <v>664</v>
      </c>
      <c r="B67" s="184" t="s">
        <v>665</v>
      </c>
      <c r="C67" s="183" t="s">
        <v>591</v>
      </c>
      <c r="D67" s="184" t="s">
        <v>592</v>
      </c>
      <c r="E67" s="218">
        <v>2600.0</v>
      </c>
      <c r="F67" s="186" t="s">
        <v>559</v>
      </c>
      <c r="G67" s="233">
        <v>2460.0</v>
      </c>
      <c r="H67" s="234">
        <v>2430.0</v>
      </c>
      <c r="I67" s="224">
        <v>25.8</v>
      </c>
      <c r="J67" s="230">
        <v>4.05</v>
      </c>
      <c r="K67" s="231">
        <v>3.99</v>
      </c>
      <c r="L67" s="227">
        <v>0.0523</v>
      </c>
      <c r="M67" s="230">
        <v>0.234</v>
      </c>
      <c r="N67" s="231">
        <v>0.232</v>
      </c>
      <c r="O67" s="227">
        <v>0.00177</v>
      </c>
      <c r="P67" s="230">
        <v>3.81</v>
      </c>
      <c r="Q67" s="231">
        <v>3.76</v>
      </c>
      <c r="R67" s="227">
        <v>0.0505</v>
      </c>
      <c r="S67" s="228">
        <v>0.777</v>
      </c>
      <c r="T67" s="227">
        <v>0.768</v>
      </c>
      <c r="U67" s="229">
        <v>0.00903</v>
      </c>
      <c r="V67" s="221" t="s">
        <v>666</v>
      </c>
      <c r="W67" s="91"/>
      <c r="X67" s="91"/>
      <c r="Y67" s="91"/>
      <c r="Z67" s="91"/>
      <c r="AA67" s="91"/>
      <c r="AB67" s="91"/>
      <c r="AC67" s="91"/>
      <c r="AD67" s="91"/>
      <c r="AE67" s="91"/>
      <c r="AF67" s="91"/>
    </row>
    <row r="68" ht="12.75" customHeight="1">
      <c r="A68" s="182" t="s">
        <v>667</v>
      </c>
      <c r="B68" s="184" t="s">
        <v>668</v>
      </c>
      <c r="C68" s="183" t="s">
        <v>669</v>
      </c>
      <c r="D68" s="184" t="s">
        <v>670</v>
      </c>
      <c r="E68" s="218">
        <v>2000.0</v>
      </c>
      <c r="F68" s="186" t="s">
        <v>559</v>
      </c>
      <c r="G68" s="187">
        <v>64.9</v>
      </c>
      <c r="H68" s="188">
        <v>39.8</v>
      </c>
      <c r="I68" s="188">
        <v>25.1</v>
      </c>
      <c r="J68" s="189">
        <v>0.0905</v>
      </c>
      <c r="K68" s="163">
        <v>0.041</v>
      </c>
      <c r="L68" s="163">
        <v>0.0495</v>
      </c>
      <c r="M68" s="189">
        <v>0.00661</v>
      </c>
      <c r="N68" s="163">
        <v>0.00464</v>
      </c>
      <c r="O68" s="163">
        <v>0.00198</v>
      </c>
      <c r="P68" s="189">
        <v>0.0839</v>
      </c>
      <c r="Q68" s="163">
        <v>0.0364</v>
      </c>
      <c r="R68" s="163">
        <v>0.0475</v>
      </c>
      <c r="S68" s="190">
        <v>0.0134</v>
      </c>
      <c r="T68" s="192">
        <v>0.0045</v>
      </c>
      <c r="U68" s="192">
        <v>0.00889</v>
      </c>
      <c r="V68" s="221" t="s">
        <v>671</v>
      </c>
      <c r="W68" s="91"/>
      <c r="X68" s="91"/>
      <c r="Y68" s="91"/>
      <c r="Z68" s="91"/>
      <c r="AA68" s="91"/>
      <c r="AB68" s="91"/>
      <c r="AC68" s="91"/>
      <c r="AD68" s="91"/>
      <c r="AE68" s="91"/>
      <c r="AF68" s="91"/>
    </row>
    <row r="69" ht="12.75" customHeight="1">
      <c r="A69" s="182" t="s">
        <v>672</v>
      </c>
      <c r="B69" s="184" t="s">
        <v>673</v>
      </c>
      <c r="C69" s="183" t="s">
        <v>669</v>
      </c>
      <c r="D69" s="184" t="s">
        <v>670</v>
      </c>
      <c r="E69" s="218">
        <v>2000.0</v>
      </c>
      <c r="F69" s="186" t="s">
        <v>559</v>
      </c>
      <c r="G69" s="187">
        <v>61.0</v>
      </c>
      <c r="H69" s="188">
        <v>35.9</v>
      </c>
      <c r="I69" s="188">
        <v>25.1</v>
      </c>
      <c r="J69" s="189">
        <v>0.0679</v>
      </c>
      <c r="K69" s="191">
        <v>0.0184</v>
      </c>
      <c r="L69" s="163">
        <v>0.0495</v>
      </c>
      <c r="M69" s="189">
        <v>0.00344</v>
      </c>
      <c r="N69" s="191">
        <v>0.00146</v>
      </c>
      <c r="O69" s="163">
        <v>0.00198</v>
      </c>
      <c r="P69" s="189">
        <v>0.0644</v>
      </c>
      <c r="Q69" s="191">
        <v>0.0169</v>
      </c>
      <c r="R69" s="163">
        <v>0.0475</v>
      </c>
      <c r="S69" s="190">
        <v>0.0117</v>
      </c>
      <c r="T69" s="192">
        <v>0.00277</v>
      </c>
      <c r="U69" s="192">
        <v>0.00889</v>
      </c>
      <c r="V69" s="221" t="s">
        <v>674</v>
      </c>
      <c r="W69" s="91"/>
      <c r="X69" s="91"/>
      <c r="Y69" s="91"/>
      <c r="Z69" s="91"/>
      <c r="AA69" s="91"/>
      <c r="AB69" s="91"/>
      <c r="AC69" s="91"/>
      <c r="AD69" s="91"/>
      <c r="AE69" s="91"/>
      <c r="AF69" s="91"/>
    </row>
    <row r="70" ht="12.75" customHeight="1">
      <c r="A70" s="182" t="s">
        <v>675</v>
      </c>
      <c r="B70" s="184" t="s">
        <v>676</v>
      </c>
      <c r="C70" s="183" t="s">
        <v>677</v>
      </c>
      <c r="D70" s="184" t="s">
        <v>678</v>
      </c>
      <c r="E70" s="218">
        <v>2000.0</v>
      </c>
      <c r="F70" s="186" t="s">
        <v>559</v>
      </c>
      <c r="G70" s="187">
        <v>65.7</v>
      </c>
      <c r="H70" s="188">
        <v>35.9</v>
      </c>
      <c r="I70" s="188">
        <v>29.7</v>
      </c>
      <c r="J70" s="189">
        <v>0.0838</v>
      </c>
      <c r="K70" s="191">
        <v>0.0184</v>
      </c>
      <c r="L70" s="163">
        <v>0.0655</v>
      </c>
      <c r="M70" s="189">
        <v>0.00289</v>
      </c>
      <c r="N70" s="191">
        <v>0.00146</v>
      </c>
      <c r="O70" s="163">
        <v>0.00143</v>
      </c>
      <c r="P70" s="189">
        <v>0.0809</v>
      </c>
      <c r="Q70" s="191">
        <v>0.0169</v>
      </c>
      <c r="R70" s="163">
        <v>0.064</v>
      </c>
      <c r="S70" s="190">
        <v>0.014</v>
      </c>
      <c r="T70" s="192">
        <v>0.00277</v>
      </c>
      <c r="U70" s="191">
        <v>0.0112</v>
      </c>
      <c r="V70" s="221" t="s">
        <v>679</v>
      </c>
      <c r="W70" s="91"/>
      <c r="X70" s="91"/>
      <c r="Y70" s="91"/>
      <c r="Z70" s="91"/>
      <c r="AA70" s="91"/>
      <c r="AB70" s="91"/>
      <c r="AC70" s="91"/>
      <c r="AD70" s="91"/>
      <c r="AE70" s="91"/>
      <c r="AF70" s="91"/>
    </row>
    <row r="71" ht="12.75" customHeight="1">
      <c r="A71" s="182" t="s">
        <v>680</v>
      </c>
      <c r="B71" s="184" t="s">
        <v>681</v>
      </c>
      <c r="C71" s="183" t="s">
        <v>591</v>
      </c>
      <c r="D71" s="184" t="s">
        <v>592</v>
      </c>
      <c r="E71" s="218">
        <v>2000.0</v>
      </c>
      <c r="F71" s="186" t="s">
        <v>559</v>
      </c>
      <c r="G71" s="233">
        <v>3030.0</v>
      </c>
      <c r="H71" s="234">
        <v>3000.0</v>
      </c>
      <c r="I71" s="224">
        <v>25.8</v>
      </c>
      <c r="J71" s="230">
        <v>11.6</v>
      </c>
      <c r="K71" s="231">
        <v>11.5</v>
      </c>
      <c r="L71" s="227">
        <v>0.0523</v>
      </c>
      <c r="M71" s="230">
        <v>0.401</v>
      </c>
      <c r="N71" s="231">
        <v>0.399</v>
      </c>
      <c r="O71" s="227">
        <v>0.00177</v>
      </c>
      <c r="P71" s="230">
        <v>11.2</v>
      </c>
      <c r="Q71" s="231">
        <v>11.1</v>
      </c>
      <c r="R71" s="227">
        <v>0.0505</v>
      </c>
      <c r="S71" s="225">
        <v>2.32</v>
      </c>
      <c r="T71" s="226">
        <v>2.31</v>
      </c>
      <c r="U71" s="229">
        <v>0.00903</v>
      </c>
      <c r="V71" s="221" t="s">
        <v>682</v>
      </c>
      <c r="W71" s="91"/>
      <c r="X71" s="91"/>
      <c r="Y71" s="91"/>
      <c r="Z71" s="91"/>
      <c r="AA71" s="91"/>
      <c r="AB71" s="91"/>
      <c r="AC71" s="91"/>
      <c r="AD71" s="91"/>
      <c r="AE71" s="91"/>
      <c r="AF71" s="91"/>
    </row>
    <row r="72" ht="12.75" customHeight="1">
      <c r="A72" s="198" t="s">
        <v>683</v>
      </c>
      <c r="B72" s="162" t="s">
        <v>684</v>
      </c>
      <c r="C72" s="239" t="s">
        <v>591</v>
      </c>
      <c r="D72" s="162" t="s">
        <v>592</v>
      </c>
      <c r="E72" s="185">
        <v>2000.0</v>
      </c>
      <c r="F72" s="164" t="s">
        <v>559</v>
      </c>
      <c r="G72" s="165">
        <v>39.4</v>
      </c>
      <c r="H72" s="166">
        <v>25.2</v>
      </c>
      <c r="I72" s="188">
        <v>14.2</v>
      </c>
      <c r="J72" s="235">
        <v>0.134</v>
      </c>
      <c r="K72" s="236">
        <v>0.079</v>
      </c>
      <c r="L72" s="163">
        <v>0.0549</v>
      </c>
      <c r="M72" s="235">
        <v>0.00461</v>
      </c>
      <c r="N72" s="236">
        <v>0.00413</v>
      </c>
      <c r="O72" s="163">
        <v>4.83E-4</v>
      </c>
      <c r="P72" s="235">
        <v>0.129</v>
      </c>
      <c r="Q72" s="236">
        <v>0.0749</v>
      </c>
      <c r="R72" s="163">
        <v>0.0544</v>
      </c>
      <c r="S72" s="219">
        <v>0.0234</v>
      </c>
      <c r="T72" s="220">
        <v>0.0163</v>
      </c>
      <c r="U72" s="192">
        <v>0.00708</v>
      </c>
      <c r="V72" s="173" t="s">
        <v>685</v>
      </c>
      <c r="W72" s="170"/>
      <c r="X72" s="170"/>
      <c r="Y72" s="170"/>
      <c r="Z72" s="170"/>
      <c r="AA72" s="170"/>
      <c r="AB72" s="170"/>
      <c r="AC72" s="170"/>
      <c r="AD72" s="170"/>
      <c r="AE72" s="170"/>
      <c r="AF72" s="170"/>
    </row>
    <row r="73" ht="12.75" customHeight="1">
      <c r="A73" s="182" t="s">
        <v>686</v>
      </c>
      <c r="B73" s="184" t="s">
        <v>687</v>
      </c>
      <c r="C73" s="183" t="s">
        <v>591</v>
      </c>
      <c r="D73" s="184" t="s">
        <v>592</v>
      </c>
      <c r="E73" s="218">
        <v>1700.0</v>
      </c>
      <c r="F73" s="186" t="s">
        <v>559</v>
      </c>
      <c r="G73" s="195">
        <v>300.0</v>
      </c>
      <c r="H73" s="196">
        <v>274.0</v>
      </c>
      <c r="I73" s="188">
        <v>25.8</v>
      </c>
      <c r="J73" s="219">
        <v>1.15</v>
      </c>
      <c r="K73" s="220">
        <v>1.1</v>
      </c>
      <c r="L73" s="163">
        <v>0.0523</v>
      </c>
      <c r="M73" s="219">
        <v>0.0335</v>
      </c>
      <c r="N73" s="220">
        <v>0.0318</v>
      </c>
      <c r="O73" s="163">
        <v>0.00177</v>
      </c>
      <c r="P73" s="219">
        <v>1.12</v>
      </c>
      <c r="Q73" s="220">
        <v>1.07</v>
      </c>
      <c r="R73" s="163">
        <v>0.0505</v>
      </c>
      <c r="S73" s="189">
        <v>0.375</v>
      </c>
      <c r="T73" s="163">
        <v>0.366</v>
      </c>
      <c r="U73" s="192">
        <v>0.00903</v>
      </c>
      <c r="V73" s="221" t="s">
        <v>688</v>
      </c>
      <c r="W73" s="91"/>
      <c r="X73" s="91"/>
      <c r="Y73" s="91"/>
      <c r="Z73" s="91"/>
      <c r="AA73" s="91"/>
      <c r="AB73" s="91"/>
      <c r="AC73" s="91"/>
      <c r="AD73" s="91"/>
      <c r="AE73" s="91"/>
      <c r="AF73" s="91"/>
    </row>
    <row r="74" ht="12.75" customHeight="1">
      <c r="A74" s="214" t="s">
        <v>689</v>
      </c>
      <c r="B74" s="177" t="s">
        <v>690</v>
      </c>
      <c r="C74" s="176"/>
      <c r="D74" s="177"/>
      <c r="E74" s="178" t="s">
        <v>691</v>
      </c>
      <c r="F74" s="179"/>
      <c r="G74" s="179"/>
      <c r="H74" s="179"/>
      <c r="I74" s="179"/>
      <c r="J74" s="215"/>
      <c r="K74" s="181"/>
      <c r="L74" s="216"/>
      <c r="M74" s="215"/>
      <c r="N74" s="181"/>
      <c r="O74" s="216"/>
      <c r="P74" s="180"/>
      <c r="Q74" s="181"/>
      <c r="R74" s="181"/>
      <c r="S74" s="180"/>
      <c r="T74" s="181"/>
      <c r="U74" s="181"/>
      <c r="V74" s="217" t="s">
        <v>692</v>
      </c>
      <c r="W74" s="91"/>
      <c r="X74" s="91"/>
      <c r="Y74" s="91"/>
      <c r="Z74" s="91"/>
      <c r="AA74" s="91"/>
      <c r="AB74" s="91"/>
      <c r="AC74" s="91"/>
      <c r="AD74" s="91"/>
      <c r="AE74" s="91"/>
      <c r="AF74" s="91"/>
    </row>
    <row r="75" ht="12.75" customHeight="1">
      <c r="A75" s="182" t="s">
        <v>693</v>
      </c>
      <c r="B75" s="162" t="s">
        <v>694</v>
      </c>
      <c r="C75" s="239" t="s">
        <v>695</v>
      </c>
      <c r="D75" s="162" t="s">
        <v>696</v>
      </c>
      <c r="E75" s="185">
        <v>1400.0</v>
      </c>
      <c r="F75" s="186" t="s">
        <v>559</v>
      </c>
      <c r="G75" s="195">
        <v>427.0</v>
      </c>
      <c r="H75" s="196">
        <v>410.0</v>
      </c>
      <c r="I75" s="188">
        <v>17.2</v>
      </c>
      <c r="J75" s="219">
        <v>1.77</v>
      </c>
      <c r="K75" s="220">
        <v>1.7</v>
      </c>
      <c r="L75" s="163">
        <v>0.0647</v>
      </c>
      <c r="M75" s="219">
        <v>0.166</v>
      </c>
      <c r="N75" s="220">
        <v>0.166</v>
      </c>
      <c r="O75" s="163">
        <v>6.17E-4</v>
      </c>
      <c r="P75" s="219">
        <v>1.6</v>
      </c>
      <c r="Q75" s="220">
        <v>1.54</v>
      </c>
      <c r="R75" s="163">
        <v>0.0641</v>
      </c>
      <c r="S75" s="189">
        <v>0.406</v>
      </c>
      <c r="T75" s="163">
        <v>0.397</v>
      </c>
      <c r="U75" s="192">
        <v>0.00913</v>
      </c>
      <c r="V75" s="173" t="s">
        <v>697</v>
      </c>
      <c r="W75" s="91"/>
      <c r="X75" s="91"/>
      <c r="Y75" s="91"/>
      <c r="Z75" s="91"/>
      <c r="AA75" s="91"/>
      <c r="AB75" s="91"/>
      <c r="AC75" s="91"/>
      <c r="AD75" s="91"/>
      <c r="AE75" s="91"/>
      <c r="AF75" s="91"/>
    </row>
    <row r="76" ht="12.75" customHeight="1">
      <c r="A76" s="198" t="s">
        <v>698</v>
      </c>
      <c r="B76" s="162" t="s">
        <v>699</v>
      </c>
      <c r="C76" s="239" t="s">
        <v>695</v>
      </c>
      <c r="D76" s="162" t="s">
        <v>696</v>
      </c>
      <c r="E76" s="185">
        <v>1100.0</v>
      </c>
      <c r="F76" s="164" t="s">
        <v>559</v>
      </c>
      <c r="G76" s="195">
        <v>424.0</v>
      </c>
      <c r="H76" s="196">
        <v>407.0</v>
      </c>
      <c r="I76" s="188">
        <v>17.2</v>
      </c>
      <c r="J76" s="219">
        <v>1.84</v>
      </c>
      <c r="K76" s="220">
        <v>1.77</v>
      </c>
      <c r="L76" s="163">
        <v>0.0647</v>
      </c>
      <c r="M76" s="219">
        <v>0.146</v>
      </c>
      <c r="N76" s="220">
        <v>0.146</v>
      </c>
      <c r="O76" s="163">
        <v>6.17E-4</v>
      </c>
      <c r="P76" s="219">
        <v>1.69</v>
      </c>
      <c r="Q76" s="220">
        <v>1.62</v>
      </c>
      <c r="R76" s="163">
        <v>0.0641</v>
      </c>
      <c r="S76" s="189">
        <v>0.427</v>
      </c>
      <c r="T76" s="163">
        <v>0.418</v>
      </c>
      <c r="U76" s="192">
        <v>0.00913</v>
      </c>
      <c r="V76" s="173" t="s">
        <v>700</v>
      </c>
      <c r="W76" s="170"/>
      <c r="X76" s="170"/>
      <c r="Y76" s="170"/>
      <c r="Z76" s="170"/>
      <c r="AA76" s="170"/>
      <c r="AB76" s="170"/>
      <c r="AC76" s="170"/>
      <c r="AD76" s="170"/>
      <c r="AE76" s="170"/>
      <c r="AF76" s="170"/>
    </row>
    <row r="77" ht="12.75" customHeight="1">
      <c r="A77" s="182" t="s">
        <v>701</v>
      </c>
      <c r="B77" s="162" t="s">
        <v>702</v>
      </c>
      <c r="C77" s="239" t="s">
        <v>695</v>
      </c>
      <c r="D77" s="162" t="s">
        <v>696</v>
      </c>
      <c r="E77" s="185">
        <v>1670.0</v>
      </c>
      <c r="F77" s="186" t="s">
        <v>559</v>
      </c>
      <c r="G77" s="165">
        <v>1000.0</v>
      </c>
      <c r="H77" s="166">
        <v>982.0</v>
      </c>
      <c r="I77" s="188">
        <v>17.2</v>
      </c>
      <c r="J77" s="235">
        <v>4.35</v>
      </c>
      <c r="K77" s="236">
        <v>4.28</v>
      </c>
      <c r="L77" s="163">
        <v>0.0647</v>
      </c>
      <c r="M77" s="235">
        <v>0.146</v>
      </c>
      <c r="N77" s="236">
        <v>0.145</v>
      </c>
      <c r="O77" s="163">
        <v>6.17E-4</v>
      </c>
      <c r="P77" s="235">
        <v>4.2</v>
      </c>
      <c r="Q77" s="236">
        <v>4.14</v>
      </c>
      <c r="R77" s="163">
        <v>0.0641</v>
      </c>
      <c r="S77" s="219">
        <v>0.758</v>
      </c>
      <c r="T77" s="220">
        <v>0.749</v>
      </c>
      <c r="U77" s="192">
        <v>0.00913</v>
      </c>
      <c r="V77" s="173" t="s">
        <v>703</v>
      </c>
      <c r="W77" s="91"/>
      <c r="X77" s="91"/>
      <c r="Y77" s="91"/>
      <c r="Z77" s="91"/>
      <c r="AA77" s="91"/>
      <c r="AB77" s="91"/>
      <c r="AC77" s="91"/>
      <c r="AD77" s="91"/>
      <c r="AE77" s="91"/>
      <c r="AF77" s="91"/>
    </row>
    <row r="78" ht="12.75" customHeight="1">
      <c r="A78" s="198" t="s">
        <v>704</v>
      </c>
      <c r="B78" s="162" t="s">
        <v>705</v>
      </c>
      <c r="C78" s="239" t="s">
        <v>706</v>
      </c>
      <c r="D78" s="162" t="s">
        <v>707</v>
      </c>
      <c r="E78" s="185">
        <v>925.0</v>
      </c>
      <c r="F78" s="164" t="s">
        <v>559</v>
      </c>
      <c r="G78" s="195">
        <v>151.0</v>
      </c>
      <c r="H78" s="196">
        <v>134.0</v>
      </c>
      <c r="I78" s="188">
        <v>17.2</v>
      </c>
      <c r="J78" s="219">
        <v>0.749</v>
      </c>
      <c r="K78" s="220">
        <v>0.685</v>
      </c>
      <c r="L78" s="163">
        <v>0.0647</v>
      </c>
      <c r="M78" s="219">
        <v>0.0635</v>
      </c>
      <c r="N78" s="220">
        <v>0.0629</v>
      </c>
      <c r="O78" s="163">
        <v>6.17E-4</v>
      </c>
      <c r="P78" s="219">
        <v>0.686</v>
      </c>
      <c r="Q78" s="220">
        <v>0.622</v>
      </c>
      <c r="R78" s="163">
        <v>0.0641</v>
      </c>
      <c r="S78" s="189">
        <v>0.155</v>
      </c>
      <c r="T78" s="163">
        <v>0.145</v>
      </c>
      <c r="U78" s="192">
        <v>0.00913</v>
      </c>
      <c r="V78" s="173" t="s">
        <v>708</v>
      </c>
      <c r="W78" s="170"/>
      <c r="X78" s="170"/>
      <c r="Y78" s="170"/>
      <c r="Z78" s="170"/>
      <c r="AA78" s="170"/>
      <c r="AB78" s="170"/>
      <c r="AC78" s="170"/>
      <c r="AD78" s="170"/>
      <c r="AE78" s="170"/>
      <c r="AF78" s="170"/>
    </row>
    <row r="79" ht="12.75" customHeight="1">
      <c r="A79" s="182">
        <v>4.001</v>
      </c>
      <c r="B79" s="184" t="s">
        <v>709</v>
      </c>
      <c r="C79" s="239" t="s">
        <v>710</v>
      </c>
      <c r="D79" s="162" t="s">
        <v>711</v>
      </c>
      <c r="E79" s="185">
        <v>1100.0</v>
      </c>
      <c r="F79" s="186" t="s">
        <v>559</v>
      </c>
      <c r="G79" s="165">
        <v>146.0</v>
      </c>
      <c r="H79" s="166">
        <v>129.0</v>
      </c>
      <c r="I79" s="188">
        <v>17.2</v>
      </c>
      <c r="J79" s="235">
        <v>0.754</v>
      </c>
      <c r="K79" s="236">
        <v>0.689</v>
      </c>
      <c r="L79" s="163">
        <v>0.0647</v>
      </c>
      <c r="M79" s="235">
        <v>0.0618</v>
      </c>
      <c r="N79" s="236">
        <v>0.0612</v>
      </c>
      <c r="O79" s="163">
        <v>6.17E-4</v>
      </c>
      <c r="P79" s="235">
        <v>0.692</v>
      </c>
      <c r="Q79" s="236">
        <v>0.628</v>
      </c>
      <c r="R79" s="163">
        <v>0.0641</v>
      </c>
      <c r="S79" s="219">
        <v>0.147</v>
      </c>
      <c r="T79" s="220">
        <v>0.138</v>
      </c>
      <c r="U79" s="192">
        <v>0.00913</v>
      </c>
      <c r="V79" s="221" t="s">
        <v>712</v>
      </c>
      <c r="W79" s="91"/>
      <c r="X79" s="91"/>
      <c r="Y79" s="91"/>
      <c r="Z79" s="91"/>
      <c r="AA79" s="91"/>
      <c r="AB79" s="91"/>
      <c r="AC79" s="91"/>
      <c r="AD79" s="91"/>
      <c r="AE79" s="91"/>
      <c r="AF79" s="91"/>
    </row>
    <row r="80" ht="12.75" customHeight="1">
      <c r="A80" s="182">
        <v>4.003</v>
      </c>
      <c r="B80" s="162" t="s">
        <v>713</v>
      </c>
      <c r="C80" s="239" t="s">
        <v>695</v>
      </c>
      <c r="D80" s="162" t="s">
        <v>696</v>
      </c>
      <c r="E80" s="185">
        <v>1540.0</v>
      </c>
      <c r="F80" s="186" t="s">
        <v>559</v>
      </c>
      <c r="G80" s="195">
        <v>1230.0</v>
      </c>
      <c r="H80" s="196">
        <v>1210.0</v>
      </c>
      <c r="I80" s="188">
        <v>17.2</v>
      </c>
      <c r="J80" s="219">
        <v>5.48</v>
      </c>
      <c r="K80" s="220">
        <v>5.42</v>
      </c>
      <c r="L80" s="163">
        <v>0.0647</v>
      </c>
      <c r="M80" s="219">
        <v>0.227</v>
      </c>
      <c r="N80" s="220">
        <v>0.227</v>
      </c>
      <c r="O80" s="163">
        <v>6.17E-4</v>
      </c>
      <c r="P80" s="219">
        <v>5.25</v>
      </c>
      <c r="Q80" s="220">
        <v>5.19</v>
      </c>
      <c r="R80" s="163">
        <v>0.0641</v>
      </c>
      <c r="S80" s="189">
        <v>0.951</v>
      </c>
      <c r="T80" s="163">
        <v>0.942</v>
      </c>
      <c r="U80" s="192">
        <v>0.00913</v>
      </c>
      <c r="V80" s="173" t="s">
        <v>714</v>
      </c>
      <c r="W80" s="91"/>
      <c r="X80" s="91"/>
      <c r="Y80" s="91"/>
      <c r="Z80" s="91"/>
      <c r="AA80" s="91"/>
      <c r="AB80" s="91"/>
      <c r="AC80" s="91"/>
      <c r="AD80" s="91"/>
      <c r="AE80" s="91"/>
      <c r="AF80" s="91"/>
    </row>
    <row r="81" ht="12.75" customHeight="1">
      <c r="A81" s="198" t="s">
        <v>715</v>
      </c>
      <c r="B81" s="162" t="s">
        <v>716</v>
      </c>
      <c r="C81" s="239" t="s">
        <v>695</v>
      </c>
      <c r="D81" s="162" t="s">
        <v>696</v>
      </c>
      <c r="E81" s="185">
        <v>1550.0</v>
      </c>
      <c r="F81" s="164" t="s">
        <v>559</v>
      </c>
      <c r="G81" s="195">
        <v>237.0</v>
      </c>
      <c r="H81" s="196">
        <v>220.0</v>
      </c>
      <c r="I81" s="188">
        <v>17.2</v>
      </c>
      <c r="J81" s="219">
        <v>0.895</v>
      </c>
      <c r="K81" s="220">
        <v>0.83</v>
      </c>
      <c r="L81" s="163">
        <v>0.0647</v>
      </c>
      <c r="M81" s="219">
        <v>0.13</v>
      </c>
      <c r="N81" s="220">
        <v>0.13</v>
      </c>
      <c r="O81" s="163">
        <v>6.17E-4</v>
      </c>
      <c r="P81" s="219">
        <v>0.765</v>
      </c>
      <c r="Q81" s="220">
        <v>0.701</v>
      </c>
      <c r="R81" s="163">
        <v>0.0641</v>
      </c>
      <c r="S81" s="189">
        <v>0.247</v>
      </c>
      <c r="T81" s="163">
        <v>0.238</v>
      </c>
      <c r="U81" s="192">
        <v>0.00913</v>
      </c>
      <c r="V81" s="173" t="s">
        <v>717</v>
      </c>
      <c r="W81" s="170"/>
      <c r="X81" s="170"/>
      <c r="Y81" s="170"/>
      <c r="Z81" s="170"/>
      <c r="AA81" s="170"/>
      <c r="AB81" s="170"/>
      <c r="AC81" s="170"/>
      <c r="AD81" s="170"/>
      <c r="AE81" s="170"/>
      <c r="AF81" s="170"/>
    </row>
    <row r="82" ht="12.75" customHeight="1">
      <c r="A82" s="182" t="s">
        <v>718</v>
      </c>
      <c r="B82" s="184" t="s">
        <v>719</v>
      </c>
      <c r="C82" s="183" t="s">
        <v>720</v>
      </c>
      <c r="D82" s="184" t="s">
        <v>721</v>
      </c>
      <c r="E82" s="218">
        <v>1800.0</v>
      </c>
      <c r="F82" s="186" t="s">
        <v>559</v>
      </c>
      <c r="G82" s="237">
        <v>62.3</v>
      </c>
      <c r="H82" s="224">
        <v>43.0</v>
      </c>
      <c r="I82" s="224">
        <v>19.3</v>
      </c>
      <c r="J82" s="228">
        <v>0.18</v>
      </c>
      <c r="K82" s="227">
        <v>0.148</v>
      </c>
      <c r="L82" s="227">
        <v>0.0324</v>
      </c>
      <c r="M82" s="228">
        <v>0.0159</v>
      </c>
      <c r="N82" s="227">
        <v>0.014</v>
      </c>
      <c r="O82" s="227">
        <v>0.0019</v>
      </c>
      <c r="P82" s="228">
        <v>0.164</v>
      </c>
      <c r="Q82" s="227">
        <v>0.134</v>
      </c>
      <c r="R82" s="227">
        <v>0.0305</v>
      </c>
      <c r="S82" s="228">
        <v>0.0229</v>
      </c>
      <c r="T82" s="227">
        <v>0.0182</v>
      </c>
      <c r="U82" s="229">
        <v>0.00473</v>
      </c>
      <c r="V82" s="221" t="s">
        <v>722</v>
      </c>
      <c r="W82" s="91"/>
      <c r="X82" s="91"/>
      <c r="Y82" s="91"/>
      <c r="Z82" s="91"/>
      <c r="AA82" s="91"/>
      <c r="AB82" s="91"/>
      <c r="AC82" s="91"/>
      <c r="AD82" s="91"/>
      <c r="AE82" s="91"/>
      <c r="AF82" s="91"/>
    </row>
    <row r="83" ht="12.75" customHeight="1">
      <c r="A83" s="198" t="s">
        <v>723</v>
      </c>
      <c r="B83" s="162" t="s">
        <v>724</v>
      </c>
      <c r="C83" s="239" t="s">
        <v>695</v>
      </c>
      <c r="D83" s="162" t="s">
        <v>696</v>
      </c>
      <c r="E83" s="185">
        <v>1000.0</v>
      </c>
      <c r="F83" s="164" t="s">
        <v>559</v>
      </c>
      <c r="G83" s="195">
        <v>366.0</v>
      </c>
      <c r="H83" s="196">
        <v>348.0</v>
      </c>
      <c r="I83" s="188">
        <v>17.2</v>
      </c>
      <c r="J83" s="219">
        <v>1.45</v>
      </c>
      <c r="K83" s="220">
        <v>1.39</v>
      </c>
      <c r="L83" s="163">
        <v>0.0647</v>
      </c>
      <c r="M83" s="219">
        <v>0.154</v>
      </c>
      <c r="N83" s="220">
        <v>0.154</v>
      </c>
      <c r="O83" s="163">
        <v>6.17E-4</v>
      </c>
      <c r="P83" s="219">
        <v>1.3</v>
      </c>
      <c r="Q83" s="220">
        <v>1.23</v>
      </c>
      <c r="R83" s="163">
        <v>0.0641</v>
      </c>
      <c r="S83" s="189">
        <v>0.366</v>
      </c>
      <c r="T83" s="163">
        <v>0.357</v>
      </c>
      <c r="U83" s="192">
        <v>0.00913</v>
      </c>
      <c r="V83" s="173" t="s">
        <v>725</v>
      </c>
      <c r="W83" s="170"/>
      <c r="X83" s="170"/>
      <c r="Y83" s="170"/>
      <c r="Z83" s="170"/>
      <c r="AA83" s="170"/>
      <c r="AB83" s="170"/>
      <c r="AC83" s="170"/>
      <c r="AD83" s="170"/>
      <c r="AE83" s="170"/>
      <c r="AF83" s="170"/>
    </row>
    <row r="84" ht="12.75" customHeight="1">
      <c r="A84" s="198" t="s">
        <v>726</v>
      </c>
      <c r="B84" s="162" t="s">
        <v>727</v>
      </c>
      <c r="C84" s="239" t="s">
        <v>695</v>
      </c>
      <c r="D84" s="162" t="s">
        <v>696</v>
      </c>
      <c r="E84" s="185">
        <v>1880.0</v>
      </c>
      <c r="F84" s="164" t="s">
        <v>559</v>
      </c>
      <c r="G84" s="195">
        <v>1220.0</v>
      </c>
      <c r="H84" s="196">
        <v>1200.0</v>
      </c>
      <c r="I84" s="188">
        <v>17.2</v>
      </c>
      <c r="J84" s="219">
        <v>5.36</v>
      </c>
      <c r="K84" s="220">
        <v>5.29</v>
      </c>
      <c r="L84" s="163">
        <v>0.0647</v>
      </c>
      <c r="M84" s="219">
        <v>0.249</v>
      </c>
      <c r="N84" s="220">
        <v>0.248</v>
      </c>
      <c r="O84" s="163">
        <v>6.17E-4</v>
      </c>
      <c r="P84" s="219">
        <v>5.11</v>
      </c>
      <c r="Q84" s="220">
        <v>5.04</v>
      </c>
      <c r="R84" s="163">
        <v>0.0641</v>
      </c>
      <c r="S84" s="190">
        <v>0.975</v>
      </c>
      <c r="T84" s="191">
        <v>0.966</v>
      </c>
      <c r="U84" s="192">
        <v>0.00913</v>
      </c>
      <c r="V84" s="173" t="s">
        <v>728</v>
      </c>
      <c r="W84" s="170"/>
      <c r="X84" s="170"/>
      <c r="Y84" s="170"/>
      <c r="Z84" s="170"/>
      <c r="AA84" s="170"/>
      <c r="AB84" s="170"/>
      <c r="AC84" s="170"/>
      <c r="AD84" s="170"/>
      <c r="AE84" s="170"/>
      <c r="AF84" s="170"/>
    </row>
    <row r="85" ht="12.75" customHeight="1">
      <c r="A85" s="198" t="s">
        <v>729</v>
      </c>
      <c r="B85" s="162" t="s">
        <v>730</v>
      </c>
      <c r="C85" s="239" t="s">
        <v>695</v>
      </c>
      <c r="D85" s="162" t="s">
        <v>696</v>
      </c>
      <c r="E85" s="185">
        <v>1670.0</v>
      </c>
      <c r="F85" s="164" t="s">
        <v>559</v>
      </c>
      <c r="G85" s="195">
        <v>1410.0</v>
      </c>
      <c r="H85" s="196">
        <v>1390.0</v>
      </c>
      <c r="I85" s="188">
        <v>17.2</v>
      </c>
      <c r="J85" s="219">
        <v>6.54</v>
      </c>
      <c r="K85" s="220">
        <v>6.47</v>
      </c>
      <c r="L85" s="163">
        <v>0.0647</v>
      </c>
      <c r="M85" s="219">
        <v>0.37</v>
      </c>
      <c r="N85" s="220">
        <v>0.37</v>
      </c>
      <c r="O85" s="163">
        <v>6.17E-4</v>
      </c>
      <c r="P85" s="219">
        <v>6.17</v>
      </c>
      <c r="Q85" s="220">
        <v>6.1</v>
      </c>
      <c r="R85" s="163">
        <v>0.0641</v>
      </c>
      <c r="S85" s="190">
        <v>1.12</v>
      </c>
      <c r="T85" s="191">
        <v>1.11</v>
      </c>
      <c r="U85" s="192">
        <v>0.00913</v>
      </c>
      <c r="V85" s="173" t="s">
        <v>731</v>
      </c>
      <c r="W85" s="170"/>
      <c r="X85" s="170"/>
      <c r="Y85" s="170"/>
      <c r="Z85" s="170"/>
      <c r="AA85" s="170"/>
      <c r="AB85" s="170"/>
      <c r="AC85" s="170"/>
      <c r="AD85" s="170"/>
      <c r="AE85" s="170"/>
      <c r="AF85" s="170"/>
    </row>
    <row r="86" ht="12.75" customHeight="1">
      <c r="A86" s="198" t="s">
        <v>732</v>
      </c>
      <c r="B86" s="162" t="s">
        <v>733</v>
      </c>
      <c r="C86" s="239" t="s">
        <v>695</v>
      </c>
      <c r="D86" s="162" t="s">
        <v>696</v>
      </c>
      <c r="E86" s="185">
        <v>1350.0</v>
      </c>
      <c r="F86" s="164" t="s">
        <v>559</v>
      </c>
      <c r="G86" s="195">
        <v>442.0</v>
      </c>
      <c r="H86" s="196">
        <v>425.0</v>
      </c>
      <c r="I86" s="188">
        <v>17.2</v>
      </c>
      <c r="J86" s="219">
        <v>1.92</v>
      </c>
      <c r="K86" s="220">
        <v>1.85</v>
      </c>
      <c r="L86" s="163">
        <v>0.0647</v>
      </c>
      <c r="M86" s="219">
        <v>0.113</v>
      </c>
      <c r="N86" s="220">
        <v>0.112</v>
      </c>
      <c r="O86" s="163">
        <v>6.17E-4</v>
      </c>
      <c r="P86" s="219">
        <v>1.8</v>
      </c>
      <c r="Q86" s="220">
        <v>1.74</v>
      </c>
      <c r="R86" s="163">
        <v>0.0641</v>
      </c>
      <c r="S86" s="190">
        <v>0.469</v>
      </c>
      <c r="T86" s="191">
        <v>0.46</v>
      </c>
      <c r="U86" s="192">
        <v>0.00913</v>
      </c>
      <c r="V86" s="173" t="s">
        <v>734</v>
      </c>
      <c r="W86" s="170"/>
      <c r="X86" s="170"/>
      <c r="Y86" s="170"/>
      <c r="Z86" s="170"/>
      <c r="AA86" s="170"/>
      <c r="AB86" s="170"/>
      <c r="AC86" s="170"/>
      <c r="AD86" s="170"/>
      <c r="AE86" s="170"/>
      <c r="AF86" s="170"/>
    </row>
    <row r="87" ht="12.75" customHeight="1">
      <c r="A87" s="182" t="s">
        <v>735</v>
      </c>
      <c r="B87" s="162" t="s">
        <v>736</v>
      </c>
      <c r="C87" s="239" t="s">
        <v>737</v>
      </c>
      <c r="D87" s="162" t="s">
        <v>738</v>
      </c>
      <c r="E87" s="218">
        <v>2000.0</v>
      </c>
      <c r="F87" s="186" t="s">
        <v>559</v>
      </c>
      <c r="G87" s="195">
        <v>146.0</v>
      </c>
      <c r="H87" s="188">
        <v>128.0</v>
      </c>
      <c r="I87" s="188">
        <v>18.5</v>
      </c>
      <c r="J87" s="219">
        <v>0.483</v>
      </c>
      <c r="K87" s="220">
        <v>0.414</v>
      </c>
      <c r="L87" s="163">
        <v>0.0698</v>
      </c>
      <c r="M87" s="219">
        <v>0.0254</v>
      </c>
      <c r="N87" s="220">
        <v>0.0247</v>
      </c>
      <c r="O87" s="163">
        <v>6.62E-4</v>
      </c>
      <c r="P87" s="219">
        <v>0.458</v>
      </c>
      <c r="Q87" s="220">
        <v>0.389</v>
      </c>
      <c r="R87" s="163">
        <v>0.0691</v>
      </c>
      <c r="S87" s="190">
        <v>0.0867</v>
      </c>
      <c r="T87" s="191">
        <v>0.0769</v>
      </c>
      <c r="U87" s="191">
        <v>0.00978</v>
      </c>
      <c r="V87" s="173" t="s">
        <v>739</v>
      </c>
      <c r="W87" s="91"/>
      <c r="X87" s="91"/>
      <c r="Y87" s="91"/>
      <c r="Z87" s="91"/>
      <c r="AA87" s="91"/>
      <c r="AB87" s="91"/>
      <c r="AC87" s="91"/>
      <c r="AD87" s="91"/>
      <c r="AE87" s="91"/>
      <c r="AF87" s="91"/>
    </row>
    <row r="88" ht="12.75" customHeight="1">
      <c r="A88" s="182" t="s">
        <v>740</v>
      </c>
      <c r="B88" s="162" t="s">
        <v>741</v>
      </c>
      <c r="C88" s="239" t="s">
        <v>742</v>
      </c>
      <c r="D88" s="162" t="s">
        <v>743</v>
      </c>
      <c r="E88" s="218">
        <v>1850.0</v>
      </c>
      <c r="F88" s="186" t="s">
        <v>559</v>
      </c>
      <c r="G88" s="195">
        <v>140.0</v>
      </c>
      <c r="H88" s="196">
        <v>122.0</v>
      </c>
      <c r="I88" s="188">
        <v>17.2</v>
      </c>
      <c r="J88" s="219">
        <v>0.312</v>
      </c>
      <c r="K88" s="220">
        <v>0.247</v>
      </c>
      <c r="L88" s="163">
        <v>0.0647</v>
      </c>
      <c r="M88" s="219">
        <v>0.0313</v>
      </c>
      <c r="N88" s="220">
        <v>0.0306</v>
      </c>
      <c r="O88" s="163">
        <v>6.17E-4</v>
      </c>
      <c r="P88" s="219">
        <v>0.281</v>
      </c>
      <c r="Q88" s="163">
        <v>0.217</v>
      </c>
      <c r="R88" s="163">
        <v>0.0641</v>
      </c>
      <c r="S88" s="189">
        <v>0.125</v>
      </c>
      <c r="T88" s="163">
        <v>0.116</v>
      </c>
      <c r="U88" s="192">
        <v>0.00913</v>
      </c>
      <c r="V88" s="173" t="s">
        <v>744</v>
      </c>
      <c r="W88" s="91"/>
      <c r="X88" s="91"/>
      <c r="Y88" s="91"/>
      <c r="Z88" s="91"/>
      <c r="AA88" s="91"/>
      <c r="AB88" s="91"/>
      <c r="AC88" s="91"/>
      <c r="AD88" s="91"/>
      <c r="AE88" s="91"/>
      <c r="AF88" s="91"/>
    </row>
    <row r="89" ht="12.75" customHeight="1">
      <c r="A89" s="182" t="s">
        <v>745</v>
      </c>
      <c r="B89" s="184" t="s">
        <v>746</v>
      </c>
      <c r="C89" s="239" t="s">
        <v>695</v>
      </c>
      <c r="D89" s="162" t="s">
        <v>696</v>
      </c>
      <c r="E89" s="218">
        <v>250.0</v>
      </c>
      <c r="F89" s="186" t="s">
        <v>559</v>
      </c>
      <c r="G89" s="195">
        <v>613.0</v>
      </c>
      <c r="H89" s="196">
        <v>596.0</v>
      </c>
      <c r="I89" s="188">
        <v>17.2</v>
      </c>
      <c r="J89" s="219">
        <v>2.09</v>
      </c>
      <c r="K89" s="220">
        <v>2.03</v>
      </c>
      <c r="L89" s="163">
        <v>0.0647</v>
      </c>
      <c r="M89" s="219">
        <v>0.135</v>
      </c>
      <c r="N89" s="220">
        <v>0.135</v>
      </c>
      <c r="O89" s="163">
        <v>6.17E-4</v>
      </c>
      <c r="P89" s="219">
        <v>1.96</v>
      </c>
      <c r="Q89" s="220">
        <v>1.89</v>
      </c>
      <c r="R89" s="163">
        <v>0.0641</v>
      </c>
      <c r="S89" s="189">
        <v>0.767</v>
      </c>
      <c r="T89" s="163">
        <v>0.758</v>
      </c>
      <c r="U89" s="192">
        <v>0.00913</v>
      </c>
      <c r="V89" s="221" t="s">
        <v>747</v>
      </c>
      <c r="W89" s="91"/>
      <c r="X89" s="91"/>
      <c r="Y89" s="91"/>
      <c r="Z89" s="91"/>
      <c r="AA89" s="91"/>
      <c r="AB89" s="91"/>
      <c r="AC89" s="91"/>
      <c r="AD89" s="91"/>
      <c r="AE89" s="91"/>
      <c r="AF89" s="91"/>
    </row>
    <row r="90" ht="12.75" customHeight="1">
      <c r="A90" s="198" t="s">
        <v>748</v>
      </c>
      <c r="B90" s="162" t="s">
        <v>749</v>
      </c>
      <c r="C90" s="239" t="s">
        <v>695</v>
      </c>
      <c r="D90" s="162" t="s">
        <v>696</v>
      </c>
      <c r="E90" s="185">
        <v>1550.0</v>
      </c>
      <c r="F90" s="164" t="s">
        <v>559</v>
      </c>
      <c r="G90" s="195">
        <v>301.0</v>
      </c>
      <c r="H90" s="196">
        <v>284.0</v>
      </c>
      <c r="I90" s="188">
        <v>17.2</v>
      </c>
      <c r="J90" s="219">
        <v>1.14</v>
      </c>
      <c r="K90" s="220">
        <v>1.07</v>
      </c>
      <c r="L90" s="163">
        <v>0.0647</v>
      </c>
      <c r="M90" s="219">
        <v>0.136</v>
      </c>
      <c r="N90" s="220">
        <v>0.135</v>
      </c>
      <c r="O90" s="163">
        <v>6.17E-4</v>
      </c>
      <c r="P90" s="219">
        <v>1.0</v>
      </c>
      <c r="Q90" s="220">
        <v>0.938</v>
      </c>
      <c r="R90" s="163">
        <v>0.0641</v>
      </c>
      <c r="S90" s="189">
        <v>0.328</v>
      </c>
      <c r="T90" s="163">
        <v>0.319</v>
      </c>
      <c r="U90" s="192">
        <v>0.00913</v>
      </c>
      <c r="V90" s="173" t="s">
        <v>750</v>
      </c>
      <c r="W90" s="170"/>
      <c r="X90" s="170"/>
      <c r="Y90" s="170"/>
      <c r="Z90" s="170"/>
      <c r="AA90" s="170"/>
      <c r="AB90" s="170"/>
      <c r="AC90" s="170"/>
      <c r="AD90" s="170"/>
      <c r="AE90" s="170"/>
      <c r="AF90" s="170"/>
    </row>
    <row r="91" ht="12.75" customHeight="1">
      <c r="A91" s="182">
        <v>4.009</v>
      </c>
      <c r="B91" s="184" t="s">
        <v>751</v>
      </c>
      <c r="C91" s="239" t="s">
        <v>695</v>
      </c>
      <c r="D91" s="162" t="s">
        <v>696</v>
      </c>
      <c r="E91" s="185">
        <v>1550.0</v>
      </c>
      <c r="F91" s="186" t="s">
        <v>559</v>
      </c>
      <c r="G91" s="195">
        <v>255.0</v>
      </c>
      <c r="H91" s="196">
        <v>238.0</v>
      </c>
      <c r="I91" s="188">
        <v>17.2</v>
      </c>
      <c r="J91" s="219">
        <v>0.85</v>
      </c>
      <c r="K91" s="220">
        <v>0.785</v>
      </c>
      <c r="L91" s="163">
        <v>0.0647</v>
      </c>
      <c r="M91" s="219">
        <v>0.122</v>
      </c>
      <c r="N91" s="220">
        <v>0.121</v>
      </c>
      <c r="O91" s="163">
        <v>6.17E-4</v>
      </c>
      <c r="P91" s="219">
        <v>0.728</v>
      </c>
      <c r="Q91" s="220">
        <v>0.664</v>
      </c>
      <c r="R91" s="163">
        <v>0.0641</v>
      </c>
      <c r="S91" s="189">
        <v>0.269</v>
      </c>
      <c r="T91" s="163">
        <v>0.26</v>
      </c>
      <c r="U91" s="192">
        <v>0.00913</v>
      </c>
      <c r="V91" s="221" t="s">
        <v>752</v>
      </c>
      <c r="W91" s="91"/>
      <c r="X91" s="91"/>
      <c r="Y91" s="91"/>
      <c r="Z91" s="91"/>
      <c r="AA91" s="91"/>
      <c r="AB91" s="91"/>
      <c r="AC91" s="91"/>
      <c r="AD91" s="91"/>
      <c r="AE91" s="91"/>
      <c r="AF91" s="91"/>
    </row>
    <row r="92" ht="12.75" customHeight="1">
      <c r="A92" s="214" t="s">
        <v>753</v>
      </c>
      <c r="B92" s="214" t="s">
        <v>754</v>
      </c>
      <c r="C92" s="176"/>
      <c r="D92" s="177"/>
      <c r="E92" s="178" t="s">
        <v>755</v>
      </c>
      <c r="F92" s="179"/>
      <c r="G92" s="179"/>
      <c r="H92" s="179"/>
      <c r="I92" s="179"/>
      <c r="J92" s="215"/>
      <c r="K92" s="240"/>
      <c r="L92" s="216"/>
      <c r="M92" s="215"/>
      <c r="N92" s="240"/>
      <c r="O92" s="216"/>
      <c r="P92" s="180"/>
      <c r="Q92" s="181"/>
      <c r="R92" s="181"/>
      <c r="S92" s="180"/>
      <c r="T92" s="181"/>
      <c r="U92" s="181"/>
      <c r="V92" s="217" t="s">
        <v>756</v>
      </c>
      <c r="W92" s="91"/>
      <c r="X92" s="91"/>
      <c r="Y92" s="91"/>
      <c r="Z92" s="91"/>
      <c r="AA92" s="91"/>
      <c r="AB92" s="91"/>
      <c r="AC92" s="91"/>
      <c r="AD92" s="91"/>
      <c r="AE92" s="91"/>
      <c r="AF92" s="91"/>
    </row>
    <row r="93" ht="12.75" customHeight="1">
      <c r="A93" s="182" t="s">
        <v>757</v>
      </c>
      <c r="B93" s="184" t="s">
        <v>758</v>
      </c>
      <c r="C93" s="199" t="s">
        <v>759</v>
      </c>
      <c r="D93" s="162" t="s">
        <v>760</v>
      </c>
      <c r="E93" s="186" t="s">
        <v>438</v>
      </c>
      <c r="F93" s="186" t="s">
        <v>761</v>
      </c>
      <c r="G93" s="233">
        <v>250000.0</v>
      </c>
      <c r="H93" s="234">
        <v>242000.0</v>
      </c>
      <c r="I93" s="234">
        <v>7250.0</v>
      </c>
      <c r="J93" s="241">
        <v>827.0</v>
      </c>
      <c r="K93" s="218">
        <v>823.0</v>
      </c>
      <c r="L93" s="242">
        <v>3.18</v>
      </c>
      <c r="M93" s="241">
        <v>66.1</v>
      </c>
      <c r="N93" s="218">
        <v>66.0</v>
      </c>
      <c r="O93" s="242">
        <v>0.0986</v>
      </c>
      <c r="P93" s="241">
        <v>760.0</v>
      </c>
      <c r="Q93" s="218">
        <v>757.0</v>
      </c>
      <c r="R93" s="242">
        <v>3.08</v>
      </c>
      <c r="S93" s="243">
        <v>177.0</v>
      </c>
      <c r="T93" s="242">
        <v>163.0</v>
      </c>
      <c r="U93" s="242">
        <v>13.5</v>
      </c>
      <c r="V93" s="221" t="s">
        <v>762</v>
      </c>
      <c r="W93" s="91"/>
      <c r="X93" s="91"/>
      <c r="Y93" s="91"/>
      <c r="Z93" s="91"/>
      <c r="AA93" s="91"/>
      <c r="AB93" s="91"/>
      <c r="AC93" s="91"/>
      <c r="AD93" s="91"/>
      <c r="AE93" s="91"/>
      <c r="AF93" s="91"/>
    </row>
    <row r="94" ht="14.25" customHeight="1">
      <c r="A94" s="198" t="s">
        <v>763</v>
      </c>
      <c r="B94" s="162" t="s">
        <v>764</v>
      </c>
      <c r="C94" s="239" t="s">
        <v>765</v>
      </c>
      <c r="D94" s="162" t="s">
        <v>766</v>
      </c>
      <c r="E94" s="164">
        <v>7.1</v>
      </c>
      <c r="F94" s="164" t="s">
        <v>767</v>
      </c>
      <c r="G94" s="165">
        <v>45400.0</v>
      </c>
      <c r="H94" s="166">
        <v>41100.0</v>
      </c>
      <c r="I94" s="166">
        <v>4240.0</v>
      </c>
      <c r="J94" s="244">
        <v>224.0</v>
      </c>
      <c r="K94" s="185">
        <v>224.0</v>
      </c>
      <c r="L94" s="172">
        <v>0.536</v>
      </c>
      <c r="M94" s="244">
        <v>24.5</v>
      </c>
      <c r="N94" s="185">
        <v>24.5</v>
      </c>
      <c r="O94" s="172">
        <v>0.0085</v>
      </c>
      <c r="P94" s="244">
        <v>200.0</v>
      </c>
      <c r="Q94" s="185">
        <v>199.0</v>
      </c>
      <c r="R94" s="172">
        <v>0.527</v>
      </c>
      <c r="S94" s="171">
        <v>44.3</v>
      </c>
      <c r="T94" s="172">
        <v>35.8</v>
      </c>
      <c r="U94" s="172">
        <v>8.58</v>
      </c>
      <c r="V94" s="173" t="s">
        <v>768</v>
      </c>
      <c r="W94" s="170"/>
      <c r="X94" s="170"/>
      <c r="Y94" s="170"/>
      <c r="Z94" s="170"/>
      <c r="AA94" s="170"/>
      <c r="AB94" s="170"/>
      <c r="AC94" s="170"/>
      <c r="AD94" s="170"/>
      <c r="AE94" s="170"/>
      <c r="AF94" s="170"/>
    </row>
    <row r="95" ht="14.25" customHeight="1">
      <c r="A95" s="198" t="s">
        <v>769</v>
      </c>
      <c r="B95" s="162" t="s">
        <v>770</v>
      </c>
      <c r="C95" s="239" t="s">
        <v>771</v>
      </c>
      <c r="D95" s="162" t="s">
        <v>772</v>
      </c>
      <c r="E95" s="164">
        <v>11.6</v>
      </c>
      <c r="F95" s="164" t="s">
        <v>773</v>
      </c>
      <c r="G95" s="165">
        <v>49800.0</v>
      </c>
      <c r="H95" s="166">
        <v>43500.0</v>
      </c>
      <c r="I95" s="166">
        <v>6310.0</v>
      </c>
      <c r="J95" s="244">
        <v>288.0</v>
      </c>
      <c r="K95" s="185">
        <v>286.0</v>
      </c>
      <c r="L95" s="172">
        <v>1.87</v>
      </c>
      <c r="M95" s="244">
        <v>89.7</v>
      </c>
      <c r="N95" s="185">
        <v>89.7</v>
      </c>
      <c r="O95" s="172">
        <v>0.044</v>
      </c>
      <c r="P95" s="244">
        <v>198.0</v>
      </c>
      <c r="Q95" s="185">
        <v>196.0</v>
      </c>
      <c r="R95" s="172">
        <v>1.82</v>
      </c>
      <c r="S95" s="171">
        <v>44.5</v>
      </c>
      <c r="T95" s="172">
        <v>33.4</v>
      </c>
      <c r="U95" s="172">
        <v>11.1</v>
      </c>
      <c r="V95" s="173" t="s">
        <v>774</v>
      </c>
      <c r="W95" s="170"/>
      <c r="X95" s="170"/>
      <c r="Y95" s="170"/>
      <c r="Z95" s="170"/>
      <c r="AA95" s="170"/>
      <c r="AB95" s="170"/>
      <c r="AC95" s="170"/>
      <c r="AD95" s="170"/>
      <c r="AE95" s="170"/>
      <c r="AF95" s="170"/>
    </row>
    <row r="96" ht="12.75" customHeight="1">
      <c r="A96" s="198" t="s">
        <v>775</v>
      </c>
      <c r="B96" s="162" t="s">
        <v>776</v>
      </c>
      <c r="C96" s="239" t="s">
        <v>596</v>
      </c>
      <c r="D96" s="162" t="s">
        <v>597</v>
      </c>
      <c r="E96" s="185">
        <v>78.0</v>
      </c>
      <c r="F96" s="164" t="s">
        <v>777</v>
      </c>
      <c r="G96" s="187">
        <v>6160.0</v>
      </c>
      <c r="H96" s="188">
        <v>4210.0</v>
      </c>
      <c r="I96" s="188">
        <v>1960.0</v>
      </c>
      <c r="J96" s="219">
        <v>27.5</v>
      </c>
      <c r="K96" s="220">
        <v>23.6</v>
      </c>
      <c r="L96" s="163">
        <v>3.89</v>
      </c>
      <c r="M96" s="219">
        <v>1.92</v>
      </c>
      <c r="N96" s="220">
        <v>1.77</v>
      </c>
      <c r="O96" s="163">
        <v>0.145</v>
      </c>
      <c r="P96" s="219">
        <v>25.6</v>
      </c>
      <c r="Q96" s="220">
        <v>21.8</v>
      </c>
      <c r="R96" s="163">
        <v>3.75</v>
      </c>
      <c r="S96" s="190">
        <v>5.13</v>
      </c>
      <c r="T96" s="191">
        <v>4.45</v>
      </c>
      <c r="U96" s="192">
        <v>0.677</v>
      </c>
      <c r="V96" s="173" t="s">
        <v>778</v>
      </c>
      <c r="W96" s="170"/>
      <c r="X96" s="170"/>
      <c r="Y96" s="170"/>
      <c r="Z96" s="170"/>
      <c r="AA96" s="170"/>
      <c r="AB96" s="170"/>
      <c r="AC96" s="170"/>
      <c r="AD96" s="170"/>
      <c r="AE96" s="170"/>
      <c r="AF96" s="170"/>
    </row>
    <row r="97" ht="14.25" customHeight="1">
      <c r="A97" s="198" t="s">
        <v>779</v>
      </c>
      <c r="B97" s="162" t="s">
        <v>780</v>
      </c>
      <c r="C97" s="162" t="s">
        <v>781</v>
      </c>
      <c r="D97" s="162" t="s">
        <v>782</v>
      </c>
      <c r="E97" s="164">
        <v>2.4</v>
      </c>
      <c r="F97" s="164" t="s">
        <v>783</v>
      </c>
      <c r="G97" s="165">
        <v>22100.0</v>
      </c>
      <c r="H97" s="166">
        <v>19600.0</v>
      </c>
      <c r="I97" s="166">
        <v>2460.0</v>
      </c>
      <c r="J97" s="244">
        <v>79.4</v>
      </c>
      <c r="K97" s="185">
        <v>78.9</v>
      </c>
      <c r="L97" s="172">
        <v>0.474</v>
      </c>
      <c r="M97" s="244">
        <v>3.66</v>
      </c>
      <c r="N97" s="185">
        <v>3.65</v>
      </c>
      <c r="O97" s="172">
        <v>0.012</v>
      </c>
      <c r="P97" s="244">
        <v>75.7</v>
      </c>
      <c r="Q97" s="185">
        <v>75.3</v>
      </c>
      <c r="R97" s="172">
        <v>0.462</v>
      </c>
      <c r="S97" s="171">
        <v>21.2</v>
      </c>
      <c r="T97" s="172">
        <v>16.5</v>
      </c>
      <c r="U97" s="172">
        <v>4.76</v>
      </c>
      <c r="V97" s="173" t="s">
        <v>784</v>
      </c>
      <c r="W97" s="170"/>
      <c r="X97" s="170"/>
      <c r="Y97" s="170"/>
      <c r="Z97" s="170"/>
      <c r="AA97" s="170"/>
      <c r="AB97" s="170"/>
      <c r="AC97" s="170"/>
      <c r="AD97" s="170"/>
      <c r="AE97" s="170"/>
      <c r="AF97" s="170"/>
    </row>
    <row r="98" ht="14.25" customHeight="1">
      <c r="A98" s="182" t="s">
        <v>785</v>
      </c>
      <c r="B98" s="162" t="s">
        <v>786</v>
      </c>
      <c r="C98" s="239" t="s">
        <v>787</v>
      </c>
      <c r="D98" s="162" t="s">
        <v>788</v>
      </c>
      <c r="E98" s="186" t="s">
        <v>438</v>
      </c>
      <c r="F98" s="186" t="s">
        <v>789</v>
      </c>
      <c r="G98" s="165">
        <v>406000.0</v>
      </c>
      <c r="H98" s="166">
        <v>387000.0</v>
      </c>
      <c r="I98" s="166">
        <v>18600.0</v>
      </c>
      <c r="J98" s="244">
        <v>1820.0</v>
      </c>
      <c r="K98" s="185">
        <v>1810.0</v>
      </c>
      <c r="L98" s="172">
        <v>3.54</v>
      </c>
      <c r="M98" s="244">
        <v>216.0</v>
      </c>
      <c r="N98" s="185">
        <v>216.0</v>
      </c>
      <c r="O98" s="172">
        <v>0.123</v>
      </c>
      <c r="P98" s="244">
        <v>1600.0</v>
      </c>
      <c r="Q98" s="185">
        <v>1600.0</v>
      </c>
      <c r="R98" s="172">
        <v>3.42</v>
      </c>
      <c r="S98" s="171">
        <v>362.0</v>
      </c>
      <c r="T98" s="172">
        <v>326.0</v>
      </c>
      <c r="U98" s="172">
        <v>36.1</v>
      </c>
      <c r="V98" s="173" t="s">
        <v>790</v>
      </c>
      <c r="W98" s="91"/>
      <c r="X98" s="91"/>
      <c r="Y98" s="91"/>
      <c r="Z98" s="91"/>
      <c r="AA98" s="91"/>
      <c r="AB98" s="91"/>
      <c r="AC98" s="91"/>
      <c r="AD98" s="91"/>
      <c r="AE98" s="91"/>
      <c r="AF98" s="91"/>
    </row>
    <row r="99" ht="14.25" customHeight="1" outlineLevel="1">
      <c r="A99" s="200" t="s">
        <v>791</v>
      </c>
      <c r="B99" s="201" t="s">
        <v>792</v>
      </c>
      <c r="C99" s="201" t="s">
        <v>793</v>
      </c>
      <c r="D99" s="201" t="s">
        <v>794</v>
      </c>
      <c r="E99" s="203" t="s">
        <v>438</v>
      </c>
      <c r="F99" s="204" t="s">
        <v>795</v>
      </c>
      <c r="G99" s="205">
        <v>259000.0</v>
      </c>
      <c r="H99" s="203">
        <v>248000.0</v>
      </c>
      <c r="I99" s="203">
        <v>10900.0</v>
      </c>
      <c r="J99" s="206">
        <v>1020.0</v>
      </c>
      <c r="K99" s="207">
        <v>1020.0</v>
      </c>
      <c r="L99" s="208">
        <v>1.64</v>
      </c>
      <c r="M99" s="206">
        <v>161.0</v>
      </c>
      <c r="N99" s="207">
        <v>161.0</v>
      </c>
      <c r="O99" s="208">
        <v>0.0467</v>
      </c>
      <c r="P99" s="206">
        <v>862.0</v>
      </c>
      <c r="Q99" s="207">
        <v>860.0</v>
      </c>
      <c r="R99" s="208">
        <v>1.59</v>
      </c>
      <c r="S99" s="209">
        <v>203.0</v>
      </c>
      <c r="T99" s="208">
        <v>182.0</v>
      </c>
      <c r="U99" s="210">
        <v>21.4</v>
      </c>
      <c r="V99" s="245" t="s">
        <v>796</v>
      </c>
      <c r="W99" s="170"/>
      <c r="X99" s="170"/>
      <c r="Y99" s="170"/>
      <c r="Z99" s="170"/>
      <c r="AA99" s="170"/>
      <c r="AB99" s="170"/>
      <c r="AC99" s="170"/>
      <c r="AD99" s="170"/>
      <c r="AE99" s="170"/>
      <c r="AF99" s="170"/>
    </row>
    <row r="100" ht="12.75" customHeight="1">
      <c r="A100" s="182" t="s">
        <v>797</v>
      </c>
      <c r="B100" s="162" t="s">
        <v>798</v>
      </c>
      <c r="C100" s="183" t="s">
        <v>799</v>
      </c>
      <c r="D100" s="184" t="s">
        <v>800</v>
      </c>
      <c r="E100" s="186" t="s">
        <v>438</v>
      </c>
      <c r="F100" s="186" t="s">
        <v>801</v>
      </c>
      <c r="G100" s="233">
        <v>217000.0</v>
      </c>
      <c r="H100" s="234">
        <v>201000.0</v>
      </c>
      <c r="I100" s="234">
        <v>15900.0</v>
      </c>
      <c r="J100" s="241">
        <v>1280.0</v>
      </c>
      <c r="K100" s="218">
        <v>1280.0</v>
      </c>
      <c r="L100" s="231">
        <v>8.22</v>
      </c>
      <c r="M100" s="241">
        <v>711.0</v>
      </c>
      <c r="N100" s="218">
        <v>711.0</v>
      </c>
      <c r="O100" s="231">
        <v>0.136</v>
      </c>
      <c r="P100" s="241">
        <v>573.0</v>
      </c>
      <c r="Q100" s="218">
        <v>565.0</v>
      </c>
      <c r="R100" s="231">
        <v>8.09</v>
      </c>
      <c r="S100" s="243">
        <v>128.0</v>
      </c>
      <c r="T100" s="242">
        <v>109.0</v>
      </c>
      <c r="U100" s="231">
        <v>19.6</v>
      </c>
      <c r="V100" s="173" t="s">
        <v>802</v>
      </c>
      <c r="W100" s="91"/>
      <c r="X100" s="91"/>
      <c r="Y100" s="91"/>
      <c r="Z100" s="91"/>
      <c r="AA100" s="91"/>
      <c r="AB100" s="91"/>
      <c r="AC100" s="91"/>
      <c r="AD100" s="91"/>
      <c r="AE100" s="91"/>
      <c r="AF100" s="91"/>
    </row>
    <row r="101" ht="12.75" customHeight="1">
      <c r="A101" s="182" t="s">
        <v>803</v>
      </c>
      <c r="B101" s="162" t="s">
        <v>804</v>
      </c>
      <c r="C101" s="183" t="s">
        <v>805</v>
      </c>
      <c r="D101" s="184" t="s">
        <v>806</v>
      </c>
      <c r="E101" s="186" t="s">
        <v>438</v>
      </c>
      <c r="F101" s="186" t="s">
        <v>807</v>
      </c>
      <c r="G101" s="233">
        <v>319000.0</v>
      </c>
      <c r="H101" s="234">
        <v>301000.0</v>
      </c>
      <c r="I101" s="234">
        <v>18400.0</v>
      </c>
      <c r="J101" s="241">
        <v>1670.0</v>
      </c>
      <c r="K101" s="218">
        <v>1660.0</v>
      </c>
      <c r="L101" s="231">
        <v>7.89</v>
      </c>
      <c r="M101" s="241">
        <v>720.0</v>
      </c>
      <c r="N101" s="218">
        <v>720.0</v>
      </c>
      <c r="O101" s="231">
        <v>0.138</v>
      </c>
      <c r="P101" s="241">
        <v>951.0</v>
      </c>
      <c r="Q101" s="218">
        <v>943.0</v>
      </c>
      <c r="R101" s="231">
        <v>7.75</v>
      </c>
      <c r="S101" s="243">
        <v>217.0</v>
      </c>
      <c r="T101" s="242">
        <v>191.0</v>
      </c>
      <c r="U101" s="231">
        <v>25.7</v>
      </c>
      <c r="V101" s="173" t="s">
        <v>808</v>
      </c>
      <c r="W101" s="91"/>
      <c r="X101" s="91"/>
      <c r="Y101" s="91"/>
      <c r="Z101" s="91"/>
      <c r="AA101" s="91"/>
      <c r="AB101" s="91"/>
      <c r="AC101" s="91"/>
      <c r="AD101" s="91"/>
      <c r="AE101" s="91"/>
      <c r="AF101" s="91"/>
    </row>
    <row r="102" ht="12.75" customHeight="1">
      <c r="A102" s="182" t="s">
        <v>809</v>
      </c>
      <c r="B102" s="162" t="s">
        <v>810</v>
      </c>
      <c r="C102" s="239" t="s">
        <v>811</v>
      </c>
      <c r="D102" s="162" t="s">
        <v>812</v>
      </c>
      <c r="E102" s="186" t="s">
        <v>438</v>
      </c>
      <c r="F102" s="186" t="s">
        <v>813</v>
      </c>
      <c r="G102" s="165">
        <v>450000.0</v>
      </c>
      <c r="H102" s="166">
        <v>416000.0</v>
      </c>
      <c r="I102" s="166">
        <v>33200.0</v>
      </c>
      <c r="J102" s="244">
        <v>1590.0</v>
      </c>
      <c r="K102" s="185">
        <v>1560.0</v>
      </c>
      <c r="L102" s="172">
        <v>31.3</v>
      </c>
      <c r="M102" s="244">
        <v>69.4</v>
      </c>
      <c r="N102" s="185">
        <v>66.9</v>
      </c>
      <c r="O102" s="172">
        <v>2.42</v>
      </c>
      <c r="P102" s="244">
        <v>1520.0</v>
      </c>
      <c r="Q102" s="185">
        <v>1490.0</v>
      </c>
      <c r="R102" s="172">
        <v>28.9</v>
      </c>
      <c r="S102" s="171">
        <v>285.0</v>
      </c>
      <c r="T102" s="172">
        <v>228.0</v>
      </c>
      <c r="U102" s="172">
        <v>57.2</v>
      </c>
      <c r="V102" s="173" t="s">
        <v>814</v>
      </c>
      <c r="W102" s="91"/>
      <c r="X102" s="91"/>
      <c r="Y102" s="91"/>
      <c r="Z102" s="91"/>
      <c r="AA102" s="91"/>
      <c r="AB102" s="91"/>
      <c r="AC102" s="91"/>
      <c r="AD102" s="91"/>
      <c r="AE102" s="91"/>
      <c r="AF102" s="91"/>
    </row>
    <row r="103" ht="12.75" customHeight="1">
      <c r="A103" s="182" t="s">
        <v>815</v>
      </c>
      <c r="B103" s="162" t="s">
        <v>816</v>
      </c>
      <c r="C103" s="183" t="s">
        <v>817</v>
      </c>
      <c r="D103" s="162" t="s">
        <v>818</v>
      </c>
      <c r="E103" s="186" t="s">
        <v>438</v>
      </c>
      <c r="F103" s="186" t="s">
        <v>819</v>
      </c>
      <c r="G103" s="165">
        <v>46800.0</v>
      </c>
      <c r="H103" s="166">
        <v>44600.0</v>
      </c>
      <c r="I103" s="166">
        <v>2180.0</v>
      </c>
      <c r="J103" s="244">
        <v>181.0</v>
      </c>
      <c r="K103" s="185">
        <v>179.0</v>
      </c>
      <c r="L103" s="220">
        <v>1.36</v>
      </c>
      <c r="M103" s="244">
        <v>9.52</v>
      </c>
      <c r="N103" s="185">
        <v>9.51</v>
      </c>
      <c r="O103" s="220">
        <v>0.0176</v>
      </c>
      <c r="P103" s="244">
        <v>171.0</v>
      </c>
      <c r="Q103" s="185">
        <v>170.0</v>
      </c>
      <c r="R103" s="220">
        <v>1.35</v>
      </c>
      <c r="S103" s="235">
        <v>43.7</v>
      </c>
      <c r="T103" s="236">
        <v>39.8</v>
      </c>
      <c r="U103" s="220">
        <v>3.88</v>
      </c>
      <c r="V103" s="173" t="s">
        <v>820</v>
      </c>
      <c r="W103" s="91"/>
      <c r="X103" s="91"/>
      <c r="Y103" s="91"/>
      <c r="Z103" s="91"/>
      <c r="AA103" s="91"/>
      <c r="AB103" s="91"/>
      <c r="AC103" s="91"/>
      <c r="AD103" s="91"/>
      <c r="AE103" s="91"/>
      <c r="AF103" s="91"/>
    </row>
    <row r="104" ht="12.75" customHeight="1">
      <c r="A104" s="198" t="s">
        <v>821</v>
      </c>
      <c r="B104" s="162" t="s">
        <v>822</v>
      </c>
      <c r="C104" s="239" t="s">
        <v>823</v>
      </c>
      <c r="D104" s="162" t="s">
        <v>824</v>
      </c>
      <c r="E104" s="164" t="s">
        <v>438</v>
      </c>
      <c r="F104" s="164" t="s">
        <v>825</v>
      </c>
      <c r="G104" s="165">
        <v>51300.0</v>
      </c>
      <c r="H104" s="166">
        <v>49600.0</v>
      </c>
      <c r="I104" s="166">
        <v>1730.0</v>
      </c>
      <c r="J104" s="244">
        <v>211.0</v>
      </c>
      <c r="K104" s="185">
        <v>210.0</v>
      </c>
      <c r="L104" s="220">
        <v>1.32</v>
      </c>
      <c r="M104" s="244">
        <v>12.3</v>
      </c>
      <c r="N104" s="185">
        <v>12.3</v>
      </c>
      <c r="O104" s="220">
        <v>0.0158</v>
      </c>
      <c r="P104" s="244">
        <v>199.0</v>
      </c>
      <c r="Q104" s="185">
        <v>198.0</v>
      </c>
      <c r="R104" s="220">
        <v>1.3</v>
      </c>
      <c r="S104" s="235">
        <v>47.9</v>
      </c>
      <c r="T104" s="236">
        <v>44.9</v>
      </c>
      <c r="U104" s="220">
        <v>2.98</v>
      </c>
      <c r="V104" s="173" t="s">
        <v>826</v>
      </c>
      <c r="W104" s="170"/>
      <c r="X104" s="170"/>
      <c r="Y104" s="170"/>
      <c r="Z104" s="170"/>
      <c r="AA104" s="170"/>
      <c r="AB104" s="170"/>
      <c r="AC104" s="170"/>
      <c r="AD104" s="170"/>
      <c r="AE104" s="170"/>
      <c r="AF104" s="170"/>
    </row>
    <row r="105" ht="12.75" customHeight="1">
      <c r="A105" s="198" t="s">
        <v>827</v>
      </c>
      <c r="B105" s="162" t="s">
        <v>828</v>
      </c>
      <c r="C105" s="239" t="s">
        <v>829</v>
      </c>
      <c r="D105" s="162" t="s">
        <v>830</v>
      </c>
      <c r="E105" s="164" t="s">
        <v>438</v>
      </c>
      <c r="F105" s="164" t="s">
        <v>831</v>
      </c>
      <c r="G105" s="165">
        <v>57500.0</v>
      </c>
      <c r="H105" s="166">
        <v>55300.0</v>
      </c>
      <c r="I105" s="166">
        <v>2180.0</v>
      </c>
      <c r="J105" s="244">
        <v>243.0</v>
      </c>
      <c r="K105" s="185">
        <v>242.0</v>
      </c>
      <c r="L105" s="220">
        <v>1.36</v>
      </c>
      <c r="M105" s="244">
        <v>16.8</v>
      </c>
      <c r="N105" s="185">
        <v>16.8</v>
      </c>
      <c r="O105" s="220">
        <v>0.0176</v>
      </c>
      <c r="P105" s="244">
        <v>226.0</v>
      </c>
      <c r="Q105" s="185">
        <v>225.0</v>
      </c>
      <c r="R105" s="220">
        <v>1.35</v>
      </c>
      <c r="S105" s="235">
        <v>51.1</v>
      </c>
      <c r="T105" s="236">
        <v>47.2</v>
      </c>
      <c r="U105" s="220">
        <v>3.88</v>
      </c>
      <c r="V105" s="173" t="s">
        <v>832</v>
      </c>
      <c r="W105" s="170"/>
      <c r="X105" s="170"/>
      <c r="Y105" s="170"/>
      <c r="Z105" s="170"/>
      <c r="AA105" s="170"/>
      <c r="AB105" s="170"/>
      <c r="AC105" s="170"/>
      <c r="AD105" s="170"/>
      <c r="AE105" s="170"/>
      <c r="AF105" s="170"/>
    </row>
    <row r="106" ht="12.75" customHeight="1">
      <c r="A106" s="182" t="s">
        <v>833</v>
      </c>
      <c r="B106" s="162" t="s">
        <v>834</v>
      </c>
      <c r="C106" s="183" t="s">
        <v>835</v>
      </c>
      <c r="D106" s="162" t="s">
        <v>836</v>
      </c>
      <c r="E106" s="186" t="s">
        <v>438</v>
      </c>
      <c r="F106" s="186" t="s">
        <v>837</v>
      </c>
      <c r="G106" s="165">
        <v>84000.0</v>
      </c>
      <c r="H106" s="166">
        <v>80100.0</v>
      </c>
      <c r="I106" s="166">
        <v>3900.0</v>
      </c>
      <c r="J106" s="244">
        <v>354.0</v>
      </c>
      <c r="K106" s="185">
        <v>352.0</v>
      </c>
      <c r="L106" s="220">
        <v>2.08</v>
      </c>
      <c r="M106" s="244">
        <v>19.3</v>
      </c>
      <c r="N106" s="185">
        <v>19.2</v>
      </c>
      <c r="O106" s="220">
        <v>0.0249</v>
      </c>
      <c r="P106" s="244">
        <v>335.0</v>
      </c>
      <c r="Q106" s="185">
        <v>333.0</v>
      </c>
      <c r="R106" s="220">
        <v>2.05</v>
      </c>
      <c r="S106" s="235">
        <v>78.2</v>
      </c>
      <c r="T106" s="236">
        <v>71.1</v>
      </c>
      <c r="U106" s="220">
        <v>7.16</v>
      </c>
      <c r="V106" s="173" t="s">
        <v>838</v>
      </c>
      <c r="W106" s="91"/>
      <c r="X106" s="91"/>
      <c r="Y106" s="91"/>
      <c r="Z106" s="91"/>
      <c r="AA106" s="91"/>
      <c r="AB106" s="91"/>
      <c r="AC106" s="91"/>
      <c r="AD106" s="91"/>
      <c r="AE106" s="91"/>
      <c r="AF106" s="91"/>
    </row>
    <row r="107" ht="12.75" customHeight="1">
      <c r="A107" s="198" t="s">
        <v>839</v>
      </c>
      <c r="B107" s="162" t="s">
        <v>840</v>
      </c>
      <c r="C107" s="239" t="s">
        <v>841</v>
      </c>
      <c r="D107" s="162" t="s">
        <v>842</v>
      </c>
      <c r="E107" s="164" t="s">
        <v>438</v>
      </c>
      <c r="F107" s="164" t="s">
        <v>843</v>
      </c>
      <c r="G107" s="165">
        <v>94700.0</v>
      </c>
      <c r="H107" s="166">
        <v>90800.0</v>
      </c>
      <c r="I107" s="166">
        <v>3900.0</v>
      </c>
      <c r="J107" s="244">
        <v>416.0</v>
      </c>
      <c r="K107" s="185">
        <v>414.0</v>
      </c>
      <c r="L107" s="220">
        <v>2.08</v>
      </c>
      <c r="M107" s="244">
        <v>26.6</v>
      </c>
      <c r="N107" s="185">
        <v>26.5</v>
      </c>
      <c r="O107" s="220">
        <v>0.0249</v>
      </c>
      <c r="P107" s="244">
        <v>390.0</v>
      </c>
      <c r="Q107" s="185">
        <v>388.0</v>
      </c>
      <c r="R107" s="220">
        <v>2.05</v>
      </c>
      <c r="S107" s="235">
        <v>85.6</v>
      </c>
      <c r="T107" s="236">
        <v>78.4</v>
      </c>
      <c r="U107" s="220">
        <v>7.16</v>
      </c>
      <c r="V107" s="173" t="s">
        <v>844</v>
      </c>
      <c r="W107" s="170"/>
      <c r="X107" s="170"/>
      <c r="Y107" s="170"/>
      <c r="Z107" s="170"/>
      <c r="AA107" s="170"/>
      <c r="AB107" s="170"/>
      <c r="AC107" s="170"/>
      <c r="AD107" s="170"/>
      <c r="AE107" s="170"/>
      <c r="AF107" s="170"/>
    </row>
    <row r="108" ht="12.75" customHeight="1">
      <c r="A108" s="182" t="s">
        <v>845</v>
      </c>
      <c r="B108" s="162" t="s">
        <v>846</v>
      </c>
      <c r="C108" s="183" t="s">
        <v>847</v>
      </c>
      <c r="D108" s="162" t="s">
        <v>848</v>
      </c>
      <c r="E108" s="186" t="s">
        <v>438</v>
      </c>
      <c r="F108" s="186" t="s">
        <v>849</v>
      </c>
      <c r="G108" s="165">
        <v>83100.0</v>
      </c>
      <c r="H108" s="166">
        <v>80100.0</v>
      </c>
      <c r="I108" s="166">
        <v>2980.0</v>
      </c>
      <c r="J108" s="244">
        <v>349.0</v>
      </c>
      <c r="K108" s="185">
        <v>347.0</v>
      </c>
      <c r="L108" s="220">
        <v>2.01</v>
      </c>
      <c r="M108" s="244">
        <v>22.0</v>
      </c>
      <c r="N108" s="185">
        <v>22.0</v>
      </c>
      <c r="O108" s="220">
        <v>0.0253</v>
      </c>
      <c r="P108" s="244">
        <v>327.0</v>
      </c>
      <c r="Q108" s="185">
        <v>325.0</v>
      </c>
      <c r="R108" s="220">
        <v>1.99</v>
      </c>
      <c r="S108" s="235">
        <v>77.3</v>
      </c>
      <c r="T108" s="236">
        <v>72.1</v>
      </c>
      <c r="U108" s="220">
        <v>5.25</v>
      </c>
      <c r="V108" s="173" t="s">
        <v>850</v>
      </c>
      <c r="W108" s="91"/>
      <c r="X108" s="91"/>
      <c r="Y108" s="91"/>
      <c r="Z108" s="91"/>
      <c r="AA108" s="91"/>
      <c r="AB108" s="91"/>
      <c r="AC108" s="91"/>
      <c r="AD108" s="91"/>
      <c r="AE108" s="91"/>
      <c r="AF108" s="91"/>
    </row>
    <row r="109" ht="12.75" customHeight="1">
      <c r="A109" s="198" t="s">
        <v>851</v>
      </c>
      <c r="B109" s="162" t="s">
        <v>852</v>
      </c>
      <c r="C109" s="239" t="s">
        <v>853</v>
      </c>
      <c r="D109" s="162" t="s">
        <v>854</v>
      </c>
      <c r="E109" s="164" t="s">
        <v>438</v>
      </c>
      <c r="F109" s="164" t="s">
        <v>855</v>
      </c>
      <c r="G109" s="165">
        <v>74300.0</v>
      </c>
      <c r="H109" s="166">
        <v>70900.0</v>
      </c>
      <c r="I109" s="166">
        <v>3450.0</v>
      </c>
      <c r="J109" s="244">
        <v>276.0</v>
      </c>
      <c r="K109" s="185">
        <v>274.0</v>
      </c>
      <c r="L109" s="220">
        <v>2.06</v>
      </c>
      <c r="M109" s="244">
        <v>14.9</v>
      </c>
      <c r="N109" s="185">
        <v>14.9</v>
      </c>
      <c r="O109" s="220">
        <v>0.0271</v>
      </c>
      <c r="P109" s="244">
        <v>261.0</v>
      </c>
      <c r="Q109" s="185">
        <v>259.0</v>
      </c>
      <c r="R109" s="220">
        <v>2.04</v>
      </c>
      <c r="S109" s="235">
        <v>66.8</v>
      </c>
      <c r="T109" s="236">
        <v>60.7</v>
      </c>
      <c r="U109" s="220">
        <v>6.16</v>
      </c>
      <c r="V109" s="173" t="s">
        <v>856</v>
      </c>
      <c r="W109" s="170"/>
      <c r="X109" s="170"/>
      <c r="Y109" s="170"/>
      <c r="Z109" s="170"/>
      <c r="AA109" s="170"/>
      <c r="AB109" s="170"/>
      <c r="AC109" s="170"/>
      <c r="AD109" s="170"/>
      <c r="AE109" s="170"/>
      <c r="AF109" s="170"/>
    </row>
    <row r="110" ht="12.75" customHeight="1">
      <c r="A110" s="198" t="s">
        <v>857</v>
      </c>
      <c r="B110" s="162" t="s">
        <v>858</v>
      </c>
      <c r="C110" s="239" t="s">
        <v>859</v>
      </c>
      <c r="D110" s="162" t="s">
        <v>860</v>
      </c>
      <c r="E110" s="164" t="s">
        <v>438</v>
      </c>
      <c r="F110" s="164" t="s">
        <v>861</v>
      </c>
      <c r="G110" s="165">
        <v>95800.0</v>
      </c>
      <c r="H110" s="166">
        <v>92300.0</v>
      </c>
      <c r="I110" s="166">
        <v>3450.0</v>
      </c>
      <c r="J110" s="244">
        <v>401.0</v>
      </c>
      <c r="K110" s="185">
        <v>399.0</v>
      </c>
      <c r="L110" s="220">
        <v>2.06</v>
      </c>
      <c r="M110" s="244">
        <v>29.6</v>
      </c>
      <c r="N110" s="185">
        <v>29.6</v>
      </c>
      <c r="O110" s="220">
        <v>0.0271</v>
      </c>
      <c r="P110" s="244">
        <v>371.0</v>
      </c>
      <c r="Q110" s="185">
        <v>369.0</v>
      </c>
      <c r="R110" s="220">
        <v>2.04</v>
      </c>
      <c r="S110" s="235">
        <v>81.6</v>
      </c>
      <c r="T110" s="236">
        <v>75.4</v>
      </c>
      <c r="U110" s="220">
        <v>6.16</v>
      </c>
      <c r="V110" s="173" t="s">
        <v>862</v>
      </c>
      <c r="W110" s="170"/>
      <c r="X110" s="170"/>
      <c r="Y110" s="170"/>
      <c r="Z110" s="170"/>
      <c r="AA110" s="170"/>
      <c r="AB110" s="170"/>
      <c r="AC110" s="170"/>
      <c r="AD110" s="170"/>
      <c r="AE110" s="170"/>
      <c r="AF110" s="170"/>
    </row>
    <row r="111" ht="12.75" customHeight="1">
      <c r="A111" s="198" t="s">
        <v>863</v>
      </c>
      <c r="B111" s="162" t="s">
        <v>864</v>
      </c>
      <c r="C111" s="239" t="s">
        <v>865</v>
      </c>
      <c r="D111" s="162" t="s">
        <v>866</v>
      </c>
      <c r="E111" s="164" t="s">
        <v>438</v>
      </c>
      <c r="F111" s="164" t="s">
        <v>867</v>
      </c>
      <c r="G111" s="165">
        <v>106000.0</v>
      </c>
      <c r="H111" s="166">
        <v>103000.0</v>
      </c>
      <c r="I111" s="166">
        <v>3450.0</v>
      </c>
      <c r="J111" s="244">
        <v>463.0</v>
      </c>
      <c r="K111" s="185">
        <v>461.0</v>
      </c>
      <c r="L111" s="220">
        <v>2.06</v>
      </c>
      <c r="M111" s="244">
        <v>36.9</v>
      </c>
      <c r="N111" s="185">
        <v>36.9</v>
      </c>
      <c r="O111" s="220">
        <v>0.0271</v>
      </c>
      <c r="P111" s="244">
        <v>426.0</v>
      </c>
      <c r="Q111" s="185">
        <v>424.0</v>
      </c>
      <c r="R111" s="220">
        <v>2.04</v>
      </c>
      <c r="S111" s="235">
        <v>88.9</v>
      </c>
      <c r="T111" s="236">
        <v>82.7</v>
      </c>
      <c r="U111" s="220">
        <v>6.16</v>
      </c>
      <c r="V111" s="173" t="s">
        <v>868</v>
      </c>
      <c r="W111" s="170"/>
      <c r="X111" s="170"/>
      <c r="Y111" s="170"/>
      <c r="Z111" s="170"/>
      <c r="AA111" s="170"/>
      <c r="AB111" s="170"/>
      <c r="AC111" s="170"/>
      <c r="AD111" s="170"/>
      <c r="AE111" s="170"/>
      <c r="AF111" s="170"/>
    </row>
    <row r="112" ht="12.75" customHeight="1">
      <c r="A112" s="198" t="s">
        <v>869</v>
      </c>
      <c r="B112" s="162" t="s">
        <v>870</v>
      </c>
      <c r="C112" s="239" t="s">
        <v>871</v>
      </c>
      <c r="D112" s="162" t="s">
        <v>872</v>
      </c>
      <c r="E112" s="164" t="s">
        <v>438</v>
      </c>
      <c r="F112" s="164" t="s">
        <v>873</v>
      </c>
      <c r="G112" s="165">
        <v>112000.0</v>
      </c>
      <c r="H112" s="166">
        <v>106000.0</v>
      </c>
      <c r="I112" s="166">
        <v>5170.0</v>
      </c>
      <c r="J112" s="244">
        <v>449.0</v>
      </c>
      <c r="K112" s="185">
        <v>446.0</v>
      </c>
      <c r="L112" s="220">
        <v>2.78</v>
      </c>
      <c r="M112" s="244">
        <v>24.5</v>
      </c>
      <c r="N112" s="185">
        <v>24.5</v>
      </c>
      <c r="O112" s="220">
        <v>0.0344</v>
      </c>
      <c r="P112" s="244">
        <v>424.0</v>
      </c>
      <c r="Q112" s="185">
        <v>422.0</v>
      </c>
      <c r="R112" s="220">
        <v>2.74</v>
      </c>
      <c r="S112" s="235">
        <v>101.0</v>
      </c>
      <c r="T112" s="236">
        <v>92.0</v>
      </c>
      <c r="U112" s="220">
        <v>9.45</v>
      </c>
      <c r="V112" s="173" t="s">
        <v>874</v>
      </c>
      <c r="W112" s="170"/>
      <c r="X112" s="170"/>
      <c r="Y112" s="170"/>
      <c r="Z112" s="170"/>
      <c r="AA112" s="170"/>
      <c r="AB112" s="170"/>
      <c r="AC112" s="170"/>
      <c r="AD112" s="170"/>
      <c r="AE112" s="170"/>
      <c r="AF112" s="170"/>
    </row>
    <row r="113" ht="12.75" customHeight="1">
      <c r="A113" s="198" t="s">
        <v>875</v>
      </c>
      <c r="B113" s="162" t="s">
        <v>876</v>
      </c>
      <c r="C113" s="239" t="s">
        <v>877</v>
      </c>
      <c r="D113" s="162" t="s">
        <v>878</v>
      </c>
      <c r="E113" s="164" t="s">
        <v>438</v>
      </c>
      <c r="F113" s="164" t="s">
        <v>879</v>
      </c>
      <c r="G113" s="165">
        <v>124000.0</v>
      </c>
      <c r="H113" s="166">
        <v>118000.0</v>
      </c>
      <c r="I113" s="166">
        <v>5170.0</v>
      </c>
      <c r="J113" s="244">
        <v>516.0</v>
      </c>
      <c r="K113" s="185">
        <v>513.0</v>
      </c>
      <c r="L113" s="220">
        <v>2.78</v>
      </c>
      <c r="M113" s="244">
        <v>32.0</v>
      </c>
      <c r="N113" s="185">
        <v>32.0</v>
      </c>
      <c r="O113" s="220">
        <v>0.0344</v>
      </c>
      <c r="P113" s="244">
        <v>484.0</v>
      </c>
      <c r="Q113" s="185">
        <v>481.0</v>
      </c>
      <c r="R113" s="220">
        <v>2.74</v>
      </c>
      <c r="S113" s="235">
        <v>110.0</v>
      </c>
      <c r="T113" s="236">
        <v>100.0</v>
      </c>
      <c r="U113" s="220">
        <v>9.45</v>
      </c>
      <c r="V113" s="173" t="s">
        <v>880</v>
      </c>
      <c r="W113" s="170"/>
      <c r="X113" s="170"/>
      <c r="Y113" s="170"/>
      <c r="Z113" s="170"/>
      <c r="AA113" s="170"/>
      <c r="AB113" s="170"/>
      <c r="AC113" s="170"/>
      <c r="AD113" s="170"/>
      <c r="AE113" s="170"/>
      <c r="AF113" s="170"/>
    </row>
    <row r="114" ht="12.75" customHeight="1">
      <c r="A114" s="198" t="s">
        <v>881</v>
      </c>
      <c r="B114" s="162" t="s">
        <v>882</v>
      </c>
      <c r="C114" s="239" t="s">
        <v>883</v>
      </c>
      <c r="D114" s="162" t="s">
        <v>884</v>
      </c>
      <c r="E114" s="246">
        <v>6.3</v>
      </c>
      <c r="F114" s="164" t="s">
        <v>885</v>
      </c>
      <c r="G114" s="187">
        <v>11200.0</v>
      </c>
      <c r="H114" s="188">
        <v>11000.0</v>
      </c>
      <c r="I114" s="188">
        <v>108.0</v>
      </c>
      <c r="J114" s="189">
        <v>48.1</v>
      </c>
      <c r="K114" s="191">
        <v>47.7</v>
      </c>
      <c r="L114" s="163">
        <v>0.407</v>
      </c>
      <c r="M114" s="189">
        <v>3.64</v>
      </c>
      <c r="N114" s="191">
        <v>3.64</v>
      </c>
      <c r="O114" s="163">
        <v>0.00388</v>
      </c>
      <c r="P114" s="189">
        <v>44.5</v>
      </c>
      <c r="Q114" s="191">
        <v>44.1</v>
      </c>
      <c r="R114" s="163">
        <v>0.403</v>
      </c>
      <c r="S114" s="190">
        <v>8.01</v>
      </c>
      <c r="T114" s="192">
        <v>7.95</v>
      </c>
      <c r="U114" s="192">
        <v>0.0574</v>
      </c>
      <c r="V114" s="173" t="s">
        <v>886</v>
      </c>
      <c r="W114" s="170"/>
      <c r="X114" s="170"/>
      <c r="Y114" s="170"/>
      <c r="Z114" s="170"/>
      <c r="AA114" s="170"/>
      <c r="AB114" s="170"/>
      <c r="AC114" s="170"/>
      <c r="AD114" s="170"/>
      <c r="AE114" s="170"/>
      <c r="AF114" s="170"/>
    </row>
    <row r="115" ht="12.75" customHeight="1">
      <c r="A115" s="198" t="s">
        <v>887</v>
      </c>
      <c r="B115" s="162" t="s">
        <v>888</v>
      </c>
      <c r="C115" s="239" t="s">
        <v>889</v>
      </c>
      <c r="D115" s="162" t="s">
        <v>890</v>
      </c>
      <c r="E115" s="246">
        <v>14.4</v>
      </c>
      <c r="F115" s="164" t="s">
        <v>891</v>
      </c>
      <c r="G115" s="187">
        <v>7210.0</v>
      </c>
      <c r="H115" s="188">
        <v>6970.0</v>
      </c>
      <c r="I115" s="188">
        <v>248.0</v>
      </c>
      <c r="J115" s="189">
        <v>21.7</v>
      </c>
      <c r="K115" s="191">
        <v>20.7</v>
      </c>
      <c r="L115" s="163">
        <v>0.932</v>
      </c>
      <c r="M115" s="189">
        <v>2.37</v>
      </c>
      <c r="N115" s="191">
        <v>2.36</v>
      </c>
      <c r="O115" s="163">
        <v>0.00889</v>
      </c>
      <c r="P115" s="189">
        <v>19.3</v>
      </c>
      <c r="Q115" s="191">
        <v>18.4</v>
      </c>
      <c r="R115" s="163">
        <v>0.923</v>
      </c>
      <c r="S115" s="190">
        <v>6.18</v>
      </c>
      <c r="T115" s="192">
        <v>6.05</v>
      </c>
      <c r="U115" s="192">
        <v>0.131</v>
      </c>
      <c r="V115" s="173" t="s">
        <v>892</v>
      </c>
      <c r="W115" s="170"/>
      <c r="X115" s="170"/>
      <c r="Y115" s="170"/>
      <c r="Z115" s="170"/>
      <c r="AA115" s="170"/>
      <c r="AB115" s="170"/>
      <c r="AC115" s="170"/>
      <c r="AD115" s="170"/>
      <c r="AE115" s="170"/>
      <c r="AF115" s="170"/>
    </row>
    <row r="116" ht="14.25" customHeight="1">
      <c r="A116" s="198" t="s">
        <v>893</v>
      </c>
      <c r="B116" s="162" t="s">
        <v>894</v>
      </c>
      <c r="C116" s="239" t="s">
        <v>895</v>
      </c>
      <c r="D116" s="162" t="s">
        <v>896</v>
      </c>
      <c r="E116" s="164" t="s">
        <v>438</v>
      </c>
      <c r="F116" s="164" t="s">
        <v>897</v>
      </c>
      <c r="G116" s="165">
        <v>141000.0</v>
      </c>
      <c r="H116" s="166">
        <v>140000.0</v>
      </c>
      <c r="I116" s="166">
        <v>831.0</v>
      </c>
      <c r="J116" s="244">
        <v>333.0</v>
      </c>
      <c r="K116" s="185">
        <v>333.0</v>
      </c>
      <c r="L116" s="172">
        <v>0.479</v>
      </c>
      <c r="M116" s="244">
        <v>36.0</v>
      </c>
      <c r="N116" s="185">
        <v>36.0</v>
      </c>
      <c r="O116" s="172">
        <v>0.0309</v>
      </c>
      <c r="P116" s="244">
        <v>297.0</v>
      </c>
      <c r="Q116" s="185">
        <v>297.0</v>
      </c>
      <c r="R116" s="172">
        <v>0.448</v>
      </c>
      <c r="S116" s="171">
        <v>65.0</v>
      </c>
      <c r="T116" s="172">
        <v>63.5</v>
      </c>
      <c r="U116" s="172">
        <v>1.48</v>
      </c>
      <c r="V116" s="173" t="s">
        <v>898</v>
      </c>
      <c r="W116" s="170"/>
      <c r="X116" s="170"/>
      <c r="Y116" s="170"/>
      <c r="Z116" s="170"/>
      <c r="AA116" s="170"/>
      <c r="AB116" s="170"/>
      <c r="AC116" s="170"/>
      <c r="AD116" s="170"/>
      <c r="AE116" s="170"/>
      <c r="AF116" s="170"/>
    </row>
    <row r="117" ht="14.25" customHeight="1">
      <c r="A117" s="198" t="s">
        <v>899</v>
      </c>
      <c r="B117" s="162" t="s">
        <v>900</v>
      </c>
      <c r="C117" s="239" t="s">
        <v>901</v>
      </c>
      <c r="D117" s="162" t="s">
        <v>902</v>
      </c>
      <c r="E117" s="164" t="s">
        <v>438</v>
      </c>
      <c r="F117" s="164" t="s">
        <v>903</v>
      </c>
      <c r="G117" s="165">
        <v>111000.0</v>
      </c>
      <c r="H117" s="166">
        <v>110000.0</v>
      </c>
      <c r="I117" s="166">
        <v>633.0</v>
      </c>
      <c r="J117" s="244">
        <v>295.0</v>
      </c>
      <c r="K117" s="185">
        <v>295.0</v>
      </c>
      <c r="L117" s="172">
        <v>0.401</v>
      </c>
      <c r="M117" s="244">
        <v>32.4</v>
      </c>
      <c r="N117" s="185">
        <v>32.3</v>
      </c>
      <c r="O117" s="172">
        <v>0.0276</v>
      </c>
      <c r="P117" s="244">
        <v>263.0</v>
      </c>
      <c r="Q117" s="185">
        <v>262.0</v>
      </c>
      <c r="R117" s="172">
        <v>0.374</v>
      </c>
      <c r="S117" s="171">
        <v>57.4</v>
      </c>
      <c r="T117" s="172">
        <v>56.3</v>
      </c>
      <c r="U117" s="172">
        <v>1.11</v>
      </c>
      <c r="V117" s="173" t="s">
        <v>904</v>
      </c>
      <c r="W117" s="170"/>
      <c r="X117" s="170"/>
      <c r="Y117" s="170"/>
      <c r="Z117" s="170"/>
      <c r="AA117" s="170"/>
      <c r="AB117" s="170"/>
      <c r="AC117" s="170"/>
      <c r="AD117" s="170"/>
      <c r="AE117" s="170"/>
      <c r="AF117" s="170"/>
    </row>
    <row r="118" ht="14.25" customHeight="1">
      <c r="A118" s="198" t="s">
        <v>905</v>
      </c>
      <c r="B118" s="162" t="s">
        <v>906</v>
      </c>
      <c r="C118" s="239" t="s">
        <v>907</v>
      </c>
      <c r="D118" s="162" t="s">
        <v>908</v>
      </c>
      <c r="E118" s="164" t="s">
        <v>438</v>
      </c>
      <c r="F118" s="164" t="s">
        <v>909</v>
      </c>
      <c r="G118" s="165">
        <v>138000.0</v>
      </c>
      <c r="H118" s="166">
        <v>137000.0</v>
      </c>
      <c r="I118" s="166">
        <v>284.0</v>
      </c>
      <c r="J118" s="244">
        <v>376.0</v>
      </c>
      <c r="K118" s="185">
        <v>376.0</v>
      </c>
      <c r="L118" s="172">
        <v>0.394</v>
      </c>
      <c r="M118" s="244">
        <v>44.5</v>
      </c>
      <c r="N118" s="185">
        <v>44.5</v>
      </c>
      <c r="O118" s="172">
        <v>0.0286</v>
      </c>
      <c r="P118" s="244">
        <v>331.0</v>
      </c>
      <c r="Q118" s="185">
        <v>331.0</v>
      </c>
      <c r="R118" s="172">
        <v>0.365</v>
      </c>
      <c r="S118" s="171">
        <v>71.9</v>
      </c>
      <c r="T118" s="172">
        <v>71.5</v>
      </c>
      <c r="U118" s="172">
        <v>0.408</v>
      </c>
      <c r="V118" s="173" t="s">
        <v>910</v>
      </c>
      <c r="W118" s="170"/>
      <c r="X118" s="170"/>
      <c r="Y118" s="170"/>
      <c r="Z118" s="170"/>
      <c r="AA118" s="170"/>
      <c r="AB118" s="170"/>
      <c r="AC118" s="170"/>
      <c r="AD118" s="170"/>
      <c r="AE118" s="170"/>
      <c r="AF118" s="170"/>
    </row>
    <row r="119" ht="14.25" customHeight="1">
      <c r="A119" s="211" t="s">
        <v>911</v>
      </c>
      <c r="B119" s="212"/>
      <c r="C119" s="212"/>
      <c r="D119" s="212"/>
      <c r="E119" s="212"/>
      <c r="F119" s="212"/>
      <c r="G119" s="212"/>
      <c r="H119" s="212"/>
      <c r="I119" s="212"/>
      <c r="J119" s="212"/>
      <c r="K119" s="212"/>
      <c r="L119" s="212"/>
      <c r="M119" s="212"/>
      <c r="N119" s="212"/>
      <c r="O119" s="212"/>
      <c r="P119" s="212"/>
      <c r="Q119" s="212"/>
      <c r="R119" s="212"/>
      <c r="S119" s="212"/>
      <c r="T119" s="212"/>
      <c r="U119" s="212"/>
      <c r="V119" s="213"/>
      <c r="W119" s="170"/>
      <c r="X119" s="170"/>
      <c r="Y119" s="170"/>
      <c r="Z119" s="170"/>
      <c r="AA119" s="170"/>
      <c r="AB119" s="170"/>
      <c r="AC119" s="170"/>
      <c r="AD119" s="170"/>
      <c r="AE119" s="170"/>
      <c r="AF119" s="170"/>
    </row>
    <row r="120" ht="12.75" customHeight="1">
      <c r="A120" s="214" t="s">
        <v>912</v>
      </c>
      <c r="B120" s="177" t="s">
        <v>913</v>
      </c>
      <c r="C120" s="176"/>
      <c r="D120" s="177"/>
      <c r="E120" s="178" t="s">
        <v>914</v>
      </c>
      <c r="F120" s="179"/>
      <c r="G120" s="247"/>
      <c r="H120" s="247"/>
      <c r="I120" s="247"/>
      <c r="J120" s="247"/>
      <c r="K120" s="248"/>
      <c r="L120" s="247"/>
      <c r="M120" s="247"/>
      <c r="N120" s="248"/>
      <c r="O120" s="247"/>
      <c r="P120" s="180"/>
      <c r="Q120" s="181"/>
      <c r="R120" s="181"/>
      <c r="S120" s="179"/>
      <c r="T120" s="179"/>
      <c r="U120" s="179"/>
      <c r="V120" s="217" t="s">
        <v>915</v>
      </c>
      <c r="W120" s="91"/>
      <c r="X120" s="91"/>
      <c r="Y120" s="91"/>
      <c r="Z120" s="91"/>
      <c r="AA120" s="91"/>
      <c r="AB120" s="91"/>
      <c r="AC120" s="91"/>
      <c r="AD120" s="91"/>
      <c r="AE120" s="91"/>
      <c r="AF120" s="91"/>
    </row>
    <row r="121" ht="12.75" customHeight="1">
      <c r="A121" s="182" t="s">
        <v>916</v>
      </c>
      <c r="B121" s="184" t="s">
        <v>917</v>
      </c>
      <c r="C121" s="183" t="s">
        <v>438</v>
      </c>
      <c r="D121" s="184" t="s">
        <v>918</v>
      </c>
      <c r="E121" s="218">
        <v>2690.0</v>
      </c>
      <c r="F121" s="186" t="s">
        <v>559</v>
      </c>
      <c r="G121" s="165">
        <v>7300.0</v>
      </c>
      <c r="H121" s="166">
        <v>7300.0</v>
      </c>
      <c r="I121" s="249">
        <v>0.0</v>
      </c>
      <c r="J121" s="171">
        <v>31.9</v>
      </c>
      <c r="K121" s="172">
        <v>31.9</v>
      </c>
      <c r="L121" s="172">
        <v>0.0</v>
      </c>
      <c r="M121" s="171">
        <v>5.29</v>
      </c>
      <c r="N121" s="172">
        <v>5.29</v>
      </c>
      <c r="O121" s="172">
        <v>0.0</v>
      </c>
      <c r="P121" s="171">
        <v>26.7</v>
      </c>
      <c r="Q121" s="172">
        <v>26.7</v>
      </c>
      <c r="R121" s="164">
        <v>0.0</v>
      </c>
      <c r="S121" s="219">
        <v>5.62</v>
      </c>
      <c r="T121" s="220">
        <v>5.62</v>
      </c>
      <c r="U121" s="164">
        <v>0.0</v>
      </c>
      <c r="V121" s="221" t="s">
        <v>919</v>
      </c>
      <c r="W121" s="91"/>
      <c r="X121" s="91"/>
      <c r="Y121" s="91"/>
      <c r="Z121" s="91"/>
      <c r="AA121" s="91"/>
      <c r="AB121" s="91"/>
      <c r="AC121" s="91"/>
      <c r="AD121" s="91"/>
      <c r="AE121" s="91"/>
      <c r="AF121" s="91"/>
    </row>
    <row r="122" ht="12.75" customHeight="1">
      <c r="A122" s="182" t="s">
        <v>920</v>
      </c>
      <c r="B122" s="184" t="s">
        <v>921</v>
      </c>
      <c r="C122" s="183" t="s">
        <v>438</v>
      </c>
      <c r="D122" s="184" t="s">
        <v>918</v>
      </c>
      <c r="E122" s="218">
        <v>2690.0</v>
      </c>
      <c r="F122" s="186" t="s">
        <v>559</v>
      </c>
      <c r="G122" s="165">
        <v>6980.0</v>
      </c>
      <c r="H122" s="166">
        <v>6980.0</v>
      </c>
      <c r="I122" s="249">
        <v>0.0</v>
      </c>
      <c r="J122" s="171">
        <v>32.6</v>
      </c>
      <c r="K122" s="172">
        <v>32.6</v>
      </c>
      <c r="L122" s="172">
        <v>0.0</v>
      </c>
      <c r="M122" s="171">
        <v>5.3</v>
      </c>
      <c r="N122" s="172">
        <v>5.3</v>
      </c>
      <c r="O122" s="172">
        <v>0.0</v>
      </c>
      <c r="P122" s="171">
        <v>27.3</v>
      </c>
      <c r="Q122" s="172">
        <v>27.3</v>
      </c>
      <c r="R122" s="164">
        <v>0.0</v>
      </c>
      <c r="S122" s="219">
        <v>5.71</v>
      </c>
      <c r="T122" s="220">
        <v>5.71</v>
      </c>
      <c r="U122" s="164">
        <v>0.0</v>
      </c>
      <c r="V122" s="221" t="s">
        <v>922</v>
      </c>
      <c r="W122" s="91"/>
      <c r="X122" s="91"/>
      <c r="Y122" s="91"/>
      <c r="Z122" s="91"/>
      <c r="AA122" s="91"/>
      <c r="AB122" s="91"/>
      <c r="AC122" s="91"/>
      <c r="AD122" s="91"/>
      <c r="AE122" s="91"/>
      <c r="AF122" s="91"/>
    </row>
    <row r="123" ht="12.75" customHeight="1" outlineLevel="1">
      <c r="A123" s="200" t="s">
        <v>923</v>
      </c>
      <c r="B123" s="201" t="s">
        <v>924</v>
      </c>
      <c r="C123" s="202" t="s">
        <v>438</v>
      </c>
      <c r="D123" s="201" t="s">
        <v>918</v>
      </c>
      <c r="E123" s="203">
        <v>2690.0</v>
      </c>
      <c r="F123" s="204" t="s">
        <v>559</v>
      </c>
      <c r="G123" s="205">
        <v>4120.0</v>
      </c>
      <c r="H123" s="203">
        <v>4120.0</v>
      </c>
      <c r="I123" s="203">
        <v>0.0</v>
      </c>
      <c r="J123" s="206">
        <v>17.0</v>
      </c>
      <c r="K123" s="207">
        <v>17.0</v>
      </c>
      <c r="L123" s="208">
        <v>0.0</v>
      </c>
      <c r="M123" s="206">
        <v>3.44</v>
      </c>
      <c r="N123" s="207">
        <v>3.44</v>
      </c>
      <c r="O123" s="208">
        <v>0.0</v>
      </c>
      <c r="P123" s="206">
        <v>13.6</v>
      </c>
      <c r="Q123" s="207">
        <v>13.6</v>
      </c>
      <c r="R123" s="208">
        <v>0.0</v>
      </c>
      <c r="S123" s="209">
        <v>2.94</v>
      </c>
      <c r="T123" s="208">
        <v>2.94</v>
      </c>
      <c r="U123" s="210">
        <v>0.0</v>
      </c>
      <c r="V123" s="245" t="s">
        <v>925</v>
      </c>
      <c r="W123" s="170"/>
      <c r="X123" s="170"/>
      <c r="Y123" s="170"/>
      <c r="Z123" s="170"/>
      <c r="AA123" s="170"/>
      <c r="AB123" s="170"/>
      <c r="AC123" s="170"/>
      <c r="AD123" s="170"/>
      <c r="AE123" s="170"/>
      <c r="AF123" s="170"/>
    </row>
    <row r="124" ht="12.75" customHeight="1">
      <c r="A124" s="182" t="s">
        <v>926</v>
      </c>
      <c r="B124" s="184" t="s">
        <v>927</v>
      </c>
      <c r="C124" s="183" t="s">
        <v>438</v>
      </c>
      <c r="D124" s="184" t="s">
        <v>918</v>
      </c>
      <c r="E124" s="218">
        <v>7850.0</v>
      </c>
      <c r="F124" s="186" t="s">
        <v>559</v>
      </c>
      <c r="G124" s="233">
        <v>2860.0</v>
      </c>
      <c r="H124" s="234">
        <v>2860.0</v>
      </c>
      <c r="I124" s="250">
        <v>0.0</v>
      </c>
      <c r="J124" s="230">
        <v>3.76</v>
      </c>
      <c r="K124" s="231">
        <v>3.76</v>
      </c>
      <c r="L124" s="242">
        <v>0.0</v>
      </c>
      <c r="M124" s="230">
        <v>0.211</v>
      </c>
      <c r="N124" s="231">
        <v>0.211</v>
      </c>
      <c r="O124" s="242">
        <v>0.0</v>
      </c>
      <c r="P124" s="230">
        <v>3.55</v>
      </c>
      <c r="Q124" s="231">
        <v>3.55</v>
      </c>
      <c r="R124" s="186">
        <v>0.0</v>
      </c>
      <c r="S124" s="228">
        <v>0.682</v>
      </c>
      <c r="T124" s="227">
        <v>0.682</v>
      </c>
      <c r="U124" s="186">
        <v>0.0</v>
      </c>
      <c r="V124" s="221" t="s">
        <v>928</v>
      </c>
      <c r="W124" s="91"/>
      <c r="X124" s="91"/>
      <c r="Y124" s="91"/>
      <c r="Z124" s="91"/>
      <c r="AA124" s="91"/>
      <c r="AB124" s="91"/>
      <c r="AC124" s="91"/>
      <c r="AD124" s="91"/>
      <c r="AE124" s="91"/>
      <c r="AF124" s="91"/>
    </row>
    <row r="125" ht="12.75" customHeight="1">
      <c r="A125" s="182" t="s">
        <v>929</v>
      </c>
      <c r="B125" s="184" t="s">
        <v>930</v>
      </c>
      <c r="C125" s="183" t="s">
        <v>438</v>
      </c>
      <c r="D125" s="184" t="s">
        <v>918</v>
      </c>
      <c r="E125" s="218">
        <v>11340.0</v>
      </c>
      <c r="F125" s="186" t="s">
        <v>559</v>
      </c>
      <c r="G125" s="233">
        <v>6530.0</v>
      </c>
      <c r="H125" s="234">
        <v>6530.0</v>
      </c>
      <c r="I125" s="250">
        <v>0.0</v>
      </c>
      <c r="J125" s="230">
        <v>4.27</v>
      </c>
      <c r="K125" s="231">
        <v>4.27</v>
      </c>
      <c r="L125" s="242">
        <v>0.0</v>
      </c>
      <c r="M125" s="230">
        <v>0.236</v>
      </c>
      <c r="N125" s="231">
        <v>0.236</v>
      </c>
      <c r="O125" s="242">
        <v>0.0</v>
      </c>
      <c r="P125" s="230">
        <v>4.03</v>
      </c>
      <c r="Q125" s="231">
        <v>4.03</v>
      </c>
      <c r="R125" s="186">
        <v>0.0</v>
      </c>
      <c r="S125" s="225">
        <v>1.04</v>
      </c>
      <c r="T125" s="226">
        <v>1.04</v>
      </c>
      <c r="U125" s="186">
        <v>0.0</v>
      </c>
      <c r="V125" s="221" t="s">
        <v>931</v>
      </c>
      <c r="W125" s="91"/>
      <c r="X125" s="91"/>
      <c r="Y125" s="91"/>
      <c r="Z125" s="91"/>
      <c r="AA125" s="91"/>
      <c r="AB125" s="91"/>
      <c r="AC125" s="91"/>
      <c r="AD125" s="91"/>
      <c r="AE125" s="91"/>
      <c r="AF125" s="91"/>
    </row>
    <row r="126" ht="12.75" customHeight="1">
      <c r="A126" s="182" t="s">
        <v>932</v>
      </c>
      <c r="B126" s="184" t="s">
        <v>933</v>
      </c>
      <c r="C126" s="183" t="s">
        <v>438</v>
      </c>
      <c r="D126" s="184" t="s">
        <v>918</v>
      </c>
      <c r="E126" s="218">
        <v>7900.0</v>
      </c>
      <c r="F126" s="186" t="s">
        <v>559</v>
      </c>
      <c r="G126" s="233">
        <v>6890.0</v>
      </c>
      <c r="H126" s="234">
        <v>6890.0</v>
      </c>
      <c r="I126" s="250">
        <v>0.0</v>
      </c>
      <c r="J126" s="230">
        <v>17.7</v>
      </c>
      <c r="K126" s="231">
        <v>17.7</v>
      </c>
      <c r="L126" s="242">
        <v>0.0</v>
      </c>
      <c r="M126" s="230">
        <v>2.38</v>
      </c>
      <c r="N126" s="231">
        <v>2.38</v>
      </c>
      <c r="O126" s="242">
        <v>0.0</v>
      </c>
      <c r="P126" s="230">
        <v>15.3</v>
      </c>
      <c r="Q126" s="231">
        <v>15.3</v>
      </c>
      <c r="R126" s="186">
        <v>0.0</v>
      </c>
      <c r="S126" s="225">
        <v>3.76</v>
      </c>
      <c r="T126" s="226">
        <v>3.76</v>
      </c>
      <c r="U126" s="186">
        <v>0.0</v>
      </c>
      <c r="V126" s="221" t="s">
        <v>934</v>
      </c>
      <c r="W126" s="91"/>
      <c r="X126" s="91"/>
      <c r="Y126" s="91"/>
      <c r="Z126" s="91"/>
      <c r="AA126" s="91"/>
      <c r="AB126" s="91"/>
      <c r="AC126" s="91"/>
      <c r="AD126" s="91"/>
      <c r="AE126" s="91"/>
      <c r="AF126" s="91"/>
    </row>
    <row r="127" ht="12.75" customHeight="1">
      <c r="A127" s="182" t="s">
        <v>935</v>
      </c>
      <c r="B127" s="184" t="s">
        <v>936</v>
      </c>
      <c r="C127" s="183" t="s">
        <v>438</v>
      </c>
      <c r="D127" s="184" t="s">
        <v>918</v>
      </c>
      <c r="E127" s="218">
        <v>7900.0</v>
      </c>
      <c r="F127" s="186" t="s">
        <v>559</v>
      </c>
      <c r="G127" s="233">
        <v>10700.0</v>
      </c>
      <c r="H127" s="234">
        <v>10700.0</v>
      </c>
      <c r="I127" s="250">
        <v>0.0</v>
      </c>
      <c r="J127" s="230">
        <v>25.7</v>
      </c>
      <c r="K127" s="231">
        <v>25.7</v>
      </c>
      <c r="L127" s="242">
        <v>0.0</v>
      </c>
      <c r="M127" s="230">
        <v>2.66</v>
      </c>
      <c r="N127" s="231">
        <v>2.66</v>
      </c>
      <c r="O127" s="242">
        <v>0.0</v>
      </c>
      <c r="P127" s="230">
        <v>23.0</v>
      </c>
      <c r="Q127" s="231">
        <v>23.0</v>
      </c>
      <c r="R127" s="186">
        <v>0.0</v>
      </c>
      <c r="S127" s="225">
        <v>5.45</v>
      </c>
      <c r="T127" s="226">
        <v>5.45</v>
      </c>
      <c r="U127" s="186">
        <v>0.0</v>
      </c>
      <c r="V127" s="221" t="s">
        <v>937</v>
      </c>
      <c r="W127" s="91"/>
      <c r="X127" s="91"/>
      <c r="Y127" s="91"/>
      <c r="Z127" s="91"/>
      <c r="AA127" s="91"/>
      <c r="AB127" s="91"/>
      <c r="AC127" s="91"/>
      <c r="AD127" s="91"/>
      <c r="AE127" s="91"/>
      <c r="AF127" s="91"/>
    </row>
    <row r="128" ht="12.75" customHeight="1">
      <c r="A128" s="182" t="s">
        <v>938</v>
      </c>
      <c r="B128" s="184" t="s">
        <v>939</v>
      </c>
      <c r="C128" s="183" t="s">
        <v>438</v>
      </c>
      <c r="D128" s="184" t="s">
        <v>918</v>
      </c>
      <c r="E128" s="218">
        <v>7700.0</v>
      </c>
      <c r="F128" s="186" t="s">
        <v>559</v>
      </c>
      <c r="G128" s="233">
        <v>5250.0</v>
      </c>
      <c r="H128" s="234">
        <v>5250.0</v>
      </c>
      <c r="I128" s="250">
        <v>0.0</v>
      </c>
      <c r="J128" s="230">
        <v>10.5</v>
      </c>
      <c r="K128" s="231">
        <v>10.5</v>
      </c>
      <c r="L128" s="242">
        <v>0.0</v>
      </c>
      <c r="M128" s="230">
        <v>0.923</v>
      </c>
      <c r="N128" s="231">
        <v>0.923</v>
      </c>
      <c r="O128" s="242">
        <v>0.0</v>
      </c>
      <c r="P128" s="230">
        <v>9.53</v>
      </c>
      <c r="Q128" s="231">
        <v>9.53</v>
      </c>
      <c r="R128" s="186">
        <v>0.0</v>
      </c>
      <c r="S128" s="225">
        <v>2.24</v>
      </c>
      <c r="T128" s="226">
        <v>2.24</v>
      </c>
      <c r="U128" s="186">
        <v>0.0</v>
      </c>
      <c r="V128" s="221" t="s">
        <v>940</v>
      </c>
      <c r="W128" s="91"/>
      <c r="X128" s="91"/>
      <c r="Y128" s="91"/>
      <c r="Z128" s="91"/>
      <c r="AA128" s="91"/>
      <c r="AB128" s="91"/>
      <c r="AC128" s="91"/>
      <c r="AD128" s="91"/>
      <c r="AE128" s="91"/>
      <c r="AF128" s="91"/>
    </row>
    <row r="129" ht="12.75" customHeight="1">
      <c r="A129" s="182" t="s">
        <v>941</v>
      </c>
      <c r="B129" s="184" t="s">
        <v>942</v>
      </c>
      <c r="C129" s="183" t="s">
        <v>438</v>
      </c>
      <c r="D129" s="184" t="s">
        <v>918</v>
      </c>
      <c r="E129" s="218">
        <v>7700.0</v>
      </c>
      <c r="F129" s="186" t="s">
        <v>559</v>
      </c>
      <c r="G129" s="233">
        <v>8990.0</v>
      </c>
      <c r="H129" s="234">
        <v>8990.0</v>
      </c>
      <c r="I129" s="250">
        <v>0.0</v>
      </c>
      <c r="J129" s="230">
        <v>18.4</v>
      </c>
      <c r="K129" s="231">
        <v>18.4</v>
      </c>
      <c r="L129" s="242">
        <v>0.0</v>
      </c>
      <c r="M129" s="230">
        <v>1.2</v>
      </c>
      <c r="N129" s="231">
        <v>1.2</v>
      </c>
      <c r="O129" s="242">
        <v>0.0</v>
      </c>
      <c r="P129" s="230">
        <v>17.2</v>
      </c>
      <c r="Q129" s="231">
        <v>17.2</v>
      </c>
      <c r="R129" s="186">
        <v>0.0</v>
      </c>
      <c r="S129" s="225">
        <v>3.93</v>
      </c>
      <c r="T129" s="226">
        <v>3.93</v>
      </c>
      <c r="U129" s="186">
        <v>0.0</v>
      </c>
      <c r="V129" s="221" t="s">
        <v>943</v>
      </c>
      <c r="W129" s="91"/>
      <c r="X129" s="91"/>
      <c r="Y129" s="91"/>
      <c r="Z129" s="91"/>
      <c r="AA129" s="91"/>
      <c r="AB129" s="91"/>
      <c r="AC129" s="91"/>
      <c r="AD129" s="91"/>
      <c r="AE129" s="91"/>
      <c r="AF129" s="91"/>
    </row>
    <row r="130" ht="12.75" customHeight="1">
      <c r="A130" s="182" t="s">
        <v>944</v>
      </c>
      <c r="B130" s="184" t="s">
        <v>945</v>
      </c>
      <c r="C130" s="183" t="s">
        <v>438</v>
      </c>
      <c r="D130" s="184" t="s">
        <v>918</v>
      </c>
      <c r="E130" s="218">
        <v>8900.0</v>
      </c>
      <c r="F130" s="186" t="s">
        <v>559</v>
      </c>
      <c r="G130" s="233">
        <v>51500.0</v>
      </c>
      <c r="H130" s="234">
        <v>51500.0</v>
      </c>
      <c r="I130" s="250">
        <v>0.0</v>
      </c>
      <c r="J130" s="230">
        <v>10.9</v>
      </c>
      <c r="K130" s="231">
        <v>10.9</v>
      </c>
      <c r="L130" s="242">
        <v>0.0</v>
      </c>
      <c r="M130" s="230">
        <v>1.65</v>
      </c>
      <c r="N130" s="231">
        <v>1.65</v>
      </c>
      <c r="O130" s="242">
        <v>0.0</v>
      </c>
      <c r="P130" s="230">
        <v>9.27</v>
      </c>
      <c r="Q130" s="231">
        <v>9.27</v>
      </c>
      <c r="R130" s="186">
        <v>0.0</v>
      </c>
      <c r="S130" s="225">
        <v>2.19</v>
      </c>
      <c r="T130" s="226">
        <v>2.19</v>
      </c>
      <c r="U130" s="186">
        <v>0.0</v>
      </c>
      <c r="V130" s="221" t="s">
        <v>946</v>
      </c>
      <c r="W130" s="91"/>
      <c r="X130" s="91"/>
      <c r="Y130" s="91"/>
      <c r="Z130" s="91"/>
      <c r="AA130" s="91"/>
      <c r="AB130" s="91"/>
      <c r="AC130" s="91"/>
      <c r="AD130" s="91"/>
      <c r="AE130" s="91"/>
      <c r="AF130" s="91"/>
    </row>
    <row r="131" ht="12.75" customHeight="1">
      <c r="A131" s="182" t="s">
        <v>947</v>
      </c>
      <c r="B131" s="184" t="s">
        <v>948</v>
      </c>
      <c r="C131" s="183" t="s">
        <v>438</v>
      </c>
      <c r="D131" s="184" t="s">
        <v>918</v>
      </c>
      <c r="E131" s="218">
        <v>8300.0</v>
      </c>
      <c r="F131" s="186" t="s">
        <v>559</v>
      </c>
      <c r="G131" s="233">
        <v>47000.0</v>
      </c>
      <c r="H131" s="234">
        <v>47000.0</v>
      </c>
      <c r="I131" s="250">
        <v>0.0</v>
      </c>
      <c r="J131" s="230">
        <v>13.4</v>
      </c>
      <c r="K131" s="231">
        <v>13.4</v>
      </c>
      <c r="L131" s="242">
        <v>0.0</v>
      </c>
      <c r="M131" s="230">
        <v>1.89</v>
      </c>
      <c r="N131" s="231">
        <v>1.89</v>
      </c>
      <c r="O131" s="242">
        <v>0.0</v>
      </c>
      <c r="P131" s="230">
        <v>11.5</v>
      </c>
      <c r="Q131" s="231">
        <v>11.5</v>
      </c>
      <c r="R131" s="186">
        <v>0.0</v>
      </c>
      <c r="S131" s="225">
        <v>2.71</v>
      </c>
      <c r="T131" s="226">
        <v>2.71</v>
      </c>
      <c r="U131" s="186">
        <v>0.0</v>
      </c>
      <c r="V131" s="221" t="s">
        <v>949</v>
      </c>
      <c r="W131" s="91"/>
      <c r="X131" s="91"/>
      <c r="Y131" s="91"/>
      <c r="Z131" s="91"/>
      <c r="AA131" s="91"/>
      <c r="AB131" s="91"/>
      <c r="AC131" s="91"/>
      <c r="AD131" s="91"/>
      <c r="AE131" s="91"/>
      <c r="AF131" s="91"/>
    </row>
    <row r="132" ht="12.75" customHeight="1">
      <c r="A132" s="182" t="s">
        <v>950</v>
      </c>
      <c r="B132" s="184" t="s">
        <v>951</v>
      </c>
      <c r="C132" s="183" t="s">
        <v>438</v>
      </c>
      <c r="D132" s="184" t="s">
        <v>918</v>
      </c>
      <c r="E132" s="218">
        <v>7850.0</v>
      </c>
      <c r="F132" s="186" t="s">
        <v>559</v>
      </c>
      <c r="G132" s="233">
        <v>3570.0</v>
      </c>
      <c r="H132" s="234">
        <v>3570.0</v>
      </c>
      <c r="I132" s="250">
        <v>0.0</v>
      </c>
      <c r="J132" s="230">
        <v>8.05</v>
      </c>
      <c r="K132" s="231">
        <v>8.05</v>
      </c>
      <c r="L132" s="242">
        <v>0.0</v>
      </c>
      <c r="M132" s="230">
        <v>0.294</v>
      </c>
      <c r="N132" s="231">
        <v>0.294</v>
      </c>
      <c r="O132" s="242">
        <v>0.0</v>
      </c>
      <c r="P132" s="230">
        <v>7.75</v>
      </c>
      <c r="Q132" s="231">
        <v>7.75</v>
      </c>
      <c r="R132" s="186">
        <v>0.0</v>
      </c>
      <c r="S132" s="225">
        <v>1.83</v>
      </c>
      <c r="T132" s="226">
        <v>1.83</v>
      </c>
      <c r="U132" s="186">
        <v>0.0</v>
      </c>
      <c r="V132" s="221" t="s">
        <v>952</v>
      </c>
      <c r="W132" s="91"/>
      <c r="X132" s="91"/>
      <c r="Y132" s="91"/>
      <c r="Z132" s="91"/>
      <c r="AA132" s="91"/>
      <c r="AB132" s="91"/>
      <c r="AC132" s="91"/>
      <c r="AD132" s="91"/>
      <c r="AE132" s="91"/>
      <c r="AF132" s="91"/>
    </row>
    <row r="133" ht="12.75" customHeight="1">
      <c r="A133" s="182" t="s">
        <v>953</v>
      </c>
      <c r="B133" s="184" t="s">
        <v>954</v>
      </c>
      <c r="C133" s="183" t="s">
        <v>438</v>
      </c>
      <c r="D133" s="184" t="s">
        <v>918</v>
      </c>
      <c r="E133" s="218">
        <v>7850.0</v>
      </c>
      <c r="F133" s="186" t="s">
        <v>559</v>
      </c>
      <c r="G133" s="233">
        <v>16100.0</v>
      </c>
      <c r="H133" s="234">
        <v>16100.0</v>
      </c>
      <c r="I133" s="250">
        <v>0.0</v>
      </c>
      <c r="J133" s="230">
        <v>16.7</v>
      </c>
      <c r="K133" s="231">
        <v>16.7</v>
      </c>
      <c r="L133" s="242">
        <v>0.0</v>
      </c>
      <c r="M133" s="230">
        <v>1.05</v>
      </c>
      <c r="N133" s="231">
        <v>1.05</v>
      </c>
      <c r="O133" s="242">
        <v>0.0</v>
      </c>
      <c r="P133" s="230">
        <v>15.7</v>
      </c>
      <c r="Q133" s="231">
        <v>15.7</v>
      </c>
      <c r="R133" s="186">
        <v>0.0</v>
      </c>
      <c r="S133" s="225">
        <v>3.51</v>
      </c>
      <c r="T133" s="226">
        <v>3.51</v>
      </c>
      <c r="U133" s="186">
        <v>0.0</v>
      </c>
      <c r="V133" s="221" t="s">
        <v>955</v>
      </c>
      <c r="W133" s="91"/>
      <c r="X133" s="91"/>
      <c r="Y133" s="91"/>
      <c r="Z133" s="91"/>
      <c r="AA133" s="91"/>
      <c r="AB133" s="91"/>
      <c r="AC133" s="91"/>
      <c r="AD133" s="91"/>
      <c r="AE133" s="91"/>
      <c r="AF133" s="91"/>
    </row>
    <row r="134" ht="12.75" customHeight="1">
      <c r="A134" s="182" t="s">
        <v>956</v>
      </c>
      <c r="B134" s="184" t="s">
        <v>957</v>
      </c>
      <c r="C134" s="183" t="s">
        <v>438</v>
      </c>
      <c r="D134" s="184" t="s">
        <v>918</v>
      </c>
      <c r="E134" s="218">
        <v>7850.0</v>
      </c>
      <c r="F134" s="186" t="s">
        <v>559</v>
      </c>
      <c r="G134" s="233">
        <v>1000.0</v>
      </c>
      <c r="H134" s="234">
        <v>1000.0</v>
      </c>
      <c r="I134" s="250">
        <v>0.0</v>
      </c>
      <c r="J134" s="230">
        <v>3.71</v>
      </c>
      <c r="K134" s="231">
        <v>3.71</v>
      </c>
      <c r="L134" s="242">
        <v>0.0</v>
      </c>
      <c r="M134" s="230">
        <v>0.251</v>
      </c>
      <c r="N134" s="231">
        <v>0.251</v>
      </c>
      <c r="O134" s="242">
        <v>0.0</v>
      </c>
      <c r="P134" s="230">
        <v>3.46</v>
      </c>
      <c r="Q134" s="231">
        <v>3.46</v>
      </c>
      <c r="R134" s="186">
        <v>0.0</v>
      </c>
      <c r="S134" s="228">
        <v>0.734</v>
      </c>
      <c r="T134" s="227">
        <v>0.734</v>
      </c>
      <c r="U134" s="186">
        <v>0.0</v>
      </c>
      <c r="V134" s="221" t="s">
        <v>958</v>
      </c>
      <c r="W134" s="91"/>
      <c r="X134" s="91"/>
      <c r="Y134" s="91"/>
      <c r="Z134" s="91"/>
      <c r="AA134" s="91"/>
      <c r="AB134" s="91"/>
      <c r="AC134" s="91"/>
      <c r="AD134" s="91"/>
      <c r="AE134" s="91"/>
      <c r="AF134" s="91"/>
    </row>
    <row r="135" ht="12.75" customHeight="1">
      <c r="A135" s="182" t="s">
        <v>959</v>
      </c>
      <c r="B135" s="184" t="s">
        <v>960</v>
      </c>
      <c r="C135" s="183" t="s">
        <v>438</v>
      </c>
      <c r="D135" s="184" t="s">
        <v>918</v>
      </c>
      <c r="E135" s="218">
        <v>7200.0</v>
      </c>
      <c r="F135" s="186" t="s">
        <v>559</v>
      </c>
      <c r="G135" s="233">
        <v>35800.0</v>
      </c>
      <c r="H135" s="234">
        <v>35800.0</v>
      </c>
      <c r="I135" s="250">
        <v>0.0</v>
      </c>
      <c r="J135" s="230">
        <v>20.0</v>
      </c>
      <c r="K135" s="231">
        <v>20.0</v>
      </c>
      <c r="L135" s="242">
        <v>0.0</v>
      </c>
      <c r="M135" s="230">
        <v>2.59</v>
      </c>
      <c r="N135" s="231">
        <v>2.59</v>
      </c>
      <c r="O135" s="242">
        <v>0.0</v>
      </c>
      <c r="P135" s="230">
        <v>17.4</v>
      </c>
      <c r="Q135" s="231">
        <v>17.4</v>
      </c>
      <c r="R135" s="186">
        <v>0.0</v>
      </c>
      <c r="S135" s="225">
        <v>4.04</v>
      </c>
      <c r="T135" s="226">
        <v>4.04</v>
      </c>
      <c r="U135" s="186">
        <v>0.0</v>
      </c>
      <c r="V135" s="221" t="s">
        <v>961</v>
      </c>
      <c r="W135" s="91"/>
      <c r="X135" s="91"/>
      <c r="Y135" s="91"/>
      <c r="Z135" s="91"/>
      <c r="AA135" s="91"/>
      <c r="AB135" s="91"/>
      <c r="AC135" s="91"/>
      <c r="AD135" s="91"/>
      <c r="AE135" s="91"/>
      <c r="AF135" s="91"/>
    </row>
    <row r="136" ht="12.75" customHeight="1">
      <c r="A136" s="214" t="s">
        <v>962</v>
      </c>
      <c r="B136" s="214" t="s">
        <v>963</v>
      </c>
      <c r="C136" s="176"/>
      <c r="D136" s="177"/>
      <c r="E136" s="178" t="s">
        <v>964</v>
      </c>
      <c r="F136" s="179"/>
      <c r="G136" s="215"/>
      <c r="H136" s="215"/>
      <c r="I136" s="215"/>
      <c r="J136" s="215"/>
      <c r="K136" s="181"/>
      <c r="L136" s="216"/>
      <c r="M136" s="215"/>
      <c r="N136" s="181"/>
      <c r="O136" s="216"/>
      <c r="P136" s="180"/>
      <c r="Q136" s="181"/>
      <c r="R136" s="181"/>
      <c r="S136" s="180"/>
      <c r="T136" s="181"/>
      <c r="U136" s="181"/>
      <c r="V136" s="251" t="s">
        <v>965</v>
      </c>
      <c r="W136" s="91"/>
      <c r="X136" s="91"/>
      <c r="Y136" s="91"/>
      <c r="Z136" s="91"/>
      <c r="AA136" s="91"/>
      <c r="AB136" s="91"/>
      <c r="AC136" s="91"/>
      <c r="AD136" s="91"/>
      <c r="AE136" s="91"/>
      <c r="AF136" s="91"/>
    </row>
    <row r="137" ht="12.75" customHeight="1">
      <c r="A137" s="182" t="s">
        <v>966</v>
      </c>
      <c r="B137" s="184" t="s">
        <v>967</v>
      </c>
      <c r="C137" s="183" t="s">
        <v>968</v>
      </c>
      <c r="D137" s="184" t="s">
        <v>969</v>
      </c>
      <c r="E137" s="186">
        <v>470.0</v>
      </c>
      <c r="F137" s="186" t="s">
        <v>559</v>
      </c>
      <c r="G137" s="165">
        <v>1360.0</v>
      </c>
      <c r="H137" s="166">
        <v>1280.0</v>
      </c>
      <c r="I137" s="188">
        <v>79.7</v>
      </c>
      <c r="J137" s="235">
        <v>12.6</v>
      </c>
      <c r="K137" s="236">
        <v>12.5</v>
      </c>
      <c r="L137" s="163">
        <v>0.0539</v>
      </c>
      <c r="M137" s="235">
        <v>9.57</v>
      </c>
      <c r="N137" s="236">
        <v>9.57</v>
      </c>
      <c r="O137" s="163">
        <v>8.36E-4</v>
      </c>
      <c r="P137" s="235">
        <v>2.99</v>
      </c>
      <c r="Q137" s="220">
        <v>2.94</v>
      </c>
      <c r="R137" s="163">
        <v>0.0531</v>
      </c>
      <c r="S137" s="189">
        <v>0.523</v>
      </c>
      <c r="T137" s="163">
        <v>0.412</v>
      </c>
      <c r="U137" s="163">
        <v>0.111</v>
      </c>
      <c r="V137" s="221" t="s">
        <v>970</v>
      </c>
      <c r="W137" s="91"/>
      <c r="X137" s="91"/>
      <c r="Y137" s="91"/>
      <c r="Z137" s="91"/>
      <c r="AA137" s="91"/>
      <c r="AB137" s="91"/>
      <c r="AC137" s="91"/>
      <c r="AD137" s="91"/>
      <c r="AE137" s="91"/>
      <c r="AF137" s="91"/>
    </row>
    <row r="138" ht="12.75" customHeight="1">
      <c r="A138" s="182" t="s">
        <v>971</v>
      </c>
      <c r="B138" s="184" t="s">
        <v>972</v>
      </c>
      <c r="C138" s="183" t="s">
        <v>973</v>
      </c>
      <c r="D138" s="184" t="s">
        <v>974</v>
      </c>
      <c r="E138" s="186">
        <v>470.0</v>
      </c>
      <c r="F138" s="186" t="s">
        <v>559</v>
      </c>
      <c r="G138" s="165">
        <v>1040.0</v>
      </c>
      <c r="H138" s="166">
        <v>953.0</v>
      </c>
      <c r="I138" s="188">
        <v>86.9</v>
      </c>
      <c r="J138" s="235">
        <v>11.1</v>
      </c>
      <c r="K138" s="236">
        <v>11.1</v>
      </c>
      <c r="L138" s="163">
        <v>0.0588</v>
      </c>
      <c r="M138" s="235">
        <v>8.7</v>
      </c>
      <c r="N138" s="236">
        <v>8.7</v>
      </c>
      <c r="O138" s="163">
        <v>9.12E-4</v>
      </c>
      <c r="P138" s="219">
        <v>2.45</v>
      </c>
      <c r="Q138" s="220">
        <v>2.39</v>
      </c>
      <c r="R138" s="163">
        <v>0.0579</v>
      </c>
      <c r="S138" s="189">
        <v>0.485</v>
      </c>
      <c r="T138" s="163">
        <v>0.365</v>
      </c>
      <c r="U138" s="163">
        <v>0.121</v>
      </c>
      <c r="V138" s="221" t="s">
        <v>975</v>
      </c>
      <c r="W138" s="91"/>
      <c r="X138" s="91"/>
      <c r="Y138" s="91"/>
      <c r="Z138" s="91"/>
      <c r="AA138" s="91"/>
      <c r="AB138" s="91"/>
      <c r="AC138" s="91"/>
      <c r="AD138" s="91"/>
      <c r="AE138" s="91"/>
      <c r="AF138" s="91"/>
    </row>
    <row r="139" ht="12.75" customHeight="1" outlineLevel="1">
      <c r="A139" s="200" t="s">
        <v>976</v>
      </c>
      <c r="B139" s="201" t="s">
        <v>977</v>
      </c>
      <c r="C139" s="201" t="s">
        <v>973</v>
      </c>
      <c r="D139" s="201" t="s">
        <v>974</v>
      </c>
      <c r="E139" s="203">
        <v>470.0</v>
      </c>
      <c r="F139" s="204" t="s">
        <v>559</v>
      </c>
      <c r="G139" s="205">
        <v>1010.0</v>
      </c>
      <c r="H139" s="203">
        <v>921.0</v>
      </c>
      <c r="I139" s="203">
        <v>86.9</v>
      </c>
      <c r="J139" s="206">
        <v>10.9</v>
      </c>
      <c r="K139" s="207">
        <v>10.9</v>
      </c>
      <c r="L139" s="208">
        <v>0.0588</v>
      </c>
      <c r="M139" s="206">
        <v>8.56</v>
      </c>
      <c r="N139" s="207">
        <v>8.56</v>
      </c>
      <c r="O139" s="208">
        <v>9.12E-4</v>
      </c>
      <c r="P139" s="206">
        <v>2.36</v>
      </c>
      <c r="Q139" s="207">
        <v>2.31</v>
      </c>
      <c r="R139" s="208">
        <v>0.0579</v>
      </c>
      <c r="S139" s="209">
        <v>0.435</v>
      </c>
      <c r="T139" s="208">
        <v>0.315</v>
      </c>
      <c r="U139" s="210">
        <v>0.121</v>
      </c>
      <c r="V139" s="245" t="s">
        <v>978</v>
      </c>
      <c r="W139" s="170"/>
      <c r="X139" s="170"/>
      <c r="Y139" s="170"/>
      <c r="Z139" s="170"/>
      <c r="AA139" s="170"/>
      <c r="AB139" s="170"/>
      <c r="AC139" s="170"/>
      <c r="AD139" s="170"/>
      <c r="AE139" s="170"/>
      <c r="AF139" s="170"/>
    </row>
    <row r="140" ht="12.75" customHeight="1">
      <c r="A140" s="182" t="s">
        <v>979</v>
      </c>
      <c r="B140" s="184" t="s">
        <v>980</v>
      </c>
      <c r="C140" s="183" t="s">
        <v>973</v>
      </c>
      <c r="D140" s="184" t="s">
        <v>974</v>
      </c>
      <c r="E140" s="186">
        <v>470.0</v>
      </c>
      <c r="F140" s="186" t="s">
        <v>559</v>
      </c>
      <c r="G140" s="165">
        <v>995.0</v>
      </c>
      <c r="H140" s="166">
        <v>908.0</v>
      </c>
      <c r="I140" s="188">
        <v>86.9</v>
      </c>
      <c r="J140" s="235">
        <v>10.9</v>
      </c>
      <c r="K140" s="236">
        <v>10.9</v>
      </c>
      <c r="L140" s="163">
        <v>0.0588</v>
      </c>
      <c r="M140" s="235">
        <v>8.7</v>
      </c>
      <c r="N140" s="236">
        <v>8.7</v>
      </c>
      <c r="O140" s="163">
        <v>9.12E-4</v>
      </c>
      <c r="P140" s="219">
        <v>2.24</v>
      </c>
      <c r="Q140" s="220">
        <v>2.18</v>
      </c>
      <c r="R140" s="163">
        <v>0.0579</v>
      </c>
      <c r="S140" s="189">
        <v>0.446</v>
      </c>
      <c r="T140" s="163">
        <v>0.326</v>
      </c>
      <c r="U140" s="163">
        <v>0.121</v>
      </c>
      <c r="V140" s="221" t="s">
        <v>981</v>
      </c>
      <c r="W140" s="91"/>
      <c r="X140" s="91"/>
      <c r="Y140" s="91"/>
      <c r="Z140" s="91"/>
      <c r="AA140" s="91"/>
      <c r="AB140" s="91"/>
      <c r="AC140" s="91"/>
      <c r="AD140" s="91"/>
      <c r="AE140" s="91"/>
      <c r="AF140" s="91"/>
    </row>
    <row r="141" ht="12.75" customHeight="1" outlineLevel="1">
      <c r="A141" s="200" t="s">
        <v>982</v>
      </c>
      <c r="B141" s="201" t="s">
        <v>983</v>
      </c>
      <c r="C141" s="201" t="s">
        <v>973</v>
      </c>
      <c r="D141" s="201" t="s">
        <v>974</v>
      </c>
      <c r="E141" s="203">
        <v>470.0</v>
      </c>
      <c r="F141" s="204" t="s">
        <v>559</v>
      </c>
      <c r="G141" s="205">
        <v>963.0</v>
      </c>
      <c r="H141" s="203">
        <v>876.0</v>
      </c>
      <c r="I141" s="203">
        <v>86.9</v>
      </c>
      <c r="J141" s="206">
        <v>10.7</v>
      </c>
      <c r="K141" s="207">
        <v>10.7</v>
      </c>
      <c r="L141" s="208">
        <v>0.0588</v>
      </c>
      <c r="M141" s="206">
        <v>8.56</v>
      </c>
      <c r="N141" s="207">
        <v>8.56</v>
      </c>
      <c r="O141" s="208">
        <v>9.12E-4</v>
      </c>
      <c r="P141" s="206">
        <v>2.16</v>
      </c>
      <c r="Q141" s="207">
        <v>2.1</v>
      </c>
      <c r="R141" s="208">
        <v>0.0579</v>
      </c>
      <c r="S141" s="209">
        <v>0.397</v>
      </c>
      <c r="T141" s="208">
        <v>0.276</v>
      </c>
      <c r="U141" s="210">
        <v>0.121</v>
      </c>
      <c r="V141" s="245" t="s">
        <v>984</v>
      </c>
      <c r="W141" s="170"/>
      <c r="X141" s="170"/>
      <c r="Y141" s="170"/>
      <c r="Z141" s="170"/>
      <c r="AA141" s="170"/>
      <c r="AB141" s="170"/>
      <c r="AC141" s="170"/>
      <c r="AD141" s="170"/>
      <c r="AE141" s="170"/>
      <c r="AF141" s="170"/>
    </row>
    <row r="142" ht="12.75" customHeight="1">
      <c r="A142" s="182" t="s">
        <v>985</v>
      </c>
      <c r="B142" s="184" t="s">
        <v>986</v>
      </c>
      <c r="C142" s="183" t="s">
        <v>987</v>
      </c>
      <c r="D142" s="184" t="s">
        <v>988</v>
      </c>
      <c r="E142" s="164">
        <v>955.0</v>
      </c>
      <c r="F142" s="186" t="s">
        <v>559</v>
      </c>
      <c r="G142" s="165">
        <v>1310.0</v>
      </c>
      <c r="H142" s="166">
        <v>1220.0</v>
      </c>
      <c r="I142" s="188">
        <v>91.1</v>
      </c>
      <c r="J142" s="235">
        <v>11.2</v>
      </c>
      <c r="K142" s="236">
        <v>11.2</v>
      </c>
      <c r="L142" s="163">
        <v>0.0616</v>
      </c>
      <c r="M142" s="235">
        <v>7.03</v>
      </c>
      <c r="N142" s="236">
        <v>7.03</v>
      </c>
      <c r="O142" s="163">
        <v>9.55E-4</v>
      </c>
      <c r="P142" s="235">
        <v>4.2</v>
      </c>
      <c r="Q142" s="236">
        <v>4.14</v>
      </c>
      <c r="R142" s="163">
        <v>0.0607</v>
      </c>
      <c r="S142" s="189">
        <v>1.16</v>
      </c>
      <c r="T142" s="163">
        <v>1.04</v>
      </c>
      <c r="U142" s="163">
        <v>0.126</v>
      </c>
      <c r="V142" s="221" t="s">
        <v>989</v>
      </c>
      <c r="W142" s="91"/>
      <c r="X142" s="91"/>
      <c r="Y142" s="91"/>
      <c r="Z142" s="91"/>
      <c r="AA142" s="91"/>
      <c r="AB142" s="91"/>
      <c r="AC142" s="91"/>
      <c r="AD142" s="91"/>
      <c r="AE142" s="91"/>
      <c r="AF142" s="91"/>
    </row>
    <row r="143" ht="12.75" customHeight="1">
      <c r="A143" s="182" t="s">
        <v>990</v>
      </c>
      <c r="B143" s="184" t="s">
        <v>991</v>
      </c>
      <c r="C143" s="183" t="s">
        <v>992</v>
      </c>
      <c r="D143" s="184" t="s">
        <v>993</v>
      </c>
      <c r="E143" s="186">
        <v>400.0</v>
      </c>
      <c r="F143" s="186" t="s">
        <v>559</v>
      </c>
      <c r="G143" s="165">
        <v>561.0</v>
      </c>
      <c r="H143" s="166">
        <v>508.0</v>
      </c>
      <c r="I143" s="188">
        <v>52.8</v>
      </c>
      <c r="J143" s="235">
        <v>3.36</v>
      </c>
      <c r="K143" s="236">
        <v>3.28</v>
      </c>
      <c r="L143" s="163">
        <v>0.0777</v>
      </c>
      <c r="M143" s="235">
        <v>2.02</v>
      </c>
      <c r="N143" s="236">
        <v>2.02</v>
      </c>
      <c r="O143" s="163">
        <v>0.00115</v>
      </c>
      <c r="P143" s="219">
        <v>1.34</v>
      </c>
      <c r="Q143" s="220">
        <v>1.26</v>
      </c>
      <c r="R143" s="163">
        <v>0.0766</v>
      </c>
      <c r="S143" s="189">
        <v>0.554</v>
      </c>
      <c r="T143" s="163">
        <v>0.537</v>
      </c>
      <c r="U143" s="191">
        <v>0.0173</v>
      </c>
      <c r="V143" s="221" t="s">
        <v>994</v>
      </c>
      <c r="W143" s="91"/>
      <c r="X143" s="91"/>
      <c r="Y143" s="91"/>
      <c r="Z143" s="91"/>
      <c r="AA143" s="91"/>
      <c r="AB143" s="91"/>
      <c r="AC143" s="91"/>
      <c r="AD143" s="91"/>
      <c r="AE143" s="91"/>
      <c r="AF143" s="91"/>
    </row>
    <row r="144" ht="12.75" customHeight="1">
      <c r="A144" s="182" t="s">
        <v>995</v>
      </c>
      <c r="B144" s="184" t="s">
        <v>996</v>
      </c>
      <c r="C144" s="183" t="s">
        <v>997</v>
      </c>
      <c r="D144" s="184" t="s">
        <v>998</v>
      </c>
      <c r="E144" s="164">
        <v>675.0</v>
      </c>
      <c r="F144" s="186" t="s">
        <v>559</v>
      </c>
      <c r="G144" s="165">
        <v>420.0</v>
      </c>
      <c r="H144" s="166">
        <v>393.0</v>
      </c>
      <c r="I144" s="188">
        <v>27.0</v>
      </c>
      <c r="J144" s="235">
        <v>7.01</v>
      </c>
      <c r="K144" s="236">
        <v>6.97</v>
      </c>
      <c r="L144" s="163">
        <v>0.0348</v>
      </c>
      <c r="M144" s="235">
        <v>6.32</v>
      </c>
      <c r="N144" s="236">
        <v>6.32</v>
      </c>
      <c r="O144" s="163">
        <v>5.61E-4</v>
      </c>
      <c r="P144" s="219">
        <v>0.685</v>
      </c>
      <c r="Q144" s="220">
        <v>0.651</v>
      </c>
      <c r="R144" s="163">
        <v>0.0342</v>
      </c>
      <c r="S144" s="189">
        <v>0.126</v>
      </c>
      <c r="T144" s="163">
        <v>0.116</v>
      </c>
      <c r="U144" s="191">
        <v>0.0101</v>
      </c>
      <c r="V144" s="221" t="s">
        <v>999</v>
      </c>
      <c r="W144" s="91"/>
      <c r="X144" s="91"/>
      <c r="Y144" s="91"/>
      <c r="Z144" s="91"/>
      <c r="AA144" s="91"/>
      <c r="AB144" s="91"/>
      <c r="AC144" s="91"/>
      <c r="AD144" s="91"/>
      <c r="AE144" s="91"/>
      <c r="AF144" s="91"/>
    </row>
    <row r="145" ht="12.75" customHeight="1" outlineLevel="1">
      <c r="A145" s="200" t="s">
        <v>1000</v>
      </c>
      <c r="B145" s="201" t="s">
        <v>1001</v>
      </c>
      <c r="C145" s="201" t="s">
        <v>997</v>
      </c>
      <c r="D145" s="201" t="s">
        <v>998</v>
      </c>
      <c r="E145" s="203">
        <v>675.0</v>
      </c>
      <c r="F145" s="204" t="s">
        <v>559</v>
      </c>
      <c r="G145" s="205">
        <v>399.0</v>
      </c>
      <c r="H145" s="203">
        <v>372.0</v>
      </c>
      <c r="I145" s="203">
        <v>27.0</v>
      </c>
      <c r="J145" s="206">
        <v>7.04</v>
      </c>
      <c r="K145" s="207">
        <v>7.01</v>
      </c>
      <c r="L145" s="208">
        <v>0.0348</v>
      </c>
      <c r="M145" s="206">
        <v>6.45</v>
      </c>
      <c r="N145" s="207">
        <v>6.45</v>
      </c>
      <c r="O145" s="208">
        <v>5.61E-4</v>
      </c>
      <c r="P145" s="206">
        <v>0.594</v>
      </c>
      <c r="Q145" s="207">
        <v>0.56</v>
      </c>
      <c r="R145" s="208">
        <v>0.0342</v>
      </c>
      <c r="S145" s="209">
        <v>0.0915</v>
      </c>
      <c r="T145" s="208">
        <v>0.0814</v>
      </c>
      <c r="U145" s="210">
        <v>0.0101</v>
      </c>
      <c r="V145" s="245" t="s">
        <v>1002</v>
      </c>
      <c r="W145" s="170"/>
      <c r="X145" s="170"/>
      <c r="Y145" s="170"/>
      <c r="Z145" s="170"/>
      <c r="AA145" s="170"/>
      <c r="AB145" s="170"/>
      <c r="AC145" s="170"/>
      <c r="AD145" s="170"/>
      <c r="AE145" s="170"/>
      <c r="AF145" s="170"/>
    </row>
    <row r="146" ht="12.75" customHeight="1">
      <c r="A146" s="182" t="s">
        <v>1003</v>
      </c>
      <c r="B146" s="184" t="s">
        <v>1004</v>
      </c>
      <c r="C146" s="183" t="s">
        <v>997</v>
      </c>
      <c r="D146" s="184" t="s">
        <v>998</v>
      </c>
      <c r="E146" s="164">
        <v>675.0</v>
      </c>
      <c r="F146" s="186" t="s">
        <v>559</v>
      </c>
      <c r="G146" s="165">
        <v>379.0</v>
      </c>
      <c r="H146" s="166">
        <v>352.0</v>
      </c>
      <c r="I146" s="188">
        <v>27.0</v>
      </c>
      <c r="J146" s="235">
        <v>6.8</v>
      </c>
      <c r="K146" s="236">
        <v>6.77</v>
      </c>
      <c r="L146" s="163">
        <v>0.0348</v>
      </c>
      <c r="M146" s="235">
        <v>6.22</v>
      </c>
      <c r="N146" s="236">
        <v>6.22</v>
      </c>
      <c r="O146" s="163">
        <v>5.61E-4</v>
      </c>
      <c r="P146" s="219">
        <v>0.578</v>
      </c>
      <c r="Q146" s="220">
        <v>0.544</v>
      </c>
      <c r="R146" s="163">
        <v>0.0342</v>
      </c>
      <c r="S146" s="189">
        <v>0.109</v>
      </c>
      <c r="T146" s="163">
        <v>0.099</v>
      </c>
      <c r="U146" s="191">
        <v>0.0101</v>
      </c>
      <c r="V146" s="221" t="s">
        <v>1005</v>
      </c>
      <c r="W146" s="91"/>
      <c r="X146" s="91"/>
      <c r="Y146" s="91"/>
      <c r="Z146" s="91"/>
      <c r="AA146" s="91"/>
      <c r="AB146" s="91"/>
      <c r="AC146" s="91"/>
      <c r="AD146" s="91"/>
      <c r="AE146" s="91"/>
      <c r="AF146" s="91"/>
    </row>
    <row r="147" ht="12.75" customHeight="1" outlineLevel="1">
      <c r="A147" s="200" t="s">
        <v>1006</v>
      </c>
      <c r="B147" s="201" t="s">
        <v>1007</v>
      </c>
      <c r="C147" s="201" t="s">
        <v>997</v>
      </c>
      <c r="D147" s="201" t="s">
        <v>998</v>
      </c>
      <c r="E147" s="203">
        <v>675.0</v>
      </c>
      <c r="F147" s="204" t="s">
        <v>559</v>
      </c>
      <c r="G147" s="205">
        <v>360.0</v>
      </c>
      <c r="H147" s="203">
        <v>333.0</v>
      </c>
      <c r="I147" s="203">
        <v>27.0</v>
      </c>
      <c r="J147" s="206">
        <v>6.83</v>
      </c>
      <c r="K147" s="207">
        <v>6.79</v>
      </c>
      <c r="L147" s="208">
        <v>0.0348</v>
      </c>
      <c r="M147" s="206">
        <v>6.34</v>
      </c>
      <c r="N147" s="207">
        <v>6.34</v>
      </c>
      <c r="O147" s="208">
        <v>5.61E-4</v>
      </c>
      <c r="P147" s="206">
        <v>0.491</v>
      </c>
      <c r="Q147" s="207">
        <v>0.457</v>
      </c>
      <c r="R147" s="208">
        <v>0.0342</v>
      </c>
      <c r="S147" s="209">
        <v>0.0792</v>
      </c>
      <c r="T147" s="208">
        <v>0.0691</v>
      </c>
      <c r="U147" s="210">
        <v>0.0101</v>
      </c>
      <c r="V147" s="245" t="s">
        <v>1008</v>
      </c>
      <c r="W147" s="170"/>
      <c r="X147" s="170"/>
      <c r="Y147" s="170"/>
      <c r="Z147" s="170"/>
      <c r="AA147" s="170"/>
      <c r="AB147" s="170"/>
      <c r="AC147" s="170"/>
      <c r="AD147" s="170"/>
      <c r="AE147" s="170"/>
      <c r="AF147" s="170"/>
    </row>
    <row r="148" ht="12.75" customHeight="1">
      <c r="A148" s="182" t="s">
        <v>1009</v>
      </c>
      <c r="B148" s="184" t="s">
        <v>1010</v>
      </c>
      <c r="C148" s="183" t="s">
        <v>1011</v>
      </c>
      <c r="D148" s="184" t="s">
        <v>1012</v>
      </c>
      <c r="E148" s="164">
        <v>705.0</v>
      </c>
      <c r="F148" s="186" t="s">
        <v>559</v>
      </c>
      <c r="G148" s="165">
        <v>311.0</v>
      </c>
      <c r="H148" s="166">
        <v>286.0</v>
      </c>
      <c r="I148" s="188">
        <v>24.7</v>
      </c>
      <c r="J148" s="235">
        <v>5.87</v>
      </c>
      <c r="K148" s="236">
        <v>5.83</v>
      </c>
      <c r="L148" s="191">
        <v>0.0319</v>
      </c>
      <c r="M148" s="235">
        <v>5.39</v>
      </c>
      <c r="N148" s="236">
        <v>5.39</v>
      </c>
      <c r="O148" s="191">
        <v>5.15E-4</v>
      </c>
      <c r="P148" s="219">
        <v>0.475</v>
      </c>
      <c r="Q148" s="220">
        <v>0.443</v>
      </c>
      <c r="R148" s="163">
        <v>0.0314</v>
      </c>
      <c r="S148" s="190">
        <v>0.0932</v>
      </c>
      <c r="T148" s="191">
        <v>0.0839</v>
      </c>
      <c r="U148" s="192">
        <v>0.00926</v>
      </c>
      <c r="V148" s="221" t="s">
        <v>1013</v>
      </c>
      <c r="W148" s="91"/>
      <c r="X148" s="91"/>
      <c r="Y148" s="91"/>
      <c r="Z148" s="91"/>
      <c r="AA148" s="91"/>
      <c r="AB148" s="91"/>
      <c r="AC148" s="91"/>
      <c r="AD148" s="91"/>
      <c r="AE148" s="91"/>
      <c r="AF148" s="91"/>
    </row>
    <row r="149" ht="12.75" customHeight="1" outlineLevel="1">
      <c r="A149" s="200" t="s">
        <v>1014</v>
      </c>
      <c r="B149" s="201" t="s">
        <v>1015</v>
      </c>
      <c r="C149" s="201" t="s">
        <v>1011</v>
      </c>
      <c r="D149" s="201" t="s">
        <v>1012</v>
      </c>
      <c r="E149" s="203">
        <v>705.0</v>
      </c>
      <c r="F149" s="204" t="s">
        <v>559</v>
      </c>
      <c r="G149" s="205">
        <v>292.0</v>
      </c>
      <c r="H149" s="203">
        <v>267.0</v>
      </c>
      <c r="I149" s="203">
        <v>24.7</v>
      </c>
      <c r="J149" s="206">
        <v>5.88</v>
      </c>
      <c r="K149" s="207">
        <v>5.85</v>
      </c>
      <c r="L149" s="208">
        <v>0.0319</v>
      </c>
      <c r="M149" s="206">
        <v>5.49</v>
      </c>
      <c r="N149" s="207">
        <v>5.49</v>
      </c>
      <c r="O149" s="208">
        <v>5.15E-4</v>
      </c>
      <c r="P149" s="206">
        <v>0.391</v>
      </c>
      <c r="Q149" s="207">
        <v>0.359</v>
      </c>
      <c r="R149" s="208">
        <v>0.0314</v>
      </c>
      <c r="S149" s="209">
        <v>0.0677</v>
      </c>
      <c r="T149" s="208">
        <v>0.0584</v>
      </c>
      <c r="U149" s="210">
        <v>0.00926</v>
      </c>
      <c r="V149" s="245" t="s">
        <v>1016</v>
      </c>
      <c r="W149" s="170"/>
      <c r="X149" s="170"/>
      <c r="Y149" s="170"/>
      <c r="Z149" s="170"/>
      <c r="AA149" s="170"/>
      <c r="AB149" s="170"/>
      <c r="AC149" s="170"/>
      <c r="AD149" s="170"/>
      <c r="AE149" s="170"/>
      <c r="AF149" s="170"/>
    </row>
    <row r="150" ht="12.75" customHeight="1">
      <c r="A150" s="182" t="s">
        <v>1017</v>
      </c>
      <c r="B150" s="184" t="s">
        <v>1018</v>
      </c>
      <c r="C150" s="183" t="s">
        <v>1019</v>
      </c>
      <c r="D150" s="184" t="s">
        <v>1020</v>
      </c>
      <c r="E150" s="164">
        <v>465.0</v>
      </c>
      <c r="F150" s="186" t="s">
        <v>559</v>
      </c>
      <c r="G150" s="165">
        <v>502.0</v>
      </c>
      <c r="H150" s="166">
        <v>475.0</v>
      </c>
      <c r="I150" s="188">
        <v>27.0</v>
      </c>
      <c r="J150" s="235">
        <v>7.47</v>
      </c>
      <c r="K150" s="236">
        <v>7.44</v>
      </c>
      <c r="L150" s="163">
        <v>0.0348</v>
      </c>
      <c r="M150" s="235">
        <v>6.66</v>
      </c>
      <c r="N150" s="236">
        <v>6.66</v>
      </c>
      <c r="O150" s="163">
        <v>5.61E-4</v>
      </c>
      <c r="P150" s="219">
        <v>0.812</v>
      </c>
      <c r="Q150" s="220">
        <v>0.778</v>
      </c>
      <c r="R150" s="163">
        <v>0.0342</v>
      </c>
      <c r="S150" s="189">
        <v>0.143</v>
      </c>
      <c r="T150" s="163">
        <v>0.133</v>
      </c>
      <c r="U150" s="191">
        <v>0.0101</v>
      </c>
      <c r="V150" s="221" t="s">
        <v>1021</v>
      </c>
      <c r="W150" s="91"/>
      <c r="X150" s="91"/>
      <c r="Y150" s="91"/>
      <c r="Z150" s="91"/>
      <c r="AA150" s="91"/>
      <c r="AB150" s="91"/>
      <c r="AC150" s="91"/>
      <c r="AD150" s="91"/>
      <c r="AE150" s="91"/>
      <c r="AF150" s="91"/>
    </row>
    <row r="151" ht="25.5" customHeight="1" outlineLevel="1">
      <c r="A151" s="200" t="s">
        <v>1022</v>
      </c>
      <c r="B151" s="201" t="s">
        <v>1023</v>
      </c>
      <c r="C151" s="201" t="s">
        <v>1019</v>
      </c>
      <c r="D151" s="201" t="s">
        <v>1020</v>
      </c>
      <c r="E151" s="203">
        <v>465.0</v>
      </c>
      <c r="F151" s="204" t="s">
        <v>559</v>
      </c>
      <c r="G151" s="205">
        <v>484.0</v>
      </c>
      <c r="H151" s="203">
        <v>457.0</v>
      </c>
      <c r="I151" s="203">
        <v>27.0</v>
      </c>
      <c r="J151" s="206">
        <v>7.3</v>
      </c>
      <c r="K151" s="207">
        <v>7.27</v>
      </c>
      <c r="L151" s="208">
        <v>0.0348</v>
      </c>
      <c r="M151" s="206">
        <v>6.54</v>
      </c>
      <c r="N151" s="207">
        <v>6.54</v>
      </c>
      <c r="O151" s="208">
        <v>5.61E-4</v>
      </c>
      <c r="P151" s="206">
        <v>0.76</v>
      </c>
      <c r="Q151" s="207">
        <v>0.726</v>
      </c>
      <c r="R151" s="208">
        <v>0.0342</v>
      </c>
      <c r="S151" s="209">
        <v>0.121</v>
      </c>
      <c r="T151" s="208">
        <v>0.111</v>
      </c>
      <c r="U151" s="210">
        <v>0.0101</v>
      </c>
      <c r="V151" s="245" t="s">
        <v>1024</v>
      </c>
      <c r="W151" s="170"/>
      <c r="X151" s="170"/>
      <c r="Y151" s="170"/>
      <c r="Z151" s="170"/>
      <c r="AA151" s="170"/>
      <c r="AB151" s="170"/>
      <c r="AC151" s="170"/>
      <c r="AD151" s="170"/>
      <c r="AE151" s="170"/>
      <c r="AF151" s="170"/>
    </row>
    <row r="152" ht="25.5" customHeight="1" outlineLevel="1">
      <c r="A152" s="200" t="s">
        <v>1025</v>
      </c>
      <c r="B152" s="201" t="s">
        <v>1026</v>
      </c>
      <c r="C152" s="201" t="s">
        <v>1027</v>
      </c>
      <c r="D152" s="201" t="s">
        <v>1028</v>
      </c>
      <c r="E152" s="203">
        <v>420.0</v>
      </c>
      <c r="F152" s="204" t="s">
        <v>559</v>
      </c>
      <c r="G152" s="205">
        <v>531.0</v>
      </c>
      <c r="H152" s="203">
        <v>504.0</v>
      </c>
      <c r="I152" s="203">
        <v>27.0</v>
      </c>
      <c r="J152" s="206">
        <v>10.5</v>
      </c>
      <c r="K152" s="207">
        <v>10.4</v>
      </c>
      <c r="L152" s="208">
        <v>0.0348</v>
      </c>
      <c r="M152" s="206">
        <v>10.0</v>
      </c>
      <c r="N152" s="207">
        <v>10.0</v>
      </c>
      <c r="O152" s="208">
        <v>5.61E-4</v>
      </c>
      <c r="P152" s="206">
        <v>0.467</v>
      </c>
      <c r="Q152" s="207">
        <v>0.433</v>
      </c>
      <c r="R152" s="208">
        <v>0.0342</v>
      </c>
      <c r="S152" s="209">
        <v>0.106</v>
      </c>
      <c r="T152" s="208">
        <v>0.0957</v>
      </c>
      <c r="U152" s="210">
        <v>0.0101</v>
      </c>
      <c r="V152" s="245" t="s">
        <v>1029</v>
      </c>
      <c r="W152" s="170"/>
      <c r="X152" s="170"/>
      <c r="Y152" s="170"/>
      <c r="Z152" s="170"/>
      <c r="AA152" s="170"/>
      <c r="AB152" s="170"/>
      <c r="AC152" s="170"/>
      <c r="AD152" s="170"/>
      <c r="AE152" s="170"/>
      <c r="AF152" s="170"/>
    </row>
    <row r="153" ht="12.75" customHeight="1">
      <c r="A153" s="182" t="s">
        <v>1030</v>
      </c>
      <c r="B153" s="184" t="s">
        <v>1031</v>
      </c>
      <c r="C153" s="183" t="s">
        <v>1032</v>
      </c>
      <c r="D153" s="184" t="s">
        <v>1033</v>
      </c>
      <c r="E153" s="164">
        <v>485.0</v>
      </c>
      <c r="F153" s="186" t="s">
        <v>559</v>
      </c>
      <c r="G153" s="165">
        <v>424.0</v>
      </c>
      <c r="H153" s="166">
        <v>399.0</v>
      </c>
      <c r="I153" s="188">
        <v>24.7</v>
      </c>
      <c r="J153" s="235">
        <v>6.47</v>
      </c>
      <c r="K153" s="236">
        <v>6.44</v>
      </c>
      <c r="L153" s="191">
        <v>0.0319</v>
      </c>
      <c r="M153" s="235">
        <v>5.78</v>
      </c>
      <c r="N153" s="236">
        <v>5.78</v>
      </c>
      <c r="O153" s="191">
        <v>5.15E-4</v>
      </c>
      <c r="P153" s="219">
        <v>0.69</v>
      </c>
      <c r="Q153" s="220">
        <v>0.659</v>
      </c>
      <c r="R153" s="191">
        <v>0.0314</v>
      </c>
      <c r="S153" s="189">
        <v>0.125</v>
      </c>
      <c r="T153" s="163">
        <v>0.116</v>
      </c>
      <c r="U153" s="192">
        <v>0.00926</v>
      </c>
      <c r="V153" s="221" t="s">
        <v>1034</v>
      </c>
      <c r="W153" s="91"/>
      <c r="X153" s="91"/>
      <c r="Y153" s="91"/>
      <c r="Z153" s="91"/>
      <c r="AA153" s="91"/>
      <c r="AB153" s="91"/>
      <c r="AC153" s="91"/>
      <c r="AD153" s="91"/>
      <c r="AE153" s="91"/>
      <c r="AF153" s="91"/>
    </row>
    <row r="154" ht="12.75" customHeight="1" outlineLevel="1">
      <c r="A154" s="200" t="s">
        <v>1035</v>
      </c>
      <c r="B154" s="201" t="s">
        <v>1036</v>
      </c>
      <c r="C154" s="201" t="s">
        <v>1032</v>
      </c>
      <c r="D154" s="201" t="s">
        <v>1033</v>
      </c>
      <c r="E154" s="203">
        <v>485.0</v>
      </c>
      <c r="F154" s="204" t="s">
        <v>559</v>
      </c>
      <c r="G154" s="205">
        <v>407.0</v>
      </c>
      <c r="H154" s="203">
        <v>383.0</v>
      </c>
      <c r="I154" s="203">
        <v>24.7</v>
      </c>
      <c r="J154" s="206">
        <v>6.31</v>
      </c>
      <c r="K154" s="207">
        <v>6.28</v>
      </c>
      <c r="L154" s="208">
        <v>0.0319</v>
      </c>
      <c r="M154" s="206">
        <v>5.67</v>
      </c>
      <c r="N154" s="207">
        <v>5.67</v>
      </c>
      <c r="O154" s="208">
        <v>5.15E-4</v>
      </c>
      <c r="P154" s="206">
        <v>0.641</v>
      </c>
      <c r="Q154" s="207">
        <v>0.61</v>
      </c>
      <c r="R154" s="208">
        <v>0.0314</v>
      </c>
      <c r="S154" s="209">
        <v>0.107</v>
      </c>
      <c r="T154" s="208">
        <v>0.0974</v>
      </c>
      <c r="U154" s="210">
        <v>0.00926</v>
      </c>
      <c r="V154" s="245" t="s">
        <v>1037</v>
      </c>
      <c r="W154" s="170"/>
      <c r="X154" s="170"/>
      <c r="Y154" s="170"/>
      <c r="Z154" s="170"/>
      <c r="AA154" s="170"/>
      <c r="AB154" s="170"/>
      <c r="AC154" s="170"/>
      <c r="AD154" s="170"/>
      <c r="AE154" s="170"/>
      <c r="AF154" s="170"/>
    </row>
    <row r="155" ht="12.75" customHeight="1">
      <c r="A155" s="182" t="s">
        <v>1038</v>
      </c>
      <c r="B155" s="184" t="s">
        <v>1039</v>
      </c>
      <c r="C155" s="183" t="s">
        <v>1032</v>
      </c>
      <c r="D155" s="184" t="s">
        <v>1033</v>
      </c>
      <c r="E155" s="164">
        <v>485.0</v>
      </c>
      <c r="F155" s="186" t="s">
        <v>559</v>
      </c>
      <c r="G155" s="165">
        <v>347.0</v>
      </c>
      <c r="H155" s="166">
        <v>322.0</v>
      </c>
      <c r="I155" s="188">
        <v>24.7</v>
      </c>
      <c r="J155" s="235">
        <v>6.01</v>
      </c>
      <c r="K155" s="236">
        <v>5.98</v>
      </c>
      <c r="L155" s="191">
        <v>0.0319</v>
      </c>
      <c r="M155" s="235">
        <v>5.51</v>
      </c>
      <c r="N155" s="236">
        <v>5.51</v>
      </c>
      <c r="O155" s="191">
        <v>5.15E-4</v>
      </c>
      <c r="P155" s="219">
        <v>0.504</v>
      </c>
      <c r="Q155" s="220">
        <v>0.473</v>
      </c>
      <c r="R155" s="191">
        <v>0.0314</v>
      </c>
      <c r="S155" s="190">
        <v>0.101</v>
      </c>
      <c r="T155" s="191">
        <v>0.0912</v>
      </c>
      <c r="U155" s="192">
        <v>0.00926</v>
      </c>
      <c r="V155" s="221" t="s">
        <v>1040</v>
      </c>
      <c r="W155" s="91"/>
      <c r="X155" s="91"/>
      <c r="Y155" s="91"/>
      <c r="Z155" s="91"/>
      <c r="AA155" s="91"/>
      <c r="AB155" s="91"/>
      <c r="AC155" s="91"/>
      <c r="AD155" s="91"/>
      <c r="AE155" s="91"/>
      <c r="AF155" s="91"/>
    </row>
    <row r="156" ht="12.75" customHeight="1" outlineLevel="1">
      <c r="A156" s="200" t="s">
        <v>1041</v>
      </c>
      <c r="B156" s="201" t="s">
        <v>1042</v>
      </c>
      <c r="C156" s="201" t="s">
        <v>1032</v>
      </c>
      <c r="D156" s="201" t="s">
        <v>1033</v>
      </c>
      <c r="E156" s="203">
        <v>485.0</v>
      </c>
      <c r="F156" s="204" t="s">
        <v>559</v>
      </c>
      <c r="G156" s="205">
        <v>333.0</v>
      </c>
      <c r="H156" s="203">
        <v>308.0</v>
      </c>
      <c r="I156" s="203">
        <v>24.7</v>
      </c>
      <c r="J156" s="206">
        <v>5.87</v>
      </c>
      <c r="K156" s="207">
        <v>5.83</v>
      </c>
      <c r="L156" s="208">
        <v>0.0319</v>
      </c>
      <c r="M156" s="206">
        <v>5.41</v>
      </c>
      <c r="N156" s="207">
        <v>5.41</v>
      </c>
      <c r="O156" s="208">
        <v>5.15E-4</v>
      </c>
      <c r="P156" s="206">
        <v>0.459</v>
      </c>
      <c r="Q156" s="207">
        <v>0.428</v>
      </c>
      <c r="R156" s="208">
        <v>0.0314</v>
      </c>
      <c r="S156" s="209">
        <v>0.0869</v>
      </c>
      <c r="T156" s="208">
        <v>0.0776</v>
      </c>
      <c r="U156" s="210">
        <v>0.00926</v>
      </c>
      <c r="V156" s="245" t="s">
        <v>1043</v>
      </c>
      <c r="W156" s="170"/>
      <c r="X156" s="170"/>
      <c r="Y156" s="170"/>
      <c r="Z156" s="170"/>
      <c r="AA156" s="170"/>
      <c r="AB156" s="170"/>
      <c r="AC156" s="170"/>
      <c r="AD156" s="170"/>
      <c r="AE156" s="170"/>
      <c r="AF156" s="170"/>
    </row>
    <row r="157" ht="12.75" customHeight="1">
      <c r="A157" s="182" t="s">
        <v>1044</v>
      </c>
      <c r="B157" s="184" t="s">
        <v>1045</v>
      </c>
      <c r="C157" s="183" t="s">
        <v>1046</v>
      </c>
      <c r="D157" s="184" t="s">
        <v>1047</v>
      </c>
      <c r="E157" s="164">
        <v>685.0</v>
      </c>
      <c r="F157" s="186" t="s">
        <v>559</v>
      </c>
      <c r="G157" s="165">
        <v>1170.0</v>
      </c>
      <c r="H157" s="166">
        <v>1080.0</v>
      </c>
      <c r="I157" s="188">
        <v>91.1</v>
      </c>
      <c r="J157" s="235">
        <v>10.7</v>
      </c>
      <c r="K157" s="236">
        <v>10.7</v>
      </c>
      <c r="L157" s="163">
        <v>0.0616</v>
      </c>
      <c r="M157" s="235">
        <v>5.85</v>
      </c>
      <c r="N157" s="236">
        <v>5.85</v>
      </c>
      <c r="O157" s="163">
        <v>9.55E-4</v>
      </c>
      <c r="P157" s="235">
        <v>4.88</v>
      </c>
      <c r="Q157" s="236">
        <v>4.82</v>
      </c>
      <c r="R157" s="163">
        <v>0.0607</v>
      </c>
      <c r="S157" s="189">
        <v>1.04</v>
      </c>
      <c r="T157" s="163">
        <v>0.91</v>
      </c>
      <c r="U157" s="163">
        <v>0.126</v>
      </c>
      <c r="V157" s="221" t="s">
        <v>1048</v>
      </c>
      <c r="W157" s="91"/>
      <c r="X157" s="91"/>
      <c r="Y157" s="91"/>
      <c r="Z157" s="91"/>
      <c r="AA157" s="91"/>
      <c r="AB157" s="91"/>
      <c r="AC157" s="91"/>
      <c r="AD157" s="91"/>
      <c r="AE157" s="91"/>
      <c r="AF157" s="91"/>
    </row>
    <row r="158" ht="12.75" customHeight="1">
      <c r="A158" s="182" t="s">
        <v>1049</v>
      </c>
      <c r="B158" s="184" t="s">
        <v>1050</v>
      </c>
      <c r="C158" s="183" t="s">
        <v>1051</v>
      </c>
      <c r="D158" s="184" t="s">
        <v>1052</v>
      </c>
      <c r="E158" s="164">
        <v>605.0</v>
      </c>
      <c r="F158" s="186" t="s">
        <v>559</v>
      </c>
      <c r="G158" s="165">
        <v>883.0</v>
      </c>
      <c r="H158" s="166">
        <v>792.0</v>
      </c>
      <c r="I158" s="188">
        <v>91.4</v>
      </c>
      <c r="J158" s="235">
        <v>11.0</v>
      </c>
      <c r="K158" s="236">
        <v>10.9</v>
      </c>
      <c r="L158" s="163">
        <v>0.0619</v>
      </c>
      <c r="M158" s="235">
        <v>8.24</v>
      </c>
      <c r="N158" s="236">
        <v>8.24</v>
      </c>
      <c r="O158" s="163">
        <v>9.59E-4</v>
      </c>
      <c r="P158" s="235">
        <v>2.76</v>
      </c>
      <c r="Q158" s="236">
        <v>2.7</v>
      </c>
      <c r="R158" s="163">
        <v>0.0609</v>
      </c>
      <c r="S158" s="189">
        <v>0.614</v>
      </c>
      <c r="T158" s="163">
        <v>0.487</v>
      </c>
      <c r="U158" s="163">
        <v>0.127</v>
      </c>
      <c r="V158" s="221" t="s">
        <v>1053</v>
      </c>
      <c r="W158" s="91"/>
      <c r="X158" s="91"/>
      <c r="Y158" s="91"/>
      <c r="Z158" s="91"/>
      <c r="AA158" s="91"/>
      <c r="AB158" s="91"/>
      <c r="AC158" s="91"/>
      <c r="AD158" s="91"/>
      <c r="AE158" s="91"/>
      <c r="AF158" s="91"/>
    </row>
    <row r="159" ht="12.75" customHeight="1">
      <c r="A159" s="182" t="s">
        <v>1054</v>
      </c>
      <c r="B159" s="184" t="s">
        <v>1055</v>
      </c>
      <c r="C159" s="183" t="s">
        <v>1051</v>
      </c>
      <c r="D159" s="184" t="s">
        <v>1052</v>
      </c>
      <c r="E159" s="164">
        <v>640.0</v>
      </c>
      <c r="F159" s="186" t="s">
        <v>559</v>
      </c>
      <c r="G159" s="165">
        <v>746.0</v>
      </c>
      <c r="H159" s="166">
        <v>654.0</v>
      </c>
      <c r="I159" s="188">
        <v>91.4</v>
      </c>
      <c r="J159" s="235">
        <v>7.33</v>
      </c>
      <c r="K159" s="236">
        <v>7.27</v>
      </c>
      <c r="L159" s="163">
        <v>0.0619</v>
      </c>
      <c r="M159" s="235">
        <v>4.36</v>
      </c>
      <c r="N159" s="236">
        <v>4.36</v>
      </c>
      <c r="O159" s="163">
        <v>9.59E-4</v>
      </c>
      <c r="P159" s="219">
        <v>2.97</v>
      </c>
      <c r="Q159" s="220">
        <v>2.91</v>
      </c>
      <c r="R159" s="163">
        <v>0.0609</v>
      </c>
      <c r="S159" s="189">
        <v>0.646</v>
      </c>
      <c r="T159" s="163">
        <v>0.519</v>
      </c>
      <c r="U159" s="163">
        <v>0.127</v>
      </c>
      <c r="V159" s="221" t="s">
        <v>1056</v>
      </c>
      <c r="W159" s="91"/>
      <c r="X159" s="91"/>
      <c r="Y159" s="91"/>
      <c r="Z159" s="91"/>
      <c r="AA159" s="91"/>
      <c r="AB159" s="91"/>
      <c r="AC159" s="91"/>
      <c r="AD159" s="91"/>
      <c r="AE159" s="91"/>
      <c r="AF159" s="91"/>
    </row>
    <row r="160" ht="12.75" customHeight="1">
      <c r="A160" s="182" t="s">
        <v>1057</v>
      </c>
      <c r="B160" s="184" t="s">
        <v>1058</v>
      </c>
      <c r="C160" s="183" t="s">
        <v>1059</v>
      </c>
      <c r="D160" s="184" t="s">
        <v>1060</v>
      </c>
      <c r="E160" s="164">
        <v>640.0</v>
      </c>
      <c r="F160" s="186" t="s">
        <v>559</v>
      </c>
      <c r="G160" s="165">
        <v>967.0</v>
      </c>
      <c r="H160" s="166">
        <v>876.0</v>
      </c>
      <c r="I160" s="188">
        <v>91.4</v>
      </c>
      <c r="J160" s="235">
        <v>8.87</v>
      </c>
      <c r="K160" s="236">
        <v>8.81</v>
      </c>
      <c r="L160" s="163">
        <v>0.0619</v>
      </c>
      <c r="M160" s="235">
        <v>4.68</v>
      </c>
      <c r="N160" s="236">
        <v>4.68</v>
      </c>
      <c r="O160" s="163">
        <v>9.59E-4</v>
      </c>
      <c r="P160" s="235">
        <v>4.19</v>
      </c>
      <c r="Q160" s="236">
        <v>4.13</v>
      </c>
      <c r="R160" s="163">
        <v>0.0609</v>
      </c>
      <c r="S160" s="189">
        <v>0.845</v>
      </c>
      <c r="T160" s="163">
        <v>0.718</v>
      </c>
      <c r="U160" s="163">
        <v>0.127</v>
      </c>
      <c r="V160" s="221" t="s">
        <v>1061</v>
      </c>
      <c r="W160" s="91"/>
      <c r="X160" s="91"/>
      <c r="Y160" s="91"/>
      <c r="Z160" s="91"/>
      <c r="AA160" s="91"/>
      <c r="AB160" s="91"/>
      <c r="AC160" s="91"/>
      <c r="AD160" s="91"/>
      <c r="AE160" s="91"/>
      <c r="AF160" s="91"/>
    </row>
    <row r="161" ht="12.75" customHeight="1">
      <c r="A161" s="182" t="s">
        <v>1062</v>
      </c>
      <c r="B161" s="184" t="s">
        <v>1063</v>
      </c>
      <c r="C161" s="183" t="s">
        <v>1059</v>
      </c>
      <c r="D161" s="184" t="s">
        <v>1060</v>
      </c>
      <c r="E161" s="164">
        <v>640.0</v>
      </c>
      <c r="F161" s="186" t="s">
        <v>559</v>
      </c>
      <c r="G161" s="165">
        <v>746.0</v>
      </c>
      <c r="H161" s="166">
        <v>654.0</v>
      </c>
      <c r="I161" s="188">
        <v>91.4</v>
      </c>
      <c r="J161" s="235">
        <v>7.33</v>
      </c>
      <c r="K161" s="236">
        <v>7.27</v>
      </c>
      <c r="L161" s="163">
        <v>0.0619</v>
      </c>
      <c r="M161" s="235">
        <v>4.36</v>
      </c>
      <c r="N161" s="236">
        <v>4.36</v>
      </c>
      <c r="O161" s="163">
        <v>9.59E-4</v>
      </c>
      <c r="P161" s="235">
        <v>2.97</v>
      </c>
      <c r="Q161" s="236">
        <v>2.91</v>
      </c>
      <c r="R161" s="163">
        <v>0.0609</v>
      </c>
      <c r="S161" s="189">
        <v>0.646</v>
      </c>
      <c r="T161" s="163">
        <v>0.519</v>
      </c>
      <c r="U161" s="163">
        <v>0.127</v>
      </c>
      <c r="V161" s="221" t="s">
        <v>1064</v>
      </c>
      <c r="W161" s="91"/>
      <c r="X161" s="91"/>
      <c r="Y161" s="91"/>
      <c r="Z161" s="91"/>
      <c r="AA161" s="91"/>
      <c r="AB161" s="91"/>
      <c r="AC161" s="91"/>
      <c r="AD161" s="91"/>
      <c r="AE161" s="91"/>
      <c r="AF161" s="91"/>
    </row>
    <row r="162" ht="12.75" customHeight="1">
      <c r="A162" s="182" t="s">
        <v>1065</v>
      </c>
      <c r="B162" s="184" t="s">
        <v>1066</v>
      </c>
      <c r="C162" s="183" t="s">
        <v>1067</v>
      </c>
      <c r="D162" s="184" t="s">
        <v>1068</v>
      </c>
      <c r="E162" s="186">
        <v>500.0</v>
      </c>
      <c r="F162" s="186" t="s">
        <v>559</v>
      </c>
      <c r="G162" s="165">
        <v>2180.0</v>
      </c>
      <c r="H162" s="166">
        <v>2100.0</v>
      </c>
      <c r="I162" s="188">
        <v>79.7</v>
      </c>
      <c r="J162" s="235">
        <v>17.5</v>
      </c>
      <c r="K162" s="236">
        <v>17.5</v>
      </c>
      <c r="L162" s="163">
        <v>0.0539</v>
      </c>
      <c r="M162" s="235">
        <v>10.3</v>
      </c>
      <c r="N162" s="236">
        <v>10.2</v>
      </c>
      <c r="O162" s="163">
        <v>8.36E-4</v>
      </c>
      <c r="P162" s="235">
        <v>7.28</v>
      </c>
      <c r="Q162" s="236">
        <v>7.23</v>
      </c>
      <c r="R162" s="163">
        <v>0.0531</v>
      </c>
      <c r="S162" s="219">
        <v>1.46</v>
      </c>
      <c r="T162" s="163">
        <v>1.35</v>
      </c>
      <c r="U162" s="163">
        <v>0.111</v>
      </c>
      <c r="V162" s="221" t="s">
        <v>1069</v>
      </c>
      <c r="W162" s="91"/>
      <c r="X162" s="91"/>
      <c r="Y162" s="91"/>
      <c r="Z162" s="91"/>
      <c r="AA162" s="91"/>
      <c r="AB162" s="91"/>
      <c r="AC162" s="91"/>
      <c r="AD162" s="91"/>
      <c r="AE162" s="91"/>
      <c r="AF162" s="91"/>
    </row>
    <row r="163" ht="12.75" customHeight="1">
      <c r="A163" s="182" t="s">
        <v>1070</v>
      </c>
      <c r="B163" s="184" t="s">
        <v>1071</v>
      </c>
      <c r="C163" s="183" t="s">
        <v>1067</v>
      </c>
      <c r="D163" s="184" t="s">
        <v>1068</v>
      </c>
      <c r="E163" s="186">
        <v>500.0</v>
      </c>
      <c r="F163" s="186" t="s">
        <v>559</v>
      </c>
      <c r="G163" s="165">
        <v>1860.0</v>
      </c>
      <c r="H163" s="166">
        <v>1780.0</v>
      </c>
      <c r="I163" s="188">
        <v>79.7</v>
      </c>
      <c r="J163" s="235">
        <v>16.1</v>
      </c>
      <c r="K163" s="236">
        <v>16.1</v>
      </c>
      <c r="L163" s="163">
        <v>0.0539</v>
      </c>
      <c r="M163" s="235">
        <v>10.2</v>
      </c>
      <c r="N163" s="236">
        <v>10.2</v>
      </c>
      <c r="O163" s="163">
        <v>8.36E-4</v>
      </c>
      <c r="P163" s="235">
        <v>5.94</v>
      </c>
      <c r="Q163" s="236">
        <v>5.88</v>
      </c>
      <c r="R163" s="163">
        <v>0.0531</v>
      </c>
      <c r="S163" s="219">
        <v>1.17</v>
      </c>
      <c r="T163" s="163">
        <v>1.06</v>
      </c>
      <c r="U163" s="163">
        <v>0.111</v>
      </c>
      <c r="V163" s="221" t="s">
        <v>1072</v>
      </c>
      <c r="W163" s="91"/>
      <c r="X163" s="91"/>
      <c r="Y163" s="91"/>
      <c r="Z163" s="91"/>
      <c r="AA163" s="91"/>
      <c r="AB163" s="91"/>
      <c r="AC163" s="91"/>
      <c r="AD163" s="91"/>
      <c r="AE163" s="91"/>
      <c r="AF163" s="91"/>
    </row>
    <row r="164" ht="12.75" customHeight="1">
      <c r="A164" s="214" t="s">
        <v>1073</v>
      </c>
      <c r="B164" s="177" t="s">
        <v>1074</v>
      </c>
      <c r="C164" s="176"/>
      <c r="D164" s="177"/>
      <c r="E164" s="178" t="s">
        <v>1075</v>
      </c>
      <c r="F164" s="179"/>
      <c r="G164" s="179"/>
      <c r="H164" s="179"/>
      <c r="I164" s="179"/>
      <c r="J164" s="247"/>
      <c r="K164" s="179"/>
      <c r="L164" s="247"/>
      <c r="M164" s="247"/>
      <c r="N164" s="179"/>
      <c r="O164" s="247"/>
      <c r="P164" s="180"/>
      <c r="Q164" s="181"/>
      <c r="R164" s="181"/>
      <c r="S164" s="179"/>
      <c r="T164" s="179"/>
      <c r="U164" s="179"/>
      <c r="V164" s="217" t="s">
        <v>1076</v>
      </c>
      <c r="W164" s="91"/>
      <c r="X164" s="91"/>
      <c r="Y164" s="91"/>
      <c r="Z164" s="91"/>
      <c r="AA164" s="91"/>
      <c r="AB164" s="91"/>
      <c r="AC164" s="91"/>
      <c r="AD164" s="91"/>
      <c r="AE164" s="91"/>
      <c r="AF164" s="91"/>
    </row>
    <row r="165" ht="12.75" customHeight="1">
      <c r="A165" s="182" t="s">
        <v>1077</v>
      </c>
      <c r="B165" s="184" t="s">
        <v>1078</v>
      </c>
      <c r="C165" s="183" t="s">
        <v>1079</v>
      </c>
      <c r="D165" s="184" t="s">
        <v>1080</v>
      </c>
      <c r="E165" s="218">
        <v>1500.0</v>
      </c>
      <c r="F165" s="186" t="s">
        <v>559</v>
      </c>
      <c r="G165" s="233">
        <v>6450.0</v>
      </c>
      <c r="H165" s="234">
        <v>5700.0</v>
      </c>
      <c r="I165" s="234">
        <v>754.0</v>
      </c>
      <c r="J165" s="230">
        <v>25.0</v>
      </c>
      <c r="K165" s="231">
        <v>24.6</v>
      </c>
      <c r="L165" s="227">
        <v>0.353</v>
      </c>
      <c r="M165" s="230">
        <v>0.355</v>
      </c>
      <c r="N165" s="231">
        <v>0.35</v>
      </c>
      <c r="O165" s="227">
        <v>0.0052</v>
      </c>
      <c r="P165" s="230">
        <v>24.6</v>
      </c>
      <c r="Q165" s="231">
        <v>24.3</v>
      </c>
      <c r="R165" s="227">
        <v>0.348</v>
      </c>
      <c r="S165" s="225">
        <v>5.95</v>
      </c>
      <c r="T165" s="226">
        <v>4.61</v>
      </c>
      <c r="U165" s="226">
        <v>1.34</v>
      </c>
      <c r="V165" s="221" t="s">
        <v>1081</v>
      </c>
      <c r="W165" s="91"/>
      <c r="X165" s="91"/>
      <c r="Y165" s="91"/>
      <c r="Z165" s="91"/>
      <c r="AA165" s="91"/>
      <c r="AB165" s="91"/>
      <c r="AC165" s="91"/>
      <c r="AD165" s="91"/>
      <c r="AE165" s="91"/>
      <c r="AF165" s="91"/>
    </row>
    <row r="166" ht="12.75" customHeight="1">
      <c r="A166" s="182" t="s">
        <v>1082</v>
      </c>
      <c r="B166" s="184" t="s">
        <v>1083</v>
      </c>
      <c r="C166" s="183" t="s">
        <v>1084</v>
      </c>
      <c r="D166" s="184" t="s">
        <v>1085</v>
      </c>
      <c r="E166" s="218">
        <v>1000.0</v>
      </c>
      <c r="F166" s="186" t="s">
        <v>559</v>
      </c>
      <c r="G166" s="233">
        <v>2640.0</v>
      </c>
      <c r="H166" s="234">
        <v>1460.0</v>
      </c>
      <c r="I166" s="234">
        <v>1180.0</v>
      </c>
      <c r="J166" s="230">
        <v>15.6</v>
      </c>
      <c r="K166" s="231">
        <v>15.3</v>
      </c>
      <c r="L166" s="227">
        <v>0.225</v>
      </c>
      <c r="M166" s="230">
        <v>0.0525</v>
      </c>
      <c r="N166" s="231">
        <v>0.0447</v>
      </c>
      <c r="O166" s="227">
        <v>0.0078</v>
      </c>
      <c r="P166" s="230">
        <v>15.5</v>
      </c>
      <c r="Q166" s="231">
        <v>15.3</v>
      </c>
      <c r="R166" s="227">
        <v>0.217</v>
      </c>
      <c r="S166" s="225">
        <v>3.06</v>
      </c>
      <c r="T166" s="227">
        <v>0.692</v>
      </c>
      <c r="U166" s="226">
        <v>2.37</v>
      </c>
      <c r="V166" s="221" t="s">
        <v>1086</v>
      </c>
      <c r="W166" s="91"/>
      <c r="X166" s="91"/>
      <c r="Y166" s="91"/>
      <c r="Z166" s="91"/>
      <c r="AA166" s="91"/>
      <c r="AB166" s="91"/>
      <c r="AC166" s="91"/>
      <c r="AD166" s="91"/>
      <c r="AE166" s="91"/>
      <c r="AF166" s="91"/>
    </row>
    <row r="167" ht="12.75" customHeight="1">
      <c r="A167" s="182" t="s">
        <v>1087</v>
      </c>
      <c r="B167" s="184" t="s">
        <v>1088</v>
      </c>
      <c r="C167" s="183" t="s">
        <v>1089</v>
      </c>
      <c r="D167" s="184" t="s">
        <v>1090</v>
      </c>
      <c r="E167" s="218">
        <v>1500.0</v>
      </c>
      <c r="F167" s="186" t="s">
        <v>559</v>
      </c>
      <c r="G167" s="233">
        <v>7470.0</v>
      </c>
      <c r="H167" s="234">
        <v>5880.0</v>
      </c>
      <c r="I167" s="234">
        <v>1590.0</v>
      </c>
      <c r="J167" s="230">
        <v>24.4</v>
      </c>
      <c r="K167" s="231">
        <v>24.3</v>
      </c>
      <c r="L167" s="227">
        <v>0.169</v>
      </c>
      <c r="M167" s="230">
        <v>0.288</v>
      </c>
      <c r="N167" s="231">
        <v>0.282</v>
      </c>
      <c r="O167" s="227">
        <v>0.00625</v>
      </c>
      <c r="P167" s="230">
        <v>24.1</v>
      </c>
      <c r="Q167" s="231">
        <v>24.0</v>
      </c>
      <c r="R167" s="227">
        <v>0.163</v>
      </c>
      <c r="S167" s="225">
        <v>5.21</v>
      </c>
      <c r="T167" s="226">
        <v>2.05</v>
      </c>
      <c r="U167" s="226">
        <v>3.16</v>
      </c>
      <c r="V167" s="221" t="s">
        <v>1091</v>
      </c>
      <c r="W167" s="91"/>
      <c r="X167" s="91"/>
      <c r="Y167" s="91"/>
      <c r="Z167" s="91"/>
      <c r="AA167" s="91"/>
      <c r="AB167" s="91"/>
      <c r="AC167" s="91"/>
      <c r="AD167" s="91"/>
      <c r="AE167" s="91"/>
      <c r="AF167" s="91"/>
    </row>
    <row r="168" ht="12.75" customHeight="1">
      <c r="A168" s="182" t="s">
        <v>1092</v>
      </c>
      <c r="B168" s="184" t="s">
        <v>1093</v>
      </c>
      <c r="C168" s="183" t="s">
        <v>1089</v>
      </c>
      <c r="D168" s="184" t="s">
        <v>1090</v>
      </c>
      <c r="E168" s="218">
        <v>1600.0</v>
      </c>
      <c r="F168" s="186" t="s">
        <v>559</v>
      </c>
      <c r="G168" s="233">
        <v>3520.0</v>
      </c>
      <c r="H168" s="234">
        <v>1930.0</v>
      </c>
      <c r="I168" s="234">
        <v>1590.0</v>
      </c>
      <c r="J168" s="230">
        <v>8.18</v>
      </c>
      <c r="K168" s="231">
        <v>8.01</v>
      </c>
      <c r="L168" s="227">
        <v>0.169</v>
      </c>
      <c r="M168" s="230">
        <v>0.428</v>
      </c>
      <c r="N168" s="231">
        <v>0.422</v>
      </c>
      <c r="O168" s="227">
        <v>0.00625</v>
      </c>
      <c r="P168" s="230">
        <v>7.75</v>
      </c>
      <c r="Q168" s="231">
        <v>7.59</v>
      </c>
      <c r="R168" s="227">
        <v>0.163</v>
      </c>
      <c r="S168" s="225">
        <v>4.67</v>
      </c>
      <c r="T168" s="226">
        <v>1.51</v>
      </c>
      <c r="U168" s="226">
        <v>3.16</v>
      </c>
      <c r="V168" s="221" t="s">
        <v>1094</v>
      </c>
      <c r="W168" s="91"/>
      <c r="X168" s="91"/>
      <c r="Y168" s="91"/>
      <c r="Z168" s="91"/>
      <c r="AA168" s="91"/>
      <c r="AB168" s="91"/>
      <c r="AC168" s="91"/>
      <c r="AD168" s="91"/>
      <c r="AE168" s="91"/>
      <c r="AF168" s="91"/>
    </row>
    <row r="169" ht="12.75" customHeight="1">
      <c r="A169" s="182" t="s">
        <v>1095</v>
      </c>
      <c r="B169" s="184" t="s">
        <v>1096</v>
      </c>
      <c r="C169" s="183" t="s">
        <v>1089</v>
      </c>
      <c r="D169" s="184" t="s">
        <v>1090</v>
      </c>
      <c r="E169" s="218">
        <v>1000.0</v>
      </c>
      <c r="F169" s="186" t="s">
        <v>559</v>
      </c>
      <c r="G169" s="233">
        <v>4550.0</v>
      </c>
      <c r="H169" s="234">
        <v>2960.0</v>
      </c>
      <c r="I169" s="234">
        <v>1590.0</v>
      </c>
      <c r="J169" s="230">
        <v>17.2</v>
      </c>
      <c r="K169" s="231">
        <v>17.0</v>
      </c>
      <c r="L169" s="227">
        <v>0.169</v>
      </c>
      <c r="M169" s="230">
        <v>2.19</v>
      </c>
      <c r="N169" s="231">
        <v>2.18</v>
      </c>
      <c r="O169" s="227">
        <v>0.00625</v>
      </c>
      <c r="P169" s="230">
        <v>15.0</v>
      </c>
      <c r="Q169" s="231">
        <v>14.8</v>
      </c>
      <c r="R169" s="227">
        <v>0.163</v>
      </c>
      <c r="S169" s="225">
        <v>5.87</v>
      </c>
      <c r="T169" s="226">
        <v>2.71</v>
      </c>
      <c r="U169" s="226">
        <v>3.16</v>
      </c>
      <c r="V169" s="221" t="s">
        <v>1097</v>
      </c>
      <c r="W169" s="91"/>
      <c r="X169" s="91"/>
      <c r="Y169" s="91"/>
      <c r="Z169" s="91"/>
      <c r="AA169" s="91"/>
      <c r="AB169" s="91"/>
      <c r="AC169" s="91"/>
      <c r="AD169" s="91"/>
      <c r="AE169" s="91"/>
      <c r="AF169" s="91"/>
    </row>
    <row r="170" ht="12.75" customHeight="1">
      <c r="A170" s="214" t="s">
        <v>1098</v>
      </c>
      <c r="B170" s="177" t="s">
        <v>1099</v>
      </c>
      <c r="C170" s="176"/>
      <c r="D170" s="177"/>
      <c r="E170" s="178" t="s">
        <v>1100</v>
      </c>
      <c r="F170" s="179"/>
      <c r="G170" s="179"/>
      <c r="H170" s="179"/>
      <c r="I170" s="179"/>
      <c r="J170" s="215"/>
      <c r="K170" s="181"/>
      <c r="L170" s="216"/>
      <c r="M170" s="215"/>
      <c r="N170" s="181"/>
      <c r="O170" s="216"/>
      <c r="P170" s="180"/>
      <c r="Q170" s="181"/>
      <c r="R170" s="181"/>
      <c r="S170" s="180"/>
      <c r="T170" s="181"/>
      <c r="U170" s="181"/>
      <c r="V170" s="217" t="s">
        <v>1101</v>
      </c>
      <c r="W170" s="91"/>
      <c r="X170" s="91"/>
      <c r="Y170" s="91"/>
      <c r="Z170" s="91"/>
      <c r="AA170" s="91"/>
      <c r="AB170" s="91"/>
      <c r="AC170" s="91"/>
      <c r="AD170" s="91"/>
      <c r="AE170" s="91"/>
      <c r="AF170" s="91"/>
    </row>
    <row r="171" ht="12.75" customHeight="1">
      <c r="A171" s="182" t="s">
        <v>1102</v>
      </c>
      <c r="B171" s="184" t="s">
        <v>1103</v>
      </c>
      <c r="C171" s="183" t="s">
        <v>1084</v>
      </c>
      <c r="D171" s="184" t="s">
        <v>1085</v>
      </c>
      <c r="E171" s="218">
        <v>1100.0</v>
      </c>
      <c r="F171" s="186" t="s">
        <v>559</v>
      </c>
      <c r="G171" s="233">
        <v>3100.0</v>
      </c>
      <c r="H171" s="234">
        <v>1920.0</v>
      </c>
      <c r="I171" s="234">
        <v>1180.0</v>
      </c>
      <c r="J171" s="230">
        <v>14.5</v>
      </c>
      <c r="K171" s="231">
        <v>14.3</v>
      </c>
      <c r="L171" s="227">
        <v>0.225</v>
      </c>
      <c r="M171" s="230">
        <v>0.658</v>
      </c>
      <c r="N171" s="231">
        <v>0.65</v>
      </c>
      <c r="O171" s="227">
        <v>0.0078</v>
      </c>
      <c r="P171" s="230">
        <v>13.9</v>
      </c>
      <c r="Q171" s="231">
        <v>13.6</v>
      </c>
      <c r="R171" s="227">
        <v>0.217</v>
      </c>
      <c r="S171" s="225">
        <v>3.54</v>
      </c>
      <c r="T171" s="226">
        <v>1.17</v>
      </c>
      <c r="U171" s="226">
        <v>2.37</v>
      </c>
      <c r="V171" s="221" t="s">
        <v>1104</v>
      </c>
      <c r="W171" s="91"/>
      <c r="X171" s="91"/>
      <c r="Y171" s="91"/>
      <c r="Z171" s="91"/>
      <c r="AA171" s="91"/>
      <c r="AB171" s="91"/>
      <c r="AC171" s="91"/>
      <c r="AD171" s="91"/>
      <c r="AE171" s="91"/>
      <c r="AF171" s="91"/>
    </row>
    <row r="172" ht="12.75" customHeight="1">
      <c r="A172" s="182" t="s">
        <v>1105</v>
      </c>
      <c r="B172" s="184" t="s">
        <v>1106</v>
      </c>
      <c r="C172" s="183" t="s">
        <v>1107</v>
      </c>
      <c r="D172" s="184" t="s">
        <v>1108</v>
      </c>
      <c r="E172" s="218">
        <v>920.0</v>
      </c>
      <c r="F172" s="186" t="s">
        <v>559</v>
      </c>
      <c r="G172" s="233">
        <v>3600.0</v>
      </c>
      <c r="H172" s="234">
        <v>2240.0</v>
      </c>
      <c r="I172" s="234">
        <v>1360.0</v>
      </c>
      <c r="J172" s="230">
        <v>25.7</v>
      </c>
      <c r="K172" s="231">
        <v>25.6</v>
      </c>
      <c r="L172" s="227">
        <v>0.135</v>
      </c>
      <c r="M172" s="230">
        <v>0.909</v>
      </c>
      <c r="N172" s="231">
        <v>0.907</v>
      </c>
      <c r="O172" s="227">
        <v>0.00226</v>
      </c>
      <c r="P172" s="230">
        <v>24.8</v>
      </c>
      <c r="Q172" s="231">
        <v>24.7</v>
      </c>
      <c r="R172" s="227">
        <v>0.133</v>
      </c>
      <c r="S172" s="225">
        <v>5.33</v>
      </c>
      <c r="T172" s="226">
        <v>2.76</v>
      </c>
      <c r="U172" s="226">
        <v>2.58</v>
      </c>
      <c r="V172" s="221" t="s">
        <v>1109</v>
      </c>
      <c r="W172" s="91"/>
      <c r="X172" s="91"/>
      <c r="Y172" s="91"/>
      <c r="Z172" s="91"/>
      <c r="AA172" s="91"/>
      <c r="AB172" s="91"/>
      <c r="AC172" s="91"/>
      <c r="AD172" s="91"/>
      <c r="AE172" s="91"/>
      <c r="AF172" s="91"/>
    </row>
    <row r="173" ht="12.75" customHeight="1">
      <c r="A173" s="182" t="s">
        <v>1110</v>
      </c>
      <c r="B173" s="184" t="s">
        <v>1111</v>
      </c>
      <c r="C173" s="183" t="s">
        <v>1084</v>
      </c>
      <c r="D173" s="184" t="s">
        <v>1085</v>
      </c>
      <c r="E173" s="218">
        <v>1100.0</v>
      </c>
      <c r="F173" s="186" t="s">
        <v>559</v>
      </c>
      <c r="G173" s="233">
        <v>2610.0</v>
      </c>
      <c r="H173" s="234">
        <v>1430.0</v>
      </c>
      <c r="I173" s="234">
        <v>1180.0</v>
      </c>
      <c r="J173" s="230">
        <v>12.7</v>
      </c>
      <c r="K173" s="231">
        <v>12.5</v>
      </c>
      <c r="L173" s="227">
        <v>0.225</v>
      </c>
      <c r="M173" s="230">
        <v>0.257</v>
      </c>
      <c r="N173" s="231">
        <v>0.249</v>
      </c>
      <c r="O173" s="227">
        <v>0.0078</v>
      </c>
      <c r="P173" s="230">
        <v>12.5</v>
      </c>
      <c r="Q173" s="231">
        <v>12.3</v>
      </c>
      <c r="R173" s="227">
        <v>0.217</v>
      </c>
      <c r="S173" s="225">
        <v>3.25</v>
      </c>
      <c r="T173" s="227">
        <v>0.88</v>
      </c>
      <c r="U173" s="226">
        <v>2.37</v>
      </c>
      <c r="V173" s="221" t="s">
        <v>1112</v>
      </c>
      <c r="W173" s="91"/>
      <c r="X173" s="91"/>
      <c r="Y173" s="91"/>
      <c r="Z173" s="91"/>
      <c r="AA173" s="91"/>
      <c r="AB173" s="91"/>
      <c r="AC173" s="91"/>
      <c r="AD173" s="91"/>
      <c r="AE173" s="91"/>
      <c r="AF173" s="91"/>
    </row>
    <row r="174" ht="12.75" customHeight="1" outlineLevel="1">
      <c r="A174" s="252" t="s">
        <v>1113</v>
      </c>
      <c r="B174" s="253" t="s">
        <v>1114</v>
      </c>
      <c r="C174" s="254" t="s">
        <v>1084</v>
      </c>
      <c r="D174" s="253" t="s">
        <v>1085</v>
      </c>
      <c r="E174" s="255">
        <v>1175.0</v>
      </c>
      <c r="F174" s="256" t="s">
        <v>559</v>
      </c>
      <c r="G174" s="257">
        <v>2290.0</v>
      </c>
      <c r="H174" s="255">
        <v>1110.0</v>
      </c>
      <c r="I174" s="255">
        <v>1180.0</v>
      </c>
      <c r="J174" s="258">
        <v>11.0</v>
      </c>
      <c r="K174" s="259">
        <v>10.8</v>
      </c>
      <c r="L174" s="260">
        <v>0.225</v>
      </c>
      <c r="M174" s="258">
        <v>0.224</v>
      </c>
      <c r="N174" s="259">
        <v>0.217</v>
      </c>
      <c r="O174" s="260">
        <v>0.0078</v>
      </c>
      <c r="P174" s="258">
        <v>10.8</v>
      </c>
      <c r="Q174" s="259">
        <v>10.5</v>
      </c>
      <c r="R174" s="260">
        <v>0.217</v>
      </c>
      <c r="S174" s="261">
        <v>3.07</v>
      </c>
      <c r="T174" s="260">
        <v>0.701</v>
      </c>
      <c r="U174" s="262">
        <v>2.37</v>
      </c>
      <c r="V174" s="263" t="s">
        <v>1115</v>
      </c>
      <c r="W174" s="91"/>
      <c r="X174" s="91"/>
      <c r="Y174" s="91"/>
      <c r="Z174" s="91"/>
      <c r="AA174" s="91"/>
      <c r="AB174" s="91"/>
      <c r="AC174" s="91"/>
      <c r="AD174" s="91"/>
      <c r="AE174" s="91"/>
      <c r="AF174" s="91"/>
    </row>
    <row r="175" ht="12.75" customHeight="1" outlineLevel="1">
      <c r="A175" s="252" t="s">
        <v>1116</v>
      </c>
      <c r="B175" s="253" t="s">
        <v>1117</v>
      </c>
      <c r="C175" s="254" t="s">
        <v>1084</v>
      </c>
      <c r="D175" s="253" t="s">
        <v>1085</v>
      </c>
      <c r="E175" s="255">
        <v>1175.0</v>
      </c>
      <c r="F175" s="256" t="s">
        <v>559</v>
      </c>
      <c r="G175" s="257">
        <v>1850.0</v>
      </c>
      <c r="H175" s="255">
        <v>672.0</v>
      </c>
      <c r="I175" s="255">
        <v>1180.0</v>
      </c>
      <c r="J175" s="258">
        <v>6.29</v>
      </c>
      <c r="K175" s="259">
        <v>6.06</v>
      </c>
      <c r="L175" s="260">
        <v>0.225</v>
      </c>
      <c r="M175" s="258">
        <v>0.207</v>
      </c>
      <c r="N175" s="259">
        <v>0.199</v>
      </c>
      <c r="O175" s="260">
        <v>0.0078</v>
      </c>
      <c r="P175" s="258">
        <v>6.08</v>
      </c>
      <c r="Q175" s="259">
        <v>5.86</v>
      </c>
      <c r="R175" s="260">
        <v>0.217</v>
      </c>
      <c r="S175" s="261">
        <v>2.84</v>
      </c>
      <c r="T175" s="260">
        <v>0.466</v>
      </c>
      <c r="U175" s="262">
        <v>2.37</v>
      </c>
      <c r="V175" s="263" t="s">
        <v>1118</v>
      </c>
      <c r="W175" s="91"/>
      <c r="X175" s="91"/>
      <c r="Y175" s="91"/>
      <c r="Z175" s="91"/>
      <c r="AA175" s="91"/>
      <c r="AB175" s="91"/>
      <c r="AC175" s="91"/>
      <c r="AD175" s="91"/>
      <c r="AE175" s="91"/>
      <c r="AF175" s="91"/>
    </row>
    <row r="176" ht="12.75" customHeight="1" outlineLevel="1">
      <c r="A176" s="252" t="s">
        <v>1119</v>
      </c>
      <c r="B176" s="253" t="s">
        <v>1120</v>
      </c>
      <c r="C176" s="254" t="s">
        <v>1084</v>
      </c>
      <c r="D176" s="253" t="s">
        <v>1085</v>
      </c>
      <c r="E176" s="255">
        <v>1200.0</v>
      </c>
      <c r="F176" s="256" t="s">
        <v>559</v>
      </c>
      <c r="G176" s="257">
        <v>2280.0</v>
      </c>
      <c r="H176" s="255">
        <v>1100.0</v>
      </c>
      <c r="I176" s="255">
        <v>1180.0</v>
      </c>
      <c r="J176" s="258">
        <v>9.92</v>
      </c>
      <c r="K176" s="259">
        <v>9.69</v>
      </c>
      <c r="L176" s="260">
        <v>0.225</v>
      </c>
      <c r="M176" s="258">
        <v>0.224</v>
      </c>
      <c r="N176" s="259">
        <v>0.216</v>
      </c>
      <c r="O176" s="260">
        <v>0.0078</v>
      </c>
      <c r="P176" s="258">
        <v>9.7</v>
      </c>
      <c r="Q176" s="259">
        <v>9.48</v>
      </c>
      <c r="R176" s="260">
        <v>0.217</v>
      </c>
      <c r="S176" s="261">
        <v>2.98</v>
      </c>
      <c r="T176" s="260">
        <v>0.607</v>
      </c>
      <c r="U176" s="262">
        <v>2.37</v>
      </c>
      <c r="V176" s="263" t="s">
        <v>1121</v>
      </c>
      <c r="W176" s="91"/>
      <c r="X176" s="91"/>
      <c r="Y176" s="91"/>
      <c r="Z176" s="91"/>
      <c r="AA176" s="91"/>
      <c r="AB176" s="91"/>
      <c r="AC176" s="91"/>
      <c r="AD176" s="91"/>
      <c r="AE176" s="91"/>
      <c r="AF176" s="91"/>
    </row>
    <row r="177" ht="12.75" customHeight="1" outlineLevel="1">
      <c r="A177" s="252" t="s">
        <v>1122</v>
      </c>
      <c r="B177" s="253" t="s">
        <v>1123</v>
      </c>
      <c r="C177" s="254" t="s">
        <v>1084</v>
      </c>
      <c r="D177" s="253" t="s">
        <v>1085</v>
      </c>
      <c r="E177" s="255">
        <v>1200.0</v>
      </c>
      <c r="F177" s="256" t="s">
        <v>559</v>
      </c>
      <c r="G177" s="257">
        <v>1860.0</v>
      </c>
      <c r="H177" s="255">
        <v>681.0</v>
      </c>
      <c r="I177" s="255">
        <v>1180.0</v>
      </c>
      <c r="J177" s="258">
        <v>5.41</v>
      </c>
      <c r="K177" s="259">
        <v>5.18</v>
      </c>
      <c r="L177" s="260">
        <v>0.225</v>
      </c>
      <c r="M177" s="258">
        <v>0.207</v>
      </c>
      <c r="N177" s="259">
        <v>0.199</v>
      </c>
      <c r="O177" s="260">
        <v>0.0078</v>
      </c>
      <c r="P177" s="258">
        <v>5.2</v>
      </c>
      <c r="Q177" s="259">
        <v>4.98</v>
      </c>
      <c r="R177" s="260">
        <v>0.217</v>
      </c>
      <c r="S177" s="261">
        <v>2.76</v>
      </c>
      <c r="T177" s="260">
        <v>0.391</v>
      </c>
      <c r="U177" s="262">
        <v>2.37</v>
      </c>
      <c r="V177" s="263" t="s">
        <v>1124</v>
      </c>
      <c r="W177" s="91"/>
      <c r="X177" s="91"/>
      <c r="Y177" s="91"/>
      <c r="Z177" s="91"/>
      <c r="AA177" s="91"/>
      <c r="AB177" s="91"/>
      <c r="AC177" s="91"/>
      <c r="AD177" s="91"/>
      <c r="AE177" s="91"/>
      <c r="AF177" s="91"/>
    </row>
    <row r="178" ht="12.75" customHeight="1" outlineLevel="1">
      <c r="A178" s="252" t="s">
        <v>1125</v>
      </c>
      <c r="B178" s="253" t="s">
        <v>1126</v>
      </c>
      <c r="C178" s="254" t="s">
        <v>1084</v>
      </c>
      <c r="D178" s="253" t="s">
        <v>1085</v>
      </c>
      <c r="E178" s="255">
        <v>1200.0</v>
      </c>
      <c r="F178" s="256" t="s">
        <v>559</v>
      </c>
      <c r="G178" s="257">
        <v>2350.0</v>
      </c>
      <c r="H178" s="255">
        <v>1170.0</v>
      </c>
      <c r="I178" s="255">
        <v>1180.0</v>
      </c>
      <c r="J178" s="258">
        <v>10.7</v>
      </c>
      <c r="K178" s="259">
        <v>10.5</v>
      </c>
      <c r="L178" s="260">
        <v>0.225</v>
      </c>
      <c r="M178" s="258">
        <v>0.202</v>
      </c>
      <c r="N178" s="259">
        <v>0.194</v>
      </c>
      <c r="O178" s="260">
        <v>0.0078</v>
      </c>
      <c r="P178" s="258">
        <v>10.5</v>
      </c>
      <c r="Q178" s="259">
        <v>10.3</v>
      </c>
      <c r="R178" s="260">
        <v>0.217</v>
      </c>
      <c r="S178" s="261">
        <v>3.03</v>
      </c>
      <c r="T178" s="260">
        <v>0.655</v>
      </c>
      <c r="U178" s="262">
        <v>2.37</v>
      </c>
      <c r="V178" s="263" t="s">
        <v>1127</v>
      </c>
      <c r="W178" s="91"/>
      <c r="X178" s="91"/>
      <c r="Y178" s="91"/>
      <c r="Z178" s="91"/>
      <c r="AA178" s="91"/>
      <c r="AB178" s="91"/>
      <c r="AC178" s="91"/>
      <c r="AD178" s="91"/>
      <c r="AE178" s="91"/>
      <c r="AF178" s="91"/>
    </row>
    <row r="179" ht="12.75" customHeight="1" outlineLevel="1">
      <c r="A179" s="252" t="s">
        <v>1128</v>
      </c>
      <c r="B179" s="253" t="s">
        <v>1129</v>
      </c>
      <c r="C179" s="254" t="s">
        <v>1084</v>
      </c>
      <c r="D179" s="253" t="s">
        <v>1085</v>
      </c>
      <c r="E179" s="255">
        <v>1200.0</v>
      </c>
      <c r="F179" s="256" t="s">
        <v>559</v>
      </c>
      <c r="G179" s="257">
        <v>1890.0</v>
      </c>
      <c r="H179" s="255">
        <v>714.0</v>
      </c>
      <c r="I179" s="255">
        <v>1180.0</v>
      </c>
      <c r="J179" s="258">
        <v>5.84</v>
      </c>
      <c r="K179" s="259">
        <v>5.62</v>
      </c>
      <c r="L179" s="260">
        <v>0.225</v>
      </c>
      <c r="M179" s="258">
        <v>0.184</v>
      </c>
      <c r="N179" s="259">
        <v>0.176</v>
      </c>
      <c r="O179" s="260">
        <v>0.0078</v>
      </c>
      <c r="P179" s="258">
        <v>5.66</v>
      </c>
      <c r="Q179" s="259">
        <v>5.44</v>
      </c>
      <c r="R179" s="260">
        <v>0.217</v>
      </c>
      <c r="S179" s="261">
        <v>2.8</v>
      </c>
      <c r="T179" s="260">
        <v>0.424</v>
      </c>
      <c r="U179" s="262">
        <v>2.37</v>
      </c>
      <c r="V179" s="263" t="s">
        <v>1130</v>
      </c>
      <c r="W179" s="91"/>
      <c r="X179" s="91"/>
      <c r="Y179" s="91"/>
      <c r="Z179" s="91"/>
      <c r="AA179" s="91"/>
      <c r="AB179" s="91"/>
      <c r="AC179" s="91"/>
      <c r="AD179" s="91"/>
      <c r="AE179" s="91"/>
      <c r="AF179" s="91"/>
    </row>
    <row r="180" ht="12.75" customHeight="1" outlineLevel="1">
      <c r="A180" s="252" t="s">
        <v>1131</v>
      </c>
      <c r="B180" s="253" t="s">
        <v>1132</v>
      </c>
      <c r="C180" s="254" t="s">
        <v>1084</v>
      </c>
      <c r="D180" s="253" t="s">
        <v>1085</v>
      </c>
      <c r="E180" s="255">
        <v>1180.0</v>
      </c>
      <c r="F180" s="256" t="s">
        <v>559</v>
      </c>
      <c r="G180" s="257">
        <v>2300.0</v>
      </c>
      <c r="H180" s="255">
        <v>1120.0</v>
      </c>
      <c r="I180" s="255">
        <v>1180.0</v>
      </c>
      <c r="J180" s="258">
        <v>10.9</v>
      </c>
      <c r="K180" s="259">
        <v>10.6</v>
      </c>
      <c r="L180" s="260">
        <v>0.225</v>
      </c>
      <c r="M180" s="258">
        <v>0.188</v>
      </c>
      <c r="N180" s="259">
        <v>0.181</v>
      </c>
      <c r="O180" s="260">
        <v>0.0078</v>
      </c>
      <c r="P180" s="258">
        <v>10.7</v>
      </c>
      <c r="Q180" s="259">
        <v>10.5</v>
      </c>
      <c r="R180" s="260">
        <v>0.217</v>
      </c>
      <c r="S180" s="261">
        <v>3.06</v>
      </c>
      <c r="T180" s="260">
        <v>0.685</v>
      </c>
      <c r="U180" s="262">
        <v>2.37</v>
      </c>
      <c r="V180" s="263" t="s">
        <v>1133</v>
      </c>
      <c r="W180" s="91"/>
      <c r="X180" s="91"/>
      <c r="Y180" s="91"/>
      <c r="Z180" s="91"/>
      <c r="AA180" s="91"/>
      <c r="AB180" s="91"/>
      <c r="AC180" s="91"/>
      <c r="AD180" s="91"/>
      <c r="AE180" s="91"/>
      <c r="AF180" s="91"/>
    </row>
    <row r="181" ht="12.75" customHeight="1" outlineLevel="1">
      <c r="A181" s="252" t="s">
        <v>1134</v>
      </c>
      <c r="B181" s="253" t="s">
        <v>1135</v>
      </c>
      <c r="C181" s="254" t="s">
        <v>1084</v>
      </c>
      <c r="D181" s="253" t="s">
        <v>1085</v>
      </c>
      <c r="E181" s="255">
        <v>1180.0</v>
      </c>
      <c r="F181" s="256" t="s">
        <v>559</v>
      </c>
      <c r="G181" s="257">
        <v>1860.0</v>
      </c>
      <c r="H181" s="255">
        <v>676.0</v>
      </c>
      <c r="I181" s="255">
        <v>1180.0</v>
      </c>
      <c r="J181" s="258">
        <v>6.12</v>
      </c>
      <c r="K181" s="259">
        <v>5.89</v>
      </c>
      <c r="L181" s="260">
        <v>0.225</v>
      </c>
      <c r="M181" s="258">
        <v>0.17</v>
      </c>
      <c r="N181" s="259">
        <v>0.163</v>
      </c>
      <c r="O181" s="260">
        <v>0.0078</v>
      </c>
      <c r="P181" s="258">
        <v>5.95</v>
      </c>
      <c r="Q181" s="259">
        <v>5.73</v>
      </c>
      <c r="R181" s="260">
        <v>0.217</v>
      </c>
      <c r="S181" s="261">
        <v>2.82</v>
      </c>
      <c r="T181" s="260">
        <v>0.447</v>
      </c>
      <c r="U181" s="262">
        <v>2.37</v>
      </c>
      <c r="V181" s="263" t="s">
        <v>1136</v>
      </c>
      <c r="W181" s="91"/>
      <c r="X181" s="91"/>
      <c r="Y181" s="91"/>
      <c r="Z181" s="91"/>
      <c r="AA181" s="91"/>
      <c r="AB181" s="91"/>
      <c r="AC181" s="91"/>
      <c r="AD181" s="91"/>
      <c r="AE181" s="91"/>
      <c r="AF181" s="91"/>
    </row>
    <row r="182" ht="12.75" customHeight="1" outlineLevel="1">
      <c r="A182" s="252" t="s">
        <v>1137</v>
      </c>
      <c r="B182" s="253" t="s">
        <v>1138</v>
      </c>
      <c r="C182" s="254" t="s">
        <v>1084</v>
      </c>
      <c r="D182" s="253" t="s">
        <v>1085</v>
      </c>
      <c r="E182" s="255">
        <v>1171.0</v>
      </c>
      <c r="F182" s="256" t="s">
        <v>559</v>
      </c>
      <c r="G182" s="257">
        <v>2470.0</v>
      </c>
      <c r="H182" s="255">
        <v>1290.0</v>
      </c>
      <c r="I182" s="255">
        <v>1180.0</v>
      </c>
      <c r="J182" s="258">
        <v>12.0</v>
      </c>
      <c r="K182" s="259">
        <v>11.7</v>
      </c>
      <c r="L182" s="260">
        <v>0.225</v>
      </c>
      <c r="M182" s="258">
        <v>0.189</v>
      </c>
      <c r="N182" s="259">
        <v>0.182</v>
      </c>
      <c r="O182" s="260">
        <v>0.0078</v>
      </c>
      <c r="P182" s="258">
        <v>11.8</v>
      </c>
      <c r="Q182" s="259">
        <v>11.6</v>
      </c>
      <c r="R182" s="260">
        <v>0.217</v>
      </c>
      <c r="S182" s="261">
        <v>3.1</v>
      </c>
      <c r="T182" s="260">
        <v>0.73</v>
      </c>
      <c r="U182" s="262">
        <v>2.37</v>
      </c>
      <c r="V182" s="263" t="s">
        <v>1139</v>
      </c>
      <c r="W182" s="91"/>
      <c r="X182" s="91"/>
      <c r="Y182" s="91"/>
      <c r="Z182" s="91"/>
      <c r="AA182" s="91"/>
      <c r="AB182" s="91"/>
      <c r="AC182" s="91"/>
      <c r="AD182" s="91"/>
      <c r="AE182" s="91"/>
      <c r="AF182" s="91"/>
    </row>
    <row r="183" ht="12.75" customHeight="1" outlineLevel="1">
      <c r="A183" s="252" t="s">
        <v>1140</v>
      </c>
      <c r="B183" s="253" t="s">
        <v>1141</v>
      </c>
      <c r="C183" s="254" t="s">
        <v>1084</v>
      </c>
      <c r="D183" s="253" t="s">
        <v>1085</v>
      </c>
      <c r="E183" s="255">
        <v>1171.0</v>
      </c>
      <c r="F183" s="256" t="s">
        <v>559</v>
      </c>
      <c r="G183" s="257">
        <v>2120.0</v>
      </c>
      <c r="H183" s="255">
        <v>939.0</v>
      </c>
      <c r="I183" s="255">
        <v>1180.0</v>
      </c>
      <c r="J183" s="258">
        <v>8.21</v>
      </c>
      <c r="K183" s="259">
        <v>7.99</v>
      </c>
      <c r="L183" s="260">
        <v>0.225</v>
      </c>
      <c r="M183" s="258">
        <v>0.175</v>
      </c>
      <c r="N183" s="259">
        <v>0.168</v>
      </c>
      <c r="O183" s="260">
        <v>0.0078</v>
      </c>
      <c r="P183" s="258">
        <v>8.04</v>
      </c>
      <c r="Q183" s="259">
        <v>7.82</v>
      </c>
      <c r="R183" s="260">
        <v>0.217</v>
      </c>
      <c r="S183" s="261">
        <v>2.92</v>
      </c>
      <c r="T183" s="260">
        <v>0.55</v>
      </c>
      <c r="U183" s="262">
        <v>2.37</v>
      </c>
      <c r="V183" s="263" t="s">
        <v>1142</v>
      </c>
      <c r="W183" s="91"/>
      <c r="X183" s="91"/>
      <c r="Y183" s="91"/>
      <c r="Z183" s="91"/>
      <c r="AA183" s="91"/>
      <c r="AB183" s="91"/>
      <c r="AC183" s="91"/>
      <c r="AD183" s="91"/>
      <c r="AE183" s="91"/>
      <c r="AF183" s="91"/>
    </row>
    <row r="184" ht="12.75" customHeight="1">
      <c r="A184" s="182" t="s">
        <v>1143</v>
      </c>
      <c r="B184" s="184" t="s">
        <v>1144</v>
      </c>
      <c r="C184" s="183" t="s">
        <v>1089</v>
      </c>
      <c r="D184" s="184" t="s">
        <v>1090</v>
      </c>
      <c r="E184" s="218">
        <v>1100.0</v>
      </c>
      <c r="F184" s="186" t="s">
        <v>559</v>
      </c>
      <c r="G184" s="233">
        <v>4930.0</v>
      </c>
      <c r="H184" s="234">
        <v>3340.0</v>
      </c>
      <c r="I184" s="234">
        <v>1590.0</v>
      </c>
      <c r="J184" s="230">
        <v>25.5</v>
      </c>
      <c r="K184" s="231">
        <v>25.4</v>
      </c>
      <c r="L184" s="227">
        <v>0.169</v>
      </c>
      <c r="M184" s="230">
        <v>0.728</v>
      </c>
      <c r="N184" s="231">
        <v>0.721</v>
      </c>
      <c r="O184" s="227">
        <v>0.00625</v>
      </c>
      <c r="P184" s="230">
        <v>24.8</v>
      </c>
      <c r="Q184" s="231">
        <v>24.6</v>
      </c>
      <c r="R184" s="227">
        <v>0.163</v>
      </c>
      <c r="S184" s="225">
        <v>5.86</v>
      </c>
      <c r="T184" s="226">
        <v>2.7</v>
      </c>
      <c r="U184" s="226">
        <v>3.16</v>
      </c>
      <c r="V184" s="221" t="s">
        <v>1145</v>
      </c>
      <c r="W184" s="91"/>
      <c r="X184" s="91"/>
      <c r="Y184" s="91"/>
      <c r="Z184" s="91"/>
      <c r="AA184" s="91"/>
      <c r="AB184" s="91"/>
      <c r="AC184" s="91"/>
      <c r="AD184" s="91"/>
      <c r="AE184" s="91"/>
      <c r="AF184" s="91"/>
    </row>
    <row r="185" ht="12.75" customHeight="1">
      <c r="A185" s="182" t="s">
        <v>1146</v>
      </c>
      <c r="B185" s="184" t="s">
        <v>1147</v>
      </c>
      <c r="C185" s="183" t="s">
        <v>1148</v>
      </c>
      <c r="D185" s="184" t="s">
        <v>1149</v>
      </c>
      <c r="E185" s="218">
        <v>1000.0</v>
      </c>
      <c r="F185" s="186" t="s">
        <v>559</v>
      </c>
      <c r="G185" s="233">
        <v>4430.0</v>
      </c>
      <c r="H185" s="234">
        <v>2940.0</v>
      </c>
      <c r="I185" s="234">
        <v>1480.0</v>
      </c>
      <c r="J185" s="230">
        <v>23.5</v>
      </c>
      <c r="K185" s="231">
        <v>23.4</v>
      </c>
      <c r="L185" s="227">
        <v>0.134</v>
      </c>
      <c r="M185" s="230">
        <v>0.412</v>
      </c>
      <c r="N185" s="231">
        <v>0.41</v>
      </c>
      <c r="O185" s="227">
        <v>0.00217</v>
      </c>
      <c r="P185" s="230">
        <v>23.1</v>
      </c>
      <c r="Q185" s="231">
        <v>22.9</v>
      </c>
      <c r="R185" s="227">
        <v>0.132</v>
      </c>
      <c r="S185" s="225">
        <v>5.55</v>
      </c>
      <c r="T185" s="226">
        <v>2.52</v>
      </c>
      <c r="U185" s="226">
        <v>3.03</v>
      </c>
      <c r="V185" s="221" t="s">
        <v>1150</v>
      </c>
      <c r="W185" s="91"/>
      <c r="X185" s="91"/>
      <c r="Y185" s="91"/>
      <c r="Z185" s="91"/>
      <c r="AA185" s="91"/>
      <c r="AB185" s="91"/>
      <c r="AC185" s="91"/>
      <c r="AD185" s="91"/>
      <c r="AE185" s="91"/>
      <c r="AF185" s="91"/>
    </row>
    <row r="186" ht="12.75" customHeight="1">
      <c r="A186" s="182" t="s">
        <v>1151</v>
      </c>
      <c r="B186" s="184" t="s">
        <v>1152</v>
      </c>
      <c r="C186" s="183" t="s">
        <v>1153</v>
      </c>
      <c r="D186" s="184" t="s">
        <v>1154</v>
      </c>
      <c r="E186" s="218">
        <v>650.0</v>
      </c>
      <c r="F186" s="186" t="s">
        <v>559</v>
      </c>
      <c r="G186" s="233">
        <v>3040.0</v>
      </c>
      <c r="H186" s="234">
        <v>2950.0</v>
      </c>
      <c r="I186" s="264">
        <v>86.2</v>
      </c>
      <c r="J186" s="230">
        <v>22.5</v>
      </c>
      <c r="K186" s="231">
        <v>22.4</v>
      </c>
      <c r="L186" s="227">
        <v>0.104</v>
      </c>
      <c r="M186" s="230">
        <v>14.5</v>
      </c>
      <c r="N186" s="231">
        <v>14.5</v>
      </c>
      <c r="O186" s="227">
        <v>0.00213</v>
      </c>
      <c r="P186" s="230">
        <v>8.05</v>
      </c>
      <c r="Q186" s="231">
        <v>7.95</v>
      </c>
      <c r="R186" s="227">
        <v>0.102</v>
      </c>
      <c r="S186" s="225">
        <v>1.69</v>
      </c>
      <c r="T186" s="226">
        <v>1.65</v>
      </c>
      <c r="U186" s="232">
        <v>0.0405</v>
      </c>
      <c r="V186" s="221" t="s">
        <v>1155</v>
      </c>
      <c r="W186" s="91"/>
      <c r="X186" s="91"/>
      <c r="Y186" s="91"/>
      <c r="Z186" s="91"/>
      <c r="AA186" s="91"/>
      <c r="AB186" s="91"/>
      <c r="AC186" s="91"/>
      <c r="AD186" s="91"/>
      <c r="AE186" s="91"/>
      <c r="AF186" s="91"/>
    </row>
    <row r="187" ht="12.75" customHeight="1">
      <c r="A187" s="182" t="s">
        <v>1156</v>
      </c>
      <c r="B187" s="184" t="s">
        <v>1157</v>
      </c>
      <c r="C187" s="183" t="s">
        <v>1107</v>
      </c>
      <c r="D187" s="184" t="s">
        <v>1108</v>
      </c>
      <c r="E187" s="218">
        <v>920.0</v>
      </c>
      <c r="F187" s="186" t="s">
        <v>559</v>
      </c>
      <c r="G187" s="233">
        <v>3600.0</v>
      </c>
      <c r="H187" s="234">
        <v>2240.0</v>
      </c>
      <c r="I187" s="234">
        <v>1360.0</v>
      </c>
      <c r="J187" s="230">
        <v>25.7</v>
      </c>
      <c r="K187" s="231">
        <v>25.6</v>
      </c>
      <c r="L187" s="227">
        <v>0.135</v>
      </c>
      <c r="M187" s="230">
        <v>0.909</v>
      </c>
      <c r="N187" s="231">
        <v>0.907</v>
      </c>
      <c r="O187" s="227">
        <v>0.00226</v>
      </c>
      <c r="P187" s="230">
        <v>24.8</v>
      </c>
      <c r="Q187" s="231">
        <v>24.7</v>
      </c>
      <c r="R187" s="227">
        <v>0.133</v>
      </c>
      <c r="S187" s="225">
        <v>5.33</v>
      </c>
      <c r="T187" s="226">
        <v>2.76</v>
      </c>
      <c r="U187" s="226">
        <v>2.58</v>
      </c>
      <c r="V187" s="221" t="s">
        <v>1158</v>
      </c>
      <c r="W187" s="91"/>
      <c r="X187" s="91"/>
      <c r="Y187" s="91"/>
      <c r="Z187" s="91"/>
      <c r="AA187" s="91"/>
      <c r="AB187" s="91"/>
      <c r="AC187" s="91"/>
      <c r="AD187" s="91"/>
      <c r="AE187" s="91"/>
      <c r="AF187" s="91"/>
    </row>
    <row r="188" ht="12.75" customHeight="1">
      <c r="A188" s="182" t="s">
        <v>1159</v>
      </c>
      <c r="B188" s="184" t="s">
        <v>1160</v>
      </c>
      <c r="C188" s="183" t="s">
        <v>1107</v>
      </c>
      <c r="D188" s="184" t="s">
        <v>1108</v>
      </c>
      <c r="E188" s="218">
        <v>920.0</v>
      </c>
      <c r="F188" s="186" t="s">
        <v>559</v>
      </c>
      <c r="G188" s="233">
        <v>3650.0</v>
      </c>
      <c r="H188" s="234">
        <v>2290.0</v>
      </c>
      <c r="I188" s="234">
        <v>1360.0</v>
      </c>
      <c r="J188" s="230">
        <v>26.5</v>
      </c>
      <c r="K188" s="231">
        <v>26.3</v>
      </c>
      <c r="L188" s="227">
        <v>0.135</v>
      </c>
      <c r="M188" s="230">
        <v>0.555</v>
      </c>
      <c r="N188" s="231">
        <v>0.552</v>
      </c>
      <c r="O188" s="227">
        <v>0.00226</v>
      </c>
      <c r="P188" s="230">
        <v>25.9</v>
      </c>
      <c r="Q188" s="231">
        <v>25.8</v>
      </c>
      <c r="R188" s="227">
        <v>0.133</v>
      </c>
      <c r="S188" s="225">
        <v>5.53</v>
      </c>
      <c r="T188" s="226">
        <v>2.95</v>
      </c>
      <c r="U188" s="226">
        <v>2.58</v>
      </c>
      <c r="V188" s="221" t="s">
        <v>1161</v>
      </c>
      <c r="W188" s="91"/>
      <c r="X188" s="91"/>
      <c r="Y188" s="91"/>
      <c r="Z188" s="91"/>
      <c r="AA188" s="91"/>
      <c r="AB188" s="91"/>
      <c r="AC188" s="91"/>
      <c r="AD188" s="91"/>
      <c r="AE188" s="91"/>
      <c r="AF188" s="91"/>
    </row>
    <row r="189" ht="12.75" customHeight="1">
      <c r="A189" s="214" t="s">
        <v>1162</v>
      </c>
      <c r="B189" s="177" t="s">
        <v>1163</v>
      </c>
      <c r="C189" s="176"/>
      <c r="D189" s="177"/>
      <c r="E189" s="178" t="s">
        <v>1164</v>
      </c>
      <c r="F189" s="179"/>
      <c r="G189" s="179"/>
      <c r="H189" s="179"/>
      <c r="I189" s="179"/>
      <c r="J189" s="215"/>
      <c r="K189" s="181"/>
      <c r="L189" s="216"/>
      <c r="M189" s="215"/>
      <c r="N189" s="181"/>
      <c r="O189" s="216"/>
      <c r="P189" s="180"/>
      <c r="Q189" s="181"/>
      <c r="R189" s="181"/>
      <c r="S189" s="180"/>
      <c r="T189" s="181"/>
      <c r="U189" s="181"/>
      <c r="V189" s="217" t="s">
        <v>1165</v>
      </c>
      <c r="W189" s="91"/>
      <c r="X189" s="91"/>
      <c r="Y189" s="91"/>
      <c r="Z189" s="91"/>
      <c r="AA189" s="91"/>
      <c r="AB189" s="91"/>
      <c r="AC189" s="91"/>
      <c r="AD189" s="91"/>
      <c r="AE189" s="91"/>
      <c r="AF189" s="91"/>
    </row>
    <row r="190" ht="12.75" customHeight="1">
      <c r="A190" s="198" t="s">
        <v>1166</v>
      </c>
      <c r="B190" s="162" t="s">
        <v>1167</v>
      </c>
      <c r="C190" s="239" t="s">
        <v>1168</v>
      </c>
      <c r="D190" s="162" t="s">
        <v>1169</v>
      </c>
      <c r="E190" s="185">
        <v>150.0</v>
      </c>
      <c r="F190" s="164" t="s">
        <v>559</v>
      </c>
      <c r="G190" s="195">
        <v>45400.0</v>
      </c>
      <c r="H190" s="196">
        <v>45200.0</v>
      </c>
      <c r="I190" s="188">
        <v>181.0</v>
      </c>
      <c r="J190" s="235">
        <v>245.0</v>
      </c>
      <c r="K190" s="220">
        <v>245.0</v>
      </c>
      <c r="L190" s="163">
        <v>0.128</v>
      </c>
      <c r="M190" s="235">
        <v>13.7</v>
      </c>
      <c r="N190" s="220">
        <v>13.7</v>
      </c>
      <c r="O190" s="163">
        <v>0.00184</v>
      </c>
      <c r="P190" s="219">
        <v>231.0</v>
      </c>
      <c r="Q190" s="220">
        <v>231.0</v>
      </c>
      <c r="R190" s="163">
        <v>0.127</v>
      </c>
      <c r="S190" s="189">
        <v>48.7</v>
      </c>
      <c r="T190" s="163">
        <v>48.4</v>
      </c>
      <c r="U190" s="191">
        <v>0.303</v>
      </c>
      <c r="V190" s="173" t="s">
        <v>1170</v>
      </c>
      <c r="W190" s="170"/>
      <c r="X190" s="170"/>
      <c r="Y190" s="170"/>
      <c r="Z190" s="170"/>
      <c r="AA190" s="170"/>
      <c r="AB190" s="170"/>
      <c r="AC190" s="170"/>
      <c r="AD190" s="170"/>
      <c r="AE190" s="170"/>
      <c r="AF190" s="170"/>
    </row>
    <row r="191" ht="12.75" customHeight="1">
      <c r="A191" s="182" t="s">
        <v>1171</v>
      </c>
      <c r="B191" s="184" t="s">
        <v>1172</v>
      </c>
      <c r="C191" s="183" t="s">
        <v>1173</v>
      </c>
      <c r="D191" s="184" t="s">
        <v>1174</v>
      </c>
      <c r="E191" s="186" t="s">
        <v>1175</v>
      </c>
      <c r="F191" s="186" t="s">
        <v>559</v>
      </c>
      <c r="G191" s="222">
        <v>950.0</v>
      </c>
      <c r="H191" s="223">
        <v>920.0</v>
      </c>
      <c r="I191" s="224">
        <v>29.8</v>
      </c>
      <c r="J191" s="230">
        <v>4.71</v>
      </c>
      <c r="K191" s="226">
        <v>4.64</v>
      </c>
      <c r="L191" s="227">
        <v>0.0684</v>
      </c>
      <c r="M191" s="230">
        <v>0.173</v>
      </c>
      <c r="N191" s="226">
        <v>0.172</v>
      </c>
      <c r="O191" s="227">
        <v>6.68E-4</v>
      </c>
      <c r="P191" s="230">
        <v>4.53</v>
      </c>
      <c r="Q191" s="231">
        <v>4.47</v>
      </c>
      <c r="R191" s="227">
        <v>0.0678</v>
      </c>
      <c r="S191" s="228">
        <v>1.01</v>
      </c>
      <c r="T191" s="227">
        <v>1.0</v>
      </c>
      <c r="U191" s="232">
        <v>0.00999</v>
      </c>
      <c r="V191" s="221" t="s">
        <v>1176</v>
      </c>
      <c r="W191" s="91"/>
      <c r="X191" s="91"/>
      <c r="Y191" s="91"/>
      <c r="Z191" s="91"/>
      <c r="AA191" s="91"/>
      <c r="AB191" s="91"/>
      <c r="AC191" s="91"/>
      <c r="AD191" s="91"/>
      <c r="AE191" s="91"/>
      <c r="AF191" s="91"/>
    </row>
    <row r="192" ht="12.75" customHeight="1">
      <c r="A192" s="182" t="s">
        <v>1177</v>
      </c>
      <c r="B192" s="184" t="s">
        <v>1178</v>
      </c>
      <c r="C192" s="183" t="s">
        <v>591</v>
      </c>
      <c r="D192" s="184" t="s">
        <v>592</v>
      </c>
      <c r="E192" s="186" t="s">
        <v>1175</v>
      </c>
      <c r="F192" s="186" t="s">
        <v>559</v>
      </c>
      <c r="G192" s="222">
        <v>589.0</v>
      </c>
      <c r="H192" s="223">
        <v>563.0</v>
      </c>
      <c r="I192" s="224">
        <v>25.8</v>
      </c>
      <c r="J192" s="230">
        <v>1.91</v>
      </c>
      <c r="K192" s="226">
        <v>1.85</v>
      </c>
      <c r="L192" s="227">
        <v>0.0523</v>
      </c>
      <c r="M192" s="230">
        <v>0.0537</v>
      </c>
      <c r="N192" s="226">
        <v>0.0519</v>
      </c>
      <c r="O192" s="227">
        <v>0.00177</v>
      </c>
      <c r="P192" s="225">
        <v>1.85</v>
      </c>
      <c r="Q192" s="226">
        <v>1.8</v>
      </c>
      <c r="R192" s="227">
        <v>0.0505</v>
      </c>
      <c r="S192" s="228">
        <v>0.437</v>
      </c>
      <c r="T192" s="227">
        <v>0.428</v>
      </c>
      <c r="U192" s="232">
        <v>0.00903</v>
      </c>
      <c r="V192" s="221" t="s">
        <v>1179</v>
      </c>
      <c r="W192" s="91"/>
      <c r="X192" s="91"/>
      <c r="Y192" s="91"/>
      <c r="Z192" s="91"/>
      <c r="AA192" s="91"/>
      <c r="AB192" s="91"/>
      <c r="AC192" s="91"/>
      <c r="AD192" s="91"/>
      <c r="AE192" s="91"/>
      <c r="AF192" s="91"/>
    </row>
    <row r="193" ht="12.75" customHeight="1">
      <c r="A193" s="198" t="s">
        <v>1180</v>
      </c>
      <c r="B193" s="162" t="s">
        <v>1181</v>
      </c>
      <c r="C193" s="239" t="s">
        <v>1182</v>
      </c>
      <c r="D193" s="162" t="s">
        <v>1183</v>
      </c>
      <c r="E193" s="164">
        <v>30.0</v>
      </c>
      <c r="F193" s="164" t="s">
        <v>559</v>
      </c>
      <c r="G193" s="165">
        <v>1630.0</v>
      </c>
      <c r="H193" s="166">
        <v>1480.0</v>
      </c>
      <c r="I193" s="188">
        <v>144.0</v>
      </c>
      <c r="J193" s="235">
        <v>11.3</v>
      </c>
      <c r="K193" s="236">
        <v>11.2</v>
      </c>
      <c r="L193" s="163">
        <v>0.0612</v>
      </c>
      <c r="M193" s="235">
        <v>6.05</v>
      </c>
      <c r="N193" s="236">
        <v>6.05</v>
      </c>
      <c r="O193" s="163">
        <v>9.82E-4</v>
      </c>
      <c r="P193" s="235">
        <v>5.2</v>
      </c>
      <c r="Q193" s="236">
        <v>5.14</v>
      </c>
      <c r="R193" s="163">
        <v>0.0603</v>
      </c>
      <c r="S193" s="219">
        <v>0.99</v>
      </c>
      <c r="T193" s="220">
        <v>0.768</v>
      </c>
      <c r="U193" s="191">
        <v>0.222</v>
      </c>
      <c r="V193" s="173" t="s">
        <v>1184</v>
      </c>
      <c r="W193" s="170"/>
      <c r="X193" s="170"/>
      <c r="Y193" s="170"/>
      <c r="Z193" s="170"/>
      <c r="AA193" s="170"/>
      <c r="AB193" s="170"/>
      <c r="AC193" s="170"/>
      <c r="AD193" s="170"/>
      <c r="AE193" s="170"/>
      <c r="AF193" s="170"/>
    </row>
    <row r="194" ht="12.75" customHeight="1" outlineLevel="1">
      <c r="A194" s="200" t="s">
        <v>1185</v>
      </c>
      <c r="B194" s="201" t="s">
        <v>1186</v>
      </c>
      <c r="C194" s="202" t="s">
        <v>1182</v>
      </c>
      <c r="D194" s="201" t="s">
        <v>1183</v>
      </c>
      <c r="E194" s="204">
        <v>30.0</v>
      </c>
      <c r="F194" s="204" t="s">
        <v>559</v>
      </c>
      <c r="G194" s="205">
        <v>1580.0</v>
      </c>
      <c r="H194" s="203">
        <v>1440.0</v>
      </c>
      <c r="I194" s="207">
        <v>144.0</v>
      </c>
      <c r="J194" s="206">
        <v>11.1</v>
      </c>
      <c r="K194" s="207">
        <v>11.0</v>
      </c>
      <c r="L194" s="208">
        <v>0.0612</v>
      </c>
      <c r="M194" s="206">
        <v>5.99</v>
      </c>
      <c r="N194" s="207">
        <v>5.99</v>
      </c>
      <c r="O194" s="208">
        <v>9.82E-4</v>
      </c>
      <c r="P194" s="206">
        <v>5.06</v>
      </c>
      <c r="Q194" s="207">
        <v>5.0</v>
      </c>
      <c r="R194" s="208">
        <v>0.0603</v>
      </c>
      <c r="S194" s="209">
        <v>0.962</v>
      </c>
      <c r="T194" s="210">
        <v>0.74</v>
      </c>
      <c r="U194" s="265">
        <v>0.222</v>
      </c>
      <c r="V194" s="245" t="s">
        <v>1187</v>
      </c>
      <c r="W194" s="170"/>
      <c r="X194" s="170"/>
      <c r="Y194" s="170"/>
      <c r="Z194" s="170"/>
      <c r="AA194" s="170"/>
      <c r="AB194" s="170"/>
      <c r="AC194" s="170"/>
      <c r="AD194" s="170"/>
      <c r="AE194" s="170"/>
      <c r="AF194" s="170"/>
    </row>
    <row r="195" ht="12.75" customHeight="1">
      <c r="A195" s="198" t="s">
        <v>1188</v>
      </c>
      <c r="B195" s="162" t="s">
        <v>1189</v>
      </c>
      <c r="C195" s="239" t="s">
        <v>1182</v>
      </c>
      <c r="D195" s="162" t="s">
        <v>1183</v>
      </c>
      <c r="E195" s="164">
        <v>30.0</v>
      </c>
      <c r="F195" s="164" t="s">
        <v>559</v>
      </c>
      <c r="G195" s="165">
        <v>2020.0</v>
      </c>
      <c r="H195" s="166">
        <v>1870.0</v>
      </c>
      <c r="I195" s="188">
        <v>144.0</v>
      </c>
      <c r="J195" s="235">
        <v>12.9</v>
      </c>
      <c r="K195" s="236">
        <v>12.9</v>
      </c>
      <c r="L195" s="163">
        <v>0.0612</v>
      </c>
      <c r="M195" s="235">
        <v>5.55</v>
      </c>
      <c r="N195" s="236">
        <v>5.55</v>
      </c>
      <c r="O195" s="163">
        <v>9.82E-4</v>
      </c>
      <c r="P195" s="235">
        <v>7.38</v>
      </c>
      <c r="Q195" s="236">
        <v>7.32</v>
      </c>
      <c r="R195" s="163">
        <v>0.0603</v>
      </c>
      <c r="S195" s="219">
        <v>1.42</v>
      </c>
      <c r="T195" s="220">
        <v>1.2</v>
      </c>
      <c r="U195" s="191">
        <v>0.222</v>
      </c>
      <c r="V195" s="173" t="s">
        <v>1190</v>
      </c>
      <c r="W195" s="170"/>
      <c r="X195" s="170"/>
      <c r="Y195" s="170"/>
      <c r="Z195" s="170"/>
      <c r="AA195" s="170"/>
      <c r="AB195" s="170"/>
      <c r="AC195" s="170"/>
      <c r="AD195" s="170"/>
      <c r="AE195" s="170"/>
      <c r="AF195" s="170"/>
    </row>
    <row r="196" ht="12.75" customHeight="1" outlineLevel="1">
      <c r="A196" s="200" t="s">
        <v>1191</v>
      </c>
      <c r="B196" s="201" t="s">
        <v>1192</v>
      </c>
      <c r="C196" s="202" t="s">
        <v>1182</v>
      </c>
      <c r="D196" s="201" t="s">
        <v>1183</v>
      </c>
      <c r="E196" s="204">
        <v>30.0</v>
      </c>
      <c r="F196" s="204" t="s">
        <v>559</v>
      </c>
      <c r="G196" s="205">
        <v>1970.0</v>
      </c>
      <c r="H196" s="203">
        <v>1820.0</v>
      </c>
      <c r="I196" s="207">
        <v>144.0</v>
      </c>
      <c r="J196" s="206">
        <v>12.7</v>
      </c>
      <c r="K196" s="207">
        <v>12.7</v>
      </c>
      <c r="L196" s="208">
        <v>0.0612</v>
      </c>
      <c r="M196" s="206">
        <v>5.5</v>
      </c>
      <c r="N196" s="207">
        <v>5.5</v>
      </c>
      <c r="O196" s="208">
        <v>9.82E-4</v>
      </c>
      <c r="P196" s="206">
        <v>7.22</v>
      </c>
      <c r="Q196" s="207">
        <v>7.16</v>
      </c>
      <c r="R196" s="208">
        <v>0.0603</v>
      </c>
      <c r="S196" s="209">
        <v>1.39</v>
      </c>
      <c r="T196" s="210">
        <v>1.17</v>
      </c>
      <c r="U196" s="265">
        <v>0.222</v>
      </c>
      <c r="V196" s="245" t="s">
        <v>1193</v>
      </c>
      <c r="W196" s="170"/>
      <c r="X196" s="170"/>
      <c r="Y196" s="170"/>
      <c r="Z196" s="170"/>
      <c r="AA196" s="170"/>
      <c r="AB196" s="170"/>
      <c r="AC196" s="170"/>
      <c r="AD196" s="170"/>
      <c r="AE196" s="170"/>
      <c r="AF196" s="170"/>
    </row>
    <row r="197" ht="12.75" customHeight="1">
      <c r="A197" s="182" t="s">
        <v>1194</v>
      </c>
      <c r="B197" s="184" t="s">
        <v>1195</v>
      </c>
      <c r="C197" s="183" t="s">
        <v>1173</v>
      </c>
      <c r="D197" s="184" t="s">
        <v>1174</v>
      </c>
      <c r="E197" s="186" t="s">
        <v>1196</v>
      </c>
      <c r="F197" s="186" t="s">
        <v>559</v>
      </c>
      <c r="G197" s="165">
        <v>1690.0</v>
      </c>
      <c r="H197" s="166">
        <v>1660.0</v>
      </c>
      <c r="I197" s="188">
        <v>29.8</v>
      </c>
      <c r="J197" s="235">
        <v>9.94</v>
      </c>
      <c r="K197" s="236">
        <v>9.87</v>
      </c>
      <c r="L197" s="163">
        <v>0.0684</v>
      </c>
      <c r="M197" s="235">
        <v>2.19</v>
      </c>
      <c r="N197" s="236">
        <v>2.19</v>
      </c>
      <c r="O197" s="163">
        <v>6.68E-4</v>
      </c>
      <c r="P197" s="235">
        <v>7.75</v>
      </c>
      <c r="Q197" s="236">
        <v>7.68</v>
      </c>
      <c r="R197" s="163">
        <v>0.0678</v>
      </c>
      <c r="S197" s="219">
        <v>1.13</v>
      </c>
      <c r="T197" s="220">
        <v>1.12</v>
      </c>
      <c r="U197" s="191">
        <v>0.00999</v>
      </c>
      <c r="V197" s="221" t="s">
        <v>1197</v>
      </c>
      <c r="W197" s="91"/>
      <c r="X197" s="91"/>
      <c r="Y197" s="91"/>
      <c r="Z197" s="91"/>
      <c r="AA197" s="91"/>
      <c r="AB197" s="91"/>
      <c r="AC197" s="91"/>
      <c r="AD197" s="91"/>
      <c r="AE197" s="91"/>
      <c r="AF197" s="91"/>
    </row>
    <row r="198" ht="12.75" customHeight="1" outlineLevel="1">
      <c r="A198" s="252" t="s">
        <v>1198</v>
      </c>
      <c r="B198" s="253" t="s">
        <v>1199</v>
      </c>
      <c r="C198" s="254" t="s">
        <v>1173</v>
      </c>
      <c r="D198" s="253" t="s">
        <v>1174</v>
      </c>
      <c r="E198" s="256" t="s">
        <v>1196</v>
      </c>
      <c r="F198" s="256" t="s">
        <v>559</v>
      </c>
      <c r="G198" s="257">
        <v>1290.0</v>
      </c>
      <c r="H198" s="255">
        <v>1260.0</v>
      </c>
      <c r="I198" s="259">
        <v>29.8</v>
      </c>
      <c r="J198" s="258">
        <v>7.17</v>
      </c>
      <c r="K198" s="259">
        <v>7.1</v>
      </c>
      <c r="L198" s="260">
        <v>0.0684</v>
      </c>
      <c r="M198" s="258">
        <v>2.64</v>
      </c>
      <c r="N198" s="259">
        <v>2.64</v>
      </c>
      <c r="O198" s="260">
        <v>6.68E-4</v>
      </c>
      <c r="P198" s="258">
        <v>4.53</v>
      </c>
      <c r="Q198" s="259">
        <v>4.46</v>
      </c>
      <c r="R198" s="260">
        <v>0.0678</v>
      </c>
      <c r="S198" s="261">
        <v>0.795</v>
      </c>
      <c r="T198" s="262">
        <v>0.785</v>
      </c>
      <c r="U198" s="266">
        <v>0.00999</v>
      </c>
      <c r="V198" s="263" t="s">
        <v>1200</v>
      </c>
      <c r="W198" s="91"/>
      <c r="X198" s="91"/>
      <c r="Y198" s="91"/>
      <c r="Z198" s="91"/>
      <c r="AA198" s="91"/>
      <c r="AB198" s="91"/>
      <c r="AC198" s="91"/>
      <c r="AD198" s="91"/>
      <c r="AE198" s="91"/>
      <c r="AF198" s="91"/>
    </row>
    <row r="199" ht="12.75" customHeight="1">
      <c r="A199" s="182" t="s">
        <v>1201</v>
      </c>
      <c r="B199" s="184" t="s">
        <v>1202</v>
      </c>
      <c r="C199" s="183" t="s">
        <v>1203</v>
      </c>
      <c r="D199" s="184" t="s">
        <v>1204</v>
      </c>
      <c r="E199" s="186">
        <v>120.0</v>
      </c>
      <c r="F199" s="186" t="s">
        <v>559</v>
      </c>
      <c r="G199" s="233">
        <v>1690.0</v>
      </c>
      <c r="H199" s="234">
        <v>1530.0</v>
      </c>
      <c r="I199" s="234">
        <v>159.0</v>
      </c>
      <c r="J199" s="230">
        <v>14.3</v>
      </c>
      <c r="K199" s="231">
        <v>14.2</v>
      </c>
      <c r="L199" s="227">
        <v>0.108</v>
      </c>
      <c r="M199" s="230">
        <v>7.68</v>
      </c>
      <c r="N199" s="231">
        <v>7.68</v>
      </c>
      <c r="O199" s="227">
        <v>0.00167</v>
      </c>
      <c r="P199" s="230">
        <v>6.65</v>
      </c>
      <c r="Q199" s="231">
        <v>6.54</v>
      </c>
      <c r="R199" s="227">
        <v>0.106</v>
      </c>
      <c r="S199" s="225">
        <v>1.34</v>
      </c>
      <c r="T199" s="226">
        <v>1.12</v>
      </c>
      <c r="U199" s="227">
        <v>0.221</v>
      </c>
      <c r="V199" s="221" t="s">
        <v>1205</v>
      </c>
      <c r="W199" s="91"/>
      <c r="X199" s="91"/>
      <c r="Y199" s="91"/>
      <c r="Z199" s="91"/>
      <c r="AA199" s="91"/>
      <c r="AB199" s="91"/>
      <c r="AC199" s="91"/>
      <c r="AD199" s="91"/>
      <c r="AE199" s="91"/>
      <c r="AF199" s="91"/>
    </row>
    <row r="200" ht="12.75" customHeight="1">
      <c r="A200" s="182" t="s">
        <v>1206</v>
      </c>
      <c r="B200" s="184" t="s">
        <v>1207</v>
      </c>
      <c r="C200" s="183" t="s">
        <v>1208</v>
      </c>
      <c r="D200" s="184" t="s">
        <v>1209</v>
      </c>
      <c r="E200" s="186">
        <v>40.0</v>
      </c>
      <c r="F200" s="186" t="s">
        <v>559</v>
      </c>
      <c r="G200" s="233">
        <v>6490.0</v>
      </c>
      <c r="H200" s="234">
        <v>5310.0</v>
      </c>
      <c r="I200" s="234">
        <v>1180.0</v>
      </c>
      <c r="J200" s="243">
        <v>35.3</v>
      </c>
      <c r="K200" s="242">
        <v>34.2</v>
      </c>
      <c r="L200" s="227">
        <v>1.11</v>
      </c>
      <c r="M200" s="243">
        <v>0.707</v>
      </c>
      <c r="N200" s="242">
        <v>0.62</v>
      </c>
      <c r="O200" s="227">
        <v>0.0863</v>
      </c>
      <c r="P200" s="243">
        <v>34.6</v>
      </c>
      <c r="Q200" s="242">
        <v>33.6</v>
      </c>
      <c r="R200" s="227">
        <v>1.03</v>
      </c>
      <c r="S200" s="225">
        <v>6.23</v>
      </c>
      <c r="T200" s="226">
        <v>4.19</v>
      </c>
      <c r="U200" s="226">
        <v>2.04</v>
      </c>
      <c r="V200" s="221" t="s">
        <v>1210</v>
      </c>
      <c r="W200" s="91"/>
      <c r="X200" s="91"/>
      <c r="Y200" s="91"/>
      <c r="Z200" s="91"/>
      <c r="AA200" s="91"/>
      <c r="AB200" s="91"/>
      <c r="AC200" s="91"/>
      <c r="AD200" s="91"/>
      <c r="AE200" s="91"/>
      <c r="AF200" s="91"/>
    </row>
    <row r="201" ht="12.75" customHeight="1">
      <c r="A201" s="182" t="s">
        <v>1211</v>
      </c>
      <c r="B201" s="184" t="s">
        <v>1212</v>
      </c>
      <c r="C201" s="183" t="s">
        <v>1213</v>
      </c>
      <c r="D201" s="184" t="s">
        <v>1214</v>
      </c>
      <c r="E201" s="186" t="s">
        <v>1215</v>
      </c>
      <c r="F201" s="186" t="s">
        <v>559</v>
      </c>
      <c r="G201" s="165">
        <v>5180.0</v>
      </c>
      <c r="H201" s="166">
        <v>3610.0</v>
      </c>
      <c r="I201" s="166">
        <v>1570.0</v>
      </c>
      <c r="J201" s="171">
        <v>30.2</v>
      </c>
      <c r="K201" s="172">
        <v>30.0</v>
      </c>
      <c r="L201" s="163">
        <v>0.136</v>
      </c>
      <c r="M201" s="171">
        <v>0.36</v>
      </c>
      <c r="N201" s="172">
        <v>0.358</v>
      </c>
      <c r="O201" s="163">
        <v>0.00236</v>
      </c>
      <c r="P201" s="171">
        <v>29.8</v>
      </c>
      <c r="Q201" s="172">
        <v>29.7</v>
      </c>
      <c r="R201" s="163">
        <v>0.133</v>
      </c>
      <c r="S201" s="219">
        <v>7.64</v>
      </c>
      <c r="T201" s="220">
        <v>4.46</v>
      </c>
      <c r="U201" s="220">
        <v>3.19</v>
      </c>
      <c r="V201" s="221" t="s">
        <v>1216</v>
      </c>
      <c r="W201" s="91"/>
      <c r="X201" s="91"/>
      <c r="Y201" s="91"/>
      <c r="Z201" s="91"/>
      <c r="AA201" s="91"/>
      <c r="AB201" s="91"/>
      <c r="AC201" s="91"/>
      <c r="AD201" s="91"/>
      <c r="AE201" s="91"/>
      <c r="AF201" s="91"/>
    </row>
    <row r="202" ht="12.75" customHeight="1">
      <c r="A202" s="182" t="s">
        <v>1217</v>
      </c>
      <c r="B202" s="184" t="s">
        <v>1218</v>
      </c>
      <c r="C202" s="183" t="s">
        <v>1213</v>
      </c>
      <c r="D202" s="184" t="s">
        <v>1214</v>
      </c>
      <c r="E202" s="186" t="s">
        <v>1219</v>
      </c>
      <c r="F202" s="186" t="s">
        <v>559</v>
      </c>
      <c r="G202" s="165">
        <v>10800.0</v>
      </c>
      <c r="H202" s="166">
        <v>9240.0</v>
      </c>
      <c r="I202" s="166">
        <v>1570.0</v>
      </c>
      <c r="J202" s="171">
        <v>29.6</v>
      </c>
      <c r="K202" s="172">
        <v>29.4</v>
      </c>
      <c r="L202" s="163">
        <v>0.136</v>
      </c>
      <c r="M202" s="171">
        <v>0.507</v>
      </c>
      <c r="N202" s="172">
        <v>0.505</v>
      </c>
      <c r="O202" s="163">
        <v>0.00236</v>
      </c>
      <c r="P202" s="235">
        <v>29.1</v>
      </c>
      <c r="Q202" s="236">
        <v>28.9</v>
      </c>
      <c r="R202" s="163">
        <v>0.133</v>
      </c>
      <c r="S202" s="235">
        <v>14.5</v>
      </c>
      <c r="T202" s="236">
        <v>11.3</v>
      </c>
      <c r="U202" s="220">
        <v>3.19</v>
      </c>
      <c r="V202" s="221" t="s">
        <v>1220</v>
      </c>
      <c r="W202" s="91"/>
      <c r="X202" s="91"/>
      <c r="Y202" s="91"/>
      <c r="Z202" s="91"/>
      <c r="AA202" s="91"/>
      <c r="AB202" s="91"/>
      <c r="AC202" s="91"/>
      <c r="AD202" s="91"/>
      <c r="AE202" s="91"/>
      <c r="AF202" s="91"/>
    </row>
    <row r="203" ht="12.75" customHeight="1">
      <c r="A203" s="182" t="s">
        <v>1221</v>
      </c>
      <c r="B203" s="184" t="s">
        <v>1222</v>
      </c>
      <c r="C203" s="183" t="s">
        <v>1223</v>
      </c>
      <c r="D203" s="184" t="s">
        <v>1224</v>
      </c>
      <c r="E203" s="186">
        <v>30.0</v>
      </c>
      <c r="F203" s="186" t="s">
        <v>559</v>
      </c>
      <c r="G203" s="165">
        <v>6630.0</v>
      </c>
      <c r="H203" s="166">
        <v>5110.0</v>
      </c>
      <c r="I203" s="166">
        <v>1510.0</v>
      </c>
      <c r="J203" s="171">
        <v>31.0</v>
      </c>
      <c r="K203" s="172">
        <v>30.4</v>
      </c>
      <c r="L203" s="220">
        <v>0.652</v>
      </c>
      <c r="M203" s="171">
        <v>0.806</v>
      </c>
      <c r="N203" s="172">
        <v>0.796</v>
      </c>
      <c r="O203" s="220">
        <v>0.0096</v>
      </c>
      <c r="P203" s="171">
        <v>30.2</v>
      </c>
      <c r="Q203" s="172">
        <v>29.6</v>
      </c>
      <c r="R203" s="220">
        <v>0.642</v>
      </c>
      <c r="S203" s="219">
        <v>7.52</v>
      </c>
      <c r="T203" s="220">
        <v>4.8</v>
      </c>
      <c r="U203" s="220">
        <v>2.72</v>
      </c>
      <c r="V203" s="221" t="s">
        <v>1225</v>
      </c>
      <c r="W203" s="91"/>
      <c r="X203" s="91"/>
      <c r="Y203" s="91"/>
      <c r="Z203" s="91"/>
      <c r="AA203" s="91"/>
      <c r="AB203" s="91"/>
      <c r="AC203" s="91"/>
      <c r="AD203" s="91"/>
      <c r="AE203" s="91"/>
      <c r="AF203" s="91"/>
    </row>
    <row r="204" ht="12.75" customHeight="1">
      <c r="A204" s="182" t="s">
        <v>1226</v>
      </c>
      <c r="B204" s="184" t="s">
        <v>1227</v>
      </c>
      <c r="C204" s="183" t="s">
        <v>637</v>
      </c>
      <c r="D204" s="184" t="s">
        <v>638</v>
      </c>
      <c r="E204" s="186" t="s">
        <v>1228</v>
      </c>
      <c r="F204" s="186" t="s">
        <v>559</v>
      </c>
      <c r="G204" s="233">
        <v>1040.0</v>
      </c>
      <c r="H204" s="234">
        <v>1020.0</v>
      </c>
      <c r="I204" s="224">
        <v>18.6</v>
      </c>
      <c r="J204" s="230">
        <v>7.21</v>
      </c>
      <c r="K204" s="231">
        <v>7.14</v>
      </c>
      <c r="L204" s="227">
        <v>0.0684</v>
      </c>
      <c r="M204" s="230">
        <v>1.89</v>
      </c>
      <c r="N204" s="231">
        <v>1.89</v>
      </c>
      <c r="O204" s="227">
        <v>6.68E-4</v>
      </c>
      <c r="P204" s="230">
        <v>5.32</v>
      </c>
      <c r="Q204" s="231">
        <v>5.26</v>
      </c>
      <c r="R204" s="227">
        <v>0.0678</v>
      </c>
      <c r="S204" s="225">
        <v>1.17</v>
      </c>
      <c r="T204" s="226">
        <v>1.16</v>
      </c>
      <c r="U204" s="232">
        <v>0.00999</v>
      </c>
      <c r="V204" s="221" t="s">
        <v>1229</v>
      </c>
      <c r="W204" s="91"/>
      <c r="X204" s="91"/>
      <c r="Y204" s="91"/>
      <c r="Z204" s="91"/>
      <c r="AA204" s="91"/>
      <c r="AB204" s="91"/>
      <c r="AC204" s="91"/>
      <c r="AD204" s="91"/>
      <c r="AE204" s="91"/>
      <c r="AF204" s="91"/>
    </row>
    <row r="205" ht="12.75" customHeight="1">
      <c r="A205" s="198" t="s">
        <v>1230</v>
      </c>
      <c r="B205" s="162" t="s">
        <v>1231</v>
      </c>
      <c r="C205" s="239" t="s">
        <v>1232</v>
      </c>
      <c r="D205" s="162" t="s">
        <v>1233</v>
      </c>
      <c r="E205" s="164" t="s">
        <v>1234</v>
      </c>
      <c r="F205" s="164" t="s">
        <v>559</v>
      </c>
      <c r="G205" s="165">
        <v>323.0</v>
      </c>
      <c r="H205" s="166">
        <v>309.0</v>
      </c>
      <c r="I205" s="188">
        <v>14.2</v>
      </c>
      <c r="J205" s="235">
        <v>2.0</v>
      </c>
      <c r="K205" s="236">
        <v>1.95</v>
      </c>
      <c r="L205" s="163">
        <v>0.0549</v>
      </c>
      <c r="M205" s="235">
        <v>0.261</v>
      </c>
      <c r="N205" s="236">
        <v>0.26</v>
      </c>
      <c r="O205" s="163">
        <v>4.83E-4</v>
      </c>
      <c r="P205" s="235">
        <v>1.74</v>
      </c>
      <c r="Q205" s="236">
        <v>1.69</v>
      </c>
      <c r="R205" s="163">
        <v>0.0544</v>
      </c>
      <c r="S205" s="219">
        <v>0.155</v>
      </c>
      <c r="T205" s="220">
        <v>0.148</v>
      </c>
      <c r="U205" s="191">
        <v>0.00708</v>
      </c>
      <c r="V205" s="173" t="s">
        <v>1235</v>
      </c>
      <c r="W205" s="170"/>
      <c r="X205" s="170"/>
      <c r="Y205" s="170"/>
      <c r="Z205" s="170"/>
      <c r="AA205" s="170"/>
      <c r="AB205" s="170"/>
      <c r="AC205" s="170"/>
      <c r="AD205" s="170"/>
      <c r="AE205" s="170"/>
      <c r="AF205" s="170"/>
    </row>
    <row r="206" ht="12.75" customHeight="1" outlineLevel="1">
      <c r="A206" s="200" t="s">
        <v>1236</v>
      </c>
      <c r="B206" s="201" t="s">
        <v>1237</v>
      </c>
      <c r="C206" s="202" t="s">
        <v>1232</v>
      </c>
      <c r="D206" s="201" t="s">
        <v>1233</v>
      </c>
      <c r="E206" s="204" t="s">
        <v>1234</v>
      </c>
      <c r="F206" s="204" t="s">
        <v>559</v>
      </c>
      <c r="G206" s="205">
        <v>276.0</v>
      </c>
      <c r="H206" s="203">
        <v>262.0</v>
      </c>
      <c r="I206" s="207">
        <v>14.2</v>
      </c>
      <c r="J206" s="206">
        <v>1.8</v>
      </c>
      <c r="K206" s="207">
        <v>1.74</v>
      </c>
      <c r="L206" s="208">
        <v>0.0549</v>
      </c>
      <c r="M206" s="206">
        <v>0.244</v>
      </c>
      <c r="N206" s="207">
        <v>0.243</v>
      </c>
      <c r="O206" s="208">
        <v>4.83E-4</v>
      </c>
      <c r="P206" s="206">
        <v>1.56</v>
      </c>
      <c r="Q206" s="207">
        <v>1.5</v>
      </c>
      <c r="R206" s="208">
        <v>0.0544</v>
      </c>
      <c r="S206" s="209">
        <v>0.127</v>
      </c>
      <c r="T206" s="210">
        <v>0.12</v>
      </c>
      <c r="U206" s="265">
        <v>0.00708</v>
      </c>
      <c r="V206" s="245" t="s">
        <v>1238</v>
      </c>
      <c r="W206" s="170"/>
      <c r="X206" s="170"/>
      <c r="Y206" s="170"/>
      <c r="Z206" s="170"/>
      <c r="AA206" s="170"/>
      <c r="AB206" s="170"/>
      <c r="AC206" s="170"/>
      <c r="AD206" s="170"/>
      <c r="AE206" s="170"/>
      <c r="AF206" s="170"/>
    </row>
    <row r="207" ht="12.75" customHeight="1">
      <c r="A207" s="182" t="s">
        <v>1239</v>
      </c>
      <c r="B207" s="184" t="s">
        <v>1240</v>
      </c>
      <c r="C207" s="183" t="s">
        <v>1173</v>
      </c>
      <c r="D207" s="184" t="s">
        <v>1174</v>
      </c>
      <c r="E207" s="186" t="s">
        <v>1241</v>
      </c>
      <c r="F207" s="186" t="s">
        <v>559</v>
      </c>
      <c r="G207" s="165">
        <v>1140.0</v>
      </c>
      <c r="H207" s="166">
        <v>1110.0</v>
      </c>
      <c r="I207" s="188">
        <v>29.8</v>
      </c>
      <c r="J207" s="235">
        <v>4.67</v>
      </c>
      <c r="K207" s="236">
        <v>4.6</v>
      </c>
      <c r="L207" s="163">
        <v>0.0684</v>
      </c>
      <c r="M207" s="235">
        <v>0.339</v>
      </c>
      <c r="N207" s="236">
        <v>0.338</v>
      </c>
      <c r="O207" s="163">
        <v>6.68E-4</v>
      </c>
      <c r="P207" s="235">
        <v>4.33</v>
      </c>
      <c r="Q207" s="236">
        <v>4.27</v>
      </c>
      <c r="R207" s="163">
        <v>0.0678</v>
      </c>
      <c r="S207" s="219">
        <v>1.13</v>
      </c>
      <c r="T207" s="220">
        <v>1.12</v>
      </c>
      <c r="U207" s="191">
        <v>0.00999</v>
      </c>
      <c r="V207" s="221" t="s">
        <v>1242</v>
      </c>
      <c r="W207" s="91"/>
      <c r="X207" s="91"/>
      <c r="Y207" s="91"/>
      <c r="Z207" s="91"/>
      <c r="AA207" s="91"/>
      <c r="AB207" s="91"/>
      <c r="AC207" s="91"/>
      <c r="AD207" s="91"/>
      <c r="AE207" s="91"/>
      <c r="AF207" s="91"/>
    </row>
    <row r="208" ht="12.75" customHeight="1" outlineLevel="1">
      <c r="A208" s="252" t="s">
        <v>1243</v>
      </c>
      <c r="B208" s="253" t="s">
        <v>1244</v>
      </c>
      <c r="C208" s="254" t="s">
        <v>1173</v>
      </c>
      <c r="D208" s="253" t="s">
        <v>1174</v>
      </c>
      <c r="E208" s="256" t="s">
        <v>1241</v>
      </c>
      <c r="F208" s="256" t="s">
        <v>559</v>
      </c>
      <c r="G208" s="205">
        <v>1040.0</v>
      </c>
      <c r="H208" s="203">
        <v>1010.0</v>
      </c>
      <c r="I208" s="207">
        <v>29.8</v>
      </c>
      <c r="J208" s="206">
        <v>4.33</v>
      </c>
      <c r="K208" s="207">
        <v>4.26</v>
      </c>
      <c r="L208" s="208">
        <v>0.0684</v>
      </c>
      <c r="M208" s="206">
        <v>0.328</v>
      </c>
      <c r="N208" s="207">
        <v>0.328</v>
      </c>
      <c r="O208" s="208">
        <v>6.68E-4</v>
      </c>
      <c r="P208" s="206">
        <v>4.0</v>
      </c>
      <c r="Q208" s="207">
        <v>3.93</v>
      </c>
      <c r="R208" s="208">
        <v>0.0678</v>
      </c>
      <c r="S208" s="209">
        <v>1.06</v>
      </c>
      <c r="T208" s="210">
        <v>1.05</v>
      </c>
      <c r="U208" s="265">
        <v>0.00999</v>
      </c>
      <c r="V208" s="263" t="s">
        <v>1245</v>
      </c>
      <c r="W208" s="91"/>
      <c r="X208" s="91"/>
      <c r="Y208" s="91"/>
      <c r="Z208" s="91"/>
      <c r="AA208" s="91"/>
      <c r="AB208" s="91"/>
      <c r="AC208" s="91"/>
      <c r="AD208" s="91"/>
      <c r="AE208" s="91"/>
      <c r="AF208" s="91"/>
    </row>
    <row r="209" ht="12.75" customHeight="1">
      <c r="A209" s="198" t="s">
        <v>1246</v>
      </c>
      <c r="B209" s="162" t="s">
        <v>1247</v>
      </c>
      <c r="C209" s="239" t="s">
        <v>1248</v>
      </c>
      <c r="D209" s="162" t="s">
        <v>1249</v>
      </c>
      <c r="E209" s="164">
        <v>215.0</v>
      </c>
      <c r="F209" s="164" t="s">
        <v>559</v>
      </c>
      <c r="G209" s="165">
        <v>562.0</v>
      </c>
      <c r="H209" s="166">
        <v>562.0</v>
      </c>
      <c r="I209" s="188">
        <v>0.0</v>
      </c>
      <c r="J209" s="235">
        <v>5.02</v>
      </c>
      <c r="K209" s="236">
        <v>5.02</v>
      </c>
      <c r="L209" s="163">
        <v>0.0</v>
      </c>
      <c r="M209" s="235">
        <v>4.79</v>
      </c>
      <c r="N209" s="236">
        <v>4.79</v>
      </c>
      <c r="O209" s="163">
        <v>0.0</v>
      </c>
      <c r="P209" s="235">
        <v>0.228</v>
      </c>
      <c r="Q209" s="236">
        <v>0.228</v>
      </c>
      <c r="R209" s="163">
        <v>0.0</v>
      </c>
      <c r="S209" s="219">
        <v>0.09</v>
      </c>
      <c r="T209" s="220">
        <v>0.09</v>
      </c>
      <c r="U209" s="191">
        <v>0.0</v>
      </c>
      <c r="V209" s="173" t="s">
        <v>1250</v>
      </c>
      <c r="W209" s="170"/>
      <c r="X209" s="170"/>
      <c r="Y209" s="170"/>
      <c r="Z209" s="170"/>
      <c r="AA209" s="170"/>
      <c r="AB209" s="170"/>
      <c r="AC209" s="170"/>
      <c r="AD209" s="170"/>
      <c r="AE209" s="170"/>
      <c r="AF209" s="170"/>
    </row>
    <row r="210" ht="12.75" customHeight="1">
      <c r="A210" s="182" t="s">
        <v>1251</v>
      </c>
      <c r="B210" s="184" t="s">
        <v>1252</v>
      </c>
      <c r="C210" s="183" t="s">
        <v>1253</v>
      </c>
      <c r="D210" s="184" t="s">
        <v>1254</v>
      </c>
      <c r="E210" s="172">
        <v>147.5</v>
      </c>
      <c r="F210" s="186" t="s">
        <v>559</v>
      </c>
      <c r="G210" s="195">
        <v>860.0</v>
      </c>
      <c r="H210" s="196">
        <v>816.0</v>
      </c>
      <c r="I210" s="188">
        <v>43.6</v>
      </c>
      <c r="J210" s="235">
        <v>10.6</v>
      </c>
      <c r="K210" s="236">
        <v>10.5</v>
      </c>
      <c r="L210" s="163">
        <v>0.0414</v>
      </c>
      <c r="M210" s="235">
        <v>7.04</v>
      </c>
      <c r="N210" s="236">
        <v>7.03</v>
      </c>
      <c r="O210" s="163">
        <v>6.55E-4</v>
      </c>
      <c r="P210" s="235">
        <v>3.53</v>
      </c>
      <c r="Q210" s="236">
        <v>3.49</v>
      </c>
      <c r="R210" s="163">
        <v>0.0407</v>
      </c>
      <c r="S210" s="189">
        <v>0.665</v>
      </c>
      <c r="T210" s="163">
        <v>0.624</v>
      </c>
      <c r="U210" s="191">
        <v>0.0414</v>
      </c>
      <c r="V210" s="221" t="s">
        <v>1255</v>
      </c>
      <c r="W210" s="91"/>
      <c r="X210" s="91"/>
      <c r="Y210" s="91"/>
      <c r="Z210" s="91"/>
      <c r="AA210" s="91"/>
      <c r="AB210" s="91"/>
      <c r="AC210" s="91"/>
      <c r="AD210" s="91"/>
      <c r="AE210" s="91"/>
      <c r="AF210" s="91"/>
    </row>
    <row r="211" ht="12.75" customHeight="1" outlineLevel="1">
      <c r="A211" s="200" t="s">
        <v>1256</v>
      </c>
      <c r="B211" s="201" t="s">
        <v>1257</v>
      </c>
      <c r="C211" s="202" t="s">
        <v>1253</v>
      </c>
      <c r="D211" s="201" t="s">
        <v>1254</v>
      </c>
      <c r="E211" s="267">
        <v>140.0</v>
      </c>
      <c r="F211" s="204" t="s">
        <v>559</v>
      </c>
      <c r="G211" s="205">
        <v>691.0</v>
      </c>
      <c r="H211" s="203">
        <v>648.0</v>
      </c>
      <c r="I211" s="207">
        <v>43.6</v>
      </c>
      <c r="J211" s="206">
        <v>10.0</v>
      </c>
      <c r="K211" s="207">
        <v>10.0</v>
      </c>
      <c r="L211" s="208">
        <v>0.0414</v>
      </c>
      <c r="M211" s="206">
        <v>6.9</v>
      </c>
      <c r="N211" s="207">
        <v>6.9</v>
      </c>
      <c r="O211" s="208">
        <v>6.55E-4</v>
      </c>
      <c r="P211" s="206">
        <v>3.14</v>
      </c>
      <c r="Q211" s="207">
        <v>3.1</v>
      </c>
      <c r="R211" s="208">
        <v>0.0407</v>
      </c>
      <c r="S211" s="209">
        <v>0.445</v>
      </c>
      <c r="T211" s="210">
        <v>0.404</v>
      </c>
      <c r="U211" s="265">
        <v>0.0414</v>
      </c>
      <c r="V211" s="245" t="s">
        <v>1258</v>
      </c>
      <c r="W211" s="170"/>
      <c r="X211" s="170"/>
      <c r="Y211" s="170"/>
      <c r="Z211" s="170"/>
      <c r="AA211" s="170"/>
      <c r="AB211" s="170"/>
      <c r="AC211" s="170"/>
      <c r="AD211" s="170"/>
      <c r="AE211" s="170"/>
      <c r="AF211" s="170"/>
    </row>
    <row r="212" ht="12.75" customHeight="1">
      <c r="A212" s="182" t="s">
        <v>1259</v>
      </c>
      <c r="B212" s="184" t="s">
        <v>1260</v>
      </c>
      <c r="C212" s="183" t="s">
        <v>1153</v>
      </c>
      <c r="D212" s="184" t="s">
        <v>1154</v>
      </c>
      <c r="E212" s="186" t="s">
        <v>1261</v>
      </c>
      <c r="F212" s="186" t="s">
        <v>559</v>
      </c>
      <c r="G212" s="222">
        <v>418.0</v>
      </c>
      <c r="H212" s="223">
        <v>332.0</v>
      </c>
      <c r="I212" s="224">
        <v>86.2</v>
      </c>
      <c r="J212" s="225">
        <v>1.28</v>
      </c>
      <c r="K212" s="226">
        <v>1.17</v>
      </c>
      <c r="L212" s="227">
        <v>0.104</v>
      </c>
      <c r="M212" s="225">
        <v>0.242</v>
      </c>
      <c r="N212" s="226">
        <v>0.24</v>
      </c>
      <c r="O212" s="227">
        <v>0.00213</v>
      </c>
      <c r="P212" s="225">
        <v>1.03</v>
      </c>
      <c r="Q212" s="226">
        <v>0.931</v>
      </c>
      <c r="R212" s="227">
        <v>0.102</v>
      </c>
      <c r="S212" s="228">
        <v>0.257</v>
      </c>
      <c r="T212" s="227">
        <v>0.216</v>
      </c>
      <c r="U212" s="232">
        <v>0.0405</v>
      </c>
      <c r="V212" s="221" t="s">
        <v>1262</v>
      </c>
      <c r="W212" s="91"/>
      <c r="X212" s="91"/>
      <c r="Y212" s="91"/>
      <c r="Z212" s="91"/>
      <c r="AA212" s="91"/>
      <c r="AB212" s="91"/>
      <c r="AC212" s="91"/>
      <c r="AD212" s="91"/>
      <c r="AE212" s="91"/>
      <c r="AF212" s="91"/>
    </row>
    <row r="213" ht="12.75" customHeight="1" outlineLevel="1">
      <c r="A213" s="252" t="s">
        <v>1263</v>
      </c>
      <c r="B213" s="253" t="s">
        <v>1264</v>
      </c>
      <c r="C213" s="254" t="s">
        <v>1153</v>
      </c>
      <c r="D213" s="253" t="s">
        <v>1154</v>
      </c>
      <c r="E213" s="256" t="s">
        <v>1261</v>
      </c>
      <c r="F213" s="256" t="s">
        <v>559</v>
      </c>
      <c r="G213" s="268">
        <v>339.0</v>
      </c>
      <c r="H213" s="269">
        <v>253.0</v>
      </c>
      <c r="I213" s="259">
        <v>86.2</v>
      </c>
      <c r="J213" s="261">
        <v>1.01</v>
      </c>
      <c r="K213" s="262">
        <v>0.909</v>
      </c>
      <c r="L213" s="260">
        <v>0.104</v>
      </c>
      <c r="M213" s="261">
        <v>0.228</v>
      </c>
      <c r="N213" s="262">
        <v>0.226</v>
      </c>
      <c r="O213" s="260">
        <v>0.00213</v>
      </c>
      <c r="P213" s="261">
        <v>0.785</v>
      </c>
      <c r="Q213" s="262">
        <v>0.683</v>
      </c>
      <c r="R213" s="260">
        <v>0.102</v>
      </c>
      <c r="S213" s="270">
        <v>0.203</v>
      </c>
      <c r="T213" s="260">
        <v>0.163</v>
      </c>
      <c r="U213" s="266">
        <v>0.0405</v>
      </c>
      <c r="V213" s="263" t="s">
        <v>1265</v>
      </c>
      <c r="W213" s="91"/>
      <c r="X213" s="91"/>
      <c r="Y213" s="91"/>
      <c r="Z213" s="91"/>
      <c r="AA213" s="91"/>
      <c r="AB213" s="91"/>
      <c r="AC213" s="91"/>
      <c r="AD213" s="91"/>
      <c r="AE213" s="91"/>
      <c r="AF213" s="91"/>
    </row>
    <row r="214" ht="12.75" customHeight="1">
      <c r="A214" s="214" t="s">
        <v>1266</v>
      </c>
      <c r="B214" s="177" t="s">
        <v>1267</v>
      </c>
      <c r="C214" s="176"/>
      <c r="D214" s="177"/>
      <c r="E214" s="178" t="s">
        <v>1268</v>
      </c>
      <c r="F214" s="179"/>
      <c r="G214" s="179"/>
      <c r="H214" s="179"/>
      <c r="I214" s="179"/>
      <c r="J214" s="215"/>
      <c r="K214" s="181"/>
      <c r="L214" s="216"/>
      <c r="M214" s="215"/>
      <c r="N214" s="181"/>
      <c r="O214" s="216"/>
      <c r="P214" s="180"/>
      <c r="Q214" s="181"/>
      <c r="R214" s="181"/>
      <c r="S214" s="180"/>
      <c r="T214" s="181"/>
      <c r="U214" s="181"/>
      <c r="V214" s="217" t="s">
        <v>1269</v>
      </c>
      <c r="W214" s="91"/>
      <c r="X214" s="91"/>
      <c r="Y214" s="91"/>
      <c r="Z214" s="91"/>
      <c r="AA214" s="91"/>
      <c r="AB214" s="91"/>
      <c r="AC214" s="91"/>
      <c r="AD214" s="91"/>
      <c r="AE214" s="91"/>
      <c r="AF214" s="91"/>
    </row>
    <row r="215" ht="12.75" customHeight="1">
      <c r="A215" s="271" t="s">
        <v>1270</v>
      </c>
      <c r="B215" s="184" t="s">
        <v>1271</v>
      </c>
      <c r="C215" s="184" t="s">
        <v>1079</v>
      </c>
      <c r="D215" s="184" t="s">
        <v>1080</v>
      </c>
      <c r="E215" s="186">
        <v>4.55</v>
      </c>
      <c r="F215" s="186" t="s">
        <v>1272</v>
      </c>
      <c r="G215" s="233">
        <v>28900.0</v>
      </c>
      <c r="H215" s="234">
        <v>25500.0</v>
      </c>
      <c r="I215" s="234">
        <v>3430.0</v>
      </c>
      <c r="J215" s="243">
        <v>66.5</v>
      </c>
      <c r="K215" s="242">
        <v>64.9</v>
      </c>
      <c r="L215" s="226">
        <v>1.61</v>
      </c>
      <c r="M215" s="243">
        <v>1.44</v>
      </c>
      <c r="N215" s="242">
        <v>1.41</v>
      </c>
      <c r="O215" s="226">
        <v>0.0236</v>
      </c>
      <c r="P215" s="243">
        <v>65.1</v>
      </c>
      <c r="Q215" s="242">
        <v>63.5</v>
      </c>
      <c r="R215" s="226">
        <v>1.58</v>
      </c>
      <c r="S215" s="225">
        <v>17.2</v>
      </c>
      <c r="T215" s="226">
        <v>11.1</v>
      </c>
      <c r="U215" s="226">
        <v>6.09</v>
      </c>
      <c r="V215" s="221" t="s">
        <v>1273</v>
      </c>
      <c r="W215" s="91"/>
      <c r="X215" s="91"/>
      <c r="Y215" s="91"/>
      <c r="Z215" s="91"/>
      <c r="AA215" s="91"/>
      <c r="AB215" s="91"/>
      <c r="AC215" s="91"/>
      <c r="AD215" s="91"/>
      <c r="AE215" s="91"/>
      <c r="AF215" s="91"/>
    </row>
    <row r="216" ht="12.75" customHeight="1">
      <c r="A216" s="271" t="s">
        <v>1274</v>
      </c>
      <c r="B216" s="184" t="s">
        <v>1275</v>
      </c>
      <c r="C216" s="184" t="s">
        <v>1276</v>
      </c>
      <c r="D216" s="184" t="s">
        <v>1277</v>
      </c>
      <c r="E216" s="186">
        <v>3.6</v>
      </c>
      <c r="F216" s="186" t="s">
        <v>1278</v>
      </c>
      <c r="G216" s="233">
        <v>21100.0</v>
      </c>
      <c r="H216" s="234">
        <v>18200.0</v>
      </c>
      <c r="I216" s="234">
        <v>2980.0</v>
      </c>
      <c r="J216" s="243">
        <v>64.4</v>
      </c>
      <c r="K216" s="242">
        <v>62.9</v>
      </c>
      <c r="L216" s="226">
        <v>1.56</v>
      </c>
      <c r="M216" s="243">
        <v>2.02</v>
      </c>
      <c r="N216" s="242">
        <v>2.0</v>
      </c>
      <c r="O216" s="226">
        <v>0.0229</v>
      </c>
      <c r="P216" s="243">
        <v>62.4</v>
      </c>
      <c r="Q216" s="242">
        <v>60.9</v>
      </c>
      <c r="R216" s="226">
        <v>1.54</v>
      </c>
      <c r="S216" s="225">
        <v>15.2</v>
      </c>
      <c r="T216" s="226">
        <v>10.0</v>
      </c>
      <c r="U216" s="226">
        <v>5.19</v>
      </c>
      <c r="V216" s="221" t="s">
        <v>1279</v>
      </c>
      <c r="W216" s="91"/>
      <c r="X216" s="91"/>
      <c r="Y216" s="91"/>
      <c r="Z216" s="91"/>
      <c r="AA216" s="91"/>
      <c r="AB216" s="91"/>
      <c r="AC216" s="91"/>
      <c r="AD216" s="91"/>
      <c r="AE216" s="91"/>
      <c r="AF216" s="91"/>
    </row>
    <row r="217" ht="12.75" customHeight="1">
      <c r="A217" s="271" t="s">
        <v>1280</v>
      </c>
      <c r="B217" s="184" t="s">
        <v>1281</v>
      </c>
      <c r="C217" s="184" t="s">
        <v>1282</v>
      </c>
      <c r="D217" s="184" t="s">
        <v>1283</v>
      </c>
      <c r="E217" s="186">
        <v>8.25</v>
      </c>
      <c r="F217" s="186" t="s">
        <v>1284</v>
      </c>
      <c r="G217" s="233">
        <v>23500.0</v>
      </c>
      <c r="H217" s="234">
        <v>16700.0</v>
      </c>
      <c r="I217" s="234">
        <v>6780.0</v>
      </c>
      <c r="J217" s="243">
        <v>115.0</v>
      </c>
      <c r="K217" s="242">
        <v>112.0</v>
      </c>
      <c r="L217" s="226">
        <v>2.19</v>
      </c>
      <c r="M217" s="243">
        <v>2.47</v>
      </c>
      <c r="N217" s="242">
        <v>2.43</v>
      </c>
      <c r="O217" s="226">
        <v>0.0406</v>
      </c>
      <c r="P217" s="243">
        <v>112.0</v>
      </c>
      <c r="Q217" s="242">
        <v>110.0</v>
      </c>
      <c r="R217" s="226">
        <v>2.15</v>
      </c>
      <c r="S217" s="230">
        <v>27.5</v>
      </c>
      <c r="T217" s="231">
        <v>14.9</v>
      </c>
      <c r="U217" s="231">
        <v>12.6</v>
      </c>
      <c r="V217" s="221" t="s">
        <v>1285</v>
      </c>
      <c r="W217" s="91"/>
      <c r="X217" s="91"/>
      <c r="Y217" s="91"/>
      <c r="Z217" s="91"/>
      <c r="AA217" s="91"/>
      <c r="AB217" s="91"/>
      <c r="AC217" s="91"/>
      <c r="AD217" s="91"/>
      <c r="AE217" s="91"/>
      <c r="AF217" s="91"/>
    </row>
    <row r="218" ht="12.75" customHeight="1">
      <c r="A218" s="271" t="s">
        <v>1286</v>
      </c>
      <c r="B218" s="184" t="s">
        <v>1287</v>
      </c>
      <c r="C218" s="184" t="s">
        <v>1288</v>
      </c>
      <c r="D218" s="184" t="s">
        <v>1289</v>
      </c>
      <c r="E218" s="186">
        <v>63.3</v>
      </c>
      <c r="F218" s="186" t="s">
        <v>1290</v>
      </c>
      <c r="G218" s="233">
        <v>24500.0</v>
      </c>
      <c r="H218" s="234">
        <v>16800.0</v>
      </c>
      <c r="I218" s="234">
        <v>7680.0</v>
      </c>
      <c r="J218" s="243">
        <v>129.0</v>
      </c>
      <c r="K218" s="242">
        <v>123.0</v>
      </c>
      <c r="L218" s="231">
        <v>5.68</v>
      </c>
      <c r="M218" s="243">
        <v>2.93</v>
      </c>
      <c r="N218" s="242">
        <v>2.83</v>
      </c>
      <c r="O218" s="231">
        <v>0.101</v>
      </c>
      <c r="P218" s="243">
        <v>126.0</v>
      </c>
      <c r="Q218" s="242">
        <v>120.0</v>
      </c>
      <c r="R218" s="231">
        <v>5.58</v>
      </c>
      <c r="S218" s="225">
        <v>14.1</v>
      </c>
      <c r="T218" s="226">
        <v>12.9</v>
      </c>
      <c r="U218" s="226">
        <v>1.17</v>
      </c>
      <c r="V218" s="221" t="s">
        <v>1291</v>
      </c>
      <c r="W218" s="91"/>
      <c r="X218" s="91"/>
      <c r="Y218" s="91"/>
      <c r="Z218" s="91"/>
      <c r="AA218" s="91"/>
      <c r="AB218" s="91"/>
      <c r="AC218" s="91"/>
      <c r="AD218" s="91"/>
      <c r="AE218" s="91"/>
      <c r="AF218" s="91"/>
    </row>
    <row r="219" ht="12.75" customHeight="1">
      <c r="A219" s="271" t="s">
        <v>1292</v>
      </c>
      <c r="B219" s="184" t="s">
        <v>1293</v>
      </c>
      <c r="C219" s="184" t="s">
        <v>1294</v>
      </c>
      <c r="D219" s="184" t="s">
        <v>1295</v>
      </c>
      <c r="E219" s="186">
        <v>57.8</v>
      </c>
      <c r="F219" s="186" t="s">
        <v>1296</v>
      </c>
      <c r="G219" s="233">
        <v>18800.0</v>
      </c>
      <c r="H219" s="234">
        <v>18600.0</v>
      </c>
      <c r="I219" s="234">
        <v>214.0</v>
      </c>
      <c r="J219" s="243">
        <v>51.8</v>
      </c>
      <c r="K219" s="242">
        <v>51.3</v>
      </c>
      <c r="L219" s="226">
        <v>0.514</v>
      </c>
      <c r="M219" s="243">
        <v>2.03</v>
      </c>
      <c r="N219" s="242">
        <v>2.02</v>
      </c>
      <c r="O219" s="226">
        <v>0.00449</v>
      </c>
      <c r="P219" s="243">
        <v>49.8</v>
      </c>
      <c r="Q219" s="242">
        <v>49.2</v>
      </c>
      <c r="R219" s="226">
        <v>0.509</v>
      </c>
      <c r="S219" s="230">
        <v>16.9</v>
      </c>
      <c r="T219" s="231">
        <v>16.8</v>
      </c>
      <c r="U219" s="232">
        <v>0.085</v>
      </c>
      <c r="V219" s="221" t="s">
        <v>1297</v>
      </c>
      <c r="W219" s="91"/>
      <c r="X219" s="91"/>
      <c r="Y219" s="91"/>
      <c r="Z219" s="91"/>
      <c r="AA219" s="91"/>
      <c r="AB219" s="91"/>
      <c r="AC219" s="91"/>
      <c r="AD219" s="91"/>
      <c r="AE219" s="91"/>
      <c r="AF219" s="91"/>
    </row>
    <row r="220" ht="12.75" customHeight="1">
      <c r="A220" s="271" t="s">
        <v>1298</v>
      </c>
      <c r="B220" s="184" t="s">
        <v>1299</v>
      </c>
      <c r="C220" s="184" t="s">
        <v>1300</v>
      </c>
      <c r="D220" s="184" t="s">
        <v>1301</v>
      </c>
      <c r="E220" s="186">
        <v>73.5</v>
      </c>
      <c r="F220" s="186" t="s">
        <v>1302</v>
      </c>
      <c r="G220" s="233">
        <v>19400.0</v>
      </c>
      <c r="H220" s="234">
        <v>19100.0</v>
      </c>
      <c r="I220" s="234">
        <v>270.0</v>
      </c>
      <c r="J220" s="243">
        <v>47.0</v>
      </c>
      <c r="K220" s="242">
        <v>46.3</v>
      </c>
      <c r="L220" s="226">
        <v>0.648</v>
      </c>
      <c r="M220" s="243">
        <v>2.01</v>
      </c>
      <c r="N220" s="242">
        <v>2.0</v>
      </c>
      <c r="O220" s="226">
        <v>0.00566</v>
      </c>
      <c r="P220" s="243">
        <v>45.0</v>
      </c>
      <c r="Q220" s="242">
        <v>44.3</v>
      </c>
      <c r="R220" s="226">
        <v>0.642</v>
      </c>
      <c r="S220" s="230">
        <v>16.8</v>
      </c>
      <c r="T220" s="231">
        <v>16.7</v>
      </c>
      <c r="U220" s="227">
        <v>0.107</v>
      </c>
      <c r="V220" s="221" t="s">
        <v>1303</v>
      </c>
      <c r="W220" s="91"/>
      <c r="X220" s="91"/>
      <c r="Y220" s="91"/>
      <c r="Z220" s="91"/>
      <c r="AA220" s="91"/>
      <c r="AB220" s="91"/>
      <c r="AC220" s="91"/>
      <c r="AD220" s="91"/>
      <c r="AE220" s="91"/>
      <c r="AF220" s="91"/>
    </row>
    <row r="221" ht="12.75" customHeight="1">
      <c r="A221" s="271" t="s">
        <v>1304</v>
      </c>
      <c r="B221" s="184" t="s">
        <v>1305</v>
      </c>
      <c r="C221" s="184" t="s">
        <v>1306</v>
      </c>
      <c r="D221" s="184" t="s">
        <v>1307</v>
      </c>
      <c r="E221" s="186">
        <v>3.36</v>
      </c>
      <c r="F221" s="186" t="s">
        <v>1308</v>
      </c>
      <c r="G221" s="233">
        <v>14900.0</v>
      </c>
      <c r="H221" s="234">
        <v>12300.0</v>
      </c>
      <c r="I221" s="234">
        <v>2600.0</v>
      </c>
      <c r="J221" s="243">
        <v>70.3</v>
      </c>
      <c r="K221" s="242">
        <v>69.7</v>
      </c>
      <c r="L221" s="226">
        <v>0.554</v>
      </c>
      <c r="M221" s="243">
        <v>9.91</v>
      </c>
      <c r="N221" s="242">
        <v>9.89</v>
      </c>
      <c r="O221" s="226">
        <v>0.0161</v>
      </c>
      <c r="P221" s="243">
        <v>60.4</v>
      </c>
      <c r="Q221" s="242">
        <v>59.8</v>
      </c>
      <c r="R221" s="226">
        <v>0.538</v>
      </c>
      <c r="S221" s="230">
        <v>15.7</v>
      </c>
      <c r="T221" s="231">
        <v>10.9</v>
      </c>
      <c r="U221" s="226">
        <v>4.78</v>
      </c>
      <c r="V221" s="221" t="s">
        <v>1309</v>
      </c>
      <c r="W221" s="91"/>
      <c r="X221" s="91"/>
      <c r="Y221" s="91"/>
      <c r="Z221" s="91"/>
      <c r="AA221" s="91"/>
      <c r="AB221" s="91"/>
      <c r="AC221" s="91"/>
      <c r="AD221" s="91"/>
      <c r="AE221" s="91"/>
      <c r="AF221" s="91"/>
    </row>
    <row r="222" ht="12.75" customHeight="1">
      <c r="A222" s="271" t="s">
        <v>1310</v>
      </c>
      <c r="B222" s="184" t="s">
        <v>1311</v>
      </c>
      <c r="C222" s="184" t="s">
        <v>591</v>
      </c>
      <c r="D222" s="184" t="s">
        <v>592</v>
      </c>
      <c r="E222" s="186">
        <v>18.0</v>
      </c>
      <c r="F222" s="186" t="s">
        <v>1312</v>
      </c>
      <c r="G222" s="233">
        <v>44200.0</v>
      </c>
      <c r="H222" s="234">
        <v>43700.0</v>
      </c>
      <c r="I222" s="234">
        <v>464.0</v>
      </c>
      <c r="J222" s="243">
        <v>72.8</v>
      </c>
      <c r="K222" s="242">
        <v>71.9</v>
      </c>
      <c r="L222" s="226">
        <v>0.941</v>
      </c>
      <c r="M222" s="243">
        <v>4.22</v>
      </c>
      <c r="N222" s="242">
        <v>4.18</v>
      </c>
      <c r="O222" s="226">
        <v>0.0319</v>
      </c>
      <c r="P222" s="243">
        <v>68.6</v>
      </c>
      <c r="Q222" s="242">
        <v>67.7</v>
      </c>
      <c r="R222" s="226">
        <v>0.909</v>
      </c>
      <c r="S222" s="230">
        <v>14.0</v>
      </c>
      <c r="T222" s="231">
        <v>13.8</v>
      </c>
      <c r="U222" s="227">
        <v>0.163</v>
      </c>
      <c r="V222" s="221" t="s">
        <v>1313</v>
      </c>
      <c r="W222" s="91"/>
      <c r="X222" s="91"/>
      <c r="Y222" s="91"/>
      <c r="Z222" s="91"/>
      <c r="AA222" s="91"/>
      <c r="AB222" s="91"/>
      <c r="AC222" s="91"/>
      <c r="AD222" s="91"/>
      <c r="AE222" s="91"/>
      <c r="AF222" s="91"/>
    </row>
    <row r="223" ht="12.75" customHeight="1">
      <c r="A223" s="271" t="s">
        <v>1314</v>
      </c>
      <c r="B223" s="184" t="s">
        <v>1315</v>
      </c>
      <c r="C223" s="184" t="s">
        <v>1316</v>
      </c>
      <c r="D223" s="184" t="s">
        <v>1317</v>
      </c>
      <c r="E223" s="186">
        <v>7.8</v>
      </c>
      <c r="F223" s="186" t="s">
        <v>1318</v>
      </c>
      <c r="G223" s="233">
        <v>11000.0</v>
      </c>
      <c r="H223" s="234">
        <v>9740.0</v>
      </c>
      <c r="I223" s="234">
        <v>1210.0</v>
      </c>
      <c r="J223" s="243">
        <v>85.4</v>
      </c>
      <c r="K223" s="242">
        <v>84.8</v>
      </c>
      <c r="L223" s="226">
        <v>0.638</v>
      </c>
      <c r="M223" s="243">
        <v>38.6</v>
      </c>
      <c r="N223" s="242">
        <v>38.6</v>
      </c>
      <c r="O223" s="226">
        <v>0.0124</v>
      </c>
      <c r="P223" s="243">
        <v>46.8</v>
      </c>
      <c r="Q223" s="242">
        <v>46.2</v>
      </c>
      <c r="R223" s="226">
        <v>0.626</v>
      </c>
      <c r="S223" s="225">
        <v>9.68</v>
      </c>
      <c r="T223" s="226">
        <v>8.02</v>
      </c>
      <c r="U223" s="226">
        <v>1.66</v>
      </c>
      <c r="V223" s="221" t="s">
        <v>1319</v>
      </c>
      <c r="W223" s="91"/>
      <c r="X223" s="91"/>
      <c r="Y223" s="91"/>
      <c r="Z223" s="91"/>
      <c r="AA223" s="91"/>
      <c r="AB223" s="91"/>
      <c r="AC223" s="91"/>
      <c r="AD223" s="91"/>
      <c r="AE223" s="91"/>
      <c r="AF223" s="91"/>
    </row>
    <row r="224" ht="12.75" customHeight="1">
      <c r="A224" s="271" t="s">
        <v>1320</v>
      </c>
      <c r="B224" s="184" t="s">
        <v>1321</v>
      </c>
      <c r="C224" s="184" t="s">
        <v>1322</v>
      </c>
      <c r="D224" s="184" t="s">
        <v>1323</v>
      </c>
      <c r="E224" s="186">
        <v>2.7</v>
      </c>
      <c r="F224" s="186" t="s">
        <v>1324</v>
      </c>
      <c r="G224" s="233">
        <v>7200.0</v>
      </c>
      <c r="H224" s="234">
        <v>5650.0</v>
      </c>
      <c r="I224" s="234">
        <v>1550.0</v>
      </c>
      <c r="J224" s="243">
        <v>42.0</v>
      </c>
      <c r="K224" s="242">
        <v>41.6</v>
      </c>
      <c r="L224" s="226">
        <v>0.366</v>
      </c>
      <c r="M224" s="243">
        <v>8.04</v>
      </c>
      <c r="N224" s="242">
        <v>8.04</v>
      </c>
      <c r="O224" s="226">
        <v>0.00917</v>
      </c>
      <c r="P224" s="243">
        <v>33.9</v>
      </c>
      <c r="Q224" s="242">
        <v>33.6</v>
      </c>
      <c r="R224" s="226">
        <v>0.357</v>
      </c>
      <c r="S224" s="225">
        <v>7.58</v>
      </c>
      <c r="T224" s="226">
        <v>4.76</v>
      </c>
      <c r="U224" s="226">
        <v>2.82</v>
      </c>
      <c r="V224" s="221" t="s">
        <v>1325</v>
      </c>
      <c r="W224" s="91"/>
      <c r="X224" s="91"/>
      <c r="Y224" s="91"/>
      <c r="Z224" s="91"/>
      <c r="AA224" s="91"/>
      <c r="AB224" s="91"/>
      <c r="AC224" s="91"/>
      <c r="AD224" s="91"/>
      <c r="AE224" s="91"/>
      <c r="AF224" s="91"/>
    </row>
    <row r="225" ht="12.75" customHeight="1">
      <c r="A225" s="271" t="s">
        <v>1326</v>
      </c>
      <c r="B225" s="184" t="s">
        <v>1327</v>
      </c>
      <c r="C225" s="184" t="s">
        <v>1328</v>
      </c>
      <c r="D225" s="184" t="s">
        <v>1329</v>
      </c>
      <c r="E225" s="186">
        <v>2.7</v>
      </c>
      <c r="F225" s="186" t="s">
        <v>1330</v>
      </c>
      <c r="G225" s="233">
        <v>3020.0</v>
      </c>
      <c r="H225" s="234">
        <v>2620.0</v>
      </c>
      <c r="I225" s="234">
        <v>401.0</v>
      </c>
      <c r="J225" s="230">
        <v>22.9</v>
      </c>
      <c r="K225" s="231">
        <v>22.7</v>
      </c>
      <c r="L225" s="227">
        <v>0.19</v>
      </c>
      <c r="M225" s="230">
        <v>11.8</v>
      </c>
      <c r="N225" s="231">
        <v>11.7</v>
      </c>
      <c r="O225" s="227">
        <v>0.00385</v>
      </c>
      <c r="P225" s="230">
        <v>11.1</v>
      </c>
      <c r="Q225" s="231">
        <v>10.9</v>
      </c>
      <c r="R225" s="227">
        <v>0.186</v>
      </c>
      <c r="S225" s="225">
        <v>2.56</v>
      </c>
      <c r="T225" s="226">
        <v>1.97</v>
      </c>
      <c r="U225" s="227">
        <v>0.585</v>
      </c>
      <c r="V225" s="221" t="s">
        <v>1331</v>
      </c>
      <c r="W225" s="91"/>
      <c r="X225" s="91"/>
      <c r="Y225" s="91"/>
      <c r="Z225" s="91"/>
      <c r="AA225" s="91"/>
      <c r="AB225" s="91"/>
      <c r="AC225" s="91"/>
      <c r="AD225" s="91"/>
      <c r="AE225" s="91"/>
      <c r="AF225" s="91"/>
    </row>
    <row r="226" ht="12.75" customHeight="1">
      <c r="A226" s="271" t="s">
        <v>1332</v>
      </c>
      <c r="B226" s="184" t="s">
        <v>1333</v>
      </c>
      <c r="C226" s="184" t="s">
        <v>591</v>
      </c>
      <c r="D226" s="184" t="s">
        <v>592</v>
      </c>
      <c r="E226" s="186">
        <v>21.5</v>
      </c>
      <c r="F226" s="186" t="s">
        <v>1334</v>
      </c>
      <c r="G226" s="233">
        <v>4940.0</v>
      </c>
      <c r="H226" s="234">
        <v>4390.0</v>
      </c>
      <c r="I226" s="234">
        <v>554.0</v>
      </c>
      <c r="J226" s="230">
        <v>9.22</v>
      </c>
      <c r="K226" s="231">
        <v>8.09</v>
      </c>
      <c r="L226" s="226">
        <v>1.12</v>
      </c>
      <c r="M226" s="230">
        <v>0.693</v>
      </c>
      <c r="N226" s="231">
        <v>0.654</v>
      </c>
      <c r="O226" s="226">
        <v>0.0381</v>
      </c>
      <c r="P226" s="230">
        <v>8.53</v>
      </c>
      <c r="Q226" s="231">
        <v>7.44</v>
      </c>
      <c r="R226" s="226">
        <v>1.09</v>
      </c>
      <c r="S226" s="225">
        <v>5.04</v>
      </c>
      <c r="T226" s="226">
        <v>4.85</v>
      </c>
      <c r="U226" s="227">
        <v>0.194</v>
      </c>
      <c r="V226" s="221" t="s">
        <v>1335</v>
      </c>
      <c r="W226" s="91"/>
      <c r="X226" s="91"/>
      <c r="Y226" s="91"/>
      <c r="Z226" s="91"/>
      <c r="AA226" s="91"/>
      <c r="AB226" s="91"/>
      <c r="AC226" s="91"/>
      <c r="AD226" s="91"/>
      <c r="AE226" s="91"/>
      <c r="AF226" s="91"/>
    </row>
    <row r="227" ht="12.75" customHeight="1">
      <c r="A227" s="271" t="s">
        <v>1336</v>
      </c>
      <c r="B227" s="184" t="s">
        <v>1337</v>
      </c>
      <c r="C227" s="184" t="s">
        <v>1338</v>
      </c>
      <c r="D227" s="184" t="s">
        <v>1339</v>
      </c>
      <c r="E227" s="186">
        <v>8.5</v>
      </c>
      <c r="F227" s="186" t="s">
        <v>1340</v>
      </c>
      <c r="G227" s="233">
        <v>10300.0</v>
      </c>
      <c r="H227" s="234">
        <v>10000.0</v>
      </c>
      <c r="I227" s="234">
        <v>248.0</v>
      </c>
      <c r="J227" s="243">
        <v>83.1</v>
      </c>
      <c r="K227" s="242">
        <v>82.8</v>
      </c>
      <c r="L227" s="226">
        <v>0.291</v>
      </c>
      <c r="M227" s="243">
        <v>38.4</v>
      </c>
      <c r="N227" s="242">
        <v>38.4</v>
      </c>
      <c r="O227" s="226">
        <v>0.00482</v>
      </c>
      <c r="P227" s="243">
        <v>44.7</v>
      </c>
      <c r="Q227" s="242">
        <v>44.4</v>
      </c>
      <c r="R227" s="226">
        <v>0.286</v>
      </c>
      <c r="S227" s="225">
        <v>8.47</v>
      </c>
      <c r="T227" s="226">
        <v>8.38</v>
      </c>
      <c r="U227" s="232">
        <v>0.0881</v>
      </c>
      <c r="V227" s="221" t="s">
        <v>1341</v>
      </c>
      <c r="W227" s="91"/>
      <c r="X227" s="91"/>
      <c r="Y227" s="91"/>
      <c r="Z227" s="91"/>
      <c r="AA227" s="91"/>
      <c r="AB227" s="91"/>
      <c r="AC227" s="91"/>
      <c r="AD227" s="91"/>
      <c r="AE227" s="91"/>
      <c r="AF227" s="91"/>
    </row>
    <row r="228" ht="12.75" customHeight="1">
      <c r="A228" s="271" t="s">
        <v>1342</v>
      </c>
      <c r="B228" s="184" t="s">
        <v>1343</v>
      </c>
      <c r="C228" s="184" t="s">
        <v>1344</v>
      </c>
      <c r="D228" s="184" t="s">
        <v>1345</v>
      </c>
      <c r="E228" s="186">
        <v>2.9</v>
      </c>
      <c r="F228" s="186" t="s">
        <v>1346</v>
      </c>
      <c r="G228" s="233">
        <v>10800.0</v>
      </c>
      <c r="H228" s="234">
        <v>10400.0</v>
      </c>
      <c r="I228" s="234">
        <v>378.0</v>
      </c>
      <c r="J228" s="243">
        <v>46.2</v>
      </c>
      <c r="K228" s="242">
        <v>45.9</v>
      </c>
      <c r="L228" s="227">
        <v>0.274</v>
      </c>
      <c r="M228" s="243">
        <v>19.3</v>
      </c>
      <c r="N228" s="242">
        <v>19.3</v>
      </c>
      <c r="O228" s="227">
        <v>0.00437</v>
      </c>
      <c r="P228" s="230">
        <v>26.9</v>
      </c>
      <c r="Q228" s="231">
        <v>26.7</v>
      </c>
      <c r="R228" s="227">
        <v>0.27</v>
      </c>
      <c r="S228" s="225">
        <v>6.36</v>
      </c>
      <c r="T228" s="226">
        <v>5.9</v>
      </c>
      <c r="U228" s="227">
        <v>0.462</v>
      </c>
      <c r="V228" s="221" t="s">
        <v>1347</v>
      </c>
      <c r="W228" s="91"/>
      <c r="X228" s="91"/>
      <c r="Y228" s="91"/>
      <c r="Z228" s="91"/>
      <c r="AA228" s="91"/>
      <c r="AB228" s="91"/>
      <c r="AC228" s="91"/>
      <c r="AD228" s="91"/>
      <c r="AE228" s="91"/>
      <c r="AF228" s="91"/>
    </row>
    <row r="229" ht="12.75" customHeight="1">
      <c r="A229" s="271" t="s">
        <v>1348</v>
      </c>
      <c r="B229" s="184" t="s">
        <v>1349</v>
      </c>
      <c r="C229" s="162" t="s">
        <v>591</v>
      </c>
      <c r="D229" s="162" t="s">
        <v>592</v>
      </c>
      <c r="E229" s="164">
        <v>40.5</v>
      </c>
      <c r="F229" s="164" t="s">
        <v>1350</v>
      </c>
      <c r="G229" s="165">
        <v>32000.0</v>
      </c>
      <c r="H229" s="166">
        <v>31000.0</v>
      </c>
      <c r="I229" s="166">
        <v>1040.0</v>
      </c>
      <c r="J229" s="171">
        <v>153.0</v>
      </c>
      <c r="K229" s="172">
        <v>151.0</v>
      </c>
      <c r="L229" s="220">
        <v>2.12</v>
      </c>
      <c r="M229" s="171">
        <v>16.4</v>
      </c>
      <c r="N229" s="172">
        <v>16.3</v>
      </c>
      <c r="O229" s="220">
        <v>0.0718</v>
      </c>
      <c r="P229" s="171">
        <v>137.0</v>
      </c>
      <c r="Q229" s="172">
        <v>135.0</v>
      </c>
      <c r="R229" s="220">
        <v>2.05</v>
      </c>
      <c r="S229" s="235">
        <v>16.2</v>
      </c>
      <c r="T229" s="236">
        <v>15.8</v>
      </c>
      <c r="U229" s="163">
        <v>0.366</v>
      </c>
      <c r="V229" s="221" t="s">
        <v>1351</v>
      </c>
      <c r="W229" s="91"/>
      <c r="X229" s="91"/>
      <c r="Y229" s="91"/>
      <c r="Z229" s="91"/>
      <c r="AA229" s="91"/>
      <c r="AB229" s="91"/>
      <c r="AC229" s="91"/>
      <c r="AD229" s="91"/>
      <c r="AE229" s="91"/>
      <c r="AF229" s="91"/>
    </row>
    <row r="230" ht="12.75" customHeight="1" outlineLevel="1">
      <c r="A230" s="272" t="s">
        <v>1352</v>
      </c>
      <c r="B230" s="201" t="s">
        <v>1353</v>
      </c>
      <c r="C230" s="202" t="s">
        <v>591</v>
      </c>
      <c r="D230" s="201" t="s">
        <v>592</v>
      </c>
      <c r="E230" s="204">
        <v>40.5</v>
      </c>
      <c r="F230" s="204" t="s">
        <v>1354</v>
      </c>
      <c r="G230" s="273">
        <v>30300.0</v>
      </c>
      <c r="H230" s="267">
        <v>29200.0</v>
      </c>
      <c r="I230" s="207">
        <v>1040.0</v>
      </c>
      <c r="J230" s="209">
        <v>150.0</v>
      </c>
      <c r="K230" s="210">
        <v>148.0</v>
      </c>
      <c r="L230" s="208">
        <v>2.12</v>
      </c>
      <c r="M230" s="209">
        <v>16.3</v>
      </c>
      <c r="N230" s="210">
        <v>16.2</v>
      </c>
      <c r="O230" s="208">
        <v>0.0718</v>
      </c>
      <c r="P230" s="209">
        <v>134.0</v>
      </c>
      <c r="Q230" s="210">
        <v>132.0</v>
      </c>
      <c r="R230" s="208">
        <v>2.05</v>
      </c>
      <c r="S230" s="274">
        <v>15.3</v>
      </c>
      <c r="T230" s="208">
        <v>14.9</v>
      </c>
      <c r="U230" s="265">
        <v>0.366</v>
      </c>
      <c r="V230" s="245" t="s">
        <v>1355</v>
      </c>
      <c r="W230" s="170"/>
      <c r="X230" s="170"/>
      <c r="Y230" s="170"/>
      <c r="Z230" s="170"/>
      <c r="AA230" s="170"/>
      <c r="AB230" s="170"/>
      <c r="AC230" s="170"/>
      <c r="AD230" s="170"/>
      <c r="AE230" s="170"/>
      <c r="AF230" s="170"/>
    </row>
    <row r="231" ht="12.75" customHeight="1" outlineLevel="1">
      <c r="A231" s="272" t="s">
        <v>1356</v>
      </c>
      <c r="B231" s="201" t="s">
        <v>1357</v>
      </c>
      <c r="C231" s="202" t="s">
        <v>591</v>
      </c>
      <c r="D231" s="201" t="s">
        <v>592</v>
      </c>
      <c r="E231" s="204">
        <v>40.5</v>
      </c>
      <c r="F231" s="204" t="s">
        <v>1358</v>
      </c>
      <c r="G231" s="273">
        <v>25300.0</v>
      </c>
      <c r="H231" s="267">
        <v>24300.0</v>
      </c>
      <c r="I231" s="207">
        <v>1040.0</v>
      </c>
      <c r="J231" s="209">
        <v>134.0</v>
      </c>
      <c r="K231" s="210">
        <v>132.0</v>
      </c>
      <c r="L231" s="208">
        <v>2.12</v>
      </c>
      <c r="M231" s="209">
        <v>16.0</v>
      </c>
      <c r="N231" s="210">
        <v>16.0</v>
      </c>
      <c r="O231" s="208">
        <v>0.0718</v>
      </c>
      <c r="P231" s="209">
        <v>118.0</v>
      </c>
      <c r="Q231" s="210">
        <v>116.0</v>
      </c>
      <c r="R231" s="208">
        <v>2.05</v>
      </c>
      <c r="S231" s="274">
        <v>11.9</v>
      </c>
      <c r="T231" s="208">
        <v>11.6</v>
      </c>
      <c r="U231" s="265">
        <v>0.366</v>
      </c>
      <c r="V231" s="245" t="s">
        <v>1359</v>
      </c>
      <c r="W231" s="170"/>
      <c r="X231" s="170"/>
      <c r="Y231" s="170"/>
      <c r="Z231" s="170"/>
      <c r="AA231" s="170"/>
      <c r="AB231" s="170"/>
      <c r="AC231" s="170"/>
      <c r="AD231" s="170"/>
      <c r="AE231" s="170"/>
      <c r="AF231" s="170"/>
    </row>
    <row r="232" ht="12.75" customHeight="1" outlineLevel="1">
      <c r="A232" s="272" t="s">
        <v>1360</v>
      </c>
      <c r="B232" s="201" t="s">
        <v>1361</v>
      </c>
      <c r="C232" s="202" t="s">
        <v>591</v>
      </c>
      <c r="D232" s="201" t="s">
        <v>592</v>
      </c>
      <c r="E232" s="204">
        <v>40.5</v>
      </c>
      <c r="F232" s="204" t="s">
        <v>1362</v>
      </c>
      <c r="G232" s="273">
        <v>34900.0</v>
      </c>
      <c r="H232" s="267">
        <v>33900.0</v>
      </c>
      <c r="I232" s="207">
        <v>1040.0</v>
      </c>
      <c r="J232" s="209">
        <v>161.0</v>
      </c>
      <c r="K232" s="210">
        <v>159.0</v>
      </c>
      <c r="L232" s="208">
        <v>2.12</v>
      </c>
      <c r="M232" s="209">
        <v>16.6</v>
      </c>
      <c r="N232" s="210">
        <v>16.5</v>
      </c>
      <c r="O232" s="208">
        <v>0.0718</v>
      </c>
      <c r="P232" s="209">
        <v>144.0</v>
      </c>
      <c r="Q232" s="210">
        <v>142.0</v>
      </c>
      <c r="R232" s="208">
        <v>2.05</v>
      </c>
      <c r="S232" s="274">
        <v>17.9</v>
      </c>
      <c r="T232" s="208">
        <v>17.5</v>
      </c>
      <c r="U232" s="265">
        <v>0.366</v>
      </c>
      <c r="V232" s="245" t="s">
        <v>1363</v>
      </c>
      <c r="W232" s="170"/>
      <c r="X232" s="170"/>
      <c r="Y232" s="170"/>
      <c r="Z232" s="170"/>
      <c r="AA232" s="170"/>
      <c r="AB232" s="170"/>
      <c r="AC232" s="170"/>
      <c r="AD232" s="170"/>
      <c r="AE232" s="170"/>
      <c r="AF232" s="170"/>
    </row>
    <row r="233" ht="12.75" customHeight="1" outlineLevel="1">
      <c r="A233" s="271" t="s">
        <v>1364</v>
      </c>
      <c r="B233" s="184" t="s">
        <v>1365</v>
      </c>
      <c r="C233" s="162" t="s">
        <v>591</v>
      </c>
      <c r="D233" s="162" t="s">
        <v>592</v>
      </c>
      <c r="E233" s="164">
        <v>40.5</v>
      </c>
      <c r="F233" s="164" t="s">
        <v>1366</v>
      </c>
      <c r="G233" s="165">
        <v>24800.0</v>
      </c>
      <c r="H233" s="166">
        <v>23800.0</v>
      </c>
      <c r="I233" s="166">
        <v>1040.0</v>
      </c>
      <c r="J233" s="171">
        <v>113.0</v>
      </c>
      <c r="K233" s="172">
        <v>111.0</v>
      </c>
      <c r="L233" s="220">
        <v>2.12</v>
      </c>
      <c r="M233" s="171">
        <v>11.1</v>
      </c>
      <c r="N233" s="172">
        <v>11.0</v>
      </c>
      <c r="O233" s="220">
        <v>0.0718</v>
      </c>
      <c r="P233" s="171">
        <v>102.0</v>
      </c>
      <c r="Q233" s="172">
        <v>100.0</v>
      </c>
      <c r="R233" s="220">
        <v>2.05</v>
      </c>
      <c r="S233" s="219">
        <v>13.2</v>
      </c>
      <c r="T233" s="220">
        <v>12.9</v>
      </c>
      <c r="U233" s="163">
        <v>0.366</v>
      </c>
      <c r="V233" s="221" t="s">
        <v>1367</v>
      </c>
      <c r="W233" s="91"/>
      <c r="X233" s="91"/>
      <c r="Y233" s="91"/>
      <c r="Z233" s="91"/>
      <c r="AA233" s="91"/>
      <c r="AB233" s="91"/>
      <c r="AC233" s="91"/>
      <c r="AD233" s="91"/>
      <c r="AE233" s="91"/>
      <c r="AF233" s="91"/>
    </row>
    <row r="234" ht="12.75" customHeight="1" outlineLevel="1">
      <c r="A234" s="271" t="s">
        <v>1368</v>
      </c>
      <c r="B234" s="184" t="s">
        <v>1369</v>
      </c>
      <c r="C234" s="162" t="s">
        <v>591</v>
      </c>
      <c r="D234" s="162" t="s">
        <v>592</v>
      </c>
      <c r="E234" s="164">
        <v>40.5</v>
      </c>
      <c r="F234" s="164" t="s">
        <v>1370</v>
      </c>
      <c r="G234" s="165">
        <v>55100.0</v>
      </c>
      <c r="H234" s="166">
        <v>54000.0</v>
      </c>
      <c r="I234" s="166">
        <v>1040.0</v>
      </c>
      <c r="J234" s="171">
        <v>188.0</v>
      </c>
      <c r="K234" s="172">
        <v>185.0</v>
      </c>
      <c r="L234" s="220">
        <v>2.12</v>
      </c>
      <c r="M234" s="171">
        <v>21.0</v>
      </c>
      <c r="N234" s="172">
        <v>20.9</v>
      </c>
      <c r="O234" s="220">
        <v>0.0718</v>
      </c>
      <c r="P234" s="171">
        <v>167.0</v>
      </c>
      <c r="Q234" s="172">
        <v>165.0</v>
      </c>
      <c r="R234" s="220">
        <v>2.05</v>
      </c>
      <c r="S234" s="235">
        <v>18.6</v>
      </c>
      <c r="T234" s="236">
        <v>18.2</v>
      </c>
      <c r="U234" s="163">
        <v>0.366</v>
      </c>
      <c r="V234" s="221" t="s">
        <v>1371</v>
      </c>
      <c r="W234" s="91"/>
      <c r="X234" s="91"/>
      <c r="Y234" s="91"/>
      <c r="Z234" s="91"/>
      <c r="AA234" s="91"/>
      <c r="AB234" s="91"/>
      <c r="AC234" s="91"/>
      <c r="AD234" s="91"/>
      <c r="AE234" s="91"/>
      <c r="AF234" s="91"/>
    </row>
    <row r="235" ht="12.75" customHeight="1">
      <c r="A235" s="271" t="s">
        <v>1372</v>
      </c>
      <c r="B235" s="184" t="s">
        <v>1373</v>
      </c>
      <c r="C235" s="184" t="s">
        <v>1374</v>
      </c>
      <c r="D235" s="184" t="s">
        <v>1375</v>
      </c>
      <c r="E235" s="186">
        <v>6.1</v>
      </c>
      <c r="F235" s="186" t="s">
        <v>1376</v>
      </c>
      <c r="G235" s="233">
        <v>12700.0</v>
      </c>
      <c r="H235" s="234">
        <v>12600.0</v>
      </c>
      <c r="I235" s="234">
        <v>159.0</v>
      </c>
      <c r="J235" s="243">
        <v>130.0</v>
      </c>
      <c r="K235" s="242">
        <v>130.0</v>
      </c>
      <c r="L235" s="226">
        <v>0.186</v>
      </c>
      <c r="M235" s="243">
        <v>85.8</v>
      </c>
      <c r="N235" s="242">
        <v>85.8</v>
      </c>
      <c r="O235" s="226">
        <v>0.00308</v>
      </c>
      <c r="P235" s="243">
        <v>44.6</v>
      </c>
      <c r="Q235" s="242">
        <v>44.4</v>
      </c>
      <c r="R235" s="226">
        <v>0.183</v>
      </c>
      <c r="S235" s="230">
        <v>7.51</v>
      </c>
      <c r="T235" s="226">
        <v>7.45</v>
      </c>
      <c r="U235" s="226">
        <v>0.0564</v>
      </c>
      <c r="V235" s="221" t="s">
        <v>1377</v>
      </c>
      <c r="W235" s="91"/>
      <c r="X235" s="91"/>
      <c r="Y235" s="91"/>
      <c r="Z235" s="91"/>
      <c r="AA235" s="91"/>
      <c r="AB235" s="91"/>
      <c r="AC235" s="91"/>
      <c r="AD235" s="91"/>
      <c r="AE235" s="91"/>
      <c r="AF235" s="91"/>
    </row>
    <row r="236" ht="12.75" customHeight="1">
      <c r="A236" s="271" t="s">
        <v>1378</v>
      </c>
      <c r="B236" s="184" t="s">
        <v>1379</v>
      </c>
      <c r="C236" s="184" t="s">
        <v>1380</v>
      </c>
      <c r="D236" s="184" t="s">
        <v>1381</v>
      </c>
      <c r="E236" s="186">
        <v>7.9</v>
      </c>
      <c r="F236" s="186" t="s">
        <v>1382</v>
      </c>
      <c r="G236" s="233">
        <v>17100.0</v>
      </c>
      <c r="H236" s="234">
        <v>16800.0</v>
      </c>
      <c r="I236" s="234">
        <v>216.0</v>
      </c>
      <c r="J236" s="243">
        <v>194.0</v>
      </c>
      <c r="K236" s="242">
        <v>194.0</v>
      </c>
      <c r="L236" s="226">
        <v>0.254</v>
      </c>
      <c r="M236" s="243">
        <v>148.0</v>
      </c>
      <c r="N236" s="242">
        <v>148.0</v>
      </c>
      <c r="O236" s="226">
        <v>0.00421</v>
      </c>
      <c r="P236" s="243">
        <v>45.7</v>
      </c>
      <c r="Q236" s="242">
        <v>45.4</v>
      </c>
      <c r="R236" s="226">
        <v>0.25</v>
      </c>
      <c r="S236" s="230">
        <v>8.24</v>
      </c>
      <c r="T236" s="226">
        <v>8.16</v>
      </c>
      <c r="U236" s="226">
        <v>0.077</v>
      </c>
      <c r="V236" s="221" t="s">
        <v>1383</v>
      </c>
      <c r="W236" s="91"/>
      <c r="X236" s="91"/>
      <c r="Y236" s="91"/>
      <c r="Z236" s="91"/>
      <c r="AA236" s="91"/>
      <c r="AB236" s="91"/>
      <c r="AC236" s="91"/>
      <c r="AD236" s="91"/>
      <c r="AE236" s="91"/>
      <c r="AF236" s="91"/>
    </row>
    <row r="237" ht="12.75" customHeight="1">
      <c r="A237" s="271" t="s">
        <v>1384</v>
      </c>
      <c r="B237" s="184" t="s">
        <v>1385</v>
      </c>
      <c r="C237" s="184" t="s">
        <v>1386</v>
      </c>
      <c r="D237" s="184" t="s">
        <v>1387</v>
      </c>
      <c r="E237" s="186">
        <v>5.6</v>
      </c>
      <c r="F237" s="186" t="s">
        <v>1388</v>
      </c>
      <c r="G237" s="233">
        <v>7920.0</v>
      </c>
      <c r="H237" s="234">
        <v>7790.0</v>
      </c>
      <c r="I237" s="234">
        <v>134.0</v>
      </c>
      <c r="J237" s="243">
        <v>104.0</v>
      </c>
      <c r="K237" s="242">
        <v>104.0</v>
      </c>
      <c r="L237" s="226">
        <v>0.158</v>
      </c>
      <c r="M237" s="243">
        <v>78.1</v>
      </c>
      <c r="N237" s="242">
        <v>78.1</v>
      </c>
      <c r="O237" s="226">
        <v>0.00262</v>
      </c>
      <c r="P237" s="243">
        <v>26.1</v>
      </c>
      <c r="Q237" s="242">
        <v>26.0</v>
      </c>
      <c r="R237" s="226">
        <v>0.155</v>
      </c>
      <c r="S237" s="230">
        <v>3.43</v>
      </c>
      <c r="T237" s="226">
        <v>3.38</v>
      </c>
      <c r="U237" s="226">
        <v>0.0478</v>
      </c>
      <c r="V237" s="221" t="s">
        <v>1389</v>
      </c>
      <c r="W237" s="91"/>
      <c r="X237" s="91"/>
      <c r="Y237" s="91"/>
      <c r="Z237" s="91"/>
      <c r="AA237" s="91"/>
      <c r="AB237" s="91"/>
      <c r="AC237" s="91"/>
      <c r="AD237" s="91"/>
      <c r="AE237" s="91"/>
      <c r="AF237" s="91"/>
    </row>
    <row r="238" ht="12.75" customHeight="1">
      <c r="A238" s="271" t="s">
        <v>1390</v>
      </c>
      <c r="B238" s="184" t="s">
        <v>1391</v>
      </c>
      <c r="C238" s="184" t="s">
        <v>1392</v>
      </c>
      <c r="D238" s="184" t="s">
        <v>1393</v>
      </c>
      <c r="E238" s="186">
        <v>3.1</v>
      </c>
      <c r="F238" s="186" t="s">
        <v>1394</v>
      </c>
      <c r="G238" s="233">
        <v>12400.0</v>
      </c>
      <c r="H238" s="234">
        <v>9350.0</v>
      </c>
      <c r="I238" s="234">
        <v>3050.0</v>
      </c>
      <c r="J238" s="243">
        <v>59.7</v>
      </c>
      <c r="K238" s="242">
        <v>57.2</v>
      </c>
      <c r="L238" s="226">
        <v>2.5</v>
      </c>
      <c r="M238" s="243">
        <v>2.17</v>
      </c>
      <c r="N238" s="242">
        <v>1.99</v>
      </c>
      <c r="O238" s="226">
        <v>0.181</v>
      </c>
      <c r="P238" s="243">
        <v>57.5</v>
      </c>
      <c r="Q238" s="242">
        <v>55.2</v>
      </c>
      <c r="R238" s="226">
        <v>2.32</v>
      </c>
      <c r="S238" s="230">
        <v>13.4</v>
      </c>
      <c r="T238" s="226">
        <v>8.12</v>
      </c>
      <c r="U238" s="226">
        <v>5.24</v>
      </c>
      <c r="V238" s="221" t="s">
        <v>1395</v>
      </c>
      <c r="W238" s="91"/>
      <c r="X238" s="91"/>
      <c r="Y238" s="91"/>
      <c r="Z238" s="91"/>
      <c r="AA238" s="91"/>
      <c r="AB238" s="91"/>
      <c r="AC238" s="91"/>
      <c r="AD238" s="91"/>
      <c r="AE238" s="91"/>
      <c r="AF238" s="91"/>
    </row>
    <row r="239" ht="12.75" customHeight="1">
      <c r="A239" s="271" t="s">
        <v>1396</v>
      </c>
      <c r="B239" s="184" t="s">
        <v>1397</v>
      </c>
      <c r="C239" s="184" t="s">
        <v>1398</v>
      </c>
      <c r="D239" s="184" t="s">
        <v>1399</v>
      </c>
      <c r="E239" s="186">
        <v>22.0</v>
      </c>
      <c r="F239" s="186" t="s">
        <v>1400</v>
      </c>
      <c r="G239" s="233">
        <v>8790.0</v>
      </c>
      <c r="H239" s="234">
        <v>8460.0</v>
      </c>
      <c r="I239" s="234">
        <v>330.0</v>
      </c>
      <c r="J239" s="230">
        <v>27.0</v>
      </c>
      <c r="K239" s="231">
        <v>25.7</v>
      </c>
      <c r="L239" s="226">
        <v>1.27</v>
      </c>
      <c r="M239" s="230">
        <v>0.946</v>
      </c>
      <c r="N239" s="231">
        <v>0.935</v>
      </c>
      <c r="O239" s="226">
        <v>0.0112</v>
      </c>
      <c r="P239" s="230">
        <v>26.0</v>
      </c>
      <c r="Q239" s="231">
        <v>24.8</v>
      </c>
      <c r="R239" s="226">
        <v>1.26</v>
      </c>
      <c r="S239" s="230">
        <v>12.8</v>
      </c>
      <c r="T239" s="231">
        <v>12.7</v>
      </c>
      <c r="U239" s="227">
        <v>0.164</v>
      </c>
      <c r="V239" s="221" t="s">
        <v>1401</v>
      </c>
      <c r="W239" s="91"/>
      <c r="X239" s="91"/>
      <c r="Y239" s="91"/>
      <c r="Z239" s="91"/>
      <c r="AA239" s="91"/>
      <c r="AB239" s="91"/>
      <c r="AC239" s="91"/>
      <c r="AD239" s="91"/>
      <c r="AE239" s="91"/>
      <c r="AF239" s="91"/>
    </row>
    <row r="240" ht="12.75" customHeight="1">
      <c r="A240" s="271" t="s">
        <v>1402</v>
      </c>
      <c r="B240" s="184" t="s">
        <v>1403</v>
      </c>
      <c r="C240" s="184" t="s">
        <v>1404</v>
      </c>
      <c r="D240" s="184" t="s">
        <v>1405</v>
      </c>
      <c r="E240" s="186">
        <v>3.4</v>
      </c>
      <c r="F240" s="186" t="s">
        <v>1406</v>
      </c>
      <c r="G240" s="233">
        <v>8420.0</v>
      </c>
      <c r="H240" s="234">
        <v>5630.0</v>
      </c>
      <c r="I240" s="234">
        <v>2790.0</v>
      </c>
      <c r="J240" s="243">
        <v>46.9</v>
      </c>
      <c r="K240" s="242">
        <v>46.3</v>
      </c>
      <c r="L240" s="226">
        <v>0.696</v>
      </c>
      <c r="M240" s="243">
        <v>3.39</v>
      </c>
      <c r="N240" s="242">
        <v>3.38</v>
      </c>
      <c r="O240" s="226">
        <v>0.0176</v>
      </c>
      <c r="P240" s="243">
        <v>43.6</v>
      </c>
      <c r="Q240" s="242">
        <v>42.9</v>
      </c>
      <c r="R240" s="226">
        <v>0.679</v>
      </c>
      <c r="S240" s="230">
        <v>11.0</v>
      </c>
      <c r="T240" s="226">
        <v>5.86</v>
      </c>
      <c r="U240" s="226">
        <v>5.1</v>
      </c>
      <c r="V240" s="221" t="s">
        <v>1407</v>
      </c>
      <c r="W240" s="91"/>
      <c r="X240" s="91"/>
      <c r="Y240" s="91"/>
      <c r="Z240" s="91"/>
      <c r="AA240" s="91"/>
      <c r="AB240" s="91"/>
      <c r="AC240" s="91"/>
      <c r="AD240" s="91"/>
      <c r="AE240" s="91"/>
      <c r="AF240" s="91"/>
    </row>
    <row r="241" ht="12.75" customHeight="1">
      <c r="A241" s="271" t="s">
        <v>1408</v>
      </c>
      <c r="B241" s="184" t="s">
        <v>1409</v>
      </c>
      <c r="C241" s="184" t="s">
        <v>1410</v>
      </c>
      <c r="D241" s="184" t="s">
        <v>1411</v>
      </c>
      <c r="E241" s="186">
        <v>2.1</v>
      </c>
      <c r="F241" s="186" t="s">
        <v>1412</v>
      </c>
      <c r="G241" s="233">
        <v>10900.0</v>
      </c>
      <c r="H241" s="234">
        <v>8640.0</v>
      </c>
      <c r="I241" s="234">
        <v>2270.0</v>
      </c>
      <c r="J241" s="243">
        <v>50.7</v>
      </c>
      <c r="K241" s="242">
        <v>50.3</v>
      </c>
      <c r="L241" s="226">
        <v>0.408</v>
      </c>
      <c r="M241" s="243">
        <v>0.583</v>
      </c>
      <c r="N241" s="242">
        <v>0.572</v>
      </c>
      <c r="O241" s="226">
        <v>0.0106</v>
      </c>
      <c r="P241" s="243">
        <v>50.1</v>
      </c>
      <c r="Q241" s="242">
        <v>49.7</v>
      </c>
      <c r="R241" s="226">
        <v>0.397</v>
      </c>
      <c r="S241" s="230">
        <v>14.9</v>
      </c>
      <c r="T241" s="231">
        <v>10.5</v>
      </c>
      <c r="U241" s="226">
        <v>4.41</v>
      </c>
      <c r="V241" s="221" t="s">
        <v>1413</v>
      </c>
      <c r="W241" s="91"/>
      <c r="X241" s="91"/>
      <c r="Y241" s="91"/>
      <c r="Z241" s="91"/>
      <c r="AA241" s="91"/>
      <c r="AB241" s="91"/>
      <c r="AC241" s="91"/>
      <c r="AD241" s="91"/>
      <c r="AE241" s="91"/>
      <c r="AF241" s="91"/>
    </row>
    <row r="242" ht="12.75" customHeight="1">
      <c r="A242" s="271" t="s">
        <v>1414</v>
      </c>
      <c r="B242" s="184" t="s">
        <v>1415</v>
      </c>
      <c r="C242" s="184" t="s">
        <v>1416</v>
      </c>
      <c r="D242" s="184" t="s">
        <v>1417</v>
      </c>
      <c r="E242" s="186">
        <v>1.3</v>
      </c>
      <c r="F242" s="186" t="s">
        <v>1418</v>
      </c>
      <c r="G242" s="233">
        <v>6960.0</v>
      </c>
      <c r="H242" s="234">
        <v>5080.0</v>
      </c>
      <c r="I242" s="234">
        <v>1880.0</v>
      </c>
      <c r="J242" s="243">
        <v>35.0</v>
      </c>
      <c r="K242" s="242">
        <v>34.8</v>
      </c>
      <c r="L242" s="226">
        <v>0.282</v>
      </c>
      <c r="M242" s="243">
        <v>0.613</v>
      </c>
      <c r="N242" s="242">
        <v>0.605</v>
      </c>
      <c r="O242" s="226">
        <v>0.00806</v>
      </c>
      <c r="P242" s="243">
        <v>34.4</v>
      </c>
      <c r="Q242" s="242">
        <v>34.2</v>
      </c>
      <c r="R242" s="227">
        <v>0.274</v>
      </c>
      <c r="S242" s="225">
        <v>9.65</v>
      </c>
      <c r="T242" s="226">
        <v>5.97</v>
      </c>
      <c r="U242" s="226">
        <v>3.68</v>
      </c>
      <c r="V242" s="221" t="s">
        <v>1419</v>
      </c>
      <c r="W242" s="91"/>
      <c r="X242" s="91"/>
      <c r="Y242" s="91"/>
      <c r="Z242" s="91"/>
      <c r="AA242" s="91"/>
      <c r="AB242" s="91"/>
      <c r="AC242" s="91"/>
      <c r="AD242" s="91"/>
      <c r="AE242" s="91"/>
      <c r="AF242" s="91"/>
    </row>
    <row r="243" ht="12.75" customHeight="1">
      <c r="A243" s="271" t="s">
        <v>1420</v>
      </c>
      <c r="B243" s="184" t="s">
        <v>1421</v>
      </c>
      <c r="C243" s="184" t="s">
        <v>1422</v>
      </c>
      <c r="D243" s="184" t="s">
        <v>1423</v>
      </c>
      <c r="E243" s="186">
        <v>2.7</v>
      </c>
      <c r="F243" s="186" t="s">
        <v>1424</v>
      </c>
      <c r="G243" s="233">
        <v>9640.0</v>
      </c>
      <c r="H243" s="234">
        <v>8930.0</v>
      </c>
      <c r="I243" s="234">
        <v>710.0</v>
      </c>
      <c r="J243" s="230">
        <v>26.6</v>
      </c>
      <c r="K243" s="231">
        <v>26.3</v>
      </c>
      <c r="L243" s="227">
        <v>0.247</v>
      </c>
      <c r="M243" s="230">
        <v>10.8</v>
      </c>
      <c r="N243" s="231">
        <v>10.8</v>
      </c>
      <c r="O243" s="227">
        <v>0.00557</v>
      </c>
      <c r="P243" s="230">
        <v>15.7</v>
      </c>
      <c r="Q243" s="231">
        <v>15.5</v>
      </c>
      <c r="R243" s="227">
        <v>0.241</v>
      </c>
      <c r="S243" s="225">
        <v>4.41</v>
      </c>
      <c r="T243" s="226">
        <v>3.26</v>
      </c>
      <c r="U243" s="226">
        <v>1.16</v>
      </c>
      <c r="V243" s="221" t="s">
        <v>1425</v>
      </c>
      <c r="W243" s="91"/>
      <c r="X243" s="91"/>
      <c r="Y243" s="91"/>
      <c r="Z243" s="91"/>
      <c r="AA243" s="91"/>
      <c r="AB243" s="91"/>
      <c r="AC243" s="91"/>
      <c r="AD243" s="91"/>
      <c r="AE243" s="91"/>
      <c r="AF243" s="91"/>
    </row>
    <row r="244" ht="12.75" customHeight="1">
      <c r="A244" s="271" t="s">
        <v>1426</v>
      </c>
      <c r="B244" s="184" t="s">
        <v>1427</v>
      </c>
      <c r="C244" s="184" t="s">
        <v>1428</v>
      </c>
      <c r="D244" s="184" t="s">
        <v>1429</v>
      </c>
      <c r="E244" s="186">
        <v>95.0</v>
      </c>
      <c r="F244" s="186" t="s">
        <v>1430</v>
      </c>
      <c r="G244" s="233">
        <v>18800.0</v>
      </c>
      <c r="H244" s="234">
        <v>18500.0</v>
      </c>
      <c r="I244" s="234">
        <v>339.0</v>
      </c>
      <c r="J244" s="243">
        <v>48.1</v>
      </c>
      <c r="K244" s="242">
        <v>47.3</v>
      </c>
      <c r="L244" s="226">
        <v>0.815</v>
      </c>
      <c r="M244" s="243">
        <v>3.51</v>
      </c>
      <c r="N244" s="242">
        <v>3.51</v>
      </c>
      <c r="O244" s="226">
        <v>0.00712</v>
      </c>
      <c r="P244" s="243">
        <v>44.6</v>
      </c>
      <c r="Q244" s="242">
        <v>43.8</v>
      </c>
      <c r="R244" s="226">
        <v>0.808</v>
      </c>
      <c r="S244" s="230">
        <v>17.8</v>
      </c>
      <c r="T244" s="231">
        <v>17.6</v>
      </c>
      <c r="U244" s="227">
        <v>0.135</v>
      </c>
      <c r="V244" s="221" t="s">
        <v>1431</v>
      </c>
      <c r="W244" s="91"/>
      <c r="X244" s="91"/>
      <c r="Y244" s="91"/>
      <c r="Z244" s="91"/>
      <c r="AA244" s="91"/>
      <c r="AB244" s="91"/>
      <c r="AC244" s="91"/>
      <c r="AD244" s="91"/>
      <c r="AE244" s="91"/>
      <c r="AF244" s="91"/>
    </row>
    <row r="245" ht="12.75" customHeight="1">
      <c r="A245" s="214" t="s">
        <v>1432</v>
      </c>
      <c r="B245" s="177" t="s">
        <v>1433</v>
      </c>
      <c r="C245" s="176"/>
      <c r="D245" s="177"/>
      <c r="E245" s="178" t="s">
        <v>438</v>
      </c>
      <c r="F245" s="179"/>
      <c r="G245" s="179"/>
      <c r="H245" s="179"/>
      <c r="I245" s="179"/>
      <c r="J245" s="215"/>
      <c r="K245" s="181"/>
      <c r="L245" s="216"/>
      <c r="M245" s="215"/>
      <c r="N245" s="181"/>
      <c r="O245" s="216"/>
      <c r="P245" s="180"/>
      <c r="Q245" s="181"/>
      <c r="R245" s="181"/>
      <c r="S245" s="180"/>
      <c r="T245" s="181"/>
      <c r="U245" s="240"/>
      <c r="V245" s="217" t="s">
        <v>1434</v>
      </c>
      <c r="W245" s="91"/>
      <c r="X245" s="91"/>
      <c r="Y245" s="91"/>
      <c r="Z245" s="91"/>
      <c r="AA245" s="91"/>
      <c r="AB245" s="91"/>
      <c r="AC245" s="91"/>
      <c r="AD245" s="91"/>
      <c r="AE245" s="91"/>
      <c r="AF245" s="91"/>
    </row>
    <row r="246" ht="12.75" customHeight="1">
      <c r="A246" s="271" t="s">
        <v>1435</v>
      </c>
      <c r="B246" s="184" t="s">
        <v>1436</v>
      </c>
      <c r="C246" s="184" t="s">
        <v>1437</v>
      </c>
      <c r="D246" s="184" t="s">
        <v>1438</v>
      </c>
      <c r="E246" s="186" t="s">
        <v>438</v>
      </c>
      <c r="F246" s="186" t="s">
        <v>1439</v>
      </c>
      <c r="G246" s="233">
        <v>166000.0</v>
      </c>
      <c r="H246" s="234">
        <v>161000.0</v>
      </c>
      <c r="I246" s="234">
        <v>4680.0</v>
      </c>
      <c r="J246" s="241">
        <v>505.0</v>
      </c>
      <c r="K246" s="218">
        <v>496.0</v>
      </c>
      <c r="L246" s="231">
        <v>8.78</v>
      </c>
      <c r="M246" s="241">
        <v>175.0</v>
      </c>
      <c r="N246" s="218">
        <v>175.0</v>
      </c>
      <c r="O246" s="231">
        <v>0.116</v>
      </c>
      <c r="P246" s="241">
        <v>330.0</v>
      </c>
      <c r="Q246" s="218">
        <v>321.0</v>
      </c>
      <c r="R246" s="231">
        <v>8.66</v>
      </c>
      <c r="S246" s="230">
        <v>77.6</v>
      </c>
      <c r="T246" s="231">
        <v>74.3</v>
      </c>
      <c r="U246" s="226">
        <v>3.27</v>
      </c>
      <c r="V246" s="221" t="s">
        <v>1440</v>
      </c>
      <c r="W246" s="91"/>
      <c r="X246" s="91"/>
      <c r="Y246" s="91"/>
      <c r="Z246" s="91"/>
      <c r="AA246" s="91"/>
      <c r="AB246" s="91"/>
      <c r="AC246" s="91"/>
      <c r="AD246" s="91"/>
      <c r="AE246" s="91"/>
      <c r="AF246" s="91"/>
    </row>
    <row r="247" ht="12.75" customHeight="1">
      <c r="A247" s="271" t="s">
        <v>1441</v>
      </c>
      <c r="B247" s="184" t="s">
        <v>1442</v>
      </c>
      <c r="C247" s="184" t="s">
        <v>1443</v>
      </c>
      <c r="D247" s="184" t="s">
        <v>1444</v>
      </c>
      <c r="E247" s="186" t="s">
        <v>438</v>
      </c>
      <c r="F247" s="186" t="s">
        <v>1445</v>
      </c>
      <c r="G247" s="233">
        <v>183000.0</v>
      </c>
      <c r="H247" s="234">
        <v>178000.0</v>
      </c>
      <c r="I247" s="234">
        <v>5500.0</v>
      </c>
      <c r="J247" s="241">
        <v>533.0</v>
      </c>
      <c r="K247" s="218">
        <v>524.0</v>
      </c>
      <c r="L247" s="231">
        <v>8.5</v>
      </c>
      <c r="M247" s="241">
        <v>122.0</v>
      </c>
      <c r="N247" s="218">
        <v>121.0</v>
      </c>
      <c r="O247" s="231">
        <v>0.11</v>
      </c>
      <c r="P247" s="241">
        <v>411.0</v>
      </c>
      <c r="Q247" s="218">
        <v>403.0</v>
      </c>
      <c r="R247" s="231">
        <v>8.39</v>
      </c>
      <c r="S247" s="230">
        <v>97.7</v>
      </c>
      <c r="T247" s="231">
        <v>92.1</v>
      </c>
      <c r="U247" s="226">
        <v>5.62</v>
      </c>
      <c r="V247" s="221" t="s">
        <v>1446</v>
      </c>
      <c r="W247" s="91"/>
      <c r="X247" s="91"/>
      <c r="Y247" s="91"/>
      <c r="Z247" s="91"/>
      <c r="AA247" s="91"/>
      <c r="AB247" s="91"/>
      <c r="AC247" s="91"/>
      <c r="AD247" s="91"/>
      <c r="AE247" s="91"/>
      <c r="AF247" s="91"/>
    </row>
    <row r="248" ht="12.75" customHeight="1">
      <c r="A248" s="271" t="s">
        <v>1447</v>
      </c>
      <c r="B248" s="184" t="s">
        <v>1448</v>
      </c>
      <c r="C248" s="184" t="s">
        <v>1449</v>
      </c>
      <c r="D248" s="184" t="s">
        <v>1450</v>
      </c>
      <c r="E248" s="186" t="s">
        <v>438</v>
      </c>
      <c r="F248" s="186" t="s">
        <v>1451</v>
      </c>
      <c r="G248" s="233">
        <v>58700.0</v>
      </c>
      <c r="H248" s="234">
        <v>53300.0</v>
      </c>
      <c r="I248" s="234">
        <v>5370.0</v>
      </c>
      <c r="J248" s="241">
        <v>483.0</v>
      </c>
      <c r="K248" s="218">
        <v>479.0</v>
      </c>
      <c r="L248" s="231">
        <v>4.18</v>
      </c>
      <c r="M248" s="241">
        <v>290.0</v>
      </c>
      <c r="N248" s="218">
        <v>290.0</v>
      </c>
      <c r="O248" s="231">
        <v>0.0827</v>
      </c>
      <c r="P248" s="241">
        <v>193.0</v>
      </c>
      <c r="Q248" s="218">
        <v>189.0</v>
      </c>
      <c r="R248" s="231">
        <v>4.1</v>
      </c>
      <c r="S248" s="230">
        <v>43.0</v>
      </c>
      <c r="T248" s="231">
        <v>35.3</v>
      </c>
      <c r="U248" s="226">
        <v>7.73</v>
      </c>
      <c r="V248" s="221" t="s">
        <v>1452</v>
      </c>
      <c r="W248" s="91"/>
      <c r="X248" s="91"/>
      <c r="Y248" s="91"/>
      <c r="Z248" s="91"/>
      <c r="AA248" s="91"/>
      <c r="AB248" s="91"/>
      <c r="AC248" s="91"/>
      <c r="AD248" s="91"/>
      <c r="AE248" s="91"/>
      <c r="AF248" s="91"/>
    </row>
    <row r="249" ht="12.75" customHeight="1">
      <c r="A249" s="271" t="s">
        <v>1453</v>
      </c>
      <c r="B249" s="184" t="s">
        <v>1454</v>
      </c>
      <c r="C249" s="184" t="s">
        <v>1455</v>
      </c>
      <c r="D249" s="184" t="s">
        <v>1456</v>
      </c>
      <c r="E249" s="186" t="s">
        <v>438</v>
      </c>
      <c r="F249" s="186" t="s">
        <v>1457</v>
      </c>
      <c r="G249" s="233">
        <v>87800.0</v>
      </c>
      <c r="H249" s="234">
        <v>77200.0</v>
      </c>
      <c r="I249" s="234">
        <v>10600.0</v>
      </c>
      <c r="J249" s="241">
        <v>553.0</v>
      </c>
      <c r="K249" s="218">
        <v>532.0</v>
      </c>
      <c r="L249" s="231">
        <v>20.8</v>
      </c>
      <c r="M249" s="241">
        <v>245.0</v>
      </c>
      <c r="N249" s="218">
        <v>245.0</v>
      </c>
      <c r="O249" s="231">
        <v>0.3</v>
      </c>
      <c r="P249" s="241">
        <v>308.0</v>
      </c>
      <c r="Q249" s="218">
        <v>287.0</v>
      </c>
      <c r="R249" s="231">
        <v>20.5</v>
      </c>
      <c r="S249" s="230">
        <v>69.0</v>
      </c>
      <c r="T249" s="231">
        <v>57.4</v>
      </c>
      <c r="U249" s="231">
        <v>11.6</v>
      </c>
      <c r="V249" s="221" t="s">
        <v>1458</v>
      </c>
      <c r="W249" s="91"/>
      <c r="X249" s="91"/>
      <c r="Y249" s="91"/>
      <c r="Z249" s="91"/>
      <c r="AA249" s="91"/>
      <c r="AB249" s="91"/>
      <c r="AC249" s="91"/>
      <c r="AD249" s="91"/>
      <c r="AE249" s="91"/>
      <c r="AF249" s="91"/>
    </row>
    <row r="250" ht="12.75" customHeight="1">
      <c r="A250" s="214" t="s">
        <v>1459</v>
      </c>
      <c r="B250" s="177" t="s">
        <v>1460</v>
      </c>
      <c r="C250" s="176"/>
      <c r="D250" s="177"/>
      <c r="E250" s="178" t="s">
        <v>1461</v>
      </c>
      <c r="F250" s="179"/>
      <c r="G250" s="179"/>
      <c r="H250" s="179"/>
      <c r="I250" s="179"/>
      <c r="J250" s="275"/>
      <c r="K250" s="181"/>
      <c r="L250" s="216"/>
      <c r="M250" s="275"/>
      <c r="N250" s="181"/>
      <c r="O250" s="216"/>
      <c r="P250" s="180"/>
      <c r="Q250" s="181"/>
      <c r="R250" s="181"/>
      <c r="S250" s="180"/>
      <c r="T250" s="181"/>
      <c r="U250" s="181"/>
      <c r="V250" s="217" t="s">
        <v>1462</v>
      </c>
      <c r="W250" s="91"/>
      <c r="X250" s="91"/>
      <c r="Y250" s="91"/>
      <c r="Z250" s="91"/>
      <c r="AA250" s="91"/>
      <c r="AB250" s="91"/>
      <c r="AC250" s="91"/>
      <c r="AD250" s="91"/>
      <c r="AE250" s="91"/>
      <c r="AF250" s="91"/>
    </row>
    <row r="251" ht="12.75" customHeight="1">
      <c r="A251" s="271" t="s">
        <v>1463</v>
      </c>
      <c r="B251" s="184" t="s">
        <v>1464</v>
      </c>
      <c r="C251" s="184" t="s">
        <v>1148</v>
      </c>
      <c r="D251" s="184" t="s">
        <v>1149</v>
      </c>
      <c r="E251" s="218">
        <v>1050.0</v>
      </c>
      <c r="F251" s="186" t="s">
        <v>559</v>
      </c>
      <c r="G251" s="233">
        <v>5380.0</v>
      </c>
      <c r="H251" s="234">
        <v>3890.0</v>
      </c>
      <c r="I251" s="234">
        <v>1480.0</v>
      </c>
      <c r="J251" s="243">
        <v>29.8</v>
      </c>
      <c r="K251" s="242">
        <v>29.7</v>
      </c>
      <c r="L251" s="227">
        <v>0.134</v>
      </c>
      <c r="M251" s="243">
        <v>0.434</v>
      </c>
      <c r="N251" s="242">
        <v>0.432</v>
      </c>
      <c r="O251" s="227">
        <v>0.00217</v>
      </c>
      <c r="P251" s="243">
        <v>29.4</v>
      </c>
      <c r="Q251" s="242">
        <v>29.3</v>
      </c>
      <c r="R251" s="227">
        <v>0.132</v>
      </c>
      <c r="S251" s="225">
        <v>7.94</v>
      </c>
      <c r="T251" s="226">
        <v>4.91</v>
      </c>
      <c r="U251" s="226">
        <v>3.03</v>
      </c>
      <c r="V251" s="221" t="s">
        <v>1465</v>
      </c>
      <c r="W251" s="91"/>
      <c r="X251" s="91"/>
      <c r="Y251" s="91"/>
      <c r="Z251" s="91"/>
      <c r="AA251" s="91"/>
      <c r="AB251" s="91"/>
      <c r="AC251" s="91"/>
      <c r="AD251" s="91"/>
      <c r="AE251" s="91"/>
      <c r="AF251" s="91"/>
    </row>
    <row r="252" ht="12.75" customHeight="1">
      <c r="A252" s="271" t="s">
        <v>1466</v>
      </c>
      <c r="B252" s="184" t="s">
        <v>1467</v>
      </c>
      <c r="C252" s="184" t="s">
        <v>438</v>
      </c>
      <c r="D252" s="184" t="s">
        <v>918</v>
      </c>
      <c r="E252" s="218">
        <v>7850.0</v>
      </c>
      <c r="F252" s="186" t="s">
        <v>559</v>
      </c>
      <c r="G252" s="233">
        <v>4200.0</v>
      </c>
      <c r="H252" s="234">
        <v>4200.0</v>
      </c>
      <c r="I252" s="234">
        <v>0.0</v>
      </c>
      <c r="J252" s="230">
        <v>6.82</v>
      </c>
      <c r="K252" s="231">
        <v>6.82</v>
      </c>
      <c r="L252" s="231">
        <v>0.0</v>
      </c>
      <c r="M252" s="230">
        <v>0.212</v>
      </c>
      <c r="N252" s="231">
        <v>0.212</v>
      </c>
      <c r="O252" s="231">
        <v>0.0</v>
      </c>
      <c r="P252" s="230">
        <v>6.61</v>
      </c>
      <c r="Q252" s="231">
        <v>6.61</v>
      </c>
      <c r="R252" s="231">
        <v>0.0</v>
      </c>
      <c r="S252" s="225">
        <v>1.51</v>
      </c>
      <c r="T252" s="226">
        <v>1.51</v>
      </c>
      <c r="U252" s="226">
        <v>0.0</v>
      </c>
      <c r="V252" s="221" t="s">
        <v>1468</v>
      </c>
      <c r="W252" s="91"/>
      <c r="X252" s="91"/>
      <c r="Y252" s="91"/>
      <c r="Z252" s="91"/>
      <c r="AA252" s="91"/>
      <c r="AB252" s="91"/>
      <c r="AC252" s="91"/>
      <c r="AD252" s="91"/>
      <c r="AE252" s="91"/>
      <c r="AF252" s="91"/>
    </row>
    <row r="253" ht="12.75" customHeight="1">
      <c r="A253" s="271" t="s">
        <v>1469</v>
      </c>
      <c r="B253" s="184" t="s">
        <v>1470</v>
      </c>
      <c r="C253" s="184" t="s">
        <v>1148</v>
      </c>
      <c r="D253" s="184" t="s">
        <v>1149</v>
      </c>
      <c r="E253" s="218">
        <v>960.0</v>
      </c>
      <c r="F253" s="186" t="s">
        <v>559</v>
      </c>
      <c r="G253" s="233">
        <v>3410.0</v>
      </c>
      <c r="H253" s="234">
        <v>1920.0</v>
      </c>
      <c r="I253" s="234">
        <v>1480.0</v>
      </c>
      <c r="J253" s="230">
        <v>23.7</v>
      </c>
      <c r="K253" s="231">
        <v>23.6</v>
      </c>
      <c r="L253" s="227">
        <v>0.134</v>
      </c>
      <c r="M253" s="230">
        <v>0.549</v>
      </c>
      <c r="N253" s="231">
        <v>0.547</v>
      </c>
      <c r="O253" s="227">
        <v>0.00217</v>
      </c>
      <c r="P253" s="230">
        <v>23.2</v>
      </c>
      <c r="Q253" s="231">
        <v>23.1</v>
      </c>
      <c r="R253" s="227">
        <v>0.132</v>
      </c>
      <c r="S253" s="225">
        <v>5.41</v>
      </c>
      <c r="T253" s="226">
        <v>2.38</v>
      </c>
      <c r="U253" s="226">
        <v>3.03</v>
      </c>
      <c r="V253" s="221" t="s">
        <v>1471</v>
      </c>
      <c r="W253" s="91"/>
      <c r="X253" s="91"/>
      <c r="Y253" s="91"/>
      <c r="Z253" s="91"/>
      <c r="AA253" s="91"/>
      <c r="AB253" s="91"/>
      <c r="AC253" s="91"/>
      <c r="AD253" s="91"/>
      <c r="AE253" s="91"/>
      <c r="AF253" s="91"/>
    </row>
    <row r="254" ht="12.75" customHeight="1">
      <c r="A254" s="271" t="s">
        <v>1472</v>
      </c>
      <c r="B254" s="184" t="s">
        <v>1473</v>
      </c>
      <c r="C254" s="184" t="s">
        <v>1148</v>
      </c>
      <c r="D254" s="184" t="s">
        <v>1149</v>
      </c>
      <c r="E254" s="218">
        <v>910.0</v>
      </c>
      <c r="F254" s="186" t="s">
        <v>559</v>
      </c>
      <c r="G254" s="233">
        <v>3430.0</v>
      </c>
      <c r="H254" s="234">
        <v>1940.0</v>
      </c>
      <c r="I254" s="234">
        <v>1480.0</v>
      </c>
      <c r="J254" s="230">
        <v>23.1</v>
      </c>
      <c r="K254" s="231">
        <v>23.0</v>
      </c>
      <c r="L254" s="227">
        <v>0.134</v>
      </c>
      <c r="M254" s="230">
        <v>0.433</v>
      </c>
      <c r="N254" s="231">
        <v>0.431</v>
      </c>
      <c r="O254" s="227">
        <v>0.00217</v>
      </c>
      <c r="P254" s="230">
        <v>22.7</v>
      </c>
      <c r="Q254" s="231">
        <v>22.6</v>
      </c>
      <c r="R254" s="227">
        <v>0.132</v>
      </c>
      <c r="S254" s="225">
        <v>5.43</v>
      </c>
      <c r="T254" s="226">
        <v>2.4</v>
      </c>
      <c r="U254" s="226">
        <v>3.03</v>
      </c>
      <c r="V254" s="221" t="s">
        <v>1474</v>
      </c>
      <c r="W254" s="91"/>
      <c r="X254" s="91"/>
      <c r="Y254" s="91"/>
      <c r="Z254" s="91"/>
      <c r="AA254" s="91"/>
      <c r="AB254" s="91"/>
      <c r="AC254" s="91"/>
      <c r="AD254" s="91"/>
      <c r="AE254" s="91"/>
      <c r="AF254" s="91"/>
    </row>
    <row r="255" ht="12.75" customHeight="1" outlineLevel="1">
      <c r="A255" s="200" t="s">
        <v>1475</v>
      </c>
      <c r="B255" s="201" t="s">
        <v>1476</v>
      </c>
      <c r="C255" s="202" t="s">
        <v>1148</v>
      </c>
      <c r="D255" s="201" t="s">
        <v>1149</v>
      </c>
      <c r="E255" s="203">
        <v>910.0</v>
      </c>
      <c r="F255" s="204" t="s">
        <v>559</v>
      </c>
      <c r="G255" s="205">
        <v>2840.0</v>
      </c>
      <c r="H255" s="203">
        <v>1360.0</v>
      </c>
      <c r="I255" s="203">
        <v>1480.0</v>
      </c>
      <c r="J255" s="206">
        <v>9.8</v>
      </c>
      <c r="K255" s="207">
        <v>9.67</v>
      </c>
      <c r="L255" s="208">
        <v>0.134</v>
      </c>
      <c r="M255" s="206">
        <v>0.808</v>
      </c>
      <c r="N255" s="207">
        <v>0.806</v>
      </c>
      <c r="O255" s="208">
        <v>0.00217</v>
      </c>
      <c r="P255" s="206">
        <v>8.99</v>
      </c>
      <c r="Q255" s="207">
        <v>8.86</v>
      </c>
      <c r="R255" s="208">
        <v>0.132</v>
      </c>
      <c r="S255" s="209">
        <v>4.6</v>
      </c>
      <c r="T255" s="208">
        <v>1.57</v>
      </c>
      <c r="U255" s="210">
        <v>3.03</v>
      </c>
      <c r="V255" s="245" t="s">
        <v>1477</v>
      </c>
      <c r="W255" s="170"/>
      <c r="X255" s="170"/>
      <c r="Y255" s="170"/>
      <c r="Z255" s="170"/>
      <c r="AA255" s="170"/>
      <c r="AB255" s="170"/>
      <c r="AC255" s="170"/>
      <c r="AD255" s="170"/>
      <c r="AE255" s="170"/>
      <c r="AF255" s="170"/>
    </row>
    <row r="256" ht="12.75" customHeight="1">
      <c r="A256" s="271" t="s">
        <v>1478</v>
      </c>
      <c r="B256" s="184" t="s">
        <v>1479</v>
      </c>
      <c r="C256" s="184" t="s">
        <v>1208</v>
      </c>
      <c r="D256" s="184" t="s">
        <v>1209</v>
      </c>
      <c r="E256" s="218">
        <v>1390.0</v>
      </c>
      <c r="F256" s="186" t="s">
        <v>559</v>
      </c>
      <c r="G256" s="233">
        <v>4400.0</v>
      </c>
      <c r="H256" s="234">
        <v>3220.0</v>
      </c>
      <c r="I256" s="234">
        <v>1180.0</v>
      </c>
      <c r="J256" s="230">
        <v>20.1</v>
      </c>
      <c r="K256" s="231">
        <v>19.0</v>
      </c>
      <c r="L256" s="226">
        <v>1.11</v>
      </c>
      <c r="M256" s="230">
        <v>0.645</v>
      </c>
      <c r="N256" s="231">
        <v>0.559</v>
      </c>
      <c r="O256" s="226">
        <v>0.0863</v>
      </c>
      <c r="P256" s="230">
        <v>19.5</v>
      </c>
      <c r="Q256" s="231">
        <v>18.5</v>
      </c>
      <c r="R256" s="226">
        <v>1.03</v>
      </c>
      <c r="S256" s="225">
        <v>4.42</v>
      </c>
      <c r="T256" s="226">
        <v>2.38</v>
      </c>
      <c r="U256" s="226">
        <v>2.04</v>
      </c>
      <c r="V256" s="221" t="s">
        <v>1480</v>
      </c>
      <c r="W256" s="91"/>
      <c r="X256" s="91"/>
      <c r="Y256" s="91"/>
      <c r="Z256" s="91"/>
      <c r="AA256" s="91"/>
      <c r="AB256" s="91"/>
      <c r="AC256" s="91"/>
      <c r="AD256" s="91"/>
      <c r="AE256" s="91"/>
      <c r="AF256" s="91"/>
    </row>
    <row r="257" ht="12.75" customHeight="1">
      <c r="A257" s="214" t="s">
        <v>1481</v>
      </c>
      <c r="B257" s="177" t="s">
        <v>1482</v>
      </c>
      <c r="C257" s="176"/>
      <c r="D257" s="177"/>
      <c r="E257" s="178" t="s">
        <v>1483</v>
      </c>
      <c r="F257" s="179"/>
      <c r="G257" s="179"/>
      <c r="H257" s="179"/>
      <c r="I257" s="179"/>
      <c r="J257" s="275"/>
      <c r="K257" s="181"/>
      <c r="L257" s="216"/>
      <c r="M257" s="275"/>
      <c r="N257" s="181"/>
      <c r="O257" s="216"/>
      <c r="P257" s="180"/>
      <c r="Q257" s="181"/>
      <c r="R257" s="181"/>
      <c r="S257" s="180"/>
      <c r="T257" s="181"/>
      <c r="U257" s="181"/>
      <c r="V257" s="217" t="s">
        <v>1484</v>
      </c>
      <c r="W257" s="91"/>
      <c r="X257" s="91"/>
      <c r="Y257" s="91"/>
      <c r="Z257" s="91"/>
      <c r="AA257" s="91"/>
      <c r="AB257" s="91"/>
      <c r="AC257" s="91"/>
      <c r="AD257" s="91"/>
      <c r="AE257" s="91"/>
      <c r="AF257" s="91"/>
    </row>
    <row r="258" ht="12.75" customHeight="1">
      <c r="A258" s="271" t="s">
        <v>1485</v>
      </c>
      <c r="B258" s="184" t="s">
        <v>1486</v>
      </c>
      <c r="C258" s="184" t="s">
        <v>1487</v>
      </c>
      <c r="D258" s="184" t="s">
        <v>1488</v>
      </c>
      <c r="E258" s="227">
        <v>0.3</v>
      </c>
      <c r="F258" s="186" t="s">
        <v>1489</v>
      </c>
      <c r="G258" s="233">
        <v>1960.0</v>
      </c>
      <c r="H258" s="234">
        <v>1480.0</v>
      </c>
      <c r="I258" s="234">
        <v>471.0</v>
      </c>
      <c r="J258" s="230">
        <v>6.96</v>
      </c>
      <c r="K258" s="231">
        <v>6.93</v>
      </c>
      <c r="L258" s="227">
        <v>0.0262</v>
      </c>
      <c r="M258" s="230">
        <v>0.447</v>
      </c>
      <c r="N258" s="231">
        <v>0.446</v>
      </c>
      <c r="O258" s="227">
        <v>5.61E-4</v>
      </c>
      <c r="P258" s="230">
        <v>6.51</v>
      </c>
      <c r="Q258" s="231">
        <v>6.48</v>
      </c>
      <c r="R258" s="231">
        <v>0.0257</v>
      </c>
      <c r="S258" s="228">
        <v>1.6</v>
      </c>
      <c r="T258" s="227">
        <v>0.877</v>
      </c>
      <c r="U258" s="227">
        <v>0.719</v>
      </c>
      <c r="V258" s="221" t="s">
        <v>1490</v>
      </c>
      <c r="W258" s="91"/>
      <c r="X258" s="91"/>
      <c r="Y258" s="91"/>
      <c r="Z258" s="91"/>
      <c r="AA258" s="91"/>
      <c r="AB258" s="91"/>
      <c r="AC258" s="91"/>
      <c r="AD258" s="91"/>
      <c r="AE258" s="91"/>
      <c r="AF258" s="91"/>
    </row>
    <row r="259" ht="12.75" customHeight="1">
      <c r="A259" s="271" t="s">
        <v>1491</v>
      </c>
      <c r="B259" s="184" t="s">
        <v>1492</v>
      </c>
      <c r="C259" s="184" t="s">
        <v>1487</v>
      </c>
      <c r="D259" s="184" t="s">
        <v>1488</v>
      </c>
      <c r="E259" s="227">
        <v>0.3</v>
      </c>
      <c r="F259" s="186" t="s">
        <v>1493</v>
      </c>
      <c r="G259" s="233">
        <v>1230.0</v>
      </c>
      <c r="H259" s="234">
        <v>759.0</v>
      </c>
      <c r="I259" s="234">
        <v>471.0</v>
      </c>
      <c r="J259" s="230">
        <v>4.36</v>
      </c>
      <c r="K259" s="231">
        <v>4.33</v>
      </c>
      <c r="L259" s="227">
        <v>0.0262</v>
      </c>
      <c r="M259" s="230">
        <v>0.145</v>
      </c>
      <c r="N259" s="231">
        <v>0.144</v>
      </c>
      <c r="O259" s="227">
        <v>5.61E-4</v>
      </c>
      <c r="P259" s="230">
        <v>4.21</v>
      </c>
      <c r="Q259" s="231">
        <v>4.19</v>
      </c>
      <c r="R259" s="231">
        <v>0.0257</v>
      </c>
      <c r="S259" s="228">
        <v>1.36</v>
      </c>
      <c r="T259" s="227">
        <v>0.644</v>
      </c>
      <c r="U259" s="227">
        <v>0.719</v>
      </c>
      <c r="V259" s="221" t="s">
        <v>1494</v>
      </c>
      <c r="W259" s="91"/>
      <c r="X259" s="91"/>
      <c r="Y259" s="91"/>
      <c r="Z259" s="91"/>
      <c r="AA259" s="91"/>
      <c r="AB259" s="91"/>
      <c r="AC259" s="91"/>
      <c r="AD259" s="91"/>
      <c r="AE259" s="91"/>
      <c r="AF259" s="91"/>
    </row>
    <row r="260" ht="12.75" customHeight="1">
      <c r="A260" s="271" t="s">
        <v>1495</v>
      </c>
      <c r="B260" s="184" t="s">
        <v>1496</v>
      </c>
      <c r="C260" s="184" t="s">
        <v>1084</v>
      </c>
      <c r="D260" s="184" t="s">
        <v>1085</v>
      </c>
      <c r="E260" s="227">
        <v>0.25</v>
      </c>
      <c r="F260" s="186" t="s">
        <v>1497</v>
      </c>
      <c r="G260" s="233">
        <v>626.0</v>
      </c>
      <c r="H260" s="234">
        <v>331.0</v>
      </c>
      <c r="I260" s="234">
        <v>295.0</v>
      </c>
      <c r="J260" s="225">
        <v>1.95</v>
      </c>
      <c r="K260" s="226">
        <v>1.89</v>
      </c>
      <c r="L260" s="227">
        <v>0.0562</v>
      </c>
      <c r="M260" s="225">
        <v>0.017</v>
      </c>
      <c r="N260" s="226">
        <v>0.015</v>
      </c>
      <c r="O260" s="227">
        <v>0.00195</v>
      </c>
      <c r="P260" s="230">
        <v>1.93</v>
      </c>
      <c r="Q260" s="231">
        <v>1.88</v>
      </c>
      <c r="R260" s="231">
        <v>0.0543</v>
      </c>
      <c r="S260" s="228">
        <v>0.706</v>
      </c>
      <c r="T260" s="227">
        <v>0.113</v>
      </c>
      <c r="U260" s="227">
        <v>0.593</v>
      </c>
      <c r="V260" s="221" t="s">
        <v>1498</v>
      </c>
      <c r="W260" s="91"/>
      <c r="X260" s="91"/>
      <c r="Y260" s="91"/>
      <c r="Z260" s="91"/>
      <c r="AA260" s="91"/>
      <c r="AB260" s="91"/>
      <c r="AC260" s="91"/>
      <c r="AD260" s="91"/>
      <c r="AE260" s="91"/>
      <c r="AF260" s="91"/>
    </row>
    <row r="261" ht="12.75" customHeight="1">
      <c r="A261" s="271" t="s">
        <v>1499</v>
      </c>
      <c r="B261" s="184" t="s">
        <v>1500</v>
      </c>
      <c r="C261" s="184" t="s">
        <v>438</v>
      </c>
      <c r="D261" s="184" t="s">
        <v>1501</v>
      </c>
      <c r="E261" s="227" t="s">
        <v>438</v>
      </c>
      <c r="F261" s="186" t="s">
        <v>1502</v>
      </c>
      <c r="G261" s="233">
        <v>10500.0</v>
      </c>
      <c r="H261" s="234">
        <v>10500.0</v>
      </c>
      <c r="I261" s="234">
        <v>0.0</v>
      </c>
      <c r="J261" s="243">
        <v>48.0</v>
      </c>
      <c r="K261" s="242">
        <v>48.0</v>
      </c>
      <c r="L261" s="242">
        <v>0.0</v>
      </c>
      <c r="M261" s="243">
        <v>4.31</v>
      </c>
      <c r="N261" s="242">
        <v>4.31</v>
      </c>
      <c r="O261" s="242">
        <v>0.0</v>
      </c>
      <c r="P261" s="243">
        <v>43.7</v>
      </c>
      <c r="Q261" s="242">
        <v>43.7</v>
      </c>
      <c r="R261" s="186">
        <v>0.0</v>
      </c>
      <c r="S261" s="225">
        <v>8.11</v>
      </c>
      <c r="T261" s="226">
        <v>8.11</v>
      </c>
      <c r="U261" s="186">
        <v>0.0</v>
      </c>
      <c r="V261" s="221" t="s">
        <v>1503</v>
      </c>
      <c r="W261" s="91"/>
      <c r="X261" s="91"/>
      <c r="Y261" s="91"/>
      <c r="Z261" s="91"/>
      <c r="AA261" s="91"/>
      <c r="AB261" s="91"/>
      <c r="AC261" s="91"/>
      <c r="AD261" s="91"/>
      <c r="AE261" s="91"/>
      <c r="AF261" s="91"/>
    </row>
    <row r="262" ht="12.75" customHeight="1">
      <c r="A262" s="271" t="s">
        <v>1504</v>
      </c>
      <c r="B262" s="184" t="s">
        <v>1505</v>
      </c>
      <c r="C262" s="184" t="s">
        <v>438</v>
      </c>
      <c r="D262" s="184" t="s">
        <v>1501</v>
      </c>
      <c r="E262" s="227" t="s">
        <v>438</v>
      </c>
      <c r="F262" s="186" t="s">
        <v>1506</v>
      </c>
      <c r="G262" s="233">
        <v>4470.0</v>
      </c>
      <c r="H262" s="234">
        <v>4470.0</v>
      </c>
      <c r="I262" s="234">
        <v>0.0</v>
      </c>
      <c r="J262" s="230">
        <v>17.9</v>
      </c>
      <c r="K262" s="231">
        <v>17.9</v>
      </c>
      <c r="L262" s="242">
        <v>0.0</v>
      </c>
      <c r="M262" s="230">
        <v>0.649</v>
      </c>
      <c r="N262" s="231">
        <v>0.649</v>
      </c>
      <c r="O262" s="242">
        <v>0.0</v>
      </c>
      <c r="P262" s="230">
        <v>17.3</v>
      </c>
      <c r="Q262" s="231">
        <v>17.3</v>
      </c>
      <c r="R262" s="186">
        <v>0.0</v>
      </c>
      <c r="S262" s="225">
        <v>3.72</v>
      </c>
      <c r="T262" s="226">
        <v>3.72</v>
      </c>
      <c r="U262" s="186">
        <v>0.0</v>
      </c>
      <c r="V262" s="221" t="s">
        <v>1507</v>
      </c>
      <c r="W262" s="91"/>
      <c r="X262" s="91"/>
      <c r="Y262" s="91"/>
      <c r="Z262" s="91"/>
      <c r="AA262" s="91"/>
      <c r="AB262" s="91"/>
      <c r="AC262" s="91"/>
      <c r="AD262" s="91"/>
      <c r="AE262" s="91"/>
      <c r="AF262" s="91"/>
    </row>
    <row r="263" ht="12.75" customHeight="1">
      <c r="A263" s="271" t="s">
        <v>1508</v>
      </c>
      <c r="B263" s="184" t="s">
        <v>1509</v>
      </c>
      <c r="C263" s="184" t="s">
        <v>438</v>
      </c>
      <c r="D263" s="184" t="s">
        <v>1501</v>
      </c>
      <c r="E263" s="227" t="s">
        <v>438</v>
      </c>
      <c r="F263" s="186" t="s">
        <v>1510</v>
      </c>
      <c r="G263" s="233">
        <v>4740.0</v>
      </c>
      <c r="H263" s="234">
        <v>4740.0</v>
      </c>
      <c r="I263" s="234">
        <v>0.0</v>
      </c>
      <c r="J263" s="230">
        <v>22.9</v>
      </c>
      <c r="K263" s="231">
        <v>22.9</v>
      </c>
      <c r="L263" s="242">
        <v>0.0</v>
      </c>
      <c r="M263" s="230">
        <v>0.775</v>
      </c>
      <c r="N263" s="231">
        <v>0.775</v>
      </c>
      <c r="O263" s="242">
        <v>0.0</v>
      </c>
      <c r="P263" s="230">
        <v>22.1</v>
      </c>
      <c r="Q263" s="231">
        <v>22.1</v>
      </c>
      <c r="R263" s="186">
        <v>0.0</v>
      </c>
      <c r="S263" s="225">
        <v>4.5</v>
      </c>
      <c r="T263" s="226">
        <v>4.5</v>
      </c>
      <c r="U263" s="186">
        <v>0.0</v>
      </c>
      <c r="V263" s="221" t="s">
        <v>1511</v>
      </c>
      <c r="W263" s="91"/>
      <c r="X263" s="91"/>
      <c r="Y263" s="91"/>
      <c r="Z263" s="91"/>
      <c r="AA263" s="91"/>
      <c r="AB263" s="91"/>
      <c r="AC263" s="91"/>
      <c r="AD263" s="91"/>
      <c r="AE263" s="91"/>
      <c r="AF263" s="91"/>
    </row>
    <row r="264" ht="12.75" customHeight="1">
      <c r="A264" s="271" t="s">
        <v>1512</v>
      </c>
      <c r="B264" s="184" t="s">
        <v>1513</v>
      </c>
      <c r="C264" s="184" t="s">
        <v>438</v>
      </c>
      <c r="D264" s="184" t="s">
        <v>1501</v>
      </c>
      <c r="E264" s="227" t="s">
        <v>438</v>
      </c>
      <c r="F264" s="186" t="s">
        <v>1514</v>
      </c>
      <c r="G264" s="233">
        <v>7120.0</v>
      </c>
      <c r="H264" s="234">
        <v>7120.0</v>
      </c>
      <c r="I264" s="234">
        <v>0.0</v>
      </c>
      <c r="J264" s="230">
        <v>5.77</v>
      </c>
      <c r="K264" s="231">
        <v>5.77</v>
      </c>
      <c r="L264" s="242">
        <v>0.0</v>
      </c>
      <c r="M264" s="230">
        <v>0.776</v>
      </c>
      <c r="N264" s="231">
        <v>0.776</v>
      </c>
      <c r="O264" s="242">
        <v>0.0</v>
      </c>
      <c r="P264" s="230">
        <v>4.99</v>
      </c>
      <c r="Q264" s="231">
        <v>4.99</v>
      </c>
      <c r="R264" s="186">
        <v>0.0</v>
      </c>
      <c r="S264" s="228">
        <v>0.582</v>
      </c>
      <c r="T264" s="227">
        <v>0.582</v>
      </c>
      <c r="U264" s="186">
        <v>0.0</v>
      </c>
      <c r="V264" s="221" t="s">
        <v>1515</v>
      </c>
      <c r="W264" s="91"/>
      <c r="X264" s="91"/>
      <c r="Y264" s="91"/>
      <c r="Z264" s="91"/>
      <c r="AA264" s="91"/>
      <c r="AB264" s="91"/>
      <c r="AC264" s="91"/>
      <c r="AD264" s="91"/>
      <c r="AE264" s="91"/>
      <c r="AF264" s="91"/>
    </row>
    <row r="265" ht="12.75" customHeight="1">
      <c r="A265" s="271" t="s">
        <v>1516</v>
      </c>
      <c r="B265" s="184" t="s">
        <v>1517</v>
      </c>
      <c r="C265" s="184" t="s">
        <v>438</v>
      </c>
      <c r="D265" s="184" t="s">
        <v>1501</v>
      </c>
      <c r="E265" s="227" t="s">
        <v>438</v>
      </c>
      <c r="F265" s="186" t="s">
        <v>1518</v>
      </c>
      <c r="G265" s="233">
        <v>41100.0</v>
      </c>
      <c r="H265" s="234">
        <v>41100.0</v>
      </c>
      <c r="I265" s="234">
        <v>0.0</v>
      </c>
      <c r="J265" s="243">
        <v>28.5</v>
      </c>
      <c r="K265" s="242">
        <v>28.5</v>
      </c>
      <c r="L265" s="242">
        <v>0.0</v>
      </c>
      <c r="M265" s="243">
        <v>2.63</v>
      </c>
      <c r="N265" s="242">
        <v>2.63</v>
      </c>
      <c r="O265" s="242">
        <v>0.0</v>
      </c>
      <c r="P265" s="230">
        <v>25.9</v>
      </c>
      <c r="Q265" s="231">
        <v>25.9</v>
      </c>
      <c r="R265" s="186">
        <v>0.0</v>
      </c>
      <c r="S265" s="225">
        <v>6.01</v>
      </c>
      <c r="T265" s="226">
        <v>6.01</v>
      </c>
      <c r="U265" s="186">
        <v>0.0</v>
      </c>
      <c r="V265" s="276" t="s">
        <v>1519</v>
      </c>
      <c r="W265" s="91"/>
      <c r="X265" s="91"/>
      <c r="Y265" s="91"/>
      <c r="Z265" s="91"/>
      <c r="AA265" s="91"/>
      <c r="AB265" s="91"/>
      <c r="AC265" s="91"/>
      <c r="AD265" s="91"/>
      <c r="AE265" s="91"/>
      <c r="AF265" s="91"/>
    </row>
    <row r="266" ht="12.75" customHeight="1">
      <c r="A266" s="214" t="s">
        <v>1520</v>
      </c>
      <c r="B266" s="177" t="s">
        <v>1521</v>
      </c>
      <c r="C266" s="176"/>
      <c r="D266" s="177"/>
      <c r="E266" s="178" t="s">
        <v>1522</v>
      </c>
      <c r="F266" s="179"/>
      <c r="G266" s="179"/>
      <c r="H266" s="179"/>
      <c r="I266" s="179"/>
      <c r="J266" s="275"/>
      <c r="K266" s="181"/>
      <c r="L266" s="216"/>
      <c r="M266" s="275"/>
      <c r="N266" s="181"/>
      <c r="O266" s="216"/>
      <c r="P266" s="180"/>
      <c r="Q266" s="181"/>
      <c r="R266" s="181"/>
      <c r="S266" s="180"/>
      <c r="T266" s="181"/>
      <c r="U266" s="181"/>
      <c r="V266" s="217" t="s">
        <v>1523</v>
      </c>
      <c r="W266" s="91"/>
      <c r="X266" s="91"/>
      <c r="Y266" s="91"/>
      <c r="Z266" s="91"/>
      <c r="AA266" s="91"/>
      <c r="AB266" s="91"/>
      <c r="AC266" s="91"/>
      <c r="AD266" s="91"/>
      <c r="AE266" s="91"/>
      <c r="AF266" s="91"/>
    </row>
    <row r="267" ht="12.75" customHeight="1">
      <c r="A267" s="271" t="s">
        <v>1524</v>
      </c>
      <c r="B267" s="184" t="s">
        <v>1525</v>
      </c>
      <c r="C267" s="184" t="s">
        <v>1148</v>
      </c>
      <c r="D267" s="184" t="s">
        <v>1149</v>
      </c>
      <c r="E267" s="218">
        <v>1180.0</v>
      </c>
      <c r="F267" s="186" t="s">
        <v>559</v>
      </c>
      <c r="G267" s="233">
        <v>9050.0</v>
      </c>
      <c r="H267" s="234">
        <v>7570.0</v>
      </c>
      <c r="I267" s="234">
        <v>1480.0</v>
      </c>
      <c r="J267" s="243">
        <v>40.5</v>
      </c>
      <c r="K267" s="242">
        <v>40.3</v>
      </c>
      <c r="L267" s="227">
        <v>0.134</v>
      </c>
      <c r="M267" s="243">
        <v>0.373</v>
      </c>
      <c r="N267" s="242">
        <v>0.371</v>
      </c>
      <c r="O267" s="227">
        <v>0.00217</v>
      </c>
      <c r="P267" s="243">
        <v>40.1</v>
      </c>
      <c r="Q267" s="242">
        <v>40.0</v>
      </c>
      <c r="R267" s="227">
        <v>0.132</v>
      </c>
      <c r="S267" s="230">
        <v>11.7</v>
      </c>
      <c r="T267" s="226">
        <v>8.68</v>
      </c>
      <c r="U267" s="226">
        <v>3.03</v>
      </c>
      <c r="V267" s="221" t="s">
        <v>1526</v>
      </c>
      <c r="W267" s="91"/>
      <c r="X267" s="91"/>
      <c r="Y267" s="91"/>
      <c r="Z267" s="91"/>
      <c r="AA267" s="91"/>
      <c r="AB267" s="91"/>
      <c r="AC267" s="91"/>
      <c r="AD267" s="91"/>
      <c r="AE267" s="91"/>
      <c r="AF267" s="91"/>
    </row>
    <row r="268" ht="12.75" customHeight="1">
      <c r="A268" s="271" t="s">
        <v>1527</v>
      </c>
      <c r="B268" s="184" t="s">
        <v>1528</v>
      </c>
      <c r="C268" s="184" t="s">
        <v>781</v>
      </c>
      <c r="D268" s="184" t="s">
        <v>1529</v>
      </c>
      <c r="E268" s="218">
        <v>1360.0</v>
      </c>
      <c r="F268" s="186" t="s">
        <v>559</v>
      </c>
      <c r="G268" s="233">
        <v>7730.0</v>
      </c>
      <c r="H268" s="234">
        <v>7350.0</v>
      </c>
      <c r="I268" s="234">
        <v>377.0</v>
      </c>
      <c r="J268" s="243">
        <v>40.8</v>
      </c>
      <c r="K268" s="242">
        <v>40.7</v>
      </c>
      <c r="L268" s="227">
        <v>0.131</v>
      </c>
      <c r="M268" s="243">
        <v>1.01</v>
      </c>
      <c r="N268" s="242">
        <v>1.0</v>
      </c>
      <c r="O268" s="227">
        <v>0.00194</v>
      </c>
      <c r="P268" s="243">
        <v>39.8</v>
      </c>
      <c r="Q268" s="242">
        <v>39.7</v>
      </c>
      <c r="R268" s="227">
        <v>0.129</v>
      </c>
      <c r="S268" s="225">
        <v>9.6</v>
      </c>
      <c r="T268" s="226">
        <v>8.89</v>
      </c>
      <c r="U268" s="227">
        <v>0.714</v>
      </c>
      <c r="V268" s="221" t="s">
        <v>1530</v>
      </c>
      <c r="W268" s="91"/>
      <c r="X268" s="91"/>
      <c r="Y268" s="91"/>
      <c r="Z268" s="91"/>
      <c r="AA268" s="91"/>
      <c r="AB268" s="91"/>
      <c r="AC268" s="91"/>
      <c r="AD268" s="91"/>
      <c r="AE268" s="91"/>
      <c r="AF268" s="91"/>
    </row>
    <row r="269" ht="12.75" customHeight="1">
      <c r="A269" s="271" t="s">
        <v>1531</v>
      </c>
      <c r="B269" s="184" t="s">
        <v>1532</v>
      </c>
      <c r="C269" s="184" t="s">
        <v>1148</v>
      </c>
      <c r="D269" s="184" t="s">
        <v>1149</v>
      </c>
      <c r="E269" s="218">
        <v>1200.0</v>
      </c>
      <c r="F269" s="186" t="s">
        <v>559</v>
      </c>
      <c r="G269" s="233">
        <v>8240.0</v>
      </c>
      <c r="H269" s="234">
        <v>6760.0</v>
      </c>
      <c r="I269" s="234">
        <v>1480.0</v>
      </c>
      <c r="J269" s="243">
        <v>32.2</v>
      </c>
      <c r="K269" s="242">
        <v>32.0</v>
      </c>
      <c r="L269" s="227">
        <v>0.134</v>
      </c>
      <c r="M269" s="243">
        <v>0.431</v>
      </c>
      <c r="N269" s="242">
        <v>0.429</v>
      </c>
      <c r="O269" s="227">
        <v>0.00217</v>
      </c>
      <c r="P269" s="243">
        <v>31.7</v>
      </c>
      <c r="Q269" s="242">
        <v>31.6</v>
      </c>
      <c r="R269" s="227">
        <v>0.132</v>
      </c>
      <c r="S269" s="230">
        <v>11.5</v>
      </c>
      <c r="T269" s="226">
        <v>8.49</v>
      </c>
      <c r="U269" s="226">
        <v>3.03</v>
      </c>
      <c r="V269" s="221" t="s">
        <v>1533</v>
      </c>
      <c r="W269" s="91"/>
      <c r="X269" s="91"/>
      <c r="Y269" s="91"/>
      <c r="Z269" s="91"/>
      <c r="AA269" s="91"/>
      <c r="AB269" s="91"/>
      <c r="AC269" s="91"/>
      <c r="AD269" s="91"/>
      <c r="AE269" s="91"/>
      <c r="AF269" s="91"/>
    </row>
    <row r="270" ht="12.75" customHeight="1">
      <c r="A270" s="271" t="s">
        <v>1534</v>
      </c>
      <c r="B270" s="184" t="s">
        <v>1535</v>
      </c>
      <c r="C270" s="162" t="s">
        <v>781</v>
      </c>
      <c r="D270" s="162" t="s">
        <v>782</v>
      </c>
      <c r="E270" s="185">
        <v>1500.0</v>
      </c>
      <c r="F270" s="186" t="s">
        <v>559</v>
      </c>
      <c r="G270" s="165">
        <v>9200.0</v>
      </c>
      <c r="H270" s="166">
        <v>8180.0</v>
      </c>
      <c r="I270" s="166">
        <v>1030.0</v>
      </c>
      <c r="J270" s="235">
        <v>33.1</v>
      </c>
      <c r="K270" s="236">
        <v>32.9</v>
      </c>
      <c r="L270" s="163">
        <v>0.198</v>
      </c>
      <c r="M270" s="235">
        <v>1.52</v>
      </c>
      <c r="N270" s="236">
        <v>1.52</v>
      </c>
      <c r="O270" s="163">
        <v>0.00498</v>
      </c>
      <c r="P270" s="235">
        <v>31.6</v>
      </c>
      <c r="Q270" s="236">
        <v>31.4</v>
      </c>
      <c r="R270" s="163">
        <v>0.193</v>
      </c>
      <c r="S270" s="219">
        <v>8.85</v>
      </c>
      <c r="T270" s="220">
        <v>6.87</v>
      </c>
      <c r="U270" s="163">
        <v>1.98</v>
      </c>
      <c r="V270" s="221" t="s">
        <v>1536</v>
      </c>
      <c r="W270" s="91"/>
      <c r="X270" s="91"/>
      <c r="Y270" s="91"/>
      <c r="Z270" s="91"/>
      <c r="AA270" s="91"/>
      <c r="AB270" s="91"/>
      <c r="AC270" s="91"/>
      <c r="AD270" s="91"/>
      <c r="AE270" s="91"/>
      <c r="AF270" s="91"/>
    </row>
    <row r="271" ht="12.75" customHeight="1">
      <c r="A271" s="271" t="s">
        <v>1537</v>
      </c>
      <c r="B271" s="184" t="s">
        <v>1538</v>
      </c>
      <c r="C271" s="184" t="s">
        <v>1148</v>
      </c>
      <c r="D271" s="184" t="s">
        <v>1149</v>
      </c>
      <c r="E271" s="218">
        <v>1050.0</v>
      </c>
      <c r="F271" s="186" t="s">
        <v>559</v>
      </c>
      <c r="G271" s="233">
        <v>4070.0</v>
      </c>
      <c r="H271" s="234">
        <v>2580.0</v>
      </c>
      <c r="I271" s="234">
        <v>1480.0</v>
      </c>
      <c r="J271" s="243">
        <v>24.6</v>
      </c>
      <c r="K271" s="242">
        <v>24.5</v>
      </c>
      <c r="L271" s="242">
        <v>0.134</v>
      </c>
      <c r="M271" s="243">
        <v>0.0991</v>
      </c>
      <c r="N271" s="242">
        <v>0.0969</v>
      </c>
      <c r="O271" s="242">
        <v>0.00217</v>
      </c>
      <c r="P271" s="230">
        <v>24.5</v>
      </c>
      <c r="Q271" s="231">
        <v>24.4</v>
      </c>
      <c r="R271" s="186">
        <v>0.132</v>
      </c>
      <c r="S271" s="225">
        <v>6.68</v>
      </c>
      <c r="T271" s="226">
        <v>3.64</v>
      </c>
      <c r="U271" s="186">
        <v>3.03</v>
      </c>
      <c r="V271" s="221" t="s">
        <v>1539</v>
      </c>
      <c r="W271" s="277"/>
      <c r="X271" s="277"/>
      <c r="Y271" s="277"/>
      <c r="Z271" s="277"/>
      <c r="AA271" s="277"/>
      <c r="AB271" s="277"/>
      <c r="AC271" s="277"/>
      <c r="AD271" s="277"/>
      <c r="AE271" s="277"/>
      <c r="AF271" s="277"/>
    </row>
    <row r="272" ht="12.75" customHeight="1">
      <c r="A272" s="151">
        <v>21.0</v>
      </c>
      <c r="B272" s="152" t="s">
        <v>1540</v>
      </c>
      <c r="C272" s="153"/>
      <c r="D272" s="152"/>
      <c r="E272" s="154" t="s">
        <v>438</v>
      </c>
      <c r="F272" s="155"/>
      <c r="G272" s="155"/>
      <c r="H272" s="155"/>
      <c r="I272" s="155"/>
      <c r="J272" s="156"/>
      <c r="K272" s="157"/>
      <c r="L272" s="158"/>
      <c r="M272" s="156"/>
      <c r="N272" s="157"/>
      <c r="O272" s="158"/>
      <c r="P272" s="159"/>
      <c r="Q272" s="157"/>
      <c r="R272" s="157"/>
      <c r="S272" s="159"/>
      <c r="T272" s="157"/>
      <c r="U272" s="157"/>
      <c r="V272" s="160" t="s">
        <v>1541</v>
      </c>
      <c r="W272" s="170"/>
      <c r="X272" s="170"/>
      <c r="Y272" s="170"/>
      <c r="Z272" s="170"/>
      <c r="AA272" s="170"/>
      <c r="AB272" s="170"/>
      <c r="AC272" s="170"/>
      <c r="AD272" s="170"/>
      <c r="AE272" s="170"/>
      <c r="AF272" s="170"/>
    </row>
    <row r="273" ht="12.75" customHeight="1">
      <c r="A273" s="161" t="s">
        <v>1542</v>
      </c>
      <c r="B273" s="162" t="s">
        <v>1543</v>
      </c>
      <c r="C273" s="162" t="s">
        <v>1544</v>
      </c>
      <c r="D273" s="162" t="s">
        <v>1545</v>
      </c>
      <c r="E273" s="163" t="s">
        <v>438</v>
      </c>
      <c r="F273" s="164" t="s">
        <v>1546</v>
      </c>
      <c r="G273" s="165">
        <v>19600.0</v>
      </c>
      <c r="H273" s="166">
        <v>15800.0</v>
      </c>
      <c r="I273" s="166">
        <v>3770.0</v>
      </c>
      <c r="J273" s="171">
        <v>132.0</v>
      </c>
      <c r="K273" s="172">
        <v>131.0</v>
      </c>
      <c r="L273" s="163">
        <v>0.349</v>
      </c>
      <c r="M273" s="171">
        <v>18.0</v>
      </c>
      <c r="N273" s="172">
        <v>18.0</v>
      </c>
      <c r="O273" s="163">
        <v>0.00575</v>
      </c>
      <c r="P273" s="171">
        <v>114.0</v>
      </c>
      <c r="Q273" s="172">
        <v>113.0</v>
      </c>
      <c r="R273" s="163">
        <v>0.343</v>
      </c>
      <c r="S273" s="235">
        <v>23.7</v>
      </c>
      <c r="T273" s="220">
        <v>16.0</v>
      </c>
      <c r="U273" s="220">
        <v>7.68</v>
      </c>
      <c r="V273" s="173" t="s">
        <v>1547</v>
      </c>
      <c r="W273" s="170"/>
      <c r="X273" s="170"/>
      <c r="Y273" s="170"/>
      <c r="Z273" s="170"/>
      <c r="AA273" s="170"/>
      <c r="AB273" s="170"/>
      <c r="AC273" s="170"/>
      <c r="AD273" s="170"/>
      <c r="AE273" s="170"/>
      <c r="AF273" s="170"/>
    </row>
    <row r="274" ht="12.75" customHeight="1">
      <c r="A274" s="161" t="s">
        <v>1548</v>
      </c>
      <c r="B274" s="162" t="s">
        <v>1549</v>
      </c>
      <c r="C274" s="162" t="s">
        <v>438</v>
      </c>
      <c r="D274" s="162" t="s">
        <v>918</v>
      </c>
      <c r="E274" s="163" t="s">
        <v>438</v>
      </c>
      <c r="F274" s="164" t="s">
        <v>1550</v>
      </c>
      <c r="G274" s="165">
        <v>742000.0</v>
      </c>
      <c r="H274" s="166">
        <v>742000.0</v>
      </c>
      <c r="I274" s="166">
        <v>0.0</v>
      </c>
      <c r="J274" s="171">
        <v>1800.0</v>
      </c>
      <c r="K274" s="172">
        <v>1800.0</v>
      </c>
      <c r="L274" s="163">
        <v>0.0</v>
      </c>
      <c r="M274" s="171">
        <v>469.0</v>
      </c>
      <c r="N274" s="172">
        <v>469.0</v>
      </c>
      <c r="O274" s="163">
        <v>0.0</v>
      </c>
      <c r="P274" s="171">
        <v>1330.0</v>
      </c>
      <c r="Q274" s="172">
        <v>1330.0</v>
      </c>
      <c r="R274" s="163">
        <v>0.0</v>
      </c>
      <c r="S274" s="235">
        <v>323.0</v>
      </c>
      <c r="T274" s="220">
        <v>323.0</v>
      </c>
      <c r="U274" s="220">
        <v>0.0</v>
      </c>
      <c r="V274" s="173" t="s">
        <v>1551</v>
      </c>
      <c r="W274" s="170"/>
      <c r="X274" s="170"/>
      <c r="Y274" s="170"/>
      <c r="Z274" s="170"/>
      <c r="AA274" s="170"/>
      <c r="AB274" s="170"/>
      <c r="AC274" s="170"/>
      <c r="AD274" s="170"/>
      <c r="AE274" s="170"/>
      <c r="AF274" s="170"/>
    </row>
    <row r="275" ht="12.75" customHeight="1">
      <c r="A275" s="161" t="s">
        <v>1552</v>
      </c>
      <c r="B275" s="162" t="s">
        <v>1553</v>
      </c>
      <c r="C275" s="162" t="s">
        <v>1554</v>
      </c>
      <c r="D275" s="162" t="s">
        <v>1555</v>
      </c>
      <c r="E275" s="163" t="s">
        <v>438</v>
      </c>
      <c r="F275" s="164" t="s">
        <v>1556</v>
      </c>
      <c r="G275" s="165">
        <v>112000.0</v>
      </c>
      <c r="H275" s="166">
        <v>111000.0</v>
      </c>
      <c r="I275" s="166">
        <v>1130.0</v>
      </c>
      <c r="J275" s="171">
        <v>239.0</v>
      </c>
      <c r="K275" s="172">
        <v>238.0</v>
      </c>
      <c r="L275" s="163">
        <v>0.764</v>
      </c>
      <c r="M275" s="171">
        <v>35.6</v>
      </c>
      <c r="N275" s="172">
        <v>35.6</v>
      </c>
      <c r="O275" s="163">
        <v>0.0118</v>
      </c>
      <c r="P275" s="171">
        <v>204.0</v>
      </c>
      <c r="Q275" s="172">
        <v>203.0</v>
      </c>
      <c r="R275" s="163">
        <v>0.752</v>
      </c>
      <c r="S275" s="235">
        <v>50.2</v>
      </c>
      <c r="T275" s="220">
        <v>48.6</v>
      </c>
      <c r="U275" s="220">
        <v>1.57</v>
      </c>
      <c r="V275" s="173" t="s">
        <v>1557</v>
      </c>
      <c r="W275" s="170"/>
      <c r="X275" s="170"/>
      <c r="Y275" s="170"/>
      <c r="Z275" s="170"/>
      <c r="AA275" s="170"/>
      <c r="AB275" s="170"/>
      <c r="AC275" s="170"/>
      <c r="AD275" s="170"/>
      <c r="AE275" s="170"/>
      <c r="AF275" s="170"/>
    </row>
    <row r="276" ht="14.25" customHeight="1">
      <c r="A276" s="161" t="s">
        <v>1558</v>
      </c>
      <c r="B276" s="162" t="s">
        <v>1559</v>
      </c>
      <c r="C276" s="162" t="s">
        <v>1560</v>
      </c>
      <c r="D276" s="162" t="s">
        <v>1561</v>
      </c>
      <c r="E276" s="163" t="s">
        <v>438</v>
      </c>
      <c r="F276" s="164" t="s">
        <v>1562</v>
      </c>
      <c r="G276" s="165">
        <v>86600.0</v>
      </c>
      <c r="H276" s="166">
        <v>76400.0</v>
      </c>
      <c r="I276" s="166">
        <v>10200.0</v>
      </c>
      <c r="J276" s="171">
        <v>366.0</v>
      </c>
      <c r="K276" s="172">
        <v>365.0</v>
      </c>
      <c r="L276" s="163">
        <v>1.56</v>
      </c>
      <c r="M276" s="171">
        <v>6.02</v>
      </c>
      <c r="N276" s="172">
        <v>5.99</v>
      </c>
      <c r="O276" s="163">
        <v>0.0266</v>
      </c>
      <c r="P276" s="171">
        <v>360.0</v>
      </c>
      <c r="Q276" s="172">
        <v>359.0</v>
      </c>
      <c r="R276" s="163">
        <v>1.54</v>
      </c>
      <c r="S276" s="235">
        <v>94.0</v>
      </c>
      <c r="T276" s="220">
        <v>77.1</v>
      </c>
      <c r="U276" s="220">
        <v>16.9</v>
      </c>
      <c r="V276" s="173" t="s">
        <v>1563</v>
      </c>
      <c r="W276" s="170"/>
      <c r="X276" s="170"/>
      <c r="Y276" s="170"/>
      <c r="Z276" s="170"/>
      <c r="AA276" s="170"/>
      <c r="AB276" s="170"/>
      <c r="AC276" s="170"/>
      <c r="AD276" s="170"/>
      <c r="AE276" s="170"/>
      <c r="AF276" s="170"/>
    </row>
    <row r="277" ht="12.75" customHeight="1">
      <c r="A277" s="161" t="s">
        <v>1564</v>
      </c>
      <c r="B277" s="162" t="s">
        <v>1565</v>
      </c>
      <c r="C277" s="162" t="s">
        <v>1566</v>
      </c>
      <c r="D277" s="162" t="s">
        <v>1567</v>
      </c>
      <c r="E277" s="163" t="s">
        <v>438</v>
      </c>
      <c r="F277" s="164" t="s">
        <v>1568</v>
      </c>
      <c r="G277" s="165">
        <v>28200.0</v>
      </c>
      <c r="H277" s="166">
        <v>26400.0</v>
      </c>
      <c r="I277" s="166">
        <v>1750.0</v>
      </c>
      <c r="J277" s="171">
        <v>266.0</v>
      </c>
      <c r="K277" s="172">
        <v>265.0</v>
      </c>
      <c r="L277" s="163">
        <v>0.799</v>
      </c>
      <c r="M277" s="171">
        <v>148.0</v>
      </c>
      <c r="N277" s="172">
        <v>148.0</v>
      </c>
      <c r="O277" s="163">
        <v>0.0126</v>
      </c>
      <c r="P277" s="171">
        <v>118.0</v>
      </c>
      <c r="Q277" s="172">
        <v>117.0</v>
      </c>
      <c r="R277" s="163">
        <v>0.786</v>
      </c>
      <c r="S277" s="235">
        <v>23.9</v>
      </c>
      <c r="T277" s="220">
        <v>21.4</v>
      </c>
      <c r="U277" s="220">
        <v>2.51</v>
      </c>
      <c r="V277" s="173" t="s">
        <v>1569</v>
      </c>
      <c r="W277" s="170"/>
      <c r="X277" s="170"/>
      <c r="Y277" s="170"/>
      <c r="Z277" s="170"/>
      <c r="AA277" s="170"/>
      <c r="AB277" s="170"/>
      <c r="AC277" s="170"/>
      <c r="AD277" s="170"/>
      <c r="AE277" s="170"/>
      <c r="AF277" s="170"/>
    </row>
    <row r="278" ht="12.75" customHeight="1">
      <c r="A278" s="161" t="s">
        <v>1570</v>
      </c>
      <c r="B278" s="162" t="s">
        <v>1571</v>
      </c>
      <c r="C278" s="162" t="s">
        <v>1572</v>
      </c>
      <c r="D278" s="162" t="s">
        <v>1573</v>
      </c>
      <c r="E278" s="163" t="s">
        <v>438</v>
      </c>
      <c r="F278" s="164" t="s">
        <v>1574</v>
      </c>
      <c r="G278" s="165">
        <v>35900.0</v>
      </c>
      <c r="H278" s="166">
        <v>35300.0</v>
      </c>
      <c r="I278" s="166">
        <v>634.0</v>
      </c>
      <c r="J278" s="171">
        <v>336.0</v>
      </c>
      <c r="K278" s="172">
        <v>335.0</v>
      </c>
      <c r="L278" s="163">
        <v>0.818</v>
      </c>
      <c r="M278" s="171">
        <v>252.0</v>
      </c>
      <c r="N278" s="172">
        <v>252.0</v>
      </c>
      <c r="O278" s="163">
        <v>0.0132</v>
      </c>
      <c r="P278" s="171">
        <v>84.1</v>
      </c>
      <c r="Q278" s="172">
        <v>83.3</v>
      </c>
      <c r="R278" s="163">
        <v>0.804</v>
      </c>
      <c r="S278" s="235">
        <v>11.9</v>
      </c>
      <c r="T278" s="220">
        <v>11.7</v>
      </c>
      <c r="U278" s="220">
        <v>0.237</v>
      </c>
      <c r="V278" s="173" t="s">
        <v>1575</v>
      </c>
      <c r="W278" s="170"/>
      <c r="X278" s="170"/>
      <c r="Y278" s="170"/>
      <c r="Z278" s="170"/>
      <c r="AA278" s="170"/>
      <c r="AB278" s="170"/>
      <c r="AC278" s="170"/>
      <c r="AD278" s="170"/>
      <c r="AE278" s="170"/>
      <c r="AF278" s="170"/>
    </row>
    <row r="279" ht="12.75" customHeight="1">
      <c r="A279" s="161" t="s">
        <v>1576</v>
      </c>
      <c r="B279" s="162" t="s">
        <v>1577</v>
      </c>
      <c r="C279" s="162" t="s">
        <v>1578</v>
      </c>
      <c r="D279" s="162" t="s">
        <v>1579</v>
      </c>
      <c r="E279" s="163" t="s">
        <v>438</v>
      </c>
      <c r="F279" s="164" t="s">
        <v>1580</v>
      </c>
      <c r="G279" s="165">
        <v>121000.0</v>
      </c>
      <c r="H279" s="166">
        <v>119000.0</v>
      </c>
      <c r="I279" s="166">
        <v>2130.0</v>
      </c>
      <c r="J279" s="171">
        <v>472.0</v>
      </c>
      <c r="K279" s="172">
        <v>468.0</v>
      </c>
      <c r="L279" s="163">
        <v>4.31</v>
      </c>
      <c r="M279" s="171">
        <v>62.1</v>
      </c>
      <c r="N279" s="172">
        <v>61.9</v>
      </c>
      <c r="O279" s="163">
        <v>0.146</v>
      </c>
      <c r="P279" s="171">
        <v>410.0</v>
      </c>
      <c r="Q279" s="172">
        <v>406.0</v>
      </c>
      <c r="R279" s="163">
        <v>4.17</v>
      </c>
      <c r="S279" s="235">
        <v>36.3</v>
      </c>
      <c r="T279" s="220">
        <v>35.6</v>
      </c>
      <c r="U279" s="220">
        <v>0.745</v>
      </c>
      <c r="V279" s="173" t="s">
        <v>1581</v>
      </c>
      <c r="W279" s="170"/>
      <c r="X279" s="170"/>
      <c r="Y279" s="170"/>
      <c r="Z279" s="170"/>
      <c r="AA279" s="170"/>
      <c r="AB279" s="170"/>
      <c r="AC279" s="170"/>
      <c r="AD279" s="170"/>
      <c r="AE279" s="170"/>
      <c r="AF279" s="170"/>
    </row>
    <row r="280" ht="12.75" customHeight="1">
      <c r="A280" s="161" t="s">
        <v>1582</v>
      </c>
      <c r="B280" s="162" t="s">
        <v>1583</v>
      </c>
      <c r="C280" s="162" t="s">
        <v>1584</v>
      </c>
      <c r="D280" s="162" t="s">
        <v>1585</v>
      </c>
      <c r="E280" s="163" t="s">
        <v>438</v>
      </c>
      <c r="F280" s="164" t="s">
        <v>1546</v>
      </c>
      <c r="G280" s="165">
        <v>295000.0</v>
      </c>
      <c r="H280" s="166">
        <v>287000.0</v>
      </c>
      <c r="I280" s="166">
        <v>8630.0</v>
      </c>
      <c r="J280" s="171">
        <v>687.0</v>
      </c>
      <c r="K280" s="172">
        <v>686.0</v>
      </c>
      <c r="L280" s="163">
        <v>1.42</v>
      </c>
      <c r="M280" s="171">
        <v>71.4</v>
      </c>
      <c r="N280" s="172">
        <v>71.4</v>
      </c>
      <c r="O280" s="163">
        <v>0.0305</v>
      </c>
      <c r="P280" s="171">
        <v>616.0</v>
      </c>
      <c r="Q280" s="172">
        <v>615.0</v>
      </c>
      <c r="R280" s="163">
        <v>1.39</v>
      </c>
      <c r="S280" s="235">
        <v>149.0</v>
      </c>
      <c r="T280" s="220">
        <v>132.0</v>
      </c>
      <c r="U280" s="220">
        <v>17.1</v>
      </c>
      <c r="V280" s="173" t="s">
        <v>1586</v>
      </c>
      <c r="W280" s="170"/>
      <c r="X280" s="170"/>
      <c r="Y280" s="170"/>
      <c r="Z280" s="170"/>
      <c r="AA280" s="170"/>
      <c r="AB280" s="170"/>
      <c r="AC280" s="170"/>
      <c r="AD280" s="170"/>
      <c r="AE280" s="170"/>
      <c r="AF280" s="170"/>
    </row>
    <row r="281" ht="12.75" customHeight="1">
      <c r="A281" s="161" t="s">
        <v>1587</v>
      </c>
      <c r="B281" s="162" t="s">
        <v>1588</v>
      </c>
      <c r="C281" s="162" t="s">
        <v>1589</v>
      </c>
      <c r="D281" s="162" t="s">
        <v>1590</v>
      </c>
      <c r="E281" s="163" t="s">
        <v>438</v>
      </c>
      <c r="F281" s="164" t="s">
        <v>1546</v>
      </c>
      <c r="G281" s="165">
        <v>1030000.0</v>
      </c>
      <c r="H281" s="166">
        <v>982000.0</v>
      </c>
      <c r="I281" s="166">
        <v>45200.0</v>
      </c>
      <c r="J281" s="171">
        <v>6190.0</v>
      </c>
      <c r="K281" s="172">
        <v>6160.0</v>
      </c>
      <c r="L281" s="163">
        <v>22.7</v>
      </c>
      <c r="M281" s="171">
        <v>3820.0</v>
      </c>
      <c r="N281" s="172">
        <v>3820.0</v>
      </c>
      <c r="O281" s="163">
        <v>0.361</v>
      </c>
      <c r="P281" s="171">
        <v>2370.0</v>
      </c>
      <c r="Q281" s="172">
        <v>2350.0</v>
      </c>
      <c r="R281" s="163">
        <v>22.3</v>
      </c>
      <c r="S281" s="235">
        <v>481.0</v>
      </c>
      <c r="T281" s="220">
        <v>409.0</v>
      </c>
      <c r="U281" s="220">
        <v>71.8</v>
      </c>
      <c r="V281" s="173" t="s">
        <v>1591</v>
      </c>
      <c r="W281" s="170"/>
      <c r="X281" s="170"/>
      <c r="Y281" s="170"/>
      <c r="Z281" s="170"/>
      <c r="AA281" s="170"/>
      <c r="AB281" s="170"/>
      <c r="AC281" s="170"/>
      <c r="AD281" s="170"/>
      <c r="AE281" s="170"/>
      <c r="AF281" s="170"/>
    </row>
    <row r="282" ht="12.75" customHeight="1">
      <c r="A282" s="161" t="s">
        <v>1592</v>
      </c>
      <c r="B282" s="162" t="s">
        <v>1593</v>
      </c>
      <c r="C282" s="162" t="s">
        <v>1594</v>
      </c>
      <c r="D282" s="162" t="s">
        <v>1595</v>
      </c>
      <c r="E282" s="163" t="s">
        <v>438</v>
      </c>
      <c r="F282" s="164" t="s">
        <v>1546</v>
      </c>
      <c r="G282" s="165">
        <v>5610000.0</v>
      </c>
      <c r="H282" s="166">
        <v>5600000.0</v>
      </c>
      <c r="I282" s="166">
        <v>15200.0</v>
      </c>
      <c r="J282" s="171">
        <v>11000.0</v>
      </c>
      <c r="K282" s="172">
        <v>11000.0</v>
      </c>
      <c r="L282" s="163">
        <v>2.72</v>
      </c>
      <c r="M282" s="171">
        <v>540.0</v>
      </c>
      <c r="N282" s="172">
        <v>540.0</v>
      </c>
      <c r="O282" s="163">
        <v>0.0618</v>
      </c>
      <c r="P282" s="171">
        <v>10500.0</v>
      </c>
      <c r="Q282" s="172">
        <v>10500.0</v>
      </c>
      <c r="R282" s="163">
        <v>2.65</v>
      </c>
      <c r="S282" s="235">
        <v>2250.0</v>
      </c>
      <c r="T282" s="220">
        <v>2220.0</v>
      </c>
      <c r="U282" s="220">
        <v>29.6</v>
      </c>
      <c r="V282" s="173" t="s">
        <v>1596</v>
      </c>
      <c r="W282" s="170"/>
      <c r="X282" s="170"/>
      <c r="Y282" s="170"/>
      <c r="Z282" s="170"/>
      <c r="AA282" s="170"/>
      <c r="AB282" s="170"/>
      <c r="AC282" s="170"/>
      <c r="AD282" s="170"/>
      <c r="AE282" s="170"/>
      <c r="AF282" s="170"/>
    </row>
    <row r="283" ht="12.75" customHeight="1">
      <c r="A283" s="161" t="s">
        <v>1597</v>
      </c>
      <c r="B283" s="162" t="s">
        <v>1598</v>
      </c>
      <c r="C283" s="162" t="s">
        <v>1599</v>
      </c>
      <c r="D283" s="162" t="s">
        <v>1600</v>
      </c>
      <c r="E283" s="163" t="s">
        <v>438</v>
      </c>
      <c r="F283" s="164" t="s">
        <v>1546</v>
      </c>
      <c r="G283" s="165">
        <v>981000.0</v>
      </c>
      <c r="H283" s="166">
        <v>903000.0</v>
      </c>
      <c r="I283" s="166">
        <v>77700.0</v>
      </c>
      <c r="J283" s="171">
        <v>5690.0</v>
      </c>
      <c r="K283" s="172">
        <v>5660.0</v>
      </c>
      <c r="L283" s="163">
        <v>36.5</v>
      </c>
      <c r="M283" s="171">
        <v>2530.0</v>
      </c>
      <c r="N283" s="172">
        <v>2530.0</v>
      </c>
      <c r="O283" s="163">
        <v>0.581</v>
      </c>
      <c r="P283" s="171">
        <v>3170.0</v>
      </c>
      <c r="Q283" s="172">
        <v>3130.0</v>
      </c>
      <c r="R283" s="163">
        <v>36.0</v>
      </c>
      <c r="S283" s="235">
        <v>697.0</v>
      </c>
      <c r="T283" s="220">
        <v>578.0</v>
      </c>
      <c r="U283" s="220">
        <v>119.0</v>
      </c>
      <c r="V283" s="173" t="s">
        <v>1601</v>
      </c>
      <c r="W283" s="170"/>
      <c r="X283" s="170"/>
      <c r="Y283" s="170"/>
      <c r="Z283" s="170"/>
      <c r="AA283" s="170"/>
      <c r="AB283" s="170"/>
      <c r="AC283" s="170"/>
      <c r="AD283" s="170"/>
      <c r="AE283" s="170"/>
      <c r="AF283" s="170"/>
    </row>
    <row r="284" ht="12.75" customHeight="1">
      <c r="A284" s="161" t="s">
        <v>1602</v>
      </c>
      <c r="B284" s="162" t="s">
        <v>1603</v>
      </c>
      <c r="C284" s="162" t="s">
        <v>1604</v>
      </c>
      <c r="D284" s="162" t="s">
        <v>1605</v>
      </c>
      <c r="E284" s="163" t="s">
        <v>438</v>
      </c>
      <c r="F284" s="164" t="s">
        <v>1546</v>
      </c>
      <c r="G284" s="165">
        <v>89000.0</v>
      </c>
      <c r="H284" s="166">
        <v>86800.0</v>
      </c>
      <c r="I284" s="166">
        <v>2240.0</v>
      </c>
      <c r="J284" s="171">
        <v>266.0</v>
      </c>
      <c r="K284" s="172">
        <v>266.0</v>
      </c>
      <c r="L284" s="163">
        <v>0.215</v>
      </c>
      <c r="M284" s="171">
        <v>40.6</v>
      </c>
      <c r="N284" s="172">
        <v>40.6</v>
      </c>
      <c r="O284" s="163">
        <v>0.0044</v>
      </c>
      <c r="P284" s="171">
        <v>226.0</v>
      </c>
      <c r="Q284" s="172">
        <v>225.0</v>
      </c>
      <c r="R284" s="163">
        <v>0.211</v>
      </c>
      <c r="S284" s="235">
        <v>46.5</v>
      </c>
      <c r="T284" s="220">
        <v>41.9</v>
      </c>
      <c r="U284" s="220">
        <v>4.57</v>
      </c>
      <c r="V284" s="173" t="s">
        <v>1606</v>
      </c>
      <c r="W284" s="170"/>
      <c r="X284" s="170"/>
      <c r="Y284" s="170"/>
      <c r="Z284" s="170"/>
      <c r="AA284" s="170"/>
      <c r="AB284" s="170"/>
      <c r="AC284" s="170"/>
      <c r="AD284" s="170"/>
      <c r="AE284" s="170"/>
      <c r="AF284" s="170"/>
    </row>
    <row r="285" ht="12.75" customHeight="1">
      <c r="A285" s="161" t="s">
        <v>1607</v>
      </c>
      <c r="B285" s="162" t="s">
        <v>1608</v>
      </c>
      <c r="C285" s="162" t="s">
        <v>1609</v>
      </c>
      <c r="D285" s="162" t="s">
        <v>1610</v>
      </c>
      <c r="E285" s="163" t="s">
        <v>438</v>
      </c>
      <c r="F285" s="164" t="s">
        <v>1546</v>
      </c>
      <c r="G285" s="165">
        <v>32700.0</v>
      </c>
      <c r="H285" s="166">
        <v>28200.0</v>
      </c>
      <c r="I285" s="166">
        <v>4490.0</v>
      </c>
      <c r="J285" s="171">
        <v>165.0</v>
      </c>
      <c r="K285" s="172">
        <v>164.0</v>
      </c>
      <c r="L285" s="163">
        <v>1.13</v>
      </c>
      <c r="M285" s="171">
        <v>17.6</v>
      </c>
      <c r="N285" s="172">
        <v>17.6</v>
      </c>
      <c r="O285" s="163">
        <v>0.0178</v>
      </c>
      <c r="P285" s="171">
        <v>148.0</v>
      </c>
      <c r="Q285" s="172">
        <v>147.0</v>
      </c>
      <c r="R285" s="163">
        <v>1.11</v>
      </c>
      <c r="S285" s="235">
        <v>37.1</v>
      </c>
      <c r="T285" s="220">
        <v>30.7</v>
      </c>
      <c r="U285" s="220">
        <v>6.39</v>
      </c>
      <c r="V285" s="173" t="s">
        <v>1611</v>
      </c>
      <c r="W285" s="170"/>
      <c r="X285" s="170"/>
      <c r="Y285" s="170"/>
      <c r="Z285" s="170"/>
      <c r="AA285" s="170"/>
      <c r="AB285" s="170"/>
      <c r="AC285" s="170"/>
      <c r="AD285" s="170"/>
      <c r="AE285" s="170"/>
      <c r="AF285" s="170"/>
    </row>
    <row r="286" ht="12.75" customHeight="1">
      <c r="A286" s="277"/>
      <c r="B286" s="278"/>
      <c r="C286" s="277"/>
      <c r="D286" s="278"/>
      <c r="E286" s="279"/>
      <c r="F286" s="277"/>
      <c r="G286" s="277"/>
      <c r="H286" s="277"/>
      <c r="I286" s="277"/>
      <c r="J286" s="277"/>
      <c r="K286" s="277"/>
      <c r="L286" s="277"/>
      <c r="M286" s="277"/>
      <c r="N286" s="277"/>
      <c r="O286" s="277"/>
      <c r="P286" s="277"/>
      <c r="Q286" s="277"/>
      <c r="R286" s="277"/>
      <c r="S286" s="277"/>
      <c r="T286" s="277"/>
      <c r="U286" s="277"/>
      <c r="V286" s="280"/>
      <c r="W286" s="277"/>
      <c r="X286" s="277"/>
      <c r="Y286" s="277"/>
      <c r="Z286" s="277"/>
      <c r="AA286" s="277"/>
      <c r="AB286" s="277"/>
      <c r="AC286" s="277"/>
      <c r="AD286" s="277"/>
      <c r="AE286" s="277"/>
      <c r="AF286" s="277"/>
    </row>
    <row r="287" ht="12.75" customHeight="1">
      <c r="A287" s="277"/>
      <c r="B287" s="278"/>
      <c r="C287" s="277"/>
      <c r="D287" s="278"/>
      <c r="E287" s="279"/>
      <c r="F287" s="277"/>
      <c r="G287" s="277"/>
      <c r="H287" s="277"/>
      <c r="I287" s="277"/>
      <c r="J287" s="277"/>
      <c r="K287" s="277"/>
      <c r="L287" s="277"/>
      <c r="M287" s="277"/>
      <c r="N287" s="277"/>
      <c r="O287" s="277"/>
      <c r="P287" s="277"/>
      <c r="Q287" s="277"/>
      <c r="R287" s="277"/>
      <c r="S287" s="277"/>
      <c r="T287" s="277"/>
      <c r="U287" s="277"/>
      <c r="V287" s="280"/>
      <c r="W287" s="277"/>
      <c r="X287" s="277"/>
      <c r="Y287" s="277"/>
      <c r="Z287" s="277"/>
      <c r="AA287" s="277"/>
      <c r="AB287" s="277"/>
      <c r="AC287" s="277"/>
      <c r="AD287" s="277"/>
      <c r="AE287" s="277"/>
      <c r="AF287" s="277"/>
    </row>
    <row r="288" ht="12.75" customHeight="1">
      <c r="A288" s="277"/>
      <c r="B288" s="278"/>
      <c r="C288" s="277"/>
      <c r="D288" s="278"/>
      <c r="E288" s="279"/>
      <c r="F288" s="277"/>
      <c r="G288" s="277"/>
      <c r="H288" s="277"/>
      <c r="I288" s="277"/>
      <c r="J288" s="277"/>
      <c r="K288" s="277"/>
      <c r="L288" s="277"/>
      <c r="M288" s="277"/>
      <c r="N288" s="277"/>
      <c r="O288" s="277"/>
      <c r="P288" s="277"/>
      <c r="Q288" s="277"/>
      <c r="R288" s="277"/>
      <c r="S288" s="277"/>
      <c r="T288" s="277"/>
      <c r="U288" s="277"/>
      <c r="V288" s="280"/>
      <c r="W288" s="277"/>
      <c r="X288" s="277"/>
      <c r="Y288" s="277"/>
      <c r="Z288" s="277"/>
      <c r="AA288" s="277"/>
      <c r="AB288" s="277"/>
      <c r="AC288" s="277"/>
      <c r="AD288" s="277"/>
      <c r="AE288" s="277"/>
      <c r="AF288" s="277"/>
    </row>
    <row r="289" ht="12.75" customHeight="1">
      <c r="A289" s="277"/>
      <c r="B289" s="278"/>
      <c r="C289" s="277"/>
      <c r="D289" s="278"/>
      <c r="E289" s="279"/>
      <c r="F289" s="277"/>
      <c r="G289" s="277"/>
      <c r="H289" s="277"/>
      <c r="I289" s="277"/>
      <c r="J289" s="277"/>
      <c r="K289" s="277"/>
      <c r="L289" s="277"/>
      <c r="M289" s="277"/>
      <c r="N289" s="277"/>
      <c r="O289" s="277"/>
      <c r="P289" s="277"/>
      <c r="Q289" s="277"/>
      <c r="R289" s="277"/>
      <c r="S289" s="277"/>
      <c r="T289" s="277"/>
      <c r="U289" s="277"/>
      <c r="V289" s="280"/>
      <c r="W289" s="277"/>
      <c r="X289" s="277"/>
      <c r="Y289" s="277"/>
      <c r="Z289" s="277"/>
      <c r="AA289" s="277"/>
      <c r="AB289" s="277"/>
      <c r="AC289" s="277"/>
      <c r="AD289" s="277"/>
      <c r="AE289" s="277"/>
      <c r="AF289" s="277"/>
    </row>
    <row r="290" ht="12.75" customHeight="1">
      <c r="A290" s="277"/>
      <c r="B290" s="278"/>
      <c r="C290" s="277"/>
      <c r="D290" s="278"/>
      <c r="E290" s="279"/>
      <c r="F290" s="277"/>
      <c r="G290" s="277"/>
      <c r="H290" s="277"/>
      <c r="I290" s="277"/>
      <c r="J290" s="277"/>
      <c r="K290" s="277"/>
      <c r="L290" s="277"/>
      <c r="M290" s="277"/>
      <c r="N290" s="277"/>
      <c r="O290" s="277"/>
      <c r="P290" s="277"/>
      <c r="Q290" s="277"/>
      <c r="R290" s="277"/>
      <c r="S290" s="277"/>
      <c r="T290" s="277"/>
      <c r="U290" s="277"/>
      <c r="V290" s="280"/>
      <c r="W290" s="277"/>
      <c r="X290" s="277"/>
      <c r="Y290" s="277"/>
      <c r="Z290" s="277"/>
      <c r="AA290" s="277"/>
      <c r="AB290" s="277"/>
      <c r="AC290" s="277"/>
      <c r="AD290" s="277"/>
      <c r="AE290" s="277"/>
      <c r="AF290" s="277"/>
    </row>
    <row r="291" ht="12.75" customHeight="1">
      <c r="A291" s="277"/>
      <c r="B291" s="278"/>
      <c r="C291" s="277"/>
      <c r="D291" s="278"/>
      <c r="E291" s="279"/>
      <c r="F291" s="277"/>
      <c r="G291" s="277"/>
      <c r="H291" s="277"/>
      <c r="I291" s="277"/>
      <c r="J291" s="277"/>
      <c r="K291" s="277"/>
      <c r="L291" s="277"/>
      <c r="M291" s="277"/>
      <c r="N291" s="277"/>
      <c r="O291" s="277"/>
      <c r="P291" s="277"/>
      <c r="Q291" s="277"/>
      <c r="R291" s="277"/>
      <c r="S291" s="277"/>
      <c r="T291" s="277"/>
      <c r="U291" s="277"/>
      <c r="V291" s="280"/>
      <c r="W291" s="277"/>
      <c r="X291" s="277"/>
      <c r="Y291" s="277"/>
      <c r="Z291" s="277"/>
      <c r="AA291" s="277"/>
      <c r="AB291" s="277"/>
      <c r="AC291" s="277"/>
      <c r="AD291" s="277"/>
      <c r="AE291" s="277"/>
      <c r="AF291" s="277"/>
    </row>
    <row r="292" ht="12.75" customHeight="1">
      <c r="A292" s="277"/>
      <c r="B292" s="278"/>
      <c r="C292" s="277"/>
      <c r="D292" s="278"/>
      <c r="E292" s="279"/>
      <c r="F292" s="277"/>
      <c r="G292" s="277"/>
      <c r="H292" s="277"/>
      <c r="I292" s="277"/>
      <c r="J292" s="277"/>
      <c r="K292" s="277"/>
      <c r="L292" s="277"/>
      <c r="M292" s="277"/>
      <c r="N292" s="277"/>
      <c r="O292" s="277"/>
      <c r="P292" s="277"/>
      <c r="Q292" s="277"/>
      <c r="R292" s="277"/>
      <c r="S292" s="277"/>
      <c r="T292" s="277"/>
      <c r="U292" s="277"/>
      <c r="V292" s="280"/>
      <c r="W292" s="277"/>
      <c r="X292" s="277"/>
      <c r="Y292" s="277"/>
      <c r="Z292" s="277"/>
      <c r="AA292" s="277"/>
      <c r="AB292" s="277"/>
      <c r="AC292" s="277"/>
      <c r="AD292" s="277"/>
      <c r="AE292" s="277"/>
      <c r="AF292" s="277"/>
    </row>
    <row r="293" ht="12.75" customHeight="1">
      <c r="A293" s="277"/>
      <c r="B293" s="278"/>
      <c r="C293" s="277"/>
      <c r="D293" s="278"/>
      <c r="E293" s="279"/>
      <c r="F293" s="277"/>
      <c r="G293" s="277"/>
      <c r="H293" s="277"/>
      <c r="I293" s="277"/>
      <c r="J293" s="277"/>
      <c r="K293" s="277"/>
      <c r="L293" s="277"/>
      <c r="M293" s="277"/>
      <c r="N293" s="277"/>
      <c r="O293" s="277"/>
      <c r="P293" s="277"/>
      <c r="Q293" s="277"/>
      <c r="R293" s="277"/>
      <c r="S293" s="277"/>
      <c r="T293" s="277"/>
      <c r="U293" s="277"/>
      <c r="V293" s="280"/>
      <c r="W293" s="277"/>
      <c r="X293" s="277"/>
      <c r="Y293" s="277"/>
      <c r="Z293" s="277"/>
      <c r="AA293" s="277"/>
      <c r="AB293" s="277"/>
      <c r="AC293" s="277"/>
      <c r="AD293" s="277"/>
      <c r="AE293" s="277"/>
      <c r="AF293" s="277"/>
    </row>
    <row r="294" ht="12.75" customHeight="1">
      <c r="A294" s="277"/>
      <c r="B294" s="278"/>
      <c r="C294" s="277"/>
      <c r="D294" s="278"/>
      <c r="E294" s="279"/>
      <c r="F294" s="277"/>
      <c r="G294" s="277"/>
      <c r="H294" s="277"/>
      <c r="I294" s="277"/>
      <c r="J294" s="277"/>
      <c r="K294" s="277"/>
      <c r="L294" s="277"/>
      <c r="M294" s="277"/>
      <c r="N294" s="277"/>
      <c r="O294" s="277"/>
      <c r="P294" s="277"/>
      <c r="Q294" s="277"/>
      <c r="R294" s="277"/>
      <c r="S294" s="277"/>
      <c r="T294" s="277"/>
      <c r="U294" s="277"/>
      <c r="V294" s="280"/>
      <c r="W294" s="277"/>
      <c r="X294" s="277"/>
      <c r="Y294" s="277"/>
      <c r="Z294" s="277"/>
      <c r="AA294" s="277"/>
      <c r="AB294" s="277"/>
      <c r="AC294" s="277"/>
      <c r="AD294" s="277"/>
      <c r="AE294" s="277"/>
      <c r="AF294" s="277"/>
    </row>
    <row r="295" ht="12.75" customHeight="1">
      <c r="A295" s="277"/>
      <c r="B295" s="278"/>
      <c r="C295" s="277"/>
      <c r="D295" s="278"/>
      <c r="E295" s="279"/>
      <c r="F295" s="277"/>
      <c r="G295" s="277"/>
      <c r="H295" s="277"/>
      <c r="I295" s="277"/>
      <c r="J295" s="277"/>
      <c r="K295" s="277"/>
      <c r="L295" s="277"/>
      <c r="M295" s="277"/>
      <c r="N295" s="277"/>
      <c r="O295" s="277"/>
      <c r="P295" s="277"/>
      <c r="Q295" s="277"/>
      <c r="R295" s="277"/>
      <c r="S295" s="277"/>
      <c r="T295" s="277"/>
      <c r="U295" s="277"/>
      <c r="V295" s="280"/>
      <c r="W295" s="277"/>
      <c r="X295" s="277"/>
      <c r="Y295" s="277"/>
      <c r="Z295" s="277"/>
      <c r="AA295" s="277"/>
      <c r="AB295" s="277"/>
      <c r="AC295" s="277"/>
      <c r="AD295" s="277"/>
      <c r="AE295" s="277"/>
      <c r="AF295" s="277"/>
    </row>
    <row r="296" ht="12.75" customHeight="1">
      <c r="A296" s="277"/>
      <c r="B296" s="278"/>
      <c r="C296" s="277"/>
      <c r="D296" s="278"/>
      <c r="E296" s="279"/>
      <c r="F296" s="277"/>
      <c r="G296" s="277"/>
      <c r="H296" s="277"/>
      <c r="I296" s="277"/>
      <c r="J296" s="277"/>
      <c r="K296" s="277"/>
      <c r="L296" s="277"/>
      <c r="M296" s="277"/>
      <c r="N296" s="277"/>
      <c r="O296" s="277"/>
      <c r="P296" s="277"/>
      <c r="Q296" s="277"/>
      <c r="R296" s="277"/>
      <c r="S296" s="277"/>
      <c r="T296" s="277"/>
      <c r="U296" s="277"/>
      <c r="V296" s="280"/>
      <c r="W296" s="277"/>
      <c r="X296" s="277"/>
      <c r="Y296" s="277"/>
      <c r="Z296" s="277"/>
      <c r="AA296" s="277"/>
      <c r="AB296" s="277"/>
      <c r="AC296" s="277"/>
      <c r="AD296" s="277"/>
      <c r="AE296" s="277"/>
      <c r="AF296" s="277"/>
    </row>
    <row r="297" ht="12.75" customHeight="1">
      <c r="A297" s="277"/>
      <c r="B297" s="278"/>
      <c r="C297" s="277"/>
      <c r="D297" s="278"/>
      <c r="E297" s="279"/>
      <c r="F297" s="277"/>
      <c r="G297" s="277"/>
      <c r="H297" s="277"/>
      <c r="I297" s="277"/>
      <c r="J297" s="277"/>
      <c r="K297" s="277"/>
      <c r="L297" s="277"/>
      <c r="M297" s="277"/>
      <c r="N297" s="277"/>
      <c r="O297" s="277"/>
      <c r="P297" s="277"/>
      <c r="Q297" s="277"/>
      <c r="R297" s="277"/>
      <c r="S297" s="277"/>
      <c r="T297" s="277"/>
      <c r="U297" s="277"/>
      <c r="V297" s="280"/>
      <c r="W297" s="277"/>
      <c r="X297" s="277"/>
      <c r="Y297" s="277"/>
      <c r="Z297" s="277"/>
      <c r="AA297" s="277"/>
      <c r="AB297" s="277"/>
      <c r="AC297" s="277"/>
      <c r="AD297" s="277"/>
      <c r="AE297" s="277"/>
      <c r="AF297" s="277"/>
    </row>
    <row r="298" ht="12.75" customHeight="1">
      <c r="A298" s="277"/>
      <c r="B298" s="278"/>
      <c r="C298" s="277"/>
      <c r="D298" s="278"/>
      <c r="E298" s="279"/>
      <c r="F298" s="277"/>
      <c r="G298" s="277"/>
      <c r="H298" s="277"/>
      <c r="I298" s="277"/>
      <c r="J298" s="277"/>
      <c r="K298" s="277"/>
      <c r="L298" s="277"/>
      <c r="M298" s="277"/>
      <c r="N298" s="277"/>
      <c r="O298" s="277"/>
      <c r="P298" s="277"/>
      <c r="Q298" s="277"/>
      <c r="R298" s="277"/>
      <c r="S298" s="277"/>
      <c r="T298" s="277"/>
      <c r="U298" s="277"/>
      <c r="V298" s="280"/>
      <c r="W298" s="277"/>
      <c r="X298" s="277"/>
      <c r="Y298" s="277"/>
      <c r="Z298" s="277"/>
      <c r="AA298" s="277"/>
      <c r="AB298" s="277"/>
      <c r="AC298" s="277"/>
      <c r="AD298" s="277"/>
      <c r="AE298" s="277"/>
      <c r="AF298" s="277"/>
    </row>
    <row r="299" ht="12.75" customHeight="1">
      <c r="A299" s="277"/>
      <c r="B299" s="278"/>
      <c r="C299" s="277"/>
      <c r="D299" s="278"/>
      <c r="E299" s="279"/>
      <c r="F299" s="277"/>
      <c r="G299" s="277"/>
      <c r="H299" s="277"/>
      <c r="I299" s="277"/>
      <c r="J299" s="277"/>
      <c r="K299" s="277"/>
      <c r="L299" s="277"/>
      <c r="M299" s="277"/>
      <c r="N299" s="277"/>
      <c r="O299" s="277"/>
      <c r="P299" s="277"/>
      <c r="Q299" s="277"/>
      <c r="R299" s="277"/>
      <c r="S299" s="277"/>
      <c r="T299" s="277"/>
      <c r="U299" s="277"/>
      <c r="V299" s="280"/>
      <c r="W299" s="277"/>
      <c r="X299" s="277"/>
      <c r="Y299" s="277"/>
      <c r="Z299" s="277"/>
      <c r="AA299" s="277"/>
      <c r="AB299" s="277"/>
      <c r="AC299" s="277"/>
      <c r="AD299" s="277"/>
      <c r="AE299" s="277"/>
      <c r="AF299" s="277"/>
    </row>
    <row r="300" ht="12.75" customHeight="1">
      <c r="A300" s="277"/>
      <c r="B300" s="278"/>
      <c r="C300" s="277"/>
      <c r="D300" s="278"/>
      <c r="E300" s="279"/>
      <c r="F300" s="277"/>
      <c r="G300" s="277"/>
      <c r="H300" s="277"/>
      <c r="I300" s="277"/>
      <c r="J300" s="277"/>
      <c r="K300" s="277"/>
      <c r="L300" s="277"/>
      <c r="M300" s="277"/>
      <c r="N300" s="277"/>
      <c r="O300" s="277"/>
      <c r="P300" s="277"/>
      <c r="Q300" s="277"/>
      <c r="R300" s="277"/>
      <c r="S300" s="277"/>
      <c r="T300" s="277"/>
      <c r="U300" s="277"/>
      <c r="V300" s="280"/>
      <c r="W300" s="277"/>
      <c r="X300" s="277"/>
      <c r="Y300" s="277"/>
      <c r="Z300" s="277"/>
      <c r="AA300" s="277"/>
      <c r="AB300" s="277"/>
      <c r="AC300" s="277"/>
      <c r="AD300" s="277"/>
      <c r="AE300" s="277"/>
      <c r="AF300" s="277"/>
    </row>
    <row r="301" ht="12.75" customHeight="1">
      <c r="A301" s="277"/>
      <c r="B301" s="278"/>
      <c r="C301" s="277"/>
      <c r="D301" s="278"/>
      <c r="E301" s="279"/>
      <c r="F301" s="277"/>
      <c r="G301" s="277"/>
      <c r="H301" s="277"/>
      <c r="I301" s="277"/>
      <c r="J301" s="277"/>
      <c r="K301" s="277"/>
      <c r="L301" s="277"/>
      <c r="M301" s="277"/>
      <c r="N301" s="277"/>
      <c r="O301" s="277"/>
      <c r="P301" s="277"/>
      <c r="Q301" s="277"/>
      <c r="R301" s="277"/>
      <c r="S301" s="277"/>
      <c r="T301" s="277"/>
      <c r="U301" s="277"/>
      <c r="V301" s="280"/>
      <c r="W301" s="277"/>
      <c r="X301" s="277"/>
      <c r="Y301" s="277"/>
      <c r="Z301" s="277"/>
      <c r="AA301" s="277"/>
      <c r="AB301" s="277"/>
      <c r="AC301" s="277"/>
      <c r="AD301" s="277"/>
      <c r="AE301" s="277"/>
      <c r="AF301" s="277"/>
    </row>
    <row r="302" ht="12.75" customHeight="1">
      <c r="A302" s="277"/>
      <c r="B302" s="278"/>
      <c r="C302" s="277"/>
      <c r="D302" s="278"/>
      <c r="E302" s="279"/>
      <c r="F302" s="277"/>
      <c r="G302" s="277"/>
      <c r="H302" s="277"/>
      <c r="I302" s="277"/>
      <c r="J302" s="277"/>
      <c r="K302" s="277"/>
      <c r="L302" s="277"/>
      <c r="M302" s="277"/>
      <c r="N302" s="277"/>
      <c r="O302" s="277"/>
      <c r="P302" s="277"/>
      <c r="Q302" s="277"/>
      <c r="R302" s="277"/>
      <c r="S302" s="277"/>
      <c r="T302" s="277"/>
      <c r="U302" s="277"/>
      <c r="V302" s="280"/>
      <c r="W302" s="277"/>
      <c r="X302" s="277"/>
      <c r="Y302" s="277"/>
      <c r="Z302" s="277"/>
      <c r="AA302" s="277"/>
      <c r="AB302" s="277"/>
      <c r="AC302" s="277"/>
      <c r="AD302" s="277"/>
      <c r="AE302" s="277"/>
      <c r="AF302" s="277"/>
    </row>
    <row r="303" ht="12.75" customHeight="1">
      <c r="A303" s="277"/>
      <c r="B303" s="278"/>
      <c r="C303" s="277"/>
      <c r="D303" s="278"/>
      <c r="E303" s="279"/>
      <c r="F303" s="277"/>
      <c r="G303" s="277"/>
      <c r="H303" s="277"/>
      <c r="I303" s="277"/>
      <c r="J303" s="277"/>
      <c r="K303" s="277"/>
      <c r="L303" s="277"/>
      <c r="M303" s="277"/>
      <c r="N303" s="277"/>
      <c r="O303" s="277"/>
      <c r="P303" s="277"/>
      <c r="Q303" s="277"/>
      <c r="R303" s="277"/>
      <c r="S303" s="277"/>
      <c r="T303" s="277"/>
      <c r="U303" s="277"/>
      <c r="V303" s="280"/>
      <c r="W303" s="277"/>
      <c r="X303" s="277"/>
      <c r="Y303" s="277"/>
      <c r="Z303" s="277"/>
      <c r="AA303" s="277"/>
      <c r="AB303" s="277"/>
      <c r="AC303" s="277"/>
      <c r="AD303" s="277"/>
      <c r="AE303" s="277"/>
      <c r="AF303" s="277"/>
    </row>
    <row r="304" ht="12.75" customHeight="1">
      <c r="A304" s="277"/>
      <c r="B304" s="278"/>
      <c r="C304" s="277"/>
      <c r="D304" s="278"/>
      <c r="E304" s="279"/>
      <c r="F304" s="277"/>
      <c r="G304" s="277"/>
      <c r="H304" s="277"/>
      <c r="I304" s="277"/>
      <c r="J304" s="277"/>
      <c r="K304" s="277"/>
      <c r="L304" s="277"/>
      <c r="M304" s="277"/>
      <c r="N304" s="277"/>
      <c r="O304" s="277"/>
      <c r="P304" s="277"/>
      <c r="Q304" s="277"/>
      <c r="R304" s="277"/>
      <c r="S304" s="277"/>
      <c r="T304" s="277"/>
      <c r="U304" s="277"/>
      <c r="V304" s="280"/>
      <c r="W304" s="277"/>
      <c r="X304" s="277"/>
      <c r="Y304" s="277"/>
      <c r="Z304" s="277"/>
      <c r="AA304" s="277"/>
      <c r="AB304" s="277"/>
      <c r="AC304" s="277"/>
      <c r="AD304" s="277"/>
      <c r="AE304" s="277"/>
      <c r="AF304" s="277"/>
    </row>
    <row r="305" ht="12.75" customHeight="1">
      <c r="A305" s="277"/>
      <c r="B305" s="278"/>
      <c r="C305" s="277"/>
      <c r="D305" s="278"/>
      <c r="E305" s="279"/>
      <c r="F305" s="277"/>
      <c r="G305" s="277"/>
      <c r="H305" s="277"/>
      <c r="I305" s="277"/>
      <c r="J305" s="277"/>
      <c r="K305" s="277"/>
      <c r="L305" s="277"/>
      <c r="M305" s="277"/>
      <c r="N305" s="277"/>
      <c r="O305" s="277"/>
      <c r="P305" s="277"/>
      <c r="Q305" s="277"/>
      <c r="R305" s="277"/>
      <c r="S305" s="277"/>
      <c r="T305" s="277"/>
      <c r="U305" s="277"/>
      <c r="V305" s="280"/>
      <c r="W305" s="277"/>
      <c r="X305" s="277"/>
      <c r="Y305" s="277"/>
      <c r="Z305" s="277"/>
      <c r="AA305" s="277"/>
      <c r="AB305" s="277"/>
      <c r="AC305" s="277"/>
      <c r="AD305" s="277"/>
      <c r="AE305" s="277"/>
      <c r="AF305" s="277"/>
    </row>
    <row r="306" ht="12.75" customHeight="1">
      <c r="A306" s="277"/>
      <c r="B306" s="278"/>
      <c r="C306" s="277"/>
      <c r="D306" s="278"/>
      <c r="E306" s="279"/>
      <c r="F306" s="277"/>
      <c r="G306" s="277"/>
      <c r="H306" s="277"/>
      <c r="I306" s="277"/>
      <c r="J306" s="277"/>
      <c r="K306" s="277"/>
      <c r="L306" s="277"/>
      <c r="M306" s="277"/>
      <c r="N306" s="277"/>
      <c r="O306" s="277"/>
      <c r="P306" s="277"/>
      <c r="Q306" s="277"/>
      <c r="R306" s="277"/>
      <c r="S306" s="277"/>
      <c r="T306" s="277"/>
      <c r="U306" s="277"/>
      <c r="V306" s="280"/>
      <c r="W306" s="277"/>
      <c r="X306" s="277"/>
      <c r="Y306" s="277"/>
      <c r="Z306" s="277"/>
      <c r="AA306" s="277"/>
      <c r="AB306" s="277"/>
      <c r="AC306" s="277"/>
      <c r="AD306" s="277"/>
      <c r="AE306" s="277"/>
      <c r="AF306" s="277"/>
    </row>
    <row r="307" ht="12.75" customHeight="1">
      <c r="A307" s="277"/>
      <c r="B307" s="278"/>
      <c r="C307" s="277"/>
      <c r="D307" s="278"/>
      <c r="E307" s="279"/>
      <c r="F307" s="277"/>
      <c r="G307" s="277"/>
      <c r="H307" s="277"/>
      <c r="I307" s="277"/>
      <c r="J307" s="277"/>
      <c r="K307" s="277"/>
      <c r="L307" s="277"/>
      <c r="M307" s="277"/>
      <c r="N307" s="277"/>
      <c r="O307" s="277"/>
      <c r="P307" s="277"/>
      <c r="Q307" s="277"/>
      <c r="R307" s="277"/>
      <c r="S307" s="277"/>
      <c r="T307" s="277"/>
      <c r="U307" s="277"/>
      <c r="V307" s="280"/>
      <c r="W307" s="277"/>
      <c r="X307" s="277"/>
      <c r="Y307" s="277"/>
      <c r="Z307" s="277"/>
      <c r="AA307" s="277"/>
      <c r="AB307" s="277"/>
      <c r="AC307" s="277"/>
      <c r="AD307" s="277"/>
      <c r="AE307" s="277"/>
      <c r="AF307" s="277"/>
    </row>
    <row r="308" ht="12.75" customHeight="1">
      <c r="A308" s="277"/>
      <c r="B308" s="278"/>
      <c r="C308" s="277"/>
      <c r="D308" s="278"/>
      <c r="E308" s="279"/>
      <c r="F308" s="277"/>
      <c r="G308" s="277"/>
      <c r="H308" s="277"/>
      <c r="I308" s="277"/>
      <c r="J308" s="277"/>
      <c r="K308" s="277"/>
      <c r="L308" s="277"/>
      <c r="M308" s="277"/>
      <c r="N308" s="277"/>
      <c r="O308" s="277"/>
      <c r="P308" s="277"/>
      <c r="Q308" s="277"/>
      <c r="R308" s="277"/>
      <c r="S308" s="277"/>
      <c r="T308" s="277"/>
      <c r="U308" s="277"/>
      <c r="V308" s="280"/>
      <c r="W308" s="277"/>
      <c r="X308" s="277"/>
      <c r="Y308" s="277"/>
      <c r="Z308" s="277"/>
      <c r="AA308" s="277"/>
      <c r="AB308" s="277"/>
      <c r="AC308" s="277"/>
      <c r="AD308" s="277"/>
      <c r="AE308" s="277"/>
      <c r="AF308" s="277"/>
    </row>
    <row r="309" ht="12.75" customHeight="1">
      <c r="A309" s="277"/>
      <c r="B309" s="278"/>
      <c r="C309" s="277"/>
      <c r="D309" s="278"/>
      <c r="E309" s="279"/>
      <c r="F309" s="277"/>
      <c r="G309" s="277"/>
      <c r="H309" s="277"/>
      <c r="I309" s="277"/>
      <c r="J309" s="277"/>
      <c r="K309" s="277"/>
      <c r="L309" s="277"/>
      <c r="M309" s="277"/>
      <c r="N309" s="277"/>
      <c r="O309" s="277"/>
      <c r="P309" s="277"/>
      <c r="Q309" s="277"/>
      <c r="R309" s="277"/>
      <c r="S309" s="277"/>
      <c r="T309" s="277"/>
      <c r="U309" s="277"/>
      <c r="V309" s="280"/>
      <c r="W309" s="277"/>
      <c r="X309" s="277"/>
      <c r="Y309" s="277"/>
      <c r="Z309" s="277"/>
      <c r="AA309" s="277"/>
      <c r="AB309" s="277"/>
      <c r="AC309" s="277"/>
      <c r="AD309" s="277"/>
      <c r="AE309" s="277"/>
      <c r="AF309" s="277"/>
    </row>
    <row r="310" ht="12.75" customHeight="1">
      <c r="A310" s="277"/>
      <c r="B310" s="278"/>
      <c r="C310" s="277"/>
      <c r="D310" s="278"/>
      <c r="E310" s="279"/>
      <c r="F310" s="277"/>
      <c r="G310" s="277"/>
      <c r="H310" s="277"/>
      <c r="I310" s="277"/>
      <c r="J310" s="277"/>
      <c r="K310" s="277"/>
      <c r="L310" s="277"/>
      <c r="M310" s="277"/>
      <c r="N310" s="277"/>
      <c r="O310" s="277"/>
      <c r="P310" s="277"/>
      <c r="Q310" s="277"/>
      <c r="R310" s="277"/>
      <c r="S310" s="277"/>
      <c r="T310" s="277"/>
      <c r="U310" s="277"/>
      <c r="V310" s="280"/>
      <c r="W310" s="277"/>
      <c r="X310" s="277"/>
      <c r="Y310" s="277"/>
      <c r="Z310" s="277"/>
      <c r="AA310" s="277"/>
      <c r="AB310" s="277"/>
      <c r="AC310" s="277"/>
      <c r="AD310" s="277"/>
      <c r="AE310" s="277"/>
      <c r="AF310" s="277"/>
    </row>
    <row r="311" ht="12.75" customHeight="1">
      <c r="A311" s="277"/>
      <c r="B311" s="278"/>
      <c r="C311" s="277"/>
      <c r="D311" s="278"/>
      <c r="E311" s="279"/>
      <c r="F311" s="277"/>
      <c r="G311" s="277"/>
      <c r="H311" s="277"/>
      <c r="I311" s="277"/>
      <c r="J311" s="277"/>
      <c r="K311" s="277"/>
      <c r="L311" s="277"/>
      <c r="M311" s="277"/>
      <c r="N311" s="277"/>
      <c r="O311" s="277"/>
      <c r="P311" s="277"/>
      <c r="Q311" s="277"/>
      <c r="R311" s="277"/>
      <c r="S311" s="277"/>
      <c r="T311" s="277"/>
      <c r="U311" s="277"/>
      <c r="V311" s="280"/>
      <c r="W311" s="277"/>
      <c r="X311" s="277"/>
      <c r="Y311" s="277"/>
      <c r="Z311" s="277"/>
      <c r="AA311" s="277"/>
      <c r="AB311" s="277"/>
      <c r="AC311" s="277"/>
      <c r="AD311" s="277"/>
      <c r="AE311" s="277"/>
      <c r="AF311" s="277"/>
    </row>
    <row r="312" ht="12.75" customHeight="1">
      <c r="A312" s="277"/>
      <c r="B312" s="278"/>
      <c r="C312" s="277"/>
      <c r="D312" s="278"/>
      <c r="E312" s="279"/>
      <c r="F312" s="277"/>
      <c r="G312" s="277"/>
      <c r="H312" s="277"/>
      <c r="I312" s="277"/>
      <c r="J312" s="277"/>
      <c r="K312" s="277"/>
      <c r="L312" s="277"/>
      <c r="M312" s="277"/>
      <c r="N312" s="277"/>
      <c r="O312" s="277"/>
      <c r="P312" s="277"/>
      <c r="Q312" s="277"/>
      <c r="R312" s="277"/>
      <c r="S312" s="277"/>
      <c r="T312" s="277"/>
      <c r="U312" s="277"/>
      <c r="V312" s="280"/>
      <c r="W312" s="277"/>
      <c r="X312" s="277"/>
      <c r="Y312" s="277"/>
      <c r="Z312" s="277"/>
      <c r="AA312" s="277"/>
      <c r="AB312" s="277"/>
      <c r="AC312" s="277"/>
      <c r="AD312" s="277"/>
      <c r="AE312" s="277"/>
      <c r="AF312" s="277"/>
    </row>
    <row r="313" ht="12.75" customHeight="1">
      <c r="A313" s="277"/>
      <c r="B313" s="278"/>
      <c r="C313" s="277"/>
      <c r="D313" s="278"/>
      <c r="E313" s="279"/>
      <c r="F313" s="277"/>
      <c r="G313" s="277"/>
      <c r="H313" s="277"/>
      <c r="I313" s="277"/>
      <c r="J313" s="277"/>
      <c r="K313" s="277"/>
      <c r="L313" s="277"/>
      <c r="M313" s="277"/>
      <c r="N313" s="277"/>
      <c r="O313" s="277"/>
      <c r="P313" s="277"/>
      <c r="Q313" s="277"/>
      <c r="R313" s="277"/>
      <c r="S313" s="277"/>
      <c r="T313" s="277"/>
      <c r="U313" s="277"/>
      <c r="V313" s="280"/>
      <c r="W313" s="277"/>
      <c r="X313" s="277"/>
      <c r="Y313" s="277"/>
      <c r="Z313" s="277"/>
      <c r="AA313" s="277"/>
      <c r="AB313" s="277"/>
      <c r="AC313" s="277"/>
      <c r="AD313" s="277"/>
      <c r="AE313" s="277"/>
      <c r="AF313" s="277"/>
    </row>
    <row r="314" ht="12.75" customHeight="1">
      <c r="A314" s="277"/>
      <c r="B314" s="278"/>
      <c r="C314" s="277"/>
      <c r="D314" s="278"/>
      <c r="E314" s="279"/>
      <c r="F314" s="277"/>
      <c r="G314" s="277"/>
      <c r="H314" s="277"/>
      <c r="I314" s="277"/>
      <c r="J314" s="277"/>
      <c r="K314" s="277"/>
      <c r="L314" s="277"/>
      <c r="M314" s="277"/>
      <c r="N314" s="277"/>
      <c r="O314" s="277"/>
      <c r="P314" s="277"/>
      <c r="Q314" s="277"/>
      <c r="R314" s="277"/>
      <c r="S314" s="277"/>
      <c r="T314" s="277"/>
      <c r="U314" s="277"/>
      <c r="V314" s="280"/>
      <c r="W314" s="277"/>
      <c r="X314" s="277"/>
      <c r="Y314" s="277"/>
      <c r="Z314" s="277"/>
      <c r="AA314" s="277"/>
      <c r="AB314" s="277"/>
      <c r="AC314" s="277"/>
      <c r="AD314" s="277"/>
      <c r="AE314" s="277"/>
      <c r="AF314" s="277"/>
    </row>
    <row r="315" ht="12.75" customHeight="1">
      <c r="A315" s="277"/>
      <c r="B315" s="278"/>
      <c r="C315" s="277"/>
      <c r="D315" s="278"/>
      <c r="E315" s="279"/>
      <c r="F315" s="277"/>
      <c r="G315" s="277"/>
      <c r="H315" s="277"/>
      <c r="I315" s="277"/>
      <c r="J315" s="277"/>
      <c r="K315" s="277"/>
      <c r="L315" s="277"/>
      <c r="M315" s="277"/>
      <c r="N315" s="277"/>
      <c r="O315" s="277"/>
      <c r="P315" s="277"/>
      <c r="Q315" s="277"/>
      <c r="R315" s="277"/>
      <c r="S315" s="277"/>
      <c r="T315" s="277"/>
      <c r="U315" s="277"/>
      <c r="V315" s="280"/>
      <c r="W315" s="277"/>
      <c r="X315" s="277"/>
      <c r="Y315" s="277"/>
      <c r="Z315" s="277"/>
      <c r="AA315" s="277"/>
      <c r="AB315" s="277"/>
      <c r="AC315" s="277"/>
      <c r="AD315" s="277"/>
      <c r="AE315" s="277"/>
      <c r="AF315" s="277"/>
    </row>
    <row r="316" ht="12.75" customHeight="1">
      <c r="A316" s="277"/>
      <c r="B316" s="278"/>
      <c r="C316" s="277"/>
      <c r="D316" s="278"/>
      <c r="E316" s="279"/>
      <c r="F316" s="277"/>
      <c r="G316" s="277"/>
      <c r="H316" s="277"/>
      <c r="I316" s="277"/>
      <c r="J316" s="277"/>
      <c r="K316" s="277"/>
      <c r="L316" s="277"/>
      <c r="M316" s="277"/>
      <c r="N316" s="277"/>
      <c r="O316" s="277"/>
      <c r="P316" s="277"/>
      <c r="Q316" s="277"/>
      <c r="R316" s="277"/>
      <c r="S316" s="277"/>
      <c r="T316" s="277"/>
      <c r="U316" s="277"/>
      <c r="V316" s="280"/>
      <c r="W316" s="277"/>
      <c r="X316" s="277"/>
      <c r="Y316" s="277"/>
      <c r="Z316" s="277"/>
      <c r="AA316" s="277"/>
      <c r="AB316" s="277"/>
      <c r="AC316" s="277"/>
      <c r="AD316" s="277"/>
      <c r="AE316" s="277"/>
      <c r="AF316" s="277"/>
    </row>
    <row r="317" ht="12.75" customHeight="1">
      <c r="A317" s="277"/>
      <c r="B317" s="278"/>
      <c r="C317" s="277"/>
      <c r="D317" s="278"/>
      <c r="E317" s="279"/>
      <c r="F317" s="277"/>
      <c r="G317" s="277"/>
      <c r="H317" s="277"/>
      <c r="I317" s="277"/>
      <c r="J317" s="277"/>
      <c r="K317" s="277"/>
      <c r="L317" s="277"/>
      <c r="M317" s="277"/>
      <c r="N317" s="277"/>
      <c r="O317" s="277"/>
      <c r="P317" s="277"/>
      <c r="Q317" s="277"/>
      <c r="R317" s="277"/>
      <c r="S317" s="277"/>
      <c r="T317" s="277"/>
      <c r="U317" s="277"/>
      <c r="V317" s="280"/>
      <c r="W317" s="277"/>
      <c r="X317" s="277"/>
      <c r="Y317" s="277"/>
      <c r="Z317" s="277"/>
      <c r="AA317" s="277"/>
      <c r="AB317" s="277"/>
      <c r="AC317" s="277"/>
      <c r="AD317" s="277"/>
      <c r="AE317" s="277"/>
      <c r="AF317" s="277"/>
    </row>
    <row r="318" ht="12.75" customHeight="1">
      <c r="A318" s="277"/>
      <c r="B318" s="278"/>
      <c r="C318" s="277"/>
      <c r="D318" s="278"/>
      <c r="E318" s="279"/>
      <c r="F318" s="277"/>
      <c r="G318" s="277"/>
      <c r="H318" s="277"/>
      <c r="I318" s="277"/>
      <c r="J318" s="277"/>
      <c r="K318" s="277"/>
      <c r="L318" s="277"/>
      <c r="M318" s="277"/>
      <c r="N318" s="277"/>
      <c r="O318" s="277"/>
      <c r="P318" s="277"/>
      <c r="Q318" s="277"/>
      <c r="R318" s="277"/>
      <c r="S318" s="277"/>
      <c r="T318" s="277"/>
      <c r="U318" s="277"/>
      <c r="V318" s="280"/>
      <c r="W318" s="277"/>
      <c r="X318" s="277"/>
      <c r="Y318" s="277"/>
      <c r="Z318" s="277"/>
      <c r="AA318" s="277"/>
      <c r="AB318" s="277"/>
      <c r="AC318" s="277"/>
      <c r="AD318" s="277"/>
      <c r="AE318" s="277"/>
      <c r="AF318" s="277"/>
    </row>
    <row r="319" ht="12.75" customHeight="1">
      <c r="A319" s="277"/>
      <c r="B319" s="278"/>
      <c r="C319" s="277"/>
      <c r="D319" s="278"/>
      <c r="E319" s="279"/>
      <c r="F319" s="277"/>
      <c r="G319" s="277"/>
      <c r="H319" s="277"/>
      <c r="I319" s="277"/>
      <c r="J319" s="277"/>
      <c r="K319" s="277"/>
      <c r="L319" s="277"/>
      <c r="M319" s="277"/>
      <c r="N319" s="277"/>
      <c r="O319" s="277"/>
      <c r="P319" s="277"/>
      <c r="Q319" s="277"/>
      <c r="R319" s="277"/>
      <c r="S319" s="277"/>
      <c r="T319" s="277"/>
      <c r="U319" s="277"/>
      <c r="V319" s="280"/>
      <c r="W319" s="277"/>
      <c r="X319" s="277"/>
      <c r="Y319" s="277"/>
      <c r="Z319" s="277"/>
      <c r="AA319" s="277"/>
      <c r="AB319" s="277"/>
      <c r="AC319" s="277"/>
      <c r="AD319" s="277"/>
      <c r="AE319" s="277"/>
      <c r="AF319" s="277"/>
    </row>
    <row r="320" ht="12.75" customHeight="1">
      <c r="A320" s="277"/>
      <c r="B320" s="278"/>
      <c r="C320" s="277"/>
      <c r="D320" s="278"/>
      <c r="E320" s="279"/>
      <c r="F320" s="277"/>
      <c r="G320" s="277"/>
      <c r="H320" s="277"/>
      <c r="I320" s="277"/>
      <c r="J320" s="277"/>
      <c r="K320" s="277"/>
      <c r="L320" s="277"/>
      <c r="M320" s="277"/>
      <c r="N320" s="277"/>
      <c r="O320" s="277"/>
      <c r="P320" s="277"/>
      <c r="Q320" s="277"/>
      <c r="R320" s="277"/>
      <c r="S320" s="277"/>
      <c r="T320" s="277"/>
      <c r="U320" s="277"/>
      <c r="V320" s="280"/>
      <c r="W320" s="277"/>
      <c r="X320" s="277"/>
      <c r="Y320" s="277"/>
      <c r="Z320" s="277"/>
      <c r="AA320" s="277"/>
      <c r="AB320" s="277"/>
      <c r="AC320" s="277"/>
      <c r="AD320" s="277"/>
      <c r="AE320" s="277"/>
      <c r="AF320" s="277"/>
    </row>
    <row r="321" ht="12.75" customHeight="1">
      <c r="A321" s="277"/>
      <c r="B321" s="278"/>
      <c r="C321" s="277"/>
      <c r="D321" s="278"/>
      <c r="E321" s="279"/>
      <c r="F321" s="277"/>
      <c r="G321" s="277"/>
      <c r="H321" s="277"/>
      <c r="I321" s="277"/>
      <c r="J321" s="277"/>
      <c r="K321" s="277"/>
      <c r="L321" s="277"/>
      <c r="M321" s="277"/>
      <c r="N321" s="277"/>
      <c r="O321" s="277"/>
      <c r="P321" s="277"/>
      <c r="Q321" s="277"/>
      <c r="R321" s="277"/>
      <c r="S321" s="277"/>
      <c r="T321" s="277"/>
      <c r="U321" s="277"/>
      <c r="V321" s="280"/>
      <c r="W321" s="277"/>
      <c r="X321" s="277"/>
      <c r="Y321" s="277"/>
      <c r="Z321" s="277"/>
      <c r="AA321" s="277"/>
      <c r="AB321" s="277"/>
      <c r="AC321" s="277"/>
      <c r="AD321" s="277"/>
      <c r="AE321" s="277"/>
      <c r="AF321" s="277"/>
    </row>
    <row r="322" ht="12.75" customHeight="1">
      <c r="A322" s="277"/>
      <c r="B322" s="278"/>
      <c r="C322" s="277"/>
      <c r="D322" s="278"/>
      <c r="E322" s="279"/>
      <c r="F322" s="277"/>
      <c r="G322" s="277"/>
      <c r="H322" s="277"/>
      <c r="I322" s="277"/>
      <c r="J322" s="277"/>
      <c r="K322" s="277"/>
      <c r="L322" s="277"/>
      <c r="M322" s="277"/>
      <c r="N322" s="277"/>
      <c r="O322" s="277"/>
      <c r="P322" s="277"/>
      <c r="Q322" s="277"/>
      <c r="R322" s="277"/>
      <c r="S322" s="277"/>
      <c r="T322" s="277"/>
      <c r="U322" s="277"/>
      <c r="V322" s="280"/>
      <c r="W322" s="277"/>
      <c r="X322" s="277"/>
      <c r="Y322" s="277"/>
      <c r="Z322" s="277"/>
      <c r="AA322" s="277"/>
      <c r="AB322" s="277"/>
      <c r="AC322" s="277"/>
      <c r="AD322" s="277"/>
      <c r="AE322" s="277"/>
      <c r="AF322" s="277"/>
    </row>
    <row r="323" ht="12.75" customHeight="1">
      <c r="A323" s="277"/>
      <c r="B323" s="278"/>
      <c r="C323" s="277"/>
      <c r="D323" s="278"/>
      <c r="E323" s="279"/>
      <c r="F323" s="277"/>
      <c r="G323" s="277"/>
      <c r="H323" s="277"/>
      <c r="I323" s="277"/>
      <c r="J323" s="277"/>
      <c r="K323" s="277"/>
      <c r="L323" s="277"/>
      <c r="M323" s="277"/>
      <c r="N323" s="277"/>
      <c r="O323" s="277"/>
      <c r="P323" s="277"/>
      <c r="Q323" s="277"/>
      <c r="R323" s="277"/>
      <c r="S323" s="277"/>
      <c r="T323" s="277"/>
      <c r="U323" s="277"/>
      <c r="V323" s="280"/>
      <c r="W323" s="277"/>
      <c r="X323" s="277"/>
      <c r="Y323" s="277"/>
      <c r="Z323" s="277"/>
      <c r="AA323" s="277"/>
      <c r="AB323" s="277"/>
      <c r="AC323" s="277"/>
      <c r="AD323" s="277"/>
      <c r="AE323" s="277"/>
      <c r="AF323" s="277"/>
    </row>
    <row r="324" ht="12.75" customHeight="1">
      <c r="A324" s="277"/>
      <c r="B324" s="278"/>
      <c r="C324" s="277"/>
      <c r="D324" s="278"/>
      <c r="E324" s="279"/>
      <c r="F324" s="277"/>
      <c r="G324" s="277"/>
      <c r="H324" s="277"/>
      <c r="I324" s="277"/>
      <c r="J324" s="277"/>
      <c r="K324" s="277"/>
      <c r="L324" s="277"/>
      <c r="M324" s="277"/>
      <c r="N324" s="277"/>
      <c r="O324" s="277"/>
      <c r="P324" s="277"/>
      <c r="Q324" s="277"/>
      <c r="R324" s="277"/>
      <c r="S324" s="277"/>
      <c r="T324" s="277"/>
      <c r="U324" s="277"/>
      <c r="V324" s="280"/>
      <c r="W324" s="277"/>
      <c r="X324" s="277"/>
      <c r="Y324" s="277"/>
      <c r="Z324" s="277"/>
      <c r="AA324" s="277"/>
      <c r="AB324" s="277"/>
      <c r="AC324" s="277"/>
      <c r="AD324" s="277"/>
      <c r="AE324" s="277"/>
      <c r="AF324" s="277"/>
    </row>
    <row r="325" ht="12.75" customHeight="1">
      <c r="A325" s="277"/>
      <c r="B325" s="278"/>
      <c r="C325" s="277"/>
      <c r="D325" s="278"/>
      <c r="E325" s="279"/>
      <c r="F325" s="277"/>
      <c r="G325" s="277"/>
      <c r="H325" s="277"/>
      <c r="I325" s="277"/>
      <c r="J325" s="277"/>
      <c r="K325" s="277"/>
      <c r="L325" s="277"/>
      <c r="M325" s="277"/>
      <c r="N325" s="277"/>
      <c r="O325" s="277"/>
      <c r="P325" s="277"/>
      <c r="Q325" s="277"/>
      <c r="R325" s="277"/>
      <c r="S325" s="277"/>
      <c r="T325" s="277"/>
      <c r="U325" s="277"/>
      <c r="V325" s="280"/>
      <c r="W325" s="277"/>
      <c r="X325" s="277"/>
      <c r="Y325" s="277"/>
      <c r="Z325" s="277"/>
      <c r="AA325" s="277"/>
      <c r="AB325" s="277"/>
      <c r="AC325" s="277"/>
      <c r="AD325" s="277"/>
      <c r="AE325" s="277"/>
      <c r="AF325" s="277"/>
    </row>
    <row r="326" ht="12.75" customHeight="1">
      <c r="A326" s="277"/>
      <c r="B326" s="278"/>
      <c r="C326" s="277"/>
      <c r="D326" s="278"/>
      <c r="E326" s="279"/>
      <c r="F326" s="277"/>
      <c r="G326" s="277"/>
      <c r="H326" s="277"/>
      <c r="I326" s="277"/>
      <c r="J326" s="277"/>
      <c r="K326" s="277"/>
      <c r="L326" s="277"/>
      <c r="M326" s="277"/>
      <c r="N326" s="277"/>
      <c r="O326" s="277"/>
      <c r="P326" s="277"/>
      <c r="Q326" s="277"/>
      <c r="R326" s="277"/>
      <c r="S326" s="277"/>
      <c r="T326" s="277"/>
      <c r="U326" s="277"/>
      <c r="V326" s="280"/>
      <c r="W326" s="277"/>
      <c r="X326" s="277"/>
      <c r="Y326" s="277"/>
      <c r="Z326" s="277"/>
      <c r="AA326" s="277"/>
      <c r="AB326" s="277"/>
      <c r="AC326" s="277"/>
      <c r="AD326" s="277"/>
      <c r="AE326" s="277"/>
      <c r="AF326" s="277"/>
    </row>
    <row r="327" ht="12.75" customHeight="1">
      <c r="A327" s="277"/>
      <c r="B327" s="278"/>
      <c r="C327" s="277"/>
      <c r="D327" s="278"/>
      <c r="E327" s="279"/>
      <c r="F327" s="277"/>
      <c r="G327" s="277"/>
      <c r="H327" s="277"/>
      <c r="I327" s="277"/>
      <c r="J327" s="277"/>
      <c r="K327" s="277"/>
      <c r="L327" s="277"/>
      <c r="M327" s="277"/>
      <c r="N327" s="277"/>
      <c r="O327" s="277"/>
      <c r="P327" s="277"/>
      <c r="Q327" s="277"/>
      <c r="R327" s="277"/>
      <c r="S327" s="277"/>
      <c r="T327" s="277"/>
      <c r="U327" s="277"/>
      <c r="V327" s="280"/>
      <c r="W327" s="277"/>
      <c r="X327" s="277"/>
      <c r="Y327" s="277"/>
      <c r="Z327" s="277"/>
      <c r="AA327" s="277"/>
      <c r="AB327" s="277"/>
      <c r="AC327" s="277"/>
      <c r="AD327" s="277"/>
      <c r="AE327" s="277"/>
      <c r="AF327" s="277"/>
    </row>
    <row r="328" ht="12.75" customHeight="1">
      <c r="A328" s="277"/>
      <c r="B328" s="278"/>
      <c r="C328" s="277"/>
      <c r="D328" s="278"/>
      <c r="E328" s="279"/>
      <c r="F328" s="277"/>
      <c r="G328" s="277"/>
      <c r="H328" s="277"/>
      <c r="I328" s="277"/>
      <c r="J328" s="277"/>
      <c r="K328" s="277"/>
      <c r="L328" s="277"/>
      <c r="M328" s="277"/>
      <c r="N328" s="277"/>
      <c r="O328" s="277"/>
      <c r="P328" s="277"/>
      <c r="Q328" s="277"/>
      <c r="R328" s="277"/>
      <c r="S328" s="277"/>
      <c r="T328" s="277"/>
      <c r="U328" s="277"/>
      <c r="V328" s="280"/>
      <c r="W328" s="277"/>
      <c r="X328" s="277"/>
      <c r="Y328" s="277"/>
      <c r="Z328" s="277"/>
      <c r="AA328" s="277"/>
      <c r="AB328" s="277"/>
      <c r="AC328" s="277"/>
      <c r="AD328" s="277"/>
      <c r="AE328" s="277"/>
      <c r="AF328" s="277"/>
    </row>
    <row r="329" ht="12.75" customHeight="1">
      <c r="A329" s="277"/>
      <c r="B329" s="278"/>
      <c r="C329" s="277"/>
      <c r="D329" s="278"/>
      <c r="E329" s="279"/>
      <c r="F329" s="277"/>
      <c r="G329" s="277"/>
      <c r="H329" s="277"/>
      <c r="I329" s="277"/>
      <c r="J329" s="277"/>
      <c r="K329" s="277"/>
      <c r="L329" s="277"/>
      <c r="M329" s="277"/>
      <c r="N329" s="277"/>
      <c r="O329" s="277"/>
      <c r="P329" s="277"/>
      <c r="Q329" s="277"/>
      <c r="R329" s="277"/>
      <c r="S329" s="277"/>
      <c r="T329" s="277"/>
      <c r="U329" s="277"/>
      <c r="V329" s="280"/>
      <c r="W329" s="277"/>
      <c r="X329" s="277"/>
      <c r="Y329" s="277"/>
      <c r="Z329" s="277"/>
      <c r="AA329" s="277"/>
      <c r="AB329" s="277"/>
      <c r="AC329" s="277"/>
      <c r="AD329" s="277"/>
      <c r="AE329" s="277"/>
      <c r="AF329" s="277"/>
    </row>
    <row r="330" ht="12.75" customHeight="1">
      <c r="A330" s="277"/>
      <c r="B330" s="278"/>
      <c r="C330" s="277"/>
      <c r="D330" s="278"/>
      <c r="E330" s="279"/>
      <c r="F330" s="277"/>
      <c r="G330" s="277"/>
      <c r="H330" s="277"/>
      <c r="I330" s="277"/>
      <c r="J330" s="277"/>
      <c r="K330" s="277"/>
      <c r="L330" s="277"/>
      <c r="M330" s="277"/>
      <c r="N330" s="277"/>
      <c r="O330" s="277"/>
      <c r="P330" s="277"/>
      <c r="Q330" s="277"/>
      <c r="R330" s="277"/>
      <c r="S330" s="277"/>
      <c r="T330" s="277"/>
      <c r="U330" s="277"/>
      <c r="V330" s="280"/>
      <c r="W330" s="277"/>
      <c r="X330" s="277"/>
      <c r="Y330" s="277"/>
      <c r="Z330" s="277"/>
      <c r="AA330" s="277"/>
      <c r="AB330" s="277"/>
      <c r="AC330" s="277"/>
      <c r="AD330" s="277"/>
      <c r="AE330" s="277"/>
      <c r="AF330" s="277"/>
    </row>
    <row r="331" ht="12.75" customHeight="1">
      <c r="A331" s="277"/>
      <c r="B331" s="278"/>
      <c r="C331" s="277"/>
      <c r="D331" s="278"/>
      <c r="E331" s="279"/>
      <c r="F331" s="277"/>
      <c r="G331" s="277"/>
      <c r="H331" s="277"/>
      <c r="I331" s="277"/>
      <c r="J331" s="277"/>
      <c r="K331" s="277"/>
      <c r="L331" s="277"/>
      <c r="M331" s="277"/>
      <c r="N331" s="277"/>
      <c r="O331" s="277"/>
      <c r="P331" s="277"/>
      <c r="Q331" s="277"/>
      <c r="R331" s="277"/>
      <c r="S331" s="277"/>
      <c r="T331" s="277"/>
      <c r="U331" s="277"/>
      <c r="V331" s="280"/>
      <c r="W331" s="277"/>
      <c r="X331" s="277"/>
      <c r="Y331" s="277"/>
      <c r="Z331" s="277"/>
      <c r="AA331" s="277"/>
      <c r="AB331" s="277"/>
      <c r="AC331" s="277"/>
      <c r="AD331" s="277"/>
      <c r="AE331" s="277"/>
      <c r="AF331" s="277"/>
    </row>
    <row r="332" ht="12.75" customHeight="1">
      <c r="A332" s="277"/>
      <c r="B332" s="278"/>
      <c r="C332" s="277"/>
      <c r="D332" s="278"/>
      <c r="E332" s="279"/>
      <c r="F332" s="277"/>
      <c r="G332" s="277"/>
      <c r="H332" s="277"/>
      <c r="I332" s="277"/>
      <c r="J332" s="277"/>
      <c r="K332" s="277"/>
      <c r="L332" s="277"/>
      <c r="M332" s="277"/>
      <c r="N332" s="277"/>
      <c r="O332" s="277"/>
      <c r="P332" s="277"/>
      <c r="Q332" s="277"/>
      <c r="R332" s="277"/>
      <c r="S332" s="277"/>
      <c r="T332" s="277"/>
      <c r="U332" s="277"/>
      <c r="V332" s="280"/>
      <c r="W332" s="277"/>
      <c r="X332" s="277"/>
      <c r="Y332" s="277"/>
      <c r="Z332" s="277"/>
      <c r="AA332" s="277"/>
      <c r="AB332" s="277"/>
      <c r="AC332" s="277"/>
      <c r="AD332" s="277"/>
      <c r="AE332" s="277"/>
      <c r="AF332" s="277"/>
    </row>
    <row r="333" ht="12.75" customHeight="1">
      <c r="A333" s="277"/>
      <c r="B333" s="278"/>
      <c r="C333" s="277"/>
      <c r="D333" s="278"/>
      <c r="E333" s="279"/>
      <c r="F333" s="277"/>
      <c r="G333" s="277"/>
      <c r="H333" s="277"/>
      <c r="I333" s="277"/>
      <c r="J333" s="277"/>
      <c r="K333" s="277"/>
      <c r="L333" s="277"/>
      <c r="M333" s="277"/>
      <c r="N333" s="277"/>
      <c r="O333" s="277"/>
      <c r="P333" s="277"/>
      <c r="Q333" s="277"/>
      <c r="R333" s="277"/>
      <c r="S333" s="277"/>
      <c r="T333" s="277"/>
      <c r="U333" s="277"/>
      <c r="V333" s="280"/>
      <c r="W333" s="277"/>
      <c r="X333" s="277"/>
      <c r="Y333" s="277"/>
      <c r="Z333" s="277"/>
      <c r="AA333" s="277"/>
      <c r="AB333" s="277"/>
      <c r="AC333" s="277"/>
      <c r="AD333" s="277"/>
      <c r="AE333" s="277"/>
      <c r="AF333" s="277"/>
    </row>
    <row r="334" ht="12.75" customHeight="1">
      <c r="A334" s="277"/>
      <c r="B334" s="278"/>
      <c r="C334" s="277"/>
      <c r="D334" s="278"/>
      <c r="E334" s="279"/>
      <c r="F334" s="277"/>
      <c r="G334" s="277"/>
      <c r="H334" s="277"/>
      <c r="I334" s="277"/>
      <c r="J334" s="277"/>
      <c r="K334" s="277"/>
      <c r="L334" s="277"/>
      <c r="M334" s="277"/>
      <c r="N334" s="277"/>
      <c r="O334" s="277"/>
      <c r="P334" s="277"/>
      <c r="Q334" s="277"/>
      <c r="R334" s="277"/>
      <c r="S334" s="277"/>
      <c r="T334" s="277"/>
      <c r="U334" s="277"/>
      <c r="V334" s="280"/>
      <c r="W334" s="277"/>
      <c r="X334" s="277"/>
      <c r="Y334" s="277"/>
      <c r="Z334" s="277"/>
      <c r="AA334" s="277"/>
      <c r="AB334" s="277"/>
      <c r="AC334" s="277"/>
      <c r="AD334" s="277"/>
      <c r="AE334" s="277"/>
      <c r="AF334" s="277"/>
    </row>
    <row r="335" ht="12.75" customHeight="1">
      <c r="A335" s="277"/>
      <c r="B335" s="278"/>
      <c r="C335" s="277"/>
      <c r="D335" s="278"/>
      <c r="E335" s="279"/>
      <c r="F335" s="277"/>
      <c r="G335" s="277"/>
      <c r="H335" s="277"/>
      <c r="I335" s="277"/>
      <c r="J335" s="277"/>
      <c r="K335" s="277"/>
      <c r="L335" s="277"/>
      <c r="M335" s="277"/>
      <c r="N335" s="277"/>
      <c r="O335" s="277"/>
      <c r="P335" s="277"/>
      <c r="Q335" s="277"/>
      <c r="R335" s="277"/>
      <c r="S335" s="277"/>
      <c r="T335" s="277"/>
      <c r="U335" s="277"/>
      <c r="V335" s="280"/>
      <c r="W335" s="277"/>
      <c r="X335" s="277"/>
      <c r="Y335" s="277"/>
      <c r="Z335" s="277"/>
      <c r="AA335" s="277"/>
      <c r="AB335" s="277"/>
      <c r="AC335" s="277"/>
      <c r="AD335" s="277"/>
      <c r="AE335" s="277"/>
      <c r="AF335" s="277"/>
    </row>
    <row r="336" ht="12.75" customHeight="1">
      <c r="A336" s="277"/>
      <c r="B336" s="278"/>
      <c r="C336" s="277"/>
      <c r="D336" s="278"/>
      <c r="E336" s="279"/>
      <c r="F336" s="277"/>
      <c r="G336" s="277"/>
      <c r="H336" s="277"/>
      <c r="I336" s="277"/>
      <c r="J336" s="277"/>
      <c r="K336" s="277"/>
      <c r="L336" s="277"/>
      <c r="M336" s="277"/>
      <c r="N336" s="277"/>
      <c r="O336" s="277"/>
      <c r="P336" s="277"/>
      <c r="Q336" s="277"/>
      <c r="R336" s="277"/>
      <c r="S336" s="277"/>
      <c r="T336" s="277"/>
      <c r="U336" s="277"/>
      <c r="V336" s="280"/>
      <c r="W336" s="277"/>
      <c r="X336" s="277"/>
      <c r="Y336" s="277"/>
      <c r="Z336" s="277"/>
      <c r="AA336" s="277"/>
      <c r="AB336" s="277"/>
      <c r="AC336" s="277"/>
      <c r="AD336" s="277"/>
      <c r="AE336" s="277"/>
      <c r="AF336" s="277"/>
    </row>
    <row r="337" ht="12.75" customHeight="1">
      <c r="A337" s="277"/>
      <c r="B337" s="278"/>
      <c r="C337" s="277"/>
      <c r="D337" s="278"/>
      <c r="E337" s="279"/>
      <c r="F337" s="277"/>
      <c r="G337" s="277"/>
      <c r="H337" s="277"/>
      <c r="I337" s="277"/>
      <c r="J337" s="277"/>
      <c r="K337" s="277"/>
      <c r="L337" s="277"/>
      <c r="M337" s="277"/>
      <c r="N337" s="277"/>
      <c r="O337" s="277"/>
      <c r="P337" s="277"/>
      <c r="Q337" s="277"/>
      <c r="R337" s="277"/>
      <c r="S337" s="277"/>
      <c r="T337" s="277"/>
      <c r="U337" s="277"/>
      <c r="V337" s="280"/>
      <c r="W337" s="277"/>
      <c r="X337" s="277"/>
      <c r="Y337" s="277"/>
      <c r="Z337" s="277"/>
      <c r="AA337" s="277"/>
      <c r="AB337" s="277"/>
      <c r="AC337" s="277"/>
      <c r="AD337" s="277"/>
      <c r="AE337" s="277"/>
      <c r="AF337" s="277"/>
    </row>
    <row r="338" ht="12.75" customHeight="1">
      <c r="A338" s="277"/>
      <c r="B338" s="278"/>
      <c r="C338" s="277"/>
      <c r="D338" s="278"/>
      <c r="E338" s="279"/>
      <c r="F338" s="277"/>
      <c r="G338" s="277"/>
      <c r="H338" s="277"/>
      <c r="I338" s="277"/>
      <c r="J338" s="277"/>
      <c r="K338" s="277"/>
      <c r="L338" s="277"/>
      <c r="M338" s="277"/>
      <c r="N338" s="277"/>
      <c r="O338" s="277"/>
      <c r="P338" s="277"/>
      <c r="Q338" s="277"/>
      <c r="R338" s="277"/>
      <c r="S338" s="277"/>
      <c r="T338" s="277"/>
      <c r="U338" s="277"/>
      <c r="V338" s="280"/>
      <c r="W338" s="277"/>
      <c r="X338" s="277"/>
      <c r="Y338" s="277"/>
      <c r="Z338" s="277"/>
      <c r="AA338" s="277"/>
      <c r="AB338" s="277"/>
      <c r="AC338" s="277"/>
      <c r="AD338" s="277"/>
      <c r="AE338" s="277"/>
      <c r="AF338" s="277"/>
    </row>
    <row r="339" ht="12.75" customHeight="1">
      <c r="A339" s="277"/>
      <c r="B339" s="278"/>
      <c r="C339" s="277"/>
      <c r="D339" s="278"/>
      <c r="E339" s="279"/>
      <c r="F339" s="277"/>
      <c r="G339" s="277"/>
      <c r="H339" s="277"/>
      <c r="I339" s="277"/>
      <c r="J339" s="277"/>
      <c r="K339" s="277"/>
      <c r="L339" s="277"/>
      <c r="M339" s="277"/>
      <c r="N339" s="277"/>
      <c r="O339" s="277"/>
      <c r="P339" s="277"/>
      <c r="Q339" s="277"/>
      <c r="R339" s="277"/>
      <c r="S339" s="277"/>
      <c r="T339" s="277"/>
      <c r="U339" s="277"/>
      <c r="V339" s="280"/>
      <c r="W339" s="277"/>
      <c r="X339" s="277"/>
      <c r="Y339" s="277"/>
      <c r="Z339" s="277"/>
      <c r="AA339" s="277"/>
      <c r="AB339" s="277"/>
      <c r="AC339" s="277"/>
      <c r="AD339" s="277"/>
      <c r="AE339" s="277"/>
      <c r="AF339" s="277"/>
    </row>
    <row r="340" ht="12.75" customHeight="1">
      <c r="A340" s="277"/>
      <c r="B340" s="278"/>
      <c r="C340" s="277"/>
      <c r="D340" s="278"/>
      <c r="E340" s="279"/>
      <c r="F340" s="277"/>
      <c r="G340" s="277"/>
      <c r="H340" s="277"/>
      <c r="I340" s="277"/>
      <c r="J340" s="277"/>
      <c r="K340" s="277"/>
      <c r="L340" s="277"/>
      <c r="M340" s="277"/>
      <c r="N340" s="277"/>
      <c r="O340" s="277"/>
      <c r="P340" s="277"/>
      <c r="Q340" s="277"/>
      <c r="R340" s="277"/>
      <c r="S340" s="277"/>
      <c r="T340" s="277"/>
      <c r="U340" s="277"/>
      <c r="V340" s="280"/>
      <c r="W340" s="277"/>
      <c r="X340" s="277"/>
      <c r="Y340" s="277"/>
      <c r="Z340" s="277"/>
      <c r="AA340" s="277"/>
      <c r="AB340" s="277"/>
      <c r="AC340" s="277"/>
      <c r="AD340" s="277"/>
      <c r="AE340" s="277"/>
      <c r="AF340" s="277"/>
    </row>
    <row r="341" ht="12.75" customHeight="1">
      <c r="A341" s="277"/>
      <c r="B341" s="278"/>
      <c r="C341" s="277"/>
      <c r="D341" s="278"/>
      <c r="E341" s="279"/>
      <c r="F341" s="277"/>
      <c r="G341" s="277"/>
      <c r="H341" s="277"/>
      <c r="I341" s="277"/>
      <c r="J341" s="277"/>
      <c r="K341" s="277"/>
      <c r="L341" s="277"/>
      <c r="M341" s="277"/>
      <c r="N341" s="277"/>
      <c r="O341" s="277"/>
      <c r="P341" s="277"/>
      <c r="Q341" s="277"/>
      <c r="R341" s="277"/>
      <c r="S341" s="277"/>
      <c r="T341" s="277"/>
      <c r="U341" s="277"/>
      <c r="V341" s="280"/>
      <c r="W341" s="277"/>
      <c r="X341" s="277"/>
      <c r="Y341" s="277"/>
      <c r="Z341" s="277"/>
      <c r="AA341" s="277"/>
      <c r="AB341" s="277"/>
      <c r="AC341" s="277"/>
      <c r="AD341" s="277"/>
      <c r="AE341" s="277"/>
      <c r="AF341" s="277"/>
    </row>
    <row r="342" ht="12.75" customHeight="1">
      <c r="A342" s="277"/>
      <c r="B342" s="278"/>
      <c r="C342" s="277"/>
      <c r="D342" s="278"/>
      <c r="E342" s="279"/>
      <c r="F342" s="277"/>
      <c r="G342" s="277"/>
      <c r="H342" s="277"/>
      <c r="I342" s="277"/>
      <c r="J342" s="277"/>
      <c r="K342" s="277"/>
      <c r="L342" s="277"/>
      <c r="M342" s="277"/>
      <c r="N342" s="277"/>
      <c r="O342" s="277"/>
      <c r="P342" s="277"/>
      <c r="Q342" s="277"/>
      <c r="R342" s="277"/>
      <c r="S342" s="277"/>
      <c r="T342" s="277"/>
      <c r="U342" s="277"/>
      <c r="V342" s="280"/>
      <c r="W342" s="277"/>
      <c r="X342" s="277"/>
      <c r="Y342" s="277"/>
      <c r="Z342" s="277"/>
      <c r="AA342" s="277"/>
      <c r="AB342" s="277"/>
      <c r="AC342" s="277"/>
      <c r="AD342" s="277"/>
      <c r="AE342" s="277"/>
      <c r="AF342" s="277"/>
    </row>
    <row r="343" ht="12.75" customHeight="1">
      <c r="A343" s="277"/>
      <c r="B343" s="278"/>
      <c r="C343" s="277"/>
      <c r="D343" s="278"/>
      <c r="E343" s="279"/>
      <c r="F343" s="277"/>
      <c r="G343" s="277"/>
      <c r="H343" s="277"/>
      <c r="I343" s="277"/>
      <c r="J343" s="277"/>
      <c r="K343" s="277"/>
      <c r="L343" s="277"/>
      <c r="M343" s="277"/>
      <c r="N343" s="277"/>
      <c r="O343" s="277"/>
      <c r="P343" s="277"/>
      <c r="Q343" s="277"/>
      <c r="R343" s="277"/>
      <c r="S343" s="277"/>
      <c r="T343" s="277"/>
      <c r="U343" s="277"/>
      <c r="V343" s="280"/>
      <c r="W343" s="277"/>
      <c r="X343" s="277"/>
      <c r="Y343" s="277"/>
      <c r="Z343" s="277"/>
      <c r="AA343" s="277"/>
      <c r="AB343" s="277"/>
      <c r="AC343" s="277"/>
      <c r="AD343" s="277"/>
      <c r="AE343" s="277"/>
      <c r="AF343" s="277"/>
    </row>
    <row r="344" ht="12.75" customHeight="1">
      <c r="A344" s="277"/>
      <c r="B344" s="278"/>
      <c r="C344" s="277"/>
      <c r="D344" s="278"/>
      <c r="E344" s="279"/>
      <c r="F344" s="277"/>
      <c r="G344" s="277"/>
      <c r="H344" s="277"/>
      <c r="I344" s="277"/>
      <c r="J344" s="277"/>
      <c r="K344" s="277"/>
      <c r="L344" s="277"/>
      <c r="M344" s="277"/>
      <c r="N344" s="277"/>
      <c r="O344" s="277"/>
      <c r="P344" s="277"/>
      <c r="Q344" s="277"/>
      <c r="R344" s="277"/>
      <c r="S344" s="277"/>
      <c r="T344" s="277"/>
      <c r="U344" s="277"/>
      <c r="V344" s="280"/>
      <c r="W344" s="277"/>
      <c r="X344" s="277"/>
      <c r="Y344" s="277"/>
      <c r="Z344" s="277"/>
      <c r="AA344" s="277"/>
      <c r="AB344" s="277"/>
      <c r="AC344" s="277"/>
      <c r="AD344" s="277"/>
      <c r="AE344" s="277"/>
      <c r="AF344" s="277"/>
    </row>
    <row r="345" ht="12.75" customHeight="1">
      <c r="A345" s="277"/>
      <c r="B345" s="278"/>
      <c r="C345" s="277"/>
      <c r="D345" s="278"/>
      <c r="E345" s="279"/>
      <c r="F345" s="277"/>
      <c r="G345" s="277"/>
      <c r="H345" s="277"/>
      <c r="I345" s="277"/>
      <c r="J345" s="277"/>
      <c r="K345" s="277"/>
      <c r="L345" s="277"/>
      <c r="M345" s="277"/>
      <c r="N345" s="277"/>
      <c r="O345" s="277"/>
      <c r="P345" s="277"/>
      <c r="Q345" s="277"/>
      <c r="R345" s="277"/>
      <c r="S345" s="277"/>
      <c r="T345" s="277"/>
      <c r="U345" s="277"/>
      <c r="V345" s="280"/>
      <c r="W345" s="277"/>
      <c r="X345" s="277"/>
      <c r="Y345" s="277"/>
      <c r="Z345" s="277"/>
      <c r="AA345" s="277"/>
      <c r="AB345" s="277"/>
      <c r="AC345" s="277"/>
      <c r="AD345" s="277"/>
      <c r="AE345" s="277"/>
      <c r="AF345" s="277"/>
    </row>
    <row r="346" ht="12.75" customHeight="1">
      <c r="A346" s="277"/>
      <c r="B346" s="278"/>
      <c r="C346" s="277"/>
      <c r="D346" s="278"/>
      <c r="E346" s="279"/>
      <c r="F346" s="277"/>
      <c r="G346" s="277"/>
      <c r="H346" s="277"/>
      <c r="I346" s="277"/>
      <c r="J346" s="277"/>
      <c r="K346" s="277"/>
      <c r="L346" s="277"/>
      <c r="M346" s="277"/>
      <c r="N346" s="277"/>
      <c r="O346" s="277"/>
      <c r="P346" s="277"/>
      <c r="Q346" s="277"/>
      <c r="R346" s="277"/>
      <c r="S346" s="277"/>
      <c r="T346" s="277"/>
      <c r="U346" s="277"/>
      <c r="V346" s="280"/>
      <c r="W346" s="277"/>
      <c r="X346" s="277"/>
      <c r="Y346" s="277"/>
      <c r="Z346" s="277"/>
      <c r="AA346" s="277"/>
      <c r="AB346" s="277"/>
      <c r="AC346" s="277"/>
      <c r="AD346" s="277"/>
      <c r="AE346" s="277"/>
      <c r="AF346" s="277"/>
    </row>
    <row r="347" ht="12.75" customHeight="1">
      <c r="A347" s="277"/>
      <c r="B347" s="278"/>
      <c r="C347" s="277"/>
      <c r="D347" s="278"/>
      <c r="E347" s="279"/>
      <c r="F347" s="277"/>
      <c r="G347" s="277"/>
      <c r="H347" s="277"/>
      <c r="I347" s="277"/>
      <c r="J347" s="277"/>
      <c r="K347" s="277"/>
      <c r="L347" s="277"/>
      <c r="M347" s="277"/>
      <c r="N347" s="277"/>
      <c r="O347" s="277"/>
      <c r="P347" s="277"/>
      <c r="Q347" s="277"/>
      <c r="R347" s="277"/>
      <c r="S347" s="277"/>
      <c r="T347" s="277"/>
      <c r="U347" s="277"/>
      <c r="V347" s="280"/>
      <c r="W347" s="277"/>
      <c r="X347" s="277"/>
      <c r="Y347" s="277"/>
      <c r="Z347" s="277"/>
      <c r="AA347" s="277"/>
      <c r="AB347" s="277"/>
      <c r="AC347" s="277"/>
      <c r="AD347" s="277"/>
      <c r="AE347" s="277"/>
      <c r="AF347" s="277"/>
    </row>
    <row r="348" ht="12.75" customHeight="1">
      <c r="A348" s="277"/>
      <c r="B348" s="278"/>
      <c r="C348" s="277"/>
      <c r="D348" s="278"/>
      <c r="E348" s="279"/>
      <c r="F348" s="277"/>
      <c r="G348" s="277"/>
      <c r="H348" s="277"/>
      <c r="I348" s="277"/>
      <c r="J348" s="277"/>
      <c r="K348" s="277"/>
      <c r="L348" s="277"/>
      <c r="M348" s="277"/>
      <c r="N348" s="277"/>
      <c r="O348" s="277"/>
      <c r="P348" s="277"/>
      <c r="Q348" s="277"/>
      <c r="R348" s="277"/>
      <c r="S348" s="277"/>
      <c r="T348" s="277"/>
      <c r="U348" s="277"/>
      <c r="V348" s="280"/>
      <c r="W348" s="277"/>
      <c r="X348" s="277"/>
      <c r="Y348" s="277"/>
      <c r="Z348" s="277"/>
      <c r="AA348" s="277"/>
      <c r="AB348" s="277"/>
      <c r="AC348" s="277"/>
      <c r="AD348" s="277"/>
      <c r="AE348" s="277"/>
      <c r="AF348" s="277"/>
    </row>
    <row r="349" ht="12.75" customHeight="1">
      <c r="A349" s="277"/>
      <c r="B349" s="278"/>
      <c r="C349" s="277"/>
      <c r="D349" s="278"/>
      <c r="E349" s="279"/>
      <c r="F349" s="277"/>
      <c r="G349" s="277"/>
      <c r="H349" s="277"/>
      <c r="I349" s="277"/>
      <c r="J349" s="277"/>
      <c r="K349" s="277"/>
      <c r="L349" s="277"/>
      <c r="M349" s="277"/>
      <c r="N349" s="277"/>
      <c r="O349" s="277"/>
      <c r="P349" s="277"/>
      <c r="Q349" s="277"/>
      <c r="R349" s="277"/>
      <c r="S349" s="277"/>
      <c r="T349" s="277"/>
      <c r="U349" s="277"/>
      <c r="V349" s="280"/>
      <c r="W349" s="277"/>
      <c r="X349" s="277"/>
      <c r="Y349" s="277"/>
      <c r="Z349" s="277"/>
      <c r="AA349" s="277"/>
      <c r="AB349" s="277"/>
      <c r="AC349" s="277"/>
      <c r="AD349" s="277"/>
      <c r="AE349" s="277"/>
      <c r="AF349" s="277"/>
    </row>
    <row r="350" ht="12.75" customHeight="1">
      <c r="A350" s="277"/>
      <c r="B350" s="278"/>
      <c r="C350" s="277"/>
      <c r="D350" s="278"/>
      <c r="E350" s="279"/>
      <c r="F350" s="277"/>
      <c r="G350" s="277"/>
      <c r="H350" s="277"/>
      <c r="I350" s="277"/>
      <c r="J350" s="277"/>
      <c r="K350" s="277"/>
      <c r="L350" s="277"/>
      <c r="M350" s="277"/>
      <c r="N350" s="277"/>
      <c r="O350" s="277"/>
      <c r="P350" s="277"/>
      <c r="Q350" s="277"/>
      <c r="R350" s="277"/>
      <c r="S350" s="277"/>
      <c r="T350" s="277"/>
      <c r="U350" s="277"/>
      <c r="V350" s="280"/>
      <c r="W350" s="277"/>
      <c r="X350" s="277"/>
      <c r="Y350" s="277"/>
      <c r="Z350" s="277"/>
      <c r="AA350" s="277"/>
      <c r="AB350" s="277"/>
      <c r="AC350" s="277"/>
      <c r="AD350" s="277"/>
      <c r="AE350" s="277"/>
      <c r="AF350" s="277"/>
    </row>
    <row r="351" ht="12.75" customHeight="1">
      <c r="A351" s="277"/>
      <c r="B351" s="278"/>
      <c r="C351" s="277"/>
      <c r="D351" s="278"/>
      <c r="E351" s="279"/>
      <c r="F351" s="277"/>
      <c r="G351" s="277"/>
      <c r="H351" s="277"/>
      <c r="I351" s="277"/>
      <c r="J351" s="277"/>
      <c r="K351" s="277"/>
      <c r="L351" s="277"/>
      <c r="M351" s="277"/>
      <c r="N351" s="277"/>
      <c r="O351" s="277"/>
      <c r="P351" s="277"/>
      <c r="Q351" s="277"/>
      <c r="R351" s="277"/>
      <c r="S351" s="277"/>
      <c r="T351" s="277"/>
      <c r="U351" s="277"/>
      <c r="V351" s="280"/>
      <c r="W351" s="277"/>
      <c r="X351" s="277"/>
      <c r="Y351" s="277"/>
      <c r="Z351" s="277"/>
      <c r="AA351" s="277"/>
      <c r="AB351" s="277"/>
      <c r="AC351" s="277"/>
      <c r="AD351" s="277"/>
      <c r="AE351" s="277"/>
      <c r="AF351" s="277"/>
    </row>
    <row r="352" ht="12.75" customHeight="1">
      <c r="A352" s="277"/>
      <c r="B352" s="278"/>
      <c r="C352" s="277"/>
      <c r="D352" s="278"/>
      <c r="E352" s="279"/>
      <c r="F352" s="277"/>
      <c r="G352" s="277"/>
      <c r="H352" s="277"/>
      <c r="I352" s="277"/>
      <c r="J352" s="277"/>
      <c r="K352" s="277"/>
      <c r="L352" s="277"/>
      <c r="M352" s="277"/>
      <c r="N352" s="277"/>
      <c r="O352" s="277"/>
      <c r="P352" s="277"/>
      <c r="Q352" s="277"/>
      <c r="R352" s="277"/>
      <c r="S352" s="277"/>
      <c r="T352" s="277"/>
      <c r="U352" s="277"/>
      <c r="V352" s="280"/>
      <c r="W352" s="277"/>
      <c r="X352" s="277"/>
      <c r="Y352" s="277"/>
      <c r="Z352" s="277"/>
      <c r="AA352" s="277"/>
      <c r="AB352" s="277"/>
      <c r="AC352" s="277"/>
      <c r="AD352" s="277"/>
      <c r="AE352" s="277"/>
      <c r="AF352" s="277"/>
    </row>
    <row r="353" ht="12.75" customHeight="1">
      <c r="A353" s="277"/>
      <c r="B353" s="278"/>
      <c r="C353" s="277"/>
      <c r="D353" s="278"/>
      <c r="E353" s="279"/>
      <c r="F353" s="277"/>
      <c r="G353" s="277"/>
      <c r="H353" s="277"/>
      <c r="I353" s="277"/>
      <c r="J353" s="277"/>
      <c r="K353" s="277"/>
      <c r="L353" s="277"/>
      <c r="M353" s="277"/>
      <c r="N353" s="277"/>
      <c r="O353" s="277"/>
      <c r="P353" s="277"/>
      <c r="Q353" s="277"/>
      <c r="R353" s="277"/>
      <c r="S353" s="277"/>
      <c r="T353" s="277"/>
      <c r="U353" s="277"/>
      <c r="V353" s="280"/>
      <c r="W353" s="277"/>
      <c r="X353" s="277"/>
      <c r="Y353" s="277"/>
      <c r="Z353" s="277"/>
      <c r="AA353" s="277"/>
      <c r="AB353" s="277"/>
      <c r="AC353" s="277"/>
      <c r="AD353" s="277"/>
      <c r="AE353" s="277"/>
      <c r="AF353" s="277"/>
    </row>
    <row r="354" ht="12.75" customHeight="1">
      <c r="A354" s="277"/>
      <c r="B354" s="278"/>
      <c r="C354" s="277"/>
      <c r="D354" s="278"/>
      <c r="E354" s="279"/>
      <c r="F354" s="277"/>
      <c r="G354" s="277"/>
      <c r="H354" s="277"/>
      <c r="I354" s="277"/>
      <c r="J354" s="277"/>
      <c r="K354" s="277"/>
      <c r="L354" s="277"/>
      <c r="M354" s="277"/>
      <c r="N354" s="277"/>
      <c r="O354" s="277"/>
      <c r="P354" s="277"/>
      <c r="Q354" s="277"/>
      <c r="R354" s="277"/>
      <c r="S354" s="277"/>
      <c r="T354" s="277"/>
      <c r="U354" s="277"/>
      <c r="V354" s="280"/>
      <c r="W354" s="277"/>
      <c r="X354" s="277"/>
      <c r="Y354" s="277"/>
      <c r="Z354" s="277"/>
      <c r="AA354" s="277"/>
      <c r="AB354" s="277"/>
      <c r="AC354" s="277"/>
      <c r="AD354" s="277"/>
      <c r="AE354" s="277"/>
      <c r="AF354" s="277"/>
    </row>
    <row r="355" ht="12.75" customHeight="1">
      <c r="A355" s="277"/>
      <c r="B355" s="278"/>
      <c r="C355" s="277"/>
      <c r="D355" s="278"/>
      <c r="E355" s="279"/>
      <c r="F355" s="277"/>
      <c r="G355" s="277"/>
      <c r="H355" s="277"/>
      <c r="I355" s="277"/>
      <c r="J355" s="277"/>
      <c r="K355" s="277"/>
      <c r="L355" s="277"/>
      <c r="M355" s="277"/>
      <c r="N355" s="277"/>
      <c r="O355" s="277"/>
      <c r="P355" s="277"/>
      <c r="Q355" s="277"/>
      <c r="R355" s="277"/>
      <c r="S355" s="277"/>
      <c r="T355" s="277"/>
      <c r="U355" s="277"/>
      <c r="V355" s="280"/>
      <c r="W355" s="277"/>
      <c r="X355" s="277"/>
      <c r="Y355" s="277"/>
      <c r="Z355" s="277"/>
      <c r="AA355" s="277"/>
      <c r="AB355" s="277"/>
      <c r="AC355" s="277"/>
      <c r="AD355" s="277"/>
      <c r="AE355" s="277"/>
      <c r="AF355" s="277"/>
    </row>
    <row r="356" ht="12.75" customHeight="1">
      <c r="A356" s="277"/>
      <c r="B356" s="278"/>
      <c r="C356" s="277"/>
      <c r="D356" s="278"/>
      <c r="E356" s="279"/>
      <c r="F356" s="277"/>
      <c r="G356" s="277"/>
      <c r="H356" s="277"/>
      <c r="I356" s="277"/>
      <c r="J356" s="277"/>
      <c r="K356" s="277"/>
      <c r="L356" s="277"/>
      <c r="M356" s="277"/>
      <c r="N356" s="277"/>
      <c r="O356" s="277"/>
      <c r="P356" s="277"/>
      <c r="Q356" s="277"/>
      <c r="R356" s="277"/>
      <c r="S356" s="277"/>
      <c r="T356" s="277"/>
      <c r="U356" s="277"/>
      <c r="V356" s="280"/>
      <c r="W356" s="277"/>
      <c r="X356" s="277"/>
      <c r="Y356" s="277"/>
      <c r="Z356" s="277"/>
      <c r="AA356" s="277"/>
      <c r="AB356" s="277"/>
      <c r="AC356" s="277"/>
      <c r="AD356" s="277"/>
      <c r="AE356" s="277"/>
      <c r="AF356" s="277"/>
    </row>
    <row r="357" ht="12.75" customHeight="1">
      <c r="A357" s="277"/>
      <c r="B357" s="278"/>
      <c r="C357" s="277"/>
      <c r="D357" s="278"/>
      <c r="E357" s="279"/>
      <c r="F357" s="277"/>
      <c r="G357" s="277"/>
      <c r="H357" s="277"/>
      <c r="I357" s="277"/>
      <c r="J357" s="277"/>
      <c r="K357" s="277"/>
      <c r="L357" s="277"/>
      <c r="M357" s="277"/>
      <c r="N357" s="277"/>
      <c r="O357" s="277"/>
      <c r="P357" s="277"/>
      <c r="Q357" s="277"/>
      <c r="R357" s="277"/>
      <c r="S357" s="277"/>
      <c r="T357" s="277"/>
      <c r="U357" s="277"/>
      <c r="V357" s="280"/>
      <c r="W357" s="277"/>
      <c r="X357" s="277"/>
      <c r="Y357" s="277"/>
      <c r="Z357" s="277"/>
      <c r="AA357" s="277"/>
      <c r="AB357" s="277"/>
      <c r="AC357" s="277"/>
      <c r="AD357" s="277"/>
      <c r="AE357" s="277"/>
      <c r="AF357" s="277"/>
    </row>
    <row r="358" ht="12.75" customHeight="1">
      <c r="A358" s="277"/>
      <c r="B358" s="278"/>
      <c r="C358" s="277"/>
      <c r="D358" s="278"/>
      <c r="E358" s="279"/>
      <c r="F358" s="277"/>
      <c r="G358" s="277"/>
      <c r="H358" s="277"/>
      <c r="I358" s="277"/>
      <c r="J358" s="277"/>
      <c r="K358" s="277"/>
      <c r="L358" s="277"/>
      <c r="M358" s="277"/>
      <c r="N358" s="277"/>
      <c r="O358" s="277"/>
      <c r="P358" s="277"/>
      <c r="Q358" s="277"/>
      <c r="R358" s="277"/>
      <c r="S358" s="277"/>
      <c r="T358" s="277"/>
      <c r="U358" s="277"/>
      <c r="V358" s="280"/>
      <c r="W358" s="277"/>
      <c r="X358" s="277"/>
      <c r="Y358" s="277"/>
      <c r="Z358" s="277"/>
      <c r="AA358" s="277"/>
      <c r="AB358" s="277"/>
      <c r="AC358" s="277"/>
      <c r="AD358" s="277"/>
      <c r="AE358" s="277"/>
      <c r="AF358" s="277"/>
    </row>
    <row r="359" ht="12.75" customHeight="1">
      <c r="A359" s="277"/>
      <c r="B359" s="278"/>
      <c r="C359" s="277"/>
      <c r="D359" s="278"/>
      <c r="E359" s="279"/>
      <c r="F359" s="277"/>
      <c r="G359" s="277"/>
      <c r="H359" s="277"/>
      <c r="I359" s="277"/>
      <c r="J359" s="277"/>
      <c r="K359" s="277"/>
      <c r="L359" s="277"/>
      <c r="M359" s="277"/>
      <c r="N359" s="277"/>
      <c r="O359" s="277"/>
      <c r="P359" s="277"/>
      <c r="Q359" s="277"/>
      <c r="R359" s="277"/>
      <c r="S359" s="277"/>
      <c r="T359" s="277"/>
      <c r="U359" s="277"/>
      <c r="V359" s="280"/>
      <c r="W359" s="277"/>
      <c r="X359" s="277"/>
      <c r="Y359" s="277"/>
      <c r="Z359" s="277"/>
      <c r="AA359" s="277"/>
      <c r="AB359" s="277"/>
      <c r="AC359" s="277"/>
      <c r="AD359" s="277"/>
      <c r="AE359" s="277"/>
      <c r="AF359" s="277"/>
    </row>
    <row r="360" ht="12.75" customHeight="1">
      <c r="A360" s="277"/>
      <c r="B360" s="278"/>
      <c r="C360" s="277"/>
      <c r="D360" s="278"/>
      <c r="E360" s="279"/>
      <c r="F360" s="277"/>
      <c r="G360" s="277"/>
      <c r="H360" s="277"/>
      <c r="I360" s="277"/>
      <c r="J360" s="277"/>
      <c r="K360" s="277"/>
      <c r="L360" s="277"/>
      <c r="M360" s="277"/>
      <c r="N360" s="277"/>
      <c r="O360" s="277"/>
      <c r="P360" s="277"/>
      <c r="Q360" s="277"/>
      <c r="R360" s="277"/>
      <c r="S360" s="277"/>
      <c r="T360" s="277"/>
      <c r="U360" s="277"/>
      <c r="V360" s="280"/>
      <c r="W360" s="277"/>
      <c r="X360" s="277"/>
      <c r="Y360" s="277"/>
      <c r="Z360" s="277"/>
      <c r="AA360" s="277"/>
      <c r="AB360" s="277"/>
      <c r="AC360" s="277"/>
      <c r="AD360" s="277"/>
      <c r="AE360" s="277"/>
      <c r="AF360" s="277"/>
    </row>
    <row r="361" ht="12.75" customHeight="1">
      <c r="A361" s="277"/>
      <c r="B361" s="278"/>
      <c r="C361" s="277"/>
      <c r="D361" s="278"/>
      <c r="E361" s="279"/>
      <c r="F361" s="277"/>
      <c r="G361" s="277"/>
      <c r="H361" s="277"/>
      <c r="I361" s="277"/>
      <c r="J361" s="277"/>
      <c r="K361" s="277"/>
      <c r="L361" s="277"/>
      <c r="M361" s="277"/>
      <c r="N361" s="277"/>
      <c r="O361" s="277"/>
      <c r="P361" s="277"/>
      <c r="Q361" s="277"/>
      <c r="R361" s="277"/>
      <c r="S361" s="277"/>
      <c r="T361" s="277"/>
      <c r="U361" s="277"/>
      <c r="V361" s="280"/>
      <c r="W361" s="277"/>
      <c r="X361" s="277"/>
      <c r="Y361" s="277"/>
      <c r="Z361" s="277"/>
      <c r="AA361" s="277"/>
      <c r="AB361" s="277"/>
      <c r="AC361" s="277"/>
      <c r="AD361" s="277"/>
      <c r="AE361" s="277"/>
      <c r="AF361" s="277"/>
    </row>
    <row r="362" ht="12.75" customHeight="1">
      <c r="A362" s="277"/>
      <c r="B362" s="278"/>
      <c r="C362" s="277"/>
      <c r="D362" s="278"/>
      <c r="E362" s="279"/>
      <c r="F362" s="277"/>
      <c r="G362" s="277"/>
      <c r="H362" s="277"/>
      <c r="I362" s="277"/>
      <c r="J362" s="277"/>
      <c r="K362" s="277"/>
      <c r="L362" s="277"/>
      <c r="M362" s="277"/>
      <c r="N362" s="277"/>
      <c r="O362" s="277"/>
      <c r="P362" s="277"/>
      <c r="Q362" s="277"/>
      <c r="R362" s="277"/>
      <c r="S362" s="277"/>
      <c r="T362" s="277"/>
      <c r="U362" s="277"/>
      <c r="V362" s="280"/>
      <c r="W362" s="277"/>
      <c r="X362" s="277"/>
      <c r="Y362" s="277"/>
      <c r="Z362" s="277"/>
      <c r="AA362" s="277"/>
      <c r="AB362" s="277"/>
      <c r="AC362" s="277"/>
      <c r="AD362" s="277"/>
      <c r="AE362" s="277"/>
      <c r="AF362" s="277"/>
    </row>
    <row r="363" ht="12.75" customHeight="1">
      <c r="A363" s="277"/>
      <c r="B363" s="278"/>
      <c r="C363" s="277"/>
      <c r="D363" s="278"/>
      <c r="E363" s="279"/>
      <c r="F363" s="277"/>
      <c r="G363" s="277"/>
      <c r="H363" s="277"/>
      <c r="I363" s="277"/>
      <c r="J363" s="277"/>
      <c r="K363" s="277"/>
      <c r="L363" s="277"/>
      <c r="M363" s="277"/>
      <c r="N363" s="277"/>
      <c r="O363" s="277"/>
      <c r="P363" s="277"/>
      <c r="Q363" s="277"/>
      <c r="R363" s="277"/>
      <c r="S363" s="277"/>
      <c r="T363" s="277"/>
      <c r="U363" s="277"/>
      <c r="V363" s="280"/>
      <c r="W363" s="277"/>
      <c r="X363" s="277"/>
      <c r="Y363" s="277"/>
      <c r="Z363" s="277"/>
      <c r="AA363" s="277"/>
      <c r="AB363" s="277"/>
      <c r="AC363" s="277"/>
      <c r="AD363" s="277"/>
      <c r="AE363" s="277"/>
      <c r="AF363" s="277"/>
    </row>
    <row r="364" ht="12.75" customHeight="1">
      <c r="A364" s="277"/>
      <c r="B364" s="278"/>
      <c r="C364" s="277"/>
      <c r="D364" s="278"/>
      <c r="E364" s="279"/>
      <c r="F364" s="277"/>
      <c r="G364" s="277"/>
      <c r="H364" s="277"/>
      <c r="I364" s="277"/>
      <c r="J364" s="277"/>
      <c r="K364" s="277"/>
      <c r="L364" s="277"/>
      <c r="M364" s="277"/>
      <c r="N364" s="277"/>
      <c r="O364" s="277"/>
      <c r="P364" s="277"/>
      <c r="Q364" s="277"/>
      <c r="R364" s="277"/>
      <c r="S364" s="277"/>
      <c r="T364" s="277"/>
      <c r="U364" s="277"/>
      <c r="V364" s="280"/>
      <c r="W364" s="277"/>
      <c r="X364" s="277"/>
      <c r="Y364" s="277"/>
      <c r="Z364" s="277"/>
      <c r="AA364" s="277"/>
      <c r="AB364" s="277"/>
      <c r="AC364" s="277"/>
      <c r="AD364" s="277"/>
      <c r="AE364" s="277"/>
      <c r="AF364" s="277"/>
    </row>
    <row r="365" ht="12.75" customHeight="1">
      <c r="A365" s="277"/>
      <c r="B365" s="278"/>
      <c r="C365" s="277"/>
      <c r="D365" s="278"/>
      <c r="E365" s="279"/>
      <c r="F365" s="277"/>
      <c r="G365" s="277"/>
      <c r="H365" s="277"/>
      <c r="I365" s="277"/>
      <c r="J365" s="277"/>
      <c r="K365" s="277"/>
      <c r="L365" s="277"/>
      <c r="M365" s="277"/>
      <c r="N365" s="277"/>
      <c r="O365" s="277"/>
      <c r="P365" s="277"/>
      <c r="Q365" s="277"/>
      <c r="R365" s="277"/>
      <c r="S365" s="277"/>
      <c r="T365" s="277"/>
      <c r="U365" s="277"/>
      <c r="V365" s="280"/>
      <c r="W365" s="277"/>
      <c r="X365" s="277"/>
      <c r="Y365" s="277"/>
      <c r="Z365" s="277"/>
      <c r="AA365" s="277"/>
      <c r="AB365" s="277"/>
      <c r="AC365" s="277"/>
      <c r="AD365" s="277"/>
      <c r="AE365" s="277"/>
      <c r="AF365" s="277"/>
    </row>
    <row r="366" ht="12.75" customHeight="1">
      <c r="A366" s="277"/>
      <c r="B366" s="278"/>
      <c r="C366" s="277"/>
      <c r="D366" s="278"/>
      <c r="E366" s="279"/>
      <c r="F366" s="277"/>
      <c r="G366" s="277"/>
      <c r="H366" s="277"/>
      <c r="I366" s="277"/>
      <c r="J366" s="277"/>
      <c r="K366" s="277"/>
      <c r="L366" s="277"/>
      <c r="M366" s="277"/>
      <c r="N366" s="277"/>
      <c r="O366" s="277"/>
      <c r="P366" s="277"/>
      <c r="Q366" s="277"/>
      <c r="R366" s="277"/>
      <c r="S366" s="277"/>
      <c r="T366" s="277"/>
      <c r="U366" s="277"/>
      <c r="V366" s="280"/>
      <c r="W366" s="277"/>
      <c r="X366" s="277"/>
      <c r="Y366" s="277"/>
      <c r="Z366" s="277"/>
      <c r="AA366" s="277"/>
      <c r="AB366" s="277"/>
      <c r="AC366" s="277"/>
      <c r="AD366" s="277"/>
      <c r="AE366" s="277"/>
      <c r="AF366" s="277"/>
    </row>
    <row r="367" ht="12.75" customHeight="1">
      <c r="A367" s="277"/>
      <c r="B367" s="278"/>
      <c r="C367" s="277"/>
      <c r="D367" s="278"/>
      <c r="E367" s="279"/>
      <c r="F367" s="277"/>
      <c r="G367" s="277"/>
      <c r="H367" s="277"/>
      <c r="I367" s="277"/>
      <c r="J367" s="277"/>
      <c r="K367" s="277"/>
      <c r="L367" s="277"/>
      <c r="M367" s="277"/>
      <c r="N367" s="277"/>
      <c r="O367" s="277"/>
      <c r="P367" s="277"/>
      <c r="Q367" s="277"/>
      <c r="R367" s="277"/>
      <c r="S367" s="277"/>
      <c r="T367" s="277"/>
      <c r="U367" s="277"/>
      <c r="V367" s="280"/>
      <c r="W367" s="277"/>
      <c r="X367" s="277"/>
      <c r="Y367" s="277"/>
      <c r="Z367" s="277"/>
      <c r="AA367" s="277"/>
      <c r="AB367" s="277"/>
      <c r="AC367" s="277"/>
      <c r="AD367" s="277"/>
      <c r="AE367" s="277"/>
      <c r="AF367" s="277"/>
    </row>
    <row r="368" ht="12.75" customHeight="1">
      <c r="A368" s="277"/>
      <c r="B368" s="278"/>
      <c r="C368" s="277"/>
      <c r="D368" s="278"/>
      <c r="E368" s="279"/>
      <c r="F368" s="277"/>
      <c r="G368" s="277"/>
      <c r="H368" s="277"/>
      <c r="I368" s="277"/>
      <c r="J368" s="277"/>
      <c r="K368" s="277"/>
      <c r="L368" s="277"/>
      <c r="M368" s="277"/>
      <c r="N368" s="277"/>
      <c r="O368" s="277"/>
      <c r="P368" s="277"/>
      <c r="Q368" s="277"/>
      <c r="R368" s="277"/>
      <c r="S368" s="277"/>
      <c r="T368" s="277"/>
      <c r="U368" s="277"/>
      <c r="V368" s="280"/>
      <c r="W368" s="277"/>
      <c r="X368" s="277"/>
      <c r="Y368" s="277"/>
      <c r="Z368" s="277"/>
      <c r="AA368" s="277"/>
      <c r="AB368" s="277"/>
      <c r="AC368" s="277"/>
      <c r="AD368" s="277"/>
      <c r="AE368" s="277"/>
      <c r="AF368" s="277"/>
    </row>
    <row r="369" ht="12.75" customHeight="1">
      <c r="A369" s="277"/>
      <c r="B369" s="278"/>
      <c r="C369" s="277"/>
      <c r="D369" s="278"/>
      <c r="E369" s="279"/>
      <c r="F369" s="277"/>
      <c r="G369" s="277"/>
      <c r="H369" s="277"/>
      <c r="I369" s="277"/>
      <c r="J369" s="277"/>
      <c r="K369" s="277"/>
      <c r="L369" s="277"/>
      <c r="M369" s="277"/>
      <c r="N369" s="277"/>
      <c r="O369" s="277"/>
      <c r="P369" s="277"/>
      <c r="Q369" s="277"/>
      <c r="R369" s="277"/>
      <c r="S369" s="277"/>
      <c r="T369" s="277"/>
      <c r="U369" s="277"/>
      <c r="V369" s="280"/>
      <c r="W369" s="277"/>
      <c r="X369" s="277"/>
      <c r="Y369" s="277"/>
      <c r="Z369" s="277"/>
      <c r="AA369" s="277"/>
      <c r="AB369" s="277"/>
      <c r="AC369" s="277"/>
      <c r="AD369" s="277"/>
      <c r="AE369" s="277"/>
      <c r="AF369" s="277"/>
    </row>
    <row r="370" ht="12.75" customHeight="1">
      <c r="A370" s="277"/>
      <c r="B370" s="278"/>
      <c r="C370" s="277"/>
      <c r="D370" s="278"/>
      <c r="E370" s="279"/>
      <c r="F370" s="277"/>
      <c r="G370" s="277"/>
      <c r="H370" s="277"/>
      <c r="I370" s="277"/>
      <c r="J370" s="277"/>
      <c r="K370" s="277"/>
      <c r="L370" s="277"/>
      <c r="M370" s="277"/>
      <c r="N370" s="277"/>
      <c r="O370" s="277"/>
      <c r="P370" s="277"/>
      <c r="Q370" s="277"/>
      <c r="R370" s="277"/>
      <c r="S370" s="277"/>
      <c r="T370" s="277"/>
      <c r="U370" s="277"/>
      <c r="V370" s="280"/>
      <c r="W370" s="277"/>
      <c r="X370" s="277"/>
      <c r="Y370" s="277"/>
      <c r="Z370" s="277"/>
      <c r="AA370" s="277"/>
      <c r="AB370" s="277"/>
      <c r="AC370" s="277"/>
      <c r="AD370" s="277"/>
      <c r="AE370" s="277"/>
      <c r="AF370" s="277"/>
    </row>
    <row r="371" ht="12.75" customHeight="1">
      <c r="A371" s="277"/>
      <c r="B371" s="278"/>
      <c r="C371" s="277"/>
      <c r="D371" s="278"/>
      <c r="E371" s="279"/>
      <c r="F371" s="277"/>
      <c r="G371" s="277"/>
      <c r="H371" s="277"/>
      <c r="I371" s="277"/>
      <c r="J371" s="277"/>
      <c r="K371" s="277"/>
      <c r="L371" s="277"/>
      <c r="M371" s="277"/>
      <c r="N371" s="277"/>
      <c r="O371" s="277"/>
      <c r="P371" s="277"/>
      <c r="Q371" s="277"/>
      <c r="R371" s="277"/>
      <c r="S371" s="277"/>
      <c r="T371" s="277"/>
      <c r="U371" s="277"/>
      <c r="V371" s="280"/>
      <c r="W371" s="277"/>
      <c r="X371" s="277"/>
      <c r="Y371" s="277"/>
      <c r="Z371" s="277"/>
      <c r="AA371" s="277"/>
      <c r="AB371" s="277"/>
      <c r="AC371" s="277"/>
      <c r="AD371" s="277"/>
      <c r="AE371" s="277"/>
      <c r="AF371" s="277"/>
    </row>
    <row r="372" ht="12.75" customHeight="1">
      <c r="A372" s="277"/>
      <c r="B372" s="278"/>
      <c r="C372" s="277"/>
      <c r="D372" s="278"/>
      <c r="E372" s="279"/>
      <c r="F372" s="277"/>
      <c r="G372" s="277"/>
      <c r="H372" s="277"/>
      <c r="I372" s="277"/>
      <c r="J372" s="277"/>
      <c r="K372" s="277"/>
      <c r="L372" s="277"/>
      <c r="M372" s="277"/>
      <c r="N372" s="277"/>
      <c r="O372" s="277"/>
      <c r="P372" s="277"/>
      <c r="Q372" s="277"/>
      <c r="R372" s="277"/>
      <c r="S372" s="277"/>
      <c r="T372" s="277"/>
      <c r="U372" s="277"/>
      <c r="V372" s="280"/>
      <c r="W372" s="277"/>
      <c r="X372" s="277"/>
      <c r="Y372" s="277"/>
      <c r="Z372" s="277"/>
      <c r="AA372" s="277"/>
      <c r="AB372" s="277"/>
      <c r="AC372" s="277"/>
      <c r="AD372" s="277"/>
      <c r="AE372" s="277"/>
      <c r="AF372" s="277"/>
    </row>
    <row r="373" ht="12.75" customHeight="1">
      <c r="A373" s="277"/>
      <c r="B373" s="278"/>
      <c r="C373" s="277"/>
      <c r="D373" s="278"/>
      <c r="E373" s="279"/>
      <c r="F373" s="277"/>
      <c r="G373" s="277"/>
      <c r="H373" s="277"/>
      <c r="I373" s="277"/>
      <c r="J373" s="277"/>
      <c r="K373" s="277"/>
      <c r="L373" s="277"/>
      <c r="M373" s="277"/>
      <c r="N373" s="277"/>
      <c r="O373" s="277"/>
      <c r="P373" s="277"/>
      <c r="Q373" s="277"/>
      <c r="R373" s="277"/>
      <c r="S373" s="277"/>
      <c r="T373" s="277"/>
      <c r="U373" s="277"/>
      <c r="V373" s="280"/>
      <c r="W373" s="277"/>
      <c r="X373" s="277"/>
      <c r="Y373" s="277"/>
      <c r="Z373" s="277"/>
      <c r="AA373" s="277"/>
      <c r="AB373" s="277"/>
      <c r="AC373" s="277"/>
      <c r="AD373" s="277"/>
      <c r="AE373" s="277"/>
      <c r="AF373" s="277"/>
    </row>
    <row r="374" ht="12.75" customHeight="1">
      <c r="A374" s="277"/>
      <c r="B374" s="278"/>
      <c r="C374" s="277"/>
      <c r="D374" s="278"/>
      <c r="E374" s="279"/>
      <c r="F374" s="277"/>
      <c r="G374" s="277"/>
      <c r="H374" s="277"/>
      <c r="I374" s="277"/>
      <c r="J374" s="277"/>
      <c r="K374" s="277"/>
      <c r="L374" s="277"/>
      <c r="M374" s="277"/>
      <c r="N374" s="277"/>
      <c r="O374" s="277"/>
      <c r="P374" s="277"/>
      <c r="Q374" s="277"/>
      <c r="R374" s="277"/>
      <c r="S374" s="277"/>
      <c r="T374" s="277"/>
      <c r="U374" s="277"/>
      <c r="V374" s="280"/>
      <c r="W374" s="277"/>
      <c r="X374" s="277"/>
      <c r="Y374" s="277"/>
      <c r="Z374" s="277"/>
      <c r="AA374" s="277"/>
      <c r="AB374" s="277"/>
      <c r="AC374" s="277"/>
      <c r="AD374" s="277"/>
      <c r="AE374" s="277"/>
      <c r="AF374" s="277"/>
    </row>
    <row r="375" ht="12.75" customHeight="1">
      <c r="A375" s="277"/>
      <c r="B375" s="278"/>
      <c r="C375" s="277"/>
      <c r="D375" s="278"/>
      <c r="E375" s="279"/>
      <c r="F375" s="277"/>
      <c r="G375" s="277"/>
      <c r="H375" s="277"/>
      <c r="I375" s="277"/>
      <c r="J375" s="277"/>
      <c r="K375" s="277"/>
      <c r="L375" s="277"/>
      <c r="M375" s="277"/>
      <c r="N375" s="277"/>
      <c r="O375" s="277"/>
      <c r="P375" s="277"/>
      <c r="Q375" s="277"/>
      <c r="R375" s="277"/>
      <c r="S375" s="277"/>
      <c r="T375" s="277"/>
      <c r="U375" s="277"/>
      <c r="V375" s="280"/>
      <c r="W375" s="277"/>
      <c r="X375" s="277"/>
      <c r="Y375" s="277"/>
      <c r="Z375" s="277"/>
      <c r="AA375" s="277"/>
      <c r="AB375" s="277"/>
      <c r="AC375" s="277"/>
      <c r="AD375" s="277"/>
      <c r="AE375" s="277"/>
      <c r="AF375" s="277"/>
    </row>
    <row r="376" ht="12.75" customHeight="1">
      <c r="A376" s="277"/>
      <c r="B376" s="278"/>
      <c r="C376" s="277"/>
      <c r="D376" s="278"/>
      <c r="E376" s="279"/>
      <c r="F376" s="277"/>
      <c r="G376" s="277"/>
      <c r="H376" s="277"/>
      <c r="I376" s="277"/>
      <c r="J376" s="277"/>
      <c r="K376" s="277"/>
      <c r="L376" s="277"/>
      <c r="M376" s="277"/>
      <c r="N376" s="277"/>
      <c r="O376" s="277"/>
      <c r="P376" s="277"/>
      <c r="Q376" s="277"/>
      <c r="R376" s="277"/>
      <c r="S376" s="277"/>
      <c r="T376" s="277"/>
      <c r="U376" s="277"/>
      <c r="V376" s="280"/>
      <c r="W376" s="277"/>
      <c r="X376" s="277"/>
      <c r="Y376" s="277"/>
      <c r="Z376" s="277"/>
      <c r="AA376" s="277"/>
      <c r="AB376" s="277"/>
      <c r="AC376" s="277"/>
      <c r="AD376" s="277"/>
      <c r="AE376" s="277"/>
      <c r="AF376" s="277"/>
    </row>
    <row r="377" ht="12.75" customHeight="1">
      <c r="A377" s="277"/>
      <c r="B377" s="278"/>
      <c r="C377" s="277"/>
      <c r="D377" s="278"/>
      <c r="E377" s="279"/>
      <c r="F377" s="277"/>
      <c r="G377" s="277"/>
      <c r="H377" s="277"/>
      <c r="I377" s="277"/>
      <c r="J377" s="277"/>
      <c r="K377" s="277"/>
      <c r="L377" s="277"/>
      <c r="M377" s="277"/>
      <c r="N377" s="277"/>
      <c r="O377" s="277"/>
      <c r="P377" s="277"/>
      <c r="Q377" s="277"/>
      <c r="R377" s="277"/>
      <c r="S377" s="277"/>
      <c r="T377" s="277"/>
      <c r="U377" s="277"/>
      <c r="V377" s="280"/>
      <c r="W377" s="277"/>
      <c r="X377" s="277"/>
      <c r="Y377" s="277"/>
      <c r="Z377" s="277"/>
      <c r="AA377" s="277"/>
      <c r="AB377" s="277"/>
      <c r="AC377" s="277"/>
      <c r="AD377" s="277"/>
      <c r="AE377" s="277"/>
      <c r="AF377" s="277"/>
    </row>
    <row r="378" ht="12.75" customHeight="1">
      <c r="A378" s="277"/>
      <c r="B378" s="278"/>
      <c r="C378" s="277"/>
      <c r="D378" s="278"/>
      <c r="E378" s="279"/>
      <c r="F378" s="277"/>
      <c r="G378" s="277"/>
      <c r="H378" s="277"/>
      <c r="I378" s="277"/>
      <c r="J378" s="277"/>
      <c r="K378" s="277"/>
      <c r="L378" s="277"/>
      <c r="M378" s="277"/>
      <c r="N378" s="277"/>
      <c r="O378" s="277"/>
      <c r="P378" s="277"/>
      <c r="Q378" s="277"/>
      <c r="R378" s="277"/>
      <c r="S378" s="277"/>
      <c r="T378" s="277"/>
      <c r="U378" s="277"/>
      <c r="V378" s="280"/>
      <c r="W378" s="277"/>
      <c r="X378" s="277"/>
      <c r="Y378" s="277"/>
      <c r="Z378" s="277"/>
      <c r="AA378" s="277"/>
      <c r="AB378" s="277"/>
      <c r="AC378" s="277"/>
      <c r="AD378" s="277"/>
      <c r="AE378" s="277"/>
      <c r="AF378" s="277"/>
    </row>
    <row r="379" ht="12.75" customHeight="1">
      <c r="A379" s="277"/>
      <c r="B379" s="278"/>
      <c r="C379" s="277"/>
      <c r="D379" s="278"/>
      <c r="E379" s="279"/>
      <c r="F379" s="277"/>
      <c r="G379" s="277"/>
      <c r="H379" s="277"/>
      <c r="I379" s="277"/>
      <c r="J379" s="277"/>
      <c r="K379" s="277"/>
      <c r="L379" s="277"/>
      <c r="M379" s="277"/>
      <c r="N379" s="277"/>
      <c r="O379" s="277"/>
      <c r="P379" s="277"/>
      <c r="Q379" s="277"/>
      <c r="R379" s="277"/>
      <c r="S379" s="277"/>
      <c r="T379" s="277"/>
      <c r="U379" s="277"/>
      <c r="V379" s="280"/>
      <c r="W379" s="277"/>
      <c r="X379" s="277"/>
      <c r="Y379" s="277"/>
      <c r="Z379" s="277"/>
      <c r="AA379" s="277"/>
      <c r="AB379" s="277"/>
      <c r="AC379" s="277"/>
      <c r="AD379" s="277"/>
      <c r="AE379" s="277"/>
      <c r="AF379" s="277"/>
    </row>
    <row r="380" ht="12.75" customHeight="1">
      <c r="A380" s="277"/>
      <c r="B380" s="278"/>
      <c r="C380" s="277"/>
      <c r="D380" s="278"/>
      <c r="E380" s="279"/>
      <c r="F380" s="277"/>
      <c r="G380" s="277"/>
      <c r="H380" s="277"/>
      <c r="I380" s="277"/>
      <c r="J380" s="277"/>
      <c r="K380" s="277"/>
      <c r="L380" s="277"/>
      <c r="M380" s="277"/>
      <c r="N380" s="277"/>
      <c r="O380" s="277"/>
      <c r="P380" s="277"/>
      <c r="Q380" s="277"/>
      <c r="R380" s="277"/>
      <c r="S380" s="277"/>
      <c r="T380" s="277"/>
      <c r="U380" s="277"/>
      <c r="V380" s="280"/>
      <c r="W380" s="277"/>
      <c r="X380" s="277"/>
      <c r="Y380" s="277"/>
      <c r="Z380" s="277"/>
      <c r="AA380" s="277"/>
      <c r="AB380" s="277"/>
      <c r="AC380" s="277"/>
      <c r="AD380" s="277"/>
      <c r="AE380" s="277"/>
      <c r="AF380" s="277"/>
    </row>
    <row r="381" ht="12.75" customHeight="1">
      <c r="A381" s="277"/>
      <c r="B381" s="278"/>
      <c r="C381" s="277"/>
      <c r="D381" s="278"/>
      <c r="E381" s="279"/>
      <c r="F381" s="277"/>
      <c r="G381" s="277"/>
      <c r="H381" s="277"/>
      <c r="I381" s="277"/>
      <c r="J381" s="277"/>
      <c r="K381" s="277"/>
      <c r="L381" s="277"/>
      <c r="M381" s="277"/>
      <c r="N381" s="277"/>
      <c r="O381" s="277"/>
      <c r="P381" s="277"/>
      <c r="Q381" s="277"/>
      <c r="R381" s="277"/>
      <c r="S381" s="277"/>
      <c r="T381" s="277"/>
      <c r="U381" s="277"/>
      <c r="V381" s="280"/>
      <c r="W381" s="277"/>
      <c r="X381" s="277"/>
      <c r="Y381" s="277"/>
      <c r="Z381" s="277"/>
      <c r="AA381" s="277"/>
      <c r="AB381" s="277"/>
      <c r="AC381" s="277"/>
      <c r="AD381" s="277"/>
      <c r="AE381" s="277"/>
      <c r="AF381" s="277"/>
    </row>
    <row r="382" ht="12.75" customHeight="1">
      <c r="A382" s="277"/>
      <c r="B382" s="278"/>
      <c r="C382" s="277"/>
      <c r="D382" s="278"/>
      <c r="E382" s="279"/>
      <c r="F382" s="277"/>
      <c r="G382" s="277"/>
      <c r="H382" s="277"/>
      <c r="I382" s="277"/>
      <c r="J382" s="277"/>
      <c r="K382" s="277"/>
      <c r="L382" s="277"/>
      <c r="M382" s="277"/>
      <c r="N382" s="277"/>
      <c r="O382" s="277"/>
      <c r="P382" s="277"/>
      <c r="Q382" s="277"/>
      <c r="R382" s="277"/>
      <c r="S382" s="277"/>
      <c r="T382" s="277"/>
      <c r="U382" s="277"/>
      <c r="V382" s="280"/>
      <c r="W382" s="277"/>
      <c r="X382" s="277"/>
      <c r="Y382" s="277"/>
      <c r="Z382" s="277"/>
      <c r="AA382" s="277"/>
      <c r="AB382" s="277"/>
      <c r="AC382" s="277"/>
      <c r="AD382" s="277"/>
      <c r="AE382" s="277"/>
      <c r="AF382" s="277"/>
    </row>
    <row r="383" ht="12.75" customHeight="1">
      <c r="A383" s="277"/>
      <c r="B383" s="278"/>
      <c r="C383" s="277"/>
      <c r="D383" s="278"/>
      <c r="E383" s="279"/>
      <c r="F383" s="277"/>
      <c r="G383" s="277"/>
      <c r="H383" s="277"/>
      <c r="I383" s="277"/>
      <c r="J383" s="277"/>
      <c r="K383" s="277"/>
      <c r="L383" s="277"/>
      <c r="M383" s="277"/>
      <c r="N383" s="277"/>
      <c r="O383" s="277"/>
      <c r="P383" s="277"/>
      <c r="Q383" s="277"/>
      <c r="R383" s="277"/>
      <c r="S383" s="277"/>
      <c r="T383" s="277"/>
      <c r="U383" s="277"/>
      <c r="V383" s="280"/>
      <c r="W383" s="277"/>
      <c r="X383" s="277"/>
      <c r="Y383" s="277"/>
      <c r="Z383" s="277"/>
      <c r="AA383" s="277"/>
      <c r="AB383" s="277"/>
      <c r="AC383" s="277"/>
      <c r="AD383" s="277"/>
      <c r="AE383" s="277"/>
      <c r="AF383" s="277"/>
    </row>
    <row r="384" ht="12.75" customHeight="1">
      <c r="A384" s="277"/>
      <c r="B384" s="278"/>
      <c r="C384" s="277"/>
      <c r="D384" s="278"/>
      <c r="E384" s="279"/>
      <c r="F384" s="277"/>
      <c r="G384" s="277"/>
      <c r="H384" s="277"/>
      <c r="I384" s="277"/>
      <c r="J384" s="277"/>
      <c r="K384" s="277"/>
      <c r="L384" s="277"/>
      <c r="M384" s="277"/>
      <c r="N384" s="277"/>
      <c r="O384" s="277"/>
      <c r="P384" s="277"/>
      <c r="Q384" s="277"/>
      <c r="R384" s="277"/>
      <c r="S384" s="277"/>
      <c r="T384" s="277"/>
      <c r="U384" s="277"/>
      <c r="V384" s="280"/>
      <c r="W384" s="277"/>
      <c r="X384" s="277"/>
      <c r="Y384" s="277"/>
      <c r="Z384" s="277"/>
      <c r="AA384" s="277"/>
      <c r="AB384" s="277"/>
      <c r="AC384" s="277"/>
      <c r="AD384" s="277"/>
      <c r="AE384" s="277"/>
      <c r="AF384" s="277"/>
    </row>
    <row r="385" ht="12.75" customHeight="1">
      <c r="A385" s="277"/>
      <c r="B385" s="278"/>
      <c r="C385" s="277"/>
      <c r="D385" s="278"/>
      <c r="E385" s="279"/>
      <c r="F385" s="277"/>
      <c r="G385" s="277"/>
      <c r="H385" s="277"/>
      <c r="I385" s="277"/>
      <c r="J385" s="277"/>
      <c r="K385" s="277"/>
      <c r="L385" s="277"/>
      <c r="M385" s="277"/>
      <c r="N385" s="277"/>
      <c r="O385" s="277"/>
      <c r="P385" s="277"/>
      <c r="Q385" s="277"/>
      <c r="R385" s="277"/>
      <c r="S385" s="277"/>
      <c r="T385" s="277"/>
      <c r="U385" s="277"/>
      <c r="V385" s="280"/>
      <c r="W385" s="277"/>
      <c r="X385" s="277"/>
      <c r="Y385" s="277"/>
      <c r="Z385" s="277"/>
      <c r="AA385" s="277"/>
      <c r="AB385" s="277"/>
      <c r="AC385" s="277"/>
      <c r="AD385" s="277"/>
      <c r="AE385" s="277"/>
      <c r="AF385" s="277"/>
    </row>
    <row r="386" ht="12.75" customHeight="1">
      <c r="A386" s="277"/>
      <c r="B386" s="278"/>
      <c r="C386" s="277"/>
      <c r="D386" s="278"/>
      <c r="E386" s="279"/>
      <c r="F386" s="277"/>
      <c r="G386" s="277"/>
      <c r="H386" s="277"/>
      <c r="I386" s="277"/>
      <c r="J386" s="277"/>
      <c r="K386" s="277"/>
      <c r="L386" s="277"/>
      <c r="M386" s="277"/>
      <c r="N386" s="277"/>
      <c r="O386" s="277"/>
      <c r="P386" s="277"/>
      <c r="Q386" s="277"/>
      <c r="R386" s="277"/>
      <c r="S386" s="277"/>
      <c r="T386" s="277"/>
      <c r="U386" s="277"/>
      <c r="V386" s="280"/>
      <c r="W386" s="277"/>
      <c r="X386" s="277"/>
      <c r="Y386" s="277"/>
      <c r="Z386" s="277"/>
      <c r="AA386" s="277"/>
      <c r="AB386" s="277"/>
      <c r="AC386" s="277"/>
      <c r="AD386" s="277"/>
      <c r="AE386" s="277"/>
      <c r="AF386" s="277"/>
    </row>
    <row r="387" ht="12.75" customHeight="1">
      <c r="A387" s="277"/>
      <c r="B387" s="278"/>
      <c r="C387" s="277"/>
      <c r="D387" s="278"/>
      <c r="E387" s="279"/>
      <c r="F387" s="277"/>
      <c r="G387" s="277"/>
      <c r="H387" s="277"/>
      <c r="I387" s="277"/>
      <c r="J387" s="277"/>
      <c r="K387" s="277"/>
      <c r="L387" s="277"/>
      <c r="M387" s="277"/>
      <c r="N387" s="277"/>
      <c r="O387" s="277"/>
      <c r="P387" s="277"/>
      <c r="Q387" s="277"/>
      <c r="R387" s="277"/>
      <c r="S387" s="277"/>
      <c r="T387" s="277"/>
      <c r="U387" s="277"/>
      <c r="V387" s="280"/>
      <c r="W387" s="277"/>
      <c r="X387" s="277"/>
      <c r="Y387" s="277"/>
      <c r="Z387" s="277"/>
      <c r="AA387" s="277"/>
      <c r="AB387" s="277"/>
      <c r="AC387" s="277"/>
      <c r="AD387" s="277"/>
      <c r="AE387" s="277"/>
      <c r="AF387" s="277"/>
    </row>
    <row r="388" ht="12.75" customHeight="1">
      <c r="A388" s="277"/>
      <c r="B388" s="278"/>
      <c r="C388" s="277"/>
      <c r="D388" s="278"/>
      <c r="E388" s="279"/>
      <c r="F388" s="277"/>
      <c r="G388" s="277"/>
      <c r="H388" s="277"/>
      <c r="I388" s="277"/>
      <c r="J388" s="277"/>
      <c r="K388" s="277"/>
      <c r="L388" s="277"/>
      <c r="M388" s="277"/>
      <c r="N388" s="277"/>
      <c r="O388" s="277"/>
      <c r="P388" s="277"/>
      <c r="Q388" s="277"/>
      <c r="R388" s="277"/>
      <c r="S388" s="277"/>
      <c r="T388" s="277"/>
      <c r="U388" s="277"/>
      <c r="V388" s="280"/>
      <c r="W388" s="277"/>
      <c r="X388" s="277"/>
      <c r="Y388" s="277"/>
      <c r="Z388" s="277"/>
      <c r="AA388" s="277"/>
      <c r="AB388" s="277"/>
      <c r="AC388" s="277"/>
      <c r="AD388" s="277"/>
      <c r="AE388" s="277"/>
      <c r="AF388" s="277"/>
    </row>
    <row r="389" ht="12.75" customHeight="1">
      <c r="A389" s="277"/>
      <c r="B389" s="278"/>
      <c r="C389" s="277"/>
      <c r="D389" s="278"/>
      <c r="E389" s="279"/>
      <c r="F389" s="277"/>
      <c r="G389" s="277"/>
      <c r="H389" s="277"/>
      <c r="I389" s="277"/>
      <c r="J389" s="277"/>
      <c r="K389" s="277"/>
      <c r="L389" s="277"/>
      <c r="M389" s="277"/>
      <c r="N389" s="277"/>
      <c r="O389" s="277"/>
      <c r="P389" s="277"/>
      <c r="Q389" s="277"/>
      <c r="R389" s="277"/>
      <c r="S389" s="277"/>
      <c r="T389" s="277"/>
      <c r="U389" s="277"/>
      <c r="V389" s="280"/>
      <c r="W389" s="277"/>
      <c r="X389" s="277"/>
      <c r="Y389" s="277"/>
      <c r="Z389" s="277"/>
      <c r="AA389" s="277"/>
      <c r="AB389" s="277"/>
      <c r="AC389" s="277"/>
      <c r="AD389" s="277"/>
      <c r="AE389" s="277"/>
      <c r="AF389" s="277"/>
    </row>
    <row r="390" ht="12.75" customHeight="1">
      <c r="A390" s="277"/>
      <c r="B390" s="278"/>
      <c r="C390" s="277"/>
      <c r="D390" s="278"/>
      <c r="E390" s="279"/>
      <c r="F390" s="277"/>
      <c r="G390" s="277"/>
      <c r="H390" s="277"/>
      <c r="I390" s="277"/>
      <c r="J390" s="277"/>
      <c r="K390" s="277"/>
      <c r="L390" s="277"/>
      <c r="M390" s="277"/>
      <c r="N390" s="277"/>
      <c r="O390" s="277"/>
      <c r="P390" s="277"/>
      <c r="Q390" s="277"/>
      <c r="R390" s="277"/>
      <c r="S390" s="277"/>
      <c r="T390" s="277"/>
      <c r="U390" s="277"/>
      <c r="V390" s="280"/>
      <c r="W390" s="277"/>
      <c r="X390" s="277"/>
      <c r="Y390" s="277"/>
      <c r="Z390" s="277"/>
      <c r="AA390" s="277"/>
      <c r="AB390" s="277"/>
      <c r="AC390" s="277"/>
      <c r="AD390" s="277"/>
      <c r="AE390" s="277"/>
      <c r="AF390" s="277"/>
    </row>
    <row r="391" ht="12.75" customHeight="1">
      <c r="A391" s="277"/>
      <c r="B391" s="278"/>
      <c r="C391" s="277"/>
      <c r="D391" s="278"/>
      <c r="E391" s="279"/>
      <c r="F391" s="277"/>
      <c r="G391" s="277"/>
      <c r="H391" s="277"/>
      <c r="I391" s="277"/>
      <c r="J391" s="277"/>
      <c r="K391" s="277"/>
      <c r="L391" s="277"/>
      <c r="M391" s="277"/>
      <c r="N391" s="277"/>
      <c r="O391" s="277"/>
      <c r="P391" s="277"/>
      <c r="Q391" s="277"/>
      <c r="R391" s="277"/>
      <c r="S391" s="277"/>
      <c r="T391" s="277"/>
      <c r="U391" s="277"/>
      <c r="V391" s="280"/>
      <c r="W391" s="277"/>
      <c r="X391" s="277"/>
      <c r="Y391" s="277"/>
      <c r="Z391" s="277"/>
      <c r="AA391" s="277"/>
      <c r="AB391" s="277"/>
      <c r="AC391" s="277"/>
      <c r="AD391" s="277"/>
      <c r="AE391" s="277"/>
      <c r="AF391" s="277"/>
    </row>
    <row r="392" ht="12.75" customHeight="1">
      <c r="A392" s="277"/>
      <c r="B392" s="278"/>
      <c r="C392" s="277"/>
      <c r="D392" s="278"/>
      <c r="E392" s="279"/>
      <c r="F392" s="277"/>
      <c r="G392" s="277"/>
      <c r="H392" s="277"/>
      <c r="I392" s="277"/>
      <c r="J392" s="277"/>
      <c r="K392" s="277"/>
      <c r="L392" s="277"/>
      <c r="M392" s="277"/>
      <c r="N392" s="277"/>
      <c r="O392" s="277"/>
      <c r="P392" s="277"/>
      <c r="Q392" s="277"/>
      <c r="R392" s="277"/>
      <c r="S392" s="277"/>
      <c r="T392" s="277"/>
      <c r="U392" s="277"/>
      <c r="V392" s="280"/>
      <c r="W392" s="277"/>
      <c r="X392" s="277"/>
      <c r="Y392" s="277"/>
      <c r="Z392" s="277"/>
      <c r="AA392" s="277"/>
      <c r="AB392" s="277"/>
      <c r="AC392" s="277"/>
      <c r="AD392" s="277"/>
      <c r="AE392" s="277"/>
      <c r="AF392" s="277"/>
    </row>
    <row r="393" ht="12.75" customHeight="1">
      <c r="A393" s="277"/>
      <c r="B393" s="278"/>
      <c r="C393" s="277"/>
      <c r="D393" s="278"/>
      <c r="E393" s="279"/>
      <c r="F393" s="277"/>
      <c r="G393" s="277"/>
      <c r="H393" s="277"/>
      <c r="I393" s="277"/>
      <c r="J393" s="277"/>
      <c r="K393" s="277"/>
      <c r="L393" s="277"/>
      <c r="M393" s="277"/>
      <c r="N393" s="277"/>
      <c r="O393" s="277"/>
      <c r="P393" s="277"/>
      <c r="Q393" s="277"/>
      <c r="R393" s="277"/>
      <c r="S393" s="277"/>
      <c r="T393" s="277"/>
      <c r="U393" s="277"/>
      <c r="V393" s="280"/>
      <c r="W393" s="277"/>
      <c r="X393" s="277"/>
      <c r="Y393" s="277"/>
      <c r="Z393" s="277"/>
      <c r="AA393" s="277"/>
      <c r="AB393" s="277"/>
      <c r="AC393" s="277"/>
      <c r="AD393" s="277"/>
      <c r="AE393" s="277"/>
      <c r="AF393" s="277"/>
    </row>
    <row r="394" ht="12.75" customHeight="1">
      <c r="A394" s="277"/>
      <c r="B394" s="278"/>
      <c r="C394" s="277"/>
      <c r="D394" s="278"/>
      <c r="E394" s="279"/>
      <c r="F394" s="277"/>
      <c r="G394" s="277"/>
      <c r="H394" s="277"/>
      <c r="I394" s="277"/>
      <c r="J394" s="277"/>
      <c r="K394" s="277"/>
      <c r="L394" s="277"/>
      <c r="M394" s="277"/>
      <c r="N394" s="277"/>
      <c r="O394" s="277"/>
      <c r="P394" s="277"/>
      <c r="Q394" s="277"/>
      <c r="R394" s="277"/>
      <c r="S394" s="277"/>
      <c r="T394" s="277"/>
      <c r="U394" s="277"/>
      <c r="V394" s="280"/>
      <c r="W394" s="277"/>
      <c r="X394" s="277"/>
      <c r="Y394" s="277"/>
      <c r="Z394" s="277"/>
      <c r="AA394" s="277"/>
      <c r="AB394" s="277"/>
      <c r="AC394" s="277"/>
      <c r="AD394" s="277"/>
      <c r="AE394" s="277"/>
      <c r="AF394" s="277"/>
    </row>
    <row r="395" ht="12.75" customHeight="1">
      <c r="A395" s="277"/>
      <c r="B395" s="278"/>
      <c r="C395" s="277"/>
      <c r="D395" s="278"/>
      <c r="E395" s="279"/>
      <c r="F395" s="277"/>
      <c r="G395" s="277"/>
      <c r="H395" s="277"/>
      <c r="I395" s="277"/>
      <c r="J395" s="277"/>
      <c r="K395" s="277"/>
      <c r="L395" s="277"/>
      <c r="M395" s="277"/>
      <c r="N395" s="277"/>
      <c r="O395" s="277"/>
      <c r="P395" s="277"/>
      <c r="Q395" s="277"/>
      <c r="R395" s="277"/>
      <c r="S395" s="277"/>
      <c r="T395" s="277"/>
      <c r="U395" s="277"/>
      <c r="V395" s="280"/>
      <c r="W395" s="277"/>
      <c r="X395" s="277"/>
      <c r="Y395" s="277"/>
      <c r="Z395" s="277"/>
      <c r="AA395" s="277"/>
      <c r="AB395" s="277"/>
      <c r="AC395" s="277"/>
      <c r="AD395" s="277"/>
      <c r="AE395" s="277"/>
      <c r="AF395" s="277"/>
    </row>
    <row r="396" ht="12.75" customHeight="1">
      <c r="A396" s="277"/>
      <c r="B396" s="278"/>
      <c r="C396" s="277"/>
      <c r="D396" s="278"/>
      <c r="E396" s="279"/>
      <c r="F396" s="277"/>
      <c r="G396" s="277"/>
      <c r="H396" s="277"/>
      <c r="I396" s="277"/>
      <c r="J396" s="277"/>
      <c r="K396" s="277"/>
      <c r="L396" s="277"/>
      <c r="M396" s="277"/>
      <c r="N396" s="277"/>
      <c r="O396" s="277"/>
      <c r="P396" s="277"/>
      <c r="Q396" s="277"/>
      <c r="R396" s="277"/>
      <c r="S396" s="277"/>
      <c r="T396" s="277"/>
      <c r="U396" s="277"/>
      <c r="V396" s="280"/>
      <c r="W396" s="277"/>
      <c r="X396" s="277"/>
      <c r="Y396" s="277"/>
      <c r="Z396" s="277"/>
      <c r="AA396" s="277"/>
      <c r="AB396" s="277"/>
      <c r="AC396" s="277"/>
      <c r="AD396" s="277"/>
      <c r="AE396" s="277"/>
      <c r="AF396" s="277"/>
    </row>
    <row r="397" ht="12.75" customHeight="1">
      <c r="A397" s="277"/>
      <c r="B397" s="278"/>
      <c r="C397" s="277"/>
      <c r="D397" s="278"/>
      <c r="E397" s="279"/>
      <c r="F397" s="277"/>
      <c r="G397" s="277"/>
      <c r="H397" s="277"/>
      <c r="I397" s="277"/>
      <c r="J397" s="277"/>
      <c r="K397" s="277"/>
      <c r="L397" s="277"/>
      <c r="M397" s="277"/>
      <c r="N397" s="277"/>
      <c r="O397" s="277"/>
      <c r="P397" s="277"/>
      <c r="Q397" s="277"/>
      <c r="R397" s="277"/>
      <c r="S397" s="277"/>
      <c r="T397" s="277"/>
      <c r="U397" s="277"/>
      <c r="V397" s="280"/>
      <c r="W397" s="277"/>
      <c r="X397" s="277"/>
      <c r="Y397" s="277"/>
      <c r="Z397" s="277"/>
      <c r="AA397" s="277"/>
      <c r="AB397" s="277"/>
      <c r="AC397" s="277"/>
      <c r="AD397" s="277"/>
      <c r="AE397" s="277"/>
      <c r="AF397" s="277"/>
    </row>
    <row r="398" ht="12.75" customHeight="1">
      <c r="A398" s="277"/>
      <c r="B398" s="278"/>
      <c r="C398" s="277"/>
      <c r="D398" s="278"/>
      <c r="E398" s="279"/>
      <c r="F398" s="277"/>
      <c r="G398" s="277"/>
      <c r="H398" s="277"/>
      <c r="I398" s="277"/>
      <c r="J398" s="277"/>
      <c r="K398" s="277"/>
      <c r="L398" s="277"/>
      <c r="M398" s="277"/>
      <c r="N398" s="277"/>
      <c r="O398" s="277"/>
      <c r="P398" s="277"/>
      <c r="Q398" s="277"/>
      <c r="R398" s="277"/>
      <c r="S398" s="277"/>
      <c r="T398" s="277"/>
      <c r="U398" s="277"/>
      <c r="V398" s="280"/>
      <c r="W398" s="277"/>
      <c r="X398" s="277"/>
      <c r="Y398" s="277"/>
      <c r="Z398" s="277"/>
      <c r="AA398" s="277"/>
      <c r="AB398" s="277"/>
      <c r="AC398" s="277"/>
      <c r="AD398" s="277"/>
      <c r="AE398" s="277"/>
      <c r="AF398" s="277"/>
    </row>
    <row r="399" ht="12.75" customHeight="1">
      <c r="A399" s="277"/>
      <c r="B399" s="278"/>
      <c r="C399" s="277"/>
      <c r="D399" s="278"/>
      <c r="E399" s="279"/>
      <c r="F399" s="277"/>
      <c r="G399" s="277"/>
      <c r="H399" s="277"/>
      <c r="I399" s="277"/>
      <c r="J399" s="277"/>
      <c r="K399" s="277"/>
      <c r="L399" s="277"/>
      <c r="M399" s="277"/>
      <c r="N399" s="277"/>
      <c r="O399" s="277"/>
      <c r="P399" s="277"/>
      <c r="Q399" s="277"/>
      <c r="R399" s="277"/>
      <c r="S399" s="277"/>
      <c r="T399" s="277"/>
      <c r="U399" s="277"/>
      <c r="V399" s="280"/>
      <c r="W399" s="277"/>
      <c r="X399" s="277"/>
      <c r="Y399" s="277"/>
      <c r="Z399" s="277"/>
      <c r="AA399" s="277"/>
      <c r="AB399" s="277"/>
      <c r="AC399" s="277"/>
      <c r="AD399" s="277"/>
      <c r="AE399" s="277"/>
      <c r="AF399" s="277"/>
    </row>
    <row r="400" ht="12.75" customHeight="1">
      <c r="A400" s="277"/>
      <c r="B400" s="278"/>
      <c r="C400" s="277"/>
      <c r="D400" s="278"/>
      <c r="E400" s="279"/>
      <c r="F400" s="277"/>
      <c r="G400" s="277"/>
      <c r="H400" s="277"/>
      <c r="I400" s="277"/>
      <c r="J400" s="277"/>
      <c r="K400" s="277"/>
      <c r="L400" s="277"/>
      <c r="M400" s="277"/>
      <c r="N400" s="277"/>
      <c r="O400" s="277"/>
      <c r="P400" s="277"/>
      <c r="Q400" s="277"/>
      <c r="R400" s="277"/>
      <c r="S400" s="277"/>
      <c r="T400" s="277"/>
      <c r="U400" s="277"/>
      <c r="V400" s="280"/>
      <c r="W400" s="277"/>
      <c r="X400" s="277"/>
      <c r="Y400" s="277"/>
      <c r="Z400" s="277"/>
      <c r="AA400" s="277"/>
      <c r="AB400" s="277"/>
      <c r="AC400" s="277"/>
      <c r="AD400" s="277"/>
      <c r="AE400" s="277"/>
      <c r="AF400" s="277"/>
    </row>
    <row r="401" ht="12.75" customHeight="1">
      <c r="A401" s="277"/>
      <c r="B401" s="278"/>
      <c r="C401" s="277"/>
      <c r="D401" s="278"/>
      <c r="E401" s="279"/>
      <c r="F401" s="277"/>
      <c r="G401" s="277"/>
      <c r="H401" s="277"/>
      <c r="I401" s="277"/>
      <c r="J401" s="277"/>
      <c r="K401" s="277"/>
      <c r="L401" s="277"/>
      <c r="M401" s="277"/>
      <c r="N401" s="277"/>
      <c r="O401" s="277"/>
      <c r="P401" s="277"/>
      <c r="Q401" s="277"/>
      <c r="R401" s="277"/>
      <c r="S401" s="277"/>
      <c r="T401" s="277"/>
      <c r="U401" s="277"/>
      <c r="V401" s="280"/>
      <c r="W401" s="277"/>
      <c r="X401" s="277"/>
      <c r="Y401" s="277"/>
      <c r="Z401" s="277"/>
      <c r="AA401" s="277"/>
      <c r="AB401" s="277"/>
      <c r="AC401" s="277"/>
      <c r="AD401" s="277"/>
      <c r="AE401" s="277"/>
      <c r="AF401" s="277"/>
    </row>
    <row r="402" ht="12.75" customHeight="1">
      <c r="A402" s="277"/>
      <c r="B402" s="278"/>
      <c r="C402" s="277"/>
      <c r="D402" s="278"/>
      <c r="E402" s="279"/>
      <c r="F402" s="277"/>
      <c r="G402" s="277"/>
      <c r="H402" s="277"/>
      <c r="I402" s="277"/>
      <c r="J402" s="277"/>
      <c r="K402" s="277"/>
      <c r="L402" s="277"/>
      <c r="M402" s="277"/>
      <c r="N402" s="277"/>
      <c r="O402" s="277"/>
      <c r="P402" s="277"/>
      <c r="Q402" s="277"/>
      <c r="R402" s="277"/>
      <c r="S402" s="277"/>
      <c r="T402" s="277"/>
      <c r="U402" s="277"/>
      <c r="V402" s="280"/>
      <c r="W402" s="277"/>
      <c r="X402" s="277"/>
      <c r="Y402" s="277"/>
      <c r="Z402" s="277"/>
      <c r="AA402" s="277"/>
      <c r="AB402" s="277"/>
      <c r="AC402" s="277"/>
      <c r="AD402" s="277"/>
      <c r="AE402" s="277"/>
      <c r="AF402" s="277"/>
    </row>
    <row r="403" ht="12.75" customHeight="1">
      <c r="A403" s="277"/>
      <c r="B403" s="278"/>
      <c r="C403" s="277"/>
      <c r="D403" s="278"/>
      <c r="E403" s="279"/>
      <c r="F403" s="277"/>
      <c r="G403" s="277"/>
      <c r="H403" s="277"/>
      <c r="I403" s="277"/>
      <c r="J403" s="277"/>
      <c r="K403" s="277"/>
      <c r="L403" s="277"/>
      <c r="M403" s="277"/>
      <c r="N403" s="277"/>
      <c r="O403" s="277"/>
      <c r="P403" s="277"/>
      <c r="Q403" s="277"/>
      <c r="R403" s="277"/>
      <c r="S403" s="277"/>
      <c r="T403" s="277"/>
      <c r="U403" s="277"/>
      <c r="V403" s="280"/>
      <c r="W403" s="277"/>
      <c r="X403" s="277"/>
      <c r="Y403" s="277"/>
      <c r="Z403" s="277"/>
      <c r="AA403" s="277"/>
      <c r="AB403" s="277"/>
      <c r="AC403" s="277"/>
      <c r="AD403" s="277"/>
      <c r="AE403" s="277"/>
      <c r="AF403" s="277"/>
    </row>
    <row r="404" ht="12.75" customHeight="1">
      <c r="A404" s="277"/>
      <c r="B404" s="278"/>
      <c r="C404" s="277"/>
      <c r="D404" s="278"/>
      <c r="E404" s="279"/>
      <c r="F404" s="277"/>
      <c r="G404" s="277"/>
      <c r="H404" s="277"/>
      <c r="I404" s="277"/>
      <c r="J404" s="277"/>
      <c r="K404" s="277"/>
      <c r="L404" s="277"/>
      <c r="M404" s="277"/>
      <c r="N404" s="277"/>
      <c r="O404" s="277"/>
      <c r="P404" s="277"/>
      <c r="Q404" s="277"/>
      <c r="R404" s="277"/>
      <c r="S404" s="277"/>
      <c r="T404" s="277"/>
      <c r="U404" s="277"/>
      <c r="V404" s="280"/>
      <c r="W404" s="277"/>
      <c r="X404" s="277"/>
      <c r="Y404" s="277"/>
      <c r="Z404" s="277"/>
      <c r="AA404" s="277"/>
      <c r="AB404" s="277"/>
      <c r="AC404" s="277"/>
      <c r="AD404" s="277"/>
      <c r="AE404" s="277"/>
      <c r="AF404" s="277"/>
    </row>
    <row r="405" ht="12.75" customHeight="1">
      <c r="A405" s="277"/>
      <c r="B405" s="278"/>
      <c r="C405" s="277"/>
      <c r="D405" s="278"/>
      <c r="E405" s="279"/>
      <c r="F405" s="277"/>
      <c r="G405" s="277"/>
      <c r="H405" s="277"/>
      <c r="I405" s="277"/>
      <c r="J405" s="277"/>
      <c r="K405" s="277"/>
      <c r="L405" s="277"/>
      <c r="M405" s="277"/>
      <c r="N405" s="277"/>
      <c r="O405" s="277"/>
      <c r="P405" s="277"/>
      <c r="Q405" s="277"/>
      <c r="R405" s="277"/>
      <c r="S405" s="277"/>
      <c r="T405" s="277"/>
      <c r="U405" s="277"/>
      <c r="V405" s="280"/>
      <c r="W405" s="277"/>
      <c r="X405" s="277"/>
      <c r="Y405" s="277"/>
      <c r="Z405" s="277"/>
      <c r="AA405" s="277"/>
      <c r="AB405" s="277"/>
      <c r="AC405" s="277"/>
      <c r="AD405" s="277"/>
      <c r="AE405" s="277"/>
      <c r="AF405" s="277"/>
    </row>
    <row r="406" ht="12.75" customHeight="1">
      <c r="A406" s="277"/>
      <c r="B406" s="278"/>
      <c r="C406" s="277"/>
      <c r="D406" s="278"/>
      <c r="E406" s="279"/>
      <c r="F406" s="277"/>
      <c r="G406" s="277"/>
      <c r="H406" s="277"/>
      <c r="I406" s="277"/>
      <c r="J406" s="277"/>
      <c r="K406" s="277"/>
      <c r="L406" s="277"/>
      <c r="M406" s="277"/>
      <c r="N406" s="277"/>
      <c r="O406" s="277"/>
      <c r="P406" s="277"/>
      <c r="Q406" s="277"/>
      <c r="R406" s="277"/>
      <c r="S406" s="277"/>
      <c r="T406" s="277"/>
      <c r="U406" s="277"/>
      <c r="V406" s="280"/>
      <c r="W406" s="277"/>
      <c r="X406" s="277"/>
      <c r="Y406" s="277"/>
      <c r="Z406" s="277"/>
      <c r="AA406" s="277"/>
      <c r="AB406" s="277"/>
      <c r="AC406" s="277"/>
      <c r="AD406" s="277"/>
      <c r="AE406" s="277"/>
      <c r="AF406" s="277"/>
    </row>
    <row r="407" ht="12.75" customHeight="1">
      <c r="A407" s="277"/>
      <c r="B407" s="278"/>
      <c r="C407" s="277"/>
      <c r="D407" s="278"/>
      <c r="E407" s="279"/>
      <c r="F407" s="277"/>
      <c r="G407" s="277"/>
      <c r="H407" s="277"/>
      <c r="I407" s="277"/>
      <c r="J407" s="277"/>
      <c r="K407" s="277"/>
      <c r="L407" s="277"/>
      <c r="M407" s="277"/>
      <c r="N407" s="277"/>
      <c r="O407" s="277"/>
      <c r="P407" s="277"/>
      <c r="Q407" s="277"/>
      <c r="R407" s="277"/>
      <c r="S407" s="277"/>
      <c r="T407" s="277"/>
      <c r="U407" s="277"/>
      <c r="V407" s="280"/>
      <c r="W407" s="277"/>
      <c r="X407" s="277"/>
      <c r="Y407" s="277"/>
      <c r="Z407" s="277"/>
      <c r="AA407" s="277"/>
      <c r="AB407" s="277"/>
      <c r="AC407" s="277"/>
      <c r="AD407" s="277"/>
      <c r="AE407" s="277"/>
      <c r="AF407" s="277"/>
    </row>
    <row r="408" ht="12.75" customHeight="1">
      <c r="A408" s="277"/>
      <c r="B408" s="278"/>
      <c r="C408" s="277"/>
      <c r="D408" s="278"/>
      <c r="E408" s="279"/>
      <c r="F408" s="277"/>
      <c r="G408" s="277"/>
      <c r="H408" s="277"/>
      <c r="I408" s="277"/>
      <c r="J408" s="277"/>
      <c r="K408" s="277"/>
      <c r="L408" s="277"/>
      <c r="M408" s="277"/>
      <c r="N408" s="277"/>
      <c r="O408" s="277"/>
      <c r="P408" s="277"/>
      <c r="Q408" s="277"/>
      <c r="R408" s="277"/>
      <c r="S408" s="277"/>
      <c r="T408" s="277"/>
      <c r="U408" s="277"/>
      <c r="V408" s="280"/>
      <c r="W408" s="277"/>
      <c r="X408" s="277"/>
      <c r="Y408" s="277"/>
      <c r="Z408" s="277"/>
      <c r="AA408" s="277"/>
      <c r="AB408" s="277"/>
      <c r="AC408" s="277"/>
      <c r="AD408" s="277"/>
      <c r="AE408" s="277"/>
      <c r="AF408" s="277"/>
    </row>
    <row r="409" ht="12.75" customHeight="1">
      <c r="A409" s="277"/>
      <c r="B409" s="278"/>
      <c r="C409" s="277"/>
      <c r="D409" s="278"/>
      <c r="E409" s="279"/>
      <c r="F409" s="277"/>
      <c r="G409" s="277"/>
      <c r="H409" s="277"/>
      <c r="I409" s="277"/>
      <c r="J409" s="277"/>
      <c r="K409" s="277"/>
      <c r="L409" s="277"/>
      <c r="M409" s="277"/>
      <c r="N409" s="277"/>
      <c r="O409" s="277"/>
      <c r="P409" s="277"/>
      <c r="Q409" s="277"/>
      <c r="R409" s="277"/>
      <c r="S409" s="277"/>
      <c r="T409" s="277"/>
      <c r="U409" s="277"/>
      <c r="V409" s="280"/>
      <c r="W409" s="277"/>
      <c r="X409" s="277"/>
      <c r="Y409" s="277"/>
      <c r="Z409" s="277"/>
      <c r="AA409" s="277"/>
      <c r="AB409" s="277"/>
      <c r="AC409" s="277"/>
      <c r="AD409" s="277"/>
      <c r="AE409" s="277"/>
      <c r="AF409" s="277"/>
    </row>
    <row r="410" ht="12.75" customHeight="1">
      <c r="A410" s="277"/>
      <c r="B410" s="278"/>
      <c r="C410" s="277"/>
      <c r="D410" s="278"/>
      <c r="E410" s="279"/>
      <c r="F410" s="277"/>
      <c r="G410" s="277"/>
      <c r="H410" s="277"/>
      <c r="I410" s="277"/>
      <c r="J410" s="277"/>
      <c r="K410" s="277"/>
      <c r="L410" s="277"/>
      <c r="M410" s="277"/>
      <c r="N410" s="277"/>
      <c r="O410" s="277"/>
      <c r="P410" s="277"/>
      <c r="Q410" s="277"/>
      <c r="R410" s="277"/>
      <c r="S410" s="277"/>
      <c r="T410" s="277"/>
      <c r="U410" s="277"/>
      <c r="V410" s="280"/>
      <c r="W410" s="277"/>
      <c r="X410" s="277"/>
      <c r="Y410" s="277"/>
      <c r="Z410" s="277"/>
      <c r="AA410" s="277"/>
      <c r="AB410" s="277"/>
      <c r="AC410" s="277"/>
      <c r="AD410" s="277"/>
      <c r="AE410" s="277"/>
      <c r="AF410" s="277"/>
    </row>
    <row r="411" ht="12.75" customHeight="1">
      <c r="A411" s="277"/>
      <c r="B411" s="278"/>
      <c r="C411" s="277"/>
      <c r="D411" s="278"/>
      <c r="E411" s="279"/>
      <c r="F411" s="277"/>
      <c r="G411" s="277"/>
      <c r="H411" s="277"/>
      <c r="I411" s="277"/>
      <c r="J411" s="277"/>
      <c r="K411" s="277"/>
      <c r="L411" s="277"/>
      <c r="M411" s="277"/>
      <c r="N411" s="277"/>
      <c r="O411" s="277"/>
      <c r="P411" s="277"/>
      <c r="Q411" s="277"/>
      <c r="R411" s="277"/>
      <c r="S411" s="277"/>
      <c r="T411" s="277"/>
      <c r="U411" s="277"/>
      <c r="V411" s="280"/>
      <c r="W411" s="277"/>
      <c r="X411" s="277"/>
      <c r="Y411" s="277"/>
      <c r="Z411" s="277"/>
      <c r="AA411" s="277"/>
      <c r="AB411" s="277"/>
      <c r="AC411" s="277"/>
      <c r="AD411" s="277"/>
      <c r="AE411" s="277"/>
      <c r="AF411" s="277"/>
    </row>
    <row r="412" ht="12.75" customHeight="1">
      <c r="A412" s="277"/>
      <c r="B412" s="278"/>
      <c r="C412" s="277"/>
      <c r="D412" s="278"/>
      <c r="E412" s="279"/>
      <c r="F412" s="277"/>
      <c r="G412" s="277"/>
      <c r="H412" s="277"/>
      <c r="I412" s="277"/>
      <c r="J412" s="277"/>
      <c r="K412" s="277"/>
      <c r="L412" s="277"/>
      <c r="M412" s="277"/>
      <c r="N412" s="277"/>
      <c r="O412" s="277"/>
      <c r="P412" s="277"/>
      <c r="Q412" s="277"/>
      <c r="R412" s="277"/>
      <c r="S412" s="277"/>
      <c r="T412" s="277"/>
      <c r="U412" s="277"/>
      <c r="V412" s="280"/>
      <c r="W412" s="277"/>
      <c r="X412" s="277"/>
      <c r="Y412" s="277"/>
      <c r="Z412" s="277"/>
      <c r="AA412" s="277"/>
      <c r="AB412" s="277"/>
      <c r="AC412" s="277"/>
      <c r="AD412" s="277"/>
      <c r="AE412" s="277"/>
      <c r="AF412" s="277"/>
    </row>
    <row r="413" ht="12.75" customHeight="1">
      <c r="A413" s="277"/>
      <c r="B413" s="278"/>
      <c r="C413" s="277"/>
      <c r="D413" s="278"/>
      <c r="E413" s="279"/>
      <c r="F413" s="277"/>
      <c r="G413" s="277"/>
      <c r="H413" s="277"/>
      <c r="I413" s="277"/>
      <c r="J413" s="277"/>
      <c r="K413" s="277"/>
      <c r="L413" s="277"/>
      <c r="M413" s="277"/>
      <c r="N413" s="277"/>
      <c r="O413" s="277"/>
      <c r="P413" s="277"/>
      <c r="Q413" s="277"/>
      <c r="R413" s="277"/>
      <c r="S413" s="277"/>
      <c r="T413" s="277"/>
      <c r="U413" s="277"/>
      <c r="V413" s="280"/>
      <c r="W413" s="277"/>
      <c r="X413" s="277"/>
      <c r="Y413" s="277"/>
      <c r="Z413" s="277"/>
      <c r="AA413" s="277"/>
      <c r="AB413" s="277"/>
      <c r="AC413" s="277"/>
      <c r="AD413" s="277"/>
      <c r="AE413" s="277"/>
      <c r="AF413" s="277"/>
    </row>
    <row r="414" ht="12.75" customHeight="1">
      <c r="A414" s="277"/>
      <c r="B414" s="278"/>
      <c r="C414" s="277"/>
      <c r="D414" s="278"/>
      <c r="E414" s="279"/>
      <c r="F414" s="277"/>
      <c r="G414" s="277"/>
      <c r="H414" s="277"/>
      <c r="I414" s="277"/>
      <c r="J414" s="277"/>
      <c r="K414" s="277"/>
      <c r="L414" s="277"/>
      <c r="M414" s="277"/>
      <c r="N414" s="277"/>
      <c r="O414" s="277"/>
      <c r="P414" s="277"/>
      <c r="Q414" s="277"/>
      <c r="R414" s="277"/>
      <c r="S414" s="277"/>
      <c r="T414" s="277"/>
      <c r="U414" s="277"/>
      <c r="V414" s="280"/>
      <c r="W414" s="277"/>
      <c r="X414" s="277"/>
      <c r="Y414" s="277"/>
      <c r="Z414" s="277"/>
      <c r="AA414" s="277"/>
      <c r="AB414" s="277"/>
      <c r="AC414" s="277"/>
      <c r="AD414" s="277"/>
      <c r="AE414" s="277"/>
      <c r="AF414" s="277"/>
    </row>
    <row r="415" ht="12.75" customHeight="1">
      <c r="A415" s="277"/>
      <c r="B415" s="278"/>
      <c r="C415" s="277"/>
      <c r="D415" s="278"/>
      <c r="E415" s="279"/>
      <c r="F415" s="277"/>
      <c r="G415" s="277"/>
      <c r="H415" s="277"/>
      <c r="I415" s="277"/>
      <c r="J415" s="277"/>
      <c r="K415" s="277"/>
      <c r="L415" s="277"/>
      <c r="M415" s="277"/>
      <c r="N415" s="277"/>
      <c r="O415" s="277"/>
      <c r="P415" s="277"/>
      <c r="Q415" s="277"/>
      <c r="R415" s="277"/>
      <c r="S415" s="277"/>
      <c r="T415" s="277"/>
      <c r="U415" s="277"/>
      <c r="V415" s="280"/>
      <c r="W415" s="277"/>
      <c r="X415" s="277"/>
      <c r="Y415" s="277"/>
      <c r="Z415" s="277"/>
      <c r="AA415" s="277"/>
      <c r="AB415" s="277"/>
      <c r="AC415" s="277"/>
      <c r="AD415" s="277"/>
      <c r="AE415" s="277"/>
      <c r="AF415" s="277"/>
    </row>
    <row r="416" ht="12.75" customHeight="1">
      <c r="A416" s="277"/>
      <c r="B416" s="278"/>
      <c r="C416" s="277"/>
      <c r="D416" s="278"/>
      <c r="E416" s="279"/>
      <c r="F416" s="277"/>
      <c r="G416" s="277"/>
      <c r="H416" s="277"/>
      <c r="I416" s="277"/>
      <c r="J416" s="277"/>
      <c r="K416" s="277"/>
      <c r="L416" s="277"/>
      <c r="M416" s="277"/>
      <c r="N416" s="277"/>
      <c r="O416" s="277"/>
      <c r="P416" s="277"/>
      <c r="Q416" s="277"/>
      <c r="R416" s="277"/>
      <c r="S416" s="277"/>
      <c r="T416" s="277"/>
      <c r="U416" s="277"/>
      <c r="V416" s="280"/>
      <c r="W416" s="277"/>
      <c r="X416" s="277"/>
      <c r="Y416" s="277"/>
      <c r="Z416" s="277"/>
      <c r="AA416" s="277"/>
      <c r="AB416" s="277"/>
      <c r="AC416" s="277"/>
      <c r="AD416" s="277"/>
      <c r="AE416" s="277"/>
      <c r="AF416" s="277"/>
    </row>
    <row r="417" ht="12.75" customHeight="1">
      <c r="A417" s="277"/>
      <c r="B417" s="278"/>
      <c r="C417" s="277"/>
      <c r="D417" s="278"/>
      <c r="E417" s="279"/>
      <c r="F417" s="277"/>
      <c r="G417" s="277"/>
      <c r="H417" s="277"/>
      <c r="I417" s="277"/>
      <c r="J417" s="277"/>
      <c r="K417" s="277"/>
      <c r="L417" s="277"/>
      <c r="M417" s="277"/>
      <c r="N417" s="277"/>
      <c r="O417" s="277"/>
      <c r="P417" s="277"/>
      <c r="Q417" s="277"/>
      <c r="R417" s="277"/>
      <c r="S417" s="277"/>
      <c r="T417" s="277"/>
      <c r="U417" s="277"/>
      <c r="V417" s="280"/>
      <c r="W417" s="277"/>
      <c r="X417" s="277"/>
      <c r="Y417" s="277"/>
      <c r="Z417" s="277"/>
      <c r="AA417" s="277"/>
      <c r="AB417" s="277"/>
      <c r="AC417" s="277"/>
      <c r="AD417" s="277"/>
      <c r="AE417" s="277"/>
      <c r="AF417" s="277"/>
    </row>
    <row r="418" ht="12.75" customHeight="1">
      <c r="A418" s="277"/>
      <c r="B418" s="278"/>
      <c r="C418" s="277"/>
      <c r="D418" s="278"/>
      <c r="E418" s="279"/>
      <c r="F418" s="277"/>
      <c r="G418" s="277"/>
      <c r="H418" s="277"/>
      <c r="I418" s="277"/>
      <c r="J418" s="277"/>
      <c r="K418" s="277"/>
      <c r="L418" s="277"/>
      <c r="M418" s="277"/>
      <c r="N418" s="277"/>
      <c r="O418" s="277"/>
      <c r="P418" s="277"/>
      <c r="Q418" s="277"/>
      <c r="R418" s="277"/>
      <c r="S418" s="277"/>
      <c r="T418" s="277"/>
      <c r="U418" s="277"/>
      <c r="V418" s="280"/>
      <c r="W418" s="277"/>
      <c r="X418" s="277"/>
      <c r="Y418" s="277"/>
      <c r="Z418" s="277"/>
      <c r="AA418" s="277"/>
      <c r="AB418" s="277"/>
      <c r="AC418" s="277"/>
      <c r="AD418" s="277"/>
      <c r="AE418" s="277"/>
      <c r="AF418" s="277"/>
    </row>
    <row r="419" ht="12.75" customHeight="1">
      <c r="A419" s="277"/>
      <c r="B419" s="278"/>
      <c r="C419" s="277"/>
      <c r="D419" s="278"/>
      <c r="E419" s="279"/>
      <c r="F419" s="277"/>
      <c r="G419" s="277"/>
      <c r="H419" s="277"/>
      <c r="I419" s="277"/>
      <c r="J419" s="277"/>
      <c r="K419" s="277"/>
      <c r="L419" s="277"/>
      <c r="M419" s="277"/>
      <c r="N419" s="277"/>
      <c r="O419" s="277"/>
      <c r="P419" s="277"/>
      <c r="Q419" s="277"/>
      <c r="R419" s="277"/>
      <c r="S419" s="277"/>
      <c r="T419" s="277"/>
      <c r="U419" s="277"/>
      <c r="V419" s="280"/>
      <c r="W419" s="277"/>
      <c r="X419" s="277"/>
      <c r="Y419" s="277"/>
      <c r="Z419" s="277"/>
      <c r="AA419" s="277"/>
      <c r="AB419" s="277"/>
      <c r="AC419" s="277"/>
      <c r="AD419" s="277"/>
      <c r="AE419" s="277"/>
      <c r="AF419" s="277"/>
    </row>
    <row r="420" ht="12.75" customHeight="1">
      <c r="A420" s="277"/>
      <c r="B420" s="278"/>
      <c r="C420" s="277"/>
      <c r="D420" s="278"/>
      <c r="E420" s="279"/>
      <c r="F420" s="277"/>
      <c r="G420" s="277"/>
      <c r="H420" s="277"/>
      <c r="I420" s="277"/>
      <c r="J420" s="277"/>
      <c r="K420" s="277"/>
      <c r="L420" s="277"/>
      <c r="M420" s="277"/>
      <c r="N420" s="277"/>
      <c r="O420" s="277"/>
      <c r="P420" s="277"/>
      <c r="Q420" s="277"/>
      <c r="R420" s="277"/>
      <c r="S420" s="277"/>
      <c r="T420" s="277"/>
      <c r="U420" s="277"/>
      <c r="V420" s="280"/>
      <c r="W420" s="277"/>
      <c r="X420" s="277"/>
      <c r="Y420" s="277"/>
      <c r="Z420" s="277"/>
      <c r="AA420" s="277"/>
      <c r="AB420" s="277"/>
      <c r="AC420" s="277"/>
      <c r="AD420" s="277"/>
      <c r="AE420" s="277"/>
      <c r="AF420" s="277"/>
    </row>
    <row r="421" ht="12.75" customHeight="1">
      <c r="A421" s="277"/>
      <c r="B421" s="278"/>
      <c r="C421" s="277"/>
      <c r="D421" s="278"/>
      <c r="E421" s="279"/>
      <c r="F421" s="277"/>
      <c r="G421" s="277"/>
      <c r="H421" s="277"/>
      <c r="I421" s="277"/>
      <c r="J421" s="277"/>
      <c r="K421" s="277"/>
      <c r="L421" s="277"/>
      <c r="M421" s="277"/>
      <c r="N421" s="277"/>
      <c r="O421" s="277"/>
      <c r="P421" s="277"/>
      <c r="Q421" s="277"/>
      <c r="R421" s="277"/>
      <c r="S421" s="277"/>
      <c r="T421" s="277"/>
      <c r="U421" s="277"/>
      <c r="V421" s="280"/>
      <c r="W421" s="277"/>
      <c r="X421" s="277"/>
      <c r="Y421" s="277"/>
      <c r="Z421" s="277"/>
      <c r="AA421" s="277"/>
      <c r="AB421" s="277"/>
      <c r="AC421" s="277"/>
      <c r="AD421" s="277"/>
      <c r="AE421" s="277"/>
      <c r="AF421" s="277"/>
    </row>
    <row r="422" ht="12.75" customHeight="1">
      <c r="A422" s="277"/>
      <c r="B422" s="278"/>
      <c r="C422" s="277"/>
      <c r="D422" s="278"/>
      <c r="E422" s="279"/>
      <c r="F422" s="277"/>
      <c r="G422" s="277"/>
      <c r="H422" s="277"/>
      <c r="I422" s="277"/>
      <c r="J422" s="277"/>
      <c r="K422" s="277"/>
      <c r="L422" s="277"/>
      <c r="M422" s="277"/>
      <c r="N422" s="277"/>
      <c r="O422" s="277"/>
      <c r="P422" s="277"/>
      <c r="Q422" s="277"/>
      <c r="R422" s="277"/>
      <c r="S422" s="277"/>
      <c r="T422" s="277"/>
      <c r="U422" s="277"/>
      <c r="V422" s="280"/>
      <c r="W422" s="277"/>
      <c r="X422" s="277"/>
      <c r="Y422" s="277"/>
      <c r="Z422" s="277"/>
      <c r="AA422" s="277"/>
      <c r="AB422" s="277"/>
      <c r="AC422" s="277"/>
      <c r="AD422" s="277"/>
      <c r="AE422" s="277"/>
      <c r="AF422" s="277"/>
    </row>
    <row r="423" ht="12.75" customHeight="1">
      <c r="A423" s="277"/>
      <c r="B423" s="278"/>
      <c r="C423" s="277"/>
      <c r="D423" s="278"/>
      <c r="E423" s="279"/>
      <c r="F423" s="277"/>
      <c r="G423" s="277"/>
      <c r="H423" s="277"/>
      <c r="I423" s="277"/>
      <c r="J423" s="277"/>
      <c r="K423" s="277"/>
      <c r="L423" s="277"/>
      <c r="M423" s="277"/>
      <c r="N423" s="277"/>
      <c r="O423" s="277"/>
      <c r="P423" s="277"/>
      <c r="Q423" s="277"/>
      <c r="R423" s="277"/>
      <c r="S423" s="277"/>
      <c r="T423" s="277"/>
      <c r="U423" s="277"/>
      <c r="V423" s="280"/>
      <c r="W423" s="277"/>
      <c r="X423" s="277"/>
      <c r="Y423" s="277"/>
      <c r="Z423" s="277"/>
      <c r="AA423" s="277"/>
      <c r="AB423" s="277"/>
      <c r="AC423" s="277"/>
      <c r="AD423" s="277"/>
      <c r="AE423" s="277"/>
      <c r="AF423" s="277"/>
    </row>
    <row r="424" ht="12.75" customHeight="1">
      <c r="A424" s="277"/>
      <c r="B424" s="278"/>
      <c r="C424" s="277"/>
      <c r="D424" s="278"/>
      <c r="E424" s="279"/>
      <c r="F424" s="277"/>
      <c r="G424" s="277"/>
      <c r="H424" s="277"/>
      <c r="I424" s="277"/>
      <c r="J424" s="277"/>
      <c r="K424" s="277"/>
      <c r="L424" s="277"/>
      <c r="M424" s="277"/>
      <c r="N424" s="277"/>
      <c r="O424" s="277"/>
      <c r="P424" s="277"/>
      <c r="Q424" s="277"/>
      <c r="R424" s="277"/>
      <c r="S424" s="277"/>
      <c r="T424" s="277"/>
      <c r="U424" s="277"/>
      <c r="V424" s="280"/>
      <c r="W424" s="277"/>
      <c r="X424" s="277"/>
      <c r="Y424" s="277"/>
      <c r="Z424" s="277"/>
      <c r="AA424" s="277"/>
      <c r="AB424" s="277"/>
      <c r="AC424" s="277"/>
      <c r="AD424" s="277"/>
      <c r="AE424" s="277"/>
      <c r="AF424" s="277"/>
    </row>
    <row r="425" ht="12.75" customHeight="1">
      <c r="A425" s="277"/>
      <c r="B425" s="278"/>
      <c r="C425" s="277"/>
      <c r="D425" s="278"/>
      <c r="E425" s="279"/>
      <c r="F425" s="277"/>
      <c r="G425" s="277"/>
      <c r="H425" s="277"/>
      <c r="I425" s="277"/>
      <c r="J425" s="277"/>
      <c r="K425" s="277"/>
      <c r="L425" s="277"/>
      <c r="M425" s="277"/>
      <c r="N425" s="277"/>
      <c r="O425" s="277"/>
      <c r="P425" s="277"/>
      <c r="Q425" s="277"/>
      <c r="R425" s="277"/>
      <c r="S425" s="277"/>
      <c r="T425" s="277"/>
      <c r="U425" s="277"/>
      <c r="V425" s="280"/>
      <c r="W425" s="277"/>
      <c r="X425" s="277"/>
      <c r="Y425" s="277"/>
      <c r="Z425" s="277"/>
      <c r="AA425" s="277"/>
      <c r="AB425" s="277"/>
      <c r="AC425" s="277"/>
      <c r="AD425" s="277"/>
      <c r="AE425" s="277"/>
      <c r="AF425" s="277"/>
    </row>
    <row r="426" ht="12.75" customHeight="1">
      <c r="A426" s="277"/>
      <c r="B426" s="278"/>
      <c r="C426" s="277"/>
      <c r="D426" s="278"/>
      <c r="E426" s="279"/>
      <c r="F426" s="277"/>
      <c r="G426" s="277"/>
      <c r="H426" s="277"/>
      <c r="I426" s="277"/>
      <c r="J426" s="277"/>
      <c r="K426" s="277"/>
      <c r="L426" s="277"/>
      <c r="M426" s="277"/>
      <c r="N426" s="277"/>
      <c r="O426" s="277"/>
      <c r="P426" s="277"/>
      <c r="Q426" s="277"/>
      <c r="R426" s="277"/>
      <c r="S426" s="277"/>
      <c r="T426" s="277"/>
      <c r="U426" s="277"/>
      <c r="V426" s="280"/>
      <c r="W426" s="277"/>
      <c r="X426" s="277"/>
      <c r="Y426" s="277"/>
      <c r="Z426" s="277"/>
      <c r="AA426" s="277"/>
      <c r="AB426" s="277"/>
      <c r="AC426" s="277"/>
      <c r="AD426" s="277"/>
      <c r="AE426" s="277"/>
      <c r="AF426" s="277"/>
    </row>
    <row r="427" ht="12.75" customHeight="1">
      <c r="A427" s="277"/>
      <c r="B427" s="278"/>
      <c r="C427" s="277"/>
      <c r="D427" s="278"/>
      <c r="E427" s="279"/>
      <c r="F427" s="277"/>
      <c r="G427" s="277"/>
      <c r="H427" s="277"/>
      <c r="I427" s="277"/>
      <c r="J427" s="277"/>
      <c r="K427" s="277"/>
      <c r="L427" s="277"/>
      <c r="M427" s="277"/>
      <c r="N427" s="277"/>
      <c r="O427" s="277"/>
      <c r="P427" s="277"/>
      <c r="Q427" s="277"/>
      <c r="R427" s="277"/>
      <c r="S427" s="277"/>
      <c r="T427" s="277"/>
      <c r="U427" s="277"/>
      <c r="V427" s="280"/>
      <c r="W427" s="277"/>
      <c r="X427" s="277"/>
      <c r="Y427" s="277"/>
      <c r="Z427" s="277"/>
      <c r="AA427" s="277"/>
      <c r="AB427" s="277"/>
      <c r="AC427" s="277"/>
      <c r="AD427" s="277"/>
      <c r="AE427" s="277"/>
      <c r="AF427" s="277"/>
    </row>
    <row r="428" ht="12.75" customHeight="1">
      <c r="A428" s="277"/>
      <c r="B428" s="278"/>
      <c r="C428" s="277"/>
      <c r="D428" s="278"/>
      <c r="E428" s="279"/>
      <c r="F428" s="277"/>
      <c r="G428" s="277"/>
      <c r="H428" s="277"/>
      <c r="I428" s="277"/>
      <c r="J428" s="277"/>
      <c r="K428" s="277"/>
      <c r="L428" s="277"/>
      <c r="M428" s="277"/>
      <c r="N428" s="277"/>
      <c r="O428" s="277"/>
      <c r="P428" s="277"/>
      <c r="Q428" s="277"/>
      <c r="R428" s="277"/>
      <c r="S428" s="277"/>
      <c r="T428" s="277"/>
      <c r="U428" s="277"/>
      <c r="V428" s="280"/>
      <c r="W428" s="277"/>
      <c r="X428" s="277"/>
      <c r="Y428" s="277"/>
      <c r="Z428" s="277"/>
      <c r="AA428" s="277"/>
      <c r="AB428" s="277"/>
      <c r="AC428" s="277"/>
      <c r="AD428" s="277"/>
      <c r="AE428" s="277"/>
      <c r="AF428" s="277"/>
    </row>
    <row r="429" ht="12.75" customHeight="1">
      <c r="A429" s="277"/>
      <c r="B429" s="278"/>
      <c r="C429" s="277"/>
      <c r="D429" s="278"/>
      <c r="E429" s="279"/>
      <c r="F429" s="277"/>
      <c r="G429" s="277"/>
      <c r="H429" s="277"/>
      <c r="I429" s="277"/>
      <c r="J429" s="277"/>
      <c r="K429" s="277"/>
      <c r="L429" s="277"/>
      <c r="M429" s="277"/>
      <c r="N429" s="277"/>
      <c r="O429" s="277"/>
      <c r="P429" s="277"/>
      <c r="Q429" s="277"/>
      <c r="R429" s="277"/>
      <c r="S429" s="277"/>
      <c r="T429" s="277"/>
      <c r="U429" s="277"/>
      <c r="V429" s="280"/>
      <c r="W429" s="277"/>
      <c r="X429" s="277"/>
      <c r="Y429" s="277"/>
      <c r="Z429" s="277"/>
      <c r="AA429" s="277"/>
      <c r="AB429" s="277"/>
      <c r="AC429" s="277"/>
      <c r="AD429" s="277"/>
      <c r="AE429" s="277"/>
      <c r="AF429" s="277"/>
    </row>
    <row r="430" ht="12.75" customHeight="1">
      <c r="A430" s="277"/>
      <c r="B430" s="278"/>
      <c r="C430" s="277"/>
      <c r="D430" s="278"/>
      <c r="E430" s="279"/>
      <c r="F430" s="277"/>
      <c r="G430" s="277"/>
      <c r="H430" s="277"/>
      <c r="I430" s="277"/>
      <c r="J430" s="277"/>
      <c r="K430" s="277"/>
      <c r="L430" s="277"/>
      <c r="M430" s="277"/>
      <c r="N430" s="277"/>
      <c r="O430" s="277"/>
      <c r="P430" s="277"/>
      <c r="Q430" s="277"/>
      <c r="R430" s="277"/>
      <c r="S430" s="277"/>
      <c r="T430" s="277"/>
      <c r="U430" s="277"/>
      <c r="V430" s="280"/>
      <c r="W430" s="277"/>
      <c r="X430" s="277"/>
      <c r="Y430" s="277"/>
      <c r="Z430" s="277"/>
      <c r="AA430" s="277"/>
      <c r="AB430" s="277"/>
      <c r="AC430" s="277"/>
      <c r="AD430" s="277"/>
      <c r="AE430" s="277"/>
      <c r="AF430" s="277"/>
    </row>
    <row r="431" ht="12.75" customHeight="1">
      <c r="A431" s="277"/>
      <c r="B431" s="278"/>
      <c r="C431" s="277"/>
      <c r="D431" s="278"/>
      <c r="E431" s="279"/>
      <c r="F431" s="277"/>
      <c r="G431" s="277"/>
      <c r="H431" s="277"/>
      <c r="I431" s="277"/>
      <c r="J431" s="277"/>
      <c r="K431" s="277"/>
      <c r="L431" s="277"/>
      <c r="M431" s="277"/>
      <c r="N431" s="277"/>
      <c r="O431" s="277"/>
      <c r="P431" s="277"/>
      <c r="Q431" s="277"/>
      <c r="R431" s="277"/>
      <c r="S431" s="277"/>
      <c r="T431" s="277"/>
      <c r="U431" s="277"/>
      <c r="V431" s="280"/>
      <c r="W431" s="277"/>
      <c r="X431" s="277"/>
      <c r="Y431" s="277"/>
      <c r="Z431" s="277"/>
      <c r="AA431" s="277"/>
      <c r="AB431" s="277"/>
      <c r="AC431" s="277"/>
      <c r="AD431" s="277"/>
      <c r="AE431" s="277"/>
      <c r="AF431" s="277"/>
    </row>
    <row r="432" ht="12.75" customHeight="1">
      <c r="A432" s="277"/>
      <c r="B432" s="278"/>
      <c r="C432" s="277"/>
      <c r="D432" s="278"/>
      <c r="E432" s="279"/>
      <c r="F432" s="277"/>
      <c r="G432" s="277"/>
      <c r="H432" s="277"/>
      <c r="I432" s="277"/>
      <c r="J432" s="277"/>
      <c r="K432" s="277"/>
      <c r="L432" s="277"/>
      <c r="M432" s="277"/>
      <c r="N432" s="277"/>
      <c r="O432" s="277"/>
      <c r="P432" s="277"/>
      <c r="Q432" s="277"/>
      <c r="R432" s="277"/>
      <c r="S432" s="277"/>
      <c r="T432" s="277"/>
      <c r="U432" s="277"/>
      <c r="V432" s="280"/>
      <c r="W432" s="277"/>
      <c r="X432" s="277"/>
      <c r="Y432" s="277"/>
      <c r="Z432" s="277"/>
      <c r="AA432" s="277"/>
      <c r="AB432" s="277"/>
      <c r="AC432" s="277"/>
      <c r="AD432" s="277"/>
      <c r="AE432" s="277"/>
      <c r="AF432" s="277"/>
    </row>
    <row r="433" ht="12.75" customHeight="1">
      <c r="A433" s="277"/>
      <c r="B433" s="278"/>
      <c r="C433" s="277"/>
      <c r="D433" s="278"/>
      <c r="E433" s="279"/>
      <c r="F433" s="277"/>
      <c r="G433" s="277"/>
      <c r="H433" s="277"/>
      <c r="I433" s="277"/>
      <c r="J433" s="277"/>
      <c r="K433" s="277"/>
      <c r="L433" s="277"/>
      <c r="M433" s="277"/>
      <c r="N433" s="277"/>
      <c r="O433" s="277"/>
      <c r="P433" s="277"/>
      <c r="Q433" s="277"/>
      <c r="R433" s="277"/>
      <c r="S433" s="277"/>
      <c r="T433" s="277"/>
      <c r="U433" s="277"/>
      <c r="V433" s="280"/>
      <c r="W433" s="277"/>
      <c r="X433" s="277"/>
      <c r="Y433" s="277"/>
      <c r="Z433" s="277"/>
      <c r="AA433" s="277"/>
      <c r="AB433" s="277"/>
      <c r="AC433" s="277"/>
      <c r="AD433" s="277"/>
      <c r="AE433" s="277"/>
      <c r="AF433" s="277"/>
    </row>
    <row r="434" ht="12.75" customHeight="1">
      <c r="A434" s="277"/>
      <c r="B434" s="278"/>
      <c r="C434" s="277"/>
      <c r="D434" s="278"/>
      <c r="E434" s="279"/>
      <c r="F434" s="277"/>
      <c r="G434" s="277"/>
      <c r="H434" s="277"/>
      <c r="I434" s="277"/>
      <c r="J434" s="277"/>
      <c r="K434" s="277"/>
      <c r="L434" s="277"/>
      <c r="M434" s="277"/>
      <c r="N434" s="277"/>
      <c r="O434" s="277"/>
      <c r="P434" s="277"/>
      <c r="Q434" s="277"/>
      <c r="R434" s="277"/>
      <c r="S434" s="277"/>
      <c r="T434" s="277"/>
      <c r="U434" s="277"/>
      <c r="V434" s="280"/>
      <c r="W434" s="277"/>
      <c r="X434" s="277"/>
      <c r="Y434" s="277"/>
      <c r="Z434" s="277"/>
      <c r="AA434" s="277"/>
      <c r="AB434" s="277"/>
      <c r="AC434" s="277"/>
      <c r="AD434" s="277"/>
      <c r="AE434" s="277"/>
      <c r="AF434" s="277"/>
    </row>
    <row r="435" ht="12.75" customHeight="1">
      <c r="A435" s="277"/>
      <c r="B435" s="278"/>
      <c r="C435" s="277"/>
      <c r="D435" s="278"/>
      <c r="E435" s="279"/>
      <c r="F435" s="277"/>
      <c r="G435" s="277"/>
      <c r="H435" s="277"/>
      <c r="I435" s="277"/>
      <c r="J435" s="277"/>
      <c r="K435" s="277"/>
      <c r="L435" s="277"/>
      <c r="M435" s="277"/>
      <c r="N435" s="277"/>
      <c r="O435" s="277"/>
      <c r="P435" s="277"/>
      <c r="Q435" s="277"/>
      <c r="R435" s="277"/>
      <c r="S435" s="277"/>
      <c r="T435" s="277"/>
      <c r="U435" s="277"/>
      <c r="V435" s="280"/>
      <c r="W435" s="277"/>
      <c r="X435" s="277"/>
      <c r="Y435" s="277"/>
      <c r="Z435" s="277"/>
      <c r="AA435" s="277"/>
      <c r="AB435" s="277"/>
      <c r="AC435" s="277"/>
      <c r="AD435" s="277"/>
      <c r="AE435" s="277"/>
      <c r="AF435" s="277"/>
    </row>
    <row r="436" ht="12.75" customHeight="1">
      <c r="A436" s="277"/>
      <c r="B436" s="278"/>
      <c r="C436" s="277"/>
      <c r="D436" s="278"/>
      <c r="E436" s="279"/>
      <c r="F436" s="277"/>
      <c r="G436" s="277"/>
      <c r="H436" s="277"/>
      <c r="I436" s="277"/>
      <c r="J436" s="277"/>
      <c r="K436" s="277"/>
      <c r="L436" s="277"/>
      <c r="M436" s="277"/>
      <c r="N436" s="277"/>
      <c r="O436" s="277"/>
      <c r="P436" s="277"/>
      <c r="Q436" s="277"/>
      <c r="R436" s="277"/>
      <c r="S436" s="277"/>
      <c r="T436" s="277"/>
      <c r="U436" s="277"/>
      <c r="V436" s="280"/>
      <c r="W436" s="277"/>
      <c r="X436" s="277"/>
      <c r="Y436" s="277"/>
      <c r="Z436" s="277"/>
      <c r="AA436" s="277"/>
      <c r="AB436" s="277"/>
      <c r="AC436" s="277"/>
      <c r="AD436" s="277"/>
      <c r="AE436" s="277"/>
      <c r="AF436" s="277"/>
    </row>
    <row r="437" ht="12.75" customHeight="1">
      <c r="A437" s="277"/>
      <c r="B437" s="278"/>
      <c r="C437" s="277"/>
      <c r="D437" s="278"/>
      <c r="E437" s="279"/>
      <c r="F437" s="277"/>
      <c r="G437" s="277"/>
      <c r="H437" s="277"/>
      <c r="I437" s="277"/>
      <c r="J437" s="277"/>
      <c r="K437" s="277"/>
      <c r="L437" s="277"/>
      <c r="M437" s="277"/>
      <c r="N437" s="277"/>
      <c r="O437" s="277"/>
      <c r="P437" s="277"/>
      <c r="Q437" s="277"/>
      <c r="R437" s="277"/>
      <c r="S437" s="277"/>
      <c r="T437" s="277"/>
      <c r="U437" s="277"/>
      <c r="V437" s="280"/>
      <c r="W437" s="277"/>
      <c r="X437" s="277"/>
      <c r="Y437" s="277"/>
      <c r="Z437" s="277"/>
      <c r="AA437" s="277"/>
      <c r="AB437" s="277"/>
      <c r="AC437" s="277"/>
      <c r="AD437" s="277"/>
      <c r="AE437" s="277"/>
      <c r="AF437" s="277"/>
    </row>
    <row r="438" ht="12.75" customHeight="1">
      <c r="A438" s="277"/>
      <c r="B438" s="278"/>
      <c r="C438" s="277"/>
      <c r="D438" s="278"/>
      <c r="E438" s="279"/>
      <c r="F438" s="277"/>
      <c r="G438" s="277"/>
      <c r="H438" s="277"/>
      <c r="I438" s="277"/>
      <c r="J438" s="277"/>
      <c r="K438" s="277"/>
      <c r="L438" s="277"/>
      <c r="M438" s="277"/>
      <c r="N438" s="277"/>
      <c r="O438" s="277"/>
      <c r="P438" s="277"/>
      <c r="Q438" s="277"/>
      <c r="R438" s="277"/>
      <c r="S438" s="277"/>
      <c r="T438" s="277"/>
      <c r="U438" s="277"/>
      <c r="V438" s="280"/>
      <c r="W438" s="277"/>
      <c r="X438" s="277"/>
      <c r="Y438" s="277"/>
      <c r="Z438" s="277"/>
      <c r="AA438" s="277"/>
      <c r="AB438" s="277"/>
      <c r="AC438" s="277"/>
      <c r="AD438" s="277"/>
      <c r="AE438" s="277"/>
      <c r="AF438" s="277"/>
    </row>
    <row r="439" ht="12.75" customHeight="1">
      <c r="A439" s="277"/>
      <c r="B439" s="278"/>
      <c r="C439" s="277"/>
      <c r="D439" s="278"/>
      <c r="E439" s="279"/>
      <c r="F439" s="277"/>
      <c r="G439" s="277"/>
      <c r="H439" s="277"/>
      <c r="I439" s="277"/>
      <c r="J439" s="277"/>
      <c r="K439" s="277"/>
      <c r="L439" s="277"/>
      <c r="M439" s="277"/>
      <c r="N439" s="277"/>
      <c r="O439" s="277"/>
      <c r="P439" s="277"/>
      <c r="Q439" s="277"/>
      <c r="R439" s="277"/>
      <c r="S439" s="277"/>
      <c r="T439" s="277"/>
      <c r="U439" s="277"/>
      <c r="V439" s="280"/>
      <c r="W439" s="277"/>
      <c r="X439" s="277"/>
      <c r="Y439" s="277"/>
      <c r="Z439" s="277"/>
      <c r="AA439" s="277"/>
      <c r="AB439" s="277"/>
      <c r="AC439" s="277"/>
      <c r="AD439" s="277"/>
      <c r="AE439" s="277"/>
      <c r="AF439" s="277"/>
    </row>
    <row r="440" ht="12.75" customHeight="1">
      <c r="A440" s="277"/>
      <c r="B440" s="278"/>
      <c r="C440" s="277"/>
      <c r="D440" s="278"/>
      <c r="E440" s="279"/>
      <c r="F440" s="277"/>
      <c r="G440" s="277"/>
      <c r="H440" s="277"/>
      <c r="I440" s="277"/>
      <c r="J440" s="277"/>
      <c r="K440" s="277"/>
      <c r="L440" s="277"/>
      <c r="M440" s="277"/>
      <c r="N440" s="277"/>
      <c r="O440" s="277"/>
      <c r="P440" s="277"/>
      <c r="Q440" s="277"/>
      <c r="R440" s="277"/>
      <c r="S440" s="277"/>
      <c r="T440" s="277"/>
      <c r="U440" s="277"/>
      <c r="V440" s="280"/>
      <c r="W440" s="277"/>
      <c r="X440" s="277"/>
      <c r="Y440" s="277"/>
      <c r="Z440" s="277"/>
      <c r="AA440" s="277"/>
      <c r="AB440" s="277"/>
      <c r="AC440" s="277"/>
      <c r="AD440" s="277"/>
      <c r="AE440" s="277"/>
      <c r="AF440" s="277"/>
    </row>
    <row r="441" ht="12.75" customHeight="1">
      <c r="A441" s="277"/>
      <c r="B441" s="278"/>
      <c r="C441" s="277"/>
      <c r="D441" s="278"/>
      <c r="E441" s="279"/>
      <c r="F441" s="277"/>
      <c r="G441" s="277"/>
      <c r="H441" s="277"/>
      <c r="I441" s="277"/>
      <c r="J441" s="277"/>
      <c r="K441" s="277"/>
      <c r="L441" s="277"/>
      <c r="M441" s="277"/>
      <c r="N441" s="277"/>
      <c r="O441" s="277"/>
      <c r="P441" s="277"/>
      <c r="Q441" s="277"/>
      <c r="R441" s="277"/>
      <c r="S441" s="277"/>
      <c r="T441" s="277"/>
      <c r="U441" s="277"/>
      <c r="V441" s="280"/>
      <c r="W441" s="277"/>
      <c r="X441" s="277"/>
      <c r="Y441" s="277"/>
      <c r="Z441" s="277"/>
      <c r="AA441" s="277"/>
      <c r="AB441" s="277"/>
      <c r="AC441" s="277"/>
      <c r="AD441" s="277"/>
      <c r="AE441" s="277"/>
      <c r="AF441" s="277"/>
    </row>
    <row r="442" ht="12.75" customHeight="1">
      <c r="A442" s="277"/>
      <c r="B442" s="278"/>
      <c r="C442" s="277"/>
      <c r="D442" s="278"/>
      <c r="E442" s="279"/>
      <c r="F442" s="277"/>
      <c r="G442" s="277"/>
      <c r="H442" s="277"/>
      <c r="I442" s="277"/>
      <c r="J442" s="277"/>
      <c r="K442" s="277"/>
      <c r="L442" s="277"/>
      <c r="M442" s="277"/>
      <c r="N442" s="277"/>
      <c r="O442" s="277"/>
      <c r="P442" s="277"/>
      <c r="Q442" s="277"/>
      <c r="R442" s="277"/>
      <c r="S442" s="277"/>
      <c r="T442" s="277"/>
      <c r="U442" s="277"/>
      <c r="V442" s="280"/>
      <c r="W442" s="277"/>
      <c r="X442" s="277"/>
      <c r="Y442" s="277"/>
      <c r="Z442" s="277"/>
      <c r="AA442" s="277"/>
      <c r="AB442" s="277"/>
      <c r="AC442" s="277"/>
      <c r="AD442" s="277"/>
      <c r="AE442" s="277"/>
      <c r="AF442" s="277"/>
    </row>
    <row r="443" ht="12.75" customHeight="1">
      <c r="A443" s="277"/>
      <c r="B443" s="278"/>
      <c r="C443" s="277"/>
      <c r="D443" s="278"/>
      <c r="E443" s="279"/>
      <c r="F443" s="277"/>
      <c r="G443" s="277"/>
      <c r="H443" s="277"/>
      <c r="I443" s="277"/>
      <c r="J443" s="277"/>
      <c r="K443" s="277"/>
      <c r="L443" s="277"/>
      <c r="M443" s="277"/>
      <c r="N443" s="277"/>
      <c r="O443" s="277"/>
      <c r="P443" s="277"/>
      <c r="Q443" s="277"/>
      <c r="R443" s="277"/>
      <c r="S443" s="277"/>
      <c r="T443" s="277"/>
      <c r="U443" s="277"/>
      <c r="V443" s="280"/>
      <c r="W443" s="277"/>
      <c r="X443" s="277"/>
      <c r="Y443" s="277"/>
      <c r="Z443" s="277"/>
      <c r="AA443" s="277"/>
      <c r="AB443" s="277"/>
      <c r="AC443" s="277"/>
      <c r="AD443" s="277"/>
      <c r="AE443" s="277"/>
      <c r="AF443" s="277"/>
    </row>
    <row r="444" ht="12.75" customHeight="1">
      <c r="A444" s="277"/>
      <c r="B444" s="278"/>
      <c r="C444" s="277"/>
      <c r="D444" s="278"/>
      <c r="E444" s="279"/>
      <c r="F444" s="277"/>
      <c r="G444" s="277"/>
      <c r="H444" s="277"/>
      <c r="I444" s="277"/>
      <c r="J444" s="277"/>
      <c r="K444" s="277"/>
      <c r="L444" s="277"/>
      <c r="M444" s="277"/>
      <c r="N444" s="277"/>
      <c r="O444" s="277"/>
      <c r="P444" s="277"/>
      <c r="Q444" s="277"/>
      <c r="R444" s="277"/>
      <c r="S444" s="277"/>
      <c r="T444" s="277"/>
      <c r="U444" s="277"/>
      <c r="V444" s="280"/>
      <c r="W444" s="277"/>
      <c r="X444" s="277"/>
      <c r="Y444" s="277"/>
      <c r="Z444" s="277"/>
      <c r="AA444" s="277"/>
      <c r="AB444" s="277"/>
      <c r="AC444" s="277"/>
      <c r="AD444" s="277"/>
      <c r="AE444" s="277"/>
      <c r="AF444" s="277"/>
    </row>
    <row r="445" ht="12.75" customHeight="1">
      <c r="A445" s="277"/>
      <c r="B445" s="278"/>
      <c r="C445" s="277"/>
      <c r="D445" s="278"/>
      <c r="E445" s="279"/>
      <c r="F445" s="277"/>
      <c r="G445" s="277"/>
      <c r="H445" s="277"/>
      <c r="I445" s="277"/>
      <c r="J445" s="277"/>
      <c r="K445" s="277"/>
      <c r="L445" s="277"/>
      <c r="M445" s="277"/>
      <c r="N445" s="277"/>
      <c r="O445" s="277"/>
      <c r="P445" s="277"/>
      <c r="Q445" s="277"/>
      <c r="R445" s="277"/>
      <c r="S445" s="277"/>
      <c r="T445" s="277"/>
      <c r="U445" s="277"/>
      <c r="V445" s="280"/>
      <c r="W445" s="277"/>
      <c r="X445" s="277"/>
      <c r="Y445" s="277"/>
      <c r="Z445" s="277"/>
      <c r="AA445" s="277"/>
      <c r="AB445" s="277"/>
      <c r="AC445" s="277"/>
      <c r="AD445" s="277"/>
      <c r="AE445" s="277"/>
      <c r="AF445" s="277"/>
    </row>
    <row r="446" ht="12.75" customHeight="1">
      <c r="A446" s="277"/>
      <c r="B446" s="278"/>
      <c r="C446" s="277"/>
      <c r="D446" s="278"/>
      <c r="E446" s="279"/>
      <c r="F446" s="277"/>
      <c r="G446" s="277"/>
      <c r="H446" s="277"/>
      <c r="I446" s="277"/>
      <c r="J446" s="277"/>
      <c r="K446" s="277"/>
      <c r="L446" s="277"/>
      <c r="M446" s="277"/>
      <c r="N446" s="277"/>
      <c r="O446" s="277"/>
      <c r="P446" s="277"/>
      <c r="Q446" s="277"/>
      <c r="R446" s="277"/>
      <c r="S446" s="277"/>
      <c r="T446" s="277"/>
      <c r="U446" s="277"/>
      <c r="V446" s="280"/>
      <c r="W446" s="277"/>
      <c r="X446" s="277"/>
      <c r="Y446" s="277"/>
      <c r="Z446" s="277"/>
      <c r="AA446" s="277"/>
      <c r="AB446" s="277"/>
      <c r="AC446" s="277"/>
      <c r="AD446" s="277"/>
      <c r="AE446" s="277"/>
      <c r="AF446" s="277"/>
    </row>
    <row r="447" ht="12.75" customHeight="1">
      <c r="A447" s="277"/>
      <c r="B447" s="278"/>
      <c r="C447" s="277"/>
      <c r="D447" s="278"/>
      <c r="E447" s="279"/>
      <c r="F447" s="277"/>
      <c r="G447" s="277"/>
      <c r="H447" s="277"/>
      <c r="I447" s="277"/>
      <c r="J447" s="277"/>
      <c r="K447" s="277"/>
      <c r="L447" s="277"/>
      <c r="M447" s="277"/>
      <c r="N447" s="277"/>
      <c r="O447" s="277"/>
      <c r="P447" s="277"/>
      <c r="Q447" s="277"/>
      <c r="R447" s="277"/>
      <c r="S447" s="277"/>
      <c r="T447" s="277"/>
      <c r="U447" s="277"/>
      <c r="V447" s="280"/>
      <c r="W447" s="277"/>
      <c r="X447" s="277"/>
      <c r="Y447" s="277"/>
      <c r="Z447" s="277"/>
      <c r="AA447" s="277"/>
      <c r="AB447" s="277"/>
      <c r="AC447" s="277"/>
      <c r="AD447" s="277"/>
      <c r="AE447" s="277"/>
      <c r="AF447" s="277"/>
    </row>
    <row r="448" ht="12.75" customHeight="1">
      <c r="A448" s="277"/>
      <c r="B448" s="278"/>
      <c r="C448" s="277"/>
      <c r="D448" s="278"/>
      <c r="E448" s="279"/>
      <c r="F448" s="277"/>
      <c r="G448" s="277"/>
      <c r="H448" s="277"/>
      <c r="I448" s="277"/>
      <c r="J448" s="277"/>
      <c r="K448" s="277"/>
      <c r="L448" s="277"/>
      <c r="M448" s="277"/>
      <c r="N448" s="277"/>
      <c r="O448" s="277"/>
      <c r="P448" s="277"/>
      <c r="Q448" s="277"/>
      <c r="R448" s="277"/>
      <c r="S448" s="277"/>
      <c r="T448" s="277"/>
      <c r="U448" s="277"/>
      <c r="V448" s="280"/>
      <c r="W448" s="277"/>
      <c r="X448" s="277"/>
      <c r="Y448" s="277"/>
      <c r="Z448" s="277"/>
      <c r="AA448" s="277"/>
      <c r="AB448" s="277"/>
      <c r="AC448" s="277"/>
      <c r="AD448" s="277"/>
      <c r="AE448" s="277"/>
      <c r="AF448" s="277"/>
    </row>
    <row r="449" ht="12.75" customHeight="1">
      <c r="A449" s="277"/>
      <c r="B449" s="278"/>
      <c r="C449" s="277"/>
      <c r="D449" s="278"/>
      <c r="E449" s="279"/>
      <c r="F449" s="277"/>
      <c r="G449" s="277"/>
      <c r="H449" s="277"/>
      <c r="I449" s="277"/>
      <c r="J449" s="277"/>
      <c r="K449" s="277"/>
      <c r="L449" s="277"/>
      <c r="M449" s="277"/>
      <c r="N449" s="277"/>
      <c r="O449" s="277"/>
      <c r="P449" s="277"/>
      <c r="Q449" s="277"/>
      <c r="R449" s="277"/>
      <c r="S449" s="277"/>
      <c r="T449" s="277"/>
      <c r="U449" s="277"/>
      <c r="V449" s="280"/>
      <c r="W449" s="277"/>
      <c r="X449" s="277"/>
      <c r="Y449" s="277"/>
      <c r="Z449" s="277"/>
      <c r="AA449" s="277"/>
      <c r="AB449" s="277"/>
      <c r="AC449" s="277"/>
      <c r="AD449" s="277"/>
      <c r="AE449" s="277"/>
      <c r="AF449" s="277"/>
    </row>
    <row r="450" ht="12.75" customHeight="1">
      <c r="A450" s="277"/>
      <c r="B450" s="278"/>
      <c r="C450" s="277"/>
      <c r="D450" s="278"/>
      <c r="E450" s="279"/>
      <c r="F450" s="277"/>
      <c r="G450" s="277"/>
      <c r="H450" s="277"/>
      <c r="I450" s="277"/>
      <c r="J450" s="277"/>
      <c r="K450" s="277"/>
      <c r="L450" s="277"/>
      <c r="M450" s="277"/>
      <c r="N450" s="277"/>
      <c r="O450" s="277"/>
      <c r="P450" s="277"/>
      <c r="Q450" s="277"/>
      <c r="R450" s="277"/>
      <c r="S450" s="277"/>
      <c r="T450" s="277"/>
      <c r="U450" s="277"/>
      <c r="V450" s="280"/>
      <c r="W450" s="277"/>
      <c r="X450" s="277"/>
      <c r="Y450" s="277"/>
      <c r="Z450" s="277"/>
      <c r="AA450" s="277"/>
      <c r="AB450" s="277"/>
      <c r="AC450" s="277"/>
      <c r="AD450" s="277"/>
      <c r="AE450" s="277"/>
      <c r="AF450" s="277"/>
    </row>
    <row r="451" ht="12.75" customHeight="1">
      <c r="A451" s="277"/>
      <c r="B451" s="278"/>
      <c r="C451" s="277"/>
      <c r="D451" s="278"/>
      <c r="E451" s="279"/>
      <c r="F451" s="277"/>
      <c r="G451" s="277"/>
      <c r="H451" s="277"/>
      <c r="I451" s="277"/>
      <c r="J451" s="277"/>
      <c r="K451" s="277"/>
      <c r="L451" s="277"/>
      <c r="M451" s="277"/>
      <c r="N451" s="277"/>
      <c r="O451" s="277"/>
      <c r="P451" s="277"/>
      <c r="Q451" s="277"/>
      <c r="R451" s="277"/>
      <c r="S451" s="277"/>
      <c r="T451" s="277"/>
      <c r="U451" s="277"/>
      <c r="V451" s="280"/>
      <c r="W451" s="277"/>
      <c r="X451" s="277"/>
      <c r="Y451" s="277"/>
      <c r="Z451" s="277"/>
      <c r="AA451" s="277"/>
      <c r="AB451" s="277"/>
      <c r="AC451" s="277"/>
      <c r="AD451" s="277"/>
      <c r="AE451" s="277"/>
      <c r="AF451" s="277"/>
    </row>
    <row r="452" ht="12.75" customHeight="1">
      <c r="A452" s="277"/>
      <c r="B452" s="278"/>
      <c r="C452" s="277"/>
      <c r="D452" s="278"/>
      <c r="E452" s="279"/>
      <c r="F452" s="277"/>
      <c r="G452" s="277"/>
      <c r="H452" s="277"/>
      <c r="I452" s="277"/>
      <c r="J452" s="277"/>
      <c r="K452" s="277"/>
      <c r="L452" s="277"/>
      <c r="M452" s="277"/>
      <c r="N452" s="277"/>
      <c r="O452" s="277"/>
      <c r="P452" s="277"/>
      <c r="Q452" s="277"/>
      <c r="R452" s="277"/>
      <c r="S452" s="277"/>
      <c r="T452" s="277"/>
      <c r="U452" s="277"/>
      <c r="V452" s="280"/>
      <c r="W452" s="277"/>
      <c r="X452" s="277"/>
      <c r="Y452" s="277"/>
      <c r="Z452" s="277"/>
      <c r="AA452" s="277"/>
      <c r="AB452" s="277"/>
      <c r="AC452" s="277"/>
      <c r="AD452" s="277"/>
      <c r="AE452" s="277"/>
      <c r="AF452" s="277"/>
    </row>
    <row r="453" ht="12.75" customHeight="1">
      <c r="A453" s="277"/>
      <c r="B453" s="278"/>
      <c r="C453" s="277"/>
      <c r="D453" s="278"/>
      <c r="E453" s="279"/>
      <c r="F453" s="277"/>
      <c r="G453" s="277"/>
      <c r="H453" s="277"/>
      <c r="I453" s="277"/>
      <c r="J453" s="277"/>
      <c r="K453" s="277"/>
      <c r="L453" s="277"/>
      <c r="M453" s="277"/>
      <c r="N453" s="277"/>
      <c r="O453" s="277"/>
      <c r="P453" s="277"/>
      <c r="Q453" s="277"/>
      <c r="R453" s="277"/>
      <c r="S453" s="277"/>
      <c r="T453" s="277"/>
      <c r="U453" s="277"/>
      <c r="V453" s="280"/>
      <c r="W453" s="277"/>
      <c r="X453" s="277"/>
      <c r="Y453" s="277"/>
      <c r="Z453" s="277"/>
      <c r="AA453" s="277"/>
      <c r="AB453" s="277"/>
      <c r="AC453" s="277"/>
      <c r="AD453" s="277"/>
      <c r="AE453" s="277"/>
      <c r="AF453" s="277"/>
    </row>
    <row r="454" ht="12.75" customHeight="1">
      <c r="A454" s="277"/>
      <c r="B454" s="278"/>
      <c r="C454" s="277"/>
      <c r="D454" s="278"/>
      <c r="E454" s="279"/>
      <c r="F454" s="277"/>
      <c r="G454" s="277"/>
      <c r="H454" s="277"/>
      <c r="I454" s="277"/>
      <c r="J454" s="277"/>
      <c r="K454" s="277"/>
      <c r="L454" s="277"/>
      <c r="M454" s="277"/>
      <c r="N454" s="277"/>
      <c r="O454" s="277"/>
      <c r="P454" s="277"/>
      <c r="Q454" s="277"/>
      <c r="R454" s="277"/>
      <c r="S454" s="277"/>
      <c r="T454" s="277"/>
      <c r="U454" s="277"/>
      <c r="V454" s="280"/>
      <c r="W454" s="277"/>
      <c r="X454" s="277"/>
      <c r="Y454" s="277"/>
      <c r="Z454" s="277"/>
      <c r="AA454" s="277"/>
      <c r="AB454" s="277"/>
      <c r="AC454" s="277"/>
      <c r="AD454" s="277"/>
      <c r="AE454" s="277"/>
      <c r="AF454" s="277"/>
    </row>
    <row r="455" ht="12.75" customHeight="1">
      <c r="A455" s="277"/>
      <c r="B455" s="278"/>
      <c r="C455" s="277"/>
      <c r="D455" s="278"/>
      <c r="E455" s="279"/>
      <c r="F455" s="277"/>
      <c r="G455" s="277"/>
      <c r="H455" s="277"/>
      <c r="I455" s="277"/>
      <c r="J455" s="277"/>
      <c r="K455" s="277"/>
      <c r="L455" s="277"/>
      <c r="M455" s="277"/>
      <c r="N455" s="277"/>
      <c r="O455" s="277"/>
      <c r="P455" s="277"/>
      <c r="Q455" s="277"/>
      <c r="R455" s="277"/>
      <c r="S455" s="277"/>
      <c r="T455" s="277"/>
      <c r="U455" s="277"/>
      <c r="V455" s="280"/>
      <c r="W455" s="277"/>
      <c r="X455" s="277"/>
      <c r="Y455" s="277"/>
      <c r="Z455" s="277"/>
      <c r="AA455" s="277"/>
      <c r="AB455" s="277"/>
      <c r="AC455" s="277"/>
      <c r="AD455" s="277"/>
      <c r="AE455" s="277"/>
      <c r="AF455" s="277"/>
    </row>
    <row r="456" ht="12.75" customHeight="1">
      <c r="A456" s="277"/>
      <c r="B456" s="278"/>
      <c r="C456" s="277"/>
      <c r="D456" s="278"/>
      <c r="E456" s="279"/>
      <c r="F456" s="277"/>
      <c r="G456" s="277"/>
      <c r="H456" s="277"/>
      <c r="I456" s="277"/>
      <c r="J456" s="277"/>
      <c r="K456" s="277"/>
      <c r="L456" s="277"/>
      <c r="M456" s="277"/>
      <c r="N456" s="277"/>
      <c r="O456" s="277"/>
      <c r="P456" s="277"/>
      <c r="Q456" s="277"/>
      <c r="R456" s="277"/>
      <c r="S456" s="277"/>
      <c r="T456" s="277"/>
      <c r="U456" s="277"/>
      <c r="V456" s="280"/>
      <c r="W456" s="277"/>
      <c r="X456" s="277"/>
      <c r="Y456" s="277"/>
      <c r="Z456" s="277"/>
      <c r="AA456" s="277"/>
      <c r="AB456" s="277"/>
      <c r="AC456" s="277"/>
      <c r="AD456" s="277"/>
      <c r="AE456" s="277"/>
      <c r="AF456" s="277"/>
    </row>
    <row r="457" ht="12.75" customHeight="1">
      <c r="A457" s="277"/>
      <c r="B457" s="278"/>
      <c r="C457" s="277"/>
      <c r="D457" s="278"/>
      <c r="E457" s="279"/>
      <c r="F457" s="277"/>
      <c r="G457" s="277"/>
      <c r="H457" s="277"/>
      <c r="I457" s="277"/>
      <c r="J457" s="277"/>
      <c r="K457" s="277"/>
      <c r="L457" s="277"/>
      <c r="M457" s="277"/>
      <c r="N457" s="277"/>
      <c r="O457" s="277"/>
      <c r="P457" s="277"/>
      <c r="Q457" s="277"/>
      <c r="R457" s="277"/>
      <c r="S457" s="277"/>
      <c r="T457" s="277"/>
      <c r="U457" s="277"/>
      <c r="V457" s="280"/>
      <c r="W457" s="277"/>
      <c r="X457" s="277"/>
      <c r="Y457" s="277"/>
      <c r="Z457" s="277"/>
      <c r="AA457" s="277"/>
      <c r="AB457" s="277"/>
      <c r="AC457" s="277"/>
      <c r="AD457" s="277"/>
      <c r="AE457" s="277"/>
      <c r="AF457" s="277"/>
    </row>
    <row r="458" ht="12.75" customHeight="1">
      <c r="A458" s="277"/>
      <c r="B458" s="278"/>
      <c r="C458" s="277"/>
      <c r="D458" s="278"/>
      <c r="E458" s="279"/>
      <c r="F458" s="277"/>
      <c r="G458" s="277"/>
      <c r="H458" s="277"/>
      <c r="I458" s="277"/>
      <c r="J458" s="277"/>
      <c r="K458" s="277"/>
      <c r="L458" s="277"/>
      <c r="M458" s="277"/>
      <c r="N458" s="277"/>
      <c r="O458" s="277"/>
      <c r="P458" s="277"/>
      <c r="Q458" s="277"/>
      <c r="R458" s="277"/>
      <c r="S458" s="277"/>
      <c r="T458" s="277"/>
      <c r="U458" s="277"/>
      <c r="V458" s="280"/>
      <c r="W458" s="277"/>
      <c r="X458" s="277"/>
      <c r="Y458" s="277"/>
      <c r="Z458" s="277"/>
      <c r="AA458" s="277"/>
      <c r="AB458" s="277"/>
      <c r="AC458" s="277"/>
      <c r="AD458" s="277"/>
      <c r="AE458" s="277"/>
      <c r="AF458" s="277"/>
    </row>
    <row r="459" ht="12.75" customHeight="1">
      <c r="A459" s="277"/>
      <c r="B459" s="278"/>
      <c r="C459" s="277"/>
      <c r="D459" s="278"/>
      <c r="E459" s="279"/>
      <c r="F459" s="277"/>
      <c r="G459" s="277"/>
      <c r="H459" s="277"/>
      <c r="I459" s="277"/>
      <c r="J459" s="277"/>
      <c r="K459" s="277"/>
      <c r="L459" s="277"/>
      <c r="M459" s="277"/>
      <c r="N459" s="277"/>
      <c r="O459" s="277"/>
      <c r="P459" s="277"/>
      <c r="Q459" s="277"/>
      <c r="R459" s="277"/>
      <c r="S459" s="277"/>
      <c r="T459" s="277"/>
      <c r="U459" s="277"/>
      <c r="V459" s="280"/>
      <c r="W459" s="277"/>
      <c r="X459" s="277"/>
      <c r="Y459" s="277"/>
      <c r="Z459" s="277"/>
      <c r="AA459" s="277"/>
      <c r="AB459" s="277"/>
      <c r="AC459" s="277"/>
      <c r="AD459" s="277"/>
      <c r="AE459" s="277"/>
      <c r="AF459" s="277"/>
    </row>
    <row r="460" ht="12.75" customHeight="1">
      <c r="A460" s="277"/>
      <c r="B460" s="278"/>
      <c r="C460" s="277"/>
      <c r="D460" s="278"/>
      <c r="E460" s="279"/>
      <c r="F460" s="277"/>
      <c r="G460" s="277"/>
      <c r="H460" s="277"/>
      <c r="I460" s="277"/>
      <c r="J460" s="277"/>
      <c r="K460" s="277"/>
      <c r="L460" s="277"/>
      <c r="M460" s="277"/>
      <c r="N460" s="277"/>
      <c r="O460" s="277"/>
      <c r="P460" s="277"/>
      <c r="Q460" s="277"/>
      <c r="R460" s="277"/>
      <c r="S460" s="277"/>
      <c r="T460" s="277"/>
      <c r="U460" s="277"/>
      <c r="V460" s="280"/>
      <c r="W460" s="277"/>
      <c r="X460" s="277"/>
      <c r="Y460" s="277"/>
      <c r="Z460" s="277"/>
      <c r="AA460" s="277"/>
      <c r="AB460" s="277"/>
      <c r="AC460" s="277"/>
      <c r="AD460" s="277"/>
      <c r="AE460" s="277"/>
      <c r="AF460" s="277"/>
    </row>
    <row r="461" ht="12.75" customHeight="1">
      <c r="A461" s="277"/>
      <c r="B461" s="278"/>
      <c r="C461" s="277"/>
      <c r="D461" s="278"/>
      <c r="E461" s="279"/>
      <c r="F461" s="277"/>
      <c r="G461" s="277"/>
      <c r="H461" s="277"/>
      <c r="I461" s="277"/>
      <c r="J461" s="277"/>
      <c r="K461" s="277"/>
      <c r="L461" s="277"/>
      <c r="M461" s="277"/>
      <c r="N461" s="277"/>
      <c r="O461" s="277"/>
      <c r="P461" s="277"/>
      <c r="Q461" s="277"/>
      <c r="R461" s="277"/>
      <c r="S461" s="277"/>
      <c r="T461" s="277"/>
      <c r="U461" s="277"/>
      <c r="V461" s="280"/>
      <c r="W461" s="277"/>
      <c r="X461" s="277"/>
      <c r="Y461" s="277"/>
      <c r="Z461" s="277"/>
      <c r="AA461" s="277"/>
      <c r="AB461" s="277"/>
      <c r="AC461" s="277"/>
      <c r="AD461" s="277"/>
      <c r="AE461" s="277"/>
      <c r="AF461" s="277"/>
    </row>
    <row r="462" ht="12.75" customHeight="1">
      <c r="A462" s="277"/>
      <c r="B462" s="278"/>
      <c r="C462" s="277"/>
      <c r="D462" s="278"/>
      <c r="E462" s="279"/>
      <c r="F462" s="277"/>
      <c r="G462" s="277"/>
      <c r="H462" s="277"/>
      <c r="I462" s="277"/>
      <c r="J462" s="277"/>
      <c r="K462" s="277"/>
      <c r="L462" s="277"/>
      <c r="M462" s="277"/>
      <c r="N462" s="277"/>
      <c r="O462" s="277"/>
      <c r="P462" s="277"/>
      <c r="Q462" s="277"/>
      <c r="R462" s="277"/>
      <c r="S462" s="277"/>
      <c r="T462" s="277"/>
      <c r="U462" s="277"/>
      <c r="V462" s="280"/>
      <c r="W462" s="277"/>
      <c r="X462" s="277"/>
      <c r="Y462" s="277"/>
      <c r="Z462" s="277"/>
      <c r="AA462" s="277"/>
      <c r="AB462" s="277"/>
      <c r="AC462" s="277"/>
      <c r="AD462" s="277"/>
      <c r="AE462" s="277"/>
      <c r="AF462" s="277"/>
    </row>
    <row r="463" ht="12.75" customHeight="1">
      <c r="A463" s="277"/>
      <c r="B463" s="278"/>
      <c r="C463" s="277"/>
      <c r="D463" s="278"/>
      <c r="E463" s="279"/>
      <c r="F463" s="277"/>
      <c r="G463" s="277"/>
      <c r="H463" s="277"/>
      <c r="I463" s="277"/>
      <c r="J463" s="277"/>
      <c r="K463" s="277"/>
      <c r="L463" s="277"/>
      <c r="M463" s="277"/>
      <c r="N463" s="277"/>
      <c r="O463" s="277"/>
      <c r="P463" s="277"/>
      <c r="Q463" s="277"/>
      <c r="R463" s="277"/>
      <c r="S463" s="277"/>
      <c r="T463" s="277"/>
      <c r="U463" s="277"/>
      <c r="V463" s="280"/>
      <c r="W463" s="277"/>
      <c r="X463" s="277"/>
      <c r="Y463" s="277"/>
      <c r="Z463" s="277"/>
      <c r="AA463" s="277"/>
      <c r="AB463" s="277"/>
      <c r="AC463" s="277"/>
      <c r="AD463" s="277"/>
      <c r="AE463" s="277"/>
      <c r="AF463" s="277"/>
    </row>
    <row r="464" ht="12.75" customHeight="1">
      <c r="A464" s="277"/>
      <c r="B464" s="278"/>
      <c r="C464" s="277"/>
      <c r="D464" s="278"/>
      <c r="E464" s="279"/>
      <c r="F464" s="277"/>
      <c r="G464" s="277"/>
      <c r="H464" s="277"/>
      <c r="I464" s="277"/>
      <c r="J464" s="277"/>
      <c r="K464" s="277"/>
      <c r="L464" s="277"/>
      <c r="M464" s="277"/>
      <c r="N464" s="277"/>
      <c r="O464" s="277"/>
      <c r="P464" s="277"/>
      <c r="Q464" s="277"/>
      <c r="R464" s="277"/>
      <c r="S464" s="277"/>
      <c r="T464" s="277"/>
      <c r="U464" s="277"/>
      <c r="V464" s="280"/>
      <c r="W464" s="277"/>
      <c r="X464" s="277"/>
      <c r="Y464" s="277"/>
      <c r="Z464" s="277"/>
      <c r="AA464" s="277"/>
      <c r="AB464" s="277"/>
      <c r="AC464" s="277"/>
      <c r="AD464" s="277"/>
      <c r="AE464" s="277"/>
      <c r="AF464" s="277"/>
    </row>
    <row r="465" ht="12.75" customHeight="1">
      <c r="A465" s="277"/>
      <c r="B465" s="278"/>
      <c r="C465" s="277"/>
      <c r="D465" s="278"/>
      <c r="E465" s="279"/>
      <c r="F465" s="277"/>
      <c r="G465" s="277"/>
      <c r="H465" s="277"/>
      <c r="I465" s="277"/>
      <c r="J465" s="277"/>
      <c r="K465" s="277"/>
      <c r="L465" s="277"/>
      <c r="M465" s="277"/>
      <c r="N465" s="277"/>
      <c r="O465" s="277"/>
      <c r="P465" s="277"/>
      <c r="Q465" s="277"/>
      <c r="R465" s="277"/>
      <c r="S465" s="277"/>
      <c r="T465" s="277"/>
      <c r="U465" s="277"/>
      <c r="V465" s="280"/>
      <c r="W465" s="277"/>
      <c r="X465" s="277"/>
      <c r="Y465" s="277"/>
      <c r="Z465" s="277"/>
      <c r="AA465" s="277"/>
      <c r="AB465" s="277"/>
      <c r="AC465" s="277"/>
      <c r="AD465" s="277"/>
      <c r="AE465" s="277"/>
      <c r="AF465" s="277"/>
    </row>
    <row r="466" ht="12.75" customHeight="1">
      <c r="A466" s="277"/>
      <c r="B466" s="278"/>
      <c r="C466" s="277"/>
      <c r="D466" s="278"/>
      <c r="E466" s="279"/>
      <c r="F466" s="277"/>
      <c r="G466" s="277"/>
      <c r="H466" s="277"/>
      <c r="I466" s="277"/>
      <c r="J466" s="277"/>
      <c r="K466" s="277"/>
      <c r="L466" s="277"/>
      <c r="M466" s="277"/>
      <c r="N466" s="277"/>
      <c r="O466" s="277"/>
      <c r="P466" s="277"/>
      <c r="Q466" s="277"/>
      <c r="R466" s="277"/>
      <c r="S466" s="277"/>
      <c r="T466" s="277"/>
      <c r="U466" s="277"/>
      <c r="V466" s="280"/>
      <c r="W466" s="277"/>
      <c r="X466" s="277"/>
      <c r="Y466" s="277"/>
      <c r="Z466" s="277"/>
      <c r="AA466" s="277"/>
      <c r="AB466" s="277"/>
      <c r="AC466" s="277"/>
      <c r="AD466" s="277"/>
      <c r="AE466" s="277"/>
      <c r="AF466" s="277"/>
    </row>
    <row r="467" ht="12.75" customHeight="1">
      <c r="A467" s="277"/>
      <c r="B467" s="278"/>
      <c r="C467" s="277"/>
      <c r="D467" s="278"/>
      <c r="E467" s="279"/>
      <c r="F467" s="277"/>
      <c r="G467" s="277"/>
      <c r="H467" s="277"/>
      <c r="I467" s="277"/>
      <c r="J467" s="277"/>
      <c r="K467" s="277"/>
      <c r="L467" s="277"/>
      <c r="M467" s="277"/>
      <c r="N467" s="277"/>
      <c r="O467" s="277"/>
      <c r="P467" s="277"/>
      <c r="Q467" s="277"/>
      <c r="R467" s="277"/>
      <c r="S467" s="277"/>
      <c r="T467" s="277"/>
      <c r="U467" s="277"/>
      <c r="V467" s="280"/>
      <c r="W467" s="277"/>
      <c r="X467" s="277"/>
      <c r="Y467" s="277"/>
      <c r="Z467" s="277"/>
      <c r="AA467" s="277"/>
      <c r="AB467" s="277"/>
      <c r="AC467" s="277"/>
      <c r="AD467" s="277"/>
      <c r="AE467" s="277"/>
      <c r="AF467" s="277"/>
    </row>
    <row r="468" ht="12.75" customHeight="1">
      <c r="A468" s="277"/>
      <c r="B468" s="278"/>
      <c r="C468" s="277"/>
      <c r="D468" s="278"/>
      <c r="E468" s="279"/>
      <c r="F468" s="277"/>
      <c r="G468" s="277"/>
      <c r="H468" s="277"/>
      <c r="I468" s="277"/>
      <c r="J468" s="277"/>
      <c r="K468" s="277"/>
      <c r="L468" s="277"/>
      <c r="M468" s="277"/>
      <c r="N468" s="277"/>
      <c r="O468" s="277"/>
      <c r="P468" s="277"/>
      <c r="Q468" s="277"/>
      <c r="R468" s="277"/>
      <c r="S468" s="277"/>
      <c r="T468" s="277"/>
      <c r="U468" s="277"/>
      <c r="V468" s="280"/>
      <c r="W468" s="277"/>
      <c r="X468" s="277"/>
      <c r="Y468" s="277"/>
      <c r="Z468" s="277"/>
      <c r="AA468" s="277"/>
      <c r="AB468" s="277"/>
      <c r="AC468" s="277"/>
      <c r="AD468" s="277"/>
      <c r="AE468" s="277"/>
      <c r="AF468" s="277"/>
    </row>
    <row r="469" ht="12.75" customHeight="1">
      <c r="A469" s="277"/>
      <c r="B469" s="278"/>
      <c r="C469" s="277"/>
      <c r="D469" s="278"/>
      <c r="E469" s="279"/>
      <c r="F469" s="277"/>
      <c r="G469" s="277"/>
      <c r="H469" s="277"/>
      <c r="I469" s="277"/>
      <c r="J469" s="277"/>
      <c r="K469" s="277"/>
      <c r="L469" s="277"/>
      <c r="M469" s="277"/>
      <c r="N469" s="277"/>
      <c r="O469" s="277"/>
      <c r="P469" s="277"/>
      <c r="Q469" s="277"/>
      <c r="R469" s="277"/>
      <c r="S469" s="277"/>
      <c r="T469" s="277"/>
      <c r="U469" s="277"/>
      <c r="V469" s="280"/>
      <c r="W469" s="277"/>
      <c r="X469" s="277"/>
      <c r="Y469" s="277"/>
      <c r="Z469" s="277"/>
      <c r="AA469" s="277"/>
      <c r="AB469" s="277"/>
      <c r="AC469" s="277"/>
      <c r="AD469" s="277"/>
      <c r="AE469" s="277"/>
      <c r="AF469" s="277"/>
    </row>
    <row r="470" ht="12.75" customHeight="1">
      <c r="A470" s="277"/>
      <c r="B470" s="278"/>
      <c r="C470" s="277"/>
      <c r="D470" s="278"/>
      <c r="E470" s="279"/>
      <c r="F470" s="277"/>
      <c r="G470" s="277"/>
      <c r="H470" s="277"/>
      <c r="I470" s="277"/>
      <c r="J470" s="277"/>
      <c r="K470" s="277"/>
      <c r="L470" s="277"/>
      <c r="M470" s="277"/>
      <c r="N470" s="277"/>
      <c r="O470" s="277"/>
      <c r="P470" s="277"/>
      <c r="Q470" s="277"/>
      <c r="R470" s="277"/>
      <c r="S470" s="277"/>
      <c r="T470" s="277"/>
      <c r="U470" s="277"/>
      <c r="V470" s="280"/>
      <c r="W470" s="277"/>
      <c r="X470" s="277"/>
      <c r="Y470" s="277"/>
      <c r="Z470" s="277"/>
      <c r="AA470" s="277"/>
      <c r="AB470" s="277"/>
      <c r="AC470" s="277"/>
      <c r="AD470" s="277"/>
      <c r="AE470" s="277"/>
      <c r="AF470" s="277"/>
    </row>
    <row r="471" ht="12.75" customHeight="1">
      <c r="A471" s="277"/>
      <c r="B471" s="278"/>
      <c r="C471" s="277"/>
      <c r="D471" s="278"/>
      <c r="E471" s="279"/>
      <c r="F471" s="277"/>
      <c r="G471" s="277"/>
      <c r="H471" s="277"/>
      <c r="I471" s="277"/>
      <c r="J471" s="277"/>
      <c r="K471" s="277"/>
      <c r="L471" s="277"/>
      <c r="M471" s="277"/>
      <c r="N471" s="277"/>
      <c r="O471" s="277"/>
      <c r="P471" s="277"/>
      <c r="Q471" s="277"/>
      <c r="R471" s="277"/>
      <c r="S471" s="277"/>
      <c r="T471" s="277"/>
      <c r="U471" s="277"/>
      <c r="V471" s="280"/>
      <c r="W471" s="277"/>
      <c r="X471" s="277"/>
      <c r="Y471" s="277"/>
      <c r="Z471" s="277"/>
      <c r="AA471" s="277"/>
      <c r="AB471" s="277"/>
      <c r="AC471" s="277"/>
      <c r="AD471" s="277"/>
      <c r="AE471" s="277"/>
      <c r="AF471" s="277"/>
    </row>
    <row r="472" ht="12.75" customHeight="1">
      <c r="A472" s="277"/>
      <c r="B472" s="278"/>
      <c r="C472" s="277"/>
      <c r="D472" s="278"/>
      <c r="E472" s="279"/>
      <c r="F472" s="277"/>
      <c r="G472" s="277"/>
      <c r="H472" s="277"/>
      <c r="I472" s="277"/>
      <c r="J472" s="277"/>
      <c r="K472" s="277"/>
      <c r="L472" s="277"/>
      <c r="M472" s="277"/>
      <c r="N472" s="277"/>
      <c r="O472" s="277"/>
      <c r="P472" s="277"/>
      <c r="Q472" s="277"/>
      <c r="R472" s="277"/>
      <c r="S472" s="277"/>
      <c r="T472" s="277"/>
      <c r="U472" s="277"/>
      <c r="V472" s="280"/>
      <c r="W472" s="277"/>
      <c r="X472" s="277"/>
      <c r="Y472" s="277"/>
      <c r="Z472" s="277"/>
      <c r="AA472" s="277"/>
      <c r="AB472" s="277"/>
      <c r="AC472" s="277"/>
      <c r="AD472" s="277"/>
      <c r="AE472" s="277"/>
      <c r="AF472" s="277"/>
    </row>
    <row r="473" ht="12.75" customHeight="1">
      <c r="A473" s="277"/>
      <c r="B473" s="278"/>
      <c r="C473" s="277"/>
      <c r="D473" s="278"/>
      <c r="E473" s="279"/>
      <c r="F473" s="277"/>
      <c r="G473" s="277"/>
      <c r="H473" s="277"/>
      <c r="I473" s="277"/>
      <c r="J473" s="277"/>
      <c r="K473" s="277"/>
      <c r="L473" s="277"/>
      <c r="M473" s="277"/>
      <c r="N473" s="277"/>
      <c r="O473" s="277"/>
      <c r="P473" s="277"/>
      <c r="Q473" s="277"/>
      <c r="R473" s="277"/>
      <c r="S473" s="277"/>
      <c r="T473" s="277"/>
      <c r="U473" s="277"/>
      <c r="V473" s="280"/>
      <c r="W473" s="277"/>
      <c r="X473" s="277"/>
      <c r="Y473" s="277"/>
      <c r="Z473" s="277"/>
      <c r="AA473" s="277"/>
      <c r="AB473" s="277"/>
      <c r="AC473" s="277"/>
      <c r="AD473" s="277"/>
      <c r="AE473" s="277"/>
      <c r="AF473" s="277"/>
    </row>
    <row r="474" ht="12.75" customHeight="1">
      <c r="A474" s="277"/>
      <c r="B474" s="278"/>
      <c r="C474" s="277"/>
      <c r="D474" s="278"/>
      <c r="E474" s="279"/>
      <c r="F474" s="277"/>
      <c r="G474" s="277"/>
      <c r="H474" s="277"/>
      <c r="I474" s="277"/>
      <c r="J474" s="277"/>
      <c r="K474" s="277"/>
      <c r="L474" s="277"/>
      <c r="M474" s="277"/>
      <c r="N474" s="277"/>
      <c r="O474" s="277"/>
      <c r="P474" s="277"/>
      <c r="Q474" s="277"/>
      <c r="R474" s="277"/>
      <c r="S474" s="277"/>
      <c r="T474" s="277"/>
      <c r="U474" s="277"/>
      <c r="V474" s="280"/>
      <c r="W474" s="277"/>
      <c r="X474" s="277"/>
      <c r="Y474" s="277"/>
      <c r="Z474" s="277"/>
      <c r="AA474" s="277"/>
      <c r="AB474" s="277"/>
      <c r="AC474" s="277"/>
      <c r="AD474" s="277"/>
      <c r="AE474" s="277"/>
      <c r="AF474" s="277"/>
    </row>
    <row r="475" ht="12.75" customHeight="1">
      <c r="A475" s="277"/>
      <c r="B475" s="278"/>
      <c r="C475" s="277"/>
      <c r="D475" s="278"/>
      <c r="E475" s="279"/>
      <c r="F475" s="277"/>
      <c r="G475" s="277"/>
      <c r="H475" s="277"/>
      <c r="I475" s="277"/>
      <c r="J475" s="277"/>
      <c r="K475" s="277"/>
      <c r="L475" s="277"/>
      <c r="M475" s="277"/>
      <c r="N475" s="277"/>
      <c r="O475" s="277"/>
      <c r="P475" s="277"/>
      <c r="Q475" s="277"/>
      <c r="R475" s="277"/>
      <c r="S475" s="277"/>
      <c r="T475" s="277"/>
      <c r="U475" s="277"/>
      <c r="V475" s="280"/>
      <c r="W475" s="277"/>
      <c r="X475" s="277"/>
      <c r="Y475" s="277"/>
      <c r="Z475" s="277"/>
      <c r="AA475" s="277"/>
      <c r="AB475" s="277"/>
      <c r="AC475" s="277"/>
      <c r="AD475" s="277"/>
      <c r="AE475" s="277"/>
      <c r="AF475" s="277"/>
    </row>
    <row r="476" ht="12.75" customHeight="1">
      <c r="A476" s="277"/>
      <c r="B476" s="278"/>
      <c r="C476" s="277"/>
      <c r="D476" s="278"/>
      <c r="E476" s="279"/>
      <c r="F476" s="277"/>
      <c r="G476" s="277"/>
      <c r="H476" s="277"/>
      <c r="I476" s="277"/>
      <c r="J476" s="277"/>
      <c r="K476" s="277"/>
      <c r="L476" s="277"/>
      <c r="M476" s="277"/>
      <c r="N476" s="277"/>
      <c r="O476" s="277"/>
      <c r="P476" s="277"/>
      <c r="Q476" s="277"/>
      <c r="R476" s="277"/>
      <c r="S476" s="277"/>
      <c r="T476" s="277"/>
      <c r="U476" s="277"/>
      <c r="V476" s="280"/>
      <c r="W476" s="277"/>
      <c r="X476" s="277"/>
      <c r="Y476" s="277"/>
      <c r="Z476" s="277"/>
      <c r="AA476" s="277"/>
      <c r="AB476" s="277"/>
      <c r="AC476" s="277"/>
      <c r="AD476" s="277"/>
      <c r="AE476" s="277"/>
      <c r="AF476" s="277"/>
    </row>
    <row r="477" ht="12.75" customHeight="1">
      <c r="A477" s="277"/>
      <c r="B477" s="278"/>
      <c r="C477" s="277"/>
      <c r="D477" s="278"/>
      <c r="E477" s="279"/>
      <c r="F477" s="277"/>
      <c r="G477" s="277"/>
      <c r="H477" s="277"/>
      <c r="I477" s="277"/>
      <c r="J477" s="277"/>
      <c r="K477" s="277"/>
      <c r="L477" s="277"/>
      <c r="M477" s="277"/>
      <c r="N477" s="277"/>
      <c r="O477" s="277"/>
      <c r="P477" s="277"/>
      <c r="Q477" s="277"/>
      <c r="R477" s="277"/>
      <c r="S477" s="277"/>
      <c r="T477" s="277"/>
      <c r="U477" s="277"/>
      <c r="V477" s="280"/>
      <c r="W477" s="277"/>
      <c r="X477" s="277"/>
      <c r="Y477" s="277"/>
      <c r="Z477" s="277"/>
      <c r="AA477" s="277"/>
      <c r="AB477" s="277"/>
      <c r="AC477" s="277"/>
      <c r="AD477" s="277"/>
      <c r="AE477" s="277"/>
      <c r="AF477" s="277"/>
    </row>
    <row r="478" ht="12.75" customHeight="1">
      <c r="A478" s="277"/>
      <c r="B478" s="278"/>
      <c r="C478" s="277"/>
      <c r="D478" s="278"/>
      <c r="E478" s="279"/>
      <c r="F478" s="277"/>
      <c r="G478" s="277"/>
      <c r="H478" s="277"/>
      <c r="I478" s="277"/>
      <c r="J478" s="277"/>
      <c r="K478" s="277"/>
      <c r="L478" s="277"/>
      <c r="M478" s="277"/>
      <c r="N478" s="277"/>
      <c r="O478" s="277"/>
      <c r="P478" s="277"/>
      <c r="Q478" s="277"/>
      <c r="R478" s="277"/>
      <c r="S478" s="277"/>
      <c r="T478" s="277"/>
      <c r="U478" s="277"/>
      <c r="V478" s="280"/>
      <c r="W478" s="277"/>
      <c r="X478" s="277"/>
      <c r="Y478" s="277"/>
      <c r="Z478" s="277"/>
      <c r="AA478" s="277"/>
      <c r="AB478" s="277"/>
      <c r="AC478" s="277"/>
      <c r="AD478" s="277"/>
      <c r="AE478" s="277"/>
      <c r="AF478" s="277"/>
    </row>
    <row r="479" ht="12.75" customHeight="1">
      <c r="A479" s="277"/>
      <c r="B479" s="278"/>
      <c r="C479" s="277"/>
      <c r="D479" s="278"/>
      <c r="E479" s="279"/>
      <c r="F479" s="277"/>
      <c r="G479" s="277"/>
      <c r="H479" s="277"/>
      <c r="I479" s="277"/>
      <c r="J479" s="277"/>
      <c r="K479" s="277"/>
      <c r="L479" s="277"/>
      <c r="M479" s="277"/>
      <c r="N479" s="277"/>
      <c r="O479" s="277"/>
      <c r="P479" s="277"/>
      <c r="Q479" s="277"/>
      <c r="R479" s="277"/>
      <c r="S479" s="277"/>
      <c r="T479" s="277"/>
      <c r="U479" s="277"/>
      <c r="V479" s="280"/>
      <c r="W479" s="277"/>
      <c r="X479" s="277"/>
      <c r="Y479" s="277"/>
      <c r="Z479" s="277"/>
      <c r="AA479" s="277"/>
      <c r="AB479" s="277"/>
      <c r="AC479" s="277"/>
      <c r="AD479" s="277"/>
      <c r="AE479" s="277"/>
      <c r="AF479" s="277"/>
    </row>
    <row r="480" ht="12.75" customHeight="1">
      <c r="A480" s="277"/>
      <c r="B480" s="278"/>
      <c r="C480" s="277"/>
      <c r="D480" s="278"/>
      <c r="E480" s="279"/>
      <c r="F480" s="277"/>
      <c r="G480" s="277"/>
      <c r="H480" s="277"/>
      <c r="I480" s="277"/>
      <c r="J480" s="277"/>
      <c r="K480" s="277"/>
      <c r="L480" s="277"/>
      <c r="M480" s="277"/>
      <c r="N480" s="277"/>
      <c r="O480" s="277"/>
      <c r="P480" s="277"/>
      <c r="Q480" s="277"/>
      <c r="R480" s="277"/>
      <c r="S480" s="277"/>
      <c r="T480" s="277"/>
      <c r="U480" s="277"/>
      <c r="V480" s="280"/>
      <c r="W480" s="277"/>
      <c r="X480" s="277"/>
      <c r="Y480" s="277"/>
      <c r="Z480" s="277"/>
      <c r="AA480" s="277"/>
      <c r="AB480" s="277"/>
      <c r="AC480" s="277"/>
      <c r="AD480" s="277"/>
      <c r="AE480" s="277"/>
      <c r="AF480" s="277"/>
    </row>
    <row r="481" ht="12.75" customHeight="1">
      <c r="A481" s="277"/>
      <c r="B481" s="278"/>
      <c r="C481" s="277"/>
      <c r="D481" s="278"/>
      <c r="E481" s="279"/>
      <c r="F481" s="277"/>
      <c r="G481" s="277"/>
      <c r="H481" s="277"/>
      <c r="I481" s="277"/>
      <c r="J481" s="277"/>
      <c r="K481" s="277"/>
      <c r="L481" s="277"/>
      <c r="M481" s="277"/>
      <c r="N481" s="277"/>
      <c r="O481" s="277"/>
      <c r="P481" s="277"/>
      <c r="Q481" s="277"/>
      <c r="R481" s="277"/>
      <c r="S481" s="277"/>
      <c r="T481" s="277"/>
      <c r="U481" s="277"/>
      <c r="V481" s="280"/>
      <c r="W481" s="277"/>
      <c r="X481" s="277"/>
      <c r="Y481" s="277"/>
      <c r="Z481" s="277"/>
      <c r="AA481" s="277"/>
      <c r="AB481" s="277"/>
      <c r="AC481" s="277"/>
      <c r="AD481" s="277"/>
      <c r="AE481" s="277"/>
      <c r="AF481" s="277"/>
    </row>
    <row r="482" ht="12.75" customHeight="1">
      <c r="A482" s="277"/>
      <c r="B482" s="278"/>
      <c r="C482" s="277"/>
      <c r="D482" s="278"/>
      <c r="E482" s="279"/>
      <c r="F482" s="277"/>
      <c r="G482" s="277"/>
      <c r="H482" s="277"/>
      <c r="I482" s="277"/>
      <c r="J482" s="277"/>
      <c r="K482" s="277"/>
      <c r="L482" s="277"/>
      <c r="M482" s="277"/>
      <c r="N482" s="277"/>
      <c r="O482" s="277"/>
      <c r="P482" s="277"/>
      <c r="Q482" s="277"/>
      <c r="R482" s="277"/>
      <c r="S482" s="277"/>
      <c r="T482" s="277"/>
      <c r="U482" s="277"/>
      <c r="V482" s="280"/>
      <c r="W482" s="277"/>
      <c r="X482" s="277"/>
      <c r="Y482" s="277"/>
      <c r="Z482" s="277"/>
      <c r="AA482" s="277"/>
      <c r="AB482" s="277"/>
      <c r="AC482" s="277"/>
      <c r="AD482" s="277"/>
      <c r="AE482" s="277"/>
      <c r="AF482" s="277"/>
    </row>
    <row r="483" ht="12.75" customHeight="1">
      <c r="A483" s="277"/>
      <c r="B483" s="278"/>
      <c r="C483" s="277"/>
      <c r="D483" s="278"/>
      <c r="E483" s="279"/>
      <c r="F483" s="277"/>
      <c r="G483" s="277"/>
      <c r="H483" s="277"/>
      <c r="I483" s="277"/>
      <c r="J483" s="277"/>
      <c r="K483" s="277"/>
      <c r="L483" s="277"/>
      <c r="M483" s="277"/>
      <c r="N483" s="277"/>
      <c r="O483" s="277"/>
      <c r="P483" s="277"/>
      <c r="Q483" s="277"/>
      <c r="R483" s="277"/>
      <c r="S483" s="277"/>
      <c r="T483" s="277"/>
      <c r="U483" s="277"/>
      <c r="V483" s="280"/>
      <c r="W483" s="277"/>
      <c r="X483" s="277"/>
      <c r="Y483" s="277"/>
      <c r="Z483" s="277"/>
      <c r="AA483" s="277"/>
      <c r="AB483" s="277"/>
      <c r="AC483" s="277"/>
      <c r="AD483" s="277"/>
      <c r="AE483" s="277"/>
      <c r="AF483" s="277"/>
    </row>
    <row r="484" ht="12.75" customHeight="1">
      <c r="A484" s="277"/>
      <c r="B484" s="278"/>
      <c r="C484" s="277"/>
      <c r="D484" s="278"/>
      <c r="E484" s="279"/>
      <c r="F484" s="277"/>
      <c r="G484" s="277"/>
      <c r="H484" s="277"/>
      <c r="I484" s="277"/>
      <c r="J484" s="277"/>
      <c r="K484" s="277"/>
      <c r="L484" s="277"/>
      <c r="M484" s="277"/>
      <c r="N484" s="277"/>
      <c r="O484" s="277"/>
      <c r="P484" s="277"/>
      <c r="Q484" s="277"/>
      <c r="R484" s="277"/>
      <c r="S484" s="277"/>
      <c r="T484" s="277"/>
      <c r="U484" s="277"/>
      <c r="V484" s="280"/>
      <c r="W484" s="277"/>
      <c r="X484" s="277"/>
      <c r="Y484" s="277"/>
      <c r="Z484" s="277"/>
      <c r="AA484" s="277"/>
      <c r="AB484" s="277"/>
      <c r="AC484" s="277"/>
      <c r="AD484" s="277"/>
      <c r="AE484" s="277"/>
      <c r="AF484" s="277"/>
    </row>
    <row r="485" ht="12.75" customHeight="1">
      <c r="A485" s="277"/>
      <c r="B485" s="278"/>
      <c r="C485" s="277"/>
      <c r="D485" s="278"/>
      <c r="E485" s="279"/>
      <c r="F485" s="277"/>
      <c r="G485" s="277"/>
      <c r="H485" s="277"/>
      <c r="I485" s="277"/>
      <c r="J485" s="277"/>
      <c r="K485" s="277"/>
      <c r="L485" s="277"/>
      <c r="M485" s="277"/>
      <c r="N485" s="277"/>
      <c r="O485" s="277"/>
      <c r="P485" s="277"/>
      <c r="Q485" s="277"/>
      <c r="R485" s="277"/>
      <c r="S485" s="277"/>
      <c r="T485" s="277"/>
      <c r="U485" s="277"/>
      <c r="V485" s="280"/>
      <c r="W485" s="277"/>
      <c r="X485" s="277"/>
      <c r="Y485" s="277"/>
      <c r="Z485" s="277"/>
      <c r="AA485" s="277"/>
      <c r="AB485" s="277"/>
      <c r="AC485" s="277"/>
      <c r="AD485" s="277"/>
      <c r="AE485" s="277"/>
      <c r="AF485" s="277"/>
    </row>
    <row r="486" ht="12.75" customHeight="1">
      <c r="A486" s="277"/>
      <c r="B486" s="278"/>
      <c r="C486" s="277"/>
      <c r="D486" s="278"/>
      <c r="E486" s="279"/>
      <c r="F486" s="277"/>
      <c r="G486" s="277"/>
      <c r="H486" s="277"/>
      <c r="I486" s="277"/>
      <c r="J486" s="277"/>
      <c r="K486" s="277"/>
      <c r="L486" s="277"/>
      <c r="M486" s="277"/>
      <c r="N486" s="277"/>
      <c r="O486" s="277"/>
      <c r="P486" s="277"/>
      <c r="Q486" s="277"/>
      <c r="R486" s="277"/>
      <c r="S486" s="277"/>
      <c r="T486" s="277"/>
      <c r="U486" s="277"/>
      <c r="V486" s="280"/>
      <c r="W486" s="277"/>
      <c r="X486" s="277"/>
      <c r="Y486" s="277"/>
      <c r="Z486" s="277"/>
      <c r="AA486" s="277"/>
      <c r="AB486" s="277"/>
      <c r="AC486" s="277"/>
      <c r="AD486" s="277"/>
      <c r="AE486" s="277"/>
      <c r="AF486" s="277"/>
    </row>
    <row r="487" ht="12.75" customHeight="1">
      <c r="A487" s="277"/>
      <c r="B487" s="278"/>
      <c r="C487" s="277"/>
      <c r="D487" s="278"/>
      <c r="E487" s="279"/>
      <c r="F487" s="277"/>
      <c r="G487" s="277"/>
      <c r="H487" s="277"/>
      <c r="I487" s="277"/>
      <c r="J487" s="277"/>
      <c r="K487" s="277"/>
      <c r="L487" s="277"/>
      <c r="M487" s="277"/>
      <c r="N487" s="277"/>
      <c r="O487" s="277"/>
      <c r="P487" s="277"/>
      <c r="Q487" s="277"/>
      <c r="R487" s="277"/>
      <c r="S487" s="277"/>
      <c r="T487" s="277"/>
      <c r="U487" s="277"/>
      <c r="V487" s="280"/>
      <c r="W487" s="277"/>
      <c r="X487" s="277"/>
      <c r="Y487" s="277"/>
      <c r="Z487" s="277"/>
      <c r="AA487" s="277"/>
      <c r="AB487" s="277"/>
      <c r="AC487" s="277"/>
      <c r="AD487" s="277"/>
      <c r="AE487" s="277"/>
      <c r="AF487" s="277"/>
    </row>
    <row r="488" ht="12.75" customHeight="1">
      <c r="A488" s="277"/>
      <c r="B488" s="278"/>
      <c r="C488" s="277"/>
      <c r="D488" s="278"/>
      <c r="E488" s="279"/>
      <c r="F488" s="277"/>
      <c r="G488" s="277"/>
      <c r="H488" s="277"/>
      <c r="I488" s="277"/>
      <c r="J488" s="277"/>
      <c r="K488" s="277"/>
      <c r="L488" s="277"/>
      <c r="M488" s="277"/>
      <c r="N488" s="277"/>
      <c r="O488" s="277"/>
      <c r="P488" s="277"/>
      <c r="Q488" s="277"/>
      <c r="R488" s="277"/>
      <c r="S488" s="277"/>
      <c r="T488" s="277"/>
      <c r="U488" s="277"/>
      <c r="V488" s="280"/>
      <c r="W488" s="277"/>
      <c r="X488" s="277"/>
      <c r="Y488" s="277"/>
      <c r="Z488" s="277"/>
      <c r="AA488" s="277"/>
      <c r="AB488" s="277"/>
      <c r="AC488" s="277"/>
      <c r="AD488" s="277"/>
      <c r="AE488" s="277"/>
      <c r="AF488" s="277"/>
    </row>
    <row r="489" ht="12.75" customHeight="1">
      <c r="A489" s="277"/>
      <c r="B489" s="278"/>
      <c r="C489" s="277"/>
      <c r="D489" s="278"/>
      <c r="E489" s="279"/>
      <c r="F489" s="277"/>
      <c r="G489" s="277"/>
      <c r="H489" s="277"/>
      <c r="I489" s="277"/>
      <c r="J489" s="277"/>
      <c r="K489" s="277"/>
      <c r="L489" s="277"/>
      <c r="M489" s="277"/>
      <c r="N489" s="277"/>
      <c r="O489" s="277"/>
      <c r="P489" s="277"/>
      <c r="Q489" s="277"/>
      <c r="R489" s="277"/>
      <c r="S489" s="277"/>
      <c r="T489" s="277"/>
      <c r="U489" s="277"/>
      <c r="V489" s="280"/>
      <c r="W489" s="277"/>
      <c r="X489" s="277"/>
      <c r="Y489" s="277"/>
      <c r="Z489" s="277"/>
      <c r="AA489" s="277"/>
      <c r="AB489" s="277"/>
      <c r="AC489" s="277"/>
      <c r="AD489" s="277"/>
      <c r="AE489" s="277"/>
      <c r="AF489" s="277"/>
    </row>
    <row r="490" ht="12.75" customHeight="1">
      <c r="A490" s="277"/>
      <c r="B490" s="278"/>
      <c r="C490" s="277"/>
      <c r="D490" s="278"/>
      <c r="E490" s="279"/>
      <c r="F490" s="277"/>
      <c r="G490" s="277"/>
      <c r="H490" s="277"/>
      <c r="I490" s="277"/>
      <c r="J490" s="277"/>
      <c r="K490" s="277"/>
      <c r="L490" s="277"/>
      <c r="M490" s="277"/>
      <c r="N490" s="277"/>
      <c r="O490" s="277"/>
      <c r="P490" s="277"/>
      <c r="Q490" s="277"/>
      <c r="R490" s="277"/>
      <c r="S490" s="277"/>
      <c r="T490" s="277"/>
      <c r="U490" s="277"/>
      <c r="V490" s="280"/>
      <c r="W490" s="277"/>
      <c r="X490" s="277"/>
      <c r="Y490" s="277"/>
      <c r="Z490" s="277"/>
      <c r="AA490" s="277"/>
      <c r="AB490" s="277"/>
      <c r="AC490" s="277"/>
      <c r="AD490" s="277"/>
      <c r="AE490" s="277"/>
      <c r="AF490" s="277"/>
    </row>
    <row r="491" ht="12.75" customHeight="1">
      <c r="A491" s="277"/>
      <c r="B491" s="278"/>
      <c r="C491" s="277"/>
      <c r="D491" s="278"/>
      <c r="E491" s="279"/>
      <c r="F491" s="277"/>
      <c r="G491" s="277"/>
      <c r="H491" s="277"/>
      <c r="I491" s="277"/>
      <c r="J491" s="277"/>
      <c r="K491" s="277"/>
      <c r="L491" s="277"/>
      <c r="M491" s="277"/>
      <c r="N491" s="277"/>
      <c r="O491" s="277"/>
      <c r="P491" s="277"/>
      <c r="Q491" s="277"/>
      <c r="R491" s="277"/>
      <c r="S491" s="277"/>
      <c r="T491" s="277"/>
      <c r="U491" s="277"/>
      <c r="V491" s="280"/>
      <c r="W491" s="277"/>
      <c r="X491" s="277"/>
      <c r="Y491" s="277"/>
      <c r="Z491" s="277"/>
      <c r="AA491" s="277"/>
      <c r="AB491" s="277"/>
      <c r="AC491" s="277"/>
      <c r="AD491" s="277"/>
      <c r="AE491" s="277"/>
      <c r="AF491" s="277"/>
    </row>
    <row r="492" ht="12.75" customHeight="1">
      <c r="A492" s="277"/>
      <c r="B492" s="278"/>
      <c r="C492" s="277"/>
      <c r="D492" s="278"/>
      <c r="E492" s="279"/>
      <c r="F492" s="277"/>
      <c r="G492" s="277"/>
      <c r="H492" s="277"/>
      <c r="I492" s="277"/>
      <c r="J492" s="277"/>
      <c r="K492" s="277"/>
      <c r="L492" s="277"/>
      <c r="M492" s="277"/>
      <c r="N492" s="277"/>
      <c r="O492" s="277"/>
      <c r="P492" s="277"/>
      <c r="Q492" s="277"/>
      <c r="R492" s="277"/>
      <c r="S492" s="277"/>
      <c r="T492" s="277"/>
      <c r="U492" s="277"/>
      <c r="V492" s="280"/>
      <c r="W492" s="277"/>
      <c r="X492" s="277"/>
      <c r="Y492" s="277"/>
      <c r="Z492" s="277"/>
      <c r="AA492" s="277"/>
      <c r="AB492" s="277"/>
      <c r="AC492" s="277"/>
      <c r="AD492" s="277"/>
      <c r="AE492" s="277"/>
      <c r="AF492" s="277"/>
    </row>
    <row r="493" ht="12.75" customHeight="1">
      <c r="A493" s="277"/>
      <c r="B493" s="278"/>
      <c r="C493" s="277"/>
      <c r="D493" s="278"/>
      <c r="E493" s="279"/>
      <c r="F493" s="277"/>
      <c r="G493" s="277"/>
      <c r="H493" s="277"/>
      <c r="I493" s="277"/>
      <c r="J493" s="277"/>
      <c r="K493" s="277"/>
      <c r="L493" s="277"/>
      <c r="M493" s="277"/>
      <c r="N493" s="277"/>
      <c r="O493" s="277"/>
      <c r="P493" s="277"/>
      <c r="Q493" s="277"/>
      <c r="R493" s="277"/>
      <c r="S493" s="277"/>
      <c r="T493" s="277"/>
      <c r="U493" s="277"/>
      <c r="V493" s="280"/>
      <c r="W493" s="277"/>
      <c r="X493" s="277"/>
      <c r="Y493" s="277"/>
      <c r="Z493" s="277"/>
      <c r="AA493" s="277"/>
      <c r="AB493" s="277"/>
      <c r="AC493" s="277"/>
      <c r="AD493" s="277"/>
      <c r="AE493" s="277"/>
      <c r="AF493" s="277"/>
    </row>
    <row r="494" ht="12.75" customHeight="1">
      <c r="A494" s="277"/>
      <c r="B494" s="278"/>
      <c r="C494" s="277"/>
      <c r="D494" s="278"/>
      <c r="E494" s="279"/>
      <c r="F494" s="277"/>
      <c r="G494" s="277"/>
      <c r="H494" s="277"/>
      <c r="I494" s="277"/>
      <c r="J494" s="277"/>
      <c r="K494" s="277"/>
      <c r="L494" s="277"/>
      <c r="M494" s="277"/>
      <c r="N494" s="277"/>
      <c r="O494" s="277"/>
      <c r="P494" s="277"/>
      <c r="Q494" s="277"/>
      <c r="R494" s="277"/>
      <c r="S494" s="277"/>
      <c r="T494" s="277"/>
      <c r="U494" s="277"/>
      <c r="V494" s="280"/>
      <c r="W494" s="277"/>
      <c r="X494" s="277"/>
      <c r="Y494" s="277"/>
      <c r="Z494" s="277"/>
      <c r="AA494" s="277"/>
      <c r="AB494" s="277"/>
      <c r="AC494" s="277"/>
      <c r="AD494" s="277"/>
      <c r="AE494" s="277"/>
      <c r="AF494" s="277"/>
    </row>
    <row r="495" ht="12.75" customHeight="1">
      <c r="A495" s="277"/>
      <c r="B495" s="278"/>
      <c r="C495" s="277"/>
      <c r="D495" s="278"/>
      <c r="E495" s="279"/>
      <c r="F495" s="277"/>
      <c r="G495" s="277"/>
      <c r="H495" s="277"/>
      <c r="I495" s="277"/>
      <c r="J495" s="277"/>
      <c r="K495" s="277"/>
      <c r="L495" s="277"/>
      <c r="M495" s="277"/>
      <c r="N495" s="277"/>
      <c r="O495" s="277"/>
      <c r="P495" s="277"/>
      <c r="Q495" s="277"/>
      <c r="R495" s="277"/>
      <c r="S495" s="277"/>
      <c r="T495" s="277"/>
      <c r="U495" s="277"/>
      <c r="V495" s="280"/>
      <c r="W495" s="277"/>
      <c r="X495" s="277"/>
      <c r="Y495" s="277"/>
      <c r="Z495" s="277"/>
      <c r="AA495" s="277"/>
      <c r="AB495" s="277"/>
      <c r="AC495" s="277"/>
      <c r="AD495" s="277"/>
      <c r="AE495" s="277"/>
      <c r="AF495" s="277"/>
    </row>
    <row r="496" ht="12.75" customHeight="1">
      <c r="A496" s="277"/>
      <c r="B496" s="278"/>
      <c r="C496" s="277"/>
      <c r="D496" s="278"/>
      <c r="E496" s="279"/>
      <c r="F496" s="277"/>
      <c r="G496" s="277"/>
      <c r="H496" s="277"/>
      <c r="I496" s="277"/>
      <c r="J496" s="277"/>
      <c r="K496" s="277"/>
      <c r="L496" s="277"/>
      <c r="M496" s="277"/>
      <c r="N496" s="277"/>
      <c r="O496" s="277"/>
      <c r="P496" s="277"/>
      <c r="Q496" s="277"/>
      <c r="R496" s="277"/>
      <c r="S496" s="277"/>
      <c r="T496" s="277"/>
      <c r="U496" s="277"/>
      <c r="V496" s="280"/>
      <c r="W496" s="277"/>
      <c r="X496" s="277"/>
      <c r="Y496" s="277"/>
      <c r="Z496" s="277"/>
      <c r="AA496" s="277"/>
      <c r="AB496" s="277"/>
      <c r="AC496" s="277"/>
      <c r="AD496" s="277"/>
      <c r="AE496" s="277"/>
      <c r="AF496" s="277"/>
    </row>
    <row r="497" ht="12.75" customHeight="1">
      <c r="A497" s="277"/>
      <c r="B497" s="278"/>
      <c r="C497" s="277"/>
      <c r="D497" s="278"/>
      <c r="E497" s="279"/>
      <c r="F497" s="277"/>
      <c r="G497" s="277"/>
      <c r="H497" s="277"/>
      <c r="I497" s="277"/>
      <c r="J497" s="277"/>
      <c r="K497" s="277"/>
      <c r="L497" s="277"/>
      <c r="M497" s="277"/>
      <c r="N497" s="277"/>
      <c r="O497" s="277"/>
      <c r="P497" s="277"/>
      <c r="Q497" s="277"/>
      <c r="R497" s="277"/>
      <c r="S497" s="277"/>
      <c r="T497" s="277"/>
      <c r="U497" s="277"/>
      <c r="V497" s="280"/>
      <c r="W497" s="277"/>
      <c r="X497" s="277"/>
      <c r="Y497" s="277"/>
      <c r="Z497" s="277"/>
      <c r="AA497" s="277"/>
      <c r="AB497" s="277"/>
      <c r="AC497" s="277"/>
      <c r="AD497" s="277"/>
      <c r="AE497" s="277"/>
      <c r="AF497" s="277"/>
    </row>
    <row r="498" ht="12.75" customHeight="1">
      <c r="A498" s="277"/>
      <c r="B498" s="278"/>
      <c r="C498" s="277"/>
      <c r="D498" s="278"/>
      <c r="E498" s="279"/>
      <c r="F498" s="277"/>
      <c r="G498" s="277"/>
      <c r="H498" s="277"/>
      <c r="I498" s="277"/>
      <c r="J498" s="277"/>
      <c r="K498" s="277"/>
      <c r="L498" s="277"/>
      <c r="M498" s="277"/>
      <c r="N498" s="277"/>
      <c r="O498" s="277"/>
      <c r="P498" s="277"/>
      <c r="Q498" s="277"/>
      <c r="R498" s="277"/>
      <c r="S498" s="277"/>
      <c r="T498" s="277"/>
      <c r="U498" s="277"/>
      <c r="V498" s="280"/>
      <c r="W498" s="277"/>
      <c r="X498" s="277"/>
      <c r="Y498" s="277"/>
      <c r="Z498" s="277"/>
      <c r="AA498" s="277"/>
      <c r="AB498" s="277"/>
      <c r="AC498" s="277"/>
      <c r="AD498" s="277"/>
      <c r="AE498" s="277"/>
      <c r="AF498" s="277"/>
    </row>
    <row r="499" ht="12.75" customHeight="1">
      <c r="A499" s="277"/>
      <c r="B499" s="278"/>
      <c r="C499" s="277"/>
      <c r="D499" s="278"/>
      <c r="E499" s="279"/>
      <c r="F499" s="277"/>
      <c r="G499" s="277"/>
      <c r="H499" s="277"/>
      <c r="I499" s="277"/>
      <c r="J499" s="277"/>
      <c r="K499" s="277"/>
      <c r="L499" s="277"/>
      <c r="M499" s="277"/>
      <c r="N499" s="277"/>
      <c r="O499" s="277"/>
      <c r="P499" s="277"/>
      <c r="Q499" s="277"/>
      <c r="R499" s="277"/>
      <c r="S499" s="277"/>
      <c r="T499" s="277"/>
      <c r="U499" s="277"/>
      <c r="V499" s="280"/>
      <c r="W499" s="277"/>
      <c r="X499" s="277"/>
      <c r="Y499" s="277"/>
      <c r="Z499" s="277"/>
      <c r="AA499" s="277"/>
      <c r="AB499" s="277"/>
      <c r="AC499" s="277"/>
      <c r="AD499" s="277"/>
      <c r="AE499" s="277"/>
      <c r="AF499" s="277"/>
    </row>
    <row r="500" ht="12.75" customHeight="1">
      <c r="A500" s="277"/>
      <c r="B500" s="278"/>
      <c r="C500" s="277"/>
      <c r="D500" s="278"/>
      <c r="E500" s="279"/>
      <c r="F500" s="277"/>
      <c r="G500" s="277"/>
      <c r="H500" s="277"/>
      <c r="I500" s="277"/>
      <c r="J500" s="277"/>
      <c r="K500" s="277"/>
      <c r="L500" s="277"/>
      <c r="M500" s="277"/>
      <c r="N500" s="277"/>
      <c r="O500" s="277"/>
      <c r="P500" s="277"/>
      <c r="Q500" s="277"/>
      <c r="R500" s="277"/>
      <c r="S500" s="277"/>
      <c r="T500" s="277"/>
      <c r="U500" s="277"/>
      <c r="V500" s="280"/>
      <c r="W500" s="277"/>
      <c r="X500" s="277"/>
      <c r="Y500" s="277"/>
      <c r="Z500" s="277"/>
      <c r="AA500" s="277"/>
      <c r="AB500" s="277"/>
      <c r="AC500" s="277"/>
      <c r="AD500" s="277"/>
      <c r="AE500" s="277"/>
      <c r="AF500" s="277"/>
    </row>
    <row r="501" ht="12.75" customHeight="1">
      <c r="A501" s="277"/>
      <c r="B501" s="278"/>
      <c r="C501" s="277"/>
      <c r="D501" s="278"/>
      <c r="E501" s="279"/>
      <c r="F501" s="277"/>
      <c r="G501" s="277"/>
      <c r="H501" s="277"/>
      <c r="I501" s="277"/>
      <c r="J501" s="277"/>
      <c r="K501" s="277"/>
      <c r="L501" s="277"/>
      <c r="M501" s="277"/>
      <c r="N501" s="277"/>
      <c r="O501" s="277"/>
      <c r="P501" s="277"/>
      <c r="Q501" s="277"/>
      <c r="R501" s="277"/>
      <c r="S501" s="277"/>
      <c r="T501" s="277"/>
      <c r="U501" s="277"/>
      <c r="V501" s="280"/>
      <c r="W501" s="277"/>
      <c r="X501" s="277"/>
      <c r="Y501" s="277"/>
      <c r="Z501" s="277"/>
      <c r="AA501" s="277"/>
      <c r="AB501" s="277"/>
      <c r="AC501" s="277"/>
      <c r="AD501" s="277"/>
      <c r="AE501" s="277"/>
      <c r="AF501" s="277"/>
    </row>
    <row r="502" ht="12.75" customHeight="1">
      <c r="A502" s="277"/>
      <c r="B502" s="278"/>
      <c r="C502" s="277"/>
      <c r="D502" s="278"/>
      <c r="E502" s="279"/>
      <c r="F502" s="277"/>
      <c r="G502" s="277"/>
      <c r="H502" s="277"/>
      <c r="I502" s="277"/>
      <c r="J502" s="277"/>
      <c r="K502" s="277"/>
      <c r="L502" s="277"/>
      <c r="M502" s="277"/>
      <c r="N502" s="277"/>
      <c r="O502" s="277"/>
      <c r="P502" s="277"/>
      <c r="Q502" s="277"/>
      <c r="R502" s="277"/>
      <c r="S502" s="277"/>
      <c r="T502" s="277"/>
      <c r="U502" s="277"/>
      <c r="V502" s="280"/>
      <c r="W502" s="277"/>
      <c r="X502" s="277"/>
      <c r="Y502" s="277"/>
      <c r="Z502" s="277"/>
      <c r="AA502" s="277"/>
      <c r="AB502" s="277"/>
      <c r="AC502" s="277"/>
      <c r="AD502" s="277"/>
      <c r="AE502" s="277"/>
      <c r="AF502" s="277"/>
    </row>
    <row r="503" ht="12.75" customHeight="1">
      <c r="A503" s="277"/>
      <c r="B503" s="278"/>
      <c r="C503" s="277"/>
      <c r="D503" s="278"/>
      <c r="E503" s="279"/>
      <c r="F503" s="277"/>
      <c r="G503" s="277"/>
      <c r="H503" s="277"/>
      <c r="I503" s="277"/>
      <c r="J503" s="277"/>
      <c r="K503" s="277"/>
      <c r="L503" s="277"/>
      <c r="M503" s="277"/>
      <c r="N503" s="277"/>
      <c r="O503" s="277"/>
      <c r="P503" s="277"/>
      <c r="Q503" s="277"/>
      <c r="R503" s="277"/>
      <c r="S503" s="277"/>
      <c r="T503" s="277"/>
      <c r="U503" s="277"/>
      <c r="V503" s="280"/>
      <c r="W503" s="277"/>
      <c r="X503" s="277"/>
      <c r="Y503" s="277"/>
      <c r="Z503" s="277"/>
      <c r="AA503" s="277"/>
      <c r="AB503" s="277"/>
      <c r="AC503" s="277"/>
      <c r="AD503" s="277"/>
      <c r="AE503" s="277"/>
      <c r="AF503" s="277"/>
    </row>
    <row r="504" ht="12.75" customHeight="1">
      <c r="A504" s="277"/>
      <c r="B504" s="278"/>
      <c r="C504" s="277"/>
      <c r="D504" s="278"/>
      <c r="E504" s="279"/>
      <c r="F504" s="277"/>
      <c r="G504" s="277"/>
      <c r="H504" s="277"/>
      <c r="I504" s="277"/>
      <c r="J504" s="277"/>
      <c r="K504" s="277"/>
      <c r="L504" s="277"/>
      <c r="M504" s="277"/>
      <c r="N504" s="277"/>
      <c r="O504" s="277"/>
      <c r="P504" s="277"/>
      <c r="Q504" s="277"/>
      <c r="R504" s="277"/>
      <c r="S504" s="277"/>
      <c r="T504" s="277"/>
      <c r="U504" s="277"/>
      <c r="V504" s="280"/>
      <c r="W504" s="277"/>
      <c r="X504" s="277"/>
      <c r="Y504" s="277"/>
      <c r="Z504" s="277"/>
      <c r="AA504" s="277"/>
      <c r="AB504" s="277"/>
      <c r="AC504" s="277"/>
      <c r="AD504" s="277"/>
      <c r="AE504" s="277"/>
      <c r="AF504" s="277"/>
    </row>
    <row r="505" ht="12.75" customHeight="1">
      <c r="A505" s="277"/>
      <c r="B505" s="278"/>
      <c r="C505" s="277"/>
      <c r="D505" s="278"/>
      <c r="E505" s="279"/>
      <c r="F505" s="277"/>
      <c r="G505" s="277"/>
      <c r="H505" s="277"/>
      <c r="I505" s="277"/>
      <c r="J505" s="277"/>
      <c r="K505" s="277"/>
      <c r="L505" s="277"/>
      <c r="M505" s="277"/>
      <c r="N505" s="277"/>
      <c r="O505" s="277"/>
      <c r="P505" s="277"/>
      <c r="Q505" s="277"/>
      <c r="R505" s="277"/>
      <c r="S505" s="277"/>
      <c r="T505" s="277"/>
      <c r="U505" s="277"/>
      <c r="V505" s="280"/>
      <c r="W505" s="277"/>
      <c r="X505" s="277"/>
      <c r="Y505" s="277"/>
      <c r="Z505" s="277"/>
      <c r="AA505" s="277"/>
      <c r="AB505" s="277"/>
      <c r="AC505" s="277"/>
      <c r="AD505" s="277"/>
      <c r="AE505" s="277"/>
      <c r="AF505" s="277"/>
    </row>
    <row r="506" ht="12.75" customHeight="1">
      <c r="A506" s="277"/>
      <c r="B506" s="278"/>
      <c r="C506" s="277"/>
      <c r="D506" s="278"/>
      <c r="E506" s="279"/>
      <c r="F506" s="277"/>
      <c r="G506" s="277"/>
      <c r="H506" s="277"/>
      <c r="I506" s="277"/>
      <c r="J506" s="277"/>
      <c r="K506" s="277"/>
      <c r="L506" s="277"/>
      <c r="M506" s="277"/>
      <c r="N506" s="277"/>
      <c r="O506" s="277"/>
      <c r="P506" s="277"/>
      <c r="Q506" s="277"/>
      <c r="R506" s="277"/>
      <c r="S506" s="277"/>
      <c r="T506" s="277"/>
      <c r="U506" s="277"/>
      <c r="V506" s="280"/>
      <c r="W506" s="277"/>
      <c r="X506" s="277"/>
      <c r="Y506" s="277"/>
      <c r="Z506" s="277"/>
      <c r="AA506" s="277"/>
      <c r="AB506" s="277"/>
      <c r="AC506" s="277"/>
      <c r="AD506" s="277"/>
      <c r="AE506" s="277"/>
      <c r="AF506" s="277"/>
    </row>
    <row r="507" ht="12.75" customHeight="1">
      <c r="A507" s="277"/>
      <c r="B507" s="278"/>
      <c r="C507" s="277"/>
      <c r="D507" s="278"/>
      <c r="E507" s="279"/>
      <c r="F507" s="277"/>
      <c r="G507" s="277"/>
      <c r="H507" s="277"/>
      <c r="I507" s="277"/>
      <c r="J507" s="277"/>
      <c r="K507" s="277"/>
      <c r="L507" s="277"/>
      <c r="M507" s="277"/>
      <c r="N507" s="277"/>
      <c r="O507" s="277"/>
      <c r="P507" s="277"/>
      <c r="Q507" s="277"/>
      <c r="R507" s="277"/>
      <c r="S507" s="277"/>
      <c r="T507" s="277"/>
      <c r="U507" s="277"/>
      <c r="V507" s="280"/>
      <c r="W507" s="277"/>
      <c r="X507" s="277"/>
      <c r="Y507" s="277"/>
      <c r="Z507" s="277"/>
      <c r="AA507" s="277"/>
      <c r="AB507" s="277"/>
      <c r="AC507" s="277"/>
      <c r="AD507" s="277"/>
      <c r="AE507" s="277"/>
      <c r="AF507" s="277"/>
    </row>
    <row r="508" ht="12.75" customHeight="1">
      <c r="A508" s="277"/>
      <c r="B508" s="278"/>
      <c r="C508" s="277"/>
      <c r="D508" s="278"/>
      <c r="E508" s="279"/>
      <c r="F508" s="277"/>
      <c r="G508" s="277"/>
      <c r="H508" s="277"/>
      <c r="I508" s="277"/>
      <c r="J508" s="277"/>
      <c r="K508" s="277"/>
      <c r="L508" s="277"/>
      <c r="M508" s="277"/>
      <c r="N508" s="277"/>
      <c r="O508" s="277"/>
      <c r="P508" s="277"/>
      <c r="Q508" s="277"/>
      <c r="R508" s="277"/>
      <c r="S508" s="277"/>
      <c r="T508" s="277"/>
      <c r="U508" s="277"/>
      <c r="V508" s="280"/>
      <c r="W508" s="277"/>
      <c r="X508" s="277"/>
      <c r="Y508" s="277"/>
      <c r="Z508" s="277"/>
      <c r="AA508" s="277"/>
      <c r="AB508" s="277"/>
      <c r="AC508" s="277"/>
      <c r="AD508" s="277"/>
      <c r="AE508" s="277"/>
      <c r="AF508" s="277"/>
    </row>
    <row r="509" ht="12.75" customHeight="1">
      <c r="A509" s="277"/>
      <c r="B509" s="278"/>
      <c r="C509" s="277"/>
      <c r="D509" s="278"/>
      <c r="E509" s="279"/>
      <c r="F509" s="277"/>
      <c r="G509" s="277"/>
      <c r="H509" s="277"/>
      <c r="I509" s="277"/>
      <c r="J509" s="277"/>
      <c r="K509" s="277"/>
      <c r="L509" s="277"/>
      <c r="M509" s="277"/>
      <c r="N509" s="277"/>
      <c r="O509" s="277"/>
      <c r="P509" s="277"/>
      <c r="Q509" s="277"/>
      <c r="R509" s="277"/>
      <c r="S509" s="277"/>
      <c r="T509" s="277"/>
      <c r="U509" s="277"/>
      <c r="V509" s="280"/>
      <c r="W509" s="277"/>
      <c r="X509" s="277"/>
      <c r="Y509" s="277"/>
      <c r="Z509" s="277"/>
      <c r="AA509" s="277"/>
      <c r="AB509" s="277"/>
      <c r="AC509" s="277"/>
      <c r="AD509" s="277"/>
      <c r="AE509" s="277"/>
      <c r="AF509" s="277"/>
    </row>
    <row r="510" ht="12.75" customHeight="1">
      <c r="A510" s="277"/>
      <c r="B510" s="278"/>
      <c r="C510" s="277"/>
      <c r="D510" s="278"/>
      <c r="E510" s="279"/>
      <c r="F510" s="277"/>
      <c r="G510" s="277"/>
      <c r="H510" s="277"/>
      <c r="I510" s="277"/>
      <c r="J510" s="277"/>
      <c r="K510" s="277"/>
      <c r="L510" s="277"/>
      <c r="M510" s="277"/>
      <c r="N510" s="277"/>
      <c r="O510" s="277"/>
      <c r="P510" s="277"/>
      <c r="Q510" s="277"/>
      <c r="R510" s="277"/>
      <c r="S510" s="277"/>
      <c r="T510" s="277"/>
      <c r="U510" s="277"/>
      <c r="V510" s="280"/>
      <c r="W510" s="277"/>
      <c r="X510" s="277"/>
      <c r="Y510" s="277"/>
      <c r="Z510" s="277"/>
      <c r="AA510" s="277"/>
      <c r="AB510" s="277"/>
      <c r="AC510" s="277"/>
      <c r="AD510" s="277"/>
      <c r="AE510" s="277"/>
      <c r="AF510" s="277"/>
    </row>
    <row r="511" ht="12.75" customHeight="1">
      <c r="A511" s="277"/>
      <c r="B511" s="278"/>
      <c r="C511" s="277"/>
      <c r="D511" s="278"/>
      <c r="E511" s="279"/>
      <c r="F511" s="277"/>
      <c r="G511" s="277"/>
      <c r="H511" s="277"/>
      <c r="I511" s="277"/>
      <c r="J511" s="277"/>
      <c r="K511" s="277"/>
      <c r="L511" s="277"/>
      <c r="M511" s="277"/>
      <c r="N511" s="277"/>
      <c r="O511" s="277"/>
      <c r="P511" s="277"/>
      <c r="Q511" s="277"/>
      <c r="R511" s="277"/>
      <c r="S511" s="277"/>
      <c r="T511" s="277"/>
      <c r="U511" s="277"/>
      <c r="V511" s="280"/>
      <c r="W511" s="277"/>
      <c r="X511" s="277"/>
      <c r="Y511" s="277"/>
      <c r="Z511" s="277"/>
      <c r="AA511" s="277"/>
      <c r="AB511" s="277"/>
      <c r="AC511" s="277"/>
      <c r="AD511" s="277"/>
      <c r="AE511" s="277"/>
      <c r="AF511" s="277"/>
    </row>
    <row r="512" ht="12.75" customHeight="1">
      <c r="A512" s="277"/>
      <c r="B512" s="278"/>
      <c r="C512" s="277"/>
      <c r="D512" s="278"/>
      <c r="E512" s="279"/>
      <c r="F512" s="277"/>
      <c r="G512" s="277"/>
      <c r="H512" s="277"/>
      <c r="I512" s="277"/>
      <c r="J512" s="277"/>
      <c r="K512" s="277"/>
      <c r="L512" s="277"/>
      <c r="M512" s="277"/>
      <c r="N512" s="277"/>
      <c r="O512" s="277"/>
      <c r="P512" s="277"/>
      <c r="Q512" s="277"/>
      <c r="R512" s="277"/>
      <c r="S512" s="277"/>
      <c r="T512" s="277"/>
      <c r="U512" s="277"/>
      <c r="V512" s="280"/>
      <c r="W512" s="277"/>
      <c r="X512" s="277"/>
      <c r="Y512" s="277"/>
      <c r="Z512" s="277"/>
      <c r="AA512" s="277"/>
      <c r="AB512" s="277"/>
      <c r="AC512" s="277"/>
      <c r="AD512" s="277"/>
      <c r="AE512" s="277"/>
      <c r="AF512" s="277"/>
    </row>
    <row r="513" ht="12.75" customHeight="1">
      <c r="A513" s="277"/>
      <c r="B513" s="278"/>
      <c r="C513" s="277"/>
      <c r="D513" s="278"/>
      <c r="E513" s="279"/>
      <c r="F513" s="277"/>
      <c r="G513" s="277"/>
      <c r="H513" s="277"/>
      <c r="I513" s="277"/>
      <c r="J513" s="277"/>
      <c r="K513" s="277"/>
      <c r="L513" s="277"/>
      <c r="M513" s="277"/>
      <c r="N513" s="277"/>
      <c r="O513" s="277"/>
      <c r="P513" s="277"/>
      <c r="Q513" s="277"/>
      <c r="R513" s="277"/>
      <c r="S513" s="277"/>
      <c r="T513" s="277"/>
      <c r="U513" s="277"/>
      <c r="V513" s="280"/>
      <c r="W513" s="277"/>
      <c r="X513" s="277"/>
      <c r="Y513" s="277"/>
      <c r="Z513" s="277"/>
      <c r="AA513" s="277"/>
      <c r="AB513" s="277"/>
      <c r="AC513" s="277"/>
      <c r="AD513" s="277"/>
      <c r="AE513" s="277"/>
      <c r="AF513" s="277"/>
    </row>
    <row r="514" ht="12.75" customHeight="1">
      <c r="A514" s="277"/>
      <c r="B514" s="278"/>
      <c r="C514" s="277"/>
      <c r="D514" s="278"/>
      <c r="E514" s="279"/>
      <c r="F514" s="277"/>
      <c r="G514" s="277"/>
      <c r="H514" s="277"/>
      <c r="I514" s="277"/>
      <c r="J514" s="277"/>
      <c r="K514" s="277"/>
      <c r="L514" s="277"/>
      <c r="M514" s="277"/>
      <c r="N514" s="277"/>
      <c r="O514" s="277"/>
      <c r="P514" s="277"/>
      <c r="Q514" s="277"/>
      <c r="R514" s="277"/>
      <c r="S514" s="277"/>
      <c r="T514" s="277"/>
      <c r="U514" s="277"/>
      <c r="V514" s="280"/>
      <c r="W514" s="277"/>
      <c r="X514" s="277"/>
      <c r="Y514" s="277"/>
      <c r="Z514" s="277"/>
      <c r="AA514" s="277"/>
      <c r="AB514" s="277"/>
      <c r="AC514" s="277"/>
      <c r="AD514" s="277"/>
      <c r="AE514" s="277"/>
      <c r="AF514" s="277"/>
    </row>
    <row r="515" ht="12.75" customHeight="1">
      <c r="A515" s="277"/>
      <c r="B515" s="278"/>
      <c r="C515" s="277"/>
      <c r="D515" s="278"/>
      <c r="E515" s="279"/>
      <c r="F515" s="277"/>
      <c r="G515" s="277"/>
      <c r="H515" s="277"/>
      <c r="I515" s="277"/>
      <c r="J515" s="277"/>
      <c r="K515" s="277"/>
      <c r="L515" s="277"/>
      <c r="M515" s="277"/>
      <c r="N515" s="277"/>
      <c r="O515" s="277"/>
      <c r="P515" s="277"/>
      <c r="Q515" s="277"/>
      <c r="R515" s="277"/>
      <c r="S515" s="277"/>
      <c r="T515" s="277"/>
      <c r="U515" s="277"/>
      <c r="V515" s="280"/>
      <c r="W515" s="277"/>
      <c r="X515" s="277"/>
      <c r="Y515" s="277"/>
      <c r="Z515" s="277"/>
      <c r="AA515" s="277"/>
      <c r="AB515" s="277"/>
      <c r="AC515" s="277"/>
      <c r="AD515" s="277"/>
      <c r="AE515" s="277"/>
      <c r="AF515" s="277"/>
    </row>
    <row r="516" ht="12.75" customHeight="1">
      <c r="A516" s="277"/>
      <c r="B516" s="278"/>
      <c r="C516" s="277"/>
      <c r="D516" s="278"/>
      <c r="E516" s="279"/>
      <c r="F516" s="277"/>
      <c r="G516" s="277"/>
      <c r="H516" s="277"/>
      <c r="I516" s="277"/>
      <c r="J516" s="277"/>
      <c r="K516" s="277"/>
      <c r="L516" s="277"/>
      <c r="M516" s="277"/>
      <c r="N516" s="277"/>
      <c r="O516" s="277"/>
      <c r="P516" s="277"/>
      <c r="Q516" s="277"/>
      <c r="R516" s="277"/>
      <c r="S516" s="277"/>
      <c r="T516" s="277"/>
      <c r="U516" s="277"/>
      <c r="V516" s="280"/>
      <c r="W516" s="277"/>
      <c r="X516" s="277"/>
      <c r="Y516" s="277"/>
      <c r="Z516" s="277"/>
      <c r="AA516" s="277"/>
      <c r="AB516" s="277"/>
      <c r="AC516" s="277"/>
      <c r="AD516" s="277"/>
      <c r="AE516" s="277"/>
      <c r="AF516" s="277"/>
    </row>
    <row r="517" ht="12.75" customHeight="1">
      <c r="A517" s="277"/>
      <c r="B517" s="278"/>
      <c r="C517" s="277"/>
      <c r="D517" s="278"/>
      <c r="E517" s="279"/>
      <c r="F517" s="277"/>
      <c r="G517" s="277"/>
      <c r="H517" s="277"/>
      <c r="I517" s="277"/>
      <c r="J517" s="277"/>
      <c r="K517" s="277"/>
      <c r="L517" s="277"/>
      <c r="M517" s="277"/>
      <c r="N517" s="277"/>
      <c r="O517" s="277"/>
      <c r="P517" s="277"/>
      <c r="Q517" s="277"/>
      <c r="R517" s="277"/>
      <c r="S517" s="277"/>
      <c r="T517" s="277"/>
      <c r="U517" s="277"/>
      <c r="V517" s="280"/>
      <c r="W517" s="277"/>
      <c r="X517" s="277"/>
      <c r="Y517" s="277"/>
      <c r="Z517" s="277"/>
      <c r="AA517" s="277"/>
      <c r="AB517" s="277"/>
      <c r="AC517" s="277"/>
      <c r="AD517" s="277"/>
      <c r="AE517" s="277"/>
      <c r="AF517" s="277"/>
    </row>
    <row r="518" ht="12.75" customHeight="1">
      <c r="A518" s="277"/>
      <c r="B518" s="278"/>
      <c r="C518" s="277"/>
      <c r="D518" s="278"/>
      <c r="E518" s="279"/>
      <c r="F518" s="277"/>
      <c r="G518" s="277"/>
      <c r="H518" s="277"/>
      <c r="I518" s="277"/>
      <c r="J518" s="277"/>
      <c r="K518" s="277"/>
      <c r="L518" s="277"/>
      <c r="M518" s="277"/>
      <c r="N518" s="277"/>
      <c r="O518" s="277"/>
      <c r="P518" s="277"/>
      <c r="Q518" s="277"/>
      <c r="R518" s="277"/>
      <c r="S518" s="277"/>
      <c r="T518" s="277"/>
      <c r="U518" s="277"/>
      <c r="V518" s="280"/>
      <c r="W518" s="277"/>
      <c r="X518" s="277"/>
      <c r="Y518" s="277"/>
      <c r="Z518" s="277"/>
      <c r="AA518" s="277"/>
      <c r="AB518" s="277"/>
      <c r="AC518" s="277"/>
      <c r="AD518" s="277"/>
      <c r="AE518" s="277"/>
      <c r="AF518" s="277"/>
    </row>
    <row r="519" ht="12.75" customHeight="1">
      <c r="A519" s="277"/>
      <c r="B519" s="278"/>
      <c r="C519" s="277"/>
      <c r="D519" s="278"/>
      <c r="E519" s="279"/>
      <c r="F519" s="277"/>
      <c r="G519" s="277"/>
      <c r="H519" s="277"/>
      <c r="I519" s="277"/>
      <c r="J519" s="277"/>
      <c r="K519" s="277"/>
      <c r="L519" s="277"/>
      <c r="M519" s="277"/>
      <c r="N519" s="277"/>
      <c r="O519" s="277"/>
      <c r="P519" s="277"/>
      <c r="Q519" s="277"/>
      <c r="R519" s="277"/>
      <c r="S519" s="277"/>
      <c r="T519" s="277"/>
      <c r="U519" s="277"/>
      <c r="V519" s="280"/>
      <c r="W519" s="277"/>
      <c r="X519" s="277"/>
      <c r="Y519" s="277"/>
      <c r="Z519" s="277"/>
      <c r="AA519" s="277"/>
      <c r="AB519" s="277"/>
      <c r="AC519" s="277"/>
      <c r="AD519" s="277"/>
      <c r="AE519" s="277"/>
      <c r="AF519" s="277"/>
    </row>
    <row r="520" ht="12.75" customHeight="1">
      <c r="A520" s="277"/>
      <c r="B520" s="278"/>
      <c r="C520" s="277"/>
      <c r="D520" s="278"/>
      <c r="E520" s="279"/>
      <c r="F520" s="277"/>
      <c r="G520" s="277"/>
      <c r="H520" s="277"/>
      <c r="I520" s="277"/>
      <c r="J520" s="277"/>
      <c r="K520" s="277"/>
      <c r="L520" s="277"/>
      <c r="M520" s="277"/>
      <c r="N520" s="277"/>
      <c r="O520" s="277"/>
      <c r="P520" s="277"/>
      <c r="Q520" s="277"/>
      <c r="R520" s="277"/>
      <c r="S520" s="277"/>
      <c r="T520" s="277"/>
      <c r="U520" s="277"/>
      <c r="V520" s="280"/>
      <c r="W520" s="277"/>
      <c r="X520" s="277"/>
      <c r="Y520" s="277"/>
      <c r="Z520" s="277"/>
      <c r="AA520" s="277"/>
      <c r="AB520" s="277"/>
      <c r="AC520" s="277"/>
      <c r="AD520" s="277"/>
      <c r="AE520" s="277"/>
      <c r="AF520" s="277"/>
    </row>
    <row r="521" ht="12.75" customHeight="1">
      <c r="A521" s="277"/>
      <c r="B521" s="278"/>
      <c r="C521" s="277"/>
      <c r="D521" s="278"/>
      <c r="E521" s="279"/>
      <c r="F521" s="277"/>
      <c r="G521" s="277"/>
      <c r="H521" s="277"/>
      <c r="I521" s="277"/>
      <c r="J521" s="277"/>
      <c r="K521" s="277"/>
      <c r="L521" s="277"/>
      <c r="M521" s="277"/>
      <c r="N521" s="277"/>
      <c r="O521" s="277"/>
      <c r="P521" s="277"/>
      <c r="Q521" s="277"/>
      <c r="R521" s="277"/>
      <c r="S521" s="277"/>
      <c r="T521" s="277"/>
      <c r="U521" s="277"/>
      <c r="V521" s="280"/>
      <c r="W521" s="277"/>
      <c r="X521" s="277"/>
      <c r="Y521" s="277"/>
      <c r="Z521" s="277"/>
      <c r="AA521" s="277"/>
      <c r="AB521" s="277"/>
      <c r="AC521" s="277"/>
      <c r="AD521" s="277"/>
      <c r="AE521" s="277"/>
      <c r="AF521" s="277"/>
    </row>
    <row r="522" ht="12.75" customHeight="1">
      <c r="A522" s="277"/>
      <c r="B522" s="278"/>
      <c r="C522" s="277"/>
      <c r="D522" s="278"/>
      <c r="E522" s="279"/>
      <c r="F522" s="277"/>
      <c r="G522" s="277"/>
      <c r="H522" s="277"/>
      <c r="I522" s="277"/>
      <c r="J522" s="277"/>
      <c r="K522" s="277"/>
      <c r="L522" s="277"/>
      <c r="M522" s="277"/>
      <c r="N522" s="277"/>
      <c r="O522" s="277"/>
      <c r="P522" s="277"/>
      <c r="Q522" s="277"/>
      <c r="R522" s="277"/>
      <c r="S522" s="277"/>
      <c r="T522" s="277"/>
      <c r="U522" s="277"/>
      <c r="V522" s="280"/>
      <c r="W522" s="277"/>
      <c r="X522" s="277"/>
      <c r="Y522" s="277"/>
      <c r="Z522" s="277"/>
      <c r="AA522" s="277"/>
      <c r="AB522" s="277"/>
      <c r="AC522" s="277"/>
      <c r="AD522" s="277"/>
      <c r="AE522" s="277"/>
      <c r="AF522" s="277"/>
    </row>
    <row r="523" ht="12.75" customHeight="1">
      <c r="A523" s="277"/>
      <c r="B523" s="278"/>
      <c r="C523" s="277"/>
      <c r="D523" s="278"/>
      <c r="E523" s="279"/>
      <c r="F523" s="277"/>
      <c r="G523" s="277"/>
      <c r="H523" s="277"/>
      <c r="I523" s="277"/>
      <c r="J523" s="277"/>
      <c r="K523" s="277"/>
      <c r="L523" s="277"/>
      <c r="M523" s="277"/>
      <c r="N523" s="277"/>
      <c r="O523" s="277"/>
      <c r="P523" s="277"/>
      <c r="Q523" s="277"/>
      <c r="R523" s="277"/>
      <c r="S523" s="277"/>
      <c r="T523" s="277"/>
      <c r="U523" s="277"/>
      <c r="V523" s="280"/>
      <c r="W523" s="277"/>
      <c r="X523" s="277"/>
      <c r="Y523" s="277"/>
      <c r="Z523" s="277"/>
      <c r="AA523" s="277"/>
      <c r="AB523" s="277"/>
      <c r="AC523" s="277"/>
      <c r="AD523" s="277"/>
      <c r="AE523" s="277"/>
      <c r="AF523" s="277"/>
    </row>
    <row r="524" ht="12.75" customHeight="1">
      <c r="A524" s="277"/>
      <c r="B524" s="278"/>
      <c r="C524" s="277"/>
      <c r="D524" s="278"/>
      <c r="E524" s="279"/>
      <c r="F524" s="277"/>
      <c r="G524" s="277"/>
      <c r="H524" s="277"/>
      <c r="I524" s="277"/>
      <c r="J524" s="277"/>
      <c r="K524" s="277"/>
      <c r="L524" s="277"/>
      <c r="M524" s="277"/>
      <c r="N524" s="277"/>
      <c r="O524" s="277"/>
      <c r="P524" s="277"/>
      <c r="Q524" s="277"/>
      <c r="R524" s="277"/>
      <c r="S524" s="277"/>
      <c r="T524" s="277"/>
      <c r="U524" s="277"/>
      <c r="V524" s="280"/>
      <c r="W524" s="277"/>
      <c r="X524" s="277"/>
      <c r="Y524" s="277"/>
      <c r="Z524" s="277"/>
      <c r="AA524" s="277"/>
      <c r="AB524" s="277"/>
      <c r="AC524" s="277"/>
      <c r="AD524" s="277"/>
      <c r="AE524" s="277"/>
      <c r="AF524" s="277"/>
    </row>
    <row r="525" ht="12.75" customHeight="1">
      <c r="A525" s="277"/>
      <c r="B525" s="278"/>
      <c r="C525" s="277"/>
      <c r="D525" s="278"/>
      <c r="E525" s="279"/>
      <c r="F525" s="277"/>
      <c r="G525" s="277"/>
      <c r="H525" s="277"/>
      <c r="I525" s="277"/>
      <c r="J525" s="277"/>
      <c r="K525" s="277"/>
      <c r="L525" s="277"/>
      <c r="M525" s="277"/>
      <c r="N525" s="277"/>
      <c r="O525" s="277"/>
      <c r="P525" s="277"/>
      <c r="Q525" s="277"/>
      <c r="R525" s="277"/>
      <c r="S525" s="277"/>
      <c r="T525" s="277"/>
      <c r="U525" s="277"/>
      <c r="V525" s="280"/>
      <c r="W525" s="277"/>
      <c r="X525" s="277"/>
      <c r="Y525" s="277"/>
      <c r="Z525" s="277"/>
      <c r="AA525" s="277"/>
      <c r="AB525" s="277"/>
      <c r="AC525" s="277"/>
      <c r="AD525" s="277"/>
      <c r="AE525" s="277"/>
      <c r="AF525" s="277"/>
    </row>
    <row r="526" ht="12.75" customHeight="1">
      <c r="A526" s="277"/>
      <c r="B526" s="278"/>
      <c r="C526" s="277"/>
      <c r="D526" s="278"/>
      <c r="E526" s="279"/>
      <c r="F526" s="277"/>
      <c r="G526" s="277"/>
      <c r="H526" s="277"/>
      <c r="I526" s="277"/>
      <c r="J526" s="277"/>
      <c r="K526" s="277"/>
      <c r="L526" s="277"/>
      <c r="M526" s="277"/>
      <c r="N526" s="277"/>
      <c r="O526" s="277"/>
      <c r="P526" s="277"/>
      <c r="Q526" s="277"/>
      <c r="R526" s="277"/>
      <c r="S526" s="277"/>
      <c r="T526" s="277"/>
      <c r="U526" s="277"/>
      <c r="V526" s="280"/>
      <c r="W526" s="277"/>
      <c r="X526" s="277"/>
      <c r="Y526" s="277"/>
      <c r="Z526" s="277"/>
      <c r="AA526" s="277"/>
      <c r="AB526" s="277"/>
      <c r="AC526" s="277"/>
      <c r="AD526" s="277"/>
      <c r="AE526" s="277"/>
      <c r="AF526" s="277"/>
    </row>
    <row r="527" ht="12.75" customHeight="1">
      <c r="A527" s="277"/>
      <c r="B527" s="278"/>
      <c r="C527" s="277"/>
      <c r="D527" s="278"/>
      <c r="E527" s="279"/>
      <c r="F527" s="277"/>
      <c r="G527" s="277"/>
      <c r="H527" s="277"/>
      <c r="I527" s="277"/>
      <c r="J527" s="277"/>
      <c r="K527" s="277"/>
      <c r="L527" s="277"/>
      <c r="M527" s="277"/>
      <c r="N527" s="277"/>
      <c r="O527" s="277"/>
      <c r="P527" s="277"/>
      <c r="Q527" s="277"/>
      <c r="R527" s="277"/>
      <c r="S527" s="277"/>
      <c r="T527" s="277"/>
      <c r="U527" s="277"/>
      <c r="V527" s="280"/>
      <c r="W527" s="277"/>
      <c r="X527" s="277"/>
      <c r="Y527" s="277"/>
      <c r="Z527" s="277"/>
      <c r="AA527" s="277"/>
      <c r="AB527" s="277"/>
      <c r="AC527" s="277"/>
      <c r="AD527" s="277"/>
      <c r="AE527" s="277"/>
      <c r="AF527" s="277"/>
    </row>
    <row r="528" ht="12.75" customHeight="1">
      <c r="A528" s="277"/>
      <c r="B528" s="278"/>
      <c r="C528" s="277"/>
      <c r="D528" s="278"/>
      <c r="E528" s="279"/>
      <c r="F528" s="277"/>
      <c r="G528" s="277"/>
      <c r="H528" s="277"/>
      <c r="I528" s="277"/>
      <c r="J528" s="277"/>
      <c r="K528" s="277"/>
      <c r="L528" s="277"/>
      <c r="M528" s="277"/>
      <c r="N528" s="277"/>
      <c r="O528" s="277"/>
      <c r="P528" s="277"/>
      <c r="Q528" s="277"/>
      <c r="R528" s="277"/>
      <c r="S528" s="277"/>
      <c r="T528" s="277"/>
      <c r="U528" s="277"/>
      <c r="V528" s="280"/>
      <c r="W528" s="277"/>
      <c r="X528" s="277"/>
      <c r="Y528" s="277"/>
      <c r="Z528" s="277"/>
      <c r="AA528" s="277"/>
      <c r="AB528" s="277"/>
      <c r="AC528" s="277"/>
      <c r="AD528" s="277"/>
      <c r="AE528" s="277"/>
      <c r="AF528" s="277"/>
    </row>
    <row r="529" ht="12.75" customHeight="1">
      <c r="A529" s="277"/>
      <c r="B529" s="278"/>
      <c r="C529" s="277"/>
      <c r="D529" s="278"/>
      <c r="E529" s="279"/>
      <c r="F529" s="277"/>
      <c r="G529" s="277"/>
      <c r="H529" s="277"/>
      <c r="I529" s="277"/>
      <c r="J529" s="277"/>
      <c r="K529" s="277"/>
      <c r="L529" s="277"/>
      <c r="M529" s="277"/>
      <c r="N529" s="277"/>
      <c r="O529" s="277"/>
      <c r="P529" s="277"/>
      <c r="Q529" s="277"/>
      <c r="R529" s="277"/>
      <c r="S529" s="277"/>
      <c r="T529" s="277"/>
      <c r="U529" s="277"/>
      <c r="V529" s="280"/>
      <c r="W529" s="277"/>
      <c r="X529" s="277"/>
      <c r="Y529" s="277"/>
      <c r="Z529" s="277"/>
      <c r="AA529" s="277"/>
      <c r="AB529" s="277"/>
      <c r="AC529" s="277"/>
      <c r="AD529" s="277"/>
      <c r="AE529" s="277"/>
      <c r="AF529" s="277"/>
    </row>
    <row r="530" ht="12.75" customHeight="1">
      <c r="A530" s="277"/>
      <c r="B530" s="278"/>
      <c r="C530" s="277"/>
      <c r="D530" s="278"/>
      <c r="E530" s="279"/>
      <c r="F530" s="277"/>
      <c r="G530" s="277"/>
      <c r="H530" s="277"/>
      <c r="I530" s="277"/>
      <c r="J530" s="277"/>
      <c r="K530" s="277"/>
      <c r="L530" s="277"/>
      <c r="M530" s="277"/>
      <c r="N530" s="277"/>
      <c r="O530" s="277"/>
      <c r="P530" s="277"/>
      <c r="Q530" s="277"/>
      <c r="R530" s="277"/>
      <c r="S530" s="277"/>
      <c r="T530" s="277"/>
      <c r="U530" s="277"/>
      <c r="V530" s="280"/>
      <c r="W530" s="277"/>
      <c r="X530" s="277"/>
      <c r="Y530" s="277"/>
      <c r="Z530" s="277"/>
      <c r="AA530" s="277"/>
      <c r="AB530" s="277"/>
      <c r="AC530" s="277"/>
      <c r="AD530" s="277"/>
      <c r="AE530" s="277"/>
      <c r="AF530" s="277"/>
    </row>
    <row r="531" ht="12.75" customHeight="1">
      <c r="A531" s="277"/>
      <c r="B531" s="278"/>
      <c r="C531" s="277"/>
      <c r="D531" s="278"/>
      <c r="E531" s="279"/>
      <c r="F531" s="277"/>
      <c r="G531" s="277"/>
      <c r="H531" s="277"/>
      <c r="I531" s="277"/>
      <c r="J531" s="277"/>
      <c r="K531" s="277"/>
      <c r="L531" s="277"/>
      <c r="M531" s="277"/>
      <c r="N531" s="277"/>
      <c r="O531" s="277"/>
      <c r="P531" s="277"/>
      <c r="Q531" s="277"/>
      <c r="R531" s="277"/>
      <c r="S531" s="277"/>
      <c r="T531" s="277"/>
      <c r="U531" s="277"/>
      <c r="V531" s="280"/>
      <c r="W531" s="277"/>
      <c r="X531" s="277"/>
      <c r="Y531" s="277"/>
      <c r="Z531" s="277"/>
      <c r="AA531" s="277"/>
      <c r="AB531" s="277"/>
      <c r="AC531" s="277"/>
      <c r="AD531" s="277"/>
      <c r="AE531" s="277"/>
      <c r="AF531" s="277"/>
    </row>
    <row r="532" ht="12.75" customHeight="1">
      <c r="A532" s="277"/>
      <c r="B532" s="278"/>
      <c r="C532" s="277"/>
      <c r="D532" s="278"/>
      <c r="E532" s="279"/>
      <c r="F532" s="277"/>
      <c r="G532" s="277"/>
      <c r="H532" s="277"/>
      <c r="I532" s="277"/>
      <c r="J532" s="277"/>
      <c r="K532" s="277"/>
      <c r="L532" s="277"/>
      <c r="M532" s="277"/>
      <c r="N532" s="277"/>
      <c r="O532" s="277"/>
      <c r="P532" s="277"/>
      <c r="Q532" s="277"/>
      <c r="R532" s="277"/>
      <c r="S532" s="277"/>
      <c r="T532" s="277"/>
      <c r="U532" s="277"/>
      <c r="V532" s="280"/>
      <c r="W532" s="277"/>
      <c r="X532" s="277"/>
      <c r="Y532" s="277"/>
      <c r="Z532" s="277"/>
      <c r="AA532" s="277"/>
      <c r="AB532" s="277"/>
      <c r="AC532" s="277"/>
      <c r="AD532" s="277"/>
      <c r="AE532" s="277"/>
      <c r="AF532" s="277"/>
    </row>
    <row r="533" ht="12.75" customHeight="1">
      <c r="A533" s="277"/>
      <c r="B533" s="278"/>
      <c r="C533" s="277"/>
      <c r="D533" s="278"/>
      <c r="E533" s="279"/>
      <c r="F533" s="277"/>
      <c r="G533" s="277"/>
      <c r="H533" s="277"/>
      <c r="I533" s="277"/>
      <c r="J533" s="277"/>
      <c r="K533" s="277"/>
      <c r="L533" s="277"/>
      <c r="M533" s="277"/>
      <c r="N533" s="277"/>
      <c r="O533" s="277"/>
      <c r="P533" s="277"/>
      <c r="Q533" s="277"/>
      <c r="R533" s="277"/>
      <c r="S533" s="277"/>
      <c r="T533" s="277"/>
      <c r="U533" s="277"/>
      <c r="V533" s="280"/>
      <c r="W533" s="277"/>
      <c r="X533" s="277"/>
      <c r="Y533" s="277"/>
      <c r="Z533" s="277"/>
      <c r="AA533" s="277"/>
      <c r="AB533" s="277"/>
      <c r="AC533" s="277"/>
      <c r="AD533" s="277"/>
      <c r="AE533" s="277"/>
      <c r="AF533" s="277"/>
    </row>
    <row r="534" ht="12.75" customHeight="1">
      <c r="A534" s="277"/>
      <c r="B534" s="278"/>
      <c r="C534" s="277"/>
      <c r="D534" s="278"/>
      <c r="E534" s="279"/>
      <c r="F534" s="277"/>
      <c r="G534" s="277"/>
      <c r="H534" s="277"/>
      <c r="I534" s="277"/>
      <c r="J534" s="277"/>
      <c r="K534" s="277"/>
      <c r="L534" s="277"/>
      <c r="M534" s="277"/>
      <c r="N534" s="277"/>
      <c r="O534" s="277"/>
      <c r="P534" s="277"/>
      <c r="Q534" s="277"/>
      <c r="R534" s="277"/>
      <c r="S534" s="277"/>
      <c r="T534" s="277"/>
      <c r="U534" s="277"/>
      <c r="V534" s="280"/>
      <c r="W534" s="277"/>
      <c r="X534" s="277"/>
      <c r="Y534" s="277"/>
      <c r="Z534" s="277"/>
      <c r="AA534" s="277"/>
      <c r="AB534" s="277"/>
      <c r="AC534" s="277"/>
      <c r="AD534" s="277"/>
      <c r="AE534" s="277"/>
      <c r="AF534" s="277"/>
    </row>
    <row r="535" ht="12.75" customHeight="1">
      <c r="A535" s="277"/>
      <c r="B535" s="278"/>
      <c r="C535" s="277"/>
      <c r="D535" s="278"/>
      <c r="E535" s="279"/>
      <c r="F535" s="277"/>
      <c r="G535" s="277"/>
      <c r="H535" s="277"/>
      <c r="I535" s="277"/>
      <c r="J535" s="277"/>
      <c r="K535" s="277"/>
      <c r="L535" s="277"/>
      <c r="M535" s="277"/>
      <c r="N535" s="277"/>
      <c r="O535" s="277"/>
      <c r="P535" s="277"/>
      <c r="Q535" s="277"/>
      <c r="R535" s="277"/>
      <c r="S535" s="277"/>
      <c r="T535" s="277"/>
      <c r="U535" s="277"/>
      <c r="V535" s="280"/>
      <c r="W535" s="277"/>
      <c r="X535" s="277"/>
      <c r="Y535" s="277"/>
      <c r="Z535" s="277"/>
      <c r="AA535" s="277"/>
      <c r="AB535" s="277"/>
      <c r="AC535" s="277"/>
      <c r="AD535" s="277"/>
      <c r="AE535" s="277"/>
      <c r="AF535" s="277"/>
    </row>
    <row r="536" ht="12.75" customHeight="1">
      <c r="A536" s="277"/>
      <c r="B536" s="278"/>
      <c r="C536" s="277"/>
      <c r="D536" s="278"/>
      <c r="E536" s="279"/>
      <c r="F536" s="277"/>
      <c r="G536" s="277"/>
      <c r="H536" s="277"/>
      <c r="I536" s="277"/>
      <c r="J536" s="277"/>
      <c r="K536" s="277"/>
      <c r="L536" s="277"/>
      <c r="M536" s="277"/>
      <c r="N536" s="277"/>
      <c r="O536" s="277"/>
      <c r="P536" s="277"/>
      <c r="Q536" s="277"/>
      <c r="R536" s="277"/>
      <c r="S536" s="277"/>
      <c r="T536" s="277"/>
      <c r="U536" s="277"/>
      <c r="V536" s="280"/>
      <c r="W536" s="277"/>
      <c r="X536" s="277"/>
      <c r="Y536" s="277"/>
      <c r="Z536" s="277"/>
      <c r="AA536" s="277"/>
      <c r="AB536" s="277"/>
      <c r="AC536" s="277"/>
      <c r="AD536" s="277"/>
      <c r="AE536" s="277"/>
      <c r="AF536" s="277"/>
    </row>
    <row r="537" ht="12.75" customHeight="1">
      <c r="A537" s="277"/>
      <c r="B537" s="278"/>
      <c r="C537" s="277"/>
      <c r="D537" s="278"/>
      <c r="E537" s="279"/>
      <c r="F537" s="277"/>
      <c r="G537" s="277"/>
      <c r="H537" s="277"/>
      <c r="I537" s="277"/>
      <c r="J537" s="277"/>
      <c r="K537" s="277"/>
      <c r="L537" s="277"/>
      <c r="M537" s="277"/>
      <c r="N537" s="277"/>
      <c r="O537" s="277"/>
      <c r="P537" s="277"/>
      <c r="Q537" s="277"/>
      <c r="R537" s="277"/>
      <c r="S537" s="277"/>
      <c r="T537" s="277"/>
      <c r="U537" s="277"/>
      <c r="V537" s="280"/>
      <c r="W537" s="277"/>
      <c r="X537" s="277"/>
      <c r="Y537" s="277"/>
      <c r="Z537" s="277"/>
      <c r="AA537" s="277"/>
      <c r="AB537" s="277"/>
      <c r="AC537" s="277"/>
      <c r="AD537" s="277"/>
      <c r="AE537" s="277"/>
      <c r="AF537" s="277"/>
    </row>
    <row r="538" ht="12.75" customHeight="1">
      <c r="A538" s="277"/>
      <c r="B538" s="278"/>
      <c r="C538" s="277"/>
      <c r="D538" s="278"/>
      <c r="E538" s="279"/>
      <c r="F538" s="277"/>
      <c r="G538" s="277"/>
      <c r="H538" s="277"/>
      <c r="I538" s="277"/>
      <c r="J538" s="277"/>
      <c r="K538" s="277"/>
      <c r="L538" s="277"/>
      <c r="M538" s="277"/>
      <c r="N538" s="277"/>
      <c r="O538" s="277"/>
      <c r="P538" s="277"/>
      <c r="Q538" s="277"/>
      <c r="R538" s="277"/>
      <c r="S538" s="277"/>
      <c r="T538" s="277"/>
      <c r="U538" s="277"/>
      <c r="V538" s="280"/>
      <c r="W538" s="277"/>
      <c r="X538" s="277"/>
      <c r="Y538" s="277"/>
      <c r="Z538" s="277"/>
      <c r="AA538" s="277"/>
      <c r="AB538" s="277"/>
      <c r="AC538" s="277"/>
      <c r="AD538" s="277"/>
      <c r="AE538" s="277"/>
      <c r="AF538" s="277"/>
    </row>
    <row r="539" ht="12.75" customHeight="1">
      <c r="A539" s="277"/>
      <c r="B539" s="278"/>
      <c r="C539" s="277"/>
      <c r="D539" s="278"/>
      <c r="E539" s="279"/>
      <c r="F539" s="277"/>
      <c r="G539" s="277"/>
      <c r="H539" s="277"/>
      <c r="I539" s="277"/>
      <c r="J539" s="277"/>
      <c r="K539" s="277"/>
      <c r="L539" s="277"/>
      <c r="M539" s="277"/>
      <c r="N539" s="277"/>
      <c r="O539" s="277"/>
      <c r="P539" s="277"/>
      <c r="Q539" s="277"/>
      <c r="R539" s="277"/>
      <c r="S539" s="277"/>
      <c r="T539" s="277"/>
      <c r="U539" s="277"/>
      <c r="V539" s="280"/>
      <c r="W539" s="277"/>
      <c r="X539" s="277"/>
      <c r="Y539" s="277"/>
      <c r="Z539" s="277"/>
      <c r="AA539" s="277"/>
      <c r="AB539" s="277"/>
      <c r="AC539" s="277"/>
      <c r="AD539" s="277"/>
      <c r="AE539" s="277"/>
      <c r="AF539" s="277"/>
    </row>
    <row r="540" ht="12.75" customHeight="1">
      <c r="A540" s="277"/>
      <c r="B540" s="278"/>
      <c r="C540" s="277"/>
      <c r="D540" s="278"/>
      <c r="E540" s="279"/>
      <c r="F540" s="277"/>
      <c r="G540" s="277"/>
      <c r="H540" s="277"/>
      <c r="I540" s="277"/>
      <c r="J540" s="277"/>
      <c r="K540" s="277"/>
      <c r="L540" s="277"/>
      <c r="M540" s="277"/>
      <c r="N540" s="277"/>
      <c r="O540" s="277"/>
      <c r="P540" s="277"/>
      <c r="Q540" s="277"/>
      <c r="R540" s="277"/>
      <c r="S540" s="277"/>
      <c r="T540" s="277"/>
      <c r="U540" s="277"/>
      <c r="V540" s="280"/>
      <c r="W540" s="277"/>
      <c r="X540" s="277"/>
      <c r="Y540" s="277"/>
      <c r="Z540" s="277"/>
      <c r="AA540" s="277"/>
      <c r="AB540" s="277"/>
      <c r="AC540" s="277"/>
      <c r="AD540" s="277"/>
      <c r="AE540" s="277"/>
      <c r="AF540" s="277"/>
    </row>
    <row r="541" ht="12.75" customHeight="1">
      <c r="A541" s="277"/>
      <c r="B541" s="278"/>
      <c r="C541" s="277"/>
      <c r="D541" s="278"/>
      <c r="E541" s="279"/>
      <c r="F541" s="277"/>
      <c r="G541" s="277"/>
      <c r="H541" s="277"/>
      <c r="I541" s="277"/>
      <c r="J541" s="277"/>
      <c r="K541" s="277"/>
      <c r="L541" s="277"/>
      <c r="M541" s="277"/>
      <c r="N541" s="277"/>
      <c r="O541" s="277"/>
      <c r="P541" s="277"/>
      <c r="Q541" s="277"/>
      <c r="R541" s="277"/>
      <c r="S541" s="277"/>
      <c r="T541" s="277"/>
      <c r="U541" s="277"/>
      <c r="V541" s="280"/>
      <c r="W541" s="277"/>
      <c r="X541" s="277"/>
      <c r="Y541" s="277"/>
      <c r="Z541" s="277"/>
      <c r="AA541" s="277"/>
      <c r="AB541" s="277"/>
      <c r="AC541" s="277"/>
      <c r="AD541" s="277"/>
      <c r="AE541" s="277"/>
      <c r="AF541" s="277"/>
    </row>
    <row r="542" ht="12.75" customHeight="1">
      <c r="A542" s="277"/>
      <c r="B542" s="278"/>
      <c r="C542" s="277"/>
      <c r="D542" s="278"/>
      <c r="E542" s="279"/>
      <c r="F542" s="277"/>
      <c r="G542" s="277"/>
      <c r="H542" s="277"/>
      <c r="I542" s="277"/>
      <c r="J542" s="277"/>
      <c r="K542" s="277"/>
      <c r="L542" s="277"/>
      <c r="M542" s="277"/>
      <c r="N542" s="277"/>
      <c r="O542" s="277"/>
      <c r="P542" s="277"/>
      <c r="Q542" s="277"/>
      <c r="R542" s="277"/>
      <c r="S542" s="277"/>
      <c r="T542" s="277"/>
      <c r="U542" s="277"/>
      <c r="V542" s="280"/>
      <c r="W542" s="277"/>
      <c r="X542" s="277"/>
      <c r="Y542" s="277"/>
      <c r="Z542" s="277"/>
      <c r="AA542" s="277"/>
      <c r="AB542" s="277"/>
      <c r="AC542" s="277"/>
      <c r="AD542" s="277"/>
      <c r="AE542" s="277"/>
      <c r="AF542" s="277"/>
    </row>
    <row r="543" ht="12.75" customHeight="1">
      <c r="A543" s="277"/>
      <c r="B543" s="278"/>
      <c r="C543" s="277"/>
      <c r="D543" s="278"/>
      <c r="E543" s="279"/>
      <c r="F543" s="277"/>
      <c r="G543" s="277"/>
      <c r="H543" s="277"/>
      <c r="I543" s="277"/>
      <c r="J543" s="277"/>
      <c r="K543" s="277"/>
      <c r="L543" s="277"/>
      <c r="M543" s="277"/>
      <c r="N543" s="277"/>
      <c r="O543" s="277"/>
      <c r="P543" s="277"/>
      <c r="Q543" s="277"/>
      <c r="R543" s="277"/>
      <c r="S543" s="277"/>
      <c r="T543" s="277"/>
      <c r="U543" s="277"/>
      <c r="V543" s="280"/>
      <c r="W543" s="277"/>
      <c r="X543" s="277"/>
      <c r="Y543" s="277"/>
      <c r="Z543" s="277"/>
      <c r="AA543" s="277"/>
      <c r="AB543" s="277"/>
      <c r="AC543" s="277"/>
      <c r="AD543" s="277"/>
      <c r="AE543" s="277"/>
      <c r="AF543" s="277"/>
    </row>
    <row r="544" ht="12.75" customHeight="1">
      <c r="A544" s="277"/>
      <c r="B544" s="278"/>
      <c r="C544" s="277"/>
      <c r="D544" s="278"/>
      <c r="E544" s="279"/>
      <c r="F544" s="277"/>
      <c r="G544" s="277"/>
      <c r="H544" s="277"/>
      <c r="I544" s="277"/>
      <c r="J544" s="277"/>
      <c r="K544" s="277"/>
      <c r="L544" s="277"/>
      <c r="M544" s="277"/>
      <c r="N544" s="277"/>
      <c r="O544" s="277"/>
      <c r="P544" s="277"/>
      <c r="Q544" s="277"/>
      <c r="R544" s="277"/>
      <c r="S544" s="277"/>
      <c r="T544" s="277"/>
      <c r="U544" s="277"/>
      <c r="V544" s="280"/>
      <c r="W544" s="277"/>
      <c r="X544" s="277"/>
      <c r="Y544" s="277"/>
      <c r="Z544" s="277"/>
      <c r="AA544" s="277"/>
      <c r="AB544" s="277"/>
      <c r="AC544" s="277"/>
      <c r="AD544" s="277"/>
      <c r="AE544" s="277"/>
      <c r="AF544" s="277"/>
    </row>
    <row r="545" ht="12.75" customHeight="1">
      <c r="A545" s="277"/>
      <c r="B545" s="278"/>
      <c r="C545" s="277"/>
      <c r="D545" s="278"/>
      <c r="E545" s="279"/>
      <c r="F545" s="277"/>
      <c r="G545" s="277"/>
      <c r="H545" s="277"/>
      <c r="I545" s="277"/>
      <c r="J545" s="277"/>
      <c r="K545" s="277"/>
      <c r="L545" s="277"/>
      <c r="M545" s="277"/>
      <c r="N545" s="277"/>
      <c r="O545" s="277"/>
      <c r="P545" s="277"/>
      <c r="Q545" s="277"/>
      <c r="R545" s="277"/>
      <c r="S545" s="277"/>
      <c r="T545" s="277"/>
      <c r="U545" s="277"/>
      <c r="V545" s="280"/>
      <c r="W545" s="277"/>
      <c r="X545" s="277"/>
      <c r="Y545" s="277"/>
      <c r="Z545" s="277"/>
      <c r="AA545" s="277"/>
      <c r="AB545" s="277"/>
      <c r="AC545" s="277"/>
      <c r="AD545" s="277"/>
      <c r="AE545" s="277"/>
      <c r="AF545" s="277"/>
    </row>
    <row r="546" ht="12.75" customHeight="1">
      <c r="A546" s="277"/>
      <c r="B546" s="278"/>
      <c r="C546" s="277"/>
      <c r="D546" s="278"/>
      <c r="E546" s="279"/>
      <c r="F546" s="277"/>
      <c r="G546" s="277"/>
      <c r="H546" s="277"/>
      <c r="I546" s="277"/>
      <c r="J546" s="277"/>
      <c r="K546" s="277"/>
      <c r="L546" s="277"/>
      <c r="M546" s="277"/>
      <c r="N546" s="277"/>
      <c r="O546" s="277"/>
      <c r="P546" s="277"/>
      <c r="Q546" s="277"/>
      <c r="R546" s="277"/>
      <c r="S546" s="277"/>
      <c r="T546" s="277"/>
      <c r="U546" s="277"/>
      <c r="V546" s="280"/>
      <c r="W546" s="277"/>
      <c r="X546" s="277"/>
      <c r="Y546" s="277"/>
      <c r="Z546" s="277"/>
      <c r="AA546" s="277"/>
      <c r="AB546" s="277"/>
      <c r="AC546" s="277"/>
      <c r="AD546" s="277"/>
      <c r="AE546" s="277"/>
      <c r="AF546" s="277"/>
    </row>
    <row r="547" ht="12.75" customHeight="1">
      <c r="A547" s="277"/>
      <c r="B547" s="278"/>
      <c r="C547" s="277"/>
      <c r="D547" s="278"/>
      <c r="E547" s="279"/>
      <c r="F547" s="277"/>
      <c r="G547" s="277"/>
      <c r="H547" s="277"/>
      <c r="I547" s="277"/>
      <c r="J547" s="277"/>
      <c r="K547" s="277"/>
      <c r="L547" s="277"/>
      <c r="M547" s="277"/>
      <c r="N547" s="277"/>
      <c r="O547" s="277"/>
      <c r="P547" s="277"/>
      <c r="Q547" s="277"/>
      <c r="R547" s="277"/>
      <c r="S547" s="277"/>
      <c r="T547" s="277"/>
      <c r="U547" s="277"/>
      <c r="V547" s="280"/>
      <c r="W547" s="277"/>
      <c r="X547" s="277"/>
      <c r="Y547" s="277"/>
      <c r="Z547" s="277"/>
      <c r="AA547" s="277"/>
      <c r="AB547" s="277"/>
      <c r="AC547" s="277"/>
      <c r="AD547" s="277"/>
      <c r="AE547" s="277"/>
      <c r="AF547" s="277"/>
    </row>
    <row r="548" ht="12.75" customHeight="1">
      <c r="A548" s="277"/>
      <c r="B548" s="278"/>
      <c r="C548" s="277"/>
      <c r="D548" s="278"/>
      <c r="E548" s="279"/>
      <c r="F548" s="277"/>
      <c r="G548" s="277"/>
      <c r="H548" s="277"/>
      <c r="I548" s="277"/>
      <c r="J548" s="277"/>
      <c r="K548" s="277"/>
      <c r="L548" s="277"/>
      <c r="M548" s="277"/>
      <c r="N548" s="277"/>
      <c r="O548" s="277"/>
      <c r="P548" s="277"/>
      <c r="Q548" s="277"/>
      <c r="R548" s="277"/>
      <c r="S548" s="277"/>
      <c r="T548" s="277"/>
      <c r="U548" s="277"/>
      <c r="V548" s="280"/>
      <c r="W548" s="277"/>
      <c r="X548" s="277"/>
      <c r="Y548" s="277"/>
      <c r="Z548" s="277"/>
      <c r="AA548" s="277"/>
      <c r="AB548" s="277"/>
      <c r="AC548" s="277"/>
      <c r="AD548" s="277"/>
      <c r="AE548" s="277"/>
      <c r="AF548" s="277"/>
    </row>
    <row r="549" ht="12.75" customHeight="1">
      <c r="A549" s="277"/>
      <c r="B549" s="278"/>
      <c r="C549" s="277"/>
      <c r="D549" s="278"/>
      <c r="E549" s="279"/>
      <c r="F549" s="277"/>
      <c r="G549" s="277"/>
      <c r="H549" s="277"/>
      <c r="I549" s="277"/>
      <c r="J549" s="277"/>
      <c r="K549" s="277"/>
      <c r="L549" s="277"/>
      <c r="M549" s="277"/>
      <c r="N549" s="277"/>
      <c r="O549" s="277"/>
      <c r="P549" s="277"/>
      <c r="Q549" s="277"/>
      <c r="R549" s="277"/>
      <c r="S549" s="277"/>
      <c r="T549" s="277"/>
      <c r="U549" s="277"/>
      <c r="V549" s="280"/>
      <c r="W549" s="277"/>
      <c r="X549" s="277"/>
      <c r="Y549" s="277"/>
      <c r="Z549" s="277"/>
      <c r="AA549" s="277"/>
      <c r="AB549" s="277"/>
      <c r="AC549" s="277"/>
      <c r="AD549" s="277"/>
      <c r="AE549" s="277"/>
      <c r="AF549" s="277"/>
    </row>
    <row r="550" ht="12.75" customHeight="1">
      <c r="A550" s="277"/>
      <c r="B550" s="278"/>
      <c r="C550" s="277"/>
      <c r="D550" s="278"/>
      <c r="E550" s="279"/>
      <c r="F550" s="277"/>
      <c r="G550" s="277"/>
      <c r="H550" s="277"/>
      <c r="I550" s="277"/>
      <c r="J550" s="277"/>
      <c r="K550" s="277"/>
      <c r="L550" s="277"/>
      <c r="M550" s="277"/>
      <c r="N550" s="277"/>
      <c r="O550" s="277"/>
      <c r="P550" s="277"/>
      <c r="Q550" s="277"/>
      <c r="R550" s="277"/>
      <c r="S550" s="277"/>
      <c r="T550" s="277"/>
      <c r="U550" s="277"/>
      <c r="V550" s="280"/>
      <c r="W550" s="277"/>
      <c r="X550" s="277"/>
      <c r="Y550" s="277"/>
      <c r="Z550" s="277"/>
      <c r="AA550" s="277"/>
      <c r="AB550" s="277"/>
      <c r="AC550" s="277"/>
      <c r="AD550" s="277"/>
      <c r="AE550" s="277"/>
      <c r="AF550" s="277"/>
    </row>
    <row r="551" ht="12.75" customHeight="1">
      <c r="A551" s="277"/>
      <c r="B551" s="278"/>
      <c r="C551" s="277"/>
      <c r="D551" s="278"/>
      <c r="E551" s="279"/>
      <c r="F551" s="277"/>
      <c r="G551" s="277"/>
      <c r="H551" s="277"/>
      <c r="I551" s="277"/>
      <c r="J551" s="277"/>
      <c r="K551" s="277"/>
      <c r="L551" s="277"/>
      <c r="M551" s="277"/>
      <c r="N551" s="277"/>
      <c r="O551" s="277"/>
      <c r="P551" s="277"/>
      <c r="Q551" s="277"/>
      <c r="R551" s="277"/>
      <c r="S551" s="277"/>
      <c r="T551" s="277"/>
      <c r="U551" s="277"/>
      <c r="V551" s="280"/>
      <c r="W551" s="277"/>
      <c r="X551" s="277"/>
      <c r="Y551" s="277"/>
      <c r="Z551" s="277"/>
      <c r="AA551" s="277"/>
      <c r="AB551" s="277"/>
      <c r="AC551" s="277"/>
      <c r="AD551" s="277"/>
      <c r="AE551" s="277"/>
      <c r="AF551" s="277"/>
    </row>
    <row r="552" ht="12.75" customHeight="1">
      <c r="A552" s="277"/>
      <c r="B552" s="278"/>
      <c r="C552" s="277"/>
      <c r="D552" s="278"/>
      <c r="E552" s="279"/>
      <c r="F552" s="277"/>
      <c r="G552" s="277"/>
      <c r="H552" s="277"/>
      <c r="I552" s="277"/>
      <c r="J552" s="277"/>
      <c r="K552" s="277"/>
      <c r="L552" s="277"/>
      <c r="M552" s="277"/>
      <c r="N552" s="277"/>
      <c r="O552" s="277"/>
      <c r="P552" s="277"/>
      <c r="Q552" s="277"/>
      <c r="R552" s="277"/>
      <c r="S552" s="277"/>
      <c r="T552" s="277"/>
      <c r="U552" s="277"/>
      <c r="V552" s="280"/>
      <c r="W552" s="277"/>
      <c r="X552" s="277"/>
      <c r="Y552" s="277"/>
      <c r="Z552" s="277"/>
      <c r="AA552" s="277"/>
      <c r="AB552" s="277"/>
      <c r="AC552" s="277"/>
      <c r="AD552" s="277"/>
      <c r="AE552" s="277"/>
      <c r="AF552" s="277"/>
    </row>
    <row r="553" ht="12.75" customHeight="1">
      <c r="A553" s="277"/>
      <c r="B553" s="278"/>
      <c r="C553" s="277"/>
      <c r="D553" s="278"/>
      <c r="E553" s="279"/>
      <c r="F553" s="277"/>
      <c r="G553" s="277"/>
      <c r="H553" s="277"/>
      <c r="I553" s="277"/>
      <c r="J553" s="277"/>
      <c r="K553" s="277"/>
      <c r="L553" s="277"/>
      <c r="M553" s="277"/>
      <c r="N553" s="277"/>
      <c r="O553" s="277"/>
      <c r="P553" s="277"/>
      <c r="Q553" s="277"/>
      <c r="R553" s="277"/>
      <c r="S553" s="277"/>
      <c r="T553" s="277"/>
      <c r="U553" s="277"/>
      <c r="V553" s="280"/>
      <c r="W553" s="277"/>
      <c r="X553" s="277"/>
      <c r="Y553" s="277"/>
      <c r="Z553" s="277"/>
      <c r="AA553" s="277"/>
      <c r="AB553" s="277"/>
      <c r="AC553" s="277"/>
      <c r="AD553" s="277"/>
      <c r="AE553" s="277"/>
      <c r="AF553" s="277"/>
    </row>
    <row r="554" ht="12.75" customHeight="1">
      <c r="A554" s="277"/>
      <c r="B554" s="278"/>
      <c r="C554" s="277"/>
      <c r="D554" s="278"/>
      <c r="E554" s="279"/>
      <c r="F554" s="277"/>
      <c r="G554" s="277"/>
      <c r="H554" s="277"/>
      <c r="I554" s="277"/>
      <c r="J554" s="277"/>
      <c r="K554" s="277"/>
      <c r="L554" s="277"/>
      <c r="M554" s="277"/>
      <c r="N554" s="277"/>
      <c r="O554" s="277"/>
      <c r="P554" s="277"/>
      <c r="Q554" s="277"/>
      <c r="R554" s="277"/>
      <c r="S554" s="277"/>
      <c r="T554" s="277"/>
      <c r="U554" s="277"/>
      <c r="V554" s="280"/>
      <c r="W554" s="277"/>
      <c r="X554" s="277"/>
      <c r="Y554" s="277"/>
      <c r="Z554" s="277"/>
      <c r="AA554" s="277"/>
      <c r="AB554" s="277"/>
      <c r="AC554" s="277"/>
      <c r="AD554" s="277"/>
      <c r="AE554" s="277"/>
      <c r="AF554" s="277"/>
    </row>
    <row r="555" ht="12.75" customHeight="1">
      <c r="A555" s="277"/>
      <c r="B555" s="278"/>
      <c r="C555" s="277"/>
      <c r="D555" s="278"/>
      <c r="E555" s="279"/>
      <c r="F555" s="277"/>
      <c r="G555" s="277"/>
      <c r="H555" s="277"/>
      <c r="I555" s="277"/>
      <c r="J555" s="277"/>
      <c r="K555" s="277"/>
      <c r="L555" s="277"/>
      <c r="M555" s="277"/>
      <c r="N555" s="277"/>
      <c r="O555" s="277"/>
      <c r="P555" s="277"/>
      <c r="Q555" s="277"/>
      <c r="R555" s="277"/>
      <c r="S555" s="277"/>
      <c r="T555" s="277"/>
      <c r="U555" s="277"/>
      <c r="V555" s="280"/>
      <c r="W555" s="277"/>
      <c r="X555" s="277"/>
      <c r="Y555" s="277"/>
      <c r="Z555" s="277"/>
      <c r="AA555" s="277"/>
      <c r="AB555" s="277"/>
      <c r="AC555" s="277"/>
      <c r="AD555" s="277"/>
      <c r="AE555" s="277"/>
      <c r="AF555" s="277"/>
    </row>
    <row r="556" ht="12.75" customHeight="1">
      <c r="A556" s="277"/>
      <c r="B556" s="278"/>
      <c r="C556" s="277"/>
      <c r="D556" s="278"/>
      <c r="E556" s="279"/>
      <c r="F556" s="277"/>
      <c r="G556" s="277"/>
      <c r="H556" s="277"/>
      <c r="I556" s="277"/>
      <c r="J556" s="277"/>
      <c r="K556" s="277"/>
      <c r="L556" s="277"/>
      <c r="M556" s="277"/>
      <c r="N556" s="277"/>
      <c r="O556" s="277"/>
      <c r="P556" s="277"/>
      <c r="Q556" s="277"/>
      <c r="R556" s="277"/>
      <c r="S556" s="277"/>
      <c r="T556" s="277"/>
      <c r="U556" s="277"/>
      <c r="V556" s="280"/>
      <c r="W556" s="277"/>
      <c r="X556" s="277"/>
      <c r="Y556" s="277"/>
      <c r="Z556" s="277"/>
      <c r="AA556" s="277"/>
      <c r="AB556" s="277"/>
      <c r="AC556" s="277"/>
      <c r="AD556" s="277"/>
      <c r="AE556" s="277"/>
      <c r="AF556" s="277"/>
    </row>
    <row r="557" ht="12.75" customHeight="1">
      <c r="A557" s="277"/>
      <c r="B557" s="278"/>
      <c r="C557" s="277"/>
      <c r="D557" s="278"/>
      <c r="E557" s="279"/>
      <c r="F557" s="277"/>
      <c r="G557" s="277"/>
      <c r="H557" s="277"/>
      <c r="I557" s="277"/>
      <c r="J557" s="277"/>
      <c r="K557" s="277"/>
      <c r="L557" s="277"/>
      <c r="M557" s="277"/>
      <c r="N557" s="277"/>
      <c r="O557" s="277"/>
      <c r="P557" s="277"/>
      <c r="Q557" s="277"/>
      <c r="R557" s="277"/>
      <c r="S557" s="277"/>
      <c r="T557" s="277"/>
      <c r="U557" s="277"/>
      <c r="V557" s="280"/>
      <c r="W557" s="277"/>
      <c r="X557" s="277"/>
      <c r="Y557" s="277"/>
      <c r="Z557" s="277"/>
      <c r="AA557" s="277"/>
      <c r="AB557" s="277"/>
      <c r="AC557" s="277"/>
      <c r="AD557" s="277"/>
      <c r="AE557" s="277"/>
      <c r="AF557" s="277"/>
    </row>
    <row r="558" ht="12.75" customHeight="1">
      <c r="A558" s="277"/>
      <c r="B558" s="278"/>
      <c r="C558" s="277"/>
      <c r="D558" s="278"/>
      <c r="E558" s="279"/>
      <c r="F558" s="277"/>
      <c r="G558" s="277"/>
      <c r="H558" s="277"/>
      <c r="I558" s="277"/>
      <c r="J558" s="277"/>
      <c r="K558" s="277"/>
      <c r="L558" s="277"/>
      <c r="M558" s="277"/>
      <c r="N558" s="277"/>
      <c r="O558" s="277"/>
      <c r="P558" s="277"/>
      <c r="Q558" s="277"/>
      <c r="R558" s="277"/>
      <c r="S558" s="277"/>
      <c r="T558" s="277"/>
      <c r="U558" s="277"/>
      <c r="V558" s="280"/>
      <c r="W558" s="277"/>
      <c r="X558" s="277"/>
      <c r="Y558" s="277"/>
      <c r="Z558" s="277"/>
      <c r="AA558" s="277"/>
      <c r="AB558" s="277"/>
      <c r="AC558" s="277"/>
      <c r="AD558" s="277"/>
      <c r="AE558" s="277"/>
      <c r="AF558" s="277"/>
    </row>
    <row r="559" ht="12.75" customHeight="1">
      <c r="A559" s="277"/>
      <c r="B559" s="278"/>
      <c r="C559" s="277"/>
      <c r="D559" s="278"/>
      <c r="E559" s="279"/>
      <c r="F559" s="277"/>
      <c r="G559" s="277"/>
      <c r="H559" s="277"/>
      <c r="I559" s="277"/>
      <c r="J559" s="277"/>
      <c r="K559" s="277"/>
      <c r="L559" s="277"/>
      <c r="M559" s="277"/>
      <c r="N559" s="277"/>
      <c r="O559" s="277"/>
      <c r="P559" s="277"/>
      <c r="Q559" s="277"/>
      <c r="R559" s="277"/>
      <c r="S559" s="277"/>
      <c r="T559" s="277"/>
      <c r="U559" s="277"/>
      <c r="V559" s="280"/>
      <c r="W559" s="277"/>
      <c r="X559" s="277"/>
      <c r="Y559" s="277"/>
      <c r="Z559" s="277"/>
      <c r="AA559" s="277"/>
      <c r="AB559" s="277"/>
      <c r="AC559" s="277"/>
      <c r="AD559" s="277"/>
      <c r="AE559" s="277"/>
      <c r="AF559" s="277"/>
    </row>
    <row r="560" ht="12.75" customHeight="1">
      <c r="A560" s="277"/>
      <c r="B560" s="278"/>
      <c r="C560" s="277"/>
      <c r="D560" s="278"/>
      <c r="E560" s="279"/>
      <c r="F560" s="277"/>
      <c r="G560" s="277"/>
      <c r="H560" s="277"/>
      <c r="I560" s="277"/>
      <c r="J560" s="277"/>
      <c r="K560" s="277"/>
      <c r="L560" s="277"/>
      <c r="M560" s="277"/>
      <c r="N560" s="277"/>
      <c r="O560" s="277"/>
      <c r="P560" s="277"/>
      <c r="Q560" s="277"/>
      <c r="R560" s="277"/>
      <c r="S560" s="277"/>
      <c r="T560" s="277"/>
      <c r="U560" s="277"/>
      <c r="V560" s="280"/>
      <c r="W560" s="277"/>
      <c r="X560" s="277"/>
      <c r="Y560" s="277"/>
      <c r="Z560" s="277"/>
      <c r="AA560" s="277"/>
      <c r="AB560" s="277"/>
      <c r="AC560" s="277"/>
      <c r="AD560" s="277"/>
      <c r="AE560" s="277"/>
      <c r="AF560" s="277"/>
    </row>
    <row r="561" ht="12.75" customHeight="1">
      <c r="A561" s="277"/>
      <c r="B561" s="278"/>
      <c r="C561" s="277"/>
      <c r="D561" s="278"/>
      <c r="E561" s="279"/>
      <c r="F561" s="277"/>
      <c r="G561" s="277"/>
      <c r="H561" s="277"/>
      <c r="I561" s="277"/>
      <c r="J561" s="277"/>
      <c r="K561" s="277"/>
      <c r="L561" s="277"/>
      <c r="M561" s="277"/>
      <c r="N561" s="277"/>
      <c r="O561" s="277"/>
      <c r="P561" s="277"/>
      <c r="Q561" s="277"/>
      <c r="R561" s="277"/>
      <c r="S561" s="277"/>
      <c r="T561" s="277"/>
      <c r="U561" s="277"/>
      <c r="V561" s="280"/>
      <c r="W561" s="277"/>
      <c r="X561" s="277"/>
      <c r="Y561" s="277"/>
      <c r="Z561" s="277"/>
      <c r="AA561" s="277"/>
      <c r="AB561" s="277"/>
      <c r="AC561" s="277"/>
      <c r="AD561" s="277"/>
      <c r="AE561" s="277"/>
      <c r="AF561" s="277"/>
    </row>
    <row r="562" ht="12.75" customHeight="1">
      <c r="A562" s="277"/>
      <c r="B562" s="278"/>
      <c r="C562" s="277"/>
      <c r="D562" s="278"/>
      <c r="E562" s="279"/>
      <c r="F562" s="277"/>
      <c r="G562" s="277"/>
      <c r="H562" s="277"/>
      <c r="I562" s="277"/>
      <c r="J562" s="277"/>
      <c r="K562" s="277"/>
      <c r="L562" s="277"/>
      <c r="M562" s="277"/>
      <c r="N562" s="277"/>
      <c r="O562" s="277"/>
      <c r="P562" s="277"/>
      <c r="Q562" s="277"/>
      <c r="R562" s="277"/>
      <c r="S562" s="277"/>
      <c r="T562" s="277"/>
      <c r="U562" s="277"/>
      <c r="V562" s="280"/>
      <c r="W562" s="277"/>
      <c r="X562" s="277"/>
      <c r="Y562" s="277"/>
      <c r="Z562" s="277"/>
      <c r="AA562" s="277"/>
      <c r="AB562" s="277"/>
      <c r="AC562" s="277"/>
      <c r="AD562" s="277"/>
      <c r="AE562" s="277"/>
      <c r="AF562" s="277"/>
    </row>
    <row r="563" ht="12.75" customHeight="1">
      <c r="A563" s="277"/>
      <c r="B563" s="278"/>
      <c r="C563" s="277"/>
      <c r="D563" s="278"/>
      <c r="E563" s="279"/>
      <c r="F563" s="277"/>
      <c r="G563" s="277"/>
      <c r="H563" s="277"/>
      <c r="I563" s="277"/>
      <c r="J563" s="277"/>
      <c r="K563" s="277"/>
      <c r="L563" s="277"/>
      <c r="M563" s="277"/>
      <c r="N563" s="277"/>
      <c r="O563" s="277"/>
      <c r="P563" s="277"/>
      <c r="Q563" s="277"/>
      <c r="R563" s="277"/>
      <c r="S563" s="277"/>
      <c r="T563" s="277"/>
      <c r="U563" s="277"/>
      <c r="V563" s="280"/>
      <c r="W563" s="277"/>
      <c r="X563" s="277"/>
      <c r="Y563" s="277"/>
      <c r="Z563" s="277"/>
      <c r="AA563" s="277"/>
      <c r="AB563" s="277"/>
      <c r="AC563" s="277"/>
      <c r="AD563" s="277"/>
      <c r="AE563" s="277"/>
      <c r="AF563" s="277"/>
    </row>
    <row r="564" ht="12.75" customHeight="1">
      <c r="A564" s="277"/>
      <c r="B564" s="278"/>
      <c r="C564" s="277"/>
      <c r="D564" s="278"/>
      <c r="E564" s="279"/>
      <c r="F564" s="277"/>
      <c r="G564" s="277"/>
      <c r="H564" s="277"/>
      <c r="I564" s="277"/>
      <c r="J564" s="277"/>
      <c r="K564" s="277"/>
      <c r="L564" s="277"/>
      <c r="M564" s="277"/>
      <c r="N564" s="277"/>
      <c r="O564" s="277"/>
      <c r="P564" s="277"/>
      <c r="Q564" s="277"/>
      <c r="R564" s="277"/>
      <c r="S564" s="277"/>
      <c r="T564" s="277"/>
      <c r="U564" s="277"/>
      <c r="V564" s="280"/>
      <c r="W564" s="277"/>
      <c r="X564" s="277"/>
      <c r="Y564" s="277"/>
      <c r="Z564" s="277"/>
      <c r="AA564" s="277"/>
      <c r="AB564" s="277"/>
      <c r="AC564" s="277"/>
      <c r="AD564" s="277"/>
      <c r="AE564" s="277"/>
      <c r="AF564" s="277"/>
    </row>
    <row r="565" ht="12.75" customHeight="1">
      <c r="A565" s="277"/>
      <c r="B565" s="278"/>
      <c r="C565" s="277"/>
      <c r="D565" s="278"/>
      <c r="E565" s="279"/>
      <c r="F565" s="277"/>
      <c r="G565" s="277"/>
      <c r="H565" s="277"/>
      <c r="I565" s="277"/>
      <c r="J565" s="277"/>
      <c r="K565" s="277"/>
      <c r="L565" s="277"/>
      <c r="M565" s="277"/>
      <c r="N565" s="277"/>
      <c r="O565" s="277"/>
      <c r="P565" s="277"/>
      <c r="Q565" s="277"/>
      <c r="R565" s="277"/>
      <c r="S565" s="277"/>
      <c r="T565" s="277"/>
      <c r="U565" s="277"/>
      <c r="V565" s="280"/>
      <c r="W565" s="277"/>
      <c r="X565" s="277"/>
      <c r="Y565" s="277"/>
      <c r="Z565" s="277"/>
      <c r="AA565" s="277"/>
      <c r="AB565" s="277"/>
      <c r="AC565" s="277"/>
      <c r="AD565" s="277"/>
      <c r="AE565" s="277"/>
      <c r="AF565" s="277"/>
    </row>
    <row r="566" ht="12.75" customHeight="1">
      <c r="A566" s="277"/>
      <c r="B566" s="278"/>
      <c r="C566" s="277"/>
      <c r="D566" s="278"/>
      <c r="E566" s="279"/>
      <c r="F566" s="277"/>
      <c r="G566" s="277"/>
      <c r="H566" s="277"/>
      <c r="I566" s="277"/>
      <c r="J566" s="277"/>
      <c r="K566" s="277"/>
      <c r="L566" s="277"/>
      <c r="M566" s="277"/>
      <c r="N566" s="277"/>
      <c r="O566" s="277"/>
      <c r="P566" s="277"/>
      <c r="Q566" s="277"/>
      <c r="R566" s="277"/>
      <c r="S566" s="277"/>
      <c r="T566" s="277"/>
      <c r="U566" s="277"/>
      <c r="V566" s="280"/>
      <c r="W566" s="277"/>
      <c r="X566" s="277"/>
      <c r="Y566" s="277"/>
      <c r="Z566" s="277"/>
      <c r="AA566" s="277"/>
      <c r="AB566" s="277"/>
      <c r="AC566" s="277"/>
      <c r="AD566" s="277"/>
      <c r="AE566" s="277"/>
      <c r="AF566" s="277"/>
    </row>
    <row r="567" ht="12.75" customHeight="1">
      <c r="A567" s="277"/>
      <c r="B567" s="278"/>
      <c r="C567" s="277"/>
      <c r="D567" s="278"/>
      <c r="E567" s="279"/>
      <c r="F567" s="277"/>
      <c r="G567" s="277"/>
      <c r="H567" s="277"/>
      <c r="I567" s="277"/>
      <c r="J567" s="277"/>
      <c r="K567" s="277"/>
      <c r="L567" s="277"/>
      <c r="M567" s="277"/>
      <c r="N567" s="277"/>
      <c r="O567" s="277"/>
      <c r="P567" s="277"/>
      <c r="Q567" s="277"/>
      <c r="R567" s="277"/>
      <c r="S567" s="277"/>
      <c r="T567" s="277"/>
      <c r="U567" s="277"/>
      <c r="V567" s="280"/>
      <c r="W567" s="277"/>
      <c r="X567" s="277"/>
      <c r="Y567" s="277"/>
      <c r="Z567" s="277"/>
      <c r="AA567" s="277"/>
      <c r="AB567" s="277"/>
      <c r="AC567" s="277"/>
      <c r="AD567" s="277"/>
      <c r="AE567" s="277"/>
      <c r="AF567" s="277"/>
    </row>
    <row r="568" ht="12.75" customHeight="1">
      <c r="A568" s="277"/>
      <c r="B568" s="278"/>
      <c r="C568" s="277"/>
      <c r="D568" s="278"/>
      <c r="E568" s="279"/>
      <c r="F568" s="277"/>
      <c r="G568" s="277"/>
      <c r="H568" s="277"/>
      <c r="I568" s="277"/>
      <c r="J568" s="277"/>
      <c r="K568" s="277"/>
      <c r="L568" s="277"/>
      <c r="M568" s="277"/>
      <c r="N568" s="277"/>
      <c r="O568" s="277"/>
      <c r="P568" s="277"/>
      <c r="Q568" s="277"/>
      <c r="R568" s="277"/>
      <c r="S568" s="277"/>
      <c r="T568" s="277"/>
      <c r="U568" s="277"/>
      <c r="V568" s="280"/>
      <c r="W568" s="277"/>
      <c r="X568" s="277"/>
      <c r="Y568" s="277"/>
      <c r="Z568" s="277"/>
      <c r="AA568" s="277"/>
      <c r="AB568" s="277"/>
      <c r="AC568" s="277"/>
      <c r="AD568" s="277"/>
      <c r="AE568" s="277"/>
      <c r="AF568" s="277"/>
    </row>
    <row r="569" ht="12.75" customHeight="1">
      <c r="A569" s="277"/>
      <c r="B569" s="278"/>
      <c r="C569" s="277"/>
      <c r="D569" s="278"/>
      <c r="E569" s="279"/>
      <c r="F569" s="277"/>
      <c r="G569" s="277"/>
      <c r="H569" s="277"/>
      <c r="I569" s="277"/>
      <c r="J569" s="277"/>
      <c r="K569" s="277"/>
      <c r="L569" s="277"/>
      <c r="M569" s="277"/>
      <c r="N569" s="277"/>
      <c r="O569" s="277"/>
      <c r="P569" s="277"/>
      <c r="Q569" s="277"/>
      <c r="R569" s="277"/>
      <c r="S569" s="277"/>
      <c r="T569" s="277"/>
      <c r="U569" s="277"/>
      <c r="V569" s="280"/>
      <c r="W569" s="277"/>
      <c r="X569" s="277"/>
      <c r="Y569" s="277"/>
      <c r="Z569" s="277"/>
      <c r="AA569" s="277"/>
      <c r="AB569" s="277"/>
      <c r="AC569" s="277"/>
      <c r="AD569" s="277"/>
      <c r="AE569" s="277"/>
      <c r="AF569" s="277"/>
    </row>
    <row r="570" ht="12.75" customHeight="1">
      <c r="A570" s="277"/>
      <c r="B570" s="278"/>
      <c r="C570" s="277"/>
      <c r="D570" s="278"/>
      <c r="E570" s="279"/>
      <c r="F570" s="277"/>
      <c r="G570" s="277"/>
      <c r="H570" s="277"/>
      <c r="I570" s="277"/>
      <c r="J570" s="277"/>
      <c r="K570" s="277"/>
      <c r="L570" s="277"/>
      <c r="M570" s="277"/>
      <c r="N570" s="277"/>
      <c r="O570" s="277"/>
      <c r="P570" s="277"/>
      <c r="Q570" s="277"/>
      <c r="R570" s="277"/>
      <c r="S570" s="277"/>
      <c r="T570" s="277"/>
      <c r="U570" s="277"/>
      <c r="V570" s="280"/>
      <c r="W570" s="277"/>
      <c r="X570" s="277"/>
      <c r="Y570" s="277"/>
      <c r="Z570" s="277"/>
      <c r="AA570" s="277"/>
      <c r="AB570" s="277"/>
      <c r="AC570" s="277"/>
      <c r="AD570" s="277"/>
      <c r="AE570" s="277"/>
      <c r="AF570" s="277"/>
    </row>
    <row r="571" ht="12.75" customHeight="1">
      <c r="A571" s="277"/>
      <c r="B571" s="278"/>
      <c r="C571" s="277"/>
      <c r="D571" s="278"/>
      <c r="E571" s="279"/>
      <c r="F571" s="277"/>
      <c r="G571" s="277"/>
      <c r="H571" s="277"/>
      <c r="I571" s="277"/>
      <c r="J571" s="277"/>
      <c r="K571" s="277"/>
      <c r="L571" s="277"/>
      <c r="M571" s="277"/>
      <c r="N571" s="277"/>
      <c r="O571" s="277"/>
      <c r="P571" s="277"/>
      <c r="Q571" s="277"/>
      <c r="R571" s="277"/>
      <c r="S571" s="277"/>
      <c r="T571" s="277"/>
      <c r="U571" s="277"/>
      <c r="V571" s="280"/>
      <c r="W571" s="277"/>
      <c r="X571" s="277"/>
      <c r="Y571" s="277"/>
      <c r="Z571" s="277"/>
      <c r="AA571" s="277"/>
      <c r="AB571" s="277"/>
      <c r="AC571" s="277"/>
      <c r="AD571" s="277"/>
      <c r="AE571" s="277"/>
      <c r="AF571" s="277"/>
    </row>
    <row r="572" ht="12.75" customHeight="1">
      <c r="A572" s="277"/>
      <c r="B572" s="278"/>
      <c r="C572" s="277"/>
      <c r="D572" s="278"/>
      <c r="E572" s="279"/>
      <c r="F572" s="277"/>
      <c r="G572" s="277"/>
      <c r="H572" s="277"/>
      <c r="I572" s="277"/>
      <c r="J572" s="277"/>
      <c r="K572" s="277"/>
      <c r="L572" s="277"/>
      <c r="M572" s="277"/>
      <c r="N572" s="277"/>
      <c r="O572" s="277"/>
      <c r="P572" s="277"/>
      <c r="Q572" s="277"/>
      <c r="R572" s="277"/>
      <c r="S572" s="277"/>
      <c r="T572" s="277"/>
      <c r="U572" s="277"/>
      <c r="V572" s="280"/>
      <c r="W572" s="277"/>
      <c r="X572" s="277"/>
      <c r="Y572" s="277"/>
      <c r="Z572" s="277"/>
      <c r="AA572" s="277"/>
      <c r="AB572" s="277"/>
      <c r="AC572" s="277"/>
      <c r="AD572" s="277"/>
      <c r="AE572" s="277"/>
      <c r="AF572" s="277"/>
    </row>
    <row r="573" ht="12.75" customHeight="1">
      <c r="A573" s="277"/>
      <c r="B573" s="278"/>
      <c r="C573" s="277"/>
      <c r="D573" s="278"/>
      <c r="E573" s="279"/>
      <c r="F573" s="277"/>
      <c r="G573" s="277"/>
      <c r="H573" s="277"/>
      <c r="I573" s="277"/>
      <c r="J573" s="277"/>
      <c r="K573" s="277"/>
      <c r="L573" s="277"/>
      <c r="M573" s="277"/>
      <c r="N573" s="277"/>
      <c r="O573" s="277"/>
      <c r="P573" s="277"/>
      <c r="Q573" s="277"/>
      <c r="R573" s="277"/>
      <c r="S573" s="277"/>
      <c r="T573" s="277"/>
      <c r="U573" s="277"/>
      <c r="V573" s="280"/>
      <c r="W573" s="277"/>
      <c r="X573" s="277"/>
      <c r="Y573" s="277"/>
      <c r="Z573" s="277"/>
      <c r="AA573" s="277"/>
      <c r="AB573" s="277"/>
      <c r="AC573" s="277"/>
      <c r="AD573" s="277"/>
      <c r="AE573" s="277"/>
      <c r="AF573" s="277"/>
    </row>
    <row r="574" ht="12.75" customHeight="1">
      <c r="A574" s="277"/>
      <c r="B574" s="278"/>
      <c r="C574" s="277"/>
      <c r="D574" s="278"/>
      <c r="E574" s="279"/>
      <c r="F574" s="277"/>
      <c r="G574" s="277"/>
      <c r="H574" s="277"/>
      <c r="I574" s="277"/>
      <c r="J574" s="277"/>
      <c r="K574" s="277"/>
      <c r="L574" s="277"/>
      <c r="M574" s="277"/>
      <c r="N574" s="277"/>
      <c r="O574" s="277"/>
      <c r="P574" s="277"/>
      <c r="Q574" s="277"/>
      <c r="R574" s="277"/>
      <c r="S574" s="277"/>
      <c r="T574" s="277"/>
      <c r="U574" s="277"/>
      <c r="V574" s="280"/>
      <c r="W574" s="277"/>
      <c r="X574" s="277"/>
      <c r="Y574" s="277"/>
      <c r="Z574" s="277"/>
      <c r="AA574" s="277"/>
      <c r="AB574" s="277"/>
      <c r="AC574" s="277"/>
      <c r="AD574" s="277"/>
      <c r="AE574" s="277"/>
      <c r="AF574" s="277"/>
    </row>
    <row r="575" ht="12.75" customHeight="1">
      <c r="A575" s="277"/>
      <c r="B575" s="278"/>
      <c r="C575" s="277"/>
      <c r="D575" s="278"/>
      <c r="E575" s="279"/>
      <c r="F575" s="277"/>
      <c r="G575" s="277"/>
      <c r="H575" s="277"/>
      <c r="I575" s="277"/>
      <c r="J575" s="277"/>
      <c r="K575" s="277"/>
      <c r="L575" s="277"/>
      <c r="M575" s="277"/>
      <c r="N575" s="277"/>
      <c r="O575" s="277"/>
      <c r="P575" s="277"/>
      <c r="Q575" s="277"/>
      <c r="R575" s="277"/>
      <c r="S575" s="277"/>
      <c r="T575" s="277"/>
      <c r="U575" s="277"/>
      <c r="V575" s="280"/>
      <c r="W575" s="277"/>
      <c r="X575" s="277"/>
      <c r="Y575" s="277"/>
      <c r="Z575" s="277"/>
      <c r="AA575" s="277"/>
      <c r="AB575" s="277"/>
      <c r="AC575" s="277"/>
      <c r="AD575" s="277"/>
      <c r="AE575" s="277"/>
      <c r="AF575" s="277"/>
    </row>
    <row r="576" ht="12.75" customHeight="1">
      <c r="A576" s="277"/>
      <c r="B576" s="278"/>
      <c r="C576" s="277"/>
      <c r="D576" s="278"/>
      <c r="E576" s="279"/>
      <c r="F576" s="277"/>
      <c r="G576" s="277"/>
      <c r="H576" s="277"/>
      <c r="I576" s="277"/>
      <c r="J576" s="277"/>
      <c r="K576" s="277"/>
      <c r="L576" s="277"/>
      <c r="M576" s="277"/>
      <c r="N576" s="277"/>
      <c r="O576" s="277"/>
      <c r="P576" s="277"/>
      <c r="Q576" s="277"/>
      <c r="R576" s="277"/>
      <c r="S576" s="277"/>
      <c r="T576" s="277"/>
      <c r="U576" s="277"/>
      <c r="V576" s="280"/>
      <c r="W576" s="277"/>
      <c r="X576" s="277"/>
      <c r="Y576" s="277"/>
      <c r="Z576" s="277"/>
      <c r="AA576" s="277"/>
      <c r="AB576" s="277"/>
      <c r="AC576" s="277"/>
      <c r="AD576" s="277"/>
      <c r="AE576" s="277"/>
      <c r="AF576" s="277"/>
    </row>
    <row r="577" ht="12.75" customHeight="1">
      <c r="A577" s="277"/>
      <c r="B577" s="278"/>
      <c r="C577" s="277"/>
      <c r="D577" s="278"/>
      <c r="E577" s="279"/>
      <c r="F577" s="277"/>
      <c r="G577" s="277"/>
      <c r="H577" s="277"/>
      <c r="I577" s="277"/>
      <c r="J577" s="277"/>
      <c r="K577" s="277"/>
      <c r="L577" s="277"/>
      <c r="M577" s="277"/>
      <c r="N577" s="277"/>
      <c r="O577" s="277"/>
      <c r="P577" s="277"/>
      <c r="Q577" s="277"/>
      <c r="R577" s="277"/>
      <c r="S577" s="277"/>
      <c r="T577" s="277"/>
      <c r="U577" s="277"/>
      <c r="V577" s="280"/>
      <c r="W577" s="277"/>
      <c r="X577" s="277"/>
      <c r="Y577" s="277"/>
      <c r="Z577" s="277"/>
      <c r="AA577" s="277"/>
      <c r="AB577" s="277"/>
      <c r="AC577" s="277"/>
      <c r="AD577" s="277"/>
      <c r="AE577" s="277"/>
      <c r="AF577" s="277"/>
    </row>
    <row r="578" ht="12.75" customHeight="1">
      <c r="A578" s="277"/>
      <c r="B578" s="278"/>
      <c r="C578" s="277"/>
      <c r="D578" s="278"/>
      <c r="E578" s="279"/>
      <c r="F578" s="277"/>
      <c r="G578" s="277"/>
      <c r="H578" s="277"/>
      <c r="I578" s="277"/>
      <c r="J578" s="277"/>
      <c r="K578" s="277"/>
      <c r="L578" s="277"/>
      <c r="M578" s="277"/>
      <c r="N578" s="277"/>
      <c r="O578" s="277"/>
      <c r="P578" s="277"/>
      <c r="Q578" s="277"/>
      <c r="R578" s="277"/>
      <c r="S578" s="277"/>
      <c r="T578" s="277"/>
      <c r="U578" s="277"/>
      <c r="V578" s="280"/>
      <c r="W578" s="277"/>
      <c r="X578" s="277"/>
      <c r="Y578" s="277"/>
      <c r="Z578" s="277"/>
      <c r="AA578" s="277"/>
      <c r="AB578" s="277"/>
      <c r="AC578" s="277"/>
      <c r="AD578" s="277"/>
      <c r="AE578" s="277"/>
      <c r="AF578" s="277"/>
    </row>
    <row r="579" ht="12.75" customHeight="1">
      <c r="A579" s="277"/>
      <c r="B579" s="278"/>
      <c r="C579" s="277"/>
      <c r="D579" s="278"/>
      <c r="E579" s="279"/>
      <c r="F579" s="277"/>
      <c r="G579" s="277"/>
      <c r="H579" s="277"/>
      <c r="I579" s="277"/>
      <c r="J579" s="277"/>
      <c r="K579" s="277"/>
      <c r="L579" s="277"/>
      <c r="M579" s="277"/>
      <c r="N579" s="277"/>
      <c r="O579" s="277"/>
      <c r="P579" s="277"/>
      <c r="Q579" s="277"/>
      <c r="R579" s="277"/>
      <c r="S579" s="277"/>
      <c r="T579" s="277"/>
      <c r="U579" s="277"/>
      <c r="V579" s="280"/>
      <c r="W579" s="277"/>
      <c r="X579" s="277"/>
      <c r="Y579" s="277"/>
      <c r="Z579" s="277"/>
      <c r="AA579" s="277"/>
      <c r="AB579" s="277"/>
      <c r="AC579" s="277"/>
      <c r="AD579" s="277"/>
      <c r="AE579" s="277"/>
      <c r="AF579" s="277"/>
    </row>
    <row r="580" ht="12.75" customHeight="1">
      <c r="A580" s="277"/>
      <c r="B580" s="278"/>
      <c r="C580" s="277"/>
      <c r="D580" s="278"/>
      <c r="E580" s="279"/>
      <c r="F580" s="277"/>
      <c r="G580" s="277"/>
      <c r="H580" s="277"/>
      <c r="I580" s="277"/>
      <c r="J580" s="277"/>
      <c r="K580" s="277"/>
      <c r="L580" s="277"/>
      <c r="M580" s="277"/>
      <c r="N580" s="277"/>
      <c r="O580" s="277"/>
      <c r="P580" s="277"/>
      <c r="Q580" s="277"/>
      <c r="R580" s="277"/>
      <c r="S580" s="277"/>
      <c r="T580" s="277"/>
      <c r="U580" s="277"/>
      <c r="V580" s="280"/>
      <c r="W580" s="277"/>
      <c r="X580" s="277"/>
      <c r="Y580" s="277"/>
      <c r="Z580" s="277"/>
      <c r="AA580" s="277"/>
      <c r="AB580" s="277"/>
      <c r="AC580" s="277"/>
      <c r="AD580" s="277"/>
      <c r="AE580" s="277"/>
      <c r="AF580" s="277"/>
    </row>
    <row r="581" ht="12.75" customHeight="1">
      <c r="A581" s="277"/>
      <c r="B581" s="278"/>
      <c r="C581" s="277"/>
      <c r="D581" s="278"/>
      <c r="E581" s="279"/>
      <c r="F581" s="277"/>
      <c r="G581" s="277"/>
      <c r="H581" s="277"/>
      <c r="I581" s="277"/>
      <c r="J581" s="277"/>
      <c r="K581" s="277"/>
      <c r="L581" s="277"/>
      <c r="M581" s="277"/>
      <c r="N581" s="277"/>
      <c r="O581" s="277"/>
      <c r="P581" s="277"/>
      <c r="Q581" s="277"/>
      <c r="R581" s="277"/>
      <c r="S581" s="277"/>
      <c r="T581" s="277"/>
      <c r="U581" s="277"/>
      <c r="V581" s="280"/>
      <c r="W581" s="277"/>
      <c r="X581" s="277"/>
      <c r="Y581" s="277"/>
      <c r="Z581" s="277"/>
      <c r="AA581" s="277"/>
      <c r="AB581" s="277"/>
      <c r="AC581" s="277"/>
      <c r="AD581" s="277"/>
      <c r="AE581" s="277"/>
      <c r="AF581" s="277"/>
    </row>
    <row r="582" ht="12.75" customHeight="1">
      <c r="A582" s="277"/>
      <c r="B582" s="278"/>
      <c r="C582" s="277"/>
      <c r="D582" s="278"/>
      <c r="E582" s="279"/>
      <c r="F582" s="277"/>
      <c r="G582" s="277"/>
      <c r="H582" s="277"/>
      <c r="I582" s="277"/>
      <c r="J582" s="277"/>
      <c r="K582" s="277"/>
      <c r="L582" s="277"/>
      <c r="M582" s="277"/>
      <c r="N582" s="277"/>
      <c r="O582" s="277"/>
      <c r="P582" s="277"/>
      <c r="Q582" s="277"/>
      <c r="R582" s="277"/>
      <c r="S582" s="277"/>
      <c r="T582" s="277"/>
      <c r="U582" s="277"/>
      <c r="V582" s="280"/>
      <c r="W582" s="277"/>
      <c r="X582" s="277"/>
      <c r="Y582" s="277"/>
      <c r="Z582" s="277"/>
      <c r="AA582" s="277"/>
      <c r="AB582" s="277"/>
      <c r="AC582" s="277"/>
      <c r="AD582" s="277"/>
      <c r="AE582" s="277"/>
      <c r="AF582" s="277"/>
    </row>
    <row r="583" ht="12.75" customHeight="1">
      <c r="A583" s="277"/>
      <c r="B583" s="278"/>
      <c r="C583" s="277"/>
      <c r="D583" s="278"/>
      <c r="E583" s="279"/>
      <c r="F583" s="277"/>
      <c r="G583" s="277"/>
      <c r="H583" s="277"/>
      <c r="I583" s="277"/>
      <c r="J583" s="277"/>
      <c r="K583" s="277"/>
      <c r="L583" s="277"/>
      <c r="M583" s="277"/>
      <c r="N583" s="277"/>
      <c r="O583" s="277"/>
      <c r="P583" s="277"/>
      <c r="Q583" s="277"/>
      <c r="R583" s="277"/>
      <c r="S583" s="277"/>
      <c r="T583" s="277"/>
      <c r="U583" s="277"/>
      <c r="V583" s="280"/>
      <c r="W583" s="277"/>
      <c r="X583" s="277"/>
      <c r="Y583" s="277"/>
      <c r="Z583" s="277"/>
      <c r="AA583" s="277"/>
      <c r="AB583" s="277"/>
      <c r="AC583" s="277"/>
      <c r="AD583" s="277"/>
      <c r="AE583" s="277"/>
      <c r="AF583" s="277"/>
    </row>
    <row r="584" ht="12.75" customHeight="1">
      <c r="A584" s="277"/>
      <c r="B584" s="278"/>
      <c r="C584" s="277"/>
      <c r="D584" s="278"/>
      <c r="E584" s="279"/>
      <c r="F584" s="277"/>
      <c r="G584" s="277"/>
      <c r="H584" s="277"/>
      <c r="I584" s="277"/>
      <c r="J584" s="277"/>
      <c r="K584" s="277"/>
      <c r="L584" s="277"/>
      <c r="M584" s="277"/>
      <c r="N584" s="277"/>
      <c r="O584" s="277"/>
      <c r="P584" s="277"/>
      <c r="Q584" s="277"/>
      <c r="R584" s="277"/>
      <c r="S584" s="277"/>
      <c r="T584" s="277"/>
      <c r="U584" s="277"/>
      <c r="V584" s="280"/>
      <c r="W584" s="277"/>
      <c r="X584" s="277"/>
      <c r="Y584" s="277"/>
      <c r="Z584" s="277"/>
      <c r="AA584" s="277"/>
      <c r="AB584" s="277"/>
      <c r="AC584" s="277"/>
      <c r="AD584" s="277"/>
      <c r="AE584" s="277"/>
      <c r="AF584" s="277"/>
    </row>
    <row r="585" ht="12.75" customHeight="1">
      <c r="A585" s="277"/>
      <c r="B585" s="278"/>
      <c r="C585" s="277"/>
      <c r="D585" s="278"/>
      <c r="E585" s="279"/>
      <c r="F585" s="277"/>
      <c r="G585" s="277"/>
      <c r="H585" s="277"/>
      <c r="I585" s="277"/>
      <c r="J585" s="277"/>
      <c r="K585" s="277"/>
      <c r="L585" s="277"/>
      <c r="M585" s="277"/>
      <c r="N585" s="277"/>
      <c r="O585" s="277"/>
      <c r="P585" s="277"/>
      <c r="Q585" s="277"/>
      <c r="R585" s="277"/>
      <c r="S585" s="277"/>
      <c r="T585" s="277"/>
      <c r="U585" s="277"/>
      <c r="V585" s="280"/>
      <c r="W585" s="277"/>
      <c r="X585" s="277"/>
      <c r="Y585" s="277"/>
      <c r="Z585" s="277"/>
      <c r="AA585" s="277"/>
      <c r="AB585" s="277"/>
      <c r="AC585" s="277"/>
      <c r="AD585" s="277"/>
      <c r="AE585" s="277"/>
      <c r="AF585" s="277"/>
    </row>
    <row r="586" ht="12.75" customHeight="1">
      <c r="A586" s="277"/>
      <c r="B586" s="278"/>
      <c r="C586" s="277"/>
      <c r="D586" s="278"/>
      <c r="E586" s="279"/>
      <c r="F586" s="277"/>
      <c r="G586" s="277"/>
      <c r="H586" s="277"/>
      <c r="I586" s="277"/>
      <c r="J586" s="277"/>
      <c r="K586" s="277"/>
      <c r="L586" s="277"/>
      <c r="M586" s="277"/>
      <c r="N586" s="277"/>
      <c r="O586" s="277"/>
      <c r="P586" s="277"/>
      <c r="Q586" s="277"/>
      <c r="R586" s="277"/>
      <c r="S586" s="277"/>
      <c r="T586" s="277"/>
      <c r="U586" s="277"/>
      <c r="V586" s="280"/>
      <c r="W586" s="277"/>
      <c r="X586" s="277"/>
      <c r="Y586" s="277"/>
      <c r="Z586" s="277"/>
      <c r="AA586" s="277"/>
      <c r="AB586" s="277"/>
      <c r="AC586" s="277"/>
      <c r="AD586" s="277"/>
      <c r="AE586" s="277"/>
      <c r="AF586" s="277"/>
    </row>
    <row r="587" ht="12.75" customHeight="1">
      <c r="A587" s="277"/>
      <c r="B587" s="278"/>
      <c r="C587" s="277"/>
      <c r="D587" s="278"/>
      <c r="E587" s="279"/>
      <c r="F587" s="277"/>
      <c r="G587" s="277"/>
      <c r="H587" s="277"/>
      <c r="I587" s="277"/>
      <c r="J587" s="277"/>
      <c r="K587" s="277"/>
      <c r="L587" s="277"/>
      <c r="M587" s="277"/>
      <c r="N587" s="277"/>
      <c r="O587" s="277"/>
      <c r="P587" s="277"/>
      <c r="Q587" s="277"/>
      <c r="R587" s="277"/>
      <c r="S587" s="277"/>
      <c r="T587" s="277"/>
      <c r="U587" s="277"/>
      <c r="V587" s="280"/>
      <c r="W587" s="277"/>
      <c r="X587" s="277"/>
      <c r="Y587" s="277"/>
      <c r="Z587" s="277"/>
      <c r="AA587" s="277"/>
      <c r="AB587" s="277"/>
      <c r="AC587" s="277"/>
      <c r="AD587" s="277"/>
      <c r="AE587" s="277"/>
      <c r="AF587" s="277"/>
    </row>
    <row r="588" ht="12.75" customHeight="1">
      <c r="A588" s="277"/>
      <c r="B588" s="278"/>
      <c r="C588" s="277"/>
      <c r="D588" s="278"/>
      <c r="E588" s="279"/>
      <c r="F588" s="277"/>
      <c r="G588" s="277"/>
      <c r="H588" s="277"/>
      <c r="I588" s="277"/>
      <c r="J588" s="277"/>
      <c r="K588" s="277"/>
      <c r="L588" s="277"/>
      <c r="M588" s="277"/>
      <c r="N588" s="277"/>
      <c r="O588" s="277"/>
      <c r="P588" s="277"/>
      <c r="Q588" s="277"/>
      <c r="R588" s="277"/>
      <c r="S588" s="277"/>
      <c r="T588" s="277"/>
      <c r="U588" s="277"/>
      <c r="V588" s="280"/>
      <c r="W588" s="277"/>
      <c r="X588" s="277"/>
      <c r="Y588" s="277"/>
      <c r="Z588" s="277"/>
      <c r="AA588" s="277"/>
      <c r="AB588" s="277"/>
      <c r="AC588" s="277"/>
      <c r="AD588" s="277"/>
      <c r="AE588" s="277"/>
      <c r="AF588" s="277"/>
    </row>
    <row r="589" ht="12.75" customHeight="1">
      <c r="A589" s="277"/>
      <c r="B589" s="278"/>
      <c r="C589" s="277"/>
      <c r="D589" s="278"/>
      <c r="E589" s="279"/>
      <c r="F589" s="277"/>
      <c r="G589" s="277"/>
      <c r="H589" s="277"/>
      <c r="I589" s="277"/>
      <c r="J589" s="277"/>
      <c r="K589" s="277"/>
      <c r="L589" s="277"/>
      <c r="M589" s="277"/>
      <c r="N589" s="277"/>
      <c r="O589" s="277"/>
      <c r="P589" s="277"/>
      <c r="Q589" s="277"/>
      <c r="R589" s="277"/>
      <c r="S589" s="277"/>
      <c r="T589" s="277"/>
      <c r="U589" s="277"/>
      <c r="V589" s="280"/>
      <c r="W589" s="277"/>
      <c r="X589" s="277"/>
      <c r="Y589" s="277"/>
      <c r="Z589" s="277"/>
      <c r="AA589" s="277"/>
      <c r="AB589" s="277"/>
      <c r="AC589" s="277"/>
      <c r="AD589" s="277"/>
      <c r="AE589" s="277"/>
      <c r="AF589" s="277"/>
    </row>
    <row r="590" ht="12.75" customHeight="1">
      <c r="A590" s="277"/>
      <c r="B590" s="278"/>
      <c r="C590" s="277"/>
      <c r="D590" s="278"/>
      <c r="E590" s="279"/>
      <c r="F590" s="277"/>
      <c r="G590" s="277"/>
      <c r="H590" s="277"/>
      <c r="I590" s="277"/>
      <c r="J590" s="277"/>
      <c r="K590" s="277"/>
      <c r="L590" s="277"/>
      <c r="M590" s="277"/>
      <c r="N590" s="277"/>
      <c r="O590" s="277"/>
      <c r="P590" s="277"/>
      <c r="Q590" s="277"/>
      <c r="R590" s="277"/>
      <c r="S590" s="277"/>
      <c r="T590" s="277"/>
      <c r="U590" s="277"/>
      <c r="V590" s="280"/>
      <c r="W590" s="277"/>
      <c r="X590" s="277"/>
      <c r="Y590" s="277"/>
      <c r="Z590" s="277"/>
      <c r="AA590" s="277"/>
      <c r="AB590" s="277"/>
      <c r="AC590" s="277"/>
      <c r="AD590" s="277"/>
      <c r="AE590" s="277"/>
      <c r="AF590" s="277"/>
    </row>
    <row r="591" ht="12.75" customHeight="1">
      <c r="A591" s="277"/>
      <c r="B591" s="278"/>
      <c r="C591" s="277"/>
      <c r="D591" s="278"/>
      <c r="E591" s="279"/>
      <c r="F591" s="277"/>
      <c r="G591" s="277"/>
      <c r="H591" s="277"/>
      <c r="I591" s="277"/>
      <c r="J591" s="277"/>
      <c r="K591" s="277"/>
      <c r="L591" s="277"/>
      <c r="M591" s="277"/>
      <c r="N591" s="277"/>
      <c r="O591" s="277"/>
      <c r="P591" s="277"/>
      <c r="Q591" s="277"/>
      <c r="R591" s="277"/>
      <c r="S591" s="277"/>
      <c r="T591" s="277"/>
      <c r="U591" s="277"/>
      <c r="V591" s="280"/>
      <c r="W591" s="277"/>
      <c r="X591" s="277"/>
      <c r="Y591" s="277"/>
      <c r="Z591" s="277"/>
      <c r="AA591" s="277"/>
      <c r="AB591" s="277"/>
      <c r="AC591" s="277"/>
      <c r="AD591" s="277"/>
      <c r="AE591" s="277"/>
      <c r="AF591" s="277"/>
    </row>
    <row r="592" ht="12.75" customHeight="1">
      <c r="A592" s="277"/>
      <c r="B592" s="278"/>
      <c r="C592" s="277"/>
      <c r="D592" s="278"/>
      <c r="E592" s="279"/>
      <c r="F592" s="277"/>
      <c r="G592" s="277"/>
      <c r="H592" s="277"/>
      <c r="I592" s="277"/>
      <c r="J592" s="277"/>
      <c r="K592" s="277"/>
      <c r="L592" s="277"/>
      <c r="M592" s="277"/>
      <c r="N592" s="277"/>
      <c r="O592" s="277"/>
      <c r="P592" s="277"/>
      <c r="Q592" s="277"/>
      <c r="R592" s="277"/>
      <c r="S592" s="277"/>
      <c r="T592" s="277"/>
      <c r="U592" s="277"/>
      <c r="V592" s="280"/>
      <c r="W592" s="277"/>
      <c r="X592" s="277"/>
      <c r="Y592" s="277"/>
      <c r="Z592" s="277"/>
      <c r="AA592" s="277"/>
      <c r="AB592" s="277"/>
      <c r="AC592" s="277"/>
      <c r="AD592" s="277"/>
      <c r="AE592" s="277"/>
      <c r="AF592" s="277"/>
    </row>
    <row r="593" ht="12.75" customHeight="1">
      <c r="A593" s="277"/>
      <c r="B593" s="278"/>
      <c r="C593" s="277"/>
      <c r="D593" s="278"/>
      <c r="E593" s="279"/>
      <c r="F593" s="277"/>
      <c r="G593" s="277"/>
      <c r="H593" s="277"/>
      <c r="I593" s="277"/>
      <c r="J593" s="277"/>
      <c r="K593" s="277"/>
      <c r="L593" s="277"/>
      <c r="M593" s="277"/>
      <c r="N593" s="277"/>
      <c r="O593" s="277"/>
      <c r="P593" s="277"/>
      <c r="Q593" s="277"/>
      <c r="R593" s="277"/>
      <c r="S593" s="277"/>
      <c r="T593" s="277"/>
      <c r="U593" s="277"/>
      <c r="V593" s="280"/>
      <c r="W593" s="277"/>
      <c r="X593" s="277"/>
      <c r="Y593" s="277"/>
      <c r="Z593" s="277"/>
      <c r="AA593" s="277"/>
      <c r="AB593" s="277"/>
      <c r="AC593" s="277"/>
      <c r="AD593" s="277"/>
      <c r="AE593" s="277"/>
      <c r="AF593" s="277"/>
    </row>
    <row r="594" ht="12.75" customHeight="1">
      <c r="A594" s="277"/>
      <c r="B594" s="278"/>
      <c r="C594" s="277"/>
      <c r="D594" s="278"/>
      <c r="E594" s="279"/>
      <c r="F594" s="277"/>
      <c r="G594" s="277"/>
      <c r="H594" s="277"/>
      <c r="I594" s="277"/>
      <c r="J594" s="277"/>
      <c r="K594" s="277"/>
      <c r="L594" s="277"/>
      <c r="M594" s="277"/>
      <c r="N594" s="277"/>
      <c r="O594" s="277"/>
      <c r="P594" s="277"/>
      <c r="Q594" s="277"/>
      <c r="R594" s="277"/>
      <c r="S594" s="277"/>
      <c r="T594" s="277"/>
      <c r="U594" s="277"/>
      <c r="V594" s="280"/>
      <c r="W594" s="277"/>
      <c r="X594" s="277"/>
      <c r="Y594" s="277"/>
      <c r="Z594" s="277"/>
      <c r="AA594" s="277"/>
      <c r="AB594" s="277"/>
      <c r="AC594" s="277"/>
      <c r="AD594" s="277"/>
      <c r="AE594" s="277"/>
      <c r="AF594" s="277"/>
    </row>
    <row r="595" ht="12.75" customHeight="1">
      <c r="A595" s="277"/>
      <c r="B595" s="278"/>
      <c r="C595" s="277"/>
      <c r="D595" s="278"/>
      <c r="E595" s="279"/>
      <c r="F595" s="277"/>
      <c r="G595" s="277"/>
      <c r="H595" s="277"/>
      <c r="I595" s="277"/>
      <c r="J595" s="277"/>
      <c r="K595" s="277"/>
      <c r="L595" s="277"/>
      <c r="M595" s="277"/>
      <c r="N595" s="277"/>
      <c r="O595" s="277"/>
      <c r="P595" s="277"/>
      <c r="Q595" s="277"/>
      <c r="R595" s="277"/>
      <c r="S595" s="277"/>
      <c r="T595" s="277"/>
      <c r="U595" s="277"/>
      <c r="V595" s="280"/>
      <c r="W595" s="277"/>
      <c r="X595" s="277"/>
      <c r="Y595" s="277"/>
      <c r="Z595" s="277"/>
      <c r="AA595" s="277"/>
      <c r="AB595" s="277"/>
      <c r="AC595" s="277"/>
      <c r="AD595" s="277"/>
      <c r="AE595" s="277"/>
      <c r="AF595" s="277"/>
    </row>
    <row r="596" ht="12.75" customHeight="1">
      <c r="A596" s="277"/>
      <c r="B596" s="278"/>
      <c r="C596" s="277"/>
      <c r="D596" s="278"/>
      <c r="E596" s="279"/>
      <c r="F596" s="277"/>
      <c r="G596" s="277"/>
      <c r="H596" s="277"/>
      <c r="I596" s="277"/>
      <c r="J596" s="277"/>
      <c r="K596" s="277"/>
      <c r="L596" s="277"/>
      <c r="M596" s="277"/>
      <c r="N596" s="277"/>
      <c r="O596" s="277"/>
      <c r="P596" s="277"/>
      <c r="Q596" s="277"/>
      <c r="R596" s="277"/>
      <c r="S596" s="277"/>
      <c r="T596" s="277"/>
      <c r="U596" s="277"/>
      <c r="V596" s="280"/>
      <c r="W596" s="277"/>
      <c r="X596" s="277"/>
      <c r="Y596" s="277"/>
      <c r="Z596" s="277"/>
      <c r="AA596" s="277"/>
      <c r="AB596" s="277"/>
      <c r="AC596" s="277"/>
      <c r="AD596" s="277"/>
      <c r="AE596" s="277"/>
      <c r="AF596" s="277"/>
    </row>
    <row r="597" ht="12.75" customHeight="1">
      <c r="A597" s="277"/>
      <c r="B597" s="278"/>
      <c r="C597" s="277"/>
      <c r="D597" s="278"/>
      <c r="E597" s="279"/>
      <c r="F597" s="277"/>
      <c r="G597" s="277"/>
      <c r="H597" s="277"/>
      <c r="I597" s="277"/>
      <c r="J597" s="277"/>
      <c r="K597" s="277"/>
      <c r="L597" s="277"/>
      <c r="M597" s="277"/>
      <c r="N597" s="277"/>
      <c r="O597" s="277"/>
      <c r="P597" s="277"/>
      <c r="Q597" s="277"/>
      <c r="R597" s="277"/>
      <c r="S597" s="277"/>
      <c r="T597" s="277"/>
      <c r="U597" s="277"/>
      <c r="V597" s="280"/>
      <c r="W597" s="277"/>
      <c r="X597" s="277"/>
      <c r="Y597" s="277"/>
      <c r="Z597" s="277"/>
      <c r="AA597" s="277"/>
      <c r="AB597" s="277"/>
      <c r="AC597" s="277"/>
      <c r="AD597" s="277"/>
      <c r="AE597" s="277"/>
      <c r="AF597" s="277"/>
    </row>
    <row r="598" ht="12.75" customHeight="1">
      <c r="A598" s="277"/>
      <c r="B598" s="278"/>
      <c r="C598" s="277"/>
      <c r="D598" s="278"/>
      <c r="E598" s="279"/>
      <c r="F598" s="277"/>
      <c r="G598" s="277"/>
      <c r="H598" s="277"/>
      <c r="I598" s="277"/>
      <c r="J598" s="277"/>
      <c r="K598" s="277"/>
      <c r="L598" s="277"/>
      <c r="M598" s="277"/>
      <c r="N598" s="277"/>
      <c r="O598" s="277"/>
      <c r="P598" s="277"/>
      <c r="Q598" s="277"/>
      <c r="R598" s="277"/>
      <c r="S598" s="277"/>
      <c r="T598" s="277"/>
      <c r="U598" s="277"/>
      <c r="V598" s="280"/>
      <c r="W598" s="277"/>
      <c r="X598" s="277"/>
      <c r="Y598" s="277"/>
      <c r="Z598" s="277"/>
      <c r="AA598" s="277"/>
      <c r="AB598" s="277"/>
      <c r="AC598" s="277"/>
      <c r="AD598" s="277"/>
      <c r="AE598" s="277"/>
      <c r="AF598" s="277"/>
    </row>
    <row r="599" ht="12.75" customHeight="1">
      <c r="A599" s="277"/>
      <c r="B599" s="278"/>
      <c r="C599" s="277"/>
      <c r="D599" s="278"/>
      <c r="E599" s="279"/>
      <c r="F599" s="277"/>
      <c r="G599" s="277"/>
      <c r="H599" s="277"/>
      <c r="I599" s="277"/>
      <c r="J599" s="277"/>
      <c r="K599" s="277"/>
      <c r="L599" s="277"/>
      <c r="M599" s="277"/>
      <c r="N599" s="277"/>
      <c r="O599" s="277"/>
      <c r="P599" s="277"/>
      <c r="Q599" s="277"/>
      <c r="R599" s="277"/>
      <c r="S599" s="277"/>
      <c r="T599" s="277"/>
      <c r="U599" s="277"/>
      <c r="V599" s="280"/>
      <c r="W599" s="277"/>
      <c r="X599" s="277"/>
      <c r="Y599" s="277"/>
      <c r="Z599" s="277"/>
      <c r="AA599" s="277"/>
      <c r="AB599" s="277"/>
      <c r="AC599" s="277"/>
      <c r="AD599" s="277"/>
      <c r="AE599" s="277"/>
      <c r="AF599" s="277"/>
    </row>
    <row r="600" ht="12.75" customHeight="1">
      <c r="A600" s="277"/>
      <c r="B600" s="278"/>
      <c r="C600" s="277"/>
      <c r="D600" s="278"/>
      <c r="E600" s="279"/>
      <c r="F600" s="277"/>
      <c r="G600" s="277"/>
      <c r="H600" s="277"/>
      <c r="I600" s="277"/>
      <c r="J600" s="277"/>
      <c r="K600" s="277"/>
      <c r="L600" s="277"/>
      <c r="M600" s="277"/>
      <c r="N600" s="277"/>
      <c r="O600" s="277"/>
      <c r="P600" s="277"/>
      <c r="Q600" s="277"/>
      <c r="R600" s="277"/>
      <c r="S600" s="277"/>
      <c r="T600" s="277"/>
      <c r="U600" s="277"/>
      <c r="V600" s="280"/>
      <c r="W600" s="277"/>
      <c r="X600" s="277"/>
      <c r="Y600" s="277"/>
      <c r="Z600" s="277"/>
      <c r="AA600" s="277"/>
      <c r="AB600" s="277"/>
      <c r="AC600" s="277"/>
      <c r="AD600" s="277"/>
      <c r="AE600" s="277"/>
      <c r="AF600" s="277"/>
    </row>
    <row r="601" ht="12.75" customHeight="1">
      <c r="A601" s="277"/>
      <c r="B601" s="278"/>
      <c r="C601" s="277"/>
      <c r="D601" s="278"/>
      <c r="E601" s="279"/>
      <c r="F601" s="277"/>
      <c r="G601" s="277"/>
      <c r="H601" s="277"/>
      <c r="I601" s="277"/>
      <c r="J601" s="277"/>
      <c r="K601" s="277"/>
      <c r="L601" s="277"/>
      <c r="M601" s="277"/>
      <c r="N601" s="277"/>
      <c r="O601" s="277"/>
      <c r="P601" s="277"/>
      <c r="Q601" s="277"/>
      <c r="R601" s="277"/>
      <c r="S601" s="277"/>
      <c r="T601" s="277"/>
      <c r="U601" s="277"/>
      <c r="V601" s="280"/>
      <c r="W601" s="277"/>
      <c r="X601" s="277"/>
      <c r="Y601" s="277"/>
      <c r="Z601" s="277"/>
      <c r="AA601" s="277"/>
      <c r="AB601" s="277"/>
      <c r="AC601" s="277"/>
      <c r="AD601" s="277"/>
      <c r="AE601" s="277"/>
      <c r="AF601" s="277"/>
    </row>
    <row r="602" ht="12.75" customHeight="1">
      <c r="A602" s="277"/>
      <c r="B602" s="278"/>
      <c r="C602" s="277"/>
      <c r="D602" s="278"/>
      <c r="E602" s="279"/>
      <c r="F602" s="277"/>
      <c r="G602" s="277"/>
      <c r="H602" s="277"/>
      <c r="I602" s="277"/>
      <c r="J602" s="277"/>
      <c r="K602" s="277"/>
      <c r="L602" s="277"/>
      <c r="M602" s="277"/>
      <c r="N602" s="277"/>
      <c r="O602" s="277"/>
      <c r="P602" s="277"/>
      <c r="Q602" s="277"/>
      <c r="R602" s="277"/>
      <c r="S602" s="277"/>
      <c r="T602" s="277"/>
      <c r="U602" s="277"/>
      <c r="V602" s="280"/>
      <c r="W602" s="277"/>
      <c r="X602" s="277"/>
      <c r="Y602" s="277"/>
      <c r="Z602" s="277"/>
      <c r="AA602" s="277"/>
      <c r="AB602" s="277"/>
      <c r="AC602" s="277"/>
      <c r="AD602" s="277"/>
      <c r="AE602" s="277"/>
      <c r="AF602" s="277"/>
    </row>
    <row r="603" ht="12.75" customHeight="1">
      <c r="A603" s="277"/>
      <c r="B603" s="278"/>
      <c r="C603" s="277"/>
      <c r="D603" s="278"/>
      <c r="E603" s="279"/>
      <c r="F603" s="277"/>
      <c r="G603" s="277"/>
      <c r="H603" s="277"/>
      <c r="I603" s="277"/>
      <c r="J603" s="277"/>
      <c r="K603" s="277"/>
      <c r="L603" s="277"/>
      <c r="M603" s="277"/>
      <c r="N603" s="277"/>
      <c r="O603" s="277"/>
      <c r="P603" s="277"/>
      <c r="Q603" s="277"/>
      <c r="R603" s="277"/>
      <c r="S603" s="277"/>
      <c r="T603" s="277"/>
      <c r="U603" s="277"/>
      <c r="V603" s="280"/>
      <c r="W603" s="277"/>
      <c r="X603" s="277"/>
      <c r="Y603" s="277"/>
      <c r="Z603" s="277"/>
      <c r="AA603" s="277"/>
      <c r="AB603" s="277"/>
      <c r="AC603" s="277"/>
      <c r="AD603" s="277"/>
      <c r="AE603" s="277"/>
      <c r="AF603" s="277"/>
    </row>
    <row r="604" ht="12.75" customHeight="1">
      <c r="A604" s="277"/>
      <c r="B604" s="278"/>
      <c r="C604" s="277"/>
      <c r="D604" s="278"/>
      <c r="E604" s="279"/>
      <c r="F604" s="277"/>
      <c r="G604" s="277"/>
      <c r="H604" s="277"/>
      <c r="I604" s="277"/>
      <c r="J604" s="277"/>
      <c r="K604" s="277"/>
      <c r="L604" s="277"/>
      <c r="M604" s="277"/>
      <c r="N604" s="277"/>
      <c r="O604" s="277"/>
      <c r="P604" s="277"/>
      <c r="Q604" s="277"/>
      <c r="R604" s="277"/>
      <c r="S604" s="277"/>
      <c r="T604" s="277"/>
      <c r="U604" s="277"/>
      <c r="V604" s="280"/>
      <c r="W604" s="277"/>
      <c r="X604" s="277"/>
      <c r="Y604" s="277"/>
      <c r="Z604" s="277"/>
      <c r="AA604" s="277"/>
      <c r="AB604" s="277"/>
      <c r="AC604" s="277"/>
      <c r="AD604" s="277"/>
      <c r="AE604" s="277"/>
      <c r="AF604" s="277"/>
    </row>
    <row r="605" ht="12.75" customHeight="1">
      <c r="A605" s="277"/>
      <c r="B605" s="278"/>
      <c r="C605" s="277"/>
      <c r="D605" s="278"/>
      <c r="E605" s="279"/>
      <c r="F605" s="277"/>
      <c r="G605" s="277"/>
      <c r="H605" s="277"/>
      <c r="I605" s="277"/>
      <c r="J605" s="277"/>
      <c r="K605" s="277"/>
      <c r="L605" s="277"/>
      <c r="M605" s="277"/>
      <c r="N605" s="277"/>
      <c r="O605" s="277"/>
      <c r="P605" s="277"/>
      <c r="Q605" s="277"/>
      <c r="R605" s="277"/>
      <c r="S605" s="277"/>
      <c r="T605" s="277"/>
      <c r="U605" s="277"/>
      <c r="V605" s="280"/>
      <c r="W605" s="277"/>
      <c r="X605" s="277"/>
      <c r="Y605" s="277"/>
      <c r="Z605" s="277"/>
      <c r="AA605" s="277"/>
      <c r="AB605" s="277"/>
      <c r="AC605" s="277"/>
      <c r="AD605" s="277"/>
      <c r="AE605" s="277"/>
      <c r="AF605" s="277"/>
    </row>
    <row r="606" ht="12.75" customHeight="1">
      <c r="A606" s="277"/>
      <c r="B606" s="278"/>
      <c r="C606" s="277"/>
      <c r="D606" s="278"/>
      <c r="E606" s="279"/>
      <c r="F606" s="277"/>
      <c r="G606" s="277"/>
      <c r="H606" s="277"/>
      <c r="I606" s="277"/>
      <c r="J606" s="277"/>
      <c r="K606" s="277"/>
      <c r="L606" s="277"/>
      <c r="M606" s="277"/>
      <c r="N606" s="277"/>
      <c r="O606" s="277"/>
      <c r="P606" s="277"/>
      <c r="Q606" s="277"/>
      <c r="R606" s="277"/>
      <c r="S606" s="277"/>
      <c r="T606" s="277"/>
      <c r="U606" s="277"/>
      <c r="V606" s="280"/>
      <c r="W606" s="277"/>
      <c r="X606" s="277"/>
      <c r="Y606" s="277"/>
      <c r="Z606" s="277"/>
      <c r="AA606" s="277"/>
      <c r="AB606" s="277"/>
      <c r="AC606" s="277"/>
      <c r="AD606" s="277"/>
      <c r="AE606" s="277"/>
      <c r="AF606" s="277"/>
    </row>
    <row r="607" ht="12.75" customHeight="1">
      <c r="A607" s="277"/>
      <c r="B607" s="278"/>
      <c r="C607" s="277"/>
      <c r="D607" s="278"/>
      <c r="E607" s="279"/>
      <c r="F607" s="277"/>
      <c r="G607" s="277"/>
      <c r="H607" s="277"/>
      <c r="I607" s="277"/>
      <c r="J607" s="277"/>
      <c r="K607" s="277"/>
      <c r="L607" s="277"/>
      <c r="M607" s="277"/>
      <c r="N607" s="277"/>
      <c r="O607" s="277"/>
      <c r="P607" s="277"/>
      <c r="Q607" s="277"/>
      <c r="R607" s="277"/>
      <c r="S607" s="277"/>
      <c r="T607" s="277"/>
      <c r="U607" s="277"/>
      <c r="V607" s="280"/>
      <c r="W607" s="277"/>
      <c r="X607" s="277"/>
      <c r="Y607" s="277"/>
      <c r="Z607" s="277"/>
      <c r="AA607" s="277"/>
      <c r="AB607" s="277"/>
      <c r="AC607" s="277"/>
      <c r="AD607" s="277"/>
      <c r="AE607" s="277"/>
      <c r="AF607" s="277"/>
    </row>
    <row r="608" ht="12.75" customHeight="1">
      <c r="A608" s="277"/>
      <c r="B608" s="278"/>
      <c r="C608" s="277"/>
      <c r="D608" s="278"/>
      <c r="E608" s="279"/>
      <c r="F608" s="277"/>
      <c r="G608" s="277"/>
      <c r="H608" s="277"/>
      <c r="I608" s="277"/>
      <c r="J608" s="277"/>
      <c r="K608" s="277"/>
      <c r="L608" s="277"/>
      <c r="M608" s="277"/>
      <c r="N608" s="277"/>
      <c r="O608" s="277"/>
      <c r="P608" s="277"/>
      <c r="Q608" s="277"/>
      <c r="R608" s="277"/>
      <c r="S608" s="277"/>
      <c r="T608" s="277"/>
      <c r="U608" s="277"/>
      <c r="V608" s="280"/>
      <c r="W608" s="277"/>
      <c r="X608" s="277"/>
      <c r="Y608" s="277"/>
      <c r="Z608" s="277"/>
      <c r="AA608" s="277"/>
      <c r="AB608" s="277"/>
      <c r="AC608" s="277"/>
      <c r="AD608" s="277"/>
      <c r="AE608" s="277"/>
      <c r="AF608" s="277"/>
    </row>
    <row r="609" ht="12.75" customHeight="1">
      <c r="A609" s="277"/>
      <c r="B609" s="278"/>
      <c r="C609" s="277"/>
      <c r="D609" s="278"/>
      <c r="E609" s="279"/>
      <c r="F609" s="277"/>
      <c r="G609" s="277"/>
      <c r="H609" s="277"/>
      <c r="I609" s="277"/>
      <c r="J609" s="277"/>
      <c r="K609" s="277"/>
      <c r="L609" s="277"/>
      <c r="M609" s="277"/>
      <c r="N609" s="277"/>
      <c r="O609" s="277"/>
      <c r="P609" s="277"/>
      <c r="Q609" s="277"/>
      <c r="R609" s="277"/>
      <c r="S609" s="277"/>
      <c r="T609" s="277"/>
      <c r="U609" s="277"/>
      <c r="V609" s="280"/>
      <c r="W609" s="277"/>
      <c r="X609" s="277"/>
      <c r="Y609" s="277"/>
      <c r="Z609" s="277"/>
      <c r="AA609" s="277"/>
      <c r="AB609" s="277"/>
      <c r="AC609" s="277"/>
      <c r="AD609" s="277"/>
      <c r="AE609" s="277"/>
      <c r="AF609" s="277"/>
    </row>
    <row r="610" ht="12.75" customHeight="1">
      <c r="A610" s="277"/>
      <c r="B610" s="278"/>
      <c r="C610" s="277"/>
      <c r="D610" s="278"/>
      <c r="E610" s="279"/>
      <c r="F610" s="277"/>
      <c r="G610" s="277"/>
      <c r="H610" s="277"/>
      <c r="I610" s="277"/>
      <c r="J610" s="277"/>
      <c r="K610" s="277"/>
      <c r="L610" s="277"/>
      <c r="M610" s="277"/>
      <c r="N610" s="277"/>
      <c r="O610" s="277"/>
      <c r="P610" s="277"/>
      <c r="Q610" s="277"/>
      <c r="R610" s="277"/>
      <c r="S610" s="277"/>
      <c r="T610" s="277"/>
      <c r="U610" s="277"/>
      <c r="V610" s="280"/>
      <c r="W610" s="277"/>
      <c r="X610" s="277"/>
      <c r="Y610" s="277"/>
      <c r="Z610" s="277"/>
      <c r="AA610" s="277"/>
      <c r="AB610" s="277"/>
      <c r="AC610" s="277"/>
      <c r="AD610" s="277"/>
      <c r="AE610" s="277"/>
      <c r="AF610" s="277"/>
    </row>
    <row r="611" ht="12.75" customHeight="1">
      <c r="A611" s="277"/>
      <c r="B611" s="278"/>
      <c r="C611" s="277"/>
      <c r="D611" s="278"/>
      <c r="E611" s="279"/>
      <c r="F611" s="277"/>
      <c r="G611" s="277"/>
      <c r="H611" s="277"/>
      <c r="I611" s="277"/>
      <c r="J611" s="277"/>
      <c r="K611" s="277"/>
      <c r="L611" s="277"/>
      <c r="M611" s="277"/>
      <c r="N611" s="277"/>
      <c r="O611" s="277"/>
      <c r="P611" s="277"/>
      <c r="Q611" s="277"/>
      <c r="R611" s="277"/>
      <c r="S611" s="277"/>
      <c r="T611" s="277"/>
      <c r="U611" s="277"/>
      <c r="V611" s="280"/>
      <c r="W611" s="277"/>
      <c r="X611" s="277"/>
      <c r="Y611" s="277"/>
      <c r="Z611" s="277"/>
      <c r="AA611" s="277"/>
      <c r="AB611" s="277"/>
      <c r="AC611" s="277"/>
      <c r="AD611" s="277"/>
      <c r="AE611" s="277"/>
      <c r="AF611" s="277"/>
    </row>
    <row r="612" ht="12.75" customHeight="1">
      <c r="A612" s="277"/>
      <c r="B612" s="278"/>
      <c r="C612" s="277"/>
      <c r="D612" s="278"/>
      <c r="E612" s="279"/>
      <c r="F612" s="277"/>
      <c r="G612" s="277"/>
      <c r="H612" s="277"/>
      <c r="I612" s="277"/>
      <c r="J612" s="277"/>
      <c r="K612" s="277"/>
      <c r="L612" s="277"/>
      <c r="M612" s="277"/>
      <c r="N612" s="277"/>
      <c r="O612" s="277"/>
      <c r="P612" s="277"/>
      <c r="Q612" s="277"/>
      <c r="R612" s="277"/>
      <c r="S612" s="277"/>
      <c r="T612" s="277"/>
      <c r="U612" s="277"/>
      <c r="V612" s="280"/>
      <c r="W612" s="277"/>
      <c r="X612" s="277"/>
      <c r="Y612" s="277"/>
      <c r="Z612" s="277"/>
      <c r="AA612" s="277"/>
      <c r="AB612" s="277"/>
      <c r="AC612" s="277"/>
      <c r="AD612" s="277"/>
      <c r="AE612" s="277"/>
      <c r="AF612" s="277"/>
    </row>
    <row r="613" ht="12.75" customHeight="1">
      <c r="A613" s="277"/>
      <c r="B613" s="278"/>
      <c r="C613" s="277"/>
      <c r="D613" s="278"/>
      <c r="E613" s="279"/>
      <c r="F613" s="277"/>
      <c r="G613" s="277"/>
      <c r="H613" s="277"/>
      <c r="I613" s="277"/>
      <c r="J613" s="277"/>
      <c r="K613" s="277"/>
      <c r="L613" s="277"/>
      <c r="M613" s="277"/>
      <c r="N613" s="277"/>
      <c r="O613" s="277"/>
      <c r="P613" s="277"/>
      <c r="Q613" s="277"/>
      <c r="R613" s="277"/>
      <c r="S613" s="277"/>
      <c r="T613" s="277"/>
      <c r="U613" s="277"/>
      <c r="V613" s="280"/>
      <c r="W613" s="277"/>
      <c r="X613" s="277"/>
      <c r="Y613" s="277"/>
      <c r="Z613" s="277"/>
      <c r="AA613" s="277"/>
      <c r="AB613" s="277"/>
      <c r="AC613" s="277"/>
      <c r="AD613" s="277"/>
      <c r="AE613" s="277"/>
      <c r="AF613" s="277"/>
    </row>
    <row r="614" ht="12.75" customHeight="1">
      <c r="A614" s="277"/>
      <c r="B614" s="278"/>
      <c r="C614" s="277"/>
      <c r="D614" s="278"/>
      <c r="E614" s="279"/>
      <c r="F614" s="277"/>
      <c r="G614" s="277"/>
      <c r="H614" s="277"/>
      <c r="I614" s="277"/>
      <c r="J614" s="277"/>
      <c r="K614" s="277"/>
      <c r="L614" s="277"/>
      <c r="M614" s="277"/>
      <c r="N614" s="277"/>
      <c r="O614" s="277"/>
      <c r="P614" s="277"/>
      <c r="Q614" s="277"/>
      <c r="R614" s="277"/>
      <c r="S614" s="277"/>
      <c r="T614" s="277"/>
      <c r="U614" s="277"/>
      <c r="V614" s="280"/>
      <c r="W614" s="277"/>
      <c r="X614" s="277"/>
      <c r="Y614" s="277"/>
      <c r="Z614" s="277"/>
      <c r="AA614" s="277"/>
      <c r="AB614" s="277"/>
      <c r="AC614" s="277"/>
      <c r="AD614" s="277"/>
      <c r="AE614" s="277"/>
      <c r="AF614" s="277"/>
    </row>
    <row r="615" ht="12.75" customHeight="1">
      <c r="A615" s="277"/>
      <c r="B615" s="278"/>
      <c r="C615" s="277"/>
      <c r="D615" s="278"/>
      <c r="E615" s="279"/>
      <c r="F615" s="277"/>
      <c r="G615" s="277"/>
      <c r="H615" s="277"/>
      <c r="I615" s="277"/>
      <c r="J615" s="277"/>
      <c r="K615" s="277"/>
      <c r="L615" s="277"/>
      <c r="M615" s="277"/>
      <c r="N615" s="277"/>
      <c r="O615" s="277"/>
      <c r="P615" s="277"/>
      <c r="Q615" s="277"/>
      <c r="R615" s="277"/>
      <c r="S615" s="277"/>
      <c r="T615" s="277"/>
      <c r="U615" s="277"/>
      <c r="V615" s="280"/>
      <c r="W615" s="277"/>
      <c r="X615" s="277"/>
      <c r="Y615" s="277"/>
      <c r="Z615" s="277"/>
      <c r="AA615" s="277"/>
      <c r="AB615" s="277"/>
      <c r="AC615" s="277"/>
      <c r="AD615" s="277"/>
      <c r="AE615" s="277"/>
      <c r="AF615" s="277"/>
    </row>
    <row r="616" ht="12.75" customHeight="1">
      <c r="A616" s="277"/>
      <c r="B616" s="278"/>
      <c r="C616" s="277"/>
      <c r="D616" s="278"/>
      <c r="E616" s="279"/>
      <c r="F616" s="277"/>
      <c r="G616" s="277"/>
      <c r="H616" s="277"/>
      <c r="I616" s="277"/>
      <c r="J616" s="277"/>
      <c r="K616" s="277"/>
      <c r="L616" s="277"/>
      <c r="M616" s="277"/>
      <c r="N616" s="277"/>
      <c r="O616" s="277"/>
      <c r="P616" s="277"/>
      <c r="Q616" s="277"/>
      <c r="R616" s="277"/>
      <c r="S616" s="277"/>
      <c r="T616" s="277"/>
      <c r="U616" s="277"/>
      <c r="V616" s="280"/>
      <c r="W616" s="277"/>
      <c r="X616" s="277"/>
      <c r="Y616" s="277"/>
      <c r="Z616" s="277"/>
      <c r="AA616" s="277"/>
      <c r="AB616" s="277"/>
      <c r="AC616" s="277"/>
      <c r="AD616" s="277"/>
      <c r="AE616" s="277"/>
      <c r="AF616" s="277"/>
    </row>
    <row r="617" ht="12.75" customHeight="1">
      <c r="A617" s="277"/>
      <c r="B617" s="278"/>
      <c r="C617" s="277"/>
      <c r="D617" s="278"/>
      <c r="E617" s="279"/>
      <c r="F617" s="277"/>
      <c r="G617" s="277"/>
      <c r="H617" s="277"/>
      <c r="I617" s="277"/>
      <c r="J617" s="277"/>
      <c r="K617" s="277"/>
      <c r="L617" s="277"/>
      <c r="M617" s="277"/>
      <c r="N617" s="277"/>
      <c r="O617" s="277"/>
      <c r="P617" s="277"/>
      <c r="Q617" s="277"/>
      <c r="R617" s="277"/>
      <c r="S617" s="277"/>
      <c r="T617" s="277"/>
      <c r="U617" s="277"/>
      <c r="V617" s="280"/>
      <c r="W617" s="277"/>
      <c r="X617" s="277"/>
      <c r="Y617" s="277"/>
      <c r="Z617" s="277"/>
      <c r="AA617" s="277"/>
      <c r="AB617" s="277"/>
      <c r="AC617" s="277"/>
      <c r="AD617" s="277"/>
      <c r="AE617" s="277"/>
      <c r="AF617" s="277"/>
    </row>
    <row r="618" ht="12.75" customHeight="1">
      <c r="A618" s="277"/>
      <c r="B618" s="278"/>
      <c r="C618" s="277"/>
      <c r="D618" s="278"/>
      <c r="E618" s="279"/>
      <c r="F618" s="277"/>
      <c r="G618" s="277"/>
      <c r="H618" s="277"/>
      <c r="I618" s="277"/>
      <c r="J618" s="277"/>
      <c r="K618" s="277"/>
      <c r="L618" s="277"/>
      <c r="M618" s="277"/>
      <c r="N618" s="277"/>
      <c r="O618" s="277"/>
      <c r="P618" s="277"/>
      <c r="Q618" s="277"/>
      <c r="R618" s="277"/>
      <c r="S618" s="277"/>
      <c r="T618" s="277"/>
      <c r="U618" s="277"/>
      <c r="V618" s="280"/>
      <c r="W618" s="277"/>
      <c r="X618" s="277"/>
      <c r="Y618" s="277"/>
      <c r="Z618" s="277"/>
      <c r="AA618" s="277"/>
      <c r="AB618" s="277"/>
      <c r="AC618" s="277"/>
      <c r="AD618" s="277"/>
      <c r="AE618" s="277"/>
      <c r="AF618" s="277"/>
    </row>
    <row r="619" ht="12.75" customHeight="1">
      <c r="A619" s="277"/>
      <c r="B619" s="278"/>
      <c r="C619" s="277"/>
      <c r="D619" s="278"/>
      <c r="E619" s="279"/>
      <c r="F619" s="277"/>
      <c r="G619" s="277"/>
      <c r="H619" s="277"/>
      <c r="I619" s="277"/>
      <c r="J619" s="277"/>
      <c r="K619" s="277"/>
      <c r="L619" s="277"/>
      <c r="M619" s="277"/>
      <c r="N619" s="277"/>
      <c r="O619" s="277"/>
      <c r="P619" s="277"/>
      <c r="Q619" s="277"/>
      <c r="R619" s="277"/>
      <c r="S619" s="277"/>
      <c r="T619" s="277"/>
      <c r="U619" s="277"/>
      <c r="V619" s="280"/>
      <c r="W619" s="277"/>
      <c r="X619" s="277"/>
      <c r="Y619" s="277"/>
      <c r="Z619" s="277"/>
      <c r="AA619" s="277"/>
      <c r="AB619" s="277"/>
      <c r="AC619" s="277"/>
      <c r="AD619" s="277"/>
      <c r="AE619" s="277"/>
      <c r="AF619" s="277"/>
    </row>
    <row r="620" ht="12.75" customHeight="1">
      <c r="A620" s="277"/>
      <c r="B620" s="278"/>
      <c r="C620" s="277"/>
      <c r="D620" s="278"/>
      <c r="E620" s="279"/>
      <c r="F620" s="277"/>
      <c r="G620" s="277"/>
      <c r="H620" s="277"/>
      <c r="I620" s="277"/>
      <c r="J620" s="277"/>
      <c r="K620" s="277"/>
      <c r="L620" s="277"/>
      <c r="M620" s="277"/>
      <c r="N620" s="277"/>
      <c r="O620" s="277"/>
      <c r="P620" s="277"/>
      <c r="Q620" s="277"/>
      <c r="R620" s="277"/>
      <c r="S620" s="277"/>
      <c r="T620" s="277"/>
      <c r="U620" s="277"/>
      <c r="V620" s="280"/>
      <c r="W620" s="277"/>
      <c r="X620" s="277"/>
      <c r="Y620" s="277"/>
      <c r="Z620" s="277"/>
      <c r="AA620" s="277"/>
      <c r="AB620" s="277"/>
      <c r="AC620" s="277"/>
      <c r="AD620" s="277"/>
      <c r="AE620" s="277"/>
      <c r="AF620" s="277"/>
    </row>
    <row r="621" ht="12.75" customHeight="1">
      <c r="A621" s="277"/>
      <c r="B621" s="278"/>
      <c r="C621" s="277"/>
      <c r="D621" s="278"/>
      <c r="E621" s="279"/>
      <c r="F621" s="277"/>
      <c r="G621" s="277"/>
      <c r="H621" s="277"/>
      <c r="I621" s="277"/>
      <c r="J621" s="277"/>
      <c r="K621" s="277"/>
      <c r="L621" s="277"/>
      <c r="M621" s="277"/>
      <c r="N621" s="277"/>
      <c r="O621" s="277"/>
      <c r="P621" s="277"/>
      <c r="Q621" s="277"/>
      <c r="R621" s="277"/>
      <c r="S621" s="277"/>
      <c r="T621" s="277"/>
      <c r="U621" s="277"/>
      <c r="V621" s="280"/>
      <c r="W621" s="277"/>
      <c r="X621" s="277"/>
      <c r="Y621" s="277"/>
      <c r="Z621" s="277"/>
      <c r="AA621" s="277"/>
      <c r="AB621" s="277"/>
      <c r="AC621" s="277"/>
      <c r="AD621" s="277"/>
      <c r="AE621" s="277"/>
      <c r="AF621" s="277"/>
    </row>
    <row r="622" ht="12.75" customHeight="1">
      <c r="A622" s="277"/>
      <c r="B622" s="278"/>
      <c r="C622" s="277"/>
      <c r="D622" s="278"/>
      <c r="E622" s="279"/>
      <c r="F622" s="277"/>
      <c r="G622" s="277"/>
      <c r="H622" s="277"/>
      <c r="I622" s="277"/>
      <c r="J622" s="277"/>
      <c r="K622" s="277"/>
      <c r="L622" s="277"/>
      <c r="M622" s="277"/>
      <c r="N622" s="277"/>
      <c r="O622" s="277"/>
      <c r="P622" s="277"/>
      <c r="Q622" s="277"/>
      <c r="R622" s="277"/>
      <c r="S622" s="277"/>
      <c r="T622" s="277"/>
      <c r="U622" s="277"/>
      <c r="V622" s="280"/>
      <c r="W622" s="277"/>
      <c r="X622" s="277"/>
      <c r="Y622" s="277"/>
      <c r="Z622" s="277"/>
      <c r="AA622" s="277"/>
      <c r="AB622" s="277"/>
      <c r="AC622" s="277"/>
      <c r="AD622" s="277"/>
      <c r="AE622" s="277"/>
      <c r="AF622" s="277"/>
    </row>
    <row r="623" ht="12.75" customHeight="1">
      <c r="A623" s="277"/>
      <c r="B623" s="278"/>
      <c r="C623" s="277"/>
      <c r="D623" s="278"/>
      <c r="E623" s="279"/>
      <c r="F623" s="277"/>
      <c r="G623" s="277"/>
      <c r="H623" s="277"/>
      <c r="I623" s="277"/>
      <c r="J623" s="277"/>
      <c r="K623" s="277"/>
      <c r="L623" s="277"/>
      <c r="M623" s="277"/>
      <c r="N623" s="277"/>
      <c r="O623" s="277"/>
      <c r="P623" s="277"/>
      <c r="Q623" s="277"/>
      <c r="R623" s="277"/>
      <c r="S623" s="277"/>
      <c r="T623" s="277"/>
      <c r="U623" s="277"/>
      <c r="V623" s="280"/>
      <c r="W623" s="277"/>
      <c r="X623" s="277"/>
      <c r="Y623" s="277"/>
      <c r="Z623" s="277"/>
      <c r="AA623" s="277"/>
      <c r="AB623" s="277"/>
      <c r="AC623" s="277"/>
      <c r="AD623" s="277"/>
      <c r="AE623" s="277"/>
      <c r="AF623" s="277"/>
    </row>
    <row r="624" ht="12.75" customHeight="1">
      <c r="A624" s="277"/>
      <c r="B624" s="278"/>
      <c r="C624" s="277"/>
      <c r="D624" s="278"/>
      <c r="E624" s="279"/>
      <c r="F624" s="277"/>
      <c r="G624" s="277"/>
      <c r="H624" s="277"/>
      <c r="I624" s="277"/>
      <c r="J624" s="277"/>
      <c r="K624" s="277"/>
      <c r="L624" s="277"/>
      <c r="M624" s="277"/>
      <c r="N624" s="277"/>
      <c r="O624" s="277"/>
      <c r="P624" s="277"/>
      <c r="Q624" s="277"/>
      <c r="R624" s="277"/>
      <c r="S624" s="277"/>
      <c r="T624" s="277"/>
      <c r="U624" s="277"/>
      <c r="V624" s="280"/>
      <c r="W624" s="277"/>
      <c r="X624" s="277"/>
      <c r="Y624" s="277"/>
      <c r="Z624" s="277"/>
      <c r="AA624" s="277"/>
      <c r="AB624" s="277"/>
      <c r="AC624" s="277"/>
      <c r="AD624" s="277"/>
      <c r="AE624" s="277"/>
      <c r="AF624" s="277"/>
    </row>
    <row r="625" ht="12.75" customHeight="1">
      <c r="A625" s="277"/>
      <c r="B625" s="278"/>
      <c r="C625" s="277"/>
      <c r="D625" s="278"/>
      <c r="E625" s="279"/>
      <c r="F625" s="277"/>
      <c r="G625" s="277"/>
      <c r="H625" s="277"/>
      <c r="I625" s="277"/>
      <c r="J625" s="277"/>
      <c r="K625" s="277"/>
      <c r="L625" s="277"/>
      <c r="M625" s="277"/>
      <c r="N625" s="277"/>
      <c r="O625" s="277"/>
      <c r="P625" s="277"/>
      <c r="Q625" s="277"/>
      <c r="R625" s="277"/>
      <c r="S625" s="277"/>
      <c r="T625" s="277"/>
      <c r="U625" s="277"/>
      <c r="V625" s="280"/>
      <c r="W625" s="277"/>
      <c r="X625" s="277"/>
      <c r="Y625" s="277"/>
      <c r="Z625" s="277"/>
      <c r="AA625" s="277"/>
      <c r="AB625" s="277"/>
      <c r="AC625" s="277"/>
      <c r="AD625" s="277"/>
      <c r="AE625" s="277"/>
      <c r="AF625" s="277"/>
    </row>
    <row r="626" ht="12.75" customHeight="1">
      <c r="A626" s="277"/>
      <c r="B626" s="278"/>
      <c r="C626" s="277"/>
      <c r="D626" s="278"/>
      <c r="E626" s="279"/>
      <c r="F626" s="277"/>
      <c r="G626" s="277"/>
      <c r="H626" s="277"/>
      <c r="I626" s="277"/>
      <c r="J626" s="277"/>
      <c r="K626" s="277"/>
      <c r="L626" s="277"/>
      <c r="M626" s="277"/>
      <c r="N626" s="277"/>
      <c r="O626" s="277"/>
      <c r="P626" s="277"/>
      <c r="Q626" s="277"/>
      <c r="R626" s="277"/>
      <c r="S626" s="277"/>
      <c r="T626" s="277"/>
      <c r="U626" s="277"/>
      <c r="V626" s="280"/>
      <c r="W626" s="277"/>
      <c r="X626" s="277"/>
      <c r="Y626" s="277"/>
      <c r="Z626" s="277"/>
      <c r="AA626" s="277"/>
      <c r="AB626" s="277"/>
      <c r="AC626" s="277"/>
      <c r="AD626" s="277"/>
      <c r="AE626" s="277"/>
      <c r="AF626" s="277"/>
    </row>
    <row r="627" ht="12.75" customHeight="1">
      <c r="A627" s="277"/>
      <c r="B627" s="278"/>
      <c r="C627" s="277"/>
      <c r="D627" s="278"/>
      <c r="E627" s="279"/>
      <c r="F627" s="277"/>
      <c r="G627" s="277"/>
      <c r="H627" s="277"/>
      <c r="I627" s="277"/>
      <c r="J627" s="277"/>
      <c r="K627" s="277"/>
      <c r="L627" s="277"/>
      <c r="M627" s="277"/>
      <c r="N627" s="277"/>
      <c r="O627" s="277"/>
      <c r="P627" s="277"/>
      <c r="Q627" s="277"/>
      <c r="R627" s="277"/>
      <c r="S627" s="277"/>
      <c r="T627" s="277"/>
      <c r="U627" s="277"/>
      <c r="V627" s="280"/>
      <c r="W627" s="277"/>
      <c r="X627" s="277"/>
      <c r="Y627" s="277"/>
      <c r="Z627" s="277"/>
      <c r="AA627" s="277"/>
      <c r="AB627" s="277"/>
      <c r="AC627" s="277"/>
      <c r="AD627" s="277"/>
      <c r="AE627" s="277"/>
      <c r="AF627" s="277"/>
    </row>
    <row r="628" ht="12.75" customHeight="1">
      <c r="A628" s="277"/>
      <c r="B628" s="278"/>
      <c r="C628" s="277"/>
      <c r="D628" s="278"/>
      <c r="E628" s="279"/>
      <c r="F628" s="277"/>
      <c r="G628" s="277"/>
      <c r="H628" s="277"/>
      <c r="I628" s="277"/>
      <c r="J628" s="277"/>
      <c r="K628" s="277"/>
      <c r="L628" s="277"/>
      <c r="M628" s="277"/>
      <c r="N628" s="277"/>
      <c r="O628" s="277"/>
      <c r="P628" s="277"/>
      <c r="Q628" s="277"/>
      <c r="R628" s="277"/>
      <c r="S628" s="277"/>
      <c r="T628" s="277"/>
      <c r="U628" s="277"/>
      <c r="V628" s="280"/>
      <c r="W628" s="277"/>
      <c r="X628" s="277"/>
      <c r="Y628" s="277"/>
      <c r="Z628" s="277"/>
      <c r="AA628" s="277"/>
      <c r="AB628" s="277"/>
      <c r="AC628" s="277"/>
      <c r="AD628" s="277"/>
      <c r="AE628" s="277"/>
      <c r="AF628" s="277"/>
    </row>
    <row r="629" ht="12.75" customHeight="1">
      <c r="A629" s="277"/>
      <c r="B629" s="278"/>
      <c r="C629" s="277"/>
      <c r="D629" s="278"/>
      <c r="E629" s="279"/>
      <c r="F629" s="277"/>
      <c r="G629" s="277"/>
      <c r="H629" s="277"/>
      <c r="I629" s="277"/>
      <c r="J629" s="277"/>
      <c r="K629" s="277"/>
      <c r="L629" s="277"/>
      <c r="M629" s="277"/>
      <c r="N629" s="277"/>
      <c r="O629" s="277"/>
      <c r="P629" s="277"/>
      <c r="Q629" s="277"/>
      <c r="R629" s="277"/>
      <c r="S629" s="277"/>
      <c r="T629" s="277"/>
      <c r="U629" s="277"/>
      <c r="V629" s="280"/>
      <c r="W629" s="277"/>
      <c r="X629" s="277"/>
      <c r="Y629" s="277"/>
      <c r="Z629" s="277"/>
      <c r="AA629" s="277"/>
      <c r="AB629" s="277"/>
      <c r="AC629" s="277"/>
      <c r="AD629" s="277"/>
      <c r="AE629" s="277"/>
      <c r="AF629" s="277"/>
    </row>
    <row r="630" ht="12.75" customHeight="1">
      <c r="A630" s="277"/>
      <c r="B630" s="278"/>
      <c r="C630" s="277"/>
      <c r="D630" s="278"/>
      <c r="E630" s="279"/>
      <c r="F630" s="277"/>
      <c r="G630" s="277"/>
      <c r="H630" s="277"/>
      <c r="I630" s="277"/>
      <c r="J630" s="277"/>
      <c r="K630" s="277"/>
      <c r="L630" s="277"/>
      <c r="M630" s="277"/>
      <c r="N630" s="277"/>
      <c r="O630" s="277"/>
      <c r="P630" s="277"/>
      <c r="Q630" s="277"/>
      <c r="R630" s="277"/>
      <c r="S630" s="277"/>
      <c r="T630" s="277"/>
      <c r="U630" s="277"/>
      <c r="V630" s="280"/>
      <c r="W630" s="277"/>
      <c r="X630" s="277"/>
      <c r="Y630" s="277"/>
      <c r="Z630" s="277"/>
      <c r="AA630" s="277"/>
      <c r="AB630" s="277"/>
      <c r="AC630" s="277"/>
      <c r="AD630" s="277"/>
      <c r="AE630" s="277"/>
      <c r="AF630" s="277"/>
    </row>
    <row r="631" ht="12.75" customHeight="1">
      <c r="A631" s="277"/>
      <c r="B631" s="278"/>
      <c r="C631" s="277"/>
      <c r="D631" s="278"/>
      <c r="E631" s="279"/>
      <c r="F631" s="277"/>
      <c r="G631" s="277"/>
      <c r="H631" s="277"/>
      <c r="I631" s="277"/>
      <c r="J631" s="277"/>
      <c r="K631" s="277"/>
      <c r="L631" s="277"/>
      <c r="M631" s="277"/>
      <c r="N631" s="277"/>
      <c r="O631" s="277"/>
      <c r="P631" s="277"/>
      <c r="Q631" s="277"/>
      <c r="R631" s="277"/>
      <c r="S631" s="277"/>
      <c r="T631" s="277"/>
      <c r="U631" s="277"/>
      <c r="V631" s="280"/>
      <c r="W631" s="277"/>
      <c r="X631" s="277"/>
      <c r="Y631" s="277"/>
      <c r="Z631" s="277"/>
      <c r="AA631" s="277"/>
      <c r="AB631" s="277"/>
      <c r="AC631" s="277"/>
      <c r="AD631" s="277"/>
      <c r="AE631" s="277"/>
      <c r="AF631" s="277"/>
    </row>
    <row r="632" ht="12.75" customHeight="1">
      <c r="A632" s="277"/>
      <c r="B632" s="278"/>
      <c r="C632" s="277"/>
      <c r="D632" s="278"/>
      <c r="E632" s="279"/>
      <c r="F632" s="277"/>
      <c r="G632" s="277"/>
      <c r="H632" s="277"/>
      <c r="I632" s="277"/>
      <c r="J632" s="277"/>
      <c r="K632" s="277"/>
      <c r="L632" s="277"/>
      <c r="M632" s="277"/>
      <c r="N632" s="277"/>
      <c r="O632" s="277"/>
      <c r="P632" s="277"/>
      <c r="Q632" s="277"/>
      <c r="R632" s="277"/>
      <c r="S632" s="277"/>
      <c r="T632" s="277"/>
      <c r="U632" s="277"/>
      <c r="V632" s="280"/>
      <c r="W632" s="277"/>
      <c r="X632" s="277"/>
      <c r="Y632" s="277"/>
      <c r="Z632" s="277"/>
      <c r="AA632" s="277"/>
      <c r="AB632" s="277"/>
      <c r="AC632" s="277"/>
      <c r="AD632" s="277"/>
      <c r="AE632" s="277"/>
      <c r="AF632" s="277"/>
    </row>
    <row r="633" ht="12.75" customHeight="1">
      <c r="A633" s="277"/>
      <c r="B633" s="278"/>
      <c r="C633" s="277"/>
      <c r="D633" s="278"/>
      <c r="E633" s="279"/>
      <c r="F633" s="277"/>
      <c r="G633" s="277"/>
      <c r="H633" s="277"/>
      <c r="I633" s="277"/>
      <c r="J633" s="277"/>
      <c r="K633" s="277"/>
      <c r="L633" s="277"/>
      <c r="M633" s="277"/>
      <c r="N633" s="277"/>
      <c r="O633" s="277"/>
      <c r="P633" s="277"/>
      <c r="Q633" s="277"/>
      <c r="R633" s="277"/>
      <c r="S633" s="277"/>
      <c r="T633" s="277"/>
      <c r="U633" s="277"/>
      <c r="V633" s="280"/>
      <c r="W633" s="277"/>
      <c r="X633" s="277"/>
      <c r="Y633" s="277"/>
      <c r="Z633" s="277"/>
      <c r="AA633" s="277"/>
      <c r="AB633" s="277"/>
      <c r="AC633" s="277"/>
      <c r="AD633" s="277"/>
      <c r="AE633" s="277"/>
      <c r="AF633" s="277"/>
    </row>
    <row r="634" ht="12.75" customHeight="1">
      <c r="A634" s="277"/>
      <c r="B634" s="278"/>
      <c r="C634" s="277"/>
      <c r="D634" s="278"/>
      <c r="E634" s="279"/>
      <c r="F634" s="277"/>
      <c r="G634" s="277"/>
      <c r="H634" s="277"/>
      <c r="I634" s="277"/>
      <c r="J634" s="277"/>
      <c r="K634" s="277"/>
      <c r="L634" s="277"/>
      <c r="M634" s="277"/>
      <c r="N634" s="277"/>
      <c r="O634" s="277"/>
      <c r="P634" s="277"/>
      <c r="Q634" s="277"/>
      <c r="R634" s="277"/>
      <c r="S634" s="277"/>
      <c r="T634" s="277"/>
      <c r="U634" s="277"/>
      <c r="V634" s="280"/>
      <c r="W634" s="277"/>
      <c r="X634" s="277"/>
      <c r="Y634" s="277"/>
      <c r="Z634" s="277"/>
      <c r="AA634" s="277"/>
      <c r="AB634" s="277"/>
      <c r="AC634" s="277"/>
      <c r="AD634" s="277"/>
      <c r="AE634" s="277"/>
      <c r="AF634" s="277"/>
    </row>
    <row r="635" ht="12.75" customHeight="1">
      <c r="A635" s="277"/>
      <c r="B635" s="278"/>
      <c r="C635" s="277"/>
      <c r="D635" s="278"/>
      <c r="E635" s="279"/>
      <c r="F635" s="277"/>
      <c r="G635" s="277"/>
      <c r="H635" s="277"/>
      <c r="I635" s="277"/>
      <c r="J635" s="277"/>
      <c r="K635" s="277"/>
      <c r="L635" s="277"/>
      <c r="M635" s="277"/>
      <c r="N635" s="277"/>
      <c r="O635" s="277"/>
      <c r="P635" s="277"/>
      <c r="Q635" s="277"/>
      <c r="R635" s="277"/>
      <c r="S635" s="277"/>
      <c r="T635" s="277"/>
      <c r="U635" s="277"/>
      <c r="V635" s="280"/>
      <c r="W635" s="277"/>
      <c r="X635" s="277"/>
      <c r="Y635" s="277"/>
      <c r="Z635" s="277"/>
      <c r="AA635" s="277"/>
      <c r="AB635" s="277"/>
      <c r="AC635" s="277"/>
      <c r="AD635" s="277"/>
      <c r="AE635" s="277"/>
      <c r="AF635" s="277"/>
    </row>
    <row r="636" ht="12.75" customHeight="1">
      <c r="A636" s="277"/>
      <c r="B636" s="278"/>
      <c r="C636" s="277"/>
      <c r="D636" s="278"/>
      <c r="E636" s="279"/>
      <c r="F636" s="277"/>
      <c r="G636" s="277"/>
      <c r="H636" s="277"/>
      <c r="I636" s="277"/>
      <c r="J636" s="277"/>
      <c r="K636" s="277"/>
      <c r="L636" s="277"/>
      <c r="M636" s="277"/>
      <c r="N636" s="277"/>
      <c r="O636" s="277"/>
      <c r="P636" s="277"/>
      <c r="Q636" s="277"/>
      <c r="R636" s="277"/>
      <c r="S636" s="277"/>
      <c r="T636" s="277"/>
      <c r="U636" s="277"/>
      <c r="V636" s="280"/>
      <c r="W636" s="277"/>
      <c r="X636" s="277"/>
      <c r="Y636" s="277"/>
      <c r="Z636" s="277"/>
      <c r="AA636" s="277"/>
      <c r="AB636" s="277"/>
      <c r="AC636" s="277"/>
      <c r="AD636" s="277"/>
      <c r="AE636" s="277"/>
      <c r="AF636" s="277"/>
    </row>
    <row r="637" ht="12.75" customHeight="1">
      <c r="A637" s="277"/>
      <c r="B637" s="278"/>
      <c r="C637" s="277"/>
      <c r="D637" s="278"/>
      <c r="E637" s="279"/>
      <c r="F637" s="277"/>
      <c r="G637" s="277"/>
      <c r="H637" s="277"/>
      <c r="I637" s="277"/>
      <c r="J637" s="277"/>
      <c r="K637" s="277"/>
      <c r="L637" s="277"/>
      <c r="M637" s="277"/>
      <c r="N637" s="277"/>
      <c r="O637" s="277"/>
      <c r="P637" s="277"/>
      <c r="Q637" s="277"/>
      <c r="R637" s="277"/>
      <c r="S637" s="277"/>
      <c r="T637" s="277"/>
      <c r="U637" s="277"/>
      <c r="V637" s="280"/>
      <c r="W637" s="277"/>
      <c r="X637" s="277"/>
      <c r="Y637" s="277"/>
      <c r="Z637" s="277"/>
      <c r="AA637" s="277"/>
      <c r="AB637" s="277"/>
      <c r="AC637" s="277"/>
      <c r="AD637" s="277"/>
      <c r="AE637" s="277"/>
      <c r="AF637" s="277"/>
    </row>
    <row r="638" ht="12.75" customHeight="1">
      <c r="A638" s="277"/>
      <c r="B638" s="278"/>
      <c r="C638" s="277"/>
      <c r="D638" s="278"/>
      <c r="E638" s="279"/>
      <c r="F638" s="277"/>
      <c r="G638" s="277"/>
      <c r="H638" s="277"/>
      <c r="I638" s="277"/>
      <c r="J638" s="277"/>
      <c r="K638" s="277"/>
      <c r="L638" s="277"/>
      <c r="M638" s="277"/>
      <c r="N638" s="277"/>
      <c r="O638" s="277"/>
      <c r="P638" s="277"/>
      <c r="Q638" s="277"/>
      <c r="R638" s="277"/>
      <c r="S638" s="277"/>
      <c r="T638" s="277"/>
      <c r="U638" s="277"/>
      <c r="V638" s="280"/>
      <c r="W638" s="277"/>
      <c r="X638" s="277"/>
      <c r="Y638" s="277"/>
      <c r="Z638" s="277"/>
      <c r="AA638" s="277"/>
      <c r="AB638" s="277"/>
      <c r="AC638" s="277"/>
      <c r="AD638" s="277"/>
      <c r="AE638" s="277"/>
      <c r="AF638" s="277"/>
    </row>
    <row r="639" ht="12.75" customHeight="1">
      <c r="A639" s="277"/>
      <c r="B639" s="278"/>
      <c r="C639" s="277"/>
      <c r="D639" s="278"/>
      <c r="E639" s="279"/>
      <c r="F639" s="277"/>
      <c r="G639" s="277"/>
      <c r="H639" s="277"/>
      <c r="I639" s="277"/>
      <c r="J639" s="277"/>
      <c r="K639" s="277"/>
      <c r="L639" s="277"/>
      <c r="M639" s="277"/>
      <c r="N639" s="277"/>
      <c r="O639" s="277"/>
      <c r="P639" s="277"/>
      <c r="Q639" s="277"/>
      <c r="R639" s="277"/>
      <c r="S639" s="277"/>
      <c r="T639" s="277"/>
      <c r="U639" s="277"/>
      <c r="V639" s="280"/>
      <c r="W639" s="277"/>
      <c r="X639" s="277"/>
      <c r="Y639" s="277"/>
      <c r="Z639" s="277"/>
      <c r="AA639" s="277"/>
      <c r="AB639" s="277"/>
      <c r="AC639" s="277"/>
      <c r="AD639" s="277"/>
      <c r="AE639" s="277"/>
      <c r="AF639" s="277"/>
    </row>
    <row r="640" ht="12.75" customHeight="1">
      <c r="A640" s="277"/>
      <c r="B640" s="278"/>
      <c r="C640" s="277"/>
      <c r="D640" s="278"/>
      <c r="E640" s="279"/>
      <c r="F640" s="277"/>
      <c r="G640" s="277"/>
      <c r="H640" s="277"/>
      <c r="I640" s="277"/>
      <c r="J640" s="277"/>
      <c r="K640" s="277"/>
      <c r="L640" s="277"/>
      <c r="M640" s="277"/>
      <c r="N640" s="277"/>
      <c r="O640" s="277"/>
      <c r="P640" s="277"/>
      <c r="Q640" s="277"/>
      <c r="R640" s="277"/>
      <c r="S640" s="277"/>
      <c r="T640" s="277"/>
      <c r="U640" s="277"/>
      <c r="V640" s="280"/>
      <c r="W640" s="277"/>
      <c r="X640" s="277"/>
      <c r="Y640" s="277"/>
      <c r="Z640" s="277"/>
      <c r="AA640" s="277"/>
      <c r="AB640" s="277"/>
      <c r="AC640" s="277"/>
      <c r="AD640" s="277"/>
      <c r="AE640" s="277"/>
      <c r="AF640" s="277"/>
    </row>
    <row r="641" ht="12.75" customHeight="1">
      <c r="A641" s="277"/>
      <c r="B641" s="278"/>
      <c r="C641" s="277"/>
      <c r="D641" s="278"/>
      <c r="E641" s="279"/>
      <c r="F641" s="277"/>
      <c r="G641" s="277"/>
      <c r="H641" s="277"/>
      <c r="I641" s="277"/>
      <c r="J641" s="277"/>
      <c r="K641" s="277"/>
      <c r="L641" s="277"/>
      <c r="M641" s="277"/>
      <c r="N641" s="277"/>
      <c r="O641" s="277"/>
      <c r="P641" s="277"/>
      <c r="Q641" s="277"/>
      <c r="R641" s="277"/>
      <c r="S641" s="277"/>
      <c r="T641" s="277"/>
      <c r="U641" s="277"/>
      <c r="V641" s="280"/>
      <c r="W641" s="277"/>
      <c r="X641" s="277"/>
      <c r="Y641" s="277"/>
      <c r="Z641" s="277"/>
      <c r="AA641" s="277"/>
      <c r="AB641" s="277"/>
      <c r="AC641" s="277"/>
      <c r="AD641" s="277"/>
      <c r="AE641" s="277"/>
      <c r="AF641" s="277"/>
    </row>
    <row r="642" ht="12.75" customHeight="1">
      <c r="A642" s="277"/>
      <c r="B642" s="278"/>
      <c r="C642" s="277"/>
      <c r="D642" s="278"/>
      <c r="E642" s="279"/>
      <c r="F642" s="277"/>
      <c r="G642" s="277"/>
      <c r="H642" s="277"/>
      <c r="I642" s="277"/>
      <c r="J642" s="277"/>
      <c r="K642" s="277"/>
      <c r="L642" s="277"/>
      <c r="M642" s="277"/>
      <c r="N642" s="277"/>
      <c r="O642" s="277"/>
      <c r="P642" s="277"/>
      <c r="Q642" s="277"/>
      <c r="R642" s="277"/>
      <c r="S642" s="277"/>
      <c r="T642" s="277"/>
      <c r="U642" s="277"/>
      <c r="V642" s="280"/>
      <c r="W642" s="277"/>
      <c r="X642" s="277"/>
      <c r="Y642" s="277"/>
      <c r="Z642" s="277"/>
      <c r="AA642" s="277"/>
      <c r="AB642" s="277"/>
      <c r="AC642" s="277"/>
      <c r="AD642" s="277"/>
      <c r="AE642" s="277"/>
      <c r="AF642" s="277"/>
    </row>
    <row r="643" ht="12.75" customHeight="1">
      <c r="A643" s="277"/>
      <c r="B643" s="278"/>
      <c r="C643" s="277"/>
      <c r="D643" s="278"/>
      <c r="E643" s="279"/>
      <c r="F643" s="277"/>
      <c r="G643" s="277"/>
      <c r="H643" s="277"/>
      <c r="I643" s="277"/>
      <c r="J643" s="277"/>
      <c r="K643" s="277"/>
      <c r="L643" s="277"/>
      <c r="M643" s="277"/>
      <c r="N643" s="277"/>
      <c r="O643" s="277"/>
      <c r="P643" s="277"/>
      <c r="Q643" s="277"/>
      <c r="R643" s="277"/>
      <c r="S643" s="277"/>
      <c r="T643" s="277"/>
      <c r="U643" s="277"/>
      <c r="V643" s="280"/>
      <c r="W643" s="277"/>
      <c r="X643" s="277"/>
      <c r="Y643" s="277"/>
      <c r="Z643" s="277"/>
      <c r="AA643" s="277"/>
      <c r="AB643" s="277"/>
      <c r="AC643" s="277"/>
      <c r="AD643" s="277"/>
      <c r="AE643" s="277"/>
      <c r="AF643" s="277"/>
    </row>
    <row r="644" ht="12.75" customHeight="1">
      <c r="A644" s="277"/>
      <c r="B644" s="278"/>
      <c r="C644" s="277"/>
      <c r="D644" s="278"/>
      <c r="E644" s="279"/>
      <c r="F644" s="277"/>
      <c r="G644" s="277"/>
      <c r="H644" s="277"/>
      <c r="I644" s="277"/>
      <c r="J644" s="277"/>
      <c r="K644" s="277"/>
      <c r="L644" s="277"/>
      <c r="M644" s="277"/>
      <c r="N644" s="277"/>
      <c r="O644" s="277"/>
      <c r="P644" s="277"/>
      <c r="Q644" s="277"/>
      <c r="R644" s="277"/>
      <c r="S644" s="277"/>
      <c r="T644" s="277"/>
      <c r="U644" s="277"/>
      <c r="V644" s="280"/>
      <c r="W644" s="277"/>
      <c r="X644" s="277"/>
      <c r="Y644" s="277"/>
      <c r="Z644" s="277"/>
      <c r="AA644" s="277"/>
      <c r="AB644" s="277"/>
      <c r="AC644" s="277"/>
      <c r="AD644" s="277"/>
      <c r="AE644" s="277"/>
      <c r="AF644" s="277"/>
    </row>
    <row r="645" ht="12.75" customHeight="1">
      <c r="A645" s="277"/>
      <c r="B645" s="278"/>
      <c r="C645" s="277"/>
      <c r="D645" s="278"/>
      <c r="E645" s="279"/>
      <c r="F645" s="277"/>
      <c r="G645" s="277"/>
      <c r="H645" s="277"/>
      <c r="I645" s="277"/>
      <c r="J645" s="277"/>
      <c r="K645" s="277"/>
      <c r="L645" s="277"/>
      <c r="M645" s="277"/>
      <c r="N645" s="277"/>
      <c r="O645" s="277"/>
      <c r="P645" s="277"/>
      <c r="Q645" s="277"/>
      <c r="R645" s="277"/>
      <c r="S645" s="277"/>
      <c r="T645" s="277"/>
      <c r="U645" s="277"/>
      <c r="V645" s="280"/>
      <c r="W645" s="277"/>
      <c r="X645" s="277"/>
      <c r="Y645" s="277"/>
      <c r="Z645" s="277"/>
      <c r="AA645" s="277"/>
      <c r="AB645" s="277"/>
      <c r="AC645" s="277"/>
      <c r="AD645" s="277"/>
      <c r="AE645" s="277"/>
      <c r="AF645" s="277"/>
    </row>
    <row r="646" ht="12.75" customHeight="1">
      <c r="A646" s="277"/>
      <c r="B646" s="278"/>
      <c r="C646" s="277"/>
      <c r="D646" s="278"/>
      <c r="E646" s="279"/>
      <c r="F646" s="277"/>
      <c r="G646" s="277"/>
      <c r="H646" s="277"/>
      <c r="I646" s="277"/>
      <c r="J646" s="277"/>
      <c r="K646" s="277"/>
      <c r="L646" s="277"/>
      <c r="M646" s="277"/>
      <c r="N646" s="277"/>
      <c r="O646" s="277"/>
      <c r="P646" s="277"/>
      <c r="Q646" s="277"/>
      <c r="R646" s="277"/>
      <c r="S646" s="277"/>
      <c r="T646" s="277"/>
      <c r="U646" s="277"/>
      <c r="V646" s="280"/>
      <c r="W646" s="277"/>
      <c r="X646" s="277"/>
      <c r="Y646" s="277"/>
      <c r="Z646" s="277"/>
      <c r="AA646" s="277"/>
      <c r="AB646" s="277"/>
      <c r="AC646" s="277"/>
      <c r="AD646" s="277"/>
      <c r="AE646" s="277"/>
      <c r="AF646" s="277"/>
    </row>
    <row r="647" ht="12.75" customHeight="1">
      <c r="A647" s="277"/>
      <c r="B647" s="278"/>
      <c r="C647" s="277"/>
      <c r="D647" s="278"/>
      <c r="E647" s="279"/>
      <c r="F647" s="277"/>
      <c r="G647" s="277"/>
      <c r="H647" s="277"/>
      <c r="I647" s="277"/>
      <c r="J647" s="277"/>
      <c r="K647" s="277"/>
      <c r="L647" s="277"/>
      <c r="M647" s="277"/>
      <c r="N647" s="277"/>
      <c r="O647" s="277"/>
      <c r="P647" s="277"/>
      <c r="Q647" s="277"/>
      <c r="R647" s="277"/>
      <c r="S647" s="277"/>
      <c r="T647" s="277"/>
      <c r="U647" s="277"/>
      <c r="V647" s="280"/>
      <c r="W647" s="277"/>
      <c r="X647" s="277"/>
      <c r="Y647" s="277"/>
      <c r="Z647" s="277"/>
      <c r="AA647" s="277"/>
      <c r="AB647" s="277"/>
      <c r="AC647" s="277"/>
      <c r="AD647" s="277"/>
      <c r="AE647" s="277"/>
      <c r="AF647" s="277"/>
    </row>
    <row r="648" ht="12.75" customHeight="1">
      <c r="A648" s="277"/>
      <c r="B648" s="278"/>
      <c r="C648" s="277"/>
      <c r="D648" s="278"/>
      <c r="E648" s="279"/>
      <c r="F648" s="277"/>
      <c r="G648" s="277"/>
      <c r="H648" s="277"/>
      <c r="I648" s="277"/>
      <c r="J648" s="277"/>
      <c r="K648" s="277"/>
      <c r="L648" s="277"/>
      <c r="M648" s="277"/>
      <c r="N648" s="277"/>
      <c r="O648" s="277"/>
      <c r="P648" s="277"/>
      <c r="Q648" s="277"/>
      <c r="R648" s="277"/>
      <c r="S648" s="277"/>
      <c r="T648" s="277"/>
      <c r="U648" s="277"/>
      <c r="V648" s="280"/>
      <c r="W648" s="277"/>
      <c r="X648" s="277"/>
      <c r="Y648" s="277"/>
      <c r="Z648" s="277"/>
      <c r="AA648" s="277"/>
      <c r="AB648" s="277"/>
      <c r="AC648" s="277"/>
      <c r="AD648" s="277"/>
      <c r="AE648" s="277"/>
      <c r="AF648" s="277"/>
    </row>
    <row r="649" ht="12.75" customHeight="1">
      <c r="A649" s="277"/>
      <c r="B649" s="278"/>
      <c r="C649" s="277"/>
      <c r="D649" s="278"/>
      <c r="E649" s="279"/>
      <c r="F649" s="277"/>
      <c r="G649" s="277"/>
      <c r="H649" s="277"/>
      <c r="I649" s="277"/>
      <c r="J649" s="277"/>
      <c r="K649" s="277"/>
      <c r="L649" s="277"/>
      <c r="M649" s="277"/>
      <c r="N649" s="277"/>
      <c r="O649" s="277"/>
      <c r="P649" s="277"/>
      <c r="Q649" s="277"/>
      <c r="R649" s="277"/>
      <c r="S649" s="277"/>
      <c r="T649" s="277"/>
      <c r="U649" s="277"/>
      <c r="V649" s="280"/>
      <c r="W649" s="277"/>
      <c r="X649" s="277"/>
      <c r="Y649" s="277"/>
      <c r="Z649" s="277"/>
      <c r="AA649" s="277"/>
      <c r="AB649" s="277"/>
      <c r="AC649" s="277"/>
      <c r="AD649" s="277"/>
      <c r="AE649" s="277"/>
      <c r="AF649" s="277"/>
    </row>
    <row r="650" ht="12.75" customHeight="1">
      <c r="A650" s="277"/>
      <c r="B650" s="278"/>
      <c r="C650" s="277"/>
      <c r="D650" s="278"/>
      <c r="E650" s="279"/>
      <c r="F650" s="277"/>
      <c r="G650" s="277"/>
      <c r="H650" s="277"/>
      <c r="I650" s="277"/>
      <c r="J650" s="277"/>
      <c r="K650" s="277"/>
      <c r="L650" s="277"/>
      <c r="M650" s="277"/>
      <c r="N650" s="277"/>
      <c r="O650" s="277"/>
      <c r="P650" s="277"/>
      <c r="Q650" s="277"/>
      <c r="R650" s="277"/>
      <c r="S650" s="277"/>
      <c r="T650" s="277"/>
      <c r="U650" s="277"/>
      <c r="V650" s="280"/>
      <c r="W650" s="277"/>
      <c r="X650" s="277"/>
      <c r="Y650" s="277"/>
      <c r="Z650" s="277"/>
      <c r="AA650" s="277"/>
      <c r="AB650" s="277"/>
      <c r="AC650" s="277"/>
      <c r="AD650" s="277"/>
      <c r="AE650" s="277"/>
      <c r="AF650" s="277"/>
    </row>
    <row r="651" ht="12.75" customHeight="1">
      <c r="A651" s="277"/>
      <c r="B651" s="278"/>
      <c r="C651" s="277"/>
      <c r="D651" s="278"/>
      <c r="E651" s="279"/>
      <c r="F651" s="277"/>
      <c r="G651" s="277"/>
      <c r="H651" s="277"/>
      <c r="I651" s="277"/>
      <c r="J651" s="277"/>
      <c r="K651" s="277"/>
      <c r="L651" s="277"/>
      <c r="M651" s="277"/>
      <c r="N651" s="277"/>
      <c r="O651" s="277"/>
      <c r="P651" s="277"/>
      <c r="Q651" s="277"/>
      <c r="R651" s="277"/>
      <c r="S651" s="277"/>
      <c r="T651" s="277"/>
      <c r="U651" s="277"/>
      <c r="V651" s="280"/>
      <c r="W651" s="277"/>
      <c r="X651" s="277"/>
      <c r="Y651" s="277"/>
      <c r="Z651" s="277"/>
      <c r="AA651" s="277"/>
      <c r="AB651" s="277"/>
      <c r="AC651" s="277"/>
      <c r="AD651" s="277"/>
      <c r="AE651" s="277"/>
      <c r="AF651" s="277"/>
    </row>
    <row r="652" ht="12.75" customHeight="1">
      <c r="A652" s="277"/>
      <c r="B652" s="278"/>
      <c r="C652" s="277"/>
      <c r="D652" s="278"/>
      <c r="E652" s="279"/>
      <c r="F652" s="277"/>
      <c r="G652" s="277"/>
      <c r="H652" s="277"/>
      <c r="I652" s="277"/>
      <c r="J652" s="277"/>
      <c r="K652" s="277"/>
      <c r="L652" s="277"/>
      <c r="M652" s="277"/>
      <c r="N652" s="277"/>
      <c r="O652" s="277"/>
      <c r="P652" s="277"/>
      <c r="Q652" s="277"/>
      <c r="R652" s="277"/>
      <c r="S652" s="277"/>
      <c r="T652" s="277"/>
      <c r="U652" s="277"/>
      <c r="V652" s="280"/>
      <c r="W652" s="277"/>
      <c r="X652" s="277"/>
      <c r="Y652" s="277"/>
      <c r="Z652" s="277"/>
      <c r="AA652" s="277"/>
      <c r="AB652" s="277"/>
      <c r="AC652" s="277"/>
      <c r="AD652" s="277"/>
      <c r="AE652" s="277"/>
      <c r="AF652" s="277"/>
    </row>
    <row r="653" ht="12.75" customHeight="1">
      <c r="A653" s="277"/>
      <c r="B653" s="278"/>
      <c r="C653" s="277"/>
      <c r="D653" s="278"/>
      <c r="E653" s="279"/>
      <c r="F653" s="277"/>
      <c r="G653" s="277"/>
      <c r="H653" s="277"/>
      <c r="I653" s="277"/>
      <c r="J653" s="277"/>
      <c r="K653" s="277"/>
      <c r="L653" s="277"/>
      <c r="M653" s="277"/>
      <c r="N653" s="277"/>
      <c r="O653" s="277"/>
      <c r="P653" s="277"/>
      <c r="Q653" s="277"/>
      <c r="R653" s="277"/>
      <c r="S653" s="277"/>
      <c r="T653" s="277"/>
      <c r="U653" s="277"/>
      <c r="V653" s="280"/>
      <c r="W653" s="277"/>
      <c r="X653" s="277"/>
      <c r="Y653" s="277"/>
      <c r="Z653" s="277"/>
      <c r="AA653" s="277"/>
      <c r="AB653" s="277"/>
      <c r="AC653" s="277"/>
      <c r="AD653" s="277"/>
      <c r="AE653" s="277"/>
      <c r="AF653" s="277"/>
    </row>
    <row r="654" ht="12.75" customHeight="1">
      <c r="A654" s="277"/>
      <c r="B654" s="278"/>
      <c r="C654" s="277"/>
      <c r="D654" s="278"/>
      <c r="E654" s="279"/>
      <c r="F654" s="277"/>
      <c r="G654" s="277"/>
      <c r="H654" s="277"/>
      <c r="I654" s="277"/>
      <c r="J654" s="277"/>
      <c r="K654" s="277"/>
      <c r="L654" s="277"/>
      <c r="M654" s="277"/>
      <c r="N654" s="277"/>
      <c r="O654" s="277"/>
      <c r="P654" s="277"/>
      <c r="Q654" s="277"/>
      <c r="R654" s="277"/>
      <c r="S654" s="277"/>
      <c r="T654" s="277"/>
      <c r="U654" s="277"/>
      <c r="V654" s="280"/>
      <c r="W654" s="277"/>
      <c r="X654" s="277"/>
      <c r="Y654" s="277"/>
      <c r="Z654" s="277"/>
      <c r="AA654" s="277"/>
      <c r="AB654" s="277"/>
      <c r="AC654" s="277"/>
      <c r="AD654" s="277"/>
      <c r="AE654" s="277"/>
      <c r="AF654" s="277"/>
    </row>
    <row r="655" ht="12.75" customHeight="1">
      <c r="A655" s="277"/>
      <c r="B655" s="278"/>
      <c r="C655" s="277"/>
      <c r="D655" s="278"/>
      <c r="E655" s="279"/>
      <c r="F655" s="277"/>
      <c r="G655" s="277"/>
      <c r="H655" s="277"/>
      <c r="I655" s="277"/>
      <c r="J655" s="277"/>
      <c r="K655" s="277"/>
      <c r="L655" s="277"/>
      <c r="M655" s="277"/>
      <c r="N655" s="277"/>
      <c r="O655" s="277"/>
      <c r="P655" s="277"/>
      <c r="Q655" s="277"/>
      <c r="R655" s="277"/>
      <c r="S655" s="277"/>
      <c r="T655" s="277"/>
      <c r="U655" s="277"/>
      <c r="V655" s="280"/>
      <c r="W655" s="277"/>
      <c r="X655" s="277"/>
      <c r="Y655" s="277"/>
      <c r="Z655" s="277"/>
      <c r="AA655" s="277"/>
      <c r="AB655" s="277"/>
      <c r="AC655" s="277"/>
      <c r="AD655" s="277"/>
      <c r="AE655" s="277"/>
      <c r="AF655" s="277"/>
    </row>
    <row r="656" ht="12.75" customHeight="1">
      <c r="A656" s="277"/>
      <c r="B656" s="278"/>
      <c r="C656" s="277"/>
      <c r="D656" s="278"/>
      <c r="E656" s="279"/>
      <c r="F656" s="277"/>
      <c r="G656" s="277"/>
      <c r="H656" s="277"/>
      <c r="I656" s="277"/>
      <c r="J656" s="277"/>
      <c r="K656" s="277"/>
      <c r="L656" s="277"/>
      <c r="M656" s="277"/>
      <c r="N656" s="277"/>
      <c r="O656" s="277"/>
      <c r="P656" s="277"/>
      <c r="Q656" s="277"/>
      <c r="R656" s="277"/>
      <c r="S656" s="277"/>
      <c r="T656" s="277"/>
      <c r="U656" s="277"/>
      <c r="V656" s="280"/>
      <c r="W656" s="277"/>
      <c r="X656" s="277"/>
      <c r="Y656" s="277"/>
      <c r="Z656" s="277"/>
      <c r="AA656" s="277"/>
      <c r="AB656" s="277"/>
      <c r="AC656" s="277"/>
      <c r="AD656" s="277"/>
      <c r="AE656" s="277"/>
      <c r="AF656" s="277"/>
    </row>
    <row r="657" ht="12.75" customHeight="1">
      <c r="A657" s="277"/>
      <c r="B657" s="278"/>
      <c r="C657" s="277"/>
      <c r="D657" s="278"/>
      <c r="E657" s="279"/>
      <c r="F657" s="277"/>
      <c r="G657" s="277"/>
      <c r="H657" s="277"/>
      <c r="I657" s="277"/>
      <c r="J657" s="277"/>
      <c r="K657" s="277"/>
      <c r="L657" s="277"/>
      <c r="M657" s="277"/>
      <c r="N657" s="277"/>
      <c r="O657" s="277"/>
      <c r="P657" s="277"/>
      <c r="Q657" s="277"/>
      <c r="R657" s="277"/>
      <c r="S657" s="277"/>
      <c r="T657" s="277"/>
      <c r="U657" s="277"/>
      <c r="V657" s="280"/>
      <c r="W657" s="277"/>
      <c r="X657" s="277"/>
      <c r="Y657" s="277"/>
      <c r="Z657" s="277"/>
      <c r="AA657" s="277"/>
      <c r="AB657" s="277"/>
      <c r="AC657" s="277"/>
      <c r="AD657" s="277"/>
      <c r="AE657" s="277"/>
      <c r="AF657" s="277"/>
    </row>
    <row r="658" ht="12.75" customHeight="1">
      <c r="A658" s="277"/>
      <c r="B658" s="278"/>
      <c r="C658" s="277"/>
      <c r="D658" s="278"/>
      <c r="E658" s="279"/>
      <c r="F658" s="277"/>
      <c r="G658" s="277"/>
      <c r="H658" s="277"/>
      <c r="I658" s="277"/>
      <c r="J658" s="277"/>
      <c r="K658" s="277"/>
      <c r="L658" s="277"/>
      <c r="M658" s="277"/>
      <c r="N658" s="277"/>
      <c r="O658" s="277"/>
      <c r="P658" s="277"/>
      <c r="Q658" s="277"/>
      <c r="R658" s="277"/>
      <c r="S658" s="277"/>
      <c r="T658" s="277"/>
      <c r="U658" s="277"/>
      <c r="V658" s="280"/>
      <c r="W658" s="277"/>
      <c r="X658" s="277"/>
      <c r="Y658" s="277"/>
      <c r="Z658" s="277"/>
      <c r="AA658" s="277"/>
      <c r="AB658" s="277"/>
      <c r="AC658" s="277"/>
      <c r="AD658" s="277"/>
      <c r="AE658" s="277"/>
      <c r="AF658" s="277"/>
    </row>
    <row r="659" ht="12.75" customHeight="1">
      <c r="A659" s="277"/>
      <c r="B659" s="278"/>
      <c r="C659" s="277"/>
      <c r="D659" s="278"/>
      <c r="E659" s="279"/>
      <c r="F659" s="277"/>
      <c r="G659" s="277"/>
      <c r="H659" s="277"/>
      <c r="I659" s="277"/>
      <c r="J659" s="277"/>
      <c r="K659" s="277"/>
      <c r="L659" s="277"/>
      <c r="M659" s="277"/>
      <c r="N659" s="277"/>
      <c r="O659" s="277"/>
      <c r="P659" s="277"/>
      <c r="Q659" s="277"/>
      <c r="R659" s="277"/>
      <c r="S659" s="277"/>
      <c r="T659" s="277"/>
      <c r="U659" s="277"/>
      <c r="V659" s="280"/>
      <c r="W659" s="277"/>
      <c r="X659" s="277"/>
      <c r="Y659" s="277"/>
      <c r="Z659" s="277"/>
      <c r="AA659" s="277"/>
      <c r="AB659" s="277"/>
      <c r="AC659" s="277"/>
      <c r="AD659" s="277"/>
      <c r="AE659" s="277"/>
      <c r="AF659" s="277"/>
    </row>
    <row r="660" ht="12.75" customHeight="1">
      <c r="A660" s="277"/>
      <c r="B660" s="278"/>
      <c r="C660" s="277"/>
      <c r="D660" s="278"/>
      <c r="E660" s="279"/>
      <c r="F660" s="277"/>
      <c r="G660" s="277"/>
      <c r="H660" s="277"/>
      <c r="I660" s="277"/>
      <c r="J660" s="277"/>
      <c r="K660" s="277"/>
      <c r="L660" s="277"/>
      <c r="M660" s="277"/>
      <c r="N660" s="277"/>
      <c r="O660" s="277"/>
      <c r="P660" s="277"/>
      <c r="Q660" s="277"/>
      <c r="R660" s="277"/>
      <c r="S660" s="277"/>
      <c r="T660" s="277"/>
      <c r="U660" s="277"/>
      <c r="V660" s="280"/>
      <c r="W660" s="277"/>
      <c r="X660" s="277"/>
      <c r="Y660" s="277"/>
      <c r="Z660" s="277"/>
      <c r="AA660" s="277"/>
      <c r="AB660" s="277"/>
      <c r="AC660" s="277"/>
      <c r="AD660" s="277"/>
      <c r="AE660" s="277"/>
      <c r="AF660" s="277"/>
    </row>
    <row r="661" ht="12.75" customHeight="1">
      <c r="A661" s="277"/>
      <c r="B661" s="278"/>
      <c r="C661" s="277"/>
      <c r="D661" s="278"/>
      <c r="E661" s="279"/>
      <c r="F661" s="277"/>
      <c r="G661" s="277"/>
      <c r="H661" s="277"/>
      <c r="I661" s="277"/>
      <c r="J661" s="277"/>
      <c r="K661" s="277"/>
      <c r="L661" s="277"/>
      <c r="M661" s="277"/>
      <c r="N661" s="277"/>
      <c r="O661" s="277"/>
      <c r="P661" s="277"/>
      <c r="Q661" s="277"/>
      <c r="R661" s="277"/>
      <c r="S661" s="277"/>
      <c r="T661" s="277"/>
      <c r="U661" s="277"/>
      <c r="V661" s="280"/>
      <c r="W661" s="277"/>
      <c r="X661" s="277"/>
      <c r="Y661" s="277"/>
      <c r="Z661" s="277"/>
      <c r="AA661" s="277"/>
      <c r="AB661" s="277"/>
      <c r="AC661" s="277"/>
      <c r="AD661" s="277"/>
      <c r="AE661" s="277"/>
      <c r="AF661" s="277"/>
    </row>
    <row r="662" ht="12.75" customHeight="1">
      <c r="A662" s="277"/>
      <c r="B662" s="278"/>
      <c r="C662" s="277"/>
      <c r="D662" s="278"/>
      <c r="E662" s="279"/>
      <c r="F662" s="277"/>
      <c r="G662" s="277"/>
      <c r="H662" s="277"/>
      <c r="I662" s="277"/>
      <c r="J662" s="277"/>
      <c r="K662" s="277"/>
      <c r="L662" s="277"/>
      <c r="M662" s="277"/>
      <c r="N662" s="277"/>
      <c r="O662" s="277"/>
      <c r="P662" s="277"/>
      <c r="Q662" s="277"/>
      <c r="R662" s="277"/>
      <c r="S662" s="277"/>
      <c r="T662" s="277"/>
      <c r="U662" s="277"/>
      <c r="V662" s="280"/>
      <c r="W662" s="277"/>
      <c r="X662" s="277"/>
      <c r="Y662" s="277"/>
      <c r="Z662" s="277"/>
      <c r="AA662" s="277"/>
      <c r="AB662" s="277"/>
      <c r="AC662" s="277"/>
      <c r="AD662" s="277"/>
      <c r="AE662" s="277"/>
      <c r="AF662" s="277"/>
    </row>
    <row r="663" ht="12.75" customHeight="1">
      <c r="A663" s="277"/>
      <c r="B663" s="278"/>
      <c r="C663" s="277"/>
      <c r="D663" s="278"/>
      <c r="E663" s="279"/>
      <c r="F663" s="277"/>
      <c r="G663" s="277"/>
      <c r="H663" s="277"/>
      <c r="I663" s="277"/>
      <c r="J663" s="277"/>
      <c r="K663" s="277"/>
      <c r="L663" s="277"/>
      <c r="M663" s="277"/>
      <c r="N663" s="277"/>
      <c r="O663" s="277"/>
      <c r="P663" s="277"/>
      <c r="Q663" s="277"/>
      <c r="R663" s="277"/>
      <c r="S663" s="277"/>
      <c r="T663" s="277"/>
      <c r="U663" s="277"/>
      <c r="V663" s="280"/>
      <c r="W663" s="277"/>
      <c r="X663" s="277"/>
      <c r="Y663" s="277"/>
      <c r="Z663" s="277"/>
      <c r="AA663" s="277"/>
      <c r="AB663" s="277"/>
      <c r="AC663" s="277"/>
      <c r="AD663" s="277"/>
      <c r="AE663" s="277"/>
      <c r="AF663" s="277"/>
    </row>
    <row r="664" ht="12.75" customHeight="1">
      <c r="A664" s="277"/>
      <c r="B664" s="278"/>
      <c r="C664" s="277"/>
      <c r="D664" s="278"/>
      <c r="E664" s="279"/>
      <c r="F664" s="277"/>
      <c r="G664" s="277"/>
      <c r="H664" s="277"/>
      <c r="I664" s="277"/>
      <c r="J664" s="277"/>
      <c r="K664" s="277"/>
      <c r="L664" s="277"/>
      <c r="M664" s="277"/>
      <c r="N664" s="277"/>
      <c r="O664" s="277"/>
      <c r="P664" s="277"/>
      <c r="Q664" s="277"/>
      <c r="R664" s="277"/>
      <c r="S664" s="277"/>
      <c r="T664" s="277"/>
      <c r="U664" s="277"/>
      <c r="V664" s="280"/>
      <c r="W664" s="277"/>
      <c r="X664" s="277"/>
      <c r="Y664" s="277"/>
      <c r="Z664" s="277"/>
      <c r="AA664" s="277"/>
      <c r="AB664" s="277"/>
      <c r="AC664" s="277"/>
      <c r="AD664" s="277"/>
      <c r="AE664" s="277"/>
      <c r="AF664" s="277"/>
    </row>
    <row r="665" ht="12.75" customHeight="1">
      <c r="A665" s="277"/>
      <c r="B665" s="278"/>
      <c r="C665" s="277"/>
      <c r="D665" s="278"/>
      <c r="E665" s="279"/>
      <c r="F665" s="277"/>
      <c r="G665" s="277"/>
      <c r="H665" s="277"/>
      <c r="I665" s="277"/>
      <c r="J665" s="277"/>
      <c r="K665" s="277"/>
      <c r="L665" s="277"/>
      <c r="M665" s="277"/>
      <c r="N665" s="277"/>
      <c r="O665" s="277"/>
      <c r="P665" s="277"/>
      <c r="Q665" s="277"/>
      <c r="R665" s="277"/>
      <c r="S665" s="277"/>
      <c r="T665" s="277"/>
      <c r="U665" s="277"/>
      <c r="V665" s="280"/>
      <c r="W665" s="277"/>
      <c r="X665" s="277"/>
      <c r="Y665" s="277"/>
      <c r="Z665" s="277"/>
      <c r="AA665" s="277"/>
      <c r="AB665" s="277"/>
      <c r="AC665" s="277"/>
      <c r="AD665" s="277"/>
      <c r="AE665" s="277"/>
      <c r="AF665" s="277"/>
    </row>
    <row r="666" ht="12.75" customHeight="1">
      <c r="A666" s="277"/>
      <c r="B666" s="278"/>
      <c r="C666" s="277"/>
      <c r="D666" s="278"/>
      <c r="E666" s="279"/>
      <c r="F666" s="277"/>
      <c r="G666" s="277"/>
      <c r="H666" s="277"/>
      <c r="I666" s="277"/>
      <c r="J666" s="277"/>
      <c r="K666" s="277"/>
      <c r="L666" s="277"/>
      <c r="M666" s="277"/>
      <c r="N666" s="277"/>
      <c r="O666" s="277"/>
      <c r="P666" s="277"/>
      <c r="Q666" s="277"/>
      <c r="R666" s="277"/>
      <c r="S666" s="277"/>
      <c r="T666" s="277"/>
      <c r="U666" s="277"/>
      <c r="V666" s="280"/>
      <c r="W666" s="277"/>
      <c r="X666" s="277"/>
      <c r="Y666" s="277"/>
      <c r="Z666" s="277"/>
      <c r="AA666" s="277"/>
      <c r="AB666" s="277"/>
      <c r="AC666" s="277"/>
      <c r="AD666" s="277"/>
      <c r="AE666" s="277"/>
      <c r="AF666" s="277"/>
    </row>
    <row r="667" ht="12.75" customHeight="1">
      <c r="A667" s="277"/>
      <c r="B667" s="278"/>
      <c r="C667" s="277"/>
      <c r="D667" s="278"/>
      <c r="E667" s="279"/>
      <c r="F667" s="277"/>
      <c r="G667" s="277"/>
      <c r="H667" s="277"/>
      <c r="I667" s="277"/>
      <c r="J667" s="277"/>
      <c r="K667" s="277"/>
      <c r="L667" s="277"/>
      <c r="M667" s="277"/>
      <c r="N667" s="277"/>
      <c r="O667" s="277"/>
      <c r="P667" s="277"/>
      <c r="Q667" s="277"/>
      <c r="R667" s="277"/>
      <c r="S667" s="277"/>
      <c r="T667" s="277"/>
      <c r="U667" s="277"/>
      <c r="V667" s="280"/>
      <c r="W667" s="277"/>
      <c r="X667" s="277"/>
      <c r="Y667" s="277"/>
      <c r="Z667" s="277"/>
      <c r="AA667" s="277"/>
      <c r="AB667" s="277"/>
      <c r="AC667" s="277"/>
      <c r="AD667" s="277"/>
      <c r="AE667" s="277"/>
      <c r="AF667" s="277"/>
    </row>
    <row r="668" ht="12.75" customHeight="1">
      <c r="A668" s="277"/>
      <c r="B668" s="278"/>
      <c r="C668" s="277"/>
      <c r="D668" s="278"/>
      <c r="E668" s="279"/>
      <c r="F668" s="277"/>
      <c r="G668" s="277"/>
      <c r="H668" s="277"/>
      <c r="I668" s="277"/>
      <c r="J668" s="277"/>
      <c r="K668" s="277"/>
      <c r="L668" s="277"/>
      <c r="M668" s="277"/>
      <c r="N668" s="277"/>
      <c r="O668" s="277"/>
      <c r="P668" s="277"/>
      <c r="Q668" s="277"/>
      <c r="R668" s="277"/>
      <c r="S668" s="277"/>
      <c r="T668" s="277"/>
      <c r="U668" s="277"/>
      <c r="V668" s="280"/>
      <c r="W668" s="277"/>
      <c r="X668" s="277"/>
      <c r="Y668" s="277"/>
      <c r="Z668" s="277"/>
      <c r="AA668" s="277"/>
      <c r="AB668" s="277"/>
      <c r="AC668" s="277"/>
      <c r="AD668" s="277"/>
      <c r="AE668" s="277"/>
      <c r="AF668" s="277"/>
    </row>
    <row r="669" ht="12.75" customHeight="1">
      <c r="A669" s="277"/>
      <c r="B669" s="278"/>
      <c r="C669" s="277"/>
      <c r="D669" s="278"/>
      <c r="E669" s="279"/>
      <c r="F669" s="277"/>
      <c r="G669" s="277"/>
      <c r="H669" s="277"/>
      <c r="I669" s="277"/>
      <c r="J669" s="277"/>
      <c r="K669" s="277"/>
      <c r="L669" s="277"/>
      <c r="M669" s="277"/>
      <c r="N669" s="277"/>
      <c r="O669" s="277"/>
      <c r="P669" s="277"/>
      <c r="Q669" s="277"/>
      <c r="R669" s="277"/>
      <c r="S669" s="277"/>
      <c r="T669" s="277"/>
      <c r="U669" s="277"/>
      <c r="V669" s="280"/>
      <c r="W669" s="277"/>
      <c r="X669" s="277"/>
      <c r="Y669" s="277"/>
      <c r="Z669" s="277"/>
      <c r="AA669" s="277"/>
      <c r="AB669" s="277"/>
      <c r="AC669" s="277"/>
      <c r="AD669" s="277"/>
      <c r="AE669" s="277"/>
      <c r="AF669" s="277"/>
    </row>
    <row r="670" ht="12.75" customHeight="1">
      <c r="A670" s="277"/>
      <c r="B670" s="278"/>
      <c r="C670" s="277"/>
      <c r="D670" s="278"/>
      <c r="E670" s="279"/>
      <c r="F670" s="277"/>
      <c r="G670" s="277"/>
      <c r="H670" s="277"/>
      <c r="I670" s="277"/>
      <c r="J670" s="277"/>
      <c r="K670" s="277"/>
      <c r="L670" s="277"/>
      <c r="M670" s="277"/>
      <c r="N670" s="277"/>
      <c r="O670" s="277"/>
      <c r="P670" s="277"/>
      <c r="Q670" s="277"/>
      <c r="R670" s="277"/>
      <c r="S670" s="277"/>
      <c r="T670" s="277"/>
      <c r="U670" s="277"/>
      <c r="V670" s="280"/>
      <c r="W670" s="277"/>
      <c r="X670" s="277"/>
      <c r="Y670" s="277"/>
      <c r="Z670" s="277"/>
      <c r="AA670" s="277"/>
      <c r="AB670" s="277"/>
      <c r="AC670" s="277"/>
      <c r="AD670" s="277"/>
      <c r="AE670" s="277"/>
      <c r="AF670" s="277"/>
    </row>
    <row r="671" ht="12.75" customHeight="1">
      <c r="A671" s="277"/>
      <c r="B671" s="278"/>
      <c r="C671" s="277"/>
      <c r="D671" s="278"/>
      <c r="E671" s="279"/>
      <c r="F671" s="277"/>
      <c r="G671" s="277"/>
      <c r="H671" s="277"/>
      <c r="I671" s="277"/>
      <c r="J671" s="277"/>
      <c r="K671" s="277"/>
      <c r="L671" s="277"/>
      <c r="M671" s="277"/>
      <c r="N671" s="277"/>
      <c r="O671" s="277"/>
      <c r="P671" s="277"/>
      <c r="Q671" s="277"/>
      <c r="R671" s="277"/>
      <c r="S671" s="277"/>
      <c r="T671" s="277"/>
      <c r="U671" s="277"/>
      <c r="V671" s="280"/>
      <c r="W671" s="277"/>
      <c r="X671" s="277"/>
      <c r="Y671" s="277"/>
      <c r="Z671" s="277"/>
      <c r="AA671" s="277"/>
      <c r="AB671" s="277"/>
      <c r="AC671" s="277"/>
      <c r="AD671" s="277"/>
      <c r="AE671" s="277"/>
      <c r="AF671" s="277"/>
    </row>
    <row r="672" ht="12.75" customHeight="1">
      <c r="A672" s="277"/>
      <c r="B672" s="278"/>
      <c r="C672" s="277"/>
      <c r="D672" s="278"/>
      <c r="E672" s="279"/>
      <c r="F672" s="277"/>
      <c r="G672" s="277"/>
      <c r="H672" s="277"/>
      <c r="I672" s="277"/>
      <c r="J672" s="277"/>
      <c r="K672" s="277"/>
      <c r="L672" s="277"/>
      <c r="M672" s="277"/>
      <c r="N672" s="277"/>
      <c r="O672" s="277"/>
      <c r="P672" s="277"/>
      <c r="Q672" s="277"/>
      <c r="R672" s="277"/>
      <c r="S672" s="277"/>
      <c r="T672" s="277"/>
      <c r="U672" s="277"/>
      <c r="V672" s="280"/>
      <c r="W672" s="277"/>
      <c r="X672" s="277"/>
      <c r="Y672" s="277"/>
      <c r="Z672" s="277"/>
      <c r="AA672" s="277"/>
      <c r="AB672" s="277"/>
      <c r="AC672" s="277"/>
      <c r="AD672" s="277"/>
      <c r="AE672" s="277"/>
      <c r="AF672" s="277"/>
    </row>
    <row r="673" ht="12.75" customHeight="1">
      <c r="A673" s="277"/>
      <c r="B673" s="278"/>
      <c r="C673" s="277"/>
      <c r="D673" s="278"/>
      <c r="E673" s="279"/>
      <c r="F673" s="277"/>
      <c r="G673" s="277"/>
      <c r="H673" s="277"/>
      <c r="I673" s="277"/>
      <c r="J673" s="277"/>
      <c r="K673" s="277"/>
      <c r="L673" s="277"/>
      <c r="M673" s="277"/>
      <c r="N673" s="277"/>
      <c r="O673" s="277"/>
      <c r="P673" s="277"/>
      <c r="Q673" s="277"/>
      <c r="R673" s="277"/>
      <c r="S673" s="277"/>
      <c r="T673" s="277"/>
      <c r="U673" s="277"/>
      <c r="V673" s="280"/>
      <c r="W673" s="277"/>
      <c r="X673" s="277"/>
      <c r="Y673" s="277"/>
      <c r="Z673" s="277"/>
      <c r="AA673" s="277"/>
      <c r="AB673" s="277"/>
      <c r="AC673" s="277"/>
      <c r="AD673" s="277"/>
      <c r="AE673" s="277"/>
      <c r="AF673" s="277"/>
    </row>
    <row r="674" ht="12.75" customHeight="1">
      <c r="A674" s="277"/>
      <c r="B674" s="278"/>
      <c r="C674" s="277"/>
      <c r="D674" s="278"/>
      <c r="E674" s="279"/>
      <c r="F674" s="277"/>
      <c r="G674" s="277"/>
      <c r="H674" s="277"/>
      <c r="I674" s="277"/>
      <c r="J674" s="277"/>
      <c r="K674" s="277"/>
      <c r="L674" s="277"/>
      <c r="M674" s="277"/>
      <c r="N674" s="277"/>
      <c r="O674" s="277"/>
      <c r="P674" s="277"/>
      <c r="Q674" s="277"/>
      <c r="R674" s="277"/>
      <c r="S674" s="277"/>
      <c r="T674" s="277"/>
      <c r="U674" s="277"/>
      <c r="V674" s="280"/>
      <c r="W674" s="277"/>
      <c r="X674" s="277"/>
      <c r="Y674" s="277"/>
      <c r="Z674" s="277"/>
      <c r="AA674" s="277"/>
      <c r="AB674" s="277"/>
      <c r="AC674" s="277"/>
      <c r="AD674" s="277"/>
      <c r="AE674" s="277"/>
      <c r="AF674" s="277"/>
    </row>
    <row r="675" ht="12.75" customHeight="1">
      <c r="A675" s="277"/>
      <c r="B675" s="278"/>
      <c r="C675" s="277"/>
      <c r="D675" s="278"/>
      <c r="E675" s="279"/>
      <c r="F675" s="277"/>
      <c r="G675" s="277"/>
      <c r="H675" s="277"/>
      <c r="I675" s="277"/>
      <c r="J675" s="277"/>
      <c r="K675" s="277"/>
      <c r="L675" s="277"/>
      <c r="M675" s="277"/>
      <c r="N675" s="277"/>
      <c r="O675" s="277"/>
      <c r="P675" s="277"/>
      <c r="Q675" s="277"/>
      <c r="R675" s="277"/>
      <c r="S675" s="277"/>
      <c r="T675" s="277"/>
      <c r="U675" s="277"/>
      <c r="V675" s="280"/>
      <c r="W675" s="277"/>
      <c r="X675" s="277"/>
      <c r="Y675" s="277"/>
      <c r="Z675" s="277"/>
      <c r="AA675" s="277"/>
      <c r="AB675" s="277"/>
      <c r="AC675" s="277"/>
      <c r="AD675" s="277"/>
      <c r="AE675" s="277"/>
      <c r="AF675" s="277"/>
    </row>
    <row r="676" ht="12.75" customHeight="1">
      <c r="A676" s="277"/>
      <c r="B676" s="278"/>
      <c r="C676" s="277"/>
      <c r="D676" s="278"/>
      <c r="E676" s="279"/>
      <c r="F676" s="277"/>
      <c r="G676" s="277"/>
      <c r="H676" s="277"/>
      <c r="I676" s="277"/>
      <c r="J676" s="277"/>
      <c r="K676" s="277"/>
      <c r="L676" s="277"/>
      <c r="M676" s="277"/>
      <c r="N676" s="277"/>
      <c r="O676" s="277"/>
      <c r="P676" s="277"/>
      <c r="Q676" s="277"/>
      <c r="R676" s="277"/>
      <c r="S676" s="277"/>
      <c r="T676" s="277"/>
      <c r="U676" s="277"/>
      <c r="V676" s="280"/>
      <c r="W676" s="277"/>
      <c r="X676" s="277"/>
      <c r="Y676" s="277"/>
      <c r="Z676" s="277"/>
      <c r="AA676" s="277"/>
      <c r="AB676" s="277"/>
      <c r="AC676" s="277"/>
      <c r="AD676" s="277"/>
      <c r="AE676" s="277"/>
      <c r="AF676" s="277"/>
    </row>
    <row r="677" ht="12.75" customHeight="1">
      <c r="A677" s="277"/>
      <c r="B677" s="278"/>
      <c r="C677" s="277"/>
      <c r="D677" s="278"/>
      <c r="E677" s="279"/>
      <c r="F677" s="277"/>
      <c r="G677" s="277"/>
      <c r="H677" s="277"/>
      <c r="I677" s="277"/>
      <c r="J677" s="277"/>
      <c r="K677" s="277"/>
      <c r="L677" s="277"/>
      <c r="M677" s="277"/>
      <c r="N677" s="277"/>
      <c r="O677" s="277"/>
      <c r="P677" s="277"/>
      <c r="Q677" s="277"/>
      <c r="R677" s="277"/>
      <c r="S677" s="277"/>
      <c r="T677" s="277"/>
      <c r="U677" s="277"/>
      <c r="V677" s="280"/>
      <c r="W677" s="277"/>
      <c r="X677" s="277"/>
      <c r="Y677" s="277"/>
      <c r="Z677" s="277"/>
      <c r="AA677" s="277"/>
      <c r="AB677" s="277"/>
      <c r="AC677" s="277"/>
      <c r="AD677" s="277"/>
      <c r="AE677" s="277"/>
      <c r="AF677" s="277"/>
    </row>
    <row r="678" ht="12.75" customHeight="1">
      <c r="A678" s="277"/>
      <c r="B678" s="278"/>
      <c r="C678" s="277"/>
      <c r="D678" s="278"/>
      <c r="E678" s="279"/>
      <c r="F678" s="277"/>
      <c r="G678" s="277"/>
      <c r="H678" s="277"/>
      <c r="I678" s="277"/>
      <c r="J678" s="277"/>
      <c r="K678" s="277"/>
      <c r="L678" s="277"/>
      <c r="M678" s="277"/>
      <c r="N678" s="277"/>
      <c r="O678" s="277"/>
      <c r="P678" s="277"/>
      <c r="Q678" s="277"/>
      <c r="R678" s="277"/>
      <c r="S678" s="277"/>
      <c r="T678" s="277"/>
      <c r="U678" s="277"/>
      <c r="V678" s="280"/>
      <c r="W678" s="277"/>
      <c r="X678" s="277"/>
      <c r="Y678" s="277"/>
      <c r="Z678" s="277"/>
      <c r="AA678" s="277"/>
      <c r="AB678" s="277"/>
      <c r="AC678" s="277"/>
      <c r="AD678" s="277"/>
      <c r="AE678" s="277"/>
      <c r="AF678" s="277"/>
    </row>
    <row r="679" ht="12.75" customHeight="1">
      <c r="A679" s="277"/>
      <c r="B679" s="278"/>
      <c r="C679" s="277"/>
      <c r="D679" s="278"/>
      <c r="E679" s="279"/>
      <c r="F679" s="277"/>
      <c r="G679" s="277"/>
      <c r="H679" s="277"/>
      <c r="I679" s="277"/>
      <c r="J679" s="277"/>
      <c r="K679" s="277"/>
      <c r="L679" s="277"/>
      <c r="M679" s="277"/>
      <c r="N679" s="277"/>
      <c r="O679" s="277"/>
      <c r="P679" s="277"/>
      <c r="Q679" s="277"/>
      <c r="R679" s="277"/>
      <c r="S679" s="277"/>
      <c r="T679" s="277"/>
      <c r="U679" s="277"/>
      <c r="V679" s="280"/>
      <c r="W679" s="277"/>
      <c r="X679" s="277"/>
      <c r="Y679" s="277"/>
      <c r="Z679" s="277"/>
      <c r="AA679" s="277"/>
      <c r="AB679" s="277"/>
      <c r="AC679" s="277"/>
      <c r="AD679" s="277"/>
      <c r="AE679" s="277"/>
      <c r="AF679" s="277"/>
    </row>
    <row r="680" ht="12.75" customHeight="1">
      <c r="A680" s="277"/>
      <c r="B680" s="278"/>
      <c r="C680" s="277"/>
      <c r="D680" s="278"/>
      <c r="E680" s="279"/>
      <c r="F680" s="277"/>
      <c r="G680" s="277"/>
      <c r="H680" s="277"/>
      <c r="I680" s="277"/>
      <c r="J680" s="277"/>
      <c r="K680" s="277"/>
      <c r="L680" s="277"/>
      <c r="M680" s="277"/>
      <c r="N680" s="277"/>
      <c r="O680" s="277"/>
      <c r="P680" s="277"/>
      <c r="Q680" s="277"/>
      <c r="R680" s="277"/>
      <c r="S680" s="277"/>
      <c r="T680" s="277"/>
      <c r="U680" s="277"/>
      <c r="V680" s="280"/>
      <c r="W680" s="277"/>
      <c r="X680" s="277"/>
      <c r="Y680" s="277"/>
      <c r="Z680" s="277"/>
      <c r="AA680" s="277"/>
      <c r="AB680" s="277"/>
      <c r="AC680" s="277"/>
      <c r="AD680" s="277"/>
      <c r="AE680" s="277"/>
      <c r="AF680" s="277"/>
    </row>
    <row r="681" ht="12.75" customHeight="1">
      <c r="A681" s="277"/>
      <c r="B681" s="278"/>
      <c r="C681" s="277"/>
      <c r="D681" s="278"/>
      <c r="E681" s="279"/>
      <c r="F681" s="277"/>
      <c r="G681" s="277"/>
      <c r="H681" s="277"/>
      <c r="I681" s="277"/>
      <c r="J681" s="277"/>
      <c r="K681" s="277"/>
      <c r="L681" s="277"/>
      <c r="M681" s="277"/>
      <c r="N681" s="277"/>
      <c r="O681" s="277"/>
      <c r="P681" s="277"/>
      <c r="Q681" s="277"/>
      <c r="R681" s="277"/>
      <c r="S681" s="277"/>
      <c r="T681" s="277"/>
      <c r="U681" s="277"/>
      <c r="V681" s="280"/>
      <c r="W681" s="277"/>
      <c r="X681" s="277"/>
      <c r="Y681" s="277"/>
      <c r="Z681" s="277"/>
      <c r="AA681" s="277"/>
      <c r="AB681" s="277"/>
      <c r="AC681" s="277"/>
      <c r="AD681" s="277"/>
      <c r="AE681" s="277"/>
      <c r="AF681" s="277"/>
    </row>
    <row r="682" ht="12.75" customHeight="1">
      <c r="A682" s="277"/>
      <c r="B682" s="278"/>
      <c r="C682" s="277"/>
      <c r="D682" s="278"/>
      <c r="E682" s="279"/>
      <c r="F682" s="277"/>
      <c r="G682" s="277"/>
      <c r="H682" s="277"/>
      <c r="I682" s="277"/>
      <c r="J682" s="277"/>
      <c r="K682" s="277"/>
      <c r="L682" s="277"/>
      <c r="M682" s="277"/>
      <c r="N682" s="277"/>
      <c r="O682" s="277"/>
      <c r="P682" s="277"/>
      <c r="Q682" s="277"/>
      <c r="R682" s="277"/>
      <c r="S682" s="277"/>
      <c r="T682" s="277"/>
      <c r="U682" s="277"/>
      <c r="V682" s="280"/>
      <c r="W682" s="277"/>
      <c r="X682" s="277"/>
      <c r="Y682" s="277"/>
      <c r="Z682" s="277"/>
      <c r="AA682" s="277"/>
      <c r="AB682" s="277"/>
      <c r="AC682" s="277"/>
      <c r="AD682" s="277"/>
      <c r="AE682" s="277"/>
      <c r="AF682" s="277"/>
    </row>
    <row r="683" ht="12.75" customHeight="1">
      <c r="A683" s="277"/>
      <c r="B683" s="278"/>
      <c r="C683" s="277"/>
      <c r="D683" s="278"/>
      <c r="E683" s="279"/>
      <c r="F683" s="277"/>
      <c r="G683" s="277"/>
      <c r="H683" s="277"/>
      <c r="I683" s="277"/>
      <c r="J683" s="277"/>
      <c r="K683" s="277"/>
      <c r="L683" s="277"/>
      <c r="M683" s="277"/>
      <c r="N683" s="277"/>
      <c r="O683" s="277"/>
      <c r="P683" s="277"/>
      <c r="Q683" s="277"/>
      <c r="R683" s="277"/>
      <c r="S683" s="277"/>
      <c r="T683" s="277"/>
      <c r="U683" s="277"/>
      <c r="V683" s="280"/>
      <c r="W683" s="277"/>
      <c r="X683" s="277"/>
      <c r="Y683" s="277"/>
      <c r="Z683" s="277"/>
      <c r="AA683" s="277"/>
      <c r="AB683" s="277"/>
      <c r="AC683" s="277"/>
      <c r="AD683" s="277"/>
      <c r="AE683" s="277"/>
      <c r="AF683" s="277"/>
    </row>
    <row r="684" ht="12.75" customHeight="1">
      <c r="A684" s="277"/>
      <c r="B684" s="278"/>
      <c r="C684" s="277"/>
      <c r="D684" s="278"/>
      <c r="E684" s="279"/>
      <c r="F684" s="277"/>
      <c r="G684" s="277"/>
      <c r="H684" s="277"/>
      <c r="I684" s="277"/>
      <c r="J684" s="277"/>
      <c r="K684" s="277"/>
      <c r="L684" s="277"/>
      <c r="M684" s="277"/>
      <c r="N684" s="277"/>
      <c r="O684" s="277"/>
      <c r="P684" s="277"/>
      <c r="Q684" s="277"/>
      <c r="R684" s="277"/>
      <c r="S684" s="277"/>
      <c r="T684" s="277"/>
      <c r="U684" s="277"/>
      <c r="V684" s="280"/>
      <c r="W684" s="277"/>
      <c r="X684" s="277"/>
      <c r="Y684" s="277"/>
      <c r="Z684" s="277"/>
      <c r="AA684" s="277"/>
      <c r="AB684" s="277"/>
      <c r="AC684" s="277"/>
      <c r="AD684" s="277"/>
      <c r="AE684" s="277"/>
      <c r="AF684" s="277"/>
    </row>
    <row r="685" ht="12.75" customHeight="1">
      <c r="A685" s="277"/>
      <c r="B685" s="278"/>
      <c r="C685" s="277"/>
      <c r="D685" s="278"/>
      <c r="E685" s="279"/>
      <c r="F685" s="277"/>
      <c r="G685" s="277"/>
      <c r="H685" s="277"/>
      <c r="I685" s="277"/>
      <c r="J685" s="277"/>
      <c r="K685" s="277"/>
      <c r="L685" s="277"/>
      <c r="M685" s="277"/>
      <c r="N685" s="277"/>
      <c r="O685" s="277"/>
      <c r="P685" s="277"/>
      <c r="Q685" s="277"/>
      <c r="R685" s="277"/>
      <c r="S685" s="277"/>
      <c r="T685" s="277"/>
      <c r="U685" s="277"/>
      <c r="V685" s="280"/>
      <c r="W685" s="277"/>
      <c r="X685" s="277"/>
      <c r="Y685" s="277"/>
      <c r="Z685" s="277"/>
      <c r="AA685" s="277"/>
      <c r="AB685" s="277"/>
      <c r="AC685" s="277"/>
      <c r="AD685" s="277"/>
      <c r="AE685" s="277"/>
      <c r="AF685" s="277"/>
    </row>
    <row r="686" ht="12.75" customHeight="1">
      <c r="A686" s="277"/>
      <c r="B686" s="278"/>
      <c r="C686" s="277"/>
      <c r="D686" s="278"/>
      <c r="E686" s="279"/>
      <c r="F686" s="277"/>
      <c r="G686" s="277"/>
      <c r="H686" s="277"/>
      <c r="I686" s="277"/>
      <c r="J686" s="277"/>
      <c r="K686" s="277"/>
      <c r="L686" s="277"/>
      <c r="M686" s="277"/>
      <c r="N686" s="277"/>
      <c r="O686" s="277"/>
      <c r="P686" s="277"/>
      <c r="Q686" s="277"/>
      <c r="R686" s="277"/>
      <c r="S686" s="277"/>
      <c r="T686" s="277"/>
      <c r="U686" s="277"/>
      <c r="V686" s="280"/>
      <c r="W686" s="277"/>
      <c r="X686" s="277"/>
      <c r="Y686" s="277"/>
      <c r="Z686" s="277"/>
      <c r="AA686" s="277"/>
      <c r="AB686" s="277"/>
      <c r="AC686" s="277"/>
      <c r="AD686" s="277"/>
      <c r="AE686" s="277"/>
      <c r="AF686" s="277"/>
    </row>
    <row r="687" ht="12.75" customHeight="1">
      <c r="A687" s="277"/>
      <c r="B687" s="278"/>
      <c r="C687" s="277"/>
      <c r="D687" s="278"/>
      <c r="E687" s="279"/>
      <c r="F687" s="277"/>
      <c r="G687" s="277"/>
      <c r="H687" s="277"/>
      <c r="I687" s="277"/>
      <c r="J687" s="277"/>
      <c r="K687" s="277"/>
      <c r="L687" s="277"/>
      <c r="M687" s="277"/>
      <c r="N687" s="277"/>
      <c r="O687" s="277"/>
      <c r="P687" s="277"/>
      <c r="Q687" s="277"/>
      <c r="R687" s="277"/>
      <c r="S687" s="277"/>
      <c r="T687" s="277"/>
      <c r="U687" s="277"/>
      <c r="V687" s="280"/>
      <c r="W687" s="277"/>
      <c r="X687" s="277"/>
      <c r="Y687" s="277"/>
      <c r="Z687" s="277"/>
      <c r="AA687" s="277"/>
      <c r="AB687" s="277"/>
      <c r="AC687" s="277"/>
      <c r="AD687" s="277"/>
      <c r="AE687" s="277"/>
      <c r="AF687" s="277"/>
    </row>
    <row r="688" ht="12.75" customHeight="1">
      <c r="A688" s="277"/>
      <c r="B688" s="278"/>
      <c r="C688" s="277"/>
      <c r="D688" s="278"/>
      <c r="E688" s="279"/>
      <c r="F688" s="277"/>
      <c r="G688" s="277"/>
      <c r="H688" s="277"/>
      <c r="I688" s="277"/>
      <c r="J688" s="277"/>
      <c r="K688" s="277"/>
      <c r="L688" s="277"/>
      <c r="M688" s="277"/>
      <c r="N688" s="277"/>
      <c r="O688" s="277"/>
      <c r="P688" s="277"/>
      <c r="Q688" s="277"/>
      <c r="R688" s="277"/>
      <c r="S688" s="277"/>
      <c r="T688" s="277"/>
      <c r="U688" s="277"/>
      <c r="V688" s="280"/>
      <c r="W688" s="277"/>
      <c r="X688" s="277"/>
      <c r="Y688" s="277"/>
      <c r="Z688" s="277"/>
      <c r="AA688" s="277"/>
      <c r="AB688" s="277"/>
      <c r="AC688" s="277"/>
      <c r="AD688" s="277"/>
      <c r="AE688" s="277"/>
      <c r="AF688" s="277"/>
    </row>
    <row r="689" ht="12.75" customHeight="1">
      <c r="A689" s="277"/>
      <c r="B689" s="278"/>
      <c r="C689" s="277"/>
      <c r="D689" s="278"/>
      <c r="E689" s="279"/>
      <c r="F689" s="277"/>
      <c r="G689" s="277"/>
      <c r="H689" s="277"/>
      <c r="I689" s="277"/>
      <c r="J689" s="277"/>
      <c r="K689" s="277"/>
      <c r="L689" s="277"/>
      <c r="M689" s="277"/>
      <c r="N689" s="277"/>
      <c r="O689" s="277"/>
      <c r="P689" s="277"/>
      <c r="Q689" s="277"/>
      <c r="R689" s="277"/>
      <c r="S689" s="277"/>
      <c r="T689" s="277"/>
      <c r="U689" s="277"/>
      <c r="V689" s="280"/>
      <c r="W689" s="277"/>
      <c r="X689" s="277"/>
      <c r="Y689" s="277"/>
      <c r="Z689" s="277"/>
      <c r="AA689" s="277"/>
      <c r="AB689" s="277"/>
      <c r="AC689" s="277"/>
      <c r="AD689" s="277"/>
      <c r="AE689" s="277"/>
      <c r="AF689" s="277"/>
    </row>
    <row r="690" ht="12.75" customHeight="1">
      <c r="A690" s="277"/>
      <c r="B690" s="278"/>
      <c r="C690" s="277"/>
      <c r="D690" s="278"/>
      <c r="E690" s="279"/>
      <c r="F690" s="277"/>
      <c r="G690" s="277"/>
      <c r="H690" s="277"/>
      <c r="I690" s="277"/>
      <c r="J690" s="277"/>
      <c r="K690" s="277"/>
      <c r="L690" s="277"/>
      <c r="M690" s="277"/>
      <c r="N690" s="277"/>
      <c r="O690" s="277"/>
      <c r="P690" s="277"/>
      <c r="Q690" s="277"/>
      <c r="R690" s="277"/>
      <c r="S690" s="277"/>
      <c r="T690" s="277"/>
      <c r="U690" s="277"/>
      <c r="V690" s="280"/>
      <c r="W690" s="277"/>
      <c r="X690" s="277"/>
      <c r="Y690" s="277"/>
      <c r="Z690" s="277"/>
      <c r="AA690" s="277"/>
      <c r="AB690" s="277"/>
      <c r="AC690" s="277"/>
      <c r="AD690" s="277"/>
      <c r="AE690" s="277"/>
      <c r="AF690" s="277"/>
    </row>
    <row r="691" ht="12.75" customHeight="1">
      <c r="A691" s="277"/>
      <c r="B691" s="278"/>
      <c r="C691" s="277"/>
      <c r="D691" s="278"/>
      <c r="E691" s="279"/>
      <c r="F691" s="277"/>
      <c r="G691" s="277"/>
      <c r="H691" s="277"/>
      <c r="I691" s="277"/>
      <c r="J691" s="277"/>
      <c r="K691" s="277"/>
      <c r="L691" s="277"/>
      <c r="M691" s="277"/>
      <c r="N691" s="277"/>
      <c r="O691" s="277"/>
      <c r="P691" s="277"/>
      <c r="Q691" s="277"/>
      <c r="R691" s="277"/>
      <c r="S691" s="277"/>
      <c r="T691" s="277"/>
      <c r="U691" s="277"/>
      <c r="V691" s="280"/>
      <c r="W691" s="277"/>
      <c r="X691" s="277"/>
      <c r="Y691" s="277"/>
      <c r="Z691" s="277"/>
      <c r="AA691" s="277"/>
      <c r="AB691" s="277"/>
      <c r="AC691" s="277"/>
      <c r="AD691" s="277"/>
      <c r="AE691" s="277"/>
      <c r="AF691" s="277"/>
    </row>
    <row r="692" ht="12.75" customHeight="1">
      <c r="A692" s="277"/>
      <c r="B692" s="278"/>
      <c r="C692" s="277"/>
      <c r="D692" s="278"/>
      <c r="E692" s="279"/>
      <c r="F692" s="277"/>
      <c r="G692" s="277"/>
      <c r="H692" s="277"/>
      <c r="I692" s="277"/>
      <c r="J692" s="277"/>
      <c r="K692" s="277"/>
      <c r="L692" s="277"/>
      <c r="M692" s="277"/>
      <c r="N692" s="277"/>
      <c r="O692" s="277"/>
      <c r="P692" s="277"/>
      <c r="Q692" s="277"/>
      <c r="R692" s="277"/>
      <c r="S692" s="277"/>
      <c r="T692" s="277"/>
      <c r="U692" s="277"/>
      <c r="V692" s="280"/>
      <c r="W692" s="277"/>
      <c r="X692" s="277"/>
      <c r="Y692" s="277"/>
      <c r="Z692" s="277"/>
      <c r="AA692" s="277"/>
      <c r="AB692" s="277"/>
      <c r="AC692" s="277"/>
      <c r="AD692" s="277"/>
      <c r="AE692" s="277"/>
      <c r="AF692" s="277"/>
    </row>
    <row r="693" ht="12.75" customHeight="1">
      <c r="A693" s="277"/>
      <c r="B693" s="278"/>
      <c r="C693" s="277"/>
      <c r="D693" s="278"/>
      <c r="E693" s="279"/>
      <c r="F693" s="277"/>
      <c r="G693" s="277"/>
      <c r="H693" s="277"/>
      <c r="I693" s="277"/>
      <c r="J693" s="277"/>
      <c r="K693" s="277"/>
      <c r="L693" s="277"/>
      <c r="M693" s="277"/>
      <c r="N693" s="277"/>
      <c r="O693" s="277"/>
      <c r="P693" s="277"/>
      <c r="Q693" s="277"/>
      <c r="R693" s="277"/>
      <c r="S693" s="277"/>
      <c r="T693" s="277"/>
      <c r="U693" s="277"/>
      <c r="V693" s="280"/>
      <c r="W693" s="277"/>
      <c r="X693" s="277"/>
      <c r="Y693" s="277"/>
      <c r="Z693" s="277"/>
      <c r="AA693" s="277"/>
      <c r="AB693" s="277"/>
      <c r="AC693" s="277"/>
      <c r="AD693" s="277"/>
      <c r="AE693" s="277"/>
      <c r="AF693" s="277"/>
    </row>
    <row r="694" ht="12.75" customHeight="1">
      <c r="A694" s="277"/>
      <c r="B694" s="278"/>
      <c r="C694" s="277"/>
      <c r="D694" s="278"/>
      <c r="E694" s="279"/>
      <c r="F694" s="277"/>
      <c r="G694" s="277"/>
      <c r="H694" s="277"/>
      <c r="I694" s="277"/>
      <c r="J694" s="277"/>
      <c r="K694" s="277"/>
      <c r="L694" s="277"/>
      <c r="M694" s="277"/>
      <c r="N694" s="277"/>
      <c r="O694" s="277"/>
      <c r="P694" s="277"/>
      <c r="Q694" s="277"/>
      <c r="R694" s="277"/>
      <c r="S694" s="277"/>
      <c r="T694" s="277"/>
      <c r="U694" s="277"/>
      <c r="V694" s="280"/>
      <c r="W694" s="277"/>
      <c r="X694" s="277"/>
      <c r="Y694" s="277"/>
      <c r="Z694" s="277"/>
      <c r="AA694" s="277"/>
      <c r="AB694" s="277"/>
      <c r="AC694" s="277"/>
      <c r="AD694" s="277"/>
      <c r="AE694" s="277"/>
      <c r="AF694" s="277"/>
    </row>
    <row r="695" ht="12.75" customHeight="1">
      <c r="A695" s="277"/>
      <c r="B695" s="278"/>
      <c r="C695" s="277"/>
      <c r="D695" s="278"/>
      <c r="E695" s="279"/>
      <c r="F695" s="277"/>
      <c r="G695" s="277"/>
      <c r="H695" s="277"/>
      <c r="I695" s="277"/>
      <c r="J695" s="277"/>
      <c r="K695" s="277"/>
      <c r="L695" s="277"/>
      <c r="M695" s="277"/>
      <c r="N695" s="277"/>
      <c r="O695" s="277"/>
      <c r="P695" s="277"/>
      <c r="Q695" s="277"/>
      <c r="R695" s="277"/>
      <c r="S695" s="277"/>
      <c r="T695" s="277"/>
      <c r="U695" s="277"/>
      <c r="V695" s="280"/>
      <c r="W695" s="277"/>
      <c r="X695" s="277"/>
      <c r="Y695" s="277"/>
      <c r="Z695" s="277"/>
      <c r="AA695" s="277"/>
      <c r="AB695" s="277"/>
      <c r="AC695" s="277"/>
      <c r="AD695" s="277"/>
      <c r="AE695" s="277"/>
      <c r="AF695" s="277"/>
    </row>
    <row r="696" ht="12.75" customHeight="1">
      <c r="A696" s="277"/>
      <c r="B696" s="278"/>
      <c r="C696" s="277"/>
      <c r="D696" s="278"/>
      <c r="E696" s="279"/>
      <c r="F696" s="277"/>
      <c r="G696" s="277"/>
      <c r="H696" s="277"/>
      <c r="I696" s="277"/>
      <c r="J696" s="277"/>
      <c r="K696" s="277"/>
      <c r="L696" s="277"/>
      <c r="M696" s="277"/>
      <c r="N696" s="277"/>
      <c r="O696" s="277"/>
      <c r="P696" s="277"/>
      <c r="Q696" s="277"/>
      <c r="R696" s="277"/>
      <c r="S696" s="277"/>
      <c r="T696" s="277"/>
      <c r="U696" s="277"/>
      <c r="V696" s="280"/>
      <c r="W696" s="277"/>
      <c r="X696" s="277"/>
      <c r="Y696" s="277"/>
      <c r="Z696" s="277"/>
      <c r="AA696" s="277"/>
      <c r="AB696" s="277"/>
      <c r="AC696" s="277"/>
      <c r="AD696" s="277"/>
      <c r="AE696" s="277"/>
      <c r="AF696" s="277"/>
    </row>
    <row r="697" ht="12.75" customHeight="1">
      <c r="A697" s="277"/>
      <c r="B697" s="278"/>
      <c r="C697" s="277"/>
      <c r="D697" s="278"/>
      <c r="E697" s="279"/>
      <c r="F697" s="277"/>
      <c r="G697" s="277"/>
      <c r="H697" s="277"/>
      <c r="I697" s="277"/>
      <c r="J697" s="277"/>
      <c r="K697" s="277"/>
      <c r="L697" s="277"/>
      <c r="M697" s="277"/>
      <c r="N697" s="277"/>
      <c r="O697" s="277"/>
      <c r="P697" s="277"/>
      <c r="Q697" s="277"/>
      <c r="R697" s="277"/>
      <c r="S697" s="277"/>
      <c r="T697" s="277"/>
      <c r="U697" s="277"/>
      <c r="V697" s="280"/>
      <c r="W697" s="277"/>
      <c r="X697" s="277"/>
      <c r="Y697" s="277"/>
      <c r="Z697" s="277"/>
      <c r="AA697" s="277"/>
      <c r="AB697" s="277"/>
      <c r="AC697" s="277"/>
      <c r="AD697" s="277"/>
      <c r="AE697" s="277"/>
      <c r="AF697" s="277"/>
    </row>
    <row r="698" ht="12.75" customHeight="1">
      <c r="A698" s="277"/>
      <c r="B698" s="278"/>
      <c r="C698" s="277"/>
      <c r="D698" s="278"/>
      <c r="E698" s="279"/>
      <c r="F698" s="277"/>
      <c r="G698" s="277"/>
      <c r="H698" s="277"/>
      <c r="I698" s="277"/>
      <c r="J698" s="277"/>
      <c r="K698" s="277"/>
      <c r="L698" s="277"/>
      <c r="M698" s="277"/>
      <c r="N698" s="277"/>
      <c r="O698" s="277"/>
      <c r="P698" s="277"/>
      <c r="Q698" s="277"/>
      <c r="R698" s="277"/>
      <c r="S698" s="277"/>
      <c r="T698" s="277"/>
      <c r="U698" s="277"/>
      <c r="V698" s="280"/>
      <c r="W698" s="277"/>
      <c r="X698" s="277"/>
      <c r="Y698" s="277"/>
      <c r="Z698" s="277"/>
      <c r="AA698" s="277"/>
      <c r="AB698" s="277"/>
      <c r="AC698" s="277"/>
      <c r="AD698" s="277"/>
      <c r="AE698" s="277"/>
      <c r="AF698" s="277"/>
    </row>
    <row r="699" ht="12.75" customHeight="1">
      <c r="A699" s="277"/>
      <c r="B699" s="278"/>
      <c r="C699" s="277"/>
      <c r="D699" s="278"/>
      <c r="E699" s="279"/>
      <c r="F699" s="277"/>
      <c r="G699" s="277"/>
      <c r="H699" s="277"/>
      <c r="I699" s="277"/>
      <c r="J699" s="277"/>
      <c r="K699" s="277"/>
      <c r="L699" s="277"/>
      <c r="M699" s="277"/>
      <c r="N699" s="277"/>
      <c r="O699" s="277"/>
      <c r="P699" s="277"/>
      <c r="Q699" s="277"/>
      <c r="R699" s="277"/>
      <c r="S699" s="277"/>
      <c r="T699" s="277"/>
      <c r="U699" s="277"/>
      <c r="V699" s="280"/>
      <c r="W699" s="277"/>
      <c r="X699" s="277"/>
      <c r="Y699" s="277"/>
      <c r="Z699" s="277"/>
      <c r="AA699" s="277"/>
      <c r="AB699" s="277"/>
      <c r="AC699" s="277"/>
      <c r="AD699" s="277"/>
      <c r="AE699" s="277"/>
      <c r="AF699" s="277"/>
    </row>
    <row r="700" ht="12.75" customHeight="1">
      <c r="A700" s="277"/>
      <c r="B700" s="278"/>
      <c r="C700" s="277"/>
      <c r="D700" s="278"/>
      <c r="E700" s="279"/>
      <c r="F700" s="277"/>
      <c r="G700" s="277"/>
      <c r="H700" s="277"/>
      <c r="I700" s="277"/>
      <c r="J700" s="277"/>
      <c r="K700" s="277"/>
      <c r="L700" s="277"/>
      <c r="M700" s="277"/>
      <c r="N700" s="277"/>
      <c r="O700" s="277"/>
      <c r="P700" s="277"/>
      <c r="Q700" s="277"/>
      <c r="R700" s="277"/>
      <c r="S700" s="277"/>
      <c r="T700" s="277"/>
      <c r="U700" s="277"/>
      <c r="V700" s="280"/>
      <c r="W700" s="277"/>
      <c r="X700" s="277"/>
      <c r="Y700" s="277"/>
      <c r="Z700" s="277"/>
      <c r="AA700" s="277"/>
      <c r="AB700" s="277"/>
      <c r="AC700" s="277"/>
      <c r="AD700" s="277"/>
      <c r="AE700" s="277"/>
      <c r="AF700" s="277"/>
    </row>
    <row r="701" ht="12.75" customHeight="1">
      <c r="A701" s="277"/>
      <c r="B701" s="278"/>
      <c r="C701" s="277"/>
      <c r="D701" s="278"/>
      <c r="E701" s="279"/>
      <c r="F701" s="277"/>
      <c r="G701" s="277"/>
      <c r="H701" s="277"/>
      <c r="I701" s="277"/>
      <c r="J701" s="277"/>
      <c r="K701" s="277"/>
      <c r="L701" s="277"/>
      <c r="M701" s="277"/>
      <c r="N701" s="277"/>
      <c r="O701" s="277"/>
      <c r="P701" s="277"/>
      <c r="Q701" s="277"/>
      <c r="R701" s="277"/>
      <c r="S701" s="277"/>
      <c r="T701" s="277"/>
      <c r="U701" s="277"/>
      <c r="V701" s="280"/>
      <c r="W701" s="277"/>
      <c r="X701" s="277"/>
      <c r="Y701" s="277"/>
      <c r="Z701" s="277"/>
      <c r="AA701" s="277"/>
      <c r="AB701" s="277"/>
      <c r="AC701" s="277"/>
      <c r="AD701" s="277"/>
      <c r="AE701" s="277"/>
      <c r="AF701" s="277"/>
    </row>
    <row r="702" ht="12.75" customHeight="1">
      <c r="A702" s="277"/>
      <c r="B702" s="278"/>
      <c r="C702" s="277"/>
      <c r="D702" s="278"/>
      <c r="E702" s="279"/>
      <c r="F702" s="277"/>
      <c r="G702" s="277"/>
      <c r="H702" s="277"/>
      <c r="I702" s="277"/>
      <c r="J702" s="277"/>
      <c r="K702" s="277"/>
      <c r="L702" s="277"/>
      <c r="M702" s="277"/>
      <c r="N702" s="277"/>
      <c r="O702" s="277"/>
      <c r="P702" s="277"/>
      <c r="Q702" s="277"/>
      <c r="R702" s="277"/>
      <c r="S702" s="277"/>
      <c r="T702" s="277"/>
      <c r="U702" s="277"/>
      <c r="V702" s="280"/>
      <c r="W702" s="277"/>
      <c r="X702" s="277"/>
      <c r="Y702" s="277"/>
      <c r="Z702" s="277"/>
      <c r="AA702" s="277"/>
      <c r="AB702" s="277"/>
      <c r="AC702" s="277"/>
      <c r="AD702" s="277"/>
      <c r="AE702" s="277"/>
      <c r="AF702" s="277"/>
    </row>
    <row r="703" ht="12.75" customHeight="1">
      <c r="A703" s="277"/>
      <c r="B703" s="278"/>
      <c r="C703" s="277"/>
      <c r="D703" s="278"/>
      <c r="E703" s="279"/>
      <c r="F703" s="277"/>
      <c r="G703" s="277"/>
      <c r="H703" s="277"/>
      <c r="I703" s="277"/>
      <c r="J703" s="277"/>
      <c r="K703" s="277"/>
      <c r="L703" s="277"/>
      <c r="M703" s="277"/>
      <c r="N703" s="277"/>
      <c r="O703" s="277"/>
      <c r="P703" s="277"/>
      <c r="Q703" s="277"/>
      <c r="R703" s="277"/>
      <c r="S703" s="277"/>
      <c r="T703" s="277"/>
      <c r="U703" s="277"/>
      <c r="V703" s="280"/>
      <c r="W703" s="277"/>
      <c r="X703" s="277"/>
      <c r="Y703" s="277"/>
      <c r="Z703" s="277"/>
      <c r="AA703" s="277"/>
      <c r="AB703" s="277"/>
      <c r="AC703" s="277"/>
      <c r="AD703" s="277"/>
      <c r="AE703" s="277"/>
      <c r="AF703" s="277"/>
    </row>
    <row r="704" ht="12.75" customHeight="1">
      <c r="A704" s="277"/>
      <c r="B704" s="278"/>
      <c r="C704" s="277"/>
      <c r="D704" s="278"/>
      <c r="E704" s="279"/>
      <c r="F704" s="277"/>
      <c r="G704" s="277"/>
      <c r="H704" s="277"/>
      <c r="I704" s="277"/>
      <c r="J704" s="277"/>
      <c r="K704" s="277"/>
      <c r="L704" s="277"/>
      <c r="M704" s="277"/>
      <c r="N704" s="277"/>
      <c r="O704" s="277"/>
      <c r="P704" s="277"/>
      <c r="Q704" s="277"/>
      <c r="R704" s="277"/>
      <c r="S704" s="277"/>
      <c r="T704" s="277"/>
      <c r="U704" s="277"/>
      <c r="V704" s="280"/>
      <c r="W704" s="277"/>
      <c r="X704" s="277"/>
      <c r="Y704" s="277"/>
      <c r="Z704" s="277"/>
      <c r="AA704" s="277"/>
      <c r="AB704" s="277"/>
      <c r="AC704" s="277"/>
      <c r="AD704" s="277"/>
      <c r="AE704" s="277"/>
      <c r="AF704" s="277"/>
    </row>
    <row r="705" ht="12.75" customHeight="1">
      <c r="A705" s="277"/>
      <c r="B705" s="278"/>
      <c r="C705" s="277"/>
      <c r="D705" s="278"/>
      <c r="E705" s="279"/>
      <c r="F705" s="277"/>
      <c r="G705" s="277"/>
      <c r="H705" s="277"/>
      <c r="I705" s="277"/>
      <c r="J705" s="277"/>
      <c r="K705" s="277"/>
      <c r="L705" s="277"/>
      <c r="M705" s="277"/>
      <c r="N705" s="277"/>
      <c r="O705" s="277"/>
      <c r="P705" s="277"/>
      <c r="Q705" s="277"/>
      <c r="R705" s="277"/>
      <c r="S705" s="277"/>
      <c r="T705" s="277"/>
      <c r="U705" s="277"/>
      <c r="V705" s="280"/>
      <c r="W705" s="277"/>
      <c r="X705" s="277"/>
      <c r="Y705" s="277"/>
      <c r="Z705" s="277"/>
      <c r="AA705" s="277"/>
      <c r="AB705" s="277"/>
      <c r="AC705" s="277"/>
      <c r="AD705" s="277"/>
      <c r="AE705" s="277"/>
      <c r="AF705" s="277"/>
    </row>
    <row r="706" ht="12.75" customHeight="1">
      <c r="A706" s="277"/>
      <c r="B706" s="278"/>
      <c r="C706" s="277"/>
      <c r="D706" s="278"/>
      <c r="E706" s="279"/>
      <c r="F706" s="277"/>
      <c r="G706" s="277"/>
      <c r="H706" s="277"/>
      <c r="I706" s="277"/>
      <c r="J706" s="277"/>
      <c r="K706" s="277"/>
      <c r="L706" s="277"/>
      <c r="M706" s="277"/>
      <c r="N706" s="277"/>
      <c r="O706" s="277"/>
      <c r="P706" s="277"/>
      <c r="Q706" s="277"/>
      <c r="R706" s="277"/>
      <c r="S706" s="277"/>
      <c r="T706" s="277"/>
      <c r="U706" s="277"/>
      <c r="V706" s="280"/>
      <c r="W706" s="277"/>
      <c r="X706" s="277"/>
      <c r="Y706" s="277"/>
      <c r="Z706" s="277"/>
      <c r="AA706" s="277"/>
      <c r="AB706" s="277"/>
      <c r="AC706" s="277"/>
      <c r="AD706" s="277"/>
      <c r="AE706" s="277"/>
      <c r="AF706" s="277"/>
    </row>
    <row r="707" ht="12.75" customHeight="1">
      <c r="A707" s="277"/>
      <c r="B707" s="278"/>
      <c r="C707" s="277"/>
      <c r="D707" s="278"/>
      <c r="E707" s="279"/>
      <c r="F707" s="277"/>
      <c r="G707" s="277"/>
      <c r="H707" s="277"/>
      <c r="I707" s="277"/>
      <c r="J707" s="277"/>
      <c r="K707" s="277"/>
      <c r="L707" s="277"/>
      <c r="M707" s="277"/>
      <c r="N707" s="277"/>
      <c r="O707" s="277"/>
      <c r="P707" s="277"/>
      <c r="Q707" s="277"/>
      <c r="R707" s="277"/>
      <c r="S707" s="277"/>
      <c r="T707" s="277"/>
      <c r="U707" s="277"/>
      <c r="V707" s="280"/>
      <c r="W707" s="277"/>
      <c r="X707" s="277"/>
      <c r="Y707" s="277"/>
      <c r="Z707" s="277"/>
      <c r="AA707" s="277"/>
      <c r="AB707" s="277"/>
      <c r="AC707" s="277"/>
      <c r="AD707" s="277"/>
      <c r="AE707" s="277"/>
      <c r="AF707" s="277"/>
    </row>
    <row r="708" ht="12.75" customHeight="1">
      <c r="A708" s="277"/>
      <c r="B708" s="278"/>
      <c r="C708" s="277"/>
      <c r="D708" s="278"/>
      <c r="E708" s="279"/>
      <c r="F708" s="277"/>
      <c r="G708" s="277"/>
      <c r="H708" s="277"/>
      <c r="I708" s="277"/>
      <c r="J708" s="277"/>
      <c r="K708" s="277"/>
      <c r="L708" s="277"/>
      <c r="M708" s="277"/>
      <c r="N708" s="277"/>
      <c r="O708" s="277"/>
      <c r="P708" s="277"/>
      <c r="Q708" s="277"/>
      <c r="R708" s="277"/>
      <c r="S708" s="277"/>
      <c r="T708" s="277"/>
      <c r="U708" s="277"/>
      <c r="V708" s="280"/>
      <c r="W708" s="277"/>
      <c r="X708" s="277"/>
      <c r="Y708" s="277"/>
      <c r="Z708" s="277"/>
      <c r="AA708" s="277"/>
      <c r="AB708" s="277"/>
      <c r="AC708" s="277"/>
      <c r="AD708" s="277"/>
      <c r="AE708" s="277"/>
      <c r="AF708" s="277"/>
    </row>
    <row r="709" ht="12.75" customHeight="1">
      <c r="A709" s="277"/>
      <c r="B709" s="278"/>
      <c r="C709" s="277"/>
      <c r="D709" s="278"/>
      <c r="E709" s="279"/>
      <c r="F709" s="277"/>
      <c r="G709" s="277"/>
      <c r="H709" s="277"/>
      <c r="I709" s="277"/>
      <c r="J709" s="277"/>
      <c r="K709" s="277"/>
      <c r="L709" s="277"/>
      <c r="M709" s="277"/>
      <c r="N709" s="277"/>
      <c r="O709" s="277"/>
      <c r="P709" s="277"/>
      <c r="Q709" s="277"/>
      <c r="R709" s="277"/>
      <c r="S709" s="277"/>
      <c r="T709" s="277"/>
      <c r="U709" s="277"/>
      <c r="V709" s="280"/>
      <c r="W709" s="277"/>
      <c r="X709" s="277"/>
      <c r="Y709" s="277"/>
      <c r="Z709" s="277"/>
      <c r="AA709" s="277"/>
      <c r="AB709" s="277"/>
      <c r="AC709" s="277"/>
      <c r="AD709" s="277"/>
      <c r="AE709" s="277"/>
      <c r="AF709" s="277"/>
    </row>
    <row r="710" ht="12.75" customHeight="1">
      <c r="A710" s="277"/>
      <c r="B710" s="278"/>
      <c r="C710" s="277"/>
      <c r="D710" s="278"/>
      <c r="E710" s="279"/>
      <c r="F710" s="277"/>
      <c r="G710" s="277"/>
      <c r="H710" s="277"/>
      <c r="I710" s="277"/>
      <c r="J710" s="277"/>
      <c r="K710" s="277"/>
      <c r="L710" s="277"/>
      <c r="M710" s="277"/>
      <c r="N710" s="277"/>
      <c r="O710" s="277"/>
      <c r="P710" s="277"/>
      <c r="Q710" s="277"/>
      <c r="R710" s="277"/>
      <c r="S710" s="277"/>
      <c r="T710" s="277"/>
      <c r="U710" s="277"/>
      <c r="V710" s="280"/>
      <c r="W710" s="277"/>
      <c r="X710" s="277"/>
      <c r="Y710" s="277"/>
      <c r="Z710" s="277"/>
      <c r="AA710" s="277"/>
      <c r="AB710" s="277"/>
      <c r="AC710" s="277"/>
      <c r="AD710" s="277"/>
      <c r="AE710" s="277"/>
      <c r="AF710" s="277"/>
    </row>
    <row r="711" ht="12.75" customHeight="1">
      <c r="A711" s="277"/>
      <c r="B711" s="278"/>
      <c r="C711" s="277"/>
      <c r="D711" s="278"/>
      <c r="E711" s="279"/>
      <c r="F711" s="277"/>
      <c r="G711" s="277"/>
      <c r="H711" s="277"/>
      <c r="I711" s="277"/>
      <c r="J711" s="277"/>
      <c r="K711" s="277"/>
      <c r="L711" s="277"/>
      <c r="M711" s="277"/>
      <c r="N711" s="277"/>
      <c r="O711" s="277"/>
      <c r="P711" s="277"/>
      <c r="Q711" s="277"/>
      <c r="R711" s="277"/>
      <c r="S711" s="277"/>
      <c r="T711" s="277"/>
      <c r="U711" s="277"/>
      <c r="V711" s="280"/>
      <c r="W711" s="277"/>
      <c r="X711" s="277"/>
      <c r="Y711" s="277"/>
      <c r="Z711" s="277"/>
      <c r="AA711" s="277"/>
      <c r="AB711" s="277"/>
      <c r="AC711" s="277"/>
      <c r="AD711" s="277"/>
      <c r="AE711" s="277"/>
      <c r="AF711" s="277"/>
    </row>
    <row r="712" ht="12.75" customHeight="1">
      <c r="A712" s="277"/>
      <c r="B712" s="278"/>
      <c r="C712" s="277"/>
      <c r="D712" s="278"/>
      <c r="E712" s="279"/>
      <c r="F712" s="277"/>
      <c r="G712" s="277"/>
      <c r="H712" s="277"/>
      <c r="I712" s="277"/>
      <c r="J712" s="277"/>
      <c r="K712" s="277"/>
      <c r="L712" s="277"/>
      <c r="M712" s="277"/>
      <c r="N712" s="277"/>
      <c r="O712" s="277"/>
      <c r="P712" s="277"/>
      <c r="Q712" s="277"/>
      <c r="R712" s="277"/>
      <c r="S712" s="277"/>
      <c r="T712" s="277"/>
      <c r="U712" s="277"/>
      <c r="V712" s="280"/>
      <c r="W712" s="277"/>
      <c r="X712" s="277"/>
      <c r="Y712" s="277"/>
      <c r="Z712" s="277"/>
      <c r="AA712" s="277"/>
      <c r="AB712" s="277"/>
      <c r="AC712" s="277"/>
      <c r="AD712" s="277"/>
      <c r="AE712" s="277"/>
      <c r="AF712" s="277"/>
    </row>
    <row r="713" ht="12.75" customHeight="1">
      <c r="A713" s="277"/>
      <c r="B713" s="278"/>
      <c r="C713" s="277"/>
      <c r="D713" s="278"/>
      <c r="E713" s="279"/>
      <c r="F713" s="277"/>
      <c r="G713" s="277"/>
      <c r="H713" s="277"/>
      <c r="I713" s="277"/>
      <c r="J713" s="277"/>
      <c r="K713" s="277"/>
      <c r="L713" s="277"/>
      <c r="M713" s="277"/>
      <c r="N713" s="277"/>
      <c r="O713" s="277"/>
      <c r="P713" s="277"/>
      <c r="Q713" s="277"/>
      <c r="R713" s="277"/>
      <c r="S713" s="277"/>
      <c r="T713" s="277"/>
      <c r="U713" s="277"/>
      <c r="V713" s="280"/>
      <c r="W713" s="277"/>
      <c r="X713" s="277"/>
      <c r="Y713" s="277"/>
      <c r="Z713" s="277"/>
      <c r="AA713" s="277"/>
      <c r="AB713" s="277"/>
      <c r="AC713" s="277"/>
      <c r="AD713" s="277"/>
      <c r="AE713" s="277"/>
      <c r="AF713" s="277"/>
    </row>
    <row r="714" ht="12.75" customHeight="1">
      <c r="A714" s="277"/>
      <c r="B714" s="278"/>
      <c r="C714" s="277"/>
      <c r="D714" s="278"/>
      <c r="E714" s="279"/>
      <c r="F714" s="277"/>
      <c r="G714" s="277"/>
      <c r="H714" s="277"/>
      <c r="I714" s="277"/>
      <c r="J714" s="277"/>
      <c r="K714" s="277"/>
      <c r="L714" s="277"/>
      <c r="M714" s="277"/>
      <c r="N714" s="277"/>
      <c r="O714" s="277"/>
      <c r="P714" s="277"/>
      <c r="Q714" s="277"/>
      <c r="R714" s="277"/>
      <c r="S714" s="277"/>
      <c r="T714" s="277"/>
      <c r="U714" s="277"/>
      <c r="V714" s="280"/>
      <c r="W714" s="277"/>
      <c r="X714" s="277"/>
      <c r="Y714" s="277"/>
      <c r="Z714" s="277"/>
      <c r="AA714" s="277"/>
      <c r="AB714" s="277"/>
      <c r="AC714" s="277"/>
      <c r="AD714" s="277"/>
      <c r="AE714" s="277"/>
      <c r="AF714" s="277"/>
    </row>
    <row r="715" ht="12.75" customHeight="1">
      <c r="A715" s="277"/>
      <c r="B715" s="278"/>
      <c r="C715" s="277"/>
      <c r="D715" s="278"/>
      <c r="E715" s="279"/>
      <c r="F715" s="277"/>
      <c r="G715" s="277"/>
      <c r="H715" s="277"/>
      <c r="I715" s="277"/>
      <c r="J715" s="277"/>
      <c r="K715" s="277"/>
      <c r="L715" s="277"/>
      <c r="M715" s="277"/>
      <c r="N715" s="277"/>
      <c r="O715" s="277"/>
      <c r="P715" s="277"/>
      <c r="Q715" s="277"/>
      <c r="R715" s="277"/>
      <c r="S715" s="277"/>
      <c r="T715" s="277"/>
      <c r="U715" s="277"/>
      <c r="V715" s="280"/>
      <c r="W715" s="277"/>
      <c r="X715" s="277"/>
      <c r="Y715" s="277"/>
      <c r="Z715" s="277"/>
      <c r="AA715" s="277"/>
      <c r="AB715" s="277"/>
      <c r="AC715" s="277"/>
      <c r="AD715" s="277"/>
      <c r="AE715" s="277"/>
      <c r="AF715" s="277"/>
    </row>
    <row r="716" ht="12.75" customHeight="1">
      <c r="A716" s="277"/>
      <c r="B716" s="278"/>
      <c r="C716" s="277"/>
      <c r="D716" s="278"/>
      <c r="E716" s="279"/>
      <c r="F716" s="277"/>
      <c r="G716" s="277"/>
      <c r="H716" s="277"/>
      <c r="I716" s="277"/>
      <c r="J716" s="277"/>
      <c r="K716" s="277"/>
      <c r="L716" s="277"/>
      <c r="M716" s="277"/>
      <c r="N716" s="277"/>
      <c r="O716" s="277"/>
      <c r="P716" s="277"/>
      <c r="Q716" s="277"/>
      <c r="R716" s="277"/>
      <c r="S716" s="277"/>
      <c r="T716" s="277"/>
      <c r="U716" s="277"/>
      <c r="V716" s="280"/>
      <c r="W716" s="277"/>
      <c r="X716" s="277"/>
      <c r="Y716" s="277"/>
      <c r="Z716" s="277"/>
      <c r="AA716" s="277"/>
      <c r="AB716" s="277"/>
      <c r="AC716" s="277"/>
      <c r="AD716" s="277"/>
      <c r="AE716" s="277"/>
      <c r="AF716" s="277"/>
    </row>
    <row r="717" ht="12.75" customHeight="1">
      <c r="A717" s="277"/>
      <c r="B717" s="278"/>
      <c r="C717" s="277"/>
      <c r="D717" s="278"/>
      <c r="E717" s="279"/>
      <c r="F717" s="277"/>
      <c r="G717" s="277"/>
      <c r="H717" s="277"/>
      <c r="I717" s="277"/>
      <c r="J717" s="277"/>
      <c r="K717" s="277"/>
      <c r="L717" s="277"/>
      <c r="M717" s="277"/>
      <c r="N717" s="277"/>
      <c r="O717" s="277"/>
      <c r="P717" s="277"/>
      <c r="Q717" s="277"/>
      <c r="R717" s="277"/>
      <c r="S717" s="277"/>
      <c r="T717" s="277"/>
      <c r="U717" s="277"/>
      <c r="V717" s="280"/>
      <c r="W717" s="277"/>
      <c r="X717" s="277"/>
      <c r="Y717" s="277"/>
      <c r="Z717" s="277"/>
      <c r="AA717" s="277"/>
      <c r="AB717" s="277"/>
      <c r="AC717" s="277"/>
      <c r="AD717" s="277"/>
      <c r="AE717" s="277"/>
      <c r="AF717" s="277"/>
    </row>
    <row r="718" ht="12.75" customHeight="1">
      <c r="A718" s="277"/>
      <c r="B718" s="278"/>
      <c r="C718" s="277"/>
      <c r="D718" s="278"/>
      <c r="E718" s="279"/>
      <c r="F718" s="277"/>
      <c r="G718" s="277"/>
      <c r="H718" s="277"/>
      <c r="I718" s="277"/>
      <c r="J718" s="277"/>
      <c r="K718" s="277"/>
      <c r="L718" s="277"/>
      <c r="M718" s="277"/>
      <c r="N718" s="277"/>
      <c r="O718" s="277"/>
      <c r="P718" s="277"/>
      <c r="Q718" s="277"/>
      <c r="R718" s="277"/>
      <c r="S718" s="277"/>
      <c r="T718" s="277"/>
      <c r="U718" s="277"/>
      <c r="V718" s="280"/>
      <c r="W718" s="277"/>
      <c r="X718" s="277"/>
      <c r="Y718" s="277"/>
      <c r="Z718" s="277"/>
      <c r="AA718" s="277"/>
      <c r="AB718" s="277"/>
      <c r="AC718" s="277"/>
      <c r="AD718" s="277"/>
      <c r="AE718" s="277"/>
      <c r="AF718" s="277"/>
    </row>
    <row r="719" ht="12.75" customHeight="1">
      <c r="A719" s="277"/>
      <c r="B719" s="278"/>
      <c r="C719" s="277"/>
      <c r="D719" s="278"/>
      <c r="E719" s="279"/>
      <c r="F719" s="277"/>
      <c r="G719" s="277"/>
      <c r="H719" s="277"/>
      <c r="I719" s="277"/>
      <c r="J719" s="277"/>
      <c r="K719" s="277"/>
      <c r="L719" s="277"/>
      <c r="M719" s="277"/>
      <c r="N719" s="277"/>
      <c r="O719" s="277"/>
      <c r="P719" s="277"/>
      <c r="Q719" s="277"/>
      <c r="R719" s="277"/>
      <c r="S719" s="277"/>
      <c r="T719" s="277"/>
      <c r="U719" s="277"/>
      <c r="V719" s="280"/>
      <c r="W719" s="277"/>
      <c r="X719" s="277"/>
      <c r="Y719" s="277"/>
      <c r="Z719" s="277"/>
      <c r="AA719" s="277"/>
      <c r="AB719" s="277"/>
      <c r="AC719" s="277"/>
      <c r="AD719" s="277"/>
      <c r="AE719" s="277"/>
      <c r="AF719" s="277"/>
    </row>
    <row r="720" ht="12.75" customHeight="1">
      <c r="A720" s="277"/>
      <c r="B720" s="278"/>
      <c r="C720" s="277"/>
      <c r="D720" s="278"/>
      <c r="E720" s="279"/>
      <c r="F720" s="277"/>
      <c r="G720" s="277"/>
      <c r="H720" s="277"/>
      <c r="I720" s="277"/>
      <c r="J720" s="277"/>
      <c r="K720" s="277"/>
      <c r="L720" s="277"/>
      <c r="M720" s="277"/>
      <c r="N720" s="277"/>
      <c r="O720" s="277"/>
      <c r="P720" s="277"/>
      <c r="Q720" s="277"/>
      <c r="R720" s="277"/>
      <c r="S720" s="277"/>
      <c r="T720" s="277"/>
      <c r="U720" s="277"/>
      <c r="V720" s="280"/>
      <c r="W720" s="277"/>
      <c r="X720" s="277"/>
      <c r="Y720" s="277"/>
      <c r="Z720" s="277"/>
      <c r="AA720" s="277"/>
      <c r="AB720" s="277"/>
      <c r="AC720" s="277"/>
      <c r="AD720" s="277"/>
      <c r="AE720" s="277"/>
      <c r="AF720" s="277"/>
    </row>
    <row r="721" ht="12.75" customHeight="1">
      <c r="A721" s="277"/>
      <c r="B721" s="278"/>
      <c r="C721" s="277"/>
      <c r="D721" s="278"/>
      <c r="E721" s="279"/>
      <c r="F721" s="277"/>
      <c r="G721" s="277"/>
      <c r="H721" s="277"/>
      <c r="I721" s="277"/>
      <c r="J721" s="277"/>
      <c r="K721" s="277"/>
      <c r="L721" s="277"/>
      <c r="M721" s="277"/>
      <c r="N721" s="277"/>
      <c r="O721" s="277"/>
      <c r="P721" s="277"/>
      <c r="Q721" s="277"/>
      <c r="R721" s="277"/>
      <c r="S721" s="277"/>
      <c r="T721" s="277"/>
      <c r="U721" s="277"/>
      <c r="V721" s="280"/>
      <c r="W721" s="277"/>
      <c r="X721" s="277"/>
      <c r="Y721" s="277"/>
      <c r="Z721" s="277"/>
      <c r="AA721" s="277"/>
      <c r="AB721" s="277"/>
      <c r="AC721" s="277"/>
      <c r="AD721" s="277"/>
      <c r="AE721" s="277"/>
      <c r="AF721" s="277"/>
    </row>
    <row r="722" ht="12.75" customHeight="1">
      <c r="A722" s="277"/>
      <c r="B722" s="278"/>
      <c r="C722" s="277"/>
      <c r="D722" s="278"/>
      <c r="E722" s="279"/>
      <c r="F722" s="277"/>
      <c r="G722" s="277"/>
      <c r="H722" s="277"/>
      <c r="I722" s="277"/>
      <c r="J722" s="277"/>
      <c r="K722" s="277"/>
      <c r="L722" s="277"/>
      <c r="M722" s="277"/>
      <c r="N722" s="277"/>
      <c r="O722" s="277"/>
      <c r="P722" s="277"/>
      <c r="Q722" s="277"/>
      <c r="R722" s="277"/>
      <c r="S722" s="277"/>
      <c r="T722" s="277"/>
      <c r="U722" s="277"/>
      <c r="V722" s="280"/>
      <c r="W722" s="277"/>
      <c r="X722" s="277"/>
      <c r="Y722" s="277"/>
      <c r="Z722" s="277"/>
      <c r="AA722" s="277"/>
      <c r="AB722" s="277"/>
      <c r="AC722" s="277"/>
      <c r="AD722" s="277"/>
      <c r="AE722" s="277"/>
      <c r="AF722" s="277"/>
    </row>
    <row r="723" ht="12.75" customHeight="1">
      <c r="A723" s="277"/>
      <c r="B723" s="278"/>
      <c r="C723" s="277"/>
      <c r="D723" s="278"/>
      <c r="E723" s="279"/>
      <c r="F723" s="277"/>
      <c r="G723" s="277"/>
      <c r="H723" s="277"/>
      <c r="I723" s="277"/>
      <c r="J723" s="277"/>
      <c r="K723" s="277"/>
      <c r="L723" s="277"/>
      <c r="M723" s="277"/>
      <c r="N723" s="277"/>
      <c r="O723" s="277"/>
      <c r="P723" s="277"/>
      <c r="Q723" s="277"/>
      <c r="R723" s="277"/>
      <c r="S723" s="277"/>
      <c r="T723" s="277"/>
      <c r="U723" s="277"/>
      <c r="V723" s="280"/>
      <c r="W723" s="277"/>
      <c r="X723" s="277"/>
      <c r="Y723" s="277"/>
      <c r="Z723" s="277"/>
      <c r="AA723" s="277"/>
      <c r="AB723" s="277"/>
      <c r="AC723" s="277"/>
      <c r="AD723" s="277"/>
      <c r="AE723" s="277"/>
      <c r="AF723" s="277"/>
    </row>
    <row r="724" ht="12.75" customHeight="1">
      <c r="A724" s="277"/>
      <c r="B724" s="278"/>
      <c r="C724" s="277"/>
      <c r="D724" s="278"/>
      <c r="E724" s="279"/>
      <c r="F724" s="277"/>
      <c r="G724" s="277"/>
      <c r="H724" s="277"/>
      <c r="I724" s="277"/>
      <c r="J724" s="277"/>
      <c r="K724" s="277"/>
      <c r="L724" s="277"/>
      <c r="M724" s="277"/>
      <c r="N724" s="277"/>
      <c r="O724" s="277"/>
      <c r="P724" s="277"/>
      <c r="Q724" s="277"/>
      <c r="R724" s="277"/>
      <c r="S724" s="277"/>
      <c r="T724" s="277"/>
      <c r="U724" s="277"/>
      <c r="V724" s="280"/>
      <c r="W724" s="277"/>
      <c r="X724" s="277"/>
      <c r="Y724" s="277"/>
      <c r="Z724" s="277"/>
      <c r="AA724" s="277"/>
      <c r="AB724" s="277"/>
      <c r="AC724" s="277"/>
      <c r="AD724" s="277"/>
      <c r="AE724" s="277"/>
      <c r="AF724" s="277"/>
    </row>
    <row r="725" ht="12.75" customHeight="1">
      <c r="A725" s="277"/>
      <c r="B725" s="278"/>
      <c r="C725" s="277"/>
      <c r="D725" s="278"/>
      <c r="E725" s="279"/>
      <c r="F725" s="277"/>
      <c r="G725" s="277"/>
      <c r="H725" s="277"/>
      <c r="I725" s="277"/>
      <c r="J725" s="277"/>
      <c r="K725" s="277"/>
      <c r="L725" s="277"/>
      <c r="M725" s="277"/>
      <c r="N725" s="277"/>
      <c r="O725" s="277"/>
      <c r="P725" s="277"/>
      <c r="Q725" s="277"/>
      <c r="R725" s="277"/>
      <c r="S725" s="277"/>
      <c r="T725" s="277"/>
      <c r="U725" s="277"/>
      <c r="V725" s="280"/>
      <c r="W725" s="277"/>
      <c r="X725" s="277"/>
      <c r="Y725" s="277"/>
      <c r="Z725" s="277"/>
      <c r="AA725" s="277"/>
      <c r="AB725" s="277"/>
      <c r="AC725" s="277"/>
      <c r="AD725" s="277"/>
      <c r="AE725" s="277"/>
      <c r="AF725" s="277"/>
    </row>
    <row r="726" ht="12.75" customHeight="1">
      <c r="A726" s="277"/>
      <c r="B726" s="278"/>
      <c r="C726" s="277"/>
      <c r="D726" s="278"/>
      <c r="E726" s="279"/>
      <c r="F726" s="277"/>
      <c r="G726" s="277"/>
      <c r="H726" s="277"/>
      <c r="I726" s="277"/>
      <c r="J726" s="277"/>
      <c r="K726" s="277"/>
      <c r="L726" s="277"/>
      <c r="M726" s="277"/>
      <c r="N726" s="277"/>
      <c r="O726" s="277"/>
      <c r="P726" s="277"/>
      <c r="Q726" s="277"/>
      <c r="R726" s="277"/>
      <c r="S726" s="277"/>
      <c r="T726" s="277"/>
      <c r="U726" s="277"/>
      <c r="V726" s="280"/>
      <c r="W726" s="277"/>
      <c r="X726" s="277"/>
      <c r="Y726" s="277"/>
      <c r="Z726" s="277"/>
      <c r="AA726" s="277"/>
      <c r="AB726" s="277"/>
      <c r="AC726" s="277"/>
      <c r="AD726" s="277"/>
      <c r="AE726" s="277"/>
      <c r="AF726" s="277"/>
    </row>
    <row r="727" ht="12.75" customHeight="1">
      <c r="A727" s="277"/>
      <c r="B727" s="278"/>
      <c r="C727" s="277"/>
      <c r="D727" s="278"/>
      <c r="E727" s="279"/>
      <c r="F727" s="277"/>
      <c r="G727" s="277"/>
      <c r="H727" s="277"/>
      <c r="I727" s="277"/>
      <c r="J727" s="277"/>
      <c r="K727" s="277"/>
      <c r="L727" s="277"/>
      <c r="M727" s="277"/>
      <c r="N727" s="277"/>
      <c r="O727" s="277"/>
      <c r="P727" s="277"/>
      <c r="Q727" s="277"/>
      <c r="R727" s="277"/>
      <c r="S727" s="277"/>
      <c r="T727" s="277"/>
      <c r="U727" s="277"/>
      <c r="V727" s="280"/>
      <c r="W727" s="277"/>
      <c r="X727" s="277"/>
      <c r="Y727" s="277"/>
      <c r="Z727" s="277"/>
      <c r="AA727" s="277"/>
      <c r="AB727" s="277"/>
      <c r="AC727" s="277"/>
      <c r="AD727" s="277"/>
      <c r="AE727" s="277"/>
      <c r="AF727" s="277"/>
    </row>
    <row r="728" ht="12.75" customHeight="1">
      <c r="A728" s="277"/>
      <c r="B728" s="278"/>
      <c r="C728" s="277"/>
      <c r="D728" s="278"/>
      <c r="E728" s="279"/>
      <c r="F728" s="277"/>
      <c r="G728" s="277"/>
      <c r="H728" s="277"/>
      <c r="I728" s="277"/>
      <c r="J728" s="277"/>
      <c r="K728" s="277"/>
      <c r="L728" s="277"/>
      <c r="M728" s="277"/>
      <c r="N728" s="277"/>
      <c r="O728" s="277"/>
      <c r="P728" s="277"/>
      <c r="Q728" s="277"/>
      <c r="R728" s="277"/>
      <c r="S728" s="277"/>
      <c r="T728" s="277"/>
      <c r="U728" s="277"/>
      <c r="V728" s="280"/>
      <c r="W728" s="277"/>
      <c r="X728" s="277"/>
      <c r="Y728" s="277"/>
      <c r="Z728" s="277"/>
      <c r="AA728" s="277"/>
      <c r="AB728" s="277"/>
      <c r="AC728" s="277"/>
      <c r="AD728" s="277"/>
      <c r="AE728" s="277"/>
      <c r="AF728" s="277"/>
    </row>
    <row r="729" ht="12.75" customHeight="1">
      <c r="A729" s="277"/>
      <c r="B729" s="278"/>
      <c r="C729" s="277"/>
      <c r="D729" s="278"/>
      <c r="E729" s="279"/>
      <c r="F729" s="277"/>
      <c r="G729" s="277"/>
      <c r="H729" s="277"/>
      <c r="I729" s="277"/>
      <c r="J729" s="277"/>
      <c r="K729" s="277"/>
      <c r="L729" s="277"/>
      <c r="M729" s="277"/>
      <c r="N729" s="277"/>
      <c r="O729" s="277"/>
      <c r="P729" s="277"/>
      <c r="Q729" s="277"/>
      <c r="R729" s="277"/>
      <c r="S729" s="277"/>
      <c r="T729" s="277"/>
      <c r="U729" s="277"/>
      <c r="V729" s="280"/>
      <c r="W729" s="277"/>
      <c r="X729" s="277"/>
      <c r="Y729" s="277"/>
      <c r="Z729" s="277"/>
      <c r="AA729" s="277"/>
      <c r="AB729" s="277"/>
      <c r="AC729" s="277"/>
      <c r="AD729" s="277"/>
      <c r="AE729" s="277"/>
      <c r="AF729" s="277"/>
    </row>
    <row r="730" ht="12.75" customHeight="1">
      <c r="A730" s="277"/>
      <c r="B730" s="278"/>
      <c r="C730" s="277"/>
      <c r="D730" s="278"/>
      <c r="E730" s="279"/>
      <c r="F730" s="277"/>
      <c r="G730" s="277"/>
      <c r="H730" s="277"/>
      <c r="I730" s="277"/>
      <c r="J730" s="277"/>
      <c r="K730" s="277"/>
      <c r="L730" s="277"/>
      <c r="M730" s="277"/>
      <c r="N730" s="277"/>
      <c r="O730" s="277"/>
      <c r="P730" s="277"/>
      <c r="Q730" s="277"/>
      <c r="R730" s="277"/>
      <c r="S730" s="277"/>
      <c r="T730" s="277"/>
      <c r="U730" s="277"/>
      <c r="V730" s="280"/>
      <c r="W730" s="277"/>
      <c r="X730" s="277"/>
      <c r="Y730" s="277"/>
      <c r="Z730" s="277"/>
      <c r="AA730" s="277"/>
      <c r="AB730" s="277"/>
      <c r="AC730" s="277"/>
      <c r="AD730" s="277"/>
      <c r="AE730" s="277"/>
      <c r="AF730" s="277"/>
    </row>
    <row r="731" ht="12.75" customHeight="1">
      <c r="A731" s="277"/>
      <c r="B731" s="278"/>
      <c r="C731" s="277"/>
      <c r="D731" s="278"/>
      <c r="E731" s="279"/>
      <c r="F731" s="277"/>
      <c r="G731" s="277"/>
      <c r="H731" s="277"/>
      <c r="I731" s="277"/>
      <c r="J731" s="277"/>
      <c r="K731" s="277"/>
      <c r="L731" s="277"/>
      <c r="M731" s="277"/>
      <c r="N731" s="277"/>
      <c r="O731" s="277"/>
      <c r="P731" s="277"/>
      <c r="Q731" s="277"/>
      <c r="R731" s="277"/>
      <c r="S731" s="277"/>
      <c r="T731" s="277"/>
      <c r="U731" s="277"/>
      <c r="V731" s="280"/>
      <c r="W731" s="277"/>
      <c r="X731" s="277"/>
      <c r="Y731" s="277"/>
      <c r="Z731" s="277"/>
      <c r="AA731" s="277"/>
      <c r="AB731" s="277"/>
      <c r="AC731" s="277"/>
      <c r="AD731" s="277"/>
      <c r="AE731" s="277"/>
      <c r="AF731" s="277"/>
    </row>
    <row r="732" ht="12.75" customHeight="1">
      <c r="A732" s="277"/>
      <c r="B732" s="278"/>
      <c r="C732" s="277"/>
      <c r="D732" s="278"/>
      <c r="E732" s="279"/>
      <c r="F732" s="277"/>
      <c r="G732" s="277"/>
      <c r="H732" s="277"/>
      <c r="I732" s="277"/>
      <c r="J732" s="277"/>
      <c r="K732" s="277"/>
      <c r="L732" s="277"/>
      <c r="M732" s="277"/>
      <c r="N732" s="277"/>
      <c r="O732" s="277"/>
      <c r="P732" s="277"/>
      <c r="Q732" s="277"/>
      <c r="R732" s="277"/>
      <c r="S732" s="277"/>
      <c r="T732" s="277"/>
      <c r="U732" s="277"/>
      <c r="V732" s="280"/>
      <c r="W732" s="277"/>
      <c r="X732" s="277"/>
      <c r="Y732" s="277"/>
      <c r="Z732" s="277"/>
      <c r="AA732" s="277"/>
      <c r="AB732" s="277"/>
      <c r="AC732" s="277"/>
      <c r="AD732" s="277"/>
      <c r="AE732" s="277"/>
      <c r="AF732" s="277"/>
    </row>
    <row r="733" ht="12.75" customHeight="1">
      <c r="A733" s="277"/>
      <c r="B733" s="278"/>
      <c r="C733" s="277"/>
      <c r="D733" s="278"/>
      <c r="E733" s="279"/>
      <c r="F733" s="277"/>
      <c r="G733" s="277"/>
      <c r="H733" s="277"/>
      <c r="I733" s="277"/>
      <c r="J733" s="277"/>
      <c r="K733" s="277"/>
      <c r="L733" s="277"/>
      <c r="M733" s="277"/>
      <c r="N733" s="277"/>
      <c r="O733" s="277"/>
      <c r="P733" s="277"/>
      <c r="Q733" s="277"/>
      <c r="R733" s="277"/>
      <c r="S733" s="277"/>
      <c r="T733" s="277"/>
      <c r="U733" s="277"/>
      <c r="V733" s="280"/>
      <c r="W733" s="277"/>
      <c r="X733" s="277"/>
      <c r="Y733" s="277"/>
      <c r="Z733" s="277"/>
      <c r="AA733" s="277"/>
      <c r="AB733" s="277"/>
      <c r="AC733" s="277"/>
      <c r="AD733" s="277"/>
      <c r="AE733" s="277"/>
      <c r="AF733" s="277"/>
    </row>
    <row r="734" ht="12.75" customHeight="1">
      <c r="A734" s="277"/>
      <c r="B734" s="278"/>
      <c r="C734" s="277"/>
      <c r="D734" s="278"/>
      <c r="E734" s="279"/>
      <c r="F734" s="277"/>
      <c r="G734" s="277"/>
      <c r="H734" s="277"/>
      <c r="I734" s="277"/>
      <c r="J734" s="277"/>
      <c r="K734" s="277"/>
      <c r="L734" s="277"/>
      <c r="M734" s="277"/>
      <c r="N734" s="277"/>
      <c r="O734" s="277"/>
      <c r="P734" s="277"/>
      <c r="Q734" s="277"/>
      <c r="R734" s="277"/>
      <c r="S734" s="277"/>
      <c r="T734" s="277"/>
      <c r="U734" s="277"/>
      <c r="V734" s="280"/>
      <c r="W734" s="277"/>
      <c r="X734" s="277"/>
      <c r="Y734" s="277"/>
      <c r="Z734" s="277"/>
      <c r="AA734" s="277"/>
      <c r="AB734" s="277"/>
      <c r="AC734" s="277"/>
      <c r="AD734" s="277"/>
      <c r="AE734" s="277"/>
      <c r="AF734" s="277"/>
    </row>
    <row r="735" ht="12.75" customHeight="1">
      <c r="A735" s="277"/>
      <c r="B735" s="278"/>
      <c r="C735" s="277"/>
      <c r="D735" s="278"/>
      <c r="E735" s="279"/>
      <c r="F735" s="277"/>
      <c r="G735" s="277"/>
      <c r="H735" s="277"/>
      <c r="I735" s="277"/>
      <c r="J735" s="277"/>
      <c r="K735" s="277"/>
      <c r="L735" s="277"/>
      <c r="M735" s="277"/>
      <c r="N735" s="277"/>
      <c r="O735" s="277"/>
      <c r="P735" s="277"/>
      <c r="Q735" s="277"/>
      <c r="R735" s="277"/>
      <c r="S735" s="277"/>
      <c r="T735" s="277"/>
      <c r="U735" s="277"/>
      <c r="V735" s="280"/>
      <c r="W735" s="277"/>
      <c r="X735" s="277"/>
      <c r="Y735" s="277"/>
      <c r="Z735" s="277"/>
      <c r="AA735" s="277"/>
      <c r="AB735" s="277"/>
      <c r="AC735" s="277"/>
      <c r="AD735" s="277"/>
      <c r="AE735" s="277"/>
      <c r="AF735" s="277"/>
    </row>
    <row r="736" ht="12.75" customHeight="1">
      <c r="A736" s="277"/>
      <c r="B736" s="278"/>
      <c r="C736" s="277"/>
      <c r="D736" s="278"/>
      <c r="E736" s="279"/>
      <c r="F736" s="277"/>
      <c r="G736" s="277"/>
      <c r="H736" s="277"/>
      <c r="I736" s="277"/>
      <c r="J736" s="277"/>
      <c r="K736" s="277"/>
      <c r="L736" s="277"/>
      <c r="M736" s="277"/>
      <c r="N736" s="277"/>
      <c r="O736" s="277"/>
      <c r="P736" s="277"/>
      <c r="Q736" s="277"/>
      <c r="R736" s="277"/>
      <c r="S736" s="277"/>
      <c r="T736" s="277"/>
      <c r="U736" s="277"/>
      <c r="V736" s="280"/>
      <c r="W736" s="277"/>
      <c r="X736" s="277"/>
      <c r="Y736" s="277"/>
      <c r="Z736" s="277"/>
      <c r="AA736" s="277"/>
      <c r="AB736" s="277"/>
      <c r="AC736" s="277"/>
      <c r="AD736" s="277"/>
      <c r="AE736" s="277"/>
      <c r="AF736" s="277"/>
    </row>
    <row r="737" ht="12.75" customHeight="1">
      <c r="A737" s="277"/>
      <c r="B737" s="278"/>
      <c r="C737" s="277"/>
      <c r="D737" s="278"/>
      <c r="E737" s="279"/>
      <c r="F737" s="277"/>
      <c r="G737" s="277"/>
      <c r="H737" s="277"/>
      <c r="I737" s="277"/>
      <c r="J737" s="277"/>
      <c r="K737" s="277"/>
      <c r="L737" s="277"/>
      <c r="M737" s="277"/>
      <c r="N737" s="277"/>
      <c r="O737" s="277"/>
      <c r="P737" s="277"/>
      <c r="Q737" s="277"/>
      <c r="R737" s="277"/>
      <c r="S737" s="277"/>
      <c r="T737" s="277"/>
      <c r="U737" s="277"/>
      <c r="V737" s="280"/>
      <c r="W737" s="277"/>
      <c r="X737" s="277"/>
      <c r="Y737" s="277"/>
      <c r="Z737" s="277"/>
      <c r="AA737" s="277"/>
      <c r="AB737" s="277"/>
      <c r="AC737" s="277"/>
      <c r="AD737" s="277"/>
      <c r="AE737" s="277"/>
      <c r="AF737" s="277"/>
    </row>
    <row r="738" ht="12.75" customHeight="1">
      <c r="A738" s="277"/>
      <c r="B738" s="278"/>
      <c r="C738" s="277"/>
      <c r="D738" s="278"/>
      <c r="E738" s="279"/>
      <c r="F738" s="277"/>
      <c r="G738" s="277"/>
      <c r="H738" s="277"/>
      <c r="I738" s="277"/>
      <c r="J738" s="277"/>
      <c r="K738" s="277"/>
      <c r="L738" s="277"/>
      <c r="M738" s="277"/>
      <c r="N738" s="277"/>
      <c r="O738" s="277"/>
      <c r="P738" s="277"/>
      <c r="Q738" s="277"/>
      <c r="R738" s="277"/>
      <c r="S738" s="277"/>
      <c r="T738" s="277"/>
      <c r="U738" s="277"/>
      <c r="V738" s="280"/>
      <c r="W738" s="277"/>
      <c r="X738" s="277"/>
      <c r="Y738" s="277"/>
      <c r="Z738" s="277"/>
      <c r="AA738" s="277"/>
      <c r="AB738" s="277"/>
      <c r="AC738" s="277"/>
      <c r="AD738" s="277"/>
      <c r="AE738" s="277"/>
      <c r="AF738" s="277"/>
    </row>
    <row r="739" ht="12.75" customHeight="1">
      <c r="A739" s="277"/>
      <c r="B739" s="278"/>
      <c r="C739" s="277"/>
      <c r="D739" s="278"/>
      <c r="E739" s="279"/>
      <c r="F739" s="277"/>
      <c r="G739" s="277"/>
      <c r="H739" s="277"/>
      <c r="I739" s="277"/>
      <c r="J739" s="277"/>
      <c r="K739" s="277"/>
      <c r="L739" s="277"/>
      <c r="M739" s="277"/>
      <c r="N739" s="277"/>
      <c r="O739" s="277"/>
      <c r="P739" s="277"/>
      <c r="Q739" s="277"/>
      <c r="R739" s="277"/>
      <c r="S739" s="277"/>
      <c r="T739" s="277"/>
      <c r="U739" s="277"/>
      <c r="V739" s="280"/>
      <c r="W739" s="277"/>
      <c r="X739" s="277"/>
      <c r="Y739" s="277"/>
      <c r="Z739" s="277"/>
      <c r="AA739" s="277"/>
      <c r="AB739" s="277"/>
      <c r="AC739" s="277"/>
      <c r="AD739" s="277"/>
      <c r="AE739" s="277"/>
      <c r="AF739" s="277"/>
    </row>
    <row r="740" ht="12.75" customHeight="1">
      <c r="A740" s="277"/>
      <c r="B740" s="278"/>
      <c r="C740" s="277"/>
      <c r="D740" s="278"/>
      <c r="E740" s="279"/>
      <c r="F740" s="277"/>
      <c r="G740" s="277"/>
      <c r="H740" s="277"/>
      <c r="I740" s="277"/>
      <c r="J740" s="277"/>
      <c r="K740" s="277"/>
      <c r="L740" s="277"/>
      <c r="M740" s="277"/>
      <c r="N740" s="277"/>
      <c r="O740" s="277"/>
      <c r="P740" s="277"/>
      <c r="Q740" s="277"/>
      <c r="R740" s="277"/>
      <c r="S740" s="277"/>
      <c r="T740" s="277"/>
      <c r="U740" s="277"/>
      <c r="V740" s="280"/>
      <c r="W740" s="277"/>
      <c r="X740" s="277"/>
      <c r="Y740" s="277"/>
      <c r="Z740" s="277"/>
      <c r="AA740" s="277"/>
      <c r="AB740" s="277"/>
      <c r="AC740" s="277"/>
      <c r="AD740" s="277"/>
      <c r="AE740" s="277"/>
      <c r="AF740" s="277"/>
    </row>
    <row r="741" ht="12.75" customHeight="1">
      <c r="A741" s="277"/>
      <c r="B741" s="278"/>
      <c r="C741" s="277"/>
      <c r="D741" s="278"/>
      <c r="E741" s="279"/>
      <c r="F741" s="277"/>
      <c r="G741" s="277"/>
      <c r="H741" s="277"/>
      <c r="I741" s="277"/>
      <c r="J741" s="277"/>
      <c r="K741" s="277"/>
      <c r="L741" s="277"/>
      <c r="M741" s="277"/>
      <c r="N741" s="277"/>
      <c r="O741" s="277"/>
      <c r="P741" s="277"/>
      <c r="Q741" s="277"/>
      <c r="R741" s="277"/>
      <c r="S741" s="277"/>
      <c r="T741" s="277"/>
      <c r="U741" s="277"/>
      <c r="V741" s="280"/>
      <c r="W741" s="277"/>
      <c r="X741" s="277"/>
      <c r="Y741" s="277"/>
      <c r="Z741" s="277"/>
      <c r="AA741" s="277"/>
      <c r="AB741" s="277"/>
      <c r="AC741" s="277"/>
      <c r="AD741" s="277"/>
      <c r="AE741" s="277"/>
      <c r="AF741" s="277"/>
    </row>
    <row r="742" ht="12.75" customHeight="1">
      <c r="A742" s="277"/>
      <c r="B742" s="278"/>
      <c r="C742" s="277"/>
      <c r="D742" s="278"/>
      <c r="E742" s="279"/>
      <c r="F742" s="277"/>
      <c r="G742" s="277"/>
      <c r="H742" s="277"/>
      <c r="I742" s="277"/>
      <c r="J742" s="277"/>
      <c r="K742" s="277"/>
      <c r="L742" s="277"/>
      <c r="M742" s="277"/>
      <c r="N742" s="277"/>
      <c r="O742" s="277"/>
      <c r="P742" s="277"/>
      <c r="Q742" s="277"/>
      <c r="R742" s="277"/>
      <c r="S742" s="277"/>
      <c r="T742" s="277"/>
      <c r="U742" s="277"/>
      <c r="V742" s="280"/>
      <c r="W742" s="277"/>
      <c r="X742" s="277"/>
      <c r="Y742" s="277"/>
      <c r="Z742" s="277"/>
      <c r="AA742" s="277"/>
      <c r="AB742" s="277"/>
      <c r="AC742" s="277"/>
      <c r="AD742" s="277"/>
      <c r="AE742" s="277"/>
      <c r="AF742" s="277"/>
    </row>
    <row r="743" ht="12.75" customHeight="1">
      <c r="A743" s="277"/>
      <c r="B743" s="278"/>
      <c r="C743" s="277"/>
      <c r="D743" s="278"/>
      <c r="E743" s="279"/>
      <c r="F743" s="277"/>
      <c r="G743" s="277"/>
      <c r="H743" s="277"/>
      <c r="I743" s="277"/>
      <c r="J743" s="277"/>
      <c r="K743" s="277"/>
      <c r="L743" s="277"/>
      <c r="M743" s="277"/>
      <c r="N743" s="277"/>
      <c r="O743" s="277"/>
      <c r="P743" s="277"/>
      <c r="Q743" s="277"/>
      <c r="R743" s="277"/>
      <c r="S743" s="277"/>
      <c r="T743" s="277"/>
      <c r="U743" s="277"/>
      <c r="V743" s="280"/>
      <c r="W743" s="277"/>
      <c r="X743" s="277"/>
      <c r="Y743" s="277"/>
      <c r="Z743" s="277"/>
      <c r="AA743" s="277"/>
      <c r="AB743" s="277"/>
      <c r="AC743" s="277"/>
      <c r="AD743" s="277"/>
      <c r="AE743" s="277"/>
      <c r="AF743" s="277"/>
    </row>
    <row r="744" ht="12.75" customHeight="1">
      <c r="A744" s="277"/>
      <c r="B744" s="278"/>
      <c r="C744" s="277"/>
      <c r="D744" s="278"/>
      <c r="E744" s="279"/>
      <c r="F744" s="277"/>
      <c r="G744" s="277"/>
      <c r="H744" s="277"/>
      <c r="I744" s="277"/>
      <c r="J744" s="277"/>
      <c r="K744" s="277"/>
      <c r="L744" s="277"/>
      <c r="M744" s="277"/>
      <c r="N744" s="277"/>
      <c r="O744" s="277"/>
      <c r="P744" s="277"/>
      <c r="Q744" s="277"/>
      <c r="R744" s="277"/>
      <c r="S744" s="277"/>
      <c r="T744" s="277"/>
      <c r="U744" s="277"/>
      <c r="V744" s="280"/>
      <c r="W744" s="277"/>
      <c r="X744" s="277"/>
      <c r="Y744" s="277"/>
      <c r="Z744" s="277"/>
      <c r="AA744" s="277"/>
      <c r="AB744" s="277"/>
      <c r="AC744" s="277"/>
      <c r="AD744" s="277"/>
      <c r="AE744" s="277"/>
      <c r="AF744" s="277"/>
    </row>
    <row r="745" ht="12.75" customHeight="1">
      <c r="A745" s="277"/>
      <c r="B745" s="278"/>
      <c r="C745" s="277"/>
      <c r="D745" s="278"/>
      <c r="E745" s="279"/>
      <c r="F745" s="277"/>
      <c r="G745" s="277"/>
      <c r="H745" s="277"/>
      <c r="I745" s="277"/>
      <c r="J745" s="277"/>
      <c r="K745" s="277"/>
      <c r="L745" s="277"/>
      <c r="M745" s="277"/>
      <c r="N745" s="277"/>
      <c r="O745" s="277"/>
      <c r="P745" s="277"/>
      <c r="Q745" s="277"/>
      <c r="R745" s="277"/>
      <c r="S745" s="277"/>
      <c r="T745" s="277"/>
      <c r="U745" s="277"/>
      <c r="V745" s="280"/>
      <c r="W745" s="277"/>
      <c r="X745" s="277"/>
      <c r="Y745" s="277"/>
      <c r="Z745" s="277"/>
      <c r="AA745" s="277"/>
      <c r="AB745" s="277"/>
      <c r="AC745" s="277"/>
      <c r="AD745" s="277"/>
      <c r="AE745" s="277"/>
      <c r="AF745" s="277"/>
    </row>
    <row r="746" ht="12.75" customHeight="1">
      <c r="A746" s="277"/>
      <c r="B746" s="278"/>
      <c r="C746" s="277"/>
      <c r="D746" s="278"/>
      <c r="E746" s="279"/>
      <c r="F746" s="277"/>
      <c r="G746" s="277"/>
      <c r="H746" s="277"/>
      <c r="I746" s="277"/>
      <c r="J746" s="277"/>
      <c r="K746" s="277"/>
      <c r="L746" s="277"/>
      <c r="M746" s="277"/>
      <c r="N746" s="277"/>
      <c r="O746" s="277"/>
      <c r="P746" s="277"/>
      <c r="Q746" s="277"/>
      <c r="R746" s="277"/>
      <c r="S746" s="277"/>
      <c r="T746" s="277"/>
      <c r="U746" s="277"/>
      <c r="V746" s="280"/>
      <c r="W746" s="277"/>
      <c r="X746" s="277"/>
      <c r="Y746" s="277"/>
      <c r="Z746" s="277"/>
      <c r="AA746" s="277"/>
      <c r="AB746" s="277"/>
      <c r="AC746" s="277"/>
      <c r="AD746" s="277"/>
      <c r="AE746" s="277"/>
      <c r="AF746" s="277"/>
    </row>
    <row r="747" ht="12.75" customHeight="1">
      <c r="A747" s="277"/>
      <c r="B747" s="278"/>
      <c r="C747" s="277"/>
      <c r="D747" s="278"/>
      <c r="E747" s="279"/>
      <c r="F747" s="277"/>
      <c r="G747" s="277"/>
      <c r="H747" s="277"/>
      <c r="I747" s="277"/>
      <c r="J747" s="277"/>
      <c r="K747" s="277"/>
      <c r="L747" s="277"/>
      <c r="M747" s="277"/>
      <c r="N747" s="277"/>
      <c r="O747" s="277"/>
      <c r="P747" s="277"/>
      <c r="Q747" s="277"/>
      <c r="R747" s="277"/>
      <c r="S747" s="277"/>
      <c r="T747" s="277"/>
      <c r="U747" s="277"/>
      <c r="V747" s="280"/>
      <c r="W747" s="277"/>
      <c r="X747" s="277"/>
      <c r="Y747" s="277"/>
      <c r="Z747" s="277"/>
      <c r="AA747" s="277"/>
      <c r="AB747" s="277"/>
      <c r="AC747" s="277"/>
      <c r="AD747" s="277"/>
      <c r="AE747" s="277"/>
      <c r="AF747" s="277"/>
    </row>
    <row r="748" ht="12.75" customHeight="1">
      <c r="A748" s="277"/>
      <c r="B748" s="278"/>
      <c r="C748" s="277"/>
      <c r="D748" s="278"/>
      <c r="E748" s="279"/>
      <c r="F748" s="277"/>
      <c r="G748" s="277"/>
      <c r="H748" s="277"/>
      <c r="I748" s="277"/>
      <c r="J748" s="277"/>
      <c r="K748" s="277"/>
      <c r="L748" s="277"/>
      <c r="M748" s="277"/>
      <c r="N748" s="277"/>
      <c r="O748" s="277"/>
      <c r="P748" s="277"/>
      <c r="Q748" s="277"/>
      <c r="R748" s="277"/>
      <c r="S748" s="277"/>
      <c r="T748" s="277"/>
      <c r="U748" s="277"/>
      <c r="V748" s="280"/>
      <c r="W748" s="277"/>
      <c r="X748" s="277"/>
      <c r="Y748" s="277"/>
      <c r="Z748" s="277"/>
      <c r="AA748" s="277"/>
      <c r="AB748" s="277"/>
      <c r="AC748" s="277"/>
      <c r="AD748" s="277"/>
      <c r="AE748" s="277"/>
      <c r="AF748" s="277"/>
    </row>
    <row r="749" ht="12.75" customHeight="1">
      <c r="A749" s="277"/>
      <c r="B749" s="278"/>
      <c r="C749" s="277"/>
      <c r="D749" s="278"/>
      <c r="E749" s="279"/>
      <c r="F749" s="277"/>
      <c r="G749" s="277"/>
      <c r="H749" s="277"/>
      <c r="I749" s="277"/>
      <c r="J749" s="277"/>
      <c r="K749" s="277"/>
      <c r="L749" s="277"/>
      <c r="M749" s="277"/>
      <c r="N749" s="277"/>
      <c r="O749" s="277"/>
      <c r="P749" s="277"/>
      <c r="Q749" s="277"/>
      <c r="R749" s="277"/>
      <c r="S749" s="277"/>
      <c r="T749" s="277"/>
      <c r="U749" s="277"/>
      <c r="V749" s="280"/>
      <c r="W749" s="277"/>
      <c r="X749" s="277"/>
      <c r="Y749" s="277"/>
      <c r="Z749" s="277"/>
      <c r="AA749" s="277"/>
      <c r="AB749" s="277"/>
      <c r="AC749" s="277"/>
      <c r="AD749" s="277"/>
      <c r="AE749" s="277"/>
      <c r="AF749" s="277"/>
    </row>
    <row r="750" ht="12.75" customHeight="1">
      <c r="A750" s="277"/>
      <c r="B750" s="278"/>
      <c r="C750" s="277"/>
      <c r="D750" s="278"/>
      <c r="E750" s="279"/>
      <c r="F750" s="277"/>
      <c r="G750" s="277"/>
      <c r="H750" s="277"/>
      <c r="I750" s="277"/>
      <c r="J750" s="277"/>
      <c r="K750" s="277"/>
      <c r="L750" s="277"/>
      <c r="M750" s="277"/>
      <c r="N750" s="277"/>
      <c r="O750" s="277"/>
      <c r="P750" s="277"/>
      <c r="Q750" s="277"/>
      <c r="R750" s="277"/>
      <c r="S750" s="277"/>
      <c r="T750" s="277"/>
      <c r="U750" s="277"/>
      <c r="V750" s="280"/>
      <c r="W750" s="277"/>
      <c r="X750" s="277"/>
      <c r="Y750" s="277"/>
      <c r="Z750" s="277"/>
      <c r="AA750" s="277"/>
      <c r="AB750" s="277"/>
      <c r="AC750" s="277"/>
      <c r="AD750" s="277"/>
      <c r="AE750" s="277"/>
      <c r="AF750" s="277"/>
    </row>
    <row r="751" ht="12.75" customHeight="1">
      <c r="A751" s="277"/>
      <c r="B751" s="278"/>
      <c r="C751" s="277"/>
      <c r="D751" s="278"/>
      <c r="E751" s="279"/>
      <c r="F751" s="277"/>
      <c r="G751" s="277"/>
      <c r="H751" s="277"/>
      <c r="I751" s="277"/>
      <c r="J751" s="277"/>
      <c r="K751" s="277"/>
      <c r="L751" s="277"/>
      <c r="M751" s="277"/>
      <c r="N751" s="277"/>
      <c r="O751" s="277"/>
      <c r="P751" s="277"/>
      <c r="Q751" s="277"/>
      <c r="R751" s="277"/>
      <c r="S751" s="277"/>
      <c r="T751" s="277"/>
      <c r="U751" s="277"/>
      <c r="V751" s="280"/>
      <c r="W751" s="277"/>
      <c r="X751" s="277"/>
      <c r="Y751" s="277"/>
      <c r="Z751" s="277"/>
      <c r="AA751" s="277"/>
      <c r="AB751" s="277"/>
      <c r="AC751" s="277"/>
      <c r="AD751" s="277"/>
      <c r="AE751" s="277"/>
      <c r="AF751" s="277"/>
    </row>
    <row r="752" ht="12.75" customHeight="1">
      <c r="A752" s="277"/>
      <c r="B752" s="278"/>
      <c r="C752" s="277"/>
      <c r="D752" s="278"/>
      <c r="E752" s="279"/>
      <c r="F752" s="277"/>
      <c r="G752" s="277"/>
      <c r="H752" s="277"/>
      <c r="I752" s="277"/>
      <c r="J752" s="277"/>
      <c r="K752" s="277"/>
      <c r="L752" s="277"/>
      <c r="M752" s="277"/>
      <c r="N752" s="277"/>
      <c r="O752" s="277"/>
      <c r="P752" s="277"/>
      <c r="Q752" s="277"/>
      <c r="R752" s="277"/>
      <c r="S752" s="277"/>
      <c r="T752" s="277"/>
      <c r="U752" s="277"/>
      <c r="V752" s="280"/>
      <c r="W752" s="277"/>
      <c r="X752" s="277"/>
      <c r="Y752" s="277"/>
      <c r="Z752" s="277"/>
      <c r="AA752" s="277"/>
      <c r="AB752" s="277"/>
      <c r="AC752" s="277"/>
      <c r="AD752" s="277"/>
      <c r="AE752" s="277"/>
      <c r="AF752" s="277"/>
    </row>
    <row r="753" ht="12.75" customHeight="1">
      <c r="A753" s="277"/>
      <c r="B753" s="278"/>
      <c r="C753" s="277"/>
      <c r="D753" s="278"/>
      <c r="E753" s="279"/>
      <c r="F753" s="277"/>
      <c r="G753" s="277"/>
      <c r="H753" s="277"/>
      <c r="I753" s="277"/>
      <c r="J753" s="277"/>
      <c r="K753" s="277"/>
      <c r="L753" s="277"/>
      <c r="M753" s="277"/>
      <c r="N753" s="277"/>
      <c r="O753" s="277"/>
      <c r="P753" s="277"/>
      <c r="Q753" s="277"/>
      <c r="R753" s="277"/>
      <c r="S753" s="277"/>
      <c r="T753" s="277"/>
      <c r="U753" s="277"/>
      <c r="V753" s="280"/>
      <c r="W753" s="277"/>
      <c r="X753" s="277"/>
      <c r="Y753" s="277"/>
      <c r="Z753" s="277"/>
      <c r="AA753" s="277"/>
      <c r="AB753" s="277"/>
      <c r="AC753" s="277"/>
      <c r="AD753" s="277"/>
      <c r="AE753" s="277"/>
      <c r="AF753" s="277"/>
    </row>
    <row r="754" ht="12.75" customHeight="1">
      <c r="A754" s="277"/>
      <c r="B754" s="278"/>
      <c r="C754" s="277"/>
      <c r="D754" s="278"/>
      <c r="E754" s="279"/>
      <c r="F754" s="277"/>
      <c r="G754" s="277"/>
      <c r="H754" s="277"/>
      <c r="I754" s="277"/>
      <c r="J754" s="277"/>
      <c r="K754" s="277"/>
      <c r="L754" s="277"/>
      <c r="M754" s="277"/>
      <c r="N754" s="277"/>
      <c r="O754" s="277"/>
      <c r="P754" s="277"/>
      <c r="Q754" s="277"/>
      <c r="R754" s="277"/>
      <c r="S754" s="277"/>
      <c r="T754" s="277"/>
      <c r="U754" s="277"/>
      <c r="V754" s="280"/>
      <c r="W754" s="277"/>
      <c r="X754" s="277"/>
      <c r="Y754" s="277"/>
      <c r="Z754" s="277"/>
      <c r="AA754" s="277"/>
      <c r="AB754" s="277"/>
      <c r="AC754" s="277"/>
      <c r="AD754" s="277"/>
      <c r="AE754" s="277"/>
      <c r="AF754" s="277"/>
    </row>
    <row r="755" ht="12.75" customHeight="1">
      <c r="A755" s="277"/>
      <c r="B755" s="278"/>
      <c r="C755" s="277"/>
      <c r="D755" s="278"/>
      <c r="E755" s="279"/>
      <c r="F755" s="277"/>
      <c r="G755" s="277"/>
      <c r="H755" s="277"/>
      <c r="I755" s="277"/>
      <c r="J755" s="277"/>
      <c r="K755" s="277"/>
      <c r="L755" s="277"/>
      <c r="M755" s="277"/>
      <c r="N755" s="277"/>
      <c r="O755" s="277"/>
      <c r="P755" s="277"/>
      <c r="Q755" s="277"/>
      <c r="R755" s="277"/>
      <c r="S755" s="277"/>
      <c r="T755" s="277"/>
      <c r="U755" s="277"/>
      <c r="V755" s="280"/>
      <c r="W755" s="277"/>
      <c r="X755" s="277"/>
      <c r="Y755" s="277"/>
      <c r="Z755" s="277"/>
      <c r="AA755" s="277"/>
      <c r="AB755" s="277"/>
      <c r="AC755" s="277"/>
      <c r="AD755" s="277"/>
      <c r="AE755" s="277"/>
      <c r="AF755" s="277"/>
    </row>
    <row r="756" ht="12.75" customHeight="1">
      <c r="A756" s="277"/>
      <c r="B756" s="278"/>
      <c r="C756" s="277"/>
      <c r="D756" s="278"/>
      <c r="E756" s="279"/>
      <c r="F756" s="277"/>
      <c r="G756" s="277"/>
      <c r="H756" s="277"/>
      <c r="I756" s="277"/>
      <c r="J756" s="277"/>
      <c r="K756" s="277"/>
      <c r="L756" s="277"/>
      <c r="M756" s="277"/>
      <c r="N756" s="277"/>
      <c r="O756" s="277"/>
      <c r="P756" s="277"/>
      <c r="Q756" s="277"/>
      <c r="R756" s="277"/>
      <c r="S756" s="277"/>
      <c r="T756" s="277"/>
      <c r="U756" s="277"/>
      <c r="V756" s="280"/>
      <c r="W756" s="277"/>
      <c r="X756" s="277"/>
      <c r="Y756" s="277"/>
      <c r="Z756" s="277"/>
      <c r="AA756" s="277"/>
      <c r="AB756" s="277"/>
      <c r="AC756" s="277"/>
      <c r="AD756" s="277"/>
      <c r="AE756" s="277"/>
      <c r="AF756" s="277"/>
    </row>
    <row r="757" ht="12.75" customHeight="1">
      <c r="A757" s="277"/>
      <c r="B757" s="278"/>
      <c r="C757" s="277"/>
      <c r="D757" s="278"/>
      <c r="E757" s="279"/>
      <c r="F757" s="277"/>
      <c r="G757" s="277"/>
      <c r="H757" s="277"/>
      <c r="I757" s="277"/>
      <c r="J757" s="277"/>
      <c r="K757" s="277"/>
      <c r="L757" s="277"/>
      <c r="M757" s="277"/>
      <c r="N757" s="277"/>
      <c r="O757" s="277"/>
      <c r="P757" s="277"/>
      <c r="Q757" s="277"/>
      <c r="R757" s="277"/>
      <c r="S757" s="277"/>
      <c r="T757" s="277"/>
      <c r="U757" s="277"/>
      <c r="V757" s="280"/>
      <c r="W757" s="277"/>
      <c r="X757" s="277"/>
      <c r="Y757" s="277"/>
      <c r="Z757" s="277"/>
      <c r="AA757" s="277"/>
      <c r="AB757" s="277"/>
      <c r="AC757" s="277"/>
      <c r="AD757" s="277"/>
      <c r="AE757" s="277"/>
      <c r="AF757" s="277"/>
    </row>
    <row r="758" ht="12.75" customHeight="1">
      <c r="A758" s="277"/>
      <c r="B758" s="278"/>
      <c r="C758" s="277"/>
      <c r="D758" s="278"/>
      <c r="E758" s="279"/>
      <c r="F758" s="277"/>
      <c r="G758" s="277"/>
      <c r="H758" s="277"/>
      <c r="I758" s="277"/>
      <c r="J758" s="277"/>
      <c r="K758" s="277"/>
      <c r="L758" s="277"/>
      <c r="M758" s="277"/>
      <c r="N758" s="277"/>
      <c r="O758" s="277"/>
      <c r="P758" s="277"/>
      <c r="Q758" s="277"/>
      <c r="R758" s="277"/>
      <c r="S758" s="277"/>
      <c r="T758" s="277"/>
      <c r="U758" s="277"/>
      <c r="V758" s="280"/>
      <c r="W758" s="277"/>
      <c r="X758" s="277"/>
      <c r="Y758" s="277"/>
      <c r="Z758" s="277"/>
      <c r="AA758" s="277"/>
      <c r="AB758" s="277"/>
      <c r="AC758" s="277"/>
      <c r="AD758" s="277"/>
      <c r="AE758" s="277"/>
      <c r="AF758" s="277"/>
    </row>
    <row r="759" ht="12.75" customHeight="1">
      <c r="A759" s="277"/>
      <c r="B759" s="278"/>
      <c r="C759" s="277"/>
      <c r="D759" s="278"/>
      <c r="E759" s="279"/>
      <c r="F759" s="277"/>
      <c r="G759" s="277"/>
      <c r="H759" s="277"/>
      <c r="I759" s="277"/>
      <c r="J759" s="277"/>
      <c r="K759" s="277"/>
      <c r="L759" s="277"/>
      <c r="M759" s="277"/>
      <c r="N759" s="277"/>
      <c r="O759" s="277"/>
      <c r="P759" s="277"/>
      <c r="Q759" s="277"/>
      <c r="R759" s="277"/>
      <c r="S759" s="277"/>
      <c r="T759" s="277"/>
      <c r="U759" s="277"/>
      <c r="V759" s="280"/>
      <c r="W759" s="277"/>
      <c r="X759" s="277"/>
      <c r="Y759" s="277"/>
      <c r="Z759" s="277"/>
      <c r="AA759" s="277"/>
      <c r="AB759" s="277"/>
      <c r="AC759" s="277"/>
      <c r="AD759" s="277"/>
      <c r="AE759" s="277"/>
      <c r="AF759" s="277"/>
    </row>
    <row r="760" ht="12.75" customHeight="1">
      <c r="A760" s="277"/>
      <c r="B760" s="278"/>
      <c r="C760" s="277"/>
      <c r="D760" s="278"/>
      <c r="E760" s="279"/>
      <c r="F760" s="277"/>
      <c r="G760" s="277"/>
      <c r="H760" s="277"/>
      <c r="I760" s="277"/>
      <c r="J760" s="277"/>
      <c r="K760" s="277"/>
      <c r="L760" s="277"/>
      <c r="M760" s="277"/>
      <c r="N760" s="277"/>
      <c r="O760" s="277"/>
      <c r="P760" s="277"/>
      <c r="Q760" s="277"/>
      <c r="R760" s="277"/>
      <c r="S760" s="277"/>
      <c r="T760" s="277"/>
      <c r="U760" s="277"/>
      <c r="V760" s="280"/>
      <c r="W760" s="277"/>
      <c r="X760" s="277"/>
      <c r="Y760" s="277"/>
      <c r="Z760" s="277"/>
      <c r="AA760" s="277"/>
      <c r="AB760" s="277"/>
      <c r="AC760" s="277"/>
      <c r="AD760" s="277"/>
      <c r="AE760" s="277"/>
      <c r="AF760" s="277"/>
    </row>
    <row r="761" ht="12.75" customHeight="1">
      <c r="A761" s="277"/>
      <c r="B761" s="278"/>
      <c r="C761" s="277"/>
      <c r="D761" s="278"/>
      <c r="E761" s="279"/>
      <c r="F761" s="277"/>
      <c r="G761" s="277"/>
      <c r="H761" s="277"/>
      <c r="I761" s="277"/>
      <c r="J761" s="277"/>
      <c r="K761" s="277"/>
      <c r="L761" s="277"/>
      <c r="M761" s="277"/>
      <c r="N761" s="277"/>
      <c r="O761" s="277"/>
      <c r="P761" s="277"/>
      <c r="Q761" s="277"/>
      <c r="R761" s="277"/>
      <c r="S761" s="277"/>
      <c r="T761" s="277"/>
      <c r="U761" s="277"/>
      <c r="V761" s="280"/>
      <c r="W761" s="277"/>
      <c r="X761" s="277"/>
      <c r="Y761" s="277"/>
      <c r="Z761" s="277"/>
      <c r="AA761" s="277"/>
      <c r="AB761" s="277"/>
      <c r="AC761" s="277"/>
      <c r="AD761" s="277"/>
      <c r="AE761" s="277"/>
      <c r="AF761" s="277"/>
    </row>
    <row r="762" ht="12.75" customHeight="1">
      <c r="A762" s="277"/>
      <c r="B762" s="278"/>
      <c r="C762" s="277"/>
      <c r="D762" s="278"/>
      <c r="E762" s="279"/>
      <c r="F762" s="277"/>
      <c r="G762" s="277"/>
      <c r="H762" s="277"/>
      <c r="I762" s="277"/>
      <c r="J762" s="277"/>
      <c r="K762" s="277"/>
      <c r="L762" s="277"/>
      <c r="M762" s="277"/>
      <c r="N762" s="277"/>
      <c r="O762" s="277"/>
      <c r="P762" s="277"/>
      <c r="Q762" s="277"/>
      <c r="R762" s="277"/>
      <c r="S762" s="277"/>
      <c r="T762" s="277"/>
      <c r="U762" s="277"/>
      <c r="V762" s="280"/>
      <c r="W762" s="277"/>
      <c r="X762" s="277"/>
      <c r="Y762" s="277"/>
      <c r="Z762" s="277"/>
      <c r="AA762" s="277"/>
      <c r="AB762" s="277"/>
      <c r="AC762" s="277"/>
      <c r="AD762" s="277"/>
      <c r="AE762" s="277"/>
      <c r="AF762" s="277"/>
    </row>
    <row r="763" ht="12.75" customHeight="1">
      <c r="A763" s="277"/>
      <c r="B763" s="278"/>
      <c r="C763" s="277"/>
      <c r="D763" s="278"/>
      <c r="E763" s="279"/>
      <c r="F763" s="277"/>
      <c r="G763" s="277"/>
      <c r="H763" s="277"/>
      <c r="I763" s="277"/>
      <c r="J763" s="277"/>
      <c r="K763" s="277"/>
      <c r="L763" s="277"/>
      <c r="M763" s="277"/>
      <c r="N763" s="277"/>
      <c r="O763" s="277"/>
      <c r="P763" s="277"/>
      <c r="Q763" s="277"/>
      <c r="R763" s="277"/>
      <c r="S763" s="277"/>
      <c r="T763" s="277"/>
      <c r="U763" s="277"/>
      <c r="V763" s="280"/>
      <c r="W763" s="277"/>
      <c r="X763" s="277"/>
      <c r="Y763" s="277"/>
      <c r="Z763" s="277"/>
      <c r="AA763" s="277"/>
      <c r="AB763" s="277"/>
      <c r="AC763" s="277"/>
      <c r="AD763" s="277"/>
      <c r="AE763" s="277"/>
      <c r="AF763" s="277"/>
    </row>
    <row r="764" ht="12.75" customHeight="1">
      <c r="A764" s="277"/>
      <c r="B764" s="278"/>
      <c r="C764" s="277"/>
      <c r="D764" s="278"/>
      <c r="E764" s="279"/>
      <c r="F764" s="277"/>
      <c r="G764" s="277"/>
      <c r="H764" s="277"/>
      <c r="I764" s="277"/>
      <c r="J764" s="277"/>
      <c r="K764" s="277"/>
      <c r="L764" s="277"/>
      <c r="M764" s="277"/>
      <c r="N764" s="277"/>
      <c r="O764" s="277"/>
      <c r="P764" s="277"/>
      <c r="Q764" s="277"/>
      <c r="R764" s="277"/>
      <c r="S764" s="277"/>
      <c r="T764" s="277"/>
      <c r="U764" s="277"/>
      <c r="V764" s="280"/>
      <c r="W764" s="277"/>
      <c r="X764" s="277"/>
      <c r="Y764" s="277"/>
      <c r="Z764" s="277"/>
      <c r="AA764" s="277"/>
      <c r="AB764" s="277"/>
      <c r="AC764" s="277"/>
      <c r="AD764" s="277"/>
      <c r="AE764" s="277"/>
      <c r="AF764" s="277"/>
    </row>
    <row r="765" ht="12.75" customHeight="1">
      <c r="A765" s="277"/>
      <c r="B765" s="278"/>
      <c r="C765" s="277"/>
      <c r="D765" s="278"/>
      <c r="E765" s="279"/>
      <c r="F765" s="277"/>
      <c r="G765" s="277"/>
      <c r="H765" s="277"/>
      <c r="I765" s="277"/>
      <c r="J765" s="277"/>
      <c r="K765" s="277"/>
      <c r="L765" s="277"/>
      <c r="M765" s="277"/>
      <c r="N765" s="277"/>
      <c r="O765" s="277"/>
      <c r="P765" s="277"/>
      <c r="Q765" s="277"/>
      <c r="R765" s="277"/>
      <c r="S765" s="277"/>
      <c r="T765" s="277"/>
      <c r="U765" s="277"/>
      <c r="V765" s="280"/>
      <c r="W765" s="277"/>
      <c r="X765" s="277"/>
      <c r="Y765" s="277"/>
      <c r="Z765" s="277"/>
      <c r="AA765" s="277"/>
      <c r="AB765" s="277"/>
      <c r="AC765" s="277"/>
      <c r="AD765" s="277"/>
      <c r="AE765" s="277"/>
      <c r="AF765" s="277"/>
    </row>
    <row r="766" ht="12.75" customHeight="1">
      <c r="A766" s="277"/>
      <c r="B766" s="278"/>
      <c r="C766" s="277"/>
      <c r="D766" s="278"/>
      <c r="E766" s="279"/>
      <c r="F766" s="277"/>
      <c r="G766" s="277"/>
      <c r="H766" s="277"/>
      <c r="I766" s="277"/>
      <c r="J766" s="277"/>
      <c r="K766" s="277"/>
      <c r="L766" s="277"/>
      <c r="M766" s="277"/>
      <c r="N766" s="277"/>
      <c r="O766" s="277"/>
      <c r="P766" s="277"/>
      <c r="Q766" s="277"/>
      <c r="R766" s="277"/>
      <c r="S766" s="277"/>
      <c r="T766" s="277"/>
      <c r="U766" s="277"/>
      <c r="V766" s="280"/>
      <c r="W766" s="277"/>
      <c r="X766" s="277"/>
      <c r="Y766" s="277"/>
      <c r="Z766" s="277"/>
      <c r="AA766" s="277"/>
      <c r="AB766" s="277"/>
      <c r="AC766" s="277"/>
      <c r="AD766" s="277"/>
      <c r="AE766" s="277"/>
      <c r="AF766" s="277"/>
    </row>
    <row r="767" ht="12.75" customHeight="1">
      <c r="A767" s="277"/>
      <c r="B767" s="278"/>
      <c r="C767" s="277"/>
      <c r="D767" s="278"/>
      <c r="E767" s="279"/>
      <c r="F767" s="277"/>
      <c r="G767" s="277"/>
      <c r="H767" s="277"/>
      <c r="I767" s="277"/>
      <c r="J767" s="277"/>
      <c r="K767" s="277"/>
      <c r="L767" s="277"/>
      <c r="M767" s="277"/>
      <c r="N767" s="277"/>
      <c r="O767" s="277"/>
      <c r="P767" s="277"/>
      <c r="Q767" s="277"/>
      <c r="R767" s="277"/>
      <c r="S767" s="277"/>
      <c r="T767" s="277"/>
      <c r="U767" s="277"/>
      <c r="V767" s="280"/>
      <c r="W767" s="277"/>
      <c r="X767" s="277"/>
      <c r="Y767" s="277"/>
      <c r="Z767" s="277"/>
      <c r="AA767" s="277"/>
      <c r="AB767" s="277"/>
      <c r="AC767" s="277"/>
      <c r="AD767" s="277"/>
      <c r="AE767" s="277"/>
      <c r="AF767" s="277"/>
    </row>
    <row r="768" ht="12.75" customHeight="1">
      <c r="A768" s="277"/>
      <c r="B768" s="278"/>
      <c r="C768" s="277"/>
      <c r="D768" s="278"/>
      <c r="E768" s="279"/>
      <c r="F768" s="277"/>
      <c r="G768" s="277"/>
      <c r="H768" s="277"/>
      <c r="I768" s="277"/>
      <c r="J768" s="277"/>
      <c r="K768" s="277"/>
      <c r="L768" s="277"/>
      <c r="M768" s="277"/>
      <c r="N768" s="277"/>
      <c r="O768" s="277"/>
      <c r="P768" s="277"/>
      <c r="Q768" s="277"/>
      <c r="R768" s="277"/>
      <c r="S768" s="277"/>
      <c r="T768" s="277"/>
      <c r="U768" s="277"/>
      <c r="V768" s="280"/>
      <c r="W768" s="277"/>
      <c r="X768" s="277"/>
      <c r="Y768" s="277"/>
      <c r="Z768" s="277"/>
      <c r="AA768" s="277"/>
      <c r="AB768" s="277"/>
      <c r="AC768" s="277"/>
      <c r="AD768" s="277"/>
      <c r="AE768" s="277"/>
      <c r="AF768" s="277"/>
    </row>
    <row r="769" ht="12.75" customHeight="1">
      <c r="A769" s="277"/>
      <c r="B769" s="278"/>
      <c r="C769" s="277"/>
      <c r="D769" s="278"/>
      <c r="E769" s="279"/>
      <c r="F769" s="277"/>
      <c r="G769" s="277"/>
      <c r="H769" s="277"/>
      <c r="I769" s="277"/>
      <c r="J769" s="277"/>
      <c r="K769" s="277"/>
      <c r="L769" s="277"/>
      <c r="M769" s="277"/>
      <c r="N769" s="277"/>
      <c r="O769" s="277"/>
      <c r="P769" s="277"/>
      <c r="Q769" s="277"/>
      <c r="R769" s="277"/>
      <c r="S769" s="277"/>
      <c r="T769" s="277"/>
      <c r="U769" s="277"/>
      <c r="V769" s="280"/>
      <c r="W769" s="277"/>
      <c r="X769" s="277"/>
      <c r="Y769" s="277"/>
      <c r="Z769" s="277"/>
      <c r="AA769" s="277"/>
      <c r="AB769" s="277"/>
      <c r="AC769" s="277"/>
      <c r="AD769" s="277"/>
      <c r="AE769" s="277"/>
      <c r="AF769" s="277"/>
    </row>
    <row r="770" ht="12.75" customHeight="1">
      <c r="A770" s="277"/>
      <c r="B770" s="278"/>
      <c r="C770" s="277"/>
      <c r="D770" s="278"/>
      <c r="E770" s="279"/>
      <c r="F770" s="277"/>
      <c r="G770" s="277"/>
      <c r="H770" s="277"/>
      <c r="I770" s="277"/>
      <c r="J770" s="277"/>
      <c r="K770" s="277"/>
      <c r="L770" s="277"/>
      <c r="M770" s="277"/>
      <c r="N770" s="277"/>
      <c r="O770" s="277"/>
      <c r="P770" s="277"/>
      <c r="Q770" s="277"/>
      <c r="R770" s="277"/>
      <c r="S770" s="277"/>
      <c r="T770" s="277"/>
      <c r="U770" s="277"/>
      <c r="V770" s="280"/>
      <c r="W770" s="277"/>
      <c r="X770" s="277"/>
      <c r="Y770" s="277"/>
      <c r="Z770" s="277"/>
      <c r="AA770" s="277"/>
      <c r="AB770" s="277"/>
      <c r="AC770" s="277"/>
      <c r="AD770" s="277"/>
      <c r="AE770" s="277"/>
      <c r="AF770" s="277"/>
    </row>
    <row r="771" ht="12.75" customHeight="1">
      <c r="A771" s="277"/>
      <c r="B771" s="278"/>
      <c r="C771" s="277"/>
      <c r="D771" s="278"/>
      <c r="E771" s="279"/>
      <c r="F771" s="277"/>
      <c r="G771" s="277"/>
      <c r="H771" s="277"/>
      <c r="I771" s="277"/>
      <c r="J771" s="277"/>
      <c r="K771" s="277"/>
      <c r="L771" s="277"/>
      <c r="M771" s="277"/>
      <c r="N771" s="277"/>
      <c r="O771" s="277"/>
      <c r="P771" s="277"/>
      <c r="Q771" s="277"/>
      <c r="R771" s="277"/>
      <c r="S771" s="277"/>
      <c r="T771" s="277"/>
      <c r="U771" s="277"/>
      <c r="V771" s="280"/>
      <c r="W771" s="277"/>
      <c r="X771" s="277"/>
      <c r="Y771" s="277"/>
      <c r="Z771" s="277"/>
      <c r="AA771" s="277"/>
      <c r="AB771" s="277"/>
      <c r="AC771" s="277"/>
      <c r="AD771" s="277"/>
      <c r="AE771" s="277"/>
      <c r="AF771" s="277"/>
    </row>
    <row r="772" ht="12.75" customHeight="1">
      <c r="A772" s="277"/>
      <c r="B772" s="278"/>
      <c r="C772" s="277"/>
      <c r="D772" s="278"/>
      <c r="E772" s="279"/>
      <c r="F772" s="277"/>
      <c r="G772" s="277"/>
      <c r="H772" s="277"/>
      <c r="I772" s="277"/>
      <c r="J772" s="277"/>
      <c r="K772" s="277"/>
      <c r="L772" s="277"/>
      <c r="M772" s="277"/>
      <c r="N772" s="277"/>
      <c r="O772" s="277"/>
      <c r="P772" s="277"/>
      <c r="Q772" s="277"/>
      <c r="R772" s="277"/>
      <c r="S772" s="277"/>
      <c r="T772" s="277"/>
      <c r="U772" s="277"/>
      <c r="V772" s="280"/>
      <c r="W772" s="277"/>
      <c r="X772" s="277"/>
      <c r="Y772" s="277"/>
      <c r="Z772" s="277"/>
      <c r="AA772" s="277"/>
      <c r="AB772" s="277"/>
      <c r="AC772" s="277"/>
      <c r="AD772" s="277"/>
      <c r="AE772" s="277"/>
      <c r="AF772" s="277"/>
    </row>
    <row r="773" ht="12.75" customHeight="1">
      <c r="A773" s="277"/>
      <c r="B773" s="278"/>
      <c r="C773" s="277"/>
      <c r="D773" s="278"/>
      <c r="E773" s="279"/>
      <c r="F773" s="277"/>
      <c r="G773" s="277"/>
      <c r="H773" s="277"/>
      <c r="I773" s="277"/>
      <c r="J773" s="277"/>
      <c r="K773" s="277"/>
      <c r="L773" s="277"/>
      <c r="M773" s="277"/>
      <c r="N773" s="277"/>
      <c r="O773" s="277"/>
      <c r="P773" s="277"/>
      <c r="Q773" s="277"/>
      <c r="R773" s="277"/>
      <c r="S773" s="277"/>
      <c r="T773" s="277"/>
      <c r="U773" s="277"/>
      <c r="V773" s="280"/>
      <c r="W773" s="277"/>
      <c r="X773" s="277"/>
      <c r="Y773" s="277"/>
      <c r="Z773" s="277"/>
      <c r="AA773" s="277"/>
      <c r="AB773" s="277"/>
      <c r="AC773" s="277"/>
      <c r="AD773" s="277"/>
      <c r="AE773" s="277"/>
      <c r="AF773" s="277"/>
    </row>
    <row r="774" ht="12.75" customHeight="1">
      <c r="A774" s="277"/>
      <c r="B774" s="278"/>
      <c r="C774" s="277"/>
      <c r="D774" s="278"/>
      <c r="E774" s="279"/>
      <c r="F774" s="277"/>
      <c r="G774" s="277"/>
      <c r="H774" s="277"/>
      <c r="I774" s="277"/>
      <c r="J774" s="277"/>
      <c r="K774" s="277"/>
      <c r="L774" s="277"/>
      <c r="M774" s="277"/>
      <c r="N774" s="277"/>
      <c r="O774" s="277"/>
      <c r="P774" s="277"/>
      <c r="Q774" s="277"/>
      <c r="R774" s="277"/>
      <c r="S774" s="277"/>
      <c r="T774" s="277"/>
      <c r="U774" s="277"/>
      <c r="V774" s="280"/>
      <c r="W774" s="277"/>
      <c r="X774" s="277"/>
      <c r="Y774" s="277"/>
      <c r="Z774" s="277"/>
      <c r="AA774" s="277"/>
      <c r="AB774" s="277"/>
      <c r="AC774" s="277"/>
      <c r="AD774" s="277"/>
      <c r="AE774" s="277"/>
      <c r="AF774" s="277"/>
    </row>
    <row r="775" ht="12.75" customHeight="1">
      <c r="A775" s="277"/>
      <c r="B775" s="278"/>
      <c r="C775" s="277"/>
      <c r="D775" s="278"/>
      <c r="E775" s="279"/>
      <c r="F775" s="277"/>
      <c r="G775" s="277"/>
      <c r="H775" s="277"/>
      <c r="I775" s="277"/>
      <c r="J775" s="277"/>
      <c r="K775" s="277"/>
      <c r="L775" s="277"/>
      <c r="M775" s="277"/>
      <c r="N775" s="277"/>
      <c r="O775" s="277"/>
      <c r="P775" s="277"/>
      <c r="Q775" s="277"/>
      <c r="R775" s="277"/>
      <c r="S775" s="277"/>
      <c r="T775" s="277"/>
      <c r="U775" s="277"/>
      <c r="V775" s="280"/>
      <c r="W775" s="277"/>
      <c r="X775" s="277"/>
      <c r="Y775" s="277"/>
      <c r="Z775" s="277"/>
      <c r="AA775" s="277"/>
      <c r="AB775" s="277"/>
      <c r="AC775" s="277"/>
      <c r="AD775" s="277"/>
      <c r="AE775" s="277"/>
      <c r="AF775" s="277"/>
    </row>
    <row r="776" ht="12.75" customHeight="1">
      <c r="A776" s="277"/>
      <c r="B776" s="278"/>
      <c r="C776" s="277"/>
      <c r="D776" s="278"/>
      <c r="E776" s="279"/>
      <c r="F776" s="277"/>
      <c r="G776" s="277"/>
      <c r="H776" s="277"/>
      <c r="I776" s="277"/>
      <c r="J776" s="277"/>
      <c r="K776" s="277"/>
      <c r="L776" s="277"/>
      <c r="M776" s="277"/>
      <c r="N776" s="277"/>
      <c r="O776" s="277"/>
      <c r="P776" s="277"/>
      <c r="Q776" s="277"/>
      <c r="R776" s="277"/>
      <c r="S776" s="277"/>
      <c r="T776" s="277"/>
      <c r="U776" s="277"/>
      <c r="V776" s="280"/>
      <c r="W776" s="277"/>
      <c r="X776" s="277"/>
      <c r="Y776" s="277"/>
      <c r="Z776" s="277"/>
      <c r="AA776" s="277"/>
      <c r="AB776" s="277"/>
      <c r="AC776" s="277"/>
      <c r="AD776" s="277"/>
      <c r="AE776" s="277"/>
      <c r="AF776" s="277"/>
    </row>
    <row r="777" ht="12.75" customHeight="1">
      <c r="A777" s="277"/>
      <c r="B777" s="278"/>
      <c r="C777" s="277"/>
      <c r="D777" s="278"/>
      <c r="E777" s="279"/>
      <c r="F777" s="277"/>
      <c r="G777" s="277"/>
      <c r="H777" s="277"/>
      <c r="I777" s="277"/>
      <c r="J777" s="277"/>
      <c r="K777" s="277"/>
      <c r="L777" s="277"/>
      <c r="M777" s="277"/>
      <c r="N777" s="277"/>
      <c r="O777" s="277"/>
      <c r="P777" s="277"/>
      <c r="Q777" s="277"/>
      <c r="R777" s="277"/>
      <c r="S777" s="277"/>
      <c r="T777" s="277"/>
      <c r="U777" s="277"/>
      <c r="V777" s="280"/>
      <c r="W777" s="277"/>
      <c r="X777" s="277"/>
      <c r="Y777" s="277"/>
      <c r="Z777" s="277"/>
      <c r="AA777" s="277"/>
      <c r="AB777" s="277"/>
      <c r="AC777" s="277"/>
      <c r="AD777" s="277"/>
      <c r="AE777" s="277"/>
      <c r="AF777" s="277"/>
    </row>
    <row r="778" ht="12.75" customHeight="1">
      <c r="A778" s="277"/>
      <c r="B778" s="278"/>
      <c r="C778" s="277"/>
      <c r="D778" s="278"/>
      <c r="E778" s="279"/>
      <c r="F778" s="277"/>
      <c r="G778" s="277"/>
      <c r="H778" s="277"/>
      <c r="I778" s="277"/>
      <c r="J778" s="277"/>
      <c r="K778" s="277"/>
      <c r="L778" s="277"/>
      <c r="M778" s="277"/>
      <c r="N778" s="277"/>
      <c r="O778" s="277"/>
      <c r="P778" s="277"/>
      <c r="Q778" s="277"/>
      <c r="R778" s="277"/>
      <c r="S778" s="277"/>
      <c r="T778" s="277"/>
      <c r="U778" s="277"/>
      <c r="V778" s="280"/>
      <c r="W778" s="277"/>
      <c r="X778" s="277"/>
      <c r="Y778" s="277"/>
      <c r="Z778" s="277"/>
      <c r="AA778" s="277"/>
      <c r="AB778" s="277"/>
      <c r="AC778" s="277"/>
      <c r="AD778" s="277"/>
      <c r="AE778" s="277"/>
      <c r="AF778" s="277"/>
    </row>
    <row r="779" ht="12.75" customHeight="1">
      <c r="A779" s="277"/>
      <c r="B779" s="278"/>
      <c r="C779" s="277"/>
      <c r="D779" s="278"/>
      <c r="E779" s="279"/>
      <c r="F779" s="277"/>
      <c r="G779" s="277"/>
      <c r="H779" s="277"/>
      <c r="I779" s="277"/>
      <c r="J779" s="277"/>
      <c r="K779" s="277"/>
      <c r="L779" s="277"/>
      <c r="M779" s="277"/>
      <c r="N779" s="277"/>
      <c r="O779" s="277"/>
      <c r="P779" s="277"/>
      <c r="Q779" s="277"/>
      <c r="R779" s="277"/>
      <c r="S779" s="277"/>
      <c r="T779" s="277"/>
      <c r="U779" s="277"/>
      <c r="V779" s="280"/>
      <c r="W779" s="277"/>
      <c r="X779" s="277"/>
      <c r="Y779" s="277"/>
      <c r="Z779" s="277"/>
      <c r="AA779" s="277"/>
      <c r="AB779" s="277"/>
      <c r="AC779" s="277"/>
      <c r="AD779" s="277"/>
      <c r="AE779" s="277"/>
      <c r="AF779" s="277"/>
    </row>
    <row r="780" ht="12.75" customHeight="1">
      <c r="A780" s="277"/>
      <c r="B780" s="278"/>
      <c r="C780" s="277"/>
      <c r="D780" s="278"/>
      <c r="E780" s="279"/>
      <c r="F780" s="277"/>
      <c r="G780" s="277"/>
      <c r="H780" s="277"/>
      <c r="I780" s="277"/>
      <c r="J780" s="277"/>
      <c r="K780" s="277"/>
      <c r="L780" s="277"/>
      <c r="M780" s="277"/>
      <c r="N780" s="277"/>
      <c r="O780" s="277"/>
      <c r="P780" s="277"/>
      <c r="Q780" s="277"/>
      <c r="R780" s="277"/>
      <c r="S780" s="277"/>
      <c r="T780" s="277"/>
      <c r="U780" s="277"/>
      <c r="V780" s="280"/>
      <c r="W780" s="277"/>
      <c r="X780" s="277"/>
      <c r="Y780" s="277"/>
      <c r="Z780" s="277"/>
      <c r="AA780" s="277"/>
      <c r="AB780" s="277"/>
      <c r="AC780" s="277"/>
      <c r="AD780" s="277"/>
      <c r="AE780" s="277"/>
      <c r="AF780" s="277"/>
    </row>
    <row r="781" ht="12.75" customHeight="1">
      <c r="A781" s="277"/>
      <c r="B781" s="278"/>
      <c r="C781" s="277"/>
      <c r="D781" s="278"/>
      <c r="E781" s="279"/>
      <c r="F781" s="277"/>
      <c r="G781" s="277"/>
      <c r="H781" s="277"/>
      <c r="I781" s="277"/>
      <c r="J781" s="277"/>
      <c r="K781" s="277"/>
      <c r="L781" s="277"/>
      <c r="M781" s="277"/>
      <c r="N781" s="277"/>
      <c r="O781" s="277"/>
      <c r="P781" s="277"/>
      <c r="Q781" s="277"/>
      <c r="R781" s="277"/>
      <c r="S781" s="277"/>
      <c r="T781" s="277"/>
      <c r="U781" s="277"/>
      <c r="V781" s="280"/>
      <c r="W781" s="277"/>
      <c r="X781" s="277"/>
      <c r="Y781" s="277"/>
      <c r="Z781" s="277"/>
      <c r="AA781" s="277"/>
      <c r="AB781" s="277"/>
      <c r="AC781" s="277"/>
      <c r="AD781" s="277"/>
      <c r="AE781" s="277"/>
      <c r="AF781" s="277"/>
    </row>
    <row r="782" ht="12.75" customHeight="1">
      <c r="A782" s="277"/>
      <c r="B782" s="278"/>
      <c r="C782" s="277"/>
      <c r="D782" s="278"/>
      <c r="E782" s="279"/>
      <c r="F782" s="277"/>
      <c r="G782" s="277"/>
      <c r="H782" s="277"/>
      <c r="I782" s="277"/>
      <c r="J782" s="277"/>
      <c r="K782" s="277"/>
      <c r="L782" s="277"/>
      <c r="M782" s="277"/>
      <c r="N782" s="277"/>
      <c r="O782" s="277"/>
      <c r="P782" s="277"/>
      <c r="Q782" s="277"/>
      <c r="R782" s="277"/>
      <c r="S782" s="277"/>
      <c r="T782" s="277"/>
      <c r="U782" s="277"/>
      <c r="V782" s="280"/>
      <c r="W782" s="277"/>
      <c r="X782" s="277"/>
      <c r="Y782" s="277"/>
      <c r="Z782" s="277"/>
      <c r="AA782" s="277"/>
      <c r="AB782" s="277"/>
      <c r="AC782" s="277"/>
      <c r="AD782" s="277"/>
      <c r="AE782" s="277"/>
      <c r="AF782" s="277"/>
    </row>
    <row r="783" ht="12.75" customHeight="1">
      <c r="A783" s="277"/>
      <c r="B783" s="278"/>
      <c r="C783" s="277"/>
      <c r="D783" s="278"/>
      <c r="E783" s="279"/>
      <c r="F783" s="277"/>
      <c r="G783" s="277"/>
      <c r="H783" s="277"/>
      <c r="I783" s="277"/>
      <c r="J783" s="277"/>
      <c r="K783" s="277"/>
      <c r="L783" s="277"/>
      <c r="M783" s="277"/>
      <c r="N783" s="277"/>
      <c r="O783" s="277"/>
      <c r="P783" s="277"/>
      <c r="Q783" s="277"/>
      <c r="R783" s="277"/>
      <c r="S783" s="277"/>
      <c r="T783" s="277"/>
      <c r="U783" s="277"/>
      <c r="V783" s="280"/>
      <c r="W783" s="277"/>
      <c r="X783" s="277"/>
      <c r="Y783" s="277"/>
      <c r="Z783" s="277"/>
      <c r="AA783" s="277"/>
      <c r="AB783" s="277"/>
      <c r="AC783" s="277"/>
      <c r="AD783" s="277"/>
      <c r="AE783" s="277"/>
      <c r="AF783" s="277"/>
    </row>
    <row r="784" ht="12.75" customHeight="1">
      <c r="A784" s="277"/>
      <c r="B784" s="278"/>
      <c r="C784" s="277"/>
      <c r="D784" s="278"/>
      <c r="E784" s="279"/>
      <c r="F784" s="277"/>
      <c r="G784" s="277"/>
      <c r="H784" s="277"/>
      <c r="I784" s="277"/>
      <c r="J784" s="277"/>
      <c r="K784" s="277"/>
      <c r="L784" s="277"/>
      <c r="M784" s="277"/>
      <c r="N784" s="277"/>
      <c r="O784" s="277"/>
      <c r="P784" s="277"/>
      <c r="Q784" s="277"/>
      <c r="R784" s="277"/>
      <c r="S784" s="277"/>
      <c r="T784" s="277"/>
      <c r="U784" s="277"/>
      <c r="V784" s="280"/>
      <c r="W784" s="277"/>
      <c r="X784" s="277"/>
      <c r="Y784" s="277"/>
      <c r="Z784" s="277"/>
      <c r="AA784" s="277"/>
      <c r="AB784" s="277"/>
      <c r="AC784" s="277"/>
      <c r="AD784" s="277"/>
      <c r="AE784" s="277"/>
      <c r="AF784" s="277"/>
    </row>
    <row r="785" ht="12.75" customHeight="1">
      <c r="A785" s="277"/>
      <c r="B785" s="278"/>
      <c r="C785" s="277"/>
      <c r="D785" s="278"/>
      <c r="E785" s="279"/>
      <c r="F785" s="277"/>
      <c r="G785" s="277"/>
      <c r="H785" s="277"/>
      <c r="I785" s="277"/>
      <c r="J785" s="277"/>
      <c r="K785" s="277"/>
      <c r="L785" s="277"/>
      <c r="M785" s="277"/>
      <c r="N785" s="277"/>
      <c r="O785" s="277"/>
      <c r="P785" s="277"/>
      <c r="Q785" s="277"/>
      <c r="R785" s="277"/>
      <c r="S785" s="277"/>
      <c r="T785" s="277"/>
      <c r="U785" s="277"/>
      <c r="V785" s="280"/>
      <c r="W785" s="277"/>
      <c r="X785" s="277"/>
      <c r="Y785" s="277"/>
      <c r="Z785" s="277"/>
      <c r="AA785" s="277"/>
      <c r="AB785" s="277"/>
      <c r="AC785" s="277"/>
      <c r="AD785" s="277"/>
      <c r="AE785" s="277"/>
      <c r="AF785" s="277"/>
    </row>
    <row r="786" ht="12.75" customHeight="1">
      <c r="A786" s="277"/>
      <c r="B786" s="278"/>
      <c r="C786" s="277"/>
      <c r="D786" s="278"/>
      <c r="E786" s="279"/>
      <c r="F786" s="277"/>
      <c r="G786" s="277"/>
      <c r="H786" s="277"/>
      <c r="I786" s="277"/>
      <c r="J786" s="277"/>
      <c r="K786" s="277"/>
      <c r="L786" s="277"/>
      <c r="M786" s="277"/>
      <c r="N786" s="277"/>
      <c r="O786" s="277"/>
      <c r="P786" s="277"/>
      <c r="Q786" s="277"/>
      <c r="R786" s="277"/>
      <c r="S786" s="277"/>
      <c r="T786" s="277"/>
      <c r="U786" s="277"/>
      <c r="V786" s="280"/>
      <c r="W786" s="277"/>
      <c r="X786" s="277"/>
      <c r="Y786" s="277"/>
      <c r="Z786" s="277"/>
      <c r="AA786" s="277"/>
      <c r="AB786" s="277"/>
      <c r="AC786" s="277"/>
      <c r="AD786" s="277"/>
      <c r="AE786" s="277"/>
      <c r="AF786" s="277"/>
    </row>
    <row r="787" ht="12.75" customHeight="1">
      <c r="A787" s="277"/>
      <c r="B787" s="278"/>
      <c r="C787" s="277"/>
      <c r="D787" s="278"/>
      <c r="E787" s="279"/>
      <c r="F787" s="277"/>
      <c r="G787" s="277"/>
      <c r="H787" s="277"/>
      <c r="I787" s="277"/>
      <c r="J787" s="277"/>
      <c r="K787" s="277"/>
      <c r="L787" s="277"/>
      <c r="M787" s="277"/>
      <c r="N787" s="277"/>
      <c r="O787" s="277"/>
      <c r="P787" s="277"/>
      <c r="Q787" s="277"/>
      <c r="R787" s="277"/>
      <c r="S787" s="277"/>
      <c r="T787" s="277"/>
      <c r="U787" s="277"/>
      <c r="V787" s="280"/>
      <c r="W787" s="277"/>
      <c r="X787" s="277"/>
      <c r="Y787" s="277"/>
      <c r="Z787" s="277"/>
      <c r="AA787" s="277"/>
      <c r="AB787" s="277"/>
      <c r="AC787" s="277"/>
      <c r="AD787" s="277"/>
      <c r="AE787" s="277"/>
      <c r="AF787" s="277"/>
    </row>
    <row r="788" ht="12.75" customHeight="1">
      <c r="A788" s="277"/>
      <c r="B788" s="278"/>
      <c r="C788" s="277"/>
      <c r="D788" s="278"/>
      <c r="E788" s="279"/>
      <c r="F788" s="277"/>
      <c r="G788" s="277"/>
      <c r="H788" s="277"/>
      <c r="I788" s="277"/>
      <c r="J788" s="277"/>
      <c r="K788" s="277"/>
      <c r="L788" s="277"/>
      <c r="M788" s="277"/>
      <c r="N788" s="277"/>
      <c r="O788" s="277"/>
      <c r="P788" s="277"/>
      <c r="Q788" s="277"/>
      <c r="R788" s="277"/>
      <c r="S788" s="277"/>
      <c r="T788" s="277"/>
      <c r="U788" s="277"/>
      <c r="V788" s="280"/>
      <c r="W788" s="277"/>
      <c r="X788" s="277"/>
      <c r="Y788" s="277"/>
      <c r="Z788" s="277"/>
      <c r="AA788" s="277"/>
      <c r="AB788" s="277"/>
      <c r="AC788" s="277"/>
      <c r="AD788" s="277"/>
      <c r="AE788" s="277"/>
      <c r="AF788" s="277"/>
    </row>
    <row r="789" ht="12.75" customHeight="1">
      <c r="A789" s="277"/>
      <c r="B789" s="278"/>
      <c r="C789" s="277"/>
      <c r="D789" s="278"/>
      <c r="E789" s="279"/>
      <c r="F789" s="277"/>
      <c r="G789" s="277"/>
      <c r="H789" s="277"/>
      <c r="I789" s="277"/>
      <c r="J789" s="277"/>
      <c r="K789" s="277"/>
      <c r="L789" s="277"/>
      <c r="M789" s="277"/>
      <c r="N789" s="277"/>
      <c r="O789" s="277"/>
      <c r="P789" s="277"/>
      <c r="Q789" s="277"/>
      <c r="R789" s="277"/>
      <c r="S789" s="277"/>
      <c r="T789" s="277"/>
      <c r="U789" s="277"/>
      <c r="V789" s="280"/>
      <c r="W789" s="277"/>
      <c r="X789" s="277"/>
      <c r="Y789" s="277"/>
      <c r="Z789" s="277"/>
      <c r="AA789" s="277"/>
      <c r="AB789" s="277"/>
      <c r="AC789" s="277"/>
      <c r="AD789" s="277"/>
      <c r="AE789" s="277"/>
      <c r="AF789" s="277"/>
    </row>
    <row r="790" ht="12.75" customHeight="1">
      <c r="A790" s="277"/>
      <c r="B790" s="278"/>
      <c r="C790" s="277"/>
      <c r="D790" s="278"/>
      <c r="E790" s="279"/>
      <c r="F790" s="277"/>
      <c r="G790" s="277"/>
      <c r="H790" s="277"/>
      <c r="I790" s="277"/>
      <c r="J790" s="277"/>
      <c r="K790" s="277"/>
      <c r="L790" s="277"/>
      <c r="M790" s="277"/>
      <c r="N790" s="277"/>
      <c r="O790" s="277"/>
      <c r="P790" s="277"/>
      <c r="Q790" s="277"/>
      <c r="R790" s="277"/>
      <c r="S790" s="277"/>
      <c r="T790" s="277"/>
      <c r="U790" s="277"/>
      <c r="V790" s="280"/>
      <c r="W790" s="277"/>
      <c r="X790" s="277"/>
      <c r="Y790" s="277"/>
      <c r="Z790" s="277"/>
      <c r="AA790" s="277"/>
      <c r="AB790" s="277"/>
      <c r="AC790" s="277"/>
      <c r="AD790" s="277"/>
      <c r="AE790" s="277"/>
      <c r="AF790" s="277"/>
    </row>
    <row r="791" ht="12.75" customHeight="1">
      <c r="A791" s="277"/>
      <c r="B791" s="278"/>
      <c r="C791" s="277"/>
      <c r="D791" s="278"/>
      <c r="E791" s="279"/>
      <c r="F791" s="277"/>
      <c r="G791" s="277"/>
      <c r="H791" s="277"/>
      <c r="I791" s="277"/>
      <c r="J791" s="277"/>
      <c r="K791" s="277"/>
      <c r="L791" s="277"/>
      <c r="M791" s="277"/>
      <c r="N791" s="277"/>
      <c r="O791" s="277"/>
      <c r="P791" s="277"/>
      <c r="Q791" s="277"/>
      <c r="R791" s="277"/>
      <c r="S791" s="277"/>
      <c r="T791" s="277"/>
      <c r="U791" s="277"/>
      <c r="V791" s="280"/>
      <c r="W791" s="277"/>
      <c r="X791" s="277"/>
      <c r="Y791" s="277"/>
      <c r="Z791" s="277"/>
      <c r="AA791" s="277"/>
      <c r="AB791" s="277"/>
      <c r="AC791" s="277"/>
      <c r="AD791" s="277"/>
      <c r="AE791" s="277"/>
      <c r="AF791" s="277"/>
    </row>
    <row r="792" ht="12.75" customHeight="1">
      <c r="A792" s="277"/>
      <c r="B792" s="278"/>
      <c r="C792" s="277"/>
      <c r="D792" s="278"/>
      <c r="E792" s="279"/>
      <c r="F792" s="277"/>
      <c r="G792" s="277"/>
      <c r="H792" s="277"/>
      <c r="I792" s="277"/>
      <c r="J792" s="277"/>
      <c r="K792" s="277"/>
      <c r="L792" s="277"/>
      <c r="M792" s="277"/>
      <c r="N792" s="277"/>
      <c r="O792" s="277"/>
      <c r="P792" s="277"/>
      <c r="Q792" s="277"/>
      <c r="R792" s="277"/>
      <c r="S792" s="277"/>
      <c r="T792" s="277"/>
      <c r="U792" s="277"/>
      <c r="V792" s="280"/>
      <c r="W792" s="277"/>
      <c r="X792" s="277"/>
      <c r="Y792" s="277"/>
      <c r="Z792" s="277"/>
      <c r="AA792" s="277"/>
      <c r="AB792" s="277"/>
      <c r="AC792" s="277"/>
      <c r="AD792" s="277"/>
      <c r="AE792" s="277"/>
      <c r="AF792" s="277"/>
    </row>
    <row r="793" ht="12.75" customHeight="1">
      <c r="A793" s="277"/>
      <c r="B793" s="278"/>
      <c r="C793" s="277"/>
      <c r="D793" s="278"/>
      <c r="E793" s="279"/>
      <c r="F793" s="277"/>
      <c r="G793" s="277"/>
      <c r="H793" s="277"/>
      <c r="I793" s="277"/>
      <c r="J793" s="277"/>
      <c r="K793" s="277"/>
      <c r="L793" s="277"/>
      <c r="M793" s="277"/>
      <c r="N793" s="277"/>
      <c r="O793" s="277"/>
      <c r="P793" s="277"/>
      <c r="Q793" s="277"/>
      <c r="R793" s="277"/>
      <c r="S793" s="277"/>
      <c r="T793" s="277"/>
      <c r="U793" s="277"/>
      <c r="V793" s="280"/>
      <c r="W793" s="277"/>
      <c r="X793" s="277"/>
      <c r="Y793" s="277"/>
      <c r="Z793" s="277"/>
      <c r="AA793" s="277"/>
      <c r="AB793" s="277"/>
      <c r="AC793" s="277"/>
      <c r="AD793" s="277"/>
      <c r="AE793" s="277"/>
      <c r="AF793" s="277"/>
    </row>
    <row r="794" ht="12.75" customHeight="1">
      <c r="A794" s="277"/>
      <c r="B794" s="278"/>
      <c r="C794" s="277"/>
      <c r="D794" s="278"/>
      <c r="E794" s="279"/>
      <c r="F794" s="277"/>
      <c r="G794" s="277"/>
      <c r="H794" s="277"/>
      <c r="I794" s="277"/>
      <c r="J794" s="277"/>
      <c r="K794" s="277"/>
      <c r="L794" s="277"/>
      <c r="M794" s="277"/>
      <c r="N794" s="277"/>
      <c r="O794" s="277"/>
      <c r="P794" s="277"/>
      <c r="Q794" s="277"/>
      <c r="R794" s="277"/>
      <c r="S794" s="277"/>
      <c r="T794" s="277"/>
      <c r="U794" s="277"/>
      <c r="V794" s="280"/>
      <c r="W794" s="277"/>
      <c r="X794" s="277"/>
      <c r="Y794" s="277"/>
      <c r="Z794" s="277"/>
      <c r="AA794" s="277"/>
      <c r="AB794" s="277"/>
      <c r="AC794" s="277"/>
      <c r="AD794" s="277"/>
      <c r="AE794" s="277"/>
      <c r="AF794" s="277"/>
    </row>
    <row r="795" ht="12.75" customHeight="1">
      <c r="A795" s="277"/>
      <c r="B795" s="278"/>
      <c r="C795" s="277"/>
      <c r="D795" s="278"/>
      <c r="E795" s="279"/>
      <c r="F795" s="277"/>
      <c r="G795" s="277"/>
      <c r="H795" s="277"/>
      <c r="I795" s="277"/>
      <c r="J795" s="277"/>
      <c r="K795" s="277"/>
      <c r="L795" s="277"/>
      <c r="M795" s="277"/>
      <c r="N795" s="277"/>
      <c r="O795" s="277"/>
      <c r="P795" s="277"/>
      <c r="Q795" s="277"/>
      <c r="R795" s="277"/>
      <c r="S795" s="277"/>
      <c r="T795" s="277"/>
      <c r="U795" s="277"/>
      <c r="V795" s="280"/>
      <c r="W795" s="277"/>
      <c r="X795" s="277"/>
      <c r="Y795" s="277"/>
      <c r="Z795" s="277"/>
      <c r="AA795" s="277"/>
      <c r="AB795" s="277"/>
      <c r="AC795" s="277"/>
      <c r="AD795" s="277"/>
      <c r="AE795" s="277"/>
      <c r="AF795" s="277"/>
    </row>
    <row r="796" ht="12.75" customHeight="1">
      <c r="A796" s="277"/>
      <c r="B796" s="278"/>
      <c r="C796" s="277"/>
      <c r="D796" s="278"/>
      <c r="E796" s="279"/>
      <c r="F796" s="277"/>
      <c r="G796" s="277"/>
      <c r="H796" s="277"/>
      <c r="I796" s="277"/>
      <c r="J796" s="277"/>
      <c r="K796" s="277"/>
      <c r="L796" s="277"/>
      <c r="M796" s="277"/>
      <c r="N796" s="277"/>
      <c r="O796" s="277"/>
      <c r="P796" s="277"/>
      <c r="Q796" s="277"/>
      <c r="R796" s="277"/>
      <c r="S796" s="277"/>
      <c r="T796" s="277"/>
      <c r="U796" s="277"/>
      <c r="V796" s="280"/>
      <c r="W796" s="277"/>
      <c r="X796" s="277"/>
      <c r="Y796" s="277"/>
      <c r="Z796" s="277"/>
      <c r="AA796" s="277"/>
      <c r="AB796" s="277"/>
      <c r="AC796" s="277"/>
      <c r="AD796" s="277"/>
      <c r="AE796" s="277"/>
      <c r="AF796" s="277"/>
    </row>
    <row r="797" ht="12.75" customHeight="1">
      <c r="A797" s="277"/>
      <c r="B797" s="278"/>
      <c r="C797" s="277"/>
      <c r="D797" s="278"/>
      <c r="E797" s="279"/>
      <c r="F797" s="277"/>
      <c r="G797" s="277"/>
      <c r="H797" s="277"/>
      <c r="I797" s="277"/>
      <c r="J797" s="277"/>
      <c r="K797" s="277"/>
      <c r="L797" s="277"/>
      <c r="M797" s="277"/>
      <c r="N797" s="277"/>
      <c r="O797" s="277"/>
      <c r="P797" s="277"/>
      <c r="Q797" s="277"/>
      <c r="R797" s="277"/>
      <c r="S797" s="277"/>
      <c r="T797" s="277"/>
      <c r="U797" s="277"/>
      <c r="V797" s="280"/>
      <c r="W797" s="277"/>
      <c r="X797" s="277"/>
      <c r="Y797" s="277"/>
      <c r="Z797" s="277"/>
      <c r="AA797" s="277"/>
      <c r="AB797" s="277"/>
      <c r="AC797" s="277"/>
      <c r="AD797" s="277"/>
      <c r="AE797" s="277"/>
      <c r="AF797" s="277"/>
    </row>
    <row r="798" ht="12.75" customHeight="1">
      <c r="A798" s="277"/>
      <c r="B798" s="278"/>
      <c r="C798" s="277"/>
      <c r="D798" s="278"/>
      <c r="E798" s="279"/>
      <c r="F798" s="277"/>
      <c r="G798" s="277"/>
      <c r="H798" s="277"/>
      <c r="I798" s="277"/>
      <c r="J798" s="277"/>
      <c r="K798" s="277"/>
      <c r="L798" s="277"/>
      <c r="M798" s="277"/>
      <c r="N798" s="277"/>
      <c r="O798" s="277"/>
      <c r="P798" s="277"/>
      <c r="Q798" s="277"/>
      <c r="R798" s="277"/>
      <c r="S798" s="277"/>
      <c r="T798" s="277"/>
      <c r="U798" s="277"/>
      <c r="V798" s="280"/>
      <c r="W798" s="277"/>
      <c r="X798" s="277"/>
      <c r="Y798" s="277"/>
      <c r="Z798" s="277"/>
      <c r="AA798" s="277"/>
      <c r="AB798" s="277"/>
      <c r="AC798" s="277"/>
      <c r="AD798" s="277"/>
      <c r="AE798" s="277"/>
      <c r="AF798" s="277"/>
    </row>
    <row r="799" ht="12.75" customHeight="1">
      <c r="A799" s="277"/>
      <c r="B799" s="278"/>
      <c r="C799" s="277"/>
      <c r="D799" s="278"/>
      <c r="E799" s="279"/>
      <c r="F799" s="277"/>
      <c r="G799" s="277"/>
      <c r="H799" s="277"/>
      <c r="I799" s="277"/>
      <c r="J799" s="277"/>
      <c r="K799" s="277"/>
      <c r="L799" s="277"/>
      <c r="M799" s="277"/>
      <c r="N799" s="277"/>
      <c r="O799" s="277"/>
      <c r="P799" s="277"/>
      <c r="Q799" s="277"/>
      <c r="R799" s="277"/>
      <c r="S799" s="277"/>
      <c r="T799" s="277"/>
      <c r="U799" s="277"/>
      <c r="V799" s="280"/>
      <c r="W799" s="277"/>
      <c r="X799" s="277"/>
      <c r="Y799" s="277"/>
      <c r="Z799" s="277"/>
      <c r="AA799" s="277"/>
      <c r="AB799" s="277"/>
      <c r="AC799" s="277"/>
      <c r="AD799" s="277"/>
      <c r="AE799" s="277"/>
      <c r="AF799" s="277"/>
    </row>
    <row r="800" ht="12.75" customHeight="1">
      <c r="A800" s="277"/>
      <c r="B800" s="278"/>
      <c r="C800" s="277"/>
      <c r="D800" s="278"/>
      <c r="E800" s="279"/>
      <c r="F800" s="277"/>
      <c r="G800" s="277"/>
      <c r="H800" s="277"/>
      <c r="I800" s="277"/>
      <c r="J800" s="277"/>
      <c r="K800" s="277"/>
      <c r="L800" s="277"/>
      <c r="M800" s="277"/>
      <c r="N800" s="277"/>
      <c r="O800" s="277"/>
      <c r="P800" s="277"/>
      <c r="Q800" s="277"/>
      <c r="R800" s="277"/>
      <c r="S800" s="277"/>
      <c r="T800" s="277"/>
      <c r="U800" s="277"/>
      <c r="V800" s="280"/>
      <c r="W800" s="277"/>
      <c r="X800" s="277"/>
      <c r="Y800" s="277"/>
      <c r="Z800" s="277"/>
      <c r="AA800" s="277"/>
      <c r="AB800" s="277"/>
      <c r="AC800" s="277"/>
      <c r="AD800" s="277"/>
      <c r="AE800" s="277"/>
      <c r="AF800" s="277"/>
    </row>
    <row r="801" ht="12.75" customHeight="1">
      <c r="A801" s="277"/>
      <c r="B801" s="278"/>
      <c r="C801" s="277"/>
      <c r="D801" s="278"/>
      <c r="E801" s="279"/>
      <c r="F801" s="277"/>
      <c r="G801" s="277"/>
      <c r="H801" s="277"/>
      <c r="I801" s="277"/>
      <c r="J801" s="277"/>
      <c r="K801" s="277"/>
      <c r="L801" s="277"/>
      <c r="M801" s="277"/>
      <c r="N801" s="277"/>
      <c r="O801" s="277"/>
      <c r="P801" s="277"/>
      <c r="Q801" s="277"/>
      <c r="R801" s="277"/>
      <c r="S801" s="277"/>
      <c r="T801" s="277"/>
      <c r="U801" s="277"/>
      <c r="V801" s="280"/>
      <c r="W801" s="277"/>
      <c r="X801" s="277"/>
      <c r="Y801" s="277"/>
      <c r="Z801" s="277"/>
      <c r="AA801" s="277"/>
      <c r="AB801" s="277"/>
      <c r="AC801" s="277"/>
      <c r="AD801" s="277"/>
      <c r="AE801" s="277"/>
      <c r="AF801" s="277"/>
    </row>
    <row r="802" ht="12.75" customHeight="1">
      <c r="A802" s="277"/>
      <c r="B802" s="278"/>
      <c r="C802" s="277"/>
      <c r="D802" s="278"/>
      <c r="E802" s="279"/>
      <c r="F802" s="277"/>
      <c r="G802" s="277"/>
      <c r="H802" s="277"/>
      <c r="I802" s="277"/>
      <c r="J802" s="277"/>
      <c r="K802" s="277"/>
      <c r="L802" s="277"/>
      <c r="M802" s="277"/>
      <c r="N802" s="277"/>
      <c r="O802" s="277"/>
      <c r="P802" s="277"/>
      <c r="Q802" s="277"/>
      <c r="R802" s="277"/>
      <c r="S802" s="277"/>
      <c r="T802" s="277"/>
      <c r="U802" s="277"/>
      <c r="V802" s="280"/>
      <c r="W802" s="277"/>
      <c r="X802" s="277"/>
      <c r="Y802" s="277"/>
      <c r="Z802" s="277"/>
      <c r="AA802" s="277"/>
      <c r="AB802" s="277"/>
      <c r="AC802" s="277"/>
      <c r="AD802" s="277"/>
      <c r="AE802" s="277"/>
      <c r="AF802" s="277"/>
    </row>
    <row r="803" ht="12.75" customHeight="1">
      <c r="A803" s="277"/>
      <c r="B803" s="278"/>
      <c r="C803" s="277"/>
      <c r="D803" s="278"/>
      <c r="E803" s="279"/>
      <c r="F803" s="277"/>
      <c r="G803" s="277"/>
      <c r="H803" s="277"/>
      <c r="I803" s="277"/>
      <c r="J803" s="277"/>
      <c r="K803" s="277"/>
      <c r="L803" s="277"/>
      <c r="M803" s="277"/>
      <c r="N803" s="277"/>
      <c r="O803" s="277"/>
      <c r="P803" s="277"/>
      <c r="Q803" s="277"/>
      <c r="R803" s="277"/>
      <c r="S803" s="277"/>
      <c r="T803" s="277"/>
      <c r="U803" s="277"/>
      <c r="V803" s="280"/>
      <c r="W803" s="277"/>
      <c r="X803" s="277"/>
      <c r="Y803" s="277"/>
      <c r="Z803" s="277"/>
      <c r="AA803" s="277"/>
      <c r="AB803" s="277"/>
      <c r="AC803" s="277"/>
      <c r="AD803" s="277"/>
      <c r="AE803" s="277"/>
      <c r="AF803" s="277"/>
    </row>
    <row r="804" ht="12.75" customHeight="1">
      <c r="A804" s="277"/>
      <c r="B804" s="278"/>
      <c r="C804" s="277"/>
      <c r="D804" s="278"/>
      <c r="E804" s="279"/>
      <c r="F804" s="277"/>
      <c r="G804" s="277"/>
      <c r="H804" s="277"/>
      <c r="I804" s="277"/>
      <c r="J804" s="277"/>
      <c r="K804" s="277"/>
      <c r="L804" s="277"/>
      <c r="M804" s="277"/>
      <c r="N804" s="277"/>
      <c r="O804" s="277"/>
      <c r="P804" s="277"/>
      <c r="Q804" s="277"/>
      <c r="R804" s="277"/>
      <c r="S804" s="277"/>
      <c r="T804" s="277"/>
      <c r="U804" s="277"/>
      <c r="V804" s="280"/>
      <c r="W804" s="277"/>
      <c r="X804" s="277"/>
      <c r="Y804" s="277"/>
      <c r="Z804" s="277"/>
      <c r="AA804" s="277"/>
      <c r="AB804" s="277"/>
      <c r="AC804" s="277"/>
      <c r="AD804" s="277"/>
      <c r="AE804" s="277"/>
      <c r="AF804" s="277"/>
    </row>
    <row r="805" ht="12.75" customHeight="1">
      <c r="A805" s="277"/>
      <c r="B805" s="278"/>
      <c r="C805" s="277"/>
      <c r="D805" s="278"/>
      <c r="E805" s="279"/>
      <c r="F805" s="277"/>
      <c r="G805" s="277"/>
      <c r="H805" s="277"/>
      <c r="I805" s="277"/>
      <c r="J805" s="277"/>
      <c r="K805" s="277"/>
      <c r="L805" s="277"/>
      <c r="M805" s="277"/>
      <c r="N805" s="277"/>
      <c r="O805" s="277"/>
      <c r="P805" s="277"/>
      <c r="Q805" s="277"/>
      <c r="R805" s="277"/>
      <c r="S805" s="277"/>
      <c r="T805" s="277"/>
      <c r="U805" s="277"/>
      <c r="V805" s="280"/>
      <c r="W805" s="277"/>
      <c r="X805" s="277"/>
      <c r="Y805" s="277"/>
      <c r="Z805" s="277"/>
      <c r="AA805" s="277"/>
      <c r="AB805" s="277"/>
      <c r="AC805" s="277"/>
      <c r="AD805" s="277"/>
      <c r="AE805" s="277"/>
      <c r="AF805" s="277"/>
    </row>
    <row r="806" ht="12.75" customHeight="1">
      <c r="A806" s="277"/>
      <c r="B806" s="278"/>
      <c r="C806" s="277"/>
      <c r="D806" s="278"/>
      <c r="E806" s="279"/>
      <c r="F806" s="277"/>
      <c r="G806" s="277"/>
      <c r="H806" s="277"/>
      <c r="I806" s="277"/>
      <c r="J806" s="277"/>
      <c r="K806" s="277"/>
      <c r="L806" s="277"/>
      <c r="M806" s="277"/>
      <c r="N806" s="277"/>
      <c r="O806" s="277"/>
      <c r="P806" s="277"/>
      <c r="Q806" s="277"/>
      <c r="R806" s="277"/>
      <c r="S806" s="277"/>
      <c r="T806" s="277"/>
      <c r="U806" s="277"/>
      <c r="V806" s="280"/>
      <c r="W806" s="277"/>
      <c r="X806" s="277"/>
      <c r="Y806" s="277"/>
      <c r="Z806" s="277"/>
      <c r="AA806" s="277"/>
      <c r="AB806" s="277"/>
      <c r="AC806" s="277"/>
      <c r="AD806" s="277"/>
      <c r="AE806" s="277"/>
      <c r="AF806" s="277"/>
    </row>
    <row r="807" ht="12.75" customHeight="1">
      <c r="A807" s="277"/>
      <c r="B807" s="278"/>
      <c r="C807" s="277"/>
      <c r="D807" s="278"/>
      <c r="E807" s="279"/>
      <c r="F807" s="277"/>
      <c r="G807" s="277"/>
      <c r="H807" s="277"/>
      <c r="I807" s="277"/>
      <c r="J807" s="277"/>
      <c r="K807" s="277"/>
      <c r="L807" s="277"/>
      <c r="M807" s="277"/>
      <c r="N807" s="277"/>
      <c r="O807" s="277"/>
      <c r="P807" s="277"/>
      <c r="Q807" s="277"/>
      <c r="R807" s="277"/>
      <c r="S807" s="277"/>
      <c r="T807" s="277"/>
      <c r="U807" s="277"/>
      <c r="V807" s="280"/>
      <c r="W807" s="277"/>
      <c r="X807" s="277"/>
      <c r="Y807" s="277"/>
      <c r="Z807" s="277"/>
      <c r="AA807" s="277"/>
      <c r="AB807" s="277"/>
      <c r="AC807" s="277"/>
      <c r="AD807" s="277"/>
      <c r="AE807" s="277"/>
      <c r="AF807" s="277"/>
    </row>
    <row r="808" ht="12.75" customHeight="1">
      <c r="A808" s="277"/>
      <c r="B808" s="278"/>
      <c r="C808" s="277"/>
      <c r="D808" s="278"/>
      <c r="E808" s="279"/>
      <c r="F808" s="277"/>
      <c r="G808" s="277"/>
      <c r="H808" s="277"/>
      <c r="I808" s="277"/>
      <c r="J808" s="277"/>
      <c r="K808" s="277"/>
      <c r="L808" s="277"/>
      <c r="M808" s="277"/>
      <c r="N808" s="277"/>
      <c r="O808" s="277"/>
      <c r="P808" s="277"/>
      <c r="Q808" s="277"/>
      <c r="R808" s="277"/>
      <c r="S808" s="277"/>
      <c r="T808" s="277"/>
      <c r="U808" s="277"/>
      <c r="V808" s="280"/>
      <c r="W808" s="277"/>
      <c r="X808" s="277"/>
      <c r="Y808" s="277"/>
      <c r="Z808" s="277"/>
      <c r="AA808" s="277"/>
      <c r="AB808" s="277"/>
      <c r="AC808" s="277"/>
      <c r="AD808" s="277"/>
      <c r="AE808" s="277"/>
      <c r="AF808" s="277"/>
    </row>
    <row r="809" ht="12.75" customHeight="1">
      <c r="A809" s="277"/>
      <c r="B809" s="278"/>
      <c r="C809" s="277"/>
      <c r="D809" s="278"/>
      <c r="E809" s="279"/>
      <c r="F809" s="277"/>
      <c r="G809" s="277"/>
      <c r="H809" s="277"/>
      <c r="I809" s="277"/>
      <c r="J809" s="277"/>
      <c r="K809" s="277"/>
      <c r="L809" s="277"/>
      <c r="M809" s="277"/>
      <c r="N809" s="277"/>
      <c r="O809" s="277"/>
      <c r="P809" s="277"/>
      <c r="Q809" s="277"/>
      <c r="R809" s="277"/>
      <c r="S809" s="277"/>
      <c r="T809" s="277"/>
      <c r="U809" s="277"/>
      <c r="V809" s="280"/>
      <c r="W809" s="277"/>
      <c r="X809" s="277"/>
      <c r="Y809" s="277"/>
      <c r="Z809" s="277"/>
      <c r="AA809" s="277"/>
      <c r="AB809" s="277"/>
      <c r="AC809" s="277"/>
      <c r="AD809" s="277"/>
      <c r="AE809" s="277"/>
      <c r="AF809" s="277"/>
    </row>
    <row r="810" ht="12.75" customHeight="1">
      <c r="A810" s="277"/>
      <c r="B810" s="278"/>
      <c r="C810" s="277"/>
      <c r="D810" s="278"/>
      <c r="E810" s="279"/>
      <c r="F810" s="277"/>
      <c r="G810" s="277"/>
      <c r="H810" s="277"/>
      <c r="I810" s="277"/>
      <c r="J810" s="277"/>
      <c r="K810" s="277"/>
      <c r="L810" s="277"/>
      <c r="M810" s="277"/>
      <c r="N810" s="277"/>
      <c r="O810" s="277"/>
      <c r="P810" s="277"/>
      <c r="Q810" s="277"/>
      <c r="R810" s="277"/>
      <c r="S810" s="277"/>
      <c r="T810" s="277"/>
      <c r="U810" s="277"/>
      <c r="V810" s="280"/>
      <c r="W810" s="277"/>
      <c r="X810" s="277"/>
      <c r="Y810" s="277"/>
      <c r="Z810" s="277"/>
      <c r="AA810" s="277"/>
      <c r="AB810" s="277"/>
      <c r="AC810" s="277"/>
      <c r="AD810" s="277"/>
      <c r="AE810" s="277"/>
      <c r="AF810" s="277"/>
    </row>
    <row r="811" ht="12.75" customHeight="1">
      <c r="A811" s="277"/>
      <c r="B811" s="278"/>
      <c r="C811" s="277"/>
      <c r="D811" s="278"/>
      <c r="E811" s="279"/>
      <c r="F811" s="277"/>
      <c r="G811" s="277"/>
      <c r="H811" s="277"/>
      <c r="I811" s="277"/>
      <c r="J811" s="277"/>
      <c r="K811" s="277"/>
      <c r="L811" s="277"/>
      <c r="M811" s="277"/>
      <c r="N811" s="277"/>
      <c r="O811" s="277"/>
      <c r="P811" s="277"/>
      <c r="Q811" s="277"/>
      <c r="R811" s="277"/>
      <c r="S811" s="277"/>
      <c r="T811" s="277"/>
      <c r="U811" s="277"/>
      <c r="V811" s="280"/>
      <c r="W811" s="277"/>
      <c r="X811" s="277"/>
      <c r="Y811" s="277"/>
      <c r="Z811" s="277"/>
      <c r="AA811" s="277"/>
      <c r="AB811" s="277"/>
      <c r="AC811" s="277"/>
      <c r="AD811" s="277"/>
      <c r="AE811" s="277"/>
      <c r="AF811" s="277"/>
    </row>
    <row r="812" ht="12.75" customHeight="1">
      <c r="A812" s="277"/>
      <c r="B812" s="278"/>
      <c r="C812" s="277"/>
      <c r="D812" s="278"/>
      <c r="E812" s="279"/>
      <c r="F812" s="277"/>
      <c r="G812" s="277"/>
      <c r="H812" s="277"/>
      <c r="I812" s="277"/>
      <c r="J812" s="277"/>
      <c r="K812" s="277"/>
      <c r="L812" s="277"/>
      <c r="M812" s="277"/>
      <c r="N812" s="277"/>
      <c r="O812" s="277"/>
      <c r="P812" s="277"/>
      <c r="Q812" s="277"/>
      <c r="R812" s="277"/>
      <c r="S812" s="277"/>
      <c r="T812" s="277"/>
      <c r="U812" s="277"/>
      <c r="V812" s="280"/>
      <c r="W812" s="277"/>
      <c r="X812" s="277"/>
      <c r="Y812" s="277"/>
      <c r="Z812" s="277"/>
      <c r="AA812" s="277"/>
      <c r="AB812" s="277"/>
      <c r="AC812" s="277"/>
      <c r="AD812" s="277"/>
      <c r="AE812" s="277"/>
      <c r="AF812" s="277"/>
    </row>
    <row r="813" ht="12.75" customHeight="1">
      <c r="A813" s="277"/>
      <c r="B813" s="278"/>
      <c r="C813" s="277"/>
      <c r="D813" s="278"/>
      <c r="E813" s="279"/>
      <c r="F813" s="277"/>
      <c r="G813" s="277"/>
      <c r="H813" s="277"/>
      <c r="I813" s="277"/>
      <c r="J813" s="277"/>
      <c r="K813" s="277"/>
      <c r="L813" s="277"/>
      <c r="M813" s="277"/>
      <c r="N813" s="277"/>
      <c r="O813" s="277"/>
      <c r="P813" s="277"/>
      <c r="Q813" s="277"/>
      <c r="R813" s="277"/>
      <c r="S813" s="277"/>
      <c r="T813" s="277"/>
      <c r="U813" s="277"/>
      <c r="V813" s="280"/>
      <c r="W813" s="277"/>
      <c r="X813" s="277"/>
      <c r="Y813" s="277"/>
      <c r="Z813" s="277"/>
      <c r="AA813" s="277"/>
      <c r="AB813" s="277"/>
      <c r="AC813" s="277"/>
      <c r="AD813" s="277"/>
      <c r="AE813" s="277"/>
      <c r="AF813" s="277"/>
    </row>
    <row r="814" ht="12.75" customHeight="1">
      <c r="A814" s="277"/>
      <c r="B814" s="278"/>
      <c r="C814" s="277"/>
      <c r="D814" s="278"/>
      <c r="E814" s="279"/>
      <c r="F814" s="277"/>
      <c r="G814" s="277"/>
      <c r="H814" s="277"/>
      <c r="I814" s="277"/>
      <c r="J814" s="277"/>
      <c r="K814" s="277"/>
      <c r="L814" s="277"/>
      <c r="M814" s="277"/>
      <c r="N814" s="277"/>
      <c r="O814" s="277"/>
      <c r="P814" s="277"/>
      <c r="Q814" s="277"/>
      <c r="R814" s="277"/>
      <c r="S814" s="277"/>
      <c r="T814" s="277"/>
      <c r="U814" s="277"/>
      <c r="V814" s="280"/>
      <c r="W814" s="277"/>
      <c r="X814" s="277"/>
      <c r="Y814" s="277"/>
      <c r="Z814" s="277"/>
      <c r="AA814" s="277"/>
      <c r="AB814" s="277"/>
      <c r="AC814" s="277"/>
      <c r="AD814" s="277"/>
      <c r="AE814" s="277"/>
      <c r="AF814" s="277"/>
    </row>
    <row r="815" ht="12.75" customHeight="1">
      <c r="A815" s="277"/>
      <c r="B815" s="278"/>
      <c r="C815" s="277"/>
      <c r="D815" s="278"/>
      <c r="E815" s="279"/>
      <c r="F815" s="277"/>
      <c r="G815" s="277"/>
      <c r="H815" s="277"/>
      <c r="I815" s="277"/>
      <c r="J815" s="277"/>
      <c r="K815" s="277"/>
      <c r="L815" s="277"/>
      <c r="M815" s="277"/>
      <c r="N815" s="277"/>
      <c r="O815" s="277"/>
      <c r="P815" s="277"/>
      <c r="Q815" s="277"/>
      <c r="R815" s="277"/>
      <c r="S815" s="277"/>
      <c r="T815" s="277"/>
      <c r="U815" s="277"/>
      <c r="V815" s="280"/>
      <c r="W815" s="277"/>
      <c r="X815" s="277"/>
      <c r="Y815" s="277"/>
      <c r="Z815" s="277"/>
      <c r="AA815" s="277"/>
      <c r="AB815" s="277"/>
      <c r="AC815" s="277"/>
      <c r="AD815" s="277"/>
      <c r="AE815" s="277"/>
      <c r="AF815" s="277"/>
    </row>
    <row r="816" ht="12.75" customHeight="1">
      <c r="A816" s="277"/>
      <c r="B816" s="278"/>
      <c r="C816" s="277"/>
      <c r="D816" s="278"/>
      <c r="E816" s="279"/>
      <c r="F816" s="277"/>
      <c r="G816" s="277"/>
      <c r="H816" s="277"/>
      <c r="I816" s="277"/>
      <c r="J816" s="277"/>
      <c r="K816" s="277"/>
      <c r="L816" s="277"/>
      <c r="M816" s="277"/>
      <c r="N816" s="277"/>
      <c r="O816" s="277"/>
      <c r="P816" s="277"/>
      <c r="Q816" s="277"/>
      <c r="R816" s="277"/>
      <c r="S816" s="277"/>
      <c r="T816" s="277"/>
      <c r="U816" s="277"/>
      <c r="V816" s="280"/>
      <c r="W816" s="277"/>
      <c r="X816" s="277"/>
      <c r="Y816" s="277"/>
      <c r="Z816" s="277"/>
      <c r="AA816" s="277"/>
      <c r="AB816" s="277"/>
      <c r="AC816" s="277"/>
      <c r="AD816" s="277"/>
      <c r="AE816" s="277"/>
      <c r="AF816" s="277"/>
    </row>
    <row r="817" ht="12.75" customHeight="1">
      <c r="A817" s="277"/>
      <c r="B817" s="278"/>
      <c r="C817" s="277"/>
      <c r="D817" s="278"/>
      <c r="E817" s="279"/>
      <c r="F817" s="277"/>
      <c r="G817" s="277"/>
      <c r="H817" s="277"/>
      <c r="I817" s="277"/>
      <c r="J817" s="277"/>
      <c r="K817" s="277"/>
      <c r="L817" s="277"/>
      <c r="M817" s="277"/>
      <c r="N817" s="277"/>
      <c r="O817" s="277"/>
      <c r="P817" s="277"/>
      <c r="Q817" s="277"/>
      <c r="R817" s="277"/>
      <c r="S817" s="277"/>
      <c r="T817" s="277"/>
      <c r="U817" s="277"/>
      <c r="V817" s="280"/>
      <c r="W817" s="277"/>
      <c r="X817" s="277"/>
      <c r="Y817" s="277"/>
      <c r="Z817" s="277"/>
      <c r="AA817" s="277"/>
      <c r="AB817" s="277"/>
      <c r="AC817" s="277"/>
      <c r="AD817" s="277"/>
      <c r="AE817" s="277"/>
      <c r="AF817" s="277"/>
    </row>
    <row r="818" ht="12.75" customHeight="1">
      <c r="A818" s="277"/>
      <c r="B818" s="278"/>
      <c r="C818" s="277"/>
      <c r="D818" s="278"/>
      <c r="E818" s="279"/>
      <c r="F818" s="277"/>
      <c r="G818" s="277"/>
      <c r="H818" s="277"/>
      <c r="I818" s="277"/>
      <c r="J818" s="277"/>
      <c r="K818" s="277"/>
      <c r="L818" s="277"/>
      <c r="M818" s="277"/>
      <c r="N818" s="277"/>
      <c r="O818" s="277"/>
      <c r="P818" s="277"/>
      <c r="Q818" s="277"/>
      <c r="R818" s="277"/>
      <c r="S818" s="277"/>
      <c r="T818" s="277"/>
      <c r="U818" s="277"/>
      <c r="V818" s="280"/>
      <c r="W818" s="277"/>
      <c r="X818" s="277"/>
      <c r="Y818" s="277"/>
      <c r="Z818" s="277"/>
      <c r="AA818" s="277"/>
      <c r="AB818" s="277"/>
      <c r="AC818" s="277"/>
      <c r="AD818" s="277"/>
      <c r="AE818" s="277"/>
      <c r="AF818" s="277"/>
    </row>
    <row r="819" ht="12.75" customHeight="1">
      <c r="A819" s="277"/>
      <c r="B819" s="278"/>
      <c r="C819" s="277"/>
      <c r="D819" s="278"/>
      <c r="E819" s="279"/>
      <c r="F819" s="277"/>
      <c r="G819" s="277"/>
      <c r="H819" s="277"/>
      <c r="I819" s="277"/>
      <c r="J819" s="277"/>
      <c r="K819" s="277"/>
      <c r="L819" s="277"/>
      <c r="M819" s="277"/>
      <c r="N819" s="277"/>
      <c r="O819" s="277"/>
      <c r="P819" s="277"/>
      <c r="Q819" s="277"/>
      <c r="R819" s="277"/>
      <c r="S819" s="277"/>
      <c r="T819" s="277"/>
      <c r="U819" s="277"/>
      <c r="V819" s="280"/>
      <c r="W819" s="277"/>
      <c r="X819" s="277"/>
      <c r="Y819" s="277"/>
      <c r="Z819" s="277"/>
      <c r="AA819" s="277"/>
      <c r="AB819" s="277"/>
      <c r="AC819" s="277"/>
      <c r="AD819" s="277"/>
      <c r="AE819" s="277"/>
      <c r="AF819" s="277"/>
    </row>
    <row r="820" ht="12.75" customHeight="1">
      <c r="A820" s="277"/>
      <c r="B820" s="278"/>
      <c r="C820" s="277"/>
      <c r="D820" s="278"/>
      <c r="E820" s="279"/>
      <c r="F820" s="277"/>
      <c r="G820" s="277"/>
      <c r="H820" s="277"/>
      <c r="I820" s="277"/>
      <c r="J820" s="277"/>
      <c r="K820" s="277"/>
      <c r="L820" s="277"/>
      <c r="M820" s="277"/>
      <c r="N820" s="277"/>
      <c r="O820" s="277"/>
      <c r="P820" s="277"/>
      <c r="Q820" s="277"/>
      <c r="R820" s="277"/>
      <c r="S820" s="277"/>
      <c r="T820" s="277"/>
      <c r="U820" s="277"/>
      <c r="V820" s="280"/>
      <c r="W820" s="277"/>
      <c r="X820" s="277"/>
      <c r="Y820" s="277"/>
      <c r="Z820" s="277"/>
      <c r="AA820" s="277"/>
      <c r="AB820" s="277"/>
      <c r="AC820" s="277"/>
      <c r="AD820" s="277"/>
      <c r="AE820" s="277"/>
      <c r="AF820" s="277"/>
    </row>
    <row r="821" ht="12.75" customHeight="1">
      <c r="A821" s="277"/>
      <c r="B821" s="278"/>
      <c r="C821" s="277"/>
      <c r="D821" s="278"/>
      <c r="E821" s="279"/>
      <c r="F821" s="277"/>
      <c r="G821" s="277"/>
      <c r="H821" s="277"/>
      <c r="I821" s="277"/>
      <c r="J821" s="277"/>
      <c r="K821" s="277"/>
      <c r="L821" s="277"/>
      <c r="M821" s="277"/>
      <c r="N821" s="277"/>
      <c r="O821" s="277"/>
      <c r="P821" s="277"/>
      <c r="Q821" s="277"/>
      <c r="R821" s="277"/>
      <c r="S821" s="277"/>
      <c r="T821" s="277"/>
      <c r="U821" s="277"/>
      <c r="V821" s="280"/>
      <c r="W821" s="277"/>
      <c r="X821" s="277"/>
      <c r="Y821" s="277"/>
      <c r="Z821" s="277"/>
      <c r="AA821" s="277"/>
      <c r="AB821" s="277"/>
      <c r="AC821" s="277"/>
      <c r="AD821" s="277"/>
      <c r="AE821" s="277"/>
      <c r="AF821" s="277"/>
    </row>
    <row r="822" ht="12.75" customHeight="1">
      <c r="A822" s="277"/>
      <c r="B822" s="278"/>
      <c r="C822" s="277"/>
      <c r="D822" s="278"/>
      <c r="E822" s="279"/>
      <c r="F822" s="277"/>
      <c r="G822" s="277"/>
      <c r="H822" s="277"/>
      <c r="I822" s="277"/>
      <c r="J822" s="277"/>
      <c r="K822" s="277"/>
      <c r="L822" s="277"/>
      <c r="M822" s="277"/>
      <c r="N822" s="277"/>
      <c r="O822" s="277"/>
      <c r="P822" s="277"/>
      <c r="Q822" s="277"/>
      <c r="R822" s="277"/>
      <c r="S822" s="277"/>
      <c r="T822" s="277"/>
      <c r="U822" s="277"/>
      <c r="V822" s="280"/>
      <c r="W822" s="277"/>
      <c r="X822" s="277"/>
      <c r="Y822" s="277"/>
      <c r="Z822" s="277"/>
      <c r="AA822" s="277"/>
      <c r="AB822" s="277"/>
      <c r="AC822" s="277"/>
      <c r="AD822" s="277"/>
      <c r="AE822" s="277"/>
      <c r="AF822" s="277"/>
    </row>
    <row r="823" ht="12.75" customHeight="1">
      <c r="A823" s="277"/>
      <c r="B823" s="278"/>
      <c r="C823" s="277"/>
      <c r="D823" s="278"/>
      <c r="E823" s="279"/>
      <c r="F823" s="277"/>
      <c r="G823" s="277"/>
      <c r="H823" s="277"/>
      <c r="I823" s="277"/>
      <c r="J823" s="277"/>
      <c r="K823" s="277"/>
      <c r="L823" s="277"/>
      <c r="M823" s="277"/>
      <c r="N823" s="277"/>
      <c r="O823" s="277"/>
      <c r="P823" s="277"/>
      <c r="Q823" s="277"/>
      <c r="R823" s="277"/>
      <c r="S823" s="277"/>
      <c r="T823" s="277"/>
      <c r="U823" s="277"/>
      <c r="V823" s="280"/>
      <c r="W823" s="277"/>
      <c r="X823" s="277"/>
      <c r="Y823" s="277"/>
      <c r="Z823" s="277"/>
      <c r="AA823" s="277"/>
      <c r="AB823" s="277"/>
      <c r="AC823" s="277"/>
      <c r="AD823" s="277"/>
      <c r="AE823" s="277"/>
      <c r="AF823" s="277"/>
    </row>
    <row r="824" ht="12.75" customHeight="1">
      <c r="A824" s="277"/>
      <c r="B824" s="278"/>
      <c r="C824" s="277"/>
      <c r="D824" s="278"/>
      <c r="E824" s="279"/>
      <c r="F824" s="277"/>
      <c r="G824" s="277"/>
      <c r="H824" s="277"/>
      <c r="I824" s="277"/>
      <c r="J824" s="277"/>
      <c r="K824" s="277"/>
      <c r="L824" s="277"/>
      <c r="M824" s="277"/>
      <c r="N824" s="277"/>
      <c r="O824" s="277"/>
      <c r="P824" s="277"/>
      <c r="Q824" s="277"/>
      <c r="R824" s="277"/>
      <c r="S824" s="277"/>
      <c r="T824" s="277"/>
      <c r="U824" s="277"/>
      <c r="V824" s="280"/>
      <c r="W824" s="277"/>
      <c r="X824" s="277"/>
      <c r="Y824" s="277"/>
      <c r="Z824" s="277"/>
      <c r="AA824" s="277"/>
      <c r="AB824" s="277"/>
      <c r="AC824" s="277"/>
      <c r="AD824" s="277"/>
      <c r="AE824" s="277"/>
      <c r="AF824" s="277"/>
    </row>
    <row r="825" ht="12.75" customHeight="1">
      <c r="A825" s="277"/>
      <c r="B825" s="278"/>
      <c r="C825" s="277"/>
      <c r="D825" s="278"/>
      <c r="E825" s="279"/>
      <c r="F825" s="277"/>
      <c r="G825" s="277"/>
      <c r="H825" s="277"/>
      <c r="I825" s="277"/>
      <c r="J825" s="277"/>
      <c r="K825" s="277"/>
      <c r="L825" s="277"/>
      <c r="M825" s="277"/>
      <c r="N825" s="277"/>
      <c r="O825" s="277"/>
      <c r="P825" s="277"/>
      <c r="Q825" s="277"/>
      <c r="R825" s="277"/>
      <c r="S825" s="277"/>
      <c r="T825" s="277"/>
      <c r="U825" s="277"/>
      <c r="V825" s="280"/>
      <c r="W825" s="277"/>
      <c r="X825" s="277"/>
      <c r="Y825" s="277"/>
      <c r="Z825" s="277"/>
      <c r="AA825" s="277"/>
      <c r="AB825" s="277"/>
      <c r="AC825" s="277"/>
      <c r="AD825" s="277"/>
      <c r="AE825" s="277"/>
      <c r="AF825" s="277"/>
    </row>
    <row r="826" ht="12.75" customHeight="1">
      <c r="A826" s="277"/>
      <c r="B826" s="278"/>
      <c r="C826" s="277"/>
      <c r="D826" s="278"/>
      <c r="E826" s="279"/>
      <c r="F826" s="277"/>
      <c r="G826" s="277"/>
      <c r="H826" s="277"/>
      <c r="I826" s="277"/>
      <c r="J826" s="277"/>
      <c r="K826" s="277"/>
      <c r="L826" s="277"/>
      <c r="M826" s="277"/>
      <c r="N826" s="277"/>
      <c r="O826" s="277"/>
      <c r="P826" s="277"/>
      <c r="Q826" s="277"/>
      <c r="R826" s="277"/>
      <c r="S826" s="277"/>
      <c r="T826" s="277"/>
      <c r="U826" s="277"/>
      <c r="V826" s="280"/>
      <c r="W826" s="277"/>
      <c r="X826" s="277"/>
      <c r="Y826" s="277"/>
      <c r="Z826" s="277"/>
      <c r="AA826" s="277"/>
      <c r="AB826" s="277"/>
      <c r="AC826" s="277"/>
      <c r="AD826" s="277"/>
      <c r="AE826" s="277"/>
      <c r="AF826" s="277"/>
    </row>
    <row r="827" ht="12.75" customHeight="1">
      <c r="A827" s="277"/>
      <c r="B827" s="278"/>
      <c r="C827" s="277"/>
      <c r="D827" s="278"/>
      <c r="E827" s="279"/>
      <c r="F827" s="277"/>
      <c r="G827" s="277"/>
      <c r="H827" s="277"/>
      <c r="I827" s="277"/>
      <c r="J827" s="277"/>
      <c r="K827" s="277"/>
      <c r="L827" s="277"/>
      <c r="M827" s="277"/>
      <c r="N827" s="277"/>
      <c r="O827" s="277"/>
      <c r="P827" s="277"/>
      <c r="Q827" s="277"/>
      <c r="R827" s="277"/>
      <c r="S827" s="277"/>
      <c r="T827" s="277"/>
      <c r="U827" s="277"/>
      <c r="V827" s="280"/>
      <c r="W827" s="277"/>
      <c r="X827" s="277"/>
      <c r="Y827" s="277"/>
      <c r="Z827" s="277"/>
      <c r="AA827" s="277"/>
      <c r="AB827" s="277"/>
      <c r="AC827" s="277"/>
      <c r="AD827" s="277"/>
      <c r="AE827" s="277"/>
      <c r="AF827" s="277"/>
    </row>
    <row r="828" ht="12.75" customHeight="1">
      <c r="A828" s="277"/>
      <c r="B828" s="278"/>
      <c r="C828" s="277"/>
      <c r="D828" s="278"/>
      <c r="E828" s="279"/>
      <c r="F828" s="277"/>
      <c r="G828" s="277"/>
      <c r="H828" s="277"/>
      <c r="I828" s="277"/>
      <c r="J828" s="277"/>
      <c r="K828" s="277"/>
      <c r="L828" s="277"/>
      <c r="M828" s="277"/>
      <c r="N828" s="277"/>
      <c r="O828" s="277"/>
      <c r="P828" s="277"/>
      <c r="Q828" s="277"/>
      <c r="R828" s="277"/>
      <c r="S828" s="277"/>
      <c r="T828" s="277"/>
      <c r="U828" s="277"/>
      <c r="V828" s="280"/>
      <c r="W828" s="277"/>
      <c r="X828" s="277"/>
      <c r="Y828" s="277"/>
      <c r="Z828" s="277"/>
      <c r="AA828" s="277"/>
      <c r="AB828" s="277"/>
      <c r="AC828" s="277"/>
      <c r="AD828" s="277"/>
      <c r="AE828" s="277"/>
      <c r="AF828" s="277"/>
    </row>
    <row r="829" ht="12.75" customHeight="1">
      <c r="A829" s="277"/>
      <c r="B829" s="278"/>
      <c r="C829" s="277"/>
      <c r="D829" s="278"/>
      <c r="E829" s="279"/>
      <c r="F829" s="277"/>
      <c r="G829" s="277"/>
      <c r="H829" s="277"/>
      <c r="I829" s="277"/>
      <c r="J829" s="277"/>
      <c r="K829" s="277"/>
      <c r="L829" s="277"/>
      <c r="M829" s="277"/>
      <c r="N829" s="277"/>
      <c r="O829" s="277"/>
      <c r="P829" s="277"/>
      <c r="Q829" s="277"/>
      <c r="R829" s="277"/>
      <c r="S829" s="277"/>
      <c r="T829" s="277"/>
      <c r="U829" s="277"/>
      <c r="V829" s="280"/>
      <c r="W829" s="277"/>
      <c r="X829" s="277"/>
      <c r="Y829" s="277"/>
      <c r="Z829" s="277"/>
      <c r="AA829" s="277"/>
      <c r="AB829" s="277"/>
      <c r="AC829" s="277"/>
      <c r="AD829" s="277"/>
      <c r="AE829" s="277"/>
      <c r="AF829" s="277"/>
    </row>
    <row r="830" ht="12.75" customHeight="1">
      <c r="A830" s="277"/>
      <c r="B830" s="278"/>
      <c r="C830" s="277"/>
      <c r="D830" s="278"/>
      <c r="E830" s="279"/>
      <c r="F830" s="277"/>
      <c r="G830" s="277"/>
      <c r="H830" s="277"/>
      <c r="I830" s="277"/>
      <c r="J830" s="277"/>
      <c r="K830" s="277"/>
      <c r="L830" s="277"/>
      <c r="M830" s="277"/>
      <c r="N830" s="277"/>
      <c r="O830" s="277"/>
      <c r="P830" s="277"/>
      <c r="Q830" s="277"/>
      <c r="R830" s="277"/>
      <c r="S830" s="277"/>
      <c r="T830" s="277"/>
      <c r="U830" s="277"/>
      <c r="V830" s="280"/>
      <c r="W830" s="277"/>
      <c r="X830" s="277"/>
      <c r="Y830" s="277"/>
      <c r="Z830" s="277"/>
      <c r="AA830" s="277"/>
      <c r="AB830" s="277"/>
      <c r="AC830" s="277"/>
      <c r="AD830" s="277"/>
      <c r="AE830" s="277"/>
      <c r="AF830" s="277"/>
    </row>
    <row r="831" ht="12.75" customHeight="1">
      <c r="A831" s="277"/>
      <c r="B831" s="278"/>
      <c r="C831" s="277"/>
      <c r="D831" s="278"/>
      <c r="E831" s="279"/>
      <c r="F831" s="277"/>
      <c r="G831" s="277"/>
      <c r="H831" s="277"/>
      <c r="I831" s="277"/>
      <c r="J831" s="277"/>
      <c r="K831" s="277"/>
      <c r="L831" s="277"/>
      <c r="M831" s="277"/>
      <c r="N831" s="277"/>
      <c r="O831" s="277"/>
      <c r="P831" s="277"/>
      <c r="Q831" s="277"/>
      <c r="R831" s="277"/>
      <c r="S831" s="277"/>
      <c r="T831" s="277"/>
      <c r="U831" s="277"/>
      <c r="V831" s="280"/>
      <c r="W831" s="277"/>
      <c r="X831" s="277"/>
      <c r="Y831" s="277"/>
      <c r="Z831" s="277"/>
      <c r="AA831" s="277"/>
      <c r="AB831" s="277"/>
      <c r="AC831" s="277"/>
      <c r="AD831" s="277"/>
      <c r="AE831" s="277"/>
      <c r="AF831" s="277"/>
    </row>
    <row r="832" ht="12.75" customHeight="1">
      <c r="A832" s="277"/>
      <c r="B832" s="278"/>
      <c r="C832" s="277"/>
      <c r="D832" s="278"/>
      <c r="E832" s="279"/>
      <c r="F832" s="277"/>
      <c r="G832" s="277"/>
      <c r="H832" s="277"/>
      <c r="I832" s="277"/>
      <c r="J832" s="277"/>
      <c r="K832" s="277"/>
      <c r="L832" s="277"/>
      <c r="M832" s="277"/>
      <c r="N832" s="277"/>
      <c r="O832" s="277"/>
      <c r="P832" s="277"/>
      <c r="Q832" s="277"/>
      <c r="R832" s="277"/>
      <c r="S832" s="277"/>
      <c r="T832" s="277"/>
      <c r="U832" s="277"/>
      <c r="V832" s="280"/>
      <c r="W832" s="277"/>
      <c r="X832" s="277"/>
      <c r="Y832" s="277"/>
      <c r="Z832" s="277"/>
      <c r="AA832" s="277"/>
      <c r="AB832" s="277"/>
      <c r="AC832" s="277"/>
      <c r="AD832" s="277"/>
      <c r="AE832" s="277"/>
      <c r="AF832" s="277"/>
    </row>
    <row r="833" ht="12.75" customHeight="1">
      <c r="A833" s="277"/>
      <c r="B833" s="278"/>
      <c r="C833" s="277"/>
      <c r="D833" s="278"/>
      <c r="E833" s="279"/>
      <c r="F833" s="277"/>
      <c r="G833" s="277"/>
      <c r="H833" s="277"/>
      <c r="I833" s="277"/>
      <c r="J833" s="277"/>
      <c r="K833" s="277"/>
      <c r="L833" s="277"/>
      <c r="M833" s="277"/>
      <c r="N833" s="277"/>
      <c r="O833" s="277"/>
      <c r="P833" s="277"/>
      <c r="Q833" s="277"/>
      <c r="R833" s="277"/>
      <c r="S833" s="277"/>
      <c r="T833" s="277"/>
      <c r="U833" s="277"/>
      <c r="V833" s="280"/>
      <c r="W833" s="277"/>
      <c r="X833" s="277"/>
      <c r="Y833" s="277"/>
      <c r="Z833" s="277"/>
      <c r="AA833" s="277"/>
      <c r="AB833" s="277"/>
      <c r="AC833" s="277"/>
      <c r="AD833" s="277"/>
      <c r="AE833" s="277"/>
      <c r="AF833" s="277"/>
    </row>
    <row r="834" ht="12.75" customHeight="1">
      <c r="A834" s="277"/>
      <c r="B834" s="278"/>
      <c r="C834" s="277"/>
      <c r="D834" s="278"/>
      <c r="E834" s="279"/>
      <c r="F834" s="277"/>
      <c r="G834" s="277"/>
      <c r="H834" s="277"/>
      <c r="I834" s="277"/>
      <c r="J834" s="277"/>
      <c r="K834" s="277"/>
      <c r="L834" s="277"/>
      <c r="M834" s="277"/>
      <c r="N834" s="277"/>
      <c r="O834" s="277"/>
      <c r="P834" s="277"/>
      <c r="Q834" s="277"/>
      <c r="R834" s="277"/>
      <c r="S834" s="277"/>
      <c r="T834" s="277"/>
      <c r="U834" s="277"/>
      <c r="V834" s="280"/>
      <c r="W834" s="277"/>
      <c r="X834" s="277"/>
      <c r="Y834" s="277"/>
      <c r="Z834" s="277"/>
      <c r="AA834" s="277"/>
      <c r="AB834" s="277"/>
      <c r="AC834" s="277"/>
      <c r="AD834" s="277"/>
      <c r="AE834" s="277"/>
      <c r="AF834" s="277"/>
    </row>
    <row r="835" ht="12.75" customHeight="1">
      <c r="A835" s="277"/>
      <c r="B835" s="278"/>
      <c r="C835" s="277"/>
      <c r="D835" s="278"/>
      <c r="E835" s="279"/>
      <c r="F835" s="277"/>
      <c r="G835" s="277"/>
      <c r="H835" s="277"/>
      <c r="I835" s="277"/>
      <c r="J835" s="277"/>
      <c r="K835" s="277"/>
      <c r="L835" s="277"/>
      <c r="M835" s="277"/>
      <c r="N835" s="277"/>
      <c r="O835" s="277"/>
      <c r="P835" s="277"/>
      <c r="Q835" s="277"/>
      <c r="R835" s="277"/>
      <c r="S835" s="277"/>
      <c r="T835" s="277"/>
      <c r="U835" s="277"/>
      <c r="V835" s="280"/>
      <c r="W835" s="277"/>
      <c r="X835" s="277"/>
      <c r="Y835" s="277"/>
      <c r="Z835" s="277"/>
      <c r="AA835" s="277"/>
      <c r="AB835" s="277"/>
      <c r="AC835" s="277"/>
      <c r="AD835" s="277"/>
      <c r="AE835" s="277"/>
      <c r="AF835" s="277"/>
    </row>
    <row r="836" ht="12.75" customHeight="1">
      <c r="A836" s="277"/>
      <c r="B836" s="278"/>
      <c r="C836" s="277"/>
      <c r="D836" s="278"/>
      <c r="E836" s="279"/>
      <c r="F836" s="277"/>
      <c r="G836" s="277"/>
      <c r="H836" s="277"/>
      <c r="I836" s="277"/>
      <c r="J836" s="277"/>
      <c r="K836" s="277"/>
      <c r="L836" s="277"/>
      <c r="M836" s="277"/>
      <c r="N836" s="277"/>
      <c r="O836" s="277"/>
      <c r="P836" s="277"/>
      <c r="Q836" s="277"/>
      <c r="R836" s="277"/>
      <c r="S836" s="277"/>
      <c r="T836" s="277"/>
      <c r="U836" s="277"/>
      <c r="V836" s="280"/>
      <c r="W836" s="277"/>
      <c r="X836" s="277"/>
      <c r="Y836" s="277"/>
      <c r="Z836" s="277"/>
      <c r="AA836" s="277"/>
      <c r="AB836" s="277"/>
      <c r="AC836" s="277"/>
      <c r="AD836" s="277"/>
      <c r="AE836" s="277"/>
      <c r="AF836" s="277"/>
    </row>
    <row r="837" ht="12.75" customHeight="1">
      <c r="A837" s="277"/>
      <c r="B837" s="278"/>
      <c r="C837" s="277"/>
      <c r="D837" s="278"/>
      <c r="E837" s="279"/>
      <c r="F837" s="277"/>
      <c r="G837" s="277"/>
      <c r="H837" s="277"/>
      <c r="I837" s="277"/>
      <c r="J837" s="277"/>
      <c r="K837" s="277"/>
      <c r="L837" s="277"/>
      <c r="M837" s="277"/>
      <c r="N837" s="277"/>
      <c r="O837" s="277"/>
      <c r="P837" s="277"/>
      <c r="Q837" s="277"/>
      <c r="R837" s="277"/>
      <c r="S837" s="277"/>
      <c r="T837" s="277"/>
      <c r="U837" s="277"/>
      <c r="V837" s="280"/>
      <c r="W837" s="277"/>
      <c r="X837" s="277"/>
      <c r="Y837" s="277"/>
      <c r="Z837" s="277"/>
      <c r="AA837" s="277"/>
      <c r="AB837" s="277"/>
      <c r="AC837" s="277"/>
      <c r="AD837" s="277"/>
      <c r="AE837" s="277"/>
      <c r="AF837" s="277"/>
    </row>
    <row r="838" ht="12.75" customHeight="1">
      <c r="A838" s="277"/>
      <c r="B838" s="278"/>
      <c r="C838" s="277"/>
      <c r="D838" s="278"/>
      <c r="E838" s="279"/>
      <c r="F838" s="277"/>
      <c r="G838" s="277"/>
      <c r="H838" s="277"/>
      <c r="I838" s="277"/>
      <c r="J838" s="277"/>
      <c r="K838" s="277"/>
      <c r="L838" s="277"/>
      <c r="M838" s="277"/>
      <c r="N838" s="277"/>
      <c r="O838" s="277"/>
      <c r="P838" s="277"/>
      <c r="Q838" s="277"/>
      <c r="R838" s="277"/>
      <c r="S838" s="277"/>
      <c r="T838" s="277"/>
      <c r="U838" s="277"/>
      <c r="V838" s="280"/>
      <c r="W838" s="277"/>
      <c r="X838" s="277"/>
      <c r="Y838" s="277"/>
      <c r="Z838" s="277"/>
      <c r="AA838" s="277"/>
      <c r="AB838" s="277"/>
      <c r="AC838" s="277"/>
      <c r="AD838" s="277"/>
      <c r="AE838" s="277"/>
      <c r="AF838" s="277"/>
    </row>
    <row r="839" ht="12.75" customHeight="1">
      <c r="A839" s="277"/>
      <c r="B839" s="278"/>
      <c r="C839" s="277"/>
      <c r="D839" s="278"/>
      <c r="E839" s="279"/>
      <c r="F839" s="277"/>
      <c r="G839" s="277"/>
      <c r="H839" s="277"/>
      <c r="I839" s="277"/>
      <c r="J839" s="277"/>
      <c r="K839" s="277"/>
      <c r="L839" s="277"/>
      <c r="M839" s="277"/>
      <c r="N839" s="277"/>
      <c r="O839" s="277"/>
      <c r="P839" s="277"/>
      <c r="Q839" s="277"/>
      <c r="R839" s="277"/>
      <c r="S839" s="277"/>
      <c r="T839" s="277"/>
      <c r="U839" s="277"/>
      <c r="V839" s="280"/>
      <c r="W839" s="277"/>
      <c r="X839" s="277"/>
      <c r="Y839" s="277"/>
      <c r="Z839" s="277"/>
      <c r="AA839" s="277"/>
      <c r="AB839" s="277"/>
      <c r="AC839" s="277"/>
      <c r="AD839" s="277"/>
      <c r="AE839" s="277"/>
      <c r="AF839" s="277"/>
    </row>
    <row r="840" ht="12.75" customHeight="1">
      <c r="A840" s="277"/>
      <c r="B840" s="278"/>
      <c r="C840" s="277"/>
      <c r="D840" s="278"/>
      <c r="E840" s="279"/>
      <c r="F840" s="277"/>
      <c r="G840" s="277"/>
      <c r="H840" s="277"/>
      <c r="I840" s="277"/>
      <c r="J840" s="277"/>
      <c r="K840" s="277"/>
      <c r="L840" s="277"/>
      <c r="M840" s="277"/>
      <c r="N840" s="277"/>
      <c r="O840" s="277"/>
      <c r="P840" s="277"/>
      <c r="Q840" s="277"/>
      <c r="R840" s="277"/>
      <c r="S840" s="277"/>
      <c r="T840" s="277"/>
      <c r="U840" s="277"/>
      <c r="V840" s="280"/>
      <c r="W840" s="277"/>
      <c r="X840" s="277"/>
      <c r="Y840" s="277"/>
      <c r="Z840" s="277"/>
      <c r="AA840" s="277"/>
      <c r="AB840" s="277"/>
      <c r="AC840" s="277"/>
      <c r="AD840" s="277"/>
      <c r="AE840" s="277"/>
      <c r="AF840" s="277"/>
    </row>
    <row r="841" ht="12.75" customHeight="1">
      <c r="A841" s="277"/>
      <c r="B841" s="278"/>
      <c r="C841" s="277"/>
      <c r="D841" s="278"/>
      <c r="E841" s="279"/>
      <c r="F841" s="277"/>
      <c r="G841" s="277"/>
      <c r="H841" s="277"/>
      <c r="I841" s="277"/>
      <c r="J841" s="277"/>
      <c r="K841" s="277"/>
      <c r="L841" s="277"/>
      <c r="M841" s="277"/>
      <c r="N841" s="277"/>
      <c r="O841" s="277"/>
      <c r="P841" s="277"/>
      <c r="Q841" s="277"/>
      <c r="R841" s="277"/>
      <c r="S841" s="277"/>
      <c r="T841" s="277"/>
      <c r="U841" s="277"/>
      <c r="V841" s="280"/>
      <c r="W841" s="277"/>
      <c r="X841" s="277"/>
      <c r="Y841" s="277"/>
      <c r="Z841" s="277"/>
      <c r="AA841" s="277"/>
      <c r="AB841" s="277"/>
      <c r="AC841" s="277"/>
      <c r="AD841" s="277"/>
      <c r="AE841" s="277"/>
      <c r="AF841" s="277"/>
    </row>
    <row r="842" ht="12.75" customHeight="1">
      <c r="A842" s="277"/>
      <c r="B842" s="278"/>
      <c r="C842" s="277"/>
      <c r="D842" s="278"/>
      <c r="E842" s="279"/>
      <c r="F842" s="277"/>
      <c r="G842" s="277"/>
      <c r="H842" s="277"/>
      <c r="I842" s="277"/>
      <c r="J842" s="277"/>
      <c r="K842" s="277"/>
      <c r="L842" s="277"/>
      <c r="M842" s="277"/>
      <c r="N842" s="277"/>
      <c r="O842" s="277"/>
      <c r="P842" s="277"/>
      <c r="Q842" s="277"/>
      <c r="R842" s="277"/>
      <c r="S842" s="277"/>
      <c r="T842" s="277"/>
      <c r="U842" s="277"/>
      <c r="V842" s="280"/>
      <c r="W842" s="277"/>
      <c r="X842" s="277"/>
      <c r="Y842" s="277"/>
      <c r="Z842" s="277"/>
      <c r="AA842" s="277"/>
      <c r="AB842" s="277"/>
      <c r="AC842" s="277"/>
      <c r="AD842" s="277"/>
      <c r="AE842" s="277"/>
      <c r="AF842" s="277"/>
    </row>
    <row r="843" ht="12.75" customHeight="1">
      <c r="A843" s="277"/>
      <c r="B843" s="278"/>
      <c r="C843" s="277"/>
      <c r="D843" s="278"/>
      <c r="E843" s="279"/>
      <c r="F843" s="277"/>
      <c r="G843" s="277"/>
      <c r="H843" s="277"/>
      <c r="I843" s="277"/>
      <c r="J843" s="277"/>
      <c r="K843" s="277"/>
      <c r="L843" s="277"/>
      <c r="M843" s="277"/>
      <c r="N843" s="277"/>
      <c r="O843" s="277"/>
      <c r="P843" s="277"/>
      <c r="Q843" s="277"/>
      <c r="R843" s="277"/>
      <c r="S843" s="277"/>
      <c r="T843" s="277"/>
      <c r="U843" s="277"/>
      <c r="V843" s="280"/>
      <c r="W843" s="277"/>
      <c r="X843" s="277"/>
      <c r="Y843" s="277"/>
      <c r="Z843" s="277"/>
      <c r="AA843" s="277"/>
      <c r="AB843" s="277"/>
      <c r="AC843" s="277"/>
      <c r="AD843" s="277"/>
      <c r="AE843" s="277"/>
      <c r="AF843" s="277"/>
    </row>
    <row r="844" ht="12.75" customHeight="1">
      <c r="A844" s="277"/>
      <c r="B844" s="278"/>
      <c r="C844" s="277"/>
      <c r="D844" s="278"/>
      <c r="E844" s="279"/>
      <c r="F844" s="277"/>
      <c r="G844" s="277"/>
      <c r="H844" s="277"/>
      <c r="I844" s="277"/>
      <c r="J844" s="277"/>
      <c r="K844" s="277"/>
      <c r="L844" s="277"/>
      <c r="M844" s="277"/>
      <c r="N844" s="277"/>
      <c r="O844" s="277"/>
      <c r="P844" s="277"/>
      <c r="Q844" s="277"/>
      <c r="R844" s="277"/>
      <c r="S844" s="277"/>
      <c r="T844" s="277"/>
      <c r="U844" s="277"/>
      <c r="V844" s="280"/>
      <c r="W844" s="277"/>
      <c r="X844" s="277"/>
      <c r="Y844" s="277"/>
      <c r="Z844" s="277"/>
      <c r="AA844" s="277"/>
      <c r="AB844" s="277"/>
      <c r="AC844" s="277"/>
      <c r="AD844" s="277"/>
      <c r="AE844" s="277"/>
      <c r="AF844" s="277"/>
    </row>
    <row r="845" ht="12.75" customHeight="1">
      <c r="A845" s="277"/>
      <c r="B845" s="278"/>
      <c r="C845" s="277"/>
      <c r="D845" s="278"/>
      <c r="E845" s="279"/>
      <c r="F845" s="277"/>
      <c r="G845" s="277"/>
      <c r="H845" s="277"/>
      <c r="I845" s="277"/>
      <c r="J845" s="277"/>
      <c r="K845" s="277"/>
      <c r="L845" s="277"/>
      <c r="M845" s="277"/>
      <c r="N845" s="277"/>
      <c r="O845" s="277"/>
      <c r="P845" s="277"/>
      <c r="Q845" s="277"/>
      <c r="R845" s="277"/>
      <c r="S845" s="277"/>
      <c r="T845" s="277"/>
      <c r="U845" s="277"/>
      <c r="V845" s="280"/>
      <c r="W845" s="277"/>
      <c r="X845" s="277"/>
      <c r="Y845" s="277"/>
      <c r="Z845" s="277"/>
      <c r="AA845" s="277"/>
      <c r="AB845" s="277"/>
      <c r="AC845" s="277"/>
      <c r="AD845" s="277"/>
      <c r="AE845" s="277"/>
      <c r="AF845" s="277"/>
    </row>
    <row r="846" ht="12.75" customHeight="1">
      <c r="A846" s="277"/>
      <c r="B846" s="278"/>
      <c r="C846" s="277"/>
      <c r="D846" s="278"/>
      <c r="E846" s="279"/>
      <c r="F846" s="277"/>
      <c r="G846" s="277"/>
      <c r="H846" s="277"/>
      <c r="I846" s="277"/>
      <c r="J846" s="277"/>
      <c r="K846" s="277"/>
      <c r="L846" s="277"/>
      <c r="M846" s="277"/>
      <c r="N846" s="277"/>
      <c r="O846" s="277"/>
      <c r="P846" s="277"/>
      <c r="Q846" s="277"/>
      <c r="R846" s="277"/>
      <c r="S846" s="277"/>
      <c r="T846" s="277"/>
      <c r="U846" s="277"/>
      <c r="V846" s="280"/>
      <c r="W846" s="277"/>
      <c r="X846" s="277"/>
      <c r="Y846" s="277"/>
      <c r="Z846" s="277"/>
      <c r="AA846" s="277"/>
      <c r="AB846" s="277"/>
      <c r="AC846" s="277"/>
      <c r="AD846" s="277"/>
      <c r="AE846" s="277"/>
      <c r="AF846" s="277"/>
    </row>
    <row r="847" ht="12.75" customHeight="1">
      <c r="A847" s="277"/>
      <c r="B847" s="278"/>
      <c r="C847" s="277"/>
      <c r="D847" s="278"/>
      <c r="E847" s="279"/>
      <c r="F847" s="277"/>
      <c r="G847" s="277"/>
      <c r="H847" s="277"/>
      <c r="I847" s="277"/>
      <c r="J847" s="277"/>
      <c r="K847" s="277"/>
      <c r="L847" s="277"/>
      <c r="M847" s="277"/>
      <c r="N847" s="277"/>
      <c r="O847" s="277"/>
      <c r="P847" s="277"/>
      <c r="Q847" s="277"/>
      <c r="R847" s="277"/>
      <c r="S847" s="277"/>
      <c r="T847" s="277"/>
      <c r="U847" s="277"/>
      <c r="V847" s="280"/>
      <c r="W847" s="277"/>
      <c r="X847" s="277"/>
      <c r="Y847" s="277"/>
      <c r="Z847" s="277"/>
      <c r="AA847" s="277"/>
      <c r="AB847" s="277"/>
      <c r="AC847" s="277"/>
      <c r="AD847" s="277"/>
      <c r="AE847" s="277"/>
      <c r="AF847" s="277"/>
    </row>
    <row r="848" ht="12.75" customHeight="1">
      <c r="A848" s="277"/>
      <c r="B848" s="278"/>
      <c r="C848" s="277"/>
      <c r="D848" s="278"/>
      <c r="E848" s="279"/>
      <c r="F848" s="277"/>
      <c r="G848" s="277"/>
      <c r="H848" s="277"/>
      <c r="I848" s="277"/>
      <c r="J848" s="277"/>
      <c r="K848" s="277"/>
      <c r="L848" s="277"/>
      <c r="M848" s="277"/>
      <c r="N848" s="277"/>
      <c r="O848" s="277"/>
      <c r="P848" s="277"/>
      <c r="Q848" s="277"/>
      <c r="R848" s="277"/>
      <c r="S848" s="277"/>
      <c r="T848" s="277"/>
      <c r="U848" s="277"/>
      <c r="V848" s="280"/>
      <c r="W848" s="277"/>
      <c r="X848" s="277"/>
      <c r="Y848" s="277"/>
      <c r="Z848" s="277"/>
      <c r="AA848" s="277"/>
      <c r="AB848" s="277"/>
      <c r="AC848" s="277"/>
      <c r="AD848" s="277"/>
      <c r="AE848" s="277"/>
      <c r="AF848" s="277"/>
    </row>
    <row r="849" ht="12.75" customHeight="1">
      <c r="A849" s="277"/>
      <c r="B849" s="278"/>
      <c r="C849" s="277"/>
      <c r="D849" s="278"/>
      <c r="E849" s="279"/>
      <c r="F849" s="277"/>
      <c r="G849" s="277"/>
      <c r="H849" s="277"/>
      <c r="I849" s="277"/>
      <c r="J849" s="277"/>
      <c r="K849" s="277"/>
      <c r="L849" s="277"/>
      <c r="M849" s="277"/>
      <c r="N849" s="277"/>
      <c r="O849" s="277"/>
      <c r="P849" s="277"/>
      <c r="Q849" s="277"/>
      <c r="R849" s="277"/>
      <c r="S849" s="277"/>
      <c r="T849" s="277"/>
      <c r="U849" s="277"/>
      <c r="V849" s="280"/>
      <c r="W849" s="277"/>
      <c r="X849" s="277"/>
      <c r="Y849" s="277"/>
      <c r="Z849" s="277"/>
      <c r="AA849" s="277"/>
      <c r="AB849" s="277"/>
      <c r="AC849" s="277"/>
      <c r="AD849" s="277"/>
      <c r="AE849" s="277"/>
      <c r="AF849" s="277"/>
    </row>
    <row r="850" ht="12.75" customHeight="1">
      <c r="A850" s="277"/>
      <c r="B850" s="278"/>
      <c r="C850" s="277"/>
      <c r="D850" s="278"/>
      <c r="E850" s="279"/>
      <c r="F850" s="277"/>
      <c r="G850" s="277"/>
      <c r="H850" s="277"/>
      <c r="I850" s="277"/>
      <c r="J850" s="277"/>
      <c r="K850" s="277"/>
      <c r="L850" s="277"/>
      <c r="M850" s="277"/>
      <c r="N850" s="277"/>
      <c r="O850" s="277"/>
      <c r="P850" s="277"/>
      <c r="Q850" s="277"/>
      <c r="R850" s="277"/>
      <c r="S850" s="277"/>
      <c r="T850" s="277"/>
      <c r="U850" s="277"/>
      <c r="V850" s="280"/>
      <c r="W850" s="277"/>
      <c r="X850" s="277"/>
      <c r="Y850" s="277"/>
      <c r="Z850" s="277"/>
      <c r="AA850" s="277"/>
      <c r="AB850" s="277"/>
      <c r="AC850" s="277"/>
      <c r="AD850" s="277"/>
      <c r="AE850" s="277"/>
      <c r="AF850" s="277"/>
    </row>
    <row r="851" ht="12.75" customHeight="1">
      <c r="A851" s="277"/>
      <c r="B851" s="278"/>
      <c r="C851" s="277"/>
      <c r="D851" s="278"/>
      <c r="E851" s="279"/>
      <c r="F851" s="277"/>
      <c r="G851" s="277"/>
      <c r="H851" s="277"/>
      <c r="I851" s="277"/>
      <c r="J851" s="277"/>
      <c r="K851" s="277"/>
      <c r="L851" s="277"/>
      <c r="M851" s="277"/>
      <c r="N851" s="277"/>
      <c r="O851" s="277"/>
      <c r="P851" s="277"/>
      <c r="Q851" s="277"/>
      <c r="R851" s="277"/>
      <c r="S851" s="277"/>
      <c r="T851" s="277"/>
      <c r="U851" s="277"/>
      <c r="V851" s="280"/>
      <c r="W851" s="277"/>
      <c r="X851" s="277"/>
      <c r="Y851" s="277"/>
      <c r="Z851" s="277"/>
      <c r="AA851" s="277"/>
      <c r="AB851" s="277"/>
      <c r="AC851" s="277"/>
      <c r="AD851" s="277"/>
      <c r="AE851" s="277"/>
      <c r="AF851" s="277"/>
    </row>
    <row r="852" ht="12.75" customHeight="1">
      <c r="A852" s="277"/>
      <c r="B852" s="278"/>
      <c r="C852" s="277"/>
      <c r="D852" s="278"/>
      <c r="E852" s="279"/>
      <c r="F852" s="277"/>
      <c r="G852" s="277"/>
      <c r="H852" s="277"/>
      <c r="I852" s="277"/>
      <c r="J852" s="277"/>
      <c r="K852" s="277"/>
      <c r="L852" s="277"/>
      <c r="M852" s="277"/>
      <c r="N852" s="277"/>
      <c r="O852" s="277"/>
      <c r="P852" s="277"/>
      <c r="Q852" s="277"/>
      <c r="R852" s="277"/>
      <c r="S852" s="277"/>
      <c r="T852" s="277"/>
      <c r="U852" s="277"/>
      <c r="V852" s="280"/>
      <c r="W852" s="277"/>
      <c r="X852" s="277"/>
      <c r="Y852" s="277"/>
      <c r="Z852" s="277"/>
      <c r="AA852" s="277"/>
      <c r="AB852" s="277"/>
      <c r="AC852" s="277"/>
      <c r="AD852" s="277"/>
      <c r="AE852" s="277"/>
      <c r="AF852" s="277"/>
    </row>
    <row r="853" ht="12.75" customHeight="1">
      <c r="A853" s="277"/>
      <c r="B853" s="278"/>
      <c r="C853" s="277"/>
      <c r="D853" s="278"/>
      <c r="E853" s="279"/>
      <c r="F853" s="277"/>
      <c r="G853" s="277"/>
      <c r="H853" s="277"/>
      <c r="I853" s="277"/>
      <c r="J853" s="277"/>
      <c r="K853" s="277"/>
      <c r="L853" s="277"/>
      <c r="M853" s="277"/>
      <c r="N853" s="277"/>
      <c r="O853" s="277"/>
      <c r="P853" s="277"/>
      <c r="Q853" s="277"/>
      <c r="R853" s="277"/>
      <c r="S853" s="277"/>
      <c r="T853" s="277"/>
      <c r="U853" s="277"/>
      <c r="V853" s="280"/>
      <c r="W853" s="277"/>
      <c r="X853" s="277"/>
      <c r="Y853" s="277"/>
      <c r="Z853" s="277"/>
      <c r="AA853" s="277"/>
      <c r="AB853" s="277"/>
      <c r="AC853" s="277"/>
      <c r="AD853" s="277"/>
      <c r="AE853" s="277"/>
      <c r="AF853" s="277"/>
    </row>
    <row r="854" ht="12.75" customHeight="1">
      <c r="A854" s="277"/>
      <c r="B854" s="278"/>
      <c r="C854" s="277"/>
      <c r="D854" s="278"/>
      <c r="E854" s="279"/>
      <c r="F854" s="277"/>
      <c r="G854" s="277"/>
      <c r="H854" s="277"/>
      <c r="I854" s="277"/>
      <c r="J854" s="277"/>
      <c r="K854" s="277"/>
      <c r="L854" s="277"/>
      <c r="M854" s="277"/>
      <c r="N854" s="277"/>
      <c r="O854" s="277"/>
      <c r="P854" s="277"/>
      <c r="Q854" s="277"/>
      <c r="R854" s="277"/>
      <c r="S854" s="277"/>
      <c r="T854" s="277"/>
      <c r="U854" s="277"/>
      <c r="V854" s="280"/>
      <c r="W854" s="277"/>
      <c r="X854" s="277"/>
      <c r="Y854" s="277"/>
      <c r="Z854" s="277"/>
      <c r="AA854" s="277"/>
      <c r="AB854" s="277"/>
      <c r="AC854" s="277"/>
      <c r="AD854" s="277"/>
      <c r="AE854" s="277"/>
      <c r="AF854" s="277"/>
    </row>
    <row r="855" ht="12.75" customHeight="1">
      <c r="A855" s="277"/>
      <c r="B855" s="278"/>
      <c r="C855" s="277"/>
      <c r="D855" s="278"/>
      <c r="E855" s="279"/>
      <c r="F855" s="277"/>
      <c r="G855" s="277"/>
      <c r="H855" s="277"/>
      <c r="I855" s="277"/>
      <c r="J855" s="277"/>
      <c r="K855" s="277"/>
      <c r="L855" s="277"/>
      <c r="M855" s="277"/>
      <c r="N855" s="277"/>
      <c r="O855" s="277"/>
      <c r="P855" s="277"/>
      <c r="Q855" s="277"/>
      <c r="R855" s="277"/>
      <c r="S855" s="277"/>
      <c r="T855" s="277"/>
      <c r="U855" s="277"/>
      <c r="V855" s="280"/>
      <c r="W855" s="277"/>
      <c r="X855" s="277"/>
      <c r="Y855" s="277"/>
      <c r="Z855" s="277"/>
      <c r="AA855" s="277"/>
      <c r="AB855" s="277"/>
      <c r="AC855" s="277"/>
      <c r="AD855" s="277"/>
      <c r="AE855" s="277"/>
      <c r="AF855" s="277"/>
    </row>
    <row r="856" ht="12.75" customHeight="1">
      <c r="A856" s="277"/>
      <c r="B856" s="278"/>
      <c r="C856" s="277"/>
      <c r="D856" s="278"/>
      <c r="E856" s="279"/>
      <c r="F856" s="277"/>
      <c r="G856" s="277"/>
      <c r="H856" s="277"/>
      <c r="I856" s="277"/>
      <c r="J856" s="277"/>
      <c r="K856" s="277"/>
      <c r="L856" s="277"/>
      <c r="M856" s="277"/>
      <c r="N856" s="277"/>
      <c r="O856" s="277"/>
      <c r="P856" s="277"/>
      <c r="Q856" s="277"/>
      <c r="R856" s="277"/>
      <c r="S856" s="277"/>
      <c r="T856" s="277"/>
      <c r="U856" s="277"/>
      <c r="V856" s="280"/>
      <c r="W856" s="277"/>
      <c r="X856" s="277"/>
      <c r="Y856" s="277"/>
      <c r="Z856" s="277"/>
      <c r="AA856" s="277"/>
      <c r="AB856" s="277"/>
      <c r="AC856" s="277"/>
      <c r="AD856" s="277"/>
      <c r="AE856" s="277"/>
      <c r="AF856" s="277"/>
    </row>
    <row r="857" ht="12.75" customHeight="1">
      <c r="A857" s="277"/>
      <c r="B857" s="278"/>
      <c r="C857" s="277"/>
      <c r="D857" s="278"/>
      <c r="E857" s="279"/>
      <c r="F857" s="277"/>
      <c r="G857" s="277"/>
      <c r="H857" s="277"/>
      <c r="I857" s="277"/>
      <c r="J857" s="277"/>
      <c r="K857" s="277"/>
      <c r="L857" s="277"/>
      <c r="M857" s="277"/>
      <c r="N857" s="277"/>
      <c r="O857" s="277"/>
      <c r="P857" s="277"/>
      <c r="Q857" s="277"/>
      <c r="R857" s="277"/>
      <c r="S857" s="277"/>
      <c r="T857" s="277"/>
      <c r="U857" s="277"/>
      <c r="V857" s="280"/>
      <c r="W857" s="277"/>
      <c r="X857" s="277"/>
      <c r="Y857" s="277"/>
      <c r="Z857" s="277"/>
      <c r="AA857" s="277"/>
      <c r="AB857" s="277"/>
      <c r="AC857" s="277"/>
      <c r="AD857" s="277"/>
      <c r="AE857" s="277"/>
      <c r="AF857" s="277"/>
    </row>
    <row r="858" ht="12.75" customHeight="1">
      <c r="A858" s="277"/>
      <c r="B858" s="278"/>
      <c r="C858" s="277"/>
      <c r="D858" s="278"/>
      <c r="E858" s="279"/>
      <c r="F858" s="277"/>
      <c r="G858" s="277"/>
      <c r="H858" s="277"/>
      <c r="I858" s="277"/>
      <c r="J858" s="277"/>
      <c r="K858" s="277"/>
      <c r="L858" s="277"/>
      <c r="M858" s="277"/>
      <c r="N858" s="277"/>
      <c r="O858" s="277"/>
      <c r="P858" s="277"/>
      <c r="Q858" s="277"/>
      <c r="R858" s="277"/>
      <c r="S858" s="277"/>
      <c r="T858" s="277"/>
      <c r="U858" s="277"/>
      <c r="V858" s="280"/>
      <c r="W858" s="277"/>
      <c r="X858" s="277"/>
      <c r="Y858" s="277"/>
      <c r="Z858" s="277"/>
      <c r="AA858" s="277"/>
      <c r="AB858" s="277"/>
      <c r="AC858" s="277"/>
      <c r="AD858" s="277"/>
      <c r="AE858" s="277"/>
      <c r="AF858" s="277"/>
    </row>
    <row r="859" ht="12.75" customHeight="1">
      <c r="A859" s="277"/>
      <c r="B859" s="278"/>
      <c r="C859" s="277"/>
      <c r="D859" s="278"/>
      <c r="E859" s="279"/>
      <c r="F859" s="277"/>
      <c r="G859" s="277"/>
      <c r="H859" s="277"/>
      <c r="I859" s="277"/>
      <c r="J859" s="277"/>
      <c r="K859" s="277"/>
      <c r="L859" s="277"/>
      <c r="M859" s="277"/>
      <c r="N859" s="277"/>
      <c r="O859" s="277"/>
      <c r="P859" s="277"/>
      <c r="Q859" s="277"/>
      <c r="R859" s="277"/>
      <c r="S859" s="277"/>
      <c r="T859" s="277"/>
      <c r="U859" s="277"/>
      <c r="V859" s="280"/>
      <c r="W859" s="277"/>
      <c r="X859" s="277"/>
      <c r="Y859" s="277"/>
      <c r="Z859" s="277"/>
      <c r="AA859" s="277"/>
      <c r="AB859" s="277"/>
      <c r="AC859" s="277"/>
      <c r="AD859" s="277"/>
      <c r="AE859" s="277"/>
      <c r="AF859" s="277"/>
    </row>
    <row r="860" ht="12.75" customHeight="1">
      <c r="A860" s="277"/>
      <c r="B860" s="278"/>
      <c r="C860" s="277"/>
      <c r="D860" s="278"/>
      <c r="E860" s="279"/>
      <c r="F860" s="277"/>
      <c r="G860" s="277"/>
      <c r="H860" s="277"/>
      <c r="I860" s="277"/>
      <c r="J860" s="277"/>
      <c r="K860" s="277"/>
      <c r="L860" s="277"/>
      <c r="M860" s="277"/>
      <c r="N860" s="277"/>
      <c r="O860" s="277"/>
      <c r="P860" s="277"/>
      <c r="Q860" s="277"/>
      <c r="R860" s="277"/>
      <c r="S860" s="277"/>
      <c r="T860" s="277"/>
      <c r="U860" s="277"/>
      <c r="V860" s="280"/>
      <c r="W860" s="277"/>
      <c r="X860" s="277"/>
      <c r="Y860" s="277"/>
      <c r="Z860" s="277"/>
      <c r="AA860" s="277"/>
      <c r="AB860" s="277"/>
      <c r="AC860" s="277"/>
      <c r="AD860" s="277"/>
      <c r="AE860" s="277"/>
      <c r="AF860" s="277"/>
    </row>
    <row r="861" ht="12.75" customHeight="1">
      <c r="A861" s="277"/>
      <c r="B861" s="278"/>
      <c r="C861" s="277"/>
      <c r="D861" s="278"/>
      <c r="E861" s="279"/>
      <c r="F861" s="277"/>
      <c r="G861" s="277"/>
      <c r="H861" s="277"/>
      <c r="I861" s="277"/>
      <c r="J861" s="277"/>
      <c r="K861" s="277"/>
      <c r="L861" s="277"/>
      <c r="M861" s="277"/>
      <c r="N861" s="277"/>
      <c r="O861" s="277"/>
      <c r="P861" s="277"/>
      <c r="Q861" s="277"/>
      <c r="R861" s="277"/>
      <c r="S861" s="277"/>
      <c r="T861" s="277"/>
      <c r="U861" s="277"/>
      <c r="V861" s="280"/>
      <c r="W861" s="277"/>
      <c r="X861" s="277"/>
      <c r="Y861" s="277"/>
      <c r="Z861" s="277"/>
      <c r="AA861" s="277"/>
      <c r="AB861" s="277"/>
      <c r="AC861" s="277"/>
      <c r="AD861" s="277"/>
      <c r="AE861" s="277"/>
      <c r="AF861" s="277"/>
    </row>
    <row r="862" ht="12.75" customHeight="1">
      <c r="A862" s="277"/>
      <c r="B862" s="278"/>
      <c r="C862" s="277"/>
      <c r="D862" s="278"/>
      <c r="E862" s="279"/>
      <c r="F862" s="277"/>
      <c r="G862" s="277"/>
      <c r="H862" s="277"/>
      <c r="I862" s="277"/>
      <c r="J862" s="277"/>
      <c r="K862" s="277"/>
      <c r="L862" s="277"/>
      <c r="M862" s="277"/>
      <c r="N862" s="277"/>
      <c r="O862" s="277"/>
      <c r="P862" s="277"/>
      <c r="Q862" s="277"/>
      <c r="R862" s="277"/>
      <c r="S862" s="277"/>
      <c r="T862" s="277"/>
      <c r="U862" s="277"/>
      <c r="V862" s="280"/>
      <c r="W862" s="277"/>
      <c r="X862" s="277"/>
      <c r="Y862" s="277"/>
      <c r="Z862" s="277"/>
      <c r="AA862" s="277"/>
      <c r="AB862" s="277"/>
      <c r="AC862" s="277"/>
      <c r="AD862" s="277"/>
      <c r="AE862" s="277"/>
      <c r="AF862" s="277"/>
    </row>
    <row r="863" ht="12.75" customHeight="1">
      <c r="A863" s="277"/>
      <c r="B863" s="278"/>
      <c r="C863" s="277"/>
      <c r="D863" s="278"/>
      <c r="E863" s="279"/>
      <c r="F863" s="277"/>
      <c r="G863" s="277"/>
      <c r="H863" s="277"/>
      <c r="I863" s="277"/>
      <c r="J863" s="277"/>
      <c r="K863" s="277"/>
      <c r="L863" s="277"/>
      <c r="M863" s="277"/>
      <c r="N863" s="277"/>
      <c r="O863" s="277"/>
      <c r="P863" s="277"/>
      <c r="Q863" s="277"/>
      <c r="R863" s="277"/>
      <c r="S863" s="277"/>
      <c r="T863" s="277"/>
      <c r="U863" s="277"/>
      <c r="V863" s="280"/>
      <c r="W863" s="277"/>
      <c r="X863" s="277"/>
      <c r="Y863" s="277"/>
      <c r="Z863" s="277"/>
      <c r="AA863" s="277"/>
      <c r="AB863" s="277"/>
      <c r="AC863" s="277"/>
      <c r="AD863" s="277"/>
      <c r="AE863" s="277"/>
      <c r="AF863" s="277"/>
    </row>
    <row r="864" ht="12.75" customHeight="1">
      <c r="A864" s="277"/>
      <c r="B864" s="278"/>
      <c r="C864" s="277"/>
      <c r="D864" s="278"/>
      <c r="E864" s="279"/>
      <c r="F864" s="277"/>
      <c r="G864" s="277"/>
      <c r="H864" s="277"/>
      <c r="I864" s="277"/>
      <c r="J864" s="277"/>
      <c r="K864" s="277"/>
      <c r="L864" s="277"/>
      <c r="M864" s="277"/>
      <c r="N864" s="277"/>
      <c r="O864" s="277"/>
      <c r="P864" s="277"/>
      <c r="Q864" s="277"/>
      <c r="R864" s="277"/>
      <c r="S864" s="277"/>
      <c r="T864" s="277"/>
      <c r="U864" s="277"/>
      <c r="V864" s="280"/>
      <c r="W864" s="277"/>
      <c r="X864" s="277"/>
      <c r="Y864" s="277"/>
      <c r="Z864" s="277"/>
      <c r="AA864" s="277"/>
      <c r="AB864" s="277"/>
      <c r="AC864" s="277"/>
      <c r="AD864" s="277"/>
      <c r="AE864" s="277"/>
      <c r="AF864" s="277"/>
    </row>
    <row r="865" ht="12.75" customHeight="1">
      <c r="A865" s="277"/>
      <c r="B865" s="278"/>
      <c r="C865" s="277"/>
      <c r="D865" s="278"/>
      <c r="E865" s="279"/>
      <c r="F865" s="277"/>
      <c r="G865" s="277"/>
      <c r="H865" s="277"/>
      <c r="I865" s="277"/>
      <c r="J865" s="277"/>
      <c r="K865" s="277"/>
      <c r="L865" s="277"/>
      <c r="M865" s="277"/>
      <c r="N865" s="277"/>
      <c r="O865" s="277"/>
      <c r="P865" s="277"/>
      <c r="Q865" s="277"/>
      <c r="R865" s="277"/>
      <c r="S865" s="277"/>
      <c r="T865" s="277"/>
      <c r="U865" s="277"/>
      <c r="V865" s="280"/>
      <c r="W865" s="277"/>
      <c r="X865" s="277"/>
      <c r="Y865" s="277"/>
      <c r="Z865" s="277"/>
      <c r="AA865" s="277"/>
      <c r="AB865" s="277"/>
      <c r="AC865" s="277"/>
      <c r="AD865" s="277"/>
      <c r="AE865" s="277"/>
      <c r="AF865" s="277"/>
    </row>
    <row r="866" ht="12.75" customHeight="1">
      <c r="A866" s="277"/>
      <c r="B866" s="278"/>
      <c r="C866" s="277"/>
      <c r="D866" s="278"/>
      <c r="E866" s="279"/>
      <c r="F866" s="277"/>
      <c r="G866" s="277"/>
      <c r="H866" s="277"/>
      <c r="I866" s="277"/>
      <c r="J866" s="277"/>
      <c r="K866" s="277"/>
      <c r="L866" s="277"/>
      <c r="M866" s="277"/>
      <c r="N866" s="277"/>
      <c r="O866" s="277"/>
      <c r="P866" s="277"/>
      <c r="Q866" s="277"/>
      <c r="R866" s="277"/>
      <c r="S866" s="277"/>
      <c r="T866" s="277"/>
      <c r="U866" s="277"/>
      <c r="V866" s="280"/>
      <c r="W866" s="277"/>
      <c r="X866" s="277"/>
      <c r="Y866" s="277"/>
      <c r="Z866" s="277"/>
      <c r="AA866" s="277"/>
      <c r="AB866" s="277"/>
      <c r="AC866" s="277"/>
      <c r="AD866" s="277"/>
      <c r="AE866" s="277"/>
      <c r="AF866" s="277"/>
    </row>
    <row r="867" ht="12.75" customHeight="1">
      <c r="A867" s="277"/>
      <c r="B867" s="278"/>
      <c r="C867" s="277"/>
      <c r="D867" s="278"/>
      <c r="E867" s="279"/>
      <c r="F867" s="277"/>
      <c r="G867" s="277"/>
      <c r="H867" s="277"/>
      <c r="I867" s="277"/>
      <c r="J867" s="277"/>
      <c r="K867" s="277"/>
      <c r="L867" s="277"/>
      <c r="M867" s="277"/>
      <c r="N867" s="277"/>
      <c r="O867" s="277"/>
      <c r="P867" s="277"/>
      <c r="Q867" s="277"/>
      <c r="R867" s="277"/>
      <c r="S867" s="277"/>
      <c r="T867" s="277"/>
      <c r="U867" s="277"/>
      <c r="V867" s="280"/>
      <c r="W867" s="277"/>
      <c r="X867" s="277"/>
      <c r="Y867" s="277"/>
      <c r="Z867" s="277"/>
      <c r="AA867" s="277"/>
      <c r="AB867" s="277"/>
      <c r="AC867" s="277"/>
      <c r="AD867" s="277"/>
      <c r="AE867" s="277"/>
      <c r="AF867" s="277"/>
    </row>
    <row r="868" ht="12.75" customHeight="1">
      <c r="A868" s="277"/>
      <c r="B868" s="278"/>
      <c r="C868" s="277"/>
      <c r="D868" s="278"/>
      <c r="E868" s="279"/>
      <c r="F868" s="277"/>
      <c r="G868" s="277"/>
      <c r="H868" s="277"/>
      <c r="I868" s="277"/>
      <c r="J868" s="277"/>
      <c r="K868" s="277"/>
      <c r="L868" s="277"/>
      <c r="M868" s="277"/>
      <c r="N868" s="277"/>
      <c r="O868" s="277"/>
      <c r="P868" s="277"/>
      <c r="Q868" s="277"/>
      <c r="R868" s="277"/>
      <c r="S868" s="277"/>
      <c r="T868" s="277"/>
      <c r="U868" s="277"/>
      <c r="V868" s="280"/>
      <c r="W868" s="277"/>
      <c r="X868" s="277"/>
      <c r="Y868" s="277"/>
      <c r="Z868" s="277"/>
      <c r="AA868" s="277"/>
      <c r="AB868" s="277"/>
      <c r="AC868" s="277"/>
      <c r="AD868" s="277"/>
      <c r="AE868" s="277"/>
      <c r="AF868" s="277"/>
    </row>
    <row r="869" ht="12.75" customHeight="1">
      <c r="A869" s="277"/>
      <c r="B869" s="278"/>
      <c r="C869" s="277"/>
      <c r="D869" s="278"/>
      <c r="E869" s="279"/>
      <c r="F869" s="277"/>
      <c r="G869" s="277"/>
      <c r="H869" s="277"/>
      <c r="I869" s="277"/>
      <c r="J869" s="277"/>
      <c r="K869" s="277"/>
      <c r="L869" s="277"/>
      <c r="M869" s="277"/>
      <c r="N869" s="277"/>
      <c r="O869" s="277"/>
      <c r="P869" s="277"/>
      <c r="Q869" s="277"/>
      <c r="R869" s="277"/>
      <c r="S869" s="277"/>
      <c r="T869" s="277"/>
      <c r="U869" s="277"/>
      <c r="V869" s="280"/>
      <c r="W869" s="277"/>
      <c r="X869" s="277"/>
      <c r="Y869" s="277"/>
      <c r="Z869" s="277"/>
      <c r="AA869" s="277"/>
      <c r="AB869" s="277"/>
      <c r="AC869" s="277"/>
      <c r="AD869" s="277"/>
      <c r="AE869" s="277"/>
      <c r="AF869" s="277"/>
    </row>
    <row r="870" ht="12.75" customHeight="1">
      <c r="A870" s="277"/>
      <c r="B870" s="278"/>
      <c r="C870" s="277"/>
      <c r="D870" s="278"/>
      <c r="E870" s="279"/>
      <c r="F870" s="277"/>
      <c r="G870" s="277"/>
      <c r="H870" s="277"/>
      <c r="I870" s="277"/>
      <c r="J870" s="277"/>
      <c r="K870" s="277"/>
      <c r="L870" s="277"/>
      <c r="M870" s="277"/>
      <c r="N870" s="277"/>
      <c r="O870" s="277"/>
      <c r="P870" s="277"/>
      <c r="Q870" s="277"/>
      <c r="R870" s="277"/>
      <c r="S870" s="277"/>
      <c r="T870" s="277"/>
      <c r="U870" s="277"/>
      <c r="V870" s="280"/>
      <c r="W870" s="277"/>
      <c r="X870" s="277"/>
      <c r="Y870" s="277"/>
      <c r="Z870" s="277"/>
      <c r="AA870" s="277"/>
      <c r="AB870" s="277"/>
      <c r="AC870" s="277"/>
      <c r="AD870" s="277"/>
      <c r="AE870" s="277"/>
      <c r="AF870" s="277"/>
    </row>
    <row r="871" ht="12.75" customHeight="1">
      <c r="A871" s="277"/>
      <c r="B871" s="278"/>
      <c r="C871" s="277"/>
      <c r="D871" s="278"/>
      <c r="E871" s="279"/>
      <c r="F871" s="277"/>
      <c r="G871" s="277"/>
      <c r="H871" s="277"/>
      <c r="I871" s="277"/>
      <c r="J871" s="277"/>
      <c r="K871" s="277"/>
      <c r="L871" s="277"/>
      <c r="M871" s="277"/>
      <c r="N871" s="277"/>
      <c r="O871" s="277"/>
      <c r="P871" s="277"/>
      <c r="Q871" s="277"/>
      <c r="R871" s="277"/>
      <c r="S871" s="277"/>
      <c r="T871" s="277"/>
      <c r="U871" s="277"/>
      <c r="V871" s="280"/>
      <c r="W871" s="277"/>
      <c r="X871" s="277"/>
      <c r="Y871" s="277"/>
      <c r="Z871" s="277"/>
      <c r="AA871" s="277"/>
      <c r="AB871" s="277"/>
      <c r="AC871" s="277"/>
      <c r="AD871" s="277"/>
      <c r="AE871" s="277"/>
      <c r="AF871" s="277"/>
    </row>
    <row r="872" ht="12.75" customHeight="1">
      <c r="A872" s="277"/>
      <c r="B872" s="278"/>
      <c r="C872" s="277"/>
      <c r="D872" s="278"/>
      <c r="E872" s="279"/>
      <c r="F872" s="277"/>
      <c r="G872" s="277"/>
      <c r="H872" s="277"/>
      <c r="I872" s="277"/>
      <c r="J872" s="277"/>
      <c r="K872" s="277"/>
      <c r="L872" s="277"/>
      <c r="M872" s="277"/>
      <c r="N872" s="277"/>
      <c r="O872" s="277"/>
      <c r="P872" s="277"/>
      <c r="Q872" s="277"/>
      <c r="R872" s="277"/>
      <c r="S872" s="277"/>
      <c r="T872" s="277"/>
      <c r="U872" s="277"/>
      <c r="V872" s="280"/>
      <c r="W872" s="277"/>
      <c r="X872" s="277"/>
      <c r="Y872" s="277"/>
      <c r="Z872" s="277"/>
      <c r="AA872" s="277"/>
      <c r="AB872" s="277"/>
      <c r="AC872" s="277"/>
      <c r="AD872" s="277"/>
      <c r="AE872" s="277"/>
      <c r="AF872" s="277"/>
    </row>
    <row r="873" ht="12.75" customHeight="1">
      <c r="A873" s="277"/>
      <c r="B873" s="278"/>
      <c r="C873" s="277"/>
      <c r="D873" s="278"/>
      <c r="E873" s="279"/>
      <c r="F873" s="277"/>
      <c r="G873" s="277"/>
      <c r="H873" s="277"/>
      <c r="I873" s="277"/>
      <c r="J873" s="277"/>
      <c r="K873" s="277"/>
      <c r="L873" s="277"/>
      <c r="M873" s="277"/>
      <c r="N873" s="277"/>
      <c r="O873" s="277"/>
      <c r="P873" s="277"/>
      <c r="Q873" s="277"/>
      <c r="R873" s="277"/>
      <c r="S873" s="277"/>
      <c r="T873" s="277"/>
      <c r="U873" s="277"/>
      <c r="V873" s="280"/>
      <c r="W873" s="277"/>
      <c r="X873" s="277"/>
      <c r="Y873" s="277"/>
      <c r="Z873" s="277"/>
      <c r="AA873" s="277"/>
      <c r="AB873" s="277"/>
      <c r="AC873" s="277"/>
      <c r="AD873" s="277"/>
      <c r="AE873" s="277"/>
      <c r="AF873" s="277"/>
    </row>
    <row r="874" ht="12.75" customHeight="1">
      <c r="A874" s="277"/>
      <c r="B874" s="278"/>
      <c r="C874" s="277"/>
      <c r="D874" s="278"/>
      <c r="E874" s="279"/>
      <c r="F874" s="277"/>
      <c r="G874" s="277"/>
      <c r="H874" s="277"/>
      <c r="I874" s="277"/>
      <c r="J874" s="277"/>
      <c r="K874" s="277"/>
      <c r="L874" s="277"/>
      <c r="M874" s="277"/>
      <c r="N874" s="277"/>
      <c r="O874" s="277"/>
      <c r="P874" s="277"/>
      <c r="Q874" s="277"/>
      <c r="R874" s="277"/>
      <c r="S874" s="277"/>
      <c r="T874" s="277"/>
      <c r="U874" s="277"/>
      <c r="V874" s="280"/>
      <c r="W874" s="277"/>
      <c r="X874" s="277"/>
      <c r="Y874" s="277"/>
      <c r="Z874" s="277"/>
      <c r="AA874" s="277"/>
      <c r="AB874" s="277"/>
      <c r="AC874" s="277"/>
      <c r="AD874" s="277"/>
      <c r="AE874" s="277"/>
      <c r="AF874" s="277"/>
    </row>
    <row r="875" ht="12.75" customHeight="1">
      <c r="A875" s="277"/>
      <c r="B875" s="278"/>
      <c r="C875" s="277"/>
      <c r="D875" s="278"/>
      <c r="E875" s="279"/>
      <c r="F875" s="277"/>
      <c r="G875" s="277"/>
      <c r="H875" s="277"/>
      <c r="I875" s="277"/>
      <c r="J875" s="277"/>
      <c r="K875" s="277"/>
      <c r="L875" s="277"/>
      <c r="M875" s="277"/>
      <c r="N875" s="277"/>
      <c r="O875" s="277"/>
      <c r="P875" s="277"/>
      <c r="Q875" s="277"/>
      <c r="R875" s="277"/>
      <c r="S875" s="277"/>
      <c r="T875" s="277"/>
      <c r="U875" s="277"/>
      <c r="V875" s="280"/>
      <c r="W875" s="277"/>
      <c r="X875" s="277"/>
      <c r="Y875" s="277"/>
      <c r="Z875" s="277"/>
      <c r="AA875" s="277"/>
      <c r="AB875" s="277"/>
      <c r="AC875" s="277"/>
      <c r="AD875" s="277"/>
      <c r="AE875" s="277"/>
      <c r="AF875" s="277"/>
    </row>
    <row r="876" ht="12.75" customHeight="1">
      <c r="A876" s="277"/>
      <c r="B876" s="278"/>
      <c r="C876" s="277"/>
      <c r="D876" s="278"/>
      <c r="E876" s="279"/>
      <c r="F876" s="277"/>
      <c r="G876" s="277"/>
      <c r="H876" s="277"/>
      <c r="I876" s="277"/>
      <c r="J876" s="277"/>
      <c r="K876" s="277"/>
      <c r="L876" s="277"/>
      <c r="M876" s="277"/>
      <c r="N876" s="277"/>
      <c r="O876" s="277"/>
      <c r="P876" s="277"/>
      <c r="Q876" s="277"/>
      <c r="R876" s="277"/>
      <c r="S876" s="277"/>
      <c r="T876" s="277"/>
      <c r="U876" s="277"/>
      <c r="V876" s="280"/>
      <c r="W876" s="277"/>
      <c r="X876" s="277"/>
      <c r="Y876" s="277"/>
      <c r="Z876" s="277"/>
      <c r="AA876" s="277"/>
      <c r="AB876" s="277"/>
      <c r="AC876" s="277"/>
      <c r="AD876" s="277"/>
      <c r="AE876" s="277"/>
      <c r="AF876" s="277"/>
    </row>
    <row r="877" ht="12.75" customHeight="1">
      <c r="A877" s="277"/>
      <c r="B877" s="278"/>
      <c r="C877" s="277"/>
      <c r="D877" s="278"/>
      <c r="E877" s="279"/>
      <c r="F877" s="277"/>
      <c r="G877" s="277"/>
      <c r="H877" s="277"/>
      <c r="I877" s="277"/>
      <c r="J877" s="277"/>
      <c r="K877" s="277"/>
      <c r="L877" s="277"/>
      <c r="M877" s="277"/>
      <c r="N877" s="277"/>
      <c r="O877" s="277"/>
      <c r="P877" s="277"/>
      <c r="Q877" s="277"/>
      <c r="R877" s="277"/>
      <c r="S877" s="277"/>
      <c r="T877" s="277"/>
      <c r="U877" s="277"/>
      <c r="V877" s="280"/>
      <c r="W877" s="277"/>
      <c r="X877" s="277"/>
      <c r="Y877" s="277"/>
      <c r="Z877" s="277"/>
      <c r="AA877" s="277"/>
      <c r="AB877" s="277"/>
      <c r="AC877" s="277"/>
      <c r="AD877" s="277"/>
      <c r="AE877" s="277"/>
      <c r="AF877" s="277"/>
    </row>
    <row r="878" ht="12.75" customHeight="1">
      <c r="A878" s="277"/>
      <c r="B878" s="278"/>
      <c r="C878" s="277"/>
      <c r="D878" s="278"/>
      <c r="E878" s="279"/>
      <c r="F878" s="277"/>
      <c r="G878" s="277"/>
      <c r="H878" s="277"/>
      <c r="I878" s="277"/>
      <c r="J878" s="277"/>
      <c r="K878" s="277"/>
      <c r="L878" s="277"/>
      <c r="M878" s="277"/>
      <c r="N878" s="277"/>
      <c r="O878" s="277"/>
      <c r="P878" s="277"/>
      <c r="Q878" s="277"/>
      <c r="R878" s="277"/>
      <c r="S878" s="277"/>
      <c r="T878" s="277"/>
      <c r="U878" s="277"/>
      <c r="V878" s="280"/>
      <c r="W878" s="277"/>
      <c r="X878" s="277"/>
      <c r="Y878" s="277"/>
      <c r="Z878" s="277"/>
      <c r="AA878" s="277"/>
      <c r="AB878" s="277"/>
      <c r="AC878" s="277"/>
      <c r="AD878" s="277"/>
      <c r="AE878" s="277"/>
      <c r="AF878" s="277"/>
    </row>
    <row r="879" ht="12.75" customHeight="1">
      <c r="A879" s="277"/>
      <c r="B879" s="278"/>
      <c r="C879" s="277"/>
      <c r="D879" s="278"/>
      <c r="E879" s="279"/>
      <c r="F879" s="277"/>
      <c r="G879" s="277"/>
      <c r="H879" s="277"/>
      <c r="I879" s="277"/>
      <c r="J879" s="277"/>
      <c r="K879" s="277"/>
      <c r="L879" s="277"/>
      <c r="M879" s="277"/>
      <c r="N879" s="277"/>
      <c r="O879" s="277"/>
      <c r="P879" s="277"/>
      <c r="Q879" s="277"/>
      <c r="R879" s="277"/>
      <c r="S879" s="277"/>
      <c r="T879" s="277"/>
      <c r="U879" s="277"/>
      <c r="V879" s="280"/>
      <c r="W879" s="277"/>
      <c r="X879" s="277"/>
      <c r="Y879" s="277"/>
      <c r="Z879" s="277"/>
      <c r="AA879" s="277"/>
      <c r="AB879" s="277"/>
      <c r="AC879" s="277"/>
      <c r="AD879" s="277"/>
      <c r="AE879" s="277"/>
      <c r="AF879" s="277"/>
    </row>
    <row r="880" ht="12.75" customHeight="1">
      <c r="A880" s="277"/>
      <c r="B880" s="278"/>
      <c r="C880" s="277"/>
      <c r="D880" s="278"/>
      <c r="E880" s="279"/>
      <c r="F880" s="277"/>
      <c r="G880" s="277"/>
      <c r="H880" s="277"/>
      <c r="I880" s="277"/>
      <c r="J880" s="277"/>
      <c r="K880" s="277"/>
      <c r="L880" s="277"/>
      <c r="M880" s="277"/>
      <c r="N880" s="277"/>
      <c r="O880" s="277"/>
      <c r="P880" s="277"/>
      <c r="Q880" s="277"/>
      <c r="R880" s="277"/>
      <c r="S880" s="277"/>
      <c r="T880" s="277"/>
      <c r="U880" s="277"/>
      <c r="V880" s="280"/>
      <c r="W880" s="277"/>
      <c r="X880" s="277"/>
      <c r="Y880" s="277"/>
      <c r="Z880" s="277"/>
      <c r="AA880" s="277"/>
      <c r="AB880" s="277"/>
      <c r="AC880" s="277"/>
      <c r="AD880" s="277"/>
      <c r="AE880" s="277"/>
      <c r="AF880" s="277"/>
    </row>
    <row r="881" ht="12.75" customHeight="1">
      <c r="A881" s="277"/>
      <c r="B881" s="278"/>
      <c r="C881" s="277"/>
      <c r="D881" s="278"/>
      <c r="E881" s="279"/>
      <c r="F881" s="277"/>
      <c r="G881" s="277"/>
      <c r="H881" s="277"/>
      <c r="I881" s="277"/>
      <c r="J881" s="277"/>
      <c r="K881" s="277"/>
      <c r="L881" s="277"/>
      <c r="M881" s="277"/>
      <c r="N881" s="277"/>
      <c r="O881" s="277"/>
      <c r="P881" s="277"/>
      <c r="Q881" s="277"/>
      <c r="R881" s="277"/>
      <c r="S881" s="277"/>
      <c r="T881" s="277"/>
      <c r="U881" s="277"/>
      <c r="V881" s="280"/>
      <c r="W881" s="277"/>
      <c r="X881" s="277"/>
      <c r="Y881" s="277"/>
      <c r="Z881" s="277"/>
      <c r="AA881" s="277"/>
      <c r="AB881" s="277"/>
      <c r="AC881" s="277"/>
      <c r="AD881" s="277"/>
      <c r="AE881" s="277"/>
      <c r="AF881" s="277"/>
    </row>
    <row r="882" ht="12.75" customHeight="1">
      <c r="A882" s="277"/>
      <c r="B882" s="278"/>
      <c r="C882" s="277"/>
      <c r="D882" s="278"/>
      <c r="E882" s="279"/>
      <c r="F882" s="277"/>
      <c r="G882" s="277"/>
      <c r="H882" s="277"/>
      <c r="I882" s="277"/>
      <c r="J882" s="277"/>
      <c r="K882" s="277"/>
      <c r="L882" s="277"/>
      <c r="M882" s="277"/>
      <c r="N882" s="277"/>
      <c r="O882" s="277"/>
      <c r="P882" s="277"/>
      <c r="Q882" s="277"/>
      <c r="R882" s="277"/>
      <c r="S882" s="277"/>
      <c r="T882" s="277"/>
      <c r="U882" s="277"/>
      <c r="V882" s="280"/>
      <c r="W882" s="277"/>
      <c r="X882" s="277"/>
      <c r="Y882" s="277"/>
      <c r="Z882" s="277"/>
      <c r="AA882" s="277"/>
      <c r="AB882" s="277"/>
      <c r="AC882" s="277"/>
      <c r="AD882" s="277"/>
      <c r="AE882" s="277"/>
      <c r="AF882" s="277"/>
    </row>
    <row r="883" ht="12.75" customHeight="1">
      <c r="A883" s="277"/>
      <c r="B883" s="278"/>
      <c r="C883" s="277"/>
      <c r="D883" s="278"/>
      <c r="E883" s="279"/>
      <c r="F883" s="277"/>
      <c r="G883" s="277"/>
      <c r="H883" s="277"/>
      <c r="I883" s="277"/>
      <c r="J883" s="277"/>
      <c r="K883" s="277"/>
      <c r="L883" s="277"/>
      <c r="M883" s="277"/>
      <c r="N883" s="277"/>
      <c r="O883" s="277"/>
      <c r="P883" s="277"/>
      <c r="Q883" s="277"/>
      <c r="R883" s="277"/>
      <c r="S883" s="277"/>
      <c r="T883" s="277"/>
      <c r="U883" s="277"/>
      <c r="V883" s="280"/>
      <c r="W883" s="277"/>
      <c r="X883" s="277"/>
      <c r="Y883" s="277"/>
      <c r="Z883" s="277"/>
      <c r="AA883" s="277"/>
      <c r="AB883" s="277"/>
      <c r="AC883" s="277"/>
      <c r="AD883" s="277"/>
      <c r="AE883" s="277"/>
      <c r="AF883" s="277"/>
    </row>
    <row r="884" ht="12.75" customHeight="1">
      <c r="A884" s="277"/>
      <c r="B884" s="278"/>
      <c r="C884" s="277"/>
      <c r="D884" s="278"/>
      <c r="E884" s="279"/>
      <c r="F884" s="277"/>
      <c r="G884" s="277"/>
      <c r="H884" s="277"/>
      <c r="I884" s="277"/>
      <c r="J884" s="277"/>
      <c r="K884" s="277"/>
      <c r="L884" s="277"/>
      <c r="M884" s="277"/>
      <c r="N884" s="277"/>
      <c r="O884" s="277"/>
      <c r="P884" s="277"/>
      <c r="Q884" s="277"/>
      <c r="R884" s="277"/>
      <c r="S884" s="277"/>
      <c r="T884" s="277"/>
      <c r="U884" s="277"/>
      <c r="V884" s="280"/>
      <c r="W884" s="277"/>
      <c r="X884" s="277"/>
      <c r="Y884" s="277"/>
      <c r="Z884" s="277"/>
      <c r="AA884" s="277"/>
      <c r="AB884" s="277"/>
      <c r="AC884" s="277"/>
      <c r="AD884" s="277"/>
      <c r="AE884" s="277"/>
      <c r="AF884" s="277"/>
    </row>
    <row r="885" ht="12.75" customHeight="1">
      <c r="A885" s="277"/>
      <c r="B885" s="278"/>
      <c r="C885" s="277"/>
      <c r="D885" s="278"/>
      <c r="E885" s="279"/>
      <c r="F885" s="277"/>
      <c r="G885" s="277"/>
      <c r="H885" s="277"/>
      <c r="I885" s="277"/>
      <c r="J885" s="277"/>
      <c r="K885" s="277"/>
      <c r="L885" s="277"/>
      <c r="M885" s="277"/>
      <c r="N885" s="277"/>
      <c r="O885" s="277"/>
      <c r="P885" s="277"/>
      <c r="Q885" s="277"/>
      <c r="R885" s="277"/>
      <c r="S885" s="277"/>
      <c r="T885" s="277"/>
      <c r="U885" s="277"/>
      <c r="V885" s="280"/>
      <c r="W885" s="277"/>
      <c r="X885" s="277"/>
      <c r="Y885" s="277"/>
      <c r="Z885" s="277"/>
      <c r="AA885" s="277"/>
      <c r="AB885" s="277"/>
      <c r="AC885" s="277"/>
      <c r="AD885" s="277"/>
      <c r="AE885" s="277"/>
      <c r="AF885" s="277"/>
    </row>
    <row r="886" ht="12.75" customHeight="1">
      <c r="A886" s="277"/>
      <c r="B886" s="278"/>
      <c r="C886" s="277"/>
      <c r="D886" s="278"/>
      <c r="E886" s="279"/>
      <c r="F886" s="277"/>
      <c r="G886" s="277"/>
      <c r="H886" s="277"/>
      <c r="I886" s="277"/>
      <c r="J886" s="277"/>
      <c r="K886" s="277"/>
      <c r="L886" s="277"/>
      <c r="M886" s="277"/>
      <c r="N886" s="277"/>
      <c r="O886" s="277"/>
      <c r="P886" s="277"/>
      <c r="Q886" s="277"/>
      <c r="R886" s="277"/>
      <c r="S886" s="277"/>
      <c r="T886" s="277"/>
      <c r="U886" s="277"/>
      <c r="V886" s="280"/>
      <c r="W886" s="277"/>
      <c r="X886" s="277"/>
      <c r="Y886" s="277"/>
      <c r="Z886" s="277"/>
      <c r="AA886" s="277"/>
      <c r="AB886" s="277"/>
      <c r="AC886" s="277"/>
      <c r="AD886" s="277"/>
      <c r="AE886" s="277"/>
      <c r="AF886" s="277"/>
    </row>
    <row r="887" ht="12.75" customHeight="1">
      <c r="A887" s="277"/>
      <c r="B887" s="278"/>
      <c r="C887" s="277"/>
      <c r="D887" s="278"/>
      <c r="E887" s="279"/>
      <c r="F887" s="277"/>
      <c r="G887" s="277"/>
      <c r="H887" s="277"/>
      <c r="I887" s="277"/>
      <c r="J887" s="277"/>
      <c r="K887" s="277"/>
      <c r="L887" s="277"/>
      <c r="M887" s="277"/>
      <c r="N887" s="277"/>
      <c r="O887" s="277"/>
      <c r="P887" s="277"/>
      <c r="Q887" s="277"/>
      <c r="R887" s="277"/>
      <c r="S887" s="277"/>
      <c r="T887" s="277"/>
      <c r="U887" s="277"/>
      <c r="V887" s="280"/>
      <c r="W887" s="277"/>
      <c r="X887" s="277"/>
      <c r="Y887" s="277"/>
      <c r="Z887" s="277"/>
      <c r="AA887" s="277"/>
      <c r="AB887" s="277"/>
      <c r="AC887" s="277"/>
      <c r="AD887" s="277"/>
      <c r="AE887" s="277"/>
      <c r="AF887" s="277"/>
    </row>
    <row r="888" ht="12.75" customHeight="1">
      <c r="A888" s="277"/>
      <c r="B888" s="278"/>
      <c r="C888" s="277"/>
      <c r="D888" s="278"/>
      <c r="E888" s="279"/>
      <c r="F888" s="277"/>
      <c r="G888" s="277"/>
      <c r="H888" s="277"/>
      <c r="I888" s="277"/>
      <c r="J888" s="277"/>
      <c r="K888" s="277"/>
      <c r="L888" s="277"/>
      <c r="M888" s="277"/>
      <c r="N888" s="277"/>
      <c r="O888" s="277"/>
      <c r="P888" s="277"/>
      <c r="Q888" s="277"/>
      <c r="R888" s="277"/>
      <c r="S888" s="277"/>
      <c r="T888" s="277"/>
      <c r="U888" s="277"/>
      <c r="V888" s="280"/>
      <c r="W888" s="277"/>
      <c r="X888" s="277"/>
      <c r="Y888" s="277"/>
      <c r="Z888" s="277"/>
      <c r="AA888" s="277"/>
      <c r="AB888" s="277"/>
      <c r="AC888" s="277"/>
      <c r="AD888" s="277"/>
      <c r="AE888" s="277"/>
      <c r="AF888" s="277"/>
    </row>
    <row r="889" ht="12.75" customHeight="1">
      <c r="A889" s="277"/>
      <c r="B889" s="278"/>
      <c r="C889" s="277"/>
      <c r="D889" s="278"/>
      <c r="E889" s="279"/>
      <c r="F889" s="277"/>
      <c r="G889" s="277"/>
      <c r="H889" s="277"/>
      <c r="I889" s="277"/>
      <c r="J889" s="277"/>
      <c r="K889" s="277"/>
      <c r="L889" s="277"/>
      <c r="M889" s="277"/>
      <c r="N889" s="277"/>
      <c r="O889" s="277"/>
      <c r="P889" s="277"/>
      <c r="Q889" s="277"/>
      <c r="R889" s="277"/>
      <c r="S889" s="277"/>
      <c r="T889" s="277"/>
      <c r="U889" s="277"/>
      <c r="V889" s="280"/>
      <c r="W889" s="277"/>
      <c r="X889" s="277"/>
      <c r="Y889" s="277"/>
      <c r="Z889" s="277"/>
      <c r="AA889" s="277"/>
      <c r="AB889" s="277"/>
      <c r="AC889" s="277"/>
      <c r="AD889" s="277"/>
      <c r="AE889" s="277"/>
      <c r="AF889" s="277"/>
    </row>
    <row r="890" ht="12.75" customHeight="1">
      <c r="A890" s="277"/>
      <c r="B890" s="278"/>
      <c r="C890" s="277"/>
      <c r="D890" s="278"/>
      <c r="E890" s="279"/>
      <c r="F890" s="277"/>
      <c r="G890" s="277"/>
      <c r="H890" s="277"/>
      <c r="I890" s="277"/>
      <c r="J890" s="277"/>
      <c r="K890" s="277"/>
      <c r="L890" s="277"/>
      <c r="M890" s="277"/>
      <c r="N890" s="277"/>
      <c r="O890" s="277"/>
      <c r="P890" s="277"/>
      <c r="Q890" s="277"/>
      <c r="R890" s="277"/>
      <c r="S890" s="277"/>
      <c r="T890" s="277"/>
      <c r="U890" s="277"/>
      <c r="V890" s="280"/>
      <c r="W890" s="277"/>
      <c r="X890" s="277"/>
      <c r="Y890" s="277"/>
      <c r="Z890" s="277"/>
      <c r="AA890" s="277"/>
      <c r="AB890" s="277"/>
      <c r="AC890" s="277"/>
      <c r="AD890" s="277"/>
      <c r="AE890" s="277"/>
      <c r="AF890" s="277"/>
    </row>
    <row r="891" ht="12.75" customHeight="1">
      <c r="A891" s="277"/>
      <c r="B891" s="278"/>
      <c r="C891" s="277"/>
      <c r="D891" s="278"/>
      <c r="E891" s="279"/>
      <c r="F891" s="277"/>
      <c r="G891" s="277"/>
      <c r="H891" s="277"/>
      <c r="I891" s="277"/>
      <c r="J891" s="277"/>
      <c r="K891" s="277"/>
      <c r="L891" s="277"/>
      <c r="M891" s="277"/>
      <c r="N891" s="277"/>
      <c r="O891" s="277"/>
      <c r="P891" s="277"/>
      <c r="Q891" s="277"/>
      <c r="R891" s="277"/>
      <c r="S891" s="277"/>
      <c r="T891" s="277"/>
      <c r="U891" s="277"/>
      <c r="V891" s="280"/>
      <c r="W891" s="277"/>
      <c r="X891" s="277"/>
      <c r="Y891" s="277"/>
      <c r="Z891" s="277"/>
      <c r="AA891" s="277"/>
      <c r="AB891" s="277"/>
      <c r="AC891" s="277"/>
      <c r="AD891" s="277"/>
      <c r="AE891" s="277"/>
      <c r="AF891" s="277"/>
    </row>
    <row r="892" ht="12.75" customHeight="1">
      <c r="A892" s="277"/>
      <c r="B892" s="278"/>
      <c r="C892" s="277"/>
      <c r="D892" s="278"/>
      <c r="E892" s="279"/>
      <c r="F892" s="277"/>
      <c r="G892" s="277"/>
      <c r="H892" s="277"/>
      <c r="I892" s="277"/>
      <c r="J892" s="277"/>
      <c r="K892" s="277"/>
      <c r="L892" s="277"/>
      <c r="M892" s="277"/>
      <c r="N892" s="277"/>
      <c r="O892" s="277"/>
      <c r="P892" s="277"/>
      <c r="Q892" s="277"/>
      <c r="R892" s="277"/>
      <c r="S892" s="277"/>
      <c r="T892" s="277"/>
      <c r="U892" s="277"/>
      <c r="V892" s="280"/>
      <c r="W892" s="277"/>
      <c r="X892" s="277"/>
      <c r="Y892" s="277"/>
      <c r="Z892" s="277"/>
      <c r="AA892" s="277"/>
      <c r="AB892" s="277"/>
      <c r="AC892" s="277"/>
      <c r="AD892" s="277"/>
      <c r="AE892" s="277"/>
      <c r="AF892" s="277"/>
    </row>
    <row r="893" ht="12.75" customHeight="1">
      <c r="A893" s="277"/>
      <c r="B893" s="278"/>
      <c r="C893" s="277"/>
      <c r="D893" s="278"/>
      <c r="E893" s="279"/>
      <c r="F893" s="277"/>
      <c r="G893" s="277"/>
      <c r="H893" s="277"/>
      <c r="I893" s="277"/>
      <c r="J893" s="277"/>
      <c r="K893" s="277"/>
      <c r="L893" s="277"/>
      <c r="M893" s="277"/>
      <c r="N893" s="277"/>
      <c r="O893" s="277"/>
      <c r="P893" s="277"/>
      <c r="Q893" s="277"/>
      <c r="R893" s="277"/>
      <c r="S893" s="277"/>
      <c r="T893" s="277"/>
      <c r="U893" s="277"/>
      <c r="V893" s="280"/>
      <c r="W893" s="277"/>
      <c r="X893" s="277"/>
      <c r="Y893" s="277"/>
      <c r="Z893" s="277"/>
      <c r="AA893" s="277"/>
      <c r="AB893" s="277"/>
      <c r="AC893" s="277"/>
      <c r="AD893" s="277"/>
      <c r="AE893" s="277"/>
      <c r="AF893" s="277"/>
    </row>
    <row r="894" ht="12.75" customHeight="1">
      <c r="A894" s="277"/>
      <c r="B894" s="278"/>
      <c r="C894" s="277"/>
      <c r="D894" s="278"/>
      <c r="E894" s="279"/>
      <c r="F894" s="277"/>
      <c r="G894" s="277"/>
      <c r="H894" s="277"/>
      <c r="I894" s="277"/>
      <c r="J894" s="277"/>
      <c r="K894" s="277"/>
      <c r="L894" s="277"/>
      <c r="M894" s="277"/>
      <c r="N894" s="277"/>
      <c r="O894" s="277"/>
      <c r="P894" s="277"/>
      <c r="Q894" s="277"/>
      <c r="R894" s="277"/>
      <c r="S894" s="277"/>
      <c r="T894" s="277"/>
      <c r="U894" s="277"/>
      <c r="V894" s="280"/>
      <c r="W894" s="277"/>
      <c r="X894" s="277"/>
      <c r="Y894" s="277"/>
      <c r="Z894" s="277"/>
      <c r="AA894" s="277"/>
      <c r="AB894" s="277"/>
      <c r="AC894" s="277"/>
      <c r="AD894" s="277"/>
      <c r="AE894" s="277"/>
      <c r="AF894" s="277"/>
    </row>
    <row r="895" ht="12.75" customHeight="1">
      <c r="A895" s="277"/>
      <c r="B895" s="278"/>
      <c r="C895" s="277"/>
      <c r="D895" s="278"/>
      <c r="E895" s="279"/>
      <c r="F895" s="277"/>
      <c r="G895" s="277"/>
      <c r="H895" s="277"/>
      <c r="I895" s="277"/>
      <c r="J895" s="277"/>
      <c r="K895" s="277"/>
      <c r="L895" s="277"/>
      <c r="M895" s="277"/>
      <c r="N895" s="277"/>
      <c r="O895" s="277"/>
      <c r="P895" s="277"/>
      <c r="Q895" s="277"/>
      <c r="R895" s="277"/>
      <c r="S895" s="277"/>
      <c r="T895" s="277"/>
      <c r="U895" s="277"/>
      <c r="V895" s="280"/>
      <c r="W895" s="277"/>
      <c r="X895" s="277"/>
      <c r="Y895" s="277"/>
      <c r="Z895" s="277"/>
      <c r="AA895" s="277"/>
      <c r="AB895" s="277"/>
      <c r="AC895" s="277"/>
      <c r="AD895" s="277"/>
      <c r="AE895" s="277"/>
      <c r="AF895" s="277"/>
    </row>
    <row r="896" ht="12.75" customHeight="1">
      <c r="A896" s="277"/>
      <c r="B896" s="278"/>
      <c r="C896" s="277"/>
      <c r="D896" s="278"/>
      <c r="E896" s="279"/>
      <c r="F896" s="277"/>
      <c r="G896" s="277"/>
      <c r="H896" s="277"/>
      <c r="I896" s="277"/>
      <c r="J896" s="277"/>
      <c r="K896" s="277"/>
      <c r="L896" s="277"/>
      <c r="M896" s="277"/>
      <c r="N896" s="277"/>
      <c r="O896" s="277"/>
      <c r="P896" s="277"/>
      <c r="Q896" s="277"/>
      <c r="R896" s="277"/>
      <c r="S896" s="277"/>
      <c r="T896" s="277"/>
      <c r="U896" s="277"/>
      <c r="V896" s="280"/>
      <c r="W896" s="277"/>
      <c r="X896" s="277"/>
      <c r="Y896" s="277"/>
      <c r="Z896" s="277"/>
      <c r="AA896" s="277"/>
      <c r="AB896" s="277"/>
      <c r="AC896" s="277"/>
      <c r="AD896" s="277"/>
      <c r="AE896" s="277"/>
      <c r="AF896" s="277"/>
    </row>
    <row r="897" ht="12.75" customHeight="1">
      <c r="A897" s="277"/>
      <c r="B897" s="278"/>
      <c r="C897" s="277"/>
      <c r="D897" s="278"/>
      <c r="E897" s="279"/>
      <c r="F897" s="277"/>
      <c r="G897" s="277"/>
      <c r="H897" s="277"/>
      <c r="I897" s="277"/>
      <c r="J897" s="277"/>
      <c r="K897" s="277"/>
      <c r="L897" s="277"/>
      <c r="M897" s="277"/>
      <c r="N897" s="277"/>
      <c r="O897" s="277"/>
      <c r="P897" s="277"/>
      <c r="Q897" s="277"/>
      <c r="R897" s="277"/>
      <c r="S897" s="277"/>
      <c r="T897" s="277"/>
      <c r="U897" s="277"/>
      <c r="V897" s="280"/>
      <c r="W897" s="277"/>
      <c r="X897" s="277"/>
      <c r="Y897" s="277"/>
      <c r="Z897" s="277"/>
      <c r="AA897" s="277"/>
      <c r="AB897" s="277"/>
      <c r="AC897" s="277"/>
      <c r="AD897" s="277"/>
      <c r="AE897" s="277"/>
      <c r="AF897" s="277"/>
    </row>
    <row r="898" ht="12.75" customHeight="1">
      <c r="A898" s="277"/>
      <c r="B898" s="278"/>
      <c r="C898" s="277"/>
      <c r="D898" s="278"/>
      <c r="E898" s="279"/>
      <c r="F898" s="277"/>
      <c r="G898" s="277"/>
      <c r="H898" s="277"/>
      <c r="I898" s="277"/>
      <c r="J898" s="277"/>
      <c r="K898" s="277"/>
      <c r="L898" s="277"/>
      <c r="M898" s="277"/>
      <c r="N898" s="277"/>
      <c r="O898" s="277"/>
      <c r="P898" s="277"/>
      <c r="Q898" s="277"/>
      <c r="R898" s="277"/>
      <c r="S898" s="277"/>
      <c r="T898" s="277"/>
      <c r="U898" s="277"/>
      <c r="V898" s="280"/>
      <c r="W898" s="277"/>
      <c r="X898" s="277"/>
      <c r="Y898" s="277"/>
      <c r="Z898" s="277"/>
      <c r="AA898" s="277"/>
      <c r="AB898" s="277"/>
      <c r="AC898" s="277"/>
      <c r="AD898" s="277"/>
      <c r="AE898" s="277"/>
      <c r="AF898" s="277"/>
    </row>
    <row r="899" ht="12.75" customHeight="1">
      <c r="A899" s="277"/>
      <c r="B899" s="278"/>
      <c r="C899" s="277"/>
      <c r="D899" s="278"/>
      <c r="E899" s="279"/>
      <c r="F899" s="277"/>
      <c r="G899" s="277"/>
      <c r="H899" s="277"/>
      <c r="I899" s="277"/>
      <c r="J899" s="277"/>
      <c r="K899" s="277"/>
      <c r="L899" s="277"/>
      <c r="M899" s="277"/>
      <c r="N899" s="277"/>
      <c r="O899" s="277"/>
      <c r="P899" s="277"/>
      <c r="Q899" s="277"/>
      <c r="R899" s="277"/>
      <c r="S899" s="277"/>
      <c r="T899" s="277"/>
      <c r="U899" s="277"/>
      <c r="V899" s="280"/>
      <c r="W899" s="277"/>
      <c r="X899" s="277"/>
      <c r="Y899" s="277"/>
      <c r="Z899" s="277"/>
      <c r="AA899" s="277"/>
      <c r="AB899" s="277"/>
      <c r="AC899" s="277"/>
      <c r="AD899" s="277"/>
      <c r="AE899" s="277"/>
      <c r="AF899" s="277"/>
    </row>
    <row r="900" ht="12.75" customHeight="1">
      <c r="A900" s="277"/>
      <c r="B900" s="278"/>
      <c r="C900" s="277"/>
      <c r="D900" s="278"/>
      <c r="E900" s="279"/>
      <c r="F900" s="277"/>
      <c r="G900" s="277"/>
      <c r="H900" s="277"/>
      <c r="I900" s="277"/>
      <c r="J900" s="277"/>
      <c r="K900" s="277"/>
      <c r="L900" s="277"/>
      <c r="M900" s="277"/>
      <c r="N900" s="277"/>
      <c r="O900" s="277"/>
      <c r="P900" s="277"/>
      <c r="Q900" s="277"/>
      <c r="R900" s="277"/>
      <c r="S900" s="277"/>
      <c r="T900" s="277"/>
      <c r="U900" s="277"/>
      <c r="V900" s="280"/>
      <c r="W900" s="277"/>
      <c r="X900" s="277"/>
      <c r="Y900" s="277"/>
      <c r="Z900" s="277"/>
      <c r="AA900" s="277"/>
      <c r="AB900" s="277"/>
      <c r="AC900" s="277"/>
      <c r="AD900" s="277"/>
      <c r="AE900" s="277"/>
      <c r="AF900" s="277"/>
    </row>
    <row r="901" ht="12.75" customHeight="1">
      <c r="A901" s="277"/>
      <c r="B901" s="278"/>
      <c r="C901" s="277"/>
      <c r="D901" s="278"/>
      <c r="E901" s="279"/>
      <c r="F901" s="277"/>
      <c r="G901" s="277"/>
      <c r="H901" s="277"/>
      <c r="I901" s="277"/>
      <c r="J901" s="277"/>
      <c r="K901" s="277"/>
      <c r="L901" s="277"/>
      <c r="M901" s="277"/>
      <c r="N901" s="277"/>
      <c r="O901" s="277"/>
      <c r="P901" s="277"/>
      <c r="Q901" s="277"/>
      <c r="R901" s="277"/>
      <c r="S901" s="277"/>
      <c r="T901" s="277"/>
      <c r="U901" s="277"/>
      <c r="V901" s="280"/>
      <c r="W901" s="277"/>
      <c r="X901" s="277"/>
      <c r="Y901" s="277"/>
      <c r="Z901" s="277"/>
      <c r="AA901" s="277"/>
      <c r="AB901" s="277"/>
      <c r="AC901" s="277"/>
      <c r="AD901" s="277"/>
      <c r="AE901" s="277"/>
      <c r="AF901" s="277"/>
    </row>
    <row r="902" ht="12.75" customHeight="1">
      <c r="A902" s="277"/>
      <c r="B902" s="278"/>
      <c r="C902" s="277"/>
      <c r="D902" s="278"/>
      <c r="E902" s="279"/>
      <c r="F902" s="277"/>
      <c r="G902" s="277"/>
      <c r="H902" s="277"/>
      <c r="I902" s="277"/>
      <c r="J902" s="277"/>
      <c r="K902" s="277"/>
      <c r="L902" s="277"/>
      <c r="M902" s="277"/>
      <c r="N902" s="277"/>
      <c r="O902" s="277"/>
      <c r="P902" s="277"/>
      <c r="Q902" s="277"/>
      <c r="R902" s="277"/>
      <c r="S902" s="277"/>
      <c r="T902" s="277"/>
      <c r="U902" s="277"/>
      <c r="V902" s="280"/>
      <c r="W902" s="277"/>
      <c r="X902" s="277"/>
      <c r="Y902" s="277"/>
      <c r="Z902" s="277"/>
      <c r="AA902" s="277"/>
      <c r="AB902" s="277"/>
      <c r="AC902" s="277"/>
      <c r="AD902" s="277"/>
      <c r="AE902" s="277"/>
      <c r="AF902" s="277"/>
    </row>
    <row r="903" ht="12.75" customHeight="1">
      <c r="A903" s="277"/>
      <c r="B903" s="278"/>
      <c r="C903" s="277"/>
      <c r="D903" s="278"/>
      <c r="E903" s="279"/>
      <c r="F903" s="277"/>
      <c r="G903" s="277"/>
      <c r="H903" s="277"/>
      <c r="I903" s="277"/>
      <c r="J903" s="277"/>
      <c r="K903" s="277"/>
      <c r="L903" s="277"/>
      <c r="M903" s="277"/>
      <c r="N903" s="277"/>
      <c r="O903" s="277"/>
      <c r="P903" s="277"/>
      <c r="Q903" s="277"/>
      <c r="R903" s="277"/>
      <c r="S903" s="277"/>
      <c r="T903" s="277"/>
      <c r="U903" s="277"/>
      <c r="V903" s="280"/>
      <c r="W903" s="277"/>
      <c r="X903" s="277"/>
      <c r="Y903" s="277"/>
      <c r="Z903" s="277"/>
      <c r="AA903" s="277"/>
      <c r="AB903" s="277"/>
      <c r="AC903" s="277"/>
      <c r="AD903" s="277"/>
      <c r="AE903" s="277"/>
      <c r="AF903" s="277"/>
    </row>
    <row r="904" ht="12.75" customHeight="1">
      <c r="A904" s="277"/>
      <c r="B904" s="278"/>
      <c r="C904" s="277"/>
      <c r="D904" s="278"/>
      <c r="E904" s="279"/>
      <c r="F904" s="277"/>
      <c r="G904" s="277"/>
      <c r="H904" s="277"/>
      <c r="I904" s="277"/>
      <c r="J904" s="277"/>
      <c r="K904" s="277"/>
      <c r="L904" s="277"/>
      <c r="M904" s="277"/>
      <c r="N904" s="277"/>
      <c r="O904" s="277"/>
      <c r="P904" s="277"/>
      <c r="Q904" s="277"/>
      <c r="R904" s="277"/>
      <c r="S904" s="277"/>
      <c r="T904" s="277"/>
      <c r="U904" s="277"/>
      <c r="V904" s="280"/>
      <c r="W904" s="277"/>
      <c r="X904" s="277"/>
      <c r="Y904" s="277"/>
      <c r="Z904" s="277"/>
      <c r="AA904" s="277"/>
      <c r="AB904" s="277"/>
      <c r="AC904" s="277"/>
      <c r="AD904" s="277"/>
      <c r="AE904" s="277"/>
      <c r="AF904" s="277"/>
    </row>
    <row r="905" ht="12.75" customHeight="1">
      <c r="A905" s="277"/>
      <c r="B905" s="278"/>
      <c r="C905" s="277"/>
      <c r="D905" s="278"/>
      <c r="E905" s="279"/>
      <c r="F905" s="277"/>
      <c r="G905" s="277"/>
      <c r="H905" s="277"/>
      <c r="I905" s="277"/>
      <c r="J905" s="277"/>
      <c r="K905" s="277"/>
      <c r="L905" s="277"/>
      <c r="M905" s="277"/>
      <c r="N905" s="277"/>
      <c r="O905" s="277"/>
      <c r="P905" s="277"/>
      <c r="Q905" s="277"/>
      <c r="R905" s="277"/>
      <c r="S905" s="277"/>
      <c r="T905" s="277"/>
      <c r="U905" s="277"/>
      <c r="V905" s="280"/>
      <c r="W905" s="277"/>
      <c r="X905" s="277"/>
      <c r="Y905" s="277"/>
      <c r="Z905" s="277"/>
      <c r="AA905" s="277"/>
      <c r="AB905" s="277"/>
      <c r="AC905" s="277"/>
      <c r="AD905" s="277"/>
      <c r="AE905" s="277"/>
      <c r="AF905" s="277"/>
    </row>
    <row r="906" ht="12.75" customHeight="1">
      <c r="A906" s="277"/>
      <c r="B906" s="278"/>
      <c r="C906" s="277"/>
      <c r="D906" s="278"/>
      <c r="E906" s="279"/>
      <c r="F906" s="277"/>
      <c r="G906" s="277"/>
      <c r="H906" s="277"/>
      <c r="I906" s="277"/>
      <c r="J906" s="277"/>
      <c r="K906" s="277"/>
      <c r="L906" s="277"/>
      <c r="M906" s="277"/>
      <c r="N906" s="277"/>
      <c r="O906" s="277"/>
      <c r="P906" s="277"/>
      <c r="Q906" s="277"/>
      <c r="R906" s="277"/>
      <c r="S906" s="277"/>
      <c r="T906" s="277"/>
      <c r="U906" s="277"/>
      <c r="V906" s="280"/>
      <c r="W906" s="277"/>
      <c r="X906" s="277"/>
      <c r="Y906" s="277"/>
      <c r="Z906" s="277"/>
      <c r="AA906" s="277"/>
      <c r="AB906" s="277"/>
      <c r="AC906" s="277"/>
      <c r="AD906" s="277"/>
      <c r="AE906" s="277"/>
      <c r="AF906" s="277"/>
    </row>
    <row r="907" ht="12.75" customHeight="1">
      <c r="A907" s="277"/>
      <c r="B907" s="278"/>
      <c r="C907" s="277"/>
      <c r="D907" s="278"/>
      <c r="E907" s="279"/>
      <c r="F907" s="277"/>
      <c r="G907" s="277"/>
      <c r="H907" s="277"/>
      <c r="I907" s="277"/>
      <c r="J907" s="277"/>
      <c r="K907" s="277"/>
      <c r="L907" s="277"/>
      <c r="M907" s="277"/>
      <c r="N907" s="277"/>
      <c r="O907" s="277"/>
      <c r="P907" s="277"/>
      <c r="Q907" s="277"/>
      <c r="R907" s="277"/>
      <c r="S907" s="277"/>
      <c r="T907" s="277"/>
      <c r="U907" s="277"/>
      <c r="V907" s="280"/>
      <c r="W907" s="277"/>
      <c r="X907" s="277"/>
      <c r="Y907" s="277"/>
      <c r="Z907" s="277"/>
      <c r="AA907" s="277"/>
      <c r="AB907" s="277"/>
      <c r="AC907" s="277"/>
      <c r="AD907" s="277"/>
      <c r="AE907" s="277"/>
      <c r="AF907" s="277"/>
    </row>
    <row r="908" ht="12.75" customHeight="1">
      <c r="A908" s="277"/>
      <c r="B908" s="278"/>
      <c r="C908" s="277"/>
      <c r="D908" s="278"/>
      <c r="E908" s="279"/>
      <c r="F908" s="277"/>
      <c r="G908" s="277"/>
      <c r="H908" s="277"/>
      <c r="I908" s="277"/>
      <c r="J908" s="277"/>
      <c r="K908" s="277"/>
      <c r="L908" s="277"/>
      <c r="M908" s="277"/>
      <c r="N908" s="277"/>
      <c r="O908" s="277"/>
      <c r="P908" s="277"/>
      <c r="Q908" s="277"/>
      <c r="R908" s="277"/>
      <c r="S908" s="277"/>
      <c r="T908" s="277"/>
      <c r="U908" s="277"/>
      <c r="V908" s="280"/>
      <c r="W908" s="277"/>
      <c r="X908" s="277"/>
      <c r="Y908" s="277"/>
      <c r="Z908" s="277"/>
      <c r="AA908" s="277"/>
      <c r="AB908" s="277"/>
      <c r="AC908" s="277"/>
      <c r="AD908" s="277"/>
      <c r="AE908" s="277"/>
      <c r="AF908" s="277"/>
    </row>
    <row r="909" ht="12.75" customHeight="1">
      <c r="A909" s="277"/>
      <c r="B909" s="278"/>
      <c r="C909" s="277"/>
      <c r="D909" s="278"/>
      <c r="E909" s="279"/>
      <c r="F909" s="277"/>
      <c r="G909" s="277"/>
      <c r="H909" s="277"/>
      <c r="I909" s="277"/>
      <c r="J909" s="277"/>
      <c r="K909" s="277"/>
      <c r="L909" s="277"/>
      <c r="M909" s="277"/>
      <c r="N909" s="277"/>
      <c r="O909" s="277"/>
      <c r="P909" s="277"/>
      <c r="Q909" s="277"/>
      <c r="R909" s="277"/>
      <c r="S909" s="277"/>
      <c r="T909" s="277"/>
      <c r="U909" s="277"/>
      <c r="V909" s="280"/>
      <c r="W909" s="277"/>
      <c r="X909" s="277"/>
      <c r="Y909" s="277"/>
      <c r="Z909" s="277"/>
      <c r="AA909" s="277"/>
      <c r="AB909" s="277"/>
      <c r="AC909" s="277"/>
      <c r="AD909" s="277"/>
      <c r="AE909" s="277"/>
      <c r="AF909" s="277"/>
    </row>
    <row r="910" ht="12.75" customHeight="1">
      <c r="A910" s="277"/>
      <c r="B910" s="278"/>
      <c r="C910" s="277"/>
      <c r="D910" s="278"/>
      <c r="E910" s="279"/>
      <c r="F910" s="277"/>
      <c r="G910" s="277"/>
      <c r="H910" s="277"/>
      <c r="I910" s="277"/>
      <c r="J910" s="277"/>
      <c r="K910" s="277"/>
      <c r="L910" s="277"/>
      <c r="M910" s="277"/>
      <c r="N910" s="277"/>
      <c r="O910" s="277"/>
      <c r="P910" s="277"/>
      <c r="Q910" s="277"/>
      <c r="R910" s="277"/>
      <c r="S910" s="277"/>
      <c r="T910" s="277"/>
      <c r="U910" s="277"/>
      <c r="V910" s="280"/>
      <c r="W910" s="277"/>
      <c r="X910" s="277"/>
      <c r="Y910" s="277"/>
      <c r="Z910" s="277"/>
      <c r="AA910" s="277"/>
      <c r="AB910" s="277"/>
      <c r="AC910" s="277"/>
      <c r="AD910" s="277"/>
      <c r="AE910" s="277"/>
      <c r="AF910" s="277"/>
    </row>
    <row r="911" ht="12.75" customHeight="1">
      <c r="A911" s="277"/>
      <c r="B911" s="278"/>
      <c r="C911" s="277"/>
      <c r="D911" s="278"/>
      <c r="E911" s="279"/>
      <c r="F911" s="277"/>
      <c r="G911" s="277"/>
      <c r="H911" s="277"/>
      <c r="I911" s="277"/>
      <c r="J911" s="277"/>
      <c r="K911" s="277"/>
      <c r="L911" s="277"/>
      <c r="M911" s="277"/>
      <c r="N911" s="277"/>
      <c r="O911" s="277"/>
      <c r="P911" s="277"/>
      <c r="Q911" s="277"/>
      <c r="R911" s="277"/>
      <c r="S911" s="277"/>
      <c r="T911" s="277"/>
      <c r="U911" s="277"/>
      <c r="V911" s="280"/>
      <c r="W911" s="277"/>
      <c r="X911" s="277"/>
      <c r="Y911" s="277"/>
      <c r="Z911" s="277"/>
      <c r="AA911" s="277"/>
      <c r="AB911" s="277"/>
      <c r="AC911" s="277"/>
      <c r="AD911" s="277"/>
      <c r="AE911" s="277"/>
      <c r="AF911" s="277"/>
    </row>
    <row r="912" ht="12.75" customHeight="1">
      <c r="A912" s="277"/>
      <c r="B912" s="278"/>
      <c r="C912" s="277"/>
      <c r="D912" s="278"/>
      <c r="E912" s="279"/>
      <c r="F912" s="277"/>
      <c r="G912" s="277"/>
      <c r="H912" s="277"/>
      <c r="I912" s="277"/>
      <c r="J912" s="277"/>
      <c r="K912" s="277"/>
      <c r="L912" s="277"/>
      <c r="M912" s="277"/>
      <c r="N912" s="277"/>
      <c r="O912" s="277"/>
      <c r="P912" s="277"/>
      <c r="Q912" s="277"/>
      <c r="R912" s="277"/>
      <c r="S912" s="277"/>
      <c r="T912" s="277"/>
      <c r="U912" s="277"/>
      <c r="V912" s="280"/>
      <c r="W912" s="277"/>
      <c r="X912" s="277"/>
      <c r="Y912" s="277"/>
      <c r="Z912" s="277"/>
      <c r="AA912" s="277"/>
      <c r="AB912" s="277"/>
      <c r="AC912" s="277"/>
      <c r="AD912" s="277"/>
      <c r="AE912" s="277"/>
      <c r="AF912" s="277"/>
    </row>
    <row r="913" ht="12.75" customHeight="1">
      <c r="A913" s="277"/>
      <c r="B913" s="278"/>
      <c r="C913" s="277"/>
      <c r="D913" s="278"/>
      <c r="E913" s="279"/>
      <c r="F913" s="277"/>
      <c r="G913" s="277"/>
      <c r="H913" s="277"/>
      <c r="I913" s="277"/>
      <c r="J913" s="277"/>
      <c r="K913" s="277"/>
      <c r="L913" s="277"/>
      <c r="M913" s="277"/>
      <c r="N913" s="277"/>
      <c r="O913" s="277"/>
      <c r="P913" s="277"/>
      <c r="Q913" s="277"/>
      <c r="R913" s="277"/>
      <c r="S913" s="277"/>
      <c r="T913" s="277"/>
      <c r="U913" s="277"/>
      <c r="V913" s="280"/>
      <c r="W913" s="277"/>
      <c r="X913" s="277"/>
      <c r="Y913" s="277"/>
      <c r="Z913" s="277"/>
      <c r="AA913" s="277"/>
      <c r="AB913" s="277"/>
      <c r="AC913" s="277"/>
      <c r="AD913" s="277"/>
      <c r="AE913" s="277"/>
      <c r="AF913" s="277"/>
    </row>
    <row r="914" ht="12.75" customHeight="1">
      <c r="A914" s="277"/>
      <c r="B914" s="278"/>
      <c r="C914" s="277"/>
      <c r="D914" s="278"/>
      <c r="E914" s="279"/>
      <c r="F914" s="277"/>
      <c r="G914" s="277"/>
      <c r="H914" s="277"/>
      <c r="I914" s="277"/>
      <c r="J914" s="277"/>
      <c r="K914" s="277"/>
      <c r="L914" s="277"/>
      <c r="M914" s="277"/>
      <c r="N914" s="277"/>
      <c r="O914" s="277"/>
      <c r="P914" s="277"/>
      <c r="Q914" s="277"/>
      <c r="R914" s="277"/>
      <c r="S914" s="277"/>
      <c r="T914" s="277"/>
      <c r="U914" s="277"/>
      <c r="V914" s="280"/>
      <c r="W914" s="277"/>
      <c r="X914" s="277"/>
      <c r="Y914" s="277"/>
      <c r="Z914" s="277"/>
      <c r="AA914" s="277"/>
      <c r="AB914" s="277"/>
      <c r="AC914" s="277"/>
      <c r="AD914" s="277"/>
      <c r="AE914" s="277"/>
      <c r="AF914" s="277"/>
    </row>
    <row r="915" ht="12.75" customHeight="1">
      <c r="A915" s="277"/>
      <c r="B915" s="278"/>
      <c r="C915" s="277"/>
      <c r="D915" s="278"/>
      <c r="E915" s="279"/>
      <c r="F915" s="277"/>
      <c r="G915" s="277"/>
      <c r="H915" s="277"/>
      <c r="I915" s="277"/>
      <c r="J915" s="277"/>
      <c r="K915" s="277"/>
      <c r="L915" s="277"/>
      <c r="M915" s="277"/>
      <c r="N915" s="277"/>
      <c r="O915" s="277"/>
      <c r="P915" s="277"/>
      <c r="Q915" s="277"/>
      <c r="R915" s="277"/>
      <c r="S915" s="277"/>
      <c r="T915" s="277"/>
      <c r="U915" s="277"/>
      <c r="V915" s="280"/>
      <c r="W915" s="277"/>
      <c r="X915" s="277"/>
      <c r="Y915" s="277"/>
      <c r="Z915" s="277"/>
      <c r="AA915" s="277"/>
      <c r="AB915" s="277"/>
      <c r="AC915" s="277"/>
      <c r="AD915" s="277"/>
      <c r="AE915" s="277"/>
      <c r="AF915" s="277"/>
    </row>
    <row r="916" ht="12.75" customHeight="1">
      <c r="A916" s="277"/>
      <c r="B916" s="278"/>
      <c r="C916" s="277"/>
      <c r="D916" s="278"/>
      <c r="E916" s="279"/>
      <c r="F916" s="277"/>
      <c r="G916" s="277"/>
      <c r="H916" s="277"/>
      <c r="I916" s="277"/>
      <c r="J916" s="277"/>
      <c r="K916" s="277"/>
      <c r="L916" s="277"/>
      <c r="M916" s="277"/>
      <c r="N916" s="277"/>
      <c r="O916" s="277"/>
      <c r="P916" s="277"/>
      <c r="Q916" s="277"/>
      <c r="R916" s="277"/>
      <c r="S916" s="277"/>
      <c r="T916" s="277"/>
      <c r="U916" s="277"/>
      <c r="V916" s="280"/>
      <c r="W916" s="277"/>
      <c r="X916" s="277"/>
      <c r="Y916" s="277"/>
      <c r="Z916" s="277"/>
      <c r="AA916" s="277"/>
      <c r="AB916" s="277"/>
      <c r="AC916" s="277"/>
      <c r="AD916" s="277"/>
      <c r="AE916" s="277"/>
      <c r="AF916" s="277"/>
    </row>
    <row r="917" ht="12.75" customHeight="1">
      <c r="A917" s="277"/>
      <c r="B917" s="278"/>
      <c r="C917" s="277"/>
      <c r="D917" s="278"/>
      <c r="E917" s="279"/>
      <c r="F917" s="277"/>
      <c r="G917" s="277"/>
      <c r="H917" s="277"/>
      <c r="I917" s="277"/>
      <c r="J917" s="277"/>
      <c r="K917" s="277"/>
      <c r="L917" s="277"/>
      <c r="M917" s="277"/>
      <c r="N917" s="277"/>
      <c r="O917" s="277"/>
      <c r="P917" s="277"/>
      <c r="Q917" s="277"/>
      <c r="R917" s="277"/>
      <c r="S917" s="277"/>
      <c r="T917" s="277"/>
      <c r="U917" s="277"/>
      <c r="V917" s="280"/>
      <c r="W917" s="277"/>
      <c r="X917" s="277"/>
      <c r="Y917" s="277"/>
      <c r="Z917" s="277"/>
      <c r="AA917" s="277"/>
      <c r="AB917" s="277"/>
      <c r="AC917" s="277"/>
      <c r="AD917" s="277"/>
      <c r="AE917" s="277"/>
      <c r="AF917" s="277"/>
    </row>
    <row r="918" ht="12.75" customHeight="1">
      <c r="A918" s="277"/>
      <c r="B918" s="278"/>
      <c r="C918" s="277"/>
      <c r="D918" s="278"/>
      <c r="E918" s="279"/>
      <c r="F918" s="277"/>
      <c r="G918" s="277"/>
      <c r="H918" s="277"/>
      <c r="I918" s="277"/>
      <c r="J918" s="277"/>
      <c r="K918" s="277"/>
      <c r="L918" s="277"/>
      <c r="M918" s="277"/>
      <c r="N918" s="277"/>
      <c r="O918" s="277"/>
      <c r="P918" s="277"/>
      <c r="Q918" s="277"/>
      <c r="R918" s="277"/>
      <c r="S918" s="277"/>
      <c r="T918" s="277"/>
      <c r="U918" s="277"/>
      <c r="V918" s="280"/>
      <c r="W918" s="277"/>
      <c r="X918" s="277"/>
      <c r="Y918" s="277"/>
      <c r="Z918" s="277"/>
      <c r="AA918" s="277"/>
      <c r="AB918" s="277"/>
      <c r="AC918" s="277"/>
      <c r="AD918" s="277"/>
      <c r="AE918" s="277"/>
      <c r="AF918" s="277"/>
    </row>
    <row r="919" ht="12.75" customHeight="1">
      <c r="A919" s="277"/>
      <c r="B919" s="278"/>
      <c r="C919" s="277"/>
      <c r="D919" s="278"/>
      <c r="E919" s="279"/>
      <c r="F919" s="277"/>
      <c r="G919" s="277"/>
      <c r="H919" s="277"/>
      <c r="I919" s="277"/>
      <c r="J919" s="277"/>
      <c r="K919" s="277"/>
      <c r="L919" s="277"/>
      <c r="M919" s="277"/>
      <c r="N919" s="277"/>
      <c r="O919" s="277"/>
      <c r="P919" s="277"/>
      <c r="Q919" s="277"/>
      <c r="R919" s="277"/>
      <c r="S919" s="277"/>
      <c r="T919" s="277"/>
      <c r="U919" s="277"/>
      <c r="V919" s="280"/>
      <c r="W919" s="277"/>
      <c r="X919" s="277"/>
      <c r="Y919" s="277"/>
      <c r="Z919" s="277"/>
      <c r="AA919" s="277"/>
      <c r="AB919" s="277"/>
      <c r="AC919" s="277"/>
      <c r="AD919" s="277"/>
      <c r="AE919" s="277"/>
      <c r="AF919" s="277"/>
    </row>
    <row r="920" ht="12.75" customHeight="1">
      <c r="A920" s="277"/>
      <c r="B920" s="278"/>
      <c r="C920" s="277"/>
      <c r="D920" s="278"/>
      <c r="E920" s="279"/>
      <c r="F920" s="277"/>
      <c r="G920" s="277"/>
      <c r="H920" s="277"/>
      <c r="I920" s="277"/>
      <c r="J920" s="277"/>
      <c r="K920" s="277"/>
      <c r="L920" s="277"/>
      <c r="M920" s="277"/>
      <c r="N920" s="277"/>
      <c r="O920" s="277"/>
      <c r="P920" s="277"/>
      <c r="Q920" s="277"/>
      <c r="R920" s="277"/>
      <c r="S920" s="277"/>
      <c r="T920" s="277"/>
      <c r="U920" s="277"/>
      <c r="V920" s="280"/>
      <c r="W920" s="277"/>
      <c r="X920" s="277"/>
      <c r="Y920" s="277"/>
      <c r="Z920" s="277"/>
      <c r="AA920" s="277"/>
      <c r="AB920" s="277"/>
      <c r="AC920" s="277"/>
      <c r="AD920" s="277"/>
      <c r="AE920" s="277"/>
      <c r="AF920" s="277"/>
    </row>
    <row r="921" ht="12.75" customHeight="1">
      <c r="A921" s="277"/>
      <c r="B921" s="278"/>
      <c r="C921" s="277"/>
      <c r="D921" s="278"/>
      <c r="E921" s="279"/>
      <c r="F921" s="277"/>
      <c r="G921" s="277"/>
      <c r="H921" s="277"/>
      <c r="I921" s="277"/>
      <c r="J921" s="277"/>
      <c r="K921" s="277"/>
      <c r="L921" s="277"/>
      <c r="M921" s="277"/>
      <c r="N921" s="277"/>
      <c r="O921" s="277"/>
      <c r="P921" s="277"/>
      <c r="Q921" s="277"/>
      <c r="R921" s="277"/>
      <c r="S921" s="277"/>
      <c r="T921" s="277"/>
      <c r="U921" s="277"/>
      <c r="V921" s="280"/>
      <c r="W921" s="277"/>
      <c r="X921" s="277"/>
      <c r="Y921" s="277"/>
      <c r="Z921" s="277"/>
      <c r="AA921" s="277"/>
      <c r="AB921" s="277"/>
      <c r="AC921" s="277"/>
      <c r="AD921" s="277"/>
      <c r="AE921" s="277"/>
      <c r="AF921" s="277"/>
    </row>
    <row r="922" ht="12.75" customHeight="1">
      <c r="A922" s="277"/>
      <c r="B922" s="278"/>
      <c r="C922" s="277"/>
      <c r="D922" s="278"/>
      <c r="E922" s="279"/>
      <c r="F922" s="277"/>
      <c r="G922" s="277"/>
      <c r="H922" s="277"/>
      <c r="I922" s="277"/>
      <c r="J922" s="277"/>
      <c r="K922" s="277"/>
      <c r="L922" s="277"/>
      <c r="M922" s="277"/>
      <c r="N922" s="277"/>
      <c r="O922" s="277"/>
      <c r="P922" s="277"/>
      <c r="Q922" s="277"/>
      <c r="R922" s="277"/>
      <c r="S922" s="277"/>
      <c r="T922" s="277"/>
      <c r="U922" s="277"/>
      <c r="V922" s="280"/>
      <c r="W922" s="277"/>
      <c r="X922" s="277"/>
      <c r="Y922" s="277"/>
      <c r="Z922" s="277"/>
      <c r="AA922" s="277"/>
      <c r="AB922" s="277"/>
      <c r="AC922" s="277"/>
      <c r="AD922" s="277"/>
      <c r="AE922" s="277"/>
      <c r="AF922" s="277"/>
    </row>
    <row r="923" ht="12.75" customHeight="1">
      <c r="A923" s="277"/>
      <c r="B923" s="278"/>
      <c r="C923" s="277"/>
      <c r="D923" s="278"/>
      <c r="E923" s="279"/>
      <c r="F923" s="277"/>
      <c r="G923" s="277"/>
      <c r="H923" s="277"/>
      <c r="I923" s="277"/>
      <c r="J923" s="277"/>
      <c r="K923" s="277"/>
      <c r="L923" s="277"/>
      <c r="M923" s="277"/>
      <c r="N923" s="277"/>
      <c r="O923" s="277"/>
      <c r="P923" s="277"/>
      <c r="Q923" s="277"/>
      <c r="R923" s="277"/>
      <c r="S923" s="277"/>
      <c r="T923" s="277"/>
      <c r="U923" s="277"/>
      <c r="V923" s="280"/>
      <c r="W923" s="277"/>
      <c r="X923" s="277"/>
      <c r="Y923" s="277"/>
      <c r="Z923" s="277"/>
      <c r="AA923" s="277"/>
      <c r="AB923" s="277"/>
      <c r="AC923" s="277"/>
      <c r="AD923" s="277"/>
      <c r="AE923" s="277"/>
      <c r="AF923" s="277"/>
    </row>
    <row r="924" ht="12.75" customHeight="1">
      <c r="A924" s="277"/>
      <c r="B924" s="278"/>
      <c r="C924" s="277"/>
      <c r="D924" s="278"/>
      <c r="E924" s="279"/>
      <c r="F924" s="277"/>
      <c r="G924" s="277"/>
      <c r="H924" s="277"/>
      <c r="I924" s="277"/>
      <c r="J924" s="277"/>
      <c r="K924" s="277"/>
      <c r="L924" s="277"/>
      <c r="M924" s="277"/>
      <c r="N924" s="277"/>
      <c r="O924" s="277"/>
      <c r="P924" s="277"/>
      <c r="Q924" s="277"/>
      <c r="R924" s="277"/>
      <c r="S924" s="277"/>
      <c r="T924" s="277"/>
      <c r="U924" s="277"/>
      <c r="V924" s="280"/>
      <c r="W924" s="277"/>
      <c r="X924" s="277"/>
      <c r="Y924" s="277"/>
      <c r="Z924" s="277"/>
      <c r="AA924" s="277"/>
      <c r="AB924" s="277"/>
      <c r="AC924" s="277"/>
      <c r="AD924" s="277"/>
      <c r="AE924" s="277"/>
      <c r="AF924" s="277"/>
    </row>
    <row r="925" ht="12.75" customHeight="1">
      <c r="A925" s="277"/>
      <c r="B925" s="278"/>
      <c r="C925" s="277"/>
      <c r="D925" s="278"/>
      <c r="E925" s="279"/>
      <c r="F925" s="277"/>
      <c r="G925" s="277"/>
      <c r="H925" s="277"/>
      <c r="I925" s="277"/>
      <c r="J925" s="277"/>
      <c r="K925" s="277"/>
      <c r="L925" s="277"/>
      <c r="M925" s="277"/>
      <c r="N925" s="277"/>
      <c r="O925" s="277"/>
      <c r="P925" s="277"/>
      <c r="Q925" s="277"/>
      <c r="R925" s="277"/>
      <c r="S925" s="277"/>
      <c r="T925" s="277"/>
      <c r="U925" s="277"/>
      <c r="V925" s="280"/>
      <c r="W925" s="277"/>
      <c r="X925" s="277"/>
      <c r="Y925" s="277"/>
      <c r="Z925" s="277"/>
      <c r="AA925" s="277"/>
      <c r="AB925" s="277"/>
      <c r="AC925" s="277"/>
      <c r="AD925" s="277"/>
      <c r="AE925" s="277"/>
      <c r="AF925" s="277"/>
    </row>
    <row r="926" ht="12.75" customHeight="1">
      <c r="A926" s="277"/>
      <c r="B926" s="278"/>
      <c r="C926" s="277"/>
      <c r="D926" s="278"/>
      <c r="E926" s="279"/>
      <c r="F926" s="277"/>
      <c r="G926" s="277"/>
      <c r="H926" s="277"/>
      <c r="I926" s="277"/>
      <c r="J926" s="277"/>
      <c r="K926" s="277"/>
      <c r="L926" s="277"/>
      <c r="M926" s="277"/>
      <c r="N926" s="277"/>
      <c r="O926" s="277"/>
      <c r="P926" s="277"/>
      <c r="Q926" s="277"/>
      <c r="R926" s="277"/>
      <c r="S926" s="277"/>
      <c r="T926" s="277"/>
      <c r="U926" s="277"/>
      <c r="V926" s="280"/>
      <c r="W926" s="277"/>
      <c r="X926" s="277"/>
      <c r="Y926" s="277"/>
      <c r="Z926" s="277"/>
      <c r="AA926" s="277"/>
      <c r="AB926" s="277"/>
      <c r="AC926" s="277"/>
      <c r="AD926" s="277"/>
      <c r="AE926" s="277"/>
      <c r="AF926" s="277"/>
    </row>
    <row r="927" ht="12.75" customHeight="1">
      <c r="A927" s="277"/>
      <c r="B927" s="278"/>
      <c r="C927" s="277"/>
      <c r="D927" s="278"/>
      <c r="E927" s="279"/>
      <c r="F927" s="277"/>
      <c r="G927" s="277"/>
      <c r="H927" s="277"/>
      <c r="I927" s="277"/>
      <c r="J927" s="277"/>
      <c r="K927" s="277"/>
      <c r="L927" s="277"/>
      <c r="M927" s="277"/>
      <c r="N927" s="277"/>
      <c r="O927" s="277"/>
      <c r="P927" s="277"/>
      <c r="Q927" s="277"/>
      <c r="R927" s="277"/>
      <c r="S927" s="277"/>
      <c r="T927" s="277"/>
      <c r="U927" s="277"/>
      <c r="V927" s="280"/>
      <c r="W927" s="277"/>
      <c r="X927" s="277"/>
      <c r="Y927" s="277"/>
      <c r="Z927" s="277"/>
      <c r="AA927" s="277"/>
      <c r="AB927" s="277"/>
      <c r="AC927" s="277"/>
      <c r="AD927" s="277"/>
      <c r="AE927" s="277"/>
      <c r="AF927" s="277"/>
    </row>
    <row r="928" ht="12.75" customHeight="1">
      <c r="A928" s="277"/>
      <c r="B928" s="278"/>
      <c r="C928" s="277"/>
      <c r="D928" s="278"/>
      <c r="E928" s="279"/>
      <c r="F928" s="277"/>
      <c r="G928" s="277"/>
      <c r="H928" s="277"/>
      <c r="I928" s="277"/>
      <c r="J928" s="277"/>
      <c r="K928" s="277"/>
      <c r="L928" s="277"/>
      <c r="M928" s="277"/>
      <c r="N928" s="277"/>
      <c r="O928" s="277"/>
      <c r="P928" s="277"/>
      <c r="Q928" s="277"/>
      <c r="R928" s="277"/>
      <c r="S928" s="277"/>
      <c r="T928" s="277"/>
      <c r="U928" s="277"/>
      <c r="V928" s="280"/>
      <c r="W928" s="277"/>
      <c r="X928" s="277"/>
      <c r="Y928" s="277"/>
      <c r="Z928" s="277"/>
      <c r="AA928" s="277"/>
      <c r="AB928" s="277"/>
      <c r="AC928" s="277"/>
      <c r="AD928" s="277"/>
      <c r="AE928" s="277"/>
      <c r="AF928" s="277"/>
    </row>
    <row r="929" ht="12.75" customHeight="1">
      <c r="A929" s="277"/>
      <c r="B929" s="278"/>
      <c r="C929" s="277"/>
      <c r="D929" s="278"/>
      <c r="E929" s="279"/>
      <c r="F929" s="277"/>
      <c r="G929" s="277"/>
      <c r="H929" s="277"/>
      <c r="I929" s="277"/>
      <c r="J929" s="277"/>
      <c r="K929" s="277"/>
      <c r="L929" s="277"/>
      <c r="M929" s="277"/>
      <c r="N929" s="277"/>
      <c r="O929" s="277"/>
      <c r="P929" s="277"/>
      <c r="Q929" s="277"/>
      <c r="R929" s="277"/>
      <c r="S929" s="277"/>
      <c r="T929" s="277"/>
      <c r="U929" s="277"/>
      <c r="V929" s="280"/>
      <c r="W929" s="277"/>
      <c r="X929" s="277"/>
      <c r="Y929" s="277"/>
      <c r="Z929" s="277"/>
      <c r="AA929" s="277"/>
      <c r="AB929" s="277"/>
      <c r="AC929" s="277"/>
      <c r="AD929" s="277"/>
      <c r="AE929" s="277"/>
      <c r="AF929" s="277"/>
    </row>
    <row r="930" ht="12.75" customHeight="1">
      <c r="A930" s="277"/>
      <c r="B930" s="278"/>
      <c r="C930" s="277"/>
      <c r="D930" s="278"/>
      <c r="E930" s="279"/>
      <c r="F930" s="277"/>
      <c r="G930" s="277"/>
      <c r="H930" s="277"/>
      <c r="I930" s="277"/>
      <c r="J930" s="277"/>
      <c r="K930" s="277"/>
      <c r="L930" s="277"/>
      <c r="M930" s="277"/>
      <c r="N930" s="277"/>
      <c r="O930" s="277"/>
      <c r="P930" s="277"/>
      <c r="Q930" s="277"/>
      <c r="R930" s="277"/>
      <c r="S930" s="277"/>
      <c r="T930" s="277"/>
      <c r="U930" s="277"/>
      <c r="V930" s="280"/>
      <c r="W930" s="277"/>
      <c r="X930" s="277"/>
      <c r="Y930" s="277"/>
      <c r="Z930" s="277"/>
      <c r="AA930" s="277"/>
      <c r="AB930" s="277"/>
      <c r="AC930" s="277"/>
      <c r="AD930" s="277"/>
      <c r="AE930" s="277"/>
      <c r="AF930" s="277"/>
    </row>
    <row r="931" ht="12.75" customHeight="1">
      <c r="A931" s="277"/>
      <c r="B931" s="278"/>
      <c r="C931" s="277"/>
      <c r="D931" s="278"/>
      <c r="E931" s="279"/>
      <c r="F931" s="277"/>
      <c r="G931" s="277"/>
      <c r="H931" s="277"/>
      <c r="I931" s="277"/>
      <c r="J931" s="277"/>
      <c r="K931" s="277"/>
      <c r="L931" s="277"/>
      <c r="M931" s="277"/>
      <c r="N931" s="277"/>
      <c r="O931" s="277"/>
      <c r="P931" s="277"/>
      <c r="Q931" s="277"/>
      <c r="R931" s="277"/>
      <c r="S931" s="277"/>
      <c r="T931" s="277"/>
      <c r="U931" s="277"/>
      <c r="V931" s="280"/>
      <c r="W931" s="277"/>
      <c r="X931" s="277"/>
      <c r="Y931" s="277"/>
      <c r="Z931" s="277"/>
      <c r="AA931" s="277"/>
      <c r="AB931" s="277"/>
      <c r="AC931" s="277"/>
      <c r="AD931" s="277"/>
      <c r="AE931" s="277"/>
      <c r="AF931" s="277"/>
    </row>
    <row r="932" ht="12.75" customHeight="1">
      <c r="A932" s="277"/>
      <c r="B932" s="278"/>
      <c r="C932" s="277"/>
      <c r="D932" s="278"/>
      <c r="E932" s="279"/>
      <c r="F932" s="277"/>
      <c r="G932" s="277"/>
      <c r="H932" s="277"/>
      <c r="I932" s="277"/>
      <c r="J932" s="277"/>
      <c r="K932" s="277"/>
      <c r="L932" s="277"/>
      <c r="M932" s="277"/>
      <c r="N932" s="277"/>
      <c r="O932" s="277"/>
      <c r="P932" s="277"/>
      <c r="Q932" s="277"/>
      <c r="R932" s="277"/>
      <c r="S932" s="277"/>
      <c r="T932" s="277"/>
      <c r="U932" s="277"/>
      <c r="V932" s="280"/>
      <c r="W932" s="277"/>
      <c r="X932" s="277"/>
      <c r="Y932" s="277"/>
      <c r="Z932" s="277"/>
      <c r="AA932" s="277"/>
      <c r="AB932" s="277"/>
      <c r="AC932" s="277"/>
      <c r="AD932" s="277"/>
      <c r="AE932" s="277"/>
      <c r="AF932" s="277"/>
    </row>
    <row r="933" ht="12.75" customHeight="1">
      <c r="A933" s="277"/>
      <c r="B933" s="278"/>
      <c r="C933" s="277"/>
      <c r="D933" s="278"/>
      <c r="E933" s="279"/>
      <c r="F933" s="277"/>
      <c r="G933" s="277"/>
      <c r="H933" s="277"/>
      <c r="I933" s="277"/>
      <c r="J933" s="277"/>
      <c r="K933" s="277"/>
      <c r="L933" s="277"/>
      <c r="M933" s="277"/>
      <c r="N933" s="277"/>
      <c r="O933" s="277"/>
      <c r="P933" s="277"/>
      <c r="Q933" s="277"/>
      <c r="R933" s="277"/>
      <c r="S933" s="277"/>
      <c r="T933" s="277"/>
      <c r="U933" s="277"/>
      <c r="V933" s="280"/>
      <c r="W933" s="277"/>
      <c r="X933" s="277"/>
      <c r="Y933" s="277"/>
      <c r="Z933" s="277"/>
      <c r="AA933" s="277"/>
      <c r="AB933" s="277"/>
      <c r="AC933" s="277"/>
      <c r="AD933" s="277"/>
      <c r="AE933" s="277"/>
      <c r="AF933" s="277"/>
    </row>
    <row r="934" ht="12.75" customHeight="1">
      <c r="A934" s="277"/>
      <c r="B934" s="278"/>
      <c r="C934" s="277"/>
      <c r="D934" s="278"/>
      <c r="E934" s="279"/>
      <c r="F934" s="277"/>
      <c r="G934" s="277"/>
      <c r="H934" s="277"/>
      <c r="I934" s="277"/>
      <c r="J934" s="277"/>
      <c r="K934" s="277"/>
      <c r="L934" s="277"/>
      <c r="M934" s="277"/>
      <c r="N934" s="277"/>
      <c r="O934" s="277"/>
      <c r="P934" s="277"/>
      <c r="Q934" s="277"/>
      <c r="R934" s="277"/>
      <c r="S934" s="277"/>
      <c r="T934" s="277"/>
      <c r="U934" s="277"/>
      <c r="V934" s="280"/>
      <c r="W934" s="277"/>
      <c r="X934" s="277"/>
      <c r="Y934" s="277"/>
      <c r="Z934" s="277"/>
      <c r="AA934" s="277"/>
      <c r="AB934" s="277"/>
      <c r="AC934" s="277"/>
      <c r="AD934" s="277"/>
      <c r="AE934" s="277"/>
      <c r="AF934" s="277"/>
    </row>
    <row r="935" ht="12.75" customHeight="1">
      <c r="A935" s="277"/>
      <c r="B935" s="278"/>
      <c r="C935" s="277"/>
      <c r="D935" s="278"/>
      <c r="E935" s="279"/>
      <c r="F935" s="277"/>
      <c r="G935" s="277"/>
      <c r="H935" s="277"/>
      <c r="I935" s="277"/>
      <c r="J935" s="277"/>
      <c r="K935" s="277"/>
      <c r="L935" s="277"/>
      <c r="M935" s="277"/>
      <c r="N935" s="277"/>
      <c r="O935" s="277"/>
      <c r="P935" s="277"/>
      <c r="Q935" s="277"/>
      <c r="R935" s="277"/>
      <c r="S935" s="277"/>
      <c r="T935" s="277"/>
      <c r="U935" s="277"/>
      <c r="V935" s="280"/>
      <c r="W935" s="277"/>
      <c r="X935" s="277"/>
      <c r="Y935" s="277"/>
      <c r="Z935" s="277"/>
      <c r="AA935" s="277"/>
      <c r="AB935" s="277"/>
      <c r="AC935" s="277"/>
      <c r="AD935" s="277"/>
      <c r="AE935" s="277"/>
      <c r="AF935" s="277"/>
    </row>
    <row r="936" ht="12.75" customHeight="1">
      <c r="A936" s="277"/>
      <c r="B936" s="278"/>
      <c r="C936" s="277"/>
      <c r="D936" s="278"/>
      <c r="E936" s="279"/>
      <c r="F936" s="277"/>
      <c r="G936" s="277"/>
      <c r="H936" s="277"/>
      <c r="I936" s="277"/>
      <c r="J936" s="277"/>
      <c r="K936" s="277"/>
      <c r="L936" s="277"/>
      <c r="M936" s="277"/>
      <c r="N936" s="277"/>
      <c r="O936" s="277"/>
      <c r="P936" s="277"/>
      <c r="Q936" s="277"/>
      <c r="R936" s="277"/>
      <c r="S936" s="277"/>
      <c r="T936" s="277"/>
      <c r="U936" s="277"/>
      <c r="V936" s="280"/>
      <c r="W936" s="277"/>
      <c r="X936" s="277"/>
      <c r="Y936" s="277"/>
      <c r="Z936" s="277"/>
      <c r="AA936" s="277"/>
      <c r="AB936" s="277"/>
      <c r="AC936" s="277"/>
      <c r="AD936" s="277"/>
      <c r="AE936" s="277"/>
      <c r="AF936" s="277"/>
    </row>
    <row r="937" ht="12.75" customHeight="1">
      <c r="A937" s="277"/>
      <c r="B937" s="278"/>
      <c r="C937" s="277"/>
      <c r="D937" s="278"/>
      <c r="E937" s="279"/>
      <c r="F937" s="277"/>
      <c r="G937" s="277"/>
      <c r="H937" s="277"/>
      <c r="I937" s="277"/>
      <c r="J937" s="277"/>
      <c r="K937" s="277"/>
      <c r="L937" s="277"/>
      <c r="M937" s="277"/>
      <c r="N937" s="277"/>
      <c r="O937" s="277"/>
      <c r="P937" s="277"/>
      <c r="Q937" s="277"/>
      <c r="R937" s="277"/>
      <c r="S937" s="277"/>
      <c r="T937" s="277"/>
      <c r="U937" s="277"/>
      <c r="V937" s="280"/>
      <c r="W937" s="277"/>
      <c r="X937" s="277"/>
      <c r="Y937" s="277"/>
      <c r="Z937" s="277"/>
      <c r="AA937" s="277"/>
      <c r="AB937" s="277"/>
      <c r="AC937" s="277"/>
      <c r="AD937" s="277"/>
      <c r="AE937" s="277"/>
      <c r="AF937" s="277"/>
    </row>
    <row r="938" ht="12.75" customHeight="1">
      <c r="A938" s="277"/>
      <c r="B938" s="278"/>
      <c r="C938" s="277"/>
      <c r="D938" s="278"/>
      <c r="E938" s="279"/>
      <c r="F938" s="277"/>
      <c r="G938" s="277"/>
      <c r="H938" s="277"/>
      <c r="I938" s="277"/>
      <c r="J938" s="277"/>
      <c r="K938" s="277"/>
      <c r="L938" s="277"/>
      <c r="M938" s="277"/>
      <c r="N938" s="277"/>
      <c r="O938" s="277"/>
      <c r="P938" s="277"/>
      <c r="Q938" s="277"/>
      <c r="R938" s="277"/>
      <c r="S938" s="277"/>
      <c r="T938" s="277"/>
      <c r="U938" s="277"/>
      <c r="V938" s="280"/>
      <c r="W938" s="277"/>
      <c r="X938" s="277"/>
      <c r="Y938" s="277"/>
      <c r="Z938" s="277"/>
      <c r="AA938" s="277"/>
      <c r="AB938" s="277"/>
      <c r="AC938" s="277"/>
      <c r="AD938" s="277"/>
      <c r="AE938" s="277"/>
      <c r="AF938" s="277"/>
    </row>
    <row r="939" ht="12.75" customHeight="1">
      <c r="A939" s="277"/>
      <c r="B939" s="278"/>
      <c r="C939" s="277"/>
      <c r="D939" s="278"/>
      <c r="E939" s="279"/>
      <c r="F939" s="277"/>
      <c r="G939" s="277"/>
      <c r="H939" s="277"/>
      <c r="I939" s="277"/>
      <c r="J939" s="277"/>
      <c r="K939" s="277"/>
      <c r="L939" s="277"/>
      <c r="M939" s="277"/>
      <c r="N939" s="277"/>
      <c r="O939" s="277"/>
      <c r="P939" s="277"/>
      <c r="Q939" s="277"/>
      <c r="R939" s="277"/>
      <c r="S939" s="277"/>
      <c r="T939" s="277"/>
      <c r="U939" s="277"/>
      <c r="V939" s="280"/>
      <c r="W939" s="277"/>
      <c r="X939" s="277"/>
      <c r="Y939" s="277"/>
      <c r="Z939" s="277"/>
      <c r="AA939" s="277"/>
      <c r="AB939" s="277"/>
      <c r="AC939" s="277"/>
      <c r="AD939" s="277"/>
      <c r="AE939" s="277"/>
      <c r="AF939" s="277"/>
    </row>
    <row r="940" ht="12.75" customHeight="1">
      <c r="A940" s="277"/>
      <c r="B940" s="278"/>
      <c r="C940" s="277"/>
      <c r="D940" s="278"/>
      <c r="E940" s="279"/>
      <c r="F940" s="277"/>
      <c r="G940" s="277"/>
      <c r="H940" s="277"/>
      <c r="I940" s="277"/>
      <c r="J940" s="277"/>
      <c r="K940" s="277"/>
      <c r="L940" s="277"/>
      <c r="M940" s="277"/>
      <c r="N940" s="277"/>
      <c r="O940" s="277"/>
      <c r="P940" s="277"/>
      <c r="Q940" s="277"/>
      <c r="R940" s="277"/>
      <c r="S940" s="277"/>
      <c r="T940" s="277"/>
      <c r="U940" s="277"/>
      <c r="V940" s="280"/>
      <c r="W940" s="277"/>
      <c r="X940" s="277"/>
      <c r="Y940" s="277"/>
      <c r="Z940" s="277"/>
      <c r="AA940" s="277"/>
      <c r="AB940" s="277"/>
      <c r="AC940" s="277"/>
      <c r="AD940" s="277"/>
      <c r="AE940" s="277"/>
      <c r="AF940" s="277"/>
    </row>
    <row r="941" ht="12.75" customHeight="1">
      <c r="A941" s="277"/>
      <c r="B941" s="278"/>
      <c r="C941" s="277"/>
      <c r="D941" s="278"/>
      <c r="E941" s="279"/>
      <c r="F941" s="277"/>
      <c r="G941" s="277"/>
      <c r="H941" s="277"/>
      <c r="I941" s="277"/>
      <c r="J941" s="277"/>
      <c r="K941" s="277"/>
      <c r="L941" s="277"/>
      <c r="M941" s="277"/>
      <c r="N941" s="277"/>
      <c r="O941" s="277"/>
      <c r="P941" s="277"/>
      <c r="Q941" s="277"/>
      <c r="R941" s="277"/>
      <c r="S941" s="277"/>
      <c r="T941" s="277"/>
      <c r="U941" s="277"/>
      <c r="V941" s="280"/>
      <c r="W941" s="277"/>
      <c r="X941" s="277"/>
      <c r="Y941" s="277"/>
      <c r="Z941" s="277"/>
      <c r="AA941" s="277"/>
      <c r="AB941" s="277"/>
      <c r="AC941" s="277"/>
      <c r="AD941" s="277"/>
      <c r="AE941" s="277"/>
      <c r="AF941" s="277"/>
    </row>
    <row r="942" ht="12.75" customHeight="1">
      <c r="A942" s="277"/>
      <c r="B942" s="278"/>
      <c r="C942" s="277"/>
      <c r="D942" s="278"/>
      <c r="E942" s="279"/>
      <c r="F942" s="277"/>
      <c r="G942" s="277"/>
      <c r="H942" s="277"/>
      <c r="I942" s="277"/>
      <c r="J942" s="277"/>
      <c r="K942" s="277"/>
      <c r="L942" s="277"/>
      <c r="M942" s="277"/>
      <c r="N942" s="277"/>
      <c r="O942" s="277"/>
      <c r="P942" s="277"/>
      <c r="Q942" s="277"/>
      <c r="R942" s="277"/>
      <c r="S942" s="277"/>
      <c r="T942" s="277"/>
      <c r="U942" s="277"/>
      <c r="V942" s="280"/>
      <c r="W942" s="277"/>
      <c r="X942" s="277"/>
      <c r="Y942" s="277"/>
      <c r="Z942" s="277"/>
      <c r="AA942" s="277"/>
      <c r="AB942" s="277"/>
      <c r="AC942" s="277"/>
      <c r="AD942" s="277"/>
      <c r="AE942" s="277"/>
      <c r="AF942" s="277"/>
    </row>
    <row r="943" ht="12.75" customHeight="1">
      <c r="A943" s="277"/>
      <c r="B943" s="278"/>
      <c r="C943" s="277"/>
      <c r="D943" s="278"/>
      <c r="E943" s="279"/>
      <c r="F943" s="277"/>
      <c r="G943" s="277"/>
      <c r="H943" s="277"/>
      <c r="I943" s="277"/>
      <c r="J943" s="277"/>
      <c r="K943" s="277"/>
      <c r="L943" s="277"/>
      <c r="M943" s="277"/>
      <c r="N943" s="277"/>
      <c r="O943" s="277"/>
      <c r="P943" s="277"/>
      <c r="Q943" s="277"/>
      <c r="R943" s="277"/>
      <c r="S943" s="277"/>
      <c r="T943" s="277"/>
      <c r="U943" s="277"/>
      <c r="V943" s="280"/>
      <c r="W943" s="277"/>
      <c r="X943" s="277"/>
      <c r="Y943" s="277"/>
      <c r="Z943" s="277"/>
      <c r="AA943" s="277"/>
      <c r="AB943" s="277"/>
      <c r="AC943" s="277"/>
      <c r="AD943" s="277"/>
      <c r="AE943" s="277"/>
      <c r="AF943" s="277"/>
    </row>
    <row r="944" ht="12.75" customHeight="1">
      <c r="A944" s="277"/>
      <c r="B944" s="278"/>
      <c r="C944" s="277"/>
      <c r="D944" s="278"/>
      <c r="E944" s="279"/>
      <c r="F944" s="277"/>
      <c r="G944" s="277"/>
      <c r="H944" s="277"/>
      <c r="I944" s="277"/>
      <c r="J944" s="277"/>
      <c r="K944" s="277"/>
      <c r="L944" s="277"/>
      <c r="M944" s="277"/>
      <c r="N944" s="277"/>
      <c r="O944" s="277"/>
      <c r="P944" s="277"/>
      <c r="Q944" s="277"/>
      <c r="R944" s="277"/>
      <c r="S944" s="277"/>
      <c r="T944" s="277"/>
      <c r="U944" s="277"/>
      <c r="V944" s="280"/>
      <c r="W944" s="277"/>
      <c r="X944" s="277"/>
      <c r="Y944" s="277"/>
      <c r="Z944" s="277"/>
      <c r="AA944" s="277"/>
      <c r="AB944" s="277"/>
      <c r="AC944" s="277"/>
      <c r="AD944" s="277"/>
      <c r="AE944" s="277"/>
      <c r="AF944" s="277"/>
    </row>
    <row r="945" ht="12.75" customHeight="1">
      <c r="A945" s="277"/>
      <c r="B945" s="278"/>
      <c r="C945" s="277"/>
      <c r="D945" s="278"/>
      <c r="E945" s="279"/>
      <c r="F945" s="277"/>
      <c r="G945" s="277"/>
      <c r="H945" s="277"/>
      <c r="I945" s="277"/>
      <c r="J945" s="277"/>
      <c r="K945" s="277"/>
      <c r="L945" s="277"/>
      <c r="M945" s="277"/>
      <c r="N945" s="277"/>
      <c r="O945" s="277"/>
      <c r="P945" s="277"/>
      <c r="Q945" s="277"/>
      <c r="R945" s="277"/>
      <c r="S945" s="277"/>
      <c r="T945" s="277"/>
      <c r="U945" s="277"/>
      <c r="V945" s="280"/>
      <c r="W945" s="277"/>
      <c r="X945" s="277"/>
      <c r="Y945" s="277"/>
      <c r="Z945" s="277"/>
      <c r="AA945" s="277"/>
      <c r="AB945" s="277"/>
      <c r="AC945" s="277"/>
      <c r="AD945" s="277"/>
      <c r="AE945" s="277"/>
      <c r="AF945" s="277"/>
    </row>
    <row r="946" ht="12.75" customHeight="1">
      <c r="A946" s="277"/>
      <c r="B946" s="278"/>
      <c r="C946" s="277"/>
      <c r="D946" s="278"/>
      <c r="E946" s="279"/>
      <c r="F946" s="277"/>
      <c r="G946" s="277"/>
      <c r="H946" s="277"/>
      <c r="I946" s="277"/>
      <c r="J946" s="277"/>
      <c r="K946" s="277"/>
      <c r="L946" s="277"/>
      <c r="M946" s="277"/>
      <c r="N946" s="277"/>
      <c r="O946" s="277"/>
      <c r="P946" s="277"/>
      <c r="Q946" s="277"/>
      <c r="R946" s="277"/>
      <c r="S946" s="277"/>
      <c r="T946" s="277"/>
      <c r="U946" s="277"/>
      <c r="V946" s="280"/>
      <c r="W946" s="277"/>
      <c r="X946" s="277"/>
      <c r="Y946" s="277"/>
      <c r="Z946" s="277"/>
      <c r="AA946" s="277"/>
      <c r="AB946" s="277"/>
      <c r="AC946" s="277"/>
      <c r="AD946" s="277"/>
      <c r="AE946" s="277"/>
      <c r="AF946" s="277"/>
    </row>
    <row r="947" ht="12.75" customHeight="1">
      <c r="A947" s="277"/>
      <c r="B947" s="278"/>
      <c r="C947" s="277"/>
      <c r="D947" s="278"/>
      <c r="E947" s="279"/>
      <c r="F947" s="277"/>
      <c r="G947" s="277"/>
      <c r="H947" s="277"/>
      <c r="I947" s="277"/>
      <c r="J947" s="277"/>
      <c r="K947" s="277"/>
      <c r="L947" s="277"/>
      <c r="M947" s="277"/>
      <c r="N947" s="277"/>
      <c r="O947" s="277"/>
      <c r="P947" s="277"/>
      <c r="Q947" s="277"/>
      <c r="R947" s="277"/>
      <c r="S947" s="277"/>
      <c r="T947" s="277"/>
      <c r="U947" s="277"/>
      <c r="V947" s="280"/>
      <c r="W947" s="277"/>
      <c r="X947" s="277"/>
      <c r="Y947" s="277"/>
      <c r="Z947" s="277"/>
      <c r="AA947" s="277"/>
      <c r="AB947" s="277"/>
      <c r="AC947" s="277"/>
      <c r="AD947" s="277"/>
      <c r="AE947" s="277"/>
      <c r="AF947" s="277"/>
    </row>
    <row r="948" ht="12.75" customHeight="1">
      <c r="A948" s="277"/>
      <c r="B948" s="278"/>
      <c r="C948" s="277"/>
      <c r="D948" s="278"/>
      <c r="E948" s="279"/>
      <c r="F948" s="277"/>
      <c r="G948" s="277"/>
      <c r="H948" s="277"/>
      <c r="I948" s="277"/>
      <c r="J948" s="277"/>
      <c r="K948" s="277"/>
      <c r="L948" s="277"/>
      <c r="M948" s="277"/>
      <c r="N948" s="277"/>
      <c r="O948" s="277"/>
      <c r="P948" s="277"/>
      <c r="Q948" s="277"/>
      <c r="R948" s="277"/>
      <c r="S948" s="277"/>
      <c r="T948" s="277"/>
      <c r="U948" s="277"/>
      <c r="V948" s="280"/>
      <c r="W948" s="277"/>
      <c r="X948" s="277"/>
      <c r="Y948" s="277"/>
      <c r="Z948" s="277"/>
      <c r="AA948" s="277"/>
      <c r="AB948" s="277"/>
      <c r="AC948" s="277"/>
      <c r="AD948" s="277"/>
      <c r="AE948" s="277"/>
      <c r="AF948" s="277"/>
    </row>
    <row r="949" ht="12.75" customHeight="1">
      <c r="A949" s="277"/>
      <c r="B949" s="278"/>
      <c r="C949" s="277"/>
      <c r="D949" s="278"/>
      <c r="E949" s="279"/>
      <c r="F949" s="277"/>
      <c r="G949" s="277"/>
      <c r="H949" s="277"/>
      <c r="I949" s="277"/>
      <c r="J949" s="277"/>
      <c r="K949" s="277"/>
      <c r="L949" s="277"/>
      <c r="M949" s="277"/>
      <c r="N949" s="277"/>
      <c r="O949" s="277"/>
      <c r="P949" s="277"/>
      <c r="Q949" s="277"/>
      <c r="R949" s="277"/>
      <c r="S949" s="277"/>
      <c r="T949" s="277"/>
      <c r="U949" s="277"/>
      <c r="V949" s="280"/>
      <c r="W949" s="277"/>
      <c r="X949" s="277"/>
      <c r="Y949" s="277"/>
      <c r="Z949" s="277"/>
      <c r="AA949" s="277"/>
      <c r="AB949" s="277"/>
      <c r="AC949" s="277"/>
      <c r="AD949" s="277"/>
      <c r="AE949" s="277"/>
      <c r="AF949" s="277"/>
    </row>
    <row r="950" ht="12.75" customHeight="1">
      <c r="A950" s="277"/>
      <c r="B950" s="278"/>
      <c r="C950" s="277"/>
      <c r="D950" s="278"/>
      <c r="E950" s="279"/>
      <c r="F950" s="277"/>
      <c r="G950" s="277"/>
      <c r="H950" s="277"/>
      <c r="I950" s="277"/>
      <c r="J950" s="277"/>
      <c r="K950" s="277"/>
      <c r="L950" s="277"/>
      <c r="M950" s="277"/>
      <c r="N950" s="277"/>
      <c r="O950" s="277"/>
      <c r="P950" s="277"/>
      <c r="Q950" s="277"/>
      <c r="R950" s="277"/>
      <c r="S950" s="277"/>
      <c r="T950" s="277"/>
      <c r="U950" s="277"/>
      <c r="V950" s="280"/>
      <c r="W950" s="277"/>
      <c r="X950" s="277"/>
      <c r="Y950" s="277"/>
      <c r="Z950" s="277"/>
      <c r="AA950" s="277"/>
      <c r="AB950" s="277"/>
      <c r="AC950" s="277"/>
      <c r="AD950" s="277"/>
      <c r="AE950" s="277"/>
      <c r="AF950" s="277"/>
    </row>
    <row r="951" ht="12.75" customHeight="1">
      <c r="A951" s="277"/>
      <c r="B951" s="278"/>
      <c r="C951" s="277"/>
      <c r="D951" s="278"/>
      <c r="E951" s="279"/>
      <c r="F951" s="277"/>
      <c r="G951" s="277"/>
      <c r="H951" s="277"/>
      <c r="I951" s="277"/>
      <c r="J951" s="277"/>
      <c r="K951" s="277"/>
      <c r="L951" s="277"/>
      <c r="M951" s="277"/>
      <c r="N951" s="277"/>
      <c r="O951" s="277"/>
      <c r="P951" s="277"/>
      <c r="Q951" s="277"/>
      <c r="R951" s="277"/>
      <c r="S951" s="277"/>
      <c r="T951" s="277"/>
      <c r="U951" s="277"/>
      <c r="V951" s="280"/>
      <c r="W951" s="277"/>
      <c r="X951" s="277"/>
      <c r="Y951" s="277"/>
      <c r="Z951" s="277"/>
      <c r="AA951" s="277"/>
      <c r="AB951" s="277"/>
      <c r="AC951" s="277"/>
      <c r="AD951" s="277"/>
      <c r="AE951" s="277"/>
      <c r="AF951" s="277"/>
    </row>
    <row r="952" ht="12.75" customHeight="1">
      <c r="A952" s="277"/>
      <c r="B952" s="278"/>
      <c r="C952" s="277"/>
      <c r="D952" s="278"/>
      <c r="E952" s="279"/>
      <c r="F952" s="277"/>
      <c r="G952" s="277"/>
      <c r="H952" s="277"/>
      <c r="I952" s="277"/>
      <c r="J952" s="277"/>
      <c r="K952" s="277"/>
      <c r="L952" s="277"/>
      <c r="M952" s="277"/>
      <c r="N952" s="277"/>
      <c r="O952" s="277"/>
      <c r="P952" s="277"/>
      <c r="Q952" s="277"/>
      <c r="R952" s="277"/>
      <c r="S952" s="277"/>
      <c r="T952" s="277"/>
      <c r="U952" s="277"/>
      <c r="V952" s="280"/>
      <c r="W952" s="277"/>
      <c r="X952" s="277"/>
      <c r="Y952" s="277"/>
      <c r="Z952" s="277"/>
      <c r="AA952" s="277"/>
      <c r="AB952" s="277"/>
      <c r="AC952" s="277"/>
      <c r="AD952" s="277"/>
      <c r="AE952" s="277"/>
      <c r="AF952" s="277"/>
    </row>
    <row r="953" ht="12.75" customHeight="1">
      <c r="A953" s="277"/>
      <c r="B953" s="278"/>
      <c r="C953" s="277"/>
      <c r="D953" s="278"/>
      <c r="E953" s="279"/>
      <c r="F953" s="277"/>
      <c r="G953" s="277"/>
      <c r="H953" s="277"/>
      <c r="I953" s="277"/>
      <c r="J953" s="277"/>
      <c r="K953" s="277"/>
      <c r="L953" s="277"/>
      <c r="M953" s="277"/>
      <c r="N953" s="277"/>
      <c r="O953" s="277"/>
      <c r="P953" s="277"/>
      <c r="Q953" s="277"/>
      <c r="R953" s="277"/>
      <c r="S953" s="277"/>
      <c r="T953" s="277"/>
      <c r="U953" s="277"/>
      <c r="V953" s="280"/>
      <c r="W953" s="277"/>
      <c r="X953" s="277"/>
      <c r="Y953" s="277"/>
      <c r="Z953" s="277"/>
      <c r="AA953" s="277"/>
      <c r="AB953" s="277"/>
      <c r="AC953" s="277"/>
      <c r="AD953" s="277"/>
      <c r="AE953" s="277"/>
      <c r="AF953" s="277"/>
    </row>
    <row r="954" ht="12.75" customHeight="1">
      <c r="A954" s="277"/>
      <c r="B954" s="278"/>
      <c r="C954" s="277"/>
      <c r="D954" s="278"/>
      <c r="E954" s="279"/>
      <c r="F954" s="277"/>
      <c r="G954" s="277"/>
      <c r="H954" s="277"/>
      <c r="I954" s="277"/>
      <c r="J954" s="277"/>
      <c r="K954" s="277"/>
      <c r="L954" s="277"/>
      <c r="M954" s="277"/>
      <c r="N954" s="277"/>
      <c r="O954" s="277"/>
      <c r="P954" s="277"/>
      <c r="Q954" s="277"/>
      <c r="R954" s="277"/>
      <c r="S954" s="277"/>
      <c r="T954" s="277"/>
      <c r="U954" s="277"/>
      <c r="V954" s="280"/>
      <c r="W954" s="277"/>
      <c r="X954" s="277"/>
      <c r="Y954" s="277"/>
      <c r="Z954" s="277"/>
      <c r="AA954" s="277"/>
      <c r="AB954" s="277"/>
      <c r="AC954" s="277"/>
      <c r="AD954" s="277"/>
      <c r="AE954" s="277"/>
      <c r="AF954" s="277"/>
    </row>
    <row r="955" ht="12.75" customHeight="1">
      <c r="A955" s="277"/>
      <c r="B955" s="278"/>
      <c r="C955" s="277"/>
      <c r="D955" s="278"/>
      <c r="E955" s="279"/>
      <c r="F955" s="277"/>
      <c r="G955" s="277"/>
      <c r="H955" s="277"/>
      <c r="I955" s="277"/>
      <c r="J955" s="277"/>
      <c r="K955" s="277"/>
      <c r="L955" s="277"/>
      <c r="M955" s="277"/>
      <c r="N955" s="277"/>
      <c r="O955" s="277"/>
      <c r="P955" s="277"/>
      <c r="Q955" s="277"/>
      <c r="R955" s="277"/>
      <c r="S955" s="277"/>
      <c r="T955" s="277"/>
      <c r="U955" s="277"/>
      <c r="V955" s="280"/>
      <c r="W955" s="277"/>
      <c r="X955" s="277"/>
      <c r="Y955" s="277"/>
      <c r="Z955" s="277"/>
      <c r="AA955" s="277"/>
      <c r="AB955" s="277"/>
      <c r="AC955" s="277"/>
      <c r="AD955" s="277"/>
      <c r="AE955" s="277"/>
      <c r="AF955" s="277"/>
    </row>
    <row r="956" ht="12.75" customHeight="1">
      <c r="A956" s="277"/>
      <c r="B956" s="278"/>
      <c r="C956" s="277"/>
      <c r="D956" s="278"/>
      <c r="E956" s="279"/>
      <c r="F956" s="277"/>
      <c r="G956" s="277"/>
      <c r="H956" s="277"/>
      <c r="I956" s="277"/>
      <c r="J956" s="277"/>
      <c r="K956" s="277"/>
      <c r="L956" s="277"/>
      <c r="M956" s="277"/>
      <c r="N956" s="277"/>
      <c r="O956" s="277"/>
      <c r="P956" s="277"/>
      <c r="Q956" s="277"/>
      <c r="R956" s="277"/>
      <c r="S956" s="277"/>
      <c r="T956" s="277"/>
      <c r="U956" s="277"/>
      <c r="V956" s="280"/>
      <c r="W956" s="277"/>
      <c r="X956" s="277"/>
      <c r="Y956" s="277"/>
      <c r="Z956" s="277"/>
      <c r="AA956" s="277"/>
      <c r="AB956" s="277"/>
      <c r="AC956" s="277"/>
      <c r="AD956" s="277"/>
      <c r="AE956" s="277"/>
      <c r="AF956" s="277"/>
    </row>
    <row r="957" ht="12.75" customHeight="1">
      <c r="A957" s="277"/>
      <c r="B957" s="278"/>
      <c r="C957" s="277"/>
      <c r="D957" s="278"/>
      <c r="E957" s="279"/>
      <c r="F957" s="277"/>
      <c r="G957" s="277"/>
      <c r="H957" s="277"/>
      <c r="I957" s="277"/>
      <c r="J957" s="277"/>
      <c r="K957" s="277"/>
      <c r="L957" s="277"/>
      <c r="M957" s="277"/>
      <c r="N957" s="277"/>
      <c r="O957" s="277"/>
      <c r="P957" s="277"/>
      <c r="Q957" s="277"/>
      <c r="R957" s="277"/>
      <c r="S957" s="277"/>
      <c r="T957" s="277"/>
      <c r="U957" s="277"/>
      <c r="V957" s="280"/>
      <c r="W957" s="277"/>
      <c r="X957" s="277"/>
      <c r="Y957" s="277"/>
      <c r="Z957" s="277"/>
      <c r="AA957" s="277"/>
      <c r="AB957" s="277"/>
      <c r="AC957" s="277"/>
      <c r="AD957" s="277"/>
      <c r="AE957" s="277"/>
      <c r="AF957" s="277"/>
    </row>
    <row r="958" ht="12.75" customHeight="1">
      <c r="A958" s="277"/>
      <c r="B958" s="278"/>
      <c r="C958" s="277"/>
      <c r="D958" s="278"/>
      <c r="E958" s="279"/>
      <c r="F958" s="277"/>
      <c r="G958" s="277"/>
      <c r="H958" s="277"/>
      <c r="I958" s="277"/>
      <c r="J958" s="277"/>
      <c r="K958" s="277"/>
      <c r="L958" s="277"/>
      <c r="M958" s="277"/>
      <c r="N958" s="277"/>
      <c r="O958" s="277"/>
      <c r="P958" s="277"/>
      <c r="Q958" s="277"/>
      <c r="R958" s="277"/>
      <c r="S958" s="277"/>
      <c r="T958" s="277"/>
      <c r="U958" s="277"/>
      <c r="V958" s="280"/>
      <c r="W958" s="277"/>
      <c r="X958" s="277"/>
      <c r="Y958" s="277"/>
      <c r="Z958" s="277"/>
      <c r="AA958" s="277"/>
      <c r="AB958" s="277"/>
      <c r="AC958" s="277"/>
      <c r="AD958" s="277"/>
      <c r="AE958" s="277"/>
      <c r="AF958" s="277"/>
    </row>
    <row r="959" ht="12.75" customHeight="1">
      <c r="A959" s="277"/>
      <c r="B959" s="278"/>
      <c r="C959" s="277"/>
      <c r="D959" s="278"/>
      <c r="E959" s="279"/>
      <c r="F959" s="277"/>
      <c r="G959" s="277"/>
      <c r="H959" s="277"/>
      <c r="I959" s="277"/>
      <c r="J959" s="277"/>
      <c r="K959" s="277"/>
      <c r="L959" s="277"/>
      <c r="M959" s="277"/>
      <c r="N959" s="277"/>
      <c r="O959" s="277"/>
      <c r="P959" s="277"/>
      <c r="Q959" s="277"/>
      <c r="R959" s="277"/>
      <c r="S959" s="277"/>
      <c r="T959" s="277"/>
      <c r="U959" s="277"/>
      <c r="V959" s="280"/>
      <c r="W959" s="277"/>
      <c r="X959" s="277"/>
      <c r="Y959" s="277"/>
      <c r="Z959" s="277"/>
      <c r="AA959" s="277"/>
      <c r="AB959" s="277"/>
      <c r="AC959" s="277"/>
      <c r="AD959" s="277"/>
      <c r="AE959" s="277"/>
      <c r="AF959" s="277"/>
    </row>
    <row r="960" ht="12.75" customHeight="1">
      <c r="A960" s="277"/>
      <c r="B960" s="278"/>
      <c r="C960" s="277"/>
      <c r="D960" s="278"/>
      <c r="E960" s="279"/>
      <c r="F960" s="277"/>
      <c r="G960" s="277"/>
      <c r="H960" s="277"/>
      <c r="I960" s="277"/>
      <c r="J960" s="277"/>
      <c r="K960" s="277"/>
      <c r="L960" s="277"/>
      <c r="M960" s="277"/>
      <c r="N960" s="277"/>
      <c r="O960" s="277"/>
      <c r="P960" s="277"/>
      <c r="Q960" s="277"/>
      <c r="R960" s="277"/>
      <c r="S960" s="277"/>
      <c r="T960" s="277"/>
      <c r="U960" s="277"/>
      <c r="V960" s="280"/>
      <c r="W960" s="277"/>
      <c r="X960" s="277"/>
      <c r="Y960" s="277"/>
      <c r="Z960" s="277"/>
      <c r="AA960" s="277"/>
      <c r="AB960" s="277"/>
      <c r="AC960" s="277"/>
      <c r="AD960" s="277"/>
      <c r="AE960" s="277"/>
      <c r="AF960" s="277"/>
    </row>
    <row r="961" ht="12.75" customHeight="1">
      <c r="A961" s="277"/>
      <c r="B961" s="278"/>
      <c r="C961" s="277"/>
      <c r="D961" s="278"/>
      <c r="E961" s="279"/>
      <c r="F961" s="277"/>
      <c r="G961" s="277"/>
      <c r="H961" s="277"/>
      <c r="I961" s="277"/>
      <c r="J961" s="277"/>
      <c r="K961" s="277"/>
      <c r="L961" s="277"/>
      <c r="M961" s="277"/>
      <c r="N961" s="277"/>
      <c r="O961" s="277"/>
      <c r="P961" s="277"/>
      <c r="Q961" s="277"/>
      <c r="R961" s="277"/>
      <c r="S961" s="277"/>
      <c r="T961" s="277"/>
      <c r="U961" s="277"/>
      <c r="V961" s="280"/>
      <c r="W961" s="277"/>
      <c r="X961" s="277"/>
      <c r="Y961" s="277"/>
      <c r="Z961" s="277"/>
      <c r="AA961" s="277"/>
      <c r="AB961" s="277"/>
      <c r="AC961" s="277"/>
      <c r="AD961" s="277"/>
      <c r="AE961" s="277"/>
      <c r="AF961" s="277"/>
    </row>
    <row r="962" ht="12.75" customHeight="1">
      <c r="A962" s="277"/>
      <c r="B962" s="278"/>
      <c r="C962" s="277"/>
      <c r="D962" s="278"/>
      <c r="E962" s="279"/>
      <c r="F962" s="277"/>
      <c r="G962" s="277"/>
      <c r="H962" s="277"/>
      <c r="I962" s="277"/>
      <c r="J962" s="277"/>
      <c r="K962" s="277"/>
      <c r="L962" s="277"/>
      <c r="M962" s="277"/>
      <c r="N962" s="277"/>
      <c r="O962" s="277"/>
      <c r="P962" s="277"/>
      <c r="Q962" s="277"/>
      <c r="R962" s="277"/>
      <c r="S962" s="277"/>
      <c r="T962" s="277"/>
      <c r="U962" s="277"/>
      <c r="V962" s="280"/>
      <c r="W962" s="277"/>
      <c r="X962" s="277"/>
      <c r="Y962" s="277"/>
      <c r="Z962" s="277"/>
      <c r="AA962" s="277"/>
      <c r="AB962" s="277"/>
      <c r="AC962" s="277"/>
      <c r="AD962" s="277"/>
      <c r="AE962" s="277"/>
      <c r="AF962" s="277"/>
    </row>
    <row r="963" ht="12.75" customHeight="1">
      <c r="A963" s="277"/>
      <c r="B963" s="278"/>
      <c r="C963" s="277"/>
      <c r="D963" s="278"/>
      <c r="E963" s="279"/>
      <c r="F963" s="277"/>
      <c r="G963" s="277"/>
      <c r="H963" s="277"/>
      <c r="I963" s="277"/>
      <c r="J963" s="277"/>
      <c r="K963" s="277"/>
      <c r="L963" s="277"/>
      <c r="M963" s="277"/>
      <c r="N963" s="277"/>
      <c r="O963" s="277"/>
      <c r="P963" s="277"/>
      <c r="Q963" s="277"/>
      <c r="R963" s="277"/>
      <c r="S963" s="277"/>
      <c r="T963" s="277"/>
      <c r="U963" s="277"/>
      <c r="V963" s="280"/>
      <c r="W963" s="277"/>
      <c r="X963" s="277"/>
      <c r="Y963" s="277"/>
      <c r="Z963" s="277"/>
      <c r="AA963" s="277"/>
      <c r="AB963" s="277"/>
      <c r="AC963" s="277"/>
      <c r="AD963" s="277"/>
      <c r="AE963" s="277"/>
      <c r="AF963" s="277"/>
    </row>
    <row r="964" ht="12.75" customHeight="1">
      <c r="A964" s="277"/>
      <c r="B964" s="278"/>
      <c r="C964" s="277"/>
      <c r="D964" s="278"/>
      <c r="E964" s="279"/>
      <c r="F964" s="277"/>
      <c r="G964" s="277"/>
      <c r="H964" s="277"/>
      <c r="I964" s="277"/>
      <c r="J964" s="277"/>
      <c r="K964" s="277"/>
      <c r="L964" s="277"/>
      <c r="M964" s="277"/>
      <c r="N964" s="277"/>
      <c r="O964" s="277"/>
      <c r="P964" s="277"/>
      <c r="Q964" s="277"/>
      <c r="R964" s="277"/>
      <c r="S964" s="277"/>
      <c r="T964" s="277"/>
      <c r="U964" s="277"/>
      <c r="V964" s="280"/>
      <c r="W964" s="277"/>
      <c r="X964" s="277"/>
      <c r="Y964" s="277"/>
      <c r="Z964" s="277"/>
      <c r="AA964" s="277"/>
      <c r="AB964" s="277"/>
      <c r="AC964" s="277"/>
      <c r="AD964" s="277"/>
      <c r="AE964" s="277"/>
      <c r="AF964" s="277"/>
    </row>
    <row r="965" ht="12.75" customHeight="1">
      <c r="A965" s="277"/>
      <c r="B965" s="278"/>
      <c r="C965" s="277"/>
      <c r="D965" s="278"/>
      <c r="E965" s="279"/>
      <c r="F965" s="277"/>
      <c r="G965" s="277"/>
      <c r="H965" s="277"/>
      <c r="I965" s="277"/>
      <c r="J965" s="277"/>
      <c r="K965" s="277"/>
      <c r="L965" s="277"/>
      <c r="M965" s="277"/>
      <c r="N965" s="277"/>
      <c r="O965" s="277"/>
      <c r="P965" s="277"/>
      <c r="Q965" s="277"/>
      <c r="R965" s="277"/>
      <c r="S965" s="277"/>
      <c r="T965" s="277"/>
      <c r="U965" s="277"/>
      <c r="V965" s="280"/>
      <c r="W965" s="277"/>
      <c r="X965" s="277"/>
      <c r="Y965" s="277"/>
      <c r="Z965" s="277"/>
      <c r="AA965" s="277"/>
      <c r="AB965" s="277"/>
      <c r="AC965" s="277"/>
      <c r="AD965" s="277"/>
      <c r="AE965" s="277"/>
      <c r="AF965" s="277"/>
    </row>
    <row r="966" ht="12.75" customHeight="1">
      <c r="A966" s="277"/>
      <c r="B966" s="278"/>
      <c r="C966" s="277"/>
      <c r="D966" s="278"/>
      <c r="E966" s="279"/>
      <c r="F966" s="277"/>
      <c r="G966" s="277"/>
      <c r="H966" s="277"/>
      <c r="I966" s="277"/>
      <c r="J966" s="277"/>
      <c r="K966" s="277"/>
      <c r="L966" s="277"/>
      <c r="M966" s="277"/>
      <c r="N966" s="277"/>
      <c r="O966" s="277"/>
      <c r="P966" s="277"/>
      <c r="Q966" s="277"/>
      <c r="R966" s="277"/>
      <c r="S966" s="277"/>
      <c r="T966" s="277"/>
      <c r="U966" s="277"/>
      <c r="V966" s="280"/>
      <c r="W966" s="277"/>
      <c r="X966" s="277"/>
      <c r="Y966" s="277"/>
      <c r="Z966" s="277"/>
      <c r="AA966" s="277"/>
      <c r="AB966" s="277"/>
      <c r="AC966" s="277"/>
      <c r="AD966" s="277"/>
      <c r="AE966" s="277"/>
      <c r="AF966" s="277"/>
    </row>
    <row r="967" ht="12.75" customHeight="1">
      <c r="A967" s="277"/>
      <c r="B967" s="278"/>
      <c r="C967" s="277"/>
      <c r="D967" s="278"/>
      <c r="E967" s="279"/>
      <c r="F967" s="277"/>
      <c r="G967" s="277"/>
      <c r="H967" s="277"/>
      <c r="I967" s="277"/>
      <c r="J967" s="277"/>
      <c r="K967" s="277"/>
      <c r="L967" s="277"/>
      <c r="M967" s="277"/>
      <c r="N967" s="277"/>
      <c r="O967" s="277"/>
      <c r="P967" s="277"/>
      <c r="Q967" s="277"/>
      <c r="R967" s="277"/>
      <c r="S967" s="277"/>
      <c r="T967" s="277"/>
      <c r="U967" s="277"/>
      <c r="V967" s="280"/>
      <c r="W967" s="277"/>
      <c r="X967" s="277"/>
      <c r="Y967" s="277"/>
      <c r="Z967" s="277"/>
      <c r="AA967" s="277"/>
      <c r="AB967" s="277"/>
      <c r="AC967" s="277"/>
      <c r="AD967" s="277"/>
      <c r="AE967" s="277"/>
      <c r="AF967" s="277"/>
    </row>
    <row r="968" ht="12.75" customHeight="1">
      <c r="A968" s="277"/>
      <c r="B968" s="278"/>
      <c r="C968" s="277"/>
      <c r="D968" s="278"/>
      <c r="E968" s="279"/>
      <c r="F968" s="277"/>
      <c r="G968" s="277"/>
      <c r="H968" s="277"/>
      <c r="I968" s="277"/>
      <c r="J968" s="277"/>
      <c r="K968" s="277"/>
      <c r="L968" s="277"/>
      <c r="M968" s="277"/>
      <c r="N968" s="277"/>
      <c r="O968" s="277"/>
      <c r="P968" s="277"/>
      <c r="Q968" s="277"/>
      <c r="R968" s="277"/>
      <c r="S968" s="277"/>
      <c r="T968" s="277"/>
      <c r="U968" s="277"/>
      <c r="V968" s="280"/>
      <c r="W968" s="277"/>
      <c r="X968" s="277"/>
      <c r="Y968" s="277"/>
      <c r="Z968" s="277"/>
      <c r="AA968" s="277"/>
      <c r="AB968" s="277"/>
      <c r="AC968" s="277"/>
      <c r="AD968" s="277"/>
      <c r="AE968" s="277"/>
      <c r="AF968" s="277"/>
    </row>
    <row r="969" ht="12.75" customHeight="1">
      <c r="A969" s="277"/>
      <c r="B969" s="278"/>
      <c r="C969" s="277"/>
      <c r="D969" s="278"/>
      <c r="E969" s="279"/>
      <c r="F969" s="277"/>
      <c r="G969" s="277"/>
      <c r="H969" s="277"/>
      <c r="I969" s="277"/>
      <c r="J969" s="277"/>
      <c r="K969" s="277"/>
      <c r="L969" s="277"/>
      <c r="M969" s="277"/>
      <c r="N969" s="277"/>
      <c r="O969" s="277"/>
      <c r="P969" s="277"/>
      <c r="Q969" s="277"/>
      <c r="R969" s="277"/>
      <c r="S969" s="277"/>
      <c r="T969" s="277"/>
      <c r="U969" s="277"/>
      <c r="V969" s="280"/>
      <c r="W969" s="277"/>
      <c r="X969" s="277"/>
      <c r="Y969" s="277"/>
      <c r="Z969" s="277"/>
      <c r="AA969" s="277"/>
      <c r="AB969" s="277"/>
      <c r="AC969" s="277"/>
      <c r="AD969" s="277"/>
      <c r="AE969" s="277"/>
      <c r="AF969" s="277"/>
    </row>
    <row r="970" ht="12.75" customHeight="1">
      <c r="A970" s="277"/>
      <c r="B970" s="278"/>
      <c r="C970" s="277"/>
      <c r="D970" s="278"/>
      <c r="E970" s="279"/>
      <c r="F970" s="277"/>
      <c r="G970" s="277"/>
      <c r="H970" s="277"/>
      <c r="I970" s="277"/>
      <c r="J970" s="277"/>
      <c r="K970" s="277"/>
      <c r="L970" s="277"/>
      <c r="M970" s="277"/>
      <c r="N970" s="277"/>
      <c r="O970" s="277"/>
      <c r="P970" s="277"/>
      <c r="Q970" s="277"/>
      <c r="R970" s="277"/>
      <c r="S970" s="277"/>
      <c r="T970" s="277"/>
      <c r="U970" s="277"/>
      <c r="V970" s="280"/>
      <c r="W970" s="277"/>
      <c r="X970" s="277"/>
      <c r="Y970" s="277"/>
      <c r="Z970" s="277"/>
      <c r="AA970" s="277"/>
      <c r="AB970" s="277"/>
      <c r="AC970" s="277"/>
      <c r="AD970" s="277"/>
      <c r="AE970" s="277"/>
      <c r="AF970" s="277"/>
    </row>
    <row r="971" ht="12.75" customHeight="1">
      <c r="A971" s="277"/>
      <c r="B971" s="278"/>
      <c r="C971" s="277"/>
      <c r="D971" s="278"/>
      <c r="E971" s="279"/>
      <c r="F971" s="277"/>
      <c r="G971" s="277"/>
      <c r="H971" s="277"/>
      <c r="I971" s="277"/>
      <c r="J971" s="277"/>
      <c r="K971" s="277"/>
      <c r="L971" s="277"/>
      <c r="M971" s="277"/>
      <c r="N971" s="277"/>
      <c r="O971" s="277"/>
      <c r="P971" s="277"/>
      <c r="Q971" s="277"/>
      <c r="R971" s="277"/>
      <c r="S971" s="277"/>
      <c r="T971" s="277"/>
      <c r="U971" s="277"/>
      <c r="V971" s="280"/>
      <c r="W971" s="277"/>
      <c r="X971" s="277"/>
      <c r="Y971" s="277"/>
      <c r="Z971" s="277"/>
      <c r="AA971" s="277"/>
      <c r="AB971" s="277"/>
      <c r="AC971" s="277"/>
      <c r="AD971" s="277"/>
      <c r="AE971" s="277"/>
      <c r="AF971" s="277"/>
    </row>
    <row r="972" ht="12.75" customHeight="1">
      <c r="A972" s="277"/>
      <c r="B972" s="278"/>
      <c r="C972" s="277"/>
      <c r="D972" s="278"/>
      <c r="E972" s="279"/>
      <c r="F972" s="277"/>
      <c r="G972" s="277"/>
      <c r="H972" s="277"/>
      <c r="I972" s="277"/>
      <c r="J972" s="277"/>
      <c r="K972" s="277"/>
      <c r="L972" s="277"/>
      <c r="M972" s="277"/>
      <c r="N972" s="277"/>
      <c r="O972" s="277"/>
      <c r="P972" s="277"/>
      <c r="Q972" s="277"/>
      <c r="R972" s="277"/>
      <c r="S972" s="277"/>
      <c r="T972" s="277"/>
      <c r="U972" s="277"/>
      <c r="V972" s="280"/>
      <c r="W972" s="277"/>
      <c r="X972" s="277"/>
      <c r="Y972" s="277"/>
      <c r="Z972" s="277"/>
      <c r="AA972" s="277"/>
      <c r="AB972" s="277"/>
      <c r="AC972" s="277"/>
      <c r="AD972" s="277"/>
      <c r="AE972" s="277"/>
      <c r="AF972" s="277"/>
    </row>
    <row r="973" ht="12.75" customHeight="1">
      <c r="A973" s="277"/>
      <c r="B973" s="278"/>
      <c r="C973" s="277"/>
      <c r="D973" s="278"/>
      <c r="E973" s="279"/>
      <c r="F973" s="277"/>
      <c r="G973" s="277"/>
      <c r="H973" s="277"/>
      <c r="I973" s="277"/>
      <c r="J973" s="277"/>
      <c r="K973" s="277"/>
      <c r="L973" s="277"/>
      <c r="M973" s="277"/>
      <c r="N973" s="277"/>
      <c r="O973" s="277"/>
      <c r="P973" s="277"/>
      <c r="Q973" s="277"/>
      <c r="R973" s="277"/>
      <c r="S973" s="277"/>
      <c r="T973" s="277"/>
      <c r="U973" s="277"/>
      <c r="V973" s="280"/>
      <c r="W973" s="277"/>
      <c r="X973" s="277"/>
      <c r="Y973" s="277"/>
      <c r="Z973" s="277"/>
      <c r="AA973" s="277"/>
      <c r="AB973" s="277"/>
      <c r="AC973" s="277"/>
      <c r="AD973" s="277"/>
      <c r="AE973" s="277"/>
      <c r="AF973" s="277"/>
    </row>
    <row r="974" ht="12.75" customHeight="1">
      <c r="A974" s="277"/>
      <c r="B974" s="278"/>
      <c r="C974" s="277"/>
      <c r="D974" s="278"/>
      <c r="E974" s="279"/>
      <c r="F974" s="277"/>
      <c r="G974" s="277"/>
      <c r="H974" s="277"/>
      <c r="I974" s="277"/>
      <c r="J974" s="277"/>
      <c r="K974" s="277"/>
      <c r="L974" s="277"/>
      <c r="M974" s="277"/>
      <c r="N974" s="277"/>
      <c r="O974" s="277"/>
      <c r="P974" s="277"/>
      <c r="Q974" s="277"/>
      <c r="R974" s="277"/>
      <c r="S974" s="277"/>
      <c r="T974" s="277"/>
      <c r="U974" s="277"/>
      <c r="V974" s="280"/>
      <c r="W974" s="277"/>
      <c r="X974" s="277"/>
      <c r="Y974" s="277"/>
      <c r="Z974" s="277"/>
      <c r="AA974" s="277"/>
      <c r="AB974" s="277"/>
      <c r="AC974" s="277"/>
      <c r="AD974" s="277"/>
      <c r="AE974" s="277"/>
      <c r="AF974" s="277"/>
    </row>
    <row r="975" ht="12.75" customHeight="1">
      <c r="A975" s="277"/>
      <c r="B975" s="278"/>
      <c r="C975" s="277"/>
      <c r="D975" s="278"/>
      <c r="E975" s="279"/>
      <c r="F975" s="277"/>
      <c r="G975" s="277"/>
      <c r="H975" s="277"/>
      <c r="I975" s="277"/>
      <c r="J975" s="277"/>
      <c r="K975" s="277"/>
      <c r="L975" s="277"/>
      <c r="M975" s="277"/>
      <c r="N975" s="277"/>
      <c r="O975" s="277"/>
      <c r="P975" s="277"/>
      <c r="Q975" s="277"/>
      <c r="R975" s="277"/>
      <c r="S975" s="277"/>
      <c r="T975" s="277"/>
      <c r="U975" s="277"/>
      <c r="V975" s="280"/>
      <c r="W975" s="277"/>
      <c r="X975" s="277"/>
      <c r="Y975" s="277"/>
      <c r="Z975" s="277"/>
      <c r="AA975" s="277"/>
      <c r="AB975" s="277"/>
      <c r="AC975" s="277"/>
      <c r="AD975" s="277"/>
      <c r="AE975" s="277"/>
      <c r="AF975" s="277"/>
    </row>
    <row r="976" ht="12.75" customHeight="1">
      <c r="A976" s="277"/>
      <c r="B976" s="278"/>
      <c r="C976" s="277"/>
      <c r="D976" s="278"/>
      <c r="E976" s="279"/>
      <c r="F976" s="277"/>
      <c r="G976" s="277"/>
      <c r="H976" s="277"/>
      <c r="I976" s="277"/>
      <c r="J976" s="277"/>
      <c r="K976" s="277"/>
      <c r="L976" s="277"/>
      <c r="M976" s="277"/>
      <c r="N976" s="277"/>
      <c r="O976" s="277"/>
      <c r="P976" s="277"/>
      <c r="Q976" s="277"/>
      <c r="R976" s="277"/>
      <c r="S976" s="277"/>
      <c r="T976" s="277"/>
      <c r="U976" s="277"/>
      <c r="V976" s="280"/>
      <c r="W976" s="277"/>
      <c r="X976" s="277"/>
      <c r="Y976" s="277"/>
      <c r="Z976" s="277"/>
      <c r="AA976" s="277"/>
      <c r="AB976" s="277"/>
      <c r="AC976" s="277"/>
      <c r="AD976" s="277"/>
      <c r="AE976" s="277"/>
      <c r="AF976" s="277"/>
    </row>
    <row r="977" ht="12.75" customHeight="1">
      <c r="A977" s="277"/>
      <c r="B977" s="278"/>
      <c r="C977" s="277"/>
      <c r="D977" s="278"/>
      <c r="E977" s="279"/>
      <c r="F977" s="277"/>
      <c r="G977" s="277"/>
      <c r="H977" s="277"/>
      <c r="I977" s="277"/>
      <c r="J977" s="277"/>
      <c r="K977" s="277"/>
      <c r="L977" s="277"/>
      <c r="M977" s="277"/>
      <c r="N977" s="277"/>
      <c r="O977" s="277"/>
      <c r="P977" s="277"/>
      <c r="Q977" s="277"/>
      <c r="R977" s="277"/>
      <c r="S977" s="277"/>
      <c r="T977" s="277"/>
      <c r="U977" s="277"/>
      <c r="V977" s="280"/>
      <c r="W977" s="277"/>
      <c r="X977" s="277"/>
      <c r="Y977" s="277"/>
      <c r="Z977" s="277"/>
      <c r="AA977" s="277"/>
      <c r="AB977" s="277"/>
      <c r="AC977" s="277"/>
      <c r="AD977" s="277"/>
      <c r="AE977" s="277"/>
      <c r="AF977" s="277"/>
    </row>
    <row r="978" ht="12.75" customHeight="1">
      <c r="A978" s="277"/>
      <c r="B978" s="278"/>
      <c r="C978" s="277"/>
      <c r="D978" s="278"/>
      <c r="E978" s="279"/>
      <c r="F978" s="277"/>
      <c r="G978" s="277"/>
      <c r="H978" s="277"/>
      <c r="I978" s="277"/>
      <c r="J978" s="277"/>
      <c r="K978" s="277"/>
      <c r="L978" s="277"/>
      <c r="M978" s="277"/>
      <c r="N978" s="277"/>
      <c r="O978" s="277"/>
      <c r="P978" s="277"/>
      <c r="Q978" s="277"/>
      <c r="R978" s="277"/>
      <c r="S978" s="277"/>
      <c r="T978" s="277"/>
      <c r="U978" s="277"/>
      <c r="V978" s="280"/>
      <c r="W978" s="277"/>
      <c r="X978" s="277"/>
      <c r="Y978" s="277"/>
      <c r="Z978" s="277"/>
      <c r="AA978" s="277"/>
      <c r="AB978" s="277"/>
      <c r="AC978" s="277"/>
      <c r="AD978" s="277"/>
      <c r="AE978" s="277"/>
      <c r="AF978" s="277"/>
    </row>
    <row r="979" ht="12.75" customHeight="1">
      <c r="A979" s="277"/>
      <c r="B979" s="278"/>
      <c r="C979" s="277"/>
      <c r="D979" s="278"/>
      <c r="E979" s="279"/>
      <c r="F979" s="277"/>
      <c r="G979" s="277"/>
      <c r="H979" s="277"/>
      <c r="I979" s="277"/>
      <c r="J979" s="277"/>
      <c r="K979" s="277"/>
      <c r="L979" s="277"/>
      <c r="M979" s="277"/>
      <c r="N979" s="277"/>
      <c r="O979" s="277"/>
      <c r="P979" s="277"/>
      <c r="Q979" s="277"/>
      <c r="R979" s="277"/>
      <c r="S979" s="277"/>
      <c r="T979" s="277"/>
      <c r="U979" s="277"/>
      <c r="V979" s="280"/>
      <c r="W979" s="277"/>
      <c r="X979" s="277"/>
      <c r="Y979" s="277"/>
      <c r="Z979" s="277"/>
      <c r="AA979" s="277"/>
      <c r="AB979" s="277"/>
      <c r="AC979" s="277"/>
      <c r="AD979" s="277"/>
      <c r="AE979" s="277"/>
      <c r="AF979" s="277"/>
    </row>
    <row r="980" ht="12.75" customHeight="1">
      <c r="A980" s="277"/>
      <c r="B980" s="278"/>
      <c r="C980" s="277"/>
      <c r="D980" s="278"/>
      <c r="E980" s="279"/>
      <c r="F980" s="277"/>
      <c r="G980" s="277"/>
      <c r="H980" s="277"/>
      <c r="I980" s="277"/>
      <c r="J980" s="277"/>
      <c r="K980" s="277"/>
      <c r="L980" s="277"/>
      <c r="M980" s="277"/>
      <c r="N980" s="277"/>
      <c r="O980" s="277"/>
      <c r="P980" s="277"/>
      <c r="Q980" s="277"/>
      <c r="R980" s="277"/>
      <c r="S980" s="277"/>
      <c r="T980" s="277"/>
      <c r="U980" s="277"/>
      <c r="V980" s="280"/>
      <c r="W980" s="277"/>
      <c r="X980" s="277"/>
      <c r="Y980" s="277"/>
      <c r="Z980" s="277"/>
      <c r="AA980" s="277"/>
      <c r="AB980" s="277"/>
      <c r="AC980" s="277"/>
      <c r="AD980" s="277"/>
      <c r="AE980" s="277"/>
      <c r="AF980" s="277"/>
    </row>
    <row r="981" ht="12.75" customHeight="1">
      <c r="A981" s="277"/>
      <c r="B981" s="278"/>
      <c r="C981" s="277"/>
      <c r="D981" s="278"/>
      <c r="E981" s="279"/>
      <c r="F981" s="277"/>
      <c r="G981" s="277"/>
      <c r="H981" s="277"/>
      <c r="I981" s="277"/>
      <c r="J981" s="277"/>
      <c r="K981" s="277"/>
      <c r="L981" s="277"/>
      <c r="M981" s="277"/>
      <c r="N981" s="277"/>
      <c r="O981" s="277"/>
      <c r="P981" s="277"/>
      <c r="Q981" s="277"/>
      <c r="R981" s="277"/>
      <c r="S981" s="277"/>
      <c r="T981" s="277"/>
      <c r="U981" s="277"/>
      <c r="V981" s="280"/>
      <c r="W981" s="277"/>
      <c r="X981" s="277"/>
      <c r="Y981" s="277"/>
      <c r="Z981" s="277"/>
      <c r="AA981" s="277"/>
      <c r="AB981" s="277"/>
      <c r="AC981" s="277"/>
      <c r="AD981" s="277"/>
      <c r="AE981" s="277"/>
      <c r="AF981" s="277"/>
    </row>
    <row r="982" ht="12.75" customHeight="1">
      <c r="A982" s="277"/>
      <c r="B982" s="278"/>
      <c r="C982" s="277"/>
      <c r="D982" s="278"/>
      <c r="E982" s="279"/>
      <c r="F982" s="277"/>
      <c r="G982" s="277"/>
      <c r="H982" s="277"/>
      <c r="I982" s="277"/>
      <c r="J982" s="277"/>
      <c r="K982" s="277"/>
      <c r="L982" s="277"/>
      <c r="M982" s="277"/>
      <c r="N982" s="277"/>
      <c r="O982" s="277"/>
      <c r="P982" s="277"/>
      <c r="Q982" s="277"/>
      <c r="R982" s="277"/>
      <c r="S982" s="277"/>
      <c r="T982" s="277"/>
      <c r="U982" s="277"/>
      <c r="V982" s="280"/>
      <c r="W982" s="277"/>
      <c r="X982" s="277"/>
      <c r="Y982" s="277"/>
      <c r="Z982" s="277"/>
      <c r="AA982" s="277"/>
      <c r="AB982" s="277"/>
      <c r="AC982" s="277"/>
      <c r="AD982" s="277"/>
      <c r="AE982" s="277"/>
      <c r="AF982" s="277"/>
    </row>
    <row r="983" ht="12.75" customHeight="1">
      <c r="A983" s="277"/>
      <c r="B983" s="278"/>
      <c r="C983" s="277"/>
      <c r="D983" s="278"/>
      <c r="E983" s="279"/>
      <c r="F983" s="277"/>
      <c r="G983" s="277"/>
      <c r="H983" s="277"/>
      <c r="I983" s="277"/>
      <c r="J983" s="277"/>
      <c r="K983" s="277"/>
      <c r="L983" s="277"/>
      <c r="M983" s="277"/>
      <c r="N983" s="277"/>
      <c r="O983" s="277"/>
      <c r="P983" s="277"/>
      <c r="Q983" s="277"/>
      <c r="R983" s="277"/>
      <c r="S983" s="277"/>
      <c r="T983" s="277"/>
      <c r="U983" s="277"/>
      <c r="V983" s="280"/>
      <c r="W983" s="277"/>
      <c r="X983" s="277"/>
      <c r="Y983" s="277"/>
      <c r="Z983" s="277"/>
      <c r="AA983" s="277"/>
      <c r="AB983" s="277"/>
      <c r="AC983" s="277"/>
      <c r="AD983" s="277"/>
      <c r="AE983" s="277"/>
      <c r="AF983" s="277"/>
    </row>
    <row r="984" ht="12.75" customHeight="1">
      <c r="A984" s="277"/>
      <c r="B984" s="278"/>
      <c r="C984" s="277"/>
      <c r="D984" s="278"/>
      <c r="E984" s="279"/>
      <c r="F984" s="277"/>
      <c r="G984" s="277"/>
      <c r="H984" s="277"/>
      <c r="I984" s="277"/>
      <c r="J984" s="277"/>
      <c r="K984" s="277"/>
      <c r="L984" s="277"/>
      <c r="M984" s="277"/>
      <c r="N984" s="277"/>
      <c r="O984" s="277"/>
      <c r="P984" s="277"/>
      <c r="Q984" s="277"/>
      <c r="R984" s="277"/>
      <c r="S984" s="277"/>
      <c r="T984" s="277"/>
      <c r="U984" s="277"/>
      <c r="V984" s="280"/>
      <c r="W984" s="277"/>
      <c r="X984" s="277"/>
      <c r="Y984" s="277"/>
      <c r="Z984" s="277"/>
      <c r="AA984" s="277"/>
      <c r="AB984" s="277"/>
      <c r="AC984" s="277"/>
      <c r="AD984" s="277"/>
      <c r="AE984" s="277"/>
      <c r="AF984" s="277"/>
    </row>
    <row r="985" ht="12.75" customHeight="1">
      <c r="A985" s="277"/>
      <c r="B985" s="278"/>
      <c r="C985" s="277"/>
      <c r="D985" s="278"/>
      <c r="E985" s="279"/>
      <c r="F985" s="277"/>
      <c r="G985" s="277"/>
      <c r="H985" s="277"/>
      <c r="I985" s="277"/>
      <c r="J985" s="277"/>
      <c r="K985" s="277"/>
      <c r="L985" s="277"/>
      <c r="M985" s="277"/>
      <c r="N985" s="277"/>
      <c r="O985" s="277"/>
      <c r="P985" s="277"/>
      <c r="Q985" s="277"/>
      <c r="R985" s="277"/>
      <c r="S985" s="277"/>
      <c r="T985" s="277"/>
      <c r="U985" s="277"/>
      <c r="V985" s="280"/>
      <c r="W985" s="277"/>
      <c r="X985" s="277"/>
      <c r="Y985" s="277"/>
      <c r="Z985" s="277"/>
      <c r="AA985" s="277"/>
      <c r="AB985" s="277"/>
      <c r="AC985" s="277"/>
      <c r="AD985" s="277"/>
      <c r="AE985" s="277"/>
      <c r="AF985" s="277"/>
    </row>
    <row r="986" ht="12.75" customHeight="1">
      <c r="A986" s="277"/>
      <c r="B986" s="278"/>
      <c r="C986" s="277"/>
      <c r="D986" s="278"/>
      <c r="E986" s="279"/>
      <c r="F986" s="277"/>
      <c r="G986" s="277"/>
      <c r="H986" s="277"/>
      <c r="I986" s="277"/>
      <c r="J986" s="277"/>
      <c r="K986" s="277"/>
      <c r="L986" s="277"/>
      <c r="M986" s="277"/>
      <c r="N986" s="277"/>
      <c r="O986" s="277"/>
      <c r="P986" s="277"/>
      <c r="Q986" s="277"/>
      <c r="R986" s="277"/>
      <c r="S986" s="277"/>
      <c r="T986" s="277"/>
      <c r="U986" s="277"/>
      <c r="V986" s="280"/>
      <c r="W986" s="277"/>
      <c r="X986" s="277"/>
      <c r="Y986" s="277"/>
      <c r="Z986" s="277"/>
      <c r="AA986" s="277"/>
      <c r="AB986" s="277"/>
      <c r="AC986" s="277"/>
      <c r="AD986" s="277"/>
      <c r="AE986" s="277"/>
      <c r="AF986" s="277"/>
    </row>
    <row r="987" ht="12.75" customHeight="1">
      <c r="A987" s="277"/>
      <c r="B987" s="278"/>
      <c r="C987" s="277"/>
      <c r="D987" s="278"/>
      <c r="E987" s="279"/>
      <c r="F987" s="277"/>
      <c r="G987" s="277"/>
      <c r="H987" s="277"/>
      <c r="I987" s="277"/>
      <c r="J987" s="277"/>
      <c r="K987" s="277"/>
      <c r="L987" s="277"/>
      <c r="M987" s="277"/>
      <c r="N987" s="277"/>
      <c r="O987" s="277"/>
      <c r="P987" s="277"/>
      <c r="Q987" s="277"/>
      <c r="R987" s="277"/>
      <c r="S987" s="277"/>
      <c r="T987" s="277"/>
      <c r="U987" s="277"/>
      <c r="V987" s="280"/>
      <c r="W987" s="277"/>
      <c r="X987" s="277"/>
      <c r="Y987" s="277"/>
      <c r="Z987" s="277"/>
      <c r="AA987" s="277"/>
      <c r="AB987" s="277"/>
      <c r="AC987" s="277"/>
      <c r="AD987" s="277"/>
      <c r="AE987" s="277"/>
      <c r="AF987" s="277"/>
    </row>
    <row r="988" ht="12.75" customHeight="1">
      <c r="A988" s="277"/>
      <c r="B988" s="278"/>
      <c r="C988" s="277"/>
      <c r="D988" s="278"/>
      <c r="E988" s="279"/>
      <c r="F988" s="277"/>
      <c r="G988" s="277"/>
      <c r="H988" s="277"/>
      <c r="I988" s="277"/>
      <c r="J988" s="277"/>
      <c r="K988" s="277"/>
      <c r="L988" s="277"/>
      <c r="M988" s="277"/>
      <c r="N988" s="277"/>
      <c r="O988" s="277"/>
      <c r="P988" s="277"/>
      <c r="Q988" s="277"/>
      <c r="R988" s="277"/>
      <c r="S988" s="277"/>
      <c r="T988" s="277"/>
      <c r="U988" s="277"/>
      <c r="V988" s="280"/>
      <c r="W988" s="277"/>
      <c r="X988" s="277"/>
      <c r="Y988" s="277"/>
      <c r="Z988" s="277"/>
      <c r="AA988" s="277"/>
      <c r="AB988" s="277"/>
      <c r="AC988" s="277"/>
      <c r="AD988" s="277"/>
      <c r="AE988" s="277"/>
      <c r="AF988" s="277"/>
    </row>
    <row r="989" ht="12.75" customHeight="1">
      <c r="A989" s="277"/>
      <c r="B989" s="278"/>
      <c r="C989" s="277"/>
      <c r="D989" s="278"/>
      <c r="E989" s="279"/>
      <c r="F989" s="277"/>
      <c r="G989" s="277"/>
      <c r="H989" s="277"/>
      <c r="I989" s="277"/>
      <c r="J989" s="277"/>
      <c r="K989" s="277"/>
      <c r="L989" s="277"/>
      <c r="M989" s="277"/>
      <c r="N989" s="277"/>
      <c r="O989" s="277"/>
      <c r="P989" s="277"/>
      <c r="Q989" s="277"/>
      <c r="R989" s="277"/>
      <c r="S989" s="277"/>
      <c r="T989" s="277"/>
      <c r="U989" s="277"/>
      <c r="V989" s="280"/>
      <c r="W989" s="277"/>
      <c r="X989" s="277"/>
      <c r="Y989" s="277"/>
      <c r="Z989" s="277"/>
      <c r="AA989" s="277"/>
      <c r="AB989" s="277"/>
      <c r="AC989" s="277"/>
      <c r="AD989" s="277"/>
      <c r="AE989" s="277"/>
      <c r="AF989" s="277"/>
    </row>
    <row r="990" ht="12.75" customHeight="1">
      <c r="A990" s="277"/>
      <c r="B990" s="278"/>
      <c r="C990" s="277"/>
      <c r="D990" s="278"/>
      <c r="E990" s="279"/>
      <c r="F990" s="277"/>
      <c r="G990" s="277"/>
      <c r="H990" s="277"/>
      <c r="I990" s="277"/>
      <c r="J990" s="277"/>
      <c r="K990" s="277"/>
      <c r="L990" s="277"/>
      <c r="M990" s="277"/>
      <c r="N990" s="277"/>
      <c r="O990" s="277"/>
      <c r="P990" s="277"/>
      <c r="Q990" s="277"/>
      <c r="R990" s="277"/>
      <c r="S990" s="277"/>
      <c r="T990" s="277"/>
      <c r="U990" s="277"/>
      <c r="V990" s="280"/>
      <c r="W990" s="277"/>
      <c r="X990" s="277"/>
      <c r="Y990" s="277"/>
      <c r="Z990" s="277"/>
      <c r="AA990" s="277"/>
      <c r="AB990" s="277"/>
      <c r="AC990" s="277"/>
      <c r="AD990" s="277"/>
      <c r="AE990" s="277"/>
      <c r="AF990" s="277"/>
    </row>
    <row r="991" ht="12.75" customHeight="1">
      <c r="A991" s="277"/>
      <c r="B991" s="278"/>
      <c r="C991" s="277"/>
      <c r="D991" s="278"/>
      <c r="E991" s="279"/>
      <c r="F991" s="277"/>
      <c r="G991" s="277"/>
      <c r="H991" s="277"/>
      <c r="I991" s="277"/>
      <c r="J991" s="277"/>
      <c r="K991" s="277"/>
      <c r="L991" s="277"/>
      <c r="M991" s="277"/>
      <c r="N991" s="277"/>
      <c r="O991" s="277"/>
      <c r="P991" s="277"/>
      <c r="Q991" s="277"/>
      <c r="R991" s="277"/>
      <c r="S991" s="277"/>
      <c r="T991" s="277"/>
      <c r="U991" s="277"/>
      <c r="V991" s="280"/>
      <c r="W991" s="277"/>
      <c r="X991" s="277"/>
      <c r="Y991" s="277"/>
      <c r="Z991" s="277"/>
      <c r="AA991" s="277"/>
      <c r="AB991" s="277"/>
      <c r="AC991" s="277"/>
      <c r="AD991" s="277"/>
      <c r="AE991" s="277"/>
      <c r="AF991" s="277"/>
    </row>
    <row r="992" ht="12.75" customHeight="1">
      <c r="A992" s="277"/>
      <c r="B992" s="278"/>
      <c r="C992" s="277"/>
      <c r="D992" s="278"/>
      <c r="E992" s="279"/>
      <c r="F992" s="277"/>
      <c r="G992" s="277"/>
      <c r="H992" s="277"/>
      <c r="I992" s="277"/>
      <c r="J992" s="277"/>
      <c r="K992" s="277"/>
      <c r="L992" s="277"/>
      <c r="M992" s="277"/>
      <c r="N992" s="277"/>
      <c r="O992" s="277"/>
      <c r="P992" s="277"/>
      <c r="Q992" s="277"/>
      <c r="R992" s="277"/>
      <c r="S992" s="277"/>
      <c r="T992" s="277"/>
      <c r="U992" s="277"/>
      <c r="V992" s="280"/>
      <c r="W992" s="277"/>
      <c r="X992" s="277"/>
      <c r="Y992" s="277"/>
      <c r="Z992" s="277"/>
      <c r="AA992" s="277"/>
      <c r="AB992" s="277"/>
      <c r="AC992" s="277"/>
      <c r="AD992" s="277"/>
      <c r="AE992" s="277"/>
      <c r="AF992" s="277"/>
    </row>
    <row r="993" ht="12.75" customHeight="1">
      <c r="A993" s="277"/>
      <c r="B993" s="278"/>
      <c r="C993" s="277"/>
      <c r="D993" s="278"/>
      <c r="E993" s="279"/>
      <c r="F993" s="277"/>
      <c r="G993" s="277"/>
      <c r="H993" s="277"/>
      <c r="I993" s="277"/>
      <c r="J993" s="277"/>
      <c r="K993" s="277"/>
      <c r="L993" s="277"/>
      <c r="M993" s="277"/>
      <c r="N993" s="277"/>
      <c r="O993" s="277"/>
      <c r="P993" s="277"/>
      <c r="Q993" s="277"/>
      <c r="R993" s="277"/>
      <c r="S993" s="277"/>
      <c r="T993" s="277"/>
      <c r="U993" s="277"/>
      <c r="V993" s="280"/>
      <c r="W993" s="277"/>
      <c r="X993" s="277"/>
      <c r="Y993" s="277"/>
      <c r="Z993" s="277"/>
      <c r="AA993" s="277"/>
      <c r="AB993" s="277"/>
      <c r="AC993" s="277"/>
      <c r="AD993" s="277"/>
      <c r="AE993" s="277"/>
      <c r="AF993" s="277"/>
    </row>
    <row r="994" ht="12.75" customHeight="1">
      <c r="A994" s="277"/>
      <c r="B994" s="278"/>
      <c r="C994" s="277"/>
      <c r="D994" s="278"/>
      <c r="E994" s="279"/>
      <c r="F994" s="277"/>
      <c r="G994" s="277"/>
      <c r="H994" s="277"/>
      <c r="I994" s="277"/>
      <c r="J994" s="277"/>
      <c r="K994" s="277"/>
      <c r="L994" s="277"/>
      <c r="M994" s="277"/>
      <c r="N994" s="277"/>
      <c r="O994" s="277"/>
      <c r="P994" s="277"/>
      <c r="Q994" s="277"/>
      <c r="R994" s="277"/>
      <c r="S994" s="277"/>
      <c r="T994" s="277"/>
      <c r="U994" s="277"/>
      <c r="V994" s="280"/>
      <c r="W994" s="277"/>
      <c r="X994" s="277"/>
      <c r="Y994" s="277"/>
      <c r="Z994" s="277"/>
      <c r="AA994" s="277"/>
      <c r="AB994" s="277"/>
      <c r="AC994" s="277"/>
      <c r="AD994" s="277"/>
      <c r="AE994" s="277"/>
      <c r="AF994" s="277"/>
    </row>
    <row r="995" ht="12.75" customHeight="1">
      <c r="A995" s="277"/>
      <c r="B995" s="278"/>
      <c r="C995" s="277"/>
      <c r="D995" s="278"/>
      <c r="E995" s="279"/>
      <c r="F995" s="277"/>
      <c r="G995" s="277"/>
      <c r="H995" s="277"/>
      <c r="I995" s="277"/>
      <c r="J995" s="277"/>
      <c r="K995" s="277"/>
      <c r="L995" s="277"/>
      <c r="M995" s="277"/>
      <c r="N995" s="277"/>
      <c r="O995" s="277"/>
      <c r="P995" s="277"/>
      <c r="Q995" s="277"/>
      <c r="R995" s="277"/>
      <c r="S995" s="277"/>
      <c r="T995" s="277"/>
      <c r="U995" s="277"/>
      <c r="V995" s="280"/>
      <c r="W995" s="277"/>
      <c r="X995" s="277"/>
      <c r="Y995" s="277"/>
      <c r="Z995" s="277"/>
      <c r="AA995" s="277"/>
      <c r="AB995" s="277"/>
      <c r="AC995" s="277"/>
      <c r="AD995" s="277"/>
      <c r="AE995" s="277"/>
      <c r="AF995" s="277"/>
    </row>
    <row r="996" ht="12.75" customHeight="1">
      <c r="A996" s="277"/>
      <c r="B996" s="278"/>
      <c r="C996" s="277"/>
      <c r="D996" s="278"/>
      <c r="E996" s="279"/>
      <c r="F996" s="277"/>
      <c r="G996" s="277"/>
      <c r="H996" s="277"/>
      <c r="I996" s="277"/>
      <c r="J996" s="277"/>
      <c r="K996" s="277"/>
      <c r="L996" s="277"/>
      <c r="M996" s="277"/>
      <c r="N996" s="277"/>
      <c r="O996" s="277"/>
      <c r="P996" s="277"/>
      <c r="Q996" s="277"/>
      <c r="R996" s="277"/>
      <c r="S996" s="277"/>
      <c r="T996" s="277"/>
      <c r="U996" s="277"/>
      <c r="V996" s="280"/>
      <c r="W996" s="277"/>
      <c r="X996" s="277"/>
      <c r="Y996" s="277"/>
      <c r="Z996" s="277"/>
      <c r="AA996" s="277"/>
      <c r="AB996" s="277"/>
      <c r="AC996" s="277"/>
      <c r="AD996" s="277"/>
      <c r="AE996" s="277"/>
      <c r="AF996" s="277"/>
    </row>
    <row r="997" ht="12.75" customHeight="1">
      <c r="A997" s="277"/>
      <c r="B997" s="278"/>
      <c r="C997" s="277"/>
      <c r="D997" s="278"/>
      <c r="E997" s="279"/>
      <c r="F997" s="277"/>
      <c r="G997" s="277"/>
      <c r="H997" s="277"/>
      <c r="I997" s="277"/>
      <c r="J997" s="277"/>
      <c r="K997" s="277"/>
      <c r="L997" s="277"/>
      <c r="M997" s="277"/>
      <c r="N997" s="277"/>
      <c r="O997" s="277"/>
      <c r="P997" s="277"/>
      <c r="Q997" s="277"/>
      <c r="R997" s="277"/>
      <c r="S997" s="277"/>
      <c r="T997" s="277"/>
      <c r="U997" s="277"/>
      <c r="V997" s="280"/>
      <c r="W997" s="277"/>
      <c r="X997" s="277"/>
      <c r="Y997" s="277"/>
      <c r="Z997" s="277"/>
      <c r="AA997" s="277"/>
      <c r="AB997" s="277"/>
      <c r="AC997" s="277"/>
      <c r="AD997" s="277"/>
      <c r="AE997" s="277"/>
      <c r="AF997" s="277"/>
    </row>
    <row r="998" ht="12.75" customHeight="1">
      <c r="A998" s="277"/>
      <c r="B998" s="278"/>
      <c r="C998" s="277"/>
      <c r="D998" s="278"/>
      <c r="E998" s="279"/>
      <c r="F998" s="277"/>
      <c r="G998" s="277"/>
      <c r="H998" s="277"/>
      <c r="I998" s="277"/>
      <c r="J998" s="277"/>
      <c r="K998" s="277"/>
      <c r="L998" s="277"/>
      <c r="M998" s="277"/>
      <c r="N998" s="277"/>
      <c r="O998" s="277"/>
      <c r="P998" s="277"/>
      <c r="Q998" s="277"/>
      <c r="R998" s="277"/>
      <c r="S998" s="277"/>
      <c r="T998" s="277"/>
      <c r="U998" s="277"/>
      <c r="V998" s="280"/>
      <c r="W998" s="277"/>
      <c r="X998" s="277"/>
      <c r="Y998" s="277"/>
      <c r="Z998" s="277"/>
      <c r="AA998" s="277"/>
      <c r="AB998" s="277"/>
      <c r="AC998" s="277"/>
      <c r="AD998" s="277"/>
      <c r="AE998" s="277"/>
      <c r="AF998" s="277"/>
    </row>
    <row r="999" ht="12.75" customHeight="1">
      <c r="A999" s="277"/>
      <c r="B999" s="278"/>
      <c r="C999" s="277"/>
      <c r="D999" s="278"/>
      <c r="E999" s="279"/>
      <c r="F999" s="277"/>
      <c r="G999" s="277"/>
      <c r="H999" s="277"/>
      <c r="I999" s="277"/>
      <c r="J999" s="277"/>
      <c r="K999" s="277"/>
      <c r="L999" s="277"/>
      <c r="M999" s="277"/>
      <c r="N999" s="277"/>
      <c r="O999" s="277"/>
      <c r="P999" s="277"/>
      <c r="Q999" s="277"/>
      <c r="R999" s="277"/>
      <c r="S999" s="277"/>
      <c r="T999" s="277"/>
      <c r="U999" s="277"/>
      <c r="V999" s="280"/>
      <c r="W999" s="277"/>
      <c r="X999" s="277"/>
      <c r="Y999" s="277"/>
      <c r="Z999" s="277"/>
      <c r="AA999" s="277"/>
      <c r="AB999" s="277"/>
      <c r="AC999" s="277"/>
      <c r="AD999" s="277"/>
      <c r="AE999" s="277"/>
      <c r="AF999" s="277"/>
    </row>
    <row r="1000" ht="12.75" customHeight="1">
      <c r="A1000" s="277"/>
      <c r="B1000" s="278"/>
      <c r="C1000" s="277"/>
      <c r="D1000" s="278"/>
      <c r="E1000" s="279"/>
      <c r="F1000" s="277"/>
      <c r="G1000" s="277"/>
      <c r="H1000" s="277"/>
      <c r="I1000" s="277"/>
      <c r="J1000" s="277"/>
      <c r="K1000" s="277"/>
      <c r="L1000" s="277"/>
      <c r="M1000" s="277"/>
      <c r="N1000" s="277"/>
      <c r="O1000" s="277"/>
      <c r="P1000" s="277"/>
      <c r="Q1000" s="277"/>
      <c r="R1000" s="277"/>
      <c r="S1000" s="277"/>
      <c r="T1000" s="277"/>
      <c r="U1000" s="277"/>
      <c r="V1000" s="280"/>
      <c r="W1000" s="277"/>
      <c r="X1000" s="277"/>
      <c r="Y1000" s="277"/>
      <c r="Z1000" s="277"/>
      <c r="AA1000" s="277"/>
      <c r="AB1000" s="277"/>
      <c r="AC1000" s="277"/>
      <c r="AD1000" s="277"/>
      <c r="AE1000" s="277"/>
      <c r="AF1000" s="277"/>
    </row>
  </sheetData>
  <mergeCells count="25">
    <mergeCell ref="B4:B6"/>
    <mergeCell ref="A5:A6"/>
    <mergeCell ref="C5:C6"/>
    <mergeCell ref="B7:B8"/>
    <mergeCell ref="G5:I6"/>
    <mergeCell ref="J5:L5"/>
    <mergeCell ref="J6:L6"/>
    <mergeCell ref="M5:O5"/>
    <mergeCell ref="P5:R5"/>
    <mergeCell ref="E4:E5"/>
    <mergeCell ref="E6:E8"/>
    <mergeCell ref="M6:O6"/>
    <mergeCell ref="P6:R6"/>
    <mergeCell ref="V4:V6"/>
    <mergeCell ref="V7:V8"/>
    <mergeCell ref="A44:V44"/>
    <mergeCell ref="A45:V45"/>
    <mergeCell ref="A119:V119"/>
    <mergeCell ref="D4:D6"/>
    <mergeCell ref="F4:F9"/>
    <mergeCell ref="G4:I4"/>
    <mergeCell ref="J4:R4"/>
    <mergeCell ref="S4:U4"/>
    <mergeCell ref="S5:U5"/>
    <mergeCell ref="S6:U6"/>
  </mergeCells>
  <conditionalFormatting sqref="G11:U34 G36:U43 G47:U54 G56:U73 G75:U91 G93:U118 G121:U135 G137:U138 G140:U140 G142:U144 G146:U146 G148:U148 G150:U150 G152:U153 G155:U155 G157:U163 G165:U169 G171:U188 G190:U210 G212:U213 G215:U229 G233:U244 G246:U249 G251:U256 G258:U265 G267:U271 G273:U285">
    <cfRule type="cellIs" dxfId="0" priority="1" operator="equal">
      <formula>0</formula>
    </cfRule>
  </conditionalFormatting>
  <conditionalFormatting sqref="G11:U34 G36:U43 G47:U54 G56:U73 G75:U91 G93:U118 G121:U135 G137:U138 G140:U140 G142:U144 G146:U146 G148:U148 G150:U150 G152:U153 G155:U155 G157:U163 G165:U169 G171:U188 G190:U210 G212:U213 G215:U229 G233:U244 G246:U249 G251:U256 G258:U265 G267:U271 G273:U285">
    <cfRule type="cellIs" dxfId="1" priority="2" operator="greaterThan">
      <formula>100</formula>
    </cfRule>
  </conditionalFormatting>
  <conditionalFormatting sqref="G11:U34 G36:U43 G47:U54 G56:U73 G75:U91 G93:U118 G121:U135 G137:U138 G140:U140 G142:U144 G146:U146 G148:U148 G150:U150 G152:U153 G155:U155 G157:U163 G165:U169 G171:U188 G190:U210 G212:U213 G215:U229 G233:U244 G246:U249 G251:U256 G258:U265 G267:U271 G273:U285">
    <cfRule type="cellIs" dxfId="2" priority="3" operator="between">
      <formula>10</formula>
      <formula>100</formula>
    </cfRule>
  </conditionalFormatting>
  <conditionalFormatting sqref="G11:U34 G36:U43 G47:U54 G56:U73 G75:U91 G93:U118 G121:U135 G137:U138 G140:U140 G142:U144 G146:U146 G148:U148 G150:U150 G152:U153 G155:U155 G157:U163 G165:U169 G171:U188 G190:U210 G212:U213 G215:U229 G233:U244 G246:U249 G251:U256 G258:U265 G267:U271 G273:U285">
    <cfRule type="cellIs" dxfId="3" priority="4" operator="between">
      <formula>1</formula>
      <formula>10</formula>
    </cfRule>
  </conditionalFormatting>
  <conditionalFormatting sqref="G11:U34 G36:U43 G47:U54 G56:U73 G75:U91 G93:U118 G121:U135 G137:U138 G140:U140 G142:U144 G146:U146 G148:U148 G150:U150 G152:U153 G155:U155 G157:U163 G165:U169 G171:U188 G190:U210 G212:U213 G215:U229 G233:U244 G246:U249 G251:U256 G258:U265 G267:U271 G273:U285">
    <cfRule type="cellIs" dxfId="4" priority="5" operator="between">
      <formula>0.00000001</formula>
      <formula>1</formula>
    </cfRule>
  </conditionalFormatting>
  <conditionalFormatting sqref="G211:U211">
    <cfRule type="cellIs" dxfId="0" priority="6" operator="equal">
      <formula>0</formula>
    </cfRule>
  </conditionalFormatting>
  <conditionalFormatting sqref="G211:U211">
    <cfRule type="cellIs" dxfId="1" priority="7" operator="greaterThan">
      <formula>100</formula>
    </cfRule>
  </conditionalFormatting>
  <conditionalFormatting sqref="G211:U211">
    <cfRule type="cellIs" dxfId="2" priority="8" operator="between">
      <formula>10</formula>
      <formula>100</formula>
    </cfRule>
  </conditionalFormatting>
  <conditionalFormatting sqref="G211:U211">
    <cfRule type="cellIs" dxfId="3" priority="9" operator="between">
      <formula>1</formula>
      <formula>10</formula>
    </cfRule>
  </conditionalFormatting>
  <conditionalFormatting sqref="G211:U211">
    <cfRule type="cellIs" dxfId="4" priority="10" operator="between">
      <formula>0.00000001</formula>
      <formula>1</formula>
    </cfRule>
  </conditionalFormatting>
  <conditionalFormatting sqref="G151:U151">
    <cfRule type="cellIs" dxfId="0" priority="11" operator="equal">
      <formula>0</formula>
    </cfRule>
  </conditionalFormatting>
  <conditionalFormatting sqref="G151:U151">
    <cfRule type="cellIs" dxfId="1" priority="12" operator="greaterThan">
      <formula>100</formula>
    </cfRule>
  </conditionalFormatting>
  <conditionalFormatting sqref="G151:U151">
    <cfRule type="cellIs" dxfId="2" priority="13" operator="between">
      <formula>10</formula>
      <formula>100</formula>
    </cfRule>
  </conditionalFormatting>
  <conditionalFormatting sqref="G151:U151">
    <cfRule type="cellIs" dxfId="3" priority="14" operator="between">
      <formula>1</formula>
      <formula>10</formula>
    </cfRule>
  </conditionalFormatting>
  <conditionalFormatting sqref="G151:U151">
    <cfRule type="cellIs" dxfId="4" priority="15" operator="between">
      <formula>0.00000001</formula>
      <formula>1</formula>
    </cfRule>
  </conditionalFormatting>
  <conditionalFormatting sqref="G149:U149">
    <cfRule type="cellIs" dxfId="0" priority="16" operator="equal">
      <formula>0</formula>
    </cfRule>
  </conditionalFormatting>
  <conditionalFormatting sqref="G149:U149">
    <cfRule type="cellIs" dxfId="1" priority="17" operator="greaterThan">
      <formula>100</formula>
    </cfRule>
  </conditionalFormatting>
  <conditionalFormatting sqref="G149:U149">
    <cfRule type="cellIs" dxfId="2" priority="18" operator="between">
      <formula>10</formula>
      <formula>100</formula>
    </cfRule>
  </conditionalFormatting>
  <conditionalFormatting sqref="G149:U149">
    <cfRule type="cellIs" dxfId="3" priority="19" operator="between">
      <formula>1</formula>
      <formula>10</formula>
    </cfRule>
  </conditionalFormatting>
  <conditionalFormatting sqref="G149:U149">
    <cfRule type="cellIs" dxfId="4" priority="20" operator="between">
      <formula>0.00000001</formula>
      <formula>1</formula>
    </cfRule>
  </conditionalFormatting>
  <conditionalFormatting sqref="G147:U147">
    <cfRule type="cellIs" dxfId="0" priority="21" operator="equal">
      <formula>0</formula>
    </cfRule>
  </conditionalFormatting>
  <conditionalFormatting sqref="G147:U147">
    <cfRule type="cellIs" dxfId="1" priority="22" operator="greaterThan">
      <formula>100</formula>
    </cfRule>
  </conditionalFormatting>
  <conditionalFormatting sqref="G147:U147">
    <cfRule type="cellIs" dxfId="2" priority="23" operator="between">
      <formula>10</formula>
      <formula>100</formula>
    </cfRule>
  </conditionalFormatting>
  <conditionalFormatting sqref="G147:U147">
    <cfRule type="cellIs" dxfId="3" priority="24" operator="between">
      <formula>1</formula>
      <formula>10</formula>
    </cfRule>
  </conditionalFormatting>
  <conditionalFormatting sqref="G147:U147">
    <cfRule type="cellIs" dxfId="4" priority="25" operator="between">
      <formula>0.00000001</formula>
      <formula>1</formula>
    </cfRule>
  </conditionalFormatting>
  <conditionalFormatting sqref="G145:U145">
    <cfRule type="cellIs" dxfId="0" priority="26" operator="equal">
      <formula>0</formula>
    </cfRule>
  </conditionalFormatting>
  <conditionalFormatting sqref="G145:U145">
    <cfRule type="cellIs" dxfId="1" priority="27" operator="greaterThan">
      <formula>100</formula>
    </cfRule>
  </conditionalFormatting>
  <conditionalFormatting sqref="G145:U145">
    <cfRule type="cellIs" dxfId="2" priority="28" operator="between">
      <formula>10</formula>
      <formula>100</formula>
    </cfRule>
  </conditionalFormatting>
  <conditionalFormatting sqref="G145:U145">
    <cfRule type="cellIs" dxfId="3" priority="29" operator="between">
      <formula>1</formula>
      <formula>10</formula>
    </cfRule>
  </conditionalFormatting>
  <conditionalFormatting sqref="G145:U145">
    <cfRule type="cellIs" dxfId="4" priority="30" operator="between">
      <formula>0.00000001</formula>
      <formula>1</formula>
    </cfRule>
  </conditionalFormatting>
  <conditionalFormatting sqref="G154:U154">
    <cfRule type="cellIs" dxfId="0" priority="31" operator="equal">
      <formula>0</formula>
    </cfRule>
  </conditionalFormatting>
  <conditionalFormatting sqref="G154:U154">
    <cfRule type="cellIs" dxfId="1" priority="32" operator="greaterThan">
      <formula>100</formula>
    </cfRule>
  </conditionalFormatting>
  <conditionalFormatting sqref="G154:U154">
    <cfRule type="cellIs" dxfId="2" priority="33" operator="between">
      <formula>10</formula>
      <formula>100</formula>
    </cfRule>
  </conditionalFormatting>
  <conditionalFormatting sqref="G154:U154">
    <cfRule type="cellIs" dxfId="3" priority="34" operator="between">
      <formula>1</formula>
      <formula>10</formula>
    </cfRule>
  </conditionalFormatting>
  <conditionalFormatting sqref="G154:U154">
    <cfRule type="cellIs" dxfId="4" priority="35" operator="between">
      <formula>0.00000001</formula>
      <formula>1</formula>
    </cfRule>
  </conditionalFormatting>
  <conditionalFormatting sqref="G156:U156">
    <cfRule type="cellIs" dxfId="0" priority="36" operator="equal">
      <formula>0</formula>
    </cfRule>
  </conditionalFormatting>
  <conditionalFormatting sqref="G156:U156">
    <cfRule type="cellIs" dxfId="1" priority="37" operator="greaterThan">
      <formula>100</formula>
    </cfRule>
  </conditionalFormatting>
  <conditionalFormatting sqref="G156:U156">
    <cfRule type="cellIs" dxfId="2" priority="38" operator="between">
      <formula>10</formula>
      <formula>100</formula>
    </cfRule>
  </conditionalFormatting>
  <conditionalFormatting sqref="G156:U156">
    <cfRule type="cellIs" dxfId="3" priority="39" operator="between">
      <formula>1</formula>
      <formula>10</formula>
    </cfRule>
  </conditionalFormatting>
  <conditionalFormatting sqref="G156:U156">
    <cfRule type="cellIs" dxfId="4" priority="40" operator="between">
      <formula>0.00000001</formula>
      <formula>1</formula>
    </cfRule>
  </conditionalFormatting>
  <conditionalFormatting sqref="G141:U141">
    <cfRule type="cellIs" dxfId="0" priority="41" operator="equal">
      <formula>0</formula>
    </cfRule>
  </conditionalFormatting>
  <conditionalFormatting sqref="G141:U141">
    <cfRule type="cellIs" dxfId="1" priority="42" operator="greaterThan">
      <formula>100</formula>
    </cfRule>
  </conditionalFormatting>
  <conditionalFormatting sqref="G141:U141">
    <cfRule type="cellIs" dxfId="2" priority="43" operator="between">
      <formula>10</formula>
      <formula>100</formula>
    </cfRule>
  </conditionalFormatting>
  <conditionalFormatting sqref="G141:U141">
    <cfRule type="cellIs" dxfId="3" priority="44" operator="between">
      <formula>1</formula>
      <formula>10</formula>
    </cfRule>
  </conditionalFormatting>
  <conditionalFormatting sqref="G141:U141">
    <cfRule type="cellIs" dxfId="4" priority="45" operator="between">
      <formula>0.00000001</formula>
      <formula>1</formula>
    </cfRule>
  </conditionalFormatting>
  <conditionalFormatting sqref="G139:U139">
    <cfRule type="cellIs" dxfId="0" priority="46" operator="equal">
      <formula>0</formula>
    </cfRule>
  </conditionalFormatting>
  <conditionalFormatting sqref="G139:U139">
    <cfRule type="cellIs" dxfId="1" priority="47" operator="greaterThan">
      <formula>100</formula>
    </cfRule>
  </conditionalFormatting>
  <conditionalFormatting sqref="G139:U139">
    <cfRule type="cellIs" dxfId="2" priority="48" operator="between">
      <formula>10</formula>
      <formula>100</formula>
    </cfRule>
  </conditionalFormatting>
  <conditionalFormatting sqref="G139:U139">
    <cfRule type="cellIs" dxfId="3" priority="49" operator="between">
      <formula>1</formula>
      <formula>10</formula>
    </cfRule>
  </conditionalFormatting>
  <conditionalFormatting sqref="G139:U139">
    <cfRule type="cellIs" dxfId="4" priority="50" operator="between">
      <formula>0.00000001</formula>
      <formula>1</formula>
    </cfRule>
  </conditionalFormatting>
  <conditionalFormatting sqref="G230:U232">
    <cfRule type="cellIs" dxfId="0" priority="51" operator="equal">
      <formula>0</formula>
    </cfRule>
  </conditionalFormatting>
  <conditionalFormatting sqref="G230:U232">
    <cfRule type="cellIs" dxfId="1" priority="52" operator="greaterThan">
      <formula>100</formula>
    </cfRule>
  </conditionalFormatting>
  <conditionalFormatting sqref="G230:U232">
    <cfRule type="cellIs" dxfId="2" priority="53" operator="between">
      <formula>10</formula>
      <formula>100</formula>
    </cfRule>
  </conditionalFormatting>
  <conditionalFormatting sqref="G230:U232">
    <cfRule type="cellIs" dxfId="3" priority="54" operator="between">
      <formula>1</formula>
      <formula>10</formula>
    </cfRule>
  </conditionalFormatting>
  <conditionalFormatting sqref="G230:U232">
    <cfRule type="cellIs" dxfId="4" priority="55" operator="between">
      <formula>0.00000001</formula>
      <formula>1</formula>
    </cfRule>
  </conditionalFormatting>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67.86"/>
    <col customWidth="1" min="3" max="3" width="10.0"/>
    <col customWidth="1" min="4" max="4" width="6.57"/>
    <col customWidth="1" min="5" max="5" width="14.0"/>
    <col customWidth="1" min="6" max="6" width="20.29"/>
    <col customWidth="1" min="7" max="7" width="31.57"/>
    <col customWidth="1" min="8" max="8" width="39.57"/>
    <col customWidth="1" min="9" max="9" width="18.86"/>
    <col customWidth="1" min="10" max="10" width="31.0"/>
    <col customWidth="1" min="11" max="11" width="35.71"/>
    <col customWidth="1" min="12" max="12" width="33.71"/>
    <col customWidth="1" min="13" max="13" width="41.57"/>
    <col customWidth="1" min="14" max="14" width="46.29"/>
    <col customWidth="1" min="15" max="15" width="44.29"/>
    <col customWidth="1" min="16" max="16" width="36.57"/>
    <col customWidth="1" min="17" max="17" width="41.43"/>
    <col customWidth="1" min="18" max="18" width="39.29"/>
    <col customWidth="1" min="19" max="19" width="38.86"/>
    <col customWidth="1" min="20" max="20" width="43.57"/>
    <col customWidth="1" min="21" max="21" width="41.57"/>
    <col customWidth="1" min="22" max="22" width="32.71"/>
    <col customWidth="1" min="23" max="23" width="37.71"/>
    <col customWidth="1" min="24" max="24" width="36.14"/>
    <col customWidth="1" min="25" max="25" width="8.71"/>
    <col customWidth="1" min="26" max="26" width="21.57"/>
    <col customWidth="1" min="27" max="27" width="61.29"/>
    <col customWidth="1" min="28" max="28" width="19.43"/>
  </cols>
  <sheetData>
    <row r="1">
      <c r="A1" s="55" t="s">
        <v>19</v>
      </c>
      <c r="B1" s="55" t="s">
        <v>159</v>
      </c>
      <c r="C1" s="55" t="s">
        <v>160</v>
      </c>
      <c r="D1" s="55" t="s">
        <v>161</v>
      </c>
      <c r="E1" s="55" t="s">
        <v>162</v>
      </c>
      <c r="F1" s="55" t="s">
        <v>163</v>
      </c>
      <c r="G1" s="55" t="s">
        <v>164</v>
      </c>
      <c r="H1" s="55" t="s">
        <v>51</v>
      </c>
      <c r="I1" s="55" t="s">
        <v>166</v>
      </c>
      <c r="J1" s="55" t="s">
        <v>167</v>
      </c>
      <c r="K1" s="55" t="s">
        <v>168</v>
      </c>
      <c r="L1" s="55" t="s">
        <v>169</v>
      </c>
      <c r="M1" s="55" t="s">
        <v>170</v>
      </c>
      <c r="N1" s="55" t="s">
        <v>171</v>
      </c>
      <c r="O1" s="55" t="s">
        <v>172</v>
      </c>
      <c r="P1" s="55" t="s">
        <v>173</v>
      </c>
      <c r="Q1" s="55" t="s">
        <v>174</v>
      </c>
      <c r="R1" s="55" t="s">
        <v>175</v>
      </c>
      <c r="S1" s="55" t="s">
        <v>176</v>
      </c>
      <c r="T1" s="55" t="s">
        <v>177</v>
      </c>
      <c r="U1" s="55" t="s">
        <v>178</v>
      </c>
      <c r="V1" s="55" t="s">
        <v>179</v>
      </c>
      <c r="W1" s="55" t="s">
        <v>180</v>
      </c>
      <c r="X1" s="55" t="s">
        <v>181</v>
      </c>
      <c r="Y1" s="55" t="s">
        <v>182</v>
      </c>
      <c r="Z1" s="55" t="s">
        <v>183</v>
      </c>
      <c r="AA1" s="55" t="s">
        <v>184</v>
      </c>
      <c r="AB1" s="55" t="s">
        <v>52</v>
      </c>
    </row>
    <row r="2">
      <c r="A2" s="55" t="s">
        <v>1612</v>
      </c>
      <c r="B2" s="55" t="s">
        <v>1612</v>
      </c>
      <c r="F2" s="55" t="s">
        <v>1613</v>
      </c>
      <c r="G2" s="55" t="s">
        <v>1614</v>
      </c>
      <c r="H2" s="55" t="s">
        <v>55</v>
      </c>
      <c r="I2" s="56"/>
      <c r="J2" s="57" t="s">
        <v>1615</v>
      </c>
      <c r="K2" s="57" t="s">
        <v>1616</v>
      </c>
      <c r="L2" s="58" t="s">
        <v>1617</v>
      </c>
      <c r="M2" s="58" t="s">
        <v>1618</v>
      </c>
      <c r="N2" s="58" t="s">
        <v>1618</v>
      </c>
      <c r="O2" s="58" t="s">
        <v>1619</v>
      </c>
      <c r="P2" s="58" t="s">
        <v>1620</v>
      </c>
      <c r="Q2" s="58" t="s">
        <v>1621</v>
      </c>
      <c r="R2" s="58" t="s">
        <v>1622</v>
      </c>
      <c r="S2" s="58" t="s">
        <v>1623</v>
      </c>
      <c r="T2" s="58" t="s">
        <v>1624</v>
      </c>
      <c r="U2" s="58" t="s">
        <v>1625</v>
      </c>
      <c r="V2" s="55" t="s">
        <v>200</v>
      </c>
      <c r="W2" s="55" t="s">
        <v>22</v>
      </c>
      <c r="X2" s="55">
        <v>0.0</v>
      </c>
      <c r="Y2" s="281" t="s">
        <v>54</v>
      </c>
      <c r="Z2" s="4" t="s">
        <v>203</v>
      </c>
      <c r="AA2" s="55" t="s">
        <v>1626</v>
      </c>
      <c r="AB2" s="55">
        <v>20.0</v>
      </c>
    </row>
    <row r="3">
      <c r="A3" s="55" t="s">
        <v>1627</v>
      </c>
      <c r="B3" s="55" t="s">
        <v>1627</v>
      </c>
      <c r="F3" s="55" t="s">
        <v>1613</v>
      </c>
      <c r="G3" s="55" t="s">
        <v>1614</v>
      </c>
      <c r="H3" s="55" t="s">
        <v>55</v>
      </c>
      <c r="I3" s="56"/>
      <c r="J3" s="57" t="s">
        <v>1628</v>
      </c>
      <c r="K3" s="57" t="s">
        <v>1629</v>
      </c>
      <c r="L3" s="58" t="s">
        <v>1630</v>
      </c>
      <c r="M3" s="58" t="s">
        <v>1631</v>
      </c>
      <c r="N3" s="58" t="s">
        <v>1632</v>
      </c>
      <c r="O3" s="58" t="s">
        <v>1633</v>
      </c>
      <c r="P3" s="58" t="s">
        <v>1634</v>
      </c>
      <c r="Q3" s="58" t="s">
        <v>1635</v>
      </c>
      <c r="R3" s="58" t="s">
        <v>1636</v>
      </c>
      <c r="S3" s="58" t="s">
        <v>1637</v>
      </c>
      <c r="T3" s="58" t="s">
        <v>1638</v>
      </c>
      <c r="U3" s="58" t="s">
        <v>1639</v>
      </c>
      <c r="V3" s="55" t="s">
        <v>200</v>
      </c>
      <c r="W3" s="55" t="s">
        <v>22</v>
      </c>
      <c r="X3" s="55">
        <v>0.0</v>
      </c>
      <c r="Y3" s="281" t="s">
        <v>56</v>
      </c>
      <c r="Z3" s="4" t="s">
        <v>203</v>
      </c>
      <c r="AA3" s="55" t="s">
        <v>1626</v>
      </c>
      <c r="AB3" s="55">
        <v>20.0</v>
      </c>
    </row>
    <row r="4">
      <c r="A4" s="55" t="s">
        <v>1640</v>
      </c>
      <c r="B4" s="55" t="s">
        <v>1640</v>
      </c>
      <c r="F4" s="55" t="s">
        <v>1613</v>
      </c>
      <c r="G4" s="55" t="s">
        <v>1614</v>
      </c>
      <c r="H4" s="55" t="s">
        <v>55</v>
      </c>
      <c r="I4" s="56"/>
      <c r="J4" s="57" t="s">
        <v>1641</v>
      </c>
      <c r="K4" s="57" t="s">
        <v>1642</v>
      </c>
      <c r="L4" s="58" t="s">
        <v>1643</v>
      </c>
      <c r="M4" s="58" t="s">
        <v>1644</v>
      </c>
      <c r="N4" s="58" t="s">
        <v>1644</v>
      </c>
      <c r="O4" s="58" t="s">
        <v>1645</v>
      </c>
      <c r="P4" s="58" t="s">
        <v>1646</v>
      </c>
      <c r="Q4" s="58" t="s">
        <v>1647</v>
      </c>
      <c r="R4" s="58" t="s">
        <v>1648</v>
      </c>
      <c r="S4" s="58" t="s">
        <v>1649</v>
      </c>
      <c r="T4" s="58" t="s">
        <v>1650</v>
      </c>
      <c r="U4" s="58" t="s">
        <v>1651</v>
      </c>
      <c r="V4" s="55" t="s">
        <v>200</v>
      </c>
      <c r="W4" s="55" t="s">
        <v>22</v>
      </c>
      <c r="X4" s="55">
        <v>0.0</v>
      </c>
      <c r="Y4" s="281" t="s">
        <v>57</v>
      </c>
      <c r="Z4" s="4" t="s">
        <v>203</v>
      </c>
      <c r="AA4" s="55" t="s">
        <v>1626</v>
      </c>
      <c r="AB4" s="55">
        <v>20.0</v>
      </c>
    </row>
    <row r="5">
      <c r="A5" s="55" t="s">
        <v>1652</v>
      </c>
      <c r="B5" s="55" t="s">
        <v>1652</v>
      </c>
      <c r="F5" s="55" t="s">
        <v>1613</v>
      </c>
      <c r="G5" s="55" t="s">
        <v>1614</v>
      </c>
      <c r="H5" s="55" t="s">
        <v>60</v>
      </c>
      <c r="I5" s="56"/>
      <c r="J5" s="57" t="s">
        <v>1653</v>
      </c>
      <c r="K5" s="57" t="s">
        <v>1654</v>
      </c>
      <c r="L5" s="58" t="s">
        <v>1655</v>
      </c>
      <c r="M5" s="58" t="s">
        <v>277</v>
      </c>
      <c r="N5" s="58" t="s">
        <v>1656</v>
      </c>
      <c r="O5" s="58" t="s">
        <v>1657</v>
      </c>
      <c r="P5" s="58" t="s">
        <v>1658</v>
      </c>
      <c r="Q5" s="58" t="s">
        <v>1659</v>
      </c>
      <c r="R5" s="58" t="s">
        <v>1660</v>
      </c>
      <c r="S5" s="58" t="s">
        <v>1661</v>
      </c>
      <c r="T5" s="58" t="s">
        <v>1662</v>
      </c>
      <c r="U5" s="58" t="s">
        <v>1663</v>
      </c>
      <c r="V5" s="55" t="s">
        <v>200</v>
      </c>
      <c r="W5" s="55" t="s">
        <v>22</v>
      </c>
      <c r="X5" s="55">
        <v>0.0</v>
      </c>
      <c r="Y5" s="281" t="s">
        <v>59</v>
      </c>
      <c r="Z5" s="4" t="s">
        <v>203</v>
      </c>
      <c r="AA5" s="55" t="s">
        <v>1626</v>
      </c>
      <c r="AB5" s="55">
        <v>30.0</v>
      </c>
    </row>
    <row r="6">
      <c r="A6" s="55" t="s">
        <v>1664</v>
      </c>
      <c r="B6" s="55" t="s">
        <v>1664</v>
      </c>
      <c r="F6" s="55" t="s">
        <v>1613</v>
      </c>
      <c r="G6" s="55" t="s">
        <v>1614</v>
      </c>
      <c r="H6" s="55" t="s">
        <v>60</v>
      </c>
      <c r="I6" s="56"/>
      <c r="J6" s="57" t="s">
        <v>1665</v>
      </c>
      <c r="K6" s="57" t="s">
        <v>1666</v>
      </c>
      <c r="L6" s="57" t="s">
        <v>1667</v>
      </c>
      <c r="M6" s="58" t="s">
        <v>1668</v>
      </c>
      <c r="N6" s="58" t="s">
        <v>1669</v>
      </c>
      <c r="O6" s="58" t="s">
        <v>1670</v>
      </c>
      <c r="P6" s="58" t="s">
        <v>1671</v>
      </c>
      <c r="Q6" s="58" t="s">
        <v>1672</v>
      </c>
      <c r="R6" s="58" t="s">
        <v>1673</v>
      </c>
      <c r="S6" s="58" t="s">
        <v>1674</v>
      </c>
      <c r="T6" s="58" t="s">
        <v>1675</v>
      </c>
      <c r="U6" s="58" t="s">
        <v>1676</v>
      </c>
      <c r="V6" s="55" t="s">
        <v>200</v>
      </c>
      <c r="W6" s="55" t="s">
        <v>22</v>
      </c>
      <c r="X6" s="55">
        <v>0.0</v>
      </c>
      <c r="Y6" s="281" t="s">
        <v>61</v>
      </c>
      <c r="Z6" s="4" t="s">
        <v>203</v>
      </c>
      <c r="AA6" s="55" t="s">
        <v>1626</v>
      </c>
      <c r="AB6" s="55">
        <v>30.0</v>
      </c>
    </row>
    <row r="7">
      <c r="A7" s="55" t="s">
        <v>1677</v>
      </c>
      <c r="B7" s="55" t="s">
        <v>1677</v>
      </c>
      <c r="F7" s="55" t="s">
        <v>1613</v>
      </c>
      <c r="G7" s="55" t="s">
        <v>1614</v>
      </c>
      <c r="H7" s="55" t="s">
        <v>63</v>
      </c>
      <c r="I7" s="56"/>
      <c r="J7" s="57" t="s">
        <v>1678</v>
      </c>
      <c r="K7" s="57" t="s">
        <v>1678</v>
      </c>
      <c r="L7" s="58" t="s">
        <v>233</v>
      </c>
      <c r="M7" s="58" t="s">
        <v>1679</v>
      </c>
      <c r="N7" s="58" t="s">
        <v>1680</v>
      </c>
      <c r="O7" s="58" t="s">
        <v>1681</v>
      </c>
      <c r="P7" s="58" t="s">
        <v>1682</v>
      </c>
      <c r="Q7" s="58" t="s">
        <v>1683</v>
      </c>
      <c r="R7" s="58" t="s">
        <v>1684</v>
      </c>
      <c r="S7" s="58" t="s">
        <v>1685</v>
      </c>
      <c r="T7" s="58" t="s">
        <v>1686</v>
      </c>
      <c r="U7" s="58" t="s">
        <v>1687</v>
      </c>
      <c r="V7" s="55" t="s">
        <v>200</v>
      </c>
      <c r="W7" s="55" t="s">
        <v>22</v>
      </c>
      <c r="X7" s="55">
        <v>0.0</v>
      </c>
      <c r="Y7" s="281" t="s">
        <v>62</v>
      </c>
      <c r="Z7" s="4" t="s">
        <v>203</v>
      </c>
      <c r="AA7" s="55" t="s">
        <v>1626</v>
      </c>
      <c r="AB7" s="55">
        <v>30.0</v>
      </c>
    </row>
    <row r="8">
      <c r="A8" s="55" t="s">
        <v>1688</v>
      </c>
      <c r="B8" s="55" t="s">
        <v>1688</v>
      </c>
      <c r="F8" s="55" t="s">
        <v>1613</v>
      </c>
      <c r="G8" s="55" t="s">
        <v>1614</v>
      </c>
      <c r="H8" s="55" t="s">
        <v>63</v>
      </c>
      <c r="I8" s="56"/>
      <c r="J8" s="57" t="s">
        <v>1689</v>
      </c>
      <c r="K8" s="57" t="s">
        <v>1690</v>
      </c>
      <c r="L8" s="58" t="s">
        <v>1691</v>
      </c>
      <c r="M8" s="58" t="s">
        <v>1692</v>
      </c>
      <c r="N8" s="58" t="s">
        <v>1692</v>
      </c>
      <c r="O8" s="58" t="s">
        <v>1693</v>
      </c>
      <c r="P8" s="58" t="s">
        <v>1694</v>
      </c>
      <c r="Q8" s="58" t="s">
        <v>1695</v>
      </c>
      <c r="R8" s="58" t="s">
        <v>1696</v>
      </c>
      <c r="S8" s="58" t="s">
        <v>1697</v>
      </c>
      <c r="T8" s="58" t="s">
        <v>1698</v>
      </c>
      <c r="U8" s="58" t="s">
        <v>1699</v>
      </c>
      <c r="V8" s="55" t="s">
        <v>200</v>
      </c>
      <c r="W8" s="55" t="s">
        <v>22</v>
      </c>
      <c r="X8" s="55">
        <v>0.0</v>
      </c>
      <c r="Y8" s="281" t="s">
        <v>64</v>
      </c>
      <c r="Z8" s="4" t="s">
        <v>203</v>
      </c>
      <c r="AA8" s="55" t="s">
        <v>1626</v>
      </c>
      <c r="AB8" s="55">
        <v>30.0</v>
      </c>
    </row>
    <row r="9">
      <c r="A9" s="55" t="s">
        <v>1700</v>
      </c>
      <c r="B9" s="55" t="s">
        <v>1700</v>
      </c>
      <c r="F9" s="55" t="s">
        <v>1613</v>
      </c>
      <c r="G9" s="55" t="s">
        <v>1614</v>
      </c>
      <c r="H9" s="55" t="s">
        <v>63</v>
      </c>
      <c r="I9" s="56"/>
      <c r="J9" s="57" t="s">
        <v>1701</v>
      </c>
      <c r="K9" s="57" t="s">
        <v>1701</v>
      </c>
      <c r="L9" s="58" t="s">
        <v>1702</v>
      </c>
      <c r="M9" s="58" t="s">
        <v>1703</v>
      </c>
      <c r="N9" s="58" t="s">
        <v>1703</v>
      </c>
      <c r="O9" s="58" t="s">
        <v>1645</v>
      </c>
      <c r="P9" s="58" t="s">
        <v>1704</v>
      </c>
      <c r="Q9" s="58" t="s">
        <v>1705</v>
      </c>
      <c r="R9" s="58" t="s">
        <v>1706</v>
      </c>
      <c r="S9" s="58" t="s">
        <v>1707</v>
      </c>
      <c r="T9" s="58" t="s">
        <v>1708</v>
      </c>
      <c r="U9" s="58" t="s">
        <v>1709</v>
      </c>
      <c r="V9" s="55" t="s">
        <v>200</v>
      </c>
      <c r="W9" s="55" t="s">
        <v>22</v>
      </c>
      <c r="X9" s="55">
        <v>0.0</v>
      </c>
      <c r="Y9" s="281" t="s">
        <v>65</v>
      </c>
      <c r="Z9" s="4" t="s">
        <v>203</v>
      </c>
      <c r="AA9" s="55" t="s">
        <v>1626</v>
      </c>
      <c r="AB9" s="55">
        <v>30.0</v>
      </c>
    </row>
    <row r="10">
      <c r="A10" s="55" t="s">
        <v>1710</v>
      </c>
      <c r="B10" s="55" t="s">
        <v>1710</v>
      </c>
      <c r="F10" s="55" t="s">
        <v>1613</v>
      </c>
      <c r="G10" s="55" t="s">
        <v>1614</v>
      </c>
      <c r="H10" s="55" t="s">
        <v>60</v>
      </c>
      <c r="I10" s="56"/>
      <c r="J10" s="57" t="s">
        <v>1711</v>
      </c>
      <c r="K10" s="57" t="s">
        <v>1712</v>
      </c>
      <c r="L10" s="58" t="s">
        <v>1713</v>
      </c>
      <c r="M10" s="58" t="s">
        <v>1714</v>
      </c>
      <c r="N10" s="58" t="s">
        <v>1714</v>
      </c>
      <c r="O10" s="58" t="s">
        <v>1715</v>
      </c>
      <c r="P10" s="58" t="s">
        <v>1716</v>
      </c>
      <c r="Q10" s="58" t="s">
        <v>1717</v>
      </c>
      <c r="R10" s="58" t="s">
        <v>1718</v>
      </c>
      <c r="S10" s="58" t="s">
        <v>1719</v>
      </c>
      <c r="T10" s="58" t="s">
        <v>1679</v>
      </c>
      <c r="U10" s="58" t="s">
        <v>1720</v>
      </c>
      <c r="V10" s="55" t="s">
        <v>200</v>
      </c>
      <c r="W10" s="55" t="s">
        <v>22</v>
      </c>
      <c r="X10" s="55">
        <v>0.0</v>
      </c>
      <c r="Y10" s="281" t="s">
        <v>66</v>
      </c>
      <c r="Z10" s="4" t="s">
        <v>203</v>
      </c>
      <c r="AA10" s="55" t="s">
        <v>1626</v>
      </c>
      <c r="AB10" s="55">
        <v>30.0</v>
      </c>
    </row>
    <row r="11">
      <c r="A11" s="55" t="s">
        <v>1721</v>
      </c>
      <c r="B11" s="55" t="s">
        <v>1721</v>
      </c>
      <c r="F11" s="55" t="s">
        <v>1613</v>
      </c>
      <c r="G11" s="55" t="s">
        <v>1614</v>
      </c>
      <c r="H11" s="55" t="s">
        <v>68</v>
      </c>
      <c r="I11" s="56"/>
      <c r="J11" s="57" t="s">
        <v>1722</v>
      </c>
      <c r="K11" s="57" t="s">
        <v>1723</v>
      </c>
      <c r="L11" s="57" t="s">
        <v>1724</v>
      </c>
      <c r="M11" s="58" t="s">
        <v>1725</v>
      </c>
      <c r="N11" s="58" t="s">
        <v>1726</v>
      </c>
      <c r="O11" s="58" t="s">
        <v>1727</v>
      </c>
      <c r="P11" s="58" t="s">
        <v>293</v>
      </c>
      <c r="Q11" s="58" t="s">
        <v>1728</v>
      </c>
      <c r="R11" s="58" t="s">
        <v>1692</v>
      </c>
      <c r="S11" s="58" t="s">
        <v>1729</v>
      </c>
      <c r="T11" s="58" t="s">
        <v>320</v>
      </c>
      <c r="U11" s="58" t="s">
        <v>1730</v>
      </c>
      <c r="V11" s="55" t="s">
        <v>334</v>
      </c>
      <c r="W11" s="55" t="s">
        <v>26</v>
      </c>
      <c r="X11" s="55">
        <v>0.0</v>
      </c>
      <c r="Y11" s="281" t="s">
        <v>67</v>
      </c>
      <c r="Z11" s="4" t="s">
        <v>203</v>
      </c>
      <c r="AA11" s="55" t="s">
        <v>1626</v>
      </c>
      <c r="AB11" s="55">
        <v>40.0</v>
      </c>
    </row>
    <row r="12">
      <c r="A12" s="55" t="s">
        <v>1731</v>
      </c>
      <c r="B12" s="55" t="s">
        <v>1731</v>
      </c>
      <c r="F12" s="55" t="s">
        <v>1613</v>
      </c>
      <c r="G12" s="55" t="s">
        <v>1614</v>
      </c>
      <c r="H12" s="55" t="s">
        <v>55</v>
      </c>
      <c r="I12" s="56"/>
      <c r="J12" s="57" t="s">
        <v>1732</v>
      </c>
      <c r="K12" s="57" t="s">
        <v>1733</v>
      </c>
      <c r="L12" s="57" t="s">
        <v>1734</v>
      </c>
      <c r="M12" s="58" t="s">
        <v>1735</v>
      </c>
      <c r="N12" s="58" t="s">
        <v>1736</v>
      </c>
      <c r="O12" s="58" t="s">
        <v>1737</v>
      </c>
      <c r="P12" s="57" t="s">
        <v>1738</v>
      </c>
      <c r="Q12" s="57" t="s">
        <v>1653</v>
      </c>
      <c r="R12" s="58" t="s">
        <v>1739</v>
      </c>
      <c r="S12" s="57" t="s">
        <v>1740</v>
      </c>
      <c r="T12" s="57" t="s">
        <v>1741</v>
      </c>
      <c r="U12" s="58" t="s">
        <v>1742</v>
      </c>
      <c r="V12" s="55" t="s">
        <v>1546</v>
      </c>
      <c r="W12" s="55" t="s">
        <v>28</v>
      </c>
      <c r="X12" s="55">
        <v>0.0</v>
      </c>
      <c r="Y12" s="281" t="s">
        <v>70</v>
      </c>
      <c r="Z12" s="4" t="s">
        <v>203</v>
      </c>
      <c r="AA12" s="55" t="s">
        <v>1626</v>
      </c>
      <c r="AB12" s="55">
        <v>20.0</v>
      </c>
    </row>
    <row r="13">
      <c r="A13" s="55" t="s">
        <v>1743</v>
      </c>
      <c r="B13" s="55" t="s">
        <v>1743</v>
      </c>
      <c r="F13" s="55" t="s">
        <v>1613</v>
      </c>
      <c r="G13" s="55" t="s">
        <v>1614</v>
      </c>
      <c r="H13" s="55" t="s">
        <v>55</v>
      </c>
      <c r="I13" s="56"/>
      <c r="J13" s="57" t="s">
        <v>1744</v>
      </c>
      <c r="K13" s="57" t="s">
        <v>274</v>
      </c>
      <c r="L13" s="57" t="s">
        <v>1745</v>
      </c>
      <c r="M13" s="58" t="s">
        <v>1746</v>
      </c>
      <c r="N13" s="58" t="s">
        <v>1668</v>
      </c>
      <c r="O13" s="58" t="s">
        <v>1747</v>
      </c>
      <c r="P13" s="58" t="s">
        <v>1748</v>
      </c>
      <c r="Q13" s="58" t="s">
        <v>1749</v>
      </c>
      <c r="R13" s="58" t="s">
        <v>1750</v>
      </c>
      <c r="S13" s="58" t="s">
        <v>255</v>
      </c>
      <c r="T13" s="58" t="s">
        <v>1751</v>
      </c>
      <c r="U13" s="58" t="s">
        <v>1752</v>
      </c>
      <c r="V13" s="55" t="s">
        <v>559</v>
      </c>
      <c r="W13" s="55" t="s">
        <v>24</v>
      </c>
      <c r="X13" s="55">
        <v>0.0</v>
      </c>
      <c r="Y13" s="281" t="s">
        <v>71</v>
      </c>
      <c r="Z13" s="4" t="s">
        <v>203</v>
      </c>
      <c r="AA13" s="55" t="s">
        <v>1626</v>
      </c>
      <c r="AB13" s="55">
        <v>20.0</v>
      </c>
    </row>
    <row r="14">
      <c r="A14" s="55" t="s">
        <v>1753</v>
      </c>
      <c r="B14" s="55" t="s">
        <v>1753</v>
      </c>
      <c r="F14" s="55" t="s">
        <v>1613</v>
      </c>
      <c r="G14" s="55" t="s">
        <v>1614</v>
      </c>
      <c r="H14" s="55" t="s">
        <v>55</v>
      </c>
      <c r="I14" s="56"/>
      <c r="J14" s="57" t="s">
        <v>1754</v>
      </c>
      <c r="K14" s="57" t="s">
        <v>1755</v>
      </c>
      <c r="L14" s="57" t="s">
        <v>1756</v>
      </c>
      <c r="M14" s="58" t="s">
        <v>1757</v>
      </c>
      <c r="N14" s="58" t="s">
        <v>1758</v>
      </c>
      <c r="O14" s="58" t="s">
        <v>1759</v>
      </c>
      <c r="P14" s="57" t="s">
        <v>1760</v>
      </c>
      <c r="Q14" s="57" t="s">
        <v>1761</v>
      </c>
      <c r="R14" s="58" t="s">
        <v>1762</v>
      </c>
      <c r="S14" s="57" t="s">
        <v>1712</v>
      </c>
      <c r="T14" s="57" t="s">
        <v>1763</v>
      </c>
      <c r="U14" s="57" t="s">
        <v>1764</v>
      </c>
      <c r="V14" s="55" t="s">
        <v>1546</v>
      </c>
      <c r="W14" s="55" t="s">
        <v>28</v>
      </c>
      <c r="X14" s="55">
        <v>0.0</v>
      </c>
      <c r="Y14" s="281" t="s">
        <v>72</v>
      </c>
      <c r="Z14" s="4" t="s">
        <v>203</v>
      </c>
      <c r="AA14" s="55" t="s">
        <v>1626</v>
      </c>
      <c r="AB14" s="55">
        <v>20.0</v>
      </c>
    </row>
    <row r="15">
      <c r="A15" s="55" t="s">
        <v>1765</v>
      </c>
      <c r="B15" s="55" t="s">
        <v>1765</v>
      </c>
      <c r="F15" s="55" t="s">
        <v>1613</v>
      </c>
      <c r="G15" s="55" t="s">
        <v>1614</v>
      </c>
      <c r="H15" s="55" t="s">
        <v>55</v>
      </c>
      <c r="I15" s="56"/>
      <c r="J15" s="57" t="s">
        <v>1766</v>
      </c>
      <c r="K15" s="57" t="s">
        <v>1767</v>
      </c>
      <c r="L15" s="57" t="s">
        <v>1768</v>
      </c>
      <c r="M15" s="58" t="s">
        <v>1769</v>
      </c>
      <c r="N15" s="58" t="s">
        <v>1726</v>
      </c>
      <c r="O15" s="58" t="s">
        <v>1770</v>
      </c>
      <c r="P15" s="58" t="s">
        <v>1771</v>
      </c>
      <c r="Q15" s="58" t="s">
        <v>1772</v>
      </c>
      <c r="R15" s="58" t="s">
        <v>1773</v>
      </c>
      <c r="S15" s="58" t="s">
        <v>1659</v>
      </c>
      <c r="T15" s="58" t="s">
        <v>1674</v>
      </c>
      <c r="U15" s="58" t="s">
        <v>1774</v>
      </c>
      <c r="V15" s="55" t="s">
        <v>559</v>
      </c>
      <c r="W15" s="55" t="s">
        <v>24</v>
      </c>
      <c r="X15" s="55">
        <v>0.0</v>
      </c>
      <c r="Y15" s="281" t="s">
        <v>73</v>
      </c>
      <c r="Z15" s="4" t="s">
        <v>203</v>
      </c>
      <c r="AA15" s="55" t="s">
        <v>1626</v>
      </c>
      <c r="AB15" s="55">
        <v>20.0</v>
      </c>
    </row>
    <row r="16">
      <c r="A16" s="55" t="s">
        <v>1775</v>
      </c>
      <c r="B16" s="55" t="s">
        <v>1775</v>
      </c>
      <c r="F16" s="55" t="s">
        <v>1613</v>
      </c>
      <c r="G16" s="55" t="s">
        <v>1614</v>
      </c>
      <c r="H16" s="55" t="s">
        <v>55</v>
      </c>
      <c r="I16" s="56"/>
      <c r="J16" s="57" t="s">
        <v>1776</v>
      </c>
      <c r="K16" s="57" t="s">
        <v>1776</v>
      </c>
      <c r="L16" s="58"/>
      <c r="M16" s="58" t="s">
        <v>1777</v>
      </c>
      <c r="N16" s="58" t="s">
        <v>1777</v>
      </c>
      <c r="O16" s="58"/>
      <c r="P16" s="57" t="s">
        <v>1778</v>
      </c>
      <c r="Q16" s="57" t="s">
        <v>1778</v>
      </c>
      <c r="R16" s="58"/>
      <c r="S16" s="58" t="s">
        <v>307</v>
      </c>
      <c r="T16" s="58" t="s">
        <v>307</v>
      </c>
      <c r="U16" s="58"/>
      <c r="V16" s="55" t="s">
        <v>200</v>
      </c>
      <c r="W16" s="55" t="s">
        <v>30</v>
      </c>
      <c r="X16" s="55">
        <v>0.0</v>
      </c>
      <c r="Y16" s="281" t="s">
        <v>74</v>
      </c>
      <c r="Z16" s="4" t="s">
        <v>203</v>
      </c>
      <c r="AA16" s="55" t="s">
        <v>1626</v>
      </c>
      <c r="AB16" s="55">
        <v>30.0</v>
      </c>
    </row>
    <row r="17">
      <c r="A17" s="55" t="s">
        <v>1779</v>
      </c>
      <c r="B17" s="55" t="s">
        <v>1779</v>
      </c>
      <c r="F17" s="55" t="s">
        <v>1613</v>
      </c>
      <c r="G17" s="55" t="s">
        <v>1614</v>
      </c>
      <c r="H17" s="55" t="s">
        <v>55</v>
      </c>
      <c r="I17" s="56"/>
      <c r="J17" s="57" t="s">
        <v>1780</v>
      </c>
      <c r="K17" s="57" t="s">
        <v>1780</v>
      </c>
      <c r="L17" s="58"/>
      <c r="M17" s="58" t="s">
        <v>1781</v>
      </c>
      <c r="N17" s="58" t="s">
        <v>1781</v>
      </c>
      <c r="O17" s="58"/>
      <c r="P17" s="58" t="s">
        <v>1782</v>
      </c>
      <c r="Q17" s="58" t="s">
        <v>1782</v>
      </c>
      <c r="R17" s="58"/>
      <c r="S17" s="58" t="s">
        <v>267</v>
      </c>
      <c r="T17" s="58" t="s">
        <v>267</v>
      </c>
      <c r="U17" s="58"/>
      <c r="V17" s="55" t="s">
        <v>200</v>
      </c>
      <c r="W17" s="55" t="s">
        <v>30</v>
      </c>
      <c r="X17" s="55">
        <v>0.0</v>
      </c>
      <c r="Y17" s="281" t="s">
        <v>75</v>
      </c>
      <c r="Z17" s="4" t="s">
        <v>203</v>
      </c>
      <c r="AA17" s="55" t="s">
        <v>1626</v>
      </c>
      <c r="AB17" s="55">
        <v>30.0</v>
      </c>
    </row>
    <row r="18">
      <c r="A18" s="55" t="s">
        <v>1783</v>
      </c>
      <c r="B18" s="55" t="s">
        <v>1783</v>
      </c>
      <c r="F18" s="55" t="s">
        <v>1613</v>
      </c>
      <c r="G18" s="55" t="s">
        <v>1614</v>
      </c>
      <c r="H18" s="55" t="s">
        <v>55</v>
      </c>
      <c r="I18" s="56"/>
      <c r="J18" s="57" t="s">
        <v>1784</v>
      </c>
      <c r="K18" s="57" t="s">
        <v>1784</v>
      </c>
      <c r="L18" s="58"/>
      <c r="M18" s="58" t="s">
        <v>1785</v>
      </c>
      <c r="N18" s="58" t="s">
        <v>1785</v>
      </c>
      <c r="O18" s="58"/>
      <c r="P18" s="58" t="s">
        <v>1786</v>
      </c>
      <c r="Q18" s="58" t="s">
        <v>1786</v>
      </c>
      <c r="R18" s="58"/>
      <c r="S18" s="58" t="s">
        <v>1787</v>
      </c>
      <c r="T18" s="58" t="s">
        <v>1787</v>
      </c>
      <c r="U18" s="58"/>
      <c r="V18" s="55" t="s">
        <v>200</v>
      </c>
      <c r="W18" s="55" t="s">
        <v>30</v>
      </c>
      <c r="X18" s="55">
        <v>0.0</v>
      </c>
      <c r="Y18" s="281" t="s">
        <v>76</v>
      </c>
      <c r="Z18" s="4" t="s">
        <v>203</v>
      </c>
      <c r="AA18" s="55" t="s">
        <v>1626</v>
      </c>
      <c r="AB18" s="55">
        <v>30.0</v>
      </c>
    </row>
    <row r="19">
      <c r="A19" s="55" t="s">
        <v>1788</v>
      </c>
      <c r="B19" s="55" t="s">
        <v>1788</v>
      </c>
      <c r="F19" s="55" t="s">
        <v>1613</v>
      </c>
      <c r="G19" s="55" t="s">
        <v>1614</v>
      </c>
      <c r="H19" s="55" t="s">
        <v>55</v>
      </c>
      <c r="I19" s="56"/>
      <c r="J19" s="57" t="s">
        <v>1789</v>
      </c>
      <c r="K19" s="57" t="s">
        <v>1789</v>
      </c>
      <c r="L19" s="58"/>
      <c r="M19" s="58" t="s">
        <v>192</v>
      </c>
      <c r="N19" s="58" t="s">
        <v>192</v>
      </c>
      <c r="O19" s="58"/>
      <c r="P19" s="58" t="s">
        <v>1790</v>
      </c>
      <c r="Q19" s="58" t="s">
        <v>1790</v>
      </c>
      <c r="R19" s="58"/>
      <c r="S19" s="58" t="s">
        <v>1791</v>
      </c>
      <c r="T19" s="58" t="s">
        <v>1791</v>
      </c>
      <c r="U19" s="58"/>
      <c r="V19" s="55" t="s">
        <v>200</v>
      </c>
      <c r="W19" s="55" t="s">
        <v>30</v>
      </c>
      <c r="X19" s="55">
        <v>0.0</v>
      </c>
      <c r="Y19" s="281" t="s">
        <v>77</v>
      </c>
      <c r="Z19" s="4" t="s">
        <v>203</v>
      </c>
      <c r="AA19" s="55" t="s">
        <v>1626</v>
      </c>
      <c r="AB19" s="55">
        <v>30.0</v>
      </c>
    </row>
    <row r="20">
      <c r="A20" s="55" t="s">
        <v>1792</v>
      </c>
      <c r="B20" s="55" t="s">
        <v>1792</v>
      </c>
      <c r="F20" s="55" t="s">
        <v>1613</v>
      </c>
      <c r="G20" s="55" t="s">
        <v>1793</v>
      </c>
      <c r="H20" s="55" t="s">
        <v>81</v>
      </c>
      <c r="I20" s="56"/>
      <c r="J20" s="57" t="s">
        <v>1794</v>
      </c>
      <c r="K20" s="57" t="s">
        <v>1795</v>
      </c>
      <c r="L20" s="58" t="s">
        <v>1796</v>
      </c>
      <c r="M20" s="58" t="s">
        <v>1797</v>
      </c>
      <c r="N20" s="58" t="s">
        <v>1797</v>
      </c>
      <c r="O20" s="58" t="s">
        <v>1798</v>
      </c>
      <c r="P20" s="58" t="s">
        <v>1799</v>
      </c>
      <c r="Q20" s="58" t="s">
        <v>1800</v>
      </c>
      <c r="R20" s="58" t="s">
        <v>1801</v>
      </c>
      <c r="S20" s="58" t="s">
        <v>1802</v>
      </c>
      <c r="T20" s="58" t="s">
        <v>1803</v>
      </c>
      <c r="U20" s="58" t="s">
        <v>1804</v>
      </c>
      <c r="V20" s="55" t="s">
        <v>200</v>
      </c>
      <c r="W20" s="55" t="s">
        <v>22</v>
      </c>
      <c r="X20" s="55">
        <v>0.0</v>
      </c>
      <c r="Y20" s="281" t="s">
        <v>80</v>
      </c>
      <c r="Z20" s="4" t="s">
        <v>203</v>
      </c>
      <c r="AA20" s="55" t="s">
        <v>1626</v>
      </c>
      <c r="AB20" s="55">
        <v>30.0</v>
      </c>
    </row>
    <row r="21">
      <c r="A21" s="55" t="s">
        <v>1805</v>
      </c>
      <c r="B21" s="55" t="s">
        <v>1805</v>
      </c>
      <c r="F21" s="55" t="s">
        <v>1613</v>
      </c>
      <c r="G21" s="55" t="s">
        <v>1793</v>
      </c>
      <c r="H21" s="55" t="s">
        <v>81</v>
      </c>
      <c r="I21" s="56"/>
      <c r="J21" s="57" t="s">
        <v>1806</v>
      </c>
      <c r="K21" s="57" t="s">
        <v>1807</v>
      </c>
      <c r="L21" s="58" t="s">
        <v>1808</v>
      </c>
      <c r="M21" s="58" t="s">
        <v>1809</v>
      </c>
      <c r="N21" s="58" t="s">
        <v>1810</v>
      </c>
      <c r="O21" s="58" t="s">
        <v>1811</v>
      </c>
      <c r="P21" s="58" t="s">
        <v>1812</v>
      </c>
      <c r="Q21" s="58" t="s">
        <v>288</v>
      </c>
      <c r="R21" s="58" t="s">
        <v>1813</v>
      </c>
      <c r="S21" s="58" t="s">
        <v>1814</v>
      </c>
      <c r="T21" s="58" t="s">
        <v>234</v>
      </c>
      <c r="U21" s="58" t="s">
        <v>1815</v>
      </c>
      <c r="V21" s="55" t="s">
        <v>200</v>
      </c>
      <c r="W21" s="55" t="s">
        <v>22</v>
      </c>
      <c r="X21" s="55">
        <v>0.0</v>
      </c>
      <c r="Y21" s="281" t="s">
        <v>82</v>
      </c>
      <c r="Z21" s="4" t="s">
        <v>203</v>
      </c>
      <c r="AA21" s="55" t="s">
        <v>1626</v>
      </c>
      <c r="AB21" s="55">
        <v>30.0</v>
      </c>
    </row>
    <row r="22">
      <c r="A22" s="55" t="s">
        <v>1816</v>
      </c>
      <c r="B22" s="55" t="s">
        <v>1816</v>
      </c>
      <c r="F22" s="55" t="s">
        <v>1613</v>
      </c>
      <c r="G22" s="55" t="s">
        <v>1793</v>
      </c>
      <c r="H22" s="55" t="s">
        <v>81</v>
      </c>
      <c r="I22" s="56"/>
      <c r="J22" s="57" t="s">
        <v>1817</v>
      </c>
      <c r="K22" s="57" t="s">
        <v>1818</v>
      </c>
      <c r="L22" s="58" t="s">
        <v>1819</v>
      </c>
      <c r="M22" s="58" t="s">
        <v>1820</v>
      </c>
      <c r="N22" s="58" t="s">
        <v>1821</v>
      </c>
      <c r="O22" s="58" t="s">
        <v>1822</v>
      </c>
      <c r="P22" s="58" t="s">
        <v>1823</v>
      </c>
      <c r="Q22" s="58" t="s">
        <v>1824</v>
      </c>
      <c r="R22" s="58" t="s">
        <v>1825</v>
      </c>
      <c r="S22" s="58" t="s">
        <v>1826</v>
      </c>
      <c r="T22" s="58" t="s">
        <v>296</v>
      </c>
      <c r="U22" s="58" t="s">
        <v>1827</v>
      </c>
      <c r="V22" s="55" t="s">
        <v>200</v>
      </c>
      <c r="W22" s="55" t="s">
        <v>22</v>
      </c>
      <c r="X22" s="55">
        <v>0.0</v>
      </c>
      <c r="Y22" s="281" t="s">
        <v>83</v>
      </c>
      <c r="Z22" s="4" t="s">
        <v>203</v>
      </c>
      <c r="AA22" s="55" t="s">
        <v>1626</v>
      </c>
      <c r="AB22" s="55">
        <v>30.0</v>
      </c>
    </row>
    <row r="23">
      <c r="A23" s="55" t="s">
        <v>1828</v>
      </c>
      <c r="B23" s="55" t="s">
        <v>1828</v>
      </c>
      <c r="F23" s="55" t="s">
        <v>1613</v>
      </c>
      <c r="G23" s="55" t="s">
        <v>1793</v>
      </c>
      <c r="H23" s="55" t="s">
        <v>81</v>
      </c>
      <c r="I23" s="56"/>
      <c r="J23" s="57" t="s">
        <v>1829</v>
      </c>
      <c r="K23" s="57" t="s">
        <v>218</v>
      </c>
      <c r="L23" s="58" t="s">
        <v>1830</v>
      </c>
      <c r="M23" s="58" t="s">
        <v>1831</v>
      </c>
      <c r="N23" s="58" t="s">
        <v>1831</v>
      </c>
      <c r="O23" s="58" t="s">
        <v>379</v>
      </c>
      <c r="P23" s="58" t="s">
        <v>1832</v>
      </c>
      <c r="Q23" s="58" t="s">
        <v>1833</v>
      </c>
      <c r="R23" s="58" t="s">
        <v>1834</v>
      </c>
      <c r="S23" s="58" t="s">
        <v>1835</v>
      </c>
      <c r="T23" s="58" t="s">
        <v>1836</v>
      </c>
      <c r="U23" s="58" t="s">
        <v>1837</v>
      </c>
      <c r="V23" s="55" t="s">
        <v>200</v>
      </c>
      <c r="W23" s="55" t="s">
        <v>22</v>
      </c>
      <c r="X23" s="55">
        <v>0.0</v>
      </c>
      <c r="Y23" s="281" t="s">
        <v>84</v>
      </c>
      <c r="Z23" s="4" t="s">
        <v>203</v>
      </c>
      <c r="AA23" s="55" t="s">
        <v>1626</v>
      </c>
      <c r="AB23" s="55">
        <v>30.0</v>
      </c>
    </row>
    <row r="24">
      <c r="A24" s="55" t="s">
        <v>1838</v>
      </c>
      <c r="B24" s="55" t="s">
        <v>1838</v>
      </c>
      <c r="F24" s="55" t="s">
        <v>1613</v>
      </c>
      <c r="G24" s="55" t="s">
        <v>1793</v>
      </c>
      <c r="H24" s="55" t="s">
        <v>81</v>
      </c>
      <c r="I24" s="56"/>
      <c r="J24" s="57" t="s">
        <v>1839</v>
      </c>
      <c r="K24" s="57" t="s">
        <v>1840</v>
      </c>
      <c r="L24" s="58" t="s">
        <v>1841</v>
      </c>
      <c r="M24" s="58" t="s">
        <v>1842</v>
      </c>
      <c r="N24" s="58" t="s">
        <v>1842</v>
      </c>
      <c r="O24" s="58" t="s">
        <v>1843</v>
      </c>
      <c r="P24" s="58" t="s">
        <v>1844</v>
      </c>
      <c r="Q24" s="58" t="s">
        <v>1845</v>
      </c>
      <c r="R24" s="58" t="s">
        <v>1846</v>
      </c>
      <c r="S24" s="58" t="s">
        <v>1847</v>
      </c>
      <c r="T24" s="58" t="s">
        <v>1848</v>
      </c>
      <c r="U24" s="58" t="s">
        <v>1849</v>
      </c>
      <c r="V24" s="55" t="s">
        <v>200</v>
      </c>
      <c r="W24" s="55" t="s">
        <v>22</v>
      </c>
      <c r="X24" s="55">
        <v>0.0</v>
      </c>
      <c r="Y24" s="281" t="s">
        <v>85</v>
      </c>
      <c r="Z24" s="4" t="s">
        <v>203</v>
      </c>
      <c r="AA24" s="55" t="s">
        <v>1626</v>
      </c>
      <c r="AB24" s="55">
        <v>30.0</v>
      </c>
    </row>
    <row r="25">
      <c r="A25" s="55" t="s">
        <v>1850</v>
      </c>
      <c r="B25" s="55" t="s">
        <v>1850</v>
      </c>
      <c r="F25" s="55" t="s">
        <v>1613</v>
      </c>
      <c r="G25" s="55" t="s">
        <v>1793</v>
      </c>
      <c r="H25" s="55" t="s">
        <v>81</v>
      </c>
      <c r="I25" s="56"/>
      <c r="J25" s="57" t="s">
        <v>1851</v>
      </c>
      <c r="K25" s="57" t="s">
        <v>1852</v>
      </c>
      <c r="L25" s="58" t="s">
        <v>1853</v>
      </c>
      <c r="M25" s="58" t="s">
        <v>1854</v>
      </c>
      <c r="N25" s="58" t="s">
        <v>1854</v>
      </c>
      <c r="O25" s="58" t="s">
        <v>1855</v>
      </c>
      <c r="P25" s="58" t="s">
        <v>1856</v>
      </c>
      <c r="Q25" s="58" t="s">
        <v>1857</v>
      </c>
      <c r="R25" s="58" t="s">
        <v>1858</v>
      </c>
      <c r="S25" s="58" t="s">
        <v>1659</v>
      </c>
      <c r="T25" s="58" t="s">
        <v>1859</v>
      </c>
      <c r="U25" s="58" t="s">
        <v>1860</v>
      </c>
      <c r="V25" s="55" t="s">
        <v>200</v>
      </c>
      <c r="W25" s="55" t="s">
        <v>22</v>
      </c>
      <c r="X25" s="55">
        <v>0.0</v>
      </c>
      <c r="Y25" s="281" t="s">
        <v>86</v>
      </c>
      <c r="Z25" s="4" t="s">
        <v>203</v>
      </c>
      <c r="AA25" s="55" t="s">
        <v>1626</v>
      </c>
      <c r="AB25" s="55">
        <v>30.0</v>
      </c>
    </row>
    <row r="26">
      <c r="A26" s="55" t="s">
        <v>1861</v>
      </c>
      <c r="B26" s="55" t="s">
        <v>1861</v>
      </c>
      <c r="F26" s="55" t="s">
        <v>1613</v>
      </c>
      <c r="G26" s="55" t="s">
        <v>1793</v>
      </c>
      <c r="H26" s="55" t="s">
        <v>81</v>
      </c>
      <c r="I26" s="56"/>
      <c r="J26" s="57" t="s">
        <v>1862</v>
      </c>
      <c r="K26" s="57" t="s">
        <v>1863</v>
      </c>
      <c r="L26" s="58" t="s">
        <v>1864</v>
      </c>
      <c r="M26" s="58" t="s">
        <v>1865</v>
      </c>
      <c r="N26" s="58" t="s">
        <v>1865</v>
      </c>
      <c r="O26" s="58" t="s">
        <v>1866</v>
      </c>
      <c r="P26" s="58" t="s">
        <v>1671</v>
      </c>
      <c r="Q26" s="58" t="s">
        <v>1867</v>
      </c>
      <c r="R26" s="58" t="s">
        <v>1868</v>
      </c>
      <c r="S26" s="58" t="s">
        <v>1869</v>
      </c>
      <c r="T26" s="58" t="s">
        <v>1870</v>
      </c>
      <c r="U26" s="58" t="s">
        <v>1871</v>
      </c>
      <c r="V26" s="55" t="s">
        <v>200</v>
      </c>
      <c r="W26" s="55" t="s">
        <v>22</v>
      </c>
      <c r="X26" s="55">
        <v>0.0</v>
      </c>
      <c r="Y26" s="281" t="s">
        <v>87</v>
      </c>
      <c r="Z26" s="4" t="s">
        <v>203</v>
      </c>
      <c r="AA26" s="55" t="s">
        <v>1626</v>
      </c>
      <c r="AB26" s="55">
        <v>30.0</v>
      </c>
    </row>
    <row r="27">
      <c r="A27" s="55" t="s">
        <v>1872</v>
      </c>
      <c r="B27" s="55" t="s">
        <v>1872</v>
      </c>
      <c r="F27" s="55" t="s">
        <v>1613</v>
      </c>
      <c r="G27" s="55" t="s">
        <v>1793</v>
      </c>
      <c r="H27" s="55" t="s">
        <v>81</v>
      </c>
      <c r="I27" s="56"/>
      <c r="J27" s="57" t="s">
        <v>1873</v>
      </c>
      <c r="K27" s="57" t="s">
        <v>1873</v>
      </c>
      <c r="L27" s="58" t="s">
        <v>1874</v>
      </c>
      <c r="M27" s="58" t="s">
        <v>1875</v>
      </c>
      <c r="N27" s="58" t="s">
        <v>1876</v>
      </c>
      <c r="O27" s="58" t="s">
        <v>1877</v>
      </c>
      <c r="P27" s="58" t="s">
        <v>1878</v>
      </c>
      <c r="Q27" s="58" t="s">
        <v>1878</v>
      </c>
      <c r="R27" s="58" t="s">
        <v>1879</v>
      </c>
      <c r="S27" s="58" t="s">
        <v>1880</v>
      </c>
      <c r="T27" s="58" t="s">
        <v>1881</v>
      </c>
      <c r="U27" s="58" t="s">
        <v>1882</v>
      </c>
      <c r="V27" s="55" t="s">
        <v>200</v>
      </c>
      <c r="W27" s="55" t="s">
        <v>22</v>
      </c>
      <c r="X27" s="55">
        <v>0.0</v>
      </c>
      <c r="Y27" s="281" t="s">
        <v>88</v>
      </c>
      <c r="Z27" s="4" t="s">
        <v>203</v>
      </c>
      <c r="AA27" s="55" t="s">
        <v>1626</v>
      </c>
      <c r="AB27" s="55">
        <v>30.0</v>
      </c>
    </row>
    <row r="28">
      <c r="A28" s="55" t="s">
        <v>1883</v>
      </c>
      <c r="B28" s="55" t="s">
        <v>1883</v>
      </c>
      <c r="F28" s="55" t="s">
        <v>1613</v>
      </c>
      <c r="G28" s="55" t="s">
        <v>1793</v>
      </c>
      <c r="H28" s="55" t="s">
        <v>81</v>
      </c>
      <c r="I28" s="56"/>
      <c r="J28" s="57" t="s">
        <v>1884</v>
      </c>
      <c r="K28" s="57" t="s">
        <v>1885</v>
      </c>
      <c r="L28" s="57" t="s">
        <v>1886</v>
      </c>
      <c r="M28" s="58" t="s">
        <v>1887</v>
      </c>
      <c r="N28" s="58" t="s">
        <v>1888</v>
      </c>
      <c r="O28" s="58" t="s">
        <v>1889</v>
      </c>
      <c r="P28" s="58" t="s">
        <v>1890</v>
      </c>
      <c r="Q28" s="58" t="s">
        <v>1842</v>
      </c>
      <c r="R28" s="58" t="s">
        <v>1891</v>
      </c>
      <c r="S28" s="58" t="s">
        <v>1892</v>
      </c>
      <c r="T28" s="58" t="s">
        <v>1893</v>
      </c>
      <c r="U28" s="58" t="s">
        <v>1679</v>
      </c>
      <c r="V28" s="55" t="s">
        <v>200</v>
      </c>
      <c r="W28" s="55" t="s">
        <v>22</v>
      </c>
      <c r="X28" s="55">
        <v>0.0</v>
      </c>
      <c r="Y28" s="281" t="s">
        <v>89</v>
      </c>
      <c r="Z28" s="4" t="s">
        <v>203</v>
      </c>
      <c r="AA28" s="55" t="s">
        <v>1626</v>
      </c>
      <c r="AB28" s="55">
        <v>30.0</v>
      </c>
    </row>
    <row r="29">
      <c r="A29" s="55" t="s">
        <v>1894</v>
      </c>
      <c r="B29" s="55" t="s">
        <v>1894</v>
      </c>
      <c r="F29" s="55" t="s">
        <v>1613</v>
      </c>
      <c r="G29" s="55" t="s">
        <v>1793</v>
      </c>
      <c r="H29" s="55" t="s">
        <v>81</v>
      </c>
      <c r="I29" s="56"/>
      <c r="J29" s="57" t="s">
        <v>1895</v>
      </c>
      <c r="K29" s="57" t="s">
        <v>1896</v>
      </c>
      <c r="L29" s="57" t="s">
        <v>1897</v>
      </c>
      <c r="M29" s="58" t="s">
        <v>1898</v>
      </c>
      <c r="N29" s="58" t="s">
        <v>1899</v>
      </c>
      <c r="O29" s="58" t="s">
        <v>1900</v>
      </c>
      <c r="P29" s="58" t="s">
        <v>1901</v>
      </c>
      <c r="Q29" s="58" t="s">
        <v>1902</v>
      </c>
      <c r="R29" s="58" t="s">
        <v>1903</v>
      </c>
      <c r="S29" s="58" t="s">
        <v>1904</v>
      </c>
      <c r="T29" s="58" t="s">
        <v>1697</v>
      </c>
      <c r="U29" s="58" t="s">
        <v>1905</v>
      </c>
      <c r="V29" s="55" t="s">
        <v>200</v>
      </c>
      <c r="W29" s="55" t="s">
        <v>22</v>
      </c>
      <c r="X29" s="55">
        <v>0.0</v>
      </c>
      <c r="Y29" s="281" t="s">
        <v>90</v>
      </c>
      <c r="Z29" s="4" t="s">
        <v>203</v>
      </c>
      <c r="AA29" s="55" t="s">
        <v>1626</v>
      </c>
      <c r="AB29" s="55">
        <v>30.0</v>
      </c>
    </row>
    <row r="30">
      <c r="A30" s="55" t="s">
        <v>1906</v>
      </c>
      <c r="B30" s="55" t="s">
        <v>1906</v>
      </c>
      <c r="F30" s="55" t="s">
        <v>1613</v>
      </c>
      <c r="G30" s="55" t="s">
        <v>1793</v>
      </c>
      <c r="H30" s="55" t="s">
        <v>81</v>
      </c>
      <c r="I30" s="56"/>
      <c r="J30" s="57" t="s">
        <v>1907</v>
      </c>
      <c r="K30" s="57" t="s">
        <v>1908</v>
      </c>
      <c r="L30" s="57" t="s">
        <v>1909</v>
      </c>
      <c r="M30" s="58" t="s">
        <v>1910</v>
      </c>
      <c r="N30" s="58" t="s">
        <v>1911</v>
      </c>
      <c r="O30" s="58" t="s">
        <v>1912</v>
      </c>
      <c r="P30" s="58" t="s">
        <v>1913</v>
      </c>
      <c r="Q30" s="58" t="s">
        <v>1914</v>
      </c>
      <c r="R30" s="58" t="s">
        <v>1915</v>
      </c>
      <c r="S30" s="58" t="s">
        <v>1916</v>
      </c>
      <c r="T30" s="58" t="s">
        <v>1802</v>
      </c>
      <c r="U30" s="58" t="s">
        <v>1917</v>
      </c>
      <c r="V30" s="55" t="s">
        <v>200</v>
      </c>
      <c r="W30" s="55" t="s">
        <v>22</v>
      </c>
      <c r="X30" s="55">
        <v>0.0</v>
      </c>
      <c r="Y30" s="281" t="s">
        <v>91</v>
      </c>
      <c r="Z30" s="4" t="s">
        <v>203</v>
      </c>
      <c r="AA30" s="55" t="s">
        <v>1626</v>
      </c>
      <c r="AB30" s="55">
        <v>30.0</v>
      </c>
    </row>
    <row r="31">
      <c r="A31" s="55" t="s">
        <v>1918</v>
      </c>
      <c r="B31" s="55" t="s">
        <v>1918</v>
      </c>
      <c r="F31" s="55" t="s">
        <v>1613</v>
      </c>
      <c r="G31" s="55" t="s">
        <v>1793</v>
      </c>
      <c r="H31" s="55" t="s">
        <v>81</v>
      </c>
      <c r="I31" s="56"/>
      <c r="J31" s="57" t="s">
        <v>1919</v>
      </c>
      <c r="K31" s="57" t="s">
        <v>1920</v>
      </c>
      <c r="L31" s="57" t="s">
        <v>1921</v>
      </c>
      <c r="M31" s="58" t="s">
        <v>240</v>
      </c>
      <c r="N31" s="58" t="s">
        <v>240</v>
      </c>
      <c r="O31" s="58" t="s">
        <v>1922</v>
      </c>
      <c r="P31" s="58" t="s">
        <v>1923</v>
      </c>
      <c r="Q31" s="58" t="s">
        <v>1924</v>
      </c>
      <c r="R31" s="58" t="s">
        <v>1925</v>
      </c>
      <c r="S31" s="58" t="s">
        <v>1926</v>
      </c>
      <c r="T31" s="58" t="s">
        <v>1927</v>
      </c>
      <c r="U31" s="58" t="s">
        <v>1928</v>
      </c>
      <c r="V31" s="55" t="s">
        <v>1546</v>
      </c>
      <c r="W31" s="55" t="s">
        <v>28</v>
      </c>
      <c r="X31" s="55">
        <v>0.0</v>
      </c>
      <c r="Y31" s="281" t="s">
        <v>92</v>
      </c>
      <c r="Z31" s="4" t="s">
        <v>203</v>
      </c>
      <c r="AA31" s="55" t="s">
        <v>1626</v>
      </c>
      <c r="AB31" s="55">
        <v>30.0</v>
      </c>
    </row>
    <row r="32">
      <c r="A32" s="55" t="s">
        <v>1929</v>
      </c>
      <c r="B32" s="55" t="s">
        <v>1929</v>
      </c>
      <c r="F32" s="55" t="s">
        <v>1613</v>
      </c>
      <c r="G32" s="55" t="s">
        <v>1930</v>
      </c>
      <c r="H32" s="55" t="s">
        <v>94</v>
      </c>
      <c r="I32" s="56"/>
      <c r="J32" s="57" t="s">
        <v>1931</v>
      </c>
      <c r="K32" s="57" t="s">
        <v>1932</v>
      </c>
      <c r="L32" s="58" t="s">
        <v>1933</v>
      </c>
      <c r="M32" s="58" t="s">
        <v>1934</v>
      </c>
      <c r="N32" s="58" t="s">
        <v>1935</v>
      </c>
      <c r="O32" s="58" t="s">
        <v>1936</v>
      </c>
      <c r="P32" s="58" t="s">
        <v>392</v>
      </c>
      <c r="Q32" s="58" t="s">
        <v>1937</v>
      </c>
      <c r="R32" s="58" t="s">
        <v>1938</v>
      </c>
      <c r="S32" s="58" t="s">
        <v>1939</v>
      </c>
      <c r="T32" s="58" t="s">
        <v>1940</v>
      </c>
      <c r="U32" s="58" t="s">
        <v>1941</v>
      </c>
      <c r="V32" s="55" t="s">
        <v>200</v>
      </c>
      <c r="W32" s="55" t="s">
        <v>22</v>
      </c>
      <c r="X32" s="55">
        <v>0.0</v>
      </c>
      <c r="Y32" s="281" t="s">
        <v>93</v>
      </c>
      <c r="Z32" s="4" t="s">
        <v>203</v>
      </c>
      <c r="AA32" s="55" t="s">
        <v>1626</v>
      </c>
      <c r="AB32" s="55">
        <v>30.0</v>
      </c>
    </row>
    <row r="33">
      <c r="A33" s="55" t="s">
        <v>1942</v>
      </c>
      <c r="B33" s="55" t="s">
        <v>1942</v>
      </c>
      <c r="F33" s="55" t="s">
        <v>1613</v>
      </c>
      <c r="G33" s="55" t="s">
        <v>1930</v>
      </c>
      <c r="H33" s="55" t="s">
        <v>94</v>
      </c>
      <c r="I33" s="56"/>
      <c r="J33" s="57" t="s">
        <v>1943</v>
      </c>
      <c r="K33" s="57" t="s">
        <v>1944</v>
      </c>
      <c r="L33" s="57" t="s">
        <v>1945</v>
      </c>
      <c r="M33" s="58" t="s">
        <v>1946</v>
      </c>
      <c r="N33" s="58" t="s">
        <v>1947</v>
      </c>
      <c r="O33" s="58" t="s">
        <v>1948</v>
      </c>
      <c r="P33" s="58" t="s">
        <v>1949</v>
      </c>
      <c r="Q33" s="58" t="s">
        <v>315</v>
      </c>
      <c r="R33" s="58" t="s">
        <v>1950</v>
      </c>
      <c r="S33" s="58" t="s">
        <v>1831</v>
      </c>
      <c r="T33" s="58" t="s">
        <v>1951</v>
      </c>
      <c r="U33" s="58" t="s">
        <v>1952</v>
      </c>
      <c r="V33" s="55" t="s">
        <v>200</v>
      </c>
      <c r="W33" s="55" t="s">
        <v>22</v>
      </c>
      <c r="X33" s="55">
        <v>0.0</v>
      </c>
      <c r="Y33" s="281" t="s">
        <v>95</v>
      </c>
      <c r="Z33" s="4" t="s">
        <v>203</v>
      </c>
      <c r="AA33" s="55" t="s">
        <v>1626</v>
      </c>
      <c r="AB33" s="55">
        <v>30.0</v>
      </c>
    </row>
    <row r="34">
      <c r="A34" s="55" t="s">
        <v>1953</v>
      </c>
      <c r="B34" s="55" t="s">
        <v>1953</v>
      </c>
      <c r="F34" s="55" t="s">
        <v>1613</v>
      </c>
      <c r="G34" s="55" t="s">
        <v>1930</v>
      </c>
      <c r="H34" s="55" t="s">
        <v>94</v>
      </c>
      <c r="I34" s="56"/>
      <c r="J34" s="57" t="s">
        <v>1954</v>
      </c>
      <c r="K34" s="57" t="s">
        <v>1955</v>
      </c>
      <c r="L34" s="58" t="s">
        <v>1956</v>
      </c>
      <c r="M34" s="58" t="s">
        <v>1957</v>
      </c>
      <c r="N34" s="58" t="s">
        <v>1958</v>
      </c>
      <c r="O34" s="58" t="s">
        <v>1959</v>
      </c>
      <c r="P34" s="58" t="s">
        <v>1960</v>
      </c>
      <c r="Q34" s="58" t="s">
        <v>1961</v>
      </c>
      <c r="R34" s="58" t="s">
        <v>1962</v>
      </c>
      <c r="S34" s="58" t="s">
        <v>1646</v>
      </c>
      <c r="T34" s="58" t="s">
        <v>1963</v>
      </c>
      <c r="U34" s="58" t="s">
        <v>1964</v>
      </c>
      <c r="V34" s="55" t="s">
        <v>200</v>
      </c>
      <c r="W34" s="55" t="s">
        <v>22</v>
      </c>
      <c r="X34" s="55">
        <v>0.0</v>
      </c>
      <c r="Y34" s="281" t="s">
        <v>96</v>
      </c>
      <c r="Z34" s="4" t="s">
        <v>203</v>
      </c>
      <c r="AA34" s="55" t="s">
        <v>1626</v>
      </c>
      <c r="AB34" s="55">
        <v>30.0</v>
      </c>
    </row>
    <row r="35">
      <c r="A35" s="55" t="s">
        <v>1965</v>
      </c>
      <c r="B35" s="55" t="s">
        <v>1965</v>
      </c>
      <c r="F35" s="55" t="s">
        <v>1613</v>
      </c>
      <c r="G35" s="55" t="s">
        <v>1966</v>
      </c>
      <c r="H35" s="55" t="s">
        <v>98</v>
      </c>
      <c r="I35" s="56"/>
      <c r="J35" s="57" t="s">
        <v>1967</v>
      </c>
      <c r="K35" s="57" t="s">
        <v>1968</v>
      </c>
      <c r="L35" s="57" t="s">
        <v>1969</v>
      </c>
      <c r="M35" s="58" t="s">
        <v>1970</v>
      </c>
      <c r="N35" s="58" t="s">
        <v>1971</v>
      </c>
      <c r="O35" s="58" t="s">
        <v>1972</v>
      </c>
      <c r="P35" s="58" t="s">
        <v>1973</v>
      </c>
      <c r="Q35" s="58" t="s">
        <v>1974</v>
      </c>
      <c r="R35" s="58" t="s">
        <v>1975</v>
      </c>
      <c r="S35" s="58" t="s">
        <v>1802</v>
      </c>
      <c r="T35" s="58" t="s">
        <v>1976</v>
      </c>
      <c r="U35" s="58" t="s">
        <v>1880</v>
      </c>
      <c r="V35" s="55" t="s">
        <v>200</v>
      </c>
      <c r="W35" s="55" t="s">
        <v>22</v>
      </c>
      <c r="X35" s="55">
        <v>0.0</v>
      </c>
      <c r="Y35" s="281" t="s">
        <v>100</v>
      </c>
      <c r="Z35" s="4" t="s">
        <v>203</v>
      </c>
      <c r="AA35" s="55" t="s">
        <v>1626</v>
      </c>
      <c r="AB35" s="55">
        <v>30.0</v>
      </c>
    </row>
    <row r="36">
      <c r="A36" s="55" t="s">
        <v>1977</v>
      </c>
      <c r="B36" s="55" t="s">
        <v>1977</v>
      </c>
      <c r="F36" s="55" t="s">
        <v>1613</v>
      </c>
      <c r="G36" s="55" t="s">
        <v>1966</v>
      </c>
      <c r="H36" s="55" t="s">
        <v>98</v>
      </c>
      <c r="I36" s="56"/>
      <c r="J36" s="57" t="s">
        <v>1978</v>
      </c>
      <c r="K36" s="57" t="s">
        <v>1979</v>
      </c>
      <c r="L36" s="58" t="s">
        <v>1980</v>
      </c>
      <c r="M36" s="58" t="s">
        <v>1981</v>
      </c>
      <c r="N36" s="58" t="s">
        <v>1982</v>
      </c>
      <c r="O36" s="58" t="s">
        <v>1983</v>
      </c>
      <c r="P36" s="58" t="s">
        <v>1984</v>
      </c>
      <c r="Q36" s="58" t="s">
        <v>1985</v>
      </c>
      <c r="R36" s="58" t="s">
        <v>1986</v>
      </c>
      <c r="S36" s="58" t="s">
        <v>1987</v>
      </c>
      <c r="T36" s="58" t="s">
        <v>338</v>
      </c>
      <c r="U36" s="58" t="s">
        <v>1988</v>
      </c>
      <c r="V36" s="55" t="s">
        <v>200</v>
      </c>
      <c r="W36" s="55" t="s">
        <v>22</v>
      </c>
      <c r="X36" s="55">
        <v>0.0</v>
      </c>
      <c r="Y36" s="281" t="s">
        <v>101</v>
      </c>
      <c r="Z36" s="4" t="s">
        <v>203</v>
      </c>
      <c r="AA36" s="55" t="s">
        <v>1626</v>
      </c>
      <c r="AB36" s="55">
        <v>30.0</v>
      </c>
    </row>
    <row r="37">
      <c r="A37" s="55" t="s">
        <v>1989</v>
      </c>
      <c r="B37" s="55" t="s">
        <v>1989</v>
      </c>
      <c r="F37" s="55" t="s">
        <v>1613</v>
      </c>
      <c r="G37" s="55" t="s">
        <v>1966</v>
      </c>
      <c r="H37" s="55" t="s">
        <v>103</v>
      </c>
      <c r="I37" s="56"/>
      <c r="J37" s="57" t="s">
        <v>1990</v>
      </c>
      <c r="K37" s="57" t="s">
        <v>1990</v>
      </c>
      <c r="L37" s="58"/>
      <c r="M37" s="58" t="s">
        <v>1991</v>
      </c>
      <c r="N37" s="58" t="s">
        <v>1991</v>
      </c>
      <c r="O37" s="58"/>
      <c r="P37" s="57" t="s">
        <v>1992</v>
      </c>
      <c r="Q37" s="57" t="s">
        <v>1992</v>
      </c>
      <c r="R37" s="58"/>
      <c r="S37" s="57" t="s">
        <v>1993</v>
      </c>
      <c r="T37" s="57" t="s">
        <v>1993</v>
      </c>
      <c r="U37" s="58"/>
      <c r="V37" s="55" t="s">
        <v>1994</v>
      </c>
      <c r="W37" s="55" t="s">
        <v>34</v>
      </c>
      <c r="X37" s="55">
        <v>0.0</v>
      </c>
      <c r="Y37" s="281" t="s">
        <v>102</v>
      </c>
      <c r="Z37" s="4" t="s">
        <v>203</v>
      </c>
      <c r="AA37" s="55" t="s">
        <v>1626</v>
      </c>
      <c r="AB37" s="55">
        <v>30.0</v>
      </c>
    </row>
    <row r="38">
      <c r="A38" s="55" t="s">
        <v>1995</v>
      </c>
      <c r="B38" s="55" t="s">
        <v>1995</v>
      </c>
      <c r="F38" s="55" t="s">
        <v>1613</v>
      </c>
      <c r="G38" s="55" t="s">
        <v>1966</v>
      </c>
      <c r="H38" s="55" t="s">
        <v>103</v>
      </c>
      <c r="I38" s="56"/>
      <c r="J38" s="57" t="s">
        <v>1996</v>
      </c>
      <c r="K38" s="57" t="s">
        <v>1996</v>
      </c>
      <c r="L38" s="58"/>
      <c r="M38" s="58" t="s">
        <v>1997</v>
      </c>
      <c r="N38" s="58" t="s">
        <v>1997</v>
      </c>
      <c r="O38" s="58"/>
      <c r="P38" s="57" t="s">
        <v>1998</v>
      </c>
      <c r="Q38" s="57" t="s">
        <v>1998</v>
      </c>
      <c r="R38" s="58"/>
      <c r="S38" s="57" t="s">
        <v>1999</v>
      </c>
      <c r="T38" s="57" t="s">
        <v>1999</v>
      </c>
      <c r="U38" s="58"/>
      <c r="V38" s="55" t="s">
        <v>1994</v>
      </c>
      <c r="W38" s="55" t="s">
        <v>34</v>
      </c>
      <c r="X38" s="55">
        <v>0.0</v>
      </c>
      <c r="Y38" s="281" t="s">
        <v>104</v>
      </c>
      <c r="Z38" s="4" t="s">
        <v>203</v>
      </c>
      <c r="AA38" s="55" t="s">
        <v>1626</v>
      </c>
      <c r="AB38" s="55">
        <v>30.0</v>
      </c>
    </row>
    <row r="39">
      <c r="A39" s="55" t="s">
        <v>2000</v>
      </c>
      <c r="B39" s="55" t="s">
        <v>2000</v>
      </c>
      <c r="F39" s="55" t="s">
        <v>1613</v>
      </c>
      <c r="G39" s="55" t="s">
        <v>1966</v>
      </c>
      <c r="H39" s="55" t="s">
        <v>103</v>
      </c>
      <c r="I39" s="56"/>
      <c r="J39" s="57" t="s">
        <v>2001</v>
      </c>
      <c r="K39" s="57" t="s">
        <v>2001</v>
      </c>
      <c r="L39" s="58"/>
      <c r="M39" s="58" t="s">
        <v>2002</v>
      </c>
      <c r="N39" s="58" t="s">
        <v>2002</v>
      </c>
      <c r="O39" s="58"/>
      <c r="P39" s="57" t="s">
        <v>2003</v>
      </c>
      <c r="Q39" s="57" t="s">
        <v>2003</v>
      </c>
      <c r="R39" s="58"/>
      <c r="S39" s="57" t="s">
        <v>2004</v>
      </c>
      <c r="T39" s="57" t="s">
        <v>2004</v>
      </c>
      <c r="U39" s="58"/>
      <c r="V39" s="55" t="s">
        <v>1994</v>
      </c>
      <c r="W39" s="55" t="s">
        <v>34</v>
      </c>
      <c r="X39" s="55">
        <v>0.0</v>
      </c>
      <c r="Y39" s="281" t="s">
        <v>105</v>
      </c>
      <c r="Z39" s="4" t="s">
        <v>203</v>
      </c>
      <c r="AA39" s="55" t="s">
        <v>1626</v>
      </c>
      <c r="AB39" s="55">
        <v>30.0</v>
      </c>
    </row>
    <row r="40">
      <c r="A40" s="55" t="s">
        <v>2005</v>
      </c>
      <c r="B40" s="55" t="s">
        <v>2005</v>
      </c>
      <c r="F40" s="55" t="s">
        <v>1613</v>
      </c>
      <c r="G40" s="55" t="s">
        <v>1966</v>
      </c>
      <c r="H40" s="55" t="s">
        <v>103</v>
      </c>
      <c r="I40" s="56"/>
      <c r="J40" s="57" t="s">
        <v>1990</v>
      </c>
      <c r="K40" s="57" t="s">
        <v>1990</v>
      </c>
      <c r="L40" s="58"/>
      <c r="M40" s="58" t="s">
        <v>1991</v>
      </c>
      <c r="N40" s="58" t="s">
        <v>1991</v>
      </c>
      <c r="O40" s="58"/>
      <c r="P40" s="57" t="s">
        <v>2006</v>
      </c>
      <c r="Q40" s="57" t="s">
        <v>2006</v>
      </c>
      <c r="R40" s="58"/>
      <c r="S40" s="57" t="s">
        <v>2007</v>
      </c>
      <c r="T40" s="57" t="s">
        <v>2007</v>
      </c>
      <c r="U40" s="58"/>
      <c r="V40" s="55" t="s">
        <v>1994</v>
      </c>
      <c r="W40" s="55" t="s">
        <v>34</v>
      </c>
      <c r="X40" s="55">
        <v>0.0</v>
      </c>
      <c r="Y40" s="281" t="s">
        <v>106</v>
      </c>
      <c r="Z40" s="4" t="s">
        <v>203</v>
      </c>
      <c r="AA40" s="55" t="s">
        <v>1626</v>
      </c>
      <c r="AB40" s="55">
        <v>30.0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6.57"/>
    <col customWidth="1" min="2" max="2" width="69.14"/>
    <col customWidth="1" min="3" max="3" width="11.57"/>
    <col customWidth="1" min="4" max="4" width="7.57"/>
    <col customWidth="1" min="5" max="5" width="16.57"/>
    <col customWidth="1" min="6" max="6" width="20.29"/>
    <col customWidth="1" min="7" max="7" width="38.29"/>
    <col customWidth="1" min="8" max="8" width="46.57"/>
    <col customWidth="1" min="9" max="9" width="22.14"/>
    <col customWidth="1" min="10" max="10" width="36.86"/>
    <col customWidth="1" min="11" max="11" width="42.57"/>
    <col customWidth="1" min="12" max="12" width="40.43"/>
    <col customWidth="1" min="13" max="13" width="49.29"/>
    <col customWidth="1" min="14" max="14" width="54.86"/>
    <col customWidth="1" min="15" max="15" width="52.71"/>
    <col customWidth="1" min="16" max="16" width="43.71"/>
    <col customWidth="1" min="17" max="17" width="49.29"/>
    <col customWidth="1" min="18" max="18" width="47.14"/>
    <col customWidth="1" min="19" max="19" width="46.71"/>
    <col customWidth="1" min="20" max="20" width="52.29"/>
    <col customWidth="1" min="21" max="21" width="50.29"/>
    <col customWidth="1" min="22" max="22" width="39.14"/>
    <col customWidth="1" min="23" max="23" width="45.14"/>
    <col customWidth="1" min="24" max="24" width="43.14"/>
    <col customWidth="1" min="25" max="25" width="38.71"/>
    <col customWidth="1" min="26" max="26" width="25.71"/>
    <col customWidth="1" min="27" max="27" width="71.86"/>
    <col customWidth="1" min="28" max="28" width="23.14"/>
  </cols>
  <sheetData>
    <row r="1">
      <c r="A1" s="61" t="s">
        <v>19</v>
      </c>
      <c r="B1" s="61" t="s">
        <v>159</v>
      </c>
      <c r="C1" s="61" t="s">
        <v>160</v>
      </c>
      <c r="D1" s="61" t="s">
        <v>161</v>
      </c>
      <c r="E1" s="61" t="s">
        <v>162</v>
      </c>
      <c r="F1" s="61" t="s">
        <v>163</v>
      </c>
      <c r="G1" s="61" t="s">
        <v>164</v>
      </c>
      <c r="H1" s="62" t="s">
        <v>51</v>
      </c>
      <c r="I1" s="61" t="s">
        <v>166</v>
      </c>
      <c r="J1" s="61" t="s">
        <v>167</v>
      </c>
      <c r="K1" s="61" t="s">
        <v>168</v>
      </c>
      <c r="L1" s="61" t="s">
        <v>169</v>
      </c>
      <c r="M1" s="61" t="s">
        <v>170</v>
      </c>
      <c r="N1" s="61" t="s">
        <v>171</v>
      </c>
      <c r="O1" s="61" t="s">
        <v>172</v>
      </c>
      <c r="P1" s="61" t="s">
        <v>173</v>
      </c>
      <c r="Q1" s="61" t="s">
        <v>174</v>
      </c>
      <c r="R1" s="61" t="s">
        <v>175</v>
      </c>
      <c r="S1" s="61" t="s">
        <v>176</v>
      </c>
      <c r="T1" s="61" t="s">
        <v>177</v>
      </c>
      <c r="U1" s="61" t="s">
        <v>178</v>
      </c>
      <c r="V1" s="61" t="s">
        <v>179</v>
      </c>
      <c r="W1" s="61" t="s">
        <v>180</v>
      </c>
      <c r="X1" s="61" t="s">
        <v>181</v>
      </c>
      <c r="Y1" s="61" t="s">
        <v>182</v>
      </c>
      <c r="Z1" s="61" t="s">
        <v>183</v>
      </c>
      <c r="AA1" s="61" t="s">
        <v>184</v>
      </c>
      <c r="AB1" s="62" t="s">
        <v>52</v>
      </c>
    </row>
    <row r="2">
      <c r="A2" s="2" t="str">
        <f>'Gebäudetechnik Technique'!A11 &amp; " " &amp; 'Gebäudetechnik Technique'!B11 &amp; " (KBOB.2016)"</f>
        <v>31.001 Wärmeerzeuger, spez. Leistungsbedarf 10 W/m2 (KBOB.2016)</v>
      </c>
      <c r="B2" s="2" t="str">
        <f t="shared" ref="B2:B40" si="1">A2</f>
        <v>31.001 Wärmeerzeuger, spez. Leistungsbedarf 10 W/m2 (KBOB.2016)</v>
      </c>
      <c r="C2" s="2"/>
      <c r="D2" s="2"/>
      <c r="E2" s="2"/>
      <c r="F2" s="2" t="s">
        <v>1613</v>
      </c>
      <c r="G2" s="2" t="str">
        <f t="shared" ref="G2:G40" si="2">IF(LEFT(A2, 2)="31", "BUILDING_TECHNOLOGY_HEATING", IF(LEFT(A2, 2)="32", "BUILDING_TECHNOLOGY_VENTILATION", IF(LEFT(A2, 2)="33", "BUILDING_TECHNOLOGY_SANITARY", IF(LEFT(A2, 2)="34", "BUILDING_TECHNOLOGY_ELECTRICAL"))))</f>
        <v>BUILDING_TECHNOLOGY_HEATING</v>
      </c>
      <c r="H2" s="3" t="str">
        <f>VLOOKUP(LEFT(A2,6),MepClassificationAndLifecycle!A2:C68,2,false)</f>
        <v>heatGeneration</v>
      </c>
      <c r="I2" s="63"/>
      <c r="J2" s="64">
        <f>'Gebäudetechnik Technique'!G11</f>
        <v>1200</v>
      </c>
      <c r="K2" s="64">
        <f>'Gebäudetechnik Technique'!H11</f>
        <v>1190</v>
      </c>
      <c r="L2" s="64">
        <f>'Gebäudetechnik Technique'!I11</f>
        <v>10.6</v>
      </c>
      <c r="M2" s="64">
        <f>'Gebäudetechnik Technique'!M11</f>
        <v>0.236</v>
      </c>
      <c r="N2" s="64">
        <f>'Gebäudetechnik Technique'!N11</f>
        <v>0.236</v>
      </c>
      <c r="O2" s="64">
        <f>'Gebäudetechnik Technique'!O11</f>
        <v>0.000317</v>
      </c>
      <c r="P2" s="64">
        <f>'Gebäudetechnik Technique'!P11</f>
        <v>2.28</v>
      </c>
      <c r="Q2" s="64">
        <f>'Gebäudetechnik Technique'!Q11</f>
        <v>2.26</v>
      </c>
      <c r="R2" s="64">
        <f>'Gebäudetechnik Technique'!R11</f>
        <v>0.0181</v>
      </c>
      <c r="S2" s="64">
        <f>'Gebäudetechnik Technique'!S11</f>
        <v>0.512</v>
      </c>
      <c r="T2" s="64">
        <f>'Gebäudetechnik Technique'!T11</f>
        <v>0.501</v>
      </c>
      <c r="U2" s="64">
        <f>'Gebäudetechnik Technique'!U11</f>
        <v>0.0109</v>
      </c>
      <c r="V2" s="2" t="str">
        <f>'Gebäudetechnik Technique'!F11</f>
        <v>m2</v>
      </c>
      <c r="W2" s="2" t="str">
        <f>VLOOKUP('Gebäudetechnik Technique'!E11,RefDimensions!A$2:B$15,2,false)</f>
        <v>energyReferenceArea</v>
      </c>
      <c r="X2" s="68">
        <v>0.0</v>
      </c>
      <c r="Y2" s="282" t="str">
        <f>'Gebäudetechnik Technique'!A11</f>
        <v>31.001</v>
      </c>
      <c r="Z2" s="7" t="s">
        <v>203</v>
      </c>
      <c r="AA2" s="67" t="str">
        <f t="shared" ref="AA2:AA40" si="3">"Alle &gt; " &amp; SWITCH(F2, "COMPONENT","BAUTEILE", "OTHER_RESOURCE", "RESSOURCEN", "BUILDING_TECHNOLOGY", "GEBÄUDETECHNIK", "MATERIAL", "MATERIALIEN") &amp; " &gt; kbob.admin.ch &gt; KBOB / ecobau / IPB 2009/1:2016"</f>
        <v>Alle &gt; GEBÄUDETECHNIK &gt; kbob.admin.ch &gt; KBOB / ecobau / IPB 2009/1:2016</v>
      </c>
      <c r="AB2" s="283">
        <f>VLOOKUP(LEFT(A2,6),MepClassificationAndLifecycle!A2:C68,3,false)</f>
        <v>20</v>
      </c>
    </row>
    <row r="3">
      <c r="A3" s="2" t="str">
        <f>'Gebäudetechnik Technique'!A12 &amp; " " &amp; 'Gebäudetechnik Technique'!B12 &amp; " (KBOB.2016)"</f>
        <v>31.002 Wärmeerzeuger, spez. Leistungsbedarf 30 W/m2 (KBOB.2016)</v>
      </c>
      <c r="B3" s="2" t="str">
        <f t="shared" si="1"/>
        <v>31.002 Wärmeerzeuger, spez. Leistungsbedarf 30 W/m2 (KBOB.2016)</v>
      </c>
      <c r="C3" s="2"/>
      <c r="D3" s="2"/>
      <c r="E3" s="2"/>
      <c r="F3" s="2" t="s">
        <v>1613</v>
      </c>
      <c r="G3" s="2" t="str">
        <f t="shared" si="2"/>
        <v>BUILDING_TECHNOLOGY_HEATING</v>
      </c>
      <c r="H3" s="3" t="str">
        <f>VLOOKUP(LEFT(A3,6),MepClassificationAndLifecycle!A3:C69,2,false)</f>
        <v>heatGeneration</v>
      </c>
      <c r="I3" s="63"/>
      <c r="J3" s="64">
        <f>'Gebäudetechnik Technique'!G12</f>
        <v>3590</v>
      </c>
      <c r="K3" s="64">
        <f>'Gebäudetechnik Technique'!H12</f>
        <v>3560</v>
      </c>
      <c r="L3" s="64">
        <f>'Gebäudetechnik Technique'!I12</f>
        <v>31.8</v>
      </c>
      <c r="M3" s="64">
        <f>'Gebäudetechnik Technique'!M12</f>
        <v>0.708</v>
      </c>
      <c r="N3" s="64">
        <f>'Gebäudetechnik Technique'!N12</f>
        <v>0.707</v>
      </c>
      <c r="O3" s="64">
        <f>'Gebäudetechnik Technique'!O12</f>
        <v>0.000952</v>
      </c>
      <c r="P3" s="64">
        <f>'Gebäudetechnik Technique'!P12</f>
        <v>6.83</v>
      </c>
      <c r="Q3" s="64">
        <f>'Gebäudetechnik Technique'!Q12</f>
        <v>6.78</v>
      </c>
      <c r="R3" s="64">
        <f>'Gebäudetechnik Technique'!R12</f>
        <v>0.0544</v>
      </c>
      <c r="S3" s="64">
        <f>'Gebäudetechnik Technique'!S12</f>
        <v>1.53</v>
      </c>
      <c r="T3" s="64">
        <f>'Gebäudetechnik Technique'!T12</f>
        <v>1.5</v>
      </c>
      <c r="U3" s="64">
        <f>'Gebäudetechnik Technique'!U12</f>
        <v>0.0327</v>
      </c>
      <c r="V3" s="2" t="str">
        <f>'Gebäudetechnik Technique'!F12</f>
        <v>m2</v>
      </c>
      <c r="W3" s="2" t="str">
        <f>VLOOKUP('Gebäudetechnik Technique'!E12,RefDimensions!A$2:B$15,2,false)</f>
        <v>energyReferenceArea</v>
      </c>
      <c r="X3" s="68">
        <v>0.0</v>
      </c>
      <c r="Y3" s="282" t="str">
        <f>'Gebäudetechnik Technique'!A12</f>
        <v>31.002</v>
      </c>
      <c r="Z3" s="7" t="s">
        <v>203</v>
      </c>
      <c r="AA3" s="67" t="str">
        <f t="shared" si="3"/>
        <v>Alle &gt; GEBÄUDETECHNIK &gt; kbob.admin.ch &gt; KBOB / ecobau / IPB 2009/1:2016</v>
      </c>
      <c r="AB3" s="283">
        <f>VLOOKUP(LEFT(A3,6),MepClassificationAndLifecycle!A3:C69,3,false)</f>
        <v>20</v>
      </c>
    </row>
    <row r="4">
      <c r="A4" s="2" t="str">
        <f>'Gebäudetechnik Technique'!A13 &amp; " " &amp; 'Gebäudetechnik Technique'!B13 &amp; " (KBOB.2016)"</f>
        <v>31.003 Wärmeerzeuger, spez. Leistungsbedarf 50 W/m2 (KBOB.2016)</v>
      </c>
      <c r="B4" s="2" t="str">
        <f t="shared" si="1"/>
        <v>31.003 Wärmeerzeuger, spez. Leistungsbedarf 50 W/m2 (KBOB.2016)</v>
      </c>
      <c r="C4" s="2"/>
      <c r="D4" s="2"/>
      <c r="E4" s="2"/>
      <c r="F4" s="2" t="s">
        <v>1613</v>
      </c>
      <c r="G4" s="2" t="str">
        <f t="shared" si="2"/>
        <v>BUILDING_TECHNOLOGY_HEATING</v>
      </c>
      <c r="H4" s="3" t="str">
        <f>VLOOKUP(LEFT(A4,6),MepClassificationAndLifecycle!A4:C70,2,false)</f>
        <v>heatGeneration</v>
      </c>
      <c r="I4" s="63"/>
      <c r="J4" s="64">
        <f>'Gebäudetechnik Technique'!G13</f>
        <v>5990</v>
      </c>
      <c r="K4" s="64">
        <f>'Gebäudetechnik Technique'!H13</f>
        <v>5930</v>
      </c>
      <c r="L4" s="64">
        <f>'Gebäudetechnik Technique'!I13</f>
        <v>53</v>
      </c>
      <c r="M4" s="64">
        <f>'Gebäudetechnik Technique'!M13</f>
        <v>1.18</v>
      </c>
      <c r="N4" s="64">
        <f>'Gebäudetechnik Technique'!N13</f>
        <v>1.18</v>
      </c>
      <c r="O4" s="64">
        <f>'Gebäudetechnik Technique'!O13</f>
        <v>0.00159</v>
      </c>
      <c r="P4" s="64">
        <f>'Gebäudetechnik Technique'!P13</f>
        <v>11.4</v>
      </c>
      <c r="Q4" s="64">
        <f>'Gebäudetechnik Technique'!Q13</f>
        <v>11.3</v>
      </c>
      <c r="R4" s="64">
        <f>'Gebäudetechnik Technique'!R13</f>
        <v>0.0906</v>
      </c>
      <c r="S4" s="64">
        <f>'Gebäudetechnik Technique'!S13</f>
        <v>2.56</v>
      </c>
      <c r="T4" s="64">
        <f>'Gebäudetechnik Technique'!T13</f>
        <v>2.5</v>
      </c>
      <c r="U4" s="64">
        <f>'Gebäudetechnik Technique'!U13</f>
        <v>0.0545</v>
      </c>
      <c r="V4" s="2" t="str">
        <f>'Gebäudetechnik Technique'!F13</f>
        <v>m2</v>
      </c>
      <c r="W4" s="2" t="str">
        <f>VLOOKUP('Gebäudetechnik Technique'!E13,RefDimensions!A$2:B$15,2,false)</f>
        <v>energyReferenceArea</v>
      </c>
      <c r="X4" s="68">
        <v>0.0</v>
      </c>
      <c r="Y4" s="282" t="str">
        <f>'Gebäudetechnik Technique'!A13</f>
        <v>31.003</v>
      </c>
      <c r="Z4" s="7" t="s">
        <v>203</v>
      </c>
      <c r="AA4" s="67" t="str">
        <f t="shared" si="3"/>
        <v>Alle &gt; GEBÄUDETECHNIK &gt; kbob.admin.ch &gt; KBOB / ecobau / IPB 2009/1:2016</v>
      </c>
      <c r="AB4" s="283">
        <f>VLOOKUP(LEFT(A4,6),MepClassificationAndLifecycle!A4:C70,3,false)</f>
        <v>20</v>
      </c>
    </row>
    <row r="5">
      <c r="A5" s="2" t="str">
        <f>'Gebäudetechnik Technique'!A14 &amp; " " &amp; 'Gebäudetechnik Technique'!B14 &amp; " (KBOB.2016)"</f>
        <v>31.021 Wärmeverteilung Wohngebäude (KBOB.2016)</v>
      </c>
      <c r="B5" s="2" t="str">
        <f t="shared" si="1"/>
        <v>31.021 Wärmeverteilung Wohngebäude (KBOB.2016)</v>
      </c>
      <c r="C5" s="2"/>
      <c r="D5" s="2"/>
      <c r="E5" s="2"/>
      <c r="F5" s="2" t="s">
        <v>1613</v>
      </c>
      <c r="G5" s="2" t="str">
        <f t="shared" si="2"/>
        <v>BUILDING_TECHNOLOGY_HEATING</v>
      </c>
      <c r="H5" s="3" t="str">
        <f>VLOOKUP(LEFT(A5,6),MepClassificationAndLifecycle!A5:C71,2,false)</f>
        <v>heatDistribution</v>
      </c>
      <c r="I5" s="63"/>
      <c r="J5" s="64">
        <f>'Gebäudetechnik Technique'!G14</f>
        <v>5480</v>
      </c>
      <c r="K5" s="64">
        <f>'Gebäudetechnik Technique'!H14</f>
        <v>4670</v>
      </c>
      <c r="L5" s="64">
        <f>'Gebäudetechnik Technique'!I14</f>
        <v>807</v>
      </c>
      <c r="M5" s="64">
        <f>'Gebäudetechnik Technique'!M14</f>
        <v>1.51</v>
      </c>
      <c r="N5" s="64">
        <f>'Gebäudetechnik Technique'!N14</f>
        <v>1.14</v>
      </c>
      <c r="O5" s="64">
        <f>'Gebäudetechnik Technique'!O14</f>
        <v>0.37</v>
      </c>
      <c r="P5" s="64">
        <f>'Gebäudetechnik Technique'!P14</f>
        <v>14.3</v>
      </c>
      <c r="Q5" s="64">
        <f>'Gebäudetechnik Technique'!Q14</f>
        <v>12</v>
      </c>
      <c r="R5" s="64">
        <f>'Gebäudetechnik Technique'!R14</f>
        <v>2.33</v>
      </c>
      <c r="S5" s="64">
        <f>'Gebäudetechnik Technique'!S14</f>
        <v>3.07</v>
      </c>
      <c r="T5" s="64">
        <f>'Gebäudetechnik Technique'!T14</f>
        <v>2.39</v>
      </c>
      <c r="U5" s="64">
        <f>'Gebäudetechnik Technique'!U14</f>
        <v>0.674</v>
      </c>
      <c r="V5" s="2" t="str">
        <f>'Gebäudetechnik Technique'!F14</f>
        <v>m2</v>
      </c>
      <c r="W5" s="2" t="str">
        <f>VLOOKUP('Gebäudetechnik Technique'!E14,RefDimensions!A$2:B$15,2,false)</f>
        <v>energyReferenceArea</v>
      </c>
      <c r="X5" s="68">
        <v>0.0</v>
      </c>
      <c r="Y5" s="282" t="str">
        <f>'Gebäudetechnik Technique'!A14</f>
        <v>31.021</v>
      </c>
      <c r="Z5" s="7" t="s">
        <v>203</v>
      </c>
      <c r="AA5" s="67" t="str">
        <f t="shared" si="3"/>
        <v>Alle &gt; GEBÄUDETECHNIK &gt; kbob.admin.ch &gt; KBOB / ecobau / IPB 2009/1:2016</v>
      </c>
      <c r="AB5" s="283">
        <f>VLOOKUP(LEFT(A5,6),MepClassificationAndLifecycle!A5:C71,3,false)</f>
        <v>30</v>
      </c>
    </row>
    <row r="6">
      <c r="A6" s="2" t="str">
        <f>'Gebäudetechnik Technique'!A15 &amp; " " &amp; 'Gebäudetechnik Technique'!B15 &amp; " (KBOB.2016)"</f>
        <v>31.022 Wärmeverteilung Bürogebäude (KBOB.2016)</v>
      </c>
      <c r="B6" s="2" t="str">
        <f t="shared" si="1"/>
        <v>31.022 Wärmeverteilung Bürogebäude (KBOB.2016)</v>
      </c>
      <c r="C6" s="2"/>
      <c r="D6" s="2"/>
      <c r="E6" s="2"/>
      <c r="F6" s="2" t="s">
        <v>1613</v>
      </c>
      <c r="G6" s="2" t="str">
        <f t="shared" si="2"/>
        <v>BUILDING_TECHNOLOGY_HEATING</v>
      </c>
      <c r="H6" s="3" t="str">
        <f>VLOOKUP(LEFT(A6,6),MepClassificationAndLifecycle!A6:C72,2,false)</f>
        <v>heatDistribution</v>
      </c>
      <c r="I6" s="63"/>
      <c r="J6" s="64">
        <f>'Gebäudetechnik Technique'!G15</f>
        <v>15000</v>
      </c>
      <c r="K6" s="64">
        <f>'Gebäudetechnik Technique'!H15</f>
        <v>13900</v>
      </c>
      <c r="L6" s="64">
        <f>'Gebäudetechnik Technique'!I15</f>
        <v>1090</v>
      </c>
      <c r="M6" s="64">
        <f>'Gebäudetechnik Technique'!M15</f>
        <v>2.68</v>
      </c>
      <c r="N6" s="64">
        <f>'Gebäudetechnik Technique'!N15</f>
        <v>2.25</v>
      </c>
      <c r="O6" s="64">
        <f>'Gebäudetechnik Technique'!O15</f>
        <v>0.433</v>
      </c>
      <c r="P6" s="64">
        <f>'Gebäudetechnik Technique'!P15</f>
        <v>32.7</v>
      </c>
      <c r="Q6" s="64">
        <f>'Gebäudetechnik Technique'!Q15</f>
        <v>29.9</v>
      </c>
      <c r="R6" s="64">
        <f>'Gebäudetechnik Technique'!R15</f>
        <v>2.79</v>
      </c>
      <c r="S6" s="64">
        <f>'Gebäudetechnik Technique'!S15</f>
        <v>7.62</v>
      </c>
      <c r="T6" s="64">
        <f>'Gebäudetechnik Technique'!T15</f>
        <v>6.56</v>
      </c>
      <c r="U6" s="64">
        <f>'Gebäudetechnik Technique'!U15</f>
        <v>1.06</v>
      </c>
      <c r="V6" s="2" t="str">
        <f>'Gebäudetechnik Technique'!F15</f>
        <v>m2</v>
      </c>
      <c r="W6" s="2" t="str">
        <f>VLOOKUP('Gebäudetechnik Technique'!E15,RefDimensions!A$2:B$15,2,false)</f>
        <v>energyReferenceArea</v>
      </c>
      <c r="X6" s="68">
        <v>0.0</v>
      </c>
      <c r="Y6" s="282" t="str">
        <f>'Gebäudetechnik Technique'!A15</f>
        <v>31.022</v>
      </c>
      <c r="Z6" s="7" t="s">
        <v>203</v>
      </c>
      <c r="AA6" s="67" t="str">
        <f t="shared" si="3"/>
        <v>Alle &gt; GEBÄUDETECHNIK &gt; kbob.admin.ch &gt; KBOB / ecobau / IPB 2009/1:2016</v>
      </c>
      <c r="AB6" s="283">
        <f>VLOOKUP(LEFT(A6,6),MepClassificationAndLifecycle!A6:C72,3,false)</f>
        <v>30</v>
      </c>
    </row>
    <row r="7">
      <c r="A7" s="2" t="str">
        <f>'Gebäudetechnik Technique'!A16 &amp; " " &amp; 'Gebäudetechnik Technique'!B16 &amp; " (KBOB.2016)"</f>
        <v>31.023 Wärmeabgabe über Heizkörper (KBOB.2016)</v>
      </c>
      <c r="B7" s="2" t="str">
        <f t="shared" si="1"/>
        <v>31.023 Wärmeabgabe über Heizkörper (KBOB.2016)</v>
      </c>
      <c r="C7" s="2"/>
      <c r="D7" s="2"/>
      <c r="E7" s="2"/>
      <c r="F7" s="2" t="s">
        <v>1613</v>
      </c>
      <c r="G7" s="2" t="str">
        <f t="shared" si="2"/>
        <v>BUILDING_TECHNOLOGY_HEATING</v>
      </c>
      <c r="H7" s="3" t="str">
        <f>VLOOKUP(LEFT(A7,6),MepClassificationAndLifecycle!A7:C73,2,false)</f>
        <v>heatEmission</v>
      </c>
      <c r="I7" s="63"/>
      <c r="J7" s="64">
        <f>'Gebäudetechnik Technique'!G16</f>
        <v>10200</v>
      </c>
      <c r="K7" s="64">
        <f>'Gebäudetechnik Technique'!H16</f>
        <v>10200</v>
      </c>
      <c r="L7" s="64">
        <f>'Gebäudetechnik Technique'!I16</f>
        <v>17.9</v>
      </c>
      <c r="M7" s="64">
        <f>'Gebäudetechnik Technique'!M16</f>
        <v>1.63</v>
      </c>
      <c r="N7" s="64">
        <f>'Gebäudetechnik Technique'!N16</f>
        <v>1.62</v>
      </c>
      <c r="O7" s="64">
        <f>'Gebäudetechnik Technique'!O16</f>
        <v>0.00185</v>
      </c>
      <c r="P7" s="64">
        <f>'Gebäudetechnik Technique'!P16</f>
        <v>22.8</v>
      </c>
      <c r="Q7" s="64">
        <f>'Gebäudetechnik Technique'!Q16</f>
        <v>22.7</v>
      </c>
      <c r="R7" s="64">
        <f>'Gebäudetechnik Technique'!R16</f>
        <v>0.0352</v>
      </c>
      <c r="S7" s="64">
        <f>'Gebäudetechnik Technique'!S16</f>
        <v>5.46</v>
      </c>
      <c r="T7" s="64">
        <f>'Gebäudetechnik Technique'!T16</f>
        <v>5.44</v>
      </c>
      <c r="U7" s="64">
        <f>'Gebäudetechnik Technique'!U16</f>
        <v>0.0227</v>
      </c>
      <c r="V7" s="2" t="str">
        <f>'Gebäudetechnik Technique'!F16</f>
        <v>m2</v>
      </c>
      <c r="W7" s="2" t="str">
        <f>VLOOKUP('Gebäudetechnik Technique'!E16,RefDimensions!A$2:B$15,2,false)</f>
        <v>energyReferenceArea</v>
      </c>
      <c r="X7" s="68">
        <v>0.0</v>
      </c>
      <c r="Y7" s="282" t="str">
        <f>'Gebäudetechnik Technique'!A16</f>
        <v>31.023</v>
      </c>
      <c r="Z7" s="7" t="s">
        <v>203</v>
      </c>
      <c r="AA7" s="67" t="str">
        <f t="shared" si="3"/>
        <v>Alle &gt; GEBÄUDETECHNIK &gt; kbob.admin.ch &gt; KBOB / ecobau / IPB 2009/1:2016</v>
      </c>
      <c r="AB7" s="283">
        <f>VLOOKUP(LEFT(A7,6),MepClassificationAndLifecycle!A7:C73,3,false)</f>
        <v>30</v>
      </c>
    </row>
    <row r="8">
      <c r="A8" s="2" t="str">
        <f>'Gebäudetechnik Technique'!A17 &amp; " " &amp; 'Gebäudetechnik Technique'!B17 &amp; " (KBOB.2016)"</f>
        <v>31.024 Wärmeabgabe über Fussbodenheizung (KBOB.2016)</v>
      </c>
      <c r="B8" s="2" t="str">
        <f t="shared" si="1"/>
        <v>31.024 Wärmeabgabe über Fussbodenheizung (KBOB.2016)</v>
      </c>
      <c r="C8" s="2"/>
      <c r="D8" s="2"/>
      <c r="E8" s="2"/>
      <c r="F8" s="2" t="s">
        <v>1613</v>
      </c>
      <c r="G8" s="2" t="str">
        <f t="shared" si="2"/>
        <v>BUILDING_TECHNOLOGY_HEATING</v>
      </c>
      <c r="H8" s="3" t="str">
        <f>VLOOKUP(LEFT(A8,6),MepClassificationAndLifecycle!A8:C74,2,false)</f>
        <v>heatEmission</v>
      </c>
      <c r="I8" s="63"/>
      <c r="J8" s="64">
        <f>'Gebäudetechnik Technique'!G17</f>
        <v>4040</v>
      </c>
      <c r="K8" s="64">
        <f>'Gebäudetechnik Technique'!H17</f>
        <v>3040</v>
      </c>
      <c r="L8" s="64">
        <f>'Gebäudetechnik Technique'!I17</f>
        <v>997</v>
      </c>
      <c r="M8" s="64">
        <f>'Gebäudetechnik Technique'!M17</f>
        <v>1.48</v>
      </c>
      <c r="N8" s="64">
        <f>'Gebäudetechnik Technique'!N17</f>
        <v>1.48</v>
      </c>
      <c r="O8" s="64">
        <f>'Gebäudetechnik Technique'!O17</f>
        <v>0.00165</v>
      </c>
      <c r="P8" s="64">
        <f>'Gebäudetechnik Technique'!P17</f>
        <v>22.3</v>
      </c>
      <c r="Q8" s="64">
        <f>'Gebäudetechnik Technique'!Q17</f>
        <v>22.2</v>
      </c>
      <c r="R8" s="64">
        <f>'Gebäudetechnik Technique'!R17</f>
        <v>0.0917</v>
      </c>
      <c r="S8" s="64">
        <f>'Gebäudetechnik Technique'!S17</f>
        <v>5.06</v>
      </c>
      <c r="T8" s="64">
        <f>'Gebäudetechnik Technique'!T17</f>
        <v>3.02</v>
      </c>
      <c r="U8" s="64">
        <f>'Gebäudetechnik Technique'!U17</f>
        <v>2.04</v>
      </c>
      <c r="V8" s="2" t="str">
        <f>'Gebäudetechnik Technique'!F17</f>
        <v>m2</v>
      </c>
      <c r="W8" s="2" t="str">
        <f>VLOOKUP('Gebäudetechnik Technique'!E17,RefDimensions!A$2:B$15,2,false)</f>
        <v>energyReferenceArea</v>
      </c>
      <c r="X8" s="68">
        <v>0.0</v>
      </c>
      <c r="Y8" s="282" t="str">
        <f>'Gebäudetechnik Technique'!A17</f>
        <v>31.024</v>
      </c>
      <c r="Z8" s="7" t="s">
        <v>203</v>
      </c>
      <c r="AA8" s="67" t="str">
        <f t="shared" si="3"/>
        <v>Alle &gt; GEBÄUDETECHNIK &gt; kbob.admin.ch &gt; KBOB / ecobau / IPB 2009/1:2016</v>
      </c>
      <c r="AB8" s="283">
        <f>VLOOKUP(LEFT(A8,6),MepClassificationAndLifecycle!A8:C74,3,false)</f>
        <v>30</v>
      </c>
    </row>
    <row r="9">
      <c r="A9" s="2" t="str">
        <f>'Gebäudetechnik Technique'!A18 &amp; " " &amp; 'Gebäudetechnik Technique'!B18 &amp; " (KBOB.2016)"</f>
        <v>31.025 Wärmeabgabe über Heizkühldecke (ohne Gips- oder Metalldecke) (KBOB.2016)</v>
      </c>
      <c r="B9" s="2" t="str">
        <f t="shared" si="1"/>
        <v>31.025 Wärmeabgabe über Heizkühldecke (ohne Gips- oder Metalldecke) (KBOB.2016)</v>
      </c>
      <c r="C9" s="2"/>
      <c r="D9" s="2"/>
      <c r="E9" s="2"/>
      <c r="F9" s="2" t="s">
        <v>1613</v>
      </c>
      <c r="G9" s="2" t="str">
        <f t="shared" si="2"/>
        <v>BUILDING_TECHNOLOGY_HEATING</v>
      </c>
      <c r="H9" s="3" t="str">
        <f>VLOOKUP(LEFT(A9,6),MepClassificationAndLifecycle!A9:C75,2,false)</f>
        <v>heatEmission</v>
      </c>
      <c r="I9" s="63"/>
      <c r="J9" s="64">
        <f>'Gebäudetechnik Technique'!G18</f>
        <v>39400</v>
      </c>
      <c r="K9" s="64">
        <f>'Gebäudetechnik Technique'!H18</f>
        <v>39400</v>
      </c>
      <c r="L9" s="64">
        <f>'Gebäudetechnik Technique'!I18</f>
        <v>70.4</v>
      </c>
      <c r="M9" s="64">
        <f>'Gebäudetechnik Technique'!M18</f>
        <v>4.47</v>
      </c>
      <c r="N9" s="64">
        <f>'Gebäudetechnik Technique'!N18</f>
        <v>4.47</v>
      </c>
      <c r="O9" s="64">
        <f>'Gebäudetechnik Technique'!O18</f>
        <v>0.00159</v>
      </c>
      <c r="P9" s="64">
        <f>'Gebäudetechnik Technique'!P18</f>
        <v>26.4</v>
      </c>
      <c r="Q9" s="64">
        <f>'Gebäudetechnik Technique'!Q18</f>
        <v>26.3</v>
      </c>
      <c r="R9" s="64">
        <f>'Gebäudetechnik Technique'!R18</f>
        <v>0.0306</v>
      </c>
      <c r="S9" s="64">
        <f>'Gebäudetechnik Technique'!S18</f>
        <v>5.77</v>
      </c>
      <c r="T9" s="64">
        <f>'Gebäudetechnik Technique'!T18</f>
        <v>5.64</v>
      </c>
      <c r="U9" s="64">
        <f>'Gebäudetechnik Technique'!U18</f>
        <v>0.134</v>
      </c>
      <c r="V9" s="2" t="str">
        <f>'Gebäudetechnik Technique'!F18</f>
        <v>m2</v>
      </c>
      <c r="W9" s="2" t="str">
        <f>VLOOKUP('Gebäudetechnik Technique'!E18,RefDimensions!A$2:B$15,2,false)</f>
        <v>energyReferenceArea</v>
      </c>
      <c r="X9" s="68">
        <v>0.0</v>
      </c>
      <c r="Y9" s="282" t="str">
        <f>'Gebäudetechnik Technique'!A18</f>
        <v>31.025</v>
      </c>
      <c r="Z9" s="7" t="s">
        <v>203</v>
      </c>
      <c r="AA9" s="67" t="str">
        <f t="shared" si="3"/>
        <v>Alle &gt; GEBÄUDETECHNIK &gt; kbob.admin.ch &gt; KBOB / ecobau / IPB 2009/1:2016</v>
      </c>
      <c r="AB9" s="283">
        <f>VLOOKUP(LEFT(A9,6),MepClassificationAndLifecycle!A9:C75,3,false)</f>
        <v>30</v>
      </c>
    </row>
    <row r="10">
      <c r="A10" s="2" t="str">
        <f>'Gebäudetechnik Technique'!A19 &amp; " " &amp; 'Gebäudetechnik Technique'!B19 &amp; " (KBOB.2016)"</f>
        <v>31.015 Wärmeverteilung und Abgabe, Luftheizung (KBOB.2016)</v>
      </c>
      <c r="B10" s="2" t="str">
        <f t="shared" si="1"/>
        <v>31.015 Wärmeverteilung und Abgabe, Luftheizung (KBOB.2016)</v>
      </c>
      <c r="C10" s="2"/>
      <c r="D10" s="2"/>
      <c r="E10" s="2"/>
      <c r="F10" s="2" t="s">
        <v>1613</v>
      </c>
      <c r="G10" s="2" t="str">
        <f t="shared" si="2"/>
        <v>BUILDING_TECHNOLOGY_HEATING</v>
      </c>
      <c r="H10" s="3" t="str">
        <f>VLOOKUP(LEFT(A10,6),MepClassificationAndLifecycle!A10:C76,2,false)</f>
        <v>heatDistribution</v>
      </c>
      <c r="I10" s="63"/>
      <c r="J10" s="64">
        <f>'Gebäudetechnik Technique'!G19</f>
        <v>2940</v>
      </c>
      <c r="K10" s="64">
        <f>'Gebäudetechnik Technique'!H19</f>
        <v>2910</v>
      </c>
      <c r="L10" s="64">
        <f>'Gebäudetechnik Technique'!I19</f>
        <v>33.6</v>
      </c>
      <c r="M10" s="64">
        <f>'Gebäudetechnik Technique'!M19</f>
        <v>0.325</v>
      </c>
      <c r="N10" s="64">
        <f>'Gebäudetechnik Technique'!N19</f>
        <v>0.325</v>
      </c>
      <c r="O10" s="64">
        <f>'Gebäudetechnik Technique'!O19</f>
        <v>0.000083</v>
      </c>
      <c r="P10" s="64">
        <f>'Gebäudetechnik Technique'!P19</f>
        <v>7.96</v>
      </c>
      <c r="Q10" s="64">
        <f>'Gebäudetechnik Technique'!Q19</f>
        <v>7.95</v>
      </c>
      <c r="R10" s="64">
        <f>'Gebäudetechnik Technique'!R19</f>
        <v>0.00648</v>
      </c>
      <c r="S10" s="64">
        <f>'Gebäudetechnik Technique'!S19</f>
        <v>1.7</v>
      </c>
      <c r="T10" s="64">
        <f>'Gebäudetechnik Technique'!T19</f>
        <v>1.63</v>
      </c>
      <c r="U10" s="64">
        <f>'Gebäudetechnik Technique'!U19</f>
        <v>0.0672</v>
      </c>
      <c r="V10" s="2" t="str">
        <f>'Gebäudetechnik Technique'!F19</f>
        <v>m2</v>
      </c>
      <c r="W10" s="2" t="str">
        <f>VLOOKUP('Gebäudetechnik Technique'!E19,RefDimensions!A$2:B$15,2,false)</f>
        <v>energyReferenceArea</v>
      </c>
      <c r="X10" s="68">
        <v>0.0</v>
      </c>
      <c r="Y10" s="282" t="str">
        <f>'Gebäudetechnik Technique'!A19</f>
        <v>31.015</v>
      </c>
      <c r="Z10" s="7" t="s">
        <v>203</v>
      </c>
      <c r="AA10" s="67" t="str">
        <f t="shared" si="3"/>
        <v>Alle &gt; GEBÄUDETECHNIK &gt; kbob.admin.ch &gt; KBOB / ecobau / IPB 2009/1:2016</v>
      </c>
      <c r="AB10" s="283">
        <f>VLOOKUP(LEFT(A10,6),MepClassificationAndLifecycle!A10:C76,3,false)</f>
        <v>30</v>
      </c>
    </row>
    <row r="11">
      <c r="A11" s="2" t="str">
        <f>'Gebäudetechnik Technique'!A20 &amp; " " &amp; 'Gebäudetechnik Technique'!B20 &amp; " (KBOB.2016)"</f>
        <v>31.016 Erdsonden, für Sole-Wasser-Wärmepumpe (KBOB.2016)</v>
      </c>
      <c r="B11" s="2" t="str">
        <f t="shared" si="1"/>
        <v>31.016 Erdsonden, für Sole-Wasser-Wärmepumpe (KBOB.2016)</v>
      </c>
      <c r="C11" s="2"/>
      <c r="D11" s="2"/>
      <c r="E11" s="2"/>
      <c r="F11" s="2" t="s">
        <v>1613</v>
      </c>
      <c r="G11" s="2" t="str">
        <f t="shared" si="2"/>
        <v>BUILDING_TECHNOLOGY_HEATING</v>
      </c>
      <c r="H11" s="3" t="str">
        <f>VLOOKUP(LEFT(A11,6),MepClassificationAndLifecycle!A11:C77,2,false)</f>
        <v>geothermalProbe</v>
      </c>
      <c r="I11" s="63"/>
      <c r="J11" s="64">
        <f>'Gebäudetechnik Technique'!G20</f>
        <v>34600</v>
      </c>
      <c r="K11" s="64">
        <f>'Gebäudetechnik Technique'!H20</f>
        <v>30500</v>
      </c>
      <c r="L11" s="64">
        <f>'Gebäudetechnik Technique'!I20</f>
        <v>4100</v>
      </c>
      <c r="M11" s="64">
        <f>'Gebäudetechnik Technique'!M20</f>
        <v>2.87</v>
      </c>
      <c r="N11" s="64">
        <f>'Gebäudetechnik Technique'!N20</f>
        <v>2.61</v>
      </c>
      <c r="O11" s="64">
        <f>'Gebäudetechnik Technique'!O20</f>
        <v>0.255</v>
      </c>
      <c r="P11" s="64">
        <f>'Gebäudetechnik Technique'!P20</f>
        <v>130</v>
      </c>
      <c r="Q11" s="64">
        <f>'Gebäudetechnik Technique'!Q20</f>
        <v>129</v>
      </c>
      <c r="R11" s="64">
        <f>'Gebäudetechnik Technique'!R20</f>
        <v>1.48</v>
      </c>
      <c r="S11" s="64">
        <f>'Gebäudetechnik Technique'!S20</f>
        <v>28.1</v>
      </c>
      <c r="T11" s="64">
        <f>'Gebäudetechnik Technique'!T20</f>
        <v>25.3</v>
      </c>
      <c r="U11" s="64">
        <f>'Gebäudetechnik Technique'!U20</f>
        <v>2.73</v>
      </c>
      <c r="V11" s="2" t="str">
        <f>'Gebäudetechnik Technique'!F20</f>
        <v>m</v>
      </c>
      <c r="W11" s="2" t="str">
        <f>VLOOKUP('Gebäudetechnik Technique'!E20,RefDimensions!A$2:B$15,2,false)</f>
        <v>probeLength</v>
      </c>
      <c r="X11" s="68">
        <v>0.0</v>
      </c>
      <c r="Y11" s="282" t="str">
        <f>'Gebäudetechnik Technique'!A20</f>
        <v>31.016</v>
      </c>
      <c r="Z11" s="7" t="s">
        <v>203</v>
      </c>
      <c r="AA11" s="67" t="str">
        <f t="shared" si="3"/>
        <v>Alle &gt; GEBÄUDETECHNIK &gt; kbob.admin.ch &gt; KBOB / ecobau / IPB 2009/1:2016</v>
      </c>
      <c r="AB11" s="283">
        <f>VLOOKUP(LEFT(A11,6),MepClassificationAndLifecycle!A11:C77,3,false)</f>
        <v>40</v>
      </c>
    </row>
    <row r="12">
      <c r="A12" s="2" t="str">
        <f>'Gebäudetechnik Technique'!A21 &amp; " " &amp; 'Gebäudetechnik Technique'!B21 &amp; " (KBOB.2016)"</f>
        <v>31.017 Sole-Wasser Wärmepumpe 8 kW (KBOB.2016)</v>
      </c>
      <c r="B12" s="2" t="str">
        <f t="shared" si="1"/>
        <v>31.017 Sole-Wasser Wärmepumpe 8 kW (KBOB.2016)</v>
      </c>
      <c r="C12" s="2"/>
      <c r="D12" s="2"/>
      <c r="E12" s="2"/>
      <c r="F12" s="2" t="s">
        <v>1613</v>
      </c>
      <c r="G12" s="2" t="str">
        <f t="shared" si="2"/>
        <v>BUILDING_TECHNOLOGY_HEATING</v>
      </c>
      <c r="H12" s="3" t="str">
        <f>VLOOKUP(LEFT(A12,6),MepClassificationAndLifecycle!A12:C78,2,false)</f>
        <v>heatGeneration</v>
      </c>
      <c r="I12" s="63"/>
      <c r="J12" s="64">
        <f>'Gebäudetechnik Technique'!G21</f>
        <v>4220000</v>
      </c>
      <c r="K12" s="64">
        <f>'Gebäudetechnik Technique'!H21</f>
        <v>3860000</v>
      </c>
      <c r="L12" s="64">
        <f>'Gebäudetechnik Technique'!I21</f>
        <v>367000</v>
      </c>
      <c r="M12" s="64">
        <f>'Gebäudetechnik Technique'!M21</f>
        <v>506</v>
      </c>
      <c r="N12" s="64">
        <f>'Gebäudetechnik Technique'!N21</f>
        <v>503</v>
      </c>
      <c r="O12" s="64">
        <f>'Gebäudetechnik Technique'!O21</f>
        <v>3.82</v>
      </c>
      <c r="P12" s="64">
        <f>'Gebäudetechnik Technique'!P21</f>
        <v>5520</v>
      </c>
      <c r="Q12" s="64">
        <f>'Gebäudetechnik Technique'!Q21</f>
        <v>5480</v>
      </c>
      <c r="R12" s="64">
        <f>'Gebäudetechnik Technique'!R21</f>
        <v>45.2</v>
      </c>
      <c r="S12" s="64">
        <f>'Gebäudetechnik Technique'!S21</f>
        <v>2180</v>
      </c>
      <c r="T12" s="64">
        <f>'Gebäudetechnik Technique'!T21</f>
        <v>1470</v>
      </c>
      <c r="U12" s="64">
        <f>'Gebäudetechnik Technique'!U21</f>
        <v>706</v>
      </c>
      <c r="V12" s="2" t="str">
        <f>'Gebäudetechnik Technique'!F21</f>
        <v>Stk.</v>
      </c>
      <c r="W12" s="2" t="str">
        <f>VLOOKUP('Gebäudetechnik Technique'!E21,RefDimensions!A$2:B$15,2,false)</f>
        <v>device</v>
      </c>
      <c r="X12" s="68">
        <v>0.0</v>
      </c>
      <c r="Y12" s="282" t="str">
        <f>'Gebäudetechnik Technique'!A21</f>
        <v>31.017</v>
      </c>
      <c r="Z12" s="7" t="s">
        <v>203</v>
      </c>
      <c r="AA12" s="67" t="str">
        <f t="shared" si="3"/>
        <v>Alle &gt; GEBÄUDETECHNIK &gt; kbob.admin.ch &gt; KBOB / ecobau / IPB 2009/1:2016</v>
      </c>
      <c r="AB12" s="283">
        <f>VLOOKUP(LEFT(A12,6),MepClassificationAndLifecycle!A12:C78,3,false)</f>
        <v>20</v>
      </c>
    </row>
    <row r="13">
      <c r="A13" s="2" t="str">
        <f>'Gebäudetechnik Technique'!A22 &amp; " " &amp; 'Gebäudetechnik Technique'!B22 &amp; " (KBOB.2016)"</f>
        <v>31.018 Sole-Wasser Wärmepumpe 8 kW (KBOB.2016)</v>
      </c>
      <c r="B13" s="2" t="str">
        <f t="shared" si="1"/>
        <v>31.018 Sole-Wasser Wärmepumpe 8 kW (KBOB.2016)</v>
      </c>
      <c r="C13" s="2"/>
      <c r="D13" s="2"/>
      <c r="E13" s="2"/>
      <c r="F13" s="2" t="s">
        <v>1613</v>
      </c>
      <c r="G13" s="2" t="str">
        <f t="shared" si="2"/>
        <v>BUILDING_TECHNOLOGY_HEATING</v>
      </c>
      <c r="H13" s="3" t="str">
        <f>VLOOKUP(LEFT(A13,6),MepClassificationAndLifecycle!A13:C79,2,false)</f>
        <v>heatGeneration</v>
      </c>
      <c r="I13" s="63"/>
      <c r="J13" s="64">
        <f>'Gebäudetechnik Technique'!G22</f>
        <v>22500</v>
      </c>
      <c r="K13" s="64">
        <f>'Gebäudetechnik Technique'!H22</f>
        <v>20600</v>
      </c>
      <c r="L13" s="64">
        <f>'Gebäudetechnik Technique'!I22</f>
        <v>1960</v>
      </c>
      <c r="M13" s="64">
        <f>'Gebäudetechnik Technique'!M22</f>
        <v>2.7</v>
      </c>
      <c r="N13" s="64">
        <f>'Gebäudetechnik Technique'!N22</f>
        <v>2.68</v>
      </c>
      <c r="O13" s="64">
        <f>'Gebäudetechnik Technique'!O22</f>
        <v>0.0204</v>
      </c>
      <c r="P13" s="64">
        <f>'Gebäudetechnik Technique'!P22</f>
        <v>29.5</v>
      </c>
      <c r="Q13" s="64">
        <f>'Gebäudetechnik Technique'!Q22</f>
        <v>29.2</v>
      </c>
      <c r="R13" s="64">
        <f>'Gebäudetechnik Technique'!R22</f>
        <v>0.241</v>
      </c>
      <c r="S13" s="64">
        <f>'Gebäudetechnik Technique'!S22</f>
        <v>11.6</v>
      </c>
      <c r="T13" s="64">
        <f>'Gebäudetechnik Technique'!T22</f>
        <v>7.86</v>
      </c>
      <c r="U13" s="64">
        <f>'Gebäudetechnik Technique'!U22</f>
        <v>3.77</v>
      </c>
      <c r="V13" s="2" t="str">
        <f>'Gebäudetechnik Technique'!F22</f>
        <v>kg</v>
      </c>
      <c r="W13" s="2" t="str">
        <f>VLOOKUP('Gebäudetechnik Technique'!E22,RefDimensions!A$2:B$15,2,false)</f>
        <v>mass</v>
      </c>
      <c r="X13" s="68">
        <v>0.0</v>
      </c>
      <c r="Y13" s="282" t="str">
        <f>'Gebäudetechnik Technique'!A22</f>
        <v>31.018</v>
      </c>
      <c r="Z13" s="7" t="s">
        <v>203</v>
      </c>
      <c r="AA13" s="67" t="str">
        <f t="shared" si="3"/>
        <v>Alle &gt; GEBÄUDETECHNIK &gt; kbob.admin.ch &gt; KBOB / ecobau / IPB 2009/1:2016</v>
      </c>
      <c r="AB13" s="283">
        <f>VLOOKUP(LEFT(A13,6),MepClassificationAndLifecycle!A13:C79,3,false)</f>
        <v>20</v>
      </c>
    </row>
    <row r="14">
      <c r="A14" s="2" t="str">
        <f>'Gebäudetechnik Technique'!A23 &amp; " " &amp; 'Gebäudetechnik Technique'!B23 &amp; " (KBOB.2016)"</f>
        <v>31.019 Luft-Wasser Wärmepumpe 8 kW (KBOB.2016)</v>
      </c>
      <c r="B14" s="2" t="str">
        <f t="shared" si="1"/>
        <v>31.019 Luft-Wasser Wärmepumpe 8 kW (KBOB.2016)</v>
      </c>
      <c r="C14" s="2"/>
      <c r="D14" s="2"/>
      <c r="E14" s="2"/>
      <c r="F14" s="2" t="s">
        <v>1613</v>
      </c>
      <c r="G14" s="2" t="str">
        <f t="shared" si="2"/>
        <v>BUILDING_TECHNOLOGY_HEATING</v>
      </c>
      <c r="H14" s="3" t="str">
        <f>VLOOKUP(LEFT(A14,6),MepClassificationAndLifecycle!A14:C80,2,false)</f>
        <v>heatGeneration</v>
      </c>
      <c r="I14" s="63"/>
      <c r="J14" s="64">
        <f>'Gebäudetechnik Technique'!G23</f>
        <v>5460000</v>
      </c>
      <c r="K14" s="64">
        <f>'Gebäudetechnik Technique'!H23</f>
        <v>4910000</v>
      </c>
      <c r="L14" s="64">
        <f>'Gebäudetechnik Technique'!I23</f>
        <v>546000</v>
      </c>
      <c r="M14" s="64">
        <f>'Gebäudetechnik Technique'!M23</f>
        <v>641</v>
      </c>
      <c r="N14" s="64">
        <f>'Gebäudetechnik Technique'!N23</f>
        <v>636</v>
      </c>
      <c r="O14" s="64">
        <f>'Gebäudetechnik Technique'!O23</f>
        <v>5.01</v>
      </c>
      <c r="P14" s="64">
        <f>'Gebäudetechnik Technique'!P23</f>
        <v>6460</v>
      </c>
      <c r="Q14" s="64">
        <f>'Gebäudetechnik Technique'!Q23</f>
        <v>6400</v>
      </c>
      <c r="R14" s="64">
        <f>'Gebäudetechnik Technique'!R23</f>
        <v>60.2</v>
      </c>
      <c r="S14" s="64">
        <f>'Gebäudetechnik Technique'!S23</f>
        <v>2910</v>
      </c>
      <c r="T14" s="64">
        <f>'Gebäudetechnik Technique'!T23</f>
        <v>1860</v>
      </c>
      <c r="U14" s="64">
        <f>'Gebäudetechnik Technique'!U23</f>
        <v>1050</v>
      </c>
      <c r="V14" s="2" t="str">
        <f>'Gebäudetechnik Technique'!F23</f>
        <v>Stk.</v>
      </c>
      <c r="W14" s="2" t="str">
        <f>VLOOKUP('Gebäudetechnik Technique'!E23,RefDimensions!A$2:B$15,2,false)</f>
        <v>device</v>
      </c>
      <c r="X14" s="68">
        <v>0.0</v>
      </c>
      <c r="Y14" s="282" t="str">
        <f>'Gebäudetechnik Technique'!A23</f>
        <v>31.019</v>
      </c>
      <c r="Z14" s="7" t="s">
        <v>203</v>
      </c>
      <c r="AA14" s="67" t="str">
        <f t="shared" si="3"/>
        <v>Alle &gt; GEBÄUDETECHNIK &gt; kbob.admin.ch &gt; KBOB / ecobau / IPB 2009/1:2016</v>
      </c>
      <c r="AB14" s="283">
        <f>VLOOKUP(LEFT(A14,6),MepClassificationAndLifecycle!A14:C80,3,false)</f>
        <v>20</v>
      </c>
    </row>
    <row r="15">
      <c r="A15" s="2" t="str">
        <f>'Gebäudetechnik Technique'!A24 &amp; " " &amp; 'Gebäudetechnik Technique'!B24 &amp; " (KBOB.2016)"</f>
        <v>31.020 Luft-Wasser Wärmepumpe 8 kW (KBOB.2016)</v>
      </c>
      <c r="B15" s="2" t="str">
        <f t="shared" si="1"/>
        <v>31.020 Luft-Wasser Wärmepumpe 8 kW (KBOB.2016)</v>
      </c>
      <c r="C15" s="2"/>
      <c r="D15" s="2"/>
      <c r="E15" s="2"/>
      <c r="F15" s="2" t="s">
        <v>1613</v>
      </c>
      <c r="G15" s="2" t="str">
        <f t="shared" si="2"/>
        <v>BUILDING_TECHNOLOGY_HEATING</v>
      </c>
      <c r="H15" s="3" t="str">
        <f>VLOOKUP(LEFT(A15,6),MepClassificationAndLifecycle!A15:C81,2,false)</f>
        <v>heatGeneration</v>
      </c>
      <c r="I15" s="63"/>
      <c r="J15" s="64">
        <f>'Gebäudetechnik Technique'!G24</f>
        <v>22400</v>
      </c>
      <c r="K15" s="64">
        <f>'Gebäudetechnik Technique'!H24</f>
        <v>20200</v>
      </c>
      <c r="L15" s="64">
        <f>'Gebäudetechnik Technique'!I24</f>
        <v>2240</v>
      </c>
      <c r="M15" s="64">
        <f>'Gebäudetechnik Technique'!M24</f>
        <v>2.63</v>
      </c>
      <c r="N15" s="64">
        <f>'Gebäudetechnik Technique'!N24</f>
        <v>2.61</v>
      </c>
      <c r="O15" s="64">
        <f>'Gebäudetechnik Technique'!O24</f>
        <v>0.0206</v>
      </c>
      <c r="P15" s="64">
        <f>'Gebäudetechnik Technique'!P24</f>
        <v>26.5</v>
      </c>
      <c r="Q15" s="64">
        <f>'Gebäudetechnik Technique'!Q24</f>
        <v>26.2</v>
      </c>
      <c r="R15" s="64">
        <f>'Gebäudetechnik Technique'!R24</f>
        <v>0.248</v>
      </c>
      <c r="S15" s="64">
        <f>'Gebäudetechnik Technique'!S24</f>
        <v>12</v>
      </c>
      <c r="T15" s="64">
        <f>'Gebäudetechnik Technique'!T24</f>
        <v>7.62</v>
      </c>
      <c r="U15" s="64">
        <f>'Gebäudetechnik Technique'!U24</f>
        <v>4.33</v>
      </c>
      <c r="V15" s="2" t="str">
        <f>'Gebäudetechnik Technique'!F24</f>
        <v>kg</v>
      </c>
      <c r="W15" s="2" t="str">
        <f>VLOOKUP('Gebäudetechnik Technique'!E24,RefDimensions!A$2:B$15,2,false)</f>
        <v>mass</v>
      </c>
      <c r="X15" s="68">
        <v>0.0</v>
      </c>
      <c r="Y15" s="282" t="str">
        <f>'Gebäudetechnik Technique'!A24</f>
        <v>31.020</v>
      </c>
      <c r="Z15" s="7" t="s">
        <v>203</v>
      </c>
      <c r="AA15" s="67" t="str">
        <f t="shared" si="3"/>
        <v>Alle &gt; GEBÄUDETECHNIK &gt; kbob.admin.ch &gt; KBOB / ecobau / IPB 2009/1:2016</v>
      </c>
      <c r="AB15" s="283">
        <f>VLOOKUP(LEFT(A15,6),MepClassificationAndLifecycle!A15:C81,3,false)</f>
        <v>20</v>
      </c>
    </row>
    <row r="16">
      <c r="A16" s="2" t="str">
        <f>'Gebäudetechnik Technique'!A25 &amp; " " &amp; 'Gebäudetechnik Technique'!B25 &amp; " (KBOB.2016)"</f>
        <v>31.007 Flachkollektor für Warmwasser EFH (KBOB.2016)</v>
      </c>
      <c r="B16" s="2" t="str">
        <f t="shared" si="1"/>
        <v>31.007 Flachkollektor für Warmwasser EFH (KBOB.2016)</v>
      </c>
      <c r="C16" s="2"/>
      <c r="D16" s="2"/>
      <c r="E16" s="2"/>
      <c r="F16" s="2" t="s">
        <v>1613</v>
      </c>
      <c r="G16" s="2" t="str">
        <f t="shared" si="2"/>
        <v>BUILDING_TECHNOLOGY_HEATING</v>
      </c>
      <c r="H16" s="3" t="str">
        <f>VLOOKUP(LEFT(A16,6),MepClassificationAndLifecycle!A16:C82,2,false)</f>
        <v>heatGeneration</v>
      </c>
      <c r="I16" s="63"/>
      <c r="J16" s="64">
        <f>'Gebäudetechnik Technique'!G25</f>
        <v>676000</v>
      </c>
      <c r="K16" s="64">
        <f>'Gebäudetechnik Technique'!H25</f>
        <v>676000</v>
      </c>
      <c r="L16" s="64"/>
      <c r="M16" s="64">
        <f>'Gebäudetechnik Technique'!M25</f>
        <v>142</v>
      </c>
      <c r="N16" s="64">
        <f>'Gebäudetechnik Technique'!N25</f>
        <v>142</v>
      </c>
      <c r="O16" s="64"/>
      <c r="P16" s="64">
        <f>'Gebäudetechnik Technique'!P25</f>
        <v>1140</v>
      </c>
      <c r="Q16" s="64">
        <f>'Gebäudetechnik Technique'!Q25</f>
        <v>1140</v>
      </c>
      <c r="R16" s="64"/>
      <c r="S16" s="64">
        <f>'Gebäudetechnik Technique'!S25</f>
        <v>256</v>
      </c>
      <c r="T16" s="64">
        <f>'Gebäudetechnik Technique'!T25</f>
        <v>256</v>
      </c>
      <c r="U16" s="64"/>
      <c r="V16" s="2" t="str">
        <f>'Gebäudetechnik Technique'!F25</f>
        <v>m2</v>
      </c>
      <c r="W16" s="2" t="str">
        <f>VLOOKUP('Gebäudetechnik Technique'!E25,RefDimensions!A$2:B$15,2,false)</f>
        <v>collectorArea</v>
      </c>
      <c r="X16" s="68">
        <v>0.0</v>
      </c>
      <c r="Y16" s="282" t="str">
        <f>'Gebäudetechnik Technique'!A25</f>
        <v>31.007</v>
      </c>
      <c r="Z16" s="7" t="s">
        <v>203</v>
      </c>
      <c r="AA16" s="67" t="str">
        <f t="shared" si="3"/>
        <v>Alle &gt; GEBÄUDETECHNIK &gt; kbob.admin.ch &gt; KBOB / ecobau / IPB 2009/1:2016</v>
      </c>
      <c r="AB16" s="283">
        <f>VLOOKUP(LEFT(A16,6),MepClassificationAndLifecycle!A16:C82,3,false)</f>
        <v>30</v>
      </c>
    </row>
    <row r="17">
      <c r="A17" s="2" t="str">
        <f>'Gebäudetechnik Technique'!A26 &amp; " " &amp; 'Gebäudetechnik Technique'!B26 &amp; " (KBOB.2016)"</f>
        <v>31.008 Flachkollektor für Raumheizung und Warmwasser EFH (KBOB.2016)</v>
      </c>
      <c r="B17" s="2" t="str">
        <f t="shared" si="1"/>
        <v>31.008 Flachkollektor für Raumheizung und Warmwasser EFH (KBOB.2016)</v>
      </c>
      <c r="C17" s="2"/>
      <c r="D17" s="2"/>
      <c r="E17" s="2"/>
      <c r="F17" s="2" t="s">
        <v>1613</v>
      </c>
      <c r="G17" s="2" t="str">
        <f t="shared" si="2"/>
        <v>BUILDING_TECHNOLOGY_HEATING</v>
      </c>
      <c r="H17" s="3" t="str">
        <f>VLOOKUP(LEFT(A17,6),MepClassificationAndLifecycle!A17:C83,2,false)</f>
        <v>heatGeneration</v>
      </c>
      <c r="I17" s="63"/>
      <c r="J17" s="64">
        <f>'Gebäudetechnik Technique'!G26</f>
        <v>452000</v>
      </c>
      <c r="K17" s="64">
        <f>'Gebäudetechnik Technique'!H26</f>
        <v>452000</v>
      </c>
      <c r="L17" s="64"/>
      <c r="M17" s="64">
        <f>'Gebäudetechnik Technique'!M26</f>
        <v>102</v>
      </c>
      <c r="N17" s="64">
        <f>'Gebäudetechnik Technique'!N26</f>
        <v>102</v>
      </c>
      <c r="O17" s="64"/>
      <c r="P17" s="64">
        <f>'Gebäudetechnik Technique'!P26</f>
        <v>824</v>
      </c>
      <c r="Q17" s="64">
        <f>'Gebäudetechnik Technique'!Q26</f>
        <v>824</v>
      </c>
      <c r="R17" s="64"/>
      <c r="S17" s="64">
        <f>'Gebäudetechnik Technique'!S26</f>
        <v>184</v>
      </c>
      <c r="T17" s="64">
        <f>'Gebäudetechnik Technique'!T26</f>
        <v>184</v>
      </c>
      <c r="U17" s="64"/>
      <c r="V17" s="2" t="str">
        <f>'Gebäudetechnik Technique'!F26</f>
        <v>m2</v>
      </c>
      <c r="W17" s="2" t="str">
        <f>VLOOKUP('Gebäudetechnik Technique'!E26,RefDimensions!A$2:B$15,2,false)</f>
        <v>collectorArea</v>
      </c>
      <c r="X17" s="68">
        <v>0.0</v>
      </c>
      <c r="Y17" s="282" t="str">
        <f>'Gebäudetechnik Technique'!A26</f>
        <v>31.008</v>
      </c>
      <c r="Z17" s="7" t="s">
        <v>203</v>
      </c>
      <c r="AA17" s="67" t="str">
        <f t="shared" si="3"/>
        <v>Alle &gt; GEBÄUDETECHNIK &gt; kbob.admin.ch &gt; KBOB / ecobau / IPB 2009/1:2016</v>
      </c>
      <c r="AB17" s="283">
        <f>VLOOKUP(LEFT(A17,6),MepClassificationAndLifecycle!A17:C83,3,false)</f>
        <v>30</v>
      </c>
    </row>
    <row r="18">
      <c r="A18" s="2" t="str">
        <f>'Gebäudetechnik Technique'!A27 &amp; " " &amp; 'Gebäudetechnik Technique'!B27 &amp; " (KBOB.2016)"</f>
        <v>31.009 Flachkollektor für Warmwasser MFH (KBOB.2016)</v>
      </c>
      <c r="B18" s="2" t="str">
        <f t="shared" si="1"/>
        <v>31.009 Flachkollektor für Warmwasser MFH (KBOB.2016)</v>
      </c>
      <c r="C18" s="2"/>
      <c r="D18" s="2"/>
      <c r="E18" s="2"/>
      <c r="F18" s="2" t="s">
        <v>1613</v>
      </c>
      <c r="G18" s="2" t="str">
        <f t="shared" si="2"/>
        <v>BUILDING_TECHNOLOGY_HEATING</v>
      </c>
      <c r="H18" s="3" t="str">
        <f>VLOOKUP(LEFT(A18,6),MepClassificationAndLifecycle!A18:C84,2,false)</f>
        <v>heatGeneration</v>
      </c>
      <c r="I18" s="63"/>
      <c r="J18" s="64">
        <f>'Gebäudetechnik Technique'!G27</f>
        <v>394000</v>
      </c>
      <c r="K18" s="64">
        <f>'Gebäudetechnik Technique'!H27</f>
        <v>394000</v>
      </c>
      <c r="L18" s="64"/>
      <c r="M18" s="64">
        <f>'Gebäudetechnik Technique'!M27</f>
        <v>79</v>
      </c>
      <c r="N18" s="64">
        <f>'Gebäudetechnik Technique'!N27</f>
        <v>79</v>
      </c>
      <c r="O18" s="64"/>
      <c r="P18" s="64">
        <f>'Gebäudetechnik Technique'!P27</f>
        <v>695</v>
      </c>
      <c r="Q18" s="64">
        <f>'Gebäudetechnik Technique'!Q27</f>
        <v>695</v>
      </c>
      <c r="R18" s="64"/>
      <c r="S18" s="64">
        <f>'Gebäudetechnik Technique'!S27</f>
        <v>155</v>
      </c>
      <c r="T18" s="64">
        <f>'Gebäudetechnik Technique'!T27</f>
        <v>155</v>
      </c>
      <c r="U18" s="64"/>
      <c r="V18" s="2" t="str">
        <f>'Gebäudetechnik Technique'!F27</f>
        <v>m2</v>
      </c>
      <c r="W18" s="2" t="str">
        <f>VLOOKUP('Gebäudetechnik Technique'!E27,RefDimensions!A$2:B$15,2,false)</f>
        <v>collectorArea</v>
      </c>
      <c r="X18" s="68">
        <v>0.0</v>
      </c>
      <c r="Y18" s="282" t="str">
        <f>'Gebäudetechnik Technique'!A27</f>
        <v>31.009</v>
      </c>
      <c r="Z18" s="7" t="s">
        <v>203</v>
      </c>
      <c r="AA18" s="67" t="str">
        <f t="shared" si="3"/>
        <v>Alle &gt; GEBÄUDETECHNIK &gt; kbob.admin.ch &gt; KBOB / ecobau / IPB 2009/1:2016</v>
      </c>
      <c r="AB18" s="283">
        <f>VLOOKUP(LEFT(A18,6),MepClassificationAndLifecycle!A18:C84,3,false)</f>
        <v>30</v>
      </c>
    </row>
    <row r="19">
      <c r="A19" s="10" t="str">
        <f>'Gebäudetechnik Technique'!A28 &amp; " " &amp; 'Gebäudetechnik Technique'!B28 &amp; " (KBOB.2016)"</f>
        <v>31.010 Röhrenkollektor für Raumheizung und Warmwasser EFH (KBOB.2016)</v>
      </c>
      <c r="B19" s="10" t="str">
        <f t="shared" si="1"/>
        <v>31.010 Röhrenkollektor für Raumheizung und Warmwasser EFH (KBOB.2016)</v>
      </c>
      <c r="C19" s="10"/>
      <c r="D19" s="10"/>
      <c r="E19" s="10"/>
      <c r="F19" s="10" t="s">
        <v>1613</v>
      </c>
      <c r="G19" s="10" t="str">
        <f t="shared" si="2"/>
        <v>BUILDING_TECHNOLOGY_HEATING</v>
      </c>
      <c r="H19" s="3" t="str">
        <f>VLOOKUP(LEFT(A19,6),MepClassificationAndLifecycle!A19:C85,2,false)</f>
        <v>heatGeneration</v>
      </c>
      <c r="I19" s="284"/>
      <c r="J19" s="285">
        <f>'Gebäudetechnik Technique'!G28</f>
        <v>465000</v>
      </c>
      <c r="K19" s="285">
        <f>'Gebäudetechnik Technique'!H28</f>
        <v>465000</v>
      </c>
      <c r="L19" s="285"/>
      <c r="M19" s="285">
        <f>'Gebäudetechnik Technique'!M28</f>
        <v>101</v>
      </c>
      <c r="N19" s="64">
        <f>'Gebäudetechnik Technique'!N28</f>
        <v>101</v>
      </c>
      <c r="O19" s="64"/>
      <c r="P19" s="285">
        <f>'Gebäudetechnik Technique'!P28</f>
        <v>924</v>
      </c>
      <c r="Q19" s="285">
        <f>'Gebäudetechnik Technique'!Q28</f>
        <v>924</v>
      </c>
      <c r="R19" s="285"/>
      <c r="S19" s="285">
        <f>'Gebäudetechnik Technique'!S28</f>
        <v>208</v>
      </c>
      <c r="T19" s="285">
        <f>'Gebäudetechnik Technique'!T28</f>
        <v>208</v>
      </c>
      <c r="U19" s="285"/>
      <c r="V19" s="10" t="str">
        <f>'Gebäudetechnik Technique'!F28</f>
        <v>m2</v>
      </c>
      <c r="W19" s="10" t="str">
        <f>VLOOKUP('Gebäudetechnik Technique'!E28,RefDimensions!A$2:B$15,2,false)</f>
        <v>collectorArea</v>
      </c>
      <c r="X19" s="286">
        <v>0.0</v>
      </c>
      <c r="Y19" s="287" t="str">
        <f>'Gebäudetechnik Technique'!A28</f>
        <v>31.010</v>
      </c>
      <c r="Z19" s="11" t="s">
        <v>203</v>
      </c>
      <c r="AA19" s="288" t="str">
        <f t="shared" si="3"/>
        <v>Alle &gt; GEBÄUDETECHNIK &gt; kbob.admin.ch &gt; KBOB / ecobau / IPB 2009/1:2016</v>
      </c>
      <c r="AB19" s="283">
        <f>VLOOKUP(LEFT(A19,6),MepClassificationAndLifecycle!A19:C85,3,false)</f>
        <v>30</v>
      </c>
    </row>
    <row r="20">
      <c r="A20" s="2" t="str">
        <f>'Gebäudetechnik Technique'!A30 &amp; " " &amp; 'Gebäudetechnik Technique'!B30 &amp; " (KBOB.2016)"</f>
        <v>32.011 Lüftungsanlage, spez. Luftmenge 1 m3/hm2 EBF (KBOB.2016)</v>
      </c>
      <c r="B20" s="2" t="str">
        <f t="shared" si="1"/>
        <v>32.011 Lüftungsanlage, spez. Luftmenge 1 m3/hm2 EBF (KBOB.2016)</v>
      </c>
      <c r="C20" s="2"/>
      <c r="D20" s="2"/>
      <c r="E20" s="2"/>
      <c r="F20" s="2" t="s">
        <v>1613</v>
      </c>
      <c r="G20" s="2" t="str">
        <f t="shared" si="2"/>
        <v>BUILDING_TECHNOLOGY_VENTILATION</v>
      </c>
      <c r="H20" s="3" t="str">
        <f>VLOOKUP(LEFT(A20,6),MepClassificationAndLifecycle!A20:C86,2,false)</f>
        <v>ventilation</v>
      </c>
      <c r="I20" s="63"/>
      <c r="J20" s="64">
        <f>'Gebäudetechnik Technique'!G30</f>
        <v>31700</v>
      </c>
      <c r="K20" s="64">
        <f>'Gebäudetechnik Technique'!H30</f>
        <v>31400</v>
      </c>
      <c r="L20" s="64">
        <f>'Gebäudetechnik Technique'!I30</f>
        <v>222</v>
      </c>
      <c r="M20" s="64">
        <f>'Gebäudetechnik Technique'!M30</f>
        <v>4.35</v>
      </c>
      <c r="N20" s="64">
        <f>'Gebäudetechnik Technique'!N30</f>
        <v>4.35</v>
      </c>
      <c r="O20" s="64">
        <f>'Gebäudetechnik Technique'!O30</f>
        <v>0.00695</v>
      </c>
      <c r="P20" s="64">
        <f>'Gebäudetechnik Technique'!P30</f>
        <v>54.5</v>
      </c>
      <c r="Q20" s="64">
        <f>'Gebäudetechnik Technique'!Q30</f>
        <v>54.3</v>
      </c>
      <c r="R20" s="64">
        <f>'Gebäudetechnik Technique'!R30</f>
        <v>0.208</v>
      </c>
      <c r="S20" s="64">
        <f>'Gebäudetechnik Technique'!S30</f>
        <v>12.7</v>
      </c>
      <c r="T20" s="64">
        <f>'Gebäudetechnik Technique'!T30</f>
        <v>12.3</v>
      </c>
      <c r="U20" s="64">
        <f>'Gebäudetechnik Technique'!U30</f>
        <v>0.345</v>
      </c>
      <c r="V20" s="2" t="str">
        <f>'Gebäudetechnik Technique'!F30</f>
        <v>m2</v>
      </c>
      <c r="W20" s="2" t="str">
        <f>VLOOKUP('Gebäudetechnik Technique'!E30,RefDimensions!A$2:B$15,2,false)</f>
        <v>energyReferenceArea</v>
      </c>
      <c r="X20" s="68">
        <v>0.0</v>
      </c>
      <c r="Y20" s="282" t="str">
        <f>'Gebäudetechnik Technique'!A30</f>
        <v>32.011</v>
      </c>
      <c r="Z20" s="7" t="s">
        <v>203</v>
      </c>
      <c r="AA20" s="67" t="str">
        <f t="shared" si="3"/>
        <v>Alle &gt; GEBÄUDETECHNIK &gt; kbob.admin.ch &gt; KBOB / ecobau / IPB 2009/1:2016</v>
      </c>
      <c r="AB20" s="283">
        <f>VLOOKUP(LEFT(A20,6),MepClassificationAndLifecycle!A20:C86,3,false)</f>
        <v>30</v>
      </c>
    </row>
    <row r="21">
      <c r="A21" s="2" t="str">
        <f>'Gebäudetechnik Technique'!A31 &amp; " " &amp; 'Gebäudetechnik Technique'!B31 &amp; " (KBOB.2016)"</f>
        <v>32.005 Lüftungsanlage, spez. Luftmenge 2 m3/hm2 EBF (KBOB.2016)</v>
      </c>
      <c r="B21" s="2" t="str">
        <f t="shared" si="1"/>
        <v>32.005 Lüftungsanlage, spez. Luftmenge 2 m3/hm2 EBF (KBOB.2016)</v>
      </c>
      <c r="C21" s="2"/>
      <c r="D21" s="2"/>
      <c r="E21" s="2"/>
      <c r="F21" s="2" t="s">
        <v>1613</v>
      </c>
      <c r="G21" s="2" t="str">
        <f t="shared" si="2"/>
        <v>BUILDING_TECHNOLOGY_VENTILATION</v>
      </c>
      <c r="H21" s="3" t="str">
        <f>VLOOKUP(LEFT(A21,6),MepClassificationAndLifecycle!A21:C87,2,false)</f>
        <v>ventilation</v>
      </c>
      <c r="I21" s="63"/>
      <c r="J21" s="64">
        <f>'Gebäudetechnik Technique'!G31</f>
        <v>42700</v>
      </c>
      <c r="K21" s="64">
        <f>'Gebäudetechnik Technique'!H31</f>
        <v>42400</v>
      </c>
      <c r="L21" s="64">
        <f>'Gebäudetechnik Technique'!I31</f>
        <v>311</v>
      </c>
      <c r="M21" s="64">
        <f>'Gebäudetechnik Technique'!M31</f>
        <v>5.85</v>
      </c>
      <c r="N21" s="64">
        <f>'Gebäudetechnik Technique'!N31</f>
        <v>5.84</v>
      </c>
      <c r="O21" s="64">
        <f>'Gebäudetechnik Technique'!O31</f>
        <v>0.00947</v>
      </c>
      <c r="P21" s="64">
        <f>'Gebäudetechnik Technique'!P31</f>
        <v>73.6</v>
      </c>
      <c r="Q21" s="64">
        <f>'Gebäudetechnik Technique'!Q31</f>
        <v>73.3</v>
      </c>
      <c r="R21" s="64">
        <f>'Gebäudetechnik Technique'!R31</f>
        <v>0.287</v>
      </c>
      <c r="S21" s="64">
        <f>'Gebäudetechnik Technique'!S31</f>
        <v>17.1</v>
      </c>
      <c r="T21" s="64">
        <f>'Gebäudetechnik Technique'!T31</f>
        <v>16.6</v>
      </c>
      <c r="U21" s="64">
        <f>'Gebäudetechnik Technique'!U31</f>
        <v>0.485</v>
      </c>
      <c r="V21" s="2" t="str">
        <f>'Gebäudetechnik Technique'!F31</f>
        <v>m2</v>
      </c>
      <c r="W21" s="2" t="str">
        <f>VLOOKUP('Gebäudetechnik Technique'!E31,RefDimensions!A$2:B$15,2,false)</f>
        <v>energyReferenceArea</v>
      </c>
      <c r="X21" s="68">
        <v>0.0</v>
      </c>
      <c r="Y21" s="282" t="str">
        <f>'Gebäudetechnik Technique'!A31</f>
        <v>32.005</v>
      </c>
      <c r="Z21" s="7" t="s">
        <v>203</v>
      </c>
      <c r="AA21" s="67" t="str">
        <f t="shared" si="3"/>
        <v>Alle &gt; GEBÄUDETECHNIK &gt; kbob.admin.ch &gt; KBOB / ecobau / IPB 2009/1:2016</v>
      </c>
      <c r="AB21" s="283">
        <f>VLOOKUP(LEFT(A21,6),MepClassificationAndLifecycle!A21:C87,3,false)</f>
        <v>30</v>
      </c>
    </row>
    <row r="22">
      <c r="A22" s="2" t="str">
        <f>'Gebäudetechnik Technique'!A32 &amp; " " &amp; 'Gebäudetechnik Technique'!B32 &amp; " (KBOB.2016)"</f>
        <v>32.006 Lüftungsanlage, spez. Luftmenge 4 m3/hm2 EBF (KBOB.2016)</v>
      </c>
      <c r="B22" s="2" t="str">
        <f t="shared" si="1"/>
        <v>32.006 Lüftungsanlage, spez. Luftmenge 4 m3/hm2 EBF (KBOB.2016)</v>
      </c>
      <c r="C22" s="2"/>
      <c r="D22" s="2"/>
      <c r="E22" s="2"/>
      <c r="F22" s="2" t="s">
        <v>1613</v>
      </c>
      <c r="G22" s="2" t="str">
        <f t="shared" si="2"/>
        <v>BUILDING_TECHNOLOGY_VENTILATION</v>
      </c>
      <c r="H22" s="3" t="str">
        <f>VLOOKUP(LEFT(A22,6),MepClassificationAndLifecycle!A22:C88,2,false)</f>
        <v>ventilation</v>
      </c>
      <c r="I22" s="63"/>
      <c r="J22" s="64">
        <f>'Gebäudetechnik Technique'!G32</f>
        <v>64800</v>
      </c>
      <c r="K22" s="64">
        <f>'Gebäudetechnik Technique'!H32</f>
        <v>64300</v>
      </c>
      <c r="L22" s="64">
        <f>'Gebäudetechnik Technique'!I32</f>
        <v>488</v>
      </c>
      <c r="M22" s="64">
        <f>'Gebäudetechnik Technique'!M32</f>
        <v>8.84</v>
      </c>
      <c r="N22" s="64">
        <f>'Gebäudetechnik Technique'!N32</f>
        <v>8.83</v>
      </c>
      <c r="O22" s="64">
        <f>'Gebäudetechnik Technique'!O32</f>
        <v>0.0145</v>
      </c>
      <c r="P22" s="64">
        <f>'Gebäudetechnik Technique'!P32</f>
        <v>112</v>
      </c>
      <c r="Q22" s="64">
        <f>'Gebäudetechnik Technique'!Q32</f>
        <v>111</v>
      </c>
      <c r="R22" s="64">
        <f>'Gebäudetechnik Technique'!R32</f>
        <v>0.444</v>
      </c>
      <c r="S22" s="64">
        <f>'Gebäudetechnik Technique'!S32</f>
        <v>25.9</v>
      </c>
      <c r="T22" s="64">
        <f>'Gebäudetechnik Technique'!T32</f>
        <v>25.2</v>
      </c>
      <c r="U22" s="64">
        <f>'Gebäudetechnik Technique'!U32</f>
        <v>0.763</v>
      </c>
      <c r="V22" s="2" t="str">
        <f>'Gebäudetechnik Technique'!F32</f>
        <v>m2</v>
      </c>
      <c r="W22" s="2" t="str">
        <f>VLOOKUP('Gebäudetechnik Technique'!E32,RefDimensions!A$2:B$15,2,false)</f>
        <v>energyReferenceArea</v>
      </c>
      <c r="X22" s="68">
        <v>0.0</v>
      </c>
      <c r="Y22" s="282" t="str">
        <f>'Gebäudetechnik Technique'!A32</f>
        <v>32.006</v>
      </c>
      <c r="Z22" s="7" t="s">
        <v>203</v>
      </c>
      <c r="AA22" s="67" t="str">
        <f t="shared" si="3"/>
        <v>Alle &gt; GEBÄUDETECHNIK &gt; kbob.admin.ch &gt; KBOB / ecobau / IPB 2009/1:2016</v>
      </c>
      <c r="AB22" s="283">
        <f>VLOOKUP(LEFT(A22,6),MepClassificationAndLifecycle!A22:C88,3,false)</f>
        <v>30</v>
      </c>
    </row>
    <row r="23">
      <c r="A23" s="2" t="str">
        <f>'Gebäudetechnik Technique'!A33 &amp; " " &amp; 'Gebäudetechnik Technique'!B33 &amp; " (KBOB.2016)"</f>
        <v>32.007 Lüftungsanlage, spez. Luftmenge 6 m3/hm2 EBF (KBOB.2016)</v>
      </c>
      <c r="B23" s="2" t="str">
        <f t="shared" si="1"/>
        <v>32.007 Lüftungsanlage, spez. Luftmenge 6 m3/hm2 EBF (KBOB.2016)</v>
      </c>
      <c r="C23" s="2"/>
      <c r="D23" s="2"/>
      <c r="E23" s="2"/>
      <c r="F23" s="2" t="s">
        <v>1613</v>
      </c>
      <c r="G23" s="2" t="str">
        <f t="shared" si="2"/>
        <v>BUILDING_TECHNOLOGY_VENTILATION</v>
      </c>
      <c r="H23" s="3" t="str">
        <f>VLOOKUP(LEFT(A23,6),MepClassificationAndLifecycle!A23:C89,2,false)</f>
        <v>ventilation</v>
      </c>
      <c r="I23" s="63"/>
      <c r="J23" s="64">
        <f>'Gebäudetechnik Technique'!G33</f>
        <v>86900</v>
      </c>
      <c r="K23" s="64">
        <f>'Gebäudetechnik Technique'!H33</f>
        <v>86200</v>
      </c>
      <c r="L23" s="64">
        <f>'Gebäudetechnik Technique'!I33</f>
        <v>666</v>
      </c>
      <c r="M23" s="64">
        <f>'Gebäudetechnik Technique'!M33</f>
        <v>11.8</v>
      </c>
      <c r="N23" s="64">
        <f>'Gebäudetechnik Technique'!N33</f>
        <v>11.8</v>
      </c>
      <c r="O23" s="64">
        <f>'Gebäudetechnik Technique'!O33</f>
        <v>0.0196</v>
      </c>
      <c r="P23" s="64">
        <f>'Gebäudetechnik Technique'!P33</f>
        <v>150</v>
      </c>
      <c r="Q23" s="64">
        <f>'Gebäudetechnik Technique'!Q33</f>
        <v>149</v>
      </c>
      <c r="R23" s="64">
        <f>'Gebäudetechnik Technique'!R33</f>
        <v>0.601</v>
      </c>
      <c r="S23" s="64">
        <f>'Gebäudetechnik Technique'!S33</f>
        <v>34.8</v>
      </c>
      <c r="T23" s="64">
        <f>'Gebäudetechnik Technique'!T33</f>
        <v>33.7</v>
      </c>
      <c r="U23" s="64">
        <f>'Gebäudetechnik Technique'!U33</f>
        <v>1.04</v>
      </c>
      <c r="V23" s="2" t="str">
        <f>'Gebäudetechnik Technique'!F33</f>
        <v>m2</v>
      </c>
      <c r="W23" s="2" t="str">
        <f>VLOOKUP('Gebäudetechnik Technique'!E33,RefDimensions!A$2:B$15,2,false)</f>
        <v>energyReferenceArea</v>
      </c>
      <c r="X23" s="68">
        <v>0.0</v>
      </c>
      <c r="Y23" s="282" t="str">
        <f>'Gebäudetechnik Technique'!A33</f>
        <v>32.007</v>
      </c>
      <c r="Z23" s="7" t="s">
        <v>203</v>
      </c>
      <c r="AA23" s="67" t="str">
        <f t="shared" si="3"/>
        <v>Alle &gt; GEBÄUDETECHNIK &gt; kbob.admin.ch &gt; KBOB / ecobau / IPB 2009/1:2016</v>
      </c>
      <c r="AB23" s="283">
        <f>VLOOKUP(LEFT(A23,6),MepClassificationAndLifecycle!A23:C89,3,false)</f>
        <v>30</v>
      </c>
    </row>
    <row r="24">
      <c r="A24" s="2" t="str">
        <f>'Gebäudetechnik Technique'!A34 &amp; " " &amp; 'Gebäudetechnik Technique'!B34 &amp; " (KBOB.2016)"</f>
        <v>32.012 Lüftungsanlage, spez. Luftmenge 8 m3/hm2 EBF (KBOB.2016)</v>
      </c>
      <c r="B24" s="2" t="str">
        <f t="shared" si="1"/>
        <v>32.012 Lüftungsanlage, spez. Luftmenge 8 m3/hm2 EBF (KBOB.2016)</v>
      </c>
      <c r="C24" s="2"/>
      <c r="D24" s="2"/>
      <c r="E24" s="2"/>
      <c r="F24" s="2" t="s">
        <v>1613</v>
      </c>
      <c r="G24" s="2" t="str">
        <f t="shared" si="2"/>
        <v>BUILDING_TECHNOLOGY_VENTILATION</v>
      </c>
      <c r="H24" s="3" t="str">
        <f>VLOOKUP(LEFT(A24,6),MepClassificationAndLifecycle!A24:C90,2,false)</f>
        <v>ventilation</v>
      </c>
      <c r="I24" s="63"/>
      <c r="J24" s="64">
        <f>'Gebäudetechnik Technique'!G34</f>
        <v>109000</v>
      </c>
      <c r="K24" s="64">
        <f>'Gebäudetechnik Technique'!H34</f>
        <v>108000</v>
      </c>
      <c r="L24" s="64">
        <f>'Gebäudetechnik Technique'!I34</f>
        <v>843</v>
      </c>
      <c r="M24" s="64">
        <f>'Gebäudetechnik Technique'!M34</f>
        <v>14.8</v>
      </c>
      <c r="N24" s="64">
        <f>'Gebäudetechnik Technique'!N34</f>
        <v>14.8</v>
      </c>
      <c r="O24" s="64">
        <f>'Gebäudetechnik Technique'!O34</f>
        <v>0.0246</v>
      </c>
      <c r="P24" s="64">
        <f>'Gebäudetechnik Technique'!P34</f>
        <v>188</v>
      </c>
      <c r="Q24" s="64">
        <f>'Gebäudetechnik Technique'!Q34</f>
        <v>187</v>
      </c>
      <c r="R24" s="64">
        <f>'Gebäudetechnik Technique'!R34</f>
        <v>0.758</v>
      </c>
      <c r="S24" s="64">
        <f>'Gebäudetechnik Technique'!S34</f>
        <v>43.6</v>
      </c>
      <c r="T24" s="64">
        <f>'Gebäudetechnik Technique'!T34</f>
        <v>42.3</v>
      </c>
      <c r="U24" s="64">
        <f>'Gebäudetechnik Technique'!U34</f>
        <v>1.32</v>
      </c>
      <c r="V24" s="2" t="str">
        <f>'Gebäudetechnik Technique'!F34</f>
        <v>m2</v>
      </c>
      <c r="W24" s="2" t="str">
        <f>VLOOKUP('Gebäudetechnik Technique'!E34,RefDimensions!A$2:B$15,2,false)</f>
        <v>energyReferenceArea</v>
      </c>
      <c r="X24" s="68">
        <v>0.0</v>
      </c>
      <c r="Y24" s="282" t="str">
        <f>'Gebäudetechnik Technique'!A34</f>
        <v>32.012</v>
      </c>
      <c r="Z24" s="7" t="s">
        <v>203</v>
      </c>
      <c r="AA24" s="67" t="str">
        <f t="shared" si="3"/>
        <v>Alle &gt; GEBÄUDETECHNIK &gt; kbob.admin.ch &gt; KBOB / ecobau / IPB 2009/1:2016</v>
      </c>
      <c r="AB24" s="283">
        <f>VLOOKUP(LEFT(A24,6),MepClassificationAndLifecycle!A24:C90,3,false)</f>
        <v>30</v>
      </c>
    </row>
    <row r="25">
      <c r="A25" s="2" t="str">
        <f>'Gebäudetechnik Technique'!A35 &amp; " " &amp; 'Gebäudetechnik Technique'!B35 &amp; " (KBOB.2016)"</f>
        <v>32.001 Lüftungsanlage Wohnen, Blechkanäle, inkl. Küchenabluft (KBOB.2016)</v>
      </c>
      <c r="B25" s="2" t="str">
        <f t="shared" si="1"/>
        <v>32.001 Lüftungsanlage Wohnen, Blechkanäle, inkl. Küchenabluft (KBOB.2016)</v>
      </c>
      <c r="C25" s="2"/>
      <c r="D25" s="2"/>
      <c r="E25" s="2"/>
      <c r="F25" s="2" t="s">
        <v>1613</v>
      </c>
      <c r="G25" s="2" t="str">
        <f t="shared" si="2"/>
        <v>BUILDING_TECHNOLOGY_VENTILATION</v>
      </c>
      <c r="H25" s="3" t="str">
        <f>VLOOKUP(LEFT(A25,6),MepClassificationAndLifecycle!A25:C91,2,false)</f>
        <v>ventilation</v>
      </c>
      <c r="I25" s="63"/>
      <c r="J25" s="64">
        <f>'Gebäudetechnik Technique'!G35</f>
        <v>45200</v>
      </c>
      <c r="K25" s="64">
        <f>'Gebäudetechnik Technique'!H35</f>
        <v>45000</v>
      </c>
      <c r="L25" s="64">
        <f>'Gebäudetechnik Technique'!I35</f>
        <v>182</v>
      </c>
      <c r="M25" s="64">
        <f>'Gebäudetechnik Technique'!M35</f>
        <v>3.99</v>
      </c>
      <c r="N25" s="64">
        <f>'Gebäudetechnik Technique'!N35</f>
        <v>3.99</v>
      </c>
      <c r="O25" s="64">
        <f>'Gebäudetechnik Technique'!O35</f>
        <v>0.00388</v>
      </c>
      <c r="P25" s="64">
        <f>'Gebäudetechnik Technique'!P35</f>
        <v>53.3</v>
      </c>
      <c r="Q25" s="64">
        <f>'Gebäudetechnik Technique'!Q35</f>
        <v>53.2</v>
      </c>
      <c r="R25" s="64">
        <f>'Gebäudetechnik Technique'!R35</f>
        <v>0.0831</v>
      </c>
      <c r="S25" s="64">
        <f>'Gebäudetechnik Technique'!S35</f>
        <v>12</v>
      </c>
      <c r="T25" s="64">
        <f>'Gebäudetechnik Technique'!T35</f>
        <v>11.7</v>
      </c>
      <c r="U25" s="64">
        <f>'Gebäudetechnik Technique'!U35</f>
        <v>0.299</v>
      </c>
      <c r="V25" s="2" t="str">
        <f>'Gebäudetechnik Technique'!F35</f>
        <v>m2</v>
      </c>
      <c r="W25" s="2" t="str">
        <f>VLOOKUP('Gebäudetechnik Technique'!E35,RefDimensions!A$2:B$15,2,false)</f>
        <v>energyReferenceArea</v>
      </c>
      <c r="X25" s="68">
        <v>0.0</v>
      </c>
      <c r="Y25" s="282" t="str">
        <f>'Gebäudetechnik Technique'!A35</f>
        <v>32.001</v>
      </c>
      <c r="Z25" s="7" t="s">
        <v>203</v>
      </c>
      <c r="AA25" s="67" t="str">
        <f t="shared" si="3"/>
        <v>Alle &gt; GEBÄUDETECHNIK &gt; kbob.admin.ch &gt; KBOB / ecobau / IPB 2009/1:2016</v>
      </c>
      <c r="AB25" s="283">
        <f>VLOOKUP(LEFT(A25,6),MepClassificationAndLifecycle!A25:C91,3,false)</f>
        <v>30</v>
      </c>
    </row>
    <row r="26">
      <c r="A26" s="2" t="str">
        <f>'Gebäudetechnik Technique'!A36 &amp; " " &amp; 'Gebäudetechnik Technique'!B36 &amp; " (KBOB.2016)"</f>
        <v>32.002 Lüftungsanlage Wohnen, PE-Kanäle, inkl. Küchenabluft (KBOB.2016)</v>
      </c>
      <c r="B26" s="2" t="str">
        <f t="shared" si="1"/>
        <v>32.002 Lüftungsanlage Wohnen, PE-Kanäle, inkl. Küchenabluft (KBOB.2016)</v>
      </c>
      <c r="C26" s="2"/>
      <c r="D26" s="2"/>
      <c r="E26" s="2"/>
      <c r="F26" s="2" t="s">
        <v>1613</v>
      </c>
      <c r="G26" s="2" t="str">
        <f t="shared" si="2"/>
        <v>BUILDING_TECHNOLOGY_VENTILATION</v>
      </c>
      <c r="H26" s="3" t="str">
        <f>VLOOKUP(LEFT(A26,6),MepClassificationAndLifecycle!A26:C92,2,false)</f>
        <v>ventilation</v>
      </c>
      <c r="I26" s="63"/>
      <c r="J26" s="64">
        <f>'Gebäudetechnik Technique'!G36</f>
        <v>22000</v>
      </c>
      <c r="K26" s="64">
        <f>'Gebäudetechnik Technique'!H36</f>
        <v>21600</v>
      </c>
      <c r="L26" s="64">
        <f>'Gebäudetechnik Technique'!I36</f>
        <v>371</v>
      </c>
      <c r="M26" s="64">
        <f>'Gebäudetechnik Technique'!M36</f>
        <v>2.36</v>
      </c>
      <c r="N26" s="64">
        <f>'Gebäudetechnik Technique'!N36</f>
        <v>2.36</v>
      </c>
      <c r="O26" s="64">
        <f>'Gebäudetechnik Technique'!O36</f>
        <v>0.00253</v>
      </c>
      <c r="P26" s="64">
        <f>'Gebäudetechnik Technique'!P36</f>
        <v>32.7</v>
      </c>
      <c r="Q26" s="64">
        <f>'Gebäudetechnik Technique'!Q36</f>
        <v>32.6</v>
      </c>
      <c r="R26" s="64">
        <f>'Gebäudetechnik Technique'!R36</f>
        <v>0.0743</v>
      </c>
      <c r="S26" s="64">
        <f>'Gebäudetechnik Technique'!S36</f>
        <v>7.32</v>
      </c>
      <c r="T26" s="64">
        <f>'Gebäudetechnik Technique'!T36</f>
        <v>6.6</v>
      </c>
      <c r="U26" s="64">
        <f>'Gebäudetechnik Technique'!U36</f>
        <v>0.724</v>
      </c>
      <c r="V26" s="2" t="str">
        <f>'Gebäudetechnik Technique'!F36</f>
        <v>m2</v>
      </c>
      <c r="W26" s="2" t="str">
        <f>VLOOKUP('Gebäudetechnik Technique'!E36,RefDimensions!A$2:B$15,2,false)</f>
        <v>energyReferenceArea</v>
      </c>
      <c r="X26" s="68">
        <v>0.0</v>
      </c>
      <c r="Y26" s="282" t="str">
        <f>'Gebäudetechnik Technique'!A36</f>
        <v>32.002</v>
      </c>
      <c r="Z26" s="7" t="s">
        <v>203</v>
      </c>
      <c r="AA26" s="67" t="str">
        <f t="shared" si="3"/>
        <v>Alle &gt; GEBÄUDETECHNIK &gt; kbob.admin.ch &gt; KBOB / ecobau / IPB 2009/1:2016</v>
      </c>
      <c r="AB26" s="283">
        <f>VLOOKUP(LEFT(A26,6),MepClassificationAndLifecycle!A26:C92,3,false)</f>
        <v>30</v>
      </c>
    </row>
    <row r="27">
      <c r="A27" s="2" t="str">
        <f>'Gebäudetechnik Technique'!A37 &amp; " " &amp; 'Gebäudetechnik Technique'!B37 &amp; " (KBOB.2016)"</f>
        <v>32.003 Abluftanlage Küche und Bad (KBOB.2016)</v>
      </c>
      <c r="B27" s="2" t="str">
        <f t="shared" si="1"/>
        <v>32.003 Abluftanlage Küche und Bad (KBOB.2016)</v>
      </c>
      <c r="C27" s="2"/>
      <c r="D27" s="2"/>
      <c r="E27" s="2"/>
      <c r="F27" s="2" t="s">
        <v>1613</v>
      </c>
      <c r="G27" s="2" t="str">
        <f t="shared" si="2"/>
        <v>BUILDING_TECHNOLOGY_VENTILATION</v>
      </c>
      <c r="H27" s="3" t="str">
        <f>VLOOKUP(LEFT(A27,6),MepClassificationAndLifecycle!A27:C93,2,false)</f>
        <v>ventilation</v>
      </c>
      <c r="I27" s="63"/>
      <c r="J27" s="64">
        <f>'Gebäudetechnik Technique'!G37</f>
        <v>13300</v>
      </c>
      <c r="K27" s="64">
        <f>'Gebäudetechnik Technique'!H37</f>
        <v>13300</v>
      </c>
      <c r="L27" s="64">
        <f>'Gebäudetechnik Technique'!I37</f>
        <v>65.7</v>
      </c>
      <c r="M27" s="64">
        <f>'Gebäudetechnik Technique'!M37</f>
        <v>0.981</v>
      </c>
      <c r="N27" s="64">
        <f>'Gebäudetechnik Technique'!N37</f>
        <v>0.98</v>
      </c>
      <c r="O27" s="64">
        <f>'Gebäudetechnik Technique'!O37</f>
        <v>0.000208</v>
      </c>
      <c r="P27" s="64">
        <f>'Gebäudetechnik Technique'!P37</f>
        <v>15.1</v>
      </c>
      <c r="Q27" s="64">
        <f>'Gebäudetechnik Technique'!Q37</f>
        <v>15.1</v>
      </c>
      <c r="R27" s="64">
        <f>'Gebäudetechnik Technique'!R37</f>
        <v>0.0165</v>
      </c>
      <c r="S27" s="64">
        <f>'Gebäudetechnik Technique'!S37</f>
        <v>3.4</v>
      </c>
      <c r="T27" s="64">
        <f>'Gebäudetechnik Technique'!T37</f>
        <v>3.28</v>
      </c>
      <c r="U27" s="64">
        <f>'Gebäudetechnik Technique'!U37</f>
        <v>0.126</v>
      </c>
      <c r="V27" s="2" t="str">
        <f>'Gebäudetechnik Technique'!F37</f>
        <v>m2</v>
      </c>
      <c r="W27" s="2" t="str">
        <f>VLOOKUP('Gebäudetechnik Technique'!E37,RefDimensions!A$2:B$15,2,false)</f>
        <v>energyReferenceArea</v>
      </c>
      <c r="X27" s="68">
        <v>0.0</v>
      </c>
      <c r="Y27" s="282" t="str">
        <f>'Gebäudetechnik Technique'!A37</f>
        <v>32.003</v>
      </c>
      <c r="Z27" s="7" t="s">
        <v>203</v>
      </c>
      <c r="AA27" s="67" t="str">
        <f t="shared" si="3"/>
        <v>Alle &gt; GEBÄUDETECHNIK &gt; kbob.admin.ch &gt; KBOB / ecobau / IPB 2009/1:2016</v>
      </c>
      <c r="AB27" s="283">
        <f>VLOOKUP(LEFT(A27,6),MepClassificationAndLifecycle!A27:C93,3,false)</f>
        <v>30</v>
      </c>
    </row>
    <row r="28">
      <c r="A28" s="2" t="str">
        <f>'Gebäudetechnik Technique'!A38 &amp; " " &amp; 'Gebäudetechnik Technique'!B38 &amp; " (KBOB.2016)"</f>
        <v>32.004 Erdregister zu Lüftungsanlage Wohnen (KBOB.2016)</v>
      </c>
      <c r="B28" s="2" t="str">
        <f t="shared" si="1"/>
        <v>32.004 Erdregister zu Lüftungsanlage Wohnen (KBOB.2016)</v>
      </c>
      <c r="C28" s="2"/>
      <c r="D28" s="2"/>
      <c r="E28" s="2"/>
      <c r="F28" s="2" t="s">
        <v>1613</v>
      </c>
      <c r="G28" s="2" t="str">
        <f t="shared" si="2"/>
        <v>BUILDING_TECHNOLOGY_VENTILATION</v>
      </c>
      <c r="H28" s="3" t="str">
        <f>VLOOKUP(LEFT(A28,6),MepClassificationAndLifecycle!A28:C94,2,false)</f>
        <v>ventilation</v>
      </c>
      <c r="I28" s="63"/>
      <c r="J28" s="64">
        <f>'Gebäudetechnik Technique'!G38</f>
        <v>4550</v>
      </c>
      <c r="K28" s="64">
        <f>'Gebäudetechnik Technique'!H38</f>
        <v>3220</v>
      </c>
      <c r="L28" s="64">
        <f>'Gebäudetechnik Technique'!I38</f>
        <v>1330</v>
      </c>
      <c r="M28" s="64">
        <f>'Gebäudetechnik Technique'!M38</f>
        <v>0.554</v>
      </c>
      <c r="N28" s="64">
        <f>'Gebäudetechnik Technique'!N38</f>
        <v>0.502</v>
      </c>
      <c r="O28" s="64">
        <f>'Gebäudetechnik Technique'!O38</f>
        <v>0.0518</v>
      </c>
      <c r="P28" s="64">
        <f>'Gebäudetechnik Technique'!P38</f>
        <v>16.1</v>
      </c>
      <c r="Q28" s="64">
        <f>'Gebäudetechnik Technique'!Q38</f>
        <v>14.8</v>
      </c>
      <c r="R28" s="64">
        <f>'Gebäudetechnik Technique'!R38</f>
        <v>1.28</v>
      </c>
      <c r="S28" s="64">
        <f>'Gebäudetechnik Technique'!S38</f>
        <v>4.55</v>
      </c>
      <c r="T28" s="64">
        <f>'Gebäudetechnik Technique'!T38</f>
        <v>2.92</v>
      </c>
      <c r="U28" s="64">
        <f>'Gebäudetechnik Technique'!U38</f>
        <v>1.63</v>
      </c>
      <c r="V28" s="2" t="str">
        <f>'Gebäudetechnik Technique'!F38</f>
        <v>m2</v>
      </c>
      <c r="W28" s="2" t="str">
        <f>VLOOKUP('Gebäudetechnik Technique'!E38,RefDimensions!A$2:B$15,2,false)</f>
        <v>energyReferenceArea</v>
      </c>
      <c r="X28" s="68">
        <v>0.0</v>
      </c>
      <c r="Y28" s="282" t="str">
        <f>'Gebäudetechnik Technique'!A38</f>
        <v>32.004</v>
      </c>
      <c r="Z28" s="7" t="s">
        <v>203</v>
      </c>
      <c r="AA28" s="67" t="str">
        <f t="shared" si="3"/>
        <v>Alle &gt; GEBÄUDETECHNIK &gt; kbob.admin.ch &gt; KBOB / ecobau / IPB 2009/1:2016</v>
      </c>
      <c r="AB28" s="283">
        <f>VLOOKUP(LEFT(A28,6),MepClassificationAndLifecycle!A28:C94,3,false)</f>
        <v>30</v>
      </c>
    </row>
    <row r="29">
      <c r="A29" s="2" t="str">
        <f>'Gebäudetechnik Technique'!A39 &amp; " " &amp; 'Gebäudetechnik Technique'!B39 &amp; " (KBOB.2016)"</f>
        <v>32.008 Erdregister kurz zu Lüftungsanlage Büro (0.27 m/m2 EBF) (KBOB.2016)</v>
      </c>
      <c r="B29" s="2" t="str">
        <f t="shared" si="1"/>
        <v>32.008 Erdregister kurz zu Lüftungsanlage Büro (0.27 m/m2 EBF) (KBOB.2016)</v>
      </c>
      <c r="C29" s="2"/>
      <c r="D29" s="2"/>
      <c r="E29" s="2"/>
      <c r="F29" s="2" t="s">
        <v>1613</v>
      </c>
      <c r="G29" s="2" t="str">
        <f t="shared" si="2"/>
        <v>BUILDING_TECHNOLOGY_VENTILATION</v>
      </c>
      <c r="H29" s="3" t="str">
        <f>VLOOKUP(LEFT(A29,6),MepClassificationAndLifecycle!A29:C95,2,false)</f>
        <v>ventilation</v>
      </c>
      <c r="I29" s="63"/>
      <c r="J29" s="64">
        <f>'Gebäudetechnik Technique'!G39</f>
        <v>7890</v>
      </c>
      <c r="K29" s="64">
        <f>'Gebäudetechnik Technique'!H39</f>
        <v>5590</v>
      </c>
      <c r="L29" s="64">
        <f>'Gebäudetechnik Technique'!I39</f>
        <v>2300</v>
      </c>
      <c r="M29" s="64">
        <f>'Gebäudetechnik Technique'!M39</f>
        <v>0.96</v>
      </c>
      <c r="N29" s="64">
        <f>'Gebäudetechnik Technique'!N39</f>
        <v>0.87</v>
      </c>
      <c r="O29" s="64">
        <f>'Gebäudetechnik Technique'!O39</f>
        <v>0.0898</v>
      </c>
      <c r="P29" s="64">
        <f>'Gebäudetechnik Technique'!P39</f>
        <v>27.9</v>
      </c>
      <c r="Q29" s="64">
        <f>'Gebäudetechnik Technique'!Q39</f>
        <v>25.7</v>
      </c>
      <c r="R29" s="64">
        <f>'Gebäudetechnik Technique'!R39</f>
        <v>2.22</v>
      </c>
      <c r="S29" s="64">
        <f>'Gebäudetechnik Technique'!S39</f>
        <v>7.89</v>
      </c>
      <c r="T29" s="64">
        <f>'Gebäudetechnik Technique'!T39</f>
        <v>5.06</v>
      </c>
      <c r="U29" s="64">
        <f>'Gebäudetechnik Technique'!U39</f>
        <v>2.82</v>
      </c>
      <c r="V29" s="2" t="str">
        <f>'Gebäudetechnik Technique'!F39</f>
        <v>m2</v>
      </c>
      <c r="W29" s="2" t="str">
        <f>VLOOKUP('Gebäudetechnik Technique'!E39,RefDimensions!A$2:B$15,2,false)</f>
        <v>energyReferenceArea</v>
      </c>
      <c r="X29" s="68">
        <v>0.0</v>
      </c>
      <c r="Y29" s="282" t="str">
        <f>'Gebäudetechnik Technique'!A39</f>
        <v>32.008</v>
      </c>
      <c r="Z29" s="7" t="s">
        <v>203</v>
      </c>
      <c r="AA29" s="67" t="str">
        <f t="shared" si="3"/>
        <v>Alle &gt; GEBÄUDETECHNIK &gt; kbob.admin.ch &gt; KBOB / ecobau / IPB 2009/1:2016</v>
      </c>
      <c r="AB29" s="283">
        <f>VLOOKUP(LEFT(A29,6),MepClassificationAndLifecycle!A29:C95,3,false)</f>
        <v>30</v>
      </c>
    </row>
    <row r="30">
      <c r="A30" s="2" t="str">
        <f>'Gebäudetechnik Technique'!A40 &amp; " " &amp; 'Gebäudetechnik Technique'!B40 &amp; " (KBOB.2016)"</f>
        <v>32.009 Erdregister lang zu Lüftungsanlage Büro (0.67 m/m2 EBF) (KBOB.2016)</v>
      </c>
      <c r="B30" s="2" t="str">
        <f t="shared" si="1"/>
        <v>32.009 Erdregister lang zu Lüftungsanlage Büro (0.67 m/m2 EBF) (KBOB.2016)</v>
      </c>
      <c r="C30" s="2"/>
      <c r="D30" s="2"/>
      <c r="E30" s="2"/>
      <c r="F30" s="2" t="s">
        <v>1613</v>
      </c>
      <c r="G30" s="2" t="str">
        <f t="shared" si="2"/>
        <v>BUILDING_TECHNOLOGY_VENTILATION</v>
      </c>
      <c r="H30" s="3" t="str">
        <f>VLOOKUP(LEFT(A30,6),MepClassificationAndLifecycle!A30:C96,2,false)</f>
        <v>ventilation</v>
      </c>
      <c r="I30" s="63"/>
      <c r="J30" s="64">
        <f>'Gebäudetechnik Technique'!G40</f>
        <v>19700</v>
      </c>
      <c r="K30" s="64">
        <f>'Gebäudetechnik Technique'!H40</f>
        <v>14000</v>
      </c>
      <c r="L30" s="64">
        <f>'Gebäudetechnik Technique'!I40</f>
        <v>5760</v>
      </c>
      <c r="M30" s="64">
        <f>'Gebäudetechnik Technique'!M40</f>
        <v>2.4</v>
      </c>
      <c r="N30" s="64">
        <f>'Gebäudetechnik Technique'!N40</f>
        <v>2.18</v>
      </c>
      <c r="O30" s="64">
        <f>'Gebäudetechnik Technique'!O40</f>
        <v>0.224</v>
      </c>
      <c r="P30" s="64">
        <f>'Gebäudetechnik Technique'!P40</f>
        <v>69.7</v>
      </c>
      <c r="Q30" s="64">
        <f>'Gebäudetechnik Technique'!Q40</f>
        <v>64.2</v>
      </c>
      <c r="R30" s="64">
        <f>'Gebäudetechnik Technique'!R40</f>
        <v>5.54</v>
      </c>
      <c r="S30" s="64">
        <f>'Gebäudetechnik Technique'!S40</f>
        <v>19.7</v>
      </c>
      <c r="T30" s="64">
        <f>'Gebäudetechnik Technique'!T40</f>
        <v>12.7</v>
      </c>
      <c r="U30" s="64">
        <f>'Gebäudetechnik Technique'!U40</f>
        <v>7.05</v>
      </c>
      <c r="V30" s="2" t="str">
        <f>'Gebäudetechnik Technique'!F40</f>
        <v>m2</v>
      </c>
      <c r="W30" s="2" t="str">
        <f>VLOOKUP('Gebäudetechnik Technique'!E40,RefDimensions!A$2:B$15,2,false)</f>
        <v>energyReferenceArea</v>
      </c>
      <c r="X30" s="68">
        <v>0.0</v>
      </c>
      <c r="Y30" s="282" t="str">
        <f>'Gebäudetechnik Technique'!A40</f>
        <v>32.009</v>
      </c>
      <c r="Z30" s="7" t="s">
        <v>203</v>
      </c>
      <c r="AA30" s="67" t="str">
        <f t="shared" si="3"/>
        <v>Alle &gt; GEBÄUDETECHNIK &gt; kbob.admin.ch &gt; KBOB / ecobau / IPB 2009/1:2016</v>
      </c>
      <c r="AB30" s="283">
        <f>VLOOKUP(LEFT(A30,6),MepClassificationAndLifecycle!A30:C96,3,false)</f>
        <v>30</v>
      </c>
    </row>
    <row r="31">
      <c r="A31" s="10" t="str">
        <f>'Gebäudetechnik Technique'!A41 &amp; " " &amp; 'Gebäudetechnik Technique'!B41 &amp; " (KBOB.2016)"</f>
        <v>32.010 Einzelraumlüfer Fenstermodell 10-30 m3/h, ohne Montage (KBOB.2016)</v>
      </c>
      <c r="B31" s="10" t="str">
        <f t="shared" si="1"/>
        <v>32.010 Einzelraumlüfer Fenstermodell 10-30 m3/h, ohne Montage (KBOB.2016)</v>
      </c>
      <c r="C31" s="10"/>
      <c r="D31" s="10"/>
      <c r="E31" s="10"/>
      <c r="F31" s="10" t="s">
        <v>1613</v>
      </c>
      <c r="G31" s="10" t="str">
        <f t="shared" si="2"/>
        <v>BUILDING_TECHNOLOGY_VENTILATION</v>
      </c>
      <c r="H31" s="3" t="str">
        <f>VLOOKUP(LEFT(A31,6),MepClassificationAndLifecycle!A31:C97,2,false)</f>
        <v>ventilation</v>
      </c>
      <c r="I31" s="284"/>
      <c r="J31" s="285">
        <f>'Gebäudetechnik Technique'!G41</f>
        <v>63200</v>
      </c>
      <c r="K31" s="285">
        <f>'Gebäudetechnik Technique'!H41</f>
        <v>59900</v>
      </c>
      <c r="L31" s="285">
        <f>'Gebäudetechnik Technique'!I41</f>
        <v>3260</v>
      </c>
      <c r="M31" s="285">
        <f>'Gebäudetechnik Technique'!M41</f>
        <v>109</v>
      </c>
      <c r="N31" s="64">
        <f>'Gebäudetechnik Technique'!N41</f>
        <v>109</v>
      </c>
      <c r="O31" s="64">
        <f>'Gebäudetechnik Technique'!O41</f>
        <v>0.0758</v>
      </c>
      <c r="P31" s="285">
        <f>'Gebäudetechnik Technique'!P41</f>
        <v>220</v>
      </c>
      <c r="Q31" s="285">
        <f>'Gebäudetechnik Technique'!Q41</f>
        <v>218</v>
      </c>
      <c r="R31" s="285">
        <f>'Gebäudetechnik Technique'!R41</f>
        <v>1.41</v>
      </c>
      <c r="S31" s="285">
        <f>'Gebäudetechnik Technique'!S41</f>
        <v>43.5</v>
      </c>
      <c r="T31" s="285">
        <f>'Gebäudetechnik Technique'!T41</f>
        <v>38</v>
      </c>
      <c r="U31" s="285">
        <f>'Gebäudetechnik Technique'!U41</f>
        <v>5.48</v>
      </c>
      <c r="V31" s="10" t="str">
        <f>'Gebäudetechnik Technique'!F41</f>
        <v>Stk.</v>
      </c>
      <c r="W31" s="10" t="str">
        <f>VLOOKUP('Gebäudetechnik Technique'!E41,RefDimensions!A$2:B$15,2,false)</f>
        <v>device</v>
      </c>
      <c r="X31" s="286">
        <v>0.0</v>
      </c>
      <c r="Y31" s="287" t="str">
        <f>'Gebäudetechnik Technique'!A41</f>
        <v>32.010</v>
      </c>
      <c r="Z31" s="11" t="s">
        <v>203</v>
      </c>
      <c r="AA31" s="288" t="str">
        <f t="shared" si="3"/>
        <v>Alle &gt; GEBÄUDETECHNIK &gt; kbob.admin.ch &gt; KBOB / ecobau / IPB 2009/1:2016</v>
      </c>
      <c r="AB31" s="283">
        <f>VLOOKUP(LEFT(A31,6),MepClassificationAndLifecycle!A31:C97,3,false)</f>
        <v>30</v>
      </c>
    </row>
    <row r="32">
      <c r="A32" s="2" t="str">
        <f>'Gebäudetechnik Technique'!A43 &amp; " " &amp; 'Gebäudetechnik Technique'!B43 &amp; " (KBOB.2016)"</f>
        <v>33.001 Sanitäranlagen, Büro, einfach, inkl. Apparate und Leitungen (KBOB.2016)</v>
      </c>
      <c r="B32" s="2" t="str">
        <f t="shared" si="1"/>
        <v>33.001 Sanitäranlagen, Büro, einfach, inkl. Apparate und Leitungen (KBOB.2016)</v>
      </c>
      <c r="C32" s="2"/>
      <c r="D32" s="2"/>
      <c r="E32" s="2"/>
      <c r="F32" s="2" t="s">
        <v>1613</v>
      </c>
      <c r="G32" s="2" t="str">
        <f t="shared" si="2"/>
        <v>BUILDING_TECHNOLOGY_SANITARY</v>
      </c>
      <c r="H32" s="3" t="str">
        <f>VLOOKUP(LEFT(A32,6),MepClassificationAndLifecycle!A32:C98,2,false)</f>
        <v>sanitary</v>
      </c>
      <c r="I32" s="63"/>
      <c r="J32" s="64">
        <f>'Gebäudetechnik Technique'!G43</f>
        <v>6980</v>
      </c>
      <c r="K32" s="64">
        <f>'Gebäudetechnik Technique'!H43</f>
        <v>6390</v>
      </c>
      <c r="L32" s="64">
        <f>'Gebäudetechnik Technique'!I43</f>
        <v>587</v>
      </c>
      <c r="M32" s="64">
        <f>'Gebäudetechnik Technique'!M43</f>
        <v>1.2</v>
      </c>
      <c r="N32" s="64">
        <f>'Gebäudetechnik Technique'!N43</f>
        <v>1.19</v>
      </c>
      <c r="O32" s="64">
        <f>'Gebäudetechnik Technique'!O43</f>
        <v>0.00458</v>
      </c>
      <c r="P32" s="64">
        <f>'Gebäudetechnik Technique'!P43</f>
        <v>19.6</v>
      </c>
      <c r="Q32" s="64">
        <f>'Gebäudetechnik Technique'!Q43</f>
        <v>19.4</v>
      </c>
      <c r="R32" s="64">
        <f>'Gebäudetechnik Technique'!R43</f>
        <v>0.137</v>
      </c>
      <c r="S32" s="64">
        <f>'Gebäudetechnik Technique'!S43</f>
        <v>4.48</v>
      </c>
      <c r="T32" s="64">
        <f>'Gebäudetechnik Technique'!T43</f>
        <v>3.33</v>
      </c>
      <c r="U32" s="64">
        <f>'Gebäudetechnik Technique'!U43</f>
        <v>1.15</v>
      </c>
      <c r="V32" s="2" t="str">
        <f>'Gebäudetechnik Technique'!F43</f>
        <v>m2</v>
      </c>
      <c r="W32" s="2" t="str">
        <f>VLOOKUP('Gebäudetechnik Technique'!E43,RefDimensions!A$2:B$15,2,false)</f>
        <v>energyReferenceArea</v>
      </c>
      <c r="X32" s="68">
        <v>0.0</v>
      </c>
      <c r="Y32" s="282" t="str">
        <f>'Gebäudetechnik Technique'!A43</f>
        <v>33.001</v>
      </c>
      <c r="Z32" s="7" t="s">
        <v>203</v>
      </c>
      <c r="AA32" s="67" t="str">
        <f t="shared" si="3"/>
        <v>Alle &gt; GEBÄUDETECHNIK &gt; kbob.admin.ch &gt; KBOB / ecobau / IPB 2009/1:2016</v>
      </c>
      <c r="AB32" s="283">
        <f>VLOOKUP(LEFT(A32,6),MepClassificationAndLifecycle!A32:C98,3,false)</f>
        <v>30</v>
      </c>
    </row>
    <row r="33">
      <c r="A33" s="2" t="str">
        <f>'Gebäudetechnik Technique'!A44 &amp; " " &amp; 'Gebäudetechnik Technique'!B44 &amp; " (KBOB.2016)"</f>
        <v>33.002 Sanitäranlagen, Büro, aufwändig, inkl. Apparate und Leitungen (KBOB.2016)</v>
      </c>
      <c r="B33" s="2" t="str">
        <f t="shared" si="1"/>
        <v>33.002 Sanitäranlagen, Büro, aufwändig, inkl. Apparate und Leitungen (KBOB.2016)</v>
      </c>
      <c r="C33" s="2"/>
      <c r="D33" s="2"/>
      <c r="E33" s="2"/>
      <c r="F33" s="2" t="s">
        <v>1613</v>
      </c>
      <c r="G33" s="2" t="str">
        <f t="shared" si="2"/>
        <v>BUILDING_TECHNOLOGY_SANITARY</v>
      </c>
      <c r="H33" s="3" t="str">
        <f>VLOOKUP(LEFT(A33,6),MepClassificationAndLifecycle!A33:C99,2,false)</f>
        <v>sanitary</v>
      </c>
      <c r="I33" s="63"/>
      <c r="J33" s="64">
        <f>'Gebäudetechnik Technique'!G44</f>
        <v>18600</v>
      </c>
      <c r="K33" s="64">
        <f>'Gebäudetechnik Technique'!H44</f>
        <v>16700</v>
      </c>
      <c r="L33" s="64">
        <f>'Gebäudetechnik Technique'!I44</f>
        <v>1950</v>
      </c>
      <c r="M33" s="64">
        <f>'Gebäudetechnik Technique'!M44</f>
        <v>3.37</v>
      </c>
      <c r="N33" s="64">
        <f>'Gebäudetechnik Technique'!N44</f>
        <v>3.35</v>
      </c>
      <c r="O33" s="64">
        <f>'Gebäudetechnik Technique'!O44</f>
        <v>0.0147</v>
      </c>
      <c r="P33" s="64">
        <f>'Gebäudetechnik Technique'!P44</f>
        <v>46.6</v>
      </c>
      <c r="Q33" s="64">
        <f>'Gebäudetechnik Technique'!Q44</f>
        <v>46.2</v>
      </c>
      <c r="R33" s="64">
        <f>'Gebäudetechnik Technique'!R44</f>
        <v>0.478</v>
      </c>
      <c r="S33" s="64">
        <f>'Gebäudetechnik Technique'!S44</f>
        <v>11.8</v>
      </c>
      <c r="T33" s="64">
        <f>'Gebäudetechnik Technique'!T44</f>
        <v>8.05</v>
      </c>
      <c r="U33" s="64">
        <f>'Gebäudetechnik Technique'!U44</f>
        <v>3.76</v>
      </c>
      <c r="V33" s="2" t="str">
        <f>'Gebäudetechnik Technique'!F44</f>
        <v>m2</v>
      </c>
      <c r="W33" s="2" t="str">
        <f>VLOOKUP('Gebäudetechnik Technique'!E44,RefDimensions!A$2:B$15,2,false)</f>
        <v>energyReferenceArea</v>
      </c>
      <c r="X33" s="68">
        <v>0.0</v>
      </c>
      <c r="Y33" s="282" t="str">
        <f>'Gebäudetechnik Technique'!A44</f>
        <v>33.002</v>
      </c>
      <c r="Z33" s="7" t="s">
        <v>203</v>
      </c>
      <c r="AA33" s="67" t="str">
        <f t="shared" si="3"/>
        <v>Alle &gt; GEBÄUDETECHNIK &gt; kbob.admin.ch &gt; KBOB / ecobau / IPB 2009/1:2016</v>
      </c>
      <c r="AB33" s="283">
        <f>VLOOKUP(LEFT(A33,6),MepClassificationAndLifecycle!A33:C99,3,false)</f>
        <v>30</v>
      </c>
    </row>
    <row r="34">
      <c r="A34" s="10" t="str">
        <f>'Gebäudetechnik Technique'!A45 &amp; " " &amp; 'Gebäudetechnik Technique'!B45 &amp; " (KBOB.2016)"</f>
        <v>33.003 Sanitäranlagen, Wohnen, inkl. Apparate und Leitungen (KBOB.2016)</v>
      </c>
      <c r="B34" s="10" t="str">
        <f t="shared" si="1"/>
        <v>33.003 Sanitäranlagen, Wohnen, inkl. Apparate und Leitungen (KBOB.2016)</v>
      </c>
      <c r="C34" s="10"/>
      <c r="D34" s="10"/>
      <c r="E34" s="10"/>
      <c r="F34" s="10" t="s">
        <v>1613</v>
      </c>
      <c r="G34" s="10" t="str">
        <f t="shared" si="2"/>
        <v>BUILDING_TECHNOLOGY_SANITARY</v>
      </c>
      <c r="H34" s="3" t="str">
        <f>VLOOKUP(LEFT(A34,6),MepClassificationAndLifecycle!A34:C100,2,false)</f>
        <v>sanitary</v>
      </c>
      <c r="I34" s="284"/>
      <c r="J34" s="285">
        <f>'Gebäudetechnik Technique'!G45</f>
        <v>24100</v>
      </c>
      <c r="K34" s="285">
        <f>'Gebäudetechnik Technique'!H45</f>
        <v>23200</v>
      </c>
      <c r="L34" s="285">
        <f>'Gebäudetechnik Technique'!I45</f>
        <v>833</v>
      </c>
      <c r="M34" s="285">
        <f>'Gebäudetechnik Technique'!M45</f>
        <v>3.85</v>
      </c>
      <c r="N34" s="64">
        <f>'Gebäudetechnik Technique'!N45</f>
        <v>3.83</v>
      </c>
      <c r="O34" s="64">
        <f>'Gebäudetechnik Technique'!O45</f>
        <v>0.0192</v>
      </c>
      <c r="P34" s="285">
        <f>'Gebäudetechnik Technique'!P45</f>
        <v>48.6</v>
      </c>
      <c r="Q34" s="285">
        <f>'Gebäudetechnik Technique'!Q45</f>
        <v>48.2</v>
      </c>
      <c r="R34" s="285">
        <f>'Gebäudetechnik Technique'!R45</f>
        <v>0.337</v>
      </c>
      <c r="S34" s="285">
        <f>'Gebäudetechnik Technique'!S45</f>
        <v>11.4</v>
      </c>
      <c r="T34" s="285">
        <f>'Gebäudetechnik Technique'!T45</f>
        <v>9.81</v>
      </c>
      <c r="U34" s="285">
        <f>'Gebäudetechnik Technique'!U45</f>
        <v>1.55</v>
      </c>
      <c r="V34" s="10" t="str">
        <f>'Gebäudetechnik Technique'!F45</f>
        <v>m2</v>
      </c>
      <c r="W34" s="10" t="str">
        <f>VLOOKUP('Gebäudetechnik Technique'!E45,RefDimensions!A$2:B$15,2,false)</f>
        <v>energyReferenceArea</v>
      </c>
      <c r="X34" s="286">
        <v>0.0</v>
      </c>
      <c r="Y34" s="287" t="str">
        <f>'Gebäudetechnik Technique'!A45</f>
        <v>33.003</v>
      </c>
      <c r="Z34" s="11" t="s">
        <v>203</v>
      </c>
      <c r="AA34" s="288" t="str">
        <f t="shared" si="3"/>
        <v>Alle &gt; GEBÄUDETECHNIK &gt; kbob.admin.ch &gt; KBOB / ecobau / IPB 2009/1:2016</v>
      </c>
      <c r="AB34" s="283">
        <f>VLOOKUP(LEFT(A34,6),MepClassificationAndLifecycle!A34:C100,3,false)</f>
        <v>30</v>
      </c>
    </row>
    <row r="35">
      <c r="A35" s="2" t="str">
        <f>'Gebäudetechnik Technique'!A47 &amp; " " &amp; 'Gebäudetechnik Technique'!B47 &amp; " (KBOB.2016)"</f>
        <v>34.001 Elektroanlagen Wohnen (KBOB.2016)</v>
      </c>
      <c r="B35" s="2" t="str">
        <f t="shared" si="1"/>
        <v>34.001 Elektroanlagen Wohnen (KBOB.2016)</v>
      </c>
      <c r="C35" s="2"/>
      <c r="D35" s="2"/>
      <c r="E35" s="2"/>
      <c r="F35" s="2" t="s">
        <v>1613</v>
      </c>
      <c r="G35" s="2" t="str">
        <f t="shared" si="2"/>
        <v>BUILDING_TECHNOLOGY_ELECTRICAL</v>
      </c>
      <c r="H35" s="3" t="str">
        <f>VLOOKUP(LEFT(A35,6),MepClassificationAndLifecycle!A35:C101,2,false)</f>
        <v>electrical</v>
      </c>
      <c r="I35" s="63"/>
      <c r="J35" s="64">
        <f>'Gebäudetechnik Technique'!G47</f>
        <v>47200</v>
      </c>
      <c r="K35" s="64">
        <f>'Gebäudetechnik Technique'!H47</f>
        <v>45400</v>
      </c>
      <c r="L35" s="64">
        <f>'Gebäudetechnik Technique'!I47</f>
        <v>1820</v>
      </c>
      <c r="M35" s="64">
        <f>'Gebäudetechnik Technique'!M47</f>
        <v>4.85</v>
      </c>
      <c r="N35" s="64">
        <f>'Gebäudetechnik Technique'!N47</f>
        <v>4.79</v>
      </c>
      <c r="O35" s="64">
        <f>'Gebäudetechnik Technique'!O47</f>
        <v>0.0581</v>
      </c>
      <c r="P35" s="64">
        <f>'Gebäudetechnik Technique'!P47</f>
        <v>55.4</v>
      </c>
      <c r="Q35" s="64">
        <f>'Gebäudetechnik Technique'!Q47</f>
        <v>54.6</v>
      </c>
      <c r="R35" s="64">
        <f>'Gebäudetechnik Technique'!R47</f>
        <v>0.757</v>
      </c>
      <c r="S35" s="64">
        <f>'Gebäudetechnik Technique'!S47</f>
        <v>12.7</v>
      </c>
      <c r="T35" s="64">
        <f>'Gebäudetechnik Technique'!T47</f>
        <v>9.3</v>
      </c>
      <c r="U35" s="64">
        <f>'Gebäudetechnik Technique'!U47</f>
        <v>3.4</v>
      </c>
      <c r="V35" s="2" t="str">
        <f>'Gebäudetechnik Technique'!F47</f>
        <v>m2</v>
      </c>
      <c r="W35" s="2" t="str">
        <f>VLOOKUP('Gebäudetechnik Technique'!E47,RefDimensions!A$2:B$15,2,false)</f>
        <v>energyReferenceArea</v>
      </c>
      <c r="X35" s="68">
        <v>0.0</v>
      </c>
      <c r="Y35" s="282" t="str">
        <f>'Gebäudetechnik Technique'!A47</f>
        <v>34.001</v>
      </c>
      <c r="Z35" s="7" t="s">
        <v>203</v>
      </c>
      <c r="AA35" s="67" t="str">
        <f t="shared" si="3"/>
        <v>Alle &gt; GEBÄUDETECHNIK &gt; kbob.admin.ch &gt; KBOB / ecobau / IPB 2009/1:2016</v>
      </c>
      <c r="AB35" s="283">
        <f>VLOOKUP(LEFT(A35,6),MepClassificationAndLifecycle!A35:C101,3,false)</f>
        <v>30</v>
      </c>
    </row>
    <row r="36">
      <c r="A36" s="2" t="str">
        <f>'Gebäudetechnik Technique'!A48 &amp; " " &amp; 'Gebäudetechnik Technique'!B48 &amp; " (KBOB.2016)"</f>
        <v>34.002 Elektroanlagen Büro (KBOB.2016)</v>
      </c>
      <c r="B36" s="2" t="str">
        <f t="shared" si="1"/>
        <v>34.002 Elektroanlagen Büro (KBOB.2016)</v>
      </c>
      <c r="C36" s="2"/>
      <c r="D36" s="2"/>
      <c r="E36" s="2"/>
      <c r="F36" s="2" t="s">
        <v>1613</v>
      </c>
      <c r="G36" s="2" t="str">
        <f t="shared" si="2"/>
        <v>BUILDING_TECHNOLOGY_ELECTRICAL</v>
      </c>
      <c r="H36" s="3" t="str">
        <f>VLOOKUP(LEFT(A36,6),MepClassificationAndLifecycle!A36:C102,2,false)</f>
        <v>electrical</v>
      </c>
      <c r="I36" s="63"/>
      <c r="J36" s="64">
        <f>'Gebäudetechnik Technique'!G48</f>
        <v>117000</v>
      </c>
      <c r="K36" s="64">
        <f>'Gebäudetechnik Technique'!H48</f>
        <v>116000</v>
      </c>
      <c r="L36" s="64">
        <f>'Gebäudetechnik Technique'!I48</f>
        <v>900</v>
      </c>
      <c r="M36" s="64">
        <f>'Gebäudetechnik Technique'!M48</f>
        <v>76.2</v>
      </c>
      <c r="N36" s="64">
        <f>'Gebäudetechnik Technique'!N48</f>
        <v>76.1</v>
      </c>
      <c r="O36" s="64">
        <f>'Gebäudetechnik Technique'!O48</f>
        <v>0.0483</v>
      </c>
      <c r="P36" s="64">
        <f>'Gebäudetechnik Technique'!P48</f>
        <v>114</v>
      </c>
      <c r="Q36" s="64">
        <f>'Gebäudetechnik Technique'!Q48</f>
        <v>113</v>
      </c>
      <c r="R36" s="64">
        <f>'Gebäudetechnik Technique'!R48</f>
        <v>0.832</v>
      </c>
      <c r="S36" s="64">
        <f>'Gebäudetechnik Technique'!S48</f>
        <v>23.8</v>
      </c>
      <c r="T36" s="64">
        <f>'Gebäudetechnik Technique'!T48</f>
        <v>22.4</v>
      </c>
      <c r="U36" s="64">
        <f>'Gebäudetechnik Technique'!U48</f>
        <v>1.45</v>
      </c>
      <c r="V36" s="2" t="str">
        <f>'Gebäudetechnik Technique'!F48</f>
        <v>m2</v>
      </c>
      <c r="W36" s="2" t="str">
        <f>VLOOKUP('Gebäudetechnik Technique'!E48,RefDimensions!A$2:B$15,2,false)</f>
        <v>energyReferenceArea</v>
      </c>
      <c r="X36" s="68">
        <v>0.0</v>
      </c>
      <c r="Y36" s="282" t="str">
        <f>'Gebäudetechnik Technique'!A48</f>
        <v>34.002</v>
      </c>
      <c r="Z36" s="7" t="s">
        <v>203</v>
      </c>
      <c r="AA36" s="67" t="str">
        <f t="shared" si="3"/>
        <v>Alle &gt; GEBÄUDETECHNIK &gt; kbob.admin.ch &gt; KBOB / ecobau / IPB 2009/1:2016</v>
      </c>
      <c r="AB36" s="283">
        <f>VLOOKUP(LEFT(A36,6),MepClassificationAndLifecycle!A36:C102,3,false)</f>
        <v>30</v>
      </c>
    </row>
    <row r="37">
      <c r="A37" s="2" t="str">
        <f>'Gebäudetechnik Technique'!A49 &amp; " " &amp; 'Gebäudetechnik Technique'!B49 &amp; " (KBOB.2016)"</f>
        <v>34.024 Solarstromanlage (KBOB.2016)</v>
      </c>
      <c r="B37" s="2" t="str">
        <f t="shared" si="1"/>
        <v>34.024 Solarstromanlage (KBOB.2016)</v>
      </c>
      <c r="C37" s="2"/>
      <c r="D37" s="2"/>
      <c r="E37" s="2"/>
      <c r="F37" s="2" t="s">
        <v>1613</v>
      </c>
      <c r="G37" s="2" t="str">
        <f t="shared" si="2"/>
        <v>BUILDING_TECHNOLOGY_ELECTRICAL</v>
      </c>
      <c r="H37" s="3" t="str">
        <f>VLOOKUP(LEFT(A37,6),MepClassificationAndLifecycle!A37:C103,2,false)</f>
        <v>photovoltaicSystem</v>
      </c>
      <c r="I37" s="63"/>
      <c r="J37" s="64">
        <f>'Gebäudetechnik Technique'!G49</f>
        <v>3170000</v>
      </c>
      <c r="K37" s="64">
        <f>'Gebäudetechnik Technique'!H49</f>
        <v>3170000</v>
      </c>
      <c r="L37" s="64"/>
      <c r="M37" s="64">
        <f>'Gebäudetechnik Technique'!M49</f>
        <v>905</v>
      </c>
      <c r="N37" s="64">
        <f>'Gebäudetechnik Technique'!N49</f>
        <v>905</v>
      </c>
      <c r="O37" s="64"/>
      <c r="P37" s="64">
        <f>'Gebäudetechnik Technique'!P49</f>
        <v>7390</v>
      </c>
      <c r="Q37" s="64">
        <f>'Gebäudetechnik Technique'!Q49</f>
        <v>7390</v>
      </c>
      <c r="R37" s="64"/>
      <c r="S37" s="64">
        <f>'Gebäudetechnik Technique'!S49</f>
        <v>2080</v>
      </c>
      <c r="T37" s="64">
        <f>'Gebäudetechnik Technique'!T49</f>
        <v>2080</v>
      </c>
      <c r="U37" s="64"/>
      <c r="V37" s="2" t="str">
        <f>'Gebäudetechnik Technique'!F49</f>
        <v>kWp</v>
      </c>
      <c r="W37" s="2" t="str">
        <f>VLOOKUP('Gebäudetechnik Technique'!E49,RefDimensions!A$2:B$15,2,false)</f>
        <v>maxPower</v>
      </c>
      <c r="X37" s="68">
        <v>0.0</v>
      </c>
      <c r="Y37" s="282" t="str">
        <f>'Gebäudetechnik Technique'!A49</f>
        <v>34.024</v>
      </c>
      <c r="Z37" s="7" t="s">
        <v>203</v>
      </c>
      <c r="AA37" s="67" t="str">
        <f t="shared" si="3"/>
        <v>Alle &gt; GEBÄUDETECHNIK &gt; kbob.admin.ch &gt; KBOB / ecobau / IPB 2009/1:2016</v>
      </c>
      <c r="AB37" s="283">
        <f>VLOOKUP(LEFT(A37,6),MepClassificationAndLifecycle!A37:C103,3,false)</f>
        <v>30</v>
      </c>
    </row>
    <row r="38">
      <c r="A38" s="2" t="str">
        <f>'Gebäudetechnik Technique'!A50 &amp; " " &amp; 'Gebäudetechnik Technique'!B50 &amp; " (KBOB.2016)"</f>
        <v>34.025 Solarstromanlage Schrägdach (KBOB.2016)</v>
      </c>
      <c r="B38" s="2" t="str">
        <f t="shared" si="1"/>
        <v>34.025 Solarstromanlage Schrägdach (KBOB.2016)</v>
      </c>
      <c r="C38" s="2"/>
      <c r="D38" s="2"/>
      <c r="E38" s="2"/>
      <c r="F38" s="2" t="s">
        <v>1613</v>
      </c>
      <c r="G38" s="2" t="str">
        <f t="shared" si="2"/>
        <v>BUILDING_TECHNOLOGY_ELECTRICAL</v>
      </c>
      <c r="H38" s="3" t="str">
        <f>VLOOKUP(LEFT(A38,6),MepClassificationAndLifecycle!A38:C104,2,false)</f>
        <v>photovoltaicSystem</v>
      </c>
      <c r="I38" s="63"/>
      <c r="J38" s="64">
        <f>'Gebäudetechnik Technique'!G50</f>
        <v>3190000</v>
      </c>
      <c r="K38" s="64">
        <f>'Gebäudetechnik Technique'!H50</f>
        <v>3190000</v>
      </c>
      <c r="L38" s="64"/>
      <c r="M38" s="64">
        <f>'Gebäudetechnik Technique'!M50</f>
        <v>897</v>
      </c>
      <c r="N38" s="64">
        <f>'Gebäudetechnik Technique'!N50</f>
        <v>897</v>
      </c>
      <c r="O38" s="64"/>
      <c r="P38" s="64">
        <f>'Gebäudetechnik Technique'!P50</f>
        <v>7290</v>
      </c>
      <c r="Q38" s="64">
        <f>'Gebäudetechnik Technique'!Q50</f>
        <v>7290</v>
      </c>
      <c r="R38" s="64"/>
      <c r="S38" s="64">
        <f>'Gebäudetechnik Technique'!S50</f>
        <v>2030</v>
      </c>
      <c r="T38" s="64">
        <f>'Gebäudetechnik Technique'!T50</f>
        <v>2030</v>
      </c>
      <c r="U38" s="64"/>
      <c r="V38" s="2" t="str">
        <f>'Gebäudetechnik Technique'!F50</f>
        <v>kWp</v>
      </c>
      <c r="W38" s="2" t="str">
        <f>VLOOKUP('Gebäudetechnik Technique'!E50,RefDimensions!A$2:B$15,2,false)</f>
        <v>maxPower</v>
      </c>
      <c r="X38" s="68">
        <v>0.0</v>
      </c>
      <c r="Y38" s="282" t="str">
        <f>'Gebäudetechnik Technique'!A50</f>
        <v>34.025</v>
      </c>
      <c r="Z38" s="7" t="s">
        <v>203</v>
      </c>
      <c r="AA38" s="67" t="str">
        <f t="shared" si="3"/>
        <v>Alle &gt; GEBÄUDETECHNIK &gt; kbob.admin.ch &gt; KBOB / ecobau / IPB 2009/1:2016</v>
      </c>
      <c r="AB38" s="283">
        <f>VLOOKUP(LEFT(A38,6),MepClassificationAndLifecycle!A38:C104,3,false)</f>
        <v>30</v>
      </c>
    </row>
    <row r="39">
      <c r="A39" s="2" t="str">
        <f>'Gebäudetechnik Technique'!A51 &amp; " " &amp; 'Gebäudetechnik Technique'!B51 &amp; " (KBOB.2016)"</f>
        <v>34.026 Solarstromanlage Flachdach (KBOB.2016)</v>
      </c>
      <c r="B39" s="2" t="str">
        <f t="shared" si="1"/>
        <v>34.026 Solarstromanlage Flachdach (KBOB.2016)</v>
      </c>
      <c r="C39" s="2"/>
      <c r="D39" s="2"/>
      <c r="E39" s="2"/>
      <c r="F39" s="2" t="s">
        <v>1613</v>
      </c>
      <c r="G39" s="2" t="str">
        <f t="shared" si="2"/>
        <v>BUILDING_TECHNOLOGY_ELECTRICAL</v>
      </c>
      <c r="H39" s="3" t="str">
        <f>VLOOKUP(LEFT(A39,6),MepClassificationAndLifecycle!A39:C105,2,false)</f>
        <v>photovoltaicSystem</v>
      </c>
      <c r="I39" s="63"/>
      <c r="J39" s="64">
        <f>'Gebäudetechnik Technique'!G51</f>
        <v>3070000</v>
      </c>
      <c r="K39" s="64">
        <f>'Gebäudetechnik Technique'!H51</f>
        <v>3070000</v>
      </c>
      <c r="L39" s="64"/>
      <c r="M39" s="64">
        <f>'Gebäudetechnik Technique'!M51</f>
        <v>959</v>
      </c>
      <c r="N39" s="64">
        <f>'Gebäudetechnik Technique'!N51</f>
        <v>959</v>
      </c>
      <c r="O39" s="64"/>
      <c r="P39" s="64">
        <f>'Gebäudetechnik Technique'!P51</f>
        <v>8020</v>
      </c>
      <c r="Q39" s="64">
        <f>'Gebäudetechnik Technique'!Q51</f>
        <v>8020</v>
      </c>
      <c r="R39" s="64"/>
      <c r="S39" s="64">
        <f>'Gebäudetechnik Technique'!S51</f>
        <v>2320</v>
      </c>
      <c r="T39" s="64">
        <f>'Gebäudetechnik Technique'!T51</f>
        <v>2320</v>
      </c>
      <c r="U39" s="64"/>
      <c r="V39" s="2" t="str">
        <f>'Gebäudetechnik Technique'!F51</f>
        <v>kWp</v>
      </c>
      <c r="W39" s="2" t="str">
        <f>VLOOKUP('Gebäudetechnik Technique'!E51,RefDimensions!A$2:B$15,2,false)</f>
        <v>maxPower</v>
      </c>
      <c r="X39" s="68">
        <v>0.0</v>
      </c>
      <c r="Y39" s="282" t="str">
        <f>'Gebäudetechnik Technique'!A51</f>
        <v>34.026</v>
      </c>
      <c r="Z39" s="7" t="s">
        <v>203</v>
      </c>
      <c r="AA39" s="67" t="str">
        <f t="shared" si="3"/>
        <v>Alle &gt; GEBÄUDETECHNIK &gt; kbob.admin.ch &gt; KBOB / ecobau / IPB 2009/1:2016</v>
      </c>
      <c r="AB39" s="283">
        <f>VLOOKUP(LEFT(A39,6),MepClassificationAndLifecycle!A39:C105,3,false)</f>
        <v>30</v>
      </c>
    </row>
    <row r="40">
      <c r="A40" s="2" t="str">
        <f>'Gebäudetechnik Technique'!A52 &amp; " " &amp; 'Gebäudetechnik Technique'!B52 &amp; " (KBOB.2016)"</f>
        <v>34.027 Solarstromanlage Fassade (KBOB.2016)</v>
      </c>
      <c r="B40" s="2" t="str">
        <f t="shared" si="1"/>
        <v>34.027 Solarstromanlage Fassade (KBOB.2016)</v>
      </c>
      <c r="C40" s="2"/>
      <c r="D40" s="2"/>
      <c r="E40" s="2"/>
      <c r="F40" s="2" t="s">
        <v>1613</v>
      </c>
      <c r="G40" s="2" t="str">
        <f t="shared" si="2"/>
        <v>BUILDING_TECHNOLOGY_ELECTRICAL</v>
      </c>
      <c r="H40" s="3" t="str">
        <f>VLOOKUP(LEFT(A40,6),MepClassificationAndLifecycle!A40:C106,2,false)</f>
        <v>photovoltaicSystem</v>
      </c>
      <c r="I40" s="63"/>
      <c r="J40" s="64">
        <f>'Gebäudetechnik Technique'!G52</f>
        <v>3170000</v>
      </c>
      <c r="K40" s="64">
        <f>'Gebäudetechnik Technique'!H52</f>
        <v>3170000</v>
      </c>
      <c r="L40" s="64"/>
      <c r="M40" s="64">
        <f>'Gebäudetechnik Technique'!M52</f>
        <v>905</v>
      </c>
      <c r="N40" s="64">
        <f>'Gebäudetechnik Technique'!N52</f>
        <v>905</v>
      </c>
      <c r="O40" s="64"/>
      <c r="P40" s="64">
        <f>'Gebäudetechnik Technique'!P52</f>
        <v>7460</v>
      </c>
      <c r="Q40" s="64">
        <f>'Gebäudetechnik Technique'!Q52</f>
        <v>7460</v>
      </c>
      <c r="R40" s="64"/>
      <c r="S40" s="64">
        <f>'Gebäudetechnik Technique'!S52</f>
        <v>2140</v>
      </c>
      <c r="T40" s="64">
        <f>'Gebäudetechnik Technique'!T52</f>
        <v>2140</v>
      </c>
      <c r="U40" s="64"/>
      <c r="V40" s="2" t="str">
        <f>'Gebäudetechnik Technique'!F52</f>
        <v>kWp</v>
      </c>
      <c r="W40" s="2" t="str">
        <f>VLOOKUP('Gebäudetechnik Technique'!E52,RefDimensions!A$2:B$15,2,false)</f>
        <v>maxPower</v>
      </c>
      <c r="X40" s="68">
        <v>0.0</v>
      </c>
      <c r="Y40" s="282" t="str">
        <f>'Gebäudetechnik Technique'!A52</f>
        <v>34.027</v>
      </c>
      <c r="Z40" s="7" t="s">
        <v>203</v>
      </c>
      <c r="AA40" s="67" t="str">
        <f t="shared" si="3"/>
        <v>Alle &gt; GEBÄUDETECHNIK &gt; kbob.admin.ch &gt; KBOB / ecobau / IPB 2009/1:2016</v>
      </c>
      <c r="AB40" s="283">
        <f>VLOOKUP(LEFT(A40,6),MepClassificationAndLifecycle!A40:C106,3,false)</f>
        <v>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B8B7"/>
    <outlinePr summaryRight="0"/>
    <pageSetUpPr fitToPage="1"/>
  </sheetPr>
  <sheetViews>
    <sheetView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4.43" defaultRowHeight="15.0" outlineLevelCol="1" outlineLevelRow="1"/>
  <cols>
    <col customWidth="1" min="1" max="1" width="9.0"/>
    <col customWidth="1" min="2" max="2" width="58.14"/>
    <col customWidth="1" min="3" max="3" width="11.43" outlineLevel="1"/>
    <col customWidth="1" min="4" max="4" width="63.57" outlineLevel="1"/>
    <col customWidth="1" min="5" max="5" width="12.71"/>
    <col customWidth="1" min="6" max="6" width="7.14"/>
    <col customWidth="1" min="7" max="9" width="10.71"/>
    <col customWidth="1" min="10" max="12" width="10.71" outlineLevel="1"/>
    <col customWidth="1" min="13" max="21" width="10.71"/>
    <col customWidth="1" min="22" max="22" width="15.14"/>
    <col customWidth="1" min="23" max="23" width="68.43"/>
    <col customWidth="1" min="24" max="25" width="10.86"/>
    <col customWidth="1" min="26" max="26" width="62.0"/>
  </cols>
  <sheetData>
    <row r="1" ht="12.75" customHeight="1">
      <c r="A1" s="289"/>
      <c r="B1" s="290" t="s">
        <v>403</v>
      </c>
      <c r="C1" s="291"/>
      <c r="D1" s="292"/>
      <c r="E1" s="293"/>
      <c r="F1" s="293"/>
      <c r="G1" s="294"/>
      <c r="H1" s="295"/>
      <c r="I1" s="295"/>
      <c r="J1" s="294"/>
      <c r="K1" s="295"/>
      <c r="L1" s="295"/>
      <c r="M1" s="294" t="s">
        <v>404</v>
      </c>
      <c r="N1" s="295"/>
      <c r="O1" s="295"/>
      <c r="P1" s="295"/>
      <c r="Q1" s="295"/>
      <c r="R1" s="295"/>
      <c r="S1" s="296"/>
      <c r="T1" s="296"/>
      <c r="U1" s="296"/>
      <c r="V1" s="297"/>
      <c r="W1" s="298" t="s">
        <v>2008</v>
      </c>
      <c r="X1" s="299"/>
      <c r="Y1" s="299"/>
      <c r="Z1" s="299"/>
    </row>
    <row r="2" ht="12.75" customHeight="1">
      <c r="A2" s="300"/>
      <c r="B2" s="301"/>
      <c r="C2" s="126"/>
      <c r="D2" s="126"/>
      <c r="E2" s="126"/>
      <c r="F2" s="126"/>
      <c r="G2" s="302"/>
      <c r="H2" s="303"/>
      <c r="I2" s="303"/>
      <c r="J2" s="303"/>
      <c r="K2" s="303"/>
      <c r="L2" s="304"/>
      <c r="M2" s="303"/>
      <c r="N2" s="303"/>
      <c r="O2" s="304"/>
      <c r="P2" s="304"/>
      <c r="Q2" s="303"/>
      <c r="R2" s="303"/>
      <c r="S2" s="305"/>
      <c r="T2" s="305"/>
      <c r="U2" s="305"/>
      <c r="V2" s="306"/>
      <c r="W2" s="307"/>
      <c r="X2" s="308"/>
      <c r="Y2" s="308"/>
      <c r="Z2" s="308"/>
    </row>
    <row r="3" ht="12.75" hidden="1" customHeight="1" outlineLevel="1">
      <c r="A3" s="87"/>
      <c r="B3" s="88"/>
      <c r="C3" s="89"/>
      <c r="D3" s="90"/>
      <c r="E3" s="90"/>
      <c r="F3" s="91"/>
      <c r="G3" s="92"/>
      <c r="H3" s="91" t="s">
        <v>420</v>
      </c>
      <c r="I3" s="91" t="s">
        <v>420</v>
      </c>
      <c r="J3" s="91"/>
      <c r="K3" s="91" t="s">
        <v>2009</v>
      </c>
      <c r="L3" s="91" t="s">
        <v>2009</v>
      </c>
      <c r="M3" s="91"/>
      <c r="N3" s="91" t="s">
        <v>2010</v>
      </c>
      <c r="O3" s="91" t="s">
        <v>2010</v>
      </c>
      <c r="P3" s="91"/>
      <c r="Q3" s="91" t="s">
        <v>2011</v>
      </c>
      <c r="R3" s="93" t="s">
        <v>2011</v>
      </c>
      <c r="S3" s="91"/>
      <c r="T3" s="91" t="s">
        <v>2012</v>
      </c>
      <c r="U3" s="91" t="s">
        <v>2012</v>
      </c>
      <c r="V3" s="94"/>
      <c r="W3" s="91"/>
      <c r="X3" s="91"/>
      <c r="Y3" s="91"/>
      <c r="Z3" s="91"/>
    </row>
    <row r="4" ht="25.5" customHeight="1" collapsed="1">
      <c r="A4" s="309" t="s">
        <v>409</v>
      </c>
      <c r="B4" s="310" t="s">
        <v>2013</v>
      </c>
      <c r="C4" s="309" t="s">
        <v>411</v>
      </c>
      <c r="D4" s="96" t="s">
        <v>412</v>
      </c>
      <c r="E4" s="311" t="s">
        <v>2014</v>
      </c>
      <c r="F4" s="213"/>
      <c r="G4" s="101" t="s">
        <v>122</v>
      </c>
      <c r="H4" s="102"/>
      <c r="I4" s="103"/>
      <c r="J4" s="312" t="s">
        <v>2015</v>
      </c>
      <c r="K4" s="313"/>
      <c r="L4" s="313"/>
      <c r="M4" s="313"/>
      <c r="N4" s="313"/>
      <c r="O4" s="313"/>
      <c r="P4" s="313"/>
      <c r="Q4" s="313"/>
      <c r="R4" s="314"/>
      <c r="S4" s="315" t="s">
        <v>416</v>
      </c>
      <c r="T4" s="102"/>
      <c r="U4" s="103"/>
      <c r="V4" s="316" t="s">
        <v>2016</v>
      </c>
      <c r="W4" s="317" t="s">
        <v>2017</v>
      </c>
      <c r="X4" s="277"/>
      <c r="Y4" s="277"/>
      <c r="Z4" s="277"/>
    </row>
    <row r="5" ht="12.75" customHeight="1">
      <c r="A5" s="318" t="s">
        <v>418</v>
      </c>
      <c r="B5" s="107"/>
      <c r="C5" s="318" t="s">
        <v>419</v>
      </c>
      <c r="D5" s="107"/>
      <c r="E5" s="319"/>
      <c r="F5" s="320"/>
      <c r="G5" s="321" t="s">
        <v>420</v>
      </c>
      <c r="H5" s="112"/>
      <c r="I5" s="113"/>
      <c r="J5" s="322" t="s">
        <v>421</v>
      </c>
      <c r="K5" s="115"/>
      <c r="L5" s="116"/>
      <c r="M5" s="323" t="s">
        <v>125</v>
      </c>
      <c r="N5" s="115"/>
      <c r="O5" s="116"/>
      <c r="P5" s="324" t="s">
        <v>2018</v>
      </c>
      <c r="Q5" s="115"/>
      <c r="R5" s="116"/>
      <c r="S5" s="325" t="s">
        <v>422</v>
      </c>
      <c r="T5" s="115"/>
      <c r="U5" s="116"/>
      <c r="V5" s="326"/>
      <c r="W5" s="107"/>
      <c r="X5" s="277"/>
      <c r="Y5" s="277"/>
      <c r="Z5" s="277"/>
    </row>
    <row r="6" ht="12.75" customHeight="1">
      <c r="A6" s="110"/>
      <c r="B6" s="110"/>
      <c r="C6" s="110"/>
      <c r="D6" s="110"/>
      <c r="E6" s="327" t="s">
        <v>2019</v>
      </c>
      <c r="F6" s="328"/>
      <c r="G6" s="122"/>
      <c r="H6" s="123"/>
      <c r="I6" s="124"/>
      <c r="J6" s="329" t="s">
        <v>424</v>
      </c>
      <c r="K6" s="126"/>
      <c r="L6" s="127"/>
      <c r="M6" s="330" t="s">
        <v>145</v>
      </c>
      <c r="N6" s="126"/>
      <c r="O6" s="127"/>
      <c r="P6" s="331" t="s">
        <v>2020</v>
      </c>
      <c r="Q6" s="126"/>
      <c r="R6" s="127"/>
      <c r="S6" s="332" t="s">
        <v>426</v>
      </c>
      <c r="T6" s="126"/>
      <c r="U6" s="127"/>
      <c r="V6" s="333" t="s">
        <v>2021</v>
      </c>
      <c r="W6" s="110"/>
      <c r="X6" s="277"/>
      <c r="Y6" s="277"/>
      <c r="Z6" s="277"/>
    </row>
    <row r="7" ht="22.5" customHeight="1">
      <c r="A7" s="129"/>
      <c r="B7" s="334" t="s">
        <v>428</v>
      </c>
      <c r="C7" s="129"/>
      <c r="D7" s="334" t="s">
        <v>428</v>
      </c>
      <c r="E7" s="335"/>
      <c r="F7" s="327"/>
      <c r="G7" s="336" t="s">
        <v>405</v>
      </c>
      <c r="H7" s="337" t="s">
        <v>429</v>
      </c>
      <c r="I7" s="337" t="s">
        <v>412</v>
      </c>
      <c r="J7" s="338" t="s">
        <v>405</v>
      </c>
      <c r="K7" s="339" t="s">
        <v>429</v>
      </c>
      <c r="L7" s="339" t="s">
        <v>412</v>
      </c>
      <c r="M7" s="338" t="s">
        <v>405</v>
      </c>
      <c r="N7" s="339" t="s">
        <v>429</v>
      </c>
      <c r="O7" s="339" t="s">
        <v>412</v>
      </c>
      <c r="P7" s="338" t="s">
        <v>405</v>
      </c>
      <c r="Q7" s="339" t="s">
        <v>429</v>
      </c>
      <c r="R7" s="339" t="s">
        <v>412</v>
      </c>
      <c r="S7" s="340" t="s">
        <v>405</v>
      </c>
      <c r="T7" s="341" t="s">
        <v>429</v>
      </c>
      <c r="U7" s="341" t="s">
        <v>412</v>
      </c>
      <c r="V7" s="342"/>
      <c r="W7" s="343"/>
      <c r="X7" s="91"/>
      <c r="Y7" s="91"/>
      <c r="Z7" s="91"/>
    </row>
    <row r="8" ht="22.5" customHeight="1">
      <c r="A8" s="137"/>
      <c r="B8" s="334"/>
      <c r="C8" s="137"/>
      <c r="D8" s="334"/>
      <c r="E8" s="327"/>
      <c r="F8" s="344"/>
      <c r="G8" s="345" t="s">
        <v>405</v>
      </c>
      <c r="H8" s="346" t="s">
        <v>431</v>
      </c>
      <c r="I8" s="346" t="s">
        <v>432</v>
      </c>
      <c r="J8" s="347" t="s">
        <v>405</v>
      </c>
      <c r="K8" s="348" t="s">
        <v>431</v>
      </c>
      <c r="L8" s="348" t="s">
        <v>432</v>
      </c>
      <c r="M8" s="347" t="s">
        <v>405</v>
      </c>
      <c r="N8" s="348" t="s">
        <v>431</v>
      </c>
      <c r="O8" s="348" t="s">
        <v>432</v>
      </c>
      <c r="P8" s="347" t="s">
        <v>405</v>
      </c>
      <c r="Q8" s="348" t="s">
        <v>431</v>
      </c>
      <c r="R8" s="348" t="s">
        <v>432</v>
      </c>
      <c r="S8" s="349" t="s">
        <v>405</v>
      </c>
      <c r="T8" s="350" t="s">
        <v>431</v>
      </c>
      <c r="U8" s="350" t="s">
        <v>432</v>
      </c>
      <c r="V8" s="342"/>
      <c r="W8" s="343"/>
      <c r="X8" s="91"/>
      <c r="Y8" s="91"/>
      <c r="Z8" s="91"/>
    </row>
    <row r="9" ht="12.75" customHeight="1">
      <c r="A9" s="143"/>
      <c r="B9" s="351"/>
      <c r="C9" s="143"/>
      <c r="D9" s="351"/>
      <c r="E9" s="352"/>
      <c r="F9" s="353" t="s">
        <v>2022</v>
      </c>
      <c r="G9" s="354" t="s">
        <v>420</v>
      </c>
      <c r="H9" s="354" t="s">
        <v>420</v>
      </c>
      <c r="I9" s="354" t="s">
        <v>420</v>
      </c>
      <c r="J9" s="148" t="s">
        <v>433</v>
      </c>
      <c r="K9" s="148" t="s">
        <v>433</v>
      </c>
      <c r="L9" s="148" t="s">
        <v>433</v>
      </c>
      <c r="M9" s="148" t="s">
        <v>433</v>
      </c>
      <c r="N9" s="148" t="s">
        <v>433</v>
      </c>
      <c r="O9" s="148" t="s">
        <v>433</v>
      </c>
      <c r="P9" s="148" t="s">
        <v>433</v>
      </c>
      <c r="Q9" s="148" t="s">
        <v>433</v>
      </c>
      <c r="R9" s="148" t="s">
        <v>433</v>
      </c>
      <c r="S9" s="149" t="s">
        <v>2023</v>
      </c>
      <c r="T9" s="149" t="s">
        <v>2024</v>
      </c>
      <c r="U9" s="149" t="s">
        <v>2025</v>
      </c>
      <c r="V9" s="355"/>
      <c r="W9" s="150"/>
      <c r="X9" s="277"/>
      <c r="Y9" s="277"/>
      <c r="Z9" s="277"/>
    </row>
    <row r="10" ht="12.75" customHeight="1">
      <c r="A10" s="175" t="s">
        <v>2026</v>
      </c>
      <c r="B10" s="177" t="s">
        <v>2027</v>
      </c>
      <c r="C10" s="176"/>
      <c r="D10" s="177"/>
      <c r="E10" s="180"/>
      <c r="F10" s="180"/>
      <c r="G10" s="356"/>
      <c r="H10" s="356"/>
      <c r="I10" s="356"/>
      <c r="J10" s="356"/>
      <c r="K10" s="357"/>
      <c r="L10" s="357"/>
      <c r="M10" s="356"/>
      <c r="N10" s="357"/>
      <c r="O10" s="357"/>
      <c r="P10" s="358"/>
      <c r="Q10" s="212"/>
      <c r="R10" s="213"/>
      <c r="S10" s="359"/>
      <c r="T10" s="359"/>
      <c r="U10" s="359"/>
      <c r="V10" s="360"/>
      <c r="W10" s="179" t="s">
        <v>2028</v>
      </c>
      <c r="X10" s="277"/>
      <c r="Y10" s="277"/>
      <c r="Z10" s="277"/>
    </row>
    <row r="11" ht="12.75" customHeight="1">
      <c r="A11" s="183" t="s">
        <v>54</v>
      </c>
      <c r="B11" s="184" t="s">
        <v>2029</v>
      </c>
      <c r="C11" s="183" t="s">
        <v>2030</v>
      </c>
      <c r="D11" s="184" t="s">
        <v>2031</v>
      </c>
      <c r="E11" s="361" t="s">
        <v>21</v>
      </c>
      <c r="F11" s="186" t="s">
        <v>2032</v>
      </c>
      <c r="G11" s="233">
        <v>1200.0</v>
      </c>
      <c r="H11" s="234">
        <v>1190.0</v>
      </c>
      <c r="I11" s="234">
        <v>10.6</v>
      </c>
      <c r="J11" s="362">
        <v>2.51</v>
      </c>
      <c r="K11" s="363">
        <v>2.5</v>
      </c>
      <c r="L11" s="363">
        <v>0.0184</v>
      </c>
      <c r="M11" s="364">
        <v>0.236</v>
      </c>
      <c r="N11" s="365">
        <v>0.236</v>
      </c>
      <c r="O11" s="365">
        <v>3.17E-4</v>
      </c>
      <c r="P11" s="364">
        <v>2.28</v>
      </c>
      <c r="Q11" s="365">
        <v>2.26</v>
      </c>
      <c r="R11" s="365">
        <v>0.0181</v>
      </c>
      <c r="S11" s="364">
        <v>0.512</v>
      </c>
      <c r="T11" s="366">
        <v>0.501</v>
      </c>
      <c r="U11" s="367">
        <v>0.0109</v>
      </c>
      <c r="V11" s="368" t="s">
        <v>2033</v>
      </c>
      <c r="W11" s="276" t="s">
        <v>2034</v>
      </c>
      <c r="X11" s="277"/>
      <c r="Y11" s="277"/>
      <c r="Z11" s="277"/>
    </row>
    <row r="12" ht="12.75" customHeight="1">
      <c r="A12" s="183" t="s">
        <v>56</v>
      </c>
      <c r="B12" s="369" t="s">
        <v>2035</v>
      </c>
      <c r="C12" s="183" t="s">
        <v>2036</v>
      </c>
      <c r="D12" s="184" t="s">
        <v>2037</v>
      </c>
      <c r="E12" s="361" t="s">
        <v>21</v>
      </c>
      <c r="F12" s="186" t="s">
        <v>2038</v>
      </c>
      <c r="G12" s="233">
        <v>3590.0</v>
      </c>
      <c r="H12" s="234">
        <v>3560.0</v>
      </c>
      <c r="I12" s="234">
        <v>31.8</v>
      </c>
      <c r="J12" s="362">
        <v>7.54</v>
      </c>
      <c r="K12" s="363">
        <v>7.49</v>
      </c>
      <c r="L12" s="363">
        <v>0.0553</v>
      </c>
      <c r="M12" s="364">
        <v>0.708</v>
      </c>
      <c r="N12" s="365">
        <v>0.707</v>
      </c>
      <c r="O12" s="365">
        <v>9.52E-4</v>
      </c>
      <c r="P12" s="364">
        <v>6.83</v>
      </c>
      <c r="Q12" s="365">
        <v>6.78</v>
      </c>
      <c r="R12" s="365">
        <v>0.0544</v>
      </c>
      <c r="S12" s="364">
        <v>1.53</v>
      </c>
      <c r="T12" s="366">
        <v>1.5</v>
      </c>
      <c r="U12" s="367">
        <v>0.0327</v>
      </c>
      <c r="V12" s="370" t="s">
        <v>2033</v>
      </c>
      <c r="W12" s="371" t="s">
        <v>2039</v>
      </c>
      <c r="X12" s="277"/>
      <c r="Y12" s="277"/>
      <c r="Z12" s="277"/>
    </row>
    <row r="13" ht="12.75" customHeight="1">
      <c r="A13" s="183" t="s">
        <v>57</v>
      </c>
      <c r="B13" s="369" t="s">
        <v>2040</v>
      </c>
      <c r="C13" s="183" t="s">
        <v>2041</v>
      </c>
      <c r="D13" s="184" t="s">
        <v>2042</v>
      </c>
      <c r="E13" s="361" t="s">
        <v>21</v>
      </c>
      <c r="F13" s="186" t="s">
        <v>2043</v>
      </c>
      <c r="G13" s="233">
        <v>5990.0</v>
      </c>
      <c r="H13" s="234">
        <v>5930.0</v>
      </c>
      <c r="I13" s="234">
        <v>53.0</v>
      </c>
      <c r="J13" s="362">
        <v>12.6</v>
      </c>
      <c r="K13" s="363">
        <v>12.5</v>
      </c>
      <c r="L13" s="363">
        <v>0.0922</v>
      </c>
      <c r="M13" s="364">
        <v>1.18</v>
      </c>
      <c r="N13" s="365">
        <v>1.18</v>
      </c>
      <c r="O13" s="365">
        <v>0.00159</v>
      </c>
      <c r="P13" s="364">
        <v>11.4</v>
      </c>
      <c r="Q13" s="365">
        <v>11.3</v>
      </c>
      <c r="R13" s="365">
        <v>0.0906</v>
      </c>
      <c r="S13" s="364">
        <v>2.56</v>
      </c>
      <c r="T13" s="366">
        <v>2.5</v>
      </c>
      <c r="U13" s="367">
        <v>0.0545</v>
      </c>
      <c r="V13" s="370" t="s">
        <v>2033</v>
      </c>
      <c r="W13" s="371" t="s">
        <v>2044</v>
      </c>
      <c r="X13" s="277"/>
      <c r="Y13" s="277"/>
      <c r="Z13" s="277"/>
    </row>
    <row r="14" ht="12.75" customHeight="1">
      <c r="A14" s="183" t="s">
        <v>59</v>
      </c>
      <c r="B14" s="369" t="s">
        <v>2045</v>
      </c>
      <c r="C14" s="183" t="s">
        <v>2046</v>
      </c>
      <c r="D14" s="184" t="s">
        <v>2047</v>
      </c>
      <c r="E14" s="361" t="s">
        <v>21</v>
      </c>
      <c r="F14" s="186" t="s">
        <v>2048</v>
      </c>
      <c r="G14" s="233">
        <v>5480.0</v>
      </c>
      <c r="H14" s="234">
        <v>4670.0</v>
      </c>
      <c r="I14" s="234">
        <v>807.0</v>
      </c>
      <c r="J14" s="362">
        <v>15.8</v>
      </c>
      <c r="K14" s="363">
        <v>13.1</v>
      </c>
      <c r="L14" s="363">
        <v>2.7</v>
      </c>
      <c r="M14" s="364">
        <v>1.51</v>
      </c>
      <c r="N14" s="365">
        <v>1.14</v>
      </c>
      <c r="O14" s="365">
        <v>0.37</v>
      </c>
      <c r="P14" s="364">
        <v>14.3</v>
      </c>
      <c r="Q14" s="365">
        <v>12.0</v>
      </c>
      <c r="R14" s="365">
        <v>2.33</v>
      </c>
      <c r="S14" s="364">
        <v>3.07</v>
      </c>
      <c r="T14" s="366">
        <v>2.39</v>
      </c>
      <c r="U14" s="367">
        <v>0.674</v>
      </c>
      <c r="V14" s="370" t="s">
        <v>2033</v>
      </c>
      <c r="W14" s="371" t="s">
        <v>2049</v>
      </c>
      <c r="X14" s="277"/>
      <c r="Y14" s="277"/>
      <c r="Z14" s="277"/>
    </row>
    <row r="15" ht="12.75" customHeight="1">
      <c r="A15" s="183" t="s">
        <v>61</v>
      </c>
      <c r="B15" s="369" t="s">
        <v>2050</v>
      </c>
      <c r="C15" s="183" t="s">
        <v>2051</v>
      </c>
      <c r="D15" s="184" t="s">
        <v>2052</v>
      </c>
      <c r="E15" s="361" t="s">
        <v>21</v>
      </c>
      <c r="F15" s="186" t="s">
        <v>2053</v>
      </c>
      <c r="G15" s="233">
        <v>15000.0</v>
      </c>
      <c r="H15" s="234">
        <v>13900.0</v>
      </c>
      <c r="I15" s="234">
        <v>1090.0</v>
      </c>
      <c r="J15" s="362">
        <v>35.3</v>
      </c>
      <c r="K15" s="363">
        <v>32.1</v>
      </c>
      <c r="L15" s="363">
        <v>3.22</v>
      </c>
      <c r="M15" s="364">
        <v>2.68</v>
      </c>
      <c r="N15" s="365">
        <v>2.25</v>
      </c>
      <c r="O15" s="365">
        <v>0.433</v>
      </c>
      <c r="P15" s="364">
        <v>32.7</v>
      </c>
      <c r="Q15" s="365">
        <v>29.9</v>
      </c>
      <c r="R15" s="365">
        <v>2.79</v>
      </c>
      <c r="S15" s="364">
        <v>7.62</v>
      </c>
      <c r="T15" s="366">
        <v>6.56</v>
      </c>
      <c r="U15" s="367">
        <v>1.06</v>
      </c>
      <c r="V15" s="370" t="s">
        <v>2033</v>
      </c>
      <c r="W15" s="371" t="s">
        <v>2054</v>
      </c>
      <c r="X15" s="277"/>
      <c r="Y15" s="277"/>
      <c r="Z15" s="277"/>
    </row>
    <row r="16" ht="12.75" customHeight="1">
      <c r="A16" s="183" t="s">
        <v>62</v>
      </c>
      <c r="B16" s="369" t="s">
        <v>2055</v>
      </c>
      <c r="C16" s="183" t="s">
        <v>2056</v>
      </c>
      <c r="D16" s="184" t="s">
        <v>2057</v>
      </c>
      <c r="E16" s="361" t="s">
        <v>21</v>
      </c>
      <c r="F16" s="186" t="s">
        <v>2058</v>
      </c>
      <c r="G16" s="233">
        <v>10200.0</v>
      </c>
      <c r="H16" s="234">
        <v>10200.0</v>
      </c>
      <c r="I16" s="234">
        <v>17.9</v>
      </c>
      <c r="J16" s="362">
        <v>24.4</v>
      </c>
      <c r="K16" s="363">
        <v>24.4</v>
      </c>
      <c r="L16" s="363">
        <v>0.0371</v>
      </c>
      <c r="M16" s="364">
        <v>1.63</v>
      </c>
      <c r="N16" s="365">
        <v>1.62</v>
      </c>
      <c r="O16" s="365">
        <v>0.00185</v>
      </c>
      <c r="P16" s="364">
        <v>22.8</v>
      </c>
      <c r="Q16" s="365">
        <v>22.7</v>
      </c>
      <c r="R16" s="365">
        <v>0.0352</v>
      </c>
      <c r="S16" s="364">
        <v>5.46</v>
      </c>
      <c r="T16" s="366">
        <v>5.44</v>
      </c>
      <c r="U16" s="367">
        <v>0.0227</v>
      </c>
      <c r="V16" s="370" t="s">
        <v>2033</v>
      </c>
      <c r="W16" s="371" t="s">
        <v>2059</v>
      </c>
      <c r="X16" s="277"/>
      <c r="Y16" s="277"/>
      <c r="Z16" s="277"/>
    </row>
    <row r="17" ht="12.75" customHeight="1">
      <c r="A17" s="183" t="s">
        <v>64</v>
      </c>
      <c r="B17" s="369" t="s">
        <v>2060</v>
      </c>
      <c r="C17" s="183" t="s">
        <v>2061</v>
      </c>
      <c r="D17" s="184" t="s">
        <v>2062</v>
      </c>
      <c r="E17" s="361" t="s">
        <v>21</v>
      </c>
      <c r="F17" s="186" t="s">
        <v>2063</v>
      </c>
      <c r="G17" s="233">
        <v>4040.0</v>
      </c>
      <c r="H17" s="234">
        <v>3040.0</v>
      </c>
      <c r="I17" s="234">
        <v>997.0</v>
      </c>
      <c r="J17" s="362">
        <v>23.7</v>
      </c>
      <c r="K17" s="363">
        <v>23.6</v>
      </c>
      <c r="L17" s="363">
        <v>0.0933</v>
      </c>
      <c r="M17" s="364">
        <v>1.48</v>
      </c>
      <c r="N17" s="365">
        <v>1.48</v>
      </c>
      <c r="O17" s="365">
        <v>0.00165</v>
      </c>
      <c r="P17" s="364">
        <v>22.3</v>
      </c>
      <c r="Q17" s="365">
        <v>22.2</v>
      </c>
      <c r="R17" s="365">
        <v>0.0917</v>
      </c>
      <c r="S17" s="364">
        <v>5.06</v>
      </c>
      <c r="T17" s="366">
        <v>3.02</v>
      </c>
      <c r="U17" s="367">
        <v>2.04</v>
      </c>
      <c r="V17" s="370" t="s">
        <v>2033</v>
      </c>
      <c r="W17" s="371" t="s">
        <v>2064</v>
      </c>
      <c r="X17" s="277"/>
      <c r="Y17" s="277"/>
      <c r="Z17" s="277"/>
    </row>
    <row r="18" ht="12.75" customHeight="1">
      <c r="A18" s="183" t="s">
        <v>65</v>
      </c>
      <c r="B18" s="369" t="s">
        <v>2065</v>
      </c>
      <c r="C18" s="183" t="s">
        <v>2066</v>
      </c>
      <c r="D18" s="184" t="s">
        <v>2067</v>
      </c>
      <c r="E18" s="361" t="s">
        <v>21</v>
      </c>
      <c r="F18" s="186" t="s">
        <v>2068</v>
      </c>
      <c r="G18" s="233">
        <v>39400.0</v>
      </c>
      <c r="H18" s="234">
        <v>39400.0</v>
      </c>
      <c r="I18" s="234">
        <v>70.4</v>
      </c>
      <c r="J18" s="362">
        <v>30.8</v>
      </c>
      <c r="K18" s="363">
        <v>30.8</v>
      </c>
      <c r="L18" s="363">
        <v>0.0322</v>
      </c>
      <c r="M18" s="364">
        <v>4.47</v>
      </c>
      <c r="N18" s="365">
        <v>4.47</v>
      </c>
      <c r="O18" s="365">
        <v>0.00159</v>
      </c>
      <c r="P18" s="364">
        <v>26.4</v>
      </c>
      <c r="Q18" s="365">
        <v>26.3</v>
      </c>
      <c r="R18" s="365">
        <v>0.0306</v>
      </c>
      <c r="S18" s="364">
        <v>5.77</v>
      </c>
      <c r="T18" s="366">
        <v>5.64</v>
      </c>
      <c r="U18" s="367">
        <v>0.134</v>
      </c>
      <c r="V18" s="370" t="s">
        <v>2033</v>
      </c>
      <c r="W18" s="371" t="s">
        <v>2069</v>
      </c>
      <c r="X18" s="277"/>
      <c r="Y18" s="277"/>
      <c r="Z18" s="277"/>
    </row>
    <row r="19" ht="12.75" customHeight="1">
      <c r="A19" s="183" t="s">
        <v>66</v>
      </c>
      <c r="B19" s="369" t="s">
        <v>2070</v>
      </c>
      <c r="C19" s="183" t="s">
        <v>2071</v>
      </c>
      <c r="D19" s="184" t="s">
        <v>2072</v>
      </c>
      <c r="E19" s="361" t="s">
        <v>21</v>
      </c>
      <c r="F19" s="186" t="s">
        <v>2073</v>
      </c>
      <c r="G19" s="233">
        <v>2940.0</v>
      </c>
      <c r="H19" s="234">
        <v>2910.0</v>
      </c>
      <c r="I19" s="234">
        <v>33.6</v>
      </c>
      <c r="J19" s="362">
        <v>8.29</v>
      </c>
      <c r="K19" s="363">
        <v>8.28</v>
      </c>
      <c r="L19" s="363">
        <v>0.00656</v>
      </c>
      <c r="M19" s="364">
        <v>0.325</v>
      </c>
      <c r="N19" s="365">
        <v>0.325</v>
      </c>
      <c r="O19" s="365">
        <v>8.3E-5</v>
      </c>
      <c r="P19" s="364">
        <v>7.96</v>
      </c>
      <c r="Q19" s="365">
        <v>7.95</v>
      </c>
      <c r="R19" s="365">
        <v>0.00648</v>
      </c>
      <c r="S19" s="364">
        <v>1.7</v>
      </c>
      <c r="T19" s="366">
        <v>1.63</v>
      </c>
      <c r="U19" s="367">
        <v>0.0672</v>
      </c>
      <c r="V19" s="370" t="s">
        <v>2033</v>
      </c>
      <c r="W19" s="371" t="s">
        <v>2074</v>
      </c>
      <c r="X19" s="277"/>
      <c r="Y19" s="277"/>
      <c r="Z19" s="277"/>
    </row>
    <row r="20" ht="12.75" customHeight="1">
      <c r="A20" s="183" t="s">
        <v>67</v>
      </c>
      <c r="B20" s="369" t="s">
        <v>2075</v>
      </c>
      <c r="C20" s="183" t="s">
        <v>2076</v>
      </c>
      <c r="D20" s="184" t="s">
        <v>2077</v>
      </c>
      <c r="E20" s="361" t="s">
        <v>25</v>
      </c>
      <c r="F20" s="186" t="s">
        <v>334</v>
      </c>
      <c r="G20" s="233">
        <v>34600.0</v>
      </c>
      <c r="H20" s="234">
        <v>30500.0</v>
      </c>
      <c r="I20" s="234">
        <v>4100.0</v>
      </c>
      <c r="J20" s="362">
        <v>133.0</v>
      </c>
      <c r="K20" s="363">
        <v>131.0</v>
      </c>
      <c r="L20" s="363">
        <v>1.74</v>
      </c>
      <c r="M20" s="364">
        <v>2.87</v>
      </c>
      <c r="N20" s="365">
        <v>2.61</v>
      </c>
      <c r="O20" s="365">
        <v>0.255</v>
      </c>
      <c r="P20" s="364">
        <v>130.0</v>
      </c>
      <c r="Q20" s="365">
        <v>129.0</v>
      </c>
      <c r="R20" s="365">
        <v>1.48</v>
      </c>
      <c r="S20" s="364">
        <v>28.1</v>
      </c>
      <c r="T20" s="366">
        <v>25.3</v>
      </c>
      <c r="U20" s="367">
        <v>2.73</v>
      </c>
      <c r="V20" s="370" t="s">
        <v>2078</v>
      </c>
      <c r="W20" s="371" t="s">
        <v>2079</v>
      </c>
      <c r="X20" s="277"/>
      <c r="Y20" s="277"/>
      <c r="Z20" s="277"/>
    </row>
    <row r="21" ht="12.75" customHeight="1">
      <c r="A21" s="183" t="s">
        <v>70</v>
      </c>
      <c r="B21" s="369" t="s">
        <v>2080</v>
      </c>
      <c r="C21" s="183" t="s">
        <v>2081</v>
      </c>
      <c r="D21" s="184" t="s">
        <v>2082</v>
      </c>
      <c r="E21" s="361" t="s">
        <v>27</v>
      </c>
      <c r="F21" s="186" t="s">
        <v>1546</v>
      </c>
      <c r="G21" s="233">
        <v>4220000.0</v>
      </c>
      <c r="H21" s="234">
        <v>3860000.0</v>
      </c>
      <c r="I21" s="234">
        <v>367000.0</v>
      </c>
      <c r="J21" s="362">
        <v>6030.0</v>
      </c>
      <c r="K21" s="363">
        <v>5980.0</v>
      </c>
      <c r="L21" s="363">
        <v>49.0</v>
      </c>
      <c r="M21" s="364">
        <v>506.0</v>
      </c>
      <c r="N21" s="365">
        <v>503.0</v>
      </c>
      <c r="O21" s="365">
        <v>3.82</v>
      </c>
      <c r="P21" s="364">
        <v>5520.0</v>
      </c>
      <c r="Q21" s="365">
        <v>5480.0</v>
      </c>
      <c r="R21" s="365">
        <v>45.2</v>
      </c>
      <c r="S21" s="364">
        <v>2180.0</v>
      </c>
      <c r="T21" s="366">
        <v>1470.0</v>
      </c>
      <c r="U21" s="367">
        <v>706.0</v>
      </c>
      <c r="V21" s="370" t="s">
        <v>2083</v>
      </c>
      <c r="W21" s="371" t="s">
        <v>2084</v>
      </c>
      <c r="X21" s="277"/>
      <c r="Y21" s="277"/>
      <c r="Z21" s="277"/>
    </row>
    <row r="22" ht="12.75" customHeight="1">
      <c r="A22" s="183" t="s">
        <v>71</v>
      </c>
      <c r="B22" s="369" t="s">
        <v>2080</v>
      </c>
      <c r="C22" s="183" t="s">
        <v>2085</v>
      </c>
      <c r="D22" s="184" t="s">
        <v>2082</v>
      </c>
      <c r="E22" s="361" t="s">
        <v>23</v>
      </c>
      <c r="F22" s="186" t="s">
        <v>559</v>
      </c>
      <c r="G22" s="233">
        <v>22500.0</v>
      </c>
      <c r="H22" s="234">
        <v>20600.0</v>
      </c>
      <c r="I22" s="234">
        <v>1960.0</v>
      </c>
      <c r="J22" s="362">
        <v>32.2</v>
      </c>
      <c r="K22" s="363">
        <v>31.9</v>
      </c>
      <c r="L22" s="363">
        <v>0.262</v>
      </c>
      <c r="M22" s="364">
        <v>2.7</v>
      </c>
      <c r="N22" s="365">
        <v>2.68</v>
      </c>
      <c r="O22" s="365">
        <v>0.0204</v>
      </c>
      <c r="P22" s="364">
        <v>29.5</v>
      </c>
      <c r="Q22" s="365">
        <v>29.2</v>
      </c>
      <c r="R22" s="365">
        <v>0.241</v>
      </c>
      <c r="S22" s="364">
        <v>11.6</v>
      </c>
      <c r="T22" s="366">
        <v>7.86</v>
      </c>
      <c r="U22" s="367">
        <v>3.77</v>
      </c>
      <c r="V22" s="370" t="s">
        <v>2086</v>
      </c>
      <c r="W22" s="371" t="s">
        <v>2084</v>
      </c>
      <c r="X22" s="277"/>
      <c r="Y22" s="277"/>
      <c r="Z22" s="277"/>
    </row>
    <row r="23" ht="12.75" customHeight="1">
      <c r="A23" s="183" t="s">
        <v>72</v>
      </c>
      <c r="B23" s="369" t="s">
        <v>2087</v>
      </c>
      <c r="C23" s="183" t="s">
        <v>2088</v>
      </c>
      <c r="D23" s="184" t="s">
        <v>2089</v>
      </c>
      <c r="E23" s="361" t="s">
        <v>27</v>
      </c>
      <c r="F23" s="186" t="s">
        <v>1546</v>
      </c>
      <c r="G23" s="233">
        <v>5460000.0</v>
      </c>
      <c r="H23" s="234">
        <v>4910000.0</v>
      </c>
      <c r="I23" s="234">
        <v>546000.0</v>
      </c>
      <c r="J23" s="362">
        <v>7100.0</v>
      </c>
      <c r="K23" s="363">
        <v>7030.0</v>
      </c>
      <c r="L23" s="363">
        <v>65.3</v>
      </c>
      <c r="M23" s="364">
        <v>641.0</v>
      </c>
      <c r="N23" s="365">
        <v>636.0</v>
      </c>
      <c r="O23" s="365">
        <v>5.01</v>
      </c>
      <c r="P23" s="364">
        <v>6460.0</v>
      </c>
      <c r="Q23" s="365">
        <v>6400.0</v>
      </c>
      <c r="R23" s="365">
        <v>60.2</v>
      </c>
      <c r="S23" s="364">
        <v>2910.0</v>
      </c>
      <c r="T23" s="366">
        <v>1860.0</v>
      </c>
      <c r="U23" s="367">
        <v>1050.0</v>
      </c>
      <c r="V23" s="370" t="s">
        <v>2083</v>
      </c>
      <c r="W23" s="371" t="s">
        <v>2090</v>
      </c>
      <c r="X23" s="277"/>
      <c r="Y23" s="277"/>
      <c r="Z23" s="277"/>
    </row>
    <row r="24" ht="12.75" customHeight="1">
      <c r="A24" s="183" t="s">
        <v>73</v>
      </c>
      <c r="B24" s="369" t="s">
        <v>2087</v>
      </c>
      <c r="C24" s="183" t="s">
        <v>2091</v>
      </c>
      <c r="D24" s="184" t="s">
        <v>2089</v>
      </c>
      <c r="E24" s="361" t="s">
        <v>23</v>
      </c>
      <c r="F24" s="186" t="s">
        <v>559</v>
      </c>
      <c r="G24" s="233">
        <v>22400.0</v>
      </c>
      <c r="H24" s="234">
        <v>20200.0</v>
      </c>
      <c r="I24" s="234">
        <v>2240.0</v>
      </c>
      <c r="J24" s="362">
        <v>29.1</v>
      </c>
      <c r="K24" s="363">
        <v>28.8</v>
      </c>
      <c r="L24" s="363">
        <v>0.268</v>
      </c>
      <c r="M24" s="364">
        <v>2.63</v>
      </c>
      <c r="N24" s="365">
        <v>2.61</v>
      </c>
      <c r="O24" s="365">
        <v>0.0206</v>
      </c>
      <c r="P24" s="364">
        <v>26.5</v>
      </c>
      <c r="Q24" s="365">
        <v>26.2</v>
      </c>
      <c r="R24" s="365">
        <v>0.248</v>
      </c>
      <c r="S24" s="364">
        <v>12.0</v>
      </c>
      <c r="T24" s="366">
        <v>7.62</v>
      </c>
      <c r="U24" s="367">
        <v>4.33</v>
      </c>
      <c r="V24" s="370" t="s">
        <v>2086</v>
      </c>
      <c r="W24" s="371" t="s">
        <v>2090</v>
      </c>
      <c r="X24" s="277"/>
      <c r="Y24" s="277"/>
      <c r="Z24" s="277"/>
    </row>
    <row r="25" ht="12.75" customHeight="1">
      <c r="A25" s="183" t="s">
        <v>74</v>
      </c>
      <c r="B25" s="369" t="s">
        <v>2092</v>
      </c>
      <c r="C25" s="372" t="s">
        <v>438</v>
      </c>
      <c r="D25" s="184" t="s">
        <v>918</v>
      </c>
      <c r="E25" s="361" t="s">
        <v>29</v>
      </c>
      <c r="F25" s="186" t="s">
        <v>2093</v>
      </c>
      <c r="G25" s="233">
        <v>676000.0</v>
      </c>
      <c r="H25" s="234">
        <v>676000.0</v>
      </c>
      <c r="I25" s="373" t="s">
        <v>2094</v>
      </c>
      <c r="J25" s="374">
        <v>1280.0</v>
      </c>
      <c r="K25" s="363">
        <v>1280.0</v>
      </c>
      <c r="L25" s="375" t="s">
        <v>2094</v>
      </c>
      <c r="M25" s="241">
        <v>142.0</v>
      </c>
      <c r="N25" s="365">
        <v>142.0</v>
      </c>
      <c r="O25" s="376" t="s">
        <v>2094</v>
      </c>
      <c r="P25" s="241">
        <v>1140.0</v>
      </c>
      <c r="Q25" s="365">
        <v>1140.0</v>
      </c>
      <c r="R25" s="376" t="s">
        <v>2094</v>
      </c>
      <c r="S25" s="377">
        <v>256.0</v>
      </c>
      <c r="T25" s="366">
        <v>256.0</v>
      </c>
      <c r="U25" s="378" t="s">
        <v>2094</v>
      </c>
      <c r="V25" s="370" t="s">
        <v>2095</v>
      </c>
      <c r="W25" s="371" t="s">
        <v>2096</v>
      </c>
      <c r="X25" s="277"/>
      <c r="Y25" s="277"/>
      <c r="Z25" s="277"/>
    </row>
    <row r="26" ht="12.75" customHeight="1">
      <c r="A26" s="183" t="s">
        <v>75</v>
      </c>
      <c r="B26" s="369" t="s">
        <v>2097</v>
      </c>
      <c r="C26" s="372" t="s">
        <v>438</v>
      </c>
      <c r="D26" s="184" t="s">
        <v>918</v>
      </c>
      <c r="E26" s="361" t="s">
        <v>29</v>
      </c>
      <c r="F26" s="186" t="s">
        <v>2098</v>
      </c>
      <c r="G26" s="233">
        <v>452000.0</v>
      </c>
      <c r="H26" s="234">
        <v>452000.0</v>
      </c>
      <c r="I26" s="373" t="s">
        <v>2094</v>
      </c>
      <c r="J26" s="374">
        <v>926.0</v>
      </c>
      <c r="K26" s="363">
        <v>926.0</v>
      </c>
      <c r="L26" s="375" t="s">
        <v>2094</v>
      </c>
      <c r="M26" s="241">
        <v>102.0</v>
      </c>
      <c r="N26" s="365">
        <v>102.0</v>
      </c>
      <c r="O26" s="376" t="s">
        <v>2094</v>
      </c>
      <c r="P26" s="241">
        <v>824.0</v>
      </c>
      <c r="Q26" s="365">
        <v>824.0</v>
      </c>
      <c r="R26" s="376" t="s">
        <v>2094</v>
      </c>
      <c r="S26" s="377">
        <v>184.0</v>
      </c>
      <c r="T26" s="366">
        <v>184.0</v>
      </c>
      <c r="U26" s="378" t="s">
        <v>2094</v>
      </c>
      <c r="V26" s="370" t="s">
        <v>2095</v>
      </c>
      <c r="W26" s="371" t="s">
        <v>2099</v>
      </c>
      <c r="X26" s="277"/>
      <c r="Y26" s="277"/>
      <c r="Z26" s="277"/>
    </row>
    <row r="27" ht="12.75" customHeight="1">
      <c r="A27" s="183" t="s">
        <v>76</v>
      </c>
      <c r="B27" s="369" t="s">
        <v>2100</v>
      </c>
      <c r="C27" s="372" t="s">
        <v>438</v>
      </c>
      <c r="D27" s="184" t="s">
        <v>918</v>
      </c>
      <c r="E27" s="361" t="s">
        <v>29</v>
      </c>
      <c r="F27" s="186" t="s">
        <v>2101</v>
      </c>
      <c r="G27" s="233">
        <v>394000.0</v>
      </c>
      <c r="H27" s="234">
        <v>394000.0</v>
      </c>
      <c r="I27" s="373" t="s">
        <v>2094</v>
      </c>
      <c r="J27" s="374">
        <v>774.0</v>
      </c>
      <c r="K27" s="363">
        <v>774.0</v>
      </c>
      <c r="L27" s="375" t="s">
        <v>2094</v>
      </c>
      <c r="M27" s="241">
        <v>79.0</v>
      </c>
      <c r="N27" s="365">
        <v>79.0</v>
      </c>
      <c r="O27" s="376" t="s">
        <v>2094</v>
      </c>
      <c r="P27" s="241">
        <v>695.0</v>
      </c>
      <c r="Q27" s="365">
        <v>695.0</v>
      </c>
      <c r="R27" s="376" t="s">
        <v>2094</v>
      </c>
      <c r="S27" s="377">
        <v>155.0</v>
      </c>
      <c r="T27" s="366">
        <v>155.0</v>
      </c>
      <c r="U27" s="378" t="s">
        <v>2094</v>
      </c>
      <c r="V27" s="370" t="s">
        <v>2095</v>
      </c>
      <c r="W27" s="371" t="s">
        <v>2102</v>
      </c>
      <c r="X27" s="277"/>
      <c r="Y27" s="277"/>
      <c r="Z27" s="277"/>
    </row>
    <row r="28" ht="12.75" customHeight="1">
      <c r="A28" s="183" t="s">
        <v>77</v>
      </c>
      <c r="B28" s="369" t="s">
        <v>2103</v>
      </c>
      <c r="C28" s="372" t="s">
        <v>438</v>
      </c>
      <c r="D28" s="184" t="s">
        <v>918</v>
      </c>
      <c r="E28" s="361" t="s">
        <v>29</v>
      </c>
      <c r="F28" s="186" t="s">
        <v>2104</v>
      </c>
      <c r="G28" s="233">
        <v>465000.0</v>
      </c>
      <c r="H28" s="234">
        <v>465000.0</v>
      </c>
      <c r="I28" s="373" t="s">
        <v>2094</v>
      </c>
      <c r="J28" s="374">
        <v>1020.0</v>
      </c>
      <c r="K28" s="363">
        <v>1020.0</v>
      </c>
      <c r="L28" s="375" t="s">
        <v>2094</v>
      </c>
      <c r="M28" s="241">
        <v>101.0</v>
      </c>
      <c r="N28" s="365">
        <v>101.0</v>
      </c>
      <c r="O28" s="376" t="s">
        <v>2094</v>
      </c>
      <c r="P28" s="241">
        <v>924.0</v>
      </c>
      <c r="Q28" s="365">
        <v>924.0</v>
      </c>
      <c r="R28" s="376" t="s">
        <v>2094</v>
      </c>
      <c r="S28" s="377">
        <v>208.0</v>
      </c>
      <c r="T28" s="366">
        <v>208.0</v>
      </c>
      <c r="U28" s="378" t="s">
        <v>2094</v>
      </c>
      <c r="V28" s="370" t="s">
        <v>2095</v>
      </c>
      <c r="W28" s="371" t="s">
        <v>2105</v>
      </c>
      <c r="X28" s="277"/>
      <c r="Y28" s="277"/>
      <c r="Z28" s="277"/>
    </row>
    <row r="29" ht="12.75" customHeight="1">
      <c r="A29" s="175" t="s">
        <v>2106</v>
      </c>
      <c r="B29" s="379" t="s">
        <v>2107</v>
      </c>
      <c r="C29" s="176"/>
      <c r="D29" s="379"/>
      <c r="E29" s="380"/>
      <c r="F29" s="380"/>
      <c r="G29" s="381"/>
      <c r="H29" s="381"/>
      <c r="I29" s="381"/>
      <c r="J29" s="382"/>
      <c r="K29" s="383"/>
      <c r="L29" s="383"/>
      <c r="M29" s="382"/>
      <c r="N29" s="383"/>
      <c r="O29" s="383"/>
      <c r="P29" s="382"/>
      <c r="Q29" s="383"/>
      <c r="R29" s="383"/>
      <c r="S29" s="384"/>
      <c r="T29" s="385"/>
      <c r="U29" s="385"/>
      <c r="V29" s="386"/>
      <c r="W29" s="387" t="s">
        <v>2108</v>
      </c>
      <c r="X29" s="277"/>
      <c r="Y29" s="277"/>
      <c r="Z29" s="277"/>
    </row>
    <row r="30" ht="12.75" customHeight="1">
      <c r="A30" s="183" t="s">
        <v>80</v>
      </c>
      <c r="B30" s="369" t="s">
        <v>2109</v>
      </c>
      <c r="C30" s="183" t="s">
        <v>2110</v>
      </c>
      <c r="D30" s="184" t="s">
        <v>2111</v>
      </c>
      <c r="E30" s="361" t="s">
        <v>21</v>
      </c>
      <c r="F30" s="186" t="s">
        <v>2112</v>
      </c>
      <c r="G30" s="388">
        <v>31700.0</v>
      </c>
      <c r="H30" s="234">
        <v>31400.0</v>
      </c>
      <c r="I30" s="234">
        <v>222.0</v>
      </c>
      <c r="J30" s="362">
        <v>58.9</v>
      </c>
      <c r="K30" s="363">
        <v>58.6</v>
      </c>
      <c r="L30" s="363">
        <v>0.215</v>
      </c>
      <c r="M30" s="364">
        <v>4.35</v>
      </c>
      <c r="N30" s="365">
        <v>4.35</v>
      </c>
      <c r="O30" s="365">
        <v>0.00695</v>
      </c>
      <c r="P30" s="364">
        <v>54.5</v>
      </c>
      <c r="Q30" s="365">
        <v>54.3</v>
      </c>
      <c r="R30" s="365">
        <v>0.208</v>
      </c>
      <c r="S30" s="364">
        <v>12.7</v>
      </c>
      <c r="T30" s="366">
        <v>12.3</v>
      </c>
      <c r="U30" s="367">
        <v>0.345</v>
      </c>
      <c r="V30" s="370" t="s">
        <v>2033</v>
      </c>
      <c r="W30" s="371" t="s">
        <v>2113</v>
      </c>
      <c r="X30" s="277"/>
      <c r="Y30" s="277"/>
      <c r="Z30" s="277"/>
    </row>
    <row r="31" ht="12.75" customHeight="1">
      <c r="A31" s="183" t="s">
        <v>82</v>
      </c>
      <c r="B31" s="369" t="s">
        <v>2114</v>
      </c>
      <c r="C31" s="183" t="s">
        <v>2115</v>
      </c>
      <c r="D31" s="184" t="s">
        <v>2116</v>
      </c>
      <c r="E31" s="361" t="s">
        <v>21</v>
      </c>
      <c r="F31" s="186" t="s">
        <v>2117</v>
      </c>
      <c r="G31" s="388">
        <v>42700.0</v>
      </c>
      <c r="H31" s="234">
        <v>42400.0</v>
      </c>
      <c r="I31" s="234">
        <v>311.0</v>
      </c>
      <c r="J31" s="362">
        <v>79.5</v>
      </c>
      <c r="K31" s="363">
        <v>79.2</v>
      </c>
      <c r="L31" s="363">
        <v>0.296</v>
      </c>
      <c r="M31" s="364">
        <v>5.85</v>
      </c>
      <c r="N31" s="365">
        <v>5.84</v>
      </c>
      <c r="O31" s="365">
        <v>0.00947</v>
      </c>
      <c r="P31" s="364">
        <v>73.6</v>
      </c>
      <c r="Q31" s="365">
        <v>73.3</v>
      </c>
      <c r="R31" s="365">
        <v>0.287</v>
      </c>
      <c r="S31" s="364">
        <v>17.1</v>
      </c>
      <c r="T31" s="366">
        <v>16.6</v>
      </c>
      <c r="U31" s="367">
        <v>0.485</v>
      </c>
      <c r="V31" s="370" t="s">
        <v>2033</v>
      </c>
      <c r="W31" s="371" t="s">
        <v>2118</v>
      </c>
      <c r="X31" s="277"/>
      <c r="Y31" s="277"/>
      <c r="Z31" s="277"/>
    </row>
    <row r="32" ht="12.75" customHeight="1">
      <c r="A32" s="183" t="s">
        <v>83</v>
      </c>
      <c r="B32" s="369" t="s">
        <v>2119</v>
      </c>
      <c r="C32" s="183" t="s">
        <v>2120</v>
      </c>
      <c r="D32" s="184" t="s">
        <v>2121</v>
      </c>
      <c r="E32" s="361" t="s">
        <v>21</v>
      </c>
      <c r="F32" s="186" t="s">
        <v>2122</v>
      </c>
      <c r="G32" s="388">
        <v>64800.0</v>
      </c>
      <c r="H32" s="234">
        <v>64300.0</v>
      </c>
      <c r="I32" s="234">
        <v>488.0</v>
      </c>
      <c r="J32" s="362">
        <v>121.0</v>
      </c>
      <c r="K32" s="363">
        <v>120.0</v>
      </c>
      <c r="L32" s="363">
        <v>0.458</v>
      </c>
      <c r="M32" s="364">
        <v>8.84</v>
      </c>
      <c r="N32" s="365">
        <v>8.83</v>
      </c>
      <c r="O32" s="365">
        <v>0.0145</v>
      </c>
      <c r="P32" s="364">
        <v>112.0</v>
      </c>
      <c r="Q32" s="365">
        <v>111.0</v>
      </c>
      <c r="R32" s="365">
        <v>0.444</v>
      </c>
      <c r="S32" s="364">
        <v>25.9</v>
      </c>
      <c r="T32" s="366">
        <v>25.2</v>
      </c>
      <c r="U32" s="367">
        <v>0.763</v>
      </c>
      <c r="V32" s="370" t="s">
        <v>2033</v>
      </c>
      <c r="W32" s="371" t="s">
        <v>2123</v>
      </c>
      <c r="X32" s="277"/>
      <c r="Y32" s="277"/>
      <c r="Z32" s="277"/>
    </row>
    <row r="33" ht="12.75" customHeight="1">
      <c r="A33" s="183" t="s">
        <v>84</v>
      </c>
      <c r="B33" s="369" t="s">
        <v>2124</v>
      </c>
      <c r="C33" s="183" t="s">
        <v>2125</v>
      </c>
      <c r="D33" s="184" t="s">
        <v>2126</v>
      </c>
      <c r="E33" s="361" t="s">
        <v>21</v>
      </c>
      <c r="F33" s="186" t="s">
        <v>2127</v>
      </c>
      <c r="G33" s="388">
        <v>86900.0</v>
      </c>
      <c r="H33" s="234">
        <v>86200.0</v>
      </c>
      <c r="I33" s="234">
        <v>666.0</v>
      </c>
      <c r="J33" s="362">
        <v>162.0</v>
      </c>
      <c r="K33" s="363">
        <v>161.0</v>
      </c>
      <c r="L33" s="363">
        <v>0.62</v>
      </c>
      <c r="M33" s="364">
        <v>11.8</v>
      </c>
      <c r="N33" s="365">
        <v>11.8</v>
      </c>
      <c r="O33" s="365">
        <v>0.0196</v>
      </c>
      <c r="P33" s="364">
        <v>150.0</v>
      </c>
      <c r="Q33" s="365">
        <v>149.0</v>
      </c>
      <c r="R33" s="365">
        <v>0.601</v>
      </c>
      <c r="S33" s="364">
        <v>34.8</v>
      </c>
      <c r="T33" s="366">
        <v>33.7</v>
      </c>
      <c r="U33" s="367">
        <v>1.04</v>
      </c>
      <c r="V33" s="370" t="s">
        <v>2033</v>
      </c>
      <c r="W33" s="371" t="s">
        <v>2128</v>
      </c>
      <c r="X33" s="277"/>
      <c r="Y33" s="277"/>
      <c r="Z33" s="277"/>
    </row>
    <row r="34" ht="12.75" customHeight="1">
      <c r="A34" s="183" t="s">
        <v>85</v>
      </c>
      <c r="B34" s="369" t="s">
        <v>2129</v>
      </c>
      <c r="C34" s="183" t="s">
        <v>2130</v>
      </c>
      <c r="D34" s="184" t="s">
        <v>2131</v>
      </c>
      <c r="E34" s="361" t="s">
        <v>21</v>
      </c>
      <c r="F34" s="186" t="s">
        <v>2132</v>
      </c>
      <c r="G34" s="388">
        <v>109000.0</v>
      </c>
      <c r="H34" s="234">
        <v>108000.0</v>
      </c>
      <c r="I34" s="234">
        <v>843.0</v>
      </c>
      <c r="J34" s="362">
        <v>203.0</v>
      </c>
      <c r="K34" s="363">
        <v>202.0</v>
      </c>
      <c r="L34" s="363">
        <v>0.783</v>
      </c>
      <c r="M34" s="364">
        <v>14.8</v>
      </c>
      <c r="N34" s="365">
        <v>14.8</v>
      </c>
      <c r="O34" s="365">
        <v>0.0246</v>
      </c>
      <c r="P34" s="364">
        <v>188.0</v>
      </c>
      <c r="Q34" s="365">
        <v>187.0</v>
      </c>
      <c r="R34" s="365">
        <v>0.758</v>
      </c>
      <c r="S34" s="364">
        <v>43.6</v>
      </c>
      <c r="T34" s="366">
        <v>42.3</v>
      </c>
      <c r="U34" s="367">
        <v>1.32</v>
      </c>
      <c r="V34" s="370" t="s">
        <v>2033</v>
      </c>
      <c r="W34" s="371" t="s">
        <v>2133</v>
      </c>
      <c r="X34" s="277"/>
      <c r="Y34" s="277"/>
      <c r="Z34" s="277"/>
    </row>
    <row r="35" ht="12.75" customHeight="1">
      <c r="A35" s="183" t="s">
        <v>86</v>
      </c>
      <c r="B35" s="369" t="s">
        <v>2134</v>
      </c>
      <c r="C35" s="183" t="s">
        <v>2135</v>
      </c>
      <c r="D35" s="184" t="s">
        <v>2136</v>
      </c>
      <c r="E35" s="361" t="s">
        <v>21</v>
      </c>
      <c r="F35" s="186" t="s">
        <v>2137</v>
      </c>
      <c r="G35" s="388">
        <v>45200.0</v>
      </c>
      <c r="H35" s="234">
        <v>45000.0</v>
      </c>
      <c r="I35" s="234">
        <v>182.0</v>
      </c>
      <c r="J35" s="362">
        <v>57.3</v>
      </c>
      <c r="K35" s="363">
        <v>57.2</v>
      </c>
      <c r="L35" s="363">
        <v>0.087</v>
      </c>
      <c r="M35" s="364">
        <v>3.99</v>
      </c>
      <c r="N35" s="365">
        <v>3.99</v>
      </c>
      <c r="O35" s="365">
        <v>0.00388</v>
      </c>
      <c r="P35" s="364">
        <v>53.3</v>
      </c>
      <c r="Q35" s="365">
        <v>53.2</v>
      </c>
      <c r="R35" s="365">
        <v>0.0831</v>
      </c>
      <c r="S35" s="364">
        <v>12.0</v>
      </c>
      <c r="T35" s="366">
        <v>11.7</v>
      </c>
      <c r="U35" s="367">
        <v>0.299</v>
      </c>
      <c r="V35" s="370" t="s">
        <v>2033</v>
      </c>
      <c r="W35" s="371" t="s">
        <v>2138</v>
      </c>
      <c r="X35" s="277"/>
      <c r="Y35" s="277"/>
      <c r="Z35" s="277"/>
    </row>
    <row r="36" ht="12.75" customHeight="1">
      <c r="A36" s="183" t="s">
        <v>87</v>
      </c>
      <c r="B36" s="369" t="s">
        <v>2139</v>
      </c>
      <c r="C36" s="183" t="s">
        <v>2140</v>
      </c>
      <c r="D36" s="184" t="s">
        <v>2141</v>
      </c>
      <c r="E36" s="361" t="s">
        <v>21</v>
      </c>
      <c r="F36" s="186" t="s">
        <v>2142</v>
      </c>
      <c r="G36" s="388">
        <v>22000.0</v>
      </c>
      <c r="H36" s="234">
        <v>21600.0</v>
      </c>
      <c r="I36" s="234">
        <v>371.0</v>
      </c>
      <c r="J36" s="362">
        <v>35.0</v>
      </c>
      <c r="K36" s="363">
        <v>34.9</v>
      </c>
      <c r="L36" s="363">
        <v>0.0768</v>
      </c>
      <c r="M36" s="364">
        <v>2.36</v>
      </c>
      <c r="N36" s="365">
        <v>2.36</v>
      </c>
      <c r="O36" s="365">
        <v>0.00253</v>
      </c>
      <c r="P36" s="364">
        <v>32.7</v>
      </c>
      <c r="Q36" s="365">
        <v>32.6</v>
      </c>
      <c r="R36" s="365">
        <v>0.0743</v>
      </c>
      <c r="S36" s="364">
        <v>7.32</v>
      </c>
      <c r="T36" s="366">
        <v>6.6</v>
      </c>
      <c r="U36" s="367">
        <v>0.724</v>
      </c>
      <c r="V36" s="370" t="s">
        <v>2033</v>
      </c>
      <c r="W36" s="371" t="s">
        <v>2143</v>
      </c>
      <c r="X36" s="277"/>
      <c r="Y36" s="277"/>
      <c r="Z36" s="277"/>
    </row>
    <row r="37" ht="12.75" customHeight="1">
      <c r="A37" s="183" t="s">
        <v>88</v>
      </c>
      <c r="B37" s="369" t="s">
        <v>2144</v>
      </c>
      <c r="C37" s="183" t="s">
        <v>2145</v>
      </c>
      <c r="D37" s="184" t="s">
        <v>2146</v>
      </c>
      <c r="E37" s="361" t="s">
        <v>21</v>
      </c>
      <c r="F37" s="186" t="s">
        <v>2147</v>
      </c>
      <c r="G37" s="388">
        <v>13300.0</v>
      </c>
      <c r="H37" s="234">
        <v>13300.0</v>
      </c>
      <c r="I37" s="234">
        <v>65.7</v>
      </c>
      <c r="J37" s="362">
        <v>16.1</v>
      </c>
      <c r="K37" s="363">
        <v>16.1</v>
      </c>
      <c r="L37" s="363">
        <v>0.0167</v>
      </c>
      <c r="M37" s="364">
        <v>0.981</v>
      </c>
      <c r="N37" s="365">
        <v>0.98</v>
      </c>
      <c r="O37" s="365">
        <v>2.08E-4</v>
      </c>
      <c r="P37" s="364">
        <v>15.1</v>
      </c>
      <c r="Q37" s="365">
        <v>15.1</v>
      </c>
      <c r="R37" s="365">
        <v>0.0165</v>
      </c>
      <c r="S37" s="364">
        <v>3.4</v>
      </c>
      <c r="T37" s="366">
        <v>3.28</v>
      </c>
      <c r="U37" s="367">
        <v>0.126</v>
      </c>
      <c r="V37" s="370" t="s">
        <v>2033</v>
      </c>
      <c r="W37" s="371" t="s">
        <v>2148</v>
      </c>
      <c r="X37" s="277"/>
      <c r="Y37" s="277"/>
      <c r="Z37" s="277"/>
    </row>
    <row r="38" ht="12.75" customHeight="1">
      <c r="A38" s="183" t="s">
        <v>89</v>
      </c>
      <c r="B38" s="369" t="s">
        <v>2149</v>
      </c>
      <c r="C38" s="183" t="s">
        <v>2150</v>
      </c>
      <c r="D38" s="184" t="s">
        <v>2151</v>
      </c>
      <c r="E38" s="361" t="s">
        <v>21</v>
      </c>
      <c r="F38" s="186" t="s">
        <v>2152</v>
      </c>
      <c r="G38" s="388">
        <v>4550.0</v>
      </c>
      <c r="H38" s="234">
        <v>3220.0</v>
      </c>
      <c r="I38" s="234">
        <v>1330.0</v>
      </c>
      <c r="J38" s="362">
        <v>16.6</v>
      </c>
      <c r="K38" s="363">
        <v>15.3</v>
      </c>
      <c r="L38" s="363">
        <v>1.33</v>
      </c>
      <c r="M38" s="364">
        <v>0.554</v>
      </c>
      <c r="N38" s="365">
        <v>0.502</v>
      </c>
      <c r="O38" s="365">
        <v>0.0518</v>
      </c>
      <c r="P38" s="364">
        <v>16.1</v>
      </c>
      <c r="Q38" s="365">
        <v>14.8</v>
      </c>
      <c r="R38" s="365">
        <v>1.28</v>
      </c>
      <c r="S38" s="364">
        <v>4.55</v>
      </c>
      <c r="T38" s="366">
        <v>2.92</v>
      </c>
      <c r="U38" s="367">
        <v>1.63</v>
      </c>
      <c r="V38" s="370" t="s">
        <v>2033</v>
      </c>
      <c r="W38" s="371" t="s">
        <v>2153</v>
      </c>
      <c r="X38" s="277"/>
      <c r="Y38" s="277"/>
      <c r="Z38" s="277"/>
    </row>
    <row r="39" ht="12.75" customHeight="1">
      <c r="A39" s="183" t="s">
        <v>90</v>
      </c>
      <c r="B39" s="369" t="s">
        <v>2154</v>
      </c>
      <c r="C39" s="183" t="s">
        <v>2155</v>
      </c>
      <c r="D39" s="184" t="s">
        <v>2156</v>
      </c>
      <c r="E39" s="361" t="s">
        <v>21</v>
      </c>
      <c r="F39" s="186" t="s">
        <v>2157</v>
      </c>
      <c r="G39" s="388">
        <v>7890.0</v>
      </c>
      <c r="H39" s="234">
        <v>5590.0</v>
      </c>
      <c r="I39" s="234">
        <v>2300.0</v>
      </c>
      <c r="J39" s="362">
        <v>28.8</v>
      </c>
      <c r="K39" s="363">
        <v>26.5</v>
      </c>
      <c r="L39" s="363">
        <v>2.31</v>
      </c>
      <c r="M39" s="364">
        <v>0.96</v>
      </c>
      <c r="N39" s="365">
        <v>0.87</v>
      </c>
      <c r="O39" s="365">
        <v>0.0898</v>
      </c>
      <c r="P39" s="364">
        <v>27.9</v>
      </c>
      <c r="Q39" s="365">
        <v>25.7</v>
      </c>
      <c r="R39" s="365">
        <v>2.22</v>
      </c>
      <c r="S39" s="364">
        <v>7.89</v>
      </c>
      <c r="T39" s="366">
        <v>5.06</v>
      </c>
      <c r="U39" s="367">
        <v>2.82</v>
      </c>
      <c r="V39" s="370" t="s">
        <v>2033</v>
      </c>
      <c r="W39" s="371" t="s">
        <v>2158</v>
      </c>
      <c r="X39" s="277"/>
      <c r="Y39" s="277"/>
      <c r="Z39" s="277"/>
    </row>
    <row r="40" ht="12.75" customHeight="1">
      <c r="A40" s="183" t="s">
        <v>91</v>
      </c>
      <c r="B40" s="369" t="s">
        <v>2159</v>
      </c>
      <c r="C40" s="183" t="s">
        <v>2160</v>
      </c>
      <c r="D40" s="184" t="s">
        <v>2161</v>
      </c>
      <c r="E40" s="361" t="s">
        <v>21</v>
      </c>
      <c r="F40" s="186" t="s">
        <v>2162</v>
      </c>
      <c r="G40" s="388">
        <v>19700.0</v>
      </c>
      <c r="H40" s="234">
        <v>14000.0</v>
      </c>
      <c r="I40" s="234">
        <v>5760.0</v>
      </c>
      <c r="J40" s="362">
        <v>72.1</v>
      </c>
      <c r="K40" s="363">
        <v>66.4</v>
      </c>
      <c r="L40" s="363">
        <v>5.77</v>
      </c>
      <c r="M40" s="364">
        <v>2.4</v>
      </c>
      <c r="N40" s="365">
        <v>2.18</v>
      </c>
      <c r="O40" s="365">
        <v>0.224</v>
      </c>
      <c r="P40" s="364">
        <v>69.7</v>
      </c>
      <c r="Q40" s="365">
        <v>64.2</v>
      </c>
      <c r="R40" s="365">
        <v>5.54</v>
      </c>
      <c r="S40" s="364">
        <v>19.7</v>
      </c>
      <c r="T40" s="366">
        <v>12.7</v>
      </c>
      <c r="U40" s="367">
        <v>7.05</v>
      </c>
      <c r="V40" s="370" t="s">
        <v>2033</v>
      </c>
      <c r="W40" s="371" t="s">
        <v>2163</v>
      </c>
      <c r="X40" s="277"/>
      <c r="Y40" s="277"/>
      <c r="Z40" s="277"/>
    </row>
    <row r="41" ht="12.75" customHeight="1">
      <c r="A41" s="183" t="s">
        <v>92</v>
      </c>
      <c r="B41" s="369" t="s">
        <v>2164</v>
      </c>
      <c r="C41" s="183" t="s">
        <v>2165</v>
      </c>
      <c r="D41" s="184" t="s">
        <v>2166</v>
      </c>
      <c r="E41" s="361" t="s">
        <v>27</v>
      </c>
      <c r="F41" s="186" t="s">
        <v>1546</v>
      </c>
      <c r="G41" s="388">
        <v>63200.0</v>
      </c>
      <c r="H41" s="234">
        <v>59900.0</v>
      </c>
      <c r="I41" s="234">
        <v>3260.0</v>
      </c>
      <c r="J41" s="362">
        <v>329.0</v>
      </c>
      <c r="K41" s="363">
        <v>327.0</v>
      </c>
      <c r="L41" s="363">
        <v>1.48</v>
      </c>
      <c r="M41" s="364">
        <v>109.0</v>
      </c>
      <c r="N41" s="365">
        <v>109.0</v>
      </c>
      <c r="O41" s="365">
        <v>0.0758</v>
      </c>
      <c r="P41" s="364">
        <v>220.0</v>
      </c>
      <c r="Q41" s="365">
        <v>218.0</v>
      </c>
      <c r="R41" s="365">
        <v>1.41</v>
      </c>
      <c r="S41" s="364">
        <v>43.5</v>
      </c>
      <c r="T41" s="366">
        <v>38.0</v>
      </c>
      <c r="U41" s="367">
        <v>5.48</v>
      </c>
      <c r="V41" s="370" t="s">
        <v>2083</v>
      </c>
      <c r="W41" s="371" t="s">
        <v>2167</v>
      </c>
      <c r="X41" s="277"/>
      <c r="Y41" s="277"/>
      <c r="Z41" s="277"/>
    </row>
    <row r="42" ht="12.75" customHeight="1">
      <c r="A42" s="175" t="s">
        <v>2168</v>
      </c>
      <c r="B42" s="379" t="s">
        <v>2169</v>
      </c>
      <c r="C42" s="176"/>
      <c r="D42" s="379"/>
      <c r="E42" s="380"/>
      <c r="F42" s="380"/>
      <c r="G42" s="381"/>
      <c r="H42" s="381"/>
      <c r="I42" s="381"/>
      <c r="J42" s="382"/>
      <c r="K42" s="383"/>
      <c r="L42" s="383"/>
      <c r="M42" s="382"/>
      <c r="N42" s="383"/>
      <c r="O42" s="383"/>
      <c r="P42" s="382"/>
      <c r="Q42" s="383"/>
      <c r="R42" s="383"/>
      <c r="S42" s="384"/>
      <c r="T42" s="385"/>
      <c r="U42" s="385"/>
      <c r="V42" s="386"/>
      <c r="W42" s="387" t="s">
        <v>2170</v>
      </c>
      <c r="X42" s="277"/>
      <c r="Y42" s="277"/>
      <c r="Z42" s="277"/>
    </row>
    <row r="43" ht="12.75" customHeight="1">
      <c r="A43" s="183" t="s">
        <v>93</v>
      </c>
      <c r="B43" s="369" t="s">
        <v>2171</v>
      </c>
      <c r="C43" s="184" t="s">
        <v>2172</v>
      </c>
      <c r="D43" s="184" t="s">
        <v>2173</v>
      </c>
      <c r="E43" s="361" t="s">
        <v>21</v>
      </c>
      <c r="F43" s="186" t="s">
        <v>2174</v>
      </c>
      <c r="G43" s="388">
        <v>6980.0</v>
      </c>
      <c r="H43" s="234">
        <v>6390.0</v>
      </c>
      <c r="I43" s="234">
        <v>587.0</v>
      </c>
      <c r="J43" s="362">
        <v>20.8</v>
      </c>
      <c r="K43" s="363">
        <v>20.6</v>
      </c>
      <c r="L43" s="363">
        <v>0.141</v>
      </c>
      <c r="M43" s="364">
        <v>1.2</v>
      </c>
      <c r="N43" s="365">
        <v>1.19</v>
      </c>
      <c r="O43" s="365">
        <v>0.00458</v>
      </c>
      <c r="P43" s="364">
        <v>19.6</v>
      </c>
      <c r="Q43" s="365">
        <v>19.4</v>
      </c>
      <c r="R43" s="365">
        <v>0.137</v>
      </c>
      <c r="S43" s="364">
        <v>4.48</v>
      </c>
      <c r="T43" s="366">
        <v>3.33</v>
      </c>
      <c r="U43" s="367">
        <v>1.15</v>
      </c>
      <c r="V43" s="368" t="s">
        <v>2033</v>
      </c>
      <c r="W43" s="221" t="s">
        <v>2175</v>
      </c>
      <c r="X43" s="277"/>
      <c r="Y43" s="277"/>
      <c r="Z43" s="277"/>
    </row>
    <row r="44" ht="12.75" customHeight="1">
      <c r="A44" s="183" t="s">
        <v>95</v>
      </c>
      <c r="B44" s="369" t="s">
        <v>2176</v>
      </c>
      <c r="C44" s="184" t="s">
        <v>2177</v>
      </c>
      <c r="D44" s="184" t="s">
        <v>2178</v>
      </c>
      <c r="E44" s="361" t="s">
        <v>21</v>
      </c>
      <c r="F44" s="186" t="s">
        <v>2179</v>
      </c>
      <c r="G44" s="388">
        <v>18600.0</v>
      </c>
      <c r="H44" s="234">
        <v>16700.0</v>
      </c>
      <c r="I44" s="234">
        <v>1950.0</v>
      </c>
      <c r="J44" s="362">
        <v>50.0</v>
      </c>
      <c r="K44" s="363">
        <v>49.5</v>
      </c>
      <c r="L44" s="363">
        <v>0.493</v>
      </c>
      <c r="M44" s="364">
        <v>3.37</v>
      </c>
      <c r="N44" s="365">
        <v>3.35</v>
      </c>
      <c r="O44" s="365">
        <v>0.0147</v>
      </c>
      <c r="P44" s="364">
        <v>46.6</v>
      </c>
      <c r="Q44" s="365">
        <v>46.2</v>
      </c>
      <c r="R44" s="365">
        <v>0.478</v>
      </c>
      <c r="S44" s="364">
        <v>11.8</v>
      </c>
      <c r="T44" s="366">
        <v>8.05</v>
      </c>
      <c r="U44" s="367">
        <v>3.76</v>
      </c>
      <c r="V44" s="368" t="s">
        <v>2033</v>
      </c>
      <c r="W44" s="221" t="s">
        <v>2180</v>
      </c>
      <c r="X44" s="277"/>
      <c r="Y44" s="277"/>
      <c r="Z44" s="277"/>
    </row>
    <row r="45" ht="12.75" customHeight="1">
      <c r="A45" s="183" t="s">
        <v>96</v>
      </c>
      <c r="B45" s="369" t="s">
        <v>2181</v>
      </c>
      <c r="C45" s="184" t="s">
        <v>2182</v>
      </c>
      <c r="D45" s="184" t="s">
        <v>2183</v>
      </c>
      <c r="E45" s="361" t="s">
        <v>21</v>
      </c>
      <c r="F45" s="186" t="s">
        <v>2184</v>
      </c>
      <c r="G45" s="388">
        <v>24100.0</v>
      </c>
      <c r="H45" s="234">
        <v>23200.0</v>
      </c>
      <c r="I45" s="234">
        <v>833.0</v>
      </c>
      <c r="J45" s="362">
        <v>52.4</v>
      </c>
      <c r="K45" s="363">
        <v>52.1</v>
      </c>
      <c r="L45" s="363">
        <v>0.357</v>
      </c>
      <c r="M45" s="364">
        <v>3.85</v>
      </c>
      <c r="N45" s="365">
        <v>3.83</v>
      </c>
      <c r="O45" s="365">
        <v>0.0192</v>
      </c>
      <c r="P45" s="364">
        <v>48.6</v>
      </c>
      <c r="Q45" s="365">
        <v>48.2</v>
      </c>
      <c r="R45" s="365">
        <v>0.337</v>
      </c>
      <c r="S45" s="364">
        <v>11.4</v>
      </c>
      <c r="T45" s="366">
        <v>9.81</v>
      </c>
      <c r="U45" s="367">
        <v>1.55</v>
      </c>
      <c r="V45" s="368" t="s">
        <v>2033</v>
      </c>
      <c r="W45" s="221" t="s">
        <v>2185</v>
      </c>
      <c r="X45" s="277"/>
      <c r="Y45" s="277"/>
      <c r="Z45" s="277"/>
    </row>
    <row r="46" ht="12.75" customHeight="1">
      <c r="A46" s="175" t="s">
        <v>2186</v>
      </c>
      <c r="B46" s="379" t="s">
        <v>2187</v>
      </c>
      <c r="C46" s="176"/>
      <c r="D46" s="379"/>
      <c r="E46" s="380"/>
      <c r="F46" s="380"/>
      <c r="G46" s="381"/>
      <c r="H46" s="381"/>
      <c r="I46" s="381"/>
      <c r="J46" s="382"/>
      <c r="K46" s="383"/>
      <c r="L46" s="383"/>
      <c r="M46" s="382"/>
      <c r="N46" s="383"/>
      <c r="O46" s="383"/>
      <c r="P46" s="382"/>
      <c r="Q46" s="383"/>
      <c r="R46" s="383"/>
      <c r="S46" s="384"/>
      <c r="T46" s="385"/>
      <c r="U46" s="385"/>
      <c r="V46" s="386"/>
      <c r="W46" s="387" t="s">
        <v>2188</v>
      </c>
      <c r="X46" s="277"/>
      <c r="Y46" s="277"/>
      <c r="Z46" s="277"/>
    </row>
    <row r="47" ht="12.75" customHeight="1">
      <c r="A47" s="183" t="s">
        <v>100</v>
      </c>
      <c r="B47" s="369" t="s">
        <v>2189</v>
      </c>
      <c r="C47" s="184" t="s">
        <v>2190</v>
      </c>
      <c r="D47" s="184" t="s">
        <v>2191</v>
      </c>
      <c r="E47" s="361" t="s">
        <v>21</v>
      </c>
      <c r="F47" s="186" t="s">
        <v>2192</v>
      </c>
      <c r="G47" s="388">
        <v>47200.0</v>
      </c>
      <c r="H47" s="234">
        <v>45400.0</v>
      </c>
      <c r="I47" s="234">
        <v>1820.0</v>
      </c>
      <c r="J47" s="362">
        <v>60.2</v>
      </c>
      <c r="K47" s="363">
        <v>59.4</v>
      </c>
      <c r="L47" s="363">
        <v>0.816</v>
      </c>
      <c r="M47" s="364">
        <v>4.85</v>
      </c>
      <c r="N47" s="365">
        <v>4.79</v>
      </c>
      <c r="O47" s="365">
        <v>0.0581</v>
      </c>
      <c r="P47" s="364">
        <v>55.4</v>
      </c>
      <c r="Q47" s="365">
        <v>54.6</v>
      </c>
      <c r="R47" s="365">
        <v>0.757</v>
      </c>
      <c r="S47" s="364">
        <v>12.7</v>
      </c>
      <c r="T47" s="366">
        <v>9.3</v>
      </c>
      <c r="U47" s="367">
        <v>3.4</v>
      </c>
      <c r="V47" s="368" t="s">
        <v>2033</v>
      </c>
      <c r="W47" s="221" t="s">
        <v>2193</v>
      </c>
      <c r="X47" s="277"/>
      <c r="Y47" s="277"/>
      <c r="Z47" s="277"/>
    </row>
    <row r="48" ht="12.75" customHeight="1">
      <c r="A48" s="183" t="s">
        <v>101</v>
      </c>
      <c r="B48" s="369" t="s">
        <v>2194</v>
      </c>
      <c r="C48" s="184" t="s">
        <v>2195</v>
      </c>
      <c r="D48" s="184" t="s">
        <v>2196</v>
      </c>
      <c r="E48" s="361" t="s">
        <v>21</v>
      </c>
      <c r="F48" s="186" t="s">
        <v>2197</v>
      </c>
      <c r="G48" s="388">
        <v>117000.0</v>
      </c>
      <c r="H48" s="234">
        <v>116000.0</v>
      </c>
      <c r="I48" s="234">
        <v>900.0</v>
      </c>
      <c r="J48" s="362">
        <v>190.0</v>
      </c>
      <c r="K48" s="363">
        <v>189.0</v>
      </c>
      <c r="L48" s="363">
        <v>0.88</v>
      </c>
      <c r="M48" s="364">
        <v>76.2</v>
      </c>
      <c r="N48" s="365">
        <v>76.1</v>
      </c>
      <c r="O48" s="365">
        <v>0.0483</v>
      </c>
      <c r="P48" s="364">
        <v>114.0</v>
      </c>
      <c r="Q48" s="365">
        <v>113.0</v>
      </c>
      <c r="R48" s="365">
        <v>0.832</v>
      </c>
      <c r="S48" s="364">
        <v>23.8</v>
      </c>
      <c r="T48" s="366">
        <v>22.4</v>
      </c>
      <c r="U48" s="367">
        <v>1.45</v>
      </c>
      <c r="V48" s="368" t="s">
        <v>2033</v>
      </c>
      <c r="W48" s="221" t="s">
        <v>2198</v>
      </c>
      <c r="X48" s="277"/>
      <c r="Y48" s="277"/>
      <c r="Z48" s="277"/>
    </row>
    <row r="49" ht="12.75" customHeight="1">
      <c r="A49" s="183" t="s">
        <v>102</v>
      </c>
      <c r="B49" s="369" t="s">
        <v>2199</v>
      </c>
      <c r="C49" s="184" t="s">
        <v>2030</v>
      </c>
      <c r="D49" s="184" t="s">
        <v>2031</v>
      </c>
      <c r="E49" s="361" t="s">
        <v>33</v>
      </c>
      <c r="F49" s="186" t="s">
        <v>1994</v>
      </c>
      <c r="G49" s="389">
        <v>3170000.0</v>
      </c>
      <c r="H49" s="166">
        <v>3170000.0</v>
      </c>
      <c r="I49" s="390" t="s">
        <v>2094</v>
      </c>
      <c r="J49" s="391">
        <v>8300.0</v>
      </c>
      <c r="K49" s="392">
        <v>8300.0</v>
      </c>
      <c r="L49" s="393" t="s">
        <v>2094</v>
      </c>
      <c r="M49" s="244">
        <v>905.0</v>
      </c>
      <c r="N49" s="394">
        <v>905.0</v>
      </c>
      <c r="O49" s="395" t="s">
        <v>2094</v>
      </c>
      <c r="P49" s="244">
        <v>7390.0</v>
      </c>
      <c r="Q49" s="394">
        <v>7390.0</v>
      </c>
      <c r="R49" s="395" t="s">
        <v>2094</v>
      </c>
      <c r="S49" s="396">
        <v>2080.0</v>
      </c>
      <c r="T49" s="397">
        <v>2080.0</v>
      </c>
      <c r="U49" s="398" t="s">
        <v>2094</v>
      </c>
      <c r="V49" s="368" t="s">
        <v>2200</v>
      </c>
      <c r="W49" s="221" t="s">
        <v>2201</v>
      </c>
      <c r="X49" s="277"/>
      <c r="Y49" s="277"/>
      <c r="Z49" s="277"/>
    </row>
    <row r="50" ht="12.75" customHeight="1">
      <c r="A50" s="183" t="s">
        <v>104</v>
      </c>
      <c r="B50" s="369" t="s">
        <v>2202</v>
      </c>
      <c r="C50" s="184" t="s">
        <v>2036</v>
      </c>
      <c r="D50" s="184" t="s">
        <v>2037</v>
      </c>
      <c r="E50" s="361" t="s">
        <v>33</v>
      </c>
      <c r="F50" s="186" t="s">
        <v>1994</v>
      </c>
      <c r="G50" s="389">
        <v>3190000.0</v>
      </c>
      <c r="H50" s="166">
        <v>3190000.0</v>
      </c>
      <c r="I50" s="390" t="s">
        <v>2094</v>
      </c>
      <c r="J50" s="391">
        <v>8190.0</v>
      </c>
      <c r="K50" s="392">
        <v>8190.0</v>
      </c>
      <c r="L50" s="393" t="s">
        <v>2094</v>
      </c>
      <c r="M50" s="244">
        <v>897.0</v>
      </c>
      <c r="N50" s="394">
        <v>897.0</v>
      </c>
      <c r="O50" s="395" t="s">
        <v>2094</v>
      </c>
      <c r="P50" s="244">
        <v>7290.0</v>
      </c>
      <c r="Q50" s="394">
        <v>7290.0</v>
      </c>
      <c r="R50" s="395" t="s">
        <v>2094</v>
      </c>
      <c r="S50" s="396">
        <v>2030.0</v>
      </c>
      <c r="T50" s="397">
        <v>2030.0</v>
      </c>
      <c r="U50" s="398" t="s">
        <v>2094</v>
      </c>
      <c r="V50" s="368" t="s">
        <v>2200</v>
      </c>
      <c r="W50" s="221" t="s">
        <v>2203</v>
      </c>
      <c r="X50" s="277"/>
      <c r="Y50" s="277"/>
      <c r="Z50" s="277"/>
    </row>
    <row r="51" ht="12.75" customHeight="1">
      <c r="A51" s="183" t="s">
        <v>105</v>
      </c>
      <c r="B51" s="369" t="s">
        <v>2204</v>
      </c>
      <c r="C51" s="184" t="s">
        <v>2041</v>
      </c>
      <c r="D51" s="184" t="s">
        <v>2042</v>
      </c>
      <c r="E51" s="361" t="s">
        <v>33</v>
      </c>
      <c r="F51" s="186" t="s">
        <v>1994</v>
      </c>
      <c r="G51" s="389">
        <v>3070000.0</v>
      </c>
      <c r="H51" s="166">
        <v>3070000.0</v>
      </c>
      <c r="I51" s="390" t="s">
        <v>2094</v>
      </c>
      <c r="J51" s="391">
        <v>8970.0</v>
      </c>
      <c r="K51" s="392">
        <v>8970.0</v>
      </c>
      <c r="L51" s="393" t="s">
        <v>2094</v>
      </c>
      <c r="M51" s="244">
        <v>959.0</v>
      </c>
      <c r="N51" s="394">
        <v>959.0</v>
      </c>
      <c r="O51" s="395" t="s">
        <v>2094</v>
      </c>
      <c r="P51" s="244">
        <v>8020.0</v>
      </c>
      <c r="Q51" s="394">
        <v>8020.0</v>
      </c>
      <c r="R51" s="395" t="s">
        <v>2094</v>
      </c>
      <c r="S51" s="396">
        <v>2320.0</v>
      </c>
      <c r="T51" s="397">
        <v>2320.0</v>
      </c>
      <c r="U51" s="398" t="s">
        <v>2094</v>
      </c>
      <c r="V51" s="368" t="s">
        <v>2200</v>
      </c>
      <c r="W51" s="221" t="s">
        <v>2205</v>
      </c>
      <c r="X51" s="277"/>
      <c r="Y51" s="277"/>
      <c r="Z51" s="277"/>
    </row>
    <row r="52" ht="12.75" customHeight="1">
      <c r="A52" s="183" t="s">
        <v>106</v>
      </c>
      <c r="B52" s="369" t="s">
        <v>2206</v>
      </c>
      <c r="C52" s="184" t="s">
        <v>2076</v>
      </c>
      <c r="D52" s="184" t="s">
        <v>2077</v>
      </c>
      <c r="E52" s="361" t="s">
        <v>33</v>
      </c>
      <c r="F52" s="186" t="s">
        <v>1994</v>
      </c>
      <c r="G52" s="389">
        <v>3170000.0</v>
      </c>
      <c r="H52" s="166">
        <v>3170000.0</v>
      </c>
      <c r="I52" s="390" t="s">
        <v>2094</v>
      </c>
      <c r="J52" s="391">
        <v>8360.0</v>
      </c>
      <c r="K52" s="392">
        <v>8360.0</v>
      </c>
      <c r="L52" s="393" t="s">
        <v>2094</v>
      </c>
      <c r="M52" s="244">
        <v>905.0</v>
      </c>
      <c r="N52" s="394">
        <v>905.0</v>
      </c>
      <c r="O52" s="395" t="s">
        <v>2094</v>
      </c>
      <c r="P52" s="244">
        <v>7460.0</v>
      </c>
      <c r="Q52" s="394">
        <v>7460.0</v>
      </c>
      <c r="R52" s="395" t="s">
        <v>2094</v>
      </c>
      <c r="S52" s="396">
        <v>2140.0</v>
      </c>
      <c r="T52" s="397">
        <v>2140.0</v>
      </c>
      <c r="U52" s="398" t="s">
        <v>2094</v>
      </c>
      <c r="V52" s="368" t="s">
        <v>2200</v>
      </c>
      <c r="W52" s="221" t="s">
        <v>2207</v>
      </c>
      <c r="X52" s="277"/>
      <c r="Y52" s="277"/>
      <c r="Z52" s="277"/>
    </row>
    <row r="53" ht="12.75" customHeight="1">
      <c r="A53" s="91"/>
      <c r="B53" s="399"/>
      <c r="C53" s="91"/>
      <c r="D53" s="399"/>
      <c r="E53" s="400"/>
      <c r="F53" s="400"/>
      <c r="G53" s="401"/>
      <c r="H53" s="401"/>
      <c r="I53" s="401" t="s">
        <v>2208</v>
      </c>
      <c r="J53" s="401" t="s">
        <v>2208</v>
      </c>
      <c r="K53" s="401" t="s">
        <v>2208</v>
      </c>
      <c r="L53" s="401" t="s">
        <v>2208</v>
      </c>
      <c r="M53" s="401" t="s">
        <v>2208</v>
      </c>
      <c r="N53" s="401" t="s">
        <v>2208</v>
      </c>
      <c r="O53" s="401" t="s">
        <v>2208</v>
      </c>
      <c r="P53" s="402" t="s">
        <v>2208</v>
      </c>
      <c r="Q53" s="401" t="s">
        <v>2208</v>
      </c>
      <c r="R53" s="401" t="s">
        <v>2208</v>
      </c>
      <c r="S53" s="403" t="s">
        <v>2208</v>
      </c>
      <c r="T53" s="403" t="s">
        <v>2208</v>
      </c>
      <c r="U53" s="403" t="s">
        <v>2208</v>
      </c>
      <c r="V53" s="404"/>
      <c r="W53" s="405" t="s">
        <v>2208</v>
      </c>
      <c r="X53" s="277"/>
      <c r="Y53" s="277"/>
      <c r="Z53" s="277"/>
    </row>
    <row r="54" ht="12.75" customHeight="1">
      <c r="A54" s="91"/>
      <c r="B54" s="399"/>
      <c r="C54" s="91"/>
      <c r="D54" s="399"/>
      <c r="E54" s="400"/>
      <c r="F54" s="400"/>
      <c r="G54" s="401"/>
      <c r="H54" s="401"/>
      <c r="I54" s="401" t="s">
        <v>2208</v>
      </c>
      <c r="J54" s="401" t="s">
        <v>2208</v>
      </c>
      <c r="K54" s="401" t="s">
        <v>2208</v>
      </c>
      <c r="L54" s="401" t="s">
        <v>2208</v>
      </c>
      <c r="M54" s="401" t="s">
        <v>2208</v>
      </c>
      <c r="N54" s="401" t="s">
        <v>2208</v>
      </c>
      <c r="O54" s="401" t="s">
        <v>2208</v>
      </c>
      <c r="P54" s="402" t="s">
        <v>2208</v>
      </c>
      <c r="Q54" s="401" t="s">
        <v>2208</v>
      </c>
      <c r="R54" s="401" t="s">
        <v>2208</v>
      </c>
      <c r="S54" s="403" t="s">
        <v>2208</v>
      </c>
      <c r="T54" s="403" t="s">
        <v>2208</v>
      </c>
      <c r="U54" s="403" t="s">
        <v>2208</v>
      </c>
      <c r="V54" s="404"/>
      <c r="W54" s="405" t="s">
        <v>2208</v>
      </c>
      <c r="X54" s="277"/>
      <c r="Y54" s="277"/>
      <c r="Z54" s="277"/>
    </row>
    <row r="55" ht="12.75" customHeight="1">
      <c r="A55" s="91"/>
      <c r="B55" s="399"/>
      <c r="C55" s="91"/>
      <c r="D55" s="399"/>
      <c r="E55" s="400"/>
      <c r="F55" s="400"/>
      <c r="G55" s="401"/>
      <c r="H55" s="401"/>
      <c r="I55" s="401" t="s">
        <v>2208</v>
      </c>
      <c r="J55" s="401" t="s">
        <v>2208</v>
      </c>
      <c r="K55" s="401" t="s">
        <v>2208</v>
      </c>
      <c r="L55" s="401" t="s">
        <v>2208</v>
      </c>
      <c r="M55" s="401" t="s">
        <v>2208</v>
      </c>
      <c r="N55" s="401" t="s">
        <v>2208</v>
      </c>
      <c r="O55" s="401" t="s">
        <v>2208</v>
      </c>
      <c r="P55" s="402" t="s">
        <v>2208</v>
      </c>
      <c r="Q55" s="401" t="s">
        <v>2208</v>
      </c>
      <c r="R55" s="401" t="s">
        <v>2208</v>
      </c>
      <c r="S55" s="403" t="s">
        <v>2208</v>
      </c>
      <c r="T55" s="403" t="s">
        <v>2208</v>
      </c>
      <c r="U55" s="403" t="s">
        <v>2208</v>
      </c>
      <c r="V55" s="404"/>
      <c r="W55" s="405" t="s">
        <v>2208</v>
      </c>
      <c r="X55" s="277"/>
      <c r="Y55" s="277"/>
      <c r="Z55" s="277"/>
    </row>
    <row r="56" ht="12.75" customHeight="1">
      <c r="A56" s="91"/>
      <c r="B56" s="399"/>
      <c r="C56" s="91"/>
      <c r="D56" s="399"/>
      <c r="E56" s="400"/>
      <c r="F56" s="400"/>
      <c r="G56" s="401"/>
      <c r="H56" s="401"/>
      <c r="I56" s="401" t="s">
        <v>2208</v>
      </c>
      <c r="J56" s="401" t="s">
        <v>2208</v>
      </c>
      <c r="K56" s="401" t="s">
        <v>2208</v>
      </c>
      <c r="L56" s="401" t="s">
        <v>2208</v>
      </c>
      <c r="M56" s="401" t="s">
        <v>2208</v>
      </c>
      <c r="N56" s="401" t="s">
        <v>2208</v>
      </c>
      <c r="O56" s="401" t="s">
        <v>2208</v>
      </c>
      <c r="P56" s="402" t="s">
        <v>2208</v>
      </c>
      <c r="Q56" s="401" t="s">
        <v>2208</v>
      </c>
      <c r="R56" s="401" t="s">
        <v>2208</v>
      </c>
      <c r="S56" s="403" t="s">
        <v>2208</v>
      </c>
      <c r="T56" s="403" t="s">
        <v>2208</v>
      </c>
      <c r="U56" s="403" t="s">
        <v>2208</v>
      </c>
      <c r="V56" s="404"/>
      <c r="W56" s="405" t="s">
        <v>2208</v>
      </c>
      <c r="X56" s="277"/>
      <c r="Y56" s="277"/>
      <c r="Z56" s="277"/>
    </row>
    <row r="57" ht="12.75" customHeight="1">
      <c r="A57" s="91"/>
      <c r="B57" s="399"/>
      <c r="C57" s="91"/>
      <c r="D57" s="399"/>
      <c r="E57" s="400"/>
      <c r="F57" s="400"/>
      <c r="G57" s="401"/>
      <c r="H57" s="401"/>
      <c r="I57" s="401" t="s">
        <v>2208</v>
      </c>
      <c r="J57" s="401" t="s">
        <v>2208</v>
      </c>
      <c r="K57" s="401" t="s">
        <v>2208</v>
      </c>
      <c r="L57" s="401" t="s">
        <v>2208</v>
      </c>
      <c r="M57" s="401" t="s">
        <v>2208</v>
      </c>
      <c r="N57" s="401" t="s">
        <v>2208</v>
      </c>
      <c r="O57" s="401" t="s">
        <v>2208</v>
      </c>
      <c r="P57" s="402" t="s">
        <v>2208</v>
      </c>
      <c r="Q57" s="401" t="s">
        <v>2208</v>
      </c>
      <c r="R57" s="401" t="s">
        <v>2208</v>
      </c>
      <c r="S57" s="403" t="s">
        <v>2208</v>
      </c>
      <c r="T57" s="403" t="s">
        <v>2208</v>
      </c>
      <c r="U57" s="403" t="s">
        <v>2208</v>
      </c>
      <c r="V57" s="404"/>
      <c r="W57" s="405" t="s">
        <v>2208</v>
      </c>
      <c r="X57" s="277"/>
      <c r="Y57" s="277"/>
      <c r="Z57" s="277"/>
    </row>
    <row r="58" ht="12.75" customHeight="1">
      <c r="A58" s="277"/>
      <c r="B58" s="278"/>
      <c r="C58" s="277"/>
      <c r="D58" s="278"/>
      <c r="E58" s="279"/>
      <c r="F58" s="406"/>
      <c r="G58" s="407"/>
      <c r="H58" s="407"/>
      <c r="I58" s="407"/>
      <c r="J58" s="407"/>
      <c r="K58" s="407"/>
      <c r="L58" s="407"/>
      <c r="M58" s="407"/>
      <c r="N58" s="407"/>
      <c r="O58" s="407"/>
      <c r="P58" s="407"/>
      <c r="Q58" s="407"/>
      <c r="R58" s="407"/>
      <c r="S58" s="408"/>
      <c r="T58" s="408"/>
      <c r="U58" s="408"/>
      <c r="V58" s="409"/>
      <c r="W58" s="410"/>
      <c r="X58" s="277"/>
      <c r="Y58" s="277"/>
      <c r="Z58" s="277"/>
    </row>
    <row r="59" ht="12.75" customHeight="1">
      <c r="A59" s="277"/>
      <c r="B59" s="277"/>
      <c r="C59" s="277"/>
      <c r="D59" s="277"/>
      <c r="E59" s="277"/>
      <c r="F59" s="277"/>
      <c r="G59" s="411"/>
      <c r="H59" s="411"/>
      <c r="I59" s="411"/>
      <c r="J59" s="411"/>
      <c r="K59" s="411"/>
      <c r="L59" s="411"/>
      <c r="M59" s="411"/>
      <c r="N59" s="411"/>
      <c r="O59" s="411"/>
      <c r="P59" s="411"/>
      <c r="Q59" s="411"/>
      <c r="R59" s="411"/>
      <c r="S59" s="412"/>
      <c r="T59" s="412"/>
      <c r="U59" s="412"/>
      <c r="V59" s="277"/>
      <c r="W59" s="277"/>
      <c r="X59" s="277"/>
      <c r="Y59" s="277"/>
      <c r="Z59" s="277"/>
    </row>
    <row r="60" ht="12.75" customHeight="1">
      <c r="A60" s="277"/>
      <c r="B60" s="277"/>
      <c r="C60" s="277"/>
      <c r="D60" s="277"/>
      <c r="E60" s="277"/>
      <c r="F60" s="277"/>
      <c r="G60" s="411"/>
      <c r="H60" s="411"/>
      <c r="I60" s="411"/>
      <c r="J60" s="411"/>
      <c r="K60" s="411"/>
      <c r="L60" s="411"/>
      <c r="M60" s="411"/>
      <c r="N60" s="411"/>
      <c r="O60" s="411"/>
      <c r="P60" s="411"/>
      <c r="Q60" s="411"/>
      <c r="R60" s="411"/>
      <c r="S60" s="412"/>
      <c r="T60" s="412"/>
      <c r="U60" s="412"/>
      <c r="V60" s="277"/>
      <c r="W60" s="277"/>
      <c r="X60" s="277"/>
      <c r="Y60" s="277"/>
      <c r="Z60" s="277"/>
    </row>
    <row r="61" ht="12.75" customHeight="1">
      <c r="A61" s="277"/>
      <c r="B61" s="277"/>
      <c r="C61" s="277"/>
      <c r="D61" s="277"/>
      <c r="E61" s="277"/>
      <c r="F61" s="277"/>
      <c r="G61" s="411"/>
      <c r="H61" s="411"/>
      <c r="I61" s="411"/>
      <c r="J61" s="411"/>
      <c r="K61" s="411"/>
      <c r="L61" s="411"/>
      <c r="M61" s="411"/>
      <c r="N61" s="411"/>
      <c r="O61" s="411"/>
      <c r="P61" s="411"/>
      <c r="Q61" s="411"/>
      <c r="R61" s="411"/>
      <c r="S61" s="412"/>
      <c r="T61" s="412"/>
      <c r="U61" s="412"/>
      <c r="V61" s="277"/>
      <c r="W61" s="277"/>
      <c r="X61" s="277"/>
      <c r="Y61" s="277"/>
      <c r="Z61" s="277"/>
    </row>
    <row r="62" ht="12.75" customHeight="1">
      <c r="A62" s="277"/>
      <c r="B62" s="277"/>
      <c r="C62" s="277"/>
      <c r="D62" s="277"/>
      <c r="E62" s="277"/>
      <c r="F62" s="277"/>
      <c r="G62" s="411"/>
      <c r="H62" s="411"/>
      <c r="I62" s="411"/>
      <c r="J62" s="411"/>
      <c r="K62" s="411"/>
      <c r="L62" s="411"/>
      <c r="M62" s="411"/>
      <c r="N62" s="411"/>
      <c r="O62" s="411"/>
      <c r="P62" s="411"/>
      <c r="Q62" s="411"/>
      <c r="R62" s="411"/>
      <c r="S62" s="412"/>
      <c r="T62" s="412"/>
      <c r="U62" s="412"/>
      <c r="V62" s="277"/>
      <c r="W62" s="277"/>
      <c r="X62" s="277"/>
      <c r="Y62" s="277"/>
      <c r="Z62" s="277"/>
    </row>
    <row r="63" ht="12.75" customHeight="1">
      <c r="A63" s="277"/>
      <c r="B63" s="277"/>
      <c r="C63" s="277"/>
      <c r="D63" s="277"/>
      <c r="E63" s="277"/>
      <c r="F63" s="277"/>
      <c r="G63" s="411"/>
      <c r="H63" s="411"/>
      <c r="I63" s="411"/>
      <c r="J63" s="411"/>
      <c r="K63" s="411"/>
      <c r="L63" s="411"/>
      <c r="M63" s="411"/>
      <c r="N63" s="411"/>
      <c r="O63" s="411"/>
      <c r="P63" s="411"/>
      <c r="Q63" s="411"/>
      <c r="R63" s="411"/>
      <c r="S63" s="412"/>
      <c r="T63" s="412"/>
      <c r="U63" s="412"/>
      <c r="V63" s="277"/>
      <c r="W63" s="277"/>
      <c r="X63" s="277"/>
      <c r="Y63" s="277"/>
      <c r="Z63" s="277"/>
    </row>
    <row r="64" ht="12.75" customHeight="1">
      <c r="A64" s="277"/>
      <c r="B64" s="277"/>
      <c r="C64" s="277"/>
      <c r="D64" s="277"/>
      <c r="E64" s="277"/>
      <c r="F64" s="277"/>
      <c r="G64" s="411"/>
      <c r="H64" s="411"/>
      <c r="I64" s="411"/>
      <c r="J64" s="411"/>
      <c r="K64" s="411"/>
      <c r="L64" s="411"/>
      <c r="M64" s="411"/>
      <c r="N64" s="411"/>
      <c r="O64" s="411"/>
      <c r="P64" s="411"/>
      <c r="Q64" s="411"/>
      <c r="R64" s="411"/>
      <c r="S64" s="412"/>
      <c r="T64" s="412"/>
      <c r="U64" s="412"/>
      <c r="V64" s="277"/>
      <c r="W64" s="277"/>
      <c r="X64" s="277"/>
      <c r="Y64" s="277"/>
      <c r="Z64" s="277"/>
    </row>
    <row r="65" ht="12.75" customHeight="1">
      <c r="A65" s="277"/>
      <c r="B65" s="277"/>
      <c r="C65" s="277"/>
      <c r="D65" s="277"/>
      <c r="E65" s="277"/>
      <c r="F65" s="277"/>
      <c r="G65" s="411"/>
      <c r="H65" s="411"/>
      <c r="I65" s="411"/>
      <c r="J65" s="411"/>
      <c r="K65" s="411"/>
      <c r="L65" s="411"/>
      <c r="M65" s="411"/>
      <c r="N65" s="411"/>
      <c r="O65" s="411"/>
      <c r="P65" s="411"/>
      <c r="Q65" s="411"/>
      <c r="R65" s="411"/>
      <c r="S65" s="412"/>
      <c r="T65" s="412"/>
      <c r="U65" s="412"/>
      <c r="V65" s="277"/>
      <c r="W65" s="277"/>
      <c r="X65" s="277"/>
      <c r="Y65" s="277"/>
      <c r="Z65" s="277"/>
    </row>
    <row r="66" ht="12.75" customHeight="1">
      <c r="A66" s="277"/>
      <c r="B66" s="277"/>
      <c r="C66" s="277"/>
      <c r="D66" s="277"/>
      <c r="E66" s="277"/>
      <c r="F66" s="277"/>
      <c r="G66" s="411"/>
      <c r="H66" s="411"/>
      <c r="I66" s="411"/>
      <c r="J66" s="411"/>
      <c r="K66" s="411"/>
      <c r="L66" s="411"/>
      <c r="M66" s="411"/>
      <c r="N66" s="411"/>
      <c r="O66" s="411"/>
      <c r="P66" s="411"/>
      <c r="Q66" s="411"/>
      <c r="R66" s="411"/>
      <c r="S66" s="412"/>
      <c r="T66" s="412"/>
      <c r="U66" s="412"/>
      <c r="V66" s="277"/>
      <c r="W66" s="277"/>
      <c r="X66" s="277"/>
      <c r="Y66" s="277"/>
      <c r="Z66" s="277"/>
    </row>
    <row r="67" ht="12.75" customHeight="1">
      <c r="A67" s="277"/>
      <c r="B67" s="277"/>
      <c r="C67" s="277"/>
      <c r="D67" s="277"/>
      <c r="E67" s="277"/>
      <c r="F67" s="277"/>
      <c r="G67" s="411"/>
      <c r="H67" s="411"/>
      <c r="I67" s="411"/>
      <c r="J67" s="411"/>
      <c r="K67" s="411"/>
      <c r="L67" s="411"/>
      <c r="M67" s="411"/>
      <c r="N67" s="411"/>
      <c r="O67" s="411"/>
      <c r="P67" s="411"/>
      <c r="Q67" s="411"/>
      <c r="R67" s="411"/>
      <c r="S67" s="412"/>
      <c r="T67" s="412"/>
      <c r="U67" s="412"/>
      <c r="V67" s="277"/>
      <c r="W67" s="277"/>
      <c r="X67" s="277"/>
      <c r="Y67" s="277"/>
      <c r="Z67" s="277"/>
    </row>
    <row r="68" ht="12.75" customHeight="1">
      <c r="A68" s="277"/>
      <c r="B68" s="277"/>
      <c r="C68" s="277"/>
      <c r="D68" s="277"/>
      <c r="E68" s="277"/>
      <c r="F68" s="277"/>
      <c r="G68" s="411"/>
      <c r="H68" s="411"/>
      <c r="I68" s="411"/>
      <c r="J68" s="411"/>
      <c r="K68" s="411"/>
      <c r="L68" s="411"/>
      <c r="M68" s="411"/>
      <c r="N68" s="411"/>
      <c r="O68" s="411"/>
      <c r="P68" s="411"/>
      <c r="Q68" s="411"/>
      <c r="R68" s="411"/>
      <c r="S68" s="412"/>
      <c r="T68" s="412"/>
      <c r="U68" s="412"/>
      <c r="V68" s="277"/>
      <c r="W68" s="277"/>
      <c r="X68" s="277"/>
      <c r="Y68" s="277"/>
      <c r="Z68" s="277"/>
    </row>
    <row r="69" ht="12.75" customHeight="1">
      <c r="A69" s="277"/>
      <c r="B69" s="277"/>
      <c r="C69" s="277"/>
      <c r="D69" s="277"/>
      <c r="E69" s="277"/>
      <c r="F69" s="277"/>
      <c r="G69" s="411"/>
      <c r="H69" s="411"/>
      <c r="I69" s="411"/>
      <c r="J69" s="411"/>
      <c r="K69" s="411"/>
      <c r="L69" s="411"/>
      <c r="M69" s="411"/>
      <c r="N69" s="411"/>
      <c r="O69" s="411"/>
      <c r="P69" s="411"/>
      <c r="Q69" s="411"/>
      <c r="R69" s="411"/>
      <c r="S69" s="412"/>
      <c r="T69" s="412"/>
      <c r="U69" s="412"/>
      <c r="V69" s="277"/>
      <c r="W69" s="277"/>
      <c r="X69" s="277"/>
      <c r="Y69" s="277"/>
      <c r="Z69" s="277"/>
    </row>
    <row r="70" ht="12.75" customHeight="1">
      <c r="A70" s="277"/>
      <c r="B70" s="277"/>
      <c r="C70" s="277"/>
      <c r="D70" s="277"/>
      <c r="E70" s="277"/>
      <c r="F70" s="277"/>
      <c r="G70" s="411"/>
      <c r="H70" s="411"/>
      <c r="I70" s="411"/>
      <c r="J70" s="411"/>
      <c r="K70" s="411"/>
      <c r="L70" s="411"/>
      <c r="M70" s="411"/>
      <c r="N70" s="411"/>
      <c r="O70" s="411"/>
      <c r="P70" s="411"/>
      <c r="Q70" s="411"/>
      <c r="R70" s="411"/>
      <c r="S70" s="412"/>
      <c r="T70" s="412"/>
      <c r="U70" s="412"/>
      <c r="V70" s="277"/>
      <c r="W70" s="277"/>
      <c r="X70" s="277"/>
      <c r="Y70" s="277"/>
      <c r="Z70" s="277"/>
    </row>
    <row r="71" ht="12.75" customHeight="1">
      <c r="A71" s="277"/>
      <c r="B71" s="277"/>
      <c r="C71" s="277"/>
      <c r="D71" s="277"/>
      <c r="E71" s="277"/>
      <c r="F71" s="277"/>
      <c r="G71" s="411"/>
      <c r="H71" s="411"/>
      <c r="I71" s="411"/>
      <c r="J71" s="411"/>
      <c r="K71" s="411"/>
      <c r="L71" s="411"/>
      <c r="M71" s="411"/>
      <c r="N71" s="411"/>
      <c r="O71" s="411"/>
      <c r="P71" s="411"/>
      <c r="Q71" s="411"/>
      <c r="R71" s="411"/>
      <c r="S71" s="412"/>
      <c r="T71" s="412"/>
      <c r="U71" s="412"/>
      <c r="V71" s="277"/>
      <c r="W71" s="277"/>
      <c r="X71" s="277"/>
      <c r="Y71" s="277"/>
      <c r="Z71" s="277"/>
    </row>
    <row r="72" ht="12.75" customHeight="1">
      <c r="A72" s="277"/>
      <c r="B72" s="277"/>
      <c r="C72" s="277"/>
      <c r="D72" s="277"/>
      <c r="E72" s="277"/>
      <c r="F72" s="277"/>
      <c r="G72" s="411"/>
      <c r="H72" s="411"/>
      <c r="I72" s="411"/>
      <c r="J72" s="411"/>
      <c r="K72" s="411"/>
      <c r="L72" s="411"/>
      <c r="M72" s="411"/>
      <c r="N72" s="411"/>
      <c r="O72" s="411"/>
      <c r="P72" s="411"/>
      <c r="Q72" s="411"/>
      <c r="R72" s="411"/>
      <c r="S72" s="412"/>
      <c r="T72" s="412"/>
      <c r="U72" s="412"/>
      <c r="V72" s="277"/>
      <c r="W72" s="277"/>
      <c r="X72" s="277"/>
      <c r="Y72" s="277"/>
      <c r="Z72" s="277"/>
    </row>
    <row r="73" ht="12.75" customHeight="1">
      <c r="A73" s="277"/>
      <c r="B73" s="277"/>
      <c r="C73" s="277"/>
      <c r="D73" s="277"/>
      <c r="E73" s="277"/>
      <c r="F73" s="277"/>
      <c r="G73" s="411"/>
      <c r="H73" s="411"/>
      <c r="I73" s="411"/>
      <c r="J73" s="411"/>
      <c r="K73" s="411"/>
      <c r="L73" s="411"/>
      <c r="M73" s="411"/>
      <c r="N73" s="411"/>
      <c r="O73" s="411"/>
      <c r="P73" s="411"/>
      <c r="Q73" s="411"/>
      <c r="R73" s="411"/>
      <c r="S73" s="412"/>
      <c r="T73" s="412"/>
      <c r="U73" s="412"/>
      <c r="V73" s="277"/>
      <c r="W73" s="277"/>
      <c r="X73" s="277"/>
      <c r="Y73" s="277"/>
      <c r="Z73" s="277"/>
    </row>
    <row r="74" ht="12.75" customHeight="1">
      <c r="A74" s="277"/>
      <c r="B74" s="277"/>
      <c r="C74" s="277"/>
      <c r="D74" s="277"/>
      <c r="E74" s="277"/>
      <c r="F74" s="277"/>
      <c r="G74" s="411"/>
      <c r="H74" s="411"/>
      <c r="I74" s="411"/>
      <c r="J74" s="411"/>
      <c r="K74" s="411"/>
      <c r="L74" s="411"/>
      <c r="M74" s="411"/>
      <c r="N74" s="411"/>
      <c r="O74" s="411"/>
      <c r="P74" s="411"/>
      <c r="Q74" s="411"/>
      <c r="R74" s="411"/>
      <c r="S74" s="412"/>
      <c r="T74" s="412"/>
      <c r="U74" s="412"/>
      <c r="V74" s="277"/>
      <c r="W74" s="277"/>
      <c r="X74" s="277"/>
      <c r="Y74" s="277"/>
      <c r="Z74" s="277"/>
    </row>
    <row r="75" ht="12.75" customHeight="1">
      <c r="A75" s="277"/>
      <c r="B75" s="277"/>
      <c r="C75" s="277"/>
      <c r="D75" s="277"/>
      <c r="E75" s="277"/>
      <c r="F75" s="277"/>
      <c r="G75" s="411"/>
      <c r="H75" s="411"/>
      <c r="I75" s="411"/>
      <c r="J75" s="411"/>
      <c r="K75" s="411"/>
      <c r="L75" s="411"/>
      <c r="M75" s="411"/>
      <c r="N75" s="411"/>
      <c r="O75" s="411"/>
      <c r="P75" s="411"/>
      <c r="Q75" s="411"/>
      <c r="R75" s="411"/>
      <c r="S75" s="412"/>
      <c r="T75" s="412"/>
      <c r="U75" s="412"/>
      <c r="V75" s="277"/>
      <c r="W75" s="277"/>
      <c r="X75" s="277"/>
      <c r="Y75" s="277"/>
      <c r="Z75" s="277"/>
    </row>
    <row r="76" ht="12.75" customHeight="1">
      <c r="A76" s="277"/>
      <c r="B76" s="277"/>
      <c r="C76" s="277"/>
      <c r="D76" s="277"/>
      <c r="E76" s="277"/>
      <c r="F76" s="277"/>
      <c r="G76" s="411"/>
      <c r="H76" s="411"/>
      <c r="I76" s="411"/>
      <c r="J76" s="411"/>
      <c r="K76" s="411"/>
      <c r="L76" s="411"/>
      <c r="M76" s="411"/>
      <c r="N76" s="411"/>
      <c r="O76" s="411"/>
      <c r="P76" s="411"/>
      <c r="Q76" s="411"/>
      <c r="R76" s="411"/>
      <c r="S76" s="412"/>
      <c r="T76" s="412"/>
      <c r="U76" s="412"/>
      <c r="V76" s="277"/>
      <c r="W76" s="277"/>
      <c r="X76" s="277"/>
      <c r="Y76" s="277"/>
      <c r="Z76" s="277"/>
    </row>
    <row r="77" ht="12.75" customHeight="1">
      <c r="A77" s="277"/>
      <c r="B77" s="277"/>
      <c r="C77" s="277"/>
      <c r="D77" s="277"/>
      <c r="E77" s="277"/>
      <c r="F77" s="277"/>
      <c r="G77" s="411"/>
      <c r="H77" s="411"/>
      <c r="I77" s="411"/>
      <c r="J77" s="411"/>
      <c r="K77" s="411"/>
      <c r="L77" s="411"/>
      <c r="M77" s="411"/>
      <c r="N77" s="411"/>
      <c r="O77" s="411"/>
      <c r="P77" s="411"/>
      <c r="Q77" s="411"/>
      <c r="R77" s="411"/>
      <c r="S77" s="412"/>
      <c r="T77" s="412"/>
      <c r="U77" s="412"/>
      <c r="V77" s="277"/>
      <c r="W77" s="277"/>
      <c r="X77" s="277"/>
      <c r="Y77" s="277"/>
      <c r="Z77" s="277"/>
    </row>
    <row r="78" ht="12.75" customHeight="1">
      <c r="A78" s="277"/>
      <c r="B78" s="277"/>
      <c r="C78" s="277"/>
      <c r="D78" s="277"/>
      <c r="E78" s="277"/>
      <c r="F78" s="277"/>
      <c r="G78" s="411"/>
      <c r="H78" s="411"/>
      <c r="I78" s="411"/>
      <c r="J78" s="411"/>
      <c r="K78" s="411"/>
      <c r="L78" s="411"/>
      <c r="M78" s="411"/>
      <c r="N78" s="411"/>
      <c r="O78" s="411"/>
      <c r="P78" s="411"/>
      <c r="Q78" s="411"/>
      <c r="R78" s="411"/>
      <c r="S78" s="412"/>
      <c r="T78" s="412"/>
      <c r="U78" s="412"/>
      <c r="V78" s="277"/>
      <c r="W78" s="277"/>
      <c r="X78" s="277"/>
      <c r="Y78" s="277"/>
      <c r="Z78" s="277"/>
    </row>
    <row r="79" ht="12.75" customHeight="1">
      <c r="A79" s="277"/>
      <c r="B79" s="277"/>
      <c r="C79" s="277"/>
      <c r="D79" s="277"/>
      <c r="E79" s="277"/>
      <c r="F79" s="277"/>
      <c r="G79" s="411"/>
      <c r="H79" s="411"/>
      <c r="I79" s="411"/>
      <c r="J79" s="411"/>
      <c r="K79" s="411"/>
      <c r="L79" s="411"/>
      <c r="M79" s="411"/>
      <c r="N79" s="411"/>
      <c r="O79" s="411"/>
      <c r="P79" s="411"/>
      <c r="Q79" s="411"/>
      <c r="R79" s="411"/>
      <c r="S79" s="412"/>
      <c r="T79" s="412"/>
      <c r="U79" s="412"/>
      <c r="V79" s="277"/>
      <c r="W79" s="277"/>
      <c r="X79" s="277"/>
      <c r="Y79" s="277"/>
      <c r="Z79" s="277"/>
    </row>
    <row r="80" ht="12.75" customHeight="1">
      <c r="A80" s="277"/>
      <c r="B80" s="277"/>
      <c r="C80" s="277"/>
      <c r="D80" s="277"/>
      <c r="E80" s="277"/>
      <c r="F80" s="277"/>
      <c r="G80" s="411"/>
      <c r="H80" s="411"/>
      <c r="I80" s="411"/>
      <c r="J80" s="411"/>
      <c r="K80" s="411"/>
      <c r="L80" s="411"/>
      <c r="M80" s="411"/>
      <c r="N80" s="411"/>
      <c r="O80" s="411"/>
      <c r="P80" s="411"/>
      <c r="Q80" s="411"/>
      <c r="R80" s="411"/>
      <c r="S80" s="412"/>
      <c r="T80" s="412"/>
      <c r="U80" s="412"/>
      <c r="V80" s="277"/>
      <c r="W80" s="277"/>
      <c r="X80" s="277"/>
      <c r="Y80" s="277"/>
      <c r="Z80" s="277"/>
    </row>
    <row r="81" ht="12.75" customHeight="1">
      <c r="A81" s="277"/>
      <c r="B81" s="277"/>
      <c r="C81" s="277"/>
      <c r="D81" s="277"/>
      <c r="E81" s="277"/>
      <c r="F81" s="277"/>
      <c r="G81" s="411"/>
      <c r="H81" s="411"/>
      <c r="I81" s="411"/>
      <c r="J81" s="411"/>
      <c r="K81" s="411"/>
      <c r="L81" s="411"/>
      <c r="M81" s="411"/>
      <c r="N81" s="411"/>
      <c r="O81" s="411"/>
      <c r="P81" s="411"/>
      <c r="Q81" s="411"/>
      <c r="R81" s="411"/>
      <c r="S81" s="412"/>
      <c r="T81" s="412"/>
      <c r="U81" s="412"/>
      <c r="V81" s="277"/>
      <c r="W81" s="277"/>
      <c r="X81" s="277"/>
      <c r="Y81" s="277"/>
      <c r="Z81" s="277"/>
    </row>
    <row r="82" ht="12.75" customHeight="1">
      <c r="A82" s="277"/>
      <c r="B82" s="277"/>
      <c r="C82" s="277"/>
      <c r="D82" s="277"/>
      <c r="E82" s="277"/>
      <c r="F82" s="277"/>
      <c r="G82" s="411"/>
      <c r="H82" s="411"/>
      <c r="I82" s="411"/>
      <c r="J82" s="411"/>
      <c r="K82" s="411"/>
      <c r="L82" s="411"/>
      <c r="M82" s="411"/>
      <c r="N82" s="411"/>
      <c r="O82" s="411"/>
      <c r="P82" s="411"/>
      <c r="Q82" s="411"/>
      <c r="R82" s="411"/>
      <c r="S82" s="412"/>
      <c r="T82" s="412"/>
      <c r="U82" s="412"/>
      <c r="V82" s="277"/>
      <c r="W82" s="277"/>
      <c r="X82" s="277"/>
      <c r="Y82" s="277"/>
      <c r="Z82" s="277"/>
    </row>
    <row r="83" ht="12.75" customHeight="1">
      <c r="A83" s="277"/>
      <c r="B83" s="277"/>
      <c r="C83" s="277"/>
      <c r="D83" s="277"/>
      <c r="E83" s="277"/>
      <c r="F83" s="277"/>
      <c r="G83" s="411"/>
      <c r="H83" s="411"/>
      <c r="I83" s="411"/>
      <c r="J83" s="411"/>
      <c r="K83" s="411"/>
      <c r="L83" s="411"/>
      <c r="M83" s="411"/>
      <c r="N83" s="411"/>
      <c r="O83" s="411"/>
      <c r="P83" s="411"/>
      <c r="Q83" s="411"/>
      <c r="R83" s="411"/>
      <c r="S83" s="412"/>
      <c r="T83" s="412"/>
      <c r="U83" s="412"/>
      <c r="V83" s="277"/>
      <c r="W83" s="277"/>
      <c r="X83" s="277"/>
      <c r="Y83" s="277"/>
      <c r="Z83" s="277"/>
    </row>
    <row r="84" ht="12.75" customHeight="1">
      <c r="A84" s="277"/>
      <c r="B84" s="277"/>
      <c r="C84" s="277"/>
      <c r="D84" s="277"/>
      <c r="E84" s="277"/>
      <c r="F84" s="277"/>
      <c r="G84" s="411"/>
      <c r="H84" s="411"/>
      <c r="I84" s="411"/>
      <c r="J84" s="411"/>
      <c r="K84" s="411"/>
      <c r="L84" s="411"/>
      <c r="M84" s="411"/>
      <c r="N84" s="411"/>
      <c r="O84" s="411"/>
      <c r="P84" s="411"/>
      <c r="Q84" s="411"/>
      <c r="R84" s="411"/>
      <c r="S84" s="412"/>
      <c r="T84" s="412"/>
      <c r="U84" s="412"/>
      <c r="V84" s="277"/>
      <c r="W84" s="277"/>
      <c r="X84" s="277"/>
      <c r="Y84" s="277"/>
      <c r="Z84" s="277"/>
    </row>
    <row r="85" ht="12.75" customHeight="1">
      <c r="A85" s="277"/>
      <c r="B85" s="277"/>
      <c r="C85" s="277"/>
      <c r="D85" s="277"/>
      <c r="E85" s="277"/>
      <c r="F85" s="277"/>
      <c r="G85" s="411"/>
      <c r="H85" s="411"/>
      <c r="I85" s="411"/>
      <c r="J85" s="411"/>
      <c r="K85" s="411"/>
      <c r="L85" s="411"/>
      <c r="M85" s="411"/>
      <c r="N85" s="411"/>
      <c r="O85" s="411"/>
      <c r="P85" s="411"/>
      <c r="Q85" s="411"/>
      <c r="R85" s="411"/>
      <c r="S85" s="412"/>
      <c r="T85" s="412"/>
      <c r="U85" s="412"/>
      <c r="V85" s="277"/>
      <c r="W85" s="277"/>
      <c r="X85" s="277"/>
      <c r="Y85" s="277"/>
      <c r="Z85" s="277"/>
    </row>
    <row r="86" ht="12.75" customHeight="1">
      <c r="A86" s="277"/>
      <c r="B86" s="277"/>
      <c r="C86" s="277"/>
      <c r="D86" s="277"/>
      <c r="E86" s="277"/>
      <c r="F86" s="277"/>
      <c r="G86" s="411"/>
      <c r="H86" s="411"/>
      <c r="I86" s="411"/>
      <c r="J86" s="411"/>
      <c r="K86" s="411"/>
      <c r="L86" s="411"/>
      <c r="M86" s="411"/>
      <c r="N86" s="411"/>
      <c r="O86" s="411"/>
      <c r="P86" s="411"/>
      <c r="Q86" s="411"/>
      <c r="R86" s="411"/>
      <c r="S86" s="412"/>
      <c r="T86" s="412"/>
      <c r="U86" s="412"/>
      <c r="V86" s="277"/>
      <c r="W86" s="277"/>
      <c r="X86" s="277"/>
      <c r="Y86" s="277"/>
      <c r="Z86" s="277"/>
    </row>
    <row r="87" ht="12.75" customHeight="1">
      <c r="A87" s="277"/>
      <c r="B87" s="277"/>
      <c r="C87" s="277"/>
      <c r="D87" s="277"/>
      <c r="E87" s="277"/>
      <c r="F87" s="277"/>
      <c r="G87" s="411"/>
      <c r="H87" s="411"/>
      <c r="I87" s="411"/>
      <c r="J87" s="411"/>
      <c r="K87" s="411"/>
      <c r="L87" s="411"/>
      <c r="M87" s="411"/>
      <c r="N87" s="411"/>
      <c r="O87" s="411"/>
      <c r="P87" s="411"/>
      <c r="Q87" s="411"/>
      <c r="R87" s="411"/>
      <c r="S87" s="412"/>
      <c r="T87" s="412"/>
      <c r="U87" s="412"/>
      <c r="V87" s="277"/>
      <c r="W87" s="277"/>
      <c r="X87" s="277"/>
      <c r="Y87" s="277"/>
      <c r="Z87" s="277"/>
    </row>
    <row r="88" ht="12.75" customHeight="1">
      <c r="A88" s="277"/>
      <c r="B88" s="277"/>
      <c r="C88" s="277"/>
      <c r="D88" s="277"/>
      <c r="E88" s="277"/>
      <c r="F88" s="277"/>
      <c r="G88" s="411"/>
      <c r="H88" s="411"/>
      <c r="I88" s="411"/>
      <c r="J88" s="411"/>
      <c r="K88" s="411"/>
      <c r="L88" s="411"/>
      <c r="M88" s="411"/>
      <c r="N88" s="411"/>
      <c r="O88" s="411"/>
      <c r="P88" s="411"/>
      <c r="Q88" s="411"/>
      <c r="R88" s="411"/>
      <c r="S88" s="412"/>
      <c r="T88" s="412"/>
      <c r="U88" s="412"/>
      <c r="V88" s="277"/>
      <c r="W88" s="277"/>
      <c r="X88" s="277"/>
      <c r="Y88" s="277"/>
      <c r="Z88" s="277"/>
    </row>
    <row r="89" ht="12.75" customHeight="1">
      <c r="A89" s="277"/>
      <c r="B89" s="277"/>
      <c r="C89" s="277"/>
      <c r="D89" s="277"/>
      <c r="E89" s="277"/>
      <c r="F89" s="277"/>
      <c r="G89" s="411"/>
      <c r="H89" s="411"/>
      <c r="I89" s="411"/>
      <c r="J89" s="411"/>
      <c r="K89" s="411"/>
      <c r="L89" s="411"/>
      <c r="M89" s="411"/>
      <c r="N89" s="411"/>
      <c r="O89" s="411"/>
      <c r="P89" s="411"/>
      <c r="Q89" s="411"/>
      <c r="R89" s="411"/>
      <c r="S89" s="412"/>
      <c r="T89" s="412"/>
      <c r="U89" s="412"/>
      <c r="V89" s="277"/>
      <c r="W89" s="277"/>
      <c r="X89" s="277"/>
      <c r="Y89" s="277"/>
      <c r="Z89" s="277"/>
    </row>
    <row r="90" ht="12.75" customHeight="1">
      <c r="A90" s="277"/>
      <c r="B90" s="277"/>
      <c r="C90" s="277"/>
      <c r="D90" s="277"/>
      <c r="E90" s="277"/>
      <c r="F90" s="277"/>
      <c r="G90" s="411"/>
      <c r="H90" s="411"/>
      <c r="I90" s="411"/>
      <c r="J90" s="411"/>
      <c r="K90" s="411"/>
      <c r="L90" s="411"/>
      <c r="M90" s="411"/>
      <c r="N90" s="411"/>
      <c r="O90" s="411"/>
      <c r="P90" s="411"/>
      <c r="Q90" s="411"/>
      <c r="R90" s="411"/>
      <c r="S90" s="412"/>
      <c r="T90" s="412"/>
      <c r="U90" s="412"/>
      <c r="V90" s="277"/>
      <c r="W90" s="277"/>
      <c r="X90" s="277"/>
      <c r="Y90" s="277"/>
      <c r="Z90" s="277"/>
    </row>
    <row r="91" ht="12.75" customHeight="1">
      <c r="A91" s="277"/>
      <c r="B91" s="277"/>
      <c r="C91" s="277"/>
      <c r="D91" s="277"/>
      <c r="E91" s="277"/>
      <c r="F91" s="277"/>
      <c r="G91" s="411"/>
      <c r="H91" s="411"/>
      <c r="I91" s="411"/>
      <c r="J91" s="411"/>
      <c r="K91" s="411"/>
      <c r="L91" s="411"/>
      <c r="M91" s="411"/>
      <c r="N91" s="411"/>
      <c r="O91" s="411"/>
      <c r="P91" s="411"/>
      <c r="Q91" s="411"/>
      <c r="R91" s="411"/>
      <c r="S91" s="412"/>
      <c r="T91" s="412"/>
      <c r="U91" s="412"/>
      <c r="V91" s="277"/>
      <c r="W91" s="277"/>
      <c r="X91" s="277"/>
      <c r="Y91" s="277"/>
      <c r="Z91" s="277"/>
    </row>
    <row r="92" ht="12.75" customHeight="1">
      <c r="A92" s="277"/>
      <c r="B92" s="277"/>
      <c r="C92" s="277"/>
      <c r="D92" s="277"/>
      <c r="E92" s="277"/>
      <c r="F92" s="277"/>
      <c r="G92" s="411"/>
      <c r="H92" s="411"/>
      <c r="I92" s="411"/>
      <c r="J92" s="411"/>
      <c r="K92" s="411"/>
      <c r="L92" s="411"/>
      <c r="M92" s="411"/>
      <c r="N92" s="411"/>
      <c r="O92" s="411"/>
      <c r="P92" s="411"/>
      <c r="Q92" s="411"/>
      <c r="R92" s="411"/>
      <c r="S92" s="412"/>
      <c r="T92" s="412"/>
      <c r="U92" s="412"/>
      <c r="V92" s="277"/>
      <c r="W92" s="277"/>
      <c r="X92" s="277"/>
      <c r="Y92" s="277"/>
      <c r="Z92" s="277"/>
    </row>
    <row r="93" ht="12.75" customHeight="1">
      <c r="A93" s="277"/>
      <c r="B93" s="277"/>
      <c r="C93" s="277"/>
      <c r="D93" s="277"/>
      <c r="E93" s="277"/>
      <c r="F93" s="277"/>
      <c r="G93" s="411"/>
      <c r="H93" s="411"/>
      <c r="I93" s="411"/>
      <c r="J93" s="411"/>
      <c r="K93" s="411"/>
      <c r="L93" s="411"/>
      <c r="M93" s="411"/>
      <c r="N93" s="411"/>
      <c r="O93" s="411"/>
      <c r="P93" s="411"/>
      <c r="Q93" s="411"/>
      <c r="R93" s="411"/>
      <c r="S93" s="412"/>
      <c r="T93" s="412"/>
      <c r="U93" s="412"/>
      <c r="V93" s="277"/>
      <c r="W93" s="277"/>
      <c r="X93" s="277"/>
      <c r="Y93" s="277"/>
      <c r="Z93" s="277"/>
    </row>
    <row r="94" ht="12.75" customHeight="1">
      <c r="A94" s="277"/>
      <c r="B94" s="277"/>
      <c r="C94" s="277"/>
      <c r="D94" s="277"/>
      <c r="E94" s="277"/>
      <c r="F94" s="277"/>
      <c r="G94" s="411"/>
      <c r="H94" s="411"/>
      <c r="I94" s="411"/>
      <c r="J94" s="411"/>
      <c r="K94" s="411"/>
      <c r="L94" s="411"/>
      <c r="M94" s="411"/>
      <c r="N94" s="411"/>
      <c r="O94" s="411"/>
      <c r="P94" s="411"/>
      <c r="Q94" s="411"/>
      <c r="R94" s="411"/>
      <c r="S94" s="412"/>
      <c r="T94" s="412"/>
      <c r="U94" s="412"/>
      <c r="V94" s="277"/>
      <c r="W94" s="277"/>
      <c r="X94" s="277"/>
      <c r="Y94" s="277"/>
      <c r="Z94" s="277"/>
    </row>
    <row r="95" ht="12.75" customHeight="1">
      <c r="A95" s="277"/>
      <c r="B95" s="277"/>
      <c r="C95" s="277"/>
      <c r="D95" s="277"/>
      <c r="E95" s="277"/>
      <c r="F95" s="277"/>
      <c r="G95" s="411"/>
      <c r="H95" s="411"/>
      <c r="I95" s="411"/>
      <c r="J95" s="411"/>
      <c r="K95" s="411"/>
      <c r="L95" s="411"/>
      <c r="M95" s="411"/>
      <c r="N95" s="411"/>
      <c r="O95" s="411"/>
      <c r="P95" s="411"/>
      <c r="Q95" s="411"/>
      <c r="R95" s="411"/>
      <c r="S95" s="412"/>
      <c r="T95" s="412"/>
      <c r="U95" s="412"/>
      <c r="V95" s="277"/>
      <c r="W95" s="277"/>
      <c r="X95" s="277"/>
      <c r="Y95" s="277"/>
      <c r="Z95" s="277"/>
    </row>
    <row r="96" ht="12.75" customHeight="1">
      <c r="A96" s="277"/>
      <c r="B96" s="277"/>
      <c r="C96" s="277"/>
      <c r="D96" s="277"/>
      <c r="E96" s="277"/>
      <c r="F96" s="277"/>
      <c r="G96" s="411"/>
      <c r="H96" s="411"/>
      <c r="I96" s="411"/>
      <c r="J96" s="411"/>
      <c r="K96" s="411"/>
      <c r="L96" s="411"/>
      <c r="M96" s="411"/>
      <c r="N96" s="411"/>
      <c r="O96" s="411"/>
      <c r="P96" s="411"/>
      <c r="Q96" s="411"/>
      <c r="R96" s="411"/>
      <c r="S96" s="412"/>
      <c r="T96" s="412"/>
      <c r="U96" s="412"/>
      <c r="V96" s="277"/>
      <c r="W96" s="277"/>
      <c r="X96" s="277"/>
      <c r="Y96" s="277"/>
      <c r="Z96" s="277"/>
    </row>
    <row r="97" ht="12.75" customHeight="1">
      <c r="A97" s="277"/>
      <c r="B97" s="277"/>
      <c r="C97" s="277"/>
      <c r="D97" s="277"/>
      <c r="E97" s="277"/>
      <c r="F97" s="277"/>
      <c r="G97" s="411"/>
      <c r="H97" s="411"/>
      <c r="I97" s="411"/>
      <c r="J97" s="411"/>
      <c r="K97" s="411"/>
      <c r="L97" s="411"/>
      <c r="M97" s="411"/>
      <c r="N97" s="411"/>
      <c r="O97" s="411"/>
      <c r="P97" s="411"/>
      <c r="Q97" s="411"/>
      <c r="R97" s="411"/>
      <c r="S97" s="412"/>
      <c r="T97" s="412"/>
      <c r="U97" s="412"/>
      <c r="V97" s="277"/>
      <c r="W97" s="277"/>
      <c r="X97" s="277"/>
      <c r="Y97" s="277"/>
      <c r="Z97" s="277"/>
    </row>
    <row r="98" ht="12.75" customHeight="1">
      <c r="A98" s="277"/>
      <c r="B98" s="277"/>
      <c r="C98" s="277"/>
      <c r="D98" s="277"/>
      <c r="E98" s="277"/>
      <c r="F98" s="277"/>
      <c r="G98" s="411"/>
      <c r="H98" s="411"/>
      <c r="I98" s="411"/>
      <c r="J98" s="411"/>
      <c r="K98" s="411"/>
      <c r="L98" s="411"/>
      <c r="M98" s="411"/>
      <c r="N98" s="411"/>
      <c r="O98" s="411"/>
      <c r="P98" s="411"/>
      <c r="Q98" s="411"/>
      <c r="R98" s="411"/>
      <c r="S98" s="412"/>
      <c r="T98" s="412"/>
      <c r="U98" s="412"/>
      <c r="V98" s="277"/>
      <c r="W98" s="277"/>
      <c r="X98" s="277"/>
      <c r="Y98" s="277"/>
      <c r="Z98" s="277"/>
    </row>
    <row r="99" ht="12.75" customHeight="1">
      <c r="A99" s="277"/>
      <c r="B99" s="277"/>
      <c r="C99" s="277"/>
      <c r="D99" s="277"/>
      <c r="E99" s="277"/>
      <c r="F99" s="277"/>
      <c r="G99" s="411"/>
      <c r="H99" s="411"/>
      <c r="I99" s="411"/>
      <c r="J99" s="411"/>
      <c r="K99" s="411"/>
      <c r="L99" s="411"/>
      <c r="M99" s="411"/>
      <c r="N99" s="411"/>
      <c r="O99" s="411"/>
      <c r="P99" s="411"/>
      <c r="Q99" s="411"/>
      <c r="R99" s="411"/>
      <c r="S99" s="412"/>
      <c r="T99" s="412"/>
      <c r="U99" s="412"/>
      <c r="V99" s="277"/>
      <c r="W99" s="277"/>
      <c r="X99" s="277"/>
      <c r="Y99" s="277"/>
      <c r="Z99" s="277"/>
    </row>
    <row r="100" ht="12.75" customHeight="1">
      <c r="A100" s="277"/>
      <c r="B100" s="277"/>
      <c r="C100" s="277"/>
      <c r="D100" s="277"/>
      <c r="E100" s="277"/>
      <c r="F100" s="277"/>
      <c r="G100" s="411"/>
      <c r="H100" s="411"/>
      <c r="I100" s="411"/>
      <c r="J100" s="411"/>
      <c r="K100" s="411"/>
      <c r="L100" s="411"/>
      <c r="M100" s="411"/>
      <c r="N100" s="411"/>
      <c r="O100" s="411"/>
      <c r="P100" s="411"/>
      <c r="Q100" s="411"/>
      <c r="R100" s="411"/>
      <c r="S100" s="412"/>
      <c r="T100" s="412"/>
      <c r="U100" s="412"/>
      <c r="V100" s="277"/>
      <c r="W100" s="277"/>
      <c r="X100" s="277"/>
      <c r="Y100" s="277"/>
      <c r="Z100" s="277"/>
    </row>
    <row r="101" ht="12.75" customHeight="1">
      <c r="A101" s="277"/>
      <c r="B101" s="278"/>
      <c r="C101" s="277"/>
      <c r="D101" s="278"/>
      <c r="E101" s="279"/>
      <c r="F101" s="406"/>
      <c r="G101" s="407"/>
      <c r="H101" s="407"/>
      <c r="I101" s="407"/>
      <c r="J101" s="407"/>
      <c r="K101" s="407"/>
      <c r="L101" s="407"/>
      <c r="M101" s="407"/>
      <c r="N101" s="407"/>
      <c r="O101" s="407"/>
      <c r="P101" s="407"/>
      <c r="Q101" s="407"/>
      <c r="R101" s="407"/>
      <c r="S101" s="408"/>
      <c r="T101" s="408"/>
      <c r="U101" s="408"/>
      <c r="V101" s="409"/>
      <c r="W101" s="410"/>
      <c r="X101" s="277"/>
      <c r="Y101" s="277"/>
      <c r="Z101" s="277"/>
    </row>
    <row r="102" ht="12.75" customHeight="1">
      <c r="A102" s="277"/>
      <c r="B102" s="278"/>
      <c r="C102" s="277"/>
      <c r="D102" s="278"/>
      <c r="E102" s="279"/>
      <c r="F102" s="406"/>
      <c r="G102" s="407"/>
      <c r="H102" s="407"/>
      <c r="I102" s="407"/>
      <c r="J102" s="407"/>
      <c r="K102" s="407"/>
      <c r="L102" s="407"/>
      <c r="M102" s="407"/>
      <c r="N102" s="407"/>
      <c r="O102" s="407"/>
      <c r="P102" s="407"/>
      <c r="Q102" s="407"/>
      <c r="R102" s="407"/>
      <c r="S102" s="408"/>
      <c r="T102" s="408"/>
      <c r="U102" s="408"/>
      <c r="V102" s="409"/>
      <c r="W102" s="410"/>
      <c r="X102" s="277"/>
      <c r="Y102" s="277"/>
      <c r="Z102" s="277"/>
    </row>
    <row r="103" ht="12.75" customHeight="1">
      <c r="A103" s="277"/>
      <c r="B103" s="278"/>
      <c r="C103" s="277"/>
      <c r="D103" s="278"/>
      <c r="E103" s="279"/>
      <c r="F103" s="406"/>
      <c r="G103" s="407"/>
      <c r="H103" s="407"/>
      <c r="I103" s="407"/>
      <c r="J103" s="407"/>
      <c r="K103" s="407"/>
      <c r="L103" s="407"/>
      <c r="M103" s="407"/>
      <c r="N103" s="407"/>
      <c r="O103" s="407"/>
      <c r="P103" s="407"/>
      <c r="Q103" s="407"/>
      <c r="R103" s="407"/>
      <c r="S103" s="408"/>
      <c r="T103" s="408"/>
      <c r="U103" s="408"/>
      <c r="V103" s="409"/>
      <c r="W103" s="410"/>
      <c r="X103" s="277"/>
      <c r="Y103" s="277"/>
      <c r="Z103" s="277"/>
    </row>
    <row r="104" ht="12.75" customHeight="1">
      <c r="A104" s="277"/>
      <c r="B104" s="278"/>
      <c r="C104" s="277"/>
      <c r="D104" s="278"/>
      <c r="E104" s="279"/>
      <c r="F104" s="406"/>
      <c r="G104" s="407"/>
      <c r="H104" s="407"/>
      <c r="I104" s="407"/>
      <c r="J104" s="407"/>
      <c r="K104" s="407"/>
      <c r="L104" s="407"/>
      <c r="M104" s="407"/>
      <c r="N104" s="407"/>
      <c r="O104" s="407"/>
      <c r="P104" s="407"/>
      <c r="Q104" s="407"/>
      <c r="R104" s="407"/>
      <c r="S104" s="408"/>
      <c r="T104" s="408"/>
      <c r="U104" s="408"/>
      <c r="V104" s="409"/>
      <c r="W104" s="410"/>
      <c r="X104" s="277"/>
      <c r="Y104" s="277"/>
      <c r="Z104" s="277"/>
    </row>
    <row r="105" ht="12.75" customHeight="1">
      <c r="A105" s="277"/>
      <c r="B105" s="278"/>
      <c r="C105" s="277"/>
      <c r="D105" s="278"/>
      <c r="E105" s="279"/>
      <c r="F105" s="406"/>
      <c r="G105" s="407"/>
      <c r="H105" s="407"/>
      <c r="I105" s="407"/>
      <c r="J105" s="407"/>
      <c r="K105" s="407"/>
      <c r="L105" s="407"/>
      <c r="M105" s="407"/>
      <c r="N105" s="407"/>
      <c r="O105" s="407"/>
      <c r="P105" s="407"/>
      <c r="Q105" s="407"/>
      <c r="R105" s="407"/>
      <c r="S105" s="408"/>
      <c r="T105" s="408"/>
      <c r="U105" s="408"/>
      <c r="V105" s="409"/>
      <c r="W105" s="410"/>
      <c r="X105" s="277"/>
      <c r="Y105" s="277"/>
      <c r="Z105" s="277"/>
    </row>
    <row r="106" ht="12.75" customHeight="1">
      <c r="A106" s="277"/>
      <c r="B106" s="278"/>
      <c r="C106" s="277"/>
      <c r="D106" s="278"/>
      <c r="E106" s="279"/>
      <c r="F106" s="406"/>
      <c r="G106" s="407"/>
      <c r="H106" s="407"/>
      <c r="I106" s="407"/>
      <c r="J106" s="407"/>
      <c r="K106" s="407"/>
      <c r="L106" s="407"/>
      <c r="M106" s="407"/>
      <c r="N106" s="407"/>
      <c r="O106" s="407"/>
      <c r="P106" s="407"/>
      <c r="Q106" s="407"/>
      <c r="R106" s="407"/>
      <c r="S106" s="408"/>
      <c r="T106" s="408"/>
      <c r="U106" s="408"/>
      <c r="V106" s="409"/>
      <c r="W106" s="410"/>
      <c r="X106" s="277"/>
      <c r="Y106" s="277"/>
      <c r="Z106" s="277"/>
    </row>
    <row r="107" ht="12.75" customHeight="1">
      <c r="A107" s="277"/>
      <c r="B107" s="278"/>
      <c r="C107" s="277"/>
      <c r="D107" s="278"/>
      <c r="E107" s="279"/>
      <c r="F107" s="406"/>
      <c r="G107" s="407"/>
      <c r="H107" s="407"/>
      <c r="I107" s="407"/>
      <c r="J107" s="407"/>
      <c r="K107" s="407"/>
      <c r="L107" s="407"/>
      <c r="M107" s="407"/>
      <c r="N107" s="407"/>
      <c r="O107" s="407"/>
      <c r="P107" s="407"/>
      <c r="Q107" s="407"/>
      <c r="R107" s="407"/>
      <c r="S107" s="408"/>
      <c r="T107" s="408"/>
      <c r="U107" s="408"/>
      <c r="V107" s="409"/>
      <c r="W107" s="410"/>
      <c r="X107" s="277"/>
      <c r="Y107" s="277"/>
      <c r="Z107" s="277"/>
    </row>
    <row r="108" ht="12.75" customHeight="1">
      <c r="A108" s="277"/>
      <c r="B108" s="278"/>
      <c r="C108" s="277"/>
      <c r="D108" s="278"/>
      <c r="E108" s="279"/>
      <c r="F108" s="406"/>
      <c r="G108" s="407"/>
      <c r="H108" s="407"/>
      <c r="I108" s="407"/>
      <c r="J108" s="407"/>
      <c r="K108" s="407"/>
      <c r="L108" s="407"/>
      <c r="M108" s="407"/>
      <c r="N108" s="407"/>
      <c r="O108" s="407"/>
      <c r="P108" s="407"/>
      <c r="Q108" s="407"/>
      <c r="R108" s="407"/>
      <c r="S108" s="408"/>
      <c r="T108" s="408"/>
      <c r="U108" s="408"/>
      <c r="V108" s="409"/>
      <c r="W108" s="410"/>
      <c r="X108" s="277"/>
      <c r="Y108" s="277"/>
      <c r="Z108" s="277"/>
    </row>
    <row r="109" ht="12.75" customHeight="1">
      <c r="A109" s="277"/>
      <c r="B109" s="278"/>
      <c r="C109" s="277"/>
      <c r="D109" s="278"/>
      <c r="E109" s="279"/>
      <c r="F109" s="406"/>
      <c r="G109" s="407"/>
      <c r="H109" s="407"/>
      <c r="I109" s="407"/>
      <c r="J109" s="407"/>
      <c r="K109" s="407"/>
      <c r="L109" s="407"/>
      <c r="M109" s="407"/>
      <c r="N109" s="407"/>
      <c r="O109" s="407"/>
      <c r="P109" s="407"/>
      <c r="Q109" s="407"/>
      <c r="R109" s="407"/>
      <c r="S109" s="408"/>
      <c r="T109" s="408"/>
      <c r="U109" s="408"/>
      <c r="V109" s="409"/>
      <c r="W109" s="410"/>
      <c r="X109" s="277"/>
      <c r="Y109" s="277"/>
      <c r="Z109" s="277"/>
    </row>
    <row r="110" ht="12.75" customHeight="1">
      <c r="A110" s="277"/>
      <c r="B110" s="278"/>
      <c r="C110" s="277"/>
      <c r="D110" s="278"/>
      <c r="E110" s="279"/>
      <c r="F110" s="406"/>
      <c r="G110" s="407"/>
      <c r="H110" s="407"/>
      <c r="I110" s="407"/>
      <c r="J110" s="407"/>
      <c r="K110" s="407"/>
      <c r="L110" s="407"/>
      <c r="M110" s="407"/>
      <c r="N110" s="407"/>
      <c r="O110" s="407"/>
      <c r="P110" s="407"/>
      <c r="Q110" s="407"/>
      <c r="R110" s="407"/>
      <c r="S110" s="408"/>
      <c r="T110" s="408"/>
      <c r="U110" s="408"/>
      <c r="V110" s="409"/>
      <c r="W110" s="410"/>
      <c r="X110" s="277"/>
      <c r="Y110" s="277"/>
      <c r="Z110" s="277"/>
    </row>
    <row r="111" ht="12.75" customHeight="1">
      <c r="A111" s="277"/>
      <c r="B111" s="278"/>
      <c r="C111" s="277"/>
      <c r="D111" s="278"/>
      <c r="E111" s="279"/>
      <c r="F111" s="406"/>
      <c r="G111" s="407"/>
      <c r="H111" s="407"/>
      <c r="I111" s="407"/>
      <c r="J111" s="407"/>
      <c r="K111" s="407"/>
      <c r="L111" s="407"/>
      <c r="M111" s="407"/>
      <c r="N111" s="407"/>
      <c r="O111" s="407"/>
      <c r="P111" s="407"/>
      <c r="Q111" s="407"/>
      <c r="R111" s="407"/>
      <c r="S111" s="408"/>
      <c r="T111" s="408"/>
      <c r="U111" s="408"/>
      <c r="V111" s="409"/>
      <c r="W111" s="410"/>
      <c r="X111" s="277"/>
      <c r="Y111" s="277"/>
      <c r="Z111" s="277"/>
    </row>
    <row r="112" ht="12.75" customHeight="1">
      <c r="A112" s="277"/>
      <c r="B112" s="278"/>
      <c r="C112" s="277"/>
      <c r="D112" s="278"/>
      <c r="E112" s="279"/>
      <c r="F112" s="406"/>
      <c r="G112" s="407"/>
      <c r="H112" s="407"/>
      <c r="I112" s="407"/>
      <c r="J112" s="407"/>
      <c r="K112" s="407"/>
      <c r="L112" s="407"/>
      <c r="M112" s="407"/>
      <c r="N112" s="407"/>
      <c r="O112" s="407"/>
      <c r="P112" s="407"/>
      <c r="Q112" s="407"/>
      <c r="R112" s="407"/>
      <c r="S112" s="408"/>
      <c r="T112" s="408"/>
      <c r="U112" s="408"/>
      <c r="V112" s="409"/>
      <c r="W112" s="410"/>
      <c r="X112" s="277"/>
      <c r="Y112" s="277"/>
      <c r="Z112" s="277"/>
    </row>
    <row r="113" ht="12.75" customHeight="1">
      <c r="A113" s="277"/>
      <c r="B113" s="278"/>
      <c r="C113" s="277"/>
      <c r="D113" s="278"/>
      <c r="E113" s="279"/>
      <c r="F113" s="406"/>
      <c r="G113" s="407"/>
      <c r="H113" s="407"/>
      <c r="I113" s="407"/>
      <c r="J113" s="407"/>
      <c r="K113" s="407"/>
      <c r="L113" s="407"/>
      <c r="M113" s="407"/>
      <c r="N113" s="407"/>
      <c r="O113" s="407"/>
      <c r="P113" s="407"/>
      <c r="Q113" s="407"/>
      <c r="R113" s="407"/>
      <c r="S113" s="408"/>
      <c r="T113" s="408"/>
      <c r="U113" s="408"/>
      <c r="V113" s="409"/>
      <c r="W113" s="410"/>
      <c r="X113" s="277"/>
      <c r="Y113" s="277"/>
      <c r="Z113" s="277"/>
    </row>
    <row r="114" ht="12.75" customHeight="1">
      <c r="A114" s="277"/>
      <c r="B114" s="278"/>
      <c r="C114" s="277"/>
      <c r="D114" s="278"/>
      <c r="E114" s="279"/>
      <c r="F114" s="406"/>
      <c r="G114" s="407"/>
      <c r="H114" s="407"/>
      <c r="I114" s="407"/>
      <c r="J114" s="407"/>
      <c r="K114" s="407"/>
      <c r="L114" s="407"/>
      <c r="M114" s="407"/>
      <c r="N114" s="407"/>
      <c r="O114" s="407"/>
      <c r="P114" s="407"/>
      <c r="Q114" s="407"/>
      <c r="R114" s="407"/>
      <c r="S114" s="408"/>
      <c r="T114" s="408"/>
      <c r="U114" s="408"/>
      <c r="V114" s="409"/>
      <c r="W114" s="410"/>
      <c r="X114" s="277"/>
      <c r="Y114" s="277"/>
      <c r="Z114" s="277"/>
    </row>
    <row r="115" ht="12.75" customHeight="1">
      <c r="A115" s="277"/>
      <c r="B115" s="278"/>
      <c r="C115" s="277"/>
      <c r="D115" s="278"/>
      <c r="E115" s="279"/>
      <c r="F115" s="406"/>
      <c r="G115" s="407"/>
      <c r="H115" s="407"/>
      <c r="I115" s="407"/>
      <c r="J115" s="407"/>
      <c r="K115" s="407"/>
      <c r="L115" s="407"/>
      <c r="M115" s="407"/>
      <c r="N115" s="407"/>
      <c r="O115" s="407"/>
      <c r="P115" s="407"/>
      <c r="Q115" s="407"/>
      <c r="R115" s="407"/>
      <c r="S115" s="408"/>
      <c r="T115" s="408"/>
      <c r="U115" s="408"/>
      <c r="V115" s="409"/>
      <c r="W115" s="410"/>
      <c r="X115" s="277"/>
      <c r="Y115" s="277"/>
      <c r="Z115" s="277"/>
    </row>
    <row r="116" ht="12.75" customHeight="1">
      <c r="A116" s="277"/>
      <c r="B116" s="278"/>
      <c r="C116" s="277"/>
      <c r="D116" s="278"/>
      <c r="E116" s="279"/>
      <c r="F116" s="406"/>
      <c r="G116" s="407"/>
      <c r="H116" s="407"/>
      <c r="I116" s="407"/>
      <c r="J116" s="407"/>
      <c r="K116" s="407"/>
      <c r="L116" s="407"/>
      <c r="M116" s="407"/>
      <c r="N116" s="407"/>
      <c r="O116" s="407"/>
      <c r="P116" s="407"/>
      <c r="Q116" s="407"/>
      <c r="R116" s="407"/>
      <c r="S116" s="408"/>
      <c r="T116" s="408"/>
      <c r="U116" s="408"/>
      <c r="V116" s="409"/>
      <c r="W116" s="410"/>
      <c r="X116" s="277"/>
      <c r="Y116" s="277"/>
      <c r="Z116" s="277"/>
    </row>
    <row r="117" ht="12.75" customHeight="1">
      <c r="A117" s="277"/>
      <c r="B117" s="278"/>
      <c r="C117" s="277"/>
      <c r="D117" s="278"/>
      <c r="E117" s="279"/>
      <c r="F117" s="406"/>
      <c r="G117" s="407"/>
      <c r="H117" s="407"/>
      <c r="I117" s="407"/>
      <c r="J117" s="407"/>
      <c r="K117" s="407"/>
      <c r="L117" s="407"/>
      <c r="M117" s="407"/>
      <c r="N117" s="407"/>
      <c r="O117" s="407"/>
      <c r="P117" s="407"/>
      <c r="Q117" s="407"/>
      <c r="R117" s="407"/>
      <c r="S117" s="408"/>
      <c r="T117" s="408"/>
      <c r="U117" s="408"/>
      <c r="V117" s="409"/>
      <c r="W117" s="410"/>
      <c r="X117" s="277"/>
      <c r="Y117" s="277"/>
      <c r="Z117" s="277"/>
    </row>
    <row r="118" ht="12.75" customHeight="1">
      <c r="A118" s="277"/>
      <c r="B118" s="278"/>
      <c r="C118" s="277"/>
      <c r="D118" s="278"/>
      <c r="E118" s="279"/>
      <c r="F118" s="406"/>
      <c r="G118" s="407"/>
      <c r="H118" s="407"/>
      <c r="I118" s="407"/>
      <c r="J118" s="407"/>
      <c r="K118" s="407"/>
      <c r="L118" s="407"/>
      <c r="M118" s="407"/>
      <c r="N118" s="407"/>
      <c r="O118" s="407"/>
      <c r="P118" s="407"/>
      <c r="Q118" s="407"/>
      <c r="R118" s="407"/>
      <c r="S118" s="408"/>
      <c r="T118" s="408"/>
      <c r="U118" s="408"/>
      <c r="V118" s="409"/>
      <c r="W118" s="410"/>
      <c r="X118" s="277"/>
      <c r="Y118" s="277"/>
      <c r="Z118" s="277"/>
    </row>
    <row r="119" ht="12.75" customHeight="1">
      <c r="A119" s="277"/>
      <c r="B119" s="278"/>
      <c r="C119" s="277"/>
      <c r="D119" s="278"/>
      <c r="E119" s="279"/>
      <c r="F119" s="406"/>
      <c r="G119" s="407"/>
      <c r="H119" s="407"/>
      <c r="I119" s="407"/>
      <c r="J119" s="407"/>
      <c r="K119" s="407"/>
      <c r="L119" s="407"/>
      <c r="M119" s="407"/>
      <c r="N119" s="407"/>
      <c r="O119" s="407"/>
      <c r="P119" s="407"/>
      <c r="Q119" s="407"/>
      <c r="R119" s="407"/>
      <c r="S119" s="408"/>
      <c r="T119" s="408"/>
      <c r="U119" s="408"/>
      <c r="V119" s="409"/>
      <c r="W119" s="410"/>
      <c r="X119" s="277"/>
      <c r="Y119" s="277"/>
      <c r="Z119" s="277"/>
    </row>
    <row r="120" ht="12.75" customHeight="1">
      <c r="A120" s="277"/>
      <c r="B120" s="278"/>
      <c r="C120" s="277"/>
      <c r="D120" s="278"/>
      <c r="E120" s="279"/>
      <c r="F120" s="406"/>
      <c r="G120" s="407"/>
      <c r="H120" s="407"/>
      <c r="I120" s="407"/>
      <c r="J120" s="407"/>
      <c r="K120" s="407"/>
      <c r="L120" s="407"/>
      <c r="M120" s="407"/>
      <c r="N120" s="407"/>
      <c r="O120" s="407"/>
      <c r="P120" s="407"/>
      <c r="Q120" s="407"/>
      <c r="R120" s="407"/>
      <c r="S120" s="408"/>
      <c r="T120" s="408"/>
      <c r="U120" s="408"/>
      <c r="V120" s="409"/>
      <c r="W120" s="410"/>
      <c r="X120" s="277"/>
      <c r="Y120" s="277"/>
      <c r="Z120" s="277"/>
    </row>
    <row r="121" ht="12.75" customHeight="1">
      <c r="A121" s="277"/>
      <c r="B121" s="278"/>
      <c r="C121" s="277"/>
      <c r="D121" s="278"/>
      <c r="E121" s="279"/>
      <c r="F121" s="406"/>
      <c r="G121" s="407"/>
      <c r="H121" s="407"/>
      <c r="I121" s="407"/>
      <c r="J121" s="407"/>
      <c r="K121" s="407"/>
      <c r="L121" s="407"/>
      <c r="M121" s="407"/>
      <c r="N121" s="407"/>
      <c r="O121" s="407"/>
      <c r="P121" s="407"/>
      <c r="Q121" s="407"/>
      <c r="R121" s="407"/>
      <c r="S121" s="408"/>
      <c r="T121" s="408"/>
      <c r="U121" s="408"/>
      <c r="V121" s="409"/>
      <c r="W121" s="410"/>
      <c r="X121" s="277"/>
      <c r="Y121" s="277"/>
      <c r="Z121" s="277"/>
    </row>
    <row r="122" ht="12.75" customHeight="1">
      <c r="A122" s="277"/>
      <c r="B122" s="278"/>
      <c r="C122" s="277"/>
      <c r="D122" s="278"/>
      <c r="E122" s="279"/>
      <c r="F122" s="406"/>
      <c r="G122" s="407"/>
      <c r="H122" s="407"/>
      <c r="I122" s="407"/>
      <c r="J122" s="407"/>
      <c r="K122" s="407"/>
      <c r="L122" s="407"/>
      <c r="M122" s="407"/>
      <c r="N122" s="407"/>
      <c r="O122" s="407"/>
      <c r="P122" s="407"/>
      <c r="Q122" s="407"/>
      <c r="R122" s="407"/>
      <c r="S122" s="408"/>
      <c r="T122" s="408"/>
      <c r="U122" s="408"/>
      <c r="V122" s="409"/>
      <c r="W122" s="410"/>
      <c r="X122" s="277"/>
      <c r="Y122" s="277"/>
      <c r="Z122" s="277"/>
    </row>
    <row r="123" ht="12.75" customHeight="1">
      <c r="A123" s="277"/>
      <c r="B123" s="278"/>
      <c r="C123" s="277"/>
      <c r="D123" s="278"/>
      <c r="E123" s="279"/>
      <c r="F123" s="406"/>
      <c r="G123" s="407"/>
      <c r="H123" s="407"/>
      <c r="I123" s="407"/>
      <c r="J123" s="407"/>
      <c r="K123" s="407"/>
      <c r="L123" s="407"/>
      <c r="M123" s="407"/>
      <c r="N123" s="407"/>
      <c r="O123" s="407"/>
      <c r="P123" s="407"/>
      <c r="Q123" s="407"/>
      <c r="R123" s="407"/>
      <c r="S123" s="408"/>
      <c r="T123" s="408"/>
      <c r="U123" s="408"/>
      <c r="V123" s="409"/>
      <c r="W123" s="410"/>
      <c r="X123" s="277"/>
      <c r="Y123" s="277"/>
      <c r="Z123" s="277"/>
    </row>
    <row r="124" ht="12.75" customHeight="1">
      <c r="A124" s="277"/>
      <c r="B124" s="278"/>
      <c r="C124" s="277"/>
      <c r="D124" s="278"/>
      <c r="E124" s="279"/>
      <c r="F124" s="406"/>
      <c r="G124" s="407"/>
      <c r="H124" s="407"/>
      <c r="I124" s="407"/>
      <c r="J124" s="407"/>
      <c r="K124" s="407"/>
      <c r="L124" s="407"/>
      <c r="M124" s="407"/>
      <c r="N124" s="407"/>
      <c r="O124" s="407"/>
      <c r="P124" s="407"/>
      <c r="Q124" s="407"/>
      <c r="R124" s="407"/>
      <c r="S124" s="408"/>
      <c r="T124" s="408"/>
      <c r="U124" s="408"/>
      <c r="V124" s="409"/>
      <c r="W124" s="410"/>
      <c r="X124" s="277"/>
      <c r="Y124" s="277"/>
      <c r="Z124" s="277"/>
    </row>
    <row r="125" ht="12.75" customHeight="1">
      <c r="A125" s="277"/>
      <c r="B125" s="278"/>
      <c r="C125" s="277"/>
      <c r="D125" s="278"/>
      <c r="E125" s="279"/>
      <c r="F125" s="406"/>
      <c r="G125" s="407"/>
      <c r="H125" s="407"/>
      <c r="I125" s="407"/>
      <c r="J125" s="407"/>
      <c r="K125" s="407"/>
      <c r="L125" s="407"/>
      <c r="M125" s="407"/>
      <c r="N125" s="407"/>
      <c r="O125" s="407"/>
      <c r="P125" s="407"/>
      <c r="Q125" s="407"/>
      <c r="R125" s="407"/>
      <c r="S125" s="408"/>
      <c r="T125" s="408"/>
      <c r="U125" s="408"/>
      <c r="V125" s="409"/>
      <c r="W125" s="410"/>
      <c r="X125" s="277"/>
      <c r="Y125" s="277"/>
      <c r="Z125" s="277"/>
    </row>
    <row r="126" ht="12.75" customHeight="1">
      <c r="A126" s="277"/>
      <c r="B126" s="278"/>
      <c r="C126" s="277"/>
      <c r="D126" s="278"/>
      <c r="E126" s="279"/>
      <c r="F126" s="406"/>
      <c r="G126" s="407"/>
      <c r="H126" s="407"/>
      <c r="I126" s="407"/>
      <c r="J126" s="407"/>
      <c r="K126" s="407"/>
      <c r="L126" s="407"/>
      <c r="M126" s="407"/>
      <c r="N126" s="407"/>
      <c r="O126" s="407"/>
      <c r="P126" s="407"/>
      <c r="Q126" s="407"/>
      <c r="R126" s="407"/>
      <c r="S126" s="408"/>
      <c r="T126" s="408"/>
      <c r="U126" s="408"/>
      <c r="V126" s="409"/>
      <c r="W126" s="410"/>
      <c r="X126" s="277"/>
      <c r="Y126" s="277"/>
      <c r="Z126" s="277"/>
    </row>
    <row r="127" ht="12.75" customHeight="1">
      <c r="A127" s="277"/>
      <c r="B127" s="278"/>
      <c r="C127" s="277"/>
      <c r="D127" s="278"/>
      <c r="E127" s="279"/>
      <c r="F127" s="406"/>
      <c r="G127" s="407"/>
      <c r="H127" s="407"/>
      <c r="I127" s="407"/>
      <c r="J127" s="407"/>
      <c r="K127" s="407"/>
      <c r="L127" s="407"/>
      <c r="M127" s="407"/>
      <c r="N127" s="407"/>
      <c r="O127" s="407"/>
      <c r="P127" s="407"/>
      <c r="Q127" s="407"/>
      <c r="R127" s="407"/>
      <c r="S127" s="408"/>
      <c r="T127" s="408"/>
      <c r="U127" s="408"/>
      <c r="V127" s="409"/>
      <c r="W127" s="410"/>
      <c r="X127" s="277"/>
      <c r="Y127" s="277"/>
      <c r="Z127" s="277"/>
    </row>
    <row r="128" ht="12.75" customHeight="1">
      <c r="A128" s="277"/>
      <c r="B128" s="278"/>
      <c r="C128" s="277"/>
      <c r="D128" s="278"/>
      <c r="E128" s="279"/>
      <c r="F128" s="406"/>
      <c r="G128" s="407"/>
      <c r="H128" s="407"/>
      <c r="I128" s="407"/>
      <c r="J128" s="407"/>
      <c r="K128" s="407"/>
      <c r="L128" s="407"/>
      <c r="M128" s="407"/>
      <c r="N128" s="407"/>
      <c r="O128" s="407"/>
      <c r="P128" s="407"/>
      <c r="Q128" s="407"/>
      <c r="R128" s="407"/>
      <c r="S128" s="408"/>
      <c r="T128" s="408"/>
      <c r="U128" s="408"/>
      <c r="V128" s="409"/>
      <c r="W128" s="410"/>
      <c r="X128" s="277"/>
      <c r="Y128" s="277"/>
      <c r="Z128" s="277"/>
    </row>
    <row r="129" ht="12.75" customHeight="1">
      <c r="A129" s="277"/>
      <c r="B129" s="278"/>
      <c r="C129" s="277"/>
      <c r="D129" s="278"/>
      <c r="E129" s="279"/>
      <c r="F129" s="406"/>
      <c r="G129" s="407"/>
      <c r="H129" s="407"/>
      <c r="I129" s="407"/>
      <c r="J129" s="407"/>
      <c r="K129" s="407"/>
      <c r="L129" s="407"/>
      <c r="M129" s="407"/>
      <c r="N129" s="407"/>
      <c r="O129" s="407"/>
      <c r="P129" s="407"/>
      <c r="Q129" s="407"/>
      <c r="R129" s="407"/>
      <c r="S129" s="408"/>
      <c r="T129" s="408"/>
      <c r="U129" s="408"/>
      <c r="V129" s="409"/>
      <c r="W129" s="410"/>
      <c r="X129" s="277"/>
      <c r="Y129" s="277"/>
      <c r="Z129" s="277"/>
    </row>
    <row r="130" ht="12.75" customHeight="1">
      <c r="A130" s="277"/>
      <c r="B130" s="278"/>
      <c r="C130" s="277"/>
      <c r="D130" s="278"/>
      <c r="E130" s="279"/>
      <c r="F130" s="406"/>
      <c r="G130" s="407"/>
      <c r="H130" s="407"/>
      <c r="I130" s="407"/>
      <c r="J130" s="407"/>
      <c r="K130" s="407"/>
      <c r="L130" s="407"/>
      <c r="M130" s="407"/>
      <c r="N130" s="407"/>
      <c r="O130" s="407"/>
      <c r="P130" s="407"/>
      <c r="Q130" s="407"/>
      <c r="R130" s="407"/>
      <c r="S130" s="408"/>
      <c r="T130" s="408"/>
      <c r="U130" s="408"/>
      <c r="V130" s="409"/>
      <c r="W130" s="410"/>
      <c r="X130" s="277"/>
      <c r="Y130" s="277"/>
      <c r="Z130" s="277"/>
    </row>
    <row r="131" ht="12.75" customHeight="1">
      <c r="A131" s="277"/>
      <c r="B131" s="278"/>
      <c r="C131" s="277"/>
      <c r="D131" s="278"/>
      <c r="E131" s="279"/>
      <c r="F131" s="406"/>
      <c r="G131" s="407"/>
      <c r="H131" s="407"/>
      <c r="I131" s="407"/>
      <c r="J131" s="407"/>
      <c r="K131" s="407"/>
      <c r="L131" s="407"/>
      <c r="M131" s="407"/>
      <c r="N131" s="407"/>
      <c r="O131" s="407"/>
      <c r="P131" s="407"/>
      <c r="Q131" s="407"/>
      <c r="R131" s="407"/>
      <c r="S131" s="408"/>
      <c r="T131" s="408"/>
      <c r="U131" s="408"/>
      <c r="V131" s="409"/>
      <c r="W131" s="410"/>
      <c r="X131" s="277"/>
      <c r="Y131" s="277"/>
      <c r="Z131" s="277"/>
    </row>
    <row r="132" ht="12.75" customHeight="1">
      <c r="A132" s="277"/>
      <c r="B132" s="278"/>
      <c r="C132" s="277"/>
      <c r="D132" s="278"/>
      <c r="E132" s="279"/>
      <c r="F132" s="406"/>
      <c r="G132" s="407"/>
      <c r="H132" s="407"/>
      <c r="I132" s="407"/>
      <c r="J132" s="407"/>
      <c r="K132" s="407"/>
      <c r="L132" s="407"/>
      <c r="M132" s="407"/>
      <c r="N132" s="407"/>
      <c r="O132" s="407"/>
      <c r="P132" s="407"/>
      <c r="Q132" s="407"/>
      <c r="R132" s="407"/>
      <c r="S132" s="408"/>
      <c r="T132" s="408"/>
      <c r="U132" s="408"/>
      <c r="V132" s="409"/>
      <c r="W132" s="410"/>
      <c r="X132" s="277"/>
      <c r="Y132" s="277"/>
      <c r="Z132" s="277"/>
    </row>
    <row r="133" ht="12.75" customHeight="1">
      <c r="A133" s="277"/>
      <c r="B133" s="278"/>
      <c r="C133" s="277"/>
      <c r="D133" s="278"/>
      <c r="E133" s="279"/>
      <c r="F133" s="406"/>
      <c r="G133" s="407"/>
      <c r="H133" s="407"/>
      <c r="I133" s="407"/>
      <c r="J133" s="407"/>
      <c r="K133" s="407"/>
      <c r="L133" s="407"/>
      <c r="M133" s="407"/>
      <c r="N133" s="407"/>
      <c r="O133" s="407"/>
      <c r="P133" s="407"/>
      <c r="Q133" s="407"/>
      <c r="R133" s="407"/>
      <c r="S133" s="408"/>
      <c r="T133" s="408"/>
      <c r="U133" s="408"/>
      <c r="V133" s="409"/>
      <c r="W133" s="410"/>
      <c r="X133" s="277"/>
      <c r="Y133" s="277"/>
      <c r="Z133" s="277"/>
    </row>
    <row r="134" ht="12.75" customHeight="1">
      <c r="A134" s="277"/>
      <c r="B134" s="278"/>
      <c r="C134" s="277"/>
      <c r="D134" s="278"/>
      <c r="E134" s="279"/>
      <c r="F134" s="406"/>
      <c r="G134" s="407"/>
      <c r="H134" s="407"/>
      <c r="I134" s="407"/>
      <c r="J134" s="407"/>
      <c r="K134" s="407"/>
      <c r="L134" s="407"/>
      <c r="M134" s="407"/>
      <c r="N134" s="407"/>
      <c r="O134" s="407"/>
      <c r="P134" s="407"/>
      <c r="Q134" s="407"/>
      <c r="R134" s="407"/>
      <c r="S134" s="408"/>
      <c r="T134" s="408"/>
      <c r="U134" s="408"/>
      <c r="V134" s="409"/>
      <c r="W134" s="410"/>
      <c r="X134" s="277"/>
      <c r="Y134" s="277"/>
      <c r="Z134" s="277"/>
    </row>
    <row r="135" ht="12.75" customHeight="1">
      <c r="A135" s="277"/>
      <c r="B135" s="278"/>
      <c r="C135" s="277"/>
      <c r="D135" s="278"/>
      <c r="E135" s="279"/>
      <c r="F135" s="406"/>
      <c r="G135" s="407"/>
      <c r="H135" s="407"/>
      <c r="I135" s="407"/>
      <c r="J135" s="407"/>
      <c r="K135" s="407"/>
      <c r="L135" s="407"/>
      <c r="M135" s="407"/>
      <c r="N135" s="407"/>
      <c r="O135" s="407"/>
      <c r="P135" s="407"/>
      <c r="Q135" s="407"/>
      <c r="R135" s="407"/>
      <c r="S135" s="408"/>
      <c r="T135" s="408"/>
      <c r="U135" s="408"/>
      <c r="V135" s="409"/>
      <c r="W135" s="410"/>
      <c r="X135" s="277"/>
      <c r="Y135" s="277"/>
      <c r="Z135" s="277"/>
    </row>
    <row r="136" ht="12.75" customHeight="1">
      <c r="A136" s="277"/>
      <c r="B136" s="278"/>
      <c r="C136" s="277"/>
      <c r="D136" s="278"/>
      <c r="E136" s="279"/>
      <c r="F136" s="406"/>
      <c r="G136" s="407"/>
      <c r="H136" s="407"/>
      <c r="I136" s="407"/>
      <c r="J136" s="407"/>
      <c r="K136" s="407"/>
      <c r="L136" s="407"/>
      <c r="M136" s="407"/>
      <c r="N136" s="407"/>
      <c r="O136" s="407"/>
      <c r="P136" s="407"/>
      <c r="Q136" s="407"/>
      <c r="R136" s="407"/>
      <c r="S136" s="408"/>
      <c r="T136" s="408"/>
      <c r="U136" s="408"/>
      <c r="V136" s="409"/>
      <c r="W136" s="410"/>
      <c r="X136" s="277"/>
      <c r="Y136" s="277"/>
      <c r="Z136" s="277"/>
    </row>
    <row r="137" ht="12.75" customHeight="1">
      <c r="A137" s="277"/>
      <c r="B137" s="278"/>
      <c r="C137" s="277"/>
      <c r="D137" s="278"/>
      <c r="E137" s="279"/>
      <c r="F137" s="406"/>
      <c r="G137" s="407"/>
      <c r="H137" s="407"/>
      <c r="I137" s="407"/>
      <c r="J137" s="407"/>
      <c r="K137" s="407"/>
      <c r="L137" s="407"/>
      <c r="M137" s="407"/>
      <c r="N137" s="407"/>
      <c r="O137" s="407"/>
      <c r="P137" s="407"/>
      <c r="Q137" s="407"/>
      <c r="R137" s="407"/>
      <c r="S137" s="408"/>
      <c r="T137" s="408"/>
      <c r="U137" s="408"/>
      <c r="V137" s="409"/>
      <c r="W137" s="410"/>
      <c r="X137" s="277"/>
      <c r="Y137" s="277"/>
      <c r="Z137" s="277"/>
    </row>
    <row r="138" ht="12.75" customHeight="1">
      <c r="A138" s="277"/>
      <c r="B138" s="278"/>
      <c r="C138" s="277"/>
      <c r="D138" s="278"/>
      <c r="E138" s="279"/>
      <c r="F138" s="406"/>
      <c r="G138" s="407"/>
      <c r="H138" s="407"/>
      <c r="I138" s="407"/>
      <c r="J138" s="407"/>
      <c r="K138" s="407"/>
      <c r="L138" s="407"/>
      <c r="M138" s="407"/>
      <c r="N138" s="407"/>
      <c r="O138" s="407"/>
      <c r="P138" s="407"/>
      <c r="Q138" s="407"/>
      <c r="R138" s="407"/>
      <c r="S138" s="408"/>
      <c r="T138" s="408"/>
      <c r="U138" s="408"/>
      <c r="V138" s="409"/>
      <c r="W138" s="410"/>
      <c r="X138" s="277"/>
      <c r="Y138" s="277"/>
      <c r="Z138" s="277"/>
    </row>
    <row r="139" ht="12.75" customHeight="1">
      <c r="A139" s="277"/>
      <c r="B139" s="278"/>
      <c r="C139" s="277"/>
      <c r="D139" s="278"/>
      <c r="E139" s="279"/>
      <c r="F139" s="406"/>
      <c r="G139" s="407"/>
      <c r="H139" s="407"/>
      <c r="I139" s="407"/>
      <c r="J139" s="407"/>
      <c r="K139" s="407"/>
      <c r="L139" s="407"/>
      <c r="M139" s="407"/>
      <c r="N139" s="407"/>
      <c r="O139" s="407"/>
      <c r="P139" s="407"/>
      <c r="Q139" s="407"/>
      <c r="R139" s="407"/>
      <c r="S139" s="408"/>
      <c r="T139" s="408"/>
      <c r="U139" s="408"/>
      <c r="V139" s="409"/>
      <c r="W139" s="410"/>
      <c r="X139" s="277"/>
      <c r="Y139" s="277"/>
      <c r="Z139" s="277"/>
    </row>
    <row r="140" ht="12.75" customHeight="1">
      <c r="A140" s="277"/>
      <c r="B140" s="278"/>
      <c r="C140" s="277"/>
      <c r="D140" s="278"/>
      <c r="E140" s="279"/>
      <c r="F140" s="406"/>
      <c r="G140" s="407"/>
      <c r="H140" s="407"/>
      <c r="I140" s="407"/>
      <c r="J140" s="407"/>
      <c r="K140" s="407"/>
      <c r="L140" s="407"/>
      <c r="M140" s="407"/>
      <c r="N140" s="407"/>
      <c r="O140" s="407"/>
      <c r="P140" s="407"/>
      <c r="Q140" s="407"/>
      <c r="R140" s="407"/>
      <c r="S140" s="408"/>
      <c r="T140" s="408"/>
      <c r="U140" s="408"/>
      <c r="V140" s="409"/>
      <c r="W140" s="410"/>
      <c r="X140" s="277"/>
      <c r="Y140" s="277"/>
      <c r="Z140" s="277"/>
    </row>
    <row r="141" ht="12.75" customHeight="1">
      <c r="A141" s="277"/>
      <c r="B141" s="278"/>
      <c r="C141" s="277"/>
      <c r="D141" s="278"/>
      <c r="E141" s="279"/>
      <c r="F141" s="406"/>
      <c r="G141" s="407"/>
      <c r="H141" s="407"/>
      <c r="I141" s="407"/>
      <c r="J141" s="407"/>
      <c r="K141" s="407"/>
      <c r="L141" s="407"/>
      <c r="M141" s="407"/>
      <c r="N141" s="407"/>
      <c r="O141" s="407"/>
      <c r="P141" s="407"/>
      <c r="Q141" s="407"/>
      <c r="R141" s="407"/>
      <c r="S141" s="408"/>
      <c r="T141" s="408"/>
      <c r="U141" s="408"/>
      <c r="V141" s="409"/>
      <c r="W141" s="410"/>
      <c r="X141" s="277"/>
      <c r="Y141" s="277"/>
      <c r="Z141" s="277"/>
    </row>
    <row r="142" ht="12.75" customHeight="1">
      <c r="A142" s="277"/>
      <c r="B142" s="278"/>
      <c r="C142" s="277"/>
      <c r="D142" s="278"/>
      <c r="E142" s="279"/>
      <c r="F142" s="406"/>
      <c r="G142" s="407"/>
      <c r="H142" s="407"/>
      <c r="I142" s="407"/>
      <c r="J142" s="407"/>
      <c r="K142" s="407"/>
      <c r="L142" s="407"/>
      <c r="M142" s="407"/>
      <c r="N142" s="407"/>
      <c r="O142" s="407"/>
      <c r="P142" s="407"/>
      <c r="Q142" s="407"/>
      <c r="R142" s="407"/>
      <c r="S142" s="408"/>
      <c r="T142" s="408"/>
      <c r="U142" s="408"/>
      <c r="V142" s="409"/>
      <c r="W142" s="410"/>
      <c r="X142" s="277"/>
      <c r="Y142" s="277"/>
      <c r="Z142" s="277"/>
    </row>
    <row r="143" ht="12.75" customHeight="1">
      <c r="A143" s="277"/>
      <c r="B143" s="278"/>
      <c r="C143" s="277"/>
      <c r="D143" s="278"/>
      <c r="E143" s="279"/>
      <c r="F143" s="406"/>
      <c r="G143" s="407"/>
      <c r="H143" s="407"/>
      <c r="I143" s="407"/>
      <c r="J143" s="407"/>
      <c r="K143" s="407"/>
      <c r="L143" s="407"/>
      <c r="M143" s="407"/>
      <c r="N143" s="407"/>
      <c r="O143" s="407"/>
      <c r="P143" s="407"/>
      <c r="Q143" s="407"/>
      <c r="R143" s="407"/>
      <c r="S143" s="408"/>
      <c r="T143" s="408"/>
      <c r="U143" s="408"/>
      <c r="V143" s="409"/>
      <c r="W143" s="410"/>
      <c r="X143" s="277"/>
      <c r="Y143" s="277"/>
      <c r="Z143" s="277"/>
    </row>
    <row r="144" ht="12.75" customHeight="1">
      <c r="A144" s="277"/>
      <c r="B144" s="278"/>
      <c r="C144" s="277"/>
      <c r="D144" s="278"/>
      <c r="E144" s="279"/>
      <c r="F144" s="406"/>
      <c r="G144" s="407"/>
      <c r="H144" s="407"/>
      <c r="I144" s="407"/>
      <c r="J144" s="407"/>
      <c r="K144" s="407"/>
      <c r="L144" s="407"/>
      <c r="M144" s="407"/>
      <c r="N144" s="407"/>
      <c r="O144" s="407"/>
      <c r="P144" s="407"/>
      <c r="Q144" s="407"/>
      <c r="R144" s="407"/>
      <c r="S144" s="408"/>
      <c r="T144" s="408"/>
      <c r="U144" s="408"/>
      <c r="V144" s="409"/>
      <c r="W144" s="410"/>
      <c r="X144" s="277"/>
      <c r="Y144" s="277"/>
      <c r="Z144" s="277"/>
    </row>
    <row r="145" ht="12.75" customHeight="1">
      <c r="A145" s="277"/>
      <c r="B145" s="278"/>
      <c r="C145" s="277"/>
      <c r="D145" s="278"/>
      <c r="E145" s="279"/>
      <c r="F145" s="406"/>
      <c r="G145" s="407"/>
      <c r="H145" s="407"/>
      <c r="I145" s="407"/>
      <c r="J145" s="407"/>
      <c r="K145" s="407"/>
      <c r="L145" s="407"/>
      <c r="M145" s="407"/>
      <c r="N145" s="407"/>
      <c r="O145" s="407"/>
      <c r="P145" s="407"/>
      <c r="Q145" s="407"/>
      <c r="R145" s="407"/>
      <c r="S145" s="408"/>
      <c r="T145" s="408"/>
      <c r="U145" s="408"/>
      <c r="V145" s="409"/>
      <c r="W145" s="410"/>
      <c r="X145" s="277"/>
      <c r="Y145" s="277"/>
      <c r="Z145" s="277"/>
    </row>
    <row r="146" ht="12.75" customHeight="1">
      <c r="A146" s="277"/>
      <c r="B146" s="278"/>
      <c r="C146" s="277"/>
      <c r="D146" s="278"/>
      <c r="E146" s="279"/>
      <c r="F146" s="406"/>
      <c r="G146" s="407"/>
      <c r="H146" s="407"/>
      <c r="I146" s="407"/>
      <c r="J146" s="407"/>
      <c r="K146" s="407"/>
      <c r="L146" s="407"/>
      <c r="M146" s="407"/>
      <c r="N146" s="407"/>
      <c r="O146" s="407"/>
      <c r="P146" s="407"/>
      <c r="Q146" s="407"/>
      <c r="R146" s="407"/>
      <c r="S146" s="408"/>
      <c r="T146" s="408"/>
      <c r="U146" s="408"/>
      <c r="V146" s="409"/>
      <c r="W146" s="410"/>
      <c r="X146" s="277"/>
      <c r="Y146" s="277"/>
      <c r="Z146" s="277"/>
    </row>
    <row r="147" ht="12.75" customHeight="1">
      <c r="A147" s="277"/>
      <c r="B147" s="278"/>
      <c r="C147" s="277"/>
      <c r="D147" s="278"/>
      <c r="E147" s="279"/>
      <c r="F147" s="406"/>
      <c r="G147" s="407"/>
      <c r="H147" s="407"/>
      <c r="I147" s="407"/>
      <c r="J147" s="407"/>
      <c r="K147" s="407"/>
      <c r="L147" s="407"/>
      <c r="M147" s="407"/>
      <c r="N147" s="407"/>
      <c r="O147" s="407"/>
      <c r="P147" s="407"/>
      <c r="Q147" s="407"/>
      <c r="R147" s="407"/>
      <c r="S147" s="408"/>
      <c r="T147" s="408"/>
      <c r="U147" s="408"/>
      <c r="V147" s="409"/>
      <c r="W147" s="410"/>
      <c r="X147" s="277"/>
      <c r="Y147" s="277"/>
      <c r="Z147" s="277"/>
    </row>
    <row r="148" ht="12.75" customHeight="1">
      <c r="A148" s="277"/>
      <c r="B148" s="278"/>
      <c r="C148" s="277"/>
      <c r="D148" s="278"/>
      <c r="E148" s="279"/>
      <c r="F148" s="406"/>
      <c r="G148" s="407"/>
      <c r="H148" s="407"/>
      <c r="I148" s="407"/>
      <c r="J148" s="407"/>
      <c r="K148" s="407"/>
      <c r="L148" s="407"/>
      <c r="M148" s="407"/>
      <c r="N148" s="407"/>
      <c r="O148" s="407"/>
      <c r="P148" s="407"/>
      <c r="Q148" s="407"/>
      <c r="R148" s="407"/>
      <c r="S148" s="408"/>
      <c r="T148" s="408"/>
      <c r="U148" s="408"/>
      <c r="V148" s="409"/>
      <c r="W148" s="410"/>
      <c r="X148" s="277"/>
      <c r="Y148" s="277"/>
      <c r="Z148" s="277"/>
    </row>
    <row r="149" ht="12.75" customHeight="1">
      <c r="A149" s="277"/>
      <c r="B149" s="278"/>
      <c r="C149" s="277"/>
      <c r="D149" s="278"/>
      <c r="E149" s="279"/>
      <c r="F149" s="406"/>
      <c r="G149" s="407"/>
      <c r="H149" s="407"/>
      <c r="I149" s="407"/>
      <c r="J149" s="407"/>
      <c r="K149" s="407"/>
      <c r="L149" s="407"/>
      <c r="M149" s="407"/>
      <c r="N149" s="407"/>
      <c r="O149" s="407"/>
      <c r="P149" s="407"/>
      <c r="Q149" s="407"/>
      <c r="R149" s="407"/>
      <c r="S149" s="408"/>
      <c r="T149" s="408"/>
      <c r="U149" s="408"/>
      <c r="V149" s="409"/>
      <c r="W149" s="410"/>
      <c r="X149" s="277"/>
      <c r="Y149" s="277"/>
      <c r="Z149" s="277"/>
    </row>
    <row r="150" ht="12.75" customHeight="1">
      <c r="A150" s="277"/>
      <c r="B150" s="278"/>
      <c r="C150" s="277"/>
      <c r="D150" s="278"/>
      <c r="E150" s="279"/>
      <c r="F150" s="406"/>
      <c r="G150" s="407"/>
      <c r="H150" s="407"/>
      <c r="I150" s="407"/>
      <c r="J150" s="407"/>
      <c r="K150" s="407"/>
      <c r="L150" s="407"/>
      <c r="M150" s="407"/>
      <c r="N150" s="407"/>
      <c r="O150" s="407"/>
      <c r="P150" s="407"/>
      <c r="Q150" s="407"/>
      <c r="R150" s="407"/>
      <c r="S150" s="408"/>
      <c r="T150" s="408"/>
      <c r="U150" s="408"/>
      <c r="V150" s="409"/>
      <c r="W150" s="410"/>
      <c r="X150" s="277"/>
      <c r="Y150" s="277"/>
      <c r="Z150" s="277"/>
    </row>
    <row r="151" ht="12.75" customHeight="1">
      <c r="A151" s="277"/>
      <c r="B151" s="278"/>
      <c r="C151" s="277"/>
      <c r="D151" s="278"/>
      <c r="E151" s="279"/>
      <c r="F151" s="406"/>
      <c r="G151" s="407"/>
      <c r="H151" s="407"/>
      <c r="I151" s="407"/>
      <c r="J151" s="407"/>
      <c r="K151" s="407"/>
      <c r="L151" s="407"/>
      <c r="M151" s="407"/>
      <c r="N151" s="407"/>
      <c r="O151" s="407"/>
      <c r="P151" s="407"/>
      <c r="Q151" s="407"/>
      <c r="R151" s="407"/>
      <c r="S151" s="408"/>
      <c r="T151" s="408"/>
      <c r="U151" s="408"/>
      <c r="V151" s="409"/>
      <c r="W151" s="410"/>
      <c r="X151" s="277"/>
      <c r="Y151" s="277"/>
      <c r="Z151" s="277"/>
    </row>
    <row r="152" ht="12.75" customHeight="1">
      <c r="A152" s="277"/>
      <c r="B152" s="278"/>
      <c r="C152" s="277"/>
      <c r="D152" s="278"/>
      <c r="E152" s="279"/>
      <c r="F152" s="406"/>
      <c r="G152" s="407"/>
      <c r="H152" s="407"/>
      <c r="I152" s="407"/>
      <c r="J152" s="407"/>
      <c r="K152" s="407"/>
      <c r="L152" s="407"/>
      <c r="M152" s="407"/>
      <c r="N152" s="407"/>
      <c r="O152" s="407"/>
      <c r="P152" s="407"/>
      <c r="Q152" s="407"/>
      <c r="R152" s="407"/>
      <c r="S152" s="408"/>
      <c r="T152" s="408"/>
      <c r="U152" s="408"/>
      <c r="V152" s="409"/>
      <c r="W152" s="410"/>
      <c r="X152" s="277"/>
      <c r="Y152" s="277"/>
      <c r="Z152" s="277"/>
    </row>
    <row r="153" ht="12.75" customHeight="1">
      <c r="A153" s="277"/>
      <c r="B153" s="278"/>
      <c r="C153" s="277"/>
      <c r="D153" s="278"/>
      <c r="E153" s="279"/>
      <c r="F153" s="406"/>
      <c r="G153" s="407"/>
      <c r="H153" s="407"/>
      <c r="I153" s="407"/>
      <c r="J153" s="407"/>
      <c r="K153" s="407"/>
      <c r="L153" s="407"/>
      <c r="M153" s="407"/>
      <c r="N153" s="407"/>
      <c r="O153" s="407"/>
      <c r="P153" s="407"/>
      <c r="Q153" s="407"/>
      <c r="R153" s="407"/>
      <c r="S153" s="408"/>
      <c r="T153" s="408"/>
      <c r="U153" s="408"/>
      <c r="V153" s="409"/>
      <c r="W153" s="410"/>
      <c r="X153" s="277"/>
      <c r="Y153" s="277"/>
      <c r="Z153" s="277"/>
    </row>
    <row r="154" ht="12.75" customHeight="1">
      <c r="A154" s="277"/>
      <c r="B154" s="278"/>
      <c r="C154" s="277"/>
      <c r="D154" s="278"/>
      <c r="E154" s="279"/>
      <c r="F154" s="406"/>
      <c r="G154" s="407"/>
      <c r="H154" s="407"/>
      <c r="I154" s="407"/>
      <c r="J154" s="407"/>
      <c r="K154" s="407"/>
      <c r="L154" s="407"/>
      <c r="M154" s="407"/>
      <c r="N154" s="407"/>
      <c r="O154" s="407"/>
      <c r="P154" s="407"/>
      <c r="Q154" s="407"/>
      <c r="R154" s="407"/>
      <c r="S154" s="408"/>
      <c r="T154" s="408"/>
      <c r="U154" s="408"/>
      <c r="V154" s="409"/>
      <c r="W154" s="410"/>
      <c r="X154" s="277"/>
      <c r="Y154" s="277"/>
      <c r="Z154" s="277"/>
    </row>
    <row r="155" ht="12.75" customHeight="1">
      <c r="A155" s="277"/>
      <c r="B155" s="278"/>
      <c r="C155" s="277"/>
      <c r="D155" s="278"/>
      <c r="E155" s="279"/>
      <c r="F155" s="406"/>
      <c r="G155" s="407"/>
      <c r="H155" s="407"/>
      <c r="I155" s="407"/>
      <c r="J155" s="407"/>
      <c r="K155" s="407"/>
      <c r="L155" s="407"/>
      <c r="M155" s="407"/>
      <c r="N155" s="407"/>
      <c r="O155" s="407"/>
      <c r="P155" s="407"/>
      <c r="Q155" s="407"/>
      <c r="R155" s="407"/>
      <c r="S155" s="408"/>
      <c r="T155" s="408"/>
      <c r="U155" s="408"/>
      <c r="V155" s="409"/>
      <c r="W155" s="410"/>
      <c r="X155" s="277"/>
      <c r="Y155" s="277"/>
      <c r="Z155" s="277"/>
    </row>
    <row r="156" ht="12.75" customHeight="1">
      <c r="A156" s="277"/>
      <c r="B156" s="278"/>
      <c r="C156" s="277"/>
      <c r="D156" s="278"/>
      <c r="E156" s="279"/>
      <c r="F156" s="406"/>
      <c r="G156" s="407"/>
      <c r="H156" s="407"/>
      <c r="I156" s="407"/>
      <c r="J156" s="407"/>
      <c r="K156" s="407"/>
      <c r="L156" s="407"/>
      <c r="M156" s="407"/>
      <c r="N156" s="407"/>
      <c r="O156" s="407"/>
      <c r="P156" s="407"/>
      <c r="Q156" s="407"/>
      <c r="R156" s="407"/>
      <c r="S156" s="408"/>
      <c r="T156" s="408"/>
      <c r="U156" s="408"/>
      <c r="V156" s="409"/>
      <c r="W156" s="410"/>
      <c r="X156" s="277"/>
      <c r="Y156" s="277"/>
      <c r="Z156" s="277"/>
    </row>
    <row r="157" ht="12.75" customHeight="1">
      <c r="A157" s="277"/>
      <c r="B157" s="278"/>
      <c r="C157" s="277"/>
      <c r="D157" s="278"/>
      <c r="E157" s="279"/>
      <c r="F157" s="406"/>
      <c r="G157" s="407"/>
      <c r="H157" s="407"/>
      <c r="I157" s="407"/>
      <c r="J157" s="407"/>
      <c r="K157" s="407"/>
      <c r="L157" s="407"/>
      <c r="M157" s="407"/>
      <c r="N157" s="407"/>
      <c r="O157" s="407"/>
      <c r="P157" s="407"/>
      <c r="Q157" s="407"/>
      <c r="R157" s="407"/>
      <c r="S157" s="408"/>
      <c r="T157" s="408"/>
      <c r="U157" s="408"/>
      <c r="V157" s="409"/>
      <c r="W157" s="410"/>
      <c r="X157" s="277"/>
      <c r="Y157" s="277"/>
      <c r="Z157" s="277"/>
    </row>
    <row r="158" ht="12.75" customHeight="1">
      <c r="A158" s="277"/>
      <c r="B158" s="278"/>
      <c r="C158" s="277"/>
      <c r="D158" s="278"/>
      <c r="E158" s="279"/>
      <c r="F158" s="406"/>
      <c r="G158" s="407"/>
      <c r="H158" s="407"/>
      <c r="I158" s="407"/>
      <c r="J158" s="407"/>
      <c r="K158" s="407"/>
      <c r="L158" s="407"/>
      <c r="M158" s="407"/>
      <c r="N158" s="407"/>
      <c r="O158" s="407"/>
      <c r="P158" s="407"/>
      <c r="Q158" s="407"/>
      <c r="R158" s="407"/>
      <c r="S158" s="408"/>
      <c r="T158" s="408"/>
      <c r="U158" s="408"/>
      <c r="V158" s="409"/>
      <c r="W158" s="410"/>
      <c r="X158" s="277"/>
      <c r="Y158" s="277"/>
      <c r="Z158" s="277"/>
    </row>
    <row r="159" ht="12.75" customHeight="1">
      <c r="A159" s="277"/>
      <c r="B159" s="278"/>
      <c r="C159" s="277"/>
      <c r="D159" s="278"/>
      <c r="E159" s="279"/>
      <c r="F159" s="406"/>
      <c r="G159" s="407"/>
      <c r="H159" s="407"/>
      <c r="I159" s="407"/>
      <c r="J159" s="407"/>
      <c r="K159" s="407"/>
      <c r="L159" s="407"/>
      <c r="M159" s="407"/>
      <c r="N159" s="407"/>
      <c r="O159" s="407"/>
      <c r="P159" s="407"/>
      <c r="Q159" s="407"/>
      <c r="R159" s="407"/>
      <c r="S159" s="408"/>
      <c r="T159" s="408"/>
      <c r="U159" s="408"/>
      <c r="V159" s="409"/>
      <c r="W159" s="410"/>
      <c r="X159" s="277"/>
      <c r="Y159" s="277"/>
      <c r="Z159" s="277"/>
    </row>
    <row r="160" ht="12.75" customHeight="1">
      <c r="A160" s="277"/>
      <c r="B160" s="278"/>
      <c r="C160" s="277"/>
      <c r="D160" s="278"/>
      <c r="E160" s="279"/>
      <c r="F160" s="406"/>
      <c r="G160" s="407"/>
      <c r="H160" s="407"/>
      <c r="I160" s="407"/>
      <c r="J160" s="407"/>
      <c r="K160" s="407"/>
      <c r="L160" s="407"/>
      <c r="M160" s="407"/>
      <c r="N160" s="407"/>
      <c r="O160" s="407"/>
      <c r="P160" s="407"/>
      <c r="Q160" s="407"/>
      <c r="R160" s="407"/>
      <c r="S160" s="408"/>
      <c r="T160" s="408"/>
      <c r="U160" s="408"/>
      <c r="V160" s="409"/>
      <c r="W160" s="410"/>
      <c r="X160" s="277"/>
      <c r="Y160" s="277"/>
      <c r="Z160" s="277"/>
    </row>
    <row r="161" ht="12.75" customHeight="1">
      <c r="A161" s="277"/>
      <c r="B161" s="278"/>
      <c r="C161" s="277"/>
      <c r="D161" s="278"/>
      <c r="E161" s="279"/>
      <c r="F161" s="406"/>
      <c r="G161" s="407"/>
      <c r="H161" s="407"/>
      <c r="I161" s="407"/>
      <c r="J161" s="407"/>
      <c r="K161" s="407"/>
      <c r="L161" s="407"/>
      <c r="M161" s="407"/>
      <c r="N161" s="407"/>
      <c r="O161" s="407"/>
      <c r="P161" s="407"/>
      <c r="Q161" s="407"/>
      <c r="R161" s="407"/>
      <c r="S161" s="408"/>
      <c r="T161" s="408"/>
      <c r="U161" s="408"/>
      <c r="V161" s="409"/>
      <c r="W161" s="410"/>
      <c r="X161" s="277"/>
      <c r="Y161" s="277"/>
      <c r="Z161" s="277"/>
    </row>
    <row r="162" ht="12.75" customHeight="1">
      <c r="A162" s="277"/>
      <c r="B162" s="278"/>
      <c r="C162" s="277"/>
      <c r="D162" s="278"/>
      <c r="E162" s="279"/>
      <c r="F162" s="406"/>
      <c r="G162" s="407"/>
      <c r="H162" s="407"/>
      <c r="I162" s="407"/>
      <c r="J162" s="407"/>
      <c r="K162" s="407"/>
      <c r="L162" s="407"/>
      <c r="M162" s="407"/>
      <c r="N162" s="407"/>
      <c r="O162" s="407"/>
      <c r="P162" s="407"/>
      <c r="Q162" s="407"/>
      <c r="R162" s="407"/>
      <c r="S162" s="408"/>
      <c r="T162" s="408"/>
      <c r="U162" s="408"/>
      <c r="V162" s="409"/>
      <c r="W162" s="410"/>
      <c r="X162" s="277"/>
      <c r="Y162" s="277"/>
      <c r="Z162" s="277"/>
    </row>
    <row r="163" ht="12.75" customHeight="1">
      <c r="A163" s="277"/>
      <c r="B163" s="278"/>
      <c r="C163" s="277"/>
      <c r="D163" s="278"/>
      <c r="E163" s="279"/>
      <c r="F163" s="406"/>
      <c r="G163" s="407"/>
      <c r="H163" s="407"/>
      <c r="I163" s="407"/>
      <c r="J163" s="407"/>
      <c r="K163" s="407"/>
      <c r="L163" s="407"/>
      <c r="M163" s="407"/>
      <c r="N163" s="407"/>
      <c r="O163" s="407"/>
      <c r="P163" s="407"/>
      <c r="Q163" s="407"/>
      <c r="R163" s="407"/>
      <c r="S163" s="408"/>
      <c r="T163" s="408"/>
      <c r="U163" s="408"/>
      <c r="V163" s="409"/>
      <c r="W163" s="410"/>
      <c r="X163" s="277"/>
      <c r="Y163" s="277"/>
      <c r="Z163" s="277"/>
    </row>
    <row r="164" ht="12.75" customHeight="1">
      <c r="A164" s="277"/>
      <c r="B164" s="278"/>
      <c r="C164" s="277"/>
      <c r="D164" s="278"/>
      <c r="E164" s="279"/>
      <c r="F164" s="406"/>
      <c r="G164" s="407"/>
      <c r="H164" s="407"/>
      <c r="I164" s="407"/>
      <c r="J164" s="407"/>
      <c r="K164" s="407"/>
      <c r="L164" s="407"/>
      <c r="M164" s="407"/>
      <c r="N164" s="407"/>
      <c r="O164" s="407"/>
      <c r="P164" s="407"/>
      <c r="Q164" s="407"/>
      <c r="R164" s="407"/>
      <c r="S164" s="408"/>
      <c r="T164" s="408"/>
      <c r="U164" s="408"/>
      <c r="V164" s="409"/>
      <c r="W164" s="410"/>
      <c r="X164" s="277"/>
      <c r="Y164" s="277"/>
      <c r="Z164" s="277"/>
    </row>
    <row r="165" ht="12.75" customHeight="1">
      <c r="A165" s="277"/>
      <c r="B165" s="278"/>
      <c r="C165" s="277"/>
      <c r="D165" s="278"/>
      <c r="E165" s="279"/>
      <c r="F165" s="406"/>
      <c r="G165" s="407"/>
      <c r="H165" s="407"/>
      <c r="I165" s="407"/>
      <c r="J165" s="407"/>
      <c r="K165" s="407"/>
      <c r="L165" s="407"/>
      <c r="M165" s="407"/>
      <c r="N165" s="407"/>
      <c r="O165" s="407"/>
      <c r="P165" s="407"/>
      <c r="Q165" s="407"/>
      <c r="R165" s="407"/>
      <c r="S165" s="408"/>
      <c r="T165" s="408"/>
      <c r="U165" s="408"/>
      <c r="V165" s="409"/>
      <c r="W165" s="410"/>
      <c r="X165" s="277"/>
      <c r="Y165" s="277"/>
      <c r="Z165" s="277"/>
    </row>
    <row r="166" ht="12.75" customHeight="1">
      <c r="A166" s="277"/>
      <c r="B166" s="278"/>
      <c r="C166" s="277"/>
      <c r="D166" s="278"/>
      <c r="E166" s="279"/>
      <c r="F166" s="406"/>
      <c r="G166" s="407"/>
      <c r="H166" s="407"/>
      <c r="I166" s="407"/>
      <c r="J166" s="407"/>
      <c r="K166" s="407"/>
      <c r="L166" s="407"/>
      <c r="M166" s="407"/>
      <c r="N166" s="407"/>
      <c r="O166" s="407"/>
      <c r="P166" s="407"/>
      <c r="Q166" s="407"/>
      <c r="R166" s="407"/>
      <c r="S166" s="408"/>
      <c r="T166" s="408"/>
      <c r="U166" s="408"/>
      <c r="V166" s="409"/>
      <c r="W166" s="410"/>
      <c r="X166" s="277"/>
      <c r="Y166" s="277"/>
      <c r="Z166" s="277"/>
    </row>
    <row r="167" ht="12.75" customHeight="1">
      <c r="A167" s="277"/>
      <c r="B167" s="278"/>
      <c r="C167" s="277"/>
      <c r="D167" s="278"/>
      <c r="E167" s="279"/>
      <c r="F167" s="406"/>
      <c r="G167" s="407"/>
      <c r="H167" s="407"/>
      <c r="I167" s="407"/>
      <c r="J167" s="407"/>
      <c r="K167" s="407"/>
      <c r="L167" s="407"/>
      <c r="M167" s="407"/>
      <c r="N167" s="407"/>
      <c r="O167" s="407"/>
      <c r="P167" s="407"/>
      <c r="Q167" s="407"/>
      <c r="R167" s="407"/>
      <c r="S167" s="408"/>
      <c r="T167" s="408"/>
      <c r="U167" s="408"/>
      <c r="V167" s="409"/>
      <c r="W167" s="410"/>
      <c r="X167" s="277"/>
      <c r="Y167" s="277"/>
      <c r="Z167" s="277"/>
    </row>
    <row r="168" ht="12.75" customHeight="1">
      <c r="A168" s="277"/>
      <c r="B168" s="278"/>
      <c r="C168" s="277"/>
      <c r="D168" s="278"/>
      <c r="E168" s="279"/>
      <c r="F168" s="406"/>
      <c r="G168" s="407"/>
      <c r="H168" s="407"/>
      <c r="I168" s="407"/>
      <c r="J168" s="407"/>
      <c r="K168" s="407"/>
      <c r="L168" s="407"/>
      <c r="M168" s="407"/>
      <c r="N168" s="407"/>
      <c r="O168" s="407"/>
      <c r="P168" s="407"/>
      <c r="Q168" s="407"/>
      <c r="R168" s="407"/>
      <c r="S168" s="408"/>
      <c r="T168" s="408"/>
      <c r="U168" s="408"/>
      <c r="V168" s="409"/>
      <c r="W168" s="410"/>
      <c r="X168" s="277"/>
      <c r="Y168" s="277"/>
      <c r="Z168" s="277"/>
    </row>
    <row r="169" ht="12.75" customHeight="1">
      <c r="A169" s="277"/>
      <c r="B169" s="278"/>
      <c r="C169" s="277"/>
      <c r="D169" s="278"/>
      <c r="E169" s="279"/>
      <c r="F169" s="406"/>
      <c r="G169" s="407"/>
      <c r="H169" s="407"/>
      <c r="I169" s="407"/>
      <c r="J169" s="407"/>
      <c r="K169" s="407"/>
      <c r="L169" s="407"/>
      <c r="M169" s="407"/>
      <c r="N169" s="407"/>
      <c r="O169" s="407"/>
      <c r="P169" s="407"/>
      <c r="Q169" s="407"/>
      <c r="R169" s="407"/>
      <c r="S169" s="408"/>
      <c r="T169" s="408"/>
      <c r="U169" s="408"/>
      <c r="V169" s="409"/>
      <c r="W169" s="410"/>
      <c r="X169" s="277"/>
      <c r="Y169" s="277"/>
      <c r="Z169" s="277"/>
    </row>
    <row r="170" ht="12.75" customHeight="1">
      <c r="A170" s="277"/>
      <c r="B170" s="278"/>
      <c r="C170" s="277"/>
      <c r="D170" s="278"/>
      <c r="E170" s="279"/>
      <c r="F170" s="406"/>
      <c r="G170" s="407"/>
      <c r="H170" s="407"/>
      <c r="I170" s="407"/>
      <c r="J170" s="407"/>
      <c r="K170" s="407"/>
      <c r="L170" s="407"/>
      <c r="M170" s="407"/>
      <c r="N170" s="407"/>
      <c r="O170" s="407"/>
      <c r="P170" s="407"/>
      <c r="Q170" s="407"/>
      <c r="R170" s="407"/>
      <c r="S170" s="408"/>
      <c r="T170" s="408"/>
      <c r="U170" s="408"/>
      <c r="V170" s="409"/>
      <c r="W170" s="410"/>
      <c r="X170" s="277"/>
      <c r="Y170" s="277"/>
      <c r="Z170" s="277"/>
    </row>
    <row r="171" ht="12.75" customHeight="1">
      <c r="A171" s="277"/>
      <c r="B171" s="278"/>
      <c r="C171" s="277"/>
      <c r="D171" s="278"/>
      <c r="E171" s="279"/>
      <c r="F171" s="406"/>
      <c r="G171" s="407"/>
      <c r="H171" s="407"/>
      <c r="I171" s="407"/>
      <c r="J171" s="407"/>
      <c r="K171" s="407"/>
      <c r="L171" s="407"/>
      <c r="M171" s="407"/>
      <c r="N171" s="407"/>
      <c r="O171" s="407"/>
      <c r="P171" s="407"/>
      <c r="Q171" s="407"/>
      <c r="R171" s="407"/>
      <c r="S171" s="408"/>
      <c r="T171" s="408"/>
      <c r="U171" s="408"/>
      <c r="V171" s="409"/>
      <c r="W171" s="410"/>
      <c r="X171" s="277"/>
      <c r="Y171" s="277"/>
      <c r="Z171" s="277"/>
    </row>
    <row r="172" ht="12.75" customHeight="1">
      <c r="A172" s="277"/>
      <c r="B172" s="278"/>
      <c r="C172" s="277"/>
      <c r="D172" s="278"/>
      <c r="E172" s="279"/>
      <c r="F172" s="406"/>
      <c r="G172" s="407"/>
      <c r="H172" s="407"/>
      <c r="I172" s="407"/>
      <c r="J172" s="407"/>
      <c r="K172" s="407"/>
      <c r="L172" s="407"/>
      <c r="M172" s="407"/>
      <c r="N172" s="407"/>
      <c r="O172" s="407"/>
      <c r="P172" s="407"/>
      <c r="Q172" s="407"/>
      <c r="R172" s="407"/>
      <c r="S172" s="408"/>
      <c r="T172" s="408"/>
      <c r="U172" s="408"/>
      <c r="V172" s="409"/>
      <c r="W172" s="410"/>
      <c r="X172" s="277"/>
      <c r="Y172" s="277"/>
      <c r="Z172" s="277"/>
    </row>
    <row r="173" ht="12.75" customHeight="1">
      <c r="A173" s="277"/>
      <c r="B173" s="278"/>
      <c r="C173" s="277"/>
      <c r="D173" s="278"/>
      <c r="E173" s="279"/>
      <c r="F173" s="406"/>
      <c r="G173" s="407"/>
      <c r="H173" s="407"/>
      <c r="I173" s="407"/>
      <c r="J173" s="407"/>
      <c r="K173" s="407"/>
      <c r="L173" s="407"/>
      <c r="M173" s="407"/>
      <c r="N173" s="407"/>
      <c r="O173" s="407"/>
      <c r="P173" s="407"/>
      <c r="Q173" s="407"/>
      <c r="R173" s="407"/>
      <c r="S173" s="408"/>
      <c r="T173" s="408"/>
      <c r="U173" s="408"/>
      <c r="V173" s="409"/>
      <c r="W173" s="410"/>
      <c r="X173" s="277"/>
      <c r="Y173" s="277"/>
      <c r="Z173" s="277"/>
    </row>
    <row r="174" ht="12.75" customHeight="1">
      <c r="A174" s="277"/>
      <c r="B174" s="278"/>
      <c r="C174" s="277"/>
      <c r="D174" s="278"/>
      <c r="E174" s="279"/>
      <c r="F174" s="406"/>
      <c r="G174" s="407"/>
      <c r="H174" s="407"/>
      <c r="I174" s="407"/>
      <c r="J174" s="407"/>
      <c r="K174" s="407"/>
      <c r="L174" s="407"/>
      <c r="M174" s="407"/>
      <c r="N174" s="407"/>
      <c r="O174" s="407"/>
      <c r="P174" s="407"/>
      <c r="Q174" s="407"/>
      <c r="R174" s="407"/>
      <c r="S174" s="408"/>
      <c r="T174" s="408"/>
      <c r="U174" s="408"/>
      <c r="V174" s="409"/>
      <c r="W174" s="410"/>
      <c r="X174" s="277"/>
      <c r="Y174" s="277"/>
      <c r="Z174" s="277"/>
    </row>
    <row r="175" ht="12.75" customHeight="1">
      <c r="A175" s="277"/>
      <c r="B175" s="278"/>
      <c r="C175" s="277"/>
      <c r="D175" s="278"/>
      <c r="E175" s="279"/>
      <c r="F175" s="406"/>
      <c r="G175" s="407"/>
      <c r="H175" s="407"/>
      <c r="I175" s="407"/>
      <c r="J175" s="407"/>
      <c r="K175" s="407"/>
      <c r="L175" s="407"/>
      <c r="M175" s="407"/>
      <c r="N175" s="407"/>
      <c r="O175" s="407"/>
      <c r="P175" s="407"/>
      <c r="Q175" s="407"/>
      <c r="R175" s="407"/>
      <c r="S175" s="408"/>
      <c r="T175" s="408"/>
      <c r="U175" s="408"/>
      <c r="V175" s="409"/>
      <c r="W175" s="410"/>
      <c r="X175" s="277"/>
      <c r="Y175" s="277"/>
      <c r="Z175" s="277"/>
    </row>
    <row r="176" ht="12.75" customHeight="1">
      <c r="A176" s="277"/>
      <c r="B176" s="278"/>
      <c r="C176" s="277"/>
      <c r="D176" s="278"/>
      <c r="E176" s="279"/>
      <c r="F176" s="406"/>
      <c r="G176" s="407"/>
      <c r="H176" s="407"/>
      <c r="I176" s="407"/>
      <c r="J176" s="407"/>
      <c r="K176" s="407"/>
      <c r="L176" s="407"/>
      <c r="M176" s="407"/>
      <c r="N176" s="407"/>
      <c r="O176" s="407"/>
      <c r="P176" s="407"/>
      <c r="Q176" s="407"/>
      <c r="R176" s="407"/>
      <c r="S176" s="408"/>
      <c r="T176" s="408"/>
      <c r="U176" s="408"/>
      <c r="V176" s="409"/>
      <c r="W176" s="410"/>
      <c r="X176" s="277"/>
      <c r="Y176" s="277"/>
      <c r="Z176" s="277"/>
    </row>
    <row r="177" ht="12.75" customHeight="1">
      <c r="A177" s="277"/>
      <c r="B177" s="278"/>
      <c r="C177" s="277"/>
      <c r="D177" s="278"/>
      <c r="E177" s="279"/>
      <c r="F177" s="406"/>
      <c r="G177" s="407"/>
      <c r="H177" s="407"/>
      <c r="I177" s="407"/>
      <c r="J177" s="407"/>
      <c r="K177" s="407"/>
      <c r="L177" s="407"/>
      <c r="M177" s="407"/>
      <c r="N177" s="407"/>
      <c r="O177" s="407"/>
      <c r="P177" s="407"/>
      <c r="Q177" s="407"/>
      <c r="R177" s="407"/>
      <c r="S177" s="408"/>
      <c r="T177" s="408"/>
      <c r="U177" s="408"/>
      <c r="V177" s="409"/>
      <c r="W177" s="410"/>
      <c r="X177" s="277"/>
      <c r="Y177" s="277"/>
      <c r="Z177" s="277"/>
    </row>
    <row r="178" ht="12.75" customHeight="1">
      <c r="A178" s="277"/>
      <c r="B178" s="278"/>
      <c r="C178" s="277"/>
      <c r="D178" s="278"/>
      <c r="E178" s="279"/>
      <c r="F178" s="406"/>
      <c r="G178" s="407"/>
      <c r="H178" s="407"/>
      <c r="I178" s="407"/>
      <c r="J178" s="407"/>
      <c r="K178" s="407"/>
      <c r="L178" s="407"/>
      <c r="M178" s="407"/>
      <c r="N178" s="407"/>
      <c r="O178" s="407"/>
      <c r="P178" s="407"/>
      <c r="Q178" s="407"/>
      <c r="R178" s="407"/>
      <c r="S178" s="408"/>
      <c r="T178" s="408"/>
      <c r="U178" s="408"/>
      <c r="V178" s="409"/>
      <c r="W178" s="410"/>
      <c r="X178" s="277"/>
      <c r="Y178" s="277"/>
      <c r="Z178" s="277"/>
    </row>
    <row r="179" ht="12.75" customHeight="1">
      <c r="A179" s="277"/>
      <c r="B179" s="278"/>
      <c r="C179" s="277"/>
      <c r="D179" s="278"/>
      <c r="E179" s="279"/>
      <c r="F179" s="406"/>
      <c r="G179" s="407"/>
      <c r="H179" s="407"/>
      <c r="I179" s="407"/>
      <c r="J179" s="407"/>
      <c r="K179" s="407"/>
      <c r="L179" s="407"/>
      <c r="M179" s="407"/>
      <c r="N179" s="407"/>
      <c r="O179" s="407"/>
      <c r="P179" s="407"/>
      <c r="Q179" s="407"/>
      <c r="R179" s="407"/>
      <c r="S179" s="408"/>
      <c r="T179" s="408"/>
      <c r="U179" s="408"/>
      <c r="V179" s="409"/>
      <c r="W179" s="410"/>
      <c r="X179" s="277"/>
      <c r="Y179" s="277"/>
      <c r="Z179" s="277"/>
    </row>
    <row r="180" ht="12.75" customHeight="1">
      <c r="A180" s="277"/>
      <c r="B180" s="278"/>
      <c r="C180" s="277"/>
      <c r="D180" s="278"/>
      <c r="E180" s="279"/>
      <c r="F180" s="406"/>
      <c r="G180" s="407"/>
      <c r="H180" s="407"/>
      <c r="I180" s="407"/>
      <c r="J180" s="407"/>
      <c r="K180" s="407"/>
      <c r="L180" s="407"/>
      <c r="M180" s="407"/>
      <c r="N180" s="407"/>
      <c r="O180" s="407"/>
      <c r="P180" s="407"/>
      <c r="Q180" s="407"/>
      <c r="R180" s="407"/>
      <c r="S180" s="408"/>
      <c r="T180" s="408"/>
      <c r="U180" s="408"/>
      <c r="V180" s="409"/>
      <c r="W180" s="410"/>
      <c r="X180" s="277"/>
      <c r="Y180" s="277"/>
      <c r="Z180" s="277"/>
    </row>
    <row r="181" ht="12.75" customHeight="1">
      <c r="A181" s="277"/>
      <c r="B181" s="278"/>
      <c r="C181" s="277"/>
      <c r="D181" s="278"/>
      <c r="E181" s="279"/>
      <c r="F181" s="406"/>
      <c r="G181" s="407"/>
      <c r="H181" s="407"/>
      <c r="I181" s="407"/>
      <c r="J181" s="407"/>
      <c r="K181" s="407"/>
      <c r="L181" s="407"/>
      <c r="M181" s="407"/>
      <c r="N181" s="407"/>
      <c r="O181" s="407"/>
      <c r="P181" s="407"/>
      <c r="Q181" s="407"/>
      <c r="R181" s="407"/>
      <c r="S181" s="408"/>
      <c r="T181" s="408"/>
      <c r="U181" s="408"/>
      <c r="V181" s="409"/>
      <c r="W181" s="410"/>
      <c r="X181" s="277"/>
      <c r="Y181" s="277"/>
      <c r="Z181" s="277"/>
    </row>
    <row r="182" ht="12.75" customHeight="1">
      <c r="A182" s="277"/>
      <c r="B182" s="278"/>
      <c r="C182" s="277"/>
      <c r="D182" s="278"/>
      <c r="E182" s="279"/>
      <c r="F182" s="406"/>
      <c r="G182" s="407"/>
      <c r="H182" s="407"/>
      <c r="I182" s="407"/>
      <c r="J182" s="407"/>
      <c r="K182" s="407"/>
      <c r="L182" s="407"/>
      <c r="M182" s="407"/>
      <c r="N182" s="407"/>
      <c r="O182" s="407"/>
      <c r="P182" s="407"/>
      <c r="Q182" s="407"/>
      <c r="R182" s="407"/>
      <c r="S182" s="408"/>
      <c r="T182" s="408"/>
      <c r="U182" s="408"/>
      <c r="V182" s="409"/>
      <c r="W182" s="410"/>
      <c r="X182" s="277"/>
      <c r="Y182" s="277"/>
      <c r="Z182" s="277"/>
    </row>
    <row r="183" ht="12.75" customHeight="1">
      <c r="A183" s="277"/>
      <c r="B183" s="278"/>
      <c r="C183" s="277"/>
      <c r="D183" s="278"/>
      <c r="E183" s="279"/>
      <c r="F183" s="406"/>
      <c r="G183" s="407"/>
      <c r="H183" s="407"/>
      <c r="I183" s="407"/>
      <c r="J183" s="407"/>
      <c r="K183" s="407"/>
      <c r="L183" s="407"/>
      <c r="M183" s="407"/>
      <c r="N183" s="407"/>
      <c r="O183" s="407"/>
      <c r="P183" s="407"/>
      <c r="Q183" s="407"/>
      <c r="R183" s="407"/>
      <c r="S183" s="408"/>
      <c r="T183" s="408"/>
      <c r="U183" s="408"/>
      <c r="V183" s="409"/>
      <c r="W183" s="410"/>
      <c r="X183" s="277"/>
      <c r="Y183" s="277"/>
      <c r="Z183" s="277"/>
    </row>
    <row r="184" ht="12.75" customHeight="1">
      <c r="A184" s="277"/>
      <c r="B184" s="278"/>
      <c r="C184" s="277"/>
      <c r="D184" s="278"/>
      <c r="E184" s="279"/>
      <c r="F184" s="406"/>
      <c r="G184" s="407"/>
      <c r="H184" s="407"/>
      <c r="I184" s="407"/>
      <c r="J184" s="407"/>
      <c r="K184" s="407"/>
      <c r="L184" s="407"/>
      <c r="M184" s="407"/>
      <c r="N184" s="407"/>
      <c r="O184" s="407"/>
      <c r="P184" s="407"/>
      <c r="Q184" s="407"/>
      <c r="R184" s="407"/>
      <c r="S184" s="408"/>
      <c r="T184" s="408"/>
      <c r="U184" s="408"/>
      <c r="V184" s="409"/>
      <c r="W184" s="410"/>
      <c r="X184" s="277"/>
      <c r="Y184" s="277"/>
      <c r="Z184" s="277"/>
    </row>
    <row r="185" ht="12.75" customHeight="1">
      <c r="A185" s="277"/>
      <c r="B185" s="278"/>
      <c r="C185" s="277"/>
      <c r="D185" s="278"/>
      <c r="E185" s="279"/>
      <c r="F185" s="406"/>
      <c r="G185" s="407"/>
      <c r="H185" s="407"/>
      <c r="I185" s="407"/>
      <c r="J185" s="407"/>
      <c r="K185" s="407"/>
      <c r="L185" s="407"/>
      <c r="M185" s="407"/>
      <c r="N185" s="407"/>
      <c r="O185" s="407"/>
      <c r="P185" s="407"/>
      <c r="Q185" s="407"/>
      <c r="R185" s="407"/>
      <c r="S185" s="408"/>
      <c r="T185" s="408"/>
      <c r="U185" s="408"/>
      <c r="V185" s="409"/>
      <c r="W185" s="410"/>
      <c r="X185" s="277"/>
      <c r="Y185" s="277"/>
      <c r="Z185" s="277"/>
    </row>
    <row r="186" ht="12.75" customHeight="1">
      <c r="A186" s="277"/>
      <c r="B186" s="278"/>
      <c r="C186" s="277"/>
      <c r="D186" s="278"/>
      <c r="E186" s="279"/>
      <c r="F186" s="406"/>
      <c r="G186" s="407"/>
      <c r="H186" s="407"/>
      <c r="I186" s="407"/>
      <c r="J186" s="407"/>
      <c r="K186" s="407"/>
      <c r="L186" s="407"/>
      <c r="M186" s="407"/>
      <c r="N186" s="407"/>
      <c r="O186" s="407"/>
      <c r="P186" s="407"/>
      <c r="Q186" s="407"/>
      <c r="R186" s="407"/>
      <c r="S186" s="408"/>
      <c r="T186" s="408"/>
      <c r="U186" s="408"/>
      <c r="V186" s="409"/>
      <c r="W186" s="410"/>
      <c r="X186" s="277"/>
      <c r="Y186" s="277"/>
      <c r="Z186" s="277"/>
    </row>
    <row r="187" ht="12.75" customHeight="1">
      <c r="A187" s="277"/>
      <c r="B187" s="278"/>
      <c r="C187" s="277"/>
      <c r="D187" s="278"/>
      <c r="E187" s="279"/>
      <c r="F187" s="406"/>
      <c r="G187" s="407"/>
      <c r="H187" s="407"/>
      <c r="I187" s="407"/>
      <c r="J187" s="407"/>
      <c r="K187" s="407"/>
      <c r="L187" s="407"/>
      <c r="M187" s="407"/>
      <c r="N187" s="407"/>
      <c r="O187" s="407"/>
      <c r="P187" s="407"/>
      <c r="Q187" s="407"/>
      <c r="R187" s="407"/>
      <c r="S187" s="408"/>
      <c r="T187" s="408"/>
      <c r="U187" s="408"/>
      <c r="V187" s="409"/>
      <c r="W187" s="410"/>
      <c r="X187" s="277"/>
      <c r="Y187" s="277"/>
      <c r="Z187" s="277"/>
    </row>
    <row r="188" ht="12.75" customHeight="1">
      <c r="A188" s="277"/>
      <c r="B188" s="278"/>
      <c r="C188" s="277"/>
      <c r="D188" s="278"/>
      <c r="E188" s="279"/>
      <c r="F188" s="406"/>
      <c r="G188" s="407"/>
      <c r="H188" s="407"/>
      <c r="I188" s="407"/>
      <c r="J188" s="407"/>
      <c r="K188" s="407"/>
      <c r="L188" s="407"/>
      <c r="M188" s="407"/>
      <c r="N188" s="407"/>
      <c r="O188" s="407"/>
      <c r="P188" s="407"/>
      <c r="Q188" s="407"/>
      <c r="R188" s="407"/>
      <c r="S188" s="408"/>
      <c r="T188" s="408"/>
      <c r="U188" s="408"/>
      <c r="V188" s="409"/>
      <c r="W188" s="410"/>
      <c r="X188" s="277"/>
      <c r="Y188" s="277"/>
      <c r="Z188" s="277"/>
    </row>
    <row r="189" ht="12.75" customHeight="1">
      <c r="A189" s="277"/>
      <c r="B189" s="278"/>
      <c r="C189" s="277"/>
      <c r="D189" s="278"/>
      <c r="E189" s="279"/>
      <c r="F189" s="406"/>
      <c r="G189" s="407"/>
      <c r="H189" s="407"/>
      <c r="I189" s="407"/>
      <c r="J189" s="407"/>
      <c r="K189" s="407"/>
      <c r="L189" s="407"/>
      <c r="M189" s="407"/>
      <c r="N189" s="407"/>
      <c r="O189" s="407"/>
      <c r="P189" s="407"/>
      <c r="Q189" s="407"/>
      <c r="R189" s="407"/>
      <c r="S189" s="408"/>
      <c r="T189" s="408"/>
      <c r="U189" s="408"/>
      <c r="V189" s="409"/>
      <c r="W189" s="410"/>
      <c r="X189" s="277"/>
      <c r="Y189" s="277"/>
      <c r="Z189" s="277"/>
    </row>
    <row r="190" ht="12.75" customHeight="1">
      <c r="A190" s="277"/>
      <c r="B190" s="278"/>
      <c r="C190" s="277"/>
      <c r="D190" s="278"/>
      <c r="E190" s="279"/>
      <c r="F190" s="406"/>
      <c r="G190" s="407"/>
      <c r="H190" s="407"/>
      <c r="I190" s="407"/>
      <c r="J190" s="407"/>
      <c r="K190" s="407"/>
      <c r="L190" s="407"/>
      <c r="M190" s="407"/>
      <c r="N190" s="407"/>
      <c r="O190" s="407"/>
      <c r="P190" s="407"/>
      <c r="Q190" s="407"/>
      <c r="R190" s="407"/>
      <c r="S190" s="408"/>
      <c r="T190" s="408"/>
      <c r="U190" s="408"/>
      <c r="V190" s="409"/>
      <c r="W190" s="410"/>
      <c r="X190" s="277"/>
      <c r="Y190" s="277"/>
      <c r="Z190" s="277"/>
    </row>
    <row r="191" ht="12.75" customHeight="1">
      <c r="A191" s="277"/>
      <c r="B191" s="278"/>
      <c r="C191" s="277"/>
      <c r="D191" s="278"/>
      <c r="E191" s="279"/>
      <c r="F191" s="406"/>
      <c r="G191" s="407"/>
      <c r="H191" s="407"/>
      <c r="I191" s="407"/>
      <c r="J191" s="407"/>
      <c r="K191" s="407"/>
      <c r="L191" s="407"/>
      <c r="M191" s="407"/>
      <c r="N191" s="407"/>
      <c r="O191" s="407"/>
      <c r="P191" s="407"/>
      <c r="Q191" s="407"/>
      <c r="R191" s="407"/>
      <c r="S191" s="408"/>
      <c r="T191" s="408"/>
      <c r="U191" s="408"/>
      <c r="V191" s="409"/>
      <c r="W191" s="410"/>
      <c r="X191" s="277"/>
      <c r="Y191" s="277"/>
      <c r="Z191" s="277"/>
    </row>
    <row r="192" ht="12.75" customHeight="1">
      <c r="A192" s="277"/>
      <c r="B192" s="278"/>
      <c r="C192" s="277"/>
      <c r="D192" s="278"/>
      <c r="E192" s="279"/>
      <c r="F192" s="406"/>
      <c r="G192" s="407"/>
      <c r="H192" s="407"/>
      <c r="I192" s="407"/>
      <c r="J192" s="407"/>
      <c r="K192" s="407"/>
      <c r="L192" s="407"/>
      <c r="M192" s="407"/>
      <c r="N192" s="407"/>
      <c r="O192" s="407"/>
      <c r="P192" s="407"/>
      <c r="Q192" s="407"/>
      <c r="R192" s="407"/>
      <c r="S192" s="408"/>
      <c r="T192" s="408"/>
      <c r="U192" s="408"/>
      <c r="V192" s="409"/>
      <c r="W192" s="410"/>
      <c r="X192" s="277"/>
      <c r="Y192" s="277"/>
      <c r="Z192" s="277"/>
    </row>
    <row r="193" ht="12.75" customHeight="1">
      <c r="A193" s="277"/>
      <c r="B193" s="278"/>
      <c r="C193" s="277"/>
      <c r="D193" s="278"/>
      <c r="E193" s="279"/>
      <c r="F193" s="406"/>
      <c r="G193" s="407"/>
      <c r="H193" s="407"/>
      <c r="I193" s="407"/>
      <c r="J193" s="407"/>
      <c r="K193" s="407"/>
      <c r="L193" s="407"/>
      <c r="M193" s="407"/>
      <c r="N193" s="407"/>
      <c r="O193" s="407"/>
      <c r="P193" s="407"/>
      <c r="Q193" s="407"/>
      <c r="R193" s="407"/>
      <c r="S193" s="408"/>
      <c r="T193" s="408"/>
      <c r="U193" s="408"/>
      <c r="V193" s="409"/>
      <c r="W193" s="410"/>
      <c r="X193" s="277"/>
      <c r="Y193" s="277"/>
      <c r="Z193" s="277"/>
    </row>
    <row r="194" ht="12.75" customHeight="1">
      <c r="A194" s="277"/>
      <c r="B194" s="278"/>
      <c r="C194" s="277"/>
      <c r="D194" s="278"/>
      <c r="E194" s="279"/>
      <c r="F194" s="406"/>
      <c r="G194" s="407"/>
      <c r="H194" s="407"/>
      <c r="I194" s="407"/>
      <c r="J194" s="407"/>
      <c r="K194" s="407"/>
      <c r="L194" s="407"/>
      <c r="M194" s="407"/>
      <c r="N194" s="407"/>
      <c r="O194" s="407"/>
      <c r="P194" s="407"/>
      <c r="Q194" s="407"/>
      <c r="R194" s="407"/>
      <c r="S194" s="408"/>
      <c r="T194" s="408"/>
      <c r="U194" s="408"/>
      <c r="V194" s="409"/>
      <c r="W194" s="410"/>
      <c r="X194" s="277"/>
      <c r="Y194" s="277"/>
      <c r="Z194" s="277"/>
    </row>
    <row r="195" ht="12.75" customHeight="1">
      <c r="A195" s="277"/>
      <c r="B195" s="278"/>
      <c r="C195" s="277"/>
      <c r="D195" s="278"/>
      <c r="E195" s="279"/>
      <c r="F195" s="406"/>
      <c r="G195" s="407"/>
      <c r="H195" s="407"/>
      <c r="I195" s="407"/>
      <c r="J195" s="407"/>
      <c r="K195" s="407"/>
      <c r="L195" s="407"/>
      <c r="M195" s="407"/>
      <c r="N195" s="407"/>
      <c r="O195" s="407"/>
      <c r="P195" s="407"/>
      <c r="Q195" s="407"/>
      <c r="R195" s="407"/>
      <c r="S195" s="408"/>
      <c r="T195" s="408"/>
      <c r="U195" s="408"/>
      <c r="V195" s="409"/>
      <c r="W195" s="410"/>
      <c r="X195" s="277"/>
      <c r="Y195" s="277"/>
      <c r="Z195" s="277"/>
    </row>
    <row r="196" ht="12.75" customHeight="1">
      <c r="A196" s="277"/>
      <c r="B196" s="278"/>
      <c r="C196" s="277"/>
      <c r="D196" s="278"/>
      <c r="E196" s="279"/>
      <c r="F196" s="406"/>
      <c r="G196" s="407"/>
      <c r="H196" s="407"/>
      <c r="I196" s="407"/>
      <c r="J196" s="407"/>
      <c r="K196" s="407"/>
      <c r="L196" s="407"/>
      <c r="M196" s="407"/>
      <c r="N196" s="407"/>
      <c r="O196" s="407"/>
      <c r="P196" s="407"/>
      <c r="Q196" s="407"/>
      <c r="R196" s="407"/>
      <c r="S196" s="408"/>
      <c r="T196" s="408"/>
      <c r="U196" s="408"/>
      <c r="V196" s="409"/>
      <c r="W196" s="410"/>
      <c r="X196" s="277"/>
      <c r="Y196" s="277"/>
      <c r="Z196" s="277"/>
    </row>
    <row r="197" ht="12.75" customHeight="1">
      <c r="A197" s="277"/>
      <c r="B197" s="278"/>
      <c r="C197" s="277"/>
      <c r="D197" s="278"/>
      <c r="E197" s="279"/>
      <c r="F197" s="406"/>
      <c r="G197" s="407"/>
      <c r="H197" s="407"/>
      <c r="I197" s="407"/>
      <c r="J197" s="407"/>
      <c r="K197" s="407"/>
      <c r="L197" s="407"/>
      <c r="M197" s="407"/>
      <c r="N197" s="407"/>
      <c r="O197" s="407"/>
      <c r="P197" s="407"/>
      <c r="Q197" s="407"/>
      <c r="R197" s="407"/>
      <c r="S197" s="408"/>
      <c r="T197" s="408"/>
      <c r="U197" s="408"/>
      <c r="V197" s="409"/>
      <c r="W197" s="410"/>
      <c r="X197" s="277"/>
      <c r="Y197" s="277"/>
      <c r="Z197" s="277"/>
    </row>
    <row r="198" ht="12.75" customHeight="1">
      <c r="A198" s="277"/>
      <c r="B198" s="278"/>
      <c r="C198" s="277"/>
      <c r="D198" s="278"/>
      <c r="E198" s="279"/>
      <c r="F198" s="406"/>
      <c r="G198" s="407"/>
      <c r="H198" s="407"/>
      <c r="I198" s="407"/>
      <c r="J198" s="407"/>
      <c r="K198" s="407"/>
      <c r="L198" s="407"/>
      <c r="M198" s="407"/>
      <c r="N198" s="407"/>
      <c r="O198" s="407"/>
      <c r="P198" s="407"/>
      <c r="Q198" s="407"/>
      <c r="R198" s="407"/>
      <c r="S198" s="408"/>
      <c r="T198" s="408"/>
      <c r="U198" s="408"/>
      <c r="V198" s="409"/>
      <c r="W198" s="410"/>
      <c r="X198" s="277"/>
      <c r="Y198" s="277"/>
      <c r="Z198" s="277"/>
    </row>
    <row r="199" ht="12.75" customHeight="1">
      <c r="A199" s="277"/>
      <c r="B199" s="278"/>
      <c r="C199" s="277"/>
      <c r="D199" s="278"/>
      <c r="E199" s="279"/>
      <c r="F199" s="406"/>
      <c r="G199" s="407"/>
      <c r="H199" s="407"/>
      <c r="I199" s="407"/>
      <c r="J199" s="407"/>
      <c r="K199" s="407"/>
      <c r="L199" s="407"/>
      <c r="M199" s="407"/>
      <c r="N199" s="407"/>
      <c r="O199" s="407"/>
      <c r="P199" s="407"/>
      <c r="Q199" s="407"/>
      <c r="R199" s="407"/>
      <c r="S199" s="408"/>
      <c r="T199" s="408"/>
      <c r="U199" s="408"/>
      <c r="V199" s="409"/>
      <c r="W199" s="410"/>
      <c r="X199" s="277"/>
      <c r="Y199" s="277"/>
      <c r="Z199" s="277"/>
    </row>
    <row r="200" ht="12.75" customHeight="1">
      <c r="A200" s="277"/>
      <c r="B200" s="278"/>
      <c r="C200" s="277"/>
      <c r="D200" s="278"/>
      <c r="E200" s="279"/>
      <c r="F200" s="406"/>
      <c r="G200" s="407"/>
      <c r="H200" s="407"/>
      <c r="I200" s="407"/>
      <c r="J200" s="407"/>
      <c r="K200" s="407"/>
      <c r="L200" s="407"/>
      <c r="M200" s="407"/>
      <c r="N200" s="407"/>
      <c r="O200" s="407"/>
      <c r="P200" s="407"/>
      <c r="Q200" s="407"/>
      <c r="R200" s="407"/>
      <c r="S200" s="408"/>
      <c r="T200" s="408"/>
      <c r="U200" s="408"/>
      <c r="V200" s="409"/>
      <c r="W200" s="410"/>
      <c r="X200" s="277"/>
      <c r="Y200" s="277"/>
      <c r="Z200" s="277"/>
    </row>
    <row r="201" ht="12.75" customHeight="1">
      <c r="A201" s="277"/>
      <c r="B201" s="278"/>
      <c r="C201" s="277"/>
      <c r="D201" s="278"/>
      <c r="E201" s="279"/>
      <c r="F201" s="406"/>
      <c r="G201" s="407"/>
      <c r="H201" s="407"/>
      <c r="I201" s="407"/>
      <c r="J201" s="407"/>
      <c r="K201" s="407"/>
      <c r="L201" s="407"/>
      <c r="M201" s="407"/>
      <c r="N201" s="407"/>
      <c r="O201" s="407"/>
      <c r="P201" s="407"/>
      <c r="Q201" s="407"/>
      <c r="R201" s="407"/>
      <c r="S201" s="408"/>
      <c r="T201" s="408"/>
      <c r="U201" s="408"/>
      <c r="V201" s="409"/>
      <c r="W201" s="410"/>
      <c r="X201" s="277"/>
      <c r="Y201" s="277"/>
      <c r="Z201" s="277"/>
    </row>
    <row r="202" ht="12.75" customHeight="1">
      <c r="A202" s="277"/>
      <c r="B202" s="278"/>
      <c r="C202" s="277"/>
      <c r="D202" s="278"/>
      <c r="E202" s="279"/>
      <c r="F202" s="406"/>
      <c r="G202" s="407"/>
      <c r="H202" s="407"/>
      <c r="I202" s="407"/>
      <c r="J202" s="407"/>
      <c r="K202" s="407"/>
      <c r="L202" s="407"/>
      <c r="M202" s="407"/>
      <c r="N202" s="407"/>
      <c r="O202" s="407"/>
      <c r="P202" s="407"/>
      <c r="Q202" s="407"/>
      <c r="R202" s="407"/>
      <c r="S202" s="408"/>
      <c r="T202" s="408"/>
      <c r="U202" s="408"/>
      <c r="V202" s="409"/>
      <c r="W202" s="410"/>
      <c r="X202" s="277"/>
      <c r="Y202" s="277"/>
      <c r="Z202" s="277"/>
    </row>
    <row r="203" ht="12.75" customHeight="1">
      <c r="A203" s="277"/>
      <c r="B203" s="278"/>
      <c r="C203" s="277"/>
      <c r="D203" s="278"/>
      <c r="E203" s="279"/>
      <c r="F203" s="406"/>
      <c r="G203" s="407"/>
      <c r="H203" s="407"/>
      <c r="I203" s="407"/>
      <c r="J203" s="407"/>
      <c r="K203" s="407"/>
      <c r="L203" s="407"/>
      <c r="M203" s="407"/>
      <c r="N203" s="407"/>
      <c r="O203" s="407"/>
      <c r="P203" s="407"/>
      <c r="Q203" s="407"/>
      <c r="R203" s="407"/>
      <c r="S203" s="408"/>
      <c r="T203" s="408"/>
      <c r="U203" s="408"/>
      <c r="V203" s="409"/>
      <c r="W203" s="410"/>
      <c r="X203" s="277"/>
      <c r="Y203" s="277"/>
      <c r="Z203" s="277"/>
    </row>
    <row r="204" ht="12.75" customHeight="1">
      <c r="A204" s="277"/>
      <c r="B204" s="278"/>
      <c r="C204" s="277"/>
      <c r="D204" s="278"/>
      <c r="E204" s="279"/>
      <c r="F204" s="406"/>
      <c r="G204" s="407"/>
      <c r="H204" s="407"/>
      <c r="I204" s="407"/>
      <c r="J204" s="407"/>
      <c r="K204" s="407"/>
      <c r="L204" s="407"/>
      <c r="M204" s="407"/>
      <c r="N204" s="407"/>
      <c r="O204" s="407"/>
      <c r="P204" s="407"/>
      <c r="Q204" s="407"/>
      <c r="R204" s="407"/>
      <c r="S204" s="408"/>
      <c r="T204" s="408"/>
      <c r="U204" s="408"/>
      <c r="V204" s="409"/>
      <c r="W204" s="410"/>
      <c r="X204" s="277"/>
      <c r="Y204" s="277"/>
      <c r="Z204" s="277"/>
    </row>
    <row r="205" ht="12.75" customHeight="1">
      <c r="A205" s="277"/>
      <c r="B205" s="278"/>
      <c r="C205" s="277"/>
      <c r="D205" s="278"/>
      <c r="E205" s="279"/>
      <c r="F205" s="406"/>
      <c r="G205" s="407"/>
      <c r="H205" s="407"/>
      <c r="I205" s="407"/>
      <c r="J205" s="407"/>
      <c r="K205" s="407"/>
      <c r="L205" s="407"/>
      <c r="M205" s="407"/>
      <c r="N205" s="407"/>
      <c r="O205" s="407"/>
      <c r="P205" s="407"/>
      <c r="Q205" s="407"/>
      <c r="R205" s="407"/>
      <c r="S205" s="408"/>
      <c r="T205" s="408"/>
      <c r="U205" s="408"/>
      <c r="V205" s="409"/>
      <c r="W205" s="410"/>
      <c r="X205" s="277"/>
      <c r="Y205" s="277"/>
      <c r="Z205" s="277"/>
    </row>
    <row r="206" ht="12.75" customHeight="1">
      <c r="A206" s="277"/>
      <c r="B206" s="278"/>
      <c r="C206" s="277"/>
      <c r="D206" s="278"/>
      <c r="E206" s="279"/>
      <c r="F206" s="406"/>
      <c r="G206" s="407"/>
      <c r="H206" s="407"/>
      <c r="I206" s="407"/>
      <c r="J206" s="407"/>
      <c r="K206" s="407"/>
      <c r="L206" s="407"/>
      <c r="M206" s="407"/>
      <c r="N206" s="407"/>
      <c r="O206" s="407"/>
      <c r="P206" s="407"/>
      <c r="Q206" s="407"/>
      <c r="R206" s="407"/>
      <c r="S206" s="408"/>
      <c r="T206" s="408"/>
      <c r="U206" s="408"/>
      <c r="V206" s="409"/>
      <c r="W206" s="410"/>
      <c r="X206" s="277"/>
      <c r="Y206" s="277"/>
      <c r="Z206" s="277"/>
    </row>
    <row r="207" ht="12.75" customHeight="1">
      <c r="A207" s="277"/>
      <c r="B207" s="278"/>
      <c r="C207" s="277"/>
      <c r="D207" s="278"/>
      <c r="E207" s="279"/>
      <c r="F207" s="406"/>
      <c r="G207" s="407"/>
      <c r="H207" s="407"/>
      <c r="I207" s="407"/>
      <c r="J207" s="407"/>
      <c r="K207" s="407"/>
      <c r="L207" s="407"/>
      <c r="M207" s="407"/>
      <c r="N207" s="407"/>
      <c r="O207" s="407"/>
      <c r="P207" s="407"/>
      <c r="Q207" s="407"/>
      <c r="R207" s="407"/>
      <c r="S207" s="408"/>
      <c r="T207" s="408"/>
      <c r="U207" s="408"/>
      <c r="V207" s="409"/>
      <c r="W207" s="410"/>
      <c r="X207" s="277"/>
      <c r="Y207" s="277"/>
      <c r="Z207" s="277"/>
    </row>
    <row r="208" ht="12.75" customHeight="1">
      <c r="A208" s="277"/>
      <c r="B208" s="278"/>
      <c r="C208" s="277"/>
      <c r="D208" s="278"/>
      <c r="E208" s="279"/>
      <c r="F208" s="406"/>
      <c r="G208" s="407"/>
      <c r="H208" s="407"/>
      <c r="I208" s="407"/>
      <c r="J208" s="407"/>
      <c r="K208" s="407"/>
      <c r="L208" s="407"/>
      <c r="M208" s="407"/>
      <c r="N208" s="407"/>
      <c r="O208" s="407"/>
      <c r="P208" s="407"/>
      <c r="Q208" s="407"/>
      <c r="R208" s="407"/>
      <c r="S208" s="408"/>
      <c r="T208" s="408"/>
      <c r="U208" s="408"/>
      <c r="V208" s="409"/>
      <c r="W208" s="410"/>
      <c r="X208" s="277"/>
      <c r="Y208" s="277"/>
      <c r="Z208" s="277"/>
    </row>
    <row r="209" ht="12.75" customHeight="1">
      <c r="A209" s="277"/>
      <c r="B209" s="278"/>
      <c r="C209" s="277"/>
      <c r="D209" s="278"/>
      <c r="E209" s="279"/>
      <c r="F209" s="406"/>
      <c r="G209" s="407"/>
      <c r="H209" s="407"/>
      <c r="I209" s="407"/>
      <c r="J209" s="407"/>
      <c r="K209" s="407"/>
      <c r="L209" s="407"/>
      <c r="M209" s="407"/>
      <c r="N209" s="407"/>
      <c r="O209" s="407"/>
      <c r="P209" s="407"/>
      <c r="Q209" s="407"/>
      <c r="R209" s="407"/>
      <c r="S209" s="408"/>
      <c r="T209" s="408"/>
      <c r="U209" s="408"/>
      <c r="V209" s="409"/>
      <c r="W209" s="410"/>
      <c r="X209" s="277"/>
      <c r="Y209" s="277"/>
      <c r="Z209" s="277"/>
    </row>
    <row r="210" ht="12.75" customHeight="1">
      <c r="A210" s="277"/>
      <c r="B210" s="278"/>
      <c r="C210" s="277"/>
      <c r="D210" s="278"/>
      <c r="E210" s="279"/>
      <c r="F210" s="406"/>
      <c r="G210" s="407"/>
      <c r="H210" s="407"/>
      <c r="I210" s="407"/>
      <c r="J210" s="407"/>
      <c r="K210" s="407"/>
      <c r="L210" s="407"/>
      <c r="M210" s="407"/>
      <c r="N210" s="407"/>
      <c r="O210" s="407"/>
      <c r="P210" s="407"/>
      <c r="Q210" s="407"/>
      <c r="R210" s="407"/>
      <c r="S210" s="408"/>
      <c r="T210" s="408"/>
      <c r="U210" s="408"/>
      <c r="V210" s="409"/>
      <c r="W210" s="410"/>
      <c r="X210" s="277"/>
      <c r="Y210" s="277"/>
      <c r="Z210" s="277"/>
    </row>
    <row r="211" ht="12.75" customHeight="1">
      <c r="A211" s="277"/>
      <c r="B211" s="278"/>
      <c r="C211" s="277"/>
      <c r="D211" s="278"/>
      <c r="E211" s="279"/>
      <c r="F211" s="406"/>
      <c r="G211" s="407"/>
      <c r="H211" s="407"/>
      <c r="I211" s="407"/>
      <c r="J211" s="407"/>
      <c r="K211" s="407"/>
      <c r="L211" s="407"/>
      <c r="M211" s="407"/>
      <c r="N211" s="407"/>
      <c r="O211" s="407"/>
      <c r="P211" s="407"/>
      <c r="Q211" s="407"/>
      <c r="R211" s="407"/>
      <c r="S211" s="408"/>
      <c r="T211" s="408"/>
      <c r="U211" s="408"/>
      <c r="V211" s="409"/>
      <c r="W211" s="410"/>
      <c r="X211" s="277"/>
      <c r="Y211" s="277"/>
      <c r="Z211" s="277"/>
    </row>
    <row r="212" ht="12.75" customHeight="1">
      <c r="A212" s="277"/>
      <c r="B212" s="278"/>
      <c r="C212" s="277"/>
      <c r="D212" s="278"/>
      <c r="E212" s="279"/>
      <c r="F212" s="406"/>
      <c r="G212" s="407"/>
      <c r="H212" s="407"/>
      <c r="I212" s="407"/>
      <c r="J212" s="407"/>
      <c r="K212" s="407"/>
      <c r="L212" s="407"/>
      <c r="M212" s="407"/>
      <c r="N212" s="407"/>
      <c r="O212" s="407"/>
      <c r="P212" s="407"/>
      <c r="Q212" s="407"/>
      <c r="R212" s="407"/>
      <c r="S212" s="408"/>
      <c r="T212" s="408"/>
      <c r="U212" s="408"/>
      <c r="V212" s="409"/>
      <c r="W212" s="410"/>
      <c r="X212" s="277"/>
      <c r="Y212" s="277"/>
      <c r="Z212" s="277"/>
    </row>
    <row r="213" ht="12.75" customHeight="1">
      <c r="A213" s="277"/>
      <c r="B213" s="278"/>
      <c r="C213" s="277"/>
      <c r="D213" s="278"/>
      <c r="E213" s="279"/>
      <c r="F213" s="406"/>
      <c r="G213" s="407"/>
      <c r="H213" s="407"/>
      <c r="I213" s="407"/>
      <c r="J213" s="407"/>
      <c r="K213" s="407"/>
      <c r="L213" s="407"/>
      <c r="M213" s="407"/>
      <c r="N213" s="407"/>
      <c r="O213" s="407"/>
      <c r="P213" s="407"/>
      <c r="Q213" s="407"/>
      <c r="R213" s="407"/>
      <c r="S213" s="408"/>
      <c r="T213" s="408"/>
      <c r="U213" s="408"/>
      <c r="V213" s="409"/>
      <c r="W213" s="410"/>
      <c r="X213" s="277"/>
      <c r="Y213" s="277"/>
      <c r="Z213" s="277"/>
    </row>
    <row r="214" ht="12.75" customHeight="1">
      <c r="A214" s="277"/>
      <c r="B214" s="278"/>
      <c r="C214" s="277"/>
      <c r="D214" s="278"/>
      <c r="E214" s="279"/>
      <c r="F214" s="406"/>
      <c r="G214" s="407"/>
      <c r="H214" s="407"/>
      <c r="I214" s="407"/>
      <c r="J214" s="407"/>
      <c r="K214" s="407"/>
      <c r="L214" s="407"/>
      <c r="M214" s="407"/>
      <c r="N214" s="407"/>
      <c r="O214" s="407"/>
      <c r="P214" s="407"/>
      <c r="Q214" s="407"/>
      <c r="R214" s="407"/>
      <c r="S214" s="408"/>
      <c r="T214" s="408"/>
      <c r="U214" s="408"/>
      <c r="V214" s="409"/>
      <c r="W214" s="410"/>
      <c r="X214" s="277"/>
      <c r="Y214" s="277"/>
      <c r="Z214" s="277"/>
    </row>
    <row r="215" ht="12.75" customHeight="1">
      <c r="A215" s="277"/>
      <c r="B215" s="278"/>
      <c r="C215" s="277"/>
      <c r="D215" s="278"/>
      <c r="E215" s="279"/>
      <c r="F215" s="406"/>
      <c r="G215" s="407"/>
      <c r="H215" s="407"/>
      <c r="I215" s="407"/>
      <c r="J215" s="407"/>
      <c r="K215" s="407"/>
      <c r="L215" s="407"/>
      <c r="M215" s="407"/>
      <c r="N215" s="407"/>
      <c r="O215" s="407"/>
      <c r="P215" s="407"/>
      <c r="Q215" s="407"/>
      <c r="R215" s="407"/>
      <c r="S215" s="408"/>
      <c r="T215" s="408"/>
      <c r="U215" s="408"/>
      <c r="V215" s="409"/>
      <c r="W215" s="410"/>
      <c r="X215" s="277"/>
      <c r="Y215" s="277"/>
      <c r="Z215" s="277"/>
    </row>
    <row r="216" ht="12.75" customHeight="1">
      <c r="A216" s="277"/>
      <c r="B216" s="278"/>
      <c r="C216" s="277"/>
      <c r="D216" s="278"/>
      <c r="E216" s="279"/>
      <c r="F216" s="406"/>
      <c r="G216" s="407"/>
      <c r="H216" s="407"/>
      <c r="I216" s="407"/>
      <c r="J216" s="407"/>
      <c r="K216" s="407"/>
      <c r="L216" s="407"/>
      <c r="M216" s="407"/>
      <c r="N216" s="407"/>
      <c r="O216" s="407"/>
      <c r="P216" s="407"/>
      <c r="Q216" s="407"/>
      <c r="R216" s="407"/>
      <c r="S216" s="408"/>
      <c r="T216" s="408"/>
      <c r="U216" s="408"/>
      <c r="V216" s="409"/>
      <c r="W216" s="410"/>
      <c r="X216" s="277"/>
      <c r="Y216" s="277"/>
      <c r="Z216" s="277"/>
    </row>
    <row r="217" ht="12.75" customHeight="1">
      <c r="A217" s="277"/>
      <c r="B217" s="278"/>
      <c r="C217" s="277"/>
      <c r="D217" s="278"/>
      <c r="E217" s="279"/>
      <c r="F217" s="406"/>
      <c r="G217" s="407"/>
      <c r="H217" s="407"/>
      <c r="I217" s="407"/>
      <c r="J217" s="407"/>
      <c r="K217" s="407"/>
      <c r="L217" s="407"/>
      <c r="M217" s="407"/>
      <c r="N217" s="407"/>
      <c r="O217" s="407"/>
      <c r="P217" s="407"/>
      <c r="Q217" s="407"/>
      <c r="R217" s="407"/>
      <c r="S217" s="408"/>
      <c r="T217" s="408"/>
      <c r="U217" s="408"/>
      <c r="V217" s="409"/>
      <c r="W217" s="410"/>
      <c r="X217" s="277"/>
      <c r="Y217" s="277"/>
      <c r="Z217" s="277"/>
    </row>
    <row r="218" ht="12.75" customHeight="1">
      <c r="A218" s="277"/>
      <c r="B218" s="278"/>
      <c r="C218" s="277"/>
      <c r="D218" s="278"/>
      <c r="E218" s="279"/>
      <c r="F218" s="406"/>
      <c r="G218" s="407"/>
      <c r="H218" s="407"/>
      <c r="I218" s="407"/>
      <c r="J218" s="407"/>
      <c r="K218" s="407"/>
      <c r="L218" s="407"/>
      <c r="M218" s="407"/>
      <c r="N218" s="407"/>
      <c r="O218" s="407"/>
      <c r="P218" s="407"/>
      <c r="Q218" s="407"/>
      <c r="R218" s="407"/>
      <c r="S218" s="408"/>
      <c r="T218" s="408"/>
      <c r="U218" s="408"/>
      <c r="V218" s="409"/>
      <c r="W218" s="410"/>
      <c r="X218" s="277"/>
      <c r="Y218" s="277"/>
      <c r="Z218" s="277"/>
    </row>
    <row r="219" ht="12.75" customHeight="1">
      <c r="A219" s="277"/>
      <c r="B219" s="278"/>
      <c r="C219" s="277"/>
      <c r="D219" s="278"/>
      <c r="E219" s="279"/>
      <c r="F219" s="406"/>
      <c r="G219" s="407"/>
      <c r="H219" s="407"/>
      <c r="I219" s="407"/>
      <c r="J219" s="407"/>
      <c r="K219" s="407"/>
      <c r="L219" s="407"/>
      <c r="M219" s="407"/>
      <c r="N219" s="407"/>
      <c r="O219" s="407"/>
      <c r="P219" s="407"/>
      <c r="Q219" s="407"/>
      <c r="R219" s="407"/>
      <c r="S219" s="408"/>
      <c r="T219" s="408"/>
      <c r="U219" s="408"/>
      <c r="V219" s="409"/>
      <c r="W219" s="410"/>
      <c r="X219" s="277"/>
      <c r="Y219" s="277"/>
      <c r="Z219" s="277"/>
    </row>
    <row r="220" ht="12.75" customHeight="1">
      <c r="A220" s="277"/>
      <c r="B220" s="278"/>
      <c r="C220" s="277"/>
      <c r="D220" s="278"/>
      <c r="E220" s="279"/>
      <c r="F220" s="406"/>
      <c r="G220" s="407"/>
      <c r="H220" s="407"/>
      <c r="I220" s="407"/>
      <c r="J220" s="407"/>
      <c r="K220" s="407"/>
      <c r="L220" s="407"/>
      <c r="M220" s="407"/>
      <c r="N220" s="407"/>
      <c r="O220" s="407"/>
      <c r="P220" s="407"/>
      <c r="Q220" s="407"/>
      <c r="R220" s="407"/>
      <c r="S220" s="408"/>
      <c r="T220" s="408"/>
      <c r="U220" s="408"/>
      <c r="V220" s="409"/>
      <c r="W220" s="410"/>
      <c r="X220" s="277"/>
      <c r="Y220" s="277"/>
      <c r="Z220" s="277"/>
    </row>
    <row r="221" ht="12.75" customHeight="1">
      <c r="A221" s="277"/>
      <c r="B221" s="278"/>
      <c r="C221" s="277"/>
      <c r="D221" s="278"/>
      <c r="E221" s="279"/>
      <c r="F221" s="406"/>
      <c r="G221" s="407"/>
      <c r="H221" s="407"/>
      <c r="I221" s="407"/>
      <c r="J221" s="407"/>
      <c r="K221" s="407"/>
      <c r="L221" s="407"/>
      <c r="M221" s="407"/>
      <c r="N221" s="407"/>
      <c r="O221" s="407"/>
      <c r="P221" s="407"/>
      <c r="Q221" s="407"/>
      <c r="R221" s="407"/>
      <c r="S221" s="408"/>
      <c r="T221" s="408"/>
      <c r="U221" s="408"/>
      <c r="V221" s="409"/>
      <c r="W221" s="410"/>
      <c r="X221" s="277"/>
      <c r="Y221" s="277"/>
      <c r="Z221" s="277"/>
    </row>
    <row r="222" ht="12.75" customHeight="1">
      <c r="A222" s="277"/>
      <c r="B222" s="278"/>
      <c r="C222" s="277"/>
      <c r="D222" s="278"/>
      <c r="E222" s="279"/>
      <c r="F222" s="406"/>
      <c r="G222" s="407"/>
      <c r="H222" s="407"/>
      <c r="I222" s="407"/>
      <c r="J222" s="407"/>
      <c r="K222" s="407"/>
      <c r="L222" s="407"/>
      <c r="M222" s="407"/>
      <c r="N222" s="407"/>
      <c r="O222" s="407"/>
      <c r="P222" s="407"/>
      <c r="Q222" s="407"/>
      <c r="R222" s="407"/>
      <c r="S222" s="408"/>
      <c r="T222" s="408"/>
      <c r="U222" s="408"/>
      <c r="V222" s="409"/>
      <c r="W222" s="410"/>
      <c r="X222" s="277"/>
      <c r="Y222" s="277"/>
      <c r="Z222" s="277"/>
    </row>
    <row r="223" ht="12.75" customHeight="1">
      <c r="A223" s="277"/>
      <c r="B223" s="278"/>
      <c r="C223" s="277"/>
      <c r="D223" s="278"/>
      <c r="E223" s="279"/>
      <c r="F223" s="406"/>
      <c r="G223" s="407"/>
      <c r="H223" s="407"/>
      <c r="I223" s="407"/>
      <c r="J223" s="407"/>
      <c r="K223" s="407"/>
      <c r="L223" s="407"/>
      <c r="M223" s="407"/>
      <c r="N223" s="407"/>
      <c r="O223" s="407"/>
      <c r="P223" s="407"/>
      <c r="Q223" s="407"/>
      <c r="R223" s="407"/>
      <c r="S223" s="408"/>
      <c r="T223" s="408"/>
      <c r="U223" s="408"/>
      <c r="V223" s="409"/>
      <c r="W223" s="410"/>
      <c r="X223" s="277"/>
      <c r="Y223" s="277"/>
      <c r="Z223" s="277"/>
    </row>
    <row r="224" ht="12.75" customHeight="1">
      <c r="A224" s="277"/>
      <c r="B224" s="278"/>
      <c r="C224" s="277"/>
      <c r="D224" s="278"/>
      <c r="E224" s="279"/>
      <c r="F224" s="406"/>
      <c r="G224" s="407"/>
      <c r="H224" s="407"/>
      <c r="I224" s="407"/>
      <c r="J224" s="407"/>
      <c r="K224" s="407"/>
      <c r="L224" s="407"/>
      <c r="M224" s="407"/>
      <c r="N224" s="407"/>
      <c r="O224" s="407"/>
      <c r="P224" s="407"/>
      <c r="Q224" s="407"/>
      <c r="R224" s="407"/>
      <c r="S224" s="408"/>
      <c r="T224" s="408"/>
      <c r="U224" s="408"/>
      <c r="V224" s="409"/>
      <c r="W224" s="410"/>
      <c r="X224" s="277"/>
      <c r="Y224" s="277"/>
      <c r="Z224" s="277"/>
    </row>
    <row r="225" ht="12.75" customHeight="1">
      <c r="A225" s="277"/>
      <c r="B225" s="278"/>
      <c r="C225" s="277"/>
      <c r="D225" s="278"/>
      <c r="E225" s="279"/>
      <c r="F225" s="406"/>
      <c r="G225" s="407"/>
      <c r="H225" s="407"/>
      <c r="I225" s="407"/>
      <c r="J225" s="407"/>
      <c r="K225" s="407"/>
      <c r="L225" s="407"/>
      <c r="M225" s="407"/>
      <c r="N225" s="407"/>
      <c r="O225" s="407"/>
      <c r="P225" s="407"/>
      <c r="Q225" s="407"/>
      <c r="R225" s="407"/>
      <c r="S225" s="408"/>
      <c r="T225" s="408"/>
      <c r="U225" s="408"/>
      <c r="V225" s="409"/>
      <c r="W225" s="410"/>
      <c r="X225" s="277"/>
      <c r="Y225" s="277"/>
      <c r="Z225" s="277"/>
    </row>
    <row r="226" ht="12.75" customHeight="1">
      <c r="A226" s="277"/>
      <c r="B226" s="278"/>
      <c r="C226" s="277"/>
      <c r="D226" s="278"/>
      <c r="E226" s="279"/>
      <c r="F226" s="406"/>
      <c r="G226" s="407"/>
      <c r="H226" s="407"/>
      <c r="I226" s="407"/>
      <c r="J226" s="407"/>
      <c r="K226" s="407"/>
      <c r="L226" s="407"/>
      <c r="M226" s="407"/>
      <c r="N226" s="407"/>
      <c r="O226" s="407"/>
      <c r="P226" s="407"/>
      <c r="Q226" s="407"/>
      <c r="R226" s="407"/>
      <c r="S226" s="408"/>
      <c r="T226" s="408"/>
      <c r="U226" s="408"/>
      <c r="V226" s="409"/>
      <c r="W226" s="410"/>
      <c r="X226" s="277"/>
      <c r="Y226" s="277"/>
      <c r="Z226" s="277"/>
    </row>
    <row r="227" ht="12.75" customHeight="1">
      <c r="A227" s="277"/>
      <c r="B227" s="278"/>
      <c r="C227" s="277"/>
      <c r="D227" s="278"/>
      <c r="E227" s="279"/>
      <c r="F227" s="406"/>
      <c r="G227" s="407"/>
      <c r="H227" s="407"/>
      <c r="I227" s="407"/>
      <c r="J227" s="407"/>
      <c r="K227" s="407"/>
      <c r="L227" s="407"/>
      <c r="M227" s="407"/>
      <c r="N227" s="407"/>
      <c r="O227" s="407"/>
      <c r="P227" s="407"/>
      <c r="Q227" s="407"/>
      <c r="R227" s="407"/>
      <c r="S227" s="408"/>
      <c r="T227" s="408"/>
      <c r="U227" s="408"/>
      <c r="V227" s="409"/>
      <c r="W227" s="410"/>
      <c r="X227" s="277"/>
      <c r="Y227" s="277"/>
      <c r="Z227" s="277"/>
    </row>
    <row r="228" ht="12.75" customHeight="1">
      <c r="A228" s="277"/>
      <c r="B228" s="278"/>
      <c r="C228" s="277"/>
      <c r="D228" s="278"/>
      <c r="E228" s="279"/>
      <c r="F228" s="406"/>
      <c r="G228" s="407"/>
      <c r="H228" s="407"/>
      <c r="I228" s="407"/>
      <c r="J228" s="407"/>
      <c r="K228" s="407"/>
      <c r="L228" s="407"/>
      <c r="M228" s="407"/>
      <c r="N228" s="407"/>
      <c r="O228" s="407"/>
      <c r="P228" s="407"/>
      <c r="Q228" s="407"/>
      <c r="R228" s="407"/>
      <c r="S228" s="408"/>
      <c r="T228" s="408"/>
      <c r="U228" s="408"/>
      <c r="V228" s="409"/>
      <c r="W228" s="410"/>
      <c r="X228" s="277"/>
      <c r="Y228" s="277"/>
      <c r="Z228" s="277"/>
    </row>
    <row r="229" ht="12.75" customHeight="1">
      <c r="A229" s="277"/>
      <c r="B229" s="278"/>
      <c r="C229" s="277"/>
      <c r="D229" s="278"/>
      <c r="E229" s="279"/>
      <c r="F229" s="406"/>
      <c r="G229" s="407"/>
      <c r="H229" s="407"/>
      <c r="I229" s="407"/>
      <c r="J229" s="407"/>
      <c r="K229" s="407"/>
      <c r="L229" s="407"/>
      <c r="M229" s="407"/>
      <c r="N229" s="407"/>
      <c r="O229" s="407"/>
      <c r="P229" s="407"/>
      <c r="Q229" s="407"/>
      <c r="R229" s="407"/>
      <c r="S229" s="408"/>
      <c r="T229" s="408"/>
      <c r="U229" s="408"/>
      <c r="V229" s="409"/>
      <c r="W229" s="410"/>
      <c r="X229" s="277"/>
      <c r="Y229" s="277"/>
      <c r="Z229" s="277"/>
    </row>
    <row r="230" ht="12.75" customHeight="1">
      <c r="A230" s="277"/>
      <c r="B230" s="278"/>
      <c r="C230" s="277"/>
      <c r="D230" s="278"/>
      <c r="E230" s="279"/>
      <c r="F230" s="406"/>
      <c r="G230" s="407"/>
      <c r="H230" s="407"/>
      <c r="I230" s="407"/>
      <c r="J230" s="407"/>
      <c r="K230" s="407"/>
      <c r="L230" s="407"/>
      <c r="M230" s="407"/>
      <c r="N230" s="407"/>
      <c r="O230" s="407"/>
      <c r="P230" s="407"/>
      <c r="Q230" s="407"/>
      <c r="R230" s="407"/>
      <c r="S230" s="408"/>
      <c r="T230" s="408"/>
      <c r="U230" s="408"/>
      <c r="V230" s="409"/>
      <c r="W230" s="410"/>
      <c r="X230" s="277"/>
      <c r="Y230" s="277"/>
      <c r="Z230" s="277"/>
    </row>
    <row r="231" ht="12.75" customHeight="1">
      <c r="A231" s="277"/>
      <c r="B231" s="278"/>
      <c r="C231" s="277"/>
      <c r="D231" s="278"/>
      <c r="E231" s="279"/>
      <c r="F231" s="406"/>
      <c r="G231" s="407"/>
      <c r="H231" s="407"/>
      <c r="I231" s="407"/>
      <c r="J231" s="407"/>
      <c r="K231" s="407"/>
      <c r="L231" s="407"/>
      <c r="M231" s="407"/>
      <c r="N231" s="407"/>
      <c r="O231" s="407"/>
      <c r="P231" s="407"/>
      <c r="Q231" s="407"/>
      <c r="R231" s="407"/>
      <c r="S231" s="408"/>
      <c r="T231" s="408"/>
      <c r="U231" s="408"/>
      <c r="V231" s="409"/>
      <c r="W231" s="410"/>
      <c r="X231" s="277"/>
      <c r="Y231" s="277"/>
      <c r="Z231" s="277"/>
    </row>
    <row r="232" ht="12.75" customHeight="1">
      <c r="A232" s="277"/>
      <c r="B232" s="278"/>
      <c r="C232" s="277"/>
      <c r="D232" s="278"/>
      <c r="E232" s="279"/>
      <c r="F232" s="406"/>
      <c r="G232" s="407"/>
      <c r="H232" s="407"/>
      <c r="I232" s="407"/>
      <c r="J232" s="407"/>
      <c r="K232" s="407"/>
      <c r="L232" s="407"/>
      <c r="M232" s="407"/>
      <c r="N232" s="407"/>
      <c r="O232" s="407"/>
      <c r="P232" s="407"/>
      <c r="Q232" s="407"/>
      <c r="R232" s="407"/>
      <c r="S232" s="408"/>
      <c r="T232" s="408"/>
      <c r="U232" s="408"/>
      <c r="V232" s="409"/>
      <c r="W232" s="410"/>
      <c r="X232" s="277"/>
      <c r="Y232" s="277"/>
      <c r="Z232" s="277"/>
    </row>
    <row r="233" ht="12.75" customHeight="1">
      <c r="A233" s="277"/>
      <c r="B233" s="278"/>
      <c r="C233" s="277"/>
      <c r="D233" s="278"/>
      <c r="E233" s="279"/>
      <c r="F233" s="406"/>
      <c r="G233" s="407"/>
      <c r="H233" s="407"/>
      <c r="I233" s="407"/>
      <c r="J233" s="407"/>
      <c r="K233" s="407"/>
      <c r="L233" s="407"/>
      <c r="M233" s="407"/>
      <c r="N233" s="407"/>
      <c r="O233" s="407"/>
      <c r="P233" s="407"/>
      <c r="Q233" s="407"/>
      <c r="R233" s="407"/>
      <c r="S233" s="408"/>
      <c r="T233" s="408"/>
      <c r="U233" s="408"/>
      <c r="V233" s="409"/>
      <c r="W233" s="410"/>
      <c r="X233" s="277"/>
      <c r="Y233" s="277"/>
      <c r="Z233" s="277"/>
    </row>
    <row r="234" ht="12.75" customHeight="1">
      <c r="A234" s="277"/>
      <c r="B234" s="278"/>
      <c r="C234" s="277"/>
      <c r="D234" s="278"/>
      <c r="E234" s="279"/>
      <c r="F234" s="406"/>
      <c r="G234" s="407"/>
      <c r="H234" s="407"/>
      <c r="I234" s="407"/>
      <c r="J234" s="407"/>
      <c r="K234" s="407"/>
      <c r="L234" s="407"/>
      <c r="M234" s="407"/>
      <c r="N234" s="407"/>
      <c r="O234" s="407"/>
      <c r="P234" s="407"/>
      <c r="Q234" s="407"/>
      <c r="R234" s="407"/>
      <c r="S234" s="408"/>
      <c r="T234" s="408"/>
      <c r="U234" s="408"/>
      <c r="V234" s="409"/>
      <c r="W234" s="410"/>
      <c r="X234" s="277"/>
      <c r="Y234" s="277"/>
      <c r="Z234" s="277"/>
    </row>
    <row r="235" ht="12.75" customHeight="1">
      <c r="A235" s="277"/>
      <c r="B235" s="278"/>
      <c r="C235" s="277"/>
      <c r="D235" s="278"/>
      <c r="E235" s="279"/>
      <c r="F235" s="406"/>
      <c r="G235" s="407"/>
      <c r="H235" s="407"/>
      <c r="I235" s="407"/>
      <c r="J235" s="407"/>
      <c r="K235" s="407"/>
      <c r="L235" s="407"/>
      <c r="M235" s="407"/>
      <c r="N235" s="407"/>
      <c r="O235" s="407"/>
      <c r="P235" s="407"/>
      <c r="Q235" s="407"/>
      <c r="R235" s="407"/>
      <c r="S235" s="408"/>
      <c r="T235" s="408"/>
      <c r="U235" s="408"/>
      <c r="V235" s="409"/>
      <c r="W235" s="410"/>
      <c r="X235" s="277"/>
      <c r="Y235" s="277"/>
      <c r="Z235" s="277"/>
    </row>
    <row r="236" ht="12.75" customHeight="1">
      <c r="A236" s="277"/>
      <c r="B236" s="278"/>
      <c r="C236" s="277"/>
      <c r="D236" s="278"/>
      <c r="E236" s="279"/>
      <c r="F236" s="406"/>
      <c r="G236" s="407"/>
      <c r="H236" s="407"/>
      <c r="I236" s="407"/>
      <c r="J236" s="407"/>
      <c r="K236" s="407"/>
      <c r="L236" s="407"/>
      <c r="M236" s="407"/>
      <c r="N236" s="407"/>
      <c r="O236" s="407"/>
      <c r="P236" s="407"/>
      <c r="Q236" s="407"/>
      <c r="R236" s="407"/>
      <c r="S236" s="408"/>
      <c r="T236" s="408"/>
      <c r="U236" s="408"/>
      <c r="V236" s="409"/>
      <c r="W236" s="410"/>
      <c r="X236" s="277"/>
      <c r="Y236" s="277"/>
      <c r="Z236" s="277"/>
    </row>
    <row r="237" ht="12.75" customHeight="1">
      <c r="A237" s="277"/>
      <c r="B237" s="278"/>
      <c r="C237" s="277"/>
      <c r="D237" s="278"/>
      <c r="E237" s="279"/>
      <c r="F237" s="406"/>
      <c r="G237" s="407"/>
      <c r="H237" s="407"/>
      <c r="I237" s="407"/>
      <c r="J237" s="407"/>
      <c r="K237" s="407"/>
      <c r="L237" s="407"/>
      <c r="M237" s="407"/>
      <c r="N237" s="407"/>
      <c r="O237" s="407"/>
      <c r="P237" s="407"/>
      <c r="Q237" s="407"/>
      <c r="R237" s="407"/>
      <c r="S237" s="408"/>
      <c r="T237" s="408"/>
      <c r="U237" s="408"/>
      <c r="V237" s="409"/>
      <c r="W237" s="410"/>
      <c r="X237" s="277"/>
      <c r="Y237" s="277"/>
      <c r="Z237" s="277"/>
    </row>
    <row r="238" ht="12.75" customHeight="1">
      <c r="A238" s="277"/>
      <c r="B238" s="278"/>
      <c r="C238" s="277"/>
      <c r="D238" s="278"/>
      <c r="E238" s="279"/>
      <c r="F238" s="406"/>
      <c r="G238" s="407"/>
      <c r="H238" s="407"/>
      <c r="I238" s="407"/>
      <c r="J238" s="407"/>
      <c r="K238" s="407"/>
      <c r="L238" s="407"/>
      <c r="M238" s="407"/>
      <c r="N238" s="407"/>
      <c r="O238" s="407"/>
      <c r="P238" s="407"/>
      <c r="Q238" s="407"/>
      <c r="R238" s="407"/>
      <c r="S238" s="408"/>
      <c r="T238" s="408"/>
      <c r="U238" s="408"/>
      <c r="V238" s="409"/>
      <c r="W238" s="410"/>
      <c r="X238" s="277"/>
      <c r="Y238" s="277"/>
      <c r="Z238" s="277"/>
    </row>
    <row r="239" ht="12.75" customHeight="1">
      <c r="A239" s="277"/>
      <c r="B239" s="278"/>
      <c r="C239" s="277"/>
      <c r="D239" s="278"/>
      <c r="E239" s="279"/>
      <c r="F239" s="406"/>
      <c r="G239" s="407"/>
      <c r="H239" s="407"/>
      <c r="I239" s="407"/>
      <c r="J239" s="407"/>
      <c r="K239" s="407"/>
      <c r="L239" s="407"/>
      <c r="M239" s="407"/>
      <c r="N239" s="407"/>
      <c r="O239" s="407"/>
      <c r="P239" s="407"/>
      <c r="Q239" s="407"/>
      <c r="R239" s="407"/>
      <c r="S239" s="408"/>
      <c r="T239" s="408"/>
      <c r="U239" s="408"/>
      <c r="V239" s="409"/>
      <c r="W239" s="410"/>
      <c r="X239" s="277"/>
      <c r="Y239" s="277"/>
      <c r="Z239" s="277"/>
    </row>
    <row r="240" ht="12.75" customHeight="1">
      <c r="A240" s="277"/>
      <c r="B240" s="278"/>
      <c r="C240" s="277"/>
      <c r="D240" s="278"/>
      <c r="E240" s="279"/>
      <c r="F240" s="406"/>
      <c r="G240" s="407"/>
      <c r="H240" s="407"/>
      <c r="I240" s="407"/>
      <c r="J240" s="407"/>
      <c r="K240" s="407"/>
      <c r="L240" s="407"/>
      <c r="M240" s="407"/>
      <c r="N240" s="407"/>
      <c r="O240" s="407"/>
      <c r="P240" s="407"/>
      <c r="Q240" s="407"/>
      <c r="R240" s="407"/>
      <c r="S240" s="408"/>
      <c r="T240" s="408"/>
      <c r="U240" s="408"/>
      <c r="V240" s="409"/>
      <c r="W240" s="410"/>
      <c r="X240" s="277"/>
      <c r="Y240" s="277"/>
      <c r="Z240" s="277"/>
    </row>
    <row r="241" ht="12.75" customHeight="1">
      <c r="A241" s="277"/>
      <c r="B241" s="278"/>
      <c r="C241" s="277"/>
      <c r="D241" s="278"/>
      <c r="E241" s="279"/>
      <c r="F241" s="406"/>
      <c r="G241" s="407"/>
      <c r="H241" s="407"/>
      <c r="I241" s="407"/>
      <c r="J241" s="407"/>
      <c r="K241" s="407"/>
      <c r="L241" s="407"/>
      <c r="M241" s="407"/>
      <c r="N241" s="407"/>
      <c r="O241" s="407"/>
      <c r="P241" s="407"/>
      <c r="Q241" s="407"/>
      <c r="R241" s="407"/>
      <c r="S241" s="408"/>
      <c r="T241" s="408"/>
      <c r="U241" s="408"/>
      <c r="V241" s="409"/>
      <c r="W241" s="410"/>
      <c r="X241" s="277"/>
      <c r="Y241" s="277"/>
      <c r="Z241" s="277"/>
    </row>
    <row r="242" ht="12.75" customHeight="1">
      <c r="A242" s="277"/>
      <c r="B242" s="278"/>
      <c r="C242" s="277"/>
      <c r="D242" s="278"/>
      <c r="E242" s="279"/>
      <c r="F242" s="406"/>
      <c r="G242" s="407"/>
      <c r="H242" s="407"/>
      <c r="I242" s="407"/>
      <c r="J242" s="407"/>
      <c r="K242" s="407"/>
      <c r="L242" s="407"/>
      <c r="M242" s="407"/>
      <c r="N242" s="407"/>
      <c r="O242" s="407"/>
      <c r="P242" s="407"/>
      <c r="Q242" s="407"/>
      <c r="R242" s="407"/>
      <c r="S242" s="408"/>
      <c r="T242" s="408"/>
      <c r="U242" s="408"/>
      <c r="V242" s="409"/>
      <c r="W242" s="410"/>
      <c r="X242" s="277"/>
      <c r="Y242" s="277"/>
      <c r="Z242" s="277"/>
    </row>
    <row r="243" ht="12.75" customHeight="1">
      <c r="A243" s="277"/>
      <c r="B243" s="278"/>
      <c r="C243" s="277"/>
      <c r="D243" s="278"/>
      <c r="E243" s="279"/>
      <c r="F243" s="406"/>
      <c r="G243" s="407"/>
      <c r="H243" s="407"/>
      <c r="I243" s="407"/>
      <c r="J243" s="407"/>
      <c r="K243" s="407"/>
      <c r="L243" s="407"/>
      <c r="M243" s="407"/>
      <c r="N243" s="407"/>
      <c r="O243" s="407"/>
      <c r="P243" s="407"/>
      <c r="Q243" s="407"/>
      <c r="R243" s="407"/>
      <c r="S243" s="408"/>
      <c r="T243" s="408"/>
      <c r="U243" s="408"/>
      <c r="V243" s="409"/>
      <c r="W243" s="410"/>
      <c r="X243" s="277"/>
      <c r="Y243" s="277"/>
      <c r="Z243" s="277"/>
    </row>
    <row r="244" ht="12.75" customHeight="1">
      <c r="A244" s="277"/>
      <c r="B244" s="278"/>
      <c r="C244" s="277"/>
      <c r="D244" s="278"/>
      <c r="E244" s="279"/>
      <c r="F244" s="406"/>
      <c r="G244" s="407"/>
      <c r="H244" s="407"/>
      <c r="I244" s="407"/>
      <c r="J244" s="407"/>
      <c r="K244" s="407"/>
      <c r="L244" s="407"/>
      <c r="M244" s="407"/>
      <c r="N244" s="407"/>
      <c r="O244" s="407"/>
      <c r="P244" s="407"/>
      <c r="Q244" s="407"/>
      <c r="R244" s="407"/>
      <c r="S244" s="408"/>
      <c r="T244" s="408"/>
      <c r="U244" s="408"/>
      <c r="V244" s="409"/>
      <c r="W244" s="410"/>
      <c r="X244" s="277"/>
      <c r="Y244" s="277"/>
      <c r="Z244" s="277"/>
    </row>
    <row r="245" ht="12.75" customHeight="1">
      <c r="A245" s="277"/>
      <c r="B245" s="278"/>
      <c r="C245" s="277"/>
      <c r="D245" s="278"/>
      <c r="E245" s="279"/>
      <c r="F245" s="406"/>
      <c r="G245" s="407"/>
      <c r="H245" s="407"/>
      <c r="I245" s="407"/>
      <c r="J245" s="407"/>
      <c r="K245" s="407"/>
      <c r="L245" s="407"/>
      <c r="M245" s="407"/>
      <c r="N245" s="407"/>
      <c r="O245" s="407"/>
      <c r="P245" s="407"/>
      <c r="Q245" s="407"/>
      <c r="R245" s="407"/>
      <c r="S245" s="408"/>
      <c r="T245" s="408"/>
      <c r="U245" s="408"/>
      <c r="V245" s="409"/>
      <c r="W245" s="410"/>
      <c r="X245" s="277"/>
      <c r="Y245" s="277"/>
      <c r="Z245" s="277"/>
    </row>
    <row r="246" ht="12.75" customHeight="1">
      <c r="A246" s="277"/>
      <c r="B246" s="278"/>
      <c r="C246" s="277"/>
      <c r="D246" s="278"/>
      <c r="E246" s="279"/>
      <c r="F246" s="406"/>
      <c r="G246" s="407"/>
      <c r="H246" s="407"/>
      <c r="I246" s="407"/>
      <c r="J246" s="407"/>
      <c r="K246" s="407"/>
      <c r="L246" s="407"/>
      <c r="M246" s="407"/>
      <c r="N246" s="407"/>
      <c r="O246" s="407"/>
      <c r="P246" s="407"/>
      <c r="Q246" s="407"/>
      <c r="R246" s="407"/>
      <c r="S246" s="408"/>
      <c r="T246" s="408"/>
      <c r="U246" s="408"/>
      <c r="V246" s="409"/>
      <c r="W246" s="410"/>
      <c r="X246" s="277"/>
      <c r="Y246" s="277"/>
      <c r="Z246" s="277"/>
    </row>
    <row r="247" ht="12.75" customHeight="1">
      <c r="A247" s="277"/>
      <c r="B247" s="278"/>
      <c r="C247" s="277"/>
      <c r="D247" s="278"/>
      <c r="E247" s="279"/>
      <c r="F247" s="406"/>
      <c r="G247" s="407"/>
      <c r="H247" s="407"/>
      <c r="I247" s="407"/>
      <c r="J247" s="407"/>
      <c r="K247" s="407"/>
      <c r="L247" s="407"/>
      <c r="M247" s="407"/>
      <c r="N247" s="407"/>
      <c r="O247" s="407"/>
      <c r="P247" s="407"/>
      <c r="Q247" s="407"/>
      <c r="R247" s="407"/>
      <c r="S247" s="408"/>
      <c r="T247" s="408"/>
      <c r="U247" s="408"/>
      <c r="V247" s="409"/>
      <c r="W247" s="410"/>
      <c r="X247" s="277"/>
      <c r="Y247" s="277"/>
      <c r="Z247" s="277"/>
    </row>
    <row r="248" ht="12.75" customHeight="1">
      <c r="A248" s="277"/>
      <c r="B248" s="278"/>
      <c r="C248" s="277"/>
      <c r="D248" s="278"/>
      <c r="E248" s="279"/>
      <c r="F248" s="406"/>
      <c r="G248" s="407"/>
      <c r="H248" s="407"/>
      <c r="I248" s="407"/>
      <c r="J248" s="407"/>
      <c r="K248" s="407"/>
      <c r="L248" s="407"/>
      <c r="M248" s="407"/>
      <c r="N248" s="407"/>
      <c r="O248" s="407"/>
      <c r="P248" s="407"/>
      <c r="Q248" s="407"/>
      <c r="R248" s="407"/>
      <c r="S248" s="408"/>
      <c r="T248" s="408"/>
      <c r="U248" s="408"/>
      <c r="V248" s="409"/>
      <c r="W248" s="410"/>
      <c r="X248" s="277"/>
      <c r="Y248" s="277"/>
      <c r="Z248" s="277"/>
    </row>
    <row r="249" ht="12.75" customHeight="1">
      <c r="A249" s="277"/>
      <c r="B249" s="278"/>
      <c r="C249" s="277"/>
      <c r="D249" s="278"/>
      <c r="E249" s="279"/>
      <c r="F249" s="406"/>
      <c r="G249" s="407"/>
      <c r="H249" s="407"/>
      <c r="I249" s="407"/>
      <c r="J249" s="407"/>
      <c r="K249" s="407"/>
      <c r="L249" s="407"/>
      <c r="M249" s="407"/>
      <c r="N249" s="407"/>
      <c r="O249" s="407"/>
      <c r="P249" s="407"/>
      <c r="Q249" s="407"/>
      <c r="R249" s="407"/>
      <c r="S249" s="408"/>
      <c r="T249" s="408"/>
      <c r="U249" s="408"/>
      <c r="V249" s="409"/>
      <c r="W249" s="410"/>
      <c r="X249" s="277"/>
      <c r="Y249" s="277"/>
      <c r="Z249" s="277"/>
    </row>
    <row r="250" ht="12.75" customHeight="1">
      <c r="A250" s="277"/>
      <c r="B250" s="278"/>
      <c r="C250" s="277"/>
      <c r="D250" s="278"/>
      <c r="E250" s="279"/>
      <c r="F250" s="406"/>
      <c r="G250" s="407"/>
      <c r="H250" s="407"/>
      <c r="I250" s="407"/>
      <c r="J250" s="407"/>
      <c r="K250" s="407"/>
      <c r="L250" s="407"/>
      <c r="M250" s="407"/>
      <c r="N250" s="407"/>
      <c r="O250" s="407"/>
      <c r="P250" s="407"/>
      <c r="Q250" s="407"/>
      <c r="R250" s="407"/>
      <c r="S250" s="408"/>
      <c r="T250" s="408"/>
      <c r="U250" s="408"/>
      <c r="V250" s="409"/>
      <c r="W250" s="410"/>
      <c r="X250" s="277"/>
      <c r="Y250" s="277"/>
      <c r="Z250" s="277"/>
    </row>
    <row r="251" ht="12.75" customHeight="1">
      <c r="A251" s="277"/>
      <c r="B251" s="278"/>
      <c r="C251" s="277"/>
      <c r="D251" s="278"/>
      <c r="E251" s="279"/>
      <c r="F251" s="406"/>
      <c r="G251" s="407"/>
      <c r="H251" s="407"/>
      <c r="I251" s="407"/>
      <c r="J251" s="407"/>
      <c r="K251" s="407"/>
      <c r="L251" s="407"/>
      <c r="M251" s="407"/>
      <c r="N251" s="407"/>
      <c r="O251" s="407"/>
      <c r="P251" s="407"/>
      <c r="Q251" s="407"/>
      <c r="R251" s="407"/>
      <c r="S251" s="408"/>
      <c r="T251" s="408"/>
      <c r="U251" s="408"/>
      <c r="V251" s="409"/>
      <c r="W251" s="410"/>
      <c r="X251" s="277"/>
      <c r="Y251" s="277"/>
      <c r="Z251" s="277"/>
    </row>
    <row r="252" ht="12.75" customHeight="1">
      <c r="A252" s="277"/>
      <c r="B252" s="278"/>
      <c r="C252" s="277"/>
      <c r="D252" s="278"/>
      <c r="E252" s="279"/>
      <c r="F252" s="406"/>
      <c r="G252" s="407"/>
      <c r="H252" s="407"/>
      <c r="I252" s="407"/>
      <c r="J252" s="407"/>
      <c r="K252" s="407"/>
      <c r="L252" s="407"/>
      <c r="M252" s="407"/>
      <c r="N252" s="407"/>
      <c r="O252" s="407"/>
      <c r="P252" s="407"/>
      <c r="Q252" s="407"/>
      <c r="R252" s="407"/>
      <c r="S252" s="408"/>
      <c r="T252" s="408"/>
      <c r="U252" s="408"/>
      <c r="V252" s="409"/>
      <c r="W252" s="410"/>
      <c r="X252" s="277"/>
      <c r="Y252" s="277"/>
      <c r="Z252" s="277"/>
    </row>
    <row r="253" ht="12.75" customHeight="1">
      <c r="A253" s="277"/>
      <c r="B253" s="278"/>
      <c r="C253" s="277"/>
      <c r="D253" s="278"/>
      <c r="E253" s="279"/>
      <c r="F253" s="406"/>
      <c r="G253" s="407"/>
      <c r="H253" s="407"/>
      <c r="I253" s="407"/>
      <c r="J253" s="407"/>
      <c r="K253" s="407"/>
      <c r="L253" s="407"/>
      <c r="M253" s="407"/>
      <c r="N253" s="407"/>
      <c r="O253" s="407"/>
      <c r="P253" s="407"/>
      <c r="Q253" s="407"/>
      <c r="R253" s="407"/>
      <c r="S253" s="408"/>
      <c r="T253" s="408"/>
      <c r="U253" s="408"/>
      <c r="V253" s="409"/>
      <c r="W253" s="410"/>
      <c r="X253" s="277"/>
      <c r="Y253" s="277"/>
      <c r="Z253" s="277"/>
    </row>
    <row r="254" ht="12.75" customHeight="1">
      <c r="A254" s="277"/>
      <c r="B254" s="278"/>
      <c r="C254" s="277"/>
      <c r="D254" s="278"/>
      <c r="E254" s="279"/>
      <c r="F254" s="406"/>
      <c r="G254" s="407"/>
      <c r="H254" s="407"/>
      <c r="I254" s="407"/>
      <c r="J254" s="407"/>
      <c r="K254" s="407"/>
      <c r="L254" s="407"/>
      <c r="M254" s="407"/>
      <c r="N254" s="407"/>
      <c r="O254" s="407"/>
      <c r="P254" s="407"/>
      <c r="Q254" s="407"/>
      <c r="R254" s="407"/>
      <c r="S254" s="408"/>
      <c r="T254" s="408"/>
      <c r="U254" s="408"/>
      <c r="V254" s="409"/>
      <c r="W254" s="410"/>
      <c r="X254" s="277"/>
      <c r="Y254" s="277"/>
      <c r="Z254" s="277"/>
    </row>
    <row r="255" ht="12.75" customHeight="1">
      <c r="A255" s="277"/>
      <c r="B255" s="278"/>
      <c r="C255" s="277"/>
      <c r="D255" s="278"/>
      <c r="E255" s="279"/>
      <c r="F255" s="406"/>
      <c r="G255" s="407"/>
      <c r="H255" s="407"/>
      <c r="I255" s="407"/>
      <c r="J255" s="407"/>
      <c r="K255" s="407"/>
      <c r="L255" s="407"/>
      <c r="M255" s="407"/>
      <c r="N255" s="407"/>
      <c r="O255" s="407"/>
      <c r="P255" s="407"/>
      <c r="Q255" s="407"/>
      <c r="R255" s="407"/>
      <c r="S255" s="408"/>
      <c r="T255" s="408"/>
      <c r="U255" s="408"/>
      <c r="V255" s="409"/>
      <c r="W255" s="410"/>
      <c r="X255" s="277"/>
      <c r="Y255" s="277"/>
      <c r="Z255" s="277"/>
    </row>
    <row r="256" ht="12.75" customHeight="1">
      <c r="A256" s="277"/>
      <c r="B256" s="278"/>
      <c r="C256" s="277"/>
      <c r="D256" s="278"/>
      <c r="E256" s="279"/>
      <c r="F256" s="406"/>
      <c r="G256" s="407"/>
      <c r="H256" s="407"/>
      <c r="I256" s="407"/>
      <c r="J256" s="407"/>
      <c r="K256" s="407"/>
      <c r="L256" s="407"/>
      <c r="M256" s="407"/>
      <c r="N256" s="407"/>
      <c r="O256" s="407"/>
      <c r="P256" s="407"/>
      <c r="Q256" s="407"/>
      <c r="R256" s="407"/>
      <c r="S256" s="408"/>
      <c r="T256" s="408"/>
      <c r="U256" s="408"/>
      <c r="V256" s="409"/>
      <c r="W256" s="410"/>
      <c r="X256" s="277"/>
      <c r="Y256" s="277"/>
      <c r="Z256" s="277"/>
    </row>
    <row r="257" ht="12.75" customHeight="1">
      <c r="A257" s="277"/>
      <c r="B257" s="278"/>
      <c r="C257" s="277"/>
      <c r="D257" s="278"/>
      <c r="E257" s="279"/>
      <c r="F257" s="406"/>
      <c r="G257" s="407"/>
      <c r="H257" s="407"/>
      <c r="I257" s="407"/>
      <c r="J257" s="407"/>
      <c r="K257" s="407"/>
      <c r="L257" s="407"/>
      <c r="M257" s="407"/>
      <c r="N257" s="407"/>
      <c r="O257" s="407"/>
      <c r="P257" s="407"/>
      <c r="Q257" s="407"/>
      <c r="R257" s="407"/>
      <c r="S257" s="408"/>
      <c r="T257" s="408"/>
      <c r="U257" s="408"/>
      <c r="V257" s="409"/>
      <c r="W257" s="410"/>
      <c r="X257" s="277"/>
      <c r="Y257" s="277"/>
      <c r="Z257" s="277"/>
    </row>
    <row r="258" ht="12.75" customHeight="1">
      <c r="A258" s="277"/>
      <c r="B258" s="278"/>
      <c r="C258" s="277"/>
      <c r="D258" s="278"/>
      <c r="E258" s="279"/>
      <c r="F258" s="406"/>
      <c r="G258" s="407"/>
      <c r="H258" s="407"/>
      <c r="I258" s="407"/>
      <c r="J258" s="407"/>
      <c r="K258" s="407"/>
      <c r="L258" s="407"/>
      <c r="M258" s="407"/>
      <c r="N258" s="407"/>
      <c r="O258" s="407"/>
      <c r="P258" s="407"/>
      <c r="Q258" s="407"/>
      <c r="R258" s="407"/>
      <c r="S258" s="408"/>
      <c r="T258" s="408"/>
      <c r="U258" s="408"/>
      <c r="V258" s="409"/>
      <c r="W258" s="410"/>
      <c r="X258" s="277"/>
      <c r="Y258" s="277"/>
      <c r="Z258" s="277"/>
    </row>
    <row r="259" ht="12.75" customHeight="1">
      <c r="A259" s="277"/>
      <c r="B259" s="278"/>
      <c r="C259" s="277"/>
      <c r="D259" s="278"/>
      <c r="E259" s="279"/>
      <c r="F259" s="406"/>
      <c r="G259" s="407"/>
      <c r="H259" s="407"/>
      <c r="I259" s="407"/>
      <c r="J259" s="407"/>
      <c r="K259" s="407"/>
      <c r="L259" s="407"/>
      <c r="M259" s="407"/>
      <c r="N259" s="407"/>
      <c r="O259" s="407"/>
      <c r="P259" s="407"/>
      <c r="Q259" s="407"/>
      <c r="R259" s="407"/>
      <c r="S259" s="408"/>
      <c r="T259" s="408"/>
      <c r="U259" s="408"/>
      <c r="V259" s="409"/>
      <c r="W259" s="410"/>
      <c r="X259" s="277"/>
      <c r="Y259" s="277"/>
      <c r="Z259" s="277"/>
    </row>
    <row r="260" ht="12.75" customHeight="1">
      <c r="A260" s="277"/>
      <c r="B260" s="278"/>
      <c r="C260" s="277"/>
      <c r="D260" s="278"/>
      <c r="E260" s="279"/>
      <c r="F260" s="406"/>
      <c r="G260" s="407"/>
      <c r="H260" s="407"/>
      <c r="I260" s="407"/>
      <c r="J260" s="407"/>
      <c r="K260" s="407"/>
      <c r="L260" s="407"/>
      <c r="M260" s="407"/>
      <c r="N260" s="407"/>
      <c r="O260" s="407"/>
      <c r="P260" s="407"/>
      <c r="Q260" s="407"/>
      <c r="R260" s="407"/>
      <c r="S260" s="408"/>
      <c r="T260" s="408"/>
      <c r="U260" s="408"/>
      <c r="V260" s="409"/>
      <c r="W260" s="410"/>
      <c r="X260" s="277"/>
      <c r="Y260" s="277"/>
      <c r="Z260" s="277"/>
    </row>
    <row r="261" ht="12.75" customHeight="1">
      <c r="A261" s="277"/>
      <c r="B261" s="278"/>
      <c r="C261" s="277"/>
      <c r="D261" s="278"/>
      <c r="E261" s="279"/>
      <c r="F261" s="406"/>
      <c r="G261" s="407"/>
      <c r="H261" s="407"/>
      <c r="I261" s="407"/>
      <c r="J261" s="407"/>
      <c r="K261" s="407"/>
      <c r="L261" s="407"/>
      <c r="M261" s="407"/>
      <c r="N261" s="407"/>
      <c r="O261" s="407"/>
      <c r="P261" s="407"/>
      <c r="Q261" s="407"/>
      <c r="R261" s="407"/>
      <c r="S261" s="408"/>
      <c r="T261" s="408"/>
      <c r="U261" s="408"/>
      <c r="V261" s="409"/>
      <c r="W261" s="410"/>
      <c r="X261" s="277"/>
      <c r="Y261" s="277"/>
      <c r="Z261" s="277"/>
    </row>
    <row r="262" ht="12.75" customHeight="1">
      <c r="A262" s="277"/>
      <c r="B262" s="278"/>
      <c r="C262" s="277"/>
      <c r="D262" s="278"/>
      <c r="E262" s="279"/>
      <c r="F262" s="406"/>
      <c r="G262" s="407"/>
      <c r="H262" s="407"/>
      <c r="I262" s="407"/>
      <c r="J262" s="407"/>
      <c r="K262" s="407"/>
      <c r="L262" s="407"/>
      <c r="M262" s="407"/>
      <c r="N262" s="407"/>
      <c r="O262" s="407"/>
      <c r="P262" s="407"/>
      <c r="Q262" s="407"/>
      <c r="R262" s="407"/>
      <c r="S262" s="408"/>
      <c r="T262" s="408"/>
      <c r="U262" s="408"/>
      <c r="V262" s="409"/>
      <c r="W262" s="410"/>
      <c r="X262" s="277"/>
      <c r="Y262" s="277"/>
      <c r="Z262" s="277"/>
    </row>
    <row r="263" ht="12.75" customHeight="1">
      <c r="A263" s="277"/>
      <c r="B263" s="278"/>
      <c r="C263" s="277"/>
      <c r="D263" s="278"/>
      <c r="E263" s="279"/>
      <c r="F263" s="406"/>
      <c r="G263" s="407"/>
      <c r="H263" s="407"/>
      <c r="I263" s="407"/>
      <c r="J263" s="407"/>
      <c r="K263" s="407"/>
      <c r="L263" s="407"/>
      <c r="M263" s="407"/>
      <c r="N263" s="407"/>
      <c r="O263" s="407"/>
      <c r="P263" s="407"/>
      <c r="Q263" s="407"/>
      <c r="R263" s="407"/>
      <c r="S263" s="408"/>
      <c r="T263" s="408"/>
      <c r="U263" s="408"/>
      <c r="V263" s="409"/>
      <c r="W263" s="410"/>
      <c r="X263" s="277"/>
      <c r="Y263" s="277"/>
      <c r="Z263" s="277"/>
    </row>
    <row r="264" ht="12.75" customHeight="1">
      <c r="A264" s="277"/>
      <c r="B264" s="278"/>
      <c r="C264" s="277"/>
      <c r="D264" s="278"/>
      <c r="E264" s="279"/>
      <c r="F264" s="406"/>
      <c r="G264" s="407"/>
      <c r="H264" s="407"/>
      <c r="I264" s="407"/>
      <c r="J264" s="407"/>
      <c r="K264" s="407"/>
      <c r="L264" s="407"/>
      <c r="M264" s="407"/>
      <c r="N264" s="407"/>
      <c r="O264" s="407"/>
      <c r="P264" s="407"/>
      <c r="Q264" s="407"/>
      <c r="R264" s="407"/>
      <c r="S264" s="408"/>
      <c r="T264" s="408"/>
      <c r="U264" s="408"/>
      <c r="V264" s="409"/>
      <c r="W264" s="410"/>
      <c r="X264" s="277"/>
      <c r="Y264" s="277"/>
      <c r="Z264" s="277"/>
    </row>
    <row r="265" ht="12.75" customHeight="1">
      <c r="A265" s="277"/>
      <c r="B265" s="278"/>
      <c r="C265" s="277"/>
      <c r="D265" s="278"/>
      <c r="E265" s="279"/>
      <c r="F265" s="406"/>
      <c r="G265" s="407"/>
      <c r="H265" s="407"/>
      <c r="I265" s="407"/>
      <c r="J265" s="407"/>
      <c r="K265" s="407"/>
      <c r="L265" s="407"/>
      <c r="M265" s="407"/>
      <c r="N265" s="407"/>
      <c r="O265" s="407"/>
      <c r="P265" s="407"/>
      <c r="Q265" s="407"/>
      <c r="R265" s="407"/>
      <c r="S265" s="408"/>
      <c r="T265" s="408"/>
      <c r="U265" s="408"/>
      <c r="V265" s="409"/>
      <c r="W265" s="410"/>
      <c r="X265" s="277"/>
      <c r="Y265" s="277"/>
      <c r="Z265" s="277"/>
    </row>
    <row r="266" ht="12.75" customHeight="1">
      <c r="A266" s="277"/>
      <c r="B266" s="278"/>
      <c r="C266" s="277"/>
      <c r="D266" s="278"/>
      <c r="E266" s="279"/>
      <c r="F266" s="406"/>
      <c r="G266" s="407"/>
      <c r="H266" s="407"/>
      <c r="I266" s="407"/>
      <c r="J266" s="407"/>
      <c r="K266" s="407"/>
      <c r="L266" s="407"/>
      <c r="M266" s="407"/>
      <c r="N266" s="407"/>
      <c r="O266" s="407"/>
      <c r="P266" s="407"/>
      <c r="Q266" s="407"/>
      <c r="R266" s="407"/>
      <c r="S266" s="408"/>
      <c r="T266" s="408"/>
      <c r="U266" s="408"/>
      <c r="V266" s="409"/>
      <c r="W266" s="410"/>
      <c r="X266" s="277"/>
      <c r="Y266" s="277"/>
      <c r="Z266" s="277"/>
    </row>
    <row r="267" ht="12.75" customHeight="1">
      <c r="A267" s="277"/>
      <c r="B267" s="278"/>
      <c r="C267" s="277"/>
      <c r="D267" s="278"/>
      <c r="E267" s="279"/>
      <c r="F267" s="406"/>
      <c r="G267" s="407"/>
      <c r="H267" s="407"/>
      <c r="I267" s="407"/>
      <c r="J267" s="407"/>
      <c r="K267" s="407"/>
      <c r="L267" s="407"/>
      <c r="M267" s="407"/>
      <c r="N267" s="407"/>
      <c r="O267" s="407"/>
      <c r="P267" s="407"/>
      <c r="Q267" s="407"/>
      <c r="R267" s="407"/>
      <c r="S267" s="408"/>
      <c r="T267" s="408"/>
      <c r="U267" s="408"/>
      <c r="V267" s="409"/>
      <c r="W267" s="410"/>
      <c r="X267" s="277"/>
      <c r="Y267" s="277"/>
      <c r="Z267" s="277"/>
    </row>
    <row r="268" ht="12.75" customHeight="1">
      <c r="A268" s="277"/>
      <c r="B268" s="278"/>
      <c r="C268" s="277"/>
      <c r="D268" s="278"/>
      <c r="E268" s="279"/>
      <c r="F268" s="406"/>
      <c r="G268" s="407"/>
      <c r="H268" s="407"/>
      <c r="I268" s="407"/>
      <c r="J268" s="407"/>
      <c r="K268" s="407"/>
      <c r="L268" s="407"/>
      <c r="M268" s="407"/>
      <c r="N268" s="407"/>
      <c r="O268" s="407"/>
      <c r="P268" s="407"/>
      <c r="Q268" s="407"/>
      <c r="R268" s="407"/>
      <c r="S268" s="408"/>
      <c r="T268" s="408"/>
      <c r="U268" s="408"/>
      <c r="V268" s="409"/>
      <c r="W268" s="410"/>
      <c r="X268" s="277"/>
      <c r="Y268" s="277"/>
      <c r="Z268" s="277"/>
    </row>
    <row r="269" ht="12.75" customHeight="1">
      <c r="A269" s="277"/>
      <c r="B269" s="278"/>
      <c r="C269" s="277"/>
      <c r="D269" s="278"/>
      <c r="E269" s="279"/>
      <c r="F269" s="406"/>
      <c r="G269" s="407"/>
      <c r="H269" s="407"/>
      <c r="I269" s="407"/>
      <c r="J269" s="407"/>
      <c r="K269" s="407"/>
      <c r="L269" s="407"/>
      <c r="M269" s="407"/>
      <c r="N269" s="407"/>
      <c r="O269" s="407"/>
      <c r="P269" s="407"/>
      <c r="Q269" s="407"/>
      <c r="R269" s="407"/>
      <c r="S269" s="408"/>
      <c r="T269" s="408"/>
      <c r="U269" s="408"/>
      <c r="V269" s="409"/>
      <c r="W269" s="410"/>
      <c r="X269" s="277"/>
      <c r="Y269" s="277"/>
      <c r="Z269" s="277"/>
    </row>
    <row r="270" ht="12.75" customHeight="1">
      <c r="A270" s="277"/>
      <c r="B270" s="278"/>
      <c r="C270" s="277"/>
      <c r="D270" s="278"/>
      <c r="E270" s="279"/>
      <c r="F270" s="406"/>
      <c r="G270" s="407"/>
      <c r="H270" s="407"/>
      <c r="I270" s="407"/>
      <c r="J270" s="407"/>
      <c r="K270" s="407"/>
      <c r="L270" s="407"/>
      <c r="M270" s="407"/>
      <c r="N270" s="407"/>
      <c r="O270" s="407"/>
      <c r="P270" s="407"/>
      <c r="Q270" s="407"/>
      <c r="R270" s="407"/>
      <c r="S270" s="408"/>
      <c r="T270" s="408"/>
      <c r="U270" s="408"/>
      <c r="V270" s="409"/>
      <c r="W270" s="410"/>
      <c r="X270" s="277"/>
      <c r="Y270" s="277"/>
      <c r="Z270" s="277"/>
    </row>
    <row r="271" ht="12.75" customHeight="1">
      <c r="A271" s="277"/>
      <c r="B271" s="278"/>
      <c r="C271" s="277"/>
      <c r="D271" s="278"/>
      <c r="E271" s="279"/>
      <c r="F271" s="406"/>
      <c r="G271" s="407"/>
      <c r="H271" s="407"/>
      <c r="I271" s="407"/>
      <c r="J271" s="407"/>
      <c r="K271" s="407"/>
      <c r="L271" s="407"/>
      <c r="M271" s="407"/>
      <c r="N271" s="407"/>
      <c r="O271" s="407"/>
      <c r="P271" s="407"/>
      <c r="Q271" s="407"/>
      <c r="R271" s="407"/>
      <c r="S271" s="408"/>
      <c r="T271" s="408"/>
      <c r="U271" s="408"/>
      <c r="V271" s="409"/>
      <c r="W271" s="410"/>
      <c r="X271" s="277"/>
      <c r="Y271" s="277"/>
      <c r="Z271" s="277"/>
    </row>
    <row r="272" ht="12.75" customHeight="1">
      <c r="A272" s="277"/>
      <c r="B272" s="278"/>
      <c r="C272" s="277"/>
      <c r="D272" s="278"/>
      <c r="E272" s="279"/>
      <c r="F272" s="406"/>
      <c r="G272" s="407"/>
      <c r="H272" s="407"/>
      <c r="I272" s="407"/>
      <c r="J272" s="407"/>
      <c r="K272" s="407"/>
      <c r="L272" s="407"/>
      <c r="M272" s="407"/>
      <c r="N272" s="407"/>
      <c r="O272" s="407"/>
      <c r="P272" s="407"/>
      <c r="Q272" s="407"/>
      <c r="R272" s="407"/>
      <c r="S272" s="408"/>
      <c r="T272" s="408"/>
      <c r="U272" s="408"/>
      <c r="V272" s="409"/>
      <c r="W272" s="410"/>
      <c r="X272" s="277"/>
      <c r="Y272" s="277"/>
      <c r="Z272" s="277"/>
    </row>
    <row r="273" ht="12.75" customHeight="1">
      <c r="A273" s="277"/>
      <c r="B273" s="278"/>
      <c r="C273" s="277"/>
      <c r="D273" s="278"/>
      <c r="E273" s="279"/>
      <c r="F273" s="406"/>
      <c r="G273" s="407"/>
      <c r="H273" s="407"/>
      <c r="I273" s="407"/>
      <c r="J273" s="407"/>
      <c r="K273" s="407"/>
      <c r="L273" s="407"/>
      <c r="M273" s="407"/>
      <c r="N273" s="407"/>
      <c r="O273" s="407"/>
      <c r="P273" s="407"/>
      <c r="Q273" s="407"/>
      <c r="R273" s="407"/>
      <c r="S273" s="408"/>
      <c r="T273" s="408"/>
      <c r="U273" s="408"/>
      <c r="V273" s="409"/>
      <c r="W273" s="410"/>
      <c r="X273" s="277"/>
      <c r="Y273" s="277"/>
      <c r="Z273" s="277"/>
    </row>
    <row r="274" ht="12.75" customHeight="1">
      <c r="A274" s="277"/>
      <c r="B274" s="278"/>
      <c r="C274" s="277"/>
      <c r="D274" s="278"/>
      <c r="E274" s="279"/>
      <c r="F274" s="406"/>
      <c r="G274" s="407"/>
      <c r="H274" s="407"/>
      <c r="I274" s="407"/>
      <c r="J274" s="407"/>
      <c r="K274" s="407"/>
      <c r="L274" s="407"/>
      <c r="M274" s="407"/>
      <c r="N274" s="407"/>
      <c r="O274" s="407"/>
      <c r="P274" s="407"/>
      <c r="Q274" s="407"/>
      <c r="R274" s="407"/>
      <c r="S274" s="408"/>
      <c r="T274" s="408"/>
      <c r="U274" s="408"/>
      <c r="V274" s="409"/>
      <c r="W274" s="410"/>
      <c r="X274" s="277"/>
      <c r="Y274" s="277"/>
      <c r="Z274" s="277"/>
    </row>
    <row r="275" ht="12.75" customHeight="1">
      <c r="A275" s="277"/>
      <c r="B275" s="278"/>
      <c r="C275" s="277"/>
      <c r="D275" s="278"/>
      <c r="E275" s="279"/>
      <c r="F275" s="406"/>
      <c r="G275" s="407"/>
      <c r="H275" s="407"/>
      <c r="I275" s="407"/>
      <c r="J275" s="407"/>
      <c r="K275" s="407"/>
      <c r="L275" s="407"/>
      <c r="M275" s="407"/>
      <c r="N275" s="407"/>
      <c r="O275" s="407"/>
      <c r="P275" s="407"/>
      <c r="Q275" s="407"/>
      <c r="R275" s="407"/>
      <c r="S275" s="408"/>
      <c r="T275" s="408"/>
      <c r="U275" s="408"/>
      <c r="V275" s="409"/>
      <c r="W275" s="410"/>
      <c r="X275" s="277"/>
      <c r="Y275" s="277"/>
      <c r="Z275" s="277"/>
    </row>
    <row r="276" ht="12.75" customHeight="1">
      <c r="A276" s="277"/>
      <c r="B276" s="278"/>
      <c r="C276" s="277"/>
      <c r="D276" s="278"/>
      <c r="E276" s="279"/>
      <c r="F276" s="406"/>
      <c r="G276" s="407"/>
      <c r="H276" s="407"/>
      <c r="I276" s="407"/>
      <c r="J276" s="407"/>
      <c r="K276" s="407"/>
      <c r="L276" s="407"/>
      <c r="M276" s="407"/>
      <c r="N276" s="407"/>
      <c r="O276" s="407"/>
      <c r="P276" s="407"/>
      <c r="Q276" s="407"/>
      <c r="R276" s="407"/>
      <c r="S276" s="408"/>
      <c r="T276" s="408"/>
      <c r="U276" s="408"/>
      <c r="V276" s="409"/>
      <c r="W276" s="410"/>
      <c r="X276" s="277"/>
      <c r="Y276" s="277"/>
      <c r="Z276" s="277"/>
    </row>
    <row r="277" ht="12.75" customHeight="1">
      <c r="A277" s="277"/>
      <c r="B277" s="278"/>
      <c r="C277" s="277"/>
      <c r="D277" s="278"/>
      <c r="E277" s="279"/>
      <c r="F277" s="406"/>
      <c r="G277" s="407"/>
      <c r="H277" s="407"/>
      <c r="I277" s="407"/>
      <c r="J277" s="407"/>
      <c r="K277" s="407"/>
      <c r="L277" s="407"/>
      <c r="M277" s="407"/>
      <c r="N277" s="407"/>
      <c r="O277" s="407"/>
      <c r="P277" s="407"/>
      <c r="Q277" s="407"/>
      <c r="R277" s="407"/>
      <c r="S277" s="408"/>
      <c r="T277" s="408"/>
      <c r="U277" s="408"/>
      <c r="V277" s="409"/>
      <c r="W277" s="410"/>
      <c r="X277" s="277"/>
      <c r="Y277" s="277"/>
      <c r="Z277" s="277"/>
    </row>
    <row r="278" ht="12.75" customHeight="1">
      <c r="A278" s="277"/>
      <c r="B278" s="278"/>
      <c r="C278" s="277"/>
      <c r="D278" s="278"/>
      <c r="E278" s="279"/>
      <c r="F278" s="406"/>
      <c r="G278" s="407"/>
      <c r="H278" s="407"/>
      <c r="I278" s="407"/>
      <c r="J278" s="407"/>
      <c r="K278" s="407"/>
      <c r="L278" s="407"/>
      <c r="M278" s="407"/>
      <c r="N278" s="407"/>
      <c r="O278" s="407"/>
      <c r="P278" s="407"/>
      <c r="Q278" s="407"/>
      <c r="R278" s="407"/>
      <c r="S278" s="408"/>
      <c r="T278" s="408"/>
      <c r="U278" s="408"/>
      <c r="V278" s="409"/>
      <c r="W278" s="410"/>
      <c r="X278" s="277"/>
      <c r="Y278" s="277"/>
      <c r="Z278" s="277"/>
    </row>
    <row r="279" ht="12.75" customHeight="1">
      <c r="A279" s="277"/>
      <c r="B279" s="278"/>
      <c r="C279" s="277"/>
      <c r="D279" s="278"/>
      <c r="E279" s="279"/>
      <c r="F279" s="406"/>
      <c r="G279" s="407"/>
      <c r="H279" s="407"/>
      <c r="I279" s="407"/>
      <c r="J279" s="407"/>
      <c r="K279" s="407"/>
      <c r="L279" s="407"/>
      <c r="M279" s="407"/>
      <c r="N279" s="407"/>
      <c r="O279" s="407"/>
      <c r="P279" s="407"/>
      <c r="Q279" s="407"/>
      <c r="R279" s="407"/>
      <c r="S279" s="408"/>
      <c r="T279" s="408"/>
      <c r="U279" s="408"/>
      <c r="V279" s="409"/>
      <c r="W279" s="410"/>
      <c r="X279" s="277"/>
      <c r="Y279" s="277"/>
      <c r="Z279" s="277"/>
    </row>
    <row r="280" ht="12.75" customHeight="1">
      <c r="A280" s="277"/>
      <c r="B280" s="278"/>
      <c r="C280" s="277"/>
      <c r="D280" s="278"/>
      <c r="E280" s="279"/>
      <c r="F280" s="406"/>
      <c r="G280" s="407"/>
      <c r="H280" s="407"/>
      <c r="I280" s="407"/>
      <c r="J280" s="407"/>
      <c r="K280" s="407"/>
      <c r="L280" s="407"/>
      <c r="M280" s="407"/>
      <c r="N280" s="407"/>
      <c r="O280" s="407"/>
      <c r="P280" s="407"/>
      <c r="Q280" s="407"/>
      <c r="R280" s="407"/>
      <c r="S280" s="408"/>
      <c r="T280" s="408"/>
      <c r="U280" s="408"/>
      <c r="V280" s="409"/>
      <c r="W280" s="410"/>
      <c r="X280" s="277"/>
      <c r="Y280" s="277"/>
      <c r="Z280" s="277"/>
    </row>
    <row r="281" ht="12.75" customHeight="1">
      <c r="A281" s="277"/>
      <c r="B281" s="278"/>
      <c r="C281" s="277"/>
      <c r="D281" s="278"/>
      <c r="E281" s="279"/>
      <c r="F281" s="406"/>
      <c r="G281" s="407"/>
      <c r="H281" s="407"/>
      <c r="I281" s="407"/>
      <c r="J281" s="407"/>
      <c r="K281" s="407"/>
      <c r="L281" s="407"/>
      <c r="M281" s="407"/>
      <c r="N281" s="407"/>
      <c r="O281" s="407"/>
      <c r="P281" s="407"/>
      <c r="Q281" s="407"/>
      <c r="R281" s="407"/>
      <c r="S281" s="408"/>
      <c r="T281" s="408"/>
      <c r="U281" s="408"/>
      <c r="V281" s="409"/>
      <c r="W281" s="410"/>
      <c r="X281" s="277"/>
      <c r="Y281" s="277"/>
      <c r="Z281" s="277"/>
    </row>
    <row r="282" ht="12.75" customHeight="1">
      <c r="A282" s="277"/>
      <c r="B282" s="278"/>
      <c r="C282" s="277"/>
      <c r="D282" s="278"/>
      <c r="E282" s="279"/>
      <c r="F282" s="406"/>
      <c r="G282" s="407"/>
      <c r="H282" s="407"/>
      <c r="I282" s="407"/>
      <c r="J282" s="407"/>
      <c r="K282" s="407"/>
      <c r="L282" s="407"/>
      <c r="M282" s="407"/>
      <c r="N282" s="407"/>
      <c r="O282" s="407"/>
      <c r="P282" s="407"/>
      <c r="Q282" s="407"/>
      <c r="R282" s="407"/>
      <c r="S282" s="408"/>
      <c r="T282" s="408"/>
      <c r="U282" s="408"/>
      <c r="V282" s="409"/>
      <c r="W282" s="410"/>
      <c r="X282" s="277"/>
      <c r="Y282" s="277"/>
      <c r="Z282" s="277"/>
    </row>
    <row r="283" ht="12.75" customHeight="1">
      <c r="A283" s="277"/>
      <c r="B283" s="278"/>
      <c r="C283" s="277"/>
      <c r="D283" s="278"/>
      <c r="E283" s="279"/>
      <c r="F283" s="406"/>
      <c r="G283" s="407"/>
      <c r="H283" s="407"/>
      <c r="I283" s="407"/>
      <c r="J283" s="407"/>
      <c r="K283" s="407"/>
      <c r="L283" s="407"/>
      <c r="M283" s="407"/>
      <c r="N283" s="407"/>
      <c r="O283" s="407"/>
      <c r="P283" s="407"/>
      <c r="Q283" s="407"/>
      <c r="R283" s="407"/>
      <c r="S283" s="408"/>
      <c r="T283" s="408"/>
      <c r="U283" s="408"/>
      <c r="V283" s="409"/>
      <c r="W283" s="410"/>
      <c r="X283" s="277"/>
      <c r="Y283" s="277"/>
      <c r="Z283" s="277"/>
    </row>
    <row r="284" ht="12.75" customHeight="1">
      <c r="A284" s="277"/>
      <c r="B284" s="278"/>
      <c r="C284" s="277"/>
      <c r="D284" s="278"/>
      <c r="E284" s="279"/>
      <c r="F284" s="406"/>
      <c r="G284" s="407"/>
      <c r="H284" s="407"/>
      <c r="I284" s="407"/>
      <c r="J284" s="407"/>
      <c r="K284" s="407"/>
      <c r="L284" s="407"/>
      <c r="M284" s="407"/>
      <c r="N284" s="407"/>
      <c r="O284" s="407"/>
      <c r="P284" s="407"/>
      <c r="Q284" s="407"/>
      <c r="R284" s="407"/>
      <c r="S284" s="408"/>
      <c r="T284" s="408"/>
      <c r="U284" s="408"/>
      <c r="V284" s="409"/>
      <c r="W284" s="410"/>
      <c r="X284" s="277"/>
      <c r="Y284" s="277"/>
      <c r="Z284" s="277"/>
    </row>
    <row r="285" ht="12.75" customHeight="1">
      <c r="A285" s="277"/>
      <c r="B285" s="278"/>
      <c r="C285" s="277"/>
      <c r="D285" s="278"/>
      <c r="E285" s="279"/>
      <c r="F285" s="406"/>
      <c r="G285" s="407"/>
      <c r="H285" s="407"/>
      <c r="I285" s="407"/>
      <c r="J285" s="407"/>
      <c r="K285" s="407"/>
      <c r="L285" s="407"/>
      <c r="M285" s="407"/>
      <c r="N285" s="407"/>
      <c r="O285" s="407"/>
      <c r="P285" s="407"/>
      <c r="Q285" s="407"/>
      <c r="R285" s="407"/>
      <c r="S285" s="408"/>
      <c r="T285" s="408"/>
      <c r="U285" s="408"/>
      <c r="V285" s="409"/>
      <c r="W285" s="410"/>
      <c r="X285" s="277"/>
      <c r="Y285" s="277"/>
      <c r="Z285" s="277"/>
    </row>
    <row r="286" ht="12.75" customHeight="1">
      <c r="A286" s="277"/>
      <c r="B286" s="278"/>
      <c r="C286" s="277"/>
      <c r="D286" s="278"/>
      <c r="E286" s="279"/>
      <c r="F286" s="406"/>
      <c r="G286" s="407"/>
      <c r="H286" s="407"/>
      <c r="I286" s="407"/>
      <c r="J286" s="407"/>
      <c r="K286" s="407"/>
      <c r="L286" s="407"/>
      <c r="M286" s="407"/>
      <c r="N286" s="407"/>
      <c r="O286" s="407"/>
      <c r="P286" s="407"/>
      <c r="Q286" s="407"/>
      <c r="R286" s="407"/>
      <c r="S286" s="408"/>
      <c r="T286" s="408"/>
      <c r="U286" s="408"/>
      <c r="V286" s="409"/>
      <c r="W286" s="410"/>
      <c r="X286" s="277"/>
      <c r="Y286" s="277"/>
      <c r="Z286" s="277"/>
    </row>
    <row r="287" ht="12.75" customHeight="1">
      <c r="A287" s="277"/>
      <c r="B287" s="278"/>
      <c r="C287" s="277"/>
      <c r="D287" s="278"/>
      <c r="E287" s="279"/>
      <c r="F287" s="406"/>
      <c r="G287" s="407"/>
      <c r="H287" s="407"/>
      <c r="I287" s="407"/>
      <c r="J287" s="407"/>
      <c r="K287" s="407"/>
      <c r="L287" s="407"/>
      <c r="M287" s="407"/>
      <c r="N287" s="407"/>
      <c r="O287" s="407"/>
      <c r="P287" s="407"/>
      <c r="Q287" s="407"/>
      <c r="R287" s="407"/>
      <c r="S287" s="408"/>
      <c r="T287" s="408"/>
      <c r="U287" s="408"/>
      <c r="V287" s="409"/>
      <c r="W287" s="410"/>
      <c r="X287" s="277"/>
      <c r="Y287" s="277"/>
      <c r="Z287" s="277"/>
    </row>
    <row r="288" ht="12.75" customHeight="1">
      <c r="A288" s="277"/>
      <c r="B288" s="278"/>
      <c r="C288" s="277"/>
      <c r="D288" s="278"/>
      <c r="E288" s="279"/>
      <c r="F288" s="406"/>
      <c r="G288" s="407"/>
      <c r="H288" s="407"/>
      <c r="I288" s="407"/>
      <c r="J288" s="407"/>
      <c r="K288" s="407"/>
      <c r="L288" s="407"/>
      <c r="M288" s="407"/>
      <c r="N288" s="407"/>
      <c r="O288" s="407"/>
      <c r="P288" s="407"/>
      <c r="Q288" s="407"/>
      <c r="R288" s="407"/>
      <c r="S288" s="408"/>
      <c r="T288" s="408"/>
      <c r="U288" s="408"/>
      <c r="V288" s="409"/>
      <c r="W288" s="410"/>
      <c r="X288" s="277"/>
      <c r="Y288" s="277"/>
      <c r="Z288" s="277"/>
    </row>
    <row r="289" ht="12.75" customHeight="1">
      <c r="A289" s="277"/>
      <c r="B289" s="278"/>
      <c r="C289" s="277"/>
      <c r="D289" s="278"/>
      <c r="E289" s="279"/>
      <c r="F289" s="406"/>
      <c r="G289" s="407"/>
      <c r="H289" s="407"/>
      <c r="I289" s="407"/>
      <c r="J289" s="407"/>
      <c r="K289" s="407"/>
      <c r="L289" s="407"/>
      <c r="M289" s="407"/>
      <c r="N289" s="407"/>
      <c r="O289" s="407"/>
      <c r="P289" s="407"/>
      <c r="Q289" s="407"/>
      <c r="R289" s="407"/>
      <c r="S289" s="408"/>
      <c r="T289" s="408"/>
      <c r="U289" s="408"/>
      <c r="V289" s="409"/>
      <c r="W289" s="410"/>
      <c r="X289" s="277"/>
      <c r="Y289" s="277"/>
      <c r="Z289" s="277"/>
    </row>
    <row r="290" ht="12.75" customHeight="1">
      <c r="A290" s="277"/>
      <c r="B290" s="278"/>
      <c r="C290" s="277"/>
      <c r="D290" s="278"/>
      <c r="E290" s="279"/>
      <c r="F290" s="406"/>
      <c r="G290" s="407"/>
      <c r="H290" s="407"/>
      <c r="I290" s="407"/>
      <c r="J290" s="407"/>
      <c r="K290" s="407"/>
      <c r="L290" s="407"/>
      <c r="M290" s="407"/>
      <c r="N290" s="407"/>
      <c r="O290" s="407"/>
      <c r="P290" s="407"/>
      <c r="Q290" s="407"/>
      <c r="R290" s="407"/>
      <c r="S290" s="408"/>
      <c r="T290" s="408"/>
      <c r="U290" s="408"/>
      <c r="V290" s="409"/>
      <c r="W290" s="410"/>
      <c r="X290" s="277"/>
      <c r="Y290" s="277"/>
      <c r="Z290" s="277"/>
    </row>
    <row r="291" ht="12.75" customHeight="1">
      <c r="A291" s="277"/>
      <c r="B291" s="278"/>
      <c r="C291" s="277"/>
      <c r="D291" s="278"/>
      <c r="E291" s="279"/>
      <c r="F291" s="406"/>
      <c r="G291" s="407"/>
      <c r="H291" s="407"/>
      <c r="I291" s="407"/>
      <c r="J291" s="407"/>
      <c r="K291" s="407"/>
      <c r="L291" s="407"/>
      <c r="M291" s="407"/>
      <c r="N291" s="407"/>
      <c r="O291" s="407"/>
      <c r="P291" s="407"/>
      <c r="Q291" s="407"/>
      <c r="R291" s="407"/>
      <c r="S291" s="408"/>
      <c r="T291" s="408"/>
      <c r="U291" s="408"/>
      <c r="V291" s="409"/>
      <c r="W291" s="410"/>
      <c r="X291" s="277"/>
      <c r="Y291" s="277"/>
      <c r="Z291" s="277"/>
    </row>
    <row r="292" ht="12.75" customHeight="1">
      <c r="A292" s="277"/>
      <c r="B292" s="278"/>
      <c r="C292" s="277"/>
      <c r="D292" s="278"/>
      <c r="E292" s="279"/>
      <c r="F292" s="406"/>
      <c r="G292" s="407"/>
      <c r="H292" s="407"/>
      <c r="I292" s="407"/>
      <c r="J292" s="407"/>
      <c r="K292" s="407"/>
      <c r="L292" s="407"/>
      <c r="M292" s="407"/>
      <c r="N292" s="407"/>
      <c r="O292" s="407"/>
      <c r="P292" s="407"/>
      <c r="Q292" s="407"/>
      <c r="R292" s="407"/>
      <c r="S292" s="408"/>
      <c r="T292" s="408"/>
      <c r="U292" s="408"/>
      <c r="V292" s="409"/>
      <c r="W292" s="410"/>
      <c r="X292" s="277"/>
      <c r="Y292" s="277"/>
      <c r="Z292" s="277"/>
    </row>
    <row r="293" ht="12.75" customHeight="1">
      <c r="A293" s="277"/>
      <c r="B293" s="278"/>
      <c r="C293" s="277"/>
      <c r="D293" s="278"/>
      <c r="E293" s="279"/>
      <c r="F293" s="406"/>
      <c r="G293" s="407"/>
      <c r="H293" s="407"/>
      <c r="I293" s="407"/>
      <c r="J293" s="407"/>
      <c r="K293" s="407"/>
      <c r="L293" s="407"/>
      <c r="M293" s="407"/>
      <c r="N293" s="407"/>
      <c r="O293" s="407"/>
      <c r="P293" s="407"/>
      <c r="Q293" s="407"/>
      <c r="R293" s="407"/>
      <c r="S293" s="408"/>
      <c r="T293" s="408"/>
      <c r="U293" s="408"/>
      <c r="V293" s="409"/>
      <c r="W293" s="410"/>
      <c r="X293" s="277"/>
      <c r="Y293" s="277"/>
      <c r="Z293" s="277"/>
    </row>
    <row r="294" ht="12.75" customHeight="1">
      <c r="A294" s="277"/>
      <c r="B294" s="278"/>
      <c r="C294" s="277"/>
      <c r="D294" s="278"/>
      <c r="E294" s="279"/>
      <c r="F294" s="406"/>
      <c r="G294" s="407"/>
      <c r="H294" s="407"/>
      <c r="I294" s="407"/>
      <c r="J294" s="407"/>
      <c r="K294" s="407"/>
      <c r="L294" s="407"/>
      <c r="M294" s="407"/>
      <c r="N294" s="407"/>
      <c r="O294" s="407"/>
      <c r="P294" s="407"/>
      <c r="Q294" s="407"/>
      <c r="R294" s="407"/>
      <c r="S294" s="408"/>
      <c r="T294" s="408"/>
      <c r="U294" s="408"/>
      <c r="V294" s="409"/>
      <c r="W294" s="410"/>
      <c r="X294" s="277"/>
      <c r="Y294" s="277"/>
      <c r="Z294" s="277"/>
    </row>
    <row r="295" ht="12.75" customHeight="1">
      <c r="A295" s="277"/>
      <c r="B295" s="278"/>
      <c r="C295" s="277"/>
      <c r="D295" s="278"/>
      <c r="E295" s="279"/>
      <c r="F295" s="406"/>
      <c r="G295" s="407"/>
      <c r="H295" s="407"/>
      <c r="I295" s="407"/>
      <c r="J295" s="407"/>
      <c r="K295" s="407"/>
      <c r="L295" s="407"/>
      <c r="M295" s="407"/>
      <c r="N295" s="407"/>
      <c r="O295" s="407"/>
      <c r="P295" s="407"/>
      <c r="Q295" s="407"/>
      <c r="R295" s="407"/>
      <c r="S295" s="408"/>
      <c r="T295" s="408"/>
      <c r="U295" s="408"/>
      <c r="V295" s="409"/>
      <c r="W295" s="410"/>
      <c r="X295" s="277"/>
      <c r="Y295" s="277"/>
      <c r="Z295" s="277"/>
    </row>
    <row r="296" ht="12.75" customHeight="1">
      <c r="A296" s="277"/>
      <c r="B296" s="278"/>
      <c r="C296" s="277"/>
      <c r="D296" s="278"/>
      <c r="E296" s="279"/>
      <c r="F296" s="406"/>
      <c r="G296" s="407"/>
      <c r="H296" s="407"/>
      <c r="I296" s="407"/>
      <c r="J296" s="407"/>
      <c r="K296" s="407"/>
      <c r="L296" s="407"/>
      <c r="M296" s="407"/>
      <c r="N296" s="407"/>
      <c r="O296" s="407"/>
      <c r="P296" s="407"/>
      <c r="Q296" s="407"/>
      <c r="R296" s="407"/>
      <c r="S296" s="408"/>
      <c r="T296" s="408"/>
      <c r="U296" s="408"/>
      <c r="V296" s="409"/>
      <c r="W296" s="410"/>
      <c r="X296" s="277"/>
      <c r="Y296" s="277"/>
      <c r="Z296" s="277"/>
    </row>
    <row r="297" ht="12.75" customHeight="1">
      <c r="A297" s="277"/>
      <c r="B297" s="278"/>
      <c r="C297" s="277"/>
      <c r="D297" s="278"/>
      <c r="E297" s="279"/>
      <c r="F297" s="406"/>
      <c r="G297" s="407"/>
      <c r="H297" s="407"/>
      <c r="I297" s="407"/>
      <c r="J297" s="407"/>
      <c r="K297" s="407"/>
      <c r="L297" s="407"/>
      <c r="M297" s="407"/>
      <c r="N297" s="407"/>
      <c r="O297" s="407"/>
      <c r="P297" s="407"/>
      <c r="Q297" s="407"/>
      <c r="R297" s="407"/>
      <c r="S297" s="408"/>
      <c r="T297" s="408"/>
      <c r="U297" s="408"/>
      <c r="V297" s="409"/>
      <c r="W297" s="410"/>
      <c r="X297" s="277"/>
      <c r="Y297" s="277"/>
      <c r="Z297" s="277"/>
    </row>
    <row r="298" ht="12.75" customHeight="1">
      <c r="A298" s="277"/>
      <c r="B298" s="278"/>
      <c r="C298" s="277"/>
      <c r="D298" s="278"/>
      <c r="E298" s="279"/>
      <c r="F298" s="406"/>
      <c r="G298" s="407"/>
      <c r="H298" s="407"/>
      <c r="I298" s="407"/>
      <c r="J298" s="407"/>
      <c r="K298" s="407"/>
      <c r="L298" s="407"/>
      <c r="M298" s="407"/>
      <c r="N298" s="407"/>
      <c r="O298" s="407"/>
      <c r="P298" s="407"/>
      <c r="Q298" s="407"/>
      <c r="R298" s="407"/>
      <c r="S298" s="408"/>
      <c r="T298" s="408"/>
      <c r="U298" s="408"/>
      <c r="V298" s="409"/>
      <c r="W298" s="410"/>
      <c r="X298" s="277"/>
      <c r="Y298" s="277"/>
      <c r="Z298" s="277"/>
    </row>
    <row r="299" ht="12.75" customHeight="1">
      <c r="A299" s="277"/>
      <c r="B299" s="278"/>
      <c r="C299" s="277"/>
      <c r="D299" s="278"/>
      <c r="E299" s="279"/>
      <c r="F299" s="406"/>
      <c r="G299" s="407"/>
      <c r="H299" s="407"/>
      <c r="I299" s="407"/>
      <c r="J299" s="407"/>
      <c r="K299" s="407"/>
      <c r="L299" s="407"/>
      <c r="M299" s="407"/>
      <c r="N299" s="407"/>
      <c r="O299" s="407"/>
      <c r="P299" s="407"/>
      <c r="Q299" s="407"/>
      <c r="R299" s="407"/>
      <c r="S299" s="408"/>
      <c r="T299" s="408"/>
      <c r="U299" s="408"/>
      <c r="V299" s="409"/>
      <c r="W299" s="410"/>
      <c r="X299" s="277"/>
      <c r="Y299" s="277"/>
      <c r="Z299" s="277"/>
    </row>
    <row r="300" ht="12.75" customHeight="1">
      <c r="A300" s="277"/>
      <c r="B300" s="278"/>
      <c r="C300" s="277"/>
      <c r="D300" s="278"/>
      <c r="E300" s="279"/>
      <c r="F300" s="406"/>
      <c r="G300" s="407"/>
      <c r="H300" s="407"/>
      <c r="I300" s="407"/>
      <c r="J300" s="407"/>
      <c r="K300" s="407"/>
      <c r="L300" s="407"/>
      <c r="M300" s="407"/>
      <c r="N300" s="407"/>
      <c r="O300" s="407"/>
      <c r="P300" s="407"/>
      <c r="Q300" s="407"/>
      <c r="R300" s="407"/>
      <c r="S300" s="408"/>
      <c r="T300" s="408"/>
      <c r="U300" s="408"/>
      <c r="V300" s="409"/>
      <c r="W300" s="410"/>
      <c r="X300" s="277"/>
      <c r="Y300" s="277"/>
      <c r="Z300" s="277"/>
    </row>
    <row r="301" ht="12.75" customHeight="1">
      <c r="A301" s="277"/>
      <c r="B301" s="278"/>
      <c r="C301" s="277"/>
      <c r="D301" s="278"/>
      <c r="E301" s="279"/>
      <c r="F301" s="406"/>
      <c r="G301" s="407"/>
      <c r="H301" s="407"/>
      <c r="I301" s="407"/>
      <c r="J301" s="407"/>
      <c r="K301" s="407"/>
      <c r="L301" s="407"/>
      <c r="M301" s="407"/>
      <c r="N301" s="407"/>
      <c r="O301" s="407"/>
      <c r="P301" s="407"/>
      <c r="Q301" s="407"/>
      <c r="R301" s="407"/>
      <c r="S301" s="408"/>
      <c r="T301" s="408"/>
      <c r="U301" s="408"/>
      <c r="V301" s="409"/>
      <c r="W301" s="410"/>
      <c r="X301" s="277"/>
      <c r="Y301" s="277"/>
      <c r="Z301" s="277"/>
    </row>
    <row r="302" ht="12.75" customHeight="1">
      <c r="A302" s="277"/>
      <c r="B302" s="278"/>
      <c r="C302" s="277"/>
      <c r="D302" s="278"/>
      <c r="E302" s="279"/>
      <c r="F302" s="406"/>
      <c r="G302" s="407"/>
      <c r="H302" s="407"/>
      <c r="I302" s="407"/>
      <c r="J302" s="407"/>
      <c r="K302" s="407"/>
      <c r="L302" s="407"/>
      <c r="M302" s="407"/>
      <c r="N302" s="407"/>
      <c r="O302" s="407"/>
      <c r="P302" s="407"/>
      <c r="Q302" s="407"/>
      <c r="R302" s="407"/>
      <c r="S302" s="408"/>
      <c r="T302" s="408"/>
      <c r="U302" s="408"/>
      <c r="V302" s="409"/>
      <c r="W302" s="410"/>
      <c r="X302" s="277"/>
      <c r="Y302" s="277"/>
      <c r="Z302" s="277"/>
    </row>
    <row r="303" ht="12.75" customHeight="1">
      <c r="A303" s="277"/>
      <c r="B303" s="278"/>
      <c r="C303" s="277"/>
      <c r="D303" s="278"/>
      <c r="E303" s="279"/>
      <c r="F303" s="406"/>
      <c r="G303" s="407"/>
      <c r="H303" s="407"/>
      <c r="I303" s="407"/>
      <c r="J303" s="407"/>
      <c r="K303" s="407"/>
      <c r="L303" s="407"/>
      <c r="M303" s="407"/>
      <c r="N303" s="407"/>
      <c r="O303" s="407"/>
      <c r="P303" s="407"/>
      <c r="Q303" s="407"/>
      <c r="R303" s="407"/>
      <c r="S303" s="408"/>
      <c r="T303" s="408"/>
      <c r="U303" s="408"/>
      <c r="V303" s="409"/>
      <c r="W303" s="410"/>
      <c r="X303" s="277"/>
      <c r="Y303" s="277"/>
      <c r="Z303" s="277"/>
    </row>
    <row r="304" ht="12.75" customHeight="1">
      <c r="A304" s="277"/>
      <c r="B304" s="278"/>
      <c r="C304" s="277"/>
      <c r="D304" s="278"/>
      <c r="E304" s="279"/>
      <c r="F304" s="406"/>
      <c r="G304" s="407"/>
      <c r="H304" s="407"/>
      <c r="I304" s="407"/>
      <c r="J304" s="407"/>
      <c r="K304" s="407"/>
      <c r="L304" s="407"/>
      <c r="M304" s="407"/>
      <c r="N304" s="407"/>
      <c r="O304" s="407"/>
      <c r="P304" s="407"/>
      <c r="Q304" s="407"/>
      <c r="R304" s="407"/>
      <c r="S304" s="408"/>
      <c r="T304" s="408"/>
      <c r="U304" s="408"/>
      <c r="V304" s="409"/>
      <c r="W304" s="410"/>
      <c r="X304" s="277"/>
      <c r="Y304" s="277"/>
      <c r="Z304" s="277"/>
    </row>
    <row r="305" ht="12.75" customHeight="1">
      <c r="A305" s="277"/>
      <c r="B305" s="278"/>
      <c r="C305" s="277"/>
      <c r="D305" s="278"/>
      <c r="E305" s="279"/>
      <c r="F305" s="406"/>
      <c r="G305" s="407"/>
      <c r="H305" s="407"/>
      <c r="I305" s="407"/>
      <c r="J305" s="407"/>
      <c r="K305" s="407"/>
      <c r="L305" s="407"/>
      <c r="M305" s="407"/>
      <c r="N305" s="407"/>
      <c r="O305" s="407"/>
      <c r="P305" s="407"/>
      <c r="Q305" s="407"/>
      <c r="R305" s="407"/>
      <c r="S305" s="408"/>
      <c r="T305" s="408"/>
      <c r="U305" s="408"/>
      <c r="V305" s="409"/>
      <c r="W305" s="410"/>
      <c r="X305" s="277"/>
      <c r="Y305" s="277"/>
      <c r="Z305" s="277"/>
    </row>
    <row r="306" ht="12.75" customHeight="1">
      <c r="A306" s="277"/>
      <c r="B306" s="278"/>
      <c r="C306" s="277"/>
      <c r="D306" s="278"/>
      <c r="E306" s="279"/>
      <c r="F306" s="406"/>
      <c r="G306" s="407"/>
      <c r="H306" s="407"/>
      <c r="I306" s="407"/>
      <c r="J306" s="407"/>
      <c r="K306" s="407"/>
      <c r="L306" s="407"/>
      <c r="M306" s="407"/>
      <c r="N306" s="407"/>
      <c r="O306" s="407"/>
      <c r="P306" s="407"/>
      <c r="Q306" s="407"/>
      <c r="R306" s="407"/>
      <c r="S306" s="408"/>
      <c r="T306" s="408"/>
      <c r="U306" s="408"/>
      <c r="V306" s="409"/>
      <c r="W306" s="410"/>
      <c r="X306" s="277"/>
      <c r="Y306" s="277"/>
      <c r="Z306" s="277"/>
    </row>
    <row r="307" ht="12.75" customHeight="1">
      <c r="A307" s="277"/>
      <c r="B307" s="278"/>
      <c r="C307" s="277"/>
      <c r="D307" s="278"/>
      <c r="E307" s="279"/>
      <c r="F307" s="406"/>
      <c r="G307" s="407"/>
      <c r="H307" s="407"/>
      <c r="I307" s="407"/>
      <c r="J307" s="407"/>
      <c r="K307" s="407"/>
      <c r="L307" s="407"/>
      <c r="M307" s="407"/>
      <c r="N307" s="407"/>
      <c r="O307" s="407"/>
      <c r="P307" s="407"/>
      <c r="Q307" s="407"/>
      <c r="R307" s="407"/>
      <c r="S307" s="408"/>
      <c r="T307" s="408"/>
      <c r="U307" s="408"/>
      <c r="V307" s="409"/>
      <c r="W307" s="410"/>
      <c r="X307" s="277"/>
      <c r="Y307" s="277"/>
      <c r="Z307" s="277"/>
    </row>
    <row r="308" ht="12.75" customHeight="1">
      <c r="A308" s="277"/>
      <c r="B308" s="278"/>
      <c r="C308" s="277"/>
      <c r="D308" s="278"/>
      <c r="E308" s="279"/>
      <c r="F308" s="406"/>
      <c r="G308" s="407"/>
      <c r="H308" s="407"/>
      <c r="I308" s="407"/>
      <c r="J308" s="407"/>
      <c r="K308" s="407"/>
      <c r="L308" s="407"/>
      <c r="M308" s="407"/>
      <c r="N308" s="407"/>
      <c r="O308" s="407"/>
      <c r="P308" s="407"/>
      <c r="Q308" s="407"/>
      <c r="R308" s="407"/>
      <c r="S308" s="408"/>
      <c r="T308" s="408"/>
      <c r="U308" s="408"/>
      <c r="V308" s="409"/>
      <c r="W308" s="410"/>
      <c r="X308" s="277"/>
      <c r="Y308" s="277"/>
      <c r="Z308" s="277"/>
    </row>
    <row r="309" ht="12.75" customHeight="1">
      <c r="A309" s="277"/>
      <c r="B309" s="278"/>
      <c r="C309" s="277"/>
      <c r="D309" s="278"/>
      <c r="E309" s="279"/>
      <c r="F309" s="406"/>
      <c r="G309" s="407"/>
      <c r="H309" s="407"/>
      <c r="I309" s="407"/>
      <c r="J309" s="407"/>
      <c r="K309" s="407"/>
      <c r="L309" s="407"/>
      <c r="M309" s="407"/>
      <c r="N309" s="407"/>
      <c r="O309" s="407"/>
      <c r="P309" s="407"/>
      <c r="Q309" s="407"/>
      <c r="R309" s="407"/>
      <c r="S309" s="408"/>
      <c r="T309" s="408"/>
      <c r="U309" s="408"/>
      <c r="V309" s="409"/>
      <c r="W309" s="410"/>
      <c r="X309" s="277"/>
      <c r="Y309" s="277"/>
      <c r="Z309" s="277"/>
    </row>
    <row r="310" ht="12.75" customHeight="1">
      <c r="A310" s="277"/>
      <c r="B310" s="278"/>
      <c r="C310" s="277"/>
      <c r="D310" s="278"/>
      <c r="E310" s="279"/>
      <c r="F310" s="406"/>
      <c r="G310" s="407"/>
      <c r="H310" s="407"/>
      <c r="I310" s="407"/>
      <c r="J310" s="407"/>
      <c r="K310" s="407"/>
      <c r="L310" s="407"/>
      <c r="M310" s="407"/>
      <c r="N310" s="407"/>
      <c r="O310" s="407"/>
      <c r="P310" s="407"/>
      <c r="Q310" s="407"/>
      <c r="R310" s="407"/>
      <c r="S310" s="408"/>
      <c r="T310" s="408"/>
      <c r="U310" s="408"/>
      <c r="V310" s="409"/>
      <c r="W310" s="410"/>
      <c r="X310" s="277"/>
      <c r="Y310" s="277"/>
      <c r="Z310" s="277"/>
    </row>
    <row r="311" ht="12.75" customHeight="1">
      <c r="A311" s="277"/>
      <c r="B311" s="278"/>
      <c r="C311" s="277"/>
      <c r="D311" s="278"/>
      <c r="E311" s="279"/>
      <c r="F311" s="406"/>
      <c r="G311" s="407"/>
      <c r="H311" s="407"/>
      <c r="I311" s="407"/>
      <c r="J311" s="407"/>
      <c r="K311" s="407"/>
      <c r="L311" s="407"/>
      <c r="M311" s="407"/>
      <c r="N311" s="407"/>
      <c r="O311" s="407"/>
      <c r="P311" s="407"/>
      <c r="Q311" s="407"/>
      <c r="R311" s="407"/>
      <c r="S311" s="408"/>
      <c r="T311" s="408"/>
      <c r="U311" s="408"/>
      <c r="V311" s="409"/>
      <c r="W311" s="410"/>
      <c r="X311" s="277"/>
      <c r="Y311" s="277"/>
      <c r="Z311" s="277"/>
    </row>
    <row r="312" ht="12.75" customHeight="1">
      <c r="A312" s="277"/>
      <c r="B312" s="278"/>
      <c r="C312" s="277"/>
      <c r="D312" s="278"/>
      <c r="E312" s="279"/>
      <c r="F312" s="406"/>
      <c r="G312" s="407"/>
      <c r="H312" s="407"/>
      <c r="I312" s="407"/>
      <c r="J312" s="407"/>
      <c r="K312" s="407"/>
      <c r="L312" s="407"/>
      <c r="M312" s="407"/>
      <c r="N312" s="407"/>
      <c r="O312" s="407"/>
      <c r="P312" s="407"/>
      <c r="Q312" s="407"/>
      <c r="R312" s="407"/>
      <c r="S312" s="408"/>
      <c r="T312" s="408"/>
      <c r="U312" s="408"/>
      <c r="V312" s="409"/>
      <c r="W312" s="410"/>
      <c r="X312" s="277"/>
      <c r="Y312" s="277"/>
      <c r="Z312" s="277"/>
    </row>
    <row r="313" ht="12.75" customHeight="1">
      <c r="A313" s="277"/>
      <c r="B313" s="278"/>
      <c r="C313" s="277"/>
      <c r="D313" s="278"/>
      <c r="E313" s="279"/>
      <c r="F313" s="406"/>
      <c r="G313" s="407"/>
      <c r="H313" s="407"/>
      <c r="I313" s="407"/>
      <c r="J313" s="407"/>
      <c r="K313" s="407"/>
      <c r="L313" s="407"/>
      <c r="M313" s="407"/>
      <c r="N313" s="407"/>
      <c r="O313" s="407"/>
      <c r="P313" s="407"/>
      <c r="Q313" s="407"/>
      <c r="R313" s="407"/>
      <c r="S313" s="408"/>
      <c r="T313" s="408"/>
      <c r="U313" s="408"/>
      <c r="V313" s="409"/>
      <c r="W313" s="410"/>
      <c r="X313" s="277"/>
      <c r="Y313" s="277"/>
      <c r="Z313" s="277"/>
    </row>
    <row r="314" ht="12.75" customHeight="1">
      <c r="A314" s="277"/>
      <c r="B314" s="278"/>
      <c r="C314" s="277"/>
      <c r="D314" s="278"/>
      <c r="E314" s="279"/>
      <c r="F314" s="406"/>
      <c r="G314" s="407"/>
      <c r="H314" s="407"/>
      <c r="I314" s="407"/>
      <c r="J314" s="407"/>
      <c r="K314" s="407"/>
      <c r="L314" s="407"/>
      <c r="M314" s="407"/>
      <c r="N314" s="407"/>
      <c r="O314" s="407"/>
      <c r="P314" s="407"/>
      <c r="Q314" s="407"/>
      <c r="R314" s="407"/>
      <c r="S314" s="408"/>
      <c r="T314" s="408"/>
      <c r="U314" s="408"/>
      <c r="V314" s="409"/>
      <c r="W314" s="410"/>
      <c r="X314" s="277"/>
      <c r="Y314" s="277"/>
      <c r="Z314" s="277"/>
    </row>
    <row r="315" ht="12.75" customHeight="1">
      <c r="A315" s="277"/>
      <c r="B315" s="278"/>
      <c r="C315" s="277"/>
      <c r="D315" s="278"/>
      <c r="E315" s="279"/>
      <c r="F315" s="406"/>
      <c r="G315" s="407"/>
      <c r="H315" s="407"/>
      <c r="I315" s="407"/>
      <c r="J315" s="407"/>
      <c r="K315" s="407"/>
      <c r="L315" s="407"/>
      <c r="M315" s="407"/>
      <c r="N315" s="407"/>
      <c r="O315" s="407"/>
      <c r="P315" s="407"/>
      <c r="Q315" s="407"/>
      <c r="R315" s="407"/>
      <c r="S315" s="408"/>
      <c r="T315" s="408"/>
      <c r="U315" s="408"/>
      <c r="V315" s="409"/>
      <c r="W315" s="410"/>
      <c r="X315" s="277"/>
      <c r="Y315" s="277"/>
      <c r="Z315" s="277"/>
    </row>
    <row r="316" ht="12.75" customHeight="1">
      <c r="A316" s="277"/>
      <c r="B316" s="278"/>
      <c r="C316" s="277"/>
      <c r="D316" s="278"/>
      <c r="E316" s="279"/>
      <c r="F316" s="406"/>
      <c r="G316" s="407"/>
      <c r="H316" s="407"/>
      <c r="I316" s="407"/>
      <c r="J316" s="407"/>
      <c r="K316" s="407"/>
      <c r="L316" s="407"/>
      <c r="M316" s="407"/>
      <c r="N316" s="407"/>
      <c r="O316" s="407"/>
      <c r="P316" s="407"/>
      <c r="Q316" s="407"/>
      <c r="R316" s="407"/>
      <c r="S316" s="408"/>
      <c r="T316" s="408"/>
      <c r="U316" s="408"/>
      <c r="V316" s="409"/>
      <c r="W316" s="410"/>
      <c r="X316" s="277"/>
      <c r="Y316" s="277"/>
      <c r="Z316" s="277"/>
    </row>
    <row r="317" ht="12.75" customHeight="1">
      <c r="A317" s="277"/>
      <c r="B317" s="278"/>
      <c r="C317" s="277"/>
      <c r="D317" s="278"/>
      <c r="E317" s="279"/>
      <c r="F317" s="406"/>
      <c r="G317" s="407"/>
      <c r="H317" s="407"/>
      <c r="I317" s="407"/>
      <c r="J317" s="407"/>
      <c r="K317" s="407"/>
      <c r="L317" s="407"/>
      <c r="M317" s="407"/>
      <c r="N317" s="407"/>
      <c r="O317" s="407"/>
      <c r="P317" s="407"/>
      <c r="Q317" s="407"/>
      <c r="R317" s="407"/>
      <c r="S317" s="408"/>
      <c r="T317" s="408"/>
      <c r="U317" s="408"/>
      <c r="V317" s="409"/>
      <c r="W317" s="410"/>
      <c r="X317" s="277"/>
      <c r="Y317" s="277"/>
      <c r="Z317" s="277"/>
    </row>
    <row r="318" ht="12.75" customHeight="1">
      <c r="A318" s="277"/>
      <c r="B318" s="278"/>
      <c r="C318" s="277"/>
      <c r="D318" s="278"/>
      <c r="E318" s="279"/>
      <c r="F318" s="406"/>
      <c r="G318" s="407"/>
      <c r="H318" s="407"/>
      <c r="I318" s="407"/>
      <c r="J318" s="407"/>
      <c r="K318" s="407"/>
      <c r="L318" s="407"/>
      <c r="M318" s="407"/>
      <c r="N318" s="407"/>
      <c r="O318" s="407"/>
      <c r="P318" s="407"/>
      <c r="Q318" s="407"/>
      <c r="R318" s="407"/>
      <c r="S318" s="408"/>
      <c r="T318" s="408"/>
      <c r="U318" s="408"/>
      <c r="V318" s="409"/>
      <c r="W318" s="410"/>
      <c r="X318" s="277"/>
      <c r="Y318" s="277"/>
      <c r="Z318" s="277"/>
    </row>
    <row r="319" ht="12.75" customHeight="1">
      <c r="A319" s="277"/>
      <c r="B319" s="278"/>
      <c r="C319" s="277"/>
      <c r="D319" s="278"/>
      <c r="E319" s="279"/>
      <c r="F319" s="406"/>
      <c r="G319" s="407"/>
      <c r="H319" s="407"/>
      <c r="I319" s="407"/>
      <c r="J319" s="407"/>
      <c r="K319" s="407"/>
      <c r="L319" s="407"/>
      <c r="M319" s="407"/>
      <c r="N319" s="407"/>
      <c r="O319" s="407"/>
      <c r="P319" s="407"/>
      <c r="Q319" s="407"/>
      <c r="R319" s="407"/>
      <c r="S319" s="408"/>
      <c r="T319" s="408"/>
      <c r="U319" s="408"/>
      <c r="V319" s="409"/>
      <c r="W319" s="410"/>
      <c r="X319" s="277"/>
      <c r="Y319" s="277"/>
      <c r="Z319" s="277"/>
    </row>
    <row r="320" ht="12.75" customHeight="1">
      <c r="A320" s="277"/>
      <c r="B320" s="278"/>
      <c r="C320" s="277"/>
      <c r="D320" s="278"/>
      <c r="E320" s="279"/>
      <c r="F320" s="406"/>
      <c r="G320" s="407"/>
      <c r="H320" s="407"/>
      <c r="I320" s="407"/>
      <c r="J320" s="407"/>
      <c r="K320" s="407"/>
      <c r="L320" s="407"/>
      <c r="M320" s="407"/>
      <c r="N320" s="407"/>
      <c r="O320" s="407"/>
      <c r="P320" s="407"/>
      <c r="Q320" s="407"/>
      <c r="R320" s="407"/>
      <c r="S320" s="408"/>
      <c r="T320" s="408"/>
      <c r="U320" s="408"/>
      <c r="V320" s="409"/>
      <c r="W320" s="410"/>
      <c r="X320" s="277"/>
      <c r="Y320" s="277"/>
      <c r="Z320" s="277"/>
    </row>
    <row r="321" ht="12.75" customHeight="1">
      <c r="A321" s="277"/>
      <c r="B321" s="278"/>
      <c r="C321" s="277"/>
      <c r="D321" s="278"/>
      <c r="E321" s="279"/>
      <c r="F321" s="406"/>
      <c r="G321" s="407"/>
      <c r="H321" s="407"/>
      <c r="I321" s="407"/>
      <c r="J321" s="407"/>
      <c r="K321" s="407"/>
      <c r="L321" s="407"/>
      <c r="M321" s="407"/>
      <c r="N321" s="407"/>
      <c r="O321" s="407"/>
      <c r="P321" s="407"/>
      <c r="Q321" s="407"/>
      <c r="R321" s="407"/>
      <c r="S321" s="408"/>
      <c r="T321" s="408"/>
      <c r="U321" s="408"/>
      <c r="V321" s="409"/>
      <c r="W321" s="410"/>
      <c r="X321" s="277"/>
      <c r="Y321" s="277"/>
      <c r="Z321" s="277"/>
    </row>
    <row r="322" ht="12.75" customHeight="1">
      <c r="A322" s="277"/>
      <c r="B322" s="278"/>
      <c r="C322" s="277"/>
      <c r="D322" s="278"/>
      <c r="E322" s="279"/>
      <c r="F322" s="406"/>
      <c r="G322" s="407"/>
      <c r="H322" s="407"/>
      <c r="I322" s="407"/>
      <c r="J322" s="407"/>
      <c r="K322" s="407"/>
      <c r="L322" s="407"/>
      <c r="M322" s="407"/>
      <c r="N322" s="407"/>
      <c r="O322" s="407"/>
      <c r="P322" s="407"/>
      <c r="Q322" s="407"/>
      <c r="R322" s="407"/>
      <c r="S322" s="408"/>
      <c r="T322" s="408"/>
      <c r="U322" s="408"/>
      <c r="V322" s="409"/>
      <c r="W322" s="410"/>
      <c r="X322" s="277"/>
      <c r="Y322" s="277"/>
      <c r="Z322" s="277"/>
    </row>
    <row r="323" ht="12.75" customHeight="1">
      <c r="A323" s="277"/>
      <c r="B323" s="278"/>
      <c r="C323" s="277"/>
      <c r="D323" s="278"/>
      <c r="E323" s="279"/>
      <c r="F323" s="406"/>
      <c r="G323" s="407"/>
      <c r="H323" s="407"/>
      <c r="I323" s="407"/>
      <c r="J323" s="407"/>
      <c r="K323" s="407"/>
      <c r="L323" s="407"/>
      <c r="M323" s="407"/>
      <c r="N323" s="407"/>
      <c r="O323" s="407"/>
      <c r="P323" s="407"/>
      <c r="Q323" s="407"/>
      <c r="R323" s="407"/>
      <c r="S323" s="408"/>
      <c r="T323" s="408"/>
      <c r="U323" s="408"/>
      <c r="V323" s="409"/>
      <c r="W323" s="410"/>
      <c r="X323" s="277"/>
      <c r="Y323" s="277"/>
      <c r="Z323" s="277"/>
    </row>
    <row r="324" ht="12.75" customHeight="1">
      <c r="A324" s="277"/>
      <c r="B324" s="278"/>
      <c r="C324" s="277"/>
      <c r="D324" s="278"/>
      <c r="E324" s="279"/>
      <c r="F324" s="406"/>
      <c r="G324" s="407"/>
      <c r="H324" s="407"/>
      <c r="I324" s="407"/>
      <c r="J324" s="407"/>
      <c r="K324" s="407"/>
      <c r="L324" s="407"/>
      <c r="M324" s="407"/>
      <c r="N324" s="407"/>
      <c r="O324" s="407"/>
      <c r="P324" s="407"/>
      <c r="Q324" s="407"/>
      <c r="R324" s="407"/>
      <c r="S324" s="408"/>
      <c r="T324" s="408"/>
      <c r="U324" s="408"/>
      <c r="V324" s="409"/>
      <c r="W324" s="410"/>
      <c r="X324" s="277"/>
      <c r="Y324" s="277"/>
      <c r="Z324" s="277"/>
    </row>
    <row r="325" ht="12.75" customHeight="1">
      <c r="A325" s="277"/>
      <c r="B325" s="278"/>
      <c r="C325" s="277"/>
      <c r="D325" s="278"/>
      <c r="E325" s="279"/>
      <c r="F325" s="406"/>
      <c r="G325" s="407"/>
      <c r="H325" s="407"/>
      <c r="I325" s="407"/>
      <c r="J325" s="407"/>
      <c r="K325" s="407"/>
      <c r="L325" s="407"/>
      <c r="M325" s="407"/>
      <c r="N325" s="407"/>
      <c r="O325" s="407"/>
      <c r="P325" s="407"/>
      <c r="Q325" s="407"/>
      <c r="R325" s="407"/>
      <c r="S325" s="408"/>
      <c r="T325" s="408"/>
      <c r="U325" s="408"/>
      <c r="V325" s="409"/>
      <c r="W325" s="410"/>
      <c r="X325" s="277"/>
      <c r="Y325" s="277"/>
      <c r="Z325" s="277"/>
    </row>
    <row r="326" ht="12.75" customHeight="1">
      <c r="A326" s="277"/>
      <c r="B326" s="278"/>
      <c r="C326" s="277"/>
      <c r="D326" s="278"/>
      <c r="E326" s="279"/>
      <c r="F326" s="406"/>
      <c r="G326" s="407"/>
      <c r="H326" s="407"/>
      <c r="I326" s="407"/>
      <c r="J326" s="407"/>
      <c r="K326" s="407"/>
      <c r="L326" s="407"/>
      <c r="M326" s="407"/>
      <c r="N326" s="407"/>
      <c r="O326" s="407"/>
      <c r="P326" s="407"/>
      <c r="Q326" s="407"/>
      <c r="R326" s="407"/>
      <c r="S326" s="408"/>
      <c r="T326" s="408"/>
      <c r="U326" s="408"/>
      <c r="V326" s="409"/>
      <c r="W326" s="410"/>
      <c r="X326" s="277"/>
      <c r="Y326" s="277"/>
      <c r="Z326" s="277"/>
    </row>
    <row r="327" ht="12.75" customHeight="1">
      <c r="A327" s="277"/>
      <c r="B327" s="278"/>
      <c r="C327" s="277"/>
      <c r="D327" s="278"/>
      <c r="E327" s="279"/>
      <c r="F327" s="406"/>
      <c r="G327" s="407"/>
      <c r="H327" s="407"/>
      <c r="I327" s="407"/>
      <c r="J327" s="407"/>
      <c r="K327" s="407"/>
      <c r="L327" s="407"/>
      <c r="M327" s="407"/>
      <c r="N327" s="407"/>
      <c r="O327" s="407"/>
      <c r="P327" s="407"/>
      <c r="Q327" s="407"/>
      <c r="R327" s="407"/>
      <c r="S327" s="408"/>
      <c r="T327" s="408"/>
      <c r="U327" s="408"/>
      <c r="V327" s="409"/>
      <c r="W327" s="410"/>
      <c r="X327" s="277"/>
      <c r="Y327" s="277"/>
      <c r="Z327" s="277"/>
    </row>
    <row r="328" ht="12.75" customHeight="1">
      <c r="A328" s="277"/>
      <c r="B328" s="278"/>
      <c r="C328" s="277"/>
      <c r="D328" s="278"/>
      <c r="E328" s="279"/>
      <c r="F328" s="406"/>
      <c r="G328" s="407"/>
      <c r="H328" s="407"/>
      <c r="I328" s="407"/>
      <c r="J328" s="407"/>
      <c r="K328" s="407"/>
      <c r="L328" s="407"/>
      <c r="M328" s="407"/>
      <c r="N328" s="407"/>
      <c r="O328" s="407"/>
      <c r="P328" s="407"/>
      <c r="Q328" s="407"/>
      <c r="R328" s="407"/>
      <c r="S328" s="408"/>
      <c r="T328" s="408"/>
      <c r="U328" s="408"/>
      <c r="V328" s="409"/>
      <c r="W328" s="410"/>
      <c r="X328" s="277"/>
      <c r="Y328" s="277"/>
      <c r="Z328" s="277"/>
    </row>
    <row r="329" ht="12.75" customHeight="1">
      <c r="A329" s="277"/>
      <c r="B329" s="278"/>
      <c r="C329" s="277"/>
      <c r="D329" s="278"/>
      <c r="E329" s="279"/>
      <c r="F329" s="406"/>
      <c r="G329" s="407"/>
      <c r="H329" s="407"/>
      <c r="I329" s="407"/>
      <c r="J329" s="407"/>
      <c r="K329" s="407"/>
      <c r="L329" s="407"/>
      <c r="M329" s="407"/>
      <c r="N329" s="407"/>
      <c r="O329" s="407"/>
      <c r="P329" s="407"/>
      <c r="Q329" s="407"/>
      <c r="R329" s="407"/>
      <c r="S329" s="408"/>
      <c r="T329" s="408"/>
      <c r="U329" s="408"/>
      <c r="V329" s="409"/>
      <c r="W329" s="410"/>
      <c r="X329" s="277"/>
      <c r="Y329" s="277"/>
      <c r="Z329" s="277"/>
    </row>
    <row r="330" ht="12.75" customHeight="1">
      <c r="A330" s="277"/>
      <c r="B330" s="278"/>
      <c r="C330" s="277"/>
      <c r="D330" s="278"/>
      <c r="E330" s="279"/>
      <c r="F330" s="406"/>
      <c r="G330" s="407"/>
      <c r="H330" s="407"/>
      <c r="I330" s="407"/>
      <c r="J330" s="407"/>
      <c r="K330" s="407"/>
      <c r="L330" s="407"/>
      <c r="M330" s="407"/>
      <c r="N330" s="407"/>
      <c r="O330" s="407"/>
      <c r="P330" s="407"/>
      <c r="Q330" s="407"/>
      <c r="R330" s="407"/>
      <c r="S330" s="408"/>
      <c r="T330" s="408"/>
      <c r="U330" s="408"/>
      <c r="V330" s="409"/>
      <c r="W330" s="410"/>
      <c r="X330" s="277"/>
      <c r="Y330" s="277"/>
      <c r="Z330" s="277"/>
    </row>
    <row r="331" ht="12.75" customHeight="1">
      <c r="A331" s="277"/>
      <c r="B331" s="278"/>
      <c r="C331" s="277"/>
      <c r="D331" s="278"/>
      <c r="E331" s="279"/>
      <c r="F331" s="406"/>
      <c r="G331" s="407"/>
      <c r="H331" s="407"/>
      <c r="I331" s="407"/>
      <c r="J331" s="407"/>
      <c r="K331" s="407"/>
      <c r="L331" s="407"/>
      <c r="M331" s="407"/>
      <c r="N331" s="407"/>
      <c r="O331" s="407"/>
      <c r="P331" s="407"/>
      <c r="Q331" s="407"/>
      <c r="R331" s="407"/>
      <c r="S331" s="408"/>
      <c r="T331" s="408"/>
      <c r="U331" s="408"/>
      <c r="V331" s="409"/>
      <c r="W331" s="410"/>
      <c r="X331" s="277"/>
      <c r="Y331" s="277"/>
      <c r="Z331" s="277"/>
    </row>
    <row r="332" ht="12.75" customHeight="1">
      <c r="A332" s="277"/>
      <c r="B332" s="278"/>
      <c r="C332" s="277"/>
      <c r="D332" s="278"/>
      <c r="E332" s="279"/>
      <c r="F332" s="406"/>
      <c r="G332" s="407"/>
      <c r="H332" s="407"/>
      <c r="I332" s="407"/>
      <c r="J332" s="407"/>
      <c r="K332" s="407"/>
      <c r="L332" s="407"/>
      <c r="M332" s="407"/>
      <c r="N332" s="407"/>
      <c r="O332" s="407"/>
      <c r="P332" s="407"/>
      <c r="Q332" s="407"/>
      <c r="R332" s="407"/>
      <c r="S332" s="408"/>
      <c r="T332" s="408"/>
      <c r="U332" s="408"/>
      <c r="V332" s="409"/>
      <c r="W332" s="410"/>
      <c r="X332" s="277"/>
      <c r="Y332" s="277"/>
      <c r="Z332" s="277"/>
    </row>
    <row r="333" ht="12.75" customHeight="1">
      <c r="A333" s="277"/>
      <c r="B333" s="278"/>
      <c r="C333" s="277"/>
      <c r="D333" s="278"/>
      <c r="E333" s="279"/>
      <c r="F333" s="406"/>
      <c r="G333" s="407"/>
      <c r="H333" s="407"/>
      <c r="I333" s="407"/>
      <c r="J333" s="407"/>
      <c r="K333" s="407"/>
      <c r="L333" s="407"/>
      <c r="M333" s="407"/>
      <c r="N333" s="407"/>
      <c r="O333" s="407"/>
      <c r="P333" s="407"/>
      <c r="Q333" s="407"/>
      <c r="R333" s="407"/>
      <c r="S333" s="408"/>
      <c r="T333" s="408"/>
      <c r="U333" s="408"/>
      <c r="V333" s="409"/>
      <c r="W333" s="410"/>
      <c r="X333" s="277"/>
      <c r="Y333" s="277"/>
      <c r="Z333" s="277"/>
    </row>
    <row r="334" ht="12.75" customHeight="1">
      <c r="A334" s="277"/>
      <c r="B334" s="278"/>
      <c r="C334" s="277"/>
      <c r="D334" s="278"/>
      <c r="E334" s="279"/>
      <c r="F334" s="406"/>
      <c r="G334" s="407"/>
      <c r="H334" s="407"/>
      <c r="I334" s="407"/>
      <c r="J334" s="407"/>
      <c r="K334" s="407"/>
      <c r="L334" s="407"/>
      <c r="M334" s="407"/>
      <c r="N334" s="407"/>
      <c r="O334" s="407"/>
      <c r="P334" s="407"/>
      <c r="Q334" s="407"/>
      <c r="R334" s="407"/>
      <c r="S334" s="408"/>
      <c r="T334" s="408"/>
      <c r="U334" s="408"/>
      <c r="V334" s="409"/>
      <c r="W334" s="410"/>
      <c r="X334" s="277"/>
      <c r="Y334" s="277"/>
      <c r="Z334" s="277"/>
    </row>
    <row r="335" ht="12.75" customHeight="1">
      <c r="A335" s="277"/>
      <c r="B335" s="278"/>
      <c r="C335" s="277"/>
      <c r="D335" s="278"/>
      <c r="E335" s="279"/>
      <c r="F335" s="406"/>
      <c r="G335" s="407"/>
      <c r="H335" s="407"/>
      <c r="I335" s="407"/>
      <c r="J335" s="407"/>
      <c r="K335" s="407"/>
      <c r="L335" s="407"/>
      <c r="M335" s="407"/>
      <c r="N335" s="407"/>
      <c r="O335" s="407"/>
      <c r="P335" s="407"/>
      <c r="Q335" s="407"/>
      <c r="R335" s="407"/>
      <c r="S335" s="408"/>
      <c r="T335" s="408"/>
      <c r="U335" s="408"/>
      <c r="V335" s="409"/>
      <c r="W335" s="410"/>
      <c r="X335" s="277"/>
      <c r="Y335" s="277"/>
      <c r="Z335" s="277"/>
    </row>
    <row r="336" ht="12.75" customHeight="1">
      <c r="A336" s="277"/>
      <c r="B336" s="278"/>
      <c r="C336" s="277"/>
      <c r="D336" s="278"/>
      <c r="E336" s="279"/>
      <c r="F336" s="406"/>
      <c r="G336" s="407"/>
      <c r="H336" s="407"/>
      <c r="I336" s="407"/>
      <c r="J336" s="407"/>
      <c r="K336" s="407"/>
      <c r="L336" s="407"/>
      <c r="M336" s="407"/>
      <c r="N336" s="407"/>
      <c r="O336" s="407"/>
      <c r="P336" s="407"/>
      <c r="Q336" s="407"/>
      <c r="R336" s="407"/>
      <c r="S336" s="408"/>
      <c r="T336" s="408"/>
      <c r="U336" s="408"/>
      <c r="V336" s="409"/>
      <c r="W336" s="410"/>
      <c r="X336" s="277"/>
      <c r="Y336" s="277"/>
      <c r="Z336" s="277"/>
    </row>
    <row r="337" ht="12.75" customHeight="1">
      <c r="A337" s="277"/>
      <c r="B337" s="278"/>
      <c r="C337" s="277"/>
      <c r="D337" s="278"/>
      <c r="E337" s="279"/>
      <c r="F337" s="406"/>
      <c r="G337" s="407"/>
      <c r="H337" s="407"/>
      <c r="I337" s="407"/>
      <c r="J337" s="407"/>
      <c r="K337" s="407"/>
      <c r="L337" s="407"/>
      <c r="M337" s="407"/>
      <c r="N337" s="407"/>
      <c r="O337" s="407"/>
      <c r="P337" s="407"/>
      <c r="Q337" s="407"/>
      <c r="R337" s="407"/>
      <c r="S337" s="408"/>
      <c r="T337" s="408"/>
      <c r="U337" s="408"/>
      <c r="V337" s="409"/>
      <c r="W337" s="410"/>
      <c r="X337" s="277"/>
      <c r="Y337" s="277"/>
      <c r="Z337" s="277"/>
    </row>
    <row r="338" ht="12.75" customHeight="1">
      <c r="A338" s="277"/>
      <c r="B338" s="278"/>
      <c r="C338" s="277"/>
      <c r="D338" s="278"/>
      <c r="E338" s="279"/>
      <c r="F338" s="406"/>
      <c r="G338" s="407"/>
      <c r="H338" s="407"/>
      <c r="I338" s="407"/>
      <c r="J338" s="407"/>
      <c r="K338" s="407"/>
      <c r="L338" s="407"/>
      <c r="M338" s="407"/>
      <c r="N338" s="407"/>
      <c r="O338" s="407"/>
      <c r="P338" s="407"/>
      <c r="Q338" s="407"/>
      <c r="R338" s="407"/>
      <c r="S338" s="408"/>
      <c r="T338" s="408"/>
      <c r="U338" s="408"/>
      <c r="V338" s="409"/>
      <c r="W338" s="410"/>
      <c r="X338" s="277"/>
      <c r="Y338" s="277"/>
      <c r="Z338" s="277"/>
    </row>
    <row r="339" ht="12.75" customHeight="1">
      <c r="A339" s="277"/>
      <c r="B339" s="278"/>
      <c r="C339" s="277"/>
      <c r="D339" s="278"/>
      <c r="E339" s="279"/>
      <c r="F339" s="406"/>
      <c r="G339" s="407"/>
      <c r="H339" s="407"/>
      <c r="I339" s="407"/>
      <c r="J339" s="407"/>
      <c r="K339" s="407"/>
      <c r="L339" s="407"/>
      <c r="M339" s="407"/>
      <c r="N339" s="407"/>
      <c r="O339" s="407"/>
      <c r="P339" s="407"/>
      <c r="Q339" s="407"/>
      <c r="R339" s="407"/>
      <c r="S339" s="408"/>
      <c r="T339" s="408"/>
      <c r="U339" s="408"/>
      <c r="V339" s="409"/>
      <c r="W339" s="410"/>
      <c r="X339" s="277"/>
      <c r="Y339" s="277"/>
      <c r="Z339" s="277"/>
    </row>
    <row r="340" ht="12.75" customHeight="1">
      <c r="A340" s="277"/>
      <c r="B340" s="278"/>
      <c r="C340" s="277"/>
      <c r="D340" s="278"/>
      <c r="E340" s="279"/>
      <c r="F340" s="406"/>
      <c r="G340" s="407"/>
      <c r="H340" s="407"/>
      <c r="I340" s="407"/>
      <c r="J340" s="407"/>
      <c r="K340" s="407"/>
      <c r="L340" s="407"/>
      <c r="M340" s="407"/>
      <c r="N340" s="407"/>
      <c r="O340" s="407"/>
      <c r="P340" s="407"/>
      <c r="Q340" s="407"/>
      <c r="R340" s="407"/>
      <c r="S340" s="408"/>
      <c r="T340" s="408"/>
      <c r="U340" s="408"/>
      <c r="V340" s="409"/>
      <c r="W340" s="410"/>
      <c r="X340" s="277"/>
      <c r="Y340" s="277"/>
      <c r="Z340" s="277"/>
    </row>
    <row r="341" ht="12.75" customHeight="1">
      <c r="A341" s="277"/>
      <c r="B341" s="278"/>
      <c r="C341" s="277"/>
      <c r="D341" s="278"/>
      <c r="E341" s="279"/>
      <c r="F341" s="406"/>
      <c r="G341" s="407"/>
      <c r="H341" s="407"/>
      <c r="I341" s="407"/>
      <c r="J341" s="407"/>
      <c r="K341" s="407"/>
      <c r="L341" s="407"/>
      <c r="M341" s="407"/>
      <c r="N341" s="407"/>
      <c r="O341" s="407"/>
      <c r="P341" s="407"/>
      <c r="Q341" s="407"/>
      <c r="R341" s="407"/>
      <c r="S341" s="408"/>
      <c r="T341" s="408"/>
      <c r="U341" s="408"/>
      <c r="V341" s="409"/>
      <c r="W341" s="410"/>
      <c r="X341" s="277"/>
      <c r="Y341" s="277"/>
      <c r="Z341" s="277"/>
    </row>
    <row r="342" ht="12.75" customHeight="1">
      <c r="A342" s="277"/>
      <c r="B342" s="278"/>
      <c r="C342" s="277"/>
      <c r="D342" s="278"/>
      <c r="E342" s="279"/>
      <c r="F342" s="406"/>
      <c r="G342" s="407"/>
      <c r="H342" s="407"/>
      <c r="I342" s="407"/>
      <c r="J342" s="407"/>
      <c r="K342" s="407"/>
      <c r="L342" s="407"/>
      <c r="M342" s="407"/>
      <c r="N342" s="407"/>
      <c r="O342" s="407"/>
      <c r="P342" s="407"/>
      <c r="Q342" s="407"/>
      <c r="R342" s="407"/>
      <c r="S342" s="408"/>
      <c r="T342" s="408"/>
      <c r="U342" s="408"/>
      <c r="V342" s="409"/>
      <c r="W342" s="410"/>
      <c r="X342" s="277"/>
      <c r="Y342" s="277"/>
      <c r="Z342" s="277"/>
    </row>
    <row r="343" ht="12.75" customHeight="1">
      <c r="A343" s="277"/>
      <c r="B343" s="278"/>
      <c r="C343" s="277"/>
      <c r="D343" s="278"/>
      <c r="E343" s="279"/>
      <c r="F343" s="406"/>
      <c r="G343" s="407"/>
      <c r="H343" s="407"/>
      <c r="I343" s="407"/>
      <c r="J343" s="407"/>
      <c r="K343" s="407"/>
      <c r="L343" s="407"/>
      <c r="M343" s="407"/>
      <c r="N343" s="407"/>
      <c r="O343" s="407"/>
      <c r="P343" s="407"/>
      <c r="Q343" s="407"/>
      <c r="R343" s="407"/>
      <c r="S343" s="408"/>
      <c r="T343" s="408"/>
      <c r="U343" s="408"/>
      <c r="V343" s="409"/>
      <c r="W343" s="410"/>
      <c r="X343" s="277"/>
      <c r="Y343" s="277"/>
      <c r="Z343" s="277"/>
    </row>
    <row r="344" ht="12.75" customHeight="1">
      <c r="A344" s="277"/>
      <c r="B344" s="278"/>
      <c r="C344" s="277"/>
      <c r="D344" s="278"/>
      <c r="E344" s="279"/>
      <c r="F344" s="406"/>
      <c r="G344" s="407"/>
      <c r="H344" s="407"/>
      <c r="I344" s="407"/>
      <c r="J344" s="407"/>
      <c r="K344" s="407"/>
      <c r="L344" s="407"/>
      <c r="M344" s="407"/>
      <c r="N344" s="407"/>
      <c r="O344" s="407"/>
      <c r="P344" s="407"/>
      <c r="Q344" s="407"/>
      <c r="R344" s="407"/>
      <c r="S344" s="408"/>
      <c r="T344" s="408"/>
      <c r="U344" s="408"/>
      <c r="V344" s="409"/>
      <c r="W344" s="410"/>
      <c r="X344" s="277"/>
      <c r="Y344" s="277"/>
      <c r="Z344" s="277"/>
    </row>
    <row r="345" ht="12.75" customHeight="1">
      <c r="A345" s="277"/>
      <c r="B345" s="278"/>
      <c r="C345" s="277"/>
      <c r="D345" s="278"/>
      <c r="E345" s="279"/>
      <c r="F345" s="406"/>
      <c r="G345" s="407"/>
      <c r="H345" s="407"/>
      <c r="I345" s="407"/>
      <c r="J345" s="407"/>
      <c r="K345" s="407"/>
      <c r="L345" s="407"/>
      <c r="M345" s="407"/>
      <c r="N345" s="407"/>
      <c r="O345" s="407"/>
      <c r="P345" s="407"/>
      <c r="Q345" s="407"/>
      <c r="R345" s="407"/>
      <c r="S345" s="408"/>
      <c r="T345" s="408"/>
      <c r="U345" s="408"/>
      <c r="V345" s="409"/>
      <c r="W345" s="410"/>
      <c r="X345" s="277"/>
      <c r="Y345" s="277"/>
      <c r="Z345" s="277"/>
    </row>
    <row r="346" ht="12.75" customHeight="1">
      <c r="A346" s="277"/>
      <c r="B346" s="278"/>
      <c r="C346" s="277"/>
      <c r="D346" s="278"/>
      <c r="E346" s="279"/>
      <c r="F346" s="406"/>
      <c r="G346" s="407"/>
      <c r="H346" s="407"/>
      <c r="I346" s="407"/>
      <c r="J346" s="407"/>
      <c r="K346" s="407"/>
      <c r="L346" s="407"/>
      <c r="M346" s="407"/>
      <c r="N346" s="407"/>
      <c r="O346" s="407"/>
      <c r="P346" s="407"/>
      <c r="Q346" s="407"/>
      <c r="R346" s="407"/>
      <c r="S346" s="408"/>
      <c r="T346" s="408"/>
      <c r="U346" s="408"/>
      <c r="V346" s="409"/>
      <c r="W346" s="410"/>
      <c r="X346" s="277"/>
      <c r="Y346" s="277"/>
      <c r="Z346" s="277"/>
    </row>
    <row r="347" ht="12.75" customHeight="1">
      <c r="A347" s="277"/>
      <c r="B347" s="278"/>
      <c r="C347" s="277"/>
      <c r="D347" s="278"/>
      <c r="E347" s="279"/>
      <c r="F347" s="406"/>
      <c r="G347" s="407"/>
      <c r="H347" s="407"/>
      <c r="I347" s="407"/>
      <c r="J347" s="407"/>
      <c r="K347" s="407"/>
      <c r="L347" s="407"/>
      <c r="M347" s="407"/>
      <c r="N347" s="407"/>
      <c r="O347" s="407"/>
      <c r="P347" s="407"/>
      <c r="Q347" s="407"/>
      <c r="R347" s="407"/>
      <c r="S347" s="408"/>
      <c r="T347" s="408"/>
      <c r="U347" s="408"/>
      <c r="V347" s="409"/>
      <c r="W347" s="410"/>
      <c r="X347" s="277"/>
      <c r="Y347" s="277"/>
      <c r="Z347" s="277"/>
    </row>
    <row r="348" ht="12.75" customHeight="1">
      <c r="A348" s="277"/>
      <c r="B348" s="278"/>
      <c r="C348" s="277"/>
      <c r="D348" s="278"/>
      <c r="E348" s="279"/>
      <c r="F348" s="406"/>
      <c r="G348" s="407"/>
      <c r="H348" s="407"/>
      <c r="I348" s="407"/>
      <c r="J348" s="407"/>
      <c r="K348" s="407"/>
      <c r="L348" s="407"/>
      <c r="M348" s="407"/>
      <c r="N348" s="407"/>
      <c r="O348" s="407"/>
      <c r="P348" s="407"/>
      <c r="Q348" s="407"/>
      <c r="R348" s="407"/>
      <c r="S348" s="408"/>
      <c r="T348" s="408"/>
      <c r="U348" s="408"/>
      <c r="V348" s="409"/>
      <c r="W348" s="410"/>
      <c r="X348" s="277"/>
      <c r="Y348" s="277"/>
      <c r="Z348" s="277"/>
    </row>
    <row r="349" ht="12.75" customHeight="1">
      <c r="A349" s="277"/>
      <c r="B349" s="278"/>
      <c r="C349" s="277"/>
      <c r="D349" s="278"/>
      <c r="E349" s="279"/>
      <c r="F349" s="406"/>
      <c r="G349" s="407"/>
      <c r="H349" s="407"/>
      <c r="I349" s="407"/>
      <c r="J349" s="407"/>
      <c r="K349" s="407"/>
      <c r="L349" s="407"/>
      <c r="M349" s="407"/>
      <c r="N349" s="407"/>
      <c r="O349" s="407"/>
      <c r="P349" s="407"/>
      <c r="Q349" s="407"/>
      <c r="R349" s="407"/>
      <c r="S349" s="408"/>
      <c r="T349" s="408"/>
      <c r="U349" s="408"/>
      <c r="V349" s="409"/>
      <c r="W349" s="410"/>
      <c r="X349" s="277"/>
      <c r="Y349" s="277"/>
      <c r="Z349" s="277"/>
    </row>
    <row r="350" ht="12.75" customHeight="1">
      <c r="A350" s="277"/>
      <c r="B350" s="278"/>
      <c r="C350" s="277"/>
      <c r="D350" s="278"/>
      <c r="E350" s="279"/>
      <c r="F350" s="406"/>
      <c r="G350" s="407"/>
      <c r="H350" s="407"/>
      <c r="I350" s="407"/>
      <c r="J350" s="407"/>
      <c r="K350" s="407"/>
      <c r="L350" s="407"/>
      <c r="M350" s="407"/>
      <c r="N350" s="407"/>
      <c r="O350" s="407"/>
      <c r="P350" s="407"/>
      <c r="Q350" s="407"/>
      <c r="R350" s="407"/>
      <c r="S350" s="408"/>
      <c r="T350" s="408"/>
      <c r="U350" s="408"/>
      <c r="V350" s="409"/>
      <c r="W350" s="410"/>
      <c r="X350" s="277"/>
      <c r="Y350" s="277"/>
      <c r="Z350" s="277"/>
    </row>
    <row r="351" ht="12.75" customHeight="1">
      <c r="A351" s="277"/>
      <c r="B351" s="278"/>
      <c r="C351" s="277"/>
      <c r="D351" s="278"/>
      <c r="E351" s="279"/>
      <c r="F351" s="406"/>
      <c r="G351" s="407"/>
      <c r="H351" s="407"/>
      <c r="I351" s="407"/>
      <c r="J351" s="407"/>
      <c r="K351" s="407"/>
      <c r="L351" s="407"/>
      <c r="M351" s="407"/>
      <c r="N351" s="407"/>
      <c r="O351" s="407"/>
      <c r="P351" s="407"/>
      <c r="Q351" s="407"/>
      <c r="R351" s="407"/>
      <c r="S351" s="408"/>
      <c r="T351" s="408"/>
      <c r="U351" s="408"/>
      <c r="V351" s="409"/>
      <c r="W351" s="410"/>
      <c r="X351" s="277"/>
      <c r="Y351" s="277"/>
      <c r="Z351" s="277"/>
    </row>
    <row r="352" ht="12.75" customHeight="1">
      <c r="A352" s="277"/>
      <c r="B352" s="278"/>
      <c r="C352" s="277"/>
      <c r="D352" s="278"/>
      <c r="E352" s="279"/>
      <c r="F352" s="406"/>
      <c r="G352" s="407"/>
      <c r="H352" s="407"/>
      <c r="I352" s="407"/>
      <c r="J352" s="407"/>
      <c r="K352" s="407"/>
      <c r="L352" s="407"/>
      <c r="M352" s="407"/>
      <c r="N352" s="407"/>
      <c r="O352" s="407"/>
      <c r="P352" s="407"/>
      <c r="Q352" s="407"/>
      <c r="R352" s="407"/>
      <c r="S352" s="408"/>
      <c r="T352" s="408"/>
      <c r="U352" s="408"/>
      <c r="V352" s="409"/>
      <c r="W352" s="410"/>
      <c r="X352" s="277"/>
      <c r="Y352" s="277"/>
      <c r="Z352" s="277"/>
    </row>
    <row r="353" ht="12.75" customHeight="1">
      <c r="A353" s="277"/>
      <c r="B353" s="278"/>
      <c r="C353" s="277"/>
      <c r="D353" s="278"/>
      <c r="E353" s="279"/>
      <c r="F353" s="406"/>
      <c r="G353" s="407"/>
      <c r="H353" s="407"/>
      <c r="I353" s="407"/>
      <c r="J353" s="407"/>
      <c r="K353" s="407"/>
      <c r="L353" s="407"/>
      <c r="M353" s="407"/>
      <c r="N353" s="407"/>
      <c r="O353" s="407"/>
      <c r="P353" s="407"/>
      <c r="Q353" s="407"/>
      <c r="R353" s="407"/>
      <c r="S353" s="408"/>
      <c r="T353" s="408"/>
      <c r="U353" s="408"/>
      <c r="V353" s="409"/>
      <c r="W353" s="410"/>
      <c r="X353" s="277"/>
      <c r="Y353" s="277"/>
      <c r="Z353" s="277"/>
    </row>
    <row r="354" ht="12.75" customHeight="1">
      <c r="A354" s="277"/>
      <c r="B354" s="278"/>
      <c r="C354" s="277"/>
      <c r="D354" s="278"/>
      <c r="E354" s="279"/>
      <c r="F354" s="406"/>
      <c r="G354" s="407"/>
      <c r="H354" s="407"/>
      <c r="I354" s="407"/>
      <c r="J354" s="407"/>
      <c r="K354" s="407"/>
      <c r="L354" s="407"/>
      <c r="M354" s="407"/>
      <c r="N354" s="407"/>
      <c r="O354" s="407"/>
      <c r="P354" s="407"/>
      <c r="Q354" s="407"/>
      <c r="R354" s="407"/>
      <c r="S354" s="408"/>
      <c r="T354" s="408"/>
      <c r="U354" s="408"/>
      <c r="V354" s="409"/>
      <c r="W354" s="410"/>
      <c r="X354" s="277"/>
      <c r="Y354" s="277"/>
      <c r="Z354" s="277"/>
    </row>
    <row r="355" ht="12.75" customHeight="1">
      <c r="A355" s="277"/>
      <c r="B355" s="278"/>
      <c r="C355" s="277"/>
      <c r="D355" s="278"/>
      <c r="E355" s="279"/>
      <c r="F355" s="406"/>
      <c r="G355" s="407"/>
      <c r="H355" s="407"/>
      <c r="I355" s="407"/>
      <c r="J355" s="407"/>
      <c r="K355" s="407"/>
      <c r="L355" s="407"/>
      <c r="M355" s="407"/>
      <c r="N355" s="407"/>
      <c r="O355" s="407"/>
      <c r="P355" s="407"/>
      <c r="Q355" s="407"/>
      <c r="R355" s="407"/>
      <c r="S355" s="408"/>
      <c r="T355" s="408"/>
      <c r="U355" s="408"/>
      <c r="V355" s="409"/>
      <c r="W355" s="410"/>
      <c r="X355" s="277"/>
      <c r="Y355" s="277"/>
      <c r="Z355" s="277"/>
    </row>
    <row r="356" ht="12.75" customHeight="1">
      <c r="A356" s="277"/>
      <c r="B356" s="278"/>
      <c r="C356" s="277"/>
      <c r="D356" s="278"/>
      <c r="E356" s="279"/>
      <c r="F356" s="406"/>
      <c r="G356" s="407"/>
      <c r="H356" s="407"/>
      <c r="I356" s="407"/>
      <c r="J356" s="407"/>
      <c r="K356" s="407"/>
      <c r="L356" s="407"/>
      <c r="M356" s="407"/>
      <c r="N356" s="407"/>
      <c r="O356" s="407"/>
      <c r="P356" s="407"/>
      <c r="Q356" s="407"/>
      <c r="R356" s="407"/>
      <c r="S356" s="408"/>
      <c r="T356" s="408"/>
      <c r="U356" s="408"/>
      <c r="V356" s="409"/>
      <c r="W356" s="410"/>
      <c r="X356" s="277"/>
      <c r="Y356" s="277"/>
      <c r="Z356" s="277"/>
    </row>
    <row r="357" ht="12.75" customHeight="1">
      <c r="A357" s="277"/>
      <c r="B357" s="278"/>
      <c r="C357" s="277"/>
      <c r="D357" s="278"/>
      <c r="E357" s="279"/>
      <c r="F357" s="406"/>
      <c r="G357" s="407"/>
      <c r="H357" s="407"/>
      <c r="I357" s="407"/>
      <c r="J357" s="407"/>
      <c r="K357" s="407"/>
      <c r="L357" s="407"/>
      <c r="M357" s="407"/>
      <c r="N357" s="407"/>
      <c r="O357" s="407"/>
      <c r="P357" s="407"/>
      <c r="Q357" s="407"/>
      <c r="R357" s="407"/>
      <c r="S357" s="408"/>
      <c r="T357" s="408"/>
      <c r="U357" s="408"/>
      <c r="V357" s="409"/>
      <c r="W357" s="410"/>
      <c r="X357" s="277"/>
      <c r="Y357" s="277"/>
      <c r="Z357" s="277"/>
    </row>
    <row r="358" ht="12.75" customHeight="1">
      <c r="A358" s="277"/>
      <c r="B358" s="278"/>
      <c r="C358" s="277"/>
      <c r="D358" s="278"/>
      <c r="E358" s="279"/>
      <c r="F358" s="406"/>
      <c r="G358" s="407"/>
      <c r="H358" s="407"/>
      <c r="I358" s="407"/>
      <c r="J358" s="407"/>
      <c r="K358" s="407"/>
      <c r="L358" s="407"/>
      <c r="M358" s="407"/>
      <c r="N358" s="407"/>
      <c r="O358" s="407"/>
      <c r="P358" s="407"/>
      <c r="Q358" s="407"/>
      <c r="R358" s="407"/>
      <c r="S358" s="408"/>
      <c r="T358" s="408"/>
      <c r="U358" s="408"/>
      <c r="V358" s="409"/>
      <c r="W358" s="410"/>
      <c r="X358" s="277"/>
      <c r="Y358" s="277"/>
      <c r="Z358" s="277"/>
    </row>
    <row r="359" ht="12.75" customHeight="1">
      <c r="A359" s="277"/>
      <c r="B359" s="278"/>
      <c r="C359" s="277"/>
      <c r="D359" s="278"/>
      <c r="E359" s="279"/>
      <c r="F359" s="406"/>
      <c r="G359" s="407"/>
      <c r="H359" s="407"/>
      <c r="I359" s="407"/>
      <c r="J359" s="407"/>
      <c r="K359" s="407"/>
      <c r="L359" s="407"/>
      <c r="M359" s="407"/>
      <c r="N359" s="407"/>
      <c r="O359" s="407"/>
      <c r="P359" s="407"/>
      <c r="Q359" s="407"/>
      <c r="R359" s="407"/>
      <c r="S359" s="408"/>
      <c r="T359" s="408"/>
      <c r="U359" s="408"/>
      <c r="V359" s="409"/>
      <c r="W359" s="410"/>
      <c r="X359" s="277"/>
      <c r="Y359" s="277"/>
      <c r="Z359" s="277"/>
    </row>
    <row r="360" ht="12.75" customHeight="1">
      <c r="A360" s="277"/>
      <c r="B360" s="278"/>
      <c r="C360" s="277"/>
      <c r="D360" s="278"/>
      <c r="E360" s="279"/>
      <c r="F360" s="406"/>
      <c r="G360" s="407"/>
      <c r="H360" s="407"/>
      <c r="I360" s="407"/>
      <c r="J360" s="407"/>
      <c r="K360" s="407"/>
      <c r="L360" s="407"/>
      <c r="M360" s="407"/>
      <c r="N360" s="407"/>
      <c r="O360" s="407"/>
      <c r="P360" s="407"/>
      <c r="Q360" s="407"/>
      <c r="R360" s="407"/>
      <c r="S360" s="408"/>
      <c r="T360" s="408"/>
      <c r="U360" s="408"/>
      <c r="V360" s="409"/>
      <c r="W360" s="410"/>
      <c r="X360" s="277"/>
      <c r="Y360" s="277"/>
      <c r="Z360" s="277"/>
    </row>
    <row r="361" ht="12.75" customHeight="1">
      <c r="A361" s="277"/>
      <c r="B361" s="278"/>
      <c r="C361" s="277"/>
      <c r="D361" s="278"/>
      <c r="E361" s="279"/>
      <c r="F361" s="406"/>
      <c r="G361" s="407"/>
      <c r="H361" s="407"/>
      <c r="I361" s="407"/>
      <c r="J361" s="407"/>
      <c r="K361" s="407"/>
      <c r="L361" s="407"/>
      <c r="M361" s="407"/>
      <c r="N361" s="407"/>
      <c r="O361" s="407"/>
      <c r="P361" s="407"/>
      <c r="Q361" s="407"/>
      <c r="R361" s="407"/>
      <c r="S361" s="408"/>
      <c r="T361" s="408"/>
      <c r="U361" s="408"/>
      <c r="V361" s="409"/>
      <c r="W361" s="410"/>
      <c r="X361" s="277"/>
      <c r="Y361" s="277"/>
      <c r="Z361" s="277"/>
    </row>
    <row r="362" ht="12.75" customHeight="1">
      <c r="A362" s="277"/>
      <c r="B362" s="278"/>
      <c r="C362" s="277"/>
      <c r="D362" s="278"/>
      <c r="E362" s="279"/>
      <c r="F362" s="406"/>
      <c r="G362" s="407"/>
      <c r="H362" s="407"/>
      <c r="I362" s="407"/>
      <c r="J362" s="407"/>
      <c r="K362" s="407"/>
      <c r="L362" s="407"/>
      <c r="M362" s="407"/>
      <c r="N362" s="407"/>
      <c r="O362" s="407"/>
      <c r="P362" s="407"/>
      <c r="Q362" s="407"/>
      <c r="R362" s="407"/>
      <c r="S362" s="408"/>
      <c r="T362" s="408"/>
      <c r="U362" s="408"/>
      <c r="V362" s="409"/>
      <c r="W362" s="410"/>
      <c r="X362" s="277"/>
      <c r="Y362" s="277"/>
      <c r="Z362" s="277"/>
    </row>
    <row r="363" ht="12.75" customHeight="1">
      <c r="A363" s="277"/>
      <c r="B363" s="278"/>
      <c r="C363" s="277"/>
      <c r="D363" s="278"/>
      <c r="E363" s="279"/>
      <c r="F363" s="406"/>
      <c r="G363" s="407"/>
      <c r="H363" s="407"/>
      <c r="I363" s="407"/>
      <c r="J363" s="407"/>
      <c r="K363" s="407"/>
      <c r="L363" s="407"/>
      <c r="M363" s="407"/>
      <c r="N363" s="407"/>
      <c r="O363" s="407"/>
      <c r="P363" s="407"/>
      <c r="Q363" s="407"/>
      <c r="R363" s="407"/>
      <c r="S363" s="408"/>
      <c r="T363" s="408"/>
      <c r="U363" s="408"/>
      <c r="V363" s="409"/>
      <c r="W363" s="410"/>
      <c r="X363" s="277"/>
      <c r="Y363" s="277"/>
      <c r="Z363" s="277"/>
    </row>
    <row r="364" ht="12.75" customHeight="1">
      <c r="A364" s="277"/>
      <c r="B364" s="278"/>
      <c r="C364" s="277"/>
      <c r="D364" s="278"/>
      <c r="E364" s="279"/>
      <c r="F364" s="406"/>
      <c r="G364" s="407"/>
      <c r="H364" s="407"/>
      <c r="I364" s="407"/>
      <c r="J364" s="407"/>
      <c r="K364" s="407"/>
      <c r="L364" s="407"/>
      <c r="M364" s="407"/>
      <c r="N364" s="407"/>
      <c r="O364" s="407"/>
      <c r="P364" s="407"/>
      <c r="Q364" s="407"/>
      <c r="R364" s="407"/>
      <c r="S364" s="408"/>
      <c r="T364" s="408"/>
      <c r="U364" s="408"/>
      <c r="V364" s="409"/>
      <c r="W364" s="410"/>
      <c r="X364" s="277"/>
      <c r="Y364" s="277"/>
      <c r="Z364" s="277"/>
    </row>
    <row r="365" ht="12.75" customHeight="1">
      <c r="A365" s="277"/>
      <c r="B365" s="278"/>
      <c r="C365" s="277"/>
      <c r="D365" s="278"/>
      <c r="E365" s="279"/>
      <c r="F365" s="406"/>
      <c r="G365" s="407"/>
      <c r="H365" s="407"/>
      <c r="I365" s="407"/>
      <c r="J365" s="407"/>
      <c r="K365" s="407"/>
      <c r="L365" s="407"/>
      <c r="M365" s="407"/>
      <c r="N365" s="407"/>
      <c r="O365" s="407"/>
      <c r="P365" s="407"/>
      <c r="Q365" s="407"/>
      <c r="R365" s="407"/>
      <c r="S365" s="408"/>
      <c r="T365" s="408"/>
      <c r="U365" s="408"/>
      <c r="V365" s="409"/>
      <c r="W365" s="410"/>
      <c r="X365" s="277"/>
      <c r="Y365" s="277"/>
      <c r="Z365" s="277"/>
    </row>
    <row r="366" ht="12.75" customHeight="1">
      <c r="A366" s="277"/>
      <c r="B366" s="278"/>
      <c r="C366" s="277"/>
      <c r="D366" s="278"/>
      <c r="E366" s="279"/>
      <c r="F366" s="406"/>
      <c r="G366" s="407"/>
      <c r="H366" s="407"/>
      <c r="I366" s="407"/>
      <c r="J366" s="407"/>
      <c r="K366" s="407"/>
      <c r="L366" s="407"/>
      <c r="M366" s="407"/>
      <c r="N366" s="407"/>
      <c r="O366" s="407"/>
      <c r="P366" s="407"/>
      <c r="Q366" s="407"/>
      <c r="R366" s="407"/>
      <c r="S366" s="408"/>
      <c r="T366" s="408"/>
      <c r="U366" s="408"/>
      <c r="V366" s="409"/>
      <c r="W366" s="410"/>
      <c r="X366" s="277"/>
      <c r="Y366" s="277"/>
      <c r="Z366" s="277"/>
    </row>
    <row r="367" ht="12.75" customHeight="1">
      <c r="A367" s="277"/>
      <c r="B367" s="278"/>
      <c r="C367" s="277"/>
      <c r="D367" s="278"/>
      <c r="E367" s="279"/>
      <c r="F367" s="406"/>
      <c r="G367" s="407"/>
      <c r="H367" s="407"/>
      <c r="I367" s="407"/>
      <c r="J367" s="407"/>
      <c r="K367" s="407"/>
      <c r="L367" s="407"/>
      <c r="M367" s="407"/>
      <c r="N367" s="407"/>
      <c r="O367" s="407"/>
      <c r="P367" s="407"/>
      <c r="Q367" s="407"/>
      <c r="R367" s="407"/>
      <c r="S367" s="408"/>
      <c r="T367" s="408"/>
      <c r="U367" s="408"/>
      <c r="V367" s="409"/>
      <c r="W367" s="410"/>
      <c r="X367" s="277"/>
      <c r="Y367" s="277"/>
      <c r="Z367" s="277"/>
    </row>
    <row r="368" ht="12.75" customHeight="1">
      <c r="A368" s="277"/>
      <c r="B368" s="278"/>
      <c r="C368" s="277"/>
      <c r="D368" s="278"/>
      <c r="E368" s="279"/>
      <c r="F368" s="406"/>
      <c r="G368" s="407"/>
      <c r="H368" s="407"/>
      <c r="I368" s="407"/>
      <c r="J368" s="407"/>
      <c r="K368" s="407"/>
      <c r="L368" s="407"/>
      <c r="M368" s="407"/>
      <c r="N368" s="407"/>
      <c r="O368" s="407"/>
      <c r="P368" s="407"/>
      <c r="Q368" s="407"/>
      <c r="R368" s="407"/>
      <c r="S368" s="408"/>
      <c r="T368" s="408"/>
      <c r="U368" s="408"/>
      <c r="V368" s="409"/>
      <c r="W368" s="410"/>
      <c r="X368" s="277"/>
      <c r="Y368" s="277"/>
      <c r="Z368" s="277"/>
    </row>
    <row r="369" ht="12.75" customHeight="1">
      <c r="A369" s="277"/>
      <c r="B369" s="278"/>
      <c r="C369" s="277"/>
      <c r="D369" s="278"/>
      <c r="E369" s="279"/>
      <c r="F369" s="406"/>
      <c r="G369" s="407"/>
      <c r="H369" s="407"/>
      <c r="I369" s="407"/>
      <c r="J369" s="407"/>
      <c r="K369" s="407"/>
      <c r="L369" s="407"/>
      <c r="M369" s="407"/>
      <c r="N369" s="407"/>
      <c r="O369" s="407"/>
      <c r="P369" s="407"/>
      <c r="Q369" s="407"/>
      <c r="R369" s="407"/>
      <c r="S369" s="408"/>
      <c r="T369" s="408"/>
      <c r="U369" s="408"/>
      <c r="V369" s="409"/>
      <c r="W369" s="410"/>
      <c r="X369" s="277"/>
      <c r="Y369" s="277"/>
      <c r="Z369" s="277"/>
    </row>
    <row r="370" ht="12.75" customHeight="1">
      <c r="A370" s="277"/>
      <c r="B370" s="278"/>
      <c r="C370" s="277"/>
      <c r="D370" s="278"/>
      <c r="E370" s="279"/>
      <c r="F370" s="406"/>
      <c r="G370" s="407"/>
      <c r="H370" s="407"/>
      <c r="I370" s="407"/>
      <c r="J370" s="407"/>
      <c r="K370" s="407"/>
      <c r="L370" s="407"/>
      <c r="M370" s="407"/>
      <c r="N370" s="407"/>
      <c r="O370" s="407"/>
      <c r="P370" s="407"/>
      <c r="Q370" s="407"/>
      <c r="R370" s="407"/>
      <c r="S370" s="408"/>
      <c r="T370" s="408"/>
      <c r="U370" s="408"/>
      <c r="V370" s="409"/>
      <c r="W370" s="410"/>
      <c r="X370" s="277"/>
      <c r="Y370" s="277"/>
      <c r="Z370" s="277"/>
    </row>
    <row r="371" ht="12.75" customHeight="1">
      <c r="A371" s="277"/>
      <c r="B371" s="278"/>
      <c r="C371" s="277"/>
      <c r="D371" s="278"/>
      <c r="E371" s="279"/>
      <c r="F371" s="406"/>
      <c r="G371" s="407"/>
      <c r="H371" s="407"/>
      <c r="I371" s="407"/>
      <c r="J371" s="407"/>
      <c r="K371" s="407"/>
      <c r="L371" s="407"/>
      <c r="M371" s="407"/>
      <c r="N371" s="407"/>
      <c r="O371" s="407"/>
      <c r="P371" s="407"/>
      <c r="Q371" s="407"/>
      <c r="R371" s="407"/>
      <c r="S371" s="408"/>
      <c r="T371" s="408"/>
      <c r="U371" s="408"/>
      <c r="V371" s="409"/>
      <c r="W371" s="410"/>
      <c r="X371" s="277"/>
      <c r="Y371" s="277"/>
      <c r="Z371" s="277"/>
    </row>
    <row r="372" ht="12.75" customHeight="1">
      <c r="A372" s="277"/>
      <c r="B372" s="278"/>
      <c r="C372" s="277"/>
      <c r="D372" s="278"/>
      <c r="E372" s="279"/>
      <c r="F372" s="406"/>
      <c r="G372" s="407"/>
      <c r="H372" s="407"/>
      <c r="I372" s="407"/>
      <c r="J372" s="407"/>
      <c r="K372" s="407"/>
      <c r="L372" s="407"/>
      <c r="M372" s="407"/>
      <c r="N372" s="407"/>
      <c r="O372" s="407"/>
      <c r="P372" s="407"/>
      <c r="Q372" s="407"/>
      <c r="R372" s="407"/>
      <c r="S372" s="408"/>
      <c r="T372" s="408"/>
      <c r="U372" s="408"/>
      <c r="V372" s="409"/>
      <c r="W372" s="410"/>
      <c r="X372" s="277"/>
      <c r="Y372" s="277"/>
      <c r="Z372" s="277"/>
    </row>
    <row r="373" ht="12.75" customHeight="1">
      <c r="A373" s="277"/>
      <c r="B373" s="278"/>
      <c r="C373" s="277"/>
      <c r="D373" s="278"/>
      <c r="E373" s="279"/>
      <c r="F373" s="406"/>
      <c r="G373" s="407"/>
      <c r="H373" s="407"/>
      <c r="I373" s="407"/>
      <c r="J373" s="407"/>
      <c r="K373" s="407"/>
      <c r="L373" s="407"/>
      <c r="M373" s="407"/>
      <c r="N373" s="407"/>
      <c r="O373" s="407"/>
      <c r="P373" s="407"/>
      <c r="Q373" s="407"/>
      <c r="R373" s="407"/>
      <c r="S373" s="408"/>
      <c r="T373" s="408"/>
      <c r="U373" s="408"/>
      <c r="V373" s="409"/>
      <c r="W373" s="410"/>
      <c r="X373" s="277"/>
      <c r="Y373" s="277"/>
      <c r="Z373" s="277"/>
    </row>
    <row r="374" ht="12.75" customHeight="1">
      <c r="A374" s="277"/>
      <c r="B374" s="278"/>
      <c r="C374" s="277"/>
      <c r="D374" s="278"/>
      <c r="E374" s="279"/>
      <c r="F374" s="406"/>
      <c r="G374" s="407"/>
      <c r="H374" s="407"/>
      <c r="I374" s="407"/>
      <c r="J374" s="407"/>
      <c r="K374" s="407"/>
      <c r="L374" s="407"/>
      <c r="M374" s="407"/>
      <c r="N374" s="407"/>
      <c r="O374" s="407"/>
      <c r="P374" s="407"/>
      <c r="Q374" s="407"/>
      <c r="R374" s="407"/>
      <c r="S374" s="408"/>
      <c r="T374" s="408"/>
      <c r="U374" s="408"/>
      <c r="V374" s="409"/>
      <c r="W374" s="410"/>
      <c r="X374" s="277"/>
      <c r="Y374" s="277"/>
      <c r="Z374" s="277"/>
    </row>
    <row r="375" ht="12.75" customHeight="1">
      <c r="A375" s="277"/>
      <c r="B375" s="278"/>
      <c r="C375" s="277"/>
      <c r="D375" s="278"/>
      <c r="E375" s="279"/>
      <c r="F375" s="406"/>
      <c r="G375" s="407"/>
      <c r="H375" s="407"/>
      <c r="I375" s="407"/>
      <c r="J375" s="407"/>
      <c r="K375" s="407"/>
      <c r="L375" s="407"/>
      <c r="M375" s="407"/>
      <c r="N375" s="407"/>
      <c r="O375" s="407"/>
      <c r="P375" s="407"/>
      <c r="Q375" s="407"/>
      <c r="R375" s="407"/>
      <c r="S375" s="408"/>
      <c r="T375" s="408"/>
      <c r="U375" s="408"/>
      <c r="V375" s="409"/>
      <c r="W375" s="410"/>
      <c r="X375" s="277"/>
      <c r="Y375" s="277"/>
      <c r="Z375" s="277"/>
    </row>
    <row r="376" ht="12.75" customHeight="1">
      <c r="A376" s="277"/>
      <c r="B376" s="278"/>
      <c r="C376" s="277"/>
      <c r="D376" s="278"/>
      <c r="E376" s="279"/>
      <c r="F376" s="406"/>
      <c r="G376" s="407"/>
      <c r="H376" s="407"/>
      <c r="I376" s="407"/>
      <c r="J376" s="407"/>
      <c r="K376" s="407"/>
      <c r="L376" s="407"/>
      <c r="M376" s="407"/>
      <c r="N376" s="407"/>
      <c r="O376" s="407"/>
      <c r="P376" s="407"/>
      <c r="Q376" s="407"/>
      <c r="R376" s="407"/>
      <c r="S376" s="408"/>
      <c r="T376" s="408"/>
      <c r="U376" s="408"/>
      <c r="V376" s="409"/>
      <c r="W376" s="410"/>
      <c r="X376" s="277"/>
      <c r="Y376" s="277"/>
      <c r="Z376" s="277"/>
    </row>
    <row r="377" ht="12.75" customHeight="1">
      <c r="A377" s="277"/>
      <c r="B377" s="278"/>
      <c r="C377" s="277"/>
      <c r="D377" s="278"/>
      <c r="E377" s="279"/>
      <c r="F377" s="406"/>
      <c r="G377" s="407"/>
      <c r="H377" s="407"/>
      <c r="I377" s="407"/>
      <c r="J377" s="407"/>
      <c r="K377" s="407"/>
      <c r="L377" s="407"/>
      <c r="M377" s="407"/>
      <c r="N377" s="407"/>
      <c r="O377" s="407"/>
      <c r="P377" s="407"/>
      <c r="Q377" s="407"/>
      <c r="R377" s="407"/>
      <c r="S377" s="408"/>
      <c r="T377" s="408"/>
      <c r="U377" s="408"/>
      <c r="V377" s="409"/>
      <c r="W377" s="410"/>
      <c r="X377" s="277"/>
      <c r="Y377" s="277"/>
      <c r="Z377" s="277"/>
    </row>
    <row r="378" ht="12.75" customHeight="1">
      <c r="A378" s="277"/>
      <c r="B378" s="278"/>
      <c r="C378" s="277"/>
      <c r="D378" s="278"/>
      <c r="E378" s="279"/>
      <c r="F378" s="406"/>
      <c r="G378" s="407"/>
      <c r="H378" s="407"/>
      <c r="I378" s="407"/>
      <c r="J378" s="407"/>
      <c r="K378" s="407"/>
      <c r="L378" s="407"/>
      <c r="M378" s="407"/>
      <c r="N378" s="407"/>
      <c r="O378" s="407"/>
      <c r="P378" s="407"/>
      <c r="Q378" s="407"/>
      <c r="R378" s="407"/>
      <c r="S378" s="408"/>
      <c r="T378" s="408"/>
      <c r="U378" s="408"/>
      <c r="V378" s="409"/>
      <c r="W378" s="410"/>
      <c r="X378" s="277"/>
      <c r="Y378" s="277"/>
      <c r="Z378" s="277"/>
    </row>
    <row r="379" ht="12.75" customHeight="1">
      <c r="A379" s="277"/>
      <c r="B379" s="278"/>
      <c r="C379" s="277"/>
      <c r="D379" s="278"/>
      <c r="E379" s="279"/>
      <c r="F379" s="406"/>
      <c r="G379" s="407"/>
      <c r="H379" s="407"/>
      <c r="I379" s="407"/>
      <c r="J379" s="407"/>
      <c r="K379" s="407"/>
      <c r="L379" s="407"/>
      <c r="M379" s="407"/>
      <c r="N379" s="407"/>
      <c r="O379" s="407"/>
      <c r="P379" s="407"/>
      <c r="Q379" s="407"/>
      <c r="R379" s="407"/>
      <c r="S379" s="408"/>
      <c r="T379" s="408"/>
      <c r="U379" s="408"/>
      <c r="V379" s="409"/>
      <c r="W379" s="410"/>
      <c r="X379" s="277"/>
      <c r="Y379" s="277"/>
      <c r="Z379" s="277"/>
    </row>
    <row r="380" ht="12.75" customHeight="1">
      <c r="A380" s="277"/>
      <c r="B380" s="278"/>
      <c r="C380" s="277"/>
      <c r="D380" s="278"/>
      <c r="E380" s="279"/>
      <c r="F380" s="406"/>
      <c r="G380" s="407"/>
      <c r="H380" s="407"/>
      <c r="I380" s="407"/>
      <c r="J380" s="407"/>
      <c r="K380" s="407"/>
      <c r="L380" s="407"/>
      <c r="M380" s="407"/>
      <c r="N380" s="407"/>
      <c r="O380" s="407"/>
      <c r="P380" s="407"/>
      <c r="Q380" s="407"/>
      <c r="R380" s="407"/>
      <c r="S380" s="408"/>
      <c r="T380" s="408"/>
      <c r="U380" s="408"/>
      <c r="V380" s="409"/>
      <c r="W380" s="410"/>
      <c r="X380" s="277"/>
      <c r="Y380" s="277"/>
      <c r="Z380" s="277"/>
    </row>
    <row r="381" ht="12.75" customHeight="1">
      <c r="A381" s="277"/>
      <c r="B381" s="278"/>
      <c r="C381" s="277"/>
      <c r="D381" s="278"/>
      <c r="E381" s="279"/>
      <c r="F381" s="406"/>
      <c r="G381" s="407"/>
      <c r="H381" s="407"/>
      <c r="I381" s="407"/>
      <c r="J381" s="407"/>
      <c r="K381" s="407"/>
      <c r="L381" s="407"/>
      <c r="M381" s="407"/>
      <c r="N381" s="407"/>
      <c r="O381" s="407"/>
      <c r="P381" s="407"/>
      <c r="Q381" s="407"/>
      <c r="R381" s="407"/>
      <c r="S381" s="408"/>
      <c r="T381" s="408"/>
      <c r="U381" s="408"/>
      <c r="V381" s="409"/>
      <c r="W381" s="410"/>
      <c r="X381" s="277"/>
      <c r="Y381" s="277"/>
      <c r="Z381" s="277"/>
    </row>
    <row r="382" ht="12.75" customHeight="1">
      <c r="A382" s="277"/>
      <c r="B382" s="278"/>
      <c r="C382" s="277"/>
      <c r="D382" s="278"/>
      <c r="E382" s="279"/>
      <c r="F382" s="406"/>
      <c r="G382" s="407"/>
      <c r="H382" s="407"/>
      <c r="I382" s="407"/>
      <c r="J382" s="407"/>
      <c r="K382" s="407"/>
      <c r="L382" s="407"/>
      <c r="M382" s="407"/>
      <c r="N382" s="407"/>
      <c r="O382" s="407"/>
      <c r="P382" s="407"/>
      <c r="Q382" s="407"/>
      <c r="R382" s="407"/>
      <c r="S382" s="408"/>
      <c r="T382" s="408"/>
      <c r="U382" s="408"/>
      <c r="V382" s="409"/>
      <c r="W382" s="410"/>
      <c r="X382" s="277"/>
      <c r="Y382" s="277"/>
      <c r="Z382" s="277"/>
    </row>
    <row r="383" ht="12.75" customHeight="1">
      <c r="A383" s="277"/>
      <c r="B383" s="278"/>
      <c r="C383" s="277"/>
      <c r="D383" s="278"/>
      <c r="E383" s="279"/>
      <c r="F383" s="406"/>
      <c r="G383" s="407"/>
      <c r="H383" s="407"/>
      <c r="I383" s="407"/>
      <c r="J383" s="407"/>
      <c r="K383" s="407"/>
      <c r="L383" s="407"/>
      <c r="M383" s="407"/>
      <c r="N383" s="407"/>
      <c r="O383" s="407"/>
      <c r="P383" s="407"/>
      <c r="Q383" s="407"/>
      <c r="R383" s="407"/>
      <c r="S383" s="408"/>
      <c r="T383" s="408"/>
      <c r="U383" s="408"/>
      <c r="V383" s="409"/>
      <c r="W383" s="410"/>
      <c r="X383" s="277"/>
      <c r="Y383" s="277"/>
      <c r="Z383" s="277"/>
    </row>
    <row r="384" ht="12.75" customHeight="1">
      <c r="A384" s="277"/>
      <c r="B384" s="278"/>
      <c r="C384" s="277"/>
      <c r="D384" s="278"/>
      <c r="E384" s="279"/>
      <c r="F384" s="406"/>
      <c r="G384" s="407"/>
      <c r="H384" s="407"/>
      <c r="I384" s="407"/>
      <c r="J384" s="407"/>
      <c r="K384" s="407"/>
      <c r="L384" s="407"/>
      <c r="M384" s="407"/>
      <c r="N384" s="407"/>
      <c r="O384" s="407"/>
      <c r="P384" s="407"/>
      <c r="Q384" s="407"/>
      <c r="R384" s="407"/>
      <c r="S384" s="408"/>
      <c r="T384" s="408"/>
      <c r="U384" s="408"/>
      <c r="V384" s="409"/>
      <c r="W384" s="410"/>
      <c r="X384" s="277"/>
      <c r="Y384" s="277"/>
      <c r="Z384" s="277"/>
    </row>
    <row r="385" ht="12.75" customHeight="1">
      <c r="A385" s="277"/>
      <c r="B385" s="278"/>
      <c r="C385" s="277"/>
      <c r="D385" s="278"/>
      <c r="E385" s="279"/>
      <c r="F385" s="406"/>
      <c r="G385" s="407"/>
      <c r="H385" s="407"/>
      <c r="I385" s="407"/>
      <c r="J385" s="407"/>
      <c r="K385" s="407"/>
      <c r="L385" s="407"/>
      <c r="M385" s="407"/>
      <c r="N385" s="407"/>
      <c r="O385" s="407"/>
      <c r="P385" s="407"/>
      <c r="Q385" s="407"/>
      <c r="R385" s="407"/>
      <c r="S385" s="408"/>
      <c r="T385" s="408"/>
      <c r="U385" s="408"/>
      <c r="V385" s="409"/>
      <c r="W385" s="410"/>
      <c r="X385" s="277"/>
      <c r="Y385" s="277"/>
      <c r="Z385" s="277"/>
    </row>
    <row r="386" ht="12.75" customHeight="1">
      <c r="A386" s="277"/>
      <c r="B386" s="278"/>
      <c r="C386" s="277"/>
      <c r="D386" s="278"/>
      <c r="E386" s="279"/>
      <c r="F386" s="406"/>
      <c r="G386" s="407"/>
      <c r="H386" s="407"/>
      <c r="I386" s="407"/>
      <c r="J386" s="407"/>
      <c r="K386" s="407"/>
      <c r="L386" s="407"/>
      <c r="M386" s="407"/>
      <c r="N386" s="407"/>
      <c r="O386" s="407"/>
      <c r="P386" s="407"/>
      <c r="Q386" s="407"/>
      <c r="R386" s="407"/>
      <c r="S386" s="408"/>
      <c r="T386" s="408"/>
      <c r="U386" s="408"/>
      <c r="V386" s="409"/>
      <c r="W386" s="410"/>
      <c r="X386" s="277"/>
      <c r="Y386" s="277"/>
      <c r="Z386" s="277"/>
    </row>
    <row r="387" ht="12.75" customHeight="1">
      <c r="A387" s="277"/>
      <c r="B387" s="278"/>
      <c r="C387" s="277"/>
      <c r="D387" s="278"/>
      <c r="E387" s="279"/>
      <c r="F387" s="406"/>
      <c r="G387" s="407"/>
      <c r="H387" s="407"/>
      <c r="I387" s="407"/>
      <c r="J387" s="407"/>
      <c r="K387" s="407"/>
      <c r="L387" s="407"/>
      <c r="M387" s="407"/>
      <c r="N387" s="407"/>
      <c r="O387" s="407"/>
      <c r="P387" s="407"/>
      <c r="Q387" s="407"/>
      <c r="R387" s="407"/>
      <c r="S387" s="408"/>
      <c r="T387" s="408"/>
      <c r="U387" s="408"/>
      <c r="V387" s="409"/>
      <c r="W387" s="410"/>
      <c r="X387" s="277"/>
      <c r="Y387" s="277"/>
      <c r="Z387" s="277"/>
    </row>
    <row r="388" ht="12.75" customHeight="1">
      <c r="A388" s="277"/>
      <c r="B388" s="278"/>
      <c r="C388" s="277"/>
      <c r="D388" s="278"/>
      <c r="E388" s="279"/>
      <c r="F388" s="406"/>
      <c r="G388" s="407"/>
      <c r="H388" s="407"/>
      <c r="I388" s="407"/>
      <c r="J388" s="407"/>
      <c r="K388" s="407"/>
      <c r="L388" s="407"/>
      <c r="M388" s="407"/>
      <c r="N388" s="407"/>
      <c r="O388" s="407"/>
      <c r="P388" s="407"/>
      <c r="Q388" s="407"/>
      <c r="R388" s="407"/>
      <c r="S388" s="408"/>
      <c r="T388" s="408"/>
      <c r="U388" s="408"/>
      <c r="V388" s="409"/>
      <c r="W388" s="410"/>
      <c r="X388" s="277"/>
      <c r="Y388" s="277"/>
      <c r="Z388" s="277"/>
    </row>
    <row r="389" ht="12.75" customHeight="1">
      <c r="A389" s="277"/>
      <c r="B389" s="278"/>
      <c r="C389" s="277"/>
      <c r="D389" s="278"/>
      <c r="E389" s="279"/>
      <c r="F389" s="406"/>
      <c r="G389" s="407"/>
      <c r="H389" s="407"/>
      <c r="I389" s="407"/>
      <c r="J389" s="407"/>
      <c r="K389" s="407"/>
      <c r="L389" s="407"/>
      <c r="M389" s="407"/>
      <c r="N389" s="407"/>
      <c r="O389" s="407"/>
      <c r="P389" s="407"/>
      <c r="Q389" s="407"/>
      <c r="R389" s="407"/>
      <c r="S389" s="408"/>
      <c r="T389" s="408"/>
      <c r="U389" s="408"/>
      <c r="V389" s="409"/>
      <c r="W389" s="410"/>
      <c r="X389" s="277"/>
      <c r="Y389" s="277"/>
      <c r="Z389" s="277"/>
    </row>
    <row r="390" ht="12.75" customHeight="1">
      <c r="A390" s="277"/>
      <c r="B390" s="278"/>
      <c r="C390" s="277"/>
      <c r="D390" s="278"/>
      <c r="E390" s="279"/>
      <c r="F390" s="406"/>
      <c r="G390" s="407"/>
      <c r="H390" s="407"/>
      <c r="I390" s="407"/>
      <c r="J390" s="407"/>
      <c r="K390" s="407"/>
      <c r="L390" s="407"/>
      <c r="M390" s="407"/>
      <c r="N390" s="407"/>
      <c r="O390" s="407"/>
      <c r="P390" s="407"/>
      <c r="Q390" s="407"/>
      <c r="R390" s="407"/>
      <c r="S390" s="408"/>
      <c r="T390" s="408"/>
      <c r="U390" s="408"/>
      <c r="V390" s="409"/>
      <c r="W390" s="410"/>
      <c r="X390" s="277"/>
      <c r="Y390" s="277"/>
      <c r="Z390" s="277"/>
    </row>
    <row r="391" ht="12.75" customHeight="1">
      <c r="A391" s="277"/>
      <c r="B391" s="278"/>
      <c r="C391" s="277"/>
      <c r="D391" s="278"/>
      <c r="E391" s="279"/>
      <c r="F391" s="406"/>
      <c r="G391" s="407"/>
      <c r="H391" s="407"/>
      <c r="I391" s="407"/>
      <c r="J391" s="407"/>
      <c r="K391" s="407"/>
      <c r="L391" s="407"/>
      <c r="M391" s="407"/>
      <c r="N391" s="407"/>
      <c r="O391" s="407"/>
      <c r="P391" s="407"/>
      <c r="Q391" s="407"/>
      <c r="R391" s="407"/>
      <c r="S391" s="408"/>
      <c r="T391" s="408"/>
      <c r="U391" s="408"/>
      <c r="V391" s="409"/>
      <c r="W391" s="410"/>
      <c r="X391" s="277"/>
      <c r="Y391" s="277"/>
      <c r="Z391" s="277"/>
    </row>
    <row r="392" ht="12.75" customHeight="1">
      <c r="A392" s="277"/>
      <c r="B392" s="278"/>
      <c r="C392" s="277"/>
      <c r="D392" s="278"/>
      <c r="E392" s="279"/>
      <c r="F392" s="406"/>
      <c r="G392" s="407"/>
      <c r="H392" s="407"/>
      <c r="I392" s="407"/>
      <c r="J392" s="407"/>
      <c r="K392" s="407"/>
      <c r="L392" s="407"/>
      <c r="M392" s="407"/>
      <c r="N392" s="407"/>
      <c r="O392" s="407"/>
      <c r="P392" s="407"/>
      <c r="Q392" s="407"/>
      <c r="R392" s="407"/>
      <c r="S392" s="408"/>
      <c r="T392" s="408"/>
      <c r="U392" s="408"/>
      <c r="V392" s="409"/>
      <c r="W392" s="410"/>
      <c r="X392" s="277"/>
      <c r="Y392" s="277"/>
      <c r="Z392" s="277"/>
    </row>
    <row r="393" ht="12.75" customHeight="1">
      <c r="A393" s="277"/>
      <c r="B393" s="278"/>
      <c r="C393" s="277"/>
      <c r="D393" s="278"/>
      <c r="E393" s="279"/>
      <c r="F393" s="406"/>
      <c r="G393" s="407"/>
      <c r="H393" s="407"/>
      <c r="I393" s="407"/>
      <c r="J393" s="407"/>
      <c r="K393" s="407"/>
      <c r="L393" s="407"/>
      <c r="M393" s="407"/>
      <c r="N393" s="407"/>
      <c r="O393" s="407"/>
      <c r="P393" s="407"/>
      <c r="Q393" s="407"/>
      <c r="R393" s="407"/>
      <c r="S393" s="408"/>
      <c r="T393" s="408"/>
      <c r="U393" s="408"/>
      <c r="V393" s="409"/>
      <c r="W393" s="410"/>
      <c r="X393" s="277"/>
      <c r="Y393" s="277"/>
      <c r="Z393" s="277"/>
    </row>
    <row r="394" ht="12.75" customHeight="1">
      <c r="A394" s="277"/>
      <c r="B394" s="278"/>
      <c r="C394" s="277"/>
      <c r="D394" s="278"/>
      <c r="E394" s="279"/>
      <c r="F394" s="406"/>
      <c r="G394" s="407"/>
      <c r="H394" s="407"/>
      <c r="I394" s="407"/>
      <c r="J394" s="407"/>
      <c r="K394" s="407"/>
      <c r="L394" s="407"/>
      <c r="M394" s="407"/>
      <c r="N394" s="407"/>
      <c r="O394" s="407"/>
      <c r="P394" s="407"/>
      <c r="Q394" s="407"/>
      <c r="R394" s="407"/>
      <c r="S394" s="408"/>
      <c r="T394" s="408"/>
      <c r="U394" s="408"/>
      <c r="V394" s="409"/>
      <c r="W394" s="410"/>
      <c r="X394" s="277"/>
      <c r="Y394" s="277"/>
      <c r="Z394" s="277"/>
    </row>
    <row r="395" ht="12.75" customHeight="1">
      <c r="A395" s="277"/>
      <c r="B395" s="278"/>
      <c r="C395" s="277"/>
      <c r="D395" s="278"/>
      <c r="E395" s="279"/>
      <c r="F395" s="406"/>
      <c r="G395" s="407"/>
      <c r="H395" s="407"/>
      <c r="I395" s="407"/>
      <c r="J395" s="407"/>
      <c r="K395" s="407"/>
      <c r="L395" s="407"/>
      <c r="M395" s="407"/>
      <c r="N395" s="407"/>
      <c r="O395" s="407"/>
      <c r="P395" s="407"/>
      <c r="Q395" s="407"/>
      <c r="R395" s="407"/>
      <c r="S395" s="408"/>
      <c r="T395" s="408"/>
      <c r="U395" s="408"/>
      <c r="V395" s="409"/>
      <c r="W395" s="410"/>
      <c r="X395" s="277"/>
      <c r="Y395" s="277"/>
      <c r="Z395" s="277"/>
    </row>
    <row r="396" ht="12.75" customHeight="1">
      <c r="A396" s="277"/>
      <c r="B396" s="278"/>
      <c r="C396" s="277"/>
      <c r="D396" s="278"/>
      <c r="E396" s="279"/>
      <c r="F396" s="406"/>
      <c r="G396" s="407"/>
      <c r="H396" s="407"/>
      <c r="I396" s="407"/>
      <c r="J396" s="407"/>
      <c r="K396" s="407"/>
      <c r="L396" s="407"/>
      <c r="M396" s="407"/>
      <c r="N396" s="407"/>
      <c r="O396" s="407"/>
      <c r="P396" s="407"/>
      <c r="Q396" s="407"/>
      <c r="R396" s="407"/>
      <c r="S396" s="408"/>
      <c r="T396" s="408"/>
      <c r="U396" s="408"/>
      <c r="V396" s="409"/>
      <c r="W396" s="410"/>
      <c r="X396" s="277"/>
      <c r="Y396" s="277"/>
      <c r="Z396" s="277"/>
    </row>
    <row r="397" ht="12.75" customHeight="1">
      <c r="A397" s="277"/>
      <c r="B397" s="278"/>
      <c r="C397" s="277"/>
      <c r="D397" s="278"/>
      <c r="E397" s="279"/>
      <c r="F397" s="406"/>
      <c r="G397" s="407"/>
      <c r="H397" s="407"/>
      <c r="I397" s="407"/>
      <c r="J397" s="407"/>
      <c r="K397" s="407"/>
      <c r="L397" s="407"/>
      <c r="M397" s="407"/>
      <c r="N397" s="407"/>
      <c r="O397" s="407"/>
      <c r="P397" s="407"/>
      <c r="Q397" s="407"/>
      <c r="R397" s="407"/>
      <c r="S397" s="408"/>
      <c r="T397" s="408"/>
      <c r="U397" s="408"/>
      <c r="V397" s="409"/>
      <c r="W397" s="410"/>
      <c r="X397" s="277"/>
      <c r="Y397" s="277"/>
      <c r="Z397" s="277"/>
    </row>
    <row r="398" ht="12.75" customHeight="1">
      <c r="A398" s="277"/>
      <c r="B398" s="278"/>
      <c r="C398" s="277"/>
      <c r="D398" s="278"/>
      <c r="E398" s="279"/>
      <c r="F398" s="406"/>
      <c r="G398" s="407"/>
      <c r="H398" s="407"/>
      <c r="I398" s="407"/>
      <c r="J398" s="407"/>
      <c r="K398" s="407"/>
      <c r="L398" s="407"/>
      <c r="M398" s="407"/>
      <c r="N398" s="407"/>
      <c r="O398" s="407"/>
      <c r="P398" s="407"/>
      <c r="Q398" s="407"/>
      <c r="R398" s="407"/>
      <c r="S398" s="408"/>
      <c r="T398" s="408"/>
      <c r="U398" s="408"/>
      <c r="V398" s="409"/>
      <c r="W398" s="410"/>
      <c r="X398" s="277"/>
      <c r="Y398" s="277"/>
      <c r="Z398" s="277"/>
    </row>
    <row r="399" ht="12.75" customHeight="1">
      <c r="A399" s="277"/>
      <c r="B399" s="278"/>
      <c r="C399" s="277"/>
      <c r="D399" s="278"/>
      <c r="E399" s="279"/>
      <c r="F399" s="406"/>
      <c r="G399" s="407"/>
      <c r="H399" s="407"/>
      <c r="I399" s="407"/>
      <c r="J399" s="407"/>
      <c r="K399" s="407"/>
      <c r="L399" s="407"/>
      <c r="M399" s="407"/>
      <c r="N399" s="407"/>
      <c r="O399" s="407"/>
      <c r="P399" s="407"/>
      <c r="Q399" s="407"/>
      <c r="R399" s="407"/>
      <c r="S399" s="408"/>
      <c r="T399" s="408"/>
      <c r="U399" s="408"/>
      <c r="V399" s="409"/>
      <c r="W399" s="410"/>
      <c r="X399" s="277"/>
      <c r="Y399" s="277"/>
      <c r="Z399" s="277"/>
    </row>
    <row r="400" ht="12.75" customHeight="1">
      <c r="A400" s="277"/>
      <c r="B400" s="278"/>
      <c r="C400" s="277"/>
      <c r="D400" s="278"/>
      <c r="E400" s="279"/>
      <c r="F400" s="406"/>
      <c r="G400" s="407"/>
      <c r="H400" s="407"/>
      <c r="I400" s="407"/>
      <c r="J400" s="407"/>
      <c r="K400" s="407"/>
      <c r="L400" s="407"/>
      <c r="M400" s="407"/>
      <c r="N400" s="407"/>
      <c r="O400" s="407"/>
      <c r="P400" s="407"/>
      <c r="Q400" s="407"/>
      <c r="R400" s="407"/>
      <c r="S400" s="408"/>
      <c r="T400" s="408"/>
      <c r="U400" s="408"/>
      <c r="V400" s="409"/>
      <c r="W400" s="410"/>
      <c r="X400" s="277"/>
      <c r="Y400" s="277"/>
      <c r="Z400" s="277"/>
    </row>
    <row r="401" ht="12.75" customHeight="1">
      <c r="A401" s="277"/>
      <c r="B401" s="278"/>
      <c r="C401" s="277"/>
      <c r="D401" s="278"/>
      <c r="E401" s="279"/>
      <c r="F401" s="406"/>
      <c r="G401" s="407"/>
      <c r="H401" s="407"/>
      <c r="I401" s="407"/>
      <c r="J401" s="407"/>
      <c r="K401" s="407"/>
      <c r="L401" s="407"/>
      <c r="M401" s="407"/>
      <c r="N401" s="407"/>
      <c r="O401" s="407"/>
      <c r="P401" s="407"/>
      <c r="Q401" s="407"/>
      <c r="R401" s="407"/>
      <c r="S401" s="408"/>
      <c r="T401" s="408"/>
      <c r="U401" s="408"/>
      <c r="V401" s="409"/>
      <c r="W401" s="410"/>
      <c r="X401" s="277"/>
      <c r="Y401" s="277"/>
      <c r="Z401" s="277"/>
    </row>
    <row r="402" ht="12.75" customHeight="1">
      <c r="A402" s="277"/>
      <c r="B402" s="278"/>
      <c r="C402" s="277"/>
      <c r="D402" s="278"/>
      <c r="E402" s="279"/>
      <c r="F402" s="406"/>
      <c r="G402" s="407"/>
      <c r="H402" s="407"/>
      <c r="I402" s="407"/>
      <c r="J402" s="407"/>
      <c r="K402" s="407"/>
      <c r="L402" s="407"/>
      <c r="M402" s="407"/>
      <c r="N402" s="407"/>
      <c r="O402" s="407"/>
      <c r="P402" s="407"/>
      <c r="Q402" s="407"/>
      <c r="R402" s="407"/>
      <c r="S402" s="408"/>
      <c r="T402" s="408"/>
      <c r="U402" s="408"/>
      <c r="V402" s="409"/>
      <c r="W402" s="410"/>
      <c r="X402" s="277"/>
      <c r="Y402" s="277"/>
      <c r="Z402" s="277"/>
    </row>
    <row r="403" ht="12.75" customHeight="1">
      <c r="A403" s="277"/>
      <c r="B403" s="278"/>
      <c r="C403" s="277"/>
      <c r="D403" s="278"/>
      <c r="E403" s="279"/>
      <c r="F403" s="406"/>
      <c r="G403" s="407"/>
      <c r="H403" s="407"/>
      <c r="I403" s="407"/>
      <c r="J403" s="407"/>
      <c r="K403" s="407"/>
      <c r="L403" s="407"/>
      <c r="M403" s="407"/>
      <c r="N403" s="407"/>
      <c r="O403" s="407"/>
      <c r="P403" s="407"/>
      <c r="Q403" s="407"/>
      <c r="R403" s="407"/>
      <c r="S403" s="408"/>
      <c r="T403" s="408"/>
      <c r="U403" s="408"/>
      <c r="V403" s="409"/>
      <c r="W403" s="410"/>
      <c r="X403" s="277"/>
      <c r="Y403" s="277"/>
      <c r="Z403" s="277"/>
    </row>
    <row r="404" ht="12.75" customHeight="1">
      <c r="A404" s="277"/>
      <c r="B404" s="278"/>
      <c r="C404" s="277"/>
      <c r="D404" s="278"/>
      <c r="E404" s="279"/>
      <c r="F404" s="406"/>
      <c r="G404" s="407"/>
      <c r="H404" s="407"/>
      <c r="I404" s="407"/>
      <c r="J404" s="407"/>
      <c r="K404" s="407"/>
      <c r="L404" s="407"/>
      <c r="M404" s="407"/>
      <c r="N404" s="407"/>
      <c r="O404" s="407"/>
      <c r="P404" s="407"/>
      <c r="Q404" s="407"/>
      <c r="R404" s="407"/>
      <c r="S404" s="408"/>
      <c r="T404" s="408"/>
      <c r="U404" s="408"/>
      <c r="V404" s="409"/>
      <c r="W404" s="410"/>
      <c r="X404" s="277"/>
      <c r="Y404" s="277"/>
      <c r="Z404" s="277"/>
    </row>
    <row r="405" ht="12.75" customHeight="1">
      <c r="A405" s="277"/>
      <c r="B405" s="278"/>
      <c r="C405" s="277"/>
      <c r="D405" s="278"/>
      <c r="E405" s="279"/>
      <c r="F405" s="406"/>
      <c r="G405" s="407"/>
      <c r="H405" s="407"/>
      <c r="I405" s="407"/>
      <c r="J405" s="407"/>
      <c r="K405" s="407"/>
      <c r="L405" s="407"/>
      <c r="M405" s="407"/>
      <c r="N405" s="407"/>
      <c r="O405" s="407"/>
      <c r="P405" s="407"/>
      <c r="Q405" s="407"/>
      <c r="R405" s="407"/>
      <c r="S405" s="408"/>
      <c r="T405" s="408"/>
      <c r="U405" s="408"/>
      <c r="V405" s="409"/>
      <c r="W405" s="410"/>
      <c r="X405" s="277"/>
      <c r="Y405" s="277"/>
      <c r="Z405" s="277"/>
    </row>
    <row r="406" ht="12.75" customHeight="1">
      <c r="A406" s="277"/>
      <c r="B406" s="278"/>
      <c r="C406" s="277"/>
      <c r="D406" s="278"/>
      <c r="E406" s="279"/>
      <c r="F406" s="406"/>
      <c r="G406" s="407"/>
      <c r="H406" s="407"/>
      <c r="I406" s="407"/>
      <c r="J406" s="407"/>
      <c r="K406" s="407"/>
      <c r="L406" s="407"/>
      <c r="M406" s="407"/>
      <c r="N406" s="407"/>
      <c r="O406" s="407"/>
      <c r="P406" s="407"/>
      <c r="Q406" s="407"/>
      <c r="R406" s="407"/>
      <c r="S406" s="408"/>
      <c r="T406" s="408"/>
      <c r="U406" s="408"/>
      <c r="V406" s="409"/>
      <c r="W406" s="410"/>
      <c r="X406" s="277"/>
      <c r="Y406" s="277"/>
      <c r="Z406" s="277"/>
    </row>
    <row r="407" ht="12.75" customHeight="1">
      <c r="A407" s="277"/>
      <c r="B407" s="278"/>
      <c r="C407" s="277"/>
      <c r="D407" s="278"/>
      <c r="E407" s="279"/>
      <c r="F407" s="406"/>
      <c r="G407" s="407"/>
      <c r="H407" s="407"/>
      <c r="I407" s="407"/>
      <c r="J407" s="407"/>
      <c r="K407" s="407"/>
      <c r="L407" s="407"/>
      <c r="M407" s="407"/>
      <c r="N407" s="407"/>
      <c r="O407" s="407"/>
      <c r="P407" s="407"/>
      <c r="Q407" s="407"/>
      <c r="R407" s="407"/>
      <c r="S407" s="408"/>
      <c r="T407" s="408"/>
      <c r="U407" s="408"/>
      <c r="V407" s="409"/>
      <c r="W407" s="410"/>
      <c r="X407" s="277"/>
      <c r="Y407" s="277"/>
      <c r="Z407" s="277"/>
    </row>
    <row r="408" ht="12.75" customHeight="1">
      <c r="A408" s="277"/>
      <c r="B408" s="278"/>
      <c r="C408" s="277"/>
      <c r="D408" s="278"/>
      <c r="E408" s="279"/>
      <c r="F408" s="406"/>
      <c r="G408" s="407"/>
      <c r="H408" s="407"/>
      <c r="I408" s="407"/>
      <c r="J408" s="407"/>
      <c r="K408" s="407"/>
      <c r="L408" s="407"/>
      <c r="M408" s="407"/>
      <c r="N408" s="407"/>
      <c r="O408" s="407"/>
      <c r="P408" s="407"/>
      <c r="Q408" s="407"/>
      <c r="R408" s="407"/>
      <c r="S408" s="408"/>
      <c r="T408" s="408"/>
      <c r="U408" s="408"/>
      <c r="V408" s="409"/>
      <c r="W408" s="410"/>
      <c r="X408" s="277"/>
      <c r="Y408" s="277"/>
      <c r="Z408" s="277"/>
    </row>
    <row r="409" ht="12.75" customHeight="1">
      <c r="A409" s="277"/>
      <c r="B409" s="278"/>
      <c r="C409" s="277"/>
      <c r="D409" s="278"/>
      <c r="E409" s="279"/>
      <c r="F409" s="406"/>
      <c r="G409" s="407"/>
      <c r="H409" s="407"/>
      <c r="I409" s="407"/>
      <c r="J409" s="407"/>
      <c r="K409" s="407"/>
      <c r="L409" s="407"/>
      <c r="M409" s="407"/>
      <c r="N409" s="407"/>
      <c r="O409" s="407"/>
      <c r="P409" s="407"/>
      <c r="Q409" s="407"/>
      <c r="R409" s="407"/>
      <c r="S409" s="408"/>
      <c r="T409" s="408"/>
      <c r="U409" s="408"/>
      <c r="V409" s="409"/>
      <c r="W409" s="410"/>
      <c r="X409" s="277"/>
      <c r="Y409" s="277"/>
      <c r="Z409" s="277"/>
    </row>
    <row r="410" ht="12.75" customHeight="1">
      <c r="A410" s="277"/>
      <c r="B410" s="278"/>
      <c r="C410" s="277"/>
      <c r="D410" s="278"/>
      <c r="E410" s="279"/>
      <c r="F410" s="406"/>
      <c r="G410" s="407"/>
      <c r="H410" s="407"/>
      <c r="I410" s="407"/>
      <c r="J410" s="407"/>
      <c r="K410" s="407"/>
      <c r="L410" s="407"/>
      <c r="M410" s="407"/>
      <c r="N410" s="407"/>
      <c r="O410" s="407"/>
      <c r="P410" s="407"/>
      <c r="Q410" s="407"/>
      <c r="R410" s="407"/>
      <c r="S410" s="408"/>
      <c r="T410" s="408"/>
      <c r="U410" s="408"/>
      <c r="V410" s="409"/>
      <c r="W410" s="410"/>
      <c r="X410" s="277"/>
      <c r="Y410" s="277"/>
      <c r="Z410" s="277"/>
    </row>
    <row r="411" ht="12.75" customHeight="1">
      <c r="A411" s="277"/>
      <c r="B411" s="278"/>
      <c r="C411" s="277"/>
      <c r="D411" s="278"/>
      <c r="E411" s="279"/>
      <c r="F411" s="406"/>
      <c r="G411" s="407"/>
      <c r="H411" s="407"/>
      <c r="I411" s="407"/>
      <c r="J411" s="407"/>
      <c r="K411" s="407"/>
      <c r="L411" s="407"/>
      <c r="M411" s="407"/>
      <c r="N411" s="407"/>
      <c r="O411" s="407"/>
      <c r="P411" s="407"/>
      <c r="Q411" s="407"/>
      <c r="R411" s="407"/>
      <c r="S411" s="408"/>
      <c r="T411" s="408"/>
      <c r="U411" s="408"/>
      <c r="V411" s="409"/>
      <c r="W411" s="410"/>
      <c r="X411" s="277"/>
      <c r="Y411" s="277"/>
      <c r="Z411" s="277"/>
    </row>
    <row r="412" ht="12.75" customHeight="1">
      <c r="A412" s="277"/>
      <c r="B412" s="278"/>
      <c r="C412" s="277"/>
      <c r="D412" s="278"/>
      <c r="E412" s="279"/>
      <c r="F412" s="406"/>
      <c r="G412" s="407"/>
      <c r="H412" s="407"/>
      <c r="I412" s="407"/>
      <c r="J412" s="407"/>
      <c r="K412" s="407"/>
      <c r="L412" s="407"/>
      <c r="M412" s="407"/>
      <c r="N412" s="407"/>
      <c r="O412" s="407"/>
      <c r="P412" s="407"/>
      <c r="Q412" s="407"/>
      <c r="R412" s="407"/>
      <c r="S412" s="408"/>
      <c r="T412" s="408"/>
      <c r="U412" s="408"/>
      <c r="V412" s="409"/>
      <c r="W412" s="410"/>
      <c r="X412" s="277"/>
      <c r="Y412" s="277"/>
      <c r="Z412" s="277"/>
    </row>
    <row r="413" ht="12.75" customHeight="1">
      <c r="A413" s="277"/>
      <c r="B413" s="278"/>
      <c r="C413" s="277"/>
      <c r="D413" s="278"/>
      <c r="E413" s="279"/>
      <c r="F413" s="406"/>
      <c r="G413" s="407"/>
      <c r="H413" s="407"/>
      <c r="I413" s="407"/>
      <c r="J413" s="407"/>
      <c r="K413" s="407"/>
      <c r="L413" s="407"/>
      <c r="M413" s="407"/>
      <c r="N413" s="407"/>
      <c r="O413" s="407"/>
      <c r="P413" s="407"/>
      <c r="Q413" s="407"/>
      <c r="R413" s="407"/>
      <c r="S413" s="408"/>
      <c r="T413" s="408"/>
      <c r="U413" s="408"/>
      <c r="V413" s="409"/>
      <c r="W413" s="410"/>
      <c r="X413" s="277"/>
      <c r="Y413" s="277"/>
      <c r="Z413" s="277"/>
    </row>
    <row r="414" ht="12.75" customHeight="1">
      <c r="A414" s="277"/>
      <c r="B414" s="278"/>
      <c r="C414" s="277"/>
      <c r="D414" s="278"/>
      <c r="E414" s="279"/>
      <c r="F414" s="406"/>
      <c r="G414" s="407"/>
      <c r="H414" s="407"/>
      <c r="I414" s="407"/>
      <c r="J414" s="407"/>
      <c r="K414" s="407"/>
      <c r="L414" s="407"/>
      <c r="M414" s="407"/>
      <c r="N414" s="407"/>
      <c r="O414" s="407"/>
      <c r="P414" s="407"/>
      <c r="Q414" s="407"/>
      <c r="R414" s="407"/>
      <c r="S414" s="408"/>
      <c r="T414" s="408"/>
      <c r="U414" s="408"/>
      <c r="V414" s="409"/>
      <c r="W414" s="410"/>
      <c r="X414" s="277"/>
      <c r="Y414" s="277"/>
      <c r="Z414" s="277"/>
    </row>
    <row r="415" ht="12.75" customHeight="1">
      <c r="A415" s="277"/>
      <c r="B415" s="278"/>
      <c r="C415" s="277"/>
      <c r="D415" s="278"/>
      <c r="E415" s="279"/>
      <c r="F415" s="406"/>
      <c r="G415" s="407"/>
      <c r="H415" s="407"/>
      <c r="I415" s="407"/>
      <c r="J415" s="407"/>
      <c r="K415" s="407"/>
      <c r="L415" s="407"/>
      <c r="M415" s="407"/>
      <c r="N415" s="407"/>
      <c r="O415" s="407"/>
      <c r="P415" s="407"/>
      <c r="Q415" s="407"/>
      <c r="R415" s="407"/>
      <c r="S415" s="408"/>
      <c r="T415" s="408"/>
      <c r="U415" s="408"/>
      <c r="V415" s="409"/>
      <c r="W415" s="410"/>
      <c r="X415" s="277"/>
      <c r="Y415" s="277"/>
      <c r="Z415" s="277"/>
    </row>
    <row r="416" ht="12.75" customHeight="1">
      <c r="A416" s="277"/>
      <c r="B416" s="278"/>
      <c r="C416" s="277"/>
      <c r="D416" s="278"/>
      <c r="E416" s="279"/>
      <c r="F416" s="406"/>
      <c r="G416" s="407"/>
      <c r="H416" s="407"/>
      <c r="I416" s="407"/>
      <c r="J416" s="407"/>
      <c r="K416" s="407"/>
      <c r="L416" s="407"/>
      <c r="M416" s="407"/>
      <c r="N416" s="407"/>
      <c r="O416" s="407"/>
      <c r="P416" s="407"/>
      <c r="Q416" s="407"/>
      <c r="R416" s="407"/>
      <c r="S416" s="408"/>
      <c r="T416" s="408"/>
      <c r="U416" s="408"/>
      <c r="V416" s="409"/>
      <c r="W416" s="410"/>
      <c r="X416" s="277"/>
      <c r="Y416" s="277"/>
      <c r="Z416" s="277"/>
    </row>
    <row r="417" ht="12.75" customHeight="1">
      <c r="A417" s="277"/>
      <c r="B417" s="278"/>
      <c r="C417" s="277"/>
      <c r="D417" s="278"/>
      <c r="E417" s="279"/>
      <c r="F417" s="406"/>
      <c r="G417" s="407"/>
      <c r="H417" s="407"/>
      <c r="I417" s="407"/>
      <c r="J417" s="407"/>
      <c r="K417" s="407"/>
      <c r="L417" s="407"/>
      <c r="M417" s="407"/>
      <c r="N417" s="407"/>
      <c r="O417" s="407"/>
      <c r="P417" s="407"/>
      <c r="Q417" s="407"/>
      <c r="R417" s="407"/>
      <c r="S417" s="408"/>
      <c r="T417" s="408"/>
      <c r="U417" s="408"/>
      <c r="V417" s="409"/>
      <c r="W417" s="410"/>
      <c r="X417" s="277"/>
      <c r="Y417" s="277"/>
      <c r="Z417" s="277"/>
    </row>
    <row r="418" ht="12.75" customHeight="1">
      <c r="A418" s="277"/>
      <c r="B418" s="278"/>
      <c r="C418" s="277"/>
      <c r="D418" s="278"/>
      <c r="E418" s="279"/>
      <c r="F418" s="406"/>
      <c r="G418" s="407"/>
      <c r="H418" s="407"/>
      <c r="I418" s="407"/>
      <c r="J418" s="407"/>
      <c r="K418" s="407"/>
      <c r="L418" s="407"/>
      <c r="M418" s="407"/>
      <c r="N418" s="407"/>
      <c r="O418" s="407"/>
      <c r="P418" s="407"/>
      <c r="Q418" s="407"/>
      <c r="R418" s="407"/>
      <c r="S418" s="408"/>
      <c r="T418" s="408"/>
      <c r="U418" s="408"/>
      <c r="V418" s="409"/>
      <c r="W418" s="410"/>
      <c r="X418" s="277"/>
      <c r="Y418" s="277"/>
      <c r="Z418" s="277"/>
    </row>
    <row r="419" ht="12.75" customHeight="1">
      <c r="A419" s="277"/>
      <c r="B419" s="278"/>
      <c r="C419" s="277"/>
      <c r="D419" s="278"/>
      <c r="E419" s="279"/>
      <c r="F419" s="406"/>
      <c r="G419" s="407"/>
      <c r="H419" s="407"/>
      <c r="I419" s="407"/>
      <c r="J419" s="407"/>
      <c r="K419" s="407"/>
      <c r="L419" s="407"/>
      <c r="M419" s="407"/>
      <c r="N419" s="407"/>
      <c r="O419" s="407"/>
      <c r="P419" s="407"/>
      <c r="Q419" s="407"/>
      <c r="R419" s="407"/>
      <c r="S419" s="408"/>
      <c r="T419" s="408"/>
      <c r="U419" s="408"/>
      <c r="V419" s="409"/>
      <c r="W419" s="410"/>
      <c r="X419" s="277"/>
      <c r="Y419" s="277"/>
      <c r="Z419" s="277"/>
    </row>
    <row r="420" ht="12.75" customHeight="1">
      <c r="A420" s="277"/>
      <c r="B420" s="278"/>
      <c r="C420" s="277"/>
      <c r="D420" s="278"/>
      <c r="E420" s="279"/>
      <c r="F420" s="406"/>
      <c r="G420" s="407"/>
      <c r="H420" s="407"/>
      <c r="I420" s="407"/>
      <c r="J420" s="407"/>
      <c r="K420" s="407"/>
      <c r="L420" s="407"/>
      <c r="M420" s="407"/>
      <c r="N420" s="407"/>
      <c r="O420" s="407"/>
      <c r="P420" s="407"/>
      <c r="Q420" s="407"/>
      <c r="R420" s="407"/>
      <c r="S420" s="408"/>
      <c r="T420" s="408"/>
      <c r="U420" s="408"/>
      <c r="V420" s="409"/>
      <c r="W420" s="410"/>
      <c r="X420" s="277"/>
      <c r="Y420" s="277"/>
      <c r="Z420" s="277"/>
    </row>
    <row r="421" ht="12.75" customHeight="1">
      <c r="A421" s="277"/>
      <c r="B421" s="278"/>
      <c r="C421" s="277"/>
      <c r="D421" s="278"/>
      <c r="E421" s="279"/>
      <c r="F421" s="406"/>
      <c r="G421" s="407"/>
      <c r="H421" s="407"/>
      <c r="I421" s="407"/>
      <c r="J421" s="407"/>
      <c r="K421" s="407"/>
      <c r="L421" s="407"/>
      <c r="M421" s="407"/>
      <c r="N421" s="407"/>
      <c r="O421" s="407"/>
      <c r="P421" s="407"/>
      <c r="Q421" s="407"/>
      <c r="R421" s="407"/>
      <c r="S421" s="408"/>
      <c r="T421" s="408"/>
      <c r="U421" s="408"/>
      <c r="V421" s="409"/>
      <c r="W421" s="410"/>
      <c r="X421" s="277"/>
      <c r="Y421" s="277"/>
      <c r="Z421" s="277"/>
    </row>
    <row r="422" ht="12.75" customHeight="1">
      <c r="A422" s="277"/>
      <c r="B422" s="278"/>
      <c r="C422" s="277"/>
      <c r="D422" s="278"/>
      <c r="E422" s="279"/>
      <c r="F422" s="406"/>
      <c r="G422" s="407"/>
      <c r="H422" s="407"/>
      <c r="I422" s="407"/>
      <c r="J422" s="407"/>
      <c r="K422" s="407"/>
      <c r="L422" s="407"/>
      <c r="M422" s="407"/>
      <c r="N422" s="407"/>
      <c r="O422" s="407"/>
      <c r="P422" s="407"/>
      <c r="Q422" s="407"/>
      <c r="R422" s="407"/>
      <c r="S422" s="408"/>
      <c r="T422" s="408"/>
      <c r="U422" s="408"/>
      <c r="V422" s="409"/>
      <c r="W422" s="410"/>
      <c r="X422" s="277"/>
      <c r="Y422" s="277"/>
      <c r="Z422" s="277"/>
    </row>
    <row r="423" ht="12.75" customHeight="1">
      <c r="A423" s="277"/>
      <c r="B423" s="278"/>
      <c r="C423" s="277"/>
      <c r="D423" s="278"/>
      <c r="E423" s="279"/>
      <c r="F423" s="406"/>
      <c r="G423" s="407"/>
      <c r="H423" s="407"/>
      <c r="I423" s="407"/>
      <c r="J423" s="407"/>
      <c r="K423" s="407"/>
      <c r="L423" s="407"/>
      <c r="M423" s="407"/>
      <c r="N423" s="407"/>
      <c r="O423" s="407"/>
      <c r="P423" s="407"/>
      <c r="Q423" s="407"/>
      <c r="R423" s="407"/>
      <c r="S423" s="408"/>
      <c r="T423" s="408"/>
      <c r="U423" s="408"/>
      <c r="V423" s="409"/>
      <c r="W423" s="410"/>
      <c r="X423" s="277"/>
      <c r="Y423" s="277"/>
      <c r="Z423" s="277"/>
    </row>
    <row r="424" ht="12.75" customHeight="1">
      <c r="A424" s="277"/>
      <c r="B424" s="278"/>
      <c r="C424" s="277"/>
      <c r="D424" s="278"/>
      <c r="E424" s="279"/>
      <c r="F424" s="406"/>
      <c r="G424" s="407"/>
      <c r="H424" s="407"/>
      <c r="I424" s="407"/>
      <c r="J424" s="407"/>
      <c r="K424" s="407"/>
      <c r="L424" s="407"/>
      <c r="M424" s="407"/>
      <c r="N424" s="407"/>
      <c r="O424" s="407"/>
      <c r="P424" s="407"/>
      <c r="Q424" s="407"/>
      <c r="R424" s="407"/>
      <c r="S424" s="408"/>
      <c r="T424" s="408"/>
      <c r="U424" s="408"/>
      <c r="V424" s="409"/>
      <c r="W424" s="410"/>
      <c r="X424" s="277"/>
      <c r="Y424" s="277"/>
      <c r="Z424" s="277"/>
    </row>
    <row r="425" ht="12.75" customHeight="1">
      <c r="A425" s="277"/>
      <c r="B425" s="278"/>
      <c r="C425" s="277"/>
      <c r="D425" s="278"/>
      <c r="E425" s="279"/>
      <c r="F425" s="406"/>
      <c r="G425" s="407"/>
      <c r="H425" s="407"/>
      <c r="I425" s="407"/>
      <c r="J425" s="407"/>
      <c r="K425" s="407"/>
      <c r="L425" s="407"/>
      <c r="M425" s="407"/>
      <c r="N425" s="407"/>
      <c r="O425" s="407"/>
      <c r="P425" s="407"/>
      <c r="Q425" s="407"/>
      <c r="R425" s="407"/>
      <c r="S425" s="408"/>
      <c r="T425" s="408"/>
      <c r="U425" s="408"/>
      <c r="V425" s="409"/>
      <c r="W425" s="410"/>
      <c r="X425" s="277"/>
      <c r="Y425" s="277"/>
      <c r="Z425" s="277"/>
    </row>
    <row r="426" ht="12.75" customHeight="1">
      <c r="A426" s="277"/>
      <c r="B426" s="278"/>
      <c r="C426" s="277"/>
      <c r="D426" s="278"/>
      <c r="E426" s="279"/>
      <c r="F426" s="406"/>
      <c r="G426" s="407"/>
      <c r="H426" s="407"/>
      <c r="I426" s="407"/>
      <c r="J426" s="407"/>
      <c r="K426" s="407"/>
      <c r="L426" s="407"/>
      <c r="M426" s="407"/>
      <c r="N426" s="407"/>
      <c r="O426" s="407"/>
      <c r="P426" s="407"/>
      <c r="Q426" s="407"/>
      <c r="R426" s="407"/>
      <c r="S426" s="408"/>
      <c r="T426" s="408"/>
      <c r="U426" s="408"/>
      <c r="V426" s="409"/>
      <c r="W426" s="410"/>
      <c r="X426" s="277"/>
      <c r="Y426" s="277"/>
      <c r="Z426" s="277"/>
    </row>
    <row r="427" ht="12.75" customHeight="1">
      <c r="A427" s="277"/>
      <c r="B427" s="278"/>
      <c r="C427" s="277"/>
      <c r="D427" s="278"/>
      <c r="E427" s="279"/>
      <c r="F427" s="406"/>
      <c r="G427" s="407"/>
      <c r="H427" s="407"/>
      <c r="I427" s="407"/>
      <c r="J427" s="407"/>
      <c r="K427" s="407"/>
      <c r="L427" s="407"/>
      <c r="M427" s="407"/>
      <c r="N427" s="407"/>
      <c r="O427" s="407"/>
      <c r="P427" s="407"/>
      <c r="Q427" s="407"/>
      <c r="R427" s="407"/>
      <c r="S427" s="408"/>
      <c r="T427" s="408"/>
      <c r="U427" s="408"/>
      <c r="V427" s="409"/>
      <c r="W427" s="410"/>
      <c r="X427" s="277"/>
      <c r="Y427" s="277"/>
      <c r="Z427" s="277"/>
    </row>
    <row r="428" ht="12.75" customHeight="1">
      <c r="A428" s="277"/>
      <c r="B428" s="278"/>
      <c r="C428" s="277"/>
      <c r="D428" s="278"/>
      <c r="E428" s="279"/>
      <c r="F428" s="406"/>
      <c r="G428" s="407"/>
      <c r="H428" s="407"/>
      <c r="I428" s="407"/>
      <c r="J428" s="407"/>
      <c r="K428" s="407"/>
      <c r="L428" s="407"/>
      <c r="M428" s="407"/>
      <c r="N428" s="407"/>
      <c r="O428" s="407"/>
      <c r="P428" s="407"/>
      <c r="Q428" s="407"/>
      <c r="R428" s="407"/>
      <c r="S428" s="408"/>
      <c r="T428" s="408"/>
      <c r="U428" s="408"/>
      <c r="V428" s="409"/>
      <c r="W428" s="410"/>
      <c r="X428" s="277"/>
      <c r="Y428" s="277"/>
      <c r="Z428" s="277"/>
    </row>
    <row r="429" ht="12.75" customHeight="1">
      <c r="A429" s="277"/>
      <c r="B429" s="278"/>
      <c r="C429" s="277"/>
      <c r="D429" s="278"/>
      <c r="E429" s="279"/>
      <c r="F429" s="406"/>
      <c r="G429" s="407"/>
      <c r="H429" s="407"/>
      <c r="I429" s="407"/>
      <c r="J429" s="407"/>
      <c r="K429" s="407"/>
      <c r="L429" s="407"/>
      <c r="M429" s="407"/>
      <c r="N429" s="407"/>
      <c r="O429" s="407"/>
      <c r="P429" s="407"/>
      <c r="Q429" s="407"/>
      <c r="R429" s="407"/>
      <c r="S429" s="408"/>
      <c r="T429" s="408"/>
      <c r="U429" s="408"/>
      <c r="V429" s="409"/>
      <c r="W429" s="410"/>
      <c r="X429" s="277"/>
      <c r="Y429" s="277"/>
      <c r="Z429" s="277"/>
    </row>
    <row r="430" ht="12.75" customHeight="1">
      <c r="A430" s="277"/>
      <c r="B430" s="278"/>
      <c r="C430" s="277"/>
      <c r="D430" s="278"/>
      <c r="E430" s="279"/>
      <c r="F430" s="406"/>
      <c r="G430" s="407"/>
      <c r="H430" s="407"/>
      <c r="I430" s="407"/>
      <c r="J430" s="407"/>
      <c r="K430" s="407"/>
      <c r="L430" s="407"/>
      <c r="M430" s="407"/>
      <c r="N430" s="407"/>
      <c r="O430" s="407"/>
      <c r="P430" s="407"/>
      <c r="Q430" s="407"/>
      <c r="R430" s="407"/>
      <c r="S430" s="408"/>
      <c r="T430" s="408"/>
      <c r="U430" s="408"/>
      <c r="V430" s="409"/>
      <c r="W430" s="410"/>
      <c r="X430" s="277"/>
      <c r="Y430" s="277"/>
      <c r="Z430" s="277"/>
    </row>
    <row r="431" ht="12.75" customHeight="1">
      <c r="A431" s="277"/>
      <c r="B431" s="278"/>
      <c r="C431" s="277"/>
      <c r="D431" s="278"/>
      <c r="E431" s="279"/>
      <c r="F431" s="406"/>
      <c r="G431" s="407"/>
      <c r="H431" s="407"/>
      <c r="I431" s="407"/>
      <c r="J431" s="407"/>
      <c r="K431" s="407"/>
      <c r="L431" s="407"/>
      <c r="M431" s="407"/>
      <c r="N431" s="407"/>
      <c r="O431" s="407"/>
      <c r="P431" s="407"/>
      <c r="Q431" s="407"/>
      <c r="R431" s="407"/>
      <c r="S431" s="408"/>
      <c r="T431" s="408"/>
      <c r="U431" s="408"/>
      <c r="V431" s="409"/>
      <c r="W431" s="410"/>
      <c r="X431" s="277"/>
      <c r="Y431" s="277"/>
      <c r="Z431" s="277"/>
    </row>
    <row r="432" ht="12.75" customHeight="1">
      <c r="A432" s="277"/>
      <c r="B432" s="278"/>
      <c r="C432" s="277"/>
      <c r="D432" s="278"/>
      <c r="E432" s="279"/>
      <c r="F432" s="406"/>
      <c r="G432" s="407"/>
      <c r="H432" s="407"/>
      <c r="I432" s="407"/>
      <c r="J432" s="407"/>
      <c r="K432" s="407"/>
      <c r="L432" s="407"/>
      <c r="M432" s="407"/>
      <c r="N432" s="407"/>
      <c r="O432" s="407"/>
      <c r="P432" s="407"/>
      <c r="Q432" s="407"/>
      <c r="R432" s="407"/>
      <c r="S432" s="408"/>
      <c r="T432" s="408"/>
      <c r="U432" s="408"/>
      <c r="V432" s="409"/>
      <c r="W432" s="410"/>
      <c r="X432" s="277"/>
      <c r="Y432" s="277"/>
      <c r="Z432" s="277"/>
    </row>
    <row r="433" ht="12.75" customHeight="1">
      <c r="A433" s="277"/>
      <c r="B433" s="278"/>
      <c r="C433" s="277"/>
      <c r="D433" s="278"/>
      <c r="E433" s="279"/>
      <c r="F433" s="406"/>
      <c r="G433" s="407"/>
      <c r="H433" s="407"/>
      <c r="I433" s="407"/>
      <c r="J433" s="407"/>
      <c r="K433" s="407"/>
      <c r="L433" s="407"/>
      <c r="M433" s="407"/>
      <c r="N433" s="407"/>
      <c r="O433" s="407"/>
      <c r="P433" s="407"/>
      <c r="Q433" s="407"/>
      <c r="R433" s="407"/>
      <c r="S433" s="408"/>
      <c r="T433" s="408"/>
      <c r="U433" s="408"/>
      <c r="V433" s="409"/>
      <c r="W433" s="410"/>
      <c r="X433" s="277"/>
      <c r="Y433" s="277"/>
      <c r="Z433" s="277"/>
    </row>
    <row r="434" ht="12.75" customHeight="1">
      <c r="A434" s="277"/>
      <c r="B434" s="278"/>
      <c r="C434" s="277"/>
      <c r="D434" s="278"/>
      <c r="E434" s="279"/>
      <c r="F434" s="406"/>
      <c r="G434" s="407"/>
      <c r="H434" s="407"/>
      <c r="I434" s="407"/>
      <c r="J434" s="407"/>
      <c r="K434" s="407"/>
      <c r="L434" s="407"/>
      <c r="M434" s="407"/>
      <c r="N434" s="407"/>
      <c r="O434" s="407"/>
      <c r="P434" s="407"/>
      <c r="Q434" s="407"/>
      <c r="R434" s="407"/>
      <c r="S434" s="408"/>
      <c r="T434" s="408"/>
      <c r="U434" s="408"/>
      <c r="V434" s="409"/>
      <c r="W434" s="410"/>
      <c r="X434" s="277"/>
      <c r="Y434" s="277"/>
      <c r="Z434" s="277"/>
    </row>
    <row r="435" ht="12.75" customHeight="1">
      <c r="A435" s="277"/>
      <c r="B435" s="278"/>
      <c r="C435" s="277"/>
      <c r="D435" s="278"/>
      <c r="E435" s="279"/>
      <c r="F435" s="406"/>
      <c r="G435" s="407"/>
      <c r="H435" s="407"/>
      <c r="I435" s="407"/>
      <c r="J435" s="407"/>
      <c r="K435" s="407"/>
      <c r="L435" s="407"/>
      <c r="M435" s="407"/>
      <c r="N435" s="407"/>
      <c r="O435" s="407"/>
      <c r="P435" s="407"/>
      <c r="Q435" s="407"/>
      <c r="R435" s="407"/>
      <c r="S435" s="408"/>
      <c r="T435" s="408"/>
      <c r="U435" s="408"/>
      <c r="V435" s="409"/>
      <c r="W435" s="410"/>
      <c r="X435" s="277"/>
      <c r="Y435" s="277"/>
      <c r="Z435" s="277"/>
    </row>
    <row r="436" ht="12.75" customHeight="1">
      <c r="A436" s="277"/>
      <c r="B436" s="278"/>
      <c r="C436" s="277"/>
      <c r="D436" s="278"/>
      <c r="E436" s="279"/>
      <c r="F436" s="406"/>
      <c r="G436" s="407"/>
      <c r="H436" s="407"/>
      <c r="I436" s="407"/>
      <c r="J436" s="407"/>
      <c r="K436" s="407"/>
      <c r="L436" s="407"/>
      <c r="M436" s="407"/>
      <c r="N436" s="407"/>
      <c r="O436" s="407"/>
      <c r="P436" s="407"/>
      <c r="Q436" s="407"/>
      <c r="R436" s="407"/>
      <c r="S436" s="408"/>
      <c r="T436" s="408"/>
      <c r="U436" s="408"/>
      <c r="V436" s="409"/>
      <c r="W436" s="410"/>
      <c r="X436" s="277"/>
      <c r="Y436" s="277"/>
      <c r="Z436" s="277"/>
    </row>
    <row r="437" ht="12.75" customHeight="1">
      <c r="A437" s="277"/>
      <c r="B437" s="278"/>
      <c r="C437" s="277"/>
      <c r="D437" s="278"/>
      <c r="E437" s="279"/>
      <c r="F437" s="406"/>
      <c r="G437" s="407"/>
      <c r="H437" s="407"/>
      <c r="I437" s="407"/>
      <c r="J437" s="407"/>
      <c r="K437" s="407"/>
      <c r="L437" s="407"/>
      <c r="M437" s="407"/>
      <c r="N437" s="407"/>
      <c r="O437" s="407"/>
      <c r="P437" s="407"/>
      <c r="Q437" s="407"/>
      <c r="R437" s="407"/>
      <c r="S437" s="408"/>
      <c r="T437" s="408"/>
      <c r="U437" s="408"/>
      <c r="V437" s="409"/>
      <c r="W437" s="410"/>
      <c r="X437" s="277"/>
      <c r="Y437" s="277"/>
      <c r="Z437" s="277"/>
    </row>
    <row r="438" ht="12.75" customHeight="1">
      <c r="A438" s="277"/>
      <c r="B438" s="278"/>
      <c r="C438" s="277"/>
      <c r="D438" s="278"/>
      <c r="E438" s="279"/>
      <c r="F438" s="406"/>
      <c r="G438" s="407"/>
      <c r="H438" s="407"/>
      <c r="I438" s="407"/>
      <c r="J438" s="407"/>
      <c r="K438" s="407"/>
      <c r="L438" s="407"/>
      <c r="M438" s="407"/>
      <c r="N438" s="407"/>
      <c r="O438" s="407"/>
      <c r="P438" s="407"/>
      <c r="Q438" s="407"/>
      <c r="R438" s="407"/>
      <c r="S438" s="408"/>
      <c r="T438" s="408"/>
      <c r="U438" s="408"/>
      <c r="V438" s="409"/>
      <c r="W438" s="410"/>
      <c r="X438" s="277"/>
      <c r="Y438" s="277"/>
      <c r="Z438" s="277"/>
    </row>
    <row r="439" ht="12.75" customHeight="1">
      <c r="A439" s="277"/>
      <c r="B439" s="278"/>
      <c r="C439" s="277"/>
      <c r="D439" s="278"/>
      <c r="E439" s="279"/>
      <c r="F439" s="406"/>
      <c r="G439" s="407"/>
      <c r="H439" s="407"/>
      <c r="I439" s="407"/>
      <c r="J439" s="407"/>
      <c r="K439" s="407"/>
      <c r="L439" s="407"/>
      <c r="M439" s="407"/>
      <c r="N439" s="407"/>
      <c r="O439" s="407"/>
      <c r="P439" s="407"/>
      <c r="Q439" s="407"/>
      <c r="R439" s="407"/>
      <c r="S439" s="408"/>
      <c r="T439" s="408"/>
      <c r="U439" s="408"/>
      <c r="V439" s="409"/>
      <c r="W439" s="410"/>
      <c r="X439" s="277"/>
      <c r="Y439" s="277"/>
      <c r="Z439" s="277"/>
    </row>
    <row r="440" ht="12.75" customHeight="1">
      <c r="A440" s="277"/>
      <c r="B440" s="278"/>
      <c r="C440" s="277"/>
      <c r="D440" s="278"/>
      <c r="E440" s="279"/>
      <c r="F440" s="406"/>
      <c r="G440" s="407"/>
      <c r="H440" s="407"/>
      <c r="I440" s="407"/>
      <c r="J440" s="407"/>
      <c r="K440" s="407"/>
      <c r="L440" s="407"/>
      <c r="M440" s="407"/>
      <c r="N440" s="407"/>
      <c r="O440" s="407"/>
      <c r="P440" s="407"/>
      <c r="Q440" s="407"/>
      <c r="R440" s="407"/>
      <c r="S440" s="408"/>
      <c r="T440" s="408"/>
      <c r="U440" s="408"/>
      <c r="V440" s="409"/>
      <c r="W440" s="410"/>
      <c r="X440" s="277"/>
      <c r="Y440" s="277"/>
      <c r="Z440" s="277"/>
    </row>
    <row r="441" ht="12.75" customHeight="1">
      <c r="A441" s="277"/>
      <c r="B441" s="278"/>
      <c r="C441" s="277"/>
      <c r="D441" s="278"/>
      <c r="E441" s="279"/>
      <c r="F441" s="406"/>
      <c r="G441" s="407"/>
      <c r="H441" s="407"/>
      <c r="I441" s="407"/>
      <c r="J441" s="407"/>
      <c r="K441" s="407"/>
      <c r="L441" s="407"/>
      <c r="M441" s="407"/>
      <c r="N441" s="407"/>
      <c r="O441" s="407"/>
      <c r="P441" s="407"/>
      <c r="Q441" s="407"/>
      <c r="R441" s="407"/>
      <c r="S441" s="408"/>
      <c r="T441" s="408"/>
      <c r="U441" s="408"/>
      <c r="V441" s="409"/>
      <c r="W441" s="410"/>
      <c r="X441" s="277"/>
      <c r="Y441" s="277"/>
      <c r="Z441" s="277"/>
    </row>
    <row r="442" ht="12.75" customHeight="1">
      <c r="A442" s="277"/>
      <c r="B442" s="278"/>
      <c r="C442" s="277"/>
      <c r="D442" s="278"/>
      <c r="E442" s="279"/>
      <c r="F442" s="406"/>
      <c r="G442" s="407"/>
      <c r="H442" s="407"/>
      <c r="I442" s="407"/>
      <c r="J442" s="407"/>
      <c r="K442" s="407"/>
      <c r="L442" s="407"/>
      <c r="M442" s="407"/>
      <c r="N442" s="407"/>
      <c r="O442" s="407"/>
      <c r="P442" s="407"/>
      <c r="Q442" s="407"/>
      <c r="R442" s="407"/>
      <c r="S442" s="408"/>
      <c r="T442" s="408"/>
      <c r="U442" s="408"/>
      <c r="V442" s="409"/>
      <c r="W442" s="410"/>
      <c r="X442" s="277"/>
      <c r="Y442" s="277"/>
      <c r="Z442" s="277"/>
    </row>
    <row r="443" ht="12.75" customHeight="1">
      <c r="A443" s="277"/>
      <c r="B443" s="278"/>
      <c r="C443" s="277"/>
      <c r="D443" s="278"/>
      <c r="E443" s="279"/>
      <c r="F443" s="406"/>
      <c r="G443" s="407"/>
      <c r="H443" s="407"/>
      <c r="I443" s="407"/>
      <c r="J443" s="407"/>
      <c r="K443" s="407"/>
      <c r="L443" s="407"/>
      <c r="M443" s="407"/>
      <c r="N443" s="407"/>
      <c r="O443" s="407"/>
      <c r="P443" s="407"/>
      <c r="Q443" s="407"/>
      <c r="R443" s="407"/>
      <c r="S443" s="408"/>
      <c r="T443" s="408"/>
      <c r="U443" s="408"/>
      <c r="V443" s="409"/>
      <c r="W443" s="410"/>
      <c r="X443" s="277"/>
      <c r="Y443" s="277"/>
      <c r="Z443" s="277"/>
    </row>
    <row r="444" ht="12.75" customHeight="1">
      <c r="A444" s="277"/>
      <c r="B444" s="278"/>
      <c r="C444" s="277"/>
      <c r="D444" s="278"/>
      <c r="E444" s="279"/>
      <c r="F444" s="406"/>
      <c r="G444" s="407"/>
      <c r="H444" s="407"/>
      <c r="I444" s="407"/>
      <c r="J444" s="407"/>
      <c r="K444" s="407"/>
      <c r="L444" s="407"/>
      <c r="M444" s="407"/>
      <c r="N444" s="407"/>
      <c r="O444" s="407"/>
      <c r="P444" s="407"/>
      <c r="Q444" s="407"/>
      <c r="R444" s="407"/>
      <c r="S444" s="408"/>
      <c r="T444" s="408"/>
      <c r="U444" s="408"/>
      <c r="V444" s="409"/>
      <c r="W444" s="410"/>
      <c r="X444" s="277"/>
      <c r="Y444" s="277"/>
      <c r="Z444" s="277"/>
    </row>
    <row r="445" ht="12.75" customHeight="1">
      <c r="A445" s="277"/>
      <c r="B445" s="278"/>
      <c r="C445" s="277"/>
      <c r="D445" s="278"/>
      <c r="E445" s="279"/>
      <c r="F445" s="406"/>
      <c r="G445" s="407"/>
      <c r="H445" s="407"/>
      <c r="I445" s="407"/>
      <c r="J445" s="407"/>
      <c r="K445" s="407"/>
      <c r="L445" s="407"/>
      <c r="M445" s="407"/>
      <c r="N445" s="407"/>
      <c r="O445" s="407"/>
      <c r="P445" s="407"/>
      <c r="Q445" s="407"/>
      <c r="R445" s="407"/>
      <c r="S445" s="408"/>
      <c r="T445" s="408"/>
      <c r="U445" s="408"/>
      <c r="V445" s="409"/>
      <c r="W445" s="410"/>
      <c r="X445" s="277"/>
      <c r="Y445" s="277"/>
      <c r="Z445" s="277"/>
    </row>
    <row r="446" ht="12.75" customHeight="1">
      <c r="A446" s="277"/>
      <c r="B446" s="278"/>
      <c r="C446" s="277"/>
      <c r="D446" s="278"/>
      <c r="E446" s="279"/>
      <c r="F446" s="406"/>
      <c r="G446" s="407"/>
      <c r="H446" s="407"/>
      <c r="I446" s="407"/>
      <c r="J446" s="407"/>
      <c r="K446" s="407"/>
      <c r="L446" s="407"/>
      <c r="M446" s="407"/>
      <c r="N446" s="407"/>
      <c r="O446" s="407"/>
      <c r="P446" s="407"/>
      <c r="Q446" s="407"/>
      <c r="R446" s="407"/>
      <c r="S446" s="408"/>
      <c r="T446" s="408"/>
      <c r="U446" s="408"/>
      <c r="V446" s="409"/>
      <c r="W446" s="410"/>
      <c r="X446" s="277"/>
      <c r="Y446" s="277"/>
      <c r="Z446" s="277"/>
    </row>
    <row r="447" ht="12.75" customHeight="1">
      <c r="A447" s="277"/>
      <c r="B447" s="278"/>
      <c r="C447" s="277"/>
      <c r="D447" s="278"/>
      <c r="E447" s="279"/>
      <c r="F447" s="406"/>
      <c r="G447" s="407"/>
      <c r="H447" s="407"/>
      <c r="I447" s="407"/>
      <c r="J447" s="407"/>
      <c r="K447" s="407"/>
      <c r="L447" s="407"/>
      <c r="M447" s="407"/>
      <c r="N447" s="407"/>
      <c r="O447" s="407"/>
      <c r="P447" s="407"/>
      <c r="Q447" s="407"/>
      <c r="R447" s="407"/>
      <c r="S447" s="408"/>
      <c r="T447" s="408"/>
      <c r="U447" s="408"/>
      <c r="V447" s="409"/>
      <c r="W447" s="410"/>
      <c r="X447" s="277"/>
      <c r="Y447" s="277"/>
      <c r="Z447" s="277"/>
    </row>
    <row r="448" ht="12.75" customHeight="1">
      <c r="A448" s="277"/>
      <c r="B448" s="278"/>
      <c r="C448" s="277"/>
      <c r="D448" s="278"/>
      <c r="E448" s="279"/>
      <c r="F448" s="406"/>
      <c r="G448" s="407"/>
      <c r="H448" s="407"/>
      <c r="I448" s="407"/>
      <c r="J448" s="407"/>
      <c r="K448" s="407"/>
      <c r="L448" s="407"/>
      <c r="M448" s="407"/>
      <c r="N448" s="407"/>
      <c r="O448" s="407"/>
      <c r="P448" s="407"/>
      <c r="Q448" s="407"/>
      <c r="R448" s="407"/>
      <c r="S448" s="408"/>
      <c r="T448" s="408"/>
      <c r="U448" s="408"/>
      <c r="V448" s="409"/>
      <c r="W448" s="410"/>
      <c r="X448" s="277"/>
      <c r="Y448" s="277"/>
      <c r="Z448" s="277"/>
    </row>
    <row r="449" ht="12.75" customHeight="1">
      <c r="A449" s="277"/>
      <c r="B449" s="278"/>
      <c r="C449" s="277"/>
      <c r="D449" s="278"/>
      <c r="E449" s="279"/>
      <c r="F449" s="406"/>
      <c r="G449" s="407"/>
      <c r="H449" s="407"/>
      <c r="I449" s="407"/>
      <c r="J449" s="407"/>
      <c r="K449" s="407"/>
      <c r="L449" s="407"/>
      <c r="M449" s="407"/>
      <c r="N449" s="407"/>
      <c r="O449" s="407"/>
      <c r="P449" s="407"/>
      <c r="Q449" s="407"/>
      <c r="R449" s="407"/>
      <c r="S449" s="408"/>
      <c r="T449" s="408"/>
      <c r="U449" s="408"/>
      <c r="V449" s="409"/>
      <c r="W449" s="410"/>
      <c r="X449" s="277"/>
      <c r="Y449" s="277"/>
      <c r="Z449" s="277"/>
    </row>
    <row r="450" ht="12.75" customHeight="1">
      <c r="A450" s="277"/>
      <c r="B450" s="278"/>
      <c r="C450" s="277"/>
      <c r="D450" s="278"/>
      <c r="E450" s="279"/>
      <c r="F450" s="406"/>
      <c r="G450" s="407"/>
      <c r="H450" s="407"/>
      <c r="I450" s="407"/>
      <c r="J450" s="407"/>
      <c r="K450" s="407"/>
      <c r="L450" s="407"/>
      <c r="M450" s="407"/>
      <c r="N450" s="407"/>
      <c r="O450" s="407"/>
      <c r="P450" s="407"/>
      <c r="Q450" s="407"/>
      <c r="R450" s="407"/>
      <c r="S450" s="408"/>
      <c r="T450" s="408"/>
      <c r="U450" s="408"/>
      <c r="V450" s="409"/>
      <c r="W450" s="410"/>
      <c r="X450" s="277"/>
      <c r="Y450" s="277"/>
      <c r="Z450" s="277"/>
    </row>
    <row r="451" ht="12.75" customHeight="1">
      <c r="A451" s="277"/>
      <c r="B451" s="278"/>
      <c r="C451" s="277"/>
      <c r="D451" s="278"/>
      <c r="E451" s="279"/>
      <c r="F451" s="406"/>
      <c r="G451" s="407"/>
      <c r="H451" s="407"/>
      <c r="I451" s="407"/>
      <c r="J451" s="407"/>
      <c r="K451" s="407"/>
      <c r="L451" s="407"/>
      <c r="M451" s="407"/>
      <c r="N451" s="407"/>
      <c r="O451" s="407"/>
      <c r="P451" s="407"/>
      <c r="Q451" s="407"/>
      <c r="R451" s="407"/>
      <c r="S451" s="408"/>
      <c r="T451" s="408"/>
      <c r="U451" s="408"/>
      <c r="V451" s="409"/>
      <c r="W451" s="410"/>
      <c r="X451" s="277"/>
      <c r="Y451" s="277"/>
      <c r="Z451" s="277"/>
    </row>
    <row r="452" ht="12.75" customHeight="1">
      <c r="A452" s="277"/>
      <c r="B452" s="278"/>
      <c r="C452" s="277"/>
      <c r="D452" s="278"/>
      <c r="E452" s="279"/>
      <c r="F452" s="406"/>
      <c r="G452" s="407"/>
      <c r="H452" s="407"/>
      <c r="I452" s="407"/>
      <c r="J452" s="407"/>
      <c r="K452" s="407"/>
      <c r="L452" s="407"/>
      <c r="M452" s="407"/>
      <c r="N452" s="407"/>
      <c r="O452" s="407"/>
      <c r="P452" s="407"/>
      <c r="Q452" s="407"/>
      <c r="R452" s="407"/>
      <c r="S452" s="408"/>
      <c r="T452" s="408"/>
      <c r="U452" s="408"/>
      <c r="V452" s="409"/>
      <c r="W452" s="410"/>
      <c r="X452" s="277"/>
      <c r="Y452" s="277"/>
      <c r="Z452" s="277"/>
    </row>
    <row r="453" ht="12.75" customHeight="1">
      <c r="A453" s="277"/>
      <c r="B453" s="278"/>
      <c r="C453" s="277"/>
      <c r="D453" s="278"/>
      <c r="E453" s="279"/>
      <c r="F453" s="406"/>
      <c r="G453" s="407"/>
      <c r="H453" s="407"/>
      <c r="I453" s="407"/>
      <c r="J453" s="407"/>
      <c r="K453" s="407"/>
      <c r="L453" s="407"/>
      <c r="M453" s="407"/>
      <c r="N453" s="407"/>
      <c r="O453" s="407"/>
      <c r="P453" s="407"/>
      <c r="Q453" s="407"/>
      <c r="R453" s="407"/>
      <c r="S453" s="408"/>
      <c r="T453" s="408"/>
      <c r="U453" s="408"/>
      <c r="V453" s="409"/>
      <c r="W453" s="410"/>
      <c r="X453" s="277"/>
      <c r="Y453" s="277"/>
      <c r="Z453" s="277"/>
    </row>
    <row r="454" ht="12.75" customHeight="1">
      <c r="A454" s="277"/>
      <c r="B454" s="278"/>
      <c r="C454" s="277"/>
      <c r="D454" s="278"/>
      <c r="E454" s="279"/>
      <c r="F454" s="406"/>
      <c r="G454" s="407"/>
      <c r="H454" s="407"/>
      <c r="I454" s="407"/>
      <c r="J454" s="407"/>
      <c r="K454" s="407"/>
      <c r="L454" s="407"/>
      <c r="M454" s="407"/>
      <c r="N454" s="407"/>
      <c r="O454" s="407"/>
      <c r="P454" s="407"/>
      <c r="Q454" s="407"/>
      <c r="R454" s="407"/>
      <c r="S454" s="408"/>
      <c r="T454" s="408"/>
      <c r="U454" s="408"/>
      <c r="V454" s="409"/>
      <c r="W454" s="410"/>
      <c r="X454" s="277"/>
      <c r="Y454" s="277"/>
      <c r="Z454" s="277"/>
    </row>
    <row r="455" ht="12.75" customHeight="1">
      <c r="A455" s="277"/>
      <c r="B455" s="278"/>
      <c r="C455" s="277"/>
      <c r="D455" s="278"/>
      <c r="E455" s="279"/>
      <c r="F455" s="406"/>
      <c r="G455" s="407"/>
      <c r="H455" s="407"/>
      <c r="I455" s="407"/>
      <c r="J455" s="407"/>
      <c r="K455" s="407"/>
      <c r="L455" s="407"/>
      <c r="M455" s="407"/>
      <c r="N455" s="407"/>
      <c r="O455" s="407"/>
      <c r="P455" s="407"/>
      <c r="Q455" s="407"/>
      <c r="R455" s="407"/>
      <c r="S455" s="408"/>
      <c r="T455" s="408"/>
      <c r="U455" s="408"/>
      <c r="V455" s="409"/>
      <c r="W455" s="410"/>
      <c r="X455" s="277"/>
      <c r="Y455" s="277"/>
      <c r="Z455" s="277"/>
    </row>
    <row r="456" ht="12.75" customHeight="1">
      <c r="A456" s="277"/>
      <c r="B456" s="278"/>
      <c r="C456" s="277"/>
      <c r="D456" s="278"/>
      <c r="E456" s="279"/>
      <c r="F456" s="406"/>
      <c r="G456" s="407"/>
      <c r="H456" s="407"/>
      <c r="I456" s="407"/>
      <c r="J456" s="407"/>
      <c r="K456" s="407"/>
      <c r="L456" s="407"/>
      <c r="M456" s="407"/>
      <c r="N456" s="407"/>
      <c r="O456" s="407"/>
      <c r="P456" s="407"/>
      <c r="Q456" s="407"/>
      <c r="R456" s="407"/>
      <c r="S456" s="408"/>
      <c r="T456" s="408"/>
      <c r="U456" s="408"/>
      <c r="V456" s="409"/>
      <c r="W456" s="410"/>
      <c r="X456" s="277"/>
      <c r="Y456" s="277"/>
      <c r="Z456" s="277"/>
    </row>
    <row r="457" ht="12.75" customHeight="1">
      <c r="A457" s="277"/>
      <c r="B457" s="278"/>
      <c r="C457" s="277"/>
      <c r="D457" s="278"/>
      <c r="E457" s="279"/>
      <c r="F457" s="406"/>
      <c r="G457" s="407"/>
      <c r="H457" s="407"/>
      <c r="I457" s="407"/>
      <c r="J457" s="407"/>
      <c r="K457" s="407"/>
      <c r="L457" s="407"/>
      <c r="M457" s="407"/>
      <c r="N457" s="407"/>
      <c r="O457" s="407"/>
      <c r="P457" s="407"/>
      <c r="Q457" s="407"/>
      <c r="R457" s="407"/>
      <c r="S457" s="408"/>
      <c r="T457" s="408"/>
      <c r="U457" s="408"/>
      <c r="V457" s="409"/>
      <c r="W457" s="410"/>
      <c r="X457" s="277"/>
      <c r="Y457" s="277"/>
      <c r="Z457" s="277"/>
    </row>
    <row r="458" ht="12.75" customHeight="1">
      <c r="A458" s="277"/>
      <c r="B458" s="278"/>
      <c r="C458" s="277"/>
      <c r="D458" s="278"/>
      <c r="E458" s="279"/>
      <c r="F458" s="406"/>
      <c r="G458" s="407"/>
      <c r="H458" s="407"/>
      <c r="I458" s="407"/>
      <c r="J458" s="407"/>
      <c r="K458" s="407"/>
      <c r="L458" s="407"/>
      <c r="M458" s="407"/>
      <c r="N458" s="407"/>
      <c r="O458" s="407"/>
      <c r="P458" s="407"/>
      <c r="Q458" s="407"/>
      <c r="R458" s="407"/>
      <c r="S458" s="408"/>
      <c r="T458" s="408"/>
      <c r="U458" s="408"/>
      <c r="V458" s="409"/>
      <c r="W458" s="410"/>
      <c r="X458" s="277"/>
      <c r="Y458" s="277"/>
      <c r="Z458" s="277"/>
    </row>
    <row r="459" ht="12.75" customHeight="1">
      <c r="A459" s="277"/>
      <c r="B459" s="278"/>
      <c r="C459" s="277"/>
      <c r="D459" s="278"/>
      <c r="E459" s="279"/>
      <c r="F459" s="406"/>
      <c r="G459" s="407"/>
      <c r="H459" s="407"/>
      <c r="I459" s="407"/>
      <c r="J459" s="407"/>
      <c r="K459" s="407"/>
      <c r="L459" s="407"/>
      <c r="M459" s="407"/>
      <c r="N459" s="407"/>
      <c r="O459" s="407"/>
      <c r="P459" s="407"/>
      <c r="Q459" s="407"/>
      <c r="R459" s="407"/>
      <c r="S459" s="408"/>
      <c r="T459" s="408"/>
      <c r="U459" s="408"/>
      <c r="V459" s="409"/>
      <c r="W459" s="410"/>
      <c r="X459" s="277"/>
      <c r="Y459" s="277"/>
      <c r="Z459" s="277"/>
    </row>
    <row r="460" ht="12.75" customHeight="1">
      <c r="A460" s="277"/>
      <c r="B460" s="278"/>
      <c r="C460" s="277"/>
      <c r="D460" s="278"/>
      <c r="E460" s="279"/>
      <c r="F460" s="406"/>
      <c r="G460" s="407"/>
      <c r="H460" s="407"/>
      <c r="I460" s="407"/>
      <c r="J460" s="407"/>
      <c r="K460" s="407"/>
      <c r="L460" s="407"/>
      <c r="M460" s="407"/>
      <c r="N460" s="407"/>
      <c r="O460" s="407"/>
      <c r="P460" s="407"/>
      <c r="Q460" s="407"/>
      <c r="R460" s="407"/>
      <c r="S460" s="408"/>
      <c r="T460" s="408"/>
      <c r="U460" s="408"/>
      <c r="V460" s="409"/>
      <c r="W460" s="410"/>
      <c r="X460" s="277"/>
      <c r="Y460" s="277"/>
      <c r="Z460" s="277"/>
    </row>
    <row r="461" ht="12.75" customHeight="1">
      <c r="A461" s="277"/>
      <c r="B461" s="278"/>
      <c r="C461" s="277"/>
      <c r="D461" s="278"/>
      <c r="E461" s="279"/>
      <c r="F461" s="406"/>
      <c r="G461" s="407"/>
      <c r="H461" s="407"/>
      <c r="I461" s="407"/>
      <c r="J461" s="407"/>
      <c r="K461" s="407"/>
      <c r="L461" s="407"/>
      <c r="M461" s="407"/>
      <c r="N461" s="407"/>
      <c r="O461" s="407"/>
      <c r="P461" s="407"/>
      <c r="Q461" s="407"/>
      <c r="R461" s="407"/>
      <c r="S461" s="408"/>
      <c r="T461" s="408"/>
      <c r="U461" s="408"/>
      <c r="V461" s="409"/>
      <c r="W461" s="410"/>
      <c r="X461" s="277"/>
      <c r="Y461" s="277"/>
      <c r="Z461" s="277"/>
    </row>
    <row r="462" ht="12.75" customHeight="1">
      <c r="A462" s="277"/>
      <c r="B462" s="278"/>
      <c r="C462" s="277"/>
      <c r="D462" s="278"/>
      <c r="E462" s="279"/>
      <c r="F462" s="406"/>
      <c r="G462" s="407"/>
      <c r="H462" s="407"/>
      <c r="I462" s="407"/>
      <c r="J462" s="407"/>
      <c r="K462" s="407"/>
      <c r="L462" s="407"/>
      <c r="M462" s="407"/>
      <c r="N462" s="407"/>
      <c r="O462" s="407"/>
      <c r="P462" s="407"/>
      <c r="Q462" s="407"/>
      <c r="R462" s="407"/>
      <c r="S462" s="408"/>
      <c r="T462" s="408"/>
      <c r="U462" s="408"/>
      <c r="V462" s="409"/>
      <c r="W462" s="410"/>
      <c r="X462" s="277"/>
      <c r="Y462" s="277"/>
      <c r="Z462" s="277"/>
    </row>
    <row r="463" ht="12.75" customHeight="1">
      <c r="A463" s="277"/>
      <c r="B463" s="278"/>
      <c r="C463" s="277"/>
      <c r="D463" s="278"/>
      <c r="E463" s="279"/>
      <c r="F463" s="406"/>
      <c r="G463" s="407"/>
      <c r="H463" s="407"/>
      <c r="I463" s="407"/>
      <c r="J463" s="407"/>
      <c r="K463" s="407"/>
      <c r="L463" s="407"/>
      <c r="M463" s="407"/>
      <c r="N463" s="407"/>
      <c r="O463" s="407"/>
      <c r="P463" s="407"/>
      <c r="Q463" s="407"/>
      <c r="R463" s="407"/>
      <c r="S463" s="408"/>
      <c r="T463" s="408"/>
      <c r="U463" s="408"/>
      <c r="V463" s="409"/>
      <c r="W463" s="410"/>
      <c r="X463" s="277"/>
      <c r="Y463" s="277"/>
      <c r="Z463" s="277"/>
    </row>
    <row r="464" ht="12.75" customHeight="1">
      <c r="A464" s="277"/>
      <c r="B464" s="278"/>
      <c r="C464" s="277"/>
      <c r="D464" s="278"/>
      <c r="E464" s="279"/>
      <c r="F464" s="406"/>
      <c r="G464" s="407"/>
      <c r="H464" s="407"/>
      <c r="I464" s="407"/>
      <c r="J464" s="407"/>
      <c r="K464" s="407"/>
      <c r="L464" s="407"/>
      <c r="M464" s="407"/>
      <c r="N464" s="407"/>
      <c r="O464" s="407"/>
      <c r="P464" s="407"/>
      <c r="Q464" s="407"/>
      <c r="R464" s="407"/>
      <c r="S464" s="408"/>
      <c r="T464" s="408"/>
      <c r="U464" s="408"/>
      <c r="V464" s="409"/>
      <c r="W464" s="410"/>
      <c r="X464" s="277"/>
      <c r="Y464" s="277"/>
      <c r="Z464" s="277"/>
    </row>
    <row r="465" ht="12.75" customHeight="1">
      <c r="A465" s="277"/>
      <c r="B465" s="278"/>
      <c r="C465" s="277"/>
      <c r="D465" s="278"/>
      <c r="E465" s="279"/>
      <c r="F465" s="406"/>
      <c r="G465" s="407"/>
      <c r="H465" s="407"/>
      <c r="I465" s="407"/>
      <c r="J465" s="407"/>
      <c r="K465" s="407"/>
      <c r="L465" s="407"/>
      <c r="M465" s="407"/>
      <c r="N465" s="407"/>
      <c r="O465" s="407"/>
      <c r="P465" s="407"/>
      <c r="Q465" s="407"/>
      <c r="R465" s="407"/>
      <c r="S465" s="408"/>
      <c r="T465" s="408"/>
      <c r="U465" s="408"/>
      <c r="V465" s="409"/>
      <c r="W465" s="410"/>
      <c r="X465" s="277"/>
      <c r="Y465" s="277"/>
      <c r="Z465" s="277"/>
    </row>
    <row r="466" ht="12.75" customHeight="1">
      <c r="A466" s="277"/>
      <c r="B466" s="278"/>
      <c r="C466" s="277"/>
      <c r="D466" s="278"/>
      <c r="E466" s="279"/>
      <c r="F466" s="406"/>
      <c r="G466" s="407"/>
      <c r="H466" s="407"/>
      <c r="I466" s="407"/>
      <c r="J466" s="407"/>
      <c r="K466" s="407"/>
      <c r="L466" s="407"/>
      <c r="M466" s="407"/>
      <c r="N466" s="407"/>
      <c r="O466" s="407"/>
      <c r="P466" s="407"/>
      <c r="Q466" s="407"/>
      <c r="R466" s="407"/>
      <c r="S466" s="408"/>
      <c r="T466" s="408"/>
      <c r="U466" s="408"/>
      <c r="V466" s="409"/>
      <c r="W466" s="410"/>
      <c r="X466" s="277"/>
      <c r="Y466" s="277"/>
      <c r="Z466" s="277"/>
    </row>
    <row r="467" ht="12.75" customHeight="1">
      <c r="A467" s="277"/>
      <c r="B467" s="278"/>
      <c r="C467" s="277"/>
      <c r="D467" s="278"/>
      <c r="E467" s="279"/>
      <c r="F467" s="406"/>
      <c r="G467" s="407"/>
      <c r="H467" s="407"/>
      <c r="I467" s="407"/>
      <c r="J467" s="407"/>
      <c r="K467" s="407"/>
      <c r="L467" s="407"/>
      <c r="M467" s="407"/>
      <c r="N467" s="407"/>
      <c r="O467" s="407"/>
      <c r="P467" s="407"/>
      <c r="Q467" s="407"/>
      <c r="R467" s="407"/>
      <c r="S467" s="408"/>
      <c r="T467" s="408"/>
      <c r="U467" s="408"/>
      <c r="V467" s="409"/>
      <c r="W467" s="410"/>
      <c r="X467" s="277"/>
      <c r="Y467" s="277"/>
      <c r="Z467" s="277"/>
    </row>
    <row r="468" ht="12.75" customHeight="1">
      <c r="A468" s="277"/>
      <c r="B468" s="278"/>
      <c r="C468" s="277"/>
      <c r="D468" s="278"/>
      <c r="E468" s="279"/>
      <c r="F468" s="406"/>
      <c r="G468" s="407"/>
      <c r="H468" s="407"/>
      <c r="I468" s="407"/>
      <c r="J468" s="407"/>
      <c r="K468" s="407"/>
      <c r="L468" s="407"/>
      <c r="M468" s="407"/>
      <c r="N468" s="407"/>
      <c r="O468" s="407"/>
      <c r="P468" s="407"/>
      <c r="Q468" s="407"/>
      <c r="R468" s="407"/>
      <c r="S468" s="408"/>
      <c r="T468" s="408"/>
      <c r="U468" s="408"/>
      <c r="V468" s="409"/>
      <c r="W468" s="410"/>
      <c r="X468" s="277"/>
      <c r="Y468" s="277"/>
      <c r="Z468" s="277"/>
    </row>
    <row r="469" ht="12.75" customHeight="1">
      <c r="A469" s="277"/>
      <c r="B469" s="278"/>
      <c r="C469" s="277"/>
      <c r="D469" s="278"/>
      <c r="E469" s="279"/>
      <c r="F469" s="406"/>
      <c r="G469" s="407"/>
      <c r="H469" s="407"/>
      <c r="I469" s="407"/>
      <c r="J469" s="407"/>
      <c r="K469" s="407"/>
      <c r="L469" s="407"/>
      <c r="M469" s="407"/>
      <c r="N469" s="407"/>
      <c r="O469" s="407"/>
      <c r="P469" s="407"/>
      <c r="Q469" s="407"/>
      <c r="R469" s="407"/>
      <c r="S469" s="408"/>
      <c r="T469" s="408"/>
      <c r="U469" s="408"/>
      <c r="V469" s="409"/>
      <c r="W469" s="410"/>
      <c r="X469" s="277"/>
      <c r="Y469" s="277"/>
      <c r="Z469" s="277"/>
    </row>
    <row r="470" ht="12.75" customHeight="1">
      <c r="A470" s="277"/>
      <c r="B470" s="278"/>
      <c r="C470" s="277"/>
      <c r="D470" s="278"/>
      <c r="E470" s="279"/>
      <c r="F470" s="406"/>
      <c r="G470" s="407"/>
      <c r="H470" s="407"/>
      <c r="I470" s="407"/>
      <c r="J470" s="407"/>
      <c r="K470" s="407"/>
      <c r="L470" s="407"/>
      <c r="M470" s="407"/>
      <c r="N470" s="407"/>
      <c r="O470" s="407"/>
      <c r="P470" s="407"/>
      <c r="Q470" s="407"/>
      <c r="R470" s="407"/>
      <c r="S470" s="408"/>
      <c r="T470" s="408"/>
      <c r="U470" s="408"/>
      <c r="V470" s="409"/>
      <c r="W470" s="410"/>
      <c r="X470" s="277"/>
      <c r="Y470" s="277"/>
      <c r="Z470" s="277"/>
    </row>
    <row r="471" ht="12.75" customHeight="1">
      <c r="A471" s="277"/>
      <c r="B471" s="278"/>
      <c r="C471" s="277"/>
      <c r="D471" s="278"/>
      <c r="E471" s="279"/>
      <c r="F471" s="406"/>
      <c r="G471" s="407"/>
      <c r="H471" s="407"/>
      <c r="I471" s="407"/>
      <c r="J471" s="407"/>
      <c r="K471" s="407"/>
      <c r="L471" s="407"/>
      <c r="M471" s="407"/>
      <c r="N471" s="407"/>
      <c r="O471" s="407"/>
      <c r="P471" s="407"/>
      <c r="Q471" s="407"/>
      <c r="R471" s="407"/>
      <c r="S471" s="408"/>
      <c r="T471" s="408"/>
      <c r="U471" s="408"/>
      <c r="V471" s="409"/>
      <c r="W471" s="410"/>
      <c r="X471" s="277"/>
      <c r="Y471" s="277"/>
      <c r="Z471" s="277"/>
    </row>
    <row r="472" ht="12.75" customHeight="1">
      <c r="A472" s="277"/>
      <c r="B472" s="278"/>
      <c r="C472" s="277"/>
      <c r="D472" s="278"/>
      <c r="E472" s="279"/>
      <c r="F472" s="406"/>
      <c r="G472" s="407"/>
      <c r="H472" s="407"/>
      <c r="I472" s="407"/>
      <c r="J472" s="407"/>
      <c r="K472" s="407"/>
      <c r="L472" s="407"/>
      <c r="M472" s="407"/>
      <c r="N472" s="407"/>
      <c r="O472" s="407"/>
      <c r="P472" s="407"/>
      <c r="Q472" s="407"/>
      <c r="R472" s="407"/>
      <c r="S472" s="408"/>
      <c r="T472" s="408"/>
      <c r="U472" s="408"/>
      <c r="V472" s="409"/>
      <c r="W472" s="410"/>
      <c r="X472" s="277"/>
      <c r="Y472" s="277"/>
      <c r="Z472" s="277"/>
    </row>
    <row r="473" ht="12.75" customHeight="1">
      <c r="A473" s="277"/>
      <c r="B473" s="278"/>
      <c r="C473" s="277"/>
      <c r="D473" s="278"/>
      <c r="E473" s="279"/>
      <c r="F473" s="406"/>
      <c r="G473" s="407"/>
      <c r="H473" s="407"/>
      <c r="I473" s="407"/>
      <c r="J473" s="407"/>
      <c r="K473" s="407"/>
      <c r="L473" s="407"/>
      <c r="M473" s="407"/>
      <c r="N473" s="407"/>
      <c r="O473" s="407"/>
      <c r="P473" s="407"/>
      <c r="Q473" s="407"/>
      <c r="R473" s="407"/>
      <c r="S473" s="408"/>
      <c r="T473" s="408"/>
      <c r="U473" s="408"/>
      <c r="V473" s="409"/>
      <c r="W473" s="410"/>
      <c r="X473" s="277"/>
      <c r="Y473" s="277"/>
      <c r="Z473" s="277"/>
    </row>
    <row r="474" ht="12.75" customHeight="1">
      <c r="A474" s="277"/>
      <c r="B474" s="278"/>
      <c r="C474" s="277"/>
      <c r="D474" s="278"/>
      <c r="E474" s="279"/>
      <c r="F474" s="406"/>
      <c r="G474" s="407"/>
      <c r="H474" s="407"/>
      <c r="I474" s="407"/>
      <c r="J474" s="407"/>
      <c r="K474" s="407"/>
      <c r="L474" s="407"/>
      <c r="M474" s="407"/>
      <c r="N474" s="407"/>
      <c r="O474" s="407"/>
      <c r="P474" s="407"/>
      <c r="Q474" s="407"/>
      <c r="R474" s="407"/>
      <c r="S474" s="408"/>
      <c r="T474" s="408"/>
      <c r="U474" s="408"/>
      <c r="V474" s="409"/>
      <c r="W474" s="410"/>
      <c r="X474" s="277"/>
      <c r="Y474" s="277"/>
      <c r="Z474" s="277"/>
    </row>
    <row r="475" ht="12.75" customHeight="1">
      <c r="A475" s="277"/>
      <c r="B475" s="278"/>
      <c r="C475" s="277"/>
      <c r="D475" s="278"/>
      <c r="E475" s="279"/>
      <c r="F475" s="406"/>
      <c r="G475" s="407"/>
      <c r="H475" s="407"/>
      <c r="I475" s="407"/>
      <c r="J475" s="407"/>
      <c r="K475" s="407"/>
      <c r="L475" s="407"/>
      <c r="M475" s="407"/>
      <c r="N475" s="407"/>
      <c r="O475" s="407"/>
      <c r="P475" s="407"/>
      <c r="Q475" s="407"/>
      <c r="R475" s="407"/>
      <c r="S475" s="408"/>
      <c r="T475" s="408"/>
      <c r="U475" s="408"/>
      <c r="V475" s="409"/>
      <c r="W475" s="410"/>
      <c r="X475" s="277"/>
      <c r="Y475" s="277"/>
      <c r="Z475" s="277"/>
    </row>
    <row r="476" ht="12.75" customHeight="1">
      <c r="A476" s="277"/>
      <c r="B476" s="278"/>
      <c r="C476" s="277"/>
      <c r="D476" s="278"/>
      <c r="E476" s="279"/>
      <c r="F476" s="406"/>
      <c r="G476" s="407"/>
      <c r="H476" s="407"/>
      <c r="I476" s="407"/>
      <c r="J476" s="407"/>
      <c r="K476" s="407"/>
      <c r="L476" s="407"/>
      <c r="M476" s="407"/>
      <c r="N476" s="407"/>
      <c r="O476" s="407"/>
      <c r="P476" s="407"/>
      <c r="Q476" s="407"/>
      <c r="R476" s="407"/>
      <c r="S476" s="408"/>
      <c r="T476" s="408"/>
      <c r="U476" s="408"/>
      <c r="V476" s="409"/>
      <c r="W476" s="410"/>
      <c r="X476" s="277"/>
      <c r="Y476" s="277"/>
      <c r="Z476" s="277"/>
    </row>
    <row r="477" ht="12.75" customHeight="1">
      <c r="A477" s="277"/>
      <c r="B477" s="278"/>
      <c r="C477" s="277"/>
      <c r="D477" s="278"/>
      <c r="E477" s="279"/>
      <c r="F477" s="406"/>
      <c r="G477" s="407"/>
      <c r="H477" s="407"/>
      <c r="I477" s="407"/>
      <c r="J477" s="407"/>
      <c r="K477" s="407"/>
      <c r="L477" s="407"/>
      <c r="M477" s="407"/>
      <c r="N477" s="407"/>
      <c r="O477" s="407"/>
      <c r="P477" s="407"/>
      <c r="Q477" s="407"/>
      <c r="R477" s="407"/>
      <c r="S477" s="408"/>
      <c r="T477" s="408"/>
      <c r="U477" s="408"/>
      <c r="V477" s="409"/>
      <c r="W477" s="410"/>
      <c r="X477" s="277"/>
      <c r="Y477" s="277"/>
      <c r="Z477" s="277"/>
    </row>
    <row r="478" ht="12.75" customHeight="1">
      <c r="A478" s="277"/>
      <c r="B478" s="278"/>
      <c r="C478" s="277"/>
      <c r="D478" s="278"/>
      <c r="E478" s="279"/>
      <c r="F478" s="406"/>
      <c r="G478" s="407"/>
      <c r="H478" s="407"/>
      <c r="I478" s="407"/>
      <c r="J478" s="407"/>
      <c r="K478" s="407"/>
      <c r="L478" s="407"/>
      <c r="M478" s="407"/>
      <c r="N478" s="407"/>
      <c r="O478" s="407"/>
      <c r="P478" s="407"/>
      <c r="Q478" s="407"/>
      <c r="R478" s="407"/>
      <c r="S478" s="408"/>
      <c r="T478" s="408"/>
      <c r="U478" s="408"/>
      <c r="V478" s="409"/>
      <c r="W478" s="410"/>
      <c r="X478" s="277"/>
      <c r="Y478" s="277"/>
      <c r="Z478" s="277"/>
    </row>
    <row r="479" ht="12.75" customHeight="1">
      <c r="A479" s="277"/>
      <c r="B479" s="278"/>
      <c r="C479" s="277"/>
      <c r="D479" s="278"/>
      <c r="E479" s="279"/>
      <c r="F479" s="406"/>
      <c r="G479" s="407"/>
      <c r="H479" s="407"/>
      <c r="I479" s="407"/>
      <c r="J479" s="407"/>
      <c r="K479" s="407"/>
      <c r="L479" s="407"/>
      <c r="M479" s="407"/>
      <c r="N479" s="407"/>
      <c r="O479" s="407"/>
      <c r="P479" s="407"/>
      <c r="Q479" s="407"/>
      <c r="R479" s="407"/>
      <c r="S479" s="408"/>
      <c r="T479" s="408"/>
      <c r="U479" s="408"/>
      <c r="V479" s="409"/>
      <c r="W479" s="410"/>
      <c r="X479" s="277"/>
      <c r="Y479" s="277"/>
      <c r="Z479" s="277"/>
    </row>
    <row r="480" ht="12.75" customHeight="1">
      <c r="A480" s="277"/>
      <c r="B480" s="278"/>
      <c r="C480" s="277"/>
      <c r="D480" s="278"/>
      <c r="E480" s="279"/>
      <c r="F480" s="406"/>
      <c r="G480" s="407"/>
      <c r="H480" s="407"/>
      <c r="I480" s="407"/>
      <c r="J480" s="407"/>
      <c r="K480" s="407"/>
      <c r="L480" s="407"/>
      <c r="M480" s="407"/>
      <c r="N480" s="407"/>
      <c r="O480" s="407"/>
      <c r="P480" s="407"/>
      <c r="Q480" s="407"/>
      <c r="R480" s="407"/>
      <c r="S480" s="408"/>
      <c r="T480" s="408"/>
      <c r="U480" s="408"/>
      <c r="V480" s="409"/>
      <c r="W480" s="410"/>
      <c r="X480" s="277"/>
      <c r="Y480" s="277"/>
      <c r="Z480" s="277"/>
    </row>
    <row r="481" ht="12.75" customHeight="1">
      <c r="A481" s="277"/>
      <c r="B481" s="278"/>
      <c r="C481" s="277"/>
      <c r="D481" s="278"/>
      <c r="E481" s="279"/>
      <c r="F481" s="406"/>
      <c r="G481" s="407"/>
      <c r="H481" s="407"/>
      <c r="I481" s="407"/>
      <c r="J481" s="407"/>
      <c r="K481" s="407"/>
      <c r="L481" s="407"/>
      <c r="M481" s="407"/>
      <c r="N481" s="407"/>
      <c r="O481" s="407"/>
      <c r="P481" s="407"/>
      <c r="Q481" s="407"/>
      <c r="R481" s="407"/>
      <c r="S481" s="408"/>
      <c r="T481" s="408"/>
      <c r="U481" s="408"/>
      <c r="V481" s="409"/>
      <c r="W481" s="410"/>
      <c r="X481" s="277"/>
      <c r="Y481" s="277"/>
      <c r="Z481" s="277"/>
    </row>
    <row r="482" ht="12.75" customHeight="1">
      <c r="A482" s="277"/>
      <c r="B482" s="278"/>
      <c r="C482" s="277"/>
      <c r="D482" s="278"/>
      <c r="E482" s="279"/>
      <c r="F482" s="406"/>
      <c r="G482" s="407"/>
      <c r="H482" s="407"/>
      <c r="I482" s="407"/>
      <c r="J482" s="407"/>
      <c r="K482" s="407"/>
      <c r="L482" s="407"/>
      <c r="M482" s="407"/>
      <c r="N482" s="407"/>
      <c r="O482" s="407"/>
      <c r="P482" s="407"/>
      <c r="Q482" s="407"/>
      <c r="R482" s="407"/>
      <c r="S482" s="408"/>
      <c r="T482" s="408"/>
      <c r="U482" s="408"/>
      <c r="V482" s="409"/>
      <c r="W482" s="410"/>
      <c r="X482" s="277"/>
      <c r="Y482" s="277"/>
      <c r="Z482" s="277"/>
    </row>
    <row r="483" ht="12.75" customHeight="1">
      <c r="A483" s="277"/>
      <c r="B483" s="278"/>
      <c r="C483" s="277"/>
      <c r="D483" s="278"/>
      <c r="E483" s="279"/>
      <c r="F483" s="406"/>
      <c r="G483" s="407"/>
      <c r="H483" s="407"/>
      <c r="I483" s="407"/>
      <c r="J483" s="407"/>
      <c r="K483" s="407"/>
      <c r="L483" s="407"/>
      <c r="M483" s="407"/>
      <c r="N483" s="407"/>
      <c r="O483" s="407"/>
      <c r="P483" s="407"/>
      <c r="Q483" s="407"/>
      <c r="R483" s="407"/>
      <c r="S483" s="408"/>
      <c r="T483" s="408"/>
      <c r="U483" s="408"/>
      <c r="V483" s="409"/>
      <c r="W483" s="410"/>
      <c r="X483" s="277"/>
      <c r="Y483" s="277"/>
      <c r="Z483" s="277"/>
    </row>
    <row r="484" ht="12.75" customHeight="1">
      <c r="A484" s="277"/>
      <c r="B484" s="278"/>
      <c r="C484" s="277"/>
      <c r="D484" s="278"/>
      <c r="E484" s="279"/>
      <c r="F484" s="406"/>
      <c r="G484" s="407"/>
      <c r="H484" s="407"/>
      <c r="I484" s="407"/>
      <c r="J484" s="407"/>
      <c r="K484" s="407"/>
      <c r="L484" s="407"/>
      <c r="M484" s="407"/>
      <c r="N484" s="407"/>
      <c r="O484" s="407"/>
      <c r="P484" s="407"/>
      <c r="Q484" s="407"/>
      <c r="R484" s="407"/>
      <c r="S484" s="408"/>
      <c r="T484" s="408"/>
      <c r="U484" s="408"/>
      <c r="V484" s="409"/>
      <c r="W484" s="410"/>
      <c r="X484" s="277"/>
      <c r="Y484" s="277"/>
      <c r="Z484" s="277"/>
    </row>
    <row r="485" ht="12.75" customHeight="1">
      <c r="A485" s="277"/>
      <c r="B485" s="278"/>
      <c r="C485" s="277"/>
      <c r="D485" s="278"/>
      <c r="E485" s="279"/>
      <c r="F485" s="406"/>
      <c r="G485" s="407"/>
      <c r="H485" s="407"/>
      <c r="I485" s="407"/>
      <c r="J485" s="407"/>
      <c r="K485" s="407"/>
      <c r="L485" s="407"/>
      <c r="M485" s="407"/>
      <c r="N485" s="407"/>
      <c r="O485" s="407"/>
      <c r="P485" s="407"/>
      <c r="Q485" s="407"/>
      <c r="R485" s="407"/>
      <c r="S485" s="408"/>
      <c r="T485" s="408"/>
      <c r="U485" s="408"/>
      <c r="V485" s="409"/>
      <c r="W485" s="410"/>
      <c r="X485" s="277"/>
      <c r="Y485" s="277"/>
      <c r="Z485" s="277"/>
    </row>
    <row r="486" ht="12.75" customHeight="1">
      <c r="A486" s="277"/>
      <c r="B486" s="278"/>
      <c r="C486" s="277"/>
      <c r="D486" s="278"/>
      <c r="E486" s="279"/>
      <c r="F486" s="406"/>
      <c r="G486" s="407"/>
      <c r="H486" s="407"/>
      <c r="I486" s="407"/>
      <c r="J486" s="407"/>
      <c r="K486" s="407"/>
      <c r="L486" s="407"/>
      <c r="M486" s="407"/>
      <c r="N486" s="407"/>
      <c r="O486" s="407"/>
      <c r="P486" s="407"/>
      <c r="Q486" s="407"/>
      <c r="R486" s="407"/>
      <c r="S486" s="408"/>
      <c r="T486" s="408"/>
      <c r="U486" s="408"/>
      <c r="V486" s="409"/>
      <c r="W486" s="410"/>
      <c r="X486" s="277"/>
      <c r="Y486" s="277"/>
      <c r="Z486" s="277"/>
    </row>
    <row r="487" ht="12.75" customHeight="1">
      <c r="A487" s="277"/>
      <c r="B487" s="278"/>
      <c r="C487" s="277"/>
      <c r="D487" s="278"/>
      <c r="E487" s="279"/>
      <c r="F487" s="406"/>
      <c r="G487" s="407"/>
      <c r="H487" s="407"/>
      <c r="I487" s="407"/>
      <c r="J487" s="407"/>
      <c r="K487" s="407"/>
      <c r="L487" s="407"/>
      <c r="M487" s="407"/>
      <c r="N487" s="407"/>
      <c r="O487" s="407"/>
      <c r="P487" s="407"/>
      <c r="Q487" s="407"/>
      <c r="R487" s="407"/>
      <c r="S487" s="408"/>
      <c r="T487" s="408"/>
      <c r="U487" s="408"/>
      <c r="V487" s="409"/>
      <c r="W487" s="410"/>
      <c r="X487" s="277"/>
      <c r="Y487" s="277"/>
      <c r="Z487" s="277"/>
    </row>
    <row r="488" ht="12.75" customHeight="1">
      <c r="A488" s="277"/>
      <c r="B488" s="278"/>
      <c r="C488" s="277"/>
      <c r="D488" s="278"/>
      <c r="E488" s="279"/>
      <c r="F488" s="406"/>
      <c r="G488" s="407"/>
      <c r="H488" s="407"/>
      <c r="I488" s="407"/>
      <c r="J488" s="407"/>
      <c r="K488" s="407"/>
      <c r="L488" s="407"/>
      <c r="M488" s="407"/>
      <c r="N488" s="407"/>
      <c r="O488" s="407"/>
      <c r="P488" s="407"/>
      <c r="Q488" s="407"/>
      <c r="R488" s="407"/>
      <c r="S488" s="408"/>
      <c r="T488" s="408"/>
      <c r="U488" s="408"/>
      <c r="V488" s="409"/>
      <c r="W488" s="410"/>
      <c r="X488" s="277"/>
      <c r="Y488" s="277"/>
      <c r="Z488" s="277"/>
    </row>
    <row r="489" ht="12.75" customHeight="1">
      <c r="A489" s="277"/>
      <c r="B489" s="278"/>
      <c r="C489" s="277"/>
      <c r="D489" s="278"/>
      <c r="E489" s="279"/>
      <c r="F489" s="406"/>
      <c r="G489" s="407"/>
      <c r="H489" s="407"/>
      <c r="I489" s="407"/>
      <c r="J489" s="407"/>
      <c r="K489" s="407"/>
      <c r="L489" s="407"/>
      <c r="M489" s="407"/>
      <c r="N489" s="407"/>
      <c r="O489" s="407"/>
      <c r="P489" s="407"/>
      <c r="Q489" s="407"/>
      <c r="R489" s="407"/>
      <c r="S489" s="408"/>
      <c r="T489" s="408"/>
      <c r="U489" s="408"/>
      <c r="V489" s="409"/>
      <c r="W489" s="410"/>
      <c r="X489" s="277"/>
      <c r="Y489" s="277"/>
      <c r="Z489" s="277"/>
    </row>
    <row r="490" ht="12.75" customHeight="1">
      <c r="A490" s="277"/>
      <c r="B490" s="278"/>
      <c r="C490" s="277"/>
      <c r="D490" s="278"/>
      <c r="E490" s="279"/>
      <c r="F490" s="406"/>
      <c r="G490" s="407"/>
      <c r="H490" s="407"/>
      <c r="I490" s="407"/>
      <c r="J490" s="407"/>
      <c r="K490" s="407"/>
      <c r="L490" s="407"/>
      <c r="M490" s="407"/>
      <c r="N490" s="407"/>
      <c r="O490" s="407"/>
      <c r="P490" s="407"/>
      <c r="Q490" s="407"/>
      <c r="R490" s="407"/>
      <c r="S490" s="408"/>
      <c r="T490" s="408"/>
      <c r="U490" s="408"/>
      <c r="V490" s="409"/>
      <c r="W490" s="410"/>
      <c r="X490" s="277"/>
      <c r="Y490" s="277"/>
      <c r="Z490" s="277"/>
    </row>
    <row r="491" ht="12.75" customHeight="1">
      <c r="A491" s="277"/>
      <c r="B491" s="278"/>
      <c r="C491" s="277"/>
      <c r="D491" s="278"/>
      <c r="E491" s="279"/>
      <c r="F491" s="406"/>
      <c r="G491" s="407"/>
      <c r="H491" s="407"/>
      <c r="I491" s="407"/>
      <c r="J491" s="407"/>
      <c r="K491" s="407"/>
      <c r="L491" s="407"/>
      <c r="M491" s="407"/>
      <c r="N491" s="407"/>
      <c r="O491" s="407"/>
      <c r="P491" s="407"/>
      <c r="Q491" s="407"/>
      <c r="R491" s="407"/>
      <c r="S491" s="408"/>
      <c r="T491" s="408"/>
      <c r="U491" s="408"/>
      <c r="V491" s="409"/>
      <c r="W491" s="410"/>
      <c r="X491" s="277"/>
      <c r="Y491" s="277"/>
      <c r="Z491" s="277"/>
    </row>
    <row r="492" ht="12.75" customHeight="1">
      <c r="A492" s="277"/>
      <c r="B492" s="278"/>
      <c r="C492" s="277"/>
      <c r="D492" s="278"/>
      <c r="E492" s="279"/>
      <c r="F492" s="406"/>
      <c r="G492" s="407"/>
      <c r="H492" s="407"/>
      <c r="I492" s="407"/>
      <c r="J492" s="407"/>
      <c r="K492" s="407"/>
      <c r="L492" s="407"/>
      <c r="M492" s="407"/>
      <c r="N492" s="407"/>
      <c r="O492" s="407"/>
      <c r="P492" s="407"/>
      <c r="Q492" s="407"/>
      <c r="R492" s="407"/>
      <c r="S492" s="408"/>
      <c r="T492" s="408"/>
      <c r="U492" s="408"/>
      <c r="V492" s="409"/>
      <c r="W492" s="410"/>
      <c r="X492" s="277"/>
      <c r="Y492" s="277"/>
      <c r="Z492" s="277"/>
    </row>
    <row r="493" ht="12.75" customHeight="1">
      <c r="A493" s="277"/>
      <c r="B493" s="278"/>
      <c r="C493" s="277"/>
      <c r="D493" s="278"/>
      <c r="E493" s="279"/>
      <c r="F493" s="406"/>
      <c r="G493" s="407"/>
      <c r="H493" s="407"/>
      <c r="I493" s="407"/>
      <c r="J493" s="407"/>
      <c r="K493" s="407"/>
      <c r="L493" s="407"/>
      <c r="M493" s="407"/>
      <c r="N493" s="407"/>
      <c r="O493" s="407"/>
      <c r="P493" s="407"/>
      <c r="Q493" s="407"/>
      <c r="R493" s="407"/>
      <c r="S493" s="408"/>
      <c r="T493" s="408"/>
      <c r="U493" s="408"/>
      <c r="V493" s="409"/>
      <c r="W493" s="410"/>
      <c r="X493" s="277"/>
      <c r="Y493" s="277"/>
      <c r="Z493" s="277"/>
    </row>
    <row r="494" ht="12.75" customHeight="1">
      <c r="A494" s="277"/>
      <c r="B494" s="278"/>
      <c r="C494" s="277"/>
      <c r="D494" s="278"/>
      <c r="E494" s="279"/>
      <c r="F494" s="406"/>
      <c r="G494" s="407"/>
      <c r="H494" s="407"/>
      <c r="I494" s="407"/>
      <c r="J494" s="407"/>
      <c r="K494" s="407"/>
      <c r="L494" s="407"/>
      <c r="M494" s="407"/>
      <c r="N494" s="407"/>
      <c r="O494" s="407"/>
      <c r="P494" s="407"/>
      <c r="Q494" s="407"/>
      <c r="R494" s="407"/>
      <c r="S494" s="408"/>
      <c r="T494" s="408"/>
      <c r="U494" s="408"/>
      <c r="V494" s="409"/>
      <c r="W494" s="410"/>
      <c r="X494" s="277"/>
      <c r="Y494" s="277"/>
      <c r="Z494" s="277"/>
    </row>
    <row r="495" ht="12.75" customHeight="1">
      <c r="A495" s="277"/>
      <c r="B495" s="278"/>
      <c r="C495" s="277"/>
      <c r="D495" s="278"/>
      <c r="E495" s="279"/>
      <c r="F495" s="406"/>
      <c r="G495" s="407"/>
      <c r="H495" s="407"/>
      <c r="I495" s="407"/>
      <c r="J495" s="407"/>
      <c r="K495" s="407"/>
      <c r="L495" s="407"/>
      <c r="M495" s="407"/>
      <c r="N495" s="407"/>
      <c r="O495" s="407"/>
      <c r="P495" s="407"/>
      <c r="Q495" s="407"/>
      <c r="R495" s="407"/>
      <c r="S495" s="408"/>
      <c r="T495" s="408"/>
      <c r="U495" s="408"/>
      <c r="V495" s="409"/>
      <c r="W495" s="410"/>
      <c r="X495" s="277"/>
      <c r="Y495" s="277"/>
      <c r="Z495" s="277"/>
    </row>
    <row r="496" ht="12.75" customHeight="1">
      <c r="A496" s="277"/>
      <c r="B496" s="278"/>
      <c r="C496" s="277"/>
      <c r="D496" s="278"/>
      <c r="E496" s="279"/>
      <c r="F496" s="406"/>
      <c r="G496" s="407"/>
      <c r="H496" s="407"/>
      <c r="I496" s="407"/>
      <c r="J496" s="407"/>
      <c r="K496" s="407"/>
      <c r="L496" s="407"/>
      <c r="M496" s="407"/>
      <c r="N496" s="407"/>
      <c r="O496" s="407"/>
      <c r="P496" s="407"/>
      <c r="Q496" s="407"/>
      <c r="R496" s="407"/>
      <c r="S496" s="408"/>
      <c r="T496" s="408"/>
      <c r="U496" s="408"/>
      <c r="V496" s="409"/>
      <c r="W496" s="410"/>
      <c r="X496" s="277"/>
      <c r="Y496" s="277"/>
      <c r="Z496" s="277"/>
    </row>
    <row r="497" ht="12.75" customHeight="1">
      <c r="A497" s="277"/>
      <c r="B497" s="278"/>
      <c r="C497" s="277"/>
      <c r="D497" s="278"/>
      <c r="E497" s="279"/>
      <c r="F497" s="406"/>
      <c r="G497" s="407"/>
      <c r="H497" s="407"/>
      <c r="I497" s="407"/>
      <c r="J497" s="407"/>
      <c r="K497" s="407"/>
      <c r="L497" s="407"/>
      <c r="M497" s="407"/>
      <c r="N497" s="407"/>
      <c r="O497" s="407"/>
      <c r="P497" s="407"/>
      <c r="Q497" s="407"/>
      <c r="R497" s="407"/>
      <c r="S497" s="408"/>
      <c r="T497" s="408"/>
      <c r="U497" s="408"/>
      <c r="V497" s="409"/>
      <c r="W497" s="410"/>
      <c r="X497" s="277"/>
      <c r="Y497" s="277"/>
      <c r="Z497" s="277"/>
    </row>
    <row r="498" ht="12.75" customHeight="1">
      <c r="A498" s="277"/>
      <c r="B498" s="278"/>
      <c r="C498" s="277"/>
      <c r="D498" s="278"/>
      <c r="E498" s="279"/>
      <c r="F498" s="406"/>
      <c r="G498" s="407"/>
      <c r="H498" s="407"/>
      <c r="I498" s="407"/>
      <c r="J498" s="407"/>
      <c r="K498" s="407"/>
      <c r="L498" s="407"/>
      <c r="M498" s="407"/>
      <c r="N498" s="407"/>
      <c r="O498" s="407"/>
      <c r="P498" s="407"/>
      <c r="Q498" s="407"/>
      <c r="R498" s="407"/>
      <c r="S498" s="408"/>
      <c r="T498" s="408"/>
      <c r="U498" s="408"/>
      <c r="V498" s="409"/>
      <c r="W498" s="410"/>
      <c r="X498" s="277"/>
      <c r="Y498" s="277"/>
      <c r="Z498" s="277"/>
    </row>
    <row r="499" ht="12.75" customHeight="1">
      <c r="A499" s="277"/>
      <c r="B499" s="278"/>
      <c r="C499" s="277"/>
      <c r="D499" s="278"/>
      <c r="E499" s="279"/>
      <c r="F499" s="406"/>
      <c r="G499" s="407"/>
      <c r="H499" s="407"/>
      <c r="I499" s="407"/>
      <c r="J499" s="407"/>
      <c r="K499" s="407"/>
      <c r="L499" s="407"/>
      <c r="M499" s="407"/>
      <c r="N499" s="407"/>
      <c r="O499" s="407"/>
      <c r="P499" s="407"/>
      <c r="Q499" s="407"/>
      <c r="R499" s="407"/>
      <c r="S499" s="408"/>
      <c r="T499" s="408"/>
      <c r="U499" s="408"/>
      <c r="V499" s="409"/>
      <c r="W499" s="410"/>
      <c r="X499" s="277"/>
      <c r="Y499" s="277"/>
      <c r="Z499" s="277"/>
    </row>
    <row r="500" ht="12.75" customHeight="1">
      <c r="A500" s="277"/>
      <c r="B500" s="278"/>
      <c r="C500" s="277"/>
      <c r="D500" s="278"/>
      <c r="E500" s="279"/>
      <c r="F500" s="406"/>
      <c r="G500" s="407"/>
      <c r="H500" s="407"/>
      <c r="I500" s="407"/>
      <c r="J500" s="407"/>
      <c r="K500" s="407"/>
      <c r="L500" s="407"/>
      <c r="M500" s="407"/>
      <c r="N500" s="407"/>
      <c r="O500" s="407"/>
      <c r="P500" s="407"/>
      <c r="Q500" s="407"/>
      <c r="R500" s="407"/>
      <c r="S500" s="408"/>
      <c r="T500" s="408"/>
      <c r="U500" s="408"/>
      <c r="V500" s="409"/>
      <c r="W500" s="410"/>
      <c r="X500" s="277"/>
      <c r="Y500" s="277"/>
      <c r="Z500" s="277"/>
    </row>
    <row r="501" ht="12.75" customHeight="1">
      <c r="A501" s="277"/>
      <c r="B501" s="278"/>
      <c r="C501" s="277"/>
      <c r="D501" s="278"/>
      <c r="E501" s="279"/>
      <c r="F501" s="406"/>
      <c r="G501" s="407"/>
      <c r="H501" s="407"/>
      <c r="I501" s="407"/>
      <c r="J501" s="407"/>
      <c r="K501" s="407"/>
      <c r="L501" s="407"/>
      <c r="M501" s="407"/>
      <c r="N501" s="407"/>
      <c r="O501" s="407"/>
      <c r="P501" s="407"/>
      <c r="Q501" s="407"/>
      <c r="R501" s="407"/>
      <c r="S501" s="408"/>
      <c r="T501" s="408"/>
      <c r="U501" s="408"/>
      <c r="V501" s="409"/>
      <c r="W501" s="410"/>
      <c r="X501" s="277"/>
      <c r="Y501" s="277"/>
      <c r="Z501" s="277"/>
    </row>
    <row r="502" ht="12.75" customHeight="1">
      <c r="A502" s="277"/>
      <c r="B502" s="278"/>
      <c r="C502" s="277"/>
      <c r="D502" s="278"/>
      <c r="E502" s="279"/>
      <c r="F502" s="406"/>
      <c r="G502" s="407"/>
      <c r="H502" s="407"/>
      <c r="I502" s="407"/>
      <c r="J502" s="407"/>
      <c r="K502" s="407"/>
      <c r="L502" s="407"/>
      <c r="M502" s="407"/>
      <c r="N502" s="407"/>
      <c r="O502" s="407"/>
      <c r="P502" s="407"/>
      <c r="Q502" s="407"/>
      <c r="R502" s="407"/>
      <c r="S502" s="408"/>
      <c r="T502" s="408"/>
      <c r="U502" s="408"/>
      <c r="V502" s="409"/>
      <c r="W502" s="410"/>
      <c r="X502" s="277"/>
      <c r="Y502" s="277"/>
      <c r="Z502" s="277"/>
    </row>
    <row r="503" ht="12.75" customHeight="1">
      <c r="A503" s="277"/>
      <c r="B503" s="278"/>
      <c r="C503" s="277"/>
      <c r="D503" s="278"/>
      <c r="E503" s="279"/>
      <c r="F503" s="406"/>
      <c r="G503" s="407"/>
      <c r="H503" s="407"/>
      <c r="I503" s="407"/>
      <c r="J503" s="407"/>
      <c r="K503" s="407"/>
      <c r="L503" s="407"/>
      <c r="M503" s="407"/>
      <c r="N503" s="407"/>
      <c r="O503" s="407"/>
      <c r="P503" s="407"/>
      <c r="Q503" s="407"/>
      <c r="R503" s="407"/>
      <c r="S503" s="408"/>
      <c r="T503" s="408"/>
      <c r="U503" s="408"/>
      <c r="V503" s="409"/>
      <c r="W503" s="410"/>
      <c r="X503" s="277"/>
      <c r="Y503" s="277"/>
      <c r="Z503" s="277"/>
    </row>
    <row r="504" ht="12.75" customHeight="1">
      <c r="A504" s="277"/>
      <c r="B504" s="278"/>
      <c r="C504" s="277"/>
      <c r="D504" s="278"/>
      <c r="E504" s="279"/>
      <c r="F504" s="406"/>
      <c r="G504" s="407"/>
      <c r="H504" s="407"/>
      <c r="I504" s="407"/>
      <c r="J504" s="407"/>
      <c r="K504" s="407"/>
      <c r="L504" s="407"/>
      <c r="M504" s="407"/>
      <c r="N504" s="407"/>
      <c r="O504" s="407"/>
      <c r="P504" s="407"/>
      <c r="Q504" s="407"/>
      <c r="R504" s="407"/>
      <c r="S504" s="408"/>
      <c r="T504" s="408"/>
      <c r="U504" s="408"/>
      <c r="V504" s="409"/>
      <c r="W504" s="410"/>
      <c r="X504" s="277"/>
      <c r="Y504" s="277"/>
      <c r="Z504" s="277"/>
    </row>
    <row r="505" ht="12.75" customHeight="1">
      <c r="A505" s="277"/>
      <c r="B505" s="278"/>
      <c r="C505" s="277"/>
      <c r="D505" s="278"/>
      <c r="E505" s="279"/>
      <c r="F505" s="406"/>
      <c r="G505" s="407"/>
      <c r="H505" s="407"/>
      <c r="I505" s="407"/>
      <c r="J505" s="407"/>
      <c r="K505" s="407"/>
      <c r="L505" s="407"/>
      <c r="M505" s="407"/>
      <c r="N505" s="407"/>
      <c r="O505" s="407"/>
      <c r="P505" s="407"/>
      <c r="Q505" s="407"/>
      <c r="R505" s="407"/>
      <c r="S505" s="408"/>
      <c r="T505" s="408"/>
      <c r="U505" s="408"/>
      <c r="V505" s="409"/>
      <c r="W505" s="410"/>
      <c r="X505" s="277"/>
      <c r="Y505" s="277"/>
      <c r="Z505" s="277"/>
    </row>
    <row r="506" ht="12.75" customHeight="1">
      <c r="A506" s="277"/>
      <c r="B506" s="278"/>
      <c r="C506" s="277"/>
      <c r="D506" s="278"/>
      <c r="E506" s="279"/>
      <c r="F506" s="406"/>
      <c r="G506" s="407"/>
      <c r="H506" s="407"/>
      <c r="I506" s="407"/>
      <c r="J506" s="407"/>
      <c r="K506" s="407"/>
      <c r="L506" s="407"/>
      <c r="M506" s="407"/>
      <c r="N506" s="407"/>
      <c r="O506" s="407"/>
      <c r="P506" s="407"/>
      <c r="Q506" s="407"/>
      <c r="R506" s="407"/>
      <c r="S506" s="408"/>
      <c r="T506" s="408"/>
      <c r="U506" s="408"/>
      <c r="V506" s="409"/>
      <c r="W506" s="410"/>
      <c r="X506" s="277"/>
      <c r="Y506" s="277"/>
      <c r="Z506" s="277"/>
    </row>
    <row r="507" ht="12.75" customHeight="1">
      <c r="A507" s="277"/>
      <c r="B507" s="278"/>
      <c r="C507" s="277"/>
      <c r="D507" s="278"/>
      <c r="E507" s="279"/>
      <c r="F507" s="406"/>
      <c r="G507" s="407"/>
      <c r="H507" s="407"/>
      <c r="I507" s="407"/>
      <c r="J507" s="407"/>
      <c r="K507" s="407"/>
      <c r="L507" s="407"/>
      <c r="M507" s="407"/>
      <c r="N507" s="407"/>
      <c r="O507" s="407"/>
      <c r="P507" s="407"/>
      <c r="Q507" s="407"/>
      <c r="R507" s="407"/>
      <c r="S507" s="408"/>
      <c r="T507" s="408"/>
      <c r="U507" s="408"/>
      <c r="V507" s="409"/>
      <c r="W507" s="410"/>
      <c r="X507" s="277"/>
      <c r="Y507" s="277"/>
      <c r="Z507" s="277"/>
    </row>
    <row r="508" ht="12.75" customHeight="1">
      <c r="A508" s="277"/>
      <c r="B508" s="278"/>
      <c r="C508" s="277"/>
      <c r="D508" s="278"/>
      <c r="E508" s="279"/>
      <c r="F508" s="406"/>
      <c r="G508" s="407"/>
      <c r="H508" s="407"/>
      <c r="I508" s="407"/>
      <c r="J508" s="407"/>
      <c r="K508" s="407"/>
      <c r="L508" s="407"/>
      <c r="M508" s="407"/>
      <c r="N508" s="407"/>
      <c r="O508" s="407"/>
      <c r="P508" s="407"/>
      <c r="Q508" s="407"/>
      <c r="R508" s="407"/>
      <c r="S508" s="408"/>
      <c r="T508" s="408"/>
      <c r="U508" s="408"/>
      <c r="V508" s="409"/>
      <c r="W508" s="410"/>
      <c r="X508" s="277"/>
      <c r="Y508" s="277"/>
      <c r="Z508" s="277"/>
    </row>
    <row r="509" ht="12.75" customHeight="1">
      <c r="A509" s="277"/>
      <c r="B509" s="278"/>
      <c r="C509" s="277"/>
      <c r="D509" s="278"/>
      <c r="E509" s="279"/>
      <c r="F509" s="406"/>
      <c r="G509" s="407"/>
      <c r="H509" s="407"/>
      <c r="I509" s="407"/>
      <c r="J509" s="407"/>
      <c r="K509" s="407"/>
      <c r="L509" s="407"/>
      <c r="M509" s="407"/>
      <c r="N509" s="407"/>
      <c r="O509" s="407"/>
      <c r="P509" s="407"/>
      <c r="Q509" s="407"/>
      <c r="R509" s="407"/>
      <c r="S509" s="408"/>
      <c r="T509" s="408"/>
      <c r="U509" s="408"/>
      <c r="V509" s="409"/>
      <c r="W509" s="410"/>
      <c r="X509" s="277"/>
      <c r="Y509" s="277"/>
      <c r="Z509" s="277"/>
    </row>
    <row r="510" ht="12.75" customHeight="1">
      <c r="A510" s="277"/>
      <c r="B510" s="278"/>
      <c r="C510" s="277"/>
      <c r="D510" s="278"/>
      <c r="E510" s="279"/>
      <c r="F510" s="406"/>
      <c r="G510" s="407"/>
      <c r="H510" s="407"/>
      <c r="I510" s="407"/>
      <c r="J510" s="407"/>
      <c r="K510" s="407"/>
      <c r="L510" s="407"/>
      <c r="M510" s="407"/>
      <c r="N510" s="407"/>
      <c r="O510" s="407"/>
      <c r="P510" s="407"/>
      <c r="Q510" s="407"/>
      <c r="R510" s="407"/>
      <c r="S510" s="408"/>
      <c r="T510" s="408"/>
      <c r="U510" s="408"/>
      <c r="V510" s="409"/>
      <c r="W510" s="410"/>
      <c r="X510" s="277"/>
      <c r="Y510" s="277"/>
      <c r="Z510" s="277"/>
    </row>
    <row r="511" ht="12.75" customHeight="1">
      <c r="A511" s="277"/>
      <c r="B511" s="278"/>
      <c r="C511" s="277"/>
      <c r="D511" s="278"/>
      <c r="E511" s="279"/>
      <c r="F511" s="406"/>
      <c r="G511" s="407"/>
      <c r="H511" s="407"/>
      <c r="I511" s="407"/>
      <c r="J511" s="407"/>
      <c r="K511" s="407"/>
      <c r="L511" s="407"/>
      <c r="M511" s="407"/>
      <c r="N511" s="407"/>
      <c r="O511" s="407"/>
      <c r="P511" s="407"/>
      <c r="Q511" s="407"/>
      <c r="R511" s="407"/>
      <c r="S511" s="408"/>
      <c r="T511" s="408"/>
      <c r="U511" s="408"/>
      <c r="V511" s="409"/>
      <c r="W511" s="410"/>
      <c r="X511" s="277"/>
      <c r="Y511" s="277"/>
      <c r="Z511" s="277"/>
    </row>
    <row r="512" ht="12.75" customHeight="1">
      <c r="A512" s="277"/>
      <c r="B512" s="278"/>
      <c r="C512" s="277"/>
      <c r="D512" s="278"/>
      <c r="E512" s="279"/>
      <c r="F512" s="406"/>
      <c r="G512" s="407"/>
      <c r="H512" s="407"/>
      <c r="I512" s="407"/>
      <c r="J512" s="407"/>
      <c r="K512" s="407"/>
      <c r="L512" s="407"/>
      <c r="M512" s="407"/>
      <c r="N512" s="407"/>
      <c r="O512" s="407"/>
      <c r="P512" s="407"/>
      <c r="Q512" s="407"/>
      <c r="R512" s="407"/>
      <c r="S512" s="408"/>
      <c r="T512" s="408"/>
      <c r="U512" s="408"/>
      <c r="V512" s="409"/>
      <c r="W512" s="410"/>
      <c r="X512" s="277"/>
      <c r="Y512" s="277"/>
      <c r="Z512" s="277"/>
    </row>
    <row r="513" ht="12.75" customHeight="1">
      <c r="A513" s="277"/>
      <c r="B513" s="278"/>
      <c r="C513" s="277"/>
      <c r="D513" s="278"/>
      <c r="E513" s="279"/>
      <c r="F513" s="406"/>
      <c r="G513" s="407"/>
      <c r="H513" s="407"/>
      <c r="I513" s="407"/>
      <c r="J513" s="407"/>
      <c r="K513" s="407"/>
      <c r="L513" s="407"/>
      <c r="M513" s="407"/>
      <c r="N513" s="407"/>
      <c r="O513" s="407"/>
      <c r="P513" s="407"/>
      <c r="Q513" s="407"/>
      <c r="R513" s="407"/>
      <c r="S513" s="408"/>
      <c r="T513" s="408"/>
      <c r="U513" s="408"/>
      <c r="V513" s="409"/>
      <c r="W513" s="410"/>
      <c r="X513" s="277"/>
      <c r="Y513" s="277"/>
      <c r="Z513" s="277"/>
    </row>
    <row r="514" ht="12.75" customHeight="1">
      <c r="A514" s="277"/>
      <c r="B514" s="278"/>
      <c r="C514" s="277"/>
      <c r="D514" s="278"/>
      <c r="E514" s="279"/>
      <c r="F514" s="406"/>
      <c r="G514" s="407"/>
      <c r="H514" s="407"/>
      <c r="I514" s="407"/>
      <c r="J514" s="407"/>
      <c r="K514" s="407"/>
      <c r="L514" s="407"/>
      <c r="M514" s="407"/>
      <c r="N514" s="407"/>
      <c r="O514" s="407"/>
      <c r="P514" s="407"/>
      <c r="Q514" s="407"/>
      <c r="R514" s="407"/>
      <c r="S514" s="408"/>
      <c r="T514" s="408"/>
      <c r="U514" s="408"/>
      <c r="V514" s="409"/>
      <c r="W514" s="410"/>
      <c r="X514" s="277"/>
      <c r="Y514" s="277"/>
      <c r="Z514" s="277"/>
    </row>
    <row r="515" ht="12.75" customHeight="1">
      <c r="A515" s="277"/>
      <c r="B515" s="278"/>
      <c r="C515" s="277"/>
      <c r="D515" s="278"/>
      <c r="E515" s="279"/>
      <c r="F515" s="406"/>
      <c r="G515" s="407"/>
      <c r="H515" s="407"/>
      <c r="I515" s="407"/>
      <c r="J515" s="407"/>
      <c r="K515" s="407"/>
      <c r="L515" s="407"/>
      <c r="M515" s="407"/>
      <c r="N515" s="407"/>
      <c r="O515" s="407"/>
      <c r="P515" s="407"/>
      <c r="Q515" s="407"/>
      <c r="R515" s="407"/>
      <c r="S515" s="408"/>
      <c r="T515" s="408"/>
      <c r="U515" s="408"/>
      <c r="V515" s="409"/>
      <c r="W515" s="410"/>
      <c r="X515" s="277"/>
      <c r="Y515" s="277"/>
      <c r="Z515" s="277"/>
    </row>
    <row r="516" ht="12.75" customHeight="1">
      <c r="A516" s="277"/>
      <c r="B516" s="278"/>
      <c r="C516" s="277"/>
      <c r="D516" s="278"/>
      <c r="E516" s="279"/>
      <c r="F516" s="406"/>
      <c r="G516" s="407"/>
      <c r="H516" s="407"/>
      <c r="I516" s="407"/>
      <c r="J516" s="407"/>
      <c r="K516" s="407"/>
      <c r="L516" s="407"/>
      <c r="M516" s="407"/>
      <c r="N516" s="407"/>
      <c r="O516" s="407"/>
      <c r="P516" s="407"/>
      <c r="Q516" s="407"/>
      <c r="R516" s="407"/>
      <c r="S516" s="408"/>
      <c r="T516" s="408"/>
      <c r="U516" s="408"/>
      <c r="V516" s="409"/>
      <c r="W516" s="410"/>
      <c r="X516" s="277"/>
      <c r="Y516" s="277"/>
      <c r="Z516" s="277"/>
    </row>
    <row r="517" ht="12.75" customHeight="1">
      <c r="A517" s="277"/>
      <c r="B517" s="278"/>
      <c r="C517" s="277"/>
      <c r="D517" s="278"/>
      <c r="E517" s="279"/>
      <c r="F517" s="406"/>
      <c r="G517" s="407"/>
      <c r="H517" s="407"/>
      <c r="I517" s="407"/>
      <c r="J517" s="407"/>
      <c r="K517" s="407"/>
      <c r="L517" s="407"/>
      <c r="M517" s="407"/>
      <c r="N517" s="407"/>
      <c r="O517" s="407"/>
      <c r="P517" s="407"/>
      <c r="Q517" s="407"/>
      <c r="R517" s="407"/>
      <c r="S517" s="408"/>
      <c r="T517" s="408"/>
      <c r="U517" s="408"/>
      <c r="V517" s="409"/>
      <c r="W517" s="410"/>
      <c r="X517" s="277"/>
      <c r="Y517" s="277"/>
      <c r="Z517" s="277"/>
    </row>
    <row r="518" ht="12.75" customHeight="1">
      <c r="A518" s="277"/>
      <c r="B518" s="278"/>
      <c r="C518" s="277"/>
      <c r="D518" s="278"/>
      <c r="E518" s="279"/>
      <c r="F518" s="406"/>
      <c r="G518" s="407"/>
      <c r="H518" s="407"/>
      <c r="I518" s="407"/>
      <c r="J518" s="407"/>
      <c r="K518" s="407"/>
      <c r="L518" s="407"/>
      <c r="M518" s="407"/>
      <c r="N518" s="407"/>
      <c r="O518" s="407"/>
      <c r="P518" s="407"/>
      <c r="Q518" s="407"/>
      <c r="R518" s="407"/>
      <c r="S518" s="408"/>
      <c r="T518" s="408"/>
      <c r="U518" s="408"/>
      <c r="V518" s="409"/>
      <c r="W518" s="410"/>
      <c r="X518" s="277"/>
      <c r="Y518" s="277"/>
      <c r="Z518" s="277"/>
    </row>
    <row r="519" ht="12.75" customHeight="1">
      <c r="A519" s="277"/>
      <c r="B519" s="278"/>
      <c r="C519" s="277"/>
      <c r="D519" s="278"/>
      <c r="E519" s="279"/>
      <c r="F519" s="406"/>
      <c r="G519" s="407"/>
      <c r="H519" s="407"/>
      <c r="I519" s="407"/>
      <c r="J519" s="407"/>
      <c r="K519" s="407"/>
      <c r="L519" s="407"/>
      <c r="M519" s="407"/>
      <c r="N519" s="407"/>
      <c r="O519" s="407"/>
      <c r="P519" s="407"/>
      <c r="Q519" s="407"/>
      <c r="R519" s="407"/>
      <c r="S519" s="408"/>
      <c r="T519" s="408"/>
      <c r="U519" s="408"/>
      <c r="V519" s="409"/>
      <c r="W519" s="410"/>
      <c r="X519" s="277"/>
      <c r="Y519" s="277"/>
      <c r="Z519" s="277"/>
    </row>
    <row r="520" ht="12.75" customHeight="1">
      <c r="A520" s="277"/>
      <c r="B520" s="278"/>
      <c r="C520" s="277"/>
      <c r="D520" s="278"/>
      <c r="E520" s="279"/>
      <c r="F520" s="406"/>
      <c r="G520" s="407"/>
      <c r="H520" s="407"/>
      <c r="I520" s="407"/>
      <c r="J520" s="407"/>
      <c r="K520" s="407"/>
      <c r="L520" s="407"/>
      <c r="M520" s="407"/>
      <c r="N520" s="407"/>
      <c r="O520" s="407"/>
      <c r="P520" s="407"/>
      <c r="Q520" s="407"/>
      <c r="R520" s="407"/>
      <c r="S520" s="408"/>
      <c r="T520" s="408"/>
      <c r="U520" s="408"/>
      <c r="V520" s="409"/>
      <c r="W520" s="410"/>
      <c r="X520" s="277"/>
      <c r="Y520" s="277"/>
      <c r="Z520" s="277"/>
    </row>
    <row r="521" ht="12.75" customHeight="1">
      <c r="A521" s="277"/>
      <c r="B521" s="278"/>
      <c r="C521" s="277"/>
      <c r="D521" s="278"/>
      <c r="E521" s="279"/>
      <c r="F521" s="406"/>
      <c r="G521" s="407"/>
      <c r="H521" s="407"/>
      <c r="I521" s="407"/>
      <c r="J521" s="407"/>
      <c r="K521" s="407"/>
      <c r="L521" s="407"/>
      <c r="M521" s="407"/>
      <c r="N521" s="407"/>
      <c r="O521" s="407"/>
      <c r="P521" s="407"/>
      <c r="Q521" s="407"/>
      <c r="R521" s="407"/>
      <c r="S521" s="408"/>
      <c r="T521" s="408"/>
      <c r="U521" s="408"/>
      <c r="V521" s="409"/>
      <c r="W521" s="410"/>
      <c r="X521" s="277"/>
      <c r="Y521" s="277"/>
      <c r="Z521" s="277"/>
    </row>
    <row r="522" ht="12.75" customHeight="1">
      <c r="A522" s="277"/>
      <c r="B522" s="278"/>
      <c r="C522" s="277"/>
      <c r="D522" s="278"/>
      <c r="E522" s="279"/>
      <c r="F522" s="406"/>
      <c r="G522" s="407"/>
      <c r="H522" s="407"/>
      <c r="I522" s="407"/>
      <c r="J522" s="407"/>
      <c r="K522" s="407"/>
      <c r="L522" s="407"/>
      <c r="M522" s="407"/>
      <c r="N522" s="407"/>
      <c r="O522" s="407"/>
      <c r="P522" s="407"/>
      <c r="Q522" s="407"/>
      <c r="R522" s="407"/>
      <c r="S522" s="408"/>
      <c r="T522" s="408"/>
      <c r="U522" s="408"/>
      <c r="V522" s="409"/>
      <c r="W522" s="410"/>
      <c r="X522" s="277"/>
      <c r="Y522" s="277"/>
      <c r="Z522" s="277"/>
    </row>
    <row r="523" ht="12.75" customHeight="1">
      <c r="A523" s="277"/>
      <c r="B523" s="278"/>
      <c r="C523" s="277"/>
      <c r="D523" s="278"/>
      <c r="E523" s="279"/>
      <c r="F523" s="406"/>
      <c r="G523" s="407"/>
      <c r="H523" s="407"/>
      <c r="I523" s="407"/>
      <c r="J523" s="407"/>
      <c r="K523" s="407"/>
      <c r="L523" s="407"/>
      <c r="M523" s="407"/>
      <c r="N523" s="407"/>
      <c r="O523" s="407"/>
      <c r="P523" s="407"/>
      <c r="Q523" s="407"/>
      <c r="R523" s="407"/>
      <c r="S523" s="408"/>
      <c r="T523" s="408"/>
      <c r="U523" s="408"/>
      <c r="V523" s="409"/>
      <c r="W523" s="410"/>
      <c r="X523" s="277"/>
      <c r="Y523" s="277"/>
      <c r="Z523" s="277"/>
    </row>
    <row r="524" ht="12.75" customHeight="1">
      <c r="A524" s="277"/>
      <c r="B524" s="278"/>
      <c r="C524" s="277"/>
      <c r="D524" s="278"/>
      <c r="E524" s="279"/>
      <c r="F524" s="406"/>
      <c r="G524" s="407"/>
      <c r="H524" s="407"/>
      <c r="I524" s="407"/>
      <c r="J524" s="407"/>
      <c r="K524" s="407"/>
      <c r="L524" s="407"/>
      <c r="M524" s="407"/>
      <c r="N524" s="407"/>
      <c r="O524" s="407"/>
      <c r="P524" s="407"/>
      <c r="Q524" s="407"/>
      <c r="R524" s="407"/>
      <c r="S524" s="408"/>
      <c r="T524" s="408"/>
      <c r="U524" s="408"/>
      <c r="V524" s="409"/>
      <c r="W524" s="410"/>
      <c r="X524" s="277"/>
      <c r="Y524" s="277"/>
      <c r="Z524" s="277"/>
    </row>
    <row r="525" ht="12.75" customHeight="1">
      <c r="A525" s="277"/>
      <c r="B525" s="278"/>
      <c r="C525" s="277"/>
      <c r="D525" s="278"/>
      <c r="E525" s="279"/>
      <c r="F525" s="406"/>
      <c r="G525" s="407"/>
      <c r="H525" s="407"/>
      <c r="I525" s="407"/>
      <c r="J525" s="407"/>
      <c r="K525" s="407"/>
      <c r="L525" s="407"/>
      <c r="M525" s="407"/>
      <c r="N525" s="407"/>
      <c r="O525" s="407"/>
      <c r="P525" s="407"/>
      <c r="Q525" s="407"/>
      <c r="R525" s="407"/>
      <c r="S525" s="408"/>
      <c r="T525" s="408"/>
      <c r="U525" s="408"/>
      <c r="V525" s="409"/>
      <c r="W525" s="410"/>
      <c r="X525" s="277"/>
      <c r="Y525" s="277"/>
      <c r="Z525" s="277"/>
    </row>
    <row r="526" ht="12.75" customHeight="1">
      <c r="A526" s="277"/>
      <c r="B526" s="278"/>
      <c r="C526" s="277"/>
      <c r="D526" s="278"/>
      <c r="E526" s="279"/>
      <c r="F526" s="406"/>
      <c r="G526" s="407"/>
      <c r="H526" s="407"/>
      <c r="I526" s="407"/>
      <c r="J526" s="407"/>
      <c r="K526" s="407"/>
      <c r="L526" s="407"/>
      <c r="M526" s="407"/>
      <c r="N526" s="407"/>
      <c r="O526" s="407"/>
      <c r="P526" s="407"/>
      <c r="Q526" s="407"/>
      <c r="R526" s="407"/>
      <c r="S526" s="408"/>
      <c r="T526" s="408"/>
      <c r="U526" s="408"/>
      <c r="V526" s="409"/>
      <c r="W526" s="410"/>
      <c r="X526" s="277"/>
      <c r="Y526" s="277"/>
      <c r="Z526" s="277"/>
    </row>
    <row r="527" ht="12.75" customHeight="1">
      <c r="A527" s="277"/>
      <c r="B527" s="278"/>
      <c r="C527" s="277"/>
      <c r="D527" s="278"/>
      <c r="E527" s="279"/>
      <c r="F527" s="406"/>
      <c r="G527" s="407"/>
      <c r="H527" s="407"/>
      <c r="I527" s="407"/>
      <c r="J527" s="407"/>
      <c r="K527" s="407"/>
      <c r="L527" s="407"/>
      <c r="M527" s="407"/>
      <c r="N527" s="407"/>
      <c r="O527" s="407"/>
      <c r="P527" s="407"/>
      <c r="Q527" s="407"/>
      <c r="R527" s="407"/>
      <c r="S527" s="408"/>
      <c r="T527" s="408"/>
      <c r="U527" s="408"/>
      <c r="V527" s="409"/>
      <c r="W527" s="410"/>
      <c r="X527" s="277"/>
      <c r="Y527" s="277"/>
      <c r="Z527" s="277"/>
    </row>
    <row r="528" ht="12.75" customHeight="1">
      <c r="A528" s="277"/>
      <c r="B528" s="278"/>
      <c r="C528" s="277"/>
      <c r="D528" s="278"/>
      <c r="E528" s="279"/>
      <c r="F528" s="406"/>
      <c r="G528" s="407"/>
      <c r="H528" s="407"/>
      <c r="I528" s="407"/>
      <c r="J528" s="407"/>
      <c r="K528" s="407"/>
      <c r="L528" s="407"/>
      <c r="M528" s="407"/>
      <c r="N528" s="407"/>
      <c r="O528" s="407"/>
      <c r="P528" s="407"/>
      <c r="Q528" s="407"/>
      <c r="R528" s="407"/>
      <c r="S528" s="408"/>
      <c r="T528" s="408"/>
      <c r="U528" s="408"/>
      <c r="V528" s="409"/>
      <c r="W528" s="410"/>
      <c r="X528" s="277"/>
      <c r="Y528" s="277"/>
      <c r="Z528" s="277"/>
    </row>
    <row r="529" ht="12.75" customHeight="1">
      <c r="A529" s="277"/>
      <c r="B529" s="278"/>
      <c r="C529" s="277"/>
      <c r="D529" s="278"/>
      <c r="E529" s="279"/>
      <c r="F529" s="406"/>
      <c r="G529" s="407"/>
      <c r="H529" s="407"/>
      <c r="I529" s="407"/>
      <c r="J529" s="407"/>
      <c r="K529" s="407"/>
      <c r="L529" s="407"/>
      <c r="M529" s="407"/>
      <c r="N529" s="407"/>
      <c r="O529" s="407"/>
      <c r="P529" s="407"/>
      <c r="Q529" s="407"/>
      <c r="R529" s="407"/>
      <c r="S529" s="408"/>
      <c r="T529" s="408"/>
      <c r="U529" s="408"/>
      <c r="V529" s="409"/>
      <c r="W529" s="410"/>
      <c r="X529" s="277"/>
      <c r="Y529" s="277"/>
      <c r="Z529" s="277"/>
    </row>
    <row r="530" ht="12.75" customHeight="1">
      <c r="A530" s="277"/>
      <c r="B530" s="278"/>
      <c r="C530" s="277"/>
      <c r="D530" s="278"/>
      <c r="E530" s="279"/>
      <c r="F530" s="406"/>
      <c r="G530" s="407"/>
      <c r="H530" s="407"/>
      <c r="I530" s="407"/>
      <c r="J530" s="407"/>
      <c r="K530" s="407"/>
      <c r="L530" s="407"/>
      <c r="M530" s="407"/>
      <c r="N530" s="407"/>
      <c r="O530" s="407"/>
      <c r="P530" s="407"/>
      <c r="Q530" s="407"/>
      <c r="R530" s="407"/>
      <c r="S530" s="408"/>
      <c r="T530" s="408"/>
      <c r="U530" s="408"/>
      <c r="V530" s="409"/>
      <c r="W530" s="410"/>
      <c r="X530" s="277"/>
      <c r="Y530" s="277"/>
      <c r="Z530" s="277"/>
    </row>
    <row r="531" ht="12.75" customHeight="1">
      <c r="A531" s="277"/>
      <c r="B531" s="278"/>
      <c r="C531" s="277"/>
      <c r="D531" s="278"/>
      <c r="E531" s="279"/>
      <c r="F531" s="406"/>
      <c r="G531" s="407"/>
      <c r="H531" s="407"/>
      <c r="I531" s="407"/>
      <c r="J531" s="407"/>
      <c r="K531" s="407"/>
      <c r="L531" s="407"/>
      <c r="M531" s="407"/>
      <c r="N531" s="407"/>
      <c r="O531" s="407"/>
      <c r="P531" s="407"/>
      <c r="Q531" s="407"/>
      <c r="R531" s="407"/>
      <c r="S531" s="408"/>
      <c r="T531" s="408"/>
      <c r="U531" s="408"/>
      <c r="V531" s="409"/>
      <c r="W531" s="410"/>
      <c r="X531" s="277"/>
      <c r="Y531" s="277"/>
      <c r="Z531" s="277"/>
    </row>
    <row r="532" ht="12.75" customHeight="1">
      <c r="A532" s="277"/>
      <c r="B532" s="278"/>
      <c r="C532" s="277"/>
      <c r="D532" s="278"/>
      <c r="E532" s="279"/>
      <c r="F532" s="406"/>
      <c r="G532" s="407"/>
      <c r="H532" s="407"/>
      <c r="I532" s="407"/>
      <c r="J532" s="407"/>
      <c r="K532" s="407"/>
      <c r="L532" s="407"/>
      <c r="M532" s="407"/>
      <c r="N532" s="407"/>
      <c r="O532" s="407"/>
      <c r="P532" s="407"/>
      <c r="Q532" s="407"/>
      <c r="R532" s="407"/>
      <c r="S532" s="408"/>
      <c r="T532" s="408"/>
      <c r="U532" s="408"/>
      <c r="V532" s="409"/>
      <c r="W532" s="410"/>
      <c r="X532" s="277"/>
      <c r="Y532" s="277"/>
      <c r="Z532" s="277"/>
    </row>
    <row r="533" ht="12.75" customHeight="1">
      <c r="A533" s="277"/>
      <c r="B533" s="278"/>
      <c r="C533" s="277"/>
      <c r="D533" s="278"/>
      <c r="E533" s="279"/>
      <c r="F533" s="406"/>
      <c r="G533" s="407"/>
      <c r="H533" s="407"/>
      <c r="I533" s="407"/>
      <c r="J533" s="407"/>
      <c r="K533" s="407"/>
      <c r="L533" s="407"/>
      <c r="M533" s="407"/>
      <c r="N533" s="407"/>
      <c r="O533" s="407"/>
      <c r="P533" s="407"/>
      <c r="Q533" s="407"/>
      <c r="R533" s="407"/>
      <c r="S533" s="408"/>
      <c r="T533" s="408"/>
      <c r="U533" s="408"/>
      <c r="V533" s="409"/>
      <c r="W533" s="410"/>
      <c r="X533" s="277"/>
      <c r="Y533" s="277"/>
      <c r="Z533" s="277"/>
    </row>
    <row r="534" ht="12.75" customHeight="1">
      <c r="A534" s="277"/>
      <c r="B534" s="278"/>
      <c r="C534" s="277"/>
      <c r="D534" s="278"/>
      <c r="E534" s="279"/>
      <c r="F534" s="406"/>
      <c r="G534" s="407"/>
      <c r="H534" s="407"/>
      <c r="I534" s="407"/>
      <c r="J534" s="407"/>
      <c r="K534" s="407"/>
      <c r="L534" s="407"/>
      <c r="M534" s="407"/>
      <c r="N534" s="407"/>
      <c r="O534" s="407"/>
      <c r="P534" s="407"/>
      <c r="Q534" s="407"/>
      <c r="R534" s="407"/>
      <c r="S534" s="408"/>
      <c r="T534" s="408"/>
      <c r="U534" s="408"/>
      <c r="V534" s="409"/>
      <c r="W534" s="410"/>
      <c r="X534" s="277"/>
      <c r="Y534" s="277"/>
      <c r="Z534" s="277"/>
    </row>
    <row r="535" ht="12.75" customHeight="1">
      <c r="A535" s="277"/>
      <c r="B535" s="278"/>
      <c r="C535" s="277"/>
      <c r="D535" s="278"/>
      <c r="E535" s="279"/>
      <c r="F535" s="406"/>
      <c r="G535" s="407"/>
      <c r="H535" s="407"/>
      <c r="I535" s="407"/>
      <c r="J535" s="407"/>
      <c r="K535" s="407"/>
      <c r="L535" s="407"/>
      <c r="M535" s="407"/>
      <c r="N535" s="407"/>
      <c r="O535" s="407"/>
      <c r="P535" s="407"/>
      <c r="Q535" s="407"/>
      <c r="R535" s="407"/>
      <c r="S535" s="408"/>
      <c r="T535" s="408"/>
      <c r="U535" s="408"/>
      <c r="V535" s="409"/>
      <c r="W535" s="410"/>
      <c r="X535" s="277"/>
      <c r="Y535" s="277"/>
      <c r="Z535" s="277"/>
    </row>
    <row r="536" ht="12.75" customHeight="1">
      <c r="A536" s="277"/>
      <c r="B536" s="278"/>
      <c r="C536" s="277"/>
      <c r="D536" s="278"/>
      <c r="E536" s="279"/>
      <c r="F536" s="406"/>
      <c r="G536" s="407"/>
      <c r="H536" s="407"/>
      <c r="I536" s="407"/>
      <c r="J536" s="407"/>
      <c r="K536" s="407"/>
      <c r="L536" s="407"/>
      <c r="M536" s="407"/>
      <c r="N536" s="407"/>
      <c r="O536" s="407"/>
      <c r="P536" s="407"/>
      <c r="Q536" s="407"/>
      <c r="R536" s="407"/>
      <c r="S536" s="408"/>
      <c r="T536" s="408"/>
      <c r="U536" s="408"/>
      <c r="V536" s="409"/>
      <c r="W536" s="410"/>
      <c r="X536" s="277"/>
      <c r="Y536" s="277"/>
      <c r="Z536" s="277"/>
    </row>
    <row r="537" ht="12.75" customHeight="1">
      <c r="A537" s="277"/>
      <c r="B537" s="278"/>
      <c r="C537" s="277"/>
      <c r="D537" s="278"/>
      <c r="E537" s="279"/>
      <c r="F537" s="406"/>
      <c r="G537" s="407"/>
      <c r="H537" s="407"/>
      <c r="I537" s="407"/>
      <c r="J537" s="407"/>
      <c r="K537" s="407"/>
      <c r="L537" s="407"/>
      <c r="M537" s="407"/>
      <c r="N537" s="407"/>
      <c r="O537" s="407"/>
      <c r="P537" s="407"/>
      <c r="Q537" s="407"/>
      <c r="R537" s="407"/>
      <c r="S537" s="408"/>
      <c r="T537" s="408"/>
      <c r="U537" s="408"/>
      <c r="V537" s="409"/>
      <c r="W537" s="410"/>
      <c r="X537" s="277"/>
      <c r="Y537" s="277"/>
      <c r="Z537" s="277"/>
    </row>
    <row r="538" ht="12.75" customHeight="1">
      <c r="A538" s="277"/>
      <c r="B538" s="278"/>
      <c r="C538" s="277"/>
      <c r="D538" s="278"/>
      <c r="E538" s="279"/>
      <c r="F538" s="406"/>
      <c r="G538" s="407"/>
      <c r="H538" s="407"/>
      <c r="I538" s="407"/>
      <c r="J538" s="407"/>
      <c r="K538" s="407"/>
      <c r="L538" s="407"/>
      <c r="M538" s="407"/>
      <c r="N538" s="407"/>
      <c r="O538" s="407"/>
      <c r="P538" s="407"/>
      <c r="Q538" s="407"/>
      <c r="R538" s="407"/>
      <c r="S538" s="408"/>
      <c r="T538" s="408"/>
      <c r="U538" s="408"/>
      <c r="V538" s="409"/>
      <c r="W538" s="410"/>
      <c r="X538" s="277"/>
      <c r="Y538" s="277"/>
      <c r="Z538" s="277"/>
    </row>
    <row r="539" ht="12.75" customHeight="1">
      <c r="A539" s="277"/>
      <c r="B539" s="278"/>
      <c r="C539" s="277"/>
      <c r="D539" s="278"/>
      <c r="E539" s="279"/>
      <c r="F539" s="406"/>
      <c r="G539" s="407"/>
      <c r="H539" s="407"/>
      <c r="I539" s="407"/>
      <c r="J539" s="407"/>
      <c r="K539" s="407"/>
      <c r="L539" s="407"/>
      <c r="M539" s="407"/>
      <c r="N539" s="407"/>
      <c r="O539" s="407"/>
      <c r="P539" s="407"/>
      <c r="Q539" s="407"/>
      <c r="R539" s="407"/>
      <c r="S539" s="408"/>
      <c r="T539" s="408"/>
      <c r="U539" s="408"/>
      <c r="V539" s="409"/>
      <c r="W539" s="410"/>
      <c r="X539" s="277"/>
      <c r="Y539" s="277"/>
      <c r="Z539" s="277"/>
    </row>
    <row r="540" ht="12.75" customHeight="1">
      <c r="A540" s="277"/>
      <c r="B540" s="278"/>
      <c r="C540" s="277"/>
      <c r="D540" s="278"/>
      <c r="E540" s="279"/>
      <c r="F540" s="406"/>
      <c r="G540" s="407"/>
      <c r="H540" s="407"/>
      <c r="I540" s="407"/>
      <c r="J540" s="407"/>
      <c r="K540" s="407"/>
      <c r="L540" s="407"/>
      <c r="M540" s="407"/>
      <c r="N540" s="407"/>
      <c r="O540" s="407"/>
      <c r="P540" s="407"/>
      <c r="Q540" s="407"/>
      <c r="R540" s="407"/>
      <c r="S540" s="408"/>
      <c r="T540" s="408"/>
      <c r="U540" s="408"/>
      <c r="V540" s="409"/>
      <c r="W540" s="410"/>
      <c r="X540" s="277"/>
      <c r="Y540" s="277"/>
      <c r="Z540" s="277"/>
    </row>
    <row r="541" ht="12.75" customHeight="1">
      <c r="A541" s="277"/>
      <c r="B541" s="278"/>
      <c r="C541" s="277"/>
      <c r="D541" s="278"/>
      <c r="E541" s="279"/>
      <c r="F541" s="406"/>
      <c r="G541" s="407"/>
      <c r="H541" s="407"/>
      <c r="I541" s="407"/>
      <c r="J541" s="407"/>
      <c r="K541" s="407"/>
      <c r="L541" s="407"/>
      <c r="M541" s="407"/>
      <c r="N541" s="407"/>
      <c r="O541" s="407"/>
      <c r="P541" s="407"/>
      <c r="Q541" s="407"/>
      <c r="R541" s="407"/>
      <c r="S541" s="408"/>
      <c r="T541" s="408"/>
      <c r="U541" s="408"/>
      <c r="V541" s="409"/>
      <c r="W541" s="410"/>
      <c r="X541" s="277"/>
      <c r="Y541" s="277"/>
      <c r="Z541" s="277"/>
    </row>
    <row r="542" ht="12.75" customHeight="1">
      <c r="A542" s="277"/>
      <c r="B542" s="278"/>
      <c r="C542" s="277"/>
      <c r="D542" s="278"/>
      <c r="E542" s="279"/>
      <c r="F542" s="406"/>
      <c r="G542" s="407"/>
      <c r="H542" s="407"/>
      <c r="I542" s="407"/>
      <c r="J542" s="407"/>
      <c r="K542" s="407"/>
      <c r="L542" s="407"/>
      <c r="M542" s="407"/>
      <c r="N542" s="407"/>
      <c r="O542" s="407"/>
      <c r="P542" s="407"/>
      <c r="Q542" s="407"/>
      <c r="R542" s="407"/>
      <c r="S542" s="408"/>
      <c r="T542" s="408"/>
      <c r="U542" s="408"/>
      <c r="V542" s="409"/>
      <c r="W542" s="410"/>
      <c r="X542" s="277"/>
      <c r="Y542" s="277"/>
      <c r="Z542" s="277"/>
    </row>
    <row r="543" ht="12.75" customHeight="1">
      <c r="A543" s="277"/>
      <c r="B543" s="278"/>
      <c r="C543" s="277"/>
      <c r="D543" s="278"/>
      <c r="E543" s="279"/>
      <c r="F543" s="406"/>
      <c r="G543" s="407"/>
      <c r="H543" s="407"/>
      <c r="I543" s="407"/>
      <c r="J543" s="407"/>
      <c r="K543" s="407"/>
      <c r="L543" s="407"/>
      <c r="M543" s="407"/>
      <c r="N543" s="407"/>
      <c r="O543" s="407"/>
      <c r="P543" s="407"/>
      <c r="Q543" s="407"/>
      <c r="R543" s="407"/>
      <c r="S543" s="408"/>
      <c r="T543" s="408"/>
      <c r="U543" s="408"/>
      <c r="V543" s="409"/>
      <c r="W543" s="410"/>
      <c r="X543" s="277"/>
      <c r="Y543" s="277"/>
      <c r="Z543" s="277"/>
    </row>
    <row r="544" ht="12.75" customHeight="1">
      <c r="A544" s="277"/>
      <c r="B544" s="278"/>
      <c r="C544" s="277"/>
      <c r="D544" s="278"/>
      <c r="E544" s="279"/>
      <c r="F544" s="406"/>
      <c r="G544" s="407"/>
      <c r="H544" s="407"/>
      <c r="I544" s="407"/>
      <c r="J544" s="407"/>
      <c r="K544" s="407"/>
      <c r="L544" s="407"/>
      <c r="M544" s="407"/>
      <c r="N544" s="407"/>
      <c r="O544" s="407"/>
      <c r="P544" s="407"/>
      <c r="Q544" s="407"/>
      <c r="R544" s="407"/>
      <c r="S544" s="408"/>
      <c r="T544" s="408"/>
      <c r="U544" s="408"/>
      <c r="V544" s="409"/>
      <c r="W544" s="410"/>
      <c r="X544" s="277"/>
      <c r="Y544" s="277"/>
      <c r="Z544" s="277"/>
    </row>
    <row r="545" ht="12.75" customHeight="1">
      <c r="A545" s="277"/>
      <c r="B545" s="278"/>
      <c r="C545" s="277"/>
      <c r="D545" s="278"/>
      <c r="E545" s="279"/>
      <c r="F545" s="406"/>
      <c r="G545" s="407"/>
      <c r="H545" s="407"/>
      <c r="I545" s="407"/>
      <c r="J545" s="407"/>
      <c r="K545" s="407"/>
      <c r="L545" s="407"/>
      <c r="M545" s="407"/>
      <c r="N545" s="407"/>
      <c r="O545" s="407"/>
      <c r="P545" s="407"/>
      <c r="Q545" s="407"/>
      <c r="R545" s="407"/>
      <c r="S545" s="408"/>
      <c r="T545" s="408"/>
      <c r="U545" s="408"/>
      <c r="V545" s="409"/>
      <c r="W545" s="410"/>
      <c r="X545" s="277"/>
      <c r="Y545" s="277"/>
      <c r="Z545" s="277"/>
    </row>
    <row r="546" ht="12.75" customHeight="1">
      <c r="A546" s="277"/>
      <c r="B546" s="278"/>
      <c r="C546" s="277"/>
      <c r="D546" s="278"/>
      <c r="E546" s="279"/>
      <c r="F546" s="406"/>
      <c r="G546" s="407"/>
      <c r="H546" s="407"/>
      <c r="I546" s="407"/>
      <c r="J546" s="407"/>
      <c r="K546" s="407"/>
      <c r="L546" s="407"/>
      <c r="M546" s="407"/>
      <c r="N546" s="407"/>
      <c r="O546" s="407"/>
      <c r="P546" s="407"/>
      <c r="Q546" s="407"/>
      <c r="R546" s="407"/>
      <c r="S546" s="408"/>
      <c r="T546" s="408"/>
      <c r="U546" s="408"/>
      <c r="V546" s="409"/>
      <c r="W546" s="410"/>
      <c r="X546" s="277"/>
      <c r="Y546" s="277"/>
      <c r="Z546" s="277"/>
    </row>
    <row r="547" ht="12.75" customHeight="1">
      <c r="A547" s="277"/>
      <c r="B547" s="278"/>
      <c r="C547" s="277"/>
      <c r="D547" s="278"/>
      <c r="E547" s="279"/>
      <c r="F547" s="406"/>
      <c r="G547" s="407"/>
      <c r="H547" s="407"/>
      <c r="I547" s="407"/>
      <c r="J547" s="407"/>
      <c r="K547" s="407"/>
      <c r="L547" s="407"/>
      <c r="M547" s="407"/>
      <c r="N547" s="407"/>
      <c r="O547" s="407"/>
      <c r="P547" s="407"/>
      <c r="Q547" s="407"/>
      <c r="R547" s="407"/>
      <c r="S547" s="408"/>
      <c r="T547" s="408"/>
      <c r="U547" s="408"/>
      <c r="V547" s="409"/>
      <c r="W547" s="410"/>
      <c r="X547" s="277"/>
      <c r="Y547" s="277"/>
      <c r="Z547" s="277"/>
    </row>
    <row r="548" ht="12.75" customHeight="1">
      <c r="A548" s="277"/>
      <c r="B548" s="278"/>
      <c r="C548" s="277"/>
      <c r="D548" s="278"/>
      <c r="E548" s="279"/>
      <c r="F548" s="406"/>
      <c r="G548" s="407"/>
      <c r="H548" s="407"/>
      <c r="I548" s="407"/>
      <c r="J548" s="407"/>
      <c r="K548" s="407"/>
      <c r="L548" s="407"/>
      <c r="M548" s="407"/>
      <c r="N548" s="407"/>
      <c r="O548" s="407"/>
      <c r="P548" s="407"/>
      <c r="Q548" s="407"/>
      <c r="R548" s="407"/>
      <c r="S548" s="408"/>
      <c r="T548" s="408"/>
      <c r="U548" s="408"/>
      <c r="V548" s="409"/>
      <c r="W548" s="410"/>
      <c r="X548" s="277"/>
      <c r="Y548" s="277"/>
      <c r="Z548" s="277"/>
    </row>
    <row r="549" ht="12.75" customHeight="1">
      <c r="A549" s="277"/>
      <c r="B549" s="278"/>
      <c r="C549" s="277"/>
      <c r="D549" s="278"/>
      <c r="E549" s="279"/>
      <c r="F549" s="406"/>
      <c r="G549" s="407"/>
      <c r="H549" s="407"/>
      <c r="I549" s="407"/>
      <c r="J549" s="407"/>
      <c r="K549" s="407"/>
      <c r="L549" s="407"/>
      <c r="M549" s="407"/>
      <c r="N549" s="407"/>
      <c r="O549" s="407"/>
      <c r="P549" s="407"/>
      <c r="Q549" s="407"/>
      <c r="R549" s="407"/>
      <c r="S549" s="408"/>
      <c r="T549" s="408"/>
      <c r="U549" s="408"/>
      <c r="V549" s="409"/>
      <c r="W549" s="410"/>
      <c r="X549" s="277"/>
      <c r="Y549" s="277"/>
      <c r="Z549" s="277"/>
    </row>
    <row r="550" ht="12.75" customHeight="1">
      <c r="A550" s="277"/>
      <c r="B550" s="278"/>
      <c r="C550" s="277"/>
      <c r="D550" s="278"/>
      <c r="E550" s="279"/>
      <c r="F550" s="406"/>
      <c r="G550" s="407"/>
      <c r="H550" s="407"/>
      <c r="I550" s="407"/>
      <c r="J550" s="407"/>
      <c r="K550" s="407"/>
      <c r="L550" s="407"/>
      <c r="M550" s="407"/>
      <c r="N550" s="407"/>
      <c r="O550" s="407"/>
      <c r="P550" s="407"/>
      <c r="Q550" s="407"/>
      <c r="R550" s="407"/>
      <c r="S550" s="408"/>
      <c r="T550" s="408"/>
      <c r="U550" s="408"/>
      <c r="V550" s="409"/>
      <c r="W550" s="410"/>
      <c r="X550" s="277"/>
      <c r="Y550" s="277"/>
      <c r="Z550" s="277"/>
    </row>
    <row r="551" ht="12.75" customHeight="1">
      <c r="A551" s="277"/>
      <c r="B551" s="278"/>
      <c r="C551" s="277"/>
      <c r="D551" s="278"/>
      <c r="E551" s="279"/>
      <c r="F551" s="406"/>
      <c r="G551" s="407"/>
      <c r="H551" s="407"/>
      <c r="I551" s="407"/>
      <c r="J551" s="407"/>
      <c r="K551" s="407"/>
      <c r="L551" s="407"/>
      <c r="M551" s="407"/>
      <c r="N551" s="407"/>
      <c r="O551" s="407"/>
      <c r="P551" s="407"/>
      <c r="Q551" s="407"/>
      <c r="R551" s="407"/>
      <c r="S551" s="408"/>
      <c r="T551" s="408"/>
      <c r="U551" s="408"/>
      <c r="V551" s="409"/>
      <c r="W551" s="410"/>
      <c r="X551" s="277"/>
      <c r="Y551" s="277"/>
      <c r="Z551" s="277"/>
    </row>
    <row r="552" ht="12.75" customHeight="1">
      <c r="A552" s="277"/>
      <c r="B552" s="278"/>
      <c r="C552" s="277"/>
      <c r="D552" s="278"/>
      <c r="E552" s="279"/>
      <c r="F552" s="406"/>
      <c r="G552" s="407"/>
      <c r="H552" s="407"/>
      <c r="I552" s="407"/>
      <c r="J552" s="407"/>
      <c r="K552" s="407"/>
      <c r="L552" s="407"/>
      <c r="M552" s="407"/>
      <c r="N552" s="407"/>
      <c r="O552" s="407"/>
      <c r="P552" s="407"/>
      <c r="Q552" s="407"/>
      <c r="R552" s="407"/>
      <c r="S552" s="408"/>
      <c r="T552" s="408"/>
      <c r="U552" s="408"/>
      <c r="V552" s="409"/>
      <c r="W552" s="410"/>
      <c r="X552" s="277"/>
      <c r="Y552" s="277"/>
      <c r="Z552" s="277"/>
    </row>
    <row r="553" ht="12.75" customHeight="1">
      <c r="A553" s="277"/>
      <c r="B553" s="278"/>
      <c r="C553" s="277"/>
      <c r="D553" s="278"/>
      <c r="E553" s="279"/>
      <c r="F553" s="406"/>
      <c r="G553" s="407"/>
      <c r="H553" s="407"/>
      <c r="I553" s="407"/>
      <c r="J553" s="407"/>
      <c r="K553" s="407"/>
      <c r="L553" s="407"/>
      <c r="M553" s="407"/>
      <c r="N553" s="407"/>
      <c r="O553" s="407"/>
      <c r="P553" s="407"/>
      <c r="Q553" s="407"/>
      <c r="R553" s="407"/>
      <c r="S553" s="408"/>
      <c r="T553" s="408"/>
      <c r="U553" s="408"/>
      <c r="V553" s="409"/>
      <c r="W553" s="410"/>
      <c r="X553" s="277"/>
      <c r="Y553" s="277"/>
      <c r="Z553" s="277"/>
    </row>
    <row r="554" ht="12.75" customHeight="1">
      <c r="A554" s="277"/>
      <c r="B554" s="278"/>
      <c r="C554" s="277"/>
      <c r="D554" s="278"/>
      <c r="E554" s="279"/>
      <c r="F554" s="406"/>
      <c r="G554" s="407"/>
      <c r="H554" s="407"/>
      <c r="I554" s="407"/>
      <c r="J554" s="407"/>
      <c r="K554" s="407"/>
      <c r="L554" s="407"/>
      <c r="M554" s="407"/>
      <c r="N554" s="407"/>
      <c r="O554" s="407"/>
      <c r="P554" s="407"/>
      <c r="Q554" s="407"/>
      <c r="R554" s="407"/>
      <c r="S554" s="408"/>
      <c r="T554" s="408"/>
      <c r="U554" s="408"/>
      <c r="V554" s="409"/>
      <c r="W554" s="410"/>
      <c r="X554" s="277"/>
      <c r="Y554" s="277"/>
      <c r="Z554" s="277"/>
    </row>
    <row r="555" ht="12.75" customHeight="1">
      <c r="A555" s="277"/>
      <c r="B555" s="278"/>
      <c r="C555" s="277"/>
      <c r="D555" s="278"/>
      <c r="E555" s="279"/>
      <c r="F555" s="406"/>
      <c r="G555" s="407"/>
      <c r="H555" s="407"/>
      <c r="I555" s="407"/>
      <c r="J555" s="407"/>
      <c r="K555" s="407"/>
      <c r="L555" s="407"/>
      <c r="M555" s="407"/>
      <c r="N555" s="407"/>
      <c r="O555" s="407"/>
      <c r="P555" s="407"/>
      <c r="Q555" s="407"/>
      <c r="R555" s="407"/>
      <c r="S555" s="408"/>
      <c r="T555" s="408"/>
      <c r="U555" s="408"/>
      <c r="V555" s="409"/>
      <c r="W555" s="410"/>
      <c r="X555" s="277"/>
      <c r="Y555" s="277"/>
      <c r="Z555" s="277"/>
    </row>
    <row r="556" ht="12.75" customHeight="1">
      <c r="A556" s="277"/>
      <c r="B556" s="278"/>
      <c r="C556" s="277"/>
      <c r="D556" s="278"/>
      <c r="E556" s="279"/>
      <c r="F556" s="406"/>
      <c r="G556" s="407"/>
      <c r="H556" s="407"/>
      <c r="I556" s="407"/>
      <c r="J556" s="407"/>
      <c r="K556" s="407"/>
      <c r="L556" s="407"/>
      <c r="M556" s="407"/>
      <c r="N556" s="407"/>
      <c r="O556" s="407"/>
      <c r="P556" s="407"/>
      <c r="Q556" s="407"/>
      <c r="R556" s="407"/>
      <c r="S556" s="408"/>
      <c r="T556" s="408"/>
      <c r="U556" s="408"/>
      <c r="V556" s="409"/>
      <c r="W556" s="410"/>
      <c r="X556" s="277"/>
      <c r="Y556" s="277"/>
      <c r="Z556" s="277"/>
    </row>
    <row r="557" ht="12.75" customHeight="1">
      <c r="A557" s="277"/>
      <c r="B557" s="278"/>
      <c r="C557" s="277"/>
      <c r="D557" s="278"/>
      <c r="E557" s="279"/>
      <c r="F557" s="406"/>
      <c r="G557" s="407"/>
      <c r="H557" s="407"/>
      <c r="I557" s="407"/>
      <c r="J557" s="407"/>
      <c r="K557" s="407"/>
      <c r="L557" s="407"/>
      <c r="M557" s="407"/>
      <c r="N557" s="407"/>
      <c r="O557" s="407"/>
      <c r="P557" s="407"/>
      <c r="Q557" s="407"/>
      <c r="R557" s="407"/>
      <c r="S557" s="408"/>
      <c r="T557" s="408"/>
      <c r="U557" s="408"/>
      <c r="V557" s="409"/>
      <c r="W557" s="410"/>
      <c r="X557" s="277"/>
      <c r="Y557" s="277"/>
      <c r="Z557" s="277"/>
    </row>
    <row r="558" ht="12.75" customHeight="1">
      <c r="A558" s="277"/>
      <c r="B558" s="278"/>
      <c r="C558" s="277"/>
      <c r="D558" s="278"/>
      <c r="E558" s="279"/>
      <c r="F558" s="406"/>
      <c r="G558" s="407"/>
      <c r="H558" s="407"/>
      <c r="I558" s="407"/>
      <c r="J558" s="407"/>
      <c r="K558" s="407"/>
      <c r="L558" s="407"/>
      <c r="M558" s="407"/>
      <c r="N558" s="407"/>
      <c r="O558" s="407"/>
      <c r="P558" s="407"/>
      <c r="Q558" s="407"/>
      <c r="R558" s="407"/>
      <c r="S558" s="408"/>
      <c r="T558" s="408"/>
      <c r="U558" s="408"/>
      <c r="V558" s="409"/>
      <c r="W558" s="410"/>
      <c r="X558" s="277"/>
      <c r="Y558" s="277"/>
      <c r="Z558" s="277"/>
    </row>
    <row r="559" ht="12.75" customHeight="1">
      <c r="A559" s="277"/>
      <c r="B559" s="278"/>
      <c r="C559" s="277"/>
      <c r="D559" s="278"/>
      <c r="E559" s="279"/>
      <c r="F559" s="406"/>
      <c r="G559" s="407"/>
      <c r="H559" s="407"/>
      <c r="I559" s="407"/>
      <c r="J559" s="407"/>
      <c r="K559" s="407"/>
      <c r="L559" s="407"/>
      <c r="M559" s="407"/>
      <c r="N559" s="407"/>
      <c r="O559" s="407"/>
      <c r="P559" s="407"/>
      <c r="Q559" s="407"/>
      <c r="R559" s="407"/>
      <c r="S559" s="408"/>
      <c r="T559" s="408"/>
      <c r="U559" s="408"/>
      <c r="V559" s="409"/>
      <c r="W559" s="410"/>
      <c r="X559" s="277"/>
      <c r="Y559" s="277"/>
      <c r="Z559" s="277"/>
    </row>
    <row r="560" ht="12.75" customHeight="1">
      <c r="A560" s="277"/>
      <c r="B560" s="278"/>
      <c r="C560" s="277"/>
      <c r="D560" s="278"/>
      <c r="E560" s="279"/>
      <c r="F560" s="406"/>
      <c r="G560" s="407"/>
      <c r="H560" s="407"/>
      <c r="I560" s="407"/>
      <c r="J560" s="407"/>
      <c r="K560" s="407"/>
      <c r="L560" s="407"/>
      <c r="M560" s="407"/>
      <c r="N560" s="407"/>
      <c r="O560" s="407"/>
      <c r="P560" s="407"/>
      <c r="Q560" s="407"/>
      <c r="R560" s="407"/>
      <c r="S560" s="408"/>
      <c r="T560" s="408"/>
      <c r="U560" s="408"/>
      <c r="V560" s="409"/>
      <c r="W560" s="410"/>
      <c r="X560" s="277"/>
      <c r="Y560" s="277"/>
      <c r="Z560" s="277"/>
    </row>
    <row r="561" ht="12.75" customHeight="1">
      <c r="A561" s="277"/>
      <c r="B561" s="278"/>
      <c r="C561" s="277"/>
      <c r="D561" s="278"/>
      <c r="E561" s="279"/>
      <c r="F561" s="406"/>
      <c r="G561" s="407"/>
      <c r="H561" s="407"/>
      <c r="I561" s="407"/>
      <c r="J561" s="407"/>
      <c r="K561" s="407"/>
      <c r="L561" s="407"/>
      <c r="M561" s="407"/>
      <c r="N561" s="407"/>
      <c r="O561" s="407"/>
      <c r="P561" s="407"/>
      <c r="Q561" s="407"/>
      <c r="R561" s="407"/>
      <c r="S561" s="408"/>
      <c r="T561" s="408"/>
      <c r="U561" s="408"/>
      <c r="V561" s="409"/>
      <c r="W561" s="410"/>
      <c r="X561" s="277"/>
      <c r="Y561" s="277"/>
      <c r="Z561" s="277"/>
    </row>
    <row r="562" ht="12.75" customHeight="1">
      <c r="A562" s="277"/>
      <c r="B562" s="278"/>
      <c r="C562" s="277"/>
      <c r="D562" s="278"/>
      <c r="E562" s="279"/>
      <c r="F562" s="406"/>
      <c r="G562" s="407"/>
      <c r="H562" s="407"/>
      <c r="I562" s="407"/>
      <c r="J562" s="407"/>
      <c r="K562" s="407"/>
      <c r="L562" s="407"/>
      <c r="M562" s="407"/>
      <c r="N562" s="407"/>
      <c r="O562" s="407"/>
      <c r="P562" s="407"/>
      <c r="Q562" s="407"/>
      <c r="R562" s="407"/>
      <c r="S562" s="408"/>
      <c r="T562" s="408"/>
      <c r="U562" s="408"/>
      <c r="V562" s="409"/>
      <c r="W562" s="410"/>
      <c r="X562" s="277"/>
      <c r="Y562" s="277"/>
      <c r="Z562" s="277"/>
    </row>
    <row r="563" ht="12.75" customHeight="1">
      <c r="A563" s="277"/>
      <c r="B563" s="278"/>
      <c r="C563" s="277"/>
      <c r="D563" s="278"/>
      <c r="E563" s="279"/>
      <c r="F563" s="406"/>
      <c r="G563" s="407"/>
      <c r="H563" s="407"/>
      <c r="I563" s="407"/>
      <c r="J563" s="407"/>
      <c r="K563" s="407"/>
      <c r="L563" s="407"/>
      <c r="M563" s="407"/>
      <c r="N563" s="407"/>
      <c r="O563" s="407"/>
      <c r="P563" s="407"/>
      <c r="Q563" s="407"/>
      <c r="R563" s="407"/>
      <c r="S563" s="408"/>
      <c r="T563" s="408"/>
      <c r="U563" s="408"/>
      <c r="V563" s="409"/>
      <c r="W563" s="410"/>
      <c r="X563" s="277"/>
      <c r="Y563" s="277"/>
      <c r="Z563" s="277"/>
    </row>
    <row r="564" ht="12.75" customHeight="1">
      <c r="A564" s="277"/>
      <c r="B564" s="278"/>
      <c r="C564" s="277"/>
      <c r="D564" s="278"/>
      <c r="E564" s="279"/>
      <c r="F564" s="406"/>
      <c r="G564" s="407"/>
      <c r="H564" s="407"/>
      <c r="I564" s="407"/>
      <c r="J564" s="407"/>
      <c r="K564" s="407"/>
      <c r="L564" s="407"/>
      <c r="M564" s="407"/>
      <c r="N564" s="407"/>
      <c r="O564" s="407"/>
      <c r="P564" s="407"/>
      <c r="Q564" s="407"/>
      <c r="R564" s="407"/>
      <c r="S564" s="408"/>
      <c r="T564" s="408"/>
      <c r="U564" s="408"/>
      <c r="V564" s="409"/>
      <c r="W564" s="410"/>
      <c r="X564" s="277"/>
      <c r="Y564" s="277"/>
      <c r="Z564" s="277"/>
    </row>
    <row r="565" ht="12.75" customHeight="1">
      <c r="A565" s="277"/>
      <c r="B565" s="278"/>
      <c r="C565" s="277"/>
      <c r="D565" s="278"/>
      <c r="E565" s="279"/>
      <c r="F565" s="406"/>
      <c r="G565" s="407"/>
      <c r="H565" s="407"/>
      <c r="I565" s="407"/>
      <c r="J565" s="407"/>
      <c r="K565" s="407"/>
      <c r="L565" s="407"/>
      <c r="M565" s="407"/>
      <c r="N565" s="407"/>
      <c r="O565" s="407"/>
      <c r="P565" s="407"/>
      <c r="Q565" s="407"/>
      <c r="R565" s="407"/>
      <c r="S565" s="408"/>
      <c r="T565" s="408"/>
      <c r="U565" s="408"/>
      <c r="V565" s="409"/>
      <c r="W565" s="410"/>
      <c r="X565" s="277"/>
      <c r="Y565" s="277"/>
      <c r="Z565" s="277"/>
    </row>
    <row r="566" ht="12.75" customHeight="1">
      <c r="A566" s="277"/>
      <c r="B566" s="278"/>
      <c r="C566" s="277"/>
      <c r="D566" s="278"/>
      <c r="E566" s="279"/>
      <c r="F566" s="406"/>
      <c r="G566" s="407"/>
      <c r="H566" s="407"/>
      <c r="I566" s="407"/>
      <c r="J566" s="407"/>
      <c r="K566" s="407"/>
      <c r="L566" s="407"/>
      <c r="M566" s="407"/>
      <c r="N566" s="407"/>
      <c r="O566" s="407"/>
      <c r="P566" s="407"/>
      <c r="Q566" s="407"/>
      <c r="R566" s="407"/>
      <c r="S566" s="408"/>
      <c r="T566" s="408"/>
      <c r="U566" s="408"/>
      <c r="V566" s="409"/>
      <c r="W566" s="410"/>
      <c r="X566" s="277"/>
      <c r="Y566" s="277"/>
      <c r="Z566" s="277"/>
    </row>
    <row r="567" ht="12.75" customHeight="1">
      <c r="A567" s="277"/>
      <c r="B567" s="278"/>
      <c r="C567" s="277"/>
      <c r="D567" s="278"/>
      <c r="E567" s="279"/>
      <c r="F567" s="406"/>
      <c r="G567" s="407"/>
      <c r="H567" s="407"/>
      <c r="I567" s="407"/>
      <c r="J567" s="407"/>
      <c r="K567" s="407"/>
      <c r="L567" s="407"/>
      <c r="M567" s="407"/>
      <c r="N567" s="407"/>
      <c r="O567" s="407"/>
      <c r="P567" s="407"/>
      <c r="Q567" s="407"/>
      <c r="R567" s="407"/>
      <c r="S567" s="408"/>
      <c r="T567" s="408"/>
      <c r="U567" s="408"/>
      <c r="V567" s="409"/>
      <c r="W567" s="410"/>
      <c r="X567" s="277"/>
      <c r="Y567" s="277"/>
      <c r="Z567" s="277"/>
    </row>
    <row r="568" ht="12.75" customHeight="1">
      <c r="A568" s="277"/>
      <c r="B568" s="278"/>
      <c r="C568" s="277"/>
      <c r="D568" s="278"/>
      <c r="E568" s="279"/>
      <c r="F568" s="406"/>
      <c r="G568" s="407"/>
      <c r="H568" s="407"/>
      <c r="I568" s="407"/>
      <c r="J568" s="407"/>
      <c r="K568" s="407"/>
      <c r="L568" s="407"/>
      <c r="M568" s="407"/>
      <c r="N568" s="407"/>
      <c r="O568" s="407"/>
      <c r="P568" s="407"/>
      <c r="Q568" s="407"/>
      <c r="R568" s="407"/>
      <c r="S568" s="408"/>
      <c r="T568" s="408"/>
      <c r="U568" s="408"/>
      <c r="V568" s="409"/>
      <c r="W568" s="410"/>
      <c r="X568" s="277"/>
      <c r="Y568" s="277"/>
      <c r="Z568" s="277"/>
    </row>
    <row r="569" ht="12.75" customHeight="1">
      <c r="A569" s="277"/>
      <c r="B569" s="278"/>
      <c r="C569" s="277"/>
      <c r="D569" s="278"/>
      <c r="E569" s="279"/>
      <c r="F569" s="406"/>
      <c r="G569" s="407"/>
      <c r="H569" s="407"/>
      <c r="I569" s="407"/>
      <c r="J569" s="407"/>
      <c r="K569" s="407"/>
      <c r="L569" s="407"/>
      <c r="M569" s="407"/>
      <c r="N569" s="407"/>
      <c r="O569" s="407"/>
      <c r="P569" s="407"/>
      <c r="Q569" s="407"/>
      <c r="R569" s="407"/>
      <c r="S569" s="408"/>
      <c r="T569" s="408"/>
      <c r="U569" s="408"/>
      <c r="V569" s="409"/>
      <c r="W569" s="410"/>
      <c r="X569" s="277"/>
      <c r="Y569" s="277"/>
      <c r="Z569" s="277"/>
    </row>
    <row r="570" ht="12.75" customHeight="1">
      <c r="A570" s="277"/>
      <c r="B570" s="278"/>
      <c r="C570" s="277"/>
      <c r="D570" s="278"/>
      <c r="E570" s="279"/>
      <c r="F570" s="406"/>
      <c r="G570" s="407"/>
      <c r="H570" s="407"/>
      <c r="I570" s="407"/>
      <c r="J570" s="407"/>
      <c r="K570" s="407"/>
      <c r="L570" s="407"/>
      <c r="M570" s="407"/>
      <c r="N570" s="407"/>
      <c r="O570" s="407"/>
      <c r="P570" s="407"/>
      <c r="Q570" s="407"/>
      <c r="R570" s="407"/>
      <c r="S570" s="408"/>
      <c r="T570" s="408"/>
      <c r="U570" s="408"/>
      <c r="V570" s="409"/>
      <c r="W570" s="410"/>
      <c r="X570" s="277"/>
      <c r="Y570" s="277"/>
      <c r="Z570" s="277"/>
    </row>
    <row r="571" ht="12.75" customHeight="1">
      <c r="A571" s="277"/>
      <c r="B571" s="278"/>
      <c r="C571" s="277"/>
      <c r="D571" s="278"/>
      <c r="E571" s="279"/>
      <c r="F571" s="406"/>
      <c r="G571" s="407"/>
      <c r="H571" s="407"/>
      <c r="I571" s="407"/>
      <c r="J571" s="407"/>
      <c r="K571" s="407"/>
      <c r="L571" s="407"/>
      <c r="M571" s="407"/>
      <c r="N571" s="407"/>
      <c r="O571" s="407"/>
      <c r="P571" s="407"/>
      <c r="Q571" s="407"/>
      <c r="R571" s="407"/>
      <c r="S571" s="408"/>
      <c r="T571" s="408"/>
      <c r="U571" s="408"/>
      <c r="V571" s="409"/>
      <c r="W571" s="410"/>
      <c r="X571" s="277"/>
      <c r="Y571" s="277"/>
      <c r="Z571" s="277"/>
    </row>
    <row r="572" ht="12.75" customHeight="1">
      <c r="A572" s="277"/>
      <c r="B572" s="278"/>
      <c r="C572" s="277"/>
      <c r="D572" s="278"/>
      <c r="E572" s="279"/>
      <c r="F572" s="406"/>
      <c r="G572" s="407"/>
      <c r="H572" s="407"/>
      <c r="I572" s="407"/>
      <c r="J572" s="407"/>
      <c r="K572" s="407"/>
      <c r="L572" s="407"/>
      <c r="M572" s="407"/>
      <c r="N572" s="407"/>
      <c r="O572" s="407"/>
      <c r="P572" s="407"/>
      <c r="Q572" s="407"/>
      <c r="R572" s="407"/>
      <c r="S572" s="408"/>
      <c r="T572" s="408"/>
      <c r="U572" s="408"/>
      <c r="V572" s="409"/>
      <c r="W572" s="410"/>
      <c r="X572" s="277"/>
      <c r="Y572" s="277"/>
      <c r="Z572" s="277"/>
    </row>
    <row r="573" ht="12.75" customHeight="1">
      <c r="A573" s="277"/>
      <c r="B573" s="278"/>
      <c r="C573" s="277"/>
      <c r="D573" s="278"/>
      <c r="E573" s="279"/>
      <c r="F573" s="406"/>
      <c r="G573" s="407"/>
      <c r="H573" s="407"/>
      <c r="I573" s="407"/>
      <c r="J573" s="407"/>
      <c r="K573" s="407"/>
      <c r="L573" s="407"/>
      <c r="M573" s="407"/>
      <c r="N573" s="407"/>
      <c r="O573" s="407"/>
      <c r="P573" s="407"/>
      <c r="Q573" s="407"/>
      <c r="R573" s="407"/>
      <c r="S573" s="408"/>
      <c r="T573" s="408"/>
      <c r="U573" s="408"/>
      <c r="V573" s="409"/>
      <c r="W573" s="410"/>
      <c r="X573" s="277"/>
      <c r="Y573" s="277"/>
      <c r="Z573" s="277"/>
    </row>
    <row r="574" ht="12.75" customHeight="1">
      <c r="A574" s="277"/>
      <c r="B574" s="278"/>
      <c r="C574" s="277"/>
      <c r="D574" s="278"/>
      <c r="E574" s="279"/>
      <c r="F574" s="406"/>
      <c r="G574" s="407"/>
      <c r="H574" s="407"/>
      <c r="I574" s="407"/>
      <c r="J574" s="407"/>
      <c r="K574" s="407"/>
      <c r="L574" s="407"/>
      <c r="M574" s="407"/>
      <c r="N574" s="407"/>
      <c r="O574" s="407"/>
      <c r="P574" s="407"/>
      <c r="Q574" s="407"/>
      <c r="R574" s="407"/>
      <c r="S574" s="408"/>
      <c r="T574" s="408"/>
      <c r="U574" s="408"/>
      <c r="V574" s="409"/>
      <c r="W574" s="410"/>
      <c r="X574" s="277"/>
      <c r="Y574" s="277"/>
      <c r="Z574" s="277"/>
    </row>
    <row r="575" ht="12.75" customHeight="1">
      <c r="A575" s="277"/>
      <c r="B575" s="278"/>
      <c r="C575" s="277"/>
      <c r="D575" s="278"/>
      <c r="E575" s="279"/>
      <c r="F575" s="406"/>
      <c r="G575" s="407"/>
      <c r="H575" s="407"/>
      <c r="I575" s="407"/>
      <c r="J575" s="407"/>
      <c r="K575" s="407"/>
      <c r="L575" s="407"/>
      <c r="M575" s="407"/>
      <c r="N575" s="407"/>
      <c r="O575" s="407"/>
      <c r="P575" s="407"/>
      <c r="Q575" s="407"/>
      <c r="R575" s="407"/>
      <c r="S575" s="408"/>
      <c r="T575" s="408"/>
      <c r="U575" s="408"/>
      <c r="V575" s="409"/>
      <c r="W575" s="410"/>
      <c r="X575" s="277"/>
      <c r="Y575" s="277"/>
      <c r="Z575" s="277"/>
    </row>
    <row r="576" ht="12.75" customHeight="1">
      <c r="A576" s="277"/>
      <c r="B576" s="278"/>
      <c r="C576" s="277"/>
      <c r="D576" s="278"/>
      <c r="E576" s="279"/>
      <c r="F576" s="406"/>
      <c r="G576" s="407"/>
      <c r="H576" s="407"/>
      <c r="I576" s="407"/>
      <c r="J576" s="407"/>
      <c r="K576" s="407"/>
      <c r="L576" s="407"/>
      <c r="M576" s="407"/>
      <c r="N576" s="407"/>
      <c r="O576" s="407"/>
      <c r="P576" s="407"/>
      <c r="Q576" s="407"/>
      <c r="R576" s="407"/>
      <c r="S576" s="408"/>
      <c r="T576" s="408"/>
      <c r="U576" s="408"/>
      <c r="V576" s="409"/>
      <c r="W576" s="410"/>
      <c r="X576" s="277"/>
      <c r="Y576" s="277"/>
      <c r="Z576" s="277"/>
    </row>
    <row r="577" ht="12.75" customHeight="1">
      <c r="A577" s="277"/>
      <c r="B577" s="278"/>
      <c r="C577" s="277"/>
      <c r="D577" s="278"/>
      <c r="E577" s="279"/>
      <c r="F577" s="406"/>
      <c r="G577" s="407"/>
      <c r="H577" s="407"/>
      <c r="I577" s="407"/>
      <c r="J577" s="407"/>
      <c r="K577" s="407"/>
      <c r="L577" s="407"/>
      <c r="M577" s="407"/>
      <c r="N577" s="407"/>
      <c r="O577" s="407"/>
      <c r="P577" s="407"/>
      <c r="Q577" s="407"/>
      <c r="R577" s="407"/>
      <c r="S577" s="408"/>
      <c r="T577" s="408"/>
      <c r="U577" s="408"/>
      <c r="V577" s="409"/>
      <c r="W577" s="410"/>
      <c r="X577" s="277"/>
      <c r="Y577" s="277"/>
      <c r="Z577" s="277"/>
    </row>
    <row r="578" ht="12.75" customHeight="1">
      <c r="A578" s="277"/>
      <c r="B578" s="278"/>
      <c r="C578" s="277"/>
      <c r="D578" s="278"/>
      <c r="E578" s="279"/>
      <c r="F578" s="406"/>
      <c r="G578" s="407"/>
      <c r="H578" s="407"/>
      <c r="I578" s="407"/>
      <c r="J578" s="407"/>
      <c r="K578" s="407"/>
      <c r="L578" s="407"/>
      <c r="M578" s="407"/>
      <c r="N578" s="407"/>
      <c r="O578" s="407"/>
      <c r="P578" s="407"/>
      <c r="Q578" s="407"/>
      <c r="R578" s="407"/>
      <c r="S578" s="408"/>
      <c r="T578" s="408"/>
      <c r="U578" s="408"/>
      <c r="V578" s="409"/>
      <c r="W578" s="410"/>
      <c r="X578" s="277"/>
      <c r="Y578" s="277"/>
      <c r="Z578" s="277"/>
    </row>
    <row r="579" ht="12.75" customHeight="1">
      <c r="A579" s="277"/>
      <c r="B579" s="278"/>
      <c r="C579" s="277"/>
      <c r="D579" s="278"/>
      <c r="E579" s="279"/>
      <c r="F579" s="406"/>
      <c r="G579" s="407"/>
      <c r="H579" s="407"/>
      <c r="I579" s="407"/>
      <c r="J579" s="407"/>
      <c r="K579" s="407"/>
      <c r="L579" s="407"/>
      <c r="M579" s="407"/>
      <c r="N579" s="407"/>
      <c r="O579" s="407"/>
      <c r="P579" s="407"/>
      <c r="Q579" s="407"/>
      <c r="R579" s="407"/>
      <c r="S579" s="408"/>
      <c r="T579" s="408"/>
      <c r="U579" s="408"/>
      <c r="V579" s="409"/>
      <c r="W579" s="410"/>
      <c r="X579" s="277"/>
      <c r="Y579" s="277"/>
      <c r="Z579" s="277"/>
    </row>
    <row r="580" ht="12.75" customHeight="1">
      <c r="A580" s="277"/>
      <c r="B580" s="278"/>
      <c r="C580" s="277"/>
      <c r="D580" s="278"/>
      <c r="E580" s="279"/>
      <c r="F580" s="406"/>
      <c r="G580" s="407"/>
      <c r="H580" s="407"/>
      <c r="I580" s="407"/>
      <c r="J580" s="407"/>
      <c r="K580" s="407"/>
      <c r="L580" s="407"/>
      <c r="M580" s="407"/>
      <c r="N580" s="407"/>
      <c r="O580" s="407"/>
      <c r="P580" s="407"/>
      <c r="Q580" s="407"/>
      <c r="R580" s="407"/>
      <c r="S580" s="408"/>
      <c r="T580" s="408"/>
      <c r="U580" s="408"/>
      <c r="V580" s="409"/>
      <c r="W580" s="410"/>
      <c r="X580" s="277"/>
      <c r="Y580" s="277"/>
      <c r="Z580" s="277"/>
    </row>
    <row r="581" ht="12.75" customHeight="1">
      <c r="A581" s="277"/>
      <c r="B581" s="278"/>
      <c r="C581" s="277"/>
      <c r="D581" s="278"/>
      <c r="E581" s="279"/>
      <c r="F581" s="406"/>
      <c r="G581" s="407"/>
      <c r="H581" s="407"/>
      <c r="I581" s="407"/>
      <c r="J581" s="407"/>
      <c r="K581" s="407"/>
      <c r="L581" s="407"/>
      <c r="M581" s="407"/>
      <c r="N581" s="407"/>
      <c r="O581" s="407"/>
      <c r="P581" s="407"/>
      <c r="Q581" s="407"/>
      <c r="R581" s="407"/>
      <c r="S581" s="408"/>
      <c r="T581" s="408"/>
      <c r="U581" s="408"/>
      <c r="V581" s="409"/>
      <c r="W581" s="410"/>
      <c r="X581" s="277"/>
      <c r="Y581" s="277"/>
      <c r="Z581" s="277"/>
    </row>
    <row r="582" ht="12.75" customHeight="1">
      <c r="A582" s="277"/>
      <c r="B582" s="278"/>
      <c r="C582" s="277"/>
      <c r="D582" s="278"/>
      <c r="E582" s="279"/>
      <c r="F582" s="406"/>
      <c r="G582" s="407"/>
      <c r="H582" s="407"/>
      <c r="I582" s="407"/>
      <c r="J582" s="407"/>
      <c r="K582" s="407"/>
      <c r="L582" s="407"/>
      <c r="M582" s="407"/>
      <c r="N582" s="407"/>
      <c r="O582" s="407"/>
      <c r="P582" s="407"/>
      <c r="Q582" s="407"/>
      <c r="R582" s="407"/>
      <c r="S582" s="408"/>
      <c r="T582" s="408"/>
      <c r="U582" s="408"/>
      <c r="V582" s="409"/>
      <c r="W582" s="410"/>
      <c r="X582" s="277"/>
      <c r="Y582" s="277"/>
      <c r="Z582" s="277"/>
    </row>
    <row r="583" ht="12.75" customHeight="1">
      <c r="A583" s="277"/>
      <c r="B583" s="278"/>
      <c r="C583" s="277"/>
      <c r="D583" s="278"/>
      <c r="E583" s="279"/>
      <c r="F583" s="406"/>
      <c r="G583" s="407"/>
      <c r="H583" s="407"/>
      <c r="I583" s="407"/>
      <c r="J583" s="407"/>
      <c r="K583" s="407"/>
      <c r="L583" s="407"/>
      <c r="M583" s="407"/>
      <c r="N583" s="407"/>
      <c r="O583" s="407"/>
      <c r="P583" s="407"/>
      <c r="Q583" s="407"/>
      <c r="R583" s="407"/>
      <c r="S583" s="408"/>
      <c r="T583" s="408"/>
      <c r="U583" s="408"/>
      <c r="V583" s="409"/>
      <c r="W583" s="410"/>
      <c r="X583" s="277"/>
      <c r="Y583" s="277"/>
      <c r="Z583" s="277"/>
    </row>
    <row r="584" ht="12.75" customHeight="1">
      <c r="A584" s="277"/>
      <c r="B584" s="278"/>
      <c r="C584" s="277"/>
      <c r="D584" s="278"/>
      <c r="E584" s="279"/>
      <c r="F584" s="406"/>
      <c r="G584" s="407"/>
      <c r="H584" s="407"/>
      <c r="I584" s="407"/>
      <c r="J584" s="407"/>
      <c r="K584" s="407"/>
      <c r="L584" s="407"/>
      <c r="M584" s="407"/>
      <c r="N584" s="407"/>
      <c r="O584" s="407"/>
      <c r="P584" s="407"/>
      <c r="Q584" s="407"/>
      <c r="R584" s="407"/>
      <c r="S584" s="408"/>
      <c r="T584" s="408"/>
      <c r="U584" s="408"/>
      <c r="V584" s="409"/>
      <c r="W584" s="410"/>
      <c r="X584" s="277"/>
      <c r="Y584" s="277"/>
      <c r="Z584" s="277"/>
    </row>
    <row r="585" ht="12.75" customHeight="1">
      <c r="A585" s="277"/>
      <c r="B585" s="278"/>
      <c r="C585" s="277"/>
      <c r="D585" s="278"/>
      <c r="E585" s="279"/>
      <c r="F585" s="406"/>
      <c r="G585" s="407"/>
      <c r="H585" s="407"/>
      <c r="I585" s="407"/>
      <c r="J585" s="407"/>
      <c r="K585" s="407"/>
      <c r="L585" s="407"/>
      <c r="M585" s="407"/>
      <c r="N585" s="407"/>
      <c r="O585" s="407"/>
      <c r="P585" s="407"/>
      <c r="Q585" s="407"/>
      <c r="R585" s="407"/>
      <c r="S585" s="408"/>
      <c r="T585" s="408"/>
      <c r="U585" s="408"/>
      <c r="V585" s="409"/>
      <c r="W585" s="410"/>
      <c r="X585" s="277"/>
      <c r="Y585" s="277"/>
      <c r="Z585" s="277"/>
    </row>
    <row r="586" ht="12.75" customHeight="1">
      <c r="A586" s="277"/>
      <c r="B586" s="278"/>
      <c r="C586" s="277"/>
      <c r="D586" s="278"/>
      <c r="E586" s="279"/>
      <c r="F586" s="406"/>
      <c r="G586" s="407"/>
      <c r="H586" s="407"/>
      <c r="I586" s="407"/>
      <c r="J586" s="407"/>
      <c r="K586" s="407"/>
      <c r="L586" s="407"/>
      <c r="M586" s="407"/>
      <c r="N586" s="407"/>
      <c r="O586" s="407"/>
      <c r="P586" s="407"/>
      <c r="Q586" s="407"/>
      <c r="R586" s="407"/>
      <c r="S586" s="408"/>
      <c r="T586" s="408"/>
      <c r="U586" s="408"/>
      <c r="V586" s="409"/>
      <c r="W586" s="410"/>
      <c r="X586" s="277"/>
      <c r="Y586" s="277"/>
      <c r="Z586" s="277"/>
    </row>
    <row r="587" ht="12.75" customHeight="1">
      <c r="A587" s="277"/>
      <c r="B587" s="278"/>
      <c r="C587" s="277"/>
      <c r="D587" s="278"/>
      <c r="E587" s="279"/>
      <c r="F587" s="406"/>
      <c r="G587" s="407"/>
      <c r="H587" s="407"/>
      <c r="I587" s="407"/>
      <c r="J587" s="407"/>
      <c r="K587" s="407"/>
      <c r="L587" s="407"/>
      <c r="M587" s="407"/>
      <c r="N587" s="407"/>
      <c r="O587" s="407"/>
      <c r="P587" s="407"/>
      <c r="Q587" s="407"/>
      <c r="R587" s="407"/>
      <c r="S587" s="408"/>
      <c r="T587" s="408"/>
      <c r="U587" s="408"/>
      <c r="V587" s="409"/>
      <c r="W587" s="410"/>
      <c r="X587" s="277"/>
      <c r="Y587" s="277"/>
      <c r="Z587" s="277"/>
    </row>
    <row r="588" ht="12.75" customHeight="1">
      <c r="A588" s="277"/>
      <c r="B588" s="278"/>
      <c r="C588" s="277"/>
      <c r="D588" s="278"/>
      <c r="E588" s="279"/>
      <c r="F588" s="406"/>
      <c r="G588" s="407"/>
      <c r="H588" s="407"/>
      <c r="I588" s="407"/>
      <c r="J588" s="407"/>
      <c r="K588" s="407"/>
      <c r="L588" s="407"/>
      <c r="M588" s="407"/>
      <c r="N588" s="407"/>
      <c r="O588" s="407"/>
      <c r="P588" s="407"/>
      <c r="Q588" s="407"/>
      <c r="R588" s="407"/>
      <c r="S588" s="408"/>
      <c r="T588" s="408"/>
      <c r="U588" s="408"/>
      <c r="V588" s="409"/>
      <c r="W588" s="410"/>
      <c r="X588" s="277"/>
      <c r="Y588" s="277"/>
      <c r="Z588" s="277"/>
    </row>
    <row r="589" ht="12.75" customHeight="1">
      <c r="A589" s="277"/>
      <c r="B589" s="278"/>
      <c r="C589" s="277"/>
      <c r="D589" s="278"/>
      <c r="E589" s="279"/>
      <c r="F589" s="406"/>
      <c r="G589" s="407"/>
      <c r="H589" s="407"/>
      <c r="I589" s="407"/>
      <c r="J589" s="407"/>
      <c r="K589" s="407"/>
      <c r="L589" s="407"/>
      <c r="M589" s="407"/>
      <c r="N589" s="407"/>
      <c r="O589" s="407"/>
      <c r="P589" s="407"/>
      <c r="Q589" s="407"/>
      <c r="R589" s="407"/>
      <c r="S589" s="408"/>
      <c r="T589" s="408"/>
      <c r="U589" s="408"/>
      <c r="V589" s="409"/>
      <c r="W589" s="410"/>
      <c r="X589" s="277"/>
      <c r="Y589" s="277"/>
      <c r="Z589" s="277"/>
    </row>
    <row r="590" ht="12.75" customHeight="1">
      <c r="A590" s="277"/>
      <c r="B590" s="278"/>
      <c r="C590" s="277"/>
      <c r="D590" s="278"/>
      <c r="E590" s="279"/>
      <c r="F590" s="406"/>
      <c r="G590" s="407"/>
      <c r="H590" s="407"/>
      <c r="I590" s="407"/>
      <c r="J590" s="407"/>
      <c r="K590" s="407"/>
      <c r="L590" s="407"/>
      <c r="M590" s="407"/>
      <c r="N590" s="407"/>
      <c r="O590" s="407"/>
      <c r="P590" s="407"/>
      <c r="Q590" s="407"/>
      <c r="R590" s="407"/>
      <c r="S590" s="408"/>
      <c r="T590" s="408"/>
      <c r="U590" s="408"/>
      <c r="V590" s="409"/>
      <c r="W590" s="410"/>
      <c r="X590" s="277"/>
      <c r="Y590" s="277"/>
      <c r="Z590" s="277"/>
    </row>
    <row r="591" ht="12.75" customHeight="1">
      <c r="A591" s="277"/>
      <c r="B591" s="278"/>
      <c r="C591" s="277"/>
      <c r="D591" s="278"/>
      <c r="E591" s="279"/>
      <c r="F591" s="406"/>
      <c r="G591" s="407"/>
      <c r="H591" s="407"/>
      <c r="I591" s="407"/>
      <c r="J591" s="407"/>
      <c r="K591" s="407"/>
      <c r="L591" s="407"/>
      <c r="M591" s="407"/>
      <c r="N591" s="407"/>
      <c r="O591" s="407"/>
      <c r="P591" s="407"/>
      <c r="Q591" s="407"/>
      <c r="R591" s="407"/>
      <c r="S591" s="408"/>
      <c r="T591" s="408"/>
      <c r="U591" s="408"/>
      <c r="V591" s="409"/>
      <c r="W591" s="410"/>
      <c r="X591" s="277"/>
      <c r="Y591" s="277"/>
      <c r="Z591" s="277"/>
    </row>
    <row r="592" ht="12.75" customHeight="1">
      <c r="A592" s="277"/>
      <c r="B592" s="278"/>
      <c r="C592" s="277"/>
      <c r="D592" s="278"/>
      <c r="E592" s="279"/>
      <c r="F592" s="406"/>
      <c r="G592" s="407"/>
      <c r="H592" s="407"/>
      <c r="I592" s="407"/>
      <c r="J592" s="407"/>
      <c r="K592" s="407"/>
      <c r="L592" s="407"/>
      <c r="M592" s="407"/>
      <c r="N592" s="407"/>
      <c r="O592" s="407"/>
      <c r="P592" s="407"/>
      <c r="Q592" s="407"/>
      <c r="R592" s="407"/>
      <c r="S592" s="408"/>
      <c r="T592" s="408"/>
      <c r="U592" s="408"/>
      <c r="V592" s="409"/>
      <c r="W592" s="410"/>
      <c r="X592" s="277"/>
      <c r="Y592" s="277"/>
      <c r="Z592" s="277"/>
    </row>
    <row r="593" ht="12.75" customHeight="1">
      <c r="A593" s="277"/>
      <c r="B593" s="278"/>
      <c r="C593" s="277"/>
      <c r="D593" s="278"/>
      <c r="E593" s="279"/>
      <c r="F593" s="406"/>
      <c r="G593" s="407"/>
      <c r="H593" s="407"/>
      <c r="I593" s="407"/>
      <c r="J593" s="407"/>
      <c r="K593" s="407"/>
      <c r="L593" s="407"/>
      <c r="M593" s="407"/>
      <c r="N593" s="407"/>
      <c r="O593" s="407"/>
      <c r="P593" s="407"/>
      <c r="Q593" s="407"/>
      <c r="R593" s="407"/>
      <c r="S593" s="408"/>
      <c r="T593" s="408"/>
      <c r="U593" s="408"/>
      <c r="V593" s="409"/>
      <c r="W593" s="410"/>
      <c r="X593" s="277"/>
      <c r="Y593" s="277"/>
      <c r="Z593" s="277"/>
    </row>
    <row r="594" ht="12.75" customHeight="1">
      <c r="A594" s="277"/>
      <c r="B594" s="278"/>
      <c r="C594" s="277"/>
      <c r="D594" s="278"/>
      <c r="E594" s="279"/>
      <c r="F594" s="406"/>
      <c r="G594" s="407"/>
      <c r="H594" s="407"/>
      <c r="I594" s="407"/>
      <c r="J594" s="407"/>
      <c r="K594" s="407"/>
      <c r="L594" s="407"/>
      <c r="M594" s="407"/>
      <c r="N594" s="407"/>
      <c r="O594" s="407"/>
      <c r="P594" s="407"/>
      <c r="Q594" s="407"/>
      <c r="R594" s="407"/>
      <c r="S594" s="408"/>
      <c r="T594" s="408"/>
      <c r="U594" s="408"/>
      <c r="V594" s="409"/>
      <c r="W594" s="410"/>
      <c r="X594" s="277"/>
      <c r="Y594" s="277"/>
      <c r="Z594" s="277"/>
    </row>
    <row r="595" ht="12.75" customHeight="1">
      <c r="A595" s="277"/>
      <c r="B595" s="278"/>
      <c r="C595" s="277"/>
      <c r="D595" s="278"/>
      <c r="E595" s="279"/>
      <c r="F595" s="406"/>
      <c r="G595" s="407"/>
      <c r="H595" s="407"/>
      <c r="I595" s="407"/>
      <c r="J595" s="407"/>
      <c r="K595" s="407"/>
      <c r="L595" s="407"/>
      <c r="M595" s="407"/>
      <c r="N595" s="407"/>
      <c r="O595" s="407"/>
      <c r="P595" s="407"/>
      <c r="Q595" s="407"/>
      <c r="R595" s="407"/>
      <c r="S595" s="408"/>
      <c r="T595" s="408"/>
      <c r="U595" s="408"/>
      <c r="V595" s="409"/>
      <c r="W595" s="410"/>
      <c r="X595" s="277"/>
      <c r="Y595" s="277"/>
      <c r="Z595" s="277"/>
    </row>
    <row r="596" ht="12.75" customHeight="1">
      <c r="A596" s="277"/>
      <c r="B596" s="278"/>
      <c r="C596" s="277"/>
      <c r="D596" s="278"/>
      <c r="E596" s="279"/>
      <c r="F596" s="406"/>
      <c r="G596" s="407"/>
      <c r="H596" s="407"/>
      <c r="I596" s="407"/>
      <c r="J596" s="407"/>
      <c r="K596" s="407"/>
      <c r="L596" s="407"/>
      <c r="M596" s="407"/>
      <c r="N596" s="407"/>
      <c r="O596" s="407"/>
      <c r="P596" s="407"/>
      <c r="Q596" s="407"/>
      <c r="R596" s="407"/>
      <c r="S596" s="408"/>
      <c r="T596" s="408"/>
      <c r="U596" s="408"/>
      <c r="V596" s="409"/>
      <c r="W596" s="410"/>
      <c r="X596" s="277"/>
      <c r="Y596" s="277"/>
      <c r="Z596" s="277"/>
    </row>
    <row r="597" ht="12.75" customHeight="1">
      <c r="A597" s="277"/>
      <c r="B597" s="278"/>
      <c r="C597" s="277"/>
      <c r="D597" s="278"/>
      <c r="E597" s="279"/>
      <c r="F597" s="406"/>
      <c r="G597" s="407"/>
      <c r="H597" s="407"/>
      <c r="I597" s="407"/>
      <c r="J597" s="407"/>
      <c r="K597" s="407"/>
      <c r="L597" s="407"/>
      <c r="M597" s="407"/>
      <c r="N597" s="407"/>
      <c r="O597" s="407"/>
      <c r="P597" s="407"/>
      <c r="Q597" s="407"/>
      <c r="R597" s="407"/>
      <c r="S597" s="408"/>
      <c r="T597" s="408"/>
      <c r="U597" s="408"/>
      <c r="V597" s="409"/>
      <c r="W597" s="410"/>
      <c r="X597" s="277"/>
      <c r="Y597" s="277"/>
      <c r="Z597" s="277"/>
    </row>
    <row r="598" ht="12.75" customHeight="1">
      <c r="A598" s="277"/>
      <c r="B598" s="278"/>
      <c r="C598" s="277"/>
      <c r="D598" s="278"/>
      <c r="E598" s="279"/>
      <c r="F598" s="406"/>
      <c r="G598" s="407"/>
      <c r="H598" s="407"/>
      <c r="I598" s="407"/>
      <c r="J598" s="407"/>
      <c r="K598" s="407"/>
      <c r="L598" s="407"/>
      <c r="M598" s="407"/>
      <c r="N598" s="407"/>
      <c r="O598" s="407"/>
      <c r="P598" s="407"/>
      <c r="Q598" s="407"/>
      <c r="R598" s="407"/>
      <c r="S598" s="408"/>
      <c r="T598" s="408"/>
      <c r="U598" s="408"/>
      <c r="V598" s="409"/>
      <c r="W598" s="410"/>
      <c r="X598" s="277"/>
      <c r="Y598" s="277"/>
      <c r="Z598" s="277"/>
    </row>
    <row r="599" ht="12.75" customHeight="1">
      <c r="A599" s="277"/>
      <c r="B599" s="278"/>
      <c r="C599" s="277"/>
      <c r="D599" s="278"/>
      <c r="E599" s="279"/>
      <c r="F599" s="406"/>
      <c r="G599" s="407"/>
      <c r="H599" s="407"/>
      <c r="I599" s="407"/>
      <c r="J599" s="407"/>
      <c r="K599" s="407"/>
      <c r="L599" s="407"/>
      <c r="M599" s="407"/>
      <c r="N599" s="407"/>
      <c r="O599" s="407"/>
      <c r="P599" s="407"/>
      <c r="Q599" s="407"/>
      <c r="R599" s="407"/>
      <c r="S599" s="408"/>
      <c r="T599" s="408"/>
      <c r="U599" s="408"/>
      <c r="V599" s="409"/>
      <c r="W599" s="410"/>
      <c r="X599" s="277"/>
      <c r="Y599" s="277"/>
      <c r="Z599" s="277"/>
    </row>
    <row r="600" ht="12.75" customHeight="1">
      <c r="A600" s="277"/>
      <c r="B600" s="278"/>
      <c r="C600" s="277"/>
      <c r="D600" s="278"/>
      <c r="E600" s="279"/>
      <c r="F600" s="406"/>
      <c r="G600" s="407"/>
      <c r="H600" s="407"/>
      <c r="I600" s="407"/>
      <c r="J600" s="407"/>
      <c r="K600" s="407"/>
      <c r="L600" s="407"/>
      <c r="M600" s="407"/>
      <c r="N600" s="407"/>
      <c r="O600" s="407"/>
      <c r="P600" s="407"/>
      <c r="Q600" s="407"/>
      <c r="R600" s="407"/>
      <c r="S600" s="408"/>
      <c r="T600" s="408"/>
      <c r="U600" s="408"/>
      <c r="V600" s="409"/>
      <c r="W600" s="410"/>
      <c r="X600" s="277"/>
      <c r="Y600" s="277"/>
      <c r="Z600" s="277"/>
    </row>
    <row r="601" ht="12.75" customHeight="1">
      <c r="A601" s="277"/>
      <c r="B601" s="278"/>
      <c r="C601" s="277"/>
      <c r="D601" s="278"/>
      <c r="E601" s="279"/>
      <c r="F601" s="406"/>
      <c r="G601" s="407"/>
      <c r="H601" s="407"/>
      <c r="I601" s="407"/>
      <c r="J601" s="407"/>
      <c r="K601" s="407"/>
      <c r="L601" s="407"/>
      <c r="M601" s="407"/>
      <c r="N601" s="407"/>
      <c r="O601" s="407"/>
      <c r="P601" s="407"/>
      <c r="Q601" s="407"/>
      <c r="R601" s="407"/>
      <c r="S601" s="408"/>
      <c r="T601" s="408"/>
      <c r="U601" s="408"/>
      <c r="V601" s="409"/>
      <c r="W601" s="410"/>
      <c r="X601" s="277"/>
      <c r="Y601" s="277"/>
      <c r="Z601" s="277"/>
    </row>
    <row r="602" ht="12.75" customHeight="1">
      <c r="A602" s="277"/>
      <c r="B602" s="278"/>
      <c r="C602" s="277"/>
      <c r="D602" s="278"/>
      <c r="E602" s="279"/>
      <c r="F602" s="406"/>
      <c r="G602" s="407"/>
      <c r="H602" s="407"/>
      <c r="I602" s="407"/>
      <c r="J602" s="407"/>
      <c r="K602" s="407"/>
      <c r="L602" s="407"/>
      <c r="M602" s="407"/>
      <c r="N602" s="407"/>
      <c r="O602" s="407"/>
      <c r="P602" s="407"/>
      <c r="Q602" s="407"/>
      <c r="R602" s="407"/>
      <c r="S602" s="408"/>
      <c r="T602" s="408"/>
      <c r="U602" s="408"/>
      <c r="V602" s="409"/>
      <c r="W602" s="410"/>
      <c r="X602" s="277"/>
      <c r="Y602" s="277"/>
      <c r="Z602" s="277"/>
    </row>
    <row r="603" ht="12.75" customHeight="1">
      <c r="A603" s="277"/>
      <c r="B603" s="278"/>
      <c r="C603" s="277"/>
      <c r="D603" s="278"/>
      <c r="E603" s="279"/>
      <c r="F603" s="406"/>
      <c r="G603" s="407"/>
      <c r="H603" s="407"/>
      <c r="I603" s="407"/>
      <c r="J603" s="407"/>
      <c r="K603" s="407"/>
      <c r="L603" s="407"/>
      <c r="M603" s="407"/>
      <c r="N603" s="407"/>
      <c r="O603" s="407"/>
      <c r="P603" s="407"/>
      <c r="Q603" s="407"/>
      <c r="R603" s="407"/>
      <c r="S603" s="408"/>
      <c r="T603" s="408"/>
      <c r="U603" s="408"/>
      <c r="V603" s="409"/>
      <c r="W603" s="410"/>
      <c r="X603" s="277"/>
      <c r="Y603" s="277"/>
      <c r="Z603" s="277"/>
    </row>
    <row r="604" ht="12.75" customHeight="1">
      <c r="A604" s="277"/>
      <c r="B604" s="278"/>
      <c r="C604" s="277"/>
      <c r="D604" s="278"/>
      <c r="E604" s="279"/>
      <c r="F604" s="406"/>
      <c r="G604" s="407"/>
      <c r="H604" s="407"/>
      <c r="I604" s="407"/>
      <c r="J604" s="407"/>
      <c r="K604" s="407"/>
      <c r="L604" s="407"/>
      <c r="M604" s="407"/>
      <c r="N604" s="407"/>
      <c r="O604" s="407"/>
      <c r="P604" s="407"/>
      <c r="Q604" s="407"/>
      <c r="R604" s="407"/>
      <c r="S604" s="408"/>
      <c r="T604" s="408"/>
      <c r="U604" s="408"/>
      <c r="V604" s="409"/>
      <c r="W604" s="410"/>
      <c r="X604" s="277"/>
      <c r="Y604" s="277"/>
      <c r="Z604" s="277"/>
    </row>
    <row r="605" ht="12.75" customHeight="1">
      <c r="A605" s="277"/>
      <c r="B605" s="278"/>
      <c r="C605" s="277"/>
      <c r="D605" s="278"/>
      <c r="E605" s="279"/>
      <c r="F605" s="406"/>
      <c r="G605" s="407"/>
      <c r="H605" s="407"/>
      <c r="I605" s="407"/>
      <c r="J605" s="407"/>
      <c r="K605" s="407"/>
      <c r="L605" s="407"/>
      <c r="M605" s="407"/>
      <c r="N605" s="407"/>
      <c r="O605" s="407"/>
      <c r="P605" s="407"/>
      <c r="Q605" s="407"/>
      <c r="R605" s="407"/>
      <c r="S605" s="408"/>
      <c r="T605" s="408"/>
      <c r="U605" s="408"/>
      <c r="V605" s="409"/>
      <c r="W605" s="410"/>
      <c r="X605" s="277"/>
      <c r="Y605" s="277"/>
      <c r="Z605" s="277"/>
    </row>
    <row r="606" ht="12.75" customHeight="1">
      <c r="A606" s="277"/>
      <c r="B606" s="278"/>
      <c r="C606" s="277"/>
      <c r="D606" s="278"/>
      <c r="E606" s="279"/>
      <c r="F606" s="406"/>
      <c r="G606" s="407"/>
      <c r="H606" s="407"/>
      <c r="I606" s="407"/>
      <c r="J606" s="407"/>
      <c r="K606" s="407"/>
      <c r="L606" s="407"/>
      <c r="M606" s="407"/>
      <c r="N606" s="407"/>
      <c r="O606" s="407"/>
      <c r="P606" s="407"/>
      <c r="Q606" s="407"/>
      <c r="R606" s="407"/>
      <c r="S606" s="408"/>
      <c r="T606" s="408"/>
      <c r="U606" s="408"/>
      <c r="V606" s="409"/>
      <c r="W606" s="410"/>
      <c r="X606" s="277"/>
      <c r="Y606" s="277"/>
      <c r="Z606" s="277"/>
    </row>
    <row r="607" ht="12.75" customHeight="1">
      <c r="A607" s="277"/>
      <c r="B607" s="278"/>
      <c r="C607" s="277"/>
      <c r="D607" s="278"/>
      <c r="E607" s="279"/>
      <c r="F607" s="406"/>
      <c r="G607" s="407"/>
      <c r="H607" s="407"/>
      <c r="I607" s="407"/>
      <c r="J607" s="407"/>
      <c r="K607" s="407"/>
      <c r="L607" s="407"/>
      <c r="M607" s="407"/>
      <c r="N607" s="407"/>
      <c r="O607" s="407"/>
      <c r="P607" s="407"/>
      <c r="Q607" s="407"/>
      <c r="R607" s="407"/>
      <c r="S607" s="408"/>
      <c r="T607" s="408"/>
      <c r="U607" s="408"/>
      <c r="V607" s="409"/>
      <c r="W607" s="410"/>
      <c r="X607" s="277"/>
      <c r="Y607" s="277"/>
      <c r="Z607" s="277"/>
    </row>
    <row r="608" ht="12.75" customHeight="1">
      <c r="A608" s="277"/>
      <c r="B608" s="278"/>
      <c r="C608" s="277"/>
      <c r="D608" s="278"/>
      <c r="E608" s="279"/>
      <c r="F608" s="406"/>
      <c r="G608" s="407"/>
      <c r="H608" s="407"/>
      <c r="I608" s="407"/>
      <c r="J608" s="407"/>
      <c r="K608" s="407"/>
      <c r="L608" s="407"/>
      <c r="M608" s="407"/>
      <c r="N608" s="407"/>
      <c r="O608" s="407"/>
      <c r="P608" s="407"/>
      <c r="Q608" s="407"/>
      <c r="R608" s="407"/>
      <c r="S608" s="408"/>
      <c r="T608" s="408"/>
      <c r="U608" s="408"/>
      <c r="V608" s="409"/>
      <c r="W608" s="410"/>
      <c r="X608" s="277"/>
      <c r="Y608" s="277"/>
      <c r="Z608" s="277"/>
    </row>
    <row r="609" ht="12.75" customHeight="1">
      <c r="A609" s="277"/>
      <c r="B609" s="278"/>
      <c r="C609" s="277"/>
      <c r="D609" s="278"/>
      <c r="E609" s="279"/>
      <c r="F609" s="406"/>
      <c r="G609" s="407"/>
      <c r="H609" s="407"/>
      <c r="I609" s="407"/>
      <c r="J609" s="407"/>
      <c r="K609" s="407"/>
      <c r="L609" s="407"/>
      <c r="M609" s="407"/>
      <c r="N609" s="407"/>
      <c r="O609" s="407"/>
      <c r="P609" s="407"/>
      <c r="Q609" s="407"/>
      <c r="R609" s="407"/>
      <c r="S609" s="408"/>
      <c r="T609" s="408"/>
      <c r="U609" s="408"/>
      <c r="V609" s="409"/>
      <c r="W609" s="410"/>
      <c r="X609" s="277"/>
      <c r="Y609" s="277"/>
      <c r="Z609" s="277"/>
    </row>
    <row r="610" ht="12.75" customHeight="1">
      <c r="A610" s="277"/>
      <c r="B610" s="278"/>
      <c r="C610" s="277"/>
      <c r="D610" s="278"/>
      <c r="E610" s="279"/>
      <c r="F610" s="406"/>
      <c r="G610" s="407"/>
      <c r="H610" s="407"/>
      <c r="I610" s="407"/>
      <c r="J610" s="407"/>
      <c r="K610" s="407"/>
      <c r="L610" s="407"/>
      <c r="M610" s="407"/>
      <c r="N610" s="407"/>
      <c r="O610" s="407"/>
      <c r="P610" s="407"/>
      <c r="Q610" s="407"/>
      <c r="R610" s="407"/>
      <c r="S610" s="408"/>
      <c r="T610" s="408"/>
      <c r="U610" s="408"/>
      <c r="V610" s="409"/>
      <c r="W610" s="410"/>
      <c r="X610" s="277"/>
      <c r="Y610" s="277"/>
      <c r="Z610" s="277"/>
    </row>
    <row r="611" ht="12.75" customHeight="1">
      <c r="A611" s="277"/>
      <c r="B611" s="278"/>
      <c r="C611" s="277"/>
      <c r="D611" s="278"/>
      <c r="E611" s="279"/>
      <c r="F611" s="406"/>
      <c r="G611" s="407"/>
      <c r="H611" s="407"/>
      <c r="I611" s="407"/>
      <c r="J611" s="407"/>
      <c r="K611" s="407"/>
      <c r="L611" s="407"/>
      <c r="M611" s="407"/>
      <c r="N611" s="407"/>
      <c r="O611" s="407"/>
      <c r="P611" s="407"/>
      <c r="Q611" s="407"/>
      <c r="R611" s="407"/>
      <c r="S611" s="408"/>
      <c r="T611" s="408"/>
      <c r="U611" s="408"/>
      <c r="V611" s="409"/>
      <c r="W611" s="410"/>
      <c r="X611" s="277"/>
      <c r="Y611" s="277"/>
      <c r="Z611" s="277"/>
    </row>
    <row r="612" ht="12.75" customHeight="1">
      <c r="A612" s="277"/>
      <c r="B612" s="278"/>
      <c r="C612" s="277"/>
      <c r="D612" s="278"/>
      <c r="E612" s="279"/>
      <c r="F612" s="406"/>
      <c r="G612" s="407"/>
      <c r="H612" s="407"/>
      <c r="I612" s="407"/>
      <c r="J612" s="407"/>
      <c r="K612" s="407"/>
      <c r="L612" s="407"/>
      <c r="M612" s="407"/>
      <c r="N612" s="407"/>
      <c r="O612" s="407"/>
      <c r="P612" s="407"/>
      <c r="Q612" s="407"/>
      <c r="R612" s="407"/>
      <c r="S612" s="408"/>
      <c r="T612" s="408"/>
      <c r="U612" s="408"/>
      <c r="V612" s="409"/>
      <c r="W612" s="410"/>
      <c r="X612" s="277"/>
      <c r="Y612" s="277"/>
      <c r="Z612" s="277"/>
    </row>
    <row r="613" ht="12.75" customHeight="1">
      <c r="A613" s="277"/>
      <c r="B613" s="278"/>
      <c r="C613" s="277"/>
      <c r="D613" s="278"/>
      <c r="E613" s="279"/>
      <c r="F613" s="406"/>
      <c r="G613" s="407"/>
      <c r="H613" s="407"/>
      <c r="I613" s="407"/>
      <c r="J613" s="407"/>
      <c r="K613" s="407"/>
      <c r="L613" s="407"/>
      <c r="M613" s="407"/>
      <c r="N613" s="407"/>
      <c r="O613" s="407"/>
      <c r="P613" s="407"/>
      <c r="Q613" s="407"/>
      <c r="R613" s="407"/>
      <c r="S613" s="408"/>
      <c r="T613" s="408"/>
      <c r="U613" s="408"/>
      <c r="V613" s="409"/>
      <c r="W613" s="410"/>
      <c r="X613" s="277"/>
      <c r="Y613" s="277"/>
      <c r="Z613" s="277"/>
    </row>
    <row r="614" ht="12.75" customHeight="1">
      <c r="A614" s="277"/>
      <c r="B614" s="278"/>
      <c r="C614" s="277"/>
      <c r="D614" s="278"/>
      <c r="E614" s="279"/>
      <c r="F614" s="406"/>
      <c r="G614" s="407"/>
      <c r="H614" s="407"/>
      <c r="I614" s="407"/>
      <c r="J614" s="407"/>
      <c r="K614" s="407"/>
      <c r="L614" s="407"/>
      <c r="M614" s="407"/>
      <c r="N614" s="407"/>
      <c r="O614" s="407"/>
      <c r="P614" s="407"/>
      <c r="Q614" s="407"/>
      <c r="R614" s="407"/>
      <c r="S614" s="408"/>
      <c r="T614" s="408"/>
      <c r="U614" s="408"/>
      <c r="V614" s="409"/>
      <c r="W614" s="410"/>
      <c r="X614" s="277"/>
      <c r="Y614" s="277"/>
      <c r="Z614" s="277"/>
    </row>
    <row r="615" ht="12.75" customHeight="1">
      <c r="A615" s="277"/>
      <c r="B615" s="278"/>
      <c r="C615" s="277"/>
      <c r="D615" s="278"/>
      <c r="E615" s="279"/>
      <c r="F615" s="406"/>
      <c r="G615" s="407"/>
      <c r="H615" s="407"/>
      <c r="I615" s="407"/>
      <c r="J615" s="407"/>
      <c r="K615" s="407"/>
      <c r="L615" s="407"/>
      <c r="M615" s="407"/>
      <c r="N615" s="407"/>
      <c r="O615" s="407"/>
      <c r="P615" s="407"/>
      <c r="Q615" s="407"/>
      <c r="R615" s="407"/>
      <c r="S615" s="408"/>
      <c r="T615" s="408"/>
      <c r="U615" s="408"/>
      <c r="V615" s="409"/>
      <c r="W615" s="410"/>
      <c r="X615" s="277"/>
      <c r="Y615" s="277"/>
      <c r="Z615" s="277"/>
    </row>
    <row r="616" ht="12.75" customHeight="1">
      <c r="A616" s="277"/>
      <c r="B616" s="278"/>
      <c r="C616" s="277"/>
      <c r="D616" s="278"/>
      <c r="E616" s="279"/>
      <c r="F616" s="406"/>
      <c r="G616" s="407"/>
      <c r="H616" s="407"/>
      <c r="I616" s="407"/>
      <c r="J616" s="407"/>
      <c r="K616" s="407"/>
      <c r="L616" s="407"/>
      <c r="M616" s="407"/>
      <c r="N616" s="407"/>
      <c r="O616" s="407"/>
      <c r="P616" s="407"/>
      <c r="Q616" s="407"/>
      <c r="R616" s="407"/>
      <c r="S616" s="408"/>
      <c r="T616" s="408"/>
      <c r="U616" s="408"/>
      <c r="V616" s="409"/>
      <c r="W616" s="410"/>
      <c r="X616" s="277"/>
      <c r="Y616" s="277"/>
      <c r="Z616" s="277"/>
    </row>
    <row r="617" ht="12.75" customHeight="1">
      <c r="A617" s="277"/>
      <c r="B617" s="278"/>
      <c r="C617" s="277"/>
      <c r="D617" s="278"/>
      <c r="E617" s="279"/>
      <c r="F617" s="406"/>
      <c r="G617" s="407"/>
      <c r="H617" s="407"/>
      <c r="I617" s="407"/>
      <c r="J617" s="407"/>
      <c r="K617" s="407"/>
      <c r="L617" s="407"/>
      <c r="M617" s="407"/>
      <c r="N617" s="407"/>
      <c r="O617" s="407"/>
      <c r="P617" s="407"/>
      <c r="Q617" s="407"/>
      <c r="R617" s="407"/>
      <c r="S617" s="408"/>
      <c r="T617" s="408"/>
      <c r="U617" s="408"/>
      <c r="V617" s="409"/>
      <c r="W617" s="410"/>
      <c r="X617" s="277"/>
      <c r="Y617" s="277"/>
      <c r="Z617" s="277"/>
    </row>
    <row r="618" ht="12.75" customHeight="1">
      <c r="A618" s="277"/>
      <c r="B618" s="278"/>
      <c r="C618" s="277"/>
      <c r="D618" s="278"/>
      <c r="E618" s="279"/>
      <c r="F618" s="406"/>
      <c r="G618" s="407"/>
      <c r="H618" s="407"/>
      <c r="I618" s="407"/>
      <c r="J618" s="407"/>
      <c r="K618" s="407"/>
      <c r="L618" s="407"/>
      <c r="M618" s="407"/>
      <c r="N618" s="407"/>
      <c r="O618" s="407"/>
      <c r="P618" s="407"/>
      <c r="Q618" s="407"/>
      <c r="R618" s="407"/>
      <c r="S618" s="408"/>
      <c r="T618" s="408"/>
      <c r="U618" s="408"/>
      <c r="V618" s="409"/>
      <c r="W618" s="410"/>
      <c r="X618" s="277"/>
      <c r="Y618" s="277"/>
      <c r="Z618" s="277"/>
    </row>
    <row r="619" ht="12.75" customHeight="1">
      <c r="A619" s="277"/>
      <c r="B619" s="278"/>
      <c r="C619" s="277"/>
      <c r="D619" s="278"/>
      <c r="E619" s="279"/>
      <c r="F619" s="406"/>
      <c r="G619" s="407"/>
      <c r="H619" s="407"/>
      <c r="I619" s="407"/>
      <c r="J619" s="407"/>
      <c r="K619" s="407"/>
      <c r="L619" s="407"/>
      <c r="M619" s="407"/>
      <c r="N619" s="407"/>
      <c r="O619" s="407"/>
      <c r="P619" s="407"/>
      <c r="Q619" s="407"/>
      <c r="R619" s="407"/>
      <c r="S619" s="408"/>
      <c r="T619" s="408"/>
      <c r="U619" s="408"/>
      <c r="V619" s="409"/>
      <c r="W619" s="410"/>
      <c r="X619" s="277"/>
      <c r="Y619" s="277"/>
      <c r="Z619" s="277"/>
    </row>
    <row r="620" ht="12.75" customHeight="1">
      <c r="A620" s="277"/>
      <c r="B620" s="278"/>
      <c r="C620" s="277"/>
      <c r="D620" s="278"/>
      <c r="E620" s="279"/>
      <c r="F620" s="406"/>
      <c r="G620" s="407"/>
      <c r="H620" s="407"/>
      <c r="I620" s="407"/>
      <c r="J620" s="407"/>
      <c r="K620" s="407"/>
      <c r="L620" s="407"/>
      <c r="M620" s="407"/>
      <c r="N620" s="407"/>
      <c r="O620" s="407"/>
      <c r="P620" s="407"/>
      <c r="Q620" s="407"/>
      <c r="R620" s="407"/>
      <c r="S620" s="408"/>
      <c r="T620" s="408"/>
      <c r="U620" s="408"/>
      <c r="V620" s="409"/>
      <c r="W620" s="410"/>
      <c r="X620" s="277"/>
      <c r="Y620" s="277"/>
      <c r="Z620" s="277"/>
    </row>
    <row r="621" ht="12.75" customHeight="1">
      <c r="A621" s="277"/>
      <c r="B621" s="278"/>
      <c r="C621" s="277"/>
      <c r="D621" s="278"/>
      <c r="E621" s="279"/>
      <c r="F621" s="406"/>
      <c r="G621" s="407"/>
      <c r="H621" s="407"/>
      <c r="I621" s="407"/>
      <c r="J621" s="407"/>
      <c r="K621" s="407"/>
      <c r="L621" s="407"/>
      <c r="M621" s="407"/>
      <c r="N621" s="407"/>
      <c r="O621" s="407"/>
      <c r="P621" s="407"/>
      <c r="Q621" s="407"/>
      <c r="R621" s="407"/>
      <c r="S621" s="408"/>
      <c r="T621" s="408"/>
      <c r="U621" s="408"/>
      <c r="V621" s="409"/>
      <c r="W621" s="410"/>
      <c r="X621" s="277"/>
      <c r="Y621" s="277"/>
      <c r="Z621" s="277"/>
    </row>
    <row r="622" ht="12.75" customHeight="1">
      <c r="A622" s="277"/>
      <c r="B622" s="278"/>
      <c r="C622" s="277"/>
      <c r="D622" s="278"/>
      <c r="E622" s="279"/>
      <c r="F622" s="406"/>
      <c r="G622" s="407"/>
      <c r="H622" s="407"/>
      <c r="I622" s="407"/>
      <c r="J622" s="407"/>
      <c r="K622" s="407"/>
      <c r="L622" s="407"/>
      <c r="M622" s="407"/>
      <c r="N622" s="407"/>
      <c r="O622" s="407"/>
      <c r="P622" s="407"/>
      <c r="Q622" s="407"/>
      <c r="R622" s="407"/>
      <c r="S622" s="408"/>
      <c r="T622" s="408"/>
      <c r="U622" s="408"/>
      <c r="V622" s="409"/>
      <c r="W622" s="410"/>
      <c r="X622" s="277"/>
      <c r="Y622" s="277"/>
      <c r="Z622" s="277"/>
    </row>
    <row r="623" ht="12.75" customHeight="1">
      <c r="A623" s="277"/>
      <c r="B623" s="278"/>
      <c r="C623" s="277"/>
      <c r="D623" s="278"/>
      <c r="E623" s="279"/>
      <c r="F623" s="406"/>
      <c r="G623" s="407"/>
      <c r="H623" s="407"/>
      <c r="I623" s="407"/>
      <c r="J623" s="407"/>
      <c r="K623" s="407"/>
      <c r="L623" s="407"/>
      <c r="M623" s="407"/>
      <c r="N623" s="407"/>
      <c r="O623" s="407"/>
      <c r="P623" s="407"/>
      <c r="Q623" s="407"/>
      <c r="R623" s="407"/>
      <c r="S623" s="408"/>
      <c r="T623" s="408"/>
      <c r="U623" s="408"/>
      <c r="V623" s="409"/>
      <c r="W623" s="410"/>
      <c r="X623" s="277"/>
      <c r="Y623" s="277"/>
      <c r="Z623" s="277"/>
    </row>
    <row r="624" ht="12.75" customHeight="1">
      <c r="A624" s="277"/>
      <c r="B624" s="278"/>
      <c r="C624" s="277"/>
      <c r="D624" s="278"/>
      <c r="E624" s="279"/>
      <c r="F624" s="406"/>
      <c r="G624" s="407"/>
      <c r="H624" s="407"/>
      <c r="I624" s="407"/>
      <c r="J624" s="407"/>
      <c r="K624" s="407"/>
      <c r="L624" s="407"/>
      <c r="M624" s="407"/>
      <c r="N624" s="407"/>
      <c r="O624" s="407"/>
      <c r="P624" s="407"/>
      <c r="Q624" s="407"/>
      <c r="R624" s="407"/>
      <c r="S624" s="408"/>
      <c r="T624" s="408"/>
      <c r="U624" s="408"/>
      <c r="V624" s="409"/>
      <c r="W624" s="410"/>
      <c r="X624" s="277"/>
      <c r="Y624" s="277"/>
      <c r="Z624" s="277"/>
    </row>
    <row r="625" ht="12.75" customHeight="1">
      <c r="A625" s="277"/>
      <c r="B625" s="278"/>
      <c r="C625" s="277"/>
      <c r="D625" s="278"/>
      <c r="E625" s="279"/>
      <c r="F625" s="406"/>
      <c r="G625" s="407"/>
      <c r="H625" s="407"/>
      <c r="I625" s="407"/>
      <c r="J625" s="407"/>
      <c r="K625" s="407"/>
      <c r="L625" s="407"/>
      <c r="M625" s="407"/>
      <c r="N625" s="407"/>
      <c r="O625" s="407"/>
      <c r="P625" s="407"/>
      <c r="Q625" s="407"/>
      <c r="R625" s="407"/>
      <c r="S625" s="408"/>
      <c r="T625" s="408"/>
      <c r="U625" s="408"/>
      <c r="V625" s="409"/>
      <c r="W625" s="410"/>
      <c r="X625" s="277"/>
      <c r="Y625" s="277"/>
      <c r="Z625" s="277"/>
    </row>
    <row r="626" ht="12.75" customHeight="1">
      <c r="A626" s="277"/>
      <c r="B626" s="278"/>
      <c r="C626" s="277"/>
      <c r="D626" s="278"/>
      <c r="E626" s="279"/>
      <c r="F626" s="406"/>
      <c r="G626" s="407"/>
      <c r="H626" s="407"/>
      <c r="I626" s="407"/>
      <c r="J626" s="407"/>
      <c r="K626" s="407"/>
      <c r="L626" s="407"/>
      <c r="M626" s="407"/>
      <c r="N626" s="407"/>
      <c r="O626" s="407"/>
      <c r="P626" s="407"/>
      <c r="Q626" s="407"/>
      <c r="R626" s="407"/>
      <c r="S626" s="408"/>
      <c r="T626" s="408"/>
      <c r="U626" s="408"/>
      <c r="V626" s="409"/>
      <c r="W626" s="410"/>
      <c r="X626" s="277"/>
      <c r="Y626" s="277"/>
      <c r="Z626" s="277"/>
    </row>
    <row r="627" ht="12.75" customHeight="1">
      <c r="A627" s="277"/>
      <c r="B627" s="278"/>
      <c r="C627" s="277"/>
      <c r="D627" s="278"/>
      <c r="E627" s="279"/>
      <c r="F627" s="406"/>
      <c r="G627" s="407"/>
      <c r="H627" s="407"/>
      <c r="I627" s="407"/>
      <c r="J627" s="407"/>
      <c r="K627" s="407"/>
      <c r="L627" s="407"/>
      <c r="M627" s="407"/>
      <c r="N627" s="407"/>
      <c r="O627" s="407"/>
      <c r="P627" s="407"/>
      <c r="Q627" s="407"/>
      <c r="R627" s="407"/>
      <c r="S627" s="408"/>
      <c r="T627" s="408"/>
      <c r="U627" s="408"/>
      <c r="V627" s="409"/>
      <c r="W627" s="410"/>
      <c r="X627" s="277"/>
      <c r="Y627" s="277"/>
      <c r="Z627" s="277"/>
    </row>
    <row r="628" ht="12.75" customHeight="1">
      <c r="A628" s="277"/>
      <c r="B628" s="278"/>
      <c r="C628" s="277"/>
      <c r="D628" s="278"/>
      <c r="E628" s="279"/>
      <c r="F628" s="406"/>
      <c r="G628" s="407"/>
      <c r="H628" s="407"/>
      <c r="I628" s="407"/>
      <c r="J628" s="407"/>
      <c r="K628" s="407"/>
      <c r="L628" s="407"/>
      <c r="M628" s="407"/>
      <c r="N628" s="407"/>
      <c r="O628" s="407"/>
      <c r="P628" s="407"/>
      <c r="Q628" s="407"/>
      <c r="R628" s="407"/>
      <c r="S628" s="408"/>
      <c r="T628" s="408"/>
      <c r="U628" s="408"/>
      <c r="V628" s="409"/>
      <c r="W628" s="410"/>
      <c r="X628" s="277"/>
      <c r="Y628" s="277"/>
      <c r="Z628" s="277"/>
    </row>
    <row r="629" ht="12.75" customHeight="1">
      <c r="A629" s="277"/>
      <c r="B629" s="278"/>
      <c r="C629" s="277"/>
      <c r="D629" s="278"/>
      <c r="E629" s="279"/>
      <c r="F629" s="406"/>
      <c r="G629" s="407"/>
      <c r="H629" s="407"/>
      <c r="I629" s="407"/>
      <c r="J629" s="407"/>
      <c r="K629" s="407"/>
      <c r="L629" s="407"/>
      <c r="M629" s="407"/>
      <c r="N629" s="407"/>
      <c r="O629" s="407"/>
      <c r="P629" s="407"/>
      <c r="Q629" s="407"/>
      <c r="R629" s="407"/>
      <c r="S629" s="408"/>
      <c r="T629" s="408"/>
      <c r="U629" s="408"/>
      <c r="V629" s="409"/>
      <c r="W629" s="410"/>
      <c r="X629" s="277"/>
      <c r="Y629" s="277"/>
      <c r="Z629" s="277"/>
    </row>
    <row r="630" ht="12.75" customHeight="1">
      <c r="A630" s="277"/>
      <c r="B630" s="278"/>
      <c r="C630" s="277"/>
      <c r="D630" s="278"/>
      <c r="E630" s="279"/>
      <c r="F630" s="406"/>
      <c r="G630" s="407"/>
      <c r="H630" s="407"/>
      <c r="I630" s="407"/>
      <c r="J630" s="407"/>
      <c r="K630" s="407"/>
      <c r="L630" s="407"/>
      <c r="M630" s="407"/>
      <c r="N630" s="407"/>
      <c r="O630" s="407"/>
      <c r="P630" s="407"/>
      <c r="Q630" s="407"/>
      <c r="R630" s="407"/>
      <c r="S630" s="408"/>
      <c r="T630" s="408"/>
      <c r="U630" s="408"/>
      <c r="V630" s="409"/>
      <c r="W630" s="410"/>
      <c r="X630" s="277"/>
      <c r="Y630" s="277"/>
      <c r="Z630" s="277"/>
    </row>
    <row r="631" ht="12.75" customHeight="1">
      <c r="A631" s="277"/>
      <c r="B631" s="278"/>
      <c r="C631" s="277"/>
      <c r="D631" s="278"/>
      <c r="E631" s="279"/>
      <c r="F631" s="406"/>
      <c r="G631" s="407"/>
      <c r="H631" s="407"/>
      <c r="I631" s="407"/>
      <c r="J631" s="407"/>
      <c r="K631" s="407"/>
      <c r="L631" s="407"/>
      <c r="M631" s="407"/>
      <c r="N631" s="407"/>
      <c r="O631" s="407"/>
      <c r="P631" s="407"/>
      <c r="Q631" s="407"/>
      <c r="R631" s="407"/>
      <c r="S631" s="408"/>
      <c r="T631" s="408"/>
      <c r="U631" s="408"/>
      <c r="V631" s="409"/>
      <c r="W631" s="410"/>
      <c r="X631" s="277"/>
      <c r="Y631" s="277"/>
      <c r="Z631" s="277"/>
    </row>
    <row r="632" ht="12.75" customHeight="1">
      <c r="A632" s="277"/>
      <c r="B632" s="278"/>
      <c r="C632" s="277"/>
      <c r="D632" s="278"/>
      <c r="E632" s="279"/>
      <c r="F632" s="406"/>
      <c r="G632" s="407"/>
      <c r="H632" s="407"/>
      <c r="I632" s="407"/>
      <c r="J632" s="407"/>
      <c r="K632" s="407"/>
      <c r="L632" s="407"/>
      <c r="M632" s="407"/>
      <c r="N632" s="407"/>
      <c r="O632" s="407"/>
      <c r="P632" s="407"/>
      <c r="Q632" s="407"/>
      <c r="R632" s="407"/>
      <c r="S632" s="408"/>
      <c r="T632" s="408"/>
      <c r="U632" s="408"/>
      <c r="V632" s="409"/>
      <c r="W632" s="410"/>
      <c r="X632" s="277"/>
      <c r="Y632" s="277"/>
      <c r="Z632" s="277"/>
    </row>
    <row r="633" ht="12.75" customHeight="1">
      <c r="A633" s="277"/>
      <c r="B633" s="278"/>
      <c r="C633" s="277"/>
      <c r="D633" s="278"/>
      <c r="E633" s="279"/>
      <c r="F633" s="406"/>
      <c r="G633" s="407"/>
      <c r="H633" s="407"/>
      <c r="I633" s="407"/>
      <c r="J633" s="407"/>
      <c r="K633" s="407"/>
      <c r="L633" s="407"/>
      <c r="M633" s="407"/>
      <c r="N633" s="407"/>
      <c r="O633" s="407"/>
      <c r="P633" s="407"/>
      <c r="Q633" s="407"/>
      <c r="R633" s="407"/>
      <c r="S633" s="408"/>
      <c r="T633" s="408"/>
      <c r="U633" s="408"/>
      <c r="V633" s="409"/>
      <c r="W633" s="410"/>
      <c r="X633" s="277"/>
      <c r="Y633" s="277"/>
      <c r="Z633" s="277"/>
    </row>
    <row r="634" ht="12.75" customHeight="1">
      <c r="A634" s="277"/>
      <c r="B634" s="278"/>
      <c r="C634" s="277"/>
      <c r="D634" s="278"/>
      <c r="E634" s="279"/>
      <c r="F634" s="406"/>
      <c r="G634" s="407"/>
      <c r="H634" s="407"/>
      <c r="I634" s="407"/>
      <c r="J634" s="407"/>
      <c r="K634" s="407"/>
      <c r="L634" s="407"/>
      <c r="M634" s="407"/>
      <c r="N634" s="407"/>
      <c r="O634" s="407"/>
      <c r="P634" s="407"/>
      <c r="Q634" s="407"/>
      <c r="R634" s="407"/>
      <c r="S634" s="408"/>
      <c r="T634" s="408"/>
      <c r="U634" s="408"/>
      <c r="V634" s="409"/>
      <c r="W634" s="410"/>
      <c r="X634" s="277"/>
      <c r="Y634" s="277"/>
      <c r="Z634" s="277"/>
    </row>
    <row r="635" ht="12.75" customHeight="1">
      <c r="A635" s="277"/>
      <c r="B635" s="278"/>
      <c r="C635" s="277"/>
      <c r="D635" s="278"/>
      <c r="E635" s="279"/>
      <c r="F635" s="406"/>
      <c r="G635" s="407"/>
      <c r="H635" s="407"/>
      <c r="I635" s="407"/>
      <c r="J635" s="407"/>
      <c r="K635" s="407"/>
      <c r="L635" s="407"/>
      <c r="M635" s="407"/>
      <c r="N635" s="407"/>
      <c r="O635" s="407"/>
      <c r="P635" s="407"/>
      <c r="Q635" s="407"/>
      <c r="R635" s="407"/>
      <c r="S635" s="408"/>
      <c r="T635" s="408"/>
      <c r="U635" s="408"/>
      <c r="V635" s="409"/>
      <c r="W635" s="410"/>
      <c r="X635" s="277"/>
      <c r="Y635" s="277"/>
      <c r="Z635" s="277"/>
    </row>
    <row r="636" ht="12.75" customHeight="1">
      <c r="A636" s="277"/>
      <c r="B636" s="278"/>
      <c r="C636" s="277"/>
      <c r="D636" s="278"/>
      <c r="E636" s="279"/>
      <c r="F636" s="406"/>
      <c r="G636" s="407"/>
      <c r="H636" s="407"/>
      <c r="I636" s="407"/>
      <c r="J636" s="407"/>
      <c r="K636" s="407"/>
      <c r="L636" s="407"/>
      <c r="M636" s="407"/>
      <c r="N636" s="407"/>
      <c r="O636" s="407"/>
      <c r="P636" s="407"/>
      <c r="Q636" s="407"/>
      <c r="R636" s="407"/>
      <c r="S636" s="408"/>
      <c r="T636" s="408"/>
      <c r="U636" s="408"/>
      <c r="V636" s="409"/>
      <c r="W636" s="410"/>
      <c r="X636" s="277"/>
      <c r="Y636" s="277"/>
      <c r="Z636" s="277"/>
    </row>
    <row r="637" ht="12.75" customHeight="1">
      <c r="A637" s="277"/>
      <c r="B637" s="278"/>
      <c r="C637" s="277"/>
      <c r="D637" s="278"/>
      <c r="E637" s="279"/>
      <c r="F637" s="406"/>
      <c r="G637" s="407"/>
      <c r="H637" s="407"/>
      <c r="I637" s="407"/>
      <c r="J637" s="407"/>
      <c r="K637" s="407"/>
      <c r="L637" s="407"/>
      <c r="M637" s="407"/>
      <c r="N637" s="407"/>
      <c r="O637" s="407"/>
      <c r="P637" s="407"/>
      <c r="Q637" s="407"/>
      <c r="R637" s="407"/>
      <c r="S637" s="408"/>
      <c r="T637" s="408"/>
      <c r="U637" s="408"/>
      <c r="V637" s="409"/>
      <c r="W637" s="410"/>
      <c r="X637" s="277"/>
      <c r="Y637" s="277"/>
      <c r="Z637" s="277"/>
    </row>
    <row r="638" ht="12.75" customHeight="1">
      <c r="A638" s="277"/>
      <c r="B638" s="278"/>
      <c r="C638" s="277"/>
      <c r="D638" s="278"/>
      <c r="E638" s="279"/>
      <c r="F638" s="406"/>
      <c r="G638" s="407"/>
      <c r="H638" s="407"/>
      <c r="I638" s="407"/>
      <c r="J638" s="407"/>
      <c r="K638" s="407"/>
      <c r="L638" s="407"/>
      <c r="M638" s="407"/>
      <c r="N638" s="407"/>
      <c r="O638" s="407"/>
      <c r="P638" s="407"/>
      <c r="Q638" s="407"/>
      <c r="R638" s="407"/>
      <c r="S638" s="408"/>
      <c r="T638" s="408"/>
      <c r="U638" s="408"/>
      <c r="V638" s="409"/>
      <c r="W638" s="410"/>
      <c r="X638" s="277"/>
      <c r="Y638" s="277"/>
      <c r="Z638" s="277"/>
    </row>
    <row r="639" ht="12.75" customHeight="1">
      <c r="A639" s="277"/>
      <c r="B639" s="278"/>
      <c r="C639" s="277"/>
      <c r="D639" s="278"/>
      <c r="E639" s="279"/>
      <c r="F639" s="406"/>
      <c r="G639" s="407"/>
      <c r="H639" s="407"/>
      <c r="I639" s="407"/>
      <c r="J639" s="407"/>
      <c r="K639" s="407"/>
      <c r="L639" s="407"/>
      <c r="M639" s="407"/>
      <c r="N639" s="407"/>
      <c r="O639" s="407"/>
      <c r="P639" s="407"/>
      <c r="Q639" s="407"/>
      <c r="R639" s="407"/>
      <c r="S639" s="408"/>
      <c r="T639" s="408"/>
      <c r="U639" s="408"/>
      <c r="V639" s="409"/>
      <c r="W639" s="410"/>
      <c r="X639" s="277"/>
      <c r="Y639" s="277"/>
      <c r="Z639" s="277"/>
    </row>
    <row r="640" ht="12.75" customHeight="1">
      <c r="A640" s="277"/>
      <c r="B640" s="278"/>
      <c r="C640" s="277"/>
      <c r="D640" s="278"/>
      <c r="E640" s="279"/>
      <c r="F640" s="406"/>
      <c r="G640" s="407"/>
      <c r="H640" s="407"/>
      <c r="I640" s="407"/>
      <c r="J640" s="407"/>
      <c r="K640" s="407"/>
      <c r="L640" s="407"/>
      <c r="M640" s="407"/>
      <c r="N640" s="407"/>
      <c r="O640" s="407"/>
      <c r="P640" s="407"/>
      <c r="Q640" s="407"/>
      <c r="R640" s="407"/>
      <c r="S640" s="408"/>
      <c r="T640" s="408"/>
      <c r="U640" s="408"/>
      <c r="V640" s="409"/>
      <c r="W640" s="410"/>
      <c r="X640" s="277"/>
      <c r="Y640" s="277"/>
      <c r="Z640" s="277"/>
    </row>
    <row r="641" ht="12.75" customHeight="1">
      <c r="A641" s="277"/>
      <c r="B641" s="278"/>
      <c r="C641" s="277"/>
      <c r="D641" s="278"/>
      <c r="E641" s="279"/>
      <c r="F641" s="406"/>
      <c r="G641" s="407"/>
      <c r="H641" s="407"/>
      <c r="I641" s="407"/>
      <c r="J641" s="407"/>
      <c r="K641" s="407"/>
      <c r="L641" s="407"/>
      <c r="M641" s="407"/>
      <c r="N641" s="407"/>
      <c r="O641" s="407"/>
      <c r="P641" s="407"/>
      <c r="Q641" s="407"/>
      <c r="R641" s="407"/>
      <c r="S641" s="408"/>
      <c r="T641" s="408"/>
      <c r="U641" s="408"/>
      <c r="V641" s="409"/>
      <c r="W641" s="410"/>
      <c r="X641" s="277"/>
      <c r="Y641" s="277"/>
      <c r="Z641" s="277"/>
    </row>
    <row r="642" ht="12.75" customHeight="1">
      <c r="A642" s="277"/>
      <c r="B642" s="278"/>
      <c r="C642" s="277"/>
      <c r="D642" s="278"/>
      <c r="E642" s="279"/>
      <c r="F642" s="406"/>
      <c r="G642" s="407"/>
      <c r="H642" s="407"/>
      <c r="I642" s="407"/>
      <c r="J642" s="407"/>
      <c r="K642" s="407"/>
      <c r="L642" s="407"/>
      <c r="M642" s="407"/>
      <c r="N642" s="407"/>
      <c r="O642" s="407"/>
      <c r="P642" s="407"/>
      <c r="Q642" s="407"/>
      <c r="R642" s="407"/>
      <c r="S642" s="408"/>
      <c r="T642" s="408"/>
      <c r="U642" s="408"/>
      <c r="V642" s="409"/>
      <c r="W642" s="410"/>
      <c r="X642" s="277"/>
      <c r="Y642" s="277"/>
      <c r="Z642" s="277"/>
    </row>
    <row r="643" ht="12.75" customHeight="1">
      <c r="A643" s="277"/>
      <c r="B643" s="278"/>
      <c r="C643" s="277"/>
      <c r="D643" s="278"/>
      <c r="E643" s="279"/>
      <c r="F643" s="406"/>
      <c r="G643" s="407"/>
      <c r="H643" s="407"/>
      <c r="I643" s="407"/>
      <c r="J643" s="407"/>
      <c r="K643" s="407"/>
      <c r="L643" s="407"/>
      <c r="M643" s="407"/>
      <c r="N643" s="407"/>
      <c r="O643" s="407"/>
      <c r="P643" s="407"/>
      <c r="Q643" s="407"/>
      <c r="R643" s="407"/>
      <c r="S643" s="408"/>
      <c r="T643" s="408"/>
      <c r="U643" s="408"/>
      <c r="V643" s="409"/>
      <c r="W643" s="410"/>
      <c r="X643" s="277"/>
      <c r="Y643" s="277"/>
      <c r="Z643" s="277"/>
    </row>
    <row r="644" ht="12.75" customHeight="1">
      <c r="A644" s="277"/>
      <c r="B644" s="278"/>
      <c r="C644" s="277"/>
      <c r="D644" s="278"/>
      <c r="E644" s="279"/>
      <c r="F644" s="406"/>
      <c r="G644" s="407"/>
      <c r="H644" s="407"/>
      <c r="I644" s="407"/>
      <c r="J644" s="407"/>
      <c r="K644" s="407"/>
      <c r="L644" s="407"/>
      <c r="M644" s="407"/>
      <c r="N644" s="407"/>
      <c r="O644" s="407"/>
      <c r="P644" s="407"/>
      <c r="Q644" s="407"/>
      <c r="R644" s="407"/>
      <c r="S644" s="408"/>
      <c r="T644" s="408"/>
      <c r="U644" s="408"/>
      <c r="V644" s="409"/>
      <c r="W644" s="410"/>
      <c r="X644" s="277"/>
      <c r="Y644" s="277"/>
      <c r="Z644" s="277"/>
    </row>
    <row r="645" ht="12.75" customHeight="1">
      <c r="A645" s="277"/>
      <c r="B645" s="278"/>
      <c r="C645" s="277"/>
      <c r="D645" s="278"/>
      <c r="E645" s="279"/>
      <c r="F645" s="406"/>
      <c r="G645" s="407"/>
      <c r="H645" s="407"/>
      <c r="I645" s="407"/>
      <c r="J645" s="407"/>
      <c r="K645" s="407"/>
      <c r="L645" s="407"/>
      <c r="M645" s="407"/>
      <c r="N645" s="407"/>
      <c r="O645" s="407"/>
      <c r="P645" s="407"/>
      <c r="Q645" s="407"/>
      <c r="R645" s="407"/>
      <c r="S645" s="408"/>
      <c r="T645" s="408"/>
      <c r="U645" s="408"/>
      <c r="V645" s="409"/>
      <c r="W645" s="410"/>
      <c r="X645" s="277"/>
      <c r="Y645" s="277"/>
      <c r="Z645" s="277"/>
    </row>
    <row r="646" ht="12.75" customHeight="1">
      <c r="A646" s="277"/>
      <c r="B646" s="278"/>
      <c r="C646" s="277"/>
      <c r="D646" s="278"/>
      <c r="E646" s="279"/>
      <c r="F646" s="406"/>
      <c r="G646" s="407"/>
      <c r="H646" s="407"/>
      <c r="I646" s="407"/>
      <c r="J646" s="407"/>
      <c r="K646" s="407"/>
      <c r="L646" s="407"/>
      <c r="M646" s="407"/>
      <c r="N646" s="407"/>
      <c r="O646" s="407"/>
      <c r="P646" s="407"/>
      <c r="Q646" s="407"/>
      <c r="R646" s="407"/>
      <c r="S646" s="408"/>
      <c r="T646" s="408"/>
      <c r="U646" s="408"/>
      <c r="V646" s="409"/>
      <c r="W646" s="410"/>
      <c r="X646" s="277"/>
      <c r="Y646" s="277"/>
      <c r="Z646" s="277"/>
    </row>
    <row r="647" ht="12.75" customHeight="1">
      <c r="A647" s="277"/>
      <c r="B647" s="278"/>
      <c r="C647" s="277"/>
      <c r="D647" s="278"/>
      <c r="E647" s="279"/>
      <c r="F647" s="406"/>
      <c r="G647" s="407"/>
      <c r="H647" s="407"/>
      <c r="I647" s="407"/>
      <c r="J647" s="407"/>
      <c r="K647" s="407"/>
      <c r="L647" s="407"/>
      <c r="M647" s="407"/>
      <c r="N647" s="407"/>
      <c r="O647" s="407"/>
      <c r="P647" s="407"/>
      <c r="Q647" s="407"/>
      <c r="R647" s="407"/>
      <c r="S647" s="408"/>
      <c r="T647" s="408"/>
      <c r="U647" s="408"/>
      <c r="V647" s="409"/>
      <c r="W647" s="410"/>
      <c r="X647" s="277"/>
      <c r="Y647" s="277"/>
      <c r="Z647" s="277"/>
    </row>
    <row r="648" ht="12.75" customHeight="1">
      <c r="A648" s="277"/>
      <c r="B648" s="278"/>
      <c r="C648" s="277"/>
      <c r="D648" s="278"/>
      <c r="E648" s="279"/>
      <c r="F648" s="406"/>
      <c r="G648" s="407"/>
      <c r="H648" s="407"/>
      <c r="I648" s="407"/>
      <c r="J648" s="407"/>
      <c r="K648" s="407"/>
      <c r="L648" s="407"/>
      <c r="M648" s="407"/>
      <c r="N648" s="407"/>
      <c r="O648" s="407"/>
      <c r="P648" s="407"/>
      <c r="Q648" s="407"/>
      <c r="R648" s="407"/>
      <c r="S648" s="408"/>
      <c r="T648" s="408"/>
      <c r="U648" s="408"/>
      <c r="V648" s="409"/>
      <c r="W648" s="410"/>
      <c r="X648" s="277"/>
      <c r="Y648" s="277"/>
      <c r="Z648" s="277"/>
    </row>
    <row r="649" ht="12.75" customHeight="1">
      <c r="A649" s="277"/>
      <c r="B649" s="278"/>
      <c r="C649" s="277"/>
      <c r="D649" s="278"/>
      <c r="E649" s="279"/>
      <c r="F649" s="406"/>
      <c r="G649" s="407"/>
      <c r="H649" s="407"/>
      <c r="I649" s="407"/>
      <c r="J649" s="407"/>
      <c r="K649" s="407"/>
      <c r="L649" s="407"/>
      <c r="M649" s="407"/>
      <c r="N649" s="407"/>
      <c r="O649" s="407"/>
      <c r="P649" s="407"/>
      <c r="Q649" s="407"/>
      <c r="R649" s="407"/>
      <c r="S649" s="408"/>
      <c r="T649" s="408"/>
      <c r="U649" s="408"/>
      <c r="V649" s="409"/>
      <c r="W649" s="410"/>
      <c r="X649" s="277"/>
      <c r="Y649" s="277"/>
      <c r="Z649" s="277"/>
    </row>
    <row r="650" ht="12.75" customHeight="1">
      <c r="A650" s="277"/>
      <c r="B650" s="278"/>
      <c r="C650" s="277"/>
      <c r="D650" s="278"/>
      <c r="E650" s="279"/>
      <c r="F650" s="406"/>
      <c r="G650" s="407"/>
      <c r="H650" s="407"/>
      <c r="I650" s="407"/>
      <c r="J650" s="407"/>
      <c r="K650" s="407"/>
      <c r="L650" s="407"/>
      <c r="M650" s="407"/>
      <c r="N650" s="407"/>
      <c r="O650" s="407"/>
      <c r="P650" s="407"/>
      <c r="Q650" s="407"/>
      <c r="R650" s="407"/>
      <c r="S650" s="408"/>
      <c r="T650" s="408"/>
      <c r="U650" s="408"/>
      <c r="V650" s="409"/>
      <c r="W650" s="410"/>
      <c r="X650" s="277"/>
      <c r="Y650" s="277"/>
      <c r="Z650" s="277"/>
    </row>
    <row r="651" ht="12.75" customHeight="1">
      <c r="A651" s="277"/>
      <c r="B651" s="278"/>
      <c r="C651" s="277"/>
      <c r="D651" s="278"/>
      <c r="E651" s="279"/>
      <c r="F651" s="406"/>
      <c r="G651" s="407"/>
      <c r="H651" s="407"/>
      <c r="I651" s="407"/>
      <c r="J651" s="407"/>
      <c r="K651" s="407"/>
      <c r="L651" s="407"/>
      <c r="M651" s="407"/>
      <c r="N651" s="407"/>
      <c r="O651" s="407"/>
      <c r="P651" s="407"/>
      <c r="Q651" s="407"/>
      <c r="R651" s="407"/>
      <c r="S651" s="408"/>
      <c r="T651" s="408"/>
      <c r="U651" s="408"/>
      <c r="V651" s="409"/>
      <c r="W651" s="410"/>
      <c r="X651" s="277"/>
      <c r="Y651" s="277"/>
      <c r="Z651" s="277"/>
    </row>
    <row r="652" ht="12.75" customHeight="1">
      <c r="A652" s="277"/>
      <c r="B652" s="278"/>
      <c r="C652" s="277"/>
      <c r="D652" s="278"/>
      <c r="E652" s="279"/>
      <c r="F652" s="406"/>
      <c r="G652" s="407"/>
      <c r="H652" s="407"/>
      <c r="I652" s="407"/>
      <c r="J652" s="407"/>
      <c r="K652" s="407"/>
      <c r="L652" s="407"/>
      <c r="M652" s="407"/>
      <c r="N652" s="407"/>
      <c r="O652" s="407"/>
      <c r="P652" s="407"/>
      <c r="Q652" s="407"/>
      <c r="R652" s="407"/>
      <c r="S652" s="408"/>
      <c r="T652" s="408"/>
      <c r="U652" s="408"/>
      <c r="V652" s="409"/>
      <c r="W652" s="410"/>
      <c r="X652" s="277"/>
      <c r="Y652" s="277"/>
      <c r="Z652" s="277"/>
    </row>
    <row r="653" ht="12.75" customHeight="1">
      <c r="A653" s="277"/>
      <c r="B653" s="278"/>
      <c r="C653" s="277"/>
      <c r="D653" s="278"/>
      <c r="E653" s="279"/>
      <c r="F653" s="406"/>
      <c r="G653" s="407"/>
      <c r="H653" s="407"/>
      <c r="I653" s="407"/>
      <c r="J653" s="407"/>
      <c r="K653" s="407"/>
      <c r="L653" s="407"/>
      <c r="M653" s="407"/>
      <c r="N653" s="407"/>
      <c r="O653" s="407"/>
      <c r="P653" s="407"/>
      <c r="Q653" s="407"/>
      <c r="R653" s="407"/>
      <c r="S653" s="408"/>
      <c r="T653" s="408"/>
      <c r="U653" s="408"/>
      <c r="V653" s="409"/>
      <c r="W653" s="410"/>
      <c r="X653" s="277"/>
      <c r="Y653" s="277"/>
      <c r="Z653" s="277"/>
    </row>
    <row r="654" ht="12.75" customHeight="1">
      <c r="A654" s="277"/>
      <c r="B654" s="278"/>
      <c r="C654" s="277"/>
      <c r="D654" s="278"/>
      <c r="E654" s="279"/>
      <c r="F654" s="406"/>
      <c r="G654" s="407"/>
      <c r="H654" s="407"/>
      <c r="I654" s="407"/>
      <c r="J654" s="407"/>
      <c r="K654" s="407"/>
      <c r="L654" s="407"/>
      <c r="M654" s="407"/>
      <c r="N654" s="407"/>
      <c r="O654" s="407"/>
      <c r="P654" s="407"/>
      <c r="Q654" s="407"/>
      <c r="R654" s="407"/>
      <c r="S654" s="408"/>
      <c r="T654" s="408"/>
      <c r="U654" s="408"/>
      <c r="V654" s="409"/>
      <c r="W654" s="410"/>
      <c r="X654" s="277"/>
      <c r="Y654" s="277"/>
      <c r="Z654" s="277"/>
    </row>
    <row r="655" ht="12.75" customHeight="1">
      <c r="A655" s="277"/>
      <c r="B655" s="278"/>
      <c r="C655" s="277"/>
      <c r="D655" s="278"/>
      <c r="E655" s="279"/>
      <c r="F655" s="406"/>
      <c r="G655" s="407"/>
      <c r="H655" s="407"/>
      <c r="I655" s="407"/>
      <c r="J655" s="407"/>
      <c r="K655" s="407"/>
      <c r="L655" s="407"/>
      <c r="M655" s="407"/>
      <c r="N655" s="407"/>
      <c r="O655" s="407"/>
      <c r="P655" s="407"/>
      <c r="Q655" s="407"/>
      <c r="R655" s="407"/>
      <c r="S655" s="408"/>
      <c r="T655" s="408"/>
      <c r="U655" s="408"/>
      <c r="V655" s="409"/>
      <c r="W655" s="410"/>
      <c r="X655" s="277"/>
      <c r="Y655" s="277"/>
      <c r="Z655" s="277"/>
    </row>
    <row r="656" ht="12.75" customHeight="1">
      <c r="A656" s="277"/>
      <c r="B656" s="278"/>
      <c r="C656" s="277"/>
      <c r="D656" s="278"/>
      <c r="E656" s="279"/>
      <c r="F656" s="406"/>
      <c r="G656" s="407"/>
      <c r="H656" s="407"/>
      <c r="I656" s="407"/>
      <c r="J656" s="407"/>
      <c r="K656" s="407"/>
      <c r="L656" s="407"/>
      <c r="M656" s="407"/>
      <c r="N656" s="407"/>
      <c r="O656" s="407"/>
      <c r="P656" s="407"/>
      <c r="Q656" s="407"/>
      <c r="R656" s="407"/>
      <c r="S656" s="408"/>
      <c r="T656" s="408"/>
      <c r="U656" s="408"/>
      <c r="V656" s="409"/>
      <c r="W656" s="410"/>
      <c r="X656" s="277"/>
      <c r="Y656" s="277"/>
      <c r="Z656" s="277"/>
    </row>
    <row r="657" ht="12.75" customHeight="1">
      <c r="A657" s="277"/>
      <c r="B657" s="278"/>
      <c r="C657" s="277"/>
      <c r="D657" s="278"/>
      <c r="E657" s="279"/>
      <c r="F657" s="406"/>
      <c r="G657" s="407"/>
      <c r="H657" s="407"/>
      <c r="I657" s="407"/>
      <c r="J657" s="407"/>
      <c r="K657" s="407"/>
      <c r="L657" s="407"/>
      <c r="M657" s="407"/>
      <c r="N657" s="407"/>
      <c r="O657" s="407"/>
      <c r="P657" s="407"/>
      <c r="Q657" s="407"/>
      <c r="R657" s="407"/>
      <c r="S657" s="408"/>
      <c r="T657" s="408"/>
      <c r="U657" s="408"/>
      <c r="V657" s="409"/>
      <c r="W657" s="410"/>
      <c r="X657" s="277"/>
      <c r="Y657" s="277"/>
      <c r="Z657" s="277"/>
    </row>
    <row r="658" ht="12.75" customHeight="1">
      <c r="A658" s="277"/>
      <c r="B658" s="278"/>
      <c r="C658" s="277"/>
      <c r="D658" s="278"/>
      <c r="E658" s="279"/>
      <c r="F658" s="406"/>
      <c r="G658" s="407"/>
      <c r="H658" s="407"/>
      <c r="I658" s="407"/>
      <c r="J658" s="407"/>
      <c r="K658" s="407"/>
      <c r="L658" s="407"/>
      <c r="M658" s="407"/>
      <c r="N658" s="407"/>
      <c r="O658" s="407"/>
      <c r="P658" s="407"/>
      <c r="Q658" s="407"/>
      <c r="R658" s="407"/>
      <c r="S658" s="408"/>
      <c r="T658" s="408"/>
      <c r="U658" s="408"/>
      <c r="V658" s="409"/>
      <c r="W658" s="410"/>
      <c r="X658" s="277"/>
      <c r="Y658" s="277"/>
      <c r="Z658" s="277"/>
    </row>
    <row r="659" ht="12.75" customHeight="1">
      <c r="A659" s="277"/>
      <c r="B659" s="278"/>
      <c r="C659" s="277"/>
      <c r="D659" s="278"/>
      <c r="E659" s="279"/>
      <c r="F659" s="406"/>
      <c r="G659" s="407"/>
      <c r="H659" s="407"/>
      <c r="I659" s="407"/>
      <c r="J659" s="407"/>
      <c r="K659" s="407"/>
      <c r="L659" s="407"/>
      <c r="M659" s="407"/>
      <c r="N659" s="407"/>
      <c r="O659" s="407"/>
      <c r="P659" s="407"/>
      <c r="Q659" s="407"/>
      <c r="R659" s="407"/>
      <c r="S659" s="408"/>
      <c r="T659" s="408"/>
      <c r="U659" s="408"/>
      <c r="V659" s="409"/>
      <c r="W659" s="410"/>
      <c r="X659" s="277"/>
      <c r="Y659" s="277"/>
      <c r="Z659" s="277"/>
    </row>
    <row r="660" ht="12.75" customHeight="1">
      <c r="A660" s="277"/>
      <c r="B660" s="278"/>
      <c r="C660" s="277"/>
      <c r="D660" s="278"/>
      <c r="E660" s="279"/>
      <c r="F660" s="406"/>
      <c r="G660" s="407"/>
      <c r="H660" s="407"/>
      <c r="I660" s="407"/>
      <c r="J660" s="407"/>
      <c r="K660" s="407"/>
      <c r="L660" s="407"/>
      <c r="M660" s="407"/>
      <c r="N660" s="407"/>
      <c r="O660" s="407"/>
      <c r="P660" s="407"/>
      <c r="Q660" s="407"/>
      <c r="R660" s="407"/>
      <c r="S660" s="408"/>
      <c r="T660" s="408"/>
      <c r="U660" s="408"/>
      <c r="V660" s="409"/>
      <c r="W660" s="410"/>
      <c r="X660" s="277"/>
      <c r="Y660" s="277"/>
      <c r="Z660" s="277"/>
    </row>
    <row r="661" ht="12.75" customHeight="1">
      <c r="A661" s="277"/>
      <c r="B661" s="278"/>
      <c r="C661" s="277"/>
      <c r="D661" s="278"/>
      <c r="E661" s="279"/>
      <c r="F661" s="406"/>
      <c r="G661" s="407"/>
      <c r="H661" s="407"/>
      <c r="I661" s="407"/>
      <c r="J661" s="407"/>
      <c r="K661" s="407"/>
      <c r="L661" s="407"/>
      <c r="M661" s="407"/>
      <c r="N661" s="407"/>
      <c r="O661" s="407"/>
      <c r="P661" s="407"/>
      <c r="Q661" s="407"/>
      <c r="R661" s="407"/>
      <c r="S661" s="408"/>
      <c r="T661" s="408"/>
      <c r="U661" s="408"/>
      <c r="V661" s="409"/>
      <c r="W661" s="410"/>
      <c r="X661" s="277"/>
      <c r="Y661" s="277"/>
      <c r="Z661" s="277"/>
    </row>
    <row r="662" ht="12.75" customHeight="1">
      <c r="A662" s="277"/>
      <c r="B662" s="278"/>
      <c r="C662" s="277"/>
      <c r="D662" s="278"/>
      <c r="E662" s="279"/>
      <c r="F662" s="406"/>
      <c r="G662" s="407"/>
      <c r="H662" s="407"/>
      <c r="I662" s="407"/>
      <c r="J662" s="407"/>
      <c r="K662" s="407"/>
      <c r="L662" s="407"/>
      <c r="M662" s="407"/>
      <c r="N662" s="407"/>
      <c r="O662" s="407"/>
      <c r="P662" s="407"/>
      <c r="Q662" s="407"/>
      <c r="R662" s="407"/>
      <c r="S662" s="408"/>
      <c r="T662" s="408"/>
      <c r="U662" s="408"/>
      <c r="V662" s="409"/>
      <c r="W662" s="410"/>
      <c r="X662" s="277"/>
      <c r="Y662" s="277"/>
      <c r="Z662" s="277"/>
    </row>
    <row r="663" ht="12.75" customHeight="1">
      <c r="A663" s="277"/>
      <c r="B663" s="278"/>
      <c r="C663" s="277"/>
      <c r="D663" s="278"/>
      <c r="E663" s="279"/>
      <c r="F663" s="406"/>
      <c r="G663" s="407"/>
      <c r="H663" s="407"/>
      <c r="I663" s="407"/>
      <c r="J663" s="407"/>
      <c r="K663" s="407"/>
      <c r="L663" s="407"/>
      <c r="M663" s="407"/>
      <c r="N663" s="407"/>
      <c r="O663" s="407"/>
      <c r="P663" s="407"/>
      <c r="Q663" s="407"/>
      <c r="R663" s="407"/>
      <c r="S663" s="408"/>
      <c r="T663" s="408"/>
      <c r="U663" s="408"/>
      <c r="V663" s="409"/>
      <c r="W663" s="410"/>
      <c r="X663" s="277"/>
      <c r="Y663" s="277"/>
      <c r="Z663" s="277"/>
    </row>
    <row r="664" ht="12.75" customHeight="1">
      <c r="A664" s="277"/>
      <c r="B664" s="278"/>
      <c r="C664" s="277"/>
      <c r="D664" s="278"/>
      <c r="E664" s="279"/>
      <c r="F664" s="406"/>
      <c r="G664" s="407"/>
      <c r="H664" s="407"/>
      <c r="I664" s="407"/>
      <c r="J664" s="407"/>
      <c r="K664" s="407"/>
      <c r="L664" s="407"/>
      <c r="M664" s="407"/>
      <c r="N664" s="407"/>
      <c r="O664" s="407"/>
      <c r="P664" s="407"/>
      <c r="Q664" s="407"/>
      <c r="R664" s="407"/>
      <c r="S664" s="408"/>
      <c r="T664" s="408"/>
      <c r="U664" s="408"/>
      <c r="V664" s="409"/>
      <c r="W664" s="410"/>
      <c r="X664" s="277"/>
      <c r="Y664" s="277"/>
      <c r="Z664" s="277"/>
    </row>
    <row r="665" ht="12.75" customHeight="1">
      <c r="A665" s="277"/>
      <c r="B665" s="278"/>
      <c r="C665" s="277"/>
      <c r="D665" s="278"/>
      <c r="E665" s="279"/>
      <c r="F665" s="406"/>
      <c r="G665" s="407"/>
      <c r="H665" s="407"/>
      <c r="I665" s="407"/>
      <c r="J665" s="407"/>
      <c r="K665" s="407"/>
      <c r="L665" s="407"/>
      <c r="M665" s="407"/>
      <c r="N665" s="407"/>
      <c r="O665" s="407"/>
      <c r="P665" s="407"/>
      <c r="Q665" s="407"/>
      <c r="R665" s="407"/>
      <c r="S665" s="408"/>
      <c r="T665" s="408"/>
      <c r="U665" s="408"/>
      <c r="V665" s="409"/>
      <c r="W665" s="410"/>
      <c r="X665" s="277"/>
      <c r="Y665" s="277"/>
      <c r="Z665" s="277"/>
    </row>
    <row r="666" ht="12.75" customHeight="1">
      <c r="A666" s="277"/>
      <c r="B666" s="278"/>
      <c r="C666" s="277"/>
      <c r="D666" s="278"/>
      <c r="E666" s="279"/>
      <c r="F666" s="406"/>
      <c r="G666" s="407"/>
      <c r="H666" s="407"/>
      <c r="I666" s="407"/>
      <c r="J666" s="407"/>
      <c r="K666" s="407"/>
      <c r="L666" s="407"/>
      <c r="M666" s="407"/>
      <c r="N666" s="407"/>
      <c r="O666" s="407"/>
      <c r="P666" s="407"/>
      <c r="Q666" s="407"/>
      <c r="R666" s="407"/>
      <c r="S666" s="408"/>
      <c r="T666" s="408"/>
      <c r="U666" s="408"/>
      <c r="V666" s="409"/>
      <c r="W666" s="410"/>
      <c r="X666" s="277"/>
      <c r="Y666" s="277"/>
      <c r="Z666" s="277"/>
    </row>
    <row r="667" ht="12.75" customHeight="1">
      <c r="A667" s="277"/>
      <c r="B667" s="278"/>
      <c r="C667" s="277"/>
      <c r="D667" s="278"/>
      <c r="E667" s="279"/>
      <c r="F667" s="406"/>
      <c r="G667" s="407"/>
      <c r="H667" s="407"/>
      <c r="I667" s="407"/>
      <c r="J667" s="407"/>
      <c r="K667" s="407"/>
      <c r="L667" s="407"/>
      <c r="M667" s="407"/>
      <c r="N667" s="407"/>
      <c r="O667" s="407"/>
      <c r="P667" s="407"/>
      <c r="Q667" s="407"/>
      <c r="R667" s="407"/>
      <c r="S667" s="408"/>
      <c r="T667" s="408"/>
      <c r="U667" s="408"/>
      <c r="V667" s="409"/>
      <c r="W667" s="410"/>
      <c r="X667" s="277"/>
      <c r="Y667" s="277"/>
      <c r="Z667" s="277"/>
    </row>
    <row r="668" ht="12.75" customHeight="1">
      <c r="A668" s="277"/>
      <c r="B668" s="278"/>
      <c r="C668" s="277"/>
      <c r="D668" s="278"/>
      <c r="E668" s="279"/>
      <c r="F668" s="406"/>
      <c r="G668" s="407"/>
      <c r="H668" s="407"/>
      <c r="I668" s="407"/>
      <c r="J668" s="407"/>
      <c r="K668" s="407"/>
      <c r="L668" s="407"/>
      <c r="M668" s="407"/>
      <c r="N668" s="407"/>
      <c r="O668" s="407"/>
      <c r="P668" s="407"/>
      <c r="Q668" s="407"/>
      <c r="R668" s="407"/>
      <c r="S668" s="408"/>
      <c r="T668" s="408"/>
      <c r="U668" s="408"/>
      <c r="V668" s="409"/>
      <c r="W668" s="410"/>
      <c r="X668" s="277"/>
      <c r="Y668" s="277"/>
      <c r="Z668" s="277"/>
    </row>
    <row r="669" ht="12.75" customHeight="1">
      <c r="A669" s="277"/>
      <c r="B669" s="278"/>
      <c r="C669" s="277"/>
      <c r="D669" s="278"/>
      <c r="E669" s="279"/>
      <c r="F669" s="406"/>
      <c r="G669" s="407"/>
      <c r="H669" s="407"/>
      <c r="I669" s="407"/>
      <c r="J669" s="407"/>
      <c r="K669" s="407"/>
      <c r="L669" s="407"/>
      <c r="M669" s="407"/>
      <c r="N669" s="407"/>
      <c r="O669" s="407"/>
      <c r="P669" s="407"/>
      <c r="Q669" s="407"/>
      <c r="R669" s="407"/>
      <c r="S669" s="408"/>
      <c r="T669" s="408"/>
      <c r="U669" s="408"/>
      <c r="V669" s="409"/>
      <c r="W669" s="410"/>
      <c r="X669" s="277"/>
      <c r="Y669" s="277"/>
      <c r="Z669" s="277"/>
    </row>
    <row r="670" ht="12.75" customHeight="1">
      <c r="A670" s="277"/>
      <c r="B670" s="278"/>
      <c r="C670" s="277"/>
      <c r="D670" s="278"/>
      <c r="E670" s="279"/>
      <c r="F670" s="406"/>
      <c r="G670" s="407"/>
      <c r="H670" s="407"/>
      <c r="I670" s="407"/>
      <c r="J670" s="407"/>
      <c r="K670" s="407"/>
      <c r="L670" s="407"/>
      <c r="M670" s="407"/>
      <c r="N670" s="407"/>
      <c r="O670" s="407"/>
      <c r="P670" s="407"/>
      <c r="Q670" s="407"/>
      <c r="R670" s="407"/>
      <c r="S670" s="408"/>
      <c r="T670" s="408"/>
      <c r="U670" s="408"/>
      <c r="V670" s="409"/>
      <c r="W670" s="410"/>
      <c r="X670" s="277"/>
      <c r="Y670" s="277"/>
      <c r="Z670" s="277"/>
    </row>
    <row r="671" ht="12.75" customHeight="1">
      <c r="A671" s="277"/>
      <c r="B671" s="278"/>
      <c r="C671" s="277"/>
      <c r="D671" s="278"/>
      <c r="E671" s="279"/>
      <c r="F671" s="406"/>
      <c r="G671" s="407"/>
      <c r="H671" s="407"/>
      <c r="I671" s="407"/>
      <c r="J671" s="407"/>
      <c r="K671" s="407"/>
      <c r="L671" s="407"/>
      <c r="M671" s="407"/>
      <c r="N671" s="407"/>
      <c r="O671" s="407"/>
      <c r="P671" s="407"/>
      <c r="Q671" s="407"/>
      <c r="R671" s="407"/>
      <c r="S671" s="408"/>
      <c r="T671" s="408"/>
      <c r="U671" s="408"/>
      <c r="V671" s="409"/>
      <c r="W671" s="410"/>
      <c r="X671" s="277"/>
      <c r="Y671" s="277"/>
      <c r="Z671" s="277"/>
    </row>
    <row r="672" ht="12.75" customHeight="1">
      <c r="A672" s="277"/>
      <c r="B672" s="278"/>
      <c r="C672" s="277"/>
      <c r="D672" s="278"/>
      <c r="E672" s="279"/>
      <c r="F672" s="406"/>
      <c r="G672" s="407"/>
      <c r="H672" s="407"/>
      <c r="I672" s="407"/>
      <c r="J672" s="407"/>
      <c r="K672" s="407"/>
      <c r="L672" s="407"/>
      <c r="M672" s="407"/>
      <c r="N672" s="407"/>
      <c r="O672" s="407"/>
      <c r="P672" s="407"/>
      <c r="Q672" s="407"/>
      <c r="R672" s="407"/>
      <c r="S672" s="408"/>
      <c r="T672" s="408"/>
      <c r="U672" s="408"/>
      <c r="V672" s="409"/>
      <c r="W672" s="410"/>
      <c r="X672" s="277"/>
      <c r="Y672" s="277"/>
      <c r="Z672" s="277"/>
    </row>
    <row r="673" ht="12.75" customHeight="1">
      <c r="A673" s="277"/>
      <c r="B673" s="278"/>
      <c r="C673" s="277"/>
      <c r="D673" s="278"/>
      <c r="E673" s="279"/>
      <c r="F673" s="406"/>
      <c r="G673" s="407"/>
      <c r="H673" s="407"/>
      <c r="I673" s="407"/>
      <c r="J673" s="407"/>
      <c r="K673" s="407"/>
      <c r="L673" s="407"/>
      <c r="M673" s="407"/>
      <c r="N673" s="407"/>
      <c r="O673" s="407"/>
      <c r="P673" s="407"/>
      <c r="Q673" s="407"/>
      <c r="R673" s="407"/>
      <c r="S673" s="408"/>
      <c r="T673" s="408"/>
      <c r="U673" s="408"/>
      <c r="V673" s="409"/>
      <c r="W673" s="410"/>
      <c r="X673" s="277"/>
      <c r="Y673" s="277"/>
      <c r="Z673" s="277"/>
    </row>
    <row r="674" ht="12.75" customHeight="1">
      <c r="A674" s="277"/>
      <c r="B674" s="278"/>
      <c r="C674" s="277"/>
      <c r="D674" s="278"/>
      <c r="E674" s="279"/>
      <c r="F674" s="406"/>
      <c r="G674" s="407"/>
      <c r="H674" s="407"/>
      <c r="I674" s="407"/>
      <c r="J674" s="407"/>
      <c r="K674" s="407"/>
      <c r="L674" s="407"/>
      <c r="M674" s="407"/>
      <c r="N674" s="407"/>
      <c r="O674" s="407"/>
      <c r="P674" s="407"/>
      <c r="Q674" s="407"/>
      <c r="R674" s="407"/>
      <c r="S674" s="408"/>
      <c r="T674" s="408"/>
      <c r="U674" s="408"/>
      <c r="V674" s="409"/>
      <c r="W674" s="410"/>
      <c r="X674" s="277"/>
      <c r="Y674" s="277"/>
      <c r="Z674" s="277"/>
    </row>
    <row r="675" ht="12.75" customHeight="1">
      <c r="A675" s="277"/>
      <c r="B675" s="278"/>
      <c r="C675" s="277"/>
      <c r="D675" s="278"/>
      <c r="E675" s="279"/>
      <c r="F675" s="406"/>
      <c r="G675" s="407"/>
      <c r="H675" s="407"/>
      <c r="I675" s="407"/>
      <c r="J675" s="407"/>
      <c r="K675" s="407"/>
      <c r="L675" s="407"/>
      <c r="M675" s="407"/>
      <c r="N675" s="407"/>
      <c r="O675" s="407"/>
      <c r="P675" s="407"/>
      <c r="Q675" s="407"/>
      <c r="R675" s="407"/>
      <c r="S675" s="408"/>
      <c r="T675" s="408"/>
      <c r="U675" s="408"/>
      <c r="V675" s="409"/>
      <c r="W675" s="410"/>
      <c r="X675" s="277"/>
      <c r="Y675" s="277"/>
      <c r="Z675" s="277"/>
    </row>
    <row r="676" ht="12.75" customHeight="1">
      <c r="A676" s="277"/>
      <c r="B676" s="278"/>
      <c r="C676" s="277"/>
      <c r="D676" s="278"/>
      <c r="E676" s="279"/>
      <c r="F676" s="406"/>
      <c r="G676" s="407"/>
      <c r="H676" s="407"/>
      <c r="I676" s="407"/>
      <c r="J676" s="407"/>
      <c r="K676" s="407"/>
      <c r="L676" s="407"/>
      <c r="M676" s="407"/>
      <c r="N676" s="407"/>
      <c r="O676" s="407"/>
      <c r="P676" s="407"/>
      <c r="Q676" s="407"/>
      <c r="R676" s="407"/>
      <c r="S676" s="408"/>
      <c r="T676" s="408"/>
      <c r="U676" s="408"/>
      <c r="V676" s="409"/>
      <c r="W676" s="410"/>
      <c r="X676" s="277"/>
      <c r="Y676" s="277"/>
      <c r="Z676" s="277"/>
    </row>
    <row r="677" ht="12.75" customHeight="1">
      <c r="A677" s="277"/>
      <c r="B677" s="278"/>
      <c r="C677" s="277"/>
      <c r="D677" s="278"/>
      <c r="E677" s="279"/>
      <c r="F677" s="406"/>
      <c r="G677" s="407"/>
      <c r="H677" s="407"/>
      <c r="I677" s="407"/>
      <c r="J677" s="407"/>
      <c r="K677" s="407"/>
      <c r="L677" s="407"/>
      <c r="M677" s="407"/>
      <c r="N677" s="407"/>
      <c r="O677" s="407"/>
      <c r="P677" s="407"/>
      <c r="Q677" s="407"/>
      <c r="R677" s="407"/>
      <c r="S677" s="408"/>
      <c r="T677" s="408"/>
      <c r="U677" s="408"/>
      <c r="V677" s="409"/>
      <c r="W677" s="410"/>
      <c r="X677" s="277"/>
      <c r="Y677" s="277"/>
      <c r="Z677" s="277"/>
    </row>
    <row r="678" ht="12.75" customHeight="1">
      <c r="A678" s="277"/>
      <c r="B678" s="278"/>
      <c r="C678" s="277"/>
      <c r="D678" s="278"/>
      <c r="E678" s="279"/>
      <c r="F678" s="406"/>
      <c r="G678" s="407"/>
      <c r="H678" s="407"/>
      <c r="I678" s="407"/>
      <c r="J678" s="407"/>
      <c r="K678" s="407"/>
      <c r="L678" s="407"/>
      <c r="M678" s="407"/>
      <c r="N678" s="407"/>
      <c r="O678" s="407"/>
      <c r="P678" s="407"/>
      <c r="Q678" s="407"/>
      <c r="R678" s="407"/>
      <c r="S678" s="408"/>
      <c r="T678" s="408"/>
      <c r="U678" s="408"/>
      <c r="V678" s="409"/>
      <c r="W678" s="410"/>
      <c r="X678" s="277"/>
      <c r="Y678" s="277"/>
      <c r="Z678" s="277"/>
    </row>
    <row r="679" ht="12.75" customHeight="1">
      <c r="A679" s="277"/>
      <c r="B679" s="278"/>
      <c r="C679" s="277"/>
      <c r="D679" s="278"/>
      <c r="E679" s="279"/>
      <c r="F679" s="406"/>
      <c r="G679" s="407"/>
      <c r="H679" s="407"/>
      <c r="I679" s="407"/>
      <c r="J679" s="407"/>
      <c r="K679" s="407"/>
      <c r="L679" s="407"/>
      <c r="M679" s="407"/>
      <c r="N679" s="407"/>
      <c r="O679" s="407"/>
      <c r="P679" s="407"/>
      <c r="Q679" s="407"/>
      <c r="R679" s="407"/>
      <c r="S679" s="408"/>
      <c r="T679" s="408"/>
      <c r="U679" s="408"/>
      <c r="V679" s="409"/>
      <c r="W679" s="410"/>
      <c r="X679" s="277"/>
      <c r="Y679" s="277"/>
      <c r="Z679" s="277"/>
    </row>
    <row r="680" ht="12.75" customHeight="1">
      <c r="A680" s="277"/>
      <c r="B680" s="278"/>
      <c r="C680" s="277"/>
      <c r="D680" s="278"/>
      <c r="E680" s="279"/>
      <c r="F680" s="406"/>
      <c r="G680" s="407"/>
      <c r="H680" s="407"/>
      <c r="I680" s="407"/>
      <c r="J680" s="407"/>
      <c r="K680" s="407"/>
      <c r="L680" s="407"/>
      <c r="M680" s="407"/>
      <c r="N680" s="407"/>
      <c r="O680" s="407"/>
      <c r="P680" s="407"/>
      <c r="Q680" s="407"/>
      <c r="R680" s="407"/>
      <c r="S680" s="408"/>
      <c r="T680" s="408"/>
      <c r="U680" s="408"/>
      <c r="V680" s="409"/>
      <c r="W680" s="410"/>
      <c r="X680" s="277"/>
      <c r="Y680" s="277"/>
      <c r="Z680" s="277"/>
    </row>
    <row r="681" ht="12.75" customHeight="1">
      <c r="A681" s="277"/>
      <c r="B681" s="278"/>
      <c r="C681" s="277"/>
      <c r="D681" s="278"/>
      <c r="E681" s="279"/>
      <c r="F681" s="406"/>
      <c r="G681" s="407"/>
      <c r="H681" s="407"/>
      <c r="I681" s="407"/>
      <c r="J681" s="407"/>
      <c r="K681" s="407"/>
      <c r="L681" s="407"/>
      <c r="M681" s="407"/>
      <c r="N681" s="407"/>
      <c r="O681" s="407"/>
      <c r="P681" s="407"/>
      <c r="Q681" s="407"/>
      <c r="R681" s="407"/>
      <c r="S681" s="408"/>
      <c r="T681" s="408"/>
      <c r="U681" s="408"/>
      <c r="V681" s="409"/>
      <c r="W681" s="410"/>
      <c r="X681" s="277"/>
      <c r="Y681" s="277"/>
      <c r="Z681" s="277"/>
    </row>
    <row r="682" ht="12.75" customHeight="1">
      <c r="A682" s="277"/>
      <c r="B682" s="278"/>
      <c r="C682" s="277"/>
      <c r="D682" s="278"/>
      <c r="E682" s="279"/>
      <c r="F682" s="406"/>
      <c r="G682" s="407"/>
      <c r="H682" s="407"/>
      <c r="I682" s="407"/>
      <c r="J682" s="407"/>
      <c r="K682" s="407"/>
      <c r="L682" s="407"/>
      <c r="M682" s="407"/>
      <c r="N682" s="407"/>
      <c r="O682" s="407"/>
      <c r="P682" s="407"/>
      <c r="Q682" s="407"/>
      <c r="R682" s="407"/>
      <c r="S682" s="408"/>
      <c r="T682" s="408"/>
      <c r="U682" s="408"/>
      <c r="V682" s="409"/>
      <c r="W682" s="410"/>
      <c r="X682" s="277"/>
      <c r="Y682" s="277"/>
      <c r="Z682" s="277"/>
    </row>
    <row r="683" ht="12.75" customHeight="1">
      <c r="A683" s="277"/>
      <c r="B683" s="278"/>
      <c r="C683" s="277"/>
      <c r="D683" s="278"/>
      <c r="E683" s="279"/>
      <c r="F683" s="406"/>
      <c r="G683" s="407"/>
      <c r="H683" s="407"/>
      <c r="I683" s="407"/>
      <c r="J683" s="407"/>
      <c r="K683" s="407"/>
      <c r="L683" s="407"/>
      <c r="M683" s="407"/>
      <c r="N683" s="407"/>
      <c r="O683" s="407"/>
      <c r="P683" s="407"/>
      <c r="Q683" s="407"/>
      <c r="R683" s="407"/>
      <c r="S683" s="408"/>
      <c r="T683" s="408"/>
      <c r="U683" s="408"/>
      <c r="V683" s="409"/>
      <c r="W683" s="410"/>
      <c r="X683" s="277"/>
      <c r="Y683" s="277"/>
      <c r="Z683" s="277"/>
    </row>
    <row r="684" ht="12.75" customHeight="1">
      <c r="A684" s="277"/>
      <c r="B684" s="278"/>
      <c r="C684" s="277"/>
      <c r="D684" s="278"/>
      <c r="E684" s="279"/>
      <c r="F684" s="406"/>
      <c r="G684" s="407"/>
      <c r="H684" s="407"/>
      <c r="I684" s="407"/>
      <c r="J684" s="407"/>
      <c r="K684" s="407"/>
      <c r="L684" s="407"/>
      <c r="M684" s="407"/>
      <c r="N684" s="407"/>
      <c r="O684" s="407"/>
      <c r="P684" s="407"/>
      <c r="Q684" s="407"/>
      <c r="R684" s="407"/>
      <c r="S684" s="408"/>
      <c r="T684" s="408"/>
      <c r="U684" s="408"/>
      <c r="V684" s="409"/>
      <c r="W684" s="410"/>
      <c r="X684" s="277"/>
      <c r="Y684" s="277"/>
      <c r="Z684" s="277"/>
    </row>
    <row r="685" ht="12.75" customHeight="1">
      <c r="A685" s="277"/>
      <c r="B685" s="278"/>
      <c r="C685" s="277"/>
      <c r="D685" s="278"/>
      <c r="E685" s="279"/>
      <c r="F685" s="406"/>
      <c r="G685" s="407"/>
      <c r="H685" s="407"/>
      <c r="I685" s="407"/>
      <c r="J685" s="407"/>
      <c r="K685" s="407"/>
      <c r="L685" s="407"/>
      <c r="M685" s="407"/>
      <c r="N685" s="407"/>
      <c r="O685" s="407"/>
      <c r="P685" s="407"/>
      <c r="Q685" s="407"/>
      <c r="R685" s="407"/>
      <c r="S685" s="408"/>
      <c r="T685" s="408"/>
      <c r="U685" s="408"/>
      <c r="V685" s="409"/>
      <c r="W685" s="410"/>
      <c r="X685" s="277"/>
      <c r="Y685" s="277"/>
      <c r="Z685" s="277"/>
    </row>
    <row r="686" ht="12.75" customHeight="1">
      <c r="A686" s="277"/>
      <c r="B686" s="278"/>
      <c r="C686" s="277"/>
      <c r="D686" s="278"/>
      <c r="E686" s="279"/>
      <c r="F686" s="406"/>
      <c r="G686" s="407"/>
      <c r="H686" s="407"/>
      <c r="I686" s="407"/>
      <c r="J686" s="407"/>
      <c r="K686" s="407"/>
      <c r="L686" s="407"/>
      <c r="M686" s="407"/>
      <c r="N686" s="407"/>
      <c r="O686" s="407"/>
      <c r="P686" s="407"/>
      <c r="Q686" s="407"/>
      <c r="R686" s="407"/>
      <c r="S686" s="408"/>
      <c r="T686" s="408"/>
      <c r="U686" s="408"/>
      <c r="V686" s="409"/>
      <c r="W686" s="410"/>
      <c r="X686" s="277"/>
      <c r="Y686" s="277"/>
      <c r="Z686" s="277"/>
    </row>
    <row r="687" ht="12.75" customHeight="1">
      <c r="A687" s="277"/>
      <c r="B687" s="278"/>
      <c r="C687" s="277"/>
      <c r="D687" s="278"/>
      <c r="E687" s="279"/>
      <c r="F687" s="406"/>
      <c r="G687" s="407"/>
      <c r="H687" s="407"/>
      <c r="I687" s="407"/>
      <c r="J687" s="407"/>
      <c r="K687" s="407"/>
      <c r="L687" s="407"/>
      <c r="M687" s="407"/>
      <c r="N687" s="407"/>
      <c r="O687" s="407"/>
      <c r="P687" s="407"/>
      <c r="Q687" s="407"/>
      <c r="R687" s="407"/>
      <c r="S687" s="408"/>
      <c r="T687" s="408"/>
      <c r="U687" s="408"/>
      <c r="V687" s="409"/>
      <c r="W687" s="410"/>
      <c r="X687" s="277"/>
      <c r="Y687" s="277"/>
      <c r="Z687" s="277"/>
    </row>
    <row r="688" ht="12.75" customHeight="1">
      <c r="A688" s="277"/>
      <c r="B688" s="278"/>
      <c r="C688" s="277"/>
      <c r="D688" s="278"/>
      <c r="E688" s="279"/>
      <c r="F688" s="406"/>
      <c r="G688" s="407"/>
      <c r="H688" s="407"/>
      <c r="I688" s="407"/>
      <c r="J688" s="407"/>
      <c r="K688" s="407"/>
      <c r="L688" s="407"/>
      <c r="M688" s="407"/>
      <c r="N688" s="407"/>
      <c r="O688" s="407"/>
      <c r="P688" s="407"/>
      <c r="Q688" s="407"/>
      <c r="R688" s="407"/>
      <c r="S688" s="408"/>
      <c r="T688" s="408"/>
      <c r="U688" s="408"/>
      <c r="V688" s="409"/>
      <c r="W688" s="410"/>
      <c r="X688" s="277"/>
      <c r="Y688" s="277"/>
      <c r="Z688" s="277"/>
    </row>
    <row r="689" ht="12.75" customHeight="1">
      <c r="A689" s="277"/>
      <c r="B689" s="278"/>
      <c r="C689" s="277"/>
      <c r="D689" s="278"/>
      <c r="E689" s="279"/>
      <c r="F689" s="406"/>
      <c r="G689" s="407"/>
      <c r="H689" s="407"/>
      <c r="I689" s="407"/>
      <c r="J689" s="407"/>
      <c r="K689" s="407"/>
      <c r="L689" s="407"/>
      <c r="M689" s="407"/>
      <c r="N689" s="407"/>
      <c r="O689" s="407"/>
      <c r="P689" s="407"/>
      <c r="Q689" s="407"/>
      <c r="R689" s="407"/>
      <c r="S689" s="408"/>
      <c r="T689" s="408"/>
      <c r="U689" s="408"/>
      <c r="V689" s="409"/>
      <c r="W689" s="410"/>
      <c r="X689" s="277"/>
      <c r="Y689" s="277"/>
      <c r="Z689" s="277"/>
    </row>
    <row r="690" ht="12.75" customHeight="1">
      <c r="A690" s="277"/>
      <c r="B690" s="278"/>
      <c r="C690" s="277"/>
      <c r="D690" s="278"/>
      <c r="E690" s="279"/>
      <c r="F690" s="406"/>
      <c r="G690" s="407"/>
      <c r="H690" s="407"/>
      <c r="I690" s="407"/>
      <c r="J690" s="407"/>
      <c r="K690" s="407"/>
      <c r="L690" s="407"/>
      <c r="M690" s="407"/>
      <c r="N690" s="407"/>
      <c r="O690" s="407"/>
      <c r="P690" s="407"/>
      <c r="Q690" s="407"/>
      <c r="R690" s="407"/>
      <c r="S690" s="408"/>
      <c r="T690" s="408"/>
      <c r="U690" s="408"/>
      <c r="V690" s="409"/>
      <c r="W690" s="410"/>
      <c r="X690" s="277"/>
      <c r="Y690" s="277"/>
      <c r="Z690" s="277"/>
    </row>
    <row r="691" ht="12.75" customHeight="1">
      <c r="A691" s="277"/>
      <c r="B691" s="278"/>
      <c r="C691" s="277"/>
      <c r="D691" s="278"/>
      <c r="E691" s="279"/>
      <c r="F691" s="406"/>
      <c r="G691" s="407"/>
      <c r="H691" s="407"/>
      <c r="I691" s="407"/>
      <c r="J691" s="407"/>
      <c r="K691" s="407"/>
      <c r="L691" s="407"/>
      <c r="M691" s="407"/>
      <c r="N691" s="407"/>
      <c r="O691" s="407"/>
      <c r="P691" s="407"/>
      <c r="Q691" s="407"/>
      <c r="R691" s="407"/>
      <c r="S691" s="408"/>
      <c r="T691" s="408"/>
      <c r="U691" s="408"/>
      <c r="V691" s="409"/>
      <c r="W691" s="410"/>
      <c r="X691" s="277"/>
      <c r="Y691" s="277"/>
      <c r="Z691" s="277"/>
    </row>
    <row r="692" ht="12.75" customHeight="1">
      <c r="A692" s="277"/>
      <c r="B692" s="278"/>
      <c r="C692" s="277"/>
      <c r="D692" s="278"/>
      <c r="E692" s="279"/>
      <c r="F692" s="406"/>
      <c r="G692" s="407"/>
      <c r="H692" s="407"/>
      <c r="I692" s="407"/>
      <c r="J692" s="407"/>
      <c r="K692" s="407"/>
      <c r="L692" s="407"/>
      <c r="M692" s="407"/>
      <c r="N692" s="407"/>
      <c r="O692" s="407"/>
      <c r="P692" s="407"/>
      <c r="Q692" s="407"/>
      <c r="R692" s="407"/>
      <c r="S692" s="408"/>
      <c r="T692" s="408"/>
      <c r="U692" s="408"/>
      <c r="V692" s="409"/>
      <c r="W692" s="410"/>
      <c r="X692" s="277"/>
      <c r="Y692" s="277"/>
      <c r="Z692" s="277"/>
    </row>
    <row r="693" ht="12.75" customHeight="1">
      <c r="A693" s="277"/>
      <c r="B693" s="278"/>
      <c r="C693" s="277"/>
      <c r="D693" s="278"/>
      <c r="E693" s="279"/>
      <c r="F693" s="406"/>
      <c r="G693" s="407"/>
      <c r="H693" s="407"/>
      <c r="I693" s="407"/>
      <c r="J693" s="407"/>
      <c r="K693" s="407"/>
      <c r="L693" s="407"/>
      <c r="M693" s="407"/>
      <c r="N693" s="407"/>
      <c r="O693" s="407"/>
      <c r="P693" s="407"/>
      <c r="Q693" s="407"/>
      <c r="R693" s="407"/>
      <c r="S693" s="408"/>
      <c r="T693" s="408"/>
      <c r="U693" s="408"/>
      <c r="V693" s="409"/>
      <c r="W693" s="410"/>
      <c r="X693" s="277"/>
      <c r="Y693" s="277"/>
      <c r="Z693" s="277"/>
    </row>
    <row r="694" ht="12.75" customHeight="1">
      <c r="A694" s="277"/>
      <c r="B694" s="278"/>
      <c r="C694" s="277"/>
      <c r="D694" s="278"/>
      <c r="E694" s="279"/>
      <c r="F694" s="406"/>
      <c r="G694" s="407"/>
      <c r="H694" s="407"/>
      <c r="I694" s="407"/>
      <c r="J694" s="407"/>
      <c r="K694" s="407"/>
      <c r="L694" s="407"/>
      <c r="M694" s="407"/>
      <c r="N694" s="407"/>
      <c r="O694" s="407"/>
      <c r="P694" s="407"/>
      <c r="Q694" s="407"/>
      <c r="R694" s="407"/>
      <c r="S694" s="408"/>
      <c r="T694" s="408"/>
      <c r="U694" s="408"/>
      <c r="V694" s="409"/>
      <c r="W694" s="410"/>
      <c r="X694" s="277"/>
      <c r="Y694" s="277"/>
      <c r="Z694" s="277"/>
    </row>
    <row r="695" ht="12.75" customHeight="1">
      <c r="A695" s="277"/>
      <c r="B695" s="278"/>
      <c r="C695" s="277"/>
      <c r="D695" s="278"/>
      <c r="E695" s="279"/>
      <c r="F695" s="406"/>
      <c r="G695" s="407"/>
      <c r="H695" s="407"/>
      <c r="I695" s="407"/>
      <c r="J695" s="407"/>
      <c r="K695" s="407"/>
      <c r="L695" s="407"/>
      <c r="M695" s="407"/>
      <c r="N695" s="407"/>
      <c r="O695" s="407"/>
      <c r="P695" s="407"/>
      <c r="Q695" s="407"/>
      <c r="R695" s="407"/>
      <c r="S695" s="408"/>
      <c r="T695" s="408"/>
      <c r="U695" s="408"/>
      <c r="V695" s="409"/>
      <c r="W695" s="410"/>
      <c r="X695" s="277"/>
      <c r="Y695" s="277"/>
      <c r="Z695" s="277"/>
    </row>
    <row r="696" ht="12.75" customHeight="1">
      <c r="A696" s="277"/>
      <c r="B696" s="278"/>
      <c r="C696" s="277"/>
      <c r="D696" s="278"/>
      <c r="E696" s="279"/>
      <c r="F696" s="406"/>
      <c r="G696" s="407"/>
      <c r="H696" s="407"/>
      <c r="I696" s="407"/>
      <c r="J696" s="407"/>
      <c r="K696" s="407"/>
      <c r="L696" s="407"/>
      <c r="M696" s="407"/>
      <c r="N696" s="407"/>
      <c r="O696" s="407"/>
      <c r="P696" s="407"/>
      <c r="Q696" s="407"/>
      <c r="R696" s="407"/>
      <c r="S696" s="408"/>
      <c r="T696" s="408"/>
      <c r="U696" s="408"/>
      <c r="V696" s="409"/>
      <c r="W696" s="410"/>
      <c r="X696" s="277"/>
      <c r="Y696" s="277"/>
      <c r="Z696" s="277"/>
    </row>
    <row r="697" ht="12.75" customHeight="1">
      <c r="A697" s="277"/>
      <c r="B697" s="278"/>
      <c r="C697" s="277"/>
      <c r="D697" s="278"/>
      <c r="E697" s="279"/>
      <c r="F697" s="406"/>
      <c r="G697" s="407"/>
      <c r="H697" s="407"/>
      <c r="I697" s="407"/>
      <c r="J697" s="407"/>
      <c r="K697" s="407"/>
      <c r="L697" s="407"/>
      <c r="M697" s="407"/>
      <c r="N697" s="407"/>
      <c r="O697" s="407"/>
      <c r="P697" s="407"/>
      <c r="Q697" s="407"/>
      <c r="R697" s="407"/>
      <c r="S697" s="408"/>
      <c r="T697" s="408"/>
      <c r="U697" s="408"/>
      <c r="V697" s="409"/>
      <c r="W697" s="410"/>
      <c r="X697" s="277"/>
      <c r="Y697" s="277"/>
      <c r="Z697" s="277"/>
    </row>
    <row r="698" ht="12.75" customHeight="1">
      <c r="A698" s="277"/>
      <c r="B698" s="278"/>
      <c r="C698" s="277"/>
      <c r="D698" s="278"/>
      <c r="E698" s="279"/>
      <c r="F698" s="406"/>
      <c r="G698" s="407"/>
      <c r="H698" s="407"/>
      <c r="I698" s="407"/>
      <c r="J698" s="407"/>
      <c r="K698" s="407"/>
      <c r="L698" s="407"/>
      <c r="M698" s="407"/>
      <c r="N698" s="407"/>
      <c r="O698" s="407"/>
      <c r="P698" s="407"/>
      <c r="Q698" s="407"/>
      <c r="R698" s="407"/>
      <c r="S698" s="408"/>
      <c r="T698" s="408"/>
      <c r="U698" s="408"/>
      <c r="V698" s="409"/>
      <c r="W698" s="410"/>
      <c r="X698" s="277"/>
      <c r="Y698" s="277"/>
      <c r="Z698" s="277"/>
    </row>
    <row r="699" ht="12.75" customHeight="1">
      <c r="A699" s="277"/>
      <c r="B699" s="278"/>
      <c r="C699" s="277"/>
      <c r="D699" s="278"/>
      <c r="E699" s="279"/>
      <c r="F699" s="406"/>
      <c r="G699" s="407"/>
      <c r="H699" s="407"/>
      <c r="I699" s="407"/>
      <c r="J699" s="407"/>
      <c r="K699" s="407"/>
      <c r="L699" s="407"/>
      <c r="M699" s="407"/>
      <c r="N699" s="407"/>
      <c r="O699" s="407"/>
      <c r="P699" s="407"/>
      <c r="Q699" s="407"/>
      <c r="R699" s="407"/>
      <c r="S699" s="408"/>
      <c r="T699" s="408"/>
      <c r="U699" s="408"/>
      <c r="V699" s="409"/>
      <c r="W699" s="410"/>
      <c r="X699" s="277"/>
      <c r="Y699" s="277"/>
      <c r="Z699" s="277"/>
    </row>
    <row r="700" ht="12.75" customHeight="1">
      <c r="A700" s="277"/>
      <c r="B700" s="278"/>
      <c r="C700" s="277"/>
      <c r="D700" s="278"/>
      <c r="E700" s="279"/>
      <c r="F700" s="406"/>
      <c r="G700" s="407"/>
      <c r="H700" s="407"/>
      <c r="I700" s="407"/>
      <c r="J700" s="407"/>
      <c r="K700" s="407"/>
      <c r="L700" s="407"/>
      <c r="M700" s="407"/>
      <c r="N700" s="407"/>
      <c r="O700" s="407"/>
      <c r="P700" s="407"/>
      <c r="Q700" s="407"/>
      <c r="R700" s="407"/>
      <c r="S700" s="408"/>
      <c r="T700" s="408"/>
      <c r="U700" s="408"/>
      <c r="V700" s="409"/>
      <c r="W700" s="410"/>
      <c r="X700" s="277"/>
      <c r="Y700" s="277"/>
      <c r="Z700" s="277"/>
    </row>
    <row r="701" ht="12.75" customHeight="1">
      <c r="A701" s="277"/>
      <c r="B701" s="278"/>
      <c r="C701" s="277"/>
      <c r="D701" s="278"/>
      <c r="E701" s="279"/>
      <c r="F701" s="406"/>
      <c r="G701" s="407"/>
      <c r="H701" s="407"/>
      <c r="I701" s="407"/>
      <c r="J701" s="407"/>
      <c r="K701" s="407"/>
      <c r="L701" s="407"/>
      <c r="M701" s="407"/>
      <c r="N701" s="407"/>
      <c r="O701" s="407"/>
      <c r="P701" s="407"/>
      <c r="Q701" s="407"/>
      <c r="R701" s="407"/>
      <c r="S701" s="408"/>
      <c r="T701" s="408"/>
      <c r="U701" s="408"/>
      <c r="V701" s="409"/>
      <c r="W701" s="410"/>
      <c r="X701" s="277"/>
      <c r="Y701" s="277"/>
      <c r="Z701" s="277"/>
    </row>
    <row r="702" ht="12.75" customHeight="1">
      <c r="A702" s="277"/>
      <c r="B702" s="278"/>
      <c r="C702" s="277"/>
      <c r="D702" s="278"/>
      <c r="E702" s="279"/>
      <c r="F702" s="406"/>
      <c r="G702" s="407"/>
      <c r="H702" s="407"/>
      <c r="I702" s="407"/>
      <c r="J702" s="407"/>
      <c r="K702" s="407"/>
      <c r="L702" s="407"/>
      <c r="M702" s="407"/>
      <c r="N702" s="407"/>
      <c r="O702" s="407"/>
      <c r="P702" s="407"/>
      <c r="Q702" s="407"/>
      <c r="R702" s="407"/>
      <c r="S702" s="408"/>
      <c r="T702" s="408"/>
      <c r="U702" s="408"/>
      <c r="V702" s="409"/>
      <c r="W702" s="410"/>
      <c r="X702" s="277"/>
      <c r="Y702" s="277"/>
      <c r="Z702" s="277"/>
    </row>
    <row r="703" ht="12.75" customHeight="1">
      <c r="A703" s="277"/>
      <c r="B703" s="278"/>
      <c r="C703" s="277"/>
      <c r="D703" s="278"/>
      <c r="E703" s="279"/>
      <c r="F703" s="406"/>
      <c r="G703" s="407"/>
      <c r="H703" s="407"/>
      <c r="I703" s="407"/>
      <c r="J703" s="407"/>
      <c r="K703" s="407"/>
      <c r="L703" s="407"/>
      <c r="M703" s="407"/>
      <c r="N703" s="407"/>
      <c r="O703" s="407"/>
      <c r="P703" s="407"/>
      <c r="Q703" s="407"/>
      <c r="R703" s="407"/>
      <c r="S703" s="408"/>
      <c r="T703" s="408"/>
      <c r="U703" s="408"/>
      <c r="V703" s="409"/>
      <c r="W703" s="410"/>
      <c r="X703" s="277"/>
      <c r="Y703" s="277"/>
      <c r="Z703" s="277"/>
    </row>
    <row r="704" ht="12.75" customHeight="1">
      <c r="A704" s="277"/>
      <c r="B704" s="278"/>
      <c r="C704" s="277"/>
      <c r="D704" s="278"/>
      <c r="E704" s="279"/>
      <c r="F704" s="406"/>
      <c r="G704" s="407"/>
      <c r="H704" s="407"/>
      <c r="I704" s="407"/>
      <c r="J704" s="407"/>
      <c r="K704" s="407"/>
      <c r="L704" s="407"/>
      <c r="M704" s="407"/>
      <c r="N704" s="407"/>
      <c r="O704" s="407"/>
      <c r="P704" s="407"/>
      <c r="Q704" s="407"/>
      <c r="R704" s="407"/>
      <c r="S704" s="408"/>
      <c r="T704" s="408"/>
      <c r="U704" s="408"/>
      <c r="V704" s="409"/>
      <c r="W704" s="410"/>
      <c r="X704" s="277"/>
      <c r="Y704" s="277"/>
      <c r="Z704" s="277"/>
    </row>
    <row r="705" ht="12.75" customHeight="1">
      <c r="A705" s="277"/>
      <c r="B705" s="278"/>
      <c r="C705" s="277"/>
      <c r="D705" s="278"/>
      <c r="E705" s="279"/>
      <c r="F705" s="406"/>
      <c r="G705" s="407"/>
      <c r="H705" s="407"/>
      <c r="I705" s="407"/>
      <c r="J705" s="407"/>
      <c r="K705" s="407"/>
      <c r="L705" s="407"/>
      <c r="M705" s="407"/>
      <c r="N705" s="407"/>
      <c r="O705" s="407"/>
      <c r="P705" s="407"/>
      <c r="Q705" s="407"/>
      <c r="R705" s="407"/>
      <c r="S705" s="408"/>
      <c r="T705" s="408"/>
      <c r="U705" s="408"/>
      <c r="V705" s="409"/>
      <c r="W705" s="410"/>
      <c r="X705" s="277"/>
      <c r="Y705" s="277"/>
      <c r="Z705" s="277"/>
    </row>
    <row r="706" ht="12.75" customHeight="1">
      <c r="A706" s="277"/>
      <c r="B706" s="278"/>
      <c r="C706" s="277"/>
      <c r="D706" s="278"/>
      <c r="E706" s="279"/>
      <c r="F706" s="406"/>
      <c r="G706" s="407"/>
      <c r="H706" s="407"/>
      <c r="I706" s="407"/>
      <c r="J706" s="407"/>
      <c r="K706" s="407"/>
      <c r="L706" s="407"/>
      <c r="M706" s="407"/>
      <c r="N706" s="407"/>
      <c r="O706" s="407"/>
      <c r="P706" s="407"/>
      <c r="Q706" s="407"/>
      <c r="R706" s="407"/>
      <c r="S706" s="408"/>
      <c r="T706" s="408"/>
      <c r="U706" s="408"/>
      <c r="V706" s="409"/>
      <c r="W706" s="410"/>
      <c r="X706" s="277"/>
      <c r="Y706" s="277"/>
      <c r="Z706" s="277"/>
    </row>
    <row r="707" ht="12.75" customHeight="1">
      <c r="A707" s="277"/>
      <c r="B707" s="278"/>
      <c r="C707" s="277"/>
      <c r="D707" s="278"/>
      <c r="E707" s="279"/>
      <c r="F707" s="406"/>
      <c r="G707" s="407"/>
      <c r="H707" s="407"/>
      <c r="I707" s="407"/>
      <c r="J707" s="407"/>
      <c r="K707" s="407"/>
      <c r="L707" s="407"/>
      <c r="M707" s="407"/>
      <c r="N707" s="407"/>
      <c r="O707" s="407"/>
      <c r="P707" s="407"/>
      <c r="Q707" s="407"/>
      <c r="R707" s="407"/>
      <c r="S707" s="408"/>
      <c r="T707" s="408"/>
      <c r="U707" s="408"/>
      <c r="V707" s="409"/>
      <c r="W707" s="410"/>
      <c r="X707" s="277"/>
      <c r="Y707" s="277"/>
      <c r="Z707" s="277"/>
    </row>
    <row r="708" ht="12.75" customHeight="1">
      <c r="A708" s="277"/>
      <c r="B708" s="278"/>
      <c r="C708" s="277"/>
      <c r="D708" s="278"/>
      <c r="E708" s="279"/>
      <c r="F708" s="406"/>
      <c r="G708" s="407"/>
      <c r="H708" s="407"/>
      <c r="I708" s="407"/>
      <c r="J708" s="407"/>
      <c r="K708" s="407"/>
      <c r="L708" s="407"/>
      <c r="M708" s="407"/>
      <c r="N708" s="407"/>
      <c r="O708" s="407"/>
      <c r="P708" s="407"/>
      <c r="Q708" s="407"/>
      <c r="R708" s="407"/>
      <c r="S708" s="408"/>
      <c r="T708" s="408"/>
      <c r="U708" s="408"/>
      <c r="V708" s="409"/>
      <c r="W708" s="410"/>
      <c r="X708" s="277"/>
      <c r="Y708" s="277"/>
      <c r="Z708" s="277"/>
    </row>
    <row r="709" ht="12.75" customHeight="1">
      <c r="A709" s="277"/>
      <c r="B709" s="278"/>
      <c r="C709" s="277"/>
      <c r="D709" s="278"/>
      <c r="E709" s="279"/>
      <c r="F709" s="406"/>
      <c r="G709" s="407"/>
      <c r="H709" s="407"/>
      <c r="I709" s="407"/>
      <c r="J709" s="407"/>
      <c r="K709" s="407"/>
      <c r="L709" s="407"/>
      <c r="M709" s="407"/>
      <c r="N709" s="407"/>
      <c r="O709" s="407"/>
      <c r="P709" s="407"/>
      <c r="Q709" s="407"/>
      <c r="R709" s="407"/>
      <c r="S709" s="408"/>
      <c r="T709" s="408"/>
      <c r="U709" s="408"/>
      <c r="V709" s="409"/>
      <c r="W709" s="410"/>
      <c r="X709" s="277"/>
      <c r="Y709" s="277"/>
      <c r="Z709" s="277"/>
    </row>
    <row r="710" ht="12.75" customHeight="1">
      <c r="A710" s="277"/>
      <c r="B710" s="278"/>
      <c r="C710" s="277"/>
      <c r="D710" s="278"/>
      <c r="E710" s="279"/>
      <c r="F710" s="406"/>
      <c r="G710" s="407"/>
      <c r="H710" s="407"/>
      <c r="I710" s="407"/>
      <c r="J710" s="407"/>
      <c r="K710" s="407"/>
      <c r="L710" s="407"/>
      <c r="M710" s="407"/>
      <c r="N710" s="407"/>
      <c r="O710" s="407"/>
      <c r="P710" s="407"/>
      <c r="Q710" s="407"/>
      <c r="R710" s="407"/>
      <c r="S710" s="408"/>
      <c r="T710" s="408"/>
      <c r="U710" s="408"/>
      <c r="V710" s="409"/>
      <c r="W710" s="410"/>
      <c r="X710" s="277"/>
      <c r="Y710" s="277"/>
      <c r="Z710" s="277"/>
    </row>
    <row r="711" ht="12.75" customHeight="1">
      <c r="A711" s="277"/>
      <c r="B711" s="278"/>
      <c r="C711" s="277"/>
      <c r="D711" s="278"/>
      <c r="E711" s="279"/>
      <c r="F711" s="406"/>
      <c r="G711" s="407"/>
      <c r="H711" s="407"/>
      <c r="I711" s="407"/>
      <c r="J711" s="407"/>
      <c r="K711" s="407"/>
      <c r="L711" s="407"/>
      <c r="M711" s="407"/>
      <c r="N711" s="407"/>
      <c r="O711" s="407"/>
      <c r="P711" s="407"/>
      <c r="Q711" s="407"/>
      <c r="R711" s="407"/>
      <c r="S711" s="408"/>
      <c r="T711" s="408"/>
      <c r="U711" s="408"/>
      <c r="V711" s="409"/>
      <c r="W711" s="410"/>
      <c r="X711" s="277"/>
      <c r="Y711" s="277"/>
      <c r="Z711" s="277"/>
    </row>
    <row r="712" ht="12.75" customHeight="1">
      <c r="A712" s="277"/>
      <c r="B712" s="278"/>
      <c r="C712" s="277"/>
      <c r="D712" s="278"/>
      <c r="E712" s="279"/>
      <c r="F712" s="406"/>
      <c r="G712" s="407"/>
      <c r="H712" s="407"/>
      <c r="I712" s="407"/>
      <c r="J712" s="407"/>
      <c r="K712" s="407"/>
      <c r="L712" s="407"/>
      <c r="M712" s="407"/>
      <c r="N712" s="407"/>
      <c r="O712" s="407"/>
      <c r="P712" s="407"/>
      <c r="Q712" s="407"/>
      <c r="R712" s="407"/>
      <c r="S712" s="408"/>
      <c r="T712" s="408"/>
      <c r="U712" s="408"/>
      <c r="V712" s="409"/>
      <c r="W712" s="410"/>
      <c r="X712" s="277"/>
      <c r="Y712" s="277"/>
      <c r="Z712" s="277"/>
    </row>
    <row r="713" ht="12.75" customHeight="1">
      <c r="A713" s="277"/>
      <c r="B713" s="278"/>
      <c r="C713" s="277"/>
      <c r="D713" s="278"/>
      <c r="E713" s="279"/>
      <c r="F713" s="406"/>
      <c r="G713" s="407"/>
      <c r="H713" s="407"/>
      <c r="I713" s="407"/>
      <c r="J713" s="407"/>
      <c r="K713" s="407"/>
      <c r="L713" s="407"/>
      <c r="M713" s="407"/>
      <c r="N713" s="407"/>
      <c r="O713" s="407"/>
      <c r="P713" s="407"/>
      <c r="Q713" s="407"/>
      <c r="R713" s="407"/>
      <c r="S713" s="408"/>
      <c r="T713" s="408"/>
      <c r="U713" s="408"/>
      <c r="V713" s="409"/>
      <c r="W713" s="410"/>
      <c r="X713" s="277"/>
      <c r="Y713" s="277"/>
      <c r="Z713" s="277"/>
    </row>
    <row r="714" ht="12.75" customHeight="1">
      <c r="A714" s="277"/>
      <c r="B714" s="278"/>
      <c r="C714" s="277"/>
      <c r="D714" s="278"/>
      <c r="E714" s="279"/>
      <c r="F714" s="406"/>
      <c r="G714" s="407"/>
      <c r="H714" s="407"/>
      <c r="I714" s="407"/>
      <c r="J714" s="407"/>
      <c r="K714" s="407"/>
      <c r="L714" s="407"/>
      <c r="M714" s="407"/>
      <c r="N714" s="407"/>
      <c r="O714" s="407"/>
      <c r="P714" s="407"/>
      <c r="Q714" s="407"/>
      <c r="R714" s="407"/>
      <c r="S714" s="408"/>
      <c r="T714" s="408"/>
      <c r="U714" s="408"/>
      <c r="V714" s="409"/>
      <c r="W714" s="410"/>
      <c r="X714" s="277"/>
      <c r="Y714" s="277"/>
      <c r="Z714" s="277"/>
    </row>
    <row r="715" ht="12.75" customHeight="1">
      <c r="A715" s="277"/>
      <c r="B715" s="278"/>
      <c r="C715" s="277"/>
      <c r="D715" s="278"/>
      <c r="E715" s="279"/>
      <c r="F715" s="406"/>
      <c r="G715" s="407"/>
      <c r="H715" s="407"/>
      <c r="I715" s="407"/>
      <c r="J715" s="407"/>
      <c r="K715" s="407"/>
      <c r="L715" s="407"/>
      <c r="M715" s="407"/>
      <c r="N715" s="407"/>
      <c r="O715" s="407"/>
      <c r="P715" s="407"/>
      <c r="Q715" s="407"/>
      <c r="R715" s="407"/>
      <c r="S715" s="408"/>
      <c r="T715" s="408"/>
      <c r="U715" s="408"/>
      <c r="V715" s="409"/>
      <c r="W715" s="410"/>
      <c r="X715" s="277"/>
      <c r="Y715" s="277"/>
      <c r="Z715" s="277"/>
    </row>
    <row r="716" ht="12.75" customHeight="1">
      <c r="A716" s="277"/>
      <c r="B716" s="278"/>
      <c r="C716" s="277"/>
      <c r="D716" s="278"/>
      <c r="E716" s="279"/>
      <c r="F716" s="406"/>
      <c r="G716" s="407"/>
      <c r="H716" s="407"/>
      <c r="I716" s="407"/>
      <c r="J716" s="407"/>
      <c r="K716" s="407"/>
      <c r="L716" s="407"/>
      <c r="M716" s="407"/>
      <c r="N716" s="407"/>
      <c r="O716" s="407"/>
      <c r="P716" s="407"/>
      <c r="Q716" s="407"/>
      <c r="R716" s="407"/>
      <c r="S716" s="408"/>
      <c r="T716" s="408"/>
      <c r="U716" s="408"/>
      <c r="V716" s="409"/>
      <c r="W716" s="410"/>
      <c r="X716" s="277"/>
      <c r="Y716" s="277"/>
      <c r="Z716" s="277"/>
    </row>
    <row r="717" ht="12.75" customHeight="1">
      <c r="A717" s="277"/>
      <c r="B717" s="278"/>
      <c r="C717" s="277"/>
      <c r="D717" s="278"/>
      <c r="E717" s="279"/>
      <c r="F717" s="406"/>
      <c r="G717" s="407"/>
      <c r="H717" s="407"/>
      <c r="I717" s="407"/>
      <c r="J717" s="407"/>
      <c r="K717" s="407"/>
      <c r="L717" s="407"/>
      <c r="M717" s="407"/>
      <c r="N717" s="407"/>
      <c r="O717" s="407"/>
      <c r="P717" s="407"/>
      <c r="Q717" s="407"/>
      <c r="R717" s="407"/>
      <c r="S717" s="408"/>
      <c r="T717" s="408"/>
      <c r="U717" s="408"/>
      <c r="V717" s="409"/>
      <c r="W717" s="410"/>
      <c r="X717" s="277"/>
      <c r="Y717" s="277"/>
      <c r="Z717" s="277"/>
    </row>
    <row r="718" ht="12.75" customHeight="1">
      <c r="A718" s="277"/>
      <c r="B718" s="278"/>
      <c r="C718" s="277"/>
      <c r="D718" s="278"/>
      <c r="E718" s="279"/>
      <c r="F718" s="406"/>
      <c r="G718" s="407"/>
      <c r="H718" s="407"/>
      <c r="I718" s="407"/>
      <c r="J718" s="407"/>
      <c r="K718" s="407"/>
      <c r="L718" s="407"/>
      <c r="M718" s="407"/>
      <c r="N718" s="407"/>
      <c r="O718" s="407"/>
      <c r="P718" s="407"/>
      <c r="Q718" s="407"/>
      <c r="R718" s="407"/>
      <c r="S718" s="408"/>
      <c r="T718" s="408"/>
      <c r="U718" s="408"/>
      <c r="V718" s="409"/>
      <c r="W718" s="410"/>
      <c r="X718" s="277"/>
      <c r="Y718" s="277"/>
      <c r="Z718" s="277"/>
    </row>
    <row r="719" ht="12.75" customHeight="1">
      <c r="A719" s="277"/>
      <c r="B719" s="278"/>
      <c r="C719" s="277"/>
      <c r="D719" s="278"/>
      <c r="E719" s="279"/>
      <c r="F719" s="406"/>
      <c r="G719" s="407"/>
      <c r="H719" s="407"/>
      <c r="I719" s="407"/>
      <c r="J719" s="407"/>
      <c r="K719" s="407"/>
      <c r="L719" s="407"/>
      <c r="M719" s="407"/>
      <c r="N719" s="407"/>
      <c r="O719" s="407"/>
      <c r="P719" s="407"/>
      <c r="Q719" s="407"/>
      <c r="R719" s="407"/>
      <c r="S719" s="408"/>
      <c r="T719" s="408"/>
      <c r="U719" s="408"/>
      <c r="V719" s="409"/>
      <c r="W719" s="410"/>
      <c r="X719" s="277"/>
      <c r="Y719" s="277"/>
      <c r="Z719" s="277"/>
    </row>
    <row r="720" ht="12.75" customHeight="1">
      <c r="A720" s="277"/>
      <c r="B720" s="278"/>
      <c r="C720" s="277"/>
      <c r="D720" s="278"/>
      <c r="E720" s="279"/>
      <c r="F720" s="406"/>
      <c r="G720" s="407"/>
      <c r="H720" s="407"/>
      <c r="I720" s="407"/>
      <c r="J720" s="407"/>
      <c r="K720" s="407"/>
      <c r="L720" s="407"/>
      <c r="M720" s="407"/>
      <c r="N720" s="407"/>
      <c r="O720" s="407"/>
      <c r="P720" s="407"/>
      <c r="Q720" s="407"/>
      <c r="R720" s="407"/>
      <c r="S720" s="408"/>
      <c r="T720" s="408"/>
      <c r="U720" s="408"/>
      <c r="V720" s="409"/>
      <c r="W720" s="410"/>
      <c r="X720" s="277"/>
      <c r="Y720" s="277"/>
      <c r="Z720" s="277"/>
    </row>
    <row r="721" ht="12.75" customHeight="1">
      <c r="A721" s="277"/>
      <c r="B721" s="278"/>
      <c r="C721" s="277"/>
      <c r="D721" s="278"/>
      <c r="E721" s="279"/>
      <c r="F721" s="406"/>
      <c r="G721" s="407"/>
      <c r="H721" s="407"/>
      <c r="I721" s="407"/>
      <c r="J721" s="407"/>
      <c r="K721" s="407"/>
      <c r="L721" s="407"/>
      <c r="M721" s="407"/>
      <c r="N721" s="407"/>
      <c r="O721" s="407"/>
      <c r="P721" s="407"/>
      <c r="Q721" s="407"/>
      <c r="R721" s="407"/>
      <c r="S721" s="408"/>
      <c r="T721" s="408"/>
      <c r="U721" s="408"/>
      <c r="V721" s="409"/>
      <c r="W721" s="410"/>
      <c r="X721" s="277"/>
      <c r="Y721" s="277"/>
      <c r="Z721" s="277"/>
    </row>
    <row r="722" ht="12.75" customHeight="1">
      <c r="A722" s="277"/>
      <c r="B722" s="278"/>
      <c r="C722" s="277"/>
      <c r="D722" s="278"/>
      <c r="E722" s="279"/>
      <c r="F722" s="406"/>
      <c r="G722" s="407"/>
      <c r="H722" s="407"/>
      <c r="I722" s="407"/>
      <c r="J722" s="407"/>
      <c r="K722" s="407"/>
      <c r="L722" s="407"/>
      <c r="M722" s="407"/>
      <c r="N722" s="407"/>
      <c r="O722" s="407"/>
      <c r="P722" s="407"/>
      <c r="Q722" s="407"/>
      <c r="R722" s="407"/>
      <c r="S722" s="408"/>
      <c r="T722" s="408"/>
      <c r="U722" s="408"/>
      <c r="V722" s="409"/>
      <c r="W722" s="410"/>
      <c r="X722" s="277"/>
      <c r="Y722" s="277"/>
      <c r="Z722" s="277"/>
    </row>
    <row r="723" ht="12.75" customHeight="1">
      <c r="A723" s="277"/>
      <c r="B723" s="278"/>
      <c r="C723" s="277"/>
      <c r="D723" s="278"/>
      <c r="E723" s="279"/>
      <c r="F723" s="406"/>
      <c r="G723" s="407"/>
      <c r="H723" s="407"/>
      <c r="I723" s="407"/>
      <c r="J723" s="407"/>
      <c r="K723" s="407"/>
      <c r="L723" s="407"/>
      <c r="M723" s="407"/>
      <c r="N723" s="407"/>
      <c r="O723" s="407"/>
      <c r="P723" s="407"/>
      <c r="Q723" s="407"/>
      <c r="R723" s="407"/>
      <c r="S723" s="408"/>
      <c r="T723" s="408"/>
      <c r="U723" s="408"/>
      <c r="V723" s="409"/>
      <c r="W723" s="410"/>
      <c r="X723" s="277"/>
      <c r="Y723" s="277"/>
      <c r="Z723" s="277"/>
    </row>
    <row r="724" ht="12.75" customHeight="1">
      <c r="A724" s="277"/>
      <c r="B724" s="278"/>
      <c r="C724" s="277"/>
      <c r="D724" s="278"/>
      <c r="E724" s="279"/>
      <c r="F724" s="406"/>
      <c r="G724" s="407"/>
      <c r="H724" s="407"/>
      <c r="I724" s="407"/>
      <c r="J724" s="407"/>
      <c r="K724" s="407"/>
      <c r="L724" s="407"/>
      <c r="M724" s="407"/>
      <c r="N724" s="407"/>
      <c r="O724" s="407"/>
      <c r="P724" s="407"/>
      <c r="Q724" s="407"/>
      <c r="R724" s="407"/>
      <c r="S724" s="408"/>
      <c r="T724" s="408"/>
      <c r="U724" s="408"/>
      <c r="V724" s="409"/>
      <c r="W724" s="410"/>
      <c r="X724" s="277"/>
      <c r="Y724" s="277"/>
      <c r="Z724" s="277"/>
    </row>
    <row r="725" ht="12.75" customHeight="1">
      <c r="A725" s="277"/>
      <c r="B725" s="278"/>
      <c r="C725" s="277"/>
      <c r="D725" s="278"/>
      <c r="E725" s="279"/>
      <c r="F725" s="406"/>
      <c r="G725" s="407"/>
      <c r="H725" s="407"/>
      <c r="I725" s="407"/>
      <c r="J725" s="407"/>
      <c r="K725" s="407"/>
      <c r="L725" s="407"/>
      <c r="M725" s="407"/>
      <c r="N725" s="407"/>
      <c r="O725" s="407"/>
      <c r="P725" s="407"/>
      <c r="Q725" s="407"/>
      <c r="R725" s="407"/>
      <c r="S725" s="408"/>
      <c r="T725" s="408"/>
      <c r="U725" s="408"/>
      <c r="V725" s="409"/>
      <c r="W725" s="410"/>
      <c r="X725" s="277"/>
      <c r="Y725" s="277"/>
      <c r="Z725" s="277"/>
    </row>
    <row r="726" ht="12.75" customHeight="1">
      <c r="A726" s="277"/>
      <c r="B726" s="278"/>
      <c r="C726" s="277"/>
      <c r="D726" s="278"/>
      <c r="E726" s="279"/>
      <c r="F726" s="406"/>
      <c r="G726" s="407"/>
      <c r="H726" s="407"/>
      <c r="I726" s="407"/>
      <c r="J726" s="407"/>
      <c r="K726" s="407"/>
      <c r="L726" s="407"/>
      <c r="M726" s="407"/>
      <c r="N726" s="407"/>
      <c r="O726" s="407"/>
      <c r="P726" s="407"/>
      <c r="Q726" s="407"/>
      <c r="R726" s="407"/>
      <c r="S726" s="408"/>
      <c r="T726" s="408"/>
      <c r="U726" s="408"/>
      <c r="V726" s="409"/>
      <c r="W726" s="410"/>
      <c r="X726" s="277"/>
      <c r="Y726" s="277"/>
      <c r="Z726" s="277"/>
    </row>
    <row r="727" ht="12.75" customHeight="1">
      <c r="A727" s="277"/>
      <c r="B727" s="278"/>
      <c r="C727" s="277"/>
      <c r="D727" s="278"/>
      <c r="E727" s="279"/>
      <c r="F727" s="406"/>
      <c r="G727" s="407"/>
      <c r="H727" s="407"/>
      <c r="I727" s="407"/>
      <c r="J727" s="407"/>
      <c r="K727" s="407"/>
      <c r="L727" s="407"/>
      <c r="M727" s="407"/>
      <c r="N727" s="407"/>
      <c r="O727" s="407"/>
      <c r="P727" s="407"/>
      <c r="Q727" s="407"/>
      <c r="R727" s="407"/>
      <c r="S727" s="408"/>
      <c r="T727" s="408"/>
      <c r="U727" s="408"/>
      <c r="V727" s="409"/>
      <c r="W727" s="410"/>
      <c r="X727" s="277"/>
      <c r="Y727" s="277"/>
      <c r="Z727" s="277"/>
    </row>
    <row r="728" ht="12.75" customHeight="1">
      <c r="A728" s="277"/>
      <c r="B728" s="278"/>
      <c r="C728" s="277"/>
      <c r="D728" s="278"/>
      <c r="E728" s="279"/>
      <c r="F728" s="406"/>
      <c r="G728" s="407"/>
      <c r="H728" s="407"/>
      <c r="I728" s="407"/>
      <c r="J728" s="407"/>
      <c r="K728" s="407"/>
      <c r="L728" s="407"/>
      <c r="M728" s="407"/>
      <c r="N728" s="407"/>
      <c r="O728" s="407"/>
      <c r="P728" s="407"/>
      <c r="Q728" s="407"/>
      <c r="R728" s="407"/>
      <c r="S728" s="408"/>
      <c r="T728" s="408"/>
      <c r="U728" s="408"/>
      <c r="V728" s="409"/>
      <c r="W728" s="410"/>
      <c r="X728" s="277"/>
      <c r="Y728" s="277"/>
      <c r="Z728" s="277"/>
    </row>
    <row r="729" ht="12.75" customHeight="1">
      <c r="A729" s="277"/>
      <c r="B729" s="278"/>
      <c r="C729" s="277"/>
      <c r="D729" s="278"/>
      <c r="E729" s="279"/>
      <c r="F729" s="406"/>
      <c r="G729" s="407"/>
      <c r="H729" s="407"/>
      <c r="I729" s="407"/>
      <c r="J729" s="407"/>
      <c r="K729" s="407"/>
      <c r="L729" s="407"/>
      <c r="M729" s="407"/>
      <c r="N729" s="407"/>
      <c r="O729" s="407"/>
      <c r="P729" s="407"/>
      <c r="Q729" s="407"/>
      <c r="R729" s="407"/>
      <c r="S729" s="408"/>
      <c r="T729" s="408"/>
      <c r="U729" s="408"/>
      <c r="V729" s="409"/>
      <c r="W729" s="410"/>
      <c r="X729" s="277"/>
      <c r="Y729" s="277"/>
      <c r="Z729" s="277"/>
    </row>
    <row r="730" ht="12.75" customHeight="1">
      <c r="A730" s="277"/>
      <c r="B730" s="278"/>
      <c r="C730" s="277"/>
      <c r="D730" s="278"/>
      <c r="E730" s="279"/>
      <c r="F730" s="406"/>
      <c r="G730" s="407"/>
      <c r="H730" s="407"/>
      <c r="I730" s="407"/>
      <c r="J730" s="407"/>
      <c r="K730" s="407"/>
      <c r="L730" s="407"/>
      <c r="M730" s="407"/>
      <c r="N730" s="407"/>
      <c r="O730" s="407"/>
      <c r="P730" s="407"/>
      <c r="Q730" s="407"/>
      <c r="R730" s="407"/>
      <c r="S730" s="408"/>
      <c r="T730" s="408"/>
      <c r="U730" s="408"/>
      <c r="V730" s="409"/>
      <c r="W730" s="410"/>
      <c r="X730" s="277"/>
      <c r="Y730" s="277"/>
      <c r="Z730" s="277"/>
    </row>
    <row r="731" ht="12.75" customHeight="1">
      <c r="A731" s="277"/>
      <c r="B731" s="278"/>
      <c r="C731" s="277"/>
      <c r="D731" s="278"/>
      <c r="E731" s="279"/>
      <c r="F731" s="406"/>
      <c r="G731" s="407"/>
      <c r="H731" s="407"/>
      <c r="I731" s="407"/>
      <c r="J731" s="407"/>
      <c r="K731" s="407"/>
      <c r="L731" s="407"/>
      <c r="M731" s="407"/>
      <c r="N731" s="407"/>
      <c r="O731" s="407"/>
      <c r="P731" s="407"/>
      <c r="Q731" s="407"/>
      <c r="R731" s="407"/>
      <c r="S731" s="408"/>
      <c r="T731" s="408"/>
      <c r="U731" s="408"/>
      <c r="V731" s="409"/>
      <c r="W731" s="410"/>
      <c r="X731" s="277"/>
      <c r="Y731" s="277"/>
      <c r="Z731" s="277"/>
    </row>
    <row r="732" ht="12.75" customHeight="1">
      <c r="A732" s="277"/>
      <c r="B732" s="278"/>
      <c r="C732" s="277"/>
      <c r="D732" s="278"/>
      <c r="E732" s="279"/>
      <c r="F732" s="406"/>
      <c r="G732" s="407"/>
      <c r="H732" s="407"/>
      <c r="I732" s="407"/>
      <c r="J732" s="407"/>
      <c r="K732" s="407"/>
      <c r="L732" s="407"/>
      <c r="M732" s="407"/>
      <c r="N732" s="407"/>
      <c r="O732" s="407"/>
      <c r="P732" s="407"/>
      <c r="Q732" s="407"/>
      <c r="R732" s="407"/>
      <c r="S732" s="408"/>
      <c r="T732" s="408"/>
      <c r="U732" s="408"/>
      <c r="V732" s="409"/>
      <c r="W732" s="410"/>
      <c r="X732" s="277"/>
      <c r="Y732" s="277"/>
      <c r="Z732" s="277"/>
    </row>
    <row r="733" ht="12.75" customHeight="1">
      <c r="A733" s="277"/>
      <c r="B733" s="278"/>
      <c r="C733" s="277"/>
      <c r="D733" s="278"/>
      <c r="E733" s="279"/>
      <c r="F733" s="406"/>
      <c r="G733" s="407"/>
      <c r="H733" s="407"/>
      <c r="I733" s="407"/>
      <c r="J733" s="407"/>
      <c r="K733" s="407"/>
      <c r="L733" s="407"/>
      <c r="M733" s="407"/>
      <c r="N733" s="407"/>
      <c r="O733" s="407"/>
      <c r="P733" s="407"/>
      <c r="Q733" s="407"/>
      <c r="R733" s="407"/>
      <c r="S733" s="408"/>
      <c r="T733" s="408"/>
      <c r="U733" s="408"/>
      <c r="V733" s="409"/>
      <c r="W733" s="410"/>
      <c r="X733" s="277"/>
      <c r="Y733" s="277"/>
      <c r="Z733" s="277"/>
    </row>
    <row r="734" ht="12.75" customHeight="1">
      <c r="A734" s="277"/>
      <c r="B734" s="278"/>
      <c r="C734" s="277"/>
      <c r="D734" s="278"/>
      <c r="E734" s="279"/>
      <c r="F734" s="406"/>
      <c r="G734" s="407"/>
      <c r="H734" s="407"/>
      <c r="I734" s="407"/>
      <c r="J734" s="407"/>
      <c r="K734" s="407"/>
      <c r="L734" s="407"/>
      <c r="M734" s="407"/>
      <c r="N734" s="407"/>
      <c r="O734" s="407"/>
      <c r="P734" s="407"/>
      <c r="Q734" s="407"/>
      <c r="R734" s="407"/>
      <c r="S734" s="408"/>
      <c r="T734" s="408"/>
      <c r="U734" s="408"/>
      <c r="V734" s="409"/>
      <c r="W734" s="410"/>
      <c r="X734" s="277"/>
      <c r="Y734" s="277"/>
      <c r="Z734" s="277"/>
    </row>
    <row r="735" ht="12.75" customHeight="1">
      <c r="A735" s="277"/>
      <c r="B735" s="278"/>
      <c r="C735" s="277"/>
      <c r="D735" s="278"/>
      <c r="E735" s="279"/>
      <c r="F735" s="406"/>
      <c r="G735" s="407"/>
      <c r="H735" s="407"/>
      <c r="I735" s="407"/>
      <c r="J735" s="407"/>
      <c r="K735" s="407"/>
      <c r="L735" s="407"/>
      <c r="M735" s="407"/>
      <c r="N735" s="407"/>
      <c r="O735" s="407"/>
      <c r="P735" s="407"/>
      <c r="Q735" s="407"/>
      <c r="R735" s="407"/>
      <c r="S735" s="408"/>
      <c r="T735" s="408"/>
      <c r="U735" s="408"/>
      <c r="V735" s="409"/>
      <c r="W735" s="410"/>
      <c r="X735" s="277"/>
      <c r="Y735" s="277"/>
      <c r="Z735" s="277"/>
    </row>
    <row r="736" ht="12.75" customHeight="1">
      <c r="A736" s="277"/>
      <c r="B736" s="278"/>
      <c r="C736" s="277"/>
      <c r="D736" s="278"/>
      <c r="E736" s="279"/>
      <c r="F736" s="406"/>
      <c r="G736" s="407"/>
      <c r="H736" s="407"/>
      <c r="I736" s="407"/>
      <c r="J736" s="407"/>
      <c r="K736" s="407"/>
      <c r="L736" s="407"/>
      <c r="M736" s="407"/>
      <c r="N736" s="407"/>
      <c r="O736" s="407"/>
      <c r="P736" s="407"/>
      <c r="Q736" s="407"/>
      <c r="R736" s="407"/>
      <c r="S736" s="408"/>
      <c r="T736" s="408"/>
      <c r="U736" s="408"/>
      <c r="V736" s="409"/>
      <c r="W736" s="410"/>
      <c r="X736" s="277"/>
      <c r="Y736" s="277"/>
      <c r="Z736" s="277"/>
    </row>
    <row r="737" ht="12.75" customHeight="1">
      <c r="A737" s="277"/>
      <c r="B737" s="278"/>
      <c r="C737" s="277"/>
      <c r="D737" s="278"/>
      <c r="E737" s="279"/>
      <c r="F737" s="406"/>
      <c r="G737" s="407"/>
      <c r="H737" s="407"/>
      <c r="I737" s="407"/>
      <c r="J737" s="407"/>
      <c r="K737" s="407"/>
      <c r="L737" s="407"/>
      <c r="M737" s="407"/>
      <c r="N737" s="407"/>
      <c r="O737" s="407"/>
      <c r="P737" s="407"/>
      <c r="Q737" s="407"/>
      <c r="R737" s="407"/>
      <c r="S737" s="408"/>
      <c r="T737" s="408"/>
      <c r="U737" s="408"/>
      <c r="V737" s="409"/>
      <c r="W737" s="410"/>
      <c r="X737" s="277"/>
      <c r="Y737" s="277"/>
      <c r="Z737" s="277"/>
    </row>
    <row r="738" ht="12.75" customHeight="1">
      <c r="A738" s="277"/>
      <c r="B738" s="278"/>
      <c r="C738" s="277"/>
      <c r="D738" s="278"/>
      <c r="E738" s="279"/>
      <c r="F738" s="406"/>
      <c r="G738" s="407"/>
      <c r="H738" s="407"/>
      <c r="I738" s="407"/>
      <c r="J738" s="407"/>
      <c r="K738" s="407"/>
      <c r="L738" s="407"/>
      <c r="M738" s="407"/>
      <c r="N738" s="407"/>
      <c r="O738" s="407"/>
      <c r="P738" s="407"/>
      <c r="Q738" s="407"/>
      <c r="R738" s="407"/>
      <c r="S738" s="408"/>
      <c r="T738" s="408"/>
      <c r="U738" s="408"/>
      <c r="V738" s="409"/>
      <c r="W738" s="410"/>
      <c r="X738" s="277"/>
      <c r="Y738" s="277"/>
      <c r="Z738" s="277"/>
    </row>
    <row r="739" ht="12.75" customHeight="1">
      <c r="A739" s="277"/>
      <c r="B739" s="278"/>
      <c r="C739" s="277"/>
      <c r="D739" s="278"/>
      <c r="E739" s="279"/>
      <c r="F739" s="406"/>
      <c r="G739" s="407"/>
      <c r="H739" s="407"/>
      <c r="I739" s="407"/>
      <c r="J739" s="407"/>
      <c r="K739" s="407"/>
      <c r="L739" s="407"/>
      <c r="M739" s="407"/>
      <c r="N739" s="407"/>
      <c r="O739" s="407"/>
      <c r="P739" s="407"/>
      <c r="Q739" s="407"/>
      <c r="R739" s="407"/>
      <c r="S739" s="408"/>
      <c r="T739" s="408"/>
      <c r="U739" s="408"/>
      <c r="V739" s="409"/>
      <c r="W739" s="410"/>
      <c r="X739" s="277"/>
      <c r="Y739" s="277"/>
      <c r="Z739" s="277"/>
    </row>
    <row r="740" ht="12.75" customHeight="1">
      <c r="A740" s="277"/>
      <c r="B740" s="278"/>
      <c r="C740" s="277"/>
      <c r="D740" s="278"/>
      <c r="E740" s="279"/>
      <c r="F740" s="406"/>
      <c r="G740" s="407"/>
      <c r="H740" s="407"/>
      <c r="I740" s="407"/>
      <c r="J740" s="407"/>
      <c r="K740" s="407"/>
      <c r="L740" s="407"/>
      <c r="M740" s="407"/>
      <c r="N740" s="407"/>
      <c r="O740" s="407"/>
      <c r="P740" s="407"/>
      <c r="Q740" s="407"/>
      <c r="R740" s="407"/>
      <c r="S740" s="408"/>
      <c r="T740" s="408"/>
      <c r="U740" s="408"/>
      <c r="V740" s="409"/>
      <c r="W740" s="410"/>
      <c r="X740" s="277"/>
      <c r="Y740" s="277"/>
      <c r="Z740" s="277"/>
    </row>
    <row r="741" ht="12.75" customHeight="1">
      <c r="A741" s="277"/>
      <c r="B741" s="278"/>
      <c r="C741" s="277"/>
      <c r="D741" s="278"/>
      <c r="E741" s="279"/>
      <c r="F741" s="406"/>
      <c r="G741" s="407"/>
      <c r="H741" s="407"/>
      <c r="I741" s="407"/>
      <c r="J741" s="407"/>
      <c r="K741" s="407"/>
      <c r="L741" s="407"/>
      <c r="M741" s="407"/>
      <c r="N741" s="407"/>
      <c r="O741" s="407"/>
      <c r="P741" s="407"/>
      <c r="Q741" s="407"/>
      <c r="R741" s="407"/>
      <c r="S741" s="408"/>
      <c r="T741" s="408"/>
      <c r="U741" s="408"/>
      <c r="V741" s="409"/>
      <c r="W741" s="410"/>
      <c r="X741" s="277"/>
      <c r="Y741" s="277"/>
      <c r="Z741" s="277"/>
    </row>
    <row r="742" ht="12.75" customHeight="1">
      <c r="A742" s="277"/>
      <c r="B742" s="278"/>
      <c r="C742" s="277"/>
      <c r="D742" s="278"/>
      <c r="E742" s="279"/>
      <c r="F742" s="406"/>
      <c r="G742" s="407"/>
      <c r="H742" s="407"/>
      <c r="I742" s="407"/>
      <c r="J742" s="407"/>
      <c r="K742" s="407"/>
      <c r="L742" s="407"/>
      <c r="M742" s="407"/>
      <c r="N742" s="407"/>
      <c r="O742" s="407"/>
      <c r="P742" s="407"/>
      <c r="Q742" s="407"/>
      <c r="R742" s="407"/>
      <c r="S742" s="408"/>
      <c r="T742" s="408"/>
      <c r="U742" s="408"/>
      <c r="V742" s="409"/>
      <c r="W742" s="410"/>
      <c r="X742" s="277"/>
      <c r="Y742" s="277"/>
      <c r="Z742" s="277"/>
    </row>
    <row r="743" ht="12.75" customHeight="1">
      <c r="A743" s="277"/>
      <c r="B743" s="278"/>
      <c r="C743" s="277"/>
      <c r="D743" s="278"/>
      <c r="E743" s="279"/>
      <c r="F743" s="406"/>
      <c r="G743" s="407"/>
      <c r="H743" s="407"/>
      <c r="I743" s="407"/>
      <c r="J743" s="407"/>
      <c r="K743" s="407"/>
      <c r="L743" s="407"/>
      <c r="M743" s="407"/>
      <c r="N743" s="407"/>
      <c r="O743" s="407"/>
      <c r="P743" s="407"/>
      <c r="Q743" s="407"/>
      <c r="R743" s="407"/>
      <c r="S743" s="408"/>
      <c r="T743" s="408"/>
      <c r="U743" s="408"/>
      <c r="V743" s="409"/>
      <c r="W743" s="410"/>
      <c r="X743" s="277"/>
      <c r="Y743" s="277"/>
      <c r="Z743" s="277"/>
    </row>
    <row r="744" ht="12.75" customHeight="1">
      <c r="A744" s="277"/>
      <c r="B744" s="278"/>
      <c r="C744" s="277"/>
      <c r="D744" s="278"/>
      <c r="E744" s="279"/>
      <c r="F744" s="406"/>
      <c r="G744" s="407"/>
      <c r="H744" s="407"/>
      <c r="I744" s="407"/>
      <c r="J744" s="407"/>
      <c r="K744" s="407"/>
      <c r="L744" s="407"/>
      <c r="M744" s="407"/>
      <c r="N744" s="407"/>
      <c r="O744" s="407"/>
      <c r="P744" s="407"/>
      <c r="Q744" s="407"/>
      <c r="R744" s="407"/>
      <c r="S744" s="408"/>
      <c r="T744" s="408"/>
      <c r="U744" s="408"/>
      <c r="V744" s="409"/>
      <c r="W744" s="410"/>
      <c r="X744" s="277"/>
      <c r="Y744" s="277"/>
      <c r="Z744" s="277"/>
    </row>
    <row r="745" ht="12.75" customHeight="1">
      <c r="A745" s="277"/>
      <c r="B745" s="278"/>
      <c r="C745" s="277"/>
      <c r="D745" s="278"/>
      <c r="E745" s="279"/>
      <c r="F745" s="406"/>
      <c r="G745" s="407"/>
      <c r="H745" s="407"/>
      <c r="I745" s="407"/>
      <c r="J745" s="407"/>
      <c r="K745" s="407"/>
      <c r="L745" s="407"/>
      <c r="M745" s="407"/>
      <c r="N745" s="407"/>
      <c r="O745" s="407"/>
      <c r="P745" s="407"/>
      <c r="Q745" s="407"/>
      <c r="R745" s="407"/>
      <c r="S745" s="408"/>
      <c r="T745" s="408"/>
      <c r="U745" s="408"/>
      <c r="V745" s="409"/>
      <c r="W745" s="410"/>
      <c r="X745" s="277"/>
      <c r="Y745" s="277"/>
      <c r="Z745" s="277"/>
    </row>
    <row r="746" ht="12.75" customHeight="1">
      <c r="A746" s="277"/>
      <c r="B746" s="278"/>
      <c r="C746" s="277"/>
      <c r="D746" s="278"/>
      <c r="E746" s="279"/>
      <c r="F746" s="406"/>
      <c r="G746" s="407"/>
      <c r="H746" s="407"/>
      <c r="I746" s="407"/>
      <c r="J746" s="407"/>
      <c r="K746" s="407"/>
      <c r="L746" s="407"/>
      <c r="M746" s="407"/>
      <c r="N746" s="407"/>
      <c r="O746" s="407"/>
      <c r="P746" s="407"/>
      <c r="Q746" s="407"/>
      <c r="R746" s="407"/>
      <c r="S746" s="408"/>
      <c r="T746" s="408"/>
      <c r="U746" s="408"/>
      <c r="V746" s="409"/>
      <c r="W746" s="410"/>
      <c r="X746" s="277"/>
      <c r="Y746" s="277"/>
      <c r="Z746" s="277"/>
    </row>
    <row r="747" ht="12.75" customHeight="1">
      <c r="A747" s="277"/>
      <c r="B747" s="278"/>
      <c r="C747" s="277"/>
      <c r="D747" s="278"/>
      <c r="E747" s="279"/>
      <c r="F747" s="406"/>
      <c r="G747" s="407"/>
      <c r="H747" s="407"/>
      <c r="I747" s="407"/>
      <c r="J747" s="407"/>
      <c r="K747" s="407"/>
      <c r="L747" s="407"/>
      <c r="M747" s="407"/>
      <c r="N747" s="407"/>
      <c r="O747" s="407"/>
      <c r="P747" s="407"/>
      <c r="Q747" s="407"/>
      <c r="R747" s="407"/>
      <c r="S747" s="408"/>
      <c r="T747" s="408"/>
      <c r="U747" s="408"/>
      <c r="V747" s="409"/>
      <c r="W747" s="410"/>
      <c r="X747" s="277"/>
      <c r="Y747" s="277"/>
      <c r="Z747" s="277"/>
    </row>
    <row r="748" ht="12.75" customHeight="1">
      <c r="A748" s="277"/>
      <c r="B748" s="278"/>
      <c r="C748" s="277"/>
      <c r="D748" s="278"/>
      <c r="E748" s="279"/>
      <c r="F748" s="406"/>
      <c r="G748" s="407"/>
      <c r="H748" s="407"/>
      <c r="I748" s="407"/>
      <c r="J748" s="407"/>
      <c r="K748" s="407"/>
      <c r="L748" s="407"/>
      <c r="M748" s="407"/>
      <c r="N748" s="407"/>
      <c r="O748" s="407"/>
      <c r="P748" s="407"/>
      <c r="Q748" s="407"/>
      <c r="R748" s="407"/>
      <c r="S748" s="408"/>
      <c r="T748" s="408"/>
      <c r="U748" s="408"/>
      <c r="V748" s="409"/>
      <c r="W748" s="410"/>
      <c r="X748" s="277"/>
      <c r="Y748" s="277"/>
      <c r="Z748" s="277"/>
    </row>
    <row r="749" ht="12.75" customHeight="1">
      <c r="A749" s="277"/>
      <c r="B749" s="278"/>
      <c r="C749" s="277"/>
      <c r="D749" s="278"/>
      <c r="E749" s="279"/>
      <c r="F749" s="406"/>
      <c r="G749" s="407"/>
      <c r="H749" s="407"/>
      <c r="I749" s="407"/>
      <c r="J749" s="407"/>
      <c r="K749" s="407"/>
      <c r="L749" s="407"/>
      <c r="M749" s="407"/>
      <c r="N749" s="407"/>
      <c r="O749" s="407"/>
      <c r="P749" s="407"/>
      <c r="Q749" s="407"/>
      <c r="R749" s="407"/>
      <c r="S749" s="408"/>
      <c r="T749" s="408"/>
      <c r="U749" s="408"/>
      <c r="V749" s="409"/>
      <c r="W749" s="410"/>
      <c r="X749" s="277"/>
      <c r="Y749" s="277"/>
      <c r="Z749" s="277"/>
    </row>
    <row r="750" ht="12.75" customHeight="1">
      <c r="A750" s="277"/>
      <c r="B750" s="278"/>
      <c r="C750" s="277"/>
      <c r="D750" s="278"/>
      <c r="E750" s="279"/>
      <c r="F750" s="406"/>
      <c r="G750" s="407"/>
      <c r="H750" s="407"/>
      <c r="I750" s="407"/>
      <c r="J750" s="407"/>
      <c r="K750" s="407"/>
      <c r="L750" s="407"/>
      <c r="M750" s="407"/>
      <c r="N750" s="407"/>
      <c r="O750" s="407"/>
      <c r="P750" s="407"/>
      <c r="Q750" s="407"/>
      <c r="R750" s="407"/>
      <c r="S750" s="408"/>
      <c r="T750" s="408"/>
      <c r="U750" s="408"/>
      <c r="V750" s="409"/>
      <c r="W750" s="410"/>
      <c r="X750" s="277"/>
      <c r="Y750" s="277"/>
      <c r="Z750" s="277"/>
    </row>
    <row r="751" ht="12.75" customHeight="1">
      <c r="A751" s="277"/>
      <c r="B751" s="278"/>
      <c r="C751" s="277"/>
      <c r="D751" s="278"/>
      <c r="E751" s="279"/>
      <c r="F751" s="406"/>
      <c r="G751" s="407"/>
      <c r="H751" s="407"/>
      <c r="I751" s="407"/>
      <c r="J751" s="407"/>
      <c r="K751" s="407"/>
      <c r="L751" s="407"/>
      <c r="M751" s="407"/>
      <c r="N751" s="407"/>
      <c r="O751" s="407"/>
      <c r="P751" s="407"/>
      <c r="Q751" s="407"/>
      <c r="R751" s="407"/>
      <c r="S751" s="408"/>
      <c r="T751" s="408"/>
      <c r="U751" s="408"/>
      <c r="V751" s="409"/>
      <c r="W751" s="410"/>
      <c r="X751" s="277"/>
      <c r="Y751" s="277"/>
      <c r="Z751" s="277"/>
    </row>
    <row r="752" ht="12.75" customHeight="1">
      <c r="A752" s="277"/>
      <c r="B752" s="278"/>
      <c r="C752" s="277"/>
      <c r="D752" s="278"/>
      <c r="E752" s="279"/>
      <c r="F752" s="406"/>
      <c r="G752" s="407"/>
      <c r="H752" s="407"/>
      <c r="I752" s="407"/>
      <c r="J752" s="407"/>
      <c r="K752" s="407"/>
      <c r="L752" s="407"/>
      <c r="M752" s="407"/>
      <c r="N752" s="407"/>
      <c r="O752" s="407"/>
      <c r="P752" s="407"/>
      <c r="Q752" s="407"/>
      <c r="R752" s="407"/>
      <c r="S752" s="408"/>
      <c r="T752" s="408"/>
      <c r="U752" s="408"/>
      <c r="V752" s="409"/>
      <c r="W752" s="410"/>
      <c r="X752" s="277"/>
      <c r="Y752" s="277"/>
      <c r="Z752" s="277"/>
    </row>
    <row r="753" ht="12.75" customHeight="1">
      <c r="A753" s="277"/>
      <c r="B753" s="278"/>
      <c r="C753" s="277"/>
      <c r="D753" s="278"/>
      <c r="E753" s="279"/>
      <c r="F753" s="406"/>
      <c r="G753" s="407"/>
      <c r="H753" s="407"/>
      <c r="I753" s="407"/>
      <c r="J753" s="407"/>
      <c r="K753" s="407"/>
      <c r="L753" s="407"/>
      <c r="M753" s="407"/>
      <c r="N753" s="407"/>
      <c r="O753" s="407"/>
      <c r="P753" s="407"/>
      <c r="Q753" s="407"/>
      <c r="R753" s="407"/>
      <c r="S753" s="408"/>
      <c r="T753" s="408"/>
      <c r="U753" s="408"/>
      <c r="V753" s="409"/>
      <c r="W753" s="410"/>
      <c r="X753" s="277"/>
      <c r="Y753" s="277"/>
      <c r="Z753" s="277"/>
    </row>
    <row r="754" ht="12.75" customHeight="1">
      <c r="A754" s="277"/>
      <c r="B754" s="278"/>
      <c r="C754" s="277"/>
      <c r="D754" s="278"/>
      <c r="E754" s="279"/>
      <c r="F754" s="406"/>
      <c r="G754" s="407"/>
      <c r="H754" s="407"/>
      <c r="I754" s="407"/>
      <c r="J754" s="407"/>
      <c r="K754" s="407"/>
      <c r="L754" s="407"/>
      <c r="M754" s="407"/>
      <c r="N754" s="407"/>
      <c r="O754" s="407"/>
      <c r="P754" s="407"/>
      <c r="Q754" s="407"/>
      <c r="R754" s="407"/>
      <c r="S754" s="408"/>
      <c r="T754" s="408"/>
      <c r="U754" s="408"/>
      <c r="V754" s="409"/>
      <c r="W754" s="410"/>
      <c r="X754" s="277"/>
      <c r="Y754" s="277"/>
      <c r="Z754" s="277"/>
    </row>
    <row r="755" ht="12.75" customHeight="1">
      <c r="A755" s="277"/>
      <c r="B755" s="278"/>
      <c r="C755" s="277"/>
      <c r="D755" s="278"/>
      <c r="E755" s="279"/>
      <c r="F755" s="406"/>
      <c r="G755" s="407"/>
      <c r="H755" s="407"/>
      <c r="I755" s="407"/>
      <c r="J755" s="407"/>
      <c r="K755" s="407"/>
      <c r="L755" s="407"/>
      <c r="M755" s="407"/>
      <c r="N755" s="407"/>
      <c r="O755" s="407"/>
      <c r="P755" s="407"/>
      <c r="Q755" s="407"/>
      <c r="R755" s="407"/>
      <c r="S755" s="408"/>
      <c r="T755" s="408"/>
      <c r="U755" s="408"/>
      <c r="V755" s="409"/>
      <c r="W755" s="410"/>
      <c r="X755" s="277"/>
      <c r="Y755" s="277"/>
      <c r="Z755" s="277"/>
    </row>
    <row r="756" ht="12.75" customHeight="1">
      <c r="A756" s="277"/>
      <c r="B756" s="278"/>
      <c r="C756" s="277"/>
      <c r="D756" s="278"/>
      <c r="E756" s="279"/>
      <c r="F756" s="406"/>
      <c r="G756" s="407"/>
      <c r="H756" s="407"/>
      <c r="I756" s="407"/>
      <c r="J756" s="407"/>
      <c r="K756" s="407"/>
      <c r="L756" s="407"/>
      <c r="M756" s="407"/>
      <c r="N756" s="407"/>
      <c r="O756" s="407"/>
      <c r="P756" s="407"/>
      <c r="Q756" s="407"/>
      <c r="R756" s="407"/>
      <c r="S756" s="408"/>
      <c r="T756" s="408"/>
      <c r="U756" s="408"/>
      <c r="V756" s="409"/>
      <c r="W756" s="410"/>
      <c r="X756" s="277"/>
      <c r="Y756" s="277"/>
      <c r="Z756" s="277"/>
    </row>
    <row r="757" ht="12.75" customHeight="1">
      <c r="A757" s="277"/>
      <c r="B757" s="278"/>
      <c r="C757" s="277"/>
      <c r="D757" s="278"/>
      <c r="E757" s="279"/>
      <c r="F757" s="406"/>
      <c r="G757" s="407"/>
      <c r="H757" s="407"/>
      <c r="I757" s="407"/>
      <c r="J757" s="407"/>
      <c r="K757" s="407"/>
      <c r="L757" s="407"/>
      <c r="M757" s="407"/>
      <c r="N757" s="407"/>
      <c r="O757" s="407"/>
      <c r="P757" s="407"/>
      <c r="Q757" s="407"/>
      <c r="R757" s="407"/>
      <c r="S757" s="408"/>
      <c r="T757" s="408"/>
      <c r="U757" s="408"/>
      <c r="V757" s="409"/>
      <c r="W757" s="410"/>
      <c r="X757" s="277"/>
      <c r="Y757" s="277"/>
      <c r="Z757" s="277"/>
    </row>
    <row r="758" ht="12.75" customHeight="1">
      <c r="A758" s="277"/>
      <c r="B758" s="278"/>
      <c r="C758" s="277"/>
      <c r="D758" s="278"/>
      <c r="E758" s="279"/>
      <c r="F758" s="406"/>
      <c r="G758" s="407"/>
      <c r="H758" s="407"/>
      <c r="I758" s="407"/>
      <c r="J758" s="407"/>
      <c r="K758" s="407"/>
      <c r="L758" s="407"/>
      <c r="M758" s="407"/>
      <c r="N758" s="407"/>
      <c r="O758" s="407"/>
      <c r="P758" s="407"/>
      <c r="Q758" s="407"/>
      <c r="R758" s="407"/>
      <c r="S758" s="408"/>
      <c r="T758" s="408"/>
      <c r="U758" s="408"/>
      <c r="V758" s="409"/>
      <c r="W758" s="410"/>
      <c r="X758" s="277"/>
      <c r="Y758" s="277"/>
      <c r="Z758" s="277"/>
    </row>
    <row r="759" ht="12.75" customHeight="1">
      <c r="A759" s="277"/>
      <c r="B759" s="278"/>
      <c r="C759" s="277"/>
      <c r="D759" s="278"/>
      <c r="E759" s="279"/>
      <c r="F759" s="406"/>
      <c r="G759" s="407"/>
      <c r="H759" s="407"/>
      <c r="I759" s="407"/>
      <c r="J759" s="407"/>
      <c r="K759" s="407"/>
      <c r="L759" s="407"/>
      <c r="M759" s="407"/>
      <c r="N759" s="407"/>
      <c r="O759" s="407"/>
      <c r="P759" s="407"/>
      <c r="Q759" s="407"/>
      <c r="R759" s="407"/>
      <c r="S759" s="408"/>
      <c r="T759" s="408"/>
      <c r="U759" s="408"/>
      <c r="V759" s="409"/>
      <c r="W759" s="410"/>
      <c r="X759" s="277"/>
      <c r="Y759" s="277"/>
      <c r="Z759" s="277"/>
    </row>
    <row r="760" ht="12.75" customHeight="1">
      <c r="A760" s="277"/>
      <c r="B760" s="278"/>
      <c r="C760" s="277"/>
      <c r="D760" s="278"/>
      <c r="E760" s="279"/>
      <c r="F760" s="406"/>
      <c r="G760" s="407"/>
      <c r="H760" s="407"/>
      <c r="I760" s="407"/>
      <c r="J760" s="407"/>
      <c r="K760" s="407"/>
      <c r="L760" s="407"/>
      <c r="M760" s="407"/>
      <c r="N760" s="407"/>
      <c r="O760" s="407"/>
      <c r="P760" s="407"/>
      <c r="Q760" s="407"/>
      <c r="R760" s="407"/>
      <c r="S760" s="408"/>
      <c r="T760" s="408"/>
      <c r="U760" s="408"/>
      <c r="V760" s="409"/>
      <c r="W760" s="410"/>
      <c r="X760" s="277"/>
      <c r="Y760" s="277"/>
      <c r="Z760" s="277"/>
    </row>
    <row r="761" ht="12.75" customHeight="1">
      <c r="A761" s="277"/>
      <c r="B761" s="278"/>
      <c r="C761" s="277"/>
      <c r="D761" s="278"/>
      <c r="E761" s="279"/>
      <c r="F761" s="406"/>
      <c r="G761" s="407"/>
      <c r="H761" s="407"/>
      <c r="I761" s="407"/>
      <c r="J761" s="407"/>
      <c r="K761" s="407"/>
      <c r="L761" s="407"/>
      <c r="M761" s="407"/>
      <c r="N761" s="407"/>
      <c r="O761" s="407"/>
      <c r="P761" s="407"/>
      <c r="Q761" s="407"/>
      <c r="R761" s="407"/>
      <c r="S761" s="408"/>
      <c r="T761" s="408"/>
      <c r="U761" s="408"/>
      <c r="V761" s="409"/>
      <c r="W761" s="410"/>
      <c r="X761" s="277"/>
      <c r="Y761" s="277"/>
      <c r="Z761" s="277"/>
    </row>
    <row r="762" ht="12.75" customHeight="1">
      <c r="A762" s="277"/>
      <c r="B762" s="278"/>
      <c r="C762" s="277"/>
      <c r="D762" s="278"/>
      <c r="E762" s="279"/>
      <c r="F762" s="406"/>
      <c r="G762" s="407"/>
      <c r="H762" s="407"/>
      <c r="I762" s="407"/>
      <c r="J762" s="407"/>
      <c r="K762" s="407"/>
      <c r="L762" s="407"/>
      <c r="M762" s="407"/>
      <c r="N762" s="407"/>
      <c r="O762" s="407"/>
      <c r="P762" s="407"/>
      <c r="Q762" s="407"/>
      <c r="R762" s="407"/>
      <c r="S762" s="408"/>
      <c r="T762" s="408"/>
      <c r="U762" s="408"/>
      <c r="V762" s="409"/>
      <c r="W762" s="410"/>
      <c r="X762" s="277"/>
      <c r="Y762" s="277"/>
      <c r="Z762" s="277"/>
    </row>
    <row r="763" ht="12.75" customHeight="1">
      <c r="A763" s="277"/>
      <c r="B763" s="278"/>
      <c r="C763" s="277"/>
      <c r="D763" s="278"/>
      <c r="E763" s="279"/>
      <c r="F763" s="406"/>
      <c r="G763" s="407"/>
      <c r="H763" s="407"/>
      <c r="I763" s="407"/>
      <c r="J763" s="407"/>
      <c r="K763" s="407"/>
      <c r="L763" s="407"/>
      <c r="M763" s="407"/>
      <c r="N763" s="407"/>
      <c r="O763" s="407"/>
      <c r="P763" s="407"/>
      <c r="Q763" s="407"/>
      <c r="R763" s="407"/>
      <c r="S763" s="408"/>
      <c r="T763" s="408"/>
      <c r="U763" s="408"/>
      <c r="V763" s="409"/>
      <c r="W763" s="410"/>
      <c r="X763" s="277"/>
      <c r="Y763" s="277"/>
      <c r="Z763" s="277"/>
    </row>
    <row r="764" ht="12.75" customHeight="1">
      <c r="A764" s="277"/>
      <c r="B764" s="278"/>
      <c r="C764" s="277"/>
      <c r="D764" s="278"/>
      <c r="E764" s="279"/>
      <c r="F764" s="406"/>
      <c r="G764" s="407"/>
      <c r="H764" s="407"/>
      <c r="I764" s="407"/>
      <c r="J764" s="407"/>
      <c r="K764" s="407"/>
      <c r="L764" s="407"/>
      <c r="M764" s="407"/>
      <c r="N764" s="407"/>
      <c r="O764" s="407"/>
      <c r="P764" s="407"/>
      <c r="Q764" s="407"/>
      <c r="R764" s="407"/>
      <c r="S764" s="408"/>
      <c r="T764" s="408"/>
      <c r="U764" s="408"/>
      <c r="V764" s="409"/>
      <c r="W764" s="410"/>
      <c r="X764" s="277"/>
      <c r="Y764" s="277"/>
      <c r="Z764" s="277"/>
    </row>
    <row r="765" ht="12.75" customHeight="1">
      <c r="A765" s="277"/>
      <c r="B765" s="278"/>
      <c r="C765" s="277"/>
      <c r="D765" s="278"/>
      <c r="E765" s="279"/>
      <c r="F765" s="406"/>
      <c r="G765" s="407"/>
      <c r="H765" s="407"/>
      <c r="I765" s="407"/>
      <c r="J765" s="407"/>
      <c r="K765" s="407"/>
      <c r="L765" s="407"/>
      <c r="M765" s="407"/>
      <c r="N765" s="407"/>
      <c r="O765" s="407"/>
      <c r="P765" s="407"/>
      <c r="Q765" s="407"/>
      <c r="R765" s="407"/>
      <c r="S765" s="408"/>
      <c r="T765" s="408"/>
      <c r="U765" s="408"/>
      <c r="V765" s="409"/>
      <c r="W765" s="410"/>
      <c r="X765" s="277"/>
      <c r="Y765" s="277"/>
      <c r="Z765" s="277"/>
    </row>
    <row r="766" ht="12.75" customHeight="1">
      <c r="A766" s="277"/>
      <c r="B766" s="278"/>
      <c r="C766" s="277"/>
      <c r="D766" s="278"/>
      <c r="E766" s="279"/>
      <c r="F766" s="406"/>
      <c r="G766" s="407"/>
      <c r="H766" s="407"/>
      <c r="I766" s="407"/>
      <c r="J766" s="407"/>
      <c r="K766" s="407"/>
      <c r="L766" s="407"/>
      <c r="M766" s="407"/>
      <c r="N766" s="407"/>
      <c r="O766" s="407"/>
      <c r="P766" s="407"/>
      <c r="Q766" s="407"/>
      <c r="R766" s="407"/>
      <c r="S766" s="408"/>
      <c r="T766" s="408"/>
      <c r="U766" s="408"/>
      <c r="V766" s="409"/>
      <c r="W766" s="410"/>
      <c r="X766" s="277"/>
      <c r="Y766" s="277"/>
      <c r="Z766" s="277"/>
    </row>
    <row r="767" ht="12.75" customHeight="1">
      <c r="A767" s="277"/>
      <c r="B767" s="278"/>
      <c r="C767" s="277"/>
      <c r="D767" s="278"/>
      <c r="E767" s="279"/>
      <c r="F767" s="406"/>
      <c r="G767" s="407"/>
      <c r="H767" s="407"/>
      <c r="I767" s="407"/>
      <c r="J767" s="407"/>
      <c r="K767" s="407"/>
      <c r="L767" s="407"/>
      <c r="M767" s="407"/>
      <c r="N767" s="407"/>
      <c r="O767" s="407"/>
      <c r="P767" s="407"/>
      <c r="Q767" s="407"/>
      <c r="R767" s="407"/>
      <c r="S767" s="408"/>
      <c r="T767" s="408"/>
      <c r="U767" s="408"/>
      <c r="V767" s="409"/>
      <c r="W767" s="410"/>
      <c r="X767" s="277"/>
      <c r="Y767" s="277"/>
      <c r="Z767" s="277"/>
    </row>
    <row r="768" ht="12.75" customHeight="1">
      <c r="A768" s="277"/>
      <c r="B768" s="278"/>
      <c r="C768" s="277"/>
      <c r="D768" s="278"/>
      <c r="E768" s="279"/>
      <c r="F768" s="406"/>
      <c r="G768" s="407"/>
      <c r="H768" s="407"/>
      <c r="I768" s="407"/>
      <c r="J768" s="407"/>
      <c r="K768" s="407"/>
      <c r="L768" s="407"/>
      <c r="M768" s="407"/>
      <c r="N768" s="407"/>
      <c r="O768" s="407"/>
      <c r="P768" s="407"/>
      <c r="Q768" s="407"/>
      <c r="R768" s="407"/>
      <c r="S768" s="408"/>
      <c r="T768" s="408"/>
      <c r="U768" s="408"/>
      <c r="V768" s="409"/>
      <c r="W768" s="410"/>
      <c r="X768" s="277"/>
      <c r="Y768" s="277"/>
      <c r="Z768" s="277"/>
    </row>
    <row r="769" ht="12.75" customHeight="1">
      <c r="A769" s="277"/>
      <c r="B769" s="278"/>
      <c r="C769" s="277"/>
      <c r="D769" s="278"/>
      <c r="E769" s="279"/>
      <c r="F769" s="406"/>
      <c r="G769" s="407"/>
      <c r="H769" s="407"/>
      <c r="I769" s="407"/>
      <c r="J769" s="407"/>
      <c r="K769" s="407"/>
      <c r="L769" s="407"/>
      <c r="M769" s="407"/>
      <c r="N769" s="407"/>
      <c r="O769" s="407"/>
      <c r="P769" s="407"/>
      <c r="Q769" s="407"/>
      <c r="R769" s="407"/>
      <c r="S769" s="408"/>
      <c r="T769" s="408"/>
      <c r="U769" s="408"/>
      <c r="V769" s="409"/>
      <c r="W769" s="410"/>
      <c r="X769" s="277"/>
      <c r="Y769" s="277"/>
      <c r="Z769" s="277"/>
    </row>
    <row r="770" ht="12.75" customHeight="1">
      <c r="A770" s="277"/>
      <c r="B770" s="278"/>
      <c r="C770" s="277"/>
      <c r="D770" s="278"/>
      <c r="E770" s="279"/>
      <c r="F770" s="406"/>
      <c r="G770" s="407"/>
      <c r="H770" s="407"/>
      <c r="I770" s="407"/>
      <c r="J770" s="407"/>
      <c r="K770" s="407"/>
      <c r="L770" s="407"/>
      <c r="M770" s="407"/>
      <c r="N770" s="407"/>
      <c r="O770" s="407"/>
      <c r="P770" s="407"/>
      <c r="Q770" s="407"/>
      <c r="R770" s="407"/>
      <c r="S770" s="408"/>
      <c r="T770" s="408"/>
      <c r="U770" s="408"/>
      <c r="V770" s="409"/>
      <c r="W770" s="410"/>
      <c r="X770" s="277"/>
      <c r="Y770" s="277"/>
      <c r="Z770" s="277"/>
    </row>
    <row r="771" ht="12.75" customHeight="1">
      <c r="A771" s="277"/>
      <c r="B771" s="278"/>
      <c r="C771" s="277"/>
      <c r="D771" s="278"/>
      <c r="E771" s="279"/>
      <c r="F771" s="406"/>
      <c r="G771" s="407"/>
      <c r="H771" s="407"/>
      <c r="I771" s="407"/>
      <c r="J771" s="407"/>
      <c r="K771" s="407"/>
      <c r="L771" s="407"/>
      <c r="M771" s="407"/>
      <c r="N771" s="407"/>
      <c r="O771" s="407"/>
      <c r="P771" s="407"/>
      <c r="Q771" s="407"/>
      <c r="R771" s="407"/>
      <c r="S771" s="408"/>
      <c r="T771" s="408"/>
      <c r="U771" s="408"/>
      <c r="V771" s="409"/>
      <c r="W771" s="410"/>
      <c r="X771" s="277"/>
      <c r="Y771" s="277"/>
      <c r="Z771" s="277"/>
    </row>
    <row r="772" ht="12.75" customHeight="1">
      <c r="A772" s="277"/>
      <c r="B772" s="278"/>
      <c r="C772" s="277"/>
      <c r="D772" s="278"/>
      <c r="E772" s="279"/>
      <c r="F772" s="406"/>
      <c r="G772" s="407"/>
      <c r="H772" s="407"/>
      <c r="I772" s="407"/>
      <c r="J772" s="407"/>
      <c r="K772" s="407"/>
      <c r="L772" s="407"/>
      <c r="M772" s="407"/>
      <c r="N772" s="407"/>
      <c r="O772" s="407"/>
      <c r="P772" s="407"/>
      <c r="Q772" s="407"/>
      <c r="R772" s="407"/>
      <c r="S772" s="408"/>
      <c r="T772" s="408"/>
      <c r="U772" s="408"/>
      <c r="V772" s="409"/>
      <c r="W772" s="410"/>
      <c r="X772" s="277"/>
      <c r="Y772" s="277"/>
      <c r="Z772" s="277"/>
    </row>
    <row r="773" ht="12.75" customHeight="1">
      <c r="A773" s="277"/>
      <c r="B773" s="278"/>
      <c r="C773" s="277"/>
      <c r="D773" s="278"/>
      <c r="E773" s="279"/>
      <c r="F773" s="406"/>
      <c r="G773" s="407"/>
      <c r="H773" s="407"/>
      <c r="I773" s="407"/>
      <c r="J773" s="407"/>
      <c r="K773" s="407"/>
      <c r="L773" s="407"/>
      <c r="M773" s="407"/>
      <c r="N773" s="407"/>
      <c r="O773" s="407"/>
      <c r="P773" s="407"/>
      <c r="Q773" s="407"/>
      <c r="R773" s="407"/>
      <c r="S773" s="408"/>
      <c r="T773" s="408"/>
      <c r="U773" s="408"/>
      <c r="V773" s="409"/>
      <c r="W773" s="410"/>
      <c r="X773" s="277"/>
      <c r="Y773" s="277"/>
      <c r="Z773" s="277"/>
    </row>
    <row r="774" ht="12.75" customHeight="1">
      <c r="A774" s="277"/>
      <c r="B774" s="278"/>
      <c r="C774" s="277"/>
      <c r="D774" s="278"/>
      <c r="E774" s="279"/>
      <c r="F774" s="406"/>
      <c r="G774" s="407"/>
      <c r="H774" s="407"/>
      <c r="I774" s="407"/>
      <c r="J774" s="407"/>
      <c r="K774" s="407"/>
      <c r="L774" s="407"/>
      <c r="M774" s="407"/>
      <c r="N774" s="407"/>
      <c r="O774" s="407"/>
      <c r="P774" s="407"/>
      <c r="Q774" s="407"/>
      <c r="R774" s="407"/>
      <c r="S774" s="408"/>
      <c r="T774" s="408"/>
      <c r="U774" s="408"/>
      <c r="V774" s="409"/>
      <c r="W774" s="410"/>
      <c r="X774" s="277"/>
      <c r="Y774" s="277"/>
      <c r="Z774" s="277"/>
    </row>
    <row r="775" ht="12.75" customHeight="1">
      <c r="A775" s="277"/>
      <c r="B775" s="278"/>
      <c r="C775" s="277"/>
      <c r="D775" s="278"/>
      <c r="E775" s="279"/>
      <c r="F775" s="406"/>
      <c r="G775" s="407"/>
      <c r="H775" s="407"/>
      <c r="I775" s="407"/>
      <c r="J775" s="407"/>
      <c r="K775" s="407"/>
      <c r="L775" s="407"/>
      <c r="M775" s="407"/>
      <c r="N775" s="407"/>
      <c r="O775" s="407"/>
      <c r="P775" s="407"/>
      <c r="Q775" s="407"/>
      <c r="R775" s="407"/>
      <c r="S775" s="408"/>
      <c r="T775" s="408"/>
      <c r="U775" s="408"/>
      <c r="V775" s="409"/>
      <c r="W775" s="410"/>
      <c r="X775" s="277"/>
      <c r="Y775" s="277"/>
      <c r="Z775" s="277"/>
    </row>
    <row r="776" ht="12.75" customHeight="1">
      <c r="A776" s="277"/>
      <c r="B776" s="278"/>
      <c r="C776" s="277"/>
      <c r="D776" s="278"/>
      <c r="E776" s="279"/>
      <c r="F776" s="406"/>
      <c r="G776" s="407"/>
      <c r="H776" s="407"/>
      <c r="I776" s="407"/>
      <c r="J776" s="407"/>
      <c r="K776" s="407"/>
      <c r="L776" s="407"/>
      <c r="M776" s="407"/>
      <c r="N776" s="407"/>
      <c r="O776" s="407"/>
      <c r="P776" s="407"/>
      <c r="Q776" s="407"/>
      <c r="R776" s="407"/>
      <c r="S776" s="408"/>
      <c r="T776" s="408"/>
      <c r="U776" s="408"/>
      <c r="V776" s="409"/>
      <c r="W776" s="410"/>
      <c r="X776" s="277"/>
      <c r="Y776" s="277"/>
      <c r="Z776" s="277"/>
    </row>
    <row r="777" ht="12.75" customHeight="1">
      <c r="A777" s="277"/>
      <c r="B777" s="278"/>
      <c r="C777" s="277"/>
      <c r="D777" s="278"/>
      <c r="E777" s="279"/>
      <c r="F777" s="406"/>
      <c r="G777" s="407"/>
      <c r="H777" s="407"/>
      <c r="I777" s="407"/>
      <c r="J777" s="407"/>
      <c r="K777" s="407"/>
      <c r="L777" s="407"/>
      <c r="M777" s="407"/>
      <c r="N777" s="407"/>
      <c r="O777" s="407"/>
      <c r="P777" s="407"/>
      <c r="Q777" s="407"/>
      <c r="R777" s="407"/>
      <c r="S777" s="408"/>
      <c r="T777" s="408"/>
      <c r="U777" s="408"/>
      <c r="V777" s="409"/>
      <c r="W777" s="410"/>
      <c r="X777" s="277"/>
      <c r="Y777" s="277"/>
      <c r="Z777" s="277"/>
    </row>
    <row r="778" ht="12.75" customHeight="1">
      <c r="A778" s="277"/>
      <c r="B778" s="278"/>
      <c r="C778" s="277"/>
      <c r="D778" s="278"/>
      <c r="E778" s="279"/>
      <c r="F778" s="406"/>
      <c r="G778" s="407"/>
      <c r="H778" s="407"/>
      <c r="I778" s="407"/>
      <c r="J778" s="407"/>
      <c r="K778" s="407"/>
      <c r="L778" s="407"/>
      <c r="M778" s="407"/>
      <c r="N778" s="407"/>
      <c r="O778" s="407"/>
      <c r="P778" s="407"/>
      <c r="Q778" s="407"/>
      <c r="R778" s="407"/>
      <c r="S778" s="408"/>
      <c r="T778" s="408"/>
      <c r="U778" s="408"/>
      <c r="V778" s="409"/>
      <c r="W778" s="410"/>
      <c r="X778" s="277"/>
      <c r="Y778" s="277"/>
      <c r="Z778" s="277"/>
    </row>
    <row r="779" ht="12.75" customHeight="1">
      <c r="A779" s="277"/>
      <c r="B779" s="278"/>
      <c r="C779" s="277"/>
      <c r="D779" s="278"/>
      <c r="E779" s="279"/>
      <c r="F779" s="406"/>
      <c r="G779" s="407"/>
      <c r="H779" s="407"/>
      <c r="I779" s="407"/>
      <c r="J779" s="407"/>
      <c r="K779" s="407"/>
      <c r="L779" s="407"/>
      <c r="M779" s="407"/>
      <c r="N779" s="407"/>
      <c r="O779" s="407"/>
      <c r="P779" s="407"/>
      <c r="Q779" s="407"/>
      <c r="R779" s="407"/>
      <c r="S779" s="408"/>
      <c r="T779" s="408"/>
      <c r="U779" s="408"/>
      <c r="V779" s="409"/>
      <c r="W779" s="410"/>
      <c r="X779" s="277"/>
      <c r="Y779" s="277"/>
      <c r="Z779" s="277"/>
    </row>
    <row r="780" ht="12.75" customHeight="1">
      <c r="A780" s="277"/>
      <c r="B780" s="278"/>
      <c r="C780" s="277"/>
      <c r="D780" s="278"/>
      <c r="E780" s="279"/>
      <c r="F780" s="406"/>
      <c r="G780" s="407"/>
      <c r="H780" s="407"/>
      <c r="I780" s="407"/>
      <c r="J780" s="407"/>
      <c r="K780" s="407"/>
      <c r="L780" s="407"/>
      <c r="M780" s="407"/>
      <c r="N780" s="407"/>
      <c r="O780" s="407"/>
      <c r="P780" s="407"/>
      <c r="Q780" s="407"/>
      <c r="R780" s="407"/>
      <c r="S780" s="408"/>
      <c r="T780" s="408"/>
      <c r="U780" s="408"/>
      <c r="V780" s="409"/>
      <c r="W780" s="410"/>
      <c r="X780" s="277"/>
      <c r="Y780" s="277"/>
      <c r="Z780" s="277"/>
    </row>
    <row r="781" ht="12.75" customHeight="1">
      <c r="A781" s="277"/>
      <c r="B781" s="278"/>
      <c r="C781" s="277"/>
      <c r="D781" s="278"/>
      <c r="E781" s="279"/>
      <c r="F781" s="406"/>
      <c r="G781" s="407"/>
      <c r="H781" s="407"/>
      <c r="I781" s="407"/>
      <c r="J781" s="407"/>
      <c r="K781" s="407"/>
      <c r="L781" s="407"/>
      <c r="M781" s="407"/>
      <c r="N781" s="407"/>
      <c r="O781" s="407"/>
      <c r="P781" s="407"/>
      <c r="Q781" s="407"/>
      <c r="R781" s="407"/>
      <c r="S781" s="408"/>
      <c r="T781" s="408"/>
      <c r="U781" s="408"/>
      <c r="V781" s="409"/>
      <c r="W781" s="410"/>
      <c r="X781" s="277"/>
      <c r="Y781" s="277"/>
      <c r="Z781" s="277"/>
    </row>
    <row r="782" ht="12.75" customHeight="1">
      <c r="A782" s="277"/>
      <c r="B782" s="278"/>
      <c r="C782" s="277"/>
      <c r="D782" s="278"/>
      <c r="E782" s="279"/>
      <c r="F782" s="406"/>
      <c r="G782" s="407"/>
      <c r="H782" s="407"/>
      <c r="I782" s="407"/>
      <c r="J782" s="407"/>
      <c r="K782" s="407"/>
      <c r="L782" s="407"/>
      <c r="M782" s="407"/>
      <c r="N782" s="407"/>
      <c r="O782" s="407"/>
      <c r="P782" s="407"/>
      <c r="Q782" s="407"/>
      <c r="R782" s="407"/>
      <c r="S782" s="408"/>
      <c r="T782" s="408"/>
      <c r="U782" s="408"/>
      <c r="V782" s="409"/>
      <c r="W782" s="410"/>
      <c r="X782" s="277"/>
      <c r="Y782" s="277"/>
      <c r="Z782" s="277"/>
    </row>
    <row r="783" ht="12.75" customHeight="1">
      <c r="A783" s="277"/>
      <c r="B783" s="278"/>
      <c r="C783" s="277"/>
      <c r="D783" s="278"/>
      <c r="E783" s="279"/>
      <c r="F783" s="406"/>
      <c r="G783" s="407"/>
      <c r="H783" s="407"/>
      <c r="I783" s="407"/>
      <c r="J783" s="407"/>
      <c r="K783" s="407"/>
      <c r="L783" s="407"/>
      <c r="M783" s="407"/>
      <c r="N783" s="407"/>
      <c r="O783" s="407"/>
      <c r="P783" s="407"/>
      <c r="Q783" s="407"/>
      <c r="R783" s="407"/>
      <c r="S783" s="408"/>
      <c r="T783" s="408"/>
      <c r="U783" s="408"/>
      <c r="V783" s="409"/>
      <c r="W783" s="410"/>
      <c r="X783" s="277"/>
      <c r="Y783" s="277"/>
      <c r="Z783" s="277"/>
    </row>
    <row r="784" ht="12.75" customHeight="1">
      <c r="A784" s="277"/>
      <c r="B784" s="278"/>
      <c r="C784" s="277"/>
      <c r="D784" s="278"/>
      <c r="E784" s="279"/>
      <c r="F784" s="406"/>
      <c r="G784" s="407"/>
      <c r="H784" s="407"/>
      <c r="I784" s="407"/>
      <c r="J784" s="407"/>
      <c r="K784" s="407"/>
      <c r="L784" s="407"/>
      <c r="M784" s="407"/>
      <c r="N784" s="407"/>
      <c r="O784" s="407"/>
      <c r="P784" s="407"/>
      <c r="Q784" s="407"/>
      <c r="R784" s="407"/>
      <c r="S784" s="408"/>
      <c r="T784" s="408"/>
      <c r="U784" s="408"/>
      <c r="V784" s="409"/>
      <c r="W784" s="410"/>
      <c r="X784" s="277"/>
      <c r="Y784" s="277"/>
      <c r="Z784" s="277"/>
    </row>
    <row r="785" ht="12.75" customHeight="1">
      <c r="A785" s="277"/>
      <c r="B785" s="278"/>
      <c r="C785" s="277"/>
      <c r="D785" s="278"/>
      <c r="E785" s="279"/>
      <c r="F785" s="406"/>
      <c r="G785" s="407"/>
      <c r="H785" s="407"/>
      <c r="I785" s="407"/>
      <c r="J785" s="407"/>
      <c r="K785" s="407"/>
      <c r="L785" s="407"/>
      <c r="M785" s="407"/>
      <c r="N785" s="407"/>
      <c r="O785" s="407"/>
      <c r="P785" s="407"/>
      <c r="Q785" s="407"/>
      <c r="R785" s="407"/>
      <c r="S785" s="408"/>
      <c r="T785" s="408"/>
      <c r="U785" s="408"/>
      <c r="V785" s="409"/>
      <c r="W785" s="410"/>
      <c r="X785" s="277"/>
      <c r="Y785" s="277"/>
      <c r="Z785" s="277"/>
    </row>
    <row r="786" ht="12.75" customHeight="1">
      <c r="A786" s="277"/>
      <c r="B786" s="278"/>
      <c r="C786" s="277"/>
      <c r="D786" s="278"/>
      <c r="E786" s="279"/>
      <c r="F786" s="406"/>
      <c r="G786" s="407"/>
      <c r="H786" s="407"/>
      <c r="I786" s="407"/>
      <c r="J786" s="407"/>
      <c r="K786" s="407"/>
      <c r="L786" s="407"/>
      <c r="M786" s="407"/>
      <c r="N786" s="407"/>
      <c r="O786" s="407"/>
      <c r="P786" s="407"/>
      <c r="Q786" s="407"/>
      <c r="R786" s="407"/>
      <c r="S786" s="408"/>
      <c r="T786" s="408"/>
      <c r="U786" s="408"/>
      <c r="V786" s="409"/>
      <c r="W786" s="410"/>
      <c r="X786" s="277"/>
      <c r="Y786" s="277"/>
      <c r="Z786" s="277"/>
    </row>
    <row r="787" ht="12.75" customHeight="1">
      <c r="A787" s="277"/>
      <c r="B787" s="278"/>
      <c r="C787" s="277"/>
      <c r="D787" s="278"/>
      <c r="E787" s="279"/>
      <c r="F787" s="406"/>
      <c r="G787" s="407"/>
      <c r="H787" s="407"/>
      <c r="I787" s="407"/>
      <c r="J787" s="407"/>
      <c r="K787" s="407"/>
      <c r="L787" s="407"/>
      <c r="M787" s="407"/>
      <c r="N787" s="407"/>
      <c r="O787" s="407"/>
      <c r="P787" s="407"/>
      <c r="Q787" s="407"/>
      <c r="R787" s="407"/>
      <c r="S787" s="408"/>
      <c r="T787" s="408"/>
      <c r="U787" s="408"/>
      <c r="V787" s="409"/>
      <c r="W787" s="410"/>
      <c r="X787" s="277"/>
      <c r="Y787" s="277"/>
      <c r="Z787" s="277"/>
    </row>
    <row r="788" ht="12.75" customHeight="1">
      <c r="A788" s="277"/>
      <c r="B788" s="278"/>
      <c r="C788" s="277"/>
      <c r="D788" s="278"/>
      <c r="E788" s="279"/>
      <c r="F788" s="406"/>
      <c r="G788" s="407"/>
      <c r="H788" s="407"/>
      <c r="I788" s="407"/>
      <c r="J788" s="407"/>
      <c r="K788" s="407"/>
      <c r="L788" s="407"/>
      <c r="M788" s="407"/>
      <c r="N788" s="407"/>
      <c r="O788" s="407"/>
      <c r="P788" s="407"/>
      <c r="Q788" s="407"/>
      <c r="R788" s="407"/>
      <c r="S788" s="408"/>
      <c r="T788" s="408"/>
      <c r="U788" s="408"/>
      <c r="V788" s="409"/>
      <c r="W788" s="410"/>
      <c r="X788" s="277"/>
      <c r="Y788" s="277"/>
      <c r="Z788" s="277"/>
    </row>
    <row r="789" ht="12.75" customHeight="1">
      <c r="A789" s="277"/>
      <c r="B789" s="278"/>
      <c r="C789" s="277"/>
      <c r="D789" s="278"/>
      <c r="E789" s="279"/>
      <c r="F789" s="406"/>
      <c r="G789" s="407"/>
      <c r="H789" s="407"/>
      <c r="I789" s="407"/>
      <c r="J789" s="407"/>
      <c r="K789" s="407"/>
      <c r="L789" s="407"/>
      <c r="M789" s="407"/>
      <c r="N789" s="407"/>
      <c r="O789" s="407"/>
      <c r="P789" s="407"/>
      <c r="Q789" s="407"/>
      <c r="R789" s="407"/>
      <c r="S789" s="408"/>
      <c r="T789" s="408"/>
      <c r="U789" s="408"/>
      <c r="V789" s="409"/>
      <c r="W789" s="410"/>
      <c r="X789" s="277"/>
      <c r="Y789" s="277"/>
      <c r="Z789" s="277"/>
    </row>
    <row r="790" ht="12.75" customHeight="1">
      <c r="A790" s="277"/>
      <c r="B790" s="278"/>
      <c r="C790" s="277"/>
      <c r="D790" s="278"/>
      <c r="E790" s="279"/>
      <c r="F790" s="406"/>
      <c r="G790" s="407"/>
      <c r="H790" s="407"/>
      <c r="I790" s="407"/>
      <c r="J790" s="407"/>
      <c r="K790" s="407"/>
      <c r="L790" s="407"/>
      <c r="M790" s="407"/>
      <c r="N790" s="407"/>
      <c r="O790" s="407"/>
      <c r="P790" s="407"/>
      <c r="Q790" s="407"/>
      <c r="R790" s="407"/>
      <c r="S790" s="408"/>
      <c r="T790" s="408"/>
      <c r="U790" s="408"/>
      <c r="V790" s="409"/>
      <c r="W790" s="410"/>
      <c r="X790" s="277"/>
      <c r="Y790" s="277"/>
      <c r="Z790" s="277"/>
    </row>
    <row r="791" ht="12.75" customHeight="1">
      <c r="A791" s="277"/>
      <c r="B791" s="278"/>
      <c r="C791" s="277"/>
      <c r="D791" s="278"/>
      <c r="E791" s="279"/>
      <c r="F791" s="406"/>
      <c r="G791" s="407"/>
      <c r="H791" s="407"/>
      <c r="I791" s="407"/>
      <c r="J791" s="407"/>
      <c r="K791" s="407"/>
      <c r="L791" s="407"/>
      <c r="M791" s="407"/>
      <c r="N791" s="407"/>
      <c r="O791" s="407"/>
      <c r="P791" s="407"/>
      <c r="Q791" s="407"/>
      <c r="R791" s="407"/>
      <c r="S791" s="408"/>
      <c r="T791" s="408"/>
      <c r="U791" s="408"/>
      <c r="V791" s="409"/>
      <c r="W791" s="410"/>
      <c r="X791" s="277"/>
      <c r="Y791" s="277"/>
      <c r="Z791" s="277"/>
    </row>
    <row r="792" ht="12.75" customHeight="1">
      <c r="A792" s="277"/>
      <c r="B792" s="278"/>
      <c r="C792" s="277"/>
      <c r="D792" s="278"/>
      <c r="E792" s="279"/>
      <c r="F792" s="406"/>
      <c r="G792" s="407"/>
      <c r="H792" s="407"/>
      <c r="I792" s="407"/>
      <c r="J792" s="407"/>
      <c r="K792" s="407"/>
      <c r="L792" s="407"/>
      <c r="M792" s="407"/>
      <c r="N792" s="407"/>
      <c r="O792" s="407"/>
      <c r="P792" s="407"/>
      <c r="Q792" s="407"/>
      <c r="R792" s="407"/>
      <c r="S792" s="408"/>
      <c r="T792" s="408"/>
      <c r="U792" s="408"/>
      <c r="V792" s="409"/>
      <c r="W792" s="410"/>
      <c r="X792" s="277"/>
      <c r="Y792" s="277"/>
      <c r="Z792" s="277"/>
    </row>
    <row r="793" ht="12.75" customHeight="1">
      <c r="A793" s="277"/>
      <c r="B793" s="278"/>
      <c r="C793" s="277"/>
      <c r="D793" s="278"/>
      <c r="E793" s="279"/>
      <c r="F793" s="406"/>
      <c r="G793" s="407"/>
      <c r="H793" s="407"/>
      <c r="I793" s="407"/>
      <c r="J793" s="407"/>
      <c r="K793" s="407"/>
      <c r="L793" s="407"/>
      <c r="M793" s="407"/>
      <c r="N793" s="407"/>
      <c r="O793" s="407"/>
      <c r="P793" s="407"/>
      <c r="Q793" s="407"/>
      <c r="R793" s="407"/>
      <c r="S793" s="408"/>
      <c r="T793" s="408"/>
      <c r="U793" s="408"/>
      <c r="V793" s="409"/>
      <c r="W793" s="410"/>
      <c r="X793" s="277"/>
      <c r="Y793" s="277"/>
      <c r="Z793" s="277"/>
    </row>
    <row r="794" ht="12.75" customHeight="1">
      <c r="A794" s="277"/>
      <c r="B794" s="278"/>
      <c r="C794" s="277"/>
      <c r="D794" s="278"/>
      <c r="E794" s="279"/>
      <c r="F794" s="406"/>
      <c r="G794" s="407"/>
      <c r="H794" s="407"/>
      <c r="I794" s="407"/>
      <c r="J794" s="407"/>
      <c r="K794" s="407"/>
      <c r="L794" s="407"/>
      <c r="M794" s="407"/>
      <c r="N794" s="407"/>
      <c r="O794" s="407"/>
      <c r="P794" s="407"/>
      <c r="Q794" s="407"/>
      <c r="R794" s="407"/>
      <c r="S794" s="408"/>
      <c r="T794" s="408"/>
      <c r="U794" s="408"/>
      <c r="V794" s="409"/>
      <c r="W794" s="410"/>
      <c r="X794" s="277"/>
      <c r="Y794" s="277"/>
      <c r="Z794" s="277"/>
    </row>
    <row r="795" ht="12.75" customHeight="1">
      <c r="A795" s="277"/>
      <c r="B795" s="278"/>
      <c r="C795" s="277"/>
      <c r="D795" s="278"/>
      <c r="E795" s="279"/>
      <c r="F795" s="406"/>
      <c r="G795" s="407"/>
      <c r="H795" s="407"/>
      <c r="I795" s="407"/>
      <c r="J795" s="407"/>
      <c r="K795" s="407"/>
      <c r="L795" s="407"/>
      <c r="M795" s="407"/>
      <c r="N795" s="407"/>
      <c r="O795" s="407"/>
      <c r="P795" s="407"/>
      <c r="Q795" s="407"/>
      <c r="R795" s="407"/>
      <c r="S795" s="408"/>
      <c r="T795" s="408"/>
      <c r="U795" s="408"/>
      <c r="V795" s="409"/>
      <c r="W795" s="410"/>
      <c r="X795" s="277"/>
      <c r="Y795" s="277"/>
      <c r="Z795" s="277"/>
    </row>
    <row r="796" ht="12.75" customHeight="1">
      <c r="A796" s="277"/>
      <c r="B796" s="278"/>
      <c r="C796" s="277"/>
      <c r="D796" s="278"/>
      <c r="E796" s="279"/>
      <c r="F796" s="406"/>
      <c r="G796" s="407"/>
      <c r="H796" s="407"/>
      <c r="I796" s="407"/>
      <c r="J796" s="407"/>
      <c r="K796" s="407"/>
      <c r="L796" s="407"/>
      <c r="M796" s="407"/>
      <c r="N796" s="407"/>
      <c r="O796" s="407"/>
      <c r="P796" s="407"/>
      <c r="Q796" s="407"/>
      <c r="R796" s="407"/>
      <c r="S796" s="408"/>
      <c r="T796" s="408"/>
      <c r="U796" s="408"/>
      <c r="V796" s="409"/>
      <c r="W796" s="410"/>
      <c r="X796" s="277"/>
      <c r="Y796" s="277"/>
      <c r="Z796" s="277"/>
    </row>
    <row r="797" ht="12.75" customHeight="1">
      <c r="A797" s="277"/>
      <c r="B797" s="278"/>
      <c r="C797" s="277"/>
      <c r="D797" s="278"/>
      <c r="E797" s="279"/>
      <c r="F797" s="406"/>
      <c r="G797" s="407"/>
      <c r="H797" s="407"/>
      <c r="I797" s="407"/>
      <c r="J797" s="407"/>
      <c r="K797" s="407"/>
      <c r="L797" s="407"/>
      <c r="M797" s="407"/>
      <c r="N797" s="407"/>
      <c r="O797" s="407"/>
      <c r="P797" s="407"/>
      <c r="Q797" s="407"/>
      <c r="R797" s="407"/>
      <c r="S797" s="408"/>
      <c r="T797" s="408"/>
      <c r="U797" s="408"/>
      <c r="V797" s="409"/>
      <c r="W797" s="410"/>
      <c r="X797" s="277"/>
      <c r="Y797" s="277"/>
      <c r="Z797" s="277"/>
    </row>
    <row r="798" ht="12.75" customHeight="1">
      <c r="A798" s="277"/>
      <c r="B798" s="278"/>
      <c r="C798" s="277"/>
      <c r="D798" s="278"/>
      <c r="E798" s="279"/>
      <c r="F798" s="406"/>
      <c r="G798" s="407"/>
      <c r="H798" s="407"/>
      <c r="I798" s="407"/>
      <c r="J798" s="407"/>
      <c r="K798" s="407"/>
      <c r="L798" s="407"/>
      <c r="M798" s="407"/>
      <c r="N798" s="407"/>
      <c r="O798" s="407"/>
      <c r="P798" s="407"/>
      <c r="Q798" s="407"/>
      <c r="R798" s="407"/>
      <c r="S798" s="408"/>
      <c r="T798" s="408"/>
      <c r="U798" s="408"/>
      <c r="V798" s="409"/>
      <c r="W798" s="410"/>
      <c r="X798" s="277"/>
      <c r="Y798" s="277"/>
      <c r="Z798" s="277"/>
    </row>
    <row r="799" ht="12.75" customHeight="1">
      <c r="A799" s="277"/>
      <c r="B799" s="278"/>
      <c r="C799" s="277"/>
      <c r="D799" s="278"/>
      <c r="E799" s="279"/>
      <c r="F799" s="406"/>
      <c r="G799" s="407"/>
      <c r="H799" s="407"/>
      <c r="I799" s="407"/>
      <c r="J799" s="407"/>
      <c r="K799" s="407"/>
      <c r="L799" s="407"/>
      <c r="M799" s="407"/>
      <c r="N799" s="407"/>
      <c r="O799" s="407"/>
      <c r="P799" s="407"/>
      <c r="Q799" s="407"/>
      <c r="R799" s="407"/>
      <c r="S799" s="408"/>
      <c r="T799" s="408"/>
      <c r="U799" s="408"/>
      <c r="V799" s="409"/>
      <c r="W799" s="410"/>
      <c r="X799" s="277"/>
      <c r="Y799" s="277"/>
      <c r="Z799" s="277"/>
    </row>
    <row r="800" ht="12.75" customHeight="1">
      <c r="A800" s="277"/>
      <c r="B800" s="278"/>
      <c r="C800" s="277"/>
      <c r="D800" s="278"/>
      <c r="E800" s="279"/>
      <c r="F800" s="406"/>
      <c r="G800" s="407"/>
      <c r="H800" s="407"/>
      <c r="I800" s="407"/>
      <c r="J800" s="407"/>
      <c r="K800" s="407"/>
      <c r="L800" s="407"/>
      <c r="M800" s="407"/>
      <c r="N800" s="407"/>
      <c r="O800" s="407"/>
      <c r="P800" s="407"/>
      <c r="Q800" s="407"/>
      <c r="R800" s="407"/>
      <c r="S800" s="408"/>
      <c r="T800" s="408"/>
      <c r="U800" s="408"/>
      <c r="V800" s="409"/>
      <c r="W800" s="410"/>
      <c r="X800" s="277"/>
      <c r="Y800" s="277"/>
      <c r="Z800" s="277"/>
    </row>
    <row r="801" ht="12.75" customHeight="1">
      <c r="A801" s="277"/>
      <c r="B801" s="278"/>
      <c r="C801" s="277"/>
      <c r="D801" s="278"/>
      <c r="E801" s="279"/>
      <c r="F801" s="406"/>
      <c r="G801" s="407"/>
      <c r="H801" s="407"/>
      <c r="I801" s="407"/>
      <c r="J801" s="407"/>
      <c r="K801" s="407"/>
      <c r="L801" s="407"/>
      <c r="M801" s="407"/>
      <c r="N801" s="407"/>
      <c r="O801" s="407"/>
      <c r="P801" s="407"/>
      <c r="Q801" s="407"/>
      <c r="R801" s="407"/>
      <c r="S801" s="408"/>
      <c r="T801" s="408"/>
      <c r="U801" s="408"/>
      <c r="V801" s="409"/>
      <c r="W801" s="410"/>
      <c r="X801" s="277"/>
      <c r="Y801" s="277"/>
      <c r="Z801" s="277"/>
    </row>
    <row r="802" ht="12.75" customHeight="1">
      <c r="A802" s="277"/>
      <c r="B802" s="278"/>
      <c r="C802" s="277"/>
      <c r="D802" s="278"/>
      <c r="E802" s="279"/>
      <c r="F802" s="406"/>
      <c r="G802" s="407"/>
      <c r="H802" s="407"/>
      <c r="I802" s="407"/>
      <c r="J802" s="407"/>
      <c r="K802" s="407"/>
      <c r="L802" s="407"/>
      <c r="M802" s="407"/>
      <c r="N802" s="407"/>
      <c r="O802" s="407"/>
      <c r="P802" s="407"/>
      <c r="Q802" s="407"/>
      <c r="R802" s="407"/>
      <c r="S802" s="408"/>
      <c r="T802" s="408"/>
      <c r="U802" s="408"/>
      <c r="V802" s="409"/>
      <c r="W802" s="410"/>
      <c r="X802" s="277"/>
      <c r="Y802" s="277"/>
      <c r="Z802" s="277"/>
    </row>
    <row r="803" ht="12.75" customHeight="1">
      <c r="A803" s="277"/>
      <c r="B803" s="278"/>
      <c r="C803" s="277"/>
      <c r="D803" s="278"/>
      <c r="E803" s="279"/>
      <c r="F803" s="406"/>
      <c r="G803" s="407"/>
      <c r="H803" s="407"/>
      <c r="I803" s="407"/>
      <c r="J803" s="407"/>
      <c r="K803" s="407"/>
      <c r="L803" s="407"/>
      <c r="M803" s="407"/>
      <c r="N803" s="407"/>
      <c r="O803" s="407"/>
      <c r="P803" s="407"/>
      <c r="Q803" s="407"/>
      <c r="R803" s="407"/>
      <c r="S803" s="408"/>
      <c r="T803" s="408"/>
      <c r="U803" s="408"/>
      <c r="V803" s="409"/>
      <c r="W803" s="410"/>
      <c r="X803" s="277"/>
      <c r="Y803" s="277"/>
      <c r="Z803" s="277"/>
    </row>
    <row r="804" ht="12.75" customHeight="1">
      <c r="A804" s="277"/>
      <c r="B804" s="278"/>
      <c r="C804" s="277"/>
      <c r="D804" s="278"/>
      <c r="E804" s="279"/>
      <c r="F804" s="406"/>
      <c r="G804" s="407"/>
      <c r="H804" s="407"/>
      <c r="I804" s="407"/>
      <c r="J804" s="407"/>
      <c r="K804" s="407"/>
      <c r="L804" s="407"/>
      <c r="M804" s="407"/>
      <c r="N804" s="407"/>
      <c r="O804" s="407"/>
      <c r="P804" s="407"/>
      <c r="Q804" s="407"/>
      <c r="R804" s="407"/>
      <c r="S804" s="408"/>
      <c r="T804" s="408"/>
      <c r="U804" s="408"/>
      <c r="V804" s="409"/>
      <c r="W804" s="410"/>
      <c r="X804" s="277"/>
      <c r="Y804" s="277"/>
      <c r="Z804" s="277"/>
    </row>
    <row r="805" ht="12.75" customHeight="1">
      <c r="A805" s="277"/>
      <c r="B805" s="278"/>
      <c r="C805" s="277"/>
      <c r="D805" s="278"/>
      <c r="E805" s="279"/>
      <c r="F805" s="406"/>
      <c r="G805" s="407"/>
      <c r="H805" s="407"/>
      <c r="I805" s="407"/>
      <c r="J805" s="407"/>
      <c r="K805" s="407"/>
      <c r="L805" s="407"/>
      <c r="M805" s="407"/>
      <c r="N805" s="407"/>
      <c r="O805" s="407"/>
      <c r="P805" s="407"/>
      <c r="Q805" s="407"/>
      <c r="R805" s="407"/>
      <c r="S805" s="408"/>
      <c r="T805" s="408"/>
      <c r="U805" s="408"/>
      <c r="V805" s="409"/>
      <c r="W805" s="410"/>
      <c r="X805" s="277"/>
      <c r="Y805" s="277"/>
      <c r="Z805" s="277"/>
    </row>
    <row r="806" ht="12.75" customHeight="1">
      <c r="A806" s="277"/>
      <c r="B806" s="278"/>
      <c r="C806" s="277"/>
      <c r="D806" s="278"/>
      <c r="E806" s="279"/>
      <c r="F806" s="406"/>
      <c r="G806" s="407"/>
      <c r="H806" s="407"/>
      <c r="I806" s="407"/>
      <c r="J806" s="407"/>
      <c r="K806" s="407"/>
      <c r="L806" s="407"/>
      <c r="M806" s="407"/>
      <c r="N806" s="407"/>
      <c r="O806" s="407"/>
      <c r="P806" s="407"/>
      <c r="Q806" s="407"/>
      <c r="R806" s="407"/>
      <c r="S806" s="408"/>
      <c r="T806" s="408"/>
      <c r="U806" s="408"/>
      <c r="V806" s="409"/>
      <c r="W806" s="410"/>
      <c r="X806" s="277"/>
      <c r="Y806" s="277"/>
      <c r="Z806" s="277"/>
    </row>
    <row r="807" ht="12.75" customHeight="1">
      <c r="A807" s="277"/>
      <c r="B807" s="278"/>
      <c r="C807" s="277"/>
      <c r="D807" s="278"/>
      <c r="E807" s="279"/>
      <c r="F807" s="406"/>
      <c r="G807" s="407"/>
      <c r="H807" s="407"/>
      <c r="I807" s="407"/>
      <c r="J807" s="407"/>
      <c r="K807" s="407"/>
      <c r="L807" s="407"/>
      <c r="M807" s="407"/>
      <c r="N807" s="407"/>
      <c r="O807" s="407"/>
      <c r="P807" s="407"/>
      <c r="Q807" s="407"/>
      <c r="R807" s="407"/>
      <c r="S807" s="408"/>
      <c r="T807" s="408"/>
      <c r="U807" s="408"/>
      <c r="V807" s="409"/>
      <c r="W807" s="410"/>
      <c r="X807" s="277"/>
      <c r="Y807" s="277"/>
      <c r="Z807" s="277"/>
    </row>
    <row r="808" ht="12.75" customHeight="1">
      <c r="A808" s="277"/>
      <c r="B808" s="278"/>
      <c r="C808" s="277"/>
      <c r="D808" s="278"/>
      <c r="E808" s="279"/>
      <c r="F808" s="406"/>
      <c r="G808" s="407"/>
      <c r="H808" s="407"/>
      <c r="I808" s="407"/>
      <c r="J808" s="407"/>
      <c r="K808" s="407"/>
      <c r="L808" s="407"/>
      <c r="M808" s="407"/>
      <c r="N808" s="407"/>
      <c r="O808" s="407"/>
      <c r="P808" s="407"/>
      <c r="Q808" s="407"/>
      <c r="R808" s="407"/>
      <c r="S808" s="408"/>
      <c r="T808" s="408"/>
      <c r="U808" s="408"/>
      <c r="V808" s="409"/>
      <c r="W808" s="410"/>
      <c r="X808" s="277"/>
      <c r="Y808" s="277"/>
      <c r="Z808" s="277"/>
    </row>
    <row r="809" ht="12.75" customHeight="1">
      <c r="A809" s="277"/>
      <c r="B809" s="278"/>
      <c r="C809" s="277"/>
      <c r="D809" s="278"/>
      <c r="E809" s="279"/>
      <c r="F809" s="406"/>
      <c r="G809" s="407"/>
      <c r="H809" s="407"/>
      <c r="I809" s="407"/>
      <c r="J809" s="407"/>
      <c r="K809" s="407"/>
      <c r="L809" s="407"/>
      <c r="M809" s="407"/>
      <c r="N809" s="407"/>
      <c r="O809" s="407"/>
      <c r="P809" s="407"/>
      <c r="Q809" s="407"/>
      <c r="R809" s="407"/>
      <c r="S809" s="408"/>
      <c r="T809" s="408"/>
      <c r="U809" s="408"/>
      <c r="V809" s="409"/>
      <c r="W809" s="410"/>
      <c r="X809" s="277"/>
      <c r="Y809" s="277"/>
      <c r="Z809" s="277"/>
    </row>
    <row r="810" ht="12.75" customHeight="1">
      <c r="A810" s="277"/>
      <c r="B810" s="278"/>
      <c r="C810" s="277"/>
      <c r="D810" s="278"/>
      <c r="E810" s="279"/>
      <c r="F810" s="406"/>
      <c r="G810" s="407"/>
      <c r="H810" s="407"/>
      <c r="I810" s="407"/>
      <c r="J810" s="407"/>
      <c r="K810" s="407"/>
      <c r="L810" s="407"/>
      <c r="M810" s="407"/>
      <c r="N810" s="407"/>
      <c r="O810" s="407"/>
      <c r="P810" s="407"/>
      <c r="Q810" s="407"/>
      <c r="R810" s="407"/>
      <c r="S810" s="408"/>
      <c r="T810" s="408"/>
      <c r="U810" s="408"/>
      <c r="V810" s="409"/>
      <c r="W810" s="410"/>
      <c r="X810" s="277"/>
      <c r="Y810" s="277"/>
      <c r="Z810" s="277"/>
    </row>
    <row r="811" ht="12.75" customHeight="1">
      <c r="A811" s="277"/>
      <c r="B811" s="278"/>
      <c r="C811" s="277"/>
      <c r="D811" s="278"/>
      <c r="E811" s="279"/>
      <c r="F811" s="406"/>
      <c r="G811" s="407"/>
      <c r="H811" s="407"/>
      <c r="I811" s="407"/>
      <c r="J811" s="407"/>
      <c r="K811" s="407"/>
      <c r="L811" s="407"/>
      <c r="M811" s="407"/>
      <c r="N811" s="407"/>
      <c r="O811" s="407"/>
      <c r="P811" s="407"/>
      <c r="Q811" s="407"/>
      <c r="R811" s="407"/>
      <c r="S811" s="408"/>
      <c r="T811" s="408"/>
      <c r="U811" s="408"/>
      <c r="V811" s="409"/>
      <c r="W811" s="410"/>
      <c r="X811" s="277"/>
      <c r="Y811" s="277"/>
      <c r="Z811" s="277"/>
    </row>
    <row r="812" ht="12.75" customHeight="1">
      <c r="A812" s="277"/>
      <c r="B812" s="278"/>
      <c r="C812" s="277"/>
      <c r="D812" s="278"/>
      <c r="E812" s="279"/>
      <c r="F812" s="406"/>
      <c r="G812" s="407"/>
      <c r="H812" s="407"/>
      <c r="I812" s="407"/>
      <c r="J812" s="407"/>
      <c r="K812" s="407"/>
      <c r="L812" s="407"/>
      <c r="M812" s="407"/>
      <c r="N812" s="407"/>
      <c r="O812" s="407"/>
      <c r="P812" s="407"/>
      <c r="Q812" s="407"/>
      <c r="R812" s="407"/>
      <c r="S812" s="408"/>
      <c r="T812" s="408"/>
      <c r="U812" s="408"/>
      <c r="V812" s="409"/>
      <c r="W812" s="410"/>
      <c r="X812" s="277"/>
      <c r="Y812" s="277"/>
      <c r="Z812" s="277"/>
    </row>
    <row r="813" ht="12.75" customHeight="1">
      <c r="A813" s="277"/>
      <c r="B813" s="278"/>
      <c r="C813" s="277"/>
      <c r="D813" s="278"/>
      <c r="E813" s="279"/>
      <c r="F813" s="406"/>
      <c r="G813" s="407"/>
      <c r="H813" s="407"/>
      <c r="I813" s="407"/>
      <c r="J813" s="407"/>
      <c r="K813" s="407"/>
      <c r="L813" s="407"/>
      <c r="M813" s="407"/>
      <c r="N813" s="407"/>
      <c r="O813" s="407"/>
      <c r="P813" s="407"/>
      <c r="Q813" s="407"/>
      <c r="R813" s="407"/>
      <c r="S813" s="408"/>
      <c r="T813" s="408"/>
      <c r="U813" s="408"/>
      <c r="V813" s="409"/>
      <c r="W813" s="410"/>
      <c r="X813" s="277"/>
      <c r="Y813" s="277"/>
      <c r="Z813" s="277"/>
    </row>
    <row r="814" ht="12.75" customHeight="1">
      <c r="A814" s="277"/>
      <c r="B814" s="278"/>
      <c r="C814" s="277"/>
      <c r="D814" s="278"/>
      <c r="E814" s="279"/>
      <c r="F814" s="406"/>
      <c r="G814" s="407"/>
      <c r="H814" s="407"/>
      <c r="I814" s="407"/>
      <c r="J814" s="407"/>
      <c r="K814" s="407"/>
      <c r="L814" s="407"/>
      <c r="M814" s="407"/>
      <c r="N814" s="407"/>
      <c r="O814" s="407"/>
      <c r="P814" s="407"/>
      <c r="Q814" s="407"/>
      <c r="R814" s="407"/>
      <c r="S814" s="408"/>
      <c r="T814" s="408"/>
      <c r="U814" s="408"/>
      <c r="V814" s="409"/>
      <c r="W814" s="410"/>
      <c r="X814" s="277"/>
      <c r="Y814" s="277"/>
      <c r="Z814" s="277"/>
    </row>
    <row r="815" ht="12.75" customHeight="1">
      <c r="A815" s="277"/>
      <c r="B815" s="278"/>
      <c r="C815" s="277"/>
      <c r="D815" s="278"/>
      <c r="E815" s="279"/>
      <c r="F815" s="406"/>
      <c r="G815" s="407"/>
      <c r="H815" s="407"/>
      <c r="I815" s="407"/>
      <c r="J815" s="407"/>
      <c r="K815" s="407"/>
      <c r="L815" s="407"/>
      <c r="M815" s="407"/>
      <c r="N815" s="407"/>
      <c r="O815" s="407"/>
      <c r="P815" s="407"/>
      <c r="Q815" s="407"/>
      <c r="R815" s="407"/>
      <c r="S815" s="408"/>
      <c r="T815" s="408"/>
      <c r="U815" s="408"/>
      <c r="V815" s="409"/>
      <c r="W815" s="410"/>
      <c r="X815" s="277"/>
      <c r="Y815" s="277"/>
      <c r="Z815" s="277"/>
    </row>
    <row r="816" ht="12.75" customHeight="1">
      <c r="A816" s="277"/>
      <c r="B816" s="278"/>
      <c r="C816" s="277"/>
      <c r="D816" s="278"/>
      <c r="E816" s="279"/>
      <c r="F816" s="406"/>
      <c r="G816" s="407"/>
      <c r="H816" s="407"/>
      <c r="I816" s="407"/>
      <c r="J816" s="407"/>
      <c r="K816" s="407"/>
      <c r="L816" s="407"/>
      <c r="M816" s="407"/>
      <c r="N816" s="407"/>
      <c r="O816" s="407"/>
      <c r="P816" s="407"/>
      <c r="Q816" s="407"/>
      <c r="R816" s="407"/>
      <c r="S816" s="408"/>
      <c r="T816" s="408"/>
      <c r="U816" s="408"/>
      <c r="V816" s="409"/>
      <c r="W816" s="410"/>
      <c r="X816" s="277"/>
      <c r="Y816" s="277"/>
      <c r="Z816" s="277"/>
    </row>
    <row r="817" ht="12.75" customHeight="1">
      <c r="A817" s="277"/>
      <c r="B817" s="278"/>
      <c r="C817" s="277"/>
      <c r="D817" s="278"/>
      <c r="E817" s="279"/>
      <c r="F817" s="406"/>
      <c r="G817" s="407"/>
      <c r="H817" s="407"/>
      <c r="I817" s="407"/>
      <c r="J817" s="407"/>
      <c r="K817" s="407"/>
      <c r="L817" s="407"/>
      <c r="M817" s="407"/>
      <c r="N817" s="407"/>
      <c r="O817" s="407"/>
      <c r="P817" s="407"/>
      <c r="Q817" s="407"/>
      <c r="R817" s="407"/>
      <c r="S817" s="408"/>
      <c r="T817" s="408"/>
      <c r="U817" s="408"/>
      <c r="V817" s="409"/>
      <c r="W817" s="410"/>
      <c r="X817" s="277"/>
      <c r="Y817" s="277"/>
      <c r="Z817" s="277"/>
    </row>
    <row r="818" ht="12.75" customHeight="1">
      <c r="A818" s="277"/>
      <c r="B818" s="278"/>
      <c r="C818" s="277"/>
      <c r="D818" s="278"/>
      <c r="E818" s="279"/>
      <c r="F818" s="406"/>
      <c r="G818" s="407"/>
      <c r="H818" s="407"/>
      <c r="I818" s="407"/>
      <c r="J818" s="407"/>
      <c r="K818" s="407"/>
      <c r="L818" s="407"/>
      <c r="M818" s="407"/>
      <c r="N818" s="407"/>
      <c r="O818" s="407"/>
      <c r="P818" s="407"/>
      <c r="Q818" s="407"/>
      <c r="R818" s="407"/>
      <c r="S818" s="408"/>
      <c r="T818" s="408"/>
      <c r="U818" s="408"/>
      <c r="V818" s="409"/>
      <c r="W818" s="410"/>
      <c r="X818" s="277"/>
      <c r="Y818" s="277"/>
      <c r="Z818" s="277"/>
    </row>
    <row r="819" ht="12.75" customHeight="1">
      <c r="A819" s="277"/>
      <c r="B819" s="278"/>
      <c r="C819" s="277"/>
      <c r="D819" s="278"/>
      <c r="E819" s="279"/>
      <c r="F819" s="406"/>
      <c r="G819" s="407"/>
      <c r="H819" s="407"/>
      <c r="I819" s="407"/>
      <c r="J819" s="407"/>
      <c r="K819" s="407"/>
      <c r="L819" s="407"/>
      <c r="M819" s="407"/>
      <c r="N819" s="407"/>
      <c r="O819" s="407"/>
      <c r="P819" s="407"/>
      <c r="Q819" s="407"/>
      <c r="R819" s="407"/>
      <c r="S819" s="408"/>
      <c r="T819" s="408"/>
      <c r="U819" s="408"/>
      <c r="V819" s="409"/>
      <c r="W819" s="410"/>
      <c r="X819" s="277"/>
      <c r="Y819" s="277"/>
      <c r="Z819" s="277"/>
    </row>
    <row r="820" ht="12.75" customHeight="1">
      <c r="A820" s="277"/>
      <c r="B820" s="278"/>
      <c r="C820" s="277"/>
      <c r="D820" s="278"/>
      <c r="E820" s="279"/>
      <c r="F820" s="406"/>
      <c r="G820" s="407"/>
      <c r="H820" s="407"/>
      <c r="I820" s="407"/>
      <c r="J820" s="407"/>
      <c r="K820" s="407"/>
      <c r="L820" s="407"/>
      <c r="M820" s="407"/>
      <c r="N820" s="407"/>
      <c r="O820" s="407"/>
      <c r="P820" s="407"/>
      <c r="Q820" s="407"/>
      <c r="R820" s="407"/>
      <c r="S820" s="408"/>
      <c r="T820" s="408"/>
      <c r="U820" s="408"/>
      <c r="V820" s="409"/>
      <c r="W820" s="410"/>
      <c r="X820" s="277"/>
      <c r="Y820" s="277"/>
      <c r="Z820" s="277"/>
    </row>
    <row r="821" ht="12.75" customHeight="1">
      <c r="A821" s="277"/>
      <c r="B821" s="278"/>
      <c r="C821" s="277"/>
      <c r="D821" s="278"/>
      <c r="E821" s="279"/>
      <c r="F821" s="406"/>
      <c r="G821" s="407"/>
      <c r="H821" s="407"/>
      <c r="I821" s="407"/>
      <c r="J821" s="407"/>
      <c r="K821" s="407"/>
      <c r="L821" s="407"/>
      <c r="M821" s="407"/>
      <c r="N821" s="407"/>
      <c r="O821" s="407"/>
      <c r="P821" s="407"/>
      <c r="Q821" s="407"/>
      <c r="R821" s="407"/>
      <c r="S821" s="408"/>
      <c r="T821" s="408"/>
      <c r="U821" s="408"/>
      <c r="V821" s="409"/>
      <c r="W821" s="410"/>
      <c r="X821" s="277"/>
      <c r="Y821" s="277"/>
      <c r="Z821" s="277"/>
    </row>
    <row r="822" ht="12.75" customHeight="1">
      <c r="A822" s="277"/>
      <c r="B822" s="278"/>
      <c r="C822" s="277"/>
      <c r="D822" s="278"/>
      <c r="E822" s="279"/>
      <c r="F822" s="406"/>
      <c r="G822" s="407"/>
      <c r="H822" s="407"/>
      <c r="I822" s="407"/>
      <c r="J822" s="407"/>
      <c r="K822" s="407"/>
      <c r="L822" s="407"/>
      <c r="M822" s="407"/>
      <c r="N822" s="407"/>
      <c r="O822" s="407"/>
      <c r="P822" s="407"/>
      <c r="Q822" s="407"/>
      <c r="R822" s="407"/>
      <c r="S822" s="408"/>
      <c r="T822" s="408"/>
      <c r="U822" s="408"/>
      <c r="V822" s="409"/>
      <c r="W822" s="410"/>
      <c r="X822" s="277"/>
      <c r="Y822" s="277"/>
      <c r="Z822" s="277"/>
    </row>
    <row r="823" ht="12.75" customHeight="1">
      <c r="A823" s="277"/>
      <c r="B823" s="278"/>
      <c r="C823" s="277"/>
      <c r="D823" s="278"/>
      <c r="E823" s="279"/>
      <c r="F823" s="406"/>
      <c r="G823" s="407"/>
      <c r="H823" s="407"/>
      <c r="I823" s="407"/>
      <c r="J823" s="407"/>
      <c r="K823" s="407"/>
      <c r="L823" s="407"/>
      <c r="M823" s="407"/>
      <c r="N823" s="407"/>
      <c r="O823" s="407"/>
      <c r="P823" s="407"/>
      <c r="Q823" s="407"/>
      <c r="R823" s="407"/>
      <c r="S823" s="408"/>
      <c r="T823" s="408"/>
      <c r="U823" s="408"/>
      <c r="V823" s="409"/>
      <c r="W823" s="410"/>
      <c r="X823" s="277"/>
      <c r="Y823" s="277"/>
      <c r="Z823" s="277"/>
    </row>
    <row r="824" ht="12.75" customHeight="1">
      <c r="A824" s="277"/>
      <c r="B824" s="278"/>
      <c r="C824" s="277"/>
      <c r="D824" s="278"/>
      <c r="E824" s="279"/>
      <c r="F824" s="406"/>
      <c r="G824" s="407"/>
      <c r="H824" s="407"/>
      <c r="I824" s="407"/>
      <c r="J824" s="407"/>
      <c r="K824" s="407"/>
      <c r="L824" s="407"/>
      <c r="M824" s="407"/>
      <c r="N824" s="407"/>
      <c r="O824" s="407"/>
      <c r="P824" s="407"/>
      <c r="Q824" s="407"/>
      <c r="R824" s="407"/>
      <c r="S824" s="408"/>
      <c r="T824" s="408"/>
      <c r="U824" s="408"/>
      <c r="V824" s="409"/>
      <c r="W824" s="410"/>
      <c r="X824" s="277"/>
      <c r="Y824" s="277"/>
      <c r="Z824" s="277"/>
    </row>
    <row r="825" ht="12.75" customHeight="1">
      <c r="A825" s="277"/>
      <c r="B825" s="278"/>
      <c r="C825" s="277"/>
      <c r="D825" s="278"/>
      <c r="E825" s="279"/>
      <c r="F825" s="406"/>
      <c r="G825" s="407"/>
      <c r="H825" s="407"/>
      <c r="I825" s="407"/>
      <c r="J825" s="407"/>
      <c r="K825" s="407"/>
      <c r="L825" s="407"/>
      <c r="M825" s="407"/>
      <c r="N825" s="407"/>
      <c r="O825" s="407"/>
      <c r="P825" s="407"/>
      <c r="Q825" s="407"/>
      <c r="R825" s="407"/>
      <c r="S825" s="408"/>
      <c r="T825" s="408"/>
      <c r="U825" s="408"/>
      <c r="V825" s="409"/>
      <c r="W825" s="410"/>
      <c r="X825" s="277"/>
      <c r="Y825" s="277"/>
      <c r="Z825" s="277"/>
    </row>
    <row r="826" ht="12.75" customHeight="1">
      <c r="A826" s="277"/>
      <c r="B826" s="278"/>
      <c r="C826" s="277"/>
      <c r="D826" s="278"/>
      <c r="E826" s="279"/>
      <c r="F826" s="406"/>
      <c r="G826" s="407"/>
      <c r="H826" s="407"/>
      <c r="I826" s="407"/>
      <c r="J826" s="407"/>
      <c r="K826" s="407"/>
      <c r="L826" s="407"/>
      <c r="M826" s="407"/>
      <c r="N826" s="407"/>
      <c r="O826" s="407"/>
      <c r="P826" s="407"/>
      <c r="Q826" s="407"/>
      <c r="R826" s="407"/>
      <c r="S826" s="408"/>
      <c r="T826" s="408"/>
      <c r="U826" s="408"/>
      <c r="V826" s="409"/>
      <c r="W826" s="410"/>
      <c r="X826" s="277"/>
      <c r="Y826" s="277"/>
      <c r="Z826" s="277"/>
    </row>
    <row r="827" ht="12.75" customHeight="1">
      <c r="A827" s="277"/>
      <c r="B827" s="278"/>
      <c r="C827" s="277"/>
      <c r="D827" s="278"/>
      <c r="E827" s="279"/>
      <c r="F827" s="406"/>
      <c r="G827" s="407"/>
      <c r="H827" s="407"/>
      <c r="I827" s="407"/>
      <c r="J827" s="407"/>
      <c r="K827" s="407"/>
      <c r="L827" s="407"/>
      <c r="M827" s="407"/>
      <c r="N827" s="407"/>
      <c r="O827" s="407"/>
      <c r="P827" s="407"/>
      <c r="Q827" s="407"/>
      <c r="R827" s="407"/>
      <c r="S827" s="408"/>
      <c r="T827" s="408"/>
      <c r="U827" s="408"/>
      <c r="V827" s="409"/>
      <c r="W827" s="410"/>
      <c r="X827" s="277"/>
      <c r="Y827" s="277"/>
      <c r="Z827" s="277"/>
    </row>
    <row r="828" ht="12.75" customHeight="1">
      <c r="A828" s="277"/>
      <c r="B828" s="278"/>
      <c r="C828" s="277"/>
      <c r="D828" s="278"/>
      <c r="E828" s="279"/>
      <c r="F828" s="406"/>
      <c r="G828" s="407"/>
      <c r="H828" s="407"/>
      <c r="I828" s="407"/>
      <c r="J828" s="407"/>
      <c r="K828" s="407"/>
      <c r="L828" s="407"/>
      <c r="M828" s="407"/>
      <c r="N828" s="407"/>
      <c r="O828" s="407"/>
      <c r="P828" s="407"/>
      <c r="Q828" s="407"/>
      <c r="R828" s="407"/>
      <c r="S828" s="408"/>
      <c r="T828" s="408"/>
      <c r="U828" s="408"/>
      <c r="V828" s="409"/>
      <c r="W828" s="410"/>
      <c r="X828" s="277"/>
      <c r="Y828" s="277"/>
      <c r="Z828" s="277"/>
    </row>
    <row r="829" ht="12.75" customHeight="1">
      <c r="A829" s="277"/>
      <c r="B829" s="278"/>
      <c r="C829" s="277"/>
      <c r="D829" s="278"/>
      <c r="E829" s="279"/>
      <c r="F829" s="406"/>
      <c r="G829" s="407"/>
      <c r="H829" s="407"/>
      <c r="I829" s="407"/>
      <c r="J829" s="407"/>
      <c r="K829" s="407"/>
      <c r="L829" s="407"/>
      <c r="M829" s="407"/>
      <c r="N829" s="407"/>
      <c r="O829" s="407"/>
      <c r="P829" s="407"/>
      <c r="Q829" s="407"/>
      <c r="R829" s="407"/>
      <c r="S829" s="408"/>
      <c r="T829" s="408"/>
      <c r="U829" s="408"/>
      <c r="V829" s="409"/>
      <c r="W829" s="410"/>
      <c r="X829" s="277"/>
      <c r="Y829" s="277"/>
      <c r="Z829" s="277"/>
    </row>
    <row r="830" ht="12.75" customHeight="1">
      <c r="A830" s="277"/>
      <c r="B830" s="278"/>
      <c r="C830" s="277"/>
      <c r="D830" s="278"/>
      <c r="E830" s="279"/>
      <c r="F830" s="406"/>
      <c r="G830" s="407"/>
      <c r="H830" s="407"/>
      <c r="I830" s="407"/>
      <c r="J830" s="407"/>
      <c r="K830" s="407"/>
      <c r="L830" s="407"/>
      <c r="M830" s="407"/>
      <c r="N830" s="407"/>
      <c r="O830" s="407"/>
      <c r="P830" s="407"/>
      <c r="Q830" s="407"/>
      <c r="R830" s="407"/>
      <c r="S830" s="408"/>
      <c r="T830" s="408"/>
      <c r="U830" s="408"/>
      <c r="V830" s="409"/>
      <c r="W830" s="410"/>
      <c r="X830" s="277"/>
      <c r="Y830" s="277"/>
      <c r="Z830" s="277"/>
    </row>
    <row r="831" ht="12.75" customHeight="1">
      <c r="A831" s="277"/>
      <c r="B831" s="278"/>
      <c r="C831" s="277"/>
      <c r="D831" s="278"/>
      <c r="E831" s="279"/>
      <c r="F831" s="406"/>
      <c r="G831" s="407"/>
      <c r="H831" s="407"/>
      <c r="I831" s="407"/>
      <c r="J831" s="407"/>
      <c r="K831" s="407"/>
      <c r="L831" s="407"/>
      <c r="M831" s="407"/>
      <c r="N831" s="407"/>
      <c r="O831" s="407"/>
      <c r="P831" s="407"/>
      <c r="Q831" s="407"/>
      <c r="R831" s="407"/>
      <c r="S831" s="408"/>
      <c r="T831" s="408"/>
      <c r="U831" s="408"/>
      <c r="V831" s="409"/>
      <c r="W831" s="410"/>
      <c r="X831" s="277"/>
      <c r="Y831" s="277"/>
      <c r="Z831" s="277"/>
    </row>
    <row r="832" ht="12.75" customHeight="1">
      <c r="A832" s="277"/>
      <c r="B832" s="278"/>
      <c r="C832" s="277"/>
      <c r="D832" s="278"/>
      <c r="E832" s="279"/>
      <c r="F832" s="406"/>
      <c r="G832" s="407"/>
      <c r="H832" s="407"/>
      <c r="I832" s="407"/>
      <c r="J832" s="407"/>
      <c r="K832" s="407"/>
      <c r="L832" s="407"/>
      <c r="M832" s="407"/>
      <c r="N832" s="407"/>
      <c r="O832" s="407"/>
      <c r="P832" s="407"/>
      <c r="Q832" s="407"/>
      <c r="R832" s="407"/>
      <c r="S832" s="408"/>
      <c r="T832" s="408"/>
      <c r="U832" s="408"/>
      <c r="V832" s="409"/>
      <c r="W832" s="410"/>
      <c r="X832" s="277"/>
      <c r="Y832" s="277"/>
      <c r="Z832" s="277"/>
    </row>
    <row r="833" ht="12.75" customHeight="1">
      <c r="A833" s="277"/>
      <c r="B833" s="278"/>
      <c r="C833" s="277"/>
      <c r="D833" s="278"/>
      <c r="E833" s="279"/>
      <c r="F833" s="406"/>
      <c r="G833" s="407"/>
      <c r="H833" s="407"/>
      <c r="I833" s="407"/>
      <c r="J833" s="407"/>
      <c r="K833" s="407"/>
      <c r="L833" s="407"/>
      <c r="M833" s="407"/>
      <c r="N833" s="407"/>
      <c r="O833" s="407"/>
      <c r="P833" s="407"/>
      <c r="Q833" s="407"/>
      <c r="R833" s="407"/>
      <c r="S833" s="408"/>
      <c r="T833" s="408"/>
      <c r="U833" s="408"/>
      <c r="V833" s="409"/>
      <c r="W833" s="410"/>
      <c r="X833" s="277"/>
      <c r="Y833" s="277"/>
      <c r="Z833" s="277"/>
    </row>
    <row r="834" ht="12.75" customHeight="1">
      <c r="A834" s="277"/>
      <c r="B834" s="278"/>
      <c r="C834" s="277"/>
      <c r="D834" s="278"/>
      <c r="E834" s="279"/>
      <c r="F834" s="406"/>
      <c r="G834" s="407"/>
      <c r="H834" s="407"/>
      <c r="I834" s="407"/>
      <c r="J834" s="407"/>
      <c r="K834" s="407"/>
      <c r="L834" s="407"/>
      <c r="M834" s="407"/>
      <c r="N834" s="407"/>
      <c r="O834" s="407"/>
      <c r="P834" s="407"/>
      <c r="Q834" s="407"/>
      <c r="R834" s="407"/>
      <c r="S834" s="408"/>
      <c r="T834" s="408"/>
      <c r="U834" s="408"/>
      <c r="V834" s="409"/>
      <c r="W834" s="410"/>
      <c r="X834" s="277"/>
      <c r="Y834" s="277"/>
      <c r="Z834" s="277"/>
    </row>
    <row r="835" ht="12.75" customHeight="1">
      <c r="A835" s="277"/>
      <c r="B835" s="278"/>
      <c r="C835" s="277"/>
      <c r="D835" s="278"/>
      <c r="E835" s="279"/>
      <c r="F835" s="406"/>
      <c r="G835" s="407"/>
      <c r="H835" s="407"/>
      <c r="I835" s="407"/>
      <c r="J835" s="407"/>
      <c r="K835" s="407"/>
      <c r="L835" s="407"/>
      <c r="M835" s="407"/>
      <c r="N835" s="407"/>
      <c r="O835" s="407"/>
      <c r="P835" s="407"/>
      <c r="Q835" s="407"/>
      <c r="R835" s="407"/>
      <c r="S835" s="408"/>
      <c r="T835" s="408"/>
      <c r="U835" s="408"/>
      <c r="V835" s="409"/>
      <c r="W835" s="410"/>
      <c r="X835" s="277"/>
      <c r="Y835" s="277"/>
      <c r="Z835" s="277"/>
    </row>
    <row r="836" ht="12.75" customHeight="1">
      <c r="A836" s="277"/>
      <c r="B836" s="278"/>
      <c r="C836" s="277"/>
      <c r="D836" s="278"/>
      <c r="E836" s="279"/>
      <c r="F836" s="406"/>
      <c r="G836" s="407"/>
      <c r="H836" s="407"/>
      <c r="I836" s="407"/>
      <c r="J836" s="407"/>
      <c r="K836" s="407"/>
      <c r="L836" s="407"/>
      <c r="M836" s="407"/>
      <c r="N836" s="407"/>
      <c r="O836" s="407"/>
      <c r="P836" s="407"/>
      <c r="Q836" s="407"/>
      <c r="R836" s="407"/>
      <c r="S836" s="408"/>
      <c r="T836" s="408"/>
      <c r="U836" s="408"/>
      <c r="V836" s="409"/>
      <c r="W836" s="410"/>
      <c r="X836" s="277"/>
      <c r="Y836" s="277"/>
      <c r="Z836" s="277"/>
    </row>
    <row r="837" ht="12.75" customHeight="1">
      <c r="A837" s="277"/>
      <c r="B837" s="278"/>
      <c r="C837" s="277"/>
      <c r="D837" s="278"/>
      <c r="E837" s="279"/>
      <c r="F837" s="406"/>
      <c r="G837" s="407"/>
      <c r="H837" s="407"/>
      <c r="I837" s="407"/>
      <c r="J837" s="407"/>
      <c r="K837" s="407"/>
      <c r="L837" s="407"/>
      <c r="M837" s="407"/>
      <c r="N837" s="407"/>
      <c r="O837" s="407"/>
      <c r="P837" s="407"/>
      <c r="Q837" s="407"/>
      <c r="R837" s="407"/>
      <c r="S837" s="408"/>
      <c r="T837" s="408"/>
      <c r="U837" s="408"/>
      <c r="V837" s="409"/>
      <c r="W837" s="410"/>
      <c r="X837" s="277"/>
      <c r="Y837" s="277"/>
      <c r="Z837" s="277"/>
    </row>
    <row r="838" ht="12.75" customHeight="1">
      <c r="A838" s="277"/>
      <c r="B838" s="278"/>
      <c r="C838" s="277"/>
      <c r="D838" s="278"/>
      <c r="E838" s="279"/>
      <c r="F838" s="406"/>
      <c r="G838" s="407"/>
      <c r="H838" s="407"/>
      <c r="I838" s="407"/>
      <c r="J838" s="407"/>
      <c r="K838" s="407"/>
      <c r="L838" s="407"/>
      <c r="M838" s="407"/>
      <c r="N838" s="407"/>
      <c r="O838" s="407"/>
      <c r="P838" s="407"/>
      <c r="Q838" s="407"/>
      <c r="R838" s="407"/>
      <c r="S838" s="408"/>
      <c r="T838" s="408"/>
      <c r="U838" s="408"/>
      <c r="V838" s="409"/>
      <c r="W838" s="410"/>
      <c r="X838" s="277"/>
      <c r="Y838" s="277"/>
      <c r="Z838" s="277"/>
    </row>
    <row r="839" ht="12.75" customHeight="1">
      <c r="A839" s="277"/>
      <c r="B839" s="278"/>
      <c r="C839" s="277"/>
      <c r="D839" s="278"/>
      <c r="E839" s="279"/>
      <c r="F839" s="406"/>
      <c r="G839" s="407"/>
      <c r="H839" s="407"/>
      <c r="I839" s="407"/>
      <c r="J839" s="407"/>
      <c r="K839" s="407"/>
      <c r="L839" s="407"/>
      <c r="M839" s="407"/>
      <c r="N839" s="407"/>
      <c r="O839" s="407"/>
      <c r="P839" s="407"/>
      <c r="Q839" s="407"/>
      <c r="R839" s="407"/>
      <c r="S839" s="408"/>
      <c r="T839" s="408"/>
      <c r="U839" s="408"/>
      <c r="V839" s="409"/>
      <c r="W839" s="410"/>
      <c r="X839" s="277"/>
      <c r="Y839" s="277"/>
      <c r="Z839" s="277"/>
    </row>
    <row r="840" ht="12.75" customHeight="1">
      <c r="A840" s="277"/>
      <c r="B840" s="278"/>
      <c r="C840" s="277"/>
      <c r="D840" s="278"/>
      <c r="E840" s="279"/>
      <c r="F840" s="406"/>
      <c r="G840" s="407"/>
      <c r="H840" s="407"/>
      <c r="I840" s="407"/>
      <c r="J840" s="407"/>
      <c r="K840" s="407"/>
      <c r="L840" s="407"/>
      <c r="M840" s="407"/>
      <c r="N840" s="407"/>
      <c r="O840" s="407"/>
      <c r="P840" s="407"/>
      <c r="Q840" s="407"/>
      <c r="R840" s="407"/>
      <c r="S840" s="408"/>
      <c r="T840" s="408"/>
      <c r="U840" s="408"/>
      <c r="V840" s="409"/>
      <c r="W840" s="410"/>
      <c r="X840" s="277"/>
      <c r="Y840" s="277"/>
      <c r="Z840" s="277"/>
    </row>
    <row r="841" ht="12.75" customHeight="1">
      <c r="A841" s="277"/>
      <c r="B841" s="278"/>
      <c r="C841" s="277"/>
      <c r="D841" s="278"/>
      <c r="E841" s="279"/>
      <c r="F841" s="406"/>
      <c r="G841" s="407"/>
      <c r="H841" s="407"/>
      <c r="I841" s="407"/>
      <c r="J841" s="407"/>
      <c r="K841" s="407"/>
      <c r="L841" s="407"/>
      <c r="M841" s="407"/>
      <c r="N841" s="407"/>
      <c r="O841" s="407"/>
      <c r="P841" s="407"/>
      <c r="Q841" s="407"/>
      <c r="R841" s="407"/>
      <c r="S841" s="408"/>
      <c r="T841" s="408"/>
      <c r="U841" s="408"/>
      <c r="V841" s="409"/>
      <c r="W841" s="410"/>
      <c r="X841" s="277"/>
      <c r="Y841" s="277"/>
      <c r="Z841" s="277"/>
    </row>
    <row r="842" ht="12.75" customHeight="1">
      <c r="A842" s="277"/>
      <c r="B842" s="278"/>
      <c r="C842" s="277"/>
      <c r="D842" s="278"/>
      <c r="E842" s="279"/>
      <c r="F842" s="406"/>
      <c r="G842" s="407"/>
      <c r="H842" s="407"/>
      <c r="I842" s="407"/>
      <c r="J842" s="407"/>
      <c r="K842" s="407"/>
      <c r="L842" s="407"/>
      <c r="M842" s="407"/>
      <c r="N842" s="407"/>
      <c r="O842" s="407"/>
      <c r="P842" s="407"/>
      <c r="Q842" s="407"/>
      <c r="R842" s="407"/>
      <c r="S842" s="408"/>
      <c r="T842" s="408"/>
      <c r="U842" s="408"/>
      <c r="V842" s="409"/>
      <c r="W842" s="410"/>
      <c r="X842" s="277"/>
      <c r="Y842" s="277"/>
      <c r="Z842" s="277"/>
    </row>
    <row r="843" ht="12.75" customHeight="1">
      <c r="A843" s="277"/>
      <c r="B843" s="278"/>
      <c r="C843" s="277"/>
      <c r="D843" s="278"/>
      <c r="E843" s="279"/>
      <c r="F843" s="406"/>
      <c r="G843" s="407"/>
      <c r="H843" s="407"/>
      <c r="I843" s="407"/>
      <c r="J843" s="407"/>
      <c r="K843" s="407"/>
      <c r="L843" s="407"/>
      <c r="M843" s="407"/>
      <c r="N843" s="407"/>
      <c r="O843" s="407"/>
      <c r="P843" s="407"/>
      <c r="Q843" s="407"/>
      <c r="R843" s="407"/>
      <c r="S843" s="408"/>
      <c r="T843" s="408"/>
      <c r="U843" s="408"/>
      <c r="V843" s="409"/>
      <c r="W843" s="410"/>
      <c r="X843" s="277"/>
      <c r="Y843" s="277"/>
      <c r="Z843" s="277"/>
    </row>
    <row r="844" ht="12.75" customHeight="1">
      <c r="A844" s="277"/>
      <c r="B844" s="278"/>
      <c r="C844" s="277"/>
      <c r="D844" s="278"/>
      <c r="E844" s="279"/>
      <c r="F844" s="406"/>
      <c r="G844" s="407"/>
      <c r="H844" s="407"/>
      <c r="I844" s="407"/>
      <c r="J844" s="407"/>
      <c r="K844" s="407"/>
      <c r="L844" s="407"/>
      <c r="M844" s="407"/>
      <c r="N844" s="407"/>
      <c r="O844" s="407"/>
      <c r="P844" s="407"/>
      <c r="Q844" s="407"/>
      <c r="R844" s="407"/>
      <c r="S844" s="408"/>
      <c r="T844" s="408"/>
      <c r="U844" s="408"/>
      <c r="V844" s="409"/>
      <c r="W844" s="410"/>
      <c r="X844" s="277"/>
      <c r="Y844" s="277"/>
      <c r="Z844" s="277"/>
    </row>
    <row r="845" ht="12.75" customHeight="1">
      <c r="A845" s="277"/>
      <c r="B845" s="278"/>
      <c r="C845" s="277"/>
      <c r="D845" s="278"/>
      <c r="E845" s="279"/>
      <c r="F845" s="406"/>
      <c r="G845" s="407"/>
      <c r="H845" s="407"/>
      <c r="I845" s="407"/>
      <c r="J845" s="407"/>
      <c r="K845" s="407"/>
      <c r="L845" s="407"/>
      <c r="M845" s="407"/>
      <c r="N845" s="407"/>
      <c r="O845" s="407"/>
      <c r="P845" s="407"/>
      <c r="Q845" s="407"/>
      <c r="R845" s="407"/>
      <c r="S845" s="408"/>
      <c r="T845" s="408"/>
      <c r="U845" s="408"/>
      <c r="V845" s="409"/>
      <c r="W845" s="410"/>
      <c r="X845" s="277"/>
      <c r="Y845" s="277"/>
      <c r="Z845" s="277"/>
    </row>
    <row r="846" ht="12.75" customHeight="1">
      <c r="A846" s="277"/>
      <c r="B846" s="278"/>
      <c r="C846" s="277"/>
      <c r="D846" s="278"/>
      <c r="E846" s="279"/>
      <c r="F846" s="406"/>
      <c r="G846" s="407"/>
      <c r="H846" s="407"/>
      <c r="I846" s="407"/>
      <c r="J846" s="407"/>
      <c r="K846" s="407"/>
      <c r="L846" s="407"/>
      <c r="M846" s="407"/>
      <c r="N846" s="407"/>
      <c r="O846" s="407"/>
      <c r="P846" s="407"/>
      <c r="Q846" s="407"/>
      <c r="R846" s="407"/>
      <c r="S846" s="408"/>
      <c r="T846" s="408"/>
      <c r="U846" s="408"/>
      <c r="V846" s="409"/>
      <c r="W846" s="410"/>
      <c r="X846" s="277"/>
      <c r="Y846" s="277"/>
      <c r="Z846" s="277"/>
    </row>
    <row r="847" ht="12.75" customHeight="1">
      <c r="A847" s="277"/>
      <c r="B847" s="278"/>
      <c r="C847" s="277"/>
      <c r="D847" s="278"/>
      <c r="E847" s="279"/>
      <c r="F847" s="406"/>
      <c r="G847" s="407"/>
      <c r="H847" s="407"/>
      <c r="I847" s="407"/>
      <c r="J847" s="407"/>
      <c r="K847" s="407"/>
      <c r="L847" s="407"/>
      <c r="M847" s="407"/>
      <c r="N847" s="407"/>
      <c r="O847" s="407"/>
      <c r="P847" s="407"/>
      <c r="Q847" s="407"/>
      <c r="R847" s="407"/>
      <c r="S847" s="408"/>
      <c r="T847" s="408"/>
      <c r="U847" s="408"/>
      <c r="V847" s="409"/>
      <c r="W847" s="410"/>
      <c r="X847" s="277"/>
      <c r="Y847" s="277"/>
      <c r="Z847" s="277"/>
    </row>
    <row r="848" ht="12.75" customHeight="1">
      <c r="A848" s="277"/>
      <c r="B848" s="278"/>
      <c r="C848" s="277"/>
      <c r="D848" s="278"/>
      <c r="E848" s="279"/>
      <c r="F848" s="406"/>
      <c r="G848" s="407"/>
      <c r="H848" s="407"/>
      <c r="I848" s="407"/>
      <c r="J848" s="407"/>
      <c r="K848" s="407"/>
      <c r="L848" s="407"/>
      <c r="M848" s="407"/>
      <c r="N848" s="407"/>
      <c r="O848" s="407"/>
      <c r="P848" s="407"/>
      <c r="Q848" s="407"/>
      <c r="R848" s="407"/>
      <c r="S848" s="408"/>
      <c r="T848" s="408"/>
      <c r="U848" s="408"/>
      <c r="V848" s="409"/>
      <c r="W848" s="410"/>
      <c r="X848" s="277"/>
      <c r="Y848" s="277"/>
      <c r="Z848" s="277"/>
    </row>
    <row r="849" ht="12.75" customHeight="1">
      <c r="A849" s="277"/>
      <c r="B849" s="278"/>
      <c r="C849" s="277"/>
      <c r="D849" s="278"/>
      <c r="E849" s="279"/>
      <c r="F849" s="406"/>
      <c r="G849" s="407"/>
      <c r="H849" s="407"/>
      <c r="I849" s="407"/>
      <c r="J849" s="407"/>
      <c r="K849" s="407"/>
      <c r="L849" s="407"/>
      <c r="M849" s="407"/>
      <c r="N849" s="407"/>
      <c r="O849" s="407"/>
      <c r="P849" s="407"/>
      <c r="Q849" s="407"/>
      <c r="R849" s="407"/>
      <c r="S849" s="408"/>
      <c r="T849" s="408"/>
      <c r="U849" s="408"/>
      <c r="V849" s="409"/>
      <c r="W849" s="410"/>
      <c r="X849" s="277"/>
      <c r="Y849" s="277"/>
      <c r="Z849" s="277"/>
    </row>
    <row r="850" ht="12.75" customHeight="1">
      <c r="A850" s="277"/>
      <c r="B850" s="278"/>
      <c r="C850" s="277"/>
      <c r="D850" s="278"/>
      <c r="E850" s="279"/>
      <c r="F850" s="406"/>
      <c r="G850" s="407"/>
      <c r="H850" s="407"/>
      <c r="I850" s="407"/>
      <c r="J850" s="407"/>
      <c r="K850" s="407"/>
      <c r="L850" s="407"/>
      <c r="M850" s="407"/>
      <c r="N850" s="407"/>
      <c r="O850" s="407"/>
      <c r="P850" s="407"/>
      <c r="Q850" s="407"/>
      <c r="R850" s="407"/>
      <c r="S850" s="408"/>
      <c r="T850" s="408"/>
      <c r="U850" s="408"/>
      <c r="V850" s="409"/>
      <c r="W850" s="410"/>
      <c r="X850" s="277"/>
      <c r="Y850" s="277"/>
      <c r="Z850" s="277"/>
    </row>
    <row r="851" ht="12.75" customHeight="1">
      <c r="A851" s="277"/>
      <c r="B851" s="278"/>
      <c r="C851" s="277"/>
      <c r="D851" s="278"/>
      <c r="E851" s="279"/>
      <c r="F851" s="406"/>
      <c r="G851" s="407"/>
      <c r="H851" s="407"/>
      <c r="I851" s="407"/>
      <c r="J851" s="407"/>
      <c r="K851" s="407"/>
      <c r="L851" s="407"/>
      <c r="M851" s="407"/>
      <c r="N851" s="407"/>
      <c r="O851" s="407"/>
      <c r="P851" s="407"/>
      <c r="Q851" s="407"/>
      <c r="R851" s="407"/>
      <c r="S851" s="408"/>
      <c r="T851" s="408"/>
      <c r="U851" s="408"/>
      <c r="V851" s="409"/>
      <c r="W851" s="410"/>
      <c r="X851" s="277"/>
      <c r="Y851" s="277"/>
      <c r="Z851" s="277"/>
    </row>
    <row r="852" ht="12.75" customHeight="1">
      <c r="A852" s="277"/>
      <c r="B852" s="278"/>
      <c r="C852" s="277"/>
      <c r="D852" s="278"/>
      <c r="E852" s="279"/>
      <c r="F852" s="406"/>
      <c r="G852" s="407"/>
      <c r="H852" s="407"/>
      <c r="I852" s="407"/>
      <c r="J852" s="407"/>
      <c r="K852" s="407"/>
      <c r="L852" s="407"/>
      <c r="M852" s="407"/>
      <c r="N852" s="407"/>
      <c r="O852" s="407"/>
      <c r="P852" s="407"/>
      <c r="Q852" s="407"/>
      <c r="R852" s="407"/>
      <c r="S852" s="408"/>
      <c r="T852" s="408"/>
      <c r="U852" s="408"/>
      <c r="V852" s="409"/>
      <c r="W852" s="410"/>
      <c r="X852" s="277"/>
      <c r="Y852" s="277"/>
      <c r="Z852" s="277"/>
    </row>
    <row r="853" ht="12.75" customHeight="1">
      <c r="A853" s="277"/>
      <c r="B853" s="278"/>
      <c r="C853" s="277"/>
      <c r="D853" s="278"/>
      <c r="E853" s="279"/>
      <c r="F853" s="406"/>
      <c r="G853" s="407"/>
      <c r="H853" s="407"/>
      <c r="I853" s="407"/>
      <c r="J853" s="407"/>
      <c r="K853" s="407"/>
      <c r="L853" s="407"/>
      <c r="M853" s="407"/>
      <c r="N853" s="407"/>
      <c r="O853" s="407"/>
      <c r="P853" s="407"/>
      <c r="Q853" s="407"/>
      <c r="R853" s="407"/>
      <c r="S853" s="408"/>
      <c r="T853" s="408"/>
      <c r="U853" s="408"/>
      <c r="V853" s="409"/>
      <c r="W853" s="410"/>
      <c r="X853" s="277"/>
      <c r="Y853" s="277"/>
      <c r="Z853" s="277"/>
    </row>
    <row r="854" ht="12.75" customHeight="1">
      <c r="A854" s="277"/>
      <c r="B854" s="278"/>
      <c r="C854" s="277"/>
      <c r="D854" s="278"/>
      <c r="E854" s="279"/>
      <c r="F854" s="406"/>
      <c r="G854" s="407"/>
      <c r="H854" s="407"/>
      <c r="I854" s="407"/>
      <c r="J854" s="407"/>
      <c r="K854" s="407"/>
      <c r="L854" s="407"/>
      <c r="M854" s="407"/>
      <c r="N854" s="407"/>
      <c r="O854" s="407"/>
      <c r="P854" s="407"/>
      <c r="Q854" s="407"/>
      <c r="R854" s="407"/>
      <c r="S854" s="408"/>
      <c r="T854" s="408"/>
      <c r="U854" s="408"/>
      <c r="V854" s="409"/>
      <c r="W854" s="410"/>
      <c r="X854" s="277"/>
      <c r="Y854" s="277"/>
      <c r="Z854" s="277"/>
    </row>
    <row r="855" ht="12.75" customHeight="1">
      <c r="A855" s="277"/>
      <c r="B855" s="278"/>
      <c r="C855" s="277"/>
      <c r="D855" s="278"/>
      <c r="E855" s="279"/>
      <c r="F855" s="406"/>
      <c r="G855" s="407"/>
      <c r="H855" s="407"/>
      <c r="I855" s="407"/>
      <c r="J855" s="407"/>
      <c r="K855" s="407"/>
      <c r="L855" s="407"/>
      <c r="M855" s="407"/>
      <c r="N855" s="407"/>
      <c r="O855" s="407"/>
      <c r="P855" s="407"/>
      <c r="Q855" s="407"/>
      <c r="R855" s="407"/>
      <c r="S855" s="408"/>
      <c r="T855" s="408"/>
      <c r="U855" s="408"/>
      <c r="V855" s="409"/>
      <c r="W855" s="410"/>
      <c r="X855" s="277"/>
      <c r="Y855" s="277"/>
      <c r="Z855" s="277"/>
    </row>
    <row r="856" ht="12.75" customHeight="1">
      <c r="A856" s="277"/>
      <c r="B856" s="278"/>
      <c r="C856" s="277"/>
      <c r="D856" s="278"/>
      <c r="E856" s="279"/>
      <c r="F856" s="406"/>
      <c r="G856" s="407"/>
      <c r="H856" s="407"/>
      <c r="I856" s="407"/>
      <c r="J856" s="407"/>
      <c r="K856" s="407"/>
      <c r="L856" s="407"/>
      <c r="M856" s="407"/>
      <c r="N856" s="407"/>
      <c r="O856" s="407"/>
      <c r="P856" s="407"/>
      <c r="Q856" s="407"/>
      <c r="R856" s="407"/>
      <c r="S856" s="408"/>
      <c r="T856" s="408"/>
      <c r="U856" s="408"/>
      <c r="V856" s="409"/>
      <c r="W856" s="410"/>
      <c r="X856" s="277"/>
      <c r="Y856" s="277"/>
      <c r="Z856" s="277"/>
    </row>
    <row r="857" ht="12.75" customHeight="1">
      <c r="A857" s="277"/>
      <c r="B857" s="278"/>
      <c r="C857" s="277"/>
      <c r="D857" s="278"/>
      <c r="E857" s="279"/>
      <c r="F857" s="406"/>
      <c r="G857" s="407"/>
      <c r="H857" s="407"/>
      <c r="I857" s="407"/>
      <c r="J857" s="407"/>
      <c r="K857" s="407"/>
      <c r="L857" s="407"/>
      <c r="M857" s="407"/>
      <c r="N857" s="407"/>
      <c r="O857" s="407"/>
      <c r="P857" s="407"/>
      <c r="Q857" s="407"/>
      <c r="R857" s="407"/>
      <c r="S857" s="408"/>
      <c r="T857" s="408"/>
      <c r="U857" s="408"/>
      <c r="V857" s="409"/>
      <c r="W857" s="410"/>
      <c r="X857" s="277"/>
      <c r="Y857" s="277"/>
      <c r="Z857" s="277"/>
    </row>
    <row r="858" ht="12.75" customHeight="1">
      <c r="A858" s="277"/>
      <c r="B858" s="278"/>
      <c r="C858" s="277"/>
      <c r="D858" s="278"/>
      <c r="E858" s="279"/>
      <c r="F858" s="406"/>
      <c r="G858" s="407"/>
      <c r="H858" s="407"/>
      <c r="I858" s="407"/>
      <c r="J858" s="407"/>
      <c r="K858" s="407"/>
      <c r="L858" s="407"/>
      <c r="M858" s="407"/>
      <c r="N858" s="407"/>
      <c r="O858" s="407"/>
      <c r="P858" s="407"/>
      <c r="Q858" s="407"/>
      <c r="R858" s="407"/>
      <c r="S858" s="408"/>
      <c r="T858" s="408"/>
      <c r="U858" s="408"/>
      <c r="V858" s="409"/>
      <c r="W858" s="410"/>
      <c r="X858" s="277"/>
      <c r="Y858" s="277"/>
      <c r="Z858" s="277"/>
    </row>
    <row r="859" ht="12.75" customHeight="1">
      <c r="A859" s="277"/>
      <c r="B859" s="278"/>
      <c r="C859" s="277"/>
      <c r="D859" s="278"/>
      <c r="E859" s="279"/>
      <c r="F859" s="406"/>
      <c r="G859" s="407"/>
      <c r="H859" s="407"/>
      <c r="I859" s="407"/>
      <c r="J859" s="407"/>
      <c r="K859" s="407"/>
      <c r="L859" s="407"/>
      <c r="M859" s="407"/>
      <c r="N859" s="407"/>
      <c r="O859" s="407"/>
      <c r="P859" s="407"/>
      <c r="Q859" s="407"/>
      <c r="R859" s="407"/>
      <c r="S859" s="408"/>
      <c r="T859" s="408"/>
      <c r="U859" s="408"/>
      <c r="V859" s="409"/>
      <c r="W859" s="410"/>
      <c r="X859" s="277"/>
      <c r="Y859" s="277"/>
      <c r="Z859" s="277"/>
    </row>
    <row r="860" ht="12.75" customHeight="1">
      <c r="A860" s="277"/>
      <c r="B860" s="278"/>
      <c r="C860" s="277"/>
      <c r="D860" s="278"/>
      <c r="E860" s="279"/>
      <c r="F860" s="406"/>
      <c r="G860" s="407"/>
      <c r="H860" s="407"/>
      <c r="I860" s="407"/>
      <c r="J860" s="407"/>
      <c r="K860" s="407"/>
      <c r="L860" s="407"/>
      <c r="M860" s="407"/>
      <c r="N860" s="407"/>
      <c r="O860" s="407"/>
      <c r="P860" s="407"/>
      <c r="Q860" s="407"/>
      <c r="R860" s="407"/>
      <c r="S860" s="408"/>
      <c r="T860" s="408"/>
      <c r="U860" s="408"/>
      <c r="V860" s="409"/>
      <c r="W860" s="410"/>
      <c r="X860" s="277"/>
      <c r="Y860" s="277"/>
      <c r="Z860" s="277"/>
    </row>
    <row r="861" ht="12.75" customHeight="1">
      <c r="A861" s="277"/>
      <c r="B861" s="278"/>
      <c r="C861" s="277"/>
      <c r="D861" s="278"/>
      <c r="E861" s="279"/>
      <c r="F861" s="406"/>
      <c r="G861" s="407"/>
      <c r="H861" s="407"/>
      <c r="I861" s="407"/>
      <c r="J861" s="407"/>
      <c r="K861" s="407"/>
      <c r="L861" s="407"/>
      <c r="M861" s="407"/>
      <c r="N861" s="407"/>
      <c r="O861" s="407"/>
      <c r="P861" s="407"/>
      <c r="Q861" s="407"/>
      <c r="R861" s="407"/>
      <c r="S861" s="408"/>
      <c r="T861" s="408"/>
      <c r="U861" s="408"/>
      <c r="V861" s="409"/>
      <c r="W861" s="410"/>
      <c r="X861" s="277"/>
      <c r="Y861" s="277"/>
      <c r="Z861" s="277"/>
    </row>
    <row r="862" ht="12.75" customHeight="1">
      <c r="A862" s="277"/>
      <c r="B862" s="278"/>
      <c r="C862" s="277"/>
      <c r="D862" s="278"/>
      <c r="E862" s="279"/>
      <c r="F862" s="406"/>
      <c r="G862" s="407"/>
      <c r="H862" s="407"/>
      <c r="I862" s="407"/>
      <c r="J862" s="407"/>
      <c r="K862" s="407"/>
      <c r="L862" s="407"/>
      <c r="M862" s="407"/>
      <c r="N862" s="407"/>
      <c r="O862" s="407"/>
      <c r="P862" s="407"/>
      <c r="Q862" s="407"/>
      <c r="R862" s="407"/>
      <c r="S862" s="408"/>
      <c r="T862" s="408"/>
      <c r="U862" s="408"/>
      <c r="V862" s="409"/>
      <c r="W862" s="410"/>
      <c r="X862" s="277"/>
      <c r="Y862" s="277"/>
      <c r="Z862" s="277"/>
    </row>
    <row r="863" ht="12.75" customHeight="1">
      <c r="A863" s="277"/>
      <c r="B863" s="278"/>
      <c r="C863" s="277"/>
      <c r="D863" s="278"/>
      <c r="E863" s="279"/>
      <c r="F863" s="406"/>
      <c r="G863" s="407"/>
      <c r="H863" s="407"/>
      <c r="I863" s="407"/>
      <c r="J863" s="407"/>
      <c r="K863" s="407"/>
      <c r="L863" s="407"/>
      <c r="M863" s="407"/>
      <c r="N863" s="407"/>
      <c r="O863" s="407"/>
      <c r="P863" s="407"/>
      <c r="Q863" s="407"/>
      <c r="R863" s="407"/>
      <c r="S863" s="408"/>
      <c r="T863" s="408"/>
      <c r="U863" s="408"/>
      <c r="V863" s="409"/>
      <c r="W863" s="410"/>
      <c r="X863" s="277"/>
      <c r="Y863" s="277"/>
      <c r="Z863" s="277"/>
    </row>
    <row r="864" ht="12.75" customHeight="1">
      <c r="A864" s="277"/>
      <c r="B864" s="278"/>
      <c r="C864" s="277"/>
      <c r="D864" s="278"/>
      <c r="E864" s="279"/>
      <c r="F864" s="406"/>
      <c r="G864" s="407"/>
      <c r="H864" s="407"/>
      <c r="I864" s="407"/>
      <c r="J864" s="407"/>
      <c r="K864" s="407"/>
      <c r="L864" s="407"/>
      <c r="M864" s="407"/>
      <c r="N864" s="407"/>
      <c r="O864" s="407"/>
      <c r="P864" s="407"/>
      <c r="Q864" s="407"/>
      <c r="R864" s="407"/>
      <c r="S864" s="408"/>
      <c r="T864" s="408"/>
      <c r="U864" s="408"/>
      <c r="V864" s="409"/>
      <c r="W864" s="410"/>
      <c r="X864" s="277"/>
      <c r="Y864" s="277"/>
      <c r="Z864" s="277"/>
    </row>
    <row r="865" ht="12.75" customHeight="1">
      <c r="A865" s="277"/>
      <c r="B865" s="278"/>
      <c r="C865" s="277"/>
      <c r="D865" s="278"/>
      <c r="E865" s="279"/>
      <c r="F865" s="406"/>
      <c r="G865" s="407"/>
      <c r="H865" s="407"/>
      <c r="I865" s="407"/>
      <c r="J865" s="407"/>
      <c r="K865" s="407"/>
      <c r="L865" s="407"/>
      <c r="M865" s="407"/>
      <c r="N865" s="407"/>
      <c r="O865" s="407"/>
      <c r="P865" s="407"/>
      <c r="Q865" s="407"/>
      <c r="R865" s="407"/>
      <c r="S865" s="408"/>
      <c r="T865" s="408"/>
      <c r="U865" s="408"/>
      <c r="V865" s="409"/>
      <c r="W865" s="410"/>
      <c r="X865" s="277"/>
      <c r="Y865" s="277"/>
      <c r="Z865" s="277"/>
    </row>
    <row r="866" ht="12.75" customHeight="1">
      <c r="A866" s="277"/>
      <c r="B866" s="278"/>
      <c r="C866" s="277"/>
      <c r="D866" s="278"/>
      <c r="E866" s="279"/>
      <c r="F866" s="406"/>
      <c r="G866" s="407"/>
      <c r="H866" s="407"/>
      <c r="I866" s="407"/>
      <c r="J866" s="407"/>
      <c r="K866" s="407"/>
      <c r="L866" s="407"/>
      <c r="M866" s="407"/>
      <c r="N866" s="407"/>
      <c r="O866" s="407"/>
      <c r="P866" s="407"/>
      <c r="Q866" s="407"/>
      <c r="R866" s="407"/>
      <c r="S866" s="408"/>
      <c r="T866" s="408"/>
      <c r="U866" s="408"/>
      <c r="V866" s="409"/>
      <c r="W866" s="410"/>
      <c r="X866" s="277"/>
      <c r="Y866" s="277"/>
      <c r="Z866" s="277"/>
    </row>
    <row r="867" ht="12.75" customHeight="1">
      <c r="A867" s="277"/>
      <c r="B867" s="278"/>
      <c r="C867" s="277"/>
      <c r="D867" s="278"/>
      <c r="E867" s="279"/>
      <c r="F867" s="406"/>
      <c r="G867" s="407"/>
      <c r="H867" s="407"/>
      <c r="I867" s="407"/>
      <c r="J867" s="407"/>
      <c r="K867" s="407"/>
      <c r="L867" s="407"/>
      <c r="M867" s="407"/>
      <c r="N867" s="407"/>
      <c r="O867" s="407"/>
      <c r="P867" s="407"/>
      <c r="Q867" s="407"/>
      <c r="R867" s="407"/>
      <c r="S867" s="408"/>
      <c r="T867" s="408"/>
      <c r="U867" s="408"/>
      <c r="V867" s="409"/>
      <c r="W867" s="410"/>
      <c r="X867" s="277"/>
      <c r="Y867" s="277"/>
      <c r="Z867" s="277"/>
    </row>
    <row r="868" ht="12.75" customHeight="1">
      <c r="A868" s="277"/>
      <c r="B868" s="278"/>
      <c r="C868" s="277"/>
      <c r="D868" s="278"/>
      <c r="E868" s="279"/>
      <c r="F868" s="406"/>
      <c r="G868" s="407"/>
      <c r="H868" s="407"/>
      <c r="I868" s="407"/>
      <c r="J868" s="407"/>
      <c r="K868" s="407"/>
      <c r="L868" s="407"/>
      <c r="M868" s="407"/>
      <c r="N868" s="407"/>
      <c r="O868" s="407"/>
      <c r="P868" s="407"/>
      <c r="Q868" s="407"/>
      <c r="R868" s="407"/>
      <c r="S868" s="408"/>
      <c r="T868" s="408"/>
      <c r="U868" s="408"/>
      <c r="V868" s="409"/>
      <c r="W868" s="410"/>
      <c r="X868" s="277"/>
      <c r="Y868" s="277"/>
      <c r="Z868" s="277"/>
    </row>
    <row r="869" ht="12.75" customHeight="1">
      <c r="A869" s="277"/>
      <c r="B869" s="278"/>
      <c r="C869" s="277"/>
      <c r="D869" s="278"/>
      <c r="E869" s="279"/>
      <c r="F869" s="406"/>
      <c r="G869" s="407"/>
      <c r="H869" s="407"/>
      <c r="I869" s="407"/>
      <c r="J869" s="407"/>
      <c r="K869" s="407"/>
      <c r="L869" s="407"/>
      <c r="M869" s="407"/>
      <c r="N869" s="407"/>
      <c r="O869" s="407"/>
      <c r="P869" s="407"/>
      <c r="Q869" s="407"/>
      <c r="R869" s="407"/>
      <c r="S869" s="408"/>
      <c r="T869" s="408"/>
      <c r="U869" s="408"/>
      <c r="V869" s="409"/>
      <c r="W869" s="410"/>
      <c r="X869" s="277"/>
      <c r="Y869" s="277"/>
      <c r="Z869" s="277"/>
    </row>
    <row r="870" ht="12.75" customHeight="1">
      <c r="A870" s="277"/>
      <c r="B870" s="278"/>
      <c r="C870" s="277"/>
      <c r="D870" s="278"/>
      <c r="E870" s="279"/>
      <c r="F870" s="406"/>
      <c r="G870" s="407"/>
      <c r="H870" s="407"/>
      <c r="I870" s="407"/>
      <c r="J870" s="407"/>
      <c r="K870" s="407"/>
      <c r="L870" s="407"/>
      <c r="M870" s="407"/>
      <c r="N870" s="407"/>
      <c r="O870" s="407"/>
      <c r="P870" s="407"/>
      <c r="Q870" s="407"/>
      <c r="R870" s="407"/>
      <c r="S870" s="408"/>
      <c r="T870" s="408"/>
      <c r="U870" s="408"/>
      <c r="V870" s="409"/>
      <c r="W870" s="410"/>
      <c r="X870" s="277"/>
      <c r="Y870" s="277"/>
      <c r="Z870" s="277"/>
    </row>
    <row r="871" ht="12.75" customHeight="1">
      <c r="A871" s="277"/>
      <c r="B871" s="278"/>
      <c r="C871" s="277"/>
      <c r="D871" s="278"/>
      <c r="E871" s="279"/>
      <c r="F871" s="406"/>
      <c r="G871" s="407"/>
      <c r="H871" s="407"/>
      <c r="I871" s="407"/>
      <c r="J871" s="407"/>
      <c r="K871" s="407"/>
      <c r="L871" s="407"/>
      <c r="M871" s="407"/>
      <c r="N871" s="407"/>
      <c r="O871" s="407"/>
      <c r="P871" s="407"/>
      <c r="Q871" s="407"/>
      <c r="R871" s="407"/>
      <c r="S871" s="408"/>
      <c r="T871" s="408"/>
      <c r="U871" s="408"/>
      <c r="V871" s="409"/>
      <c r="W871" s="410"/>
      <c r="X871" s="277"/>
      <c r="Y871" s="277"/>
      <c r="Z871" s="277"/>
    </row>
    <row r="872" ht="12.75" customHeight="1">
      <c r="A872" s="277"/>
      <c r="B872" s="278"/>
      <c r="C872" s="277"/>
      <c r="D872" s="278"/>
      <c r="E872" s="279"/>
      <c r="F872" s="406"/>
      <c r="G872" s="407"/>
      <c r="H872" s="407"/>
      <c r="I872" s="407"/>
      <c r="J872" s="407"/>
      <c r="K872" s="407"/>
      <c r="L872" s="407"/>
      <c r="M872" s="407"/>
      <c r="N872" s="407"/>
      <c r="O872" s="407"/>
      <c r="P872" s="407"/>
      <c r="Q872" s="407"/>
      <c r="R872" s="407"/>
      <c r="S872" s="408"/>
      <c r="T872" s="408"/>
      <c r="U872" s="408"/>
      <c r="V872" s="409"/>
      <c r="W872" s="410"/>
      <c r="X872" s="277"/>
      <c r="Y872" s="277"/>
      <c r="Z872" s="277"/>
    </row>
    <row r="873" ht="12.75" customHeight="1">
      <c r="A873" s="277"/>
      <c r="B873" s="278"/>
      <c r="C873" s="277"/>
      <c r="D873" s="278"/>
      <c r="E873" s="279"/>
      <c r="F873" s="406"/>
      <c r="G873" s="407"/>
      <c r="H873" s="407"/>
      <c r="I873" s="407"/>
      <c r="J873" s="407"/>
      <c r="K873" s="407"/>
      <c r="L873" s="407"/>
      <c r="M873" s="407"/>
      <c r="N873" s="407"/>
      <c r="O873" s="407"/>
      <c r="P873" s="407"/>
      <c r="Q873" s="407"/>
      <c r="R873" s="407"/>
      <c r="S873" s="408"/>
      <c r="T873" s="408"/>
      <c r="U873" s="408"/>
      <c r="V873" s="409"/>
      <c r="W873" s="410"/>
      <c r="X873" s="277"/>
      <c r="Y873" s="277"/>
      <c r="Z873" s="277"/>
    </row>
    <row r="874" ht="12.75" customHeight="1">
      <c r="A874" s="277"/>
      <c r="B874" s="278"/>
      <c r="C874" s="277"/>
      <c r="D874" s="278"/>
      <c r="E874" s="279"/>
      <c r="F874" s="406"/>
      <c r="G874" s="407"/>
      <c r="H874" s="407"/>
      <c r="I874" s="407"/>
      <c r="J874" s="407"/>
      <c r="K874" s="407"/>
      <c r="L874" s="407"/>
      <c r="M874" s="407"/>
      <c r="N874" s="407"/>
      <c r="O874" s="407"/>
      <c r="P874" s="407"/>
      <c r="Q874" s="407"/>
      <c r="R874" s="407"/>
      <c r="S874" s="408"/>
      <c r="T874" s="408"/>
      <c r="U874" s="408"/>
      <c r="V874" s="409"/>
      <c r="W874" s="410"/>
      <c r="X874" s="277"/>
      <c r="Y874" s="277"/>
      <c r="Z874" s="277"/>
    </row>
    <row r="875" ht="12.75" customHeight="1">
      <c r="A875" s="277"/>
      <c r="B875" s="278"/>
      <c r="C875" s="277"/>
      <c r="D875" s="278"/>
      <c r="E875" s="279"/>
      <c r="F875" s="406"/>
      <c r="G875" s="407"/>
      <c r="H875" s="407"/>
      <c r="I875" s="407"/>
      <c r="J875" s="407"/>
      <c r="K875" s="407"/>
      <c r="L875" s="407"/>
      <c r="M875" s="407"/>
      <c r="N875" s="407"/>
      <c r="O875" s="407"/>
      <c r="P875" s="407"/>
      <c r="Q875" s="407"/>
      <c r="R875" s="407"/>
      <c r="S875" s="408"/>
      <c r="T875" s="408"/>
      <c r="U875" s="408"/>
      <c r="V875" s="409"/>
      <c r="W875" s="410"/>
      <c r="X875" s="277"/>
      <c r="Y875" s="277"/>
      <c r="Z875" s="277"/>
    </row>
    <row r="876" ht="12.75" customHeight="1">
      <c r="A876" s="277"/>
      <c r="B876" s="278"/>
      <c r="C876" s="277"/>
      <c r="D876" s="278"/>
      <c r="E876" s="279"/>
      <c r="F876" s="406"/>
      <c r="G876" s="407"/>
      <c r="H876" s="407"/>
      <c r="I876" s="407"/>
      <c r="J876" s="407"/>
      <c r="K876" s="407"/>
      <c r="L876" s="407"/>
      <c r="M876" s="407"/>
      <c r="N876" s="407"/>
      <c r="O876" s="407"/>
      <c r="P876" s="407"/>
      <c r="Q876" s="407"/>
      <c r="R876" s="407"/>
      <c r="S876" s="408"/>
      <c r="T876" s="408"/>
      <c r="U876" s="408"/>
      <c r="V876" s="409"/>
      <c r="W876" s="410"/>
      <c r="X876" s="277"/>
      <c r="Y876" s="277"/>
      <c r="Z876" s="277"/>
    </row>
    <row r="877" ht="12.75" customHeight="1">
      <c r="A877" s="277"/>
      <c r="B877" s="278"/>
      <c r="C877" s="277"/>
      <c r="D877" s="278"/>
      <c r="E877" s="279"/>
      <c r="F877" s="406"/>
      <c r="G877" s="407"/>
      <c r="H877" s="407"/>
      <c r="I877" s="407"/>
      <c r="J877" s="407"/>
      <c r="K877" s="407"/>
      <c r="L877" s="407"/>
      <c r="M877" s="407"/>
      <c r="N877" s="407"/>
      <c r="O877" s="407"/>
      <c r="P877" s="407"/>
      <c r="Q877" s="407"/>
      <c r="R877" s="407"/>
      <c r="S877" s="408"/>
      <c r="T877" s="408"/>
      <c r="U877" s="408"/>
      <c r="V877" s="409"/>
      <c r="W877" s="410"/>
      <c r="X877" s="277"/>
      <c r="Y877" s="277"/>
      <c r="Z877" s="277"/>
    </row>
    <row r="878" ht="12.75" customHeight="1">
      <c r="A878" s="277"/>
      <c r="B878" s="278"/>
      <c r="C878" s="277"/>
      <c r="D878" s="278"/>
      <c r="E878" s="279"/>
      <c r="F878" s="406"/>
      <c r="G878" s="407"/>
      <c r="H878" s="407"/>
      <c r="I878" s="407"/>
      <c r="J878" s="407"/>
      <c r="K878" s="407"/>
      <c r="L878" s="407"/>
      <c r="M878" s="407"/>
      <c r="N878" s="407"/>
      <c r="O878" s="407"/>
      <c r="P878" s="407"/>
      <c r="Q878" s="407"/>
      <c r="R878" s="407"/>
      <c r="S878" s="408"/>
      <c r="T878" s="408"/>
      <c r="U878" s="408"/>
      <c r="V878" s="409"/>
      <c r="W878" s="410"/>
      <c r="X878" s="277"/>
      <c r="Y878" s="277"/>
      <c r="Z878" s="277"/>
    </row>
    <row r="879" ht="12.75" customHeight="1">
      <c r="A879" s="277"/>
      <c r="B879" s="278"/>
      <c r="C879" s="277"/>
      <c r="D879" s="278"/>
      <c r="E879" s="279"/>
      <c r="F879" s="406"/>
      <c r="G879" s="407"/>
      <c r="H879" s="407"/>
      <c r="I879" s="407"/>
      <c r="J879" s="407"/>
      <c r="K879" s="407"/>
      <c r="L879" s="407"/>
      <c r="M879" s="407"/>
      <c r="N879" s="407"/>
      <c r="O879" s="407"/>
      <c r="P879" s="407"/>
      <c r="Q879" s="407"/>
      <c r="R879" s="407"/>
      <c r="S879" s="408"/>
      <c r="T879" s="408"/>
      <c r="U879" s="408"/>
      <c r="V879" s="409"/>
      <c r="W879" s="410"/>
      <c r="X879" s="277"/>
      <c r="Y879" s="277"/>
      <c r="Z879" s="277"/>
    </row>
    <row r="880" ht="12.75" customHeight="1">
      <c r="A880" s="277"/>
      <c r="B880" s="278"/>
      <c r="C880" s="277"/>
      <c r="D880" s="278"/>
      <c r="E880" s="279"/>
      <c r="F880" s="406"/>
      <c r="G880" s="407"/>
      <c r="H880" s="407"/>
      <c r="I880" s="407"/>
      <c r="J880" s="407"/>
      <c r="K880" s="407"/>
      <c r="L880" s="407"/>
      <c r="M880" s="407"/>
      <c r="N880" s="407"/>
      <c r="O880" s="407"/>
      <c r="P880" s="407"/>
      <c r="Q880" s="407"/>
      <c r="R880" s="407"/>
      <c r="S880" s="408"/>
      <c r="T880" s="408"/>
      <c r="U880" s="408"/>
      <c r="V880" s="409"/>
      <c r="W880" s="410"/>
      <c r="X880" s="277"/>
      <c r="Y880" s="277"/>
      <c r="Z880" s="277"/>
    </row>
    <row r="881" ht="12.75" customHeight="1">
      <c r="A881" s="277"/>
      <c r="B881" s="278"/>
      <c r="C881" s="277"/>
      <c r="D881" s="278"/>
      <c r="E881" s="279"/>
      <c r="F881" s="406"/>
      <c r="G881" s="407"/>
      <c r="H881" s="407"/>
      <c r="I881" s="407"/>
      <c r="J881" s="407"/>
      <c r="K881" s="407"/>
      <c r="L881" s="407"/>
      <c r="M881" s="407"/>
      <c r="N881" s="407"/>
      <c r="O881" s="407"/>
      <c r="P881" s="407"/>
      <c r="Q881" s="407"/>
      <c r="R881" s="407"/>
      <c r="S881" s="408"/>
      <c r="T881" s="408"/>
      <c r="U881" s="408"/>
      <c r="V881" s="409"/>
      <c r="W881" s="410"/>
      <c r="X881" s="277"/>
      <c r="Y881" s="277"/>
      <c r="Z881" s="277"/>
    </row>
    <row r="882" ht="12.75" customHeight="1">
      <c r="A882" s="277"/>
      <c r="B882" s="278"/>
      <c r="C882" s="277"/>
      <c r="D882" s="278"/>
      <c r="E882" s="279"/>
      <c r="F882" s="406"/>
      <c r="G882" s="407"/>
      <c r="H882" s="407"/>
      <c r="I882" s="407"/>
      <c r="J882" s="407"/>
      <c r="K882" s="407"/>
      <c r="L882" s="407"/>
      <c r="M882" s="407"/>
      <c r="N882" s="407"/>
      <c r="O882" s="407"/>
      <c r="P882" s="407"/>
      <c r="Q882" s="407"/>
      <c r="R882" s="407"/>
      <c r="S882" s="408"/>
      <c r="T882" s="408"/>
      <c r="U882" s="408"/>
      <c r="V882" s="409"/>
      <c r="W882" s="410"/>
      <c r="X882" s="277"/>
      <c r="Y882" s="277"/>
      <c r="Z882" s="277"/>
    </row>
    <row r="883" ht="12.75" customHeight="1">
      <c r="A883" s="277"/>
      <c r="B883" s="278"/>
      <c r="C883" s="277"/>
      <c r="D883" s="278"/>
      <c r="E883" s="279"/>
      <c r="F883" s="406"/>
      <c r="G883" s="407"/>
      <c r="H883" s="407"/>
      <c r="I883" s="407"/>
      <c r="J883" s="407"/>
      <c r="K883" s="407"/>
      <c r="L883" s="407"/>
      <c r="M883" s="407"/>
      <c r="N883" s="407"/>
      <c r="O883" s="407"/>
      <c r="P883" s="407"/>
      <c r="Q883" s="407"/>
      <c r="R883" s="407"/>
      <c r="S883" s="408"/>
      <c r="T883" s="408"/>
      <c r="U883" s="408"/>
      <c r="V883" s="409"/>
      <c r="W883" s="410"/>
      <c r="X883" s="277"/>
      <c r="Y883" s="277"/>
      <c r="Z883" s="277"/>
    </row>
    <row r="884" ht="12.75" customHeight="1">
      <c r="A884" s="277"/>
      <c r="B884" s="278"/>
      <c r="C884" s="277"/>
      <c r="D884" s="278"/>
      <c r="E884" s="279"/>
      <c r="F884" s="406"/>
      <c r="G884" s="407"/>
      <c r="H884" s="407"/>
      <c r="I884" s="407"/>
      <c r="J884" s="407"/>
      <c r="K884" s="407"/>
      <c r="L884" s="407"/>
      <c r="M884" s="407"/>
      <c r="N884" s="407"/>
      <c r="O884" s="407"/>
      <c r="P884" s="407"/>
      <c r="Q884" s="407"/>
      <c r="R884" s="407"/>
      <c r="S884" s="408"/>
      <c r="T884" s="408"/>
      <c r="U884" s="408"/>
      <c r="V884" s="409"/>
      <c r="W884" s="410"/>
      <c r="X884" s="277"/>
      <c r="Y884" s="277"/>
      <c r="Z884" s="277"/>
    </row>
    <row r="885" ht="12.75" customHeight="1">
      <c r="A885" s="277"/>
      <c r="B885" s="278"/>
      <c r="C885" s="277"/>
      <c r="D885" s="278"/>
      <c r="E885" s="279"/>
      <c r="F885" s="406"/>
      <c r="G885" s="407"/>
      <c r="H885" s="407"/>
      <c r="I885" s="407"/>
      <c r="J885" s="407"/>
      <c r="K885" s="407"/>
      <c r="L885" s="407"/>
      <c r="M885" s="407"/>
      <c r="N885" s="407"/>
      <c r="O885" s="407"/>
      <c r="P885" s="407"/>
      <c r="Q885" s="407"/>
      <c r="R885" s="407"/>
      <c r="S885" s="408"/>
      <c r="T885" s="408"/>
      <c r="U885" s="408"/>
      <c r="V885" s="409"/>
      <c r="W885" s="410"/>
      <c r="X885" s="277"/>
      <c r="Y885" s="277"/>
      <c r="Z885" s="277"/>
    </row>
    <row r="886" ht="12.75" customHeight="1">
      <c r="A886" s="277"/>
      <c r="B886" s="278"/>
      <c r="C886" s="277"/>
      <c r="D886" s="278"/>
      <c r="E886" s="279"/>
      <c r="F886" s="406"/>
      <c r="G886" s="407"/>
      <c r="H886" s="407"/>
      <c r="I886" s="407"/>
      <c r="J886" s="407"/>
      <c r="K886" s="407"/>
      <c r="L886" s="407"/>
      <c r="M886" s="407"/>
      <c r="N886" s="407"/>
      <c r="O886" s="407"/>
      <c r="P886" s="407"/>
      <c r="Q886" s="407"/>
      <c r="R886" s="407"/>
      <c r="S886" s="408"/>
      <c r="T886" s="408"/>
      <c r="U886" s="408"/>
      <c r="V886" s="409"/>
      <c r="W886" s="410"/>
      <c r="X886" s="277"/>
      <c r="Y886" s="277"/>
      <c r="Z886" s="277"/>
    </row>
    <row r="887" ht="12.75" customHeight="1">
      <c r="A887" s="277"/>
      <c r="B887" s="278"/>
      <c r="C887" s="277"/>
      <c r="D887" s="278"/>
      <c r="E887" s="279"/>
      <c r="F887" s="406"/>
      <c r="G887" s="407"/>
      <c r="H887" s="407"/>
      <c r="I887" s="407"/>
      <c r="J887" s="407"/>
      <c r="K887" s="407"/>
      <c r="L887" s="407"/>
      <c r="M887" s="407"/>
      <c r="N887" s="407"/>
      <c r="O887" s="407"/>
      <c r="P887" s="407"/>
      <c r="Q887" s="407"/>
      <c r="R887" s="407"/>
      <c r="S887" s="408"/>
      <c r="T887" s="408"/>
      <c r="U887" s="408"/>
      <c r="V887" s="409"/>
      <c r="W887" s="410"/>
      <c r="X887" s="277"/>
      <c r="Y887" s="277"/>
      <c r="Z887" s="277"/>
    </row>
    <row r="888" ht="12.75" customHeight="1">
      <c r="A888" s="277"/>
      <c r="B888" s="278"/>
      <c r="C888" s="277"/>
      <c r="D888" s="278"/>
      <c r="E888" s="279"/>
      <c r="F888" s="406"/>
      <c r="G888" s="407"/>
      <c r="H888" s="407"/>
      <c r="I888" s="407"/>
      <c r="J888" s="407"/>
      <c r="K888" s="407"/>
      <c r="L888" s="407"/>
      <c r="M888" s="407"/>
      <c r="N888" s="407"/>
      <c r="O888" s="407"/>
      <c r="P888" s="407"/>
      <c r="Q888" s="407"/>
      <c r="R888" s="407"/>
      <c r="S888" s="408"/>
      <c r="T888" s="408"/>
      <c r="U888" s="408"/>
      <c r="V888" s="409"/>
      <c r="W888" s="410"/>
      <c r="X888" s="277"/>
      <c r="Y888" s="277"/>
      <c r="Z888" s="277"/>
    </row>
    <row r="889" ht="12.75" customHeight="1">
      <c r="A889" s="277"/>
      <c r="B889" s="278"/>
      <c r="C889" s="277"/>
      <c r="D889" s="278"/>
      <c r="E889" s="279"/>
      <c r="F889" s="406"/>
      <c r="G889" s="407"/>
      <c r="H889" s="407"/>
      <c r="I889" s="407"/>
      <c r="J889" s="407"/>
      <c r="K889" s="407"/>
      <c r="L889" s="407"/>
      <c r="M889" s="407"/>
      <c r="N889" s="407"/>
      <c r="O889" s="407"/>
      <c r="P889" s="407"/>
      <c r="Q889" s="407"/>
      <c r="R889" s="407"/>
      <c r="S889" s="408"/>
      <c r="T889" s="408"/>
      <c r="U889" s="408"/>
      <c r="V889" s="409"/>
      <c r="W889" s="410"/>
      <c r="X889" s="277"/>
      <c r="Y889" s="277"/>
      <c r="Z889" s="277"/>
    </row>
    <row r="890" ht="12.75" customHeight="1">
      <c r="A890" s="277"/>
      <c r="B890" s="278"/>
      <c r="C890" s="277"/>
      <c r="D890" s="278"/>
      <c r="E890" s="279"/>
      <c r="F890" s="406"/>
      <c r="G890" s="407"/>
      <c r="H890" s="407"/>
      <c r="I890" s="407"/>
      <c r="J890" s="407"/>
      <c r="K890" s="407"/>
      <c r="L890" s="407"/>
      <c r="M890" s="407"/>
      <c r="N890" s="407"/>
      <c r="O890" s="407"/>
      <c r="P890" s="407"/>
      <c r="Q890" s="407"/>
      <c r="R890" s="407"/>
      <c r="S890" s="408"/>
      <c r="T890" s="408"/>
      <c r="U890" s="408"/>
      <c r="V890" s="409"/>
      <c r="W890" s="410"/>
      <c r="X890" s="277"/>
      <c r="Y890" s="277"/>
      <c r="Z890" s="277"/>
    </row>
    <row r="891" ht="12.75" customHeight="1">
      <c r="A891" s="277"/>
      <c r="B891" s="278"/>
      <c r="C891" s="277"/>
      <c r="D891" s="278"/>
      <c r="E891" s="279"/>
      <c r="F891" s="406"/>
      <c r="G891" s="407"/>
      <c r="H891" s="407"/>
      <c r="I891" s="407"/>
      <c r="J891" s="407"/>
      <c r="K891" s="407"/>
      <c r="L891" s="407"/>
      <c r="M891" s="407"/>
      <c r="N891" s="407"/>
      <c r="O891" s="407"/>
      <c r="P891" s="407"/>
      <c r="Q891" s="407"/>
      <c r="R891" s="407"/>
      <c r="S891" s="408"/>
      <c r="T891" s="408"/>
      <c r="U891" s="408"/>
      <c r="V891" s="409"/>
      <c r="W891" s="410"/>
      <c r="X891" s="277"/>
      <c r="Y891" s="277"/>
      <c r="Z891" s="277"/>
    </row>
    <row r="892" ht="12.75" customHeight="1">
      <c r="A892" s="277"/>
      <c r="B892" s="278"/>
      <c r="C892" s="277"/>
      <c r="D892" s="278"/>
      <c r="E892" s="279"/>
      <c r="F892" s="406"/>
      <c r="G892" s="407"/>
      <c r="H892" s="407"/>
      <c r="I892" s="407"/>
      <c r="J892" s="407"/>
      <c r="K892" s="407"/>
      <c r="L892" s="407"/>
      <c r="M892" s="407"/>
      <c r="N892" s="407"/>
      <c r="O892" s="407"/>
      <c r="P892" s="407"/>
      <c r="Q892" s="407"/>
      <c r="R892" s="407"/>
      <c r="S892" s="408"/>
      <c r="T892" s="408"/>
      <c r="U892" s="408"/>
      <c r="V892" s="409"/>
      <c r="W892" s="410"/>
      <c r="X892" s="277"/>
      <c r="Y892" s="277"/>
      <c r="Z892" s="277"/>
    </row>
    <row r="893" ht="12.75" customHeight="1">
      <c r="A893" s="277"/>
      <c r="B893" s="278"/>
      <c r="C893" s="277"/>
      <c r="D893" s="278"/>
      <c r="E893" s="279"/>
      <c r="F893" s="406"/>
      <c r="G893" s="407"/>
      <c r="H893" s="407"/>
      <c r="I893" s="407"/>
      <c r="J893" s="407"/>
      <c r="K893" s="407"/>
      <c r="L893" s="407"/>
      <c r="M893" s="407"/>
      <c r="N893" s="407"/>
      <c r="O893" s="407"/>
      <c r="P893" s="407"/>
      <c r="Q893" s="407"/>
      <c r="R893" s="407"/>
      <c r="S893" s="408"/>
      <c r="T893" s="408"/>
      <c r="U893" s="408"/>
      <c r="V893" s="409"/>
      <c r="W893" s="410"/>
      <c r="X893" s="277"/>
      <c r="Y893" s="277"/>
      <c r="Z893" s="277"/>
    </row>
    <row r="894" ht="12.75" customHeight="1">
      <c r="A894" s="277"/>
      <c r="B894" s="278"/>
      <c r="C894" s="277"/>
      <c r="D894" s="278"/>
      <c r="E894" s="279"/>
      <c r="F894" s="406"/>
      <c r="G894" s="407"/>
      <c r="H894" s="407"/>
      <c r="I894" s="407"/>
      <c r="J894" s="407"/>
      <c r="K894" s="407"/>
      <c r="L894" s="407"/>
      <c r="M894" s="407"/>
      <c r="N894" s="407"/>
      <c r="O894" s="407"/>
      <c r="P894" s="407"/>
      <c r="Q894" s="407"/>
      <c r="R894" s="407"/>
      <c r="S894" s="408"/>
      <c r="T894" s="408"/>
      <c r="U894" s="408"/>
      <c r="V894" s="409"/>
      <c r="W894" s="410"/>
      <c r="X894" s="277"/>
      <c r="Y894" s="277"/>
      <c r="Z894" s="277"/>
    </row>
    <row r="895" ht="12.75" customHeight="1">
      <c r="A895" s="277"/>
      <c r="B895" s="278"/>
      <c r="C895" s="277"/>
      <c r="D895" s="278"/>
      <c r="E895" s="279"/>
      <c r="F895" s="406"/>
      <c r="G895" s="407"/>
      <c r="H895" s="407"/>
      <c r="I895" s="407"/>
      <c r="J895" s="407"/>
      <c r="K895" s="407"/>
      <c r="L895" s="407"/>
      <c r="M895" s="407"/>
      <c r="N895" s="407"/>
      <c r="O895" s="407"/>
      <c r="P895" s="407"/>
      <c r="Q895" s="407"/>
      <c r="R895" s="407"/>
      <c r="S895" s="408"/>
      <c r="T895" s="408"/>
      <c r="U895" s="408"/>
      <c r="V895" s="409"/>
      <c r="W895" s="410"/>
      <c r="X895" s="277"/>
      <c r="Y895" s="277"/>
      <c r="Z895" s="277"/>
    </row>
    <row r="896" ht="12.75" customHeight="1">
      <c r="A896" s="277"/>
      <c r="B896" s="278"/>
      <c r="C896" s="277"/>
      <c r="D896" s="278"/>
      <c r="E896" s="279"/>
      <c r="F896" s="406"/>
      <c r="G896" s="407"/>
      <c r="H896" s="407"/>
      <c r="I896" s="407"/>
      <c r="J896" s="407"/>
      <c r="K896" s="407"/>
      <c r="L896" s="407"/>
      <c r="M896" s="407"/>
      <c r="N896" s="407"/>
      <c r="O896" s="407"/>
      <c r="P896" s="407"/>
      <c r="Q896" s="407"/>
      <c r="R896" s="407"/>
      <c r="S896" s="408"/>
      <c r="T896" s="408"/>
      <c r="U896" s="408"/>
      <c r="V896" s="409"/>
      <c r="W896" s="410"/>
      <c r="X896" s="277"/>
      <c r="Y896" s="277"/>
      <c r="Z896" s="277"/>
    </row>
    <row r="897" ht="12.75" customHeight="1">
      <c r="A897" s="277"/>
      <c r="B897" s="278"/>
      <c r="C897" s="277"/>
      <c r="D897" s="278"/>
      <c r="E897" s="279"/>
      <c r="F897" s="406"/>
      <c r="G897" s="407"/>
      <c r="H897" s="407"/>
      <c r="I897" s="407"/>
      <c r="J897" s="407"/>
      <c r="K897" s="407"/>
      <c r="L897" s="407"/>
      <c r="M897" s="407"/>
      <c r="N897" s="407"/>
      <c r="O897" s="407"/>
      <c r="P897" s="407"/>
      <c r="Q897" s="407"/>
      <c r="R897" s="407"/>
      <c r="S897" s="408"/>
      <c r="T897" s="408"/>
      <c r="U897" s="408"/>
      <c r="V897" s="409"/>
      <c r="W897" s="410"/>
      <c r="X897" s="277"/>
      <c r="Y897" s="277"/>
      <c r="Z897" s="277"/>
    </row>
    <row r="898" ht="12.75" customHeight="1">
      <c r="A898" s="277"/>
      <c r="B898" s="278"/>
      <c r="C898" s="277"/>
      <c r="D898" s="278"/>
      <c r="E898" s="279"/>
      <c r="F898" s="406"/>
      <c r="G898" s="407"/>
      <c r="H898" s="407"/>
      <c r="I898" s="407"/>
      <c r="J898" s="407"/>
      <c r="K898" s="407"/>
      <c r="L898" s="407"/>
      <c r="M898" s="407"/>
      <c r="N898" s="407"/>
      <c r="O898" s="407"/>
      <c r="P898" s="407"/>
      <c r="Q898" s="407"/>
      <c r="R898" s="407"/>
      <c r="S898" s="408"/>
      <c r="T898" s="408"/>
      <c r="U898" s="408"/>
      <c r="V898" s="409"/>
      <c r="W898" s="410"/>
      <c r="X898" s="277"/>
      <c r="Y898" s="277"/>
      <c r="Z898" s="277"/>
    </row>
    <row r="899" ht="12.75" customHeight="1">
      <c r="A899" s="277"/>
      <c r="B899" s="278"/>
      <c r="C899" s="277"/>
      <c r="D899" s="278"/>
      <c r="E899" s="279"/>
      <c r="F899" s="406"/>
      <c r="G899" s="407"/>
      <c r="H899" s="407"/>
      <c r="I899" s="407"/>
      <c r="J899" s="407"/>
      <c r="K899" s="407"/>
      <c r="L899" s="407"/>
      <c r="M899" s="407"/>
      <c r="N899" s="407"/>
      <c r="O899" s="407"/>
      <c r="P899" s="407"/>
      <c r="Q899" s="407"/>
      <c r="R899" s="407"/>
      <c r="S899" s="408"/>
      <c r="T899" s="408"/>
      <c r="U899" s="408"/>
      <c r="V899" s="409"/>
      <c r="W899" s="410"/>
      <c r="X899" s="277"/>
      <c r="Y899" s="277"/>
      <c r="Z899" s="277"/>
    </row>
    <row r="900" ht="12.75" customHeight="1">
      <c r="A900" s="277"/>
      <c r="B900" s="278"/>
      <c r="C900" s="277"/>
      <c r="D900" s="278"/>
      <c r="E900" s="279"/>
      <c r="F900" s="406"/>
      <c r="G900" s="407"/>
      <c r="H900" s="407"/>
      <c r="I900" s="407"/>
      <c r="J900" s="407"/>
      <c r="K900" s="407"/>
      <c r="L900" s="407"/>
      <c r="M900" s="407"/>
      <c r="N900" s="407"/>
      <c r="O900" s="407"/>
      <c r="P900" s="407"/>
      <c r="Q900" s="407"/>
      <c r="R900" s="407"/>
      <c r="S900" s="408"/>
      <c r="T900" s="408"/>
      <c r="U900" s="408"/>
      <c r="V900" s="409"/>
      <c r="W900" s="410"/>
      <c r="X900" s="277"/>
      <c r="Y900" s="277"/>
      <c r="Z900" s="277"/>
    </row>
    <row r="901" ht="12.75" customHeight="1">
      <c r="A901" s="277"/>
      <c r="B901" s="278"/>
      <c r="C901" s="277"/>
      <c r="D901" s="278"/>
      <c r="E901" s="279"/>
      <c r="F901" s="406"/>
      <c r="G901" s="407"/>
      <c r="H901" s="407"/>
      <c r="I901" s="407"/>
      <c r="J901" s="407"/>
      <c r="K901" s="407"/>
      <c r="L901" s="407"/>
      <c r="M901" s="407"/>
      <c r="N901" s="407"/>
      <c r="O901" s="407"/>
      <c r="P901" s="407"/>
      <c r="Q901" s="407"/>
      <c r="R901" s="407"/>
      <c r="S901" s="408"/>
      <c r="T901" s="408"/>
      <c r="U901" s="408"/>
      <c r="V901" s="409"/>
      <c r="W901" s="410"/>
      <c r="X901" s="277"/>
      <c r="Y901" s="277"/>
      <c r="Z901" s="277"/>
    </row>
    <row r="902" ht="12.75" customHeight="1">
      <c r="A902" s="277"/>
      <c r="B902" s="278"/>
      <c r="C902" s="277"/>
      <c r="D902" s="278"/>
      <c r="E902" s="279"/>
      <c r="F902" s="406"/>
      <c r="G902" s="407"/>
      <c r="H902" s="407"/>
      <c r="I902" s="407"/>
      <c r="J902" s="407"/>
      <c r="K902" s="407"/>
      <c r="L902" s="407"/>
      <c r="M902" s="407"/>
      <c r="N902" s="407"/>
      <c r="O902" s="407"/>
      <c r="P902" s="407"/>
      <c r="Q902" s="407"/>
      <c r="R902" s="407"/>
      <c r="S902" s="408"/>
      <c r="T902" s="408"/>
      <c r="U902" s="408"/>
      <c r="V902" s="409"/>
      <c r="W902" s="410"/>
      <c r="X902" s="277"/>
      <c r="Y902" s="277"/>
      <c r="Z902" s="277"/>
    </row>
    <row r="903" ht="12.75" customHeight="1">
      <c r="A903" s="277"/>
      <c r="B903" s="278"/>
      <c r="C903" s="277"/>
      <c r="D903" s="278"/>
      <c r="E903" s="279"/>
      <c r="F903" s="406"/>
      <c r="G903" s="407"/>
      <c r="H903" s="407"/>
      <c r="I903" s="407"/>
      <c r="J903" s="407"/>
      <c r="K903" s="407"/>
      <c r="L903" s="407"/>
      <c r="M903" s="407"/>
      <c r="N903" s="407"/>
      <c r="O903" s="407"/>
      <c r="P903" s="407"/>
      <c r="Q903" s="407"/>
      <c r="R903" s="407"/>
      <c r="S903" s="408"/>
      <c r="T903" s="408"/>
      <c r="U903" s="408"/>
      <c r="V903" s="409"/>
      <c r="W903" s="410"/>
      <c r="X903" s="277"/>
      <c r="Y903" s="277"/>
      <c r="Z903" s="277"/>
    </row>
    <row r="904" ht="12.75" customHeight="1">
      <c r="A904" s="277"/>
      <c r="B904" s="278"/>
      <c r="C904" s="277"/>
      <c r="D904" s="278"/>
      <c r="E904" s="279"/>
      <c r="F904" s="406"/>
      <c r="G904" s="407"/>
      <c r="H904" s="407"/>
      <c r="I904" s="407"/>
      <c r="J904" s="407"/>
      <c r="K904" s="407"/>
      <c r="L904" s="407"/>
      <c r="M904" s="407"/>
      <c r="N904" s="407"/>
      <c r="O904" s="407"/>
      <c r="P904" s="407"/>
      <c r="Q904" s="407"/>
      <c r="R904" s="407"/>
      <c r="S904" s="408"/>
      <c r="T904" s="408"/>
      <c r="U904" s="408"/>
      <c r="V904" s="409"/>
      <c r="W904" s="410"/>
      <c r="X904" s="277"/>
      <c r="Y904" s="277"/>
      <c r="Z904" s="277"/>
    </row>
    <row r="905" ht="12.75" customHeight="1">
      <c r="A905" s="277"/>
      <c r="B905" s="278"/>
      <c r="C905" s="277"/>
      <c r="D905" s="278"/>
      <c r="E905" s="279"/>
      <c r="F905" s="406"/>
      <c r="G905" s="407"/>
      <c r="H905" s="407"/>
      <c r="I905" s="407"/>
      <c r="J905" s="407"/>
      <c r="K905" s="407"/>
      <c r="L905" s="407"/>
      <c r="M905" s="407"/>
      <c r="N905" s="407"/>
      <c r="O905" s="407"/>
      <c r="P905" s="407"/>
      <c r="Q905" s="407"/>
      <c r="R905" s="407"/>
      <c r="S905" s="408"/>
      <c r="T905" s="408"/>
      <c r="U905" s="408"/>
      <c r="V905" s="409"/>
      <c r="W905" s="410"/>
      <c r="X905" s="277"/>
      <c r="Y905" s="277"/>
      <c r="Z905" s="277"/>
    </row>
    <row r="906" ht="12.75" customHeight="1">
      <c r="A906" s="277"/>
      <c r="B906" s="278"/>
      <c r="C906" s="277"/>
      <c r="D906" s="278"/>
      <c r="E906" s="279"/>
      <c r="F906" s="406"/>
      <c r="G906" s="407"/>
      <c r="H906" s="407"/>
      <c r="I906" s="407"/>
      <c r="J906" s="407"/>
      <c r="K906" s="407"/>
      <c r="L906" s="407"/>
      <c r="M906" s="407"/>
      <c r="N906" s="407"/>
      <c r="O906" s="407"/>
      <c r="P906" s="407"/>
      <c r="Q906" s="407"/>
      <c r="R906" s="407"/>
      <c r="S906" s="408"/>
      <c r="T906" s="408"/>
      <c r="U906" s="408"/>
      <c r="V906" s="409"/>
      <c r="W906" s="410"/>
      <c r="X906" s="277"/>
      <c r="Y906" s="277"/>
      <c r="Z906" s="277"/>
    </row>
    <row r="907" ht="12.75" customHeight="1">
      <c r="A907" s="277"/>
      <c r="B907" s="278"/>
      <c r="C907" s="277"/>
      <c r="D907" s="278"/>
      <c r="E907" s="279"/>
      <c r="F907" s="406"/>
      <c r="G907" s="407"/>
      <c r="H907" s="407"/>
      <c r="I907" s="407"/>
      <c r="J907" s="407"/>
      <c r="K907" s="407"/>
      <c r="L907" s="407"/>
      <c r="M907" s="407"/>
      <c r="N907" s="407"/>
      <c r="O907" s="407"/>
      <c r="P907" s="407"/>
      <c r="Q907" s="407"/>
      <c r="R907" s="407"/>
      <c r="S907" s="408"/>
      <c r="T907" s="408"/>
      <c r="U907" s="408"/>
      <c r="V907" s="409"/>
      <c r="W907" s="410"/>
      <c r="X907" s="277"/>
      <c r="Y907" s="277"/>
      <c r="Z907" s="277"/>
    </row>
    <row r="908" ht="12.75" customHeight="1">
      <c r="A908" s="277"/>
      <c r="B908" s="278"/>
      <c r="C908" s="277"/>
      <c r="D908" s="278"/>
      <c r="E908" s="279"/>
      <c r="F908" s="406"/>
      <c r="G908" s="407"/>
      <c r="H908" s="407"/>
      <c r="I908" s="407"/>
      <c r="J908" s="407"/>
      <c r="K908" s="407"/>
      <c r="L908" s="407"/>
      <c r="M908" s="407"/>
      <c r="N908" s="407"/>
      <c r="O908" s="407"/>
      <c r="P908" s="407"/>
      <c r="Q908" s="407"/>
      <c r="R908" s="407"/>
      <c r="S908" s="408"/>
      <c r="T908" s="408"/>
      <c r="U908" s="408"/>
      <c r="V908" s="409"/>
      <c r="W908" s="410"/>
      <c r="X908" s="277"/>
      <c r="Y908" s="277"/>
      <c r="Z908" s="277"/>
    </row>
    <row r="909" ht="12.75" customHeight="1">
      <c r="A909" s="277"/>
      <c r="B909" s="278"/>
      <c r="C909" s="277"/>
      <c r="D909" s="278"/>
      <c r="E909" s="279"/>
      <c r="F909" s="406"/>
      <c r="G909" s="407"/>
      <c r="H909" s="407"/>
      <c r="I909" s="407"/>
      <c r="J909" s="407"/>
      <c r="K909" s="407"/>
      <c r="L909" s="407"/>
      <c r="M909" s="407"/>
      <c r="N909" s="407"/>
      <c r="O909" s="407"/>
      <c r="P909" s="407"/>
      <c r="Q909" s="407"/>
      <c r="R909" s="407"/>
      <c r="S909" s="408"/>
      <c r="T909" s="408"/>
      <c r="U909" s="408"/>
      <c r="V909" s="409"/>
      <c r="W909" s="410"/>
      <c r="X909" s="277"/>
      <c r="Y909" s="277"/>
      <c r="Z909" s="277"/>
    </row>
    <row r="910" ht="12.75" customHeight="1">
      <c r="A910" s="277"/>
      <c r="B910" s="278"/>
      <c r="C910" s="277"/>
      <c r="D910" s="278"/>
      <c r="E910" s="279"/>
      <c r="F910" s="406"/>
      <c r="G910" s="407"/>
      <c r="H910" s="407"/>
      <c r="I910" s="407"/>
      <c r="J910" s="407"/>
      <c r="K910" s="407"/>
      <c r="L910" s="407"/>
      <c r="M910" s="407"/>
      <c r="N910" s="407"/>
      <c r="O910" s="407"/>
      <c r="P910" s="407"/>
      <c r="Q910" s="407"/>
      <c r="R910" s="407"/>
      <c r="S910" s="408"/>
      <c r="T910" s="408"/>
      <c r="U910" s="408"/>
      <c r="V910" s="409"/>
      <c r="W910" s="410"/>
      <c r="X910" s="277"/>
      <c r="Y910" s="277"/>
      <c r="Z910" s="277"/>
    </row>
    <row r="911" ht="12.75" customHeight="1">
      <c r="A911" s="277"/>
      <c r="B911" s="278"/>
      <c r="C911" s="277"/>
      <c r="D911" s="278"/>
      <c r="E911" s="279"/>
      <c r="F911" s="406"/>
      <c r="G911" s="407"/>
      <c r="H911" s="407"/>
      <c r="I911" s="407"/>
      <c r="J911" s="407"/>
      <c r="K911" s="407"/>
      <c r="L911" s="407"/>
      <c r="M911" s="407"/>
      <c r="N911" s="407"/>
      <c r="O911" s="407"/>
      <c r="P911" s="407"/>
      <c r="Q911" s="407"/>
      <c r="R911" s="407"/>
      <c r="S911" s="408"/>
      <c r="T911" s="408"/>
      <c r="U911" s="408"/>
      <c r="V911" s="409"/>
      <c r="W911" s="410"/>
      <c r="X911" s="277"/>
      <c r="Y911" s="277"/>
      <c r="Z911" s="277"/>
    </row>
    <row r="912" ht="12.75" customHeight="1">
      <c r="A912" s="277"/>
      <c r="B912" s="278"/>
      <c r="C912" s="277"/>
      <c r="D912" s="278"/>
      <c r="E912" s="279"/>
      <c r="F912" s="406"/>
      <c r="G912" s="407"/>
      <c r="H912" s="407"/>
      <c r="I912" s="407"/>
      <c r="J912" s="407"/>
      <c r="K912" s="407"/>
      <c r="L912" s="407"/>
      <c r="M912" s="407"/>
      <c r="N912" s="407"/>
      <c r="O912" s="407"/>
      <c r="P912" s="407"/>
      <c r="Q912" s="407"/>
      <c r="R912" s="407"/>
      <c r="S912" s="408"/>
      <c r="T912" s="408"/>
      <c r="U912" s="408"/>
      <c r="V912" s="409"/>
      <c r="W912" s="410"/>
      <c r="X912" s="277"/>
      <c r="Y912" s="277"/>
      <c r="Z912" s="277"/>
    </row>
    <row r="913" ht="12.75" customHeight="1">
      <c r="A913" s="277"/>
      <c r="B913" s="278"/>
      <c r="C913" s="277"/>
      <c r="D913" s="278"/>
      <c r="E913" s="279"/>
      <c r="F913" s="406"/>
      <c r="G913" s="407"/>
      <c r="H913" s="407"/>
      <c r="I913" s="407"/>
      <c r="J913" s="407"/>
      <c r="K913" s="407"/>
      <c r="L913" s="407"/>
      <c r="M913" s="407"/>
      <c r="N913" s="407"/>
      <c r="O913" s="407"/>
      <c r="P913" s="407"/>
      <c r="Q913" s="407"/>
      <c r="R913" s="407"/>
      <c r="S913" s="408"/>
      <c r="T913" s="408"/>
      <c r="U913" s="408"/>
      <c r="V913" s="409"/>
      <c r="W913" s="410"/>
      <c r="X913" s="277"/>
      <c r="Y913" s="277"/>
      <c r="Z913" s="277"/>
    </row>
    <row r="914" ht="12.75" customHeight="1">
      <c r="A914" s="277"/>
      <c r="B914" s="278"/>
      <c r="C914" s="277"/>
      <c r="D914" s="278"/>
      <c r="E914" s="279"/>
      <c r="F914" s="406"/>
      <c r="G914" s="407"/>
      <c r="H914" s="407"/>
      <c r="I914" s="407"/>
      <c r="J914" s="407"/>
      <c r="K914" s="407"/>
      <c r="L914" s="407"/>
      <c r="M914" s="407"/>
      <c r="N914" s="407"/>
      <c r="O914" s="407"/>
      <c r="P914" s="407"/>
      <c r="Q914" s="407"/>
      <c r="R914" s="407"/>
      <c r="S914" s="408"/>
      <c r="T914" s="408"/>
      <c r="U914" s="408"/>
      <c r="V914" s="409"/>
      <c r="W914" s="410"/>
      <c r="X914" s="277"/>
      <c r="Y914" s="277"/>
      <c r="Z914" s="277"/>
    </row>
    <row r="915" ht="12.75" customHeight="1">
      <c r="A915" s="277"/>
      <c r="B915" s="278"/>
      <c r="C915" s="277"/>
      <c r="D915" s="278"/>
      <c r="E915" s="279"/>
      <c r="F915" s="406"/>
      <c r="G915" s="407"/>
      <c r="H915" s="407"/>
      <c r="I915" s="407"/>
      <c r="J915" s="407"/>
      <c r="K915" s="407"/>
      <c r="L915" s="407"/>
      <c r="M915" s="407"/>
      <c r="N915" s="407"/>
      <c r="O915" s="407"/>
      <c r="P915" s="407"/>
      <c r="Q915" s="407"/>
      <c r="R915" s="407"/>
      <c r="S915" s="408"/>
      <c r="T915" s="408"/>
      <c r="U915" s="408"/>
      <c r="V915" s="409"/>
      <c r="W915" s="410"/>
      <c r="X915" s="277"/>
      <c r="Y915" s="277"/>
      <c r="Z915" s="277"/>
    </row>
    <row r="916" ht="12.75" customHeight="1">
      <c r="A916" s="277"/>
      <c r="B916" s="278"/>
      <c r="C916" s="277"/>
      <c r="D916" s="278"/>
      <c r="E916" s="279"/>
      <c r="F916" s="406"/>
      <c r="G916" s="407"/>
      <c r="H916" s="407"/>
      <c r="I916" s="407"/>
      <c r="J916" s="407"/>
      <c r="K916" s="407"/>
      <c r="L916" s="407"/>
      <c r="M916" s="407"/>
      <c r="N916" s="407"/>
      <c r="O916" s="407"/>
      <c r="P916" s="407"/>
      <c r="Q916" s="407"/>
      <c r="R916" s="407"/>
      <c r="S916" s="408"/>
      <c r="T916" s="408"/>
      <c r="U916" s="408"/>
      <c r="V916" s="409"/>
      <c r="W916" s="410"/>
      <c r="X916" s="277"/>
      <c r="Y916" s="277"/>
      <c r="Z916" s="277"/>
    </row>
    <row r="917" ht="12.75" customHeight="1">
      <c r="A917" s="277"/>
      <c r="B917" s="278"/>
      <c r="C917" s="277"/>
      <c r="D917" s="278"/>
      <c r="E917" s="279"/>
      <c r="F917" s="406"/>
      <c r="G917" s="407"/>
      <c r="H917" s="407"/>
      <c r="I917" s="407"/>
      <c r="J917" s="407"/>
      <c r="K917" s="407"/>
      <c r="L917" s="407"/>
      <c r="M917" s="407"/>
      <c r="N917" s="407"/>
      <c r="O917" s="407"/>
      <c r="P917" s="407"/>
      <c r="Q917" s="407"/>
      <c r="R917" s="407"/>
      <c r="S917" s="408"/>
      <c r="T917" s="408"/>
      <c r="U917" s="408"/>
      <c r="V917" s="409"/>
      <c r="W917" s="410"/>
      <c r="X917" s="277"/>
      <c r="Y917" s="277"/>
      <c r="Z917" s="277"/>
    </row>
    <row r="918" ht="12.75" customHeight="1">
      <c r="A918" s="277"/>
      <c r="B918" s="278"/>
      <c r="C918" s="277"/>
      <c r="D918" s="278"/>
      <c r="E918" s="279"/>
      <c r="F918" s="406"/>
      <c r="G918" s="407"/>
      <c r="H918" s="407"/>
      <c r="I918" s="407"/>
      <c r="J918" s="407"/>
      <c r="K918" s="407"/>
      <c r="L918" s="407"/>
      <c r="M918" s="407"/>
      <c r="N918" s="407"/>
      <c r="O918" s="407"/>
      <c r="P918" s="407"/>
      <c r="Q918" s="407"/>
      <c r="R918" s="407"/>
      <c r="S918" s="408"/>
      <c r="T918" s="408"/>
      <c r="U918" s="408"/>
      <c r="V918" s="409"/>
      <c r="W918" s="410"/>
      <c r="X918" s="277"/>
      <c r="Y918" s="277"/>
      <c r="Z918" s="277"/>
    </row>
    <row r="919" ht="12.75" customHeight="1">
      <c r="A919" s="277"/>
      <c r="B919" s="278"/>
      <c r="C919" s="277"/>
      <c r="D919" s="278"/>
      <c r="E919" s="279"/>
      <c r="F919" s="406"/>
      <c r="G919" s="407"/>
      <c r="H919" s="407"/>
      <c r="I919" s="407"/>
      <c r="J919" s="407"/>
      <c r="K919" s="407"/>
      <c r="L919" s="407"/>
      <c r="M919" s="407"/>
      <c r="N919" s="407"/>
      <c r="O919" s="407"/>
      <c r="P919" s="407"/>
      <c r="Q919" s="407"/>
      <c r="R919" s="407"/>
      <c r="S919" s="408"/>
      <c r="T919" s="408"/>
      <c r="U919" s="408"/>
      <c r="V919" s="409"/>
      <c r="W919" s="410"/>
      <c r="X919" s="277"/>
      <c r="Y919" s="277"/>
      <c r="Z919" s="277"/>
    </row>
    <row r="920" ht="12.75" customHeight="1">
      <c r="A920" s="277"/>
      <c r="B920" s="278"/>
      <c r="C920" s="277"/>
      <c r="D920" s="278"/>
      <c r="E920" s="279"/>
      <c r="F920" s="406"/>
      <c r="G920" s="407"/>
      <c r="H920" s="407"/>
      <c r="I920" s="407"/>
      <c r="J920" s="407"/>
      <c r="K920" s="407"/>
      <c r="L920" s="407"/>
      <c r="M920" s="407"/>
      <c r="N920" s="407"/>
      <c r="O920" s="407"/>
      <c r="P920" s="407"/>
      <c r="Q920" s="407"/>
      <c r="R920" s="407"/>
      <c r="S920" s="408"/>
      <c r="T920" s="408"/>
      <c r="U920" s="408"/>
      <c r="V920" s="409"/>
      <c r="W920" s="410"/>
      <c r="X920" s="277"/>
      <c r="Y920" s="277"/>
      <c r="Z920" s="277"/>
    </row>
    <row r="921" ht="12.75" customHeight="1">
      <c r="A921" s="277"/>
      <c r="B921" s="278"/>
      <c r="C921" s="277"/>
      <c r="D921" s="278"/>
      <c r="E921" s="279"/>
      <c r="F921" s="406"/>
      <c r="G921" s="407"/>
      <c r="H921" s="407"/>
      <c r="I921" s="407"/>
      <c r="J921" s="407"/>
      <c r="K921" s="407"/>
      <c r="L921" s="407"/>
      <c r="M921" s="407"/>
      <c r="N921" s="407"/>
      <c r="O921" s="407"/>
      <c r="P921" s="407"/>
      <c r="Q921" s="407"/>
      <c r="R921" s="407"/>
      <c r="S921" s="408"/>
      <c r="T921" s="408"/>
      <c r="U921" s="408"/>
      <c r="V921" s="409"/>
      <c r="W921" s="410"/>
      <c r="X921" s="277"/>
      <c r="Y921" s="277"/>
      <c r="Z921" s="277"/>
    </row>
    <row r="922" ht="12.75" customHeight="1">
      <c r="A922" s="277"/>
      <c r="B922" s="278"/>
      <c r="C922" s="277"/>
      <c r="D922" s="278"/>
      <c r="E922" s="279"/>
      <c r="F922" s="406"/>
      <c r="G922" s="407"/>
      <c r="H922" s="407"/>
      <c r="I922" s="407"/>
      <c r="J922" s="407"/>
      <c r="K922" s="407"/>
      <c r="L922" s="407"/>
      <c r="M922" s="407"/>
      <c r="N922" s="407"/>
      <c r="O922" s="407"/>
      <c r="P922" s="407"/>
      <c r="Q922" s="407"/>
      <c r="R922" s="407"/>
      <c r="S922" s="408"/>
      <c r="T922" s="408"/>
      <c r="U922" s="408"/>
      <c r="V922" s="409"/>
      <c r="W922" s="410"/>
      <c r="X922" s="277"/>
      <c r="Y922" s="277"/>
      <c r="Z922" s="277"/>
    </row>
    <row r="923" ht="12.75" customHeight="1">
      <c r="A923" s="277"/>
      <c r="B923" s="278"/>
      <c r="C923" s="277"/>
      <c r="D923" s="278"/>
      <c r="E923" s="279"/>
      <c r="F923" s="406"/>
      <c r="G923" s="407"/>
      <c r="H923" s="407"/>
      <c r="I923" s="407"/>
      <c r="J923" s="407"/>
      <c r="K923" s="407"/>
      <c r="L923" s="407"/>
      <c r="M923" s="407"/>
      <c r="N923" s="407"/>
      <c r="O923" s="407"/>
      <c r="P923" s="407"/>
      <c r="Q923" s="407"/>
      <c r="R923" s="407"/>
      <c r="S923" s="408"/>
      <c r="T923" s="408"/>
      <c r="U923" s="408"/>
      <c r="V923" s="409"/>
      <c r="W923" s="410"/>
      <c r="X923" s="277"/>
      <c r="Y923" s="277"/>
      <c r="Z923" s="277"/>
    </row>
    <row r="924" ht="12.75" customHeight="1">
      <c r="A924" s="277"/>
      <c r="B924" s="278"/>
      <c r="C924" s="277"/>
      <c r="D924" s="278"/>
      <c r="E924" s="279"/>
      <c r="F924" s="406"/>
      <c r="G924" s="407"/>
      <c r="H924" s="407"/>
      <c r="I924" s="407"/>
      <c r="J924" s="407"/>
      <c r="K924" s="407"/>
      <c r="L924" s="407"/>
      <c r="M924" s="407"/>
      <c r="N924" s="407"/>
      <c r="O924" s="407"/>
      <c r="P924" s="407"/>
      <c r="Q924" s="407"/>
      <c r="R924" s="407"/>
      <c r="S924" s="408"/>
      <c r="T924" s="408"/>
      <c r="U924" s="408"/>
      <c r="V924" s="409"/>
      <c r="W924" s="410"/>
      <c r="X924" s="277"/>
      <c r="Y924" s="277"/>
      <c r="Z924" s="277"/>
    </row>
    <row r="925" ht="12.75" customHeight="1">
      <c r="A925" s="277"/>
      <c r="B925" s="278"/>
      <c r="C925" s="277"/>
      <c r="D925" s="278"/>
      <c r="E925" s="279"/>
      <c r="F925" s="406"/>
      <c r="G925" s="407"/>
      <c r="H925" s="407"/>
      <c r="I925" s="407"/>
      <c r="J925" s="407"/>
      <c r="K925" s="407"/>
      <c r="L925" s="407"/>
      <c r="M925" s="407"/>
      <c r="N925" s="407"/>
      <c r="O925" s="407"/>
      <c r="P925" s="407"/>
      <c r="Q925" s="407"/>
      <c r="R925" s="407"/>
      <c r="S925" s="408"/>
      <c r="T925" s="408"/>
      <c r="U925" s="408"/>
      <c r="V925" s="409"/>
      <c r="W925" s="410"/>
      <c r="X925" s="277"/>
      <c r="Y925" s="277"/>
      <c r="Z925" s="277"/>
    </row>
    <row r="926" ht="12.75" customHeight="1">
      <c r="A926" s="277"/>
      <c r="B926" s="278"/>
      <c r="C926" s="277"/>
      <c r="D926" s="278"/>
      <c r="E926" s="279"/>
      <c r="F926" s="406"/>
      <c r="G926" s="407"/>
      <c r="H926" s="407"/>
      <c r="I926" s="407"/>
      <c r="J926" s="407"/>
      <c r="K926" s="407"/>
      <c r="L926" s="407"/>
      <c r="M926" s="407"/>
      <c r="N926" s="407"/>
      <c r="O926" s="407"/>
      <c r="P926" s="407"/>
      <c r="Q926" s="407"/>
      <c r="R926" s="407"/>
      <c r="S926" s="408"/>
      <c r="T926" s="408"/>
      <c r="U926" s="408"/>
      <c r="V926" s="409"/>
      <c r="W926" s="410"/>
      <c r="X926" s="277"/>
      <c r="Y926" s="277"/>
      <c r="Z926" s="277"/>
    </row>
    <row r="927" ht="12.75" customHeight="1">
      <c r="A927" s="277"/>
      <c r="B927" s="278"/>
      <c r="C927" s="277"/>
      <c r="D927" s="278"/>
      <c r="E927" s="279"/>
      <c r="F927" s="406"/>
      <c r="G927" s="407"/>
      <c r="H927" s="407"/>
      <c r="I927" s="407"/>
      <c r="J927" s="407"/>
      <c r="K927" s="407"/>
      <c r="L927" s="407"/>
      <c r="M927" s="407"/>
      <c r="N927" s="407"/>
      <c r="O927" s="407"/>
      <c r="P927" s="407"/>
      <c r="Q927" s="407"/>
      <c r="R927" s="407"/>
      <c r="S927" s="408"/>
      <c r="T927" s="408"/>
      <c r="U927" s="408"/>
      <c r="V927" s="409"/>
      <c r="W927" s="410"/>
      <c r="X927" s="277"/>
      <c r="Y927" s="277"/>
      <c r="Z927" s="277"/>
    </row>
    <row r="928" ht="12.75" customHeight="1">
      <c r="A928" s="277"/>
      <c r="B928" s="278"/>
      <c r="C928" s="277"/>
      <c r="D928" s="278"/>
      <c r="E928" s="279"/>
      <c r="F928" s="406"/>
      <c r="G928" s="407"/>
      <c r="H928" s="407"/>
      <c r="I928" s="407"/>
      <c r="J928" s="407"/>
      <c r="K928" s="407"/>
      <c r="L928" s="407"/>
      <c r="M928" s="407"/>
      <c r="N928" s="407"/>
      <c r="O928" s="407"/>
      <c r="P928" s="407"/>
      <c r="Q928" s="407"/>
      <c r="R928" s="407"/>
      <c r="S928" s="408"/>
      <c r="T928" s="408"/>
      <c r="U928" s="408"/>
      <c r="V928" s="409"/>
      <c r="W928" s="410"/>
      <c r="X928" s="277"/>
      <c r="Y928" s="277"/>
      <c r="Z928" s="277"/>
    </row>
    <row r="929" ht="12.75" customHeight="1">
      <c r="A929" s="277"/>
      <c r="B929" s="278"/>
      <c r="C929" s="277"/>
      <c r="D929" s="278"/>
      <c r="E929" s="279"/>
      <c r="F929" s="406"/>
      <c r="G929" s="407"/>
      <c r="H929" s="407"/>
      <c r="I929" s="407"/>
      <c r="J929" s="407"/>
      <c r="K929" s="407"/>
      <c r="L929" s="407"/>
      <c r="M929" s="407"/>
      <c r="N929" s="407"/>
      <c r="O929" s="407"/>
      <c r="P929" s="407"/>
      <c r="Q929" s="407"/>
      <c r="R929" s="407"/>
      <c r="S929" s="408"/>
      <c r="T929" s="408"/>
      <c r="U929" s="408"/>
      <c r="V929" s="409"/>
      <c r="W929" s="410"/>
      <c r="X929" s="277"/>
      <c r="Y929" s="277"/>
      <c r="Z929" s="277"/>
    </row>
    <row r="930" ht="12.75" customHeight="1">
      <c r="A930" s="277"/>
      <c r="B930" s="278"/>
      <c r="C930" s="277"/>
      <c r="D930" s="278"/>
      <c r="E930" s="279"/>
      <c r="F930" s="406"/>
      <c r="G930" s="407"/>
      <c r="H930" s="407"/>
      <c r="I930" s="407"/>
      <c r="J930" s="407"/>
      <c r="K930" s="407"/>
      <c r="L930" s="407"/>
      <c r="M930" s="407"/>
      <c r="N930" s="407"/>
      <c r="O930" s="407"/>
      <c r="P930" s="407"/>
      <c r="Q930" s="407"/>
      <c r="R930" s="407"/>
      <c r="S930" s="408"/>
      <c r="T930" s="408"/>
      <c r="U930" s="408"/>
      <c r="V930" s="409"/>
      <c r="W930" s="410"/>
      <c r="X930" s="277"/>
      <c r="Y930" s="277"/>
      <c r="Z930" s="277"/>
    </row>
    <row r="931" ht="12.75" customHeight="1">
      <c r="A931" s="277"/>
      <c r="B931" s="278"/>
      <c r="C931" s="277"/>
      <c r="D931" s="278"/>
      <c r="E931" s="279"/>
      <c r="F931" s="406"/>
      <c r="G931" s="407"/>
      <c r="H931" s="407"/>
      <c r="I931" s="407"/>
      <c r="J931" s="407"/>
      <c r="K931" s="407"/>
      <c r="L931" s="407"/>
      <c r="M931" s="407"/>
      <c r="N931" s="407"/>
      <c r="O931" s="407"/>
      <c r="P931" s="407"/>
      <c r="Q931" s="407"/>
      <c r="R931" s="407"/>
      <c r="S931" s="408"/>
      <c r="T931" s="408"/>
      <c r="U931" s="408"/>
      <c r="V931" s="409"/>
      <c r="W931" s="410"/>
      <c r="X931" s="277"/>
      <c r="Y931" s="277"/>
      <c r="Z931" s="277"/>
    </row>
    <row r="932" ht="12.75" customHeight="1">
      <c r="A932" s="277"/>
      <c r="B932" s="278"/>
      <c r="C932" s="277"/>
      <c r="D932" s="278"/>
      <c r="E932" s="279"/>
      <c r="F932" s="406"/>
      <c r="G932" s="407"/>
      <c r="H932" s="407"/>
      <c r="I932" s="407"/>
      <c r="J932" s="407"/>
      <c r="K932" s="407"/>
      <c r="L932" s="407"/>
      <c r="M932" s="407"/>
      <c r="N932" s="407"/>
      <c r="O932" s="407"/>
      <c r="P932" s="407"/>
      <c r="Q932" s="407"/>
      <c r="R932" s="407"/>
      <c r="S932" s="408"/>
      <c r="T932" s="408"/>
      <c r="U932" s="408"/>
      <c r="V932" s="409"/>
      <c r="W932" s="410"/>
      <c r="X932" s="277"/>
      <c r="Y932" s="277"/>
      <c r="Z932" s="277"/>
    </row>
    <row r="933" ht="12.75" customHeight="1">
      <c r="A933" s="277"/>
      <c r="B933" s="278"/>
      <c r="C933" s="277"/>
      <c r="D933" s="278"/>
      <c r="E933" s="279"/>
      <c r="F933" s="406"/>
      <c r="G933" s="407"/>
      <c r="H933" s="407"/>
      <c r="I933" s="407"/>
      <c r="J933" s="407"/>
      <c r="K933" s="407"/>
      <c r="L933" s="407"/>
      <c r="M933" s="407"/>
      <c r="N933" s="407"/>
      <c r="O933" s="407"/>
      <c r="P933" s="407"/>
      <c r="Q933" s="407"/>
      <c r="R933" s="407"/>
      <c r="S933" s="408"/>
      <c r="T933" s="408"/>
      <c r="U933" s="408"/>
      <c r="V933" s="409"/>
      <c r="W933" s="410"/>
      <c r="X933" s="277"/>
      <c r="Y933" s="277"/>
      <c r="Z933" s="277"/>
    </row>
    <row r="934" ht="12.75" customHeight="1">
      <c r="A934" s="277"/>
      <c r="B934" s="278"/>
      <c r="C934" s="277"/>
      <c r="D934" s="278"/>
      <c r="E934" s="279"/>
      <c r="F934" s="406"/>
      <c r="G934" s="407"/>
      <c r="H934" s="407"/>
      <c r="I934" s="407"/>
      <c r="J934" s="407"/>
      <c r="K934" s="407"/>
      <c r="L934" s="407"/>
      <c r="M934" s="407"/>
      <c r="N934" s="407"/>
      <c r="O934" s="407"/>
      <c r="P934" s="407"/>
      <c r="Q934" s="407"/>
      <c r="R934" s="407"/>
      <c r="S934" s="408"/>
      <c r="T934" s="408"/>
      <c r="U934" s="408"/>
      <c r="V934" s="409"/>
      <c r="W934" s="410"/>
      <c r="X934" s="277"/>
      <c r="Y934" s="277"/>
      <c r="Z934" s="277"/>
    </row>
    <row r="935" ht="12.75" customHeight="1">
      <c r="A935" s="277"/>
      <c r="B935" s="278"/>
      <c r="C935" s="277"/>
      <c r="D935" s="278"/>
      <c r="E935" s="279"/>
      <c r="F935" s="406"/>
      <c r="G935" s="407"/>
      <c r="H935" s="407"/>
      <c r="I935" s="407"/>
      <c r="J935" s="407"/>
      <c r="K935" s="407"/>
      <c r="L935" s="407"/>
      <c r="M935" s="407"/>
      <c r="N935" s="407"/>
      <c r="O935" s="407"/>
      <c r="P935" s="407"/>
      <c r="Q935" s="407"/>
      <c r="R935" s="407"/>
      <c r="S935" s="408"/>
      <c r="T935" s="408"/>
      <c r="U935" s="408"/>
      <c r="V935" s="409"/>
      <c r="W935" s="410"/>
      <c r="X935" s="277"/>
      <c r="Y935" s="277"/>
      <c r="Z935" s="277"/>
    </row>
    <row r="936" ht="12.75" customHeight="1">
      <c r="A936" s="277"/>
      <c r="B936" s="278"/>
      <c r="C936" s="277"/>
      <c r="D936" s="278"/>
      <c r="E936" s="279"/>
      <c r="F936" s="406"/>
      <c r="G936" s="407"/>
      <c r="H936" s="407"/>
      <c r="I936" s="407"/>
      <c r="J936" s="407"/>
      <c r="K936" s="407"/>
      <c r="L936" s="407"/>
      <c r="M936" s="407"/>
      <c r="N936" s="407"/>
      <c r="O936" s="407"/>
      <c r="P936" s="407"/>
      <c r="Q936" s="407"/>
      <c r="R936" s="407"/>
      <c r="S936" s="408"/>
      <c r="T936" s="408"/>
      <c r="U936" s="408"/>
      <c r="V936" s="409"/>
      <c r="W936" s="410"/>
      <c r="X936" s="277"/>
      <c r="Y936" s="277"/>
      <c r="Z936" s="277"/>
    </row>
    <row r="937" ht="12.75" customHeight="1">
      <c r="A937" s="277"/>
      <c r="B937" s="278"/>
      <c r="C937" s="277"/>
      <c r="D937" s="278"/>
      <c r="E937" s="279"/>
      <c r="F937" s="406"/>
      <c r="G937" s="407"/>
      <c r="H937" s="407"/>
      <c r="I937" s="407"/>
      <c r="J937" s="407"/>
      <c r="K937" s="407"/>
      <c r="L937" s="407"/>
      <c r="M937" s="407"/>
      <c r="N937" s="407"/>
      <c r="O937" s="407"/>
      <c r="P937" s="407"/>
      <c r="Q937" s="407"/>
      <c r="R937" s="407"/>
      <c r="S937" s="408"/>
      <c r="T937" s="408"/>
      <c r="U937" s="408"/>
      <c r="V937" s="409"/>
      <c r="W937" s="410"/>
      <c r="X937" s="277"/>
      <c r="Y937" s="277"/>
      <c r="Z937" s="277"/>
    </row>
    <row r="938" ht="12.75" customHeight="1">
      <c r="A938" s="277"/>
      <c r="B938" s="278"/>
      <c r="C938" s="277"/>
      <c r="D938" s="278"/>
      <c r="E938" s="279"/>
      <c r="F938" s="406"/>
      <c r="G938" s="407"/>
      <c r="H938" s="407"/>
      <c r="I938" s="407"/>
      <c r="J938" s="407"/>
      <c r="K938" s="407"/>
      <c r="L938" s="407"/>
      <c r="M938" s="407"/>
      <c r="N938" s="407"/>
      <c r="O938" s="407"/>
      <c r="P938" s="407"/>
      <c r="Q938" s="407"/>
      <c r="R938" s="407"/>
      <c r="S938" s="408"/>
      <c r="T938" s="408"/>
      <c r="U938" s="408"/>
      <c r="V938" s="409"/>
      <c r="W938" s="410"/>
      <c r="X938" s="277"/>
      <c r="Y938" s="277"/>
      <c r="Z938" s="277"/>
    </row>
    <row r="939" ht="12.75" customHeight="1">
      <c r="A939" s="277"/>
      <c r="B939" s="278"/>
      <c r="C939" s="277"/>
      <c r="D939" s="278"/>
      <c r="E939" s="279"/>
      <c r="F939" s="406"/>
      <c r="G939" s="407"/>
      <c r="H939" s="407"/>
      <c r="I939" s="407"/>
      <c r="J939" s="407"/>
      <c r="K939" s="407"/>
      <c r="L939" s="407"/>
      <c r="M939" s="407"/>
      <c r="N939" s="407"/>
      <c r="O939" s="407"/>
      <c r="P939" s="407"/>
      <c r="Q939" s="407"/>
      <c r="R939" s="407"/>
      <c r="S939" s="408"/>
      <c r="T939" s="408"/>
      <c r="U939" s="408"/>
      <c r="V939" s="409"/>
      <c r="W939" s="410"/>
      <c r="X939" s="277"/>
      <c r="Y939" s="277"/>
      <c r="Z939" s="277"/>
    </row>
    <row r="940" ht="12.75" customHeight="1">
      <c r="A940" s="277"/>
      <c r="B940" s="278"/>
      <c r="C940" s="277"/>
      <c r="D940" s="278"/>
      <c r="E940" s="279"/>
      <c r="F940" s="406"/>
      <c r="G940" s="407"/>
      <c r="H940" s="407"/>
      <c r="I940" s="407"/>
      <c r="J940" s="407"/>
      <c r="K940" s="407"/>
      <c r="L940" s="407"/>
      <c r="M940" s="407"/>
      <c r="N940" s="407"/>
      <c r="O940" s="407"/>
      <c r="P940" s="407"/>
      <c r="Q940" s="407"/>
      <c r="R940" s="407"/>
      <c r="S940" s="408"/>
      <c r="T940" s="408"/>
      <c r="U940" s="408"/>
      <c r="V940" s="409"/>
      <c r="W940" s="410"/>
      <c r="X940" s="277"/>
      <c r="Y940" s="277"/>
      <c r="Z940" s="277"/>
    </row>
    <row r="941" ht="12.75" customHeight="1">
      <c r="A941" s="277"/>
      <c r="B941" s="278"/>
      <c r="C941" s="277"/>
      <c r="D941" s="278"/>
      <c r="E941" s="279"/>
      <c r="F941" s="406"/>
      <c r="G941" s="407"/>
      <c r="H941" s="407"/>
      <c r="I941" s="407"/>
      <c r="J941" s="407"/>
      <c r="K941" s="407"/>
      <c r="L941" s="407"/>
      <c r="M941" s="407"/>
      <c r="N941" s="407"/>
      <c r="O941" s="407"/>
      <c r="P941" s="407"/>
      <c r="Q941" s="407"/>
      <c r="R941" s="407"/>
      <c r="S941" s="408"/>
      <c r="T941" s="408"/>
      <c r="U941" s="408"/>
      <c r="V941" s="409"/>
      <c r="W941" s="410"/>
      <c r="X941" s="277"/>
      <c r="Y941" s="277"/>
      <c r="Z941" s="277"/>
    </row>
    <row r="942" ht="12.75" customHeight="1">
      <c r="A942" s="277"/>
      <c r="B942" s="278"/>
      <c r="C942" s="277"/>
      <c r="D942" s="278"/>
      <c r="E942" s="279"/>
      <c r="F942" s="406"/>
      <c r="G942" s="407"/>
      <c r="H942" s="407"/>
      <c r="I942" s="407"/>
      <c r="J942" s="407"/>
      <c r="K942" s="407"/>
      <c r="L942" s="407"/>
      <c r="M942" s="407"/>
      <c r="N942" s="407"/>
      <c r="O942" s="407"/>
      <c r="P942" s="407"/>
      <c r="Q942" s="407"/>
      <c r="R942" s="407"/>
      <c r="S942" s="408"/>
      <c r="T942" s="408"/>
      <c r="U942" s="408"/>
      <c r="V942" s="409"/>
      <c r="W942" s="410"/>
      <c r="X942" s="277"/>
      <c r="Y942" s="277"/>
      <c r="Z942" s="277"/>
    </row>
    <row r="943" ht="12.75" customHeight="1">
      <c r="A943" s="277"/>
      <c r="B943" s="278"/>
      <c r="C943" s="277"/>
      <c r="D943" s="278"/>
      <c r="E943" s="279"/>
      <c r="F943" s="406"/>
      <c r="G943" s="407"/>
      <c r="H943" s="407"/>
      <c r="I943" s="407"/>
      <c r="J943" s="407"/>
      <c r="K943" s="407"/>
      <c r="L943" s="407"/>
      <c r="M943" s="407"/>
      <c r="N943" s="407"/>
      <c r="O943" s="407"/>
      <c r="P943" s="407"/>
      <c r="Q943" s="407"/>
      <c r="R943" s="407"/>
      <c r="S943" s="408"/>
      <c r="T943" s="408"/>
      <c r="U943" s="408"/>
      <c r="V943" s="409"/>
      <c r="W943" s="410"/>
      <c r="X943" s="277"/>
      <c r="Y943" s="277"/>
      <c r="Z943" s="277"/>
    </row>
    <row r="944" ht="12.75" customHeight="1">
      <c r="A944" s="277"/>
      <c r="B944" s="278"/>
      <c r="C944" s="277"/>
      <c r="D944" s="278"/>
      <c r="E944" s="279"/>
      <c r="F944" s="406"/>
      <c r="G944" s="407"/>
      <c r="H944" s="407"/>
      <c r="I944" s="407"/>
      <c r="J944" s="407"/>
      <c r="K944" s="407"/>
      <c r="L944" s="407"/>
      <c r="M944" s="407"/>
      <c r="N944" s="407"/>
      <c r="O944" s="407"/>
      <c r="P944" s="407"/>
      <c r="Q944" s="407"/>
      <c r="R944" s="407"/>
      <c r="S944" s="408"/>
      <c r="T944" s="408"/>
      <c r="U944" s="408"/>
      <c r="V944" s="409"/>
      <c r="W944" s="410"/>
      <c r="X944" s="277"/>
      <c r="Y944" s="277"/>
      <c r="Z944" s="277"/>
    </row>
    <row r="945" ht="12.75" customHeight="1">
      <c r="A945" s="277"/>
      <c r="B945" s="278"/>
      <c r="C945" s="277"/>
      <c r="D945" s="278"/>
      <c r="E945" s="279"/>
      <c r="F945" s="406"/>
      <c r="G945" s="407"/>
      <c r="H945" s="407"/>
      <c r="I945" s="407"/>
      <c r="J945" s="407"/>
      <c r="K945" s="407"/>
      <c r="L945" s="407"/>
      <c r="M945" s="407"/>
      <c r="N945" s="407"/>
      <c r="O945" s="407"/>
      <c r="P945" s="407"/>
      <c r="Q945" s="407"/>
      <c r="R945" s="407"/>
      <c r="S945" s="408"/>
      <c r="T945" s="408"/>
      <c r="U945" s="408"/>
      <c r="V945" s="409"/>
      <c r="W945" s="410"/>
      <c r="X945" s="277"/>
      <c r="Y945" s="277"/>
      <c r="Z945" s="277"/>
    </row>
    <row r="946" ht="12.75" customHeight="1">
      <c r="A946" s="277"/>
      <c r="B946" s="278"/>
      <c r="C946" s="277"/>
      <c r="D946" s="278"/>
      <c r="E946" s="279"/>
      <c r="F946" s="406"/>
      <c r="G946" s="407"/>
      <c r="H946" s="407"/>
      <c r="I946" s="407"/>
      <c r="J946" s="407"/>
      <c r="K946" s="407"/>
      <c r="L946" s="407"/>
      <c r="M946" s="407"/>
      <c r="N946" s="407"/>
      <c r="O946" s="407"/>
      <c r="P946" s="407"/>
      <c r="Q946" s="407"/>
      <c r="R946" s="407"/>
      <c r="S946" s="408"/>
      <c r="T946" s="408"/>
      <c r="U946" s="408"/>
      <c r="V946" s="409"/>
      <c r="W946" s="410"/>
      <c r="X946" s="277"/>
      <c r="Y946" s="277"/>
      <c r="Z946" s="277"/>
    </row>
    <row r="947" ht="12.75" customHeight="1">
      <c r="A947" s="277"/>
      <c r="B947" s="278"/>
      <c r="C947" s="277"/>
      <c r="D947" s="278"/>
      <c r="E947" s="279"/>
      <c r="F947" s="406"/>
      <c r="G947" s="407"/>
      <c r="H947" s="407"/>
      <c r="I947" s="407"/>
      <c r="J947" s="407"/>
      <c r="K947" s="407"/>
      <c r="L947" s="407"/>
      <c r="M947" s="407"/>
      <c r="N947" s="407"/>
      <c r="O947" s="407"/>
      <c r="P947" s="407"/>
      <c r="Q947" s="407"/>
      <c r="R947" s="407"/>
      <c r="S947" s="408"/>
      <c r="T947" s="408"/>
      <c r="U947" s="408"/>
      <c r="V947" s="409"/>
      <c r="W947" s="410"/>
      <c r="X947" s="277"/>
      <c r="Y947" s="277"/>
      <c r="Z947" s="277"/>
    </row>
    <row r="948" ht="12.75" customHeight="1">
      <c r="A948" s="277"/>
      <c r="B948" s="278"/>
      <c r="C948" s="277"/>
      <c r="D948" s="278"/>
      <c r="E948" s="279"/>
      <c r="F948" s="406"/>
      <c r="G948" s="407"/>
      <c r="H948" s="407"/>
      <c r="I948" s="407"/>
      <c r="J948" s="407"/>
      <c r="K948" s="407"/>
      <c r="L948" s="407"/>
      <c r="M948" s="407"/>
      <c r="N948" s="407"/>
      <c r="O948" s="407"/>
      <c r="P948" s="407"/>
      <c r="Q948" s="407"/>
      <c r="R948" s="407"/>
      <c r="S948" s="408"/>
      <c r="T948" s="408"/>
      <c r="U948" s="408"/>
      <c r="V948" s="409"/>
      <c r="W948" s="410"/>
      <c r="X948" s="277"/>
      <c r="Y948" s="277"/>
      <c r="Z948" s="277"/>
    </row>
    <row r="949" ht="12.75" customHeight="1">
      <c r="A949" s="277"/>
      <c r="B949" s="278"/>
      <c r="C949" s="277"/>
      <c r="D949" s="278"/>
      <c r="E949" s="279"/>
      <c r="F949" s="406"/>
      <c r="G949" s="407"/>
      <c r="H949" s="407"/>
      <c r="I949" s="407"/>
      <c r="J949" s="407"/>
      <c r="K949" s="407"/>
      <c r="L949" s="407"/>
      <c r="M949" s="407"/>
      <c r="N949" s="407"/>
      <c r="O949" s="407"/>
      <c r="P949" s="407"/>
      <c r="Q949" s="407"/>
      <c r="R949" s="407"/>
      <c r="S949" s="408"/>
      <c r="T949" s="408"/>
      <c r="U949" s="408"/>
      <c r="V949" s="409"/>
      <c r="W949" s="410"/>
      <c r="X949" s="277"/>
      <c r="Y949" s="277"/>
      <c r="Z949" s="277"/>
    </row>
    <row r="950" ht="12.75" customHeight="1">
      <c r="A950" s="277"/>
      <c r="B950" s="278"/>
      <c r="C950" s="277"/>
      <c r="D950" s="278"/>
      <c r="E950" s="279"/>
      <c r="F950" s="406"/>
      <c r="G950" s="407"/>
      <c r="H950" s="407"/>
      <c r="I950" s="407"/>
      <c r="J950" s="407"/>
      <c r="K950" s="407"/>
      <c r="L950" s="407"/>
      <c r="M950" s="407"/>
      <c r="N950" s="407"/>
      <c r="O950" s="407"/>
      <c r="P950" s="407"/>
      <c r="Q950" s="407"/>
      <c r="R950" s="407"/>
      <c r="S950" s="408"/>
      <c r="T950" s="408"/>
      <c r="U950" s="408"/>
      <c r="V950" s="409"/>
      <c r="W950" s="410"/>
      <c r="X950" s="277"/>
      <c r="Y950" s="277"/>
      <c r="Z950" s="277"/>
    </row>
    <row r="951" ht="12.75" customHeight="1">
      <c r="A951" s="277"/>
      <c r="B951" s="278"/>
      <c r="C951" s="277"/>
      <c r="D951" s="278"/>
      <c r="E951" s="279"/>
      <c r="F951" s="406"/>
      <c r="G951" s="407"/>
      <c r="H951" s="407"/>
      <c r="I951" s="407"/>
      <c r="J951" s="407"/>
      <c r="K951" s="407"/>
      <c r="L951" s="407"/>
      <c r="M951" s="407"/>
      <c r="N951" s="407"/>
      <c r="O951" s="407"/>
      <c r="P951" s="407"/>
      <c r="Q951" s="407"/>
      <c r="R951" s="407"/>
      <c r="S951" s="408"/>
      <c r="T951" s="408"/>
      <c r="U951" s="408"/>
      <c r="V951" s="409"/>
      <c r="W951" s="410"/>
      <c r="X951" s="277"/>
      <c r="Y951" s="277"/>
      <c r="Z951" s="277"/>
    </row>
    <row r="952" ht="12.75" customHeight="1">
      <c r="A952" s="277"/>
      <c r="B952" s="278"/>
      <c r="C952" s="277"/>
      <c r="D952" s="278"/>
      <c r="E952" s="279"/>
      <c r="F952" s="406"/>
      <c r="G952" s="407"/>
      <c r="H952" s="407"/>
      <c r="I952" s="407"/>
      <c r="J952" s="407"/>
      <c r="K952" s="407"/>
      <c r="L952" s="407"/>
      <c r="M952" s="407"/>
      <c r="N952" s="407"/>
      <c r="O952" s="407"/>
      <c r="P952" s="407"/>
      <c r="Q952" s="407"/>
      <c r="R952" s="407"/>
      <c r="S952" s="408"/>
      <c r="T952" s="408"/>
      <c r="U952" s="408"/>
      <c r="V952" s="409"/>
      <c r="W952" s="410"/>
      <c r="X952" s="277"/>
      <c r="Y952" s="277"/>
      <c r="Z952" s="277"/>
    </row>
    <row r="953" ht="12.75" customHeight="1">
      <c r="A953" s="277"/>
      <c r="B953" s="278"/>
      <c r="C953" s="277"/>
      <c r="D953" s="278"/>
      <c r="E953" s="279"/>
      <c r="F953" s="406"/>
      <c r="G953" s="407"/>
      <c r="H953" s="407"/>
      <c r="I953" s="407"/>
      <c r="J953" s="407"/>
      <c r="K953" s="407"/>
      <c r="L953" s="407"/>
      <c r="M953" s="407"/>
      <c r="N953" s="407"/>
      <c r="O953" s="407"/>
      <c r="P953" s="407"/>
      <c r="Q953" s="407"/>
      <c r="R953" s="407"/>
      <c r="S953" s="408"/>
      <c r="T953" s="408"/>
      <c r="U953" s="408"/>
      <c r="V953" s="409"/>
      <c r="W953" s="410"/>
      <c r="X953" s="277"/>
      <c r="Y953" s="277"/>
      <c r="Z953" s="277"/>
    </row>
    <row r="954" ht="12.75" customHeight="1">
      <c r="A954" s="277"/>
      <c r="B954" s="278"/>
      <c r="C954" s="277"/>
      <c r="D954" s="278"/>
      <c r="E954" s="279"/>
      <c r="F954" s="406"/>
      <c r="G954" s="407"/>
      <c r="H954" s="407"/>
      <c r="I954" s="407"/>
      <c r="J954" s="407"/>
      <c r="K954" s="407"/>
      <c r="L954" s="407"/>
      <c r="M954" s="407"/>
      <c r="N954" s="407"/>
      <c r="O954" s="407"/>
      <c r="P954" s="407"/>
      <c r="Q954" s="407"/>
      <c r="R954" s="407"/>
      <c r="S954" s="408"/>
      <c r="T954" s="408"/>
      <c r="U954" s="408"/>
      <c r="V954" s="409"/>
      <c r="W954" s="410"/>
      <c r="X954" s="277"/>
      <c r="Y954" s="277"/>
      <c r="Z954" s="277"/>
    </row>
    <row r="955" ht="12.75" customHeight="1">
      <c r="A955" s="277"/>
      <c r="B955" s="278"/>
      <c r="C955" s="277"/>
      <c r="D955" s="278"/>
      <c r="E955" s="279"/>
      <c r="F955" s="406"/>
      <c r="G955" s="407"/>
      <c r="H955" s="407"/>
      <c r="I955" s="407"/>
      <c r="J955" s="407"/>
      <c r="K955" s="407"/>
      <c r="L955" s="407"/>
      <c r="M955" s="407"/>
      <c r="N955" s="407"/>
      <c r="O955" s="407"/>
      <c r="P955" s="407"/>
      <c r="Q955" s="407"/>
      <c r="R955" s="407"/>
      <c r="S955" s="408"/>
      <c r="T955" s="408"/>
      <c r="U955" s="408"/>
      <c r="V955" s="409"/>
      <c r="W955" s="410"/>
      <c r="X955" s="277"/>
      <c r="Y955" s="277"/>
      <c r="Z955" s="277"/>
    </row>
    <row r="956" ht="12.75" customHeight="1">
      <c r="A956" s="277"/>
      <c r="B956" s="278"/>
      <c r="C956" s="277"/>
      <c r="D956" s="278"/>
      <c r="E956" s="279"/>
      <c r="F956" s="406"/>
      <c r="G956" s="407"/>
      <c r="H956" s="407"/>
      <c r="I956" s="407"/>
      <c r="J956" s="407"/>
      <c r="K956" s="407"/>
      <c r="L956" s="407"/>
      <c r="M956" s="407"/>
      <c r="N956" s="407"/>
      <c r="O956" s="407"/>
      <c r="P956" s="407"/>
      <c r="Q956" s="407"/>
      <c r="R956" s="407"/>
      <c r="S956" s="408"/>
      <c r="T956" s="408"/>
      <c r="U956" s="408"/>
      <c r="V956" s="409"/>
      <c r="W956" s="410"/>
      <c r="X956" s="277"/>
      <c r="Y956" s="277"/>
      <c r="Z956" s="277"/>
    </row>
    <row r="957" ht="12.75" customHeight="1">
      <c r="A957" s="277"/>
      <c r="B957" s="278"/>
      <c r="C957" s="277"/>
      <c r="D957" s="278"/>
      <c r="E957" s="279"/>
      <c r="F957" s="406"/>
      <c r="G957" s="407"/>
      <c r="H957" s="407"/>
      <c r="I957" s="407"/>
      <c r="J957" s="407"/>
      <c r="K957" s="407"/>
      <c r="L957" s="407"/>
      <c r="M957" s="407"/>
      <c r="N957" s="407"/>
      <c r="O957" s="407"/>
      <c r="P957" s="407"/>
      <c r="Q957" s="407"/>
      <c r="R957" s="407"/>
      <c r="S957" s="408"/>
      <c r="T957" s="408"/>
      <c r="U957" s="408"/>
      <c r="V957" s="409"/>
      <c r="W957" s="410"/>
      <c r="X957" s="277"/>
      <c r="Y957" s="277"/>
      <c r="Z957" s="277"/>
    </row>
    <row r="958" ht="12.75" customHeight="1">
      <c r="A958" s="277"/>
      <c r="B958" s="278"/>
      <c r="C958" s="277"/>
      <c r="D958" s="278"/>
      <c r="E958" s="279"/>
      <c r="F958" s="406"/>
      <c r="G958" s="407"/>
      <c r="H958" s="407"/>
      <c r="I958" s="407"/>
      <c r="J958" s="407"/>
      <c r="K958" s="407"/>
      <c r="L958" s="407"/>
      <c r="M958" s="407"/>
      <c r="N958" s="407"/>
      <c r="O958" s="407"/>
      <c r="P958" s="407"/>
      <c r="Q958" s="407"/>
      <c r="R958" s="407"/>
      <c r="S958" s="408"/>
      <c r="T958" s="408"/>
      <c r="U958" s="408"/>
      <c r="V958" s="409"/>
      <c r="W958" s="410"/>
      <c r="X958" s="277"/>
      <c r="Y958" s="277"/>
      <c r="Z958" s="277"/>
    </row>
    <row r="959" ht="12.75" customHeight="1">
      <c r="A959" s="277"/>
      <c r="B959" s="278"/>
      <c r="C959" s="277"/>
      <c r="D959" s="278"/>
      <c r="E959" s="279"/>
      <c r="F959" s="406"/>
      <c r="G959" s="407"/>
      <c r="H959" s="407"/>
      <c r="I959" s="407"/>
      <c r="J959" s="407"/>
      <c r="K959" s="407"/>
      <c r="L959" s="407"/>
      <c r="M959" s="407"/>
      <c r="N959" s="407"/>
      <c r="O959" s="407"/>
      <c r="P959" s="407"/>
      <c r="Q959" s="407"/>
      <c r="R959" s="407"/>
      <c r="S959" s="408"/>
      <c r="T959" s="408"/>
      <c r="U959" s="408"/>
      <c r="V959" s="409"/>
      <c r="W959" s="410"/>
      <c r="X959" s="277"/>
      <c r="Y959" s="277"/>
      <c r="Z959" s="277"/>
    </row>
    <row r="960" ht="12.75" customHeight="1">
      <c r="A960" s="277"/>
      <c r="B960" s="278"/>
      <c r="C960" s="277"/>
      <c r="D960" s="278"/>
      <c r="E960" s="279"/>
      <c r="F960" s="406"/>
      <c r="G960" s="407"/>
      <c r="H960" s="407"/>
      <c r="I960" s="407"/>
      <c r="J960" s="407"/>
      <c r="K960" s="407"/>
      <c r="L960" s="407"/>
      <c r="M960" s="407"/>
      <c r="N960" s="407"/>
      <c r="O960" s="407"/>
      <c r="P960" s="407"/>
      <c r="Q960" s="407"/>
      <c r="R960" s="407"/>
      <c r="S960" s="408"/>
      <c r="T960" s="408"/>
      <c r="U960" s="408"/>
      <c r="V960" s="409"/>
      <c r="W960" s="410"/>
      <c r="X960" s="277"/>
      <c r="Y960" s="277"/>
      <c r="Z960" s="277"/>
    </row>
    <row r="961" ht="12.75" customHeight="1">
      <c r="A961" s="277"/>
      <c r="B961" s="278"/>
      <c r="C961" s="277"/>
      <c r="D961" s="278"/>
      <c r="E961" s="279"/>
      <c r="F961" s="406"/>
      <c r="G961" s="407"/>
      <c r="H961" s="407"/>
      <c r="I961" s="407"/>
      <c r="J961" s="407"/>
      <c r="K961" s="407"/>
      <c r="L961" s="407"/>
      <c r="M961" s="407"/>
      <c r="N961" s="407"/>
      <c r="O961" s="407"/>
      <c r="P961" s="407"/>
      <c r="Q961" s="407"/>
      <c r="R961" s="407"/>
      <c r="S961" s="408"/>
      <c r="T961" s="408"/>
      <c r="U961" s="408"/>
      <c r="V961" s="409"/>
      <c r="W961" s="410"/>
      <c r="X961" s="277"/>
      <c r="Y961" s="277"/>
      <c r="Z961" s="277"/>
    </row>
    <row r="962" ht="12.75" customHeight="1">
      <c r="A962" s="277"/>
      <c r="B962" s="278"/>
      <c r="C962" s="277"/>
      <c r="D962" s="278"/>
      <c r="E962" s="279"/>
      <c r="F962" s="406"/>
      <c r="G962" s="407"/>
      <c r="H962" s="407"/>
      <c r="I962" s="407"/>
      <c r="J962" s="407"/>
      <c r="K962" s="407"/>
      <c r="L962" s="407"/>
      <c r="M962" s="407"/>
      <c r="N962" s="407"/>
      <c r="O962" s="407"/>
      <c r="P962" s="407"/>
      <c r="Q962" s="407"/>
      <c r="R962" s="407"/>
      <c r="S962" s="408"/>
      <c r="T962" s="408"/>
      <c r="U962" s="408"/>
      <c r="V962" s="409"/>
      <c r="W962" s="410"/>
      <c r="X962" s="277"/>
      <c r="Y962" s="277"/>
      <c r="Z962" s="277"/>
    </row>
    <row r="963" ht="12.75" customHeight="1">
      <c r="A963" s="277"/>
      <c r="B963" s="278"/>
      <c r="C963" s="277"/>
      <c r="D963" s="278"/>
      <c r="E963" s="279"/>
      <c r="F963" s="406"/>
      <c r="G963" s="407"/>
      <c r="H963" s="407"/>
      <c r="I963" s="407"/>
      <c r="J963" s="407"/>
      <c r="K963" s="407"/>
      <c r="L963" s="407"/>
      <c r="M963" s="407"/>
      <c r="N963" s="407"/>
      <c r="O963" s="407"/>
      <c r="P963" s="407"/>
      <c r="Q963" s="407"/>
      <c r="R963" s="407"/>
      <c r="S963" s="408"/>
      <c r="T963" s="408"/>
      <c r="U963" s="408"/>
      <c r="V963" s="409"/>
      <c r="W963" s="410"/>
      <c r="X963" s="277"/>
      <c r="Y963" s="277"/>
      <c r="Z963" s="277"/>
    </row>
    <row r="964" ht="12.75" customHeight="1">
      <c r="A964" s="277"/>
      <c r="B964" s="278"/>
      <c r="C964" s="277"/>
      <c r="D964" s="278"/>
      <c r="E964" s="279"/>
      <c r="F964" s="406"/>
      <c r="G964" s="407"/>
      <c r="H964" s="407"/>
      <c r="I964" s="407"/>
      <c r="J964" s="407"/>
      <c r="K964" s="407"/>
      <c r="L964" s="407"/>
      <c r="M964" s="407"/>
      <c r="N964" s="407"/>
      <c r="O964" s="407"/>
      <c r="P964" s="407"/>
      <c r="Q964" s="407"/>
      <c r="R964" s="407"/>
      <c r="S964" s="408"/>
      <c r="T964" s="408"/>
      <c r="U964" s="408"/>
      <c r="V964" s="409"/>
      <c r="W964" s="410"/>
      <c r="X964" s="277"/>
      <c r="Y964" s="277"/>
      <c r="Z964" s="277"/>
    </row>
    <row r="965" ht="12.75" customHeight="1">
      <c r="A965" s="277"/>
      <c r="B965" s="278"/>
      <c r="C965" s="277"/>
      <c r="D965" s="278"/>
      <c r="E965" s="279"/>
      <c r="F965" s="406"/>
      <c r="G965" s="407"/>
      <c r="H965" s="407"/>
      <c r="I965" s="407"/>
      <c r="J965" s="407"/>
      <c r="K965" s="407"/>
      <c r="L965" s="407"/>
      <c r="M965" s="407"/>
      <c r="N965" s="407"/>
      <c r="O965" s="407"/>
      <c r="P965" s="407"/>
      <c r="Q965" s="407"/>
      <c r="R965" s="407"/>
      <c r="S965" s="408"/>
      <c r="T965" s="408"/>
      <c r="U965" s="408"/>
      <c r="V965" s="409"/>
      <c r="W965" s="410"/>
      <c r="X965" s="277"/>
      <c r="Y965" s="277"/>
      <c r="Z965" s="277"/>
    </row>
    <row r="966" ht="12.75" customHeight="1">
      <c r="A966" s="277"/>
      <c r="B966" s="278"/>
      <c r="C966" s="277"/>
      <c r="D966" s="278"/>
      <c r="E966" s="279"/>
      <c r="F966" s="406"/>
      <c r="G966" s="407"/>
      <c r="H966" s="407"/>
      <c r="I966" s="407"/>
      <c r="J966" s="407"/>
      <c r="K966" s="407"/>
      <c r="L966" s="407"/>
      <c r="M966" s="407"/>
      <c r="N966" s="407"/>
      <c r="O966" s="407"/>
      <c r="P966" s="407"/>
      <c r="Q966" s="407"/>
      <c r="R966" s="407"/>
      <c r="S966" s="408"/>
      <c r="T966" s="408"/>
      <c r="U966" s="408"/>
      <c r="V966" s="409"/>
      <c r="W966" s="410"/>
      <c r="X966" s="277"/>
      <c r="Y966" s="277"/>
      <c r="Z966" s="277"/>
    </row>
    <row r="967" ht="12.75" customHeight="1">
      <c r="A967" s="277"/>
      <c r="B967" s="278"/>
      <c r="C967" s="277"/>
      <c r="D967" s="278"/>
      <c r="E967" s="279"/>
      <c r="F967" s="406"/>
      <c r="G967" s="407"/>
      <c r="H967" s="407"/>
      <c r="I967" s="407"/>
      <c r="J967" s="407"/>
      <c r="K967" s="407"/>
      <c r="L967" s="407"/>
      <c r="M967" s="407"/>
      <c r="N967" s="407"/>
      <c r="O967" s="407"/>
      <c r="P967" s="407"/>
      <c r="Q967" s="407"/>
      <c r="R967" s="407"/>
      <c r="S967" s="408"/>
      <c r="T967" s="408"/>
      <c r="U967" s="408"/>
      <c r="V967" s="409"/>
      <c r="W967" s="410"/>
      <c r="X967" s="277"/>
      <c r="Y967" s="277"/>
      <c r="Z967" s="277"/>
    </row>
    <row r="968" ht="12.75" customHeight="1">
      <c r="A968" s="277"/>
      <c r="B968" s="278"/>
      <c r="C968" s="277"/>
      <c r="D968" s="278"/>
      <c r="E968" s="279"/>
      <c r="F968" s="406"/>
      <c r="G968" s="407"/>
      <c r="H968" s="407"/>
      <c r="I968" s="407"/>
      <c r="J968" s="407"/>
      <c r="K968" s="407"/>
      <c r="L968" s="407"/>
      <c r="M968" s="407"/>
      <c r="N968" s="407"/>
      <c r="O968" s="407"/>
      <c r="P968" s="407"/>
      <c r="Q968" s="407"/>
      <c r="R968" s="407"/>
      <c r="S968" s="408"/>
      <c r="T968" s="408"/>
      <c r="U968" s="408"/>
      <c r="V968" s="409"/>
      <c r="W968" s="410"/>
      <c r="X968" s="277"/>
      <c r="Y968" s="277"/>
      <c r="Z968" s="277"/>
    </row>
    <row r="969" ht="12.75" customHeight="1">
      <c r="A969" s="277"/>
      <c r="B969" s="278"/>
      <c r="C969" s="277"/>
      <c r="D969" s="278"/>
      <c r="E969" s="279"/>
      <c r="F969" s="406"/>
      <c r="G969" s="407"/>
      <c r="H969" s="407"/>
      <c r="I969" s="407"/>
      <c r="J969" s="407"/>
      <c r="K969" s="407"/>
      <c r="L969" s="407"/>
      <c r="M969" s="407"/>
      <c r="N969" s="407"/>
      <c r="O969" s="407"/>
      <c r="P969" s="407"/>
      <c r="Q969" s="407"/>
      <c r="R969" s="407"/>
      <c r="S969" s="408"/>
      <c r="T969" s="408"/>
      <c r="U969" s="408"/>
      <c r="V969" s="409"/>
      <c r="W969" s="410"/>
      <c r="X969" s="277"/>
      <c r="Y969" s="277"/>
      <c r="Z969" s="277"/>
    </row>
    <row r="970" ht="12.75" customHeight="1">
      <c r="A970" s="277"/>
      <c r="B970" s="278"/>
      <c r="C970" s="277"/>
      <c r="D970" s="278"/>
      <c r="E970" s="279"/>
      <c r="F970" s="406"/>
      <c r="G970" s="407"/>
      <c r="H970" s="407"/>
      <c r="I970" s="407"/>
      <c r="J970" s="407"/>
      <c r="K970" s="407"/>
      <c r="L970" s="407"/>
      <c r="M970" s="407"/>
      <c r="N970" s="407"/>
      <c r="O970" s="407"/>
      <c r="P970" s="407"/>
      <c r="Q970" s="407"/>
      <c r="R970" s="407"/>
      <c r="S970" s="408"/>
      <c r="T970" s="408"/>
      <c r="U970" s="408"/>
      <c r="V970" s="409"/>
      <c r="W970" s="410"/>
      <c r="X970" s="277"/>
      <c r="Y970" s="277"/>
      <c r="Z970" s="277"/>
    </row>
    <row r="971" ht="12.75" customHeight="1">
      <c r="A971" s="277"/>
      <c r="B971" s="278"/>
      <c r="C971" s="277"/>
      <c r="D971" s="278"/>
      <c r="E971" s="279"/>
      <c r="F971" s="406"/>
      <c r="G971" s="407"/>
      <c r="H971" s="407"/>
      <c r="I971" s="407"/>
      <c r="J971" s="407"/>
      <c r="K971" s="407"/>
      <c r="L971" s="407"/>
      <c r="M971" s="407"/>
      <c r="N971" s="407"/>
      <c r="O971" s="407"/>
      <c r="P971" s="407"/>
      <c r="Q971" s="407"/>
      <c r="R971" s="407"/>
      <c r="S971" s="408"/>
      <c r="T971" s="408"/>
      <c r="U971" s="408"/>
      <c r="V971" s="409"/>
      <c r="W971" s="410"/>
      <c r="X971" s="277"/>
      <c r="Y971" s="277"/>
      <c r="Z971" s="277"/>
    </row>
    <row r="972" ht="12.75" customHeight="1">
      <c r="A972" s="277"/>
      <c r="B972" s="278"/>
      <c r="C972" s="277"/>
      <c r="D972" s="278"/>
      <c r="E972" s="279"/>
      <c r="F972" s="406"/>
      <c r="G972" s="407"/>
      <c r="H972" s="407"/>
      <c r="I972" s="407"/>
      <c r="J972" s="407"/>
      <c r="K972" s="407"/>
      <c r="L972" s="407"/>
      <c r="M972" s="407"/>
      <c r="N972" s="407"/>
      <c r="O972" s="407"/>
      <c r="P972" s="407"/>
      <c r="Q972" s="407"/>
      <c r="R972" s="407"/>
      <c r="S972" s="408"/>
      <c r="T972" s="408"/>
      <c r="U972" s="408"/>
      <c r="V972" s="409"/>
      <c r="W972" s="410"/>
      <c r="X972" s="277"/>
      <c r="Y972" s="277"/>
      <c r="Z972" s="277"/>
    </row>
    <row r="973" ht="12.75" customHeight="1">
      <c r="A973" s="277"/>
      <c r="B973" s="278"/>
      <c r="C973" s="277"/>
      <c r="D973" s="278"/>
      <c r="E973" s="279"/>
      <c r="F973" s="406"/>
      <c r="G973" s="407"/>
      <c r="H973" s="407"/>
      <c r="I973" s="407"/>
      <c r="J973" s="407"/>
      <c r="K973" s="407"/>
      <c r="L973" s="407"/>
      <c r="M973" s="407"/>
      <c r="N973" s="407"/>
      <c r="O973" s="407"/>
      <c r="P973" s="407"/>
      <c r="Q973" s="407"/>
      <c r="R973" s="407"/>
      <c r="S973" s="408"/>
      <c r="T973" s="408"/>
      <c r="U973" s="408"/>
      <c r="V973" s="409"/>
      <c r="W973" s="410"/>
      <c r="X973" s="277"/>
      <c r="Y973" s="277"/>
      <c r="Z973" s="277"/>
    </row>
    <row r="974" ht="12.75" customHeight="1">
      <c r="A974" s="277"/>
      <c r="B974" s="278"/>
      <c r="C974" s="277"/>
      <c r="D974" s="278"/>
      <c r="E974" s="279"/>
      <c r="F974" s="406"/>
      <c r="G974" s="407"/>
      <c r="H974" s="407"/>
      <c r="I974" s="407"/>
      <c r="J974" s="407"/>
      <c r="K974" s="407"/>
      <c r="L974" s="407"/>
      <c r="M974" s="407"/>
      <c r="N974" s="407"/>
      <c r="O974" s="407"/>
      <c r="P974" s="407"/>
      <c r="Q974" s="407"/>
      <c r="R974" s="407"/>
      <c r="S974" s="408"/>
      <c r="T974" s="408"/>
      <c r="U974" s="408"/>
      <c r="V974" s="409"/>
      <c r="W974" s="410"/>
      <c r="X974" s="277"/>
      <c r="Y974" s="277"/>
      <c r="Z974" s="277"/>
    </row>
    <row r="975" ht="12.75" customHeight="1">
      <c r="A975" s="277"/>
      <c r="B975" s="278"/>
      <c r="C975" s="277"/>
      <c r="D975" s="278"/>
      <c r="E975" s="279"/>
      <c r="F975" s="406"/>
      <c r="G975" s="407"/>
      <c r="H975" s="407"/>
      <c r="I975" s="407"/>
      <c r="J975" s="407"/>
      <c r="K975" s="407"/>
      <c r="L975" s="407"/>
      <c r="M975" s="407"/>
      <c r="N975" s="407"/>
      <c r="O975" s="407"/>
      <c r="P975" s="407"/>
      <c r="Q975" s="407"/>
      <c r="R975" s="407"/>
      <c r="S975" s="408"/>
      <c r="T975" s="408"/>
      <c r="U975" s="408"/>
      <c r="V975" s="409"/>
      <c r="W975" s="410"/>
      <c r="X975" s="277"/>
      <c r="Y975" s="277"/>
      <c r="Z975" s="277"/>
    </row>
    <row r="976" ht="12.75" customHeight="1">
      <c r="A976" s="277"/>
      <c r="B976" s="278"/>
      <c r="C976" s="277"/>
      <c r="D976" s="278"/>
      <c r="E976" s="279"/>
      <c r="F976" s="406"/>
      <c r="G976" s="407"/>
      <c r="H976" s="407"/>
      <c r="I976" s="407"/>
      <c r="J976" s="407"/>
      <c r="K976" s="407"/>
      <c r="L976" s="407"/>
      <c r="M976" s="407"/>
      <c r="N976" s="407"/>
      <c r="O976" s="407"/>
      <c r="P976" s="407"/>
      <c r="Q976" s="407"/>
      <c r="R976" s="407"/>
      <c r="S976" s="408"/>
      <c r="T976" s="408"/>
      <c r="U976" s="408"/>
      <c r="V976" s="409"/>
      <c r="W976" s="410"/>
      <c r="X976" s="277"/>
      <c r="Y976" s="277"/>
      <c r="Z976" s="277"/>
    </row>
    <row r="977" ht="12.75" customHeight="1">
      <c r="A977" s="277"/>
      <c r="B977" s="278"/>
      <c r="C977" s="277"/>
      <c r="D977" s="278"/>
      <c r="E977" s="279"/>
      <c r="F977" s="406"/>
      <c r="G977" s="407"/>
      <c r="H977" s="407"/>
      <c r="I977" s="407"/>
      <c r="J977" s="407"/>
      <c r="K977" s="407"/>
      <c r="L977" s="407"/>
      <c r="M977" s="407"/>
      <c r="N977" s="407"/>
      <c r="O977" s="407"/>
      <c r="P977" s="407"/>
      <c r="Q977" s="407"/>
      <c r="R977" s="407"/>
      <c r="S977" s="408"/>
      <c r="T977" s="408"/>
      <c r="U977" s="408"/>
      <c r="V977" s="409"/>
      <c r="W977" s="410"/>
      <c r="X977" s="277"/>
      <c r="Y977" s="277"/>
      <c r="Z977" s="277"/>
    </row>
    <row r="978" ht="12.75" customHeight="1">
      <c r="A978" s="277"/>
      <c r="B978" s="278"/>
      <c r="C978" s="277"/>
      <c r="D978" s="278"/>
      <c r="E978" s="279"/>
      <c r="F978" s="406"/>
      <c r="G978" s="407"/>
      <c r="H978" s="407"/>
      <c r="I978" s="407"/>
      <c r="J978" s="407"/>
      <c r="K978" s="407"/>
      <c r="L978" s="407"/>
      <c r="M978" s="407"/>
      <c r="N978" s="407"/>
      <c r="O978" s="407"/>
      <c r="P978" s="407"/>
      <c r="Q978" s="407"/>
      <c r="R978" s="407"/>
      <c r="S978" s="408"/>
      <c r="T978" s="408"/>
      <c r="U978" s="408"/>
      <c r="V978" s="409"/>
      <c r="W978" s="410"/>
      <c r="X978" s="277"/>
      <c r="Y978" s="277"/>
      <c r="Z978" s="277"/>
    </row>
    <row r="979" ht="12.75" customHeight="1">
      <c r="A979" s="277"/>
      <c r="B979" s="278"/>
      <c r="C979" s="277"/>
      <c r="D979" s="278"/>
      <c r="E979" s="279"/>
      <c r="F979" s="406"/>
      <c r="G979" s="407"/>
      <c r="H979" s="407"/>
      <c r="I979" s="407"/>
      <c r="J979" s="407"/>
      <c r="K979" s="407"/>
      <c r="L979" s="407"/>
      <c r="M979" s="407"/>
      <c r="N979" s="407"/>
      <c r="O979" s="407"/>
      <c r="P979" s="407"/>
      <c r="Q979" s="407"/>
      <c r="R979" s="407"/>
      <c r="S979" s="408"/>
      <c r="T979" s="408"/>
      <c r="U979" s="408"/>
      <c r="V979" s="409"/>
      <c r="W979" s="410"/>
      <c r="X979" s="277"/>
      <c r="Y979" s="277"/>
      <c r="Z979" s="277"/>
    </row>
    <row r="980" ht="12.75" customHeight="1">
      <c r="A980" s="277"/>
      <c r="B980" s="278"/>
      <c r="C980" s="277"/>
      <c r="D980" s="278"/>
      <c r="E980" s="279"/>
      <c r="F980" s="406"/>
      <c r="G980" s="407"/>
      <c r="H980" s="407"/>
      <c r="I980" s="407"/>
      <c r="J980" s="407"/>
      <c r="K980" s="407"/>
      <c r="L980" s="407"/>
      <c r="M980" s="407"/>
      <c r="N980" s="407"/>
      <c r="O980" s="407"/>
      <c r="P980" s="407"/>
      <c r="Q980" s="407"/>
      <c r="R980" s="407"/>
      <c r="S980" s="408"/>
      <c r="T980" s="408"/>
      <c r="U980" s="408"/>
      <c r="V980" s="409"/>
      <c r="W980" s="410"/>
      <c r="X980" s="277"/>
      <c r="Y980" s="277"/>
      <c r="Z980" s="277"/>
    </row>
    <row r="981" ht="12.75" customHeight="1">
      <c r="A981" s="277"/>
      <c r="B981" s="278"/>
      <c r="C981" s="277"/>
      <c r="D981" s="278"/>
      <c r="E981" s="279"/>
      <c r="F981" s="406"/>
      <c r="G981" s="407"/>
      <c r="H981" s="407"/>
      <c r="I981" s="407"/>
      <c r="J981" s="407"/>
      <c r="K981" s="407"/>
      <c r="L981" s="407"/>
      <c r="M981" s="407"/>
      <c r="N981" s="407"/>
      <c r="O981" s="407"/>
      <c r="P981" s="407"/>
      <c r="Q981" s="407"/>
      <c r="R981" s="407"/>
      <c r="S981" s="408"/>
      <c r="T981" s="408"/>
      <c r="U981" s="408"/>
      <c r="V981" s="409"/>
      <c r="W981" s="410"/>
      <c r="X981" s="277"/>
      <c r="Y981" s="277"/>
      <c r="Z981" s="277"/>
    </row>
    <row r="982" ht="12.75" customHeight="1">
      <c r="A982" s="277"/>
      <c r="B982" s="278"/>
      <c r="C982" s="277"/>
      <c r="D982" s="278"/>
      <c r="E982" s="279"/>
      <c r="F982" s="406"/>
      <c r="G982" s="407"/>
      <c r="H982" s="407"/>
      <c r="I982" s="407"/>
      <c r="J982" s="407"/>
      <c r="K982" s="407"/>
      <c r="L982" s="407"/>
      <c r="M982" s="407"/>
      <c r="N982" s="407"/>
      <c r="O982" s="407"/>
      <c r="P982" s="407"/>
      <c r="Q982" s="407"/>
      <c r="R982" s="407"/>
      <c r="S982" s="408"/>
      <c r="T982" s="408"/>
      <c r="U982" s="408"/>
      <c r="V982" s="409"/>
      <c r="W982" s="410"/>
      <c r="X982" s="277"/>
      <c r="Y982" s="277"/>
      <c r="Z982" s="277"/>
    </row>
    <row r="983" ht="12.75" customHeight="1">
      <c r="A983" s="277"/>
      <c r="B983" s="278"/>
      <c r="C983" s="277"/>
      <c r="D983" s="278"/>
      <c r="E983" s="279"/>
      <c r="F983" s="406"/>
      <c r="G983" s="407"/>
      <c r="H983" s="407"/>
      <c r="I983" s="407"/>
      <c r="J983" s="407"/>
      <c r="K983" s="407"/>
      <c r="L983" s="407"/>
      <c r="M983" s="407"/>
      <c r="N983" s="407"/>
      <c r="O983" s="407"/>
      <c r="P983" s="407"/>
      <c r="Q983" s="407"/>
      <c r="R983" s="407"/>
      <c r="S983" s="408"/>
      <c r="T983" s="408"/>
      <c r="U983" s="408"/>
      <c r="V983" s="409"/>
      <c r="W983" s="410"/>
      <c r="X983" s="277"/>
      <c r="Y983" s="277"/>
      <c r="Z983" s="277"/>
    </row>
    <row r="984" ht="12.75" customHeight="1">
      <c r="A984" s="277"/>
      <c r="B984" s="278"/>
      <c r="C984" s="277"/>
      <c r="D984" s="278"/>
      <c r="E984" s="279"/>
      <c r="F984" s="406"/>
      <c r="G984" s="407"/>
      <c r="H984" s="407"/>
      <c r="I984" s="407"/>
      <c r="J984" s="407"/>
      <c r="K984" s="407"/>
      <c r="L984" s="407"/>
      <c r="M984" s="407"/>
      <c r="N984" s="407"/>
      <c r="O984" s="407"/>
      <c r="P984" s="407"/>
      <c r="Q984" s="407"/>
      <c r="R984" s="407"/>
      <c r="S984" s="408"/>
      <c r="T984" s="408"/>
      <c r="U984" s="408"/>
      <c r="V984" s="409"/>
      <c r="W984" s="410"/>
      <c r="X984" s="277"/>
      <c r="Y984" s="277"/>
      <c r="Z984" s="277"/>
    </row>
    <row r="985" ht="12.75" customHeight="1">
      <c r="A985" s="277"/>
      <c r="B985" s="278"/>
      <c r="C985" s="277"/>
      <c r="D985" s="278"/>
      <c r="E985" s="279"/>
      <c r="F985" s="406"/>
      <c r="G985" s="407"/>
      <c r="H985" s="407"/>
      <c r="I985" s="407"/>
      <c r="J985" s="407"/>
      <c r="K985" s="407"/>
      <c r="L985" s="407"/>
      <c r="M985" s="407"/>
      <c r="N985" s="407"/>
      <c r="O985" s="407"/>
      <c r="P985" s="407"/>
      <c r="Q985" s="407"/>
      <c r="R985" s="407"/>
      <c r="S985" s="408"/>
      <c r="T985" s="408"/>
      <c r="U985" s="408"/>
      <c r="V985" s="409"/>
      <c r="W985" s="410"/>
      <c r="X985" s="277"/>
      <c r="Y985" s="277"/>
      <c r="Z985" s="277"/>
    </row>
    <row r="986" ht="12.75" customHeight="1">
      <c r="A986" s="277"/>
      <c r="B986" s="278"/>
      <c r="C986" s="277"/>
      <c r="D986" s="278"/>
      <c r="E986" s="279"/>
      <c r="F986" s="406"/>
      <c r="G986" s="407"/>
      <c r="H986" s="407"/>
      <c r="I986" s="407"/>
      <c r="J986" s="407"/>
      <c r="K986" s="407"/>
      <c r="L986" s="407"/>
      <c r="M986" s="407"/>
      <c r="N986" s="407"/>
      <c r="O986" s="407"/>
      <c r="P986" s="407"/>
      <c r="Q986" s="407"/>
      <c r="R986" s="407"/>
      <c r="S986" s="408"/>
      <c r="T986" s="408"/>
      <c r="U986" s="408"/>
      <c r="V986" s="409"/>
      <c r="W986" s="410"/>
      <c r="X986" s="277"/>
      <c r="Y986" s="277"/>
      <c r="Z986" s="277"/>
    </row>
    <row r="987" ht="12.75" customHeight="1">
      <c r="A987" s="277"/>
      <c r="B987" s="278"/>
      <c r="C987" s="277"/>
      <c r="D987" s="278"/>
      <c r="E987" s="279"/>
      <c r="F987" s="406"/>
      <c r="G987" s="407"/>
      <c r="H987" s="407"/>
      <c r="I987" s="407"/>
      <c r="J987" s="407"/>
      <c r="K987" s="407"/>
      <c r="L987" s="407"/>
      <c r="M987" s="407"/>
      <c r="N987" s="407"/>
      <c r="O987" s="407"/>
      <c r="P987" s="407"/>
      <c r="Q987" s="407"/>
      <c r="R987" s="407"/>
      <c r="S987" s="408"/>
      <c r="T987" s="408"/>
      <c r="U987" s="408"/>
      <c r="V987" s="409"/>
      <c r="W987" s="410"/>
      <c r="X987" s="277"/>
      <c r="Y987" s="277"/>
      <c r="Z987" s="277"/>
    </row>
    <row r="988" ht="12.75" customHeight="1">
      <c r="A988" s="277"/>
      <c r="B988" s="278"/>
      <c r="C988" s="277"/>
      <c r="D988" s="278"/>
      <c r="E988" s="279"/>
      <c r="F988" s="406"/>
      <c r="G988" s="407"/>
      <c r="H988" s="407"/>
      <c r="I988" s="407"/>
      <c r="J988" s="407"/>
      <c r="K988" s="407"/>
      <c r="L988" s="407"/>
      <c r="M988" s="407"/>
      <c r="N988" s="407"/>
      <c r="O988" s="407"/>
      <c r="P988" s="407"/>
      <c r="Q988" s="407"/>
      <c r="R988" s="407"/>
      <c r="S988" s="408"/>
      <c r="T988" s="408"/>
      <c r="U988" s="408"/>
      <c r="V988" s="409"/>
      <c r="W988" s="410"/>
      <c r="X988" s="277"/>
      <c r="Y988" s="277"/>
      <c r="Z988" s="277"/>
    </row>
    <row r="989" ht="12.75" customHeight="1">
      <c r="A989" s="277"/>
      <c r="B989" s="278"/>
      <c r="C989" s="277"/>
      <c r="D989" s="278"/>
      <c r="E989" s="279"/>
      <c r="F989" s="406"/>
      <c r="G989" s="407"/>
      <c r="H989" s="407"/>
      <c r="I989" s="407"/>
      <c r="J989" s="407"/>
      <c r="K989" s="407"/>
      <c r="L989" s="407"/>
      <c r="M989" s="407"/>
      <c r="N989" s="407"/>
      <c r="O989" s="407"/>
      <c r="P989" s="407"/>
      <c r="Q989" s="407"/>
      <c r="R989" s="407"/>
      <c r="S989" s="408"/>
      <c r="T989" s="408"/>
      <c r="U989" s="408"/>
      <c r="V989" s="409"/>
      <c r="W989" s="410"/>
      <c r="X989" s="277"/>
      <c r="Y989" s="277"/>
      <c r="Z989" s="277"/>
    </row>
    <row r="990" ht="12.75" customHeight="1">
      <c r="A990" s="277"/>
      <c r="B990" s="278"/>
      <c r="C990" s="277"/>
      <c r="D990" s="278"/>
      <c r="E990" s="279"/>
      <c r="F990" s="406"/>
      <c r="G990" s="407"/>
      <c r="H990" s="407"/>
      <c r="I990" s="407"/>
      <c r="J990" s="407"/>
      <c r="K990" s="407"/>
      <c r="L990" s="407"/>
      <c r="M990" s="407"/>
      <c r="N990" s="407"/>
      <c r="O990" s="407"/>
      <c r="P990" s="407"/>
      <c r="Q990" s="407"/>
      <c r="R990" s="407"/>
      <c r="S990" s="408"/>
      <c r="T990" s="408"/>
      <c r="U990" s="408"/>
      <c r="V990" s="409"/>
      <c r="W990" s="410"/>
      <c r="X990" s="277"/>
      <c r="Y990" s="277"/>
      <c r="Z990" s="277"/>
    </row>
    <row r="991" ht="12.75" customHeight="1">
      <c r="A991" s="277"/>
      <c r="B991" s="278"/>
      <c r="C991" s="277"/>
      <c r="D991" s="278"/>
      <c r="E991" s="279"/>
      <c r="F991" s="406"/>
      <c r="G991" s="407"/>
      <c r="H991" s="407"/>
      <c r="I991" s="407"/>
      <c r="J991" s="407"/>
      <c r="K991" s="407"/>
      <c r="L991" s="407"/>
      <c r="M991" s="407"/>
      <c r="N991" s="407"/>
      <c r="O991" s="407"/>
      <c r="P991" s="407"/>
      <c r="Q991" s="407"/>
      <c r="R991" s="407"/>
      <c r="S991" s="408"/>
      <c r="T991" s="408"/>
      <c r="U991" s="408"/>
      <c r="V991" s="409"/>
      <c r="W991" s="410"/>
      <c r="X991" s="277"/>
      <c r="Y991" s="277"/>
      <c r="Z991" s="277"/>
    </row>
    <row r="992" ht="12.75" customHeight="1">
      <c r="A992" s="277"/>
      <c r="B992" s="278"/>
      <c r="C992" s="277"/>
      <c r="D992" s="278"/>
      <c r="E992" s="279"/>
      <c r="F992" s="406"/>
      <c r="G992" s="407"/>
      <c r="H992" s="407"/>
      <c r="I992" s="407"/>
      <c r="J992" s="407"/>
      <c r="K992" s="407"/>
      <c r="L992" s="407"/>
      <c r="M992" s="407"/>
      <c r="N992" s="407"/>
      <c r="O992" s="407"/>
      <c r="P992" s="407"/>
      <c r="Q992" s="407"/>
      <c r="R992" s="407"/>
      <c r="S992" s="408"/>
      <c r="T992" s="408"/>
      <c r="U992" s="408"/>
      <c r="V992" s="409"/>
      <c r="W992" s="410"/>
      <c r="X992" s="277"/>
      <c r="Y992" s="277"/>
      <c r="Z992" s="277"/>
    </row>
    <row r="993" ht="12.75" customHeight="1">
      <c r="A993" s="277"/>
      <c r="B993" s="278"/>
      <c r="C993" s="277"/>
      <c r="D993" s="278"/>
      <c r="E993" s="279"/>
      <c r="F993" s="406"/>
      <c r="G993" s="407"/>
      <c r="H993" s="407"/>
      <c r="I993" s="407"/>
      <c r="J993" s="407"/>
      <c r="K993" s="407"/>
      <c r="L993" s="407"/>
      <c r="M993" s="407"/>
      <c r="N993" s="407"/>
      <c r="O993" s="407"/>
      <c r="P993" s="407"/>
      <c r="Q993" s="407"/>
      <c r="R993" s="407"/>
      <c r="S993" s="408"/>
      <c r="T993" s="408"/>
      <c r="U993" s="408"/>
      <c r="V993" s="409"/>
      <c r="W993" s="410"/>
      <c r="X993" s="277"/>
      <c r="Y993" s="277"/>
      <c r="Z993" s="277"/>
    </row>
    <row r="994" ht="12.75" customHeight="1">
      <c r="A994" s="277"/>
      <c r="B994" s="278"/>
      <c r="C994" s="277"/>
      <c r="D994" s="278"/>
      <c r="E994" s="279"/>
      <c r="F994" s="406"/>
      <c r="G994" s="407"/>
      <c r="H994" s="407"/>
      <c r="I994" s="407"/>
      <c r="J994" s="407"/>
      <c r="K994" s="407"/>
      <c r="L994" s="407"/>
      <c r="M994" s="407"/>
      <c r="N994" s="407"/>
      <c r="O994" s="407"/>
      <c r="P994" s="407"/>
      <c r="Q994" s="407"/>
      <c r="R994" s="407"/>
      <c r="S994" s="408"/>
      <c r="T994" s="408"/>
      <c r="U994" s="408"/>
      <c r="V994" s="409"/>
      <c r="W994" s="410"/>
      <c r="X994" s="277"/>
      <c r="Y994" s="277"/>
      <c r="Z994" s="277"/>
    </row>
    <row r="995" ht="12.75" customHeight="1">
      <c r="A995" s="277"/>
      <c r="B995" s="278"/>
      <c r="C995" s="277"/>
      <c r="D995" s="278"/>
      <c r="E995" s="279"/>
      <c r="F995" s="406"/>
      <c r="G995" s="407"/>
      <c r="H995" s="407"/>
      <c r="I995" s="407"/>
      <c r="J995" s="407"/>
      <c r="K995" s="407"/>
      <c r="L995" s="407"/>
      <c r="M995" s="407"/>
      <c r="N995" s="407"/>
      <c r="O995" s="407"/>
      <c r="P995" s="407"/>
      <c r="Q995" s="407"/>
      <c r="R995" s="407"/>
      <c r="S995" s="408"/>
      <c r="T995" s="408"/>
      <c r="U995" s="408"/>
      <c r="V995" s="409"/>
      <c r="W995" s="410"/>
      <c r="X995" s="277"/>
      <c r="Y995" s="277"/>
      <c r="Z995" s="277"/>
    </row>
    <row r="996" ht="12.75" customHeight="1">
      <c r="A996" s="277"/>
      <c r="B996" s="278"/>
      <c r="C996" s="277"/>
      <c r="D996" s="278"/>
      <c r="E996" s="279"/>
      <c r="F996" s="406"/>
      <c r="G996" s="407"/>
      <c r="H996" s="407"/>
      <c r="I996" s="407"/>
      <c r="J996" s="407"/>
      <c r="K996" s="407"/>
      <c r="L996" s="407"/>
      <c r="M996" s="407"/>
      <c r="N996" s="407"/>
      <c r="O996" s="407"/>
      <c r="P996" s="407"/>
      <c r="Q996" s="407"/>
      <c r="R996" s="407"/>
      <c r="S996" s="408"/>
      <c r="T996" s="408"/>
      <c r="U996" s="408"/>
      <c r="V996" s="409"/>
      <c r="W996" s="410"/>
      <c r="X996" s="277"/>
      <c r="Y996" s="277"/>
      <c r="Z996" s="277"/>
    </row>
    <row r="997" ht="12.75" customHeight="1">
      <c r="A997" s="277"/>
      <c r="B997" s="278"/>
      <c r="C997" s="277"/>
      <c r="D997" s="278"/>
      <c r="E997" s="279"/>
      <c r="F997" s="406"/>
      <c r="G997" s="407"/>
      <c r="H997" s="407"/>
      <c r="I997" s="407"/>
      <c r="J997" s="407"/>
      <c r="K997" s="407"/>
      <c r="L997" s="407"/>
      <c r="M997" s="407"/>
      <c r="N997" s="407"/>
      <c r="O997" s="407"/>
      <c r="P997" s="407"/>
      <c r="Q997" s="407"/>
      <c r="R997" s="407"/>
      <c r="S997" s="408"/>
      <c r="T997" s="408"/>
      <c r="U997" s="408"/>
      <c r="V997" s="409"/>
      <c r="W997" s="410"/>
      <c r="X997" s="277"/>
      <c r="Y997" s="277"/>
      <c r="Z997" s="277"/>
    </row>
    <row r="998" ht="12.75" customHeight="1">
      <c r="A998" s="277"/>
      <c r="B998" s="278"/>
      <c r="C998" s="277"/>
      <c r="D998" s="278"/>
      <c r="E998" s="279"/>
      <c r="F998" s="406"/>
      <c r="G998" s="407"/>
      <c r="H998" s="407"/>
      <c r="I998" s="407"/>
      <c r="J998" s="407"/>
      <c r="K998" s="407"/>
      <c r="L998" s="407"/>
      <c r="M998" s="407"/>
      <c r="N998" s="407"/>
      <c r="O998" s="407"/>
      <c r="P998" s="407"/>
      <c r="Q998" s="407"/>
      <c r="R998" s="407"/>
      <c r="S998" s="408"/>
      <c r="T998" s="408"/>
      <c r="U998" s="408"/>
      <c r="V998" s="409"/>
      <c r="W998" s="410"/>
      <c r="X998" s="277"/>
      <c r="Y998" s="277"/>
      <c r="Z998" s="277"/>
    </row>
    <row r="999" ht="12.75" customHeight="1">
      <c r="A999" s="277"/>
      <c r="B999" s="278"/>
      <c r="C999" s="277"/>
      <c r="D999" s="278"/>
      <c r="E999" s="279"/>
      <c r="F999" s="406"/>
      <c r="G999" s="407"/>
      <c r="H999" s="407"/>
      <c r="I999" s="407"/>
      <c r="J999" s="407"/>
      <c r="K999" s="407"/>
      <c r="L999" s="407"/>
      <c r="M999" s="407"/>
      <c r="N999" s="407"/>
      <c r="O999" s="407"/>
      <c r="P999" s="407"/>
      <c r="Q999" s="407"/>
      <c r="R999" s="407"/>
      <c r="S999" s="408"/>
      <c r="T999" s="408"/>
      <c r="U999" s="408"/>
      <c r="V999" s="409"/>
      <c r="W999" s="410"/>
      <c r="X999" s="277"/>
      <c r="Y999" s="277"/>
      <c r="Z999" s="277"/>
    </row>
    <row r="1000" ht="12.75" customHeight="1">
      <c r="A1000" s="277"/>
      <c r="B1000" s="278"/>
      <c r="C1000" s="277"/>
      <c r="D1000" s="278"/>
      <c r="E1000" s="279"/>
      <c r="F1000" s="406"/>
      <c r="G1000" s="407"/>
      <c r="H1000" s="407"/>
      <c r="I1000" s="407"/>
      <c r="J1000" s="407"/>
      <c r="K1000" s="407"/>
      <c r="L1000" s="407"/>
      <c r="M1000" s="407"/>
      <c r="N1000" s="407"/>
      <c r="O1000" s="407"/>
      <c r="P1000" s="407"/>
      <c r="Q1000" s="407"/>
      <c r="R1000" s="407"/>
      <c r="S1000" s="408"/>
      <c r="T1000" s="408"/>
      <c r="U1000" s="408"/>
      <c r="V1000" s="409"/>
      <c r="W1000" s="410"/>
      <c r="X1000" s="277"/>
      <c r="Y1000" s="277"/>
      <c r="Z1000" s="277"/>
    </row>
  </sheetData>
  <mergeCells count="20">
    <mergeCell ref="B4:B6"/>
    <mergeCell ref="A5:A6"/>
    <mergeCell ref="G4:I4"/>
    <mergeCell ref="G5:I6"/>
    <mergeCell ref="J5:L5"/>
    <mergeCell ref="M5:O5"/>
    <mergeCell ref="P5:R5"/>
    <mergeCell ref="S5:U5"/>
    <mergeCell ref="J6:L6"/>
    <mergeCell ref="M6:O6"/>
    <mergeCell ref="P6:R6"/>
    <mergeCell ref="S6:U6"/>
    <mergeCell ref="P10:R10"/>
    <mergeCell ref="B2:G2"/>
    <mergeCell ref="D4:D6"/>
    <mergeCell ref="E4:F4"/>
    <mergeCell ref="J4:R4"/>
    <mergeCell ref="S4:U4"/>
    <mergeCell ref="W4:W6"/>
    <mergeCell ref="C5:C6"/>
  </mergeCells>
  <conditionalFormatting sqref="G11:U28 G30:U41 G43:U45 G47:U52">
    <cfRule type="cellIs" dxfId="1" priority="1" operator="equal">
      <formula>0</formula>
    </cfRule>
  </conditionalFormatting>
  <conditionalFormatting sqref="G11:U28 G30:U41 G43:U45 G47:U52">
    <cfRule type="cellIs" dxfId="1" priority="2" operator="greaterThan">
      <formula>100</formula>
    </cfRule>
  </conditionalFormatting>
  <conditionalFormatting sqref="G11:U28 G30:U41 G43:U45 G47:U52">
    <cfRule type="cellIs" dxfId="5" priority="3" operator="between">
      <formula>10</formula>
      <formula>100</formula>
    </cfRule>
  </conditionalFormatting>
  <conditionalFormatting sqref="G11:U28 G30:U41 G43:U45 G47:U52">
    <cfRule type="cellIs" dxfId="6" priority="4" operator="between">
      <formula>1</formula>
      <formula>10</formula>
    </cfRule>
  </conditionalFormatting>
  <conditionalFormatting sqref="G11:U28 G30:U41 G43:U45 G47:U52">
    <cfRule type="cellIs" dxfId="7" priority="5" operator="lessThan">
      <formula>1</formula>
    </cfRule>
  </conditionalFormatting>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29"/>
    <col customWidth="1" min="2" max="2" width="66.43"/>
    <col customWidth="1" min="3" max="3" width="10.0"/>
    <col customWidth="1" min="4" max="4" width="6.57"/>
    <col customWidth="1" min="5" max="5" width="14.0"/>
    <col customWidth="1" min="6" max="6" width="15.57"/>
    <col customWidth="1" min="7" max="7" width="52.29"/>
    <col customWidth="1" min="8" max="8" width="18.86"/>
    <col customWidth="1" min="9" max="9" width="31.0"/>
    <col customWidth="1" min="10" max="10" width="35.71"/>
    <col customWidth="1" min="11" max="11" width="33.71"/>
    <col customWidth="1" min="12" max="12" width="41.57"/>
    <col customWidth="1" min="13" max="13" width="46.29"/>
    <col customWidth="1" min="14" max="14" width="44.29"/>
    <col customWidth="1" min="15" max="15" width="36.57"/>
    <col customWidth="1" min="16" max="16" width="41.43"/>
    <col customWidth="1" min="17" max="17" width="39.29"/>
    <col customWidth="1" min="18" max="18" width="38.86"/>
    <col customWidth="1" min="19" max="19" width="43.57"/>
    <col customWidth="1" min="20" max="20" width="41.57"/>
    <col customWidth="1" min="21" max="21" width="32.71"/>
    <col customWidth="1" min="22" max="22" width="37.71"/>
    <col customWidth="1" min="23" max="23" width="36.14"/>
    <col customWidth="1" min="24" max="24" width="8.71"/>
    <col customWidth="1" min="25" max="25" width="21.57"/>
    <col customWidth="1" min="26" max="26" width="19.43"/>
    <col customWidth="1" min="27" max="27" width="57.43"/>
  </cols>
  <sheetData>
    <row r="1">
      <c r="A1" s="55" t="s">
        <v>19</v>
      </c>
      <c r="B1" s="55" t="s">
        <v>159</v>
      </c>
      <c r="C1" s="55" t="s">
        <v>160</v>
      </c>
      <c r="D1" s="55" t="s">
        <v>161</v>
      </c>
      <c r="E1" s="55" t="s">
        <v>162</v>
      </c>
      <c r="F1" s="55" t="s">
        <v>163</v>
      </c>
      <c r="G1" s="55" t="s">
        <v>164</v>
      </c>
      <c r="H1" s="55" t="s">
        <v>166</v>
      </c>
      <c r="I1" s="55" t="s">
        <v>167</v>
      </c>
      <c r="J1" s="55" t="s">
        <v>168</v>
      </c>
      <c r="K1" s="55" t="s">
        <v>169</v>
      </c>
      <c r="L1" s="55" t="s">
        <v>170</v>
      </c>
      <c r="M1" s="55" t="s">
        <v>171</v>
      </c>
      <c r="N1" s="55" t="s">
        <v>172</v>
      </c>
      <c r="O1" s="55" t="s">
        <v>173</v>
      </c>
      <c r="P1" s="55" t="s">
        <v>174</v>
      </c>
      <c r="Q1" s="55" t="s">
        <v>175</v>
      </c>
      <c r="R1" s="55" t="s">
        <v>176</v>
      </c>
      <c r="S1" s="55" t="s">
        <v>177</v>
      </c>
      <c r="T1" s="55" t="s">
        <v>178</v>
      </c>
      <c r="U1" s="55" t="s">
        <v>179</v>
      </c>
      <c r="V1" s="55" t="s">
        <v>180</v>
      </c>
      <c r="W1" s="55" t="s">
        <v>181</v>
      </c>
      <c r="X1" s="55" t="s">
        <v>182</v>
      </c>
      <c r="Y1" s="55" t="s">
        <v>183</v>
      </c>
      <c r="Z1" s="55" t="s">
        <v>52</v>
      </c>
      <c r="AA1" s="55" t="s">
        <v>184</v>
      </c>
    </row>
    <row r="2">
      <c r="A2" s="55" t="s">
        <v>2209</v>
      </c>
      <c r="B2" s="55" t="s">
        <v>2209</v>
      </c>
      <c r="F2" s="55" t="s">
        <v>186</v>
      </c>
      <c r="G2" s="55" t="s">
        <v>2210</v>
      </c>
      <c r="H2" s="56"/>
      <c r="I2" s="413">
        <v>234.0</v>
      </c>
      <c r="J2" s="413"/>
      <c r="K2" s="413"/>
      <c r="L2" s="413">
        <v>0.00902</v>
      </c>
      <c r="M2" s="413"/>
      <c r="N2" s="413"/>
      <c r="O2" s="413">
        <v>1.23</v>
      </c>
      <c r="P2" s="413"/>
      <c r="Q2" s="413"/>
      <c r="R2" s="413">
        <v>0.301</v>
      </c>
      <c r="S2" s="413"/>
      <c r="T2" s="413"/>
      <c r="U2" s="55" t="s">
        <v>2211</v>
      </c>
      <c r="V2" s="55" t="s">
        <v>38</v>
      </c>
      <c r="W2" s="59"/>
      <c r="X2" s="55" t="s">
        <v>2212</v>
      </c>
      <c r="Y2" s="4" t="s">
        <v>203</v>
      </c>
      <c r="Z2" s="414">
        <v>60.0</v>
      </c>
      <c r="AA2" s="55" t="s">
        <v>204</v>
      </c>
    </row>
    <row r="3">
      <c r="A3" s="55" t="s">
        <v>2213</v>
      </c>
      <c r="B3" s="55" t="s">
        <v>2213</v>
      </c>
      <c r="F3" s="55" t="s">
        <v>186</v>
      </c>
      <c r="G3" s="55" t="s">
        <v>2210</v>
      </c>
      <c r="H3" s="56"/>
      <c r="I3" s="413">
        <v>137.0</v>
      </c>
      <c r="J3" s="413"/>
      <c r="K3" s="413"/>
      <c r="L3" s="413">
        <v>0.00447</v>
      </c>
      <c r="M3" s="413"/>
      <c r="N3" s="413"/>
      <c r="O3" s="413">
        <v>1.06</v>
      </c>
      <c r="P3" s="413"/>
      <c r="Q3" s="413"/>
      <c r="R3" s="413">
        <v>0.228</v>
      </c>
      <c r="S3" s="413"/>
      <c r="T3" s="413"/>
      <c r="U3" s="55" t="s">
        <v>2211</v>
      </c>
      <c r="V3" s="55" t="s">
        <v>38</v>
      </c>
      <c r="W3" s="59"/>
      <c r="X3" s="55" t="s">
        <v>2214</v>
      </c>
      <c r="Y3" s="4" t="s">
        <v>203</v>
      </c>
      <c r="Z3" s="414">
        <v>60.0</v>
      </c>
      <c r="AA3" s="55" t="s">
        <v>204</v>
      </c>
    </row>
    <row r="4">
      <c r="A4" s="55" t="s">
        <v>2215</v>
      </c>
      <c r="B4" s="55" t="s">
        <v>2215</v>
      </c>
      <c r="F4" s="55" t="s">
        <v>186</v>
      </c>
      <c r="G4" s="55" t="s">
        <v>2210</v>
      </c>
      <c r="H4" s="56"/>
      <c r="I4" s="413">
        <v>200.0</v>
      </c>
      <c r="J4" s="413"/>
      <c r="K4" s="413"/>
      <c r="L4" s="413">
        <v>0.00841</v>
      </c>
      <c r="M4" s="413"/>
      <c r="N4" s="413"/>
      <c r="O4" s="413">
        <v>1.15</v>
      </c>
      <c r="P4" s="413"/>
      <c r="Q4" s="413"/>
      <c r="R4" s="413">
        <v>0.273</v>
      </c>
      <c r="S4" s="413"/>
      <c r="T4" s="413"/>
      <c r="U4" s="55" t="s">
        <v>2211</v>
      </c>
      <c r="V4" s="55" t="s">
        <v>38</v>
      </c>
      <c r="W4" s="59"/>
      <c r="X4" s="55" t="s">
        <v>2216</v>
      </c>
      <c r="Y4" s="4" t="s">
        <v>203</v>
      </c>
      <c r="Z4" s="414">
        <v>60.0</v>
      </c>
      <c r="AA4" s="55" t="s">
        <v>204</v>
      </c>
    </row>
    <row r="5">
      <c r="A5" s="55" t="s">
        <v>2217</v>
      </c>
      <c r="B5" s="55" t="s">
        <v>2217</v>
      </c>
      <c r="F5" s="55" t="s">
        <v>186</v>
      </c>
      <c r="G5" s="55" t="s">
        <v>2210</v>
      </c>
      <c r="H5" s="56"/>
      <c r="I5" s="413">
        <v>477.0</v>
      </c>
      <c r="J5" s="413"/>
      <c r="K5" s="413"/>
      <c r="L5" s="413">
        <v>0.0132</v>
      </c>
      <c r="M5" s="413"/>
      <c r="N5" s="413"/>
      <c r="O5" s="413">
        <v>1.45</v>
      </c>
      <c r="P5" s="413"/>
      <c r="Q5" s="413"/>
      <c r="R5" s="413">
        <v>0.439</v>
      </c>
      <c r="S5" s="413"/>
      <c r="T5" s="413"/>
      <c r="U5" s="55" t="s">
        <v>2211</v>
      </c>
      <c r="V5" s="55" t="s">
        <v>38</v>
      </c>
      <c r="W5" s="59"/>
      <c r="X5" s="55" t="s">
        <v>2218</v>
      </c>
      <c r="Y5" s="4" t="s">
        <v>203</v>
      </c>
      <c r="Z5" s="414">
        <v>60.0</v>
      </c>
      <c r="AA5" s="55" t="s">
        <v>204</v>
      </c>
    </row>
    <row r="6">
      <c r="A6" s="55" t="s">
        <v>2219</v>
      </c>
      <c r="B6" s="55" t="s">
        <v>2219</v>
      </c>
      <c r="F6" s="55" t="s">
        <v>186</v>
      </c>
      <c r="G6" s="55" t="s">
        <v>2210</v>
      </c>
      <c r="H6" s="56"/>
      <c r="I6" s="413">
        <v>456.0</v>
      </c>
      <c r="J6" s="413"/>
      <c r="K6" s="413"/>
      <c r="L6" s="413">
        <v>0.00831</v>
      </c>
      <c r="M6" s="413"/>
      <c r="N6" s="413"/>
      <c r="O6" s="413">
        <v>1.2</v>
      </c>
      <c r="P6" s="413"/>
      <c r="Q6" s="413"/>
      <c r="R6" s="413">
        <v>0.399</v>
      </c>
      <c r="S6" s="413"/>
      <c r="T6" s="413"/>
      <c r="U6" s="55" t="s">
        <v>2211</v>
      </c>
      <c r="V6" s="55" t="s">
        <v>38</v>
      </c>
      <c r="W6" s="59"/>
      <c r="X6" s="55" t="s">
        <v>2220</v>
      </c>
      <c r="Y6" s="4" t="s">
        <v>203</v>
      </c>
      <c r="Z6" s="414">
        <v>60.0</v>
      </c>
      <c r="AA6" s="55" t="s">
        <v>204</v>
      </c>
    </row>
    <row r="7">
      <c r="A7" s="55" t="s">
        <v>2221</v>
      </c>
      <c r="B7" s="55" t="s">
        <v>2221</v>
      </c>
      <c r="F7" s="55" t="s">
        <v>186</v>
      </c>
      <c r="G7" s="55" t="s">
        <v>2210</v>
      </c>
      <c r="H7" s="56"/>
      <c r="I7" s="413">
        <v>93.1</v>
      </c>
      <c r="J7" s="413"/>
      <c r="K7" s="413"/>
      <c r="L7" s="413">
        <v>0.994</v>
      </c>
      <c r="M7" s="413"/>
      <c r="N7" s="413"/>
      <c r="O7" s="413">
        <v>0.116</v>
      </c>
      <c r="P7" s="413"/>
      <c r="Q7" s="413"/>
      <c r="R7" s="413">
        <v>0.0274</v>
      </c>
      <c r="S7" s="413"/>
      <c r="T7" s="413"/>
      <c r="U7" s="55" t="s">
        <v>2211</v>
      </c>
      <c r="V7" s="55" t="s">
        <v>38</v>
      </c>
      <c r="W7" s="59"/>
      <c r="X7" s="55" t="s">
        <v>2222</v>
      </c>
      <c r="Y7" s="4" t="s">
        <v>203</v>
      </c>
      <c r="Z7" s="414">
        <v>60.0</v>
      </c>
      <c r="AA7" s="55" t="s">
        <v>204</v>
      </c>
    </row>
    <row r="8">
      <c r="A8" s="55" t="s">
        <v>2223</v>
      </c>
      <c r="B8" s="55" t="s">
        <v>2223</v>
      </c>
      <c r="F8" s="55" t="s">
        <v>186</v>
      </c>
      <c r="G8" s="55" t="s">
        <v>2210</v>
      </c>
      <c r="H8" s="56"/>
      <c r="I8" s="413">
        <v>88.2</v>
      </c>
      <c r="J8" s="413"/>
      <c r="K8" s="413"/>
      <c r="L8" s="413">
        <v>0.994</v>
      </c>
      <c r="M8" s="413"/>
      <c r="N8" s="413"/>
      <c r="O8" s="413">
        <v>0.119</v>
      </c>
      <c r="P8" s="413"/>
      <c r="Q8" s="413"/>
      <c r="R8" s="413">
        <v>0.0275</v>
      </c>
      <c r="S8" s="413"/>
      <c r="T8" s="413"/>
      <c r="U8" s="55" t="s">
        <v>2211</v>
      </c>
      <c r="V8" s="55" t="s">
        <v>38</v>
      </c>
      <c r="W8" s="59"/>
      <c r="X8" s="55" t="s">
        <v>2224</v>
      </c>
      <c r="Y8" s="4" t="s">
        <v>203</v>
      </c>
      <c r="Z8" s="414">
        <v>60.0</v>
      </c>
      <c r="AA8" s="55" t="s">
        <v>204</v>
      </c>
    </row>
    <row r="9">
      <c r="A9" s="55" t="s">
        <v>2225</v>
      </c>
      <c r="B9" s="55" t="s">
        <v>2225</v>
      </c>
      <c r="F9" s="55" t="s">
        <v>186</v>
      </c>
      <c r="G9" s="55" t="s">
        <v>2210</v>
      </c>
      <c r="H9" s="56"/>
      <c r="I9" s="413">
        <v>80.8</v>
      </c>
      <c r="J9" s="413"/>
      <c r="K9" s="413"/>
      <c r="L9" s="413">
        <v>1.05</v>
      </c>
      <c r="M9" s="413"/>
      <c r="N9" s="413"/>
      <c r="O9" s="413">
        <v>0.0628</v>
      </c>
      <c r="P9" s="413"/>
      <c r="Q9" s="413"/>
      <c r="R9" s="413">
        <v>0.0107</v>
      </c>
      <c r="S9" s="413"/>
      <c r="T9" s="413"/>
      <c r="U9" s="55" t="s">
        <v>2211</v>
      </c>
      <c r="V9" s="55" t="s">
        <v>38</v>
      </c>
      <c r="W9" s="59"/>
      <c r="X9" s="55" t="s">
        <v>2226</v>
      </c>
      <c r="Y9" s="4" t="s">
        <v>203</v>
      </c>
      <c r="Z9" s="414">
        <v>60.0</v>
      </c>
      <c r="AA9" s="55" t="s">
        <v>204</v>
      </c>
    </row>
    <row r="10">
      <c r="A10" s="55" t="s">
        <v>2227</v>
      </c>
      <c r="B10" s="55" t="s">
        <v>2227</v>
      </c>
      <c r="F10" s="55" t="s">
        <v>186</v>
      </c>
      <c r="G10" s="55" t="s">
        <v>2210</v>
      </c>
      <c r="H10" s="56"/>
      <c r="I10" s="413">
        <v>73.7</v>
      </c>
      <c r="J10" s="413"/>
      <c r="K10" s="413"/>
      <c r="L10" s="413">
        <v>1.05</v>
      </c>
      <c r="M10" s="413"/>
      <c r="N10" s="413"/>
      <c r="O10" s="413">
        <v>0.0651</v>
      </c>
      <c r="P10" s="413"/>
      <c r="Q10" s="413"/>
      <c r="R10" s="413">
        <v>0.0108</v>
      </c>
      <c r="S10" s="413"/>
      <c r="T10" s="413"/>
      <c r="U10" s="55" t="s">
        <v>2211</v>
      </c>
      <c r="V10" s="55" t="s">
        <v>38</v>
      </c>
      <c r="W10" s="59"/>
      <c r="X10" s="55" t="s">
        <v>2228</v>
      </c>
      <c r="Y10" s="4" t="s">
        <v>203</v>
      </c>
      <c r="Z10" s="414">
        <v>60.0</v>
      </c>
      <c r="AA10" s="55" t="s">
        <v>204</v>
      </c>
    </row>
    <row r="11">
      <c r="A11" s="55" t="s">
        <v>2229</v>
      </c>
      <c r="B11" s="55" t="s">
        <v>2229</v>
      </c>
      <c r="F11" s="55" t="s">
        <v>186</v>
      </c>
      <c r="G11" s="55" t="s">
        <v>2210</v>
      </c>
      <c r="H11" s="56"/>
      <c r="I11" s="413">
        <v>81.1</v>
      </c>
      <c r="J11" s="413"/>
      <c r="K11" s="413"/>
      <c r="L11" s="413">
        <v>1.04</v>
      </c>
      <c r="M11" s="413"/>
      <c r="N11" s="413"/>
      <c r="O11" s="413">
        <v>0.157</v>
      </c>
      <c r="P11" s="413"/>
      <c r="Q11" s="413"/>
      <c r="R11" s="413">
        <v>0.0272</v>
      </c>
      <c r="S11" s="413"/>
      <c r="T11" s="413"/>
      <c r="U11" s="55" t="s">
        <v>2211</v>
      </c>
      <c r="V11" s="55" t="s">
        <v>38</v>
      </c>
      <c r="W11" s="59"/>
      <c r="X11" s="55" t="s">
        <v>2230</v>
      </c>
      <c r="Y11" s="4" t="s">
        <v>203</v>
      </c>
      <c r="Z11" s="414">
        <v>60.0</v>
      </c>
      <c r="AA11" s="55" t="s">
        <v>204</v>
      </c>
    </row>
    <row r="12">
      <c r="A12" s="55" t="s">
        <v>2231</v>
      </c>
      <c r="B12" s="55" t="s">
        <v>2231</v>
      </c>
      <c r="F12" s="55" t="s">
        <v>186</v>
      </c>
      <c r="G12" s="55" t="s">
        <v>2210</v>
      </c>
      <c r="H12" s="56"/>
      <c r="I12" s="413">
        <v>76.8</v>
      </c>
      <c r="J12" s="413"/>
      <c r="K12" s="413"/>
      <c r="L12" s="413">
        <v>1.04</v>
      </c>
      <c r="M12" s="413"/>
      <c r="N12" s="413"/>
      <c r="O12" s="413">
        <v>0.16</v>
      </c>
      <c r="P12" s="413"/>
      <c r="Q12" s="413"/>
      <c r="R12" s="413">
        <v>0.0273</v>
      </c>
      <c r="S12" s="413"/>
      <c r="T12" s="413"/>
      <c r="U12" s="55" t="s">
        <v>2211</v>
      </c>
      <c r="V12" s="55" t="s">
        <v>38</v>
      </c>
      <c r="W12" s="59"/>
      <c r="X12" s="55" t="s">
        <v>2232</v>
      </c>
      <c r="Y12" s="4" t="s">
        <v>203</v>
      </c>
      <c r="Z12" s="414">
        <v>60.0</v>
      </c>
      <c r="AA12" s="55" t="s">
        <v>204</v>
      </c>
    </row>
    <row r="13">
      <c r="A13" s="55" t="s">
        <v>2233</v>
      </c>
      <c r="B13" s="55" t="s">
        <v>2233</v>
      </c>
      <c r="F13" s="55" t="s">
        <v>186</v>
      </c>
      <c r="G13" s="55" t="s">
        <v>2210</v>
      </c>
      <c r="H13" s="56"/>
      <c r="I13" s="413">
        <v>109.0</v>
      </c>
      <c r="J13" s="413"/>
      <c r="K13" s="413"/>
      <c r="L13" s="413">
        <v>0.0321</v>
      </c>
      <c r="M13" s="413"/>
      <c r="N13" s="413"/>
      <c r="O13" s="413">
        <v>0.299</v>
      </c>
      <c r="P13" s="413"/>
      <c r="Q13" s="413"/>
      <c r="R13" s="413">
        <v>0.13</v>
      </c>
      <c r="S13" s="413"/>
      <c r="T13" s="413"/>
      <c r="U13" s="55" t="s">
        <v>2211</v>
      </c>
      <c r="V13" s="55" t="s">
        <v>38</v>
      </c>
      <c r="W13" s="59"/>
      <c r="X13" s="55" t="s">
        <v>2234</v>
      </c>
      <c r="Y13" s="4" t="s">
        <v>203</v>
      </c>
      <c r="Z13" s="414">
        <v>60.0</v>
      </c>
      <c r="AA13" s="55" t="s">
        <v>204</v>
      </c>
    </row>
    <row r="14">
      <c r="A14" s="55" t="s">
        <v>2235</v>
      </c>
      <c r="B14" s="55" t="s">
        <v>2235</v>
      </c>
      <c r="F14" s="55" t="s">
        <v>186</v>
      </c>
      <c r="G14" s="55" t="s">
        <v>2236</v>
      </c>
      <c r="H14" s="56"/>
      <c r="I14" s="413">
        <v>341.0</v>
      </c>
      <c r="J14" s="413"/>
      <c r="K14" s="413"/>
      <c r="L14" s="413">
        <v>0.0155</v>
      </c>
      <c r="M14" s="413"/>
      <c r="N14" s="413"/>
      <c r="O14" s="413">
        <v>1.68</v>
      </c>
      <c r="P14" s="413"/>
      <c r="Q14" s="413"/>
      <c r="R14" s="413">
        <v>0.408</v>
      </c>
      <c r="S14" s="413"/>
      <c r="T14" s="413"/>
      <c r="U14" s="55" t="s">
        <v>2211</v>
      </c>
      <c r="V14" s="55" t="s">
        <v>38</v>
      </c>
      <c r="W14" s="59"/>
      <c r="X14" s="55" t="s">
        <v>2237</v>
      </c>
      <c r="Y14" s="4" t="s">
        <v>203</v>
      </c>
      <c r="Z14" s="414">
        <v>60.0</v>
      </c>
      <c r="AA14" s="55" t="s">
        <v>204</v>
      </c>
    </row>
    <row r="15">
      <c r="A15" s="55" t="s">
        <v>2238</v>
      </c>
      <c r="B15" s="55" t="s">
        <v>2238</v>
      </c>
      <c r="F15" s="55" t="s">
        <v>186</v>
      </c>
      <c r="G15" s="55" t="s">
        <v>2236</v>
      </c>
      <c r="H15" s="56"/>
      <c r="I15" s="413">
        <v>194.0</v>
      </c>
      <c r="J15" s="413"/>
      <c r="K15" s="413"/>
      <c r="L15" s="413">
        <v>0.0147</v>
      </c>
      <c r="M15" s="413"/>
      <c r="N15" s="413"/>
      <c r="O15" s="413">
        <v>1.51</v>
      </c>
      <c r="P15" s="413"/>
      <c r="Q15" s="413"/>
      <c r="R15" s="413">
        <v>0.314</v>
      </c>
      <c r="S15" s="413"/>
      <c r="T15" s="413"/>
      <c r="U15" s="55" t="s">
        <v>2211</v>
      </c>
      <c r="V15" s="55" t="s">
        <v>38</v>
      </c>
      <c r="W15" s="59"/>
      <c r="X15" s="55" t="s">
        <v>2239</v>
      </c>
      <c r="Y15" s="4" t="s">
        <v>203</v>
      </c>
      <c r="Z15" s="414">
        <v>60.0</v>
      </c>
      <c r="AA15" s="55" t="s">
        <v>204</v>
      </c>
    </row>
    <row r="16">
      <c r="A16" s="55" t="s">
        <v>2240</v>
      </c>
      <c r="B16" s="55" t="s">
        <v>2240</v>
      </c>
      <c r="F16" s="55" t="s">
        <v>186</v>
      </c>
      <c r="G16" s="55" t="s">
        <v>2236</v>
      </c>
      <c r="H16" s="56"/>
      <c r="I16" s="413">
        <v>120.0</v>
      </c>
      <c r="J16" s="413"/>
      <c r="K16" s="413"/>
      <c r="L16" s="413">
        <v>1.58</v>
      </c>
      <c r="M16" s="413"/>
      <c r="N16" s="413"/>
      <c r="O16" s="413">
        <v>0.143</v>
      </c>
      <c r="P16" s="413"/>
      <c r="Q16" s="413"/>
      <c r="R16" s="413">
        <v>0.0496</v>
      </c>
      <c r="S16" s="413"/>
      <c r="T16" s="413"/>
      <c r="U16" s="55" t="s">
        <v>2211</v>
      </c>
      <c r="V16" s="55" t="s">
        <v>38</v>
      </c>
      <c r="W16" s="59"/>
      <c r="X16" s="55" t="s">
        <v>2241</v>
      </c>
      <c r="Y16" s="4" t="s">
        <v>203</v>
      </c>
      <c r="Z16" s="414">
        <v>60.0</v>
      </c>
      <c r="AA16" s="55" t="s">
        <v>204</v>
      </c>
    </row>
    <row r="17">
      <c r="A17" s="55" t="s">
        <v>2242</v>
      </c>
      <c r="B17" s="55" t="s">
        <v>2242</v>
      </c>
      <c r="F17" s="55" t="s">
        <v>186</v>
      </c>
      <c r="G17" s="55" t="s">
        <v>2236</v>
      </c>
      <c r="H17" s="56"/>
      <c r="I17" s="413">
        <v>102.0</v>
      </c>
      <c r="J17" s="413"/>
      <c r="K17" s="413"/>
      <c r="L17" s="413">
        <v>1.33</v>
      </c>
      <c r="M17" s="413"/>
      <c r="N17" s="413"/>
      <c r="O17" s="413">
        <v>0.128</v>
      </c>
      <c r="P17" s="413"/>
      <c r="Q17" s="413"/>
      <c r="R17" s="413">
        <v>0.0423</v>
      </c>
      <c r="S17" s="413"/>
      <c r="T17" s="413"/>
      <c r="U17" s="55" t="s">
        <v>2211</v>
      </c>
      <c r="V17" s="55" t="s">
        <v>38</v>
      </c>
      <c r="W17" s="59"/>
      <c r="X17" s="55" t="s">
        <v>2243</v>
      </c>
      <c r="Y17" s="4" t="s">
        <v>203</v>
      </c>
      <c r="Z17" s="414">
        <v>60.0</v>
      </c>
      <c r="AA17" s="55" t="s">
        <v>204</v>
      </c>
    </row>
    <row r="18">
      <c r="A18" s="55" t="s">
        <v>2244</v>
      </c>
      <c r="B18" s="55" t="s">
        <v>2244</v>
      </c>
      <c r="F18" s="55" t="s">
        <v>186</v>
      </c>
      <c r="G18" s="55" t="s">
        <v>2236</v>
      </c>
      <c r="H18" s="56"/>
      <c r="I18" s="413">
        <v>186.0</v>
      </c>
      <c r="J18" s="413"/>
      <c r="K18" s="413"/>
      <c r="L18" s="413">
        <v>0.991</v>
      </c>
      <c r="M18" s="413"/>
      <c r="N18" s="413"/>
      <c r="O18" s="413">
        <v>1.14</v>
      </c>
      <c r="P18" s="413"/>
      <c r="Q18" s="413"/>
      <c r="R18" s="413">
        <v>0.078</v>
      </c>
      <c r="S18" s="413"/>
      <c r="T18" s="413"/>
      <c r="U18" s="55" t="s">
        <v>2211</v>
      </c>
      <c r="V18" s="55" t="s">
        <v>38</v>
      </c>
      <c r="W18" s="59"/>
      <c r="X18" s="55" t="s">
        <v>2245</v>
      </c>
      <c r="Y18" s="4" t="s">
        <v>203</v>
      </c>
      <c r="Z18" s="414">
        <v>60.0</v>
      </c>
      <c r="AA18" s="55" t="s">
        <v>204</v>
      </c>
    </row>
    <row r="19">
      <c r="A19" s="55" t="s">
        <v>2246</v>
      </c>
      <c r="B19" s="55" t="s">
        <v>2246</v>
      </c>
      <c r="F19" s="55" t="s">
        <v>186</v>
      </c>
      <c r="G19" s="55" t="s">
        <v>2236</v>
      </c>
      <c r="H19" s="56"/>
      <c r="I19" s="413">
        <v>124.0</v>
      </c>
      <c r="J19" s="413"/>
      <c r="K19" s="413"/>
      <c r="L19" s="413">
        <v>0.172</v>
      </c>
      <c r="M19" s="413"/>
      <c r="N19" s="413"/>
      <c r="O19" s="413">
        <v>0.894</v>
      </c>
      <c r="P19" s="413"/>
      <c r="Q19" s="413"/>
      <c r="R19" s="413">
        <v>0.0408</v>
      </c>
      <c r="S19" s="413"/>
      <c r="T19" s="413"/>
      <c r="U19" s="55" t="s">
        <v>2211</v>
      </c>
      <c r="V19" s="55" t="s">
        <v>38</v>
      </c>
      <c r="W19" s="59"/>
      <c r="X19" s="55" t="s">
        <v>2247</v>
      </c>
      <c r="Y19" s="4" t="s">
        <v>203</v>
      </c>
      <c r="Z19" s="414">
        <v>60.0</v>
      </c>
      <c r="AA19" s="55" t="s">
        <v>204</v>
      </c>
    </row>
    <row r="20">
      <c r="A20" s="55" t="s">
        <v>2248</v>
      </c>
      <c r="B20" s="55" t="s">
        <v>2248</v>
      </c>
      <c r="F20" s="55" t="s">
        <v>186</v>
      </c>
      <c r="G20" s="55" t="s">
        <v>2236</v>
      </c>
      <c r="H20" s="56"/>
      <c r="I20" s="413">
        <v>155.0</v>
      </c>
      <c r="J20" s="413"/>
      <c r="K20" s="413"/>
      <c r="L20" s="413">
        <v>1.03</v>
      </c>
      <c r="M20" s="413"/>
      <c r="N20" s="413"/>
      <c r="O20" s="413">
        <v>0.963</v>
      </c>
      <c r="P20" s="413"/>
      <c r="Q20" s="413"/>
      <c r="R20" s="413">
        <v>0.062</v>
      </c>
      <c r="S20" s="413"/>
      <c r="T20" s="413"/>
      <c r="U20" s="55" t="s">
        <v>2211</v>
      </c>
      <c r="V20" s="55" t="s">
        <v>38</v>
      </c>
      <c r="W20" s="59"/>
      <c r="X20" s="55" t="s">
        <v>2249</v>
      </c>
      <c r="Y20" s="4" t="s">
        <v>203</v>
      </c>
      <c r="Z20" s="414">
        <v>60.0</v>
      </c>
      <c r="AA20" s="55" t="s">
        <v>204</v>
      </c>
    </row>
    <row r="21">
      <c r="A21" s="55" t="s">
        <v>2250</v>
      </c>
      <c r="B21" s="55" t="s">
        <v>2250</v>
      </c>
      <c r="F21" s="55" t="s">
        <v>186</v>
      </c>
      <c r="G21" s="55" t="s">
        <v>2236</v>
      </c>
      <c r="H21" s="56"/>
      <c r="I21" s="413">
        <v>139.0</v>
      </c>
      <c r="J21" s="413"/>
      <c r="K21" s="413"/>
      <c r="L21" s="413">
        <v>1.05</v>
      </c>
      <c r="M21" s="413"/>
      <c r="N21" s="413"/>
      <c r="O21" s="413">
        <v>0.849</v>
      </c>
      <c r="P21" s="413"/>
      <c r="Q21" s="413"/>
      <c r="R21" s="413">
        <v>0.0574</v>
      </c>
      <c r="S21" s="413"/>
      <c r="T21" s="413"/>
      <c r="U21" s="55" t="s">
        <v>2211</v>
      </c>
      <c r="V21" s="55" t="s">
        <v>38</v>
      </c>
      <c r="W21" s="59"/>
      <c r="X21" s="55" t="s">
        <v>2251</v>
      </c>
      <c r="Y21" s="4" t="s">
        <v>203</v>
      </c>
      <c r="Z21" s="414">
        <v>60.0</v>
      </c>
      <c r="AA21" s="55" t="s">
        <v>204</v>
      </c>
    </row>
    <row r="22">
      <c r="A22" s="55" t="s">
        <v>2252</v>
      </c>
      <c r="B22" s="55" t="s">
        <v>2252</v>
      </c>
      <c r="F22" s="55" t="s">
        <v>186</v>
      </c>
      <c r="G22" s="55" t="s">
        <v>2236</v>
      </c>
      <c r="H22" s="56"/>
      <c r="I22" s="413">
        <v>67.3</v>
      </c>
      <c r="J22" s="413"/>
      <c r="K22" s="413"/>
      <c r="L22" s="413">
        <v>1.36</v>
      </c>
      <c r="M22" s="413"/>
      <c r="N22" s="413"/>
      <c r="O22" s="413">
        <v>0.162</v>
      </c>
      <c r="P22" s="413"/>
      <c r="Q22" s="413"/>
      <c r="R22" s="413">
        <v>0.0207</v>
      </c>
      <c r="S22" s="413"/>
      <c r="T22" s="413"/>
      <c r="U22" s="55" t="s">
        <v>2211</v>
      </c>
      <c r="V22" s="55" t="s">
        <v>38</v>
      </c>
      <c r="W22" s="59"/>
      <c r="X22" s="55" t="s">
        <v>2253</v>
      </c>
      <c r="Y22" s="4" t="s">
        <v>203</v>
      </c>
      <c r="Z22" s="414">
        <v>60.0</v>
      </c>
      <c r="AA22" s="55" t="s">
        <v>204</v>
      </c>
    </row>
    <row r="23">
      <c r="A23" s="55" t="s">
        <v>2254</v>
      </c>
      <c r="B23" s="55" t="s">
        <v>2254</v>
      </c>
      <c r="F23" s="55" t="s">
        <v>186</v>
      </c>
      <c r="G23" s="55" t="s">
        <v>2236</v>
      </c>
      <c r="H23" s="56"/>
      <c r="I23" s="413">
        <v>47.6</v>
      </c>
      <c r="J23" s="413"/>
      <c r="K23" s="413"/>
      <c r="L23" s="413">
        <v>0.465</v>
      </c>
      <c r="M23" s="413"/>
      <c r="N23" s="413"/>
      <c r="O23" s="413">
        <v>0.125</v>
      </c>
      <c r="P23" s="413"/>
      <c r="Q23" s="413"/>
      <c r="R23" s="413">
        <v>0.0148</v>
      </c>
      <c r="S23" s="413"/>
      <c r="T23" s="413"/>
      <c r="U23" s="55" t="s">
        <v>2211</v>
      </c>
      <c r="V23" s="55" t="s">
        <v>38</v>
      </c>
      <c r="W23" s="59"/>
      <c r="X23" s="55" t="s">
        <v>2255</v>
      </c>
      <c r="Y23" s="4" t="s">
        <v>203</v>
      </c>
      <c r="Z23" s="414">
        <v>60.0</v>
      </c>
      <c r="AA23" s="55" t="s">
        <v>204</v>
      </c>
    </row>
    <row r="24">
      <c r="A24" s="55" t="s">
        <v>2256</v>
      </c>
      <c r="B24" s="55" t="s">
        <v>2256</v>
      </c>
      <c r="F24" s="55" t="s">
        <v>186</v>
      </c>
      <c r="G24" s="55" t="s">
        <v>2236</v>
      </c>
      <c r="H24" s="56"/>
      <c r="I24" s="413">
        <v>7.31</v>
      </c>
      <c r="J24" s="413"/>
      <c r="K24" s="413"/>
      <c r="L24" s="413">
        <v>0.00931</v>
      </c>
      <c r="M24" s="413"/>
      <c r="N24" s="413"/>
      <c r="O24" s="413">
        <v>0.0504</v>
      </c>
      <c r="P24" s="413"/>
      <c r="Q24" s="413"/>
      <c r="R24" s="413">
        <v>0.0027</v>
      </c>
      <c r="S24" s="413"/>
      <c r="T24" s="413"/>
      <c r="U24" s="55" t="s">
        <v>2211</v>
      </c>
      <c r="V24" s="55" t="s">
        <v>38</v>
      </c>
      <c r="W24" s="59"/>
      <c r="X24" s="55" t="s">
        <v>2257</v>
      </c>
      <c r="Y24" s="4" t="s">
        <v>203</v>
      </c>
      <c r="Z24" s="414">
        <v>60.0</v>
      </c>
      <c r="AA24" s="55" t="s">
        <v>204</v>
      </c>
    </row>
    <row r="25">
      <c r="A25" s="55" t="s">
        <v>2258</v>
      </c>
      <c r="B25" s="55" t="s">
        <v>2258</v>
      </c>
      <c r="F25" s="55" t="s">
        <v>186</v>
      </c>
      <c r="G25" s="55" t="s">
        <v>2236</v>
      </c>
      <c r="H25" s="56"/>
      <c r="I25" s="413">
        <v>120.0</v>
      </c>
      <c r="J25" s="413"/>
      <c r="K25" s="413"/>
      <c r="L25" s="413">
        <v>0.0115</v>
      </c>
      <c r="M25" s="413"/>
      <c r="N25" s="413"/>
      <c r="O25" s="413">
        <v>0.617</v>
      </c>
      <c r="P25" s="413"/>
      <c r="Q25" s="413"/>
      <c r="R25" s="413">
        <v>0.145</v>
      </c>
      <c r="S25" s="413"/>
      <c r="T25" s="413"/>
      <c r="U25" s="55" t="s">
        <v>2211</v>
      </c>
      <c r="V25" s="55" t="s">
        <v>38</v>
      </c>
      <c r="W25" s="59"/>
      <c r="X25" s="55" t="s">
        <v>2259</v>
      </c>
      <c r="Y25" s="4" t="s">
        <v>203</v>
      </c>
      <c r="Z25" s="414">
        <v>60.0</v>
      </c>
      <c r="AA25" s="55" t="s">
        <v>204</v>
      </c>
    </row>
    <row r="26">
      <c r="A26" s="55" t="s">
        <v>2260</v>
      </c>
      <c r="B26" s="55" t="s">
        <v>2260</v>
      </c>
      <c r="F26" s="55" t="s">
        <v>186</v>
      </c>
      <c r="G26" s="55" t="s">
        <v>2236</v>
      </c>
      <c r="H26" s="56"/>
      <c r="I26" s="413">
        <v>84.0</v>
      </c>
      <c r="J26" s="413"/>
      <c r="K26" s="413"/>
      <c r="L26" s="413">
        <v>0.0105</v>
      </c>
      <c r="M26" s="413"/>
      <c r="N26" s="413"/>
      <c r="O26" s="413">
        <v>0.596</v>
      </c>
      <c r="P26" s="413"/>
      <c r="Q26" s="413"/>
      <c r="R26" s="413">
        <v>0.127</v>
      </c>
      <c r="S26" s="413"/>
      <c r="T26" s="413"/>
      <c r="U26" s="55" t="s">
        <v>2211</v>
      </c>
      <c r="V26" s="55" t="s">
        <v>38</v>
      </c>
      <c r="W26" s="59"/>
      <c r="X26" s="55" t="s">
        <v>2261</v>
      </c>
      <c r="Y26" s="4" t="s">
        <v>203</v>
      </c>
      <c r="Z26" s="414">
        <v>60.0</v>
      </c>
      <c r="AA26" s="55" t="s">
        <v>204</v>
      </c>
    </row>
    <row r="27">
      <c r="A27" s="55" t="s">
        <v>2262</v>
      </c>
      <c r="B27" s="55" t="s">
        <v>2262</v>
      </c>
      <c r="F27" s="55" t="s">
        <v>186</v>
      </c>
      <c r="G27" s="55" t="s">
        <v>2236</v>
      </c>
      <c r="H27" s="56"/>
      <c r="I27" s="413">
        <v>72.9</v>
      </c>
      <c r="J27" s="413"/>
      <c r="K27" s="413"/>
      <c r="L27" s="413">
        <v>0.0257</v>
      </c>
      <c r="M27" s="413"/>
      <c r="N27" s="413"/>
      <c r="O27" s="413">
        <v>0.207</v>
      </c>
      <c r="P27" s="413"/>
      <c r="Q27" s="413"/>
      <c r="R27" s="413">
        <v>0.0785</v>
      </c>
      <c r="S27" s="413"/>
      <c r="T27" s="413"/>
      <c r="U27" s="55" t="s">
        <v>2211</v>
      </c>
      <c r="V27" s="55" t="s">
        <v>38</v>
      </c>
      <c r="W27" s="59"/>
      <c r="X27" s="55" t="s">
        <v>2263</v>
      </c>
      <c r="Y27" s="4" t="s">
        <v>203</v>
      </c>
      <c r="Z27" s="414">
        <v>60.0</v>
      </c>
      <c r="AA27" s="55" t="s">
        <v>204</v>
      </c>
    </row>
    <row r="28">
      <c r="A28" s="55" t="s">
        <v>2264</v>
      </c>
      <c r="B28" s="55" t="s">
        <v>2264</v>
      </c>
      <c r="F28" s="55" t="s">
        <v>186</v>
      </c>
      <c r="G28" s="55" t="s">
        <v>2236</v>
      </c>
      <c r="H28" s="56"/>
      <c r="I28" s="413">
        <v>28.2</v>
      </c>
      <c r="J28" s="413"/>
      <c r="K28" s="413"/>
      <c r="L28" s="413">
        <v>0.0135</v>
      </c>
      <c r="M28" s="413"/>
      <c r="N28" s="413"/>
      <c r="O28" s="413">
        <v>0.0667</v>
      </c>
      <c r="P28" s="413"/>
      <c r="Q28" s="413"/>
      <c r="R28" s="413">
        <v>0.0205</v>
      </c>
      <c r="S28" s="413"/>
      <c r="T28" s="413"/>
      <c r="U28" s="55" t="s">
        <v>2211</v>
      </c>
      <c r="V28" s="55" t="s">
        <v>38</v>
      </c>
      <c r="W28" s="59"/>
      <c r="X28" s="55" t="s">
        <v>2265</v>
      </c>
      <c r="Y28" s="4" t="s">
        <v>203</v>
      </c>
      <c r="Z28" s="414">
        <v>60.0</v>
      </c>
      <c r="AA28" s="55" t="s">
        <v>204</v>
      </c>
    </row>
    <row r="29">
      <c r="A29" s="55" t="s">
        <v>2266</v>
      </c>
      <c r="B29" s="55" t="s">
        <v>2266</v>
      </c>
      <c r="F29" s="55" t="s">
        <v>186</v>
      </c>
      <c r="G29" s="55" t="s">
        <v>2236</v>
      </c>
      <c r="H29" s="56"/>
      <c r="I29" s="413">
        <v>92.9</v>
      </c>
      <c r="J29" s="413"/>
      <c r="K29" s="413"/>
      <c r="L29" s="413">
        <v>0.326</v>
      </c>
      <c r="M29" s="413"/>
      <c r="N29" s="413"/>
      <c r="O29" s="413">
        <v>0.549</v>
      </c>
      <c r="P29" s="413"/>
      <c r="Q29" s="413"/>
      <c r="R29" s="413">
        <v>0.108</v>
      </c>
      <c r="S29" s="413"/>
      <c r="T29" s="413"/>
      <c r="U29" s="55" t="s">
        <v>2211</v>
      </c>
      <c r="V29" s="55" t="s">
        <v>38</v>
      </c>
      <c r="W29" s="59"/>
      <c r="X29" s="55" t="s">
        <v>2267</v>
      </c>
      <c r="Y29" s="4" t="s">
        <v>203</v>
      </c>
      <c r="Z29" s="414">
        <v>60.0</v>
      </c>
      <c r="AA29" s="55" t="s">
        <v>204</v>
      </c>
    </row>
    <row r="30">
      <c r="A30" s="55" t="s">
        <v>2268</v>
      </c>
      <c r="B30" s="55" t="s">
        <v>2268</v>
      </c>
      <c r="F30" s="55" t="s">
        <v>186</v>
      </c>
      <c r="G30" s="55" t="s">
        <v>2236</v>
      </c>
      <c r="H30" s="56"/>
      <c r="I30" s="413">
        <v>75.5</v>
      </c>
      <c r="J30" s="413"/>
      <c r="K30" s="413"/>
      <c r="L30" s="413">
        <v>0.264</v>
      </c>
      <c r="M30" s="413"/>
      <c r="N30" s="413"/>
      <c r="O30" s="413">
        <v>0.452</v>
      </c>
      <c r="P30" s="413"/>
      <c r="Q30" s="413"/>
      <c r="R30" s="413">
        <v>0.0888</v>
      </c>
      <c r="S30" s="413"/>
      <c r="T30" s="413"/>
      <c r="U30" s="55" t="s">
        <v>2211</v>
      </c>
      <c r="V30" s="55" t="s">
        <v>38</v>
      </c>
      <c r="W30" s="59"/>
      <c r="X30" s="55" t="s">
        <v>2269</v>
      </c>
      <c r="Y30" s="4" t="s">
        <v>203</v>
      </c>
      <c r="Z30" s="414">
        <v>60.0</v>
      </c>
      <c r="AA30" s="55" t="s">
        <v>204</v>
      </c>
    </row>
    <row r="31">
      <c r="A31" s="55" t="s">
        <v>2270</v>
      </c>
      <c r="B31" s="55" t="s">
        <v>2270</v>
      </c>
      <c r="F31" s="55" t="s">
        <v>186</v>
      </c>
      <c r="G31" s="55" t="s">
        <v>2271</v>
      </c>
      <c r="H31" s="56"/>
      <c r="I31" s="413">
        <v>251.0</v>
      </c>
      <c r="J31" s="413"/>
      <c r="K31" s="413"/>
      <c r="L31" s="413">
        <v>0.00659</v>
      </c>
      <c r="M31" s="413"/>
      <c r="N31" s="413"/>
      <c r="O31" s="413">
        <v>1.3</v>
      </c>
      <c r="P31" s="413"/>
      <c r="Q31" s="413"/>
      <c r="R31" s="413">
        <v>0.322</v>
      </c>
      <c r="S31" s="413"/>
      <c r="T31" s="413"/>
      <c r="U31" s="55" t="s">
        <v>2211</v>
      </c>
      <c r="V31" s="55" t="s">
        <v>40</v>
      </c>
      <c r="W31" s="59"/>
      <c r="X31" s="55" t="s">
        <v>2272</v>
      </c>
      <c r="Y31" s="4" t="s">
        <v>203</v>
      </c>
      <c r="Z31" s="414">
        <v>60.0</v>
      </c>
      <c r="AA31" s="55" t="s">
        <v>204</v>
      </c>
    </row>
    <row r="32">
      <c r="A32" s="55" t="s">
        <v>2273</v>
      </c>
      <c r="B32" s="55" t="s">
        <v>2273</v>
      </c>
      <c r="F32" s="55" t="s">
        <v>186</v>
      </c>
      <c r="G32" s="55" t="s">
        <v>2271</v>
      </c>
      <c r="H32" s="56"/>
      <c r="I32" s="413">
        <v>151.0</v>
      </c>
      <c r="J32" s="413"/>
      <c r="K32" s="413"/>
      <c r="L32" s="413">
        <v>0.00528</v>
      </c>
      <c r="M32" s="413"/>
      <c r="N32" s="413"/>
      <c r="O32" s="413">
        <v>1.16</v>
      </c>
      <c r="P32" s="413"/>
      <c r="Q32" s="413"/>
      <c r="R32" s="413">
        <v>0.249</v>
      </c>
      <c r="S32" s="413"/>
      <c r="T32" s="413"/>
      <c r="U32" s="55" t="s">
        <v>2211</v>
      </c>
      <c r="V32" s="55" t="s">
        <v>40</v>
      </c>
      <c r="W32" s="59"/>
      <c r="X32" s="55" t="s">
        <v>2274</v>
      </c>
      <c r="Y32" s="4" t="s">
        <v>203</v>
      </c>
      <c r="Z32" s="414">
        <v>60.0</v>
      </c>
      <c r="AA32" s="55" t="s">
        <v>204</v>
      </c>
    </row>
    <row r="33">
      <c r="A33" s="55" t="s">
        <v>2275</v>
      </c>
      <c r="B33" s="55" t="s">
        <v>2275</v>
      </c>
      <c r="F33" s="55" t="s">
        <v>186</v>
      </c>
      <c r="G33" s="55" t="s">
        <v>2271</v>
      </c>
      <c r="H33" s="56"/>
      <c r="I33" s="413">
        <v>219.0</v>
      </c>
      <c r="J33" s="413"/>
      <c r="K33" s="413"/>
      <c r="L33" s="413">
        <v>0.00953</v>
      </c>
      <c r="M33" s="413"/>
      <c r="N33" s="413"/>
      <c r="O33" s="413">
        <v>1.26</v>
      </c>
      <c r="P33" s="413"/>
      <c r="Q33" s="413"/>
      <c r="R33" s="413">
        <v>0.296</v>
      </c>
      <c r="S33" s="413"/>
      <c r="T33" s="413"/>
      <c r="U33" s="55" t="s">
        <v>2211</v>
      </c>
      <c r="V33" s="55" t="s">
        <v>40</v>
      </c>
      <c r="W33" s="59"/>
      <c r="X33" s="55" t="s">
        <v>2276</v>
      </c>
      <c r="Y33" s="4" t="s">
        <v>203</v>
      </c>
      <c r="Z33" s="414">
        <v>60.0</v>
      </c>
      <c r="AA33" s="55" t="s">
        <v>204</v>
      </c>
    </row>
    <row r="34">
      <c r="A34" s="55" t="s">
        <v>2277</v>
      </c>
      <c r="B34" s="55" t="s">
        <v>2277</v>
      </c>
      <c r="F34" s="55" t="s">
        <v>186</v>
      </c>
      <c r="G34" s="55" t="s">
        <v>2271</v>
      </c>
      <c r="H34" s="56"/>
      <c r="I34" s="413">
        <v>708.0</v>
      </c>
      <c r="J34" s="413"/>
      <c r="K34" s="413"/>
      <c r="L34" s="413">
        <v>0.0198</v>
      </c>
      <c r="M34" s="413"/>
      <c r="N34" s="413"/>
      <c r="O34" s="413">
        <v>2.03</v>
      </c>
      <c r="P34" s="413"/>
      <c r="Q34" s="413"/>
      <c r="R34" s="413">
        <v>0.649</v>
      </c>
      <c r="S34" s="413"/>
      <c r="T34" s="413"/>
      <c r="U34" s="55" t="s">
        <v>2211</v>
      </c>
      <c r="V34" s="55" t="s">
        <v>40</v>
      </c>
      <c r="W34" s="59"/>
      <c r="X34" s="55" t="s">
        <v>2278</v>
      </c>
      <c r="Y34" s="4" t="s">
        <v>203</v>
      </c>
      <c r="Z34" s="414">
        <v>60.0</v>
      </c>
      <c r="AA34" s="55" t="s">
        <v>204</v>
      </c>
    </row>
    <row r="35">
      <c r="A35" s="55" t="s">
        <v>2279</v>
      </c>
      <c r="B35" s="55" t="s">
        <v>2279</v>
      </c>
      <c r="F35" s="55" t="s">
        <v>186</v>
      </c>
      <c r="G35" s="55" t="s">
        <v>2271</v>
      </c>
      <c r="H35" s="56"/>
      <c r="I35" s="413">
        <v>676.0</v>
      </c>
      <c r="J35" s="413"/>
      <c r="K35" s="413"/>
      <c r="L35" s="413">
        <v>0.0125</v>
      </c>
      <c r="M35" s="413"/>
      <c r="N35" s="413"/>
      <c r="O35" s="413">
        <v>1.52</v>
      </c>
      <c r="P35" s="413"/>
      <c r="Q35" s="413"/>
      <c r="R35" s="413">
        <v>0.59</v>
      </c>
      <c r="S35" s="413"/>
      <c r="T35" s="413"/>
      <c r="U35" s="55" t="s">
        <v>2211</v>
      </c>
      <c r="V35" s="55" t="s">
        <v>40</v>
      </c>
      <c r="W35" s="59"/>
      <c r="X35" s="55" t="s">
        <v>2280</v>
      </c>
      <c r="Y35" s="4" t="s">
        <v>203</v>
      </c>
      <c r="Z35" s="414">
        <v>60.0</v>
      </c>
      <c r="AA35" s="55" t="s">
        <v>204</v>
      </c>
    </row>
    <row r="36">
      <c r="A36" s="55" t="s">
        <v>2281</v>
      </c>
      <c r="B36" s="55" t="s">
        <v>2281</v>
      </c>
      <c r="F36" s="55" t="s">
        <v>186</v>
      </c>
      <c r="G36" s="55" t="s">
        <v>2271</v>
      </c>
      <c r="H36" s="56"/>
      <c r="I36" s="413">
        <v>152.0</v>
      </c>
      <c r="J36" s="413"/>
      <c r="K36" s="413"/>
      <c r="L36" s="413">
        <v>1.58</v>
      </c>
      <c r="M36" s="413"/>
      <c r="N36" s="413"/>
      <c r="O36" s="413">
        <v>0.194</v>
      </c>
      <c r="P36" s="413"/>
      <c r="Q36" s="413"/>
      <c r="R36" s="413">
        <v>0.0454</v>
      </c>
      <c r="S36" s="413"/>
      <c r="T36" s="413"/>
      <c r="U36" s="55" t="s">
        <v>2211</v>
      </c>
      <c r="V36" s="55" t="s">
        <v>40</v>
      </c>
      <c r="W36" s="59"/>
      <c r="X36" s="55" t="s">
        <v>2282</v>
      </c>
      <c r="Y36" s="4" t="s">
        <v>203</v>
      </c>
      <c r="Z36" s="414">
        <v>60.0</v>
      </c>
      <c r="AA36" s="55" t="s">
        <v>204</v>
      </c>
    </row>
    <row r="37">
      <c r="A37" s="55" t="s">
        <v>2283</v>
      </c>
      <c r="B37" s="55" t="s">
        <v>2283</v>
      </c>
      <c r="F37" s="55" t="s">
        <v>186</v>
      </c>
      <c r="G37" s="55" t="s">
        <v>2271</v>
      </c>
      <c r="H37" s="56"/>
      <c r="I37" s="413">
        <v>144.0</v>
      </c>
      <c r="J37" s="413"/>
      <c r="K37" s="413"/>
      <c r="L37" s="413">
        <v>1.58</v>
      </c>
      <c r="M37" s="413"/>
      <c r="N37" s="413"/>
      <c r="O37" s="413">
        <v>0.198</v>
      </c>
      <c r="P37" s="413"/>
      <c r="Q37" s="413"/>
      <c r="R37" s="413">
        <v>0.0456</v>
      </c>
      <c r="S37" s="413"/>
      <c r="T37" s="413"/>
      <c r="U37" s="55" t="s">
        <v>2211</v>
      </c>
      <c r="V37" s="55" t="s">
        <v>40</v>
      </c>
      <c r="W37" s="59"/>
      <c r="X37" s="55" t="s">
        <v>2284</v>
      </c>
      <c r="Y37" s="4" t="s">
        <v>203</v>
      </c>
      <c r="Z37" s="414">
        <v>60.0</v>
      </c>
      <c r="AA37" s="55" t="s">
        <v>204</v>
      </c>
    </row>
    <row r="38">
      <c r="A38" s="55" t="s">
        <v>2285</v>
      </c>
      <c r="B38" s="55" t="s">
        <v>2285</v>
      </c>
      <c r="F38" s="55" t="s">
        <v>186</v>
      </c>
      <c r="G38" s="55" t="s">
        <v>2271</v>
      </c>
      <c r="H38" s="56"/>
      <c r="I38" s="413">
        <v>116.0</v>
      </c>
      <c r="J38" s="413"/>
      <c r="K38" s="413"/>
      <c r="L38" s="413">
        <v>1.42</v>
      </c>
      <c r="M38" s="413"/>
      <c r="N38" s="413"/>
      <c r="O38" s="413">
        <v>0.0971</v>
      </c>
      <c r="P38" s="413"/>
      <c r="Q38" s="413"/>
      <c r="R38" s="413">
        <v>0.0198</v>
      </c>
      <c r="S38" s="413"/>
      <c r="T38" s="413"/>
      <c r="U38" s="55" t="s">
        <v>2211</v>
      </c>
      <c r="V38" s="55" t="s">
        <v>40</v>
      </c>
      <c r="W38" s="59"/>
      <c r="X38" s="55" t="s">
        <v>2286</v>
      </c>
      <c r="Y38" s="4" t="s">
        <v>203</v>
      </c>
      <c r="Z38" s="414">
        <v>60.0</v>
      </c>
      <c r="AA38" s="55" t="s">
        <v>204</v>
      </c>
    </row>
    <row r="39">
      <c r="A39" s="55" t="s">
        <v>2287</v>
      </c>
      <c r="B39" s="55" t="s">
        <v>2287</v>
      </c>
      <c r="F39" s="55" t="s">
        <v>186</v>
      </c>
      <c r="G39" s="55" t="s">
        <v>2271</v>
      </c>
      <c r="H39" s="56"/>
      <c r="I39" s="413">
        <v>106.0</v>
      </c>
      <c r="J39" s="413"/>
      <c r="K39" s="413"/>
      <c r="L39" s="413">
        <v>1.42</v>
      </c>
      <c r="M39" s="413"/>
      <c r="N39" s="413"/>
      <c r="O39" s="413">
        <v>0.1</v>
      </c>
      <c r="P39" s="413"/>
      <c r="Q39" s="413"/>
      <c r="R39" s="413">
        <v>0.0199</v>
      </c>
      <c r="S39" s="413"/>
      <c r="T39" s="413"/>
      <c r="U39" s="55" t="s">
        <v>2211</v>
      </c>
      <c r="V39" s="55" t="s">
        <v>40</v>
      </c>
      <c r="W39" s="59"/>
      <c r="X39" s="55" t="s">
        <v>2288</v>
      </c>
      <c r="Y39" s="4" t="s">
        <v>203</v>
      </c>
      <c r="Z39" s="414">
        <v>60.0</v>
      </c>
      <c r="AA39" s="55" t="s">
        <v>204</v>
      </c>
    </row>
    <row r="40">
      <c r="A40" s="55" t="s">
        <v>2289</v>
      </c>
      <c r="B40" s="55" t="s">
        <v>2289</v>
      </c>
      <c r="F40" s="55" t="s">
        <v>186</v>
      </c>
      <c r="G40" s="55" t="s">
        <v>2271</v>
      </c>
      <c r="H40" s="56"/>
      <c r="I40" s="413">
        <v>108.0</v>
      </c>
      <c r="J40" s="413"/>
      <c r="K40" s="413"/>
      <c r="L40" s="413">
        <v>1.32</v>
      </c>
      <c r="M40" s="413"/>
      <c r="N40" s="413"/>
      <c r="O40" s="413">
        <v>0.21</v>
      </c>
      <c r="P40" s="413"/>
      <c r="Q40" s="413"/>
      <c r="R40" s="413">
        <v>0.0382</v>
      </c>
      <c r="S40" s="413"/>
      <c r="T40" s="413"/>
      <c r="U40" s="55" t="s">
        <v>2211</v>
      </c>
      <c r="V40" s="55" t="s">
        <v>40</v>
      </c>
      <c r="W40" s="59"/>
      <c r="X40" s="55" t="s">
        <v>2290</v>
      </c>
      <c r="Y40" s="4" t="s">
        <v>203</v>
      </c>
      <c r="Z40" s="414">
        <v>60.0</v>
      </c>
      <c r="AA40" s="55" t="s">
        <v>204</v>
      </c>
    </row>
    <row r="41">
      <c r="A41" s="55" t="s">
        <v>2291</v>
      </c>
      <c r="B41" s="55" t="s">
        <v>2291</v>
      </c>
      <c r="F41" s="55" t="s">
        <v>186</v>
      </c>
      <c r="G41" s="55" t="s">
        <v>2271</v>
      </c>
      <c r="H41" s="56"/>
      <c r="I41" s="413">
        <v>103.0</v>
      </c>
      <c r="J41" s="413"/>
      <c r="K41" s="413"/>
      <c r="L41" s="413">
        <v>1.32</v>
      </c>
      <c r="M41" s="413"/>
      <c r="N41" s="413"/>
      <c r="O41" s="413">
        <v>0.213</v>
      </c>
      <c r="P41" s="413"/>
      <c r="Q41" s="413"/>
      <c r="R41" s="413">
        <v>0.0383</v>
      </c>
      <c r="S41" s="413"/>
      <c r="T41" s="413"/>
      <c r="U41" s="55" t="s">
        <v>2211</v>
      </c>
      <c r="V41" s="55" t="s">
        <v>40</v>
      </c>
      <c r="W41" s="59"/>
      <c r="X41" s="55" t="s">
        <v>2292</v>
      </c>
      <c r="Y41" s="4" t="s">
        <v>203</v>
      </c>
      <c r="Z41" s="414">
        <v>60.0</v>
      </c>
      <c r="AA41" s="55" t="s">
        <v>204</v>
      </c>
    </row>
    <row r="42">
      <c r="A42" s="55" t="s">
        <v>2293</v>
      </c>
      <c r="B42" s="55" t="s">
        <v>2293</v>
      </c>
      <c r="F42" s="55" t="s">
        <v>186</v>
      </c>
      <c r="G42" s="55" t="s">
        <v>2271</v>
      </c>
      <c r="H42" s="56"/>
      <c r="I42" s="413">
        <v>121.0</v>
      </c>
      <c r="J42" s="413"/>
      <c r="K42" s="413"/>
      <c r="L42" s="413">
        <v>0.0353</v>
      </c>
      <c r="M42" s="413"/>
      <c r="N42" s="413"/>
      <c r="O42" s="413">
        <v>0.33</v>
      </c>
      <c r="P42" s="413"/>
      <c r="Q42" s="413"/>
      <c r="R42" s="413">
        <v>0.142</v>
      </c>
      <c r="S42" s="413"/>
      <c r="T42" s="413"/>
      <c r="U42" s="55" t="s">
        <v>2211</v>
      </c>
      <c r="V42" s="55" t="s">
        <v>40</v>
      </c>
      <c r="W42" s="59"/>
      <c r="X42" s="55" t="s">
        <v>2294</v>
      </c>
      <c r="Y42" s="4" t="s">
        <v>203</v>
      </c>
      <c r="Z42" s="414">
        <v>60.0</v>
      </c>
      <c r="AA42" s="55" t="s">
        <v>204</v>
      </c>
    </row>
    <row r="43">
      <c r="A43" s="55" t="s">
        <v>2295</v>
      </c>
      <c r="B43" s="55" t="s">
        <v>2295</v>
      </c>
      <c r="F43" s="55" t="s">
        <v>186</v>
      </c>
      <c r="G43" s="55" t="s">
        <v>2296</v>
      </c>
      <c r="H43" s="56"/>
      <c r="I43" s="413">
        <v>149.0</v>
      </c>
      <c r="J43" s="413"/>
      <c r="K43" s="413"/>
      <c r="L43" s="413">
        <v>0.818</v>
      </c>
      <c r="M43" s="413"/>
      <c r="N43" s="413"/>
      <c r="O43" s="413">
        <v>0.908</v>
      </c>
      <c r="P43" s="413"/>
      <c r="Q43" s="413"/>
      <c r="R43" s="413">
        <v>0.0628</v>
      </c>
      <c r="S43" s="413"/>
      <c r="T43" s="413"/>
      <c r="U43" s="55" t="s">
        <v>2211</v>
      </c>
      <c r="V43" s="55" t="s">
        <v>40</v>
      </c>
      <c r="W43" s="59"/>
      <c r="X43" s="55" t="s">
        <v>2297</v>
      </c>
      <c r="Y43" s="4" t="s">
        <v>203</v>
      </c>
      <c r="Z43" s="414">
        <v>60.0</v>
      </c>
      <c r="AA43" s="55" t="s">
        <v>204</v>
      </c>
    </row>
    <row r="44">
      <c r="A44" s="55" t="s">
        <v>2298</v>
      </c>
      <c r="B44" s="55" t="s">
        <v>2298</v>
      </c>
      <c r="F44" s="55" t="s">
        <v>186</v>
      </c>
      <c r="G44" s="55" t="s">
        <v>2296</v>
      </c>
      <c r="H44" s="56"/>
      <c r="I44" s="413">
        <v>110.0</v>
      </c>
      <c r="J44" s="413"/>
      <c r="K44" s="413"/>
      <c r="L44" s="413">
        <v>0.87</v>
      </c>
      <c r="M44" s="413"/>
      <c r="N44" s="413"/>
      <c r="O44" s="413">
        <v>0.665</v>
      </c>
      <c r="P44" s="413"/>
      <c r="Q44" s="413"/>
      <c r="R44" s="413">
        <v>0.0456</v>
      </c>
      <c r="S44" s="413"/>
      <c r="T44" s="413"/>
      <c r="U44" s="55" t="s">
        <v>2211</v>
      </c>
      <c r="V44" s="55" t="s">
        <v>40</v>
      </c>
      <c r="W44" s="59"/>
      <c r="X44" s="55" t="s">
        <v>2299</v>
      </c>
      <c r="Y44" s="4" t="s">
        <v>203</v>
      </c>
      <c r="Z44" s="414">
        <v>60.0</v>
      </c>
      <c r="AA44" s="55" t="s">
        <v>204</v>
      </c>
    </row>
    <row r="45">
      <c r="A45" s="55" t="s">
        <v>2300</v>
      </c>
      <c r="B45" s="55" t="s">
        <v>2300</v>
      </c>
      <c r="F45" s="55" t="s">
        <v>186</v>
      </c>
      <c r="G45" s="55" t="s">
        <v>2296</v>
      </c>
      <c r="H45" s="56"/>
      <c r="I45" s="413">
        <v>123.0</v>
      </c>
      <c r="J45" s="413"/>
      <c r="K45" s="413"/>
      <c r="L45" s="413">
        <v>0.85</v>
      </c>
      <c r="M45" s="413"/>
      <c r="N45" s="413"/>
      <c r="O45" s="413">
        <v>0.76</v>
      </c>
      <c r="P45" s="413"/>
      <c r="Q45" s="413"/>
      <c r="R45" s="413">
        <v>0.0494</v>
      </c>
      <c r="S45" s="413"/>
      <c r="T45" s="413"/>
      <c r="U45" s="55" t="s">
        <v>2211</v>
      </c>
      <c r="V45" s="55" t="s">
        <v>40</v>
      </c>
      <c r="W45" s="59"/>
      <c r="X45" s="55" t="s">
        <v>2301</v>
      </c>
      <c r="Y45" s="4" t="s">
        <v>203</v>
      </c>
      <c r="Z45" s="414">
        <v>60.0</v>
      </c>
      <c r="AA45" s="55" t="s">
        <v>204</v>
      </c>
    </row>
    <row r="46">
      <c r="A46" s="55" t="s">
        <v>2302</v>
      </c>
      <c r="B46" s="55" t="s">
        <v>2302</v>
      </c>
      <c r="F46" s="55" t="s">
        <v>186</v>
      </c>
      <c r="G46" s="55" t="s">
        <v>2296</v>
      </c>
      <c r="H46" s="56"/>
      <c r="I46" s="413">
        <v>102.0</v>
      </c>
      <c r="J46" s="413"/>
      <c r="K46" s="413"/>
      <c r="L46" s="413">
        <v>1.33</v>
      </c>
      <c r="M46" s="413"/>
      <c r="N46" s="413"/>
      <c r="O46" s="413">
        <v>0.275</v>
      </c>
      <c r="P46" s="413"/>
      <c r="Q46" s="413"/>
      <c r="R46" s="413">
        <v>0.0366</v>
      </c>
      <c r="S46" s="413"/>
      <c r="T46" s="413"/>
      <c r="U46" s="55" t="s">
        <v>2211</v>
      </c>
      <c r="V46" s="55" t="s">
        <v>40</v>
      </c>
      <c r="W46" s="59"/>
      <c r="X46" s="55" t="s">
        <v>2303</v>
      </c>
      <c r="Y46" s="4" t="s">
        <v>203</v>
      </c>
      <c r="Z46" s="414">
        <v>60.0</v>
      </c>
      <c r="AA46" s="55" t="s">
        <v>204</v>
      </c>
    </row>
    <row r="47">
      <c r="A47" s="55" t="s">
        <v>2304</v>
      </c>
      <c r="B47" s="55" t="s">
        <v>2304</v>
      </c>
      <c r="F47" s="55" t="s">
        <v>186</v>
      </c>
      <c r="G47" s="55" t="s">
        <v>2296</v>
      </c>
      <c r="H47" s="56"/>
      <c r="I47" s="413">
        <v>90.0</v>
      </c>
      <c r="J47" s="413"/>
      <c r="K47" s="413"/>
      <c r="L47" s="413">
        <v>1.61</v>
      </c>
      <c r="M47" s="413"/>
      <c r="N47" s="413"/>
      <c r="O47" s="413">
        <v>0.221</v>
      </c>
      <c r="P47" s="413"/>
      <c r="Q47" s="413"/>
      <c r="R47" s="413">
        <v>0.0337</v>
      </c>
      <c r="S47" s="413"/>
      <c r="T47" s="413"/>
      <c r="U47" s="55" t="s">
        <v>2211</v>
      </c>
      <c r="V47" s="55" t="s">
        <v>40</v>
      </c>
      <c r="W47" s="59"/>
      <c r="X47" s="55" t="s">
        <v>2305</v>
      </c>
      <c r="Y47" s="4" t="s">
        <v>203</v>
      </c>
      <c r="Z47" s="414">
        <v>60.0</v>
      </c>
      <c r="AA47" s="55" t="s">
        <v>204</v>
      </c>
    </row>
    <row r="48">
      <c r="A48" s="55" t="s">
        <v>2306</v>
      </c>
      <c r="B48" s="55" t="s">
        <v>2306</v>
      </c>
      <c r="F48" s="55" t="s">
        <v>186</v>
      </c>
      <c r="G48" s="55" t="s">
        <v>2296</v>
      </c>
      <c r="H48" s="56"/>
      <c r="I48" s="413">
        <v>40.7</v>
      </c>
      <c r="J48" s="413"/>
      <c r="K48" s="413"/>
      <c r="L48" s="413">
        <v>1.14</v>
      </c>
      <c r="M48" s="413"/>
      <c r="N48" s="413"/>
      <c r="O48" s="413">
        <v>0.0859</v>
      </c>
      <c r="P48" s="413"/>
      <c r="Q48" s="413"/>
      <c r="R48" s="413">
        <v>0.0139</v>
      </c>
      <c r="S48" s="413"/>
      <c r="T48" s="413"/>
      <c r="U48" s="55" t="s">
        <v>2211</v>
      </c>
      <c r="V48" s="55" t="s">
        <v>40</v>
      </c>
      <c r="W48" s="59"/>
      <c r="X48" s="55" t="s">
        <v>2307</v>
      </c>
      <c r="Y48" s="4" t="s">
        <v>203</v>
      </c>
      <c r="Z48" s="414">
        <v>60.0</v>
      </c>
      <c r="AA48" s="55" t="s">
        <v>204</v>
      </c>
    </row>
    <row r="49">
      <c r="A49" s="55" t="s">
        <v>2308</v>
      </c>
      <c r="B49" s="55" t="s">
        <v>2308</v>
      </c>
      <c r="F49" s="55" t="s">
        <v>186</v>
      </c>
      <c r="G49" s="55" t="s">
        <v>2296</v>
      </c>
      <c r="H49" s="56"/>
      <c r="I49" s="413">
        <v>76.5</v>
      </c>
      <c r="J49" s="413"/>
      <c r="K49" s="413"/>
      <c r="L49" s="413">
        <v>1.54</v>
      </c>
      <c r="M49" s="413"/>
      <c r="N49" s="413"/>
      <c r="O49" s="413">
        <v>0.193</v>
      </c>
      <c r="P49" s="413"/>
      <c r="Q49" s="413"/>
      <c r="R49" s="413">
        <v>0.0308</v>
      </c>
      <c r="S49" s="413"/>
      <c r="T49" s="413"/>
      <c r="U49" s="55" t="s">
        <v>2211</v>
      </c>
      <c r="V49" s="55" t="s">
        <v>40</v>
      </c>
      <c r="W49" s="59"/>
      <c r="X49" s="55" t="s">
        <v>2309</v>
      </c>
      <c r="Y49" s="4" t="s">
        <v>203</v>
      </c>
      <c r="Z49" s="414">
        <v>60.0</v>
      </c>
      <c r="AA49" s="55" t="s">
        <v>204</v>
      </c>
    </row>
    <row r="50">
      <c r="A50" s="55" t="s">
        <v>2310</v>
      </c>
      <c r="B50" s="55" t="s">
        <v>2310</v>
      </c>
      <c r="F50" s="55" t="s">
        <v>186</v>
      </c>
      <c r="G50" s="55" t="s">
        <v>2296</v>
      </c>
      <c r="H50" s="56"/>
      <c r="I50" s="413">
        <v>70.5</v>
      </c>
      <c r="J50" s="413"/>
      <c r="K50" s="413"/>
      <c r="L50" s="413">
        <v>0.00197</v>
      </c>
      <c r="M50" s="413"/>
      <c r="N50" s="413"/>
      <c r="O50" s="413">
        <v>0.502</v>
      </c>
      <c r="P50" s="413"/>
      <c r="Q50" s="413"/>
      <c r="R50" s="413">
        <v>0.111</v>
      </c>
      <c r="S50" s="413"/>
      <c r="T50" s="413"/>
      <c r="U50" s="55" t="s">
        <v>2211</v>
      </c>
      <c r="V50" s="55" t="s">
        <v>40</v>
      </c>
      <c r="W50" s="59"/>
      <c r="X50" s="55" t="s">
        <v>2311</v>
      </c>
      <c r="Y50" s="4" t="s">
        <v>203</v>
      </c>
      <c r="Z50" s="414">
        <v>60.0</v>
      </c>
      <c r="AA50" s="55" t="s">
        <v>204</v>
      </c>
    </row>
    <row r="51">
      <c r="A51" s="55" t="s">
        <v>2312</v>
      </c>
      <c r="B51" s="55" t="s">
        <v>2312</v>
      </c>
      <c r="F51" s="55" t="s">
        <v>186</v>
      </c>
      <c r="G51" s="55" t="s">
        <v>2313</v>
      </c>
      <c r="H51" s="56"/>
      <c r="I51" s="413">
        <v>453.0</v>
      </c>
      <c r="J51" s="413"/>
      <c r="K51" s="413"/>
      <c r="L51" s="413">
        <v>0.00508</v>
      </c>
      <c r="M51" s="413"/>
      <c r="N51" s="413"/>
      <c r="O51" s="413">
        <v>4.21</v>
      </c>
      <c r="P51" s="413"/>
      <c r="Q51" s="413"/>
      <c r="R51" s="413">
        <v>0.0233</v>
      </c>
      <c r="S51" s="413"/>
      <c r="T51" s="413"/>
      <c r="U51" s="55" t="s">
        <v>2211</v>
      </c>
      <c r="V51" s="55" t="s">
        <v>38</v>
      </c>
      <c r="W51" s="59"/>
      <c r="X51" s="55" t="s">
        <v>2314</v>
      </c>
      <c r="Y51" s="4" t="s">
        <v>203</v>
      </c>
      <c r="Z51" s="414">
        <v>60.0</v>
      </c>
      <c r="AA51" s="55" t="s">
        <v>204</v>
      </c>
    </row>
    <row r="52">
      <c r="A52" s="55" t="s">
        <v>2315</v>
      </c>
      <c r="B52" s="55" t="s">
        <v>2315</v>
      </c>
      <c r="F52" s="55" t="s">
        <v>186</v>
      </c>
      <c r="G52" s="55" t="s">
        <v>2313</v>
      </c>
      <c r="H52" s="56"/>
      <c r="I52" s="413">
        <v>308.0</v>
      </c>
      <c r="J52" s="413"/>
      <c r="K52" s="413"/>
      <c r="L52" s="413">
        <v>0.00585</v>
      </c>
      <c r="M52" s="413"/>
      <c r="N52" s="413"/>
      <c r="O52" s="413">
        <v>2.22</v>
      </c>
      <c r="P52" s="413"/>
      <c r="Q52" s="413"/>
      <c r="R52" s="413">
        <v>0.466</v>
      </c>
      <c r="S52" s="413"/>
      <c r="T52" s="413"/>
      <c r="U52" s="55" t="s">
        <v>2211</v>
      </c>
      <c r="V52" s="55" t="s">
        <v>38</v>
      </c>
      <c r="W52" s="59"/>
      <c r="X52" s="55" t="s">
        <v>2316</v>
      </c>
      <c r="Y52" s="4" t="s">
        <v>203</v>
      </c>
      <c r="Z52" s="414">
        <v>60.0</v>
      </c>
      <c r="AA52" s="55" t="s">
        <v>204</v>
      </c>
    </row>
    <row r="53">
      <c r="A53" s="55" t="s">
        <v>2317</v>
      </c>
      <c r="B53" s="55" t="s">
        <v>2317</v>
      </c>
      <c r="F53" s="55" t="s">
        <v>186</v>
      </c>
      <c r="G53" s="55" t="s">
        <v>2313</v>
      </c>
      <c r="H53" s="56"/>
      <c r="I53" s="413">
        <v>793.0</v>
      </c>
      <c r="J53" s="413"/>
      <c r="K53" s="413"/>
      <c r="L53" s="413">
        <v>0.0116</v>
      </c>
      <c r="M53" s="413"/>
      <c r="N53" s="413"/>
      <c r="O53" s="413">
        <v>3.94</v>
      </c>
      <c r="P53" s="413"/>
      <c r="Q53" s="413"/>
      <c r="R53" s="413">
        <v>1.36</v>
      </c>
      <c r="S53" s="413"/>
      <c r="T53" s="413"/>
      <c r="U53" s="55" t="s">
        <v>2211</v>
      </c>
      <c r="V53" s="55" t="s">
        <v>38</v>
      </c>
      <c r="W53" s="59"/>
      <c r="X53" s="55" t="s">
        <v>2318</v>
      </c>
      <c r="Y53" s="4" t="s">
        <v>203</v>
      </c>
      <c r="Z53" s="414">
        <v>60.0</v>
      </c>
      <c r="AA53" s="55" t="s">
        <v>204</v>
      </c>
    </row>
    <row r="54">
      <c r="A54" s="55" t="s">
        <v>2319</v>
      </c>
      <c r="B54" s="55" t="s">
        <v>2319</v>
      </c>
      <c r="F54" s="55" t="s">
        <v>186</v>
      </c>
      <c r="G54" s="55" t="s">
        <v>2313</v>
      </c>
      <c r="H54" s="56"/>
      <c r="I54" s="413">
        <v>768.0</v>
      </c>
      <c r="J54" s="413"/>
      <c r="K54" s="413"/>
      <c r="L54" s="413">
        <v>0.0331</v>
      </c>
      <c r="M54" s="413"/>
      <c r="N54" s="413"/>
      <c r="O54" s="413">
        <v>3.91</v>
      </c>
      <c r="P54" s="413"/>
      <c r="Q54" s="413"/>
      <c r="R54" s="413">
        <v>1.24</v>
      </c>
      <c r="S54" s="413"/>
      <c r="T54" s="413"/>
      <c r="U54" s="55" t="s">
        <v>2211</v>
      </c>
      <c r="V54" s="55" t="s">
        <v>38</v>
      </c>
      <c r="W54" s="59"/>
      <c r="X54" s="55" t="s">
        <v>2320</v>
      </c>
      <c r="Y54" s="4" t="s">
        <v>203</v>
      </c>
      <c r="Z54" s="414">
        <v>60.0</v>
      </c>
      <c r="AA54" s="55" t="s">
        <v>204</v>
      </c>
    </row>
    <row r="55">
      <c r="A55" s="55" t="s">
        <v>2321</v>
      </c>
      <c r="B55" s="55" t="s">
        <v>2321</v>
      </c>
      <c r="F55" s="55" t="s">
        <v>186</v>
      </c>
      <c r="G55" s="55" t="s">
        <v>2313</v>
      </c>
      <c r="H55" s="56"/>
      <c r="I55" s="415">
        <v>1090.0</v>
      </c>
      <c r="J55" s="413"/>
      <c r="K55" s="413"/>
      <c r="L55" s="413">
        <v>0.0129</v>
      </c>
      <c r="M55" s="413"/>
      <c r="N55" s="413"/>
      <c r="O55" s="413">
        <v>3.82</v>
      </c>
      <c r="P55" s="413"/>
      <c r="Q55" s="413"/>
      <c r="R55" s="413">
        <v>1.01</v>
      </c>
      <c r="S55" s="413"/>
      <c r="T55" s="413"/>
      <c r="U55" s="55" t="s">
        <v>2211</v>
      </c>
      <c r="V55" s="55" t="s">
        <v>38</v>
      </c>
      <c r="W55" s="59"/>
      <c r="X55" s="55" t="s">
        <v>2322</v>
      </c>
      <c r="Y55" s="4" t="s">
        <v>203</v>
      </c>
      <c r="Z55" s="414">
        <v>60.0</v>
      </c>
      <c r="AA55" s="55" t="s">
        <v>204</v>
      </c>
    </row>
    <row r="56">
      <c r="A56" s="55" t="s">
        <v>2323</v>
      </c>
      <c r="B56" s="55" t="s">
        <v>2323</v>
      </c>
      <c r="F56" s="55" t="s">
        <v>186</v>
      </c>
      <c r="G56" s="55" t="s">
        <v>2313</v>
      </c>
      <c r="H56" s="56"/>
      <c r="I56" s="413">
        <v>32.0</v>
      </c>
      <c r="J56" s="413"/>
      <c r="K56" s="413"/>
      <c r="L56" s="413">
        <v>0.00227</v>
      </c>
      <c r="M56" s="413"/>
      <c r="N56" s="413"/>
      <c r="O56" s="413">
        <v>0.0156</v>
      </c>
      <c r="P56" s="413"/>
      <c r="Q56" s="413"/>
      <c r="R56" s="413">
        <v>0.00693</v>
      </c>
      <c r="S56" s="413"/>
      <c r="T56" s="413"/>
      <c r="U56" s="55" t="s">
        <v>2211</v>
      </c>
      <c r="V56" s="55" t="s">
        <v>38</v>
      </c>
      <c r="W56" s="59"/>
      <c r="X56" s="55" t="s">
        <v>2324</v>
      </c>
      <c r="Y56" s="4" t="s">
        <v>203</v>
      </c>
      <c r="Z56" s="414">
        <v>60.0</v>
      </c>
      <c r="AA56" s="55" t="s">
        <v>204</v>
      </c>
    </row>
    <row r="57">
      <c r="A57" s="55" t="s">
        <v>2325</v>
      </c>
      <c r="B57" s="55" t="s">
        <v>2325</v>
      </c>
      <c r="F57" s="55" t="s">
        <v>186</v>
      </c>
      <c r="G57" s="55" t="s">
        <v>2313</v>
      </c>
      <c r="H57" s="56"/>
      <c r="I57" s="413">
        <v>295.0</v>
      </c>
      <c r="J57" s="413"/>
      <c r="K57" s="413"/>
      <c r="L57" s="413">
        <v>3.64</v>
      </c>
      <c r="M57" s="413"/>
      <c r="N57" s="413"/>
      <c r="O57" s="413">
        <v>0.24</v>
      </c>
      <c r="P57" s="413"/>
      <c r="Q57" s="413"/>
      <c r="R57" s="413">
        <v>0.118</v>
      </c>
      <c r="S57" s="413"/>
      <c r="T57" s="413"/>
      <c r="U57" s="55" t="s">
        <v>2211</v>
      </c>
      <c r="V57" s="55" t="s">
        <v>38</v>
      </c>
      <c r="W57" s="59"/>
      <c r="X57" s="55" t="s">
        <v>2326</v>
      </c>
      <c r="Y57" s="4" t="s">
        <v>203</v>
      </c>
      <c r="Z57" s="414">
        <v>60.0</v>
      </c>
      <c r="AA57" s="55" t="s">
        <v>204</v>
      </c>
    </row>
    <row r="58">
      <c r="A58" s="55" t="s">
        <v>2327</v>
      </c>
      <c r="B58" s="55" t="s">
        <v>2327</v>
      </c>
      <c r="F58" s="55" t="s">
        <v>186</v>
      </c>
      <c r="G58" s="55" t="s">
        <v>2313</v>
      </c>
      <c r="H58" s="56"/>
      <c r="I58" s="413">
        <v>677.0</v>
      </c>
      <c r="J58" s="413"/>
      <c r="K58" s="413"/>
      <c r="L58" s="413">
        <v>0.0135</v>
      </c>
      <c r="M58" s="413"/>
      <c r="N58" s="413"/>
      <c r="O58" s="413">
        <v>3.27</v>
      </c>
      <c r="P58" s="413"/>
      <c r="Q58" s="413"/>
      <c r="R58" s="413">
        <v>0.823</v>
      </c>
      <c r="S58" s="413"/>
      <c r="T58" s="413"/>
      <c r="U58" s="55" t="s">
        <v>2211</v>
      </c>
      <c r="V58" s="55" t="s">
        <v>38</v>
      </c>
      <c r="W58" s="59"/>
      <c r="X58" s="55" t="s">
        <v>2328</v>
      </c>
      <c r="Y58" s="4" t="s">
        <v>203</v>
      </c>
      <c r="Z58" s="414">
        <v>60.0</v>
      </c>
      <c r="AA58" s="55" t="s">
        <v>204</v>
      </c>
    </row>
    <row r="59">
      <c r="A59" s="55" t="s">
        <v>2329</v>
      </c>
      <c r="B59" s="55" t="s">
        <v>2329</v>
      </c>
      <c r="F59" s="55" t="s">
        <v>186</v>
      </c>
      <c r="G59" s="55" t="s">
        <v>2313</v>
      </c>
      <c r="H59" s="56"/>
      <c r="I59" s="413">
        <v>440.0</v>
      </c>
      <c r="J59" s="413"/>
      <c r="K59" s="413"/>
      <c r="L59" s="413">
        <v>0.00786</v>
      </c>
      <c r="M59" s="413"/>
      <c r="N59" s="413"/>
      <c r="O59" s="413">
        <v>2.94</v>
      </c>
      <c r="P59" s="413"/>
      <c r="Q59" s="413"/>
      <c r="R59" s="413">
        <v>0.669</v>
      </c>
      <c r="S59" s="413"/>
      <c r="T59" s="413"/>
      <c r="U59" s="55" t="s">
        <v>2211</v>
      </c>
      <c r="V59" s="55" t="s">
        <v>38</v>
      </c>
      <c r="W59" s="59"/>
      <c r="X59" s="55" t="s">
        <v>2330</v>
      </c>
      <c r="Y59" s="4" t="s">
        <v>203</v>
      </c>
      <c r="Z59" s="414">
        <v>60.0</v>
      </c>
      <c r="AA59" s="55" t="s">
        <v>204</v>
      </c>
    </row>
    <row r="60">
      <c r="A60" s="55" t="s">
        <v>2331</v>
      </c>
      <c r="B60" s="55" t="s">
        <v>2331</v>
      </c>
      <c r="F60" s="55" t="s">
        <v>186</v>
      </c>
      <c r="G60" s="55" t="s">
        <v>2313</v>
      </c>
      <c r="H60" s="56"/>
      <c r="I60" s="413">
        <v>374.0</v>
      </c>
      <c r="J60" s="413"/>
      <c r="K60" s="413"/>
      <c r="L60" s="413">
        <v>0.0878</v>
      </c>
      <c r="M60" s="413"/>
      <c r="N60" s="413"/>
      <c r="O60" s="413">
        <v>0.827</v>
      </c>
      <c r="P60" s="413"/>
      <c r="Q60" s="413"/>
      <c r="R60" s="413">
        <v>0.403</v>
      </c>
      <c r="S60" s="413"/>
      <c r="T60" s="413"/>
      <c r="U60" s="55" t="s">
        <v>2211</v>
      </c>
      <c r="V60" s="55" t="s">
        <v>38</v>
      </c>
      <c r="W60" s="59"/>
      <c r="X60" s="55" t="s">
        <v>2332</v>
      </c>
      <c r="Y60" s="4" t="s">
        <v>203</v>
      </c>
      <c r="Z60" s="414">
        <v>60.0</v>
      </c>
      <c r="AA60" s="55" t="s">
        <v>204</v>
      </c>
    </row>
    <row r="61">
      <c r="A61" s="55" t="s">
        <v>2333</v>
      </c>
      <c r="B61" s="55" t="s">
        <v>2333</v>
      </c>
      <c r="F61" s="55" t="s">
        <v>186</v>
      </c>
      <c r="G61" s="55" t="s">
        <v>2313</v>
      </c>
      <c r="H61" s="56"/>
      <c r="I61" s="413">
        <v>230.0</v>
      </c>
      <c r="J61" s="413"/>
      <c r="K61" s="413"/>
      <c r="L61" s="413">
        <v>0.0415</v>
      </c>
      <c r="M61" s="413"/>
      <c r="N61" s="413"/>
      <c r="O61" s="413">
        <v>0.152</v>
      </c>
      <c r="P61" s="413"/>
      <c r="Q61" s="413"/>
      <c r="R61" s="413">
        <v>0.177</v>
      </c>
      <c r="S61" s="413"/>
      <c r="T61" s="413"/>
      <c r="U61" s="55" t="s">
        <v>2211</v>
      </c>
      <c r="V61" s="55" t="s">
        <v>38</v>
      </c>
      <c r="W61" s="59"/>
      <c r="X61" s="55" t="s">
        <v>2334</v>
      </c>
      <c r="Y61" s="4" t="s">
        <v>203</v>
      </c>
      <c r="Z61" s="414">
        <v>60.0</v>
      </c>
      <c r="AA61" s="55" t="s">
        <v>204</v>
      </c>
    </row>
    <row r="62">
      <c r="A62" s="55" t="s">
        <v>2335</v>
      </c>
      <c r="B62" s="55" t="s">
        <v>2335</v>
      </c>
      <c r="F62" s="55" t="s">
        <v>186</v>
      </c>
      <c r="G62" s="55" t="s">
        <v>2313</v>
      </c>
      <c r="H62" s="56"/>
      <c r="I62" s="413">
        <v>174.0</v>
      </c>
      <c r="J62" s="413"/>
      <c r="K62" s="413"/>
      <c r="L62" s="413">
        <v>1.22</v>
      </c>
      <c r="M62" s="413"/>
      <c r="N62" s="413"/>
      <c r="O62" s="413">
        <v>0.334</v>
      </c>
      <c r="P62" s="413"/>
      <c r="Q62" s="413"/>
      <c r="R62" s="413">
        <v>0.0964</v>
      </c>
      <c r="S62" s="413"/>
      <c r="T62" s="413"/>
      <c r="U62" s="55" t="s">
        <v>2211</v>
      </c>
      <c r="V62" s="55" t="s">
        <v>38</v>
      </c>
      <c r="W62" s="59"/>
      <c r="X62" s="55" t="s">
        <v>2336</v>
      </c>
      <c r="Y62" s="4" t="s">
        <v>203</v>
      </c>
      <c r="Z62" s="414">
        <v>60.0</v>
      </c>
      <c r="AA62" s="55" t="s">
        <v>204</v>
      </c>
    </row>
    <row r="63">
      <c r="A63" s="55" t="s">
        <v>2337</v>
      </c>
      <c r="B63" s="55" t="s">
        <v>2337</v>
      </c>
      <c r="F63" s="55" t="s">
        <v>186</v>
      </c>
      <c r="G63" s="55" t="s">
        <v>2313</v>
      </c>
      <c r="H63" s="56"/>
      <c r="I63" s="413">
        <v>169.0</v>
      </c>
      <c r="J63" s="413"/>
      <c r="K63" s="413"/>
      <c r="L63" s="413">
        <v>1.22</v>
      </c>
      <c r="M63" s="413"/>
      <c r="N63" s="413"/>
      <c r="O63" s="413">
        <v>0.318</v>
      </c>
      <c r="P63" s="413"/>
      <c r="Q63" s="413"/>
      <c r="R63" s="413">
        <v>0.0914</v>
      </c>
      <c r="S63" s="413"/>
      <c r="T63" s="413"/>
      <c r="U63" s="55" t="s">
        <v>2211</v>
      </c>
      <c r="V63" s="55" t="s">
        <v>38</v>
      </c>
      <c r="W63" s="59"/>
      <c r="X63" s="55" t="s">
        <v>2338</v>
      </c>
      <c r="Y63" s="4" t="s">
        <v>203</v>
      </c>
      <c r="Z63" s="414">
        <v>60.0</v>
      </c>
      <c r="AA63" s="55" t="s">
        <v>204</v>
      </c>
    </row>
    <row r="64">
      <c r="A64" s="55" t="s">
        <v>2339</v>
      </c>
      <c r="B64" s="55" t="s">
        <v>2339</v>
      </c>
      <c r="F64" s="55" t="s">
        <v>186</v>
      </c>
      <c r="G64" s="55" t="s">
        <v>2313</v>
      </c>
      <c r="H64" s="56"/>
      <c r="I64" s="413">
        <v>156.0</v>
      </c>
      <c r="J64" s="413"/>
      <c r="K64" s="413"/>
      <c r="L64" s="413">
        <v>1.22</v>
      </c>
      <c r="M64" s="413"/>
      <c r="N64" s="413"/>
      <c r="O64" s="413">
        <v>0.324</v>
      </c>
      <c r="P64" s="413"/>
      <c r="Q64" s="413"/>
      <c r="R64" s="413">
        <v>0.0958</v>
      </c>
      <c r="S64" s="413"/>
      <c r="T64" s="413"/>
      <c r="U64" s="55" t="s">
        <v>2211</v>
      </c>
      <c r="V64" s="55" t="s">
        <v>38</v>
      </c>
      <c r="W64" s="59"/>
      <c r="X64" s="55" t="s">
        <v>2340</v>
      </c>
      <c r="Y64" s="4" t="s">
        <v>203</v>
      </c>
      <c r="Z64" s="414">
        <v>60.0</v>
      </c>
      <c r="AA64" s="55" t="s">
        <v>204</v>
      </c>
    </row>
    <row r="65">
      <c r="A65" s="55" t="s">
        <v>2341</v>
      </c>
      <c r="B65" s="55" t="s">
        <v>2341</v>
      </c>
      <c r="F65" s="55" t="s">
        <v>186</v>
      </c>
      <c r="G65" s="55" t="s">
        <v>2313</v>
      </c>
      <c r="H65" s="56"/>
      <c r="I65" s="413">
        <v>225.0</v>
      </c>
      <c r="J65" s="413"/>
      <c r="K65" s="413"/>
      <c r="L65" s="413">
        <v>1.24</v>
      </c>
      <c r="M65" s="413"/>
      <c r="N65" s="413"/>
      <c r="O65" s="413">
        <v>0.461</v>
      </c>
      <c r="P65" s="413"/>
      <c r="Q65" s="413"/>
      <c r="R65" s="413">
        <v>0.135</v>
      </c>
      <c r="S65" s="413"/>
      <c r="T65" s="413"/>
      <c r="U65" s="55" t="s">
        <v>2211</v>
      </c>
      <c r="V65" s="55" t="s">
        <v>38</v>
      </c>
      <c r="W65" s="59"/>
      <c r="X65" s="55" t="s">
        <v>2342</v>
      </c>
      <c r="Y65" s="4" t="s">
        <v>203</v>
      </c>
      <c r="Z65" s="414">
        <v>60.0</v>
      </c>
      <c r="AA65" s="55" t="s">
        <v>204</v>
      </c>
    </row>
    <row r="66">
      <c r="A66" s="55" t="s">
        <v>2343</v>
      </c>
      <c r="B66" s="55" t="s">
        <v>2343</v>
      </c>
      <c r="F66" s="55" t="s">
        <v>186</v>
      </c>
      <c r="G66" s="55" t="s">
        <v>2313</v>
      </c>
      <c r="H66" s="56"/>
      <c r="I66" s="413">
        <v>74.0</v>
      </c>
      <c r="J66" s="413"/>
      <c r="K66" s="413"/>
      <c r="L66" s="413">
        <v>1.2</v>
      </c>
      <c r="M66" s="413"/>
      <c r="N66" s="413"/>
      <c r="O66" s="413">
        <v>0.0937</v>
      </c>
      <c r="P66" s="413"/>
      <c r="Q66" s="413"/>
      <c r="R66" s="413">
        <v>0.026</v>
      </c>
      <c r="S66" s="413"/>
      <c r="T66" s="413"/>
      <c r="U66" s="55" t="s">
        <v>2211</v>
      </c>
      <c r="V66" s="55" t="s">
        <v>38</v>
      </c>
      <c r="W66" s="59"/>
      <c r="X66" s="55" t="s">
        <v>2344</v>
      </c>
      <c r="Y66" s="4" t="s">
        <v>203</v>
      </c>
      <c r="Z66" s="414">
        <v>60.0</v>
      </c>
      <c r="AA66" s="55" t="s">
        <v>204</v>
      </c>
    </row>
    <row r="67">
      <c r="A67" s="55" t="s">
        <v>2345</v>
      </c>
      <c r="B67" s="55" t="s">
        <v>2345</v>
      </c>
      <c r="F67" s="55" t="s">
        <v>186</v>
      </c>
      <c r="G67" s="55" t="s">
        <v>2313</v>
      </c>
      <c r="H67" s="56"/>
      <c r="I67" s="413">
        <v>43.8</v>
      </c>
      <c r="J67" s="413"/>
      <c r="K67" s="413"/>
      <c r="L67" s="413">
        <v>1.17</v>
      </c>
      <c r="M67" s="413"/>
      <c r="N67" s="413"/>
      <c r="O67" s="413">
        <v>0.029</v>
      </c>
      <c r="P67" s="413"/>
      <c r="Q67" s="413"/>
      <c r="R67" s="413">
        <v>0.0122</v>
      </c>
      <c r="S67" s="413"/>
      <c r="T67" s="413"/>
      <c r="U67" s="55" t="s">
        <v>2211</v>
      </c>
      <c r="V67" s="55" t="s">
        <v>38</v>
      </c>
      <c r="W67" s="59"/>
      <c r="X67" s="55" t="s">
        <v>2346</v>
      </c>
      <c r="Y67" s="4" t="s">
        <v>203</v>
      </c>
      <c r="Z67" s="414">
        <v>60.0</v>
      </c>
      <c r="AA67" s="55" t="s">
        <v>204</v>
      </c>
    </row>
    <row r="68">
      <c r="A68" s="55" t="s">
        <v>2347</v>
      </c>
      <c r="B68" s="55" t="s">
        <v>2347</v>
      </c>
      <c r="F68" s="55" t="s">
        <v>186</v>
      </c>
      <c r="G68" s="55" t="s">
        <v>2313</v>
      </c>
      <c r="H68" s="56"/>
      <c r="I68" s="413">
        <v>451.0</v>
      </c>
      <c r="J68" s="413"/>
      <c r="K68" s="413"/>
      <c r="L68" s="413">
        <v>0.631</v>
      </c>
      <c r="M68" s="413"/>
      <c r="N68" s="413"/>
      <c r="O68" s="413">
        <v>3.26</v>
      </c>
      <c r="P68" s="413"/>
      <c r="Q68" s="413"/>
      <c r="R68" s="413">
        <v>0.139</v>
      </c>
      <c r="S68" s="413"/>
      <c r="T68" s="413"/>
      <c r="U68" s="55" t="s">
        <v>2211</v>
      </c>
      <c r="V68" s="55" t="s">
        <v>38</v>
      </c>
      <c r="W68" s="59"/>
      <c r="X68" s="55" t="s">
        <v>2348</v>
      </c>
      <c r="Y68" s="4" t="s">
        <v>203</v>
      </c>
      <c r="Z68" s="414">
        <v>60.0</v>
      </c>
      <c r="AA68" s="55" t="s">
        <v>204</v>
      </c>
    </row>
    <row r="69">
      <c r="A69" s="55" t="s">
        <v>2349</v>
      </c>
      <c r="B69" s="55" t="s">
        <v>2349</v>
      </c>
      <c r="F69" s="55" t="s">
        <v>186</v>
      </c>
      <c r="G69" s="55" t="s">
        <v>2313</v>
      </c>
      <c r="H69" s="56"/>
      <c r="I69" s="413">
        <v>103.0</v>
      </c>
      <c r="J69" s="413"/>
      <c r="K69" s="413"/>
      <c r="L69" s="413">
        <v>3.17</v>
      </c>
      <c r="M69" s="413"/>
      <c r="N69" s="413"/>
      <c r="O69" s="413">
        <v>0.191</v>
      </c>
      <c r="P69" s="413"/>
      <c r="Q69" s="413"/>
      <c r="R69" s="413">
        <v>0.0309</v>
      </c>
      <c r="S69" s="413"/>
      <c r="T69" s="413"/>
      <c r="U69" s="55" t="s">
        <v>2211</v>
      </c>
      <c r="V69" s="55" t="s">
        <v>38</v>
      </c>
      <c r="W69" s="59"/>
      <c r="X69" s="55" t="s">
        <v>2350</v>
      </c>
      <c r="Y69" s="4" t="s">
        <v>203</v>
      </c>
      <c r="Z69" s="414">
        <v>60.0</v>
      </c>
      <c r="AA69" s="55" t="s">
        <v>204</v>
      </c>
    </row>
    <row r="70">
      <c r="A70" s="55" t="s">
        <v>2351</v>
      </c>
      <c r="B70" s="55" t="s">
        <v>2351</v>
      </c>
      <c r="F70" s="55" t="s">
        <v>186</v>
      </c>
      <c r="G70" s="55" t="s">
        <v>2313</v>
      </c>
      <c r="H70" s="56"/>
      <c r="I70" s="413">
        <v>229.0</v>
      </c>
      <c r="J70" s="413"/>
      <c r="K70" s="413"/>
      <c r="L70" s="413">
        <v>0.657</v>
      </c>
      <c r="M70" s="413"/>
      <c r="N70" s="413"/>
      <c r="O70" s="413">
        <v>1.85</v>
      </c>
      <c r="P70" s="413"/>
      <c r="Q70" s="413"/>
      <c r="R70" s="413">
        <v>0.0268</v>
      </c>
      <c r="S70" s="413"/>
      <c r="T70" s="413"/>
      <c r="U70" s="55" t="s">
        <v>2211</v>
      </c>
      <c r="V70" s="55" t="s">
        <v>38</v>
      </c>
      <c r="W70" s="59"/>
      <c r="X70" s="55" t="s">
        <v>2352</v>
      </c>
      <c r="Y70" s="4" t="s">
        <v>203</v>
      </c>
      <c r="Z70" s="414">
        <v>60.0</v>
      </c>
      <c r="AA70" s="55" t="s">
        <v>204</v>
      </c>
    </row>
    <row r="71">
      <c r="A71" s="55" t="s">
        <v>2353</v>
      </c>
      <c r="B71" s="55" t="s">
        <v>2353</v>
      </c>
      <c r="F71" s="55" t="s">
        <v>186</v>
      </c>
      <c r="G71" s="55" t="s">
        <v>2313</v>
      </c>
      <c r="H71" s="56"/>
      <c r="I71" s="413">
        <v>47.8</v>
      </c>
      <c r="J71" s="413"/>
      <c r="K71" s="413"/>
      <c r="L71" s="413">
        <v>1.17</v>
      </c>
      <c r="M71" s="413"/>
      <c r="N71" s="413"/>
      <c r="O71" s="413">
        <v>0.0359</v>
      </c>
      <c r="P71" s="413"/>
      <c r="Q71" s="413"/>
      <c r="R71" s="413">
        <v>0.0153</v>
      </c>
      <c r="S71" s="413"/>
      <c r="T71" s="413"/>
      <c r="U71" s="55" t="s">
        <v>2211</v>
      </c>
      <c r="V71" s="55" t="s">
        <v>38</v>
      </c>
      <c r="W71" s="59"/>
      <c r="X71" s="55" t="s">
        <v>2354</v>
      </c>
      <c r="Y71" s="4" t="s">
        <v>203</v>
      </c>
      <c r="Z71" s="414">
        <v>60.0</v>
      </c>
      <c r="AA71" s="55" t="s">
        <v>204</v>
      </c>
    </row>
    <row r="72">
      <c r="A72" s="55" t="s">
        <v>2355</v>
      </c>
      <c r="B72" s="55" t="s">
        <v>2355</v>
      </c>
      <c r="F72" s="55" t="s">
        <v>186</v>
      </c>
      <c r="G72" s="55" t="s">
        <v>2313</v>
      </c>
      <c r="H72" s="56"/>
      <c r="I72" s="413">
        <v>347.0</v>
      </c>
      <c r="J72" s="413"/>
      <c r="K72" s="413"/>
      <c r="L72" s="413">
        <v>0.488</v>
      </c>
      <c r="M72" s="413"/>
      <c r="N72" s="413"/>
      <c r="O72" s="413">
        <v>2.52</v>
      </c>
      <c r="P72" s="413"/>
      <c r="Q72" s="413"/>
      <c r="R72" s="413">
        <v>0.102</v>
      </c>
      <c r="S72" s="413"/>
      <c r="T72" s="413"/>
      <c r="U72" s="55" t="s">
        <v>2211</v>
      </c>
      <c r="V72" s="55" t="s">
        <v>38</v>
      </c>
      <c r="W72" s="59"/>
      <c r="X72" s="55" t="s">
        <v>2356</v>
      </c>
      <c r="Y72" s="4" t="s">
        <v>203</v>
      </c>
      <c r="Z72" s="414">
        <v>60.0</v>
      </c>
      <c r="AA72" s="55" t="s">
        <v>204</v>
      </c>
    </row>
    <row r="73">
      <c r="A73" s="55" t="s">
        <v>2357</v>
      </c>
      <c r="B73" s="55" t="s">
        <v>2357</v>
      </c>
      <c r="F73" s="55" t="s">
        <v>186</v>
      </c>
      <c r="G73" s="55" t="s">
        <v>2313</v>
      </c>
      <c r="H73" s="56"/>
      <c r="I73" s="413">
        <v>548.0</v>
      </c>
      <c r="J73" s="413"/>
      <c r="K73" s="413"/>
      <c r="L73" s="413">
        <v>0.299</v>
      </c>
      <c r="M73" s="413"/>
      <c r="N73" s="413"/>
      <c r="O73" s="413">
        <v>2.89</v>
      </c>
      <c r="P73" s="413"/>
      <c r="Q73" s="413"/>
      <c r="R73" s="413">
        <v>0.524</v>
      </c>
      <c r="S73" s="413"/>
      <c r="T73" s="413"/>
      <c r="U73" s="55" t="s">
        <v>2211</v>
      </c>
      <c r="V73" s="55" t="s">
        <v>38</v>
      </c>
      <c r="W73" s="59"/>
      <c r="X73" s="55" t="s">
        <v>2358</v>
      </c>
      <c r="Y73" s="4" t="s">
        <v>203</v>
      </c>
      <c r="Z73" s="414">
        <v>60.0</v>
      </c>
      <c r="AA73" s="55" t="s">
        <v>204</v>
      </c>
    </row>
    <row r="74">
      <c r="A74" s="55" t="s">
        <v>2359</v>
      </c>
      <c r="B74" s="55" t="s">
        <v>2359</v>
      </c>
      <c r="F74" s="55" t="s">
        <v>186</v>
      </c>
      <c r="G74" s="55" t="s">
        <v>2360</v>
      </c>
      <c r="H74" s="56"/>
      <c r="I74" s="413">
        <v>129.0</v>
      </c>
      <c r="J74" s="413"/>
      <c r="K74" s="413"/>
      <c r="L74" s="413">
        <v>1.11</v>
      </c>
      <c r="M74" s="413"/>
      <c r="N74" s="413"/>
      <c r="O74" s="413">
        <v>0.289</v>
      </c>
      <c r="P74" s="413"/>
      <c r="Q74" s="413"/>
      <c r="R74" s="413">
        <v>0.0812</v>
      </c>
      <c r="S74" s="413"/>
      <c r="T74" s="413"/>
      <c r="U74" s="55" t="s">
        <v>2211</v>
      </c>
      <c r="V74" s="55" t="s">
        <v>38</v>
      </c>
      <c r="W74" s="59"/>
      <c r="X74" s="55" t="s">
        <v>2361</v>
      </c>
      <c r="Y74" s="4" t="s">
        <v>203</v>
      </c>
      <c r="Z74" s="414">
        <v>60.0</v>
      </c>
      <c r="AA74" s="55" t="s">
        <v>204</v>
      </c>
    </row>
    <row r="75">
      <c r="A75" s="55" t="s">
        <v>2362</v>
      </c>
      <c r="B75" s="55" t="s">
        <v>2362</v>
      </c>
      <c r="F75" s="55" t="s">
        <v>186</v>
      </c>
      <c r="G75" s="55" t="s">
        <v>2360</v>
      </c>
      <c r="H75" s="56"/>
      <c r="I75" s="413">
        <v>124.0</v>
      </c>
      <c r="J75" s="413"/>
      <c r="K75" s="413"/>
      <c r="L75" s="413">
        <v>1.11</v>
      </c>
      <c r="M75" s="413"/>
      <c r="N75" s="413"/>
      <c r="O75" s="413">
        <v>0.275</v>
      </c>
      <c r="P75" s="413"/>
      <c r="Q75" s="413"/>
      <c r="R75" s="413">
        <v>0.0767</v>
      </c>
      <c r="S75" s="413"/>
      <c r="T75" s="413"/>
      <c r="U75" s="55" t="s">
        <v>2211</v>
      </c>
      <c r="V75" s="55" t="s">
        <v>38</v>
      </c>
      <c r="W75" s="59"/>
      <c r="X75" s="55" t="s">
        <v>2363</v>
      </c>
      <c r="Y75" s="4" t="s">
        <v>203</v>
      </c>
      <c r="Z75" s="414">
        <v>60.0</v>
      </c>
      <c r="AA75" s="55" t="s">
        <v>204</v>
      </c>
    </row>
    <row r="76">
      <c r="A76" s="55" t="s">
        <v>2364</v>
      </c>
      <c r="B76" s="55" t="s">
        <v>2364</v>
      </c>
      <c r="F76" s="55" t="s">
        <v>186</v>
      </c>
      <c r="G76" s="55" t="s">
        <v>2360</v>
      </c>
      <c r="H76" s="56"/>
      <c r="I76" s="413">
        <v>112.0</v>
      </c>
      <c r="J76" s="413"/>
      <c r="K76" s="413"/>
      <c r="L76" s="413">
        <v>1.11</v>
      </c>
      <c r="M76" s="413"/>
      <c r="N76" s="413"/>
      <c r="O76" s="413">
        <v>0.28</v>
      </c>
      <c r="P76" s="413"/>
      <c r="Q76" s="413"/>
      <c r="R76" s="413">
        <v>0.0807</v>
      </c>
      <c r="S76" s="413"/>
      <c r="T76" s="413"/>
      <c r="U76" s="55" t="s">
        <v>2211</v>
      </c>
      <c r="V76" s="55" t="s">
        <v>38</v>
      </c>
      <c r="W76" s="59"/>
      <c r="X76" s="55" t="s">
        <v>2365</v>
      </c>
      <c r="Y76" s="4" t="s">
        <v>203</v>
      </c>
      <c r="Z76" s="414">
        <v>60.0</v>
      </c>
      <c r="AA76" s="55" t="s">
        <v>204</v>
      </c>
    </row>
    <row r="77">
      <c r="A77" s="55" t="s">
        <v>2366</v>
      </c>
      <c r="B77" s="55" t="s">
        <v>2366</v>
      </c>
      <c r="F77" s="55" t="s">
        <v>186</v>
      </c>
      <c r="G77" s="55" t="s">
        <v>2360</v>
      </c>
      <c r="H77" s="56"/>
      <c r="I77" s="413">
        <v>175.0</v>
      </c>
      <c r="J77" s="413"/>
      <c r="K77" s="413"/>
      <c r="L77" s="413">
        <v>1.12</v>
      </c>
      <c r="M77" s="413"/>
      <c r="N77" s="413"/>
      <c r="O77" s="413">
        <v>0.402</v>
      </c>
      <c r="P77" s="413"/>
      <c r="Q77" s="413"/>
      <c r="R77" s="413">
        <v>0.115</v>
      </c>
      <c r="S77" s="413"/>
      <c r="T77" s="413"/>
      <c r="U77" s="55" t="s">
        <v>2211</v>
      </c>
      <c r="V77" s="55" t="s">
        <v>38</v>
      </c>
      <c r="W77" s="59"/>
      <c r="X77" s="55" t="s">
        <v>2367</v>
      </c>
      <c r="Y77" s="4" t="s">
        <v>203</v>
      </c>
      <c r="Z77" s="414">
        <v>60.0</v>
      </c>
      <c r="AA77" s="55" t="s">
        <v>204</v>
      </c>
    </row>
    <row r="78">
      <c r="A78" s="55" t="s">
        <v>2368</v>
      </c>
      <c r="B78" s="55" t="s">
        <v>2368</v>
      </c>
      <c r="F78" s="55" t="s">
        <v>186</v>
      </c>
      <c r="G78" s="55" t="s">
        <v>2360</v>
      </c>
      <c r="H78" s="56"/>
      <c r="I78" s="413">
        <v>38.1</v>
      </c>
      <c r="J78" s="413"/>
      <c r="K78" s="413"/>
      <c r="L78" s="413">
        <v>1.09</v>
      </c>
      <c r="M78" s="413"/>
      <c r="N78" s="413"/>
      <c r="O78" s="413">
        <v>0.0709</v>
      </c>
      <c r="P78" s="413"/>
      <c r="Q78" s="413"/>
      <c r="R78" s="413">
        <v>0.0173</v>
      </c>
      <c r="S78" s="413"/>
      <c r="T78" s="413"/>
      <c r="U78" s="55" t="s">
        <v>2211</v>
      </c>
      <c r="V78" s="55" t="s">
        <v>38</v>
      </c>
      <c r="W78" s="59"/>
      <c r="X78" s="55" t="s">
        <v>2369</v>
      </c>
      <c r="Y78" s="4" t="s">
        <v>203</v>
      </c>
      <c r="Z78" s="414">
        <v>60.0</v>
      </c>
      <c r="AA78" s="55" t="s">
        <v>204</v>
      </c>
    </row>
    <row r="79">
      <c r="A79" s="55" t="s">
        <v>2370</v>
      </c>
      <c r="B79" s="55" t="s">
        <v>2370</v>
      </c>
      <c r="F79" s="55" t="s">
        <v>186</v>
      </c>
      <c r="G79" s="55" t="s">
        <v>2360</v>
      </c>
      <c r="H79" s="56"/>
      <c r="I79" s="413">
        <v>309.0</v>
      </c>
      <c r="J79" s="413"/>
      <c r="K79" s="413"/>
      <c r="L79" s="413">
        <v>0.0773</v>
      </c>
      <c r="M79" s="413"/>
      <c r="N79" s="413"/>
      <c r="O79" s="413">
        <v>0.733</v>
      </c>
      <c r="P79" s="413"/>
      <c r="Q79" s="413"/>
      <c r="R79" s="413">
        <v>0.358</v>
      </c>
      <c r="S79" s="413"/>
      <c r="T79" s="413"/>
      <c r="U79" s="55" t="s">
        <v>2211</v>
      </c>
      <c r="V79" s="55" t="s">
        <v>38</v>
      </c>
      <c r="W79" s="59"/>
      <c r="X79" s="55" t="s">
        <v>2371</v>
      </c>
      <c r="Y79" s="4" t="s">
        <v>203</v>
      </c>
      <c r="Z79" s="414">
        <v>60.0</v>
      </c>
      <c r="AA79" s="55" t="s">
        <v>204</v>
      </c>
    </row>
    <row r="80">
      <c r="A80" s="55" t="s">
        <v>2372</v>
      </c>
      <c r="B80" s="55" t="s">
        <v>2372</v>
      </c>
      <c r="F80" s="55" t="s">
        <v>186</v>
      </c>
      <c r="G80" s="55" t="s">
        <v>2360</v>
      </c>
      <c r="H80" s="56"/>
      <c r="I80" s="413">
        <v>179.0</v>
      </c>
      <c r="J80" s="413"/>
      <c r="K80" s="413"/>
      <c r="L80" s="413">
        <v>0.0356</v>
      </c>
      <c r="M80" s="413"/>
      <c r="N80" s="413"/>
      <c r="O80" s="413">
        <v>0.124</v>
      </c>
      <c r="P80" s="413"/>
      <c r="Q80" s="413"/>
      <c r="R80" s="413">
        <v>0.155</v>
      </c>
      <c r="S80" s="413"/>
      <c r="T80" s="413"/>
      <c r="U80" s="55" t="s">
        <v>2211</v>
      </c>
      <c r="V80" s="55" t="s">
        <v>38</v>
      </c>
      <c r="W80" s="59"/>
      <c r="X80" s="55" t="s">
        <v>2373</v>
      </c>
      <c r="Y80" s="4" t="s">
        <v>203</v>
      </c>
      <c r="Z80" s="414">
        <v>60.0</v>
      </c>
      <c r="AA80" s="55" t="s">
        <v>204</v>
      </c>
    </row>
    <row r="81">
      <c r="A81" s="55" t="s">
        <v>2374</v>
      </c>
      <c r="B81" s="55" t="s">
        <v>2374</v>
      </c>
      <c r="F81" s="55" t="s">
        <v>186</v>
      </c>
      <c r="G81" s="55" t="s">
        <v>2360</v>
      </c>
      <c r="H81" s="56"/>
      <c r="I81" s="413">
        <v>447.0</v>
      </c>
      <c r="J81" s="413"/>
      <c r="K81" s="413"/>
      <c r="L81" s="413">
        <v>0.00704</v>
      </c>
      <c r="M81" s="413"/>
      <c r="N81" s="413"/>
      <c r="O81" s="413">
        <v>3.39</v>
      </c>
      <c r="P81" s="413"/>
      <c r="Q81" s="413"/>
      <c r="R81" s="413">
        <v>0.749</v>
      </c>
      <c r="S81" s="413"/>
      <c r="T81" s="413"/>
      <c r="U81" s="55" t="s">
        <v>2211</v>
      </c>
      <c r="V81" s="55" t="s">
        <v>38</v>
      </c>
      <c r="W81" s="59"/>
      <c r="X81" s="55" t="s">
        <v>2375</v>
      </c>
      <c r="Y81" s="4" t="s">
        <v>203</v>
      </c>
      <c r="Z81" s="414">
        <v>60.0</v>
      </c>
      <c r="AA81" s="55" t="s">
        <v>204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66.43"/>
    <col customWidth="1" min="3" max="3" width="11.57"/>
    <col customWidth="1" min="4" max="4" width="7.57"/>
    <col customWidth="1" min="5" max="5" width="16.57"/>
    <col customWidth="1" min="6" max="6" width="15.57"/>
    <col customWidth="1" min="7" max="7" width="52.29"/>
    <col customWidth="1" min="8" max="8" width="22.14"/>
    <col customWidth="1" min="9" max="9" width="36.86"/>
    <col customWidth="1" min="10" max="10" width="42.57"/>
    <col customWidth="1" min="11" max="11" width="40.43"/>
    <col customWidth="1" min="12" max="12" width="49.29"/>
    <col customWidth="1" min="13" max="13" width="54.86"/>
    <col customWidth="1" min="14" max="14" width="52.71"/>
    <col customWidth="1" min="15" max="15" width="43.71"/>
    <col customWidth="1" min="16" max="16" width="49.29"/>
    <col customWidth="1" min="17" max="17" width="47.14"/>
    <col customWidth="1" min="18" max="18" width="46.71"/>
    <col customWidth="1" min="19" max="19" width="52.29"/>
    <col customWidth="1" min="20" max="20" width="50.29"/>
    <col customWidth="1" min="21" max="21" width="39.14"/>
    <col customWidth="1" min="22" max="22" width="45.14"/>
    <col customWidth="1" min="23" max="23" width="43.14"/>
    <col customWidth="1" min="24" max="24" width="11.14"/>
    <col customWidth="1" min="25" max="25" width="25.71"/>
    <col customWidth="1" min="26" max="26" width="23.14"/>
    <col customWidth="1" min="27" max="27" width="65.57"/>
  </cols>
  <sheetData>
    <row r="1">
      <c r="A1" s="61" t="s">
        <v>19</v>
      </c>
      <c r="B1" s="61" t="s">
        <v>159</v>
      </c>
      <c r="C1" s="61" t="s">
        <v>160</v>
      </c>
      <c r="D1" s="61" t="s">
        <v>161</v>
      </c>
      <c r="E1" s="61" t="s">
        <v>162</v>
      </c>
      <c r="F1" s="61" t="s">
        <v>163</v>
      </c>
      <c r="G1" s="61" t="s">
        <v>164</v>
      </c>
      <c r="H1" s="61" t="s">
        <v>166</v>
      </c>
      <c r="I1" s="61" t="s">
        <v>167</v>
      </c>
      <c r="J1" s="61" t="s">
        <v>168</v>
      </c>
      <c r="K1" s="61" t="s">
        <v>169</v>
      </c>
      <c r="L1" s="61" t="s">
        <v>170</v>
      </c>
      <c r="M1" s="61" t="s">
        <v>171</v>
      </c>
      <c r="N1" s="61" t="s">
        <v>172</v>
      </c>
      <c r="O1" s="61" t="s">
        <v>173</v>
      </c>
      <c r="P1" s="61" t="s">
        <v>174</v>
      </c>
      <c r="Q1" s="61" t="s">
        <v>175</v>
      </c>
      <c r="R1" s="61" t="s">
        <v>176</v>
      </c>
      <c r="S1" s="61" t="s">
        <v>177</v>
      </c>
      <c r="T1" s="61" t="s">
        <v>178</v>
      </c>
      <c r="U1" s="61" t="s">
        <v>179</v>
      </c>
      <c r="V1" s="61" t="s">
        <v>180</v>
      </c>
      <c r="W1" s="61" t="s">
        <v>181</v>
      </c>
      <c r="X1" s="61" t="s">
        <v>182</v>
      </c>
      <c r="Y1" s="61" t="s">
        <v>183</v>
      </c>
      <c r="Z1" s="61" t="s">
        <v>52</v>
      </c>
      <c r="AA1" s="61" t="s">
        <v>184</v>
      </c>
      <c r="AB1" s="2"/>
      <c r="AC1" s="2"/>
    </row>
    <row r="2">
      <c r="A2" s="55" t="str">
        <f>'Energie Énergie'!A9 &amp; " " &amp; 'Energie Énergie'!B9 &amp; " (KBOB.2016)"</f>
        <v>41.001 Heizöl EL (KBOB.2016)</v>
      </c>
      <c r="B2" s="2" t="str">
        <f t="shared" ref="B2:B88" si="1">A2</f>
        <v>41.001 Heizöl EL (KBOB.2016)</v>
      </c>
      <c r="C2" s="2"/>
      <c r="D2" s="2"/>
      <c r="E2" s="2"/>
      <c r="F2" s="2" t="s">
        <v>186</v>
      </c>
      <c r="G2" s="2" t="str">
        <f t="shared" ref="G2:G88" si="2">SWITCH(LEFT(A2,2), "41", "OTHER_RESOURCE_ENERGY_FUEL", "42", "OTHER_RESOURCE_ENERGY_DISTRICT_HEAT", "43", "OTHER_RESOURCE_ENERGY_USEFUL_HEAT", "44", "OTHER_RESOURCE_ENERGY_USEFUL_HEAT_GENERATED_LOCALLY", "45", "OTHER_RESOURCE_ENERGY_ELECTRICITY_NET", "46", "OTHER_RESOURCE_ENERGY_ELECTRICITY_GENERATED_LOCALLY")</f>
        <v>OTHER_RESOURCE_ENERGY_FUEL</v>
      </c>
      <c r="H2" s="63"/>
      <c r="I2" s="64">
        <f>'Energie Énergie'!E9</f>
        <v>234</v>
      </c>
      <c r="J2" s="64"/>
      <c r="K2" s="64"/>
      <c r="L2" s="64">
        <f>'Energie Énergie'!G9</f>
        <v>0.00902</v>
      </c>
      <c r="M2" s="63"/>
      <c r="N2" s="63"/>
      <c r="O2" s="64">
        <f>'Energie Énergie'!H9</f>
        <v>1.23</v>
      </c>
      <c r="P2" s="63"/>
      <c r="Q2" s="63"/>
      <c r="R2" s="64">
        <f>'Energie Énergie'!J9</f>
        <v>0.301</v>
      </c>
      <c r="S2" s="63"/>
      <c r="T2" s="63"/>
      <c r="U2" s="2" t="str">
        <f>'Energie Énergie'!D9</f>
        <v>kWh</v>
      </c>
      <c r="V2" s="2" t="str">
        <f>VLOOKUP('Energie Énergie'!C9,RefDimensions!A$2:B$16,2,false)</f>
        <v>finalEnergy</v>
      </c>
      <c r="W2" s="66"/>
      <c r="X2" s="2" t="str">
        <f t="shared" ref="X2:X88" si="3">LEFT(A2,6)</f>
        <v>41.001</v>
      </c>
      <c r="Y2" s="7" t="s">
        <v>203</v>
      </c>
      <c r="Z2" s="414">
        <v>60.0</v>
      </c>
      <c r="AA2" s="67" t="str">
        <f t="shared" ref="AA2:AA88" si="4">"Alle &gt; " &amp; SWITCH(F2, "COMPONENT","BAUTEILE", "OTHER_RESOURCE", "RESSOURCEN", "BUILDING_TECHNOLOGY", "GEBÄUDETECHNIK", "MATERIAL", "MATERIALIEN") &amp; " &gt; kbob.admin.ch &gt; KBOB / ecobau / IPB 2009/1:2016"</f>
        <v>Alle &gt; RESSOURCEN &gt; kbob.admin.ch &gt; KBOB / ecobau / IPB 2009/1:2016</v>
      </c>
      <c r="AB2" s="2"/>
      <c r="AC2" s="2"/>
    </row>
    <row r="3">
      <c r="A3" s="55" t="str">
        <f>'Energie Énergie'!A10 &amp; " " &amp; 'Energie Énergie'!B10 &amp; " (KBOB.2016)"</f>
        <v>41.002 Erdgas (KBOB.2016)</v>
      </c>
      <c r="B3" s="2" t="str">
        <f t="shared" si="1"/>
        <v>41.002 Erdgas (KBOB.2016)</v>
      </c>
      <c r="C3" s="2"/>
      <c r="D3" s="2"/>
      <c r="E3" s="2"/>
      <c r="F3" s="2" t="s">
        <v>186</v>
      </c>
      <c r="G3" s="2" t="str">
        <f t="shared" si="2"/>
        <v>OTHER_RESOURCE_ENERGY_FUEL</v>
      </c>
      <c r="H3" s="63"/>
      <c r="I3" s="64">
        <f>'Energie Énergie'!E10</f>
        <v>137</v>
      </c>
      <c r="J3" s="64"/>
      <c r="K3" s="64"/>
      <c r="L3" s="64">
        <f>'Energie Énergie'!G10</f>
        <v>0.00447</v>
      </c>
      <c r="M3" s="63"/>
      <c r="N3" s="63"/>
      <c r="O3" s="64">
        <f>'Energie Énergie'!H10</f>
        <v>1.06</v>
      </c>
      <c r="P3" s="63"/>
      <c r="Q3" s="63"/>
      <c r="R3" s="64">
        <f>'Energie Énergie'!J10</f>
        <v>0.228</v>
      </c>
      <c r="S3" s="63"/>
      <c r="T3" s="63"/>
      <c r="U3" s="2" t="str">
        <f>'Energie Énergie'!D10</f>
        <v>kWh</v>
      </c>
      <c r="V3" s="2" t="str">
        <f>VLOOKUP('Energie Énergie'!C10,RefDimensions!A$2:B$16,2,false)</f>
        <v>finalEnergy</v>
      </c>
      <c r="W3" s="66"/>
      <c r="X3" s="2" t="str">
        <f t="shared" si="3"/>
        <v>41.002</v>
      </c>
      <c r="Y3" s="7" t="s">
        <v>203</v>
      </c>
      <c r="Z3" s="414">
        <v>60.0</v>
      </c>
      <c r="AA3" s="67" t="str">
        <f t="shared" si="4"/>
        <v>Alle &gt; RESSOURCEN &gt; kbob.admin.ch &gt; KBOB / ecobau / IPB 2009/1:2016</v>
      </c>
    </row>
    <row r="4">
      <c r="A4" s="55" t="str">
        <f>'Energie Énergie'!A11 &amp; " " &amp; 'Energie Énergie'!B11 &amp; " (KBOB.2016)"</f>
        <v>41.003 Propan/Butan (KBOB.2016)</v>
      </c>
      <c r="B4" s="2" t="str">
        <f t="shared" si="1"/>
        <v>41.003 Propan/Butan (KBOB.2016)</v>
      </c>
      <c r="C4" s="2"/>
      <c r="D4" s="2"/>
      <c r="E4" s="2"/>
      <c r="F4" s="2" t="s">
        <v>186</v>
      </c>
      <c r="G4" s="2" t="str">
        <f t="shared" si="2"/>
        <v>OTHER_RESOURCE_ENERGY_FUEL</v>
      </c>
      <c r="H4" s="63"/>
      <c r="I4" s="64">
        <f>'Energie Énergie'!E11</f>
        <v>200</v>
      </c>
      <c r="J4" s="64"/>
      <c r="K4" s="64"/>
      <c r="L4" s="64">
        <f>'Energie Énergie'!G11</f>
        <v>0.00841</v>
      </c>
      <c r="M4" s="63"/>
      <c r="N4" s="63"/>
      <c r="O4" s="64">
        <f>'Energie Énergie'!H11</f>
        <v>1.15</v>
      </c>
      <c r="P4" s="63"/>
      <c r="Q4" s="63"/>
      <c r="R4" s="64">
        <f>'Energie Énergie'!J11</f>
        <v>0.273</v>
      </c>
      <c r="S4" s="63"/>
      <c r="T4" s="63"/>
      <c r="U4" s="2" t="str">
        <f>'Energie Énergie'!D11</f>
        <v>kWh</v>
      </c>
      <c r="V4" s="2" t="str">
        <f>VLOOKUP('Energie Énergie'!C11,RefDimensions!A$2:B$16,2,false)</f>
        <v>finalEnergy</v>
      </c>
      <c r="W4" s="66"/>
      <c r="X4" s="2" t="str">
        <f t="shared" si="3"/>
        <v>41.003</v>
      </c>
      <c r="Y4" s="7" t="s">
        <v>203</v>
      </c>
      <c r="Z4" s="414">
        <v>60.0</v>
      </c>
      <c r="AA4" s="67" t="str">
        <f t="shared" si="4"/>
        <v>Alle &gt; RESSOURCEN &gt; kbob.admin.ch &gt; KBOB / ecobau / IPB 2009/1:2016</v>
      </c>
    </row>
    <row r="5">
      <c r="A5" s="55" t="str">
        <f>'Energie Énergie'!A12 &amp; " " &amp; 'Energie Énergie'!B12 &amp; " (KBOB.2016)"</f>
        <v>41.004 Kohle Koks (KBOB.2016)</v>
      </c>
      <c r="B5" s="2" t="str">
        <f t="shared" si="1"/>
        <v>41.004 Kohle Koks (KBOB.2016)</v>
      </c>
      <c r="C5" s="2"/>
      <c r="D5" s="2"/>
      <c r="E5" s="2"/>
      <c r="F5" s="2" t="s">
        <v>186</v>
      </c>
      <c r="G5" s="2" t="str">
        <f t="shared" si="2"/>
        <v>OTHER_RESOURCE_ENERGY_FUEL</v>
      </c>
      <c r="H5" s="63"/>
      <c r="I5" s="64">
        <f>'Energie Énergie'!E12</f>
        <v>477</v>
      </c>
      <c r="J5" s="64"/>
      <c r="K5" s="64"/>
      <c r="L5" s="64">
        <f>'Energie Énergie'!G12</f>
        <v>0.0132</v>
      </c>
      <c r="M5" s="63"/>
      <c r="N5" s="63"/>
      <c r="O5" s="64">
        <f>'Energie Énergie'!H12</f>
        <v>1.45</v>
      </c>
      <c r="P5" s="63"/>
      <c r="Q5" s="63"/>
      <c r="R5" s="64">
        <f>'Energie Énergie'!J12</f>
        <v>0.439</v>
      </c>
      <c r="S5" s="63"/>
      <c r="T5" s="63"/>
      <c r="U5" s="2" t="str">
        <f>'Energie Énergie'!D12</f>
        <v>kWh</v>
      </c>
      <c r="V5" s="2" t="str">
        <f>VLOOKUP('Energie Énergie'!C12,RefDimensions!A$2:B$16,2,false)</f>
        <v>finalEnergy</v>
      </c>
      <c r="W5" s="66"/>
      <c r="X5" s="2" t="str">
        <f t="shared" si="3"/>
        <v>41.004</v>
      </c>
      <c r="Y5" s="7" t="s">
        <v>203</v>
      </c>
      <c r="Z5" s="414">
        <v>60.0</v>
      </c>
      <c r="AA5" s="67" t="str">
        <f t="shared" si="4"/>
        <v>Alle &gt; RESSOURCEN &gt; kbob.admin.ch &gt; KBOB / ecobau / IPB 2009/1:2016</v>
      </c>
    </row>
    <row r="6">
      <c r="A6" s="55" t="str">
        <f>'Energie Énergie'!A13 &amp; " " &amp; 'Energie Énergie'!B13 &amp; " (KBOB.2016)"</f>
        <v>41.005 Kohle Brikett (KBOB.2016)</v>
      </c>
      <c r="B6" s="2" t="str">
        <f t="shared" si="1"/>
        <v>41.005 Kohle Brikett (KBOB.2016)</v>
      </c>
      <c r="C6" s="2"/>
      <c r="D6" s="2"/>
      <c r="E6" s="2"/>
      <c r="F6" s="2" t="s">
        <v>186</v>
      </c>
      <c r="G6" s="2" t="str">
        <f t="shared" si="2"/>
        <v>OTHER_RESOURCE_ENERGY_FUEL</v>
      </c>
      <c r="H6" s="63"/>
      <c r="I6" s="64">
        <f>'Energie Énergie'!E13</f>
        <v>456</v>
      </c>
      <c r="J6" s="64"/>
      <c r="K6" s="64"/>
      <c r="L6" s="64">
        <f>'Energie Énergie'!G13</f>
        <v>0.00831</v>
      </c>
      <c r="M6" s="63"/>
      <c r="N6" s="63"/>
      <c r="O6" s="64">
        <f>'Energie Énergie'!H13</f>
        <v>1.2</v>
      </c>
      <c r="P6" s="63"/>
      <c r="Q6" s="63"/>
      <c r="R6" s="64">
        <f>'Energie Énergie'!J13</f>
        <v>0.399</v>
      </c>
      <c r="S6" s="63"/>
      <c r="T6" s="63"/>
      <c r="U6" s="2" t="str">
        <f>'Energie Énergie'!D13</f>
        <v>kWh</v>
      </c>
      <c r="V6" s="2" t="str">
        <f>VLOOKUP('Energie Énergie'!C13,RefDimensions!A$2:B$16,2,false)</f>
        <v>finalEnergy</v>
      </c>
      <c r="W6" s="66"/>
      <c r="X6" s="2" t="str">
        <f t="shared" si="3"/>
        <v>41.005</v>
      </c>
      <c r="Y6" s="7" t="s">
        <v>203</v>
      </c>
      <c r="Z6" s="414">
        <v>60.0</v>
      </c>
      <c r="AA6" s="67" t="str">
        <f t="shared" si="4"/>
        <v>Alle &gt; RESSOURCEN &gt; kbob.admin.ch &gt; KBOB / ecobau / IPB 2009/1:2016</v>
      </c>
    </row>
    <row r="7">
      <c r="A7" s="55" t="str">
        <f>'Energie Énergie'!A14 &amp; " " &amp; 'Energie Énergie'!B14 &amp; " (KBOB.2016)"</f>
        <v>41.006 Stückholz (KBOB.2016)</v>
      </c>
      <c r="B7" s="2" t="str">
        <f t="shared" si="1"/>
        <v>41.006 Stückholz (KBOB.2016)</v>
      </c>
      <c r="C7" s="2"/>
      <c r="D7" s="2"/>
      <c r="E7" s="2"/>
      <c r="F7" s="2" t="s">
        <v>186</v>
      </c>
      <c r="G7" s="2" t="str">
        <f t="shared" si="2"/>
        <v>OTHER_RESOURCE_ENERGY_FUEL</v>
      </c>
      <c r="H7" s="63"/>
      <c r="I7" s="64">
        <f>'Energie Énergie'!E14</f>
        <v>93.1</v>
      </c>
      <c r="J7" s="64"/>
      <c r="K7" s="64"/>
      <c r="L7" s="64">
        <f>'Energie Énergie'!G14</f>
        <v>0.994</v>
      </c>
      <c r="M7" s="63"/>
      <c r="N7" s="63"/>
      <c r="O7" s="64">
        <f>'Energie Énergie'!H14</f>
        <v>0.116</v>
      </c>
      <c r="P7" s="63"/>
      <c r="Q7" s="63"/>
      <c r="R7" s="64">
        <f>'Energie Énergie'!J14</f>
        <v>0.0274</v>
      </c>
      <c r="S7" s="63"/>
      <c r="T7" s="63"/>
      <c r="U7" s="2" t="str">
        <f>'Energie Énergie'!D14</f>
        <v>kWh</v>
      </c>
      <c r="V7" s="2" t="str">
        <f>VLOOKUP('Energie Énergie'!C14,RefDimensions!A$2:B$16,2,false)</f>
        <v>finalEnergy</v>
      </c>
      <c r="W7" s="66"/>
      <c r="X7" s="2" t="str">
        <f t="shared" si="3"/>
        <v>41.006</v>
      </c>
      <c r="Y7" s="7" t="s">
        <v>203</v>
      </c>
      <c r="Z7" s="414">
        <v>60.0</v>
      </c>
      <c r="AA7" s="67" t="str">
        <f t="shared" si="4"/>
        <v>Alle &gt; RESSOURCEN &gt; kbob.admin.ch &gt; KBOB / ecobau / IPB 2009/1:2016</v>
      </c>
    </row>
    <row r="8">
      <c r="A8" s="55" t="str">
        <f>'Energie Énergie'!A15 &amp; " " &amp; 'Energie Énergie'!B15 &amp; " (KBOB.2016)"</f>
        <v>41.010 Stückholz mit Partikelfilter (KBOB.2016)</v>
      </c>
      <c r="B8" s="2" t="str">
        <f t="shared" si="1"/>
        <v>41.010 Stückholz mit Partikelfilter (KBOB.2016)</v>
      </c>
      <c r="C8" s="2"/>
      <c r="D8" s="2"/>
      <c r="E8" s="2"/>
      <c r="F8" s="2" t="s">
        <v>186</v>
      </c>
      <c r="G8" s="2" t="str">
        <f t="shared" si="2"/>
        <v>OTHER_RESOURCE_ENERGY_FUEL</v>
      </c>
      <c r="H8" s="63"/>
      <c r="I8" s="64">
        <f>'Energie Énergie'!E15</f>
        <v>88.2</v>
      </c>
      <c r="J8" s="64"/>
      <c r="K8" s="64"/>
      <c r="L8" s="64">
        <f>'Energie Énergie'!G15</f>
        <v>0.994</v>
      </c>
      <c r="M8" s="63"/>
      <c r="N8" s="63"/>
      <c r="O8" s="64">
        <f>'Energie Énergie'!H15</f>
        <v>0.119</v>
      </c>
      <c r="P8" s="63"/>
      <c r="Q8" s="63"/>
      <c r="R8" s="64">
        <f>'Energie Énergie'!J15</f>
        <v>0.0275</v>
      </c>
      <c r="S8" s="63"/>
      <c r="T8" s="63"/>
      <c r="U8" s="2" t="str">
        <f>'Energie Énergie'!D15</f>
        <v>kWh</v>
      </c>
      <c r="V8" s="2" t="str">
        <f>VLOOKUP('Energie Énergie'!C15,RefDimensions!A$2:B$16,2,false)</f>
        <v>finalEnergy</v>
      </c>
      <c r="W8" s="66"/>
      <c r="X8" s="2" t="str">
        <f t="shared" si="3"/>
        <v>41.010</v>
      </c>
      <c r="Y8" s="7" t="s">
        <v>203</v>
      </c>
      <c r="Z8" s="414">
        <v>60.0</v>
      </c>
      <c r="AA8" s="67" t="str">
        <f t="shared" si="4"/>
        <v>Alle &gt; RESSOURCEN &gt; kbob.admin.ch &gt; KBOB / ecobau / IPB 2009/1:2016</v>
      </c>
    </row>
    <row r="9">
      <c r="A9" s="55" t="str">
        <f>'Energie Énergie'!A16 &amp; " " &amp; 'Energie Énergie'!B16 &amp; " (KBOB.2016)"</f>
        <v>41.007 Holzschnitzel (KBOB.2016)</v>
      </c>
      <c r="B9" s="2" t="str">
        <f t="shared" si="1"/>
        <v>41.007 Holzschnitzel (KBOB.2016)</v>
      </c>
      <c r="C9" s="2"/>
      <c r="D9" s="2"/>
      <c r="E9" s="2"/>
      <c r="F9" s="2" t="s">
        <v>186</v>
      </c>
      <c r="G9" s="2" t="str">
        <f t="shared" si="2"/>
        <v>OTHER_RESOURCE_ENERGY_FUEL</v>
      </c>
      <c r="H9" s="63"/>
      <c r="I9" s="64">
        <f>'Energie Énergie'!E16</f>
        <v>80.8</v>
      </c>
      <c r="J9" s="64"/>
      <c r="K9" s="64"/>
      <c r="L9" s="64">
        <f>'Energie Énergie'!G16</f>
        <v>1.05</v>
      </c>
      <c r="M9" s="63"/>
      <c r="N9" s="63"/>
      <c r="O9" s="64">
        <f>'Energie Énergie'!H16</f>
        <v>0.0628</v>
      </c>
      <c r="P9" s="63"/>
      <c r="Q9" s="63"/>
      <c r="R9" s="64">
        <f>'Energie Énergie'!J16</f>
        <v>0.0107</v>
      </c>
      <c r="S9" s="63"/>
      <c r="T9" s="63"/>
      <c r="U9" s="2" t="str">
        <f>'Energie Énergie'!D16</f>
        <v>kWh</v>
      </c>
      <c r="V9" s="2" t="str">
        <f>VLOOKUP('Energie Énergie'!C16,RefDimensions!A$2:B$16,2,false)</f>
        <v>finalEnergy</v>
      </c>
      <c r="W9" s="66"/>
      <c r="X9" s="2" t="str">
        <f t="shared" si="3"/>
        <v>41.007</v>
      </c>
      <c r="Y9" s="7" t="s">
        <v>203</v>
      </c>
      <c r="Z9" s="414">
        <v>60.0</v>
      </c>
      <c r="AA9" s="67" t="str">
        <f t="shared" si="4"/>
        <v>Alle &gt; RESSOURCEN &gt; kbob.admin.ch &gt; KBOB / ecobau / IPB 2009/1:2016</v>
      </c>
    </row>
    <row r="10">
      <c r="A10" s="55" t="str">
        <f>'Energie Énergie'!A17 &amp; " " &amp; 'Energie Énergie'!B17 &amp; " (KBOB.2016)"</f>
        <v>41.011 Holzschnitzel mit Partikelfilter (KBOB.2016)</v>
      </c>
      <c r="B10" s="2" t="str">
        <f t="shared" si="1"/>
        <v>41.011 Holzschnitzel mit Partikelfilter (KBOB.2016)</v>
      </c>
      <c r="C10" s="2"/>
      <c r="D10" s="2"/>
      <c r="E10" s="2"/>
      <c r="F10" s="2" t="s">
        <v>186</v>
      </c>
      <c r="G10" s="2" t="str">
        <f t="shared" si="2"/>
        <v>OTHER_RESOURCE_ENERGY_FUEL</v>
      </c>
      <c r="H10" s="63"/>
      <c r="I10" s="64">
        <f>'Energie Énergie'!E17</f>
        <v>73.7</v>
      </c>
      <c r="J10" s="64"/>
      <c r="K10" s="64"/>
      <c r="L10" s="64">
        <f>'Energie Énergie'!G17</f>
        <v>1.05</v>
      </c>
      <c r="M10" s="63"/>
      <c r="N10" s="63"/>
      <c r="O10" s="64">
        <f>'Energie Énergie'!H17</f>
        <v>0.0651</v>
      </c>
      <c r="P10" s="63"/>
      <c r="Q10" s="63"/>
      <c r="R10" s="64">
        <f>'Energie Énergie'!J17</f>
        <v>0.0108</v>
      </c>
      <c r="S10" s="63"/>
      <c r="T10" s="63"/>
      <c r="U10" s="2" t="str">
        <f>'Energie Énergie'!D17</f>
        <v>kWh</v>
      </c>
      <c r="V10" s="2" t="str">
        <f>VLOOKUP('Energie Énergie'!C17,RefDimensions!A$2:B$16,2,false)</f>
        <v>finalEnergy</v>
      </c>
      <c r="W10" s="66"/>
      <c r="X10" s="2" t="str">
        <f t="shared" si="3"/>
        <v>41.011</v>
      </c>
      <c r="Y10" s="7" t="s">
        <v>203</v>
      </c>
      <c r="Z10" s="414">
        <v>60.0</v>
      </c>
      <c r="AA10" s="67" t="str">
        <f t="shared" si="4"/>
        <v>Alle &gt; RESSOURCEN &gt; kbob.admin.ch &gt; KBOB / ecobau / IPB 2009/1:2016</v>
      </c>
    </row>
    <row r="11">
      <c r="A11" s="55" t="str">
        <f>'Energie Énergie'!A18 &amp; " " &amp; 'Energie Énergie'!B18 &amp; " (KBOB.2016)"</f>
        <v>41.008 Pellets (KBOB.2016)</v>
      </c>
      <c r="B11" s="2" t="str">
        <f t="shared" si="1"/>
        <v>41.008 Pellets (KBOB.2016)</v>
      </c>
      <c r="C11" s="2"/>
      <c r="D11" s="2"/>
      <c r="E11" s="2"/>
      <c r="F11" s="2" t="s">
        <v>186</v>
      </c>
      <c r="G11" s="2" t="str">
        <f t="shared" si="2"/>
        <v>OTHER_RESOURCE_ENERGY_FUEL</v>
      </c>
      <c r="H11" s="63"/>
      <c r="I11" s="64">
        <f>'Energie Énergie'!E18</f>
        <v>81.1</v>
      </c>
      <c r="J11" s="64"/>
      <c r="K11" s="64"/>
      <c r="L11" s="64">
        <f>'Energie Énergie'!G18</f>
        <v>1.04</v>
      </c>
      <c r="M11" s="63"/>
      <c r="N11" s="63"/>
      <c r="O11" s="64">
        <f>'Energie Énergie'!H18</f>
        <v>0.157</v>
      </c>
      <c r="P11" s="63"/>
      <c r="Q11" s="63"/>
      <c r="R11" s="64">
        <f>'Energie Énergie'!J18</f>
        <v>0.0272</v>
      </c>
      <c r="S11" s="63"/>
      <c r="T11" s="63"/>
      <c r="U11" s="2" t="str">
        <f>'Energie Énergie'!D18</f>
        <v>kWh</v>
      </c>
      <c r="V11" s="2" t="str">
        <f>VLOOKUP('Energie Énergie'!C18,RefDimensions!A$2:B$16,2,false)</f>
        <v>finalEnergy</v>
      </c>
      <c r="W11" s="66"/>
      <c r="X11" s="2" t="str">
        <f t="shared" si="3"/>
        <v>41.008</v>
      </c>
      <c r="Y11" s="7" t="s">
        <v>203</v>
      </c>
      <c r="Z11" s="414">
        <v>60.0</v>
      </c>
      <c r="AA11" s="67" t="str">
        <f t="shared" si="4"/>
        <v>Alle &gt; RESSOURCEN &gt; kbob.admin.ch &gt; KBOB / ecobau / IPB 2009/1:2016</v>
      </c>
    </row>
    <row r="12">
      <c r="A12" s="55" t="str">
        <f>'Energie Énergie'!A19 &amp; " " &amp; 'Energie Énergie'!B19 &amp; " (KBOB.2016)"</f>
        <v>41.012 Pellets mit Partikelfilter (KBOB.2016)</v>
      </c>
      <c r="B12" s="2" t="str">
        <f t="shared" si="1"/>
        <v>41.012 Pellets mit Partikelfilter (KBOB.2016)</v>
      </c>
      <c r="C12" s="2"/>
      <c r="D12" s="2"/>
      <c r="E12" s="2"/>
      <c r="F12" s="2" t="s">
        <v>186</v>
      </c>
      <c r="G12" s="2" t="str">
        <f t="shared" si="2"/>
        <v>OTHER_RESOURCE_ENERGY_FUEL</v>
      </c>
      <c r="H12" s="63"/>
      <c r="I12" s="64">
        <f>'Energie Énergie'!E19</f>
        <v>76.8</v>
      </c>
      <c r="J12" s="64"/>
      <c r="K12" s="64"/>
      <c r="L12" s="64">
        <f>'Energie Énergie'!G19</f>
        <v>1.04</v>
      </c>
      <c r="M12" s="63"/>
      <c r="N12" s="63"/>
      <c r="O12" s="64">
        <f>'Energie Énergie'!H19</f>
        <v>0.16</v>
      </c>
      <c r="P12" s="63"/>
      <c r="Q12" s="63"/>
      <c r="R12" s="64">
        <f>'Energie Énergie'!J19</f>
        <v>0.0273</v>
      </c>
      <c r="S12" s="63"/>
      <c r="T12" s="63"/>
      <c r="U12" s="2" t="str">
        <f>'Energie Énergie'!D19</f>
        <v>kWh</v>
      </c>
      <c r="V12" s="2" t="str">
        <f>VLOOKUP('Energie Énergie'!C19,RefDimensions!A$2:B$16,2,false)</f>
        <v>finalEnergy</v>
      </c>
      <c r="W12" s="66"/>
      <c r="X12" s="2" t="str">
        <f t="shared" si="3"/>
        <v>41.012</v>
      </c>
      <c r="Y12" s="7" t="s">
        <v>203</v>
      </c>
      <c r="Z12" s="414">
        <v>60.0</v>
      </c>
      <c r="AA12" s="67" t="str">
        <f t="shared" si="4"/>
        <v>Alle &gt; RESSOURCEN &gt; kbob.admin.ch &gt; KBOB / ecobau / IPB 2009/1:2016</v>
      </c>
    </row>
    <row r="13">
      <c r="A13" s="55" t="str">
        <f>'Energie Énergie'!A20 &amp; " " &amp; 'Energie Énergie'!B20 &amp; " (KBOB.2016)"</f>
        <v>41.009 Biogas (KBOB.2016)</v>
      </c>
      <c r="B13" s="2" t="str">
        <f t="shared" si="1"/>
        <v>41.009 Biogas (KBOB.2016)</v>
      </c>
      <c r="C13" s="2"/>
      <c r="D13" s="2"/>
      <c r="E13" s="2"/>
      <c r="F13" s="2" t="s">
        <v>186</v>
      </c>
      <c r="G13" s="2" t="str">
        <f t="shared" si="2"/>
        <v>OTHER_RESOURCE_ENERGY_FUEL</v>
      </c>
      <c r="H13" s="63"/>
      <c r="I13" s="64">
        <f>'Energie Énergie'!E20</f>
        <v>109</v>
      </c>
      <c r="J13" s="64"/>
      <c r="K13" s="64"/>
      <c r="L13" s="64">
        <f>'Energie Énergie'!G20</f>
        <v>0.0321</v>
      </c>
      <c r="M13" s="63"/>
      <c r="N13" s="63"/>
      <c r="O13" s="64">
        <f>'Energie Énergie'!H20</f>
        <v>0.299</v>
      </c>
      <c r="P13" s="63"/>
      <c r="Q13" s="63"/>
      <c r="R13" s="64">
        <f>'Energie Énergie'!J20</f>
        <v>0.13</v>
      </c>
      <c r="S13" s="63"/>
      <c r="T13" s="63"/>
      <c r="U13" s="2" t="str">
        <f>'Energie Énergie'!D20</f>
        <v>kWh</v>
      </c>
      <c r="V13" s="2" t="str">
        <f>VLOOKUP('Energie Énergie'!C20,RefDimensions!A$2:B$16,2,false)</f>
        <v>finalEnergy</v>
      </c>
      <c r="W13" s="66"/>
      <c r="X13" s="2" t="str">
        <f t="shared" si="3"/>
        <v>41.009</v>
      </c>
      <c r="Y13" s="7" t="s">
        <v>203</v>
      </c>
      <c r="Z13" s="414">
        <v>60.0</v>
      </c>
      <c r="AA13" s="67" t="str">
        <f t="shared" si="4"/>
        <v>Alle &gt; RESSOURCEN &gt; kbob.admin.ch &gt; KBOB / ecobau / IPB 2009/1:2016</v>
      </c>
    </row>
    <row r="14">
      <c r="A14" s="55" t="str">
        <f>'Energie Énergie'!A21 &amp; " " &amp; 'Energie Énergie'!B21 &amp; " (KBOB.2016)"</f>
        <v>42 Fernwärme (KBOB.2016)</v>
      </c>
      <c r="B14" s="2" t="str">
        <f t="shared" si="1"/>
        <v>42 Fernwärme (KBOB.2016)</v>
      </c>
      <c r="C14" s="2"/>
      <c r="D14" s="2"/>
      <c r="E14" s="2"/>
      <c r="F14" s="2" t="s">
        <v>186</v>
      </c>
      <c r="G14" s="2" t="str">
        <f t="shared" si="2"/>
        <v>OTHER_RESOURCE_ENERGY_DISTRICT_HEAT</v>
      </c>
      <c r="H14" s="63"/>
      <c r="I14" s="64" t="str">
        <f>'Energie Énergie'!E21</f>
        <v/>
      </c>
      <c r="J14" s="64"/>
      <c r="K14" s="64"/>
      <c r="L14" s="64" t="str">
        <f>'Energie Énergie'!G21</f>
        <v/>
      </c>
      <c r="M14" s="63"/>
      <c r="N14" s="63"/>
      <c r="O14" s="64" t="str">
        <f>'Energie Énergie'!H21</f>
        <v/>
      </c>
      <c r="P14" s="63"/>
      <c r="Q14" s="63"/>
      <c r="R14" s="64" t="str">
        <f>'Energie Énergie'!J21</f>
        <v/>
      </c>
      <c r="S14" s="63"/>
      <c r="T14" s="63"/>
      <c r="U14" s="2" t="str">
        <f>'Energie Énergie'!D21</f>
        <v/>
      </c>
      <c r="V14" s="2" t="str">
        <f>VLOOKUP('Energie Énergie'!C21,RefDimensions!A$2:B$16,2,false)</f>
        <v>#N/A</v>
      </c>
      <c r="W14" s="66"/>
      <c r="X14" s="2" t="str">
        <f t="shared" si="3"/>
        <v>42 Fer</v>
      </c>
      <c r="Y14" s="7" t="s">
        <v>203</v>
      </c>
      <c r="Z14" s="414">
        <v>60.0</v>
      </c>
      <c r="AA14" s="67" t="str">
        <f t="shared" si="4"/>
        <v>Alle &gt; RESSOURCEN &gt; kbob.admin.ch &gt; KBOB / ecobau / IPB 2009/1:2016</v>
      </c>
    </row>
    <row r="15">
      <c r="A15" s="55" t="str">
        <f>'Energie Énergie'!A22 &amp; " " &amp; 'Energie Énergie'!B22 &amp; " (KBOB.2016)"</f>
        <v>42.001 Heizzentrale Oel (KBOB.2016)</v>
      </c>
      <c r="B15" s="2" t="str">
        <f t="shared" si="1"/>
        <v>42.001 Heizzentrale Oel (KBOB.2016)</v>
      </c>
      <c r="C15" s="2"/>
      <c r="D15" s="2"/>
      <c r="E15" s="2"/>
      <c r="F15" s="2" t="s">
        <v>186</v>
      </c>
      <c r="G15" s="2" t="str">
        <f t="shared" si="2"/>
        <v>OTHER_RESOURCE_ENERGY_DISTRICT_HEAT</v>
      </c>
      <c r="H15" s="63"/>
      <c r="I15" s="64">
        <f>'Energie Énergie'!E22</f>
        <v>341</v>
      </c>
      <c r="J15" s="64"/>
      <c r="K15" s="64"/>
      <c r="L15" s="64">
        <f>'Energie Énergie'!G22</f>
        <v>0.0155</v>
      </c>
      <c r="M15" s="63"/>
      <c r="N15" s="63"/>
      <c r="O15" s="64">
        <f>'Energie Énergie'!H22</f>
        <v>1.68</v>
      </c>
      <c r="P15" s="63"/>
      <c r="Q15" s="63"/>
      <c r="R15" s="64">
        <f>'Energie Énergie'!J22</f>
        <v>0.408</v>
      </c>
      <c r="S15" s="63"/>
      <c r="T15" s="63"/>
      <c r="U15" s="2" t="str">
        <f>'Energie Énergie'!D22</f>
        <v>kWh</v>
      </c>
      <c r="V15" s="2" t="str">
        <f>VLOOKUP('Energie Énergie'!C22,RefDimensions!A$2:B$16,2,false)</f>
        <v>finalEnergy</v>
      </c>
      <c r="W15" s="66"/>
      <c r="X15" s="2" t="str">
        <f t="shared" si="3"/>
        <v>42.001</v>
      </c>
      <c r="Y15" s="7" t="s">
        <v>203</v>
      </c>
      <c r="Z15" s="414">
        <v>60.0</v>
      </c>
      <c r="AA15" s="67" t="str">
        <f t="shared" si="4"/>
        <v>Alle &gt; RESSOURCEN &gt; kbob.admin.ch &gt; KBOB / ecobau / IPB 2009/1:2016</v>
      </c>
    </row>
    <row r="16">
      <c r="A16" s="55" t="str">
        <f>'Energie Énergie'!A23 &amp; " " &amp; 'Energie Énergie'!B23 &amp; " (KBOB.2016)"</f>
        <v>42.002 Heizzentrale Gas (KBOB.2016)</v>
      </c>
      <c r="B16" s="2" t="str">
        <f t="shared" si="1"/>
        <v>42.002 Heizzentrale Gas (KBOB.2016)</v>
      </c>
      <c r="C16" s="2"/>
      <c r="D16" s="2"/>
      <c r="E16" s="2"/>
      <c r="F16" s="2" t="s">
        <v>186</v>
      </c>
      <c r="G16" s="2" t="str">
        <f t="shared" si="2"/>
        <v>OTHER_RESOURCE_ENERGY_DISTRICT_HEAT</v>
      </c>
      <c r="H16" s="63"/>
      <c r="I16" s="64">
        <f>'Energie Énergie'!E23</f>
        <v>194</v>
      </c>
      <c r="J16" s="64"/>
      <c r="K16" s="64"/>
      <c r="L16" s="64">
        <f>'Energie Énergie'!G23</f>
        <v>0.0147</v>
      </c>
      <c r="M16" s="63"/>
      <c r="N16" s="63"/>
      <c r="O16" s="64">
        <f>'Energie Énergie'!H23</f>
        <v>1.51</v>
      </c>
      <c r="P16" s="63"/>
      <c r="Q16" s="63"/>
      <c r="R16" s="64">
        <f>'Energie Énergie'!J23</f>
        <v>0.314</v>
      </c>
      <c r="S16" s="63"/>
      <c r="T16" s="63"/>
      <c r="U16" s="2" t="str">
        <f>'Energie Énergie'!D23</f>
        <v>kWh</v>
      </c>
      <c r="V16" s="2" t="str">
        <f>VLOOKUP('Energie Énergie'!C23,RefDimensions!A$2:B$16,2,false)</f>
        <v>finalEnergy</v>
      </c>
      <c r="W16" s="66"/>
      <c r="X16" s="2" t="str">
        <f t="shared" si="3"/>
        <v>42.002</v>
      </c>
      <c r="Y16" s="7" t="s">
        <v>203</v>
      </c>
      <c r="Z16" s="414">
        <v>60.0</v>
      </c>
      <c r="AA16" s="67" t="str">
        <f t="shared" si="4"/>
        <v>Alle &gt; RESSOURCEN &gt; kbob.admin.ch &gt; KBOB / ecobau / IPB 2009/1:2016</v>
      </c>
    </row>
    <row r="17">
      <c r="A17" s="55" t="str">
        <f>'Energie Énergie'!A24 &amp; " " &amp; 'Energie Énergie'!B24 &amp; " (KBOB.2016)"</f>
        <v>42.003 Heizzentrale Holz (KBOB.2016)</v>
      </c>
      <c r="B17" s="2" t="str">
        <f t="shared" si="1"/>
        <v>42.003 Heizzentrale Holz (KBOB.2016)</v>
      </c>
      <c r="C17" s="2"/>
      <c r="D17" s="2"/>
      <c r="E17" s="2"/>
      <c r="F17" s="2" t="s">
        <v>186</v>
      </c>
      <c r="G17" s="2" t="str">
        <f t="shared" si="2"/>
        <v>OTHER_RESOURCE_ENERGY_DISTRICT_HEAT</v>
      </c>
      <c r="H17" s="63"/>
      <c r="I17" s="64">
        <f>'Energie Énergie'!E24</f>
        <v>120</v>
      </c>
      <c r="J17" s="64"/>
      <c r="K17" s="64"/>
      <c r="L17" s="64">
        <f>'Energie Énergie'!G24</f>
        <v>1.58</v>
      </c>
      <c r="M17" s="63"/>
      <c r="N17" s="63"/>
      <c r="O17" s="64">
        <f>'Energie Énergie'!H24</f>
        <v>0.143</v>
      </c>
      <c r="P17" s="63"/>
      <c r="Q17" s="63"/>
      <c r="R17" s="64">
        <f>'Energie Énergie'!J24</f>
        <v>0.0496</v>
      </c>
      <c r="S17" s="63"/>
      <c r="T17" s="63"/>
      <c r="U17" s="2" t="str">
        <f>'Energie Énergie'!D24</f>
        <v>kWh</v>
      </c>
      <c r="V17" s="2" t="str">
        <f>VLOOKUP('Energie Énergie'!C24,RefDimensions!A$2:B$16,2,false)</f>
        <v>finalEnergy</v>
      </c>
      <c r="W17" s="66"/>
      <c r="X17" s="2" t="str">
        <f t="shared" si="3"/>
        <v>42.003</v>
      </c>
      <c r="Y17" s="7" t="s">
        <v>203</v>
      </c>
      <c r="Z17" s="414">
        <v>60.0</v>
      </c>
      <c r="AA17" s="67" t="str">
        <f t="shared" si="4"/>
        <v>Alle &gt; RESSOURCEN &gt; kbob.admin.ch &gt; KBOB / ecobau / IPB 2009/1:2016</v>
      </c>
    </row>
    <row r="18">
      <c r="A18" s="55" t="str">
        <f>'Energie Énergie'!A25 &amp; " " &amp; 'Energie Énergie'!B25 &amp; " (KBOB.2016)"</f>
        <v>42.004 Heizkraftwerk Holz (KBOB.2016)</v>
      </c>
      <c r="B18" s="2" t="str">
        <f t="shared" si="1"/>
        <v>42.004 Heizkraftwerk Holz (KBOB.2016)</v>
      </c>
      <c r="C18" s="2"/>
      <c r="D18" s="2"/>
      <c r="E18" s="2"/>
      <c r="F18" s="2" t="s">
        <v>186</v>
      </c>
      <c r="G18" s="2" t="str">
        <f t="shared" si="2"/>
        <v>OTHER_RESOURCE_ENERGY_DISTRICT_HEAT</v>
      </c>
      <c r="H18" s="63"/>
      <c r="I18" s="64">
        <f>'Energie Énergie'!E25</f>
        <v>102</v>
      </c>
      <c r="J18" s="64"/>
      <c r="K18" s="64"/>
      <c r="L18" s="64">
        <f>'Energie Énergie'!G25</f>
        <v>1.33</v>
      </c>
      <c r="M18" s="63"/>
      <c r="N18" s="63"/>
      <c r="O18" s="64">
        <f>'Energie Énergie'!H25</f>
        <v>0.128</v>
      </c>
      <c r="P18" s="63"/>
      <c r="Q18" s="63"/>
      <c r="R18" s="64">
        <f>'Energie Énergie'!J25</f>
        <v>0.0423</v>
      </c>
      <c r="S18" s="63"/>
      <c r="T18" s="63"/>
      <c r="U18" s="2" t="str">
        <f>'Energie Énergie'!D25</f>
        <v>kWh</v>
      </c>
      <c r="V18" s="2" t="str">
        <f>VLOOKUP('Energie Énergie'!C25,RefDimensions!A$2:B$16,2,false)</f>
        <v>finalEnergy</v>
      </c>
      <c r="W18" s="66"/>
      <c r="X18" s="2" t="str">
        <f t="shared" si="3"/>
        <v>42.004</v>
      </c>
      <c r="Y18" s="7" t="s">
        <v>203</v>
      </c>
      <c r="Z18" s="414">
        <v>60.0</v>
      </c>
      <c r="AA18" s="67" t="str">
        <f t="shared" si="4"/>
        <v>Alle &gt; RESSOURCEN &gt; kbob.admin.ch &gt; KBOB / ecobau / IPB 2009/1:2016</v>
      </c>
    </row>
    <row r="19">
      <c r="A19" s="55" t="str">
        <f>'Energie Énergie'!A26 &amp; " " &amp; 'Energie Énergie'!B26 &amp; " (KBOB.2016)"</f>
        <v>42.005 Heizzentrale EWP Luft/Wasser (JAZ 2.8) (KBOB.2016)</v>
      </c>
      <c r="B19" s="2" t="str">
        <f t="shared" si="1"/>
        <v>42.005 Heizzentrale EWP Luft/Wasser (JAZ 2.8) (KBOB.2016)</v>
      </c>
      <c r="C19" s="2"/>
      <c r="D19" s="2"/>
      <c r="E19" s="2"/>
      <c r="F19" s="2" t="s">
        <v>186</v>
      </c>
      <c r="G19" s="2" t="str">
        <f t="shared" si="2"/>
        <v>OTHER_RESOURCE_ENERGY_DISTRICT_HEAT</v>
      </c>
      <c r="H19" s="63"/>
      <c r="I19" s="64">
        <f>'Energie Énergie'!E26</f>
        <v>186</v>
      </c>
      <c r="J19" s="64"/>
      <c r="K19" s="64"/>
      <c r="L19" s="64">
        <f>'Energie Énergie'!G26</f>
        <v>0.991</v>
      </c>
      <c r="M19" s="63"/>
      <c r="N19" s="63"/>
      <c r="O19" s="64">
        <f>'Energie Énergie'!H26</f>
        <v>1.14</v>
      </c>
      <c r="P19" s="63"/>
      <c r="Q19" s="63"/>
      <c r="R19" s="64">
        <f>'Energie Énergie'!J26</f>
        <v>0.078</v>
      </c>
      <c r="S19" s="63"/>
      <c r="T19" s="63"/>
      <c r="U19" s="2" t="str">
        <f>'Energie Énergie'!D26</f>
        <v>kWh</v>
      </c>
      <c r="V19" s="2" t="str">
        <f>VLOOKUP('Energie Énergie'!C26,RefDimensions!A$2:B$16,2,false)</f>
        <v>finalEnergy</v>
      </c>
      <c r="W19" s="66"/>
      <c r="X19" s="2" t="str">
        <f t="shared" si="3"/>
        <v>42.005</v>
      </c>
      <c r="Y19" s="7" t="s">
        <v>203</v>
      </c>
      <c r="Z19" s="414">
        <v>60.0</v>
      </c>
      <c r="AA19" s="67" t="str">
        <f t="shared" si="4"/>
        <v>Alle &gt; RESSOURCEN &gt; kbob.admin.ch &gt; KBOB / ecobau / IPB 2009/1:2016</v>
      </c>
    </row>
    <row r="20">
      <c r="A20" s="55" t="str">
        <f>'Energie Énergie'!A27 &amp; " " &amp; 'Energie Énergie'!B27 &amp; " (KBOB.2016)"</f>
        <v>42.006 Heizzentrale EWP Abwasser (JAZ 3.4) (KBOB.2016)</v>
      </c>
      <c r="B20" s="2" t="str">
        <f t="shared" si="1"/>
        <v>42.006 Heizzentrale EWP Abwasser (JAZ 3.4) (KBOB.2016)</v>
      </c>
      <c r="C20" s="2"/>
      <c r="D20" s="2"/>
      <c r="E20" s="2"/>
      <c r="F20" s="2" t="s">
        <v>186</v>
      </c>
      <c r="G20" s="2" t="str">
        <f t="shared" si="2"/>
        <v>OTHER_RESOURCE_ENERGY_DISTRICT_HEAT</v>
      </c>
      <c r="H20" s="63"/>
      <c r="I20" s="64">
        <f>'Energie Énergie'!E27</f>
        <v>124</v>
      </c>
      <c r="J20" s="64"/>
      <c r="K20" s="64"/>
      <c r="L20" s="64">
        <f>'Energie Énergie'!G27</f>
        <v>0.172</v>
      </c>
      <c r="M20" s="63"/>
      <c r="N20" s="63"/>
      <c r="O20" s="64">
        <f>'Energie Énergie'!H27</f>
        <v>0.894</v>
      </c>
      <c r="P20" s="63"/>
      <c r="Q20" s="63"/>
      <c r="R20" s="64">
        <f>'Energie Énergie'!J27</f>
        <v>0.0408</v>
      </c>
      <c r="S20" s="63"/>
      <c r="T20" s="63"/>
      <c r="U20" s="2" t="str">
        <f>'Energie Énergie'!D27</f>
        <v>kWh</v>
      </c>
      <c r="V20" s="2" t="str">
        <f>VLOOKUP('Energie Énergie'!C27,RefDimensions!A$2:B$16,2,false)</f>
        <v>finalEnergy</v>
      </c>
      <c r="W20" s="66"/>
      <c r="X20" s="2" t="str">
        <f t="shared" si="3"/>
        <v>42.006</v>
      </c>
      <c r="Y20" s="7" t="s">
        <v>203</v>
      </c>
      <c r="Z20" s="414">
        <v>60.0</v>
      </c>
      <c r="AA20" s="67" t="str">
        <f t="shared" si="4"/>
        <v>Alle &gt; RESSOURCEN &gt; kbob.admin.ch &gt; KBOB / ecobau / IPB 2009/1:2016</v>
      </c>
    </row>
    <row r="21">
      <c r="A21" s="55" t="str">
        <f>'Energie Énergie'!A28 &amp; " " &amp; 'Energie Énergie'!B28 &amp; " (KBOB.2016)"</f>
        <v>42.007 Heizzentrale EWP Grundwasser (JAZ 3.4) (KBOB.2016)</v>
      </c>
      <c r="B21" s="2" t="str">
        <f t="shared" si="1"/>
        <v>42.007 Heizzentrale EWP Grundwasser (JAZ 3.4) (KBOB.2016)</v>
      </c>
      <c r="C21" s="2"/>
      <c r="D21" s="2"/>
      <c r="E21" s="2"/>
      <c r="F21" s="2" t="s">
        <v>186</v>
      </c>
      <c r="G21" s="2" t="str">
        <f t="shared" si="2"/>
        <v>OTHER_RESOURCE_ENERGY_DISTRICT_HEAT</v>
      </c>
      <c r="H21" s="63"/>
      <c r="I21" s="64">
        <f>'Energie Énergie'!E28</f>
        <v>155</v>
      </c>
      <c r="J21" s="64"/>
      <c r="K21" s="64"/>
      <c r="L21" s="64">
        <f>'Energie Énergie'!G28</f>
        <v>1.03</v>
      </c>
      <c r="M21" s="63"/>
      <c r="N21" s="63"/>
      <c r="O21" s="64">
        <f>'Energie Énergie'!H28</f>
        <v>0.963</v>
      </c>
      <c r="P21" s="63"/>
      <c r="Q21" s="63"/>
      <c r="R21" s="64">
        <f>'Energie Énergie'!J28</f>
        <v>0.062</v>
      </c>
      <c r="S21" s="63"/>
      <c r="T21" s="63"/>
      <c r="U21" s="2" t="str">
        <f>'Energie Énergie'!D28</f>
        <v>kWh</v>
      </c>
      <c r="V21" s="2" t="str">
        <f>VLOOKUP('Energie Énergie'!C28,RefDimensions!A$2:B$16,2,false)</f>
        <v>finalEnergy</v>
      </c>
      <c r="W21" s="66"/>
      <c r="X21" s="2" t="str">
        <f t="shared" si="3"/>
        <v>42.007</v>
      </c>
      <c r="Y21" s="7" t="s">
        <v>203</v>
      </c>
      <c r="Z21" s="414">
        <v>60.0</v>
      </c>
      <c r="AA21" s="67" t="str">
        <f t="shared" si="4"/>
        <v>Alle &gt; RESSOURCEN &gt; kbob.admin.ch &gt; KBOB / ecobau / IPB 2009/1:2016</v>
      </c>
    </row>
    <row r="22">
      <c r="A22" s="55" t="str">
        <f>'Energie Énergie'!A29 &amp; " " &amp; 'Energie Énergie'!B29 &amp; " (KBOB.2016)"</f>
        <v>42.008 Heizzentrale EWP Erdsonde (JAZ 3.9) (KBOB.2016)</v>
      </c>
      <c r="B22" s="2" t="str">
        <f t="shared" si="1"/>
        <v>42.008 Heizzentrale EWP Erdsonde (JAZ 3.9) (KBOB.2016)</v>
      </c>
      <c r="C22" s="2"/>
      <c r="D22" s="2"/>
      <c r="E22" s="2"/>
      <c r="F22" s="2" t="s">
        <v>186</v>
      </c>
      <c r="G22" s="2" t="str">
        <f t="shared" si="2"/>
        <v>OTHER_RESOURCE_ENERGY_DISTRICT_HEAT</v>
      </c>
      <c r="H22" s="63"/>
      <c r="I22" s="64">
        <f>'Energie Énergie'!E29</f>
        <v>139</v>
      </c>
      <c r="J22" s="64"/>
      <c r="K22" s="64"/>
      <c r="L22" s="64">
        <f>'Energie Énergie'!G29</f>
        <v>1.05</v>
      </c>
      <c r="M22" s="63"/>
      <c r="N22" s="63"/>
      <c r="O22" s="64">
        <f>'Energie Énergie'!H29</f>
        <v>0.849</v>
      </c>
      <c r="P22" s="63"/>
      <c r="Q22" s="63"/>
      <c r="R22" s="64">
        <f>'Energie Énergie'!J29</f>
        <v>0.0574</v>
      </c>
      <c r="S22" s="63"/>
      <c r="T22" s="63"/>
      <c r="U22" s="2" t="str">
        <f>'Energie Énergie'!D29</f>
        <v>kWh</v>
      </c>
      <c r="V22" s="2" t="str">
        <f>VLOOKUP('Energie Énergie'!C29,RefDimensions!A$2:B$16,2,false)</f>
        <v>finalEnergy</v>
      </c>
      <c r="W22" s="66"/>
      <c r="X22" s="2" t="str">
        <f t="shared" si="3"/>
        <v>42.008</v>
      </c>
      <c r="Y22" s="7" t="s">
        <v>203</v>
      </c>
      <c r="Z22" s="414">
        <v>60.0</v>
      </c>
      <c r="AA22" s="67" t="str">
        <f t="shared" si="4"/>
        <v>Alle &gt; RESSOURCEN &gt; kbob.admin.ch &gt; KBOB / ecobau / IPB 2009/1:2016</v>
      </c>
    </row>
    <row r="23">
      <c r="A23" s="55" t="str">
        <f>'Energie Énergie'!A30 &amp; " " &amp; 'Energie Énergie'!B30 &amp; " (KBOB.2016)"</f>
        <v>42.009 Heizzentrale Geothermie (KBOB.2016)</v>
      </c>
      <c r="B23" s="2" t="str">
        <f t="shared" si="1"/>
        <v>42.009 Heizzentrale Geothermie (KBOB.2016)</v>
      </c>
      <c r="C23" s="2"/>
      <c r="D23" s="2"/>
      <c r="E23" s="2"/>
      <c r="F23" s="2" t="s">
        <v>186</v>
      </c>
      <c r="G23" s="2" t="str">
        <f t="shared" si="2"/>
        <v>OTHER_RESOURCE_ENERGY_DISTRICT_HEAT</v>
      </c>
      <c r="H23" s="63"/>
      <c r="I23" s="64">
        <f>'Energie Énergie'!E30</f>
        <v>67.3</v>
      </c>
      <c r="J23" s="64"/>
      <c r="K23" s="64"/>
      <c r="L23" s="64">
        <f>'Energie Énergie'!G30</f>
        <v>1.36</v>
      </c>
      <c r="M23" s="63"/>
      <c r="N23" s="63"/>
      <c r="O23" s="64">
        <f>'Energie Énergie'!H30</f>
        <v>0.162</v>
      </c>
      <c r="P23" s="63"/>
      <c r="Q23" s="63"/>
      <c r="R23" s="64">
        <f>'Energie Énergie'!J30</f>
        <v>0.0207</v>
      </c>
      <c r="S23" s="63"/>
      <c r="T23" s="63"/>
      <c r="U23" s="2" t="str">
        <f>'Energie Énergie'!D30</f>
        <v>kWh</v>
      </c>
      <c r="V23" s="2" t="str">
        <f>VLOOKUP('Energie Énergie'!C30,RefDimensions!A$2:B$16,2,false)</f>
        <v>finalEnergy</v>
      </c>
      <c r="W23" s="66"/>
      <c r="X23" s="2" t="str">
        <f t="shared" si="3"/>
        <v>42.009</v>
      </c>
      <c r="Y23" s="7" t="s">
        <v>203</v>
      </c>
      <c r="Z23" s="414">
        <v>60.0</v>
      </c>
      <c r="AA23" s="67" t="str">
        <f t="shared" si="4"/>
        <v>Alle &gt; RESSOURCEN &gt; kbob.admin.ch &gt; KBOB / ecobau / IPB 2009/1:2016</v>
      </c>
    </row>
    <row r="24">
      <c r="A24" s="55" t="str">
        <f>'Energie Énergie'!A31 &amp; " " &amp; 'Energie Énergie'!B31 &amp; " (KBOB.2016)"</f>
        <v>42.010 Heizkraftwerk Geothermie (KBOB.2016)</v>
      </c>
      <c r="B24" s="2" t="str">
        <f t="shared" si="1"/>
        <v>42.010 Heizkraftwerk Geothermie (KBOB.2016)</v>
      </c>
      <c r="C24" s="2"/>
      <c r="D24" s="2"/>
      <c r="E24" s="2"/>
      <c r="F24" s="2" t="s">
        <v>186</v>
      </c>
      <c r="G24" s="2" t="str">
        <f t="shared" si="2"/>
        <v>OTHER_RESOURCE_ENERGY_DISTRICT_HEAT</v>
      </c>
      <c r="H24" s="63"/>
      <c r="I24" s="64">
        <f>'Energie Énergie'!E31</f>
        <v>47.6</v>
      </c>
      <c r="J24" s="64"/>
      <c r="K24" s="64"/>
      <c r="L24" s="64">
        <f>'Energie Énergie'!G31</f>
        <v>0.465</v>
      </c>
      <c r="M24" s="63"/>
      <c r="N24" s="63"/>
      <c r="O24" s="64">
        <f>'Energie Énergie'!H31</f>
        <v>0.125</v>
      </c>
      <c r="P24" s="63"/>
      <c r="Q24" s="63"/>
      <c r="R24" s="64">
        <f>'Energie Énergie'!J31</f>
        <v>0.0148</v>
      </c>
      <c r="S24" s="63"/>
      <c r="T24" s="63"/>
      <c r="U24" s="2" t="str">
        <f>'Energie Énergie'!D31</f>
        <v>kWh</v>
      </c>
      <c r="V24" s="2" t="str">
        <f>VLOOKUP('Energie Énergie'!C31,RefDimensions!A$2:B$16,2,false)</f>
        <v>finalEnergy</v>
      </c>
      <c r="W24" s="66"/>
      <c r="X24" s="2" t="str">
        <f t="shared" si="3"/>
        <v>42.010</v>
      </c>
      <c r="Y24" s="7" t="s">
        <v>203</v>
      </c>
      <c r="Z24" s="414">
        <v>60.0</v>
      </c>
      <c r="AA24" s="67" t="str">
        <f t="shared" si="4"/>
        <v>Alle &gt; RESSOURCEN &gt; kbob.admin.ch &gt; KBOB / ecobau / IPB 2009/1:2016</v>
      </c>
    </row>
    <row r="25">
      <c r="A25" s="55" t="str">
        <f>'Energie Énergie'!A32 &amp; " " &amp; 'Energie Énergie'!B32 &amp; " (KBOB.2016)"</f>
        <v>42.011 Kehrichtverbrennung (KBOB.2016)</v>
      </c>
      <c r="B25" s="2" t="str">
        <f t="shared" si="1"/>
        <v>42.011 Kehrichtverbrennung (KBOB.2016)</v>
      </c>
      <c r="C25" s="2"/>
      <c r="D25" s="2"/>
      <c r="E25" s="2"/>
      <c r="F25" s="2" t="s">
        <v>186</v>
      </c>
      <c r="G25" s="2" t="str">
        <f t="shared" si="2"/>
        <v>OTHER_RESOURCE_ENERGY_DISTRICT_HEAT</v>
      </c>
      <c r="H25" s="63"/>
      <c r="I25" s="64">
        <f>'Energie Énergie'!E32</f>
        <v>7.31</v>
      </c>
      <c r="J25" s="64"/>
      <c r="K25" s="64"/>
      <c r="L25" s="64">
        <f>'Energie Énergie'!G32</f>
        <v>0.00931</v>
      </c>
      <c r="M25" s="63"/>
      <c r="N25" s="63"/>
      <c r="O25" s="64">
        <f>'Energie Énergie'!H32</f>
        <v>0.0504</v>
      </c>
      <c r="P25" s="63"/>
      <c r="Q25" s="63"/>
      <c r="R25" s="64">
        <f>'Energie Énergie'!J32</f>
        <v>0.0027</v>
      </c>
      <c r="S25" s="63"/>
      <c r="T25" s="63"/>
      <c r="U25" s="2" t="str">
        <f>'Energie Énergie'!D32</f>
        <v>kWh</v>
      </c>
      <c r="V25" s="2" t="str">
        <f>VLOOKUP('Energie Énergie'!C32,RefDimensions!A$2:B$16,2,false)</f>
        <v>finalEnergy</v>
      </c>
      <c r="W25" s="66"/>
      <c r="X25" s="2" t="str">
        <f t="shared" si="3"/>
        <v>42.011</v>
      </c>
      <c r="Y25" s="7" t="s">
        <v>203</v>
      </c>
      <c r="Z25" s="414">
        <v>60.0</v>
      </c>
      <c r="AA25" s="67" t="str">
        <f t="shared" si="4"/>
        <v>Alle &gt; RESSOURCEN &gt; kbob.admin.ch &gt; KBOB / ecobau / IPB 2009/1:2016</v>
      </c>
    </row>
    <row r="26">
      <c r="A26" s="55" t="str">
        <f>'Energie Énergie'!A33 &amp; " " &amp; 'Energie Énergie'!B33 &amp; " (KBOB.2016)"</f>
        <v>42.012 Blockheizkraftwerk Diesel (KBOB.2016)</v>
      </c>
      <c r="B26" s="2" t="str">
        <f t="shared" si="1"/>
        <v>42.012 Blockheizkraftwerk Diesel (KBOB.2016)</v>
      </c>
      <c r="C26" s="2"/>
      <c r="D26" s="2"/>
      <c r="E26" s="2"/>
      <c r="F26" s="2" t="s">
        <v>186</v>
      </c>
      <c r="G26" s="2" t="str">
        <f t="shared" si="2"/>
        <v>OTHER_RESOURCE_ENERGY_DISTRICT_HEAT</v>
      </c>
      <c r="H26" s="63"/>
      <c r="I26" s="64">
        <f>'Energie Énergie'!E33</f>
        <v>120</v>
      </c>
      <c r="J26" s="64"/>
      <c r="K26" s="64"/>
      <c r="L26" s="64">
        <f>'Energie Énergie'!G33</f>
        <v>0.0115</v>
      </c>
      <c r="M26" s="63"/>
      <c r="N26" s="63"/>
      <c r="O26" s="64">
        <f>'Energie Énergie'!H33</f>
        <v>0.617</v>
      </c>
      <c r="P26" s="63"/>
      <c r="Q26" s="63"/>
      <c r="R26" s="64">
        <f>'Energie Énergie'!J33</f>
        <v>0.145</v>
      </c>
      <c r="S26" s="63"/>
      <c r="T26" s="63"/>
      <c r="U26" s="2" t="str">
        <f>'Energie Énergie'!D33</f>
        <v>kWh</v>
      </c>
      <c r="V26" s="2" t="str">
        <f>VLOOKUP('Energie Énergie'!C33,RefDimensions!A$2:B$16,2,false)</f>
        <v>finalEnergy</v>
      </c>
      <c r="W26" s="66"/>
      <c r="X26" s="2" t="str">
        <f t="shared" si="3"/>
        <v>42.012</v>
      </c>
      <c r="Y26" s="7" t="s">
        <v>203</v>
      </c>
      <c r="Z26" s="414">
        <v>60.0</v>
      </c>
      <c r="AA26" s="67" t="str">
        <f t="shared" si="4"/>
        <v>Alle &gt; RESSOURCEN &gt; kbob.admin.ch &gt; KBOB / ecobau / IPB 2009/1:2016</v>
      </c>
    </row>
    <row r="27">
      <c r="A27" s="55" t="str">
        <f>'Energie Énergie'!A34 &amp; " " &amp; 'Energie Énergie'!B34 &amp; " (KBOB.2016)"</f>
        <v>42.013 Blockheizkraftwerk Gas (KBOB.2016)</v>
      </c>
      <c r="B27" s="2" t="str">
        <f t="shared" si="1"/>
        <v>42.013 Blockheizkraftwerk Gas (KBOB.2016)</v>
      </c>
      <c r="C27" s="2"/>
      <c r="D27" s="2"/>
      <c r="E27" s="2"/>
      <c r="F27" s="2" t="s">
        <v>186</v>
      </c>
      <c r="G27" s="2" t="str">
        <f t="shared" si="2"/>
        <v>OTHER_RESOURCE_ENERGY_DISTRICT_HEAT</v>
      </c>
      <c r="H27" s="63"/>
      <c r="I27" s="64">
        <f>'Energie Énergie'!E34</f>
        <v>84</v>
      </c>
      <c r="J27" s="64"/>
      <c r="K27" s="64"/>
      <c r="L27" s="64">
        <f>'Energie Énergie'!G34</f>
        <v>0.0105</v>
      </c>
      <c r="M27" s="63"/>
      <c r="N27" s="63"/>
      <c r="O27" s="64">
        <f>'Energie Énergie'!H34</f>
        <v>0.596</v>
      </c>
      <c r="P27" s="63"/>
      <c r="Q27" s="63"/>
      <c r="R27" s="64">
        <f>'Energie Énergie'!J34</f>
        <v>0.127</v>
      </c>
      <c r="S27" s="63"/>
      <c r="T27" s="63"/>
      <c r="U27" s="2" t="str">
        <f>'Energie Énergie'!D34</f>
        <v>kWh</v>
      </c>
      <c r="V27" s="2" t="str">
        <f>VLOOKUP('Energie Énergie'!C34,RefDimensions!A$2:B$16,2,false)</f>
        <v>finalEnergy</v>
      </c>
      <c r="W27" s="66"/>
      <c r="X27" s="2" t="str">
        <f t="shared" si="3"/>
        <v>42.013</v>
      </c>
      <c r="Y27" s="7" t="s">
        <v>203</v>
      </c>
      <c r="Z27" s="414">
        <v>60.0</v>
      </c>
      <c r="AA27" s="67" t="str">
        <f t="shared" si="4"/>
        <v>Alle &gt; RESSOURCEN &gt; kbob.admin.ch &gt; KBOB / ecobau / IPB 2009/1:2016</v>
      </c>
    </row>
    <row r="28">
      <c r="A28" s="55" t="str">
        <f>'Energie Énergie'!A35 &amp; " " &amp; 'Energie Énergie'!B35 &amp; " (KBOB.2016)"</f>
        <v>42.014 Blockheizkraftwerk Biogas (KBOB.2016)</v>
      </c>
      <c r="B28" s="2" t="str">
        <f t="shared" si="1"/>
        <v>42.014 Blockheizkraftwerk Biogas (KBOB.2016)</v>
      </c>
      <c r="C28" s="2"/>
      <c r="D28" s="2"/>
      <c r="E28" s="2"/>
      <c r="F28" s="2" t="s">
        <v>186</v>
      </c>
      <c r="G28" s="2" t="str">
        <f t="shared" si="2"/>
        <v>OTHER_RESOURCE_ENERGY_DISTRICT_HEAT</v>
      </c>
      <c r="H28" s="63"/>
      <c r="I28" s="64">
        <f>'Energie Énergie'!E35</f>
        <v>72.9</v>
      </c>
      <c r="J28" s="64"/>
      <c r="K28" s="64"/>
      <c r="L28" s="64">
        <f>'Energie Énergie'!G35</f>
        <v>0.0257</v>
      </c>
      <c r="M28" s="63"/>
      <c r="N28" s="63"/>
      <c r="O28" s="64">
        <f>'Energie Énergie'!H35</f>
        <v>0.207</v>
      </c>
      <c r="P28" s="63"/>
      <c r="Q28" s="63"/>
      <c r="R28" s="64">
        <f>'Energie Énergie'!J35</f>
        <v>0.0785</v>
      </c>
      <c r="S28" s="63"/>
      <c r="T28" s="63"/>
      <c r="U28" s="2" t="str">
        <f>'Energie Énergie'!D35</f>
        <v>kWh</v>
      </c>
      <c r="V28" s="2" t="str">
        <f>VLOOKUP('Energie Énergie'!C35,RefDimensions!A$2:B$16,2,false)</f>
        <v>finalEnergy</v>
      </c>
      <c r="W28" s="66"/>
      <c r="X28" s="2" t="str">
        <f t="shared" si="3"/>
        <v>42.014</v>
      </c>
      <c r="Y28" s="7" t="s">
        <v>203</v>
      </c>
      <c r="Z28" s="414">
        <v>60.0</v>
      </c>
      <c r="AA28" s="67" t="str">
        <f t="shared" si="4"/>
        <v>Alle &gt; RESSOURCEN &gt; kbob.admin.ch &gt; KBOB / ecobau / IPB 2009/1:2016</v>
      </c>
    </row>
    <row r="29">
      <c r="A29" s="55" t="str">
        <f>'Energie Énergie'!A36 &amp; " " &amp; 'Energie Énergie'!B36 &amp; " (KBOB.2016)"</f>
        <v>42.015 Blockheizkraftwerk Biogas, Landwirtschaft (KBOB.2016)</v>
      </c>
      <c r="B29" s="2" t="str">
        <f t="shared" si="1"/>
        <v>42.015 Blockheizkraftwerk Biogas, Landwirtschaft (KBOB.2016)</v>
      </c>
      <c r="C29" s="2"/>
      <c r="D29" s="2"/>
      <c r="E29" s="2"/>
      <c r="F29" s="2" t="s">
        <v>186</v>
      </c>
      <c r="G29" s="2" t="str">
        <f t="shared" si="2"/>
        <v>OTHER_RESOURCE_ENERGY_DISTRICT_HEAT</v>
      </c>
      <c r="H29" s="63"/>
      <c r="I29" s="64">
        <f>'Energie Énergie'!E36</f>
        <v>28.2</v>
      </c>
      <c r="J29" s="64"/>
      <c r="K29" s="64"/>
      <c r="L29" s="64">
        <f>'Energie Énergie'!G36</f>
        <v>0.0135</v>
      </c>
      <c r="M29" s="63"/>
      <c r="N29" s="63"/>
      <c r="O29" s="64">
        <f>'Energie Énergie'!H36</f>
        <v>0.0667</v>
      </c>
      <c r="P29" s="63"/>
      <c r="Q29" s="63"/>
      <c r="R29" s="64">
        <f>'Energie Énergie'!J36</f>
        <v>0.0205</v>
      </c>
      <c r="S29" s="63"/>
      <c r="T29" s="63"/>
      <c r="U29" s="2" t="str">
        <f>'Energie Énergie'!D36</f>
        <v>kWh</v>
      </c>
      <c r="V29" s="2" t="str">
        <f>VLOOKUP('Energie Énergie'!C36,RefDimensions!A$2:B$16,2,false)</f>
        <v>finalEnergy</v>
      </c>
      <c r="W29" s="66"/>
      <c r="X29" s="2" t="str">
        <f t="shared" si="3"/>
        <v>42.015</v>
      </c>
      <c r="Y29" s="7" t="s">
        <v>203</v>
      </c>
      <c r="Z29" s="414">
        <v>60.0</v>
      </c>
      <c r="AA29" s="67" t="str">
        <f t="shared" si="4"/>
        <v>Alle &gt; RESSOURCEN &gt; kbob.admin.ch &gt; KBOB / ecobau / IPB 2009/1:2016</v>
      </c>
    </row>
    <row r="30">
      <c r="A30" s="55" t="str">
        <f>'Energie Énergie'!A37 &amp; " " &amp; 'Energie Énergie'!B37 &amp; " (KBOB.2016)"</f>
        <v>42.016 Fernwärme Durchschnitt Netze CH (KBOB.2016)</v>
      </c>
      <c r="B30" s="2" t="str">
        <f t="shared" si="1"/>
        <v>42.016 Fernwärme Durchschnitt Netze CH (KBOB.2016)</v>
      </c>
      <c r="C30" s="2"/>
      <c r="D30" s="2"/>
      <c r="E30" s="2"/>
      <c r="F30" s="2" t="s">
        <v>186</v>
      </c>
      <c r="G30" s="2" t="str">
        <f t="shared" si="2"/>
        <v>OTHER_RESOURCE_ENERGY_DISTRICT_HEAT</v>
      </c>
      <c r="H30" s="63"/>
      <c r="I30" s="64">
        <f>'Energie Énergie'!E37</f>
        <v>92.9</v>
      </c>
      <c r="J30" s="64"/>
      <c r="K30" s="64"/>
      <c r="L30" s="64">
        <f>'Energie Énergie'!G37</f>
        <v>0.326</v>
      </c>
      <c r="M30" s="63"/>
      <c r="N30" s="63"/>
      <c r="O30" s="64">
        <f>'Energie Énergie'!H37</f>
        <v>0.549</v>
      </c>
      <c r="P30" s="63"/>
      <c r="Q30" s="63"/>
      <c r="R30" s="64">
        <f>'Energie Énergie'!J37</f>
        <v>0.108</v>
      </c>
      <c r="S30" s="63"/>
      <c r="T30" s="63"/>
      <c r="U30" s="2" t="str">
        <f>'Energie Énergie'!D37</f>
        <v>kWh</v>
      </c>
      <c r="V30" s="2" t="str">
        <f>VLOOKUP('Energie Énergie'!C37,RefDimensions!A$2:B$16,2,false)</f>
        <v>finalEnergy</v>
      </c>
      <c r="W30" s="66"/>
      <c r="X30" s="2" t="str">
        <f t="shared" si="3"/>
        <v>42.016</v>
      </c>
      <c r="Y30" s="7" t="s">
        <v>203</v>
      </c>
      <c r="Z30" s="414">
        <v>60.0</v>
      </c>
      <c r="AA30" s="67" t="str">
        <f t="shared" si="4"/>
        <v>Alle &gt; RESSOURCEN &gt; kbob.admin.ch &gt; KBOB / ecobau / IPB 2009/1:2016</v>
      </c>
    </row>
    <row r="31">
      <c r="A31" s="55" t="str">
        <f>'Energie Énergie'!A38 &amp; " " &amp; 'Energie Énergie'!B38 &amp; " (KBOB.2016)"</f>
        <v>42.017 Fernwärme mit Nutzung Kehrichtwärme, Durchschnitt Netze CH (KBOB.2016)</v>
      </c>
      <c r="B31" s="2" t="str">
        <f t="shared" si="1"/>
        <v>42.017 Fernwärme mit Nutzung Kehrichtwärme, Durchschnitt Netze CH (KBOB.2016)</v>
      </c>
      <c r="C31" s="2"/>
      <c r="D31" s="2"/>
      <c r="E31" s="2"/>
      <c r="F31" s="2" t="s">
        <v>186</v>
      </c>
      <c r="G31" s="2" t="str">
        <f t="shared" si="2"/>
        <v>OTHER_RESOURCE_ENERGY_DISTRICT_HEAT</v>
      </c>
      <c r="H31" s="63"/>
      <c r="I31" s="64">
        <f>'Energie Énergie'!E38</f>
        <v>75.5</v>
      </c>
      <c r="J31" s="64"/>
      <c r="K31" s="64"/>
      <c r="L31" s="64">
        <f>'Energie Énergie'!G38</f>
        <v>0.264</v>
      </c>
      <c r="M31" s="63"/>
      <c r="N31" s="63"/>
      <c r="O31" s="64">
        <f>'Energie Énergie'!H38</f>
        <v>0.452</v>
      </c>
      <c r="P31" s="63"/>
      <c r="Q31" s="63"/>
      <c r="R31" s="64">
        <f>'Energie Énergie'!J38</f>
        <v>0.0888</v>
      </c>
      <c r="S31" s="63"/>
      <c r="T31" s="63"/>
      <c r="U31" s="2" t="str">
        <f>'Energie Énergie'!D38</f>
        <v>kWh</v>
      </c>
      <c r="V31" s="2" t="str">
        <f>VLOOKUP('Energie Énergie'!C38,RefDimensions!A$2:B$16,2,false)</f>
        <v>finalEnergy</v>
      </c>
      <c r="W31" s="66"/>
      <c r="X31" s="2" t="str">
        <f t="shared" si="3"/>
        <v>42.017</v>
      </c>
      <c r="Y31" s="7" t="s">
        <v>203</v>
      </c>
      <c r="Z31" s="414">
        <v>60.0</v>
      </c>
      <c r="AA31" s="67" t="str">
        <f t="shared" si="4"/>
        <v>Alle &gt; RESSOURCEN &gt; kbob.admin.ch &gt; KBOB / ecobau / IPB 2009/1:2016</v>
      </c>
    </row>
    <row r="32">
      <c r="A32" s="55" t="str">
        <f>'Energie Énergie'!A39 &amp; " " &amp; 'Energie Énergie'!B39 &amp; " (KBOB.2016)"</f>
        <v>43 Nutzwärme (KBOB.2016)</v>
      </c>
      <c r="B32" s="2" t="str">
        <f t="shared" si="1"/>
        <v>43 Nutzwärme (KBOB.2016)</v>
      </c>
      <c r="C32" s="2"/>
      <c r="D32" s="2"/>
      <c r="E32" s="2"/>
      <c r="F32" s="2" t="s">
        <v>186</v>
      </c>
      <c r="G32" s="2" t="str">
        <f t="shared" si="2"/>
        <v>OTHER_RESOURCE_ENERGY_USEFUL_HEAT</v>
      </c>
      <c r="H32" s="63"/>
      <c r="I32" s="64" t="str">
        <f>'Energie Énergie'!E39</f>
        <v/>
      </c>
      <c r="J32" s="64"/>
      <c r="K32" s="64"/>
      <c r="L32" s="64" t="str">
        <f>'Energie Énergie'!G39</f>
        <v/>
      </c>
      <c r="M32" s="63"/>
      <c r="N32" s="63"/>
      <c r="O32" s="64" t="str">
        <f>'Energie Énergie'!H39</f>
        <v/>
      </c>
      <c r="P32" s="63"/>
      <c r="Q32" s="63"/>
      <c r="R32" s="64" t="str">
        <f>'Energie Énergie'!J39</f>
        <v/>
      </c>
      <c r="S32" s="63"/>
      <c r="T32" s="63"/>
      <c r="U32" s="2" t="str">
        <f>'Energie Énergie'!D39</f>
        <v/>
      </c>
      <c r="V32" s="2" t="str">
        <f>VLOOKUP('Energie Énergie'!C39,RefDimensions!A$2:B$16,2,false)</f>
        <v>#N/A</v>
      </c>
      <c r="W32" s="66"/>
      <c r="X32" s="2" t="str">
        <f t="shared" si="3"/>
        <v>43 Nut</v>
      </c>
      <c r="Y32" s="7" t="s">
        <v>203</v>
      </c>
      <c r="Z32" s="414">
        <v>60.0</v>
      </c>
      <c r="AA32" s="67" t="str">
        <f t="shared" si="4"/>
        <v>Alle &gt; RESSOURCEN &gt; kbob.admin.ch &gt; KBOB / ecobau / IPB 2009/1:2016</v>
      </c>
    </row>
    <row r="33">
      <c r="A33" s="55" t="str">
        <f>'Energie Énergie'!A40 &amp; " " &amp; 'Energie Énergie'!B40 &amp; " (KBOB.2016)"</f>
        <v>43.001 Heizkessel Heizöl EL (KBOB.2016)</v>
      </c>
      <c r="B33" s="2" t="str">
        <f t="shared" si="1"/>
        <v>43.001 Heizkessel Heizöl EL (KBOB.2016)</v>
      </c>
      <c r="C33" s="2"/>
      <c r="D33" s="2"/>
      <c r="E33" s="2"/>
      <c r="F33" s="2" t="s">
        <v>186</v>
      </c>
      <c r="G33" s="2" t="str">
        <f t="shared" si="2"/>
        <v>OTHER_RESOURCE_ENERGY_USEFUL_HEAT</v>
      </c>
      <c r="H33" s="63"/>
      <c r="I33" s="64">
        <f>'Energie Énergie'!E40</f>
        <v>251</v>
      </c>
      <c r="J33" s="64"/>
      <c r="K33" s="64"/>
      <c r="L33" s="64">
        <f>'Energie Énergie'!G40</f>
        <v>0.00659</v>
      </c>
      <c r="M33" s="63"/>
      <c r="N33" s="63"/>
      <c r="O33" s="64">
        <f>'Energie Énergie'!H40</f>
        <v>1.3</v>
      </c>
      <c r="P33" s="63"/>
      <c r="Q33" s="63"/>
      <c r="R33" s="64">
        <f>'Energie Énergie'!J40</f>
        <v>0.322</v>
      </c>
      <c r="S33" s="63"/>
      <c r="T33" s="63"/>
      <c r="U33" s="2" t="str">
        <f>'Energie Énergie'!D40</f>
        <v>kWh</v>
      </c>
      <c r="V33" s="2" t="str">
        <f>VLOOKUP('Energie Énergie'!C40,RefDimensions!A$2:B$16,2,false)</f>
        <v>usefulHeat</v>
      </c>
      <c r="W33" s="66"/>
      <c r="X33" s="2" t="str">
        <f t="shared" si="3"/>
        <v>43.001</v>
      </c>
      <c r="Y33" s="7" t="s">
        <v>203</v>
      </c>
      <c r="Z33" s="414">
        <v>60.0</v>
      </c>
      <c r="AA33" s="67" t="str">
        <f t="shared" si="4"/>
        <v>Alle &gt; RESSOURCEN &gt; kbob.admin.ch &gt; KBOB / ecobau / IPB 2009/1:2016</v>
      </c>
    </row>
    <row r="34">
      <c r="A34" s="55" t="str">
        <f>'Energie Énergie'!A41 &amp; " " &amp; 'Energie Énergie'!B41 &amp; " (KBOB.2016)"</f>
        <v>43.002 Heizkessel Erdgas (KBOB.2016)</v>
      </c>
      <c r="B34" s="2" t="str">
        <f t="shared" si="1"/>
        <v>43.002 Heizkessel Erdgas (KBOB.2016)</v>
      </c>
      <c r="C34" s="2"/>
      <c r="D34" s="2"/>
      <c r="E34" s="2"/>
      <c r="F34" s="2" t="s">
        <v>186</v>
      </c>
      <c r="G34" s="2" t="str">
        <f t="shared" si="2"/>
        <v>OTHER_RESOURCE_ENERGY_USEFUL_HEAT</v>
      </c>
      <c r="H34" s="63"/>
      <c r="I34" s="64">
        <f>'Energie Énergie'!E41</f>
        <v>151</v>
      </c>
      <c r="J34" s="64"/>
      <c r="K34" s="64"/>
      <c r="L34" s="64">
        <f>'Energie Énergie'!G41</f>
        <v>0.00528</v>
      </c>
      <c r="M34" s="63"/>
      <c r="N34" s="63"/>
      <c r="O34" s="64">
        <f>'Energie Énergie'!H41</f>
        <v>1.16</v>
      </c>
      <c r="P34" s="63"/>
      <c r="Q34" s="63"/>
      <c r="R34" s="64">
        <f>'Energie Énergie'!J41</f>
        <v>0.249</v>
      </c>
      <c r="S34" s="63"/>
      <c r="T34" s="63"/>
      <c r="U34" s="2" t="str">
        <f>'Energie Énergie'!D41</f>
        <v>kWh</v>
      </c>
      <c r="V34" s="2" t="str">
        <f>VLOOKUP('Energie Énergie'!C41,RefDimensions!A$2:B$16,2,false)</f>
        <v>usefulHeat</v>
      </c>
      <c r="W34" s="66"/>
      <c r="X34" s="2" t="str">
        <f t="shared" si="3"/>
        <v>43.002</v>
      </c>
      <c r="Y34" s="7" t="s">
        <v>203</v>
      </c>
      <c r="Z34" s="414">
        <v>60.0</v>
      </c>
      <c r="AA34" s="67" t="str">
        <f t="shared" si="4"/>
        <v>Alle &gt; RESSOURCEN &gt; kbob.admin.ch &gt; KBOB / ecobau / IPB 2009/1:2016</v>
      </c>
    </row>
    <row r="35">
      <c r="A35" s="55" t="str">
        <f>'Energie Énergie'!A42 &amp; " " &amp; 'Energie Énergie'!B42 &amp; " (KBOB.2016)"</f>
        <v>43.003 Heizkessel Propan / Butan (KBOB.2016)</v>
      </c>
      <c r="B35" s="2" t="str">
        <f t="shared" si="1"/>
        <v>43.003 Heizkessel Propan / Butan (KBOB.2016)</v>
      </c>
      <c r="C35" s="2"/>
      <c r="D35" s="2"/>
      <c r="E35" s="2"/>
      <c r="F35" s="2" t="s">
        <v>186</v>
      </c>
      <c r="G35" s="2" t="str">
        <f t="shared" si="2"/>
        <v>OTHER_RESOURCE_ENERGY_USEFUL_HEAT</v>
      </c>
      <c r="H35" s="63"/>
      <c r="I35" s="64">
        <f>'Energie Énergie'!E42</f>
        <v>219</v>
      </c>
      <c r="J35" s="64"/>
      <c r="K35" s="64"/>
      <c r="L35" s="64">
        <f>'Energie Énergie'!G42</f>
        <v>0.00953</v>
      </c>
      <c r="M35" s="63"/>
      <c r="N35" s="63"/>
      <c r="O35" s="64">
        <f>'Energie Énergie'!H42</f>
        <v>1.26</v>
      </c>
      <c r="P35" s="63"/>
      <c r="Q35" s="63"/>
      <c r="R35" s="64">
        <f>'Energie Énergie'!J42</f>
        <v>0.296</v>
      </c>
      <c r="S35" s="63"/>
      <c r="T35" s="63"/>
      <c r="U35" s="2" t="str">
        <f>'Energie Énergie'!D42</f>
        <v>kWh</v>
      </c>
      <c r="V35" s="2" t="str">
        <f>VLOOKUP('Energie Énergie'!C42,RefDimensions!A$2:B$16,2,false)</f>
        <v>usefulHeat</v>
      </c>
      <c r="W35" s="66"/>
      <c r="X35" s="2" t="str">
        <f t="shared" si="3"/>
        <v>43.003</v>
      </c>
      <c r="Y35" s="7" t="s">
        <v>203</v>
      </c>
      <c r="Z35" s="414">
        <v>60.0</v>
      </c>
      <c r="AA35" s="67" t="str">
        <f t="shared" si="4"/>
        <v>Alle &gt; RESSOURCEN &gt; kbob.admin.ch &gt; KBOB / ecobau / IPB 2009/1:2016</v>
      </c>
    </row>
    <row r="36">
      <c r="A36" s="55" t="str">
        <f>'Energie Énergie'!A43 &amp; " " &amp; 'Energie Énergie'!B43 &amp; " (KBOB.2016)"</f>
        <v>43.004 Heizkessel Kohle Koks (KBOB.2016)</v>
      </c>
      <c r="B36" s="2" t="str">
        <f t="shared" si="1"/>
        <v>43.004 Heizkessel Kohle Koks (KBOB.2016)</v>
      </c>
      <c r="C36" s="2"/>
      <c r="D36" s="2"/>
      <c r="E36" s="2"/>
      <c r="F36" s="2" t="s">
        <v>186</v>
      </c>
      <c r="G36" s="2" t="str">
        <f t="shared" si="2"/>
        <v>OTHER_RESOURCE_ENERGY_USEFUL_HEAT</v>
      </c>
      <c r="H36" s="63"/>
      <c r="I36" s="64">
        <f>'Energie Énergie'!E43</f>
        <v>708</v>
      </c>
      <c r="J36" s="64"/>
      <c r="K36" s="64"/>
      <c r="L36" s="64">
        <f>'Energie Énergie'!G43</f>
        <v>0.0198</v>
      </c>
      <c r="M36" s="63"/>
      <c r="N36" s="63"/>
      <c r="O36" s="64">
        <f>'Energie Énergie'!H43</f>
        <v>2.03</v>
      </c>
      <c r="P36" s="63"/>
      <c r="Q36" s="63"/>
      <c r="R36" s="64">
        <f>'Energie Énergie'!J43</f>
        <v>0.649</v>
      </c>
      <c r="S36" s="63"/>
      <c r="T36" s="63"/>
      <c r="U36" s="2" t="str">
        <f>'Energie Énergie'!D43</f>
        <v>kWh</v>
      </c>
      <c r="V36" s="2" t="str">
        <f>VLOOKUP('Energie Énergie'!C43,RefDimensions!A$2:B$16,2,false)</f>
        <v>usefulHeat</v>
      </c>
      <c r="W36" s="66"/>
      <c r="X36" s="2" t="str">
        <f t="shared" si="3"/>
        <v>43.004</v>
      </c>
      <c r="Y36" s="7" t="s">
        <v>203</v>
      </c>
      <c r="Z36" s="414">
        <v>60.0</v>
      </c>
      <c r="AA36" s="67" t="str">
        <f t="shared" si="4"/>
        <v>Alle &gt; RESSOURCEN &gt; kbob.admin.ch &gt; KBOB / ecobau / IPB 2009/1:2016</v>
      </c>
    </row>
    <row r="37">
      <c r="A37" s="55" t="str">
        <f>'Energie Énergie'!A44 &amp; " " &amp; 'Energie Énergie'!B44 &amp; " (KBOB.2016)"</f>
        <v>43.005 Heizkessel Kohle Brikett (KBOB.2016)</v>
      </c>
      <c r="B37" s="2" t="str">
        <f t="shared" si="1"/>
        <v>43.005 Heizkessel Kohle Brikett (KBOB.2016)</v>
      </c>
      <c r="C37" s="2"/>
      <c r="D37" s="2"/>
      <c r="E37" s="2"/>
      <c r="F37" s="2" t="s">
        <v>186</v>
      </c>
      <c r="G37" s="2" t="str">
        <f t="shared" si="2"/>
        <v>OTHER_RESOURCE_ENERGY_USEFUL_HEAT</v>
      </c>
      <c r="H37" s="63"/>
      <c r="I37" s="64">
        <f>'Energie Énergie'!E44</f>
        <v>676</v>
      </c>
      <c r="J37" s="64"/>
      <c r="K37" s="64"/>
      <c r="L37" s="64">
        <f>'Energie Énergie'!G44</f>
        <v>0.0125</v>
      </c>
      <c r="M37" s="63"/>
      <c r="N37" s="63"/>
      <c r="O37" s="64">
        <f>'Energie Énergie'!H44</f>
        <v>1.52</v>
      </c>
      <c r="P37" s="63"/>
      <c r="Q37" s="63"/>
      <c r="R37" s="64">
        <f>'Energie Énergie'!J44</f>
        <v>0.59</v>
      </c>
      <c r="S37" s="63"/>
      <c r="T37" s="63"/>
      <c r="U37" s="2" t="str">
        <f>'Energie Énergie'!D44</f>
        <v>kWh</v>
      </c>
      <c r="V37" s="2" t="str">
        <f>VLOOKUP('Energie Énergie'!C44,RefDimensions!A$2:B$16,2,false)</f>
        <v>usefulHeat</v>
      </c>
      <c r="W37" s="66"/>
      <c r="X37" s="2" t="str">
        <f t="shared" si="3"/>
        <v>43.005</v>
      </c>
      <c r="Y37" s="7" t="s">
        <v>203</v>
      </c>
      <c r="Z37" s="414">
        <v>60.0</v>
      </c>
      <c r="AA37" s="67" t="str">
        <f t="shared" si="4"/>
        <v>Alle &gt; RESSOURCEN &gt; kbob.admin.ch &gt; KBOB / ecobau / IPB 2009/1:2016</v>
      </c>
    </row>
    <row r="38">
      <c r="A38" s="55" t="str">
        <f>'Energie Énergie'!A45 &amp; " " &amp; 'Energie Énergie'!B45 &amp; " (KBOB.2016)"</f>
        <v>43.006 Heizkessel Stückholz (KBOB.2016)</v>
      </c>
      <c r="B38" s="2" t="str">
        <f t="shared" si="1"/>
        <v>43.006 Heizkessel Stückholz (KBOB.2016)</v>
      </c>
      <c r="C38" s="2"/>
      <c r="D38" s="2"/>
      <c r="E38" s="2"/>
      <c r="F38" s="2" t="s">
        <v>186</v>
      </c>
      <c r="G38" s="2" t="str">
        <f t="shared" si="2"/>
        <v>OTHER_RESOURCE_ENERGY_USEFUL_HEAT</v>
      </c>
      <c r="H38" s="63"/>
      <c r="I38" s="64">
        <f>'Energie Énergie'!E45</f>
        <v>152</v>
      </c>
      <c r="J38" s="64"/>
      <c r="K38" s="64"/>
      <c r="L38" s="64">
        <f>'Energie Énergie'!G45</f>
        <v>1.58</v>
      </c>
      <c r="M38" s="63"/>
      <c r="N38" s="63"/>
      <c r="O38" s="64">
        <f>'Energie Énergie'!H45</f>
        <v>0.194</v>
      </c>
      <c r="P38" s="63"/>
      <c r="Q38" s="63"/>
      <c r="R38" s="64">
        <f>'Energie Énergie'!J45</f>
        <v>0.0454</v>
      </c>
      <c r="S38" s="63"/>
      <c r="T38" s="63"/>
      <c r="U38" s="2" t="str">
        <f>'Energie Énergie'!D45</f>
        <v>kWh</v>
      </c>
      <c r="V38" s="2" t="str">
        <f>VLOOKUP('Energie Énergie'!C45,RefDimensions!A$2:B$16,2,false)</f>
        <v>usefulHeat</v>
      </c>
      <c r="W38" s="66"/>
      <c r="X38" s="2" t="str">
        <f t="shared" si="3"/>
        <v>43.006</v>
      </c>
      <c r="Y38" s="7" t="s">
        <v>203</v>
      </c>
      <c r="Z38" s="414">
        <v>60.0</v>
      </c>
      <c r="AA38" s="67" t="str">
        <f t="shared" si="4"/>
        <v>Alle &gt; RESSOURCEN &gt; kbob.admin.ch &gt; KBOB / ecobau / IPB 2009/1:2016</v>
      </c>
    </row>
    <row r="39">
      <c r="A39" s="55" t="str">
        <f>'Energie Énergie'!A46 &amp; " " &amp; 'Energie Énergie'!B46 &amp; " (KBOB.2016)"</f>
        <v>43.010 Heizkessel Stückholz mit Partikelfilter (KBOB.2016)</v>
      </c>
      <c r="B39" s="2" t="str">
        <f t="shared" si="1"/>
        <v>43.010 Heizkessel Stückholz mit Partikelfilter (KBOB.2016)</v>
      </c>
      <c r="C39" s="2"/>
      <c r="D39" s="2"/>
      <c r="E39" s="2"/>
      <c r="F39" s="2" t="s">
        <v>186</v>
      </c>
      <c r="G39" s="2" t="str">
        <f t="shared" si="2"/>
        <v>OTHER_RESOURCE_ENERGY_USEFUL_HEAT</v>
      </c>
      <c r="H39" s="63"/>
      <c r="I39" s="64">
        <f>'Energie Énergie'!E46</f>
        <v>144</v>
      </c>
      <c r="J39" s="64"/>
      <c r="K39" s="64"/>
      <c r="L39" s="64">
        <f>'Energie Énergie'!G46</f>
        <v>1.58</v>
      </c>
      <c r="M39" s="63"/>
      <c r="N39" s="63"/>
      <c r="O39" s="64">
        <f>'Energie Énergie'!H46</f>
        <v>0.198</v>
      </c>
      <c r="P39" s="63"/>
      <c r="Q39" s="63"/>
      <c r="R39" s="64">
        <f>'Energie Énergie'!J46</f>
        <v>0.0456</v>
      </c>
      <c r="S39" s="63"/>
      <c r="T39" s="63"/>
      <c r="U39" s="2" t="str">
        <f>'Energie Énergie'!D46</f>
        <v>kWh</v>
      </c>
      <c r="V39" s="2" t="str">
        <f>VLOOKUP('Energie Énergie'!C46,RefDimensions!A$2:B$16,2,false)</f>
        <v>usefulHeat</v>
      </c>
      <c r="W39" s="66"/>
      <c r="X39" s="2" t="str">
        <f t="shared" si="3"/>
        <v>43.010</v>
      </c>
      <c r="Y39" s="7" t="s">
        <v>203</v>
      </c>
      <c r="Z39" s="414">
        <v>60.0</v>
      </c>
      <c r="AA39" s="67" t="str">
        <f t="shared" si="4"/>
        <v>Alle &gt; RESSOURCEN &gt; kbob.admin.ch &gt; KBOB / ecobau / IPB 2009/1:2016</v>
      </c>
    </row>
    <row r="40">
      <c r="A40" s="55" t="str">
        <f>'Energie Énergie'!A47 &amp; " " &amp; 'Energie Énergie'!B47 &amp; " (KBOB.2016)"</f>
        <v>43.007 Heizkessel Holzschnitzel (KBOB.2016)</v>
      </c>
      <c r="B40" s="2" t="str">
        <f t="shared" si="1"/>
        <v>43.007 Heizkessel Holzschnitzel (KBOB.2016)</v>
      </c>
      <c r="C40" s="2"/>
      <c r="D40" s="2"/>
      <c r="E40" s="2"/>
      <c r="F40" s="2" t="s">
        <v>186</v>
      </c>
      <c r="G40" s="2" t="str">
        <f t="shared" si="2"/>
        <v>OTHER_RESOURCE_ENERGY_USEFUL_HEAT</v>
      </c>
      <c r="H40" s="63"/>
      <c r="I40" s="64">
        <f>'Energie Énergie'!E47</f>
        <v>116</v>
      </c>
      <c r="J40" s="64"/>
      <c r="K40" s="64"/>
      <c r="L40" s="64">
        <f>'Energie Énergie'!G47</f>
        <v>1.42</v>
      </c>
      <c r="M40" s="63"/>
      <c r="N40" s="63"/>
      <c r="O40" s="64">
        <f>'Energie Énergie'!H47</f>
        <v>0.0971</v>
      </c>
      <c r="P40" s="63"/>
      <c r="Q40" s="63"/>
      <c r="R40" s="64">
        <f>'Energie Énergie'!J47</f>
        <v>0.0198</v>
      </c>
      <c r="S40" s="63"/>
      <c r="T40" s="63"/>
      <c r="U40" s="2" t="str">
        <f>'Energie Énergie'!D47</f>
        <v>kWh</v>
      </c>
      <c r="V40" s="2" t="str">
        <f>VLOOKUP('Energie Énergie'!C47,RefDimensions!A$2:B$16,2,false)</f>
        <v>usefulHeat</v>
      </c>
      <c r="W40" s="66"/>
      <c r="X40" s="2" t="str">
        <f t="shared" si="3"/>
        <v>43.007</v>
      </c>
      <c r="Y40" s="7" t="s">
        <v>203</v>
      </c>
      <c r="Z40" s="414">
        <v>60.0</v>
      </c>
      <c r="AA40" s="67" t="str">
        <f t="shared" si="4"/>
        <v>Alle &gt; RESSOURCEN &gt; kbob.admin.ch &gt; KBOB / ecobau / IPB 2009/1:2016</v>
      </c>
    </row>
    <row r="41">
      <c r="A41" s="55" t="str">
        <f>'Energie Énergie'!A48 &amp; " " &amp; 'Energie Énergie'!B48 &amp; " (KBOB.2016)"</f>
        <v>43.011 Heizkessel Holzschnitzel mit Partikelfilter (KBOB.2016)</v>
      </c>
      <c r="B41" s="2" t="str">
        <f t="shared" si="1"/>
        <v>43.011 Heizkessel Holzschnitzel mit Partikelfilter (KBOB.2016)</v>
      </c>
      <c r="C41" s="2"/>
      <c r="D41" s="2"/>
      <c r="E41" s="2"/>
      <c r="F41" s="2" t="s">
        <v>186</v>
      </c>
      <c r="G41" s="2" t="str">
        <f t="shared" si="2"/>
        <v>OTHER_RESOURCE_ENERGY_USEFUL_HEAT</v>
      </c>
      <c r="H41" s="63"/>
      <c r="I41" s="64">
        <f>'Energie Énergie'!E48</f>
        <v>106</v>
      </c>
      <c r="J41" s="64"/>
      <c r="K41" s="64"/>
      <c r="L41" s="64">
        <f>'Energie Énergie'!G48</f>
        <v>1.42</v>
      </c>
      <c r="M41" s="63"/>
      <c r="N41" s="63"/>
      <c r="O41" s="64">
        <f>'Energie Énergie'!H48</f>
        <v>0.1</v>
      </c>
      <c r="P41" s="63"/>
      <c r="Q41" s="63"/>
      <c r="R41" s="64">
        <f>'Energie Énergie'!J48</f>
        <v>0.0199</v>
      </c>
      <c r="S41" s="63"/>
      <c r="T41" s="63"/>
      <c r="U41" s="2" t="str">
        <f>'Energie Énergie'!D48</f>
        <v>kWh</v>
      </c>
      <c r="V41" s="2" t="str">
        <f>VLOOKUP('Energie Énergie'!C48,RefDimensions!A$2:B$16,2,false)</f>
        <v>usefulHeat</v>
      </c>
      <c r="W41" s="66"/>
      <c r="X41" s="2" t="str">
        <f t="shared" si="3"/>
        <v>43.011</v>
      </c>
      <c r="Y41" s="7" t="s">
        <v>203</v>
      </c>
      <c r="Z41" s="414">
        <v>60.0</v>
      </c>
      <c r="AA41" s="67" t="str">
        <f t="shared" si="4"/>
        <v>Alle &gt; RESSOURCEN &gt; kbob.admin.ch &gt; KBOB / ecobau / IPB 2009/1:2016</v>
      </c>
    </row>
    <row r="42">
      <c r="A42" s="55" t="str">
        <f>'Energie Énergie'!A49 &amp; " " &amp; 'Energie Énergie'!B49 &amp; " (KBOB.2016)"</f>
        <v>43.008 Heizkessel Pellets (KBOB.2016)</v>
      </c>
      <c r="B42" s="2" t="str">
        <f t="shared" si="1"/>
        <v>43.008 Heizkessel Pellets (KBOB.2016)</v>
      </c>
      <c r="C42" s="2"/>
      <c r="D42" s="2"/>
      <c r="E42" s="2"/>
      <c r="F42" s="2" t="s">
        <v>186</v>
      </c>
      <c r="G42" s="2" t="str">
        <f t="shared" si="2"/>
        <v>OTHER_RESOURCE_ENERGY_USEFUL_HEAT</v>
      </c>
      <c r="H42" s="63"/>
      <c r="I42" s="64">
        <f>'Energie Énergie'!E49</f>
        <v>108</v>
      </c>
      <c r="J42" s="64"/>
      <c r="K42" s="64"/>
      <c r="L42" s="64">
        <f>'Energie Énergie'!G49</f>
        <v>1.32</v>
      </c>
      <c r="M42" s="63"/>
      <c r="N42" s="63"/>
      <c r="O42" s="64">
        <f>'Energie Énergie'!H49</f>
        <v>0.21</v>
      </c>
      <c r="P42" s="63"/>
      <c r="Q42" s="63"/>
      <c r="R42" s="64">
        <f>'Energie Énergie'!J49</f>
        <v>0.0382</v>
      </c>
      <c r="S42" s="63"/>
      <c r="T42" s="63"/>
      <c r="U42" s="2" t="str">
        <f>'Energie Énergie'!D49</f>
        <v>kWh</v>
      </c>
      <c r="V42" s="2" t="str">
        <f>VLOOKUP('Energie Énergie'!C49,RefDimensions!A$2:B$16,2,false)</f>
        <v>usefulHeat</v>
      </c>
      <c r="W42" s="66"/>
      <c r="X42" s="2" t="str">
        <f t="shared" si="3"/>
        <v>43.008</v>
      </c>
      <c r="Y42" s="7" t="s">
        <v>203</v>
      </c>
      <c r="Z42" s="414">
        <v>60.0</v>
      </c>
      <c r="AA42" s="67" t="str">
        <f t="shared" si="4"/>
        <v>Alle &gt; RESSOURCEN &gt; kbob.admin.ch &gt; KBOB / ecobau / IPB 2009/1:2016</v>
      </c>
    </row>
    <row r="43">
      <c r="A43" s="55" t="str">
        <f>'Energie Énergie'!A50 &amp; " " &amp; 'Energie Énergie'!B50 &amp; " (KBOB.2016)"</f>
        <v>43.012 Heizkessel Pellets mit Partikelfilter (KBOB.2016)</v>
      </c>
      <c r="B43" s="2" t="str">
        <f t="shared" si="1"/>
        <v>43.012 Heizkessel Pellets mit Partikelfilter (KBOB.2016)</v>
      </c>
      <c r="C43" s="2"/>
      <c r="D43" s="2"/>
      <c r="E43" s="2"/>
      <c r="F43" s="2" t="s">
        <v>186</v>
      </c>
      <c r="G43" s="2" t="str">
        <f t="shared" si="2"/>
        <v>OTHER_RESOURCE_ENERGY_USEFUL_HEAT</v>
      </c>
      <c r="H43" s="63"/>
      <c r="I43" s="64">
        <f>'Energie Énergie'!E50</f>
        <v>103</v>
      </c>
      <c r="J43" s="64"/>
      <c r="K43" s="64"/>
      <c r="L43" s="64">
        <f>'Energie Énergie'!G50</f>
        <v>1.32</v>
      </c>
      <c r="M43" s="63"/>
      <c r="N43" s="63"/>
      <c r="O43" s="64">
        <f>'Energie Énergie'!H50</f>
        <v>0.213</v>
      </c>
      <c r="P43" s="63"/>
      <c r="Q43" s="63"/>
      <c r="R43" s="64">
        <f>'Energie Énergie'!J50</f>
        <v>0.0383</v>
      </c>
      <c r="S43" s="63"/>
      <c r="T43" s="63"/>
      <c r="U43" s="2" t="str">
        <f>'Energie Énergie'!D50</f>
        <v>kWh</v>
      </c>
      <c r="V43" s="2" t="str">
        <f>VLOOKUP('Energie Énergie'!C50,RefDimensions!A$2:B$16,2,false)</f>
        <v>usefulHeat</v>
      </c>
      <c r="W43" s="66"/>
      <c r="X43" s="2" t="str">
        <f t="shared" si="3"/>
        <v>43.012</v>
      </c>
      <c r="Y43" s="7" t="s">
        <v>203</v>
      </c>
      <c r="Z43" s="414">
        <v>60.0</v>
      </c>
      <c r="AA43" s="67" t="str">
        <f t="shared" si="4"/>
        <v>Alle &gt; RESSOURCEN &gt; kbob.admin.ch &gt; KBOB / ecobau / IPB 2009/1:2016</v>
      </c>
    </row>
    <row r="44">
      <c r="A44" s="55" t="str">
        <f>'Energie Énergie'!A51 &amp; " " &amp; 'Energie Énergie'!B51 &amp; " (KBOB.2016)"</f>
        <v>43.009 Heizkessel Biogas (KBOB.2016)</v>
      </c>
      <c r="B44" s="2" t="str">
        <f t="shared" si="1"/>
        <v>43.009 Heizkessel Biogas (KBOB.2016)</v>
      </c>
      <c r="C44" s="2"/>
      <c r="D44" s="2"/>
      <c r="E44" s="2"/>
      <c r="F44" s="2" t="s">
        <v>186</v>
      </c>
      <c r="G44" s="2" t="str">
        <f t="shared" si="2"/>
        <v>OTHER_RESOURCE_ENERGY_USEFUL_HEAT</v>
      </c>
      <c r="H44" s="63"/>
      <c r="I44" s="64">
        <f>'Energie Énergie'!E51</f>
        <v>121</v>
      </c>
      <c r="J44" s="64"/>
      <c r="K44" s="64"/>
      <c r="L44" s="64">
        <f>'Energie Énergie'!G51</f>
        <v>0.0353</v>
      </c>
      <c r="M44" s="63"/>
      <c r="N44" s="63"/>
      <c r="O44" s="64">
        <f>'Energie Énergie'!H51</f>
        <v>0.33</v>
      </c>
      <c r="P44" s="63"/>
      <c r="Q44" s="63"/>
      <c r="R44" s="64">
        <f>'Energie Énergie'!J51</f>
        <v>0.142</v>
      </c>
      <c r="S44" s="63"/>
      <c r="T44" s="63"/>
      <c r="U44" s="2" t="str">
        <f>'Energie Énergie'!D51</f>
        <v>kWh</v>
      </c>
      <c r="V44" s="2" t="str">
        <f>VLOOKUP('Energie Énergie'!C51,RefDimensions!A$2:B$16,2,false)</f>
        <v>usefulHeat</v>
      </c>
      <c r="W44" s="66"/>
      <c r="X44" s="2" t="str">
        <f t="shared" si="3"/>
        <v>43.009</v>
      </c>
      <c r="Y44" s="7" t="s">
        <v>203</v>
      </c>
      <c r="Z44" s="414">
        <v>60.0</v>
      </c>
      <c r="AA44" s="67" t="str">
        <f t="shared" si="4"/>
        <v>Alle &gt; RESSOURCEN &gt; kbob.admin.ch &gt; KBOB / ecobau / IPB 2009/1:2016</v>
      </c>
    </row>
    <row r="45">
      <c r="A45" s="55" t="str">
        <f>'Energie Énergie'!A52 &amp; " " &amp; 'Energie Énergie'!B52 &amp; " (KBOB.2016)"</f>
        <v>44 Nutzwärme am Standort erzeugt, inkl. erneuerbare Energien (KBOB.2016)</v>
      </c>
      <c r="B45" s="2" t="str">
        <f t="shared" si="1"/>
        <v>44 Nutzwärme am Standort erzeugt, inkl. erneuerbare Energien (KBOB.2016)</v>
      </c>
      <c r="C45" s="2"/>
      <c r="D45" s="2"/>
      <c r="E45" s="2"/>
      <c r="F45" s="2" t="s">
        <v>186</v>
      </c>
      <c r="G45" s="2" t="str">
        <f t="shared" si="2"/>
        <v>OTHER_RESOURCE_ENERGY_USEFUL_HEAT_GENERATED_LOCALLY</v>
      </c>
      <c r="H45" s="63"/>
      <c r="I45" s="64" t="str">
        <f>'Energie Énergie'!E52</f>
        <v/>
      </c>
      <c r="J45" s="64"/>
      <c r="K45" s="64"/>
      <c r="L45" s="64" t="str">
        <f>'Energie Énergie'!G52</f>
        <v/>
      </c>
      <c r="M45" s="63"/>
      <c r="N45" s="63"/>
      <c r="O45" s="64" t="str">
        <f>'Energie Énergie'!H52</f>
        <v/>
      </c>
      <c r="P45" s="63"/>
      <c r="Q45" s="63"/>
      <c r="R45" s="64" t="str">
        <f>'Energie Énergie'!J52</f>
        <v/>
      </c>
      <c r="S45" s="63"/>
      <c r="T45" s="63"/>
      <c r="U45" s="2" t="str">
        <f>'Energie Énergie'!D52</f>
        <v/>
      </c>
      <c r="V45" s="2" t="str">
        <f>VLOOKUP('Energie Énergie'!C52,RefDimensions!A$2:B$16,2,false)</f>
        <v>#N/A</v>
      </c>
      <c r="W45" s="66"/>
      <c r="X45" s="2" t="str">
        <f t="shared" si="3"/>
        <v>44 Nut</v>
      </c>
      <c r="Y45" s="7" t="s">
        <v>203</v>
      </c>
      <c r="Z45" s="414">
        <v>60.0</v>
      </c>
      <c r="AA45" s="67" t="str">
        <f t="shared" si="4"/>
        <v>Alle &gt; RESSOURCEN &gt; kbob.admin.ch &gt; KBOB / ecobau / IPB 2009/1:2016</v>
      </c>
    </row>
    <row r="46">
      <c r="A46" s="55" t="str">
        <f>'Energie Énergie'!A53 &amp; " " &amp; 'Energie Énergie'!B53 &amp; " (KBOB.2016)"</f>
        <v>44.001 Elektrowärmepumpe Luft / Wasser (JAZ 2.8) (KBOB.2016)</v>
      </c>
      <c r="B46" s="2" t="str">
        <f t="shared" si="1"/>
        <v>44.001 Elektrowärmepumpe Luft / Wasser (JAZ 2.8) (KBOB.2016)</v>
      </c>
      <c r="C46" s="2"/>
      <c r="D46" s="2"/>
      <c r="E46" s="2"/>
      <c r="F46" s="2" t="s">
        <v>186</v>
      </c>
      <c r="G46" s="2" t="str">
        <f t="shared" si="2"/>
        <v>OTHER_RESOURCE_ENERGY_USEFUL_HEAT_GENERATED_LOCALLY</v>
      </c>
      <c r="H46" s="63"/>
      <c r="I46" s="64">
        <f>'Energie Énergie'!E53</f>
        <v>149</v>
      </c>
      <c r="J46" s="64"/>
      <c r="K46" s="64"/>
      <c r="L46" s="64">
        <f>'Energie Énergie'!G53</f>
        <v>0.818</v>
      </c>
      <c r="M46" s="63"/>
      <c r="N46" s="63"/>
      <c r="O46" s="64">
        <f>'Energie Énergie'!H53</f>
        <v>0.908</v>
      </c>
      <c r="P46" s="63"/>
      <c r="Q46" s="63"/>
      <c r="R46" s="64">
        <f>'Energie Énergie'!J53</f>
        <v>0.0628</v>
      </c>
      <c r="S46" s="63"/>
      <c r="T46" s="63"/>
      <c r="U46" s="2" t="str">
        <f>'Energie Énergie'!D53</f>
        <v>kWh</v>
      </c>
      <c r="V46" s="2" t="str">
        <f>VLOOKUP('Energie Énergie'!C53,RefDimensions!A$2:B$16,2,false)</f>
        <v>usefulHeat</v>
      </c>
      <c r="W46" s="66"/>
      <c r="X46" s="2" t="str">
        <f t="shared" si="3"/>
        <v>44.001</v>
      </c>
      <c r="Y46" s="7" t="s">
        <v>203</v>
      </c>
      <c r="Z46" s="414">
        <v>60.0</v>
      </c>
      <c r="AA46" s="67" t="str">
        <f t="shared" si="4"/>
        <v>Alle &gt; RESSOURCEN &gt; kbob.admin.ch &gt; KBOB / ecobau / IPB 2009/1:2016</v>
      </c>
    </row>
    <row r="47">
      <c r="A47" s="55" t="str">
        <f>'Energie Énergie'!A54 &amp; " " &amp; 'Energie Énergie'!B54 &amp; " (KBOB.2016)"</f>
        <v>44.002 Elektrowärmepumpe Erdsonden (JAZ 3.9) (KBOB.2016)</v>
      </c>
      <c r="B47" s="2" t="str">
        <f t="shared" si="1"/>
        <v>44.002 Elektrowärmepumpe Erdsonden (JAZ 3.9) (KBOB.2016)</v>
      </c>
      <c r="C47" s="2"/>
      <c r="D47" s="2"/>
      <c r="E47" s="2"/>
      <c r="F47" s="2" t="s">
        <v>186</v>
      </c>
      <c r="G47" s="2" t="str">
        <f t="shared" si="2"/>
        <v>OTHER_RESOURCE_ENERGY_USEFUL_HEAT_GENERATED_LOCALLY</v>
      </c>
      <c r="H47" s="63"/>
      <c r="I47" s="64">
        <f>'Energie Énergie'!E54</f>
        <v>110</v>
      </c>
      <c r="J47" s="64"/>
      <c r="K47" s="64"/>
      <c r="L47" s="64">
        <f>'Energie Énergie'!G54</f>
        <v>0.87</v>
      </c>
      <c r="M47" s="63"/>
      <c r="N47" s="63"/>
      <c r="O47" s="64">
        <f>'Energie Énergie'!H54</f>
        <v>0.665</v>
      </c>
      <c r="P47" s="63"/>
      <c r="Q47" s="63"/>
      <c r="R47" s="64">
        <f>'Energie Énergie'!J54</f>
        <v>0.0456</v>
      </c>
      <c r="S47" s="63"/>
      <c r="T47" s="63"/>
      <c r="U47" s="2" t="str">
        <f>'Energie Énergie'!D54</f>
        <v>kWh</v>
      </c>
      <c r="V47" s="2" t="str">
        <f>VLOOKUP('Energie Énergie'!C54,RefDimensions!A$2:B$16,2,false)</f>
        <v>usefulHeat</v>
      </c>
      <c r="W47" s="66"/>
      <c r="X47" s="2" t="str">
        <f t="shared" si="3"/>
        <v>44.002</v>
      </c>
      <c r="Y47" s="7" t="s">
        <v>203</v>
      </c>
      <c r="Z47" s="414">
        <v>60.0</v>
      </c>
      <c r="AA47" s="67" t="str">
        <f t="shared" si="4"/>
        <v>Alle &gt; RESSOURCEN &gt; kbob.admin.ch &gt; KBOB / ecobau / IPB 2009/1:2016</v>
      </c>
    </row>
    <row r="48">
      <c r="A48" s="55" t="str">
        <f>'Energie Énergie'!A55 &amp; " " &amp; 'Energie Énergie'!B55 &amp; " (KBOB.2016)"</f>
        <v>44.003 Elektrowärmepumpe Grundwasser (JAZ 3.4) (KBOB.2016)</v>
      </c>
      <c r="B48" s="2" t="str">
        <f t="shared" si="1"/>
        <v>44.003 Elektrowärmepumpe Grundwasser (JAZ 3.4) (KBOB.2016)</v>
      </c>
      <c r="C48" s="2"/>
      <c r="D48" s="2"/>
      <c r="E48" s="2"/>
      <c r="F48" s="2" t="s">
        <v>186</v>
      </c>
      <c r="G48" s="2" t="str">
        <f t="shared" si="2"/>
        <v>OTHER_RESOURCE_ENERGY_USEFUL_HEAT_GENERATED_LOCALLY</v>
      </c>
      <c r="H48" s="63"/>
      <c r="I48" s="64">
        <f>'Energie Énergie'!E55</f>
        <v>123</v>
      </c>
      <c r="J48" s="64"/>
      <c r="K48" s="64"/>
      <c r="L48" s="64">
        <f>'Energie Énergie'!G55</f>
        <v>0.85</v>
      </c>
      <c r="M48" s="63"/>
      <c r="N48" s="63"/>
      <c r="O48" s="64">
        <f>'Energie Énergie'!H55</f>
        <v>0.76</v>
      </c>
      <c r="P48" s="63"/>
      <c r="Q48" s="63"/>
      <c r="R48" s="64">
        <f>'Energie Énergie'!J55</f>
        <v>0.0494</v>
      </c>
      <c r="S48" s="63"/>
      <c r="T48" s="63"/>
      <c r="U48" s="2" t="str">
        <f>'Energie Énergie'!D55</f>
        <v>kWh</v>
      </c>
      <c r="V48" s="2" t="str">
        <f>VLOOKUP('Energie Énergie'!C55,RefDimensions!A$2:B$16,2,false)</f>
        <v>usefulHeat</v>
      </c>
      <c r="W48" s="66"/>
      <c r="X48" s="2" t="str">
        <f t="shared" si="3"/>
        <v>44.003</v>
      </c>
      <c r="Y48" s="7" t="s">
        <v>203</v>
      </c>
      <c r="Z48" s="414">
        <v>60.0</v>
      </c>
      <c r="AA48" s="67" t="str">
        <f t="shared" si="4"/>
        <v>Alle &gt; RESSOURCEN &gt; kbob.admin.ch &gt; KBOB / ecobau / IPB 2009/1:2016</v>
      </c>
    </row>
    <row r="49">
      <c r="A49" s="55" t="str">
        <f>'Energie Énergie'!A56 &amp; " " &amp; 'Energie Énergie'!B56 &amp; " (KBOB.2016)"</f>
        <v>44.004 Flachkollektor für Warmwasser EFH (KBOB.2016)</v>
      </c>
      <c r="B49" s="2" t="str">
        <f t="shared" si="1"/>
        <v>44.004 Flachkollektor für Warmwasser EFH (KBOB.2016)</v>
      </c>
      <c r="C49" s="2"/>
      <c r="D49" s="2"/>
      <c r="E49" s="2"/>
      <c r="F49" s="2" t="s">
        <v>186</v>
      </c>
      <c r="G49" s="2" t="str">
        <f t="shared" si="2"/>
        <v>OTHER_RESOURCE_ENERGY_USEFUL_HEAT_GENERATED_LOCALLY</v>
      </c>
      <c r="H49" s="63"/>
      <c r="I49" s="64">
        <f>'Energie Énergie'!E56</f>
        <v>102</v>
      </c>
      <c r="J49" s="64"/>
      <c r="K49" s="64"/>
      <c r="L49" s="64">
        <f>'Energie Énergie'!G56</f>
        <v>1.33</v>
      </c>
      <c r="M49" s="63"/>
      <c r="N49" s="63"/>
      <c r="O49" s="64">
        <f>'Energie Énergie'!H56</f>
        <v>0.275</v>
      </c>
      <c r="P49" s="63"/>
      <c r="Q49" s="63"/>
      <c r="R49" s="64">
        <f>'Energie Énergie'!J56</f>
        <v>0.0366</v>
      </c>
      <c r="S49" s="63"/>
      <c r="T49" s="63"/>
      <c r="U49" s="2" t="str">
        <f>'Energie Énergie'!D56</f>
        <v>kWh</v>
      </c>
      <c r="V49" s="2" t="str">
        <f>VLOOKUP('Energie Énergie'!C56,RefDimensions!A$2:B$16,2,false)</f>
        <v>usefulHeat</v>
      </c>
      <c r="W49" s="66"/>
      <c r="X49" s="2" t="str">
        <f t="shared" si="3"/>
        <v>44.004</v>
      </c>
      <c r="Y49" s="7" t="s">
        <v>203</v>
      </c>
      <c r="Z49" s="414">
        <v>60.0</v>
      </c>
      <c r="AA49" s="67" t="str">
        <f t="shared" si="4"/>
        <v>Alle &gt; RESSOURCEN &gt; kbob.admin.ch &gt; KBOB / ecobau / IPB 2009/1:2016</v>
      </c>
    </row>
    <row r="50">
      <c r="A50" s="55" t="str">
        <f>'Energie Énergie'!A57 &amp; " " &amp; 'Energie Énergie'!B57 &amp; " (KBOB.2016)"</f>
        <v>44.005 Flachkollektor für Raumheizung und Warmwasser EFH (KBOB.2016)</v>
      </c>
      <c r="B50" s="2" t="str">
        <f t="shared" si="1"/>
        <v>44.005 Flachkollektor für Raumheizung und Warmwasser EFH (KBOB.2016)</v>
      </c>
      <c r="C50" s="2"/>
      <c r="D50" s="2"/>
      <c r="E50" s="2"/>
      <c r="F50" s="2" t="s">
        <v>186</v>
      </c>
      <c r="G50" s="2" t="str">
        <f t="shared" si="2"/>
        <v>OTHER_RESOURCE_ENERGY_USEFUL_HEAT_GENERATED_LOCALLY</v>
      </c>
      <c r="H50" s="63"/>
      <c r="I50" s="64">
        <f>'Energie Énergie'!E57</f>
        <v>90</v>
      </c>
      <c r="J50" s="64"/>
      <c r="K50" s="64"/>
      <c r="L50" s="64">
        <f>'Energie Énergie'!G57</f>
        <v>1.61</v>
      </c>
      <c r="M50" s="63"/>
      <c r="N50" s="63"/>
      <c r="O50" s="64">
        <f>'Energie Énergie'!H57</f>
        <v>0.221</v>
      </c>
      <c r="P50" s="63"/>
      <c r="Q50" s="63"/>
      <c r="R50" s="64">
        <f>'Energie Énergie'!J57</f>
        <v>0.0337</v>
      </c>
      <c r="S50" s="63"/>
      <c r="T50" s="63"/>
      <c r="U50" s="2" t="str">
        <f>'Energie Énergie'!D57</f>
        <v>kWh</v>
      </c>
      <c r="V50" s="2" t="str">
        <f>VLOOKUP('Energie Énergie'!C57,RefDimensions!A$2:B$16,2,false)</f>
        <v>usefulHeat</v>
      </c>
      <c r="W50" s="66"/>
      <c r="X50" s="2" t="str">
        <f t="shared" si="3"/>
        <v>44.005</v>
      </c>
      <c r="Y50" s="7" t="s">
        <v>203</v>
      </c>
      <c r="Z50" s="414">
        <v>60.0</v>
      </c>
      <c r="AA50" s="67" t="str">
        <f t="shared" si="4"/>
        <v>Alle &gt; RESSOURCEN &gt; kbob.admin.ch &gt; KBOB / ecobau / IPB 2009/1:2016</v>
      </c>
    </row>
    <row r="51">
      <c r="A51" s="55" t="str">
        <f>'Energie Énergie'!A58 &amp; " " &amp; 'Energie Énergie'!B58 &amp; " (KBOB.2016)"</f>
        <v>44.006 Flachkollektor für Warmwasser MFH (KBOB.2016)</v>
      </c>
      <c r="B51" s="2" t="str">
        <f t="shared" si="1"/>
        <v>44.006 Flachkollektor für Warmwasser MFH (KBOB.2016)</v>
      </c>
      <c r="C51" s="2"/>
      <c r="D51" s="2"/>
      <c r="E51" s="2"/>
      <c r="F51" s="2" t="s">
        <v>186</v>
      </c>
      <c r="G51" s="2" t="str">
        <f t="shared" si="2"/>
        <v>OTHER_RESOURCE_ENERGY_USEFUL_HEAT_GENERATED_LOCALLY</v>
      </c>
      <c r="H51" s="63"/>
      <c r="I51" s="64">
        <f>'Energie Énergie'!E58</f>
        <v>40.7</v>
      </c>
      <c r="J51" s="64"/>
      <c r="K51" s="64"/>
      <c r="L51" s="64">
        <f>'Energie Énergie'!G58</f>
        <v>1.14</v>
      </c>
      <c r="M51" s="63"/>
      <c r="N51" s="63"/>
      <c r="O51" s="64">
        <f>'Energie Énergie'!H58</f>
        <v>0.0859</v>
      </c>
      <c r="P51" s="63"/>
      <c r="Q51" s="63"/>
      <c r="R51" s="64">
        <f>'Energie Énergie'!J58</f>
        <v>0.0139</v>
      </c>
      <c r="S51" s="63"/>
      <c r="T51" s="63"/>
      <c r="U51" s="2" t="str">
        <f>'Energie Énergie'!D58</f>
        <v>kWh</v>
      </c>
      <c r="V51" s="2" t="str">
        <f>VLOOKUP('Energie Énergie'!C58,RefDimensions!A$2:B$16,2,false)</f>
        <v>usefulHeat</v>
      </c>
      <c r="W51" s="66"/>
      <c r="X51" s="2" t="str">
        <f t="shared" si="3"/>
        <v>44.006</v>
      </c>
      <c r="Y51" s="7" t="s">
        <v>203</v>
      </c>
      <c r="Z51" s="414">
        <v>60.0</v>
      </c>
      <c r="AA51" s="67" t="str">
        <f t="shared" si="4"/>
        <v>Alle &gt; RESSOURCEN &gt; kbob.admin.ch &gt; KBOB / ecobau / IPB 2009/1:2016</v>
      </c>
    </row>
    <row r="52">
      <c r="A52" s="55" t="str">
        <f>'Energie Énergie'!A59 &amp; " " &amp; 'Energie Énergie'!B59 &amp; " (KBOB.2016)"</f>
        <v>44.007 Röhrenkollektor für Raumheizung und Warmwasser EFH (KBOB.2016)</v>
      </c>
      <c r="B52" s="2" t="str">
        <f t="shared" si="1"/>
        <v>44.007 Röhrenkollektor für Raumheizung und Warmwasser EFH (KBOB.2016)</v>
      </c>
      <c r="C52" s="2"/>
      <c r="D52" s="2"/>
      <c r="E52" s="2"/>
      <c r="F52" s="2" t="s">
        <v>186</v>
      </c>
      <c r="G52" s="2" t="str">
        <f t="shared" si="2"/>
        <v>OTHER_RESOURCE_ENERGY_USEFUL_HEAT_GENERATED_LOCALLY</v>
      </c>
      <c r="H52" s="63"/>
      <c r="I52" s="64">
        <f>'Energie Énergie'!E59</f>
        <v>76.5</v>
      </c>
      <c r="J52" s="64"/>
      <c r="K52" s="64"/>
      <c r="L52" s="64">
        <f>'Energie Énergie'!G59</f>
        <v>1.54</v>
      </c>
      <c r="M52" s="63"/>
      <c r="N52" s="63"/>
      <c r="O52" s="64">
        <f>'Energie Énergie'!H59</f>
        <v>0.193</v>
      </c>
      <c r="P52" s="63"/>
      <c r="Q52" s="63"/>
      <c r="R52" s="64">
        <f>'Energie Énergie'!J59</f>
        <v>0.0308</v>
      </c>
      <c r="S52" s="63"/>
      <c r="T52" s="63"/>
      <c r="U52" s="2" t="str">
        <f>'Energie Énergie'!D59</f>
        <v>kWh</v>
      </c>
      <c r="V52" s="2" t="str">
        <f>VLOOKUP('Energie Énergie'!C59,RefDimensions!A$2:B$16,2,false)</f>
        <v>usefulHeat</v>
      </c>
      <c r="W52" s="66"/>
      <c r="X52" s="2" t="str">
        <f t="shared" si="3"/>
        <v>44.007</v>
      </c>
      <c r="Y52" s="7" t="s">
        <v>203</v>
      </c>
      <c r="Z52" s="414">
        <v>60.0</v>
      </c>
      <c r="AA52" s="67" t="str">
        <f t="shared" si="4"/>
        <v>Alle &gt; RESSOURCEN &gt; kbob.admin.ch &gt; KBOB / ecobau / IPB 2009/1:2016</v>
      </c>
    </row>
    <row r="53">
      <c r="A53" s="55" t="str">
        <f>'Energie Énergie'!A60 &amp; " " &amp; 'Energie Énergie'!B60 &amp; " (KBOB.2016)"</f>
        <v>44.008 Kleinblockheizkraftwerk, Erdgas (KBOB.2016)</v>
      </c>
      <c r="B53" s="2" t="str">
        <f t="shared" si="1"/>
        <v>44.008 Kleinblockheizkraftwerk, Erdgas (KBOB.2016)</v>
      </c>
      <c r="C53" s="2"/>
      <c r="D53" s="2"/>
      <c r="E53" s="2"/>
      <c r="F53" s="2" t="s">
        <v>186</v>
      </c>
      <c r="G53" s="2" t="str">
        <f t="shared" si="2"/>
        <v>OTHER_RESOURCE_ENERGY_USEFUL_HEAT_GENERATED_LOCALLY</v>
      </c>
      <c r="H53" s="63"/>
      <c r="I53" s="64">
        <f>'Energie Énergie'!E60</f>
        <v>70.5</v>
      </c>
      <c r="J53" s="64"/>
      <c r="K53" s="64"/>
      <c r="L53" s="64">
        <f>'Energie Énergie'!G60</f>
        <v>0.00197</v>
      </c>
      <c r="M53" s="63"/>
      <c r="N53" s="63"/>
      <c r="O53" s="64">
        <f>'Energie Énergie'!H60</f>
        <v>0.502</v>
      </c>
      <c r="P53" s="63"/>
      <c r="Q53" s="63"/>
      <c r="R53" s="64">
        <f>'Energie Énergie'!J60</f>
        <v>0.111</v>
      </c>
      <c r="S53" s="63"/>
      <c r="T53" s="63"/>
      <c r="U53" s="2" t="str">
        <f>'Energie Énergie'!D60</f>
        <v>kWh</v>
      </c>
      <c r="V53" s="2" t="str">
        <f>VLOOKUP('Energie Énergie'!C60,RefDimensions!A$2:B$16,2,false)</f>
        <v>usefulHeat</v>
      </c>
      <c r="W53" s="66"/>
      <c r="X53" s="2" t="str">
        <f t="shared" si="3"/>
        <v>44.008</v>
      </c>
      <c r="Y53" s="7" t="s">
        <v>203</v>
      </c>
      <c r="Z53" s="414">
        <v>60.0</v>
      </c>
      <c r="AA53" s="67" t="str">
        <f t="shared" si="4"/>
        <v>Alle &gt; RESSOURCEN &gt; kbob.admin.ch &gt; KBOB / ecobau / IPB 2009/1:2016</v>
      </c>
    </row>
    <row r="54">
      <c r="A54" s="55" t="str">
        <f>'Energie Énergie'!A61 &amp; " " &amp; 'Energie Énergie'!B61 &amp; " (KBOB.2016)"</f>
        <v> 1Oberer Heizwert
2inkl. Verteilverluste (Wärme am Ausgang Wärmeerzeuger)
 (KBOB.2016)</v>
      </c>
      <c r="B54" s="2" t="str">
        <f t="shared" si="1"/>
        <v> 1Oberer Heizwert
2inkl. Verteilverluste (Wärme am Ausgang Wärmeerzeuger)
 (KBOB.2016)</v>
      </c>
      <c r="C54" s="2"/>
      <c r="D54" s="2"/>
      <c r="E54" s="2"/>
      <c r="F54" s="2" t="s">
        <v>186</v>
      </c>
      <c r="G54" s="2" t="str">
        <f t="shared" si="2"/>
        <v>#N/A</v>
      </c>
      <c r="H54" s="63"/>
      <c r="I54" s="64" t="str">
        <f>'Energie Énergie'!E61</f>
        <v/>
      </c>
      <c r="J54" s="64"/>
      <c r="K54" s="64"/>
      <c r="L54" s="64" t="str">
        <f>'Energie Énergie'!G61</f>
        <v/>
      </c>
      <c r="M54" s="63"/>
      <c r="N54" s="63"/>
      <c r="O54" s="64" t="str">
        <f>'Energie Énergie'!H61</f>
        <v/>
      </c>
      <c r="P54" s="63"/>
      <c r="Q54" s="63"/>
      <c r="R54" s="64" t="str">
        <f>'Energie Énergie'!J61</f>
        <v/>
      </c>
      <c r="S54" s="63"/>
      <c r="T54" s="63"/>
      <c r="U54" s="2" t="str">
        <f>'Energie Énergie'!D61</f>
        <v/>
      </c>
      <c r="V54" s="2" t="str">
        <f>VLOOKUP('Energie Énergie'!C61,RefDimensions!A$2:B$16,2,false)</f>
        <v>#N/A</v>
      </c>
      <c r="W54" s="66"/>
      <c r="X54" s="2" t="str">
        <f t="shared" si="3"/>
        <v> 1Ober</v>
      </c>
      <c r="Y54" s="7" t="s">
        <v>203</v>
      </c>
      <c r="Z54" s="414">
        <v>60.0</v>
      </c>
      <c r="AA54" s="67" t="str">
        <f t="shared" si="4"/>
        <v>Alle &gt; RESSOURCEN &gt; kbob.admin.ch &gt; KBOB / ecobau / IPB 2009/1:2016</v>
      </c>
    </row>
    <row r="55">
      <c r="A55" s="55" t="str">
        <f>'Energie Énergie'!A62 &amp; " " &amp; 'Energie Énergie'!B62 &amp; " (KBOB.2016)"</f>
        <v>45 Elektrizität vom Netz (KBOB.2016)</v>
      </c>
      <c r="B55" s="2" t="str">
        <f t="shared" si="1"/>
        <v>45 Elektrizität vom Netz (KBOB.2016)</v>
      </c>
      <c r="C55" s="2"/>
      <c r="D55" s="2"/>
      <c r="E55" s="2"/>
      <c r="F55" s="2" t="s">
        <v>186</v>
      </c>
      <c r="G55" s="2" t="str">
        <f t="shared" si="2"/>
        <v>OTHER_RESOURCE_ENERGY_ELECTRICITY_NET</v>
      </c>
      <c r="H55" s="63"/>
      <c r="I55" s="64" t="str">
        <f>'Energie Énergie'!E62</f>
        <v/>
      </c>
      <c r="J55" s="64"/>
      <c r="K55" s="64"/>
      <c r="L55" s="64" t="str">
        <f>'Energie Énergie'!G62</f>
        <v/>
      </c>
      <c r="M55" s="63"/>
      <c r="N55" s="63"/>
      <c r="O55" s="64" t="str">
        <f>'Energie Énergie'!H62</f>
        <v/>
      </c>
      <c r="P55" s="63"/>
      <c r="Q55" s="63"/>
      <c r="R55" s="64" t="str">
        <f>'Energie Énergie'!J62</f>
        <v/>
      </c>
      <c r="S55" s="63"/>
      <c r="T55" s="63"/>
      <c r="U55" s="2" t="str">
        <f>'Energie Énergie'!D62</f>
        <v/>
      </c>
      <c r="V55" s="2" t="str">
        <f>VLOOKUP('Energie Énergie'!C62,RefDimensions!A$2:B$16,2,false)</f>
        <v>#N/A</v>
      </c>
      <c r="W55" s="66"/>
      <c r="X55" s="2" t="str">
        <f t="shared" si="3"/>
        <v>45 Ele</v>
      </c>
      <c r="Y55" s="7" t="s">
        <v>203</v>
      </c>
      <c r="Z55" s="414">
        <v>60.0</v>
      </c>
      <c r="AA55" s="67" t="str">
        <f t="shared" si="4"/>
        <v>Alle &gt; RESSOURCEN &gt; kbob.admin.ch &gt; KBOB / ecobau / IPB 2009/1:2016</v>
      </c>
    </row>
    <row r="56">
      <c r="A56" s="55" t="str">
        <f>'Energie Énergie'!A63 &amp; " " &amp; 'Energie Énergie'!B63 &amp; " (KBOB.2016)"</f>
        <v>45.001 Atomkraftwerk (KBOB.2016)</v>
      </c>
      <c r="B56" s="2" t="str">
        <f t="shared" si="1"/>
        <v>45.001 Atomkraftwerk (KBOB.2016)</v>
      </c>
      <c r="C56" s="2"/>
      <c r="D56" s="2"/>
      <c r="E56" s="2"/>
      <c r="F56" s="2" t="s">
        <v>186</v>
      </c>
      <c r="G56" s="2" t="str">
        <f t="shared" si="2"/>
        <v>OTHER_RESOURCE_ENERGY_ELECTRICITY_NET</v>
      </c>
      <c r="H56" s="63"/>
      <c r="I56" s="64">
        <f>'Energie Énergie'!E63</f>
        <v>453</v>
      </c>
      <c r="J56" s="64"/>
      <c r="K56" s="64"/>
      <c r="L56" s="64">
        <f>'Energie Énergie'!G63</f>
        <v>0.00508</v>
      </c>
      <c r="M56" s="63"/>
      <c r="N56" s="63"/>
      <c r="O56" s="64">
        <f>'Energie Énergie'!H63</f>
        <v>4.21</v>
      </c>
      <c r="P56" s="63"/>
      <c r="Q56" s="63"/>
      <c r="R56" s="64">
        <f>'Energie Énergie'!J63</f>
        <v>0.0233</v>
      </c>
      <c r="S56" s="63"/>
      <c r="T56" s="63"/>
      <c r="U56" s="2" t="str">
        <f>'Energie Énergie'!D63</f>
        <v>kWh</v>
      </c>
      <c r="V56" s="2" t="str">
        <f>VLOOKUP('Energie Énergie'!C63,RefDimensions!A$2:B$16,2,false)</f>
        <v>finalEnergy</v>
      </c>
      <c r="W56" s="66"/>
      <c r="X56" s="2" t="str">
        <f t="shared" si="3"/>
        <v>45.001</v>
      </c>
      <c r="Y56" s="7" t="s">
        <v>203</v>
      </c>
      <c r="Z56" s="414">
        <v>60.0</v>
      </c>
      <c r="AA56" s="67" t="str">
        <f t="shared" si="4"/>
        <v>Alle &gt; RESSOURCEN &gt; kbob.admin.ch &gt; KBOB / ecobau / IPB 2009/1:2016</v>
      </c>
    </row>
    <row r="57">
      <c r="A57" s="55" t="str">
        <f>'Energie Énergie'!A64 &amp; " " &amp; 'Energie Énergie'!B64 &amp; " (KBOB.2016)"</f>
        <v>45.002 Erdgaskombikraftwerk GuD (KBOB.2016)</v>
      </c>
      <c r="B57" s="2" t="str">
        <f t="shared" si="1"/>
        <v>45.002 Erdgaskombikraftwerk GuD (KBOB.2016)</v>
      </c>
      <c r="C57" s="2"/>
      <c r="D57" s="2"/>
      <c r="E57" s="2"/>
      <c r="F57" s="2" t="s">
        <v>186</v>
      </c>
      <c r="G57" s="2" t="str">
        <f t="shared" si="2"/>
        <v>OTHER_RESOURCE_ENERGY_ELECTRICITY_NET</v>
      </c>
      <c r="H57" s="63"/>
      <c r="I57" s="64">
        <f>'Energie Énergie'!E64</f>
        <v>308</v>
      </c>
      <c r="J57" s="64"/>
      <c r="K57" s="64"/>
      <c r="L57" s="64">
        <f>'Energie Énergie'!G64</f>
        <v>0.00585</v>
      </c>
      <c r="M57" s="63"/>
      <c r="N57" s="63"/>
      <c r="O57" s="64">
        <f>'Energie Énergie'!H64</f>
        <v>2.22</v>
      </c>
      <c r="P57" s="63"/>
      <c r="Q57" s="63"/>
      <c r="R57" s="64">
        <f>'Energie Énergie'!J64</f>
        <v>0.466</v>
      </c>
      <c r="S57" s="63"/>
      <c r="T57" s="63"/>
      <c r="U57" s="2" t="str">
        <f>'Energie Énergie'!D64</f>
        <v>kWh</v>
      </c>
      <c r="V57" s="2" t="str">
        <f>VLOOKUP('Energie Énergie'!C64,RefDimensions!A$2:B$16,2,false)</f>
        <v>finalEnergy</v>
      </c>
      <c r="W57" s="66"/>
      <c r="X57" s="2" t="str">
        <f t="shared" si="3"/>
        <v>45.002</v>
      </c>
      <c r="Y57" s="7" t="s">
        <v>203</v>
      </c>
      <c r="Z57" s="414">
        <v>60.0</v>
      </c>
      <c r="AA57" s="67" t="str">
        <f t="shared" si="4"/>
        <v>Alle &gt; RESSOURCEN &gt; kbob.admin.ch &gt; KBOB / ecobau / IPB 2009/1:2016</v>
      </c>
    </row>
    <row r="58">
      <c r="A58" s="55" t="str">
        <f>'Energie Énergie'!A65 &amp; " " &amp; 'Energie Énergie'!B65 &amp; " (KBOB.2016)"</f>
        <v>45.023 Braunkohlekraftwerk (KBOB.2016)</v>
      </c>
      <c r="B58" s="2" t="str">
        <f t="shared" si="1"/>
        <v>45.023 Braunkohlekraftwerk (KBOB.2016)</v>
      </c>
      <c r="C58" s="2"/>
      <c r="D58" s="2"/>
      <c r="E58" s="2"/>
      <c r="F58" s="2" t="s">
        <v>186</v>
      </c>
      <c r="G58" s="2" t="str">
        <f t="shared" si="2"/>
        <v>OTHER_RESOURCE_ENERGY_ELECTRICITY_NET</v>
      </c>
      <c r="H58" s="63"/>
      <c r="I58" s="64">
        <f>'Energie Énergie'!E65</f>
        <v>793</v>
      </c>
      <c r="J58" s="64"/>
      <c r="K58" s="64"/>
      <c r="L58" s="64">
        <f>'Energie Énergie'!G65</f>
        <v>0.0116</v>
      </c>
      <c r="M58" s="63"/>
      <c r="N58" s="63"/>
      <c r="O58" s="64">
        <f>'Energie Énergie'!H65</f>
        <v>3.94</v>
      </c>
      <c r="P58" s="63"/>
      <c r="Q58" s="63"/>
      <c r="R58" s="64">
        <f>'Energie Énergie'!J65</f>
        <v>1.36</v>
      </c>
      <c r="S58" s="63"/>
      <c r="T58" s="63"/>
      <c r="U58" s="2" t="str">
        <f>'Energie Énergie'!D65</f>
        <v>kWh</v>
      </c>
      <c r="V58" s="2" t="str">
        <f>VLOOKUP('Energie Énergie'!C65,RefDimensions!A$2:B$16,2,false)</f>
        <v>finalEnergy</v>
      </c>
      <c r="W58" s="66"/>
      <c r="X58" s="2" t="str">
        <f t="shared" si="3"/>
        <v>45.023</v>
      </c>
      <c r="Y58" s="7" t="s">
        <v>203</v>
      </c>
      <c r="Z58" s="414">
        <v>60.0</v>
      </c>
      <c r="AA58" s="67" t="str">
        <f t="shared" si="4"/>
        <v>Alle &gt; RESSOURCEN &gt; kbob.admin.ch &gt; KBOB / ecobau / IPB 2009/1:2016</v>
      </c>
    </row>
    <row r="59">
      <c r="A59" s="55" t="str">
        <f>'Energie Énergie'!A66 &amp; " " &amp; 'Energie Énergie'!B66 &amp; " (KBOB.2016)"</f>
        <v>45.003 Steinkohlekraftwerk (KBOB.2016)</v>
      </c>
      <c r="B59" s="2" t="str">
        <f t="shared" si="1"/>
        <v>45.003 Steinkohlekraftwerk (KBOB.2016)</v>
      </c>
      <c r="C59" s="2"/>
      <c r="D59" s="2"/>
      <c r="E59" s="2"/>
      <c r="F59" s="2" t="s">
        <v>186</v>
      </c>
      <c r="G59" s="2" t="str">
        <f t="shared" si="2"/>
        <v>OTHER_RESOURCE_ENERGY_ELECTRICITY_NET</v>
      </c>
      <c r="H59" s="63"/>
      <c r="I59" s="64">
        <f>'Energie Énergie'!E66</f>
        <v>768</v>
      </c>
      <c r="J59" s="64"/>
      <c r="K59" s="64"/>
      <c r="L59" s="64">
        <f>'Energie Énergie'!G66</f>
        <v>0.0331</v>
      </c>
      <c r="M59" s="63"/>
      <c r="N59" s="63"/>
      <c r="O59" s="64">
        <f>'Energie Énergie'!H66</f>
        <v>3.91</v>
      </c>
      <c r="P59" s="63"/>
      <c r="Q59" s="63"/>
      <c r="R59" s="64">
        <f>'Energie Énergie'!J66</f>
        <v>1.24</v>
      </c>
      <c r="S59" s="63"/>
      <c r="T59" s="63"/>
      <c r="U59" s="2" t="str">
        <f>'Energie Énergie'!D66</f>
        <v>kWh</v>
      </c>
      <c r="V59" s="2" t="str">
        <f>VLOOKUP('Energie Énergie'!C66,RefDimensions!A$2:B$16,2,false)</f>
        <v>finalEnergy</v>
      </c>
      <c r="W59" s="66"/>
      <c r="X59" s="2" t="str">
        <f t="shared" si="3"/>
        <v>45.003</v>
      </c>
      <c r="Y59" s="7" t="s">
        <v>203</v>
      </c>
      <c r="Z59" s="414">
        <v>60.0</v>
      </c>
      <c r="AA59" s="67" t="str">
        <f t="shared" si="4"/>
        <v>Alle &gt; RESSOURCEN &gt; kbob.admin.ch &gt; KBOB / ecobau / IPB 2009/1:2016</v>
      </c>
    </row>
    <row r="60">
      <c r="A60" s="55" t="str">
        <f>'Energie Énergie'!A67 &amp; " " &amp; 'Energie Énergie'!B67 &amp; " (KBOB.2016)"</f>
        <v>45.004 Kraftwerk Schweröl (KBOB.2016)</v>
      </c>
      <c r="B60" s="2" t="str">
        <f t="shared" si="1"/>
        <v>45.004 Kraftwerk Schweröl (KBOB.2016)</v>
      </c>
      <c r="C60" s="2"/>
      <c r="D60" s="2"/>
      <c r="E60" s="2"/>
      <c r="F60" s="2" t="s">
        <v>186</v>
      </c>
      <c r="G60" s="2" t="str">
        <f t="shared" si="2"/>
        <v>OTHER_RESOURCE_ENERGY_ELECTRICITY_NET</v>
      </c>
      <c r="H60" s="63"/>
      <c r="I60" s="64">
        <f>'Energie Énergie'!E67</f>
        <v>1090</v>
      </c>
      <c r="J60" s="64"/>
      <c r="K60" s="64"/>
      <c r="L60" s="64">
        <f>'Energie Énergie'!G67</f>
        <v>0.0129</v>
      </c>
      <c r="M60" s="63"/>
      <c r="N60" s="63"/>
      <c r="O60" s="64">
        <f>'Energie Énergie'!H67</f>
        <v>3.82</v>
      </c>
      <c r="P60" s="63"/>
      <c r="Q60" s="63"/>
      <c r="R60" s="64">
        <f>'Energie Énergie'!J67</f>
        <v>1.01</v>
      </c>
      <c r="S60" s="63"/>
      <c r="T60" s="63"/>
      <c r="U60" s="2" t="str">
        <f>'Energie Énergie'!D67</f>
        <v>kWh</v>
      </c>
      <c r="V60" s="2" t="str">
        <f>VLOOKUP('Energie Énergie'!C67,RefDimensions!A$2:B$16,2,false)</f>
        <v>finalEnergy</v>
      </c>
      <c r="W60" s="66"/>
      <c r="X60" s="2" t="str">
        <f t="shared" si="3"/>
        <v>45.004</v>
      </c>
      <c r="Y60" s="7" t="s">
        <v>203</v>
      </c>
      <c r="Z60" s="414">
        <v>60.0</v>
      </c>
      <c r="AA60" s="67" t="str">
        <f t="shared" si="4"/>
        <v>Alle &gt; RESSOURCEN &gt; kbob.admin.ch &gt; KBOB / ecobau / IPB 2009/1:2016</v>
      </c>
    </row>
    <row r="61">
      <c r="A61" s="55" t="str">
        <f>'Energie Énergie'!A68 &amp; " " &amp; 'Energie Énergie'!B68 &amp; " (KBOB.2016)"</f>
        <v>45.005 Kehrichtverbrennung (KBOB.2016)</v>
      </c>
      <c r="B61" s="2" t="str">
        <f t="shared" si="1"/>
        <v>45.005 Kehrichtverbrennung (KBOB.2016)</v>
      </c>
      <c r="C61" s="2"/>
      <c r="D61" s="2"/>
      <c r="E61" s="2"/>
      <c r="F61" s="2" t="s">
        <v>186</v>
      </c>
      <c r="G61" s="2" t="str">
        <f t="shared" si="2"/>
        <v>OTHER_RESOURCE_ENERGY_ELECTRICITY_NET</v>
      </c>
      <c r="H61" s="63"/>
      <c r="I61" s="64">
        <f>'Energie Énergie'!E68</f>
        <v>32</v>
      </c>
      <c r="J61" s="64"/>
      <c r="K61" s="64"/>
      <c r="L61" s="64">
        <f>'Energie Énergie'!G68</f>
        <v>0.00227</v>
      </c>
      <c r="M61" s="63"/>
      <c r="N61" s="63"/>
      <c r="O61" s="64">
        <f>'Energie Énergie'!H68</f>
        <v>0.0156</v>
      </c>
      <c r="P61" s="63"/>
      <c r="Q61" s="63"/>
      <c r="R61" s="64">
        <f>'Energie Énergie'!J68</f>
        <v>0.00693</v>
      </c>
      <c r="S61" s="63"/>
      <c r="T61" s="63"/>
      <c r="U61" s="2" t="str">
        <f>'Energie Énergie'!D68</f>
        <v>kWh</v>
      </c>
      <c r="V61" s="2" t="str">
        <f>VLOOKUP('Energie Énergie'!C68,RefDimensions!A$2:B$16,2,false)</f>
        <v>finalEnergy</v>
      </c>
      <c r="W61" s="66"/>
      <c r="X61" s="2" t="str">
        <f t="shared" si="3"/>
        <v>45.005</v>
      </c>
      <c r="Y61" s="7" t="s">
        <v>203</v>
      </c>
      <c r="Z61" s="414">
        <v>60.0</v>
      </c>
      <c r="AA61" s="67" t="str">
        <f t="shared" si="4"/>
        <v>Alle &gt; RESSOURCEN &gt; kbob.admin.ch &gt; KBOB / ecobau / IPB 2009/1:2016</v>
      </c>
    </row>
    <row r="62">
      <c r="A62" s="55" t="str">
        <f>'Energie Énergie'!A69 &amp; " " &amp; 'Energie Énergie'!B69 &amp; " (KBOB.2016)"</f>
        <v>45.006 Heizkraftwerk Holz (KBOB.2016)</v>
      </c>
      <c r="B62" s="2" t="str">
        <f t="shared" si="1"/>
        <v>45.006 Heizkraftwerk Holz (KBOB.2016)</v>
      </c>
      <c r="C62" s="2"/>
      <c r="D62" s="2"/>
      <c r="E62" s="2"/>
      <c r="F62" s="2" t="s">
        <v>186</v>
      </c>
      <c r="G62" s="2" t="str">
        <f t="shared" si="2"/>
        <v>OTHER_RESOURCE_ENERGY_ELECTRICITY_NET</v>
      </c>
      <c r="H62" s="63"/>
      <c r="I62" s="64">
        <f>'Energie Énergie'!E69</f>
        <v>295</v>
      </c>
      <c r="J62" s="64"/>
      <c r="K62" s="64"/>
      <c r="L62" s="64">
        <f>'Energie Énergie'!G69</f>
        <v>3.64</v>
      </c>
      <c r="M62" s="63"/>
      <c r="N62" s="63"/>
      <c r="O62" s="64">
        <f>'Energie Énergie'!H69</f>
        <v>0.24</v>
      </c>
      <c r="P62" s="63"/>
      <c r="Q62" s="63"/>
      <c r="R62" s="64">
        <f>'Energie Énergie'!J69</f>
        <v>0.118</v>
      </c>
      <c r="S62" s="63"/>
      <c r="T62" s="63"/>
      <c r="U62" s="2" t="str">
        <f>'Energie Énergie'!D69</f>
        <v>kWh</v>
      </c>
      <c r="V62" s="2" t="str">
        <f>VLOOKUP('Energie Énergie'!C69,RefDimensions!A$2:B$16,2,false)</f>
        <v>finalEnergy</v>
      </c>
      <c r="W62" s="66"/>
      <c r="X62" s="2" t="str">
        <f t="shared" si="3"/>
        <v>45.006</v>
      </c>
      <c r="Y62" s="7" t="s">
        <v>203</v>
      </c>
      <c r="Z62" s="414">
        <v>60.0</v>
      </c>
      <c r="AA62" s="67" t="str">
        <f t="shared" si="4"/>
        <v>Alle &gt; RESSOURCEN &gt; kbob.admin.ch &gt; KBOB / ecobau / IPB 2009/1:2016</v>
      </c>
    </row>
    <row r="63">
      <c r="A63" s="55" t="str">
        <f>'Energie Énergie'!A70 &amp; " " &amp; 'Energie Énergie'!B70 &amp; " (KBOB.2016)"</f>
        <v>45.007 Blockheizkraftwerk Diesel (KBOB.2016)</v>
      </c>
      <c r="B63" s="2" t="str">
        <f t="shared" si="1"/>
        <v>45.007 Blockheizkraftwerk Diesel (KBOB.2016)</v>
      </c>
      <c r="C63" s="2"/>
      <c r="D63" s="2"/>
      <c r="E63" s="2"/>
      <c r="F63" s="2" t="s">
        <v>186</v>
      </c>
      <c r="G63" s="2" t="str">
        <f t="shared" si="2"/>
        <v>OTHER_RESOURCE_ENERGY_ELECTRICITY_NET</v>
      </c>
      <c r="H63" s="63"/>
      <c r="I63" s="64">
        <f>'Energie Énergie'!E70</f>
        <v>677</v>
      </c>
      <c r="J63" s="64"/>
      <c r="K63" s="64"/>
      <c r="L63" s="64">
        <f>'Energie Énergie'!G70</f>
        <v>0.0135</v>
      </c>
      <c r="M63" s="63"/>
      <c r="N63" s="63"/>
      <c r="O63" s="64">
        <f>'Energie Énergie'!H70</f>
        <v>3.27</v>
      </c>
      <c r="P63" s="63"/>
      <c r="Q63" s="63"/>
      <c r="R63" s="64">
        <f>'Energie Énergie'!J70</f>
        <v>0.823</v>
      </c>
      <c r="S63" s="63"/>
      <c r="T63" s="63"/>
      <c r="U63" s="2" t="str">
        <f>'Energie Énergie'!D70</f>
        <v>kWh</v>
      </c>
      <c r="V63" s="2" t="str">
        <f>VLOOKUP('Energie Énergie'!C70,RefDimensions!A$2:B$16,2,false)</f>
        <v>finalEnergy</v>
      </c>
      <c r="W63" s="66"/>
      <c r="X63" s="2" t="str">
        <f t="shared" si="3"/>
        <v>45.007</v>
      </c>
      <c r="Y63" s="7" t="s">
        <v>203</v>
      </c>
      <c r="Z63" s="414">
        <v>60.0</v>
      </c>
      <c r="AA63" s="67" t="str">
        <f t="shared" si="4"/>
        <v>Alle &gt; RESSOURCEN &gt; kbob.admin.ch &gt; KBOB / ecobau / IPB 2009/1:2016</v>
      </c>
    </row>
    <row r="64">
      <c r="A64" s="55" t="str">
        <f>'Energie Énergie'!A71 &amp; " " &amp; 'Energie Énergie'!B71 &amp; " (KBOB.2016)"</f>
        <v>45.008 Blockheizkraftwerk Gas (KBOB.2016)</v>
      </c>
      <c r="B64" s="2" t="str">
        <f t="shared" si="1"/>
        <v>45.008 Blockheizkraftwerk Gas (KBOB.2016)</v>
      </c>
      <c r="C64" s="2"/>
      <c r="D64" s="2"/>
      <c r="E64" s="2"/>
      <c r="F64" s="2" t="s">
        <v>186</v>
      </c>
      <c r="G64" s="2" t="str">
        <f t="shared" si="2"/>
        <v>OTHER_RESOURCE_ENERGY_ELECTRICITY_NET</v>
      </c>
      <c r="H64" s="63"/>
      <c r="I64" s="64">
        <f>'Energie Énergie'!E71</f>
        <v>440</v>
      </c>
      <c r="J64" s="64"/>
      <c r="K64" s="64"/>
      <c r="L64" s="64">
        <f>'Energie Énergie'!G71</f>
        <v>0.00786</v>
      </c>
      <c r="M64" s="63"/>
      <c r="N64" s="63"/>
      <c r="O64" s="64">
        <f>'Energie Énergie'!H71</f>
        <v>2.94</v>
      </c>
      <c r="P64" s="63"/>
      <c r="Q64" s="63"/>
      <c r="R64" s="64">
        <f>'Energie Énergie'!J71</f>
        <v>0.669</v>
      </c>
      <c r="S64" s="63"/>
      <c r="T64" s="63"/>
      <c r="U64" s="2" t="str">
        <f>'Energie Énergie'!D71</f>
        <v>kWh</v>
      </c>
      <c r="V64" s="2" t="str">
        <f>VLOOKUP('Energie Énergie'!C71,RefDimensions!A$2:B$16,2,false)</f>
        <v>finalEnergy</v>
      </c>
      <c r="W64" s="66"/>
      <c r="X64" s="2" t="str">
        <f t="shared" si="3"/>
        <v>45.008</v>
      </c>
      <c r="Y64" s="7" t="s">
        <v>203</v>
      </c>
      <c r="Z64" s="414">
        <v>60.0</v>
      </c>
      <c r="AA64" s="67" t="str">
        <f t="shared" si="4"/>
        <v>Alle &gt; RESSOURCEN &gt; kbob.admin.ch &gt; KBOB / ecobau / IPB 2009/1:2016</v>
      </c>
    </row>
    <row r="65">
      <c r="A65" s="55" t="str">
        <f>'Energie Énergie'!A72 &amp; " " &amp; 'Energie Énergie'!B72 &amp; " (KBOB.2016)"</f>
        <v>45.009 Blockheizkraftwerk Biogas (KBOB.2016)</v>
      </c>
      <c r="B65" s="2" t="str">
        <f t="shared" si="1"/>
        <v>45.009 Blockheizkraftwerk Biogas (KBOB.2016)</v>
      </c>
      <c r="C65" s="2"/>
      <c r="D65" s="2"/>
      <c r="E65" s="2"/>
      <c r="F65" s="2" t="s">
        <v>186</v>
      </c>
      <c r="G65" s="2" t="str">
        <f t="shared" si="2"/>
        <v>OTHER_RESOURCE_ENERGY_ELECTRICITY_NET</v>
      </c>
      <c r="H65" s="63"/>
      <c r="I65" s="64">
        <f>'Energie Énergie'!E72</f>
        <v>374</v>
      </c>
      <c r="J65" s="64"/>
      <c r="K65" s="64"/>
      <c r="L65" s="64">
        <f>'Energie Énergie'!G72</f>
        <v>0.0878</v>
      </c>
      <c r="M65" s="63"/>
      <c r="N65" s="63"/>
      <c r="O65" s="64">
        <f>'Energie Énergie'!H72</f>
        <v>0.827</v>
      </c>
      <c r="P65" s="63"/>
      <c r="Q65" s="63"/>
      <c r="R65" s="64">
        <f>'Energie Énergie'!J72</f>
        <v>0.403</v>
      </c>
      <c r="S65" s="63"/>
      <c r="T65" s="63"/>
      <c r="U65" s="2" t="str">
        <f>'Energie Énergie'!D72</f>
        <v>kWh</v>
      </c>
      <c r="V65" s="2" t="str">
        <f>VLOOKUP('Energie Énergie'!C72,RefDimensions!A$2:B$16,2,false)</f>
        <v>finalEnergy</v>
      </c>
      <c r="W65" s="66"/>
      <c r="X65" s="2" t="str">
        <f t="shared" si="3"/>
        <v>45.009</v>
      </c>
      <c r="Y65" s="7" t="s">
        <v>203</v>
      </c>
      <c r="Z65" s="414">
        <v>60.0</v>
      </c>
      <c r="AA65" s="67" t="str">
        <f t="shared" si="4"/>
        <v>Alle &gt; RESSOURCEN &gt; kbob.admin.ch &gt; KBOB / ecobau / IPB 2009/1:2016</v>
      </c>
    </row>
    <row r="66">
      <c r="A66" s="55" t="str">
        <f>'Energie Énergie'!A73 &amp; " " &amp; 'Energie Énergie'!B73 &amp; " (KBOB.2016)"</f>
        <v>45.010 Blockheizkraftwerk Biogas, Landwirtschaft (KBOB.2016)</v>
      </c>
      <c r="B66" s="2" t="str">
        <f t="shared" si="1"/>
        <v>45.010 Blockheizkraftwerk Biogas, Landwirtschaft (KBOB.2016)</v>
      </c>
      <c r="C66" s="2"/>
      <c r="D66" s="2"/>
      <c r="E66" s="2"/>
      <c r="F66" s="2" t="s">
        <v>186</v>
      </c>
      <c r="G66" s="2" t="str">
        <f t="shared" si="2"/>
        <v>OTHER_RESOURCE_ENERGY_ELECTRICITY_NET</v>
      </c>
      <c r="H66" s="63"/>
      <c r="I66" s="64">
        <f>'Energie Énergie'!E73</f>
        <v>230</v>
      </c>
      <c r="J66" s="64"/>
      <c r="K66" s="64"/>
      <c r="L66" s="64">
        <f>'Energie Énergie'!G73</f>
        <v>0.0415</v>
      </c>
      <c r="M66" s="63"/>
      <c r="N66" s="63"/>
      <c r="O66" s="64">
        <f>'Energie Énergie'!H73</f>
        <v>0.152</v>
      </c>
      <c r="P66" s="63"/>
      <c r="Q66" s="63"/>
      <c r="R66" s="64">
        <f>'Energie Énergie'!J73</f>
        <v>0.177</v>
      </c>
      <c r="S66" s="63"/>
      <c r="T66" s="63"/>
      <c r="U66" s="2" t="str">
        <f>'Energie Énergie'!D73</f>
        <v>kWh</v>
      </c>
      <c r="V66" s="2" t="str">
        <f>VLOOKUP('Energie Énergie'!C73,RefDimensions!A$2:B$16,2,false)</f>
        <v>finalEnergy</v>
      </c>
      <c r="W66" s="66"/>
      <c r="X66" s="2" t="str">
        <f t="shared" si="3"/>
        <v>45.010</v>
      </c>
      <c r="Y66" s="7" t="s">
        <v>203</v>
      </c>
      <c r="Z66" s="414">
        <v>60.0</v>
      </c>
      <c r="AA66" s="67" t="str">
        <f t="shared" si="4"/>
        <v>Alle &gt; RESSOURCEN &gt; kbob.admin.ch &gt; KBOB / ecobau / IPB 2009/1:2016</v>
      </c>
    </row>
    <row r="67">
      <c r="A67" s="55" t="str">
        <f>'Energie Énergie'!A74 &amp; " " &amp; 'Energie Énergie'!B74 &amp; " (KBOB.2016)"</f>
        <v>45.011 Photovoltaik (KBOB.2016)</v>
      </c>
      <c r="B67" s="2" t="str">
        <f t="shared" si="1"/>
        <v>45.011 Photovoltaik (KBOB.2016)</v>
      </c>
      <c r="C67" s="2"/>
      <c r="D67" s="2"/>
      <c r="E67" s="2"/>
      <c r="F67" s="2" t="s">
        <v>186</v>
      </c>
      <c r="G67" s="2" t="str">
        <f t="shared" si="2"/>
        <v>OTHER_RESOURCE_ENERGY_ELECTRICITY_NET</v>
      </c>
      <c r="H67" s="63"/>
      <c r="I67" s="64">
        <f>'Energie Énergie'!E74</f>
        <v>174</v>
      </c>
      <c r="J67" s="64"/>
      <c r="K67" s="64"/>
      <c r="L67" s="64">
        <f>'Energie Énergie'!G74</f>
        <v>1.22</v>
      </c>
      <c r="M67" s="63"/>
      <c r="N67" s="63"/>
      <c r="O67" s="64">
        <f>'Energie Énergie'!H74</f>
        <v>0.334</v>
      </c>
      <c r="P67" s="63"/>
      <c r="Q67" s="63"/>
      <c r="R67" s="64">
        <f>'Energie Énergie'!J74</f>
        <v>0.0964</v>
      </c>
      <c r="S67" s="63"/>
      <c r="T67" s="63"/>
      <c r="U67" s="2" t="str">
        <f>'Energie Énergie'!D74</f>
        <v>kWh</v>
      </c>
      <c r="V67" s="2" t="str">
        <f>VLOOKUP('Energie Énergie'!C74,RefDimensions!A$2:B$16,2,false)</f>
        <v>finalEnergy</v>
      </c>
      <c r="W67" s="66"/>
      <c r="X67" s="2" t="str">
        <f t="shared" si="3"/>
        <v>45.011</v>
      </c>
      <c r="Y67" s="7" t="s">
        <v>203</v>
      </c>
      <c r="Z67" s="414">
        <v>60.0</v>
      </c>
      <c r="AA67" s="67" t="str">
        <f t="shared" si="4"/>
        <v>Alle &gt; RESSOURCEN &gt; kbob.admin.ch &gt; KBOB / ecobau / IPB 2009/1:2016</v>
      </c>
    </row>
    <row r="68">
      <c r="A68" s="55" t="str">
        <f>'Energie Énergie'!A75 &amp; " " &amp; 'Energie Énergie'!B75 &amp; " (KBOB.2016)"</f>
        <v>45.012 Photovoltaik Schrägdach (KBOB.2016)</v>
      </c>
      <c r="B68" s="2" t="str">
        <f t="shared" si="1"/>
        <v>45.012 Photovoltaik Schrägdach (KBOB.2016)</v>
      </c>
      <c r="C68" s="2"/>
      <c r="D68" s="2"/>
      <c r="E68" s="2"/>
      <c r="F68" s="2" t="s">
        <v>186</v>
      </c>
      <c r="G68" s="2" t="str">
        <f t="shared" si="2"/>
        <v>OTHER_RESOURCE_ENERGY_ELECTRICITY_NET</v>
      </c>
      <c r="H68" s="63"/>
      <c r="I68" s="64">
        <f>'Energie Énergie'!E75</f>
        <v>169</v>
      </c>
      <c r="J68" s="64"/>
      <c r="K68" s="64"/>
      <c r="L68" s="64">
        <f>'Energie Énergie'!G75</f>
        <v>1.22</v>
      </c>
      <c r="M68" s="63"/>
      <c r="N68" s="63"/>
      <c r="O68" s="64">
        <f>'Energie Énergie'!H75</f>
        <v>0.318</v>
      </c>
      <c r="P68" s="63"/>
      <c r="Q68" s="63"/>
      <c r="R68" s="64">
        <f>'Energie Énergie'!J75</f>
        <v>0.0914</v>
      </c>
      <c r="S68" s="63"/>
      <c r="T68" s="63"/>
      <c r="U68" s="2" t="str">
        <f>'Energie Énergie'!D75</f>
        <v>kWh</v>
      </c>
      <c r="V68" s="2" t="str">
        <f>VLOOKUP('Energie Énergie'!C75,RefDimensions!A$2:B$16,2,false)</f>
        <v>finalEnergy</v>
      </c>
      <c r="W68" s="66"/>
      <c r="X68" s="2" t="str">
        <f t="shared" si="3"/>
        <v>45.012</v>
      </c>
      <c r="Y68" s="7" t="s">
        <v>203</v>
      </c>
      <c r="Z68" s="414">
        <v>60.0</v>
      </c>
      <c r="AA68" s="67" t="str">
        <f t="shared" si="4"/>
        <v>Alle &gt; RESSOURCEN &gt; kbob.admin.ch &gt; KBOB / ecobau / IPB 2009/1:2016</v>
      </c>
    </row>
    <row r="69">
      <c r="A69" s="55" t="str">
        <f>'Energie Énergie'!A76 &amp; " " &amp; 'Energie Énergie'!B76 &amp; " (KBOB.2016)"</f>
        <v>45.013 Photovoltaik Flachdach (KBOB.2016)</v>
      </c>
      <c r="B69" s="2" t="str">
        <f t="shared" si="1"/>
        <v>45.013 Photovoltaik Flachdach (KBOB.2016)</v>
      </c>
      <c r="C69" s="2"/>
      <c r="D69" s="2"/>
      <c r="E69" s="2"/>
      <c r="F69" s="2" t="s">
        <v>186</v>
      </c>
      <c r="G69" s="2" t="str">
        <f t="shared" si="2"/>
        <v>OTHER_RESOURCE_ENERGY_ELECTRICITY_NET</v>
      </c>
      <c r="H69" s="63"/>
      <c r="I69" s="64">
        <f>'Energie Énergie'!E76</f>
        <v>156</v>
      </c>
      <c r="J69" s="64"/>
      <c r="K69" s="64"/>
      <c r="L69" s="64">
        <f>'Energie Énergie'!G76</f>
        <v>1.22</v>
      </c>
      <c r="M69" s="63"/>
      <c r="N69" s="63"/>
      <c r="O69" s="64">
        <f>'Energie Énergie'!H76</f>
        <v>0.324</v>
      </c>
      <c r="P69" s="63"/>
      <c r="Q69" s="63"/>
      <c r="R69" s="64">
        <f>'Energie Énergie'!J76</f>
        <v>0.0958</v>
      </c>
      <c r="S69" s="63"/>
      <c r="T69" s="63"/>
      <c r="U69" s="2" t="str">
        <f>'Energie Énergie'!D76</f>
        <v>kWh</v>
      </c>
      <c r="V69" s="2" t="str">
        <f>VLOOKUP('Energie Énergie'!C76,RefDimensions!A$2:B$16,2,false)</f>
        <v>finalEnergy</v>
      </c>
      <c r="W69" s="66"/>
      <c r="X69" s="2" t="str">
        <f t="shared" si="3"/>
        <v>45.013</v>
      </c>
      <c r="Y69" s="7" t="s">
        <v>203</v>
      </c>
      <c r="Z69" s="414">
        <v>60.0</v>
      </c>
      <c r="AA69" s="67" t="str">
        <f t="shared" si="4"/>
        <v>Alle &gt; RESSOURCEN &gt; kbob.admin.ch &gt; KBOB / ecobau / IPB 2009/1:2016</v>
      </c>
    </row>
    <row r="70">
      <c r="A70" s="55" t="str">
        <f>'Energie Énergie'!A77 &amp; " " &amp; 'Energie Énergie'!B77 &amp; " (KBOB.2016)"</f>
        <v>45.014 Photovoltaik Fassade (KBOB.2016)</v>
      </c>
      <c r="B70" s="2" t="str">
        <f t="shared" si="1"/>
        <v>45.014 Photovoltaik Fassade (KBOB.2016)</v>
      </c>
      <c r="C70" s="2"/>
      <c r="D70" s="2"/>
      <c r="E70" s="2"/>
      <c r="F70" s="2" t="s">
        <v>186</v>
      </c>
      <c r="G70" s="2" t="str">
        <f t="shared" si="2"/>
        <v>OTHER_RESOURCE_ENERGY_ELECTRICITY_NET</v>
      </c>
      <c r="H70" s="63"/>
      <c r="I70" s="64">
        <f>'Energie Énergie'!E77</f>
        <v>225</v>
      </c>
      <c r="J70" s="64"/>
      <c r="K70" s="64"/>
      <c r="L70" s="64">
        <f>'Energie Énergie'!G77</f>
        <v>1.24</v>
      </c>
      <c r="M70" s="63"/>
      <c r="N70" s="63"/>
      <c r="O70" s="64">
        <f>'Energie Énergie'!H77</f>
        <v>0.461</v>
      </c>
      <c r="P70" s="63"/>
      <c r="Q70" s="63"/>
      <c r="R70" s="64">
        <f>'Energie Énergie'!J77</f>
        <v>0.135</v>
      </c>
      <c r="S70" s="63"/>
      <c r="T70" s="63"/>
      <c r="U70" s="2" t="str">
        <f>'Energie Énergie'!D77</f>
        <v>kWh</v>
      </c>
      <c r="V70" s="2" t="str">
        <f>VLOOKUP('Energie Énergie'!C77,RefDimensions!A$2:B$16,2,false)</f>
        <v>finalEnergy</v>
      </c>
      <c r="W70" s="66"/>
      <c r="X70" s="2" t="str">
        <f t="shared" si="3"/>
        <v>45.014</v>
      </c>
      <c r="Y70" s="7" t="s">
        <v>203</v>
      </c>
      <c r="Z70" s="414">
        <v>60.0</v>
      </c>
      <c r="AA70" s="67" t="str">
        <f t="shared" si="4"/>
        <v>Alle &gt; RESSOURCEN &gt; kbob.admin.ch &gt; KBOB / ecobau / IPB 2009/1:2016</v>
      </c>
    </row>
    <row r="71">
      <c r="A71" s="55" t="str">
        <f>'Energie Énergie'!A78 &amp; " " &amp; 'Energie Énergie'!B78 &amp; " (KBOB.2016)"</f>
        <v>45.015 Windkraft (KBOB.2016)</v>
      </c>
      <c r="B71" s="2" t="str">
        <f t="shared" si="1"/>
        <v>45.015 Windkraft (KBOB.2016)</v>
      </c>
      <c r="C71" s="2"/>
      <c r="D71" s="2"/>
      <c r="E71" s="2"/>
      <c r="F71" s="2" t="s">
        <v>186</v>
      </c>
      <c r="G71" s="2" t="str">
        <f t="shared" si="2"/>
        <v>OTHER_RESOURCE_ENERGY_ELECTRICITY_NET</v>
      </c>
      <c r="H71" s="63"/>
      <c r="I71" s="64">
        <f>'Energie Énergie'!E78</f>
        <v>74</v>
      </c>
      <c r="J71" s="64"/>
      <c r="K71" s="64"/>
      <c r="L71" s="64">
        <f>'Energie Énergie'!G78</f>
        <v>1.2</v>
      </c>
      <c r="M71" s="63"/>
      <c r="N71" s="63"/>
      <c r="O71" s="64">
        <f>'Energie Énergie'!H78</f>
        <v>0.0937</v>
      </c>
      <c r="P71" s="63"/>
      <c r="Q71" s="63"/>
      <c r="R71" s="64">
        <f>'Energie Énergie'!J78</f>
        <v>0.026</v>
      </c>
      <c r="S71" s="63"/>
      <c r="T71" s="63"/>
      <c r="U71" s="2" t="str">
        <f>'Energie Énergie'!D78</f>
        <v>kWh</v>
      </c>
      <c r="V71" s="2" t="str">
        <f>VLOOKUP('Energie Énergie'!C78,RefDimensions!A$2:B$16,2,false)</f>
        <v>finalEnergy</v>
      </c>
      <c r="W71" s="66"/>
      <c r="X71" s="2" t="str">
        <f t="shared" si="3"/>
        <v>45.015</v>
      </c>
      <c r="Y71" s="7" t="s">
        <v>203</v>
      </c>
      <c r="Z71" s="414">
        <v>60.0</v>
      </c>
      <c r="AA71" s="67" t="str">
        <f t="shared" si="4"/>
        <v>Alle &gt; RESSOURCEN &gt; kbob.admin.ch &gt; KBOB / ecobau / IPB 2009/1:2016</v>
      </c>
    </row>
    <row r="72">
      <c r="A72" s="55" t="str">
        <f>'Energie Énergie'!A79 &amp; " " &amp; 'Energie Énergie'!B79 &amp; " (KBOB.2016)"</f>
        <v>45.016 Wasserkraft (KBOB.2016)</v>
      </c>
      <c r="B72" s="2" t="str">
        <f t="shared" si="1"/>
        <v>45.016 Wasserkraft (KBOB.2016)</v>
      </c>
      <c r="C72" s="2"/>
      <c r="D72" s="2"/>
      <c r="E72" s="2"/>
      <c r="F72" s="2" t="s">
        <v>186</v>
      </c>
      <c r="G72" s="2" t="str">
        <f t="shared" si="2"/>
        <v>OTHER_RESOURCE_ENERGY_ELECTRICITY_NET</v>
      </c>
      <c r="H72" s="63"/>
      <c r="I72" s="64">
        <f>'Energie Énergie'!E79</f>
        <v>43.8</v>
      </c>
      <c r="J72" s="64"/>
      <c r="K72" s="64"/>
      <c r="L72" s="64">
        <f>'Energie Énergie'!G79</f>
        <v>1.17</v>
      </c>
      <c r="M72" s="63"/>
      <c r="N72" s="63"/>
      <c r="O72" s="64">
        <f>'Energie Énergie'!H79</f>
        <v>0.029</v>
      </c>
      <c r="P72" s="63"/>
      <c r="Q72" s="63"/>
      <c r="R72" s="64">
        <f>'Energie Énergie'!J79</f>
        <v>0.0122</v>
      </c>
      <c r="S72" s="63"/>
      <c r="T72" s="63"/>
      <c r="U72" s="2" t="str">
        <f>'Energie Énergie'!D79</f>
        <v>kWh</v>
      </c>
      <c r="V72" s="2" t="str">
        <f>VLOOKUP('Energie Énergie'!C79,RefDimensions!A$2:B$16,2,false)</f>
        <v>finalEnergy</v>
      </c>
      <c r="W72" s="66"/>
      <c r="X72" s="2" t="str">
        <f t="shared" si="3"/>
        <v>45.016</v>
      </c>
      <c r="Y72" s="7" t="s">
        <v>203</v>
      </c>
      <c r="Z72" s="414">
        <v>60.0</v>
      </c>
      <c r="AA72" s="67" t="str">
        <f t="shared" si="4"/>
        <v>Alle &gt; RESSOURCEN &gt; kbob.admin.ch &gt; KBOB / ecobau / IPB 2009/1:2016</v>
      </c>
    </row>
    <row r="73">
      <c r="A73" s="55" t="str">
        <f>'Energie Énergie'!A80 &amp; " " &amp; 'Energie Énergie'!B80 &amp; " (KBOB.2016)"</f>
        <v>45.017 Pumpspeicherung (KBOB.2016)</v>
      </c>
      <c r="B73" s="2" t="str">
        <f t="shared" si="1"/>
        <v>45.017 Pumpspeicherung (KBOB.2016)</v>
      </c>
      <c r="C73" s="2"/>
      <c r="D73" s="2"/>
      <c r="E73" s="2"/>
      <c r="F73" s="2" t="s">
        <v>186</v>
      </c>
      <c r="G73" s="2" t="str">
        <f t="shared" si="2"/>
        <v>OTHER_RESOURCE_ENERGY_ELECTRICITY_NET</v>
      </c>
      <c r="H73" s="63"/>
      <c r="I73" s="64">
        <f>'Energie Énergie'!E80</f>
        <v>451</v>
      </c>
      <c r="J73" s="64"/>
      <c r="K73" s="64"/>
      <c r="L73" s="64">
        <f>'Energie Énergie'!G80</f>
        <v>0.631</v>
      </c>
      <c r="M73" s="63"/>
      <c r="N73" s="63"/>
      <c r="O73" s="64">
        <f>'Energie Énergie'!H80</f>
        <v>3.26</v>
      </c>
      <c r="P73" s="63"/>
      <c r="Q73" s="63"/>
      <c r="R73" s="64">
        <f>'Energie Énergie'!J80</f>
        <v>0.139</v>
      </c>
      <c r="S73" s="63"/>
      <c r="T73" s="63"/>
      <c r="U73" s="2" t="str">
        <f>'Energie Énergie'!D80</f>
        <v>kWh</v>
      </c>
      <c r="V73" s="2" t="str">
        <f>VLOOKUP('Energie Énergie'!C80,RefDimensions!A$2:B$16,2,false)</f>
        <v>finalEnergy</v>
      </c>
      <c r="W73" s="66"/>
      <c r="X73" s="2" t="str">
        <f t="shared" si="3"/>
        <v>45.017</v>
      </c>
      <c r="Y73" s="7" t="s">
        <v>203</v>
      </c>
      <c r="Z73" s="414">
        <v>60.0</v>
      </c>
      <c r="AA73" s="67" t="str">
        <f t="shared" si="4"/>
        <v>Alle &gt; RESSOURCEN &gt; kbob.admin.ch &gt; KBOB / ecobau / IPB 2009/1:2016</v>
      </c>
    </row>
    <row r="74">
      <c r="A74" s="55" t="str">
        <f>'Energie Énergie'!A81 &amp; " " &amp; 'Energie Énergie'!B81 &amp; " (KBOB.2016)"</f>
        <v>45.018 Heizkraftwerk Geothermie (KBOB.2016)</v>
      </c>
      <c r="B74" s="2" t="str">
        <f t="shared" si="1"/>
        <v>45.018 Heizkraftwerk Geothermie (KBOB.2016)</v>
      </c>
      <c r="C74" s="2"/>
      <c r="D74" s="2"/>
      <c r="E74" s="2"/>
      <c r="F74" s="2" t="s">
        <v>186</v>
      </c>
      <c r="G74" s="2" t="str">
        <f t="shared" si="2"/>
        <v>OTHER_RESOURCE_ENERGY_ELECTRICITY_NET</v>
      </c>
      <c r="H74" s="63"/>
      <c r="I74" s="64">
        <f>'Energie Énergie'!E81</f>
        <v>103</v>
      </c>
      <c r="J74" s="64"/>
      <c r="K74" s="64"/>
      <c r="L74" s="64">
        <f>'Energie Énergie'!G81</f>
        <v>3.17</v>
      </c>
      <c r="M74" s="63"/>
      <c r="N74" s="63"/>
      <c r="O74" s="64">
        <f>'Energie Énergie'!H81</f>
        <v>0.191</v>
      </c>
      <c r="P74" s="63"/>
      <c r="Q74" s="63"/>
      <c r="R74" s="64">
        <f>'Energie Énergie'!J81</f>
        <v>0.0309</v>
      </c>
      <c r="S74" s="63"/>
      <c r="T74" s="63"/>
      <c r="U74" s="2" t="str">
        <f>'Energie Énergie'!D81</f>
        <v>kWh</v>
      </c>
      <c r="V74" s="2" t="str">
        <f>VLOOKUP('Energie Énergie'!C81,RefDimensions!A$2:B$16,2,false)</f>
        <v>finalEnergy</v>
      </c>
      <c r="W74" s="66"/>
      <c r="X74" s="2" t="str">
        <f t="shared" si="3"/>
        <v>45.018</v>
      </c>
      <c r="Y74" s="7" t="s">
        <v>203</v>
      </c>
      <c r="Z74" s="414">
        <v>60.0</v>
      </c>
      <c r="AA74" s="67" t="str">
        <f t="shared" si="4"/>
        <v>Alle &gt; RESSOURCEN &gt; kbob.admin.ch &gt; KBOB / ecobau / IPB 2009/1:2016</v>
      </c>
    </row>
    <row r="75">
      <c r="A75" s="55" t="str">
        <f>'Energie Énergie'!A82 &amp; " " &amp; 'Energie Énergie'!B82 &amp; " (KBOB.2016)"</f>
        <v>45.019 CH-Produktionsmix (KBOB.2016)</v>
      </c>
      <c r="B75" s="2" t="str">
        <f t="shared" si="1"/>
        <v>45.019 CH-Produktionsmix (KBOB.2016)</v>
      </c>
      <c r="C75" s="2"/>
      <c r="D75" s="2"/>
      <c r="E75" s="2"/>
      <c r="F75" s="2" t="s">
        <v>186</v>
      </c>
      <c r="G75" s="2" t="str">
        <f t="shared" si="2"/>
        <v>OTHER_RESOURCE_ENERGY_ELECTRICITY_NET</v>
      </c>
      <c r="H75" s="63"/>
      <c r="I75" s="64">
        <f>'Energie Énergie'!E82</f>
        <v>229</v>
      </c>
      <c r="J75" s="64"/>
      <c r="K75" s="64"/>
      <c r="L75" s="64">
        <f>'Energie Énergie'!G82</f>
        <v>0.657</v>
      </c>
      <c r="M75" s="63"/>
      <c r="N75" s="63"/>
      <c r="O75" s="64">
        <f>'Energie Énergie'!H82</f>
        <v>1.85</v>
      </c>
      <c r="P75" s="63"/>
      <c r="Q75" s="63"/>
      <c r="R75" s="64">
        <f>'Energie Énergie'!J82</f>
        <v>0.0268</v>
      </c>
      <c r="S75" s="63"/>
      <c r="T75" s="63"/>
      <c r="U75" s="2" t="str">
        <f>'Energie Énergie'!D82</f>
        <v>kWh</v>
      </c>
      <c r="V75" s="2" t="str">
        <f>VLOOKUP('Energie Énergie'!C82,RefDimensions!A$2:B$16,2,false)</f>
        <v>finalEnergy</v>
      </c>
      <c r="W75" s="66"/>
      <c r="X75" s="2" t="str">
        <f t="shared" si="3"/>
        <v>45.019</v>
      </c>
      <c r="Y75" s="7" t="s">
        <v>203</v>
      </c>
      <c r="Z75" s="414">
        <v>60.0</v>
      </c>
      <c r="AA75" s="67" t="str">
        <f t="shared" si="4"/>
        <v>Alle &gt; RESSOURCEN &gt; kbob.admin.ch &gt; KBOB / ecobau / IPB 2009/1:2016</v>
      </c>
    </row>
    <row r="76">
      <c r="A76" s="55" t="str">
        <f>'Energie Énergie'!A83 &amp; " " &amp; 'Energie Énergie'!B83 &amp; " (KBOB.2016)"</f>
        <v>45.022 Mix Stromprodukte aus erneuerbaren Energien (KBOB.2016)</v>
      </c>
      <c r="B76" s="2" t="str">
        <f t="shared" si="1"/>
        <v>45.022 Mix Stromprodukte aus erneuerbaren Energien (KBOB.2016)</v>
      </c>
      <c r="C76" s="2"/>
      <c r="D76" s="2"/>
      <c r="E76" s="2"/>
      <c r="F76" s="2" t="s">
        <v>186</v>
      </c>
      <c r="G76" s="2" t="str">
        <f t="shared" si="2"/>
        <v>OTHER_RESOURCE_ENERGY_ELECTRICITY_NET</v>
      </c>
      <c r="H76" s="63"/>
      <c r="I76" s="64">
        <f>'Energie Énergie'!E83</f>
        <v>47.8</v>
      </c>
      <c r="J76" s="64"/>
      <c r="K76" s="64"/>
      <c r="L76" s="64">
        <f>'Energie Énergie'!G83</f>
        <v>1.17</v>
      </c>
      <c r="M76" s="63"/>
      <c r="N76" s="63"/>
      <c r="O76" s="64">
        <f>'Energie Énergie'!H83</f>
        <v>0.0359</v>
      </c>
      <c r="P76" s="63"/>
      <c r="Q76" s="63"/>
      <c r="R76" s="64">
        <f>'Energie Énergie'!J83</f>
        <v>0.0153</v>
      </c>
      <c r="S76" s="63"/>
      <c r="T76" s="63"/>
      <c r="U76" s="2" t="str">
        <f>'Energie Énergie'!D83</f>
        <v>kWh</v>
      </c>
      <c r="V76" s="2" t="str">
        <f>VLOOKUP('Energie Énergie'!C83,RefDimensions!A$2:B$16,2,false)</f>
        <v>finalEnergy</v>
      </c>
      <c r="W76" s="66"/>
      <c r="X76" s="2" t="str">
        <f t="shared" si="3"/>
        <v>45.022</v>
      </c>
      <c r="Y76" s="7" t="s">
        <v>203</v>
      </c>
      <c r="Z76" s="414">
        <v>60.0</v>
      </c>
      <c r="AA76" s="67" t="str">
        <f t="shared" si="4"/>
        <v>Alle &gt; RESSOURCEN &gt; kbob.admin.ch &gt; KBOB / ecobau / IPB 2009/1:2016</v>
      </c>
    </row>
    <row r="77">
      <c r="A77" s="55" t="str">
        <f>'Energie Énergie'!A84 &amp; " " &amp; 'Energie Énergie'!B84 &amp; " (KBOB.2016)"</f>
        <v>45.020 CH-Verbrauchermix3 (KBOB.2016)</v>
      </c>
      <c r="B77" s="2" t="str">
        <f t="shared" si="1"/>
        <v>45.020 CH-Verbrauchermix3 (KBOB.2016)</v>
      </c>
      <c r="C77" s="2"/>
      <c r="D77" s="2"/>
      <c r="E77" s="2"/>
      <c r="F77" s="2" t="s">
        <v>186</v>
      </c>
      <c r="G77" s="2" t="str">
        <f t="shared" si="2"/>
        <v>OTHER_RESOURCE_ENERGY_ELECTRICITY_NET</v>
      </c>
      <c r="H77" s="63"/>
      <c r="I77" s="64">
        <f>'Energie Énergie'!E84</f>
        <v>347</v>
      </c>
      <c r="J77" s="64"/>
      <c r="K77" s="64"/>
      <c r="L77" s="64">
        <f>'Energie Énergie'!G84</f>
        <v>0.488</v>
      </c>
      <c r="M77" s="63"/>
      <c r="N77" s="63"/>
      <c r="O77" s="64">
        <f>'Energie Énergie'!H84</f>
        <v>2.52</v>
      </c>
      <c r="P77" s="63"/>
      <c r="Q77" s="63"/>
      <c r="R77" s="64">
        <f>'Energie Énergie'!J84</f>
        <v>0.102</v>
      </c>
      <c r="S77" s="63"/>
      <c r="T77" s="63"/>
      <c r="U77" s="2" t="str">
        <f>'Energie Énergie'!D84</f>
        <v>kWh</v>
      </c>
      <c r="V77" s="2" t="str">
        <f>VLOOKUP('Energie Énergie'!C84,RefDimensions!A$2:B$16,2,false)</f>
        <v>finalEnergy</v>
      </c>
      <c r="W77" s="66"/>
      <c r="X77" s="2" t="str">
        <f t="shared" si="3"/>
        <v>45.020</v>
      </c>
      <c r="Y77" s="7" t="s">
        <v>203</v>
      </c>
      <c r="Z77" s="414">
        <v>60.0</v>
      </c>
      <c r="AA77" s="67" t="str">
        <f t="shared" si="4"/>
        <v>Alle &gt; RESSOURCEN &gt; kbob.admin.ch &gt; KBOB / ecobau / IPB 2009/1:2016</v>
      </c>
    </row>
    <row r="78">
      <c r="A78" s="55" t="str">
        <f>'Energie Énergie'!A85 &amp; " " &amp; 'Energie Énergie'!B85 &amp; " (KBOB.2016)"</f>
        <v>45.021 ENTSO-E-Mix (ehemals UCTE-Mix) (KBOB.2016)</v>
      </c>
      <c r="B78" s="2" t="str">
        <f t="shared" si="1"/>
        <v>45.021 ENTSO-E-Mix (ehemals UCTE-Mix) (KBOB.2016)</v>
      </c>
      <c r="C78" s="2"/>
      <c r="D78" s="2"/>
      <c r="E78" s="2"/>
      <c r="F78" s="2" t="s">
        <v>186</v>
      </c>
      <c r="G78" s="2" t="str">
        <f t="shared" si="2"/>
        <v>OTHER_RESOURCE_ENERGY_ELECTRICITY_NET</v>
      </c>
      <c r="H78" s="63"/>
      <c r="I78" s="64">
        <f>'Energie Énergie'!E85</f>
        <v>548</v>
      </c>
      <c r="J78" s="64"/>
      <c r="K78" s="64"/>
      <c r="L78" s="64">
        <f>'Energie Énergie'!G85</f>
        <v>0.299</v>
      </c>
      <c r="M78" s="63"/>
      <c r="N78" s="63"/>
      <c r="O78" s="64">
        <f>'Energie Énergie'!H85</f>
        <v>2.89</v>
      </c>
      <c r="P78" s="63"/>
      <c r="Q78" s="63"/>
      <c r="R78" s="64">
        <f>'Energie Énergie'!J85</f>
        <v>0.524</v>
      </c>
      <c r="S78" s="63"/>
      <c r="T78" s="63"/>
      <c r="U78" s="2" t="str">
        <f>'Energie Énergie'!D85</f>
        <v>kWh</v>
      </c>
      <c r="V78" s="2" t="str">
        <f>VLOOKUP('Energie Énergie'!C85,RefDimensions!A$2:B$16,2,false)</f>
        <v>finalEnergy</v>
      </c>
      <c r="W78" s="66"/>
      <c r="X78" s="2" t="str">
        <f t="shared" si="3"/>
        <v>45.021</v>
      </c>
      <c r="Y78" s="7" t="s">
        <v>203</v>
      </c>
      <c r="Z78" s="414">
        <v>60.0</v>
      </c>
      <c r="AA78" s="67" t="str">
        <f t="shared" si="4"/>
        <v>Alle &gt; RESSOURCEN &gt; kbob.admin.ch &gt; KBOB / ecobau / IPB 2009/1:2016</v>
      </c>
    </row>
    <row r="79">
      <c r="A79" s="55" t="str">
        <f>'Energie Énergie'!A86 &amp; " " &amp; 'Energie Énergie'!B86 &amp; " (KBOB.2016)"</f>
        <v> 3ohne Stromprodukte aus erneuerbaren Energien (KBOB.2016)</v>
      </c>
      <c r="B79" s="2" t="str">
        <f t="shared" si="1"/>
        <v> 3ohne Stromprodukte aus erneuerbaren Energien (KBOB.2016)</v>
      </c>
      <c r="C79" s="2"/>
      <c r="D79" s="2"/>
      <c r="E79" s="2"/>
      <c r="F79" s="2" t="s">
        <v>186</v>
      </c>
      <c r="G79" s="2" t="str">
        <f t="shared" si="2"/>
        <v>#N/A</v>
      </c>
      <c r="H79" s="63"/>
      <c r="I79" s="64" t="str">
        <f>'Energie Énergie'!E86</f>
        <v/>
      </c>
      <c r="J79" s="64"/>
      <c r="K79" s="64"/>
      <c r="L79" s="64" t="str">
        <f>'Energie Énergie'!G86</f>
        <v/>
      </c>
      <c r="M79" s="63"/>
      <c r="N79" s="63"/>
      <c r="O79" s="64" t="str">
        <f>'Energie Énergie'!H86</f>
        <v/>
      </c>
      <c r="P79" s="63"/>
      <c r="Q79" s="63"/>
      <c r="R79" s="64" t="str">
        <f>'Energie Énergie'!J86</f>
        <v/>
      </c>
      <c r="S79" s="63"/>
      <c r="T79" s="63"/>
      <c r="U79" s="2" t="str">
        <f>'Energie Énergie'!D86</f>
        <v/>
      </c>
      <c r="V79" s="2" t="str">
        <f>VLOOKUP('Energie Énergie'!C86,RefDimensions!A$2:B$16,2,false)</f>
        <v>#N/A</v>
      </c>
      <c r="W79" s="66"/>
      <c r="X79" s="2" t="str">
        <f t="shared" si="3"/>
        <v> 3ohne</v>
      </c>
      <c r="Y79" s="7" t="s">
        <v>203</v>
      </c>
      <c r="Z79" s="414">
        <v>60.0</v>
      </c>
      <c r="AA79" s="67" t="str">
        <f t="shared" si="4"/>
        <v>Alle &gt; RESSOURCEN &gt; kbob.admin.ch &gt; KBOB / ecobau / IPB 2009/1:2016</v>
      </c>
    </row>
    <row r="80">
      <c r="A80" s="55" t="str">
        <f>'Energie Énergie'!A87 &amp; " " &amp; 'Energie Énergie'!B87 &amp; " (KBOB.2016)"</f>
        <v>46 Elektrizität am Standort erzeugt, inkl. erneuerbare Energien (KBOB.2016)</v>
      </c>
      <c r="B80" s="2" t="str">
        <f t="shared" si="1"/>
        <v>46 Elektrizität am Standort erzeugt, inkl. erneuerbare Energien (KBOB.2016)</v>
      </c>
      <c r="C80" s="2"/>
      <c r="D80" s="2"/>
      <c r="E80" s="2"/>
      <c r="F80" s="2" t="s">
        <v>186</v>
      </c>
      <c r="G80" s="2" t="str">
        <f t="shared" si="2"/>
        <v>OTHER_RESOURCE_ENERGY_ELECTRICITY_GENERATED_LOCALLY</v>
      </c>
      <c r="H80" s="63"/>
      <c r="I80" s="64" t="str">
        <f>'Energie Énergie'!E87</f>
        <v/>
      </c>
      <c r="J80" s="64"/>
      <c r="K80" s="64"/>
      <c r="L80" s="64" t="str">
        <f>'Energie Énergie'!G87</f>
        <v/>
      </c>
      <c r="M80" s="63"/>
      <c r="N80" s="63"/>
      <c r="O80" s="64" t="str">
        <f>'Energie Énergie'!H87</f>
        <v/>
      </c>
      <c r="P80" s="63"/>
      <c r="Q80" s="63"/>
      <c r="R80" s="64" t="str">
        <f>'Energie Énergie'!J87</f>
        <v/>
      </c>
      <c r="S80" s="63"/>
      <c r="T80" s="63"/>
      <c r="U80" s="2" t="str">
        <f>'Energie Énergie'!D87</f>
        <v/>
      </c>
      <c r="V80" s="2" t="str">
        <f>VLOOKUP('Energie Énergie'!C87,RefDimensions!A$2:B$16,2,false)</f>
        <v>#N/A</v>
      </c>
      <c r="W80" s="66"/>
      <c r="X80" s="2" t="str">
        <f t="shared" si="3"/>
        <v>46 Ele</v>
      </c>
      <c r="Y80" s="7" t="s">
        <v>203</v>
      </c>
      <c r="Z80" s="414">
        <v>60.0</v>
      </c>
      <c r="AA80" s="67" t="str">
        <f t="shared" si="4"/>
        <v>Alle &gt; RESSOURCEN &gt; kbob.admin.ch &gt; KBOB / ecobau / IPB 2009/1:2016</v>
      </c>
    </row>
    <row r="81">
      <c r="A81" s="55" t="str">
        <f>'Energie Énergie'!A88 &amp; " " &amp; 'Energie Énergie'!B88 &amp; " (KBOB.2016)"</f>
        <v>46.001 Photovoltaik (KBOB.2016)</v>
      </c>
      <c r="B81" s="2" t="str">
        <f t="shared" si="1"/>
        <v>46.001 Photovoltaik (KBOB.2016)</v>
      </c>
      <c r="C81" s="2"/>
      <c r="D81" s="2"/>
      <c r="E81" s="2"/>
      <c r="F81" s="2" t="s">
        <v>186</v>
      </c>
      <c r="G81" s="2" t="str">
        <f t="shared" si="2"/>
        <v>OTHER_RESOURCE_ENERGY_ELECTRICITY_GENERATED_LOCALLY</v>
      </c>
      <c r="H81" s="63"/>
      <c r="I81" s="64">
        <f>'Energie Énergie'!E88</f>
        <v>129</v>
      </c>
      <c r="J81" s="64"/>
      <c r="K81" s="64"/>
      <c r="L81" s="64">
        <f>'Energie Énergie'!G88</f>
        <v>1.11</v>
      </c>
      <c r="M81" s="63"/>
      <c r="N81" s="63"/>
      <c r="O81" s="64">
        <f>'Energie Énergie'!H88</f>
        <v>0.289</v>
      </c>
      <c r="P81" s="63"/>
      <c r="Q81" s="63"/>
      <c r="R81" s="64">
        <f>'Energie Énergie'!J88</f>
        <v>0.0812</v>
      </c>
      <c r="S81" s="63"/>
      <c r="T81" s="63"/>
      <c r="U81" s="2" t="str">
        <f>'Energie Énergie'!D88</f>
        <v>kWh</v>
      </c>
      <c r="V81" s="2" t="str">
        <f>VLOOKUP('Energie Énergie'!C88,RefDimensions!A$2:B$16,2,false)</f>
        <v>finalEnergy</v>
      </c>
      <c r="W81" s="66"/>
      <c r="X81" s="2" t="str">
        <f t="shared" si="3"/>
        <v>46.001</v>
      </c>
      <c r="Y81" s="7" t="s">
        <v>203</v>
      </c>
      <c r="Z81" s="414">
        <v>60.0</v>
      </c>
      <c r="AA81" s="67" t="str">
        <f t="shared" si="4"/>
        <v>Alle &gt; RESSOURCEN &gt; kbob.admin.ch &gt; KBOB / ecobau / IPB 2009/1:2016</v>
      </c>
    </row>
    <row r="82">
      <c r="A82" s="55" t="str">
        <f>'Energie Énergie'!A89 &amp; " " &amp; 'Energie Énergie'!B89 &amp; " (KBOB.2016)"</f>
        <v>46.002 Photovoltaik Schrägdach (KBOB.2016)</v>
      </c>
      <c r="B82" s="2" t="str">
        <f t="shared" si="1"/>
        <v>46.002 Photovoltaik Schrägdach (KBOB.2016)</v>
      </c>
      <c r="C82" s="2"/>
      <c r="D82" s="2"/>
      <c r="E82" s="2"/>
      <c r="F82" s="2" t="s">
        <v>186</v>
      </c>
      <c r="G82" s="2" t="str">
        <f t="shared" si="2"/>
        <v>OTHER_RESOURCE_ENERGY_ELECTRICITY_GENERATED_LOCALLY</v>
      </c>
      <c r="H82" s="63"/>
      <c r="I82" s="64">
        <f>'Energie Énergie'!E89</f>
        <v>124</v>
      </c>
      <c r="J82" s="64"/>
      <c r="K82" s="64"/>
      <c r="L82" s="64">
        <f>'Energie Énergie'!G89</f>
        <v>1.11</v>
      </c>
      <c r="M82" s="63"/>
      <c r="N82" s="63"/>
      <c r="O82" s="64">
        <f>'Energie Énergie'!H89</f>
        <v>0.275</v>
      </c>
      <c r="P82" s="63"/>
      <c r="Q82" s="63"/>
      <c r="R82" s="64">
        <f>'Energie Énergie'!J89</f>
        <v>0.0767</v>
      </c>
      <c r="S82" s="63"/>
      <c r="T82" s="63"/>
      <c r="U82" s="2" t="str">
        <f>'Energie Énergie'!D89</f>
        <v>kWh</v>
      </c>
      <c r="V82" s="2" t="str">
        <f>VLOOKUP('Energie Énergie'!C89,RefDimensions!A$2:B$16,2,false)</f>
        <v>finalEnergy</v>
      </c>
      <c r="W82" s="66"/>
      <c r="X82" s="2" t="str">
        <f t="shared" si="3"/>
        <v>46.002</v>
      </c>
      <c r="Y82" s="7" t="s">
        <v>203</v>
      </c>
      <c r="Z82" s="414">
        <v>60.0</v>
      </c>
      <c r="AA82" s="67" t="str">
        <f t="shared" si="4"/>
        <v>Alle &gt; RESSOURCEN &gt; kbob.admin.ch &gt; KBOB / ecobau / IPB 2009/1:2016</v>
      </c>
    </row>
    <row r="83">
      <c r="A83" s="55" t="str">
        <f>'Energie Énergie'!A90 &amp; " " &amp; 'Energie Énergie'!B90 &amp; " (KBOB.2016)"</f>
        <v>46.003 Photovoltaik Flachdach (KBOB.2016)</v>
      </c>
      <c r="B83" s="2" t="str">
        <f t="shared" si="1"/>
        <v>46.003 Photovoltaik Flachdach (KBOB.2016)</v>
      </c>
      <c r="C83" s="2"/>
      <c r="D83" s="2"/>
      <c r="E83" s="2"/>
      <c r="F83" s="2" t="s">
        <v>186</v>
      </c>
      <c r="G83" s="2" t="str">
        <f t="shared" si="2"/>
        <v>OTHER_RESOURCE_ENERGY_ELECTRICITY_GENERATED_LOCALLY</v>
      </c>
      <c r="H83" s="63"/>
      <c r="I83" s="64">
        <f>'Energie Énergie'!E90</f>
        <v>112</v>
      </c>
      <c r="J83" s="64"/>
      <c r="K83" s="64"/>
      <c r="L83" s="64">
        <f>'Energie Énergie'!G90</f>
        <v>1.11</v>
      </c>
      <c r="M83" s="63"/>
      <c r="N83" s="63"/>
      <c r="O83" s="64">
        <f>'Energie Énergie'!H90</f>
        <v>0.28</v>
      </c>
      <c r="P83" s="63"/>
      <c r="Q83" s="63"/>
      <c r="R83" s="64">
        <f>'Energie Énergie'!J90</f>
        <v>0.0807</v>
      </c>
      <c r="S83" s="63"/>
      <c r="T83" s="63"/>
      <c r="U83" s="2" t="str">
        <f>'Energie Énergie'!D90</f>
        <v>kWh</v>
      </c>
      <c r="V83" s="2" t="str">
        <f>VLOOKUP('Energie Énergie'!C90,RefDimensions!A$2:B$16,2,false)</f>
        <v>finalEnergy</v>
      </c>
      <c r="W83" s="66"/>
      <c r="X83" s="2" t="str">
        <f t="shared" si="3"/>
        <v>46.003</v>
      </c>
      <c r="Y83" s="7" t="s">
        <v>203</v>
      </c>
      <c r="Z83" s="414">
        <v>60.0</v>
      </c>
      <c r="AA83" s="67" t="str">
        <f t="shared" si="4"/>
        <v>Alle &gt; RESSOURCEN &gt; kbob.admin.ch &gt; KBOB / ecobau / IPB 2009/1:2016</v>
      </c>
    </row>
    <row r="84">
      <c r="A84" s="55" t="str">
        <f>'Energie Énergie'!A91 &amp; " " &amp; 'Energie Énergie'!B91 &amp; " (KBOB.2016)"</f>
        <v>46.004 Photovoltaik Fassade (KBOB.2016)</v>
      </c>
      <c r="B84" s="2" t="str">
        <f t="shared" si="1"/>
        <v>46.004 Photovoltaik Fassade (KBOB.2016)</v>
      </c>
      <c r="C84" s="2"/>
      <c r="D84" s="2"/>
      <c r="E84" s="2"/>
      <c r="F84" s="2" t="s">
        <v>186</v>
      </c>
      <c r="G84" s="2" t="str">
        <f t="shared" si="2"/>
        <v>OTHER_RESOURCE_ENERGY_ELECTRICITY_GENERATED_LOCALLY</v>
      </c>
      <c r="H84" s="63"/>
      <c r="I84" s="64">
        <f>'Energie Énergie'!E91</f>
        <v>175</v>
      </c>
      <c r="J84" s="64"/>
      <c r="K84" s="64"/>
      <c r="L84" s="64">
        <f>'Energie Énergie'!G91</f>
        <v>1.12</v>
      </c>
      <c r="M84" s="63"/>
      <c r="N84" s="63"/>
      <c r="O84" s="64">
        <f>'Energie Énergie'!H91</f>
        <v>0.402</v>
      </c>
      <c r="P84" s="63"/>
      <c r="Q84" s="63"/>
      <c r="R84" s="64">
        <f>'Energie Énergie'!J91</f>
        <v>0.115</v>
      </c>
      <c r="S84" s="63"/>
      <c r="T84" s="63"/>
      <c r="U84" s="2" t="str">
        <f>'Energie Énergie'!D91</f>
        <v>kWh</v>
      </c>
      <c r="V84" s="2" t="str">
        <f>VLOOKUP('Energie Énergie'!C91,RefDimensions!A$2:B$16,2,false)</f>
        <v>finalEnergy</v>
      </c>
      <c r="W84" s="66"/>
      <c r="X84" s="2" t="str">
        <f t="shared" si="3"/>
        <v>46.004</v>
      </c>
      <c r="Y84" s="7" t="s">
        <v>203</v>
      </c>
      <c r="Z84" s="414">
        <v>60.0</v>
      </c>
      <c r="AA84" s="67" t="str">
        <f t="shared" si="4"/>
        <v>Alle &gt; RESSOURCEN &gt; kbob.admin.ch &gt; KBOB / ecobau / IPB 2009/1:2016</v>
      </c>
    </row>
    <row r="85">
      <c r="A85" s="55" t="str">
        <f>'Energie Énergie'!A92 &amp; " " &amp; 'Energie Énergie'!B92 &amp; " (KBOB.2016)"</f>
        <v>46.005 Windkraft (KBOB.2016)</v>
      </c>
      <c r="B85" s="2" t="str">
        <f t="shared" si="1"/>
        <v>46.005 Windkraft (KBOB.2016)</v>
      </c>
      <c r="C85" s="2"/>
      <c r="D85" s="2"/>
      <c r="E85" s="2"/>
      <c r="F85" s="2" t="s">
        <v>186</v>
      </c>
      <c r="G85" s="2" t="str">
        <f t="shared" si="2"/>
        <v>OTHER_RESOURCE_ENERGY_ELECTRICITY_GENERATED_LOCALLY</v>
      </c>
      <c r="H85" s="63"/>
      <c r="I85" s="64">
        <f>'Energie Énergie'!E92</f>
        <v>38.1</v>
      </c>
      <c r="J85" s="64"/>
      <c r="K85" s="64"/>
      <c r="L85" s="64">
        <f>'Energie Énergie'!G92</f>
        <v>1.09</v>
      </c>
      <c r="M85" s="63"/>
      <c r="N85" s="63"/>
      <c r="O85" s="64">
        <f>'Energie Énergie'!H92</f>
        <v>0.0709</v>
      </c>
      <c r="P85" s="63"/>
      <c r="Q85" s="63"/>
      <c r="R85" s="64">
        <f>'Energie Énergie'!J92</f>
        <v>0.0173</v>
      </c>
      <c r="S85" s="63"/>
      <c r="T85" s="63"/>
      <c r="U85" s="2" t="str">
        <f>'Energie Énergie'!D92</f>
        <v>kWh</v>
      </c>
      <c r="V85" s="2" t="str">
        <f>VLOOKUP('Energie Énergie'!C92,RefDimensions!A$2:B$16,2,false)</f>
        <v>finalEnergy</v>
      </c>
      <c r="W85" s="66"/>
      <c r="X85" s="2" t="str">
        <f t="shared" si="3"/>
        <v>46.005</v>
      </c>
      <c r="Y85" s="7" t="s">
        <v>203</v>
      </c>
      <c r="Z85" s="414">
        <v>60.0</v>
      </c>
      <c r="AA85" s="67" t="str">
        <f t="shared" si="4"/>
        <v>Alle &gt; RESSOURCEN &gt; kbob.admin.ch &gt; KBOB / ecobau / IPB 2009/1:2016</v>
      </c>
    </row>
    <row r="86">
      <c r="A86" s="55" t="str">
        <f>'Energie Énergie'!A93 &amp; " " &amp; 'Energie Énergie'!B93 &amp; " (KBOB.2016)"</f>
        <v>46.006 Biogas (KBOB.2016)</v>
      </c>
      <c r="B86" s="2" t="str">
        <f t="shared" si="1"/>
        <v>46.006 Biogas (KBOB.2016)</v>
      </c>
      <c r="C86" s="2"/>
      <c r="D86" s="2"/>
      <c r="E86" s="2"/>
      <c r="F86" s="2" t="s">
        <v>186</v>
      </c>
      <c r="G86" s="2" t="str">
        <f t="shared" si="2"/>
        <v>OTHER_RESOURCE_ENERGY_ELECTRICITY_GENERATED_LOCALLY</v>
      </c>
      <c r="H86" s="63"/>
      <c r="I86" s="64">
        <f>'Energie Énergie'!E93</f>
        <v>309</v>
      </c>
      <c r="J86" s="64"/>
      <c r="K86" s="64"/>
      <c r="L86" s="64">
        <f>'Energie Énergie'!G93</f>
        <v>0.0773</v>
      </c>
      <c r="M86" s="63"/>
      <c r="N86" s="63"/>
      <c r="O86" s="64">
        <f>'Energie Énergie'!H93</f>
        <v>0.733</v>
      </c>
      <c r="P86" s="63"/>
      <c r="Q86" s="63"/>
      <c r="R86" s="64">
        <f>'Energie Énergie'!J93</f>
        <v>0.358</v>
      </c>
      <c r="S86" s="63"/>
      <c r="T86" s="63"/>
      <c r="U86" s="2" t="str">
        <f>'Energie Énergie'!D93</f>
        <v>kWh</v>
      </c>
      <c r="V86" s="2" t="str">
        <f>VLOOKUP('Energie Énergie'!C93,RefDimensions!A$2:B$16,2,false)</f>
        <v>finalEnergy</v>
      </c>
      <c r="W86" s="66"/>
      <c r="X86" s="2" t="str">
        <f t="shared" si="3"/>
        <v>46.006</v>
      </c>
      <c r="Y86" s="7" t="s">
        <v>203</v>
      </c>
      <c r="Z86" s="414">
        <v>60.0</v>
      </c>
      <c r="AA86" s="67" t="str">
        <f t="shared" si="4"/>
        <v>Alle &gt; RESSOURCEN &gt; kbob.admin.ch &gt; KBOB / ecobau / IPB 2009/1:2016</v>
      </c>
    </row>
    <row r="87">
      <c r="A87" s="55" t="str">
        <f>'Energie Énergie'!A94 &amp; " " &amp; 'Energie Énergie'!B94 &amp; " (KBOB.2016)"</f>
        <v>46.007 Biogas, Landwirtschaft (KBOB.2016)</v>
      </c>
      <c r="B87" s="2" t="str">
        <f t="shared" si="1"/>
        <v>46.007 Biogas, Landwirtschaft (KBOB.2016)</v>
      </c>
      <c r="C87" s="2"/>
      <c r="D87" s="2"/>
      <c r="E87" s="2"/>
      <c r="F87" s="2" t="s">
        <v>186</v>
      </c>
      <c r="G87" s="2" t="str">
        <f t="shared" si="2"/>
        <v>OTHER_RESOURCE_ENERGY_ELECTRICITY_GENERATED_LOCALLY</v>
      </c>
      <c r="H87" s="63"/>
      <c r="I87" s="64">
        <f>'Energie Énergie'!E94</f>
        <v>179</v>
      </c>
      <c r="J87" s="64"/>
      <c r="K87" s="64"/>
      <c r="L87" s="64">
        <f>'Energie Énergie'!G94</f>
        <v>0.0356</v>
      </c>
      <c r="M87" s="63"/>
      <c r="N87" s="63"/>
      <c r="O87" s="64">
        <f>'Energie Énergie'!H94</f>
        <v>0.124</v>
      </c>
      <c r="P87" s="63"/>
      <c r="Q87" s="63"/>
      <c r="R87" s="64">
        <f>'Energie Énergie'!J94</f>
        <v>0.155</v>
      </c>
      <c r="S87" s="63"/>
      <c r="T87" s="63"/>
      <c r="U87" s="2" t="str">
        <f>'Energie Énergie'!D94</f>
        <v>kWh</v>
      </c>
      <c r="V87" s="2" t="str">
        <f>VLOOKUP('Energie Énergie'!C94,RefDimensions!A$2:B$16,2,false)</f>
        <v>finalEnergy</v>
      </c>
      <c r="W87" s="66"/>
      <c r="X87" s="2" t="str">
        <f t="shared" si="3"/>
        <v>46.007</v>
      </c>
      <c r="Y87" s="7" t="s">
        <v>203</v>
      </c>
      <c r="Z87" s="414">
        <v>60.0</v>
      </c>
      <c r="AA87" s="67" t="str">
        <f t="shared" si="4"/>
        <v>Alle &gt; RESSOURCEN &gt; kbob.admin.ch &gt; KBOB / ecobau / IPB 2009/1:2016</v>
      </c>
    </row>
    <row r="88">
      <c r="A88" s="55" t="str">
        <f>'Energie Énergie'!A95 &amp; " " &amp; 'Energie Énergie'!B95 &amp; " (KBOB.2016)"</f>
        <v>46.008 Kleinblockheizkraftwerk, Erdgas (KBOB.2016)</v>
      </c>
      <c r="B88" s="2" t="str">
        <f t="shared" si="1"/>
        <v>46.008 Kleinblockheizkraftwerk, Erdgas (KBOB.2016)</v>
      </c>
      <c r="C88" s="2"/>
      <c r="D88" s="2"/>
      <c r="E88" s="2"/>
      <c r="F88" s="2" t="s">
        <v>186</v>
      </c>
      <c r="G88" s="2" t="str">
        <f t="shared" si="2"/>
        <v>OTHER_RESOURCE_ENERGY_ELECTRICITY_GENERATED_LOCALLY</v>
      </c>
      <c r="H88" s="63"/>
      <c r="I88" s="64">
        <f>'Energie Énergie'!E95</f>
        <v>447</v>
      </c>
      <c r="J88" s="64"/>
      <c r="K88" s="64"/>
      <c r="L88" s="64">
        <f>'Energie Énergie'!G95</f>
        <v>0.00704</v>
      </c>
      <c r="M88" s="63"/>
      <c r="N88" s="63"/>
      <c r="O88" s="64">
        <f>'Energie Énergie'!H95</f>
        <v>3.39</v>
      </c>
      <c r="P88" s="63"/>
      <c r="Q88" s="63"/>
      <c r="R88" s="64">
        <f>'Energie Énergie'!J95</f>
        <v>0.749</v>
      </c>
      <c r="S88" s="63"/>
      <c r="T88" s="63"/>
      <c r="U88" s="2" t="str">
        <f>'Energie Énergie'!D95</f>
        <v>kWh</v>
      </c>
      <c r="V88" s="2" t="str">
        <f>VLOOKUP('Energie Énergie'!C95,RefDimensions!A$2:B$16,2,false)</f>
        <v>finalEnergy</v>
      </c>
      <c r="W88" s="66"/>
      <c r="X88" s="2" t="str">
        <f t="shared" si="3"/>
        <v>46.008</v>
      </c>
      <c r="Y88" s="7" t="s">
        <v>203</v>
      </c>
      <c r="Z88" s="414">
        <v>60.0</v>
      </c>
      <c r="AA88" s="67" t="str">
        <f t="shared" si="4"/>
        <v>Alle &gt; RESSOURCEN &gt; kbob.admin.ch &gt; KBOB / ecobau / IPB 2009/1:2016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outlinePr summaryRight="0"/>
    <pageSetUpPr fitToPage="1"/>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outlineLevelCol="1" outlineLevelRow="1"/>
  <cols>
    <col customWidth="1" min="1" max="1" width="9.14"/>
    <col customWidth="1" min="2" max="2" width="56.57"/>
    <col customWidth="1" min="3" max="3" width="16.43"/>
    <col customWidth="1" min="4" max="4" width="7.14"/>
    <col customWidth="1" min="5" max="5" width="18.86"/>
    <col customWidth="1" min="6" max="6" width="18.86" outlineLevel="1"/>
    <col customWidth="1" min="7" max="8" width="18.86"/>
    <col customWidth="1" min="9" max="9" width="18.86" outlineLevel="1"/>
    <col customWidth="1" min="10" max="11" width="18.86"/>
    <col customWidth="1" min="12" max="12" width="65.86"/>
    <col customWidth="1" min="13" max="20" width="11.43"/>
    <col customWidth="1" min="21" max="26" width="10.71"/>
  </cols>
  <sheetData>
    <row r="1" ht="19.5" customHeight="1">
      <c r="A1" s="416"/>
      <c r="B1" s="71" t="s">
        <v>403</v>
      </c>
      <c r="C1" s="76"/>
      <c r="D1" s="76"/>
      <c r="E1" s="76"/>
      <c r="F1" s="417"/>
      <c r="G1" s="417" t="s">
        <v>404</v>
      </c>
      <c r="H1" s="72"/>
      <c r="I1" s="72"/>
      <c r="J1" s="72"/>
      <c r="K1" s="418"/>
      <c r="L1" s="77" t="s">
        <v>2008</v>
      </c>
      <c r="M1" s="78"/>
      <c r="N1" s="78"/>
      <c r="O1" s="78"/>
      <c r="P1" s="78"/>
      <c r="Q1" s="78"/>
      <c r="R1" s="78"/>
      <c r="S1" s="78"/>
      <c r="T1" s="78"/>
      <c r="U1" s="78"/>
      <c r="V1" s="78"/>
      <c r="W1" s="78"/>
      <c r="X1" s="78"/>
      <c r="Y1" s="78"/>
      <c r="Z1" s="78"/>
    </row>
    <row r="2" ht="14.25" customHeight="1">
      <c r="A2" s="419"/>
      <c r="B2" s="420"/>
      <c r="C2" s="421"/>
      <c r="D2" s="421"/>
      <c r="E2" s="422"/>
      <c r="F2" s="423"/>
      <c r="G2" s="423"/>
      <c r="H2" s="423"/>
      <c r="I2" s="423"/>
      <c r="J2" s="423"/>
      <c r="K2" s="424"/>
      <c r="L2" s="425"/>
      <c r="M2" s="86"/>
      <c r="N2" s="86"/>
      <c r="O2" s="86"/>
      <c r="P2" s="86"/>
      <c r="Q2" s="86"/>
      <c r="R2" s="86"/>
      <c r="S2" s="86"/>
      <c r="T2" s="86"/>
      <c r="U2" s="86"/>
      <c r="V2" s="86"/>
      <c r="W2" s="86"/>
      <c r="X2" s="86"/>
      <c r="Y2" s="86"/>
      <c r="Z2" s="86"/>
    </row>
    <row r="3" ht="12.75" hidden="1" customHeight="1" outlineLevel="1">
      <c r="A3" s="426"/>
      <c r="B3" s="399" t="s">
        <v>2208</v>
      </c>
      <c r="C3" s="400"/>
      <c r="D3" s="400" t="s">
        <v>2208</v>
      </c>
      <c r="E3" s="400" t="s">
        <v>420</v>
      </c>
      <c r="F3" s="400" t="s">
        <v>2009</v>
      </c>
      <c r="G3" s="400" t="s">
        <v>2010</v>
      </c>
      <c r="H3" s="400" t="s">
        <v>2011</v>
      </c>
      <c r="I3" s="400" t="s">
        <v>2376</v>
      </c>
      <c r="J3" s="400" t="s">
        <v>2012</v>
      </c>
      <c r="K3" s="400"/>
      <c r="L3" s="427" t="s">
        <v>2208</v>
      </c>
      <c r="M3" s="91"/>
      <c r="N3" s="91"/>
      <c r="O3" s="91"/>
      <c r="P3" s="91"/>
      <c r="Q3" s="91"/>
      <c r="R3" s="91"/>
      <c r="S3" s="91"/>
      <c r="T3" s="91"/>
      <c r="U3" s="91"/>
      <c r="V3" s="91"/>
      <c r="W3" s="91"/>
      <c r="X3" s="91"/>
      <c r="Y3" s="91"/>
      <c r="Z3" s="91"/>
    </row>
    <row r="4" ht="25.5" customHeight="1" collapsed="1">
      <c r="A4" s="95" t="s">
        <v>409</v>
      </c>
      <c r="B4" s="310" t="s">
        <v>2377</v>
      </c>
      <c r="C4" s="311" t="s">
        <v>2378</v>
      </c>
      <c r="D4" s="213"/>
      <c r="E4" s="428" t="s">
        <v>2379</v>
      </c>
      <c r="F4" s="104" t="s">
        <v>2380</v>
      </c>
      <c r="G4" s="102"/>
      <c r="H4" s="102"/>
      <c r="I4" s="103"/>
      <c r="J4" s="320" t="s">
        <v>2381</v>
      </c>
      <c r="K4" s="316" t="s">
        <v>2016</v>
      </c>
      <c r="L4" s="317" t="s">
        <v>2382</v>
      </c>
      <c r="M4" s="91"/>
      <c r="N4" s="91"/>
      <c r="O4" s="91"/>
      <c r="P4" s="91"/>
      <c r="Q4" s="91"/>
      <c r="R4" s="91"/>
      <c r="S4" s="91"/>
      <c r="T4" s="91"/>
      <c r="U4" s="91"/>
      <c r="V4" s="91"/>
      <c r="W4" s="91"/>
      <c r="X4" s="91"/>
      <c r="Y4" s="91"/>
      <c r="Z4" s="91"/>
    </row>
    <row r="5" ht="14.25" customHeight="1">
      <c r="A5" s="106" t="s">
        <v>418</v>
      </c>
      <c r="B5" s="107"/>
      <c r="C5" s="429"/>
      <c r="D5" s="430"/>
      <c r="E5" s="431"/>
      <c r="F5" s="327" t="s">
        <v>421</v>
      </c>
      <c r="G5" s="432" t="s">
        <v>125</v>
      </c>
      <c r="H5" s="433" t="s">
        <v>2018</v>
      </c>
      <c r="I5" s="433" t="s">
        <v>2383</v>
      </c>
      <c r="J5" s="328" t="s">
        <v>422</v>
      </c>
      <c r="K5" s="429"/>
      <c r="L5" s="107"/>
      <c r="M5" s="91"/>
      <c r="N5" s="91"/>
      <c r="O5" s="91"/>
      <c r="P5" s="91"/>
      <c r="Q5" s="91"/>
      <c r="R5" s="91"/>
      <c r="S5" s="91"/>
      <c r="T5" s="91"/>
      <c r="U5" s="91"/>
      <c r="V5" s="91"/>
      <c r="W5" s="91"/>
      <c r="X5" s="91"/>
      <c r="Y5" s="91"/>
      <c r="Z5" s="91"/>
    </row>
    <row r="6" ht="12.75" customHeight="1">
      <c r="A6" s="110"/>
      <c r="B6" s="110"/>
      <c r="C6" s="327" t="s">
        <v>2019</v>
      </c>
      <c r="D6" s="344"/>
      <c r="E6" s="431"/>
      <c r="F6" s="328" t="s">
        <v>424</v>
      </c>
      <c r="G6" s="434" t="s">
        <v>145</v>
      </c>
      <c r="H6" s="140" t="s">
        <v>2020</v>
      </c>
      <c r="I6" s="140" t="s">
        <v>2384</v>
      </c>
      <c r="J6" s="328" t="s">
        <v>426</v>
      </c>
      <c r="K6" s="328" t="s">
        <v>2021</v>
      </c>
      <c r="L6" s="110"/>
      <c r="M6" s="91"/>
      <c r="N6" s="91"/>
      <c r="O6" s="91"/>
      <c r="P6" s="91"/>
      <c r="Q6" s="91"/>
      <c r="R6" s="91"/>
      <c r="S6" s="91"/>
      <c r="T6" s="91"/>
      <c r="U6" s="91"/>
      <c r="V6" s="91"/>
      <c r="W6" s="91"/>
      <c r="X6" s="91"/>
      <c r="Y6" s="91"/>
      <c r="Z6" s="91"/>
    </row>
    <row r="7" ht="12.75" customHeight="1">
      <c r="A7" s="435"/>
      <c r="B7" s="144"/>
      <c r="C7" s="436"/>
      <c r="D7" s="437" t="s">
        <v>2385</v>
      </c>
      <c r="E7" s="438" t="s">
        <v>420</v>
      </c>
      <c r="F7" s="148" t="s">
        <v>433</v>
      </c>
      <c r="G7" s="148" t="s">
        <v>433</v>
      </c>
      <c r="H7" s="148" t="s">
        <v>433</v>
      </c>
      <c r="I7" s="148" t="s">
        <v>433</v>
      </c>
      <c r="J7" s="149" t="s">
        <v>2386</v>
      </c>
      <c r="K7" s="143"/>
      <c r="L7" s="150"/>
      <c r="M7" s="142"/>
      <c r="N7" s="142"/>
      <c r="O7" s="142"/>
      <c r="P7" s="142"/>
      <c r="Q7" s="142"/>
      <c r="R7" s="142"/>
      <c r="S7" s="142"/>
      <c r="T7" s="91"/>
      <c r="U7" s="142"/>
      <c r="V7" s="142"/>
      <c r="W7" s="142"/>
      <c r="X7" s="142"/>
      <c r="Y7" s="142"/>
      <c r="Z7" s="142"/>
    </row>
    <row r="8" ht="15.75" customHeight="1">
      <c r="A8" s="439" t="s">
        <v>2387</v>
      </c>
      <c r="B8" s="440" t="s">
        <v>2388</v>
      </c>
      <c r="C8" s="441"/>
      <c r="D8" s="442"/>
      <c r="E8" s="442"/>
      <c r="F8" s="442"/>
      <c r="G8" s="442"/>
      <c r="H8" s="443"/>
      <c r="I8" s="443"/>
      <c r="J8" s="442"/>
      <c r="K8" s="443"/>
      <c r="L8" s="251" t="s">
        <v>2389</v>
      </c>
      <c r="M8" s="444"/>
      <c r="N8" s="444"/>
      <c r="O8" s="444"/>
      <c r="P8" s="444"/>
      <c r="Q8" s="444"/>
      <c r="R8" s="444"/>
      <c r="S8" s="444"/>
      <c r="T8" s="444"/>
      <c r="U8" s="91"/>
      <c r="V8" s="91"/>
      <c r="W8" s="91"/>
      <c r="X8" s="91"/>
      <c r="Y8" s="91"/>
      <c r="Z8" s="91"/>
    </row>
    <row r="9" ht="15.75" customHeight="1">
      <c r="A9" s="183" t="s">
        <v>2212</v>
      </c>
      <c r="B9" s="445" t="s">
        <v>2390</v>
      </c>
      <c r="C9" s="446" t="s">
        <v>37</v>
      </c>
      <c r="D9" s="447" t="s">
        <v>2211</v>
      </c>
      <c r="E9" s="448">
        <v>234.0</v>
      </c>
      <c r="F9" s="449">
        <v>1.24</v>
      </c>
      <c r="G9" s="449">
        <v>0.00902</v>
      </c>
      <c r="H9" s="449">
        <v>1.23</v>
      </c>
      <c r="I9" s="449">
        <v>0.0</v>
      </c>
      <c r="J9" s="450">
        <v>0.301</v>
      </c>
      <c r="K9" s="370" t="s">
        <v>2391</v>
      </c>
      <c r="L9" s="451" t="s">
        <v>2392</v>
      </c>
      <c r="M9" s="91"/>
      <c r="N9" s="91"/>
      <c r="O9" s="91"/>
      <c r="P9" s="91"/>
      <c r="Q9" s="91"/>
      <c r="R9" s="91"/>
      <c r="S9" s="91"/>
      <c r="T9" s="91"/>
      <c r="U9" s="91"/>
      <c r="V9" s="91"/>
      <c r="W9" s="91"/>
      <c r="X9" s="91"/>
      <c r="Y9" s="91"/>
      <c r="Z9" s="91"/>
    </row>
    <row r="10" ht="15.75" customHeight="1">
      <c r="A10" s="183" t="s">
        <v>2214</v>
      </c>
      <c r="B10" s="445" t="s">
        <v>2393</v>
      </c>
      <c r="C10" s="446" t="s">
        <v>37</v>
      </c>
      <c r="D10" s="447" t="s">
        <v>2211</v>
      </c>
      <c r="E10" s="452">
        <v>137.0</v>
      </c>
      <c r="F10" s="453">
        <v>1.07</v>
      </c>
      <c r="G10" s="453">
        <v>0.00447</v>
      </c>
      <c r="H10" s="453">
        <v>1.06</v>
      </c>
      <c r="I10" s="453">
        <v>0.0</v>
      </c>
      <c r="J10" s="454">
        <v>0.228</v>
      </c>
      <c r="K10" s="370" t="s">
        <v>2391</v>
      </c>
      <c r="L10" s="451" t="s">
        <v>2394</v>
      </c>
      <c r="M10" s="91"/>
      <c r="N10" s="91"/>
      <c r="O10" s="91"/>
      <c r="P10" s="91"/>
      <c r="Q10" s="91"/>
      <c r="R10" s="91"/>
      <c r="S10" s="91"/>
      <c r="T10" s="91"/>
      <c r="U10" s="91"/>
      <c r="V10" s="91"/>
      <c r="W10" s="91"/>
      <c r="X10" s="91"/>
      <c r="Y10" s="91"/>
      <c r="Z10" s="91"/>
    </row>
    <row r="11" ht="15.75" customHeight="1">
      <c r="A11" s="183" t="s">
        <v>2216</v>
      </c>
      <c r="B11" s="445" t="s">
        <v>2395</v>
      </c>
      <c r="C11" s="446" t="s">
        <v>37</v>
      </c>
      <c r="D11" s="447" t="s">
        <v>2211</v>
      </c>
      <c r="E11" s="455">
        <v>200.0</v>
      </c>
      <c r="F11" s="449">
        <v>1.16</v>
      </c>
      <c r="G11" s="449">
        <v>0.00841</v>
      </c>
      <c r="H11" s="449">
        <v>1.15</v>
      </c>
      <c r="I11" s="449">
        <v>0.0</v>
      </c>
      <c r="J11" s="450">
        <v>0.273</v>
      </c>
      <c r="K11" s="370" t="s">
        <v>2391</v>
      </c>
      <c r="L11" s="451" t="s">
        <v>2396</v>
      </c>
      <c r="M11" s="142"/>
      <c r="N11" s="91"/>
      <c r="O11" s="91"/>
      <c r="P11" s="91"/>
      <c r="Q11" s="91"/>
      <c r="R11" s="91"/>
      <c r="S11" s="91"/>
      <c r="T11" s="91"/>
      <c r="U11" s="91"/>
      <c r="V11" s="91"/>
      <c r="W11" s="91"/>
      <c r="X11" s="91"/>
      <c r="Y11" s="91"/>
      <c r="Z11" s="91"/>
    </row>
    <row r="12" ht="15.75" customHeight="1">
      <c r="A12" s="183" t="s">
        <v>2218</v>
      </c>
      <c r="B12" s="445" t="s">
        <v>2397</v>
      </c>
      <c r="C12" s="446" t="s">
        <v>37</v>
      </c>
      <c r="D12" s="447" t="s">
        <v>2211</v>
      </c>
      <c r="E12" s="452">
        <v>477.0</v>
      </c>
      <c r="F12" s="453">
        <v>1.47</v>
      </c>
      <c r="G12" s="453">
        <v>0.0132</v>
      </c>
      <c r="H12" s="453">
        <v>1.45</v>
      </c>
      <c r="I12" s="453">
        <v>0.0</v>
      </c>
      <c r="J12" s="456">
        <v>0.439</v>
      </c>
      <c r="K12" s="370" t="s">
        <v>2391</v>
      </c>
      <c r="L12" s="451" t="s">
        <v>2398</v>
      </c>
      <c r="M12" s="142"/>
      <c r="N12" s="91"/>
      <c r="O12" s="91"/>
      <c r="P12" s="91"/>
      <c r="Q12" s="91"/>
      <c r="R12" s="91"/>
      <c r="S12" s="91"/>
      <c r="T12" s="91"/>
      <c r="U12" s="91"/>
      <c r="V12" s="91"/>
      <c r="W12" s="91"/>
      <c r="X12" s="91"/>
      <c r="Y12" s="91"/>
      <c r="Z12" s="91"/>
    </row>
    <row r="13" ht="15.75" customHeight="1">
      <c r="A13" s="183" t="s">
        <v>2220</v>
      </c>
      <c r="B13" s="445" t="s">
        <v>2399</v>
      </c>
      <c r="C13" s="446" t="s">
        <v>37</v>
      </c>
      <c r="D13" s="447" t="s">
        <v>2211</v>
      </c>
      <c r="E13" s="452">
        <v>456.0</v>
      </c>
      <c r="F13" s="453">
        <v>1.2</v>
      </c>
      <c r="G13" s="453">
        <v>0.00831</v>
      </c>
      <c r="H13" s="453">
        <v>1.2</v>
      </c>
      <c r="I13" s="453">
        <v>0.0</v>
      </c>
      <c r="J13" s="456">
        <v>0.399</v>
      </c>
      <c r="K13" s="370" t="s">
        <v>2391</v>
      </c>
      <c r="L13" s="451" t="s">
        <v>2400</v>
      </c>
      <c r="M13" s="142"/>
      <c r="N13" s="91"/>
      <c r="O13" s="91"/>
      <c r="P13" s="91"/>
      <c r="Q13" s="91"/>
      <c r="R13" s="91"/>
      <c r="S13" s="91"/>
      <c r="T13" s="91"/>
      <c r="U13" s="91"/>
      <c r="V13" s="91"/>
      <c r="W13" s="91"/>
      <c r="X13" s="91"/>
      <c r="Y13" s="91"/>
      <c r="Z13" s="91"/>
    </row>
    <row r="14" ht="15.75" customHeight="1">
      <c r="A14" s="183" t="s">
        <v>2222</v>
      </c>
      <c r="B14" s="445" t="s">
        <v>2401</v>
      </c>
      <c r="C14" s="446" t="s">
        <v>37</v>
      </c>
      <c r="D14" s="447" t="s">
        <v>2211</v>
      </c>
      <c r="E14" s="455">
        <v>93.1</v>
      </c>
      <c r="F14" s="449">
        <v>1.11</v>
      </c>
      <c r="G14" s="449">
        <v>0.994</v>
      </c>
      <c r="H14" s="450">
        <v>0.116</v>
      </c>
      <c r="I14" s="450">
        <v>0.0</v>
      </c>
      <c r="J14" s="457">
        <v>0.0274</v>
      </c>
      <c r="K14" s="370" t="s">
        <v>2391</v>
      </c>
      <c r="L14" s="451" t="s">
        <v>2402</v>
      </c>
      <c r="M14" s="142"/>
      <c r="N14" s="91"/>
      <c r="O14" s="91"/>
      <c r="P14" s="91"/>
      <c r="Q14" s="91"/>
      <c r="R14" s="91"/>
      <c r="S14" s="91"/>
      <c r="T14" s="91"/>
      <c r="U14" s="91"/>
      <c r="V14" s="91"/>
      <c r="W14" s="91"/>
      <c r="X14" s="91"/>
      <c r="Y14" s="91"/>
      <c r="Z14" s="91"/>
    </row>
    <row r="15" ht="15.75" customHeight="1">
      <c r="A15" s="183" t="s">
        <v>2224</v>
      </c>
      <c r="B15" s="445" t="s">
        <v>2403</v>
      </c>
      <c r="C15" s="446" t="s">
        <v>37</v>
      </c>
      <c r="D15" s="447" t="s">
        <v>2211</v>
      </c>
      <c r="E15" s="455">
        <v>88.2</v>
      </c>
      <c r="F15" s="449">
        <v>1.11</v>
      </c>
      <c r="G15" s="449">
        <v>0.994</v>
      </c>
      <c r="H15" s="450">
        <v>0.119</v>
      </c>
      <c r="I15" s="450">
        <v>0.0</v>
      </c>
      <c r="J15" s="457">
        <v>0.0275</v>
      </c>
      <c r="K15" s="370" t="s">
        <v>2391</v>
      </c>
      <c r="L15" s="451" t="s">
        <v>2404</v>
      </c>
      <c r="M15" s="142"/>
      <c r="N15" s="91"/>
      <c r="O15" s="91"/>
      <c r="P15" s="91"/>
      <c r="Q15" s="91"/>
      <c r="R15" s="91"/>
      <c r="S15" s="91"/>
      <c r="T15" s="91"/>
      <c r="U15" s="91"/>
      <c r="V15" s="91"/>
      <c r="W15" s="91"/>
      <c r="X15" s="91"/>
      <c r="Y15" s="91"/>
      <c r="Z15" s="91"/>
    </row>
    <row r="16" ht="15.75" customHeight="1">
      <c r="A16" s="183" t="s">
        <v>2226</v>
      </c>
      <c r="B16" s="445" t="s">
        <v>2405</v>
      </c>
      <c r="C16" s="446" t="s">
        <v>37</v>
      </c>
      <c r="D16" s="447" t="s">
        <v>2211</v>
      </c>
      <c r="E16" s="455">
        <v>80.8</v>
      </c>
      <c r="F16" s="449">
        <v>1.11</v>
      </c>
      <c r="G16" s="449">
        <v>1.05</v>
      </c>
      <c r="H16" s="450">
        <v>0.0628</v>
      </c>
      <c r="I16" s="450">
        <v>0.0</v>
      </c>
      <c r="J16" s="457">
        <v>0.0107</v>
      </c>
      <c r="K16" s="370" t="s">
        <v>2391</v>
      </c>
      <c r="L16" s="451" t="s">
        <v>2406</v>
      </c>
      <c r="M16" s="142"/>
      <c r="N16" s="91"/>
      <c r="O16" s="91"/>
      <c r="P16" s="91"/>
      <c r="Q16" s="91"/>
      <c r="R16" s="91"/>
      <c r="S16" s="91"/>
      <c r="T16" s="91"/>
      <c r="U16" s="91"/>
      <c r="V16" s="91"/>
      <c r="W16" s="91"/>
      <c r="X16" s="91"/>
      <c r="Y16" s="91"/>
      <c r="Z16" s="91"/>
    </row>
    <row r="17" ht="15.75" customHeight="1">
      <c r="A17" s="183" t="s">
        <v>2228</v>
      </c>
      <c r="B17" s="445" t="s">
        <v>2407</v>
      </c>
      <c r="C17" s="446" t="s">
        <v>37</v>
      </c>
      <c r="D17" s="447" t="s">
        <v>2211</v>
      </c>
      <c r="E17" s="455">
        <v>73.7</v>
      </c>
      <c r="F17" s="449">
        <v>1.12</v>
      </c>
      <c r="G17" s="449">
        <v>1.05</v>
      </c>
      <c r="H17" s="450">
        <v>0.0651</v>
      </c>
      <c r="I17" s="450">
        <v>0.0</v>
      </c>
      <c r="J17" s="457">
        <v>0.0108</v>
      </c>
      <c r="K17" s="370" t="s">
        <v>2391</v>
      </c>
      <c r="L17" s="451" t="s">
        <v>2408</v>
      </c>
      <c r="M17" s="142"/>
      <c r="N17" s="91"/>
      <c r="O17" s="91"/>
      <c r="P17" s="91"/>
      <c r="Q17" s="91"/>
      <c r="R17" s="91"/>
      <c r="S17" s="91"/>
      <c r="T17" s="91"/>
      <c r="U17" s="91"/>
      <c r="V17" s="91"/>
      <c r="W17" s="91"/>
      <c r="X17" s="91"/>
      <c r="Y17" s="91"/>
      <c r="Z17" s="91"/>
    </row>
    <row r="18" ht="15.75" customHeight="1">
      <c r="A18" s="183" t="s">
        <v>2230</v>
      </c>
      <c r="B18" s="445" t="s">
        <v>2409</v>
      </c>
      <c r="C18" s="446" t="s">
        <v>37</v>
      </c>
      <c r="D18" s="447" t="s">
        <v>2211</v>
      </c>
      <c r="E18" s="455">
        <v>81.1</v>
      </c>
      <c r="F18" s="449">
        <v>1.2</v>
      </c>
      <c r="G18" s="449">
        <v>1.04</v>
      </c>
      <c r="H18" s="458">
        <v>0.157</v>
      </c>
      <c r="I18" s="458">
        <v>0.0</v>
      </c>
      <c r="J18" s="457">
        <v>0.0272</v>
      </c>
      <c r="K18" s="370" t="s">
        <v>2391</v>
      </c>
      <c r="L18" s="451" t="s">
        <v>2410</v>
      </c>
      <c r="M18" s="142"/>
      <c r="N18" s="91"/>
      <c r="O18" s="91"/>
      <c r="P18" s="91"/>
      <c r="Q18" s="91"/>
      <c r="R18" s="91"/>
      <c r="S18" s="91"/>
      <c r="T18" s="91"/>
      <c r="U18" s="91"/>
      <c r="V18" s="91"/>
      <c r="W18" s="91"/>
      <c r="X18" s="91"/>
      <c r="Y18" s="91"/>
      <c r="Z18" s="91"/>
    </row>
    <row r="19" ht="15.75" customHeight="1">
      <c r="A19" s="183" t="s">
        <v>2232</v>
      </c>
      <c r="B19" s="445" t="s">
        <v>2411</v>
      </c>
      <c r="C19" s="446" t="s">
        <v>37</v>
      </c>
      <c r="D19" s="447" t="s">
        <v>2211</v>
      </c>
      <c r="E19" s="455">
        <v>76.8</v>
      </c>
      <c r="F19" s="449">
        <v>1.2</v>
      </c>
      <c r="G19" s="449">
        <v>1.04</v>
      </c>
      <c r="H19" s="458">
        <v>0.16</v>
      </c>
      <c r="I19" s="458">
        <v>0.0</v>
      </c>
      <c r="J19" s="457">
        <v>0.0273</v>
      </c>
      <c r="K19" s="370" t="s">
        <v>2391</v>
      </c>
      <c r="L19" s="451" t="s">
        <v>2412</v>
      </c>
      <c r="M19" s="142"/>
      <c r="N19" s="91"/>
      <c r="O19" s="91"/>
      <c r="P19" s="91"/>
      <c r="Q19" s="91"/>
      <c r="R19" s="91"/>
      <c r="S19" s="91"/>
      <c r="T19" s="91"/>
      <c r="U19" s="91"/>
      <c r="V19" s="91"/>
      <c r="W19" s="91"/>
      <c r="X19" s="91"/>
      <c r="Y19" s="91"/>
      <c r="Z19" s="91"/>
    </row>
    <row r="20" ht="15.75" customHeight="1">
      <c r="A20" s="183" t="s">
        <v>2234</v>
      </c>
      <c r="B20" s="445" t="s">
        <v>2413</v>
      </c>
      <c r="C20" s="446" t="s">
        <v>37</v>
      </c>
      <c r="D20" s="447" t="s">
        <v>2211</v>
      </c>
      <c r="E20" s="452">
        <v>109.0</v>
      </c>
      <c r="F20" s="456">
        <v>0.332</v>
      </c>
      <c r="G20" s="456">
        <v>0.0321</v>
      </c>
      <c r="H20" s="456">
        <v>0.299</v>
      </c>
      <c r="I20" s="456">
        <v>0.0</v>
      </c>
      <c r="J20" s="454">
        <v>0.13</v>
      </c>
      <c r="K20" s="370" t="s">
        <v>2391</v>
      </c>
      <c r="L20" s="451" t="s">
        <v>2414</v>
      </c>
      <c r="M20" s="142"/>
      <c r="N20" s="91"/>
      <c r="O20" s="91"/>
      <c r="P20" s="91"/>
      <c r="Q20" s="91"/>
      <c r="R20" s="91"/>
      <c r="S20" s="91"/>
      <c r="T20" s="91"/>
      <c r="U20" s="91"/>
      <c r="V20" s="91"/>
      <c r="W20" s="91"/>
      <c r="X20" s="91"/>
      <c r="Y20" s="91"/>
      <c r="Z20" s="91"/>
    </row>
    <row r="21" ht="15.75" customHeight="1">
      <c r="A21" s="439" t="s">
        <v>2415</v>
      </c>
      <c r="B21" s="440" t="s">
        <v>2416</v>
      </c>
      <c r="C21" s="441"/>
      <c r="D21" s="459" t="s">
        <v>2208</v>
      </c>
      <c r="E21" s="459" t="s">
        <v>2208</v>
      </c>
      <c r="F21" s="460"/>
      <c r="G21" s="460"/>
      <c r="H21" s="461"/>
      <c r="I21" s="461"/>
      <c r="J21" s="461"/>
      <c r="K21" s="386"/>
      <c r="L21" s="251" t="s">
        <v>2417</v>
      </c>
      <c r="M21" s="142"/>
      <c r="N21" s="91"/>
      <c r="O21" s="91"/>
      <c r="P21" s="91"/>
      <c r="Q21" s="91"/>
      <c r="R21" s="91"/>
      <c r="S21" s="91"/>
      <c r="T21" s="91"/>
      <c r="U21" s="91"/>
      <c r="V21" s="91"/>
      <c r="W21" s="91"/>
      <c r="X21" s="91"/>
      <c r="Y21" s="91"/>
      <c r="Z21" s="91"/>
    </row>
    <row r="22" ht="15.75" customHeight="1">
      <c r="A22" s="183" t="s">
        <v>2237</v>
      </c>
      <c r="B22" s="445" t="s">
        <v>2418</v>
      </c>
      <c r="C22" s="446" t="s">
        <v>37</v>
      </c>
      <c r="D22" s="447" t="s">
        <v>2211</v>
      </c>
      <c r="E22" s="455">
        <v>341.0</v>
      </c>
      <c r="F22" s="449">
        <v>1.7</v>
      </c>
      <c r="G22" s="449">
        <v>0.0155</v>
      </c>
      <c r="H22" s="449">
        <v>1.68</v>
      </c>
      <c r="I22" s="449">
        <v>0.0</v>
      </c>
      <c r="J22" s="458">
        <v>0.408</v>
      </c>
      <c r="K22" s="370" t="s">
        <v>2391</v>
      </c>
      <c r="L22" s="451" t="s">
        <v>2419</v>
      </c>
      <c r="M22" s="142"/>
      <c r="N22" s="91"/>
      <c r="O22" s="91"/>
      <c r="P22" s="91"/>
      <c r="Q22" s="91"/>
      <c r="R22" s="91"/>
      <c r="S22" s="91"/>
      <c r="T22" s="91"/>
      <c r="U22" s="91"/>
      <c r="V22" s="91"/>
      <c r="W22" s="91"/>
      <c r="X22" s="91"/>
      <c r="Y22" s="91"/>
      <c r="Z22" s="91"/>
    </row>
    <row r="23" ht="15.75" customHeight="1">
      <c r="A23" s="183" t="s">
        <v>2239</v>
      </c>
      <c r="B23" s="445" t="s">
        <v>2420</v>
      </c>
      <c r="C23" s="446" t="s">
        <v>37</v>
      </c>
      <c r="D23" s="447" t="s">
        <v>2211</v>
      </c>
      <c r="E23" s="452">
        <v>194.0</v>
      </c>
      <c r="F23" s="453">
        <v>1.52</v>
      </c>
      <c r="G23" s="453">
        <v>0.0147</v>
      </c>
      <c r="H23" s="453">
        <v>1.51</v>
      </c>
      <c r="I23" s="453">
        <v>0.0</v>
      </c>
      <c r="J23" s="454">
        <v>0.314</v>
      </c>
      <c r="K23" s="370" t="s">
        <v>2391</v>
      </c>
      <c r="L23" s="451" t="s">
        <v>2421</v>
      </c>
      <c r="M23" s="142"/>
      <c r="N23" s="91"/>
      <c r="O23" s="91"/>
      <c r="P23" s="91"/>
      <c r="Q23" s="91"/>
      <c r="R23" s="91"/>
      <c r="S23" s="91"/>
      <c r="T23" s="91"/>
      <c r="U23" s="91"/>
      <c r="V23" s="91"/>
      <c r="W23" s="91"/>
      <c r="X23" s="91"/>
      <c r="Y23" s="91"/>
      <c r="Z23" s="91"/>
    </row>
    <row r="24" ht="15.75" customHeight="1">
      <c r="A24" s="183" t="s">
        <v>2241</v>
      </c>
      <c r="B24" s="445" t="s">
        <v>2422</v>
      </c>
      <c r="C24" s="446" t="s">
        <v>37</v>
      </c>
      <c r="D24" s="447" t="s">
        <v>2211</v>
      </c>
      <c r="E24" s="455">
        <v>120.0</v>
      </c>
      <c r="F24" s="449">
        <v>1.72</v>
      </c>
      <c r="G24" s="449">
        <v>1.58</v>
      </c>
      <c r="H24" s="458">
        <v>0.143</v>
      </c>
      <c r="I24" s="458">
        <v>0.0</v>
      </c>
      <c r="J24" s="450">
        <v>0.0496</v>
      </c>
      <c r="K24" s="370" t="s">
        <v>2391</v>
      </c>
      <c r="L24" s="451" t="s">
        <v>2423</v>
      </c>
      <c r="M24" s="142"/>
      <c r="N24" s="91"/>
      <c r="O24" s="91"/>
      <c r="P24" s="91"/>
      <c r="Q24" s="91"/>
      <c r="R24" s="91"/>
      <c r="S24" s="91"/>
      <c r="T24" s="91"/>
      <c r="U24" s="91"/>
      <c r="V24" s="91"/>
      <c r="W24" s="91"/>
      <c r="X24" s="91"/>
      <c r="Y24" s="91"/>
      <c r="Z24" s="91"/>
    </row>
    <row r="25" ht="15.75" customHeight="1">
      <c r="A25" s="183" t="s">
        <v>2243</v>
      </c>
      <c r="B25" s="445" t="s">
        <v>2424</v>
      </c>
      <c r="C25" s="446" t="s">
        <v>37</v>
      </c>
      <c r="D25" s="447" t="s">
        <v>2211</v>
      </c>
      <c r="E25" s="455">
        <v>102.0</v>
      </c>
      <c r="F25" s="449">
        <v>1.46</v>
      </c>
      <c r="G25" s="449">
        <v>1.33</v>
      </c>
      <c r="H25" s="450">
        <v>0.128</v>
      </c>
      <c r="I25" s="450">
        <v>0.0</v>
      </c>
      <c r="J25" s="450">
        <v>0.0423</v>
      </c>
      <c r="K25" s="370" t="s">
        <v>2391</v>
      </c>
      <c r="L25" s="451" t="s">
        <v>2425</v>
      </c>
      <c r="M25" s="142"/>
      <c r="N25" s="91"/>
      <c r="O25" s="91"/>
      <c r="P25" s="91"/>
      <c r="Q25" s="91"/>
      <c r="R25" s="91"/>
      <c r="S25" s="91"/>
      <c r="T25" s="91"/>
      <c r="U25" s="91"/>
      <c r="V25" s="91"/>
      <c r="W25" s="91"/>
      <c r="X25" s="91"/>
      <c r="Y25" s="91"/>
      <c r="Z25" s="91"/>
    </row>
    <row r="26" ht="15.75" customHeight="1">
      <c r="A26" s="183" t="s">
        <v>2245</v>
      </c>
      <c r="B26" s="445" t="s">
        <v>2426</v>
      </c>
      <c r="C26" s="446" t="s">
        <v>37</v>
      </c>
      <c r="D26" s="447" t="s">
        <v>2211</v>
      </c>
      <c r="E26" s="452">
        <v>186.0</v>
      </c>
      <c r="F26" s="453">
        <v>2.13</v>
      </c>
      <c r="G26" s="453">
        <v>0.991</v>
      </c>
      <c r="H26" s="456">
        <v>1.14</v>
      </c>
      <c r="I26" s="456">
        <v>0.0</v>
      </c>
      <c r="J26" s="454">
        <v>0.078</v>
      </c>
      <c r="K26" s="370" t="s">
        <v>2391</v>
      </c>
      <c r="L26" s="451" t="s">
        <v>2427</v>
      </c>
      <c r="M26" s="142"/>
      <c r="N26" s="91"/>
      <c r="O26" s="91"/>
      <c r="P26" s="91"/>
      <c r="Q26" s="91"/>
      <c r="R26" s="91"/>
      <c r="S26" s="91"/>
      <c r="T26" s="91"/>
      <c r="U26" s="91"/>
      <c r="V26" s="91"/>
      <c r="W26" s="91"/>
      <c r="X26" s="91"/>
      <c r="Y26" s="91"/>
      <c r="Z26" s="91"/>
    </row>
    <row r="27" ht="15.75" customHeight="1">
      <c r="A27" s="183" t="s">
        <v>2247</v>
      </c>
      <c r="B27" s="445" t="s">
        <v>2428</v>
      </c>
      <c r="C27" s="446" t="s">
        <v>37</v>
      </c>
      <c r="D27" s="447" t="s">
        <v>2211</v>
      </c>
      <c r="E27" s="452">
        <v>124.0</v>
      </c>
      <c r="F27" s="453">
        <v>1.07</v>
      </c>
      <c r="G27" s="453">
        <v>0.172</v>
      </c>
      <c r="H27" s="456">
        <v>0.894</v>
      </c>
      <c r="I27" s="456">
        <v>0.0</v>
      </c>
      <c r="J27" s="454">
        <v>0.0408</v>
      </c>
      <c r="K27" s="370" t="s">
        <v>2391</v>
      </c>
      <c r="L27" s="451" t="s">
        <v>2429</v>
      </c>
      <c r="M27" s="142"/>
      <c r="N27" s="91"/>
      <c r="O27" s="91"/>
      <c r="P27" s="91"/>
      <c r="Q27" s="91"/>
      <c r="R27" s="91"/>
      <c r="S27" s="91"/>
      <c r="T27" s="91"/>
      <c r="U27" s="91"/>
      <c r="V27" s="91"/>
      <c r="W27" s="91"/>
      <c r="X27" s="91"/>
      <c r="Y27" s="91"/>
      <c r="Z27" s="91"/>
    </row>
    <row r="28" ht="15.75" customHeight="1">
      <c r="A28" s="183" t="s">
        <v>2249</v>
      </c>
      <c r="B28" s="445" t="s">
        <v>2430</v>
      </c>
      <c r="C28" s="446" t="s">
        <v>37</v>
      </c>
      <c r="D28" s="447" t="s">
        <v>2211</v>
      </c>
      <c r="E28" s="452">
        <v>155.0</v>
      </c>
      <c r="F28" s="453">
        <v>1.99</v>
      </c>
      <c r="G28" s="453">
        <v>1.03</v>
      </c>
      <c r="H28" s="456">
        <v>0.963</v>
      </c>
      <c r="I28" s="456">
        <v>0.0</v>
      </c>
      <c r="J28" s="454">
        <v>0.062</v>
      </c>
      <c r="K28" s="370" t="s">
        <v>2391</v>
      </c>
      <c r="L28" s="451" t="s">
        <v>2431</v>
      </c>
      <c r="M28" s="142"/>
      <c r="N28" s="91"/>
      <c r="O28" s="91"/>
      <c r="P28" s="91"/>
      <c r="Q28" s="91"/>
      <c r="R28" s="91"/>
      <c r="S28" s="91"/>
      <c r="T28" s="91"/>
      <c r="U28" s="91"/>
      <c r="V28" s="91"/>
      <c r="W28" s="91"/>
      <c r="X28" s="91"/>
      <c r="Y28" s="91"/>
      <c r="Z28" s="91"/>
    </row>
    <row r="29" ht="15.75" customHeight="1">
      <c r="A29" s="183" t="s">
        <v>2251</v>
      </c>
      <c r="B29" s="445" t="s">
        <v>2432</v>
      </c>
      <c r="C29" s="446" t="s">
        <v>37</v>
      </c>
      <c r="D29" s="447" t="s">
        <v>2211</v>
      </c>
      <c r="E29" s="452">
        <v>139.0</v>
      </c>
      <c r="F29" s="453">
        <v>1.9</v>
      </c>
      <c r="G29" s="453">
        <v>1.05</v>
      </c>
      <c r="H29" s="456">
        <v>0.849</v>
      </c>
      <c r="I29" s="456">
        <v>0.0</v>
      </c>
      <c r="J29" s="454">
        <v>0.0574</v>
      </c>
      <c r="K29" s="370" t="s">
        <v>2391</v>
      </c>
      <c r="L29" s="451" t="s">
        <v>2433</v>
      </c>
      <c r="M29" s="142"/>
      <c r="N29" s="91"/>
      <c r="O29" s="91"/>
      <c r="P29" s="91"/>
      <c r="Q29" s="91"/>
      <c r="R29" s="91"/>
      <c r="S29" s="91"/>
      <c r="T29" s="91"/>
      <c r="U29" s="91"/>
      <c r="V29" s="91"/>
      <c r="W29" s="91"/>
      <c r="X29" s="91"/>
      <c r="Y29" s="91"/>
      <c r="Z29" s="91"/>
    </row>
    <row r="30" ht="15.75" customHeight="1">
      <c r="A30" s="183" t="s">
        <v>2253</v>
      </c>
      <c r="B30" s="445" t="s">
        <v>2434</v>
      </c>
      <c r="C30" s="446" t="s">
        <v>37</v>
      </c>
      <c r="D30" s="447" t="s">
        <v>2211</v>
      </c>
      <c r="E30" s="452">
        <v>67.3</v>
      </c>
      <c r="F30" s="453">
        <v>1.52</v>
      </c>
      <c r="G30" s="453">
        <v>1.36</v>
      </c>
      <c r="H30" s="456">
        <v>0.162</v>
      </c>
      <c r="I30" s="456">
        <v>0.0</v>
      </c>
      <c r="J30" s="462">
        <v>0.0207</v>
      </c>
      <c r="K30" s="370" t="s">
        <v>2391</v>
      </c>
      <c r="L30" s="451" t="s">
        <v>2435</v>
      </c>
      <c r="M30" s="142"/>
      <c r="N30" s="91"/>
      <c r="O30" s="91"/>
      <c r="P30" s="91"/>
      <c r="Q30" s="91"/>
      <c r="R30" s="91"/>
      <c r="S30" s="91"/>
      <c r="T30" s="91"/>
      <c r="U30" s="91"/>
      <c r="V30" s="91"/>
      <c r="W30" s="91"/>
      <c r="X30" s="91"/>
      <c r="Y30" s="91"/>
      <c r="Z30" s="91"/>
    </row>
    <row r="31" ht="15.75" customHeight="1">
      <c r="A31" s="183" t="s">
        <v>2255</v>
      </c>
      <c r="B31" s="445" t="s">
        <v>2436</v>
      </c>
      <c r="C31" s="446" t="s">
        <v>37</v>
      </c>
      <c r="D31" s="447" t="s">
        <v>2211</v>
      </c>
      <c r="E31" s="452">
        <v>47.6</v>
      </c>
      <c r="F31" s="456">
        <v>0.59</v>
      </c>
      <c r="G31" s="456">
        <v>0.465</v>
      </c>
      <c r="H31" s="456">
        <v>0.125</v>
      </c>
      <c r="I31" s="456">
        <v>0.0</v>
      </c>
      <c r="J31" s="462">
        <v>0.0148</v>
      </c>
      <c r="K31" s="370" t="s">
        <v>2391</v>
      </c>
      <c r="L31" s="451" t="s">
        <v>2437</v>
      </c>
      <c r="M31" s="142"/>
      <c r="N31" s="91"/>
      <c r="O31" s="91"/>
      <c r="P31" s="91"/>
      <c r="Q31" s="91"/>
      <c r="R31" s="91"/>
      <c r="S31" s="91"/>
      <c r="T31" s="91"/>
      <c r="U31" s="91"/>
      <c r="V31" s="91"/>
      <c r="W31" s="91"/>
      <c r="X31" s="91"/>
      <c r="Y31" s="91"/>
      <c r="Z31" s="91"/>
    </row>
    <row r="32" ht="15.75" customHeight="1">
      <c r="A32" s="183" t="s">
        <v>2257</v>
      </c>
      <c r="B32" s="445" t="s">
        <v>2438</v>
      </c>
      <c r="C32" s="446" t="s">
        <v>37</v>
      </c>
      <c r="D32" s="447" t="s">
        <v>2211</v>
      </c>
      <c r="E32" s="463">
        <v>7.31</v>
      </c>
      <c r="F32" s="454">
        <v>0.0597</v>
      </c>
      <c r="G32" s="454">
        <v>0.00931</v>
      </c>
      <c r="H32" s="454">
        <v>0.0504</v>
      </c>
      <c r="I32" s="454">
        <v>0.0</v>
      </c>
      <c r="J32" s="462">
        <v>0.0027</v>
      </c>
      <c r="K32" s="370" t="s">
        <v>2391</v>
      </c>
      <c r="L32" s="451" t="s">
        <v>2439</v>
      </c>
      <c r="M32" s="142"/>
      <c r="N32" s="91"/>
      <c r="O32" s="91"/>
      <c r="P32" s="91"/>
      <c r="Q32" s="91"/>
      <c r="R32" s="91"/>
      <c r="S32" s="91"/>
      <c r="T32" s="91"/>
      <c r="U32" s="91"/>
      <c r="V32" s="91"/>
      <c r="W32" s="91"/>
      <c r="X32" s="91"/>
      <c r="Y32" s="91"/>
      <c r="Z32" s="91"/>
    </row>
    <row r="33" ht="15.75" customHeight="1">
      <c r="A33" s="183" t="s">
        <v>2259</v>
      </c>
      <c r="B33" s="445" t="s">
        <v>2440</v>
      </c>
      <c r="C33" s="446" t="s">
        <v>37</v>
      </c>
      <c r="D33" s="447" t="s">
        <v>2211</v>
      </c>
      <c r="E33" s="455">
        <v>120.0</v>
      </c>
      <c r="F33" s="458">
        <v>0.628</v>
      </c>
      <c r="G33" s="458">
        <v>0.0115</v>
      </c>
      <c r="H33" s="458">
        <v>0.617</v>
      </c>
      <c r="I33" s="458">
        <v>0.0</v>
      </c>
      <c r="J33" s="450">
        <v>0.145</v>
      </c>
      <c r="K33" s="370" t="s">
        <v>2391</v>
      </c>
      <c r="L33" s="451" t="s">
        <v>2441</v>
      </c>
      <c r="M33" s="142"/>
      <c r="N33" s="91"/>
      <c r="O33" s="91"/>
      <c r="P33" s="91"/>
      <c r="Q33" s="91"/>
      <c r="R33" s="91"/>
      <c r="S33" s="91"/>
      <c r="T33" s="91"/>
      <c r="U33" s="91"/>
      <c r="V33" s="91"/>
      <c r="W33" s="91"/>
      <c r="X33" s="91"/>
      <c r="Y33" s="91"/>
      <c r="Z33" s="91"/>
    </row>
    <row r="34" ht="15.75" customHeight="1">
      <c r="A34" s="183" t="s">
        <v>2261</v>
      </c>
      <c r="B34" s="445" t="s">
        <v>2442</v>
      </c>
      <c r="C34" s="446" t="s">
        <v>37</v>
      </c>
      <c r="D34" s="447" t="s">
        <v>2211</v>
      </c>
      <c r="E34" s="452">
        <v>84.0</v>
      </c>
      <c r="F34" s="456">
        <v>0.607</v>
      </c>
      <c r="G34" s="456">
        <v>0.0105</v>
      </c>
      <c r="H34" s="456">
        <v>0.596</v>
      </c>
      <c r="I34" s="456">
        <v>0.0</v>
      </c>
      <c r="J34" s="454">
        <v>0.127</v>
      </c>
      <c r="K34" s="370" t="s">
        <v>2391</v>
      </c>
      <c r="L34" s="451" t="s">
        <v>2443</v>
      </c>
      <c r="M34" s="142"/>
      <c r="N34" s="91"/>
      <c r="O34" s="91"/>
      <c r="P34" s="91"/>
      <c r="Q34" s="91"/>
      <c r="R34" s="91"/>
      <c r="S34" s="91"/>
      <c r="T34" s="91"/>
      <c r="U34" s="91"/>
      <c r="V34" s="91"/>
      <c r="W34" s="91"/>
      <c r="X34" s="91"/>
      <c r="Y34" s="91"/>
      <c r="Z34" s="91"/>
    </row>
    <row r="35" ht="15.75" customHeight="1">
      <c r="A35" s="183" t="s">
        <v>2263</v>
      </c>
      <c r="B35" s="445" t="s">
        <v>2444</v>
      </c>
      <c r="C35" s="446" t="s">
        <v>37</v>
      </c>
      <c r="D35" s="447" t="s">
        <v>2211</v>
      </c>
      <c r="E35" s="452">
        <v>72.9</v>
      </c>
      <c r="F35" s="456">
        <v>0.232</v>
      </c>
      <c r="G35" s="456">
        <v>0.0257</v>
      </c>
      <c r="H35" s="456">
        <v>0.207</v>
      </c>
      <c r="I35" s="456">
        <v>0.0</v>
      </c>
      <c r="J35" s="454">
        <v>0.0785</v>
      </c>
      <c r="K35" s="370" t="s">
        <v>2391</v>
      </c>
      <c r="L35" s="451" t="s">
        <v>2445</v>
      </c>
      <c r="M35" s="142"/>
      <c r="N35" s="91"/>
      <c r="O35" s="91"/>
      <c r="P35" s="91"/>
      <c r="Q35" s="91"/>
      <c r="R35" s="91"/>
      <c r="S35" s="91"/>
      <c r="T35" s="91"/>
      <c r="U35" s="91"/>
      <c r="V35" s="91"/>
      <c r="W35" s="91"/>
      <c r="X35" s="91"/>
      <c r="Y35" s="91"/>
      <c r="Z35" s="91"/>
    </row>
    <row r="36" ht="15.75" customHeight="1">
      <c r="A36" s="183" t="s">
        <v>2265</v>
      </c>
      <c r="B36" s="445" t="s">
        <v>2446</v>
      </c>
      <c r="C36" s="446" t="s">
        <v>37</v>
      </c>
      <c r="D36" s="447" t="s">
        <v>2211</v>
      </c>
      <c r="E36" s="463">
        <v>28.2</v>
      </c>
      <c r="F36" s="454">
        <v>0.0802</v>
      </c>
      <c r="G36" s="454">
        <v>0.0135</v>
      </c>
      <c r="H36" s="454">
        <v>0.0667</v>
      </c>
      <c r="I36" s="454">
        <v>0.0</v>
      </c>
      <c r="J36" s="462">
        <v>0.0205</v>
      </c>
      <c r="K36" s="370" t="s">
        <v>2391</v>
      </c>
      <c r="L36" s="451" t="s">
        <v>2447</v>
      </c>
      <c r="M36" s="142"/>
      <c r="N36" s="91"/>
      <c r="O36" s="91"/>
      <c r="P36" s="91"/>
      <c r="Q36" s="91"/>
      <c r="R36" s="91"/>
      <c r="S36" s="91"/>
      <c r="T36" s="91"/>
      <c r="U36" s="91"/>
      <c r="V36" s="91"/>
      <c r="W36" s="91"/>
      <c r="X36" s="91"/>
      <c r="Y36" s="91"/>
      <c r="Z36" s="91"/>
    </row>
    <row r="37" ht="15.75" customHeight="1">
      <c r="A37" s="183" t="s">
        <v>2267</v>
      </c>
      <c r="B37" s="445" t="s">
        <v>2448</v>
      </c>
      <c r="C37" s="446" t="s">
        <v>37</v>
      </c>
      <c r="D37" s="447" t="s">
        <v>2211</v>
      </c>
      <c r="E37" s="452">
        <v>92.9</v>
      </c>
      <c r="F37" s="456">
        <v>0.875</v>
      </c>
      <c r="G37" s="456">
        <v>0.326</v>
      </c>
      <c r="H37" s="456">
        <v>0.549</v>
      </c>
      <c r="I37" s="456">
        <v>0.0</v>
      </c>
      <c r="J37" s="454">
        <v>0.108</v>
      </c>
      <c r="K37" s="370" t="s">
        <v>2391</v>
      </c>
      <c r="L37" s="451" t="s">
        <v>2449</v>
      </c>
      <c r="M37" s="142"/>
      <c r="N37" s="91"/>
      <c r="O37" s="91"/>
      <c r="P37" s="91"/>
      <c r="Q37" s="91"/>
      <c r="R37" s="91"/>
      <c r="S37" s="91"/>
      <c r="T37" s="91"/>
      <c r="U37" s="91"/>
      <c r="V37" s="91"/>
      <c r="W37" s="91"/>
      <c r="X37" s="91"/>
      <c r="Y37" s="91"/>
      <c r="Z37" s="91"/>
    </row>
    <row r="38" ht="15.75" customHeight="1">
      <c r="A38" s="183" t="s">
        <v>2269</v>
      </c>
      <c r="B38" s="445" t="s">
        <v>2450</v>
      </c>
      <c r="C38" s="446" t="s">
        <v>37</v>
      </c>
      <c r="D38" s="447" t="s">
        <v>2211</v>
      </c>
      <c r="E38" s="452">
        <v>75.5</v>
      </c>
      <c r="F38" s="456">
        <v>0.717</v>
      </c>
      <c r="G38" s="456">
        <v>0.264</v>
      </c>
      <c r="H38" s="456">
        <v>0.452</v>
      </c>
      <c r="I38" s="456">
        <v>0.0</v>
      </c>
      <c r="J38" s="454">
        <v>0.0888</v>
      </c>
      <c r="K38" s="370" t="s">
        <v>2391</v>
      </c>
      <c r="L38" s="451" t="s">
        <v>2451</v>
      </c>
      <c r="M38" s="142"/>
      <c r="N38" s="91"/>
      <c r="O38" s="91"/>
      <c r="P38" s="91"/>
      <c r="Q38" s="91"/>
      <c r="R38" s="91"/>
      <c r="S38" s="91"/>
      <c r="T38" s="91"/>
      <c r="U38" s="91"/>
      <c r="V38" s="91"/>
      <c r="W38" s="91"/>
      <c r="X38" s="91"/>
      <c r="Y38" s="91"/>
      <c r="Z38" s="91"/>
    </row>
    <row r="39" ht="15.75" customHeight="1">
      <c r="A39" s="439" t="s">
        <v>2452</v>
      </c>
      <c r="B39" s="440" t="s">
        <v>2453</v>
      </c>
      <c r="C39" s="464"/>
      <c r="D39" s="459" t="s">
        <v>2208</v>
      </c>
      <c r="E39" s="459" t="s">
        <v>2208</v>
      </c>
      <c r="F39" s="460"/>
      <c r="G39" s="460"/>
      <c r="H39" s="461"/>
      <c r="I39" s="461"/>
      <c r="J39" s="461"/>
      <c r="K39" s="465"/>
      <c r="L39" s="442" t="s">
        <v>2454</v>
      </c>
      <c r="M39" s="142"/>
      <c r="N39" s="91"/>
      <c r="O39" s="91"/>
      <c r="P39" s="91"/>
      <c r="Q39" s="91"/>
      <c r="R39" s="91"/>
      <c r="S39" s="91"/>
      <c r="T39" s="91"/>
      <c r="U39" s="91"/>
      <c r="V39" s="91"/>
      <c r="W39" s="91"/>
      <c r="X39" s="91"/>
      <c r="Y39" s="91"/>
      <c r="Z39" s="91"/>
    </row>
    <row r="40" ht="16.5" customHeight="1">
      <c r="A40" s="183" t="s">
        <v>2272</v>
      </c>
      <c r="B40" s="445" t="s">
        <v>2455</v>
      </c>
      <c r="C40" s="446" t="s">
        <v>2456</v>
      </c>
      <c r="D40" s="447" t="s">
        <v>2211</v>
      </c>
      <c r="E40" s="455">
        <v>251.0</v>
      </c>
      <c r="F40" s="449">
        <v>1.31</v>
      </c>
      <c r="G40" s="449">
        <v>0.00659</v>
      </c>
      <c r="H40" s="449">
        <v>1.3</v>
      </c>
      <c r="I40" s="449">
        <v>0.0</v>
      </c>
      <c r="J40" s="450">
        <v>0.322</v>
      </c>
      <c r="K40" s="370" t="s">
        <v>2457</v>
      </c>
      <c r="L40" s="451" t="s">
        <v>2458</v>
      </c>
      <c r="M40" s="142"/>
      <c r="N40" s="91"/>
      <c r="O40" s="91"/>
      <c r="P40" s="91"/>
      <c r="Q40" s="91"/>
      <c r="R40" s="91"/>
      <c r="S40" s="91"/>
      <c r="T40" s="91"/>
      <c r="U40" s="91"/>
      <c r="V40" s="91"/>
      <c r="W40" s="91"/>
      <c r="X40" s="91"/>
      <c r="Y40" s="91"/>
      <c r="Z40" s="91"/>
    </row>
    <row r="41" ht="16.5" customHeight="1">
      <c r="A41" s="183" t="s">
        <v>2274</v>
      </c>
      <c r="B41" s="445" t="s">
        <v>2459</v>
      </c>
      <c r="C41" s="446" t="s">
        <v>2460</v>
      </c>
      <c r="D41" s="447" t="s">
        <v>2211</v>
      </c>
      <c r="E41" s="452">
        <v>151.0</v>
      </c>
      <c r="F41" s="453">
        <v>1.17</v>
      </c>
      <c r="G41" s="453">
        <v>0.00528</v>
      </c>
      <c r="H41" s="453">
        <v>1.16</v>
      </c>
      <c r="I41" s="453">
        <v>0.0</v>
      </c>
      <c r="J41" s="454">
        <v>0.249</v>
      </c>
      <c r="K41" s="370" t="s">
        <v>2461</v>
      </c>
      <c r="L41" s="451" t="s">
        <v>2462</v>
      </c>
      <c r="M41" s="142"/>
      <c r="N41" s="91"/>
      <c r="O41" s="91"/>
      <c r="P41" s="91"/>
      <c r="Q41" s="91"/>
      <c r="R41" s="91"/>
      <c r="S41" s="91"/>
      <c r="T41" s="91"/>
      <c r="U41" s="91"/>
      <c r="V41" s="91"/>
      <c r="W41" s="91"/>
      <c r="X41" s="91"/>
      <c r="Y41" s="91"/>
      <c r="Z41" s="91"/>
    </row>
    <row r="42" ht="16.5" customHeight="1">
      <c r="A42" s="183" t="s">
        <v>2276</v>
      </c>
      <c r="B42" s="445" t="s">
        <v>2463</v>
      </c>
      <c r="C42" s="446" t="s">
        <v>2464</v>
      </c>
      <c r="D42" s="447" t="s">
        <v>2211</v>
      </c>
      <c r="E42" s="455">
        <v>219.0</v>
      </c>
      <c r="F42" s="449">
        <v>1.26</v>
      </c>
      <c r="G42" s="449">
        <v>0.00953</v>
      </c>
      <c r="H42" s="449">
        <v>1.26</v>
      </c>
      <c r="I42" s="449">
        <v>0.0</v>
      </c>
      <c r="J42" s="450">
        <v>0.296</v>
      </c>
      <c r="K42" s="370" t="s">
        <v>2465</v>
      </c>
      <c r="L42" s="451" t="s">
        <v>2466</v>
      </c>
      <c r="M42" s="142"/>
      <c r="N42" s="91"/>
      <c r="O42" s="91"/>
      <c r="P42" s="91"/>
      <c r="Q42" s="91"/>
      <c r="R42" s="91"/>
      <c r="S42" s="91"/>
      <c r="T42" s="91"/>
      <c r="U42" s="91"/>
      <c r="V42" s="91"/>
      <c r="W42" s="91"/>
      <c r="X42" s="91"/>
      <c r="Y42" s="91"/>
      <c r="Z42" s="91"/>
    </row>
    <row r="43" ht="16.5" customHeight="1">
      <c r="A43" s="183" t="s">
        <v>2278</v>
      </c>
      <c r="B43" s="445" t="s">
        <v>2467</v>
      </c>
      <c r="C43" s="446" t="s">
        <v>2468</v>
      </c>
      <c r="D43" s="447" t="s">
        <v>2211</v>
      </c>
      <c r="E43" s="466">
        <v>708.0</v>
      </c>
      <c r="F43" s="453">
        <v>2.05</v>
      </c>
      <c r="G43" s="453">
        <v>0.0198</v>
      </c>
      <c r="H43" s="453">
        <v>2.03</v>
      </c>
      <c r="I43" s="453">
        <v>0.0</v>
      </c>
      <c r="J43" s="456">
        <v>0.649</v>
      </c>
      <c r="K43" s="370" t="s">
        <v>2469</v>
      </c>
      <c r="L43" s="451" t="s">
        <v>2470</v>
      </c>
      <c r="M43" s="142"/>
      <c r="N43" s="91"/>
      <c r="O43" s="91"/>
      <c r="P43" s="91"/>
      <c r="Q43" s="91"/>
      <c r="R43" s="91"/>
      <c r="S43" s="91"/>
      <c r="T43" s="91"/>
      <c r="U43" s="91"/>
      <c r="V43" s="91"/>
      <c r="W43" s="91"/>
      <c r="X43" s="91"/>
      <c r="Y43" s="91"/>
      <c r="Z43" s="91"/>
    </row>
    <row r="44" ht="16.5" customHeight="1">
      <c r="A44" s="183" t="s">
        <v>2280</v>
      </c>
      <c r="B44" s="445" t="s">
        <v>2471</v>
      </c>
      <c r="C44" s="446" t="s">
        <v>2472</v>
      </c>
      <c r="D44" s="447" t="s">
        <v>2211</v>
      </c>
      <c r="E44" s="466">
        <v>676.0</v>
      </c>
      <c r="F44" s="453">
        <v>1.53</v>
      </c>
      <c r="G44" s="453">
        <v>0.0125</v>
      </c>
      <c r="H44" s="453">
        <v>1.52</v>
      </c>
      <c r="I44" s="453">
        <v>0.0</v>
      </c>
      <c r="J44" s="456">
        <v>0.59</v>
      </c>
      <c r="K44" s="370" t="s">
        <v>2473</v>
      </c>
      <c r="L44" s="451" t="s">
        <v>2474</v>
      </c>
      <c r="M44" s="142"/>
      <c r="N44" s="91"/>
      <c r="O44" s="91"/>
      <c r="P44" s="91"/>
      <c r="Q44" s="91"/>
      <c r="R44" s="91"/>
      <c r="S44" s="91"/>
      <c r="T44" s="91"/>
      <c r="U44" s="91"/>
      <c r="V44" s="91"/>
      <c r="W44" s="91"/>
      <c r="X44" s="91"/>
      <c r="Y44" s="91"/>
      <c r="Z44" s="91"/>
    </row>
    <row r="45" ht="16.5" customHeight="1">
      <c r="A45" s="183" t="s">
        <v>2282</v>
      </c>
      <c r="B45" s="445" t="s">
        <v>2475</v>
      </c>
      <c r="C45" s="446" t="s">
        <v>2476</v>
      </c>
      <c r="D45" s="447" t="s">
        <v>2211</v>
      </c>
      <c r="E45" s="455">
        <v>152.0</v>
      </c>
      <c r="F45" s="449">
        <v>1.77</v>
      </c>
      <c r="G45" s="449">
        <v>1.58</v>
      </c>
      <c r="H45" s="458">
        <v>0.194</v>
      </c>
      <c r="I45" s="450">
        <v>0.0</v>
      </c>
      <c r="J45" s="457">
        <v>0.0454</v>
      </c>
      <c r="K45" s="370" t="s">
        <v>2477</v>
      </c>
      <c r="L45" s="451" t="s">
        <v>2478</v>
      </c>
      <c r="M45" s="142"/>
      <c r="N45" s="91"/>
      <c r="O45" s="91"/>
      <c r="P45" s="91"/>
      <c r="Q45" s="91"/>
      <c r="R45" s="91"/>
      <c r="S45" s="91"/>
      <c r="T45" s="91"/>
      <c r="U45" s="91"/>
      <c r="V45" s="91"/>
      <c r="W45" s="91"/>
      <c r="X45" s="91"/>
      <c r="Y45" s="91"/>
      <c r="Z45" s="91"/>
    </row>
    <row r="46" ht="16.5" customHeight="1">
      <c r="A46" s="183" t="s">
        <v>2284</v>
      </c>
      <c r="B46" s="445" t="s">
        <v>2479</v>
      </c>
      <c r="C46" s="446" t="s">
        <v>2480</v>
      </c>
      <c r="D46" s="447" t="s">
        <v>2211</v>
      </c>
      <c r="E46" s="455">
        <v>144.0</v>
      </c>
      <c r="F46" s="449">
        <v>1.78</v>
      </c>
      <c r="G46" s="449">
        <v>1.58</v>
      </c>
      <c r="H46" s="458">
        <v>0.198</v>
      </c>
      <c r="I46" s="450">
        <v>0.0</v>
      </c>
      <c r="J46" s="457">
        <v>0.0456</v>
      </c>
      <c r="K46" s="370" t="s">
        <v>2481</v>
      </c>
      <c r="L46" s="451" t="s">
        <v>2482</v>
      </c>
      <c r="M46" s="142"/>
      <c r="N46" s="91"/>
      <c r="O46" s="91"/>
      <c r="P46" s="91"/>
      <c r="Q46" s="91"/>
      <c r="R46" s="91"/>
      <c r="S46" s="91"/>
      <c r="T46" s="91"/>
      <c r="U46" s="91"/>
      <c r="V46" s="91"/>
      <c r="W46" s="91"/>
      <c r="X46" s="91"/>
      <c r="Y46" s="91"/>
      <c r="Z46" s="91"/>
    </row>
    <row r="47" ht="16.5" customHeight="1">
      <c r="A47" s="183" t="s">
        <v>2286</v>
      </c>
      <c r="B47" s="445" t="s">
        <v>2483</v>
      </c>
      <c r="C47" s="446" t="s">
        <v>2484</v>
      </c>
      <c r="D47" s="447" t="s">
        <v>2211</v>
      </c>
      <c r="E47" s="455">
        <v>116.0</v>
      </c>
      <c r="F47" s="449">
        <v>1.52</v>
      </c>
      <c r="G47" s="449">
        <v>1.42</v>
      </c>
      <c r="H47" s="458">
        <v>0.0971</v>
      </c>
      <c r="I47" s="450">
        <v>0.0</v>
      </c>
      <c r="J47" s="457">
        <v>0.0198</v>
      </c>
      <c r="K47" s="370" t="s">
        <v>2485</v>
      </c>
      <c r="L47" s="451" t="s">
        <v>2486</v>
      </c>
      <c r="M47" s="142"/>
      <c r="N47" s="91"/>
      <c r="O47" s="91"/>
      <c r="P47" s="91"/>
      <c r="Q47" s="91"/>
      <c r="R47" s="91"/>
      <c r="S47" s="91"/>
      <c r="T47" s="91"/>
      <c r="U47" s="91"/>
      <c r="V47" s="91"/>
      <c r="W47" s="91"/>
      <c r="X47" s="91"/>
      <c r="Y47" s="91"/>
      <c r="Z47" s="91"/>
    </row>
    <row r="48" ht="16.5" customHeight="1">
      <c r="A48" s="183" t="s">
        <v>2288</v>
      </c>
      <c r="B48" s="445" t="s">
        <v>2487</v>
      </c>
      <c r="C48" s="446" t="s">
        <v>2488</v>
      </c>
      <c r="D48" s="447" t="s">
        <v>2211</v>
      </c>
      <c r="E48" s="455">
        <v>106.0</v>
      </c>
      <c r="F48" s="449">
        <v>1.52</v>
      </c>
      <c r="G48" s="449">
        <v>1.42</v>
      </c>
      <c r="H48" s="458">
        <v>0.1</v>
      </c>
      <c r="I48" s="450">
        <v>0.0</v>
      </c>
      <c r="J48" s="457">
        <v>0.0199</v>
      </c>
      <c r="K48" s="370" t="s">
        <v>2489</v>
      </c>
      <c r="L48" s="451" t="s">
        <v>2490</v>
      </c>
      <c r="M48" s="142"/>
      <c r="N48" s="91"/>
      <c r="O48" s="91"/>
      <c r="P48" s="91"/>
      <c r="Q48" s="91"/>
      <c r="R48" s="91"/>
      <c r="S48" s="91"/>
      <c r="T48" s="91"/>
      <c r="U48" s="91"/>
      <c r="V48" s="91"/>
      <c r="W48" s="91"/>
      <c r="X48" s="91"/>
      <c r="Y48" s="91"/>
      <c r="Z48" s="91"/>
    </row>
    <row r="49" ht="16.5" customHeight="1">
      <c r="A49" s="183" t="s">
        <v>2290</v>
      </c>
      <c r="B49" s="445" t="s">
        <v>2491</v>
      </c>
      <c r="C49" s="446" t="s">
        <v>2492</v>
      </c>
      <c r="D49" s="447" t="s">
        <v>2211</v>
      </c>
      <c r="E49" s="455">
        <v>108.0</v>
      </c>
      <c r="F49" s="449">
        <v>1.53</v>
      </c>
      <c r="G49" s="449">
        <v>1.32</v>
      </c>
      <c r="H49" s="458">
        <v>0.21</v>
      </c>
      <c r="I49" s="458">
        <v>0.0</v>
      </c>
      <c r="J49" s="450">
        <v>0.0382</v>
      </c>
      <c r="K49" s="370" t="s">
        <v>2493</v>
      </c>
      <c r="L49" s="451" t="s">
        <v>2494</v>
      </c>
      <c r="M49" s="142"/>
      <c r="N49" s="91"/>
      <c r="O49" s="91"/>
      <c r="P49" s="91"/>
      <c r="Q49" s="91"/>
      <c r="R49" s="91"/>
      <c r="S49" s="91"/>
      <c r="T49" s="91"/>
      <c r="U49" s="91"/>
      <c r="V49" s="91"/>
      <c r="W49" s="91"/>
      <c r="X49" s="91"/>
      <c r="Y49" s="91"/>
      <c r="Z49" s="91"/>
    </row>
    <row r="50" ht="16.5" customHeight="1">
      <c r="A50" s="183" t="s">
        <v>2292</v>
      </c>
      <c r="B50" s="445" t="s">
        <v>2495</v>
      </c>
      <c r="C50" s="446" t="s">
        <v>2496</v>
      </c>
      <c r="D50" s="447" t="s">
        <v>2211</v>
      </c>
      <c r="E50" s="455">
        <v>103.0</v>
      </c>
      <c r="F50" s="449">
        <v>1.54</v>
      </c>
      <c r="G50" s="449">
        <v>1.32</v>
      </c>
      <c r="H50" s="458">
        <v>0.213</v>
      </c>
      <c r="I50" s="458">
        <v>0.0</v>
      </c>
      <c r="J50" s="450">
        <v>0.0383</v>
      </c>
      <c r="K50" s="370" t="s">
        <v>2497</v>
      </c>
      <c r="L50" s="451" t="s">
        <v>2498</v>
      </c>
      <c r="M50" s="142"/>
      <c r="N50" s="91"/>
      <c r="O50" s="91"/>
      <c r="P50" s="91"/>
      <c r="Q50" s="91"/>
      <c r="R50" s="91"/>
      <c r="S50" s="91"/>
      <c r="T50" s="91"/>
      <c r="U50" s="91"/>
      <c r="V50" s="91"/>
      <c r="W50" s="91"/>
      <c r="X50" s="91"/>
      <c r="Y50" s="91"/>
      <c r="Z50" s="91"/>
    </row>
    <row r="51" ht="16.5" customHeight="1">
      <c r="A51" s="183" t="s">
        <v>2294</v>
      </c>
      <c r="B51" s="445" t="s">
        <v>2499</v>
      </c>
      <c r="C51" s="446" t="s">
        <v>2500</v>
      </c>
      <c r="D51" s="447" t="s">
        <v>2211</v>
      </c>
      <c r="E51" s="452">
        <v>121.0</v>
      </c>
      <c r="F51" s="456">
        <v>0.365</v>
      </c>
      <c r="G51" s="456">
        <v>0.0353</v>
      </c>
      <c r="H51" s="456">
        <v>0.33</v>
      </c>
      <c r="I51" s="456">
        <v>0.0</v>
      </c>
      <c r="J51" s="454">
        <v>0.142</v>
      </c>
      <c r="K51" s="370" t="s">
        <v>2501</v>
      </c>
      <c r="L51" s="451" t="s">
        <v>2502</v>
      </c>
      <c r="M51" s="142"/>
      <c r="N51" s="91"/>
      <c r="O51" s="91"/>
      <c r="P51" s="91"/>
      <c r="Q51" s="91"/>
      <c r="R51" s="91"/>
      <c r="S51" s="91"/>
      <c r="T51" s="91"/>
      <c r="U51" s="91"/>
      <c r="V51" s="91"/>
      <c r="W51" s="91"/>
      <c r="X51" s="91"/>
      <c r="Y51" s="91"/>
      <c r="Z51" s="91"/>
    </row>
    <row r="52" ht="16.5" customHeight="1">
      <c r="A52" s="439" t="s">
        <v>2503</v>
      </c>
      <c r="B52" s="440" t="s">
        <v>2504</v>
      </c>
      <c r="C52" s="464"/>
      <c r="D52" s="459" t="s">
        <v>2208</v>
      </c>
      <c r="E52" s="459" t="s">
        <v>2208</v>
      </c>
      <c r="F52" s="460"/>
      <c r="G52" s="460"/>
      <c r="H52" s="461"/>
      <c r="I52" s="461"/>
      <c r="J52" s="461"/>
      <c r="K52" s="465"/>
      <c r="L52" s="442" t="s">
        <v>2505</v>
      </c>
      <c r="M52" s="142"/>
      <c r="N52" s="91"/>
      <c r="O52" s="91"/>
      <c r="P52" s="91"/>
      <c r="Q52" s="91"/>
      <c r="R52" s="91"/>
      <c r="S52" s="91"/>
      <c r="T52" s="91"/>
      <c r="U52" s="91"/>
      <c r="V52" s="91"/>
      <c r="W52" s="91"/>
      <c r="X52" s="91"/>
      <c r="Y52" s="91"/>
      <c r="Z52" s="91"/>
    </row>
    <row r="53" ht="16.5" customHeight="1">
      <c r="A53" s="183" t="s">
        <v>2297</v>
      </c>
      <c r="B53" s="445" t="s">
        <v>2506</v>
      </c>
      <c r="C53" s="446" t="s">
        <v>2507</v>
      </c>
      <c r="D53" s="447" t="s">
        <v>2211</v>
      </c>
      <c r="E53" s="452">
        <v>149.0</v>
      </c>
      <c r="F53" s="453">
        <v>1.73</v>
      </c>
      <c r="G53" s="453">
        <v>0.818</v>
      </c>
      <c r="H53" s="456">
        <v>0.908</v>
      </c>
      <c r="I53" s="456">
        <v>0.643</v>
      </c>
      <c r="J53" s="454">
        <v>0.0628</v>
      </c>
      <c r="K53" s="370" t="s">
        <v>2508</v>
      </c>
      <c r="L53" s="451" t="s">
        <v>2509</v>
      </c>
      <c r="M53" s="91"/>
      <c r="N53" s="91"/>
      <c r="O53" s="91"/>
      <c r="P53" s="91"/>
      <c r="Q53" s="91"/>
      <c r="R53" s="91"/>
      <c r="S53" s="91"/>
      <c r="T53" s="91"/>
      <c r="U53" s="91"/>
      <c r="V53" s="91"/>
      <c r="W53" s="91"/>
      <c r="X53" s="91"/>
      <c r="Y53" s="91"/>
      <c r="Z53" s="91"/>
    </row>
    <row r="54" ht="16.5" customHeight="1">
      <c r="A54" s="183" t="s">
        <v>2299</v>
      </c>
      <c r="B54" s="445" t="s">
        <v>2510</v>
      </c>
      <c r="C54" s="446" t="s">
        <v>2511</v>
      </c>
      <c r="D54" s="447" t="s">
        <v>2211</v>
      </c>
      <c r="E54" s="452">
        <v>110.0</v>
      </c>
      <c r="F54" s="453">
        <v>1.53</v>
      </c>
      <c r="G54" s="453">
        <v>0.87</v>
      </c>
      <c r="H54" s="456">
        <v>0.665</v>
      </c>
      <c r="I54" s="456">
        <v>0.744</v>
      </c>
      <c r="J54" s="454">
        <v>0.0456</v>
      </c>
      <c r="K54" s="370" t="s">
        <v>2512</v>
      </c>
      <c r="L54" s="451" t="s">
        <v>2513</v>
      </c>
      <c r="M54" s="91"/>
      <c r="N54" s="91"/>
      <c r="O54" s="91"/>
      <c r="P54" s="91"/>
      <c r="Q54" s="91"/>
      <c r="R54" s="91"/>
      <c r="S54" s="91"/>
      <c r="T54" s="91"/>
      <c r="U54" s="91"/>
      <c r="V54" s="91"/>
      <c r="W54" s="91"/>
      <c r="X54" s="91"/>
      <c r="Y54" s="91"/>
      <c r="Z54" s="91"/>
    </row>
    <row r="55" ht="16.5" customHeight="1">
      <c r="A55" s="183" t="s">
        <v>2301</v>
      </c>
      <c r="B55" s="445" t="s">
        <v>2514</v>
      </c>
      <c r="C55" s="446" t="s">
        <v>2515</v>
      </c>
      <c r="D55" s="447" t="s">
        <v>2211</v>
      </c>
      <c r="E55" s="452">
        <v>123.0</v>
      </c>
      <c r="F55" s="453">
        <v>1.61</v>
      </c>
      <c r="G55" s="453">
        <v>0.85</v>
      </c>
      <c r="H55" s="456">
        <v>0.76</v>
      </c>
      <c r="I55" s="456">
        <v>0.706</v>
      </c>
      <c r="J55" s="454">
        <v>0.0494</v>
      </c>
      <c r="K55" s="370" t="s">
        <v>2516</v>
      </c>
      <c r="L55" s="451" t="s">
        <v>2517</v>
      </c>
      <c r="M55" s="91"/>
      <c r="N55" s="91"/>
      <c r="O55" s="91"/>
      <c r="P55" s="91"/>
      <c r="Q55" s="91"/>
      <c r="R55" s="91"/>
      <c r="S55" s="91"/>
      <c r="T55" s="91"/>
      <c r="U55" s="91"/>
      <c r="V55" s="91"/>
      <c r="W55" s="91"/>
      <c r="X55" s="91"/>
      <c r="Y55" s="91"/>
      <c r="Z55" s="91"/>
    </row>
    <row r="56" ht="16.5" customHeight="1">
      <c r="A56" s="183" t="s">
        <v>2303</v>
      </c>
      <c r="B56" s="445" t="s">
        <v>2092</v>
      </c>
      <c r="C56" s="446" t="s">
        <v>2518</v>
      </c>
      <c r="D56" s="447" t="s">
        <v>2211</v>
      </c>
      <c r="E56" s="452">
        <v>102.0</v>
      </c>
      <c r="F56" s="453">
        <v>1.6</v>
      </c>
      <c r="G56" s="453">
        <v>1.33</v>
      </c>
      <c r="H56" s="456">
        <v>0.275</v>
      </c>
      <c r="I56" s="453">
        <v>1.28</v>
      </c>
      <c r="J56" s="454">
        <v>0.0366</v>
      </c>
      <c r="K56" s="370" t="s">
        <v>2519</v>
      </c>
      <c r="L56" s="371" t="s">
        <v>2096</v>
      </c>
      <c r="M56" s="91"/>
      <c r="N56" s="91"/>
      <c r="O56" s="91"/>
      <c r="P56" s="91"/>
      <c r="Q56" s="91"/>
      <c r="R56" s="91"/>
      <c r="S56" s="91"/>
      <c r="T56" s="91"/>
      <c r="U56" s="91"/>
      <c r="V56" s="91"/>
      <c r="W56" s="91"/>
      <c r="X56" s="91"/>
      <c r="Y56" s="91"/>
      <c r="Z56" s="91"/>
    </row>
    <row r="57" ht="16.5" customHeight="1">
      <c r="A57" s="183" t="s">
        <v>2305</v>
      </c>
      <c r="B57" s="445" t="s">
        <v>2097</v>
      </c>
      <c r="C57" s="446" t="s">
        <v>2520</v>
      </c>
      <c r="D57" s="447" t="s">
        <v>2211</v>
      </c>
      <c r="E57" s="452">
        <v>90.0</v>
      </c>
      <c r="F57" s="453">
        <v>1.83</v>
      </c>
      <c r="G57" s="453">
        <v>1.61</v>
      </c>
      <c r="H57" s="456">
        <v>0.221</v>
      </c>
      <c r="I57" s="453">
        <v>1.57</v>
      </c>
      <c r="J57" s="454">
        <v>0.0337</v>
      </c>
      <c r="K57" s="370" t="s">
        <v>2521</v>
      </c>
      <c r="L57" s="371" t="s">
        <v>2522</v>
      </c>
      <c r="M57" s="91"/>
      <c r="N57" s="91"/>
      <c r="O57" s="91"/>
      <c r="P57" s="91"/>
      <c r="Q57" s="91"/>
      <c r="R57" s="91"/>
      <c r="S57" s="91"/>
      <c r="T57" s="91"/>
      <c r="U57" s="91"/>
      <c r="V57" s="91"/>
      <c r="W57" s="91"/>
      <c r="X57" s="91"/>
      <c r="Y57" s="91"/>
      <c r="Z57" s="91"/>
    </row>
    <row r="58" ht="16.5" customHeight="1">
      <c r="A58" s="183" t="s">
        <v>2307</v>
      </c>
      <c r="B58" s="445" t="s">
        <v>2100</v>
      </c>
      <c r="C58" s="446" t="s">
        <v>2523</v>
      </c>
      <c r="D58" s="447" t="s">
        <v>2211</v>
      </c>
      <c r="E58" s="452">
        <v>40.7</v>
      </c>
      <c r="F58" s="453">
        <v>1.23</v>
      </c>
      <c r="G58" s="453">
        <v>1.14</v>
      </c>
      <c r="H58" s="454">
        <v>0.0859</v>
      </c>
      <c r="I58" s="453">
        <v>1.13</v>
      </c>
      <c r="J58" s="462">
        <v>0.0139</v>
      </c>
      <c r="K58" s="370" t="s">
        <v>2524</v>
      </c>
      <c r="L58" s="371" t="s">
        <v>2102</v>
      </c>
      <c r="M58" s="91"/>
      <c r="N58" s="91"/>
      <c r="O58" s="91"/>
      <c r="P58" s="91"/>
      <c r="Q58" s="91"/>
      <c r="R58" s="91"/>
      <c r="S58" s="91"/>
      <c r="T58" s="91"/>
      <c r="U58" s="91"/>
      <c r="V58" s="91"/>
      <c r="W58" s="91"/>
      <c r="X58" s="91"/>
      <c r="Y58" s="91"/>
      <c r="Z58" s="91"/>
    </row>
    <row r="59" ht="16.5" customHeight="1">
      <c r="A59" s="183" t="s">
        <v>2309</v>
      </c>
      <c r="B59" s="445" t="s">
        <v>2103</v>
      </c>
      <c r="C59" s="446" t="s">
        <v>2525</v>
      </c>
      <c r="D59" s="447" t="s">
        <v>2211</v>
      </c>
      <c r="E59" s="452">
        <v>76.5</v>
      </c>
      <c r="F59" s="453">
        <v>1.73</v>
      </c>
      <c r="G59" s="453">
        <v>1.54</v>
      </c>
      <c r="H59" s="456">
        <v>0.193</v>
      </c>
      <c r="I59" s="453">
        <v>1.51</v>
      </c>
      <c r="J59" s="462">
        <v>0.0308</v>
      </c>
      <c r="K59" s="370" t="s">
        <v>2526</v>
      </c>
      <c r="L59" s="371" t="s">
        <v>2527</v>
      </c>
      <c r="M59" s="91"/>
      <c r="N59" s="91"/>
      <c r="O59" s="91"/>
      <c r="P59" s="91"/>
      <c r="Q59" s="91"/>
      <c r="R59" s="91"/>
      <c r="S59" s="91"/>
      <c r="T59" s="91"/>
      <c r="U59" s="91"/>
      <c r="V59" s="91"/>
      <c r="W59" s="91"/>
      <c r="X59" s="91"/>
      <c r="Y59" s="91"/>
      <c r="Z59" s="91"/>
    </row>
    <row r="60" ht="16.5" customHeight="1">
      <c r="A60" s="183" t="s">
        <v>2311</v>
      </c>
      <c r="B60" s="445" t="s">
        <v>2528</v>
      </c>
      <c r="C60" s="446" t="s">
        <v>2529</v>
      </c>
      <c r="D60" s="447" t="s">
        <v>2211</v>
      </c>
      <c r="E60" s="452">
        <v>70.5</v>
      </c>
      <c r="F60" s="456">
        <v>0.504</v>
      </c>
      <c r="G60" s="456">
        <v>0.00197</v>
      </c>
      <c r="H60" s="456">
        <v>0.502</v>
      </c>
      <c r="I60" s="456">
        <v>0.0</v>
      </c>
      <c r="J60" s="454">
        <v>0.111</v>
      </c>
      <c r="K60" s="370" t="s">
        <v>2530</v>
      </c>
      <c r="L60" s="451" t="s">
        <v>2531</v>
      </c>
      <c r="M60" s="91"/>
      <c r="N60" s="91"/>
      <c r="O60" s="91"/>
      <c r="P60" s="91"/>
      <c r="Q60" s="91"/>
      <c r="R60" s="91"/>
      <c r="S60" s="91"/>
      <c r="T60" s="91"/>
      <c r="U60" s="91"/>
      <c r="V60" s="91"/>
      <c r="W60" s="91"/>
      <c r="X60" s="91"/>
      <c r="Y60" s="91"/>
      <c r="Z60" s="91"/>
    </row>
    <row r="61" ht="12.75" customHeight="1">
      <c r="A61" s="183"/>
      <c r="B61" s="467" t="s">
        <v>2532</v>
      </c>
      <c r="C61" s="446"/>
      <c r="D61" s="446"/>
      <c r="E61" s="452"/>
      <c r="F61" s="453"/>
      <c r="G61" s="453"/>
      <c r="H61" s="456"/>
      <c r="I61" s="456"/>
      <c r="J61" s="456"/>
      <c r="K61" s="468"/>
      <c r="L61" s="469" t="s">
        <v>2533</v>
      </c>
      <c r="M61" s="91"/>
      <c r="N61" s="91"/>
      <c r="O61" s="91"/>
      <c r="P61" s="91"/>
      <c r="Q61" s="91"/>
      <c r="R61" s="91"/>
      <c r="S61" s="91"/>
      <c r="T61" s="91"/>
      <c r="U61" s="91"/>
      <c r="V61" s="91"/>
      <c r="W61" s="91"/>
      <c r="X61" s="91"/>
      <c r="Y61" s="91"/>
      <c r="Z61" s="91"/>
    </row>
    <row r="62" ht="15.75" customHeight="1">
      <c r="A62" s="439" t="s">
        <v>2534</v>
      </c>
      <c r="B62" s="440" t="s">
        <v>2535</v>
      </c>
      <c r="C62" s="441"/>
      <c r="D62" s="459" t="s">
        <v>2208</v>
      </c>
      <c r="E62" s="459" t="s">
        <v>2208</v>
      </c>
      <c r="F62" s="460"/>
      <c r="G62" s="460"/>
      <c r="H62" s="461"/>
      <c r="I62" s="461"/>
      <c r="J62" s="461"/>
      <c r="K62" s="443"/>
      <c r="L62" s="251" t="s">
        <v>2536</v>
      </c>
      <c r="M62" s="91"/>
      <c r="N62" s="91"/>
      <c r="O62" s="91"/>
      <c r="P62" s="91"/>
      <c r="Q62" s="91"/>
      <c r="R62" s="91"/>
      <c r="S62" s="91"/>
      <c r="T62" s="91"/>
      <c r="U62" s="91"/>
      <c r="V62" s="91"/>
      <c r="W62" s="91"/>
      <c r="X62" s="91"/>
      <c r="Y62" s="91"/>
      <c r="Z62" s="91"/>
    </row>
    <row r="63" ht="15.75" customHeight="1">
      <c r="A63" s="183" t="s">
        <v>2314</v>
      </c>
      <c r="B63" s="445" t="s">
        <v>2537</v>
      </c>
      <c r="C63" s="446" t="s">
        <v>37</v>
      </c>
      <c r="D63" s="447" t="s">
        <v>2211</v>
      </c>
      <c r="E63" s="466">
        <v>453.0</v>
      </c>
      <c r="F63" s="453">
        <v>4.21</v>
      </c>
      <c r="G63" s="453">
        <v>0.00508</v>
      </c>
      <c r="H63" s="453">
        <v>4.21</v>
      </c>
      <c r="I63" s="453">
        <v>0.0</v>
      </c>
      <c r="J63" s="456">
        <v>0.0233</v>
      </c>
      <c r="K63" s="468" t="s">
        <v>2391</v>
      </c>
      <c r="L63" s="451" t="s">
        <v>2538</v>
      </c>
      <c r="M63" s="91"/>
      <c r="N63" s="91"/>
      <c r="O63" s="91"/>
      <c r="P63" s="91"/>
      <c r="Q63" s="91"/>
      <c r="R63" s="91"/>
      <c r="S63" s="91"/>
      <c r="T63" s="91"/>
      <c r="U63" s="91"/>
      <c r="V63" s="91"/>
      <c r="W63" s="91"/>
      <c r="X63" s="91"/>
      <c r="Y63" s="91"/>
      <c r="Z63" s="91"/>
    </row>
    <row r="64" ht="15.75" customHeight="1">
      <c r="A64" s="183" t="s">
        <v>2316</v>
      </c>
      <c r="B64" s="445" t="s">
        <v>2539</v>
      </c>
      <c r="C64" s="446" t="s">
        <v>37</v>
      </c>
      <c r="D64" s="447" t="s">
        <v>2211</v>
      </c>
      <c r="E64" s="452">
        <v>308.0</v>
      </c>
      <c r="F64" s="453">
        <v>2.22</v>
      </c>
      <c r="G64" s="453">
        <v>0.00585</v>
      </c>
      <c r="H64" s="453">
        <v>2.22</v>
      </c>
      <c r="I64" s="453">
        <v>0.0</v>
      </c>
      <c r="J64" s="456">
        <v>0.466</v>
      </c>
      <c r="K64" s="468" t="s">
        <v>2391</v>
      </c>
      <c r="L64" s="451" t="s">
        <v>2540</v>
      </c>
      <c r="M64" s="91"/>
      <c r="N64" s="91"/>
      <c r="O64" s="91"/>
      <c r="P64" s="91"/>
      <c r="Q64" s="91"/>
      <c r="R64" s="91"/>
      <c r="S64" s="91"/>
      <c r="T64" s="91"/>
      <c r="U64" s="91"/>
      <c r="V64" s="91"/>
      <c r="W64" s="91"/>
      <c r="X64" s="91"/>
      <c r="Y64" s="91"/>
      <c r="Z64" s="91"/>
    </row>
    <row r="65" ht="15.75" customHeight="1">
      <c r="A65" s="470">
        <v>45.023</v>
      </c>
      <c r="B65" s="445" t="s">
        <v>2541</v>
      </c>
      <c r="C65" s="446" t="s">
        <v>37</v>
      </c>
      <c r="D65" s="447" t="s">
        <v>2211</v>
      </c>
      <c r="E65" s="466">
        <v>793.0</v>
      </c>
      <c r="F65" s="453">
        <v>3.95</v>
      </c>
      <c r="G65" s="453">
        <v>0.0116</v>
      </c>
      <c r="H65" s="453">
        <v>3.94</v>
      </c>
      <c r="I65" s="453">
        <v>0.0</v>
      </c>
      <c r="J65" s="456">
        <v>1.36</v>
      </c>
      <c r="K65" s="468" t="s">
        <v>2391</v>
      </c>
      <c r="L65" s="451" t="s">
        <v>2542</v>
      </c>
      <c r="M65" s="91"/>
      <c r="N65" s="91"/>
      <c r="O65" s="91"/>
      <c r="P65" s="91"/>
      <c r="Q65" s="91"/>
      <c r="R65" s="91"/>
      <c r="S65" s="91"/>
      <c r="T65" s="91"/>
      <c r="U65" s="91"/>
      <c r="V65" s="91"/>
      <c r="W65" s="91"/>
      <c r="X65" s="91"/>
      <c r="Y65" s="91"/>
      <c r="Z65" s="91"/>
    </row>
    <row r="66" ht="15.75" customHeight="1">
      <c r="A66" s="183" t="s">
        <v>2320</v>
      </c>
      <c r="B66" s="445" t="s">
        <v>2543</v>
      </c>
      <c r="C66" s="446" t="s">
        <v>37</v>
      </c>
      <c r="D66" s="447" t="s">
        <v>2211</v>
      </c>
      <c r="E66" s="466">
        <v>768.0</v>
      </c>
      <c r="F66" s="453">
        <v>3.94</v>
      </c>
      <c r="G66" s="453">
        <v>0.0331</v>
      </c>
      <c r="H66" s="453">
        <v>3.91</v>
      </c>
      <c r="I66" s="453">
        <v>0.0</v>
      </c>
      <c r="J66" s="456">
        <v>1.24</v>
      </c>
      <c r="K66" s="468" t="s">
        <v>2391</v>
      </c>
      <c r="L66" s="451" t="s">
        <v>2544</v>
      </c>
      <c r="M66" s="91"/>
      <c r="N66" s="91"/>
      <c r="O66" s="91"/>
      <c r="P66" s="91"/>
      <c r="Q66" s="91"/>
      <c r="R66" s="91"/>
      <c r="S66" s="91"/>
      <c r="T66" s="91"/>
      <c r="U66" s="91"/>
      <c r="V66" s="91"/>
      <c r="W66" s="91"/>
      <c r="X66" s="91"/>
      <c r="Y66" s="91"/>
      <c r="Z66" s="91"/>
    </row>
    <row r="67" ht="15.75" customHeight="1">
      <c r="A67" s="183" t="s">
        <v>2322</v>
      </c>
      <c r="B67" s="445" t="s">
        <v>2545</v>
      </c>
      <c r="C67" s="446" t="s">
        <v>37</v>
      </c>
      <c r="D67" s="447" t="s">
        <v>2211</v>
      </c>
      <c r="E67" s="466">
        <v>1090.0</v>
      </c>
      <c r="F67" s="453">
        <v>3.83</v>
      </c>
      <c r="G67" s="453">
        <v>0.0129</v>
      </c>
      <c r="H67" s="453">
        <v>3.82</v>
      </c>
      <c r="I67" s="453">
        <v>0.0</v>
      </c>
      <c r="J67" s="456">
        <v>1.01</v>
      </c>
      <c r="K67" s="468" t="s">
        <v>2391</v>
      </c>
      <c r="L67" s="451" t="s">
        <v>2546</v>
      </c>
      <c r="M67" s="91"/>
      <c r="N67" s="91"/>
      <c r="O67" s="91"/>
      <c r="P67" s="91"/>
      <c r="Q67" s="91"/>
      <c r="R67" s="91"/>
      <c r="S67" s="91"/>
      <c r="T67" s="91"/>
      <c r="U67" s="91"/>
      <c r="V67" s="91"/>
      <c r="W67" s="91"/>
      <c r="X67" s="91"/>
      <c r="Y67" s="91"/>
      <c r="Z67" s="91"/>
    </row>
    <row r="68" ht="15.75" customHeight="1">
      <c r="A68" s="183" t="s">
        <v>2324</v>
      </c>
      <c r="B68" s="445" t="s">
        <v>2438</v>
      </c>
      <c r="C68" s="446" t="s">
        <v>37</v>
      </c>
      <c r="D68" s="447" t="s">
        <v>2211</v>
      </c>
      <c r="E68" s="463">
        <v>32.0</v>
      </c>
      <c r="F68" s="454">
        <v>0.0179</v>
      </c>
      <c r="G68" s="454">
        <v>0.00227</v>
      </c>
      <c r="H68" s="454">
        <v>0.0156</v>
      </c>
      <c r="I68" s="454">
        <v>0.0</v>
      </c>
      <c r="J68" s="462">
        <v>0.00693</v>
      </c>
      <c r="K68" s="468" t="s">
        <v>2391</v>
      </c>
      <c r="L68" s="451" t="s">
        <v>2439</v>
      </c>
      <c r="M68" s="91"/>
      <c r="N68" s="91"/>
      <c r="O68" s="91"/>
      <c r="P68" s="91"/>
      <c r="Q68" s="91"/>
      <c r="R68" s="91"/>
      <c r="S68" s="91"/>
      <c r="T68" s="91"/>
      <c r="U68" s="91"/>
      <c r="V68" s="91"/>
      <c r="W68" s="91"/>
      <c r="X68" s="91"/>
      <c r="Y68" s="91"/>
      <c r="Z68" s="91"/>
    </row>
    <row r="69" ht="15.75" customHeight="1">
      <c r="A69" s="183" t="s">
        <v>2326</v>
      </c>
      <c r="B69" s="445" t="s">
        <v>2424</v>
      </c>
      <c r="C69" s="446" t="s">
        <v>37</v>
      </c>
      <c r="D69" s="447" t="s">
        <v>2211</v>
      </c>
      <c r="E69" s="455">
        <v>295.0</v>
      </c>
      <c r="F69" s="449">
        <v>3.88</v>
      </c>
      <c r="G69" s="449">
        <v>3.64</v>
      </c>
      <c r="H69" s="458">
        <v>0.24</v>
      </c>
      <c r="I69" s="458">
        <v>0.0</v>
      </c>
      <c r="J69" s="450">
        <v>0.118</v>
      </c>
      <c r="K69" s="468" t="s">
        <v>2391</v>
      </c>
      <c r="L69" s="451" t="s">
        <v>2425</v>
      </c>
      <c r="M69" s="91"/>
      <c r="N69" s="91"/>
      <c r="O69" s="91"/>
      <c r="P69" s="91"/>
      <c r="Q69" s="91"/>
      <c r="R69" s="91"/>
      <c r="S69" s="91"/>
      <c r="T69" s="91"/>
      <c r="U69" s="91"/>
      <c r="V69" s="91"/>
      <c r="W69" s="91"/>
      <c r="X69" s="91"/>
      <c r="Y69" s="91"/>
      <c r="Z69" s="91"/>
    </row>
    <row r="70" ht="15.75" customHeight="1">
      <c r="A70" s="183" t="s">
        <v>2328</v>
      </c>
      <c r="B70" s="445" t="s">
        <v>2440</v>
      </c>
      <c r="C70" s="446" t="s">
        <v>37</v>
      </c>
      <c r="D70" s="447" t="s">
        <v>2211</v>
      </c>
      <c r="E70" s="471">
        <v>677.0</v>
      </c>
      <c r="F70" s="449">
        <v>3.28</v>
      </c>
      <c r="G70" s="449">
        <v>0.0135</v>
      </c>
      <c r="H70" s="449">
        <v>3.27</v>
      </c>
      <c r="I70" s="449">
        <v>0.0</v>
      </c>
      <c r="J70" s="458">
        <v>0.823</v>
      </c>
      <c r="K70" s="468" t="s">
        <v>2391</v>
      </c>
      <c r="L70" s="451" t="s">
        <v>2441</v>
      </c>
      <c r="M70" s="91"/>
      <c r="N70" s="91"/>
      <c r="O70" s="91"/>
      <c r="P70" s="91"/>
      <c r="Q70" s="91"/>
      <c r="R70" s="91"/>
      <c r="S70" s="91"/>
      <c r="T70" s="91"/>
      <c r="U70" s="91"/>
      <c r="V70" s="91"/>
      <c r="W70" s="91"/>
      <c r="X70" s="91"/>
      <c r="Y70" s="91"/>
      <c r="Z70" s="91"/>
    </row>
    <row r="71" ht="15.75" customHeight="1">
      <c r="A71" s="183" t="s">
        <v>2330</v>
      </c>
      <c r="B71" s="445" t="s">
        <v>2442</v>
      </c>
      <c r="C71" s="446" t="s">
        <v>37</v>
      </c>
      <c r="D71" s="447" t="s">
        <v>2211</v>
      </c>
      <c r="E71" s="466">
        <v>440.0</v>
      </c>
      <c r="F71" s="453">
        <v>2.94</v>
      </c>
      <c r="G71" s="453">
        <v>0.00786</v>
      </c>
      <c r="H71" s="453">
        <v>2.94</v>
      </c>
      <c r="I71" s="453">
        <v>0.0</v>
      </c>
      <c r="J71" s="456">
        <v>0.669</v>
      </c>
      <c r="K71" s="468" t="s">
        <v>2391</v>
      </c>
      <c r="L71" s="451" t="s">
        <v>2443</v>
      </c>
      <c r="M71" s="91"/>
      <c r="N71" s="91"/>
      <c r="O71" s="91"/>
      <c r="P71" s="91"/>
      <c r="Q71" s="91"/>
      <c r="R71" s="91"/>
      <c r="S71" s="91"/>
      <c r="T71" s="91"/>
      <c r="U71" s="91"/>
      <c r="V71" s="91"/>
      <c r="W71" s="91"/>
      <c r="X71" s="91"/>
      <c r="Y71" s="91"/>
      <c r="Z71" s="91"/>
    </row>
    <row r="72" ht="15.75" customHeight="1">
      <c r="A72" s="183" t="s">
        <v>2332</v>
      </c>
      <c r="B72" s="445" t="s">
        <v>2444</v>
      </c>
      <c r="C72" s="446" t="s">
        <v>37</v>
      </c>
      <c r="D72" s="447" t="s">
        <v>2211</v>
      </c>
      <c r="E72" s="466">
        <v>374.0</v>
      </c>
      <c r="F72" s="453">
        <v>0.915</v>
      </c>
      <c r="G72" s="453">
        <v>0.0878</v>
      </c>
      <c r="H72" s="456">
        <v>0.827</v>
      </c>
      <c r="I72" s="456">
        <v>0.0</v>
      </c>
      <c r="J72" s="456">
        <v>0.403</v>
      </c>
      <c r="K72" s="468" t="s">
        <v>2391</v>
      </c>
      <c r="L72" s="451" t="s">
        <v>2445</v>
      </c>
      <c r="M72" s="91"/>
      <c r="N72" s="91"/>
      <c r="O72" s="91"/>
      <c r="P72" s="91"/>
      <c r="Q72" s="91"/>
      <c r="R72" s="91"/>
      <c r="S72" s="91"/>
      <c r="T72" s="91"/>
      <c r="U72" s="91"/>
      <c r="V72" s="91"/>
      <c r="W72" s="91"/>
      <c r="X72" s="91"/>
      <c r="Y72" s="91"/>
      <c r="Z72" s="91"/>
    </row>
    <row r="73" ht="15.75" customHeight="1">
      <c r="A73" s="183" t="s">
        <v>2334</v>
      </c>
      <c r="B73" s="445" t="s">
        <v>2446</v>
      </c>
      <c r="C73" s="446" t="s">
        <v>37</v>
      </c>
      <c r="D73" s="447" t="s">
        <v>2211</v>
      </c>
      <c r="E73" s="452">
        <v>230.0</v>
      </c>
      <c r="F73" s="456">
        <v>0.194</v>
      </c>
      <c r="G73" s="456">
        <v>0.0415</v>
      </c>
      <c r="H73" s="456">
        <v>0.152</v>
      </c>
      <c r="I73" s="456">
        <v>0.0</v>
      </c>
      <c r="J73" s="454">
        <v>0.177</v>
      </c>
      <c r="K73" s="468" t="s">
        <v>2391</v>
      </c>
      <c r="L73" s="451" t="s">
        <v>2447</v>
      </c>
      <c r="M73" s="91"/>
      <c r="N73" s="91"/>
      <c r="O73" s="91"/>
      <c r="P73" s="91"/>
      <c r="Q73" s="91"/>
      <c r="R73" s="91"/>
      <c r="S73" s="91"/>
      <c r="T73" s="91"/>
      <c r="U73" s="91"/>
      <c r="V73" s="91"/>
      <c r="W73" s="91"/>
      <c r="X73" s="91"/>
      <c r="Y73" s="91"/>
      <c r="Z73" s="91"/>
    </row>
    <row r="74" ht="15.75" customHeight="1">
      <c r="A74" s="183" t="s">
        <v>2336</v>
      </c>
      <c r="B74" s="445" t="s">
        <v>2547</v>
      </c>
      <c r="C74" s="446" t="s">
        <v>37</v>
      </c>
      <c r="D74" s="447" t="s">
        <v>2211</v>
      </c>
      <c r="E74" s="452">
        <v>174.0</v>
      </c>
      <c r="F74" s="453">
        <v>1.56</v>
      </c>
      <c r="G74" s="453">
        <v>1.22</v>
      </c>
      <c r="H74" s="456">
        <v>0.334</v>
      </c>
      <c r="I74" s="456">
        <v>0.0</v>
      </c>
      <c r="J74" s="454">
        <v>0.0964</v>
      </c>
      <c r="K74" s="468" t="s">
        <v>2391</v>
      </c>
      <c r="L74" s="451" t="s">
        <v>2548</v>
      </c>
      <c r="M74" s="91"/>
      <c r="N74" s="91"/>
      <c r="O74" s="91"/>
      <c r="P74" s="91"/>
      <c r="Q74" s="91"/>
      <c r="R74" s="91"/>
      <c r="S74" s="91"/>
      <c r="T74" s="91"/>
      <c r="U74" s="91"/>
      <c r="V74" s="91"/>
      <c r="W74" s="91"/>
      <c r="X74" s="91"/>
      <c r="Y74" s="91"/>
      <c r="Z74" s="91"/>
    </row>
    <row r="75" ht="15.75" customHeight="1">
      <c r="A75" s="183" t="s">
        <v>2338</v>
      </c>
      <c r="B75" s="445" t="s">
        <v>2549</v>
      </c>
      <c r="C75" s="446" t="s">
        <v>37</v>
      </c>
      <c r="D75" s="447" t="s">
        <v>2211</v>
      </c>
      <c r="E75" s="452">
        <v>169.0</v>
      </c>
      <c r="F75" s="453">
        <v>1.54</v>
      </c>
      <c r="G75" s="453">
        <v>1.22</v>
      </c>
      <c r="H75" s="456">
        <v>0.318</v>
      </c>
      <c r="I75" s="456">
        <v>0.0</v>
      </c>
      <c r="J75" s="454">
        <v>0.0914</v>
      </c>
      <c r="K75" s="468" t="s">
        <v>2391</v>
      </c>
      <c r="L75" s="451" t="s">
        <v>2550</v>
      </c>
      <c r="M75" s="91"/>
      <c r="N75" s="91"/>
      <c r="O75" s="91"/>
      <c r="P75" s="91"/>
      <c r="Q75" s="91"/>
      <c r="R75" s="91"/>
      <c r="S75" s="91"/>
      <c r="T75" s="91"/>
      <c r="U75" s="91"/>
      <c r="V75" s="91"/>
      <c r="W75" s="91"/>
      <c r="X75" s="91"/>
      <c r="Y75" s="91"/>
      <c r="Z75" s="91"/>
    </row>
    <row r="76" ht="15.75" customHeight="1">
      <c r="A76" s="183" t="s">
        <v>2340</v>
      </c>
      <c r="B76" s="445" t="s">
        <v>2551</v>
      </c>
      <c r="C76" s="446" t="s">
        <v>37</v>
      </c>
      <c r="D76" s="447" t="s">
        <v>2211</v>
      </c>
      <c r="E76" s="452">
        <v>156.0</v>
      </c>
      <c r="F76" s="453">
        <v>1.55</v>
      </c>
      <c r="G76" s="453">
        <v>1.22</v>
      </c>
      <c r="H76" s="456">
        <v>0.324</v>
      </c>
      <c r="I76" s="456">
        <v>0.0</v>
      </c>
      <c r="J76" s="454">
        <v>0.0958</v>
      </c>
      <c r="K76" s="468" t="s">
        <v>2391</v>
      </c>
      <c r="L76" s="451" t="s">
        <v>2552</v>
      </c>
      <c r="M76" s="91"/>
      <c r="N76" s="91"/>
      <c r="O76" s="91"/>
      <c r="P76" s="91"/>
      <c r="Q76" s="91"/>
      <c r="R76" s="91"/>
      <c r="S76" s="91"/>
      <c r="T76" s="91"/>
      <c r="U76" s="91"/>
      <c r="V76" s="91"/>
      <c r="W76" s="91"/>
      <c r="X76" s="91"/>
      <c r="Y76" s="91"/>
      <c r="Z76" s="91"/>
    </row>
    <row r="77" ht="15.75" customHeight="1">
      <c r="A77" s="183" t="s">
        <v>2342</v>
      </c>
      <c r="B77" s="445" t="s">
        <v>2553</v>
      </c>
      <c r="C77" s="446" t="s">
        <v>37</v>
      </c>
      <c r="D77" s="447" t="s">
        <v>2211</v>
      </c>
      <c r="E77" s="452">
        <v>225.0</v>
      </c>
      <c r="F77" s="453">
        <v>1.7</v>
      </c>
      <c r="G77" s="453">
        <v>1.24</v>
      </c>
      <c r="H77" s="456">
        <v>0.461</v>
      </c>
      <c r="I77" s="456">
        <v>0.0</v>
      </c>
      <c r="J77" s="454">
        <v>0.135</v>
      </c>
      <c r="K77" s="468" t="s">
        <v>2391</v>
      </c>
      <c r="L77" s="451" t="s">
        <v>2554</v>
      </c>
      <c r="M77" s="91"/>
      <c r="N77" s="91"/>
      <c r="O77" s="91"/>
      <c r="P77" s="91"/>
      <c r="Q77" s="91"/>
      <c r="R77" s="91"/>
      <c r="S77" s="91"/>
      <c r="T77" s="91"/>
      <c r="U77" s="91"/>
      <c r="V77" s="91"/>
      <c r="W77" s="91"/>
      <c r="X77" s="91"/>
      <c r="Y77" s="91"/>
      <c r="Z77" s="91"/>
    </row>
    <row r="78" ht="15.75" customHeight="1">
      <c r="A78" s="183" t="s">
        <v>2344</v>
      </c>
      <c r="B78" s="445" t="s">
        <v>2555</v>
      </c>
      <c r="C78" s="446" t="s">
        <v>37</v>
      </c>
      <c r="D78" s="447" t="s">
        <v>2211</v>
      </c>
      <c r="E78" s="452">
        <v>74.0</v>
      </c>
      <c r="F78" s="453">
        <v>1.29</v>
      </c>
      <c r="G78" s="453">
        <v>1.2</v>
      </c>
      <c r="H78" s="456">
        <v>0.0937</v>
      </c>
      <c r="I78" s="456">
        <v>0.0</v>
      </c>
      <c r="J78" s="462">
        <v>0.026</v>
      </c>
      <c r="K78" s="468" t="s">
        <v>2391</v>
      </c>
      <c r="L78" s="451" t="s">
        <v>2556</v>
      </c>
      <c r="M78" s="91"/>
      <c r="N78" s="91"/>
      <c r="O78" s="91"/>
      <c r="P78" s="91"/>
      <c r="Q78" s="91"/>
      <c r="R78" s="91"/>
      <c r="S78" s="91"/>
      <c r="T78" s="91"/>
      <c r="U78" s="91"/>
      <c r="V78" s="91"/>
      <c r="W78" s="91"/>
      <c r="X78" s="91"/>
      <c r="Y78" s="91"/>
      <c r="Z78" s="91"/>
    </row>
    <row r="79" ht="15.75" customHeight="1">
      <c r="A79" s="183" t="s">
        <v>2346</v>
      </c>
      <c r="B79" s="445" t="s">
        <v>2557</v>
      </c>
      <c r="C79" s="446" t="s">
        <v>37</v>
      </c>
      <c r="D79" s="447" t="s">
        <v>2211</v>
      </c>
      <c r="E79" s="452">
        <v>43.8</v>
      </c>
      <c r="F79" s="453">
        <v>1.2</v>
      </c>
      <c r="G79" s="453">
        <v>1.17</v>
      </c>
      <c r="H79" s="454">
        <v>0.029</v>
      </c>
      <c r="I79" s="454">
        <v>0.0</v>
      </c>
      <c r="J79" s="462">
        <v>0.0122</v>
      </c>
      <c r="K79" s="468" t="s">
        <v>2391</v>
      </c>
      <c r="L79" s="451" t="s">
        <v>2558</v>
      </c>
      <c r="M79" s="91"/>
      <c r="N79" s="91"/>
      <c r="O79" s="91"/>
      <c r="P79" s="91"/>
      <c r="Q79" s="91"/>
      <c r="R79" s="91"/>
      <c r="S79" s="91"/>
      <c r="T79" s="91"/>
      <c r="U79" s="91"/>
      <c r="V79" s="91"/>
      <c r="W79" s="91"/>
      <c r="X79" s="91"/>
      <c r="Y79" s="91"/>
      <c r="Z79" s="91"/>
    </row>
    <row r="80" ht="15.75" customHeight="1">
      <c r="A80" s="183" t="s">
        <v>2348</v>
      </c>
      <c r="B80" s="445" t="s">
        <v>2559</v>
      </c>
      <c r="C80" s="446" t="s">
        <v>37</v>
      </c>
      <c r="D80" s="447" t="s">
        <v>2211</v>
      </c>
      <c r="E80" s="466">
        <v>451.0</v>
      </c>
      <c r="F80" s="453">
        <v>3.9</v>
      </c>
      <c r="G80" s="453">
        <v>0.631</v>
      </c>
      <c r="H80" s="453">
        <v>3.26</v>
      </c>
      <c r="I80" s="453">
        <v>0.0</v>
      </c>
      <c r="J80" s="454">
        <v>0.139</v>
      </c>
      <c r="K80" s="468" t="s">
        <v>2391</v>
      </c>
      <c r="L80" s="451" t="s">
        <v>2560</v>
      </c>
      <c r="M80" s="91"/>
      <c r="N80" s="91"/>
      <c r="O80" s="91"/>
      <c r="P80" s="91"/>
      <c r="Q80" s="91"/>
      <c r="R80" s="91"/>
      <c r="S80" s="91"/>
      <c r="T80" s="91"/>
      <c r="U80" s="91"/>
      <c r="V80" s="91"/>
      <c r="W80" s="91"/>
      <c r="X80" s="91"/>
      <c r="Y80" s="91"/>
      <c r="Z80" s="91"/>
    </row>
    <row r="81" ht="15.75" customHeight="1">
      <c r="A81" s="183" t="s">
        <v>2350</v>
      </c>
      <c r="B81" s="445" t="s">
        <v>2436</v>
      </c>
      <c r="C81" s="446" t="s">
        <v>37</v>
      </c>
      <c r="D81" s="447" t="s">
        <v>2211</v>
      </c>
      <c r="E81" s="452">
        <v>103.0</v>
      </c>
      <c r="F81" s="453">
        <v>3.36</v>
      </c>
      <c r="G81" s="453">
        <v>3.17</v>
      </c>
      <c r="H81" s="456">
        <v>0.191</v>
      </c>
      <c r="I81" s="456">
        <v>0.0</v>
      </c>
      <c r="J81" s="462">
        <v>0.0309</v>
      </c>
      <c r="K81" s="468" t="s">
        <v>2391</v>
      </c>
      <c r="L81" s="451" t="s">
        <v>2437</v>
      </c>
      <c r="M81" s="91"/>
      <c r="N81" s="91"/>
      <c r="O81" s="91"/>
      <c r="P81" s="91"/>
      <c r="Q81" s="91"/>
      <c r="R81" s="91"/>
      <c r="S81" s="91"/>
      <c r="T81" s="91"/>
      <c r="U81" s="91"/>
      <c r="V81" s="91"/>
      <c r="W81" s="91"/>
      <c r="X81" s="91"/>
      <c r="Y81" s="91"/>
      <c r="Z81" s="91"/>
    </row>
    <row r="82" ht="15.75" customHeight="1">
      <c r="A82" s="183" t="s">
        <v>2352</v>
      </c>
      <c r="B82" s="445" t="s">
        <v>2561</v>
      </c>
      <c r="C82" s="446" t="s">
        <v>37</v>
      </c>
      <c r="D82" s="447" t="s">
        <v>2211</v>
      </c>
      <c r="E82" s="452">
        <v>229.0</v>
      </c>
      <c r="F82" s="453">
        <v>2.5</v>
      </c>
      <c r="G82" s="453">
        <v>0.657</v>
      </c>
      <c r="H82" s="453">
        <v>1.85</v>
      </c>
      <c r="I82" s="453">
        <v>0.0</v>
      </c>
      <c r="J82" s="462">
        <v>0.0268</v>
      </c>
      <c r="K82" s="468" t="s">
        <v>2391</v>
      </c>
      <c r="L82" s="451" t="s">
        <v>2562</v>
      </c>
      <c r="M82" s="91"/>
      <c r="N82" s="91"/>
      <c r="O82" s="91"/>
      <c r="P82" s="91"/>
      <c r="Q82" s="91"/>
      <c r="R82" s="91"/>
      <c r="S82" s="91"/>
      <c r="T82" s="91"/>
      <c r="U82" s="91"/>
      <c r="V82" s="91"/>
      <c r="W82" s="91"/>
      <c r="X82" s="91"/>
      <c r="Y82" s="91"/>
      <c r="Z82" s="91"/>
    </row>
    <row r="83" ht="15.75" customHeight="1">
      <c r="A83" s="183" t="s">
        <v>2354</v>
      </c>
      <c r="B83" s="445" t="s">
        <v>2563</v>
      </c>
      <c r="C83" s="446" t="s">
        <v>37</v>
      </c>
      <c r="D83" s="447" t="s">
        <v>2211</v>
      </c>
      <c r="E83" s="452">
        <v>47.8</v>
      </c>
      <c r="F83" s="453">
        <v>1.21</v>
      </c>
      <c r="G83" s="453">
        <v>1.17</v>
      </c>
      <c r="H83" s="454">
        <v>0.0359</v>
      </c>
      <c r="I83" s="453">
        <v>0.0</v>
      </c>
      <c r="J83" s="462">
        <v>0.0153</v>
      </c>
      <c r="K83" s="468" t="s">
        <v>2391</v>
      </c>
      <c r="L83" s="451" t="s">
        <v>2564</v>
      </c>
      <c r="M83" s="91"/>
      <c r="N83" s="91"/>
      <c r="O83" s="91"/>
      <c r="P83" s="91"/>
      <c r="Q83" s="91"/>
      <c r="R83" s="91"/>
      <c r="S83" s="91"/>
      <c r="T83" s="91"/>
      <c r="U83" s="91"/>
      <c r="V83" s="91"/>
      <c r="W83" s="91"/>
      <c r="X83" s="91"/>
      <c r="Y83" s="91"/>
      <c r="Z83" s="91"/>
    </row>
    <row r="84" ht="15.75" customHeight="1">
      <c r="A84" s="183" t="s">
        <v>2356</v>
      </c>
      <c r="B84" s="445" t="s">
        <v>2565</v>
      </c>
      <c r="C84" s="446" t="s">
        <v>37</v>
      </c>
      <c r="D84" s="447" t="s">
        <v>2211</v>
      </c>
      <c r="E84" s="466">
        <v>347.0</v>
      </c>
      <c r="F84" s="453">
        <v>3.0</v>
      </c>
      <c r="G84" s="453">
        <v>0.488</v>
      </c>
      <c r="H84" s="453">
        <v>2.52</v>
      </c>
      <c r="I84" s="453">
        <v>0.0</v>
      </c>
      <c r="J84" s="454">
        <v>0.102</v>
      </c>
      <c r="K84" s="468" t="s">
        <v>2391</v>
      </c>
      <c r="L84" s="451" t="s">
        <v>2566</v>
      </c>
      <c r="M84" s="91"/>
      <c r="N84" s="91"/>
      <c r="O84" s="91"/>
      <c r="P84" s="91"/>
      <c r="Q84" s="91"/>
      <c r="R84" s="91"/>
      <c r="S84" s="91"/>
      <c r="T84" s="91"/>
      <c r="U84" s="91"/>
      <c r="V84" s="91"/>
      <c r="W84" s="91"/>
      <c r="X84" s="91"/>
      <c r="Y84" s="91"/>
      <c r="Z84" s="91"/>
    </row>
    <row r="85" ht="15.75" customHeight="1">
      <c r="A85" s="183" t="s">
        <v>2358</v>
      </c>
      <c r="B85" s="445" t="s">
        <v>2567</v>
      </c>
      <c r="C85" s="446" t="s">
        <v>37</v>
      </c>
      <c r="D85" s="447" t="s">
        <v>2211</v>
      </c>
      <c r="E85" s="466">
        <v>548.0</v>
      </c>
      <c r="F85" s="453">
        <v>3.18</v>
      </c>
      <c r="G85" s="453">
        <v>0.299</v>
      </c>
      <c r="H85" s="453">
        <v>2.89</v>
      </c>
      <c r="I85" s="453">
        <v>0.0</v>
      </c>
      <c r="J85" s="456">
        <v>0.524</v>
      </c>
      <c r="K85" s="468" t="s">
        <v>2391</v>
      </c>
      <c r="L85" s="451" t="s">
        <v>2568</v>
      </c>
      <c r="M85" s="91"/>
      <c r="N85" s="91"/>
      <c r="O85" s="91"/>
      <c r="P85" s="91"/>
      <c r="Q85" s="91"/>
      <c r="R85" s="91"/>
      <c r="S85" s="91"/>
      <c r="T85" s="91"/>
      <c r="U85" s="91"/>
      <c r="V85" s="91"/>
      <c r="W85" s="91"/>
      <c r="X85" s="91"/>
      <c r="Y85" s="91"/>
      <c r="Z85" s="91"/>
    </row>
    <row r="86" ht="15.75" customHeight="1">
      <c r="A86" s="183"/>
      <c r="B86" s="472" t="s">
        <v>2569</v>
      </c>
      <c r="C86" s="446"/>
      <c r="D86" s="446" t="s">
        <v>2208</v>
      </c>
      <c r="E86" s="473" t="s">
        <v>2208</v>
      </c>
      <c r="F86" s="474" t="s">
        <v>2208</v>
      </c>
      <c r="G86" s="474" t="s">
        <v>2208</v>
      </c>
      <c r="H86" s="474" t="s">
        <v>2208</v>
      </c>
      <c r="I86" s="474"/>
      <c r="J86" s="474" t="s">
        <v>2208</v>
      </c>
      <c r="K86" s="468"/>
      <c r="L86" s="475" t="s">
        <v>2570</v>
      </c>
      <c r="M86" s="91"/>
      <c r="N86" s="91"/>
      <c r="O86" s="91"/>
      <c r="P86" s="91"/>
      <c r="Q86" s="91"/>
      <c r="R86" s="91"/>
      <c r="S86" s="91"/>
      <c r="T86" s="91"/>
      <c r="U86" s="91"/>
      <c r="V86" s="91"/>
      <c r="W86" s="91"/>
      <c r="X86" s="91"/>
      <c r="Y86" s="91"/>
      <c r="Z86" s="91"/>
    </row>
    <row r="87" ht="15.75" customHeight="1">
      <c r="A87" s="439" t="s">
        <v>2571</v>
      </c>
      <c r="B87" s="440" t="s">
        <v>2572</v>
      </c>
      <c r="C87" s="441"/>
      <c r="D87" s="459" t="s">
        <v>2208</v>
      </c>
      <c r="E87" s="459" t="s">
        <v>2208</v>
      </c>
      <c r="F87" s="460"/>
      <c r="G87" s="460"/>
      <c r="H87" s="461"/>
      <c r="I87" s="461"/>
      <c r="J87" s="461"/>
      <c r="K87" s="443"/>
      <c r="L87" s="251" t="s">
        <v>2573</v>
      </c>
      <c r="M87" s="91"/>
      <c r="N87" s="91"/>
      <c r="O87" s="91"/>
      <c r="P87" s="91"/>
      <c r="Q87" s="91"/>
      <c r="R87" s="91"/>
      <c r="S87" s="91"/>
      <c r="T87" s="91"/>
      <c r="U87" s="91"/>
      <c r="V87" s="91"/>
      <c r="W87" s="91"/>
      <c r="X87" s="91"/>
      <c r="Y87" s="91"/>
      <c r="Z87" s="91"/>
    </row>
    <row r="88" ht="15.75" customHeight="1">
      <c r="A88" s="183" t="s">
        <v>2361</v>
      </c>
      <c r="B88" s="445" t="s">
        <v>2547</v>
      </c>
      <c r="C88" s="446" t="s">
        <v>37</v>
      </c>
      <c r="D88" s="447" t="s">
        <v>2211</v>
      </c>
      <c r="E88" s="452">
        <v>129.0</v>
      </c>
      <c r="F88" s="453">
        <v>1.4</v>
      </c>
      <c r="G88" s="453">
        <v>1.11</v>
      </c>
      <c r="H88" s="456">
        <v>0.289</v>
      </c>
      <c r="I88" s="453">
        <v>1.07</v>
      </c>
      <c r="J88" s="454">
        <v>0.0812</v>
      </c>
      <c r="K88" s="468" t="s">
        <v>2391</v>
      </c>
      <c r="L88" s="451" t="s">
        <v>2548</v>
      </c>
      <c r="M88" s="91"/>
      <c r="N88" s="91"/>
      <c r="O88" s="91"/>
      <c r="P88" s="91"/>
      <c r="Q88" s="91"/>
      <c r="R88" s="91"/>
      <c r="S88" s="91"/>
      <c r="T88" s="91"/>
      <c r="U88" s="91"/>
      <c r="V88" s="91"/>
      <c r="W88" s="91"/>
      <c r="X88" s="91"/>
      <c r="Y88" s="91"/>
      <c r="Z88" s="91"/>
    </row>
    <row r="89" ht="15.75" customHeight="1">
      <c r="A89" s="183" t="s">
        <v>2363</v>
      </c>
      <c r="B89" s="445" t="s">
        <v>2549</v>
      </c>
      <c r="C89" s="446" t="s">
        <v>37</v>
      </c>
      <c r="D89" s="447" t="s">
        <v>2211</v>
      </c>
      <c r="E89" s="452">
        <v>124.0</v>
      </c>
      <c r="F89" s="453">
        <v>1.38</v>
      </c>
      <c r="G89" s="453">
        <v>1.11</v>
      </c>
      <c r="H89" s="456">
        <v>0.275</v>
      </c>
      <c r="I89" s="453">
        <v>1.07</v>
      </c>
      <c r="J89" s="454">
        <v>0.0767</v>
      </c>
      <c r="K89" s="468" t="s">
        <v>2391</v>
      </c>
      <c r="L89" s="451" t="s">
        <v>2550</v>
      </c>
      <c r="M89" s="91"/>
      <c r="N89" s="91"/>
      <c r="O89" s="91"/>
      <c r="P89" s="91"/>
      <c r="Q89" s="91"/>
      <c r="R89" s="91"/>
      <c r="S89" s="91"/>
      <c r="T89" s="91"/>
      <c r="U89" s="91"/>
      <c r="V89" s="91"/>
      <c r="W89" s="91"/>
      <c r="X89" s="91"/>
      <c r="Y89" s="91"/>
      <c r="Z89" s="91"/>
    </row>
    <row r="90" ht="15.75" customHeight="1">
      <c r="A90" s="183" t="s">
        <v>2365</v>
      </c>
      <c r="B90" s="445" t="s">
        <v>2551</v>
      </c>
      <c r="C90" s="446" t="s">
        <v>37</v>
      </c>
      <c r="D90" s="447" t="s">
        <v>2211</v>
      </c>
      <c r="E90" s="452">
        <v>112.0</v>
      </c>
      <c r="F90" s="453">
        <v>1.39</v>
      </c>
      <c r="G90" s="453">
        <v>1.11</v>
      </c>
      <c r="H90" s="456">
        <v>0.28</v>
      </c>
      <c r="I90" s="453">
        <v>1.07</v>
      </c>
      <c r="J90" s="454">
        <v>0.0807</v>
      </c>
      <c r="K90" s="468" t="s">
        <v>2391</v>
      </c>
      <c r="L90" s="451" t="s">
        <v>2552</v>
      </c>
      <c r="M90" s="91"/>
      <c r="N90" s="91"/>
      <c r="O90" s="91"/>
      <c r="P90" s="91"/>
      <c r="Q90" s="91"/>
      <c r="R90" s="91"/>
      <c r="S90" s="91"/>
      <c r="T90" s="91"/>
      <c r="U90" s="91"/>
      <c r="V90" s="91"/>
      <c r="W90" s="91"/>
      <c r="X90" s="91"/>
      <c r="Y90" s="91"/>
      <c r="Z90" s="91"/>
    </row>
    <row r="91" ht="15.75" customHeight="1">
      <c r="A91" s="183" t="s">
        <v>2367</v>
      </c>
      <c r="B91" s="445" t="s">
        <v>2553</v>
      </c>
      <c r="C91" s="446" t="s">
        <v>37</v>
      </c>
      <c r="D91" s="447" t="s">
        <v>2211</v>
      </c>
      <c r="E91" s="452">
        <v>175.0</v>
      </c>
      <c r="F91" s="453">
        <v>1.52</v>
      </c>
      <c r="G91" s="453">
        <v>1.12</v>
      </c>
      <c r="H91" s="456">
        <v>0.402</v>
      </c>
      <c r="I91" s="453">
        <v>1.07</v>
      </c>
      <c r="J91" s="454">
        <v>0.115</v>
      </c>
      <c r="K91" s="468" t="s">
        <v>2391</v>
      </c>
      <c r="L91" s="451" t="s">
        <v>2554</v>
      </c>
      <c r="M91" s="91"/>
      <c r="N91" s="91"/>
      <c r="O91" s="91"/>
      <c r="P91" s="91"/>
      <c r="Q91" s="91"/>
      <c r="R91" s="91"/>
      <c r="S91" s="91"/>
      <c r="T91" s="91"/>
      <c r="U91" s="91"/>
      <c r="V91" s="91"/>
      <c r="W91" s="91"/>
      <c r="X91" s="91"/>
      <c r="Y91" s="91"/>
      <c r="Z91" s="91"/>
    </row>
    <row r="92" ht="15.75" customHeight="1">
      <c r="A92" s="183" t="s">
        <v>2369</v>
      </c>
      <c r="B92" s="445" t="s">
        <v>2555</v>
      </c>
      <c r="C92" s="446" t="s">
        <v>37</v>
      </c>
      <c r="D92" s="447" t="s">
        <v>2211</v>
      </c>
      <c r="E92" s="452">
        <v>38.1</v>
      </c>
      <c r="F92" s="453">
        <v>1.16</v>
      </c>
      <c r="G92" s="453">
        <v>1.09</v>
      </c>
      <c r="H92" s="454">
        <v>0.0709</v>
      </c>
      <c r="I92" s="453">
        <v>1.08</v>
      </c>
      <c r="J92" s="462">
        <v>0.0173</v>
      </c>
      <c r="K92" s="468" t="s">
        <v>2391</v>
      </c>
      <c r="L92" s="451" t="s">
        <v>2556</v>
      </c>
      <c r="M92" s="91"/>
      <c r="N92" s="91"/>
      <c r="O92" s="91"/>
      <c r="P92" s="91"/>
      <c r="Q92" s="91"/>
      <c r="R92" s="91"/>
      <c r="S92" s="91"/>
      <c r="T92" s="91"/>
      <c r="U92" s="91"/>
      <c r="V92" s="91"/>
      <c r="W92" s="91"/>
      <c r="X92" s="91"/>
      <c r="Y92" s="91"/>
      <c r="Z92" s="91"/>
    </row>
    <row r="93" ht="15.75" customHeight="1">
      <c r="A93" s="183" t="s">
        <v>2371</v>
      </c>
      <c r="B93" s="445" t="s">
        <v>2413</v>
      </c>
      <c r="C93" s="446" t="s">
        <v>37</v>
      </c>
      <c r="D93" s="447" t="s">
        <v>2211</v>
      </c>
      <c r="E93" s="452">
        <v>309.0</v>
      </c>
      <c r="F93" s="456">
        <v>0.811</v>
      </c>
      <c r="G93" s="456">
        <v>0.0773</v>
      </c>
      <c r="H93" s="456">
        <v>0.733</v>
      </c>
      <c r="I93" s="456">
        <v>0.0</v>
      </c>
      <c r="J93" s="456">
        <v>0.358</v>
      </c>
      <c r="K93" s="468" t="s">
        <v>2391</v>
      </c>
      <c r="L93" s="451" t="s">
        <v>2414</v>
      </c>
      <c r="M93" s="91"/>
      <c r="N93" s="91"/>
      <c r="O93" s="91"/>
      <c r="P93" s="91"/>
      <c r="Q93" s="91"/>
      <c r="R93" s="91"/>
      <c r="S93" s="91"/>
      <c r="T93" s="91"/>
      <c r="U93" s="91"/>
      <c r="V93" s="91"/>
      <c r="W93" s="91"/>
      <c r="X93" s="91"/>
      <c r="Y93" s="91"/>
      <c r="Z93" s="91"/>
    </row>
    <row r="94" ht="15.75" customHeight="1">
      <c r="A94" s="183" t="s">
        <v>2373</v>
      </c>
      <c r="B94" s="445" t="s">
        <v>2574</v>
      </c>
      <c r="C94" s="446" t="s">
        <v>37</v>
      </c>
      <c r="D94" s="447" t="s">
        <v>2211</v>
      </c>
      <c r="E94" s="452">
        <v>179.0</v>
      </c>
      <c r="F94" s="456">
        <v>0.16</v>
      </c>
      <c r="G94" s="456">
        <v>0.0356</v>
      </c>
      <c r="H94" s="456">
        <v>0.124</v>
      </c>
      <c r="I94" s="456">
        <v>0.0</v>
      </c>
      <c r="J94" s="454">
        <v>0.155</v>
      </c>
      <c r="K94" s="468" t="s">
        <v>2391</v>
      </c>
      <c r="L94" s="451" t="s">
        <v>2575</v>
      </c>
      <c r="M94" s="91"/>
      <c r="N94" s="91"/>
      <c r="O94" s="91"/>
      <c r="P94" s="91"/>
      <c r="Q94" s="91"/>
      <c r="R94" s="91"/>
      <c r="S94" s="91"/>
      <c r="T94" s="91"/>
      <c r="U94" s="91"/>
      <c r="V94" s="91"/>
      <c r="W94" s="91"/>
      <c r="X94" s="91"/>
      <c r="Y94" s="91"/>
      <c r="Z94" s="91"/>
    </row>
    <row r="95" ht="15.75" customHeight="1">
      <c r="A95" s="183" t="s">
        <v>2375</v>
      </c>
      <c r="B95" s="445" t="s">
        <v>2528</v>
      </c>
      <c r="C95" s="446" t="s">
        <v>37</v>
      </c>
      <c r="D95" s="447" t="s">
        <v>2211</v>
      </c>
      <c r="E95" s="466">
        <v>447.0</v>
      </c>
      <c r="F95" s="453">
        <v>3.4</v>
      </c>
      <c r="G95" s="453">
        <v>0.00704</v>
      </c>
      <c r="H95" s="453">
        <v>3.39</v>
      </c>
      <c r="I95" s="456">
        <v>0.0</v>
      </c>
      <c r="J95" s="456">
        <v>0.749</v>
      </c>
      <c r="K95" s="468" t="s">
        <v>2391</v>
      </c>
      <c r="L95" s="451" t="s">
        <v>2531</v>
      </c>
      <c r="M95" s="91"/>
      <c r="N95" s="91"/>
      <c r="O95" s="91"/>
      <c r="P95" s="91"/>
      <c r="Q95" s="91"/>
      <c r="R95" s="91"/>
      <c r="S95" s="91"/>
      <c r="T95" s="91"/>
      <c r="U95" s="91"/>
      <c r="V95" s="91"/>
      <c r="W95" s="91"/>
      <c r="X95" s="91"/>
      <c r="Y95" s="91"/>
      <c r="Z95" s="91"/>
    </row>
    <row r="96" ht="13.5" customHeight="1">
      <c r="A96" s="91"/>
      <c r="B96" s="399" t="s">
        <v>2208</v>
      </c>
      <c r="C96" s="400"/>
      <c r="D96" s="400" t="s">
        <v>2208</v>
      </c>
      <c r="E96" s="400" t="s">
        <v>2208</v>
      </c>
      <c r="F96" s="400" t="s">
        <v>2208</v>
      </c>
      <c r="G96" s="400" t="s">
        <v>2208</v>
      </c>
      <c r="H96" s="476" t="s">
        <v>2208</v>
      </c>
      <c r="I96" s="476"/>
      <c r="J96" s="400" t="s">
        <v>2208</v>
      </c>
      <c r="K96" s="404"/>
      <c r="L96" s="427" t="s">
        <v>2208</v>
      </c>
      <c r="M96" s="91"/>
      <c r="N96" s="91"/>
      <c r="O96" s="91"/>
      <c r="P96" s="91"/>
      <c r="Q96" s="91"/>
      <c r="R96" s="91"/>
      <c r="S96" s="91"/>
      <c r="T96" s="91"/>
      <c r="U96" s="91"/>
      <c r="V96" s="91"/>
      <c r="W96" s="91"/>
      <c r="X96" s="91"/>
      <c r="Y96" s="91"/>
      <c r="Z96" s="91"/>
    </row>
    <row r="97" ht="13.5" customHeight="1">
      <c r="A97" s="91"/>
      <c r="B97" s="399" t="s">
        <v>2208</v>
      </c>
      <c r="C97" s="400"/>
      <c r="D97" s="400" t="s">
        <v>2208</v>
      </c>
      <c r="E97" s="400" t="s">
        <v>2208</v>
      </c>
      <c r="F97" s="400" t="s">
        <v>2208</v>
      </c>
      <c r="G97" s="400" t="s">
        <v>2208</v>
      </c>
      <c r="H97" s="476" t="s">
        <v>2208</v>
      </c>
      <c r="I97" s="476"/>
      <c r="J97" s="400" t="s">
        <v>2208</v>
      </c>
      <c r="K97" s="404"/>
      <c r="L97" s="427" t="s">
        <v>2208</v>
      </c>
      <c r="M97" s="91"/>
      <c r="N97" s="91"/>
      <c r="O97" s="91"/>
      <c r="P97" s="91"/>
      <c r="Q97" s="91"/>
      <c r="R97" s="91"/>
      <c r="S97" s="91"/>
      <c r="T97" s="91"/>
      <c r="U97" s="91"/>
      <c r="V97" s="91"/>
      <c r="W97" s="91"/>
      <c r="X97" s="91"/>
      <c r="Y97" s="91"/>
      <c r="Z97" s="91"/>
    </row>
    <row r="98" ht="13.5" customHeight="1">
      <c r="A98" s="91"/>
      <c r="B98" s="399" t="s">
        <v>2208</v>
      </c>
      <c r="C98" s="400"/>
      <c r="D98" s="400" t="s">
        <v>2208</v>
      </c>
      <c r="E98" s="400" t="s">
        <v>2208</v>
      </c>
      <c r="F98" s="400" t="s">
        <v>2208</v>
      </c>
      <c r="G98" s="400" t="s">
        <v>2208</v>
      </c>
      <c r="H98" s="476" t="s">
        <v>2208</v>
      </c>
      <c r="I98" s="476"/>
      <c r="J98" s="400" t="s">
        <v>2208</v>
      </c>
      <c r="K98" s="404"/>
      <c r="L98" s="427" t="s">
        <v>2208</v>
      </c>
      <c r="M98" s="91"/>
      <c r="N98" s="91"/>
      <c r="O98" s="91"/>
      <c r="P98" s="91"/>
      <c r="Q98" s="91"/>
      <c r="R98" s="91"/>
      <c r="S98" s="91"/>
      <c r="T98" s="91"/>
      <c r="U98" s="91"/>
      <c r="V98" s="91"/>
      <c r="W98" s="91"/>
      <c r="X98" s="91"/>
      <c r="Y98" s="91"/>
      <c r="Z98" s="91"/>
    </row>
    <row r="99" ht="13.5" customHeight="1">
      <c r="A99" s="91"/>
      <c r="B99" s="399" t="s">
        <v>2208</v>
      </c>
      <c r="C99" s="400"/>
      <c r="D99" s="400" t="s">
        <v>2208</v>
      </c>
      <c r="E99" s="400" t="s">
        <v>2208</v>
      </c>
      <c r="F99" s="400" t="s">
        <v>2208</v>
      </c>
      <c r="G99" s="400" t="s">
        <v>2208</v>
      </c>
      <c r="H99" s="476" t="s">
        <v>2208</v>
      </c>
      <c r="I99" s="476"/>
      <c r="J99" s="400" t="s">
        <v>2208</v>
      </c>
      <c r="K99" s="404"/>
      <c r="L99" s="427" t="s">
        <v>2208</v>
      </c>
      <c r="M99" s="91"/>
      <c r="N99" s="91"/>
      <c r="O99" s="91"/>
      <c r="P99" s="91"/>
      <c r="Q99" s="91"/>
      <c r="R99" s="91"/>
      <c r="S99" s="91"/>
      <c r="T99" s="91"/>
      <c r="U99" s="91"/>
      <c r="V99" s="91"/>
      <c r="W99" s="91"/>
      <c r="X99" s="91"/>
      <c r="Y99" s="91"/>
      <c r="Z99" s="91"/>
    </row>
    <row r="100" ht="13.5" customHeight="1">
      <c r="A100" s="91"/>
      <c r="B100" s="399" t="s">
        <v>2208</v>
      </c>
      <c r="C100" s="400"/>
      <c r="D100" s="400" t="s">
        <v>2208</v>
      </c>
      <c r="E100" s="400" t="s">
        <v>2208</v>
      </c>
      <c r="F100" s="400" t="s">
        <v>2208</v>
      </c>
      <c r="G100" s="400" t="s">
        <v>2208</v>
      </c>
      <c r="H100" s="476" t="s">
        <v>2208</v>
      </c>
      <c r="I100" s="476"/>
      <c r="J100" s="400" t="s">
        <v>2208</v>
      </c>
      <c r="K100" s="404"/>
      <c r="L100" s="427" t="s">
        <v>2208</v>
      </c>
      <c r="M100" s="91"/>
      <c r="N100" s="91"/>
      <c r="O100" s="91"/>
      <c r="P100" s="91"/>
      <c r="Q100" s="91"/>
      <c r="R100" s="91"/>
      <c r="S100" s="91"/>
      <c r="T100" s="91"/>
      <c r="U100" s="91"/>
      <c r="V100" s="91"/>
      <c r="W100" s="91"/>
      <c r="X100" s="91"/>
      <c r="Y100" s="91"/>
      <c r="Z100" s="91"/>
    </row>
    <row r="101" ht="13.5" customHeight="1">
      <c r="A101" s="91"/>
      <c r="B101" s="399" t="s">
        <v>2208</v>
      </c>
      <c r="C101" s="400"/>
      <c r="D101" s="400" t="s">
        <v>2208</v>
      </c>
      <c r="E101" s="400" t="s">
        <v>2208</v>
      </c>
      <c r="F101" s="400" t="s">
        <v>2208</v>
      </c>
      <c r="G101" s="400" t="s">
        <v>2208</v>
      </c>
      <c r="H101" s="476" t="s">
        <v>2208</v>
      </c>
      <c r="I101" s="476"/>
      <c r="J101" s="400" t="s">
        <v>2208</v>
      </c>
      <c r="K101" s="404"/>
      <c r="L101" s="427" t="s">
        <v>2208</v>
      </c>
      <c r="M101" s="91"/>
      <c r="N101" s="91"/>
      <c r="O101" s="91"/>
      <c r="P101" s="91"/>
      <c r="Q101" s="91"/>
      <c r="R101" s="91"/>
      <c r="S101" s="91"/>
      <c r="T101" s="91"/>
      <c r="U101" s="91"/>
      <c r="V101" s="91"/>
      <c r="W101" s="91"/>
      <c r="X101" s="91"/>
      <c r="Y101" s="91"/>
      <c r="Z101" s="91"/>
    </row>
    <row r="102" ht="13.5" customHeight="1">
      <c r="A102" s="91"/>
      <c r="B102" s="399" t="s">
        <v>2208</v>
      </c>
      <c r="C102" s="400"/>
      <c r="D102" s="400" t="s">
        <v>2208</v>
      </c>
      <c r="E102" s="400" t="s">
        <v>2208</v>
      </c>
      <c r="F102" s="400" t="s">
        <v>2208</v>
      </c>
      <c r="G102" s="400" t="s">
        <v>2208</v>
      </c>
      <c r="H102" s="476" t="s">
        <v>2208</v>
      </c>
      <c r="I102" s="476"/>
      <c r="J102" s="400" t="s">
        <v>2208</v>
      </c>
      <c r="K102" s="404"/>
      <c r="L102" s="427" t="s">
        <v>2208</v>
      </c>
      <c r="M102" s="91"/>
      <c r="N102" s="91"/>
      <c r="O102" s="91"/>
      <c r="P102" s="91"/>
      <c r="Q102" s="91"/>
      <c r="R102" s="91"/>
      <c r="S102" s="91"/>
      <c r="T102" s="91"/>
      <c r="U102" s="91"/>
      <c r="V102" s="91"/>
      <c r="W102" s="91"/>
      <c r="X102" s="91"/>
      <c r="Y102" s="91"/>
      <c r="Z102" s="91"/>
    </row>
    <row r="103" ht="13.5" customHeight="1">
      <c r="A103" s="91"/>
      <c r="B103" s="399" t="s">
        <v>2208</v>
      </c>
      <c r="C103" s="400"/>
      <c r="D103" s="400" t="s">
        <v>2208</v>
      </c>
      <c r="E103" s="400" t="s">
        <v>2208</v>
      </c>
      <c r="F103" s="400" t="s">
        <v>2208</v>
      </c>
      <c r="G103" s="400" t="s">
        <v>2208</v>
      </c>
      <c r="H103" s="476" t="s">
        <v>2208</v>
      </c>
      <c r="I103" s="476"/>
      <c r="J103" s="400" t="s">
        <v>2208</v>
      </c>
      <c r="K103" s="404"/>
      <c r="L103" s="427" t="s">
        <v>2208</v>
      </c>
      <c r="M103" s="91"/>
      <c r="N103" s="91"/>
      <c r="O103" s="91"/>
      <c r="P103" s="91"/>
      <c r="Q103" s="91"/>
      <c r="R103" s="91"/>
      <c r="S103" s="91"/>
      <c r="T103" s="91"/>
      <c r="U103" s="91"/>
      <c r="V103" s="91"/>
      <c r="W103" s="91"/>
      <c r="X103" s="91"/>
      <c r="Y103" s="91"/>
      <c r="Z103" s="91"/>
    </row>
    <row r="104" ht="13.5" customHeight="1">
      <c r="A104" s="91"/>
      <c r="B104" s="399" t="s">
        <v>2208</v>
      </c>
      <c r="C104" s="400"/>
      <c r="D104" s="400" t="s">
        <v>2208</v>
      </c>
      <c r="E104" s="400" t="s">
        <v>2208</v>
      </c>
      <c r="F104" s="400" t="s">
        <v>2208</v>
      </c>
      <c r="G104" s="400" t="s">
        <v>2208</v>
      </c>
      <c r="H104" s="476" t="s">
        <v>2208</v>
      </c>
      <c r="I104" s="476"/>
      <c r="J104" s="400" t="s">
        <v>2208</v>
      </c>
      <c r="K104" s="404"/>
      <c r="L104" s="427" t="s">
        <v>2208</v>
      </c>
      <c r="M104" s="91"/>
      <c r="N104" s="91"/>
      <c r="O104" s="91"/>
      <c r="P104" s="91"/>
      <c r="Q104" s="91"/>
      <c r="R104" s="91"/>
      <c r="S104" s="91"/>
      <c r="T104" s="91"/>
      <c r="U104" s="91"/>
      <c r="V104" s="91"/>
      <c r="W104" s="91"/>
      <c r="X104" s="91"/>
      <c r="Y104" s="91"/>
      <c r="Z104" s="91"/>
    </row>
    <row r="105" ht="13.5" customHeight="1">
      <c r="A105" s="91"/>
      <c r="B105" s="399" t="s">
        <v>2208</v>
      </c>
      <c r="C105" s="400"/>
      <c r="D105" s="400" t="s">
        <v>2208</v>
      </c>
      <c r="E105" s="400" t="s">
        <v>2208</v>
      </c>
      <c r="F105" s="400" t="s">
        <v>2208</v>
      </c>
      <c r="G105" s="400" t="s">
        <v>2208</v>
      </c>
      <c r="H105" s="476" t="s">
        <v>2208</v>
      </c>
      <c r="I105" s="476"/>
      <c r="J105" s="400" t="s">
        <v>2208</v>
      </c>
      <c r="K105" s="404"/>
      <c r="L105" s="427" t="s">
        <v>2208</v>
      </c>
      <c r="M105" s="91"/>
      <c r="N105" s="91"/>
      <c r="O105" s="91"/>
      <c r="P105" s="91"/>
      <c r="Q105" s="91"/>
      <c r="R105" s="91"/>
      <c r="S105" s="91"/>
      <c r="T105" s="91"/>
      <c r="U105" s="91"/>
      <c r="V105" s="91"/>
      <c r="W105" s="91"/>
      <c r="X105" s="91"/>
      <c r="Y105" s="91"/>
      <c r="Z105" s="91"/>
    </row>
    <row r="106" ht="13.5" customHeight="1">
      <c r="A106" s="91"/>
      <c r="B106" s="399" t="s">
        <v>2208</v>
      </c>
      <c r="C106" s="400"/>
      <c r="D106" s="400" t="s">
        <v>2208</v>
      </c>
      <c r="E106" s="400" t="s">
        <v>2208</v>
      </c>
      <c r="F106" s="400" t="s">
        <v>2208</v>
      </c>
      <c r="G106" s="400" t="s">
        <v>2208</v>
      </c>
      <c r="H106" s="476" t="s">
        <v>2208</v>
      </c>
      <c r="I106" s="476"/>
      <c r="J106" s="400" t="s">
        <v>2208</v>
      </c>
      <c r="K106" s="404"/>
      <c r="L106" s="427" t="s">
        <v>2208</v>
      </c>
      <c r="M106" s="91"/>
      <c r="N106" s="91"/>
      <c r="O106" s="91"/>
      <c r="P106" s="91"/>
      <c r="Q106" s="91"/>
      <c r="R106" s="91"/>
      <c r="S106" s="91"/>
      <c r="T106" s="91"/>
      <c r="U106" s="91"/>
      <c r="V106" s="91"/>
      <c r="W106" s="91"/>
      <c r="X106" s="91"/>
      <c r="Y106" s="91"/>
      <c r="Z106" s="91"/>
    </row>
    <row r="107" ht="12.75" customHeight="1">
      <c r="A107" s="277"/>
      <c r="B107" s="278"/>
      <c r="C107" s="279"/>
      <c r="D107" s="277"/>
      <c r="E107" s="277"/>
      <c r="F107" s="277"/>
      <c r="G107" s="277"/>
      <c r="H107" s="277"/>
      <c r="I107" s="277"/>
      <c r="J107" s="277"/>
      <c r="K107" s="409"/>
      <c r="L107" s="477"/>
      <c r="M107" s="277"/>
      <c r="N107" s="277"/>
      <c r="O107" s="277"/>
      <c r="P107" s="277"/>
      <c r="Q107" s="277"/>
      <c r="R107" s="277"/>
      <c r="S107" s="277"/>
      <c r="T107" s="277"/>
      <c r="U107" s="277"/>
      <c r="V107" s="277"/>
      <c r="W107" s="277"/>
      <c r="X107" s="277"/>
      <c r="Y107" s="277"/>
      <c r="Z107" s="277"/>
    </row>
    <row r="108" ht="12.75" customHeight="1">
      <c r="A108" s="277"/>
      <c r="B108" s="278"/>
      <c r="C108" s="279"/>
      <c r="D108" s="277"/>
      <c r="E108" s="277"/>
      <c r="F108" s="277"/>
      <c r="G108" s="277"/>
      <c r="H108" s="277"/>
      <c r="I108" s="277"/>
      <c r="J108" s="277"/>
      <c r="K108" s="409"/>
      <c r="L108" s="477"/>
      <c r="M108" s="277"/>
      <c r="N108" s="277"/>
      <c r="O108" s="277"/>
      <c r="P108" s="277"/>
      <c r="Q108" s="277"/>
      <c r="R108" s="277"/>
      <c r="S108" s="277"/>
      <c r="T108" s="277"/>
      <c r="U108" s="277"/>
      <c r="V108" s="277"/>
      <c r="W108" s="277"/>
      <c r="X108" s="277"/>
      <c r="Y108" s="277"/>
      <c r="Z108" s="277"/>
    </row>
    <row r="109" ht="12.75" customHeight="1">
      <c r="A109" s="277"/>
      <c r="B109" s="278"/>
      <c r="C109" s="279"/>
      <c r="D109" s="277"/>
      <c r="E109" s="277"/>
      <c r="F109" s="277"/>
      <c r="G109" s="277"/>
      <c r="H109" s="277"/>
      <c r="I109" s="277"/>
      <c r="J109" s="277"/>
      <c r="K109" s="409"/>
      <c r="L109" s="477"/>
      <c r="M109" s="277"/>
      <c r="N109" s="277"/>
      <c r="O109" s="277"/>
      <c r="P109" s="277"/>
      <c r="Q109" s="277"/>
      <c r="R109" s="277"/>
      <c r="S109" s="277"/>
      <c r="T109" s="277"/>
      <c r="U109" s="277"/>
      <c r="V109" s="277"/>
      <c r="W109" s="277"/>
      <c r="X109" s="277"/>
      <c r="Y109" s="277"/>
      <c r="Z109" s="277"/>
    </row>
    <row r="110" ht="12.75" customHeight="1">
      <c r="A110" s="277"/>
      <c r="B110" s="278"/>
      <c r="C110" s="279"/>
      <c r="D110" s="277"/>
      <c r="E110" s="277"/>
      <c r="F110" s="277"/>
      <c r="G110" s="277"/>
      <c r="H110" s="277"/>
      <c r="I110" s="277"/>
      <c r="J110" s="277"/>
      <c r="K110" s="409"/>
      <c r="L110" s="477"/>
      <c r="M110" s="277"/>
      <c r="N110" s="277"/>
      <c r="O110" s="277"/>
      <c r="P110" s="277"/>
      <c r="Q110" s="277"/>
      <c r="R110" s="277"/>
      <c r="S110" s="277"/>
      <c r="T110" s="277"/>
      <c r="U110" s="277"/>
      <c r="V110" s="277"/>
      <c r="W110" s="277"/>
      <c r="X110" s="277"/>
      <c r="Y110" s="277"/>
      <c r="Z110" s="277"/>
    </row>
    <row r="111" ht="12.75" customHeight="1">
      <c r="A111" s="277"/>
      <c r="B111" s="278"/>
      <c r="C111" s="279"/>
      <c r="D111" s="277"/>
      <c r="E111" s="277"/>
      <c r="F111" s="277"/>
      <c r="G111" s="277"/>
      <c r="H111" s="277"/>
      <c r="I111" s="277"/>
      <c r="J111" s="277"/>
      <c r="K111" s="409"/>
      <c r="L111" s="477"/>
      <c r="M111" s="277"/>
      <c r="N111" s="277"/>
      <c r="O111" s="277"/>
      <c r="P111" s="277"/>
      <c r="Q111" s="277"/>
      <c r="R111" s="277"/>
      <c r="S111" s="277"/>
      <c r="T111" s="277"/>
      <c r="U111" s="277"/>
      <c r="V111" s="277"/>
      <c r="W111" s="277"/>
      <c r="X111" s="277"/>
      <c r="Y111" s="277"/>
      <c r="Z111" s="277"/>
    </row>
    <row r="112" ht="12.75" customHeight="1">
      <c r="A112" s="277"/>
      <c r="B112" s="278"/>
      <c r="C112" s="279"/>
      <c r="D112" s="277"/>
      <c r="E112" s="277"/>
      <c r="F112" s="277"/>
      <c r="G112" s="277"/>
      <c r="H112" s="277"/>
      <c r="I112" s="277"/>
      <c r="J112" s="277"/>
      <c r="K112" s="409"/>
      <c r="L112" s="477"/>
      <c r="M112" s="277"/>
      <c r="N112" s="277"/>
      <c r="O112" s="277"/>
      <c r="P112" s="277"/>
      <c r="Q112" s="277"/>
      <c r="R112" s="277"/>
      <c r="S112" s="277"/>
      <c r="T112" s="277"/>
      <c r="U112" s="277"/>
      <c r="V112" s="277"/>
      <c r="W112" s="277"/>
      <c r="X112" s="277"/>
      <c r="Y112" s="277"/>
      <c r="Z112" s="277"/>
    </row>
    <row r="113" ht="12.75" customHeight="1">
      <c r="A113" s="277"/>
      <c r="B113" s="278"/>
      <c r="C113" s="279"/>
      <c r="D113" s="277"/>
      <c r="E113" s="277"/>
      <c r="F113" s="277"/>
      <c r="G113" s="277"/>
      <c r="H113" s="277"/>
      <c r="I113" s="277"/>
      <c r="J113" s="277"/>
      <c r="K113" s="409"/>
      <c r="L113" s="477"/>
      <c r="M113" s="277"/>
      <c r="N113" s="277"/>
      <c r="O113" s="277"/>
      <c r="P113" s="277"/>
      <c r="Q113" s="277"/>
      <c r="R113" s="277"/>
      <c r="S113" s="277"/>
      <c r="T113" s="277"/>
      <c r="U113" s="277"/>
      <c r="V113" s="277"/>
      <c r="W113" s="277"/>
      <c r="X113" s="277"/>
      <c r="Y113" s="277"/>
      <c r="Z113" s="277"/>
    </row>
    <row r="114" ht="12.75" customHeight="1">
      <c r="A114" s="277"/>
      <c r="B114" s="278"/>
      <c r="C114" s="279"/>
      <c r="D114" s="277"/>
      <c r="E114" s="277"/>
      <c r="F114" s="277"/>
      <c r="G114" s="277"/>
      <c r="H114" s="277"/>
      <c r="I114" s="277"/>
      <c r="J114" s="277"/>
      <c r="K114" s="409"/>
      <c r="L114" s="477"/>
      <c r="M114" s="277"/>
      <c r="N114" s="277"/>
      <c r="O114" s="277"/>
      <c r="P114" s="277"/>
      <c r="Q114" s="277"/>
      <c r="R114" s="277"/>
      <c r="S114" s="277"/>
      <c r="T114" s="277"/>
      <c r="U114" s="277"/>
      <c r="V114" s="277"/>
      <c r="W114" s="277"/>
      <c r="X114" s="277"/>
      <c r="Y114" s="277"/>
      <c r="Z114" s="277"/>
    </row>
    <row r="115" ht="12.75" customHeight="1">
      <c r="A115" s="277"/>
      <c r="B115" s="278"/>
      <c r="C115" s="279"/>
      <c r="D115" s="277"/>
      <c r="E115" s="277"/>
      <c r="F115" s="277"/>
      <c r="G115" s="277"/>
      <c r="H115" s="277"/>
      <c r="I115" s="277"/>
      <c r="J115" s="277"/>
      <c r="K115" s="409"/>
      <c r="L115" s="477"/>
      <c r="M115" s="277"/>
      <c r="N115" s="277"/>
      <c r="O115" s="277"/>
      <c r="P115" s="277"/>
      <c r="Q115" s="277"/>
      <c r="R115" s="277"/>
      <c r="S115" s="277"/>
      <c r="T115" s="277"/>
      <c r="U115" s="277"/>
      <c r="V115" s="277"/>
      <c r="W115" s="277"/>
      <c r="X115" s="277"/>
      <c r="Y115" s="277"/>
      <c r="Z115" s="277"/>
    </row>
    <row r="116" ht="12.75" customHeight="1">
      <c r="A116" s="277"/>
      <c r="B116" s="278"/>
      <c r="C116" s="279"/>
      <c r="D116" s="277"/>
      <c r="E116" s="277"/>
      <c r="F116" s="277"/>
      <c r="G116" s="277"/>
      <c r="H116" s="277"/>
      <c r="I116" s="277"/>
      <c r="J116" s="277"/>
      <c r="K116" s="409"/>
      <c r="L116" s="477"/>
      <c r="M116" s="277"/>
      <c r="N116" s="277"/>
      <c r="O116" s="277"/>
      <c r="P116" s="277"/>
      <c r="Q116" s="277"/>
      <c r="R116" s="277"/>
      <c r="S116" s="277"/>
      <c r="T116" s="277"/>
      <c r="U116" s="277"/>
      <c r="V116" s="277"/>
      <c r="W116" s="277"/>
      <c r="X116" s="277"/>
      <c r="Y116" s="277"/>
      <c r="Z116" s="277"/>
    </row>
    <row r="117" ht="12.75" customHeight="1">
      <c r="A117" s="277"/>
      <c r="B117" s="278"/>
      <c r="C117" s="279"/>
      <c r="D117" s="277"/>
      <c r="E117" s="277"/>
      <c r="F117" s="277"/>
      <c r="G117" s="277"/>
      <c r="H117" s="277"/>
      <c r="I117" s="277"/>
      <c r="J117" s="277"/>
      <c r="K117" s="409"/>
      <c r="L117" s="477"/>
      <c r="M117" s="277"/>
      <c r="N117" s="277"/>
      <c r="O117" s="277"/>
      <c r="P117" s="277"/>
      <c r="Q117" s="277"/>
      <c r="R117" s="277"/>
      <c r="S117" s="277"/>
      <c r="T117" s="277"/>
      <c r="U117" s="277"/>
      <c r="V117" s="277"/>
      <c r="W117" s="277"/>
      <c r="X117" s="277"/>
      <c r="Y117" s="277"/>
      <c r="Z117" s="277"/>
    </row>
    <row r="118" ht="12.75" customHeight="1">
      <c r="A118" s="277"/>
      <c r="B118" s="278"/>
      <c r="C118" s="279"/>
      <c r="D118" s="277"/>
      <c r="E118" s="277"/>
      <c r="F118" s="277"/>
      <c r="G118" s="277"/>
      <c r="H118" s="277"/>
      <c r="I118" s="277"/>
      <c r="J118" s="277"/>
      <c r="K118" s="409"/>
      <c r="L118" s="477"/>
      <c r="M118" s="277"/>
      <c r="N118" s="277"/>
      <c r="O118" s="277"/>
      <c r="P118" s="277"/>
      <c r="Q118" s="277"/>
      <c r="R118" s="277"/>
      <c r="S118" s="277"/>
      <c r="T118" s="277"/>
      <c r="U118" s="277"/>
      <c r="V118" s="277"/>
      <c r="W118" s="277"/>
      <c r="X118" s="277"/>
      <c r="Y118" s="277"/>
      <c r="Z118" s="277"/>
    </row>
    <row r="119" ht="12.75" customHeight="1">
      <c r="A119" s="277"/>
      <c r="B119" s="278"/>
      <c r="C119" s="279"/>
      <c r="D119" s="277"/>
      <c r="E119" s="277"/>
      <c r="F119" s="277"/>
      <c r="G119" s="277"/>
      <c r="H119" s="277"/>
      <c r="I119" s="277"/>
      <c r="J119" s="277"/>
      <c r="K119" s="409"/>
      <c r="L119" s="477"/>
      <c r="M119" s="277"/>
      <c r="N119" s="277"/>
      <c r="O119" s="277"/>
      <c r="P119" s="277"/>
      <c r="Q119" s="277"/>
      <c r="R119" s="277"/>
      <c r="S119" s="277"/>
      <c r="T119" s="277"/>
      <c r="U119" s="277"/>
      <c r="V119" s="277"/>
      <c r="W119" s="277"/>
      <c r="X119" s="277"/>
      <c r="Y119" s="277"/>
      <c r="Z119" s="277"/>
    </row>
    <row r="120" ht="12.75" customHeight="1">
      <c r="A120" s="277"/>
      <c r="B120" s="278"/>
      <c r="C120" s="279"/>
      <c r="D120" s="277"/>
      <c r="E120" s="277"/>
      <c r="F120" s="277"/>
      <c r="G120" s="277"/>
      <c r="H120" s="277"/>
      <c r="I120" s="277"/>
      <c r="J120" s="277"/>
      <c r="K120" s="409"/>
      <c r="L120" s="477"/>
      <c r="M120" s="277"/>
      <c r="N120" s="277"/>
      <c r="O120" s="277"/>
      <c r="P120" s="277"/>
      <c r="Q120" s="277"/>
      <c r="R120" s="277"/>
      <c r="S120" s="277"/>
      <c r="T120" s="277"/>
      <c r="U120" s="277"/>
      <c r="V120" s="277"/>
      <c r="W120" s="277"/>
      <c r="X120" s="277"/>
      <c r="Y120" s="277"/>
      <c r="Z120" s="277"/>
    </row>
    <row r="121" ht="12.75" customHeight="1">
      <c r="A121" s="277"/>
      <c r="B121" s="278"/>
      <c r="C121" s="279"/>
      <c r="D121" s="277"/>
      <c r="E121" s="277"/>
      <c r="F121" s="277"/>
      <c r="G121" s="277"/>
      <c r="H121" s="277"/>
      <c r="I121" s="277"/>
      <c r="J121" s="277"/>
      <c r="K121" s="409"/>
      <c r="L121" s="477"/>
      <c r="M121" s="277"/>
      <c r="N121" s="277"/>
      <c r="O121" s="277"/>
      <c r="P121" s="277"/>
      <c r="Q121" s="277"/>
      <c r="R121" s="277"/>
      <c r="S121" s="277"/>
      <c r="T121" s="277"/>
      <c r="U121" s="277"/>
      <c r="V121" s="277"/>
      <c r="W121" s="277"/>
      <c r="X121" s="277"/>
      <c r="Y121" s="277"/>
      <c r="Z121" s="277"/>
    </row>
    <row r="122" ht="12.75" customHeight="1">
      <c r="A122" s="277"/>
      <c r="B122" s="278"/>
      <c r="C122" s="279"/>
      <c r="D122" s="277"/>
      <c r="E122" s="277"/>
      <c r="F122" s="277"/>
      <c r="G122" s="277"/>
      <c r="H122" s="277"/>
      <c r="I122" s="277"/>
      <c r="J122" s="277"/>
      <c r="K122" s="409"/>
      <c r="L122" s="477"/>
      <c r="M122" s="277"/>
      <c r="N122" s="277"/>
      <c r="O122" s="277"/>
      <c r="P122" s="277"/>
      <c r="Q122" s="277"/>
      <c r="R122" s="277"/>
      <c r="S122" s="277"/>
      <c r="T122" s="277"/>
      <c r="U122" s="277"/>
      <c r="V122" s="277"/>
      <c r="W122" s="277"/>
      <c r="X122" s="277"/>
      <c r="Y122" s="277"/>
      <c r="Z122" s="277"/>
    </row>
    <row r="123" ht="12.75" customHeight="1">
      <c r="A123" s="277"/>
      <c r="B123" s="278"/>
      <c r="C123" s="279"/>
      <c r="D123" s="277"/>
      <c r="E123" s="277"/>
      <c r="F123" s="277"/>
      <c r="G123" s="277"/>
      <c r="H123" s="277"/>
      <c r="I123" s="277"/>
      <c r="J123" s="277"/>
      <c r="K123" s="409"/>
      <c r="L123" s="477"/>
      <c r="M123" s="277"/>
      <c r="N123" s="277"/>
      <c r="O123" s="277"/>
      <c r="P123" s="277"/>
      <c r="Q123" s="277"/>
      <c r="R123" s="277"/>
      <c r="S123" s="277"/>
      <c r="T123" s="277"/>
      <c r="U123" s="277"/>
      <c r="V123" s="277"/>
      <c r="W123" s="277"/>
      <c r="X123" s="277"/>
      <c r="Y123" s="277"/>
      <c r="Z123" s="277"/>
    </row>
    <row r="124" ht="12.75" customHeight="1">
      <c r="A124" s="277"/>
      <c r="B124" s="278"/>
      <c r="C124" s="279"/>
      <c r="D124" s="277"/>
      <c r="E124" s="277"/>
      <c r="F124" s="277"/>
      <c r="G124" s="277"/>
      <c r="H124" s="277"/>
      <c r="I124" s="277"/>
      <c r="J124" s="277"/>
      <c r="K124" s="409"/>
      <c r="L124" s="477"/>
      <c r="M124" s="277"/>
      <c r="N124" s="277"/>
      <c r="O124" s="277"/>
      <c r="P124" s="277"/>
      <c r="Q124" s="277"/>
      <c r="R124" s="277"/>
      <c r="S124" s="277"/>
      <c r="T124" s="277"/>
      <c r="U124" s="277"/>
      <c r="V124" s="277"/>
      <c r="W124" s="277"/>
      <c r="X124" s="277"/>
      <c r="Y124" s="277"/>
      <c r="Z124" s="277"/>
    </row>
    <row r="125" ht="12.75" customHeight="1">
      <c r="A125" s="277"/>
      <c r="B125" s="278"/>
      <c r="C125" s="279"/>
      <c r="D125" s="277"/>
      <c r="E125" s="277"/>
      <c r="F125" s="277"/>
      <c r="G125" s="277"/>
      <c r="H125" s="277"/>
      <c r="I125" s="277"/>
      <c r="J125" s="277"/>
      <c r="K125" s="409"/>
      <c r="L125" s="477"/>
      <c r="M125" s="277"/>
      <c r="N125" s="277"/>
      <c r="O125" s="277"/>
      <c r="P125" s="277"/>
      <c r="Q125" s="277"/>
      <c r="R125" s="277"/>
      <c r="S125" s="277"/>
      <c r="T125" s="277"/>
      <c r="U125" s="277"/>
      <c r="V125" s="277"/>
      <c r="W125" s="277"/>
      <c r="X125" s="277"/>
      <c r="Y125" s="277"/>
      <c r="Z125" s="277"/>
    </row>
    <row r="126" ht="12.75" customHeight="1">
      <c r="A126" s="277"/>
      <c r="B126" s="278"/>
      <c r="C126" s="279"/>
      <c r="D126" s="277"/>
      <c r="E126" s="277"/>
      <c r="F126" s="277"/>
      <c r="G126" s="277"/>
      <c r="H126" s="277"/>
      <c r="I126" s="277"/>
      <c r="J126" s="277"/>
      <c r="K126" s="409"/>
      <c r="L126" s="477"/>
      <c r="M126" s="277"/>
      <c r="N126" s="277"/>
      <c r="O126" s="277"/>
      <c r="P126" s="277"/>
      <c r="Q126" s="277"/>
      <c r="R126" s="277"/>
      <c r="S126" s="277"/>
      <c r="T126" s="277"/>
      <c r="U126" s="277"/>
      <c r="V126" s="277"/>
      <c r="W126" s="277"/>
      <c r="X126" s="277"/>
      <c r="Y126" s="277"/>
      <c r="Z126" s="277"/>
    </row>
    <row r="127" ht="12.75" customHeight="1">
      <c r="A127" s="277"/>
      <c r="B127" s="278"/>
      <c r="C127" s="279"/>
      <c r="D127" s="277"/>
      <c r="E127" s="277"/>
      <c r="F127" s="277"/>
      <c r="G127" s="277"/>
      <c r="H127" s="277"/>
      <c r="I127" s="277"/>
      <c r="J127" s="277"/>
      <c r="K127" s="409"/>
      <c r="L127" s="477"/>
      <c r="M127" s="277"/>
      <c r="N127" s="277"/>
      <c r="O127" s="277"/>
      <c r="P127" s="277"/>
      <c r="Q127" s="277"/>
      <c r="R127" s="277"/>
      <c r="S127" s="277"/>
      <c r="T127" s="277"/>
      <c r="U127" s="277"/>
      <c r="V127" s="277"/>
      <c r="W127" s="277"/>
      <c r="X127" s="277"/>
      <c r="Y127" s="277"/>
      <c r="Z127" s="277"/>
    </row>
    <row r="128" ht="12.75" customHeight="1">
      <c r="A128" s="277"/>
      <c r="B128" s="278"/>
      <c r="C128" s="279"/>
      <c r="D128" s="277"/>
      <c r="E128" s="277"/>
      <c r="F128" s="277"/>
      <c r="G128" s="277"/>
      <c r="H128" s="277"/>
      <c r="I128" s="277"/>
      <c r="J128" s="277"/>
      <c r="K128" s="409"/>
      <c r="L128" s="477"/>
      <c r="M128" s="277"/>
      <c r="N128" s="277"/>
      <c r="O128" s="277"/>
      <c r="P128" s="277"/>
      <c r="Q128" s="277"/>
      <c r="R128" s="277"/>
      <c r="S128" s="277"/>
      <c r="T128" s="277"/>
      <c r="U128" s="277"/>
      <c r="V128" s="277"/>
      <c r="W128" s="277"/>
      <c r="X128" s="277"/>
      <c r="Y128" s="277"/>
      <c r="Z128" s="277"/>
    </row>
    <row r="129" ht="12.75" customHeight="1">
      <c r="A129" s="277"/>
      <c r="B129" s="278"/>
      <c r="C129" s="279"/>
      <c r="D129" s="277"/>
      <c r="E129" s="277"/>
      <c r="F129" s="277"/>
      <c r="G129" s="277"/>
      <c r="H129" s="277"/>
      <c r="I129" s="277"/>
      <c r="J129" s="277"/>
      <c r="K129" s="409"/>
      <c r="L129" s="477"/>
      <c r="M129" s="277"/>
      <c r="N129" s="277"/>
      <c r="O129" s="277"/>
      <c r="P129" s="277"/>
      <c r="Q129" s="277"/>
      <c r="R129" s="277"/>
      <c r="S129" s="277"/>
      <c r="T129" s="277"/>
      <c r="U129" s="277"/>
      <c r="V129" s="277"/>
      <c r="W129" s="277"/>
      <c r="X129" s="277"/>
      <c r="Y129" s="277"/>
      <c r="Z129" s="277"/>
    </row>
    <row r="130" ht="12.75" customHeight="1">
      <c r="A130" s="277"/>
      <c r="B130" s="278"/>
      <c r="C130" s="279"/>
      <c r="D130" s="277"/>
      <c r="E130" s="277"/>
      <c r="F130" s="277"/>
      <c r="G130" s="277"/>
      <c r="H130" s="277"/>
      <c r="I130" s="277"/>
      <c r="J130" s="277"/>
      <c r="K130" s="409"/>
      <c r="L130" s="477"/>
      <c r="M130" s="277"/>
      <c r="N130" s="277"/>
      <c r="O130" s="277"/>
      <c r="P130" s="277"/>
      <c r="Q130" s="277"/>
      <c r="R130" s="277"/>
      <c r="S130" s="277"/>
      <c r="T130" s="277"/>
      <c r="U130" s="277"/>
      <c r="V130" s="277"/>
      <c r="W130" s="277"/>
      <c r="X130" s="277"/>
      <c r="Y130" s="277"/>
      <c r="Z130" s="277"/>
    </row>
    <row r="131" ht="12.75" customHeight="1">
      <c r="A131" s="277"/>
      <c r="B131" s="278"/>
      <c r="C131" s="279"/>
      <c r="D131" s="277"/>
      <c r="E131" s="277"/>
      <c r="F131" s="277"/>
      <c r="G131" s="277"/>
      <c r="H131" s="277"/>
      <c r="I131" s="277"/>
      <c r="J131" s="277"/>
      <c r="K131" s="409"/>
      <c r="L131" s="477"/>
      <c r="M131" s="277"/>
      <c r="N131" s="277"/>
      <c r="O131" s="277"/>
      <c r="P131" s="277"/>
      <c r="Q131" s="277"/>
      <c r="R131" s="277"/>
      <c r="S131" s="277"/>
      <c r="T131" s="277"/>
      <c r="U131" s="277"/>
      <c r="V131" s="277"/>
      <c r="W131" s="277"/>
      <c r="X131" s="277"/>
      <c r="Y131" s="277"/>
      <c r="Z131" s="277"/>
    </row>
    <row r="132" ht="12.75" customHeight="1">
      <c r="A132" s="277"/>
      <c r="B132" s="278"/>
      <c r="C132" s="279"/>
      <c r="D132" s="277"/>
      <c r="E132" s="277"/>
      <c r="F132" s="277"/>
      <c r="G132" s="277"/>
      <c r="H132" s="277"/>
      <c r="I132" s="277"/>
      <c r="J132" s="277"/>
      <c r="K132" s="409"/>
      <c r="L132" s="477"/>
      <c r="M132" s="277"/>
      <c r="N132" s="277"/>
      <c r="O132" s="277"/>
      <c r="P132" s="277"/>
      <c r="Q132" s="277"/>
      <c r="R132" s="277"/>
      <c r="S132" s="277"/>
      <c r="T132" s="277"/>
      <c r="U132" s="277"/>
      <c r="V132" s="277"/>
      <c r="W132" s="277"/>
      <c r="X132" s="277"/>
      <c r="Y132" s="277"/>
      <c r="Z132" s="277"/>
    </row>
    <row r="133" ht="12.75" customHeight="1">
      <c r="A133" s="277"/>
      <c r="B133" s="278"/>
      <c r="C133" s="279"/>
      <c r="D133" s="277"/>
      <c r="E133" s="277"/>
      <c r="F133" s="277"/>
      <c r="G133" s="277"/>
      <c r="H133" s="277"/>
      <c r="I133" s="277"/>
      <c r="J133" s="277"/>
      <c r="K133" s="409"/>
      <c r="L133" s="477"/>
      <c r="M133" s="277"/>
      <c r="N133" s="277"/>
      <c r="O133" s="277"/>
      <c r="P133" s="277"/>
      <c r="Q133" s="277"/>
      <c r="R133" s="277"/>
      <c r="S133" s="277"/>
      <c r="T133" s="277"/>
      <c r="U133" s="277"/>
      <c r="V133" s="277"/>
      <c r="W133" s="277"/>
      <c r="X133" s="277"/>
      <c r="Y133" s="277"/>
      <c r="Z133" s="277"/>
    </row>
    <row r="134" ht="12.75" customHeight="1">
      <c r="A134" s="277"/>
      <c r="B134" s="278"/>
      <c r="C134" s="279"/>
      <c r="D134" s="277"/>
      <c r="E134" s="277"/>
      <c r="F134" s="277"/>
      <c r="G134" s="277"/>
      <c r="H134" s="277"/>
      <c r="I134" s="277"/>
      <c r="J134" s="277"/>
      <c r="K134" s="409"/>
      <c r="L134" s="477"/>
      <c r="M134" s="277"/>
      <c r="N134" s="277"/>
      <c r="O134" s="277"/>
      <c r="P134" s="277"/>
      <c r="Q134" s="277"/>
      <c r="R134" s="277"/>
      <c r="S134" s="277"/>
      <c r="T134" s="277"/>
      <c r="U134" s="277"/>
      <c r="V134" s="277"/>
      <c r="W134" s="277"/>
      <c r="X134" s="277"/>
      <c r="Y134" s="277"/>
      <c r="Z134" s="277"/>
    </row>
    <row r="135" ht="12.75" customHeight="1">
      <c r="A135" s="277"/>
      <c r="B135" s="278"/>
      <c r="C135" s="279"/>
      <c r="D135" s="277"/>
      <c r="E135" s="277"/>
      <c r="F135" s="277"/>
      <c r="G135" s="277"/>
      <c r="H135" s="277"/>
      <c r="I135" s="277"/>
      <c r="J135" s="277"/>
      <c r="K135" s="409"/>
      <c r="L135" s="477"/>
      <c r="M135" s="277"/>
      <c r="N135" s="277"/>
      <c r="O135" s="277"/>
      <c r="P135" s="277"/>
      <c r="Q135" s="277"/>
      <c r="R135" s="277"/>
      <c r="S135" s="277"/>
      <c r="T135" s="277"/>
      <c r="U135" s="277"/>
      <c r="V135" s="277"/>
      <c r="W135" s="277"/>
      <c r="X135" s="277"/>
      <c r="Y135" s="277"/>
      <c r="Z135" s="277"/>
    </row>
    <row r="136" ht="12.75" customHeight="1">
      <c r="A136" s="277"/>
      <c r="B136" s="278"/>
      <c r="C136" s="279"/>
      <c r="D136" s="277"/>
      <c r="E136" s="277"/>
      <c r="F136" s="277"/>
      <c r="G136" s="277"/>
      <c r="H136" s="277"/>
      <c r="I136" s="277"/>
      <c r="J136" s="277"/>
      <c r="K136" s="409"/>
      <c r="L136" s="477"/>
      <c r="M136" s="277"/>
      <c r="N136" s="277"/>
      <c r="O136" s="277"/>
      <c r="P136" s="277"/>
      <c r="Q136" s="277"/>
      <c r="R136" s="277"/>
      <c r="S136" s="277"/>
      <c r="T136" s="277"/>
      <c r="U136" s="277"/>
      <c r="V136" s="277"/>
      <c r="W136" s="277"/>
      <c r="X136" s="277"/>
      <c r="Y136" s="277"/>
      <c r="Z136" s="277"/>
    </row>
    <row r="137" ht="12.75" customHeight="1">
      <c r="A137" s="277"/>
      <c r="B137" s="278"/>
      <c r="C137" s="279"/>
      <c r="D137" s="277"/>
      <c r="E137" s="277"/>
      <c r="F137" s="277"/>
      <c r="G137" s="277"/>
      <c r="H137" s="277"/>
      <c r="I137" s="277"/>
      <c r="J137" s="277"/>
      <c r="K137" s="409"/>
      <c r="L137" s="477"/>
      <c r="M137" s="277"/>
      <c r="N137" s="277"/>
      <c r="O137" s="277"/>
      <c r="P137" s="277"/>
      <c r="Q137" s="277"/>
      <c r="R137" s="277"/>
      <c r="S137" s="277"/>
      <c r="T137" s="277"/>
      <c r="U137" s="277"/>
      <c r="V137" s="277"/>
      <c r="W137" s="277"/>
      <c r="X137" s="277"/>
      <c r="Y137" s="277"/>
      <c r="Z137" s="277"/>
    </row>
    <row r="138" ht="12.75" customHeight="1">
      <c r="A138" s="277"/>
      <c r="B138" s="278"/>
      <c r="C138" s="279"/>
      <c r="D138" s="277"/>
      <c r="E138" s="277"/>
      <c r="F138" s="277"/>
      <c r="G138" s="277"/>
      <c r="H138" s="277"/>
      <c r="I138" s="277"/>
      <c r="J138" s="277"/>
      <c r="K138" s="409"/>
      <c r="L138" s="477"/>
      <c r="M138" s="277"/>
      <c r="N138" s="277"/>
      <c r="O138" s="277"/>
      <c r="P138" s="277"/>
      <c r="Q138" s="277"/>
      <c r="R138" s="277"/>
      <c r="S138" s="277"/>
      <c r="T138" s="277"/>
      <c r="U138" s="277"/>
      <c r="V138" s="277"/>
      <c r="W138" s="277"/>
      <c r="X138" s="277"/>
      <c r="Y138" s="277"/>
      <c r="Z138" s="277"/>
    </row>
    <row r="139" ht="12.75" customHeight="1">
      <c r="A139" s="277"/>
      <c r="B139" s="278"/>
      <c r="C139" s="279"/>
      <c r="D139" s="277"/>
      <c r="E139" s="277"/>
      <c r="F139" s="277"/>
      <c r="G139" s="277"/>
      <c r="H139" s="277"/>
      <c r="I139" s="277"/>
      <c r="J139" s="277"/>
      <c r="K139" s="409"/>
      <c r="L139" s="477"/>
      <c r="M139" s="277"/>
      <c r="N139" s="277"/>
      <c r="O139" s="277"/>
      <c r="P139" s="277"/>
      <c r="Q139" s="277"/>
      <c r="R139" s="277"/>
      <c r="S139" s="277"/>
      <c r="T139" s="277"/>
      <c r="U139" s="277"/>
      <c r="V139" s="277"/>
      <c r="W139" s="277"/>
      <c r="X139" s="277"/>
      <c r="Y139" s="277"/>
      <c r="Z139" s="277"/>
    </row>
    <row r="140" ht="12.75" customHeight="1">
      <c r="A140" s="277"/>
      <c r="B140" s="278"/>
      <c r="C140" s="279"/>
      <c r="D140" s="277"/>
      <c r="E140" s="277"/>
      <c r="F140" s="277"/>
      <c r="G140" s="277"/>
      <c r="H140" s="277"/>
      <c r="I140" s="277"/>
      <c r="J140" s="277"/>
      <c r="K140" s="409"/>
      <c r="L140" s="477"/>
      <c r="M140" s="277"/>
      <c r="N140" s="277"/>
      <c r="O140" s="277"/>
      <c r="P140" s="277"/>
      <c r="Q140" s="277"/>
      <c r="R140" s="277"/>
      <c r="S140" s="277"/>
      <c r="T140" s="277"/>
      <c r="U140" s="277"/>
      <c r="V140" s="277"/>
      <c r="W140" s="277"/>
      <c r="X140" s="277"/>
      <c r="Y140" s="277"/>
      <c r="Z140" s="277"/>
    </row>
    <row r="141" ht="12.75" customHeight="1">
      <c r="A141" s="277"/>
      <c r="B141" s="278"/>
      <c r="C141" s="279"/>
      <c r="D141" s="277"/>
      <c r="E141" s="277"/>
      <c r="F141" s="277"/>
      <c r="G141" s="277"/>
      <c r="H141" s="277"/>
      <c r="I141" s="277"/>
      <c r="J141" s="277"/>
      <c r="K141" s="409"/>
      <c r="L141" s="477"/>
      <c r="M141" s="277"/>
      <c r="N141" s="277"/>
      <c r="O141" s="277"/>
      <c r="P141" s="277"/>
      <c r="Q141" s="277"/>
      <c r="R141" s="277"/>
      <c r="S141" s="277"/>
      <c r="T141" s="277"/>
      <c r="U141" s="277"/>
      <c r="V141" s="277"/>
      <c r="W141" s="277"/>
      <c r="X141" s="277"/>
      <c r="Y141" s="277"/>
      <c r="Z141" s="277"/>
    </row>
    <row r="142" ht="12.75" customHeight="1">
      <c r="A142" s="277"/>
      <c r="B142" s="278"/>
      <c r="C142" s="279"/>
      <c r="D142" s="277"/>
      <c r="E142" s="277"/>
      <c r="F142" s="277"/>
      <c r="G142" s="277"/>
      <c r="H142" s="277"/>
      <c r="I142" s="277"/>
      <c r="J142" s="277"/>
      <c r="K142" s="409"/>
      <c r="L142" s="477"/>
      <c r="M142" s="277"/>
      <c r="N142" s="277"/>
      <c r="O142" s="277"/>
      <c r="P142" s="277"/>
      <c r="Q142" s="277"/>
      <c r="R142" s="277"/>
      <c r="S142" s="277"/>
      <c r="T142" s="277"/>
      <c r="U142" s="277"/>
      <c r="V142" s="277"/>
      <c r="W142" s="277"/>
      <c r="X142" s="277"/>
      <c r="Y142" s="277"/>
      <c r="Z142" s="277"/>
    </row>
    <row r="143" ht="12.75" customHeight="1">
      <c r="A143" s="277"/>
      <c r="B143" s="278"/>
      <c r="C143" s="279"/>
      <c r="D143" s="277"/>
      <c r="E143" s="277"/>
      <c r="F143" s="277"/>
      <c r="G143" s="277"/>
      <c r="H143" s="277"/>
      <c r="I143" s="277"/>
      <c r="J143" s="277"/>
      <c r="K143" s="409"/>
      <c r="L143" s="477"/>
      <c r="M143" s="277"/>
      <c r="N143" s="277"/>
      <c r="O143" s="277"/>
      <c r="P143" s="277"/>
      <c r="Q143" s="277"/>
      <c r="R143" s="277"/>
      <c r="S143" s="277"/>
      <c r="T143" s="277"/>
      <c r="U143" s="277"/>
      <c r="V143" s="277"/>
      <c r="W143" s="277"/>
      <c r="X143" s="277"/>
      <c r="Y143" s="277"/>
      <c r="Z143" s="277"/>
    </row>
    <row r="144" ht="12.75" customHeight="1">
      <c r="A144" s="277"/>
      <c r="B144" s="278"/>
      <c r="C144" s="279"/>
      <c r="D144" s="277"/>
      <c r="E144" s="277"/>
      <c r="F144" s="277"/>
      <c r="G144" s="277"/>
      <c r="H144" s="277"/>
      <c r="I144" s="277"/>
      <c r="J144" s="277"/>
      <c r="K144" s="409"/>
      <c r="L144" s="477"/>
      <c r="M144" s="277"/>
      <c r="N144" s="277"/>
      <c r="O144" s="277"/>
      <c r="P144" s="277"/>
      <c r="Q144" s="277"/>
      <c r="R144" s="277"/>
      <c r="S144" s="277"/>
      <c r="T144" s="277"/>
      <c r="U144" s="277"/>
      <c r="V144" s="277"/>
      <c r="W144" s="277"/>
      <c r="X144" s="277"/>
      <c r="Y144" s="277"/>
      <c r="Z144" s="277"/>
    </row>
    <row r="145" ht="12.75" customHeight="1">
      <c r="A145" s="277"/>
      <c r="B145" s="278"/>
      <c r="C145" s="279"/>
      <c r="D145" s="277"/>
      <c r="E145" s="277"/>
      <c r="F145" s="277"/>
      <c r="G145" s="277"/>
      <c r="H145" s="277"/>
      <c r="I145" s="277"/>
      <c r="J145" s="277"/>
      <c r="K145" s="409"/>
      <c r="L145" s="477"/>
      <c r="M145" s="277"/>
      <c r="N145" s="277"/>
      <c r="O145" s="277"/>
      <c r="P145" s="277"/>
      <c r="Q145" s="277"/>
      <c r="R145" s="277"/>
      <c r="S145" s="277"/>
      <c r="T145" s="277"/>
      <c r="U145" s="277"/>
      <c r="V145" s="277"/>
      <c r="W145" s="277"/>
      <c r="X145" s="277"/>
      <c r="Y145" s="277"/>
      <c r="Z145" s="277"/>
    </row>
    <row r="146" ht="12.75" customHeight="1">
      <c r="A146" s="277"/>
      <c r="B146" s="278"/>
      <c r="C146" s="279"/>
      <c r="D146" s="277"/>
      <c r="E146" s="277"/>
      <c r="F146" s="277"/>
      <c r="G146" s="277"/>
      <c r="H146" s="277"/>
      <c r="I146" s="277"/>
      <c r="J146" s="277"/>
      <c r="K146" s="409"/>
      <c r="L146" s="477"/>
      <c r="M146" s="277"/>
      <c r="N146" s="277"/>
      <c r="O146" s="277"/>
      <c r="P146" s="277"/>
      <c r="Q146" s="277"/>
      <c r="R146" s="277"/>
      <c r="S146" s="277"/>
      <c r="T146" s="277"/>
      <c r="U146" s="277"/>
      <c r="V146" s="277"/>
      <c r="W146" s="277"/>
      <c r="X146" s="277"/>
      <c r="Y146" s="277"/>
      <c r="Z146" s="277"/>
    </row>
    <row r="147" ht="12.75" customHeight="1">
      <c r="A147" s="277"/>
      <c r="B147" s="278"/>
      <c r="C147" s="279"/>
      <c r="D147" s="277"/>
      <c r="E147" s="277"/>
      <c r="F147" s="277"/>
      <c r="G147" s="277"/>
      <c r="H147" s="277"/>
      <c r="I147" s="277"/>
      <c r="J147" s="277"/>
      <c r="K147" s="409"/>
      <c r="L147" s="477"/>
      <c r="M147" s="277"/>
      <c r="N147" s="277"/>
      <c r="O147" s="277"/>
      <c r="P147" s="277"/>
      <c r="Q147" s="277"/>
      <c r="R147" s="277"/>
      <c r="S147" s="277"/>
      <c r="T147" s="277"/>
      <c r="U147" s="277"/>
      <c r="V147" s="277"/>
      <c r="W147" s="277"/>
      <c r="X147" s="277"/>
      <c r="Y147" s="277"/>
      <c r="Z147" s="277"/>
    </row>
    <row r="148" ht="12.75" customHeight="1">
      <c r="A148" s="277"/>
      <c r="B148" s="278"/>
      <c r="C148" s="279"/>
      <c r="D148" s="277"/>
      <c r="E148" s="277"/>
      <c r="F148" s="277"/>
      <c r="G148" s="277"/>
      <c r="H148" s="277"/>
      <c r="I148" s="277"/>
      <c r="J148" s="277"/>
      <c r="K148" s="409"/>
      <c r="L148" s="477"/>
      <c r="M148" s="277"/>
      <c r="N148" s="277"/>
      <c r="O148" s="277"/>
      <c r="P148" s="277"/>
      <c r="Q148" s="277"/>
      <c r="R148" s="277"/>
      <c r="S148" s="277"/>
      <c r="T148" s="277"/>
      <c r="U148" s="277"/>
      <c r="V148" s="277"/>
      <c r="W148" s="277"/>
      <c r="X148" s="277"/>
      <c r="Y148" s="277"/>
      <c r="Z148" s="277"/>
    </row>
    <row r="149" ht="12.75" customHeight="1">
      <c r="A149" s="277"/>
      <c r="B149" s="278"/>
      <c r="C149" s="279"/>
      <c r="D149" s="277"/>
      <c r="E149" s="277"/>
      <c r="F149" s="277"/>
      <c r="G149" s="277"/>
      <c r="H149" s="277"/>
      <c r="I149" s="277"/>
      <c r="J149" s="277"/>
      <c r="K149" s="409"/>
      <c r="L149" s="477"/>
      <c r="M149" s="277"/>
      <c r="N149" s="277"/>
      <c r="O149" s="277"/>
      <c r="P149" s="277"/>
      <c r="Q149" s="277"/>
      <c r="R149" s="277"/>
      <c r="S149" s="277"/>
      <c r="T149" s="277"/>
      <c r="U149" s="277"/>
      <c r="V149" s="277"/>
      <c r="W149" s="277"/>
      <c r="X149" s="277"/>
      <c r="Y149" s="277"/>
      <c r="Z149" s="277"/>
    </row>
    <row r="150" ht="12.75" customHeight="1">
      <c r="A150" s="277"/>
      <c r="B150" s="278"/>
      <c r="C150" s="279"/>
      <c r="D150" s="277"/>
      <c r="E150" s="277"/>
      <c r="F150" s="277"/>
      <c r="G150" s="277"/>
      <c r="H150" s="277"/>
      <c r="I150" s="277"/>
      <c r="J150" s="277"/>
      <c r="K150" s="409"/>
      <c r="L150" s="477"/>
      <c r="M150" s="277"/>
      <c r="N150" s="277"/>
      <c r="O150" s="277"/>
      <c r="P150" s="277"/>
      <c r="Q150" s="277"/>
      <c r="R150" s="277"/>
      <c r="S150" s="277"/>
      <c r="T150" s="277"/>
      <c r="U150" s="277"/>
      <c r="V150" s="277"/>
      <c r="W150" s="277"/>
      <c r="X150" s="277"/>
      <c r="Y150" s="277"/>
      <c r="Z150" s="277"/>
    </row>
    <row r="151" ht="12.75" customHeight="1">
      <c r="A151" s="277"/>
      <c r="B151" s="278"/>
      <c r="C151" s="279"/>
      <c r="D151" s="277"/>
      <c r="E151" s="277"/>
      <c r="F151" s="277"/>
      <c r="G151" s="277"/>
      <c r="H151" s="277"/>
      <c r="I151" s="277"/>
      <c r="J151" s="277"/>
      <c r="K151" s="409"/>
      <c r="L151" s="477"/>
      <c r="M151" s="277"/>
      <c r="N151" s="277"/>
      <c r="O151" s="277"/>
      <c r="P151" s="277"/>
      <c r="Q151" s="277"/>
      <c r="R151" s="277"/>
      <c r="S151" s="277"/>
      <c r="T151" s="277"/>
      <c r="U151" s="277"/>
      <c r="V151" s="277"/>
      <c r="W151" s="277"/>
      <c r="X151" s="277"/>
      <c r="Y151" s="277"/>
      <c r="Z151" s="277"/>
    </row>
    <row r="152" ht="12.75" customHeight="1">
      <c r="A152" s="277"/>
      <c r="B152" s="278"/>
      <c r="C152" s="279"/>
      <c r="D152" s="277"/>
      <c r="E152" s="277"/>
      <c r="F152" s="277"/>
      <c r="G152" s="277"/>
      <c r="H152" s="277"/>
      <c r="I152" s="277"/>
      <c r="J152" s="277"/>
      <c r="K152" s="409"/>
      <c r="L152" s="477"/>
      <c r="M152" s="277"/>
      <c r="N152" s="277"/>
      <c r="O152" s="277"/>
      <c r="P152" s="277"/>
      <c r="Q152" s="277"/>
      <c r="R152" s="277"/>
      <c r="S152" s="277"/>
      <c r="T152" s="277"/>
      <c r="U152" s="277"/>
      <c r="V152" s="277"/>
      <c r="W152" s="277"/>
      <c r="X152" s="277"/>
      <c r="Y152" s="277"/>
      <c r="Z152" s="277"/>
    </row>
    <row r="153" ht="12.75" customHeight="1">
      <c r="A153" s="277"/>
      <c r="B153" s="278"/>
      <c r="C153" s="279"/>
      <c r="D153" s="277"/>
      <c r="E153" s="277"/>
      <c r="F153" s="277"/>
      <c r="G153" s="277"/>
      <c r="H153" s="277"/>
      <c r="I153" s="277"/>
      <c r="J153" s="277"/>
      <c r="K153" s="409"/>
      <c r="L153" s="477"/>
      <c r="M153" s="277"/>
      <c r="N153" s="277"/>
      <c r="O153" s="277"/>
      <c r="P153" s="277"/>
      <c r="Q153" s="277"/>
      <c r="R153" s="277"/>
      <c r="S153" s="277"/>
      <c r="T153" s="277"/>
      <c r="U153" s="277"/>
      <c r="V153" s="277"/>
      <c r="W153" s="277"/>
      <c r="X153" s="277"/>
      <c r="Y153" s="277"/>
      <c r="Z153" s="277"/>
    </row>
    <row r="154" ht="12.75" customHeight="1">
      <c r="A154" s="277"/>
      <c r="B154" s="278"/>
      <c r="C154" s="279"/>
      <c r="D154" s="277"/>
      <c r="E154" s="277"/>
      <c r="F154" s="277"/>
      <c r="G154" s="277"/>
      <c r="H154" s="277"/>
      <c r="I154" s="277"/>
      <c r="J154" s="277"/>
      <c r="K154" s="409"/>
      <c r="L154" s="477"/>
      <c r="M154" s="277"/>
      <c r="N154" s="277"/>
      <c r="O154" s="277"/>
      <c r="P154" s="277"/>
      <c r="Q154" s="277"/>
      <c r="R154" s="277"/>
      <c r="S154" s="277"/>
      <c r="T154" s="277"/>
      <c r="U154" s="277"/>
      <c r="V154" s="277"/>
      <c r="W154" s="277"/>
      <c r="X154" s="277"/>
      <c r="Y154" s="277"/>
      <c r="Z154" s="277"/>
    </row>
    <row r="155" ht="12.75" customHeight="1">
      <c r="A155" s="277"/>
      <c r="B155" s="278"/>
      <c r="C155" s="279"/>
      <c r="D155" s="277"/>
      <c r="E155" s="277"/>
      <c r="F155" s="277"/>
      <c r="G155" s="277"/>
      <c r="H155" s="277"/>
      <c r="I155" s="277"/>
      <c r="J155" s="277"/>
      <c r="K155" s="409"/>
      <c r="L155" s="477"/>
      <c r="M155" s="277"/>
      <c r="N155" s="277"/>
      <c r="O155" s="277"/>
      <c r="P155" s="277"/>
      <c r="Q155" s="277"/>
      <c r="R155" s="277"/>
      <c r="S155" s="277"/>
      <c r="T155" s="277"/>
      <c r="U155" s="277"/>
      <c r="V155" s="277"/>
      <c r="W155" s="277"/>
      <c r="X155" s="277"/>
      <c r="Y155" s="277"/>
      <c r="Z155" s="277"/>
    </row>
    <row r="156" ht="12.75" customHeight="1">
      <c r="A156" s="277"/>
      <c r="B156" s="278"/>
      <c r="C156" s="279"/>
      <c r="D156" s="277"/>
      <c r="E156" s="277"/>
      <c r="F156" s="277"/>
      <c r="G156" s="277"/>
      <c r="H156" s="277"/>
      <c r="I156" s="277"/>
      <c r="J156" s="277"/>
      <c r="K156" s="409"/>
      <c r="L156" s="477"/>
      <c r="M156" s="277"/>
      <c r="N156" s="277"/>
      <c r="O156" s="277"/>
      <c r="P156" s="277"/>
      <c r="Q156" s="277"/>
      <c r="R156" s="277"/>
      <c r="S156" s="277"/>
      <c r="T156" s="277"/>
      <c r="U156" s="277"/>
      <c r="V156" s="277"/>
      <c r="W156" s="277"/>
      <c r="X156" s="277"/>
      <c r="Y156" s="277"/>
      <c r="Z156" s="277"/>
    </row>
    <row r="157" ht="12.75" customHeight="1">
      <c r="A157" s="277"/>
      <c r="B157" s="278"/>
      <c r="C157" s="279"/>
      <c r="D157" s="277"/>
      <c r="E157" s="277"/>
      <c r="F157" s="277"/>
      <c r="G157" s="277"/>
      <c r="H157" s="277"/>
      <c r="I157" s="277"/>
      <c r="J157" s="277"/>
      <c r="K157" s="409"/>
      <c r="L157" s="477"/>
      <c r="M157" s="277"/>
      <c r="N157" s="277"/>
      <c r="O157" s="277"/>
      <c r="P157" s="277"/>
      <c r="Q157" s="277"/>
      <c r="R157" s="277"/>
      <c r="S157" s="277"/>
      <c r="T157" s="277"/>
      <c r="U157" s="277"/>
      <c r="V157" s="277"/>
      <c r="W157" s="277"/>
      <c r="X157" s="277"/>
      <c r="Y157" s="277"/>
      <c r="Z157" s="277"/>
    </row>
    <row r="158" ht="12.75" customHeight="1">
      <c r="A158" s="277"/>
      <c r="B158" s="278"/>
      <c r="C158" s="279"/>
      <c r="D158" s="277"/>
      <c r="E158" s="277"/>
      <c r="F158" s="277"/>
      <c r="G158" s="277"/>
      <c r="H158" s="277"/>
      <c r="I158" s="277"/>
      <c r="J158" s="277"/>
      <c r="K158" s="409"/>
      <c r="L158" s="477"/>
      <c r="M158" s="277"/>
      <c r="N158" s="277"/>
      <c r="O158" s="277"/>
      <c r="P158" s="277"/>
      <c r="Q158" s="277"/>
      <c r="R158" s="277"/>
      <c r="S158" s="277"/>
      <c r="T158" s="277"/>
      <c r="U158" s="277"/>
      <c r="V158" s="277"/>
      <c r="W158" s="277"/>
      <c r="X158" s="277"/>
      <c r="Y158" s="277"/>
      <c r="Z158" s="277"/>
    </row>
    <row r="159" ht="12.75" customHeight="1">
      <c r="A159" s="277"/>
      <c r="B159" s="278"/>
      <c r="C159" s="279"/>
      <c r="D159" s="277"/>
      <c r="E159" s="277"/>
      <c r="F159" s="277"/>
      <c r="G159" s="277"/>
      <c r="H159" s="277"/>
      <c r="I159" s="277"/>
      <c r="J159" s="277"/>
      <c r="K159" s="409"/>
      <c r="L159" s="477"/>
      <c r="M159" s="277"/>
      <c r="N159" s="277"/>
      <c r="O159" s="277"/>
      <c r="P159" s="277"/>
      <c r="Q159" s="277"/>
      <c r="R159" s="277"/>
      <c r="S159" s="277"/>
      <c r="T159" s="277"/>
      <c r="U159" s="277"/>
      <c r="V159" s="277"/>
      <c r="W159" s="277"/>
      <c r="X159" s="277"/>
      <c r="Y159" s="277"/>
      <c r="Z159" s="277"/>
    </row>
    <row r="160" ht="12.75" customHeight="1">
      <c r="A160" s="277"/>
      <c r="B160" s="278"/>
      <c r="C160" s="279"/>
      <c r="D160" s="277"/>
      <c r="E160" s="277"/>
      <c r="F160" s="277"/>
      <c r="G160" s="277"/>
      <c r="H160" s="277"/>
      <c r="I160" s="277"/>
      <c r="J160" s="277"/>
      <c r="K160" s="409"/>
      <c r="L160" s="477"/>
      <c r="M160" s="277"/>
      <c r="N160" s="277"/>
      <c r="O160" s="277"/>
      <c r="P160" s="277"/>
      <c r="Q160" s="277"/>
      <c r="R160" s="277"/>
      <c r="S160" s="277"/>
      <c r="T160" s="277"/>
      <c r="U160" s="277"/>
      <c r="V160" s="277"/>
      <c r="W160" s="277"/>
      <c r="X160" s="277"/>
      <c r="Y160" s="277"/>
      <c r="Z160" s="277"/>
    </row>
    <row r="161" ht="12.75" customHeight="1">
      <c r="A161" s="277"/>
      <c r="B161" s="278"/>
      <c r="C161" s="279"/>
      <c r="D161" s="277"/>
      <c r="E161" s="277"/>
      <c r="F161" s="277"/>
      <c r="G161" s="277"/>
      <c r="H161" s="277"/>
      <c r="I161" s="277"/>
      <c r="J161" s="277"/>
      <c r="K161" s="409"/>
      <c r="L161" s="477"/>
      <c r="M161" s="277"/>
      <c r="N161" s="277"/>
      <c r="O161" s="277"/>
      <c r="P161" s="277"/>
      <c r="Q161" s="277"/>
      <c r="R161" s="277"/>
      <c r="S161" s="277"/>
      <c r="T161" s="277"/>
      <c r="U161" s="277"/>
      <c r="V161" s="277"/>
      <c r="W161" s="277"/>
      <c r="X161" s="277"/>
      <c r="Y161" s="277"/>
      <c r="Z161" s="277"/>
    </row>
    <row r="162" ht="12.75" customHeight="1">
      <c r="A162" s="277"/>
      <c r="B162" s="278"/>
      <c r="C162" s="279"/>
      <c r="D162" s="277"/>
      <c r="E162" s="277"/>
      <c r="F162" s="277"/>
      <c r="G162" s="277"/>
      <c r="H162" s="277"/>
      <c r="I162" s="277"/>
      <c r="J162" s="277"/>
      <c r="K162" s="409"/>
      <c r="L162" s="477"/>
      <c r="M162" s="277"/>
      <c r="N162" s="277"/>
      <c r="O162" s="277"/>
      <c r="P162" s="277"/>
      <c r="Q162" s="277"/>
      <c r="R162" s="277"/>
      <c r="S162" s="277"/>
      <c r="T162" s="277"/>
      <c r="U162" s="277"/>
      <c r="V162" s="277"/>
      <c r="W162" s="277"/>
      <c r="X162" s="277"/>
      <c r="Y162" s="277"/>
      <c r="Z162" s="277"/>
    </row>
    <row r="163" ht="12.75" customHeight="1">
      <c r="A163" s="277"/>
      <c r="B163" s="278"/>
      <c r="C163" s="279"/>
      <c r="D163" s="277"/>
      <c r="E163" s="277"/>
      <c r="F163" s="277"/>
      <c r="G163" s="277"/>
      <c r="H163" s="277"/>
      <c r="I163" s="277"/>
      <c r="J163" s="277"/>
      <c r="K163" s="409"/>
      <c r="L163" s="477"/>
      <c r="M163" s="277"/>
      <c r="N163" s="277"/>
      <c r="O163" s="277"/>
      <c r="P163" s="277"/>
      <c r="Q163" s="277"/>
      <c r="R163" s="277"/>
      <c r="S163" s="277"/>
      <c r="T163" s="277"/>
      <c r="U163" s="277"/>
      <c r="V163" s="277"/>
      <c r="W163" s="277"/>
      <c r="X163" s="277"/>
      <c r="Y163" s="277"/>
      <c r="Z163" s="277"/>
    </row>
    <row r="164" ht="12.75" customHeight="1">
      <c r="A164" s="277"/>
      <c r="B164" s="278"/>
      <c r="C164" s="279"/>
      <c r="D164" s="277"/>
      <c r="E164" s="277"/>
      <c r="F164" s="277"/>
      <c r="G164" s="277"/>
      <c r="H164" s="277"/>
      <c r="I164" s="277"/>
      <c r="J164" s="277"/>
      <c r="K164" s="409"/>
      <c r="L164" s="477"/>
      <c r="M164" s="277"/>
      <c r="N164" s="277"/>
      <c r="O164" s="277"/>
      <c r="P164" s="277"/>
      <c r="Q164" s="277"/>
      <c r="R164" s="277"/>
      <c r="S164" s="277"/>
      <c r="T164" s="277"/>
      <c r="U164" s="277"/>
      <c r="V164" s="277"/>
      <c r="W164" s="277"/>
      <c r="X164" s="277"/>
      <c r="Y164" s="277"/>
      <c r="Z164" s="277"/>
    </row>
    <row r="165" ht="12.75" customHeight="1">
      <c r="A165" s="277"/>
      <c r="B165" s="278"/>
      <c r="C165" s="279"/>
      <c r="D165" s="277"/>
      <c r="E165" s="277"/>
      <c r="F165" s="277"/>
      <c r="G165" s="277"/>
      <c r="H165" s="277"/>
      <c r="I165" s="277"/>
      <c r="J165" s="277"/>
      <c r="K165" s="409"/>
      <c r="L165" s="477"/>
      <c r="M165" s="277"/>
      <c r="N165" s="277"/>
      <c r="O165" s="277"/>
      <c r="P165" s="277"/>
      <c r="Q165" s="277"/>
      <c r="R165" s="277"/>
      <c r="S165" s="277"/>
      <c r="T165" s="277"/>
      <c r="U165" s="277"/>
      <c r="V165" s="277"/>
      <c r="W165" s="277"/>
      <c r="X165" s="277"/>
      <c r="Y165" s="277"/>
      <c r="Z165" s="277"/>
    </row>
    <row r="166" ht="12.75" customHeight="1">
      <c r="A166" s="277"/>
      <c r="B166" s="278"/>
      <c r="C166" s="279"/>
      <c r="D166" s="277"/>
      <c r="E166" s="277"/>
      <c r="F166" s="277"/>
      <c r="G166" s="277"/>
      <c r="H166" s="277"/>
      <c r="I166" s="277"/>
      <c r="J166" s="277"/>
      <c r="K166" s="409"/>
      <c r="L166" s="477"/>
      <c r="M166" s="277"/>
      <c r="N166" s="277"/>
      <c r="O166" s="277"/>
      <c r="P166" s="277"/>
      <c r="Q166" s="277"/>
      <c r="R166" s="277"/>
      <c r="S166" s="277"/>
      <c r="T166" s="277"/>
      <c r="U166" s="277"/>
      <c r="V166" s="277"/>
      <c r="W166" s="277"/>
      <c r="X166" s="277"/>
      <c r="Y166" s="277"/>
      <c r="Z166" s="277"/>
    </row>
    <row r="167" ht="12.75" customHeight="1">
      <c r="A167" s="277"/>
      <c r="B167" s="278"/>
      <c r="C167" s="279"/>
      <c r="D167" s="277"/>
      <c r="E167" s="277"/>
      <c r="F167" s="277"/>
      <c r="G167" s="277"/>
      <c r="H167" s="277"/>
      <c r="I167" s="277"/>
      <c r="J167" s="277"/>
      <c r="K167" s="409"/>
      <c r="L167" s="477"/>
      <c r="M167" s="277"/>
      <c r="N167" s="277"/>
      <c r="O167" s="277"/>
      <c r="P167" s="277"/>
      <c r="Q167" s="277"/>
      <c r="R167" s="277"/>
      <c r="S167" s="277"/>
      <c r="T167" s="277"/>
      <c r="U167" s="277"/>
      <c r="V167" s="277"/>
      <c r="W167" s="277"/>
      <c r="X167" s="277"/>
      <c r="Y167" s="277"/>
      <c r="Z167" s="277"/>
    </row>
    <row r="168" ht="12.75" customHeight="1">
      <c r="A168" s="277"/>
      <c r="B168" s="278"/>
      <c r="C168" s="279"/>
      <c r="D168" s="277"/>
      <c r="E168" s="277"/>
      <c r="F168" s="277"/>
      <c r="G168" s="277"/>
      <c r="H168" s="277"/>
      <c r="I168" s="277"/>
      <c r="J168" s="277"/>
      <c r="K168" s="409"/>
      <c r="L168" s="477"/>
      <c r="M168" s="277"/>
      <c r="N168" s="277"/>
      <c r="O168" s="277"/>
      <c r="P168" s="277"/>
      <c r="Q168" s="277"/>
      <c r="R168" s="277"/>
      <c r="S168" s="277"/>
      <c r="T168" s="277"/>
      <c r="U168" s="277"/>
      <c r="V168" s="277"/>
      <c r="W168" s="277"/>
      <c r="X168" s="277"/>
      <c r="Y168" s="277"/>
      <c r="Z168" s="277"/>
    </row>
    <row r="169" ht="12.75" customHeight="1">
      <c r="A169" s="277"/>
      <c r="B169" s="278"/>
      <c r="C169" s="279"/>
      <c r="D169" s="277"/>
      <c r="E169" s="277"/>
      <c r="F169" s="277"/>
      <c r="G169" s="277"/>
      <c r="H169" s="277"/>
      <c r="I169" s="277"/>
      <c r="J169" s="277"/>
      <c r="K169" s="409"/>
      <c r="L169" s="477"/>
      <c r="M169" s="277"/>
      <c r="N169" s="277"/>
      <c r="O169" s="277"/>
      <c r="P169" s="277"/>
      <c r="Q169" s="277"/>
      <c r="R169" s="277"/>
      <c r="S169" s="277"/>
      <c r="T169" s="277"/>
      <c r="U169" s="277"/>
      <c r="V169" s="277"/>
      <c r="W169" s="277"/>
      <c r="X169" s="277"/>
      <c r="Y169" s="277"/>
      <c r="Z169" s="277"/>
    </row>
    <row r="170" ht="12.75" customHeight="1">
      <c r="A170" s="277"/>
      <c r="B170" s="278"/>
      <c r="C170" s="279"/>
      <c r="D170" s="277"/>
      <c r="E170" s="277"/>
      <c r="F170" s="277"/>
      <c r="G170" s="277"/>
      <c r="H170" s="277"/>
      <c r="I170" s="277"/>
      <c r="J170" s="277"/>
      <c r="K170" s="409"/>
      <c r="L170" s="477"/>
      <c r="M170" s="277"/>
      <c r="N170" s="277"/>
      <c r="O170" s="277"/>
      <c r="P170" s="277"/>
      <c r="Q170" s="277"/>
      <c r="R170" s="277"/>
      <c r="S170" s="277"/>
      <c r="T170" s="277"/>
      <c r="U170" s="277"/>
      <c r="V170" s="277"/>
      <c r="W170" s="277"/>
      <c r="X170" s="277"/>
      <c r="Y170" s="277"/>
      <c r="Z170" s="277"/>
    </row>
    <row r="171" ht="12.75" customHeight="1">
      <c r="A171" s="277"/>
      <c r="B171" s="278"/>
      <c r="C171" s="279"/>
      <c r="D171" s="277"/>
      <c r="E171" s="277"/>
      <c r="F171" s="277"/>
      <c r="G171" s="277"/>
      <c r="H171" s="277"/>
      <c r="I171" s="277"/>
      <c r="J171" s="277"/>
      <c r="K171" s="409"/>
      <c r="L171" s="477"/>
      <c r="M171" s="277"/>
      <c r="N171" s="277"/>
      <c r="O171" s="277"/>
      <c r="P171" s="277"/>
      <c r="Q171" s="277"/>
      <c r="R171" s="277"/>
      <c r="S171" s="277"/>
      <c r="T171" s="277"/>
      <c r="U171" s="277"/>
      <c r="V171" s="277"/>
      <c r="W171" s="277"/>
      <c r="X171" s="277"/>
      <c r="Y171" s="277"/>
      <c r="Z171" s="277"/>
    </row>
    <row r="172" ht="12.75" customHeight="1">
      <c r="A172" s="277"/>
      <c r="B172" s="278"/>
      <c r="C172" s="279"/>
      <c r="D172" s="277"/>
      <c r="E172" s="277"/>
      <c r="F172" s="277"/>
      <c r="G172" s="277"/>
      <c r="H172" s="277"/>
      <c r="I172" s="277"/>
      <c r="J172" s="277"/>
      <c r="K172" s="409"/>
      <c r="L172" s="477"/>
      <c r="M172" s="277"/>
      <c r="N172" s="277"/>
      <c r="O172" s="277"/>
      <c r="P172" s="277"/>
      <c r="Q172" s="277"/>
      <c r="R172" s="277"/>
      <c r="S172" s="277"/>
      <c r="T172" s="277"/>
      <c r="U172" s="277"/>
      <c r="V172" s="277"/>
      <c r="W172" s="277"/>
      <c r="X172" s="277"/>
      <c r="Y172" s="277"/>
      <c r="Z172" s="277"/>
    </row>
    <row r="173" ht="12.75" customHeight="1">
      <c r="A173" s="277"/>
      <c r="B173" s="278"/>
      <c r="C173" s="279"/>
      <c r="D173" s="277"/>
      <c r="E173" s="277"/>
      <c r="F173" s="277"/>
      <c r="G173" s="277"/>
      <c r="H173" s="277"/>
      <c r="I173" s="277"/>
      <c r="J173" s="277"/>
      <c r="K173" s="409"/>
      <c r="L173" s="477"/>
      <c r="M173" s="277"/>
      <c r="N173" s="277"/>
      <c r="O173" s="277"/>
      <c r="P173" s="277"/>
      <c r="Q173" s="277"/>
      <c r="R173" s="277"/>
      <c r="S173" s="277"/>
      <c r="T173" s="277"/>
      <c r="U173" s="277"/>
      <c r="V173" s="277"/>
      <c r="W173" s="277"/>
      <c r="X173" s="277"/>
      <c r="Y173" s="277"/>
      <c r="Z173" s="277"/>
    </row>
    <row r="174" ht="12.75" customHeight="1">
      <c r="A174" s="277"/>
      <c r="B174" s="278"/>
      <c r="C174" s="279"/>
      <c r="D174" s="277"/>
      <c r="E174" s="277"/>
      <c r="F174" s="277"/>
      <c r="G174" s="277"/>
      <c r="H174" s="277"/>
      <c r="I174" s="277"/>
      <c r="J174" s="277"/>
      <c r="K174" s="409"/>
      <c r="L174" s="477"/>
      <c r="M174" s="277"/>
      <c r="N174" s="277"/>
      <c r="O174" s="277"/>
      <c r="P174" s="277"/>
      <c r="Q174" s="277"/>
      <c r="R174" s="277"/>
      <c r="S174" s="277"/>
      <c r="T174" s="277"/>
      <c r="U174" s="277"/>
      <c r="V174" s="277"/>
      <c r="W174" s="277"/>
      <c r="X174" s="277"/>
      <c r="Y174" s="277"/>
      <c r="Z174" s="277"/>
    </row>
    <row r="175" ht="12.75" customHeight="1">
      <c r="A175" s="277"/>
      <c r="B175" s="278"/>
      <c r="C175" s="279"/>
      <c r="D175" s="277"/>
      <c r="E175" s="277"/>
      <c r="F175" s="277"/>
      <c r="G175" s="277"/>
      <c r="H175" s="277"/>
      <c r="I175" s="277"/>
      <c r="J175" s="277"/>
      <c r="K175" s="409"/>
      <c r="L175" s="477"/>
      <c r="M175" s="277"/>
      <c r="N175" s="277"/>
      <c r="O175" s="277"/>
      <c r="P175" s="277"/>
      <c r="Q175" s="277"/>
      <c r="R175" s="277"/>
      <c r="S175" s="277"/>
      <c r="T175" s="277"/>
      <c r="U175" s="277"/>
      <c r="V175" s="277"/>
      <c r="W175" s="277"/>
      <c r="X175" s="277"/>
      <c r="Y175" s="277"/>
      <c r="Z175" s="277"/>
    </row>
    <row r="176" ht="12.75" customHeight="1">
      <c r="A176" s="277"/>
      <c r="B176" s="278"/>
      <c r="C176" s="279"/>
      <c r="D176" s="277"/>
      <c r="E176" s="277"/>
      <c r="F176" s="277"/>
      <c r="G176" s="277"/>
      <c r="H176" s="277"/>
      <c r="I176" s="277"/>
      <c r="J176" s="277"/>
      <c r="K176" s="409"/>
      <c r="L176" s="477"/>
      <c r="M176" s="277"/>
      <c r="N176" s="277"/>
      <c r="O176" s="277"/>
      <c r="P176" s="277"/>
      <c r="Q176" s="277"/>
      <c r="R176" s="277"/>
      <c r="S176" s="277"/>
      <c r="T176" s="277"/>
      <c r="U176" s="277"/>
      <c r="V176" s="277"/>
      <c r="W176" s="277"/>
      <c r="X176" s="277"/>
      <c r="Y176" s="277"/>
      <c r="Z176" s="277"/>
    </row>
    <row r="177" ht="12.75" customHeight="1">
      <c r="A177" s="277"/>
      <c r="B177" s="278"/>
      <c r="C177" s="279"/>
      <c r="D177" s="277"/>
      <c r="E177" s="277"/>
      <c r="F177" s="277"/>
      <c r="G177" s="277"/>
      <c r="H177" s="277"/>
      <c r="I177" s="277"/>
      <c r="J177" s="277"/>
      <c r="K177" s="409"/>
      <c r="L177" s="477"/>
      <c r="M177" s="277"/>
      <c r="N177" s="277"/>
      <c r="O177" s="277"/>
      <c r="P177" s="277"/>
      <c r="Q177" s="277"/>
      <c r="R177" s="277"/>
      <c r="S177" s="277"/>
      <c r="T177" s="277"/>
      <c r="U177" s="277"/>
      <c r="V177" s="277"/>
      <c r="W177" s="277"/>
      <c r="X177" s="277"/>
      <c r="Y177" s="277"/>
      <c r="Z177" s="277"/>
    </row>
    <row r="178" ht="12.75" customHeight="1">
      <c r="A178" s="277"/>
      <c r="B178" s="278"/>
      <c r="C178" s="279"/>
      <c r="D178" s="277"/>
      <c r="E178" s="277"/>
      <c r="F178" s="277"/>
      <c r="G178" s="277"/>
      <c r="H178" s="277"/>
      <c r="I178" s="277"/>
      <c r="J178" s="277"/>
      <c r="K178" s="409"/>
      <c r="L178" s="477"/>
      <c r="M178" s="277"/>
      <c r="N178" s="277"/>
      <c r="O178" s="277"/>
      <c r="P178" s="277"/>
      <c r="Q178" s="277"/>
      <c r="R178" s="277"/>
      <c r="S178" s="277"/>
      <c r="T178" s="277"/>
      <c r="U178" s="277"/>
      <c r="V178" s="277"/>
      <c r="W178" s="277"/>
      <c r="X178" s="277"/>
      <c r="Y178" s="277"/>
      <c r="Z178" s="277"/>
    </row>
    <row r="179" ht="12.75" customHeight="1">
      <c r="A179" s="277"/>
      <c r="B179" s="278"/>
      <c r="C179" s="279"/>
      <c r="D179" s="277"/>
      <c r="E179" s="277"/>
      <c r="F179" s="277"/>
      <c r="G179" s="277"/>
      <c r="H179" s="277"/>
      <c r="I179" s="277"/>
      <c r="J179" s="277"/>
      <c r="K179" s="409"/>
      <c r="L179" s="477"/>
      <c r="M179" s="277"/>
      <c r="N179" s="277"/>
      <c r="O179" s="277"/>
      <c r="P179" s="277"/>
      <c r="Q179" s="277"/>
      <c r="R179" s="277"/>
      <c r="S179" s="277"/>
      <c r="T179" s="277"/>
      <c r="U179" s="277"/>
      <c r="V179" s="277"/>
      <c r="W179" s="277"/>
      <c r="X179" s="277"/>
      <c r="Y179" s="277"/>
      <c r="Z179" s="277"/>
    </row>
    <row r="180" ht="12.75" customHeight="1">
      <c r="A180" s="277"/>
      <c r="B180" s="278"/>
      <c r="C180" s="279"/>
      <c r="D180" s="277"/>
      <c r="E180" s="277"/>
      <c r="F180" s="277"/>
      <c r="G180" s="277"/>
      <c r="H180" s="277"/>
      <c r="I180" s="277"/>
      <c r="J180" s="277"/>
      <c r="K180" s="409"/>
      <c r="L180" s="477"/>
      <c r="M180" s="277"/>
      <c r="N180" s="277"/>
      <c r="O180" s="277"/>
      <c r="P180" s="277"/>
      <c r="Q180" s="277"/>
      <c r="R180" s="277"/>
      <c r="S180" s="277"/>
      <c r="T180" s="277"/>
      <c r="U180" s="277"/>
      <c r="V180" s="277"/>
      <c r="W180" s="277"/>
      <c r="X180" s="277"/>
      <c r="Y180" s="277"/>
      <c r="Z180" s="277"/>
    </row>
    <row r="181" ht="12.75" customHeight="1">
      <c r="A181" s="277"/>
      <c r="B181" s="278"/>
      <c r="C181" s="279"/>
      <c r="D181" s="277"/>
      <c r="E181" s="277"/>
      <c r="F181" s="277"/>
      <c r="G181" s="277"/>
      <c r="H181" s="277"/>
      <c r="I181" s="277"/>
      <c r="J181" s="277"/>
      <c r="K181" s="409"/>
      <c r="L181" s="477"/>
      <c r="M181" s="277"/>
      <c r="N181" s="277"/>
      <c r="O181" s="277"/>
      <c r="P181" s="277"/>
      <c r="Q181" s="277"/>
      <c r="R181" s="277"/>
      <c r="S181" s="277"/>
      <c r="T181" s="277"/>
      <c r="U181" s="277"/>
      <c r="V181" s="277"/>
      <c r="W181" s="277"/>
      <c r="X181" s="277"/>
      <c r="Y181" s="277"/>
      <c r="Z181" s="277"/>
    </row>
    <row r="182" ht="12.75" customHeight="1">
      <c r="A182" s="277"/>
      <c r="B182" s="278"/>
      <c r="C182" s="279"/>
      <c r="D182" s="277"/>
      <c r="E182" s="277"/>
      <c r="F182" s="277"/>
      <c r="G182" s="277"/>
      <c r="H182" s="277"/>
      <c r="I182" s="277"/>
      <c r="J182" s="277"/>
      <c r="K182" s="409"/>
      <c r="L182" s="477"/>
      <c r="M182" s="277"/>
      <c r="N182" s="277"/>
      <c r="O182" s="277"/>
      <c r="P182" s="277"/>
      <c r="Q182" s="277"/>
      <c r="R182" s="277"/>
      <c r="S182" s="277"/>
      <c r="T182" s="277"/>
      <c r="U182" s="277"/>
      <c r="V182" s="277"/>
      <c r="W182" s="277"/>
      <c r="X182" s="277"/>
      <c r="Y182" s="277"/>
      <c r="Z182" s="277"/>
    </row>
    <row r="183" ht="12.75" customHeight="1">
      <c r="A183" s="277"/>
      <c r="B183" s="278"/>
      <c r="C183" s="279"/>
      <c r="D183" s="277"/>
      <c r="E183" s="277"/>
      <c r="F183" s="277"/>
      <c r="G183" s="277"/>
      <c r="H183" s="277"/>
      <c r="I183" s="277"/>
      <c r="J183" s="277"/>
      <c r="K183" s="409"/>
      <c r="L183" s="477"/>
      <c r="M183" s="277"/>
      <c r="N183" s="277"/>
      <c r="O183" s="277"/>
      <c r="P183" s="277"/>
      <c r="Q183" s="277"/>
      <c r="R183" s="277"/>
      <c r="S183" s="277"/>
      <c r="T183" s="277"/>
      <c r="U183" s="277"/>
      <c r="V183" s="277"/>
      <c r="W183" s="277"/>
      <c r="X183" s="277"/>
      <c r="Y183" s="277"/>
      <c r="Z183" s="277"/>
    </row>
    <row r="184" ht="12.75" customHeight="1">
      <c r="A184" s="277"/>
      <c r="B184" s="278"/>
      <c r="C184" s="279"/>
      <c r="D184" s="277"/>
      <c r="E184" s="277"/>
      <c r="F184" s="277"/>
      <c r="G184" s="277"/>
      <c r="H184" s="277"/>
      <c r="I184" s="277"/>
      <c r="J184" s="277"/>
      <c r="K184" s="409"/>
      <c r="L184" s="477"/>
      <c r="M184" s="277"/>
      <c r="N184" s="277"/>
      <c r="O184" s="277"/>
      <c r="P184" s="277"/>
      <c r="Q184" s="277"/>
      <c r="R184" s="277"/>
      <c r="S184" s="277"/>
      <c r="T184" s="277"/>
      <c r="U184" s="277"/>
      <c r="V184" s="277"/>
      <c r="W184" s="277"/>
      <c r="X184" s="277"/>
      <c r="Y184" s="277"/>
      <c r="Z184" s="277"/>
    </row>
    <row r="185" ht="12.75" customHeight="1">
      <c r="A185" s="277"/>
      <c r="B185" s="278"/>
      <c r="C185" s="279"/>
      <c r="D185" s="277"/>
      <c r="E185" s="277"/>
      <c r="F185" s="277"/>
      <c r="G185" s="277"/>
      <c r="H185" s="277"/>
      <c r="I185" s="277"/>
      <c r="J185" s="277"/>
      <c r="K185" s="409"/>
      <c r="L185" s="477"/>
      <c r="M185" s="277"/>
      <c r="N185" s="277"/>
      <c r="O185" s="277"/>
      <c r="P185" s="277"/>
      <c r="Q185" s="277"/>
      <c r="R185" s="277"/>
      <c r="S185" s="277"/>
      <c r="T185" s="277"/>
      <c r="U185" s="277"/>
      <c r="V185" s="277"/>
      <c r="W185" s="277"/>
      <c r="X185" s="277"/>
      <c r="Y185" s="277"/>
      <c r="Z185" s="277"/>
    </row>
    <row r="186" ht="12.75" customHeight="1">
      <c r="A186" s="277"/>
      <c r="B186" s="278"/>
      <c r="C186" s="279"/>
      <c r="D186" s="277"/>
      <c r="E186" s="277"/>
      <c r="F186" s="277"/>
      <c r="G186" s="277"/>
      <c r="H186" s="277"/>
      <c r="I186" s="277"/>
      <c r="J186" s="277"/>
      <c r="K186" s="409"/>
      <c r="L186" s="477"/>
      <c r="M186" s="277"/>
      <c r="N186" s="277"/>
      <c r="O186" s="277"/>
      <c r="P186" s="277"/>
      <c r="Q186" s="277"/>
      <c r="R186" s="277"/>
      <c r="S186" s="277"/>
      <c r="T186" s="277"/>
      <c r="U186" s="277"/>
      <c r="V186" s="277"/>
      <c r="W186" s="277"/>
      <c r="X186" s="277"/>
      <c r="Y186" s="277"/>
      <c r="Z186" s="277"/>
    </row>
    <row r="187" ht="12.75" customHeight="1">
      <c r="A187" s="277"/>
      <c r="B187" s="278"/>
      <c r="C187" s="279"/>
      <c r="D187" s="277"/>
      <c r="E187" s="277"/>
      <c r="F187" s="277"/>
      <c r="G187" s="277"/>
      <c r="H187" s="277"/>
      <c r="I187" s="277"/>
      <c r="J187" s="277"/>
      <c r="K187" s="409"/>
      <c r="L187" s="477"/>
      <c r="M187" s="277"/>
      <c r="N187" s="277"/>
      <c r="O187" s="277"/>
      <c r="P187" s="277"/>
      <c r="Q187" s="277"/>
      <c r="R187" s="277"/>
      <c r="S187" s="277"/>
      <c r="T187" s="277"/>
      <c r="U187" s="277"/>
      <c r="V187" s="277"/>
      <c r="W187" s="277"/>
      <c r="X187" s="277"/>
      <c r="Y187" s="277"/>
      <c r="Z187" s="277"/>
    </row>
    <row r="188" ht="12.75" customHeight="1">
      <c r="A188" s="277"/>
      <c r="B188" s="278"/>
      <c r="C188" s="279"/>
      <c r="D188" s="277"/>
      <c r="E188" s="277"/>
      <c r="F188" s="277"/>
      <c r="G188" s="277"/>
      <c r="H188" s="277"/>
      <c r="I188" s="277"/>
      <c r="J188" s="277"/>
      <c r="K188" s="409"/>
      <c r="L188" s="477"/>
      <c r="M188" s="277"/>
      <c r="N188" s="277"/>
      <c r="O188" s="277"/>
      <c r="P188" s="277"/>
      <c r="Q188" s="277"/>
      <c r="R188" s="277"/>
      <c r="S188" s="277"/>
      <c r="T188" s="277"/>
      <c r="U188" s="277"/>
      <c r="V188" s="277"/>
      <c r="W188" s="277"/>
      <c r="X188" s="277"/>
      <c r="Y188" s="277"/>
      <c r="Z188" s="277"/>
    </row>
    <row r="189" ht="12.75" customHeight="1">
      <c r="A189" s="277"/>
      <c r="B189" s="278"/>
      <c r="C189" s="279"/>
      <c r="D189" s="277"/>
      <c r="E189" s="277"/>
      <c r="F189" s="277"/>
      <c r="G189" s="277"/>
      <c r="H189" s="277"/>
      <c r="I189" s="277"/>
      <c r="J189" s="277"/>
      <c r="K189" s="409"/>
      <c r="L189" s="477"/>
      <c r="M189" s="277"/>
      <c r="N189" s="277"/>
      <c r="O189" s="277"/>
      <c r="P189" s="277"/>
      <c r="Q189" s="277"/>
      <c r="R189" s="277"/>
      <c r="S189" s="277"/>
      <c r="T189" s="277"/>
      <c r="U189" s="277"/>
      <c r="V189" s="277"/>
      <c r="W189" s="277"/>
      <c r="X189" s="277"/>
      <c r="Y189" s="277"/>
      <c r="Z189" s="277"/>
    </row>
    <row r="190" ht="12.75" customHeight="1">
      <c r="A190" s="277"/>
      <c r="B190" s="278"/>
      <c r="C190" s="279"/>
      <c r="D190" s="277"/>
      <c r="E190" s="277"/>
      <c r="F190" s="277"/>
      <c r="G190" s="277"/>
      <c r="H190" s="277"/>
      <c r="I190" s="277"/>
      <c r="J190" s="277"/>
      <c r="K190" s="409"/>
      <c r="L190" s="477"/>
      <c r="M190" s="277"/>
      <c r="N190" s="277"/>
      <c r="O190" s="277"/>
      <c r="P190" s="277"/>
      <c r="Q190" s="277"/>
      <c r="R190" s="277"/>
      <c r="S190" s="277"/>
      <c r="T190" s="277"/>
      <c r="U190" s="277"/>
      <c r="V190" s="277"/>
      <c r="W190" s="277"/>
      <c r="X190" s="277"/>
      <c r="Y190" s="277"/>
      <c r="Z190" s="277"/>
    </row>
    <row r="191" ht="12.75" customHeight="1">
      <c r="A191" s="277"/>
      <c r="B191" s="278"/>
      <c r="C191" s="279"/>
      <c r="D191" s="277"/>
      <c r="E191" s="277"/>
      <c r="F191" s="277"/>
      <c r="G191" s="277"/>
      <c r="H191" s="277"/>
      <c r="I191" s="277"/>
      <c r="J191" s="277"/>
      <c r="K191" s="409"/>
      <c r="L191" s="477"/>
      <c r="M191" s="277"/>
      <c r="N191" s="277"/>
      <c r="O191" s="277"/>
      <c r="P191" s="277"/>
      <c r="Q191" s="277"/>
      <c r="R191" s="277"/>
      <c r="S191" s="277"/>
      <c r="T191" s="277"/>
      <c r="U191" s="277"/>
      <c r="V191" s="277"/>
      <c r="W191" s="277"/>
      <c r="X191" s="277"/>
      <c r="Y191" s="277"/>
      <c r="Z191" s="277"/>
    </row>
    <row r="192" ht="12.75" customHeight="1">
      <c r="A192" s="277"/>
      <c r="B192" s="278"/>
      <c r="C192" s="279"/>
      <c r="D192" s="277"/>
      <c r="E192" s="277"/>
      <c r="F192" s="277"/>
      <c r="G192" s="277"/>
      <c r="H192" s="277"/>
      <c r="I192" s="277"/>
      <c r="J192" s="277"/>
      <c r="K192" s="409"/>
      <c r="L192" s="477"/>
      <c r="M192" s="277"/>
      <c r="N192" s="277"/>
      <c r="O192" s="277"/>
      <c r="P192" s="277"/>
      <c r="Q192" s="277"/>
      <c r="R192" s="277"/>
      <c r="S192" s="277"/>
      <c r="T192" s="277"/>
      <c r="U192" s="277"/>
      <c r="V192" s="277"/>
      <c r="W192" s="277"/>
      <c r="X192" s="277"/>
      <c r="Y192" s="277"/>
      <c r="Z192" s="277"/>
    </row>
    <row r="193" ht="12.75" customHeight="1">
      <c r="A193" s="277"/>
      <c r="B193" s="278"/>
      <c r="C193" s="279"/>
      <c r="D193" s="277"/>
      <c r="E193" s="277"/>
      <c r="F193" s="277"/>
      <c r="G193" s="277"/>
      <c r="H193" s="277"/>
      <c r="I193" s="277"/>
      <c r="J193" s="277"/>
      <c r="K193" s="409"/>
      <c r="L193" s="477"/>
      <c r="M193" s="277"/>
      <c r="N193" s="277"/>
      <c r="O193" s="277"/>
      <c r="P193" s="277"/>
      <c r="Q193" s="277"/>
      <c r="R193" s="277"/>
      <c r="S193" s="277"/>
      <c r="T193" s="277"/>
      <c r="U193" s="277"/>
      <c r="V193" s="277"/>
      <c r="W193" s="277"/>
      <c r="X193" s="277"/>
      <c r="Y193" s="277"/>
      <c r="Z193" s="277"/>
    </row>
    <row r="194" ht="12.75" customHeight="1">
      <c r="A194" s="277"/>
      <c r="B194" s="278"/>
      <c r="C194" s="279"/>
      <c r="D194" s="277"/>
      <c r="E194" s="277"/>
      <c r="F194" s="277"/>
      <c r="G194" s="277"/>
      <c r="H194" s="277"/>
      <c r="I194" s="277"/>
      <c r="J194" s="277"/>
      <c r="K194" s="409"/>
      <c r="L194" s="477"/>
      <c r="M194" s="277"/>
      <c r="N194" s="277"/>
      <c r="O194" s="277"/>
      <c r="P194" s="277"/>
      <c r="Q194" s="277"/>
      <c r="R194" s="277"/>
      <c r="S194" s="277"/>
      <c r="T194" s="277"/>
      <c r="U194" s="277"/>
      <c r="V194" s="277"/>
      <c r="W194" s="277"/>
      <c r="X194" s="277"/>
      <c r="Y194" s="277"/>
      <c r="Z194" s="277"/>
    </row>
    <row r="195" ht="12.75" customHeight="1">
      <c r="A195" s="277"/>
      <c r="B195" s="278"/>
      <c r="C195" s="279"/>
      <c r="D195" s="277"/>
      <c r="E195" s="277"/>
      <c r="F195" s="277"/>
      <c r="G195" s="277"/>
      <c r="H195" s="277"/>
      <c r="I195" s="277"/>
      <c r="J195" s="277"/>
      <c r="K195" s="409"/>
      <c r="L195" s="477"/>
      <c r="M195" s="277"/>
      <c r="N195" s="277"/>
      <c r="O195" s="277"/>
      <c r="P195" s="277"/>
      <c r="Q195" s="277"/>
      <c r="R195" s="277"/>
      <c r="S195" s="277"/>
      <c r="T195" s="277"/>
      <c r="U195" s="277"/>
      <c r="V195" s="277"/>
      <c r="W195" s="277"/>
      <c r="X195" s="277"/>
      <c r="Y195" s="277"/>
      <c r="Z195" s="277"/>
    </row>
    <row r="196" ht="12.75" customHeight="1">
      <c r="A196" s="277"/>
      <c r="B196" s="278"/>
      <c r="C196" s="279"/>
      <c r="D196" s="277"/>
      <c r="E196" s="277"/>
      <c r="F196" s="277"/>
      <c r="G196" s="277"/>
      <c r="H196" s="277"/>
      <c r="I196" s="277"/>
      <c r="J196" s="277"/>
      <c r="K196" s="409"/>
      <c r="L196" s="477"/>
      <c r="M196" s="277"/>
      <c r="N196" s="277"/>
      <c r="O196" s="277"/>
      <c r="P196" s="277"/>
      <c r="Q196" s="277"/>
      <c r="R196" s="277"/>
      <c r="S196" s="277"/>
      <c r="T196" s="277"/>
      <c r="U196" s="277"/>
      <c r="V196" s="277"/>
      <c r="W196" s="277"/>
      <c r="X196" s="277"/>
      <c r="Y196" s="277"/>
      <c r="Z196" s="277"/>
    </row>
    <row r="197" ht="12.75" customHeight="1">
      <c r="A197" s="277"/>
      <c r="B197" s="278"/>
      <c r="C197" s="279"/>
      <c r="D197" s="277"/>
      <c r="E197" s="277"/>
      <c r="F197" s="277"/>
      <c r="G197" s="277"/>
      <c r="H197" s="277"/>
      <c r="I197" s="277"/>
      <c r="J197" s="277"/>
      <c r="K197" s="409"/>
      <c r="L197" s="477"/>
      <c r="M197" s="277"/>
      <c r="N197" s="277"/>
      <c r="O197" s="277"/>
      <c r="P197" s="277"/>
      <c r="Q197" s="277"/>
      <c r="R197" s="277"/>
      <c r="S197" s="277"/>
      <c r="T197" s="277"/>
      <c r="U197" s="277"/>
      <c r="V197" s="277"/>
      <c r="W197" s="277"/>
      <c r="X197" s="277"/>
      <c r="Y197" s="277"/>
      <c r="Z197" s="277"/>
    </row>
    <row r="198" ht="12.75" customHeight="1">
      <c r="A198" s="277"/>
      <c r="B198" s="278"/>
      <c r="C198" s="279"/>
      <c r="D198" s="277"/>
      <c r="E198" s="277"/>
      <c r="F198" s="277"/>
      <c r="G198" s="277"/>
      <c r="H198" s="277"/>
      <c r="I198" s="277"/>
      <c r="J198" s="277"/>
      <c r="K198" s="409"/>
      <c r="L198" s="477"/>
      <c r="M198" s="277"/>
      <c r="N198" s="277"/>
      <c r="O198" s="277"/>
      <c r="P198" s="277"/>
      <c r="Q198" s="277"/>
      <c r="R198" s="277"/>
      <c r="S198" s="277"/>
      <c r="T198" s="277"/>
      <c r="U198" s="277"/>
      <c r="V198" s="277"/>
      <c r="W198" s="277"/>
      <c r="X198" s="277"/>
      <c r="Y198" s="277"/>
      <c r="Z198" s="277"/>
    </row>
    <row r="199" ht="12.75" customHeight="1">
      <c r="A199" s="277"/>
      <c r="B199" s="278"/>
      <c r="C199" s="279"/>
      <c r="D199" s="277"/>
      <c r="E199" s="277"/>
      <c r="F199" s="277"/>
      <c r="G199" s="277"/>
      <c r="H199" s="277"/>
      <c r="I199" s="277"/>
      <c r="J199" s="277"/>
      <c r="K199" s="409"/>
      <c r="L199" s="477"/>
      <c r="M199" s="277"/>
      <c r="N199" s="277"/>
      <c r="O199" s="277"/>
      <c r="P199" s="277"/>
      <c r="Q199" s="277"/>
      <c r="R199" s="277"/>
      <c r="S199" s="277"/>
      <c r="T199" s="277"/>
      <c r="U199" s="277"/>
      <c r="V199" s="277"/>
      <c r="W199" s="277"/>
      <c r="X199" s="277"/>
      <c r="Y199" s="277"/>
      <c r="Z199" s="277"/>
    </row>
    <row r="200" ht="12.75" customHeight="1">
      <c r="A200" s="277"/>
      <c r="B200" s="278"/>
      <c r="C200" s="279"/>
      <c r="D200" s="277"/>
      <c r="E200" s="277"/>
      <c r="F200" s="277"/>
      <c r="G200" s="277"/>
      <c r="H200" s="277"/>
      <c r="I200" s="277"/>
      <c r="J200" s="277"/>
      <c r="K200" s="409"/>
      <c r="L200" s="477"/>
      <c r="M200" s="277"/>
      <c r="N200" s="277"/>
      <c r="O200" s="277"/>
      <c r="P200" s="277"/>
      <c r="Q200" s="277"/>
      <c r="R200" s="277"/>
      <c r="S200" s="277"/>
      <c r="T200" s="277"/>
      <c r="U200" s="277"/>
      <c r="V200" s="277"/>
      <c r="W200" s="277"/>
      <c r="X200" s="277"/>
      <c r="Y200" s="277"/>
      <c r="Z200" s="277"/>
    </row>
    <row r="201" ht="12.75" customHeight="1">
      <c r="A201" s="277"/>
      <c r="B201" s="278"/>
      <c r="C201" s="279"/>
      <c r="D201" s="277"/>
      <c r="E201" s="277"/>
      <c r="F201" s="277"/>
      <c r="G201" s="277"/>
      <c r="H201" s="277"/>
      <c r="I201" s="277"/>
      <c r="J201" s="277"/>
      <c r="K201" s="409"/>
      <c r="L201" s="477"/>
      <c r="M201" s="277"/>
      <c r="N201" s="277"/>
      <c r="O201" s="277"/>
      <c r="P201" s="277"/>
      <c r="Q201" s="277"/>
      <c r="R201" s="277"/>
      <c r="S201" s="277"/>
      <c r="T201" s="277"/>
      <c r="U201" s="277"/>
      <c r="V201" s="277"/>
      <c r="W201" s="277"/>
      <c r="X201" s="277"/>
      <c r="Y201" s="277"/>
      <c r="Z201" s="277"/>
    </row>
    <row r="202" ht="12.75" customHeight="1">
      <c r="A202" s="277"/>
      <c r="B202" s="278"/>
      <c r="C202" s="279"/>
      <c r="D202" s="277"/>
      <c r="E202" s="277"/>
      <c r="F202" s="277"/>
      <c r="G202" s="277"/>
      <c r="H202" s="277"/>
      <c r="I202" s="277"/>
      <c r="J202" s="277"/>
      <c r="K202" s="409"/>
      <c r="L202" s="477"/>
      <c r="M202" s="277"/>
      <c r="N202" s="277"/>
      <c r="O202" s="277"/>
      <c r="P202" s="277"/>
      <c r="Q202" s="277"/>
      <c r="R202" s="277"/>
      <c r="S202" s="277"/>
      <c r="T202" s="277"/>
      <c r="U202" s="277"/>
      <c r="V202" s="277"/>
      <c r="W202" s="277"/>
      <c r="X202" s="277"/>
      <c r="Y202" s="277"/>
      <c r="Z202" s="277"/>
    </row>
    <row r="203" ht="12.75" customHeight="1">
      <c r="A203" s="277"/>
      <c r="B203" s="278"/>
      <c r="C203" s="279"/>
      <c r="D203" s="277"/>
      <c r="E203" s="277"/>
      <c r="F203" s="277"/>
      <c r="G203" s="277"/>
      <c r="H203" s="277"/>
      <c r="I203" s="277"/>
      <c r="J203" s="277"/>
      <c r="K203" s="409"/>
      <c r="L203" s="477"/>
      <c r="M203" s="277"/>
      <c r="N203" s="277"/>
      <c r="O203" s="277"/>
      <c r="P203" s="277"/>
      <c r="Q203" s="277"/>
      <c r="R203" s="277"/>
      <c r="S203" s="277"/>
      <c r="T203" s="277"/>
      <c r="U203" s="277"/>
      <c r="V203" s="277"/>
      <c r="W203" s="277"/>
      <c r="X203" s="277"/>
      <c r="Y203" s="277"/>
      <c r="Z203" s="277"/>
    </row>
    <row r="204" ht="12.75" customHeight="1">
      <c r="A204" s="277"/>
      <c r="B204" s="278"/>
      <c r="C204" s="279"/>
      <c r="D204" s="277"/>
      <c r="E204" s="277"/>
      <c r="F204" s="277"/>
      <c r="G204" s="277"/>
      <c r="H204" s="277"/>
      <c r="I204" s="277"/>
      <c r="J204" s="277"/>
      <c r="K204" s="409"/>
      <c r="L204" s="477"/>
      <c r="M204" s="277"/>
      <c r="N204" s="277"/>
      <c r="O204" s="277"/>
      <c r="P204" s="277"/>
      <c r="Q204" s="277"/>
      <c r="R204" s="277"/>
      <c r="S204" s="277"/>
      <c r="T204" s="277"/>
      <c r="U204" s="277"/>
      <c r="V204" s="277"/>
      <c r="W204" s="277"/>
      <c r="X204" s="277"/>
      <c r="Y204" s="277"/>
      <c r="Z204" s="277"/>
    </row>
    <row r="205" ht="12.75" customHeight="1">
      <c r="A205" s="277"/>
      <c r="B205" s="278"/>
      <c r="C205" s="279"/>
      <c r="D205" s="277"/>
      <c r="E205" s="277"/>
      <c r="F205" s="277"/>
      <c r="G205" s="277"/>
      <c r="H205" s="277"/>
      <c r="I205" s="277"/>
      <c r="J205" s="277"/>
      <c r="K205" s="409"/>
      <c r="L205" s="477"/>
      <c r="M205" s="277"/>
      <c r="N205" s="277"/>
      <c r="O205" s="277"/>
      <c r="P205" s="277"/>
      <c r="Q205" s="277"/>
      <c r="R205" s="277"/>
      <c r="S205" s="277"/>
      <c r="T205" s="277"/>
      <c r="U205" s="277"/>
      <c r="V205" s="277"/>
      <c r="W205" s="277"/>
      <c r="X205" s="277"/>
      <c r="Y205" s="277"/>
      <c r="Z205" s="277"/>
    </row>
    <row r="206" ht="12.75" customHeight="1">
      <c r="A206" s="277"/>
      <c r="B206" s="278"/>
      <c r="C206" s="279"/>
      <c r="D206" s="277"/>
      <c r="E206" s="277"/>
      <c r="F206" s="277"/>
      <c r="G206" s="277"/>
      <c r="H206" s="277"/>
      <c r="I206" s="277"/>
      <c r="J206" s="277"/>
      <c r="K206" s="409"/>
      <c r="L206" s="477"/>
      <c r="M206" s="277"/>
      <c r="N206" s="277"/>
      <c r="O206" s="277"/>
      <c r="P206" s="277"/>
      <c r="Q206" s="277"/>
      <c r="R206" s="277"/>
      <c r="S206" s="277"/>
      <c r="T206" s="277"/>
      <c r="U206" s="277"/>
      <c r="V206" s="277"/>
      <c r="W206" s="277"/>
      <c r="X206" s="277"/>
      <c r="Y206" s="277"/>
      <c r="Z206" s="277"/>
    </row>
    <row r="207" ht="12.75" customHeight="1">
      <c r="A207" s="277"/>
      <c r="B207" s="278"/>
      <c r="C207" s="279"/>
      <c r="D207" s="277"/>
      <c r="E207" s="277"/>
      <c r="F207" s="277"/>
      <c r="G207" s="277"/>
      <c r="H207" s="277"/>
      <c r="I207" s="277"/>
      <c r="J207" s="277"/>
      <c r="K207" s="409"/>
      <c r="L207" s="477"/>
      <c r="M207" s="277"/>
      <c r="N207" s="277"/>
      <c r="O207" s="277"/>
      <c r="P207" s="277"/>
      <c r="Q207" s="277"/>
      <c r="R207" s="277"/>
      <c r="S207" s="277"/>
      <c r="T207" s="277"/>
      <c r="U207" s="277"/>
      <c r="V207" s="277"/>
      <c r="W207" s="277"/>
      <c r="X207" s="277"/>
      <c r="Y207" s="277"/>
      <c r="Z207" s="277"/>
    </row>
    <row r="208" ht="12.75" customHeight="1">
      <c r="A208" s="277"/>
      <c r="B208" s="278"/>
      <c r="C208" s="279"/>
      <c r="D208" s="277"/>
      <c r="E208" s="277"/>
      <c r="F208" s="277"/>
      <c r="G208" s="277"/>
      <c r="H208" s="277"/>
      <c r="I208" s="277"/>
      <c r="J208" s="277"/>
      <c r="K208" s="409"/>
      <c r="L208" s="477"/>
      <c r="M208" s="277"/>
      <c r="N208" s="277"/>
      <c r="O208" s="277"/>
      <c r="P208" s="277"/>
      <c r="Q208" s="277"/>
      <c r="R208" s="277"/>
      <c r="S208" s="277"/>
      <c r="T208" s="277"/>
      <c r="U208" s="277"/>
      <c r="V208" s="277"/>
      <c r="W208" s="277"/>
      <c r="X208" s="277"/>
      <c r="Y208" s="277"/>
      <c r="Z208" s="277"/>
    </row>
    <row r="209" ht="12.75" customHeight="1">
      <c r="A209" s="277"/>
      <c r="B209" s="278"/>
      <c r="C209" s="279"/>
      <c r="D209" s="277"/>
      <c r="E209" s="277"/>
      <c r="F209" s="277"/>
      <c r="G209" s="277"/>
      <c r="H209" s="277"/>
      <c r="I209" s="277"/>
      <c r="J209" s="277"/>
      <c r="K209" s="409"/>
      <c r="L209" s="477"/>
      <c r="M209" s="277"/>
      <c r="N209" s="277"/>
      <c r="O209" s="277"/>
      <c r="P209" s="277"/>
      <c r="Q209" s="277"/>
      <c r="R209" s="277"/>
      <c r="S209" s="277"/>
      <c r="T209" s="277"/>
      <c r="U209" s="277"/>
      <c r="V209" s="277"/>
      <c r="W209" s="277"/>
      <c r="X209" s="277"/>
      <c r="Y209" s="277"/>
      <c r="Z209" s="277"/>
    </row>
    <row r="210" ht="12.75" customHeight="1">
      <c r="A210" s="277"/>
      <c r="B210" s="278"/>
      <c r="C210" s="279"/>
      <c r="D210" s="277"/>
      <c r="E210" s="277"/>
      <c r="F210" s="277"/>
      <c r="G210" s="277"/>
      <c r="H210" s="277"/>
      <c r="I210" s="277"/>
      <c r="J210" s="277"/>
      <c r="K210" s="409"/>
      <c r="L210" s="477"/>
      <c r="M210" s="277"/>
      <c r="N210" s="277"/>
      <c r="O210" s="277"/>
      <c r="P210" s="277"/>
      <c r="Q210" s="277"/>
      <c r="R210" s="277"/>
      <c r="S210" s="277"/>
      <c r="T210" s="277"/>
      <c r="U210" s="277"/>
      <c r="V210" s="277"/>
      <c r="W210" s="277"/>
      <c r="X210" s="277"/>
      <c r="Y210" s="277"/>
      <c r="Z210" s="277"/>
    </row>
    <row r="211" ht="12.75" customHeight="1">
      <c r="A211" s="277"/>
      <c r="B211" s="278"/>
      <c r="C211" s="279"/>
      <c r="D211" s="277"/>
      <c r="E211" s="277"/>
      <c r="F211" s="277"/>
      <c r="G211" s="277"/>
      <c r="H211" s="277"/>
      <c r="I211" s="277"/>
      <c r="J211" s="277"/>
      <c r="K211" s="409"/>
      <c r="L211" s="477"/>
      <c r="M211" s="277"/>
      <c r="N211" s="277"/>
      <c r="O211" s="277"/>
      <c r="P211" s="277"/>
      <c r="Q211" s="277"/>
      <c r="R211" s="277"/>
      <c r="S211" s="277"/>
      <c r="T211" s="277"/>
      <c r="U211" s="277"/>
      <c r="V211" s="277"/>
      <c r="W211" s="277"/>
      <c r="X211" s="277"/>
      <c r="Y211" s="277"/>
      <c r="Z211" s="277"/>
    </row>
    <row r="212" ht="12.75" customHeight="1">
      <c r="A212" s="277"/>
      <c r="B212" s="278"/>
      <c r="C212" s="279"/>
      <c r="D212" s="277"/>
      <c r="E212" s="277"/>
      <c r="F212" s="277"/>
      <c r="G212" s="277"/>
      <c r="H212" s="277"/>
      <c r="I212" s="277"/>
      <c r="J212" s="277"/>
      <c r="K212" s="409"/>
      <c r="L212" s="477"/>
      <c r="M212" s="277"/>
      <c r="N212" s="277"/>
      <c r="O212" s="277"/>
      <c r="P212" s="277"/>
      <c r="Q212" s="277"/>
      <c r="R212" s="277"/>
      <c r="S212" s="277"/>
      <c r="T212" s="277"/>
      <c r="U212" s="277"/>
      <c r="V212" s="277"/>
      <c r="W212" s="277"/>
      <c r="X212" s="277"/>
      <c r="Y212" s="277"/>
      <c r="Z212" s="277"/>
    </row>
    <row r="213" ht="12.75" customHeight="1">
      <c r="A213" s="277"/>
      <c r="B213" s="278"/>
      <c r="C213" s="279"/>
      <c r="D213" s="277"/>
      <c r="E213" s="277"/>
      <c r="F213" s="277"/>
      <c r="G213" s="277"/>
      <c r="H213" s="277"/>
      <c r="I213" s="277"/>
      <c r="J213" s="277"/>
      <c r="K213" s="409"/>
      <c r="L213" s="477"/>
      <c r="M213" s="277"/>
      <c r="N213" s="277"/>
      <c r="O213" s="277"/>
      <c r="P213" s="277"/>
      <c r="Q213" s="277"/>
      <c r="R213" s="277"/>
      <c r="S213" s="277"/>
      <c r="T213" s="277"/>
      <c r="U213" s="277"/>
      <c r="V213" s="277"/>
      <c r="W213" s="277"/>
      <c r="X213" s="277"/>
      <c r="Y213" s="277"/>
      <c r="Z213" s="277"/>
    </row>
    <row r="214" ht="12.75" customHeight="1">
      <c r="A214" s="277"/>
      <c r="B214" s="278"/>
      <c r="C214" s="279"/>
      <c r="D214" s="277"/>
      <c r="E214" s="277"/>
      <c r="F214" s="277"/>
      <c r="G214" s="277"/>
      <c r="H214" s="277"/>
      <c r="I214" s="277"/>
      <c r="J214" s="277"/>
      <c r="K214" s="409"/>
      <c r="L214" s="477"/>
      <c r="M214" s="277"/>
      <c r="N214" s="277"/>
      <c r="O214" s="277"/>
      <c r="P214" s="277"/>
      <c r="Q214" s="277"/>
      <c r="R214" s="277"/>
      <c r="S214" s="277"/>
      <c r="T214" s="277"/>
      <c r="U214" s="277"/>
      <c r="V214" s="277"/>
      <c r="W214" s="277"/>
      <c r="X214" s="277"/>
      <c r="Y214" s="277"/>
      <c r="Z214" s="277"/>
    </row>
    <row r="215" ht="12.75" customHeight="1">
      <c r="A215" s="277"/>
      <c r="B215" s="278"/>
      <c r="C215" s="279"/>
      <c r="D215" s="277"/>
      <c r="E215" s="277"/>
      <c r="F215" s="277"/>
      <c r="G215" s="277"/>
      <c r="H215" s="277"/>
      <c r="I215" s="277"/>
      <c r="J215" s="277"/>
      <c r="K215" s="409"/>
      <c r="L215" s="477"/>
      <c r="M215" s="277"/>
      <c r="N215" s="277"/>
      <c r="O215" s="277"/>
      <c r="P215" s="277"/>
      <c r="Q215" s="277"/>
      <c r="R215" s="277"/>
      <c r="S215" s="277"/>
      <c r="T215" s="277"/>
      <c r="U215" s="277"/>
      <c r="V215" s="277"/>
      <c r="W215" s="277"/>
      <c r="X215" s="277"/>
      <c r="Y215" s="277"/>
      <c r="Z215" s="277"/>
    </row>
    <row r="216" ht="12.75" customHeight="1">
      <c r="A216" s="277"/>
      <c r="B216" s="278"/>
      <c r="C216" s="279"/>
      <c r="D216" s="277"/>
      <c r="E216" s="277"/>
      <c r="F216" s="277"/>
      <c r="G216" s="277"/>
      <c r="H216" s="277"/>
      <c r="I216" s="277"/>
      <c r="J216" s="277"/>
      <c r="K216" s="409"/>
      <c r="L216" s="477"/>
      <c r="M216" s="277"/>
      <c r="N216" s="277"/>
      <c r="O216" s="277"/>
      <c r="P216" s="277"/>
      <c r="Q216" s="277"/>
      <c r="R216" s="277"/>
      <c r="S216" s="277"/>
      <c r="T216" s="277"/>
      <c r="U216" s="277"/>
      <c r="V216" s="277"/>
      <c r="W216" s="277"/>
      <c r="X216" s="277"/>
      <c r="Y216" s="277"/>
      <c r="Z216" s="277"/>
    </row>
    <row r="217" ht="12.75" customHeight="1">
      <c r="A217" s="277"/>
      <c r="B217" s="278"/>
      <c r="C217" s="279"/>
      <c r="D217" s="277"/>
      <c r="E217" s="277"/>
      <c r="F217" s="277"/>
      <c r="G217" s="277"/>
      <c r="H217" s="277"/>
      <c r="I217" s="277"/>
      <c r="J217" s="277"/>
      <c r="K217" s="409"/>
      <c r="L217" s="477"/>
      <c r="M217" s="277"/>
      <c r="N217" s="277"/>
      <c r="O217" s="277"/>
      <c r="P217" s="277"/>
      <c r="Q217" s="277"/>
      <c r="R217" s="277"/>
      <c r="S217" s="277"/>
      <c r="T217" s="277"/>
      <c r="U217" s="277"/>
      <c r="V217" s="277"/>
      <c r="W217" s="277"/>
      <c r="X217" s="277"/>
      <c r="Y217" s="277"/>
      <c r="Z217" s="277"/>
    </row>
    <row r="218" ht="12.75" customHeight="1">
      <c r="A218" s="277"/>
      <c r="B218" s="278"/>
      <c r="C218" s="279"/>
      <c r="D218" s="277"/>
      <c r="E218" s="277"/>
      <c r="F218" s="277"/>
      <c r="G218" s="277"/>
      <c r="H218" s="277"/>
      <c r="I218" s="277"/>
      <c r="J218" s="277"/>
      <c r="K218" s="409"/>
      <c r="L218" s="477"/>
      <c r="M218" s="277"/>
      <c r="N218" s="277"/>
      <c r="O218" s="277"/>
      <c r="P218" s="277"/>
      <c r="Q218" s="277"/>
      <c r="R218" s="277"/>
      <c r="S218" s="277"/>
      <c r="T218" s="277"/>
      <c r="U218" s="277"/>
      <c r="V218" s="277"/>
      <c r="W218" s="277"/>
      <c r="X218" s="277"/>
      <c r="Y218" s="277"/>
      <c r="Z218" s="277"/>
    </row>
    <row r="219" ht="12.75" customHeight="1">
      <c r="A219" s="277"/>
      <c r="B219" s="278"/>
      <c r="C219" s="279"/>
      <c r="D219" s="277"/>
      <c r="E219" s="277"/>
      <c r="F219" s="277"/>
      <c r="G219" s="277"/>
      <c r="H219" s="277"/>
      <c r="I219" s="277"/>
      <c r="J219" s="277"/>
      <c r="K219" s="409"/>
      <c r="L219" s="477"/>
      <c r="M219" s="277"/>
      <c r="N219" s="277"/>
      <c r="O219" s="277"/>
      <c r="P219" s="277"/>
      <c r="Q219" s="277"/>
      <c r="R219" s="277"/>
      <c r="S219" s="277"/>
      <c r="T219" s="277"/>
      <c r="U219" s="277"/>
      <c r="V219" s="277"/>
      <c r="W219" s="277"/>
      <c r="X219" s="277"/>
      <c r="Y219" s="277"/>
      <c r="Z219" s="277"/>
    </row>
    <row r="220" ht="12.75" customHeight="1">
      <c r="A220" s="277"/>
      <c r="B220" s="278"/>
      <c r="C220" s="279"/>
      <c r="D220" s="277"/>
      <c r="E220" s="277"/>
      <c r="F220" s="277"/>
      <c r="G220" s="277"/>
      <c r="H220" s="277"/>
      <c r="I220" s="277"/>
      <c r="J220" s="277"/>
      <c r="K220" s="409"/>
      <c r="L220" s="477"/>
      <c r="M220" s="277"/>
      <c r="N220" s="277"/>
      <c r="O220" s="277"/>
      <c r="P220" s="277"/>
      <c r="Q220" s="277"/>
      <c r="R220" s="277"/>
      <c r="S220" s="277"/>
      <c r="T220" s="277"/>
      <c r="U220" s="277"/>
      <c r="V220" s="277"/>
      <c r="W220" s="277"/>
      <c r="X220" s="277"/>
      <c r="Y220" s="277"/>
      <c r="Z220" s="277"/>
    </row>
    <row r="221" ht="12.75" customHeight="1">
      <c r="A221" s="277"/>
      <c r="B221" s="278"/>
      <c r="C221" s="279"/>
      <c r="D221" s="277"/>
      <c r="E221" s="277"/>
      <c r="F221" s="277"/>
      <c r="G221" s="277"/>
      <c r="H221" s="277"/>
      <c r="I221" s="277"/>
      <c r="J221" s="277"/>
      <c r="K221" s="409"/>
      <c r="L221" s="477"/>
      <c r="M221" s="277"/>
      <c r="N221" s="277"/>
      <c r="O221" s="277"/>
      <c r="P221" s="277"/>
      <c r="Q221" s="277"/>
      <c r="R221" s="277"/>
      <c r="S221" s="277"/>
      <c r="T221" s="277"/>
      <c r="U221" s="277"/>
      <c r="V221" s="277"/>
      <c r="W221" s="277"/>
      <c r="X221" s="277"/>
      <c r="Y221" s="277"/>
      <c r="Z221" s="277"/>
    </row>
    <row r="222" ht="12.75" customHeight="1">
      <c r="A222" s="277"/>
      <c r="B222" s="278"/>
      <c r="C222" s="279"/>
      <c r="D222" s="277"/>
      <c r="E222" s="277"/>
      <c r="F222" s="277"/>
      <c r="G222" s="277"/>
      <c r="H222" s="277"/>
      <c r="I222" s="277"/>
      <c r="J222" s="277"/>
      <c r="K222" s="409"/>
      <c r="L222" s="477"/>
      <c r="M222" s="277"/>
      <c r="N222" s="277"/>
      <c r="O222" s="277"/>
      <c r="P222" s="277"/>
      <c r="Q222" s="277"/>
      <c r="R222" s="277"/>
      <c r="S222" s="277"/>
      <c r="T222" s="277"/>
      <c r="U222" s="277"/>
      <c r="V222" s="277"/>
      <c r="W222" s="277"/>
      <c r="X222" s="277"/>
      <c r="Y222" s="277"/>
      <c r="Z222" s="277"/>
    </row>
    <row r="223" ht="12.75" customHeight="1">
      <c r="A223" s="277"/>
      <c r="B223" s="278"/>
      <c r="C223" s="279"/>
      <c r="D223" s="277"/>
      <c r="E223" s="277"/>
      <c r="F223" s="277"/>
      <c r="G223" s="277"/>
      <c r="H223" s="277"/>
      <c r="I223" s="277"/>
      <c r="J223" s="277"/>
      <c r="K223" s="409"/>
      <c r="L223" s="477"/>
      <c r="M223" s="277"/>
      <c r="N223" s="277"/>
      <c r="O223" s="277"/>
      <c r="P223" s="277"/>
      <c r="Q223" s="277"/>
      <c r="R223" s="277"/>
      <c r="S223" s="277"/>
      <c r="T223" s="277"/>
      <c r="U223" s="277"/>
      <c r="V223" s="277"/>
      <c r="W223" s="277"/>
      <c r="X223" s="277"/>
      <c r="Y223" s="277"/>
      <c r="Z223" s="277"/>
    </row>
    <row r="224" ht="12.75" customHeight="1">
      <c r="A224" s="277"/>
      <c r="B224" s="278"/>
      <c r="C224" s="279"/>
      <c r="D224" s="277"/>
      <c r="E224" s="277"/>
      <c r="F224" s="277"/>
      <c r="G224" s="277"/>
      <c r="H224" s="277"/>
      <c r="I224" s="277"/>
      <c r="J224" s="277"/>
      <c r="K224" s="409"/>
      <c r="L224" s="477"/>
      <c r="M224" s="277"/>
      <c r="N224" s="277"/>
      <c r="O224" s="277"/>
      <c r="P224" s="277"/>
      <c r="Q224" s="277"/>
      <c r="R224" s="277"/>
      <c r="S224" s="277"/>
      <c r="T224" s="277"/>
      <c r="U224" s="277"/>
      <c r="V224" s="277"/>
      <c r="W224" s="277"/>
      <c r="X224" s="277"/>
      <c r="Y224" s="277"/>
      <c r="Z224" s="277"/>
    </row>
    <row r="225" ht="12.75" customHeight="1">
      <c r="A225" s="277"/>
      <c r="B225" s="278"/>
      <c r="C225" s="279"/>
      <c r="D225" s="277"/>
      <c r="E225" s="277"/>
      <c r="F225" s="277"/>
      <c r="G225" s="277"/>
      <c r="H225" s="277"/>
      <c r="I225" s="277"/>
      <c r="J225" s="277"/>
      <c r="K225" s="409"/>
      <c r="L225" s="477"/>
      <c r="M225" s="277"/>
      <c r="N225" s="277"/>
      <c r="O225" s="277"/>
      <c r="P225" s="277"/>
      <c r="Q225" s="277"/>
      <c r="R225" s="277"/>
      <c r="S225" s="277"/>
      <c r="T225" s="277"/>
      <c r="U225" s="277"/>
      <c r="V225" s="277"/>
      <c r="W225" s="277"/>
      <c r="X225" s="277"/>
      <c r="Y225" s="277"/>
      <c r="Z225" s="277"/>
    </row>
    <row r="226" ht="12.75" customHeight="1">
      <c r="A226" s="277"/>
      <c r="B226" s="278"/>
      <c r="C226" s="279"/>
      <c r="D226" s="277"/>
      <c r="E226" s="277"/>
      <c r="F226" s="277"/>
      <c r="G226" s="277"/>
      <c r="H226" s="277"/>
      <c r="I226" s="277"/>
      <c r="J226" s="277"/>
      <c r="K226" s="409"/>
      <c r="L226" s="477"/>
      <c r="M226" s="277"/>
      <c r="N226" s="277"/>
      <c r="O226" s="277"/>
      <c r="P226" s="277"/>
      <c r="Q226" s="277"/>
      <c r="R226" s="277"/>
      <c r="S226" s="277"/>
      <c r="T226" s="277"/>
      <c r="U226" s="277"/>
      <c r="V226" s="277"/>
      <c r="W226" s="277"/>
      <c r="X226" s="277"/>
      <c r="Y226" s="277"/>
      <c r="Z226" s="277"/>
    </row>
    <row r="227" ht="12.75" customHeight="1">
      <c r="A227" s="277"/>
      <c r="B227" s="278"/>
      <c r="C227" s="279"/>
      <c r="D227" s="277"/>
      <c r="E227" s="277"/>
      <c r="F227" s="277"/>
      <c r="G227" s="277"/>
      <c r="H227" s="277"/>
      <c r="I227" s="277"/>
      <c r="J227" s="277"/>
      <c r="K227" s="409"/>
      <c r="L227" s="477"/>
      <c r="M227" s="277"/>
      <c r="N227" s="277"/>
      <c r="O227" s="277"/>
      <c r="P227" s="277"/>
      <c r="Q227" s="277"/>
      <c r="R227" s="277"/>
      <c r="S227" s="277"/>
      <c r="T227" s="277"/>
      <c r="U227" s="277"/>
      <c r="V227" s="277"/>
      <c r="W227" s="277"/>
      <c r="X227" s="277"/>
      <c r="Y227" s="277"/>
      <c r="Z227" s="277"/>
    </row>
    <row r="228" ht="12.75" customHeight="1">
      <c r="A228" s="277"/>
      <c r="B228" s="278"/>
      <c r="C228" s="279"/>
      <c r="D228" s="277"/>
      <c r="E228" s="277"/>
      <c r="F228" s="277"/>
      <c r="G228" s="277"/>
      <c r="H228" s="277"/>
      <c r="I228" s="277"/>
      <c r="J228" s="277"/>
      <c r="K228" s="409"/>
      <c r="L228" s="477"/>
      <c r="M228" s="277"/>
      <c r="N228" s="277"/>
      <c r="O228" s="277"/>
      <c r="P228" s="277"/>
      <c r="Q228" s="277"/>
      <c r="R228" s="277"/>
      <c r="S228" s="277"/>
      <c r="T228" s="277"/>
      <c r="U228" s="277"/>
      <c r="V228" s="277"/>
      <c r="W228" s="277"/>
      <c r="X228" s="277"/>
      <c r="Y228" s="277"/>
      <c r="Z228" s="277"/>
    </row>
    <row r="229" ht="12.75" customHeight="1">
      <c r="A229" s="277"/>
      <c r="B229" s="278"/>
      <c r="C229" s="279"/>
      <c r="D229" s="277"/>
      <c r="E229" s="277"/>
      <c r="F229" s="277"/>
      <c r="G229" s="277"/>
      <c r="H229" s="277"/>
      <c r="I229" s="277"/>
      <c r="J229" s="277"/>
      <c r="K229" s="409"/>
      <c r="L229" s="477"/>
      <c r="M229" s="277"/>
      <c r="N229" s="277"/>
      <c r="O229" s="277"/>
      <c r="P229" s="277"/>
      <c r="Q229" s="277"/>
      <c r="R229" s="277"/>
      <c r="S229" s="277"/>
      <c r="T229" s="277"/>
      <c r="U229" s="277"/>
      <c r="V229" s="277"/>
      <c r="W229" s="277"/>
      <c r="X229" s="277"/>
      <c r="Y229" s="277"/>
      <c r="Z229" s="277"/>
    </row>
    <row r="230" ht="12.75" customHeight="1">
      <c r="A230" s="277"/>
      <c r="B230" s="278"/>
      <c r="C230" s="279"/>
      <c r="D230" s="277"/>
      <c r="E230" s="277"/>
      <c r="F230" s="277"/>
      <c r="G230" s="277"/>
      <c r="H230" s="277"/>
      <c r="I230" s="277"/>
      <c r="J230" s="277"/>
      <c r="K230" s="409"/>
      <c r="L230" s="477"/>
      <c r="M230" s="277"/>
      <c r="N230" s="277"/>
      <c r="O230" s="277"/>
      <c r="P230" s="277"/>
      <c r="Q230" s="277"/>
      <c r="R230" s="277"/>
      <c r="S230" s="277"/>
      <c r="T230" s="277"/>
      <c r="U230" s="277"/>
      <c r="V230" s="277"/>
      <c r="W230" s="277"/>
      <c r="X230" s="277"/>
      <c r="Y230" s="277"/>
      <c r="Z230" s="277"/>
    </row>
    <row r="231" ht="12.75" customHeight="1">
      <c r="A231" s="277"/>
      <c r="B231" s="278"/>
      <c r="C231" s="279"/>
      <c r="D231" s="277"/>
      <c r="E231" s="277"/>
      <c r="F231" s="277"/>
      <c r="G231" s="277"/>
      <c r="H231" s="277"/>
      <c r="I231" s="277"/>
      <c r="J231" s="277"/>
      <c r="K231" s="409"/>
      <c r="L231" s="477"/>
      <c r="M231" s="277"/>
      <c r="N231" s="277"/>
      <c r="O231" s="277"/>
      <c r="P231" s="277"/>
      <c r="Q231" s="277"/>
      <c r="R231" s="277"/>
      <c r="S231" s="277"/>
      <c r="T231" s="277"/>
      <c r="U231" s="277"/>
      <c r="V231" s="277"/>
      <c r="W231" s="277"/>
      <c r="X231" s="277"/>
      <c r="Y231" s="277"/>
      <c r="Z231" s="277"/>
    </row>
    <row r="232" ht="12.75" customHeight="1">
      <c r="A232" s="277"/>
      <c r="B232" s="278"/>
      <c r="C232" s="279"/>
      <c r="D232" s="277"/>
      <c r="E232" s="277"/>
      <c r="F232" s="277"/>
      <c r="G232" s="277"/>
      <c r="H232" s="277"/>
      <c r="I232" s="277"/>
      <c r="J232" s="277"/>
      <c r="K232" s="409"/>
      <c r="L232" s="477"/>
      <c r="M232" s="277"/>
      <c r="N232" s="277"/>
      <c r="O232" s="277"/>
      <c r="P232" s="277"/>
      <c r="Q232" s="277"/>
      <c r="R232" s="277"/>
      <c r="S232" s="277"/>
      <c r="T232" s="277"/>
      <c r="U232" s="277"/>
      <c r="V232" s="277"/>
      <c r="W232" s="277"/>
      <c r="X232" s="277"/>
      <c r="Y232" s="277"/>
      <c r="Z232" s="277"/>
    </row>
    <row r="233" ht="12.75" customHeight="1">
      <c r="A233" s="277"/>
      <c r="B233" s="278"/>
      <c r="C233" s="279"/>
      <c r="D233" s="277"/>
      <c r="E233" s="277"/>
      <c r="F233" s="277"/>
      <c r="G233" s="277"/>
      <c r="H233" s="277"/>
      <c r="I233" s="277"/>
      <c r="J233" s="277"/>
      <c r="K233" s="409"/>
      <c r="L233" s="477"/>
      <c r="M233" s="277"/>
      <c r="N233" s="277"/>
      <c r="O233" s="277"/>
      <c r="P233" s="277"/>
      <c r="Q233" s="277"/>
      <c r="R233" s="277"/>
      <c r="S233" s="277"/>
      <c r="T233" s="277"/>
      <c r="U233" s="277"/>
      <c r="V233" s="277"/>
      <c r="W233" s="277"/>
      <c r="X233" s="277"/>
      <c r="Y233" s="277"/>
      <c r="Z233" s="277"/>
    </row>
    <row r="234" ht="12.75" customHeight="1">
      <c r="A234" s="277"/>
      <c r="B234" s="278"/>
      <c r="C234" s="279"/>
      <c r="D234" s="277"/>
      <c r="E234" s="277"/>
      <c r="F234" s="277"/>
      <c r="G234" s="277"/>
      <c r="H234" s="277"/>
      <c r="I234" s="277"/>
      <c r="J234" s="277"/>
      <c r="K234" s="409"/>
      <c r="L234" s="477"/>
      <c r="M234" s="277"/>
      <c r="N234" s="277"/>
      <c r="O234" s="277"/>
      <c r="P234" s="277"/>
      <c r="Q234" s="277"/>
      <c r="R234" s="277"/>
      <c r="S234" s="277"/>
      <c r="T234" s="277"/>
      <c r="U234" s="277"/>
      <c r="V234" s="277"/>
      <c r="W234" s="277"/>
      <c r="X234" s="277"/>
      <c r="Y234" s="277"/>
      <c r="Z234" s="277"/>
    </row>
    <row r="235" ht="12.75" customHeight="1">
      <c r="A235" s="277"/>
      <c r="B235" s="278"/>
      <c r="C235" s="279"/>
      <c r="D235" s="277"/>
      <c r="E235" s="277"/>
      <c r="F235" s="277"/>
      <c r="G235" s="277"/>
      <c r="H235" s="277"/>
      <c r="I235" s="277"/>
      <c r="J235" s="277"/>
      <c r="K235" s="409"/>
      <c r="L235" s="477"/>
      <c r="M235" s="277"/>
      <c r="N235" s="277"/>
      <c r="O235" s="277"/>
      <c r="P235" s="277"/>
      <c r="Q235" s="277"/>
      <c r="R235" s="277"/>
      <c r="S235" s="277"/>
      <c r="T235" s="277"/>
      <c r="U235" s="277"/>
      <c r="V235" s="277"/>
      <c r="W235" s="277"/>
      <c r="X235" s="277"/>
      <c r="Y235" s="277"/>
      <c r="Z235" s="277"/>
    </row>
    <row r="236" ht="12.75" customHeight="1">
      <c r="A236" s="277"/>
      <c r="B236" s="278"/>
      <c r="C236" s="279"/>
      <c r="D236" s="277"/>
      <c r="E236" s="277"/>
      <c r="F236" s="277"/>
      <c r="G236" s="277"/>
      <c r="H236" s="277"/>
      <c r="I236" s="277"/>
      <c r="J236" s="277"/>
      <c r="K236" s="409"/>
      <c r="L236" s="477"/>
      <c r="M236" s="277"/>
      <c r="N236" s="277"/>
      <c r="O236" s="277"/>
      <c r="P236" s="277"/>
      <c r="Q236" s="277"/>
      <c r="R236" s="277"/>
      <c r="S236" s="277"/>
      <c r="T236" s="277"/>
      <c r="U236" s="277"/>
      <c r="V236" s="277"/>
      <c r="W236" s="277"/>
      <c r="X236" s="277"/>
      <c r="Y236" s="277"/>
      <c r="Z236" s="277"/>
    </row>
    <row r="237" ht="12.75" customHeight="1">
      <c r="A237" s="277"/>
      <c r="B237" s="278"/>
      <c r="C237" s="279"/>
      <c r="D237" s="277"/>
      <c r="E237" s="277"/>
      <c r="F237" s="277"/>
      <c r="G237" s="277"/>
      <c r="H237" s="277"/>
      <c r="I237" s="277"/>
      <c r="J237" s="277"/>
      <c r="K237" s="409"/>
      <c r="L237" s="477"/>
      <c r="M237" s="277"/>
      <c r="N237" s="277"/>
      <c r="O237" s="277"/>
      <c r="P237" s="277"/>
      <c r="Q237" s="277"/>
      <c r="R237" s="277"/>
      <c r="S237" s="277"/>
      <c r="T237" s="277"/>
      <c r="U237" s="277"/>
      <c r="V237" s="277"/>
      <c r="W237" s="277"/>
      <c r="X237" s="277"/>
      <c r="Y237" s="277"/>
      <c r="Z237" s="277"/>
    </row>
    <row r="238" ht="12.75" customHeight="1">
      <c r="A238" s="277"/>
      <c r="B238" s="278"/>
      <c r="C238" s="279"/>
      <c r="D238" s="277"/>
      <c r="E238" s="277"/>
      <c r="F238" s="277"/>
      <c r="G238" s="277"/>
      <c r="H238" s="277"/>
      <c r="I238" s="277"/>
      <c r="J238" s="277"/>
      <c r="K238" s="409"/>
      <c r="L238" s="477"/>
      <c r="M238" s="277"/>
      <c r="N238" s="277"/>
      <c r="O238" s="277"/>
      <c r="P238" s="277"/>
      <c r="Q238" s="277"/>
      <c r="R238" s="277"/>
      <c r="S238" s="277"/>
      <c r="T238" s="277"/>
      <c r="U238" s="277"/>
      <c r="V238" s="277"/>
      <c r="W238" s="277"/>
      <c r="X238" s="277"/>
      <c r="Y238" s="277"/>
      <c r="Z238" s="277"/>
    </row>
    <row r="239" ht="12.75" customHeight="1">
      <c r="A239" s="277"/>
      <c r="B239" s="278"/>
      <c r="C239" s="279"/>
      <c r="D239" s="277"/>
      <c r="E239" s="277"/>
      <c r="F239" s="277"/>
      <c r="G239" s="277"/>
      <c r="H239" s="277"/>
      <c r="I239" s="277"/>
      <c r="J239" s="277"/>
      <c r="K239" s="409"/>
      <c r="L239" s="477"/>
      <c r="M239" s="277"/>
      <c r="N239" s="277"/>
      <c r="O239" s="277"/>
      <c r="P239" s="277"/>
      <c r="Q239" s="277"/>
      <c r="R239" s="277"/>
      <c r="S239" s="277"/>
      <c r="T239" s="277"/>
      <c r="U239" s="277"/>
      <c r="V239" s="277"/>
      <c r="W239" s="277"/>
      <c r="X239" s="277"/>
      <c r="Y239" s="277"/>
      <c r="Z239" s="277"/>
    </row>
    <row r="240" ht="12.75" customHeight="1">
      <c r="A240" s="277"/>
      <c r="B240" s="278"/>
      <c r="C240" s="279"/>
      <c r="D240" s="277"/>
      <c r="E240" s="277"/>
      <c r="F240" s="277"/>
      <c r="G240" s="277"/>
      <c r="H240" s="277"/>
      <c r="I240" s="277"/>
      <c r="J240" s="277"/>
      <c r="K240" s="409"/>
      <c r="L240" s="477"/>
      <c r="M240" s="277"/>
      <c r="N240" s="277"/>
      <c r="O240" s="277"/>
      <c r="P240" s="277"/>
      <c r="Q240" s="277"/>
      <c r="R240" s="277"/>
      <c r="S240" s="277"/>
      <c r="T240" s="277"/>
      <c r="U240" s="277"/>
      <c r="V240" s="277"/>
      <c r="W240" s="277"/>
      <c r="X240" s="277"/>
      <c r="Y240" s="277"/>
      <c r="Z240" s="277"/>
    </row>
    <row r="241" ht="12.75" customHeight="1">
      <c r="A241" s="277"/>
      <c r="B241" s="278"/>
      <c r="C241" s="279"/>
      <c r="D241" s="277"/>
      <c r="E241" s="277"/>
      <c r="F241" s="277"/>
      <c r="G241" s="277"/>
      <c r="H241" s="277"/>
      <c r="I241" s="277"/>
      <c r="J241" s="277"/>
      <c r="K241" s="409"/>
      <c r="L241" s="477"/>
      <c r="M241" s="277"/>
      <c r="N241" s="277"/>
      <c r="O241" s="277"/>
      <c r="P241" s="277"/>
      <c r="Q241" s="277"/>
      <c r="R241" s="277"/>
      <c r="S241" s="277"/>
      <c r="T241" s="277"/>
      <c r="U241" s="277"/>
      <c r="V241" s="277"/>
      <c r="W241" s="277"/>
      <c r="X241" s="277"/>
      <c r="Y241" s="277"/>
      <c r="Z241" s="277"/>
    </row>
    <row r="242" ht="12.75" customHeight="1">
      <c r="A242" s="277"/>
      <c r="B242" s="278"/>
      <c r="C242" s="279"/>
      <c r="D242" s="277"/>
      <c r="E242" s="277"/>
      <c r="F242" s="277"/>
      <c r="G242" s="277"/>
      <c r="H242" s="277"/>
      <c r="I242" s="277"/>
      <c r="J242" s="277"/>
      <c r="K242" s="409"/>
      <c r="L242" s="477"/>
      <c r="M242" s="277"/>
      <c r="N242" s="277"/>
      <c r="O242" s="277"/>
      <c r="P242" s="277"/>
      <c r="Q242" s="277"/>
      <c r="R242" s="277"/>
      <c r="S242" s="277"/>
      <c r="T242" s="277"/>
      <c r="U242" s="277"/>
      <c r="V242" s="277"/>
      <c r="W242" s="277"/>
      <c r="X242" s="277"/>
      <c r="Y242" s="277"/>
      <c r="Z242" s="277"/>
    </row>
    <row r="243" ht="12.75" customHeight="1">
      <c r="A243" s="277"/>
      <c r="B243" s="278"/>
      <c r="C243" s="279"/>
      <c r="D243" s="277"/>
      <c r="E243" s="277"/>
      <c r="F243" s="277"/>
      <c r="G243" s="277"/>
      <c r="H243" s="277"/>
      <c r="I243" s="277"/>
      <c r="J243" s="277"/>
      <c r="K243" s="409"/>
      <c r="L243" s="477"/>
      <c r="M243" s="277"/>
      <c r="N243" s="277"/>
      <c r="O243" s="277"/>
      <c r="P243" s="277"/>
      <c r="Q243" s="277"/>
      <c r="R243" s="277"/>
      <c r="S243" s="277"/>
      <c r="T243" s="277"/>
      <c r="U243" s="277"/>
      <c r="V243" s="277"/>
      <c r="W243" s="277"/>
      <c r="X243" s="277"/>
      <c r="Y243" s="277"/>
      <c r="Z243" s="277"/>
    </row>
    <row r="244" ht="12.75" customHeight="1">
      <c r="A244" s="277"/>
      <c r="B244" s="278"/>
      <c r="C244" s="279"/>
      <c r="D244" s="277"/>
      <c r="E244" s="277"/>
      <c r="F244" s="277"/>
      <c r="G244" s="277"/>
      <c r="H244" s="277"/>
      <c r="I244" s="277"/>
      <c r="J244" s="277"/>
      <c r="K244" s="409"/>
      <c r="L244" s="477"/>
      <c r="M244" s="277"/>
      <c r="N244" s="277"/>
      <c r="O244" s="277"/>
      <c r="P244" s="277"/>
      <c r="Q244" s="277"/>
      <c r="R244" s="277"/>
      <c r="S244" s="277"/>
      <c r="T244" s="277"/>
      <c r="U244" s="277"/>
      <c r="V244" s="277"/>
      <c r="W244" s="277"/>
      <c r="X244" s="277"/>
      <c r="Y244" s="277"/>
      <c r="Z244" s="277"/>
    </row>
    <row r="245" ht="12.75" customHeight="1">
      <c r="A245" s="277"/>
      <c r="B245" s="278"/>
      <c r="C245" s="279"/>
      <c r="D245" s="277"/>
      <c r="E245" s="277"/>
      <c r="F245" s="277"/>
      <c r="G245" s="277"/>
      <c r="H245" s="277"/>
      <c r="I245" s="277"/>
      <c r="J245" s="277"/>
      <c r="K245" s="409"/>
      <c r="L245" s="477"/>
      <c r="M245" s="277"/>
      <c r="N245" s="277"/>
      <c r="O245" s="277"/>
      <c r="P245" s="277"/>
      <c r="Q245" s="277"/>
      <c r="R245" s="277"/>
      <c r="S245" s="277"/>
      <c r="T245" s="277"/>
      <c r="U245" s="277"/>
      <c r="V245" s="277"/>
      <c r="W245" s="277"/>
      <c r="X245" s="277"/>
      <c r="Y245" s="277"/>
      <c r="Z245" s="277"/>
    </row>
    <row r="246" ht="12.75" customHeight="1">
      <c r="A246" s="277"/>
      <c r="B246" s="278"/>
      <c r="C246" s="279"/>
      <c r="D246" s="277"/>
      <c r="E246" s="277"/>
      <c r="F246" s="277"/>
      <c r="G246" s="277"/>
      <c r="H246" s="277"/>
      <c r="I246" s="277"/>
      <c r="J246" s="277"/>
      <c r="K246" s="409"/>
      <c r="L246" s="477"/>
      <c r="M246" s="277"/>
      <c r="N246" s="277"/>
      <c r="O246" s="277"/>
      <c r="P246" s="277"/>
      <c r="Q246" s="277"/>
      <c r="R246" s="277"/>
      <c r="S246" s="277"/>
      <c r="T246" s="277"/>
      <c r="U246" s="277"/>
      <c r="V246" s="277"/>
      <c r="W246" s="277"/>
      <c r="X246" s="277"/>
      <c r="Y246" s="277"/>
      <c r="Z246" s="277"/>
    </row>
    <row r="247" ht="12.75" customHeight="1">
      <c r="A247" s="277"/>
      <c r="B247" s="278"/>
      <c r="C247" s="279"/>
      <c r="D247" s="277"/>
      <c r="E247" s="277"/>
      <c r="F247" s="277"/>
      <c r="G247" s="277"/>
      <c r="H247" s="277"/>
      <c r="I247" s="277"/>
      <c r="J247" s="277"/>
      <c r="K247" s="409"/>
      <c r="L247" s="477"/>
      <c r="M247" s="277"/>
      <c r="N247" s="277"/>
      <c r="O247" s="277"/>
      <c r="P247" s="277"/>
      <c r="Q247" s="277"/>
      <c r="R247" s="277"/>
      <c r="S247" s="277"/>
      <c r="T247" s="277"/>
      <c r="U247" s="277"/>
      <c r="V247" s="277"/>
      <c r="W247" s="277"/>
      <c r="X247" s="277"/>
      <c r="Y247" s="277"/>
      <c r="Z247" s="277"/>
    </row>
    <row r="248" ht="12.75" customHeight="1">
      <c r="A248" s="277"/>
      <c r="B248" s="278"/>
      <c r="C248" s="279"/>
      <c r="D248" s="277"/>
      <c r="E248" s="277"/>
      <c r="F248" s="277"/>
      <c r="G248" s="277"/>
      <c r="H248" s="277"/>
      <c r="I248" s="277"/>
      <c r="J248" s="277"/>
      <c r="K248" s="409"/>
      <c r="L248" s="477"/>
      <c r="M248" s="277"/>
      <c r="N248" s="277"/>
      <c r="O248" s="277"/>
      <c r="P248" s="277"/>
      <c r="Q248" s="277"/>
      <c r="R248" s="277"/>
      <c r="S248" s="277"/>
      <c r="T248" s="277"/>
      <c r="U248" s="277"/>
      <c r="V248" s="277"/>
      <c r="W248" s="277"/>
      <c r="X248" s="277"/>
      <c r="Y248" s="277"/>
      <c r="Z248" s="277"/>
    </row>
    <row r="249" ht="12.75" customHeight="1">
      <c r="A249" s="277"/>
      <c r="B249" s="278"/>
      <c r="C249" s="279"/>
      <c r="D249" s="277"/>
      <c r="E249" s="277"/>
      <c r="F249" s="277"/>
      <c r="G249" s="277"/>
      <c r="H249" s="277"/>
      <c r="I249" s="277"/>
      <c r="J249" s="277"/>
      <c r="K249" s="409"/>
      <c r="L249" s="477"/>
      <c r="M249" s="277"/>
      <c r="N249" s="277"/>
      <c r="O249" s="277"/>
      <c r="P249" s="277"/>
      <c r="Q249" s="277"/>
      <c r="R249" s="277"/>
      <c r="S249" s="277"/>
      <c r="T249" s="277"/>
      <c r="U249" s="277"/>
      <c r="V249" s="277"/>
      <c r="W249" s="277"/>
      <c r="X249" s="277"/>
      <c r="Y249" s="277"/>
      <c r="Z249" s="277"/>
    </row>
    <row r="250" ht="12.75" customHeight="1">
      <c r="A250" s="277"/>
      <c r="B250" s="278"/>
      <c r="C250" s="279"/>
      <c r="D250" s="277"/>
      <c r="E250" s="277"/>
      <c r="F250" s="277"/>
      <c r="G250" s="277"/>
      <c r="H250" s="277"/>
      <c r="I250" s="277"/>
      <c r="J250" s="277"/>
      <c r="K250" s="409"/>
      <c r="L250" s="477"/>
      <c r="M250" s="277"/>
      <c r="N250" s="277"/>
      <c r="O250" s="277"/>
      <c r="P250" s="277"/>
      <c r="Q250" s="277"/>
      <c r="R250" s="277"/>
      <c r="S250" s="277"/>
      <c r="T250" s="277"/>
      <c r="U250" s="277"/>
      <c r="V250" s="277"/>
      <c r="W250" s="277"/>
      <c r="X250" s="277"/>
      <c r="Y250" s="277"/>
      <c r="Z250" s="277"/>
    </row>
    <row r="251" ht="12.75" customHeight="1">
      <c r="A251" s="277"/>
      <c r="B251" s="278"/>
      <c r="C251" s="279"/>
      <c r="D251" s="277"/>
      <c r="E251" s="277"/>
      <c r="F251" s="277"/>
      <c r="G251" s="277"/>
      <c r="H251" s="277"/>
      <c r="I251" s="277"/>
      <c r="J251" s="277"/>
      <c r="K251" s="409"/>
      <c r="L251" s="477"/>
      <c r="M251" s="277"/>
      <c r="N251" s="277"/>
      <c r="O251" s="277"/>
      <c r="P251" s="277"/>
      <c r="Q251" s="277"/>
      <c r="R251" s="277"/>
      <c r="S251" s="277"/>
      <c r="T251" s="277"/>
      <c r="U251" s="277"/>
      <c r="V251" s="277"/>
      <c r="W251" s="277"/>
      <c r="X251" s="277"/>
      <c r="Y251" s="277"/>
      <c r="Z251" s="277"/>
    </row>
    <row r="252" ht="12.75" customHeight="1">
      <c r="A252" s="277"/>
      <c r="B252" s="278"/>
      <c r="C252" s="279"/>
      <c r="D252" s="277"/>
      <c r="E252" s="277"/>
      <c r="F252" s="277"/>
      <c r="G252" s="277"/>
      <c r="H252" s="277"/>
      <c r="I252" s="277"/>
      <c r="J252" s="277"/>
      <c r="K252" s="409"/>
      <c r="L252" s="477"/>
      <c r="M252" s="277"/>
      <c r="N252" s="277"/>
      <c r="O252" s="277"/>
      <c r="P252" s="277"/>
      <c r="Q252" s="277"/>
      <c r="R252" s="277"/>
      <c r="S252" s="277"/>
      <c r="T252" s="277"/>
      <c r="U252" s="277"/>
      <c r="V252" s="277"/>
      <c r="W252" s="277"/>
      <c r="X252" s="277"/>
      <c r="Y252" s="277"/>
      <c r="Z252" s="277"/>
    </row>
    <row r="253" ht="12.75" customHeight="1">
      <c r="A253" s="277"/>
      <c r="B253" s="278"/>
      <c r="C253" s="279"/>
      <c r="D253" s="277"/>
      <c r="E253" s="277"/>
      <c r="F253" s="277"/>
      <c r="G253" s="277"/>
      <c r="H253" s="277"/>
      <c r="I253" s="277"/>
      <c r="J253" s="277"/>
      <c r="K253" s="409"/>
      <c r="L253" s="477"/>
      <c r="M253" s="277"/>
      <c r="N253" s="277"/>
      <c r="O253" s="277"/>
      <c r="P253" s="277"/>
      <c r="Q253" s="277"/>
      <c r="R253" s="277"/>
      <c r="S253" s="277"/>
      <c r="T253" s="277"/>
      <c r="U253" s="277"/>
      <c r="V253" s="277"/>
      <c r="W253" s="277"/>
      <c r="X253" s="277"/>
      <c r="Y253" s="277"/>
      <c r="Z253" s="277"/>
    </row>
    <row r="254" ht="12.75" customHeight="1">
      <c r="A254" s="277"/>
      <c r="B254" s="278"/>
      <c r="C254" s="279"/>
      <c r="D254" s="277"/>
      <c r="E254" s="277"/>
      <c r="F254" s="277"/>
      <c r="G254" s="277"/>
      <c r="H254" s="277"/>
      <c r="I254" s="277"/>
      <c r="J254" s="277"/>
      <c r="K254" s="409"/>
      <c r="L254" s="477"/>
      <c r="M254" s="277"/>
      <c r="N254" s="277"/>
      <c r="O254" s="277"/>
      <c r="P254" s="277"/>
      <c r="Q254" s="277"/>
      <c r="R254" s="277"/>
      <c r="S254" s="277"/>
      <c r="T254" s="277"/>
      <c r="U254" s="277"/>
      <c r="V254" s="277"/>
      <c r="W254" s="277"/>
      <c r="X254" s="277"/>
      <c r="Y254" s="277"/>
      <c r="Z254" s="277"/>
    </row>
    <row r="255" ht="12.75" customHeight="1">
      <c r="A255" s="277"/>
      <c r="B255" s="278"/>
      <c r="C255" s="279"/>
      <c r="D255" s="277"/>
      <c r="E255" s="277"/>
      <c r="F255" s="277"/>
      <c r="G255" s="277"/>
      <c r="H255" s="277"/>
      <c r="I255" s="277"/>
      <c r="J255" s="277"/>
      <c r="K255" s="409"/>
      <c r="L255" s="477"/>
      <c r="M255" s="277"/>
      <c r="N255" s="277"/>
      <c r="O255" s="277"/>
      <c r="P255" s="277"/>
      <c r="Q255" s="277"/>
      <c r="R255" s="277"/>
      <c r="S255" s="277"/>
      <c r="T255" s="277"/>
      <c r="U255" s="277"/>
      <c r="V255" s="277"/>
      <c r="W255" s="277"/>
      <c r="X255" s="277"/>
      <c r="Y255" s="277"/>
      <c r="Z255" s="277"/>
    </row>
    <row r="256" ht="12.75" customHeight="1">
      <c r="A256" s="277"/>
      <c r="B256" s="278"/>
      <c r="C256" s="279"/>
      <c r="D256" s="277"/>
      <c r="E256" s="277"/>
      <c r="F256" s="277"/>
      <c r="G256" s="277"/>
      <c r="H256" s="277"/>
      <c r="I256" s="277"/>
      <c r="J256" s="277"/>
      <c r="K256" s="409"/>
      <c r="L256" s="477"/>
      <c r="M256" s="277"/>
      <c r="N256" s="277"/>
      <c r="O256" s="277"/>
      <c r="P256" s="277"/>
      <c r="Q256" s="277"/>
      <c r="R256" s="277"/>
      <c r="S256" s="277"/>
      <c r="T256" s="277"/>
      <c r="U256" s="277"/>
      <c r="V256" s="277"/>
      <c r="W256" s="277"/>
      <c r="X256" s="277"/>
      <c r="Y256" s="277"/>
      <c r="Z256" s="277"/>
    </row>
    <row r="257" ht="12.75" customHeight="1">
      <c r="A257" s="277"/>
      <c r="B257" s="278"/>
      <c r="C257" s="279"/>
      <c r="D257" s="277"/>
      <c r="E257" s="277"/>
      <c r="F257" s="277"/>
      <c r="G257" s="277"/>
      <c r="H257" s="277"/>
      <c r="I257" s="277"/>
      <c r="J257" s="277"/>
      <c r="K257" s="409"/>
      <c r="L257" s="477"/>
      <c r="M257" s="277"/>
      <c r="N257" s="277"/>
      <c r="O257" s="277"/>
      <c r="P257" s="277"/>
      <c r="Q257" s="277"/>
      <c r="R257" s="277"/>
      <c r="S257" s="277"/>
      <c r="T257" s="277"/>
      <c r="U257" s="277"/>
      <c r="V257" s="277"/>
      <c r="W257" s="277"/>
      <c r="X257" s="277"/>
      <c r="Y257" s="277"/>
      <c r="Z257" s="277"/>
    </row>
    <row r="258" ht="12.75" customHeight="1">
      <c r="A258" s="277"/>
      <c r="B258" s="278"/>
      <c r="C258" s="279"/>
      <c r="D258" s="277"/>
      <c r="E258" s="277"/>
      <c r="F258" s="277"/>
      <c r="G258" s="277"/>
      <c r="H258" s="277"/>
      <c r="I258" s="277"/>
      <c r="J258" s="277"/>
      <c r="K258" s="409"/>
      <c r="L258" s="477"/>
      <c r="M258" s="277"/>
      <c r="N258" s="277"/>
      <c r="O258" s="277"/>
      <c r="P258" s="277"/>
      <c r="Q258" s="277"/>
      <c r="R258" s="277"/>
      <c r="S258" s="277"/>
      <c r="T258" s="277"/>
      <c r="U258" s="277"/>
      <c r="V258" s="277"/>
      <c r="W258" s="277"/>
      <c r="X258" s="277"/>
      <c r="Y258" s="277"/>
      <c r="Z258" s="277"/>
    </row>
    <row r="259" ht="12.75" customHeight="1">
      <c r="A259" s="277"/>
      <c r="B259" s="278"/>
      <c r="C259" s="279"/>
      <c r="D259" s="277"/>
      <c r="E259" s="277"/>
      <c r="F259" s="277"/>
      <c r="G259" s="277"/>
      <c r="H259" s="277"/>
      <c r="I259" s="277"/>
      <c r="J259" s="277"/>
      <c r="K259" s="409"/>
      <c r="L259" s="477"/>
      <c r="M259" s="277"/>
      <c r="N259" s="277"/>
      <c r="O259" s="277"/>
      <c r="P259" s="277"/>
      <c r="Q259" s="277"/>
      <c r="R259" s="277"/>
      <c r="S259" s="277"/>
      <c r="T259" s="277"/>
      <c r="U259" s="277"/>
      <c r="V259" s="277"/>
      <c r="W259" s="277"/>
      <c r="X259" s="277"/>
      <c r="Y259" s="277"/>
      <c r="Z259" s="277"/>
    </row>
    <row r="260" ht="12.75" customHeight="1">
      <c r="A260" s="277"/>
      <c r="B260" s="278"/>
      <c r="C260" s="279"/>
      <c r="D260" s="277"/>
      <c r="E260" s="277"/>
      <c r="F260" s="277"/>
      <c r="G260" s="277"/>
      <c r="H260" s="277"/>
      <c r="I260" s="277"/>
      <c r="J260" s="277"/>
      <c r="K260" s="409"/>
      <c r="L260" s="477"/>
      <c r="M260" s="277"/>
      <c r="N260" s="277"/>
      <c r="O260" s="277"/>
      <c r="P260" s="277"/>
      <c r="Q260" s="277"/>
      <c r="R260" s="277"/>
      <c r="S260" s="277"/>
      <c r="T260" s="277"/>
      <c r="U260" s="277"/>
      <c r="V260" s="277"/>
      <c r="W260" s="277"/>
      <c r="X260" s="277"/>
      <c r="Y260" s="277"/>
      <c r="Z260" s="277"/>
    </row>
    <row r="261" ht="12.75" customHeight="1">
      <c r="A261" s="277"/>
      <c r="B261" s="278"/>
      <c r="C261" s="279"/>
      <c r="D261" s="277"/>
      <c r="E261" s="277"/>
      <c r="F261" s="277"/>
      <c r="G261" s="277"/>
      <c r="H261" s="277"/>
      <c r="I261" s="277"/>
      <c r="J261" s="277"/>
      <c r="K261" s="409"/>
      <c r="L261" s="477"/>
      <c r="M261" s="277"/>
      <c r="N261" s="277"/>
      <c r="O261" s="277"/>
      <c r="P261" s="277"/>
      <c r="Q261" s="277"/>
      <c r="R261" s="277"/>
      <c r="S261" s="277"/>
      <c r="T261" s="277"/>
      <c r="U261" s="277"/>
      <c r="V261" s="277"/>
      <c r="W261" s="277"/>
      <c r="X261" s="277"/>
      <c r="Y261" s="277"/>
      <c r="Z261" s="277"/>
    </row>
    <row r="262" ht="12.75" customHeight="1">
      <c r="A262" s="277"/>
      <c r="B262" s="278"/>
      <c r="C262" s="279"/>
      <c r="D262" s="277"/>
      <c r="E262" s="277"/>
      <c r="F262" s="277"/>
      <c r="G262" s="277"/>
      <c r="H262" s="277"/>
      <c r="I262" s="277"/>
      <c r="J262" s="277"/>
      <c r="K262" s="409"/>
      <c r="L262" s="477"/>
      <c r="M262" s="277"/>
      <c r="N262" s="277"/>
      <c r="O262" s="277"/>
      <c r="P262" s="277"/>
      <c r="Q262" s="277"/>
      <c r="R262" s="277"/>
      <c r="S262" s="277"/>
      <c r="T262" s="277"/>
      <c r="U262" s="277"/>
      <c r="V262" s="277"/>
      <c r="W262" s="277"/>
      <c r="X262" s="277"/>
      <c r="Y262" s="277"/>
      <c r="Z262" s="277"/>
    </row>
    <row r="263" ht="12.75" customHeight="1">
      <c r="A263" s="277"/>
      <c r="B263" s="278"/>
      <c r="C263" s="279"/>
      <c r="D263" s="277"/>
      <c r="E263" s="277"/>
      <c r="F263" s="277"/>
      <c r="G263" s="277"/>
      <c r="H263" s="277"/>
      <c r="I263" s="277"/>
      <c r="J263" s="277"/>
      <c r="K263" s="409"/>
      <c r="L263" s="477"/>
      <c r="M263" s="277"/>
      <c r="N263" s="277"/>
      <c r="O263" s="277"/>
      <c r="P263" s="277"/>
      <c r="Q263" s="277"/>
      <c r="R263" s="277"/>
      <c r="S263" s="277"/>
      <c r="T263" s="277"/>
      <c r="U263" s="277"/>
      <c r="V263" s="277"/>
      <c r="W263" s="277"/>
      <c r="X263" s="277"/>
      <c r="Y263" s="277"/>
      <c r="Z263" s="277"/>
    </row>
    <row r="264" ht="12.75" customHeight="1">
      <c r="A264" s="277"/>
      <c r="B264" s="278"/>
      <c r="C264" s="279"/>
      <c r="D264" s="277"/>
      <c r="E264" s="277"/>
      <c r="F264" s="277"/>
      <c r="G264" s="277"/>
      <c r="H264" s="277"/>
      <c r="I264" s="277"/>
      <c r="J264" s="277"/>
      <c r="K264" s="409"/>
      <c r="L264" s="477"/>
      <c r="M264" s="277"/>
      <c r="N264" s="277"/>
      <c r="O264" s="277"/>
      <c r="P264" s="277"/>
      <c r="Q264" s="277"/>
      <c r="R264" s="277"/>
      <c r="S264" s="277"/>
      <c r="T264" s="277"/>
      <c r="U264" s="277"/>
      <c r="V264" s="277"/>
      <c r="W264" s="277"/>
      <c r="X264" s="277"/>
      <c r="Y264" s="277"/>
      <c r="Z264" s="277"/>
    </row>
    <row r="265" ht="12.75" customHeight="1">
      <c r="A265" s="277"/>
      <c r="B265" s="278"/>
      <c r="C265" s="279"/>
      <c r="D265" s="277"/>
      <c r="E265" s="277"/>
      <c r="F265" s="277"/>
      <c r="G265" s="277"/>
      <c r="H265" s="277"/>
      <c r="I265" s="277"/>
      <c r="J265" s="277"/>
      <c r="K265" s="409"/>
      <c r="L265" s="477"/>
      <c r="M265" s="277"/>
      <c r="N265" s="277"/>
      <c r="O265" s="277"/>
      <c r="P265" s="277"/>
      <c r="Q265" s="277"/>
      <c r="R265" s="277"/>
      <c r="S265" s="277"/>
      <c r="T265" s="277"/>
      <c r="U265" s="277"/>
      <c r="V265" s="277"/>
      <c r="W265" s="277"/>
      <c r="X265" s="277"/>
      <c r="Y265" s="277"/>
      <c r="Z265" s="277"/>
    </row>
    <row r="266" ht="12.75" customHeight="1">
      <c r="A266" s="277"/>
      <c r="B266" s="278"/>
      <c r="C266" s="279"/>
      <c r="D266" s="277"/>
      <c r="E266" s="277"/>
      <c r="F266" s="277"/>
      <c r="G266" s="277"/>
      <c r="H266" s="277"/>
      <c r="I266" s="277"/>
      <c r="J266" s="277"/>
      <c r="K266" s="409"/>
      <c r="L266" s="477"/>
      <c r="M266" s="277"/>
      <c r="N266" s="277"/>
      <c r="O266" s="277"/>
      <c r="P266" s="277"/>
      <c r="Q266" s="277"/>
      <c r="R266" s="277"/>
      <c r="S266" s="277"/>
      <c r="T266" s="277"/>
      <c r="U266" s="277"/>
      <c r="V266" s="277"/>
      <c r="W266" s="277"/>
      <c r="X266" s="277"/>
      <c r="Y266" s="277"/>
      <c r="Z266" s="277"/>
    </row>
    <row r="267" ht="12.75" customHeight="1">
      <c r="A267" s="277"/>
      <c r="B267" s="278"/>
      <c r="C267" s="279"/>
      <c r="D267" s="277"/>
      <c r="E267" s="277"/>
      <c r="F267" s="277"/>
      <c r="G267" s="277"/>
      <c r="H267" s="277"/>
      <c r="I267" s="277"/>
      <c r="J267" s="277"/>
      <c r="K267" s="409"/>
      <c r="L267" s="477"/>
      <c r="M267" s="277"/>
      <c r="N267" s="277"/>
      <c r="O267" s="277"/>
      <c r="P267" s="277"/>
      <c r="Q267" s="277"/>
      <c r="R267" s="277"/>
      <c r="S267" s="277"/>
      <c r="T267" s="277"/>
      <c r="U267" s="277"/>
      <c r="V267" s="277"/>
      <c r="W267" s="277"/>
      <c r="X267" s="277"/>
      <c r="Y267" s="277"/>
      <c r="Z267" s="277"/>
    </row>
    <row r="268" ht="12.75" customHeight="1">
      <c r="A268" s="277"/>
      <c r="B268" s="278"/>
      <c r="C268" s="279"/>
      <c r="D268" s="277"/>
      <c r="E268" s="277"/>
      <c r="F268" s="277"/>
      <c r="G268" s="277"/>
      <c r="H268" s="277"/>
      <c r="I268" s="277"/>
      <c r="J268" s="277"/>
      <c r="K268" s="409"/>
      <c r="L268" s="477"/>
      <c r="M268" s="277"/>
      <c r="N268" s="277"/>
      <c r="O268" s="277"/>
      <c r="P268" s="277"/>
      <c r="Q268" s="277"/>
      <c r="R268" s="277"/>
      <c r="S268" s="277"/>
      <c r="T268" s="277"/>
      <c r="U268" s="277"/>
      <c r="V268" s="277"/>
      <c r="W268" s="277"/>
      <c r="X268" s="277"/>
      <c r="Y268" s="277"/>
      <c r="Z268" s="277"/>
    </row>
    <row r="269" ht="12.75" customHeight="1">
      <c r="A269" s="277"/>
      <c r="B269" s="278"/>
      <c r="C269" s="279"/>
      <c r="D269" s="277"/>
      <c r="E269" s="277"/>
      <c r="F269" s="277"/>
      <c r="G269" s="277"/>
      <c r="H269" s="277"/>
      <c r="I269" s="277"/>
      <c r="J269" s="277"/>
      <c r="K269" s="409"/>
      <c r="L269" s="477"/>
      <c r="M269" s="277"/>
      <c r="N269" s="277"/>
      <c r="O269" s="277"/>
      <c r="P269" s="277"/>
      <c r="Q269" s="277"/>
      <c r="R269" s="277"/>
      <c r="S269" s="277"/>
      <c r="T269" s="277"/>
      <c r="U269" s="277"/>
      <c r="V269" s="277"/>
      <c r="W269" s="277"/>
      <c r="X269" s="277"/>
      <c r="Y269" s="277"/>
      <c r="Z269" s="277"/>
    </row>
    <row r="270" ht="12.75" customHeight="1">
      <c r="A270" s="277"/>
      <c r="B270" s="278"/>
      <c r="C270" s="279"/>
      <c r="D270" s="277"/>
      <c r="E270" s="277"/>
      <c r="F270" s="277"/>
      <c r="G270" s="277"/>
      <c r="H270" s="277"/>
      <c r="I270" s="277"/>
      <c r="J270" s="277"/>
      <c r="K270" s="409"/>
      <c r="L270" s="477"/>
      <c r="M270" s="277"/>
      <c r="N270" s="277"/>
      <c r="O270" s="277"/>
      <c r="P270" s="277"/>
      <c r="Q270" s="277"/>
      <c r="R270" s="277"/>
      <c r="S270" s="277"/>
      <c r="T270" s="277"/>
      <c r="U270" s="277"/>
      <c r="V270" s="277"/>
      <c r="W270" s="277"/>
      <c r="X270" s="277"/>
      <c r="Y270" s="277"/>
      <c r="Z270" s="277"/>
    </row>
    <row r="271" ht="12.75" customHeight="1">
      <c r="A271" s="277"/>
      <c r="B271" s="278"/>
      <c r="C271" s="279"/>
      <c r="D271" s="277"/>
      <c r="E271" s="277"/>
      <c r="F271" s="277"/>
      <c r="G271" s="277"/>
      <c r="H271" s="277"/>
      <c r="I271" s="277"/>
      <c r="J271" s="277"/>
      <c r="K271" s="409"/>
      <c r="L271" s="477"/>
      <c r="M271" s="277"/>
      <c r="N271" s="277"/>
      <c r="O271" s="277"/>
      <c r="P271" s="277"/>
      <c r="Q271" s="277"/>
      <c r="R271" s="277"/>
      <c r="S271" s="277"/>
      <c r="T271" s="277"/>
      <c r="U271" s="277"/>
      <c r="V271" s="277"/>
      <c r="W271" s="277"/>
      <c r="X271" s="277"/>
      <c r="Y271" s="277"/>
      <c r="Z271" s="277"/>
    </row>
    <row r="272" ht="12.75" customHeight="1">
      <c r="A272" s="277"/>
      <c r="B272" s="278"/>
      <c r="C272" s="279"/>
      <c r="D272" s="277"/>
      <c r="E272" s="277"/>
      <c r="F272" s="277"/>
      <c r="G272" s="277"/>
      <c r="H272" s="277"/>
      <c r="I272" s="277"/>
      <c r="J272" s="277"/>
      <c r="K272" s="409"/>
      <c r="L272" s="477"/>
      <c r="M272" s="277"/>
      <c r="N272" s="277"/>
      <c r="O272" s="277"/>
      <c r="P272" s="277"/>
      <c r="Q272" s="277"/>
      <c r="R272" s="277"/>
      <c r="S272" s="277"/>
      <c r="T272" s="277"/>
      <c r="U272" s="277"/>
      <c r="V272" s="277"/>
      <c r="W272" s="277"/>
      <c r="X272" s="277"/>
      <c r="Y272" s="277"/>
      <c r="Z272" s="277"/>
    </row>
    <row r="273" ht="12.75" customHeight="1">
      <c r="A273" s="277"/>
      <c r="B273" s="278"/>
      <c r="C273" s="279"/>
      <c r="D273" s="277"/>
      <c r="E273" s="277"/>
      <c r="F273" s="277"/>
      <c r="G273" s="277"/>
      <c r="H273" s="277"/>
      <c r="I273" s="277"/>
      <c r="J273" s="277"/>
      <c r="K273" s="409"/>
      <c r="L273" s="477"/>
      <c r="M273" s="277"/>
      <c r="N273" s="277"/>
      <c r="O273" s="277"/>
      <c r="P273" s="277"/>
      <c r="Q273" s="277"/>
      <c r="R273" s="277"/>
      <c r="S273" s="277"/>
      <c r="T273" s="277"/>
      <c r="U273" s="277"/>
      <c r="V273" s="277"/>
      <c r="W273" s="277"/>
      <c r="X273" s="277"/>
      <c r="Y273" s="277"/>
      <c r="Z273" s="277"/>
    </row>
    <row r="274" ht="12.75" customHeight="1">
      <c r="A274" s="277"/>
      <c r="B274" s="278"/>
      <c r="C274" s="279"/>
      <c r="D274" s="277"/>
      <c r="E274" s="277"/>
      <c r="F274" s="277"/>
      <c r="G274" s="277"/>
      <c r="H274" s="277"/>
      <c r="I274" s="277"/>
      <c r="J274" s="277"/>
      <c r="K274" s="409"/>
      <c r="L274" s="477"/>
      <c r="M274" s="277"/>
      <c r="N274" s="277"/>
      <c r="O274" s="277"/>
      <c r="P274" s="277"/>
      <c r="Q274" s="277"/>
      <c r="R274" s="277"/>
      <c r="S274" s="277"/>
      <c r="T274" s="277"/>
      <c r="U274" s="277"/>
      <c r="V274" s="277"/>
      <c r="W274" s="277"/>
      <c r="X274" s="277"/>
      <c r="Y274" s="277"/>
      <c r="Z274" s="277"/>
    </row>
    <row r="275" ht="12.75" customHeight="1">
      <c r="A275" s="277"/>
      <c r="B275" s="278"/>
      <c r="C275" s="279"/>
      <c r="D275" s="277"/>
      <c r="E275" s="277"/>
      <c r="F275" s="277"/>
      <c r="G275" s="277"/>
      <c r="H275" s="277"/>
      <c r="I275" s="277"/>
      <c r="J275" s="277"/>
      <c r="K275" s="409"/>
      <c r="L275" s="477"/>
      <c r="M275" s="277"/>
      <c r="N275" s="277"/>
      <c r="O275" s="277"/>
      <c r="P275" s="277"/>
      <c r="Q275" s="277"/>
      <c r="R275" s="277"/>
      <c r="S275" s="277"/>
      <c r="T275" s="277"/>
      <c r="U275" s="277"/>
      <c r="V275" s="277"/>
      <c r="W275" s="277"/>
      <c r="X275" s="277"/>
      <c r="Y275" s="277"/>
      <c r="Z275" s="277"/>
    </row>
    <row r="276" ht="12.75" customHeight="1">
      <c r="A276" s="277"/>
      <c r="B276" s="278"/>
      <c r="C276" s="279"/>
      <c r="D276" s="277"/>
      <c r="E276" s="277"/>
      <c r="F276" s="277"/>
      <c r="G276" s="277"/>
      <c r="H276" s="277"/>
      <c r="I276" s="277"/>
      <c r="J276" s="277"/>
      <c r="K276" s="409"/>
      <c r="L276" s="477"/>
      <c r="M276" s="277"/>
      <c r="N276" s="277"/>
      <c r="O276" s="277"/>
      <c r="P276" s="277"/>
      <c r="Q276" s="277"/>
      <c r="R276" s="277"/>
      <c r="S276" s="277"/>
      <c r="T276" s="277"/>
      <c r="U276" s="277"/>
      <c r="V276" s="277"/>
      <c r="W276" s="277"/>
      <c r="X276" s="277"/>
      <c r="Y276" s="277"/>
      <c r="Z276" s="277"/>
    </row>
    <row r="277" ht="12.75" customHeight="1">
      <c r="A277" s="277"/>
      <c r="B277" s="278"/>
      <c r="C277" s="279"/>
      <c r="D277" s="277"/>
      <c r="E277" s="277"/>
      <c r="F277" s="277"/>
      <c r="G277" s="277"/>
      <c r="H277" s="277"/>
      <c r="I277" s="277"/>
      <c r="J277" s="277"/>
      <c r="K277" s="409"/>
      <c r="L277" s="477"/>
      <c r="M277" s="277"/>
      <c r="N277" s="277"/>
      <c r="O277" s="277"/>
      <c r="P277" s="277"/>
      <c r="Q277" s="277"/>
      <c r="R277" s="277"/>
      <c r="S277" s="277"/>
      <c r="T277" s="277"/>
      <c r="U277" s="277"/>
      <c r="V277" s="277"/>
      <c r="W277" s="277"/>
      <c r="X277" s="277"/>
      <c r="Y277" s="277"/>
      <c r="Z277" s="277"/>
    </row>
    <row r="278" ht="12.75" customHeight="1">
      <c r="A278" s="277"/>
      <c r="B278" s="278"/>
      <c r="C278" s="279"/>
      <c r="D278" s="277"/>
      <c r="E278" s="277"/>
      <c r="F278" s="277"/>
      <c r="G278" s="277"/>
      <c r="H278" s="277"/>
      <c r="I278" s="277"/>
      <c r="J278" s="277"/>
      <c r="K278" s="409"/>
      <c r="L278" s="477"/>
      <c r="M278" s="277"/>
      <c r="N278" s="277"/>
      <c r="O278" s="277"/>
      <c r="P278" s="277"/>
      <c r="Q278" s="277"/>
      <c r="R278" s="277"/>
      <c r="S278" s="277"/>
      <c r="T278" s="277"/>
      <c r="U278" s="277"/>
      <c r="V278" s="277"/>
      <c r="W278" s="277"/>
      <c r="X278" s="277"/>
      <c r="Y278" s="277"/>
      <c r="Z278" s="277"/>
    </row>
    <row r="279" ht="12.75" customHeight="1">
      <c r="A279" s="277"/>
      <c r="B279" s="278"/>
      <c r="C279" s="279"/>
      <c r="D279" s="277"/>
      <c r="E279" s="277"/>
      <c r="F279" s="277"/>
      <c r="G279" s="277"/>
      <c r="H279" s="277"/>
      <c r="I279" s="277"/>
      <c r="J279" s="277"/>
      <c r="K279" s="409"/>
      <c r="L279" s="477"/>
      <c r="M279" s="277"/>
      <c r="N279" s="277"/>
      <c r="O279" s="277"/>
      <c r="P279" s="277"/>
      <c r="Q279" s="277"/>
      <c r="R279" s="277"/>
      <c r="S279" s="277"/>
      <c r="T279" s="277"/>
      <c r="U279" s="277"/>
      <c r="V279" s="277"/>
      <c r="W279" s="277"/>
      <c r="X279" s="277"/>
      <c r="Y279" s="277"/>
      <c r="Z279" s="277"/>
    </row>
    <row r="280" ht="12.75" customHeight="1">
      <c r="A280" s="277"/>
      <c r="B280" s="278"/>
      <c r="C280" s="279"/>
      <c r="D280" s="277"/>
      <c r="E280" s="277"/>
      <c r="F280" s="277"/>
      <c r="G280" s="277"/>
      <c r="H280" s="277"/>
      <c r="I280" s="277"/>
      <c r="J280" s="277"/>
      <c r="K280" s="409"/>
      <c r="L280" s="477"/>
      <c r="M280" s="277"/>
      <c r="N280" s="277"/>
      <c r="O280" s="277"/>
      <c r="P280" s="277"/>
      <c r="Q280" s="277"/>
      <c r="R280" s="277"/>
      <c r="S280" s="277"/>
      <c r="T280" s="277"/>
      <c r="U280" s="277"/>
      <c r="V280" s="277"/>
      <c r="W280" s="277"/>
      <c r="X280" s="277"/>
      <c r="Y280" s="277"/>
      <c r="Z280" s="277"/>
    </row>
    <row r="281" ht="12.75" customHeight="1">
      <c r="A281" s="277"/>
      <c r="B281" s="278"/>
      <c r="C281" s="279"/>
      <c r="D281" s="277"/>
      <c r="E281" s="277"/>
      <c r="F281" s="277"/>
      <c r="G281" s="277"/>
      <c r="H281" s="277"/>
      <c r="I281" s="277"/>
      <c r="J281" s="277"/>
      <c r="K281" s="409"/>
      <c r="L281" s="477"/>
      <c r="M281" s="277"/>
      <c r="N281" s="277"/>
      <c r="O281" s="277"/>
      <c r="P281" s="277"/>
      <c r="Q281" s="277"/>
      <c r="R281" s="277"/>
      <c r="S281" s="277"/>
      <c r="T281" s="277"/>
      <c r="U281" s="277"/>
      <c r="V281" s="277"/>
      <c r="W281" s="277"/>
      <c r="X281" s="277"/>
      <c r="Y281" s="277"/>
      <c r="Z281" s="277"/>
    </row>
    <row r="282" ht="12.75" customHeight="1">
      <c r="A282" s="277"/>
      <c r="B282" s="278"/>
      <c r="C282" s="279"/>
      <c r="D282" s="277"/>
      <c r="E282" s="277"/>
      <c r="F282" s="277"/>
      <c r="G282" s="277"/>
      <c r="H282" s="277"/>
      <c r="I282" s="277"/>
      <c r="J282" s="277"/>
      <c r="K282" s="409"/>
      <c r="L282" s="477"/>
      <c r="M282" s="277"/>
      <c r="N282" s="277"/>
      <c r="O282" s="277"/>
      <c r="P282" s="277"/>
      <c r="Q282" s="277"/>
      <c r="R282" s="277"/>
      <c r="S282" s="277"/>
      <c r="T282" s="277"/>
      <c r="U282" s="277"/>
      <c r="V282" s="277"/>
      <c r="W282" s="277"/>
      <c r="X282" s="277"/>
      <c r="Y282" s="277"/>
      <c r="Z282" s="277"/>
    </row>
    <row r="283" ht="12.75" customHeight="1">
      <c r="A283" s="277"/>
      <c r="B283" s="278"/>
      <c r="C283" s="279"/>
      <c r="D283" s="277"/>
      <c r="E283" s="277"/>
      <c r="F283" s="277"/>
      <c r="G283" s="277"/>
      <c r="H283" s="277"/>
      <c r="I283" s="277"/>
      <c r="J283" s="277"/>
      <c r="K283" s="409"/>
      <c r="L283" s="477"/>
      <c r="M283" s="277"/>
      <c r="N283" s="277"/>
      <c r="O283" s="277"/>
      <c r="P283" s="277"/>
      <c r="Q283" s="277"/>
      <c r="R283" s="277"/>
      <c r="S283" s="277"/>
      <c r="T283" s="277"/>
      <c r="U283" s="277"/>
      <c r="V283" s="277"/>
      <c r="W283" s="277"/>
      <c r="X283" s="277"/>
      <c r="Y283" s="277"/>
      <c r="Z283" s="277"/>
    </row>
    <row r="284" ht="12.75" customHeight="1">
      <c r="A284" s="277"/>
      <c r="B284" s="278"/>
      <c r="C284" s="279"/>
      <c r="D284" s="277"/>
      <c r="E284" s="277"/>
      <c r="F284" s="277"/>
      <c r="G284" s="277"/>
      <c r="H284" s="277"/>
      <c r="I284" s="277"/>
      <c r="J284" s="277"/>
      <c r="K284" s="409"/>
      <c r="L284" s="477"/>
      <c r="M284" s="277"/>
      <c r="N284" s="277"/>
      <c r="O284" s="277"/>
      <c r="P284" s="277"/>
      <c r="Q284" s="277"/>
      <c r="R284" s="277"/>
      <c r="S284" s="277"/>
      <c r="T284" s="277"/>
      <c r="U284" s="277"/>
      <c r="V284" s="277"/>
      <c r="W284" s="277"/>
      <c r="X284" s="277"/>
      <c r="Y284" s="277"/>
      <c r="Z284" s="277"/>
    </row>
    <row r="285" ht="12.75" customHeight="1">
      <c r="A285" s="277"/>
      <c r="B285" s="278"/>
      <c r="C285" s="279"/>
      <c r="D285" s="277"/>
      <c r="E285" s="277"/>
      <c r="F285" s="277"/>
      <c r="G285" s="277"/>
      <c r="H285" s="277"/>
      <c r="I285" s="277"/>
      <c r="J285" s="277"/>
      <c r="K285" s="409"/>
      <c r="L285" s="477"/>
      <c r="M285" s="277"/>
      <c r="N285" s="277"/>
      <c r="O285" s="277"/>
      <c r="P285" s="277"/>
      <c r="Q285" s="277"/>
      <c r="R285" s="277"/>
      <c r="S285" s="277"/>
      <c r="T285" s="277"/>
      <c r="U285" s="277"/>
      <c r="V285" s="277"/>
      <c r="W285" s="277"/>
      <c r="X285" s="277"/>
      <c r="Y285" s="277"/>
      <c r="Z285" s="277"/>
    </row>
    <row r="286" ht="12.75" customHeight="1">
      <c r="A286" s="277"/>
      <c r="B286" s="278"/>
      <c r="C286" s="279"/>
      <c r="D286" s="277"/>
      <c r="E286" s="277"/>
      <c r="F286" s="277"/>
      <c r="G286" s="277"/>
      <c r="H286" s="277"/>
      <c r="I286" s="277"/>
      <c r="J286" s="277"/>
      <c r="K286" s="409"/>
      <c r="L286" s="477"/>
      <c r="M286" s="277"/>
      <c r="N286" s="277"/>
      <c r="O286" s="277"/>
      <c r="P286" s="277"/>
      <c r="Q286" s="277"/>
      <c r="R286" s="277"/>
      <c r="S286" s="277"/>
      <c r="T286" s="277"/>
      <c r="U286" s="277"/>
      <c r="V286" s="277"/>
      <c r="W286" s="277"/>
      <c r="X286" s="277"/>
      <c r="Y286" s="277"/>
      <c r="Z286" s="277"/>
    </row>
    <row r="287" ht="12.75" customHeight="1">
      <c r="A287" s="277"/>
      <c r="B287" s="278"/>
      <c r="C287" s="279"/>
      <c r="D287" s="277"/>
      <c r="E287" s="277"/>
      <c r="F287" s="277"/>
      <c r="G287" s="277"/>
      <c r="H287" s="277"/>
      <c r="I287" s="277"/>
      <c r="J287" s="277"/>
      <c r="K287" s="409"/>
      <c r="L287" s="477"/>
      <c r="M287" s="277"/>
      <c r="N287" s="277"/>
      <c r="O287" s="277"/>
      <c r="P287" s="277"/>
      <c r="Q287" s="277"/>
      <c r="R287" s="277"/>
      <c r="S287" s="277"/>
      <c r="T287" s="277"/>
      <c r="U287" s="277"/>
      <c r="V287" s="277"/>
      <c r="W287" s="277"/>
      <c r="X287" s="277"/>
      <c r="Y287" s="277"/>
      <c r="Z287" s="277"/>
    </row>
    <row r="288" ht="12.75" customHeight="1">
      <c r="A288" s="277"/>
      <c r="B288" s="278"/>
      <c r="C288" s="279"/>
      <c r="D288" s="277"/>
      <c r="E288" s="277"/>
      <c r="F288" s="277"/>
      <c r="G288" s="277"/>
      <c r="H288" s="277"/>
      <c r="I288" s="277"/>
      <c r="J288" s="277"/>
      <c r="K288" s="409"/>
      <c r="L288" s="477"/>
      <c r="M288" s="277"/>
      <c r="N288" s="277"/>
      <c r="O288" s="277"/>
      <c r="P288" s="277"/>
      <c r="Q288" s="277"/>
      <c r="R288" s="277"/>
      <c r="S288" s="277"/>
      <c r="T288" s="277"/>
      <c r="U288" s="277"/>
      <c r="V288" s="277"/>
      <c r="W288" s="277"/>
      <c r="X288" s="277"/>
      <c r="Y288" s="277"/>
      <c r="Z288" s="277"/>
    </row>
    <row r="289" ht="12.75" customHeight="1">
      <c r="A289" s="277"/>
      <c r="B289" s="278"/>
      <c r="C289" s="279"/>
      <c r="D289" s="277"/>
      <c r="E289" s="277"/>
      <c r="F289" s="277"/>
      <c r="G289" s="277"/>
      <c r="H289" s="277"/>
      <c r="I289" s="277"/>
      <c r="J289" s="277"/>
      <c r="K289" s="409"/>
      <c r="L289" s="477"/>
      <c r="M289" s="277"/>
      <c r="N289" s="277"/>
      <c r="O289" s="277"/>
      <c r="P289" s="277"/>
      <c r="Q289" s="277"/>
      <c r="R289" s="277"/>
      <c r="S289" s="277"/>
      <c r="T289" s="277"/>
      <c r="U289" s="277"/>
      <c r="V289" s="277"/>
      <c r="W289" s="277"/>
      <c r="X289" s="277"/>
      <c r="Y289" s="277"/>
      <c r="Z289" s="277"/>
    </row>
    <row r="290" ht="12.75" customHeight="1">
      <c r="A290" s="277"/>
      <c r="B290" s="278"/>
      <c r="C290" s="279"/>
      <c r="D290" s="277"/>
      <c r="E290" s="277"/>
      <c r="F290" s="277"/>
      <c r="G290" s="277"/>
      <c r="H290" s="277"/>
      <c r="I290" s="277"/>
      <c r="J290" s="277"/>
      <c r="K290" s="409"/>
      <c r="L290" s="477"/>
      <c r="M290" s="277"/>
      <c r="N290" s="277"/>
      <c r="O290" s="277"/>
      <c r="P290" s="277"/>
      <c r="Q290" s="277"/>
      <c r="R290" s="277"/>
      <c r="S290" s="277"/>
      <c r="T290" s="277"/>
      <c r="U290" s="277"/>
      <c r="V290" s="277"/>
      <c r="W290" s="277"/>
      <c r="X290" s="277"/>
      <c r="Y290" s="277"/>
      <c r="Z290" s="277"/>
    </row>
    <row r="291" ht="12.75" customHeight="1">
      <c r="A291" s="277"/>
      <c r="B291" s="278"/>
      <c r="C291" s="279"/>
      <c r="D291" s="277"/>
      <c r="E291" s="277"/>
      <c r="F291" s="277"/>
      <c r="G291" s="277"/>
      <c r="H291" s="277"/>
      <c r="I291" s="277"/>
      <c r="J291" s="277"/>
      <c r="K291" s="409"/>
      <c r="L291" s="477"/>
      <c r="M291" s="277"/>
      <c r="N291" s="277"/>
      <c r="O291" s="277"/>
      <c r="P291" s="277"/>
      <c r="Q291" s="277"/>
      <c r="R291" s="277"/>
      <c r="S291" s="277"/>
      <c r="T291" s="277"/>
      <c r="U291" s="277"/>
      <c r="V291" s="277"/>
      <c r="W291" s="277"/>
      <c r="X291" s="277"/>
      <c r="Y291" s="277"/>
      <c r="Z291" s="277"/>
    </row>
    <row r="292" ht="12.75" customHeight="1">
      <c r="A292" s="277"/>
      <c r="B292" s="278"/>
      <c r="C292" s="279"/>
      <c r="D292" s="277"/>
      <c r="E292" s="277"/>
      <c r="F292" s="277"/>
      <c r="G292" s="277"/>
      <c r="H292" s="277"/>
      <c r="I292" s="277"/>
      <c r="J292" s="277"/>
      <c r="K292" s="409"/>
      <c r="L292" s="477"/>
      <c r="M292" s="277"/>
      <c r="N292" s="277"/>
      <c r="O292" s="277"/>
      <c r="P292" s="277"/>
      <c r="Q292" s="277"/>
      <c r="R292" s="277"/>
      <c r="S292" s="277"/>
      <c r="T292" s="277"/>
      <c r="U292" s="277"/>
      <c r="V292" s="277"/>
      <c r="W292" s="277"/>
      <c r="X292" s="277"/>
      <c r="Y292" s="277"/>
      <c r="Z292" s="277"/>
    </row>
    <row r="293" ht="12.75" customHeight="1">
      <c r="A293" s="277"/>
      <c r="B293" s="278"/>
      <c r="C293" s="279"/>
      <c r="D293" s="277"/>
      <c r="E293" s="277"/>
      <c r="F293" s="277"/>
      <c r="G293" s="277"/>
      <c r="H293" s="277"/>
      <c r="I293" s="277"/>
      <c r="J293" s="277"/>
      <c r="K293" s="409"/>
      <c r="L293" s="477"/>
      <c r="M293" s="277"/>
      <c r="N293" s="277"/>
      <c r="O293" s="277"/>
      <c r="P293" s="277"/>
      <c r="Q293" s="277"/>
      <c r="R293" s="277"/>
      <c r="S293" s="277"/>
      <c r="T293" s="277"/>
      <c r="U293" s="277"/>
      <c r="V293" s="277"/>
      <c r="W293" s="277"/>
      <c r="X293" s="277"/>
      <c r="Y293" s="277"/>
      <c r="Z293" s="277"/>
    </row>
    <row r="294" ht="12.75" customHeight="1">
      <c r="A294" s="277"/>
      <c r="B294" s="278"/>
      <c r="C294" s="279"/>
      <c r="D294" s="277"/>
      <c r="E294" s="277"/>
      <c r="F294" s="277"/>
      <c r="G294" s="277"/>
      <c r="H294" s="277"/>
      <c r="I294" s="277"/>
      <c r="J294" s="277"/>
      <c r="K294" s="409"/>
      <c r="L294" s="477"/>
      <c r="M294" s="277"/>
      <c r="N294" s="277"/>
      <c r="O294" s="277"/>
      <c r="P294" s="277"/>
      <c r="Q294" s="277"/>
      <c r="R294" s="277"/>
      <c r="S294" s="277"/>
      <c r="T294" s="277"/>
      <c r="U294" s="277"/>
      <c r="V294" s="277"/>
      <c r="W294" s="277"/>
      <c r="X294" s="277"/>
      <c r="Y294" s="277"/>
      <c r="Z294" s="277"/>
    </row>
    <row r="295" ht="12.75" customHeight="1">
      <c r="A295" s="277"/>
      <c r="B295" s="278"/>
      <c r="C295" s="279"/>
      <c r="D295" s="277"/>
      <c r="E295" s="277"/>
      <c r="F295" s="277"/>
      <c r="G295" s="277"/>
      <c r="H295" s="277"/>
      <c r="I295" s="277"/>
      <c r="J295" s="277"/>
      <c r="K295" s="409"/>
      <c r="L295" s="477"/>
      <c r="M295" s="277"/>
      <c r="N295" s="277"/>
      <c r="O295" s="277"/>
      <c r="P295" s="277"/>
      <c r="Q295" s="277"/>
      <c r="R295" s="277"/>
      <c r="S295" s="277"/>
      <c r="T295" s="277"/>
      <c r="U295" s="277"/>
      <c r="V295" s="277"/>
      <c r="W295" s="277"/>
      <c r="X295" s="277"/>
      <c r="Y295" s="277"/>
      <c r="Z295" s="277"/>
    </row>
    <row r="296" ht="12.75" customHeight="1">
      <c r="A296" s="277"/>
      <c r="B296" s="278"/>
      <c r="C296" s="279"/>
      <c r="D296" s="277"/>
      <c r="E296" s="277"/>
      <c r="F296" s="277"/>
      <c r="G296" s="277"/>
      <c r="H296" s="277"/>
      <c r="I296" s="277"/>
      <c r="J296" s="277"/>
      <c r="K296" s="409"/>
      <c r="L296" s="477"/>
      <c r="M296" s="277"/>
      <c r="N296" s="277"/>
      <c r="O296" s="277"/>
      <c r="P296" s="277"/>
      <c r="Q296" s="277"/>
      <c r="R296" s="277"/>
      <c r="S296" s="277"/>
      <c r="T296" s="277"/>
      <c r="U296" s="277"/>
      <c r="V296" s="277"/>
      <c r="W296" s="277"/>
      <c r="X296" s="277"/>
      <c r="Y296" s="277"/>
      <c r="Z296" s="277"/>
    </row>
    <row r="297" ht="12.75" customHeight="1">
      <c r="A297" s="277"/>
      <c r="B297" s="278"/>
      <c r="C297" s="279"/>
      <c r="D297" s="277"/>
      <c r="E297" s="277"/>
      <c r="F297" s="277"/>
      <c r="G297" s="277"/>
      <c r="H297" s="277"/>
      <c r="I297" s="277"/>
      <c r="J297" s="277"/>
      <c r="K297" s="409"/>
      <c r="L297" s="477"/>
      <c r="M297" s="277"/>
      <c r="N297" s="277"/>
      <c r="O297" s="277"/>
      <c r="P297" s="277"/>
      <c r="Q297" s="277"/>
      <c r="R297" s="277"/>
      <c r="S297" s="277"/>
      <c r="T297" s="277"/>
      <c r="U297" s="277"/>
      <c r="V297" s="277"/>
      <c r="W297" s="277"/>
      <c r="X297" s="277"/>
      <c r="Y297" s="277"/>
      <c r="Z297" s="277"/>
    </row>
    <row r="298" ht="12.75" customHeight="1">
      <c r="A298" s="277"/>
      <c r="B298" s="278"/>
      <c r="C298" s="279"/>
      <c r="D298" s="277"/>
      <c r="E298" s="277"/>
      <c r="F298" s="277"/>
      <c r="G298" s="277"/>
      <c r="H298" s="277"/>
      <c r="I298" s="277"/>
      <c r="J298" s="277"/>
      <c r="K298" s="409"/>
      <c r="L298" s="477"/>
      <c r="M298" s="277"/>
      <c r="N298" s="277"/>
      <c r="O298" s="277"/>
      <c r="P298" s="277"/>
      <c r="Q298" s="277"/>
      <c r="R298" s="277"/>
      <c r="S298" s="277"/>
      <c r="T298" s="277"/>
      <c r="U298" s="277"/>
      <c r="V298" s="277"/>
      <c r="W298" s="277"/>
      <c r="X298" s="277"/>
      <c r="Y298" s="277"/>
      <c r="Z298" s="277"/>
    </row>
    <row r="299" ht="12.75" customHeight="1">
      <c r="A299" s="277"/>
      <c r="B299" s="278"/>
      <c r="C299" s="279"/>
      <c r="D299" s="277"/>
      <c r="E299" s="277"/>
      <c r="F299" s="277"/>
      <c r="G299" s="277"/>
      <c r="H299" s="277"/>
      <c r="I299" s="277"/>
      <c r="J299" s="277"/>
      <c r="K299" s="409"/>
      <c r="L299" s="477"/>
      <c r="M299" s="277"/>
      <c r="N299" s="277"/>
      <c r="O299" s="277"/>
      <c r="P299" s="277"/>
      <c r="Q299" s="277"/>
      <c r="R299" s="277"/>
      <c r="S299" s="277"/>
      <c r="T299" s="277"/>
      <c r="U299" s="277"/>
      <c r="V299" s="277"/>
      <c r="W299" s="277"/>
      <c r="X299" s="277"/>
      <c r="Y299" s="277"/>
      <c r="Z299" s="277"/>
    </row>
    <row r="300" ht="12.75" customHeight="1">
      <c r="A300" s="277"/>
      <c r="B300" s="278"/>
      <c r="C300" s="279"/>
      <c r="D300" s="277"/>
      <c r="E300" s="277"/>
      <c r="F300" s="277"/>
      <c r="G300" s="277"/>
      <c r="H300" s="277"/>
      <c r="I300" s="277"/>
      <c r="J300" s="277"/>
      <c r="K300" s="409"/>
      <c r="L300" s="477"/>
      <c r="M300" s="277"/>
      <c r="N300" s="277"/>
      <c r="O300" s="277"/>
      <c r="P300" s="277"/>
      <c r="Q300" s="277"/>
      <c r="R300" s="277"/>
      <c r="S300" s="277"/>
      <c r="T300" s="277"/>
      <c r="U300" s="277"/>
      <c r="V300" s="277"/>
      <c r="W300" s="277"/>
      <c r="X300" s="277"/>
      <c r="Y300" s="277"/>
      <c r="Z300" s="277"/>
    </row>
    <row r="301" ht="12.75" customHeight="1">
      <c r="A301" s="277"/>
      <c r="B301" s="278"/>
      <c r="C301" s="279"/>
      <c r="D301" s="277"/>
      <c r="E301" s="277"/>
      <c r="F301" s="277"/>
      <c r="G301" s="277"/>
      <c r="H301" s="277"/>
      <c r="I301" s="277"/>
      <c r="J301" s="277"/>
      <c r="K301" s="409"/>
      <c r="L301" s="477"/>
      <c r="M301" s="277"/>
      <c r="N301" s="277"/>
      <c r="O301" s="277"/>
      <c r="P301" s="277"/>
      <c r="Q301" s="277"/>
      <c r="R301" s="277"/>
      <c r="S301" s="277"/>
      <c r="T301" s="277"/>
      <c r="U301" s="277"/>
      <c r="V301" s="277"/>
      <c r="W301" s="277"/>
      <c r="X301" s="277"/>
      <c r="Y301" s="277"/>
      <c r="Z301" s="277"/>
    </row>
    <row r="302" ht="12.75" customHeight="1">
      <c r="A302" s="277"/>
      <c r="B302" s="278"/>
      <c r="C302" s="279"/>
      <c r="D302" s="277"/>
      <c r="E302" s="277"/>
      <c r="F302" s="277"/>
      <c r="G302" s="277"/>
      <c r="H302" s="277"/>
      <c r="I302" s="277"/>
      <c r="J302" s="277"/>
      <c r="K302" s="409"/>
      <c r="L302" s="477"/>
      <c r="M302" s="277"/>
      <c r="N302" s="277"/>
      <c r="O302" s="277"/>
      <c r="P302" s="277"/>
      <c r="Q302" s="277"/>
      <c r="R302" s="277"/>
      <c r="S302" s="277"/>
      <c r="T302" s="277"/>
      <c r="U302" s="277"/>
      <c r="V302" s="277"/>
      <c r="W302" s="277"/>
      <c r="X302" s="277"/>
      <c r="Y302" s="277"/>
      <c r="Z302" s="277"/>
    </row>
    <row r="303" ht="12.75" customHeight="1">
      <c r="A303" s="277"/>
      <c r="B303" s="278"/>
      <c r="C303" s="279"/>
      <c r="D303" s="277"/>
      <c r="E303" s="277"/>
      <c r="F303" s="277"/>
      <c r="G303" s="277"/>
      <c r="H303" s="277"/>
      <c r="I303" s="277"/>
      <c r="J303" s="277"/>
      <c r="K303" s="409"/>
      <c r="L303" s="477"/>
      <c r="M303" s="277"/>
      <c r="N303" s="277"/>
      <c r="O303" s="277"/>
      <c r="P303" s="277"/>
      <c r="Q303" s="277"/>
      <c r="R303" s="277"/>
      <c r="S303" s="277"/>
      <c r="T303" s="277"/>
      <c r="U303" s="277"/>
      <c r="V303" s="277"/>
      <c r="W303" s="277"/>
      <c r="X303" s="277"/>
      <c r="Y303" s="277"/>
      <c r="Z303" s="277"/>
    </row>
    <row r="304" ht="12.75" customHeight="1">
      <c r="A304" s="277"/>
      <c r="B304" s="278"/>
      <c r="C304" s="279"/>
      <c r="D304" s="277"/>
      <c r="E304" s="277"/>
      <c r="F304" s="277"/>
      <c r="G304" s="277"/>
      <c r="H304" s="277"/>
      <c r="I304" s="277"/>
      <c r="J304" s="277"/>
      <c r="K304" s="409"/>
      <c r="L304" s="477"/>
      <c r="M304" s="277"/>
      <c r="N304" s="277"/>
      <c r="O304" s="277"/>
      <c r="P304" s="277"/>
      <c r="Q304" s="277"/>
      <c r="R304" s="277"/>
      <c r="S304" s="277"/>
      <c r="T304" s="277"/>
      <c r="U304" s="277"/>
      <c r="V304" s="277"/>
      <c r="W304" s="277"/>
      <c r="X304" s="277"/>
      <c r="Y304" s="277"/>
      <c r="Z304" s="277"/>
    </row>
    <row r="305" ht="12.75" customHeight="1">
      <c r="A305" s="277"/>
      <c r="B305" s="278"/>
      <c r="C305" s="279"/>
      <c r="D305" s="277"/>
      <c r="E305" s="277"/>
      <c r="F305" s="277"/>
      <c r="G305" s="277"/>
      <c r="H305" s="277"/>
      <c r="I305" s="277"/>
      <c r="J305" s="277"/>
      <c r="K305" s="409"/>
      <c r="L305" s="477"/>
      <c r="M305" s="277"/>
      <c r="N305" s="277"/>
      <c r="O305" s="277"/>
      <c r="P305" s="277"/>
      <c r="Q305" s="277"/>
      <c r="R305" s="277"/>
      <c r="S305" s="277"/>
      <c r="T305" s="277"/>
      <c r="U305" s="277"/>
      <c r="V305" s="277"/>
      <c r="W305" s="277"/>
      <c r="X305" s="277"/>
      <c r="Y305" s="277"/>
      <c r="Z305" s="277"/>
    </row>
    <row r="306" ht="12.75" customHeight="1">
      <c r="A306" s="277"/>
      <c r="B306" s="278"/>
      <c r="C306" s="279"/>
      <c r="D306" s="277"/>
      <c r="E306" s="277"/>
      <c r="F306" s="277"/>
      <c r="G306" s="277"/>
      <c r="H306" s="277"/>
      <c r="I306" s="277"/>
      <c r="J306" s="277"/>
      <c r="K306" s="409"/>
      <c r="L306" s="477"/>
      <c r="M306" s="277"/>
      <c r="N306" s="277"/>
      <c r="O306" s="277"/>
      <c r="P306" s="277"/>
      <c r="Q306" s="277"/>
      <c r="R306" s="277"/>
      <c r="S306" s="277"/>
      <c r="T306" s="277"/>
      <c r="U306" s="277"/>
      <c r="V306" s="277"/>
      <c r="W306" s="277"/>
      <c r="X306" s="277"/>
      <c r="Y306" s="277"/>
      <c r="Z306" s="277"/>
    </row>
    <row r="307" ht="12.75" customHeight="1">
      <c r="A307" s="277"/>
      <c r="B307" s="278"/>
      <c r="C307" s="279"/>
      <c r="D307" s="277"/>
      <c r="E307" s="277"/>
      <c r="F307" s="277"/>
      <c r="G307" s="277"/>
      <c r="H307" s="277"/>
      <c r="I307" s="277"/>
      <c r="J307" s="277"/>
      <c r="K307" s="409"/>
      <c r="L307" s="477"/>
      <c r="M307" s="277"/>
      <c r="N307" s="277"/>
      <c r="O307" s="277"/>
      <c r="P307" s="277"/>
      <c r="Q307" s="277"/>
      <c r="R307" s="277"/>
      <c r="S307" s="277"/>
      <c r="T307" s="277"/>
      <c r="U307" s="277"/>
      <c r="V307" s="277"/>
      <c r="W307" s="277"/>
      <c r="X307" s="277"/>
      <c r="Y307" s="277"/>
      <c r="Z307" s="277"/>
    </row>
    <row r="308" ht="12.75" customHeight="1">
      <c r="A308" s="277"/>
      <c r="B308" s="278"/>
      <c r="C308" s="279"/>
      <c r="D308" s="277"/>
      <c r="E308" s="277"/>
      <c r="F308" s="277"/>
      <c r="G308" s="277"/>
      <c r="H308" s="277"/>
      <c r="I308" s="277"/>
      <c r="J308" s="277"/>
      <c r="K308" s="409"/>
      <c r="L308" s="477"/>
      <c r="M308" s="277"/>
      <c r="N308" s="277"/>
      <c r="O308" s="277"/>
      <c r="P308" s="277"/>
      <c r="Q308" s="277"/>
      <c r="R308" s="277"/>
      <c r="S308" s="277"/>
      <c r="T308" s="277"/>
      <c r="U308" s="277"/>
      <c r="V308" s="277"/>
      <c r="W308" s="277"/>
      <c r="X308" s="277"/>
      <c r="Y308" s="277"/>
      <c r="Z308" s="277"/>
    </row>
    <row r="309" ht="12.75" customHeight="1">
      <c r="A309" s="277"/>
      <c r="B309" s="278"/>
      <c r="C309" s="279"/>
      <c r="D309" s="277"/>
      <c r="E309" s="277"/>
      <c r="F309" s="277"/>
      <c r="G309" s="277"/>
      <c r="H309" s="277"/>
      <c r="I309" s="277"/>
      <c r="J309" s="277"/>
      <c r="K309" s="409"/>
      <c r="L309" s="477"/>
      <c r="M309" s="277"/>
      <c r="N309" s="277"/>
      <c r="O309" s="277"/>
      <c r="P309" s="277"/>
      <c r="Q309" s="277"/>
      <c r="R309" s="277"/>
      <c r="S309" s="277"/>
      <c r="T309" s="277"/>
      <c r="U309" s="277"/>
      <c r="V309" s="277"/>
      <c r="W309" s="277"/>
      <c r="X309" s="277"/>
      <c r="Y309" s="277"/>
      <c r="Z309" s="277"/>
    </row>
    <row r="310" ht="12.75" customHeight="1">
      <c r="A310" s="277"/>
      <c r="B310" s="278"/>
      <c r="C310" s="279"/>
      <c r="D310" s="277"/>
      <c r="E310" s="277"/>
      <c r="F310" s="277"/>
      <c r="G310" s="277"/>
      <c r="H310" s="277"/>
      <c r="I310" s="277"/>
      <c r="J310" s="277"/>
      <c r="K310" s="409"/>
      <c r="L310" s="477"/>
      <c r="M310" s="277"/>
      <c r="N310" s="277"/>
      <c r="O310" s="277"/>
      <c r="P310" s="277"/>
      <c r="Q310" s="277"/>
      <c r="R310" s="277"/>
      <c r="S310" s="277"/>
      <c r="T310" s="277"/>
      <c r="U310" s="277"/>
      <c r="V310" s="277"/>
      <c r="W310" s="277"/>
      <c r="X310" s="277"/>
      <c r="Y310" s="277"/>
      <c r="Z310" s="277"/>
    </row>
    <row r="311" ht="12.75" customHeight="1">
      <c r="A311" s="277"/>
      <c r="B311" s="278"/>
      <c r="C311" s="279"/>
      <c r="D311" s="277"/>
      <c r="E311" s="277"/>
      <c r="F311" s="277"/>
      <c r="G311" s="277"/>
      <c r="H311" s="277"/>
      <c r="I311" s="277"/>
      <c r="J311" s="277"/>
      <c r="K311" s="409"/>
      <c r="L311" s="477"/>
      <c r="M311" s="277"/>
      <c r="N311" s="277"/>
      <c r="O311" s="277"/>
      <c r="P311" s="277"/>
      <c r="Q311" s="277"/>
      <c r="R311" s="277"/>
      <c r="S311" s="277"/>
      <c r="T311" s="277"/>
      <c r="U311" s="277"/>
      <c r="V311" s="277"/>
      <c r="W311" s="277"/>
      <c r="X311" s="277"/>
      <c r="Y311" s="277"/>
      <c r="Z311" s="277"/>
    </row>
    <row r="312" ht="12.75" customHeight="1">
      <c r="A312" s="277"/>
      <c r="B312" s="278"/>
      <c r="C312" s="279"/>
      <c r="D312" s="277"/>
      <c r="E312" s="277"/>
      <c r="F312" s="277"/>
      <c r="G312" s="277"/>
      <c r="H312" s="277"/>
      <c r="I312" s="277"/>
      <c r="J312" s="277"/>
      <c r="K312" s="409"/>
      <c r="L312" s="477"/>
      <c r="M312" s="277"/>
      <c r="N312" s="277"/>
      <c r="O312" s="277"/>
      <c r="P312" s="277"/>
      <c r="Q312" s="277"/>
      <c r="R312" s="277"/>
      <c r="S312" s="277"/>
      <c r="T312" s="277"/>
      <c r="U312" s="277"/>
      <c r="V312" s="277"/>
      <c r="W312" s="277"/>
      <c r="X312" s="277"/>
      <c r="Y312" s="277"/>
      <c r="Z312" s="277"/>
    </row>
    <row r="313" ht="12.75" customHeight="1">
      <c r="A313" s="277"/>
      <c r="B313" s="278"/>
      <c r="C313" s="279"/>
      <c r="D313" s="277"/>
      <c r="E313" s="277"/>
      <c r="F313" s="277"/>
      <c r="G313" s="277"/>
      <c r="H313" s="277"/>
      <c r="I313" s="277"/>
      <c r="J313" s="277"/>
      <c r="K313" s="409"/>
      <c r="L313" s="477"/>
      <c r="M313" s="277"/>
      <c r="N313" s="277"/>
      <c r="O313" s="277"/>
      <c r="P313" s="277"/>
      <c r="Q313" s="277"/>
      <c r="R313" s="277"/>
      <c r="S313" s="277"/>
      <c r="T313" s="277"/>
      <c r="U313" s="277"/>
      <c r="V313" s="277"/>
      <c r="W313" s="277"/>
      <c r="X313" s="277"/>
      <c r="Y313" s="277"/>
      <c r="Z313" s="277"/>
    </row>
    <row r="314" ht="12.75" customHeight="1">
      <c r="A314" s="277"/>
      <c r="B314" s="278"/>
      <c r="C314" s="279"/>
      <c r="D314" s="277"/>
      <c r="E314" s="277"/>
      <c r="F314" s="277"/>
      <c r="G314" s="277"/>
      <c r="H314" s="277"/>
      <c r="I314" s="277"/>
      <c r="J314" s="277"/>
      <c r="K314" s="409"/>
      <c r="L314" s="477"/>
      <c r="M314" s="277"/>
      <c r="N314" s="277"/>
      <c r="O314" s="277"/>
      <c r="P314" s="277"/>
      <c r="Q314" s="277"/>
      <c r="R314" s="277"/>
      <c r="S314" s="277"/>
      <c r="T314" s="277"/>
      <c r="U314" s="277"/>
      <c r="V314" s="277"/>
      <c r="W314" s="277"/>
      <c r="X314" s="277"/>
      <c r="Y314" s="277"/>
      <c r="Z314" s="277"/>
    </row>
    <row r="315" ht="12.75" customHeight="1">
      <c r="A315" s="277"/>
      <c r="B315" s="278"/>
      <c r="C315" s="279"/>
      <c r="D315" s="277"/>
      <c r="E315" s="277"/>
      <c r="F315" s="277"/>
      <c r="G315" s="277"/>
      <c r="H315" s="277"/>
      <c r="I315" s="277"/>
      <c r="J315" s="277"/>
      <c r="K315" s="409"/>
      <c r="L315" s="477"/>
      <c r="M315" s="277"/>
      <c r="N315" s="277"/>
      <c r="O315" s="277"/>
      <c r="P315" s="277"/>
      <c r="Q315" s="277"/>
      <c r="R315" s="277"/>
      <c r="S315" s="277"/>
      <c r="T315" s="277"/>
      <c r="U315" s="277"/>
      <c r="V315" s="277"/>
      <c r="W315" s="277"/>
      <c r="X315" s="277"/>
      <c r="Y315" s="277"/>
      <c r="Z315" s="277"/>
    </row>
    <row r="316" ht="12.75" customHeight="1">
      <c r="A316" s="277"/>
      <c r="B316" s="278"/>
      <c r="C316" s="279"/>
      <c r="D316" s="277"/>
      <c r="E316" s="277"/>
      <c r="F316" s="277"/>
      <c r="G316" s="277"/>
      <c r="H316" s="277"/>
      <c r="I316" s="277"/>
      <c r="J316" s="277"/>
      <c r="K316" s="409"/>
      <c r="L316" s="477"/>
      <c r="M316" s="277"/>
      <c r="N316" s="277"/>
      <c r="O316" s="277"/>
      <c r="P316" s="277"/>
      <c r="Q316" s="277"/>
      <c r="R316" s="277"/>
      <c r="S316" s="277"/>
      <c r="T316" s="277"/>
      <c r="U316" s="277"/>
      <c r="V316" s="277"/>
      <c r="W316" s="277"/>
      <c r="X316" s="277"/>
      <c r="Y316" s="277"/>
      <c r="Z316" s="277"/>
    </row>
    <row r="317" ht="12.75" customHeight="1">
      <c r="A317" s="277"/>
      <c r="B317" s="278"/>
      <c r="C317" s="279"/>
      <c r="D317" s="277"/>
      <c r="E317" s="277"/>
      <c r="F317" s="277"/>
      <c r="G317" s="277"/>
      <c r="H317" s="277"/>
      <c r="I317" s="277"/>
      <c r="J317" s="277"/>
      <c r="K317" s="409"/>
      <c r="L317" s="477"/>
      <c r="M317" s="277"/>
      <c r="N317" s="277"/>
      <c r="O317" s="277"/>
      <c r="P317" s="277"/>
      <c r="Q317" s="277"/>
      <c r="R317" s="277"/>
      <c r="S317" s="277"/>
      <c r="T317" s="277"/>
      <c r="U317" s="277"/>
      <c r="V317" s="277"/>
      <c r="W317" s="277"/>
      <c r="X317" s="277"/>
      <c r="Y317" s="277"/>
      <c r="Z317" s="277"/>
    </row>
    <row r="318" ht="12.75" customHeight="1">
      <c r="A318" s="277"/>
      <c r="B318" s="278"/>
      <c r="C318" s="279"/>
      <c r="D318" s="277"/>
      <c r="E318" s="277"/>
      <c r="F318" s="277"/>
      <c r="G318" s="277"/>
      <c r="H318" s="277"/>
      <c r="I318" s="277"/>
      <c r="J318" s="277"/>
      <c r="K318" s="409"/>
      <c r="L318" s="477"/>
      <c r="M318" s="277"/>
      <c r="N318" s="277"/>
      <c r="O318" s="277"/>
      <c r="P318" s="277"/>
      <c r="Q318" s="277"/>
      <c r="R318" s="277"/>
      <c r="S318" s="277"/>
      <c r="T318" s="277"/>
      <c r="U318" s="277"/>
      <c r="V318" s="277"/>
      <c r="W318" s="277"/>
      <c r="X318" s="277"/>
      <c r="Y318" s="277"/>
      <c r="Z318" s="277"/>
    </row>
    <row r="319" ht="12.75" customHeight="1">
      <c r="A319" s="277"/>
      <c r="B319" s="278"/>
      <c r="C319" s="279"/>
      <c r="D319" s="277"/>
      <c r="E319" s="277"/>
      <c r="F319" s="277"/>
      <c r="G319" s="277"/>
      <c r="H319" s="277"/>
      <c r="I319" s="277"/>
      <c r="J319" s="277"/>
      <c r="K319" s="409"/>
      <c r="L319" s="477"/>
      <c r="M319" s="277"/>
      <c r="N319" s="277"/>
      <c r="O319" s="277"/>
      <c r="P319" s="277"/>
      <c r="Q319" s="277"/>
      <c r="R319" s="277"/>
      <c r="S319" s="277"/>
      <c r="T319" s="277"/>
      <c r="U319" s="277"/>
      <c r="V319" s="277"/>
      <c r="W319" s="277"/>
      <c r="X319" s="277"/>
      <c r="Y319" s="277"/>
      <c r="Z319" s="277"/>
    </row>
    <row r="320" ht="12.75" customHeight="1">
      <c r="A320" s="277"/>
      <c r="B320" s="278"/>
      <c r="C320" s="279"/>
      <c r="D320" s="277"/>
      <c r="E320" s="277"/>
      <c r="F320" s="277"/>
      <c r="G320" s="277"/>
      <c r="H320" s="277"/>
      <c r="I320" s="277"/>
      <c r="J320" s="277"/>
      <c r="K320" s="409"/>
      <c r="L320" s="477"/>
      <c r="M320" s="277"/>
      <c r="N320" s="277"/>
      <c r="O320" s="277"/>
      <c r="P320" s="277"/>
      <c r="Q320" s="277"/>
      <c r="R320" s="277"/>
      <c r="S320" s="277"/>
      <c r="T320" s="277"/>
      <c r="U320" s="277"/>
      <c r="V320" s="277"/>
      <c r="W320" s="277"/>
      <c r="X320" s="277"/>
      <c r="Y320" s="277"/>
      <c r="Z320" s="277"/>
    </row>
    <row r="321" ht="12.75" customHeight="1">
      <c r="A321" s="277"/>
      <c r="B321" s="278"/>
      <c r="C321" s="279"/>
      <c r="D321" s="277"/>
      <c r="E321" s="277"/>
      <c r="F321" s="277"/>
      <c r="G321" s="277"/>
      <c r="H321" s="277"/>
      <c r="I321" s="277"/>
      <c r="J321" s="277"/>
      <c r="K321" s="409"/>
      <c r="L321" s="477"/>
      <c r="M321" s="277"/>
      <c r="N321" s="277"/>
      <c r="O321" s="277"/>
      <c r="P321" s="277"/>
      <c r="Q321" s="277"/>
      <c r="R321" s="277"/>
      <c r="S321" s="277"/>
      <c r="T321" s="277"/>
      <c r="U321" s="277"/>
      <c r="V321" s="277"/>
      <c r="W321" s="277"/>
      <c r="X321" s="277"/>
      <c r="Y321" s="277"/>
      <c r="Z321" s="277"/>
    </row>
    <row r="322" ht="12.75" customHeight="1">
      <c r="A322" s="277"/>
      <c r="B322" s="278"/>
      <c r="C322" s="279"/>
      <c r="D322" s="277"/>
      <c r="E322" s="277"/>
      <c r="F322" s="277"/>
      <c r="G322" s="277"/>
      <c r="H322" s="277"/>
      <c r="I322" s="277"/>
      <c r="J322" s="277"/>
      <c r="K322" s="409"/>
      <c r="L322" s="477"/>
      <c r="M322" s="277"/>
      <c r="N322" s="277"/>
      <c r="O322" s="277"/>
      <c r="P322" s="277"/>
      <c r="Q322" s="277"/>
      <c r="R322" s="277"/>
      <c r="S322" s="277"/>
      <c r="T322" s="277"/>
      <c r="U322" s="277"/>
      <c r="V322" s="277"/>
      <c r="W322" s="277"/>
      <c r="X322" s="277"/>
      <c r="Y322" s="277"/>
      <c r="Z322" s="277"/>
    </row>
    <row r="323" ht="12.75" customHeight="1">
      <c r="A323" s="277"/>
      <c r="B323" s="278"/>
      <c r="C323" s="279"/>
      <c r="D323" s="277"/>
      <c r="E323" s="277"/>
      <c r="F323" s="277"/>
      <c r="G323" s="277"/>
      <c r="H323" s="277"/>
      <c r="I323" s="277"/>
      <c r="J323" s="277"/>
      <c r="K323" s="409"/>
      <c r="L323" s="477"/>
      <c r="M323" s="277"/>
      <c r="N323" s="277"/>
      <c r="O323" s="277"/>
      <c r="P323" s="277"/>
      <c r="Q323" s="277"/>
      <c r="R323" s="277"/>
      <c r="S323" s="277"/>
      <c r="T323" s="277"/>
      <c r="U323" s="277"/>
      <c r="V323" s="277"/>
      <c r="W323" s="277"/>
      <c r="X323" s="277"/>
      <c r="Y323" s="277"/>
      <c r="Z323" s="277"/>
    </row>
    <row r="324" ht="12.75" customHeight="1">
      <c r="A324" s="277"/>
      <c r="B324" s="278"/>
      <c r="C324" s="279"/>
      <c r="D324" s="277"/>
      <c r="E324" s="277"/>
      <c r="F324" s="277"/>
      <c r="G324" s="277"/>
      <c r="H324" s="277"/>
      <c r="I324" s="277"/>
      <c r="J324" s="277"/>
      <c r="K324" s="409"/>
      <c r="L324" s="477"/>
      <c r="M324" s="277"/>
      <c r="N324" s="277"/>
      <c r="O324" s="277"/>
      <c r="P324" s="277"/>
      <c r="Q324" s="277"/>
      <c r="R324" s="277"/>
      <c r="S324" s="277"/>
      <c r="T324" s="277"/>
      <c r="U324" s="277"/>
      <c r="V324" s="277"/>
      <c r="W324" s="277"/>
      <c r="X324" s="277"/>
      <c r="Y324" s="277"/>
      <c r="Z324" s="277"/>
    </row>
    <row r="325" ht="12.75" customHeight="1">
      <c r="A325" s="277"/>
      <c r="B325" s="278"/>
      <c r="C325" s="279"/>
      <c r="D325" s="277"/>
      <c r="E325" s="277"/>
      <c r="F325" s="277"/>
      <c r="G325" s="277"/>
      <c r="H325" s="277"/>
      <c r="I325" s="277"/>
      <c r="J325" s="277"/>
      <c r="K325" s="409"/>
      <c r="L325" s="477"/>
      <c r="M325" s="277"/>
      <c r="N325" s="277"/>
      <c r="O325" s="277"/>
      <c r="P325" s="277"/>
      <c r="Q325" s="277"/>
      <c r="R325" s="277"/>
      <c r="S325" s="277"/>
      <c r="T325" s="277"/>
      <c r="U325" s="277"/>
      <c r="V325" s="277"/>
      <c r="W325" s="277"/>
      <c r="X325" s="277"/>
      <c r="Y325" s="277"/>
      <c r="Z325" s="277"/>
    </row>
    <row r="326" ht="12.75" customHeight="1">
      <c r="A326" s="277"/>
      <c r="B326" s="278"/>
      <c r="C326" s="279"/>
      <c r="D326" s="277"/>
      <c r="E326" s="277"/>
      <c r="F326" s="277"/>
      <c r="G326" s="277"/>
      <c r="H326" s="277"/>
      <c r="I326" s="277"/>
      <c r="J326" s="277"/>
      <c r="K326" s="409"/>
      <c r="L326" s="477"/>
      <c r="M326" s="277"/>
      <c r="N326" s="277"/>
      <c r="O326" s="277"/>
      <c r="P326" s="277"/>
      <c r="Q326" s="277"/>
      <c r="R326" s="277"/>
      <c r="S326" s="277"/>
      <c r="T326" s="277"/>
      <c r="U326" s="277"/>
      <c r="V326" s="277"/>
      <c r="W326" s="277"/>
      <c r="X326" s="277"/>
      <c r="Y326" s="277"/>
      <c r="Z326" s="277"/>
    </row>
    <row r="327" ht="12.75" customHeight="1">
      <c r="A327" s="277"/>
      <c r="B327" s="278"/>
      <c r="C327" s="279"/>
      <c r="D327" s="277"/>
      <c r="E327" s="277"/>
      <c r="F327" s="277"/>
      <c r="G327" s="277"/>
      <c r="H327" s="277"/>
      <c r="I327" s="277"/>
      <c r="J327" s="277"/>
      <c r="K327" s="409"/>
      <c r="L327" s="477"/>
      <c r="M327" s="277"/>
      <c r="N327" s="277"/>
      <c r="O327" s="277"/>
      <c r="P327" s="277"/>
      <c r="Q327" s="277"/>
      <c r="R327" s="277"/>
      <c r="S327" s="277"/>
      <c r="T327" s="277"/>
      <c r="U327" s="277"/>
      <c r="V327" s="277"/>
      <c r="W327" s="277"/>
      <c r="X327" s="277"/>
      <c r="Y327" s="277"/>
      <c r="Z327" s="277"/>
    </row>
    <row r="328" ht="12.75" customHeight="1">
      <c r="A328" s="277"/>
      <c r="B328" s="278"/>
      <c r="C328" s="279"/>
      <c r="D328" s="277"/>
      <c r="E328" s="277"/>
      <c r="F328" s="277"/>
      <c r="G328" s="277"/>
      <c r="H328" s="277"/>
      <c r="I328" s="277"/>
      <c r="J328" s="277"/>
      <c r="K328" s="409"/>
      <c r="L328" s="477"/>
      <c r="M328" s="277"/>
      <c r="N328" s="277"/>
      <c r="O328" s="277"/>
      <c r="P328" s="277"/>
      <c r="Q328" s="277"/>
      <c r="R328" s="277"/>
      <c r="S328" s="277"/>
      <c r="T328" s="277"/>
      <c r="U328" s="277"/>
      <c r="V328" s="277"/>
      <c r="W328" s="277"/>
      <c r="X328" s="277"/>
      <c r="Y328" s="277"/>
      <c r="Z328" s="277"/>
    </row>
    <row r="329" ht="12.75" customHeight="1">
      <c r="A329" s="277"/>
      <c r="B329" s="278"/>
      <c r="C329" s="279"/>
      <c r="D329" s="277"/>
      <c r="E329" s="277"/>
      <c r="F329" s="277"/>
      <c r="G329" s="277"/>
      <c r="H329" s="277"/>
      <c r="I329" s="277"/>
      <c r="J329" s="277"/>
      <c r="K329" s="409"/>
      <c r="L329" s="477"/>
      <c r="M329" s="277"/>
      <c r="N329" s="277"/>
      <c r="O329" s="277"/>
      <c r="P329" s="277"/>
      <c r="Q329" s="277"/>
      <c r="R329" s="277"/>
      <c r="S329" s="277"/>
      <c r="T329" s="277"/>
      <c r="U329" s="277"/>
      <c r="V329" s="277"/>
      <c r="W329" s="277"/>
      <c r="X329" s="277"/>
      <c r="Y329" s="277"/>
      <c r="Z329" s="277"/>
    </row>
    <row r="330" ht="12.75" customHeight="1">
      <c r="A330" s="277"/>
      <c r="B330" s="278"/>
      <c r="C330" s="279"/>
      <c r="D330" s="277"/>
      <c r="E330" s="277"/>
      <c r="F330" s="277"/>
      <c r="G330" s="277"/>
      <c r="H330" s="277"/>
      <c r="I330" s="277"/>
      <c r="J330" s="277"/>
      <c r="K330" s="409"/>
      <c r="L330" s="477"/>
      <c r="M330" s="277"/>
      <c r="N330" s="277"/>
      <c r="O330" s="277"/>
      <c r="P330" s="277"/>
      <c r="Q330" s="277"/>
      <c r="R330" s="277"/>
      <c r="S330" s="277"/>
      <c r="T330" s="277"/>
      <c r="U330" s="277"/>
      <c r="V330" s="277"/>
      <c r="W330" s="277"/>
      <c r="X330" s="277"/>
      <c r="Y330" s="277"/>
      <c r="Z330" s="277"/>
    </row>
    <row r="331" ht="12.75" customHeight="1">
      <c r="A331" s="277"/>
      <c r="B331" s="278"/>
      <c r="C331" s="279"/>
      <c r="D331" s="277"/>
      <c r="E331" s="277"/>
      <c r="F331" s="277"/>
      <c r="G331" s="277"/>
      <c r="H331" s="277"/>
      <c r="I331" s="277"/>
      <c r="J331" s="277"/>
      <c r="K331" s="409"/>
      <c r="L331" s="477"/>
      <c r="M331" s="277"/>
      <c r="N331" s="277"/>
      <c r="O331" s="277"/>
      <c r="P331" s="277"/>
      <c r="Q331" s="277"/>
      <c r="R331" s="277"/>
      <c r="S331" s="277"/>
      <c r="T331" s="277"/>
      <c r="U331" s="277"/>
      <c r="V331" s="277"/>
      <c r="W331" s="277"/>
      <c r="X331" s="277"/>
      <c r="Y331" s="277"/>
      <c r="Z331" s="277"/>
    </row>
    <row r="332" ht="12.75" customHeight="1">
      <c r="A332" s="277"/>
      <c r="B332" s="278"/>
      <c r="C332" s="279"/>
      <c r="D332" s="277"/>
      <c r="E332" s="277"/>
      <c r="F332" s="277"/>
      <c r="G332" s="277"/>
      <c r="H332" s="277"/>
      <c r="I332" s="277"/>
      <c r="J332" s="277"/>
      <c r="K332" s="409"/>
      <c r="L332" s="477"/>
      <c r="M332" s="277"/>
      <c r="N332" s="277"/>
      <c r="O332" s="277"/>
      <c r="P332" s="277"/>
      <c r="Q332" s="277"/>
      <c r="R332" s="277"/>
      <c r="S332" s="277"/>
      <c r="T332" s="277"/>
      <c r="U332" s="277"/>
      <c r="V332" s="277"/>
      <c r="W332" s="277"/>
      <c r="X332" s="277"/>
      <c r="Y332" s="277"/>
      <c r="Z332" s="277"/>
    </row>
    <row r="333" ht="12.75" customHeight="1">
      <c r="A333" s="277"/>
      <c r="B333" s="278"/>
      <c r="C333" s="279"/>
      <c r="D333" s="277"/>
      <c r="E333" s="277"/>
      <c r="F333" s="277"/>
      <c r="G333" s="277"/>
      <c r="H333" s="277"/>
      <c r="I333" s="277"/>
      <c r="J333" s="277"/>
      <c r="K333" s="409"/>
      <c r="L333" s="477"/>
      <c r="M333" s="277"/>
      <c r="N333" s="277"/>
      <c r="O333" s="277"/>
      <c r="P333" s="277"/>
      <c r="Q333" s="277"/>
      <c r="R333" s="277"/>
      <c r="S333" s="277"/>
      <c r="T333" s="277"/>
      <c r="U333" s="277"/>
      <c r="V333" s="277"/>
      <c r="W333" s="277"/>
      <c r="X333" s="277"/>
      <c r="Y333" s="277"/>
      <c r="Z333" s="277"/>
    </row>
    <row r="334" ht="12.75" customHeight="1">
      <c r="A334" s="277"/>
      <c r="B334" s="278"/>
      <c r="C334" s="279"/>
      <c r="D334" s="277"/>
      <c r="E334" s="277"/>
      <c r="F334" s="277"/>
      <c r="G334" s="277"/>
      <c r="H334" s="277"/>
      <c r="I334" s="277"/>
      <c r="J334" s="277"/>
      <c r="K334" s="409"/>
      <c r="L334" s="477"/>
      <c r="M334" s="277"/>
      <c r="N334" s="277"/>
      <c r="O334" s="277"/>
      <c r="P334" s="277"/>
      <c r="Q334" s="277"/>
      <c r="R334" s="277"/>
      <c r="S334" s="277"/>
      <c r="T334" s="277"/>
      <c r="U334" s="277"/>
      <c r="V334" s="277"/>
      <c r="W334" s="277"/>
      <c r="X334" s="277"/>
      <c r="Y334" s="277"/>
      <c r="Z334" s="277"/>
    </row>
    <row r="335" ht="12.75" customHeight="1">
      <c r="A335" s="277"/>
      <c r="B335" s="278"/>
      <c r="C335" s="279"/>
      <c r="D335" s="277"/>
      <c r="E335" s="277"/>
      <c r="F335" s="277"/>
      <c r="G335" s="277"/>
      <c r="H335" s="277"/>
      <c r="I335" s="277"/>
      <c r="J335" s="277"/>
      <c r="K335" s="409"/>
      <c r="L335" s="477"/>
      <c r="M335" s="277"/>
      <c r="N335" s="277"/>
      <c r="O335" s="277"/>
      <c r="P335" s="277"/>
      <c r="Q335" s="277"/>
      <c r="R335" s="277"/>
      <c r="S335" s="277"/>
      <c r="T335" s="277"/>
      <c r="U335" s="277"/>
      <c r="V335" s="277"/>
      <c r="W335" s="277"/>
      <c r="X335" s="277"/>
      <c r="Y335" s="277"/>
      <c r="Z335" s="277"/>
    </row>
    <row r="336" ht="12.75" customHeight="1">
      <c r="A336" s="277"/>
      <c r="B336" s="278"/>
      <c r="C336" s="279"/>
      <c r="D336" s="277"/>
      <c r="E336" s="277"/>
      <c r="F336" s="277"/>
      <c r="G336" s="277"/>
      <c r="H336" s="277"/>
      <c r="I336" s="277"/>
      <c r="J336" s="277"/>
      <c r="K336" s="409"/>
      <c r="L336" s="477"/>
      <c r="M336" s="277"/>
      <c r="N336" s="277"/>
      <c r="O336" s="277"/>
      <c r="P336" s="277"/>
      <c r="Q336" s="277"/>
      <c r="R336" s="277"/>
      <c r="S336" s="277"/>
      <c r="T336" s="277"/>
      <c r="U336" s="277"/>
      <c r="V336" s="277"/>
      <c r="W336" s="277"/>
      <c r="X336" s="277"/>
      <c r="Y336" s="277"/>
      <c r="Z336" s="277"/>
    </row>
    <row r="337" ht="12.75" customHeight="1">
      <c r="A337" s="277"/>
      <c r="B337" s="278"/>
      <c r="C337" s="279"/>
      <c r="D337" s="277"/>
      <c r="E337" s="277"/>
      <c r="F337" s="277"/>
      <c r="G337" s="277"/>
      <c r="H337" s="277"/>
      <c r="I337" s="277"/>
      <c r="J337" s="277"/>
      <c r="K337" s="409"/>
      <c r="L337" s="477"/>
      <c r="M337" s="277"/>
      <c r="N337" s="277"/>
      <c r="O337" s="277"/>
      <c r="P337" s="277"/>
      <c r="Q337" s="277"/>
      <c r="R337" s="277"/>
      <c r="S337" s="277"/>
      <c r="T337" s="277"/>
      <c r="U337" s="277"/>
      <c r="V337" s="277"/>
      <c r="W337" s="277"/>
      <c r="X337" s="277"/>
      <c r="Y337" s="277"/>
      <c r="Z337" s="277"/>
    </row>
    <row r="338" ht="12.75" customHeight="1">
      <c r="A338" s="277"/>
      <c r="B338" s="278"/>
      <c r="C338" s="279"/>
      <c r="D338" s="277"/>
      <c r="E338" s="277"/>
      <c r="F338" s="277"/>
      <c r="G338" s="277"/>
      <c r="H338" s="277"/>
      <c r="I338" s="277"/>
      <c r="J338" s="277"/>
      <c r="K338" s="409"/>
      <c r="L338" s="477"/>
      <c r="M338" s="277"/>
      <c r="N338" s="277"/>
      <c r="O338" s="277"/>
      <c r="P338" s="277"/>
      <c r="Q338" s="277"/>
      <c r="R338" s="277"/>
      <c r="S338" s="277"/>
      <c r="T338" s="277"/>
      <c r="U338" s="277"/>
      <c r="V338" s="277"/>
      <c r="W338" s="277"/>
      <c r="X338" s="277"/>
      <c r="Y338" s="277"/>
      <c r="Z338" s="277"/>
    </row>
    <row r="339" ht="12.75" customHeight="1">
      <c r="A339" s="277"/>
      <c r="B339" s="278"/>
      <c r="C339" s="279"/>
      <c r="D339" s="277"/>
      <c r="E339" s="277"/>
      <c r="F339" s="277"/>
      <c r="G339" s="277"/>
      <c r="H339" s="277"/>
      <c r="I339" s="277"/>
      <c r="J339" s="277"/>
      <c r="K339" s="409"/>
      <c r="L339" s="477"/>
      <c r="M339" s="277"/>
      <c r="N339" s="277"/>
      <c r="O339" s="277"/>
      <c r="P339" s="277"/>
      <c r="Q339" s="277"/>
      <c r="R339" s="277"/>
      <c r="S339" s="277"/>
      <c r="T339" s="277"/>
      <c r="U339" s="277"/>
      <c r="V339" s="277"/>
      <c r="W339" s="277"/>
      <c r="X339" s="277"/>
      <c r="Y339" s="277"/>
      <c r="Z339" s="277"/>
    </row>
    <row r="340" ht="12.75" customHeight="1">
      <c r="A340" s="277"/>
      <c r="B340" s="278"/>
      <c r="C340" s="279"/>
      <c r="D340" s="277"/>
      <c r="E340" s="277"/>
      <c r="F340" s="277"/>
      <c r="G340" s="277"/>
      <c r="H340" s="277"/>
      <c r="I340" s="277"/>
      <c r="J340" s="277"/>
      <c r="K340" s="409"/>
      <c r="L340" s="477"/>
      <c r="M340" s="277"/>
      <c r="N340" s="277"/>
      <c r="O340" s="277"/>
      <c r="P340" s="277"/>
      <c r="Q340" s="277"/>
      <c r="R340" s="277"/>
      <c r="S340" s="277"/>
      <c r="T340" s="277"/>
      <c r="U340" s="277"/>
      <c r="V340" s="277"/>
      <c r="W340" s="277"/>
      <c r="X340" s="277"/>
      <c r="Y340" s="277"/>
      <c r="Z340" s="277"/>
    </row>
    <row r="341" ht="12.75" customHeight="1">
      <c r="A341" s="277"/>
      <c r="B341" s="278"/>
      <c r="C341" s="279"/>
      <c r="D341" s="277"/>
      <c r="E341" s="277"/>
      <c r="F341" s="277"/>
      <c r="G341" s="277"/>
      <c r="H341" s="277"/>
      <c r="I341" s="277"/>
      <c r="J341" s="277"/>
      <c r="K341" s="409"/>
      <c r="L341" s="477"/>
      <c r="M341" s="277"/>
      <c r="N341" s="277"/>
      <c r="O341" s="277"/>
      <c r="P341" s="277"/>
      <c r="Q341" s="277"/>
      <c r="R341" s="277"/>
      <c r="S341" s="277"/>
      <c r="T341" s="277"/>
      <c r="U341" s="277"/>
      <c r="V341" s="277"/>
      <c r="W341" s="277"/>
      <c r="X341" s="277"/>
      <c r="Y341" s="277"/>
      <c r="Z341" s="277"/>
    </row>
    <row r="342" ht="12.75" customHeight="1">
      <c r="A342" s="277"/>
      <c r="B342" s="278"/>
      <c r="C342" s="279"/>
      <c r="D342" s="277"/>
      <c r="E342" s="277"/>
      <c r="F342" s="277"/>
      <c r="G342" s="277"/>
      <c r="H342" s="277"/>
      <c r="I342" s="277"/>
      <c r="J342" s="277"/>
      <c r="K342" s="409"/>
      <c r="L342" s="477"/>
      <c r="M342" s="277"/>
      <c r="N342" s="277"/>
      <c r="O342" s="277"/>
      <c r="P342" s="277"/>
      <c r="Q342" s="277"/>
      <c r="R342" s="277"/>
      <c r="S342" s="277"/>
      <c r="T342" s="277"/>
      <c r="U342" s="277"/>
      <c r="V342" s="277"/>
      <c r="W342" s="277"/>
      <c r="X342" s="277"/>
      <c r="Y342" s="277"/>
      <c r="Z342" s="277"/>
    </row>
    <row r="343" ht="12.75" customHeight="1">
      <c r="A343" s="277"/>
      <c r="B343" s="278"/>
      <c r="C343" s="279"/>
      <c r="D343" s="277"/>
      <c r="E343" s="277"/>
      <c r="F343" s="277"/>
      <c r="G343" s="277"/>
      <c r="H343" s="277"/>
      <c r="I343" s="277"/>
      <c r="J343" s="277"/>
      <c r="K343" s="409"/>
      <c r="L343" s="477"/>
      <c r="M343" s="277"/>
      <c r="N343" s="277"/>
      <c r="O343" s="277"/>
      <c r="P343" s="277"/>
      <c r="Q343" s="277"/>
      <c r="R343" s="277"/>
      <c r="S343" s="277"/>
      <c r="T343" s="277"/>
      <c r="U343" s="277"/>
      <c r="V343" s="277"/>
      <c r="W343" s="277"/>
      <c r="X343" s="277"/>
      <c r="Y343" s="277"/>
      <c r="Z343" s="277"/>
    </row>
    <row r="344" ht="12.75" customHeight="1">
      <c r="A344" s="277"/>
      <c r="B344" s="278"/>
      <c r="C344" s="279"/>
      <c r="D344" s="277"/>
      <c r="E344" s="277"/>
      <c r="F344" s="277"/>
      <c r="G344" s="277"/>
      <c r="H344" s="277"/>
      <c r="I344" s="277"/>
      <c r="J344" s="277"/>
      <c r="K344" s="409"/>
      <c r="L344" s="477"/>
      <c r="M344" s="277"/>
      <c r="N344" s="277"/>
      <c r="O344" s="277"/>
      <c r="P344" s="277"/>
      <c r="Q344" s="277"/>
      <c r="R344" s="277"/>
      <c r="S344" s="277"/>
      <c r="T344" s="277"/>
      <c r="U344" s="277"/>
      <c r="V344" s="277"/>
      <c r="W344" s="277"/>
      <c r="X344" s="277"/>
      <c r="Y344" s="277"/>
      <c r="Z344" s="277"/>
    </row>
    <row r="345" ht="12.75" customHeight="1">
      <c r="A345" s="277"/>
      <c r="B345" s="278"/>
      <c r="C345" s="279"/>
      <c r="D345" s="277"/>
      <c r="E345" s="277"/>
      <c r="F345" s="277"/>
      <c r="G345" s="277"/>
      <c r="H345" s="277"/>
      <c r="I345" s="277"/>
      <c r="J345" s="277"/>
      <c r="K345" s="409"/>
      <c r="L345" s="477"/>
      <c r="M345" s="277"/>
      <c r="N345" s="277"/>
      <c r="O345" s="277"/>
      <c r="P345" s="277"/>
      <c r="Q345" s="277"/>
      <c r="R345" s="277"/>
      <c r="S345" s="277"/>
      <c r="T345" s="277"/>
      <c r="U345" s="277"/>
      <c r="V345" s="277"/>
      <c r="W345" s="277"/>
      <c r="X345" s="277"/>
      <c r="Y345" s="277"/>
      <c r="Z345" s="277"/>
    </row>
    <row r="346" ht="12.75" customHeight="1">
      <c r="A346" s="277"/>
      <c r="B346" s="278"/>
      <c r="C346" s="279"/>
      <c r="D346" s="277"/>
      <c r="E346" s="277"/>
      <c r="F346" s="277"/>
      <c r="G346" s="277"/>
      <c r="H346" s="277"/>
      <c r="I346" s="277"/>
      <c r="J346" s="277"/>
      <c r="K346" s="409"/>
      <c r="L346" s="477"/>
      <c r="M346" s="277"/>
      <c r="N346" s="277"/>
      <c r="O346" s="277"/>
      <c r="P346" s="277"/>
      <c r="Q346" s="277"/>
      <c r="R346" s="277"/>
      <c r="S346" s="277"/>
      <c r="T346" s="277"/>
      <c r="U346" s="277"/>
      <c r="V346" s="277"/>
      <c r="W346" s="277"/>
      <c r="X346" s="277"/>
      <c r="Y346" s="277"/>
      <c r="Z346" s="277"/>
    </row>
    <row r="347" ht="12.75" customHeight="1">
      <c r="A347" s="277"/>
      <c r="B347" s="278"/>
      <c r="C347" s="279"/>
      <c r="D347" s="277"/>
      <c r="E347" s="277"/>
      <c r="F347" s="277"/>
      <c r="G347" s="277"/>
      <c r="H347" s="277"/>
      <c r="I347" s="277"/>
      <c r="J347" s="277"/>
      <c r="K347" s="409"/>
      <c r="L347" s="477"/>
      <c r="M347" s="277"/>
      <c r="N347" s="277"/>
      <c r="O347" s="277"/>
      <c r="P347" s="277"/>
      <c r="Q347" s="277"/>
      <c r="R347" s="277"/>
      <c r="S347" s="277"/>
      <c r="T347" s="277"/>
      <c r="U347" s="277"/>
      <c r="V347" s="277"/>
      <c r="W347" s="277"/>
      <c r="X347" s="277"/>
      <c r="Y347" s="277"/>
      <c r="Z347" s="277"/>
    </row>
    <row r="348" ht="12.75" customHeight="1">
      <c r="A348" s="277"/>
      <c r="B348" s="278"/>
      <c r="C348" s="279"/>
      <c r="D348" s="277"/>
      <c r="E348" s="277"/>
      <c r="F348" s="277"/>
      <c r="G348" s="277"/>
      <c r="H348" s="277"/>
      <c r="I348" s="277"/>
      <c r="J348" s="277"/>
      <c r="K348" s="409"/>
      <c r="L348" s="477"/>
      <c r="M348" s="277"/>
      <c r="N348" s="277"/>
      <c r="O348" s="277"/>
      <c r="P348" s="277"/>
      <c r="Q348" s="277"/>
      <c r="R348" s="277"/>
      <c r="S348" s="277"/>
      <c r="T348" s="277"/>
      <c r="U348" s="277"/>
      <c r="V348" s="277"/>
      <c r="W348" s="277"/>
      <c r="X348" s="277"/>
      <c r="Y348" s="277"/>
      <c r="Z348" s="277"/>
    </row>
    <row r="349" ht="12.75" customHeight="1">
      <c r="A349" s="277"/>
      <c r="B349" s="278"/>
      <c r="C349" s="279"/>
      <c r="D349" s="277"/>
      <c r="E349" s="277"/>
      <c r="F349" s="277"/>
      <c r="G349" s="277"/>
      <c r="H349" s="277"/>
      <c r="I349" s="277"/>
      <c r="J349" s="277"/>
      <c r="K349" s="409"/>
      <c r="L349" s="477"/>
      <c r="M349" s="277"/>
      <c r="N349" s="277"/>
      <c r="O349" s="277"/>
      <c r="P349" s="277"/>
      <c r="Q349" s="277"/>
      <c r="R349" s="277"/>
      <c r="S349" s="277"/>
      <c r="T349" s="277"/>
      <c r="U349" s="277"/>
      <c r="V349" s="277"/>
      <c r="W349" s="277"/>
      <c r="X349" s="277"/>
      <c r="Y349" s="277"/>
      <c r="Z349" s="277"/>
    </row>
    <row r="350" ht="12.75" customHeight="1">
      <c r="A350" s="277"/>
      <c r="B350" s="278"/>
      <c r="C350" s="279"/>
      <c r="D350" s="277"/>
      <c r="E350" s="277"/>
      <c r="F350" s="277"/>
      <c r="G350" s="277"/>
      <c r="H350" s="277"/>
      <c r="I350" s="277"/>
      <c r="J350" s="277"/>
      <c r="K350" s="409"/>
      <c r="L350" s="477"/>
      <c r="M350" s="277"/>
      <c r="N350" s="277"/>
      <c r="O350" s="277"/>
      <c r="P350" s="277"/>
      <c r="Q350" s="277"/>
      <c r="R350" s="277"/>
      <c r="S350" s="277"/>
      <c r="T350" s="277"/>
      <c r="U350" s="277"/>
      <c r="V350" s="277"/>
      <c r="W350" s="277"/>
      <c r="X350" s="277"/>
      <c r="Y350" s="277"/>
      <c r="Z350" s="277"/>
    </row>
    <row r="351" ht="12.75" customHeight="1">
      <c r="A351" s="277"/>
      <c r="B351" s="278"/>
      <c r="C351" s="279"/>
      <c r="D351" s="277"/>
      <c r="E351" s="277"/>
      <c r="F351" s="277"/>
      <c r="G351" s="277"/>
      <c r="H351" s="277"/>
      <c r="I351" s="277"/>
      <c r="J351" s="277"/>
      <c r="K351" s="409"/>
      <c r="L351" s="477"/>
      <c r="M351" s="277"/>
      <c r="N351" s="277"/>
      <c r="O351" s="277"/>
      <c r="P351" s="277"/>
      <c r="Q351" s="277"/>
      <c r="R351" s="277"/>
      <c r="S351" s="277"/>
      <c r="T351" s="277"/>
      <c r="U351" s="277"/>
      <c r="V351" s="277"/>
      <c r="W351" s="277"/>
      <c r="X351" s="277"/>
      <c r="Y351" s="277"/>
      <c r="Z351" s="277"/>
    </row>
    <row r="352" ht="12.75" customHeight="1">
      <c r="A352" s="277"/>
      <c r="B352" s="278"/>
      <c r="C352" s="279"/>
      <c r="D352" s="277"/>
      <c r="E352" s="277"/>
      <c r="F352" s="277"/>
      <c r="G352" s="277"/>
      <c r="H352" s="277"/>
      <c r="I352" s="277"/>
      <c r="J352" s="277"/>
      <c r="K352" s="409"/>
      <c r="L352" s="477"/>
      <c r="M352" s="277"/>
      <c r="N352" s="277"/>
      <c r="O352" s="277"/>
      <c r="P352" s="277"/>
      <c r="Q352" s="277"/>
      <c r="R352" s="277"/>
      <c r="S352" s="277"/>
      <c r="T352" s="277"/>
      <c r="U352" s="277"/>
      <c r="V352" s="277"/>
      <c r="W352" s="277"/>
      <c r="X352" s="277"/>
      <c r="Y352" s="277"/>
      <c r="Z352" s="277"/>
    </row>
    <row r="353" ht="12.75" customHeight="1">
      <c r="A353" s="277"/>
      <c r="B353" s="278"/>
      <c r="C353" s="279"/>
      <c r="D353" s="277"/>
      <c r="E353" s="277"/>
      <c r="F353" s="277"/>
      <c r="G353" s="277"/>
      <c r="H353" s="277"/>
      <c r="I353" s="277"/>
      <c r="J353" s="277"/>
      <c r="K353" s="409"/>
      <c r="L353" s="477"/>
      <c r="M353" s="277"/>
      <c r="N353" s="277"/>
      <c r="O353" s="277"/>
      <c r="P353" s="277"/>
      <c r="Q353" s="277"/>
      <c r="R353" s="277"/>
      <c r="S353" s="277"/>
      <c r="T353" s="277"/>
      <c r="U353" s="277"/>
      <c r="V353" s="277"/>
      <c r="W353" s="277"/>
      <c r="X353" s="277"/>
      <c r="Y353" s="277"/>
      <c r="Z353" s="277"/>
    </row>
    <row r="354" ht="12.75" customHeight="1">
      <c r="A354" s="277"/>
      <c r="B354" s="278"/>
      <c r="C354" s="279"/>
      <c r="D354" s="277"/>
      <c r="E354" s="277"/>
      <c r="F354" s="277"/>
      <c r="G354" s="277"/>
      <c r="H354" s="277"/>
      <c r="I354" s="277"/>
      <c r="J354" s="277"/>
      <c r="K354" s="409"/>
      <c r="L354" s="477"/>
      <c r="M354" s="277"/>
      <c r="N354" s="277"/>
      <c r="O354" s="277"/>
      <c r="P354" s="277"/>
      <c r="Q354" s="277"/>
      <c r="R354" s="277"/>
      <c r="S354" s="277"/>
      <c r="T354" s="277"/>
      <c r="U354" s="277"/>
      <c r="V354" s="277"/>
      <c r="W354" s="277"/>
      <c r="X354" s="277"/>
      <c r="Y354" s="277"/>
      <c r="Z354" s="277"/>
    </row>
    <row r="355" ht="12.75" customHeight="1">
      <c r="A355" s="277"/>
      <c r="B355" s="278"/>
      <c r="C355" s="279"/>
      <c r="D355" s="277"/>
      <c r="E355" s="277"/>
      <c r="F355" s="277"/>
      <c r="G355" s="277"/>
      <c r="H355" s="277"/>
      <c r="I355" s="277"/>
      <c r="J355" s="277"/>
      <c r="K355" s="409"/>
      <c r="L355" s="477"/>
      <c r="M355" s="277"/>
      <c r="N355" s="277"/>
      <c r="O355" s="277"/>
      <c r="P355" s="277"/>
      <c r="Q355" s="277"/>
      <c r="R355" s="277"/>
      <c r="S355" s="277"/>
      <c r="T355" s="277"/>
      <c r="U355" s="277"/>
      <c r="V355" s="277"/>
      <c r="W355" s="277"/>
      <c r="X355" s="277"/>
      <c r="Y355" s="277"/>
      <c r="Z355" s="277"/>
    </row>
    <row r="356" ht="12.75" customHeight="1">
      <c r="A356" s="277"/>
      <c r="B356" s="278"/>
      <c r="C356" s="279"/>
      <c r="D356" s="277"/>
      <c r="E356" s="277"/>
      <c r="F356" s="277"/>
      <c r="G356" s="277"/>
      <c r="H356" s="277"/>
      <c r="I356" s="277"/>
      <c r="J356" s="277"/>
      <c r="K356" s="409"/>
      <c r="L356" s="477"/>
      <c r="M356" s="277"/>
      <c r="N356" s="277"/>
      <c r="O356" s="277"/>
      <c r="P356" s="277"/>
      <c r="Q356" s="277"/>
      <c r="R356" s="277"/>
      <c r="S356" s="277"/>
      <c r="T356" s="277"/>
      <c r="U356" s="277"/>
      <c r="V356" s="277"/>
      <c r="W356" s="277"/>
      <c r="X356" s="277"/>
      <c r="Y356" s="277"/>
      <c r="Z356" s="277"/>
    </row>
    <row r="357" ht="12.75" customHeight="1">
      <c r="A357" s="277"/>
      <c r="B357" s="278"/>
      <c r="C357" s="279"/>
      <c r="D357" s="277"/>
      <c r="E357" s="277"/>
      <c r="F357" s="277"/>
      <c r="G357" s="277"/>
      <c r="H357" s="277"/>
      <c r="I357" s="277"/>
      <c r="J357" s="277"/>
      <c r="K357" s="409"/>
      <c r="L357" s="477"/>
      <c r="M357" s="277"/>
      <c r="N357" s="277"/>
      <c r="O357" s="277"/>
      <c r="P357" s="277"/>
      <c r="Q357" s="277"/>
      <c r="R357" s="277"/>
      <c r="S357" s="277"/>
      <c r="T357" s="277"/>
      <c r="U357" s="277"/>
      <c r="V357" s="277"/>
      <c r="W357" s="277"/>
      <c r="X357" s="277"/>
      <c r="Y357" s="277"/>
      <c r="Z357" s="277"/>
    </row>
    <row r="358" ht="12.75" customHeight="1">
      <c r="A358" s="277"/>
      <c r="B358" s="278"/>
      <c r="C358" s="279"/>
      <c r="D358" s="277"/>
      <c r="E358" s="277"/>
      <c r="F358" s="277"/>
      <c r="G358" s="277"/>
      <c r="H358" s="277"/>
      <c r="I358" s="277"/>
      <c r="J358" s="277"/>
      <c r="K358" s="409"/>
      <c r="L358" s="477"/>
      <c r="M358" s="277"/>
      <c r="N358" s="277"/>
      <c r="O358" s="277"/>
      <c r="P358" s="277"/>
      <c r="Q358" s="277"/>
      <c r="R358" s="277"/>
      <c r="S358" s="277"/>
      <c r="T358" s="277"/>
      <c r="U358" s="277"/>
      <c r="V358" s="277"/>
      <c r="W358" s="277"/>
      <c r="X358" s="277"/>
      <c r="Y358" s="277"/>
      <c r="Z358" s="277"/>
    </row>
    <row r="359" ht="12.75" customHeight="1">
      <c r="A359" s="277"/>
      <c r="B359" s="278"/>
      <c r="C359" s="279"/>
      <c r="D359" s="277"/>
      <c r="E359" s="277"/>
      <c r="F359" s="277"/>
      <c r="G359" s="277"/>
      <c r="H359" s="277"/>
      <c r="I359" s="277"/>
      <c r="J359" s="277"/>
      <c r="K359" s="409"/>
      <c r="L359" s="477"/>
      <c r="M359" s="277"/>
      <c r="N359" s="277"/>
      <c r="O359" s="277"/>
      <c r="P359" s="277"/>
      <c r="Q359" s="277"/>
      <c r="R359" s="277"/>
      <c r="S359" s="277"/>
      <c r="T359" s="277"/>
      <c r="U359" s="277"/>
      <c r="V359" s="277"/>
      <c r="W359" s="277"/>
      <c r="X359" s="277"/>
      <c r="Y359" s="277"/>
      <c r="Z359" s="277"/>
    </row>
    <row r="360" ht="12.75" customHeight="1">
      <c r="A360" s="277"/>
      <c r="B360" s="278"/>
      <c r="C360" s="279"/>
      <c r="D360" s="277"/>
      <c r="E360" s="277"/>
      <c r="F360" s="277"/>
      <c r="G360" s="277"/>
      <c r="H360" s="277"/>
      <c r="I360" s="277"/>
      <c r="J360" s="277"/>
      <c r="K360" s="409"/>
      <c r="L360" s="477"/>
      <c r="M360" s="277"/>
      <c r="N360" s="277"/>
      <c r="O360" s="277"/>
      <c r="P360" s="277"/>
      <c r="Q360" s="277"/>
      <c r="R360" s="277"/>
      <c r="S360" s="277"/>
      <c r="T360" s="277"/>
      <c r="U360" s="277"/>
      <c r="V360" s="277"/>
      <c r="W360" s="277"/>
      <c r="X360" s="277"/>
      <c r="Y360" s="277"/>
      <c r="Z360" s="277"/>
    </row>
    <row r="361" ht="12.75" customHeight="1">
      <c r="A361" s="277"/>
      <c r="B361" s="278"/>
      <c r="C361" s="279"/>
      <c r="D361" s="277"/>
      <c r="E361" s="277"/>
      <c r="F361" s="277"/>
      <c r="G361" s="277"/>
      <c r="H361" s="277"/>
      <c r="I361" s="277"/>
      <c r="J361" s="277"/>
      <c r="K361" s="409"/>
      <c r="L361" s="477"/>
      <c r="M361" s="277"/>
      <c r="N361" s="277"/>
      <c r="O361" s="277"/>
      <c r="P361" s="277"/>
      <c r="Q361" s="277"/>
      <c r="R361" s="277"/>
      <c r="S361" s="277"/>
      <c r="T361" s="277"/>
      <c r="U361" s="277"/>
      <c r="V361" s="277"/>
      <c r="W361" s="277"/>
      <c r="X361" s="277"/>
      <c r="Y361" s="277"/>
      <c r="Z361" s="277"/>
    </row>
    <row r="362" ht="12.75" customHeight="1">
      <c r="A362" s="277"/>
      <c r="B362" s="278"/>
      <c r="C362" s="279"/>
      <c r="D362" s="277"/>
      <c r="E362" s="277"/>
      <c r="F362" s="277"/>
      <c r="G362" s="277"/>
      <c r="H362" s="277"/>
      <c r="I362" s="277"/>
      <c r="J362" s="277"/>
      <c r="K362" s="409"/>
      <c r="L362" s="477"/>
      <c r="M362" s="277"/>
      <c r="N362" s="277"/>
      <c r="O362" s="277"/>
      <c r="P362" s="277"/>
      <c r="Q362" s="277"/>
      <c r="R362" s="277"/>
      <c r="S362" s="277"/>
      <c r="T362" s="277"/>
      <c r="U362" s="277"/>
      <c r="V362" s="277"/>
      <c r="W362" s="277"/>
      <c r="X362" s="277"/>
      <c r="Y362" s="277"/>
      <c r="Z362" s="277"/>
    </row>
    <row r="363" ht="12.75" customHeight="1">
      <c r="A363" s="277"/>
      <c r="B363" s="278"/>
      <c r="C363" s="279"/>
      <c r="D363" s="277"/>
      <c r="E363" s="277"/>
      <c r="F363" s="277"/>
      <c r="G363" s="277"/>
      <c r="H363" s="277"/>
      <c r="I363" s="277"/>
      <c r="J363" s="277"/>
      <c r="K363" s="409"/>
      <c r="L363" s="477"/>
      <c r="M363" s="277"/>
      <c r="N363" s="277"/>
      <c r="O363" s="277"/>
      <c r="P363" s="277"/>
      <c r="Q363" s="277"/>
      <c r="R363" s="277"/>
      <c r="S363" s="277"/>
      <c r="T363" s="277"/>
      <c r="U363" s="277"/>
      <c r="V363" s="277"/>
      <c r="W363" s="277"/>
      <c r="X363" s="277"/>
      <c r="Y363" s="277"/>
      <c r="Z363" s="277"/>
    </row>
    <row r="364" ht="12.75" customHeight="1">
      <c r="A364" s="277"/>
      <c r="B364" s="278"/>
      <c r="C364" s="279"/>
      <c r="D364" s="277"/>
      <c r="E364" s="277"/>
      <c r="F364" s="277"/>
      <c r="G364" s="277"/>
      <c r="H364" s="277"/>
      <c r="I364" s="277"/>
      <c r="J364" s="277"/>
      <c r="K364" s="409"/>
      <c r="L364" s="477"/>
      <c r="M364" s="277"/>
      <c r="N364" s="277"/>
      <c r="O364" s="277"/>
      <c r="P364" s="277"/>
      <c r="Q364" s="277"/>
      <c r="R364" s="277"/>
      <c r="S364" s="277"/>
      <c r="T364" s="277"/>
      <c r="U364" s="277"/>
      <c r="V364" s="277"/>
      <c r="W364" s="277"/>
      <c r="X364" s="277"/>
      <c r="Y364" s="277"/>
      <c r="Z364" s="277"/>
    </row>
    <row r="365" ht="12.75" customHeight="1">
      <c r="A365" s="277"/>
      <c r="B365" s="278"/>
      <c r="C365" s="279"/>
      <c r="D365" s="277"/>
      <c r="E365" s="277"/>
      <c r="F365" s="277"/>
      <c r="G365" s="277"/>
      <c r="H365" s="277"/>
      <c r="I365" s="277"/>
      <c r="J365" s="277"/>
      <c r="K365" s="409"/>
      <c r="L365" s="477"/>
      <c r="M365" s="277"/>
      <c r="N365" s="277"/>
      <c r="O365" s="277"/>
      <c r="P365" s="277"/>
      <c r="Q365" s="277"/>
      <c r="R365" s="277"/>
      <c r="S365" s="277"/>
      <c r="T365" s="277"/>
      <c r="U365" s="277"/>
      <c r="V365" s="277"/>
      <c r="W365" s="277"/>
      <c r="X365" s="277"/>
      <c r="Y365" s="277"/>
      <c r="Z365" s="277"/>
    </row>
    <row r="366" ht="12.75" customHeight="1">
      <c r="A366" s="277"/>
      <c r="B366" s="278"/>
      <c r="C366" s="279"/>
      <c r="D366" s="277"/>
      <c r="E366" s="277"/>
      <c r="F366" s="277"/>
      <c r="G366" s="277"/>
      <c r="H366" s="277"/>
      <c r="I366" s="277"/>
      <c r="J366" s="277"/>
      <c r="K366" s="409"/>
      <c r="L366" s="477"/>
      <c r="M366" s="277"/>
      <c r="N366" s="277"/>
      <c r="O366" s="277"/>
      <c r="P366" s="277"/>
      <c r="Q366" s="277"/>
      <c r="R366" s="277"/>
      <c r="S366" s="277"/>
      <c r="T366" s="277"/>
      <c r="U366" s="277"/>
      <c r="V366" s="277"/>
      <c r="W366" s="277"/>
      <c r="X366" s="277"/>
      <c r="Y366" s="277"/>
      <c r="Z366" s="277"/>
    </row>
    <row r="367" ht="12.75" customHeight="1">
      <c r="A367" s="277"/>
      <c r="B367" s="278"/>
      <c r="C367" s="279"/>
      <c r="D367" s="277"/>
      <c r="E367" s="277"/>
      <c r="F367" s="277"/>
      <c r="G367" s="277"/>
      <c r="H367" s="277"/>
      <c r="I367" s="277"/>
      <c r="J367" s="277"/>
      <c r="K367" s="409"/>
      <c r="L367" s="477"/>
      <c r="M367" s="277"/>
      <c r="N367" s="277"/>
      <c r="O367" s="277"/>
      <c r="P367" s="277"/>
      <c r="Q367" s="277"/>
      <c r="R367" s="277"/>
      <c r="S367" s="277"/>
      <c r="T367" s="277"/>
      <c r="U367" s="277"/>
      <c r="V367" s="277"/>
      <c r="W367" s="277"/>
      <c r="X367" s="277"/>
      <c r="Y367" s="277"/>
      <c r="Z367" s="277"/>
    </row>
    <row r="368" ht="12.75" customHeight="1">
      <c r="A368" s="277"/>
      <c r="B368" s="278"/>
      <c r="C368" s="279"/>
      <c r="D368" s="277"/>
      <c r="E368" s="277"/>
      <c r="F368" s="277"/>
      <c r="G368" s="277"/>
      <c r="H368" s="277"/>
      <c r="I368" s="277"/>
      <c r="J368" s="277"/>
      <c r="K368" s="409"/>
      <c r="L368" s="477"/>
      <c r="M368" s="277"/>
      <c r="N368" s="277"/>
      <c r="O368" s="277"/>
      <c r="P368" s="277"/>
      <c r="Q368" s="277"/>
      <c r="R368" s="277"/>
      <c r="S368" s="277"/>
      <c r="T368" s="277"/>
      <c r="U368" s="277"/>
      <c r="V368" s="277"/>
      <c r="W368" s="277"/>
      <c r="X368" s="277"/>
      <c r="Y368" s="277"/>
      <c r="Z368" s="277"/>
    </row>
    <row r="369" ht="12.75" customHeight="1">
      <c r="A369" s="277"/>
      <c r="B369" s="278"/>
      <c r="C369" s="279"/>
      <c r="D369" s="277"/>
      <c r="E369" s="277"/>
      <c r="F369" s="277"/>
      <c r="G369" s="277"/>
      <c r="H369" s="277"/>
      <c r="I369" s="277"/>
      <c r="J369" s="277"/>
      <c r="K369" s="409"/>
      <c r="L369" s="477"/>
      <c r="M369" s="277"/>
      <c r="N369" s="277"/>
      <c r="O369" s="277"/>
      <c r="P369" s="277"/>
      <c r="Q369" s="277"/>
      <c r="R369" s="277"/>
      <c r="S369" s="277"/>
      <c r="T369" s="277"/>
      <c r="U369" s="277"/>
      <c r="V369" s="277"/>
      <c r="W369" s="277"/>
      <c r="X369" s="277"/>
      <c r="Y369" s="277"/>
      <c r="Z369" s="277"/>
    </row>
    <row r="370" ht="12.75" customHeight="1">
      <c r="A370" s="277"/>
      <c r="B370" s="278"/>
      <c r="C370" s="279"/>
      <c r="D370" s="277"/>
      <c r="E370" s="277"/>
      <c r="F370" s="277"/>
      <c r="G370" s="277"/>
      <c r="H370" s="277"/>
      <c r="I370" s="277"/>
      <c r="J370" s="277"/>
      <c r="K370" s="409"/>
      <c r="L370" s="477"/>
      <c r="M370" s="277"/>
      <c r="N370" s="277"/>
      <c r="O370" s="277"/>
      <c r="P370" s="277"/>
      <c r="Q370" s="277"/>
      <c r="R370" s="277"/>
      <c r="S370" s="277"/>
      <c r="T370" s="277"/>
      <c r="U370" s="277"/>
      <c r="V370" s="277"/>
      <c r="W370" s="277"/>
      <c r="X370" s="277"/>
      <c r="Y370" s="277"/>
      <c r="Z370" s="277"/>
    </row>
    <row r="371" ht="12.75" customHeight="1">
      <c r="A371" s="277"/>
      <c r="B371" s="278"/>
      <c r="C371" s="279"/>
      <c r="D371" s="277"/>
      <c r="E371" s="277"/>
      <c r="F371" s="277"/>
      <c r="G371" s="277"/>
      <c r="H371" s="277"/>
      <c r="I371" s="277"/>
      <c r="J371" s="277"/>
      <c r="K371" s="409"/>
      <c r="L371" s="477"/>
      <c r="M371" s="277"/>
      <c r="N371" s="277"/>
      <c r="O371" s="277"/>
      <c r="P371" s="277"/>
      <c r="Q371" s="277"/>
      <c r="R371" s="277"/>
      <c r="S371" s="277"/>
      <c r="T371" s="277"/>
      <c r="U371" s="277"/>
      <c r="V371" s="277"/>
      <c r="W371" s="277"/>
      <c r="X371" s="277"/>
      <c r="Y371" s="277"/>
      <c r="Z371" s="277"/>
    </row>
    <row r="372" ht="12.75" customHeight="1">
      <c r="A372" s="277"/>
      <c r="B372" s="278"/>
      <c r="C372" s="279"/>
      <c r="D372" s="277"/>
      <c r="E372" s="277"/>
      <c r="F372" s="277"/>
      <c r="G372" s="277"/>
      <c r="H372" s="277"/>
      <c r="I372" s="277"/>
      <c r="J372" s="277"/>
      <c r="K372" s="409"/>
      <c r="L372" s="477"/>
      <c r="M372" s="277"/>
      <c r="N372" s="277"/>
      <c r="O372" s="277"/>
      <c r="P372" s="277"/>
      <c r="Q372" s="277"/>
      <c r="R372" s="277"/>
      <c r="S372" s="277"/>
      <c r="T372" s="277"/>
      <c r="U372" s="277"/>
      <c r="V372" s="277"/>
      <c r="W372" s="277"/>
      <c r="X372" s="277"/>
      <c r="Y372" s="277"/>
      <c r="Z372" s="277"/>
    </row>
    <row r="373" ht="12.75" customHeight="1">
      <c r="A373" s="277"/>
      <c r="B373" s="278"/>
      <c r="C373" s="279"/>
      <c r="D373" s="277"/>
      <c r="E373" s="277"/>
      <c r="F373" s="277"/>
      <c r="G373" s="277"/>
      <c r="H373" s="277"/>
      <c r="I373" s="277"/>
      <c r="J373" s="277"/>
      <c r="K373" s="409"/>
      <c r="L373" s="477"/>
      <c r="M373" s="277"/>
      <c r="N373" s="277"/>
      <c r="O373" s="277"/>
      <c r="P373" s="277"/>
      <c r="Q373" s="277"/>
      <c r="R373" s="277"/>
      <c r="S373" s="277"/>
      <c r="T373" s="277"/>
      <c r="U373" s="277"/>
      <c r="V373" s="277"/>
      <c r="W373" s="277"/>
      <c r="X373" s="277"/>
      <c r="Y373" s="277"/>
      <c r="Z373" s="277"/>
    </row>
    <row r="374" ht="12.75" customHeight="1">
      <c r="A374" s="277"/>
      <c r="B374" s="278"/>
      <c r="C374" s="279"/>
      <c r="D374" s="277"/>
      <c r="E374" s="277"/>
      <c r="F374" s="277"/>
      <c r="G374" s="277"/>
      <c r="H374" s="277"/>
      <c r="I374" s="277"/>
      <c r="J374" s="277"/>
      <c r="K374" s="409"/>
      <c r="L374" s="477"/>
      <c r="M374" s="277"/>
      <c r="N374" s="277"/>
      <c r="O374" s="277"/>
      <c r="P374" s="277"/>
      <c r="Q374" s="277"/>
      <c r="R374" s="277"/>
      <c r="S374" s="277"/>
      <c r="T374" s="277"/>
      <c r="U374" s="277"/>
      <c r="V374" s="277"/>
      <c r="W374" s="277"/>
      <c r="X374" s="277"/>
      <c r="Y374" s="277"/>
      <c r="Z374" s="277"/>
    </row>
    <row r="375" ht="12.75" customHeight="1">
      <c r="A375" s="277"/>
      <c r="B375" s="278"/>
      <c r="C375" s="279"/>
      <c r="D375" s="277"/>
      <c r="E375" s="277"/>
      <c r="F375" s="277"/>
      <c r="G375" s="277"/>
      <c r="H375" s="277"/>
      <c r="I375" s="277"/>
      <c r="J375" s="277"/>
      <c r="K375" s="409"/>
      <c r="L375" s="477"/>
      <c r="M375" s="277"/>
      <c r="N375" s="277"/>
      <c r="O375" s="277"/>
      <c r="P375" s="277"/>
      <c r="Q375" s="277"/>
      <c r="R375" s="277"/>
      <c r="S375" s="277"/>
      <c r="T375" s="277"/>
      <c r="U375" s="277"/>
      <c r="V375" s="277"/>
      <c r="W375" s="277"/>
      <c r="X375" s="277"/>
      <c r="Y375" s="277"/>
      <c r="Z375" s="277"/>
    </row>
    <row r="376" ht="12.75" customHeight="1">
      <c r="A376" s="277"/>
      <c r="B376" s="278"/>
      <c r="C376" s="279"/>
      <c r="D376" s="277"/>
      <c r="E376" s="277"/>
      <c r="F376" s="277"/>
      <c r="G376" s="277"/>
      <c r="H376" s="277"/>
      <c r="I376" s="277"/>
      <c r="J376" s="277"/>
      <c r="K376" s="409"/>
      <c r="L376" s="477"/>
      <c r="M376" s="277"/>
      <c r="N376" s="277"/>
      <c r="O376" s="277"/>
      <c r="P376" s="277"/>
      <c r="Q376" s="277"/>
      <c r="R376" s="277"/>
      <c r="S376" s="277"/>
      <c r="T376" s="277"/>
      <c r="U376" s="277"/>
      <c r="V376" s="277"/>
      <c r="W376" s="277"/>
      <c r="X376" s="277"/>
      <c r="Y376" s="277"/>
      <c r="Z376" s="277"/>
    </row>
    <row r="377" ht="12.75" customHeight="1">
      <c r="A377" s="277"/>
      <c r="B377" s="278"/>
      <c r="C377" s="279"/>
      <c r="D377" s="277"/>
      <c r="E377" s="277"/>
      <c r="F377" s="277"/>
      <c r="G377" s="277"/>
      <c r="H377" s="277"/>
      <c r="I377" s="277"/>
      <c r="J377" s="277"/>
      <c r="K377" s="409"/>
      <c r="L377" s="477"/>
      <c r="M377" s="277"/>
      <c r="N377" s="277"/>
      <c r="O377" s="277"/>
      <c r="P377" s="277"/>
      <c r="Q377" s="277"/>
      <c r="R377" s="277"/>
      <c r="S377" s="277"/>
      <c r="T377" s="277"/>
      <c r="U377" s="277"/>
      <c r="V377" s="277"/>
      <c r="W377" s="277"/>
      <c r="X377" s="277"/>
      <c r="Y377" s="277"/>
      <c r="Z377" s="277"/>
    </row>
    <row r="378" ht="12.75" customHeight="1">
      <c r="A378" s="277"/>
      <c r="B378" s="278"/>
      <c r="C378" s="279"/>
      <c r="D378" s="277"/>
      <c r="E378" s="277"/>
      <c r="F378" s="277"/>
      <c r="G378" s="277"/>
      <c r="H378" s="277"/>
      <c r="I378" s="277"/>
      <c r="J378" s="277"/>
      <c r="K378" s="409"/>
      <c r="L378" s="477"/>
      <c r="M378" s="277"/>
      <c r="N378" s="277"/>
      <c r="O378" s="277"/>
      <c r="P378" s="277"/>
      <c r="Q378" s="277"/>
      <c r="R378" s="277"/>
      <c r="S378" s="277"/>
      <c r="T378" s="277"/>
      <c r="U378" s="277"/>
      <c r="V378" s="277"/>
      <c r="W378" s="277"/>
      <c r="X378" s="277"/>
      <c r="Y378" s="277"/>
      <c r="Z378" s="277"/>
    </row>
    <row r="379" ht="12.75" customHeight="1">
      <c r="A379" s="277"/>
      <c r="B379" s="278"/>
      <c r="C379" s="279"/>
      <c r="D379" s="277"/>
      <c r="E379" s="277"/>
      <c r="F379" s="277"/>
      <c r="G379" s="277"/>
      <c r="H379" s="277"/>
      <c r="I379" s="277"/>
      <c r="J379" s="277"/>
      <c r="K379" s="409"/>
      <c r="L379" s="477"/>
      <c r="M379" s="277"/>
      <c r="N379" s="277"/>
      <c r="O379" s="277"/>
      <c r="P379" s="277"/>
      <c r="Q379" s="277"/>
      <c r="R379" s="277"/>
      <c r="S379" s="277"/>
      <c r="T379" s="277"/>
      <c r="U379" s="277"/>
      <c r="V379" s="277"/>
      <c r="W379" s="277"/>
      <c r="X379" s="277"/>
      <c r="Y379" s="277"/>
      <c r="Z379" s="277"/>
    </row>
    <row r="380" ht="12.75" customHeight="1">
      <c r="A380" s="277"/>
      <c r="B380" s="278"/>
      <c r="C380" s="279"/>
      <c r="D380" s="277"/>
      <c r="E380" s="277"/>
      <c r="F380" s="277"/>
      <c r="G380" s="277"/>
      <c r="H380" s="277"/>
      <c r="I380" s="277"/>
      <c r="J380" s="277"/>
      <c r="K380" s="409"/>
      <c r="L380" s="477"/>
      <c r="M380" s="277"/>
      <c r="N380" s="277"/>
      <c r="O380" s="277"/>
      <c r="P380" s="277"/>
      <c r="Q380" s="277"/>
      <c r="R380" s="277"/>
      <c r="S380" s="277"/>
      <c r="T380" s="277"/>
      <c r="U380" s="277"/>
      <c r="V380" s="277"/>
      <c r="W380" s="277"/>
      <c r="X380" s="277"/>
      <c r="Y380" s="277"/>
      <c r="Z380" s="277"/>
    </row>
    <row r="381" ht="12.75" customHeight="1">
      <c r="A381" s="277"/>
      <c r="B381" s="278"/>
      <c r="C381" s="279"/>
      <c r="D381" s="277"/>
      <c r="E381" s="277"/>
      <c r="F381" s="277"/>
      <c r="G381" s="277"/>
      <c r="H381" s="277"/>
      <c r="I381" s="277"/>
      <c r="J381" s="277"/>
      <c r="K381" s="409"/>
      <c r="L381" s="477"/>
      <c r="M381" s="277"/>
      <c r="N381" s="277"/>
      <c r="O381" s="277"/>
      <c r="P381" s="277"/>
      <c r="Q381" s="277"/>
      <c r="R381" s="277"/>
      <c r="S381" s="277"/>
      <c r="T381" s="277"/>
      <c r="U381" s="277"/>
      <c r="V381" s="277"/>
      <c r="W381" s="277"/>
      <c r="X381" s="277"/>
      <c r="Y381" s="277"/>
      <c r="Z381" s="277"/>
    </row>
    <row r="382" ht="12.75" customHeight="1">
      <c r="A382" s="277"/>
      <c r="B382" s="278"/>
      <c r="C382" s="279"/>
      <c r="D382" s="277"/>
      <c r="E382" s="277"/>
      <c r="F382" s="277"/>
      <c r="G382" s="277"/>
      <c r="H382" s="277"/>
      <c r="I382" s="277"/>
      <c r="J382" s="277"/>
      <c r="K382" s="409"/>
      <c r="L382" s="477"/>
      <c r="M382" s="277"/>
      <c r="N382" s="277"/>
      <c r="O382" s="277"/>
      <c r="P382" s="277"/>
      <c r="Q382" s="277"/>
      <c r="R382" s="277"/>
      <c r="S382" s="277"/>
      <c r="T382" s="277"/>
      <c r="U382" s="277"/>
      <c r="V382" s="277"/>
      <c r="W382" s="277"/>
      <c r="X382" s="277"/>
      <c r="Y382" s="277"/>
      <c r="Z382" s="277"/>
    </row>
    <row r="383" ht="12.75" customHeight="1">
      <c r="A383" s="277"/>
      <c r="B383" s="278"/>
      <c r="C383" s="279"/>
      <c r="D383" s="277"/>
      <c r="E383" s="277"/>
      <c r="F383" s="277"/>
      <c r="G383" s="277"/>
      <c r="H383" s="277"/>
      <c r="I383" s="277"/>
      <c r="J383" s="277"/>
      <c r="K383" s="409"/>
      <c r="L383" s="477"/>
      <c r="M383" s="277"/>
      <c r="N383" s="277"/>
      <c r="O383" s="277"/>
      <c r="P383" s="277"/>
      <c r="Q383" s="277"/>
      <c r="R383" s="277"/>
      <c r="S383" s="277"/>
      <c r="T383" s="277"/>
      <c r="U383" s="277"/>
      <c r="V383" s="277"/>
      <c r="W383" s="277"/>
      <c r="X383" s="277"/>
      <c r="Y383" s="277"/>
      <c r="Z383" s="277"/>
    </row>
    <row r="384" ht="12.75" customHeight="1">
      <c r="A384" s="277"/>
      <c r="B384" s="278"/>
      <c r="C384" s="279"/>
      <c r="D384" s="277"/>
      <c r="E384" s="277"/>
      <c r="F384" s="277"/>
      <c r="G384" s="277"/>
      <c r="H384" s="277"/>
      <c r="I384" s="277"/>
      <c r="J384" s="277"/>
      <c r="K384" s="409"/>
      <c r="L384" s="477"/>
      <c r="M384" s="277"/>
      <c r="N384" s="277"/>
      <c r="O384" s="277"/>
      <c r="P384" s="277"/>
      <c r="Q384" s="277"/>
      <c r="R384" s="277"/>
      <c r="S384" s="277"/>
      <c r="T384" s="277"/>
      <c r="U384" s="277"/>
      <c r="V384" s="277"/>
      <c r="W384" s="277"/>
      <c r="X384" s="277"/>
      <c r="Y384" s="277"/>
      <c r="Z384" s="277"/>
    </row>
    <row r="385" ht="12.75" customHeight="1">
      <c r="A385" s="277"/>
      <c r="B385" s="278"/>
      <c r="C385" s="279"/>
      <c r="D385" s="277"/>
      <c r="E385" s="277"/>
      <c r="F385" s="277"/>
      <c r="G385" s="277"/>
      <c r="H385" s="277"/>
      <c r="I385" s="277"/>
      <c r="J385" s="277"/>
      <c r="K385" s="409"/>
      <c r="L385" s="477"/>
      <c r="M385" s="277"/>
      <c r="N385" s="277"/>
      <c r="O385" s="277"/>
      <c r="P385" s="277"/>
      <c r="Q385" s="277"/>
      <c r="R385" s="277"/>
      <c r="S385" s="277"/>
      <c r="T385" s="277"/>
      <c r="U385" s="277"/>
      <c r="V385" s="277"/>
      <c r="W385" s="277"/>
      <c r="X385" s="277"/>
      <c r="Y385" s="277"/>
      <c r="Z385" s="277"/>
    </row>
    <row r="386" ht="12.75" customHeight="1">
      <c r="A386" s="277"/>
      <c r="B386" s="278"/>
      <c r="C386" s="279"/>
      <c r="D386" s="277"/>
      <c r="E386" s="277"/>
      <c r="F386" s="277"/>
      <c r="G386" s="277"/>
      <c r="H386" s="277"/>
      <c r="I386" s="277"/>
      <c r="J386" s="277"/>
      <c r="K386" s="409"/>
      <c r="L386" s="477"/>
      <c r="M386" s="277"/>
      <c r="N386" s="277"/>
      <c r="O386" s="277"/>
      <c r="P386" s="277"/>
      <c r="Q386" s="277"/>
      <c r="R386" s="277"/>
      <c r="S386" s="277"/>
      <c r="T386" s="277"/>
      <c r="U386" s="277"/>
      <c r="V386" s="277"/>
      <c r="W386" s="277"/>
      <c r="X386" s="277"/>
      <c r="Y386" s="277"/>
      <c r="Z386" s="277"/>
    </row>
    <row r="387" ht="12.75" customHeight="1">
      <c r="A387" s="277"/>
      <c r="B387" s="278"/>
      <c r="C387" s="279"/>
      <c r="D387" s="277"/>
      <c r="E387" s="277"/>
      <c r="F387" s="277"/>
      <c r="G387" s="277"/>
      <c r="H387" s="277"/>
      <c r="I387" s="277"/>
      <c r="J387" s="277"/>
      <c r="K387" s="409"/>
      <c r="L387" s="477"/>
      <c r="M387" s="277"/>
      <c r="N387" s="277"/>
      <c r="O387" s="277"/>
      <c r="P387" s="277"/>
      <c r="Q387" s="277"/>
      <c r="R387" s="277"/>
      <c r="S387" s="277"/>
      <c r="T387" s="277"/>
      <c r="U387" s="277"/>
      <c r="V387" s="277"/>
      <c r="W387" s="277"/>
      <c r="X387" s="277"/>
      <c r="Y387" s="277"/>
      <c r="Z387" s="277"/>
    </row>
    <row r="388" ht="12.75" customHeight="1">
      <c r="A388" s="277"/>
      <c r="B388" s="278"/>
      <c r="C388" s="279"/>
      <c r="D388" s="277"/>
      <c r="E388" s="277"/>
      <c r="F388" s="277"/>
      <c r="G388" s="277"/>
      <c r="H388" s="277"/>
      <c r="I388" s="277"/>
      <c r="J388" s="277"/>
      <c r="K388" s="409"/>
      <c r="L388" s="477"/>
      <c r="M388" s="277"/>
      <c r="N388" s="277"/>
      <c r="O388" s="277"/>
      <c r="P388" s="277"/>
      <c r="Q388" s="277"/>
      <c r="R388" s="277"/>
      <c r="S388" s="277"/>
      <c r="T388" s="277"/>
      <c r="U388" s="277"/>
      <c r="V388" s="277"/>
      <c r="W388" s="277"/>
      <c r="X388" s="277"/>
      <c r="Y388" s="277"/>
      <c r="Z388" s="277"/>
    </row>
    <row r="389" ht="12.75" customHeight="1">
      <c r="A389" s="277"/>
      <c r="B389" s="278"/>
      <c r="C389" s="279"/>
      <c r="D389" s="277"/>
      <c r="E389" s="277"/>
      <c r="F389" s="277"/>
      <c r="G389" s="277"/>
      <c r="H389" s="277"/>
      <c r="I389" s="277"/>
      <c r="J389" s="277"/>
      <c r="K389" s="409"/>
      <c r="L389" s="477"/>
      <c r="M389" s="277"/>
      <c r="N389" s="277"/>
      <c r="O389" s="277"/>
      <c r="P389" s="277"/>
      <c r="Q389" s="277"/>
      <c r="R389" s="277"/>
      <c r="S389" s="277"/>
      <c r="T389" s="277"/>
      <c r="U389" s="277"/>
      <c r="V389" s="277"/>
      <c r="W389" s="277"/>
      <c r="X389" s="277"/>
      <c r="Y389" s="277"/>
      <c r="Z389" s="277"/>
    </row>
    <row r="390" ht="12.75" customHeight="1">
      <c r="A390" s="277"/>
      <c r="B390" s="278"/>
      <c r="C390" s="279"/>
      <c r="D390" s="277"/>
      <c r="E390" s="277"/>
      <c r="F390" s="277"/>
      <c r="G390" s="277"/>
      <c r="H390" s="277"/>
      <c r="I390" s="277"/>
      <c r="J390" s="277"/>
      <c r="K390" s="409"/>
      <c r="L390" s="477"/>
      <c r="M390" s="277"/>
      <c r="N390" s="277"/>
      <c r="O390" s="277"/>
      <c r="P390" s="277"/>
      <c r="Q390" s="277"/>
      <c r="R390" s="277"/>
      <c r="S390" s="277"/>
      <c r="T390" s="277"/>
      <c r="U390" s="277"/>
      <c r="V390" s="277"/>
      <c r="W390" s="277"/>
      <c r="X390" s="277"/>
      <c r="Y390" s="277"/>
      <c r="Z390" s="277"/>
    </row>
    <row r="391" ht="12.75" customHeight="1">
      <c r="A391" s="277"/>
      <c r="B391" s="278"/>
      <c r="C391" s="279"/>
      <c r="D391" s="277"/>
      <c r="E391" s="277"/>
      <c r="F391" s="277"/>
      <c r="G391" s="277"/>
      <c r="H391" s="277"/>
      <c r="I391" s="277"/>
      <c r="J391" s="277"/>
      <c r="K391" s="409"/>
      <c r="L391" s="477"/>
      <c r="M391" s="277"/>
      <c r="N391" s="277"/>
      <c r="O391" s="277"/>
      <c r="P391" s="277"/>
      <c r="Q391" s="277"/>
      <c r="R391" s="277"/>
      <c r="S391" s="277"/>
      <c r="T391" s="277"/>
      <c r="U391" s="277"/>
      <c r="V391" s="277"/>
      <c r="W391" s="277"/>
      <c r="X391" s="277"/>
      <c r="Y391" s="277"/>
      <c r="Z391" s="277"/>
    </row>
    <row r="392" ht="12.75" customHeight="1">
      <c r="A392" s="277"/>
      <c r="B392" s="278"/>
      <c r="C392" s="279"/>
      <c r="D392" s="277"/>
      <c r="E392" s="277"/>
      <c r="F392" s="277"/>
      <c r="G392" s="277"/>
      <c r="H392" s="277"/>
      <c r="I392" s="277"/>
      <c r="J392" s="277"/>
      <c r="K392" s="409"/>
      <c r="L392" s="477"/>
      <c r="M392" s="277"/>
      <c r="N392" s="277"/>
      <c r="O392" s="277"/>
      <c r="P392" s="277"/>
      <c r="Q392" s="277"/>
      <c r="R392" s="277"/>
      <c r="S392" s="277"/>
      <c r="T392" s="277"/>
      <c r="U392" s="277"/>
      <c r="V392" s="277"/>
      <c r="W392" s="277"/>
      <c r="X392" s="277"/>
      <c r="Y392" s="277"/>
      <c r="Z392" s="277"/>
    </row>
    <row r="393" ht="12.75" customHeight="1">
      <c r="A393" s="277"/>
      <c r="B393" s="278"/>
      <c r="C393" s="279"/>
      <c r="D393" s="277"/>
      <c r="E393" s="277"/>
      <c r="F393" s="277"/>
      <c r="G393" s="277"/>
      <c r="H393" s="277"/>
      <c r="I393" s="277"/>
      <c r="J393" s="277"/>
      <c r="K393" s="409"/>
      <c r="L393" s="477"/>
      <c r="M393" s="277"/>
      <c r="N393" s="277"/>
      <c r="O393" s="277"/>
      <c r="P393" s="277"/>
      <c r="Q393" s="277"/>
      <c r="R393" s="277"/>
      <c r="S393" s="277"/>
      <c r="T393" s="277"/>
      <c r="U393" s="277"/>
      <c r="V393" s="277"/>
      <c r="W393" s="277"/>
      <c r="X393" s="277"/>
      <c r="Y393" s="277"/>
      <c r="Z393" s="277"/>
    </row>
    <row r="394" ht="12.75" customHeight="1">
      <c r="A394" s="277"/>
      <c r="B394" s="278"/>
      <c r="C394" s="279"/>
      <c r="D394" s="277"/>
      <c r="E394" s="277"/>
      <c r="F394" s="277"/>
      <c r="G394" s="277"/>
      <c r="H394" s="277"/>
      <c r="I394" s="277"/>
      <c r="J394" s="277"/>
      <c r="K394" s="409"/>
      <c r="L394" s="477"/>
      <c r="M394" s="277"/>
      <c r="N394" s="277"/>
      <c r="O394" s="277"/>
      <c r="P394" s="277"/>
      <c r="Q394" s="277"/>
      <c r="R394" s="277"/>
      <c r="S394" s="277"/>
      <c r="T394" s="277"/>
      <c r="U394" s="277"/>
      <c r="V394" s="277"/>
      <c r="W394" s="277"/>
      <c r="X394" s="277"/>
      <c r="Y394" s="277"/>
      <c r="Z394" s="277"/>
    </row>
    <row r="395" ht="12.75" customHeight="1">
      <c r="A395" s="277"/>
      <c r="B395" s="278"/>
      <c r="C395" s="279"/>
      <c r="D395" s="277"/>
      <c r="E395" s="277"/>
      <c r="F395" s="277"/>
      <c r="G395" s="277"/>
      <c r="H395" s="277"/>
      <c r="I395" s="277"/>
      <c r="J395" s="277"/>
      <c r="K395" s="409"/>
      <c r="L395" s="477"/>
      <c r="M395" s="277"/>
      <c r="N395" s="277"/>
      <c r="O395" s="277"/>
      <c r="P395" s="277"/>
      <c r="Q395" s="277"/>
      <c r="R395" s="277"/>
      <c r="S395" s="277"/>
      <c r="T395" s="277"/>
      <c r="U395" s="277"/>
      <c r="V395" s="277"/>
      <c r="W395" s="277"/>
      <c r="X395" s="277"/>
      <c r="Y395" s="277"/>
      <c r="Z395" s="277"/>
    </row>
    <row r="396" ht="12.75" customHeight="1">
      <c r="A396" s="277"/>
      <c r="B396" s="278"/>
      <c r="C396" s="279"/>
      <c r="D396" s="277"/>
      <c r="E396" s="277"/>
      <c r="F396" s="277"/>
      <c r="G396" s="277"/>
      <c r="H396" s="277"/>
      <c r="I396" s="277"/>
      <c r="J396" s="277"/>
      <c r="K396" s="409"/>
      <c r="L396" s="477"/>
      <c r="M396" s="277"/>
      <c r="N396" s="277"/>
      <c r="O396" s="277"/>
      <c r="P396" s="277"/>
      <c r="Q396" s="277"/>
      <c r="R396" s="277"/>
      <c r="S396" s="277"/>
      <c r="T396" s="277"/>
      <c r="U396" s="277"/>
      <c r="V396" s="277"/>
      <c r="W396" s="277"/>
      <c r="X396" s="277"/>
      <c r="Y396" s="277"/>
      <c r="Z396" s="277"/>
    </row>
    <row r="397" ht="12.75" customHeight="1">
      <c r="A397" s="277"/>
      <c r="B397" s="278"/>
      <c r="C397" s="279"/>
      <c r="D397" s="277"/>
      <c r="E397" s="277"/>
      <c r="F397" s="277"/>
      <c r="G397" s="277"/>
      <c r="H397" s="277"/>
      <c r="I397" s="277"/>
      <c r="J397" s="277"/>
      <c r="K397" s="409"/>
      <c r="L397" s="477"/>
      <c r="M397" s="277"/>
      <c r="N397" s="277"/>
      <c r="O397" s="277"/>
      <c r="P397" s="277"/>
      <c r="Q397" s="277"/>
      <c r="R397" s="277"/>
      <c r="S397" s="277"/>
      <c r="T397" s="277"/>
      <c r="U397" s="277"/>
      <c r="V397" s="277"/>
      <c r="W397" s="277"/>
      <c r="X397" s="277"/>
      <c r="Y397" s="277"/>
      <c r="Z397" s="277"/>
    </row>
    <row r="398" ht="12.75" customHeight="1">
      <c r="A398" s="277"/>
      <c r="B398" s="278"/>
      <c r="C398" s="279"/>
      <c r="D398" s="277"/>
      <c r="E398" s="277"/>
      <c r="F398" s="277"/>
      <c r="G398" s="277"/>
      <c r="H398" s="277"/>
      <c r="I398" s="277"/>
      <c r="J398" s="277"/>
      <c r="K398" s="409"/>
      <c r="L398" s="477"/>
      <c r="M398" s="277"/>
      <c r="N398" s="277"/>
      <c r="O398" s="277"/>
      <c r="P398" s="277"/>
      <c r="Q398" s="277"/>
      <c r="R398" s="277"/>
      <c r="S398" s="277"/>
      <c r="T398" s="277"/>
      <c r="U398" s="277"/>
      <c r="V398" s="277"/>
      <c r="W398" s="277"/>
      <c r="X398" s="277"/>
      <c r="Y398" s="277"/>
      <c r="Z398" s="277"/>
    </row>
    <row r="399" ht="12.75" customHeight="1">
      <c r="A399" s="277"/>
      <c r="B399" s="278"/>
      <c r="C399" s="279"/>
      <c r="D399" s="277"/>
      <c r="E399" s="277"/>
      <c r="F399" s="277"/>
      <c r="G399" s="277"/>
      <c r="H399" s="277"/>
      <c r="I399" s="277"/>
      <c r="J399" s="277"/>
      <c r="K399" s="409"/>
      <c r="L399" s="477"/>
      <c r="M399" s="277"/>
      <c r="N399" s="277"/>
      <c r="O399" s="277"/>
      <c r="P399" s="277"/>
      <c r="Q399" s="277"/>
      <c r="R399" s="277"/>
      <c r="S399" s="277"/>
      <c r="T399" s="277"/>
      <c r="U399" s="277"/>
      <c r="V399" s="277"/>
      <c r="W399" s="277"/>
      <c r="X399" s="277"/>
      <c r="Y399" s="277"/>
      <c r="Z399" s="277"/>
    </row>
    <row r="400" ht="12.75" customHeight="1">
      <c r="A400" s="277"/>
      <c r="B400" s="278"/>
      <c r="C400" s="279"/>
      <c r="D400" s="277"/>
      <c r="E400" s="277"/>
      <c r="F400" s="277"/>
      <c r="G400" s="277"/>
      <c r="H400" s="277"/>
      <c r="I400" s="277"/>
      <c r="J400" s="277"/>
      <c r="K400" s="409"/>
      <c r="L400" s="477"/>
      <c r="M400" s="277"/>
      <c r="N400" s="277"/>
      <c r="O400" s="277"/>
      <c r="P400" s="277"/>
      <c r="Q400" s="277"/>
      <c r="R400" s="277"/>
      <c r="S400" s="277"/>
      <c r="T400" s="277"/>
      <c r="U400" s="277"/>
      <c r="V400" s="277"/>
      <c r="W400" s="277"/>
      <c r="X400" s="277"/>
      <c r="Y400" s="277"/>
      <c r="Z400" s="277"/>
    </row>
    <row r="401" ht="12.75" customHeight="1">
      <c r="A401" s="277"/>
      <c r="B401" s="278"/>
      <c r="C401" s="279"/>
      <c r="D401" s="277"/>
      <c r="E401" s="277"/>
      <c r="F401" s="277"/>
      <c r="G401" s="277"/>
      <c r="H401" s="277"/>
      <c r="I401" s="277"/>
      <c r="J401" s="277"/>
      <c r="K401" s="409"/>
      <c r="L401" s="477"/>
      <c r="M401" s="277"/>
      <c r="N401" s="277"/>
      <c r="O401" s="277"/>
      <c r="P401" s="277"/>
      <c r="Q401" s="277"/>
      <c r="R401" s="277"/>
      <c r="S401" s="277"/>
      <c r="T401" s="277"/>
      <c r="U401" s="277"/>
      <c r="V401" s="277"/>
      <c r="W401" s="277"/>
      <c r="X401" s="277"/>
      <c r="Y401" s="277"/>
      <c r="Z401" s="277"/>
    </row>
    <row r="402" ht="12.75" customHeight="1">
      <c r="A402" s="277"/>
      <c r="B402" s="278"/>
      <c r="C402" s="279"/>
      <c r="D402" s="277"/>
      <c r="E402" s="277"/>
      <c r="F402" s="277"/>
      <c r="G402" s="277"/>
      <c r="H402" s="277"/>
      <c r="I402" s="277"/>
      <c r="J402" s="277"/>
      <c r="K402" s="409"/>
      <c r="L402" s="477"/>
      <c r="M402" s="277"/>
      <c r="N402" s="277"/>
      <c r="O402" s="277"/>
      <c r="P402" s="277"/>
      <c r="Q402" s="277"/>
      <c r="R402" s="277"/>
      <c r="S402" s="277"/>
      <c r="T402" s="277"/>
      <c r="U402" s="277"/>
      <c r="V402" s="277"/>
      <c r="W402" s="277"/>
      <c r="X402" s="277"/>
      <c r="Y402" s="277"/>
      <c r="Z402" s="277"/>
    </row>
    <row r="403" ht="12.75" customHeight="1">
      <c r="A403" s="277"/>
      <c r="B403" s="278"/>
      <c r="C403" s="279"/>
      <c r="D403" s="277"/>
      <c r="E403" s="277"/>
      <c r="F403" s="277"/>
      <c r="G403" s="277"/>
      <c r="H403" s="277"/>
      <c r="I403" s="277"/>
      <c r="J403" s="277"/>
      <c r="K403" s="409"/>
      <c r="L403" s="477"/>
      <c r="M403" s="277"/>
      <c r="N403" s="277"/>
      <c r="O403" s="277"/>
      <c r="P403" s="277"/>
      <c r="Q403" s="277"/>
      <c r="R403" s="277"/>
      <c r="S403" s="277"/>
      <c r="T403" s="277"/>
      <c r="U403" s="277"/>
      <c r="V403" s="277"/>
      <c r="W403" s="277"/>
      <c r="X403" s="277"/>
      <c r="Y403" s="277"/>
      <c r="Z403" s="277"/>
    </row>
    <row r="404" ht="12.75" customHeight="1">
      <c r="A404" s="277"/>
      <c r="B404" s="278"/>
      <c r="C404" s="279"/>
      <c r="D404" s="277"/>
      <c r="E404" s="277"/>
      <c r="F404" s="277"/>
      <c r="G404" s="277"/>
      <c r="H404" s="277"/>
      <c r="I404" s="277"/>
      <c r="J404" s="277"/>
      <c r="K404" s="409"/>
      <c r="L404" s="477"/>
      <c r="M404" s="277"/>
      <c r="N404" s="277"/>
      <c r="O404" s="277"/>
      <c r="P404" s="277"/>
      <c r="Q404" s="277"/>
      <c r="R404" s="277"/>
      <c r="S404" s="277"/>
      <c r="T404" s="277"/>
      <c r="U404" s="277"/>
      <c r="V404" s="277"/>
      <c r="W404" s="277"/>
      <c r="X404" s="277"/>
      <c r="Y404" s="277"/>
      <c r="Z404" s="277"/>
    </row>
    <row r="405" ht="12.75" customHeight="1">
      <c r="A405" s="277"/>
      <c r="B405" s="278"/>
      <c r="C405" s="279"/>
      <c r="D405" s="277"/>
      <c r="E405" s="277"/>
      <c r="F405" s="277"/>
      <c r="G405" s="277"/>
      <c r="H405" s="277"/>
      <c r="I405" s="277"/>
      <c r="J405" s="277"/>
      <c r="K405" s="409"/>
      <c r="L405" s="477"/>
      <c r="M405" s="277"/>
      <c r="N405" s="277"/>
      <c r="O405" s="277"/>
      <c r="P405" s="277"/>
      <c r="Q405" s="277"/>
      <c r="R405" s="277"/>
      <c r="S405" s="277"/>
      <c r="T405" s="277"/>
      <c r="U405" s="277"/>
      <c r="V405" s="277"/>
      <c r="W405" s="277"/>
      <c r="X405" s="277"/>
      <c r="Y405" s="277"/>
      <c r="Z405" s="277"/>
    </row>
    <row r="406" ht="12.75" customHeight="1">
      <c r="A406" s="277"/>
      <c r="B406" s="278"/>
      <c r="C406" s="279"/>
      <c r="D406" s="277"/>
      <c r="E406" s="277"/>
      <c r="F406" s="277"/>
      <c r="G406" s="277"/>
      <c r="H406" s="277"/>
      <c r="I406" s="277"/>
      <c r="J406" s="277"/>
      <c r="K406" s="409"/>
      <c r="L406" s="477"/>
      <c r="M406" s="277"/>
      <c r="N406" s="277"/>
      <c r="O406" s="277"/>
      <c r="P406" s="277"/>
      <c r="Q406" s="277"/>
      <c r="R406" s="277"/>
      <c r="S406" s="277"/>
      <c r="T406" s="277"/>
      <c r="U406" s="277"/>
      <c r="V406" s="277"/>
      <c r="W406" s="277"/>
      <c r="X406" s="277"/>
      <c r="Y406" s="277"/>
      <c r="Z406" s="277"/>
    </row>
    <row r="407" ht="12.75" customHeight="1">
      <c r="A407" s="277"/>
      <c r="B407" s="278"/>
      <c r="C407" s="279"/>
      <c r="D407" s="277"/>
      <c r="E407" s="277"/>
      <c r="F407" s="277"/>
      <c r="G407" s="277"/>
      <c r="H407" s="277"/>
      <c r="I407" s="277"/>
      <c r="J407" s="277"/>
      <c r="K407" s="409"/>
      <c r="L407" s="477"/>
      <c r="M407" s="277"/>
      <c r="N407" s="277"/>
      <c r="O407" s="277"/>
      <c r="P407" s="277"/>
      <c r="Q407" s="277"/>
      <c r="R407" s="277"/>
      <c r="S407" s="277"/>
      <c r="T407" s="277"/>
      <c r="U407" s="277"/>
      <c r="V407" s="277"/>
      <c r="W407" s="277"/>
      <c r="X407" s="277"/>
      <c r="Y407" s="277"/>
      <c r="Z407" s="277"/>
    </row>
    <row r="408" ht="12.75" customHeight="1">
      <c r="A408" s="277"/>
      <c r="B408" s="278"/>
      <c r="C408" s="279"/>
      <c r="D408" s="277"/>
      <c r="E408" s="277"/>
      <c r="F408" s="277"/>
      <c r="G408" s="277"/>
      <c r="H408" s="277"/>
      <c r="I408" s="277"/>
      <c r="J408" s="277"/>
      <c r="K408" s="409"/>
      <c r="L408" s="477"/>
      <c r="M408" s="277"/>
      <c r="N408" s="277"/>
      <c r="O408" s="277"/>
      <c r="P408" s="277"/>
      <c r="Q408" s="277"/>
      <c r="R408" s="277"/>
      <c r="S408" s="277"/>
      <c r="T408" s="277"/>
      <c r="U408" s="277"/>
      <c r="V408" s="277"/>
      <c r="W408" s="277"/>
      <c r="X408" s="277"/>
      <c r="Y408" s="277"/>
      <c r="Z408" s="277"/>
    </row>
    <row r="409" ht="12.75" customHeight="1">
      <c r="A409" s="277"/>
      <c r="B409" s="278"/>
      <c r="C409" s="279"/>
      <c r="D409" s="277"/>
      <c r="E409" s="277"/>
      <c r="F409" s="277"/>
      <c r="G409" s="277"/>
      <c r="H409" s="277"/>
      <c r="I409" s="277"/>
      <c r="J409" s="277"/>
      <c r="K409" s="409"/>
      <c r="L409" s="477"/>
      <c r="M409" s="277"/>
      <c r="N409" s="277"/>
      <c r="O409" s="277"/>
      <c r="P409" s="277"/>
      <c r="Q409" s="277"/>
      <c r="R409" s="277"/>
      <c r="S409" s="277"/>
      <c r="T409" s="277"/>
      <c r="U409" s="277"/>
      <c r="V409" s="277"/>
      <c r="W409" s="277"/>
      <c r="X409" s="277"/>
      <c r="Y409" s="277"/>
      <c r="Z409" s="277"/>
    </row>
    <row r="410" ht="12.75" customHeight="1">
      <c r="A410" s="277"/>
      <c r="B410" s="278"/>
      <c r="C410" s="279"/>
      <c r="D410" s="277"/>
      <c r="E410" s="277"/>
      <c r="F410" s="277"/>
      <c r="G410" s="277"/>
      <c r="H410" s="277"/>
      <c r="I410" s="277"/>
      <c r="J410" s="277"/>
      <c r="K410" s="409"/>
      <c r="L410" s="477"/>
      <c r="M410" s="277"/>
      <c r="N410" s="277"/>
      <c r="O410" s="277"/>
      <c r="P410" s="277"/>
      <c r="Q410" s="277"/>
      <c r="R410" s="277"/>
      <c r="S410" s="277"/>
      <c r="T410" s="277"/>
      <c r="U410" s="277"/>
      <c r="V410" s="277"/>
      <c r="W410" s="277"/>
      <c r="X410" s="277"/>
      <c r="Y410" s="277"/>
      <c r="Z410" s="277"/>
    </row>
    <row r="411" ht="12.75" customHeight="1">
      <c r="A411" s="277"/>
      <c r="B411" s="278"/>
      <c r="C411" s="279"/>
      <c r="D411" s="277"/>
      <c r="E411" s="277"/>
      <c r="F411" s="277"/>
      <c r="G411" s="277"/>
      <c r="H411" s="277"/>
      <c r="I411" s="277"/>
      <c r="J411" s="277"/>
      <c r="K411" s="409"/>
      <c r="L411" s="477"/>
      <c r="M411" s="277"/>
      <c r="N411" s="277"/>
      <c r="O411" s="277"/>
      <c r="P411" s="277"/>
      <c r="Q411" s="277"/>
      <c r="R411" s="277"/>
      <c r="S411" s="277"/>
      <c r="T411" s="277"/>
      <c r="U411" s="277"/>
      <c r="V411" s="277"/>
      <c r="W411" s="277"/>
      <c r="X411" s="277"/>
      <c r="Y411" s="277"/>
      <c r="Z411" s="277"/>
    </row>
    <row r="412" ht="12.75" customHeight="1">
      <c r="A412" s="277"/>
      <c r="B412" s="278"/>
      <c r="C412" s="279"/>
      <c r="D412" s="277"/>
      <c r="E412" s="277"/>
      <c r="F412" s="277"/>
      <c r="G412" s="277"/>
      <c r="H412" s="277"/>
      <c r="I412" s="277"/>
      <c r="J412" s="277"/>
      <c r="K412" s="409"/>
      <c r="L412" s="477"/>
      <c r="M412" s="277"/>
      <c r="N412" s="277"/>
      <c r="O412" s="277"/>
      <c r="P412" s="277"/>
      <c r="Q412" s="277"/>
      <c r="R412" s="277"/>
      <c r="S412" s="277"/>
      <c r="T412" s="277"/>
      <c r="U412" s="277"/>
      <c r="V412" s="277"/>
      <c r="W412" s="277"/>
      <c r="X412" s="277"/>
      <c r="Y412" s="277"/>
      <c r="Z412" s="277"/>
    </row>
    <row r="413" ht="12.75" customHeight="1">
      <c r="A413" s="277"/>
      <c r="B413" s="278"/>
      <c r="C413" s="279"/>
      <c r="D413" s="277"/>
      <c r="E413" s="277"/>
      <c r="F413" s="277"/>
      <c r="G413" s="277"/>
      <c r="H413" s="277"/>
      <c r="I413" s="277"/>
      <c r="J413" s="277"/>
      <c r="K413" s="409"/>
      <c r="L413" s="477"/>
      <c r="M413" s="277"/>
      <c r="N413" s="277"/>
      <c r="O413" s="277"/>
      <c r="P413" s="277"/>
      <c r="Q413" s="277"/>
      <c r="R413" s="277"/>
      <c r="S413" s="277"/>
      <c r="T413" s="277"/>
      <c r="U413" s="277"/>
      <c r="V413" s="277"/>
      <c r="W413" s="277"/>
      <c r="X413" s="277"/>
      <c r="Y413" s="277"/>
      <c r="Z413" s="277"/>
    </row>
    <row r="414" ht="12.75" customHeight="1">
      <c r="A414" s="277"/>
      <c r="B414" s="278"/>
      <c r="C414" s="279"/>
      <c r="D414" s="277"/>
      <c r="E414" s="277"/>
      <c r="F414" s="277"/>
      <c r="G414" s="277"/>
      <c r="H414" s="277"/>
      <c r="I414" s="277"/>
      <c r="J414" s="277"/>
      <c r="K414" s="409"/>
      <c r="L414" s="477"/>
      <c r="M414" s="277"/>
      <c r="N414" s="277"/>
      <c r="O414" s="277"/>
      <c r="P414" s="277"/>
      <c r="Q414" s="277"/>
      <c r="R414" s="277"/>
      <c r="S414" s="277"/>
      <c r="T414" s="277"/>
      <c r="U414" s="277"/>
      <c r="V414" s="277"/>
      <c r="W414" s="277"/>
      <c r="X414" s="277"/>
      <c r="Y414" s="277"/>
      <c r="Z414" s="277"/>
    </row>
    <row r="415" ht="12.75" customHeight="1">
      <c r="A415" s="277"/>
      <c r="B415" s="278"/>
      <c r="C415" s="279"/>
      <c r="D415" s="277"/>
      <c r="E415" s="277"/>
      <c r="F415" s="277"/>
      <c r="G415" s="277"/>
      <c r="H415" s="277"/>
      <c r="I415" s="277"/>
      <c r="J415" s="277"/>
      <c r="K415" s="409"/>
      <c r="L415" s="477"/>
      <c r="M415" s="277"/>
      <c r="N415" s="277"/>
      <c r="O415" s="277"/>
      <c r="P415" s="277"/>
      <c r="Q415" s="277"/>
      <c r="R415" s="277"/>
      <c r="S415" s="277"/>
      <c r="T415" s="277"/>
      <c r="U415" s="277"/>
      <c r="V415" s="277"/>
      <c r="W415" s="277"/>
      <c r="X415" s="277"/>
      <c r="Y415" s="277"/>
      <c r="Z415" s="277"/>
    </row>
    <row r="416" ht="12.75" customHeight="1">
      <c r="A416" s="277"/>
      <c r="B416" s="278"/>
      <c r="C416" s="279"/>
      <c r="D416" s="277"/>
      <c r="E416" s="277"/>
      <c r="F416" s="277"/>
      <c r="G416" s="277"/>
      <c r="H416" s="277"/>
      <c r="I416" s="277"/>
      <c r="J416" s="277"/>
      <c r="K416" s="409"/>
      <c r="L416" s="477"/>
      <c r="M416" s="277"/>
      <c r="N416" s="277"/>
      <c r="O416" s="277"/>
      <c r="P416" s="277"/>
      <c r="Q416" s="277"/>
      <c r="R416" s="277"/>
      <c r="S416" s="277"/>
      <c r="T416" s="277"/>
      <c r="U416" s="277"/>
      <c r="V416" s="277"/>
      <c r="W416" s="277"/>
      <c r="X416" s="277"/>
      <c r="Y416" s="277"/>
      <c r="Z416" s="277"/>
    </row>
    <row r="417" ht="12.75" customHeight="1">
      <c r="A417" s="277"/>
      <c r="B417" s="278"/>
      <c r="C417" s="279"/>
      <c r="D417" s="277"/>
      <c r="E417" s="277"/>
      <c r="F417" s="277"/>
      <c r="G417" s="277"/>
      <c r="H417" s="277"/>
      <c r="I417" s="277"/>
      <c r="J417" s="277"/>
      <c r="K417" s="409"/>
      <c r="L417" s="477"/>
      <c r="M417" s="277"/>
      <c r="N417" s="277"/>
      <c r="O417" s="277"/>
      <c r="P417" s="277"/>
      <c r="Q417" s="277"/>
      <c r="R417" s="277"/>
      <c r="S417" s="277"/>
      <c r="T417" s="277"/>
      <c r="U417" s="277"/>
      <c r="V417" s="277"/>
      <c r="W417" s="277"/>
      <c r="X417" s="277"/>
      <c r="Y417" s="277"/>
      <c r="Z417" s="277"/>
    </row>
    <row r="418" ht="12.75" customHeight="1">
      <c r="A418" s="277"/>
      <c r="B418" s="278"/>
      <c r="C418" s="279"/>
      <c r="D418" s="277"/>
      <c r="E418" s="277"/>
      <c r="F418" s="277"/>
      <c r="G418" s="277"/>
      <c r="H418" s="277"/>
      <c r="I418" s="277"/>
      <c r="J418" s="277"/>
      <c r="K418" s="409"/>
      <c r="L418" s="477"/>
      <c r="M418" s="277"/>
      <c r="N418" s="277"/>
      <c r="O418" s="277"/>
      <c r="P418" s="277"/>
      <c r="Q418" s="277"/>
      <c r="R418" s="277"/>
      <c r="S418" s="277"/>
      <c r="T418" s="277"/>
      <c r="U418" s="277"/>
      <c r="V418" s="277"/>
      <c r="W418" s="277"/>
      <c r="X418" s="277"/>
      <c r="Y418" s="277"/>
      <c r="Z418" s="277"/>
    </row>
    <row r="419" ht="12.75" customHeight="1">
      <c r="A419" s="277"/>
      <c r="B419" s="278"/>
      <c r="C419" s="279"/>
      <c r="D419" s="277"/>
      <c r="E419" s="277"/>
      <c r="F419" s="277"/>
      <c r="G419" s="277"/>
      <c r="H419" s="277"/>
      <c r="I419" s="277"/>
      <c r="J419" s="277"/>
      <c r="K419" s="409"/>
      <c r="L419" s="477"/>
      <c r="M419" s="277"/>
      <c r="N419" s="277"/>
      <c r="O419" s="277"/>
      <c r="P419" s="277"/>
      <c r="Q419" s="277"/>
      <c r="R419" s="277"/>
      <c r="S419" s="277"/>
      <c r="T419" s="277"/>
      <c r="U419" s="277"/>
      <c r="V419" s="277"/>
      <c r="W419" s="277"/>
      <c r="X419" s="277"/>
      <c r="Y419" s="277"/>
      <c r="Z419" s="277"/>
    </row>
    <row r="420" ht="12.75" customHeight="1">
      <c r="A420" s="277"/>
      <c r="B420" s="278"/>
      <c r="C420" s="279"/>
      <c r="D420" s="277"/>
      <c r="E420" s="277"/>
      <c r="F420" s="277"/>
      <c r="G420" s="277"/>
      <c r="H420" s="277"/>
      <c r="I420" s="277"/>
      <c r="J420" s="277"/>
      <c r="K420" s="409"/>
      <c r="L420" s="477"/>
      <c r="M420" s="277"/>
      <c r="N420" s="277"/>
      <c r="O420" s="277"/>
      <c r="P420" s="277"/>
      <c r="Q420" s="277"/>
      <c r="R420" s="277"/>
      <c r="S420" s="277"/>
      <c r="T420" s="277"/>
      <c r="U420" s="277"/>
      <c r="V420" s="277"/>
      <c r="W420" s="277"/>
      <c r="X420" s="277"/>
      <c r="Y420" s="277"/>
      <c r="Z420" s="277"/>
    </row>
    <row r="421" ht="12.75" customHeight="1">
      <c r="A421" s="277"/>
      <c r="B421" s="278"/>
      <c r="C421" s="279"/>
      <c r="D421" s="277"/>
      <c r="E421" s="277"/>
      <c r="F421" s="277"/>
      <c r="G421" s="277"/>
      <c r="H421" s="277"/>
      <c r="I421" s="277"/>
      <c r="J421" s="277"/>
      <c r="K421" s="409"/>
      <c r="L421" s="477"/>
      <c r="M421" s="277"/>
      <c r="N421" s="277"/>
      <c r="O421" s="277"/>
      <c r="P421" s="277"/>
      <c r="Q421" s="277"/>
      <c r="R421" s="277"/>
      <c r="S421" s="277"/>
      <c r="T421" s="277"/>
      <c r="U421" s="277"/>
      <c r="V421" s="277"/>
      <c r="W421" s="277"/>
      <c r="X421" s="277"/>
      <c r="Y421" s="277"/>
      <c r="Z421" s="277"/>
    </row>
    <row r="422" ht="12.75" customHeight="1">
      <c r="A422" s="277"/>
      <c r="B422" s="278"/>
      <c r="C422" s="279"/>
      <c r="D422" s="277"/>
      <c r="E422" s="277"/>
      <c r="F422" s="277"/>
      <c r="G422" s="277"/>
      <c r="H422" s="277"/>
      <c r="I422" s="277"/>
      <c r="J422" s="277"/>
      <c r="K422" s="409"/>
      <c r="L422" s="477"/>
      <c r="M422" s="277"/>
      <c r="N422" s="277"/>
      <c r="O422" s="277"/>
      <c r="P422" s="277"/>
      <c r="Q422" s="277"/>
      <c r="R422" s="277"/>
      <c r="S422" s="277"/>
      <c r="T422" s="277"/>
      <c r="U422" s="277"/>
      <c r="V422" s="277"/>
      <c r="W422" s="277"/>
      <c r="X422" s="277"/>
      <c r="Y422" s="277"/>
      <c r="Z422" s="277"/>
    </row>
    <row r="423" ht="12.75" customHeight="1">
      <c r="A423" s="277"/>
      <c r="B423" s="278"/>
      <c r="C423" s="279"/>
      <c r="D423" s="277"/>
      <c r="E423" s="277"/>
      <c r="F423" s="277"/>
      <c r="G423" s="277"/>
      <c r="H423" s="277"/>
      <c r="I423" s="277"/>
      <c r="J423" s="277"/>
      <c r="K423" s="409"/>
      <c r="L423" s="477"/>
      <c r="M423" s="277"/>
      <c r="N423" s="277"/>
      <c r="O423" s="277"/>
      <c r="P423" s="277"/>
      <c r="Q423" s="277"/>
      <c r="R423" s="277"/>
      <c r="S423" s="277"/>
      <c r="T423" s="277"/>
      <c r="U423" s="277"/>
      <c r="V423" s="277"/>
      <c r="W423" s="277"/>
      <c r="X423" s="277"/>
      <c r="Y423" s="277"/>
      <c r="Z423" s="277"/>
    </row>
    <row r="424" ht="12.75" customHeight="1">
      <c r="A424" s="277"/>
      <c r="B424" s="278"/>
      <c r="C424" s="279"/>
      <c r="D424" s="277"/>
      <c r="E424" s="277"/>
      <c r="F424" s="277"/>
      <c r="G424" s="277"/>
      <c r="H424" s="277"/>
      <c r="I424" s="277"/>
      <c r="J424" s="277"/>
      <c r="K424" s="409"/>
      <c r="L424" s="477"/>
      <c r="M424" s="277"/>
      <c r="N424" s="277"/>
      <c r="O424" s="277"/>
      <c r="P424" s="277"/>
      <c r="Q424" s="277"/>
      <c r="R424" s="277"/>
      <c r="S424" s="277"/>
      <c r="T424" s="277"/>
      <c r="U424" s="277"/>
      <c r="V424" s="277"/>
      <c r="W424" s="277"/>
      <c r="X424" s="277"/>
      <c r="Y424" s="277"/>
      <c r="Z424" s="277"/>
    </row>
    <row r="425" ht="12.75" customHeight="1">
      <c r="A425" s="277"/>
      <c r="B425" s="278"/>
      <c r="C425" s="279"/>
      <c r="D425" s="277"/>
      <c r="E425" s="277"/>
      <c r="F425" s="277"/>
      <c r="G425" s="277"/>
      <c r="H425" s="277"/>
      <c r="I425" s="277"/>
      <c r="J425" s="277"/>
      <c r="K425" s="409"/>
      <c r="L425" s="477"/>
      <c r="M425" s="277"/>
      <c r="N425" s="277"/>
      <c r="O425" s="277"/>
      <c r="P425" s="277"/>
      <c r="Q425" s="277"/>
      <c r="R425" s="277"/>
      <c r="S425" s="277"/>
      <c r="T425" s="277"/>
      <c r="U425" s="277"/>
      <c r="V425" s="277"/>
      <c r="W425" s="277"/>
      <c r="X425" s="277"/>
      <c r="Y425" s="277"/>
      <c r="Z425" s="277"/>
    </row>
    <row r="426" ht="12.75" customHeight="1">
      <c r="A426" s="277"/>
      <c r="B426" s="278"/>
      <c r="C426" s="279"/>
      <c r="D426" s="277"/>
      <c r="E426" s="277"/>
      <c r="F426" s="277"/>
      <c r="G426" s="277"/>
      <c r="H426" s="277"/>
      <c r="I426" s="277"/>
      <c r="J426" s="277"/>
      <c r="K426" s="409"/>
      <c r="L426" s="477"/>
      <c r="M426" s="277"/>
      <c r="N426" s="277"/>
      <c r="O426" s="277"/>
      <c r="P426" s="277"/>
      <c r="Q426" s="277"/>
      <c r="R426" s="277"/>
      <c r="S426" s="277"/>
      <c r="T426" s="277"/>
      <c r="U426" s="277"/>
      <c r="V426" s="277"/>
      <c r="W426" s="277"/>
      <c r="X426" s="277"/>
      <c r="Y426" s="277"/>
      <c r="Z426" s="277"/>
    </row>
    <row r="427" ht="12.75" customHeight="1">
      <c r="A427" s="277"/>
      <c r="B427" s="278"/>
      <c r="C427" s="279"/>
      <c r="D427" s="277"/>
      <c r="E427" s="277"/>
      <c r="F427" s="277"/>
      <c r="G427" s="277"/>
      <c r="H427" s="277"/>
      <c r="I427" s="277"/>
      <c r="J427" s="277"/>
      <c r="K427" s="409"/>
      <c r="L427" s="477"/>
      <c r="M427" s="277"/>
      <c r="N427" s="277"/>
      <c r="O427" s="277"/>
      <c r="P427" s="277"/>
      <c r="Q427" s="277"/>
      <c r="R427" s="277"/>
      <c r="S427" s="277"/>
      <c r="T427" s="277"/>
      <c r="U427" s="277"/>
      <c r="V427" s="277"/>
      <c r="W427" s="277"/>
      <c r="X427" s="277"/>
      <c r="Y427" s="277"/>
      <c r="Z427" s="277"/>
    </row>
    <row r="428" ht="12.75" customHeight="1">
      <c r="A428" s="277"/>
      <c r="B428" s="278"/>
      <c r="C428" s="279"/>
      <c r="D428" s="277"/>
      <c r="E428" s="277"/>
      <c r="F428" s="277"/>
      <c r="G428" s="277"/>
      <c r="H428" s="277"/>
      <c r="I428" s="277"/>
      <c r="J428" s="277"/>
      <c r="K428" s="409"/>
      <c r="L428" s="477"/>
      <c r="M428" s="277"/>
      <c r="N428" s="277"/>
      <c r="O428" s="277"/>
      <c r="P428" s="277"/>
      <c r="Q428" s="277"/>
      <c r="R428" s="277"/>
      <c r="S428" s="277"/>
      <c r="T428" s="277"/>
      <c r="U428" s="277"/>
      <c r="V428" s="277"/>
      <c r="W428" s="277"/>
      <c r="X428" s="277"/>
      <c r="Y428" s="277"/>
      <c r="Z428" s="277"/>
    </row>
    <row r="429" ht="12.75" customHeight="1">
      <c r="A429" s="277"/>
      <c r="B429" s="278"/>
      <c r="C429" s="279"/>
      <c r="D429" s="277"/>
      <c r="E429" s="277"/>
      <c r="F429" s="277"/>
      <c r="G429" s="277"/>
      <c r="H429" s="277"/>
      <c r="I429" s="277"/>
      <c r="J429" s="277"/>
      <c r="K429" s="409"/>
      <c r="L429" s="477"/>
      <c r="M429" s="277"/>
      <c r="N429" s="277"/>
      <c r="O429" s="277"/>
      <c r="P429" s="277"/>
      <c r="Q429" s="277"/>
      <c r="R429" s="277"/>
      <c r="S429" s="277"/>
      <c r="T429" s="277"/>
      <c r="U429" s="277"/>
      <c r="V429" s="277"/>
      <c r="W429" s="277"/>
      <c r="X429" s="277"/>
      <c r="Y429" s="277"/>
      <c r="Z429" s="277"/>
    </row>
    <row r="430" ht="12.75" customHeight="1">
      <c r="A430" s="277"/>
      <c r="B430" s="278"/>
      <c r="C430" s="279"/>
      <c r="D430" s="277"/>
      <c r="E430" s="277"/>
      <c r="F430" s="277"/>
      <c r="G430" s="277"/>
      <c r="H430" s="277"/>
      <c r="I430" s="277"/>
      <c r="J430" s="277"/>
      <c r="K430" s="409"/>
      <c r="L430" s="477"/>
      <c r="M430" s="277"/>
      <c r="N430" s="277"/>
      <c r="O430" s="277"/>
      <c r="P430" s="277"/>
      <c r="Q430" s="277"/>
      <c r="R430" s="277"/>
      <c r="S430" s="277"/>
      <c r="T430" s="277"/>
      <c r="U430" s="277"/>
      <c r="V430" s="277"/>
      <c r="W430" s="277"/>
      <c r="X430" s="277"/>
      <c r="Y430" s="277"/>
      <c r="Z430" s="277"/>
    </row>
    <row r="431" ht="12.75" customHeight="1">
      <c r="A431" s="277"/>
      <c r="B431" s="278"/>
      <c r="C431" s="279"/>
      <c r="D431" s="277"/>
      <c r="E431" s="277"/>
      <c r="F431" s="277"/>
      <c r="G431" s="277"/>
      <c r="H431" s="277"/>
      <c r="I431" s="277"/>
      <c r="J431" s="277"/>
      <c r="K431" s="409"/>
      <c r="L431" s="477"/>
      <c r="M431" s="277"/>
      <c r="N431" s="277"/>
      <c r="O431" s="277"/>
      <c r="P431" s="277"/>
      <c r="Q431" s="277"/>
      <c r="R431" s="277"/>
      <c r="S431" s="277"/>
      <c r="T431" s="277"/>
      <c r="U431" s="277"/>
      <c r="V431" s="277"/>
      <c r="W431" s="277"/>
      <c r="X431" s="277"/>
      <c r="Y431" s="277"/>
      <c r="Z431" s="277"/>
    </row>
    <row r="432" ht="12.75" customHeight="1">
      <c r="A432" s="277"/>
      <c r="B432" s="278"/>
      <c r="C432" s="279"/>
      <c r="D432" s="277"/>
      <c r="E432" s="277"/>
      <c r="F432" s="277"/>
      <c r="G432" s="277"/>
      <c r="H432" s="277"/>
      <c r="I432" s="277"/>
      <c r="J432" s="277"/>
      <c r="K432" s="409"/>
      <c r="L432" s="477"/>
      <c r="M432" s="277"/>
      <c r="N432" s="277"/>
      <c r="O432" s="277"/>
      <c r="P432" s="277"/>
      <c r="Q432" s="277"/>
      <c r="R432" s="277"/>
      <c r="S432" s="277"/>
      <c r="T432" s="277"/>
      <c r="U432" s="277"/>
      <c r="V432" s="277"/>
      <c r="W432" s="277"/>
      <c r="X432" s="277"/>
      <c r="Y432" s="277"/>
      <c r="Z432" s="277"/>
    </row>
    <row r="433" ht="12.75" customHeight="1">
      <c r="A433" s="277"/>
      <c r="B433" s="278"/>
      <c r="C433" s="279"/>
      <c r="D433" s="277"/>
      <c r="E433" s="277"/>
      <c r="F433" s="277"/>
      <c r="G433" s="277"/>
      <c r="H433" s="277"/>
      <c r="I433" s="277"/>
      <c r="J433" s="277"/>
      <c r="K433" s="409"/>
      <c r="L433" s="477"/>
      <c r="M433" s="277"/>
      <c r="N433" s="277"/>
      <c r="O433" s="277"/>
      <c r="P433" s="277"/>
      <c r="Q433" s="277"/>
      <c r="R433" s="277"/>
      <c r="S433" s="277"/>
      <c r="T433" s="277"/>
      <c r="U433" s="277"/>
      <c r="V433" s="277"/>
      <c r="W433" s="277"/>
      <c r="X433" s="277"/>
      <c r="Y433" s="277"/>
      <c r="Z433" s="277"/>
    </row>
    <row r="434" ht="12.75" customHeight="1">
      <c r="A434" s="277"/>
      <c r="B434" s="278"/>
      <c r="C434" s="279"/>
      <c r="D434" s="277"/>
      <c r="E434" s="277"/>
      <c r="F434" s="277"/>
      <c r="G434" s="277"/>
      <c r="H434" s="277"/>
      <c r="I434" s="277"/>
      <c r="J434" s="277"/>
      <c r="K434" s="409"/>
      <c r="L434" s="477"/>
      <c r="M434" s="277"/>
      <c r="N434" s="277"/>
      <c r="O434" s="277"/>
      <c r="P434" s="277"/>
      <c r="Q434" s="277"/>
      <c r="R434" s="277"/>
      <c r="S434" s="277"/>
      <c r="T434" s="277"/>
      <c r="U434" s="277"/>
      <c r="V434" s="277"/>
      <c r="W434" s="277"/>
      <c r="X434" s="277"/>
      <c r="Y434" s="277"/>
      <c r="Z434" s="277"/>
    </row>
    <row r="435" ht="12.75" customHeight="1">
      <c r="A435" s="277"/>
      <c r="B435" s="278"/>
      <c r="C435" s="279"/>
      <c r="D435" s="277"/>
      <c r="E435" s="277"/>
      <c r="F435" s="277"/>
      <c r="G435" s="277"/>
      <c r="H435" s="277"/>
      <c r="I435" s="277"/>
      <c r="J435" s="277"/>
      <c r="K435" s="409"/>
      <c r="L435" s="477"/>
      <c r="M435" s="277"/>
      <c r="N435" s="277"/>
      <c r="O435" s="277"/>
      <c r="P435" s="277"/>
      <c r="Q435" s="277"/>
      <c r="R435" s="277"/>
      <c r="S435" s="277"/>
      <c r="T435" s="277"/>
      <c r="U435" s="277"/>
      <c r="V435" s="277"/>
      <c r="W435" s="277"/>
      <c r="X435" s="277"/>
      <c r="Y435" s="277"/>
      <c r="Z435" s="277"/>
    </row>
    <row r="436" ht="12.75" customHeight="1">
      <c r="A436" s="277"/>
      <c r="B436" s="278"/>
      <c r="C436" s="279"/>
      <c r="D436" s="277"/>
      <c r="E436" s="277"/>
      <c r="F436" s="277"/>
      <c r="G436" s="277"/>
      <c r="H436" s="277"/>
      <c r="I436" s="277"/>
      <c r="J436" s="277"/>
      <c r="K436" s="409"/>
      <c r="L436" s="477"/>
      <c r="M436" s="277"/>
      <c r="N436" s="277"/>
      <c r="O436" s="277"/>
      <c r="P436" s="277"/>
      <c r="Q436" s="277"/>
      <c r="R436" s="277"/>
      <c r="S436" s="277"/>
      <c r="T436" s="277"/>
      <c r="U436" s="277"/>
      <c r="V436" s="277"/>
      <c r="W436" s="277"/>
      <c r="X436" s="277"/>
      <c r="Y436" s="277"/>
      <c r="Z436" s="277"/>
    </row>
    <row r="437" ht="12.75" customHeight="1">
      <c r="A437" s="277"/>
      <c r="B437" s="278"/>
      <c r="C437" s="279"/>
      <c r="D437" s="277"/>
      <c r="E437" s="277"/>
      <c r="F437" s="277"/>
      <c r="G437" s="277"/>
      <c r="H437" s="277"/>
      <c r="I437" s="277"/>
      <c r="J437" s="277"/>
      <c r="K437" s="409"/>
      <c r="L437" s="477"/>
      <c r="M437" s="277"/>
      <c r="N437" s="277"/>
      <c r="O437" s="277"/>
      <c r="P437" s="277"/>
      <c r="Q437" s="277"/>
      <c r="R437" s="277"/>
      <c r="S437" s="277"/>
      <c r="T437" s="277"/>
      <c r="U437" s="277"/>
      <c r="V437" s="277"/>
      <c r="W437" s="277"/>
      <c r="X437" s="277"/>
      <c r="Y437" s="277"/>
      <c r="Z437" s="277"/>
    </row>
    <row r="438" ht="12.75" customHeight="1">
      <c r="A438" s="277"/>
      <c r="B438" s="278"/>
      <c r="C438" s="279"/>
      <c r="D438" s="277"/>
      <c r="E438" s="277"/>
      <c r="F438" s="277"/>
      <c r="G438" s="277"/>
      <c r="H438" s="277"/>
      <c r="I438" s="277"/>
      <c r="J438" s="277"/>
      <c r="K438" s="409"/>
      <c r="L438" s="477"/>
      <c r="M438" s="277"/>
      <c r="N438" s="277"/>
      <c r="O438" s="277"/>
      <c r="P438" s="277"/>
      <c r="Q438" s="277"/>
      <c r="R438" s="277"/>
      <c r="S438" s="277"/>
      <c r="T438" s="277"/>
      <c r="U438" s="277"/>
      <c r="V438" s="277"/>
      <c r="W438" s="277"/>
      <c r="X438" s="277"/>
      <c r="Y438" s="277"/>
      <c r="Z438" s="277"/>
    </row>
    <row r="439" ht="12.75" customHeight="1">
      <c r="A439" s="277"/>
      <c r="B439" s="278"/>
      <c r="C439" s="279"/>
      <c r="D439" s="277"/>
      <c r="E439" s="277"/>
      <c r="F439" s="277"/>
      <c r="G439" s="277"/>
      <c r="H439" s="277"/>
      <c r="I439" s="277"/>
      <c r="J439" s="277"/>
      <c r="K439" s="409"/>
      <c r="L439" s="477"/>
      <c r="M439" s="277"/>
      <c r="N439" s="277"/>
      <c r="O439" s="277"/>
      <c r="P439" s="277"/>
      <c r="Q439" s="277"/>
      <c r="R439" s="277"/>
      <c r="S439" s="277"/>
      <c r="T439" s="277"/>
      <c r="U439" s="277"/>
      <c r="V439" s="277"/>
      <c r="W439" s="277"/>
      <c r="X439" s="277"/>
      <c r="Y439" s="277"/>
      <c r="Z439" s="277"/>
    </row>
    <row r="440" ht="12.75" customHeight="1">
      <c r="A440" s="277"/>
      <c r="B440" s="278"/>
      <c r="C440" s="279"/>
      <c r="D440" s="277"/>
      <c r="E440" s="277"/>
      <c r="F440" s="277"/>
      <c r="G440" s="277"/>
      <c r="H440" s="277"/>
      <c r="I440" s="277"/>
      <c r="J440" s="277"/>
      <c r="K440" s="409"/>
      <c r="L440" s="477"/>
      <c r="M440" s="277"/>
      <c r="N440" s="277"/>
      <c r="O440" s="277"/>
      <c r="P440" s="277"/>
      <c r="Q440" s="277"/>
      <c r="R440" s="277"/>
      <c r="S440" s="277"/>
      <c r="T440" s="277"/>
      <c r="U440" s="277"/>
      <c r="V440" s="277"/>
      <c r="W440" s="277"/>
      <c r="X440" s="277"/>
      <c r="Y440" s="277"/>
      <c r="Z440" s="277"/>
    </row>
    <row r="441" ht="12.75" customHeight="1">
      <c r="A441" s="277"/>
      <c r="B441" s="278"/>
      <c r="C441" s="279"/>
      <c r="D441" s="277"/>
      <c r="E441" s="277"/>
      <c r="F441" s="277"/>
      <c r="G441" s="277"/>
      <c r="H441" s="277"/>
      <c r="I441" s="277"/>
      <c r="J441" s="277"/>
      <c r="K441" s="409"/>
      <c r="L441" s="477"/>
      <c r="M441" s="277"/>
      <c r="N441" s="277"/>
      <c r="O441" s="277"/>
      <c r="P441" s="277"/>
      <c r="Q441" s="277"/>
      <c r="R441" s="277"/>
      <c r="S441" s="277"/>
      <c r="T441" s="277"/>
      <c r="U441" s="277"/>
      <c r="V441" s="277"/>
      <c r="W441" s="277"/>
      <c r="X441" s="277"/>
      <c r="Y441" s="277"/>
      <c r="Z441" s="277"/>
    </row>
    <row r="442" ht="12.75" customHeight="1">
      <c r="A442" s="277"/>
      <c r="B442" s="278"/>
      <c r="C442" s="279"/>
      <c r="D442" s="277"/>
      <c r="E442" s="277"/>
      <c r="F442" s="277"/>
      <c r="G442" s="277"/>
      <c r="H442" s="277"/>
      <c r="I442" s="277"/>
      <c r="J442" s="277"/>
      <c r="K442" s="409"/>
      <c r="L442" s="477"/>
      <c r="M442" s="277"/>
      <c r="N442" s="277"/>
      <c r="O442" s="277"/>
      <c r="P442" s="277"/>
      <c r="Q442" s="277"/>
      <c r="R442" s="277"/>
      <c r="S442" s="277"/>
      <c r="T442" s="277"/>
      <c r="U442" s="277"/>
      <c r="V442" s="277"/>
      <c r="W442" s="277"/>
      <c r="X442" s="277"/>
      <c r="Y442" s="277"/>
      <c r="Z442" s="277"/>
    </row>
    <row r="443" ht="12.75" customHeight="1">
      <c r="A443" s="277"/>
      <c r="B443" s="278"/>
      <c r="C443" s="279"/>
      <c r="D443" s="277"/>
      <c r="E443" s="277"/>
      <c r="F443" s="277"/>
      <c r="G443" s="277"/>
      <c r="H443" s="277"/>
      <c r="I443" s="277"/>
      <c r="J443" s="277"/>
      <c r="K443" s="409"/>
      <c r="L443" s="477"/>
      <c r="M443" s="277"/>
      <c r="N443" s="277"/>
      <c r="O443" s="277"/>
      <c r="P443" s="277"/>
      <c r="Q443" s="277"/>
      <c r="R443" s="277"/>
      <c r="S443" s="277"/>
      <c r="T443" s="277"/>
      <c r="U443" s="277"/>
      <c r="V443" s="277"/>
      <c r="W443" s="277"/>
      <c r="X443" s="277"/>
      <c r="Y443" s="277"/>
      <c r="Z443" s="277"/>
    </row>
    <row r="444" ht="12.75" customHeight="1">
      <c r="A444" s="277"/>
      <c r="B444" s="278"/>
      <c r="C444" s="279"/>
      <c r="D444" s="277"/>
      <c r="E444" s="277"/>
      <c r="F444" s="277"/>
      <c r="G444" s="277"/>
      <c r="H444" s="277"/>
      <c r="I444" s="277"/>
      <c r="J444" s="277"/>
      <c r="K444" s="409"/>
      <c r="L444" s="477"/>
      <c r="M444" s="277"/>
      <c r="N444" s="277"/>
      <c r="O444" s="277"/>
      <c r="P444" s="277"/>
      <c r="Q444" s="277"/>
      <c r="R444" s="277"/>
      <c r="S444" s="277"/>
      <c r="T444" s="277"/>
      <c r="U444" s="277"/>
      <c r="V444" s="277"/>
      <c r="W444" s="277"/>
      <c r="X444" s="277"/>
      <c r="Y444" s="277"/>
      <c r="Z444" s="277"/>
    </row>
    <row r="445" ht="12.75" customHeight="1">
      <c r="A445" s="277"/>
      <c r="B445" s="278"/>
      <c r="C445" s="279"/>
      <c r="D445" s="277"/>
      <c r="E445" s="277"/>
      <c r="F445" s="277"/>
      <c r="G445" s="277"/>
      <c r="H445" s="277"/>
      <c r="I445" s="277"/>
      <c r="J445" s="277"/>
      <c r="K445" s="409"/>
      <c r="L445" s="477"/>
      <c r="M445" s="277"/>
      <c r="N445" s="277"/>
      <c r="O445" s="277"/>
      <c r="P445" s="277"/>
      <c r="Q445" s="277"/>
      <c r="R445" s="277"/>
      <c r="S445" s="277"/>
      <c r="T445" s="277"/>
      <c r="U445" s="277"/>
      <c r="V445" s="277"/>
      <c r="W445" s="277"/>
      <c r="X445" s="277"/>
      <c r="Y445" s="277"/>
      <c r="Z445" s="277"/>
    </row>
    <row r="446" ht="12.75" customHeight="1">
      <c r="A446" s="277"/>
      <c r="B446" s="278"/>
      <c r="C446" s="279"/>
      <c r="D446" s="277"/>
      <c r="E446" s="277"/>
      <c r="F446" s="277"/>
      <c r="G446" s="277"/>
      <c r="H446" s="277"/>
      <c r="I446" s="277"/>
      <c r="J446" s="277"/>
      <c r="K446" s="409"/>
      <c r="L446" s="477"/>
      <c r="M446" s="277"/>
      <c r="N446" s="277"/>
      <c r="O446" s="277"/>
      <c r="P446" s="277"/>
      <c r="Q446" s="277"/>
      <c r="R446" s="277"/>
      <c r="S446" s="277"/>
      <c r="T446" s="277"/>
      <c r="U446" s="277"/>
      <c r="V446" s="277"/>
      <c r="W446" s="277"/>
      <c r="X446" s="277"/>
      <c r="Y446" s="277"/>
      <c r="Z446" s="277"/>
    </row>
    <row r="447" ht="12.75" customHeight="1">
      <c r="A447" s="277"/>
      <c r="B447" s="278"/>
      <c r="C447" s="279"/>
      <c r="D447" s="277"/>
      <c r="E447" s="277"/>
      <c r="F447" s="277"/>
      <c r="G447" s="277"/>
      <c r="H447" s="277"/>
      <c r="I447" s="277"/>
      <c r="J447" s="277"/>
      <c r="K447" s="409"/>
      <c r="L447" s="477"/>
      <c r="M447" s="277"/>
      <c r="N447" s="277"/>
      <c r="O447" s="277"/>
      <c r="P447" s="277"/>
      <c r="Q447" s="277"/>
      <c r="R447" s="277"/>
      <c r="S447" s="277"/>
      <c r="T447" s="277"/>
      <c r="U447" s="277"/>
      <c r="V447" s="277"/>
      <c r="W447" s="277"/>
      <c r="X447" s="277"/>
      <c r="Y447" s="277"/>
      <c r="Z447" s="277"/>
    </row>
    <row r="448" ht="12.75" customHeight="1">
      <c r="A448" s="277"/>
      <c r="B448" s="278"/>
      <c r="C448" s="279"/>
      <c r="D448" s="277"/>
      <c r="E448" s="277"/>
      <c r="F448" s="277"/>
      <c r="G448" s="277"/>
      <c r="H448" s="277"/>
      <c r="I448" s="277"/>
      <c r="J448" s="277"/>
      <c r="K448" s="409"/>
      <c r="L448" s="477"/>
      <c r="M448" s="277"/>
      <c r="N448" s="277"/>
      <c r="O448" s="277"/>
      <c r="P448" s="277"/>
      <c r="Q448" s="277"/>
      <c r="R448" s="277"/>
      <c r="S448" s="277"/>
      <c r="T448" s="277"/>
      <c r="U448" s="277"/>
      <c r="V448" s="277"/>
      <c r="W448" s="277"/>
      <c r="X448" s="277"/>
      <c r="Y448" s="277"/>
      <c r="Z448" s="277"/>
    </row>
    <row r="449" ht="12.75" customHeight="1">
      <c r="A449" s="277"/>
      <c r="B449" s="278"/>
      <c r="C449" s="279"/>
      <c r="D449" s="277"/>
      <c r="E449" s="277"/>
      <c r="F449" s="277"/>
      <c r="G449" s="277"/>
      <c r="H449" s="277"/>
      <c r="I449" s="277"/>
      <c r="J449" s="277"/>
      <c r="K449" s="409"/>
      <c r="L449" s="477"/>
      <c r="M449" s="277"/>
      <c r="N449" s="277"/>
      <c r="O449" s="277"/>
      <c r="P449" s="277"/>
      <c r="Q449" s="277"/>
      <c r="R449" s="277"/>
      <c r="S449" s="277"/>
      <c r="T449" s="277"/>
      <c r="U449" s="277"/>
      <c r="V449" s="277"/>
      <c r="W449" s="277"/>
      <c r="X449" s="277"/>
      <c r="Y449" s="277"/>
      <c r="Z449" s="277"/>
    </row>
    <row r="450" ht="12.75" customHeight="1">
      <c r="A450" s="277"/>
      <c r="B450" s="278"/>
      <c r="C450" s="279"/>
      <c r="D450" s="277"/>
      <c r="E450" s="277"/>
      <c r="F450" s="277"/>
      <c r="G450" s="277"/>
      <c r="H450" s="277"/>
      <c r="I450" s="277"/>
      <c r="J450" s="277"/>
      <c r="K450" s="409"/>
      <c r="L450" s="477"/>
      <c r="M450" s="277"/>
      <c r="N450" s="277"/>
      <c r="O450" s="277"/>
      <c r="P450" s="277"/>
      <c r="Q450" s="277"/>
      <c r="R450" s="277"/>
      <c r="S450" s="277"/>
      <c r="T450" s="277"/>
      <c r="U450" s="277"/>
      <c r="V450" s="277"/>
      <c r="W450" s="277"/>
      <c r="X450" s="277"/>
      <c r="Y450" s="277"/>
      <c r="Z450" s="277"/>
    </row>
    <row r="451" ht="12.75" customHeight="1">
      <c r="A451" s="277"/>
      <c r="B451" s="278"/>
      <c r="C451" s="279"/>
      <c r="D451" s="277"/>
      <c r="E451" s="277"/>
      <c r="F451" s="277"/>
      <c r="G451" s="277"/>
      <c r="H451" s="277"/>
      <c r="I451" s="277"/>
      <c r="J451" s="277"/>
      <c r="K451" s="409"/>
      <c r="L451" s="477"/>
      <c r="M451" s="277"/>
      <c r="N451" s="277"/>
      <c r="O451" s="277"/>
      <c r="P451" s="277"/>
      <c r="Q451" s="277"/>
      <c r="R451" s="277"/>
      <c r="S451" s="277"/>
      <c r="T451" s="277"/>
      <c r="U451" s="277"/>
      <c r="V451" s="277"/>
      <c r="W451" s="277"/>
      <c r="X451" s="277"/>
      <c r="Y451" s="277"/>
      <c r="Z451" s="277"/>
    </row>
    <row r="452" ht="12.75" customHeight="1">
      <c r="A452" s="277"/>
      <c r="B452" s="278"/>
      <c r="C452" s="279"/>
      <c r="D452" s="277"/>
      <c r="E452" s="277"/>
      <c r="F452" s="277"/>
      <c r="G452" s="277"/>
      <c r="H452" s="277"/>
      <c r="I452" s="277"/>
      <c r="J452" s="277"/>
      <c r="K452" s="409"/>
      <c r="L452" s="477"/>
      <c r="M452" s="277"/>
      <c r="N452" s="277"/>
      <c r="O452" s="277"/>
      <c r="P452" s="277"/>
      <c r="Q452" s="277"/>
      <c r="R452" s="277"/>
      <c r="S452" s="277"/>
      <c r="T452" s="277"/>
      <c r="U452" s="277"/>
      <c r="V452" s="277"/>
      <c r="W452" s="277"/>
      <c r="X452" s="277"/>
      <c r="Y452" s="277"/>
      <c r="Z452" s="277"/>
    </row>
    <row r="453" ht="12.75" customHeight="1">
      <c r="A453" s="277"/>
      <c r="B453" s="278"/>
      <c r="C453" s="279"/>
      <c r="D453" s="277"/>
      <c r="E453" s="277"/>
      <c r="F453" s="277"/>
      <c r="G453" s="277"/>
      <c r="H453" s="277"/>
      <c r="I453" s="277"/>
      <c r="J453" s="277"/>
      <c r="K453" s="409"/>
      <c r="L453" s="477"/>
      <c r="M453" s="277"/>
      <c r="N453" s="277"/>
      <c r="O453" s="277"/>
      <c r="P453" s="277"/>
      <c r="Q453" s="277"/>
      <c r="R453" s="277"/>
      <c r="S453" s="277"/>
      <c r="T453" s="277"/>
      <c r="U453" s="277"/>
      <c r="V453" s="277"/>
      <c r="W453" s="277"/>
      <c r="X453" s="277"/>
      <c r="Y453" s="277"/>
      <c r="Z453" s="277"/>
    </row>
    <row r="454" ht="12.75" customHeight="1">
      <c r="A454" s="277"/>
      <c r="B454" s="278"/>
      <c r="C454" s="279"/>
      <c r="D454" s="277"/>
      <c r="E454" s="277"/>
      <c r="F454" s="277"/>
      <c r="G454" s="277"/>
      <c r="H454" s="277"/>
      <c r="I454" s="277"/>
      <c r="J454" s="277"/>
      <c r="K454" s="409"/>
      <c r="L454" s="477"/>
      <c r="M454" s="277"/>
      <c r="N454" s="277"/>
      <c r="O454" s="277"/>
      <c r="P454" s="277"/>
      <c r="Q454" s="277"/>
      <c r="R454" s="277"/>
      <c r="S454" s="277"/>
      <c r="T454" s="277"/>
      <c r="U454" s="277"/>
      <c r="V454" s="277"/>
      <c r="W454" s="277"/>
      <c r="X454" s="277"/>
      <c r="Y454" s="277"/>
      <c r="Z454" s="277"/>
    </row>
    <row r="455" ht="12.75" customHeight="1">
      <c r="A455" s="277"/>
      <c r="B455" s="278"/>
      <c r="C455" s="279"/>
      <c r="D455" s="277"/>
      <c r="E455" s="277"/>
      <c r="F455" s="277"/>
      <c r="G455" s="277"/>
      <c r="H455" s="277"/>
      <c r="I455" s="277"/>
      <c r="J455" s="277"/>
      <c r="K455" s="409"/>
      <c r="L455" s="477"/>
      <c r="M455" s="277"/>
      <c r="N455" s="277"/>
      <c r="O455" s="277"/>
      <c r="P455" s="277"/>
      <c r="Q455" s="277"/>
      <c r="R455" s="277"/>
      <c r="S455" s="277"/>
      <c r="T455" s="277"/>
      <c r="U455" s="277"/>
      <c r="V455" s="277"/>
      <c r="W455" s="277"/>
      <c r="X455" s="277"/>
      <c r="Y455" s="277"/>
      <c r="Z455" s="277"/>
    </row>
    <row r="456" ht="12.75" customHeight="1">
      <c r="A456" s="277"/>
      <c r="B456" s="278"/>
      <c r="C456" s="279"/>
      <c r="D456" s="277"/>
      <c r="E456" s="277"/>
      <c r="F456" s="277"/>
      <c r="G456" s="277"/>
      <c r="H456" s="277"/>
      <c r="I456" s="277"/>
      <c r="J456" s="277"/>
      <c r="K456" s="409"/>
      <c r="L456" s="477"/>
      <c r="M456" s="277"/>
      <c r="N456" s="277"/>
      <c r="O456" s="277"/>
      <c r="P456" s="277"/>
      <c r="Q456" s="277"/>
      <c r="R456" s="277"/>
      <c r="S456" s="277"/>
      <c r="T456" s="277"/>
      <c r="U456" s="277"/>
      <c r="V456" s="277"/>
      <c r="W456" s="277"/>
      <c r="X456" s="277"/>
      <c r="Y456" s="277"/>
      <c r="Z456" s="277"/>
    </row>
    <row r="457" ht="12.75" customHeight="1">
      <c r="A457" s="277"/>
      <c r="B457" s="278"/>
      <c r="C457" s="279"/>
      <c r="D457" s="277"/>
      <c r="E457" s="277"/>
      <c r="F457" s="277"/>
      <c r="G457" s="277"/>
      <c r="H457" s="277"/>
      <c r="I457" s="277"/>
      <c r="J457" s="277"/>
      <c r="K457" s="409"/>
      <c r="L457" s="477"/>
      <c r="M457" s="277"/>
      <c r="N457" s="277"/>
      <c r="O457" s="277"/>
      <c r="P457" s="277"/>
      <c r="Q457" s="277"/>
      <c r="R457" s="277"/>
      <c r="S457" s="277"/>
      <c r="T457" s="277"/>
      <c r="U457" s="277"/>
      <c r="V457" s="277"/>
      <c r="W457" s="277"/>
      <c r="X457" s="277"/>
      <c r="Y457" s="277"/>
      <c r="Z457" s="277"/>
    </row>
    <row r="458" ht="12.75" customHeight="1">
      <c r="A458" s="277"/>
      <c r="B458" s="278"/>
      <c r="C458" s="279"/>
      <c r="D458" s="277"/>
      <c r="E458" s="277"/>
      <c r="F458" s="277"/>
      <c r="G458" s="277"/>
      <c r="H458" s="277"/>
      <c r="I458" s="277"/>
      <c r="J458" s="277"/>
      <c r="K458" s="409"/>
      <c r="L458" s="477"/>
      <c r="M458" s="277"/>
      <c r="N458" s="277"/>
      <c r="O458" s="277"/>
      <c r="P458" s="277"/>
      <c r="Q458" s="277"/>
      <c r="R458" s="277"/>
      <c r="S458" s="277"/>
      <c r="T458" s="277"/>
      <c r="U458" s="277"/>
      <c r="V458" s="277"/>
      <c r="W458" s="277"/>
      <c r="X458" s="277"/>
      <c r="Y458" s="277"/>
      <c r="Z458" s="277"/>
    </row>
    <row r="459" ht="12.75" customHeight="1">
      <c r="A459" s="277"/>
      <c r="B459" s="278"/>
      <c r="C459" s="279"/>
      <c r="D459" s="277"/>
      <c r="E459" s="277"/>
      <c r="F459" s="277"/>
      <c r="G459" s="277"/>
      <c r="H459" s="277"/>
      <c r="I459" s="277"/>
      <c r="J459" s="277"/>
      <c r="K459" s="409"/>
      <c r="L459" s="477"/>
      <c r="M459" s="277"/>
      <c r="N459" s="277"/>
      <c r="O459" s="277"/>
      <c r="P459" s="277"/>
      <c r="Q459" s="277"/>
      <c r="R459" s="277"/>
      <c r="S459" s="277"/>
      <c r="T459" s="277"/>
      <c r="U459" s="277"/>
      <c r="V459" s="277"/>
      <c r="W459" s="277"/>
      <c r="X459" s="277"/>
      <c r="Y459" s="277"/>
      <c r="Z459" s="277"/>
    </row>
    <row r="460" ht="12.75" customHeight="1">
      <c r="A460" s="277"/>
      <c r="B460" s="278"/>
      <c r="C460" s="279"/>
      <c r="D460" s="277"/>
      <c r="E460" s="277"/>
      <c r="F460" s="277"/>
      <c r="G460" s="277"/>
      <c r="H460" s="277"/>
      <c r="I460" s="277"/>
      <c r="J460" s="277"/>
      <c r="K460" s="409"/>
      <c r="L460" s="477"/>
      <c r="M460" s="277"/>
      <c r="N460" s="277"/>
      <c r="O460" s="277"/>
      <c r="P460" s="277"/>
      <c r="Q460" s="277"/>
      <c r="R460" s="277"/>
      <c r="S460" s="277"/>
      <c r="T460" s="277"/>
      <c r="U460" s="277"/>
      <c r="V460" s="277"/>
      <c r="W460" s="277"/>
      <c r="X460" s="277"/>
      <c r="Y460" s="277"/>
      <c r="Z460" s="277"/>
    </row>
    <row r="461" ht="12.75" customHeight="1">
      <c r="A461" s="277"/>
      <c r="B461" s="278"/>
      <c r="C461" s="279"/>
      <c r="D461" s="277"/>
      <c r="E461" s="277"/>
      <c r="F461" s="277"/>
      <c r="G461" s="277"/>
      <c r="H461" s="277"/>
      <c r="I461" s="277"/>
      <c r="J461" s="277"/>
      <c r="K461" s="409"/>
      <c r="L461" s="477"/>
      <c r="M461" s="277"/>
      <c r="N461" s="277"/>
      <c r="O461" s="277"/>
      <c r="P461" s="277"/>
      <c r="Q461" s="277"/>
      <c r="R461" s="277"/>
      <c r="S461" s="277"/>
      <c r="T461" s="277"/>
      <c r="U461" s="277"/>
      <c r="V461" s="277"/>
      <c r="W461" s="277"/>
      <c r="X461" s="277"/>
      <c r="Y461" s="277"/>
      <c r="Z461" s="277"/>
    </row>
    <row r="462" ht="12.75" customHeight="1">
      <c r="A462" s="277"/>
      <c r="B462" s="278"/>
      <c r="C462" s="279"/>
      <c r="D462" s="277"/>
      <c r="E462" s="277"/>
      <c r="F462" s="277"/>
      <c r="G462" s="277"/>
      <c r="H462" s="277"/>
      <c r="I462" s="277"/>
      <c r="J462" s="277"/>
      <c r="K462" s="409"/>
      <c r="L462" s="477"/>
      <c r="M462" s="277"/>
      <c r="N462" s="277"/>
      <c r="O462" s="277"/>
      <c r="P462" s="277"/>
      <c r="Q462" s="277"/>
      <c r="R462" s="277"/>
      <c r="S462" s="277"/>
      <c r="T462" s="277"/>
      <c r="U462" s="277"/>
      <c r="V462" s="277"/>
      <c r="W462" s="277"/>
      <c r="X462" s="277"/>
      <c r="Y462" s="277"/>
      <c r="Z462" s="277"/>
    </row>
    <row r="463" ht="12.75" customHeight="1">
      <c r="A463" s="277"/>
      <c r="B463" s="278"/>
      <c r="C463" s="279"/>
      <c r="D463" s="277"/>
      <c r="E463" s="277"/>
      <c r="F463" s="277"/>
      <c r="G463" s="277"/>
      <c r="H463" s="277"/>
      <c r="I463" s="277"/>
      <c r="J463" s="277"/>
      <c r="K463" s="409"/>
      <c r="L463" s="477"/>
      <c r="M463" s="277"/>
      <c r="N463" s="277"/>
      <c r="O463" s="277"/>
      <c r="P463" s="277"/>
      <c r="Q463" s="277"/>
      <c r="R463" s="277"/>
      <c r="S463" s="277"/>
      <c r="T463" s="277"/>
      <c r="U463" s="277"/>
      <c r="V463" s="277"/>
      <c r="W463" s="277"/>
      <c r="X463" s="277"/>
      <c r="Y463" s="277"/>
      <c r="Z463" s="277"/>
    </row>
    <row r="464" ht="12.75" customHeight="1">
      <c r="A464" s="277"/>
      <c r="B464" s="278"/>
      <c r="C464" s="279"/>
      <c r="D464" s="277"/>
      <c r="E464" s="277"/>
      <c r="F464" s="277"/>
      <c r="G464" s="277"/>
      <c r="H464" s="277"/>
      <c r="I464" s="277"/>
      <c r="J464" s="277"/>
      <c r="K464" s="409"/>
      <c r="L464" s="477"/>
      <c r="M464" s="277"/>
      <c r="N464" s="277"/>
      <c r="O464" s="277"/>
      <c r="P464" s="277"/>
      <c r="Q464" s="277"/>
      <c r="R464" s="277"/>
      <c r="S464" s="277"/>
      <c r="T464" s="277"/>
      <c r="U464" s="277"/>
      <c r="V464" s="277"/>
      <c r="W464" s="277"/>
      <c r="X464" s="277"/>
      <c r="Y464" s="277"/>
      <c r="Z464" s="277"/>
    </row>
    <row r="465" ht="12.75" customHeight="1">
      <c r="A465" s="277"/>
      <c r="B465" s="278"/>
      <c r="C465" s="279"/>
      <c r="D465" s="277"/>
      <c r="E465" s="277"/>
      <c r="F465" s="277"/>
      <c r="G465" s="277"/>
      <c r="H465" s="277"/>
      <c r="I465" s="277"/>
      <c r="J465" s="277"/>
      <c r="K465" s="409"/>
      <c r="L465" s="477"/>
      <c r="M465" s="277"/>
      <c r="N465" s="277"/>
      <c r="O465" s="277"/>
      <c r="P465" s="277"/>
      <c r="Q465" s="277"/>
      <c r="R465" s="277"/>
      <c r="S465" s="277"/>
      <c r="T465" s="277"/>
      <c r="U465" s="277"/>
      <c r="V465" s="277"/>
      <c r="W465" s="277"/>
      <c r="X465" s="277"/>
      <c r="Y465" s="277"/>
      <c r="Z465" s="277"/>
    </row>
    <row r="466" ht="12.75" customHeight="1">
      <c r="A466" s="277"/>
      <c r="B466" s="278"/>
      <c r="C466" s="279"/>
      <c r="D466" s="277"/>
      <c r="E466" s="277"/>
      <c r="F466" s="277"/>
      <c r="G466" s="277"/>
      <c r="H466" s="277"/>
      <c r="I466" s="277"/>
      <c r="J466" s="277"/>
      <c r="K466" s="409"/>
      <c r="L466" s="477"/>
      <c r="M466" s="277"/>
      <c r="N466" s="277"/>
      <c r="O466" s="277"/>
      <c r="P466" s="277"/>
      <c r="Q466" s="277"/>
      <c r="R466" s="277"/>
      <c r="S466" s="277"/>
      <c r="T466" s="277"/>
      <c r="U466" s="277"/>
      <c r="V466" s="277"/>
      <c r="W466" s="277"/>
      <c r="X466" s="277"/>
      <c r="Y466" s="277"/>
      <c r="Z466" s="277"/>
    </row>
    <row r="467" ht="12.75" customHeight="1">
      <c r="A467" s="277"/>
      <c r="B467" s="278"/>
      <c r="C467" s="279"/>
      <c r="D467" s="277"/>
      <c r="E467" s="277"/>
      <c r="F467" s="277"/>
      <c r="G467" s="277"/>
      <c r="H467" s="277"/>
      <c r="I467" s="277"/>
      <c r="J467" s="277"/>
      <c r="K467" s="409"/>
      <c r="L467" s="477"/>
      <c r="M467" s="277"/>
      <c r="N467" s="277"/>
      <c r="O467" s="277"/>
      <c r="P467" s="277"/>
      <c r="Q467" s="277"/>
      <c r="R467" s="277"/>
      <c r="S467" s="277"/>
      <c r="T467" s="277"/>
      <c r="U467" s="277"/>
      <c r="V467" s="277"/>
      <c r="W467" s="277"/>
      <c r="X467" s="277"/>
      <c r="Y467" s="277"/>
      <c r="Z467" s="277"/>
    </row>
    <row r="468" ht="12.75" customHeight="1">
      <c r="A468" s="277"/>
      <c r="B468" s="278"/>
      <c r="C468" s="279"/>
      <c r="D468" s="277"/>
      <c r="E468" s="277"/>
      <c r="F468" s="277"/>
      <c r="G468" s="277"/>
      <c r="H468" s="277"/>
      <c r="I468" s="277"/>
      <c r="J468" s="277"/>
      <c r="K468" s="409"/>
      <c r="L468" s="477"/>
      <c r="M468" s="277"/>
      <c r="N468" s="277"/>
      <c r="O468" s="277"/>
      <c r="P468" s="277"/>
      <c r="Q468" s="277"/>
      <c r="R468" s="277"/>
      <c r="S468" s="277"/>
      <c r="T468" s="277"/>
      <c r="U468" s="277"/>
      <c r="V468" s="277"/>
      <c r="W468" s="277"/>
      <c r="X468" s="277"/>
      <c r="Y468" s="277"/>
      <c r="Z468" s="277"/>
    </row>
    <row r="469" ht="12.75" customHeight="1">
      <c r="A469" s="277"/>
      <c r="B469" s="278"/>
      <c r="C469" s="279"/>
      <c r="D469" s="277"/>
      <c r="E469" s="277"/>
      <c r="F469" s="277"/>
      <c r="G469" s="277"/>
      <c r="H469" s="277"/>
      <c r="I469" s="277"/>
      <c r="J469" s="277"/>
      <c r="K469" s="409"/>
      <c r="L469" s="477"/>
      <c r="M469" s="277"/>
      <c r="N469" s="277"/>
      <c r="O469" s="277"/>
      <c r="P469" s="277"/>
      <c r="Q469" s="277"/>
      <c r="R469" s="277"/>
      <c r="S469" s="277"/>
      <c r="T469" s="277"/>
      <c r="U469" s="277"/>
      <c r="V469" s="277"/>
      <c r="W469" s="277"/>
      <c r="X469" s="277"/>
      <c r="Y469" s="277"/>
      <c r="Z469" s="277"/>
    </row>
    <row r="470" ht="12.75" customHeight="1">
      <c r="A470" s="277"/>
      <c r="B470" s="278"/>
      <c r="C470" s="279"/>
      <c r="D470" s="277"/>
      <c r="E470" s="277"/>
      <c r="F470" s="277"/>
      <c r="G470" s="277"/>
      <c r="H470" s="277"/>
      <c r="I470" s="277"/>
      <c r="J470" s="277"/>
      <c r="K470" s="409"/>
      <c r="L470" s="477"/>
      <c r="M470" s="277"/>
      <c r="N470" s="277"/>
      <c r="O470" s="277"/>
      <c r="P470" s="277"/>
      <c r="Q470" s="277"/>
      <c r="R470" s="277"/>
      <c r="S470" s="277"/>
      <c r="T470" s="277"/>
      <c r="U470" s="277"/>
      <c r="V470" s="277"/>
      <c r="W470" s="277"/>
      <c r="X470" s="277"/>
      <c r="Y470" s="277"/>
      <c r="Z470" s="277"/>
    </row>
    <row r="471" ht="12.75" customHeight="1">
      <c r="A471" s="277"/>
      <c r="B471" s="278"/>
      <c r="C471" s="279"/>
      <c r="D471" s="277"/>
      <c r="E471" s="277"/>
      <c r="F471" s="277"/>
      <c r="G471" s="277"/>
      <c r="H471" s="277"/>
      <c r="I471" s="277"/>
      <c r="J471" s="277"/>
      <c r="K471" s="409"/>
      <c r="L471" s="477"/>
      <c r="M471" s="277"/>
      <c r="N471" s="277"/>
      <c r="O471" s="277"/>
      <c r="P471" s="277"/>
      <c r="Q471" s="277"/>
      <c r="R471" s="277"/>
      <c r="S471" s="277"/>
      <c r="T471" s="277"/>
      <c r="U471" s="277"/>
      <c r="V471" s="277"/>
      <c r="W471" s="277"/>
      <c r="X471" s="277"/>
      <c r="Y471" s="277"/>
      <c r="Z471" s="277"/>
    </row>
    <row r="472" ht="12.75" customHeight="1">
      <c r="A472" s="277"/>
      <c r="B472" s="278"/>
      <c r="C472" s="279"/>
      <c r="D472" s="277"/>
      <c r="E472" s="277"/>
      <c r="F472" s="277"/>
      <c r="G472" s="277"/>
      <c r="H472" s="277"/>
      <c r="I472" s="277"/>
      <c r="J472" s="277"/>
      <c r="K472" s="409"/>
      <c r="L472" s="477"/>
      <c r="M472" s="277"/>
      <c r="N472" s="277"/>
      <c r="O472" s="277"/>
      <c r="P472" s="277"/>
      <c r="Q472" s="277"/>
      <c r="R472" s="277"/>
      <c r="S472" s="277"/>
      <c r="T472" s="277"/>
      <c r="U472" s="277"/>
      <c r="V472" s="277"/>
      <c r="W472" s="277"/>
      <c r="X472" s="277"/>
      <c r="Y472" s="277"/>
      <c r="Z472" s="277"/>
    </row>
    <row r="473" ht="12.75" customHeight="1">
      <c r="A473" s="277"/>
      <c r="B473" s="278"/>
      <c r="C473" s="279"/>
      <c r="D473" s="277"/>
      <c r="E473" s="277"/>
      <c r="F473" s="277"/>
      <c r="G473" s="277"/>
      <c r="H473" s="277"/>
      <c r="I473" s="277"/>
      <c r="J473" s="277"/>
      <c r="K473" s="409"/>
      <c r="L473" s="477"/>
      <c r="M473" s="277"/>
      <c r="N473" s="277"/>
      <c r="O473" s="277"/>
      <c r="P473" s="277"/>
      <c r="Q473" s="277"/>
      <c r="R473" s="277"/>
      <c r="S473" s="277"/>
      <c r="T473" s="277"/>
      <c r="U473" s="277"/>
      <c r="V473" s="277"/>
      <c r="W473" s="277"/>
      <c r="X473" s="277"/>
      <c r="Y473" s="277"/>
      <c r="Z473" s="277"/>
    </row>
    <row r="474" ht="12.75" customHeight="1">
      <c r="A474" s="277"/>
      <c r="B474" s="278"/>
      <c r="C474" s="279"/>
      <c r="D474" s="277"/>
      <c r="E474" s="277"/>
      <c r="F474" s="277"/>
      <c r="G474" s="277"/>
      <c r="H474" s="277"/>
      <c r="I474" s="277"/>
      <c r="J474" s="277"/>
      <c r="K474" s="409"/>
      <c r="L474" s="477"/>
      <c r="M474" s="277"/>
      <c r="N474" s="277"/>
      <c r="O474" s="277"/>
      <c r="P474" s="277"/>
      <c r="Q474" s="277"/>
      <c r="R474" s="277"/>
      <c r="S474" s="277"/>
      <c r="T474" s="277"/>
      <c r="U474" s="277"/>
      <c r="V474" s="277"/>
      <c r="W474" s="277"/>
      <c r="X474" s="277"/>
      <c r="Y474" s="277"/>
      <c r="Z474" s="277"/>
    </row>
    <row r="475" ht="12.75" customHeight="1">
      <c r="A475" s="277"/>
      <c r="B475" s="278"/>
      <c r="C475" s="279"/>
      <c r="D475" s="277"/>
      <c r="E475" s="277"/>
      <c r="F475" s="277"/>
      <c r="G475" s="277"/>
      <c r="H475" s="277"/>
      <c r="I475" s="277"/>
      <c r="J475" s="277"/>
      <c r="K475" s="409"/>
      <c r="L475" s="477"/>
      <c r="M475" s="277"/>
      <c r="N475" s="277"/>
      <c r="O475" s="277"/>
      <c r="P475" s="277"/>
      <c r="Q475" s="277"/>
      <c r="R475" s="277"/>
      <c r="S475" s="277"/>
      <c r="T475" s="277"/>
      <c r="U475" s="277"/>
      <c r="V475" s="277"/>
      <c r="W475" s="277"/>
      <c r="X475" s="277"/>
      <c r="Y475" s="277"/>
      <c r="Z475" s="277"/>
    </row>
    <row r="476" ht="12.75" customHeight="1">
      <c r="A476" s="277"/>
      <c r="B476" s="278"/>
      <c r="C476" s="279"/>
      <c r="D476" s="277"/>
      <c r="E476" s="277"/>
      <c r="F476" s="277"/>
      <c r="G476" s="277"/>
      <c r="H476" s="277"/>
      <c r="I476" s="277"/>
      <c r="J476" s="277"/>
      <c r="K476" s="409"/>
      <c r="L476" s="477"/>
      <c r="M476" s="277"/>
      <c r="N476" s="277"/>
      <c r="O476" s="277"/>
      <c r="P476" s="277"/>
      <c r="Q476" s="277"/>
      <c r="R476" s="277"/>
      <c r="S476" s="277"/>
      <c r="T476" s="277"/>
      <c r="U476" s="277"/>
      <c r="V476" s="277"/>
      <c r="W476" s="277"/>
      <c r="X476" s="277"/>
      <c r="Y476" s="277"/>
      <c r="Z476" s="277"/>
    </row>
    <row r="477" ht="12.75" customHeight="1">
      <c r="A477" s="277"/>
      <c r="B477" s="278"/>
      <c r="C477" s="279"/>
      <c r="D477" s="277"/>
      <c r="E477" s="277"/>
      <c r="F477" s="277"/>
      <c r="G477" s="277"/>
      <c r="H477" s="277"/>
      <c r="I477" s="277"/>
      <c r="J477" s="277"/>
      <c r="K477" s="409"/>
      <c r="L477" s="477"/>
      <c r="M477" s="277"/>
      <c r="N477" s="277"/>
      <c r="O477" s="277"/>
      <c r="P477" s="277"/>
      <c r="Q477" s="277"/>
      <c r="R477" s="277"/>
      <c r="S477" s="277"/>
      <c r="T477" s="277"/>
      <c r="U477" s="277"/>
      <c r="V477" s="277"/>
      <c r="W477" s="277"/>
      <c r="X477" s="277"/>
      <c r="Y477" s="277"/>
      <c r="Z477" s="277"/>
    </row>
    <row r="478" ht="12.75" customHeight="1">
      <c r="A478" s="277"/>
      <c r="B478" s="278"/>
      <c r="C478" s="279"/>
      <c r="D478" s="277"/>
      <c r="E478" s="277"/>
      <c r="F478" s="277"/>
      <c r="G478" s="277"/>
      <c r="H478" s="277"/>
      <c r="I478" s="277"/>
      <c r="J478" s="277"/>
      <c r="K478" s="409"/>
      <c r="L478" s="477"/>
      <c r="M478" s="277"/>
      <c r="N478" s="277"/>
      <c r="O478" s="277"/>
      <c r="P478" s="277"/>
      <c r="Q478" s="277"/>
      <c r="R478" s="277"/>
      <c r="S478" s="277"/>
      <c r="T478" s="277"/>
      <c r="U478" s="277"/>
      <c r="V478" s="277"/>
      <c r="W478" s="277"/>
      <c r="X478" s="277"/>
      <c r="Y478" s="277"/>
      <c r="Z478" s="277"/>
    </row>
    <row r="479" ht="12.75" customHeight="1">
      <c r="A479" s="277"/>
      <c r="B479" s="278"/>
      <c r="C479" s="279"/>
      <c r="D479" s="277"/>
      <c r="E479" s="277"/>
      <c r="F479" s="277"/>
      <c r="G479" s="277"/>
      <c r="H479" s="277"/>
      <c r="I479" s="277"/>
      <c r="J479" s="277"/>
      <c r="K479" s="409"/>
      <c r="L479" s="477"/>
      <c r="M479" s="277"/>
      <c r="N479" s="277"/>
      <c r="O479" s="277"/>
      <c r="P479" s="277"/>
      <c r="Q479" s="277"/>
      <c r="R479" s="277"/>
      <c r="S479" s="277"/>
      <c r="T479" s="277"/>
      <c r="U479" s="277"/>
      <c r="V479" s="277"/>
      <c r="W479" s="277"/>
      <c r="X479" s="277"/>
      <c r="Y479" s="277"/>
      <c r="Z479" s="277"/>
    </row>
    <row r="480" ht="12.75" customHeight="1">
      <c r="A480" s="277"/>
      <c r="B480" s="278"/>
      <c r="C480" s="279"/>
      <c r="D480" s="277"/>
      <c r="E480" s="277"/>
      <c r="F480" s="277"/>
      <c r="G480" s="277"/>
      <c r="H480" s="277"/>
      <c r="I480" s="277"/>
      <c r="J480" s="277"/>
      <c r="K480" s="409"/>
      <c r="L480" s="477"/>
      <c r="M480" s="277"/>
      <c r="N480" s="277"/>
      <c r="O480" s="277"/>
      <c r="P480" s="277"/>
      <c r="Q480" s="277"/>
      <c r="R480" s="277"/>
      <c r="S480" s="277"/>
      <c r="T480" s="277"/>
      <c r="U480" s="277"/>
      <c r="V480" s="277"/>
      <c r="W480" s="277"/>
      <c r="X480" s="277"/>
      <c r="Y480" s="277"/>
      <c r="Z480" s="277"/>
    </row>
    <row r="481" ht="12.75" customHeight="1">
      <c r="A481" s="277"/>
      <c r="B481" s="278"/>
      <c r="C481" s="279"/>
      <c r="D481" s="277"/>
      <c r="E481" s="277"/>
      <c r="F481" s="277"/>
      <c r="G481" s="277"/>
      <c r="H481" s="277"/>
      <c r="I481" s="277"/>
      <c r="J481" s="277"/>
      <c r="K481" s="409"/>
      <c r="L481" s="477"/>
      <c r="M481" s="277"/>
      <c r="N481" s="277"/>
      <c r="O481" s="277"/>
      <c r="P481" s="277"/>
      <c r="Q481" s="277"/>
      <c r="R481" s="277"/>
      <c r="S481" s="277"/>
      <c r="T481" s="277"/>
      <c r="U481" s="277"/>
      <c r="V481" s="277"/>
      <c r="W481" s="277"/>
      <c r="X481" s="277"/>
      <c r="Y481" s="277"/>
      <c r="Z481" s="277"/>
    </row>
    <row r="482" ht="12.75" customHeight="1">
      <c r="A482" s="277"/>
      <c r="B482" s="278"/>
      <c r="C482" s="279"/>
      <c r="D482" s="277"/>
      <c r="E482" s="277"/>
      <c r="F482" s="277"/>
      <c r="G482" s="277"/>
      <c r="H482" s="277"/>
      <c r="I482" s="277"/>
      <c r="J482" s="277"/>
      <c r="K482" s="409"/>
      <c r="L482" s="477"/>
      <c r="M482" s="277"/>
      <c r="N482" s="277"/>
      <c r="O482" s="277"/>
      <c r="P482" s="277"/>
      <c r="Q482" s="277"/>
      <c r="R482" s="277"/>
      <c r="S482" s="277"/>
      <c r="T482" s="277"/>
      <c r="U482" s="277"/>
      <c r="V482" s="277"/>
      <c r="W482" s="277"/>
      <c r="X482" s="277"/>
      <c r="Y482" s="277"/>
      <c r="Z482" s="277"/>
    </row>
    <row r="483" ht="12.75" customHeight="1">
      <c r="A483" s="277"/>
      <c r="B483" s="278"/>
      <c r="C483" s="279"/>
      <c r="D483" s="277"/>
      <c r="E483" s="277"/>
      <c r="F483" s="277"/>
      <c r="G483" s="277"/>
      <c r="H483" s="277"/>
      <c r="I483" s="277"/>
      <c r="J483" s="277"/>
      <c r="K483" s="409"/>
      <c r="L483" s="477"/>
      <c r="M483" s="277"/>
      <c r="N483" s="277"/>
      <c r="O483" s="277"/>
      <c r="P483" s="277"/>
      <c r="Q483" s="277"/>
      <c r="R483" s="277"/>
      <c r="S483" s="277"/>
      <c r="T483" s="277"/>
      <c r="U483" s="277"/>
      <c r="V483" s="277"/>
      <c r="W483" s="277"/>
      <c r="X483" s="277"/>
      <c r="Y483" s="277"/>
      <c r="Z483" s="277"/>
    </row>
    <row r="484" ht="12.75" customHeight="1">
      <c r="A484" s="277"/>
      <c r="B484" s="278"/>
      <c r="C484" s="279"/>
      <c r="D484" s="277"/>
      <c r="E484" s="277"/>
      <c r="F484" s="277"/>
      <c r="G484" s="277"/>
      <c r="H484" s="277"/>
      <c r="I484" s="277"/>
      <c r="J484" s="277"/>
      <c r="K484" s="409"/>
      <c r="L484" s="477"/>
      <c r="M484" s="277"/>
      <c r="N484" s="277"/>
      <c r="O484" s="277"/>
      <c r="P484" s="277"/>
      <c r="Q484" s="277"/>
      <c r="R484" s="277"/>
      <c r="S484" s="277"/>
      <c r="T484" s="277"/>
      <c r="U484" s="277"/>
      <c r="V484" s="277"/>
      <c r="W484" s="277"/>
      <c r="X484" s="277"/>
      <c r="Y484" s="277"/>
      <c r="Z484" s="277"/>
    </row>
    <row r="485" ht="12.75" customHeight="1">
      <c r="A485" s="277"/>
      <c r="B485" s="278"/>
      <c r="C485" s="279"/>
      <c r="D485" s="277"/>
      <c r="E485" s="277"/>
      <c r="F485" s="277"/>
      <c r="G485" s="277"/>
      <c r="H485" s="277"/>
      <c r="I485" s="277"/>
      <c r="J485" s="277"/>
      <c r="K485" s="409"/>
      <c r="L485" s="477"/>
      <c r="M485" s="277"/>
      <c r="N485" s="277"/>
      <c r="O485" s="277"/>
      <c r="P485" s="277"/>
      <c r="Q485" s="277"/>
      <c r="R485" s="277"/>
      <c r="S485" s="277"/>
      <c r="T485" s="277"/>
      <c r="U485" s="277"/>
      <c r="V485" s="277"/>
      <c r="W485" s="277"/>
      <c r="X485" s="277"/>
      <c r="Y485" s="277"/>
      <c r="Z485" s="277"/>
    </row>
    <row r="486" ht="12.75" customHeight="1">
      <c r="A486" s="277"/>
      <c r="B486" s="278"/>
      <c r="C486" s="279"/>
      <c r="D486" s="277"/>
      <c r="E486" s="277"/>
      <c r="F486" s="277"/>
      <c r="G486" s="277"/>
      <c r="H486" s="277"/>
      <c r="I486" s="277"/>
      <c r="J486" s="277"/>
      <c r="K486" s="409"/>
      <c r="L486" s="477"/>
      <c r="M486" s="277"/>
      <c r="N486" s="277"/>
      <c r="O486" s="277"/>
      <c r="P486" s="277"/>
      <c r="Q486" s="277"/>
      <c r="R486" s="277"/>
      <c r="S486" s="277"/>
      <c r="T486" s="277"/>
      <c r="U486" s="277"/>
      <c r="V486" s="277"/>
      <c r="W486" s="277"/>
      <c r="X486" s="277"/>
      <c r="Y486" s="277"/>
      <c r="Z486" s="277"/>
    </row>
    <row r="487" ht="12.75" customHeight="1">
      <c r="A487" s="277"/>
      <c r="B487" s="278"/>
      <c r="C487" s="279"/>
      <c r="D487" s="277"/>
      <c r="E487" s="277"/>
      <c r="F487" s="277"/>
      <c r="G487" s="277"/>
      <c r="H487" s="277"/>
      <c r="I487" s="277"/>
      <c r="J487" s="277"/>
      <c r="K487" s="409"/>
      <c r="L487" s="477"/>
      <c r="M487" s="277"/>
      <c r="N487" s="277"/>
      <c r="O487" s="277"/>
      <c r="P487" s="277"/>
      <c r="Q487" s="277"/>
      <c r="R487" s="277"/>
      <c r="S487" s="277"/>
      <c r="T487" s="277"/>
      <c r="U487" s="277"/>
      <c r="V487" s="277"/>
      <c r="W487" s="277"/>
      <c r="X487" s="277"/>
      <c r="Y487" s="277"/>
      <c r="Z487" s="277"/>
    </row>
    <row r="488" ht="12.75" customHeight="1">
      <c r="A488" s="277"/>
      <c r="B488" s="278"/>
      <c r="C488" s="279"/>
      <c r="D488" s="277"/>
      <c r="E488" s="277"/>
      <c r="F488" s="277"/>
      <c r="G488" s="277"/>
      <c r="H488" s="277"/>
      <c r="I488" s="277"/>
      <c r="J488" s="277"/>
      <c r="K488" s="409"/>
      <c r="L488" s="477"/>
      <c r="M488" s="277"/>
      <c r="N488" s="277"/>
      <c r="O488" s="277"/>
      <c r="P488" s="277"/>
      <c r="Q488" s="277"/>
      <c r="R488" s="277"/>
      <c r="S488" s="277"/>
      <c r="T488" s="277"/>
      <c r="U488" s="277"/>
      <c r="V488" s="277"/>
      <c r="W488" s="277"/>
      <c r="X488" s="277"/>
      <c r="Y488" s="277"/>
      <c r="Z488" s="277"/>
    </row>
    <row r="489" ht="12.75" customHeight="1">
      <c r="A489" s="277"/>
      <c r="B489" s="278"/>
      <c r="C489" s="279"/>
      <c r="D489" s="277"/>
      <c r="E489" s="277"/>
      <c r="F489" s="277"/>
      <c r="G489" s="277"/>
      <c r="H489" s="277"/>
      <c r="I489" s="277"/>
      <c r="J489" s="277"/>
      <c r="K489" s="409"/>
      <c r="L489" s="477"/>
      <c r="M489" s="277"/>
      <c r="N489" s="277"/>
      <c r="O489" s="277"/>
      <c r="P489" s="277"/>
      <c r="Q489" s="277"/>
      <c r="R489" s="277"/>
      <c r="S489" s="277"/>
      <c r="T489" s="277"/>
      <c r="U489" s="277"/>
      <c r="V489" s="277"/>
      <c r="W489" s="277"/>
      <c r="X489" s="277"/>
      <c r="Y489" s="277"/>
      <c r="Z489" s="277"/>
    </row>
    <row r="490" ht="12.75" customHeight="1">
      <c r="A490" s="277"/>
      <c r="B490" s="278"/>
      <c r="C490" s="279"/>
      <c r="D490" s="277"/>
      <c r="E490" s="277"/>
      <c r="F490" s="277"/>
      <c r="G490" s="277"/>
      <c r="H490" s="277"/>
      <c r="I490" s="277"/>
      <c r="J490" s="277"/>
      <c r="K490" s="409"/>
      <c r="L490" s="477"/>
      <c r="M490" s="277"/>
      <c r="N490" s="277"/>
      <c r="O490" s="277"/>
      <c r="P490" s="277"/>
      <c r="Q490" s="277"/>
      <c r="R490" s="277"/>
      <c r="S490" s="277"/>
      <c r="T490" s="277"/>
      <c r="U490" s="277"/>
      <c r="V490" s="277"/>
      <c r="W490" s="277"/>
      <c r="X490" s="277"/>
      <c r="Y490" s="277"/>
      <c r="Z490" s="277"/>
    </row>
    <row r="491" ht="12.75" customHeight="1">
      <c r="A491" s="277"/>
      <c r="B491" s="278"/>
      <c r="C491" s="279"/>
      <c r="D491" s="277"/>
      <c r="E491" s="277"/>
      <c r="F491" s="277"/>
      <c r="G491" s="277"/>
      <c r="H491" s="277"/>
      <c r="I491" s="277"/>
      <c r="J491" s="277"/>
      <c r="K491" s="409"/>
      <c r="L491" s="477"/>
      <c r="M491" s="277"/>
      <c r="N491" s="277"/>
      <c r="O491" s="277"/>
      <c r="P491" s="277"/>
      <c r="Q491" s="277"/>
      <c r="R491" s="277"/>
      <c r="S491" s="277"/>
      <c r="T491" s="277"/>
      <c r="U491" s="277"/>
      <c r="V491" s="277"/>
      <c r="W491" s="277"/>
      <c r="X491" s="277"/>
      <c r="Y491" s="277"/>
      <c r="Z491" s="277"/>
    </row>
    <row r="492" ht="12.75" customHeight="1">
      <c r="A492" s="277"/>
      <c r="B492" s="278"/>
      <c r="C492" s="279"/>
      <c r="D492" s="277"/>
      <c r="E492" s="277"/>
      <c r="F492" s="277"/>
      <c r="G492" s="277"/>
      <c r="H492" s="277"/>
      <c r="I492" s="277"/>
      <c r="J492" s="277"/>
      <c r="K492" s="409"/>
      <c r="L492" s="477"/>
      <c r="M492" s="277"/>
      <c r="N492" s="277"/>
      <c r="O492" s="277"/>
      <c r="P492" s="277"/>
      <c r="Q492" s="277"/>
      <c r="R492" s="277"/>
      <c r="S492" s="277"/>
      <c r="T492" s="277"/>
      <c r="U492" s="277"/>
      <c r="V492" s="277"/>
      <c r="W492" s="277"/>
      <c r="X492" s="277"/>
      <c r="Y492" s="277"/>
      <c r="Z492" s="277"/>
    </row>
    <row r="493" ht="12.75" customHeight="1">
      <c r="A493" s="277"/>
      <c r="B493" s="278"/>
      <c r="C493" s="279"/>
      <c r="D493" s="277"/>
      <c r="E493" s="277"/>
      <c r="F493" s="277"/>
      <c r="G493" s="277"/>
      <c r="H493" s="277"/>
      <c r="I493" s="277"/>
      <c r="J493" s="277"/>
      <c r="K493" s="409"/>
      <c r="L493" s="477"/>
      <c r="M493" s="277"/>
      <c r="N493" s="277"/>
      <c r="O493" s="277"/>
      <c r="P493" s="277"/>
      <c r="Q493" s="277"/>
      <c r="R493" s="277"/>
      <c r="S493" s="277"/>
      <c r="T493" s="277"/>
      <c r="U493" s="277"/>
      <c r="V493" s="277"/>
      <c r="W493" s="277"/>
      <c r="X493" s="277"/>
      <c r="Y493" s="277"/>
      <c r="Z493" s="277"/>
    </row>
    <row r="494" ht="12.75" customHeight="1">
      <c r="A494" s="277"/>
      <c r="B494" s="278"/>
      <c r="C494" s="279"/>
      <c r="D494" s="277"/>
      <c r="E494" s="277"/>
      <c r="F494" s="277"/>
      <c r="G494" s="277"/>
      <c r="H494" s="277"/>
      <c r="I494" s="277"/>
      <c r="J494" s="277"/>
      <c r="K494" s="409"/>
      <c r="L494" s="477"/>
      <c r="M494" s="277"/>
      <c r="N494" s="277"/>
      <c r="O494" s="277"/>
      <c r="P494" s="277"/>
      <c r="Q494" s="277"/>
      <c r="R494" s="277"/>
      <c r="S494" s="277"/>
      <c r="T494" s="277"/>
      <c r="U494" s="277"/>
      <c r="V494" s="277"/>
      <c r="W494" s="277"/>
      <c r="X494" s="277"/>
      <c r="Y494" s="277"/>
      <c r="Z494" s="277"/>
    </row>
    <row r="495" ht="12.75" customHeight="1">
      <c r="A495" s="277"/>
      <c r="B495" s="278"/>
      <c r="C495" s="279"/>
      <c r="D495" s="277"/>
      <c r="E495" s="277"/>
      <c r="F495" s="277"/>
      <c r="G495" s="277"/>
      <c r="H495" s="277"/>
      <c r="I495" s="277"/>
      <c r="J495" s="277"/>
      <c r="K495" s="409"/>
      <c r="L495" s="477"/>
      <c r="M495" s="277"/>
      <c r="N495" s="277"/>
      <c r="O495" s="277"/>
      <c r="P495" s="277"/>
      <c r="Q495" s="277"/>
      <c r="R495" s="277"/>
      <c r="S495" s="277"/>
      <c r="T495" s="277"/>
      <c r="U495" s="277"/>
      <c r="V495" s="277"/>
      <c r="W495" s="277"/>
      <c r="X495" s="277"/>
      <c r="Y495" s="277"/>
      <c r="Z495" s="277"/>
    </row>
    <row r="496" ht="12.75" customHeight="1">
      <c r="A496" s="277"/>
      <c r="B496" s="278"/>
      <c r="C496" s="279"/>
      <c r="D496" s="277"/>
      <c r="E496" s="277"/>
      <c r="F496" s="277"/>
      <c r="G496" s="277"/>
      <c r="H496" s="277"/>
      <c r="I496" s="277"/>
      <c r="J496" s="277"/>
      <c r="K496" s="409"/>
      <c r="L496" s="477"/>
      <c r="M496" s="277"/>
      <c r="N496" s="277"/>
      <c r="O496" s="277"/>
      <c r="P496" s="277"/>
      <c r="Q496" s="277"/>
      <c r="R496" s="277"/>
      <c r="S496" s="277"/>
      <c r="T496" s="277"/>
      <c r="U496" s="277"/>
      <c r="V496" s="277"/>
      <c r="W496" s="277"/>
      <c r="X496" s="277"/>
      <c r="Y496" s="277"/>
      <c r="Z496" s="277"/>
    </row>
    <row r="497" ht="12.75" customHeight="1">
      <c r="A497" s="277"/>
      <c r="B497" s="278"/>
      <c r="C497" s="279"/>
      <c r="D497" s="277"/>
      <c r="E497" s="277"/>
      <c r="F497" s="277"/>
      <c r="G497" s="277"/>
      <c r="H497" s="277"/>
      <c r="I497" s="277"/>
      <c r="J497" s="277"/>
      <c r="K497" s="409"/>
      <c r="L497" s="477"/>
      <c r="M497" s="277"/>
      <c r="N497" s="277"/>
      <c r="O497" s="277"/>
      <c r="P497" s="277"/>
      <c r="Q497" s="277"/>
      <c r="R497" s="277"/>
      <c r="S497" s="277"/>
      <c r="T497" s="277"/>
      <c r="U497" s="277"/>
      <c r="V497" s="277"/>
      <c r="W497" s="277"/>
      <c r="X497" s="277"/>
      <c r="Y497" s="277"/>
      <c r="Z497" s="277"/>
    </row>
    <row r="498" ht="12.75" customHeight="1">
      <c r="A498" s="277"/>
      <c r="B498" s="278"/>
      <c r="C498" s="279"/>
      <c r="D498" s="277"/>
      <c r="E498" s="277"/>
      <c r="F498" s="277"/>
      <c r="G498" s="277"/>
      <c r="H498" s="277"/>
      <c r="I498" s="277"/>
      <c r="J498" s="277"/>
      <c r="K498" s="409"/>
      <c r="L498" s="477"/>
      <c r="M498" s="277"/>
      <c r="N498" s="277"/>
      <c r="O498" s="277"/>
      <c r="P498" s="277"/>
      <c r="Q498" s="277"/>
      <c r="R498" s="277"/>
      <c r="S498" s="277"/>
      <c r="T498" s="277"/>
      <c r="U498" s="277"/>
      <c r="V498" s="277"/>
      <c r="W498" s="277"/>
      <c r="X498" s="277"/>
      <c r="Y498" s="277"/>
      <c r="Z498" s="277"/>
    </row>
    <row r="499" ht="12.75" customHeight="1">
      <c r="A499" s="277"/>
      <c r="B499" s="278"/>
      <c r="C499" s="279"/>
      <c r="D499" s="277"/>
      <c r="E499" s="277"/>
      <c r="F499" s="277"/>
      <c r="G499" s="277"/>
      <c r="H499" s="277"/>
      <c r="I499" s="277"/>
      <c r="J499" s="277"/>
      <c r="K499" s="409"/>
      <c r="L499" s="477"/>
      <c r="M499" s="277"/>
      <c r="N499" s="277"/>
      <c r="O499" s="277"/>
      <c r="P499" s="277"/>
      <c r="Q499" s="277"/>
      <c r="R499" s="277"/>
      <c r="S499" s="277"/>
      <c r="T499" s="277"/>
      <c r="U499" s="277"/>
      <c r="V499" s="277"/>
      <c r="W499" s="277"/>
      <c r="X499" s="277"/>
      <c r="Y499" s="277"/>
      <c r="Z499" s="277"/>
    </row>
    <row r="500" ht="12.75" customHeight="1">
      <c r="A500" s="277"/>
      <c r="B500" s="278"/>
      <c r="C500" s="279"/>
      <c r="D500" s="277"/>
      <c r="E500" s="277"/>
      <c r="F500" s="277"/>
      <c r="G500" s="277"/>
      <c r="H500" s="277"/>
      <c r="I500" s="277"/>
      <c r="J500" s="277"/>
      <c r="K500" s="409"/>
      <c r="L500" s="477"/>
      <c r="M500" s="277"/>
      <c r="N500" s="277"/>
      <c r="O500" s="277"/>
      <c r="P500" s="277"/>
      <c r="Q500" s="277"/>
      <c r="R500" s="277"/>
      <c r="S500" s="277"/>
      <c r="T500" s="277"/>
      <c r="U500" s="277"/>
      <c r="V500" s="277"/>
      <c r="W500" s="277"/>
      <c r="X500" s="277"/>
      <c r="Y500" s="277"/>
      <c r="Z500" s="277"/>
    </row>
    <row r="501" ht="12.75" customHeight="1">
      <c r="A501" s="277"/>
      <c r="B501" s="278"/>
      <c r="C501" s="279"/>
      <c r="D501" s="277"/>
      <c r="E501" s="277"/>
      <c r="F501" s="277"/>
      <c r="G501" s="277"/>
      <c r="H501" s="277"/>
      <c r="I501" s="277"/>
      <c r="J501" s="277"/>
      <c r="K501" s="409"/>
      <c r="L501" s="477"/>
      <c r="M501" s="277"/>
      <c r="N501" s="277"/>
      <c r="O501" s="277"/>
      <c r="P501" s="277"/>
      <c r="Q501" s="277"/>
      <c r="R501" s="277"/>
      <c r="S501" s="277"/>
      <c r="T501" s="277"/>
      <c r="U501" s="277"/>
      <c r="V501" s="277"/>
      <c r="W501" s="277"/>
      <c r="X501" s="277"/>
      <c r="Y501" s="277"/>
      <c r="Z501" s="277"/>
    </row>
    <row r="502" ht="12.75" customHeight="1">
      <c r="A502" s="277"/>
      <c r="B502" s="278"/>
      <c r="C502" s="279"/>
      <c r="D502" s="277"/>
      <c r="E502" s="277"/>
      <c r="F502" s="277"/>
      <c r="G502" s="277"/>
      <c r="H502" s="277"/>
      <c r="I502" s="277"/>
      <c r="J502" s="277"/>
      <c r="K502" s="409"/>
      <c r="L502" s="477"/>
      <c r="M502" s="277"/>
      <c r="N502" s="277"/>
      <c r="O502" s="277"/>
      <c r="P502" s="277"/>
      <c r="Q502" s="277"/>
      <c r="R502" s="277"/>
      <c r="S502" s="277"/>
      <c r="T502" s="277"/>
      <c r="U502" s="277"/>
      <c r="V502" s="277"/>
      <c r="W502" s="277"/>
      <c r="X502" s="277"/>
      <c r="Y502" s="277"/>
      <c r="Z502" s="277"/>
    </row>
    <row r="503" ht="12.75" customHeight="1">
      <c r="A503" s="277"/>
      <c r="B503" s="278"/>
      <c r="C503" s="279"/>
      <c r="D503" s="277"/>
      <c r="E503" s="277"/>
      <c r="F503" s="277"/>
      <c r="G503" s="277"/>
      <c r="H503" s="277"/>
      <c r="I503" s="277"/>
      <c r="J503" s="277"/>
      <c r="K503" s="409"/>
      <c r="L503" s="477"/>
      <c r="M503" s="277"/>
      <c r="N503" s="277"/>
      <c r="O503" s="277"/>
      <c r="P503" s="277"/>
      <c r="Q503" s="277"/>
      <c r="R503" s="277"/>
      <c r="S503" s="277"/>
      <c r="T503" s="277"/>
      <c r="U503" s="277"/>
      <c r="V503" s="277"/>
      <c r="W503" s="277"/>
      <c r="X503" s="277"/>
      <c r="Y503" s="277"/>
      <c r="Z503" s="277"/>
    </row>
    <row r="504" ht="12.75" customHeight="1">
      <c r="A504" s="277"/>
      <c r="B504" s="278"/>
      <c r="C504" s="279"/>
      <c r="D504" s="277"/>
      <c r="E504" s="277"/>
      <c r="F504" s="277"/>
      <c r="G504" s="277"/>
      <c r="H504" s="277"/>
      <c r="I504" s="277"/>
      <c r="J504" s="277"/>
      <c r="K504" s="409"/>
      <c r="L504" s="477"/>
      <c r="M504" s="277"/>
      <c r="N504" s="277"/>
      <c r="O504" s="277"/>
      <c r="P504" s="277"/>
      <c r="Q504" s="277"/>
      <c r="R504" s="277"/>
      <c r="S504" s="277"/>
      <c r="T504" s="277"/>
      <c r="U504" s="277"/>
      <c r="V504" s="277"/>
      <c r="W504" s="277"/>
      <c r="X504" s="277"/>
      <c r="Y504" s="277"/>
      <c r="Z504" s="277"/>
    </row>
    <row r="505" ht="12.75" customHeight="1">
      <c r="A505" s="277"/>
      <c r="B505" s="278"/>
      <c r="C505" s="279"/>
      <c r="D505" s="277"/>
      <c r="E505" s="277"/>
      <c r="F505" s="277"/>
      <c r="G505" s="277"/>
      <c r="H505" s="277"/>
      <c r="I505" s="277"/>
      <c r="J505" s="277"/>
      <c r="K505" s="409"/>
      <c r="L505" s="477"/>
      <c r="M505" s="277"/>
      <c r="N505" s="277"/>
      <c r="O505" s="277"/>
      <c r="P505" s="277"/>
      <c r="Q505" s="277"/>
      <c r="R505" s="277"/>
      <c r="S505" s="277"/>
      <c r="T505" s="277"/>
      <c r="U505" s="277"/>
      <c r="V505" s="277"/>
      <c r="W505" s="277"/>
      <c r="X505" s="277"/>
      <c r="Y505" s="277"/>
      <c r="Z505" s="277"/>
    </row>
    <row r="506" ht="12.75" customHeight="1">
      <c r="A506" s="277"/>
      <c r="B506" s="278"/>
      <c r="C506" s="279"/>
      <c r="D506" s="277"/>
      <c r="E506" s="277"/>
      <c r="F506" s="277"/>
      <c r="G506" s="277"/>
      <c r="H506" s="277"/>
      <c r="I506" s="277"/>
      <c r="J506" s="277"/>
      <c r="K506" s="409"/>
      <c r="L506" s="477"/>
      <c r="M506" s="277"/>
      <c r="N506" s="277"/>
      <c r="O506" s="277"/>
      <c r="P506" s="277"/>
      <c r="Q506" s="277"/>
      <c r="R506" s="277"/>
      <c r="S506" s="277"/>
      <c r="T506" s="277"/>
      <c r="U506" s="277"/>
      <c r="V506" s="277"/>
      <c r="W506" s="277"/>
      <c r="X506" s="277"/>
      <c r="Y506" s="277"/>
      <c r="Z506" s="277"/>
    </row>
    <row r="507" ht="12.75" customHeight="1">
      <c r="A507" s="277"/>
      <c r="B507" s="278"/>
      <c r="C507" s="279"/>
      <c r="D507" s="277"/>
      <c r="E507" s="277"/>
      <c r="F507" s="277"/>
      <c r="G507" s="277"/>
      <c r="H507" s="277"/>
      <c r="I507" s="277"/>
      <c r="J507" s="277"/>
      <c r="K507" s="409"/>
      <c r="L507" s="477"/>
      <c r="M507" s="277"/>
      <c r="N507" s="277"/>
      <c r="O507" s="277"/>
      <c r="P507" s="277"/>
      <c r="Q507" s="277"/>
      <c r="R507" s="277"/>
      <c r="S507" s="277"/>
      <c r="T507" s="277"/>
      <c r="U507" s="277"/>
      <c r="V507" s="277"/>
      <c r="W507" s="277"/>
      <c r="X507" s="277"/>
      <c r="Y507" s="277"/>
      <c r="Z507" s="277"/>
    </row>
    <row r="508" ht="12.75" customHeight="1">
      <c r="A508" s="277"/>
      <c r="B508" s="278"/>
      <c r="C508" s="279"/>
      <c r="D508" s="277"/>
      <c r="E508" s="277"/>
      <c r="F508" s="277"/>
      <c r="G508" s="277"/>
      <c r="H508" s="277"/>
      <c r="I508" s="277"/>
      <c r="J508" s="277"/>
      <c r="K508" s="409"/>
      <c r="L508" s="477"/>
      <c r="M508" s="277"/>
      <c r="N508" s="277"/>
      <c r="O508" s="277"/>
      <c r="P508" s="277"/>
      <c r="Q508" s="277"/>
      <c r="R508" s="277"/>
      <c r="S508" s="277"/>
      <c r="T508" s="277"/>
      <c r="U508" s="277"/>
      <c r="V508" s="277"/>
      <c r="W508" s="277"/>
      <c r="X508" s="277"/>
      <c r="Y508" s="277"/>
      <c r="Z508" s="277"/>
    </row>
    <row r="509" ht="12.75" customHeight="1">
      <c r="A509" s="277"/>
      <c r="B509" s="278"/>
      <c r="C509" s="279"/>
      <c r="D509" s="277"/>
      <c r="E509" s="277"/>
      <c r="F509" s="277"/>
      <c r="G509" s="277"/>
      <c r="H509" s="277"/>
      <c r="I509" s="277"/>
      <c r="J509" s="277"/>
      <c r="K509" s="409"/>
      <c r="L509" s="477"/>
      <c r="M509" s="277"/>
      <c r="N509" s="277"/>
      <c r="O509" s="277"/>
      <c r="P509" s="277"/>
      <c r="Q509" s="277"/>
      <c r="R509" s="277"/>
      <c r="S509" s="277"/>
      <c r="T509" s="277"/>
      <c r="U509" s="277"/>
      <c r="V509" s="277"/>
      <c r="W509" s="277"/>
      <c r="X509" s="277"/>
      <c r="Y509" s="277"/>
      <c r="Z509" s="277"/>
    </row>
    <row r="510" ht="12.75" customHeight="1">
      <c r="A510" s="277"/>
      <c r="B510" s="278"/>
      <c r="C510" s="279"/>
      <c r="D510" s="277"/>
      <c r="E510" s="277"/>
      <c r="F510" s="277"/>
      <c r="G510" s="277"/>
      <c r="H510" s="277"/>
      <c r="I510" s="277"/>
      <c r="J510" s="277"/>
      <c r="K510" s="409"/>
      <c r="L510" s="477"/>
      <c r="M510" s="277"/>
      <c r="N510" s="277"/>
      <c r="O510" s="277"/>
      <c r="P510" s="277"/>
      <c r="Q510" s="277"/>
      <c r="R510" s="277"/>
      <c r="S510" s="277"/>
      <c r="T510" s="277"/>
      <c r="U510" s="277"/>
      <c r="V510" s="277"/>
      <c r="W510" s="277"/>
      <c r="X510" s="277"/>
      <c r="Y510" s="277"/>
      <c r="Z510" s="277"/>
    </row>
    <row r="511" ht="12.75" customHeight="1">
      <c r="A511" s="277"/>
      <c r="B511" s="278"/>
      <c r="C511" s="279"/>
      <c r="D511" s="277"/>
      <c r="E511" s="277"/>
      <c r="F511" s="277"/>
      <c r="G511" s="277"/>
      <c r="H511" s="277"/>
      <c r="I511" s="277"/>
      <c r="J511" s="277"/>
      <c r="K511" s="409"/>
      <c r="L511" s="477"/>
      <c r="M511" s="277"/>
      <c r="N511" s="277"/>
      <c r="O511" s="277"/>
      <c r="P511" s="277"/>
      <c r="Q511" s="277"/>
      <c r="R511" s="277"/>
      <c r="S511" s="277"/>
      <c r="T511" s="277"/>
      <c r="U511" s="277"/>
      <c r="V511" s="277"/>
      <c r="W511" s="277"/>
      <c r="X511" s="277"/>
      <c r="Y511" s="277"/>
      <c r="Z511" s="277"/>
    </row>
    <row r="512" ht="12.75" customHeight="1">
      <c r="A512" s="277"/>
      <c r="B512" s="278"/>
      <c r="C512" s="279"/>
      <c r="D512" s="277"/>
      <c r="E512" s="277"/>
      <c r="F512" s="277"/>
      <c r="G512" s="277"/>
      <c r="H512" s="277"/>
      <c r="I512" s="277"/>
      <c r="J512" s="277"/>
      <c r="K512" s="409"/>
      <c r="L512" s="477"/>
      <c r="M512" s="277"/>
      <c r="N512" s="277"/>
      <c r="O512" s="277"/>
      <c r="P512" s="277"/>
      <c r="Q512" s="277"/>
      <c r="R512" s="277"/>
      <c r="S512" s="277"/>
      <c r="T512" s="277"/>
      <c r="U512" s="277"/>
      <c r="V512" s="277"/>
      <c r="W512" s="277"/>
      <c r="X512" s="277"/>
      <c r="Y512" s="277"/>
      <c r="Z512" s="277"/>
    </row>
    <row r="513" ht="12.75" customHeight="1">
      <c r="A513" s="277"/>
      <c r="B513" s="278"/>
      <c r="C513" s="279"/>
      <c r="D513" s="277"/>
      <c r="E513" s="277"/>
      <c r="F513" s="277"/>
      <c r="G513" s="277"/>
      <c r="H513" s="277"/>
      <c r="I513" s="277"/>
      <c r="J513" s="277"/>
      <c r="K513" s="409"/>
      <c r="L513" s="477"/>
      <c r="M513" s="277"/>
      <c r="N513" s="277"/>
      <c r="O513" s="277"/>
      <c r="P513" s="277"/>
      <c r="Q513" s="277"/>
      <c r="R513" s="277"/>
      <c r="S513" s="277"/>
      <c r="T513" s="277"/>
      <c r="U513" s="277"/>
      <c r="V513" s="277"/>
      <c r="W513" s="277"/>
      <c r="X513" s="277"/>
      <c r="Y513" s="277"/>
      <c r="Z513" s="277"/>
    </row>
    <row r="514" ht="12.75" customHeight="1">
      <c r="A514" s="277"/>
      <c r="B514" s="278"/>
      <c r="C514" s="279"/>
      <c r="D514" s="277"/>
      <c r="E514" s="277"/>
      <c r="F514" s="277"/>
      <c r="G514" s="277"/>
      <c r="H514" s="277"/>
      <c r="I514" s="277"/>
      <c r="J514" s="277"/>
      <c r="K514" s="409"/>
      <c r="L514" s="477"/>
      <c r="M514" s="277"/>
      <c r="N514" s="277"/>
      <c r="O514" s="277"/>
      <c r="P514" s="277"/>
      <c r="Q514" s="277"/>
      <c r="R514" s="277"/>
      <c r="S514" s="277"/>
      <c r="T514" s="277"/>
      <c r="U514" s="277"/>
      <c r="V514" s="277"/>
      <c r="W514" s="277"/>
      <c r="X514" s="277"/>
      <c r="Y514" s="277"/>
      <c r="Z514" s="277"/>
    </row>
    <row r="515" ht="12.75" customHeight="1">
      <c r="A515" s="277"/>
      <c r="B515" s="278"/>
      <c r="C515" s="279"/>
      <c r="D515" s="277"/>
      <c r="E515" s="277"/>
      <c r="F515" s="277"/>
      <c r="G515" s="277"/>
      <c r="H515" s="277"/>
      <c r="I515" s="277"/>
      <c r="J515" s="277"/>
      <c r="K515" s="409"/>
      <c r="L515" s="477"/>
      <c r="M515" s="277"/>
      <c r="N515" s="277"/>
      <c r="O515" s="277"/>
      <c r="P515" s="277"/>
      <c r="Q515" s="277"/>
      <c r="R515" s="277"/>
      <c r="S515" s="277"/>
      <c r="T515" s="277"/>
      <c r="U515" s="277"/>
      <c r="V515" s="277"/>
      <c r="W515" s="277"/>
      <c r="X515" s="277"/>
      <c r="Y515" s="277"/>
      <c r="Z515" s="277"/>
    </row>
    <row r="516" ht="12.75" customHeight="1">
      <c r="A516" s="277"/>
      <c r="B516" s="278"/>
      <c r="C516" s="279"/>
      <c r="D516" s="277"/>
      <c r="E516" s="277"/>
      <c r="F516" s="277"/>
      <c r="G516" s="277"/>
      <c r="H516" s="277"/>
      <c r="I516" s="277"/>
      <c r="J516" s="277"/>
      <c r="K516" s="409"/>
      <c r="L516" s="477"/>
      <c r="M516" s="277"/>
      <c r="N516" s="277"/>
      <c r="O516" s="277"/>
      <c r="P516" s="277"/>
      <c r="Q516" s="277"/>
      <c r="R516" s="277"/>
      <c r="S516" s="277"/>
      <c r="T516" s="277"/>
      <c r="U516" s="277"/>
      <c r="V516" s="277"/>
      <c r="W516" s="277"/>
      <c r="X516" s="277"/>
      <c r="Y516" s="277"/>
      <c r="Z516" s="277"/>
    </row>
    <row r="517" ht="12.75" customHeight="1">
      <c r="A517" s="277"/>
      <c r="B517" s="278"/>
      <c r="C517" s="279"/>
      <c r="D517" s="277"/>
      <c r="E517" s="277"/>
      <c r="F517" s="277"/>
      <c r="G517" s="277"/>
      <c r="H517" s="277"/>
      <c r="I517" s="277"/>
      <c r="J517" s="277"/>
      <c r="K517" s="409"/>
      <c r="L517" s="477"/>
      <c r="M517" s="277"/>
      <c r="N517" s="277"/>
      <c r="O517" s="277"/>
      <c r="P517" s="277"/>
      <c r="Q517" s="277"/>
      <c r="R517" s="277"/>
      <c r="S517" s="277"/>
      <c r="T517" s="277"/>
      <c r="U517" s="277"/>
      <c r="V517" s="277"/>
      <c r="W517" s="277"/>
      <c r="X517" s="277"/>
      <c r="Y517" s="277"/>
      <c r="Z517" s="277"/>
    </row>
    <row r="518" ht="12.75" customHeight="1">
      <c r="A518" s="277"/>
      <c r="B518" s="278"/>
      <c r="C518" s="279"/>
      <c r="D518" s="277"/>
      <c r="E518" s="277"/>
      <c r="F518" s="277"/>
      <c r="G518" s="277"/>
      <c r="H518" s="277"/>
      <c r="I518" s="277"/>
      <c r="J518" s="277"/>
      <c r="K518" s="409"/>
      <c r="L518" s="477"/>
      <c r="M518" s="277"/>
      <c r="N518" s="277"/>
      <c r="O518" s="277"/>
      <c r="P518" s="277"/>
      <c r="Q518" s="277"/>
      <c r="R518" s="277"/>
      <c r="S518" s="277"/>
      <c r="T518" s="277"/>
      <c r="U518" s="277"/>
      <c r="V518" s="277"/>
      <c r="W518" s="277"/>
      <c r="X518" s="277"/>
      <c r="Y518" s="277"/>
      <c r="Z518" s="277"/>
    </row>
    <row r="519" ht="12.75" customHeight="1">
      <c r="A519" s="277"/>
      <c r="B519" s="278"/>
      <c r="C519" s="279"/>
      <c r="D519" s="277"/>
      <c r="E519" s="277"/>
      <c r="F519" s="277"/>
      <c r="G519" s="277"/>
      <c r="H519" s="277"/>
      <c r="I519" s="277"/>
      <c r="J519" s="277"/>
      <c r="K519" s="409"/>
      <c r="L519" s="477"/>
      <c r="M519" s="277"/>
      <c r="N519" s="277"/>
      <c r="O519" s="277"/>
      <c r="P519" s="277"/>
      <c r="Q519" s="277"/>
      <c r="R519" s="277"/>
      <c r="S519" s="277"/>
      <c r="T519" s="277"/>
      <c r="U519" s="277"/>
      <c r="V519" s="277"/>
      <c r="W519" s="277"/>
      <c r="X519" s="277"/>
      <c r="Y519" s="277"/>
      <c r="Z519" s="277"/>
    </row>
    <row r="520" ht="12.75" customHeight="1">
      <c r="A520" s="277"/>
      <c r="B520" s="278"/>
      <c r="C520" s="279"/>
      <c r="D520" s="277"/>
      <c r="E520" s="277"/>
      <c r="F520" s="277"/>
      <c r="G520" s="277"/>
      <c r="H520" s="277"/>
      <c r="I520" s="277"/>
      <c r="J520" s="277"/>
      <c r="K520" s="409"/>
      <c r="L520" s="477"/>
      <c r="M520" s="277"/>
      <c r="N520" s="277"/>
      <c r="O520" s="277"/>
      <c r="P520" s="277"/>
      <c r="Q520" s="277"/>
      <c r="R520" s="277"/>
      <c r="S520" s="277"/>
      <c r="T520" s="277"/>
      <c r="U520" s="277"/>
      <c r="V520" s="277"/>
      <c r="W520" s="277"/>
      <c r="X520" s="277"/>
      <c r="Y520" s="277"/>
      <c r="Z520" s="277"/>
    </row>
    <row r="521" ht="12.75" customHeight="1">
      <c r="A521" s="277"/>
      <c r="B521" s="278"/>
      <c r="C521" s="279"/>
      <c r="D521" s="277"/>
      <c r="E521" s="277"/>
      <c r="F521" s="277"/>
      <c r="G521" s="277"/>
      <c r="H521" s="277"/>
      <c r="I521" s="277"/>
      <c r="J521" s="277"/>
      <c r="K521" s="409"/>
      <c r="L521" s="477"/>
      <c r="M521" s="277"/>
      <c r="N521" s="277"/>
      <c r="O521" s="277"/>
      <c r="P521" s="277"/>
      <c r="Q521" s="277"/>
      <c r="R521" s="277"/>
      <c r="S521" s="277"/>
      <c r="T521" s="277"/>
      <c r="U521" s="277"/>
      <c r="V521" s="277"/>
      <c r="W521" s="277"/>
      <c r="X521" s="277"/>
      <c r="Y521" s="277"/>
      <c r="Z521" s="277"/>
    </row>
    <row r="522" ht="12.75" customHeight="1">
      <c r="A522" s="277"/>
      <c r="B522" s="278"/>
      <c r="C522" s="279"/>
      <c r="D522" s="277"/>
      <c r="E522" s="277"/>
      <c r="F522" s="277"/>
      <c r="G522" s="277"/>
      <c r="H522" s="277"/>
      <c r="I522" s="277"/>
      <c r="J522" s="277"/>
      <c r="K522" s="409"/>
      <c r="L522" s="477"/>
      <c r="M522" s="277"/>
      <c r="N522" s="277"/>
      <c r="O522" s="277"/>
      <c r="P522" s="277"/>
      <c r="Q522" s="277"/>
      <c r="R522" s="277"/>
      <c r="S522" s="277"/>
      <c r="T522" s="277"/>
      <c r="U522" s="277"/>
      <c r="V522" s="277"/>
      <c r="W522" s="277"/>
      <c r="X522" s="277"/>
      <c r="Y522" s="277"/>
      <c r="Z522" s="277"/>
    </row>
    <row r="523" ht="12.75" customHeight="1">
      <c r="A523" s="277"/>
      <c r="B523" s="278"/>
      <c r="C523" s="279"/>
      <c r="D523" s="277"/>
      <c r="E523" s="277"/>
      <c r="F523" s="277"/>
      <c r="G523" s="277"/>
      <c r="H523" s="277"/>
      <c r="I523" s="277"/>
      <c r="J523" s="277"/>
      <c r="K523" s="409"/>
      <c r="L523" s="477"/>
      <c r="M523" s="277"/>
      <c r="N523" s="277"/>
      <c r="O523" s="277"/>
      <c r="P523" s="277"/>
      <c r="Q523" s="277"/>
      <c r="R523" s="277"/>
      <c r="S523" s="277"/>
      <c r="T523" s="277"/>
      <c r="U523" s="277"/>
      <c r="V523" s="277"/>
      <c r="W523" s="277"/>
      <c r="X523" s="277"/>
      <c r="Y523" s="277"/>
      <c r="Z523" s="277"/>
    </row>
    <row r="524" ht="12.75" customHeight="1">
      <c r="A524" s="277"/>
      <c r="B524" s="278"/>
      <c r="C524" s="279"/>
      <c r="D524" s="277"/>
      <c r="E524" s="277"/>
      <c r="F524" s="277"/>
      <c r="G524" s="277"/>
      <c r="H524" s="277"/>
      <c r="I524" s="277"/>
      <c r="J524" s="277"/>
      <c r="K524" s="409"/>
      <c r="L524" s="477"/>
      <c r="M524" s="277"/>
      <c r="N524" s="277"/>
      <c r="O524" s="277"/>
      <c r="P524" s="277"/>
      <c r="Q524" s="277"/>
      <c r="R524" s="277"/>
      <c r="S524" s="277"/>
      <c r="T524" s="277"/>
      <c r="U524" s="277"/>
      <c r="V524" s="277"/>
      <c r="W524" s="277"/>
      <c r="X524" s="277"/>
      <c r="Y524" s="277"/>
      <c r="Z524" s="277"/>
    </row>
    <row r="525" ht="12.75" customHeight="1">
      <c r="A525" s="277"/>
      <c r="B525" s="278"/>
      <c r="C525" s="279"/>
      <c r="D525" s="277"/>
      <c r="E525" s="277"/>
      <c r="F525" s="277"/>
      <c r="G525" s="277"/>
      <c r="H525" s="277"/>
      <c r="I525" s="277"/>
      <c r="J525" s="277"/>
      <c r="K525" s="409"/>
      <c r="L525" s="477"/>
      <c r="M525" s="277"/>
      <c r="N525" s="277"/>
      <c r="O525" s="277"/>
      <c r="P525" s="277"/>
      <c r="Q525" s="277"/>
      <c r="R525" s="277"/>
      <c r="S525" s="277"/>
      <c r="T525" s="277"/>
      <c r="U525" s="277"/>
      <c r="V525" s="277"/>
      <c r="W525" s="277"/>
      <c r="X525" s="277"/>
      <c r="Y525" s="277"/>
      <c r="Z525" s="277"/>
    </row>
    <row r="526" ht="12.75" customHeight="1">
      <c r="A526" s="277"/>
      <c r="B526" s="278"/>
      <c r="C526" s="279"/>
      <c r="D526" s="277"/>
      <c r="E526" s="277"/>
      <c r="F526" s="277"/>
      <c r="G526" s="277"/>
      <c r="H526" s="277"/>
      <c r="I526" s="277"/>
      <c r="J526" s="277"/>
      <c r="K526" s="409"/>
      <c r="L526" s="477"/>
      <c r="M526" s="277"/>
      <c r="N526" s="277"/>
      <c r="O526" s="277"/>
      <c r="P526" s="277"/>
      <c r="Q526" s="277"/>
      <c r="R526" s="277"/>
      <c r="S526" s="277"/>
      <c r="T526" s="277"/>
      <c r="U526" s="277"/>
      <c r="V526" s="277"/>
      <c r="W526" s="277"/>
      <c r="X526" s="277"/>
      <c r="Y526" s="277"/>
      <c r="Z526" s="277"/>
    </row>
    <row r="527" ht="12.75" customHeight="1">
      <c r="A527" s="277"/>
      <c r="B527" s="278"/>
      <c r="C527" s="279"/>
      <c r="D527" s="277"/>
      <c r="E527" s="277"/>
      <c r="F527" s="277"/>
      <c r="G527" s="277"/>
      <c r="H527" s="277"/>
      <c r="I527" s="277"/>
      <c r="J527" s="277"/>
      <c r="K527" s="409"/>
      <c r="L527" s="477"/>
      <c r="M527" s="277"/>
      <c r="N527" s="277"/>
      <c r="O527" s="277"/>
      <c r="P527" s="277"/>
      <c r="Q527" s="277"/>
      <c r="R527" s="277"/>
      <c r="S527" s="277"/>
      <c r="T527" s="277"/>
      <c r="U527" s="277"/>
      <c r="V527" s="277"/>
      <c r="W527" s="277"/>
      <c r="X527" s="277"/>
      <c r="Y527" s="277"/>
      <c r="Z527" s="277"/>
    </row>
    <row r="528" ht="12.75" customHeight="1">
      <c r="A528" s="277"/>
      <c r="B528" s="278"/>
      <c r="C528" s="279"/>
      <c r="D528" s="277"/>
      <c r="E528" s="277"/>
      <c r="F528" s="277"/>
      <c r="G528" s="277"/>
      <c r="H528" s="277"/>
      <c r="I528" s="277"/>
      <c r="J528" s="277"/>
      <c r="K528" s="409"/>
      <c r="L528" s="477"/>
      <c r="M528" s="277"/>
      <c r="N528" s="277"/>
      <c r="O528" s="277"/>
      <c r="P528" s="277"/>
      <c r="Q528" s="277"/>
      <c r="R528" s="277"/>
      <c r="S528" s="277"/>
      <c r="T528" s="277"/>
      <c r="U528" s="277"/>
      <c r="V528" s="277"/>
      <c r="W528" s="277"/>
      <c r="X528" s="277"/>
      <c r="Y528" s="277"/>
      <c r="Z528" s="277"/>
    </row>
    <row r="529" ht="12.75" customHeight="1">
      <c r="A529" s="277"/>
      <c r="B529" s="278"/>
      <c r="C529" s="279"/>
      <c r="D529" s="277"/>
      <c r="E529" s="277"/>
      <c r="F529" s="277"/>
      <c r="G529" s="277"/>
      <c r="H529" s="277"/>
      <c r="I529" s="277"/>
      <c r="J529" s="277"/>
      <c r="K529" s="409"/>
      <c r="L529" s="477"/>
      <c r="M529" s="277"/>
      <c r="N529" s="277"/>
      <c r="O529" s="277"/>
      <c r="P529" s="277"/>
      <c r="Q529" s="277"/>
      <c r="R529" s="277"/>
      <c r="S529" s="277"/>
      <c r="T529" s="277"/>
      <c r="U529" s="277"/>
      <c r="V529" s="277"/>
      <c r="W529" s="277"/>
      <c r="X529" s="277"/>
      <c r="Y529" s="277"/>
      <c r="Z529" s="277"/>
    </row>
    <row r="530" ht="12.75" customHeight="1">
      <c r="A530" s="277"/>
      <c r="B530" s="278"/>
      <c r="C530" s="279"/>
      <c r="D530" s="277"/>
      <c r="E530" s="277"/>
      <c r="F530" s="277"/>
      <c r="G530" s="277"/>
      <c r="H530" s="277"/>
      <c r="I530" s="277"/>
      <c r="J530" s="277"/>
      <c r="K530" s="409"/>
      <c r="L530" s="477"/>
      <c r="M530" s="277"/>
      <c r="N530" s="277"/>
      <c r="O530" s="277"/>
      <c r="P530" s="277"/>
      <c r="Q530" s="277"/>
      <c r="R530" s="277"/>
      <c r="S530" s="277"/>
      <c r="T530" s="277"/>
      <c r="U530" s="277"/>
      <c r="V530" s="277"/>
      <c r="W530" s="277"/>
      <c r="X530" s="277"/>
      <c r="Y530" s="277"/>
      <c r="Z530" s="277"/>
    </row>
    <row r="531" ht="12.75" customHeight="1">
      <c r="A531" s="277"/>
      <c r="B531" s="278"/>
      <c r="C531" s="279"/>
      <c r="D531" s="277"/>
      <c r="E531" s="277"/>
      <c r="F531" s="277"/>
      <c r="G531" s="277"/>
      <c r="H531" s="277"/>
      <c r="I531" s="277"/>
      <c r="J531" s="277"/>
      <c r="K531" s="409"/>
      <c r="L531" s="477"/>
      <c r="M531" s="277"/>
      <c r="N531" s="277"/>
      <c r="O531" s="277"/>
      <c r="P531" s="277"/>
      <c r="Q531" s="277"/>
      <c r="R531" s="277"/>
      <c r="S531" s="277"/>
      <c r="T531" s="277"/>
      <c r="U531" s="277"/>
      <c r="V531" s="277"/>
      <c r="W531" s="277"/>
      <c r="X531" s="277"/>
      <c r="Y531" s="277"/>
      <c r="Z531" s="277"/>
    </row>
    <row r="532" ht="12.75" customHeight="1">
      <c r="A532" s="277"/>
      <c r="B532" s="278"/>
      <c r="C532" s="279"/>
      <c r="D532" s="277"/>
      <c r="E532" s="277"/>
      <c r="F532" s="277"/>
      <c r="G532" s="277"/>
      <c r="H532" s="277"/>
      <c r="I532" s="277"/>
      <c r="J532" s="277"/>
      <c r="K532" s="409"/>
      <c r="L532" s="477"/>
      <c r="M532" s="277"/>
      <c r="N532" s="277"/>
      <c r="O532" s="277"/>
      <c r="P532" s="277"/>
      <c r="Q532" s="277"/>
      <c r="R532" s="277"/>
      <c r="S532" s="277"/>
      <c r="T532" s="277"/>
      <c r="U532" s="277"/>
      <c r="V532" s="277"/>
      <c r="W532" s="277"/>
      <c r="X532" s="277"/>
      <c r="Y532" s="277"/>
      <c r="Z532" s="277"/>
    </row>
    <row r="533" ht="12.75" customHeight="1">
      <c r="A533" s="277"/>
      <c r="B533" s="278"/>
      <c r="C533" s="279"/>
      <c r="D533" s="277"/>
      <c r="E533" s="277"/>
      <c r="F533" s="277"/>
      <c r="G533" s="277"/>
      <c r="H533" s="277"/>
      <c r="I533" s="277"/>
      <c r="J533" s="277"/>
      <c r="K533" s="409"/>
      <c r="L533" s="477"/>
      <c r="M533" s="277"/>
      <c r="N533" s="277"/>
      <c r="O533" s="277"/>
      <c r="P533" s="277"/>
      <c r="Q533" s="277"/>
      <c r="R533" s="277"/>
      <c r="S533" s="277"/>
      <c r="T533" s="277"/>
      <c r="U533" s="277"/>
      <c r="V533" s="277"/>
      <c r="W533" s="277"/>
      <c r="X533" s="277"/>
      <c r="Y533" s="277"/>
      <c r="Z533" s="277"/>
    </row>
    <row r="534" ht="12.75" customHeight="1">
      <c r="A534" s="277"/>
      <c r="B534" s="278"/>
      <c r="C534" s="279"/>
      <c r="D534" s="277"/>
      <c r="E534" s="277"/>
      <c r="F534" s="277"/>
      <c r="G534" s="277"/>
      <c r="H534" s="277"/>
      <c r="I534" s="277"/>
      <c r="J534" s="277"/>
      <c r="K534" s="409"/>
      <c r="L534" s="477"/>
      <c r="M534" s="277"/>
      <c r="N534" s="277"/>
      <c r="O534" s="277"/>
      <c r="P534" s="277"/>
      <c r="Q534" s="277"/>
      <c r="R534" s="277"/>
      <c r="S534" s="277"/>
      <c r="T534" s="277"/>
      <c r="U534" s="277"/>
      <c r="V534" s="277"/>
      <c r="W534" s="277"/>
      <c r="X534" s="277"/>
      <c r="Y534" s="277"/>
      <c r="Z534" s="277"/>
    </row>
    <row r="535" ht="12.75" customHeight="1">
      <c r="A535" s="277"/>
      <c r="B535" s="278"/>
      <c r="C535" s="279"/>
      <c r="D535" s="277"/>
      <c r="E535" s="277"/>
      <c r="F535" s="277"/>
      <c r="G535" s="277"/>
      <c r="H535" s="277"/>
      <c r="I535" s="277"/>
      <c r="J535" s="277"/>
      <c r="K535" s="409"/>
      <c r="L535" s="477"/>
      <c r="M535" s="277"/>
      <c r="N535" s="277"/>
      <c r="O535" s="277"/>
      <c r="P535" s="277"/>
      <c r="Q535" s="277"/>
      <c r="R535" s="277"/>
      <c r="S535" s="277"/>
      <c r="T535" s="277"/>
      <c r="U535" s="277"/>
      <c r="V535" s="277"/>
      <c r="W535" s="277"/>
      <c r="X535" s="277"/>
      <c r="Y535" s="277"/>
      <c r="Z535" s="277"/>
    </row>
    <row r="536" ht="12.75" customHeight="1">
      <c r="A536" s="277"/>
      <c r="B536" s="278"/>
      <c r="C536" s="279"/>
      <c r="D536" s="277"/>
      <c r="E536" s="277"/>
      <c r="F536" s="277"/>
      <c r="G536" s="277"/>
      <c r="H536" s="277"/>
      <c r="I536" s="277"/>
      <c r="J536" s="277"/>
      <c r="K536" s="409"/>
      <c r="L536" s="477"/>
      <c r="M536" s="277"/>
      <c r="N536" s="277"/>
      <c r="O536" s="277"/>
      <c r="P536" s="277"/>
      <c r="Q536" s="277"/>
      <c r="R536" s="277"/>
      <c r="S536" s="277"/>
      <c r="T536" s="277"/>
      <c r="U536" s="277"/>
      <c r="V536" s="277"/>
      <c r="W536" s="277"/>
      <c r="X536" s="277"/>
      <c r="Y536" s="277"/>
      <c r="Z536" s="277"/>
    </row>
    <row r="537" ht="12.75" customHeight="1">
      <c r="A537" s="277"/>
      <c r="B537" s="278"/>
      <c r="C537" s="279"/>
      <c r="D537" s="277"/>
      <c r="E537" s="277"/>
      <c r="F537" s="277"/>
      <c r="G537" s="277"/>
      <c r="H537" s="277"/>
      <c r="I537" s="277"/>
      <c r="J537" s="277"/>
      <c r="K537" s="409"/>
      <c r="L537" s="477"/>
      <c r="M537" s="277"/>
      <c r="N537" s="277"/>
      <c r="O537" s="277"/>
      <c r="P537" s="277"/>
      <c r="Q537" s="277"/>
      <c r="R537" s="277"/>
      <c r="S537" s="277"/>
      <c r="T537" s="277"/>
      <c r="U537" s="277"/>
      <c r="V537" s="277"/>
      <c r="W537" s="277"/>
      <c r="X537" s="277"/>
      <c r="Y537" s="277"/>
      <c r="Z537" s="277"/>
    </row>
    <row r="538" ht="12.75" customHeight="1">
      <c r="A538" s="277"/>
      <c r="B538" s="278"/>
      <c r="C538" s="279"/>
      <c r="D538" s="277"/>
      <c r="E538" s="277"/>
      <c r="F538" s="277"/>
      <c r="G538" s="277"/>
      <c r="H538" s="277"/>
      <c r="I538" s="277"/>
      <c r="J538" s="277"/>
      <c r="K538" s="409"/>
      <c r="L538" s="477"/>
      <c r="M538" s="277"/>
      <c r="N538" s="277"/>
      <c r="O538" s="277"/>
      <c r="P538" s="277"/>
      <c r="Q538" s="277"/>
      <c r="R538" s="277"/>
      <c r="S538" s="277"/>
      <c r="T538" s="277"/>
      <c r="U538" s="277"/>
      <c r="V538" s="277"/>
      <c r="W538" s="277"/>
      <c r="X538" s="277"/>
      <c r="Y538" s="277"/>
      <c r="Z538" s="277"/>
    </row>
    <row r="539" ht="12.75" customHeight="1">
      <c r="A539" s="277"/>
      <c r="B539" s="278"/>
      <c r="C539" s="279"/>
      <c r="D539" s="277"/>
      <c r="E539" s="277"/>
      <c r="F539" s="277"/>
      <c r="G539" s="277"/>
      <c r="H539" s="277"/>
      <c r="I539" s="277"/>
      <c r="J539" s="277"/>
      <c r="K539" s="409"/>
      <c r="L539" s="477"/>
      <c r="M539" s="277"/>
      <c r="N539" s="277"/>
      <c r="O539" s="277"/>
      <c r="P539" s="277"/>
      <c r="Q539" s="277"/>
      <c r="R539" s="277"/>
      <c r="S539" s="277"/>
      <c r="T539" s="277"/>
      <c r="U539" s="277"/>
      <c r="V539" s="277"/>
      <c r="W539" s="277"/>
      <c r="X539" s="277"/>
      <c r="Y539" s="277"/>
      <c r="Z539" s="277"/>
    </row>
    <row r="540" ht="12.75" customHeight="1">
      <c r="A540" s="277"/>
      <c r="B540" s="278"/>
      <c r="C540" s="279"/>
      <c r="D540" s="277"/>
      <c r="E540" s="277"/>
      <c r="F540" s="277"/>
      <c r="G540" s="277"/>
      <c r="H540" s="277"/>
      <c r="I540" s="277"/>
      <c r="J540" s="277"/>
      <c r="K540" s="409"/>
      <c r="L540" s="477"/>
      <c r="M540" s="277"/>
      <c r="N540" s="277"/>
      <c r="O540" s="277"/>
      <c r="P540" s="277"/>
      <c r="Q540" s="277"/>
      <c r="R540" s="277"/>
      <c r="S540" s="277"/>
      <c r="T540" s="277"/>
      <c r="U540" s="277"/>
      <c r="V540" s="277"/>
      <c r="W540" s="277"/>
      <c r="X540" s="277"/>
      <c r="Y540" s="277"/>
      <c r="Z540" s="277"/>
    </row>
    <row r="541" ht="12.75" customHeight="1">
      <c r="A541" s="277"/>
      <c r="B541" s="278"/>
      <c r="C541" s="279"/>
      <c r="D541" s="277"/>
      <c r="E541" s="277"/>
      <c r="F541" s="277"/>
      <c r="G541" s="277"/>
      <c r="H541" s="277"/>
      <c r="I541" s="277"/>
      <c r="J541" s="277"/>
      <c r="K541" s="409"/>
      <c r="L541" s="477"/>
      <c r="M541" s="277"/>
      <c r="N541" s="277"/>
      <c r="O541" s="277"/>
      <c r="P541" s="277"/>
      <c r="Q541" s="277"/>
      <c r="R541" s="277"/>
      <c r="S541" s="277"/>
      <c r="T541" s="277"/>
      <c r="U541" s="277"/>
      <c r="V541" s="277"/>
      <c r="W541" s="277"/>
      <c r="X541" s="277"/>
      <c r="Y541" s="277"/>
      <c r="Z541" s="277"/>
    </row>
    <row r="542" ht="12.75" customHeight="1">
      <c r="A542" s="277"/>
      <c r="B542" s="278"/>
      <c r="C542" s="279"/>
      <c r="D542" s="277"/>
      <c r="E542" s="277"/>
      <c r="F542" s="277"/>
      <c r="G542" s="277"/>
      <c r="H542" s="277"/>
      <c r="I542" s="277"/>
      <c r="J542" s="277"/>
      <c r="K542" s="409"/>
      <c r="L542" s="477"/>
      <c r="M542" s="277"/>
      <c r="N542" s="277"/>
      <c r="O542" s="277"/>
      <c r="P542" s="277"/>
      <c r="Q542" s="277"/>
      <c r="R542" s="277"/>
      <c r="S542" s="277"/>
      <c r="T542" s="277"/>
      <c r="U542" s="277"/>
      <c r="V542" s="277"/>
      <c r="W542" s="277"/>
      <c r="X542" s="277"/>
      <c r="Y542" s="277"/>
      <c r="Z542" s="277"/>
    </row>
    <row r="543" ht="12.75" customHeight="1">
      <c r="A543" s="277"/>
      <c r="B543" s="278"/>
      <c r="C543" s="279"/>
      <c r="D543" s="277"/>
      <c r="E543" s="277"/>
      <c r="F543" s="277"/>
      <c r="G543" s="277"/>
      <c r="H543" s="277"/>
      <c r="I543" s="277"/>
      <c r="J543" s="277"/>
      <c r="K543" s="409"/>
      <c r="L543" s="477"/>
      <c r="M543" s="277"/>
      <c r="N543" s="277"/>
      <c r="O543" s="277"/>
      <c r="P543" s="277"/>
      <c r="Q543" s="277"/>
      <c r="R543" s="277"/>
      <c r="S543" s="277"/>
      <c r="T543" s="277"/>
      <c r="U543" s="277"/>
      <c r="V543" s="277"/>
      <c r="W543" s="277"/>
      <c r="X543" s="277"/>
      <c r="Y543" s="277"/>
      <c r="Z543" s="277"/>
    </row>
    <row r="544" ht="12.75" customHeight="1">
      <c r="A544" s="277"/>
      <c r="B544" s="278"/>
      <c r="C544" s="279"/>
      <c r="D544" s="277"/>
      <c r="E544" s="277"/>
      <c r="F544" s="277"/>
      <c r="G544" s="277"/>
      <c r="H544" s="277"/>
      <c r="I544" s="277"/>
      <c r="J544" s="277"/>
      <c r="K544" s="409"/>
      <c r="L544" s="477"/>
      <c r="M544" s="277"/>
      <c r="N544" s="277"/>
      <c r="O544" s="277"/>
      <c r="P544" s="277"/>
      <c r="Q544" s="277"/>
      <c r="R544" s="277"/>
      <c r="S544" s="277"/>
      <c r="T544" s="277"/>
      <c r="U544" s="277"/>
      <c r="V544" s="277"/>
      <c r="W544" s="277"/>
      <c r="X544" s="277"/>
      <c r="Y544" s="277"/>
      <c r="Z544" s="277"/>
    </row>
    <row r="545" ht="12.75" customHeight="1">
      <c r="A545" s="277"/>
      <c r="B545" s="278"/>
      <c r="C545" s="279"/>
      <c r="D545" s="277"/>
      <c r="E545" s="277"/>
      <c r="F545" s="277"/>
      <c r="G545" s="277"/>
      <c r="H545" s="277"/>
      <c r="I545" s="277"/>
      <c r="J545" s="277"/>
      <c r="K545" s="409"/>
      <c r="L545" s="477"/>
      <c r="M545" s="277"/>
      <c r="N545" s="277"/>
      <c r="O545" s="277"/>
      <c r="P545" s="277"/>
      <c r="Q545" s="277"/>
      <c r="R545" s="277"/>
      <c r="S545" s="277"/>
      <c r="T545" s="277"/>
      <c r="U545" s="277"/>
      <c r="V545" s="277"/>
      <c r="W545" s="277"/>
      <c r="X545" s="277"/>
      <c r="Y545" s="277"/>
      <c r="Z545" s="277"/>
    </row>
    <row r="546" ht="12.75" customHeight="1">
      <c r="A546" s="277"/>
      <c r="B546" s="278"/>
      <c r="C546" s="279"/>
      <c r="D546" s="277"/>
      <c r="E546" s="277"/>
      <c r="F546" s="277"/>
      <c r="G546" s="277"/>
      <c r="H546" s="277"/>
      <c r="I546" s="277"/>
      <c r="J546" s="277"/>
      <c r="K546" s="409"/>
      <c r="L546" s="477"/>
      <c r="M546" s="277"/>
      <c r="N546" s="277"/>
      <c r="O546" s="277"/>
      <c r="P546" s="277"/>
      <c r="Q546" s="277"/>
      <c r="R546" s="277"/>
      <c r="S546" s="277"/>
      <c r="T546" s="277"/>
      <c r="U546" s="277"/>
      <c r="V546" s="277"/>
      <c r="W546" s="277"/>
      <c r="X546" s="277"/>
      <c r="Y546" s="277"/>
      <c r="Z546" s="277"/>
    </row>
    <row r="547" ht="12.75" customHeight="1">
      <c r="A547" s="277"/>
      <c r="B547" s="278"/>
      <c r="C547" s="279"/>
      <c r="D547" s="277"/>
      <c r="E547" s="277"/>
      <c r="F547" s="277"/>
      <c r="G547" s="277"/>
      <c r="H547" s="277"/>
      <c r="I547" s="277"/>
      <c r="J547" s="277"/>
      <c r="K547" s="409"/>
      <c r="L547" s="477"/>
      <c r="M547" s="277"/>
      <c r="N547" s="277"/>
      <c r="O547" s="277"/>
      <c r="P547" s="277"/>
      <c r="Q547" s="277"/>
      <c r="R547" s="277"/>
      <c r="S547" s="277"/>
      <c r="T547" s="277"/>
      <c r="U547" s="277"/>
      <c r="V547" s="277"/>
      <c r="W547" s="277"/>
      <c r="X547" s="277"/>
      <c r="Y547" s="277"/>
      <c r="Z547" s="277"/>
    </row>
    <row r="548" ht="12.75" customHeight="1">
      <c r="A548" s="277"/>
      <c r="B548" s="278"/>
      <c r="C548" s="279"/>
      <c r="D548" s="277"/>
      <c r="E548" s="277"/>
      <c r="F548" s="277"/>
      <c r="G548" s="277"/>
      <c r="H548" s="277"/>
      <c r="I548" s="277"/>
      <c r="J548" s="277"/>
      <c r="K548" s="409"/>
      <c r="L548" s="477"/>
      <c r="M548" s="277"/>
      <c r="N548" s="277"/>
      <c r="O548" s="277"/>
      <c r="P548" s="277"/>
      <c r="Q548" s="277"/>
      <c r="R548" s="277"/>
      <c r="S548" s="277"/>
      <c r="T548" s="277"/>
      <c r="U548" s="277"/>
      <c r="V548" s="277"/>
      <c r="W548" s="277"/>
      <c r="X548" s="277"/>
      <c r="Y548" s="277"/>
      <c r="Z548" s="277"/>
    </row>
    <row r="549" ht="12.75" customHeight="1">
      <c r="A549" s="277"/>
      <c r="B549" s="278"/>
      <c r="C549" s="279"/>
      <c r="D549" s="277"/>
      <c r="E549" s="277"/>
      <c r="F549" s="277"/>
      <c r="G549" s="277"/>
      <c r="H549" s="277"/>
      <c r="I549" s="277"/>
      <c r="J549" s="277"/>
      <c r="K549" s="409"/>
      <c r="L549" s="477"/>
      <c r="M549" s="277"/>
      <c r="N549" s="277"/>
      <c r="O549" s="277"/>
      <c r="P549" s="277"/>
      <c r="Q549" s="277"/>
      <c r="R549" s="277"/>
      <c r="S549" s="277"/>
      <c r="T549" s="277"/>
      <c r="U549" s="277"/>
      <c r="V549" s="277"/>
      <c r="W549" s="277"/>
      <c r="X549" s="277"/>
      <c r="Y549" s="277"/>
      <c r="Z549" s="277"/>
    </row>
    <row r="550" ht="12.75" customHeight="1">
      <c r="A550" s="277"/>
      <c r="B550" s="278"/>
      <c r="C550" s="279"/>
      <c r="D550" s="277"/>
      <c r="E550" s="277"/>
      <c r="F550" s="277"/>
      <c r="G550" s="277"/>
      <c r="H550" s="277"/>
      <c r="I550" s="277"/>
      <c r="J550" s="277"/>
      <c r="K550" s="409"/>
      <c r="L550" s="477"/>
      <c r="M550" s="277"/>
      <c r="N550" s="277"/>
      <c r="O550" s="277"/>
      <c r="P550" s="277"/>
      <c r="Q550" s="277"/>
      <c r="R550" s="277"/>
      <c r="S550" s="277"/>
      <c r="T550" s="277"/>
      <c r="U550" s="277"/>
      <c r="V550" s="277"/>
      <c r="W550" s="277"/>
      <c r="X550" s="277"/>
      <c r="Y550" s="277"/>
      <c r="Z550" s="277"/>
    </row>
    <row r="551" ht="12.75" customHeight="1">
      <c r="A551" s="277"/>
      <c r="B551" s="278"/>
      <c r="C551" s="279"/>
      <c r="D551" s="277"/>
      <c r="E551" s="277"/>
      <c r="F551" s="277"/>
      <c r="G551" s="277"/>
      <c r="H551" s="277"/>
      <c r="I551" s="277"/>
      <c r="J551" s="277"/>
      <c r="K551" s="409"/>
      <c r="L551" s="477"/>
      <c r="M551" s="277"/>
      <c r="N551" s="277"/>
      <c r="O551" s="277"/>
      <c r="P551" s="277"/>
      <c r="Q551" s="277"/>
      <c r="R551" s="277"/>
      <c r="S551" s="277"/>
      <c r="T551" s="277"/>
      <c r="U551" s="277"/>
      <c r="V551" s="277"/>
      <c r="W551" s="277"/>
      <c r="X551" s="277"/>
      <c r="Y551" s="277"/>
      <c r="Z551" s="277"/>
    </row>
    <row r="552" ht="12.75" customHeight="1">
      <c r="A552" s="277"/>
      <c r="B552" s="278"/>
      <c r="C552" s="279"/>
      <c r="D552" s="277"/>
      <c r="E552" s="277"/>
      <c r="F552" s="277"/>
      <c r="G552" s="277"/>
      <c r="H552" s="277"/>
      <c r="I552" s="277"/>
      <c r="J552" s="277"/>
      <c r="K552" s="409"/>
      <c r="L552" s="477"/>
      <c r="M552" s="277"/>
      <c r="N552" s="277"/>
      <c r="O552" s="277"/>
      <c r="P552" s="277"/>
      <c r="Q552" s="277"/>
      <c r="R552" s="277"/>
      <c r="S552" s="277"/>
      <c r="T552" s="277"/>
      <c r="U552" s="277"/>
      <c r="V552" s="277"/>
      <c r="W552" s="277"/>
      <c r="X552" s="277"/>
      <c r="Y552" s="277"/>
      <c r="Z552" s="277"/>
    </row>
    <row r="553" ht="12.75" customHeight="1">
      <c r="A553" s="277"/>
      <c r="B553" s="278"/>
      <c r="C553" s="279"/>
      <c r="D553" s="277"/>
      <c r="E553" s="277"/>
      <c r="F553" s="277"/>
      <c r="G553" s="277"/>
      <c r="H553" s="277"/>
      <c r="I553" s="277"/>
      <c r="J553" s="277"/>
      <c r="K553" s="409"/>
      <c r="L553" s="477"/>
      <c r="M553" s="277"/>
      <c r="N553" s="277"/>
      <c r="O553" s="277"/>
      <c r="P553" s="277"/>
      <c r="Q553" s="277"/>
      <c r="R553" s="277"/>
      <c r="S553" s="277"/>
      <c r="T553" s="277"/>
      <c r="U553" s="277"/>
      <c r="V553" s="277"/>
      <c r="W553" s="277"/>
      <c r="X553" s="277"/>
      <c r="Y553" s="277"/>
      <c r="Z553" s="277"/>
    </row>
    <row r="554" ht="12.75" customHeight="1">
      <c r="A554" s="277"/>
      <c r="B554" s="278"/>
      <c r="C554" s="279"/>
      <c r="D554" s="277"/>
      <c r="E554" s="277"/>
      <c r="F554" s="277"/>
      <c r="G554" s="277"/>
      <c r="H554" s="277"/>
      <c r="I554" s="277"/>
      <c r="J554" s="277"/>
      <c r="K554" s="409"/>
      <c r="L554" s="477"/>
      <c r="M554" s="277"/>
      <c r="N554" s="277"/>
      <c r="O554" s="277"/>
      <c r="P554" s="277"/>
      <c r="Q554" s="277"/>
      <c r="R554" s="277"/>
      <c r="S554" s="277"/>
      <c r="T554" s="277"/>
      <c r="U554" s="277"/>
      <c r="V554" s="277"/>
      <c r="W554" s="277"/>
      <c r="X554" s="277"/>
      <c r="Y554" s="277"/>
      <c r="Z554" s="277"/>
    </row>
    <row r="555" ht="12.75" customHeight="1">
      <c r="A555" s="277"/>
      <c r="B555" s="278"/>
      <c r="C555" s="279"/>
      <c r="D555" s="277"/>
      <c r="E555" s="277"/>
      <c r="F555" s="277"/>
      <c r="G555" s="277"/>
      <c r="H555" s="277"/>
      <c r="I555" s="277"/>
      <c r="J555" s="277"/>
      <c r="K555" s="409"/>
      <c r="L555" s="477"/>
      <c r="M555" s="277"/>
      <c r="N555" s="277"/>
      <c r="O555" s="277"/>
      <c r="P555" s="277"/>
      <c r="Q555" s="277"/>
      <c r="R555" s="277"/>
      <c r="S555" s="277"/>
      <c r="T555" s="277"/>
      <c r="U555" s="277"/>
      <c r="V555" s="277"/>
      <c r="W555" s="277"/>
      <c r="X555" s="277"/>
      <c r="Y555" s="277"/>
      <c r="Z555" s="277"/>
    </row>
    <row r="556" ht="12.75" customHeight="1">
      <c r="A556" s="277"/>
      <c r="B556" s="278"/>
      <c r="C556" s="279"/>
      <c r="D556" s="277"/>
      <c r="E556" s="277"/>
      <c r="F556" s="277"/>
      <c r="G556" s="277"/>
      <c r="H556" s="277"/>
      <c r="I556" s="277"/>
      <c r="J556" s="277"/>
      <c r="K556" s="409"/>
      <c r="L556" s="477"/>
      <c r="M556" s="277"/>
      <c r="N556" s="277"/>
      <c r="O556" s="277"/>
      <c r="P556" s="277"/>
      <c r="Q556" s="277"/>
      <c r="R556" s="277"/>
      <c r="S556" s="277"/>
      <c r="T556" s="277"/>
      <c r="U556" s="277"/>
      <c r="V556" s="277"/>
      <c r="W556" s="277"/>
      <c r="X556" s="277"/>
      <c r="Y556" s="277"/>
      <c r="Z556" s="277"/>
    </row>
    <row r="557" ht="12.75" customHeight="1">
      <c r="A557" s="277"/>
      <c r="B557" s="278"/>
      <c r="C557" s="279"/>
      <c r="D557" s="277"/>
      <c r="E557" s="277"/>
      <c r="F557" s="277"/>
      <c r="G557" s="277"/>
      <c r="H557" s="277"/>
      <c r="I557" s="277"/>
      <c r="J557" s="277"/>
      <c r="K557" s="409"/>
      <c r="L557" s="477"/>
      <c r="M557" s="277"/>
      <c r="N557" s="277"/>
      <c r="O557" s="277"/>
      <c r="P557" s="277"/>
      <c r="Q557" s="277"/>
      <c r="R557" s="277"/>
      <c r="S557" s="277"/>
      <c r="T557" s="277"/>
      <c r="U557" s="277"/>
      <c r="V557" s="277"/>
      <c r="W557" s="277"/>
      <c r="X557" s="277"/>
      <c r="Y557" s="277"/>
      <c r="Z557" s="277"/>
    </row>
    <row r="558" ht="12.75" customHeight="1">
      <c r="A558" s="277"/>
      <c r="B558" s="278"/>
      <c r="C558" s="279"/>
      <c r="D558" s="277"/>
      <c r="E558" s="277"/>
      <c r="F558" s="277"/>
      <c r="G558" s="277"/>
      <c r="H558" s="277"/>
      <c r="I558" s="277"/>
      <c r="J558" s="277"/>
      <c r="K558" s="409"/>
      <c r="L558" s="477"/>
      <c r="M558" s="277"/>
      <c r="N558" s="277"/>
      <c r="O558" s="277"/>
      <c r="P558" s="277"/>
      <c r="Q558" s="277"/>
      <c r="R558" s="277"/>
      <c r="S558" s="277"/>
      <c r="T558" s="277"/>
      <c r="U558" s="277"/>
      <c r="V558" s="277"/>
      <c r="W558" s="277"/>
      <c r="X558" s="277"/>
      <c r="Y558" s="277"/>
      <c r="Z558" s="277"/>
    </row>
    <row r="559" ht="12.75" customHeight="1">
      <c r="A559" s="277"/>
      <c r="B559" s="278"/>
      <c r="C559" s="279"/>
      <c r="D559" s="277"/>
      <c r="E559" s="277"/>
      <c r="F559" s="277"/>
      <c r="G559" s="277"/>
      <c r="H559" s="277"/>
      <c r="I559" s="277"/>
      <c r="J559" s="277"/>
      <c r="K559" s="409"/>
      <c r="L559" s="477"/>
      <c r="M559" s="277"/>
      <c r="N559" s="277"/>
      <c r="O559" s="277"/>
      <c r="P559" s="277"/>
      <c r="Q559" s="277"/>
      <c r="R559" s="277"/>
      <c r="S559" s="277"/>
      <c r="T559" s="277"/>
      <c r="U559" s="277"/>
      <c r="V559" s="277"/>
      <c r="W559" s="277"/>
      <c r="X559" s="277"/>
      <c r="Y559" s="277"/>
      <c r="Z559" s="277"/>
    </row>
    <row r="560" ht="12.75" customHeight="1">
      <c r="A560" s="277"/>
      <c r="B560" s="278"/>
      <c r="C560" s="279"/>
      <c r="D560" s="277"/>
      <c r="E560" s="277"/>
      <c r="F560" s="277"/>
      <c r="G560" s="277"/>
      <c r="H560" s="277"/>
      <c r="I560" s="277"/>
      <c r="J560" s="277"/>
      <c r="K560" s="409"/>
      <c r="L560" s="477"/>
      <c r="M560" s="277"/>
      <c r="N560" s="277"/>
      <c r="O560" s="277"/>
      <c r="P560" s="277"/>
      <c r="Q560" s="277"/>
      <c r="R560" s="277"/>
      <c r="S560" s="277"/>
      <c r="T560" s="277"/>
      <c r="U560" s="277"/>
      <c r="V560" s="277"/>
      <c r="W560" s="277"/>
      <c r="X560" s="277"/>
      <c r="Y560" s="277"/>
      <c r="Z560" s="277"/>
    </row>
    <row r="561" ht="12.75" customHeight="1">
      <c r="A561" s="277"/>
      <c r="B561" s="278"/>
      <c r="C561" s="279"/>
      <c r="D561" s="277"/>
      <c r="E561" s="277"/>
      <c r="F561" s="277"/>
      <c r="G561" s="277"/>
      <c r="H561" s="277"/>
      <c r="I561" s="277"/>
      <c r="J561" s="277"/>
      <c r="K561" s="409"/>
      <c r="L561" s="477"/>
      <c r="M561" s="277"/>
      <c r="N561" s="277"/>
      <c r="O561" s="277"/>
      <c r="P561" s="277"/>
      <c r="Q561" s="277"/>
      <c r="R561" s="277"/>
      <c r="S561" s="277"/>
      <c r="T561" s="277"/>
      <c r="U561" s="277"/>
      <c r="V561" s="277"/>
      <c r="W561" s="277"/>
      <c r="X561" s="277"/>
      <c r="Y561" s="277"/>
      <c r="Z561" s="277"/>
    </row>
    <row r="562" ht="12.75" customHeight="1">
      <c r="A562" s="277"/>
      <c r="B562" s="278"/>
      <c r="C562" s="279"/>
      <c r="D562" s="277"/>
      <c r="E562" s="277"/>
      <c r="F562" s="277"/>
      <c r="G562" s="277"/>
      <c r="H562" s="277"/>
      <c r="I562" s="277"/>
      <c r="J562" s="277"/>
      <c r="K562" s="409"/>
      <c r="L562" s="477"/>
      <c r="M562" s="277"/>
      <c r="N562" s="277"/>
      <c r="O562" s="277"/>
      <c r="P562" s="277"/>
      <c r="Q562" s="277"/>
      <c r="R562" s="277"/>
      <c r="S562" s="277"/>
      <c r="T562" s="277"/>
      <c r="U562" s="277"/>
      <c r="V562" s="277"/>
      <c r="W562" s="277"/>
      <c r="X562" s="277"/>
      <c r="Y562" s="277"/>
      <c r="Z562" s="277"/>
    </row>
    <row r="563" ht="12.75" customHeight="1">
      <c r="A563" s="277"/>
      <c r="B563" s="278"/>
      <c r="C563" s="279"/>
      <c r="D563" s="277"/>
      <c r="E563" s="277"/>
      <c r="F563" s="277"/>
      <c r="G563" s="277"/>
      <c r="H563" s="277"/>
      <c r="I563" s="277"/>
      <c r="J563" s="277"/>
      <c r="K563" s="409"/>
      <c r="L563" s="477"/>
      <c r="M563" s="277"/>
      <c r="N563" s="277"/>
      <c r="O563" s="277"/>
      <c r="P563" s="277"/>
      <c r="Q563" s="277"/>
      <c r="R563" s="277"/>
      <c r="S563" s="277"/>
      <c r="T563" s="277"/>
      <c r="U563" s="277"/>
      <c r="V563" s="277"/>
      <c r="W563" s="277"/>
      <c r="X563" s="277"/>
      <c r="Y563" s="277"/>
      <c r="Z563" s="277"/>
    </row>
    <row r="564" ht="12.75" customHeight="1">
      <c r="A564" s="277"/>
      <c r="B564" s="278"/>
      <c r="C564" s="279"/>
      <c r="D564" s="277"/>
      <c r="E564" s="277"/>
      <c r="F564" s="277"/>
      <c r="G564" s="277"/>
      <c r="H564" s="277"/>
      <c r="I564" s="277"/>
      <c r="J564" s="277"/>
      <c r="K564" s="409"/>
      <c r="L564" s="477"/>
      <c r="M564" s="277"/>
      <c r="N564" s="277"/>
      <c r="O564" s="277"/>
      <c r="P564" s="277"/>
      <c r="Q564" s="277"/>
      <c r="R564" s="277"/>
      <c r="S564" s="277"/>
      <c r="T564" s="277"/>
      <c r="U564" s="277"/>
      <c r="V564" s="277"/>
      <c r="W564" s="277"/>
      <c r="X564" s="277"/>
      <c r="Y564" s="277"/>
      <c r="Z564" s="277"/>
    </row>
    <row r="565" ht="12.75" customHeight="1">
      <c r="A565" s="277"/>
      <c r="B565" s="278"/>
      <c r="C565" s="279"/>
      <c r="D565" s="277"/>
      <c r="E565" s="277"/>
      <c r="F565" s="277"/>
      <c r="G565" s="277"/>
      <c r="H565" s="277"/>
      <c r="I565" s="277"/>
      <c r="J565" s="277"/>
      <c r="K565" s="409"/>
      <c r="L565" s="477"/>
      <c r="M565" s="277"/>
      <c r="N565" s="277"/>
      <c r="O565" s="277"/>
      <c r="P565" s="277"/>
      <c r="Q565" s="277"/>
      <c r="R565" s="277"/>
      <c r="S565" s="277"/>
      <c r="T565" s="277"/>
      <c r="U565" s="277"/>
      <c r="V565" s="277"/>
      <c r="W565" s="277"/>
      <c r="X565" s="277"/>
      <c r="Y565" s="277"/>
      <c r="Z565" s="277"/>
    </row>
    <row r="566" ht="12.75" customHeight="1">
      <c r="A566" s="277"/>
      <c r="B566" s="278"/>
      <c r="C566" s="279"/>
      <c r="D566" s="277"/>
      <c r="E566" s="277"/>
      <c r="F566" s="277"/>
      <c r="G566" s="277"/>
      <c r="H566" s="277"/>
      <c r="I566" s="277"/>
      <c r="J566" s="277"/>
      <c r="K566" s="409"/>
      <c r="L566" s="477"/>
      <c r="M566" s="277"/>
      <c r="N566" s="277"/>
      <c r="O566" s="277"/>
      <c r="P566" s="277"/>
      <c r="Q566" s="277"/>
      <c r="R566" s="277"/>
      <c r="S566" s="277"/>
      <c r="T566" s="277"/>
      <c r="U566" s="277"/>
      <c r="V566" s="277"/>
      <c r="W566" s="277"/>
      <c r="X566" s="277"/>
      <c r="Y566" s="277"/>
      <c r="Z566" s="277"/>
    </row>
    <row r="567" ht="12.75" customHeight="1">
      <c r="A567" s="277"/>
      <c r="B567" s="278"/>
      <c r="C567" s="279"/>
      <c r="D567" s="277"/>
      <c r="E567" s="277"/>
      <c r="F567" s="277"/>
      <c r="G567" s="277"/>
      <c r="H567" s="277"/>
      <c r="I567" s="277"/>
      <c r="J567" s="277"/>
      <c r="K567" s="409"/>
      <c r="L567" s="477"/>
      <c r="M567" s="277"/>
      <c r="N567" s="277"/>
      <c r="O567" s="277"/>
      <c r="P567" s="277"/>
      <c r="Q567" s="277"/>
      <c r="R567" s="277"/>
      <c r="S567" s="277"/>
      <c r="T567" s="277"/>
      <c r="U567" s="277"/>
      <c r="V567" s="277"/>
      <c r="W567" s="277"/>
      <c r="X567" s="277"/>
      <c r="Y567" s="277"/>
      <c r="Z567" s="277"/>
    </row>
    <row r="568" ht="12.75" customHeight="1">
      <c r="A568" s="277"/>
      <c r="B568" s="278"/>
      <c r="C568" s="279"/>
      <c r="D568" s="277"/>
      <c r="E568" s="277"/>
      <c r="F568" s="277"/>
      <c r="G568" s="277"/>
      <c r="H568" s="277"/>
      <c r="I568" s="277"/>
      <c r="J568" s="277"/>
      <c r="K568" s="409"/>
      <c r="L568" s="477"/>
      <c r="M568" s="277"/>
      <c r="N568" s="277"/>
      <c r="O568" s="277"/>
      <c r="P568" s="277"/>
      <c r="Q568" s="277"/>
      <c r="R568" s="277"/>
      <c r="S568" s="277"/>
      <c r="T568" s="277"/>
      <c r="U568" s="277"/>
      <c r="V568" s="277"/>
      <c r="W568" s="277"/>
      <c r="X568" s="277"/>
      <c r="Y568" s="277"/>
      <c r="Z568" s="277"/>
    </row>
    <row r="569" ht="12.75" customHeight="1">
      <c r="A569" s="277"/>
      <c r="B569" s="278"/>
      <c r="C569" s="279"/>
      <c r="D569" s="277"/>
      <c r="E569" s="277"/>
      <c r="F569" s="277"/>
      <c r="G569" s="277"/>
      <c r="H569" s="277"/>
      <c r="I569" s="277"/>
      <c r="J569" s="277"/>
      <c r="K569" s="409"/>
      <c r="L569" s="477"/>
      <c r="M569" s="277"/>
      <c r="N569" s="277"/>
      <c r="O569" s="277"/>
      <c r="P569" s="277"/>
      <c r="Q569" s="277"/>
      <c r="R569" s="277"/>
      <c r="S569" s="277"/>
      <c r="T569" s="277"/>
      <c r="U569" s="277"/>
      <c r="V569" s="277"/>
      <c r="W569" s="277"/>
      <c r="X569" s="277"/>
      <c r="Y569" s="277"/>
      <c r="Z569" s="277"/>
    </row>
    <row r="570" ht="12.75" customHeight="1">
      <c r="A570" s="277"/>
      <c r="B570" s="278"/>
      <c r="C570" s="279"/>
      <c r="D570" s="277"/>
      <c r="E570" s="277"/>
      <c r="F570" s="277"/>
      <c r="G570" s="277"/>
      <c r="H570" s="277"/>
      <c r="I570" s="277"/>
      <c r="J570" s="277"/>
      <c r="K570" s="409"/>
      <c r="L570" s="477"/>
      <c r="M570" s="277"/>
      <c r="N570" s="277"/>
      <c r="O570" s="277"/>
      <c r="P570" s="277"/>
      <c r="Q570" s="277"/>
      <c r="R570" s="277"/>
      <c r="S570" s="277"/>
      <c r="T570" s="277"/>
      <c r="U570" s="277"/>
      <c r="V570" s="277"/>
      <c r="W570" s="277"/>
      <c r="X570" s="277"/>
      <c r="Y570" s="277"/>
      <c r="Z570" s="277"/>
    </row>
    <row r="571" ht="12.75" customHeight="1">
      <c r="A571" s="277"/>
      <c r="B571" s="278"/>
      <c r="C571" s="279"/>
      <c r="D571" s="277"/>
      <c r="E571" s="277"/>
      <c r="F571" s="277"/>
      <c r="G571" s="277"/>
      <c r="H571" s="277"/>
      <c r="I571" s="277"/>
      <c r="J571" s="277"/>
      <c r="K571" s="409"/>
      <c r="L571" s="477"/>
      <c r="M571" s="277"/>
      <c r="N571" s="277"/>
      <c r="O571" s="277"/>
      <c r="P571" s="277"/>
      <c r="Q571" s="277"/>
      <c r="R571" s="277"/>
      <c r="S571" s="277"/>
      <c r="T571" s="277"/>
      <c r="U571" s="277"/>
      <c r="V571" s="277"/>
      <c r="W571" s="277"/>
      <c r="X571" s="277"/>
      <c r="Y571" s="277"/>
      <c r="Z571" s="277"/>
    </row>
    <row r="572" ht="12.75" customHeight="1">
      <c r="A572" s="277"/>
      <c r="B572" s="278"/>
      <c r="C572" s="279"/>
      <c r="D572" s="277"/>
      <c r="E572" s="277"/>
      <c r="F572" s="277"/>
      <c r="G572" s="277"/>
      <c r="H572" s="277"/>
      <c r="I572" s="277"/>
      <c r="J572" s="277"/>
      <c r="K572" s="409"/>
      <c r="L572" s="477"/>
      <c r="M572" s="277"/>
      <c r="N572" s="277"/>
      <c r="O572" s="277"/>
      <c r="P572" s="277"/>
      <c r="Q572" s="277"/>
      <c r="R572" s="277"/>
      <c r="S572" s="277"/>
      <c r="T572" s="277"/>
      <c r="U572" s="277"/>
      <c r="V572" s="277"/>
      <c r="W572" s="277"/>
      <c r="X572" s="277"/>
      <c r="Y572" s="277"/>
      <c r="Z572" s="277"/>
    </row>
    <row r="573" ht="12.75" customHeight="1">
      <c r="A573" s="277"/>
      <c r="B573" s="278"/>
      <c r="C573" s="279"/>
      <c r="D573" s="277"/>
      <c r="E573" s="277"/>
      <c r="F573" s="277"/>
      <c r="G573" s="277"/>
      <c r="H573" s="277"/>
      <c r="I573" s="277"/>
      <c r="J573" s="277"/>
      <c r="K573" s="409"/>
      <c r="L573" s="477"/>
      <c r="M573" s="277"/>
      <c r="N573" s="277"/>
      <c r="O573" s="277"/>
      <c r="P573" s="277"/>
      <c r="Q573" s="277"/>
      <c r="R573" s="277"/>
      <c r="S573" s="277"/>
      <c r="T573" s="277"/>
      <c r="U573" s="277"/>
      <c r="V573" s="277"/>
      <c r="W573" s="277"/>
      <c r="X573" s="277"/>
      <c r="Y573" s="277"/>
      <c r="Z573" s="277"/>
    </row>
    <row r="574" ht="12.75" customHeight="1">
      <c r="A574" s="277"/>
      <c r="B574" s="278"/>
      <c r="C574" s="279"/>
      <c r="D574" s="277"/>
      <c r="E574" s="277"/>
      <c r="F574" s="277"/>
      <c r="G574" s="277"/>
      <c r="H574" s="277"/>
      <c r="I574" s="277"/>
      <c r="J574" s="277"/>
      <c r="K574" s="409"/>
      <c r="L574" s="477"/>
      <c r="M574" s="277"/>
      <c r="N574" s="277"/>
      <c r="O574" s="277"/>
      <c r="P574" s="277"/>
      <c r="Q574" s="277"/>
      <c r="R574" s="277"/>
      <c r="S574" s="277"/>
      <c r="T574" s="277"/>
      <c r="U574" s="277"/>
      <c r="V574" s="277"/>
      <c r="W574" s="277"/>
      <c r="X574" s="277"/>
      <c r="Y574" s="277"/>
      <c r="Z574" s="277"/>
    </row>
    <row r="575" ht="12.75" customHeight="1">
      <c r="A575" s="277"/>
      <c r="B575" s="278"/>
      <c r="C575" s="279"/>
      <c r="D575" s="277"/>
      <c r="E575" s="277"/>
      <c r="F575" s="277"/>
      <c r="G575" s="277"/>
      <c r="H575" s="277"/>
      <c r="I575" s="277"/>
      <c r="J575" s="277"/>
      <c r="K575" s="409"/>
      <c r="L575" s="477"/>
      <c r="M575" s="277"/>
      <c r="N575" s="277"/>
      <c r="O575" s="277"/>
      <c r="P575" s="277"/>
      <c r="Q575" s="277"/>
      <c r="R575" s="277"/>
      <c r="S575" s="277"/>
      <c r="T575" s="277"/>
      <c r="U575" s="277"/>
      <c r="V575" s="277"/>
      <c r="W575" s="277"/>
      <c r="X575" s="277"/>
      <c r="Y575" s="277"/>
      <c r="Z575" s="277"/>
    </row>
    <row r="576" ht="12.75" customHeight="1">
      <c r="A576" s="277"/>
      <c r="B576" s="278"/>
      <c r="C576" s="279"/>
      <c r="D576" s="277"/>
      <c r="E576" s="277"/>
      <c r="F576" s="277"/>
      <c r="G576" s="277"/>
      <c r="H576" s="277"/>
      <c r="I576" s="277"/>
      <c r="J576" s="277"/>
      <c r="K576" s="409"/>
      <c r="L576" s="477"/>
      <c r="M576" s="277"/>
      <c r="N576" s="277"/>
      <c r="O576" s="277"/>
      <c r="P576" s="277"/>
      <c r="Q576" s="277"/>
      <c r="R576" s="277"/>
      <c r="S576" s="277"/>
      <c r="T576" s="277"/>
      <c r="U576" s="277"/>
      <c r="V576" s="277"/>
      <c r="W576" s="277"/>
      <c r="X576" s="277"/>
      <c r="Y576" s="277"/>
      <c r="Z576" s="277"/>
    </row>
    <row r="577" ht="12.75" customHeight="1">
      <c r="A577" s="277"/>
      <c r="B577" s="278"/>
      <c r="C577" s="279"/>
      <c r="D577" s="277"/>
      <c r="E577" s="277"/>
      <c r="F577" s="277"/>
      <c r="G577" s="277"/>
      <c r="H577" s="277"/>
      <c r="I577" s="277"/>
      <c r="J577" s="277"/>
      <c r="K577" s="409"/>
      <c r="L577" s="477"/>
      <c r="M577" s="277"/>
      <c r="N577" s="277"/>
      <c r="O577" s="277"/>
      <c r="P577" s="277"/>
      <c r="Q577" s="277"/>
      <c r="R577" s="277"/>
      <c r="S577" s="277"/>
      <c r="T577" s="277"/>
      <c r="U577" s="277"/>
      <c r="V577" s="277"/>
      <c r="W577" s="277"/>
      <c r="X577" s="277"/>
      <c r="Y577" s="277"/>
      <c r="Z577" s="277"/>
    </row>
    <row r="578" ht="12.75" customHeight="1">
      <c r="A578" s="277"/>
      <c r="B578" s="278"/>
      <c r="C578" s="279"/>
      <c r="D578" s="277"/>
      <c r="E578" s="277"/>
      <c r="F578" s="277"/>
      <c r="G578" s="277"/>
      <c r="H578" s="277"/>
      <c r="I578" s="277"/>
      <c r="J578" s="277"/>
      <c r="K578" s="409"/>
      <c r="L578" s="477"/>
      <c r="M578" s="277"/>
      <c r="N578" s="277"/>
      <c r="O578" s="277"/>
      <c r="P578" s="277"/>
      <c r="Q578" s="277"/>
      <c r="R578" s="277"/>
      <c r="S578" s="277"/>
      <c r="T578" s="277"/>
      <c r="U578" s="277"/>
      <c r="V578" s="277"/>
      <c r="W578" s="277"/>
      <c r="X578" s="277"/>
      <c r="Y578" s="277"/>
      <c r="Z578" s="277"/>
    </row>
    <row r="579" ht="12.75" customHeight="1">
      <c r="A579" s="277"/>
      <c r="B579" s="278"/>
      <c r="C579" s="279"/>
      <c r="D579" s="277"/>
      <c r="E579" s="277"/>
      <c r="F579" s="277"/>
      <c r="G579" s="277"/>
      <c r="H579" s="277"/>
      <c r="I579" s="277"/>
      <c r="J579" s="277"/>
      <c r="K579" s="409"/>
      <c r="L579" s="477"/>
      <c r="M579" s="277"/>
      <c r="N579" s="277"/>
      <c r="O579" s="277"/>
      <c r="P579" s="277"/>
      <c r="Q579" s="277"/>
      <c r="R579" s="277"/>
      <c r="S579" s="277"/>
      <c r="T579" s="277"/>
      <c r="U579" s="277"/>
      <c r="V579" s="277"/>
      <c r="W579" s="277"/>
      <c r="X579" s="277"/>
      <c r="Y579" s="277"/>
      <c r="Z579" s="277"/>
    </row>
    <row r="580" ht="12.75" customHeight="1">
      <c r="A580" s="277"/>
      <c r="B580" s="278"/>
      <c r="C580" s="279"/>
      <c r="D580" s="277"/>
      <c r="E580" s="277"/>
      <c r="F580" s="277"/>
      <c r="G580" s="277"/>
      <c r="H580" s="277"/>
      <c r="I580" s="277"/>
      <c r="J580" s="277"/>
      <c r="K580" s="409"/>
      <c r="L580" s="477"/>
      <c r="M580" s="277"/>
      <c r="N580" s="277"/>
      <c r="O580" s="277"/>
      <c r="P580" s="277"/>
      <c r="Q580" s="277"/>
      <c r="R580" s="277"/>
      <c r="S580" s="277"/>
      <c r="T580" s="277"/>
      <c r="U580" s="277"/>
      <c r="V580" s="277"/>
      <c r="W580" s="277"/>
      <c r="X580" s="277"/>
      <c r="Y580" s="277"/>
      <c r="Z580" s="277"/>
    </row>
    <row r="581" ht="12.75" customHeight="1">
      <c r="A581" s="277"/>
      <c r="B581" s="278"/>
      <c r="C581" s="279"/>
      <c r="D581" s="277"/>
      <c r="E581" s="277"/>
      <c r="F581" s="277"/>
      <c r="G581" s="277"/>
      <c r="H581" s="277"/>
      <c r="I581" s="277"/>
      <c r="J581" s="277"/>
      <c r="K581" s="409"/>
      <c r="L581" s="477"/>
      <c r="M581" s="277"/>
      <c r="N581" s="277"/>
      <c r="O581" s="277"/>
      <c r="P581" s="277"/>
      <c r="Q581" s="277"/>
      <c r="R581" s="277"/>
      <c r="S581" s="277"/>
      <c r="T581" s="277"/>
      <c r="U581" s="277"/>
      <c r="V581" s="277"/>
      <c r="W581" s="277"/>
      <c r="X581" s="277"/>
      <c r="Y581" s="277"/>
      <c r="Z581" s="277"/>
    </row>
    <row r="582" ht="12.75" customHeight="1">
      <c r="A582" s="277"/>
      <c r="B582" s="278"/>
      <c r="C582" s="279"/>
      <c r="D582" s="277"/>
      <c r="E582" s="277"/>
      <c r="F582" s="277"/>
      <c r="G582" s="277"/>
      <c r="H582" s="277"/>
      <c r="I582" s="277"/>
      <c r="J582" s="277"/>
      <c r="K582" s="409"/>
      <c r="L582" s="477"/>
      <c r="M582" s="277"/>
      <c r="N582" s="277"/>
      <c r="O582" s="277"/>
      <c r="P582" s="277"/>
      <c r="Q582" s="277"/>
      <c r="R582" s="277"/>
      <c r="S582" s="277"/>
      <c r="T582" s="277"/>
      <c r="U582" s="277"/>
      <c r="V582" s="277"/>
      <c r="W582" s="277"/>
      <c r="X582" s="277"/>
      <c r="Y582" s="277"/>
      <c r="Z582" s="277"/>
    </row>
    <row r="583" ht="12.75" customHeight="1">
      <c r="A583" s="277"/>
      <c r="B583" s="278"/>
      <c r="C583" s="279"/>
      <c r="D583" s="277"/>
      <c r="E583" s="277"/>
      <c r="F583" s="277"/>
      <c r="G583" s="277"/>
      <c r="H583" s="277"/>
      <c r="I583" s="277"/>
      <c r="J583" s="277"/>
      <c r="K583" s="409"/>
      <c r="L583" s="477"/>
      <c r="M583" s="277"/>
      <c r="N583" s="277"/>
      <c r="O583" s="277"/>
      <c r="P583" s="277"/>
      <c r="Q583" s="277"/>
      <c r="R583" s="277"/>
      <c r="S583" s="277"/>
      <c r="T583" s="277"/>
      <c r="U583" s="277"/>
      <c r="V583" s="277"/>
      <c r="W583" s="277"/>
      <c r="X583" s="277"/>
      <c r="Y583" s="277"/>
      <c r="Z583" s="277"/>
    </row>
    <row r="584" ht="12.75" customHeight="1">
      <c r="A584" s="277"/>
      <c r="B584" s="278"/>
      <c r="C584" s="279"/>
      <c r="D584" s="277"/>
      <c r="E584" s="277"/>
      <c r="F584" s="277"/>
      <c r="G584" s="277"/>
      <c r="H584" s="277"/>
      <c r="I584" s="277"/>
      <c r="J584" s="277"/>
      <c r="K584" s="409"/>
      <c r="L584" s="477"/>
      <c r="M584" s="277"/>
      <c r="N584" s="277"/>
      <c r="O584" s="277"/>
      <c r="P584" s="277"/>
      <c r="Q584" s="277"/>
      <c r="R584" s="277"/>
      <c r="S584" s="277"/>
      <c r="T584" s="277"/>
      <c r="U584" s="277"/>
      <c r="V584" s="277"/>
      <c r="W584" s="277"/>
      <c r="X584" s="277"/>
      <c r="Y584" s="277"/>
      <c r="Z584" s="277"/>
    </row>
    <row r="585" ht="12.75" customHeight="1">
      <c r="A585" s="277"/>
      <c r="B585" s="278"/>
      <c r="C585" s="279"/>
      <c r="D585" s="277"/>
      <c r="E585" s="277"/>
      <c r="F585" s="277"/>
      <c r="G585" s="277"/>
      <c r="H585" s="277"/>
      <c r="I585" s="277"/>
      <c r="J585" s="277"/>
      <c r="K585" s="409"/>
      <c r="L585" s="477"/>
      <c r="M585" s="277"/>
      <c r="N585" s="277"/>
      <c r="O585" s="277"/>
      <c r="P585" s="277"/>
      <c r="Q585" s="277"/>
      <c r="R585" s="277"/>
      <c r="S585" s="277"/>
      <c r="T585" s="277"/>
      <c r="U585" s="277"/>
      <c r="V585" s="277"/>
      <c r="W585" s="277"/>
      <c r="X585" s="277"/>
      <c r="Y585" s="277"/>
      <c r="Z585" s="277"/>
    </row>
    <row r="586" ht="12.75" customHeight="1">
      <c r="A586" s="277"/>
      <c r="B586" s="278"/>
      <c r="C586" s="279"/>
      <c r="D586" s="277"/>
      <c r="E586" s="277"/>
      <c r="F586" s="277"/>
      <c r="G586" s="277"/>
      <c r="H586" s="277"/>
      <c r="I586" s="277"/>
      <c r="J586" s="277"/>
      <c r="K586" s="409"/>
      <c r="L586" s="477"/>
      <c r="M586" s="277"/>
      <c r="N586" s="277"/>
      <c r="O586" s="277"/>
      <c r="P586" s="277"/>
      <c r="Q586" s="277"/>
      <c r="R586" s="277"/>
      <c r="S586" s="277"/>
      <c r="T586" s="277"/>
      <c r="U586" s="277"/>
      <c r="V586" s="277"/>
      <c r="W586" s="277"/>
      <c r="X586" s="277"/>
      <c r="Y586" s="277"/>
      <c r="Z586" s="277"/>
    </row>
    <row r="587" ht="12.75" customHeight="1">
      <c r="A587" s="277"/>
      <c r="B587" s="278"/>
      <c r="C587" s="279"/>
      <c r="D587" s="277"/>
      <c r="E587" s="277"/>
      <c r="F587" s="277"/>
      <c r="G587" s="277"/>
      <c r="H587" s="277"/>
      <c r="I587" s="277"/>
      <c r="J587" s="277"/>
      <c r="K587" s="409"/>
      <c r="L587" s="477"/>
      <c r="M587" s="277"/>
      <c r="N587" s="277"/>
      <c r="O587" s="277"/>
      <c r="P587" s="277"/>
      <c r="Q587" s="277"/>
      <c r="R587" s="277"/>
      <c r="S587" s="277"/>
      <c r="T587" s="277"/>
      <c r="U587" s="277"/>
      <c r="V587" s="277"/>
      <c r="W587" s="277"/>
      <c r="X587" s="277"/>
      <c r="Y587" s="277"/>
      <c r="Z587" s="277"/>
    </row>
    <row r="588" ht="12.75" customHeight="1">
      <c r="A588" s="277"/>
      <c r="B588" s="278"/>
      <c r="C588" s="279"/>
      <c r="D588" s="277"/>
      <c r="E588" s="277"/>
      <c r="F588" s="277"/>
      <c r="G588" s="277"/>
      <c r="H588" s="277"/>
      <c r="I588" s="277"/>
      <c r="J588" s="277"/>
      <c r="K588" s="409"/>
      <c r="L588" s="477"/>
      <c r="M588" s="277"/>
      <c r="N588" s="277"/>
      <c r="O588" s="277"/>
      <c r="P588" s="277"/>
      <c r="Q588" s="277"/>
      <c r="R588" s="277"/>
      <c r="S588" s="277"/>
      <c r="T588" s="277"/>
      <c r="U588" s="277"/>
      <c r="V588" s="277"/>
      <c r="W588" s="277"/>
      <c r="X588" s="277"/>
      <c r="Y588" s="277"/>
      <c r="Z588" s="277"/>
    </row>
    <row r="589" ht="12.75" customHeight="1">
      <c r="A589" s="277"/>
      <c r="B589" s="278"/>
      <c r="C589" s="279"/>
      <c r="D589" s="277"/>
      <c r="E589" s="277"/>
      <c r="F589" s="277"/>
      <c r="G589" s="277"/>
      <c r="H589" s="277"/>
      <c r="I589" s="277"/>
      <c r="J589" s="277"/>
      <c r="K589" s="409"/>
      <c r="L589" s="477"/>
      <c r="M589" s="277"/>
      <c r="N589" s="277"/>
      <c r="O589" s="277"/>
      <c r="P589" s="277"/>
      <c r="Q589" s="277"/>
      <c r="R589" s="277"/>
      <c r="S589" s="277"/>
      <c r="T589" s="277"/>
      <c r="U589" s="277"/>
      <c r="V589" s="277"/>
      <c r="W589" s="277"/>
      <c r="X589" s="277"/>
      <c r="Y589" s="277"/>
      <c r="Z589" s="277"/>
    </row>
    <row r="590" ht="12.75" customHeight="1">
      <c r="A590" s="277"/>
      <c r="B590" s="278"/>
      <c r="C590" s="279"/>
      <c r="D590" s="277"/>
      <c r="E590" s="277"/>
      <c r="F590" s="277"/>
      <c r="G590" s="277"/>
      <c r="H590" s="277"/>
      <c r="I590" s="277"/>
      <c r="J590" s="277"/>
      <c r="K590" s="409"/>
      <c r="L590" s="477"/>
      <c r="M590" s="277"/>
      <c r="N590" s="277"/>
      <c r="O590" s="277"/>
      <c r="P590" s="277"/>
      <c r="Q590" s="277"/>
      <c r="R590" s="277"/>
      <c r="S590" s="277"/>
      <c r="T590" s="277"/>
      <c r="U590" s="277"/>
      <c r="V590" s="277"/>
      <c r="W590" s="277"/>
      <c r="X590" s="277"/>
      <c r="Y590" s="277"/>
      <c r="Z590" s="277"/>
    </row>
    <row r="591" ht="12.75" customHeight="1">
      <c r="A591" s="277"/>
      <c r="B591" s="278"/>
      <c r="C591" s="279"/>
      <c r="D591" s="277"/>
      <c r="E591" s="277"/>
      <c r="F591" s="277"/>
      <c r="G591" s="277"/>
      <c r="H591" s="277"/>
      <c r="I591" s="277"/>
      <c r="J591" s="277"/>
      <c r="K591" s="409"/>
      <c r="L591" s="477"/>
      <c r="M591" s="277"/>
      <c r="N591" s="277"/>
      <c r="O591" s="277"/>
      <c r="P591" s="277"/>
      <c r="Q591" s="277"/>
      <c r="R591" s="277"/>
      <c r="S591" s="277"/>
      <c r="T591" s="277"/>
      <c r="U591" s="277"/>
      <c r="V591" s="277"/>
      <c r="W591" s="277"/>
      <c r="X591" s="277"/>
      <c r="Y591" s="277"/>
      <c r="Z591" s="277"/>
    </row>
    <row r="592" ht="12.75" customHeight="1">
      <c r="A592" s="277"/>
      <c r="B592" s="278"/>
      <c r="C592" s="279"/>
      <c r="D592" s="277"/>
      <c r="E592" s="277"/>
      <c r="F592" s="277"/>
      <c r="G592" s="277"/>
      <c r="H592" s="277"/>
      <c r="I592" s="277"/>
      <c r="J592" s="277"/>
      <c r="K592" s="409"/>
      <c r="L592" s="477"/>
      <c r="M592" s="277"/>
      <c r="N592" s="277"/>
      <c r="O592" s="277"/>
      <c r="P592" s="277"/>
      <c r="Q592" s="277"/>
      <c r="R592" s="277"/>
      <c r="S592" s="277"/>
      <c r="T592" s="277"/>
      <c r="U592" s="277"/>
      <c r="V592" s="277"/>
      <c r="W592" s="277"/>
      <c r="X592" s="277"/>
      <c r="Y592" s="277"/>
      <c r="Z592" s="277"/>
    </row>
    <row r="593" ht="12.75" customHeight="1">
      <c r="A593" s="277"/>
      <c r="B593" s="278"/>
      <c r="C593" s="279"/>
      <c r="D593" s="277"/>
      <c r="E593" s="277"/>
      <c r="F593" s="277"/>
      <c r="G593" s="277"/>
      <c r="H593" s="277"/>
      <c r="I593" s="277"/>
      <c r="J593" s="277"/>
      <c r="K593" s="409"/>
      <c r="L593" s="477"/>
      <c r="M593" s="277"/>
      <c r="N593" s="277"/>
      <c r="O593" s="277"/>
      <c r="P593" s="277"/>
      <c r="Q593" s="277"/>
      <c r="R593" s="277"/>
      <c r="S593" s="277"/>
      <c r="T593" s="277"/>
      <c r="U593" s="277"/>
      <c r="V593" s="277"/>
      <c r="W593" s="277"/>
      <c r="X593" s="277"/>
      <c r="Y593" s="277"/>
      <c r="Z593" s="277"/>
    </row>
    <row r="594" ht="12.75" customHeight="1">
      <c r="A594" s="277"/>
      <c r="B594" s="278"/>
      <c r="C594" s="279"/>
      <c r="D594" s="277"/>
      <c r="E594" s="277"/>
      <c r="F594" s="277"/>
      <c r="G594" s="277"/>
      <c r="H594" s="277"/>
      <c r="I594" s="277"/>
      <c r="J594" s="277"/>
      <c r="K594" s="409"/>
      <c r="L594" s="477"/>
      <c r="M594" s="277"/>
      <c r="N594" s="277"/>
      <c r="O594" s="277"/>
      <c r="P594" s="277"/>
      <c r="Q594" s="277"/>
      <c r="R594" s="277"/>
      <c r="S594" s="277"/>
      <c r="T594" s="277"/>
      <c r="U594" s="277"/>
      <c r="V594" s="277"/>
      <c r="W594" s="277"/>
      <c r="X594" s="277"/>
      <c r="Y594" s="277"/>
      <c r="Z594" s="277"/>
    </row>
    <row r="595" ht="12.75" customHeight="1">
      <c r="A595" s="277"/>
      <c r="B595" s="278"/>
      <c r="C595" s="279"/>
      <c r="D595" s="277"/>
      <c r="E595" s="277"/>
      <c r="F595" s="277"/>
      <c r="G595" s="277"/>
      <c r="H595" s="277"/>
      <c r="I595" s="277"/>
      <c r="J595" s="277"/>
      <c r="K595" s="409"/>
      <c r="L595" s="477"/>
      <c r="M595" s="277"/>
      <c r="N595" s="277"/>
      <c r="O595" s="277"/>
      <c r="P595" s="277"/>
      <c r="Q595" s="277"/>
      <c r="R595" s="277"/>
      <c r="S595" s="277"/>
      <c r="T595" s="277"/>
      <c r="U595" s="277"/>
      <c r="V595" s="277"/>
      <c r="W595" s="277"/>
      <c r="X595" s="277"/>
      <c r="Y595" s="277"/>
      <c r="Z595" s="277"/>
    </row>
    <row r="596" ht="12.75" customHeight="1">
      <c r="A596" s="277"/>
      <c r="B596" s="278"/>
      <c r="C596" s="279"/>
      <c r="D596" s="277"/>
      <c r="E596" s="277"/>
      <c r="F596" s="277"/>
      <c r="G596" s="277"/>
      <c r="H596" s="277"/>
      <c r="I596" s="277"/>
      <c r="J596" s="277"/>
      <c r="K596" s="409"/>
      <c r="L596" s="477"/>
      <c r="M596" s="277"/>
      <c r="N596" s="277"/>
      <c r="O596" s="277"/>
      <c r="P596" s="277"/>
      <c r="Q596" s="277"/>
      <c r="R596" s="277"/>
      <c r="S596" s="277"/>
      <c r="T596" s="277"/>
      <c r="U596" s="277"/>
      <c r="V596" s="277"/>
      <c r="W596" s="277"/>
      <c r="X596" s="277"/>
      <c r="Y596" s="277"/>
      <c r="Z596" s="277"/>
    </row>
    <row r="597" ht="12.75" customHeight="1">
      <c r="A597" s="277"/>
      <c r="B597" s="278"/>
      <c r="C597" s="279"/>
      <c r="D597" s="277"/>
      <c r="E597" s="277"/>
      <c r="F597" s="277"/>
      <c r="G597" s="277"/>
      <c r="H597" s="277"/>
      <c r="I597" s="277"/>
      <c r="J597" s="277"/>
      <c r="K597" s="409"/>
      <c r="L597" s="477"/>
      <c r="M597" s="277"/>
      <c r="N597" s="277"/>
      <c r="O597" s="277"/>
      <c r="P597" s="277"/>
      <c r="Q597" s="277"/>
      <c r="R597" s="277"/>
      <c r="S597" s="277"/>
      <c r="T597" s="277"/>
      <c r="U597" s="277"/>
      <c r="V597" s="277"/>
      <c r="W597" s="277"/>
      <c r="X597" s="277"/>
      <c r="Y597" s="277"/>
      <c r="Z597" s="277"/>
    </row>
    <row r="598" ht="12.75" customHeight="1">
      <c r="A598" s="277"/>
      <c r="B598" s="278"/>
      <c r="C598" s="279"/>
      <c r="D598" s="277"/>
      <c r="E598" s="277"/>
      <c r="F598" s="277"/>
      <c r="G598" s="277"/>
      <c r="H598" s="277"/>
      <c r="I598" s="277"/>
      <c r="J598" s="277"/>
      <c r="K598" s="409"/>
      <c r="L598" s="477"/>
      <c r="M598" s="277"/>
      <c r="N598" s="277"/>
      <c r="O598" s="277"/>
      <c r="P598" s="277"/>
      <c r="Q598" s="277"/>
      <c r="R598" s="277"/>
      <c r="S598" s="277"/>
      <c r="T598" s="277"/>
      <c r="U598" s="277"/>
      <c r="V598" s="277"/>
      <c r="W598" s="277"/>
      <c r="X598" s="277"/>
      <c r="Y598" s="277"/>
      <c r="Z598" s="277"/>
    </row>
    <row r="599" ht="12.75" customHeight="1">
      <c r="A599" s="277"/>
      <c r="B599" s="278"/>
      <c r="C599" s="279"/>
      <c r="D599" s="277"/>
      <c r="E599" s="277"/>
      <c r="F599" s="277"/>
      <c r="G599" s="277"/>
      <c r="H599" s="277"/>
      <c r="I599" s="277"/>
      <c r="J599" s="277"/>
      <c r="K599" s="409"/>
      <c r="L599" s="477"/>
      <c r="M599" s="277"/>
      <c r="N599" s="277"/>
      <c r="O599" s="277"/>
      <c r="P599" s="277"/>
      <c r="Q599" s="277"/>
      <c r="R599" s="277"/>
      <c r="S599" s="277"/>
      <c r="T599" s="277"/>
      <c r="U599" s="277"/>
      <c r="V599" s="277"/>
      <c r="W599" s="277"/>
      <c r="X599" s="277"/>
      <c r="Y599" s="277"/>
      <c r="Z599" s="277"/>
    </row>
    <row r="600" ht="12.75" customHeight="1">
      <c r="A600" s="277"/>
      <c r="B600" s="278"/>
      <c r="C600" s="279"/>
      <c r="D600" s="277"/>
      <c r="E600" s="277"/>
      <c r="F600" s="277"/>
      <c r="G600" s="277"/>
      <c r="H600" s="277"/>
      <c r="I600" s="277"/>
      <c r="J600" s="277"/>
      <c r="K600" s="409"/>
      <c r="L600" s="477"/>
      <c r="M600" s="277"/>
      <c r="N600" s="277"/>
      <c r="O600" s="277"/>
      <c r="P600" s="277"/>
      <c r="Q600" s="277"/>
      <c r="R600" s="277"/>
      <c r="S600" s="277"/>
      <c r="T600" s="277"/>
      <c r="U600" s="277"/>
      <c r="V600" s="277"/>
      <c r="W600" s="277"/>
      <c r="X600" s="277"/>
      <c r="Y600" s="277"/>
      <c r="Z600" s="277"/>
    </row>
    <row r="601" ht="12.75" customHeight="1">
      <c r="A601" s="277"/>
      <c r="B601" s="278"/>
      <c r="C601" s="279"/>
      <c r="D601" s="277"/>
      <c r="E601" s="277"/>
      <c r="F601" s="277"/>
      <c r="G601" s="277"/>
      <c r="H601" s="277"/>
      <c r="I601" s="277"/>
      <c r="J601" s="277"/>
      <c r="K601" s="409"/>
      <c r="L601" s="477"/>
      <c r="M601" s="277"/>
      <c r="N601" s="277"/>
      <c r="O601" s="277"/>
      <c r="P601" s="277"/>
      <c r="Q601" s="277"/>
      <c r="R601" s="277"/>
      <c r="S601" s="277"/>
      <c r="T601" s="277"/>
      <c r="U601" s="277"/>
      <c r="V601" s="277"/>
      <c r="W601" s="277"/>
      <c r="X601" s="277"/>
      <c r="Y601" s="277"/>
      <c r="Z601" s="277"/>
    </row>
    <row r="602" ht="12.75" customHeight="1">
      <c r="A602" s="277"/>
      <c r="B602" s="278"/>
      <c r="C602" s="279"/>
      <c r="D602" s="277"/>
      <c r="E602" s="277"/>
      <c r="F602" s="277"/>
      <c r="G602" s="277"/>
      <c r="H602" s="277"/>
      <c r="I602" s="277"/>
      <c r="J602" s="277"/>
      <c r="K602" s="409"/>
      <c r="L602" s="477"/>
      <c r="M602" s="277"/>
      <c r="N602" s="277"/>
      <c r="O602" s="277"/>
      <c r="P602" s="277"/>
      <c r="Q602" s="277"/>
      <c r="R602" s="277"/>
      <c r="S602" s="277"/>
      <c r="T602" s="277"/>
      <c r="U602" s="277"/>
      <c r="V602" s="277"/>
      <c r="W602" s="277"/>
      <c r="X602" s="277"/>
      <c r="Y602" s="277"/>
      <c r="Z602" s="277"/>
    </row>
    <row r="603" ht="12.75" customHeight="1">
      <c r="A603" s="277"/>
      <c r="B603" s="278"/>
      <c r="C603" s="279"/>
      <c r="D603" s="277"/>
      <c r="E603" s="277"/>
      <c r="F603" s="277"/>
      <c r="G603" s="277"/>
      <c r="H603" s="277"/>
      <c r="I603" s="277"/>
      <c r="J603" s="277"/>
      <c r="K603" s="409"/>
      <c r="L603" s="477"/>
      <c r="M603" s="277"/>
      <c r="N603" s="277"/>
      <c r="O603" s="277"/>
      <c r="P603" s="277"/>
      <c r="Q603" s="277"/>
      <c r="R603" s="277"/>
      <c r="S603" s="277"/>
      <c r="T603" s="277"/>
      <c r="U603" s="277"/>
      <c r="V603" s="277"/>
      <c r="W603" s="277"/>
      <c r="X603" s="277"/>
      <c r="Y603" s="277"/>
      <c r="Z603" s="277"/>
    </row>
    <row r="604" ht="12.75" customHeight="1">
      <c r="A604" s="277"/>
      <c r="B604" s="278"/>
      <c r="C604" s="279"/>
      <c r="D604" s="277"/>
      <c r="E604" s="277"/>
      <c r="F604" s="277"/>
      <c r="G604" s="277"/>
      <c r="H604" s="277"/>
      <c r="I604" s="277"/>
      <c r="J604" s="277"/>
      <c r="K604" s="409"/>
      <c r="L604" s="477"/>
      <c r="M604" s="277"/>
      <c r="N604" s="277"/>
      <c r="O604" s="277"/>
      <c r="P604" s="277"/>
      <c r="Q604" s="277"/>
      <c r="R604" s="277"/>
      <c r="S604" s="277"/>
      <c r="T604" s="277"/>
      <c r="U604" s="277"/>
      <c r="V604" s="277"/>
      <c r="W604" s="277"/>
      <c r="X604" s="277"/>
      <c r="Y604" s="277"/>
      <c r="Z604" s="277"/>
    </row>
    <row r="605" ht="12.75" customHeight="1">
      <c r="A605" s="277"/>
      <c r="B605" s="278"/>
      <c r="C605" s="279"/>
      <c r="D605" s="277"/>
      <c r="E605" s="277"/>
      <c r="F605" s="277"/>
      <c r="G605" s="277"/>
      <c r="H605" s="277"/>
      <c r="I605" s="277"/>
      <c r="J605" s="277"/>
      <c r="K605" s="409"/>
      <c r="L605" s="477"/>
      <c r="M605" s="277"/>
      <c r="N605" s="277"/>
      <c r="O605" s="277"/>
      <c r="P605" s="277"/>
      <c r="Q605" s="277"/>
      <c r="R605" s="277"/>
      <c r="S605" s="277"/>
      <c r="T605" s="277"/>
      <c r="U605" s="277"/>
      <c r="V605" s="277"/>
      <c r="W605" s="277"/>
      <c r="X605" s="277"/>
      <c r="Y605" s="277"/>
      <c r="Z605" s="277"/>
    </row>
    <row r="606" ht="12.75" customHeight="1">
      <c r="A606" s="277"/>
      <c r="B606" s="278"/>
      <c r="C606" s="279"/>
      <c r="D606" s="277"/>
      <c r="E606" s="277"/>
      <c r="F606" s="277"/>
      <c r="G606" s="277"/>
      <c r="H606" s="277"/>
      <c r="I606" s="277"/>
      <c r="J606" s="277"/>
      <c r="K606" s="409"/>
      <c r="L606" s="477"/>
      <c r="M606" s="277"/>
      <c r="N606" s="277"/>
      <c r="O606" s="277"/>
      <c r="P606" s="277"/>
      <c r="Q606" s="277"/>
      <c r="R606" s="277"/>
      <c r="S606" s="277"/>
      <c r="T606" s="277"/>
      <c r="U606" s="277"/>
      <c r="V606" s="277"/>
      <c r="W606" s="277"/>
      <c r="X606" s="277"/>
      <c r="Y606" s="277"/>
      <c r="Z606" s="277"/>
    </row>
    <row r="607" ht="12.75" customHeight="1">
      <c r="A607" s="277"/>
      <c r="B607" s="278"/>
      <c r="C607" s="279"/>
      <c r="D607" s="277"/>
      <c r="E607" s="277"/>
      <c r="F607" s="277"/>
      <c r="G607" s="277"/>
      <c r="H607" s="277"/>
      <c r="I607" s="277"/>
      <c r="J607" s="277"/>
      <c r="K607" s="409"/>
      <c r="L607" s="477"/>
      <c r="M607" s="277"/>
      <c r="N607" s="277"/>
      <c r="O607" s="277"/>
      <c r="P607" s="277"/>
      <c r="Q607" s="277"/>
      <c r="R607" s="277"/>
      <c r="S607" s="277"/>
      <c r="T607" s="277"/>
      <c r="U607" s="277"/>
      <c r="V607" s="277"/>
      <c r="W607" s="277"/>
      <c r="X607" s="277"/>
      <c r="Y607" s="277"/>
      <c r="Z607" s="277"/>
    </row>
    <row r="608" ht="12.75" customHeight="1">
      <c r="A608" s="277"/>
      <c r="B608" s="278"/>
      <c r="C608" s="279"/>
      <c r="D608" s="277"/>
      <c r="E608" s="277"/>
      <c r="F608" s="277"/>
      <c r="G608" s="277"/>
      <c r="H608" s="277"/>
      <c r="I608" s="277"/>
      <c r="J608" s="277"/>
      <c r="K608" s="409"/>
      <c r="L608" s="477"/>
      <c r="M608" s="277"/>
      <c r="N608" s="277"/>
      <c r="O608" s="277"/>
      <c r="P608" s="277"/>
      <c r="Q608" s="277"/>
      <c r="R608" s="277"/>
      <c r="S608" s="277"/>
      <c r="T608" s="277"/>
      <c r="U608" s="277"/>
      <c r="V608" s="277"/>
      <c r="W608" s="277"/>
      <c r="X608" s="277"/>
      <c r="Y608" s="277"/>
      <c r="Z608" s="277"/>
    </row>
    <row r="609" ht="12.75" customHeight="1">
      <c r="A609" s="277"/>
      <c r="B609" s="278"/>
      <c r="C609" s="279"/>
      <c r="D609" s="277"/>
      <c r="E609" s="277"/>
      <c r="F609" s="277"/>
      <c r="G609" s="277"/>
      <c r="H609" s="277"/>
      <c r="I609" s="277"/>
      <c r="J609" s="277"/>
      <c r="K609" s="409"/>
      <c r="L609" s="477"/>
      <c r="M609" s="277"/>
      <c r="N609" s="277"/>
      <c r="O609" s="277"/>
      <c r="P609" s="277"/>
      <c r="Q609" s="277"/>
      <c r="R609" s="277"/>
      <c r="S609" s="277"/>
      <c r="T609" s="277"/>
      <c r="U609" s="277"/>
      <c r="V609" s="277"/>
      <c r="W609" s="277"/>
      <c r="X609" s="277"/>
      <c r="Y609" s="277"/>
      <c r="Z609" s="277"/>
    </row>
    <row r="610" ht="12.75" customHeight="1">
      <c r="A610" s="277"/>
      <c r="B610" s="278"/>
      <c r="C610" s="279"/>
      <c r="D610" s="277"/>
      <c r="E610" s="277"/>
      <c r="F610" s="277"/>
      <c r="G610" s="277"/>
      <c r="H610" s="277"/>
      <c r="I610" s="277"/>
      <c r="J610" s="277"/>
      <c r="K610" s="409"/>
      <c r="L610" s="477"/>
      <c r="M610" s="277"/>
      <c r="N610" s="277"/>
      <c r="O610" s="277"/>
      <c r="P610" s="277"/>
      <c r="Q610" s="277"/>
      <c r="R610" s="277"/>
      <c r="S610" s="277"/>
      <c r="T610" s="277"/>
      <c r="U610" s="277"/>
      <c r="V610" s="277"/>
      <c r="W610" s="277"/>
      <c r="X610" s="277"/>
      <c r="Y610" s="277"/>
      <c r="Z610" s="277"/>
    </row>
    <row r="611" ht="12.75" customHeight="1">
      <c r="A611" s="277"/>
      <c r="B611" s="278"/>
      <c r="C611" s="279"/>
      <c r="D611" s="277"/>
      <c r="E611" s="277"/>
      <c r="F611" s="277"/>
      <c r="G611" s="277"/>
      <c r="H611" s="277"/>
      <c r="I611" s="277"/>
      <c r="J611" s="277"/>
      <c r="K611" s="409"/>
      <c r="L611" s="477"/>
      <c r="M611" s="277"/>
      <c r="N611" s="277"/>
      <c r="O611" s="277"/>
      <c r="P611" s="277"/>
      <c r="Q611" s="277"/>
      <c r="R611" s="277"/>
      <c r="S611" s="277"/>
      <c r="T611" s="277"/>
      <c r="U611" s="277"/>
      <c r="V611" s="277"/>
      <c r="W611" s="277"/>
      <c r="X611" s="277"/>
      <c r="Y611" s="277"/>
      <c r="Z611" s="277"/>
    </row>
    <row r="612" ht="12.75" customHeight="1">
      <c r="A612" s="277"/>
      <c r="B612" s="278"/>
      <c r="C612" s="279"/>
      <c r="D612" s="277"/>
      <c r="E612" s="277"/>
      <c r="F612" s="277"/>
      <c r="G612" s="277"/>
      <c r="H612" s="277"/>
      <c r="I612" s="277"/>
      <c r="J612" s="277"/>
      <c r="K612" s="409"/>
      <c r="L612" s="477"/>
      <c r="M612" s="277"/>
      <c r="N612" s="277"/>
      <c r="O612" s="277"/>
      <c r="P612" s="277"/>
      <c r="Q612" s="277"/>
      <c r="R612" s="277"/>
      <c r="S612" s="277"/>
      <c r="T612" s="277"/>
      <c r="U612" s="277"/>
      <c r="V612" s="277"/>
      <c r="W612" s="277"/>
      <c r="X612" s="277"/>
      <c r="Y612" s="277"/>
      <c r="Z612" s="277"/>
    </row>
    <row r="613" ht="12.75" customHeight="1">
      <c r="A613" s="277"/>
      <c r="B613" s="278"/>
      <c r="C613" s="279"/>
      <c r="D613" s="277"/>
      <c r="E613" s="277"/>
      <c r="F613" s="277"/>
      <c r="G613" s="277"/>
      <c r="H613" s="277"/>
      <c r="I613" s="277"/>
      <c r="J613" s="277"/>
      <c r="K613" s="409"/>
      <c r="L613" s="477"/>
      <c r="M613" s="277"/>
      <c r="N613" s="277"/>
      <c r="O613" s="277"/>
      <c r="P613" s="277"/>
      <c r="Q613" s="277"/>
      <c r="R613" s="277"/>
      <c r="S613" s="277"/>
      <c r="T613" s="277"/>
      <c r="U613" s="277"/>
      <c r="V613" s="277"/>
      <c r="W613" s="277"/>
      <c r="X613" s="277"/>
      <c r="Y613" s="277"/>
      <c r="Z613" s="277"/>
    </row>
    <row r="614" ht="12.75" customHeight="1">
      <c r="A614" s="277"/>
      <c r="B614" s="278"/>
      <c r="C614" s="279"/>
      <c r="D614" s="277"/>
      <c r="E614" s="277"/>
      <c r="F614" s="277"/>
      <c r="G614" s="277"/>
      <c r="H614" s="277"/>
      <c r="I614" s="277"/>
      <c r="J614" s="277"/>
      <c r="K614" s="409"/>
      <c r="L614" s="477"/>
      <c r="M614" s="277"/>
      <c r="N614" s="277"/>
      <c r="O614" s="277"/>
      <c r="P614" s="277"/>
      <c r="Q614" s="277"/>
      <c r="R614" s="277"/>
      <c r="S614" s="277"/>
      <c r="T614" s="277"/>
      <c r="U614" s="277"/>
      <c r="V614" s="277"/>
      <c r="W614" s="277"/>
      <c r="X614" s="277"/>
      <c r="Y614" s="277"/>
      <c r="Z614" s="277"/>
    </row>
    <row r="615" ht="12.75" customHeight="1">
      <c r="A615" s="277"/>
      <c r="B615" s="278"/>
      <c r="C615" s="279"/>
      <c r="D615" s="277"/>
      <c r="E615" s="277"/>
      <c r="F615" s="277"/>
      <c r="G615" s="277"/>
      <c r="H615" s="277"/>
      <c r="I615" s="277"/>
      <c r="J615" s="277"/>
      <c r="K615" s="409"/>
      <c r="L615" s="477"/>
      <c r="M615" s="277"/>
      <c r="N615" s="277"/>
      <c r="O615" s="277"/>
      <c r="P615" s="277"/>
      <c r="Q615" s="277"/>
      <c r="R615" s="277"/>
      <c r="S615" s="277"/>
      <c r="T615" s="277"/>
      <c r="U615" s="277"/>
      <c r="V615" s="277"/>
      <c r="W615" s="277"/>
      <c r="X615" s="277"/>
      <c r="Y615" s="277"/>
      <c r="Z615" s="277"/>
    </row>
    <row r="616" ht="12.75" customHeight="1">
      <c r="A616" s="277"/>
      <c r="B616" s="278"/>
      <c r="C616" s="279"/>
      <c r="D616" s="277"/>
      <c r="E616" s="277"/>
      <c r="F616" s="277"/>
      <c r="G616" s="277"/>
      <c r="H616" s="277"/>
      <c r="I616" s="277"/>
      <c r="J616" s="277"/>
      <c r="K616" s="409"/>
      <c r="L616" s="477"/>
      <c r="M616" s="277"/>
      <c r="N616" s="277"/>
      <c r="O616" s="277"/>
      <c r="P616" s="277"/>
      <c r="Q616" s="277"/>
      <c r="R616" s="277"/>
      <c r="S616" s="277"/>
      <c r="T616" s="277"/>
      <c r="U616" s="277"/>
      <c r="V616" s="277"/>
      <c r="W616" s="277"/>
      <c r="X616" s="277"/>
      <c r="Y616" s="277"/>
      <c r="Z616" s="277"/>
    </row>
    <row r="617" ht="12.75" customHeight="1">
      <c r="A617" s="277"/>
      <c r="B617" s="278"/>
      <c r="C617" s="279"/>
      <c r="D617" s="277"/>
      <c r="E617" s="277"/>
      <c r="F617" s="277"/>
      <c r="G617" s="277"/>
      <c r="H617" s="277"/>
      <c r="I617" s="277"/>
      <c r="J617" s="277"/>
      <c r="K617" s="409"/>
      <c r="L617" s="477"/>
      <c r="M617" s="277"/>
      <c r="N617" s="277"/>
      <c r="O617" s="277"/>
      <c r="P617" s="277"/>
      <c r="Q617" s="277"/>
      <c r="R617" s="277"/>
      <c r="S617" s="277"/>
      <c r="T617" s="277"/>
      <c r="U617" s="277"/>
      <c r="V617" s="277"/>
      <c r="W617" s="277"/>
      <c r="X617" s="277"/>
      <c r="Y617" s="277"/>
      <c r="Z617" s="277"/>
    </row>
    <row r="618" ht="12.75" customHeight="1">
      <c r="A618" s="277"/>
      <c r="B618" s="278"/>
      <c r="C618" s="279"/>
      <c r="D618" s="277"/>
      <c r="E618" s="277"/>
      <c r="F618" s="277"/>
      <c r="G618" s="277"/>
      <c r="H618" s="277"/>
      <c r="I618" s="277"/>
      <c r="J618" s="277"/>
      <c r="K618" s="409"/>
      <c r="L618" s="477"/>
      <c r="M618" s="277"/>
      <c r="N618" s="277"/>
      <c r="O618" s="277"/>
      <c r="P618" s="277"/>
      <c r="Q618" s="277"/>
      <c r="R618" s="277"/>
      <c r="S618" s="277"/>
      <c r="T618" s="277"/>
      <c r="U618" s="277"/>
      <c r="V618" s="277"/>
      <c r="W618" s="277"/>
      <c r="X618" s="277"/>
      <c r="Y618" s="277"/>
      <c r="Z618" s="277"/>
    </row>
    <row r="619" ht="12.75" customHeight="1">
      <c r="A619" s="277"/>
      <c r="B619" s="278"/>
      <c r="C619" s="279"/>
      <c r="D619" s="277"/>
      <c r="E619" s="277"/>
      <c r="F619" s="277"/>
      <c r="G619" s="277"/>
      <c r="H619" s="277"/>
      <c r="I619" s="277"/>
      <c r="J619" s="277"/>
      <c r="K619" s="409"/>
      <c r="L619" s="477"/>
      <c r="M619" s="277"/>
      <c r="N619" s="277"/>
      <c r="O619" s="277"/>
      <c r="P619" s="277"/>
      <c r="Q619" s="277"/>
      <c r="R619" s="277"/>
      <c r="S619" s="277"/>
      <c r="T619" s="277"/>
      <c r="U619" s="277"/>
      <c r="V619" s="277"/>
      <c r="W619" s="277"/>
      <c r="X619" s="277"/>
      <c r="Y619" s="277"/>
      <c r="Z619" s="277"/>
    </row>
    <row r="620" ht="12.75" customHeight="1">
      <c r="A620" s="277"/>
      <c r="B620" s="278"/>
      <c r="C620" s="279"/>
      <c r="D620" s="277"/>
      <c r="E620" s="277"/>
      <c r="F620" s="277"/>
      <c r="G620" s="277"/>
      <c r="H620" s="277"/>
      <c r="I620" s="277"/>
      <c r="J620" s="277"/>
      <c r="K620" s="409"/>
      <c r="L620" s="477"/>
      <c r="M620" s="277"/>
      <c r="N620" s="277"/>
      <c r="O620" s="277"/>
      <c r="P620" s="277"/>
      <c r="Q620" s="277"/>
      <c r="R620" s="277"/>
      <c r="S620" s="277"/>
      <c r="T620" s="277"/>
      <c r="U620" s="277"/>
      <c r="V620" s="277"/>
      <c r="W620" s="277"/>
      <c r="X620" s="277"/>
      <c r="Y620" s="277"/>
      <c r="Z620" s="277"/>
    </row>
    <row r="621" ht="12.75" customHeight="1">
      <c r="A621" s="277"/>
      <c r="B621" s="278"/>
      <c r="C621" s="279"/>
      <c r="D621" s="277"/>
      <c r="E621" s="277"/>
      <c r="F621" s="277"/>
      <c r="G621" s="277"/>
      <c r="H621" s="277"/>
      <c r="I621" s="277"/>
      <c r="J621" s="277"/>
      <c r="K621" s="409"/>
      <c r="L621" s="477"/>
      <c r="M621" s="277"/>
      <c r="N621" s="277"/>
      <c r="O621" s="277"/>
      <c r="P621" s="277"/>
      <c r="Q621" s="277"/>
      <c r="R621" s="277"/>
      <c r="S621" s="277"/>
      <c r="T621" s="277"/>
      <c r="U621" s="277"/>
      <c r="V621" s="277"/>
      <c r="W621" s="277"/>
      <c r="X621" s="277"/>
      <c r="Y621" s="277"/>
      <c r="Z621" s="277"/>
    </row>
    <row r="622" ht="12.75" customHeight="1">
      <c r="A622" s="277"/>
      <c r="B622" s="278"/>
      <c r="C622" s="279"/>
      <c r="D622" s="277"/>
      <c r="E622" s="277"/>
      <c r="F622" s="277"/>
      <c r="G622" s="277"/>
      <c r="H622" s="277"/>
      <c r="I622" s="277"/>
      <c r="J622" s="277"/>
      <c r="K622" s="409"/>
      <c r="L622" s="477"/>
      <c r="M622" s="277"/>
      <c r="N622" s="277"/>
      <c r="O622" s="277"/>
      <c r="P622" s="277"/>
      <c r="Q622" s="277"/>
      <c r="R622" s="277"/>
      <c r="S622" s="277"/>
      <c r="T622" s="277"/>
      <c r="U622" s="277"/>
      <c r="V622" s="277"/>
      <c r="W622" s="277"/>
      <c r="X622" s="277"/>
      <c r="Y622" s="277"/>
      <c r="Z622" s="277"/>
    </row>
    <row r="623" ht="12.75" customHeight="1">
      <c r="A623" s="277"/>
      <c r="B623" s="278"/>
      <c r="C623" s="279"/>
      <c r="D623" s="277"/>
      <c r="E623" s="277"/>
      <c r="F623" s="277"/>
      <c r="G623" s="277"/>
      <c r="H623" s="277"/>
      <c r="I623" s="277"/>
      <c r="J623" s="277"/>
      <c r="K623" s="409"/>
      <c r="L623" s="477"/>
      <c r="M623" s="277"/>
      <c r="N623" s="277"/>
      <c r="O623" s="277"/>
      <c r="P623" s="277"/>
      <c r="Q623" s="277"/>
      <c r="R623" s="277"/>
      <c r="S623" s="277"/>
      <c r="T623" s="277"/>
      <c r="U623" s="277"/>
      <c r="V623" s="277"/>
      <c r="W623" s="277"/>
      <c r="X623" s="277"/>
      <c r="Y623" s="277"/>
      <c r="Z623" s="277"/>
    </row>
    <row r="624" ht="12.75" customHeight="1">
      <c r="A624" s="277"/>
      <c r="B624" s="278"/>
      <c r="C624" s="279"/>
      <c r="D624" s="277"/>
      <c r="E624" s="277"/>
      <c r="F624" s="277"/>
      <c r="G624" s="277"/>
      <c r="H624" s="277"/>
      <c r="I624" s="277"/>
      <c r="J624" s="277"/>
      <c r="K624" s="409"/>
      <c r="L624" s="477"/>
      <c r="M624" s="277"/>
      <c r="N624" s="277"/>
      <c r="O624" s="277"/>
      <c r="P624" s="277"/>
      <c r="Q624" s="277"/>
      <c r="R624" s="277"/>
      <c r="S624" s="277"/>
      <c r="T624" s="277"/>
      <c r="U624" s="277"/>
      <c r="V624" s="277"/>
      <c r="W624" s="277"/>
      <c r="X624" s="277"/>
      <c r="Y624" s="277"/>
      <c r="Z624" s="277"/>
    </row>
    <row r="625" ht="12.75" customHeight="1">
      <c r="A625" s="277"/>
      <c r="B625" s="278"/>
      <c r="C625" s="279"/>
      <c r="D625" s="277"/>
      <c r="E625" s="277"/>
      <c r="F625" s="277"/>
      <c r="G625" s="277"/>
      <c r="H625" s="277"/>
      <c r="I625" s="277"/>
      <c r="J625" s="277"/>
      <c r="K625" s="409"/>
      <c r="L625" s="477"/>
      <c r="M625" s="277"/>
      <c r="N625" s="277"/>
      <c r="O625" s="277"/>
      <c r="P625" s="277"/>
      <c r="Q625" s="277"/>
      <c r="R625" s="277"/>
      <c r="S625" s="277"/>
      <c r="T625" s="277"/>
      <c r="U625" s="277"/>
      <c r="V625" s="277"/>
      <c r="W625" s="277"/>
      <c r="X625" s="277"/>
      <c r="Y625" s="277"/>
      <c r="Z625" s="277"/>
    </row>
    <row r="626" ht="12.75" customHeight="1">
      <c r="A626" s="277"/>
      <c r="B626" s="278"/>
      <c r="C626" s="279"/>
      <c r="D626" s="277"/>
      <c r="E626" s="277"/>
      <c r="F626" s="277"/>
      <c r="G626" s="277"/>
      <c r="H626" s="277"/>
      <c r="I626" s="277"/>
      <c r="J626" s="277"/>
      <c r="K626" s="409"/>
      <c r="L626" s="477"/>
      <c r="M626" s="277"/>
      <c r="N626" s="277"/>
      <c r="O626" s="277"/>
      <c r="P626" s="277"/>
      <c r="Q626" s="277"/>
      <c r="R626" s="277"/>
      <c r="S626" s="277"/>
      <c r="T626" s="277"/>
      <c r="U626" s="277"/>
      <c r="V626" s="277"/>
      <c r="W626" s="277"/>
      <c r="X626" s="277"/>
      <c r="Y626" s="277"/>
      <c r="Z626" s="277"/>
    </row>
    <row r="627" ht="12.75" customHeight="1">
      <c r="A627" s="277"/>
      <c r="B627" s="278"/>
      <c r="C627" s="279"/>
      <c r="D627" s="277"/>
      <c r="E627" s="277"/>
      <c r="F627" s="277"/>
      <c r="G627" s="277"/>
      <c r="H627" s="277"/>
      <c r="I627" s="277"/>
      <c r="J627" s="277"/>
      <c r="K627" s="409"/>
      <c r="L627" s="477"/>
      <c r="M627" s="277"/>
      <c r="N627" s="277"/>
      <c r="O627" s="277"/>
      <c r="P627" s="277"/>
      <c r="Q627" s="277"/>
      <c r="R627" s="277"/>
      <c r="S627" s="277"/>
      <c r="T627" s="277"/>
      <c r="U627" s="277"/>
      <c r="V627" s="277"/>
      <c r="W627" s="277"/>
      <c r="X627" s="277"/>
      <c r="Y627" s="277"/>
      <c r="Z627" s="277"/>
    </row>
    <row r="628" ht="12.75" customHeight="1">
      <c r="A628" s="277"/>
      <c r="B628" s="278"/>
      <c r="C628" s="279"/>
      <c r="D628" s="277"/>
      <c r="E628" s="277"/>
      <c r="F628" s="277"/>
      <c r="G628" s="277"/>
      <c r="H628" s="277"/>
      <c r="I628" s="277"/>
      <c r="J628" s="277"/>
      <c r="K628" s="409"/>
      <c r="L628" s="477"/>
      <c r="M628" s="277"/>
      <c r="N628" s="277"/>
      <c r="O628" s="277"/>
      <c r="P628" s="277"/>
      <c r="Q628" s="277"/>
      <c r="R628" s="277"/>
      <c r="S628" s="277"/>
      <c r="T628" s="277"/>
      <c r="U628" s="277"/>
      <c r="V628" s="277"/>
      <c r="W628" s="277"/>
      <c r="X628" s="277"/>
      <c r="Y628" s="277"/>
      <c r="Z628" s="277"/>
    </row>
    <row r="629" ht="12.75" customHeight="1">
      <c r="A629" s="277"/>
      <c r="B629" s="278"/>
      <c r="C629" s="279"/>
      <c r="D629" s="277"/>
      <c r="E629" s="277"/>
      <c r="F629" s="277"/>
      <c r="G629" s="277"/>
      <c r="H629" s="277"/>
      <c r="I629" s="277"/>
      <c r="J629" s="277"/>
      <c r="K629" s="409"/>
      <c r="L629" s="477"/>
      <c r="M629" s="277"/>
      <c r="N629" s="277"/>
      <c r="O629" s="277"/>
      <c r="P629" s="277"/>
      <c r="Q629" s="277"/>
      <c r="R629" s="277"/>
      <c r="S629" s="277"/>
      <c r="T629" s="277"/>
      <c r="U629" s="277"/>
      <c r="V629" s="277"/>
      <c r="W629" s="277"/>
      <c r="X629" s="277"/>
      <c r="Y629" s="277"/>
      <c r="Z629" s="277"/>
    </row>
    <row r="630" ht="12.75" customHeight="1">
      <c r="A630" s="277"/>
      <c r="B630" s="278"/>
      <c r="C630" s="279"/>
      <c r="D630" s="277"/>
      <c r="E630" s="277"/>
      <c r="F630" s="277"/>
      <c r="G630" s="277"/>
      <c r="H630" s="277"/>
      <c r="I630" s="277"/>
      <c r="J630" s="277"/>
      <c r="K630" s="409"/>
      <c r="L630" s="477"/>
      <c r="M630" s="277"/>
      <c r="N630" s="277"/>
      <c r="O630" s="277"/>
      <c r="P630" s="277"/>
      <c r="Q630" s="277"/>
      <c r="R630" s="277"/>
      <c r="S630" s="277"/>
      <c r="T630" s="277"/>
      <c r="U630" s="277"/>
      <c r="V630" s="277"/>
      <c r="W630" s="277"/>
      <c r="X630" s="277"/>
      <c r="Y630" s="277"/>
      <c r="Z630" s="277"/>
    </row>
    <row r="631" ht="12.75" customHeight="1">
      <c r="A631" s="277"/>
      <c r="B631" s="278"/>
      <c r="C631" s="279"/>
      <c r="D631" s="277"/>
      <c r="E631" s="277"/>
      <c r="F631" s="277"/>
      <c r="G631" s="277"/>
      <c r="H631" s="277"/>
      <c r="I631" s="277"/>
      <c r="J631" s="277"/>
      <c r="K631" s="409"/>
      <c r="L631" s="477"/>
      <c r="M631" s="277"/>
      <c r="N631" s="277"/>
      <c r="O631" s="277"/>
      <c r="P631" s="277"/>
      <c r="Q631" s="277"/>
      <c r="R631" s="277"/>
      <c r="S631" s="277"/>
      <c r="T631" s="277"/>
      <c r="U631" s="277"/>
      <c r="V631" s="277"/>
      <c r="W631" s="277"/>
      <c r="X631" s="277"/>
      <c r="Y631" s="277"/>
      <c r="Z631" s="277"/>
    </row>
    <row r="632" ht="12.75" customHeight="1">
      <c r="A632" s="277"/>
      <c r="B632" s="278"/>
      <c r="C632" s="279"/>
      <c r="D632" s="277"/>
      <c r="E632" s="277"/>
      <c r="F632" s="277"/>
      <c r="G632" s="277"/>
      <c r="H632" s="277"/>
      <c r="I632" s="277"/>
      <c r="J632" s="277"/>
      <c r="K632" s="409"/>
      <c r="L632" s="477"/>
      <c r="M632" s="277"/>
      <c r="N632" s="277"/>
      <c r="O632" s="277"/>
      <c r="P632" s="277"/>
      <c r="Q632" s="277"/>
      <c r="R632" s="277"/>
      <c r="S632" s="277"/>
      <c r="T632" s="277"/>
      <c r="U632" s="277"/>
      <c r="V632" s="277"/>
      <c r="W632" s="277"/>
      <c r="X632" s="277"/>
      <c r="Y632" s="277"/>
      <c r="Z632" s="277"/>
    </row>
    <row r="633" ht="12.75" customHeight="1">
      <c r="A633" s="277"/>
      <c r="B633" s="278"/>
      <c r="C633" s="279"/>
      <c r="D633" s="277"/>
      <c r="E633" s="277"/>
      <c r="F633" s="277"/>
      <c r="G633" s="277"/>
      <c r="H633" s="277"/>
      <c r="I633" s="277"/>
      <c r="J633" s="277"/>
      <c r="K633" s="409"/>
      <c r="L633" s="477"/>
      <c r="M633" s="277"/>
      <c r="N633" s="277"/>
      <c r="O633" s="277"/>
      <c r="P633" s="277"/>
      <c r="Q633" s="277"/>
      <c r="R633" s="277"/>
      <c r="S633" s="277"/>
      <c r="T633" s="277"/>
      <c r="U633" s="277"/>
      <c r="V633" s="277"/>
      <c r="W633" s="277"/>
      <c r="X633" s="277"/>
      <c r="Y633" s="277"/>
      <c r="Z633" s="277"/>
    </row>
    <row r="634" ht="12.75" customHeight="1">
      <c r="A634" s="277"/>
      <c r="B634" s="278"/>
      <c r="C634" s="279"/>
      <c r="D634" s="277"/>
      <c r="E634" s="277"/>
      <c r="F634" s="277"/>
      <c r="G634" s="277"/>
      <c r="H634" s="277"/>
      <c r="I634" s="277"/>
      <c r="J634" s="277"/>
      <c r="K634" s="409"/>
      <c r="L634" s="477"/>
      <c r="M634" s="277"/>
      <c r="N634" s="277"/>
      <c r="O634" s="277"/>
      <c r="P634" s="277"/>
      <c r="Q634" s="277"/>
      <c r="R634" s="277"/>
      <c r="S634" s="277"/>
      <c r="T634" s="277"/>
      <c r="U634" s="277"/>
      <c r="V634" s="277"/>
      <c r="W634" s="277"/>
      <c r="X634" s="277"/>
      <c r="Y634" s="277"/>
      <c r="Z634" s="277"/>
    </row>
    <row r="635" ht="12.75" customHeight="1">
      <c r="A635" s="277"/>
      <c r="B635" s="278"/>
      <c r="C635" s="279"/>
      <c r="D635" s="277"/>
      <c r="E635" s="277"/>
      <c r="F635" s="277"/>
      <c r="G635" s="277"/>
      <c r="H635" s="277"/>
      <c r="I635" s="277"/>
      <c r="J635" s="277"/>
      <c r="K635" s="409"/>
      <c r="L635" s="477"/>
      <c r="M635" s="277"/>
      <c r="N635" s="277"/>
      <c r="O635" s="277"/>
      <c r="P635" s="277"/>
      <c r="Q635" s="277"/>
      <c r="R635" s="277"/>
      <c r="S635" s="277"/>
      <c r="T635" s="277"/>
      <c r="U635" s="277"/>
      <c r="V635" s="277"/>
      <c r="W635" s="277"/>
      <c r="X635" s="277"/>
      <c r="Y635" s="277"/>
      <c r="Z635" s="277"/>
    </row>
    <row r="636" ht="12.75" customHeight="1">
      <c r="A636" s="277"/>
      <c r="B636" s="278"/>
      <c r="C636" s="279"/>
      <c r="D636" s="277"/>
      <c r="E636" s="277"/>
      <c r="F636" s="277"/>
      <c r="G636" s="277"/>
      <c r="H636" s="277"/>
      <c r="I636" s="277"/>
      <c r="J636" s="277"/>
      <c r="K636" s="409"/>
      <c r="L636" s="477"/>
      <c r="M636" s="277"/>
      <c r="N636" s="277"/>
      <c r="O636" s="277"/>
      <c r="P636" s="277"/>
      <c r="Q636" s="277"/>
      <c r="R636" s="277"/>
      <c r="S636" s="277"/>
      <c r="T636" s="277"/>
      <c r="U636" s="277"/>
      <c r="V636" s="277"/>
      <c r="W636" s="277"/>
      <c r="X636" s="277"/>
      <c r="Y636" s="277"/>
      <c r="Z636" s="277"/>
    </row>
    <row r="637" ht="12.75" customHeight="1">
      <c r="A637" s="277"/>
      <c r="B637" s="278"/>
      <c r="C637" s="279"/>
      <c r="D637" s="277"/>
      <c r="E637" s="277"/>
      <c r="F637" s="277"/>
      <c r="G637" s="277"/>
      <c r="H637" s="277"/>
      <c r="I637" s="277"/>
      <c r="J637" s="277"/>
      <c r="K637" s="409"/>
      <c r="L637" s="477"/>
      <c r="M637" s="277"/>
      <c r="N637" s="277"/>
      <c r="O637" s="277"/>
      <c r="P637" s="277"/>
      <c r="Q637" s="277"/>
      <c r="R637" s="277"/>
      <c r="S637" s="277"/>
      <c r="T637" s="277"/>
      <c r="U637" s="277"/>
      <c r="V637" s="277"/>
      <c r="W637" s="277"/>
      <c r="X637" s="277"/>
      <c r="Y637" s="277"/>
      <c r="Z637" s="277"/>
    </row>
    <row r="638" ht="12.75" customHeight="1">
      <c r="A638" s="277"/>
      <c r="B638" s="278"/>
      <c r="C638" s="279"/>
      <c r="D638" s="277"/>
      <c r="E638" s="277"/>
      <c r="F638" s="277"/>
      <c r="G638" s="277"/>
      <c r="H638" s="277"/>
      <c r="I638" s="277"/>
      <c r="J638" s="277"/>
      <c r="K638" s="409"/>
      <c r="L638" s="477"/>
      <c r="M638" s="277"/>
      <c r="N638" s="277"/>
      <c r="O638" s="277"/>
      <c r="P638" s="277"/>
      <c r="Q638" s="277"/>
      <c r="R638" s="277"/>
      <c r="S638" s="277"/>
      <c r="T638" s="277"/>
      <c r="U638" s="277"/>
      <c r="V638" s="277"/>
      <c r="W638" s="277"/>
      <c r="X638" s="277"/>
      <c r="Y638" s="277"/>
      <c r="Z638" s="277"/>
    </row>
    <row r="639" ht="12.75" customHeight="1">
      <c r="A639" s="277"/>
      <c r="B639" s="278"/>
      <c r="C639" s="279"/>
      <c r="D639" s="277"/>
      <c r="E639" s="277"/>
      <c r="F639" s="277"/>
      <c r="G639" s="277"/>
      <c r="H639" s="277"/>
      <c r="I639" s="277"/>
      <c r="J639" s="277"/>
      <c r="K639" s="409"/>
      <c r="L639" s="477"/>
      <c r="M639" s="277"/>
      <c r="N639" s="277"/>
      <c r="O639" s="277"/>
      <c r="P639" s="277"/>
      <c r="Q639" s="277"/>
      <c r="R639" s="277"/>
      <c r="S639" s="277"/>
      <c r="T639" s="277"/>
      <c r="U639" s="277"/>
      <c r="V639" s="277"/>
      <c r="W639" s="277"/>
      <c r="X639" s="277"/>
      <c r="Y639" s="277"/>
      <c r="Z639" s="277"/>
    </row>
    <row r="640" ht="12.75" customHeight="1">
      <c r="A640" s="277"/>
      <c r="B640" s="278"/>
      <c r="C640" s="279"/>
      <c r="D640" s="277"/>
      <c r="E640" s="277"/>
      <c r="F640" s="277"/>
      <c r="G640" s="277"/>
      <c r="H640" s="277"/>
      <c r="I640" s="277"/>
      <c r="J640" s="277"/>
      <c r="K640" s="409"/>
      <c r="L640" s="477"/>
      <c r="M640" s="277"/>
      <c r="N640" s="277"/>
      <c r="O640" s="277"/>
      <c r="P640" s="277"/>
      <c r="Q640" s="277"/>
      <c r="R640" s="277"/>
      <c r="S640" s="277"/>
      <c r="T640" s="277"/>
      <c r="U640" s="277"/>
      <c r="V640" s="277"/>
      <c r="W640" s="277"/>
      <c r="X640" s="277"/>
      <c r="Y640" s="277"/>
      <c r="Z640" s="277"/>
    </row>
    <row r="641" ht="12.75" customHeight="1">
      <c r="A641" s="277"/>
      <c r="B641" s="278"/>
      <c r="C641" s="279"/>
      <c r="D641" s="277"/>
      <c r="E641" s="277"/>
      <c r="F641" s="277"/>
      <c r="G641" s="277"/>
      <c r="H641" s="277"/>
      <c r="I641" s="277"/>
      <c r="J641" s="277"/>
      <c r="K641" s="409"/>
      <c r="L641" s="477"/>
      <c r="M641" s="277"/>
      <c r="N641" s="277"/>
      <c r="O641" s="277"/>
      <c r="P641" s="277"/>
      <c r="Q641" s="277"/>
      <c r="R641" s="277"/>
      <c r="S641" s="277"/>
      <c r="T641" s="277"/>
      <c r="U641" s="277"/>
      <c r="V641" s="277"/>
      <c r="W641" s="277"/>
      <c r="X641" s="277"/>
      <c r="Y641" s="277"/>
      <c r="Z641" s="277"/>
    </row>
    <row r="642" ht="12.75" customHeight="1">
      <c r="A642" s="277"/>
      <c r="B642" s="278"/>
      <c r="C642" s="279"/>
      <c r="D642" s="277"/>
      <c r="E642" s="277"/>
      <c r="F642" s="277"/>
      <c r="G642" s="277"/>
      <c r="H642" s="277"/>
      <c r="I642" s="277"/>
      <c r="J642" s="277"/>
      <c r="K642" s="409"/>
      <c r="L642" s="477"/>
      <c r="M642" s="277"/>
      <c r="N642" s="277"/>
      <c r="O642" s="277"/>
      <c r="P642" s="277"/>
      <c r="Q642" s="277"/>
      <c r="R642" s="277"/>
      <c r="S642" s="277"/>
      <c r="T642" s="277"/>
      <c r="U642" s="277"/>
      <c r="V642" s="277"/>
      <c r="W642" s="277"/>
      <c r="X642" s="277"/>
      <c r="Y642" s="277"/>
      <c r="Z642" s="277"/>
    </row>
    <row r="643" ht="12.75" customHeight="1">
      <c r="A643" s="277"/>
      <c r="B643" s="278"/>
      <c r="C643" s="279"/>
      <c r="D643" s="277"/>
      <c r="E643" s="277"/>
      <c r="F643" s="277"/>
      <c r="G643" s="277"/>
      <c r="H643" s="277"/>
      <c r="I643" s="277"/>
      <c r="J643" s="277"/>
      <c r="K643" s="409"/>
      <c r="L643" s="477"/>
      <c r="M643" s="277"/>
      <c r="N643" s="277"/>
      <c r="O643" s="277"/>
      <c r="P643" s="277"/>
      <c r="Q643" s="277"/>
      <c r="R643" s="277"/>
      <c r="S643" s="277"/>
      <c r="T643" s="277"/>
      <c r="U643" s="277"/>
      <c r="V643" s="277"/>
      <c r="W643" s="277"/>
      <c r="X643" s="277"/>
      <c r="Y643" s="277"/>
      <c r="Z643" s="277"/>
    </row>
    <row r="644" ht="12.75" customHeight="1">
      <c r="A644" s="277"/>
      <c r="B644" s="278"/>
      <c r="C644" s="279"/>
      <c r="D644" s="277"/>
      <c r="E644" s="277"/>
      <c r="F644" s="277"/>
      <c r="G644" s="277"/>
      <c r="H644" s="277"/>
      <c r="I644" s="277"/>
      <c r="J644" s="277"/>
      <c r="K644" s="409"/>
      <c r="L644" s="477"/>
      <c r="M644" s="277"/>
      <c r="N644" s="277"/>
      <c r="O644" s="277"/>
      <c r="P644" s="277"/>
      <c r="Q644" s="277"/>
      <c r="R644" s="277"/>
      <c r="S644" s="277"/>
      <c r="T644" s="277"/>
      <c r="U644" s="277"/>
      <c r="V644" s="277"/>
      <c r="W644" s="277"/>
      <c r="X644" s="277"/>
      <c r="Y644" s="277"/>
      <c r="Z644" s="277"/>
    </row>
    <row r="645" ht="12.75" customHeight="1">
      <c r="A645" s="277"/>
      <c r="B645" s="278"/>
      <c r="C645" s="279"/>
      <c r="D645" s="277"/>
      <c r="E645" s="277"/>
      <c r="F645" s="277"/>
      <c r="G645" s="277"/>
      <c r="H645" s="277"/>
      <c r="I645" s="277"/>
      <c r="J645" s="277"/>
      <c r="K645" s="409"/>
      <c r="L645" s="477"/>
      <c r="M645" s="277"/>
      <c r="N645" s="277"/>
      <c r="O645" s="277"/>
      <c r="P645" s="277"/>
      <c r="Q645" s="277"/>
      <c r="R645" s="277"/>
      <c r="S645" s="277"/>
      <c r="T645" s="277"/>
      <c r="U645" s="277"/>
      <c r="V645" s="277"/>
      <c r="W645" s="277"/>
      <c r="X645" s="277"/>
      <c r="Y645" s="277"/>
      <c r="Z645" s="277"/>
    </row>
    <row r="646" ht="12.75" customHeight="1">
      <c r="A646" s="277"/>
      <c r="B646" s="278"/>
      <c r="C646" s="279"/>
      <c r="D646" s="277"/>
      <c r="E646" s="277"/>
      <c r="F646" s="277"/>
      <c r="G646" s="277"/>
      <c r="H646" s="277"/>
      <c r="I646" s="277"/>
      <c r="J646" s="277"/>
      <c r="K646" s="409"/>
      <c r="L646" s="477"/>
      <c r="M646" s="277"/>
      <c r="N646" s="277"/>
      <c r="O646" s="277"/>
      <c r="P646" s="277"/>
      <c r="Q646" s="277"/>
      <c r="R646" s="277"/>
      <c r="S646" s="277"/>
      <c r="T646" s="277"/>
      <c r="U646" s="277"/>
      <c r="V646" s="277"/>
      <c r="W646" s="277"/>
      <c r="X646" s="277"/>
      <c r="Y646" s="277"/>
      <c r="Z646" s="277"/>
    </row>
    <row r="647" ht="12.75" customHeight="1">
      <c r="A647" s="277"/>
      <c r="B647" s="278"/>
      <c r="C647" s="279"/>
      <c r="D647" s="277"/>
      <c r="E647" s="277"/>
      <c r="F647" s="277"/>
      <c r="G647" s="277"/>
      <c r="H647" s="277"/>
      <c r="I647" s="277"/>
      <c r="J647" s="277"/>
      <c r="K647" s="409"/>
      <c r="L647" s="477"/>
      <c r="M647" s="277"/>
      <c r="N647" s="277"/>
      <c r="O647" s="277"/>
      <c r="P647" s="277"/>
      <c r="Q647" s="277"/>
      <c r="R647" s="277"/>
      <c r="S647" s="277"/>
      <c r="T647" s="277"/>
      <c r="U647" s="277"/>
      <c r="V647" s="277"/>
      <c r="W647" s="277"/>
      <c r="X647" s="277"/>
      <c r="Y647" s="277"/>
      <c r="Z647" s="277"/>
    </row>
    <row r="648" ht="12.75" customHeight="1">
      <c r="A648" s="277"/>
      <c r="B648" s="278"/>
      <c r="C648" s="279"/>
      <c r="D648" s="277"/>
      <c r="E648" s="277"/>
      <c r="F648" s="277"/>
      <c r="G648" s="277"/>
      <c r="H648" s="277"/>
      <c r="I648" s="277"/>
      <c r="J648" s="277"/>
      <c r="K648" s="409"/>
      <c r="L648" s="477"/>
      <c r="M648" s="277"/>
      <c r="N648" s="277"/>
      <c r="O648" s="277"/>
      <c r="P648" s="277"/>
      <c r="Q648" s="277"/>
      <c r="R648" s="277"/>
      <c r="S648" s="277"/>
      <c r="T648" s="277"/>
      <c r="U648" s="277"/>
      <c r="V648" s="277"/>
      <c r="W648" s="277"/>
      <c r="X648" s="277"/>
      <c r="Y648" s="277"/>
      <c r="Z648" s="277"/>
    </row>
    <row r="649" ht="12.75" customHeight="1">
      <c r="A649" s="277"/>
      <c r="B649" s="278"/>
      <c r="C649" s="279"/>
      <c r="D649" s="277"/>
      <c r="E649" s="277"/>
      <c r="F649" s="277"/>
      <c r="G649" s="277"/>
      <c r="H649" s="277"/>
      <c r="I649" s="277"/>
      <c r="J649" s="277"/>
      <c r="K649" s="409"/>
      <c r="L649" s="477"/>
      <c r="M649" s="277"/>
      <c r="N649" s="277"/>
      <c r="O649" s="277"/>
      <c r="P649" s="277"/>
      <c r="Q649" s="277"/>
      <c r="R649" s="277"/>
      <c r="S649" s="277"/>
      <c r="T649" s="277"/>
      <c r="U649" s="277"/>
      <c r="V649" s="277"/>
      <c r="W649" s="277"/>
      <c r="X649" s="277"/>
      <c r="Y649" s="277"/>
      <c r="Z649" s="277"/>
    </row>
    <row r="650" ht="12.75" customHeight="1">
      <c r="A650" s="277"/>
      <c r="B650" s="278"/>
      <c r="C650" s="279"/>
      <c r="D650" s="277"/>
      <c r="E650" s="277"/>
      <c r="F650" s="277"/>
      <c r="G650" s="277"/>
      <c r="H650" s="277"/>
      <c r="I650" s="277"/>
      <c r="J650" s="277"/>
      <c r="K650" s="409"/>
      <c r="L650" s="477"/>
      <c r="M650" s="277"/>
      <c r="N650" s="277"/>
      <c r="O650" s="277"/>
      <c r="P650" s="277"/>
      <c r="Q650" s="277"/>
      <c r="R650" s="277"/>
      <c r="S650" s="277"/>
      <c r="T650" s="277"/>
      <c r="U650" s="277"/>
      <c r="V650" s="277"/>
      <c r="W650" s="277"/>
      <c r="X650" s="277"/>
      <c r="Y650" s="277"/>
      <c r="Z650" s="277"/>
    </row>
    <row r="651" ht="12.75" customHeight="1">
      <c r="A651" s="277"/>
      <c r="B651" s="278"/>
      <c r="C651" s="279"/>
      <c r="D651" s="277"/>
      <c r="E651" s="277"/>
      <c r="F651" s="277"/>
      <c r="G651" s="277"/>
      <c r="H651" s="277"/>
      <c r="I651" s="277"/>
      <c r="J651" s="277"/>
      <c r="K651" s="409"/>
      <c r="L651" s="477"/>
      <c r="M651" s="277"/>
      <c r="N651" s="277"/>
      <c r="O651" s="277"/>
      <c r="P651" s="277"/>
      <c r="Q651" s="277"/>
      <c r="R651" s="277"/>
      <c r="S651" s="277"/>
      <c r="T651" s="277"/>
      <c r="U651" s="277"/>
      <c r="V651" s="277"/>
      <c r="W651" s="277"/>
      <c r="X651" s="277"/>
      <c r="Y651" s="277"/>
      <c r="Z651" s="277"/>
    </row>
    <row r="652" ht="12.75" customHeight="1">
      <c r="A652" s="277"/>
      <c r="B652" s="278"/>
      <c r="C652" s="279"/>
      <c r="D652" s="277"/>
      <c r="E652" s="277"/>
      <c r="F652" s="277"/>
      <c r="G652" s="277"/>
      <c r="H652" s="277"/>
      <c r="I652" s="277"/>
      <c r="J652" s="277"/>
      <c r="K652" s="409"/>
      <c r="L652" s="477"/>
      <c r="M652" s="277"/>
      <c r="N652" s="277"/>
      <c r="O652" s="277"/>
      <c r="P652" s="277"/>
      <c r="Q652" s="277"/>
      <c r="R652" s="277"/>
      <c r="S652" s="277"/>
      <c r="T652" s="277"/>
      <c r="U652" s="277"/>
      <c r="V652" s="277"/>
      <c r="W652" s="277"/>
      <c r="X652" s="277"/>
      <c r="Y652" s="277"/>
      <c r="Z652" s="277"/>
    </row>
    <row r="653" ht="12.75" customHeight="1">
      <c r="A653" s="277"/>
      <c r="B653" s="278"/>
      <c r="C653" s="279"/>
      <c r="D653" s="277"/>
      <c r="E653" s="277"/>
      <c r="F653" s="277"/>
      <c r="G653" s="277"/>
      <c r="H653" s="277"/>
      <c r="I653" s="277"/>
      <c r="J653" s="277"/>
      <c r="K653" s="409"/>
      <c r="L653" s="477"/>
      <c r="M653" s="277"/>
      <c r="N653" s="277"/>
      <c r="O653" s="277"/>
      <c r="P653" s="277"/>
      <c r="Q653" s="277"/>
      <c r="R653" s="277"/>
      <c r="S653" s="277"/>
      <c r="T653" s="277"/>
      <c r="U653" s="277"/>
      <c r="V653" s="277"/>
      <c r="W653" s="277"/>
      <c r="X653" s="277"/>
      <c r="Y653" s="277"/>
      <c r="Z653" s="277"/>
    </row>
    <row r="654" ht="12.75" customHeight="1">
      <c r="A654" s="277"/>
      <c r="B654" s="278"/>
      <c r="C654" s="279"/>
      <c r="D654" s="277"/>
      <c r="E654" s="277"/>
      <c r="F654" s="277"/>
      <c r="G654" s="277"/>
      <c r="H654" s="277"/>
      <c r="I654" s="277"/>
      <c r="J654" s="277"/>
      <c r="K654" s="409"/>
      <c r="L654" s="477"/>
      <c r="M654" s="277"/>
      <c r="N654" s="277"/>
      <c r="O654" s="277"/>
      <c r="P654" s="277"/>
      <c r="Q654" s="277"/>
      <c r="R654" s="277"/>
      <c r="S654" s="277"/>
      <c r="T654" s="277"/>
      <c r="U654" s="277"/>
      <c r="V654" s="277"/>
      <c r="W654" s="277"/>
      <c r="X654" s="277"/>
      <c r="Y654" s="277"/>
      <c r="Z654" s="277"/>
    </row>
    <row r="655" ht="12.75" customHeight="1">
      <c r="A655" s="277"/>
      <c r="B655" s="278"/>
      <c r="C655" s="279"/>
      <c r="D655" s="277"/>
      <c r="E655" s="277"/>
      <c r="F655" s="277"/>
      <c r="G655" s="277"/>
      <c r="H655" s="277"/>
      <c r="I655" s="277"/>
      <c r="J655" s="277"/>
      <c r="K655" s="409"/>
      <c r="L655" s="477"/>
      <c r="M655" s="277"/>
      <c r="N655" s="277"/>
      <c r="O655" s="277"/>
      <c r="P655" s="277"/>
      <c r="Q655" s="277"/>
      <c r="R655" s="277"/>
      <c r="S655" s="277"/>
      <c r="T655" s="277"/>
      <c r="U655" s="277"/>
      <c r="V655" s="277"/>
      <c r="W655" s="277"/>
      <c r="X655" s="277"/>
      <c r="Y655" s="277"/>
      <c r="Z655" s="277"/>
    </row>
    <row r="656" ht="12.75" customHeight="1">
      <c r="A656" s="277"/>
      <c r="B656" s="278"/>
      <c r="C656" s="279"/>
      <c r="D656" s="277"/>
      <c r="E656" s="277"/>
      <c r="F656" s="277"/>
      <c r="G656" s="277"/>
      <c r="H656" s="277"/>
      <c r="I656" s="277"/>
      <c r="J656" s="277"/>
      <c r="K656" s="409"/>
      <c r="L656" s="477"/>
      <c r="M656" s="277"/>
      <c r="N656" s="277"/>
      <c r="O656" s="277"/>
      <c r="P656" s="277"/>
      <c r="Q656" s="277"/>
      <c r="R656" s="277"/>
      <c r="S656" s="277"/>
      <c r="T656" s="277"/>
      <c r="U656" s="277"/>
      <c r="V656" s="277"/>
      <c r="W656" s="277"/>
      <c r="X656" s="277"/>
      <c r="Y656" s="277"/>
      <c r="Z656" s="277"/>
    </row>
    <row r="657" ht="12.75" customHeight="1">
      <c r="A657" s="277"/>
      <c r="B657" s="278"/>
      <c r="C657" s="279"/>
      <c r="D657" s="277"/>
      <c r="E657" s="277"/>
      <c r="F657" s="277"/>
      <c r="G657" s="277"/>
      <c r="H657" s="277"/>
      <c r="I657" s="277"/>
      <c r="J657" s="277"/>
      <c r="K657" s="409"/>
      <c r="L657" s="477"/>
      <c r="M657" s="277"/>
      <c r="N657" s="277"/>
      <c r="O657" s="277"/>
      <c r="P657" s="277"/>
      <c r="Q657" s="277"/>
      <c r="R657" s="277"/>
      <c r="S657" s="277"/>
      <c r="T657" s="277"/>
      <c r="U657" s="277"/>
      <c r="V657" s="277"/>
      <c r="W657" s="277"/>
      <c r="X657" s="277"/>
      <c r="Y657" s="277"/>
      <c r="Z657" s="277"/>
    </row>
    <row r="658" ht="12.75" customHeight="1">
      <c r="A658" s="277"/>
      <c r="B658" s="278"/>
      <c r="C658" s="279"/>
      <c r="D658" s="277"/>
      <c r="E658" s="277"/>
      <c r="F658" s="277"/>
      <c r="G658" s="277"/>
      <c r="H658" s="277"/>
      <c r="I658" s="277"/>
      <c r="J658" s="277"/>
      <c r="K658" s="409"/>
      <c r="L658" s="477"/>
      <c r="M658" s="277"/>
      <c r="N658" s="277"/>
      <c r="O658" s="277"/>
      <c r="P658" s="277"/>
      <c r="Q658" s="277"/>
      <c r="R658" s="277"/>
      <c r="S658" s="277"/>
      <c r="T658" s="277"/>
      <c r="U658" s="277"/>
      <c r="V658" s="277"/>
      <c r="W658" s="277"/>
      <c r="X658" s="277"/>
      <c r="Y658" s="277"/>
      <c r="Z658" s="277"/>
    </row>
    <row r="659" ht="12.75" customHeight="1">
      <c r="A659" s="277"/>
      <c r="B659" s="278"/>
      <c r="C659" s="279"/>
      <c r="D659" s="277"/>
      <c r="E659" s="277"/>
      <c r="F659" s="277"/>
      <c r="G659" s="277"/>
      <c r="H659" s="277"/>
      <c r="I659" s="277"/>
      <c r="J659" s="277"/>
      <c r="K659" s="409"/>
      <c r="L659" s="477"/>
      <c r="M659" s="277"/>
      <c r="N659" s="277"/>
      <c r="O659" s="277"/>
      <c r="P659" s="277"/>
      <c r="Q659" s="277"/>
      <c r="R659" s="277"/>
      <c r="S659" s="277"/>
      <c r="T659" s="277"/>
      <c r="U659" s="277"/>
      <c r="V659" s="277"/>
      <c r="W659" s="277"/>
      <c r="X659" s="277"/>
      <c r="Y659" s="277"/>
      <c r="Z659" s="277"/>
    </row>
    <row r="660" ht="12.75" customHeight="1">
      <c r="A660" s="277"/>
      <c r="B660" s="278"/>
      <c r="C660" s="279"/>
      <c r="D660" s="277"/>
      <c r="E660" s="277"/>
      <c r="F660" s="277"/>
      <c r="G660" s="277"/>
      <c r="H660" s="277"/>
      <c r="I660" s="277"/>
      <c r="J660" s="277"/>
      <c r="K660" s="409"/>
      <c r="L660" s="477"/>
      <c r="M660" s="277"/>
      <c r="N660" s="277"/>
      <c r="O660" s="277"/>
      <c r="P660" s="277"/>
      <c r="Q660" s="277"/>
      <c r="R660" s="277"/>
      <c r="S660" s="277"/>
      <c r="T660" s="277"/>
      <c r="U660" s="277"/>
      <c r="V660" s="277"/>
      <c r="W660" s="277"/>
      <c r="X660" s="277"/>
      <c r="Y660" s="277"/>
      <c r="Z660" s="277"/>
    </row>
    <row r="661" ht="12.75" customHeight="1">
      <c r="A661" s="277"/>
      <c r="B661" s="278"/>
      <c r="C661" s="279"/>
      <c r="D661" s="277"/>
      <c r="E661" s="277"/>
      <c r="F661" s="277"/>
      <c r="G661" s="277"/>
      <c r="H661" s="277"/>
      <c r="I661" s="277"/>
      <c r="J661" s="277"/>
      <c r="K661" s="409"/>
      <c r="L661" s="477"/>
      <c r="M661" s="277"/>
      <c r="N661" s="277"/>
      <c r="O661" s="277"/>
      <c r="P661" s="277"/>
      <c r="Q661" s="277"/>
      <c r="R661" s="277"/>
      <c r="S661" s="277"/>
      <c r="T661" s="277"/>
      <c r="U661" s="277"/>
      <c r="V661" s="277"/>
      <c r="W661" s="277"/>
      <c r="X661" s="277"/>
      <c r="Y661" s="277"/>
      <c r="Z661" s="277"/>
    </row>
    <row r="662" ht="12.75" customHeight="1">
      <c r="A662" s="277"/>
      <c r="B662" s="278"/>
      <c r="C662" s="279"/>
      <c r="D662" s="277"/>
      <c r="E662" s="277"/>
      <c r="F662" s="277"/>
      <c r="G662" s="277"/>
      <c r="H662" s="277"/>
      <c r="I662" s="277"/>
      <c r="J662" s="277"/>
      <c r="K662" s="409"/>
      <c r="L662" s="477"/>
      <c r="M662" s="277"/>
      <c r="N662" s="277"/>
      <c r="O662" s="277"/>
      <c r="P662" s="277"/>
      <c r="Q662" s="277"/>
      <c r="R662" s="277"/>
      <c r="S662" s="277"/>
      <c r="T662" s="277"/>
      <c r="U662" s="277"/>
      <c r="V662" s="277"/>
      <c r="W662" s="277"/>
      <c r="X662" s="277"/>
      <c r="Y662" s="277"/>
      <c r="Z662" s="277"/>
    </row>
    <row r="663" ht="12.75" customHeight="1">
      <c r="A663" s="277"/>
      <c r="B663" s="278"/>
      <c r="C663" s="279"/>
      <c r="D663" s="277"/>
      <c r="E663" s="277"/>
      <c r="F663" s="277"/>
      <c r="G663" s="277"/>
      <c r="H663" s="277"/>
      <c r="I663" s="277"/>
      <c r="J663" s="277"/>
      <c r="K663" s="409"/>
      <c r="L663" s="477"/>
      <c r="M663" s="277"/>
      <c r="N663" s="277"/>
      <c r="O663" s="277"/>
      <c r="P663" s="277"/>
      <c r="Q663" s="277"/>
      <c r="R663" s="277"/>
      <c r="S663" s="277"/>
      <c r="T663" s="277"/>
      <c r="U663" s="277"/>
      <c r="V663" s="277"/>
      <c r="W663" s="277"/>
      <c r="X663" s="277"/>
      <c r="Y663" s="277"/>
      <c r="Z663" s="277"/>
    </row>
    <row r="664" ht="12.75" customHeight="1">
      <c r="A664" s="277"/>
      <c r="B664" s="278"/>
      <c r="C664" s="279"/>
      <c r="D664" s="277"/>
      <c r="E664" s="277"/>
      <c r="F664" s="277"/>
      <c r="G664" s="277"/>
      <c r="H664" s="277"/>
      <c r="I664" s="277"/>
      <c r="J664" s="277"/>
      <c r="K664" s="409"/>
      <c r="L664" s="477"/>
      <c r="M664" s="277"/>
      <c r="N664" s="277"/>
      <c r="O664" s="277"/>
      <c r="P664" s="277"/>
      <c r="Q664" s="277"/>
      <c r="R664" s="277"/>
      <c r="S664" s="277"/>
      <c r="T664" s="277"/>
      <c r="U664" s="277"/>
      <c r="V664" s="277"/>
      <c r="W664" s="277"/>
      <c r="X664" s="277"/>
      <c r="Y664" s="277"/>
      <c r="Z664" s="277"/>
    </row>
    <row r="665" ht="12.75" customHeight="1">
      <c r="A665" s="277"/>
      <c r="B665" s="278"/>
      <c r="C665" s="279"/>
      <c r="D665" s="277"/>
      <c r="E665" s="277"/>
      <c r="F665" s="277"/>
      <c r="G665" s="277"/>
      <c r="H665" s="277"/>
      <c r="I665" s="277"/>
      <c r="J665" s="277"/>
      <c r="K665" s="409"/>
      <c r="L665" s="477"/>
      <c r="M665" s="277"/>
      <c r="N665" s="277"/>
      <c r="O665" s="277"/>
      <c r="P665" s="277"/>
      <c r="Q665" s="277"/>
      <c r="R665" s="277"/>
      <c r="S665" s="277"/>
      <c r="T665" s="277"/>
      <c r="U665" s="277"/>
      <c r="V665" s="277"/>
      <c r="W665" s="277"/>
      <c r="X665" s="277"/>
      <c r="Y665" s="277"/>
      <c r="Z665" s="277"/>
    </row>
    <row r="666" ht="12.75" customHeight="1">
      <c r="A666" s="277"/>
      <c r="B666" s="278"/>
      <c r="C666" s="279"/>
      <c r="D666" s="277"/>
      <c r="E666" s="277"/>
      <c r="F666" s="277"/>
      <c r="G666" s="277"/>
      <c r="H666" s="277"/>
      <c r="I666" s="277"/>
      <c r="J666" s="277"/>
      <c r="K666" s="409"/>
      <c r="L666" s="477"/>
      <c r="M666" s="277"/>
      <c r="N666" s="277"/>
      <c r="O666" s="277"/>
      <c r="P666" s="277"/>
      <c r="Q666" s="277"/>
      <c r="R666" s="277"/>
      <c r="S666" s="277"/>
      <c r="T666" s="277"/>
      <c r="U666" s="277"/>
      <c r="V666" s="277"/>
      <c r="W666" s="277"/>
      <c r="X666" s="277"/>
      <c r="Y666" s="277"/>
      <c r="Z666" s="277"/>
    </row>
    <row r="667" ht="12.75" customHeight="1">
      <c r="A667" s="277"/>
      <c r="B667" s="278"/>
      <c r="C667" s="279"/>
      <c r="D667" s="277"/>
      <c r="E667" s="277"/>
      <c r="F667" s="277"/>
      <c r="G667" s="277"/>
      <c r="H667" s="277"/>
      <c r="I667" s="277"/>
      <c r="J667" s="277"/>
      <c r="K667" s="409"/>
      <c r="L667" s="477"/>
      <c r="M667" s="277"/>
      <c r="N667" s="277"/>
      <c r="O667" s="277"/>
      <c r="P667" s="277"/>
      <c r="Q667" s="277"/>
      <c r="R667" s="277"/>
      <c r="S667" s="277"/>
      <c r="T667" s="277"/>
      <c r="U667" s="277"/>
      <c r="V667" s="277"/>
      <c r="W667" s="277"/>
      <c r="X667" s="277"/>
      <c r="Y667" s="277"/>
      <c r="Z667" s="277"/>
    </row>
    <row r="668" ht="12.75" customHeight="1">
      <c r="A668" s="277"/>
      <c r="B668" s="278"/>
      <c r="C668" s="279"/>
      <c r="D668" s="277"/>
      <c r="E668" s="277"/>
      <c r="F668" s="277"/>
      <c r="G668" s="277"/>
      <c r="H668" s="277"/>
      <c r="I668" s="277"/>
      <c r="J668" s="277"/>
      <c r="K668" s="409"/>
      <c r="L668" s="477"/>
      <c r="M668" s="277"/>
      <c r="N668" s="277"/>
      <c r="O668" s="277"/>
      <c r="P668" s="277"/>
      <c r="Q668" s="277"/>
      <c r="R668" s="277"/>
      <c r="S668" s="277"/>
      <c r="T668" s="277"/>
      <c r="U668" s="277"/>
      <c r="V668" s="277"/>
      <c r="W668" s="277"/>
      <c r="X668" s="277"/>
      <c r="Y668" s="277"/>
      <c r="Z668" s="277"/>
    </row>
    <row r="669" ht="12.75" customHeight="1">
      <c r="A669" s="277"/>
      <c r="B669" s="278"/>
      <c r="C669" s="279"/>
      <c r="D669" s="277"/>
      <c r="E669" s="277"/>
      <c r="F669" s="277"/>
      <c r="G669" s="277"/>
      <c r="H669" s="277"/>
      <c r="I669" s="277"/>
      <c r="J669" s="277"/>
      <c r="K669" s="409"/>
      <c r="L669" s="477"/>
      <c r="M669" s="277"/>
      <c r="N669" s="277"/>
      <c r="O669" s="277"/>
      <c r="P669" s="277"/>
      <c r="Q669" s="277"/>
      <c r="R669" s="277"/>
      <c r="S669" s="277"/>
      <c r="T669" s="277"/>
      <c r="U669" s="277"/>
      <c r="V669" s="277"/>
      <c r="W669" s="277"/>
      <c r="X669" s="277"/>
      <c r="Y669" s="277"/>
      <c r="Z669" s="277"/>
    </row>
    <row r="670" ht="12.75" customHeight="1">
      <c r="A670" s="277"/>
      <c r="B670" s="278"/>
      <c r="C670" s="279"/>
      <c r="D670" s="277"/>
      <c r="E670" s="277"/>
      <c r="F670" s="277"/>
      <c r="G670" s="277"/>
      <c r="H670" s="277"/>
      <c r="I670" s="277"/>
      <c r="J670" s="277"/>
      <c r="K670" s="409"/>
      <c r="L670" s="477"/>
      <c r="M670" s="277"/>
      <c r="N670" s="277"/>
      <c r="O670" s="277"/>
      <c r="P670" s="277"/>
      <c r="Q670" s="277"/>
      <c r="R670" s="277"/>
      <c r="S670" s="277"/>
      <c r="T670" s="277"/>
      <c r="U670" s="277"/>
      <c r="V670" s="277"/>
      <c r="W670" s="277"/>
      <c r="X670" s="277"/>
      <c r="Y670" s="277"/>
      <c r="Z670" s="277"/>
    </row>
    <row r="671" ht="12.75" customHeight="1">
      <c r="A671" s="277"/>
      <c r="B671" s="278"/>
      <c r="C671" s="279"/>
      <c r="D671" s="277"/>
      <c r="E671" s="277"/>
      <c r="F671" s="277"/>
      <c r="G671" s="277"/>
      <c r="H671" s="277"/>
      <c r="I671" s="277"/>
      <c r="J671" s="277"/>
      <c r="K671" s="409"/>
      <c r="L671" s="477"/>
      <c r="M671" s="277"/>
      <c r="N671" s="277"/>
      <c r="O671" s="277"/>
      <c r="P671" s="277"/>
      <c r="Q671" s="277"/>
      <c r="R671" s="277"/>
      <c r="S671" s="277"/>
      <c r="T671" s="277"/>
      <c r="U671" s="277"/>
      <c r="V671" s="277"/>
      <c r="W671" s="277"/>
      <c r="X671" s="277"/>
      <c r="Y671" s="277"/>
      <c r="Z671" s="277"/>
    </row>
    <row r="672" ht="12.75" customHeight="1">
      <c r="A672" s="277"/>
      <c r="B672" s="278"/>
      <c r="C672" s="279"/>
      <c r="D672" s="277"/>
      <c r="E672" s="277"/>
      <c r="F672" s="277"/>
      <c r="G672" s="277"/>
      <c r="H672" s="277"/>
      <c r="I672" s="277"/>
      <c r="J672" s="277"/>
      <c r="K672" s="409"/>
      <c r="L672" s="477"/>
      <c r="M672" s="277"/>
      <c r="N672" s="277"/>
      <c r="O672" s="277"/>
      <c r="P672" s="277"/>
      <c r="Q672" s="277"/>
      <c r="R672" s="277"/>
      <c r="S672" s="277"/>
      <c r="T672" s="277"/>
      <c r="U672" s="277"/>
      <c r="V672" s="277"/>
      <c r="W672" s="277"/>
      <c r="X672" s="277"/>
      <c r="Y672" s="277"/>
      <c r="Z672" s="277"/>
    </row>
    <row r="673" ht="12.75" customHeight="1">
      <c r="A673" s="277"/>
      <c r="B673" s="278"/>
      <c r="C673" s="279"/>
      <c r="D673" s="277"/>
      <c r="E673" s="277"/>
      <c r="F673" s="277"/>
      <c r="G673" s="277"/>
      <c r="H673" s="277"/>
      <c r="I673" s="277"/>
      <c r="J673" s="277"/>
      <c r="K673" s="409"/>
      <c r="L673" s="477"/>
      <c r="M673" s="277"/>
      <c r="N673" s="277"/>
      <c r="O673" s="277"/>
      <c r="P673" s="277"/>
      <c r="Q673" s="277"/>
      <c r="R673" s="277"/>
      <c r="S673" s="277"/>
      <c r="T673" s="277"/>
      <c r="U673" s="277"/>
      <c r="V673" s="277"/>
      <c r="W673" s="277"/>
      <c r="X673" s="277"/>
      <c r="Y673" s="277"/>
      <c r="Z673" s="277"/>
    </row>
    <row r="674" ht="12.75" customHeight="1">
      <c r="A674" s="277"/>
      <c r="B674" s="278"/>
      <c r="C674" s="279"/>
      <c r="D674" s="277"/>
      <c r="E674" s="277"/>
      <c r="F674" s="277"/>
      <c r="G674" s="277"/>
      <c r="H674" s="277"/>
      <c r="I674" s="277"/>
      <c r="J674" s="277"/>
      <c r="K674" s="409"/>
      <c r="L674" s="477"/>
      <c r="M674" s="277"/>
      <c r="N674" s="277"/>
      <c r="O674" s="277"/>
      <c r="P674" s="277"/>
      <c r="Q674" s="277"/>
      <c r="R674" s="277"/>
      <c r="S674" s="277"/>
      <c r="T674" s="277"/>
      <c r="U674" s="277"/>
      <c r="V674" s="277"/>
      <c r="W674" s="277"/>
      <c r="X674" s="277"/>
      <c r="Y674" s="277"/>
      <c r="Z674" s="277"/>
    </row>
    <row r="675" ht="12.75" customHeight="1">
      <c r="A675" s="277"/>
      <c r="B675" s="278"/>
      <c r="C675" s="279"/>
      <c r="D675" s="277"/>
      <c r="E675" s="277"/>
      <c r="F675" s="277"/>
      <c r="G675" s="277"/>
      <c r="H675" s="277"/>
      <c r="I675" s="277"/>
      <c r="J675" s="277"/>
      <c r="K675" s="409"/>
      <c r="L675" s="477"/>
      <c r="M675" s="277"/>
      <c r="N675" s="277"/>
      <c r="O675" s="277"/>
      <c r="P675" s="277"/>
      <c r="Q675" s="277"/>
      <c r="R675" s="277"/>
      <c r="S675" s="277"/>
      <c r="T675" s="277"/>
      <c r="U675" s="277"/>
      <c r="V675" s="277"/>
      <c r="W675" s="277"/>
      <c r="X675" s="277"/>
      <c r="Y675" s="277"/>
      <c r="Z675" s="277"/>
    </row>
    <row r="676" ht="12.75" customHeight="1">
      <c r="A676" s="277"/>
      <c r="B676" s="278"/>
      <c r="C676" s="279"/>
      <c r="D676" s="277"/>
      <c r="E676" s="277"/>
      <c r="F676" s="277"/>
      <c r="G676" s="277"/>
      <c r="H676" s="277"/>
      <c r="I676" s="277"/>
      <c r="J676" s="277"/>
      <c r="K676" s="409"/>
      <c r="L676" s="477"/>
      <c r="M676" s="277"/>
      <c r="N676" s="277"/>
      <c r="O676" s="277"/>
      <c r="P676" s="277"/>
      <c r="Q676" s="277"/>
      <c r="R676" s="277"/>
      <c r="S676" s="277"/>
      <c r="T676" s="277"/>
      <c r="U676" s="277"/>
      <c r="V676" s="277"/>
      <c r="W676" s="277"/>
      <c r="X676" s="277"/>
      <c r="Y676" s="277"/>
      <c r="Z676" s="277"/>
    </row>
    <row r="677" ht="12.75" customHeight="1">
      <c r="A677" s="277"/>
      <c r="B677" s="278"/>
      <c r="C677" s="279"/>
      <c r="D677" s="277"/>
      <c r="E677" s="277"/>
      <c r="F677" s="277"/>
      <c r="G677" s="277"/>
      <c r="H677" s="277"/>
      <c r="I677" s="277"/>
      <c r="J677" s="277"/>
      <c r="K677" s="409"/>
      <c r="L677" s="477"/>
      <c r="M677" s="277"/>
      <c r="N677" s="277"/>
      <c r="O677" s="277"/>
      <c r="P677" s="277"/>
      <c r="Q677" s="277"/>
      <c r="R677" s="277"/>
      <c r="S677" s="277"/>
      <c r="T677" s="277"/>
      <c r="U677" s="277"/>
      <c r="V677" s="277"/>
      <c r="W677" s="277"/>
      <c r="X677" s="277"/>
      <c r="Y677" s="277"/>
      <c r="Z677" s="277"/>
    </row>
    <row r="678" ht="12.75" customHeight="1">
      <c r="A678" s="277"/>
      <c r="B678" s="278"/>
      <c r="C678" s="279"/>
      <c r="D678" s="277"/>
      <c r="E678" s="277"/>
      <c r="F678" s="277"/>
      <c r="G678" s="277"/>
      <c r="H678" s="277"/>
      <c r="I678" s="277"/>
      <c r="J678" s="277"/>
      <c r="K678" s="409"/>
      <c r="L678" s="477"/>
      <c r="M678" s="277"/>
      <c r="N678" s="277"/>
      <c r="O678" s="277"/>
      <c r="P678" s="277"/>
      <c r="Q678" s="277"/>
      <c r="R678" s="277"/>
      <c r="S678" s="277"/>
      <c r="T678" s="277"/>
      <c r="U678" s="277"/>
      <c r="V678" s="277"/>
      <c r="W678" s="277"/>
      <c r="X678" s="277"/>
      <c r="Y678" s="277"/>
      <c r="Z678" s="277"/>
    </row>
    <row r="679" ht="12.75" customHeight="1">
      <c r="A679" s="277"/>
      <c r="B679" s="278"/>
      <c r="C679" s="279"/>
      <c r="D679" s="277"/>
      <c r="E679" s="277"/>
      <c r="F679" s="277"/>
      <c r="G679" s="277"/>
      <c r="H679" s="277"/>
      <c r="I679" s="277"/>
      <c r="J679" s="277"/>
      <c r="K679" s="409"/>
      <c r="L679" s="477"/>
      <c r="M679" s="277"/>
      <c r="N679" s="277"/>
      <c r="O679" s="277"/>
      <c r="P679" s="277"/>
      <c r="Q679" s="277"/>
      <c r="R679" s="277"/>
      <c r="S679" s="277"/>
      <c r="T679" s="277"/>
      <c r="U679" s="277"/>
      <c r="V679" s="277"/>
      <c r="W679" s="277"/>
      <c r="X679" s="277"/>
      <c r="Y679" s="277"/>
      <c r="Z679" s="277"/>
    </row>
    <row r="680" ht="12.75" customHeight="1">
      <c r="A680" s="277"/>
      <c r="B680" s="278"/>
      <c r="C680" s="279"/>
      <c r="D680" s="277"/>
      <c r="E680" s="277"/>
      <c r="F680" s="277"/>
      <c r="G680" s="277"/>
      <c r="H680" s="277"/>
      <c r="I680" s="277"/>
      <c r="J680" s="277"/>
      <c r="K680" s="409"/>
      <c r="L680" s="477"/>
      <c r="M680" s="277"/>
      <c r="N680" s="277"/>
      <c r="O680" s="277"/>
      <c r="P680" s="277"/>
      <c r="Q680" s="277"/>
      <c r="R680" s="277"/>
      <c r="S680" s="277"/>
      <c r="T680" s="277"/>
      <c r="U680" s="277"/>
      <c r="V680" s="277"/>
      <c r="W680" s="277"/>
      <c r="X680" s="277"/>
      <c r="Y680" s="277"/>
      <c r="Z680" s="277"/>
    </row>
    <row r="681" ht="12.75" customHeight="1">
      <c r="A681" s="277"/>
      <c r="B681" s="278"/>
      <c r="C681" s="279"/>
      <c r="D681" s="277"/>
      <c r="E681" s="277"/>
      <c r="F681" s="277"/>
      <c r="G681" s="277"/>
      <c r="H681" s="277"/>
      <c r="I681" s="277"/>
      <c r="J681" s="277"/>
      <c r="K681" s="409"/>
      <c r="L681" s="477"/>
      <c r="M681" s="277"/>
      <c r="N681" s="277"/>
      <c r="O681" s="277"/>
      <c r="P681" s="277"/>
      <c r="Q681" s="277"/>
      <c r="R681" s="277"/>
      <c r="S681" s="277"/>
      <c r="T681" s="277"/>
      <c r="U681" s="277"/>
      <c r="V681" s="277"/>
      <c r="W681" s="277"/>
      <c r="X681" s="277"/>
      <c r="Y681" s="277"/>
      <c r="Z681" s="277"/>
    </row>
    <row r="682" ht="12.75" customHeight="1">
      <c r="A682" s="277"/>
      <c r="B682" s="278"/>
      <c r="C682" s="279"/>
      <c r="D682" s="277"/>
      <c r="E682" s="277"/>
      <c r="F682" s="277"/>
      <c r="G682" s="277"/>
      <c r="H682" s="277"/>
      <c r="I682" s="277"/>
      <c r="J682" s="277"/>
      <c r="K682" s="409"/>
      <c r="L682" s="477"/>
      <c r="M682" s="277"/>
      <c r="N682" s="277"/>
      <c r="O682" s="277"/>
      <c r="P682" s="277"/>
      <c r="Q682" s="277"/>
      <c r="R682" s="277"/>
      <c r="S682" s="277"/>
      <c r="T682" s="277"/>
      <c r="U682" s="277"/>
      <c r="V682" s="277"/>
      <c r="W682" s="277"/>
      <c r="X682" s="277"/>
      <c r="Y682" s="277"/>
      <c r="Z682" s="277"/>
    </row>
    <row r="683" ht="12.75" customHeight="1">
      <c r="A683" s="277"/>
      <c r="B683" s="278"/>
      <c r="C683" s="279"/>
      <c r="D683" s="277"/>
      <c r="E683" s="277"/>
      <c r="F683" s="277"/>
      <c r="G683" s="277"/>
      <c r="H683" s="277"/>
      <c r="I683" s="277"/>
      <c r="J683" s="277"/>
      <c r="K683" s="409"/>
      <c r="L683" s="477"/>
      <c r="M683" s="277"/>
      <c r="N683" s="277"/>
      <c r="O683" s="277"/>
      <c r="P683" s="277"/>
      <c r="Q683" s="277"/>
      <c r="R683" s="277"/>
      <c r="S683" s="277"/>
      <c r="T683" s="277"/>
      <c r="U683" s="277"/>
      <c r="V683" s="277"/>
      <c r="W683" s="277"/>
      <c r="X683" s="277"/>
      <c r="Y683" s="277"/>
      <c r="Z683" s="277"/>
    </row>
    <row r="684" ht="12.75" customHeight="1">
      <c r="A684" s="277"/>
      <c r="B684" s="278"/>
      <c r="C684" s="279"/>
      <c r="D684" s="277"/>
      <c r="E684" s="277"/>
      <c r="F684" s="277"/>
      <c r="G684" s="277"/>
      <c r="H684" s="277"/>
      <c r="I684" s="277"/>
      <c r="J684" s="277"/>
      <c r="K684" s="409"/>
      <c r="L684" s="477"/>
      <c r="M684" s="277"/>
      <c r="N684" s="277"/>
      <c r="O684" s="277"/>
      <c r="P684" s="277"/>
      <c r="Q684" s="277"/>
      <c r="R684" s="277"/>
      <c r="S684" s="277"/>
      <c r="T684" s="277"/>
      <c r="U684" s="277"/>
      <c r="V684" s="277"/>
      <c r="W684" s="277"/>
      <c r="X684" s="277"/>
      <c r="Y684" s="277"/>
      <c r="Z684" s="277"/>
    </row>
    <row r="685" ht="12.75" customHeight="1">
      <c r="A685" s="277"/>
      <c r="B685" s="278"/>
      <c r="C685" s="279"/>
      <c r="D685" s="277"/>
      <c r="E685" s="277"/>
      <c r="F685" s="277"/>
      <c r="G685" s="277"/>
      <c r="H685" s="277"/>
      <c r="I685" s="277"/>
      <c r="J685" s="277"/>
      <c r="K685" s="409"/>
      <c r="L685" s="477"/>
      <c r="M685" s="277"/>
      <c r="N685" s="277"/>
      <c r="O685" s="277"/>
      <c r="P685" s="277"/>
      <c r="Q685" s="277"/>
      <c r="R685" s="277"/>
      <c r="S685" s="277"/>
      <c r="T685" s="277"/>
      <c r="U685" s="277"/>
      <c r="V685" s="277"/>
      <c r="W685" s="277"/>
      <c r="X685" s="277"/>
      <c r="Y685" s="277"/>
      <c r="Z685" s="277"/>
    </row>
    <row r="686" ht="12.75" customHeight="1">
      <c r="A686" s="277"/>
      <c r="B686" s="278"/>
      <c r="C686" s="279"/>
      <c r="D686" s="277"/>
      <c r="E686" s="277"/>
      <c r="F686" s="277"/>
      <c r="G686" s="277"/>
      <c r="H686" s="277"/>
      <c r="I686" s="277"/>
      <c r="J686" s="277"/>
      <c r="K686" s="409"/>
      <c r="L686" s="477"/>
      <c r="M686" s="277"/>
      <c r="N686" s="277"/>
      <c r="O686" s="277"/>
      <c r="P686" s="277"/>
      <c r="Q686" s="277"/>
      <c r="R686" s="277"/>
      <c r="S686" s="277"/>
      <c r="T686" s="277"/>
      <c r="U686" s="277"/>
      <c r="V686" s="277"/>
      <c r="W686" s="277"/>
      <c r="X686" s="277"/>
      <c r="Y686" s="277"/>
      <c r="Z686" s="277"/>
    </row>
    <row r="687" ht="12.75" customHeight="1">
      <c r="A687" s="277"/>
      <c r="B687" s="278"/>
      <c r="C687" s="279"/>
      <c r="D687" s="277"/>
      <c r="E687" s="277"/>
      <c r="F687" s="277"/>
      <c r="G687" s="277"/>
      <c r="H687" s="277"/>
      <c r="I687" s="277"/>
      <c r="J687" s="277"/>
      <c r="K687" s="409"/>
      <c r="L687" s="477"/>
      <c r="M687" s="277"/>
      <c r="N687" s="277"/>
      <c r="O687" s="277"/>
      <c r="P687" s="277"/>
      <c r="Q687" s="277"/>
      <c r="R687" s="277"/>
      <c r="S687" s="277"/>
      <c r="T687" s="277"/>
      <c r="U687" s="277"/>
      <c r="V687" s="277"/>
      <c r="W687" s="277"/>
      <c r="X687" s="277"/>
      <c r="Y687" s="277"/>
      <c r="Z687" s="277"/>
    </row>
    <row r="688" ht="12.75" customHeight="1">
      <c r="A688" s="277"/>
      <c r="B688" s="278"/>
      <c r="C688" s="279"/>
      <c r="D688" s="277"/>
      <c r="E688" s="277"/>
      <c r="F688" s="277"/>
      <c r="G688" s="277"/>
      <c r="H688" s="277"/>
      <c r="I688" s="277"/>
      <c r="J688" s="277"/>
      <c r="K688" s="409"/>
      <c r="L688" s="477"/>
      <c r="M688" s="277"/>
      <c r="N688" s="277"/>
      <c r="O688" s="277"/>
      <c r="P688" s="277"/>
      <c r="Q688" s="277"/>
      <c r="R688" s="277"/>
      <c r="S688" s="277"/>
      <c r="T688" s="277"/>
      <c r="U688" s="277"/>
      <c r="V688" s="277"/>
      <c r="W688" s="277"/>
      <c r="X688" s="277"/>
      <c r="Y688" s="277"/>
      <c r="Z688" s="277"/>
    </row>
    <row r="689" ht="12.75" customHeight="1">
      <c r="A689" s="277"/>
      <c r="B689" s="278"/>
      <c r="C689" s="279"/>
      <c r="D689" s="277"/>
      <c r="E689" s="277"/>
      <c r="F689" s="277"/>
      <c r="G689" s="277"/>
      <c r="H689" s="277"/>
      <c r="I689" s="277"/>
      <c r="J689" s="277"/>
      <c r="K689" s="409"/>
      <c r="L689" s="477"/>
      <c r="M689" s="277"/>
      <c r="N689" s="277"/>
      <c r="O689" s="277"/>
      <c r="P689" s="277"/>
      <c r="Q689" s="277"/>
      <c r="R689" s="277"/>
      <c r="S689" s="277"/>
      <c r="T689" s="277"/>
      <c r="U689" s="277"/>
      <c r="V689" s="277"/>
      <c r="W689" s="277"/>
      <c r="X689" s="277"/>
      <c r="Y689" s="277"/>
      <c r="Z689" s="277"/>
    </row>
    <row r="690" ht="12.75" customHeight="1">
      <c r="A690" s="277"/>
      <c r="B690" s="278"/>
      <c r="C690" s="279"/>
      <c r="D690" s="277"/>
      <c r="E690" s="277"/>
      <c r="F690" s="277"/>
      <c r="G690" s="277"/>
      <c r="H690" s="277"/>
      <c r="I690" s="277"/>
      <c r="J690" s="277"/>
      <c r="K690" s="409"/>
      <c r="L690" s="477"/>
      <c r="M690" s="277"/>
      <c r="N690" s="277"/>
      <c r="O690" s="277"/>
      <c r="P690" s="277"/>
      <c r="Q690" s="277"/>
      <c r="R690" s="277"/>
      <c r="S690" s="277"/>
      <c r="T690" s="277"/>
      <c r="U690" s="277"/>
      <c r="V690" s="277"/>
      <c r="W690" s="277"/>
      <c r="X690" s="277"/>
      <c r="Y690" s="277"/>
      <c r="Z690" s="277"/>
    </row>
    <row r="691" ht="12.75" customHeight="1">
      <c r="A691" s="277"/>
      <c r="B691" s="278"/>
      <c r="C691" s="279"/>
      <c r="D691" s="277"/>
      <c r="E691" s="277"/>
      <c r="F691" s="277"/>
      <c r="G691" s="277"/>
      <c r="H691" s="277"/>
      <c r="I691" s="277"/>
      <c r="J691" s="277"/>
      <c r="K691" s="409"/>
      <c r="L691" s="477"/>
      <c r="M691" s="277"/>
      <c r="N691" s="277"/>
      <c r="O691" s="277"/>
      <c r="P691" s="277"/>
      <c r="Q691" s="277"/>
      <c r="R691" s="277"/>
      <c r="S691" s="277"/>
      <c r="T691" s="277"/>
      <c r="U691" s="277"/>
      <c r="V691" s="277"/>
      <c r="W691" s="277"/>
      <c r="X691" s="277"/>
      <c r="Y691" s="277"/>
      <c r="Z691" s="277"/>
    </row>
    <row r="692" ht="12.75" customHeight="1">
      <c r="A692" s="277"/>
      <c r="B692" s="278"/>
      <c r="C692" s="279"/>
      <c r="D692" s="277"/>
      <c r="E692" s="277"/>
      <c r="F692" s="277"/>
      <c r="G692" s="277"/>
      <c r="H692" s="277"/>
      <c r="I692" s="277"/>
      <c r="J692" s="277"/>
      <c r="K692" s="409"/>
      <c r="L692" s="477"/>
      <c r="M692" s="277"/>
      <c r="N692" s="277"/>
      <c r="O692" s="277"/>
      <c r="P692" s="277"/>
      <c r="Q692" s="277"/>
      <c r="R692" s="277"/>
      <c r="S692" s="277"/>
      <c r="T692" s="277"/>
      <c r="U692" s="277"/>
      <c r="V692" s="277"/>
      <c r="W692" s="277"/>
      <c r="X692" s="277"/>
      <c r="Y692" s="277"/>
      <c r="Z692" s="277"/>
    </row>
    <row r="693" ht="12.75" customHeight="1">
      <c r="A693" s="277"/>
      <c r="B693" s="278"/>
      <c r="C693" s="279"/>
      <c r="D693" s="277"/>
      <c r="E693" s="277"/>
      <c r="F693" s="277"/>
      <c r="G693" s="277"/>
      <c r="H693" s="277"/>
      <c r="I693" s="277"/>
      <c r="J693" s="277"/>
      <c r="K693" s="409"/>
      <c r="L693" s="477"/>
      <c r="M693" s="277"/>
      <c r="N693" s="277"/>
      <c r="O693" s="277"/>
      <c r="P693" s="277"/>
      <c r="Q693" s="277"/>
      <c r="R693" s="277"/>
      <c r="S693" s="277"/>
      <c r="T693" s="277"/>
      <c r="U693" s="277"/>
      <c r="V693" s="277"/>
      <c r="W693" s="277"/>
      <c r="X693" s="277"/>
      <c r="Y693" s="277"/>
      <c r="Z693" s="277"/>
    </row>
    <row r="694" ht="12.75" customHeight="1">
      <c r="A694" s="277"/>
      <c r="B694" s="278"/>
      <c r="C694" s="279"/>
      <c r="D694" s="277"/>
      <c r="E694" s="277"/>
      <c r="F694" s="277"/>
      <c r="G694" s="277"/>
      <c r="H694" s="277"/>
      <c r="I694" s="277"/>
      <c r="J694" s="277"/>
      <c r="K694" s="409"/>
      <c r="L694" s="477"/>
      <c r="M694" s="277"/>
      <c r="N694" s="277"/>
      <c r="O694" s="277"/>
      <c r="P694" s="277"/>
      <c r="Q694" s="277"/>
      <c r="R694" s="277"/>
      <c r="S694" s="277"/>
      <c r="T694" s="277"/>
      <c r="U694" s="277"/>
      <c r="V694" s="277"/>
      <c r="W694" s="277"/>
      <c r="X694" s="277"/>
      <c r="Y694" s="277"/>
      <c r="Z694" s="277"/>
    </row>
    <row r="695" ht="12.75" customHeight="1">
      <c r="A695" s="277"/>
      <c r="B695" s="278"/>
      <c r="C695" s="279"/>
      <c r="D695" s="277"/>
      <c r="E695" s="277"/>
      <c r="F695" s="277"/>
      <c r="G695" s="277"/>
      <c r="H695" s="277"/>
      <c r="I695" s="277"/>
      <c r="J695" s="277"/>
      <c r="K695" s="409"/>
      <c r="L695" s="477"/>
      <c r="M695" s="277"/>
      <c r="N695" s="277"/>
      <c r="O695" s="277"/>
      <c r="P695" s="277"/>
      <c r="Q695" s="277"/>
      <c r="R695" s="277"/>
      <c r="S695" s="277"/>
      <c r="T695" s="277"/>
      <c r="U695" s="277"/>
      <c r="V695" s="277"/>
      <c r="W695" s="277"/>
      <c r="X695" s="277"/>
      <c r="Y695" s="277"/>
      <c r="Z695" s="277"/>
    </row>
    <row r="696" ht="12.75" customHeight="1">
      <c r="A696" s="277"/>
      <c r="B696" s="278"/>
      <c r="C696" s="279"/>
      <c r="D696" s="277"/>
      <c r="E696" s="277"/>
      <c r="F696" s="277"/>
      <c r="G696" s="277"/>
      <c r="H696" s="277"/>
      <c r="I696" s="277"/>
      <c r="J696" s="277"/>
      <c r="K696" s="409"/>
      <c r="L696" s="477"/>
      <c r="M696" s="277"/>
      <c r="N696" s="277"/>
      <c r="O696" s="277"/>
      <c r="P696" s="277"/>
      <c r="Q696" s="277"/>
      <c r="R696" s="277"/>
      <c r="S696" s="277"/>
      <c r="T696" s="277"/>
      <c r="U696" s="277"/>
      <c r="V696" s="277"/>
      <c r="W696" s="277"/>
      <c r="X696" s="277"/>
      <c r="Y696" s="277"/>
      <c r="Z696" s="277"/>
    </row>
    <row r="697" ht="12.75" customHeight="1">
      <c r="A697" s="277"/>
      <c r="B697" s="278"/>
      <c r="C697" s="279"/>
      <c r="D697" s="277"/>
      <c r="E697" s="277"/>
      <c r="F697" s="277"/>
      <c r="G697" s="277"/>
      <c r="H697" s="277"/>
      <c r="I697" s="277"/>
      <c r="J697" s="277"/>
      <c r="K697" s="409"/>
      <c r="L697" s="477"/>
      <c r="M697" s="277"/>
      <c r="N697" s="277"/>
      <c r="O697" s="277"/>
      <c r="P697" s="277"/>
      <c r="Q697" s="277"/>
      <c r="R697" s="277"/>
      <c r="S697" s="277"/>
      <c r="T697" s="277"/>
      <c r="U697" s="277"/>
      <c r="V697" s="277"/>
      <c r="W697" s="277"/>
      <c r="X697" s="277"/>
      <c r="Y697" s="277"/>
      <c r="Z697" s="277"/>
    </row>
    <row r="698" ht="12.75" customHeight="1">
      <c r="A698" s="277"/>
      <c r="B698" s="278"/>
      <c r="C698" s="279"/>
      <c r="D698" s="277"/>
      <c r="E698" s="277"/>
      <c r="F698" s="277"/>
      <c r="G698" s="277"/>
      <c r="H698" s="277"/>
      <c r="I698" s="277"/>
      <c r="J698" s="277"/>
      <c r="K698" s="409"/>
      <c r="L698" s="477"/>
      <c r="M698" s="277"/>
      <c r="N698" s="277"/>
      <c r="O698" s="277"/>
      <c r="P698" s="277"/>
      <c r="Q698" s="277"/>
      <c r="R698" s="277"/>
      <c r="S698" s="277"/>
      <c r="T698" s="277"/>
      <c r="U698" s="277"/>
      <c r="V698" s="277"/>
      <c r="W698" s="277"/>
      <c r="X698" s="277"/>
      <c r="Y698" s="277"/>
      <c r="Z698" s="277"/>
    </row>
    <row r="699" ht="12.75" customHeight="1">
      <c r="A699" s="277"/>
      <c r="B699" s="278"/>
      <c r="C699" s="279"/>
      <c r="D699" s="277"/>
      <c r="E699" s="277"/>
      <c r="F699" s="277"/>
      <c r="G699" s="277"/>
      <c r="H699" s="277"/>
      <c r="I699" s="277"/>
      <c r="J699" s="277"/>
      <c r="K699" s="409"/>
      <c r="L699" s="477"/>
      <c r="M699" s="277"/>
      <c r="N699" s="277"/>
      <c r="O699" s="277"/>
      <c r="P699" s="277"/>
      <c r="Q699" s="277"/>
      <c r="R699" s="277"/>
      <c r="S699" s="277"/>
      <c r="T699" s="277"/>
      <c r="U699" s="277"/>
      <c r="V699" s="277"/>
      <c r="W699" s="277"/>
      <c r="X699" s="277"/>
      <c r="Y699" s="277"/>
      <c r="Z699" s="277"/>
    </row>
    <row r="700" ht="12.75" customHeight="1">
      <c r="A700" s="277"/>
      <c r="B700" s="278"/>
      <c r="C700" s="279"/>
      <c r="D700" s="277"/>
      <c r="E700" s="277"/>
      <c r="F700" s="277"/>
      <c r="G700" s="277"/>
      <c r="H700" s="277"/>
      <c r="I700" s="277"/>
      <c r="J700" s="277"/>
      <c r="K700" s="409"/>
      <c r="L700" s="477"/>
      <c r="M700" s="277"/>
      <c r="N700" s="277"/>
      <c r="O700" s="277"/>
      <c r="P700" s="277"/>
      <c r="Q700" s="277"/>
      <c r="R700" s="277"/>
      <c r="S700" s="277"/>
      <c r="T700" s="277"/>
      <c r="U700" s="277"/>
      <c r="V700" s="277"/>
      <c r="W700" s="277"/>
      <c r="X700" s="277"/>
      <c r="Y700" s="277"/>
      <c r="Z700" s="277"/>
    </row>
    <row r="701" ht="12.75" customHeight="1">
      <c r="A701" s="277"/>
      <c r="B701" s="278"/>
      <c r="C701" s="279"/>
      <c r="D701" s="277"/>
      <c r="E701" s="277"/>
      <c r="F701" s="277"/>
      <c r="G701" s="277"/>
      <c r="H701" s="277"/>
      <c r="I701" s="277"/>
      <c r="J701" s="277"/>
      <c r="K701" s="409"/>
      <c r="L701" s="477"/>
      <c r="M701" s="277"/>
      <c r="N701" s="277"/>
      <c r="O701" s="277"/>
      <c r="P701" s="277"/>
      <c r="Q701" s="277"/>
      <c r="R701" s="277"/>
      <c r="S701" s="277"/>
      <c r="T701" s="277"/>
      <c r="U701" s="277"/>
      <c r="V701" s="277"/>
      <c r="W701" s="277"/>
      <c r="X701" s="277"/>
      <c r="Y701" s="277"/>
      <c r="Z701" s="277"/>
    </row>
    <row r="702" ht="12.75" customHeight="1">
      <c r="A702" s="277"/>
      <c r="B702" s="278"/>
      <c r="C702" s="279"/>
      <c r="D702" s="277"/>
      <c r="E702" s="277"/>
      <c r="F702" s="277"/>
      <c r="G702" s="277"/>
      <c r="H702" s="277"/>
      <c r="I702" s="277"/>
      <c r="J702" s="277"/>
      <c r="K702" s="409"/>
      <c r="L702" s="477"/>
      <c r="M702" s="277"/>
      <c r="N702" s="277"/>
      <c r="O702" s="277"/>
      <c r="P702" s="277"/>
      <c r="Q702" s="277"/>
      <c r="R702" s="277"/>
      <c r="S702" s="277"/>
      <c r="T702" s="277"/>
      <c r="U702" s="277"/>
      <c r="V702" s="277"/>
      <c r="W702" s="277"/>
      <c r="X702" s="277"/>
      <c r="Y702" s="277"/>
      <c r="Z702" s="277"/>
    </row>
    <row r="703" ht="12.75" customHeight="1">
      <c r="A703" s="277"/>
      <c r="B703" s="278"/>
      <c r="C703" s="279"/>
      <c r="D703" s="277"/>
      <c r="E703" s="277"/>
      <c r="F703" s="277"/>
      <c r="G703" s="277"/>
      <c r="H703" s="277"/>
      <c r="I703" s="277"/>
      <c r="J703" s="277"/>
      <c r="K703" s="409"/>
      <c r="L703" s="477"/>
      <c r="M703" s="277"/>
      <c r="N703" s="277"/>
      <c r="O703" s="277"/>
      <c r="P703" s="277"/>
      <c r="Q703" s="277"/>
      <c r="R703" s="277"/>
      <c r="S703" s="277"/>
      <c r="T703" s="277"/>
      <c r="U703" s="277"/>
      <c r="V703" s="277"/>
      <c r="W703" s="277"/>
      <c r="X703" s="277"/>
      <c r="Y703" s="277"/>
      <c r="Z703" s="277"/>
    </row>
    <row r="704" ht="12.75" customHeight="1">
      <c r="A704" s="277"/>
      <c r="B704" s="278"/>
      <c r="C704" s="279"/>
      <c r="D704" s="277"/>
      <c r="E704" s="277"/>
      <c r="F704" s="277"/>
      <c r="G704" s="277"/>
      <c r="H704" s="277"/>
      <c r="I704" s="277"/>
      <c r="J704" s="277"/>
      <c r="K704" s="409"/>
      <c r="L704" s="477"/>
      <c r="M704" s="277"/>
      <c r="N704" s="277"/>
      <c r="O704" s="277"/>
      <c r="P704" s="277"/>
      <c r="Q704" s="277"/>
      <c r="R704" s="277"/>
      <c r="S704" s="277"/>
      <c r="T704" s="277"/>
      <c r="U704" s="277"/>
      <c r="V704" s="277"/>
      <c r="W704" s="277"/>
      <c r="X704" s="277"/>
      <c r="Y704" s="277"/>
      <c r="Z704" s="277"/>
    </row>
    <row r="705" ht="12.75" customHeight="1">
      <c r="A705" s="277"/>
      <c r="B705" s="278"/>
      <c r="C705" s="279"/>
      <c r="D705" s="277"/>
      <c r="E705" s="277"/>
      <c r="F705" s="277"/>
      <c r="G705" s="277"/>
      <c r="H705" s="277"/>
      <c r="I705" s="277"/>
      <c r="J705" s="277"/>
      <c r="K705" s="409"/>
      <c r="L705" s="477"/>
      <c r="M705" s="277"/>
      <c r="N705" s="277"/>
      <c r="O705" s="277"/>
      <c r="P705" s="277"/>
      <c r="Q705" s="277"/>
      <c r="R705" s="277"/>
      <c r="S705" s="277"/>
      <c r="T705" s="277"/>
      <c r="U705" s="277"/>
      <c r="V705" s="277"/>
      <c r="W705" s="277"/>
      <c r="X705" s="277"/>
      <c r="Y705" s="277"/>
      <c r="Z705" s="277"/>
    </row>
    <row r="706" ht="12.75" customHeight="1">
      <c r="A706" s="277"/>
      <c r="B706" s="278"/>
      <c r="C706" s="279"/>
      <c r="D706" s="277"/>
      <c r="E706" s="277"/>
      <c r="F706" s="277"/>
      <c r="G706" s="277"/>
      <c r="H706" s="277"/>
      <c r="I706" s="277"/>
      <c r="J706" s="277"/>
      <c r="K706" s="409"/>
      <c r="L706" s="477"/>
      <c r="M706" s="277"/>
      <c r="N706" s="277"/>
      <c r="O706" s="277"/>
      <c r="P706" s="277"/>
      <c r="Q706" s="277"/>
      <c r="R706" s="277"/>
      <c r="S706" s="277"/>
      <c r="T706" s="277"/>
      <c r="U706" s="277"/>
      <c r="V706" s="277"/>
      <c r="W706" s="277"/>
      <c r="X706" s="277"/>
      <c r="Y706" s="277"/>
      <c r="Z706" s="277"/>
    </row>
    <row r="707" ht="12.75" customHeight="1">
      <c r="A707" s="277"/>
      <c r="B707" s="278"/>
      <c r="C707" s="279"/>
      <c r="D707" s="277"/>
      <c r="E707" s="277"/>
      <c r="F707" s="277"/>
      <c r="G707" s="277"/>
      <c r="H707" s="277"/>
      <c r="I707" s="277"/>
      <c r="J707" s="277"/>
      <c r="K707" s="409"/>
      <c r="L707" s="477"/>
      <c r="M707" s="277"/>
      <c r="N707" s="277"/>
      <c r="O707" s="277"/>
      <c r="P707" s="277"/>
      <c r="Q707" s="277"/>
      <c r="R707" s="277"/>
      <c r="S707" s="277"/>
      <c r="T707" s="277"/>
      <c r="U707" s="277"/>
      <c r="V707" s="277"/>
      <c r="W707" s="277"/>
      <c r="X707" s="277"/>
      <c r="Y707" s="277"/>
      <c r="Z707" s="277"/>
    </row>
    <row r="708" ht="12.75" customHeight="1">
      <c r="A708" s="277"/>
      <c r="B708" s="278"/>
      <c r="C708" s="279"/>
      <c r="D708" s="277"/>
      <c r="E708" s="277"/>
      <c r="F708" s="277"/>
      <c r="G708" s="277"/>
      <c r="H708" s="277"/>
      <c r="I708" s="277"/>
      <c r="J708" s="277"/>
      <c r="K708" s="409"/>
      <c r="L708" s="477"/>
      <c r="M708" s="277"/>
      <c r="N708" s="277"/>
      <c r="O708" s="277"/>
      <c r="P708" s="277"/>
      <c r="Q708" s="277"/>
      <c r="R708" s="277"/>
      <c r="S708" s="277"/>
      <c r="T708" s="277"/>
      <c r="U708" s="277"/>
      <c r="V708" s="277"/>
      <c r="W708" s="277"/>
      <c r="X708" s="277"/>
      <c r="Y708" s="277"/>
      <c r="Z708" s="277"/>
    </row>
    <row r="709" ht="12.75" customHeight="1">
      <c r="A709" s="277"/>
      <c r="B709" s="278"/>
      <c r="C709" s="279"/>
      <c r="D709" s="277"/>
      <c r="E709" s="277"/>
      <c r="F709" s="277"/>
      <c r="G709" s="277"/>
      <c r="H709" s="277"/>
      <c r="I709" s="277"/>
      <c r="J709" s="277"/>
      <c r="K709" s="409"/>
      <c r="L709" s="477"/>
      <c r="M709" s="277"/>
      <c r="N709" s="277"/>
      <c r="O709" s="277"/>
      <c r="P709" s="277"/>
      <c r="Q709" s="277"/>
      <c r="R709" s="277"/>
      <c r="S709" s="277"/>
      <c r="T709" s="277"/>
      <c r="U709" s="277"/>
      <c r="V709" s="277"/>
      <c r="W709" s="277"/>
      <c r="X709" s="277"/>
      <c r="Y709" s="277"/>
      <c r="Z709" s="277"/>
    </row>
    <row r="710" ht="12.75" customHeight="1">
      <c r="A710" s="277"/>
      <c r="B710" s="278"/>
      <c r="C710" s="279"/>
      <c r="D710" s="277"/>
      <c r="E710" s="277"/>
      <c r="F710" s="277"/>
      <c r="G710" s="277"/>
      <c r="H710" s="277"/>
      <c r="I710" s="277"/>
      <c r="J710" s="277"/>
      <c r="K710" s="409"/>
      <c r="L710" s="477"/>
      <c r="M710" s="277"/>
      <c r="N710" s="277"/>
      <c r="O710" s="277"/>
      <c r="P710" s="277"/>
      <c r="Q710" s="277"/>
      <c r="R710" s="277"/>
      <c r="S710" s="277"/>
      <c r="T710" s="277"/>
      <c r="U710" s="277"/>
      <c r="V710" s="277"/>
      <c r="W710" s="277"/>
      <c r="X710" s="277"/>
      <c r="Y710" s="277"/>
      <c r="Z710" s="277"/>
    </row>
    <row r="711" ht="12.75" customHeight="1">
      <c r="A711" s="277"/>
      <c r="B711" s="278"/>
      <c r="C711" s="279"/>
      <c r="D711" s="277"/>
      <c r="E711" s="277"/>
      <c r="F711" s="277"/>
      <c r="G711" s="277"/>
      <c r="H711" s="277"/>
      <c r="I711" s="277"/>
      <c r="J711" s="277"/>
      <c r="K711" s="409"/>
      <c r="L711" s="477"/>
      <c r="M711" s="277"/>
      <c r="N711" s="277"/>
      <c r="O711" s="277"/>
      <c r="P711" s="277"/>
      <c r="Q711" s="277"/>
      <c r="R711" s="277"/>
      <c r="S711" s="277"/>
      <c r="T711" s="277"/>
      <c r="U711" s="277"/>
      <c r="V711" s="277"/>
      <c r="W711" s="277"/>
      <c r="X711" s="277"/>
      <c r="Y711" s="277"/>
      <c r="Z711" s="277"/>
    </row>
    <row r="712" ht="12.75" customHeight="1">
      <c r="A712" s="277"/>
      <c r="B712" s="278"/>
      <c r="C712" s="279"/>
      <c r="D712" s="277"/>
      <c r="E712" s="277"/>
      <c r="F712" s="277"/>
      <c r="G712" s="277"/>
      <c r="H712" s="277"/>
      <c r="I712" s="277"/>
      <c r="J712" s="277"/>
      <c r="K712" s="409"/>
      <c r="L712" s="477"/>
      <c r="M712" s="277"/>
      <c r="N712" s="277"/>
      <c r="O712" s="277"/>
      <c r="P712" s="277"/>
      <c r="Q712" s="277"/>
      <c r="R712" s="277"/>
      <c r="S712" s="277"/>
      <c r="T712" s="277"/>
      <c r="U712" s="277"/>
      <c r="V712" s="277"/>
      <c r="W712" s="277"/>
      <c r="X712" s="277"/>
      <c r="Y712" s="277"/>
      <c r="Z712" s="277"/>
    </row>
    <row r="713" ht="12.75" customHeight="1">
      <c r="A713" s="277"/>
      <c r="B713" s="278"/>
      <c r="C713" s="279"/>
      <c r="D713" s="277"/>
      <c r="E713" s="277"/>
      <c r="F713" s="277"/>
      <c r="G713" s="277"/>
      <c r="H713" s="277"/>
      <c r="I713" s="277"/>
      <c r="J713" s="277"/>
      <c r="K713" s="409"/>
      <c r="L713" s="477"/>
      <c r="M713" s="277"/>
      <c r="N713" s="277"/>
      <c r="O713" s="277"/>
      <c r="P713" s="277"/>
      <c r="Q713" s="277"/>
      <c r="R713" s="277"/>
      <c r="S713" s="277"/>
      <c r="T713" s="277"/>
      <c r="U713" s="277"/>
      <c r="V713" s="277"/>
      <c r="W713" s="277"/>
      <c r="X713" s="277"/>
      <c r="Y713" s="277"/>
      <c r="Z713" s="277"/>
    </row>
    <row r="714" ht="12.75" customHeight="1">
      <c r="A714" s="277"/>
      <c r="B714" s="278"/>
      <c r="C714" s="279"/>
      <c r="D714" s="277"/>
      <c r="E714" s="277"/>
      <c r="F714" s="277"/>
      <c r="G714" s="277"/>
      <c r="H714" s="277"/>
      <c r="I714" s="277"/>
      <c r="J714" s="277"/>
      <c r="K714" s="409"/>
      <c r="L714" s="477"/>
      <c r="M714" s="277"/>
      <c r="N714" s="277"/>
      <c r="O714" s="277"/>
      <c r="P714" s="277"/>
      <c r="Q714" s="277"/>
      <c r="R714" s="277"/>
      <c r="S714" s="277"/>
      <c r="T714" s="277"/>
      <c r="U714" s="277"/>
      <c r="V714" s="277"/>
      <c r="W714" s="277"/>
      <c r="X714" s="277"/>
      <c r="Y714" s="277"/>
      <c r="Z714" s="277"/>
    </row>
    <row r="715" ht="12.75" customHeight="1">
      <c r="A715" s="277"/>
      <c r="B715" s="278"/>
      <c r="C715" s="279"/>
      <c r="D715" s="277"/>
      <c r="E715" s="277"/>
      <c r="F715" s="277"/>
      <c r="G715" s="277"/>
      <c r="H715" s="277"/>
      <c r="I715" s="277"/>
      <c r="J715" s="277"/>
      <c r="K715" s="409"/>
      <c r="L715" s="477"/>
      <c r="M715" s="277"/>
      <c r="N715" s="277"/>
      <c r="O715" s="277"/>
      <c r="P715" s="277"/>
      <c r="Q715" s="277"/>
      <c r="R715" s="277"/>
      <c r="S715" s="277"/>
      <c r="T715" s="277"/>
      <c r="U715" s="277"/>
      <c r="V715" s="277"/>
      <c r="W715" s="277"/>
      <c r="X715" s="277"/>
      <c r="Y715" s="277"/>
      <c r="Z715" s="277"/>
    </row>
    <row r="716" ht="12.75" customHeight="1">
      <c r="A716" s="277"/>
      <c r="B716" s="278"/>
      <c r="C716" s="279"/>
      <c r="D716" s="277"/>
      <c r="E716" s="277"/>
      <c r="F716" s="277"/>
      <c r="G716" s="277"/>
      <c r="H716" s="277"/>
      <c r="I716" s="277"/>
      <c r="J716" s="277"/>
      <c r="K716" s="409"/>
      <c r="L716" s="477"/>
      <c r="M716" s="277"/>
      <c r="N716" s="277"/>
      <c r="O716" s="277"/>
      <c r="P716" s="277"/>
      <c r="Q716" s="277"/>
      <c r="R716" s="277"/>
      <c r="S716" s="277"/>
      <c r="T716" s="277"/>
      <c r="U716" s="277"/>
      <c r="V716" s="277"/>
      <c r="W716" s="277"/>
      <c r="X716" s="277"/>
      <c r="Y716" s="277"/>
      <c r="Z716" s="277"/>
    </row>
    <row r="717" ht="12.75" customHeight="1">
      <c r="A717" s="277"/>
      <c r="B717" s="278"/>
      <c r="C717" s="279"/>
      <c r="D717" s="277"/>
      <c r="E717" s="277"/>
      <c r="F717" s="277"/>
      <c r="G717" s="277"/>
      <c r="H717" s="277"/>
      <c r="I717" s="277"/>
      <c r="J717" s="277"/>
      <c r="K717" s="409"/>
      <c r="L717" s="477"/>
      <c r="M717" s="277"/>
      <c r="N717" s="277"/>
      <c r="O717" s="277"/>
      <c r="P717" s="277"/>
      <c r="Q717" s="277"/>
      <c r="R717" s="277"/>
      <c r="S717" s="277"/>
      <c r="T717" s="277"/>
      <c r="U717" s="277"/>
      <c r="V717" s="277"/>
      <c r="W717" s="277"/>
      <c r="X717" s="277"/>
      <c r="Y717" s="277"/>
      <c r="Z717" s="277"/>
    </row>
    <row r="718" ht="12.75" customHeight="1">
      <c r="A718" s="277"/>
      <c r="B718" s="278"/>
      <c r="C718" s="279"/>
      <c r="D718" s="277"/>
      <c r="E718" s="277"/>
      <c r="F718" s="277"/>
      <c r="G718" s="277"/>
      <c r="H718" s="277"/>
      <c r="I718" s="277"/>
      <c r="J718" s="277"/>
      <c r="K718" s="409"/>
      <c r="L718" s="477"/>
      <c r="M718" s="277"/>
      <c r="N718" s="277"/>
      <c r="O718" s="277"/>
      <c r="P718" s="277"/>
      <c r="Q718" s="277"/>
      <c r="R718" s="277"/>
      <c r="S718" s="277"/>
      <c r="T718" s="277"/>
      <c r="U718" s="277"/>
      <c r="V718" s="277"/>
      <c r="W718" s="277"/>
      <c r="X718" s="277"/>
      <c r="Y718" s="277"/>
      <c r="Z718" s="277"/>
    </row>
    <row r="719" ht="12.75" customHeight="1">
      <c r="A719" s="277"/>
      <c r="B719" s="278"/>
      <c r="C719" s="279"/>
      <c r="D719" s="277"/>
      <c r="E719" s="277"/>
      <c r="F719" s="277"/>
      <c r="G719" s="277"/>
      <c r="H719" s="277"/>
      <c r="I719" s="277"/>
      <c r="J719" s="277"/>
      <c r="K719" s="409"/>
      <c r="L719" s="477"/>
      <c r="M719" s="277"/>
      <c r="N719" s="277"/>
      <c r="O719" s="277"/>
      <c r="P719" s="277"/>
      <c r="Q719" s="277"/>
      <c r="R719" s="277"/>
      <c r="S719" s="277"/>
      <c r="T719" s="277"/>
      <c r="U719" s="277"/>
      <c r="V719" s="277"/>
      <c r="W719" s="277"/>
      <c r="X719" s="277"/>
      <c r="Y719" s="277"/>
      <c r="Z719" s="277"/>
    </row>
    <row r="720" ht="12.75" customHeight="1">
      <c r="A720" s="277"/>
      <c r="B720" s="278"/>
      <c r="C720" s="279"/>
      <c r="D720" s="277"/>
      <c r="E720" s="277"/>
      <c r="F720" s="277"/>
      <c r="G720" s="277"/>
      <c r="H720" s="277"/>
      <c r="I720" s="277"/>
      <c r="J720" s="277"/>
      <c r="K720" s="409"/>
      <c r="L720" s="477"/>
      <c r="M720" s="277"/>
      <c r="N720" s="277"/>
      <c r="O720" s="277"/>
      <c r="P720" s="277"/>
      <c r="Q720" s="277"/>
      <c r="R720" s="277"/>
      <c r="S720" s="277"/>
      <c r="T720" s="277"/>
      <c r="U720" s="277"/>
      <c r="V720" s="277"/>
      <c r="W720" s="277"/>
      <c r="X720" s="277"/>
      <c r="Y720" s="277"/>
      <c r="Z720" s="277"/>
    </row>
    <row r="721" ht="12.75" customHeight="1">
      <c r="A721" s="277"/>
      <c r="B721" s="278"/>
      <c r="C721" s="279"/>
      <c r="D721" s="277"/>
      <c r="E721" s="277"/>
      <c r="F721" s="277"/>
      <c r="G721" s="277"/>
      <c r="H721" s="277"/>
      <c r="I721" s="277"/>
      <c r="J721" s="277"/>
      <c r="K721" s="409"/>
      <c r="L721" s="477"/>
      <c r="M721" s="277"/>
      <c r="N721" s="277"/>
      <c r="O721" s="277"/>
      <c r="P721" s="277"/>
      <c r="Q721" s="277"/>
      <c r="R721" s="277"/>
      <c r="S721" s="277"/>
      <c r="T721" s="277"/>
      <c r="U721" s="277"/>
      <c r="V721" s="277"/>
      <c r="W721" s="277"/>
      <c r="X721" s="277"/>
      <c r="Y721" s="277"/>
      <c r="Z721" s="277"/>
    </row>
    <row r="722" ht="12.75" customHeight="1">
      <c r="A722" s="277"/>
      <c r="B722" s="278"/>
      <c r="C722" s="279"/>
      <c r="D722" s="277"/>
      <c r="E722" s="277"/>
      <c r="F722" s="277"/>
      <c r="G722" s="277"/>
      <c r="H722" s="277"/>
      <c r="I722" s="277"/>
      <c r="J722" s="277"/>
      <c r="K722" s="409"/>
      <c r="L722" s="477"/>
      <c r="M722" s="277"/>
      <c r="N722" s="277"/>
      <c r="O722" s="277"/>
      <c r="P722" s="277"/>
      <c r="Q722" s="277"/>
      <c r="R722" s="277"/>
      <c r="S722" s="277"/>
      <c r="T722" s="277"/>
      <c r="U722" s="277"/>
      <c r="V722" s="277"/>
      <c r="W722" s="277"/>
      <c r="X722" s="277"/>
      <c r="Y722" s="277"/>
      <c r="Z722" s="277"/>
    </row>
    <row r="723" ht="12.75" customHeight="1">
      <c r="A723" s="277"/>
      <c r="B723" s="278"/>
      <c r="C723" s="279"/>
      <c r="D723" s="277"/>
      <c r="E723" s="277"/>
      <c r="F723" s="277"/>
      <c r="G723" s="277"/>
      <c r="H723" s="277"/>
      <c r="I723" s="277"/>
      <c r="J723" s="277"/>
      <c r="K723" s="409"/>
      <c r="L723" s="477"/>
      <c r="M723" s="277"/>
      <c r="N723" s="277"/>
      <c r="O723" s="277"/>
      <c r="P723" s="277"/>
      <c r="Q723" s="277"/>
      <c r="R723" s="277"/>
      <c r="S723" s="277"/>
      <c r="T723" s="277"/>
      <c r="U723" s="277"/>
      <c r="V723" s="277"/>
      <c r="W723" s="277"/>
      <c r="X723" s="277"/>
      <c r="Y723" s="277"/>
      <c r="Z723" s="277"/>
    </row>
    <row r="724" ht="12.75" customHeight="1">
      <c r="A724" s="277"/>
      <c r="B724" s="278"/>
      <c r="C724" s="279"/>
      <c r="D724" s="277"/>
      <c r="E724" s="277"/>
      <c r="F724" s="277"/>
      <c r="G724" s="277"/>
      <c r="H724" s="277"/>
      <c r="I724" s="277"/>
      <c r="J724" s="277"/>
      <c r="K724" s="409"/>
      <c r="L724" s="477"/>
      <c r="M724" s="277"/>
      <c r="N724" s="277"/>
      <c r="O724" s="277"/>
      <c r="P724" s="277"/>
      <c r="Q724" s="277"/>
      <c r="R724" s="277"/>
      <c r="S724" s="277"/>
      <c r="T724" s="277"/>
      <c r="U724" s="277"/>
      <c r="V724" s="277"/>
      <c r="W724" s="277"/>
      <c r="X724" s="277"/>
      <c r="Y724" s="277"/>
      <c r="Z724" s="277"/>
    </row>
    <row r="725" ht="12.75" customHeight="1">
      <c r="A725" s="277"/>
      <c r="B725" s="278"/>
      <c r="C725" s="279"/>
      <c r="D725" s="277"/>
      <c r="E725" s="277"/>
      <c r="F725" s="277"/>
      <c r="G725" s="277"/>
      <c r="H725" s="277"/>
      <c r="I725" s="277"/>
      <c r="J725" s="277"/>
      <c r="K725" s="409"/>
      <c r="L725" s="477"/>
      <c r="M725" s="277"/>
      <c r="N725" s="277"/>
      <c r="O725" s="277"/>
      <c r="P725" s="277"/>
      <c r="Q725" s="277"/>
      <c r="R725" s="277"/>
      <c r="S725" s="277"/>
      <c r="T725" s="277"/>
      <c r="U725" s="277"/>
      <c r="V725" s="277"/>
      <c r="W725" s="277"/>
      <c r="X725" s="277"/>
      <c r="Y725" s="277"/>
      <c r="Z725" s="277"/>
    </row>
    <row r="726" ht="12.75" customHeight="1">
      <c r="A726" s="277"/>
      <c r="B726" s="278"/>
      <c r="C726" s="279"/>
      <c r="D726" s="277"/>
      <c r="E726" s="277"/>
      <c r="F726" s="277"/>
      <c r="G726" s="277"/>
      <c r="H726" s="277"/>
      <c r="I726" s="277"/>
      <c r="J726" s="277"/>
      <c r="K726" s="409"/>
      <c r="L726" s="477"/>
      <c r="M726" s="277"/>
      <c r="N726" s="277"/>
      <c r="O726" s="277"/>
      <c r="P726" s="277"/>
      <c r="Q726" s="277"/>
      <c r="R726" s="277"/>
      <c r="S726" s="277"/>
      <c r="T726" s="277"/>
      <c r="U726" s="277"/>
      <c r="V726" s="277"/>
      <c r="W726" s="277"/>
      <c r="X726" s="277"/>
      <c r="Y726" s="277"/>
      <c r="Z726" s="277"/>
    </row>
    <row r="727" ht="12.75" customHeight="1">
      <c r="A727" s="277"/>
      <c r="B727" s="278"/>
      <c r="C727" s="279"/>
      <c r="D727" s="277"/>
      <c r="E727" s="277"/>
      <c r="F727" s="277"/>
      <c r="G727" s="277"/>
      <c r="H727" s="277"/>
      <c r="I727" s="277"/>
      <c r="J727" s="277"/>
      <c r="K727" s="409"/>
      <c r="L727" s="477"/>
      <c r="M727" s="277"/>
      <c r="N727" s="277"/>
      <c r="O727" s="277"/>
      <c r="P727" s="277"/>
      <c r="Q727" s="277"/>
      <c r="R727" s="277"/>
      <c r="S727" s="277"/>
      <c r="T727" s="277"/>
      <c r="U727" s="277"/>
      <c r="V727" s="277"/>
      <c r="W727" s="277"/>
      <c r="X727" s="277"/>
      <c r="Y727" s="277"/>
      <c r="Z727" s="277"/>
    </row>
    <row r="728" ht="12.75" customHeight="1">
      <c r="A728" s="277"/>
      <c r="B728" s="278"/>
      <c r="C728" s="279"/>
      <c r="D728" s="277"/>
      <c r="E728" s="277"/>
      <c r="F728" s="277"/>
      <c r="G728" s="277"/>
      <c r="H728" s="277"/>
      <c r="I728" s="277"/>
      <c r="J728" s="277"/>
      <c r="K728" s="409"/>
      <c r="L728" s="477"/>
      <c r="M728" s="277"/>
      <c r="N728" s="277"/>
      <c r="O728" s="277"/>
      <c r="P728" s="277"/>
      <c r="Q728" s="277"/>
      <c r="R728" s="277"/>
      <c r="S728" s="277"/>
      <c r="T728" s="277"/>
      <c r="U728" s="277"/>
      <c r="V728" s="277"/>
      <c r="W728" s="277"/>
      <c r="X728" s="277"/>
      <c r="Y728" s="277"/>
      <c r="Z728" s="277"/>
    </row>
    <row r="729" ht="12.75" customHeight="1">
      <c r="A729" s="277"/>
      <c r="B729" s="278"/>
      <c r="C729" s="279"/>
      <c r="D729" s="277"/>
      <c r="E729" s="277"/>
      <c r="F729" s="277"/>
      <c r="G729" s="277"/>
      <c r="H729" s="277"/>
      <c r="I729" s="277"/>
      <c r="J729" s="277"/>
      <c r="K729" s="409"/>
      <c r="L729" s="477"/>
      <c r="M729" s="277"/>
      <c r="N729" s="277"/>
      <c r="O729" s="277"/>
      <c r="P729" s="277"/>
      <c r="Q729" s="277"/>
      <c r="R729" s="277"/>
      <c r="S729" s="277"/>
      <c r="T729" s="277"/>
      <c r="U729" s="277"/>
      <c r="V729" s="277"/>
      <c r="W729" s="277"/>
      <c r="X729" s="277"/>
      <c r="Y729" s="277"/>
      <c r="Z729" s="277"/>
    </row>
    <row r="730" ht="12.75" customHeight="1">
      <c r="A730" s="277"/>
      <c r="B730" s="278"/>
      <c r="C730" s="279"/>
      <c r="D730" s="277"/>
      <c r="E730" s="277"/>
      <c r="F730" s="277"/>
      <c r="G730" s="277"/>
      <c r="H730" s="277"/>
      <c r="I730" s="277"/>
      <c r="J730" s="277"/>
      <c r="K730" s="409"/>
      <c r="L730" s="477"/>
      <c r="M730" s="277"/>
      <c r="N730" s="277"/>
      <c r="O730" s="277"/>
      <c r="P730" s="277"/>
      <c r="Q730" s="277"/>
      <c r="R730" s="277"/>
      <c r="S730" s="277"/>
      <c r="T730" s="277"/>
      <c r="U730" s="277"/>
      <c r="V730" s="277"/>
      <c r="W730" s="277"/>
      <c r="X730" s="277"/>
      <c r="Y730" s="277"/>
      <c r="Z730" s="277"/>
    </row>
    <row r="731" ht="12.75" customHeight="1">
      <c r="A731" s="277"/>
      <c r="B731" s="278"/>
      <c r="C731" s="279"/>
      <c r="D731" s="277"/>
      <c r="E731" s="277"/>
      <c r="F731" s="277"/>
      <c r="G731" s="277"/>
      <c r="H731" s="277"/>
      <c r="I731" s="277"/>
      <c r="J731" s="277"/>
      <c r="K731" s="409"/>
      <c r="L731" s="477"/>
      <c r="M731" s="277"/>
      <c r="N731" s="277"/>
      <c r="O731" s="277"/>
      <c r="P731" s="277"/>
      <c r="Q731" s="277"/>
      <c r="R731" s="277"/>
      <c r="S731" s="277"/>
      <c r="T731" s="277"/>
      <c r="U731" s="277"/>
      <c r="V731" s="277"/>
      <c r="W731" s="277"/>
      <c r="X731" s="277"/>
      <c r="Y731" s="277"/>
      <c r="Z731" s="277"/>
    </row>
    <row r="732" ht="12.75" customHeight="1">
      <c r="A732" s="277"/>
      <c r="B732" s="278"/>
      <c r="C732" s="279"/>
      <c r="D732" s="277"/>
      <c r="E732" s="277"/>
      <c r="F732" s="277"/>
      <c r="G732" s="277"/>
      <c r="H732" s="277"/>
      <c r="I732" s="277"/>
      <c r="J732" s="277"/>
      <c r="K732" s="409"/>
      <c r="L732" s="477"/>
      <c r="M732" s="277"/>
      <c r="N732" s="277"/>
      <c r="O732" s="277"/>
      <c r="P732" s="277"/>
      <c r="Q732" s="277"/>
      <c r="R732" s="277"/>
      <c r="S732" s="277"/>
      <c r="T732" s="277"/>
      <c r="U732" s="277"/>
      <c r="V732" s="277"/>
      <c r="W732" s="277"/>
      <c r="X732" s="277"/>
      <c r="Y732" s="277"/>
      <c r="Z732" s="277"/>
    </row>
    <row r="733" ht="12.75" customHeight="1">
      <c r="A733" s="277"/>
      <c r="B733" s="278"/>
      <c r="C733" s="279"/>
      <c r="D733" s="277"/>
      <c r="E733" s="277"/>
      <c r="F733" s="277"/>
      <c r="G733" s="277"/>
      <c r="H733" s="277"/>
      <c r="I733" s="277"/>
      <c r="J733" s="277"/>
      <c r="K733" s="409"/>
      <c r="L733" s="477"/>
      <c r="M733" s="277"/>
      <c r="N733" s="277"/>
      <c r="O733" s="277"/>
      <c r="P733" s="277"/>
      <c r="Q733" s="277"/>
      <c r="R733" s="277"/>
      <c r="S733" s="277"/>
      <c r="T733" s="277"/>
      <c r="U733" s="277"/>
      <c r="V733" s="277"/>
      <c r="W733" s="277"/>
      <c r="X733" s="277"/>
      <c r="Y733" s="277"/>
      <c r="Z733" s="277"/>
    </row>
    <row r="734" ht="12.75" customHeight="1">
      <c r="A734" s="277"/>
      <c r="B734" s="278"/>
      <c r="C734" s="279"/>
      <c r="D734" s="277"/>
      <c r="E734" s="277"/>
      <c r="F734" s="277"/>
      <c r="G734" s="277"/>
      <c r="H734" s="277"/>
      <c r="I734" s="277"/>
      <c r="J734" s="277"/>
      <c r="K734" s="409"/>
      <c r="L734" s="477"/>
      <c r="M734" s="277"/>
      <c r="N734" s="277"/>
      <c r="O734" s="277"/>
      <c r="P734" s="277"/>
      <c r="Q734" s="277"/>
      <c r="R734" s="277"/>
      <c r="S734" s="277"/>
      <c r="T734" s="277"/>
      <c r="U734" s="277"/>
      <c r="V734" s="277"/>
      <c r="W734" s="277"/>
      <c r="X734" s="277"/>
      <c r="Y734" s="277"/>
      <c r="Z734" s="277"/>
    </row>
    <row r="735" ht="12.75" customHeight="1">
      <c r="A735" s="277"/>
      <c r="B735" s="278"/>
      <c r="C735" s="279"/>
      <c r="D735" s="277"/>
      <c r="E735" s="277"/>
      <c r="F735" s="277"/>
      <c r="G735" s="277"/>
      <c r="H735" s="277"/>
      <c r="I735" s="277"/>
      <c r="J735" s="277"/>
      <c r="K735" s="409"/>
      <c r="L735" s="477"/>
      <c r="M735" s="277"/>
      <c r="N735" s="277"/>
      <c r="O735" s="277"/>
      <c r="P735" s="277"/>
      <c r="Q735" s="277"/>
      <c r="R735" s="277"/>
      <c r="S735" s="277"/>
      <c r="T735" s="277"/>
      <c r="U735" s="277"/>
      <c r="V735" s="277"/>
      <c r="W735" s="277"/>
      <c r="X735" s="277"/>
      <c r="Y735" s="277"/>
      <c r="Z735" s="277"/>
    </row>
    <row r="736" ht="12.75" customHeight="1">
      <c r="A736" s="277"/>
      <c r="B736" s="278"/>
      <c r="C736" s="279"/>
      <c r="D736" s="277"/>
      <c r="E736" s="277"/>
      <c r="F736" s="277"/>
      <c r="G736" s="277"/>
      <c r="H736" s="277"/>
      <c r="I736" s="277"/>
      <c r="J736" s="277"/>
      <c r="K736" s="409"/>
      <c r="L736" s="477"/>
      <c r="M736" s="277"/>
      <c r="N736" s="277"/>
      <c r="O736" s="277"/>
      <c r="P736" s="277"/>
      <c r="Q736" s="277"/>
      <c r="R736" s="277"/>
      <c r="S736" s="277"/>
      <c r="T736" s="277"/>
      <c r="U736" s="277"/>
      <c r="V736" s="277"/>
      <c r="W736" s="277"/>
      <c r="X736" s="277"/>
      <c r="Y736" s="277"/>
      <c r="Z736" s="277"/>
    </row>
    <row r="737" ht="12.75" customHeight="1">
      <c r="A737" s="277"/>
      <c r="B737" s="278"/>
      <c r="C737" s="279"/>
      <c r="D737" s="277"/>
      <c r="E737" s="277"/>
      <c r="F737" s="277"/>
      <c r="G737" s="277"/>
      <c r="H737" s="277"/>
      <c r="I737" s="277"/>
      <c r="J737" s="277"/>
      <c r="K737" s="409"/>
      <c r="L737" s="477"/>
      <c r="M737" s="277"/>
      <c r="N737" s="277"/>
      <c r="O737" s="277"/>
      <c r="P737" s="277"/>
      <c r="Q737" s="277"/>
      <c r="R737" s="277"/>
      <c r="S737" s="277"/>
      <c r="T737" s="277"/>
      <c r="U737" s="277"/>
      <c r="V737" s="277"/>
      <c r="W737" s="277"/>
      <c r="X737" s="277"/>
      <c r="Y737" s="277"/>
      <c r="Z737" s="277"/>
    </row>
    <row r="738" ht="12.75" customHeight="1">
      <c r="A738" s="277"/>
      <c r="B738" s="278"/>
      <c r="C738" s="279"/>
      <c r="D738" s="277"/>
      <c r="E738" s="277"/>
      <c r="F738" s="277"/>
      <c r="G738" s="277"/>
      <c r="H738" s="277"/>
      <c r="I738" s="277"/>
      <c r="J738" s="277"/>
      <c r="K738" s="409"/>
      <c r="L738" s="477"/>
      <c r="M738" s="277"/>
      <c r="N738" s="277"/>
      <c r="O738" s="277"/>
      <c r="P738" s="277"/>
      <c r="Q738" s="277"/>
      <c r="R738" s="277"/>
      <c r="S738" s="277"/>
      <c r="T738" s="277"/>
      <c r="U738" s="277"/>
      <c r="V738" s="277"/>
      <c r="W738" s="277"/>
      <c r="X738" s="277"/>
      <c r="Y738" s="277"/>
      <c r="Z738" s="277"/>
    </row>
    <row r="739" ht="12.75" customHeight="1">
      <c r="A739" s="277"/>
      <c r="B739" s="278"/>
      <c r="C739" s="279"/>
      <c r="D739" s="277"/>
      <c r="E739" s="277"/>
      <c r="F739" s="277"/>
      <c r="G739" s="277"/>
      <c r="H739" s="277"/>
      <c r="I739" s="277"/>
      <c r="J739" s="277"/>
      <c r="K739" s="409"/>
      <c r="L739" s="477"/>
      <c r="M739" s="277"/>
      <c r="N739" s="277"/>
      <c r="O739" s="277"/>
      <c r="P739" s="277"/>
      <c r="Q739" s="277"/>
      <c r="R739" s="277"/>
      <c r="S739" s="277"/>
      <c r="T739" s="277"/>
      <c r="U739" s="277"/>
      <c r="V739" s="277"/>
      <c r="W739" s="277"/>
      <c r="X739" s="277"/>
      <c r="Y739" s="277"/>
      <c r="Z739" s="277"/>
    </row>
    <row r="740" ht="12.75" customHeight="1">
      <c r="A740" s="277"/>
      <c r="B740" s="278"/>
      <c r="C740" s="279"/>
      <c r="D740" s="277"/>
      <c r="E740" s="277"/>
      <c r="F740" s="277"/>
      <c r="G740" s="277"/>
      <c r="H740" s="277"/>
      <c r="I740" s="277"/>
      <c r="J740" s="277"/>
      <c r="K740" s="409"/>
      <c r="L740" s="477"/>
      <c r="M740" s="277"/>
      <c r="N740" s="277"/>
      <c r="O740" s="277"/>
      <c r="P740" s="277"/>
      <c r="Q740" s="277"/>
      <c r="R740" s="277"/>
      <c r="S740" s="277"/>
      <c r="T740" s="277"/>
      <c r="U740" s="277"/>
      <c r="V740" s="277"/>
      <c r="W740" s="277"/>
      <c r="X740" s="277"/>
      <c r="Y740" s="277"/>
      <c r="Z740" s="277"/>
    </row>
    <row r="741" ht="12.75" customHeight="1">
      <c r="A741" s="277"/>
      <c r="B741" s="278"/>
      <c r="C741" s="279"/>
      <c r="D741" s="277"/>
      <c r="E741" s="277"/>
      <c r="F741" s="277"/>
      <c r="G741" s="277"/>
      <c r="H741" s="277"/>
      <c r="I741" s="277"/>
      <c r="J741" s="277"/>
      <c r="K741" s="409"/>
      <c r="L741" s="477"/>
      <c r="M741" s="277"/>
      <c r="N741" s="277"/>
      <c r="O741" s="277"/>
      <c r="P741" s="277"/>
      <c r="Q741" s="277"/>
      <c r="R741" s="277"/>
      <c r="S741" s="277"/>
      <c r="T741" s="277"/>
      <c r="U741" s="277"/>
      <c r="V741" s="277"/>
      <c r="W741" s="277"/>
      <c r="X741" s="277"/>
      <c r="Y741" s="277"/>
      <c r="Z741" s="277"/>
    </row>
    <row r="742" ht="12.75" customHeight="1">
      <c r="A742" s="277"/>
      <c r="B742" s="278"/>
      <c r="C742" s="279"/>
      <c r="D742" s="277"/>
      <c r="E742" s="277"/>
      <c r="F742" s="277"/>
      <c r="G742" s="277"/>
      <c r="H742" s="277"/>
      <c r="I742" s="277"/>
      <c r="J742" s="277"/>
      <c r="K742" s="409"/>
      <c r="L742" s="477"/>
      <c r="M742" s="277"/>
      <c r="N742" s="277"/>
      <c r="O742" s="277"/>
      <c r="P742" s="277"/>
      <c r="Q742" s="277"/>
      <c r="R742" s="277"/>
      <c r="S742" s="277"/>
      <c r="T742" s="277"/>
      <c r="U742" s="277"/>
      <c r="V742" s="277"/>
      <c r="W742" s="277"/>
      <c r="X742" s="277"/>
      <c r="Y742" s="277"/>
      <c r="Z742" s="277"/>
    </row>
    <row r="743" ht="12.75" customHeight="1">
      <c r="A743" s="277"/>
      <c r="B743" s="278"/>
      <c r="C743" s="279"/>
      <c r="D743" s="277"/>
      <c r="E743" s="277"/>
      <c r="F743" s="277"/>
      <c r="G743" s="277"/>
      <c r="H743" s="277"/>
      <c r="I743" s="277"/>
      <c r="J743" s="277"/>
      <c r="K743" s="409"/>
      <c r="L743" s="477"/>
      <c r="M743" s="277"/>
      <c r="N743" s="277"/>
      <c r="O743" s="277"/>
      <c r="P743" s="277"/>
      <c r="Q743" s="277"/>
      <c r="R743" s="277"/>
      <c r="S743" s="277"/>
      <c r="T743" s="277"/>
      <c r="U743" s="277"/>
      <c r="V743" s="277"/>
      <c r="W743" s="277"/>
      <c r="X743" s="277"/>
      <c r="Y743" s="277"/>
      <c r="Z743" s="277"/>
    </row>
    <row r="744" ht="12.75" customHeight="1">
      <c r="A744" s="277"/>
      <c r="B744" s="278"/>
      <c r="C744" s="279"/>
      <c r="D744" s="277"/>
      <c r="E744" s="277"/>
      <c r="F744" s="277"/>
      <c r="G744" s="277"/>
      <c r="H744" s="277"/>
      <c r="I744" s="277"/>
      <c r="J744" s="277"/>
      <c r="K744" s="409"/>
      <c r="L744" s="477"/>
      <c r="M744" s="277"/>
      <c r="N744" s="277"/>
      <c r="O744" s="277"/>
      <c r="P744" s="277"/>
      <c r="Q744" s="277"/>
      <c r="R744" s="277"/>
      <c r="S744" s="277"/>
      <c r="T744" s="277"/>
      <c r="U744" s="277"/>
      <c r="V744" s="277"/>
      <c r="W744" s="277"/>
      <c r="X744" s="277"/>
      <c r="Y744" s="277"/>
      <c r="Z744" s="277"/>
    </row>
    <row r="745" ht="12.75" customHeight="1">
      <c r="A745" s="277"/>
      <c r="B745" s="278"/>
      <c r="C745" s="279"/>
      <c r="D745" s="277"/>
      <c r="E745" s="277"/>
      <c r="F745" s="277"/>
      <c r="G745" s="277"/>
      <c r="H745" s="277"/>
      <c r="I745" s="277"/>
      <c r="J745" s="277"/>
      <c r="K745" s="409"/>
      <c r="L745" s="477"/>
      <c r="M745" s="277"/>
      <c r="N745" s="277"/>
      <c r="O745" s="277"/>
      <c r="P745" s="277"/>
      <c r="Q745" s="277"/>
      <c r="R745" s="277"/>
      <c r="S745" s="277"/>
      <c r="T745" s="277"/>
      <c r="U745" s="277"/>
      <c r="V745" s="277"/>
      <c r="W745" s="277"/>
      <c r="X745" s="277"/>
      <c r="Y745" s="277"/>
      <c r="Z745" s="277"/>
    </row>
    <row r="746" ht="12.75" customHeight="1">
      <c r="A746" s="277"/>
      <c r="B746" s="278"/>
      <c r="C746" s="279"/>
      <c r="D746" s="277"/>
      <c r="E746" s="277"/>
      <c r="F746" s="277"/>
      <c r="G746" s="277"/>
      <c r="H746" s="277"/>
      <c r="I746" s="277"/>
      <c r="J746" s="277"/>
      <c r="K746" s="409"/>
      <c r="L746" s="477"/>
      <c r="M746" s="277"/>
      <c r="N746" s="277"/>
      <c r="O746" s="277"/>
      <c r="P746" s="277"/>
      <c r="Q746" s="277"/>
      <c r="R746" s="277"/>
      <c r="S746" s="277"/>
      <c r="T746" s="277"/>
      <c r="U746" s="277"/>
      <c r="V746" s="277"/>
      <c r="W746" s="277"/>
      <c r="X746" s="277"/>
      <c r="Y746" s="277"/>
      <c r="Z746" s="277"/>
    </row>
    <row r="747" ht="12.75" customHeight="1">
      <c r="A747" s="277"/>
      <c r="B747" s="278"/>
      <c r="C747" s="279"/>
      <c r="D747" s="277"/>
      <c r="E747" s="277"/>
      <c r="F747" s="277"/>
      <c r="G747" s="277"/>
      <c r="H747" s="277"/>
      <c r="I747" s="277"/>
      <c r="J747" s="277"/>
      <c r="K747" s="409"/>
      <c r="L747" s="477"/>
      <c r="M747" s="277"/>
      <c r="N747" s="277"/>
      <c r="O747" s="277"/>
      <c r="P747" s="277"/>
      <c r="Q747" s="277"/>
      <c r="R747" s="277"/>
      <c r="S747" s="277"/>
      <c r="T747" s="277"/>
      <c r="U747" s="277"/>
      <c r="V747" s="277"/>
      <c r="W747" s="277"/>
      <c r="X747" s="277"/>
      <c r="Y747" s="277"/>
      <c r="Z747" s="277"/>
    </row>
    <row r="748" ht="12.75" customHeight="1">
      <c r="A748" s="277"/>
      <c r="B748" s="278"/>
      <c r="C748" s="279"/>
      <c r="D748" s="277"/>
      <c r="E748" s="277"/>
      <c r="F748" s="277"/>
      <c r="G748" s="277"/>
      <c r="H748" s="277"/>
      <c r="I748" s="277"/>
      <c r="J748" s="277"/>
      <c r="K748" s="409"/>
      <c r="L748" s="477"/>
      <c r="M748" s="277"/>
      <c r="N748" s="277"/>
      <c r="O748" s="277"/>
      <c r="P748" s="277"/>
      <c r="Q748" s="277"/>
      <c r="R748" s="277"/>
      <c r="S748" s="277"/>
      <c r="T748" s="277"/>
      <c r="U748" s="277"/>
      <c r="V748" s="277"/>
      <c r="W748" s="277"/>
      <c r="X748" s="277"/>
      <c r="Y748" s="277"/>
      <c r="Z748" s="277"/>
    </row>
    <row r="749" ht="12.75" customHeight="1">
      <c r="A749" s="277"/>
      <c r="B749" s="278"/>
      <c r="C749" s="279"/>
      <c r="D749" s="277"/>
      <c r="E749" s="277"/>
      <c r="F749" s="277"/>
      <c r="G749" s="277"/>
      <c r="H749" s="277"/>
      <c r="I749" s="277"/>
      <c r="J749" s="277"/>
      <c r="K749" s="409"/>
      <c r="L749" s="477"/>
      <c r="M749" s="277"/>
      <c r="N749" s="277"/>
      <c r="O749" s="277"/>
      <c r="P749" s="277"/>
      <c r="Q749" s="277"/>
      <c r="R749" s="277"/>
      <c r="S749" s="277"/>
      <c r="T749" s="277"/>
      <c r="U749" s="277"/>
      <c r="V749" s="277"/>
      <c r="W749" s="277"/>
      <c r="X749" s="277"/>
      <c r="Y749" s="277"/>
      <c r="Z749" s="277"/>
    </row>
    <row r="750" ht="12.75" customHeight="1">
      <c r="A750" s="277"/>
      <c r="B750" s="278"/>
      <c r="C750" s="279"/>
      <c r="D750" s="277"/>
      <c r="E750" s="277"/>
      <c r="F750" s="277"/>
      <c r="G750" s="277"/>
      <c r="H750" s="277"/>
      <c r="I750" s="277"/>
      <c r="J750" s="277"/>
      <c r="K750" s="409"/>
      <c r="L750" s="477"/>
      <c r="M750" s="277"/>
      <c r="N750" s="277"/>
      <c r="O750" s="277"/>
      <c r="P750" s="277"/>
      <c r="Q750" s="277"/>
      <c r="R750" s="277"/>
      <c r="S750" s="277"/>
      <c r="T750" s="277"/>
      <c r="U750" s="277"/>
      <c r="V750" s="277"/>
      <c r="W750" s="277"/>
      <c r="X750" s="277"/>
      <c r="Y750" s="277"/>
      <c r="Z750" s="277"/>
    </row>
    <row r="751" ht="12.75" customHeight="1">
      <c r="A751" s="277"/>
      <c r="B751" s="278"/>
      <c r="C751" s="279"/>
      <c r="D751" s="277"/>
      <c r="E751" s="277"/>
      <c r="F751" s="277"/>
      <c r="G751" s="277"/>
      <c r="H751" s="277"/>
      <c r="I751" s="277"/>
      <c r="J751" s="277"/>
      <c r="K751" s="409"/>
      <c r="L751" s="477"/>
      <c r="M751" s="277"/>
      <c r="N751" s="277"/>
      <c r="O751" s="277"/>
      <c r="P751" s="277"/>
      <c r="Q751" s="277"/>
      <c r="R751" s="277"/>
      <c r="S751" s="277"/>
      <c r="T751" s="277"/>
      <c r="U751" s="277"/>
      <c r="V751" s="277"/>
      <c r="W751" s="277"/>
      <c r="X751" s="277"/>
      <c r="Y751" s="277"/>
      <c r="Z751" s="277"/>
    </row>
    <row r="752" ht="12.75" customHeight="1">
      <c r="A752" s="277"/>
      <c r="B752" s="278"/>
      <c r="C752" s="279"/>
      <c r="D752" s="277"/>
      <c r="E752" s="277"/>
      <c r="F752" s="277"/>
      <c r="G752" s="277"/>
      <c r="H752" s="277"/>
      <c r="I752" s="277"/>
      <c r="J752" s="277"/>
      <c r="K752" s="409"/>
      <c r="L752" s="477"/>
      <c r="M752" s="277"/>
      <c r="N752" s="277"/>
      <c r="O752" s="277"/>
      <c r="P752" s="277"/>
      <c r="Q752" s="277"/>
      <c r="R752" s="277"/>
      <c r="S752" s="277"/>
      <c r="T752" s="277"/>
      <c r="U752" s="277"/>
      <c r="V752" s="277"/>
      <c r="W752" s="277"/>
      <c r="X752" s="277"/>
      <c r="Y752" s="277"/>
      <c r="Z752" s="277"/>
    </row>
    <row r="753" ht="12.75" customHeight="1">
      <c r="A753" s="277"/>
      <c r="B753" s="278"/>
      <c r="C753" s="279"/>
      <c r="D753" s="277"/>
      <c r="E753" s="277"/>
      <c r="F753" s="277"/>
      <c r="G753" s="277"/>
      <c r="H753" s="277"/>
      <c r="I753" s="277"/>
      <c r="J753" s="277"/>
      <c r="K753" s="409"/>
      <c r="L753" s="477"/>
      <c r="M753" s="277"/>
      <c r="N753" s="277"/>
      <c r="O753" s="277"/>
      <c r="P753" s="277"/>
      <c r="Q753" s="277"/>
      <c r="R753" s="277"/>
      <c r="S753" s="277"/>
      <c r="T753" s="277"/>
      <c r="U753" s="277"/>
      <c r="V753" s="277"/>
      <c r="W753" s="277"/>
      <c r="X753" s="277"/>
      <c r="Y753" s="277"/>
      <c r="Z753" s="277"/>
    </row>
    <row r="754" ht="12.75" customHeight="1">
      <c r="A754" s="277"/>
      <c r="B754" s="278"/>
      <c r="C754" s="279"/>
      <c r="D754" s="277"/>
      <c r="E754" s="277"/>
      <c r="F754" s="277"/>
      <c r="G754" s="277"/>
      <c r="H754" s="277"/>
      <c r="I754" s="277"/>
      <c r="J754" s="277"/>
      <c r="K754" s="409"/>
      <c r="L754" s="477"/>
      <c r="M754" s="277"/>
      <c r="N754" s="277"/>
      <c r="O754" s="277"/>
      <c r="P754" s="277"/>
      <c r="Q754" s="277"/>
      <c r="R754" s="277"/>
      <c r="S754" s="277"/>
      <c r="T754" s="277"/>
      <c r="U754" s="277"/>
      <c r="V754" s="277"/>
      <c r="W754" s="277"/>
      <c r="X754" s="277"/>
      <c r="Y754" s="277"/>
      <c r="Z754" s="277"/>
    </row>
    <row r="755" ht="12.75" customHeight="1">
      <c r="A755" s="277"/>
      <c r="B755" s="278"/>
      <c r="C755" s="279"/>
      <c r="D755" s="277"/>
      <c r="E755" s="277"/>
      <c r="F755" s="277"/>
      <c r="G755" s="277"/>
      <c r="H755" s="277"/>
      <c r="I755" s="277"/>
      <c r="J755" s="277"/>
      <c r="K755" s="409"/>
      <c r="L755" s="477"/>
      <c r="M755" s="277"/>
      <c r="N755" s="277"/>
      <c r="O755" s="277"/>
      <c r="P755" s="277"/>
      <c r="Q755" s="277"/>
      <c r="R755" s="277"/>
      <c r="S755" s="277"/>
      <c r="T755" s="277"/>
      <c r="U755" s="277"/>
      <c r="V755" s="277"/>
      <c r="W755" s="277"/>
      <c r="X755" s="277"/>
      <c r="Y755" s="277"/>
      <c r="Z755" s="277"/>
    </row>
    <row r="756" ht="12.75" customHeight="1">
      <c r="A756" s="277"/>
      <c r="B756" s="278"/>
      <c r="C756" s="279"/>
      <c r="D756" s="277"/>
      <c r="E756" s="277"/>
      <c r="F756" s="277"/>
      <c r="G756" s="277"/>
      <c r="H756" s="277"/>
      <c r="I756" s="277"/>
      <c r="J756" s="277"/>
      <c r="K756" s="409"/>
      <c r="L756" s="477"/>
      <c r="M756" s="277"/>
      <c r="N756" s="277"/>
      <c r="O756" s="277"/>
      <c r="P756" s="277"/>
      <c r="Q756" s="277"/>
      <c r="R756" s="277"/>
      <c r="S756" s="277"/>
      <c r="T756" s="277"/>
      <c r="U756" s="277"/>
      <c r="V756" s="277"/>
      <c r="W756" s="277"/>
      <c r="X756" s="277"/>
      <c r="Y756" s="277"/>
      <c r="Z756" s="277"/>
    </row>
    <row r="757" ht="12.75" customHeight="1">
      <c r="A757" s="277"/>
      <c r="B757" s="278"/>
      <c r="C757" s="279"/>
      <c r="D757" s="277"/>
      <c r="E757" s="277"/>
      <c r="F757" s="277"/>
      <c r="G757" s="277"/>
      <c r="H757" s="277"/>
      <c r="I757" s="277"/>
      <c r="J757" s="277"/>
      <c r="K757" s="409"/>
      <c r="L757" s="477"/>
      <c r="M757" s="277"/>
      <c r="N757" s="277"/>
      <c r="O757" s="277"/>
      <c r="P757" s="277"/>
      <c r="Q757" s="277"/>
      <c r="R757" s="277"/>
      <c r="S757" s="277"/>
      <c r="T757" s="277"/>
      <c r="U757" s="277"/>
      <c r="V757" s="277"/>
      <c r="W757" s="277"/>
      <c r="X757" s="277"/>
      <c r="Y757" s="277"/>
      <c r="Z757" s="277"/>
    </row>
    <row r="758" ht="12.75" customHeight="1">
      <c r="A758" s="277"/>
      <c r="B758" s="278"/>
      <c r="C758" s="279"/>
      <c r="D758" s="277"/>
      <c r="E758" s="277"/>
      <c r="F758" s="277"/>
      <c r="G758" s="277"/>
      <c r="H758" s="277"/>
      <c r="I758" s="277"/>
      <c r="J758" s="277"/>
      <c r="K758" s="409"/>
      <c r="L758" s="477"/>
      <c r="M758" s="277"/>
      <c r="N758" s="277"/>
      <c r="O758" s="277"/>
      <c r="P758" s="277"/>
      <c r="Q758" s="277"/>
      <c r="R758" s="277"/>
      <c r="S758" s="277"/>
      <c r="T758" s="277"/>
      <c r="U758" s="277"/>
      <c r="V758" s="277"/>
      <c r="W758" s="277"/>
      <c r="X758" s="277"/>
      <c r="Y758" s="277"/>
      <c r="Z758" s="277"/>
    </row>
    <row r="759" ht="12.75" customHeight="1">
      <c r="A759" s="277"/>
      <c r="B759" s="278"/>
      <c r="C759" s="279"/>
      <c r="D759" s="277"/>
      <c r="E759" s="277"/>
      <c r="F759" s="277"/>
      <c r="G759" s="277"/>
      <c r="H759" s="277"/>
      <c r="I759" s="277"/>
      <c r="J759" s="277"/>
      <c r="K759" s="409"/>
      <c r="L759" s="477"/>
      <c r="M759" s="277"/>
      <c r="N759" s="277"/>
      <c r="O759" s="277"/>
      <c r="P759" s="277"/>
      <c r="Q759" s="277"/>
      <c r="R759" s="277"/>
      <c r="S759" s="277"/>
      <c r="T759" s="277"/>
      <c r="U759" s="277"/>
      <c r="V759" s="277"/>
      <c r="W759" s="277"/>
      <c r="X759" s="277"/>
      <c r="Y759" s="277"/>
      <c r="Z759" s="277"/>
    </row>
    <row r="760" ht="12.75" customHeight="1">
      <c r="A760" s="277"/>
      <c r="B760" s="278"/>
      <c r="C760" s="279"/>
      <c r="D760" s="277"/>
      <c r="E760" s="277"/>
      <c r="F760" s="277"/>
      <c r="G760" s="277"/>
      <c r="H760" s="277"/>
      <c r="I760" s="277"/>
      <c r="J760" s="277"/>
      <c r="K760" s="409"/>
      <c r="L760" s="477"/>
      <c r="M760" s="277"/>
      <c r="N760" s="277"/>
      <c r="O760" s="277"/>
      <c r="P760" s="277"/>
      <c r="Q760" s="277"/>
      <c r="R760" s="277"/>
      <c r="S760" s="277"/>
      <c r="T760" s="277"/>
      <c r="U760" s="277"/>
      <c r="V760" s="277"/>
      <c r="W760" s="277"/>
      <c r="X760" s="277"/>
      <c r="Y760" s="277"/>
      <c r="Z760" s="277"/>
    </row>
    <row r="761" ht="12.75" customHeight="1">
      <c r="A761" s="277"/>
      <c r="B761" s="278"/>
      <c r="C761" s="279"/>
      <c r="D761" s="277"/>
      <c r="E761" s="277"/>
      <c r="F761" s="277"/>
      <c r="G761" s="277"/>
      <c r="H761" s="277"/>
      <c r="I761" s="277"/>
      <c r="J761" s="277"/>
      <c r="K761" s="409"/>
      <c r="L761" s="477"/>
      <c r="M761" s="277"/>
      <c r="N761" s="277"/>
      <c r="O761" s="277"/>
      <c r="P761" s="277"/>
      <c r="Q761" s="277"/>
      <c r="R761" s="277"/>
      <c r="S761" s="277"/>
      <c r="T761" s="277"/>
      <c r="U761" s="277"/>
      <c r="V761" s="277"/>
      <c r="W761" s="277"/>
      <c r="X761" s="277"/>
      <c r="Y761" s="277"/>
      <c r="Z761" s="277"/>
    </row>
    <row r="762" ht="12.75" customHeight="1">
      <c r="A762" s="277"/>
      <c r="B762" s="278"/>
      <c r="C762" s="279"/>
      <c r="D762" s="277"/>
      <c r="E762" s="277"/>
      <c r="F762" s="277"/>
      <c r="G762" s="277"/>
      <c r="H762" s="277"/>
      <c r="I762" s="277"/>
      <c r="J762" s="277"/>
      <c r="K762" s="409"/>
      <c r="L762" s="477"/>
      <c r="M762" s="277"/>
      <c r="N762" s="277"/>
      <c r="O762" s="277"/>
      <c r="P762" s="277"/>
      <c r="Q762" s="277"/>
      <c r="R762" s="277"/>
      <c r="S762" s="277"/>
      <c r="T762" s="277"/>
      <c r="U762" s="277"/>
      <c r="V762" s="277"/>
      <c r="W762" s="277"/>
      <c r="X762" s="277"/>
      <c r="Y762" s="277"/>
      <c r="Z762" s="277"/>
    </row>
    <row r="763" ht="12.75" customHeight="1">
      <c r="A763" s="277"/>
      <c r="B763" s="278"/>
      <c r="C763" s="279"/>
      <c r="D763" s="277"/>
      <c r="E763" s="277"/>
      <c r="F763" s="277"/>
      <c r="G763" s="277"/>
      <c r="H763" s="277"/>
      <c r="I763" s="277"/>
      <c r="J763" s="277"/>
      <c r="K763" s="409"/>
      <c r="L763" s="477"/>
      <c r="M763" s="277"/>
      <c r="N763" s="277"/>
      <c r="O763" s="277"/>
      <c r="P763" s="277"/>
      <c r="Q763" s="277"/>
      <c r="R763" s="277"/>
      <c r="S763" s="277"/>
      <c r="T763" s="277"/>
      <c r="U763" s="277"/>
      <c r="V763" s="277"/>
      <c r="W763" s="277"/>
      <c r="X763" s="277"/>
      <c r="Y763" s="277"/>
      <c r="Z763" s="277"/>
    </row>
    <row r="764" ht="12.75" customHeight="1">
      <c r="A764" s="277"/>
      <c r="B764" s="278"/>
      <c r="C764" s="279"/>
      <c r="D764" s="277"/>
      <c r="E764" s="277"/>
      <c r="F764" s="277"/>
      <c r="G764" s="277"/>
      <c r="H764" s="277"/>
      <c r="I764" s="277"/>
      <c r="J764" s="277"/>
      <c r="K764" s="409"/>
      <c r="L764" s="477"/>
      <c r="M764" s="277"/>
      <c r="N764" s="277"/>
      <c r="O764" s="277"/>
      <c r="P764" s="277"/>
      <c r="Q764" s="277"/>
      <c r="R764" s="277"/>
      <c r="S764" s="277"/>
      <c r="T764" s="277"/>
      <c r="U764" s="277"/>
      <c r="V764" s="277"/>
      <c r="W764" s="277"/>
      <c r="X764" s="277"/>
      <c r="Y764" s="277"/>
      <c r="Z764" s="277"/>
    </row>
    <row r="765" ht="12.75" customHeight="1">
      <c r="A765" s="277"/>
      <c r="B765" s="278"/>
      <c r="C765" s="279"/>
      <c r="D765" s="277"/>
      <c r="E765" s="277"/>
      <c r="F765" s="277"/>
      <c r="G765" s="277"/>
      <c r="H765" s="277"/>
      <c r="I765" s="277"/>
      <c r="J765" s="277"/>
      <c r="K765" s="409"/>
      <c r="L765" s="477"/>
      <c r="M765" s="277"/>
      <c r="N765" s="277"/>
      <c r="O765" s="277"/>
      <c r="P765" s="277"/>
      <c r="Q765" s="277"/>
      <c r="R765" s="277"/>
      <c r="S765" s="277"/>
      <c r="T765" s="277"/>
      <c r="U765" s="277"/>
      <c r="V765" s="277"/>
      <c r="W765" s="277"/>
      <c r="X765" s="277"/>
      <c r="Y765" s="277"/>
      <c r="Z765" s="277"/>
    </row>
    <row r="766" ht="12.75" customHeight="1">
      <c r="A766" s="277"/>
      <c r="B766" s="278"/>
      <c r="C766" s="279"/>
      <c r="D766" s="277"/>
      <c r="E766" s="277"/>
      <c r="F766" s="277"/>
      <c r="G766" s="277"/>
      <c r="H766" s="277"/>
      <c r="I766" s="277"/>
      <c r="J766" s="277"/>
      <c r="K766" s="409"/>
      <c r="L766" s="477"/>
      <c r="M766" s="277"/>
      <c r="N766" s="277"/>
      <c r="O766" s="277"/>
      <c r="P766" s="277"/>
      <c r="Q766" s="277"/>
      <c r="R766" s="277"/>
      <c r="S766" s="277"/>
      <c r="T766" s="277"/>
      <c r="U766" s="277"/>
      <c r="V766" s="277"/>
      <c r="W766" s="277"/>
      <c r="X766" s="277"/>
      <c r="Y766" s="277"/>
      <c r="Z766" s="277"/>
    </row>
    <row r="767" ht="12.75" customHeight="1">
      <c r="A767" s="277"/>
      <c r="B767" s="278"/>
      <c r="C767" s="279"/>
      <c r="D767" s="277"/>
      <c r="E767" s="277"/>
      <c r="F767" s="277"/>
      <c r="G767" s="277"/>
      <c r="H767" s="277"/>
      <c r="I767" s="277"/>
      <c r="J767" s="277"/>
      <c r="K767" s="409"/>
      <c r="L767" s="477"/>
      <c r="M767" s="277"/>
      <c r="N767" s="277"/>
      <c r="O767" s="277"/>
      <c r="P767" s="277"/>
      <c r="Q767" s="277"/>
      <c r="R767" s="277"/>
      <c r="S767" s="277"/>
      <c r="T767" s="277"/>
      <c r="U767" s="277"/>
      <c r="V767" s="277"/>
      <c r="W767" s="277"/>
      <c r="X767" s="277"/>
      <c r="Y767" s="277"/>
      <c r="Z767" s="277"/>
    </row>
    <row r="768" ht="12.75" customHeight="1">
      <c r="A768" s="277"/>
      <c r="B768" s="278"/>
      <c r="C768" s="279"/>
      <c r="D768" s="277"/>
      <c r="E768" s="277"/>
      <c r="F768" s="277"/>
      <c r="G768" s="277"/>
      <c r="H768" s="277"/>
      <c r="I768" s="277"/>
      <c r="J768" s="277"/>
      <c r="K768" s="409"/>
      <c r="L768" s="477"/>
      <c r="M768" s="277"/>
      <c r="N768" s="277"/>
      <c r="O768" s="277"/>
      <c r="P768" s="277"/>
      <c r="Q768" s="277"/>
      <c r="R768" s="277"/>
      <c r="S768" s="277"/>
      <c r="T768" s="277"/>
      <c r="U768" s="277"/>
      <c r="V768" s="277"/>
      <c r="W768" s="277"/>
      <c r="X768" s="277"/>
      <c r="Y768" s="277"/>
      <c r="Z768" s="277"/>
    </row>
    <row r="769" ht="12.75" customHeight="1">
      <c r="A769" s="277"/>
      <c r="B769" s="278"/>
      <c r="C769" s="279"/>
      <c r="D769" s="277"/>
      <c r="E769" s="277"/>
      <c r="F769" s="277"/>
      <c r="G769" s="277"/>
      <c r="H769" s="277"/>
      <c r="I769" s="277"/>
      <c r="J769" s="277"/>
      <c r="K769" s="409"/>
      <c r="L769" s="477"/>
      <c r="M769" s="277"/>
      <c r="N769" s="277"/>
      <c r="O769" s="277"/>
      <c r="P769" s="277"/>
      <c r="Q769" s="277"/>
      <c r="R769" s="277"/>
      <c r="S769" s="277"/>
      <c r="T769" s="277"/>
      <c r="U769" s="277"/>
      <c r="V769" s="277"/>
      <c r="W769" s="277"/>
      <c r="X769" s="277"/>
      <c r="Y769" s="277"/>
      <c r="Z769" s="277"/>
    </row>
    <row r="770" ht="12.75" customHeight="1">
      <c r="A770" s="277"/>
      <c r="B770" s="278"/>
      <c r="C770" s="279"/>
      <c r="D770" s="277"/>
      <c r="E770" s="277"/>
      <c r="F770" s="277"/>
      <c r="G770" s="277"/>
      <c r="H770" s="277"/>
      <c r="I770" s="277"/>
      <c r="J770" s="277"/>
      <c r="K770" s="409"/>
      <c r="L770" s="477"/>
      <c r="M770" s="277"/>
      <c r="N770" s="277"/>
      <c r="O770" s="277"/>
      <c r="P770" s="277"/>
      <c r="Q770" s="277"/>
      <c r="R770" s="277"/>
      <c r="S770" s="277"/>
      <c r="T770" s="277"/>
      <c r="U770" s="277"/>
      <c r="V770" s="277"/>
      <c r="W770" s="277"/>
      <c r="X770" s="277"/>
      <c r="Y770" s="277"/>
      <c r="Z770" s="277"/>
    </row>
    <row r="771" ht="12.75" customHeight="1">
      <c r="A771" s="277"/>
      <c r="B771" s="278"/>
      <c r="C771" s="279"/>
      <c r="D771" s="277"/>
      <c r="E771" s="277"/>
      <c r="F771" s="277"/>
      <c r="G771" s="277"/>
      <c r="H771" s="277"/>
      <c r="I771" s="277"/>
      <c r="J771" s="277"/>
      <c r="K771" s="409"/>
      <c r="L771" s="477"/>
      <c r="M771" s="277"/>
      <c r="N771" s="277"/>
      <c r="O771" s="277"/>
      <c r="P771" s="277"/>
      <c r="Q771" s="277"/>
      <c r="R771" s="277"/>
      <c r="S771" s="277"/>
      <c r="T771" s="277"/>
      <c r="U771" s="277"/>
      <c r="V771" s="277"/>
      <c r="W771" s="277"/>
      <c r="X771" s="277"/>
      <c r="Y771" s="277"/>
      <c r="Z771" s="277"/>
    </row>
    <row r="772" ht="12.75" customHeight="1">
      <c r="A772" s="277"/>
      <c r="B772" s="278"/>
      <c r="C772" s="279"/>
      <c r="D772" s="277"/>
      <c r="E772" s="277"/>
      <c r="F772" s="277"/>
      <c r="G772" s="277"/>
      <c r="H772" s="277"/>
      <c r="I772" s="277"/>
      <c r="J772" s="277"/>
      <c r="K772" s="409"/>
      <c r="L772" s="477"/>
      <c r="M772" s="277"/>
      <c r="N772" s="277"/>
      <c r="O772" s="277"/>
      <c r="P772" s="277"/>
      <c r="Q772" s="277"/>
      <c r="R772" s="277"/>
      <c r="S772" s="277"/>
      <c r="T772" s="277"/>
      <c r="U772" s="277"/>
      <c r="V772" s="277"/>
      <c r="W772" s="277"/>
      <c r="X772" s="277"/>
      <c r="Y772" s="277"/>
      <c r="Z772" s="277"/>
    </row>
    <row r="773" ht="12.75" customHeight="1">
      <c r="A773" s="277"/>
      <c r="B773" s="278"/>
      <c r="C773" s="279"/>
      <c r="D773" s="277"/>
      <c r="E773" s="277"/>
      <c r="F773" s="277"/>
      <c r="G773" s="277"/>
      <c r="H773" s="277"/>
      <c r="I773" s="277"/>
      <c r="J773" s="277"/>
      <c r="K773" s="409"/>
      <c r="L773" s="477"/>
      <c r="M773" s="277"/>
      <c r="N773" s="277"/>
      <c r="O773" s="277"/>
      <c r="P773" s="277"/>
      <c r="Q773" s="277"/>
      <c r="R773" s="277"/>
      <c r="S773" s="277"/>
      <c r="T773" s="277"/>
      <c r="U773" s="277"/>
      <c r="V773" s="277"/>
      <c r="W773" s="277"/>
      <c r="X773" s="277"/>
      <c r="Y773" s="277"/>
      <c r="Z773" s="277"/>
    </row>
    <row r="774" ht="12.75" customHeight="1">
      <c r="A774" s="277"/>
      <c r="B774" s="278"/>
      <c r="C774" s="279"/>
      <c r="D774" s="277"/>
      <c r="E774" s="277"/>
      <c r="F774" s="277"/>
      <c r="G774" s="277"/>
      <c r="H774" s="277"/>
      <c r="I774" s="277"/>
      <c r="J774" s="277"/>
      <c r="K774" s="409"/>
      <c r="L774" s="477"/>
      <c r="M774" s="277"/>
      <c r="N774" s="277"/>
      <c r="O774" s="277"/>
      <c r="P774" s="277"/>
      <c r="Q774" s="277"/>
      <c r="R774" s="277"/>
      <c r="S774" s="277"/>
      <c r="T774" s="277"/>
      <c r="U774" s="277"/>
      <c r="V774" s="277"/>
      <c r="W774" s="277"/>
      <c r="X774" s="277"/>
      <c r="Y774" s="277"/>
      <c r="Z774" s="277"/>
    </row>
    <row r="775" ht="12.75" customHeight="1">
      <c r="A775" s="277"/>
      <c r="B775" s="278"/>
      <c r="C775" s="279"/>
      <c r="D775" s="277"/>
      <c r="E775" s="277"/>
      <c r="F775" s="277"/>
      <c r="G775" s="277"/>
      <c r="H775" s="277"/>
      <c r="I775" s="277"/>
      <c r="J775" s="277"/>
      <c r="K775" s="409"/>
      <c r="L775" s="477"/>
      <c r="M775" s="277"/>
      <c r="N775" s="277"/>
      <c r="O775" s="277"/>
      <c r="P775" s="277"/>
      <c r="Q775" s="277"/>
      <c r="R775" s="277"/>
      <c r="S775" s="277"/>
      <c r="T775" s="277"/>
      <c r="U775" s="277"/>
      <c r="V775" s="277"/>
      <c r="W775" s="277"/>
      <c r="X775" s="277"/>
      <c r="Y775" s="277"/>
      <c r="Z775" s="277"/>
    </row>
    <row r="776" ht="12.75" customHeight="1">
      <c r="A776" s="277"/>
      <c r="B776" s="278"/>
      <c r="C776" s="279"/>
      <c r="D776" s="277"/>
      <c r="E776" s="277"/>
      <c r="F776" s="277"/>
      <c r="G776" s="277"/>
      <c r="H776" s="277"/>
      <c r="I776" s="277"/>
      <c r="J776" s="277"/>
      <c r="K776" s="409"/>
      <c r="L776" s="477"/>
      <c r="M776" s="277"/>
      <c r="N776" s="277"/>
      <c r="O776" s="277"/>
      <c r="P776" s="277"/>
      <c r="Q776" s="277"/>
      <c r="R776" s="277"/>
      <c r="S776" s="277"/>
      <c r="T776" s="277"/>
      <c r="U776" s="277"/>
      <c r="V776" s="277"/>
      <c r="W776" s="277"/>
      <c r="X776" s="277"/>
      <c r="Y776" s="277"/>
      <c r="Z776" s="277"/>
    </row>
    <row r="777" ht="12.75" customHeight="1">
      <c r="A777" s="277"/>
      <c r="B777" s="278"/>
      <c r="C777" s="279"/>
      <c r="D777" s="277"/>
      <c r="E777" s="277"/>
      <c r="F777" s="277"/>
      <c r="G777" s="277"/>
      <c r="H777" s="277"/>
      <c r="I777" s="277"/>
      <c r="J777" s="277"/>
      <c r="K777" s="409"/>
      <c r="L777" s="477"/>
      <c r="M777" s="277"/>
      <c r="N777" s="277"/>
      <c r="O777" s="277"/>
      <c r="P777" s="277"/>
      <c r="Q777" s="277"/>
      <c r="R777" s="277"/>
      <c r="S777" s="277"/>
      <c r="T777" s="277"/>
      <c r="U777" s="277"/>
      <c r="V777" s="277"/>
      <c r="W777" s="277"/>
      <c r="X777" s="277"/>
      <c r="Y777" s="277"/>
      <c r="Z777" s="277"/>
    </row>
    <row r="778" ht="12.75" customHeight="1">
      <c r="A778" s="277"/>
      <c r="B778" s="278"/>
      <c r="C778" s="279"/>
      <c r="D778" s="277"/>
      <c r="E778" s="277"/>
      <c r="F778" s="277"/>
      <c r="G778" s="277"/>
      <c r="H778" s="277"/>
      <c r="I778" s="277"/>
      <c r="J778" s="277"/>
      <c r="K778" s="409"/>
      <c r="L778" s="477"/>
      <c r="M778" s="277"/>
      <c r="N778" s="277"/>
      <c r="O778" s="277"/>
      <c r="P778" s="277"/>
      <c r="Q778" s="277"/>
      <c r="R778" s="277"/>
      <c r="S778" s="277"/>
      <c r="T778" s="277"/>
      <c r="U778" s="277"/>
      <c r="V778" s="277"/>
      <c r="W778" s="277"/>
      <c r="X778" s="277"/>
      <c r="Y778" s="277"/>
      <c r="Z778" s="277"/>
    </row>
    <row r="779" ht="12.75" customHeight="1">
      <c r="A779" s="277"/>
      <c r="B779" s="278"/>
      <c r="C779" s="279"/>
      <c r="D779" s="277"/>
      <c r="E779" s="277"/>
      <c r="F779" s="277"/>
      <c r="G779" s="277"/>
      <c r="H779" s="277"/>
      <c r="I779" s="277"/>
      <c r="J779" s="277"/>
      <c r="K779" s="409"/>
      <c r="L779" s="477"/>
      <c r="M779" s="277"/>
      <c r="N779" s="277"/>
      <c r="O779" s="277"/>
      <c r="P779" s="277"/>
      <c r="Q779" s="277"/>
      <c r="R779" s="277"/>
      <c r="S779" s="277"/>
      <c r="T779" s="277"/>
      <c r="U779" s="277"/>
      <c r="V779" s="277"/>
      <c r="W779" s="277"/>
      <c r="X779" s="277"/>
      <c r="Y779" s="277"/>
      <c r="Z779" s="277"/>
    </row>
    <row r="780" ht="12.75" customHeight="1">
      <c r="A780" s="277"/>
      <c r="B780" s="278"/>
      <c r="C780" s="279"/>
      <c r="D780" s="277"/>
      <c r="E780" s="277"/>
      <c r="F780" s="277"/>
      <c r="G780" s="277"/>
      <c r="H780" s="277"/>
      <c r="I780" s="277"/>
      <c r="J780" s="277"/>
      <c r="K780" s="409"/>
      <c r="L780" s="477"/>
      <c r="M780" s="277"/>
      <c r="N780" s="277"/>
      <c r="O780" s="277"/>
      <c r="P780" s="277"/>
      <c r="Q780" s="277"/>
      <c r="R780" s="277"/>
      <c r="S780" s="277"/>
      <c r="T780" s="277"/>
      <c r="U780" s="277"/>
      <c r="V780" s="277"/>
      <c r="W780" s="277"/>
      <c r="X780" s="277"/>
      <c r="Y780" s="277"/>
      <c r="Z780" s="277"/>
    </row>
    <row r="781" ht="12.75" customHeight="1">
      <c r="A781" s="277"/>
      <c r="B781" s="278"/>
      <c r="C781" s="279"/>
      <c r="D781" s="277"/>
      <c r="E781" s="277"/>
      <c r="F781" s="277"/>
      <c r="G781" s="277"/>
      <c r="H781" s="277"/>
      <c r="I781" s="277"/>
      <c r="J781" s="277"/>
      <c r="K781" s="409"/>
      <c r="L781" s="477"/>
      <c r="M781" s="277"/>
      <c r="N781" s="277"/>
      <c r="O781" s="277"/>
      <c r="P781" s="277"/>
      <c r="Q781" s="277"/>
      <c r="R781" s="277"/>
      <c r="S781" s="277"/>
      <c r="T781" s="277"/>
      <c r="U781" s="277"/>
      <c r="V781" s="277"/>
      <c r="W781" s="277"/>
      <c r="X781" s="277"/>
      <c r="Y781" s="277"/>
      <c r="Z781" s="277"/>
    </row>
    <row r="782" ht="12.75" customHeight="1">
      <c r="A782" s="277"/>
      <c r="B782" s="278"/>
      <c r="C782" s="279"/>
      <c r="D782" s="277"/>
      <c r="E782" s="277"/>
      <c r="F782" s="277"/>
      <c r="G782" s="277"/>
      <c r="H782" s="277"/>
      <c r="I782" s="277"/>
      <c r="J782" s="277"/>
      <c r="K782" s="409"/>
      <c r="L782" s="477"/>
      <c r="M782" s="277"/>
      <c r="N782" s="277"/>
      <c r="O782" s="277"/>
      <c r="P782" s="277"/>
      <c r="Q782" s="277"/>
      <c r="R782" s="277"/>
      <c r="S782" s="277"/>
      <c r="T782" s="277"/>
      <c r="U782" s="277"/>
      <c r="V782" s="277"/>
      <c r="W782" s="277"/>
      <c r="X782" s="277"/>
      <c r="Y782" s="277"/>
      <c r="Z782" s="277"/>
    </row>
    <row r="783" ht="12.75" customHeight="1">
      <c r="A783" s="277"/>
      <c r="B783" s="278"/>
      <c r="C783" s="279"/>
      <c r="D783" s="277"/>
      <c r="E783" s="277"/>
      <c r="F783" s="277"/>
      <c r="G783" s="277"/>
      <c r="H783" s="277"/>
      <c r="I783" s="277"/>
      <c r="J783" s="277"/>
      <c r="K783" s="409"/>
      <c r="L783" s="477"/>
      <c r="M783" s="277"/>
      <c r="N783" s="277"/>
      <c r="O783" s="277"/>
      <c r="P783" s="277"/>
      <c r="Q783" s="277"/>
      <c r="R783" s="277"/>
      <c r="S783" s="277"/>
      <c r="T783" s="277"/>
      <c r="U783" s="277"/>
      <c r="V783" s="277"/>
      <c r="W783" s="277"/>
      <c r="X783" s="277"/>
      <c r="Y783" s="277"/>
      <c r="Z783" s="277"/>
    </row>
    <row r="784" ht="12.75" customHeight="1">
      <c r="A784" s="277"/>
      <c r="B784" s="278"/>
      <c r="C784" s="279"/>
      <c r="D784" s="277"/>
      <c r="E784" s="277"/>
      <c r="F784" s="277"/>
      <c r="G784" s="277"/>
      <c r="H784" s="277"/>
      <c r="I784" s="277"/>
      <c r="J784" s="277"/>
      <c r="K784" s="409"/>
      <c r="L784" s="477"/>
      <c r="M784" s="277"/>
      <c r="N784" s="277"/>
      <c r="O784" s="277"/>
      <c r="P784" s="277"/>
      <c r="Q784" s="277"/>
      <c r="R784" s="277"/>
      <c r="S784" s="277"/>
      <c r="T784" s="277"/>
      <c r="U784" s="277"/>
      <c r="V784" s="277"/>
      <c r="W784" s="277"/>
      <c r="X784" s="277"/>
      <c r="Y784" s="277"/>
      <c r="Z784" s="277"/>
    </row>
    <row r="785" ht="12.75" customHeight="1">
      <c r="A785" s="277"/>
      <c r="B785" s="278"/>
      <c r="C785" s="279"/>
      <c r="D785" s="277"/>
      <c r="E785" s="277"/>
      <c r="F785" s="277"/>
      <c r="G785" s="277"/>
      <c r="H785" s="277"/>
      <c r="I785" s="277"/>
      <c r="J785" s="277"/>
      <c r="K785" s="409"/>
      <c r="L785" s="477"/>
      <c r="M785" s="277"/>
      <c r="N785" s="277"/>
      <c r="O785" s="277"/>
      <c r="P785" s="277"/>
      <c r="Q785" s="277"/>
      <c r="R785" s="277"/>
      <c r="S785" s="277"/>
      <c r="T785" s="277"/>
      <c r="U785" s="277"/>
      <c r="V785" s="277"/>
      <c r="W785" s="277"/>
      <c r="X785" s="277"/>
      <c r="Y785" s="277"/>
      <c r="Z785" s="277"/>
    </row>
    <row r="786" ht="12.75" customHeight="1">
      <c r="A786" s="277"/>
      <c r="B786" s="278"/>
      <c r="C786" s="279"/>
      <c r="D786" s="277"/>
      <c r="E786" s="277"/>
      <c r="F786" s="277"/>
      <c r="G786" s="277"/>
      <c r="H786" s="277"/>
      <c r="I786" s="277"/>
      <c r="J786" s="277"/>
      <c r="K786" s="409"/>
      <c r="L786" s="477"/>
      <c r="M786" s="277"/>
      <c r="N786" s="277"/>
      <c r="O786" s="277"/>
      <c r="P786" s="277"/>
      <c r="Q786" s="277"/>
      <c r="R786" s="277"/>
      <c r="S786" s="277"/>
      <c r="T786" s="277"/>
      <c r="U786" s="277"/>
      <c r="V786" s="277"/>
      <c r="W786" s="277"/>
      <c r="X786" s="277"/>
      <c r="Y786" s="277"/>
      <c r="Z786" s="277"/>
    </row>
    <row r="787" ht="12.75" customHeight="1">
      <c r="A787" s="277"/>
      <c r="B787" s="278"/>
      <c r="C787" s="279"/>
      <c r="D787" s="277"/>
      <c r="E787" s="277"/>
      <c r="F787" s="277"/>
      <c r="G787" s="277"/>
      <c r="H787" s="277"/>
      <c r="I787" s="277"/>
      <c r="J787" s="277"/>
      <c r="K787" s="409"/>
      <c r="L787" s="477"/>
      <c r="M787" s="277"/>
      <c r="N787" s="277"/>
      <c r="O787" s="277"/>
      <c r="P787" s="277"/>
      <c r="Q787" s="277"/>
      <c r="R787" s="277"/>
      <c r="S787" s="277"/>
      <c r="T787" s="277"/>
      <c r="U787" s="277"/>
      <c r="V787" s="277"/>
      <c r="W787" s="277"/>
      <c r="X787" s="277"/>
      <c r="Y787" s="277"/>
      <c r="Z787" s="277"/>
    </row>
    <row r="788" ht="12.75" customHeight="1">
      <c r="A788" s="277"/>
      <c r="B788" s="278"/>
      <c r="C788" s="279"/>
      <c r="D788" s="277"/>
      <c r="E788" s="277"/>
      <c r="F788" s="277"/>
      <c r="G788" s="277"/>
      <c r="H788" s="277"/>
      <c r="I788" s="277"/>
      <c r="J788" s="277"/>
      <c r="K788" s="409"/>
      <c r="L788" s="477"/>
      <c r="M788" s="277"/>
      <c r="N788" s="277"/>
      <c r="O788" s="277"/>
      <c r="P788" s="277"/>
      <c r="Q788" s="277"/>
      <c r="R788" s="277"/>
      <c r="S788" s="277"/>
      <c r="T788" s="277"/>
      <c r="U788" s="277"/>
      <c r="V788" s="277"/>
      <c r="W788" s="277"/>
      <c r="X788" s="277"/>
      <c r="Y788" s="277"/>
      <c r="Z788" s="277"/>
    </row>
    <row r="789" ht="12.75" customHeight="1">
      <c r="A789" s="277"/>
      <c r="B789" s="278"/>
      <c r="C789" s="279"/>
      <c r="D789" s="277"/>
      <c r="E789" s="277"/>
      <c r="F789" s="277"/>
      <c r="G789" s="277"/>
      <c r="H789" s="277"/>
      <c r="I789" s="277"/>
      <c r="J789" s="277"/>
      <c r="K789" s="409"/>
      <c r="L789" s="477"/>
      <c r="M789" s="277"/>
      <c r="N789" s="277"/>
      <c r="O789" s="277"/>
      <c r="P789" s="277"/>
      <c r="Q789" s="277"/>
      <c r="R789" s="277"/>
      <c r="S789" s="277"/>
      <c r="T789" s="277"/>
      <c r="U789" s="277"/>
      <c r="V789" s="277"/>
      <c r="W789" s="277"/>
      <c r="X789" s="277"/>
      <c r="Y789" s="277"/>
      <c r="Z789" s="277"/>
    </row>
    <row r="790" ht="12.75" customHeight="1">
      <c r="A790" s="277"/>
      <c r="B790" s="278"/>
      <c r="C790" s="279"/>
      <c r="D790" s="277"/>
      <c r="E790" s="277"/>
      <c r="F790" s="277"/>
      <c r="G790" s="277"/>
      <c r="H790" s="277"/>
      <c r="I790" s="277"/>
      <c r="J790" s="277"/>
      <c r="K790" s="409"/>
      <c r="L790" s="477"/>
      <c r="M790" s="277"/>
      <c r="N790" s="277"/>
      <c r="O790" s="277"/>
      <c r="P790" s="277"/>
      <c r="Q790" s="277"/>
      <c r="R790" s="277"/>
      <c r="S790" s="277"/>
      <c r="T790" s="277"/>
      <c r="U790" s="277"/>
      <c r="V790" s="277"/>
      <c r="W790" s="277"/>
      <c r="X790" s="277"/>
      <c r="Y790" s="277"/>
      <c r="Z790" s="277"/>
    </row>
    <row r="791" ht="12.75" customHeight="1">
      <c r="A791" s="277"/>
      <c r="B791" s="278"/>
      <c r="C791" s="279"/>
      <c r="D791" s="277"/>
      <c r="E791" s="277"/>
      <c r="F791" s="277"/>
      <c r="G791" s="277"/>
      <c r="H791" s="277"/>
      <c r="I791" s="277"/>
      <c r="J791" s="277"/>
      <c r="K791" s="409"/>
      <c r="L791" s="477"/>
      <c r="M791" s="277"/>
      <c r="N791" s="277"/>
      <c r="O791" s="277"/>
      <c r="P791" s="277"/>
      <c r="Q791" s="277"/>
      <c r="R791" s="277"/>
      <c r="S791" s="277"/>
      <c r="T791" s="277"/>
      <c r="U791" s="277"/>
      <c r="V791" s="277"/>
      <c r="W791" s="277"/>
      <c r="X791" s="277"/>
      <c r="Y791" s="277"/>
      <c r="Z791" s="277"/>
    </row>
    <row r="792" ht="12.75" customHeight="1">
      <c r="A792" s="277"/>
      <c r="B792" s="278"/>
      <c r="C792" s="279"/>
      <c r="D792" s="277"/>
      <c r="E792" s="277"/>
      <c r="F792" s="277"/>
      <c r="G792" s="277"/>
      <c r="H792" s="277"/>
      <c r="I792" s="277"/>
      <c r="J792" s="277"/>
      <c r="K792" s="409"/>
      <c r="L792" s="477"/>
      <c r="M792" s="277"/>
      <c r="N792" s="277"/>
      <c r="O792" s="277"/>
      <c r="P792" s="277"/>
      <c r="Q792" s="277"/>
      <c r="R792" s="277"/>
      <c r="S792" s="277"/>
      <c r="T792" s="277"/>
      <c r="U792" s="277"/>
      <c r="V792" s="277"/>
      <c r="W792" s="277"/>
      <c r="X792" s="277"/>
      <c r="Y792" s="277"/>
      <c r="Z792" s="277"/>
    </row>
    <row r="793" ht="12.75" customHeight="1">
      <c r="A793" s="277"/>
      <c r="B793" s="278"/>
      <c r="C793" s="279"/>
      <c r="D793" s="277"/>
      <c r="E793" s="277"/>
      <c r="F793" s="277"/>
      <c r="G793" s="277"/>
      <c r="H793" s="277"/>
      <c r="I793" s="277"/>
      <c r="J793" s="277"/>
      <c r="K793" s="409"/>
      <c r="L793" s="477"/>
      <c r="M793" s="277"/>
      <c r="N793" s="277"/>
      <c r="O793" s="277"/>
      <c r="P793" s="277"/>
      <c r="Q793" s="277"/>
      <c r="R793" s="277"/>
      <c r="S793" s="277"/>
      <c r="T793" s="277"/>
      <c r="U793" s="277"/>
      <c r="V793" s="277"/>
      <c r="W793" s="277"/>
      <c r="X793" s="277"/>
      <c r="Y793" s="277"/>
      <c r="Z793" s="277"/>
    </row>
    <row r="794" ht="12.75" customHeight="1">
      <c r="A794" s="277"/>
      <c r="B794" s="278"/>
      <c r="C794" s="279"/>
      <c r="D794" s="277"/>
      <c r="E794" s="277"/>
      <c r="F794" s="277"/>
      <c r="G794" s="277"/>
      <c r="H794" s="277"/>
      <c r="I794" s="277"/>
      <c r="J794" s="277"/>
      <c r="K794" s="409"/>
      <c r="L794" s="477"/>
      <c r="M794" s="277"/>
      <c r="N794" s="277"/>
      <c r="O794" s="277"/>
      <c r="P794" s="277"/>
      <c r="Q794" s="277"/>
      <c r="R794" s="277"/>
      <c r="S794" s="277"/>
      <c r="T794" s="277"/>
      <c r="U794" s="277"/>
      <c r="V794" s="277"/>
      <c r="W794" s="277"/>
      <c r="X794" s="277"/>
      <c r="Y794" s="277"/>
      <c r="Z794" s="277"/>
    </row>
    <row r="795" ht="12.75" customHeight="1">
      <c r="A795" s="277"/>
      <c r="B795" s="278"/>
      <c r="C795" s="279"/>
      <c r="D795" s="277"/>
      <c r="E795" s="277"/>
      <c r="F795" s="277"/>
      <c r="G795" s="277"/>
      <c r="H795" s="277"/>
      <c r="I795" s="277"/>
      <c r="J795" s="277"/>
      <c r="K795" s="409"/>
      <c r="L795" s="477"/>
      <c r="M795" s="277"/>
      <c r="N795" s="277"/>
      <c r="O795" s="277"/>
      <c r="P795" s="277"/>
      <c r="Q795" s="277"/>
      <c r="R795" s="277"/>
      <c r="S795" s="277"/>
      <c r="T795" s="277"/>
      <c r="U795" s="277"/>
      <c r="V795" s="277"/>
      <c r="W795" s="277"/>
      <c r="X795" s="277"/>
      <c r="Y795" s="277"/>
      <c r="Z795" s="277"/>
    </row>
    <row r="796" ht="12.75" customHeight="1">
      <c r="A796" s="277"/>
      <c r="B796" s="278"/>
      <c r="C796" s="279"/>
      <c r="D796" s="277"/>
      <c r="E796" s="277"/>
      <c r="F796" s="277"/>
      <c r="G796" s="277"/>
      <c r="H796" s="277"/>
      <c r="I796" s="277"/>
      <c r="J796" s="277"/>
      <c r="K796" s="409"/>
      <c r="L796" s="477"/>
      <c r="M796" s="277"/>
      <c r="N796" s="277"/>
      <c r="O796" s="277"/>
      <c r="P796" s="277"/>
      <c r="Q796" s="277"/>
      <c r="R796" s="277"/>
      <c r="S796" s="277"/>
      <c r="T796" s="277"/>
      <c r="U796" s="277"/>
      <c r="V796" s="277"/>
      <c r="W796" s="277"/>
      <c r="X796" s="277"/>
      <c r="Y796" s="277"/>
      <c r="Z796" s="277"/>
    </row>
    <row r="797" ht="12.75" customHeight="1">
      <c r="A797" s="277"/>
      <c r="B797" s="278"/>
      <c r="C797" s="279"/>
      <c r="D797" s="277"/>
      <c r="E797" s="277"/>
      <c r="F797" s="277"/>
      <c r="G797" s="277"/>
      <c r="H797" s="277"/>
      <c r="I797" s="277"/>
      <c r="J797" s="277"/>
      <c r="K797" s="409"/>
      <c r="L797" s="477"/>
      <c r="M797" s="277"/>
      <c r="N797" s="277"/>
      <c r="O797" s="277"/>
      <c r="P797" s="277"/>
      <c r="Q797" s="277"/>
      <c r="R797" s="277"/>
      <c r="S797" s="277"/>
      <c r="T797" s="277"/>
      <c r="U797" s="277"/>
      <c r="V797" s="277"/>
      <c r="W797" s="277"/>
      <c r="X797" s="277"/>
      <c r="Y797" s="277"/>
      <c r="Z797" s="277"/>
    </row>
    <row r="798" ht="12.75" customHeight="1">
      <c r="A798" s="277"/>
      <c r="B798" s="278"/>
      <c r="C798" s="279"/>
      <c r="D798" s="277"/>
      <c r="E798" s="277"/>
      <c r="F798" s="277"/>
      <c r="G798" s="277"/>
      <c r="H798" s="277"/>
      <c r="I798" s="277"/>
      <c r="J798" s="277"/>
      <c r="K798" s="409"/>
      <c r="L798" s="477"/>
      <c r="M798" s="277"/>
      <c r="N798" s="277"/>
      <c r="O798" s="277"/>
      <c r="P798" s="277"/>
      <c r="Q798" s="277"/>
      <c r="R798" s="277"/>
      <c r="S798" s="277"/>
      <c r="T798" s="277"/>
      <c r="U798" s="277"/>
      <c r="V798" s="277"/>
      <c r="W798" s="277"/>
      <c r="X798" s="277"/>
      <c r="Y798" s="277"/>
      <c r="Z798" s="277"/>
    </row>
    <row r="799" ht="12.75" customHeight="1">
      <c r="A799" s="277"/>
      <c r="B799" s="278"/>
      <c r="C799" s="279"/>
      <c r="D799" s="277"/>
      <c r="E799" s="277"/>
      <c r="F799" s="277"/>
      <c r="G799" s="277"/>
      <c r="H799" s="277"/>
      <c r="I799" s="277"/>
      <c r="J799" s="277"/>
      <c r="K799" s="409"/>
      <c r="L799" s="477"/>
      <c r="M799" s="277"/>
      <c r="N799" s="277"/>
      <c r="O799" s="277"/>
      <c r="P799" s="277"/>
      <c r="Q799" s="277"/>
      <c r="R799" s="277"/>
      <c r="S799" s="277"/>
      <c r="T799" s="277"/>
      <c r="U799" s="277"/>
      <c r="V799" s="277"/>
      <c r="W799" s="277"/>
      <c r="X799" s="277"/>
      <c r="Y799" s="277"/>
      <c r="Z799" s="277"/>
    </row>
    <row r="800" ht="12.75" customHeight="1">
      <c r="A800" s="277"/>
      <c r="B800" s="278"/>
      <c r="C800" s="279"/>
      <c r="D800" s="277"/>
      <c r="E800" s="277"/>
      <c r="F800" s="277"/>
      <c r="G800" s="277"/>
      <c r="H800" s="277"/>
      <c r="I800" s="277"/>
      <c r="J800" s="277"/>
      <c r="K800" s="409"/>
      <c r="L800" s="477"/>
      <c r="M800" s="277"/>
      <c r="N800" s="277"/>
      <c r="O800" s="277"/>
      <c r="P800" s="277"/>
      <c r="Q800" s="277"/>
      <c r="R800" s="277"/>
      <c r="S800" s="277"/>
      <c r="T800" s="277"/>
      <c r="U800" s="277"/>
      <c r="V800" s="277"/>
      <c r="W800" s="277"/>
      <c r="X800" s="277"/>
      <c r="Y800" s="277"/>
      <c r="Z800" s="277"/>
    </row>
    <row r="801" ht="12.75" customHeight="1">
      <c r="A801" s="277"/>
      <c r="B801" s="278"/>
      <c r="C801" s="279"/>
      <c r="D801" s="277"/>
      <c r="E801" s="277"/>
      <c r="F801" s="277"/>
      <c r="G801" s="277"/>
      <c r="H801" s="277"/>
      <c r="I801" s="277"/>
      <c r="J801" s="277"/>
      <c r="K801" s="409"/>
      <c r="L801" s="477"/>
      <c r="M801" s="277"/>
      <c r="N801" s="277"/>
      <c r="O801" s="277"/>
      <c r="P801" s="277"/>
      <c r="Q801" s="277"/>
      <c r="R801" s="277"/>
      <c r="S801" s="277"/>
      <c r="T801" s="277"/>
      <c r="U801" s="277"/>
      <c r="V801" s="277"/>
      <c r="W801" s="277"/>
      <c r="X801" s="277"/>
      <c r="Y801" s="277"/>
      <c r="Z801" s="277"/>
    </row>
    <row r="802" ht="12.75" customHeight="1">
      <c r="A802" s="277"/>
      <c r="B802" s="278"/>
      <c r="C802" s="279"/>
      <c r="D802" s="277"/>
      <c r="E802" s="277"/>
      <c r="F802" s="277"/>
      <c r="G802" s="277"/>
      <c r="H802" s="277"/>
      <c r="I802" s="277"/>
      <c r="J802" s="277"/>
      <c r="K802" s="409"/>
      <c r="L802" s="477"/>
      <c r="M802" s="277"/>
      <c r="N802" s="277"/>
      <c r="O802" s="277"/>
      <c r="P802" s="277"/>
      <c r="Q802" s="277"/>
      <c r="R802" s="277"/>
      <c r="S802" s="277"/>
      <c r="T802" s="277"/>
      <c r="U802" s="277"/>
      <c r="V802" s="277"/>
      <c r="W802" s="277"/>
      <c r="X802" s="277"/>
      <c r="Y802" s="277"/>
      <c r="Z802" s="277"/>
    </row>
    <row r="803" ht="12.75" customHeight="1">
      <c r="A803" s="277"/>
      <c r="B803" s="278"/>
      <c r="C803" s="279"/>
      <c r="D803" s="277"/>
      <c r="E803" s="277"/>
      <c r="F803" s="277"/>
      <c r="G803" s="277"/>
      <c r="H803" s="277"/>
      <c r="I803" s="277"/>
      <c r="J803" s="277"/>
      <c r="K803" s="409"/>
      <c r="L803" s="477"/>
      <c r="M803" s="277"/>
      <c r="N803" s="277"/>
      <c r="O803" s="277"/>
      <c r="P803" s="277"/>
      <c r="Q803" s="277"/>
      <c r="R803" s="277"/>
      <c r="S803" s="277"/>
      <c r="T803" s="277"/>
      <c r="U803" s="277"/>
      <c r="V803" s="277"/>
      <c r="W803" s="277"/>
      <c r="X803" s="277"/>
      <c r="Y803" s="277"/>
      <c r="Z803" s="277"/>
    </row>
    <row r="804" ht="12.75" customHeight="1">
      <c r="A804" s="277"/>
      <c r="B804" s="278"/>
      <c r="C804" s="279"/>
      <c r="D804" s="277"/>
      <c r="E804" s="277"/>
      <c r="F804" s="277"/>
      <c r="G804" s="277"/>
      <c r="H804" s="277"/>
      <c r="I804" s="277"/>
      <c r="J804" s="277"/>
      <c r="K804" s="409"/>
      <c r="L804" s="477"/>
      <c r="M804" s="277"/>
      <c r="N804" s="277"/>
      <c r="O804" s="277"/>
      <c r="P804" s="277"/>
      <c r="Q804" s="277"/>
      <c r="R804" s="277"/>
      <c r="S804" s="277"/>
      <c r="T804" s="277"/>
      <c r="U804" s="277"/>
      <c r="V804" s="277"/>
      <c r="W804" s="277"/>
      <c r="X804" s="277"/>
      <c r="Y804" s="277"/>
      <c r="Z804" s="277"/>
    </row>
    <row r="805" ht="12.75" customHeight="1">
      <c r="A805" s="277"/>
      <c r="B805" s="278"/>
      <c r="C805" s="279"/>
      <c r="D805" s="277"/>
      <c r="E805" s="277"/>
      <c r="F805" s="277"/>
      <c r="G805" s="277"/>
      <c r="H805" s="277"/>
      <c r="I805" s="277"/>
      <c r="J805" s="277"/>
      <c r="K805" s="409"/>
      <c r="L805" s="477"/>
      <c r="M805" s="277"/>
      <c r="N805" s="277"/>
      <c r="O805" s="277"/>
      <c r="P805" s="277"/>
      <c r="Q805" s="277"/>
      <c r="R805" s="277"/>
      <c r="S805" s="277"/>
      <c r="T805" s="277"/>
      <c r="U805" s="277"/>
      <c r="V805" s="277"/>
      <c r="W805" s="277"/>
      <c r="X805" s="277"/>
      <c r="Y805" s="277"/>
      <c r="Z805" s="277"/>
    </row>
    <row r="806" ht="12.75" customHeight="1">
      <c r="A806" s="277"/>
      <c r="B806" s="278"/>
      <c r="C806" s="279"/>
      <c r="D806" s="277"/>
      <c r="E806" s="277"/>
      <c r="F806" s="277"/>
      <c r="G806" s="277"/>
      <c r="H806" s="277"/>
      <c r="I806" s="277"/>
      <c r="J806" s="277"/>
      <c r="K806" s="409"/>
      <c r="L806" s="477"/>
      <c r="M806" s="277"/>
      <c r="N806" s="277"/>
      <c r="O806" s="277"/>
      <c r="P806" s="277"/>
      <c r="Q806" s="277"/>
      <c r="R806" s="277"/>
      <c r="S806" s="277"/>
      <c r="T806" s="277"/>
      <c r="U806" s="277"/>
      <c r="V806" s="277"/>
      <c r="W806" s="277"/>
      <c r="X806" s="277"/>
      <c r="Y806" s="277"/>
      <c r="Z806" s="277"/>
    </row>
    <row r="807" ht="12.75" customHeight="1">
      <c r="A807" s="277"/>
      <c r="B807" s="278"/>
      <c r="C807" s="279"/>
      <c r="D807" s="277"/>
      <c r="E807" s="277"/>
      <c r="F807" s="277"/>
      <c r="G807" s="277"/>
      <c r="H807" s="277"/>
      <c r="I807" s="277"/>
      <c r="J807" s="277"/>
      <c r="K807" s="409"/>
      <c r="L807" s="477"/>
      <c r="M807" s="277"/>
      <c r="N807" s="277"/>
      <c r="O807" s="277"/>
      <c r="P807" s="277"/>
      <c r="Q807" s="277"/>
      <c r="R807" s="277"/>
      <c r="S807" s="277"/>
      <c r="T807" s="277"/>
      <c r="U807" s="277"/>
      <c r="V807" s="277"/>
      <c r="W807" s="277"/>
      <c r="X807" s="277"/>
      <c r="Y807" s="277"/>
      <c r="Z807" s="277"/>
    </row>
    <row r="808" ht="12.75" customHeight="1">
      <c r="A808" s="277"/>
      <c r="B808" s="278"/>
      <c r="C808" s="279"/>
      <c r="D808" s="277"/>
      <c r="E808" s="277"/>
      <c r="F808" s="277"/>
      <c r="G808" s="277"/>
      <c r="H808" s="277"/>
      <c r="I808" s="277"/>
      <c r="J808" s="277"/>
      <c r="K808" s="409"/>
      <c r="L808" s="477"/>
      <c r="M808" s="277"/>
      <c r="N808" s="277"/>
      <c r="O808" s="277"/>
      <c r="P808" s="277"/>
      <c r="Q808" s="277"/>
      <c r="R808" s="277"/>
      <c r="S808" s="277"/>
      <c r="T808" s="277"/>
      <c r="U808" s="277"/>
      <c r="V808" s="277"/>
      <c r="W808" s="277"/>
      <c r="X808" s="277"/>
      <c r="Y808" s="277"/>
      <c r="Z808" s="277"/>
    </row>
    <row r="809" ht="12.75" customHeight="1">
      <c r="A809" s="277"/>
      <c r="B809" s="278"/>
      <c r="C809" s="279"/>
      <c r="D809" s="277"/>
      <c r="E809" s="277"/>
      <c r="F809" s="277"/>
      <c r="G809" s="277"/>
      <c r="H809" s="277"/>
      <c r="I809" s="277"/>
      <c r="J809" s="277"/>
      <c r="K809" s="409"/>
      <c r="L809" s="477"/>
      <c r="M809" s="277"/>
      <c r="N809" s="277"/>
      <c r="O809" s="277"/>
      <c r="P809" s="277"/>
      <c r="Q809" s="277"/>
      <c r="R809" s="277"/>
      <c r="S809" s="277"/>
      <c r="T809" s="277"/>
      <c r="U809" s="277"/>
      <c r="V809" s="277"/>
      <c r="W809" s="277"/>
      <c r="X809" s="277"/>
      <c r="Y809" s="277"/>
      <c r="Z809" s="277"/>
    </row>
    <row r="810" ht="12.75" customHeight="1">
      <c r="A810" s="277"/>
      <c r="B810" s="278"/>
      <c r="C810" s="279"/>
      <c r="D810" s="277"/>
      <c r="E810" s="277"/>
      <c r="F810" s="277"/>
      <c r="G810" s="277"/>
      <c r="H810" s="277"/>
      <c r="I810" s="277"/>
      <c r="J810" s="277"/>
      <c r="K810" s="409"/>
      <c r="L810" s="477"/>
      <c r="M810" s="277"/>
      <c r="N810" s="277"/>
      <c r="O810" s="277"/>
      <c r="P810" s="277"/>
      <c r="Q810" s="277"/>
      <c r="R810" s="277"/>
      <c r="S810" s="277"/>
      <c r="T810" s="277"/>
      <c r="U810" s="277"/>
      <c r="V810" s="277"/>
      <c r="W810" s="277"/>
      <c r="X810" s="277"/>
      <c r="Y810" s="277"/>
      <c r="Z810" s="277"/>
    </row>
    <row r="811" ht="12.75" customHeight="1">
      <c r="A811" s="277"/>
      <c r="B811" s="278"/>
      <c r="C811" s="279"/>
      <c r="D811" s="277"/>
      <c r="E811" s="277"/>
      <c r="F811" s="277"/>
      <c r="G811" s="277"/>
      <c r="H811" s="277"/>
      <c r="I811" s="277"/>
      <c r="J811" s="277"/>
      <c r="K811" s="409"/>
      <c r="L811" s="477"/>
      <c r="M811" s="277"/>
      <c r="N811" s="277"/>
      <c r="O811" s="277"/>
      <c r="P811" s="277"/>
      <c r="Q811" s="277"/>
      <c r="R811" s="277"/>
      <c r="S811" s="277"/>
      <c r="T811" s="277"/>
      <c r="U811" s="277"/>
      <c r="V811" s="277"/>
      <c r="W811" s="277"/>
      <c r="X811" s="277"/>
      <c r="Y811" s="277"/>
      <c r="Z811" s="277"/>
    </row>
    <row r="812" ht="12.75" customHeight="1">
      <c r="A812" s="277"/>
      <c r="B812" s="278"/>
      <c r="C812" s="279"/>
      <c r="D812" s="277"/>
      <c r="E812" s="277"/>
      <c r="F812" s="277"/>
      <c r="G812" s="277"/>
      <c r="H812" s="277"/>
      <c r="I812" s="277"/>
      <c r="J812" s="277"/>
      <c r="K812" s="409"/>
      <c r="L812" s="477"/>
      <c r="M812" s="277"/>
      <c r="N812" s="277"/>
      <c r="O812" s="277"/>
      <c r="P812" s="277"/>
      <c r="Q812" s="277"/>
      <c r="R812" s="277"/>
      <c r="S812" s="277"/>
      <c r="T812" s="277"/>
      <c r="U812" s="277"/>
      <c r="V812" s="277"/>
      <c r="W812" s="277"/>
      <c r="X812" s="277"/>
      <c r="Y812" s="277"/>
      <c r="Z812" s="277"/>
    </row>
    <row r="813" ht="12.75" customHeight="1">
      <c r="A813" s="277"/>
      <c r="B813" s="278"/>
      <c r="C813" s="279"/>
      <c r="D813" s="277"/>
      <c r="E813" s="277"/>
      <c r="F813" s="277"/>
      <c r="G813" s="277"/>
      <c r="H813" s="277"/>
      <c r="I813" s="277"/>
      <c r="J813" s="277"/>
      <c r="K813" s="409"/>
      <c r="L813" s="477"/>
      <c r="M813" s="277"/>
      <c r="N813" s="277"/>
      <c r="O813" s="277"/>
      <c r="P813" s="277"/>
      <c r="Q813" s="277"/>
      <c r="R813" s="277"/>
      <c r="S813" s="277"/>
      <c r="T813" s="277"/>
      <c r="U813" s="277"/>
      <c r="V813" s="277"/>
      <c r="W813" s="277"/>
      <c r="X813" s="277"/>
      <c r="Y813" s="277"/>
      <c r="Z813" s="277"/>
    </row>
    <row r="814" ht="12.75" customHeight="1">
      <c r="A814" s="277"/>
      <c r="B814" s="278"/>
      <c r="C814" s="279"/>
      <c r="D814" s="277"/>
      <c r="E814" s="277"/>
      <c r="F814" s="277"/>
      <c r="G814" s="277"/>
      <c r="H814" s="277"/>
      <c r="I814" s="277"/>
      <c r="J814" s="277"/>
      <c r="K814" s="409"/>
      <c r="L814" s="477"/>
      <c r="M814" s="277"/>
      <c r="N814" s="277"/>
      <c r="O814" s="277"/>
      <c r="P814" s="277"/>
      <c r="Q814" s="277"/>
      <c r="R814" s="277"/>
      <c r="S814" s="277"/>
      <c r="T814" s="277"/>
      <c r="U814" s="277"/>
      <c r="V814" s="277"/>
      <c r="W814" s="277"/>
      <c r="X814" s="277"/>
      <c r="Y814" s="277"/>
      <c r="Z814" s="277"/>
    </row>
    <row r="815" ht="12.75" customHeight="1">
      <c r="A815" s="277"/>
      <c r="B815" s="278"/>
      <c r="C815" s="279"/>
      <c r="D815" s="277"/>
      <c r="E815" s="277"/>
      <c r="F815" s="277"/>
      <c r="G815" s="277"/>
      <c r="H815" s="277"/>
      <c r="I815" s="277"/>
      <c r="J815" s="277"/>
      <c r="K815" s="409"/>
      <c r="L815" s="477"/>
      <c r="M815" s="277"/>
      <c r="N815" s="277"/>
      <c r="O815" s="277"/>
      <c r="P815" s="277"/>
      <c r="Q815" s="277"/>
      <c r="R815" s="277"/>
      <c r="S815" s="277"/>
      <c r="T815" s="277"/>
      <c r="U815" s="277"/>
      <c r="V815" s="277"/>
      <c r="W815" s="277"/>
      <c r="X815" s="277"/>
      <c r="Y815" s="277"/>
      <c r="Z815" s="277"/>
    </row>
    <row r="816" ht="12.75" customHeight="1">
      <c r="A816" s="277"/>
      <c r="B816" s="278"/>
      <c r="C816" s="279"/>
      <c r="D816" s="277"/>
      <c r="E816" s="277"/>
      <c r="F816" s="277"/>
      <c r="G816" s="277"/>
      <c r="H816" s="277"/>
      <c r="I816" s="277"/>
      <c r="J816" s="277"/>
      <c r="K816" s="409"/>
      <c r="L816" s="477"/>
      <c r="M816" s="277"/>
      <c r="N816" s="277"/>
      <c r="O816" s="277"/>
      <c r="P816" s="277"/>
      <c r="Q816" s="277"/>
      <c r="R816" s="277"/>
      <c r="S816" s="277"/>
      <c r="T816" s="277"/>
      <c r="U816" s="277"/>
      <c r="V816" s="277"/>
      <c r="W816" s="277"/>
      <c r="X816" s="277"/>
      <c r="Y816" s="277"/>
      <c r="Z816" s="277"/>
    </row>
    <row r="817" ht="12.75" customHeight="1">
      <c r="A817" s="277"/>
      <c r="B817" s="278"/>
      <c r="C817" s="279"/>
      <c r="D817" s="277"/>
      <c r="E817" s="277"/>
      <c r="F817" s="277"/>
      <c r="G817" s="277"/>
      <c r="H817" s="277"/>
      <c r="I817" s="277"/>
      <c r="J817" s="277"/>
      <c r="K817" s="409"/>
      <c r="L817" s="477"/>
      <c r="M817" s="277"/>
      <c r="N817" s="277"/>
      <c r="O817" s="277"/>
      <c r="P817" s="277"/>
      <c r="Q817" s="277"/>
      <c r="R817" s="277"/>
      <c r="S817" s="277"/>
      <c r="T817" s="277"/>
      <c r="U817" s="277"/>
      <c r="V817" s="277"/>
      <c r="W817" s="277"/>
      <c r="X817" s="277"/>
      <c r="Y817" s="277"/>
      <c r="Z817" s="277"/>
    </row>
    <row r="818" ht="12.75" customHeight="1">
      <c r="A818" s="277"/>
      <c r="B818" s="278"/>
      <c r="C818" s="279"/>
      <c r="D818" s="277"/>
      <c r="E818" s="277"/>
      <c r="F818" s="277"/>
      <c r="G818" s="277"/>
      <c r="H818" s="277"/>
      <c r="I818" s="277"/>
      <c r="J818" s="277"/>
      <c r="K818" s="409"/>
      <c r="L818" s="477"/>
      <c r="M818" s="277"/>
      <c r="N818" s="277"/>
      <c r="O818" s="277"/>
      <c r="P818" s="277"/>
      <c r="Q818" s="277"/>
      <c r="R818" s="277"/>
      <c r="S818" s="277"/>
      <c r="T818" s="277"/>
      <c r="U818" s="277"/>
      <c r="V818" s="277"/>
      <c r="W818" s="277"/>
      <c r="X818" s="277"/>
      <c r="Y818" s="277"/>
      <c r="Z818" s="277"/>
    </row>
    <row r="819" ht="12.75" customHeight="1">
      <c r="A819" s="277"/>
      <c r="B819" s="278"/>
      <c r="C819" s="279"/>
      <c r="D819" s="277"/>
      <c r="E819" s="277"/>
      <c r="F819" s="277"/>
      <c r="G819" s="277"/>
      <c r="H819" s="277"/>
      <c r="I819" s="277"/>
      <c r="J819" s="277"/>
      <c r="K819" s="409"/>
      <c r="L819" s="477"/>
      <c r="M819" s="277"/>
      <c r="N819" s="277"/>
      <c r="O819" s="277"/>
      <c r="P819" s="277"/>
      <c r="Q819" s="277"/>
      <c r="R819" s="277"/>
      <c r="S819" s="277"/>
      <c r="T819" s="277"/>
      <c r="U819" s="277"/>
      <c r="V819" s="277"/>
      <c r="W819" s="277"/>
      <c r="X819" s="277"/>
      <c r="Y819" s="277"/>
      <c r="Z819" s="277"/>
    </row>
    <row r="820" ht="12.75" customHeight="1">
      <c r="A820" s="277"/>
      <c r="B820" s="278"/>
      <c r="C820" s="279"/>
      <c r="D820" s="277"/>
      <c r="E820" s="277"/>
      <c r="F820" s="277"/>
      <c r="G820" s="277"/>
      <c r="H820" s="277"/>
      <c r="I820" s="277"/>
      <c r="J820" s="277"/>
      <c r="K820" s="409"/>
      <c r="L820" s="477"/>
      <c r="M820" s="277"/>
      <c r="N820" s="277"/>
      <c r="O820" s="277"/>
      <c r="P820" s="277"/>
      <c r="Q820" s="277"/>
      <c r="R820" s="277"/>
      <c r="S820" s="277"/>
      <c r="T820" s="277"/>
      <c r="U820" s="277"/>
      <c r="V820" s="277"/>
      <c r="W820" s="277"/>
      <c r="X820" s="277"/>
      <c r="Y820" s="277"/>
      <c r="Z820" s="277"/>
    </row>
    <row r="821" ht="12.75" customHeight="1">
      <c r="A821" s="277"/>
      <c r="B821" s="278"/>
      <c r="C821" s="279"/>
      <c r="D821" s="277"/>
      <c r="E821" s="277"/>
      <c r="F821" s="277"/>
      <c r="G821" s="277"/>
      <c r="H821" s="277"/>
      <c r="I821" s="277"/>
      <c r="J821" s="277"/>
      <c r="K821" s="409"/>
      <c r="L821" s="477"/>
      <c r="M821" s="277"/>
      <c r="N821" s="277"/>
      <c r="O821" s="277"/>
      <c r="P821" s="277"/>
      <c r="Q821" s="277"/>
      <c r="R821" s="277"/>
      <c r="S821" s="277"/>
      <c r="T821" s="277"/>
      <c r="U821" s="277"/>
      <c r="V821" s="277"/>
      <c r="W821" s="277"/>
      <c r="X821" s="277"/>
      <c r="Y821" s="277"/>
      <c r="Z821" s="277"/>
    </row>
    <row r="822" ht="12.75" customHeight="1">
      <c r="A822" s="277"/>
      <c r="B822" s="278"/>
      <c r="C822" s="279"/>
      <c r="D822" s="277"/>
      <c r="E822" s="277"/>
      <c r="F822" s="277"/>
      <c r="G822" s="277"/>
      <c r="H822" s="277"/>
      <c r="I822" s="277"/>
      <c r="J822" s="277"/>
      <c r="K822" s="409"/>
      <c r="L822" s="477"/>
      <c r="M822" s="277"/>
      <c r="N822" s="277"/>
      <c r="O822" s="277"/>
      <c r="P822" s="277"/>
      <c r="Q822" s="277"/>
      <c r="R822" s="277"/>
      <c r="S822" s="277"/>
      <c r="T822" s="277"/>
      <c r="U822" s="277"/>
      <c r="V822" s="277"/>
      <c r="W822" s="277"/>
      <c r="X822" s="277"/>
      <c r="Y822" s="277"/>
      <c r="Z822" s="277"/>
    </row>
    <row r="823" ht="12.75" customHeight="1">
      <c r="A823" s="277"/>
      <c r="B823" s="278"/>
      <c r="C823" s="279"/>
      <c r="D823" s="277"/>
      <c r="E823" s="277"/>
      <c r="F823" s="277"/>
      <c r="G823" s="277"/>
      <c r="H823" s="277"/>
      <c r="I823" s="277"/>
      <c r="J823" s="277"/>
      <c r="K823" s="409"/>
      <c r="L823" s="477"/>
      <c r="M823" s="277"/>
      <c r="N823" s="277"/>
      <c r="O823" s="277"/>
      <c r="P823" s="277"/>
      <c r="Q823" s="277"/>
      <c r="R823" s="277"/>
      <c r="S823" s="277"/>
      <c r="T823" s="277"/>
      <c r="U823" s="277"/>
      <c r="V823" s="277"/>
      <c r="W823" s="277"/>
      <c r="X823" s="277"/>
      <c r="Y823" s="277"/>
      <c r="Z823" s="277"/>
    </row>
    <row r="824" ht="12.75" customHeight="1">
      <c r="A824" s="277"/>
      <c r="B824" s="278"/>
      <c r="C824" s="279"/>
      <c r="D824" s="277"/>
      <c r="E824" s="277"/>
      <c r="F824" s="277"/>
      <c r="G824" s="277"/>
      <c r="H824" s="277"/>
      <c r="I824" s="277"/>
      <c r="J824" s="277"/>
      <c r="K824" s="409"/>
      <c r="L824" s="477"/>
      <c r="M824" s="277"/>
      <c r="N824" s="277"/>
      <c r="O824" s="277"/>
      <c r="P824" s="277"/>
      <c r="Q824" s="277"/>
      <c r="R824" s="277"/>
      <c r="S824" s="277"/>
      <c r="T824" s="277"/>
      <c r="U824" s="277"/>
      <c r="V824" s="277"/>
      <c r="W824" s="277"/>
      <c r="X824" s="277"/>
      <c r="Y824" s="277"/>
      <c r="Z824" s="277"/>
    </row>
    <row r="825" ht="12.75" customHeight="1">
      <c r="A825" s="277"/>
      <c r="B825" s="278"/>
      <c r="C825" s="279"/>
      <c r="D825" s="277"/>
      <c r="E825" s="277"/>
      <c r="F825" s="277"/>
      <c r="G825" s="277"/>
      <c r="H825" s="277"/>
      <c r="I825" s="277"/>
      <c r="J825" s="277"/>
      <c r="K825" s="409"/>
      <c r="L825" s="477"/>
      <c r="M825" s="277"/>
      <c r="N825" s="277"/>
      <c r="O825" s="277"/>
      <c r="P825" s="277"/>
      <c r="Q825" s="277"/>
      <c r="R825" s="277"/>
      <c r="S825" s="277"/>
      <c r="T825" s="277"/>
      <c r="U825" s="277"/>
      <c r="V825" s="277"/>
      <c r="W825" s="277"/>
      <c r="X825" s="277"/>
      <c r="Y825" s="277"/>
      <c r="Z825" s="277"/>
    </row>
    <row r="826" ht="12.75" customHeight="1">
      <c r="A826" s="277"/>
      <c r="B826" s="278"/>
      <c r="C826" s="279"/>
      <c r="D826" s="277"/>
      <c r="E826" s="277"/>
      <c r="F826" s="277"/>
      <c r="G826" s="277"/>
      <c r="H826" s="277"/>
      <c r="I826" s="277"/>
      <c r="J826" s="277"/>
      <c r="K826" s="409"/>
      <c r="L826" s="477"/>
      <c r="M826" s="277"/>
      <c r="N826" s="277"/>
      <c r="O826" s="277"/>
      <c r="P826" s="277"/>
      <c r="Q826" s="277"/>
      <c r="R826" s="277"/>
      <c r="S826" s="277"/>
      <c r="T826" s="277"/>
      <c r="U826" s="277"/>
      <c r="V826" s="277"/>
      <c r="W826" s="277"/>
      <c r="X826" s="277"/>
      <c r="Y826" s="277"/>
      <c r="Z826" s="277"/>
    </row>
    <row r="827" ht="12.75" customHeight="1">
      <c r="A827" s="277"/>
      <c r="B827" s="278"/>
      <c r="C827" s="279"/>
      <c r="D827" s="277"/>
      <c r="E827" s="277"/>
      <c r="F827" s="277"/>
      <c r="G827" s="277"/>
      <c r="H827" s="277"/>
      <c r="I827" s="277"/>
      <c r="J827" s="277"/>
      <c r="K827" s="409"/>
      <c r="L827" s="477"/>
      <c r="M827" s="277"/>
      <c r="N827" s="277"/>
      <c r="O827" s="277"/>
      <c r="P827" s="277"/>
      <c r="Q827" s="277"/>
      <c r="R827" s="277"/>
      <c r="S827" s="277"/>
      <c r="T827" s="277"/>
      <c r="U827" s="277"/>
      <c r="V827" s="277"/>
      <c r="W827" s="277"/>
      <c r="X827" s="277"/>
      <c r="Y827" s="277"/>
      <c r="Z827" s="277"/>
    </row>
    <row r="828" ht="12.75" customHeight="1">
      <c r="A828" s="277"/>
      <c r="B828" s="278"/>
      <c r="C828" s="279"/>
      <c r="D828" s="277"/>
      <c r="E828" s="277"/>
      <c r="F828" s="277"/>
      <c r="G828" s="277"/>
      <c r="H828" s="277"/>
      <c r="I828" s="277"/>
      <c r="J828" s="277"/>
      <c r="K828" s="409"/>
      <c r="L828" s="477"/>
      <c r="M828" s="277"/>
      <c r="N828" s="277"/>
      <c r="O828" s="277"/>
      <c r="P828" s="277"/>
      <c r="Q828" s="277"/>
      <c r="R828" s="277"/>
      <c r="S828" s="277"/>
      <c r="T828" s="277"/>
      <c r="U828" s="277"/>
      <c r="V828" s="277"/>
      <c r="W828" s="277"/>
      <c r="X828" s="277"/>
      <c r="Y828" s="277"/>
      <c r="Z828" s="277"/>
    </row>
    <row r="829" ht="12.75" customHeight="1">
      <c r="A829" s="277"/>
      <c r="B829" s="278"/>
      <c r="C829" s="279"/>
      <c r="D829" s="277"/>
      <c r="E829" s="277"/>
      <c r="F829" s="277"/>
      <c r="G829" s="277"/>
      <c r="H829" s="277"/>
      <c r="I829" s="277"/>
      <c r="J829" s="277"/>
      <c r="K829" s="409"/>
      <c r="L829" s="477"/>
      <c r="M829" s="277"/>
      <c r="N829" s="277"/>
      <c r="O829" s="277"/>
      <c r="P829" s="277"/>
      <c r="Q829" s="277"/>
      <c r="R829" s="277"/>
      <c r="S829" s="277"/>
      <c r="T829" s="277"/>
      <c r="U829" s="277"/>
      <c r="V829" s="277"/>
      <c r="W829" s="277"/>
      <c r="X829" s="277"/>
      <c r="Y829" s="277"/>
      <c r="Z829" s="277"/>
    </row>
    <row r="830" ht="12.75" customHeight="1">
      <c r="A830" s="277"/>
      <c r="B830" s="278"/>
      <c r="C830" s="279"/>
      <c r="D830" s="277"/>
      <c r="E830" s="277"/>
      <c r="F830" s="277"/>
      <c r="G830" s="277"/>
      <c r="H830" s="277"/>
      <c r="I830" s="277"/>
      <c r="J830" s="277"/>
      <c r="K830" s="409"/>
      <c r="L830" s="477"/>
      <c r="M830" s="277"/>
      <c r="N830" s="277"/>
      <c r="O830" s="277"/>
      <c r="P830" s="277"/>
      <c r="Q830" s="277"/>
      <c r="R830" s="277"/>
      <c r="S830" s="277"/>
      <c r="T830" s="277"/>
      <c r="U830" s="277"/>
      <c r="V830" s="277"/>
      <c r="W830" s="277"/>
      <c r="X830" s="277"/>
      <c r="Y830" s="277"/>
      <c r="Z830" s="277"/>
    </row>
    <row r="831" ht="12.75" customHeight="1">
      <c r="A831" s="277"/>
      <c r="B831" s="278"/>
      <c r="C831" s="279"/>
      <c r="D831" s="277"/>
      <c r="E831" s="277"/>
      <c r="F831" s="277"/>
      <c r="G831" s="277"/>
      <c r="H831" s="277"/>
      <c r="I831" s="277"/>
      <c r="J831" s="277"/>
      <c r="K831" s="409"/>
      <c r="L831" s="477"/>
      <c r="M831" s="277"/>
      <c r="N831" s="277"/>
      <c r="O831" s="277"/>
      <c r="P831" s="277"/>
      <c r="Q831" s="277"/>
      <c r="R831" s="277"/>
      <c r="S831" s="277"/>
      <c r="T831" s="277"/>
      <c r="U831" s="277"/>
      <c r="V831" s="277"/>
      <c r="W831" s="277"/>
      <c r="X831" s="277"/>
      <c r="Y831" s="277"/>
      <c r="Z831" s="277"/>
    </row>
    <row r="832" ht="12.75" customHeight="1">
      <c r="A832" s="277"/>
      <c r="B832" s="278"/>
      <c r="C832" s="279"/>
      <c r="D832" s="277"/>
      <c r="E832" s="277"/>
      <c r="F832" s="277"/>
      <c r="G832" s="277"/>
      <c r="H832" s="277"/>
      <c r="I832" s="277"/>
      <c r="J832" s="277"/>
      <c r="K832" s="409"/>
      <c r="L832" s="477"/>
      <c r="M832" s="277"/>
      <c r="N832" s="277"/>
      <c r="O832" s="277"/>
      <c r="P832" s="277"/>
      <c r="Q832" s="277"/>
      <c r="R832" s="277"/>
      <c r="S832" s="277"/>
      <c r="T832" s="277"/>
      <c r="U832" s="277"/>
      <c r="V832" s="277"/>
      <c r="W832" s="277"/>
      <c r="X832" s="277"/>
      <c r="Y832" s="277"/>
      <c r="Z832" s="277"/>
    </row>
    <row r="833" ht="12.75" customHeight="1">
      <c r="A833" s="277"/>
      <c r="B833" s="278"/>
      <c r="C833" s="279"/>
      <c r="D833" s="277"/>
      <c r="E833" s="277"/>
      <c r="F833" s="277"/>
      <c r="G833" s="277"/>
      <c r="H833" s="277"/>
      <c r="I833" s="277"/>
      <c r="J833" s="277"/>
      <c r="K833" s="409"/>
      <c r="L833" s="477"/>
      <c r="M833" s="277"/>
      <c r="N833" s="277"/>
      <c r="O833" s="277"/>
      <c r="P833" s="277"/>
      <c r="Q833" s="277"/>
      <c r="R833" s="277"/>
      <c r="S833" s="277"/>
      <c r="T833" s="277"/>
      <c r="U833" s="277"/>
      <c r="V833" s="277"/>
      <c r="W833" s="277"/>
      <c r="X833" s="277"/>
      <c r="Y833" s="277"/>
      <c r="Z833" s="277"/>
    </row>
    <row r="834" ht="12.75" customHeight="1">
      <c r="A834" s="277"/>
      <c r="B834" s="278"/>
      <c r="C834" s="279"/>
      <c r="D834" s="277"/>
      <c r="E834" s="277"/>
      <c r="F834" s="277"/>
      <c r="G834" s="277"/>
      <c r="H834" s="277"/>
      <c r="I834" s="277"/>
      <c r="J834" s="277"/>
      <c r="K834" s="409"/>
      <c r="L834" s="477"/>
      <c r="M834" s="277"/>
      <c r="N834" s="277"/>
      <c r="O834" s="277"/>
      <c r="P834" s="277"/>
      <c r="Q834" s="277"/>
      <c r="R834" s="277"/>
      <c r="S834" s="277"/>
      <c r="T834" s="277"/>
      <c r="U834" s="277"/>
      <c r="V834" s="277"/>
      <c r="W834" s="277"/>
      <c r="X834" s="277"/>
      <c r="Y834" s="277"/>
      <c r="Z834" s="277"/>
    </row>
    <row r="835" ht="12.75" customHeight="1">
      <c r="A835" s="277"/>
      <c r="B835" s="278"/>
      <c r="C835" s="279"/>
      <c r="D835" s="277"/>
      <c r="E835" s="277"/>
      <c r="F835" s="277"/>
      <c r="G835" s="277"/>
      <c r="H835" s="277"/>
      <c r="I835" s="277"/>
      <c r="J835" s="277"/>
      <c r="K835" s="409"/>
      <c r="L835" s="477"/>
      <c r="M835" s="277"/>
      <c r="N835" s="277"/>
      <c r="O835" s="277"/>
      <c r="P835" s="277"/>
      <c r="Q835" s="277"/>
      <c r="R835" s="277"/>
      <c r="S835" s="277"/>
      <c r="T835" s="277"/>
      <c r="U835" s="277"/>
      <c r="V835" s="277"/>
      <c r="W835" s="277"/>
      <c r="X835" s="277"/>
      <c r="Y835" s="277"/>
      <c r="Z835" s="277"/>
    </row>
    <row r="836" ht="12.75" customHeight="1">
      <c r="A836" s="277"/>
      <c r="B836" s="278"/>
      <c r="C836" s="279"/>
      <c r="D836" s="277"/>
      <c r="E836" s="277"/>
      <c r="F836" s="277"/>
      <c r="G836" s="277"/>
      <c r="H836" s="277"/>
      <c r="I836" s="277"/>
      <c r="J836" s="277"/>
      <c r="K836" s="409"/>
      <c r="L836" s="477"/>
      <c r="M836" s="277"/>
      <c r="N836" s="277"/>
      <c r="O836" s="277"/>
      <c r="P836" s="277"/>
      <c r="Q836" s="277"/>
      <c r="R836" s="277"/>
      <c r="S836" s="277"/>
      <c r="T836" s="277"/>
      <c r="U836" s="277"/>
      <c r="V836" s="277"/>
      <c r="W836" s="277"/>
      <c r="X836" s="277"/>
      <c r="Y836" s="277"/>
      <c r="Z836" s="277"/>
    </row>
    <row r="837" ht="12.75" customHeight="1">
      <c r="A837" s="277"/>
      <c r="B837" s="278"/>
      <c r="C837" s="279"/>
      <c r="D837" s="277"/>
      <c r="E837" s="277"/>
      <c r="F837" s="277"/>
      <c r="G837" s="277"/>
      <c r="H837" s="277"/>
      <c r="I837" s="277"/>
      <c r="J837" s="277"/>
      <c r="K837" s="409"/>
      <c r="L837" s="477"/>
      <c r="M837" s="277"/>
      <c r="N837" s="277"/>
      <c r="O837" s="277"/>
      <c r="P837" s="277"/>
      <c r="Q837" s="277"/>
      <c r="R837" s="277"/>
      <c r="S837" s="277"/>
      <c r="T837" s="277"/>
      <c r="U837" s="277"/>
      <c r="V837" s="277"/>
      <c r="W837" s="277"/>
      <c r="X837" s="277"/>
      <c r="Y837" s="277"/>
      <c r="Z837" s="277"/>
    </row>
    <row r="838" ht="12.75" customHeight="1">
      <c r="A838" s="277"/>
      <c r="B838" s="278"/>
      <c r="C838" s="279"/>
      <c r="D838" s="277"/>
      <c r="E838" s="277"/>
      <c r="F838" s="277"/>
      <c r="G838" s="277"/>
      <c r="H838" s="277"/>
      <c r="I838" s="277"/>
      <c r="J838" s="277"/>
      <c r="K838" s="409"/>
      <c r="L838" s="477"/>
      <c r="M838" s="277"/>
      <c r="N838" s="277"/>
      <c r="O838" s="277"/>
      <c r="P838" s="277"/>
      <c r="Q838" s="277"/>
      <c r="R838" s="277"/>
      <c r="S838" s="277"/>
      <c r="T838" s="277"/>
      <c r="U838" s="277"/>
      <c r="V838" s="277"/>
      <c r="W838" s="277"/>
      <c r="X838" s="277"/>
      <c r="Y838" s="277"/>
      <c r="Z838" s="277"/>
    </row>
    <row r="839" ht="12.75" customHeight="1">
      <c r="A839" s="277"/>
      <c r="B839" s="278"/>
      <c r="C839" s="279"/>
      <c r="D839" s="277"/>
      <c r="E839" s="277"/>
      <c r="F839" s="277"/>
      <c r="G839" s="277"/>
      <c r="H839" s="277"/>
      <c r="I839" s="277"/>
      <c r="J839" s="277"/>
      <c r="K839" s="409"/>
      <c r="L839" s="477"/>
      <c r="M839" s="277"/>
      <c r="N839" s="277"/>
      <c r="O839" s="277"/>
      <c r="P839" s="277"/>
      <c r="Q839" s="277"/>
      <c r="R839" s="277"/>
      <c r="S839" s="277"/>
      <c r="T839" s="277"/>
      <c r="U839" s="277"/>
      <c r="V839" s="277"/>
      <c r="W839" s="277"/>
      <c r="X839" s="277"/>
      <c r="Y839" s="277"/>
      <c r="Z839" s="277"/>
    </row>
    <row r="840" ht="12.75" customHeight="1">
      <c r="A840" s="277"/>
      <c r="B840" s="278"/>
      <c r="C840" s="279"/>
      <c r="D840" s="277"/>
      <c r="E840" s="277"/>
      <c r="F840" s="277"/>
      <c r="G840" s="277"/>
      <c r="H840" s="277"/>
      <c r="I840" s="277"/>
      <c r="J840" s="277"/>
      <c r="K840" s="409"/>
      <c r="L840" s="477"/>
      <c r="M840" s="277"/>
      <c r="N840" s="277"/>
      <c r="O840" s="277"/>
      <c r="P840" s="277"/>
      <c r="Q840" s="277"/>
      <c r="R840" s="277"/>
      <c r="S840" s="277"/>
      <c r="T840" s="277"/>
      <c r="U840" s="277"/>
      <c r="V840" s="277"/>
      <c r="W840" s="277"/>
      <c r="X840" s="277"/>
      <c r="Y840" s="277"/>
      <c r="Z840" s="277"/>
    </row>
    <row r="841" ht="12.75" customHeight="1">
      <c r="A841" s="277"/>
      <c r="B841" s="278"/>
      <c r="C841" s="279"/>
      <c r="D841" s="277"/>
      <c r="E841" s="277"/>
      <c r="F841" s="277"/>
      <c r="G841" s="277"/>
      <c r="H841" s="277"/>
      <c r="I841" s="277"/>
      <c r="J841" s="277"/>
      <c r="K841" s="409"/>
      <c r="L841" s="477"/>
      <c r="M841" s="277"/>
      <c r="N841" s="277"/>
      <c r="O841" s="277"/>
      <c r="P841" s="277"/>
      <c r="Q841" s="277"/>
      <c r="R841" s="277"/>
      <c r="S841" s="277"/>
      <c r="T841" s="277"/>
      <c r="U841" s="277"/>
      <c r="V841" s="277"/>
      <c r="W841" s="277"/>
      <c r="X841" s="277"/>
      <c r="Y841" s="277"/>
      <c r="Z841" s="277"/>
    </row>
    <row r="842" ht="12.75" customHeight="1">
      <c r="A842" s="277"/>
      <c r="B842" s="278"/>
      <c r="C842" s="279"/>
      <c r="D842" s="277"/>
      <c r="E842" s="277"/>
      <c r="F842" s="277"/>
      <c r="G842" s="277"/>
      <c r="H842" s="277"/>
      <c r="I842" s="277"/>
      <c r="J842" s="277"/>
      <c r="K842" s="409"/>
      <c r="L842" s="477"/>
      <c r="M842" s="277"/>
      <c r="N842" s="277"/>
      <c r="O842" s="277"/>
      <c r="P842" s="277"/>
      <c r="Q842" s="277"/>
      <c r="R842" s="277"/>
      <c r="S842" s="277"/>
      <c r="T842" s="277"/>
      <c r="U842" s="277"/>
      <c r="V842" s="277"/>
      <c r="W842" s="277"/>
      <c r="X842" s="277"/>
      <c r="Y842" s="277"/>
      <c r="Z842" s="277"/>
    </row>
    <row r="843" ht="12.75" customHeight="1">
      <c r="A843" s="277"/>
      <c r="B843" s="278"/>
      <c r="C843" s="279"/>
      <c r="D843" s="277"/>
      <c r="E843" s="277"/>
      <c r="F843" s="277"/>
      <c r="G843" s="277"/>
      <c r="H843" s="277"/>
      <c r="I843" s="277"/>
      <c r="J843" s="277"/>
      <c r="K843" s="409"/>
      <c r="L843" s="477"/>
      <c r="M843" s="277"/>
      <c r="N843" s="277"/>
      <c r="O843" s="277"/>
      <c r="P843" s="277"/>
      <c r="Q843" s="277"/>
      <c r="R843" s="277"/>
      <c r="S843" s="277"/>
      <c r="T843" s="277"/>
      <c r="U843" s="277"/>
      <c r="V843" s="277"/>
      <c r="W843" s="277"/>
      <c r="X843" s="277"/>
      <c r="Y843" s="277"/>
      <c r="Z843" s="277"/>
    </row>
    <row r="844" ht="12.75" customHeight="1">
      <c r="A844" s="277"/>
      <c r="B844" s="278"/>
      <c r="C844" s="279"/>
      <c r="D844" s="277"/>
      <c r="E844" s="277"/>
      <c r="F844" s="277"/>
      <c r="G844" s="277"/>
      <c r="H844" s="277"/>
      <c r="I844" s="277"/>
      <c r="J844" s="277"/>
      <c r="K844" s="409"/>
      <c r="L844" s="477"/>
      <c r="M844" s="277"/>
      <c r="N844" s="277"/>
      <c r="O844" s="277"/>
      <c r="P844" s="277"/>
      <c r="Q844" s="277"/>
      <c r="R844" s="277"/>
      <c r="S844" s="277"/>
      <c r="T844" s="277"/>
      <c r="U844" s="277"/>
      <c r="V844" s="277"/>
      <c r="W844" s="277"/>
      <c r="X844" s="277"/>
      <c r="Y844" s="277"/>
      <c r="Z844" s="277"/>
    </row>
    <row r="845" ht="12.75" customHeight="1">
      <c r="A845" s="277"/>
      <c r="B845" s="278"/>
      <c r="C845" s="279"/>
      <c r="D845" s="277"/>
      <c r="E845" s="277"/>
      <c r="F845" s="277"/>
      <c r="G845" s="277"/>
      <c r="H845" s="277"/>
      <c r="I845" s="277"/>
      <c r="J845" s="277"/>
      <c r="K845" s="409"/>
      <c r="L845" s="477"/>
      <c r="M845" s="277"/>
      <c r="N845" s="277"/>
      <c r="O845" s="277"/>
      <c r="P845" s="277"/>
      <c r="Q845" s="277"/>
      <c r="R845" s="277"/>
      <c r="S845" s="277"/>
      <c r="T845" s="277"/>
      <c r="U845" s="277"/>
      <c r="V845" s="277"/>
      <c r="W845" s="277"/>
      <c r="X845" s="277"/>
      <c r="Y845" s="277"/>
      <c r="Z845" s="277"/>
    </row>
    <row r="846" ht="12.75" customHeight="1">
      <c r="A846" s="277"/>
      <c r="B846" s="278"/>
      <c r="C846" s="279"/>
      <c r="D846" s="277"/>
      <c r="E846" s="277"/>
      <c r="F846" s="277"/>
      <c r="G846" s="277"/>
      <c r="H846" s="277"/>
      <c r="I846" s="277"/>
      <c r="J846" s="277"/>
      <c r="K846" s="409"/>
      <c r="L846" s="477"/>
      <c r="M846" s="277"/>
      <c r="N846" s="277"/>
      <c r="O846" s="277"/>
      <c r="P846" s="277"/>
      <c r="Q846" s="277"/>
      <c r="R846" s="277"/>
      <c r="S846" s="277"/>
      <c r="T846" s="277"/>
      <c r="U846" s="277"/>
      <c r="V846" s="277"/>
      <c r="W846" s="277"/>
      <c r="X846" s="277"/>
      <c r="Y846" s="277"/>
      <c r="Z846" s="277"/>
    </row>
    <row r="847" ht="12.75" customHeight="1">
      <c r="A847" s="277"/>
      <c r="B847" s="278"/>
      <c r="C847" s="279"/>
      <c r="D847" s="277"/>
      <c r="E847" s="277"/>
      <c r="F847" s="277"/>
      <c r="G847" s="277"/>
      <c r="H847" s="277"/>
      <c r="I847" s="277"/>
      <c r="J847" s="277"/>
      <c r="K847" s="409"/>
      <c r="L847" s="477"/>
      <c r="M847" s="277"/>
      <c r="N847" s="277"/>
      <c r="O847" s="277"/>
      <c r="P847" s="277"/>
      <c r="Q847" s="277"/>
      <c r="R847" s="277"/>
      <c r="S847" s="277"/>
      <c r="T847" s="277"/>
      <c r="U847" s="277"/>
      <c r="V847" s="277"/>
      <c r="W847" s="277"/>
      <c r="X847" s="277"/>
      <c r="Y847" s="277"/>
      <c r="Z847" s="277"/>
    </row>
    <row r="848" ht="12.75" customHeight="1">
      <c r="A848" s="277"/>
      <c r="B848" s="278"/>
      <c r="C848" s="279"/>
      <c r="D848" s="277"/>
      <c r="E848" s="277"/>
      <c r="F848" s="277"/>
      <c r="G848" s="277"/>
      <c r="H848" s="277"/>
      <c r="I848" s="277"/>
      <c r="J848" s="277"/>
      <c r="K848" s="409"/>
      <c r="L848" s="477"/>
      <c r="M848" s="277"/>
      <c r="N848" s="277"/>
      <c r="O848" s="277"/>
      <c r="P848" s="277"/>
      <c r="Q848" s="277"/>
      <c r="R848" s="277"/>
      <c r="S848" s="277"/>
      <c r="T848" s="277"/>
      <c r="U848" s="277"/>
      <c r="V848" s="277"/>
      <c r="W848" s="277"/>
      <c r="X848" s="277"/>
      <c r="Y848" s="277"/>
      <c r="Z848" s="277"/>
    </row>
    <row r="849" ht="12.75" customHeight="1">
      <c r="A849" s="277"/>
      <c r="B849" s="278"/>
      <c r="C849" s="279"/>
      <c r="D849" s="277"/>
      <c r="E849" s="277"/>
      <c r="F849" s="277"/>
      <c r="G849" s="277"/>
      <c r="H849" s="277"/>
      <c r="I849" s="277"/>
      <c r="J849" s="277"/>
      <c r="K849" s="409"/>
      <c r="L849" s="477"/>
      <c r="M849" s="277"/>
      <c r="N849" s="277"/>
      <c r="O849" s="277"/>
      <c r="P849" s="277"/>
      <c r="Q849" s="277"/>
      <c r="R849" s="277"/>
      <c r="S849" s="277"/>
      <c r="T849" s="277"/>
      <c r="U849" s="277"/>
      <c r="V849" s="277"/>
      <c r="W849" s="277"/>
      <c r="X849" s="277"/>
      <c r="Y849" s="277"/>
      <c r="Z849" s="277"/>
    </row>
    <row r="850" ht="12.75" customHeight="1">
      <c r="A850" s="277"/>
      <c r="B850" s="278"/>
      <c r="C850" s="279"/>
      <c r="D850" s="277"/>
      <c r="E850" s="277"/>
      <c r="F850" s="277"/>
      <c r="G850" s="277"/>
      <c r="H850" s="277"/>
      <c r="I850" s="277"/>
      <c r="J850" s="277"/>
      <c r="K850" s="409"/>
      <c r="L850" s="477"/>
      <c r="M850" s="277"/>
      <c r="N850" s="277"/>
      <c r="O850" s="277"/>
      <c r="P850" s="277"/>
      <c r="Q850" s="277"/>
      <c r="R850" s="277"/>
      <c r="S850" s="277"/>
      <c r="T850" s="277"/>
      <c r="U850" s="277"/>
      <c r="V850" s="277"/>
      <c r="W850" s="277"/>
      <c r="X850" s="277"/>
      <c r="Y850" s="277"/>
      <c r="Z850" s="277"/>
    </row>
    <row r="851" ht="12.75" customHeight="1">
      <c r="A851" s="277"/>
      <c r="B851" s="278"/>
      <c r="C851" s="279"/>
      <c r="D851" s="277"/>
      <c r="E851" s="277"/>
      <c r="F851" s="277"/>
      <c r="G851" s="277"/>
      <c r="H851" s="277"/>
      <c r="I851" s="277"/>
      <c r="J851" s="277"/>
      <c r="K851" s="409"/>
      <c r="L851" s="477"/>
      <c r="M851" s="277"/>
      <c r="N851" s="277"/>
      <c r="O851" s="277"/>
      <c r="P851" s="277"/>
      <c r="Q851" s="277"/>
      <c r="R851" s="277"/>
      <c r="S851" s="277"/>
      <c r="T851" s="277"/>
      <c r="U851" s="277"/>
      <c r="V851" s="277"/>
      <c r="W851" s="277"/>
      <c r="X851" s="277"/>
      <c r="Y851" s="277"/>
      <c r="Z851" s="277"/>
    </row>
    <row r="852" ht="12.75" customHeight="1">
      <c r="A852" s="277"/>
      <c r="B852" s="278"/>
      <c r="C852" s="279"/>
      <c r="D852" s="277"/>
      <c r="E852" s="277"/>
      <c r="F852" s="277"/>
      <c r="G852" s="277"/>
      <c r="H852" s="277"/>
      <c r="I852" s="277"/>
      <c r="J852" s="277"/>
      <c r="K852" s="409"/>
      <c r="L852" s="477"/>
      <c r="M852" s="277"/>
      <c r="N852" s="277"/>
      <c r="O852" s="277"/>
      <c r="P852" s="277"/>
      <c r="Q852" s="277"/>
      <c r="R852" s="277"/>
      <c r="S852" s="277"/>
      <c r="T852" s="277"/>
      <c r="U852" s="277"/>
      <c r="V852" s="277"/>
      <c r="W852" s="277"/>
      <c r="X852" s="277"/>
      <c r="Y852" s="277"/>
      <c r="Z852" s="277"/>
    </row>
    <row r="853" ht="12.75" customHeight="1">
      <c r="A853" s="277"/>
      <c r="B853" s="278"/>
      <c r="C853" s="279"/>
      <c r="D853" s="277"/>
      <c r="E853" s="277"/>
      <c r="F853" s="277"/>
      <c r="G853" s="277"/>
      <c r="H853" s="277"/>
      <c r="I853" s="277"/>
      <c r="J853" s="277"/>
      <c r="K853" s="409"/>
      <c r="L853" s="477"/>
      <c r="M853" s="277"/>
      <c r="N853" s="277"/>
      <c r="O853" s="277"/>
      <c r="P853" s="277"/>
      <c r="Q853" s="277"/>
      <c r="R853" s="277"/>
      <c r="S853" s="277"/>
      <c r="T853" s="277"/>
      <c r="U853" s="277"/>
      <c r="V853" s="277"/>
      <c r="W853" s="277"/>
      <c r="X853" s="277"/>
      <c r="Y853" s="277"/>
      <c r="Z853" s="277"/>
    </row>
    <row r="854" ht="12.75" customHeight="1">
      <c r="A854" s="277"/>
      <c r="B854" s="278"/>
      <c r="C854" s="279"/>
      <c r="D854" s="277"/>
      <c r="E854" s="277"/>
      <c r="F854" s="277"/>
      <c r="G854" s="277"/>
      <c r="H854" s="277"/>
      <c r="I854" s="277"/>
      <c r="J854" s="277"/>
      <c r="K854" s="409"/>
      <c r="L854" s="477"/>
      <c r="M854" s="277"/>
      <c r="N854" s="277"/>
      <c r="O854" s="277"/>
      <c r="P854" s="277"/>
      <c r="Q854" s="277"/>
      <c r="R854" s="277"/>
      <c r="S854" s="277"/>
      <c r="T854" s="277"/>
      <c r="U854" s="277"/>
      <c r="V854" s="277"/>
      <c r="W854" s="277"/>
      <c r="X854" s="277"/>
      <c r="Y854" s="277"/>
      <c r="Z854" s="277"/>
    </row>
    <row r="855" ht="12.75" customHeight="1">
      <c r="A855" s="277"/>
      <c r="B855" s="278"/>
      <c r="C855" s="279"/>
      <c r="D855" s="277"/>
      <c r="E855" s="277"/>
      <c r="F855" s="277"/>
      <c r="G855" s="277"/>
      <c r="H855" s="277"/>
      <c r="I855" s="277"/>
      <c r="J855" s="277"/>
      <c r="K855" s="409"/>
      <c r="L855" s="477"/>
      <c r="M855" s="277"/>
      <c r="N855" s="277"/>
      <c r="O855" s="277"/>
      <c r="P855" s="277"/>
      <c r="Q855" s="277"/>
      <c r="R855" s="277"/>
      <c r="S855" s="277"/>
      <c r="T855" s="277"/>
      <c r="U855" s="277"/>
      <c r="V855" s="277"/>
      <c r="W855" s="277"/>
      <c r="X855" s="277"/>
      <c r="Y855" s="277"/>
      <c r="Z855" s="277"/>
    </row>
    <row r="856" ht="12.75" customHeight="1">
      <c r="A856" s="277"/>
      <c r="B856" s="278"/>
      <c r="C856" s="279"/>
      <c r="D856" s="277"/>
      <c r="E856" s="277"/>
      <c r="F856" s="277"/>
      <c r="G856" s="277"/>
      <c r="H856" s="277"/>
      <c r="I856" s="277"/>
      <c r="J856" s="277"/>
      <c r="K856" s="409"/>
      <c r="L856" s="477"/>
      <c r="M856" s="277"/>
      <c r="N856" s="277"/>
      <c r="O856" s="277"/>
      <c r="P856" s="277"/>
      <c r="Q856" s="277"/>
      <c r="R856" s="277"/>
      <c r="S856" s="277"/>
      <c r="T856" s="277"/>
      <c r="U856" s="277"/>
      <c r="V856" s="277"/>
      <c r="W856" s="277"/>
      <c r="X856" s="277"/>
      <c r="Y856" s="277"/>
      <c r="Z856" s="277"/>
    </row>
    <row r="857" ht="12.75" customHeight="1">
      <c r="A857" s="277"/>
      <c r="B857" s="278"/>
      <c r="C857" s="279"/>
      <c r="D857" s="277"/>
      <c r="E857" s="277"/>
      <c r="F857" s="277"/>
      <c r="G857" s="277"/>
      <c r="H857" s="277"/>
      <c r="I857" s="277"/>
      <c r="J857" s="277"/>
      <c r="K857" s="409"/>
      <c r="L857" s="477"/>
      <c r="M857" s="277"/>
      <c r="N857" s="277"/>
      <c r="O857" s="277"/>
      <c r="P857" s="277"/>
      <c r="Q857" s="277"/>
      <c r="R857" s="277"/>
      <c r="S857" s="277"/>
      <c r="T857" s="277"/>
      <c r="U857" s="277"/>
      <c r="V857" s="277"/>
      <c r="W857" s="277"/>
      <c r="X857" s="277"/>
      <c r="Y857" s="277"/>
      <c r="Z857" s="277"/>
    </row>
    <row r="858" ht="12.75" customHeight="1">
      <c r="A858" s="277"/>
      <c r="B858" s="278"/>
      <c r="C858" s="279"/>
      <c r="D858" s="277"/>
      <c r="E858" s="277"/>
      <c r="F858" s="277"/>
      <c r="G858" s="277"/>
      <c r="H858" s="277"/>
      <c r="I858" s="277"/>
      <c r="J858" s="277"/>
      <c r="K858" s="409"/>
      <c r="L858" s="477"/>
      <c r="M858" s="277"/>
      <c r="N858" s="277"/>
      <c r="O858" s="277"/>
      <c r="P858" s="277"/>
      <c r="Q858" s="277"/>
      <c r="R858" s="277"/>
      <c r="S858" s="277"/>
      <c r="T858" s="277"/>
      <c r="U858" s="277"/>
      <c r="V858" s="277"/>
      <c r="W858" s="277"/>
      <c r="X858" s="277"/>
      <c r="Y858" s="277"/>
      <c r="Z858" s="277"/>
    </row>
    <row r="859" ht="12.75" customHeight="1">
      <c r="A859" s="277"/>
      <c r="B859" s="278"/>
      <c r="C859" s="279"/>
      <c r="D859" s="277"/>
      <c r="E859" s="277"/>
      <c r="F859" s="277"/>
      <c r="G859" s="277"/>
      <c r="H859" s="277"/>
      <c r="I859" s="277"/>
      <c r="J859" s="277"/>
      <c r="K859" s="409"/>
      <c r="L859" s="477"/>
      <c r="M859" s="277"/>
      <c r="N859" s="277"/>
      <c r="O859" s="277"/>
      <c r="P859" s="277"/>
      <c r="Q859" s="277"/>
      <c r="R859" s="277"/>
      <c r="S859" s="277"/>
      <c r="T859" s="277"/>
      <c r="U859" s="277"/>
      <c r="V859" s="277"/>
      <c r="W859" s="277"/>
      <c r="X859" s="277"/>
      <c r="Y859" s="277"/>
      <c r="Z859" s="277"/>
    </row>
    <row r="860" ht="12.75" customHeight="1">
      <c r="A860" s="277"/>
      <c r="B860" s="278"/>
      <c r="C860" s="279"/>
      <c r="D860" s="277"/>
      <c r="E860" s="277"/>
      <c r="F860" s="277"/>
      <c r="G860" s="277"/>
      <c r="H860" s="277"/>
      <c r="I860" s="277"/>
      <c r="J860" s="277"/>
      <c r="K860" s="409"/>
      <c r="L860" s="477"/>
      <c r="M860" s="277"/>
      <c r="N860" s="277"/>
      <c r="O860" s="277"/>
      <c r="P860" s="277"/>
      <c r="Q860" s="277"/>
      <c r="R860" s="277"/>
      <c r="S860" s="277"/>
      <c r="T860" s="277"/>
      <c r="U860" s="277"/>
      <c r="V860" s="277"/>
      <c r="W860" s="277"/>
      <c r="X860" s="277"/>
      <c r="Y860" s="277"/>
      <c r="Z860" s="277"/>
    </row>
    <row r="861" ht="12.75" customHeight="1">
      <c r="A861" s="277"/>
      <c r="B861" s="278"/>
      <c r="C861" s="279"/>
      <c r="D861" s="277"/>
      <c r="E861" s="277"/>
      <c r="F861" s="277"/>
      <c r="G861" s="277"/>
      <c r="H861" s="277"/>
      <c r="I861" s="277"/>
      <c r="J861" s="277"/>
      <c r="K861" s="409"/>
      <c r="L861" s="477"/>
      <c r="M861" s="277"/>
      <c r="N861" s="277"/>
      <c r="O861" s="277"/>
      <c r="P861" s="277"/>
      <c r="Q861" s="277"/>
      <c r="R861" s="277"/>
      <c r="S861" s="277"/>
      <c r="T861" s="277"/>
      <c r="U861" s="277"/>
      <c r="V861" s="277"/>
      <c r="W861" s="277"/>
      <c r="X861" s="277"/>
      <c r="Y861" s="277"/>
      <c r="Z861" s="277"/>
    </row>
    <row r="862" ht="12.75" customHeight="1">
      <c r="A862" s="277"/>
      <c r="B862" s="278"/>
      <c r="C862" s="279"/>
      <c r="D862" s="277"/>
      <c r="E862" s="277"/>
      <c r="F862" s="277"/>
      <c r="G862" s="277"/>
      <c r="H862" s="277"/>
      <c r="I862" s="277"/>
      <c r="J862" s="277"/>
      <c r="K862" s="409"/>
      <c r="L862" s="477"/>
      <c r="M862" s="277"/>
      <c r="N862" s="277"/>
      <c r="O862" s="277"/>
      <c r="P862" s="277"/>
      <c r="Q862" s="277"/>
      <c r="R862" s="277"/>
      <c r="S862" s="277"/>
      <c r="T862" s="277"/>
      <c r="U862" s="277"/>
      <c r="V862" s="277"/>
      <c r="W862" s="277"/>
      <c r="X862" s="277"/>
      <c r="Y862" s="277"/>
      <c r="Z862" s="277"/>
    </row>
    <row r="863" ht="12.75" customHeight="1">
      <c r="A863" s="277"/>
      <c r="B863" s="278"/>
      <c r="C863" s="279"/>
      <c r="D863" s="277"/>
      <c r="E863" s="277"/>
      <c r="F863" s="277"/>
      <c r="G863" s="277"/>
      <c r="H863" s="277"/>
      <c r="I863" s="277"/>
      <c r="J863" s="277"/>
      <c r="K863" s="409"/>
      <c r="L863" s="477"/>
      <c r="M863" s="277"/>
      <c r="N863" s="277"/>
      <c r="O863" s="277"/>
      <c r="P863" s="277"/>
      <c r="Q863" s="277"/>
      <c r="R863" s="277"/>
      <c r="S863" s="277"/>
      <c r="T863" s="277"/>
      <c r="U863" s="277"/>
      <c r="V863" s="277"/>
      <c r="W863" s="277"/>
      <c r="X863" s="277"/>
      <c r="Y863" s="277"/>
      <c r="Z863" s="277"/>
    </row>
    <row r="864" ht="12.75" customHeight="1">
      <c r="A864" s="277"/>
      <c r="B864" s="278"/>
      <c r="C864" s="279"/>
      <c r="D864" s="277"/>
      <c r="E864" s="277"/>
      <c r="F864" s="277"/>
      <c r="G864" s="277"/>
      <c r="H864" s="277"/>
      <c r="I864" s="277"/>
      <c r="J864" s="277"/>
      <c r="K864" s="409"/>
      <c r="L864" s="477"/>
      <c r="M864" s="277"/>
      <c r="N864" s="277"/>
      <c r="O864" s="277"/>
      <c r="P864" s="277"/>
      <c r="Q864" s="277"/>
      <c r="R864" s="277"/>
      <c r="S864" s="277"/>
      <c r="T864" s="277"/>
      <c r="U864" s="277"/>
      <c r="V864" s="277"/>
      <c r="W864" s="277"/>
      <c r="X864" s="277"/>
      <c r="Y864" s="277"/>
      <c r="Z864" s="277"/>
    </row>
    <row r="865" ht="12.75" customHeight="1">
      <c r="A865" s="277"/>
      <c r="B865" s="278"/>
      <c r="C865" s="279"/>
      <c r="D865" s="277"/>
      <c r="E865" s="277"/>
      <c r="F865" s="277"/>
      <c r="G865" s="277"/>
      <c r="H865" s="277"/>
      <c r="I865" s="277"/>
      <c r="J865" s="277"/>
      <c r="K865" s="409"/>
      <c r="L865" s="477"/>
      <c r="M865" s="277"/>
      <c r="N865" s="277"/>
      <c r="O865" s="277"/>
      <c r="P865" s="277"/>
      <c r="Q865" s="277"/>
      <c r="R865" s="277"/>
      <c r="S865" s="277"/>
      <c r="T865" s="277"/>
      <c r="U865" s="277"/>
      <c r="V865" s="277"/>
      <c r="W865" s="277"/>
      <c r="X865" s="277"/>
      <c r="Y865" s="277"/>
      <c r="Z865" s="277"/>
    </row>
    <row r="866" ht="12.75" customHeight="1">
      <c r="A866" s="277"/>
      <c r="B866" s="278"/>
      <c r="C866" s="279"/>
      <c r="D866" s="277"/>
      <c r="E866" s="277"/>
      <c r="F866" s="277"/>
      <c r="G866" s="277"/>
      <c r="H866" s="277"/>
      <c r="I866" s="277"/>
      <c r="J866" s="277"/>
      <c r="K866" s="409"/>
      <c r="L866" s="477"/>
      <c r="M866" s="277"/>
      <c r="N866" s="277"/>
      <c r="O866" s="277"/>
      <c r="P866" s="277"/>
      <c r="Q866" s="277"/>
      <c r="R866" s="277"/>
      <c r="S866" s="277"/>
      <c r="T866" s="277"/>
      <c r="U866" s="277"/>
      <c r="V866" s="277"/>
      <c r="W866" s="277"/>
      <c r="X866" s="277"/>
      <c r="Y866" s="277"/>
      <c r="Z866" s="277"/>
    </row>
    <row r="867" ht="12.75" customHeight="1">
      <c r="A867" s="277"/>
      <c r="B867" s="278"/>
      <c r="C867" s="279"/>
      <c r="D867" s="277"/>
      <c r="E867" s="277"/>
      <c r="F867" s="277"/>
      <c r="G867" s="277"/>
      <c r="H867" s="277"/>
      <c r="I867" s="277"/>
      <c r="J867" s="277"/>
      <c r="K867" s="409"/>
      <c r="L867" s="477"/>
      <c r="M867" s="277"/>
      <c r="N867" s="277"/>
      <c r="O867" s="277"/>
      <c r="P867" s="277"/>
      <c r="Q867" s="277"/>
      <c r="R867" s="277"/>
      <c r="S867" s="277"/>
      <c r="T867" s="277"/>
      <c r="U867" s="277"/>
      <c r="V867" s="277"/>
      <c r="W867" s="277"/>
      <c r="X867" s="277"/>
      <c r="Y867" s="277"/>
      <c r="Z867" s="277"/>
    </row>
    <row r="868" ht="12.75" customHeight="1">
      <c r="A868" s="277"/>
      <c r="B868" s="278"/>
      <c r="C868" s="279"/>
      <c r="D868" s="277"/>
      <c r="E868" s="277"/>
      <c r="F868" s="277"/>
      <c r="G868" s="277"/>
      <c r="H868" s="277"/>
      <c r="I868" s="277"/>
      <c r="J868" s="277"/>
      <c r="K868" s="409"/>
      <c r="L868" s="477"/>
      <c r="M868" s="277"/>
      <c r="N868" s="277"/>
      <c r="O868" s="277"/>
      <c r="P868" s="277"/>
      <c r="Q868" s="277"/>
      <c r="R868" s="277"/>
      <c r="S868" s="277"/>
      <c r="T868" s="277"/>
      <c r="U868" s="277"/>
      <c r="V868" s="277"/>
      <c r="W868" s="277"/>
      <c r="X868" s="277"/>
      <c r="Y868" s="277"/>
      <c r="Z868" s="277"/>
    </row>
    <row r="869" ht="12.75" customHeight="1">
      <c r="A869" s="277"/>
      <c r="B869" s="278"/>
      <c r="C869" s="279"/>
      <c r="D869" s="277"/>
      <c r="E869" s="277"/>
      <c r="F869" s="277"/>
      <c r="G869" s="277"/>
      <c r="H869" s="277"/>
      <c r="I869" s="277"/>
      <c r="J869" s="277"/>
      <c r="K869" s="409"/>
      <c r="L869" s="477"/>
      <c r="M869" s="277"/>
      <c r="N869" s="277"/>
      <c r="O869" s="277"/>
      <c r="P869" s="277"/>
      <c r="Q869" s="277"/>
      <c r="R869" s="277"/>
      <c r="S869" s="277"/>
      <c r="T869" s="277"/>
      <c r="U869" s="277"/>
      <c r="V869" s="277"/>
      <c r="W869" s="277"/>
      <c r="X869" s="277"/>
      <c r="Y869" s="277"/>
      <c r="Z869" s="277"/>
    </row>
    <row r="870" ht="12.75" customHeight="1">
      <c r="A870" s="277"/>
      <c r="B870" s="278"/>
      <c r="C870" s="279"/>
      <c r="D870" s="277"/>
      <c r="E870" s="277"/>
      <c r="F870" s="277"/>
      <c r="G870" s="277"/>
      <c r="H870" s="277"/>
      <c r="I870" s="277"/>
      <c r="J870" s="277"/>
      <c r="K870" s="409"/>
      <c r="L870" s="477"/>
      <c r="M870" s="277"/>
      <c r="N870" s="277"/>
      <c r="O870" s="277"/>
      <c r="P870" s="277"/>
      <c r="Q870" s="277"/>
      <c r="R870" s="277"/>
      <c r="S870" s="277"/>
      <c r="T870" s="277"/>
      <c r="U870" s="277"/>
      <c r="V870" s="277"/>
      <c r="W870" s="277"/>
      <c r="X870" s="277"/>
      <c r="Y870" s="277"/>
      <c r="Z870" s="277"/>
    </row>
    <row r="871" ht="12.75" customHeight="1">
      <c r="A871" s="277"/>
      <c r="B871" s="278"/>
      <c r="C871" s="279"/>
      <c r="D871" s="277"/>
      <c r="E871" s="277"/>
      <c r="F871" s="277"/>
      <c r="G871" s="277"/>
      <c r="H871" s="277"/>
      <c r="I871" s="277"/>
      <c r="J871" s="277"/>
      <c r="K871" s="409"/>
      <c r="L871" s="477"/>
      <c r="M871" s="277"/>
      <c r="N871" s="277"/>
      <c r="O871" s="277"/>
      <c r="P871" s="277"/>
      <c r="Q871" s="277"/>
      <c r="R871" s="277"/>
      <c r="S871" s="277"/>
      <c r="T871" s="277"/>
      <c r="U871" s="277"/>
      <c r="V871" s="277"/>
      <c r="W871" s="277"/>
      <c r="X871" s="277"/>
      <c r="Y871" s="277"/>
      <c r="Z871" s="277"/>
    </row>
    <row r="872" ht="12.75" customHeight="1">
      <c r="A872" s="277"/>
      <c r="B872" s="278"/>
      <c r="C872" s="279"/>
      <c r="D872" s="277"/>
      <c r="E872" s="277"/>
      <c r="F872" s="277"/>
      <c r="G872" s="277"/>
      <c r="H872" s="277"/>
      <c r="I872" s="277"/>
      <c r="J872" s="277"/>
      <c r="K872" s="409"/>
      <c r="L872" s="477"/>
      <c r="M872" s="277"/>
      <c r="N872" s="277"/>
      <c r="O872" s="277"/>
      <c r="P872" s="277"/>
      <c r="Q872" s="277"/>
      <c r="R872" s="277"/>
      <c r="S872" s="277"/>
      <c r="T872" s="277"/>
      <c r="U872" s="277"/>
      <c r="V872" s="277"/>
      <c r="W872" s="277"/>
      <c r="X872" s="277"/>
      <c r="Y872" s="277"/>
      <c r="Z872" s="277"/>
    </row>
    <row r="873" ht="12.75" customHeight="1">
      <c r="A873" s="277"/>
      <c r="B873" s="278"/>
      <c r="C873" s="279"/>
      <c r="D873" s="277"/>
      <c r="E873" s="277"/>
      <c r="F873" s="277"/>
      <c r="G873" s="277"/>
      <c r="H873" s="277"/>
      <c r="I873" s="277"/>
      <c r="J873" s="277"/>
      <c r="K873" s="409"/>
      <c r="L873" s="477"/>
      <c r="M873" s="277"/>
      <c r="N873" s="277"/>
      <c r="O873" s="277"/>
      <c r="P873" s="277"/>
      <c r="Q873" s="277"/>
      <c r="R873" s="277"/>
      <c r="S873" s="277"/>
      <c r="T873" s="277"/>
      <c r="U873" s="277"/>
      <c r="V873" s="277"/>
      <c r="W873" s="277"/>
      <c r="X873" s="277"/>
      <c r="Y873" s="277"/>
      <c r="Z873" s="277"/>
    </row>
    <row r="874" ht="12.75" customHeight="1">
      <c r="A874" s="277"/>
      <c r="B874" s="278"/>
      <c r="C874" s="279"/>
      <c r="D874" s="277"/>
      <c r="E874" s="277"/>
      <c r="F874" s="277"/>
      <c r="G874" s="277"/>
      <c r="H874" s="277"/>
      <c r="I874" s="277"/>
      <c r="J874" s="277"/>
      <c r="K874" s="409"/>
      <c r="L874" s="477"/>
      <c r="M874" s="277"/>
      <c r="N874" s="277"/>
      <c r="O874" s="277"/>
      <c r="P874" s="277"/>
      <c r="Q874" s="277"/>
      <c r="R874" s="277"/>
      <c r="S874" s="277"/>
      <c r="T874" s="277"/>
      <c r="U874" s="277"/>
      <c r="V874" s="277"/>
      <c r="W874" s="277"/>
      <c r="X874" s="277"/>
      <c r="Y874" s="277"/>
      <c r="Z874" s="277"/>
    </row>
    <row r="875" ht="12.75" customHeight="1">
      <c r="A875" s="277"/>
      <c r="B875" s="278"/>
      <c r="C875" s="279"/>
      <c r="D875" s="277"/>
      <c r="E875" s="277"/>
      <c r="F875" s="277"/>
      <c r="G875" s="277"/>
      <c r="H875" s="277"/>
      <c r="I875" s="277"/>
      <c r="J875" s="277"/>
      <c r="K875" s="409"/>
      <c r="L875" s="477"/>
      <c r="M875" s="277"/>
      <c r="N875" s="277"/>
      <c r="O875" s="277"/>
      <c r="P875" s="277"/>
      <c r="Q875" s="277"/>
      <c r="R875" s="277"/>
      <c r="S875" s="277"/>
      <c r="T875" s="277"/>
      <c r="U875" s="277"/>
      <c r="V875" s="277"/>
      <c r="W875" s="277"/>
      <c r="X875" s="277"/>
      <c r="Y875" s="277"/>
      <c r="Z875" s="277"/>
    </row>
    <row r="876" ht="12.75" customHeight="1">
      <c r="A876" s="277"/>
      <c r="B876" s="278"/>
      <c r="C876" s="279"/>
      <c r="D876" s="277"/>
      <c r="E876" s="277"/>
      <c r="F876" s="277"/>
      <c r="G876" s="277"/>
      <c r="H876" s="277"/>
      <c r="I876" s="277"/>
      <c r="J876" s="277"/>
      <c r="K876" s="409"/>
      <c r="L876" s="477"/>
      <c r="M876" s="277"/>
      <c r="N876" s="277"/>
      <c r="O876" s="277"/>
      <c r="P876" s="277"/>
      <c r="Q876" s="277"/>
      <c r="R876" s="277"/>
      <c r="S876" s="277"/>
      <c r="T876" s="277"/>
      <c r="U876" s="277"/>
      <c r="V876" s="277"/>
      <c r="W876" s="277"/>
      <c r="X876" s="277"/>
      <c r="Y876" s="277"/>
      <c r="Z876" s="277"/>
    </row>
    <row r="877" ht="12.75" customHeight="1">
      <c r="A877" s="277"/>
      <c r="B877" s="278"/>
      <c r="C877" s="279"/>
      <c r="D877" s="277"/>
      <c r="E877" s="277"/>
      <c r="F877" s="277"/>
      <c r="G877" s="277"/>
      <c r="H877" s="277"/>
      <c r="I877" s="277"/>
      <c r="J877" s="277"/>
      <c r="K877" s="409"/>
      <c r="L877" s="477"/>
      <c r="M877" s="277"/>
      <c r="N877" s="277"/>
      <c r="O877" s="277"/>
      <c r="P877" s="277"/>
      <c r="Q877" s="277"/>
      <c r="R877" s="277"/>
      <c r="S877" s="277"/>
      <c r="T877" s="277"/>
      <c r="U877" s="277"/>
      <c r="V877" s="277"/>
      <c r="W877" s="277"/>
      <c r="X877" s="277"/>
      <c r="Y877" s="277"/>
      <c r="Z877" s="277"/>
    </row>
    <row r="878" ht="12.75" customHeight="1">
      <c r="A878" s="277"/>
      <c r="B878" s="278"/>
      <c r="C878" s="279"/>
      <c r="D878" s="277"/>
      <c r="E878" s="277"/>
      <c r="F878" s="277"/>
      <c r="G878" s="277"/>
      <c r="H878" s="277"/>
      <c r="I878" s="277"/>
      <c r="J878" s="277"/>
      <c r="K878" s="409"/>
      <c r="L878" s="477"/>
      <c r="M878" s="277"/>
      <c r="N878" s="277"/>
      <c r="O878" s="277"/>
      <c r="P878" s="277"/>
      <c r="Q878" s="277"/>
      <c r="R878" s="277"/>
      <c r="S878" s="277"/>
      <c r="T878" s="277"/>
      <c r="U878" s="277"/>
      <c r="V878" s="277"/>
      <c r="W878" s="277"/>
      <c r="X878" s="277"/>
      <c r="Y878" s="277"/>
      <c r="Z878" s="277"/>
    </row>
    <row r="879" ht="12.75" customHeight="1">
      <c r="A879" s="277"/>
      <c r="B879" s="278"/>
      <c r="C879" s="279"/>
      <c r="D879" s="277"/>
      <c r="E879" s="277"/>
      <c r="F879" s="277"/>
      <c r="G879" s="277"/>
      <c r="H879" s="277"/>
      <c r="I879" s="277"/>
      <c r="J879" s="277"/>
      <c r="K879" s="409"/>
      <c r="L879" s="477"/>
      <c r="M879" s="277"/>
      <c r="N879" s="277"/>
      <c r="O879" s="277"/>
      <c r="P879" s="277"/>
      <c r="Q879" s="277"/>
      <c r="R879" s="277"/>
      <c r="S879" s="277"/>
      <c r="T879" s="277"/>
      <c r="U879" s="277"/>
      <c r="V879" s="277"/>
      <c r="W879" s="277"/>
      <c r="X879" s="277"/>
      <c r="Y879" s="277"/>
      <c r="Z879" s="277"/>
    </row>
    <row r="880" ht="12.75" customHeight="1">
      <c r="A880" s="277"/>
      <c r="B880" s="278"/>
      <c r="C880" s="279"/>
      <c r="D880" s="277"/>
      <c r="E880" s="277"/>
      <c r="F880" s="277"/>
      <c r="G880" s="277"/>
      <c r="H880" s="277"/>
      <c r="I880" s="277"/>
      <c r="J880" s="277"/>
      <c r="K880" s="409"/>
      <c r="L880" s="477"/>
      <c r="M880" s="277"/>
      <c r="N880" s="277"/>
      <c r="O880" s="277"/>
      <c r="P880" s="277"/>
      <c r="Q880" s="277"/>
      <c r="R880" s="277"/>
      <c r="S880" s="277"/>
      <c r="T880" s="277"/>
      <c r="U880" s="277"/>
      <c r="V880" s="277"/>
      <c r="W880" s="277"/>
      <c r="X880" s="277"/>
      <c r="Y880" s="277"/>
      <c r="Z880" s="277"/>
    </row>
    <row r="881" ht="12.75" customHeight="1">
      <c r="A881" s="277"/>
      <c r="B881" s="278"/>
      <c r="C881" s="279"/>
      <c r="D881" s="277"/>
      <c r="E881" s="277"/>
      <c r="F881" s="277"/>
      <c r="G881" s="277"/>
      <c r="H881" s="277"/>
      <c r="I881" s="277"/>
      <c r="J881" s="277"/>
      <c r="K881" s="409"/>
      <c r="L881" s="477"/>
      <c r="M881" s="277"/>
      <c r="N881" s="277"/>
      <c r="O881" s="277"/>
      <c r="P881" s="277"/>
      <c r="Q881" s="277"/>
      <c r="R881" s="277"/>
      <c r="S881" s="277"/>
      <c r="T881" s="277"/>
      <c r="U881" s="277"/>
      <c r="V881" s="277"/>
      <c r="W881" s="277"/>
      <c r="X881" s="277"/>
      <c r="Y881" s="277"/>
      <c r="Z881" s="277"/>
    </row>
    <row r="882" ht="12.75" customHeight="1">
      <c r="A882" s="277"/>
      <c r="B882" s="278"/>
      <c r="C882" s="279"/>
      <c r="D882" s="277"/>
      <c r="E882" s="277"/>
      <c r="F882" s="277"/>
      <c r="G882" s="277"/>
      <c r="H882" s="277"/>
      <c r="I882" s="277"/>
      <c r="J882" s="277"/>
      <c r="K882" s="409"/>
      <c r="L882" s="477"/>
      <c r="M882" s="277"/>
      <c r="N882" s="277"/>
      <c r="O882" s="277"/>
      <c r="P882" s="277"/>
      <c r="Q882" s="277"/>
      <c r="R882" s="277"/>
      <c r="S882" s="277"/>
      <c r="T882" s="277"/>
      <c r="U882" s="277"/>
      <c r="V882" s="277"/>
      <c r="W882" s="277"/>
      <c r="X882" s="277"/>
      <c r="Y882" s="277"/>
      <c r="Z882" s="277"/>
    </row>
    <row r="883" ht="12.75" customHeight="1">
      <c r="A883" s="277"/>
      <c r="B883" s="278"/>
      <c r="C883" s="279"/>
      <c r="D883" s="277"/>
      <c r="E883" s="277"/>
      <c r="F883" s="277"/>
      <c r="G883" s="277"/>
      <c r="H883" s="277"/>
      <c r="I883" s="277"/>
      <c r="J883" s="277"/>
      <c r="K883" s="409"/>
      <c r="L883" s="477"/>
      <c r="M883" s="277"/>
      <c r="N883" s="277"/>
      <c r="O883" s="277"/>
      <c r="P883" s="277"/>
      <c r="Q883" s="277"/>
      <c r="R883" s="277"/>
      <c r="S883" s="277"/>
      <c r="T883" s="277"/>
      <c r="U883" s="277"/>
      <c r="V883" s="277"/>
      <c r="W883" s="277"/>
      <c r="X883" s="277"/>
      <c r="Y883" s="277"/>
      <c r="Z883" s="277"/>
    </row>
    <row r="884" ht="12.75" customHeight="1">
      <c r="A884" s="277"/>
      <c r="B884" s="278"/>
      <c r="C884" s="279"/>
      <c r="D884" s="277"/>
      <c r="E884" s="277"/>
      <c r="F884" s="277"/>
      <c r="G884" s="277"/>
      <c r="H884" s="277"/>
      <c r="I884" s="277"/>
      <c r="J884" s="277"/>
      <c r="K884" s="409"/>
      <c r="L884" s="477"/>
      <c r="M884" s="277"/>
      <c r="N884" s="277"/>
      <c r="O884" s="277"/>
      <c r="P884" s="277"/>
      <c r="Q884" s="277"/>
      <c r="R884" s="277"/>
      <c r="S884" s="277"/>
      <c r="T884" s="277"/>
      <c r="U884" s="277"/>
      <c r="V884" s="277"/>
      <c r="W884" s="277"/>
      <c r="X884" s="277"/>
      <c r="Y884" s="277"/>
      <c r="Z884" s="277"/>
    </row>
    <row r="885" ht="12.75" customHeight="1">
      <c r="A885" s="277"/>
      <c r="B885" s="278"/>
      <c r="C885" s="279"/>
      <c r="D885" s="277"/>
      <c r="E885" s="277"/>
      <c r="F885" s="277"/>
      <c r="G885" s="277"/>
      <c r="H885" s="277"/>
      <c r="I885" s="277"/>
      <c r="J885" s="277"/>
      <c r="K885" s="409"/>
      <c r="L885" s="477"/>
      <c r="M885" s="277"/>
      <c r="N885" s="277"/>
      <c r="O885" s="277"/>
      <c r="P885" s="277"/>
      <c r="Q885" s="277"/>
      <c r="R885" s="277"/>
      <c r="S885" s="277"/>
      <c r="T885" s="277"/>
      <c r="U885" s="277"/>
      <c r="V885" s="277"/>
      <c r="W885" s="277"/>
      <c r="X885" s="277"/>
      <c r="Y885" s="277"/>
      <c r="Z885" s="277"/>
    </row>
    <row r="886" ht="12.75" customHeight="1">
      <c r="A886" s="277"/>
      <c r="B886" s="278"/>
      <c r="C886" s="279"/>
      <c r="D886" s="277"/>
      <c r="E886" s="277"/>
      <c r="F886" s="277"/>
      <c r="G886" s="277"/>
      <c r="H886" s="277"/>
      <c r="I886" s="277"/>
      <c r="J886" s="277"/>
      <c r="K886" s="409"/>
      <c r="L886" s="477"/>
      <c r="M886" s="277"/>
      <c r="N886" s="277"/>
      <c r="O886" s="277"/>
      <c r="P886" s="277"/>
      <c r="Q886" s="277"/>
      <c r="R886" s="277"/>
      <c r="S886" s="277"/>
      <c r="T886" s="277"/>
      <c r="U886" s="277"/>
      <c r="V886" s="277"/>
      <c r="W886" s="277"/>
      <c r="X886" s="277"/>
      <c r="Y886" s="277"/>
      <c r="Z886" s="277"/>
    </row>
    <row r="887" ht="12.75" customHeight="1">
      <c r="A887" s="277"/>
      <c r="B887" s="278"/>
      <c r="C887" s="279"/>
      <c r="D887" s="277"/>
      <c r="E887" s="277"/>
      <c r="F887" s="277"/>
      <c r="G887" s="277"/>
      <c r="H887" s="277"/>
      <c r="I887" s="277"/>
      <c r="J887" s="277"/>
      <c r="K887" s="409"/>
      <c r="L887" s="477"/>
      <c r="M887" s="277"/>
      <c r="N887" s="277"/>
      <c r="O887" s="277"/>
      <c r="P887" s="277"/>
      <c r="Q887" s="277"/>
      <c r="R887" s="277"/>
      <c r="S887" s="277"/>
      <c r="T887" s="277"/>
      <c r="U887" s="277"/>
      <c r="V887" s="277"/>
      <c r="W887" s="277"/>
      <c r="X887" s="277"/>
      <c r="Y887" s="277"/>
      <c r="Z887" s="277"/>
    </row>
    <row r="888" ht="12.75" customHeight="1">
      <c r="A888" s="277"/>
      <c r="B888" s="278"/>
      <c r="C888" s="279"/>
      <c r="D888" s="277"/>
      <c r="E888" s="277"/>
      <c r="F888" s="277"/>
      <c r="G888" s="277"/>
      <c r="H888" s="277"/>
      <c r="I888" s="277"/>
      <c r="J888" s="277"/>
      <c r="K888" s="409"/>
      <c r="L888" s="477"/>
      <c r="M888" s="277"/>
      <c r="N888" s="277"/>
      <c r="O888" s="277"/>
      <c r="P888" s="277"/>
      <c r="Q888" s="277"/>
      <c r="R888" s="277"/>
      <c r="S888" s="277"/>
      <c r="T888" s="277"/>
      <c r="U888" s="277"/>
      <c r="V888" s="277"/>
      <c r="W888" s="277"/>
      <c r="X888" s="277"/>
      <c r="Y888" s="277"/>
      <c r="Z888" s="277"/>
    </row>
    <row r="889" ht="12.75" customHeight="1">
      <c r="A889" s="277"/>
      <c r="B889" s="278"/>
      <c r="C889" s="279"/>
      <c r="D889" s="277"/>
      <c r="E889" s="277"/>
      <c r="F889" s="277"/>
      <c r="G889" s="277"/>
      <c r="H889" s="277"/>
      <c r="I889" s="277"/>
      <c r="J889" s="277"/>
      <c r="K889" s="409"/>
      <c r="L889" s="477"/>
      <c r="M889" s="277"/>
      <c r="N889" s="277"/>
      <c r="O889" s="277"/>
      <c r="P889" s="277"/>
      <c r="Q889" s="277"/>
      <c r="R889" s="277"/>
      <c r="S889" s="277"/>
      <c r="T889" s="277"/>
      <c r="U889" s="277"/>
      <c r="V889" s="277"/>
      <c r="W889" s="277"/>
      <c r="X889" s="277"/>
      <c r="Y889" s="277"/>
      <c r="Z889" s="277"/>
    </row>
    <row r="890" ht="12.75" customHeight="1">
      <c r="A890" s="277"/>
      <c r="B890" s="278"/>
      <c r="C890" s="279"/>
      <c r="D890" s="277"/>
      <c r="E890" s="277"/>
      <c r="F890" s="277"/>
      <c r="G890" s="277"/>
      <c r="H890" s="277"/>
      <c r="I890" s="277"/>
      <c r="J890" s="277"/>
      <c r="K890" s="409"/>
      <c r="L890" s="477"/>
      <c r="M890" s="277"/>
      <c r="N890" s="277"/>
      <c r="O890" s="277"/>
      <c r="P890" s="277"/>
      <c r="Q890" s="277"/>
      <c r="R890" s="277"/>
      <c r="S890" s="277"/>
      <c r="T890" s="277"/>
      <c r="U890" s="277"/>
      <c r="V890" s="277"/>
      <c r="W890" s="277"/>
      <c r="X890" s="277"/>
      <c r="Y890" s="277"/>
      <c r="Z890" s="277"/>
    </row>
    <row r="891" ht="12.75" customHeight="1">
      <c r="A891" s="277"/>
      <c r="B891" s="278"/>
      <c r="C891" s="279"/>
      <c r="D891" s="277"/>
      <c r="E891" s="277"/>
      <c r="F891" s="277"/>
      <c r="G891" s="277"/>
      <c r="H891" s="277"/>
      <c r="I891" s="277"/>
      <c r="J891" s="277"/>
      <c r="K891" s="409"/>
      <c r="L891" s="477"/>
      <c r="M891" s="277"/>
      <c r="N891" s="277"/>
      <c r="O891" s="277"/>
      <c r="P891" s="277"/>
      <c r="Q891" s="277"/>
      <c r="R891" s="277"/>
      <c r="S891" s="277"/>
      <c r="T891" s="277"/>
      <c r="U891" s="277"/>
      <c r="V891" s="277"/>
      <c r="W891" s="277"/>
      <c r="X891" s="277"/>
      <c r="Y891" s="277"/>
      <c r="Z891" s="277"/>
    </row>
    <row r="892" ht="12.75" customHeight="1">
      <c r="A892" s="277"/>
      <c r="B892" s="278"/>
      <c r="C892" s="279"/>
      <c r="D892" s="277"/>
      <c r="E892" s="277"/>
      <c r="F892" s="277"/>
      <c r="G892" s="277"/>
      <c r="H892" s="277"/>
      <c r="I892" s="277"/>
      <c r="J892" s="277"/>
      <c r="K892" s="409"/>
      <c r="L892" s="477"/>
      <c r="M892" s="277"/>
      <c r="N892" s="277"/>
      <c r="O892" s="277"/>
      <c r="P892" s="277"/>
      <c r="Q892" s="277"/>
      <c r="R892" s="277"/>
      <c r="S892" s="277"/>
      <c r="T892" s="277"/>
      <c r="U892" s="277"/>
      <c r="V892" s="277"/>
      <c r="W892" s="277"/>
      <c r="X892" s="277"/>
      <c r="Y892" s="277"/>
      <c r="Z892" s="277"/>
    </row>
    <row r="893" ht="12.75" customHeight="1">
      <c r="A893" s="277"/>
      <c r="B893" s="278"/>
      <c r="C893" s="279"/>
      <c r="D893" s="277"/>
      <c r="E893" s="277"/>
      <c r="F893" s="277"/>
      <c r="G893" s="277"/>
      <c r="H893" s="277"/>
      <c r="I893" s="277"/>
      <c r="J893" s="277"/>
      <c r="K893" s="409"/>
      <c r="L893" s="477"/>
      <c r="M893" s="277"/>
      <c r="N893" s="277"/>
      <c r="O893" s="277"/>
      <c r="P893" s="277"/>
      <c r="Q893" s="277"/>
      <c r="R893" s="277"/>
      <c r="S893" s="277"/>
      <c r="T893" s="277"/>
      <c r="U893" s="277"/>
      <c r="V893" s="277"/>
      <c r="W893" s="277"/>
      <c r="X893" s="277"/>
      <c r="Y893" s="277"/>
      <c r="Z893" s="277"/>
    </row>
    <row r="894" ht="12.75" customHeight="1">
      <c r="A894" s="277"/>
      <c r="B894" s="278"/>
      <c r="C894" s="279"/>
      <c r="D894" s="277"/>
      <c r="E894" s="277"/>
      <c r="F894" s="277"/>
      <c r="G894" s="277"/>
      <c r="H894" s="277"/>
      <c r="I894" s="277"/>
      <c r="J894" s="277"/>
      <c r="K894" s="409"/>
      <c r="L894" s="477"/>
      <c r="M894" s="277"/>
      <c r="N894" s="277"/>
      <c r="O894" s="277"/>
      <c r="P894" s="277"/>
      <c r="Q894" s="277"/>
      <c r="R894" s="277"/>
      <c r="S894" s="277"/>
      <c r="T894" s="277"/>
      <c r="U894" s="277"/>
      <c r="V894" s="277"/>
      <c r="W894" s="277"/>
      <c r="X894" s="277"/>
      <c r="Y894" s="277"/>
      <c r="Z894" s="277"/>
    </row>
    <row r="895" ht="12.75" customHeight="1">
      <c r="A895" s="277"/>
      <c r="B895" s="278"/>
      <c r="C895" s="279"/>
      <c r="D895" s="277"/>
      <c r="E895" s="277"/>
      <c r="F895" s="277"/>
      <c r="G895" s="277"/>
      <c r="H895" s="277"/>
      <c r="I895" s="277"/>
      <c r="J895" s="277"/>
      <c r="K895" s="409"/>
      <c r="L895" s="477"/>
      <c r="M895" s="277"/>
      <c r="N895" s="277"/>
      <c r="O895" s="277"/>
      <c r="P895" s="277"/>
      <c r="Q895" s="277"/>
      <c r="R895" s="277"/>
      <c r="S895" s="277"/>
      <c r="T895" s="277"/>
      <c r="U895" s="277"/>
      <c r="V895" s="277"/>
      <c r="W895" s="277"/>
      <c r="X895" s="277"/>
      <c r="Y895" s="277"/>
      <c r="Z895" s="277"/>
    </row>
    <row r="896" ht="12.75" customHeight="1">
      <c r="A896" s="277"/>
      <c r="B896" s="278"/>
      <c r="C896" s="279"/>
      <c r="D896" s="277"/>
      <c r="E896" s="277"/>
      <c r="F896" s="277"/>
      <c r="G896" s="277"/>
      <c r="H896" s="277"/>
      <c r="I896" s="277"/>
      <c r="J896" s="277"/>
      <c r="K896" s="409"/>
      <c r="L896" s="477"/>
      <c r="M896" s="277"/>
      <c r="N896" s="277"/>
      <c r="O896" s="277"/>
      <c r="P896" s="277"/>
      <c r="Q896" s="277"/>
      <c r="R896" s="277"/>
      <c r="S896" s="277"/>
      <c r="T896" s="277"/>
      <c r="U896" s="277"/>
      <c r="V896" s="277"/>
      <c r="W896" s="277"/>
      <c r="X896" s="277"/>
      <c r="Y896" s="277"/>
      <c r="Z896" s="277"/>
    </row>
    <row r="897" ht="12.75" customHeight="1">
      <c r="A897" s="277"/>
      <c r="B897" s="278"/>
      <c r="C897" s="279"/>
      <c r="D897" s="277"/>
      <c r="E897" s="277"/>
      <c r="F897" s="277"/>
      <c r="G897" s="277"/>
      <c r="H897" s="277"/>
      <c r="I897" s="277"/>
      <c r="J897" s="277"/>
      <c r="K897" s="409"/>
      <c r="L897" s="477"/>
      <c r="M897" s="277"/>
      <c r="N897" s="277"/>
      <c r="O897" s="277"/>
      <c r="P897" s="277"/>
      <c r="Q897" s="277"/>
      <c r="R897" s="277"/>
      <c r="S897" s="277"/>
      <c r="T897" s="277"/>
      <c r="U897" s="277"/>
      <c r="V897" s="277"/>
      <c r="W897" s="277"/>
      <c r="X897" s="277"/>
      <c r="Y897" s="277"/>
      <c r="Z897" s="277"/>
    </row>
    <row r="898" ht="12.75" customHeight="1">
      <c r="A898" s="277"/>
      <c r="B898" s="278"/>
      <c r="C898" s="279"/>
      <c r="D898" s="277"/>
      <c r="E898" s="277"/>
      <c r="F898" s="277"/>
      <c r="G898" s="277"/>
      <c r="H898" s="277"/>
      <c r="I898" s="277"/>
      <c r="J898" s="277"/>
      <c r="K898" s="409"/>
      <c r="L898" s="477"/>
      <c r="M898" s="277"/>
      <c r="N898" s="277"/>
      <c r="O898" s="277"/>
      <c r="P898" s="277"/>
      <c r="Q898" s="277"/>
      <c r="R898" s="277"/>
      <c r="S898" s="277"/>
      <c r="T898" s="277"/>
      <c r="U898" s="277"/>
      <c r="V898" s="277"/>
      <c r="W898" s="277"/>
      <c r="X898" s="277"/>
      <c r="Y898" s="277"/>
      <c r="Z898" s="277"/>
    </row>
    <row r="899" ht="12.75" customHeight="1">
      <c r="A899" s="277"/>
      <c r="B899" s="278"/>
      <c r="C899" s="279"/>
      <c r="D899" s="277"/>
      <c r="E899" s="277"/>
      <c r="F899" s="277"/>
      <c r="G899" s="277"/>
      <c r="H899" s="277"/>
      <c r="I899" s="277"/>
      <c r="J899" s="277"/>
      <c r="K899" s="409"/>
      <c r="L899" s="477"/>
      <c r="M899" s="277"/>
      <c r="N899" s="277"/>
      <c r="O899" s="277"/>
      <c r="P899" s="277"/>
      <c r="Q899" s="277"/>
      <c r="R899" s="277"/>
      <c r="S899" s="277"/>
      <c r="T899" s="277"/>
      <c r="U899" s="277"/>
      <c r="V899" s="277"/>
      <c r="W899" s="277"/>
      <c r="X899" s="277"/>
      <c r="Y899" s="277"/>
      <c r="Z899" s="277"/>
    </row>
    <row r="900" ht="12.75" customHeight="1">
      <c r="A900" s="277"/>
      <c r="B900" s="278"/>
      <c r="C900" s="279"/>
      <c r="D900" s="277"/>
      <c r="E900" s="277"/>
      <c r="F900" s="277"/>
      <c r="G900" s="277"/>
      <c r="H900" s="277"/>
      <c r="I900" s="277"/>
      <c r="J900" s="277"/>
      <c r="K900" s="409"/>
      <c r="L900" s="477"/>
      <c r="M900" s="277"/>
      <c r="N900" s="277"/>
      <c r="O900" s="277"/>
      <c r="P900" s="277"/>
      <c r="Q900" s="277"/>
      <c r="R900" s="277"/>
      <c r="S900" s="277"/>
      <c r="T900" s="277"/>
      <c r="U900" s="277"/>
      <c r="V900" s="277"/>
      <c r="W900" s="277"/>
      <c r="X900" s="277"/>
      <c r="Y900" s="277"/>
      <c r="Z900" s="277"/>
    </row>
    <row r="901" ht="12.75" customHeight="1">
      <c r="A901" s="277"/>
      <c r="B901" s="278"/>
      <c r="C901" s="279"/>
      <c r="D901" s="277"/>
      <c r="E901" s="277"/>
      <c r="F901" s="277"/>
      <c r="G901" s="277"/>
      <c r="H901" s="277"/>
      <c r="I901" s="277"/>
      <c r="J901" s="277"/>
      <c r="K901" s="409"/>
      <c r="L901" s="477"/>
      <c r="M901" s="277"/>
      <c r="N901" s="277"/>
      <c r="O901" s="277"/>
      <c r="P901" s="277"/>
      <c r="Q901" s="277"/>
      <c r="R901" s="277"/>
      <c r="S901" s="277"/>
      <c r="T901" s="277"/>
      <c r="U901" s="277"/>
      <c r="V901" s="277"/>
      <c r="W901" s="277"/>
      <c r="X901" s="277"/>
      <c r="Y901" s="277"/>
      <c r="Z901" s="277"/>
    </row>
    <row r="902" ht="12.75" customHeight="1">
      <c r="A902" s="277"/>
      <c r="B902" s="278"/>
      <c r="C902" s="279"/>
      <c r="D902" s="277"/>
      <c r="E902" s="277"/>
      <c r="F902" s="277"/>
      <c r="G902" s="277"/>
      <c r="H902" s="277"/>
      <c r="I902" s="277"/>
      <c r="J902" s="277"/>
      <c r="K902" s="409"/>
      <c r="L902" s="477"/>
      <c r="M902" s="277"/>
      <c r="N902" s="277"/>
      <c r="O902" s="277"/>
      <c r="P902" s="277"/>
      <c r="Q902" s="277"/>
      <c r="R902" s="277"/>
      <c r="S902" s="277"/>
      <c r="T902" s="277"/>
      <c r="U902" s="277"/>
      <c r="V902" s="277"/>
      <c r="W902" s="277"/>
      <c r="X902" s="277"/>
      <c r="Y902" s="277"/>
      <c r="Z902" s="277"/>
    </row>
    <row r="903" ht="12.75" customHeight="1">
      <c r="A903" s="277"/>
      <c r="B903" s="278"/>
      <c r="C903" s="279"/>
      <c r="D903" s="277"/>
      <c r="E903" s="277"/>
      <c r="F903" s="277"/>
      <c r="G903" s="277"/>
      <c r="H903" s="277"/>
      <c r="I903" s="277"/>
      <c r="J903" s="277"/>
      <c r="K903" s="409"/>
      <c r="L903" s="477"/>
      <c r="M903" s="277"/>
      <c r="N903" s="277"/>
      <c r="O903" s="277"/>
      <c r="P903" s="277"/>
      <c r="Q903" s="277"/>
      <c r="R903" s="277"/>
      <c r="S903" s="277"/>
      <c r="T903" s="277"/>
      <c r="U903" s="277"/>
      <c r="V903" s="277"/>
      <c r="W903" s="277"/>
      <c r="X903" s="277"/>
      <c r="Y903" s="277"/>
      <c r="Z903" s="277"/>
    </row>
    <row r="904" ht="12.75" customHeight="1">
      <c r="A904" s="277"/>
      <c r="B904" s="278"/>
      <c r="C904" s="279"/>
      <c r="D904" s="277"/>
      <c r="E904" s="277"/>
      <c r="F904" s="277"/>
      <c r="G904" s="277"/>
      <c r="H904" s="277"/>
      <c r="I904" s="277"/>
      <c r="J904" s="277"/>
      <c r="K904" s="409"/>
      <c r="L904" s="477"/>
      <c r="M904" s="277"/>
      <c r="N904" s="277"/>
      <c r="O904" s="277"/>
      <c r="P904" s="277"/>
      <c r="Q904" s="277"/>
      <c r="R904" s="277"/>
      <c r="S904" s="277"/>
      <c r="T904" s="277"/>
      <c r="U904" s="277"/>
      <c r="V904" s="277"/>
      <c r="W904" s="277"/>
      <c r="X904" s="277"/>
      <c r="Y904" s="277"/>
      <c r="Z904" s="277"/>
    </row>
    <row r="905" ht="12.75" customHeight="1">
      <c r="A905" s="277"/>
      <c r="B905" s="278"/>
      <c r="C905" s="279"/>
      <c r="D905" s="277"/>
      <c r="E905" s="277"/>
      <c r="F905" s="277"/>
      <c r="G905" s="277"/>
      <c r="H905" s="277"/>
      <c r="I905" s="277"/>
      <c r="J905" s="277"/>
      <c r="K905" s="409"/>
      <c r="L905" s="477"/>
      <c r="M905" s="277"/>
      <c r="N905" s="277"/>
      <c r="O905" s="277"/>
      <c r="P905" s="277"/>
      <c r="Q905" s="277"/>
      <c r="R905" s="277"/>
      <c r="S905" s="277"/>
      <c r="T905" s="277"/>
      <c r="U905" s="277"/>
      <c r="V905" s="277"/>
      <c r="W905" s="277"/>
      <c r="X905" s="277"/>
      <c r="Y905" s="277"/>
      <c r="Z905" s="277"/>
    </row>
    <row r="906" ht="12.75" customHeight="1">
      <c r="A906" s="277"/>
      <c r="B906" s="278"/>
      <c r="C906" s="279"/>
      <c r="D906" s="277"/>
      <c r="E906" s="277"/>
      <c r="F906" s="277"/>
      <c r="G906" s="277"/>
      <c r="H906" s="277"/>
      <c r="I906" s="277"/>
      <c r="J906" s="277"/>
      <c r="K906" s="409"/>
      <c r="L906" s="477"/>
      <c r="M906" s="277"/>
      <c r="N906" s="277"/>
      <c r="O906" s="277"/>
      <c r="P906" s="277"/>
      <c r="Q906" s="277"/>
      <c r="R906" s="277"/>
      <c r="S906" s="277"/>
      <c r="T906" s="277"/>
      <c r="U906" s="277"/>
      <c r="V906" s="277"/>
      <c r="W906" s="277"/>
      <c r="X906" s="277"/>
      <c r="Y906" s="277"/>
      <c r="Z906" s="277"/>
    </row>
    <row r="907" ht="12.75" customHeight="1">
      <c r="A907" s="277"/>
      <c r="B907" s="278"/>
      <c r="C907" s="279"/>
      <c r="D907" s="277"/>
      <c r="E907" s="277"/>
      <c r="F907" s="277"/>
      <c r="G907" s="277"/>
      <c r="H907" s="277"/>
      <c r="I907" s="277"/>
      <c r="J907" s="277"/>
      <c r="K907" s="409"/>
      <c r="L907" s="477"/>
      <c r="M907" s="277"/>
      <c r="N907" s="277"/>
      <c r="O907" s="277"/>
      <c r="P907" s="277"/>
      <c r="Q907" s="277"/>
      <c r="R907" s="277"/>
      <c r="S907" s="277"/>
      <c r="T907" s="277"/>
      <c r="U907" s="277"/>
      <c r="V907" s="277"/>
      <c r="W907" s="277"/>
      <c r="X907" s="277"/>
      <c r="Y907" s="277"/>
      <c r="Z907" s="277"/>
    </row>
    <row r="908" ht="12.75" customHeight="1">
      <c r="A908" s="277"/>
      <c r="B908" s="278"/>
      <c r="C908" s="279"/>
      <c r="D908" s="277"/>
      <c r="E908" s="277"/>
      <c r="F908" s="277"/>
      <c r="G908" s="277"/>
      <c r="H908" s="277"/>
      <c r="I908" s="277"/>
      <c r="J908" s="277"/>
      <c r="K908" s="409"/>
      <c r="L908" s="477"/>
      <c r="M908" s="277"/>
      <c r="N908" s="277"/>
      <c r="O908" s="277"/>
      <c r="P908" s="277"/>
      <c r="Q908" s="277"/>
      <c r="R908" s="277"/>
      <c r="S908" s="277"/>
      <c r="T908" s="277"/>
      <c r="U908" s="277"/>
      <c r="V908" s="277"/>
      <c r="W908" s="277"/>
      <c r="X908" s="277"/>
      <c r="Y908" s="277"/>
      <c r="Z908" s="277"/>
    </row>
    <row r="909" ht="12.75" customHeight="1">
      <c r="A909" s="277"/>
      <c r="B909" s="278"/>
      <c r="C909" s="279"/>
      <c r="D909" s="277"/>
      <c r="E909" s="277"/>
      <c r="F909" s="277"/>
      <c r="G909" s="277"/>
      <c r="H909" s="277"/>
      <c r="I909" s="277"/>
      <c r="J909" s="277"/>
      <c r="K909" s="409"/>
      <c r="L909" s="477"/>
      <c r="M909" s="277"/>
      <c r="N909" s="277"/>
      <c r="O909" s="277"/>
      <c r="P909" s="277"/>
      <c r="Q909" s="277"/>
      <c r="R909" s="277"/>
      <c r="S909" s="277"/>
      <c r="T909" s="277"/>
      <c r="U909" s="277"/>
      <c r="V909" s="277"/>
      <c r="W909" s="277"/>
      <c r="X909" s="277"/>
      <c r="Y909" s="277"/>
      <c r="Z909" s="277"/>
    </row>
    <row r="910" ht="12.75" customHeight="1">
      <c r="A910" s="277"/>
      <c r="B910" s="278"/>
      <c r="C910" s="279"/>
      <c r="D910" s="277"/>
      <c r="E910" s="277"/>
      <c r="F910" s="277"/>
      <c r="G910" s="277"/>
      <c r="H910" s="277"/>
      <c r="I910" s="277"/>
      <c r="J910" s="277"/>
      <c r="K910" s="409"/>
      <c r="L910" s="477"/>
      <c r="M910" s="277"/>
      <c r="N910" s="277"/>
      <c r="O910" s="277"/>
      <c r="P910" s="277"/>
      <c r="Q910" s="277"/>
      <c r="R910" s="277"/>
      <c r="S910" s="277"/>
      <c r="T910" s="277"/>
      <c r="U910" s="277"/>
      <c r="V910" s="277"/>
      <c r="W910" s="277"/>
      <c r="X910" s="277"/>
      <c r="Y910" s="277"/>
      <c r="Z910" s="277"/>
    </row>
    <row r="911" ht="12.75" customHeight="1">
      <c r="A911" s="277"/>
      <c r="B911" s="278"/>
      <c r="C911" s="279"/>
      <c r="D911" s="277"/>
      <c r="E911" s="277"/>
      <c r="F911" s="277"/>
      <c r="G911" s="277"/>
      <c r="H911" s="277"/>
      <c r="I911" s="277"/>
      <c r="J911" s="277"/>
      <c r="K911" s="409"/>
      <c r="L911" s="477"/>
      <c r="M911" s="277"/>
      <c r="N911" s="277"/>
      <c r="O911" s="277"/>
      <c r="P911" s="277"/>
      <c r="Q911" s="277"/>
      <c r="R911" s="277"/>
      <c r="S911" s="277"/>
      <c r="T911" s="277"/>
      <c r="U911" s="277"/>
      <c r="V911" s="277"/>
      <c r="W911" s="277"/>
      <c r="X911" s="277"/>
      <c r="Y911" s="277"/>
      <c r="Z911" s="277"/>
    </row>
    <row r="912" ht="12.75" customHeight="1">
      <c r="A912" s="277"/>
      <c r="B912" s="278"/>
      <c r="C912" s="279"/>
      <c r="D912" s="277"/>
      <c r="E912" s="277"/>
      <c r="F912" s="277"/>
      <c r="G912" s="277"/>
      <c r="H912" s="277"/>
      <c r="I912" s="277"/>
      <c r="J912" s="277"/>
      <c r="K912" s="409"/>
      <c r="L912" s="477"/>
      <c r="M912" s="277"/>
      <c r="N912" s="277"/>
      <c r="O912" s="277"/>
      <c r="P912" s="277"/>
      <c r="Q912" s="277"/>
      <c r="R912" s="277"/>
      <c r="S912" s="277"/>
      <c r="T912" s="277"/>
      <c r="U912" s="277"/>
      <c r="V912" s="277"/>
      <c r="W912" s="277"/>
      <c r="X912" s="277"/>
      <c r="Y912" s="277"/>
      <c r="Z912" s="277"/>
    </row>
    <row r="913" ht="12.75" customHeight="1">
      <c r="A913" s="277"/>
      <c r="B913" s="278"/>
      <c r="C913" s="279"/>
      <c r="D913" s="277"/>
      <c r="E913" s="277"/>
      <c r="F913" s="277"/>
      <c r="G913" s="277"/>
      <c r="H913" s="277"/>
      <c r="I913" s="277"/>
      <c r="J913" s="277"/>
      <c r="K913" s="409"/>
      <c r="L913" s="477"/>
      <c r="M913" s="277"/>
      <c r="N913" s="277"/>
      <c r="O913" s="277"/>
      <c r="P913" s="277"/>
      <c r="Q913" s="277"/>
      <c r="R913" s="277"/>
      <c r="S913" s="277"/>
      <c r="T913" s="277"/>
      <c r="U913" s="277"/>
      <c r="V913" s="277"/>
      <c r="W913" s="277"/>
      <c r="X913" s="277"/>
      <c r="Y913" s="277"/>
      <c r="Z913" s="277"/>
    </row>
    <row r="914" ht="12.75" customHeight="1">
      <c r="A914" s="277"/>
      <c r="B914" s="278"/>
      <c r="C914" s="279"/>
      <c r="D914" s="277"/>
      <c r="E914" s="277"/>
      <c r="F914" s="277"/>
      <c r="G914" s="277"/>
      <c r="H914" s="277"/>
      <c r="I914" s="277"/>
      <c r="J914" s="277"/>
      <c r="K914" s="409"/>
      <c r="L914" s="477"/>
      <c r="M914" s="277"/>
      <c r="N914" s="277"/>
      <c r="O914" s="277"/>
      <c r="P914" s="277"/>
      <c r="Q914" s="277"/>
      <c r="R914" s="277"/>
      <c r="S914" s="277"/>
      <c r="T914" s="277"/>
      <c r="U914" s="277"/>
      <c r="V914" s="277"/>
      <c r="W914" s="277"/>
      <c r="X914" s="277"/>
      <c r="Y914" s="277"/>
      <c r="Z914" s="277"/>
    </row>
    <row r="915" ht="12.75" customHeight="1">
      <c r="A915" s="277"/>
      <c r="B915" s="278"/>
      <c r="C915" s="279"/>
      <c r="D915" s="277"/>
      <c r="E915" s="277"/>
      <c r="F915" s="277"/>
      <c r="G915" s="277"/>
      <c r="H915" s="277"/>
      <c r="I915" s="277"/>
      <c r="J915" s="277"/>
      <c r="K915" s="409"/>
      <c r="L915" s="477"/>
      <c r="M915" s="277"/>
      <c r="N915" s="277"/>
      <c r="O915" s="277"/>
      <c r="P915" s="277"/>
      <c r="Q915" s="277"/>
      <c r="R915" s="277"/>
      <c r="S915" s="277"/>
      <c r="T915" s="277"/>
      <c r="U915" s="277"/>
      <c r="V915" s="277"/>
      <c r="W915" s="277"/>
      <c r="X915" s="277"/>
      <c r="Y915" s="277"/>
      <c r="Z915" s="277"/>
    </row>
    <row r="916" ht="12.75" customHeight="1">
      <c r="A916" s="277"/>
      <c r="B916" s="278"/>
      <c r="C916" s="279"/>
      <c r="D916" s="277"/>
      <c r="E916" s="277"/>
      <c r="F916" s="277"/>
      <c r="G916" s="277"/>
      <c r="H916" s="277"/>
      <c r="I916" s="277"/>
      <c r="J916" s="277"/>
      <c r="K916" s="409"/>
      <c r="L916" s="477"/>
      <c r="M916" s="277"/>
      <c r="N916" s="277"/>
      <c r="O916" s="277"/>
      <c r="P916" s="277"/>
      <c r="Q916" s="277"/>
      <c r="R916" s="277"/>
      <c r="S916" s="277"/>
      <c r="T916" s="277"/>
      <c r="U916" s="277"/>
      <c r="V916" s="277"/>
      <c r="W916" s="277"/>
      <c r="X916" s="277"/>
      <c r="Y916" s="277"/>
      <c r="Z916" s="277"/>
    </row>
    <row r="917" ht="12.75" customHeight="1">
      <c r="A917" s="277"/>
      <c r="B917" s="278"/>
      <c r="C917" s="279"/>
      <c r="D917" s="277"/>
      <c r="E917" s="277"/>
      <c r="F917" s="277"/>
      <c r="G917" s="277"/>
      <c r="H917" s="277"/>
      <c r="I917" s="277"/>
      <c r="J917" s="277"/>
      <c r="K917" s="409"/>
      <c r="L917" s="477"/>
      <c r="M917" s="277"/>
      <c r="N917" s="277"/>
      <c r="O917" s="277"/>
      <c r="P917" s="277"/>
      <c r="Q917" s="277"/>
      <c r="R917" s="277"/>
      <c r="S917" s="277"/>
      <c r="T917" s="277"/>
      <c r="U917" s="277"/>
      <c r="V917" s="277"/>
      <c r="W917" s="277"/>
      <c r="X917" s="277"/>
      <c r="Y917" s="277"/>
      <c r="Z917" s="277"/>
    </row>
    <row r="918" ht="12.75" customHeight="1">
      <c r="A918" s="277"/>
      <c r="B918" s="278"/>
      <c r="C918" s="279"/>
      <c r="D918" s="277"/>
      <c r="E918" s="277"/>
      <c r="F918" s="277"/>
      <c r="G918" s="277"/>
      <c r="H918" s="277"/>
      <c r="I918" s="277"/>
      <c r="J918" s="277"/>
      <c r="K918" s="409"/>
      <c r="L918" s="477"/>
      <c r="M918" s="277"/>
      <c r="N918" s="277"/>
      <c r="O918" s="277"/>
      <c r="P918" s="277"/>
      <c r="Q918" s="277"/>
      <c r="R918" s="277"/>
      <c r="S918" s="277"/>
      <c r="T918" s="277"/>
      <c r="U918" s="277"/>
      <c r="V918" s="277"/>
      <c r="W918" s="277"/>
      <c r="X918" s="277"/>
      <c r="Y918" s="277"/>
      <c r="Z918" s="277"/>
    </row>
    <row r="919" ht="12.75" customHeight="1">
      <c r="A919" s="277"/>
      <c r="B919" s="278"/>
      <c r="C919" s="279"/>
      <c r="D919" s="277"/>
      <c r="E919" s="277"/>
      <c r="F919" s="277"/>
      <c r="G919" s="277"/>
      <c r="H919" s="277"/>
      <c r="I919" s="277"/>
      <c r="J919" s="277"/>
      <c r="K919" s="409"/>
      <c r="L919" s="477"/>
      <c r="M919" s="277"/>
      <c r="N919" s="277"/>
      <c r="O919" s="277"/>
      <c r="P919" s="277"/>
      <c r="Q919" s="277"/>
      <c r="R919" s="277"/>
      <c r="S919" s="277"/>
      <c r="T919" s="277"/>
      <c r="U919" s="277"/>
      <c r="V919" s="277"/>
      <c r="W919" s="277"/>
      <c r="X919" s="277"/>
      <c r="Y919" s="277"/>
      <c r="Z919" s="277"/>
    </row>
    <row r="920" ht="12.75" customHeight="1">
      <c r="A920" s="277"/>
      <c r="B920" s="278"/>
      <c r="C920" s="279"/>
      <c r="D920" s="277"/>
      <c r="E920" s="277"/>
      <c r="F920" s="277"/>
      <c r="G920" s="277"/>
      <c r="H920" s="277"/>
      <c r="I920" s="277"/>
      <c r="J920" s="277"/>
      <c r="K920" s="409"/>
      <c r="L920" s="477"/>
      <c r="M920" s="277"/>
      <c r="N920" s="277"/>
      <c r="O920" s="277"/>
      <c r="P920" s="277"/>
      <c r="Q920" s="277"/>
      <c r="R920" s="277"/>
      <c r="S920" s="277"/>
      <c r="T920" s="277"/>
      <c r="U920" s="277"/>
      <c r="V920" s="277"/>
      <c r="W920" s="277"/>
      <c r="X920" s="277"/>
      <c r="Y920" s="277"/>
      <c r="Z920" s="277"/>
    </row>
    <row r="921" ht="12.75" customHeight="1">
      <c r="A921" s="277"/>
      <c r="B921" s="278"/>
      <c r="C921" s="279"/>
      <c r="D921" s="277"/>
      <c r="E921" s="277"/>
      <c r="F921" s="277"/>
      <c r="G921" s="277"/>
      <c r="H921" s="277"/>
      <c r="I921" s="277"/>
      <c r="J921" s="277"/>
      <c r="K921" s="409"/>
      <c r="L921" s="477"/>
      <c r="M921" s="277"/>
      <c r="N921" s="277"/>
      <c r="O921" s="277"/>
      <c r="P921" s="277"/>
      <c r="Q921" s="277"/>
      <c r="R921" s="277"/>
      <c r="S921" s="277"/>
      <c r="T921" s="277"/>
      <c r="U921" s="277"/>
      <c r="V921" s="277"/>
      <c r="W921" s="277"/>
      <c r="X921" s="277"/>
      <c r="Y921" s="277"/>
      <c r="Z921" s="277"/>
    </row>
    <row r="922" ht="12.75" customHeight="1">
      <c r="A922" s="277"/>
      <c r="B922" s="278"/>
      <c r="C922" s="279"/>
      <c r="D922" s="277"/>
      <c r="E922" s="277"/>
      <c r="F922" s="277"/>
      <c r="G922" s="277"/>
      <c r="H922" s="277"/>
      <c r="I922" s="277"/>
      <c r="J922" s="277"/>
      <c r="K922" s="409"/>
      <c r="L922" s="477"/>
      <c r="M922" s="277"/>
      <c r="N922" s="277"/>
      <c r="O922" s="277"/>
      <c r="P922" s="277"/>
      <c r="Q922" s="277"/>
      <c r="R922" s="277"/>
      <c r="S922" s="277"/>
      <c r="T922" s="277"/>
      <c r="U922" s="277"/>
      <c r="V922" s="277"/>
      <c r="W922" s="277"/>
      <c r="X922" s="277"/>
      <c r="Y922" s="277"/>
      <c r="Z922" s="277"/>
    </row>
    <row r="923" ht="12.75" customHeight="1">
      <c r="A923" s="277"/>
      <c r="B923" s="278"/>
      <c r="C923" s="279"/>
      <c r="D923" s="277"/>
      <c r="E923" s="277"/>
      <c r="F923" s="277"/>
      <c r="G923" s="277"/>
      <c r="H923" s="277"/>
      <c r="I923" s="277"/>
      <c r="J923" s="277"/>
      <c r="K923" s="409"/>
      <c r="L923" s="477"/>
      <c r="M923" s="277"/>
      <c r="N923" s="277"/>
      <c r="O923" s="277"/>
      <c r="P923" s="277"/>
      <c r="Q923" s="277"/>
      <c r="R923" s="277"/>
      <c r="S923" s="277"/>
      <c r="T923" s="277"/>
      <c r="U923" s="277"/>
      <c r="V923" s="277"/>
      <c r="W923" s="277"/>
      <c r="X923" s="277"/>
      <c r="Y923" s="277"/>
      <c r="Z923" s="277"/>
    </row>
    <row r="924" ht="12.75" customHeight="1">
      <c r="A924" s="277"/>
      <c r="B924" s="278"/>
      <c r="C924" s="279"/>
      <c r="D924" s="277"/>
      <c r="E924" s="277"/>
      <c r="F924" s="277"/>
      <c r="G924" s="277"/>
      <c r="H924" s="277"/>
      <c r="I924" s="277"/>
      <c r="J924" s="277"/>
      <c r="K924" s="409"/>
      <c r="L924" s="477"/>
      <c r="M924" s="277"/>
      <c r="N924" s="277"/>
      <c r="O924" s="277"/>
      <c r="P924" s="277"/>
      <c r="Q924" s="277"/>
      <c r="R924" s="277"/>
      <c r="S924" s="277"/>
      <c r="T924" s="277"/>
      <c r="U924" s="277"/>
      <c r="V924" s="277"/>
      <c r="W924" s="277"/>
      <c r="X924" s="277"/>
      <c r="Y924" s="277"/>
      <c r="Z924" s="277"/>
    </row>
    <row r="925" ht="12.75" customHeight="1">
      <c r="A925" s="277"/>
      <c r="B925" s="278"/>
      <c r="C925" s="279"/>
      <c r="D925" s="277"/>
      <c r="E925" s="277"/>
      <c r="F925" s="277"/>
      <c r="G925" s="277"/>
      <c r="H925" s="277"/>
      <c r="I925" s="277"/>
      <c r="J925" s="277"/>
      <c r="K925" s="409"/>
      <c r="L925" s="477"/>
      <c r="M925" s="277"/>
      <c r="N925" s="277"/>
      <c r="O925" s="277"/>
      <c r="P925" s="277"/>
      <c r="Q925" s="277"/>
      <c r="R925" s="277"/>
      <c r="S925" s="277"/>
      <c r="T925" s="277"/>
      <c r="U925" s="277"/>
      <c r="V925" s="277"/>
      <c r="W925" s="277"/>
      <c r="X925" s="277"/>
      <c r="Y925" s="277"/>
      <c r="Z925" s="277"/>
    </row>
    <row r="926" ht="12.75" customHeight="1">
      <c r="A926" s="277"/>
      <c r="B926" s="278"/>
      <c r="C926" s="279"/>
      <c r="D926" s="277"/>
      <c r="E926" s="277"/>
      <c r="F926" s="277"/>
      <c r="G926" s="277"/>
      <c r="H926" s="277"/>
      <c r="I926" s="277"/>
      <c r="J926" s="277"/>
      <c r="K926" s="409"/>
      <c r="L926" s="477"/>
      <c r="M926" s="277"/>
      <c r="N926" s="277"/>
      <c r="O926" s="277"/>
      <c r="P926" s="277"/>
      <c r="Q926" s="277"/>
      <c r="R926" s="277"/>
      <c r="S926" s="277"/>
      <c r="T926" s="277"/>
      <c r="U926" s="277"/>
      <c r="V926" s="277"/>
      <c r="W926" s="277"/>
      <c r="X926" s="277"/>
      <c r="Y926" s="277"/>
      <c r="Z926" s="277"/>
    </row>
    <row r="927" ht="12.75" customHeight="1">
      <c r="A927" s="277"/>
      <c r="B927" s="278"/>
      <c r="C927" s="279"/>
      <c r="D927" s="277"/>
      <c r="E927" s="277"/>
      <c r="F927" s="277"/>
      <c r="G927" s="277"/>
      <c r="H927" s="277"/>
      <c r="I927" s="277"/>
      <c r="J927" s="277"/>
      <c r="K927" s="409"/>
      <c r="L927" s="477"/>
      <c r="M927" s="277"/>
      <c r="N927" s="277"/>
      <c r="O927" s="277"/>
      <c r="P927" s="277"/>
      <c r="Q927" s="277"/>
      <c r="R927" s="277"/>
      <c r="S927" s="277"/>
      <c r="T927" s="277"/>
      <c r="U927" s="277"/>
      <c r="V927" s="277"/>
      <c r="W927" s="277"/>
      <c r="X927" s="277"/>
      <c r="Y927" s="277"/>
      <c r="Z927" s="277"/>
    </row>
    <row r="928" ht="12.75" customHeight="1">
      <c r="A928" s="277"/>
      <c r="B928" s="278"/>
      <c r="C928" s="279"/>
      <c r="D928" s="277"/>
      <c r="E928" s="277"/>
      <c r="F928" s="277"/>
      <c r="G928" s="277"/>
      <c r="H928" s="277"/>
      <c r="I928" s="277"/>
      <c r="J928" s="277"/>
      <c r="K928" s="409"/>
      <c r="L928" s="477"/>
      <c r="M928" s="277"/>
      <c r="N928" s="277"/>
      <c r="O928" s="277"/>
      <c r="P928" s="277"/>
      <c r="Q928" s="277"/>
      <c r="R928" s="277"/>
      <c r="S928" s="277"/>
      <c r="T928" s="277"/>
      <c r="U928" s="277"/>
      <c r="V928" s="277"/>
      <c r="W928" s="277"/>
      <c r="X928" s="277"/>
      <c r="Y928" s="277"/>
      <c r="Z928" s="277"/>
    </row>
    <row r="929" ht="12.75" customHeight="1">
      <c r="A929" s="277"/>
      <c r="B929" s="278"/>
      <c r="C929" s="279"/>
      <c r="D929" s="277"/>
      <c r="E929" s="277"/>
      <c r="F929" s="277"/>
      <c r="G929" s="277"/>
      <c r="H929" s="277"/>
      <c r="I929" s="277"/>
      <c r="J929" s="277"/>
      <c r="K929" s="409"/>
      <c r="L929" s="477"/>
      <c r="M929" s="277"/>
      <c r="N929" s="277"/>
      <c r="O929" s="277"/>
      <c r="P929" s="277"/>
      <c r="Q929" s="277"/>
      <c r="R929" s="277"/>
      <c r="S929" s="277"/>
      <c r="T929" s="277"/>
      <c r="U929" s="277"/>
      <c r="V929" s="277"/>
      <c r="W929" s="277"/>
      <c r="X929" s="277"/>
      <c r="Y929" s="277"/>
      <c r="Z929" s="277"/>
    </row>
    <row r="930" ht="12.75" customHeight="1">
      <c r="A930" s="277"/>
      <c r="B930" s="278"/>
      <c r="C930" s="279"/>
      <c r="D930" s="277"/>
      <c r="E930" s="277"/>
      <c r="F930" s="277"/>
      <c r="G930" s="277"/>
      <c r="H930" s="277"/>
      <c r="I930" s="277"/>
      <c r="J930" s="277"/>
      <c r="K930" s="409"/>
      <c r="L930" s="477"/>
      <c r="M930" s="277"/>
      <c r="N930" s="277"/>
      <c r="O930" s="277"/>
      <c r="P930" s="277"/>
      <c r="Q930" s="277"/>
      <c r="R930" s="277"/>
      <c r="S930" s="277"/>
      <c r="T930" s="277"/>
      <c r="U930" s="277"/>
      <c r="V930" s="277"/>
      <c r="W930" s="277"/>
      <c r="X930" s="277"/>
      <c r="Y930" s="277"/>
      <c r="Z930" s="277"/>
    </row>
    <row r="931" ht="12.75" customHeight="1">
      <c r="A931" s="277"/>
      <c r="B931" s="278"/>
      <c r="C931" s="279"/>
      <c r="D931" s="277"/>
      <c r="E931" s="277"/>
      <c r="F931" s="277"/>
      <c r="G931" s="277"/>
      <c r="H931" s="277"/>
      <c r="I931" s="277"/>
      <c r="J931" s="277"/>
      <c r="K931" s="409"/>
      <c r="L931" s="477"/>
      <c r="M931" s="277"/>
      <c r="N931" s="277"/>
      <c r="O931" s="277"/>
      <c r="P931" s="277"/>
      <c r="Q931" s="277"/>
      <c r="R931" s="277"/>
      <c r="S931" s="277"/>
      <c r="T931" s="277"/>
      <c r="U931" s="277"/>
      <c r="V931" s="277"/>
      <c r="W931" s="277"/>
      <c r="X931" s="277"/>
      <c r="Y931" s="277"/>
      <c r="Z931" s="277"/>
    </row>
    <row r="932" ht="12.75" customHeight="1">
      <c r="A932" s="277"/>
      <c r="B932" s="278"/>
      <c r="C932" s="279"/>
      <c r="D932" s="277"/>
      <c r="E932" s="277"/>
      <c r="F932" s="277"/>
      <c r="G932" s="277"/>
      <c r="H932" s="277"/>
      <c r="I932" s="277"/>
      <c r="J932" s="277"/>
      <c r="K932" s="409"/>
      <c r="L932" s="477"/>
      <c r="M932" s="277"/>
      <c r="N932" s="277"/>
      <c r="O932" s="277"/>
      <c r="P932" s="277"/>
      <c r="Q932" s="277"/>
      <c r="R932" s="277"/>
      <c r="S932" s="277"/>
      <c r="T932" s="277"/>
      <c r="U932" s="277"/>
      <c r="V932" s="277"/>
      <c r="W932" s="277"/>
      <c r="X932" s="277"/>
      <c r="Y932" s="277"/>
      <c r="Z932" s="277"/>
    </row>
    <row r="933" ht="12.75" customHeight="1">
      <c r="A933" s="277"/>
      <c r="B933" s="278"/>
      <c r="C933" s="279"/>
      <c r="D933" s="277"/>
      <c r="E933" s="277"/>
      <c r="F933" s="277"/>
      <c r="G933" s="277"/>
      <c r="H933" s="277"/>
      <c r="I933" s="277"/>
      <c r="J933" s="277"/>
      <c r="K933" s="409"/>
      <c r="L933" s="477"/>
      <c r="M933" s="277"/>
      <c r="N933" s="277"/>
      <c r="O933" s="277"/>
      <c r="P933" s="277"/>
      <c r="Q933" s="277"/>
      <c r="R933" s="277"/>
      <c r="S933" s="277"/>
      <c r="T933" s="277"/>
      <c r="U933" s="277"/>
      <c r="V933" s="277"/>
      <c r="W933" s="277"/>
      <c r="X933" s="277"/>
      <c r="Y933" s="277"/>
      <c r="Z933" s="277"/>
    </row>
    <row r="934" ht="12.75" customHeight="1">
      <c r="A934" s="277"/>
      <c r="B934" s="278"/>
      <c r="C934" s="279"/>
      <c r="D934" s="277"/>
      <c r="E934" s="277"/>
      <c r="F934" s="277"/>
      <c r="G934" s="277"/>
      <c r="H934" s="277"/>
      <c r="I934" s="277"/>
      <c r="J934" s="277"/>
      <c r="K934" s="409"/>
      <c r="L934" s="477"/>
      <c r="M934" s="277"/>
      <c r="N934" s="277"/>
      <c r="O934" s="277"/>
      <c r="P934" s="277"/>
      <c r="Q934" s="277"/>
      <c r="R934" s="277"/>
      <c r="S934" s="277"/>
      <c r="T934" s="277"/>
      <c r="U934" s="277"/>
      <c r="V934" s="277"/>
      <c r="W934" s="277"/>
      <c r="X934" s="277"/>
      <c r="Y934" s="277"/>
      <c r="Z934" s="277"/>
    </row>
    <row r="935" ht="12.75" customHeight="1">
      <c r="A935" s="277"/>
      <c r="B935" s="278"/>
      <c r="C935" s="279"/>
      <c r="D935" s="277"/>
      <c r="E935" s="277"/>
      <c r="F935" s="277"/>
      <c r="G935" s="277"/>
      <c r="H935" s="277"/>
      <c r="I935" s="277"/>
      <c r="J935" s="277"/>
      <c r="K935" s="409"/>
      <c r="L935" s="477"/>
      <c r="M935" s="277"/>
      <c r="N935" s="277"/>
      <c r="O935" s="277"/>
      <c r="P935" s="277"/>
      <c r="Q935" s="277"/>
      <c r="R935" s="277"/>
      <c r="S935" s="277"/>
      <c r="T935" s="277"/>
      <c r="U935" s="277"/>
      <c r="V935" s="277"/>
      <c r="W935" s="277"/>
      <c r="X935" s="277"/>
      <c r="Y935" s="277"/>
      <c r="Z935" s="277"/>
    </row>
    <row r="936" ht="12.75" customHeight="1">
      <c r="A936" s="277"/>
      <c r="B936" s="278"/>
      <c r="C936" s="279"/>
      <c r="D936" s="277"/>
      <c r="E936" s="277"/>
      <c r="F936" s="277"/>
      <c r="G936" s="277"/>
      <c r="H936" s="277"/>
      <c r="I936" s="277"/>
      <c r="J936" s="277"/>
      <c r="K936" s="409"/>
      <c r="L936" s="477"/>
      <c r="M936" s="277"/>
      <c r="N936" s="277"/>
      <c r="O936" s="277"/>
      <c r="P936" s="277"/>
      <c r="Q936" s="277"/>
      <c r="R936" s="277"/>
      <c r="S936" s="277"/>
      <c r="T936" s="277"/>
      <c r="U936" s="277"/>
      <c r="V936" s="277"/>
      <c r="W936" s="277"/>
      <c r="X936" s="277"/>
      <c r="Y936" s="277"/>
      <c r="Z936" s="277"/>
    </row>
    <row r="937" ht="12.75" customHeight="1">
      <c r="A937" s="277"/>
      <c r="B937" s="278"/>
      <c r="C937" s="279"/>
      <c r="D937" s="277"/>
      <c r="E937" s="277"/>
      <c r="F937" s="277"/>
      <c r="G937" s="277"/>
      <c r="H937" s="277"/>
      <c r="I937" s="277"/>
      <c r="J937" s="277"/>
      <c r="K937" s="409"/>
      <c r="L937" s="477"/>
      <c r="M937" s="277"/>
      <c r="N937" s="277"/>
      <c r="O937" s="277"/>
      <c r="P937" s="277"/>
      <c r="Q937" s="277"/>
      <c r="R937" s="277"/>
      <c r="S937" s="277"/>
      <c r="T937" s="277"/>
      <c r="U937" s="277"/>
      <c r="V937" s="277"/>
      <c r="W937" s="277"/>
      <c r="X937" s="277"/>
      <c r="Y937" s="277"/>
      <c r="Z937" s="277"/>
    </row>
    <row r="938" ht="12.75" customHeight="1">
      <c r="A938" s="277"/>
      <c r="B938" s="278"/>
      <c r="C938" s="279"/>
      <c r="D938" s="277"/>
      <c r="E938" s="277"/>
      <c r="F938" s="277"/>
      <c r="G938" s="277"/>
      <c r="H938" s="277"/>
      <c r="I938" s="277"/>
      <c r="J938" s="277"/>
      <c r="K938" s="409"/>
      <c r="L938" s="477"/>
      <c r="M938" s="277"/>
      <c r="N938" s="277"/>
      <c r="O938" s="277"/>
      <c r="P938" s="277"/>
      <c r="Q938" s="277"/>
      <c r="R938" s="277"/>
      <c r="S938" s="277"/>
      <c r="T938" s="277"/>
      <c r="U938" s="277"/>
      <c r="V938" s="277"/>
      <c r="W938" s="277"/>
      <c r="X938" s="277"/>
      <c r="Y938" s="277"/>
      <c r="Z938" s="277"/>
    </row>
    <row r="939" ht="12.75" customHeight="1">
      <c r="A939" s="277"/>
      <c r="B939" s="278"/>
      <c r="C939" s="279"/>
      <c r="D939" s="277"/>
      <c r="E939" s="277"/>
      <c r="F939" s="277"/>
      <c r="G939" s="277"/>
      <c r="H939" s="277"/>
      <c r="I939" s="277"/>
      <c r="J939" s="277"/>
      <c r="K939" s="409"/>
      <c r="L939" s="477"/>
      <c r="M939" s="277"/>
      <c r="N939" s="277"/>
      <c r="O939" s="277"/>
      <c r="P939" s="277"/>
      <c r="Q939" s="277"/>
      <c r="R939" s="277"/>
      <c r="S939" s="277"/>
      <c r="T939" s="277"/>
      <c r="U939" s="277"/>
      <c r="V939" s="277"/>
      <c r="W939" s="277"/>
      <c r="X939" s="277"/>
      <c r="Y939" s="277"/>
      <c r="Z939" s="277"/>
    </row>
    <row r="940" ht="12.75" customHeight="1">
      <c r="A940" s="277"/>
      <c r="B940" s="278"/>
      <c r="C940" s="279"/>
      <c r="D940" s="277"/>
      <c r="E940" s="277"/>
      <c r="F940" s="277"/>
      <c r="G940" s="277"/>
      <c r="H940" s="277"/>
      <c r="I940" s="277"/>
      <c r="J940" s="277"/>
      <c r="K940" s="409"/>
      <c r="L940" s="477"/>
      <c r="M940" s="277"/>
      <c r="N940" s="277"/>
      <c r="O940" s="277"/>
      <c r="P940" s="277"/>
      <c r="Q940" s="277"/>
      <c r="R940" s="277"/>
      <c r="S940" s="277"/>
      <c r="T940" s="277"/>
      <c r="U940" s="277"/>
      <c r="V940" s="277"/>
      <c r="W940" s="277"/>
      <c r="X940" s="277"/>
      <c r="Y940" s="277"/>
      <c r="Z940" s="277"/>
    </row>
    <row r="941" ht="12.75" customHeight="1">
      <c r="A941" s="277"/>
      <c r="B941" s="278"/>
      <c r="C941" s="279"/>
      <c r="D941" s="277"/>
      <c r="E941" s="277"/>
      <c r="F941" s="277"/>
      <c r="G941" s="277"/>
      <c r="H941" s="277"/>
      <c r="I941" s="277"/>
      <c r="J941" s="277"/>
      <c r="K941" s="409"/>
      <c r="L941" s="477"/>
      <c r="M941" s="277"/>
      <c r="N941" s="277"/>
      <c r="O941" s="277"/>
      <c r="P941" s="277"/>
      <c r="Q941" s="277"/>
      <c r="R941" s="277"/>
      <c r="S941" s="277"/>
      <c r="T941" s="277"/>
      <c r="U941" s="277"/>
      <c r="V941" s="277"/>
      <c r="W941" s="277"/>
      <c r="X941" s="277"/>
      <c r="Y941" s="277"/>
      <c r="Z941" s="277"/>
    </row>
    <row r="942" ht="12.75" customHeight="1">
      <c r="A942" s="277"/>
      <c r="B942" s="278"/>
      <c r="C942" s="279"/>
      <c r="D942" s="277"/>
      <c r="E942" s="277"/>
      <c r="F942" s="277"/>
      <c r="G942" s="277"/>
      <c r="H942" s="277"/>
      <c r="I942" s="277"/>
      <c r="J942" s="277"/>
      <c r="K942" s="409"/>
      <c r="L942" s="477"/>
      <c r="M942" s="277"/>
      <c r="N942" s="277"/>
      <c r="O942" s="277"/>
      <c r="P942" s="277"/>
      <c r="Q942" s="277"/>
      <c r="R942" s="277"/>
      <c r="S942" s="277"/>
      <c r="T942" s="277"/>
      <c r="U942" s="277"/>
      <c r="V942" s="277"/>
      <c r="W942" s="277"/>
      <c r="X942" s="277"/>
      <c r="Y942" s="277"/>
      <c r="Z942" s="277"/>
    </row>
    <row r="943" ht="12.75" customHeight="1">
      <c r="A943" s="277"/>
      <c r="B943" s="278"/>
      <c r="C943" s="279"/>
      <c r="D943" s="277"/>
      <c r="E943" s="277"/>
      <c r="F943" s="277"/>
      <c r="G943" s="277"/>
      <c r="H943" s="277"/>
      <c r="I943" s="277"/>
      <c r="J943" s="277"/>
      <c r="K943" s="409"/>
      <c r="L943" s="477"/>
      <c r="M943" s="277"/>
      <c r="N943" s="277"/>
      <c r="O943" s="277"/>
      <c r="P943" s="277"/>
      <c r="Q943" s="277"/>
      <c r="R943" s="277"/>
      <c r="S943" s="277"/>
      <c r="T943" s="277"/>
      <c r="U943" s="277"/>
      <c r="V943" s="277"/>
      <c r="W943" s="277"/>
      <c r="X943" s="277"/>
      <c r="Y943" s="277"/>
      <c r="Z943" s="277"/>
    </row>
    <row r="944" ht="12.75" customHeight="1">
      <c r="A944" s="277"/>
      <c r="B944" s="278"/>
      <c r="C944" s="279"/>
      <c r="D944" s="277"/>
      <c r="E944" s="277"/>
      <c r="F944" s="277"/>
      <c r="G944" s="277"/>
      <c r="H944" s="277"/>
      <c r="I944" s="277"/>
      <c r="J944" s="277"/>
      <c r="K944" s="409"/>
      <c r="L944" s="477"/>
      <c r="M944" s="277"/>
      <c r="N944" s="277"/>
      <c r="O944" s="277"/>
      <c r="P944" s="277"/>
      <c r="Q944" s="277"/>
      <c r="R944" s="277"/>
      <c r="S944" s="277"/>
      <c r="T944" s="277"/>
      <c r="U944" s="277"/>
      <c r="V944" s="277"/>
      <c r="W944" s="277"/>
      <c r="X944" s="277"/>
      <c r="Y944" s="277"/>
      <c r="Z944" s="277"/>
    </row>
    <row r="945" ht="12.75" customHeight="1">
      <c r="A945" s="277"/>
      <c r="B945" s="278"/>
      <c r="C945" s="279"/>
      <c r="D945" s="277"/>
      <c r="E945" s="277"/>
      <c r="F945" s="277"/>
      <c r="G945" s="277"/>
      <c r="H945" s="277"/>
      <c r="I945" s="277"/>
      <c r="J945" s="277"/>
      <c r="K945" s="409"/>
      <c r="L945" s="477"/>
      <c r="M945" s="277"/>
      <c r="N945" s="277"/>
      <c r="O945" s="277"/>
      <c r="P945" s="277"/>
      <c r="Q945" s="277"/>
      <c r="R945" s="277"/>
      <c r="S945" s="277"/>
      <c r="T945" s="277"/>
      <c r="U945" s="277"/>
      <c r="V945" s="277"/>
      <c r="W945" s="277"/>
      <c r="X945" s="277"/>
      <c r="Y945" s="277"/>
      <c r="Z945" s="277"/>
    </row>
    <row r="946" ht="12.75" customHeight="1">
      <c r="A946" s="277"/>
      <c r="B946" s="278"/>
      <c r="C946" s="279"/>
      <c r="D946" s="277"/>
      <c r="E946" s="277"/>
      <c r="F946" s="277"/>
      <c r="G946" s="277"/>
      <c r="H946" s="277"/>
      <c r="I946" s="277"/>
      <c r="J946" s="277"/>
      <c r="K946" s="409"/>
      <c r="L946" s="477"/>
      <c r="M946" s="277"/>
      <c r="N946" s="277"/>
      <c r="O946" s="277"/>
      <c r="P946" s="277"/>
      <c r="Q946" s="277"/>
      <c r="R946" s="277"/>
      <c r="S946" s="277"/>
      <c r="T946" s="277"/>
      <c r="U946" s="277"/>
      <c r="V946" s="277"/>
      <c r="W946" s="277"/>
      <c r="X946" s="277"/>
      <c r="Y946" s="277"/>
      <c r="Z946" s="277"/>
    </row>
    <row r="947" ht="12.75" customHeight="1">
      <c r="A947" s="277"/>
      <c r="B947" s="278"/>
      <c r="C947" s="279"/>
      <c r="D947" s="277"/>
      <c r="E947" s="277"/>
      <c r="F947" s="277"/>
      <c r="G947" s="277"/>
      <c r="H947" s="277"/>
      <c r="I947" s="277"/>
      <c r="J947" s="277"/>
      <c r="K947" s="409"/>
      <c r="L947" s="477"/>
      <c r="M947" s="277"/>
      <c r="N947" s="277"/>
      <c r="O947" s="277"/>
      <c r="P947" s="277"/>
      <c r="Q947" s="277"/>
      <c r="R947" s="277"/>
      <c r="S947" s="277"/>
      <c r="T947" s="277"/>
      <c r="U947" s="277"/>
      <c r="V947" s="277"/>
      <c r="W947" s="277"/>
      <c r="X947" s="277"/>
      <c r="Y947" s="277"/>
      <c r="Z947" s="277"/>
    </row>
    <row r="948" ht="12.75" customHeight="1">
      <c r="A948" s="277"/>
      <c r="B948" s="278"/>
      <c r="C948" s="279"/>
      <c r="D948" s="277"/>
      <c r="E948" s="277"/>
      <c r="F948" s="277"/>
      <c r="G948" s="277"/>
      <c r="H948" s="277"/>
      <c r="I948" s="277"/>
      <c r="J948" s="277"/>
      <c r="K948" s="409"/>
      <c r="L948" s="477"/>
      <c r="M948" s="277"/>
      <c r="N948" s="277"/>
      <c r="O948" s="277"/>
      <c r="P948" s="277"/>
      <c r="Q948" s="277"/>
      <c r="R948" s="277"/>
      <c r="S948" s="277"/>
      <c r="T948" s="277"/>
      <c r="U948" s="277"/>
      <c r="V948" s="277"/>
      <c r="W948" s="277"/>
      <c r="X948" s="277"/>
      <c r="Y948" s="277"/>
      <c r="Z948" s="277"/>
    </row>
    <row r="949" ht="12.75" customHeight="1">
      <c r="A949" s="277"/>
      <c r="B949" s="278"/>
      <c r="C949" s="279"/>
      <c r="D949" s="277"/>
      <c r="E949" s="277"/>
      <c r="F949" s="277"/>
      <c r="G949" s="277"/>
      <c r="H949" s="277"/>
      <c r="I949" s="277"/>
      <c r="J949" s="277"/>
      <c r="K949" s="409"/>
      <c r="L949" s="477"/>
      <c r="M949" s="277"/>
      <c r="N949" s="277"/>
      <c r="O949" s="277"/>
      <c r="P949" s="277"/>
      <c r="Q949" s="277"/>
      <c r="R949" s="277"/>
      <c r="S949" s="277"/>
      <c r="T949" s="277"/>
      <c r="U949" s="277"/>
      <c r="V949" s="277"/>
      <c r="W949" s="277"/>
      <c r="X949" s="277"/>
      <c r="Y949" s="277"/>
      <c r="Z949" s="277"/>
    </row>
    <row r="950" ht="12.75" customHeight="1">
      <c r="A950" s="277"/>
      <c r="B950" s="278"/>
      <c r="C950" s="279"/>
      <c r="D950" s="277"/>
      <c r="E950" s="277"/>
      <c r="F950" s="277"/>
      <c r="G950" s="277"/>
      <c r="H950" s="277"/>
      <c r="I950" s="277"/>
      <c r="J950" s="277"/>
      <c r="K950" s="409"/>
      <c r="L950" s="477"/>
      <c r="M950" s="277"/>
      <c r="N950" s="277"/>
      <c r="O950" s="277"/>
      <c r="P950" s="277"/>
      <c r="Q950" s="277"/>
      <c r="R950" s="277"/>
      <c r="S950" s="277"/>
      <c r="T950" s="277"/>
      <c r="U950" s="277"/>
      <c r="V950" s="277"/>
      <c r="W950" s="277"/>
      <c r="X950" s="277"/>
      <c r="Y950" s="277"/>
      <c r="Z950" s="277"/>
    </row>
    <row r="951" ht="12.75" customHeight="1">
      <c r="A951" s="277"/>
      <c r="B951" s="278"/>
      <c r="C951" s="279"/>
      <c r="D951" s="277"/>
      <c r="E951" s="277"/>
      <c r="F951" s="277"/>
      <c r="G951" s="277"/>
      <c r="H951" s="277"/>
      <c r="I951" s="277"/>
      <c r="J951" s="277"/>
      <c r="K951" s="409"/>
      <c r="L951" s="477"/>
      <c r="M951" s="277"/>
      <c r="N951" s="277"/>
      <c r="O951" s="277"/>
      <c r="P951" s="277"/>
      <c r="Q951" s="277"/>
      <c r="R951" s="277"/>
      <c r="S951" s="277"/>
      <c r="T951" s="277"/>
      <c r="U951" s="277"/>
      <c r="V951" s="277"/>
      <c r="W951" s="277"/>
      <c r="X951" s="277"/>
      <c r="Y951" s="277"/>
      <c r="Z951" s="277"/>
    </row>
    <row r="952" ht="12.75" customHeight="1">
      <c r="A952" s="277"/>
      <c r="B952" s="278"/>
      <c r="C952" s="279"/>
      <c r="D952" s="277"/>
      <c r="E952" s="277"/>
      <c r="F952" s="277"/>
      <c r="G952" s="277"/>
      <c r="H952" s="277"/>
      <c r="I952" s="277"/>
      <c r="J952" s="277"/>
      <c r="K952" s="409"/>
      <c r="L952" s="477"/>
      <c r="M952" s="277"/>
      <c r="N952" s="277"/>
      <c r="O952" s="277"/>
      <c r="P952" s="277"/>
      <c r="Q952" s="277"/>
      <c r="R952" s="277"/>
      <c r="S952" s="277"/>
      <c r="T952" s="277"/>
      <c r="U952" s="277"/>
      <c r="V952" s="277"/>
      <c r="W952" s="277"/>
      <c r="X952" s="277"/>
      <c r="Y952" s="277"/>
      <c r="Z952" s="277"/>
    </row>
    <row r="953" ht="12.75" customHeight="1">
      <c r="A953" s="277"/>
      <c r="B953" s="278"/>
      <c r="C953" s="279"/>
      <c r="D953" s="277"/>
      <c r="E953" s="277"/>
      <c r="F953" s="277"/>
      <c r="G953" s="277"/>
      <c r="H953" s="277"/>
      <c r="I953" s="277"/>
      <c r="J953" s="277"/>
      <c r="K953" s="409"/>
      <c r="L953" s="477"/>
      <c r="M953" s="277"/>
      <c r="N953" s="277"/>
      <c r="O953" s="277"/>
      <c r="P953" s="277"/>
      <c r="Q953" s="277"/>
      <c r="R953" s="277"/>
      <c r="S953" s="277"/>
      <c r="T953" s="277"/>
      <c r="U953" s="277"/>
      <c r="V953" s="277"/>
      <c r="W953" s="277"/>
      <c r="X953" s="277"/>
      <c r="Y953" s="277"/>
      <c r="Z953" s="277"/>
    </row>
    <row r="954" ht="12.75" customHeight="1">
      <c r="A954" s="277"/>
      <c r="B954" s="278"/>
      <c r="C954" s="279"/>
      <c r="D954" s="277"/>
      <c r="E954" s="277"/>
      <c r="F954" s="277"/>
      <c r="G954" s="277"/>
      <c r="H954" s="277"/>
      <c r="I954" s="277"/>
      <c r="J954" s="277"/>
      <c r="K954" s="409"/>
      <c r="L954" s="477"/>
      <c r="M954" s="277"/>
      <c r="N954" s="277"/>
      <c r="O954" s="277"/>
      <c r="P954" s="277"/>
      <c r="Q954" s="277"/>
      <c r="R954" s="277"/>
      <c r="S954" s="277"/>
      <c r="T954" s="277"/>
      <c r="U954" s="277"/>
      <c r="V954" s="277"/>
      <c r="W954" s="277"/>
      <c r="X954" s="277"/>
      <c r="Y954" s="277"/>
      <c r="Z954" s="277"/>
    </row>
    <row r="955" ht="12.75" customHeight="1">
      <c r="A955" s="277"/>
      <c r="B955" s="278"/>
      <c r="C955" s="279"/>
      <c r="D955" s="277"/>
      <c r="E955" s="277"/>
      <c r="F955" s="277"/>
      <c r="G955" s="277"/>
      <c r="H955" s="277"/>
      <c r="I955" s="277"/>
      <c r="J955" s="277"/>
      <c r="K955" s="409"/>
      <c r="L955" s="477"/>
      <c r="M955" s="277"/>
      <c r="N955" s="277"/>
      <c r="O955" s="277"/>
      <c r="P955" s="277"/>
      <c r="Q955" s="277"/>
      <c r="R955" s="277"/>
      <c r="S955" s="277"/>
      <c r="T955" s="277"/>
      <c r="U955" s="277"/>
      <c r="V955" s="277"/>
      <c r="W955" s="277"/>
      <c r="X955" s="277"/>
      <c r="Y955" s="277"/>
      <c r="Z955" s="277"/>
    </row>
    <row r="956" ht="12.75" customHeight="1">
      <c r="A956" s="277"/>
      <c r="B956" s="278"/>
      <c r="C956" s="279"/>
      <c r="D956" s="277"/>
      <c r="E956" s="277"/>
      <c r="F956" s="277"/>
      <c r="G956" s="277"/>
      <c r="H956" s="277"/>
      <c r="I956" s="277"/>
      <c r="J956" s="277"/>
      <c r="K956" s="409"/>
      <c r="L956" s="477"/>
      <c r="M956" s="277"/>
      <c r="N956" s="277"/>
      <c r="O956" s="277"/>
      <c r="P956" s="277"/>
      <c r="Q956" s="277"/>
      <c r="R956" s="277"/>
      <c r="S956" s="277"/>
      <c r="T956" s="277"/>
      <c r="U956" s="277"/>
      <c r="V956" s="277"/>
      <c r="W956" s="277"/>
      <c r="X956" s="277"/>
      <c r="Y956" s="277"/>
      <c r="Z956" s="277"/>
    </row>
    <row r="957" ht="12.75" customHeight="1">
      <c r="A957" s="277"/>
      <c r="B957" s="278"/>
      <c r="C957" s="279"/>
      <c r="D957" s="277"/>
      <c r="E957" s="277"/>
      <c r="F957" s="277"/>
      <c r="G957" s="277"/>
      <c r="H957" s="277"/>
      <c r="I957" s="277"/>
      <c r="J957" s="277"/>
      <c r="K957" s="409"/>
      <c r="L957" s="477"/>
      <c r="M957" s="277"/>
      <c r="N957" s="277"/>
      <c r="O957" s="277"/>
      <c r="P957" s="277"/>
      <c r="Q957" s="277"/>
      <c r="R957" s="277"/>
      <c r="S957" s="277"/>
      <c r="T957" s="277"/>
      <c r="U957" s="277"/>
      <c r="V957" s="277"/>
      <c r="W957" s="277"/>
      <c r="X957" s="277"/>
      <c r="Y957" s="277"/>
      <c r="Z957" s="277"/>
    </row>
    <row r="958" ht="12.75" customHeight="1">
      <c r="A958" s="277"/>
      <c r="B958" s="278"/>
      <c r="C958" s="279"/>
      <c r="D958" s="277"/>
      <c r="E958" s="277"/>
      <c r="F958" s="277"/>
      <c r="G958" s="277"/>
      <c r="H958" s="277"/>
      <c r="I958" s="277"/>
      <c r="J958" s="277"/>
      <c r="K958" s="409"/>
      <c r="L958" s="477"/>
      <c r="M958" s="277"/>
      <c r="N958" s="277"/>
      <c r="O958" s="277"/>
      <c r="P958" s="277"/>
      <c r="Q958" s="277"/>
      <c r="R958" s="277"/>
      <c r="S958" s="277"/>
      <c r="T958" s="277"/>
      <c r="U958" s="277"/>
      <c r="V958" s="277"/>
      <c r="W958" s="277"/>
      <c r="X958" s="277"/>
      <c r="Y958" s="277"/>
      <c r="Z958" s="277"/>
    </row>
    <row r="959" ht="12.75" customHeight="1">
      <c r="A959" s="277"/>
      <c r="B959" s="278"/>
      <c r="C959" s="279"/>
      <c r="D959" s="277"/>
      <c r="E959" s="277"/>
      <c r="F959" s="277"/>
      <c r="G959" s="277"/>
      <c r="H959" s="277"/>
      <c r="I959" s="277"/>
      <c r="J959" s="277"/>
      <c r="K959" s="409"/>
      <c r="L959" s="477"/>
      <c r="M959" s="277"/>
      <c r="N959" s="277"/>
      <c r="O959" s="277"/>
      <c r="P959" s="277"/>
      <c r="Q959" s="277"/>
      <c r="R959" s="277"/>
      <c r="S959" s="277"/>
      <c r="T959" s="277"/>
      <c r="U959" s="277"/>
      <c r="V959" s="277"/>
      <c r="W959" s="277"/>
      <c r="X959" s="277"/>
      <c r="Y959" s="277"/>
      <c r="Z959" s="277"/>
    </row>
    <row r="960" ht="12.75" customHeight="1">
      <c r="A960" s="277"/>
      <c r="B960" s="278"/>
      <c r="C960" s="279"/>
      <c r="D960" s="277"/>
      <c r="E960" s="277"/>
      <c r="F960" s="277"/>
      <c r="G960" s="277"/>
      <c r="H960" s="277"/>
      <c r="I960" s="277"/>
      <c r="J960" s="277"/>
      <c r="K960" s="409"/>
      <c r="L960" s="477"/>
      <c r="M960" s="277"/>
      <c r="N960" s="277"/>
      <c r="O960" s="277"/>
      <c r="P960" s="277"/>
      <c r="Q960" s="277"/>
      <c r="R960" s="277"/>
      <c r="S960" s="277"/>
      <c r="T960" s="277"/>
      <c r="U960" s="277"/>
      <c r="V960" s="277"/>
      <c r="W960" s="277"/>
      <c r="X960" s="277"/>
      <c r="Y960" s="277"/>
      <c r="Z960" s="277"/>
    </row>
    <row r="961" ht="12.75" customHeight="1">
      <c r="A961" s="277"/>
      <c r="B961" s="278"/>
      <c r="C961" s="279"/>
      <c r="D961" s="277"/>
      <c r="E961" s="277"/>
      <c r="F961" s="277"/>
      <c r="G961" s="277"/>
      <c r="H961" s="277"/>
      <c r="I961" s="277"/>
      <c r="J961" s="277"/>
      <c r="K961" s="409"/>
      <c r="L961" s="477"/>
      <c r="M961" s="277"/>
      <c r="N961" s="277"/>
      <c r="O961" s="277"/>
      <c r="P961" s="277"/>
      <c r="Q961" s="277"/>
      <c r="R961" s="277"/>
      <c r="S961" s="277"/>
      <c r="T961" s="277"/>
      <c r="U961" s="277"/>
      <c r="V961" s="277"/>
      <c r="W961" s="277"/>
      <c r="X961" s="277"/>
      <c r="Y961" s="277"/>
      <c r="Z961" s="277"/>
    </row>
    <row r="962" ht="12.75" customHeight="1">
      <c r="A962" s="277"/>
      <c r="B962" s="278"/>
      <c r="C962" s="279"/>
      <c r="D962" s="277"/>
      <c r="E962" s="277"/>
      <c r="F962" s="277"/>
      <c r="G962" s="277"/>
      <c r="H962" s="277"/>
      <c r="I962" s="277"/>
      <c r="J962" s="277"/>
      <c r="K962" s="409"/>
      <c r="L962" s="477"/>
      <c r="M962" s="277"/>
      <c r="N962" s="277"/>
      <c r="O962" s="277"/>
      <c r="P962" s="277"/>
      <c r="Q962" s="277"/>
      <c r="R962" s="277"/>
      <c r="S962" s="277"/>
      <c r="T962" s="277"/>
      <c r="U962" s="277"/>
      <c r="V962" s="277"/>
      <c r="W962" s="277"/>
      <c r="X962" s="277"/>
      <c r="Y962" s="277"/>
      <c r="Z962" s="277"/>
    </row>
    <row r="963" ht="12.75" customHeight="1">
      <c r="A963" s="277"/>
      <c r="B963" s="278"/>
      <c r="C963" s="279"/>
      <c r="D963" s="277"/>
      <c r="E963" s="277"/>
      <c r="F963" s="277"/>
      <c r="G963" s="277"/>
      <c r="H963" s="277"/>
      <c r="I963" s="277"/>
      <c r="J963" s="277"/>
      <c r="K963" s="409"/>
      <c r="L963" s="477"/>
      <c r="M963" s="277"/>
      <c r="N963" s="277"/>
      <c r="O963" s="277"/>
      <c r="P963" s="277"/>
      <c r="Q963" s="277"/>
      <c r="R963" s="277"/>
      <c r="S963" s="277"/>
      <c r="T963" s="277"/>
      <c r="U963" s="277"/>
      <c r="V963" s="277"/>
      <c r="W963" s="277"/>
      <c r="X963" s="277"/>
      <c r="Y963" s="277"/>
      <c r="Z963" s="277"/>
    </row>
    <row r="964" ht="12.75" customHeight="1">
      <c r="A964" s="277"/>
      <c r="B964" s="278"/>
      <c r="C964" s="279"/>
      <c r="D964" s="277"/>
      <c r="E964" s="277"/>
      <c r="F964" s="277"/>
      <c r="G964" s="277"/>
      <c r="H964" s="277"/>
      <c r="I964" s="277"/>
      <c r="J964" s="277"/>
      <c r="K964" s="409"/>
      <c r="L964" s="477"/>
      <c r="M964" s="277"/>
      <c r="N964" s="277"/>
      <c r="O964" s="277"/>
      <c r="P964" s="277"/>
      <c r="Q964" s="277"/>
      <c r="R964" s="277"/>
      <c r="S964" s="277"/>
      <c r="T964" s="277"/>
      <c r="U964" s="277"/>
      <c r="V964" s="277"/>
      <c r="W964" s="277"/>
      <c r="X964" s="277"/>
      <c r="Y964" s="277"/>
      <c r="Z964" s="277"/>
    </row>
    <row r="965" ht="12.75" customHeight="1">
      <c r="A965" s="277"/>
      <c r="B965" s="278"/>
      <c r="C965" s="279"/>
      <c r="D965" s="277"/>
      <c r="E965" s="277"/>
      <c r="F965" s="277"/>
      <c r="G965" s="277"/>
      <c r="H965" s="277"/>
      <c r="I965" s="277"/>
      <c r="J965" s="277"/>
      <c r="K965" s="409"/>
      <c r="L965" s="477"/>
      <c r="M965" s="277"/>
      <c r="N965" s="277"/>
      <c r="O965" s="277"/>
      <c r="P965" s="277"/>
      <c r="Q965" s="277"/>
      <c r="R965" s="277"/>
      <c r="S965" s="277"/>
      <c r="T965" s="277"/>
      <c r="U965" s="277"/>
      <c r="V965" s="277"/>
      <c r="W965" s="277"/>
      <c r="X965" s="277"/>
      <c r="Y965" s="277"/>
      <c r="Z965" s="277"/>
    </row>
    <row r="966" ht="12.75" customHeight="1">
      <c r="A966" s="277"/>
      <c r="B966" s="278"/>
      <c r="C966" s="279"/>
      <c r="D966" s="277"/>
      <c r="E966" s="277"/>
      <c r="F966" s="277"/>
      <c r="G966" s="277"/>
      <c r="H966" s="277"/>
      <c r="I966" s="277"/>
      <c r="J966" s="277"/>
      <c r="K966" s="409"/>
      <c r="L966" s="477"/>
      <c r="M966" s="277"/>
      <c r="N966" s="277"/>
      <c r="O966" s="277"/>
      <c r="P966" s="277"/>
      <c r="Q966" s="277"/>
      <c r="R966" s="277"/>
      <c r="S966" s="277"/>
      <c r="T966" s="277"/>
      <c r="U966" s="277"/>
      <c r="V966" s="277"/>
      <c r="W966" s="277"/>
      <c r="X966" s="277"/>
      <c r="Y966" s="277"/>
      <c r="Z966" s="277"/>
    </row>
    <row r="967" ht="12.75" customHeight="1">
      <c r="A967" s="277"/>
      <c r="B967" s="278"/>
      <c r="C967" s="279"/>
      <c r="D967" s="277"/>
      <c r="E967" s="277"/>
      <c r="F967" s="277"/>
      <c r="G967" s="277"/>
      <c r="H967" s="277"/>
      <c r="I967" s="277"/>
      <c r="J967" s="277"/>
      <c r="K967" s="409"/>
      <c r="L967" s="477"/>
      <c r="M967" s="277"/>
      <c r="N967" s="277"/>
      <c r="O967" s="277"/>
      <c r="P967" s="277"/>
      <c r="Q967" s="277"/>
      <c r="R967" s="277"/>
      <c r="S967" s="277"/>
      <c r="T967" s="277"/>
      <c r="U967" s="277"/>
      <c r="V967" s="277"/>
      <c r="W967" s="277"/>
      <c r="X967" s="277"/>
      <c r="Y967" s="277"/>
      <c r="Z967" s="277"/>
    </row>
    <row r="968" ht="12.75" customHeight="1">
      <c r="A968" s="277"/>
      <c r="B968" s="278"/>
      <c r="C968" s="279"/>
      <c r="D968" s="277"/>
      <c r="E968" s="277"/>
      <c r="F968" s="277"/>
      <c r="G968" s="277"/>
      <c r="H968" s="277"/>
      <c r="I968" s="277"/>
      <c r="J968" s="277"/>
      <c r="K968" s="409"/>
      <c r="L968" s="477"/>
      <c r="M968" s="277"/>
      <c r="N968" s="277"/>
      <c r="O968" s="277"/>
      <c r="P968" s="277"/>
      <c r="Q968" s="277"/>
      <c r="R968" s="277"/>
      <c r="S968" s="277"/>
      <c r="T968" s="277"/>
      <c r="U968" s="277"/>
      <c r="V968" s="277"/>
      <c r="W968" s="277"/>
      <c r="X968" s="277"/>
      <c r="Y968" s="277"/>
      <c r="Z968" s="277"/>
    </row>
    <row r="969" ht="12.75" customHeight="1">
      <c r="A969" s="277"/>
      <c r="B969" s="278"/>
      <c r="C969" s="279"/>
      <c r="D969" s="277"/>
      <c r="E969" s="277"/>
      <c r="F969" s="277"/>
      <c r="G969" s="277"/>
      <c r="H969" s="277"/>
      <c r="I969" s="277"/>
      <c r="J969" s="277"/>
      <c r="K969" s="409"/>
      <c r="L969" s="477"/>
      <c r="M969" s="277"/>
      <c r="N969" s="277"/>
      <c r="O969" s="277"/>
      <c r="P969" s="277"/>
      <c r="Q969" s="277"/>
      <c r="R969" s="277"/>
      <c r="S969" s="277"/>
      <c r="T969" s="277"/>
      <c r="U969" s="277"/>
      <c r="V969" s="277"/>
      <c r="W969" s="277"/>
      <c r="X969" s="277"/>
      <c r="Y969" s="277"/>
      <c r="Z969" s="277"/>
    </row>
    <row r="970" ht="12.75" customHeight="1">
      <c r="A970" s="277"/>
      <c r="B970" s="278"/>
      <c r="C970" s="279"/>
      <c r="D970" s="277"/>
      <c r="E970" s="277"/>
      <c r="F970" s="277"/>
      <c r="G970" s="277"/>
      <c r="H970" s="277"/>
      <c r="I970" s="277"/>
      <c r="J970" s="277"/>
      <c r="K970" s="409"/>
      <c r="L970" s="477"/>
      <c r="M970" s="277"/>
      <c r="N970" s="277"/>
      <c r="O970" s="277"/>
      <c r="P970" s="277"/>
      <c r="Q970" s="277"/>
      <c r="R970" s="277"/>
      <c r="S970" s="277"/>
      <c r="T970" s="277"/>
      <c r="U970" s="277"/>
      <c r="V970" s="277"/>
      <c r="W970" s="277"/>
      <c r="X970" s="277"/>
      <c r="Y970" s="277"/>
      <c r="Z970" s="277"/>
    </row>
    <row r="971" ht="12.75" customHeight="1">
      <c r="A971" s="277"/>
      <c r="B971" s="278"/>
      <c r="C971" s="279"/>
      <c r="D971" s="277"/>
      <c r="E971" s="277"/>
      <c r="F971" s="277"/>
      <c r="G971" s="277"/>
      <c r="H971" s="277"/>
      <c r="I971" s="277"/>
      <c r="J971" s="277"/>
      <c r="K971" s="409"/>
      <c r="L971" s="477"/>
      <c r="M971" s="277"/>
      <c r="N971" s="277"/>
      <c r="O971" s="277"/>
      <c r="P971" s="277"/>
      <c r="Q971" s="277"/>
      <c r="R971" s="277"/>
      <c r="S971" s="277"/>
      <c r="T971" s="277"/>
      <c r="U971" s="277"/>
      <c r="V971" s="277"/>
      <c r="W971" s="277"/>
      <c r="X971" s="277"/>
      <c r="Y971" s="277"/>
      <c r="Z971" s="277"/>
    </row>
    <row r="972" ht="12.75" customHeight="1">
      <c r="A972" s="277"/>
      <c r="B972" s="278"/>
      <c r="C972" s="279"/>
      <c r="D972" s="277"/>
      <c r="E972" s="277"/>
      <c r="F972" s="277"/>
      <c r="G972" s="277"/>
      <c r="H972" s="277"/>
      <c r="I972" s="277"/>
      <c r="J972" s="277"/>
      <c r="K972" s="409"/>
      <c r="L972" s="477"/>
      <c r="M972" s="277"/>
      <c r="N972" s="277"/>
      <c r="O972" s="277"/>
      <c r="P972" s="277"/>
      <c r="Q972" s="277"/>
      <c r="R972" s="277"/>
      <c r="S972" s="277"/>
      <c r="T972" s="277"/>
      <c r="U972" s="277"/>
      <c r="V972" s="277"/>
      <c r="W972" s="277"/>
      <c r="X972" s="277"/>
      <c r="Y972" s="277"/>
      <c r="Z972" s="277"/>
    </row>
    <row r="973" ht="12.75" customHeight="1">
      <c r="A973" s="277"/>
      <c r="B973" s="278"/>
      <c r="C973" s="279"/>
      <c r="D973" s="277"/>
      <c r="E973" s="277"/>
      <c r="F973" s="277"/>
      <c r="G973" s="277"/>
      <c r="H973" s="277"/>
      <c r="I973" s="277"/>
      <c r="J973" s="277"/>
      <c r="K973" s="409"/>
      <c r="L973" s="477"/>
      <c r="M973" s="277"/>
      <c r="N973" s="277"/>
      <c r="O973" s="277"/>
      <c r="P973" s="277"/>
      <c r="Q973" s="277"/>
      <c r="R973" s="277"/>
      <c r="S973" s="277"/>
      <c r="T973" s="277"/>
      <c r="U973" s="277"/>
      <c r="V973" s="277"/>
      <c r="W973" s="277"/>
      <c r="X973" s="277"/>
      <c r="Y973" s="277"/>
      <c r="Z973" s="277"/>
    </row>
    <row r="974" ht="12.75" customHeight="1">
      <c r="A974" s="277"/>
      <c r="B974" s="278"/>
      <c r="C974" s="279"/>
      <c r="D974" s="277"/>
      <c r="E974" s="277"/>
      <c r="F974" s="277"/>
      <c r="G974" s="277"/>
      <c r="H974" s="277"/>
      <c r="I974" s="277"/>
      <c r="J974" s="277"/>
      <c r="K974" s="409"/>
      <c r="L974" s="477"/>
      <c r="M974" s="277"/>
      <c r="N974" s="277"/>
      <c r="O974" s="277"/>
      <c r="P974" s="277"/>
      <c r="Q974" s="277"/>
      <c r="R974" s="277"/>
      <c r="S974" s="277"/>
      <c r="T974" s="277"/>
      <c r="U974" s="277"/>
      <c r="V974" s="277"/>
      <c r="W974" s="277"/>
      <c r="X974" s="277"/>
      <c r="Y974" s="277"/>
      <c r="Z974" s="277"/>
    </row>
    <row r="975" ht="12.75" customHeight="1">
      <c r="A975" s="277"/>
      <c r="B975" s="278"/>
      <c r="C975" s="279"/>
      <c r="D975" s="277"/>
      <c r="E975" s="277"/>
      <c r="F975" s="277"/>
      <c r="G975" s="277"/>
      <c r="H975" s="277"/>
      <c r="I975" s="277"/>
      <c r="J975" s="277"/>
      <c r="K975" s="409"/>
      <c r="L975" s="477"/>
      <c r="M975" s="277"/>
      <c r="N975" s="277"/>
      <c r="O975" s="277"/>
      <c r="P975" s="277"/>
      <c r="Q975" s="277"/>
      <c r="R975" s="277"/>
      <c r="S975" s="277"/>
      <c r="T975" s="277"/>
      <c r="U975" s="277"/>
      <c r="V975" s="277"/>
      <c r="W975" s="277"/>
      <c r="X975" s="277"/>
      <c r="Y975" s="277"/>
      <c r="Z975" s="277"/>
    </row>
    <row r="976" ht="12.75" customHeight="1">
      <c r="A976" s="277"/>
      <c r="B976" s="278"/>
      <c r="C976" s="279"/>
      <c r="D976" s="277"/>
      <c r="E976" s="277"/>
      <c r="F976" s="277"/>
      <c r="G976" s="277"/>
      <c r="H976" s="277"/>
      <c r="I976" s="277"/>
      <c r="J976" s="277"/>
      <c r="K976" s="409"/>
      <c r="L976" s="477"/>
      <c r="M976" s="277"/>
      <c r="N976" s="277"/>
      <c r="O976" s="277"/>
      <c r="P976" s="277"/>
      <c r="Q976" s="277"/>
      <c r="R976" s="277"/>
      <c r="S976" s="277"/>
      <c r="T976" s="277"/>
      <c r="U976" s="277"/>
      <c r="V976" s="277"/>
      <c r="W976" s="277"/>
      <c r="X976" s="277"/>
      <c r="Y976" s="277"/>
      <c r="Z976" s="277"/>
    </row>
    <row r="977" ht="12.75" customHeight="1">
      <c r="A977" s="277"/>
      <c r="B977" s="278"/>
      <c r="C977" s="279"/>
      <c r="D977" s="277"/>
      <c r="E977" s="277"/>
      <c r="F977" s="277"/>
      <c r="G977" s="277"/>
      <c r="H977" s="277"/>
      <c r="I977" s="277"/>
      <c r="J977" s="277"/>
      <c r="K977" s="409"/>
      <c r="L977" s="477"/>
      <c r="M977" s="277"/>
      <c r="N977" s="277"/>
      <c r="O977" s="277"/>
      <c r="P977" s="277"/>
      <c r="Q977" s="277"/>
      <c r="R977" s="277"/>
      <c r="S977" s="277"/>
      <c r="T977" s="277"/>
      <c r="U977" s="277"/>
      <c r="V977" s="277"/>
      <c r="W977" s="277"/>
      <c r="X977" s="277"/>
      <c r="Y977" s="277"/>
      <c r="Z977" s="277"/>
    </row>
    <row r="978" ht="12.75" customHeight="1">
      <c r="A978" s="277"/>
      <c r="B978" s="278"/>
      <c r="C978" s="279"/>
      <c r="D978" s="277"/>
      <c r="E978" s="277"/>
      <c r="F978" s="277"/>
      <c r="G978" s="277"/>
      <c r="H978" s="277"/>
      <c r="I978" s="277"/>
      <c r="J978" s="277"/>
      <c r="K978" s="409"/>
      <c r="L978" s="477"/>
      <c r="M978" s="277"/>
      <c r="N978" s="277"/>
      <c r="O978" s="277"/>
      <c r="P978" s="277"/>
      <c r="Q978" s="277"/>
      <c r="R978" s="277"/>
      <c r="S978" s="277"/>
      <c r="T978" s="277"/>
      <c r="U978" s="277"/>
      <c r="V978" s="277"/>
      <c r="W978" s="277"/>
      <c r="X978" s="277"/>
      <c r="Y978" s="277"/>
      <c r="Z978" s="277"/>
    </row>
    <row r="979" ht="12.75" customHeight="1">
      <c r="A979" s="277"/>
      <c r="B979" s="278"/>
      <c r="C979" s="279"/>
      <c r="D979" s="277"/>
      <c r="E979" s="277"/>
      <c r="F979" s="277"/>
      <c r="G979" s="277"/>
      <c r="H979" s="277"/>
      <c r="I979" s="277"/>
      <c r="J979" s="277"/>
      <c r="K979" s="409"/>
      <c r="L979" s="477"/>
      <c r="M979" s="277"/>
      <c r="N979" s="277"/>
      <c r="O979" s="277"/>
      <c r="P979" s="277"/>
      <c r="Q979" s="277"/>
      <c r="R979" s="277"/>
      <c r="S979" s="277"/>
      <c r="T979" s="277"/>
      <c r="U979" s="277"/>
      <c r="V979" s="277"/>
      <c r="W979" s="277"/>
      <c r="X979" s="277"/>
      <c r="Y979" s="277"/>
      <c r="Z979" s="277"/>
    </row>
    <row r="980" ht="12.75" customHeight="1">
      <c r="A980" s="277"/>
      <c r="B980" s="278"/>
      <c r="C980" s="279"/>
      <c r="D980" s="277"/>
      <c r="E980" s="277"/>
      <c r="F980" s="277"/>
      <c r="G980" s="277"/>
      <c r="H980" s="277"/>
      <c r="I980" s="277"/>
      <c r="J980" s="277"/>
      <c r="K980" s="409"/>
      <c r="L980" s="477"/>
      <c r="M980" s="277"/>
      <c r="N980" s="277"/>
      <c r="O980" s="277"/>
      <c r="P980" s="277"/>
      <c r="Q980" s="277"/>
      <c r="R980" s="277"/>
      <c r="S980" s="277"/>
      <c r="T980" s="277"/>
      <c r="U980" s="277"/>
      <c r="V980" s="277"/>
      <c r="W980" s="277"/>
      <c r="X980" s="277"/>
      <c r="Y980" s="277"/>
      <c r="Z980" s="277"/>
    </row>
    <row r="981" ht="12.75" customHeight="1">
      <c r="A981" s="277"/>
      <c r="B981" s="278"/>
      <c r="C981" s="279"/>
      <c r="D981" s="277"/>
      <c r="E981" s="277"/>
      <c r="F981" s="277"/>
      <c r="G981" s="277"/>
      <c r="H981" s="277"/>
      <c r="I981" s="277"/>
      <c r="J981" s="277"/>
      <c r="K981" s="409"/>
      <c r="L981" s="477"/>
      <c r="M981" s="277"/>
      <c r="N981" s="277"/>
      <c r="O981" s="277"/>
      <c r="P981" s="277"/>
      <c r="Q981" s="277"/>
      <c r="R981" s="277"/>
      <c r="S981" s="277"/>
      <c r="T981" s="277"/>
      <c r="U981" s="277"/>
      <c r="V981" s="277"/>
      <c r="W981" s="277"/>
      <c r="X981" s="277"/>
      <c r="Y981" s="277"/>
      <c r="Z981" s="277"/>
    </row>
    <row r="982" ht="12.75" customHeight="1">
      <c r="A982" s="277"/>
      <c r="B982" s="278"/>
      <c r="C982" s="279"/>
      <c r="D982" s="277"/>
      <c r="E982" s="277"/>
      <c r="F982" s="277"/>
      <c r="G982" s="277"/>
      <c r="H982" s="277"/>
      <c r="I982" s="277"/>
      <c r="J982" s="277"/>
      <c r="K982" s="409"/>
      <c r="L982" s="477"/>
      <c r="M982" s="277"/>
      <c r="N982" s="277"/>
      <c r="O982" s="277"/>
      <c r="P982" s="277"/>
      <c r="Q982" s="277"/>
      <c r="R982" s="277"/>
      <c r="S982" s="277"/>
      <c r="T982" s="277"/>
      <c r="U982" s="277"/>
      <c r="V982" s="277"/>
      <c r="W982" s="277"/>
      <c r="X982" s="277"/>
      <c r="Y982" s="277"/>
      <c r="Z982" s="277"/>
    </row>
    <row r="983" ht="12.75" customHeight="1">
      <c r="A983" s="277"/>
      <c r="B983" s="278"/>
      <c r="C983" s="279"/>
      <c r="D983" s="277"/>
      <c r="E983" s="277"/>
      <c r="F983" s="277"/>
      <c r="G983" s="277"/>
      <c r="H983" s="277"/>
      <c r="I983" s="277"/>
      <c r="J983" s="277"/>
      <c r="K983" s="409"/>
      <c r="L983" s="477"/>
      <c r="M983" s="277"/>
      <c r="N983" s="277"/>
      <c r="O983" s="277"/>
      <c r="P983" s="277"/>
      <c r="Q983" s="277"/>
      <c r="R983" s="277"/>
      <c r="S983" s="277"/>
      <c r="T983" s="277"/>
      <c r="U983" s="277"/>
      <c r="V983" s="277"/>
      <c r="W983" s="277"/>
      <c r="X983" s="277"/>
      <c r="Y983" s="277"/>
      <c r="Z983" s="277"/>
    </row>
    <row r="984" ht="12.75" customHeight="1">
      <c r="A984" s="277"/>
      <c r="B984" s="278"/>
      <c r="C984" s="279"/>
      <c r="D984" s="277"/>
      <c r="E984" s="277"/>
      <c r="F984" s="277"/>
      <c r="G984" s="277"/>
      <c r="H984" s="277"/>
      <c r="I984" s="277"/>
      <c r="J984" s="277"/>
      <c r="K984" s="409"/>
      <c r="L984" s="477"/>
      <c r="M984" s="277"/>
      <c r="N984" s="277"/>
      <c r="O984" s="277"/>
      <c r="P984" s="277"/>
      <c r="Q984" s="277"/>
      <c r="R984" s="277"/>
      <c r="S984" s="277"/>
      <c r="T984" s="277"/>
      <c r="U984" s="277"/>
      <c r="V984" s="277"/>
      <c r="W984" s="277"/>
      <c r="X984" s="277"/>
      <c r="Y984" s="277"/>
      <c r="Z984" s="277"/>
    </row>
    <row r="985" ht="12.75" customHeight="1">
      <c r="A985" s="277"/>
      <c r="B985" s="278"/>
      <c r="C985" s="279"/>
      <c r="D985" s="277"/>
      <c r="E985" s="277"/>
      <c r="F985" s="277"/>
      <c r="G985" s="277"/>
      <c r="H985" s="277"/>
      <c r="I985" s="277"/>
      <c r="J985" s="277"/>
      <c r="K985" s="409"/>
      <c r="L985" s="477"/>
      <c r="M985" s="277"/>
      <c r="N985" s="277"/>
      <c r="O985" s="277"/>
      <c r="P985" s="277"/>
      <c r="Q985" s="277"/>
      <c r="R985" s="277"/>
      <c r="S985" s="277"/>
      <c r="T985" s="277"/>
      <c r="U985" s="277"/>
      <c r="V985" s="277"/>
      <c r="W985" s="277"/>
      <c r="X985" s="277"/>
      <c r="Y985" s="277"/>
      <c r="Z985" s="277"/>
    </row>
    <row r="986" ht="12.75" customHeight="1">
      <c r="A986" s="277"/>
      <c r="B986" s="278"/>
      <c r="C986" s="279"/>
      <c r="D986" s="277"/>
      <c r="E986" s="277"/>
      <c r="F986" s="277"/>
      <c r="G986" s="277"/>
      <c r="H986" s="277"/>
      <c r="I986" s="277"/>
      <c r="J986" s="277"/>
      <c r="K986" s="409"/>
      <c r="L986" s="477"/>
      <c r="M986" s="277"/>
      <c r="N986" s="277"/>
      <c r="O986" s="277"/>
      <c r="P986" s="277"/>
      <c r="Q986" s="277"/>
      <c r="R986" s="277"/>
      <c r="S986" s="277"/>
      <c r="T986" s="277"/>
      <c r="U986" s="277"/>
      <c r="V986" s="277"/>
      <c r="W986" s="277"/>
      <c r="X986" s="277"/>
      <c r="Y986" s="277"/>
      <c r="Z986" s="277"/>
    </row>
    <row r="987" ht="12.75" customHeight="1">
      <c r="A987" s="277"/>
      <c r="B987" s="278"/>
      <c r="C987" s="279"/>
      <c r="D987" s="277"/>
      <c r="E987" s="277"/>
      <c r="F987" s="277"/>
      <c r="G987" s="277"/>
      <c r="H987" s="277"/>
      <c r="I987" s="277"/>
      <c r="J987" s="277"/>
      <c r="K987" s="409"/>
      <c r="L987" s="477"/>
      <c r="M987" s="277"/>
      <c r="N987" s="277"/>
      <c r="O987" s="277"/>
      <c r="P987" s="277"/>
      <c r="Q987" s="277"/>
      <c r="R987" s="277"/>
      <c r="S987" s="277"/>
      <c r="T987" s="277"/>
      <c r="U987" s="277"/>
      <c r="V987" s="277"/>
      <c r="W987" s="277"/>
      <c r="X987" s="277"/>
      <c r="Y987" s="277"/>
      <c r="Z987" s="277"/>
    </row>
    <row r="988" ht="12.75" customHeight="1">
      <c r="A988" s="277"/>
      <c r="B988" s="278"/>
      <c r="C988" s="279"/>
      <c r="D988" s="277"/>
      <c r="E988" s="277"/>
      <c r="F988" s="277"/>
      <c r="G988" s="277"/>
      <c r="H988" s="277"/>
      <c r="I988" s="277"/>
      <c r="J988" s="277"/>
      <c r="K988" s="409"/>
      <c r="L988" s="477"/>
      <c r="M988" s="277"/>
      <c r="N988" s="277"/>
      <c r="O988" s="277"/>
      <c r="P988" s="277"/>
      <c r="Q988" s="277"/>
      <c r="R988" s="277"/>
      <c r="S988" s="277"/>
      <c r="T988" s="277"/>
      <c r="U988" s="277"/>
      <c r="V988" s="277"/>
      <c r="W988" s="277"/>
      <c r="X988" s="277"/>
      <c r="Y988" s="277"/>
      <c r="Z988" s="277"/>
    </row>
    <row r="989" ht="12.75" customHeight="1">
      <c r="A989" s="277"/>
      <c r="B989" s="278"/>
      <c r="C989" s="279"/>
      <c r="D989" s="277"/>
      <c r="E989" s="277"/>
      <c r="F989" s="277"/>
      <c r="G989" s="277"/>
      <c r="H989" s="277"/>
      <c r="I989" s="277"/>
      <c r="J989" s="277"/>
      <c r="K989" s="409"/>
      <c r="L989" s="477"/>
      <c r="M989" s="277"/>
      <c r="N989" s="277"/>
      <c r="O989" s="277"/>
      <c r="P989" s="277"/>
      <c r="Q989" s="277"/>
      <c r="R989" s="277"/>
      <c r="S989" s="277"/>
      <c r="T989" s="277"/>
      <c r="U989" s="277"/>
      <c r="V989" s="277"/>
      <c r="W989" s="277"/>
      <c r="X989" s="277"/>
      <c r="Y989" s="277"/>
      <c r="Z989" s="277"/>
    </row>
    <row r="990" ht="12.75" customHeight="1">
      <c r="A990" s="277"/>
      <c r="B990" s="278"/>
      <c r="C990" s="279"/>
      <c r="D990" s="277"/>
      <c r="E990" s="277"/>
      <c r="F990" s="277"/>
      <c r="G990" s="277"/>
      <c r="H990" s="277"/>
      <c r="I990" s="277"/>
      <c r="J990" s="277"/>
      <c r="K990" s="409"/>
      <c r="L990" s="477"/>
      <c r="M990" s="277"/>
      <c r="N990" s="277"/>
      <c r="O990" s="277"/>
      <c r="P990" s="277"/>
      <c r="Q990" s="277"/>
      <c r="R990" s="277"/>
      <c r="S990" s="277"/>
      <c r="T990" s="277"/>
      <c r="U990" s="277"/>
      <c r="V990" s="277"/>
      <c r="W990" s="277"/>
      <c r="X990" s="277"/>
      <c r="Y990" s="277"/>
      <c r="Z990" s="277"/>
    </row>
    <row r="991" ht="12.75" customHeight="1">
      <c r="A991" s="277"/>
      <c r="B991" s="278"/>
      <c r="C991" s="279"/>
      <c r="D991" s="277"/>
      <c r="E991" s="277"/>
      <c r="F991" s="277"/>
      <c r="G991" s="277"/>
      <c r="H991" s="277"/>
      <c r="I991" s="277"/>
      <c r="J991" s="277"/>
      <c r="K991" s="409"/>
      <c r="L991" s="477"/>
      <c r="M991" s="277"/>
      <c r="N991" s="277"/>
      <c r="O991" s="277"/>
      <c r="P991" s="277"/>
      <c r="Q991" s="277"/>
      <c r="R991" s="277"/>
      <c r="S991" s="277"/>
      <c r="T991" s="277"/>
      <c r="U991" s="277"/>
      <c r="V991" s="277"/>
      <c r="W991" s="277"/>
      <c r="X991" s="277"/>
      <c r="Y991" s="277"/>
      <c r="Z991" s="277"/>
    </row>
    <row r="992" ht="12.75" customHeight="1">
      <c r="A992" s="277"/>
      <c r="B992" s="278"/>
      <c r="C992" s="279"/>
      <c r="D992" s="277"/>
      <c r="E992" s="277"/>
      <c r="F992" s="277"/>
      <c r="G992" s="277"/>
      <c r="H992" s="277"/>
      <c r="I992" s="277"/>
      <c r="J992" s="277"/>
      <c r="K992" s="409"/>
      <c r="L992" s="477"/>
      <c r="M992" s="277"/>
      <c r="N992" s="277"/>
      <c r="O992" s="277"/>
      <c r="P992" s="277"/>
      <c r="Q992" s="277"/>
      <c r="R992" s="277"/>
      <c r="S992" s="277"/>
      <c r="T992" s="277"/>
      <c r="U992" s="277"/>
      <c r="V992" s="277"/>
      <c r="W992" s="277"/>
      <c r="X992" s="277"/>
      <c r="Y992" s="277"/>
      <c r="Z992" s="277"/>
    </row>
    <row r="993" ht="12.75" customHeight="1">
      <c r="A993" s="277"/>
      <c r="B993" s="278"/>
      <c r="C993" s="279"/>
      <c r="D993" s="277"/>
      <c r="E993" s="277"/>
      <c r="F993" s="277"/>
      <c r="G993" s="277"/>
      <c r="H993" s="277"/>
      <c r="I993" s="277"/>
      <c r="J993" s="277"/>
      <c r="K993" s="409"/>
      <c r="L993" s="477"/>
      <c r="M993" s="277"/>
      <c r="N993" s="277"/>
      <c r="O993" s="277"/>
      <c r="P993" s="277"/>
      <c r="Q993" s="277"/>
      <c r="R993" s="277"/>
      <c r="S993" s="277"/>
      <c r="T993" s="277"/>
      <c r="U993" s="277"/>
      <c r="V993" s="277"/>
      <c r="W993" s="277"/>
      <c r="X993" s="277"/>
      <c r="Y993" s="277"/>
      <c r="Z993" s="277"/>
    </row>
    <row r="994" ht="12.75" customHeight="1">
      <c r="A994" s="277"/>
      <c r="B994" s="278"/>
      <c r="C994" s="279"/>
      <c r="D994" s="277"/>
      <c r="E994" s="277"/>
      <c r="F994" s="277"/>
      <c r="G994" s="277"/>
      <c r="H994" s="277"/>
      <c r="I994" s="277"/>
      <c r="J994" s="277"/>
      <c r="K994" s="409"/>
      <c r="L994" s="477"/>
      <c r="M994" s="277"/>
      <c r="N994" s="277"/>
      <c r="O994" s="277"/>
      <c r="P994" s="277"/>
      <c r="Q994" s="277"/>
      <c r="R994" s="277"/>
      <c r="S994" s="277"/>
      <c r="T994" s="277"/>
      <c r="U994" s="277"/>
      <c r="V994" s="277"/>
      <c r="W994" s="277"/>
      <c r="X994" s="277"/>
      <c r="Y994" s="277"/>
      <c r="Z994" s="277"/>
    </row>
    <row r="995" ht="12.75" customHeight="1">
      <c r="A995" s="277"/>
      <c r="B995" s="278"/>
      <c r="C995" s="279"/>
      <c r="D995" s="277"/>
      <c r="E995" s="277"/>
      <c r="F995" s="277"/>
      <c r="G995" s="277"/>
      <c r="H995" s="277"/>
      <c r="I995" s="277"/>
      <c r="J995" s="277"/>
      <c r="K995" s="409"/>
      <c r="L995" s="477"/>
      <c r="M995" s="277"/>
      <c r="N995" s="277"/>
      <c r="O995" s="277"/>
      <c r="P995" s="277"/>
      <c r="Q995" s="277"/>
      <c r="R995" s="277"/>
      <c r="S995" s="277"/>
      <c r="T995" s="277"/>
      <c r="U995" s="277"/>
      <c r="V995" s="277"/>
      <c r="W995" s="277"/>
      <c r="X995" s="277"/>
      <c r="Y995" s="277"/>
      <c r="Z995" s="277"/>
    </row>
    <row r="996" ht="12.75" customHeight="1">
      <c r="A996" s="277"/>
      <c r="B996" s="278"/>
      <c r="C996" s="279"/>
      <c r="D996" s="277"/>
      <c r="E996" s="277"/>
      <c r="F996" s="277"/>
      <c r="G996" s="277"/>
      <c r="H996" s="277"/>
      <c r="I996" s="277"/>
      <c r="J996" s="277"/>
      <c r="K996" s="409"/>
      <c r="L996" s="477"/>
      <c r="M996" s="277"/>
      <c r="N996" s="277"/>
      <c r="O996" s="277"/>
      <c r="P996" s="277"/>
      <c r="Q996" s="277"/>
      <c r="R996" s="277"/>
      <c r="S996" s="277"/>
      <c r="T996" s="277"/>
      <c r="U996" s="277"/>
      <c r="V996" s="277"/>
      <c r="W996" s="277"/>
      <c r="X996" s="277"/>
      <c r="Y996" s="277"/>
      <c r="Z996" s="277"/>
    </row>
    <row r="997" ht="12.75" customHeight="1">
      <c r="A997" s="277"/>
      <c r="B997" s="278"/>
      <c r="C997" s="279"/>
      <c r="D997" s="277"/>
      <c r="E997" s="277"/>
      <c r="F997" s="277"/>
      <c r="G997" s="277"/>
      <c r="H997" s="277"/>
      <c r="I997" s="277"/>
      <c r="J997" s="277"/>
      <c r="K997" s="409"/>
      <c r="L997" s="477"/>
      <c r="M997" s="277"/>
      <c r="N997" s="277"/>
      <c r="O997" s="277"/>
      <c r="P997" s="277"/>
      <c r="Q997" s="277"/>
      <c r="R997" s="277"/>
      <c r="S997" s="277"/>
      <c r="T997" s="277"/>
      <c r="U997" s="277"/>
      <c r="V997" s="277"/>
      <c r="W997" s="277"/>
      <c r="X997" s="277"/>
      <c r="Y997" s="277"/>
      <c r="Z997" s="277"/>
    </row>
    <row r="998" ht="12.75" customHeight="1">
      <c r="A998" s="277"/>
      <c r="B998" s="278"/>
      <c r="C998" s="279"/>
      <c r="D998" s="277"/>
      <c r="E998" s="277"/>
      <c r="F998" s="277"/>
      <c r="G998" s="277"/>
      <c r="H998" s="277"/>
      <c r="I998" s="277"/>
      <c r="J998" s="277"/>
      <c r="K998" s="409"/>
      <c r="L998" s="477"/>
      <c r="M998" s="277"/>
      <c r="N998" s="277"/>
      <c r="O998" s="277"/>
      <c r="P998" s="277"/>
      <c r="Q998" s="277"/>
      <c r="R998" s="277"/>
      <c r="S998" s="277"/>
      <c r="T998" s="277"/>
      <c r="U998" s="277"/>
      <c r="V998" s="277"/>
      <c r="W998" s="277"/>
      <c r="X998" s="277"/>
      <c r="Y998" s="277"/>
      <c r="Z998" s="277"/>
    </row>
    <row r="999" ht="12.75" customHeight="1">
      <c r="A999" s="277"/>
      <c r="B999" s="278"/>
      <c r="C999" s="279"/>
      <c r="D999" s="277"/>
      <c r="E999" s="277"/>
      <c r="F999" s="277"/>
      <c r="G999" s="277"/>
      <c r="H999" s="277"/>
      <c r="I999" s="277"/>
      <c r="J999" s="277"/>
      <c r="K999" s="409"/>
      <c r="L999" s="477"/>
      <c r="M999" s="277"/>
      <c r="N999" s="277"/>
      <c r="O999" s="277"/>
      <c r="P999" s="277"/>
      <c r="Q999" s="277"/>
      <c r="R999" s="277"/>
      <c r="S999" s="277"/>
      <c r="T999" s="277"/>
      <c r="U999" s="277"/>
      <c r="V999" s="277"/>
      <c r="W999" s="277"/>
      <c r="X999" s="277"/>
      <c r="Y999" s="277"/>
      <c r="Z999" s="277"/>
    </row>
    <row r="1000" ht="12.75" customHeight="1">
      <c r="A1000" s="277"/>
      <c r="B1000" s="278"/>
      <c r="C1000" s="279"/>
      <c r="D1000" s="277"/>
      <c r="E1000" s="277"/>
      <c r="F1000" s="277"/>
      <c r="G1000" s="277"/>
      <c r="H1000" s="277"/>
      <c r="I1000" s="277"/>
      <c r="J1000" s="277"/>
      <c r="K1000" s="409"/>
      <c r="L1000" s="477"/>
      <c r="M1000" s="277"/>
      <c r="N1000" s="277"/>
      <c r="O1000" s="277"/>
      <c r="P1000" s="277"/>
      <c r="Q1000" s="277"/>
      <c r="R1000" s="277"/>
      <c r="S1000" s="277"/>
      <c r="T1000" s="277"/>
      <c r="U1000" s="277"/>
      <c r="V1000" s="277"/>
      <c r="W1000" s="277"/>
      <c r="X1000" s="277"/>
      <c r="Y1000" s="277"/>
      <c r="Z1000" s="277"/>
    </row>
  </sheetData>
  <mergeCells count="6">
    <mergeCell ref="B2:E2"/>
    <mergeCell ref="B4:B6"/>
    <mergeCell ref="C4:D4"/>
    <mergeCell ref="F4:I4"/>
    <mergeCell ref="L4:L6"/>
    <mergeCell ref="A5:A6"/>
  </mergeCells>
  <conditionalFormatting sqref="E9:J20 E22:J38 E40:J51 E53:J60 E63:J85 E88:J95">
    <cfRule type="cellIs" dxfId="0" priority="1" operator="equal">
      <formula>0</formula>
    </cfRule>
  </conditionalFormatting>
  <conditionalFormatting sqref="E9:J20 E22:J38 E40:J51 E53:J60 E63:J85 E88:J95">
    <cfRule type="cellIs" dxfId="1" priority="2" operator="greaterThan">
      <formula>100</formula>
    </cfRule>
  </conditionalFormatting>
  <conditionalFormatting sqref="E9:J20 E22:J38 E40:J51 E53:J60 E63:J85 E88:J95">
    <cfRule type="cellIs" dxfId="5" priority="3" operator="between">
      <formula>10</formula>
      <formula>100</formula>
    </cfRule>
  </conditionalFormatting>
  <conditionalFormatting sqref="E9:J20 E22:J38 E40:J51 E53:J60 E63:J85 E88:J95">
    <cfRule type="cellIs" dxfId="6" priority="4" operator="between">
      <formula>1</formula>
      <formula>10</formula>
    </cfRule>
  </conditionalFormatting>
  <conditionalFormatting sqref="E9:J20 E22:J38 E40:J51 E53:J60 E63:J85 E88:J95">
    <cfRule type="cellIs" dxfId="7" priority="5" operator="lessThan">
      <formula>1</formula>
    </cfRule>
  </conditionalFormatting>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14"/>
    <col customWidth="1" min="2" max="2" width="30.57"/>
    <col customWidth="1" min="3" max="3" width="10.0"/>
    <col customWidth="1" min="4" max="4" width="6.57"/>
    <col customWidth="1" min="5" max="5" width="14.0"/>
    <col customWidth="1" min="6" max="6" width="15.57"/>
    <col customWidth="1" min="7" max="7" width="38.86"/>
    <col customWidth="1" min="8" max="8" width="18.86"/>
    <col customWidth="1" min="9" max="9" width="31.0"/>
    <col customWidth="1" min="10" max="10" width="35.71"/>
    <col customWidth="1" min="11" max="11" width="33.71"/>
    <col customWidth="1" min="12" max="12" width="41.57"/>
    <col customWidth="1" min="13" max="13" width="46.29"/>
    <col customWidth="1" min="14" max="14" width="44.29"/>
    <col customWidth="1" min="15" max="15" width="36.57"/>
    <col customWidth="1" min="16" max="16" width="41.43"/>
    <col customWidth="1" min="17" max="17" width="39.29"/>
    <col customWidth="1" min="18" max="18" width="38.86"/>
    <col customWidth="1" min="19" max="19" width="43.57"/>
    <col customWidth="1" min="20" max="20" width="41.57"/>
    <col customWidth="1" min="21" max="21" width="32.71"/>
    <col customWidth="1" min="22" max="22" width="37.71"/>
    <col customWidth="1" min="23" max="23" width="36.14"/>
    <col customWidth="1" min="24" max="24" width="8.71"/>
    <col customWidth="1" min="25" max="25" width="21.57"/>
    <col customWidth="1" min="26" max="26" width="19.43"/>
    <col customWidth="1" min="27" max="27" width="57.43"/>
  </cols>
  <sheetData>
    <row r="1">
      <c r="A1" s="55" t="s">
        <v>19</v>
      </c>
      <c r="B1" s="55" t="s">
        <v>159</v>
      </c>
      <c r="C1" s="55" t="s">
        <v>160</v>
      </c>
      <c r="D1" s="55" t="s">
        <v>161</v>
      </c>
      <c r="E1" s="55" t="s">
        <v>162</v>
      </c>
      <c r="F1" s="55" t="s">
        <v>163</v>
      </c>
      <c r="G1" s="55" t="s">
        <v>164</v>
      </c>
      <c r="H1" s="55" t="s">
        <v>166</v>
      </c>
      <c r="I1" s="58" t="s">
        <v>167</v>
      </c>
      <c r="J1" s="58" t="s">
        <v>168</v>
      </c>
      <c r="K1" s="58" t="s">
        <v>169</v>
      </c>
      <c r="L1" s="58" t="s">
        <v>170</v>
      </c>
      <c r="M1" s="58" t="s">
        <v>171</v>
      </c>
      <c r="N1" s="58" t="s">
        <v>172</v>
      </c>
      <c r="O1" s="58" t="s">
        <v>173</v>
      </c>
      <c r="P1" s="58" t="s">
        <v>174</v>
      </c>
      <c r="Q1" s="58" t="s">
        <v>175</v>
      </c>
      <c r="R1" s="58" t="s">
        <v>176</v>
      </c>
      <c r="S1" s="58" t="s">
        <v>177</v>
      </c>
      <c r="T1" s="55" t="s">
        <v>178</v>
      </c>
      <c r="U1" s="55" t="s">
        <v>179</v>
      </c>
      <c r="V1" s="55" t="s">
        <v>180</v>
      </c>
      <c r="W1" s="55" t="s">
        <v>181</v>
      </c>
      <c r="X1" s="55" t="s">
        <v>182</v>
      </c>
      <c r="Y1" s="55" t="s">
        <v>183</v>
      </c>
      <c r="Z1" s="55" t="s">
        <v>52</v>
      </c>
      <c r="AA1" s="55" t="s">
        <v>184</v>
      </c>
    </row>
    <row r="2">
      <c r="A2" s="55" t="s">
        <v>2576</v>
      </c>
      <c r="B2" s="55" t="s">
        <v>2576</v>
      </c>
      <c r="F2" s="55" t="s">
        <v>186</v>
      </c>
      <c r="G2" s="55" t="s">
        <v>2577</v>
      </c>
      <c r="H2" s="56"/>
      <c r="I2" s="58" t="s">
        <v>2578</v>
      </c>
      <c r="J2" s="58"/>
      <c r="K2" s="58"/>
      <c r="L2" s="58" t="s">
        <v>2579</v>
      </c>
      <c r="M2" s="58"/>
      <c r="N2" s="58"/>
      <c r="O2" s="58" t="s">
        <v>2580</v>
      </c>
      <c r="P2" s="58"/>
      <c r="Q2" s="58"/>
      <c r="R2" s="58" t="s">
        <v>2581</v>
      </c>
      <c r="S2" s="58"/>
      <c r="T2" s="58"/>
      <c r="U2" s="60" t="s">
        <v>2211</v>
      </c>
      <c r="V2" s="55" t="s">
        <v>38</v>
      </c>
      <c r="W2" s="59"/>
      <c r="X2" s="55" t="s">
        <v>2582</v>
      </c>
      <c r="Y2" s="4" t="s">
        <v>203</v>
      </c>
      <c r="Z2" s="414">
        <v>60.0</v>
      </c>
      <c r="AA2" s="55" t="s">
        <v>204</v>
      </c>
    </row>
    <row r="3">
      <c r="A3" s="55" t="s">
        <v>2583</v>
      </c>
      <c r="B3" s="55" t="s">
        <v>2583</v>
      </c>
      <c r="F3" s="55" t="s">
        <v>186</v>
      </c>
      <c r="G3" s="55" t="s">
        <v>2577</v>
      </c>
      <c r="H3" s="56"/>
      <c r="I3" s="58" t="s">
        <v>2584</v>
      </c>
      <c r="J3" s="58"/>
      <c r="K3" s="58"/>
      <c r="L3" s="58" t="s">
        <v>2585</v>
      </c>
      <c r="M3" s="58"/>
      <c r="N3" s="58"/>
      <c r="O3" s="58" t="s">
        <v>2580</v>
      </c>
      <c r="P3" s="58"/>
      <c r="Q3" s="58"/>
      <c r="R3" s="58" t="s">
        <v>2586</v>
      </c>
      <c r="S3" s="58"/>
      <c r="T3" s="58"/>
      <c r="U3" s="60" t="s">
        <v>2211</v>
      </c>
      <c r="V3" s="55" t="s">
        <v>38</v>
      </c>
      <c r="W3" s="59"/>
      <c r="X3" s="55" t="s">
        <v>2587</v>
      </c>
      <c r="Y3" s="4" t="s">
        <v>203</v>
      </c>
      <c r="Z3" s="414">
        <v>60.0</v>
      </c>
      <c r="AA3" s="55" t="s">
        <v>204</v>
      </c>
    </row>
    <row r="4">
      <c r="A4" s="55" t="s">
        <v>2588</v>
      </c>
      <c r="B4" s="55" t="s">
        <v>2588</v>
      </c>
      <c r="F4" s="55" t="s">
        <v>186</v>
      </c>
      <c r="G4" s="55" t="s">
        <v>2577</v>
      </c>
      <c r="H4" s="56"/>
      <c r="I4" s="58" t="s">
        <v>2589</v>
      </c>
      <c r="J4" s="58"/>
      <c r="K4" s="58"/>
      <c r="L4" s="58" t="s">
        <v>2590</v>
      </c>
      <c r="M4" s="58"/>
      <c r="N4" s="58"/>
      <c r="O4" s="58" t="s">
        <v>2591</v>
      </c>
      <c r="P4" s="58"/>
      <c r="Q4" s="58"/>
      <c r="R4" s="58" t="s">
        <v>2592</v>
      </c>
      <c r="S4" s="58"/>
      <c r="T4" s="58"/>
      <c r="U4" s="60" t="s">
        <v>2211</v>
      </c>
      <c r="V4" s="55" t="s">
        <v>38</v>
      </c>
      <c r="W4" s="59"/>
      <c r="X4" s="55" t="s">
        <v>2593</v>
      </c>
      <c r="Y4" s="4" t="s">
        <v>203</v>
      </c>
      <c r="Z4" s="414">
        <v>60.0</v>
      </c>
      <c r="AA4" s="55" t="s">
        <v>204</v>
      </c>
    </row>
    <row r="5">
      <c r="A5" s="55" t="s">
        <v>2594</v>
      </c>
      <c r="B5" s="55" t="s">
        <v>2594</v>
      </c>
      <c r="F5" s="55" t="s">
        <v>186</v>
      </c>
      <c r="G5" s="55" t="s">
        <v>2577</v>
      </c>
      <c r="H5" s="56"/>
      <c r="I5" s="58" t="s">
        <v>2595</v>
      </c>
      <c r="J5" s="58"/>
      <c r="K5" s="58"/>
      <c r="L5" s="58" t="s">
        <v>2596</v>
      </c>
      <c r="M5" s="58"/>
      <c r="N5" s="58"/>
      <c r="O5" s="58" t="s">
        <v>2597</v>
      </c>
      <c r="P5" s="58"/>
      <c r="Q5" s="58"/>
      <c r="R5" s="58" t="s">
        <v>2591</v>
      </c>
      <c r="S5" s="58"/>
      <c r="T5" s="58"/>
      <c r="U5" s="60" t="s">
        <v>2211</v>
      </c>
      <c r="V5" s="55" t="s">
        <v>38</v>
      </c>
      <c r="W5" s="59"/>
      <c r="X5" s="55" t="s">
        <v>2598</v>
      </c>
      <c r="Y5" s="4" t="s">
        <v>203</v>
      </c>
      <c r="Z5" s="414">
        <v>60.0</v>
      </c>
      <c r="AA5" s="55" t="s">
        <v>204</v>
      </c>
    </row>
    <row r="6">
      <c r="A6" s="55" t="s">
        <v>2599</v>
      </c>
      <c r="B6" s="55" t="s">
        <v>2599</v>
      </c>
      <c r="F6" s="55" t="s">
        <v>186</v>
      </c>
      <c r="G6" s="55" t="s">
        <v>2577</v>
      </c>
      <c r="H6" s="56"/>
      <c r="I6" s="58" t="s">
        <v>2600</v>
      </c>
      <c r="J6" s="58"/>
      <c r="K6" s="58"/>
      <c r="L6" s="58" t="s">
        <v>2601</v>
      </c>
      <c r="M6" s="58"/>
      <c r="N6" s="58"/>
      <c r="O6" s="58" t="s">
        <v>2602</v>
      </c>
      <c r="P6" s="58"/>
      <c r="Q6" s="58"/>
      <c r="R6" s="58" t="s">
        <v>2603</v>
      </c>
      <c r="S6" s="58"/>
      <c r="T6" s="58"/>
      <c r="U6" s="60" t="s">
        <v>2211</v>
      </c>
      <c r="V6" s="55" t="s">
        <v>38</v>
      </c>
      <c r="W6" s="59"/>
      <c r="X6" s="55" t="s">
        <v>2604</v>
      </c>
      <c r="Y6" s="4" t="s">
        <v>203</v>
      </c>
      <c r="Z6" s="414">
        <v>60.0</v>
      </c>
      <c r="AA6" s="55" t="s">
        <v>204</v>
      </c>
    </row>
    <row r="7">
      <c r="A7" s="55" t="s">
        <v>2605</v>
      </c>
      <c r="B7" s="55" t="s">
        <v>2605</v>
      </c>
      <c r="F7" s="55" t="s">
        <v>186</v>
      </c>
      <c r="G7" s="55" t="s">
        <v>2577</v>
      </c>
      <c r="H7" s="56"/>
      <c r="I7" s="58" t="s">
        <v>2606</v>
      </c>
      <c r="J7" s="58"/>
      <c r="K7" s="58"/>
      <c r="L7" s="58" t="s">
        <v>2607</v>
      </c>
      <c r="M7" s="58"/>
      <c r="N7" s="58"/>
      <c r="O7" s="58" t="s">
        <v>2608</v>
      </c>
      <c r="P7" s="58"/>
      <c r="Q7" s="58"/>
      <c r="R7" s="58" t="s">
        <v>2609</v>
      </c>
      <c r="S7" s="58"/>
      <c r="T7" s="58"/>
      <c r="U7" s="60" t="s">
        <v>2211</v>
      </c>
      <c r="V7" s="55" t="s">
        <v>38</v>
      </c>
      <c r="W7" s="59"/>
      <c r="X7" s="55" t="s">
        <v>2610</v>
      </c>
      <c r="Y7" s="4" t="s">
        <v>203</v>
      </c>
      <c r="Z7" s="414">
        <v>60.0</v>
      </c>
      <c r="AA7" s="55" t="s">
        <v>204</v>
      </c>
    </row>
    <row r="8">
      <c r="A8" s="55" t="s">
        <v>2611</v>
      </c>
      <c r="B8" s="55" t="s">
        <v>2611</v>
      </c>
      <c r="F8" s="55" t="s">
        <v>186</v>
      </c>
      <c r="G8" s="55" t="s">
        <v>2577</v>
      </c>
      <c r="H8" s="56"/>
      <c r="I8" s="58" t="s">
        <v>2612</v>
      </c>
      <c r="J8" s="58"/>
      <c r="K8" s="58"/>
      <c r="L8" s="58" t="s">
        <v>2613</v>
      </c>
      <c r="M8" s="58"/>
      <c r="N8" s="58"/>
      <c r="O8" s="58" t="s">
        <v>2614</v>
      </c>
      <c r="P8" s="58"/>
      <c r="Q8" s="58"/>
      <c r="R8" s="58" t="s">
        <v>2615</v>
      </c>
      <c r="S8" s="58"/>
      <c r="T8" s="58"/>
      <c r="U8" s="60" t="s">
        <v>2211</v>
      </c>
      <c r="V8" s="55" t="s">
        <v>38</v>
      </c>
      <c r="W8" s="59"/>
      <c r="X8" s="55" t="s">
        <v>2616</v>
      </c>
      <c r="Y8" s="4" t="s">
        <v>203</v>
      </c>
      <c r="Z8" s="414">
        <v>60.0</v>
      </c>
      <c r="AA8" s="55" t="s">
        <v>204</v>
      </c>
    </row>
    <row r="9">
      <c r="A9" s="55" t="s">
        <v>2617</v>
      </c>
      <c r="B9" s="55" t="s">
        <v>2617</v>
      </c>
      <c r="F9" s="55" t="s">
        <v>186</v>
      </c>
      <c r="G9" s="55" t="s">
        <v>2577</v>
      </c>
      <c r="H9" s="56"/>
      <c r="I9" s="58" t="s">
        <v>2618</v>
      </c>
      <c r="J9" s="58"/>
      <c r="K9" s="58"/>
      <c r="L9" s="58" t="s">
        <v>2619</v>
      </c>
      <c r="M9" s="58"/>
      <c r="N9" s="58"/>
      <c r="O9" s="58" t="s">
        <v>1934</v>
      </c>
      <c r="P9" s="58"/>
      <c r="Q9" s="58"/>
      <c r="R9" s="58" t="s">
        <v>2620</v>
      </c>
      <c r="S9" s="58"/>
      <c r="T9" s="58"/>
      <c r="U9" s="60" t="s">
        <v>2211</v>
      </c>
      <c r="V9" s="55" t="s">
        <v>38</v>
      </c>
      <c r="W9" s="59"/>
      <c r="X9" s="55" t="s">
        <v>2621</v>
      </c>
      <c r="Y9" s="4" t="s">
        <v>203</v>
      </c>
      <c r="Z9" s="414">
        <v>60.0</v>
      </c>
      <c r="AA9" s="55" t="s">
        <v>204</v>
      </c>
    </row>
    <row r="10">
      <c r="A10" s="55" t="s">
        <v>2622</v>
      </c>
      <c r="B10" s="55" t="s">
        <v>2622</v>
      </c>
      <c r="F10" s="55" t="s">
        <v>186</v>
      </c>
      <c r="G10" s="55" t="s">
        <v>2577</v>
      </c>
      <c r="H10" s="56"/>
      <c r="I10" s="58" t="s">
        <v>2623</v>
      </c>
      <c r="J10" s="58"/>
      <c r="K10" s="58"/>
      <c r="L10" s="58" t="s">
        <v>2624</v>
      </c>
      <c r="M10" s="58"/>
      <c r="N10" s="58"/>
      <c r="O10" s="58" t="s">
        <v>2625</v>
      </c>
      <c r="P10" s="58"/>
      <c r="Q10" s="58"/>
      <c r="R10" s="58" t="s">
        <v>2626</v>
      </c>
      <c r="S10" s="58"/>
      <c r="T10" s="58"/>
      <c r="U10" s="60" t="s">
        <v>2211</v>
      </c>
      <c r="V10" s="55" t="s">
        <v>38</v>
      </c>
      <c r="W10" s="59"/>
      <c r="X10" s="55" t="s">
        <v>2627</v>
      </c>
      <c r="Y10" s="4" t="s">
        <v>203</v>
      </c>
      <c r="Z10" s="414">
        <v>60.0</v>
      </c>
      <c r="AA10" s="55" t="s">
        <v>204</v>
      </c>
    </row>
    <row r="11">
      <c r="A11" s="55" t="s">
        <v>2628</v>
      </c>
      <c r="B11" s="55" t="s">
        <v>2628</v>
      </c>
      <c r="F11" s="55" t="s">
        <v>186</v>
      </c>
      <c r="G11" s="55" t="s">
        <v>2629</v>
      </c>
      <c r="H11" s="56"/>
      <c r="I11" s="58" t="s">
        <v>2630</v>
      </c>
      <c r="J11" s="58"/>
      <c r="K11" s="58"/>
      <c r="L11" s="58" t="s">
        <v>2631</v>
      </c>
      <c r="M11" s="58"/>
      <c r="N11" s="58"/>
      <c r="O11" s="58" t="s">
        <v>2632</v>
      </c>
      <c r="P11" s="58"/>
      <c r="Q11" s="58"/>
      <c r="R11" s="58" t="s">
        <v>2633</v>
      </c>
      <c r="S11" s="58"/>
      <c r="T11" s="58"/>
      <c r="U11" s="60" t="s">
        <v>382</v>
      </c>
      <c r="V11" s="55" t="s">
        <v>42</v>
      </c>
      <c r="W11" s="59"/>
      <c r="X11" s="55" t="s">
        <v>2634</v>
      </c>
      <c r="Y11" s="4" t="s">
        <v>203</v>
      </c>
      <c r="Z11" s="414">
        <v>60.0</v>
      </c>
      <c r="AA11" s="55" t="s">
        <v>204</v>
      </c>
    </row>
    <row r="12">
      <c r="A12" s="55" t="s">
        <v>2635</v>
      </c>
      <c r="B12" s="55" t="s">
        <v>2635</v>
      </c>
      <c r="F12" s="55" t="s">
        <v>186</v>
      </c>
      <c r="G12" s="55" t="s">
        <v>2629</v>
      </c>
      <c r="H12" s="56"/>
      <c r="I12" s="58" t="s">
        <v>2630</v>
      </c>
      <c r="J12" s="58"/>
      <c r="K12" s="58"/>
      <c r="L12" s="58" t="s">
        <v>2631</v>
      </c>
      <c r="M12" s="58"/>
      <c r="N12" s="58"/>
      <c r="O12" s="58" t="s">
        <v>2632</v>
      </c>
      <c r="P12" s="58"/>
      <c r="Q12" s="58"/>
      <c r="R12" s="58" t="s">
        <v>2633</v>
      </c>
      <c r="S12" s="58"/>
      <c r="T12" s="58"/>
      <c r="U12" s="60" t="s">
        <v>382</v>
      </c>
      <c r="V12" s="55" t="s">
        <v>42</v>
      </c>
      <c r="W12" s="59"/>
      <c r="X12" s="55" t="s">
        <v>2636</v>
      </c>
      <c r="Y12" s="4" t="s">
        <v>203</v>
      </c>
      <c r="Z12" s="414">
        <v>60.0</v>
      </c>
      <c r="AA12" s="55" t="s">
        <v>204</v>
      </c>
    </row>
    <row r="13">
      <c r="A13" s="55" t="s">
        <v>2637</v>
      </c>
      <c r="B13" s="55" t="s">
        <v>2637</v>
      </c>
      <c r="F13" s="55" t="s">
        <v>186</v>
      </c>
      <c r="G13" s="55" t="s">
        <v>2629</v>
      </c>
      <c r="H13" s="56"/>
      <c r="I13" s="58" t="s">
        <v>2638</v>
      </c>
      <c r="J13" s="58"/>
      <c r="K13" s="58"/>
      <c r="L13" s="58" t="s">
        <v>2639</v>
      </c>
      <c r="M13" s="58"/>
      <c r="N13" s="58"/>
      <c r="O13" s="58" t="s">
        <v>1680</v>
      </c>
      <c r="P13" s="58"/>
      <c r="Q13" s="58"/>
      <c r="R13" s="58" t="s">
        <v>2640</v>
      </c>
      <c r="S13" s="58"/>
      <c r="T13" s="58"/>
      <c r="U13" s="60" t="s">
        <v>382</v>
      </c>
      <c r="V13" s="55" t="s">
        <v>42</v>
      </c>
      <c r="W13" s="59"/>
      <c r="X13" s="55" t="s">
        <v>2641</v>
      </c>
      <c r="Y13" s="4" t="s">
        <v>203</v>
      </c>
      <c r="Z13" s="414">
        <v>60.0</v>
      </c>
      <c r="AA13" s="55" t="s">
        <v>204</v>
      </c>
    </row>
    <row r="14">
      <c r="A14" s="55" t="s">
        <v>2642</v>
      </c>
      <c r="B14" s="55" t="s">
        <v>2642</v>
      </c>
      <c r="F14" s="55" t="s">
        <v>186</v>
      </c>
      <c r="G14" s="55" t="s">
        <v>2629</v>
      </c>
      <c r="H14" s="56"/>
      <c r="I14" s="58" t="s">
        <v>2643</v>
      </c>
      <c r="J14" s="58"/>
      <c r="K14" s="58"/>
      <c r="L14" s="58" t="s">
        <v>2644</v>
      </c>
      <c r="M14" s="58"/>
      <c r="N14" s="58"/>
      <c r="O14" s="58" t="s">
        <v>2645</v>
      </c>
      <c r="P14" s="58"/>
      <c r="Q14" s="58"/>
      <c r="R14" s="58" t="s">
        <v>2646</v>
      </c>
      <c r="S14" s="58"/>
      <c r="T14" s="58"/>
      <c r="U14" s="60" t="s">
        <v>2647</v>
      </c>
      <c r="V14" s="55" t="s">
        <v>44</v>
      </c>
      <c r="W14" s="59"/>
      <c r="X14" s="55" t="s">
        <v>2648</v>
      </c>
      <c r="Y14" s="4" t="s">
        <v>203</v>
      </c>
      <c r="Z14" s="414">
        <v>60.0</v>
      </c>
      <c r="AA14" s="55" t="s">
        <v>204</v>
      </c>
    </row>
    <row r="15">
      <c r="A15" s="55" t="s">
        <v>2649</v>
      </c>
      <c r="B15" s="55" t="s">
        <v>2649</v>
      </c>
      <c r="F15" s="55" t="s">
        <v>186</v>
      </c>
      <c r="G15" s="55" t="s">
        <v>2629</v>
      </c>
      <c r="H15" s="56"/>
      <c r="I15" s="57" t="s">
        <v>291</v>
      </c>
      <c r="J15" s="58"/>
      <c r="K15" s="58"/>
      <c r="L15" s="58" t="s">
        <v>2650</v>
      </c>
      <c r="M15" s="58"/>
      <c r="N15" s="58"/>
      <c r="O15" s="58" t="s">
        <v>2651</v>
      </c>
      <c r="P15" s="58"/>
      <c r="Q15" s="58"/>
      <c r="R15" s="58" t="s">
        <v>2652</v>
      </c>
      <c r="S15" s="58"/>
      <c r="T15" s="58"/>
      <c r="U15" s="60" t="s">
        <v>2647</v>
      </c>
      <c r="V15" s="55" t="s">
        <v>44</v>
      </c>
      <c r="W15" s="59"/>
      <c r="X15" s="55" t="s">
        <v>2653</v>
      </c>
      <c r="Y15" s="4" t="s">
        <v>203</v>
      </c>
      <c r="Z15" s="414">
        <v>60.0</v>
      </c>
      <c r="AA15" s="55" t="s">
        <v>204</v>
      </c>
    </row>
    <row r="16">
      <c r="A16" s="55" t="s">
        <v>2654</v>
      </c>
      <c r="B16" s="55" t="s">
        <v>2654</v>
      </c>
      <c r="F16" s="55" t="s">
        <v>186</v>
      </c>
      <c r="G16" s="55" t="s">
        <v>2629</v>
      </c>
      <c r="H16" s="56"/>
      <c r="I16" s="57" t="s">
        <v>2655</v>
      </c>
      <c r="J16" s="58"/>
      <c r="K16" s="58"/>
      <c r="L16" s="58" t="s">
        <v>2656</v>
      </c>
      <c r="M16" s="58"/>
      <c r="N16" s="58"/>
      <c r="O16" s="58" t="s">
        <v>2657</v>
      </c>
      <c r="P16" s="58"/>
      <c r="Q16" s="58"/>
      <c r="R16" s="58" t="s">
        <v>249</v>
      </c>
      <c r="S16" s="58"/>
      <c r="T16" s="58"/>
      <c r="U16" s="60" t="s">
        <v>2647</v>
      </c>
      <c r="V16" s="55" t="s">
        <v>44</v>
      </c>
      <c r="W16" s="59"/>
      <c r="X16" s="55" t="s">
        <v>2658</v>
      </c>
      <c r="Y16" s="4" t="s">
        <v>203</v>
      </c>
      <c r="Z16" s="414">
        <v>60.0</v>
      </c>
      <c r="AA16" s="55" t="s">
        <v>204</v>
      </c>
    </row>
    <row r="17">
      <c r="A17" s="55" t="s">
        <v>2659</v>
      </c>
      <c r="B17" s="55" t="s">
        <v>2659</v>
      </c>
      <c r="F17" s="55" t="s">
        <v>186</v>
      </c>
      <c r="G17" s="55" t="s">
        <v>2629</v>
      </c>
      <c r="H17" s="56"/>
      <c r="I17" s="57" t="s">
        <v>1616</v>
      </c>
      <c r="J17" s="58"/>
      <c r="K17" s="58"/>
      <c r="L17" s="58" t="s">
        <v>2660</v>
      </c>
      <c r="M17" s="58"/>
      <c r="N17" s="58"/>
      <c r="O17" s="58" t="s">
        <v>2661</v>
      </c>
      <c r="P17" s="58"/>
      <c r="Q17" s="58"/>
      <c r="R17" s="58" t="s">
        <v>2662</v>
      </c>
      <c r="S17" s="58"/>
      <c r="T17" s="58"/>
      <c r="U17" s="60" t="s">
        <v>2647</v>
      </c>
      <c r="V17" s="55" t="s">
        <v>44</v>
      </c>
      <c r="W17" s="59"/>
      <c r="X17" s="55" t="s">
        <v>2663</v>
      </c>
      <c r="Y17" s="4" t="s">
        <v>203</v>
      </c>
      <c r="Z17" s="414">
        <v>60.0</v>
      </c>
      <c r="AA17" s="55" t="s">
        <v>204</v>
      </c>
    </row>
    <row r="18">
      <c r="A18" s="55" t="s">
        <v>2664</v>
      </c>
      <c r="B18" s="55" t="s">
        <v>2664</v>
      </c>
      <c r="F18" s="55" t="s">
        <v>186</v>
      </c>
      <c r="G18" s="55" t="s">
        <v>2629</v>
      </c>
      <c r="H18" s="56"/>
      <c r="I18" s="58" t="s">
        <v>2665</v>
      </c>
      <c r="J18" s="58"/>
      <c r="K18" s="58"/>
      <c r="L18" s="58" t="s">
        <v>2666</v>
      </c>
      <c r="M18" s="58"/>
      <c r="N18" s="58"/>
      <c r="O18" s="58" t="s">
        <v>2667</v>
      </c>
      <c r="P18" s="58"/>
      <c r="Q18" s="58"/>
      <c r="R18" s="58" t="s">
        <v>2668</v>
      </c>
      <c r="S18" s="58"/>
      <c r="T18" s="58"/>
      <c r="U18" s="60" t="s">
        <v>2647</v>
      </c>
      <c r="V18" s="55" t="s">
        <v>44</v>
      </c>
      <c r="W18" s="59"/>
      <c r="X18" s="55" t="s">
        <v>2669</v>
      </c>
      <c r="Y18" s="4" t="s">
        <v>203</v>
      </c>
      <c r="Z18" s="414">
        <v>60.0</v>
      </c>
      <c r="AA18" s="55" t="s">
        <v>204</v>
      </c>
    </row>
    <row r="19">
      <c r="A19" s="55" t="s">
        <v>2670</v>
      </c>
      <c r="B19" s="55" t="s">
        <v>2670</v>
      </c>
      <c r="F19" s="55" t="s">
        <v>186</v>
      </c>
      <c r="G19" s="55" t="s">
        <v>2629</v>
      </c>
      <c r="H19" s="56"/>
      <c r="I19" s="58" t="s">
        <v>2671</v>
      </c>
      <c r="J19" s="58"/>
      <c r="K19" s="58"/>
      <c r="L19" s="58" t="s">
        <v>2672</v>
      </c>
      <c r="M19" s="58"/>
      <c r="N19" s="58"/>
      <c r="O19" s="58" t="s">
        <v>2673</v>
      </c>
      <c r="P19" s="58"/>
      <c r="Q19" s="58"/>
      <c r="R19" s="58" t="s">
        <v>1625</v>
      </c>
      <c r="S19" s="58"/>
      <c r="T19" s="58"/>
      <c r="U19" s="60" t="s">
        <v>2647</v>
      </c>
      <c r="V19" s="55" t="s">
        <v>44</v>
      </c>
      <c r="W19" s="59"/>
      <c r="X19" s="55" t="s">
        <v>2674</v>
      </c>
      <c r="Y19" s="4" t="s">
        <v>203</v>
      </c>
      <c r="Z19" s="414">
        <v>60.0</v>
      </c>
      <c r="AA19" s="55" t="s">
        <v>204</v>
      </c>
    </row>
    <row r="20">
      <c r="A20" s="55" t="s">
        <v>2675</v>
      </c>
      <c r="B20" s="55" t="s">
        <v>2675</v>
      </c>
      <c r="F20" s="55" t="s">
        <v>186</v>
      </c>
      <c r="G20" s="55" t="s">
        <v>2629</v>
      </c>
      <c r="H20" s="56"/>
      <c r="I20" s="58" t="s">
        <v>266</v>
      </c>
      <c r="J20" s="58"/>
      <c r="K20" s="58"/>
      <c r="L20" s="58" t="s">
        <v>2676</v>
      </c>
      <c r="M20" s="58"/>
      <c r="N20" s="58"/>
      <c r="O20" s="58" t="s">
        <v>2677</v>
      </c>
      <c r="P20" s="58"/>
      <c r="Q20" s="58"/>
      <c r="R20" s="58" t="s">
        <v>2678</v>
      </c>
      <c r="S20" s="58"/>
      <c r="T20" s="58"/>
      <c r="U20" s="60" t="s">
        <v>2647</v>
      </c>
      <c r="V20" s="55" t="s">
        <v>44</v>
      </c>
      <c r="W20" s="59"/>
      <c r="X20" s="55" t="s">
        <v>2679</v>
      </c>
      <c r="Y20" s="4" t="s">
        <v>203</v>
      </c>
      <c r="Z20" s="414">
        <v>60.0</v>
      </c>
      <c r="AA20" s="55" t="s">
        <v>204</v>
      </c>
    </row>
    <row r="21">
      <c r="A21" s="55" t="s">
        <v>2680</v>
      </c>
      <c r="B21" s="55" t="s">
        <v>2680</v>
      </c>
      <c r="F21" s="55" t="s">
        <v>186</v>
      </c>
      <c r="G21" s="55" t="s">
        <v>2629</v>
      </c>
      <c r="H21" s="56"/>
      <c r="I21" s="57" t="s">
        <v>2681</v>
      </c>
      <c r="J21" s="58"/>
      <c r="K21" s="58"/>
      <c r="L21" s="58" t="s">
        <v>2682</v>
      </c>
      <c r="M21" s="58"/>
      <c r="N21" s="58"/>
      <c r="O21" s="58" t="s">
        <v>2683</v>
      </c>
      <c r="P21" s="58"/>
      <c r="Q21" s="58"/>
      <c r="R21" s="58" t="s">
        <v>2684</v>
      </c>
      <c r="S21" s="58"/>
      <c r="T21" s="58"/>
      <c r="U21" s="60" t="s">
        <v>2647</v>
      </c>
      <c r="V21" s="55" t="s">
        <v>44</v>
      </c>
      <c r="W21" s="59"/>
      <c r="X21" s="55" t="s">
        <v>2685</v>
      </c>
      <c r="Y21" s="4" t="s">
        <v>203</v>
      </c>
      <c r="Z21" s="414">
        <v>60.0</v>
      </c>
      <c r="AA21" s="55" t="s">
        <v>204</v>
      </c>
    </row>
    <row r="22">
      <c r="A22" s="55" t="s">
        <v>2686</v>
      </c>
      <c r="B22" s="55" t="s">
        <v>2686</v>
      </c>
      <c r="F22" s="55" t="s">
        <v>186</v>
      </c>
      <c r="G22" s="55" t="s">
        <v>2629</v>
      </c>
      <c r="H22" s="56"/>
      <c r="I22" s="58" t="s">
        <v>281</v>
      </c>
      <c r="J22" s="58"/>
      <c r="K22" s="58"/>
      <c r="L22" s="58" t="s">
        <v>2687</v>
      </c>
      <c r="M22" s="58"/>
      <c r="N22" s="58"/>
      <c r="O22" s="58" t="s">
        <v>2688</v>
      </c>
      <c r="P22" s="58"/>
      <c r="Q22" s="58"/>
      <c r="R22" s="58" t="s">
        <v>2689</v>
      </c>
      <c r="S22" s="58"/>
      <c r="T22" s="58"/>
      <c r="U22" s="60" t="s">
        <v>2647</v>
      </c>
      <c r="V22" s="55" t="s">
        <v>44</v>
      </c>
      <c r="W22" s="59"/>
      <c r="X22" s="55" t="s">
        <v>2690</v>
      </c>
      <c r="Y22" s="4" t="s">
        <v>203</v>
      </c>
      <c r="Z22" s="414">
        <v>60.0</v>
      </c>
      <c r="AA22" s="55" t="s">
        <v>204</v>
      </c>
    </row>
    <row r="23">
      <c r="A23" s="55" t="s">
        <v>2691</v>
      </c>
      <c r="B23" s="55" t="s">
        <v>2691</v>
      </c>
      <c r="F23" s="55" t="s">
        <v>186</v>
      </c>
      <c r="G23" s="55" t="s">
        <v>2629</v>
      </c>
      <c r="H23" s="56"/>
      <c r="I23" s="58" t="s">
        <v>2692</v>
      </c>
      <c r="J23" s="58"/>
      <c r="K23" s="58"/>
      <c r="L23" s="58" t="s">
        <v>1889</v>
      </c>
      <c r="M23" s="58"/>
      <c r="N23" s="58"/>
      <c r="O23" s="58" t="s">
        <v>1910</v>
      </c>
      <c r="P23" s="58"/>
      <c r="Q23" s="58"/>
      <c r="R23" s="58" t="s">
        <v>2693</v>
      </c>
      <c r="S23" s="58"/>
      <c r="T23" s="58"/>
      <c r="U23" s="60" t="s">
        <v>2647</v>
      </c>
      <c r="V23" s="55" t="s">
        <v>44</v>
      </c>
      <c r="W23" s="59"/>
      <c r="X23" s="55" t="s">
        <v>2694</v>
      </c>
      <c r="Y23" s="4" t="s">
        <v>203</v>
      </c>
      <c r="Z23" s="414">
        <v>60.0</v>
      </c>
      <c r="AA23" s="55" t="s">
        <v>204</v>
      </c>
    </row>
    <row r="24">
      <c r="A24" s="55" t="s">
        <v>2695</v>
      </c>
      <c r="B24" s="55" t="s">
        <v>2695</v>
      </c>
      <c r="F24" s="55" t="s">
        <v>186</v>
      </c>
      <c r="G24" s="55" t="s">
        <v>2629</v>
      </c>
      <c r="H24" s="56"/>
      <c r="I24" s="58" t="s">
        <v>2696</v>
      </c>
      <c r="J24" s="58"/>
      <c r="K24" s="58"/>
      <c r="L24" s="58" t="s">
        <v>2697</v>
      </c>
      <c r="M24" s="58"/>
      <c r="N24" s="58"/>
      <c r="O24" s="58" t="s">
        <v>2698</v>
      </c>
      <c r="P24" s="58"/>
      <c r="Q24" s="58"/>
      <c r="R24" s="58" t="s">
        <v>2699</v>
      </c>
      <c r="S24" s="58"/>
      <c r="T24" s="58"/>
      <c r="U24" s="60" t="s">
        <v>2647</v>
      </c>
      <c r="V24" s="55" t="s">
        <v>44</v>
      </c>
      <c r="W24" s="59"/>
      <c r="X24" s="55" t="s">
        <v>2700</v>
      </c>
      <c r="Y24" s="4" t="s">
        <v>203</v>
      </c>
      <c r="Z24" s="414">
        <v>60.0</v>
      </c>
      <c r="AA24" s="55" t="s">
        <v>204</v>
      </c>
    </row>
    <row r="25">
      <c r="A25" s="55" t="s">
        <v>2701</v>
      </c>
      <c r="B25" s="55" t="s">
        <v>2701</v>
      </c>
      <c r="F25" s="55" t="s">
        <v>186</v>
      </c>
      <c r="G25" s="55" t="s">
        <v>2629</v>
      </c>
      <c r="H25" s="56"/>
      <c r="I25" s="58" t="s">
        <v>2702</v>
      </c>
      <c r="J25" s="58"/>
      <c r="K25" s="58"/>
      <c r="L25" s="58" t="s">
        <v>2703</v>
      </c>
      <c r="M25" s="58"/>
      <c r="N25" s="58"/>
      <c r="O25" s="58" t="s">
        <v>2704</v>
      </c>
      <c r="P25" s="58"/>
      <c r="Q25" s="58"/>
      <c r="R25" s="58" t="s">
        <v>2705</v>
      </c>
      <c r="S25" s="58"/>
      <c r="T25" s="58"/>
      <c r="U25" s="60" t="s">
        <v>2647</v>
      </c>
      <c r="V25" s="55" t="s">
        <v>44</v>
      </c>
      <c r="W25" s="59"/>
      <c r="X25" s="55" t="s">
        <v>2706</v>
      </c>
      <c r="Y25" s="4" t="s">
        <v>203</v>
      </c>
      <c r="Z25" s="414">
        <v>60.0</v>
      </c>
      <c r="AA25" s="55" t="s">
        <v>204</v>
      </c>
    </row>
    <row r="26">
      <c r="A26" s="55" t="s">
        <v>2707</v>
      </c>
      <c r="B26" s="55" t="s">
        <v>2707</v>
      </c>
      <c r="F26" s="55" t="s">
        <v>186</v>
      </c>
      <c r="G26" s="55" t="s">
        <v>2629</v>
      </c>
      <c r="H26" s="56"/>
      <c r="I26" s="58" t="s">
        <v>2708</v>
      </c>
      <c r="J26" s="58"/>
      <c r="K26" s="58"/>
      <c r="L26" s="58" t="s">
        <v>2709</v>
      </c>
      <c r="M26" s="58"/>
      <c r="N26" s="58"/>
      <c r="O26" s="58" t="s">
        <v>2710</v>
      </c>
      <c r="P26" s="58"/>
      <c r="Q26" s="58"/>
      <c r="R26" s="58" t="s">
        <v>2711</v>
      </c>
      <c r="S26" s="58"/>
      <c r="T26" s="58"/>
      <c r="U26" s="60" t="s">
        <v>2647</v>
      </c>
      <c r="V26" s="55" t="s">
        <v>44</v>
      </c>
      <c r="W26" s="59"/>
      <c r="X26" s="55" t="s">
        <v>2712</v>
      </c>
      <c r="Y26" s="4" t="s">
        <v>203</v>
      </c>
      <c r="Z26" s="414">
        <v>60.0</v>
      </c>
      <c r="AA26" s="55" t="s">
        <v>204</v>
      </c>
    </row>
    <row r="27">
      <c r="A27" s="55" t="s">
        <v>2713</v>
      </c>
      <c r="B27" s="55" t="s">
        <v>2713</v>
      </c>
      <c r="F27" s="55" t="s">
        <v>186</v>
      </c>
      <c r="G27" s="55" t="s">
        <v>2714</v>
      </c>
      <c r="H27" s="56"/>
      <c r="I27" s="58" t="s">
        <v>2715</v>
      </c>
      <c r="J27" s="58"/>
      <c r="K27" s="58"/>
      <c r="L27" s="58" t="s">
        <v>2716</v>
      </c>
      <c r="M27" s="58"/>
      <c r="N27" s="58"/>
      <c r="O27" s="58" t="s">
        <v>2717</v>
      </c>
      <c r="P27" s="58"/>
      <c r="Q27" s="58"/>
      <c r="R27" s="58" t="s">
        <v>2718</v>
      </c>
      <c r="S27" s="58"/>
      <c r="T27" s="58"/>
      <c r="U27" s="60" t="s">
        <v>2719</v>
      </c>
      <c r="V27" s="55" t="s">
        <v>44</v>
      </c>
      <c r="W27" s="59"/>
      <c r="X27" s="55" t="s">
        <v>2720</v>
      </c>
      <c r="Y27" s="4" t="s">
        <v>203</v>
      </c>
      <c r="Z27" s="414">
        <v>60.0</v>
      </c>
      <c r="AA27" s="55" t="s">
        <v>204</v>
      </c>
    </row>
    <row r="28">
      <c r="A28" s="55" t="s">
        <v>2721</v>
      </c>
      <c r="B28" s="55" t="s">
        <v>2721</v>
      </c>
      <c r="F28" s="55" t="s">
        <v>186</v>
      </c>
      <c r="G28" s="55" t="s">
        <v>2714</v>
      </c>
      <c r="H28" s="56"/>
      <c r="I28" s="58" t="s">
        <v>2722</v>
      </c>
      <c r="J28" s="58"/>
      <c r="K28" s="58"/>
      <c r="L28" s="58" t="s">
        <v>2723</v>
      </c>
      <c r="M28" s="58"/>
      <c r="N28" s="58"/>
      <c r="O28" s="58" t="s">
        <v>2724</v>
      </c>
      <c r="P28" s="58"/>
      <c r="Q28" s="58"/>
      <c r="R28" s="58" t="s">
        <v>2725</v>
      </c>
      <c r="S28" s="58"/>
      <c r="T28" s="58"/>
      <c r="U28" s="60" t="s">
        <v>2719</v>
      </c>
      <c r="V28" s="55" t="s">
        <v>44</v>
      </c>
      <c r="W28" s="59"/>
      <c r="X28" s="55" t="s">
        <v>2726</v>
      </c>
      <c r="Y28" s="4" t="s">
        <v>203</v>
      </c>
      <c r="Z28" s="414">
        <v>60.0</v>
      </c>
      <c r="AA28" s="55" t="s">
        <v>204</v>
      </c>
    </row>
    <row r="29">
      <c r="A29" s="55" t="s">
        <v>2727</v>
      </c>
      <c r="B29" s="55" t="s">
        <v>2727</v>
      </c>
      <c r="F29" s="55" t="s">
        <v>186</v>
      </c>
      <c r="G29" s="55" t="s">
        <v>2714</v>
      </c>
      <c r="H29" s="56"/>
      <c r="I29" s="58" t="s">
        <v>2728</v>
      </c>
      <c r="J29" s="58"/>
      <c r="K29" s="58"/>
      <c r="L29" s="58" t="s">
        <v>2729</v>
      </c>
      <c r="M29" s="58"/>
      <c r="N29" s="58"/>
      <c r="O29" s="58" t="s">
        <v>2730</v>
      </c>
      <c r="P29" s="58"/>
      <c r="Q29" s="58"/>
      <c r="R29" s="58" t="s">
        <v>2731</v>
      </c>
      <c r="S29" s="58"/>
      <c r="T29" s="58"/>
      <c r="U29" s="60" t="s">
        <v>2719</v>
      </c>
      <c r="V29" s="55" t="s">
        <v>44</v>
      </c>
      <c r="W29" s="59"/>
      <c r="X29" s="55" t="s">
        <v>2732</v>
      </c>
      <c r="Y29" s="4" t="s">
        <v>203</v>
      </c>
      <c r="Z29" s="414">
        <v>60.0</v>
      </c>
      <c r="AA29" s="55" t="s">
        <v>204</v>
      </c>
    </row>
    <row r="30">
      <c r="A30" s="55" t="s">
        <v>2733</v>
      </c>
      <c r="B30" s="55" t="s">
        <v>2733</v>
      </c>
      <c r="F30" s="55" t="s">
        <v>186</v>
      </c>
      <c r="G30" s="55" t="s">
        <v>2714</v>
      </c>
      <c r="H30" s="56"/>
      <c r="I30" s="58" t="s">
        <v>2734</v>
      </c>
      <c r="J30" s="58"/>
      <c r="K30" s="58"/>
      <c r="L30" s="58" t="s">
        <v>2735</v>
      </c>
      <c r="M30" s="58"/>
      <c r="N30" s="58"/>
      <c r="O30" s="58" t="s">
        <v>2736</v>
      </c>
      <c r="P30" s="58"/>
      <c r="Q30" s="58"/>
      <c r="R30" s="58" t="s">
        <v>2737</v>
      </c>
      <c r="S30" s="58"/>
      <c r="T30" s="58"/>
      <c r="U30" s="60" t="s">
        <v>2719</v>
      </c>
      <c r="V30" s="55" t="s">
        <v>44</v>
      </c>
      <c r="W30" s="59"/>
      <c r="X30" s="55" t="s">
        <v>2738</v>
      </c>
      <c r="Y30" s="4" t="s">
        <v>203</v>
      </c>
      <c r="Z30" s="414">
        <v>60.0</v>
      </c>
      <c r="AA30" s="55" t="s">
        <v>204</v>
      </c>
    </row>
    <row r="31">
      <c r="A31" s="55" t="s">
        <v>2739</v>
      </c>
      <c r="B31" s="55" t="s">
        <v>2739</v>
      </c>
      <c r="F31" s="55" t="s">
        <v>186</v>
      </c>
      <c r="G31" s="55" t="s">
        <v>2714</v>
      </c>
      <c r="H31" s="56"/>
      <c r="I31" s="58" t="s">
        <v>2740</v>
      </c>
      <c r="J31" s="58"/>
      <c r="K31" s="58"/>
      <c r="L31" s="58" t="s">
        <v>2741</v>
      </c>
      <c r="M31" s="58"/>
      <c r="N31" s="58"/>
      <c r="O31" s="58" t="s">
        <v>2742</v>
      </c>
      <c r="P31" s="58"/>
      <c r="Q31" s="58"/>
      <c r="R31" s="58" t="s">
        <v>2743</v>
      </c>
      <c r="S31" s="58"/>
      <c r="T31" s="58"/>
      <c r="U31" s="60" t="s">
        <v>2719</v>
      </c>
      <c r="V31" s="55" t="s">
        <v>44</v>
      </c>
      <c r="W31" s="59"/>
      <c r="X31" s="55" t="s">
        <v>2744</v>
      </c>
      <c r="Y31" s="4" t="s">
        <v>203</v>
      </c>
      <c r="Z31" s="414">
        <v>60.0</v>
      </c>
      <c r="AA31" s="55" t="s">
        <v>204</v>
      </c>
    </row>
    <row r="32">
      <c r="A32" s="55" t="s">
        <v>2745</v>
      </c>
      <c r="B32" s="55" t="s">
        <v>2745</v>
      </c>
      <c r="F32" s="55" t="s">
        <v>186</v>
      </c>
      <c r="G32" s="55" t="s">
        <v>2714</v>
      </c>
      <c r="H32" s="56"/>
      <c r="I32" s="58" t="s">
        <v>2746</v>
      </c>
      <c r="J32" s="58"/>
      <c r="K32" s="58"/>
      <c r="L32" s="58" t="s">
        <v>2747</v>
      </c>
      <c r="M32" s="58"/>
      <c r="N32" s="58"/>
      <c r="O32" s="58" t="s">
        <v>2717</v>
      </c>
      <c r="P32" s="58"/>
      <c r="Q32" s="58"/>
      <c r="R32" s="58" t="s">
        <v>2748</v>
      </c>
      <c r="S32" s="58"/>
      <c r="T32" s="58"/>
      <c r="U32" s="60" t="s">
        <v>2719</v>
      </c>
      <c r="V32" s="55" t="s">
        <v>44</v>
      </c>
      <c r="W32" s="59"/>
      <c r="X32" s="55" t="s">
        <v>2749</v>
      </c>
      <c r="Y32" s="4" t="s">
        <v>203</v>
      </c>
      <c r="Z32" s="414">
        <v>60.0</v>
      </c>
      <c r="AA32" s="55" t="s">
        <v>204</v>
      </c>
    </row>
    <row r="33">
      <c r="A33" s="55" t="s">
        <v>2750</v>
      </c>
      <c r="B33" s="55" t="s">
        <v>2750</v>
      </c>
      <c r="F33" s="55" t="s">
        <v>186</v>
      </c>
      <c r="G33" s="55" t="s">
        <v>2714</v>
      </c>
      <c r="H33" s="56"/>
      <c r="I33" s="58" t="s">
        <v>2751</v>
      </c>
      <c r="J33" s="58"/>
      <c r="K33" s="58"/>
      <c r="L33" s="58" t="s">
        <v>2752</v>
      </c>
      <c r="M33" s="58"/>
      <c r="N33" s="58"/>
      <c r="O33" s="58" t="s">
        <v>2753</v>
      </c>
      <c r="P33" s="58"/>
      <c r="Q33" s="58"/>
      <c r="R33" s="58" t="s">
        <v>2754</v>
      </c>
      <c r="S33" s="58"/>
      <c r="T33" s="58"/>
      <c r="U33" s="60" t="s">
        <v>2719</v>
      </c>
      <c r="V33" s="55" t="s">
        <v>44</v>
      </c>
      <c r="W33" s="59"/>
      <c r="X33" s="55" t="s">
        <v>2755</v>
      </c>
      <c r="Y33" s="4" t="s">
        <v>203</v>
      </c>
      <c r="Z33" s="414">
        <v>60.0</v>
      </c>
      <c r="AA33" s="55" t="s">
        <v>204</v>
      </c>
    </row>
    <row r="34">
      <c r="A34" s="55" t="s">
        <v>2756</v>
      </c>
      <c r="B34" s="55" t="s">
        <v>2756</v>
      </c>
      <c r="F34" s="55" t="s">
        <v>186</v>
      </c>
      <c r="G34" s="55" t="s">
        <v>2714</v>
      </c>
      <c r="H34" s="56"/>
      <c r="I34" s="58" t="s">
        <v>2757</v>
      </c>
      <c r="J34" s="58"/>
      <c r="K34" s="58"/>
      <c r="L34" s="58" t="s">
        <v>2758</v>
      </c>
      <c r="M34" s="58"/>
      <c r="N34" s="58"/>
      <c r="O34" s="58" t="s">
        <v>2759</v>
      </c>
      <c r="P34" s="58"/>
      <c r="Q34" s="58"/>
      <c r="R34" s="58" t="s">
        <v>2760</v>
      </c>
      <c r="S34" s="58"/>
      <c r="T34" s="58"/>
      <c r="U34" s="60" t="s">
        <v>2719</v>
      </c>
      <c r="V34" s="55" t="s">
        <v>44</v>
      </c>
      <c r="W34" s="59"/>
      <c r="X34" s="55" t="s">
        <v>2761</v>
      </c>
      <c r="Y34" s="4" t="s">
        <v>203</v>
      </c>
      <c r="Z34" s="414">
        <v>60.0</v>
      </c>
      <c r="AA34" s="55" t="s">
        <v>204</v>
      </c>
    </row>
    <row r="35">
      <c r="A35" s="55" t="s">
        <v>2762</v>
      </c>
      <c r="B35" s="55" t="s">
        <v>2762</v>
      </c>
      <c r="F35" s="55" t="s">
        <v>186</v>
      </c>
      <c r="G35" s="55" t="s">
        <v>2714</v>
      </c>
      <c r="H35" s="56"/>
      <c r="I35" s="58" t="s">
        <v>2763</v>
      </c>
      <c r="J35" s="58"/>
      <c r="K35" s="58"/>
      <c r="L35" s="58" t="s">
        <v>2764</v>
      </c>
      <c r="M35" s="58"/>
      <c r="N35" s="58"/>
      <c r="O35" s="58" t="s">
        <v>2765</v>
      </c>
      <c r="P35" s="58"/>
      <c r="Q35" s="58"/>
      <c r="R35" s="58" t="s">
        <v>2766</v>
      </c>
      <c r="S35" s="58"/>
      <c r="T35" s="58"/>
      <c r="U35" s="60" t="s">
        <v>2719</v>
      </c>
      <c r="V35" s="55" t="s">
        <v>44</v>
      </c>
      <c r="W35" s="59"/>
      <c r="X35" s="55" t="s">
        <v>2767</v>
      </c>
      <c r="Y35" s="4" t="s">
        <v>203</v>
      </c>
      <c r="Z35" s="414">
        <v>60.0</v>
      </c>
      <c r="AA35" s="55" t="s">
        <v>204</v>
      </c>
    </row>
    <row r="36">
      <c r="A36" s="55" t="s">
        <v>2768</v>
      </c>
      <c r="B36" s="55" t="s">
        <v>2768</v>
      </c>
      <c r="F36" s="55" t="s">
        <v>186</v>
      </c>
      <c r="G36" s="55" t="s">
        <v>2714</v>
      </c>
      <c r="H36" s="56"/>
      <c r="I36" s="58" t="s">
        <v>2769</v>
      </c>
      <c r="J36" s="58"/>
      <c r="K36" s="58"/>
      <c r="L36" s="58" t="s">
        <v>2770</v>
      </c>
      <c r="M36" s="58"/>
      <c r="N36" s="58"/>
      <c r="O36" s="58" t="s">
        <v>2771</v>
      </c>
      <c r="P36" s="58"/>
      <c r="Q36" s="58"/>
      <c r="R36" s="58" t="s">
        <v>2772</v>
      </c>
      <c r="S36" s="58"/>
      <c r="T36" s="58"/>
      <c r="U36" s="60" t="s">
        <v>2719</v>
      </c>
      <c r="V36" s="55" t="s">
        <v>44</v>
      </c>
      <c r="W36" s="59"/>
      <c r="X36" s="55" t="s">
        <v>2773</v>
      </c>
      <c r="Y36" s="4" t="s">
        <v>203</v>
      </c>
      <c r="Z36" s="414">
        <v>60.0</v>
      </c>
      <c r="AA36" s="55" t="s">
        <v>204</v>
      </c>
    </row>
    <row r="37">
      <c r="A37" s="55" t="s">
        <v>2774</v>
      </c>
      <c r="B37" s="55" t="s">
        <v>2774</v>
      </c>
      <c r="F37" s="55" t="s">
        <v>186</v>
      </c>
      <c r="G37" s="55" t="s">
        <v>2714</v>
      </c>
      <c r="H37" s="56"/>
      <c r="I37" s="58" t="s">
        <v>317</v>
      </c>
      <c r="J37" s="58"/>
      <c r="K37" s="58"/>
      <c r="L37" s="58" t="s">
        <v>2775</v>
      </c>
      <c r="M37" s="58"/>
      <c r="N37" s="58"/>
      <c r="O37" s="58" t="s">
        <v>2776</v>
      </c>
      <c r="P37" s="58"/>
      <c r="Q37" s="58"/>
      <c r="R37" s="58" t="s">
        <v>2777</v>
      </c>
      <c r="S37" s="58"/>
      <c r="T37" s="58"/>
      <c r="U37" s="60" t="s">
        <v>2719</v>
      </c>
      <c r="V37" s="55" t="s">
        <v>44</v>
      </c>
      <c r="W37" s="59"/>
      <c r="X37" s="55" t="s">
        <v>2778</v>
      </c>
      <c r="Y37" s="4" t="s">
        <v>203</v>
      </c>
      <c r="Z37" s="414">
        <v>60.0</v>
      </c>
      <c r="AA37" s="55" t="s">
        <v>204</v>
      </c>
    </row>
    <row r="38">
      <c r="A38" s="55" t="s">
        <v>2779</v>
      </c>
      <c r="B38" s="55" t="s">
        <v>2779</v>
      </c>
      <c r="F38" s="55" t="s">
        <v>186</v>
      </c>
      <c r="G38" s="55" t="s">
        <v>2714</v>
      </c>
      <c r="H38" s="56"/>
      <c r="I38" s="58" t="s">
        <v>2780</v>
      </c>
      <c r="J38" s="58"/>
      <c r="K38" s="58"/>
      <c r="L38" s="58" t="s">
        <v>2781</v>
      </c>
      <c r="M38" s="58"/>
      <c r="N38" s="58"/>
      <c r="O38" s="58" t="s">
        <v>2782</v>
      </c>
      <c r="P38" s="58"/>
      <c r="Q38" s="58"/>
      <c r="R38" s="58" t="s">
        <v>2783</v>
      </c>
      <c r="S38" s="58"/>
      <c r="T38" s="58"/>
      <c r="U38" s="60" t="s">
        <v>2719</v>
      </c>
      <c r="V38" s="55" t="s">
        <v>44</v>
      </c>
      <c r="W38" s="59"/>
      <c r="X38" s="55" t="s">
        <v>2784</v>
      </c>
      <c r="Y38" s="4" t="s">
        <v>203</v>
      </c>
      <c r="Z38" s="414">
        <v>60.0</v>
      </c>
      <c r="AA38" s="55" t="s">
        <v>204</v>
      </c>
    </row>
    <row r="39">
      <c r="A39" s="55" t="s">
        <v>2785</v>
      </c>
      <c r="B39" s="55" t="s">
        <v>2785</v>
      </c>
      <c r="F39" s="55" t="s">
        <v>186</v>
      </c>
      <c r="G39" s="55" t="s">
        <v>2714</v>
      </c>
      <c r="H39" s="56"/>
      <c r="I39" s="58" t="s">
        <v>2786</v>
      </c>
      <c r="J39" s="58"/>
      <c r="K39" s="58"/>
      <c r="L39" s="58" t="s">
        <v>2787</v>
      </c>
      <c r="M39" s="58"/>
      <c r="N39" s="58"/>
      <c r="O39" s="58" t="s">
        <v>2788</v>
      </c>
      <c r="P39" s="58"/>
      <c r="Q39" s="58"/>
      <c r="R39" s="58" t="s">
        <v>2789</v>
      </c>
      <c r="S39" s="58"/>
      <c r="T39" s="58"/>
      <c r="U39" s="60" t="s">
        <v>2719</v>
      </c>
      <c r="V39" s="55" t="s">
        <v>44</v>
      </c>
      <c r="W39" s="59"/>
      <c r="X39" s="55" t="s">
        <v>2790</v>
      </c>
      <c r="Y39" s="4" t="s">
        <v>203</v>
      </c>
      <c r="Z39" s="414">
        <v>60.0</v>
      </c>
      <c r="AA39" s="55" t="s">
        <v>204</v>
      </c>
    </row>
    <row r="40">
      <c r="A40" s="55" t="s">
        <v>2791</v>
      </c>
      <c r="B40" s="55" t="s">
        <v>2791</v>
      </c>
      <c r="F40" s="55" t="s">
        <v>186</v>
      </c>
      <c r="G40" s="55" t="s">
        <v>2714</v>
      </c>
      <c r="H40" s="56"/>
      <c r="I40" s="58" t="s">
        <v>2792</v>
      </c>
      <c r="J40" s="58"/>
      <c r="K40" s="58"/>
      <c r="L40" s="58" t="s">
        <v>2793</v>
      </c>
      <c r="M40" s="58"/>
      <c r="N40" s="58"/>
      <c r="O40" s="58" t="s">
        <v>2794</v>
      </c>
      <c r="P40" s="58"/>
      <c r="Q40" s="58"/>
      <c r="R40" s="58" t="s">
        <v>1889</v>
      </c>
      <c r="S40" s="58"/>
      <c r="T40" s="58"/>
      <c r="U40" s="60" t="s">
        <v>2719</v>
      </c>
      <c r="V40" s="55" t="s">
        <v>44</v>
      </c>
      <c r="W40" s="59"/>
      <c r="X40" s="55" t="s">
        <v>2795</v>
      </c>
      <c r="Y40" s="4" t="s">
        <v>203</v>
      </c>
      <c r="Z40" s="414">
        <v>60.0</v>
      </c>
      <c r="AA40" s="55" t="s">
        <v>204</v>
      </c>
    </row>
    <row r="41">
      <c r="A41" s="55" t="s">
        <v>2796</v>
      </c>
      <c r="B41" s="55" t="s">
        <v>2796</v>
      </c>
      <c r="F41" s="55" t="s">
        <v>186</v>
      </c>
      <c r="G41" s="55" t="s">
        <v>2714</v>
      </c>
      <c r="H41" s="56"/>
      <c r="I41" s="58" t="s">
        <v>2797</v>
      </c>
      <c r="J41" s="58"/>
      <c r="K41" s="58"/>
      <c r="L41" s="58" t="s">
        <v>2798</v>
      </c>
      <c r="M41" s="58"/>
      <c r="N41" s="58"/>
      <c r="O41" s="58" t="s">
        <v>2799</v>
      </c>
      <c r="P41" s="58"/>
      <c r="Q41" s="58"/>
      <c r="R41" s="58" t="s">
        <v>2800</v>
      </c>
      <c r="S41" s="58"/>
      <c r="T41" s="58"/>
      <c r="U41" s="60" t="s">
        <v>2719</v>
      </c>
      <c r="V41" s="55" t="s">
        <v>44</v>
      </c>
      <c r="W41" s="59"/>
      <c r="X41" s="55" t="s">
        <v>2801</v>
      </c>
      <c r="Y41" s="4" t="s">
        <v>203</v>
      </c>
      <c r="Z41" s="414">
        <v>60.0</v>
      </c>
      <c r="AA41" s="55" t="s">
        <v>204</v>
      </c>
    </row>
    <row r="42">
      <c r="A42" s="55" t="s">
        <v>2802</v>
      </c>
      <c r="B42" s="55" t="s">
        <v>2802</v>
      </c>
      <c r="F42" s="55" t="s">
        <v>186</v>
      </c>
      <c r="G42" s="55" t="s">
        <v>2714</v>
      </c>
      <c r="H42" s="56"/>
      <c r="I42" s="58" t="s">
        <v>2803</v>
      </c>
      <c r="J42" s="58"/>
      <c r="K42" s="58"/>
      <c r="L42" s="58" t="s">
        <v>2804</v>
      </c>
      <c r="M42" s="58"/>
      <c r="N42" s="58"/>
      <c r="O42" s="58" t="s">
        <v>2805</v>
      </c>
      <c r="P42" s="58"/>
      <c r="Q42" s="58"/>
      <c r="R42" s="58" t="s">
        <v>1687</v>
      </c>
      <c r="S42" s="58"/>
      <c r="T42" s="58"/>
      <c r="U42" s="60" t="s">
        <v>2719</v>
      </c>
      <c r="V42" s="55" t="s">
        <v>44</v>
      </c>
      <c r="W42" s="59"/>
      <c r="X42" s="55" t="s">
        <v>2806</v>
      </c>
      <c r="Y42" s="4" t="s">
        <v>203</v>
      </c>
      <c r="Z42" s="414">
        <v>60.0</v>
      </c>
      <c r="AA42" s="55" t="s">
        <v>204</v>
      </c>
    </row>
    <row r="43">
      <c r="A43" s="55" t="s">
        <v>2807</v>
      </c>
      <c r="B43" s="55" t="s">
        <v>2807</v>
      </c>
      <c r="F43" s="55" t="s">
        <v>186</v>
      </c>
      <c r="G43" s="55" t="s">
        <v>2714</v>
      </c>
      <c r="H43" s="56"/>
      <c r="I43" s="58" t="s">
        <v>326</v>
      </c>
      <c r="J43" s="58"/>
      <c r="K43" s="58"/>
      <c r="L43" s="58" t="s">
        <v>2808</v>
      </c>
      <c r="M43" s="58"/>
      <c r="N43" s="58"/>
      <c r="O43" s="58" t="s">
        <v>2809</v>
      </c>
      <c r="P43" s="58"/>
      <c r="Q43" s="58"/>
      <c r="R43" s="58" t="s">
        <v>2810</v>
      </c>
      <c r="S43" s="58"/>
      <c r="T43" s="58"/>
      <c r="U43" s="60" t="s">
        <v>2719</v>
      </c>
      <c r="V43" s="55" t="s">
        <v>44</v>
      </c>
      <c r="W43" s="59"/>
      <c r="X43" s="55" t="s">
        <v>2811</v>
      </c>
      <c r="Y43" s="4" t="s">
        <v>203</v>
      </c>
      <c r="Z43" s="414">
        <v>60.0</v>
      </c>
      <c r="AA43" s="55" t="s">
        <v>204</v>
      </c>
    </row>
    <row r="44">
      <c r="A44" s="55" t="s">
        <v>2812</v>
      </c>
      <c r="B44" s="55" t="s">
        <v>2812</v>
      </c>
      <c r="F44" s="55" t="s">
        <v>186</v>
      </c>
      <c r="G44" s="55" t="s">
        <v>2813</v>
      </c>
      <c r="H44" s="56"/>
      <c r="I44" s="57" t="s">
        <v>2814</v>
      </c>
      <c r="J44" s="58"/>
      <c r="K44" s="58"/>
      <c r="L44" s="58" t="s">
        <v>2815</v>
      </c>
      <c r="M44" s="58"/>
      <c r="N44" s="58"/>
      <c r="O44" s="58" t="s">
        <v>2816</v>
      </c>
      <c r="P44" s="58"/>
      <c r="Q44" s="58"/>
      <c r="R44" s="58" t="s">
        <v>2817</v>
      </c>
      <c r="S44" s="58"/>
      <c r="T44" s="58"/>
      <c r="U44" s="60" t="s">
        <v>2818</v>
      </c>
      <c r="V44" s="55" t="s">
        <v>48</v>
      </c>
      <c r="W44" s="59"/>
      <c r="X44" s="55" t="s">
        <v>2819</v>
      </c>
      <c r="Y44" s="4" t="s">
        <v>203</v>
      </c>
      <c r="Z44" s="414">
        <v>60.0</v>
      </c>
      <c r="AA44" s="55" t="s">
        <v>204</v>
      </c>
    </row>
    <row r="45">
      <c r="A45" s="55" t="s">
        <v>2820</v>
      </c>
      <c r="B45" s="55" t="s">
        <v>2820</v>
      </c>
      <c r="F45" s="55" t="s">
        <v>186</v>
      </c>
      <c r="G45" s="55" t="s">
        <v>2813</v>
      </c>
      <c r="H45" s="56"/>
      <c r="I45" s="57" t="s">
        <v>2821</v>
      </c>
      <c r="J45" s="58"/>
      <c r="K45" s="58"/>
      <c r="L45" s="58" t="s">
        <v>2822</v>
      </c>
      <c r="M45" s="58"/>
      <c r="N45" s="58"/>
      <c r="O45" s="58" t="s">
        <v>2823</v>
      </c>
      <c r="P45" s="58"/>
      <c r="Q45" s="58"/>
      <c r="R45" s="58" t="s">
        <v>2824</v>
      </c>
      <c r="S45" s="58"/>
      <c r="T45" s="58"/>
      <c r="U45" s="60" t="s">
        <v>2818</v>
      </c>
      <c r="V45" s="55" t="s">
        <v>48</v>
      </c>
      <c r="W45" s="59"/>
      <c r="X45" s="55" t="s">
        <v>2825</v>
      </c>
      <c r="Y45" s="4" t="s">
        <v>203</v>
      </c>
      <c r="Z45" s="414">
        <v>60.0</v>
      </c>
      <c r="AA45" s="55" t="s">
        <v>204</v>
      </c>
    </row>
    <row r="46">
      <c r="A46" s="55" t="s">
        <v>2826</v>
      </c>
      <c r="B46" s="55" t="s">
        <v>2826</v>
      </c>
      <c r="F46" s="55" t="s">
        <v>186</v>
      </c>
      <c r="G46" s="55" t="s">
        <v>2813</v>
      </c>
      <c r="H46" s="56"/>
      <c r="I46" s="57" t="s">
        <v>2827</v>
      </c>
      <c r="J46" s="58"/>
      <c r="K46" s="58"/>
      <c r="L46" s="58" t="s">
        <v>2828</v>
      </c>
      <c r="M46" s="58"/>
      <c r="N46" s="58"/>
      <c r="O46" s="58" t="s">
        <v>2829</v>
      </c>
      <c r="P46" s="58"/>
      <c r="Q46" s="58"/>
      <c r="R46" s="58" t="s">
        <v>2830</v>
      </c>
      <c r="S46" s="58"/>
      <c r="T46" s="58"/>
      <c r="U46" s="60" t="s">
        <v>2818</v>
      </c>
      <c r="V46" s="55" t="s">
        <v>48</v>
      </c>
      <c r="W46" s="59"/>
      <c r="X46" s="55" t="s">
        <v>2831</v>
      </c>
      <c r="Y46" s="4" t="s">
        <v>203</v>
      </c>
      <c r="Z46" s="414">
        <v>60.0</v>
      </c>
      <c r="AA46" s="55" t="s">
        <v>204</v>
      </c>
    </row>
    <row r="47">
      <c r="A47" s="55" t="s">
        <v>2832</v>
      </c>
      <c r="B47" s="55" t="s">
        <v>2832</v>
      </c>
      <c r="F47" s="55" t="s">
        <v>186</v>
      </c>
      <c r="G47" s="55" t="s">
        <v>2813</v>
      </c>
      <c r="H47" s="56"/>
      <c r="I47" s="57" t="s">
        <v>2833</v>
      </c>
      <c r="J47" s="58"/>
      <c r="K47" s="58"/>
      <c r="L47" s="58" t="s">
        <v>2834</v>
      </c>
      <c r="M47" s="58"/>
      <c r="N47" s="58"/>
      <c r="O47" s="58" t="s">
        <v>2835</v>
      </c>
      <c r="P47" s="58"/>
      <c r="Q47" s="58"/>
      <c r="R47" s="58" t="s">
        <v>2836</v>
      </c>
      <c r="S47" s="58"/>
      <c r="T47" s="58"/>
      <c r="U47" s="60" t="s">
        <v>2818</v>
      </c>
      <c r="V47" s="55" t="s">
        <v>48</v>
      </c>
      <c r="W47" s="59"/>
      <c r="X47" s="55" t="s">
        <v>2837</v>
      </c>
      <c r="Y47" s="4" t="s">
        <v>203</v>
      </c>
      <c r="Z47" s="414">
        <v>60.0</v>
      </c>
      <c r="AA47" s="55" t="s">
        <v>204</v>
      </c>
    </row>
    <row r="48">
      <c r="A48" s="55" t="s">
        <v>2838</v>
      </c>
      <c r="B48" s="55" t="s">
        <v>2838</v>
      </c>
      <c r="F48" s="55" t="s">
        <v>186</v>
      </c>
      <c r="G48" s="55" t="s">
        <v>2813</v>
      </c>
      <c r="H48" s="56"/>
      <c r="I48" s="57" t="s">
        <v>2839</v>
      </c>
      <c r="J48" s="58"/>
      <c r="K48" s="58"/>
      <c r="L48" s="58" t="s">
        <v>2840</v>
      </c>
      <c r="M48" s="58"/>
      <c r="N48" s="58"/>
      <c r="O48" s="58" t="s">
        <v>2841</v>
      </c>
      <c r="P48" s="58"/>
      <c r="Q48" s="58"/>
      <c r="R48" s="58" t="s">
        <v>1658</v>
      </c>
      <c r="S48" s="58"/>
      <c r="T48" s="58"/>
      <c r="U48" s="60" t="s">
        <v>2818</v>
      </c>
      <c r="V48" s="55" t="s">
        <v>48</v>
      </c>
      <c r="W48" s="59"/>
      <c r="X48" s="55" t="s">
        <v>2842</v>
      </c>
      <c r="Y48" s="4" t="s">
        <v>203</v>
      </c>
      <c r="Z48" s="414">
        <v>60.0</v>
      </c>
      <c r="AA48" s="55" t="s">
        <v>204</v>
      </c>
    </row>
    <row r="49">
      <c r="A49" s="55" t="s">
        <v>2843</v>
      </c>
      <c r="B49" s="55" t="s">
        <v>2843</v>
      </c>
      <c r="F49" s="55" t="s">
        <v>186</v>
      </c>
      <c r="G49" s="55" t="s">
        <v>2813</v>
      </c>
      <c r="H49" s="56"/>
      <c r="I49" s="57" t="s">
        <v>2844</v>
      </c>
      <c r="J49" s="58"/>
      <c r="K49" s="58"/>
      <c r="L49" s="58" t="s">
        <v>2845</v>
      </c>
      <c r="M49" s="58"/>
      <c r="N49" s="58"/>
      <c r="O49" s="58" t="s">
        <v>2846</v>
      </c>
      <c r="P49" s="58"/>
      <c r="Q49" s="58"/>
      <c r="R49" s="58" t="s">
        <v>2847</v>
      </c>
      <c r="S49" s="58"/>
      <c r="T49" s="58"/>
      <c r="U49" s="60" t="s">
        <v>2818</v>
      </c>
      <c r="V49" s="55" t="s">
        <v>48</v>
      </c>
      <c r="W49" s="59"/>
      <c r="X49" s="55" t="s">
        <v>2848</v>
      </c>
      <c r="Y49" s="4" t="s">
        <v>203</v>
      </c>
      <c r="Z49" s="414">
        <v>60.0</v>
      </c>
      <c r="AA49" s="55" t="s">
        <v>204</v>
      </c>
    </row>
    <row r="50">
      <c r="A50" s="55" t="s">
        <v>2849</v>
      </c>
      <c r="B50" s="55" t="s">
        <v>2849</v>
      </c>
      <c r="F50" s="55" t="s">
        <v>186</v>
      </c>
      <c r="G50" s="55" t="s">
        <v>2813</v>
      </c>
      <c r="H50" s="56"/>
      <c r="I50" s="58" t="s">
        <v>2850</v>
      </c>
      <c r="J50" s="58"/>
      <c r="K50" s="58"/>
      <c r="L50" s="58" t="s">
        <v>2851</v>
      </c>
      <c r="M50" s="58"/>
      <c r="N50" s="58"/>
      <c r="O50" s="58" t="s">
        <v>2852</v>
      </c>
      <c r="P50" s="58"/>
      <c r="Q50" s="58"/>
      <c r="R50" s="58" t="s">
        <v>2853</v>
      </c>
      <c r="S50" s="58"/>
      <c r="T50" s="58"/>
      <c r="U50" s="60" t="s">
        <v>2818</v>
      </c>
      <c r="V50" s="55" t="s">
        <v>48</v>
      </c>
      <c r="W50" s="59"/>
      <c r="X50" s="55" t="s">
        <v>2854</v>
      </c>
      <c r="Y50" s="4" t="s">
        <v>203</v>
      </c>
      <c r="Z50" s="414">
        <v>60.0</v>
      </c>
      <c r="AA50" s="55" t="s">
        <v>204</v>
      </c>
    </row>
    <row r="51">
      <c r="A51" s="55" t="s">
        <v>2855</v>
      </c>
      <c r="B51" s="55" t="s">
        <v>2855</v>
      </c>
      <c r="F51" s="55" t="s">
        <v>186</v>
      </c>
      <c r="G51" s="55" t="s">
        <v>2813</v>
      </c>
      <c r="H51" s="56"/>
      <c r="I51" s="58" t="s">
        <v>2856</v>
      </c>
      <c r="J51" s="58"/>
      <c r="K51" s="58"/>
      <c r="L51" s="58" t="s">
        <v>2857</v>
      </c>
      <c r="M51" s="58"/>
      <c r="N51" s="58"/>
      <c r="O51" s="58" t="s">
        <v>1988</v>
      </c>
      <c r="P51" s="58"/>
      <c r="Q51" s="58"/>
      <c r="R51" s="58" t="s">
        <v>2858</v>
      </c>
      <c r="S51" s="58"/>
      <c r="T51" s="58"/>
      <c r="U51" s="60" t="s">
        <v>2818</v>
      </c>
      <c r="V51" s="55" t="s">
        <v>48</v>
      </c>
      <c r="W51" s="59"/>
      <c r="X51" s="55" t="s">
        <v>2859</v>
      </c>
      <c r="Y51" s="4" t="s">
        <v>203</v>
      </c>
      <c r="Z51" s="414">
        <v>60.0</v>
      </c>
      <c r="AA51" s="55" t="s">
        <v>204</v>
      </c>
    </row>
    <row r="52">
      <c r="A52" s="55" t="s">
        <v>2860</v>
      </c>
      <c r="B52" s="55" t="s">
        <v>2860</v>
      </c>
      <c r="F52" s="55" t="s">
        <v>186</v>
      </c>
      <c r="G52" s="55" t="s">
        <v>2813</v>
      </c>
      <c r="H52" s="56"/>
      <c r="I52" s="58" t="s">
        <v>2861</v>
      </c>
      <c r="J52" s="58"/>
      <c r="K52" s="58"/>
      <c r="L52" s="58" t="s">
        <v>2862</v>
      </c>
      <c r="M52" s="58"/>
      <c r="N52" s="58"/>
      <c r="O52" s="58" t="s">
        <v>2863</v>
      </c>
      <c r="P52" s="58"/>
      <c r="Q52" s="58"/>
      <c r="R52" s="58" t="s">
        <v>2864</v>
      </c>
      <c r="S52" s="58"/>
      <c r="T52" s="58"/>
      <c r="U52" s="60" t="s">
        <v>2818</v>
      </c>
      <c r="V52" s="55" t="s">
        <v>48</v>
      </c>
      <c r="W52" s="59"/>
      <c r="X52" s="55" t="s">
        <v>2865</v>
      </c>
      <c r="Y52" s="4" t="s">
        <v>203</v>
      </c>
      <c r="Z52" s="414">
        <v>60.0</v>
      </c>
      <c r="AA52" s="55" t="s">
        <v>204</v>
      </c>
    </row>
    <row r="53">
      <c r="A53" s="55" t="s">
        <v>2866</v>
      </c>
      <c r="B53" s="55" t="s">
        <v>2866</v>
      </c>
      <c r="F53" s="55" t="s">
        <v>186</v>
      </c>
      <c r="G53" s="55" t="s">
        <v>2813</v>
      </c>
      <c r="H53" s="56"/>
      <c r="I53" s="58" t="s">
        <v>2867</v>
      </c>
      <c r="J53" s="58"/>
      <c r="K53" s="58"/>
      <c r="L53" s="58" t="s">
        <v>2868</v>
      </c>
      <c r="M53" s="58"/>
      <c r="N53" s="58"/>
      <c r="O53" s="58" t="s">
        <v>263</v>
      </c>
      <c r="P53" s="58"/>
      <c r="Q53" s="58"/>
      <c r="R53" s="58" t="s">
        <v>2869</v>
      </c>
      <c r="S53" s="58"/>
      <c r="T53" s="58"/>
      <c r="U53" s="60" t="s">
        <v>2818</v>
      </c>
      <c r="V53" s="55" t="s">
        <v>48</v>
      </c>
      <c r="W53" s="59"/>
      <c r="X53" s="55" t="s">
        <v>2870</v>
      </c>
      <c r="Y53" s="4" t="s">
        <v>203</v>
      </c>
      <c r="Z53" s="414">
        <v>60.0</v>
      </c>
      <c r="AA53" s="55" t="s">
        <v>204</v>
      </c>
    </row>
    <row r="54">
      <c r="A54" s="55" t="s">
        <v>2871</v>
      </c>
      <c r="B54" s="55" t="s">
        <v>2871</v>
      </c>
      <c r="F54" s="55" t="s">
        <v>186</v>
      </c>
      <c r="G54" s="55" t="s">
        <v>2813</v>
      </c>
      <c r="H54" s="56"/>
      <c r="I54" s="58" t="s">
        <v>2872</v>
      </c>
      <c r="J54" s="58"/>
      <c r="K54" s="58"/>
      <c r="L54" s="58" t="s">
        <v>2873</v>
      </c>
      <c r="M54" s="58"/>
      <c r="N54" s="58"/>
      <c r="O54" s="58" t="s">
        <v>2874</v>
      </c>
      <c r="P54" s="58"/>
      <c r="Q54" s="58"/>
      <c r="R54" s="58" t="s">
        <v>2875</v>
      </c>
      <c r="S54" s="58"/>
      <c r="T54" s="58"/>
      <c r="U54" s="60" t="s">
        <v>2818</v>
      </c>
      <c r="V54" s="55" t="s">
        <v>48</v>
      </c>
      <c r="W54" s="59"/>
      <c r="X54" s="55" t="s">
        <v>2876</v>
      </c>
      <c r="Y54" s="4" t="s">
        <v>203</v>
      </c>
      <c r="Z54" s="414">
        <v>60.0</v>
      </c>
      <c r="AA54" s="55" t="s">
        <v>204</v>
      </c>
    </row>
    <row r="55">
      <c r="A55" s="55" t="s">
        <v>2877</v>
      </c>
      <c r="B55" s="55" t="s">
        <v>2877</v>
      </c>
      <c r="F55" s="55" t="s">
        <v>186</v>
      </c>
      <c r="G55" s="55" t="s">
        <v>2813</v>
      </c>
      <c r="H55" s="56"/>
      <c r="I55" s="58" t="s">
        <v>2878</v>
      </c>
      <c r="J55" s="58"/>
      <c r="K55" s="58"/>
      <c r="L55" s="58" t="s">
        <v>2879</v>
      </c>
      <c r="M55" s="58"/>
      <c r="N55" s="58"/>
      <c r="O55" s="58" t="s">
        <v>1925</v>
      </c>
      <c r="P55" s="58"/>
      <c r="Q55" s="58"/>
      <c r="R55" s="58" t="s">
        <v>2880</v>
      </c>
      <c r="S55" s="58"/>
      <c r="T55" s="58"/>
      <c r="U55" s="60" t="s">
        <v>2818</v>
      </c>
      <c r="V55" s="55" t="s">
        <v>48</v>
      </c>
      <c r="W55" s="59"/>
      <c r="X55" s="55" t="s">
        <v>2881</v>
      </c>
      <c r="Y55" s="4" t="s">
        <v>203</v>
      </c>
      <c r="Z55" s="414">
        <v>60.0</v>
      </c>
      <c r="AA55" s="55" t="s">
        <v>204</v>
      </c>
    </row>
    <row r="56">
      <c r="A56" s="55" t="s">
        <v>2882</v>
      </c>
      <c r="B56" s="55" t="s">
        <v>2882</v>
      </c>
      <c r="F56" s="55" t="s">
        <v>186</v>
      </c>
      <c r="G56" s="55" t="s">
        <v>2813</v>
      </c>
      <c r="H56" s="56"/>
      <c r="I56" s="57" t="s">
        <v>2883</v>
      </c>
      <c r="J56" s="58"/>
      <c r="K56" s="58"/>
      <c r="L56" s="58" t="s">
        <v>2884</v>
      </c>
      <c r="M56" s="58"/>
      <c r="N56" s="58"/>
      <c r="O56" s="58" t="s">
        <v>2885</v>
      </c>
      <c r="P56" s="58"/>
      <c r="Q56" s="58"/>
      <c r="R56" s="58" t="s">
        <v>2886</v>
      </c>
      <c r="S56" s="58"/>
      <c r="T56" s="58"/>
      <c r="U56" s="60" t="s">
        <v>2818</v>
      </c>
      <c r="V56" s="55" t="s">
        <v>48</v>
      </c>
      <c r="W56" s="59"/>
      <c r="X56" s="55" t="s">
        <v>2887</v>
      </c>
      <c r="Y56" s="4" t="s">
        <v>203</v>
      </c>
      <c r="Z56" s="414">
        <v>60.0</v>
      </c>
      <c r="AA56" s="55" t="s">
        <v>204</v>
      </c>
    </row>
    <row r="57">
      <c r="A57" s="55" t="s">
        <v>2888</v>
      </c>
      <c r="B57" s="55" t="s">
        <v>2888</v>
      </c>
      <c r="F57" s="55" t="s">
        <v>186</v>
      </c>
      <c r="G57" s="55" t="s">
        <v>2813</v>
      </c>
      <c r="H57" s="56"/>
      <c r="I57" s="57" t="s">
        <v>2889</v>
      </c>
      <c r="J57" s="58"/>
      <c r="K57" s="58"/>
      <c r="L57" s="58" t="s">
        <v>2890</v>
      </c>
      <c r="M57" s="58"/>
      <c r="N57" s="58"/>
      <c r="O57" s="58" t="s">
        <v>2891</v>
      </c>
      <c r="P57" s="58"/>
      <c r="Q57" s="58"/>
      <c r="R57" s="58" t="s">
        <v>2892</v>
      </c>
      <c r="S57" s="58"/>
      <c r="T57" s="58"/>
      <c r="U57" s="60" t="s">
        <v>2818</v>
      </c>
      <c r="V57" s="55" t="s">
        <v>48</v>
      </c>
      <c r="W57" s="59"/>
      <c r="X57" s="55" t="s">
        <v>2893</v>
      </c>
      <c r="Y57" s="4" t="s">
        <v>203</v>
      </c>
      <c r="Z57" s="414">
        <v>60.0</v>
      </c>
      <c r="AA57" s="55" t="s">
        <v>204</v>
      </c>
    </row>
    <row r="58">
      <c r="A58" s="55" t="s">
        <v>2894</v>
      </c>
      <c r="B58" s="55" t="s">
        <v>2894</v>
      </c>
      <c r="F58" s="55" t="s">
        <v>186</v>
      </c>
      <c r="G58" s="55" t="s">
        <v>2813</v>
      </c>
      <c r="H58" s="56"/>
      <c r="I58" s="58" t="s">
        <v>2895</v>
      </c>
      <c r="J58" s="58"/>
      <c r="K58" s="58"/>
      <c r="L58" s="58" t="s">
        <v>2896</v>
      </c>
      <c r="M58" s="58"/>
      <c r="N58" s="58"/>
      <c r="O58" s="58" t="s">
        <v>2897</v>
      </c>
      <c r="P58" s="58"/>
      <c r="Q58" s="58"/>
      <c r="R58" s="58" t="s">
        <v>2689</v>
      </c>
      <c r="S58" s="58"/>
      <c r="T58" s="58"/>
      <c r="U58" s="60" t="s">
        <v>2818</v>
      </c>
      <c r="V58" s="55" t="s">
        <v>48</v>
      </c>
      <c r="W58" s="59"/>
      <c r="X58" s="55" t="s">
        <v>2898</v>
      </c>
      <c r="Y58" s="4" t="s">
        <v>203</v>
      </c>
      <c r="Z58" s="414">
        <v>60.0</v>
      </c>
      <c r="AA58" s="55" t="s">
        <v>204</v>
      </c>
    </row>
    <row r="59">
      <c r="A59" s="55" t="s">
        <v>2899</v>
      </c>
      <c r="B59" s="55" t="s">
        <v>2899</v>
      </c>
      <c r="F59" s="55" t="s">
        <v>186</v>
      </c>
      <c r="G59" s="55" t="s">
        <v>2813</v>
      </c>
      <c r="H59" s="56"/>
      <c r="I59" s="57" t="s">
        <v>1711</v>
      </c>
      <c r="J59" s="58"/>
      <c r="K59" s="58"/>
      <c r="L59" s="58" t="s">
        <v>2900</v>
      </c>
      <c r="M59" s="58"/>
      <c r="N59" s="58"/>
      <c r="O59" s="58" t="s">
        <v>2901</v>
      </c>
      <c r="P59" s="58"/>
      <c r="Q59" s="58"/>
      <c r="R59" s="58" t="s">
        <v>1934</v>
      </c>
      <c r="S59" s="58"/>
      <c r="T59" s="58"/>
      <c r="U59" s="60" t="s">
        <v>2818</v>
      </c>
      <c r="V59" s="55" t="s">
        <v>48</v>
      </c>
      <c r="W59" s="59"/>
      <c r="X59" s="55" t="s">
        <v>2902</v>
      </c>
      <c r="Y59" s="4" t="s">
        <v>203</v>
      </c>
      <c r="Z59" s="414">
        <v>60.0</v>
      </c>
      <c r="AA59" s="55" t="s">
        <v>204</v>
      </c>
    </row>
    <row r="60">
      <c r="A60" s="55" t="s">
        <v>2903</v>
      </c>
      <c r="B60" s="55" t="s">
        <v>2903</v>
      </c>
      <c r="F60" s="55" t="s">
        <v>186</v>
      </c>
      <c r="G60" s="55" t="s">
        <v>2813</v>
      </c>
      <c r="H60" s="56"/>
      <c r="I60" s="57" t="s">
        <v>2904</v>
      </c>
      <c r="J60" s="58"/>
      <c r="K60" s="58"/>
      <c r="L60" s="58" t="s">
        <v>1637</v>
      </c>
      <c r="M60" s="58"/>
      <c r="N60" s="58"/>
      <c r="O60" s="58" t="s">
        <v>2905</v>
      </c>
      <c r="P60" s="58"/>
      <c r="Q60" s="58"/>
      <c r="R60" s="58" t="s">
        <v>2693</v>
      </c>
      <c r="S60" s="58"/>
      <c r="T60" s="58"/>
      <c r="U60" s="60" t="s">
        <v>2818</v>
      </c>
      <c r="V60" s="55" t="s">
        <v>48</v>
      </c>
      <c r="W60" s="59"/>
      <c r="X60" s="55" t="s">
        <v>2906</v>
      </c>
      <c r="Y60" s="4" t="s">
        <v>203</v>
      </c>
      <c r="Z60" s="414">
        <v>60.0</v>
      </c>
      <c r="AA60" s="55" t="s">
        <v>204</v>
      </c>
    </row>
    <row r="61">
      <c r="I61" s="58"/>
      <c r="J61" s="58"/>
      <c r="K61" s="58"/>
      <c r="L61" s="58"/>
      <c r="M61" s="58"/>
      <c r="N61" s="58"/>
      <c r="O61" s="58"/>
      <c r="P61" s="58"/>
      <c r="Q61" s="58"/>
      <c r="R61" s="58"/>
      <c r="S61" s="58"/>
      <c r="T61" s="58"/>
    </row>
    <row r="62">
      <c r="I62" s="58"/>
      <c r="J62" s="58"/>
      <c r="K62" s="58"/>
      <c r="L62" s="58"/>
      <c r="M62" s="58"/>
      <c r="N62" s="58"/>
      <c r="O62" s="58"/>
      <c r="P62" s="58"/>
      <c r="Q62" s="58"/>
      <c r="R62" s="58"/>
      <c r="S62" s="58"/>
      <c r="T62" s="58"/>
    </row>
    <row r="63">
      <c r="I63" s="58"/>
      <c r="J63" s="58"/>
      <c r="K63" s="58"/>
      <c r="L63" s="58"/>
      <c r="M63" s="58"/>
      <c r="N63" s="58"/>
      <c r="O63" s="58"/>
      <c r="P63" s="58"/>
      <c r="Q63" s="58"/>
      <c r="R63" s="58"/>
      <c r="S63" s="58"/>
      <c r="T63" s="58"/>
    </row>
    <row r="64">
      <c r="I64" s="58"/>
      <c r="J64" s="58"/>
      <c r="K64" s="58"/>
      <c r="L64" s="58"/>
      <c r="M64" s="58"/>
      <c r="N64" s="58"/>
      <c r="O64" s="58"/>
      <c r="P64" s="58"/>
      <c r="Q64" s="58"/>
      <c r="R64" s="58"/>
      <c r="S64" s="58"/>
      <c r="T64" s="58"/>
    </row>
    <row r="65">
      <c r="I65" s="58"/>
      <c r="J65" s="58"/>
      <c r="K65" s="58"/>
      <c r="L65" s="58"/>
      <c r="M65" s="58"/>
      <c r="N65" s="58"/>
      <c r="O65" s="58"/>
      <c r="P65" s="58"/>
      <c r="Q65" s="58"/>
      <c r="R65" s="58"/>
      <c r="S65" s="58"/>
      <c r="T65" s="58"/>
    </row>
    <row r="66">
      <c r="I66" s="58"/>
      <c r="J66" s="58"/>
      <c r="K66" s="58"/>
      <c r="L66" s="58"/>
      <c r="M66" s="58"/>
      <c r="N66" s="58"/>
      <c r="O66" s="58"/>
      <c r="P66" s="58"/>
      <c r="Q66" s="58"/>
      <c r="R66" s="58"/>
      <c r="S66" s="58"/>
      <c r="T66" s="58"/>
    </row>
    <row r="67">
      <c r="I67" s="58"/>
      <c r="J67" s="58"/>
      <c r="K67" s="58"/>
      <c r="L67" s="58"/>
      <c r="M67" s="58"/>
      <c r="N67" s="58"/>
      <c r="O67" s="58"/>
      <c r="P67" s="58"/>
      <c r="Q67" s="58"/>
      <c r="R67" s="58"/>
      <c r="S67" s="58"/>
      <c r="T67" s="58"/>
    </row>
    <row r="68">
      <c r="I68" s="58"/>
      <c r="J68" s="58"/>
      <c r="K68" s="58"/>
      <c r="L68" s="58"/>
      <c r="M68" s="58"/>
      <c r="N68" s="58"/>
      <c r="O68" s="58"/>
      <c r="P68" s="58"/>
      <c r="Q68" s="58"/>
      <c r="R68" s="58"/>
      <c r="S68" s="58"/>
      <c r="T68" s="58"/>
    </row>
    <row r="69">
      <c r="I69" s="58"/>
      <c r="J69" s="58"/>
      <c r="K69" s="58"/>
      <c r="L69" s="58"/>
      <c r="M69" s="58"/>
      <c r="N69" s="58"/>
      <c r="O69" s="58"/>
      <c r="P69" s="58"/>
      <c r="Q69" s="58"/>
      <c r="R69" s="58"/>
      <c r="S69" s="58"/>
      <c r="T69" s="58"/>
    </row>
    <row r="70">
      <c r="I70" s="58"/>
      <c r="J70" s="58"/>
      <c r="K70" s="58"/>
      <c r="L70" s="58"/>
      <c r="M70" s="58"/>
      <c r="N70" s="58"/>
      <c r="O70" s="58"/>
      <c r="P70" s="58"/>
      <c r="Q70" s="58"/>
      <c r="R70" s="58"/>
      <c r="S70" s="58"/>
      <c r="T70" s="58"/>
    </row>
    <row r="71">
      <c r="I71" s="58"/>
      <c r="J71" s="58"/>
      <c r="K71" s="58"/>
      <c r="L71" s="58"/>
      <c r="M71" s="58"/>
      <c r="N71" s="58"/>
      <c r="O71" s="58"/>
      <c r="P71" s="58"/>
      <c r="Q71" s="58"/>
      <c r="R71" s="58"/>
      <c r="S71" s="58"/>
      <c r="T71" s="58"/>
    </row>
    <row r="72">
      <c r="I72" s="58"/>
      <c r="J72" s="58"/>
      <c r="K72" s="58"/>
      <c r="L72" s="58"/>
      <c r="M72" s="58"/>
      <c r="N72" s="58"/>
      <c r="O72" s="58"/>
      <c r="P72" s="58"/>
      <c r="Q72" s="58"/>
      <c r="R72" s="58"/>
      <c r="S72" s="58"/>
      <c r="T72" s="58"/>
    </row>
    <row r="73">
      <c r="I73" s="58"/>
      <c r="J73" s="58"/>
      <c r="K73" s="58"/>
      <c r="L73" s="58"/>
      <c r="M73" s="58"/>
      <c r="N73" s="58"/>
      <c r="O73" s="58"/>
      <c r="P73" s="58"/>
      <c r="Q73" s="58"/>
      <c r="R73" s="58"/>
      <c r="S73" s="58"/>
      <c r="T73" s="58"/>
    </row>
    <row r="74">
      <c r="I74" s="58"/>
      <c r="J74" s="58"/>
      <c r="K74" s="58"/>
      <c r="L74" s="58"/>
      <c r="M74" s="58"/>
      <c r="N74" s="58"/>
      <c r="O74" s="58"/>
      <c r="P74" s="58"/>
      <c r="Q74" s="58"/>
      <c r="R74" s="58"/>
      <c r="S74" s="58"/>
      <c r="T74" s="58"/>
    </row>
    <row r="75">
      <c r="I75" s="58"/>
      <c r="J75" s="58"/>
      <c r="K75" s="58"/>
      <c r="L75" s="58"/>
      <c r="M75" s="58"/>
      <c r="N75" s="58"/>
      <c r="O75" s="58"/>
      <c r="P75" s="58"/>
      <c r="Q75" s="58"/>
      <c r="R75" s="58"/>
      <c r="S75" s="58"/>
      <c r="T75" s="58"/>
    </row>
    <row r="76">
      <c r="I76" s="58"/>
      <c r="J76" s="58"/>
      <c r="K76" s="58"/>
      <c r="L76" s="58"/>
      <c r="M76" s="58"/>
      <c r="N76" s="58"/>
      <c r="O76" s="58"/>
      <c r="P76" s="58"/>
      <c r="Q76" s="58"/>
      <c r="R76" s="58"/>
      <c r="S76" s="58"/>
      <c r="T76" s="58"/>
    </row>
    <row r="77">
      <c r="I77" s="58"/>
      <c r="J77" s="58"/>
      <c r="K77" s="58"/>
      <c r="L77" s="58"/>
      <c r="M77" s="58"/>
      <c r="N77" s="58"/>
      <c r="O77" s="58"/>
      <c r="P77" s="58"/>
      <c r="Q77" s="58"/>
      <c r="R77" s="58"/>
      <c r="S77" s="58"/>
      <c r="T77" s="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0.57"/>
    <col customWidth="1" min="3" max="3" width="11.57"/>
    <col customWidth="1" min="4" max="4" width="7.57"/>
    <col customWidth="1" min="5" max="5" width="16.57"/>
    <col customWidth="1" min="6" max="6" width="15.57"/>
    <col customWidth="1" min="7" max="7" width="33.57"/>
    <col customWidth="1" min="8" max="8" width="22.14"/>
    <col customWidth="1" min="9" max="9" width="36.86"/>
    <col customWidth="1" min="10" max="10" width="42.57"/>
    <col customWidth="1" min="11" max="11" width="40.43"/>
    <col customWidth="1" min="12" max="12" width="49.29"/>
    <col customWidth="1" min="13" max="13" width="54.86"/>
    <col customWidth="1" min="14" max="14" width="52.71"/>
    <col customWidth="1" min="15" max="15" width="43.71"/>
    <col customWidth="1" min="16" max="16" width="49.29"/>
    <col customWidth="1" min="17" max="17" width="47.14"/>
    <col customWidth="1" min="18" max="18" width="46.71"/>
    <col customWidth="1" min="19" max="19" width="52.29"/>
    <col customWidth="1" min="20" max="20" width="50.29"/>
    <col customWidth="1" min="21" max="21" width="39.14"/>
    <col customWidth="1" min="22" max="22" width="45.14"/>
    <col customWidth="1" min="23" max="23" width="43.14"/>
    <col customWidth="1" min="24" max="24" width="11.14"/>
    <col customWidth="1" min="25" max="25" width="25.71"/>
    <col customWidth="1" min="26" max="26" width="23.14"/>
    <col customWidth="1" min="27" max="27" width="65.57"/>
  </cols>
  <sheetData>
    <row r="1">
      <c r="A1" s="61" t="s">
        <v>19</v>
      </c>
      <c r="B1" s="61" t="s">
        <v>159</v>
      </c>
      <c r="C1" s="61" t="s">
        <v>160</v>
      </c>
      <c r="D1" s="61" t="s">
        <v>161</v>
      </c>
      <c r="E1" s="61" t="s">
        <v>162</v>
      </c>
      <c r="F1" s="61" t="s">
        <v>163</v>
      </c>
      <c r="G1" s="61" t="s">
        <v>164</v>
      </c>
      <c r="H1" s="61" t="s">
        <v>166</v>
      </c>
      <c r="I1" s="478" t="s">
        <v>167</v>
      </c>
      <c r="J1" s="478" t="s">
        <v>168</v>
      </c>
      <c r="K1" s="478" t="s">
        <v>169</v>
      </c>
      <c r="L1" s="478" t="s">
        <v>170</v>
      </c>
      <c r="M1" s="478" t="s">
        <v>171</v>
      </c>
      <c r="N1" s="478" t="s">
        <v>172</v>
      </c>
      <c r="O1" s="478" t="s">
        <v>173</v>
      </c>
      <c r="P1" s="478" t="s">
        <v>174</v>
      </c>
      <c r="Q1" s="478" t="s">
        <v>175</v>
      </c>
      <c r="R1" s="478" t="s">
        <v>176</v>
      </c>
      <c r="S1" s="478" t="s">
        <v>177</v>
      </c>
      <c r="T1" s="61" t="s">
        <v>178</v>
      </c>
      <c r="U1" s="61" t="s">
        <v>179</v>
      </c>
      <c r="V1" s="61" t="s">
        <v>180</v>
      </c>
      <c r="W1" s="61" t="s">
        <v>181</v>
      </c>
      <c r="X1" s="61" t="s">
        <v>182</v>
      </c>
      <c r="Y1" s="61" t="s">
        <v>183</v>
      </c>
      <c r="Z1" s="61" t="s">
        <v>52</v>
      </c>
      <c r="AA1" s="61" t="s">
        <v>184</v>
      </c>
      <c r="AB1" s="2"/>
      <c r="AC1" s="2"/>
    </row>
    <row r="2">
      <c r="A2" s="2" t="str">
        <f>'Transporte Transports'!A11 &amp; " " &amp; 'Transporte Transports'!C11 &amp; " (KBOB.2016)"</f>
        <v>61.003 Endenergie (KBOB.2016)</v>
      </c>
      <c r="B2" s="2" t="str">
        <f t="shared" ref="B2:B64" si="1">A2</f>
        <v>61.003 Endenergie (KBOB.2016)</v>
      </c>
      <c r="C2" s="2"/>
      <c r="D2" s="2"/>
      <c r="E2" s="2"/>
      <c r="F2" s="2" t="s">
        <v>186</v>
      </c>
      <c r="G2" s="2" t="str">
        <f t="shared" ref="G2:G64" si="2">SWITCH(LEFT(A2,2), "61", "OTHER_RESOURCE_TRANSPORT_FUEL", "62", "OTHER_RESOURCE_TRANSPORT_FREIGHT", "63", "OTHER_RESOURCE_TRANSPORT_STAFF", "64", "OTHER_RESOURCE_TRANSPORT_PEOPLE")</f>
        <v>OTHER_RESOURCE_TRANSPORT_FUEL</v>
      </c>
      <c r="H2" s="63"/>
      <c r="I2" s="64">
        <f>'Transporte Transports'!E11</f>
        <v>309</v>
      </c>
      <c r="J2" s="64"/>
      <c r="K2" s="64"/>
      <c r="L2" s="64">
        <f>'Transporte Transports'!M11</f>
        <v>0.00424</v>
      </c>
      <c r="M2" s="63"/>
      <c r="N2" s="63"/>
      <c r="O2" s="64">
        <f>'Transporte Transports'!Q11</f>
        <v>1.27</v>
      </c>
      <c r="P2" s="63"/>
      <c r="Q2" s="63"/>
      <c r="R2" s="64">
        <f>'Transporte Transports'!U11</f>
        <v>0.32</v>
      </c>
      <c r="S2" s="63"/>
      <c r="T2" s="63"/>
      <c r="U2" s="69" t="str">
        <f>'Transporte Transports'!D11</f>
        <v>kWh</v>
      </c>
      <c r="V2" s="2" t="str">
        <f>VLOOKUP('Transporte Transports'!C11,RefDimensions!A$2:B$15,2,false)</f>
        <v>finalEnergy</v>
      </c>
      <c r="W2" s="66"/>
      <c r="X2" s="2" t="str">
        <f t="shared" ref="X2:X64" si="3">LEFT(A2,6)</f>
        <v>61.003</v>
      </c>
      <c r="Y2" s="7" t="s">
        <v>203</v>
      </c>
      <c r="Z2" s="8">
        <v>60.0</v>
      </c>
      <c r="AA2" s="67" t="str">
        <f t="shared" ref="AA2:AA64" si="4">"Alle &gt; " &amp; SWITCH(F2, "COMPONENT","BAUTEILE", "OTHER_RESOURCE", "RESSOURCEN", "BUILDING_TECHNOLOGY", "GEBÄUDETECHNIK", "MATERIAL", "MATERIALIEN") &amp; " &gt; kbob.admin.ch &gt; KBOB / ecobau / IPB 2009/1:2016"</f>
        <v>Alle &gt; RESSOURCEN &gt; kbob.admin.ch &gt; KBOB / ecobau / IPB 2009/1:2016</v>
      </c>
      <c r="AB2" s="2"/>
      <c r="AC2" s="2"/>
    </row>
    <row r="3">
      <c r="A3" s="2" t="str">
        <f>'Transporte Transports'!A12 &amp; " " &amp; 'Transporte Transports'!C12 &amp; " (KBOB.2016)"</f>
        <v>61.009 Endenergie (KBOB.2016)</v>
      </c>
      <c r="B3" s="2" t="str">
        <f t="shared" si="1"/>
        <v>61.009 Endenergie (KBOB.2016)</v>
      </c>
      <c r="C3" s="2"/>
      <c r="D3" s="2"/>
      <c r="E3" s="2"/>
      <c r="F3" s="2" t="s">
        <v>186</v>
      </c>
      <c r="G3" s="2" t="str">
        <f t="shared" si="2"/>
        <v>OTHER_RESOURCE_TRANSPORT_FUEL</v>
      </c>
      <c r="H3" s="63"/>
      <c r="I3" s="64">
        <f>'Transporte Transports'!E12</f>
        <v>886</v>
      </c>
      <c r="J3" s="64"/>
      <c r="K3" s="64"/>
      <c r="L3" s="64">
        <f>'Transporte Transports'!M12</f>
        <v>0.0043</v>
      </c>
      <c r="M3" s="63"/>
      <c r="N3" s="63"/>
      <c r="O3" s="64">
        <f>'Transporte Transports'!Q12</f>
        <v>1.27</v>
      </c>
      <c r="P3" s="63"/>
      <c r="Q3" s="63"/>
      <c r="R3" s="64">
        <f>'Transporte Transports'!U12</f>
        <v>0.384</v>
      </c>
      <c r="S3" s="63"/>
      <c r="T3" s="63"/>
      <c r="U3" s="69" t="str">
        <f>'Transporte Transports'!D12</f>
        <v>kWh</v>
      </c>
      <c r="V3" s="2" t="str">
        <f>VLOOKUP('Transporte Transports'!C12,RefDimensions!A$2:B$15,2,false)</f>
        <v>finalEnergy</v>
      </c>
      <c r="W3" s="66"/>
      <c r="X3" s="2" t="str">
        <f t="shared" si="3"/>
        <v>61.009</v>
      </c>
      <c r="Y3" s="7" t="s">
        <v>203</v>
      </c>
      <c r="Z3" s="8">
        <v>60.0</v>
      </c>
      <c r="AA3" s="67" t="str">
        <f t="shared" si="4"/>
        <v>Alle &gt; RESSOURCEN &gt; kbob.admin.ch &gt; KBOB / ecobau / IPB 2009/1:2016</v>
      </c>
    </row>
    <row r="4">
      <c r="A4" s="2" t="str">
        <f>'Transporte Transports'!A13 &amp; " " &amp; 'Transporte Transports'!C13 &amp; " (KBOB.2016)"</f>
        <v>61.005 Endenergie (KBOB.2016)</v>
      </c>
      <c r="B4" s="2" t="str">
        <f t="shared" si="1"/>
        <v>61.005 Endenergie (KBOB.2016)</v>
      </c>
      <c r="C4" s="2"/>
      <c r="D4" s="2"/>
      <c r="E4" s="2"/>
      <c r="F4" s="2" t="s">
        <v>186</v>
      </c>
      <c r="G4" s="2" t="str">
        <f t="shared" si="2"/>
        <v>OTHER_RESOURCE_TRANSPORT_FUEL</v>
      </c>
      <c r="H4" s="63"/>
      <c r="I4" s="64">
        <f>'Transporte Transports'!E13</f>
        <v>161</v>
      </c>
      <c r="J4" s="64"/>
      <c r="K4" s="64"/>
      <c r="L4" s="64">
        <f>'Transporte Transports'!M13</f>
        <v>0.0368</v>
      </c>
      <c r="M4" s="63"/>
      <c r="N4" s="63"/>
      <c r="O4" s="64">
        <f>'Transporte Transports'!Q13</f>
        <v>0.31</v>
      </c>
      <c r="P4" s="63"/>
      <c r="Q4" s="63"/>
      <c r="R4" s="64">
        <f>'Transporte Transports'!U13</f>
        <v>0.115</v>
      </c>
      <c r="S4" s="63"/>
      <c r="T4" s="63"/>
      <c r="U4" s="69" t="str">
        <f>'Transporte Transports'!D13</f>
        <v>kWh</v>
      </c>
      <c r="V4" s="2" t="str">
        <f>VLOOKUP('Transporte Transports'!C13,RefDimensions!A$2:B$15,2,false)</f>
        <v>finalEnergy</v>
      </c>
      <c r="W4" s="66"/>
      <c r="X4" s="2" t="str">
        <f t="shared" si="3"/>
        <v>61.005</v>
      </c>
      <c r="Y4" s="7" t="s">
        <v>203</v>
      </c>
      <c r="Z4" s="8">
        <v>60.0</v>
      </c>
      <c r="AA4" s="67" t="str">
        <f t="shared" si="4"/>
        <v>Alle &gt; RESSOURCEN &gt; kbob.admin.ch &gt; KBOB / ecobau / IPB 2009/1:2016</v>
      </c>
    </row>
    <row r="5">
      <c r="A5" s="2" t="str">
        <f>'Transporte Transports'!A14 &amp; " " &amp; 'Transporte Transports'!C14 &amp; " (KBOB.2016)"</f>
        <v>61.001 Endenergie (KBOB.2016)</v>
      </c>
      <c r="B5" s="2" t="str">
        <f t="shared" si="1"/>
        <v>61.001 Endenergie (KBOB.2016)</v>
      </c>
      <c r="C5" s="2"/>
      <c r="D5" s="2"/>
      <c r="E5" s="2"/>
      <c r="F5" s="2" t="s">
        <v>186</v>
      </c>
      <c r="G5" s="2" t="str">
        <f t="shared" si="2"/>
        <v>OTHER_RESOURCE_TRANSPORT_FUEL</v>
      </c>
      <c r="H5" s="63"/>
      <c r="I5" s="64">
        <f>'Transporte Transports'!E14</f>
        <v>357</v>
      </c>
      <c r="J5" s="64"/>
      <c r="K5" s="64"/>
      <c r="L5" s="64">
        <f>'Transporte Transports'!M14</f>
        <v>0.00342</v>
      </c>
      <c r="M5" s="63"/>
      <c r="N5" s="63"/>
      <c r="O5" s="64">
        <f>'Transporte Transports'!Q14</f>
        <v>1.24</v>
      </c>
      <c r="P5" s="63"/>
      <c r="Q5" s="63"/>
      <c r="R5" s="64">
        <f>'Transporte Transports'!U14</f>
        <v>0.31</v>
      </c>
      <c r="S5" s="63"/>
      <c r="T5" s="63"/>
      <c r="U5" s="69" t="str">
        <f>'Transporte Transports'!D14</f>
        <v>kWh</v>
      </c>
      <c r="V5" s="2" t="str">
        <f>VLOOKUP('Transporte Transports'!C14,RefDimensions!A$2:B$15,2,false)</f>
        <v>finalEnergy</v>
      </c>
      <c r="W5" s="66"/>
      <c r="X5" s="2" t="str">
        <f t="shared" si="3"/>
        <v>61.001</v>
      </c>
      <c r="Y5" s="7" t="s">
        <v>203</v>
      </c>
      <c r="Z5" s="8">
        <v>60.0</v>
      </c>
      <c r="AA5" s="67" t="str">
        <f t="shared" si="4"/>
        <v>Alle &gt; RESSOURCEN &gt; kbob.admin.ch &gt; KBOB / ecobau / IPB 2009/1:2016</v>
      </c>
    </row>
    <row r="6">
      <c r="A6" s="2" t="str">
        <f>'Transporte Transports'!A15 &amp; " " &amp; 'Transporte Transports'!C15 &amp; " (KBOB.2016)"</f>
        <v>61.002 Endenergie (KBOB.2016)</v>
      </c>
      <c r="B6" s="2" t="str">
        <f t="shared" si="1"/>
        <v>61.002 Endenergie (KBOB.2016)</v>
      </c>
      <c r="C6" s="2"/>
      <c r="D6" s="2"/>
      <c r="E6" s="2"/>
      <c r="F6" s="2" t="s">
        <v>186</v>
      </c>
      <c r="G6" s="2" t="str">
        <f t="shared" si="2"/>
        <v>OTHER_RESOURCE_TRANSPORT_FUEL</v>
      </c>
      <c r="H6" s="63"/>
      <c r="I6" s="64">
        <f>'Transporte Transports'!E15</f>
        <v>400</v>
      </c>
      <c r="J6" s="64"/>
      <c r="K6" s="64"/>
      <c r="L6" s="64">
        <f>'Transporte Transports'!M15</f>
        <v>0.00325</v>
      </c>
      <c r="M6" s="63"/>
      <c r="N6" s="63"/>
      <c r="O6" s="64">
        <f>'Transporte Transports'!Q15</f>
        <v>1.22</v>
      </c>
      <c r="P6" s="63"/>
      <c r="Q6" s="63"/>
      <c r="R6" s="64">
        <f>'Transporte Transports'!U15</f>
        <v>0.307</v>
      </c>
      <c r="S6" s="63"/>
      <c r="T6" s="63"/>
      <c r="U6" s="69" t="str">
        <f>'Transporte Transports'!D15</f>
        <v>kWh</v>
      </c>
      <c r="V6" s="2" t="str">
        <f>VLOOKUP('Transporte Transports'!C15,RefDimensions!A$2:B$15,2,false)</f>
        <v>finalEnergy</v>
      </c>
      <c r="W6" s="66"/>
      <c r="X6" s="2" t="str">
        <f t="shared" si="3"/>
        <v>61.002</v>
      </c>
      <c r="Y6" s="7" t="s">
        <v>203</v>
      </c>
      <c r="Z6" s="8">
        <v>60.0</v>
      </c>
      <c r="AA6" s="67" t="str">
        <f t="shared" si="4"/>
        <v>Alle &gt; RESSOURCEN &gt; kbob.admin.ch &gt; KBOB / ecobau / IPB 2009/1:2016</v>
      </c>
    </row>
    <row r="7">
      <c r="A7" s="2" t="str">
        <f>'Transporte Transports'!A16 &amp; " " &amp; 'Transporte Transports'!C16 &amp; " (KBOB.2016)"</f>
        <v>61.004 Endenergie (KBOB.2016)</v>
      </c>
      <c r="B7" s="2" t="str">
        <f t="shared" si="1"/>
        <v>61.004 Endenergie (KBOB.2016)</v>
      </c>
      <c r="C7" s="2"/>
      <c r="D7" s="2"/>
      <c r="E7" s="2"/>
      <c r="F7" s="2" t="s">
        <v>186</v>
      </c>
      <c r="G7" s="2" t="str">
        <f t="shared" si="2"/>
        <v>OTHER_RESOURCE_TRANSPORT_FUEL</v>
      </c>
      <c r="H7" s="63"/>
      <c r="I7" s="64">
        <f>'Transporte Transports'!E16</f>
        <v>292</v>
      </c>
      <c r="J7" s="64"/>
      <c r="K7" s="64"/>
      <c r="L7" s="64">
        <f>'Transporte Transports'!M16</f>
        <v>0.00314</v>
      </c>
      <c r="M7" s="63"/>
      <c r="N7" s="63"/>
      <c r="O7" s="64">
        <f>'Transporte Transports'!Q16</f>
        <v>1.21</v>
      </c>
      <c r="P7" s="63"/>
      <c r="Q7" s="63"/>
      <c r="R7" s="64">
        <f>'Transporte Transports'!U16</f>
        <v>0.304</v>
      </c>
      <c r="S7" s="63"/>
      <c r="T7" s="63"/>
      <c r="U7" s="69" t="str">
        <f>'Transporte Transports'!D16</f>
        <v>kWh</v>
      </c>
      <c r="V7" s="2" t="str">
        <f>VLOOKUP('Transporte Transports'!C16,RefDimensions!A$2:B$15,2,false)</f>
        <v>finalEnergy</v>
      </c>
      <c r="W7" s="66"/>
      <c r="X7" s="2" t="str">
        <f t="shared" si="3"/>
        <v>61.004</v>
      </c>
      <c r="Y7" s="7" t="s">
        <v>203</v>
      </c>
      <c r="Z7" s="8">
        <v>60.0</v>
      </c>
      <c r="AA7" s="67" t="str">
        <f t="shared" si="4"/>
        <v>Alle &gt; RESSOURCEN &gt; kbob.admin.ch &gt; KBOB / ecobau / IPB 2009/1:2016</v>
      </c>
    </row>
    <row r="8">
      <c r="A8" s="2" t="str">
        <f>'Transporte Transports'!A17 &amp; " " &amp; 'Transporte Transports'!C17 &amp; " (KBOB.2016)"</f>
        <v>61.006 Endenergie (KBOB.2016)</v>
      </c>
      <c r="B8" s="2" t="str">
        <f t="shared" si="1"/>
        <v>61.006 Endenergie (KBOB.2016)</v>
      </c>
      <c r="C8" s="2"/>
      <c r="D8" s="2"/>
      <c r="E8" s="2"/>
      <c r="F8" s="2" t="s">
        <v>186</v>
      </c>
      <c r="G8" s="2" t="str">
        <f t="shared" si="2"/>
        <v>OTHER_RESOURCE_TRANSPORT_FUEL</v>
      </c>
      <c r="H8" s="63"/>
      <c r="I8" s="64">
        <f>'Transporte Transports'!E17</f>
        <v>200</v>
      </c>
      <c r="J8" s="64"/>
      <c r="K8" s="64"/>
      <c r="L8" s="64">
        <f>'Transporte Transports'!M17</f>
        <v>0.00919</v>
      </c>
      <c r="M8" s="63"/>
      <c r="N8" s="63"/>
      <c r="O8" s="64">
        <f>'Transporte Transports'!Q17</f>
        <v>1.12</v>
      </c>
      <c r="P8" s="63"/>
      <c r="Q8" s="63"/>
      <c r="R8" s="64">
        <f>'Transporte Transports'!U17</f>
        <v>0.23</v>
      </c>
      <c r="S8" s="63"/>
      <c r="T8" s="63"/>
      <c r="U8" s="69" t="str">
        <f>'Transporte Transports'!D17</f>
        <v>kWh</v>
      </c>
      <c r="V8" s="2" t="str">
        <f>VLOOKUP('Transporte Transports'!C17,RefDimensions!A$2:B$15,2,false)</f>
        <v>finalEnergy</v>
      </c>
      <c r="W8" s="66"/>
      <c r="X8" s="2" t="str">
        <f t="shared" si="3"/>
        <v>61.006</v>
      </c>
      <c r="Y8" s="7" t="s">
        <v>203</v>
      </c>
      <c r="Z8" s="8">
        <v>60.0</v>
      </c>
      <c r="AA8" s="67" t="str">
        <f t="shared" si="4"/>
        <v>Alle &gt; RESSOURCEN &gt; kbob.admin.ch &gt; KBOB / ecobau / IPB 2009/1:2016</v>
      </c>
    </row>
    <row r="9">
      <c r="A9" s="2" t="str">
        <f>'Transporte Transports'!A18 &amp; " " &amp; 'Transporte Transports'!C18 &amp; " (KBOB.2016)"</f>
        <v>61.007 Endenergie (KBOB.2016)</v>
      </c>
      <c r="B9" s="2" t="str">
        <f t="shared" si="1"/>
        <v>61.007 Endenergie (KBOB.2016)</v>
      </c>
      <c r="C9" s="2"/>
      <c r="D9" s="2"/>
      <c r="E9" s="2"/>
      <c r="F9" s="2" t="s">
        <v>186</v>
      </c>
      <c r="G9" s="2" t="str">
        <f t="shared" si="2"/>
        <v>OTHER_RESOURCE_TRANSPORT_FUEL</v>
      </c>
      <c r="H9" s="63"/>
      <c r="I9" s="64">
        <f>'Transporte Transports'!E18</f>
        <v>322</v>
      </c>
      <c r="J9" s="64"/>
      <c r="K9" s="64"/>
      <c r="L9" s="64">
        <f>'Transporte Transports'!M18</f>
        <v>0.00306</v>
      </c>
      <c r="M9" s="63"/>
      <c r="N9" s="63"/>
      <c r="O9" s="64">
        <f>'Transporte Transports'!Q18</f>
        <v>1.2</v>
      </c>
      <c r="P9" s="63"/>
      <c r="Q9" s="63"/>
      <c r="R9" s="64">
        <f>'Transporte Transports'!U18</f>
        <v>0.3</v>
      </c>
      <c r="S9" s="63"/>
      <c r="T9" s="63"/>
      <c r="U9" s="69" t="str">
        <f>'Transporte Transports'!D18</f>
        <v>kWh</v>
      </c>
      <c r="V9" s="2" t="str">
        <f>VLOOKUP('Transporte Transports'!C18,RefDimensions!A$2:B$15,2,false)</f>
        <v>finalEnergy</v>
      </c>
      <c r="W9" s="66"/>
      <c r="X9" s="2" t="str">
        <f t="shared" si="3"/>
        <v>61.007</v>
      </c>
      <c r="Y9" s="7" t="s">
        <v>203</v>
      </c>
      <c r="Z9" s="8">
        <v>60.0</v>
      </c>
      <c r="AA9" s="67" t="str">
        <f t="shared" si="4"/>
        <v>Alle &gt; RESSOURCEN &gt; kbob.admin.ch &gt; KBOB / ecobau / IPB 2009/1:2016</v>
      </c>
    </row>
    <row r="10">
      <c r="A10" s="2" t="str">
        <f>'Transporte Transports'!A19 &amp; " " &amp; 'Transporte Transports'!C19 &amp; " (KBOB.2016)"</f>
        <v>61.008 Endenergie (KBOB.2016)</v>
      </c>
      <c r="B10" s="2" t="str">
        <f t="shared" si="1"/>
        <v>61.008 Endenergie (KBOB.2016)</v>
      </c>
      <c r="C10" s="2"/>
      <c r="D10" s="2"/>
      <c r="E10" s="2"/>
      <c r="F10" s="2" t="s">
        <v>186</v>
      </c>
      <c r="G10" s="2" t="str">
        <f t="shared" si="2"/>
        <v>OTHER_RESOURCE_TRANSPORT_FUEL</v>
      </c>
      <c r="H10" s="63"/>
      <c r="I10" s="64">
        <f>'Transporte Transports'!E19</f>
        <v>438</v>
      </c>
      <c r="J10" s="64"/>
      <c r="K10" s="64"/>
      <c r="L10" s="64">
        <f>'Transporte Transports'!M19</f>
        <v>0.488</v>
      </c>
      <c r="M10" s="63"/>
      <c r="N10" s="63"/>
      <c r="O10" s="64">
        <f>'Transporte Transports'!Q19</f>
        <v>2.52</v>
      </c>
      <c r="P10" s="63"/>
      <c r="Q10" s="63"/>
      <c r="R10" s="64">
        <f>'Transporte Transports'!U19</f>
        <v>0.102</v>
      </c>
      <c r="S10" s="63"/>
      <c r="T10" s="63"/>
      <c r="U10" s="69" t="str">
        <f>'Transporte Transports'!D19</f>
        <v>kWh</v>
      </c>
      <c r="V10" s="2" t="str">
        <f>VLOOKUP('Transporte Transports'!C19,RefDimensions!A$2:B$15,2,false)</f>
        <v>finalEnergy</v>
      </c>
      <c r="W10" s="66"/>
      <c r="X10" s="2" t="str">
        <f t="shared" si="3"/>
        <v>61.008</v>
      </c>
      <c r="Y10" s="7" t="s">
        <v>203</v>
      </c>
      <c r="Z10" s="8">
        <v>60.0</v>
      </c>
      <c r="AA10" s="67" t="str">
        <f t="shared" si="4"/>
        <v>Alle &gt; RESSOURCEN &gt; kbob.admin.ch &gt; KBOB / ecobau / IPB 2009/1:2016</v>
      </c>
    </row>
    <row r="11">
      <c r="A11" s="2" t="str">
        <f>'Transporte Transports'!A20 &amp; " " &amp; 'Transporte Transports'!C20 &amp; " (KBOB.2016)"</f>
        <v>62  (KBOB.2016)</v>
      </c>
      <c r="B11" s="2" t="str">
        <f t="shared" si="1"/>
        <v>62  (KBOB.2016)</v>
      </c>
      <c r="C11" s="2"/>
      <c r="D11" s="2"/>
      <c r="E11" s="2"/>
      <c r="F11" s="2" t="s">
        <v>186</v>
      </c>
      <c r="G11" s="2" t="str">
        <f t="shared" si="2"/>
        <v>OTHER_RESOURCE_TRANSPORT_FREIGHT</v>
      </c>
      <c r="H11" s="63"/>
      <c r="I11" s="64" t="str">
        <f>'Transporte Transports'!E20</f>
        <v/>
      </c>
      <c r="J11" s="64"/>
      <c r="K11" s="64"/>
      <c r="L11" s="64" t="str">
        <f>'Transporte Transports'!M20</f>
        <v/>
      </c>
      <c r="M11" s="63"/>
      <c r="N11" s="63"/>
      <c r="O11" s="64" t="str">
        <f>'Transporte Transports'!Q20</f>
        <v/>
      </c>
      <c r="P11" s="63"/>
      <c r="Q11" s="63"/>
      <c r="R11" s="64" t="str">
        <f>'Transporte Transports'!U20</f>
        <v/>
      </c>
      <c r="S11" s="63"/>
      <c r="T11" s="63"/>
      <c r="U11" s="69" t="str">
        <f>'Transporte Transports'!D20</f>
        <v/>
      </c>
      <c r="V11" s="2" t="str">
        <f>VLOOKUP('Transporte Transports'!C20,RefDimensions!A$2:B$15,2,false)</f>
        <v>#N/A</v>
      </c>
      <c r="W11" s="66"/>
      <c r="X11" s="2" t="str">
        <f t="shared" si="3"/>
        <v>62  (K</v>
      </c>
      <c r="Y11" s="7" t="s">
        <v>203</v>
      </c>
      <c r="Z11" s="8">
        <v>60.0</v>
      </c>
      <c r="AA11" s="67" t="str">
        <f t="shared" si="4"/>
        <v>Alle &gt; RESSOURCEN &gt; kbob.admin.ch &gt; KBOB / ecobau / IPB 2009/1:2016</v>
      </c>
    </row>
    <row r="12">
      <c r="A12" s="2" t="str">
        <f>'Transporte Transports'!A21 &amp; " " &amp; 'Transporte Transports'!C21 &amp; " (KBOB.2016)"</f>
        <v>62.001 Aushubvolumen (KBOB.2016)</v>
      </c>
      <c r="B12" s="2" t="str">
        <f t="shared" si="1"/>
        <v>62.001 Aushubvolumen (KBOB.2016)</v>
      </c>
      <c r="C12" s="2"/>
      <c r="D12" s="2"/>
      <c r="E12" s="2"/>
      <c r="F12" s="2" t="s">
        <v>186</v>
      </c>
      <c r="G12" s="2" t="str">
        <f t="shared" si="2"/>
        <v>OTHER_RESOURCE_TRANSPORT_FREIGHT</v>
      </c>
      <c r="H12" s="63"/>
      <c r="I12" s="64">
        <f>'Transporte Transports'!E21</f>
        <v>489</v>
      </c>
      <c r="J12" s="64"/>
      <c r="K12" s="64"/>
      <c r="L12" s="64">
        <f>'Transporte Transports'!M21</f>
        <v>0.0126</v>
      </c>
      <c r="M12" s="63"/>
      <c r="N12" s="63"/>
      <c r="O12" s="64">
        <f>'Transporte Transports'!Q21</f>
        <v>1.67</v>
      </c>
      <c r="P12" s="63"/>
      <c r="Q12" s="63"/>
      <c r="R12" s="64">
        <f>'Transporte Transports'!U21</f>
        <v>0.412</v>
      </c>
      <c r="S12" s="63"/>
      <c r="T12" s="63"/>
      <c r="U12" s="69" t="str">
        <f>'Transporte Transports'!D21</f>
        <v>m3</v>
      </c>
      <c r="V12" s="2" t="str">
        <f>VLOOKUP('Transporte Transports'!C21,RefDimensions!A$2:B$15,2,false)</f>
        <v>excavationVolume</v>
      </c>
      <c r="W12" s="66"/>
      <c r="X12" s="2" t="str">
        <f t="shared" si="3"/>
        <v>62.001</v>
      </c>
      <c r="Y12" s="7" t="s">
        <v>203</v>
      </c>
      <c r="Z12" s="8">
        <v>60.0</v>
      </c>
      <c r="AA12" s="67" t="str">
        <f t="shared" si="4"/>
        <v>Alle &gt; RESSOURCEN &gt; kbob.admin.ch &gt; KBOB / ecobau / IPB 2009/1:2016</v>
      </c>
    </row>
    <row r="13">
      <c r="A13" s="2" t="str">
        <f>'Transporte Transports'!A22 &amp; " " &amp; 'Transporte Transports'!C22 &amp; " (KBOB.2016)"</f>
        <v>62.014 Aushubvolumen (KBOB.2016)</v>
      </c>
      <c r="B13" s="2" t="str">
        <f t="shared" si="1"/>
        <v>62.014 Aushubvolumen (KBOB.2016)</v>
      </c>
      <c r="C13" s="2"/>
      <c r="D13" s="2"/>
      <c r="E13" s="2"/>
      <c r="F13" s="2" t="s">
        <v>186</v>
      </c>
      <c r="G13" s="2" t="str">
        <f t="shared" si="2"/>
        <v>OTHER_RESOURCE_TRANSPORT_FREIGHT</v>
      </c>
      <c r="H13" s="63"/>
      <c r="I13" s="64">
        <f>'Transporte Transports'!E22</f>
        <v>489</v>
      </c>
      <c r="J13" s="64"/>
      <c r="K13" s="64"/>
      <c r="L13" s="64">
        <f>'Transporte Transports'!M22</f>
        <v>0.0126</v>
      </c>
      <c r="M13" s="63"/>
      <c r="N13" s="63"/>
      <c r="O13" s="64">
        <f>'Transporte Transports'!Q22</f>
        <v>1.67</v>
      </c>
      <c r="P13" s="63"/>
      <c r="Q13" s="63"/>
      <c r="R13" s="64">
        <f>'Transporte Transports'!U22</f>
        <v>0.412</v>
      </c>
      <c r="S13" s="63"/>
      <c r="T13" s="63"/>
      <c r="U13" s="69" t="str">
        <f>'Transporte Transports'!D22</f>
        <v>m3</v>
      </c>
      <c r="V13" s="2" t="str">
        <f>VLOOKUP('Transporte Transports'!C22,RefDimensions!A$2:B$15,2,false)</f>
        <v>excavationVolume</v>
      </c>
      <c r="W13" s="66"/>
      <c r="X13" s="2" t="str">
        <f t="shared" si="3"/>
        <v>62.014</v>
      </c>
      <c r="Y13" s="7" t="s">
        <v>203</v>
      </c>
      <c r="Z13" s="8">
        <v>60.0</v>
      </c>
      <c r="AA13" s="67" t="str">
        <f t="shared" si="4"/>
        <v>Alle &gt; RESSOURCEN &gt; kbob.admin.ch &gt; KBOB / ecobau / IPB 2009/1:2016</v>
      </c>
    </row>
    <row r="14">
      <c r="A14" s="2" t="str">
        <f>'Transporte Transports'!A23 &amp; " " &amp; 'Transporte Transports'!C23 &amp; " (KBOB.2016)"</f>
        <v>62.015 Aushubvolumen (KBOB.2016)</v>
      </c>
      <c r="B14" s="2" t="str">
        <f t="shared" si="1"/>
        <v>62.015 Aushubvolumen (KBOB.2016)</v>
      </c>
      <c r="C14" s="2"/>
      <c r="D14" s="2"/>
      <c r="E14" s="2"/>
      <c r="F14" s="2" t="s">
        <v>186</v>
      </c>
      <c r="G14" s="2" t="str">
        <f t="shared" si="2"/>
        <v>OTHER_RESOURCE_TRANSPORT_FREIGHT</v>
      </c>
      <c r="H14" s="63"/>
      <c r="I14" s="64">
        <f>'Transporte Transports'!E23</f>
        <v>494</v>
      </c>
      <c r="J14" s="64"/>
      <c r="K14" s="64"/>
      <c r="L14" s="64">
        <f>'Transporte Transports'!M23</f>
        <v>0.0125</v>
      </c>
      <c r="M14" s="63"/>
      <c r="N14" s="63"/>
      <c r="O14" s="64">
        <f>'Transporte Transports'!Q23</f>
        <v>1.62</v>
      </c>
      <c r="P14" s="63"/>
      <c r="Q14" s="63"/>
      <c r="R14" s="64">
        <f>'Transporte Transports'!U23</f>
        <v>0.401</v>
      </c>
      <c r="S14" s="63"/>
      <c r="T14" s="63"/>
      <c r="U14" s="69" t="str">
        <f>'Transporte Transports'!D23</f>
        <v>m3</v>
      </c>
      <c r="V14" s="2" t="str">
        <f>VLOOKUP('Transporte Transports'!C23,RefDimensions!A$2:B$15,2,false)</f>
        <v>excavationVolume</v>
      </c>
      <c r="W14" s="66"/>
      <c r="X14" s="2" t="str">
        <f t="shared" si="3"/>
        <v>62.015</v>
      </c>
      <c r="Y14" s="7" t="s">
        <v>203</v>
      </c>
      <c r="Z14" s="8">
        <v>60.0</v>
      </c>
      <c r="AA14" s="67" t="str">
        <f t="shared" si="4"/>
        <v>Alle &gt; RESSOURCEN &gt; kbob.admin.ch &gt; KBOB / ecobau / IPB 2009/1:2016</v>
      </c>
    </row>
    <row r="15">
      <c r="A15" s="2" t="str">
        <f>'Transporte Transports'!A24 &amp; " " &amp; 'Transporte Transports'!C24 &amp; " (KBOB.2016)"</f>
        <v>62.002 Transportleistung (KBOB.2016)</v>
      </c>
      <c r="B15" s="2" t="str">
        <f t="shared" si="1"/>
        <v>62.002 Transportleistung (KBOB.2016)</v>
      </c>
      <c r="C15" s="2"/>
      <c r="D15" s="2"/>
      <c r="E15" s="2"/>
      <c r="F15" s="2" t="s">
        <v>186</v>
      </c>
      <c r="G15" s="2" t="str">
        <f t="shared" si="2"/>
        <v>OTHER_RESOURCE_TRANSPORT_FREIGHT</v>
      </c>
      <c r="H15" s="63"/>
      <c r="I15" s="64">
        <f>'Transporte Transports'!E24</f>
        <v>61.8</v>
      </c>
      <c r="J15" s="64"/>
      <c r="K15" s="64"/>
      <c r="L15" s="64">
        <f>'Transporte Transports'!M24</f>
        <v>0.00299</v>
      </c>
      <c r="M15" s="63"/>
      <c r="N15" s="63"/>
      <c r="O15" s="64">
        <f>'Transporte Transports'!Q24</f>
        <v>0.18</v>
      </c>
      <c r="P15" s="63"/>
      <c r="Q15" s="63"/>
      <c r="R15" s="64">
        <f>'Transporte Transports'!U24</f>
        <v>0.0472</v>
      </c>
      <c r="S15" s="63"/>
      <c r="T15" s="63"/>
      <c r="U15" s="69" t="str">
        <f>'Transporte Transports'!D24</f>
        <v>tkm</v>
      </c>
      <c r="V15" s="2" t="str">
        <f>VLOOKUP('Transporte Transports'!C24,RefDimensions!A$2:B$15,2,false)</f>
        <v>haulageCapacity</v>
      </c>
      <c r="W15" s="66"/>
      <c r="X15" s="2" t="str">
        <f t="shared" si="3"/>
        <v>62.002</v>
      </c>
      <c r="Y15" s="7" t="s">
        <v>203</v>
      </c>
      <c r="Z15" s="8">
        <v>60.0</v>
      </c>
      <c r="AA15" s="67" t="str">
        <f t="shared" si="4"/>
        <v>Alle &gt; RESSOURCEN &gt; kbob.admin.ch &gt; KBOB / ecobau / IPB 2009/1:2016</v>
      </c>
    </row>
    <row r="16">
      <c r="A16" s="2" t="str">
        <f>'Transporte Transports'!A25 &amp; " " &amp; 'Transporte Transports'!C25 &amp; " (KBOB.2016)"</f>
        <v>62.011 Transportleistung (KBOB.2016)</v>
      </c>
      <c r="B16" s="2" t="str">
        <f t="shared" si="1"/>
        <v>62.011 Transportleistung (KBOB.2016)</v>
      </c>
      <c r="C16" s="2"/>
      <c r="D16" s="2"/>
      <c r="E16" s="2"/>
      <c r="F16" s="2" t="s">
        <v>186</v>
      </c>
      <c r="G16" s="2" t="str">
        <f t="shared" si="2"/>
        <v>OTHER_RESOURCE_TRANSPORT_FREIGHT</v>
      </c>
      <c r="H16" s="63"/>
      <c r="I16" s="64">
        <f>'Transporte Transports'!E25</f>
        <v>1250</v>
      </c>
      <c r="J16" s="64"/>
      <c r="K16" s="64"/>
      <c r="L16" s="64">
        <f>'Transporte Transports'!M25</f>
        <v>0.026</v>
      </c>
      <c r="M16" s="63"/>
      <c r="N16" s="63"/>
      <c r="O16" s="64">
        <f>'Transporte Transports'!Q25</f>
        <v>4.73</v>
      </c>
      <c r="P16" s="63"/>
      <c r="Q16" s="63"/>
      <c r="R16" s="64">
        <f>'Transporte Transports'!U25</f>
        <v>1.17</v>
      </c>
      <c r="S16" s="63"/>
      <c r="T16" s="63"/>
      <c r="U16" s="69" t="str">
        <f>'Transporte Transports'!D25</f>
        <v>tkm</v>
      </c>
      <c r="V16" s="2" t="str">
        <f>VLOOKUP('Transporte Transports'!C25,RefDimensions!A$2:B$15,2,false)</f>
        <v>haulageCapacity</v>
      </c>
      <c r="W16" s="66"/>
      <c r="X16" s="2" t="str">
        <f t="shared" si="3"/>
        <v>62.011</v>
      </c>
      <c r="Y16" s="7" t="s">
        <v>203</v>
      </c>
      <c r="Z16" s="8">
        <v>60.0</v>
      </c>
      <c r="AA16" s="67" t="str">
        <f t="shared" si="4"/>
        <v>Alle &gt; RESSOURCEN &gt; kbob.admin.ch &gt; KBOB / ecobau / IPB 2009/1:2016</v>
      </c>
    </row>
    <row r="17">
      <c r="A17" s="2" t="str">
        <f>'Transporte Transports'!A26 &amp; " " &amp; 'Transporte Transports'!C26 &amp; " (KBOB.2016)"</f>
        <v>62.012 Transportleistung (KBOB.2016)</v>
      </c>
      <c r="B17" s="2" t="str">
        <f t="shared" si="1"/>
        <v>62.012 Transportleistung (KBOB.2016)</v>
      </c>
      <c r="C17" s="2"/>
      <c r="D17" s="2"/>
      <c r="E17" s="2"/>
      <c r="F17" s="2" t="s">
        <v>186</v>
      </c>
      <c r="G17" s="2" t="str">
        <f t="shared" si="2"/>
        <v>OTHER_RESOURCE_TRANSPORT_FREIGHT</v>
      </c>
      <c r="H17" s="63"/>
      <c r="I17" s="64">
        <f>'Transporte Transports'!E26</f>
        <v>2330</v>
      </c>
      <c r="J17" s="64"/>
      <c r="K17" s="64"/>
      <c r="L17" s="64">
        <f>'Transporte Transports'!M26</f>
        <v>0.188</v>
      </c>
      <c r="M17" s="63"/>
      <c r="N17" s="63"/>
      <c r="O17" s="64">
        <f>'Transporte Transports'!Q26</f>
        <v>9.33</v>
      </c>
      <c r="P17" s="63"/>
      <c r="Q17" s="63"/>
      <c r="R17" s="64">
        <f>'Transporte Transports'!U26</f>
        <v>2.2</v>
      </c>
      <c r="S17" s="63"/>
      <c r="T17" s="63"/>
      <c r="U17" s="69" t="str">
        <f>'Transporte Transports'!D26</f>
        <v>tkm</v>
      </c>
      <c r="V17" s="2" t="str">
        <f>VLOOKUP('Transporte Transports'!C26,RefDimensions!A$2:B$15,2,false)</f>
        <v>haulageCapacity</v>
      </c>
      <c r="W17" s="66"/>
      <c r="X17" s="2" t="str">
        <f t="shared" si="3"/>
        <v>62.012</v>
      </c>
      <c r="Y17" s="7" t="s">
        <v>203</v>
      </c>
      <c r="Z17" s="8">
        <v>60.0</v>
      </c>
      <c r="AA17" s="67" t="str">
        <f t="shared" si="4"/>
        <v>Alle &gt; RESSOURCEN &gt; kbob.admin.ch &gt; KBOB / ecobau / IPB 2009/1:2016</v>
      </c>
    </row>
    <row r="18">
      <c r="A18" s="2" t="str">
        <f>'Transporte Transports'!A27 &amp; " " &amp; 'Transporte Transports'!C27 &amp; " (KBOB.2016)"</f>
        <v>62.013 Transportleistung (KBOB.2016)</v>
      </c>
      <c r="B18" s="2" t="str">
        <f t="shared" si="1"/>
        <v>62.013 Transportleistung (KBOB.2016)</v>
      </c>
      <c r="C18" s="2"/>
      <c r="D18" s="2"/>
      <c r="E18" s="2"/>
      <c r="F18" s="2" t="s">
        <v>186</v>
      </c>
      <c r="G18" s="2" t="str">
        <f t="shared" si="2"/>
        <v>OTHER_RESOURCE_TRANSPORT_FREIGHT</v>
      </c>
      <c r="H18" s="63"/>
      <c r="I18" s="64">
        <f>'Transporte Transports'!E27</f>
        <v>1190</v>
      </c>
      <c r="J18" s="64"/>
      <c r="K18" s="64"/>
      <c r="L18" s="64">
        <f>'Transporte Transports'!M27</f>
        <v>0.0166</v>
      </c>
      <c r="M18" s="63"/>
      <c r="N18" s="63"/>
      <c r="O18" s="64">
        <f>'Transporte Transports'!Q27</f>
        <v>4.46</v>
      </c>
      <c r="P18" s="63"/>
      <c r="Q18" s="63"/>
      <c r="R18" s="64">
        <f>'Transporte Transports'!U27</f>
        <v>1.11</v>
      </c>
      <c r="S18" s="63"/>
      <c r="T18" s="63"/>
      <c r="U18" s="69" t="str">
        <f>'Transporte Transports'!D27</f>
        <v>tkm</v>
      </c>
      <c r="V18" s="2" t="str">
        <f>VLOOKUP('Transporte Transports'!C27,RefDimensions!A$2:B$15,2,false)</f>
        <v>haulageCapacity</v>
      </c>
      <c r="W18" s="66"/>
      <c r="X18" s="2" t="str">
        <f t="shared" si="3"/>
        <v>62.013</v>
      </c>
      <c r="Y18" s="7" t="s">
        <v>203</v>
      </c>
      <c r="Z18" s="8">
        <v>60.0</v>
      </c>
      <c r="AA18" s="67" t="str">
        <f t="shared" si="4"/>
        <v>Alle &gt; RESSOURCEN &gt; kbob.admin.ch &gt; KBOB / ecobau / IPB 2009/1:2016</v>
      </c>
    </row>
    <row r="19">
      <c r="A19" s="2" t="str">
        <f>'Transporte Transports'!A28 &amp; " " &amp; 'Transporte Transports'!C28 &amp; " (KBOB.2016)"</f>
        <v>62.003 Transportleistung (KBOB.2016)</v>
      </c>
      <c r="B19" s="2" t="str">
        <f t="shared" si="1"/>
        <v>62.003 Transportleistung (KBOB.2016)</v>
      </c>
      <c r="C19" s="2"/>
      <c r="D19" s="2"/>
      <c r="E19" s="2"/>
      <c r="F19" s="2" t="s">
        <v>186</v>
      </c>
      <c r="G19" s="2" t="str">
        <f t="shared" si="2"/>
        <v>OTHER_RESOURCE_TRANSPORT_FREIGHT</v>
      </c>
      <c r="H19" s="63"/>
      <c r="I19" s="64">
        <f>'Transporte Transports'!E28</f>
        <v>51.3</v>
      </c>
      <c r="J19" s="64"/>
      <c r="K19" s="64"/>
      <c r="L19" s="64">
        <f>'Transporte Transports'!M28</f>
        <v>0.0731</v>
      </c>
      <c r="M19" s="63"/>
      <c r="N19" s="63"/>
      <c r="O19" s="64">
        <f>'Transporte Transports'!Q28</f>
        <v>0.152</v>
      </c>
      <c r="P19" s="63"/>
      <c r="Q19" s="63"/>
      <c r="R19" s="64">
        <f>'Transporte Transports'!U28</f>
        <v>0.0135</v>
      </c>
      <c r="S19" s="63"/>
      <c r="T19" s="63"/>
      <c r="U19" s="69" t="str">
        <f>'Transporte Transports'!D28</f>
        <v>tkm</v>
      </c>
      <c r="V19" s="2" t="str">
        <f>VLOOKUP('Transporte Transports'!C28,RefDimensions!A$2:B$15,2,false)</f>
        <v>haulageCapacity</v>
      </c>
      <c r="W19" s="66"/>
      <c r="X19" s="2" t="str">
        <f t="shared" si="3"/>
        <v>62.003</v>
      </c>
      <c r="Y19" s="7" t="s">
        <v>203</v>
      </c>
      <c r="Z19" s="8">
        <v>60.0</v>
      </c>
      <c r="AA19" s="67" t="str">
        <f t="shared" si="4"/>
        <v>Alle &gt; RESSOURCEN &gt; kbob.admin.ch &gt; KBOB / ecobau / IPB 2009/1:2016</v>
      </c>
    </row>
    <row r="20">
      <c r="A20" s="2" t="str">
        <f>'Transporte Transports'!A29 &amp; " " &amp; 'Transporte Transports'!C29 &amp; " (KBOB.2016)"</f>
        <v>62.004 Einsatzzeit (KBOB.2016)</v>
      </c>
      <c r="B20" s="2" t="str">
        <f t="shared" si="1"/>
        <v>62.004 Einsatzzeit (KBOB.2016)</v>
      </c>
      <c r="C20" s="2"/>
      <c r="D20" s="2"/>
      <c r="E20" s="2"/>
      <c r="F20" s="2" t="s">
        <v>186</v>
      </c>
      <c r="G20" s="2" t="str">
        <f t="shared" si="2"/>
        <v>OTHER_RESOURCE_TRANSPORT_FREIGHT</v>
      </c>
      <c r="H20" s="63"/>
      <c r="I20" s="64">
        <f>'Transporte Transports'!E29</f>
        <v>91000</v>
      </c>
      <c r="J20" s="64"/>
      <c r="K20" s="64"/>
      <c r="L20" s="64">
        <f>'Transporte Transports'!M29</f>
        <v>1.28</v>
      </c>
      <c r="M20" s="63"/>
      <c r="N20" s="63"/>
      <c r="O20" s="64">
        <f>'Transporte Transports'!Q29</f>
        <v>404</v>
      </c>
      <c r="P20" s="63"/>
      <c r="Q20" s="63"/>
      <c r="R20" s="64">
        <f>'Transporte Transports'!U29</f>
        <v>100</v>
      </c>
      <c r="S20" s="63"/>
      <c r="T20" s="63"/>
      <c r="U20" s="69" t="str">
        <f>'Transporte Transports'!D29</f>
        <v>h</v>
      </c>
      <c r="V20" s="2" t="str">
        <f>VLOOKUP('Transporte Transports'!C29,RefDimensions!A$2:B$15,2,false)</f>
        <v>operatingTime</v>
      </c>
      <c r="W20" s="66"/>
      <c r="X20" s="2" t="str">
        <f t="shared" si="3"/>
        <v>62.004</v>
      </c>
      <c r="Y20" s="7" t="s">
        <v>203</v>
      </c>
      <c r="Z20" s="8">
        <v>60.0</v>
      </c>
      <c r="AA20" s="67" t="str">
        <f t="shared" si="4"/>
        <v>Alle &gt; RESSOURCEN &gt; kbob.admin.ch &gt; KBOB / ecobau / IPB 2009/1:2016</v>
      </c>
    </row>
    <row r="21">
      <c r="A21" s="2" t="str">
        <f>'Transporte Transports'!A30 &amp; " " &amp; 'Transporte Transports'!C30 &amp; " (KBOB.2016)"</f>
        <v>62.005 Transportleistung (KBOB.2016)</v>
      </c>
      <c r="B21" s="2" t="str">
        <f t="shared" si="1"/>
        <v>62.005 Transportleistung (KBOB.2016)</v>
      </c>
      <c r="C21" s="2"/>
      <c r="D21" s="2"/>
      <c r="E21" s="2"/>
      <c r="F21" s="2" t="s">
        <v>186</v>
      </c>
      <c r="G21" s="2" t="str">
        <f t="shared" si="2"/>
        <v>OTHER_RESOURCE_TRANSPORT_FREIGHT</v>
      </c>
      <c r="H21" s="63"/>
      <c r="I21" s="64">
        <f>'Transporte Transports'!E30</f>
        <v>18.3</v>
      </c>
      <c r="J21" s="64"/>
      <c r="K21" s="64"/>
      <c r="L21" s="64">
        <f>'Transporte Transports'!M30</f>
        <v>0.000938</v>
      </c>
      <c r="M21" s="63"/>
      <c r="N21" s="63"/>
      <c r="O21" s="64">
        <f>'Transporte Transports'!Q30</f>
        <v>0.0462</v>
      </c>
      <c r="P21" s="63"/>
      <c r="Q21" s="63"/>
      <c r="R21" s="64">
        <f>'Transporte Transports'!U30</f>
        <v>0.0109</v>
      </c>
      <c r="S21" s="63"/>
      <c r="T21" s="63"/>
      <c r="U21" s="69" t="str">
        <f>'Transporte Transports'!D30</f>
        <v>tkm</v>
      </c>
      <c r="V21" s="2" t="str">
        <f>VLOOKUP('Transporte Transports'!C30,RefDimensions!A$2:B$15,2,false)</f>
        <v>haulageCapacity</v>
      </c>
      <c r="W21" s="66"/>
      <c r="X21" s="2" t="str">
        <f t="shared" si="3"/>
        <v>62.005</v>
      </c>
      <c r="Y21" s="7" t="s">
        <v>203</v>
      </c>
      <c r="Z21" s="8">
        <v>60.0</v>
      </c>
      <c r="AA21" s="67" t="str">
        <f t="shared" si="4"/>
        <v>Alle &gt; RESSOURCEN &gt; kbob.admin.ch &gt; KBOB / ecobau / IPB 2009/1:2016</v>
      </c>
    </row>
    <row r="22">
      <c r="A22" s="2" t="str">
        <f>'Transporte Transports'!A31 &amp; " " &amp; 'Transporte Transports'!C31 &amp; " (KBOB.2016)"</f>
        <v>62.006 Transportleistung (KBOB.2016)</v>
      </c>
      <c r="B22" s="2" t="str">
        <f t="shared" si="1"/>
        <v>62.006 Transportleistung (KBOB.2016)</v>
      </c>
      <c r="C22" s="2"/>
      <c r="D22" s="2"/>
      <c r="E22" s="2"/>
      <c r="F22" s="2" t="s">
        <v>186</v>
      </c>
      <c r="G22" s="2" t="str">
        <f t="shared" si="2"/>
        <v>OTHER_RESOURCE_TRANSPORT_FREIGHT</v>
      </c>
      <c r="H22" s="63"/>
      <c r="I22" s="64">
        <f>'Transporte Transports'!E31</f>
        <v>35.2</v>
      </c>
      <c r="J22" s="64"/>
      <c r="K22" s="64"/>
      <c r="L22" s="64">
        <f>'Transporte Transports'!M31</f>
        <v>0.000532</v>
      </c>
      <c r="M22" s="63"/>
      <c r="N22" s="63"/>
      <c r="O22" s="64">
        <f>'Transporte Transports'!Q31</f>
        <v>0.0245</v>
      </c>
      <c r="P22" s="63"/>
      <c r="Q22" s="63"/>
      <c r="R22" s="64">
        <f>'Transporte Transports'!U31</f>
        <v>0.00573</v>
      </c>
      <c r="S22" s="63"/>
      <c r="T22" s="63"/>
      <c r="U22" s="69" t="str">
        <f>'Transporte Transports'!D31</f>
        <v>tkm</v>
      </c>
      <c r="V22" s="2" t="str">
        <f>VLOOKUP('Transporte Transports'!C31,RefDimensions!A$2:B$15,2,false)</f>
        <v>haulageCapacity</v>
      </c>
      <c r="W22" s="66"/>
      <c r="X22" s="2" t="str">
        <f t="shared" si="3"/>
        <v>62.006</v>
      </c>
      <c r="Y22" s="7" t="s">
        <v>203</v>
      </c>
      <c r="Z22" s="8">
        <v>60.0</v>
      </c>
      <c r="AA22" s="67" t="str">
        <f t="shared" si="4"/>
        <v>Alle &gt; RESSOURCEN &gt; kbob.admin.ch &gt; KBOB / ecobau / IPB 2009/1:2016</v>
      </c>
    </row>
    <row r="23">
      <c r="A23" s="2" t="str">
        <f>'Transporte Transports'!A32 &amp; " " &amp; 'Transporte Transports'!C32 &amp; " (KBOB.2016)"</f>
        <v>62.007 Transportleistung (KBOB.2016)</v>
      </c>
      <c r="B23" s="2" t="str">
        <f t="shared" si="1"/>
        <v>62.007 Transportleistung (KBOB.2016)</v>
      </c>
      <c r="C23" s="2"/>
      <c r="D23" s="2"/>
      <c r="E23" s="2"/>
      <c r="F23" s="2" t="s">
        <v>186</v>
      </c>
      <c r="G23" s="2" t="str">
        <f t="shared" si="2"/>
        <v>OTHER_RESOURCE_TRANSPORT_FREIGHT</v>
      </c>
      <c r="H23" s="63"/>
      <c r="I23" s="64">
        <f>'Transporte Transports'!E32</f>
        <v>1790</v>
      </c>
      <c r="J23" s="64"/>
      <c r="K23" s="64"/>
      <c r="L23" s="64">
        <f>'Transporte Transports'!M32</f>
        <v>0.203</v>
      </c>
      <c r="M23" s="63"/>
      <c r="N23" s="63"/>
      <c r="O23" s="64">
        <f>'Transporte Transports'!Q32</f>
        <v>6.97</v>
      </c>
      <c r="P23" s="63"/>
      <c r="Q23" s="63"/>
      <c r="R23" s="64">
        <f>'Transporte Transports'!U32</f>
        <v>1.52</v>
      </c>
      <c r="S23" s="63"/>
      <c r="T23" s="63"/>
      <c r="U23" s="69" t="str">
        <f>'Transporte Transports'!D32</f>
        <v>tkm</v>
      </c>
      <c r="V23" s="2" t="str">
        <f>VLOOKUP('Transporte Transports'!C32,RefDimensions!A$2:B$15,2,false)</f>
        <v>haulageCapacity</v>
      </c>
      <c r="W23" s="66"/>
      <c r="X23" s="2" t="str">
        <f t="shared" si="3"/>
        <v>62.007</v>
      </c>
      <c r="Y23" s="7" t="s">
        <v>203</v>
      </c>
      <c r="Z23" s="8">
        <v>60.0</v>
      </c>
      <c r="AA23" s="67" t="str">
        <f t="shared" si="4"/>
        <v>Alle &gt; RESSOURCEN &gt; kbob.admin.ch &gt; KBOB / ecobau / IPB 2009/1:2016</v>
      </c>
    </row>
    <row r="24">
      <c r="A24" s="2" t="str">
        <f>'Transporte Transports'!A33 &amp; " " &amp; 'Transporte Transports'!C33 &amp; " (KBOB.2016)"</f>
        <v>62.016 Transportleistung (KBOB.2016)</v>
      </c>
      <c r="B24" s="2" t="str">
        <f t="shared" si="1"/>
        <v>62.016 Transportleistung (KBOB.2016)</v>
      </c>
      <c r="C24" s="2"/>
      <c r="D24" s="2"/>
      <c r="E24" s="2"/>
      <c r="F24" s="2" t="s">
        <v>186</v>
      </c>
      <c r="G24" s="2" t="str">
        <f t="shared" si="2"/>
        <v>OTHER_RESOURCE_TRANSPORT_FREIGHT</v>
      </c>
      <c r="H24" s="63"/>
      <c r="I24" s="64">
        <f>'Transporte Transports'!E33</f>
        <v>192</v>
      </c>
      <c r="J24" s="64"/>
      <c r="K24" s="64"/>
      <c r="L24" s="64">
        <f>'Transporte Transports'!M33</f>
        <v>0.0092</v>
      </c>
      <c r="M24" s="63"/>
      <c r="N24" s="63"/>
      <c r="O24" s="64">
        <f>'Transporte Transports'!Q33</f>
        <v>0.622</v>
      </c>
      <c r="P24" s="63"/>
      <c r="Q24" s="63"/>
      <c r="R24" s="64">
        <f>'Transporte Transports'!U33</f>
        <v>0.135</v>
      </c>
      <c r="S24" s="63"/>
      <c r="T24" s="63"/>
      <c r="U24" s="69" t="str">
        <f>'Transporte Transports'!D33</f>
        <v>tkm</v>
      </c>
      <c r="V24" s="2" t="str">
        <f>VLOOKUP('Transporte Transports'!C33,RefDimensions!A$2:B$15,2,false)</f>
        <v>haulageCapacity</v>
      </c>
      <c r="W24" s="66"/>
      <c r="X24" s="2" t="str">
        <f t="shared" si="3"/>
        <v>62.016</v>
      </c>
      <c r="Y24" s="7" t="s">
        <v>203</v>
      </c>
      <c r="Z24" s="8">
        <v>60.0</v>
      </c>
      <c r="AA24" s="67" t="str">
        <f t="shared" si="4"/>
        <v>Alle &gt; RESSOURCEN &gt; kbob.admin.ch &gt; KBOB / ecobau / IPB 2009/1:2016</v>
      </c>
    </row>
    <row r="25">
      <c r="A25" s="2" t="str">
        <f>'Transporte Transports'!A34 &amp; " " &amp; 'Transporte Transports'!C34 &amp; " (KBOB.2016)"</f>
        <v>62.017 Transportleistung (KBOB.2016)</v>
      </c>
      <c r="B25" s="2" t="str">
        <f t="shared" si="1"/>
        <v>62.017 Transportleistung (KBOB.2016)</v>
      </c>
      <c r="C25" s="2"/>
      <c r="D25" s="2"/>
      <c r="E25" s="2"/>
      <c r="F25" s="2" t="s">
        <v>186</v>
      </c>
      <c r="G25" s="2" t="str">
        <f t="shared" si="2"/>
        <v>OTHER_RESOURCE_TRANSPORT_FREIGHT</v>
      </c>
      <c r="H25" s="63"/>
      <c r="I25" s="64">
        <f>'Transporte Transports'!E34</f>
        <v>794</v>
      </c>
      <c r="J25" s="64"/>
      <c r="K25" s="64"/>
      <c r="L25" s="64">
        <f>'Transporte Transports'!M34</f>
        <v>0.0518</v>
      </c>
      <c r="M25" s="63"/>
      <c r="N25" s="63"/>
      <c r="O25" s="64">
        <f>'Transporte Transports'!Q34</f>
        <v>2.4</v>
      </c>
      <c r="P25" s="63"/>
      <c r="Q25" s="63"/>
      <c r="R25" s="64">
        <f>'Transporte Transports'!U34</f>
        <v>0.518</v>
      </c>
      <c r="S25" s="63"/>
      <c r="T25" s="63"/>
      <c r="U25" s="69" t="str">
        <f>'Transporte Transports'!D34</f>
        <v>tkm</v>
      </c>
      <c r="V25" s="2" t="str">
        <f>VLOOKUP('Transporte Transports'!C34,RefDimensions!A$2:B$15,2,false)</f>
        <v>haulageCapacity</v>
      </c>
      <c r="W25" s="66"/>
      <c r="X25" s="2" t="str">
        <f t="shared" si="3"/>
        <v>62.017</v>
      </c>
      <c r="Y25" s="7" t="s">
        <v>203</v>
      </c>
      <c r="Z25" s="8">
        <v>60.0</v>
      </c>
      <c r="AA25" s="67" t="str">
        <f t="shared" si="4"/>
        <v>Alle &gt; RESSOURCEN &gt; kbob.admin.ch &gt; KBOB / ecobau / IPB 2009/1:2016</v>
      </c>
    </row>
    <row r="26">
      <c r="A26" s="2" t="str">
        <f>'Transporte Transports'!A35 &amp; " " &amp; 'Transporte Transports'!C35 &amp; " (KBOB.2016)"</f>
        <v>62.009 Transportleistung (KBOB.2016)</v>
      </c>
      <c r="B26" s="2" t="str">
        <f t="shared" si="1"/>
        <v>62.009 Transportleistung (KBOB.2016)</v>
      </c>
      <c r="C26" s="2"/>
      <c r="D26" s="2"/>
      <c r="E26" s="2"/>
      <c r="F26" s="2" t="s">
        <v>186</v>
      </c>
      <c r="G26" s="2" t="str">
        <f t="shared" si="2"/>
        <v>OTHER_RESOURCE_TRANSPORT_FREIGHT</v>
      </c>
      <c r="H26" s="63"/>
      <c r="I26" s="64">
        <f>'Transporte Transports'!E35</f>
        <v>304</v>
      </c>
      <c r="J26" s="64"/>
      <c r="K26" s="64"/>
      <c r="L26" s="64">
        <f>'Transporte Transports'!M35</f>
        <v>0.0171</v>
      </c>
      <c r="M26" s="63"/>
      <c r="N26" s="63"/>
      <c r="O26" s="64">
        <f>'Transporte Transports'!Q35</f>
        <v>0.999</v>
      </c>
      <c r="P26" s="63"/>
      <c r="Q26" s="63"/>
      <c r="R26" s="64">
        <f>'Transporte Transports'!U35</f>
        <v>0.218</v>
      </c>
      <c r="S26" s="63"/>
      <c r="T26" s="63"/>
      <c r="U26" s="69" t="str">
        <f>'Transporte Transports'!D35</f>
        <v>tkm</v>
      </c>
      <c r="V26" s="2" t="str">
        <f>VLOOKUP('Transporte Transports'!C35,RefDimensions!A$2:B$15,2,false)</f>
        <v>haulageCapacity</v>
      </c>
      <c r="W26" s="66"/>
      <c r="X26" s="2" t="str">
        <f t="shared" si="3"/>
        <v>62.009</v>
      </c>
      <c r="Y26" s="7" t="s">
        <v>203</v>
      </c>
      <c r="Z26" s="8">
        <v>60.0</v>
      </c>
      <c r="AA26" s="67" t="str">
        <f t="shared" si="4"/>
        <v>Alle &gt; RESSOURCEN &gt; kbob.admin.ch &gt; KBOB / ecobau / IPB 2009/1:2016</v>
      </c>
    </row>
    <row r="27">
      <c r="A27" s="2" t="str">
        <f>'Transporte Transports'!A36 &amp; " " &amp; 'Transporte Transports'!C36 &amp; " (KBOB.2016)"</f>
        <v>62.008 Transportleistung (KBOB.2016)</v>
      </c>
      <c r="B27" s="2" t="str">
        <f t="shared" si="1"/>
        <v>62.008 Transportleistung (KBOB.2016)</v>
      </c>
      <c r="C27" s="2"/>
      <c r="D27" s="2"/>
      <c r="E27" s="2"/>
      <c r="F27" s="2" t="s">
        <v>186</v>
      </c>
      <c r="G27" s="2" t="str">
        <f t="shared" si="2"/>
        <v>OTHER_RESOURCE_TRANSPORT_FREIGHT</v>
      </c>
      <c r="H27" s="63"/>
      <c r="I27" s="64">
        <f>'Transporte Transports'!E36</f>
        <v>251</v>
      </c>
      <c r="J27" s="64"/>
      <c r="K27" s="64"/>
      <c r="L27" s="64">
        <f>'Transporte Transports'!M36</f>
        <v>0.0116</v>
      </c>
      <c r="M27" s="63"/>
      <c r="N27" s="63"/>
      <c r="O27" s="64">
        <f>'Transporte Transports'!Q36</f>
        <v>0.783</v>
      </c>
      <c r="P27" s="63"/>
      <c r="Q27" s="63"/>
      <c r="R27" s="64">
        <f>'Transporte Transports'!U36</f>
        <v>0.171</v>
      </c>
      <c r="S27" s="63"/>
      <c r="T27" s="63"/>
      <c r="U27" s="69" t="str">
        <f>'Transporte Transports'!D36</f>
        <v>tkm</v>
      </c>
      <c r="V27" s="2" t="str">
        <f>VLOOKUP('Transporte Transports'!C36,RefDimensions!A$2:B$15,2,false)</f>
        <v>haulageCapacity</v>
      </c>
      <c r="W27" s="66"/>
      <c r="X27" s="2" t="str">
        <f t="shared" si="3"/>
        <v>62.008</v>
      </c>
      <c r="Y27" s="7" t="s">
        <v>203</v>
      </c>
      <c r="Z27" s="8">
        <v>60.0</v>
      </c>
      <c r="AA27" s="67" t="str">
        <f t="shared" si="4"/>
        <v>Alle &gt; RESSOURCEN &gt; kbob.admin.ch &gt; KBOB / ecobau / IPB 2009/1:2016</v>
      </c>
    </row>
    <row r="28">
      <c r="A28" s="2" t="str">
        <f>'Transporte Transports'!A37 &amp; " " &amp; 'Transporte Transports'!C37 &amp; " (KBOB.2016)"</f>
        <v>62.010 Transportleistung (KBOB.2016)</v>
      </c>
      <c r="B28" s="2" t="str">
        <f t="shared" si="1"/>
        <v>62.010 Transportleistung (KBOB.2016)</v>
      </c>
      <c r="C28" s="2"/>
      <c r="D28" s="2"/>
      <c r="E28" s="2"/>
      <c r="F28" s="2" t="s">
        <v>186</v>
      </c>
      <c r="G28" s="2" t="str">
        <f t="shared" si="2"/>
        <v>OTHER_RESOURCE_TRANSPORT_FREIGHT</v>
      </c>
      <c r="H28" s="63"/>
      <c r="I28" s="64">
        <f>'Transporte Transports'!E37</f>
        <v>153</v>
      </c>
      <c r="J28" s="64"/>
      <c r="K28" s="64"/>
      <c r="L28" s="64">
        <f>'Transporte Transports'!M37</f>
        <v>0.00738</v>
      </c>
      <c r="M28" s="63"/>
      <c r="N28" s="63"/>
      <c r="O28" s="64">
        <f>'Transporte Transports'!Q37</f>
        <v>0.514</v>
      </c>
      <c r="P28" s="63"/>
      <c r="Q28" s="63"/>
      <c r="R28" s="64">
        <f>'Transporte Transports'!U37</f>
        <v>0.11</v>
      </c>
      <c r="S28" s="63"/>
      <c r="T28" s="63"/>
      <c r="U28" s="69" t="str">
        <f>'Transporte Transports'!D37</f>
        <v>tkm</v>
      </c>
      <c r="V28" s="2" t="str">
        <f>VLOOKUP('Transporte Transports'!C37,RefDimensions!A$2:B$15,2,false)</f>
        <v>haulageCapacity</v>
      </c>
      <c r="W28" s="66"/>
      <c r="X28" s="2" t="str">
        <f t="shared" si="3"/>
        <v>62.010</v>
      </c>
      <c r="Y28" s="7" t="s">
        <v>203</v>
      </c>
      <c r="Z28" s="8">
        <v>60.0</v>
      </c>
      <c r="AA28" s="67" t="str">
        <f t="shared" si="4"/>
        <v>Alle &gt; RESSOURCEN &gt; kbob.admin.ch &gt; KBOB / ecobau / IPB 2009/1:2016</v>
      </c>
    </row>
    <row r="29">
      <c r="A29" s="2" t="str">
        <f>'Transporte Transports'!A38 &amp; " " &amp; 'Transporte Transports'!C38 &amp; " (KBOB.2016)"</f>
        <v>63  (KBOB.2016)</v>
      </c>
      <c r="B29" s="2" t="str">
        <f t="shared" si="1"/>
        <v>63  (KBOB.2016)</v>
      </c>
      <c r="C29" s="2"/>
      <c r="D29" s="2"/>
      <c r="E29" s="2"/>
      <c r="F29" s="2" t="s">
        <v>186</v>
      </c>
      <c r="G29" s="2" t="str">
        <f t="shared" si="2"/>
        <v>OTHER_RESOURCE_TRANSPORT_STAFF</v>
      </c>
      <c r="H29" s="63"/>
      <c r="I29" s="64" t="str">
        <f>'Transporte Transports'!E38</f>
        <v/>
      </c>
      <c r="J29" s="64"/>
      <c r="K29" s="64"/>
      <c r="L29" s="64" t="str">
        <f>'Transporte Transports'!M38</f>
        <v/>
      </c>
      <c r="M29" s="63"/>
      <c r="N29" s="63"/>
      <c r="O29" s="64" t="str">
        <f>'Transporte Transports'!Q38</f>
        <v/>
      </c>
      <c r="P29" s="63"/>
      <c r="Q29" s="63"/>
      <c r="R29" s="64" t="str">
        <f>'Transporte Transports'!U38</f>
        <v/>
      </c>
      <c r="S29" s="63"/>
      <c r="T29" s="63"/>
      <c r="U29" s="69" t="str">
        <f>'Transporte Transports'!D38</f>
        <v/>
      </c>
      <c r="V29" s="2" t="str">
        <f>VLOOKUP('Transporte Transports'!C38,RefDimensions!A$2:B$15,2,false)</f>
        <v>#N/A</v>
      </c>
      <c r="W29" s="66"/>
      <c r="X29" s="2" t="str">
        <f t="shared" si="3"/>
        <v>63  (K</v>
      </c>
      <c r="Y29" s="7" t="s">
        <v>203</v>
      </c>
      <c r="Z29" s="8">
        <v>60.0</v>
      </c>
      <c r="AA29" s="67" t="str">
        <f t="shared" si="4"/>
        <v>Alle &gt; RESSOURCEN &gt; kbob.admin.ch &gt; KBOB / ecobau / IPB 2009/1:2016</v>
      </c>
    </row>
    <row r="30">
      <c r="A30" s="2" t="str">
        <f>'Transporte Transports'!A39 &amp; " " &amp; 'Transporte Transports'!C39 &amp; " (KBOB.2016)"</f>
        <v>63.003 Transportleistung (KBOB.2016)</v>
      </c>
      <c r="B30" s="2" t="str">
        <f t="shared" si="1"/>
        <v>63.003 Transportleistung (KBOB.2016)</v>
      </c>
      <c r="C30" s="2"/>
      <c r="D30" s="2"/>
      <c r="E30" s="2"/>
      <c r="F30" s="2" t="s">
        <v>186</v>
      </c>
      <c r="G30" s="2" t="str">
        <f t="shared" si="2"/>
        <v>OTHER_RESOURCE_TRANSPORT_STAFF</v>
      </c>
      <c r="H30" s="63"/>
      <c r="I30" s="64">
        <f>'Transporte Transports'!E39</f>
        <v>148</v>
      </c>
      <c r="J30" s="64"/>
      <c r="K30" s="64"/>
      <c r="L30" s="64">
        <f>'Transporte Transports'!M39</f>
        <v>0.00696</v>
      </c>
      <c r="M30" s="63"/>
      <c r="N30" s="63"/>
      <c r="O30" s="64">
        <f>'Transporte Transports'!Q39</f>
        <v>0.454</v>
      </c>
      <c r="P30" s="63"/>
      <c r="Q30" s="63"/>
      <c r="R30" s="64">
        <f>'Transporte Transports'!U39</f>
        <v>0.104</v>
      </c>
      <c r="S30" s="63"/>
      <c r="T30" s="63"/>
      <c r="U30" s="69" t="str">
        <f>'Transporte Transports'!D39</f>
        <v>pkm</v>
      </c>
      <c r="V30" s="2" t="str">
        <f>VLOOKUP('Transporte Transports'!C39,RefDimensions!A$2:B$15,2,false)</f>
        <v>haulageCapacity</v>
      </c>
      <c r="W30" s="66"/>
      <c r="X30" s="2" t="str">
        <f t="shared" si="3"/>
        <v>63.003</v>
      </c>
      <c r="Y30" s="7" t="s">
        <v>203</v>
      </c>
      <c r="Z30" s="8">
        <v>60.0</v>
      </c>
      <c r="AA30" s="67" t="str">
        <f t="shared" si="4"/>
        <v>Alle &gt; RESSOURCEN &gt; kbob.admin.ch &gt; KBOB / ecobau / IPB 2009/1:2016</v>
      </c>
    </row>
    <row r="31">
      <c r="A31" s="2" t="str">
        <f>'Transporte Transports'!A40 &amp; " " &amp; 'Transporte Transports'!C40 &amp; " (KBOB.2016)"</f>
        <v>63.001 Transportleistung (KBOB.2016)</v>
      </c>
      <c r="B31" s="2" t="str">
        <f t="shared" si="1"/>
        <v>63.001 Transportleistung (KBOB.2016)</v>
      </c>
      <c r="C31" s="2"/>
      <c r="D31" s="2"/>
      <c r="E31" s="2"/>
      <c r="F31" s="2" t="s">
        <v>186</v>
      </c>
      <c r="G31" s="2" t="str">
        <f t="shared" si="2"/>
        <v>OTHER_RESOURCE_TRANSPORT_STAFF</v>
      </c>
      <c r="H31" s="63"/>
      <c r="I31" s="64">
        <f>'Transporte Transports'!E40</f>
        <v>30.7</v>
      </c>
      <c r="J31" s="64"/>
      <c r="K31" s="64"/>
      <c r="L31" s="64">
        <f>'Transporte Transports'!M40</f>
        <v>0.0633</v>
      </c>
      <c r="M31" s="63"/>
      <c r="N31" s="63"/>
      <c r="O31" s="64">
        <f>'Transporte Transports'!Q40</f>
        <v>0.114</v>
      </c>
      <c r="P31" s="63"/>
      <c r="Q31" s="63"/>
      <c r="R31" s="64">
        <f>'Transporte Transports'!U40</f>
        <v>0.00644</v>
      </c>
      <c r="S31" s="63"/>
      <c r="T31" s="63"/>
      <c r="U31" s="69" t="str">
        <f>'Transporte Transports'!D40</f>
        <v>pkm</v>
      </c>
      <c r="V31" s="2" t="str">
        <f>VLOOKUP('Transporte Transports'!C40,RefDimensions!A$2:B$15,2,false)</f>
        <v>haulageCapacity</v>
      </c>
      <c r="W31" s="66"/>
      <c r="X31" s="2" t="str">
        <f t="shared" si="3"/>
        <v>63.001</v>
      </c>
      <c r="Y31" s="7" t="s">
        <v>203</v>
      </c>
      <c r="Z31" s="8">
        <v>60.0</v>
      </c>
      <c r="AA31" s="67" t="str">
        <f t="shared" si="4"/>
        <v>Alle &gt; RESSOURCEN &gt; kbob.admin.ch &gt; KBOB / ecobau / IPB 2009/1:2016</v>
      </c>
    </row>
    <row r="32">
      <c r="A32" s="2" t="str">
        <f>'Transporte Transports'!A41 &amp; " " &amp; 'Transporte Transports'!C41 &amp; " (KBOB.2016)"</f>
        <v>63.002 Transportleistung (KBOB.2016)</v>
      </c>
      <c r="B32" s="2" t="str">
        <f t="shared" si="1"/>
        <v>63.002 Transportleistung (KBOB.2016)</v>
      </c>
      <c r="C32" s="2"/>
      <c r="D32" s="2"/>
      <c r="E32" s="2"/>
      <c r="F32" s="2" t="s">
        <v>186</v>
      </c>
      <c r="G32" s="2" t="str">
        <f t="shared" si="2"/>
        <v>OTHER_RESOURCE_TRANSPORT_STAFF</v>
      </c>
      <c r="H32" s="63"/>
      <c r="I32" s="64">
        <f>'Transporte Transports'!E41</f>
        <v>63.5</v>
      </c>
      <c r="J32" s="64"/>
      <c r="K32" s="64"/>
      <c r="L32" s="64">
        <f>'Transporte Transports'!M41</f>
        <v>0.018</v>
      </c>
      <c r="M32" s="63"/>
      <c r="N32" s="63"/>
      <c r="O32" s="64">
        <f>'Transporte Transports'!Q41</f>
        <v>0.271</v>
      </c>
      <c r="P32" s="63"/>
      <c r="Q32" s="63"/>
      <c r="R32" s="64">
        <f>'Transporte Transports'!U41</f>
        <v>0.0623</v>
      </c>
      <c r="S32" s="63"/>
      <c r="T32" s="63"/>
      <c r="U32" s="69" t="str">
        <f>'Transporte Transports'!D41</f>
        <v>pkm</v>
      </c>
      <c r="V32" s="2" t="str">
        <f>VLOOKUP('Transporte Transports'!C41,RefDimensions!A$2:B$15,2,false)</f>
        <v>haulageCapacity</v>
      </c>
      <c r="W32" s="66"/>
      <c r="X32" s="2" t="str">
        <f t="shared" si="3"/>
        <v>63.002</v>
      </c>
      <c r="Y32" s="7" t="s">
        <v>203</v>
      </c>
      <c r="Z32" s="8">
        <v>60.0</v>
      </c>
      <c r="AA32" s="67" t="str">
        <f t="shared" si="4"/>
        <v>Alle &gt; RESSOURCEN &gt; kbob.admin.ch &gt; KBOB / ecobau / IPB 2009/1:2016</v>
      </c>
    </row>
    <row r="33">
      <c r="A33" s="2" t="str">
        <f>'Transporte Transports'!A42 &amp; " " &amp; 'Transporte Transports'!C42 &amp; " (KBOB.2016)"</f>
        <v>63.004 Transportleistung (KBOB.2016)</v>
      </c>
      <c r="B33" s="2" t="str">
        <f t="shared" si="1"/>
        <v>63.004 Transportleistung (KBOB.2016)</v>
      </c>
      <c r="C33" s="2"/>
      <c r="D33" s="2"/>
      <c r="E33" s="2"/>
      <c r="F33" s="2" t="s">
        <v>186</v>
      </c>
      <c r="G33" s="2" t="str">
        <f t="shared" si="2"/>
        <v>OTHER_RESOURCE_TRANSPORT_STAFF</v>
      </c>
      <c r="H33" s="63"/>
      <c r="I33" s="64">
        <f>'Transporte Transports'!E42</f>
        <v>158</v>
      </c>
      <c r="J33" s="64"/>
      <c r="K33" s="64"/>
      <c r="L33" s="64">
        <f>'Transporte Transports'!M42</f>
        <v>0.00771</v>
      </c>
      <c r="M33" s="63"/>
      <c r="N33" s="63"/>
      <c r="O33" s="64">
        <f>'Transporte Transports'!Q42</f>
        <v>0.612</v>
      </c>
      <c r="P33" s="63"/>
      <c r="Q33" s="63"/>
      <c r="R33" s="64">
        <f>'Transporte Transports'!U42</f>
        <v>0.148</v>
      </c>
      <c r="S33" s="63"/>
      <c r="T33" s="63"/>
      <c r="U33" s="69" t="str">
        <f>'Transporte Transports'!D42</f>
        <v>pkm</v>
      </c>
      <c r="V33" s="2" t="str">
        <f>VLOOKUP('Transporte Transports'!C42,RefDimensions!A$2:B$15,2,false)</f>
        <v>haulageCapacity</v>
      </c>
      <c r="W33" s="66"/>
      <c r="X33" s="2" t="str">
        <f t="shared" si="3"/>
        <v>63.004</v>
      </c>
      <c r="Y33" s="7" t="s">
        <v>203</v>
      </c>
      <c r="Z33" s="8">
        <v>60.0</v>
      </c>
      <c r="AA33" s="67" t="str">
        <f t="shared" si="4"/>
        <v>Alle &gt; RESSOURCEN &gt; kbob.admin.ch &gt; KBOB / ecobau / IPB 2009/1:2016</v>
      </c>
    </row>
    <row r="34">
      <c r="A34" s="2" t="str">
        <f>'Transporte Transports'!A43 &amp; " " &amp; 'Transporte Transports'!C43 &amp; " (KBOB.2016)"</f>
        <v>63.005 Transportleistung (KBOB.2016)</v>
      </c>
      <c r="B34" s="2" t="str">
        <f t="shared" si="1"/>
        <v>63.005 Transportleistung (KBOB.2016)</v>
      </c>
      <c r="C34" s="2"/>
      <c r="D34" s="2"/>
      <c r="E34" s="2"/>
      <c r="F34" s="2" t="s">
        <v>186</v>
      </c>
      <c r="G34" s="2" t="str">
        <f t="shared" si="2"/>
        <v>OTHER_RESOURCE_TRANSPORT_STAFF</v>
      </c>
      <c r="H34" s="63"/>
      <c r="I34" s="64">
        <f>'Transporte Transports'!E43</f>
        <v>233</v>
      </c>
      <c r="J34" s="64"/>
      <c r="K34" s="64"/>
      <c r="L34" s="64">
        <f>'Transporte Transports'!M43</f>
        <v>0.0189</v>
      </c>
      <c r="M34" s="63"/>
      <c r="N34" s="63"/>
      <c r="O34" s="64">
        <f>'Transporte Transports'!Q43</f>
        <v>0.934</v>
      </c>
      <c r="P34" s="63"/>
      <c r="Q34" s="63"/>
      <c r="R34" s="64">
        <f>'Transporte Transports'!U43</f>
        <v>0.22</v>
      </c>
      <c r="S34" s="63"/>
      <c r="T34" s="63"/>
      <c r="U34" s="69" t="str">
        <f>'Transporte Transports'!D43</f>
        <v>pkm</v>
      </c>
      <c r="V34" s="2" t="str">
        <f>VLOOKUP('Transporte Transports'!C43,RefDimensions!A$2:B$15,2,false)</f>
        <v>haulageCapacity</v>
      </c>
      <c r="W34" s="66"/>
      <c r="X34" s="2" t="str">
        <f t="shared" si="3"/>
        <v>63.005</v>
      </c>
      <c r="Y34" s="7" t="s">
        <v>203</v>
      </c>
      <c r="Z34" s="8">
        <v>60.0</v>
      </c>
      <c r="AA34" s="67" t="str">
        <f t="shared" si="4"/>
        <v>Alle &gt; RESSOURCEN &gt; kbob.admin.ch &gt; KBOB / ecobau / IPB 2009/1:2016</v>
      </c>
    </row>
    <row r="35">
      <c r="A35" s="2" t="str">
        <f>'Transporte Transports'!A44 &amp; " " &amp; 'Transporte Transports'!C44 &amp; " (KBOB.2016)"</f>
        <v>63.006 Transportleistung (KBOB.2016)</v>
      </c>
      <c r="B35" s="2" t="str">
        <f t="shared" si="1"/>
        <v>63.006 Transportleistung (KBOB.2016)</v>
      </c>
      <c r="C35" s="2"/>
      <c r="D35" s="2"/>
      <c r="E35" s="2"/>
      <c r="F35" s="2" t="s">
        <v>186</v>
      </c>
      <c r="G35" s="2" t="str">
        <f t="shared" si="2"/>
        <v>OTHER_RESOURCE_TRANSPORT_STAFF</v>
      </c>
      <c r="H35" s="63"/>
      <c r="I35" s="64">
        <f>'Transporte Transports'!E44</f>
        <v>121</v>
      </c>
      <c r="J35" s="64"/>
      <c r="K35" s="64"/>
      <c r="L35" s="64">
        <f>'Transporte Transports'!M44</f>
        <v>0.00217</v>
      </c>
      <c r="M35" s="63"/>
      <c r="N35" s="63"/>
      <c r="O35" s="64">
        <f>'Transporte Transports'!Q44</f>
        <v>0.454</v>
      </c>
      <c r="P35" s="63"/>
      <c r="Q35" s="63"/>
      <c r="R35" s="64">
        <f>'Transporte Transports'!U44</f>
        <v>0.112</v>
      </c>
      <c r="S35" s="63"/>
      <c r="T35" s="63"/>
      <c r="U35" s="69" t="str">
        <f>'Transporte Transports'!D44</f>
        <v>pkm</v>
      </c>
      <c r="V35" s="2" t="str">
        <f>VLOOKUP('Transporte Transports'!C44,RefDimensions!A$2:B$15,2,false)</f>
        <v>haulageCapacity</v>
      </c>
      <c r="W35" s="66"/>
      <c r="X35" s="2" t="str">
        <f t="shared" si="3"/>
        <v>63.006</v>
      </c>
      <c r="Y35" s="7" t="s">
        <v>203</v>
      </c>
      <c r="Z35" s="8">
        <v>60.0</v>
      </c>
      <c r="AA35" s="67" t="str">
        <f t="shared" si="4"/>
        <v>Alle &gt; RESSOURCEN &gt; kbob.admin.ch &gt; KBOB / ecobau / IPB 2009/1:2016</v>
      </c>
    </row>
    <row r="36">
      <c r="A36" s="2" t="str">
        <f>'Transporte Transports'!A45 &amp; " " &amp; 'Transporte Transports'!C45 &amp; " (KBOB.2016)"</f>
        <v>63.007 Transportleistung (KBOB.2016)</v>
      </c>
      <c r="B36" s="2" t="str">
        <f t="shared" si="1"/>
        <v>63.007 Transportleistung (KBOB.2016)</v>
      </c>
      <c r="C36" s="2"/>
      <c r="D36" s="2"/>
      <c r="E36" s="2"/>
      <c r="F36" s="2" t="s">
        <v>186</v>
      </c>
      <c r="G36" s="2" t="str">
        <f t="shared" si="2"/>
        <v>OTHER_RESOURCE_TRANSPORT_STAFF</v>
      </c>
      <c r="H36" s="63"/>
      <c r="I36" s="64">
        <f>'Transporte Transports'!E45</f>
        <v>217</v>
      </c>
      <c r="J36" s="64"/>
      <c r="K36" s="64"/>
      <c r="L36" s="64">
        <f>'Transporte Transports'!M45</f>
        <v>0.0263</v>
      </c>
      <c r="M36" s="63"/>
      <c r="N36" s="63"/>
      <c r="O36" s="64">
        <f>'Transporte Transports'!Q45</f>
        <v>0.893</v>
      </c>
      <c r="P36" s="63"/>
      <c r="Q36" s="63"/>
      <c r="R36" s="64">
        <f>'Transporte Transports'!U45</f>
        <v>0.195</v>
      </c>
      <c r="S36" s="63"/>
      <c r="T36" s="63"/>
      <c r="U36" s="69" t="str">
        <f>'Transporte Transports'!D45</f>
        <v>pkm</v>
      </c>
      <c r="V36" s="2" t="str">
        <f>VLOOKUP('Transporte Transports'!C45,RefDimensions!A$2:B$15,2,false)</f>
        <v>haulageCapacity</v>
      </c>
      <c r="W36" s="66"/>
      <c r="X36" s="2" t="str">
        <f t="shared" si="3"/>
        <v>63.007</v>
      </c>
      <c r="Y36" s="7" t="s">
        <v>203</v>
      </c>
      <c r="Z36" s="8">
        <v>60.0</v>
      </c>
      <c r="AA36" s="67" t="str">
        <f t="shared" si="4"/>
        <v>Alle &gt; RESSOURCEN &gt; kbob.admin.ch &gt; KBOB / ecobau / IPB 2009/1:2016</v>
      </c>
    </row>
    <row r="37">
      <c r="A37" s="2" t="str">
        <f>'Transporte Transports'!A46 &amp; " " &amp; 'Transporte Transports'!C46 &amp; " (KBOB.2016)"</f>
        <v>63.008 Transportleistung (KBOB.2016)</v>
      </c>
      <c r="B37" s="2" t="str">
        <f t="shared" si="1"/>
        <v>63.008 Transportleistung (KBOB.2016)</v>
      </c>
      <c r="C37" s="2"/>
      <c r="D37" s="2"/>
      <c r="E37" s="2"/>
      <c r="F37" s="2" t="s">
        <v>186</v>
      </c>
      <c r="G37" s="2" t="str">
        <f t="shared" si="2"/>
        <v>OTHER_RESOURCE_TRANSPORT_STAFF</v>
      </c>
      <c r="H37" s="63"/>
      <c r="I37" s="64">
        <f>'Transporte Transports'!E46</f>
        <v>221</v>
      </c>
      <c r="J37" s="64"/>
      <c r="K37" s="64"/>
      <c r="L37" s="64">
        <f>'Transporte Transports'!M46</f>
        <v>0.0264</v>
      </c>
      <c r="M37" s="63"/>
      <c r="N37" s="63"/>
      <c r="O37" s="64">
        <f>'Transporte Transports'!Q46</f>
        <v>0.909</v>
      </c>
      <c r="P37" s="63"/>
      <c r="Q37" s="63"/>
      <c r="R37" s="64">
        <f>'Transporte Transports'!U46</f>
        <v>0.199</v>
      </c>
      <c r="S37" s="63"/>
      <c r="T37" s="63"/>
      <c r="U37" s="69" t="str">
        <f>'Transporte Transports'!D46</f>
        <v>pkm</v>
      </c>
      <c r="V37" s="2" t="str">
        <f>VLOOKUP('Transporte Transports'!C46,RefDimensions!A$2:B$15,2,false)</f>
        <v>haulageCapacity</v>
      </c>
      <c r="W37" s="66"/>
      <c r="X37" s="2" t="str">
        <f t="shared" si="3"/>
        <v>63.008</v>
      </c>
      <c r="Y37" s="7" t="s">
        <v>203</v>
      </c>
      <c r="Z37" s="8">
        <v>60.0</v>
      </c>
      <c r="AA37" s="67" t="str">
        <f t="shared" si="4"/>
        <v>Alle &gt; RESSOURCEN &gt; kbob.admin.ch &gt; KBOB / ecobau / IPB 2009/1:2016</v>
      </c>
    </row>
    <row r="38">
      <c r="A38" s="2" t="str">
        <f>'Transporte Transports'!A47 &amp; " " &amp; 'Transporte Transports'!C47 &amp; " (KBOB.2016)"</f>
        <v>63.014 Transportleistung (KBOB.2016)</v>
      </c>
      <c r="B38" s="2" t="str">
        <f t="shared" si="1"/>
        <v>63.014 Transportleistung (KBOB.2016)</v>
      </c>
      <c r="C38" s="2"/>
      <c r="D38" s="2"/>
      <c r="E38" s="2"/>
      <c r="F38" s="2" t="s">
        <v>186</v>
      </c>
      <c r="G38" s="2" t="str">
        <f t="shared" si="2"/>
        <v>OTHER_RESOURCE_TRANSPORT_STAFF</v>
      </c>
      <c r="H38" s="63"/>
      <c r="I38" s="64">
        <f>'Transporte Transports'!E47</f>
        <v>154</v>
      </c>
      <c r="J38" s="64"/>
      <c r="K38" s="64"/>
      <c r="L38" s="64">
        <f>'Transporte Transports'!M47</f>
        <v>0.0478</v>
      </c>
      <c r="M38" s="63"/>
      <c r="N38" s="63"/>
      <c r="O38" s="64">
        <f>'Transporte Transports'!Q47</f>
        <v>0.43</v>
      </c>
      <c r="P38" s="63"/>
      <c r="Q38" s="63"/>
      <c r="R38" s="64">
        <f>'Transporte Transports'!U47</f>
        <v>0.0983</v>
      </c>
      <c r="S38" s="63"/>
      <c r="T38" s="63"/>
      <c r="U38" s="69" t="str">
        <f>'Transporte Transports'!D47</f>
        <v>pkm</v>
      </c>
      <c r="V38" s="2" t="str">
        <f>VLOOKUP('Transporte Transports'!C47,RefDimensions!A$2:B$15,2,false)</f>
        <v>haulageCapacity</v>
      </c>
      <c r="W38" s="66"/>
      <c r="X38" s="2" t="str">
        <f t="shared" si="3"/>
        <v>63.014</v>
      </c>
      <c r="Y38" s="7" t="s">
        <v>203</v>
      </c>
      <c r="Z38" s="8">
        <v>60.0</v>
      </c>
      <c r="AA38" s="67" t="str">
        <f t="shared" si="4"/>
        <v>Alle &gt; RESSOURCEN &gt; kbob.admin.ch &gt; KBOB / ecobau / IPB 2009/1:2016</v>
      </c>
    </row>
    <row r="39">
      <c r="A39" s="2" t="str">
        <f>'Transporte Transports'!A48 &amp; " " &amp; 'Transporte Transports'!C48 &amp; " (KBOB.2016)"</f>
        <v>63.009 Transportleistung (KBOB.2016)</v>
      </c>
      <c r="B39" s="2" t="str">
        <f t="shared" si="1"/>
        <v>63.009 Transportleistung (KBOB.2016)</v>
      </c>
      <c r="C39" s="2"/>
      <c r="D39" s="2"/>
      <c r="E39" s="2"/>
      <c r="F39" s="2" t="s">
        <v>186</v>
      </c>
      <c r="G39" s="2" t="str">
        <f t="shared" si="2"/>
        <v>OTHER_RESOURCE_TRANSPORT_STAFF</v>
      </c>
      <c r="H39" s="63"/>
      <c r="I39" s="64">
        <f>'Transporte Transports'!E48</f>
        <v>198</v>
      </c>
      <c r="J39" s="64"/>
      <c r="K39" s="64"/>
      <c r="L39" s="64">
        <f>'Transporte Transports'!M48</f>
        <v>0.0257</v>
      </c>
      <c r="M39" s="63"/>
      <c r="N39" s="63"/>
      <c r="O39" s="64">
        <f>'Transporte Transports'!Q48</f>
        <v>0.816</v>
      </c>
      <c r="P39" s="63"/>
      <c r="Q39" s="63"/>
      <c r="R39" s="64">
        <f>'Transporte Transports'!U48</f>
        <v>0.176</v>
      </c>
      <c r="S39" s="63"/>
      <c r="T39" s="63"/>
      <c r="U39" s="69" t="str">
        <f>'Transporte Transports'!D48</f>
        <v>pkm</v>
      </c>
      <c r="V39" s="2" t="str">
        <f>VLOOKUP('Transporte Transports'!C48,RefDimensions!A$2:B$15,2,false)</f>
        <v>haulageCapacity</v>
      </c>
      <c r="W39" s="66"/>
      <c r="X39" s="2" t="str">
        <f t="shared" si="3"/>
        <v>63.009</v>
      </c>
      <c r="Y39" s="7" t="s">
        <v>203</v>
      </c>
      <c r="Z39" s="8">
        <v>60.0</v>
      </c>
      <c r="AA39" s="67" t="str">
        <f t="shared" si="4"/>
        <v>Alle &gt; RESSOURCEN &gt; kbob.admin.ch &gt; KBOB / ecobau / IPB 2009/1:2016</v>
      </c>
    </row>
    <row r="40">
      <c r="A40" s="2" t="str">
        <f>'Transporte Transports'!A49 &amp; " " &amp; 'Transporte Transports'!C49 &amp; " (KBOB.2016)"</f>
        <v>63.016 Transportleistung (KBOB.2016)</v>
      </c>
      <c r="B40" s="2" t="str">
        <f t="shared" si="1"/>
        <v>63.016 Transportleistung (KBOB.2016)</v>
      </c>
      <c r="C40" s="2"/>
      <c r="D40" s="2"/>
      <c r="E40" s="2"/>
      <c r="F40" s="2" t="s">
        <v>186</v>
      </c>
      <c r="G40" s="2" t="str">
        <f t="shared" si="2"/>
        <v>OTHER_RESOURCE_TRANSPORT_STAFF</v>
      </c>
      <c r="H40" s="63"/>
      <c r="I40" s="64">
        <f>'Transporte Transports'!E49</f>
        <v>163</v>
      </c>
      <c r="J40" s="64"/>
      <c r="K40" s="64"/>
      <c r="L40" s="64">
        <f>'Transporte Transports'!M49</f>
        <v>0.0945</v>
      </c>
      <c r="M40" s="63"/>
      <c r="N40" s="63"/>
      <c r="O40" s="64">
        <f>'Transporte Transports'!Q49</f>
        <v>0.643</v>
      </c>
      <c r="P40" s="63"/>
      <c r="Q40" s="63"/>
      <c r="R40" s="64">
        <f>'Transporte Transports'!U49</f>
        <v>0.0584</v>
      </c>
      <c r="S40" s="63"/>
      <c r="T40" s="63"/>
      <c r="U40" s="69" t="str">
        <f>'Transporte Transports'!D49</f>
        <v>pkm</v>
      </c>
      <c r="V40" s="2" t="str">
        <f>VLOOKUP('Transporte Transports'!C49,RefDimensions!A$2:B$15,2,false)</f>
        <v>haulageCapacity</v>
      </c>
      <c r="W40" s="66"/>
      <c r="X40" s="2" t="str">
        <f t="shared" si="3"/>
        <v>63.016</v>
      </c>
      <c r="Y40" s="7" t="s">
        <v>203</v>
      </c>
      <c r="Z40" s="8">
        <v>60.0</v>
      </c>
      <c r="AA40" s="67" t="str">
        <f t="shared" si="4"/>
        <v>Alle &gt; RESSOURCEN &gt; kbob.admin.ch &gt; KBOB / ecobau / IPB 2009/1:2016</v>
      </c>
    </row>
    <row r="41">
      <c r="A41" s="2" t="str">
        <f>'Transporte Transports'!A50 &amp; " " &amp; 'Transporte Transports'!C50 &amp; " (KBOB.2016)"</f>
        <v>63.015 Transportleistung (KBOB.2016)</v>
      </c>
      <c r="B41" s="2" t="str">
        <f t="shared" si="1"/>
        <v>63.015 Transportleistung (KBOB.2016)</v>
      </c>
      <c r="C41" s="2"/>
      <c r="D41" s="2"/>
      <c r="E41" s="2"/>
      <c r="F41" s="2" t="s">
        <v>186</v>
      </c>
      <c r="G41" s="2" t="str">
        <f t="shared" si="2"/>
        <v>OTHER_RESOURCE_TRANSPORT_STAFF</v>
      </c>
      <c r="H41" s="63"/>
      <c r="I41" s="64">
        <f>'Transporte Transports'!E50</f>
        <v>172</v>
      </c>
      <c r="J41" s="64"/>
      <c r="K41" s="64"/>
      <c r="L41" s="64">
        <f>'Transporte Transports'!M50</f>
        <v>0.0312</v>
      </c>
      <c r="M41" s="63"/>
      <c r="N41" s="63"/>
      <c r="O41" s="64">
        <f>'Transporte Transports'!Q50</f>
        <v>0.881</v>
      </c>
      <c r="P41" s="63"/>
      <c r="Q41" s="63"/>
      <c r="R41" s="64">
        <f>'Transporte Transports'!U50</f>
        <v>0.16</v>
      </c>
      <c r="S41" s="63"/>
      <c r="T41" s="63"/>
      <c r="U41" s="69" t="str">
        <f>'Transporte Transports'!D50</f>
        <v>pkm</v>
      </c>
      <c r="V41" s="2" t="str">
        <f>VLOOKUP('Transporte Transports'!C50,RefDimensions!A$2:B$15,2,false)</f>
        <v>haulageCapacity</v>
      </c>
      <c r="W41" s="66"/>
      <c r="X41" s="2" t="str">
        <f t="shared" si="3"/>
        <v>63.015</v>
      </c>
      <c r="Y41" s="7" t="s">
        <v>203</v>
      </c>
      <c r="Z41" s="8">
        <v>60.0</v>
      </c>
      <c r="AA41" s="67" t="str">
        <f t="shared" si="4"/>
        <v>Alle &gt; RESSOURCEN &gt; kbob.admin.ch &gt; KBOB / ecobau / IPB 2009/1:2016</v>
      </c>
    </row>
    <row r="42">
      <c r="A42" s="2" t="str">
        <f>'Transporte Transports'!A51 &amp; " " &amp; 'Transporte Transports'!C51 &amp; " (KBOB.2016)"</f>
        <v>63.010 Transportleistung (KBOB.2016)</v>
      </c>
      <c r="B42" s="2" t="str">
        <f t="shared" si="1"/>
        <v>63.010 Transportleistung (KBOB.2016)</v>
      </c>
      <c r="C42" s="2"/>
      <c r="D42" s="2"/>
      <c r="E42" s="2"/>
      <c r="F42" s="2" t="s">
        <v>186</v>
      </c>
      <c r="G42" s="2" t="str">
        <f t="shared" si="2"/>
        <v>OTHER_RESOURCE_TRANSPORT_STAFF</v>
      </c>
      <c r="H42" s="63"/>
      <c r="I42" s="64">
        <f>'Transporte Transports'!E51</f>
        <v>51.7</v>
      </c>
      <c r="J42" s="64"/>
      <c r="K42" s="64"/>
      <c r="L42" s="64">
        <f>'Transporte Transports'!M51</f>
        <v>0.136</v>
      </c>
      <c r="M42" s="63"/>
      <c r="N42" s="63"/>
      <c r="O42" s="64">
        <f>'Transporte Transports'!Q51</f>
        <v>0.223</v>
      </c>
      <c r="P42" s="63"/>
      <c r="Q42" s="63"/>
      <c r="R42" s="64">
        <f>'Transporte Transports'!U51</f>
        <v>0.00989</v>
      </c>
      <c r="S42" s="63"/>
      <c r="T42" s="63"/>
      <c r="U42" s="69" t="str">
        <f>'Transporte Transports'!D51</f>
        <v>pkm</v>
      </c>
      <c r="V42" s="2" t="str">
        <f>VLOOKUP('Transporte Transports'!C51,RefDimensions!A$2:B$15,2,false)</f>
        <v>haulageCapacity</v>
      </c>
      <c r="W42" s="66"/>
      <c r="X42" s="2" t="str">
        <f t="shared" si="3"/>
        <v>63.010</v>
      </c>
      <c r="Y42" s="7" t="s">
        <v>203</v>
      </c>
      <c r="Z42" s="8">
        <v>60.0</v>
      </c>
      <c r="AA42" s="67" t="str">
        <f t="shared" si="4"/>
        <v>Alle &gt; RESSOURCEN &gt; kbob.admin.ch &gt; KBOB / ecobau / IPB 2009/1:2016</v>
      </c>
    </row>
    <row r="43">
      <c r="A43" s="2" t="str">
        <f>'Transporte Transports'!A52 &amp; " " &amp; 'Transporte Transports'!C52 &amp; " (KBOB.2016)"</f>
        <v>63.011 Transportleistung (KBOB.2016)</v>
      </c>
      <c r="B43" s="2" t="str">
        <f t="shared" si="1"/>
        <v>63.011 Transportleistung (KBOB.2016)</v>
      </c>
      <c r="C43" s="2"/>
      <c r="D43" s="2"/>
      <c r="E43" s="2"/>
      <c r="F43" s="2" t="s">
        <v>186</v>
      </c>
      <c r="G43" s="2" t="str">
        <f t="shared" si="2"/>
        <v>OTHER_RESOURCE_TRANSPORT_STAFF</v>
      </c>
      <c r="H43" s="63"/>
      <c r="I43" s="64">
        <f>'Transporte Transports'!E52</f>
        <v>76.7</v>
      </c>
      <c r="J43" s="64"/>
      <c r="K43" s="64"/>
      <c r="L43" s="64">
        <f>'Transporte Transports'!M52</f>
        <v>0.00447</v>
      </c>
      <c r="M43" s="63"/>
      <c r="N43" s="63"/>
      <c r="O43" s="64">
        <f>'Transporte Transports'!Q52</f>
        <v>0.233</v>
      </c>
      <c r="P43" s="63"/>
      <c r="Q43" s="63"/>
      <c r="R43" s="64">
        <f>'Transporte Transports'!U52</f>
        <v>0.0518</v>
      </c>
      <c r="S43" s="63"/>
      <c r="T43" s="63"/>
      <c r="U43" s="69" t="str">
        <f>'Transporte Transports'!D52</f>
        <v>pkm</v>
      </c>
      <c r="V43" s="2" t="str">
        <f>VLOOKUP('Transporte Transports'!C52,RefDimensions!A$2:B$15,2,false)</f>
        <v>haulageCapacity</v>
      </c>
      <c r="W43" s="66"/>
      <c r="X43" s="2" t="str">
        <f t="shared" si="3"/>
        <v>63.011</v>
      </c>
      <c r="Y43" s="7" t="s">
        <v>203</v>
      </c>
      <c r="Z43" s="8">
        <v>60.0</v>
      </c>
      <c r="AA43" s="67" t="str">
        <f t="shared" si="4"/>
        <v>Alle &gt; RESSOURCEN &gt; kbob.admin.ch &gt; KBOB / ecobau / IPB 2009/1:2016</v>
      </c>
    </row>
    <row r="44">
      <c r="A44" s="2" t="str">
        <f>'Transporte Transports'!A53 &amp; " " &amp; 'Transporte Transports'!C53 &amp; " (KBOB.2016)"</f>
        <v>63.017 Transportleistung (KBOB.2016)</v>
      </c>
      <c r="B44" s="2" t="str">
        <f t="shared" si="1"/>
        <v>63.017 Transportleistung (KBOB.2016)</v>
      </c>
      <c r="C44" s="2"/>
      <c r="D44" s="2"/>
      <c r="E44" s="2"/>
      <c r="F44" s="2" t="s">
        <v>186</v>
      </c>
      <c r="G44" s="2" t="str">
        <f t="shared" si="2"/>
        <v>OTHER_RESOURCE_TRANSPORT_STAFF</v>
      </c>
      <c r="H44" s="63"/>
      <c r="I44" s="64">
        <f>'Transporte Transports'!E53</f>
        <v>271</v>
      </c>
      <c r="J44" s="64"/>
      <c r="K44" s="64"/>
      <c r="L44" s="64">
        <f>'Transporte Transports'!M53</f>
        <v>0.00469</v>
      </c>
      <c r="M44" s="63"/>
      <c r="N44" s="63"/>
      <c r="O44" s="64">
        <f>'Transporte Transports'!Q53</f>
        <v>0.429</v>
      </c>
      <c r="P44" s="63"/>
      <c r="Q44" s="63"/>
      <c r="R44" s="64">
        <f>'Transporte Transports'!U53</f>
        <v>0.122</v>
      </c>
      <c r="S44" s="63"/>
      <c r="T44" s="63"/>
      <c r="U44" s="69" t="str">
        <f>'Transporte Transports'!D53</f>
        <v>pkm</v>
      </c>
      <c r="V44" s="2" t="str">
        <f>VLOOKUP('Transporte Transports'!C53,RefDimensions!A$2:B$15,2,false)</f>
        <v>haulageCapacity</v>
      </c>
      <c r="W44" s="66"/>
      <c r="X44" s="2" t="str">
        <f t="shared" si="3"/>
        <v>63.017</v>
      </c>
      <c r="Y44" s="7" t="s">
        <v>203</v>
      </c>
      <c r="Z44" s="8">
        <v>60.0</v>
      </c>
      <c r="AA44" s="67" t="str">
        <f t="shared" si="4"/>
        <v>Alle &gt; RESSOURCEN &gt; kbob.admin.ch &gt; KBOB / ecobau / IPB 2009/1:2016</v>
      </c>
    </row>
    <row r="45">
      <c r="A45" s="2" t="str">
        <f>'Transporte Transports'!A54 &amp; " " &amp; 'Transporte Transports'!C54 &amp; " (KBOB.2016)"</f>
        <v>63.012 Transportleistung (KBOB.2016)</v>
      </c>
      <c r="B45" s="2" t="str">
        <f t="shared" si="1"/>
        <v>63.012 Transportleistung (KBOB.2016)</v>
      </c>
      <c r="C45" s="2"/>
      <c r="D45" s="2"/>
      <c r="E45" s="2"/>
      <c r="F45" s="2" t="s">
        <v>186</v>
      </c>
      <c r="G45" s="2" t="str">
        <f t="shared" si="2"/>
        <v>OTHER_RESOURCE_TRANSPORT_STAFF</v>
      </c>
      <c r="H45" s="63"/>
      <c r="I45" s="64">
        <f>'Transporte Transports'!E54</f>
        <v>55.5</v>
      </c>
      <c r="J45" s="64"/>
      <c r="K45" s="64"/>
      <c r="L45" s="64">
        <f>'Transporte Transports'!M54</f>
        <v>0.0485</v>
      </c>
      <c r="M45" s="63"/>
      <c r="N45" s="63"/>
      <c r="O45" s="64">
        <f>'Transporte Transports'!Q54</f>
        <v>0.289</v>
      </c>
      <c r="P45" s="63"/>
      <c r="Q45" s="63"/>
      <c r="R45" s="64">
        <f>'Transporte Transports'!U54</f>
        <v>0.0227</v>
      </c>
      <c r="S45" s="63"/>
      <c r="T45" s="63"/>
      <c r="U45" s="69" t="str">
        <f>'Transporte Transports'!D54</f>
        <v>pkm</v>
      </c>
      <c r="V45" s="2" t="str">
        <f>VLOOKUP('Transporte Transports'!C54,RefDimensions!A$2:B$15,2,false)</f>
        <v>haulageCapacity</v>
      </c>
      <c r="W45" s="66"/>
      <c r="X45" s="2" t="str">
        <f t="shared" si="3"/>
        <v>63.012</v>
      </c>
      <c r="Y45" s="7" t="s">
        <v>203</v>
      </c>
      <c r="Z45" s="8">
        <v>60.0</v>
      </c>
      <c r="AA45" s="67" t="str">
        <f t="shared" si="4"/>
        <v>Alle &gt; RESSOURCEN &gt; kbob.admin.ch &gt; KBOB / ecobau / IPB 2009/1:2016</v>
      </c>
    </row>
    <row r="46">
      <c r="A46" s="2" t="str">
        <f>'Transporte Transports'!A55 &amp; " " &amp; 'Transporte Transports'!C55 &amp; " (KBOB.2016)"</f>
        <v>63.013 Transportleistung (KBOB.2016)</v>
      </c>
      <c r="B46" s="2" t="str">
        <f t="shared" si="1"/>
        <v>63.013 Transportleistung (KBOB.2016)</v>
      </c>
      <c r="C46" s="2"/>
      <c r="D46" s="2"/>
      <c r="E46" s="2"/>
      <c r="F46" s="2" t="s">
        <v>186</v>
      </c>
      <c r="G46" s="2" t="str">
        <f t="shared" si="2"/>
        <v>OTHER_RESOURCE_TRANSPORT_STAFF</v>
      </c>
      <c r="H46" s="63"/>
      <c r="I46" s="64">
        <f>'Transporte Transports'!E55</f>
        <v>55.3</v>
      </c>
      <c r="J46" s="64"/>
      <c r="K46" s="64"/>
      <c r="L46" s="64">
        <f>'Transporte Transports'!M55</f>
        <v>0.0589</v>
      </c>
      <c r="M46" s="63"/>
      <c r="N46" s="63"/>
      <c r="O46" s="64">
        <f>'Transporte Transports'!Q55</f>
        <v>0.35</v>
      </c>
      <c r="P46" s="63"/>
      <c r="Q46" s="63"/>
      <c r="R46" s="64">
        <f>'Transporte Transports'!U55</f>
        <v>0.0199</v>
      </c>
      <c r="S46" s="63"/>
      <c r="T46" s="63"/>
      <c r="U46" s="69" t="str">
        <f>'Transporte Transports'!D55</f>
        <v>pkm</v>
      </c>
      <c r="V46" s="2" t="str">
        <f>VLOOKUP('Transporte Transports'!C55,RefDimensions!A$2:B$15,2,false)</f>
        <v>haulageCapacity</v>
      </c>
      <c r="W46" s="66"/>
      <c r="X46" s="2" t="str">
        <f t="shared" si="3"/>
        <v>63.013</v>
      </c>
      <c r="Y46" s="7" t="s">
        <v>203</v>
      </c>
      <c r="Z46" s="8">
        <v>60.0</v>
      </c>
      <c r="AA46" s="67" t="str">
        <f t="shared" si="4"/>
        <v>Alle &gt; RESSOURCEN &gt; kbob.admin.ch &gt; KBOB / ecobau / IPB 2009/1:2016</v>
      </c>
    </row>
    <row r="47">
      <c r="A47" s="2" t="str">
        <f>'Transporte Transports'!A56 &amp; " " &amp; 'Transporte Transports'!C56 &amp; " (KBOB.2016)"</f>
        <v>64  (KBOB.2016)</v>
      </c>
      <c r="B47" s="2" t="str">
        <f t="shared" si="1"/>
        <v>64  (KBOB.2016)</v>
      </c>
      <c r="C47" s="2"/>
      <c r="D47" s="2"/>
      <c r="E47" s="2"/>
      <c r="F47" s="2" t="s">
        <v>186</v>
      </c>
      <c r="G47" s="2" t="str">
        <f t="shared" si="2"/>
        <v>OTHER_RESOURCE_TRANSPORT_PEOPLE</v>
      </c>
      <c r="H47" s="63"/>
      <c r="I47" s="64" t="str">
        <f>'Transporte Transports'!E56</f>
        <v/>
      </c>
      <c r="J47" s="64"/>
      <c r="K47" s="64"/>
      <c r="L47" s="64" t="str">
        <f>'Transporte Transports'!M56</f>
        <v/>
      </c>
      <c r="M47" s="63"/>
      <c r="N47" s="63"/>
      <c r="O47" s="64" t="str">
        <f>'Transporte Transports'!Q56</f>
        <v/>
      </c>
      <c r="P47" s="63"/>
      <c r="Q47" s="63"/>
      <c r="R47" s="64" t="str">
        <f>'Transporte Transports'!U56</f>
        <v/>
      </c>
      <c r="S47" s="63"/>
      <c r="T47" s="63"/>
      <c r="U47" s="69" t="str">
        <f>'Transporte Transports'!D56</f>
        <v/>
      </c>
      <c r="V47" s="2" t="str">
        <f>VLOOKUP('Transporte Transports'!C56,RefDimensions!A$2:B$15,2,false)</f>
        <v>#N/A</v>
      </c>
      <c r="W47" s="66"/>
      <c r="X47" s="2" t="str">
        <f t="shared" si="3"/>
        <v>64  (K</v>
      </c>
      <c r="Y47" s="7" t="s">
        <v>203</v>
      </c>
      <c r="Z47" s="8">
        <v>60.0</v>
      </c>
      <c r="AA47" s="67" t="str">
        <f t="shared" si="4"/>
        <v>Alle &gt; RESSOURCEN &gt; kbob.admin.ch &gt; KBOB / ecobau / IPB 2009/1:2016</v>
      </c>
    </row>
    <row r="48">
      <c r="A48" s="2" t="str">
        <f>'Transporte Transports'!A57 &amp; " " &amp; 'Transporte Transports'!C57 &amp; " (KBOB.2016)"</f>
        <v>64.003 Fahrleistung (KBOB.2016)</v>
      </c>
      <c r="B48" s="2" t="str">
        <f t="shared" si="1"/>
        <v>64.003 Fahrleistung (KBOB.2016)</v>
      </c>
      <c r="C48" s="2"/>
      <c r="D48" s="2"/>
      <c r="E48" s="2"/>
      <c r="F48" s="2" t="s">
        <v>186</v>
      </c>
      <c r="G48" s="2" t="str">
        <f t="shared" si="2"/>
        <v>OTHER_RESOURCE_TRANSPORT_PEOPLE</v>
      </c>
      <c r="H48" s="63"/>
      <c r="I48" s="64">
        <f>'Transporte Transports'!E57</f>
        <v>2070</v>
      </c>
      <c r="J48" s="64"/>
      <c r="K48" s="64"/>
      <c r="L48" s="64">
        <f>'Transporte Transports'!M57</f>
        <v>0.0974</v>
      </c>
      <c r="M48" s="63"/>
      <c r="N48" s="63"/>
      <c r="O48" s="64">
        <f>'Transporte Transports'!Q57</f>
        <v>6.36</v>
      </c>
      <c r="P48" s="63"/>
      <c r="Q48" s="63"/>
      <c r="R48" s="64">
        <f>'Transporte Transports'!U57</f>
        <v>1.46</v>
      </c>
      <c r="S48" s="63"/>
      <c r="T48" s="63"/>
      <c r="U48" s="69" t="str">
        <f>'Transporte Transports'!D57</f>
        <v>km</v>
      </c>
      <c r="V48" s="2" t="str">
        <f>VLOOKUP('Transporte Transports'!C57,RefDimensions!A$2:B$15,2,false)</f>
        <v>mileage</v>
      </c>
      <c r="W48" s="66"/>
      <c r="X48" s="2" t="str">
        <f t="shared" si="3"/>
        <v>64.003</v>
      </c>
      <c r="Y48" s="7" t="s">
        <v>203</v>
      </c>
      <c r="Z48" s="8">
        <v>60.0</v>
      </c>
      <c r="AA48" s="67" t="str">
        <f t="shared" si="4"/>
        <v>Alle &gt; RESSOURCEN &gt; kbob.admin.ch &gt; KBOB / ecobau / IPB 2009/1:2016</v>
      </c>
    </row>
    <row r="49">
      <c r="A49" s="2" t="str">
        <f>'Transporte Transports'!A58 &amp; " " &amp; 'Transporte Transports'!C58 &amp; " (KBOB.2016)"</f>
        <v>64.001 Fahrleistung (KBOB.2016)</v>
      </c>
      <c r="B49" s="2" t="str">
        <f t="shared" si="1"/>
        <v>64.001 Fahrleistung (KBOB.2016)</v>
      </c>
      <c r="C49" s="2"/>
      <c r="D49" s="2"/>
      <c r="E49" s="2"/>
      <c r="F49" s="2" t="s">
        <v>186</v>
      </c>
      <c r="G49" s="2" t="str">
        <f t="shared" si="2"/>
        <v>OTHER_RESOURCE_TRANSPORT_PEOPLE</v>
      </c>
      <c r="H49" s="63"/>
      <c r="I49" s="64">
        <f>'Transporte Transports'!E58</f>
        <v>12000</v>
      </c>
      <c r="J49" s="64"/>
      <c r="K49" s="64"/>
      <c r="L49" s="64">
        <f>'Transporte Transports'!M58</f>
        <v>24.8</v>
      </c>
      <c r="M49" s="63"/>
      <c r="N49" s="63"/>
      <c r="O49" s="64">
        <f>'Transporte Transports'!Q58</f>
        <v>44.6</v>
      </c>
      <c r="P49" s="63"/>
      <c r="Q49" s="63"/>
      <c r="R49" s="64">
        <f>'Transporte Transports'!U58</f>
        <v>2.53</v>
      </c>
      <c r="S49" s="63"/>
      <c r="T49" s="63"/>
      <c r="U49" s="69" t="str">
        <f>'Transporte Transports'!D58</f>
        <v>km</v>
      </c>
      <c r="V49" s="2" t="str">
        <f>VLOOKUP('Transporte Transports'!C58,RefDimensions!A$2:B$15,2,false)</f>
        <v>mileage</v>
      </c>
      <c r="W49" s="66"/>
      <c r="X49" s="2" t="str">
        <f t="shared" si="3"/>
        <v>64.001</v>
      </c>
      <c r="Y49" s="7" t="s">
        <v>203</v>
      </c>
      <c r="Z49" s="8">
        <v>60.0</v>
      </c>
      <c r="AA49" s="67" t="str">
        <f t="shared" si="4"/>
        <v>Alle &gt; RESSOURCEN &gt; kbob.admin.ch &gt; KBOB / ecobau / IPB 2009/1:2016</v>
      </c>
    </row>
    <row r="50">
      <c r="A50" s="2" t="str">
        <f>'Transporte Transports'!A59 &amp; " " &amp; 'Transporte Transports'!C59 &amp; " (KBOB.2016)"</f>
        <v>64.002 Fahrleistung (KBOB.2016)</v>
      </c>
      <c r="B50" s="2" t="str">
        <f t="shared" si="1"/>
        <v>64.002 Fahrleistung (KBOB.2016)</v>
      </c>
      <c r="C50" s="2"/>
      <c r="D50" s="2"/>
      <c r="E50" s="2"/>
      <c r="F50" s="2" t="s">
        <v>186</v>
      </c>
      <c r="G50" s="2" t="str">
        <f t="shared" si="2"/>
        <v>OTHER_RESOURCE_TRANSPORT_PEOPLE</v>
      </c>
      <c r="H50" s="63"/>
      <c r="I50" s="64">
        <f>'Transporte Transports'!E59</f>
        <v>19600</v>
      </c>
      <c r="J50" s="64"/>
      <c r="K50" s="64"/>
      <c r="L50" s="64">
        <f>'Transporte Transports'!M59</f>
        <v>5.56</v>
      </c>
      <c r="M50" s="63"/>
      <c r="N50" s="63"/>
      <c r="O50" s="64">
        <f>'Transporte Transports'!Q59</f>
        <v>83.8</v>
      </c>
      <c r="P50" s="63"/>
      <c r="Q50" s="63"/>
      <c r="R50" s="64">
        <f>'Transporte Transports'!U59</f>
        <v>19.2</v>
      </c>
      <c r="S50" s="63"/>
      <c r="T50" s="63"/>
      <c r="U50" s="69" t="str">
        <f>'Transporte Transports'!D59</f>
        <v>km</v>
      </c>
      <c r="V50" s="2" t="str">
        <f>VLOOKUP('Transporte Transports'!C59,RefDimensions!A$2:B$15,2,false)</f>
        <v>mileage</v>
      </c>
      <c r="W50" s="66"/>
      <c r="X50" s="2" t="str">
        <f t="shared" si="3"/>
        <v>64.002</v>
      </c>
      <c r="Y50" s="7" t="s">
        <v>203</v>
      </c>
      <c r="Z50" s="8">
        <v>60.0</v>
      </c>
      <c r="AA50" s="67" t="str">
        <f t="shared" si="4"/>
        <v>Alle &gt; RESSOURCEN &gt; kbob.admin.ch &gt; KBOB / ecobau / IPB 2009/1:2016</v>
      </c>
    </row>
    <row r="51">
      <c r="A51" s="2" t="str">
        <f>'Transporte Transports'!A60 &amp; " " &amp; 'Transporte Transports'!C60 &amp; " (KBOB.2016)"</f>
        <v>64.004 Fahrleistung (KBOB.2016)</v>
      </c>
      <c r="B51" s="2" t="str">
        <f t="shared" si="1"/>
        <v>64.004 Fahrleistung (KBOB.2016)</v>
      </c>
      <c r="C51" s="2"/>
      <c r="D51" s="2"/>
      <c r="E51" s="2"/>
      <c r="F51" s="2" t="s">
        <v>186</v>
      </c>
      <c r="G51" s="2" t="str">
        <f t="shared" si="2"/>
        <v>OTHER_RESOURCE_TRANSPORT_PEOPLE</v>
      </c>
      <c r="H51" s="63"/>
      <c r="I51" s="64">
        <f>'Transporte Transports'!E60</f>
        <v>44000</v>
      </c>
      <c r="J51" s="64"/>
      <c r="K51" s="64"/>
      <c r="L51" s="64">
        <f>'Transporte Transports'!M60</f>
        <v>2.15</v>
      </c>
      <c r="M51" s="63"/>
      <c r="N51" s="63"/>
      <c r="O51" s="64">
        <f>'Transporte Transports'!Q60</f>
        <v>171</v>
      </c>
      <c r="P51" s="63"/>
      <c r="Q51" s="63"/>
      <c r="R51" s="64">
        <f>'Transporte Transports'!U60</f>
        <v>41.2</v>
      </c>
      <c r="S51" s="63"/>
      <c r="T51" s="63"/>
      <c r="U51" s="69" t="str">
        <f>'Transporte Transports'!D60</f>
        <v>km</v>
      </c>
      <c r="V51" s="2" t="str">
        <f>VLOOKUP('Transporte Transports'!C60,RefDimensions!A$2:B$15,2,false)</f>
        <v>mileage</v>
      </c>
      <c r="W51" s="66"/>
      <c r="X51" s="2" t="str">
        <f t="shared" si="3"/>
        <v>64.004</v>
      </c>
      <c r="Y51" s="7" t="s">
        <v>203</v>
      </c>
      <c r="Z51" s="8">
        <v>60.0</v>
      </c>
      <c r="AA51" s="67" t="str">
        <f t="shared" si="4"/>
        <v>Alle &gt; RESSOURCEN &gt; kbob.admin.ch &gt; KBOB / ecobau / IPB 2009/1:2016</v>
      </c>
    </row>
    <row r="52">
      <c r="A52" s="2" t="str">
        <f>'Transporte Transports'!A61 &amp; " " &amp; 'Transporte Transports'!C61 &amp; " (KBOB.2016)"</f>
        <v>64.005 Fahrleistung (KBOB.2016)</v>
      </c>
      <c r="B52" s="2" t="str">
        <f t="shared" si="1"/>
        <v>64.005 Fahrleistung (KBOB.2016)</v>
      </c>
      <c r="C52" s="2"/>
      <c r="D52" s="2"/>
      <c r="E52" s="2"/>
      <c r="F52" s="2" t="s">
        <v>186</v>
      </c>
      <c r="G52" s="2" t="str">
        <f t="shared" si="2"/>
        <v>OTHER_RESOURCE_TRANSPORT_PEOPLE</v>
      </c>
      <c r="H52" s="63"/>
      <c r="I52" s="64">
        <f>'Transporte Transports'!E61</f>
        <v>15200</v>
      </c>
      <c r="J52" s="64"/>
      <c r="K52" s="64"/>
      <c r="L52" s="64">
        <f>'Transporte Transports'!M61</f>
        <v>1.23</v>
      </c>
      <c r="M52" s="63"/>
      <c r="N52" s="63"/>
      <c r="O52" s="64">
        <f>'Transporte Transports'!Q61</f>
        <v>60.7</v>
      </c>
      <c r="P52" s="63"/>
      <c r="Q52" s="63"/>
      <c r="R52" s="64">
        <f>'Transporte Transports'!U61</f>
        <v>14.3</v>
      </c>
      <c r="S52" s="63"/>
      <c r="T52" s="63"/>
      <c r="U52" s="69" t="str">
        <f>'Transporte Transports'!D61</f>
        <v>km</v>
      </c>
      <c r="V52" s="2" t="str">
        <f>VLOOKUP('Transporte Transports'!C61,RefDimensions!A$2:B$15,2,false)</f>
        <v>mileage</v>
      </c>
      <c r="W52" s="66"/>
      <c r="X52" s="2" t="str">
        <f t="shared" si="3"/>
        <v>64.005</v>
      </c>
      <c r="Y52" s="7" t="s">
        <v>203</v>
      </c>
      <c r="Z52" s="8">
        <v>60.0</v>
      </c>
      <c r="AA52" s="67" t="str">
        <f t="shared" si="4"/>
        <v>Alle &gt; RESSOURCEN &gt; kbob.admin.ch &gt; KBOB / ecobau / IPB 2009/1:2016</v>
      </c>
    </row>
    <row r="53">
      <c r="A53" s="2" t="str">
        <f>'Transporte Transports'!A62 &amp; " " &amp; 'Transporte Transports'!C62 &amp; " (KBOB.2016)"</f>
        <v>64.006 Fahrleistung (KBOB.2016)</v>
      </c>
      <c r="B53" s="2" t="str">
        <f t="shared" si="1"/>
        <v>64.006 Fahrleistung (KBOB.2016)</v>
      </c>
      <c r="C53" s="2"/>
      <c r="D53" s="2"/>
      <c r="E53" s="2"/>
      <c r="F53" s="2" t="s">
        <v>186</v>
      </c>
      <c r="G53" s="2" t="str">
        <f t="shared" si="2"/>
        <v>OTHER_RESOURCE_TRANSPORT_PEOPLE</v>
      </c>
      <c r="H53" s="63"/>
      <c r="I53" s="64">
        <f>'Transporte Transports'!E62</f>
        <v>38600</v>
      </c>
      <c r="J53" s="64"/>
      <c r="K53" s="64"/>
      <c r="L53" s="64">
        <f>'Transporte Transports'!M62</f>
        <v>0.695</v>
      </c>
      <c r="M53" s="63"/>
      <c r="N53" s="63"/>
      <c r="O53" s="64">
        <f>'Transporte Transports'!Q62</f>
        <v>145</v>
      </c>
      <c r="P53" s="63"/>
      <c r="Q53" s="63"/>
      <c r="R53" s="64">
        <f>'Transporte Transports'!U62</f>
        <v>35.9</v>
      </c>
      <c r="S53" s="63"/>
      <c r="T53" s="63"/>
      <c r="U53" s="69" t="str">
        <f>'Transporte Transports'!D62</f>
        <v>km</v>
      </c>
      <c r="V53" s="2" t="str">
        <f>VLOOKUP('Transporte Transports'!C62,RefDimensions!A$2:B$15,2,false)</f>
        <v>mileage</v>
      </c>
      <c r="W53" s="66"/>
      <c r="X53" s="2" t="str">
        <f t="shared" si="3"/>
        <v>64.006</v>
      </c>
      <c r="Y53" s="7" t="s">
        <v>203</v>
      </c>
      <c r="Z53" s="8">
        <v>60.0</v>
      </c>
      <c r="AA53" s="67" t="str">
        <f t="shared" si="4"/>
        <v>Alle &gt; RESSOURCEN &gt; kbob.admin.ch &gt; KBOB / ecobau / IPB 2009/1:2016</v>
      </c>
    </row>
    <row r="54">
      <c r="A54" s="2" t="str">
        <f>'Transporte Transports'!A63 &amp; " " &amp; 'Transporte Transports'!C63 &amp; " (KBOB.2016)"</f>
        <v>64.007 Fahrleistung (KBOB.2016)</v>
      </c>
      <c r="B54" s="2" t="str">
        <f t="shared" si="1"/>
        <v>64.007 Fahrleistung (KBOB.2016)</v>
      </c>
      <c r="C54" s="2"/>
      <c r="D54" s="2"/>
      <c r="E54" s="2"/>
      <c r="F54" s="2" t="s">
        <v>186</v>
      </c>
      <c r="G54" s="2" t="str">
        <f t="shared" si="2"/>
        <v>OTHER_RESOURCE_TRANSPORT_PEOPLE</v>
      </c>
      <c r="H54" s="63"/>
      <c r="I54" s="64">
        <f>'Transporte Transports'!E63</f>
        <v>347</v>
      </c>
      <c r="J54" s="64"/>
      <c r="K54" s="64"/>
      <c r="L54" s="64">
        <f>'Transporte Transports'!M63</f>
        <v>0.0421</v>
      </c>
      <c r="M54" s="63"/>
      <c r="N54" s="63"/>
      <c r="O54" s="64">
        <f>'Transporte Transports'!Q63</f>
        <v>1.43</v>
      </c>
      <c r="P54" s="63"/>
      <c r="Q54" s="63"/>
      <c r="R54" s="64">
        <f>'Transporte Transports'!U63</f>
        <v>0.313</v>
      </c>
      <c r="S54" s="63"/>
      <c r="T54" s="63"/>
      <c r="U54" s="69" t="str">
        <f>'Transporte Transports'!D63</f>
        <v>km</v>
      </c>
      <c r="V54" s="2" t="str">
        <f>VLOOKUP('Transporte Transports'!C63,RefDimensions!A$2:B$15,2,false)</f>
        <v>mileage</v>
      </c>
      <c r="W54" s="66"/>
      <c r="X54" s="2" t="str">
        <f t="shared" si="3"/>
        <v>64.007</v>
      </c>
      <c r="Y54" s="7" t="s">
        <v>203</v>
      </c>
      <c r="Z54" s="8">
        <v>60.0</v>
      </c>
      <c r="AA54" s="67" t="str">
        <f t="shared" si="4"/>
        <v>Alle &gt; RESSOURCEN &gt; kbob.admin.ch &gt; KBOB / ecobau / IPB 2009/1:2016</v>
      </c>
    </row>
    <row r="55">
      <c r="A55" s="2" t="str">
        <f>'Transporte Transports'!A64 &amp; " " &amp; 'Transporte Transports'!C64 &amp; " (KBOB.2016)"</f>
        <v>64.008 Fahrleistung (KBOB.2016)</v>
      </c>
      <c r="B55" s="2" t="str">
        <f t="shared" si="1"/>
        <v>64.008 Fahrleistung (KBOB.2016)</v>
      </c>
      <c r="C55" s="2"/>
      <c r="D55" s="2"/>
      <c r="E55" s="2"/>
      <c r="F55" s="2" t="s">
        <v>186</v>
      </c>
      <c r="G55" s="2" t="str">
        <f t="shared" si="2"/>
        <v>OTHER_RESOURCE_TRANSPORT_PEOPLE</v>
      </c>
      <c r="H55" s="63"/>
      <c r="I55" s="64">
        <f>'Transporte Transports'!E64</f>
        <v>353</v>
      </c>
      <c r="J55" s="64"/>
      <c r="K55" s="64"/>
      <c r="L55" s="64">
        <f>'Transporte Transports'!M64</f>
        <v>0.0423</v>
      </c>
      <c r="M55" s="63"/>
      <c r="N55" s="63"/>
      <c r="O55" s="64">
        <f>'Transporte Transports'!Q64</f>
        <v>1.45</v>
      </c>
      <c r="P55" s="63"/>
      <c r="Q55" s="63"/>
      <c r="R55" s="64">
        <f>'Transporte Transports'!U64</f>
        <v>0.319</v>
      </c>
      <c r="S55" s="63"/>
      <c r="T55" s="63"/>
      <c r="U55" s="69" t="str">
        <f>'Transporte Transports'!D64</f>
        <v>km</v>
      </c>
      <c r="V55" s="2" t="str">
        <f>VLOOKUP('Transporte Transports'!C64,RefDimensions!A$2:B$15,2,false)</f>
        <v>mileage</v>
      </c>
      <c r="W55" s="66"/>
      <c r="X55" s="2" t="str">
        <f t="shared" si="3"/>
        <v>64.008</v>
      </c>
      <c r="Y55" s="7" t="s">
        <v>203</v>
      </c>
      <c r="Z55" s="8">
        <v>60.0</v>
      </c>
      <c r="AA55" s="67" t="str">
        <f t="shared" si="4"/>
        <v>Alle &gt; RESSOURCEN &gt; kbob.admin.ch &gt; KBOB / ecobau / IPB 2009/1:2016</v>
      </c>
    </row>
    <row r="56">
      <c r="A56" s="2" t="str">
        <f>'Transporte Transports'!A65 &amp; " " &amp; 'Transporte Transports'!C65 &amp; " (KBOB.2016)"</f>
        <v>64.014 Fahrleistung (KBOB.2016)</v>
      </c>
      <c r="B56" s="2" t="str">
        <f t="shared" si="1"/>
        <v>64.014 Fahrleistung (KBOB.2016)</v>
      </c>
      <c r="C56" s="2"/>
      <c r="D56" s="2"/>
      <c r="E56" s="2"/>
      <c r="F56" s="2" t="s">
        <v>186</v>
      </c>
      <c r="G56" s="2" t="str">
        <f t="shared" si="2"/>
        <v>OTHER_RESOURCE_TRANSPORT_PEOPLE</v>
      </c>
      <c r="H56" s="63"/>
      <c r="I56" s="64">
        <f>'Transporte Transports'!E65</f>
        <v>247</v>
      </c>
      <c r="J56" s="64"/>
      <c r="K56" s="64"/>
      <c r="L56" s="64">
        <f>'Transporte Transports'!M65</f>
        <v>0.0765</v>
      </c>
      <c r="M56" s="63"/>
      <c r="N56" s="63"/>
      <c r="O56" s="64">
        <f>'Transporte Transports'!Q65</f>
        <v>0.688</v>
      </c>
      <c r="P56" s="63"/>
      <c r="Q56" s="63"/>
      <c r="R56" s="64">
        <f>'Transporte Transports'!U65</f>
        <v>0.157</v>
      </c>
      <c r="S56" s="63"/>
      <c r="T56" s="63"/>
      <c r="U56" s="69" t="str">
        <f>'Transporte Transports'!D65</f>
        <v>km</v>
      </c>
      <c r="V56" s="2" t="str">
        <f>VLOOKUP('Transporte Transports'!C65,RefDimensions!A$2:B$15,2,false)</f>
        <v>mileage</v>
      </c>
      <c r="W56" s="66"/>
      <c r="X56" s="2" t="str">
        <f t="shared" si="3"/>
        <v>64.014</v>
      </c>
      <c r="Y56" s="7" t="s">
        <v>203</v>
      </c>
      <c r="Z56" s="8">
        <v>60.0</v>
      </c>
      <c r="AA56" s="67" t="str">
        <f t="shared" si="4"/>
        <v>Alle &gt; RESSOURCEN &gt; kbob.admin.ch &gt; KBOB / ecobau / IPB 2009/1:2016</v>
      </c>
    </row>
    <row r="57">
      <c r="A57" s="2" t="str">
        <f>'Transporte Transports'!A66 &amp; " " &amp; 'Transporte Transports'!C66 &amp; " (KBOB.2016)"</f>
        <v>64.009 Fahrleistung (KBOB.2016)</v>
      </c>
      <c r="B57" s="2" t="str">
        <f t="shared" si="1"/>
        <v>64.009 Fahrleistung (KBOB.2016)</v>
      </c>
      <c r="C57" s="2"/>
      <c r="D57" s="2"/>
      <c r="E57" s="2"/>
      <c r="F57" s="2" t="s">
        <v>186</v>
      </c>
      <c r="G57" s="2" t="str">
        <f t="shared" si="2"/>
        <v>OTHER_RESOURCE_TRANSPORT_PEOPLE</v>
      </c>
      <c r="H57" s="63"/>
      <c r="I57" s="64">
        <f>'Transporte Transports'!E66</f>
        <v>316</v>
      </c>
      <c r="J57" s="64"/>
      <c r="K57" s="64"/>
      <c r="L57" s="64">
        <f>'Transporte Transports'!M66</f>
        <v>0.0411</v>
      </c>
      <c r="M57" s="63"/>
      <c r="N57" s="63"/>
      <c r="O57" s="64">
        <f>'Transporte Transports'!Q66</f>
        <v>1.31</v>
      </c>
      <c r="P57" s="63"/>
      <c r="Q57" s="63"/>
      <c r="R57" s="64">
        <f>'Transporte Transports'!U66</f>
        <v>0.281</v>
      </c>
      <c r="S57" s="63"/>
      <c r="T57" s="63"/>
      <c r="U57" s="69" t="str">
        <f>'Transporte Transports'!D66</f>
        <v>km</v>
      </c>
      <c r="V57" s="2" t="str">
        <f>VLOOKUP('Transporte Transports'!C66,RefDimensions!A$2:B$15,2,false)</f>
        <v>mileage</v>
      </c>
      <c r="W57" s="66"/>
      <c r="X57" s="2" t="str">
        <f t="shared" si="3"/>
        <v>64.009</v>
      </c>
      <c r="Y57" s="7" t="s">
        <v>203</v>
      </c>
      <c r="Z57" s="8">
        <v>60.0</v>
      </c>
      <c r="AA57" s="67" t="str">
        <f t="shared" si="4"/>
        <v>Alle &gt; RESSOURCEN &gt; kbob.admin.ch &gt; KBOB / ecobau / IPB 2009/1:2016</v>
      </c>
    </row>
    <row r="58">
      <c r="A58" s="2" t="str">
        <f>'Transporte Transports'!A67 &amp; " " &amp; 'Transporte Transports'!C67 &amp; " (KBOB.2016)"</f>
        <v>64.016 Fahrleistung (KBOB.2016)</v>
      </c>
      <c r="B58" s="2" t="str">
        <f t="shared" si="1"/>
        <v>64.016 Fahrleistung (KBOB.2016)</v>
      </c>
      <c r="C58" s="2"/>
      <c r="D58" s="2"/>
      <c r="E58" s="2"/>
      <c r="F58" s="2" t="s">
        <v>186</v>
      </c>
      <c r="G58" s="2" t="str">
        <f t="shared" si="2"/>
        <v>OTHER_RESOURCE_TRANSPORT_PEOPLE</v>
      </c>
      <c r="H58" s="63"/>
      <c r="I58" s="64">
        <f>'Transporte Transports'!E67</f>
        <v>261</v>
      </c>
      <c r="J58" s="64"/>
      <c r="K58" s="64"/>
      <c r="L58" s="64">
        <f>'Transporte Transports'!M67</f>
        <v>0.151</v>
      </c>
      <c r="M58" s="63"/>
      <c r="N58" s="63"/>
      <c r="O58" s="64">
        <f>'Transporte Transports'!Q67</f>
        <v>1.03</v>
      </c>
      <c r="P58" s="63"/>
      <c r="Q58" s="63"/>
      <c r="R58" s="64">
        <f>'Transporte Transports'!U67</f>
        <v>0.0934</v>
      </c>
      <c r="S58" s="63"/>
      <c r="T58" s="63"/>
      <c r="U58" s="69" t="str">
        <f>'Transporte Transports'!D67</f>
        <v>km</v>
      </c>
      <c r="V58" s="2" t="str">
        <f>VLOOKUP('Transporte Transports'!C67,RefDimensions!A$2:B$15,2,false)</f>
        <v>mileage</v>
      </c>
      <c r="W58" s="66"/>
      <c r="X58" s="2" t="str">
        <f t="shared" si="3"/>
        <v>64.016</v>
      </c>
      <c r="Y58" s="7" t="s">
        <v>203</v>
      </c>
      <c r="Z58" s="8">
        <v>60.0</v>
      </c>
      <c r="AA58" s="67" t="str">
        <f t="shared" si="4"/>
        <v>Alle &gt; RESSOURCEN &gt; kbob.admin.ch &gt; KBOB / ecobau / IPB 2009/1:2016</v>
      </c>
    </row>
    <row r="59">
      <c r="A59" s="2" t="str">
        <f>'Transporte Transports'!A68 &amp; " " &amp; 'Transporte Transports'!C68 &amp; " (KBOB.2016)"</f>
        <v>64.015 Fahrleistung (KBOB.2016)</v>
      </c>
      <c r="B59" s="2" t="str">
        <f t="shared" si="1"/>
        <v>64.015 Fahrleistung (KBOB.2016)</v>
      </c>
      <c r="C59" s="2"/>
      <c r="D59" s="2"/>
      <c r="E59" s="2"/>
      <c r="F59" s="2" t="s">
        <v>186</v>
      </c>
      <c r="G59" s="2" t="str">
        <f t="shared" si="2"/>
        <v>OTHER_RESOURCE_TRANSPORT_PEOPLE</v>
      </c>
      <c r="H59" s="63"/>
      <c r="I59" s="64">
        <f>'Transporte Transports'!E68</f>
        <v>275</v>
      </c>
      <c r="J59" s="64"/>
      <c r="K59" s="64"/>
      <c r="L59" s="64">
        <f>'Transporte Transports'!M68</f>
        <v>0.0499</v>
      </c>
      <c r="M59" s="63"/>
      <c r="N59" s="63"/>
      <c r="O59" s="64">
        <f>'Transporte Transports'!Q68</f>
        <v>1.41</v>
      </c>
      <c r="P59" s="63"/>
      <c r="Q59" s="63"/>
      <c r="R59" s="64">
        <f>'Transporte Transports'!U68</f>
        <v>0.256</v>
      </c>
      <c r="S59" s="63"/>
      <c r="T59" s="63"/>
      <c r="U59" s="69" t="str">
        <f>'Transporte Transports'!D68</f>
        <v>km</v>
      </c>
      <c r="V59" s="2" t="str">
        <f>VLOOKUP('Transporte Transports'!C68,RefDimensions!A$2:B$15,2,false)</f>
        <v>mileage</v>
      </c>
      <c r="W59" s="66"/>
      <c r="X59" s="2" t="str">
        <f t="shared" si="3"/>
        <v>64.015</v>
      </c>
      <c r="Y59" s="7" t="s">
        <v>203</v>
      </c>
      <c r="Z59" s="8">
        <v>60.0</v>
      </c>
      <c r="AA59" s="67" t="str">
        <f t="shared" si="4"/>
        <v>Alle &gt; RESSOURCEN &gt; kbob.admin.ch &gt; KBOB / ecobau / IPB 2009/1:2016</v>
      </c>
    </row>
    <row r="60">
      <c r="A60" s="2" t="str">
        <f>'Transporte Transports'!A69 &amp; " " &amp; 'Transporte Transports'!C69 &amp; " (KBOB.2016)"</f>
        <v>64.010 Fahrleistung (KBOB.2016)</v>
      </c>
      <c r="B60" s="2" t="str">
        <f t="shared" si="1"/>
        <v>64.010 Fahrleistung (KBOB.2016)</v>
      </c>
      <c r="C60" s="2"/>
      <c r="D60" s="2"/>
      <c r="E60" s="2"/>
      <c r="F60" s="2" t="s">
        <v>186</v>
      </c>
      <c r="G60" s="2" t="str">
        <f t="shared" si="2"/>
        <v>OTHER_RESOURCE_TRANSPORT_PEOPLE</v>
      </c>
      <c r="H60" s="63"/>
      <c r="I60" s="64">
        <f>'Transporte Transports'!E69</f>
        <v>2380</v>
      </c>
      <c r="J60" s="64"/>
      <c r="K60" s="64"/>
      <c r="L60" s="64">
        <f>'Transporte Transports'!M69</f>
        <v>6.28</v>
      </c>
      <c r="M60" s="63"/>
      <c r="N60" s="63"/>
      <c r="O60" s="64">
        <f>'Transporte Transports'!Q69</f>
        <v>10.3</v>
      </c>
      <c r="P60" s="63"/>
      <c r="Q60" s="63"/>
      <c r="R60" s="64">
        <f>'Transporte Transports'!U69</f>
        <v>0.456</v>
      </c>
      <c r="S60" s="63"/>
      <c r="T60" s="63"/>
      <c r="U60" s="69" t="str">
        <f>'Transporte Transports'!D69</f>
        <v>km</v>
      </c>
      <c r="V60" s="2" t="str">
        <f>VLOOKUP('Transporte Transports'!C69,RefDimensions!A$2:B$15,2,false)</f>
        <v>mileage</v>
      </c>
      <c r="W60" s="66"/>
      <c r="X60" s="2" t="str">
        <f t="shared" si="3"/>
        <v>64.010</v>
      </c>
      <c r="Y60" s="7" t="s">
        <v>203</v>
      </c>
      <c r="Z60" s="8">
        <v>60.0</v>
      </c>
      <c r="AA60" s="67" t="str">
        <f t="shared" si="4"/>
        <v>Alle &gt; RESSOURCEN &gt; kbob.admin.ch &gt; KBOB / ecobau / IPB 2009/1:2016</v>
      </c>
    </row>
    <row r="61">
      <c r="A61" s="2" t="str">
        <f>'Transporte Transports'!A70 &amp; " " &amp; 'Transporte Transports'!C70 &amp; " (KBOB.2016)"</f>
        <v>64.011 Fahrleistung (KBOB.2016)</v>
      </c>
      <c r="B61" s="2" t="str">
        <f t="shared" si="1"/>
        <v>64.011 Fahrleistung (KBOB.2016)</v>
      </c>
      <c r="C61" s="2"/>
      <c r="D61" s="2"/>
      <c r="E61" s="2"/>
      <c r="F61" s="2" t="s">
        <v>186</v>
      </c>
      <c r="G61" s="2" t="str">
        <f t="shared" si="2"/>
        <v>OTHER_RESOURCE_TRANSPORT_PEOPLE</v>
      </c>
      <c r="H61" s="63"/>
      <c r="I61" s="64">
        <f>'Transporte Transports'!E70</f>
        <v>1610</v>
      </c>
      <c r="J61" s="64"/>
      <c r="K61" s="64"/>
      <c r="L61" s="64">
        <f>'Transporte Transports'!M70</f>
        <v>0.0939</v>
      </c>
      <c r="M61" s="63"/>
      <c r="N61" s="63"/>
      <c r="O61" s="64">
        <f>'Transporte Transports'!Q70</f>
        <v>4.9</v>
      </c>
      <c r="P61" s="63"/>
      <c r="Q61" s="63"/>
      <c r="R61" s="64">
        <f>'Transporte Transports'!U70</f>
        <v>1.09</v>
      </c>
      <c r="S61" s="63"/>
      <c r="T61" s="63"/>
      <c r="U61" s="69" t="str">
        <f>'Transporte Transports'!D70</f>
        <v>km</v>
      </c>
      <c r="V61" s="2" t="str">
        <f>VLOOKUP('Transporte Transports'!C70,RefDimensions!A$2:B$15,2,false)</f>
        <v>mileage</v>
      </c>
      <c r="W61" s="66"/>
      <c r="X61" s="2" t="str">
        <f t="shared" si="3"/>
        <v>64.011</v>
      </c>
      <c r="Y61" s="7" t="s">
        <v>203</v>
      </c>
      <c r="Z61" s="8">
        <v>60.0</v>
      </c>
      <c r="AA61" s="67" t="str">
        <f t="shared" si="4"/>
        <v>Alle &gt; RESSOURCEN &gt; kbob.admin.ch &gt; KBOB / ecobau / IPB 2009/1:2016</v>
      </c>
    </row>
    <row r="62">
      <c r="A62" s="2" t="str">
        <f>'Transporte Transports'!A71 &amp; " " &amp; 'Transporte Transports'!C71 &amp; " (KBOB.2016)"</f>
        <v>64.017 Fahrleistung (KBOB.2016)</v>
      </c>
      <c r="B62" s="2" t="str">
        <f t="shared" si="1"/>
        <v>64.017 Fahrleistung (KBOB.2016)</v>
      </c>
      <c r="C62" s="2"/>
      <c r="D62" s="2"/>
      <c r="E62" s="2"/>
      <c r="F62" s="2" t="s">
        <v>186</v>
      </c>
      <c r="G62" s="2" t="str">
        <f t="shared" si="2"/>
        <v>OTHER_RESOURCE_TRANSPORT_PEOPLE</v>
      </c>
      <c r="H62" s="63"/>
      <c r="I62" s="64">
        <f>'Transporte Transports'!E71</f>
        <v>298</v>
      </c>
      <c r="J62" s="64"/>
      <c r="K62" s="64"/>
      <c r="L62" s="64">
        <f>'Transporte Transports'!M71</f>
        <v>0.00516</v>
      </c>
      <c r="M62" s="63"/>
      <c r="N62" s="63"/>
      <c r="O62" s="64">
        <f>'Transporte Transports'!Q71</f>
        <v>0.471</v>
      </c>
      <c r="P62" s="63"/>
      <c r="Q62" s="63"/>
      <c r="R62" s="64">
        <f>'Transporte Transports'!U71</f>
        <v>0.135</v>
      </c>
      <c r="S62" s="63"/>
      <c r="T62" s="63"/>
      <c r="U62" s="69" t="str">
        <f>'Transporte Transports'!D71</f>
        <v>km</v>
      </c>
      <c r="V62" s="2" t="str">
        <f>VLOOKUP('Transporte Transports'!C71,RefDimensions!A$2:B$15,2,false)</f>
        <v>mileage</v>
      </c>
      <c r="W62" s="66"/>
      <c r="X62" s="2" t="str">
        <f t="shared" si="3"/>
        <v>64.017</v>
      </c>
      <c r="Y62" s="7" t="s">
        <v>203</v>
      </c>
      <c r="Z62" s="8">
        <v>60.0</v>
      </c>
      <c r="AA62" s="67" t="str">
        <f t="shared" si="4"/>
        <v>Alle &gt; RESSOURCEN &gt; kbob.admin.ch &gt; KBOB / ecobau / IPB 2009/1:2016</v>
      </c>
    </row>
    <row r="63">
      <c r="A63" s="2" t="str">
        <f>'Transporte Transports'!A72 &amp; " " &amp; 'Transporte Transports'!C72 &amp; " (KBOB.2016)"</f>
        <v>64.012 Fahrleistung (KBOB.2016)</v>
      </c>
      <c r="B63" s="2" t="str">
        <f t="shared" si="1"/>
        <v>64.012 Fahrleistung (KBOB.2016)</v>
      </c>
      <c r="C63" s="2"/>
      <c r="D63" s="2"/>
      <c r="E63" s="2"/>
      <c r="F63" s="2" t="s">
        <v>186</v>
      </c>
      <c r="G63" s="2" t="str">
        <f t="shared" si="2"/>
        <v>OTHER_RESOURCE_TRANSPORT_PEOPLE</v>
      </c>
      <c r="H63" s="63"/>
      <c r="I63" s="64">
        <f>'Transporte Transports'!E72</f>
        <v>2940</v>
      </c>
      <c r="J63" s="64"/>
      <c r="K63" s="64"/>
      <c r="L63" s="64">
        <f>'Transporte Transports'!M72</f>
        <v>2.57</v>
      </c>
      <c r="M63" s="63"/>
      <c r="N63" s="63"/>
      <c r="O63" s="64">
        <f>'Transporte Transports'!Q72</f>
        <v>15.3</v>
      </c>
      <c r="P63" s="63"/>
      <c r="Q63" s="63"/>
      <c r="R63" s="64">
        <f>'Transporte Transports'!U72</f>
        <v>1.2</v>
      </c>
      <c r="S63" s="63"/>
      <c r="T63" s="63"/>
      <c r="U63" s="69" t="str">
        <f>'Transporte Transports'!D72</f>
        <v>km</v>
      </c>
      <c r="V63" s="2" t="str">
        <f>VLOOKUP('Transporte Transports'!C72,RefDimensions!A$2:B$15,2,false)</f>
        <v>mileage</v>
      </c>
      <c r="W63" s="66"/>
      <c r="X63" s="2" t="str">
        <f t="shared" si="3"/>
        <v>64.012</v>
      </c>
      <c r="Y63" s="7" t="s">
        <v>203</v>
      </c>
      <c r="Z63" s="8">
        <v>60.0</v>
      </c>
      <c r="AA63" s="67" t="str">
        <f t="shared" si="4"/>
        <v>Alle &gt; RESSOURCEN &gt; kbob.admin.ch &gt; KBOB / ecobau / IPB 2009/1:2016</v>
      </c>
    </row>
    <row r="64">
      <c r="A64" s="2" t="str">
        <f>'Transporte Transports'!A73 &amp; " " &amp; 'Transporte Transports'!C73 &amp; " (KBOB.2016)"</f>
        <v>64.013 Fahrleistung (KBOB.2016)</v>
      </c>
      <c r="B64" s="2" t="str">
        <f t="shared" si="1"/>
        <v>64.013 Fahrleistung (KBOB.2016)</v>
      </c>
      <c r="C64" s="2"/>
      <c r="D64" s="2"/>
      <c r="E64" s="2"/>
      <c r="F64" s="2" t="s">
        <v>186</v>
      </c>
      <c r="G64" s="2" t="str">
        <f t="shared" si="2"/>
        <v>OTHER_RESOURCE_TRANSPORT_PEOPLE</v>
      </c>
      <c r="H64" s="63"/>
      <c r="I64" s="64">
        <f>'Transporte Transports'!E73</f>
        <v>1440</v>
      </c>
      <c r="J64" s="64"/>
      <c r="K64" s="64"/>
      <c r="L64" s="64">
        <f>'Transporte Transports'!M73</f>
        <v>1.53</v>
      </c>
      <c r="M64" s="63"/>
      <c r="N64" s="63"/>
      <c r="O64" s="64">
        <f>'Transporte Transports'!Q73</f>
        <v>9.1</v>
      </c>
      <c r="P64" s="63"/>
      <c r="Q64" s="63"/>
      <c r="R64" s="64">
        <f>'Transporte Transports'!U73</f>
        <v>0.518</v>
      </c>
      <c r="S64" s="63"/>
      <c r="T64" s="63"/>
      <c r="U64" s="69" t="str">
        <f>'Transporte Transports'!D73</f>
        <v>km</v>
      </c>
      <c r="V64" s="2" t="str">
        <f>VLOOKUP('Transporte Transports'!C73,RefDimensions!A$2:B$15,2,false)</f>
        <v>mileage</v>
      </c>
      <c r="W64" s="66"/>
      <c r="X64" s="2" t="str">
        <f t="shared" si="3"/>
        <v>64.013</v>
      </c>
      <c r="Y64" s="7" t="s">
        <v>203</v>
      </c>
      <c r="Z64" s="8">
        <v>60.0</v>
      </c>
      <c r="AA64" s="67" t="str">
        <f t="shared" si="4"/>
        <v>Alle &gt; RESSOURCEN &gt; kbob.admin.ch &gt; KBOB / ecobau / IPB 2009/1:2016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outlinePr summaryRight="0"/>
    <pageSetUpPr fitToPage="1"/>
  </sheetPr>
  <sheetViews>
    <sheetView workbookViewId="0"/>
  </sheetViews>
  <sheetFormatPr customHeight="1" defaultColWidth="14.43" defaultRowHeight="15.0" outlineLevelCol="1" outlineLevelRow="1"/>
  <cols>
    <col customWidth="1" min="1" max="1" width="8.86"/>
    <col customWidth="1" min="2" max="2" width="29.57"/>
    <col customWidth="1" min="3" max="3" width="15.14"/>
    <col customWidth="1" min="4" max="4" width="7.71"/>
    <col customWidth="1" min="5" max="8" width="10.71"/>
    <col customWidth="1" min="9" max="12" width="10.71" outlineLevel="1"/>
    <col customWidth="1" min="13" max="24" width="10.71"/>
    <col customWidth="1" min="25" max="25" width="14.43"/>
    <col customWidth="1" min="26" max="26" width="37.43"/>
    <col customWidth="1" min="27" max="28" width="10.86"/>
    <col customWidth="1" min="29" max="29" width="28.57"/>
    <col customWidth="1" min="30" max="30" width="25.29"/>
  </cols>
  <sheetData>
    <row r="1" ht="19.5" customHeight="1">
      <c r="A1" s="479"/>
      <c r="B1" s="480" t="s">
        <v>403</v>
      </c>
      <c r="C1" s="481"/>
      <c r="D1" s="481"/>
      <c r="E1" s="481"/>
      <c r="F1" s="482"/>
      <c r="G1" s="482"/>
      <c r="H1" s="482"/>
      <c r="I1" s="481"/>
      <c r="J1" s="483"/>
      <c r="K1" s="482"/>
      <c r="L1" s="482"/>
      <c r="M1" s="481"/>
      <c r="N1" s="483" t="s">
        <v>2907</v>
      </c>
      <c r="O1" s="482"/>
      <c r="P1" s="482"/>
      <c r="Q1" s="482"/>
      <c r="R1" s="482"/>
      <c r="S1" s="482"/>
      <c r="T1" s="482"/>
      <c r="U1" s="482"/>
      <c r="V1" s="482"/>
      <c r="W1" s="482"/>
      <c r="X1" s="482"/>
      <c r="Y1" s="484"/>
      <c r="Z1" s="485" t="s">
        <v>117</v>
      </c>
      <c r="AA1" s="486"/>
      <c r="AB1" s="299"/>
      <c r="AC1" s="299"/>
      <c r="AD1" s="299"/>
    </row>
    <row r="2" ht="14.25" customHeight="1">
      <c r="A2" s="487"/>
      <c r="B2" s="488"/>
      <c r="C2" s="489"/>
      <c r="D2" s="490"/>
      <c r="E2" s="490"/>
      <c r="F2" s="491"/>
      <c r="G2" s="491"/>
      <c r="H2" s="491"/>
      <c r="I2" s="491"/>
      <c r="J2" s="491"/>
      <c r="K2" s="491"/>
      <c r="L2" s="491"/>
      <c r="M2" s="491"/>
      <c r="N2" s="491"/>
      <c r="O2" s="491"/>
      <c r="P2" s="491"/>
      <c r="Q2" s="491"/>
      <c r="R2" s="491"/>
      <c r="S2" s="491"/>
      <c r="T2" s="491"/>
      <c r="U2" s="491"/>
      <c r="V2" s="491"/>
      <c r="W2" s="491"/>
      <c r="X2" s="491"/>
      <c r="Y2" s="492"/>
      <c r="Z2" s="307"/>
      <c r="AA2" s="493"/>
      <c r="AB2" s="493"/>
      <c r="AC2" s="493"/>
      <c r="AD2" s="493"/>
    </row>
    <row r="3" ht="27.75" hidden="1" customHeight="1" outlineLevel="1">
      <c r="A3" s="494"/>
      <c r="B3" s="495" t="s">
        <v>2208</v>
      </c>
      <c r="C3" s="496"/>
      <c r="D3" s="496" t="s">
        <v>2208</v>
      </c>
      <c r="E3" s="496" t="s">
        <v>420</v>
      </c>
      <c r="F3" s="496" t="s">
        <v>420</v>
      </c>
      <c r="G3" s="496" t="s">
        <v>420</v>
      </c>
      <c r="H3" s="496" t="s">
        <v>420</v>
      </c>
      <c r="I3" s="496" t="s">
        <v>2009</v>
      </c>
      <c r="J3" s="496" t="s">
        <v>2009</v>
      </c>
      <c r="K3" s="496" t="s">
        <v>2009</v>
      </c>
      <c r="L3" s="496" t="s">
        <v>2009</v>
      </c>
      <c r="M3" s="496" t="s">
        <v>2010</v>
      </c>
      <c r="N3" s="496" t="s">
        <v>2010</v>
      </c>
      <c r="O3" s="496" t="s">
        <v>2010</v>
      </c>
      <c r="P3" s="496" t="s">
        <v>2010</v>
      </c>
      <c r="Q3" s="496" t="s">
        <v>2011</v>
      </c>
      <c r="R3" s="496" t="s">
        <v>2011</v>
      </c>
      <c r="S3" s="496" t="s">
        <v>2011</v>
      </c>
      <c r="T3" s="496" t="s">
        <v>2011</v>
      </c>
      <c r="U3" s="496" t="s">
        <v>2012</v>
      </c>
      <c r="V3" s="496" t="s">
        <v>2012</v>
      </c>
      <c r="W3" s="496" t="s">
        <v>2012</v>
      </c>
      <c r="X3" s="496" t="s">
        <v>2012</v>
      </c>
      <c r="Y3" s="497"/>
      <c r="Z3" s="498" t="s">
        <v>2208</v>
      </c>
      <c r="AA3" s="499"/>
      <c r="AB3" s="499"/>
      <c r="AC3" s="500"/>
      <c r="AD3" s="501"/>
    </row>
    <row r="4" ht="25.5" customHeight="1" collapsed="1">
      <c r="A4" s="309" t="s">
        <v>409</v>
      </c>
      <c r="B4" s="502" t="s">
        <v>2908</v>
      </c>
      <c r="C4" s="503" t="s">
        <v>2909</v>
      </c>
      <c r="D4" s="213"/>
      <c r="E4" s="504" t="s">
        <v>122</v>
      </c>
      <c r="F4" s="102"/>
      <c r="G4" s="102"/>
      <c r="H4" s="103"/>
      <c r="I4" s="505" t="s">
        <v>2910</v>
      </c>
      <c r="J4" s="102"/>
      <c r="K4" s="102"/>
      <c r="L4" s="102"/>
      <c r="M4" s="102"/>
      <c r="N4" s="102"/>
      <c r="O4" s="102"/>
      <c r="P4" s="102"/>
      <c r="Q4" s="102"/>
      <c r="R4" s="102"/>
      <c r="S4" s="102"/>
      <c r="T4" s="103"/>
      <c r="U4" s="506" t="s">
        <v>2381</v>
      </c>
      <c r="V4" s="102"/>
      <c r="W4" s="102"/>
      <c r="X4" s="103"/>
      <c r="Y4" s="507" t="s">
        <v>2016</v>
      </c>
      <c r="Z4" s="508" t="s">
        <v>2911</v>
      </c>
      <c r="AA4" s="277"/>
      <c r="AB4" s="277"/>
      <c r="AC4" s="277"/>
      <c r="AD4" s="277"/>
    </row>
    <row r="5" ht="14.25" customHeight="1">
      <c r="A5" s="318" t="s">
        <v>418</v>
      </c>
      <c r="B5" s="509"/>
      <c r="C5" s="510"/>
      <c r="D5" s="511"/>
      <c r="E5" s="512" t="s">
        <v>420</v>
      </c>
      <c r="F5" s="112"/>
      <c r="G5" s="112"/>
      <c r="H5" s="113"/>
      <c r="I5" s="513" t="s">
        <v>421</v>
      </c>
      <c r="J5" s="115"/>
      <c r="K5" s="115"/>
      <c r="L5" s="116"/>
      <c r="M5" s="514" t="s">
        <v>125</v>
      </c>
      <c r="N5" s="115"/>
      <c r="O5" s="115"/>
      <c r="P5" s="116"/>
      <c r="Q5" s="513" t="s">
        <v>2018</v>
      </c>
      <c r="R5" s="115"/>
      <c r="S5" s="115"/>
      <c r="T5" s="116"/>
      <c r="U5" s="515" t="s">
        <v>422</v>
      </c>
      <c r="V5" s="115"/>
      <c r="W5" s="115"/>
      <c r="X5" s="116"/>
      <c r="Y5" s="516"/>
      <c r="Z5" s="107"/>
      <c r="AA5" s="277"/>
      <c r="AB5" s="277"/>
      <c r="AC5" s="277"/>
      <c r="AD5" s="277"/>
    </row>
    <row r="6" ht="12.75" customHeight="1">
      <c r="A6" s="110"/>
      <c r="B6" s="517"/>
      <c r="C6" s="518" t="s">
        <v>2019</v>
      </c>
      <c r="D6" s="519"/>
      <c r="E6" s="520"/>
      <c r="F6" s="521"/>
      <c r="G6" s="521"/>
      <c r="H6" s="522"/>
      <c r="I6" s="523" t="s">
        <v>424</v>
      </c>
      <c r="J6" s="126"/>
      <c r="K6" s="126"/>
      <c r="L6" s="127"/>
      <c r="M6" s="524" t="s">
        <v>145</v>
      </c>
      <c r="N6" s="126"/>
      <c r="O6" s="126"/>
      <c r="P6" s="127"/>
      <c r="Q6" s="523" t="s">
        <v>2020</v>
      </c>
      <c r="R6" s="126"/>
      <c r="S6" s="126"/>
      <c r="T6" s="127"/>
      <c r="U6" s="523" t="s">
        <v>426</v>
      </c>
      <c r="V6" s="126"/>
      <c r="W6" s="126"/>
      <c r="X6" s="127"/>
      <c r="Y6" s="525" t="s">
        <v>2021</v>
      </c>
      <c r="Z6" s="110"/>
      <c r="AA6" s="277"/>
      <c r="AB6" s="277"/>
      <c r="AC6" s="277"/>
      <c r="AD6" s="277"/>
    </row>
    <row r="7" ht="14.25" customHeight="1">
      <c r="A7" s="519"/>
      <c r="B7" s="526"/>
      <c r="C7" s="527"/>
      <c r="D7" s="528"/>
      <c r="E7" s="529" t="s">
        <v>405</v>
      </c>
      <c r="F7" s="530" t="s">
        <v>2912</v>
      </c>
      <c r="G7" s="530" t="s">
        <v>2913</v>
      </c>
      <c r="H7" s="530" t="s">
        <v>2914</v>
      </c>
      <c r="I7" s="531" t="s">
        <v>405</v>
      </c>
      <c r="J7" s="532" t="s">
        <v>2912</v>
      </c>
      <c r="K7" s="532" t="s">
        <v>2913</v>
      </c>
      <c r="L7" s="532" t="s">
        <v>2914</v>
      </c>
      <c r="M7" s="533" t="s">
        <v>405</v>
      </c>
      <c r="N7" s="532" t="s">
        <v>2912</v>
      </c>
      <c r="O7" s="532" t="s">
        <v>2913</v>
      </c>
      <c r="P7" s="532" t="s">
        <v>2914</v>
      </c>
      <c r="Q7" s="533" t="s">
        <v>405</v>
      </c>
      <c r="R7" s="532" t="s">
        <v>2912</v>
      </c>
      <c r="S7" s="532" t="s">
        <v>2913</v>
      </c>
      <c r="T7" s="532" t="s">
        <v>2914</v>
      </c>
      <c r="U7" s="533" t="s">
        <v>405</v>
      </c>
      <c r="V7" s="532" t="s">
        <v>2912</v>
      </c>
      <c r="W7" s="532" t="s">
        <v>2913</v>
      </c>
      <c r="X7" s="532" t="s">
        <v>2914</v>
      </c>
      <c r="Y7" s="534"/>
      <c r="Z7" s="535"/>
      <c r="AA7" s="277"/>
      <c r="AB7" s="277"/>
      <c r="AC7" s="277"/>
      <c r="AD7" s="277"/>
    </row>
    <row r="8" ht="14.25" customHeight="1">
      <c r="A8" s="137"/>
      <c r="B8" s="526"/>
      <c r="C8" s="527"/>
      <c r="D8" s="536"/>
      <c r="E8" s="537" t="s">
        <v>405</v>
      </c>
      <c r="F8" s="538" t="s">
        <v>2915</v>
      </c>
      <c r="G8" s="538" t="s">
        <v>2916</v>
      </c>
      <c r="H8" s="538" t="s">
        <v>2917</v>
      </c>
      <c r="I8" s="539" t="s">
        <v>405</v>
      </c>
      <c r="J8" s="540" t="s">
        <v>2915</v>
      </c>
      <c r="K8" s="540" t="s">
        <v>2916</v>
      </c>
      <c r="L8" s="540" t="s">
        <v>2917</v>
      </c>
      <c r="M8" s="541" t="s">
        <v>405</v>
      </c>
      <c r="N8" s="540" t="s">
        <v>2915</v>
      </c>
      <c r="O8" s="540" t="s">
        <v>2916</v>
      </c>
      <c r="P8" s="540" t="s">
        <v>2917</v>
      </c>
      <c r="Q8" s="541" t="s">
        <v>405</v>
      </c>
      <c r="R8" s="540" t="s">
        <v>2915</v>
      </c>
      <c r="S8" s="540" t="s">
        <v>2916</v>
      </c>
      <c r="T8" s="540" t="s">
        <v>2917</v>
      </c>
      <c r="U8" s="541" t="s">
        <v>405</v>
      </c>
      <c r="V8" s="540" t="s">
        <v>2915</v>
      </c>
      <c r="W8" s="540" t="s">
        <v>2916</v>
      </c>
      <c r="X8" s="540" t="s">
        <v>2917</v>
      </c>
      <c r="Y8" s="542"/>
      <c r="Z8" s="535"/>
      <c r="AA8" s="277"/>
      <c r="AB8" s="277"/>
      <c r="AC8" s="277"/>
      <c r="AD8" s="142"/>
    </row>
    <row r="9" ht="12.75" customHeight="1">
      <c r="A9" s="143"/>
      <c r="B9" s="543"/>
      <c r="C9" s="544"/>
      <c r="D9" s="545" t="s">
        <v>2022</v>
      </c>
      <c r="E9" s="546" t="s">
        <v>420</v>
      </c>
      <c r="F9" s="546" t="s">
        <v>420</v>
      </c>
      <c r="G9" s="546" t="s">
        <v>420</v>
      </c>
      <c r="H9" s="546" t="s">
        <v>420</v>
      </c>
      <c r="I9" s="547" t="s">
        <v>433</v>
      </c>
      <c r="J9" s="148" t="s">
        <v>433</v>
      </c>
      <c r="K9" s="148" t="s">
        <v>433</v>
      </c>
      <c r="L9" s="148" t="s">
        <v>433</v>
      </c>
      <c r="M9" s="148" t="s">
        <v>433</v>
      </c>
      <c r="N9" s="148" t="s">
        <v>433</v>
      </c>
      <c r="O9" s="148" t="s">
        <v>433</v>
      </c>
      <c r="P9" s="148" t="s">
        <v>433</v>
      </c>
      <c r="Q9" s="148" t="s">
        <v>433</v>
      </c>
      <c r="R9" s="148" t="s">
        <v>433</v>
      </c>
      <c r="S9" s="148" t="s">
        <v>433</v>
      </c>
      <c r="T9" s="148" t="s">
        <v>433</v>
      </c>
      <c r="U9" s="149" t="s">
        <v>2918</v>
      </c>
      <c r="V9" s="149" t="s">
        <v>2919</v>
      </c>
      <c r="W9" s="149" t="s">
        <v>2920</v>
      </c>
      <c r="X9" s="149" t="s">
        <v>2921</v>
      </c>
      <c r="Y9" s="548"/>
      <c r="Z9" s="549"/>
      <c r="AA9" s="550"/>
      <c r="AB9" s="277"/>
      <c r="AC9" s="277"/>
      <c r="AD9" s="142"/>
    </row>
    <row r="10" ht="15.0" customHeight="1">
      <c r="A10" s="439" t="s">
        <v>2922</v>
      </c>
      <c r="B10" s="551" t="s">
        <v>2923</v>
      </c>
      <c r="C10" s="552"/>
      <c r="D10" s="553"/>
      <c r="E10" s="554"/>
      <c r="F10" s="554"/>
      <c r="G10" s="554"/>
      <c r="H10" s="554"/>
      <c r="I10" s="554"/>
      <c r="J10" s="554"/>
      <c r="K10" s="554"/>
      <c r="L10" s="554"/>
      <c r="M10" s="554"/>
      <c r="N10" s="554"/>
      <c r="O10" s="554"/>
      <c r="P10" s="554"/>
      <c r="Q10" s="555"/>
      <c r="R10" s="555"/>
      <c r="S10" s="555"/>
      <c r="T10" s="555"/>
      <c r="U10" s="554"/>
      <c r="V10" s="554"/>
      <c r="W10" s="554"/>
      <c r="X10" s="554"/>
      <c r="Y10" s="556"/>
      <c r="Z10" s="557" t="s">
        <v>2924</v>
      </c>
      <c r="AA10" s="550"/>
      <c r="AB10" s="277"/>
      <c r="AC10" s="277"/>
      <c r="AD10" s="91"/>
    </row>
    <row r="11" ht="15.0" customHeight="1">
      <c r="A11" s="183" t="s">
        <v>2582</v>
      </c>
      <c r="B11" s="558" t="s">
        <v>2925</v>
      </c>
      <c r="C11" s="559" t="s">
        <v>37</v>
      </c>
      <c r="D11" s="560" t="s">
        <v>2211</v>
      </c>
      <c r="E11" s="448">
        <v>309.0</v>
      </c>
      <c r="F11" s="188">
        <v>309.0</v>
      </c>
      <c r="G11" s="249">
        <v>0.0</v>
      </c>
      <c r="H11" s="249">
        <v>0.0</v>
      </c>
      <c r="I11" s="219">
        <v>1.28</v>
      </c>
      <c r="J11" s="220">
        <v>1.28</v>
      </c>
      <c r="K11" s="164">
        <v>0.0</v>
      </c>
      <c r="L11" s="164">
        <v>0.0</v>
      </c>
      <c r="M11" s="219">
        <v>0.00424</v>
      </c>
      <c r="N11" s="220">
        <v>0.00424</v>
      </c>
      <c r="O11" s="164">
        <v>0.0</v>
      </c>
      <c r="P11" s="164">
        <v>0.0</v>
      </c>
      <c r="Q11" s="219">
        <v>1.27</v>
      </c>
      <c r="R11" s="220">
        <v>1.27</v>
      </c>
      <c r="S11" s="164">
        <v>0.0</v>
      </c>
      <c r="T11" s="164">
        <v>0.0</v>
      </c>
      <c r="U11" s="190">
        <v>0.32</v>
      </c>
      <c r="V11" s="191">
        <v>0.32</v>
      </c>
      <c r="W11" s="164">
        <v>0.0</v>
      </c>
      <c r="X11" s="164">
        <v>0.0</v>
      </c>
      <c r="Y11" s="561" t="s">
        <v>2926</v>
      </c>
      <c r="Z11" s="562" t="s">
        <v>2927</v>
      </c>
      <c r="AA11" s="277"/>
      <c r="AB11" s="277"/>
      <c r="AC11" s="277"/>
      <c r="AD11" s="91"/>
    </row>
    <row r="12" ht="15.0" customHeight="1">
      <c r="A12" s="183" t="s">
        <v>2587</v>
      </c>
      <c r="B12" s="563" t="s">
        <v>2928</v>
      </c>
      <c r="C12" s="559" t="s">
        <v>37</v>
      </c>
      <c r="D12" s="560" t="s">
        <v>2211</v>
      </c>
      <c r="E12" s="187">
        <v>886.0</v>
      </c>
      <c r="F12" s="196">
        <v>886.0</v>
      </c>
      <c r="G12" s="249">
        <v>0.0</v>
      </c>
      <c r="H12" s="249">
        <v>0.0</v>
      </c>
      <c r="I12" s="219">
        <v>1.28</v>
      </c>
      <c r="J12" s="220">
        <v>1.28</v>
      </c>
      <c r="K12" s="164">
        <v>0.0</v>
      </c>
      <c r="L12" s="164">
        <v>0.0</v>
      </c>
      <c r="M12" s="219">
        <v>0.0043</v>
      </c>
      <c r="N12" s="220">
        <v>0.0043</v>
      </c>
      <c r="O12" s="164">
        <v>0.0</v>
      </c>
      <c r="P12" s="164">
        <v>0.0</v>
      </c>
      <c r="Q12" s="219">
        <v>1.27</v>
      </c>
      <c r="R12" s="220">
        <v>1.27</v>
      </c>
      <c r="S12" s="164">
        <v>0.0</v>
      </c>
      <c r="T12" s="164">
        <v>0.0</v>
      </c>
      <c r="U12" s="189">
        <v>0.384</v>
      </c>
      <c r="V12" s="163">
        <v>0.384</v>
      </c>
      <c r="W12" s="164">
        <v>0.0</v>
      </c>
      <c r="X12" s="164">
        <v>0.0</v>
      </c>
      <c r="Y12" s="561" t="s">
        <v>2926</v>
      </c>
      <c r="Z12" s="564" t="s">
        <v>2929</v>
      </c>
      <c r="AA12" s="277"/>
      <c r="AB12" s="277"/>
      <c r="AC12" s="277"/>
      <c r="AD12" s="91"/>
    </row>
    <row r="13" ht="15.0" customHeight="1">
      <c r="A13" s="183" t="s">
        <v>2593</v>
      </c>
      <c r="B13" s="558" t="s">
        <v>2930</v>
      </c>
      <c r="C13" s="559" t="s">
        <v>37</v>
      </c>
      <c r="D13" s="560" t="s">
        <v>2211</v>
      </c>
      <c r="E13" s="237">
        <v>161.0</v>
      </c>
      <c r="F13" s="224">
        <v>161.0</v>
      </c>
      <c r="G13" s="250">
        <v>0.0</v>
      </c>
      <c r="H13" s="250">
        <v>0.0</v>
      </c>
      <c r="I13" s="228">
        <v>0.347</v>
      </c>
      <c r="J13" s="227">
        <v>0.347</v>
      </c>
      <c r="K13" s="186">
        <v>0.0</v>
      </c>
      <c r="L13" s="186">
        <v>0.0</v>
      </c>
      <c r="M13" s="228">
        <v>0.0368</v>
      </c>
      <c r="N13" s="227">
        <v>0.0368</v>
      </c>
      <c r="O13" s="186">
        <v>0.0</v>
      </c>
      <c r="P13" s="186">
        <v>0.0</v>
      </c>
      <c r="Q13" s="228">
        <v>0.31</v>
      </c>
      <c r="R13" s="227">
        <v>0.31</v>
      </c>
      <c r="S13" s="186">
        <v>0.0</v>
      </c>
      <c r="T13" s="186">
        <v>0.0</v>
      </c>
      <c r="U13" s="238">
        <v>0.115</v>
      </c>
      <c r="V13" s="232">
        <v>0.115</v>
      </c>
      <c r="W13" s="186">
        <v>0.0</v>
      </c>
      <c r="X13" s="186">
        <v>0.0</v>
      </c>
      <c r="Y13" s="561" t="s">
        <v>2926</v>
      </c>
      <c r="Z13" s="562" t="s">
        <v>2931</v>
      </c>
      <c r="AA13" s="277"/>
      <c r="AB13" s="277"/>
      <c r="AC13" s="277"/>
      <c r="AD13" s="91"/>
    </row>
    <row r="14" ht="15.0" customHeight="1">
      <c r="A14" s="183" t="s">
        <v>2598</v>
      </c>
      <c r="B14" s="558" t="s">
        <v>2932</v>
      </c>
      <c r="C14" s="559" t="s">
        <v>37</v>
      </c>
      <c r="D14" s="560" t="s">
        <v>2211</v>
      </c>
      <c r="E14" s="187">
        <v>357.0</v>
      </c>
      <c r="F14" s="196">
        <v>357.0</v>
      </c>
      <c r="G14" s="249">
        <v>0.0</v>
      </c>
      <c r="H14" s="249">
        <v>0.0</v>
      </c>
      <c r="I14" s="219">
        <v>1.24</v>
      </c>
      <c r="J14" s="220">
        <v>1.24</v>
      </c>
      <c r="K14" s="164">
        <v>0.0</v>
      </c>
      <c r="L14" s="164">
        <v>0.0</v>
      </c>
      <c r="M14" s="219">
        <v>0.00342</v>
      </c>
      <c r="N14" s="220">
        <v>0.00342</v>
      </c>
      <c r="O14" s="164">
        <v>0.0</v>
      </c>
      <c r="P14" s="164">
        <v>0.0</v>
      </c>
      <c r="Q14" s="219">
        <v>1.24</v>
      </c>
      <c r="R14" s="220">
        <v>1.24</v>
      </c>
      <c r="S14" s="164">
        <v>0.0</v>
      </c>
      <c r="T14" s="164">
        <v>0.0</v>
      </c>
      <c r="U14" s="190">
        <v>0.31</v>
      </c>
      <c r="V14" s="191">
        <v>0.31</v>
      </c>
      <c r="W14" s="164">
        <v>0.0</v>
      </c>
      <c r="X14" s="164">
        <v>0.0</v>
      </c>
      <c r="Y14" s="561" t="s">
        <v>2926</v>
      </c>
      <c r="Z14" s="562" t="s">
        <v>2933</v>
      </c>
      <c r="AA14" s="277"/>
      <c r="AB14" s="277"/>
      <c r="AC14" s="277"/>
      <c r="AD14" s="91"/>
    </row>
    <row r="15" ht="15.0" customHeight="1">
      <c r="A15" s="183" t="s">
        <v>2604</v>
      </c>
      <c r="B15" s="558" t="s">
        <v>2934</v>
      </c>
      <c r="C15" s="559" t="s">
        <v>37</v>
      </c>
      <c r="D15" s="560" t="s">
        <v>2211</v>
      </c>
      <c r="E15" s="187">
        <v>400.0</v>
      </c>
      <c r="F15" s="196">
        <v>400.0</v>
      </c>
      <c r="G15" s="249">
        <v>0.0</v>
      </c>
      <c r="H15" s="249">
        <v>0.0</v>
      </c>
      <c r="I15" s="219">
        <v>1.22</v>
      </c>
      <c r="J15" s="220">
        <v>1.22</v>
      </c>
      <c r="K15" s="164">
        <v>0.0</v>
      </c>
      <c r="L15" s="164">
        <v>0.0</v>
      </c>
      <c r="M15" s="219">
        <v>0.00325</v>
      </c>
      <c r="N15" s="220">
        <v>0.00325</v>
      </c>
      <c r="O15" s="164">
        <v>0.0</v>
      </c>
      <c r="P15" s="164">
        <v>0.0</v>
      </c>
      <c r="Q15" s="219">
        <v>1.22</v>
      </c>
      <c r="R15" s="220">
        <v>1.22</v>
      </c>
      <c r="S15" s="164">
        <v>0.0</v>
      </c>
      <c r="T15" s="164">
        <v>0.0</v>
      </c>
      <c r="U15" s="190">
        <v>0.307</v>
      </c>
      <c r="V15" s="191">
        <v>0.307</v>
      </c>
      <c r="W15" s="164">
        <v>0.0</v>
      </c>
      <c r="X15" s="164">
        <v>0.0</v>
      </c>
      <c r="Y15" s="561" t="s">
        <v>2926</v>
      </c>
      <c r="Z15" s="562" t="s">
        <v>2935</v>
      </c>
      <c r="AA15" s="277"/>
      <c r="AB15" s="277"/>
      <c r="AC15" s="277"/>
      <c r="AD15" s="91"/>
    </row>
    <row r="16" ht="15.0" customHeight="1">
      <c r="A16" s="183" t="s">
        <v>2610</v>
      </c>
      <c r="B16" s="558" t="s">
        <v>2936</v>
      </c>
      <c r="C16" s="559" t="s">
        <v>37</v>
      </c>
      <c r="D16" s="560" t="s">
        <v>2211</v>
      </c>
      <c r="E16" s="187">
        <v>292.0</v>
      </c>
      <c r="F16" s="188">
        <v>292.0</v>
      </c>
      <c r="G16" s="249">
        <v>0.0</v>
      </c>
      <c r="H16" s="249">
        <v>0.0</v>
      </c>
      <c r="I16" s="219">
        <v>1.21</v>
      </c>
      <c r="J16" s="220">
        <v>1.21</v>
      </c>
      <c r="K16" s="164">
        <v>0.0</v>
      </c>
      <c r="L16" s="164">
        <v>0.0</v>
      </c>
      <c r="M16" s="219">
        <v>0.00314</v>
      </c>
      <c r="N16" s="220">
        <v>0.00314</v>
      </c>
      <c r="O16" s="164">
        <v>0.0</v>
      </c>
      <c r="P16" s="164">
        <v>0.0</v>
      </c>
      <c r="Q16" s="219">
        <v>1.21</v>
      </c>
      <c r="R16" s="220">
        <v>1.21</v>
      </c>
      <c r="S16" s="164">
        <v>0.0</v>
      </c>
      <c r="T16" s="164">
        <v>0.0</v>
      </c>
      <c r="U16" s="190">
        <v>0.304</v>
      </c>
      <c r="V16" s="191">
        <v>0.304</v>
      </c>
      <c r="W16" s="164">
        <v>0.0</v>
      </c>
      <c r="X16" s="164">
        <v>0.0</v>
      </c>
      <c r="Y16" s="561" t="s">
        <v>2926</v>
      </c>
      <c r="Z16" s="562" t="s">
        <v>2937</v>
      </c>
      <c r="AA16" s="277"/>
      <c r="AB16" s="277"/>
      <c r="AC16" s="277"/>
      <c r="AD16" s="91"/>
    </row>
    <row r="17" ht="15.0" customHeight="1">
      <c r="A17" s="183" t="s">
        <v>2616</v>
      </c>
      <c r="B17" s="558" t="s">
        <v>2938</v>
      </c>
      <c r="C17" s="559" t="s">
        <v>37</v>
      </c>
      <c r="D17" s="560" t="s">
        <v>2211</v>
      </c>
      <c r="E17" s="237">
        <v>200.0</v>
      </c>
      <c r="F17" s="224">
        <v>200.0</v>
      </c>
      <c r="G17" s="250">
        <v>0.0</v>
      </c>
      <c r="H17" s="250">
        <v>0.0</v>
      </c>
      <c r="I17" s="225">
        <v>1.13</v>
      </c>
      <c r="J17" s="226">
        <v>1.13</v>
      </c>
      <c r="K17" s="186">
        <v>0.0</v>
      </c>
      <c r="L17" s="186">
        <v>0.0</v>
      </c>
      <c r="M17" s="225">
        <v>0.00919</v>
      </c>
      <c r="N17" s="226">
        <v>0.00919</v>
      </c>
      <c r="O17" s="186">
        <v>0.0</v>
      </c>
      <c r="P17" s="186">
        <v>0.0</v>
      </c>
      <c r="Q17" s="225">
        <v>1.12</v>
      </c>
      <c r="R17" s="226">
        <v>1.12</v>
      </c>
      <c r="S17" s="186">
        <v>0.0</v>
      </c>
      <c r="T17" s="186">
        <v>0.0</v>
      </c>
      <c r="U17" s="238">
        <v>0.23</v>
      </c>
      <c r="V17" s="232">
        <v>0.23</v>
      </c>
      <c r="W17" s="186">
        <v>0.0</v>
      </c>
      <c r="X17" s="186">
        <v>0.0</v>
      </c>
      <c r="Y17" s="561" t="s">
        <v>2926</v>
      </c>
      <c r="Z17" s="562" t="s">
        <v>2939</v>
      </c>
      <c r="AA17" s="277"/>
      <c r="AB17" s="277"/>
      <c r="AC17" s="277"/>
      <c r="AD17" s="91"/>
    </row>
    <row r="18" ht="15.0" customHeight="1">
      <c r="A18" s="183" t="s">
        <v>2621</v>
      </c>
      <c r="B18" s="563" t="s">
        <v>2940</v>
      </c>
      <c r="C18" s="559" t="s">
        <v>37</v>
      </c>
      <c r="D18" s="560" t="s">
        <v>2211</v>
      </c>
      <c r="E18" s="187">
        <v>322.0</v>
      </c>
      <c r="F18" s="188">
        <v>322.0</v>
      </c>
      <c r="G18" s="249">
        <v>0.0</v>
      </c>
      <c r="H18" s="249">
        <v>0.0</v>
      </c>
      <c r="I18" s="219">
        <v>1.21</v>
      </c>
      <c r="J18" s="220">
        <v>1.21</v>
      </c>
      <c r="K18" s="164">
        <v>0.0</v>
      </c>
      <c r="L18" s="164">
        <v>0.0</v>
      </c>
      <c r="M18" s="219">
        <v>0.00306</v>
      </c>
      <c r="N18" s="220">
        <v>0.00306</v>
      </c>
      <c r="O18" s="164">
        <v>0.0</v>
      </c>
      <c r="P18" s="164">
        <v>0.0</v>
      </c>
      <c r="Q18" s="219">
        <v>1.2</v>
      </c>
      <c r="R18" s="220">
        <v>1.2</v>
      </c>
      <c r="S18" s="164">
        <v>0.0</v>
      </c>
      <c r="T18" s="164">
        <v>0.0</v>
      </c>
      <c r="U18" s="190">
        <v>0.3</v>
      </c>
      <c r="V18" s="191">
        <v>0.3</v>
      </c>
      <c r="W18" s="164">
        <v>0.0</v>
      </c>
      <c r="X18" s="164">
        <v>0.0</v>
      </c>
      <c r="Y18" s="561" t="s">
        <v>2926</v>
      </c>
      <c r="Z18" s="564" t="s">
        <v>2941</v>
      </c>
      <c r="AA18" s="277"/>
      <c r="AB18" s="277"/>
      <c r="AC18" s="277"/>
      <c r="AD18" s="91"/>
    </row>
    <row r="19" ht="15.0" customHeight="1">
      <c r="A19" s="183" t="s">
        <v>2627</v>
      </c>
      <c r="B19" s="558" t="s">
        <v>2942</v>
      </c>
      <c r="C19" s="559" t="s">
        <v>37</v>
      </c>
      <c r="D19" s="560" t="s">
        <v>2211</v>
      </c>
      <c r="E19" s="237">
        <v>438.0</v>
      </c>
      <c r="F19" s="223">
        <v>438.0</v>
      </c>
      <c r="G19" s="250">
        <v>0.0</v>
      </c>
      <c r="H19" s="250">
        <v>0.0</v>
      </c>
      <c r="I19" s="225">
        <v>3.0</v>
      </c>
      <c r="J19" s="226">
        <v>3.0</v>
      </c>
      <c r="K19" s="186">
        <v>0.0</v>
      </c>
      <c r="L19" s="186">
        <v>0.0</v>
      </c>
      <c r="M19" s="225">
        <v>0.488</v>
      </c>
      <c r="N19" s="226">
        <v>0.488</v>
      </c>
      <c r="O19" s="186">
        <v>0.0</v>
      </c>
      <c r="P19" s="186">
        <v>0.0</v>
      </c>
      <c r="Q19" s="225">
        <v>2.52</v>
      </c>
      <c r="R19" s="226">
        <v>2.52</v>
      </c>
      <c r="S19" s="186">
        <v>0.0</v>
      </c>
      <c r="T19" s="186">
        <v>0.0</v>
      </c>
      <c r="U19" s="238">
        <v>0.102</v>
      </c>
      <c r="V19" s="232">
        <v>0.102</v>
      </c>
      <c r="W19" s="186">
        <v>0.0</v>
      </c>
      <c r="X19" s="186">
        <v>0.0</v>
      </c>
      <c r="Y19" s="561" t="s">
        <v>2926</v>
      </c>
      <c r="Z19" s="562" t="s">
        <v>2943</v>
      </c>
      <c r="AA19" s="277"/>
      <c r="AB19" s="277"/>
      <c r="AC19" s="277"/>
      <c r="AD19" s="91"/>
    </row>
    <row r="20" ht="15.0" customHeight="1">
      <c r="A20" s="439" t="s">
        <v>2944</v>
      </c>
      <c r="B20" s="551" t="s">
        <v>2945</v>
      </c>
      <c r="C20" s="565"/>
      <c r="D20" s="566" t="s">
        <v>2208</v>
      </c>
      <c r="E20" s="566" t="s">
        <v>2208</v>
      </c>
      <c r="F20" s="566" t="s">
        <v>2208</v>
      </c>
      <c r="G20" s="566" t="s">
        <v>2208</v>
      </c>
      <c r="H20" s="566" t="s">
        <v>2208</v>
      </c>
      <c r="I20" s="566" t="s">
        <v>2208</v>
      </c>
      <c r="J20" s="566" t="s">
        <v>2208</v>
      </c>
      <c r="K20" s="566" t="s">
        <v>2208</v>
      </c>
      <c r="L20" s="566" t="s">
        <v>2208</v>
      </c>
      <c r="M20" s="566" t="s">
        <v>2208</v>
      </c>
      <c r="N20" s="566" t="s">
        <v>2208</v>
      </c>
      <c r="O20" s="566" t="s">
        <v>2208</v>
      </c>
      <c r="P20" s="566" t="s">
        <v>2208</v>
      </c>
      <c r="Q20" s="566" t="s">
        <v>2208</v>
      </c>
      <c r="R20" s="566" t="s">
        <v>2208</v>
      </c>
      <c r="S20" s="566" t="s">
        <v>2208</v>
      </c>
      <c r="T20" s="566" t="s">
        <v>2208</v>
      </c>
      <c r="U20" s="566" t="s">
        <v>2208</v>
      </c>
      <c r="V20" s="566" t="s">
        <v>2208</v>
      </c>
      <c r="W20" s="566" t="s">
        <v>2208</v>
      </c>
      <c r="X20" s="566" t="s">
        <v>2208</v>
      </c>
      <c r="Y20" s="567"/>
      <c r="Z20" s="557" t="s">
        <v>2946</v>
      </c>
      <c r="AA20" s="277"/>
      <c r="AB20" s="277"/>
      <c r="AC20" s="277"/>
      <c r="AD20" s="91"/>
    </row>
    <row r="21" ht="15.0" customHeight="1">
      <c r="A21" s="372" t="s">
        <v>2634</v>
      </c>
      <c r="B21" s="558" t="s">
        <v>2947</v>
      </c>
      <c r="C21" s="559" t="s">
        <v>41</v>
      </c>
      <c r="D21" s="568" t="s">
        <v>2948</v>
      </c>
      <c r="E21" s="195">
        <v>489.0</v>
      </c>
      <c r="F21" s="196">
        <v>426.0</v>
      </c>
      <c r="G21" s="196">
        <v>62.3</v>
      </c>
      <c r="H21" s="196">
        <v>0.0</v>
      </c>
      <c r="I21" s="219">
        <v>1.68</v>
      </c>
      <c r="J21" s="569">
        <v>1.49</v>
      </c>
      <c r="K21" s="570">
        <v>0.193</v>
      </c>
      <c r="L21" s="570">
        <v>0.0</v>
      </c>
      <c r="M21" s="219">
        <v>0.0126</v>
      </c>
      <c r="N21" s="569">
        <v>0.00409</v>
      </c>
      <c r="O21" s="570">
        <v>0.00854</v>
      </c>
      <c r="P21" s="570">
        <v>0.0</v>
      </c>
      <c r="Q21" s="219">
        <v>1.67</v>
      </c>
      <c r="R21" s="569">
        <v>1.48</v>
      </c>
      <c r="S21" s="570">
        <v>0.185</v>
      </c>
      <c r="T21" s="570">
        <v>0.0</v>
      </c>
      <c r="U21" s="189">
        <v>0.412</v>
      </c>
      <c r="V21" s="570">
        <v>0.371</v>
      </c>
      <c r="W21" s="571">
        <v>0.0411</v>
      </c>
      <c r="X21" s="572">
        <v>0.0</v>
      </c>
      <c r="Y21" s="561" t="s">
        <v>2949</v>
      </c>
      <c r="Z21" s="562" t="s">
        <v>2950</v>
      </c>
      <c r="AA21" s="277"/>
      <c r="AB21" s="573"/>
      <c r="AC21" s="573"/>
      <c r="AD21" s="91"/>
    </row>
    <row r="22" ht="15.0" customHeight="1">
      <c r="A22" s="199" t="s">
        <v>2636</v>
      </c>
      <c r="B22" s="558" t="s">
        <v>2951</v>
      </c>
      <c r="C22" s="560" t="s">
        <v>41</v>
      </c>
      <c r="D22" s="174" t="s">
        <v>2952</v>
      </c>
      <c r="E22" s="195">
        <v>489.0</v>
      </c>
      <c r="F22" s="196">
        <v>426.0</v>
      </c>
      <c r="G22" s="196">
        <v>62.3</v>
      </c>
      <c r="H22" s="196">
        <v>0.0</v>
      </c>
      <c r="I22" s="219">
        <v>1.68</v>
      </c>
      <c r="J22" s="569">
        <v>1.49</v>
      </c>
      <c r="K22" s="570">
        <v>0.193</v>
      </c>
      <c r="L22" s="570">
        <v>0.0</v>
      </c>
      <c r="M22" s="219">
        <v>0.0126</v>
      </c>
      <c r="N22" s="569">
        <v>0.00409</v>
      </c>
      <c r="O22" s="570">
        <v>0.00854</v>
      </c>
      <c r="P22" s="570">
        <v>0.0</v>
      </c>
      <c r="Q22" s="219">
        <v>1.67</v>
      </c>
      <c r="R22" s="569">
        <v>1.48</v>
      </c>
      <c r="S22" s="570">
        <v>0.185</v>
      </c>
      <c r="T22" s="570">
        <v>0.0</v>
      </c>
      <c r="U22" s="189">
        <v>0.412</v>
      </c>
      <c r="V22" s="570">
        <v>0.371</v>
      </c>
      <c r="W22" s="571">
        <v>0.0411</v>
      </c>
      <c r="X22" s="572">
        <v>0.0</v>
      </c>
      <c r="Y22" s="574" t="s">
        <v>2949</v>
      </c>
      <c r="Z22" s="562" t="s">
        <v>2953</v>
      </c>
      <c r="AA22" s="575"/>
      <c r="AB22" s="576"/>
      <c r="AC22" s="576"/>
      <c r="AD22" s="170"/>
    </row>
    <row r="23" ht="15.0" customHeight="1">
      <c r="A23" s="199" t="s">
        <v>2641</v>
      </c>
      <c r="B23" s="558" t="s">
        <v>2954</v>
      </c>
      <c r="C23" s="560" t="s">
        <v>41</v>
      </c>
      <c r="D23" s="174" t="s">
        <v>2955</v>
      </c>
      <c r="E23" s="195">
        <v>494.0</v>
      </c>
      <c r="F23" s="196">
        <v>432.0</v>
      </c>
      <c r="G23" s="196">
        <v>62.3</v>
      </c>
      <c r="H23" s="196">
        <v>0.0</v>
      </c>
      <c r="I23" s="219">
        <v>1.64</v>
      </c>
      <c r="J23" s="569">
        <v>1.44</v>
      </c>
      <c r="K23" s="570">
        <v>0.193</v>
      </c>
      <c r="L23" s="570">
        <v>0.0</v>
      </c>
      <c r="M23" s="219">
        <v>0.0125</v>
      </c>
      <c r="N23" s="569">
        <v>0.00397</v>
      </c>
      <c r="O23" s="570">
        <v>0.00854</v>
      </c>
      <c r="P23" s="570">
        <v>0.0</v>
      </c>
      <c r="Q23" s="219">
        <v>1.62</v>
      </c>
      <c r="R23" s="569">
        <v>1.44</v>
      </c>
      <c r="S23" s="570">
        <v>0.185</v>
      </c>
      <c r="T23" s="570">
        <v>0.0</v>
      </c>
      <c r="U23" s="189">
        <v>0.401</v>
      </c>
      <c r="V23" s="570">
        <v>0.36</v>
      </c>
      <c r="W23" s="571">
        <v>0.0411</v>
      </c>
      <c r="X23" s="572">
        <v>0.0</v>
      </c>
      <c r="Y23" s="574" t="s">
        <v>2949</v>
      </c>
      <c r="Z23" s="562" t="s">
        <v>2956</v>
      </c>
      <c r="AA23" s="575"/>
      <c r="AB23" s="576"/>
      <c r="AC23" s="576"/>
      <c r="AD23" s="170"/>
    </row>
    <row r="24" ht="15.0" customHeight="1">
      <c r="A24" s="183" t="s">
        <v>2648</v>
      </c>
      <c r="B24" s="558" t="s">
        <v>2957</v>
      </c>
      <c r="C24" s="559" t="s">
        <v>43</v>
      </c>
      <c r="D24" s="568" t="s">
        <v>2647</v>
      </c>
      <c r="E24" s="222">
        <v>61.8</v>
      </c>
      <c r="F24" s="223">
        <v>48.0</v>
      </c>
      <c r="G24" s="223">
        <v>2.01</v>
      </c>
      <c r="H24" s="223">
        <v>11.8</v>
      </c>
      <c r="I24" s="228">
        <v>0.183</v>
      </c>
      <c r="J24" s="577">
        <v>0.145</v>
      </c>
      <c r="K24" s="578">
        <v>0.0049</v>
      </c>
      <c r="L24" s="577">
        <v>0.0334</v>
      </c>
      <c r="M24" s="228">
        <v>0.00299</v>
      </c>
      <c r="N24" s="577">
        <v>3.82E-4</v>
      </c>
      <c r="O24" s="578">
        <v>1.94E-4</v>
      </c>
      <c r="P24" s="577">
        <v>0.00241</v>
      </c>
      <c r="Q24" s="228">
        <v>0.18</v>
      </c>
      <c r="R24" s="577">
        <v>0.144</v>
      </c>
      <c r="S24" s="578">
        <v>0.00471</v>
      </c>
      <c r="T24" s="577">
        <v>0.031</v>
      </c>
      <c r="U24" s="238">
        <v>0.0472</v>
      </c>
      <c r="V24" s="578">
        <v>0.0365</v>
      </c>
      <c r="W24" s="579">
        <v>0.00101</v>
      </c>
      <c r="X24" s="579">
        <v>0.00967</v>
      </c>
      <c r="Y24" s="561" t="s">
        <v>2958</v>
      </c>
      <c r="Z24" s="562" t="s">
        <v>2959</v>
      </c>
      <c r="AA24" s="277"/>
      <c r="AB24" s="573"/>
      <c r="AC24" s="573"/>
      <c r="AD24" s="91"/>
    </row>
    <row r="25" ht="15.0" customHeight="1">
      <c r="A25" s="183" t="s">
        <v>2653</v>
      </c>
      <c r="B25" s="558" t="s">
        <v>2960</v>
      </c>
      <c r="C25" s="559" t="s">
        <v>43</v>
      </c>
      <c r="D25" s="568" t="s">
        <v>2647</v>
      </c>
      <c r="E25" s="222">
        <v>1250.0</v>
      </c>
      <c r="F25" s="223">
        <v>1210.0</v>
      </c>
      <c r="G25" s="223">
        <v>2.43</v>
      </c>
      <c r="H25" s="223">
        <v>39.0</v>
      </c>
      <c r="I25" s="230">
        <v>4.75</v>
      </c>
      <c r="J25" s="580">
        <v>4.54</v>
      </c>
      <c r="K25" s="578">
        <v>0.0113</v>
      </c>
      <c r="L25" s="577">
        <v>0.207</v>
      </c>
      <c r="M25" s="230">
        <v>0.026</v>
      </c>
      <c r="N25" s="580">
        <v>0.0115</v>
      </c>
      <c r="O25" s="578">
        <v>9.69E-4</v>
      </c>
      <c r="P25" s="577">
        <v>0.0136</v>
      </c>
      <c r="Q25" s="230">
        <v>4.73</v>
      </c>
      <c r="R25" s="580">
        <v>4.52</v>
      </c>
      <c r="S25" s="578">
        <v>0.0103</v>
      </c>
      <c r="T25" s="577">
        <v>0.194</v>
      </c>
      <c r="U25" s="225">
        <v>1.17</v>
      </c>
      <c r="V25" s="581">
        <v>1.13</v>
      </c>
      <c r="W25" s="579">
        <v>0.00224</v>
      </c>
      <c r="X25" s="579">
        <v>0.038</v>
      </c>
      <c r="Y25" s="561" t="s">
        <v>2958</v>
      </c>
      <c r="Z25" s="562" t="s">
        <v>2961</v>
      </c>
      <c r="AA25" s="277"/>
      <c r="AB25" s="573"/>
      <c r="AC25" s="573"/>
      <c r="AD25" s="91"/>
    </row>
    <row r="26" ht="15.0" customHeight="1">
      <c r="A26" s="183" t="s">
        <v>2658</v>
      </c>
      <c r="B26" s="558" t="s">
        <v>2962</v>
      </c>
      <c r="C26" s="559" t="s">
        <v>43</v>
      </c>
      <c r="D26" s="568" t="s">
        <v>2647</v>
      </c>
      <c r="E26" s="222">
        <v>2330.0</v>
      </c>
      <c r="F26" s="223">
        <v>1840.0</v>
      </c>
      <c r="G26" s="223">
        <v>2.27</v>
      </c>
      <c r="H26" s="223">
        <v>486.0</v>
      </c>
      <c r="I26" s="230">
        <v>9.52</v>
      </c>
      <c r="J26" s="580">
        <v>6.92</v>
      </c>
      <c r="K26" s="578">
        <v>0.0106</v>
      </c>
      <c r="L26" s="581">
        <v>2.58</v>
      </c>
      <c r="M26" s="230">
        <v>0.188</v>
      </c>
      <c r="N26" s="580">
        <v>0.0175</v>
      </c>
      <c r="O26" s="578">
        <v>8.31E-4</v>
      </c>
      <c r="P26" s="581">
        <v>0.169</v>
      </c>
      <c r="Q26" s="230">
        <v>9.33</v>
      </c>
      <c r="R26" s="580">
        <v>6.9</v>
      </c>
      <c r="S26" s="578">
        <v>0.00977</v>
      </c>
      <c r="T26" s="581">
        <v>2.41</v>
      </c>
      <c r="U26" s="225">
        <v>2.2</v>
      </c>
      <c r="V26" s="581">
        <v>1.72</v>
      </c>
      <c r="W26" s="579">
        <v>0.00213</v>
      </c>
      <c r="X26" s="577">
        <v>0.474</v>
      </c>
      <c r="Y26" s="561" t="s">
        <v>2958</v>
      </c>
      <c r="Z26" s="562" t="s">
        <v>2963</v>
      </c>
      <c r="AA26" s="277"/>
      <c r="AB26" s="573"/>
      <c r="AC26" s="573"/>
      <c r="AD26" s="91"/>
    </row>
    <row r="27" ht="15.0" customHeight="1">
      <c r="A27" s="183" t="s">
        <v>2663</v>
      </c>
      <c r="B27" s="558" t="s">
        <v>2964</v>
      </c>
      <c r="C27" s="559" t="s">
        <v>43</v>
      </c>
      <c r="D27" s="568" t="s">
        <v>2647</v>
      </c>
      <c r="E27" s="222">
        <v>1190.0</v>
      </c>
      <c r="F27" s="223">
        <v>1180.0</v>
      </c>
      <c r="G27" s="223">
        <v>1.91</v>
      </c>
      <c r="H27" s="223">
        <v>13.5</v>
      </c>
      <c r="I27" s="230">
        <v>4.48</v>
      </c>
      <c r="J27" s="580">
        <v>4.4</v>
      </c>
      <c r="K27" s="578">
        <v>0.00891</v>
      </c>
      <c r="L27" s="577">
        <v>0.0717</v>
      </c>
      <c r="M27" s="230">
        <v>0.0166</v>
      </c>
      <c r="N27" s="580">
        <v>0.0111</v>
      </c>
      <c r="O27" s="578">
        <v>7.39E-4</v>
      </c>
      <c r="P27" s="577">
        <v>0.00469</v>
      </c>
      <c r="Q27" s="230">
        <v>4.46</v>
      </c>
      <c r="R27" s="580">
        <v>4.39</v>
      </c>
      <c r="S27" s="578">
        <v>0.00817</v>
      </c>
      <c r="T27" s="577">
        <v>0.067</v>
      </c>
      <c r="U27" s="225">
        <v>1.11</v>
      </c>
      <c r="V27" s="581">
        <v>1.09</v>
      </c>
      <c r="W27" s="579">
        <v>0.00178</v>
      </c>
      <c r="X27" s="579">
        <v>0.0132</v>
      </c>
      <c r="Y27" s="561" t="s">
        <v>2958</v>
      </c>
      <c r="Z27" s="562" t="s">
        <v>2965</v>
      </c>
      <c r="AA27" s="277"/>
      <c r="AB27" s="573"/>
      <c r="AC27" s="573"/>
      <c r="AD27" s="91"/>
    </row>
    <row r="28" ht="15.0" customHeight="1">
      <c r="A28" s="183" t="s">
        <v>2669</v>
      </c>
      <c r="B28" s="563" t="s">
        <v>2966</v>
      </c>
      <c r="C28" s="559" t="s">
        <v>43</v>
      </c>
      <c r="D28" s="568" t="s">
        <v>2647</v>
      </c>
      <c r="E28" s="222">
        <v>51.3</v>
      </c>
      <c r="F28" s="223">
        <v>32.8</v>
      </c>
      <c r="G28" s="223">
        <v>7.66</v>
      </c>
      <c r="H28" s="223">
        <v>10.8</v>
      </c>
      <c r="I28" s="228">
        <v>0.225</v>
      </c>
      <c r="J28" s="577">
        <v>0.17</v>
      </c>
      <c r="K28" s="578">
        <v>0.0233</v>
      </c>
      <c r="L28" s="577">
        <v>0.0322</v>
      </c>
      <c r="M28" s="228">
        <v>0.0731</v>
      </c>
      <c r="N28" s="577">
        <v>0.0684</v>
      </c>
      <c r="O28" s="578">
        <v>0.0015</v>
      </c>
      <c r="P28" s="577">
        <v>0.00327</v>
      </c>
      <c r="Q28" s="228">
        <v>0.152</v>
      </c>
      <c r="R28" s="577">
        <v>0.102</v>
      </c>
      <c r="S28" s="578">
        <v>0.0218</v>
      </c>
      <c r="T28" s="577">
        <v>0.0289</v>
      </c>
      <c r="U28" s="238">
        <v>0.0135</v>
      </c>
      <c r="V28" s="579">
        <v>0.00343</v>
      </c>
      <c r="W28" s="579">
        <v>0.00525</v>
      </c>
      <c r="X28" s="579">
        <v>0.00482</v>
      </c>
      <c r="Y28" s="561" t="s">
        <v>2958</v>
      </c>
      <c r="Z28" s="564" t="s">
        <v>2967</v>
      </c>
      <c r="AA28" s="277"/>
      <c r="AB28" s="573"/>
      <c r="AC28" s="573"/>
      <c r="AD28" s="91"/>
    </row>
    <row r="29" ht="15.0" customHeight="1">
      <c r="A29" s="183" t="s">
        <v>2968</v>
      </c>
      <c r="B29" s="558" t="s">
        <v>2969</v>
      </c>
      <c r="C29" s="559" t="s">
        <v>45</v>
      </c>
      <c r="D29" s="568" t="s">
        <v>2970</v>
      </c>
      <c r="E29" s="222">
        <v>91000.0</v>
      </c>
      <c r="F29" s="223">
        <v>90600.0</v>
      </c>
      <c r="G29" s="223">
        <v>484.0</v>
      </c>
      <c r="H29" s="223">
        <v>0.0</v>
      </c>
      <c r="I29" s="241">
        <v>405.0</v>
      </c>
      <c r="J29" s="582">
        <v>403.0</v>
      </c>
      <c r="K29" s="581">
        <v>1.76</v>
      </c>
      <c r="L29" s="577">
        <v>0.0</v>
      </c>
      <c r="M29" s="241">
        <v>1.28</v>
      </c>
      <c r="N29" s="582">
        <v>1.02</v>
      </c>
      <c r="O29" s="581">
        <v>0.261</v>
      </c>
      <c r="P29" s="577">
        <v>0.0</v>
      </c>
      <c r="Q29" s="241">
        <v>404.0</v>
      </c>
      <c r="R29" s="582">
        <v>402.0</v>
      </c>
      <c r="S29" s="581">
        <v>1.5</v>
      </c>
      <c r="T29" s="577">
        <v>0.0</v>
      </c>
      <c r="U29" s="230">
        <v>100.0</v>
      </c>
      <c r="V29" s="580">
        <v>99.7</v>
      </c>
      <c r="W29" s="577">
        <v>0.327</v>
      </c>
      <c r="X29" s="579">
        <v>0.0</v>
      </c>
      <c r="Y29" s="561" t="s">
        <v>2971</v>
      </c>
      <c r="Z29" s="562" t="s">
        <v>2972</v>
      </c>
      <c r="AA29" s="277"/>
      <c r="AB29" s="573"/>
      <c r="AC29" s="573"/>
      <c r="AD29" s="91"/>
    </row>
    <row r="30" ht="15.0" customHeight="1">
      <c r="A30" s="183" t="s">
        <v>2674</v>
      </c>
      <c r="B30" s="558" t="s">
        <v>2973</v>
      </c>
      <c r="C30" s="559" t="s">
        <v>43</v>
      </c>
      <c r="D30" s="568" t="s">
        <v>2647</v>
      </c>
      <c r="E30" s="222">
        <v>18.3</v>
      </c>
      <c r="F30" s="223">
        <v>16.5</v>
      </c>
      <c r="G30" s="223">
        <v>0.37</v>
      </c>
      <c r="H30" s="223">
        <v>1.44</v>
      </c>
      <c r="I30" s="228">
        <v>0.0471</v>
      </c>
      <c r="J30" s="577">
        <v>0.0377</v>
      </c>
      <c r="K30" s="579">
        <v>7.7E-4</v>
      </c>
      <c r="L30" s="578">
        <v>0.00863</v>
      </c>
      <c r="M30" s="228">
        <v>9.38E-4</v>
      </c>
      <c r="N30" s="577">
        <v>1.03E-4</v>
      </c>
      <c r="O30" s="579">
        <v>2.65E-5</v>
      </c>
      <c r="P30" s="578">
        <v>8.09E-4</v>
      </c>
      <c r="Q30" s="228">
        <v>0.0462</v>
      </c>
      <c r="R30" s="577">
        <v>0.0376</v>
      </c>
      <c r="S30" s="579">
        <v>7.44E-4</v>
      </c>
      <c r="T30" s="578">
        <v>0.00782</v>
      </c>
      <c r="U30" s="238">
        <v>0.0109</v>
      </c>
      <c r="V30" s="579">
        <v>0.00934</v>
      </c>
      <c r="W30" s="583">
        <v>1.77E-4</v>
      </c>
      <c r="X30" s="579">
        <v>0.00142</v>
      </c>
      <c r="Y30" s="561" t="s">
        <v>2958</v>
      </c>
      <c r="Z30" s="562" t="s">
        <v>2974</v>
      </c>
      <c r="AA30" s="277"/>
      <c r="AB30" s="573"/>
      <c r="AC30" s="573"/>
      <c r="AD30" s="91"/>
    </row>
    <row r="31" ht="15.0" customHeight="1">
      <c r="A31" s="183" t="s">
        <v>2679</v>
      </c>
      <c r="B31" s="563" t="s">
        <v>2975</v>
      </c>
      <c r="C31" s="559" t="s">
        <v>43</v>
      </c>
      <c r="D31" s="568" t="s">
        <v>2647</v>
      </c>
      <c r="E31" s="222">
        <v>35.2</v>
      </c>
      <c r="F31" s="223">
        <v>34.1</v>
      </c>
      <c r="G31" s="223">
        <v>0.251</v>
      </c>
      <c r="H31" s="223">
        <v>0.819</v>
      </c>
      <c r="I31" s="238">
        <v>0.025</v>
      </c>
      <c r="J31" s="578">
        <v>0.0196</v>
      </c>
      <c r="K31" s="579">
        <v>5.22E-4</v>
      </c>
      <c r="L31" s="578">
        <v>0.00491</v>
      </c>
      <c r="M31" s="238">
        <v>5.32E-4</v>
      </c>
      <c r="N31" s="578">
        <v>5.36E-5</v>
      </c>
      <c r="O31" s="579">
        <v>1.76E-5</v>
      </c>
      <c r="P31" s="578">
        <v>4.6E-4</v>
      </c>
      <c r="Q31" s="238">
        <v>0.0245</v>
      </c>
      <c r="R31" s="578">
        <v>0.0196</v>
      </c>
      <c r="S31" s="579">
        <v>5.04E-4</v>
      </c>
      <c r="T31" s="578">
        <v>0.00445</v>
      </c>
      <c r="U31" s="584">
        <v>0.00573</v>
      </c>
      <c r="V31" s="579">
        <v>0.0048</v>
      </c>
      <c r="W31" s="583">
        <v>1.21E-4</v>
      </c>
      <c r="X31" s="583">
        <v>8.09E-4</v>
      </c>
      <c r="Y31" s="561" t="s">
        <v>2958</v>
      </c>
      <c r="Z31" s="564" t="s">
        <v>2976</v>
      </c>
      <c r="AA31" s="277"/>
      <c r="AB31" s="573"/>
      <c r="AC31" s="573"/>
      <c r="AD31" s="91"/>
    </row>
    <row r="32" ht="15.0" customHeight="1">
      <c r="A32" s="183" t="s">
        <v>2685</v>
      </c>
      <c r="B32" s="558" t="s">
        <v>2977</v>
      </c>
      <c r="C32" s="559" t="s">
        <v>43</v>
      </c>
      <c r="D32" s="568" t="s">
        <v>2647</v>
      </c>
      <c r="E32" s="222">
        <v>1790.0</v>
      </c>
      <c r="F32" s="223">
        <v>1290.0</v>
      </c>
      <c r="G32" s="223">
        <v>306.0</v>
      </c>
      <c r="H32" s="223">
        <v>193.0</v>
      </c>
      <c r="I32" s="230">
        <v>7.18</v>
      </c>
      <c r="J32" s="580">
        <v>5.03</v>
      </c>
      <c r="K32" s="581">
        <v>1.06</v>
      </c>
      <c r="L32" s="581">
        <v>1.08</v>
      </c>
      <c r="M32" s="230">
        <v>0.203</v>
      </c>
      <c r="N32" s="580">
        <v>0.0145</v>
      </c>
      <c r="O32" s="581">
        <v>0.0819</v>
      </c>
      <c r="P32" s="581">
        <v>0.106</v>
      </c>
      <c r="Q32" s="230">
        <v>6.97</v>
      </c>
      <c r="R32" s="580">
        <v>5.02</v>
      </c>
      <c r="S32" s="581">
        <v>0.979</v>
      </c>
      <c r="T32" s="581">
        <v>0.976</v>
      </c>
      <c r="U32" s="225">
        <v>1.52</v>
      </c>
      <c r="V32" s="581">
        <v>1.26</v>
      </c>
      <c r="W32" s="577">
        <v>0.179</v>
      </c>
      <c r="X32" s="578">
        <v>0.0798</v>
      </c>
      <c r="Y32" s="561" t="s">
        <v>2958</v>
      </c>
      <c r="Z32" s="562" t="s">
        <v>2978</v>
      </c>
      <c r="AA32" s="277"/>
      <c r="AB32" s="573"/>
      <c r="AC32" s="573"/>
      <c r="AD32" s="91"/>
    </row>
    <row r="33" ht="15.0" customHeight="1">
      <c r="A33" s="199" t="s">
        <v>2690</v>
      </c>
      <c r="B33" s="558" t="s">
        <v>2979</v>
      </c>
      <c r="C33" s="560" t="s">
        <v>43</v>
      </c>
      <c r="D33" s="174" t="s">
        <v>2647</v>
      </c>
      <c r="E33" s="195">
        <v>192.0</v>
      </c>
      <c r="F33" s="196">
        <v>145.0</v>
      </c>
      <c r="G33" s="196">
        <v>18.6</v>
      </c>
      <c r="H33" s="196">
        <v>27.7</v>
      </c>
      <c r="I33" s="219">
        <v>0.632</v>
      </c>
      <c r="J33" s="569">
        <v>0.44</v>
      </c>
      <c r="K33" s="570">
        <v>0.0683</v>
      </c>
      <c r="L33" s="570">
        <v>0.123</v>
      </c>
      <c r="M33" s="219">
        <v>0.0092</v>
      </c>
      <c r="N33" s="569">
        <v>0.00117</v>
      </c>
      <c r="O33" s="570">
        <v>0.00291</v>
      </c>
      <c r="P33" s="570">
        <v>0.00511</v>
      </c>
      <c r="Q33" s="219">
        <v>0.622</v>
      </c>
      <c r="R33" s="569">
        <v>0.439</v>
      </c>
      <c r="S33" s="570">
        <v>0.0654</v>
      </c>
      <c r="T33" s="570">
        <v>0.118</v>
      </c>
      <c r="U33" s="189">
        <v>0.135</v>
      </c>
      <c r="V33" s="570">
        <v>0.11</v>
      </c>
      <c r="W33" s="571">
        <v>0.011</v>
      </c>
      <c r="X33" s="571">
        <v>0.0132</v>
      </c>
      <c r="Y33" s="574" t="s">
        <v>2958</v>
      </c>
      <c r="Z33" s="562" t="s">
        <v>2980</v>
      </c>
      <c r="AA33" s="575"/>
      <c r="AB33" s="576"/>
      <c r="AC33" s="576"/>
      <c r="AD33" s="170"/>
    </row>
    <row r="34" ht="15.0" customHeight="1">
      <c r="A34" s="199" t="s">
        <v>2694</v>
      </c>
      <c r="B34" s="558" t="s">
        <v>2981</v>
      </c>
      <c r="C34" s="560" t="s">
        <v>43</v>
      </c>
      <c r="D34" s="174" t="s">
        <v>2647</v>
      </c>
      <c r="E34" s="195">
        <v>794.0</v>
      </c>
      <c r="F34" s="196">
        <v>621.0</v>
      </c>
      <c r="G34" s="196">
        <v>91.9</v>
      </c>
      <c r="H34" s="196">
        <v>80.9</v>
      </c>
      <c r="I34" s="219">
        <v>2.45</v>
      </c>
      <c r="J34" s="569">
        <v>1.69</v>
      </c>
      <c r="K34" s="570">
        <v>0.343</v>
      </c>
      <c r="L34" s="570">
        <v>0.412</v>
      </c>
      <c r="M34" s="219">
        <v>0.0518</v>
      </c>
      <c r="N34" s="569">
        <v>0.00449</v>
      </c>
      <c r="O34" s="570">
        <v>0.0157</v>
      </c>
      <c r="P34" s="570">
        <v>0.0316</v>
      </c>
      <c r="Q34" s="219">
        <v>2.4</v>
      </c>
      <c r="R34" s="569">
        <v>1.69</v>
      </c>
      <c r="S34" s="570">
        <v>0.328</v>
      </c>
      <c r="T34" s="570">
        <v>0.381</v>
      </c>
      <c r="U34" s="189">
        <v>0.518</v>
      </c>
      <c r="V34" s="570">
        <v>0.426</v>
      </c>
      <c r="W34" s="571">
        <v>0.0563</v>
      </c>
      <c r="X34" s="571">
        <v>0.0356</v>
      </c>
      <c r="Y34" s="574" t="s">
        <v>2958</v>
      </c>
      <c r="Z34" s="562" t="s">
        <v>2982</v>
      </c>
      <c r="AA34" s="575"/>
      <c r="AB34" s="576"/>
      <c r="AC34" s="576"/>
      <c r="AD34" s="170"/>
    </row>
    <row r="35" ht="15.0" customHeight="1">
      <c r="A35" s="183" t="s">
        <v>2700</v>
      </c>
      <c r="B35" s="558" t="s">
        <v>2983</v>
      </c>
      <c r="C35" s="559" t="s">
        <v>43</v>
      </c>
      <c r="D35" s="568" t="s">
        <v>2647</v>
      </c>
      <c r="E35" s="195">
        <v>304.0</v>
      </c>
      <c r="F35" s="196">
        <v>238.0</v>
      </c>
      <c r="G35" s="196">
        <v>27.5</v>
      </c>
      <c r="H35" s="196">
        <v>38.4</v>
      </c>
      <c r="I35" s="219">
        <v>1.02</v>
      </c>
      <c r="J35" s="569">
        <v>0.732</v>
      </c>
      <c r="K35" s="570">
        <v>0.103</v>
      </c>
      <c r="L35" s="570">
        <v>0.181</v>
      </c>
      <c r="M35" s="219">
        <v>0.0171</v>
      </c>
      <c r="N35" s="569">
        <v>0.00194</v>
      </c>
      <c r="O35" s="570">
        <v>0.00471</v>
      </c>
      <c r="P35" s="570">
        <v>0.0105</v>
      </c>
      <c r="Q35" s="219">
        <v>0.999</v>
      </c>
      <c r="R35" s="569">
        <v>0.73</v>
      </c>
      <c r="S35" s="570">
        <v>0.0981</v>
      </c>
      <c r="T35" s="570">
        <v>0.171</v>
      </c>
      <c r="U35" s="189">
        <v>0.218</v>
      </c>
      <c r="V35" s="570">
        <v>0.184</v>
      </c>
      <c r="W35" s="571">
        <v>0.0169</v>
      </c>
      <c r="X35" s="571">
        <v>0.0177</v>
      </c>
      <c r="Y35" s="561" t="s">
        <v>2958</v>
      </c>
      <c r="Z35" s="562" t="s">
        <v>2984</v>
      </c>
      <c r="AA35" s="277"/>
      <c r="AB35" s="573"/>
      <c r="AC35" s="573"/>
      <c r="AD35" s="91"/>
    </row>
    <row r="36" ht="15.0" customHeight="1">
      <c r="A36" s="183" t="s">
        <v>2706</v>
      </c>
      <c r="B36" s="558" t="s">
        <v>2985</v>
      </c>
      <c r="C36" s="559" t="s">
        <v>43</v>
      </c>
      <c r="D36" s="568" t="s">
        <v>2647</v>
      </c>
      <c r="E36" s="195">
        <v>251.0</v>
      </c>
      <c r="F36" s="196">
        <v>198.0</v>
      </c>
      <c r="G36" s="196">
        <v>22.4</v>
      </c>
      <c r="H36" s="196">
        <v>30.2</v>
      </c>
      <c r="I36" s="219">
        <v>0.795</v>
      </c>
      <c r="J36" s="569">
        <v>0.576</v>
      </c>
      <c r="K36" s="570">
        <v>0.0812</v>
      </c>
      <c r="L36" s="570">
        <v>0.137</v>
      </c>
      <c r="M36" s="219">
        <v>0.0116</v>
      </c>
      <c r="N36" s="569">
        <v>0.00153</v>
      </c>
      <c r="O36" s="570">
        <v>0.00355</v>
      </c>
      <c r="P36" s="570">
        <v>0.00653</v>
      </c>
      <c r="Q36" s="219">
        <v>0.783</v>
      </c>
      <c r="R36" s="569">
        <v>0.575</v>
      </c>
      <c r="S36" s="570">
        <v>0.0777</v>
      </c>
      <c r="T36" s="570">
        <v>0.131</v>
      </c>
      <c r="U36" s="189">
        <v>0.171</v>
      </c>
      <c r="V36" s="570">
        <v>0.144</v>
      </c>
      <c r="W36" s="571">
        <v>0.0134</v>
      </c>
      <c r="X36" s="571">
        <v>0.0142</v>
      </c>
      <c r="Y36" s="561" t="s">
        <v>2958</v>
      </c>
      <c r="Z36" s="562" t="s">
        <v>2986</v>
      </c>
      <c r="AA36" s="277"/>
      <c r="AB36" s="573"/>
      <c r="AC36" s="573"/>
      <c r="AD36" s="91"/>
    </row>
    <row r="37" ht="15.0" customHeight="1">
      <c r="A37" s="183" t="s">
        <v>2712</v>
      </c>
      <c r="B37" s="558" t="s">
        <v>2987</v>
      </c>
      <c r="C37" s="559" t="s">
        <v>43</v>
      </c>
      <c r="D37" s="568" t="s">
        <v>2647</v>
      </c>
      <c r="E37" s="195">
        <v>153.0</v>
      </c>
      <c r="F37" s="196">
        <v>112.0</v>
      </c>
      <c r="G37" s="196">
        <v>15.8</v>
      </c>
      <c r="H37" s="196">
        <v>25.7</v>
      </c>
      <c r="I37" s="219">
        <v>0.521</v>
      </c>
      <c r="J37" s="569">
        <v>0.35</v>
      </c>
      <c r="K37" s="570">
        <v>0.0588</v>
      </c>
      <c r="L37" s="570">
        <v>0.112</v>
      </c>
      <c r="M37" s="219">
        <v>0.00738</v>
      </c>
      <c r="N37" s="569">
        <v>9.3E-4</v>
      </c>
      <c r="O37" s="570">
        <v>0.00244</v>
      </c>
      <c r="P37" s="570">
        <v>0.004</v>
      </c>
      <c r="Q37" s="219">
        <v>0.514</v>
      </c>
      <c r="R37" s="569">
        <v>0.349</v>
      </c>
      <c r="S37" s="570">
        <v>0.0564</v>
      </c>
      <c r="T37" s="570">
        <v>0.108</v>
      </c>
      <c r="U37" s="189">
        <v>0.11</v>
      </c>
      <c r="V37" s="570">
        <v>0.0884</v>
      </c>
      <c r="W37" s="571">
        <v>0.00936</v>
      </c>
      <c r="X37" s="571">
        <v>0.0123</v>
      </c>
      <c r="Y37" s="561" t="s">
        <v>2958</v>
      </c>
      <c r="Z37" s="562" t="s">
        <v>2988</v>
      </c>
      <c r="AA37" s="277"/>
      <c r="AB37" s="573"/>
      <c r="AC37" s="573"/>
      <c r="AD37" s="91"/>
    </row>
    <row r="38" ht="15.0" customHeight="1">
      <c r="A38" s="439" t="s">
        <v>2989</v>
      </c>
      <c r="B38" s="551" t="s">
        <v>2990</v>
      </c>
      <c r="C38" s="565"/>
      <c r="D38" s="566" t="s">
        <v>2208</v>
      </c>
      <c r="E38" s="566"/>
      <c r="F38" s="566"/>
      <c r="G38" s="566"/>
      <c r="H38" s="566"/>
      <c r="I38" s="566"/>
      <c r="J38" s="566"/>
      <c r="K38" s="566"/>
      <c r="L38" s="566"/>
      <c r="M38" s="566"/>
      <c r="N38" s="566"/>
      <c r="O38" s="566"/>
      <c r="P38" s="566"/>
      <c r="Q38" s="566"/>
      <c r="R38" s="566"/>
      <c r="S38" s="566"/>
      <c r="T38" s="566"/>
      <c r="U38" s="566"/>
      <c r="V38" s="566"/>
      <c r="W38" s="566"/>
      <c r="X38" s="566"/>
      <c r="Y38" s="567"/>
      <c r="Z38" s="557" t="s">
        <v>2991</v>
      </c>
      <c r="AA38" s="277"/>
      <c r="AB38" s="573"/>
      <c r="AC38" s="573"/>
      <c r="AD38" s="91"/>
    </row>
    <row r="39" ht="15.0" customHeight="1">
      <c r="A39" s="183" t="s">
        <v>2720</v>
      </c>
      <c r="B39" s="558" t="s">
        <v>2992</v>
      </c>
      <c r="C39" s="559" t="s">
        <v>43</v>
      </c>
      <c r="D39" s="568" t="s">
        <v>2719</v>
      </c>
      <c r="E39" s="222">
        <v>148.0</v>
      </c>
      <c r="F39" s="585">
        <v>131.0</v>
      </c>
      <c r="G39" s="586">
        <v>6.46</v>
      </c>
      <c r="H39" s="587">
        <v>10.8</v>
      </c>
      <c r="I39" s="225">
        <v>0.461</v>
      </c>
      <c r="J39" s="581">
        <v>0.381</v>
      </c>
      <c r="K39" s="577">
        <v>0.0301</v>
      </c>
      <c r="L39" s="577">
        <v>0.0499</v>
      </c>
      <c r="M39" s="225">
        <v>0.00696</v>
      </c>
      <c r="N39" s="581">
        <v>9.9E-4</v>
      </c>
      <c r="O39" s="577">
        <v>0.00344</v>
      </c>
      <c r="P39" s="577">
        <v>0.00253</v>
      </c>
      <c r="Q39" s="225">
        <v>0.454</v>
      </c>
      <c r="R39" s="581">
        <v>0.38</v>
      </c>
      <c r="S39" s="577">
        <v>0.0266</v>
      </c>
      <c r="T39" s="577">
        <v>0.0473</v>
      </c>
      <c r="U39" s="228">
        <v>0.104</v>
      </c>
      <c r="V39" s="578">
        <v>0.0954</v>
      </c>
      <c r="W39" s="579">
        <v>0.00356</v>
      </c>
      <c r="X39" s="579">
        <v>0.00506</v>
      </c>
      <c r="Y39" s="561" t="s">
        <v>2958</v>
      </c>
      <c r="Z39" s="562" t="s">
        <v>2992</v>
      </c>
      <c r="AA39" s="277"/>
      <c r="AB39" s="573"/>
      <c r="AC39" s="573"/>
      <c r="AD39" s="91"/>
    </row>
    <row r="40" ht="15.0" customHeight="1">
      <c r="A40" s="183" t="s">
        <v>2726</v>
      </c>
      <c r="B40" s="558" t="s">
        <v>2993</v>
      </c>
      <c r="C40" s="559" t="s">
        <v>43</v>
      </c>
      <c r="D40" s="568" t="s">
        <v>2719</v>
      </c>
      <c r="E40" s="237">
        <v>30.7</v>
      </c>
      <c r="F40" s="587">
        <v>18.2</v>
      </c>
      <c r="G40" s="586">
        <v>0.866</v>
      </c>
      <c r="H40" s="587">
        <v>11.6</v>
      </c>
      <c r="I40" s="228">
        <v>0.177</v>
      </c>
      <c r="J40" s="577">
        <v>0.139</v>
      </c>
      <c r="K40" s="578">
        <v>0.00379</v>
      </c>
      <c r="L40" s="577">
        <v>0.0345</v>
      </c>
      <c r="M40" s="228">
        <v>0.0633</v>
      </c>
      <c r="N40" s="577">
        <v>0.0593</v>
      </c>
      <c r="O40" s="578">
        <v>4.02E-4</v>
      </c>
      <c r="P40" s="577">
        <v>0.0035</v>
      </c>
      <c r="Q40" s="228">
        <v>0.114</v>
      </c>
      <c r="R40" s="577">
        <v>0.0793</v>
      </c>
      <c r="S40" s="578">
        <v>0.00339</v>
      </c>
      <c r="T40" s="577">
        <v>0.031</v>
      </c>
      <c r="U40" s="584">
        <v>0.00644</v>
      </c>
      <c r="V40" s="583">
        <v>7.18E-4</v>
      </c>
      <c r="W40" s="583">
        <v>5.58E-4</v>
      </c>
      <c r="X40" s="579">
        <v>0.00517</v>
      </c>
      <c r="Y40" s="561" t="s">
        <v>2958</v>
      </c>
      <c r="Z40" s="562" t="s">
        <v>2994</v>
      </c>
      <c r="AA40" s="277"/>
      <c r="AB40" s="573"/>
      <c r="AC40" s="573"/>
      <c r="AD40" s="91"/>
    </row>
    <row r="41" ht="15.0" customHeight="1">
      <c r="A41" s="183" t="s">
        <v>2732</v>
      </c>
      <c r="B41" s="558" t="s">
        <v>2995</v>
      </c>
      <c r="C41" s="559" t="s">
        <v>43</v>
      </c>
      <c r="D41" s="568" t="s">
        <v>2719</v>
      </c>
      <c r="E41" s="237">
        <v>63.5</v>
      </c>
      <c r="F41" s="587">
        <v>47.5</v>
      </c>
      <c r="G41" s="586">
        <v>1.94</v>
      </c>
      <c r="H41" s="587">
        <v>14.1</v>
      </c>
      <c r="I41" s="225">
        <v>0.289</v>
      </c>
      <c r="J41" s="577">
        <v>0.256</v>
      </c>
      <c r="K41" s="578">
        <v>0.00677</v>
      </c>
      <c r="L41" s="578">
        <v>0.0263</v>
      </c>
      <c r="M41" s="225">
        <v>0.018</v>
      </c>
      <c r="N41" s="577">
        <v>0.0165</v>
      </c>
      <c r="O41" s="578">
        <v>4.46E-4</v>
      </c>
      <c r="P41" s="578">
        <v>0.00102</v>
      </c>
      <c r="Q41" s="225">
        <v>0.271</v>
      </c>
      <c r="R41" s="577">
        <v>0.24</v>
      </c>
      <c r="S41" s="578">
        <v>0.00633</v>
      </c>
      <c r="T41" s="578">
        <v>0.0253</v>
      </c>
      <c r="U41" s="238">
        <v>0.0623</v>
      </c>
      <c r="V41" s="578">
        <v>0.0539</v>
      </c>
      <c r="W41" s="579">
        <v>0.0013</v>
      </c>
      <c r="X41" s="579">
        <v>0.00701</v>
      </c>
      <c r="Y41" s="561" t="s">
        <v>2958</v>
      </c>
      <c r="Z41" s="562" t="s">
        <v>2996</v>
      </c>
      <c r="AA41" s="277"/>
      <c r="AB41" s="573"/>
      <c r="AC41" s="573"/>
      <c r="AD41" s="91"/>
    </row>
    <row r="42" ht="15.0" customHeight="1">
      <c r="A42" s="183" t="s">
        <v>2738</v>
      </c>
      <c r="B42" s="558" t="s">
        <v>2960</v>
      </c>
      <c r="C42" s="559" t="s">
        <v>43</v>
      </c>
      <c r="D42" s="568" t="s">
        <v>2719</v>
      </c>
      <c r="E42" s="222">
        <v>158.0</v>
      </c>
      <c r="F42" s="585">
        <v>139.0</v>
      </c>
      <c r="G42" s="588">
        <v>0.458</v>
      </c>
      <c r="H42" s="587">
        <v>17.8</v>
      </c>
      <c r="I42" s="225">
        <v>0.619</v>
      </c>
      <c r="J42" s="581">
        <v>0.522</v>
      </c>
      <c r="K42" s="579">
        <v>0.00213</v>
      </c>
      <c r="L42" s="578">
        <v>0.0948</v>
      </c>
      <c r="M42" s="225">
        <v>0.00771</v>
      </c>
      <c r="N42" s="581">
        <v>0.00132</v>
      </c>
      <c r="O42" s="579">
        <v>1.81E-4</v>
      </c>
      <c r="P42" s="578">
        <v>0.00621</v>
      </c>
      <c r="Q42" s="225">
        <v>0.612</v>
      </c>
      <c r="R42" s="581">
        <v>0.521</v>
      </c>
      <c r="S42" s="579">
        <v>0.00195</v>
      </c>
      <c r="T42" s="577">
        <v>0.0886</v>
      </c>
      <c r="U42" s="228">
        <v>0.148</v>
      </c>
      <c r="V42" s="577">
        <v>0.13</v>
      </c>
      <c r="W42" s="583">
        <v>4.24E-4</v>
      </c>
      <c r="X42" s="578">
        <v>0.0174</v>
      </c>
      <c r="Y42" s="561" t="s">
        <v>2958</v>
      </c>
      <c r="Z42" s="562" t="s">
        <v>2997</v>
      </c>
      <c r="AA42" s="277"/>
      <c r="AB42" s="573"/>
      <c r="AC42" s="573"/>
      <c r="AD42" s="91"/>
    </row>
    <row r="43" ht="15.0" customHeight="1">
      <c r="A43" s="183" t="s">
        <v>2744</v>
      </c>
      <c r="B43" s="558" t="s">
        <v>2962</v>
      </c>
      <c r="C43" s="559" t="s">
        <v>43</v>
      </c>
      <c r="D43" s="568" t="s">
        <v>2719</v>
      </c>
      <c r="E43" s="222">
        <v>233.0</v>
      </c>
      <c r="F43" s="585">
        <v>184.0</v>
      </c>
      <c r="G43" s="588">
        <v>0.544</v>
      </c>
      <c r="H43" s="587">
        <v>48.6</v>
      </c>
      <c r="I43" s="225">
        <v>0.953</v>
      </c>
      <c r="J43" s="581">
        <v>0.692</v>
      </c>
      <c r="K43" s="579">
        <v>0.00254</v>
      </c>
      <c r="L43" s="577">
        <v>0.258</v>
      </c>
      <c r="M43" s="225">
        <v>0.0189</v>
      </c>
      <c r="N43" s="581">
        <v>0.00175</v>
      </c>
      <c r="O43" s="579">
        <v>1.99E-4</v>
      </c>
      <c r="P43" s="577">
        <v>0.0169</v>
      </c>
      <c r="Q43" s="225">
        <v>0.934</v>
      </c>
      <c r="R43" s="581">
        <v>0.69</v>
      </c>
      <c r="S43" s="579">
        <v>0.00234</v>
      </c>
      <c r="T43" s="577">
        <v>0.241</v>
      </c>
      <c r="U43" s="228">
        <v>0.22</v>
      </c>
      <c r="V43" s="577">
        <v>0.172</v>
      </c>
      <c r="W43" s="583">
        <v>5.11E-4</v>
      </c>
      <c r="X43" s="578">
        <v>0.0474</v>
      </c>
      <c r="Y43" s="561" t="s">
        <v>2958</v>
      </c>
      <c r="Z43" s="562" t="s">
        <v>2998</v>
      </c>
      <c r="AA43" s="277"/>
      <c r="AB43" s="573"/>
      <c r="AC43" s="573"/>
      <c r="AD43" s="91"/>
    </row>
    <row r="44" ht="15.0" customHeight="1">
      <c r="A44" s="183" t="s">
        <v>2749</v>
      </c>
      <c r="B44" s="558" t="s">
        <v>2964</v>
      </c>
      <c r="C44" s="559" t="s">
        <v>43</v>
      </c>
      <c r="D44" s="568" t="s">
        <v>2719</v>
      </c>
      <c r="E44" s="222">
        <v>121.0</v>
      </c>
      <c r="F44" s="585">
        <v>118.0</v>
      </c>
      <c r="G44" s="588">
        <v>0.189</v>
      </c>
      <c r="H44" s="586">
        <v>2.83</v>
      </c>
      <c r="I44" s="225">
        <v>0.456</v>
      </c>
      <c r="J44" s="581">
        <v>0.44</v>
      </c>
      <c r="K44" s="579">
        <v>8.82E-4</v>
      </c>
      <c r="L44" s="578">
        <v>0.0151</v>
      </c>
      <c r="M44" s="225">
        <v>0.00217</v>
      </c>
      <c r="N44" s="581">
        <v>0.00111</v>
      </c>
      <c r="O44" s="579">
        <v>7.32E-5</v>
      </c>
      <c r="P44" s="578">
        <v>9.86E-4</v>
      </c>
      <c r="Q44" s="225">
        <v>0.454</v>
      </c>
      <c r="R44" s="581">
        <v>0.439</v>
      </c>
      <c r="S44" s="579">
        <v>8.09E-4</v>
      </c>
      <c r="T44" s="578">
        <v>0.0141</v>
      </c>
      <c r="U44" s="228">
        <v>0.112</v>
      </c>
      <c r="V44" s="577">
        <v>0.109</v>
      </c>
      <c r="W44" s="583">
        <v>1.76E-4</v>
      </c>
      <c r="X44" s="579">
        <v>0.00276</v>
      </c>
      <c r="Y44" s="561" t="s">
        <v>2958</v>
      </c>
      <c r="Z44" s="562" t="s">
        <v>2999</v>
      </c>
      <c r="AA44" s="277"/>
      <c r="AB44" s="573"/>
      <c r="AC44" s="573"/>
      <c r="AD44" s="91"/>
    </row>
    <row r="45" ht="15.0" customHeight="1">
      <c r="A45" s="183" t="s">
        <v>2755</v>
      </c>
      <c r="B45" s="558" t="s">
        <v>3000</v>
      </c>
      <c r="C45" s="559" t="s">
        <v>43</v>
      </c>
      <c r="D45" s="568" t="s">
        <v>2719</v>
      </c>
      <c r="E45" s="222">
        <v>217.0</v>
      </c>
      <c r="F45" s="585">
        <v>160.0</v>
      </c>
      <c r="G45" s="587">
        <v>35.5</v>
      </c>
      <c r="H45" s="587">
        <v>21.3</v>
      </c>
      <c r="I45" s="225">
        <v>0.92</v>
      </c>
      <c r="J45" s="581">
        <v>0.662</v>
      </c>
      <c r="K45" s="577">
        <v>0.122</v>
      </c>
      <c r="L45" s="577">
        <v>0.136</v>
      </c>
      <c r="M45" s="225">
        <v>0.0263</v>
      </c>
      <c r="N45" s="581">
        <v>0.00213</v>
      </c>
      <c r="O45" s="577">
        <v>0.00717</v>
      </c>
      <c r="P45" s="577">
        <v>0.017</v>
      </c>
      <c r="Q45" s="225">
        <v>0.893</v>
      </c>
      <c r="R45" s="581">
        <v>0.66</v>
      </c>
      <c r="S45" s="577">
        <v>0.115</v>
      </c>
      <c r="T45" s="577">
        <v>0.119</v>
      </c>
      <c r="U45" s="228">
        <v>0.195</v>
      </c>
      <c r="V45" s="577">
        <v>0.166</v>
      </c>
      <c r="W45" s="578">
        <v>0.0214</v>
      </c>
      <c r="X45" s="579">
        <v>0.00785</v>
      </c>
      <c r="Y45" s="561" t="s">
        <v>2958</v>
      </c>
      <c r="Z45" s="562" t="s">
        <v>3001</v>
      </c>
      <c r="AA45" s="277"/>
      <c r="AB45" s="573"/>
      <c r="AC45" s="573"/>
      <c r="AD45" s="91"/>
    </row>
    <row r="46" ht="15.0" customHeight="1">
      <c r="A46" s="183" t="s">
        <v>2761</v>
      </c>
      <c r="B46" s="563" t="s">
        <v>3002</v>
      </c>
      <c r="C46" s="559" t="s">
        <v>43</v>
      </c>
      <c r="D46" s="568" t="s">
        <v>2719</v>
      </c>
      <c r="E46" s="222">
        <v>221.0</v>
      </c>
      <c r="F46" s="585">
        <v>164.0</v>
      </c>
      <c r="G46" s="587">
        <v>35.5</v>
      </c>
      <c r="H46" s="587">
        <v>21.3</v>
      </c>
      <c r="I46" s="225">
        <v>0.935</v>
      </c>
      <c r="J46" s="581">
        <v>0.678</v>
      </c>
      <c r="K46" s="577">
        <v>0.122</v>
      </c>
      <c r="L46" s="577">
        <v>0.136</v>
      </c>
      <c r="M46" s="225">
        <v>0.0264</v>
      </c>
      <c r="N46" s="581">
        <v>0.00226</v>
      </c>
      <c r="O46" s="577">
        <v>0.00717</v>
      </c>
      <c r="P46" s="577">
        <v>0.017</v>
      </c>
      <c r="Q46" s="225">
        <v>0.909</v>
      </c>
      <c r="R46" s="581">
        <v>0.675</v>
      </c>
      <c r="S46" s="577">
        <v>0.115</v>
      </c>
      <c r="T46" s="577">
        <v>0.119</v>
      </c>
      <c r="U46" s="228">
        <v>0.199</v>
      </c>
      <c r="V46" s="577">
        <v>0.17</v>
      </c>
      <c r="W46" s="578">
        <v>0.0214</v>
      </c>
      <c r="X46" s="579">
        <v>0.00785</v>
      </c>
      <c r="Y46" s="561" t="s">
        <v>2958</v>
      </c>
      <c r="Z46" s="564" t="s">
        <v>3003</v>
      </c>
      <c r="AA46" s="277"/>
      <c r="AB46" s="573"/>
      <c r="AC46" s="573"/>
      <c r="AD46" s="91"/>
    </row>
    <row r="47" ht="15.0" customHeight="1">
      <c r="A47" s="183" t="s">
        <v>2767</v>
      </c>
      <c r="B47" s="563" t="s">
        <v>3004</v>
      </c>
      <c r="C47" s="559" t="s">
        <v>43</v>
      </c>
      <c r="D47" s="568" t="s">
        <v>2719</v>
      </c>
      <c r="E47" s="222">
        <v>154.0</v>
      </c>
      <c r="F47" s="587">
        <v>95.3</v>
      </c>
      <c r="G47" s="587">
        <v>35.6</v>
      </c>
      <c r="H47" s="587">
        <v>23.5</v>
      </c>
      <c r="I47" s="225">
        <v>0.478</v>
      </c>
      <c r="J47" s="581">
        <v>0.206</v>
      </c>
      <c r="K47" s="577">
        <v>0.123</v>
      </c>
      <c r="L47" s="577">
        <v>0.15</v>
      </c>
      <c r="M47" s="225">
        <v>0.0478</v>
      </c>
      <c r="N47" s="581">
        <v>0.0218</v>
      </c>
      <c r="O47" s="577">
        <v>0.00721</v>
      </c>
      <c r="P47" s="577">
        <v>0.0188</v>
      </c>
      <c r="Q47" s="225">
        <v>0.43</v>
      </c>
      <c r="R47" s="577">
        <v>0.184</v>
      </c>
      <c r="S47" s="577">
        <v>0.115</v>
      </c>
      <c r="T47" s="577">
        <v>0.131</v>
      </c>
      <c r="U47" s="228">
        <v>0.0983</v>
      </c>
      <c r="V47" s="577">
        <v>0.0681</v>
      </c>
      <c r="W47" s="578">
        <v>0.0215</v>
      </c>
      <c r="X47" s="579">
        <v>0.00867</v>
      </c>
      <c r="Y47" s="561" t="s">
        <v>2958</v>
      </c>
      <c r="Z47" s="564" t="s">
        <v>3005</v>
      </c>
      <c r="AA47" s="277"/>
      <c r="AB47" s="573"/>
      <c r="AC47" s="573"/>
      <c r="AD47" s="91"/>
    </row>
    <row r="48" ht="15.0" customHeight="1">
      <c r="A48" s="183" t="s">
        <v>2773</v>
      </c>
      <c r="B48" s="563" t="s">
        <v>3006</v>
      </c>
      <c r="C48" s="559" t="s">
        <v>43</v>
      </c>
      <c r="D48" s="568" t="s">
        <v>2719</v>
      </c>
      <c r="E48" s="222">
        <v>198.0</v>
      </c>
      <c r="F48" s="585">
        <v>141.0</v>
      </c>
      <c r="G48" s="587">
        <v>35.5</v>
      </c>
      <c r="H48" s="587">
        <v>21.3</v>
      </c>
      <c r="I48" s="225">
        <v>0.842</v>
      </c>
      <c r="J48" s="581">
        <v>0.584</v>
      </c>
      <c r="K48" s="577">
        <v>0.122</v>
      </c>
      <c r="L48" s="577">
        <v>0.136</v>
      </c>
      <c r="M48" s="225">
        <v>0.0257</v>
      </c>
      <c r="N48" s="581">
        <v>0.00152</v>
      </c>
      <c r="O48" s="577">
        <v>0.00717</v>
      </c>
      <c r="P48" s="577">
        <v>0.017</v>
      </c>
      <c r="Q48" s="225">
        <v>0.816</v>
      </c>
      <c r="R48" s="581">
        <v>0.583</v>
      </c>
      <c r="S48" s="577">
        <v>0.115</v>
      </c>
      <c r="T48" s="577">
        <v>0.119</v>
      </c>
      <c r="U48" s="228">
        <v>0.176</v>
      </c>
      <c r="V48" s="577">
        <v>0.147</v>
      </c>
      <c r="W48" s="578">
        <v>0.0214</v>
      </c>
      <c r="X48" s="579">
        <v>0.00785</v>
      </c>
      <c r="Y48" s="561" t="s">
        <v>2958</v>
      </c>
      <c r="Z48" s="564" t="s">
        <v>3007</v>
      </c>
      <c r="AA48" s="277"/>
      <c r="AB48" s="573"/>
      <c r="AC48" s="573"/>
      <c r="AD48" s="91"/>
    </row>
    <row r="49" ht="15.0" customHeight="1">
      <c r="A49" s="183" t="s">
        <v>2778</v>
      </c>
      <c r="B49" s="563" t="s">
        <v>3008</v>
      </c>
      <c r="C49" s="559" t="s">
        <v>43</v>
      </c>
      <c r="D49" s="568" t="s">
        <v>2719</v>
      </c>
      <c r="E49" s="222">
        <v>163.0</v>
      </c>
      <c r="F49" s="587">
        <v>54.8</v>
      </c>
      <c r="G49" s="587">
        <v>82.1</v>
      </c>
      <c r="H49" s="587">
        <v>26.2</v>
      </c>
      <c r="I49" s="225">
        <v>0.738</v>
      </c>
      <c r="J49" s="581">
        <v>0.376</v>
      </c>
      <c r="K49" s="577">
        <v>0.195</v>
      </c>
      <c r="L49" s="577">
        <v>0.167</v>
      </c>
      <c r="M49" s="225">
        <v>0.0945</v>
      </c>
      <c r="N49" s="581">
        <v>0.061</v>
      </c>
      <c r="O49" s="577">
        <v>0.0126</v>
      </c>
      <c r="P49" s="577">
        <v>0.021</v>
      </c>
      <c r="Q49" s="225">
        <v>0.643</v>
      </c>
      <c r="R49" s="577">
        <v>0.315</v>
      </c>
      <c r="S49" s="577">
        <v>0.182</v>
      </c>
      <c r="T49" s="577">
        <v>0.146</v>
      </c>
      <c r="U49" s="228">
        <v>0.0584</v>
      </c>
      <c r="V49" s="577">
        <v>0.0127</v>
      </c>
      <c r="W49" s="578">
        <v>0.036</v>
      </c>
      <c r="X49" s="579">
        <v>0.00968</v>
      </c>
      <c r="Y49" s="561" t="s">
        <v>2958</v>
      </c>
      <c r="Z49" s="564" t="s">
        <v>3009</v>
      </c>
      <c r="AA49" s="277"/>
      <c r="AB49" s="573"/>
      <c r="AC49" s="573"/>
      <c r="AD49" s="91"/>
    </row>
    <row r="50" ht="15.0" customHeight="1">
      <c r="A50" s="183" t="s">
        <v>2784</v>
      </c>
      <c r="B50" s="563" t="s">
        <v>3010</v>
      </c>
      <c r="C50" s="559" t="s">
        <v>43</v>
      </c>
      <c r="D50" s="568" t="s">
        <v>2719</v>
      </c>
      <c r="E50" s="222">
        <v>172.0</v>
      </c>
      <c r="F50" s="585">
        <v>113.0</v>
      </c>
      <c r="G50" s="587">
        <v>35.6</v>
      </c>
      <c r="H50" s="587">
        <v>23.5</v>
      </c>
      <c r="I50" s="225">
        <v>0.912</v>
      </c>
      <c r="J50" s="581">
        <v>0.64</v>
      </c>
      <c r="K50" s="577">
        <v>0.123</v>
      </c>
      <c r="L50" s="577">
        <v>0.15</v>
      </c>
      <c r="M50" s="225">
        <v>0.0312</v>
      </c>
      <c r="N50" s="581">
        <v>0.00519</v>
      </c>
      <c r="O50" s="577">
        <v>0.00721</v>
      </c>
      <c r="P50" s="577">
        <v>0.0188</v>
      </c>
      <c r="Q50" s="225">
        <v>0.881</v>
      </c>
      <c r="R50" s="577">
        <v>0.634</v>
      </c>
      <c r="S50" s="577">
        <v>0.115</v>
      </c>
      <c r="T50" s="577">
        <v>0.131</v>
      </c>
      <c r="U50" s="228">
        <v>0.16</v>
      </c>
      <c r="V50" s="577">
        <v>0.13</v>
      </c>
      <c r="W50" s="578">
        <v>0.0215</v>
      </c>
      <c r="X50" s="579">
        <v>0.00867</v>
      </c>
      <c r="Y50" s="561" t="s">
        <v>2958</v>
      </c>
      <c r="Z50" s="564" t="s">
        <v>3011</v>
      </c>
      <c r="AA50" s="277"/>
      <c r="AB50" s="573"/>
      <c r="AC50" s="573"/>
      <c r="AD50" s="91"/>
    </row>
    <row r="51" ht="15.0" customHeight="1">
      <c r="A51" s="183" t="s">
        <v>2790</v>
      </c>
      <c r="B51" s="563" t="s">
        <v>3012</v>
      </c>
      <c r="C51" s="559" t="s">
        <v>43</v>
      </c>
      <c r="D51" s="568" t="s">
        <v>2719</v>
      </c>
      <c r="E51" s="237">
        <v>51.7</v>
      </c>
      <c r="F51" s="587">
        <v>32.6</v>
      </c>
      <c r="G51" s="586">
        <v>2.9</v>
      </c>
      <c r="H51" s="587">
        <v>16.3</v>
      </c>
      <c r="I51" s="225">
        <v>0.359</v>
      </c>
      <c r="J51" s="581">
        <v>0.304</v>
      </c>
      <c r="K51" s="578">
        <v>0.00736</v>
      </c>
      <c r="L51" s="577">
        <v>0.0483</v>
      </c>
      <c r="M51" s="225">
        <v>0.136</v>
      </c>
      <c r="N51" s="581">
        <v>0.13</v>
      </c>
      <c r="O51" s="578">
        <v>0.00128</v>
      </c>
      <c r="P51" s="577">
        <v>0.0049</v>
      </c>
      <c r="Q51" s="228">
        <v>0.223</v>
      </c>
      <c r="R51" s="577">
        <v>0.174</v>
      </c>
      <c r="S51" s="578">
        <v>0.00607</v>
      </c>
      <c r="T51" s="577">
        <v>0.0434</v>
      </c>
      <c r="U51" s="238">
        <v>0.00989</v>
      </c>
      <c r="V51" s="579">
        <v>0.00157</v>
      </c>
      <c r="W51" s="579">
        <v>0.00108</v>
      </c>
      <c r="X51" s="579">
        <v>0.00723</v>
      </c>
      <c r="Y51" s="561" t="s">
        <v>2958</v>
      </c>
      <c r="Z51" s="564" t="s">
        <v>3013</v>
      </c>
      <c r="AA51" s="277"/>
      <c r="AB51" s="573"/>
      <c r="AC51" s="573"/>
      <c r="AD51" s="91"/>
    </row>
    <row r="52" ht="15.0" customHeight="1">
      <c r="A52" s="183" t="s">
        <v>2795</v>
      </c>
      <c r="B52" s="563" t="s">
        <v>3014</v>
      </c>
      <c r="C52" s="559" t="s">
        <v>43</v>
      </c>
      <c r="D52" s="568" t="s">
        <v>2719</v>
      </c>
      <c r="E52" s="237">
        <v>76.7</v>
      </c>
      <c r="F52" s="587">
        <v>64.9</v>
      </c>
      <c r="G52" s="586">
        <v>4.32</v>
      </c>
      <c r="H52" s="586">
        <v>7.45</v>
      </c>
      <c r="I52" s="228">
        <v>0.238</v>
      </c>
      <c r="J52" s="577">
        <v>0.184</v>
      </c>
      <c r="K52" s="578">
        <v>0.0201</v>
      </c>
      <c r="L52" s="577">
        <v>0.0342</v>
      </c>
      <c r="M52" s="228">
        <v>0.00447</v>
      </c>
      <c r="N52" s="577">
        <v>4.76E-4</v>
      </c>
      <c r="O52" s="578">
        <v>0.00229</v>
      </c>
      <c r="P52" s="577">
        <v>0.0017</v>
      </c>
      <c r="Q52" s="228">
        <v>0.233</v>
      </c>
      <c r="R52" s="577">
        <v>0.183</v>
      </c>
      <c r="S52" s="578">
        <v>0.0178</v>
      </c>
      <c r="T52" s="577">
        <v>0.0325</v>
      </c>
      <c r="U52" s="238">
        <v>0.0518</v>
      </c>
      <c r="V52" s="578">
        <v>0.0459</v>
      </c>
      <c r="W52" s="579">
        <v>0.00241</v>
      </c>
      <c r="X52" s="579">
        <v>0.00348</v>
      </c>
      <c r="Y52" s="561" t="s">
        <v>2958</v>
      </c>
      <c r="Z52" s="564" t="s">
        <v>3015</v>
      </c>
      <c r="AA52" s="277"/>
      <c r="AB52" s="573"/>
      <c r="AC52" s="573"/>
      <c r="AD52" s="91"/>
    </row>
    <row r="53" ht="15.0" customHeight="1">
      <c r="A53" s="183" t="s">
        <v>2801</v>
      </c>
      <c r="B53" s="563" t="s">
        <v>3016</v>
      </c>
      <c r="C53" s="559" t="s">
        <v>43</v>
      </c>
      <c r="D53" s="568" t="s">
        <v>2719</v>
      </c>
      <c r="E53" s="222">
        <v>271.0</v>
      </c>
      <c r="F53" s="585">
        <v>254.0</v>
      </c>
      <c r="G53" s="587">
        <v>15.1</v>
      </c>
      <c r="H53" s="586">
        <v>1.71</v>
      </c>
      <c r="I53" s="225">
        <v>0.433</v>
      </c>
      <c r="J53" s="581">
        <v>0.366</v>
      </c>
      <c r="K53" s="577">
        <v>0.0599</v>
      </c>
      <c r="L53" s="577">
        <v>0.007</v>
      </c>
      <c r="M53" s="225">
        <v>0.00469</v>
      </c>
      <c r="N53" s="581">
        <v>0.00123</v>
      </c>
      <c r="O53" s="577">
        <v>0.00334</v>
      </c>
      <c r="P53" s="577">
        <v>1.22E-4</v>
      </c>
      <c r="Q53" s="225">
        <v>0.429</v>
      </c>
      <c r="R53" s="577">
        <v>0.365</v>
      </c>
      <c r="S53" s="577">
        <v>0.0566</v>
      </c>
      <c r="T53" s="577">
        <v>0.00688</v>
      </c>
      <c r="U53" s="228">
        <v>0.122</v>
      </c>
      <c r="V53" s="577">
        <v>0.11</v>
      </c>
      <c r="W53" s="578">
        <v>0.0113</v>
      </c>
      <c r="X53" s="579">
        <v>8.47E-4</v>
      </c>
      <c r="Y53" s="561" t="s">
        <v>2958</v>
      </c>
      <c r="Z53" s="564" t="s">
        <v>3017</v>
      </c>
      <c r="AA53" s="277"/>
      <c r="AB53" s="573"/>
      <c r="AC53" s="573"/>
      <c r="AD53" s="91"/>
    </row>
    <row r="54" ht="15.0" customHeight="1">
      <c r="A54" s="183" t="s">
        <v>2806</v>
      </c>
      <c r="B54" s="563" t="s">
        <v>3018</v>
      </c>
      <c r="C54" s="559" t="s">
        <v>43</v>
      </c>
      <c r="D54" s="568" t="s">
        <v>2719</v>
      </c>
      <c r="E54" s="237">
        <v>55.5</v>
      </c>
      <c r="F54" s="587">
        <v>29.5</v>
      </c>
      <c r="G54" s="586">
        <v>4.35</v>
      </c>
      <c r="H54" s="587">
        <v>21.7</v>
      </c>
      <c r="I54" s="225">
        <v>0.337</v>
      </c>
      <c r="J54" s="577">
        <v>0.254</v>
      </c>
      <c r="K54" s="578">
        <v>0.017</v>
      </c>
      <c r="L54" s="577">
        <v>0.0667</v>
      </c>
      <c r="M54" s="225">
        <v>0.0485</v>
      </c>
      <c r="N54" s="577">
        <v>0.0412</v>
      </c>
      <c r="O54" s="578">
        <v>0.00179</v>
      </c>
      <c r="P54" s="577">
        <v>0.00556</v>
      </c>
      <c r="Q54" s="225">
        <v>0.289</v>
      </c>
      <c r="R54" s="577">
        <v>0.212</v>
      </c>
      <c r="S54" s="578">
        <v>0.0153</v>
      </c>
      <c r="T54" s="577">
        <v>0.0611</v>
      </c>
      <c r="U54" s="238">
        <v>0.0227</v>
      </c>
      <c r="V54" s="578">
        <v>0.00841</v>
      </c>
      <c r="W54" s="579">
        <v>0.00203</v>
      </c>
      <c r="X54" s="578">
        <v>0.0123</v>
      </c>
      <c r="Y54" s="561" t="s">
        <v>2958</v>
      </c>
      <c r="Z54" s="564" t="s">
        <v>3018</v>
      </c>
      <c r="AA54" s="277"/>
      <c r="AB54" s="573"/>
      <c r="AC54" s="573"/>
      <c r="AD54" s="91"/>
    </row>
    <row r="55" ht="15.0" customHeight="1">
      <c r="A55" s="183" t="s">
        <v>2811</v>
      </c>
      <c r="B55" s="563" t="s">
        <v>3019</v>
      </c>
      <c r="C55" s="559" t="s">
        <v>43</v>
      </c>
      <c r="D55" s="568" t="s">
        <v>2719</v>
      </c>
      <c r="E55" s="237">
        <v>55.3</v>
      </c>
      <c r="F55" s="587">
        <v>38.3</v>
      </c>
      <c r="G55" s="586">
        <v>4.55</v>
      </c>
      <c r="H55" s="587">
        <v>12.5</v>
      </c>
      <c r="I55" s="225">
        <v>0.409</v>
      </c>
      <c r="J55" s="581">
        <v>0.331</v>
      </c>
      <c r="K55" s="578">
        <v>0.0212</v>
      </c>
      <c r="L55" s="577">
        <v>0.0571</v>
      </c>
      <c r="M55" s="225">
        <v>0.0589</v>
      </c>
      <c r="N55" s="581">
        <v>0.0537</v>
      </c>
      <c r="O55" s="578">
        <v>0.00242</v>
      </c>
      <c r="P55" s="577">
        <v>0.00282</v>
      </c>
      <c r="Q55" s="225">
        <v>0.35</v>
      </c>
      <c r="R55" s="581">
        <v>0.277</v>
      </c>
      <c r="S55" s="578">
        <v>0.0188</v>
      </c>
      <c r="T55" s="577">
        <v>0.0543</v>
      </c>
      <c r="U55" s="238">
        <v>0.0199</v>
      </c>
      <c r="V55" s="578">
        <v>0.0116</v>
      </c>
      <c r="W55" s="579">
        <v>0.00251</v>
      </c>
      <c r="X55" s="579">
        <v>0.00584</v>
      </c>
      <c r="Y55" s="561" t="s">
        <v>2958</v>
      </c>
      <c r="Z55" s="564" t="s">
        <v>3019</v>
      </c>
      <c r="AA55" s="277"/>
      <c r="AB55" s="573"/>
      <c r="AC55" s="573"/>
      <c r="AD55" s="91"/>
    </row>
    <row r="56" ht="15.0" customHeight="1">
      <c r="A56" s="439" t="s">
        <v>3020</v>
      </c>
      <c r="B56" s="551" t="s">
        <v>2990</v>
      </c>
      <c r="C56" s="565"/>
      <c r="D56" s="566" t="s">
        <v>2208</v>
      </c>
      <c r="E56" s="566"/>
      <c r="F56" s="566"/>
      <c r="G56" s="566"/>
      <c r="H56" s="566"/>
      <c r="I56" s="566"/>
      <c r="J56" s="566"/>
      <c r="K56" s="566"/>
      <c r="L56" s="566"/>
      <c r="M56" s="566"/>
      <c r="N56" s="566"/>
      <c r="O56" s="566"/>
      <c r="P56" s="566"/>
      <c r="Q56" s="566"/>
      <c r="R56" s="566"/>
      <c r="S56" s="566"/>
      <c r="T56" s="566"/>
      <c r="U56" s="566"/>
      <c r="V56" s="566"/>
      <c r="W56" s="566"/>
      <c r="X56" s="566"/>
      <c r="Y56" s="567"/>
      <c r="Z56" s="557" t="s">
        <v>2991</v>
      </c>
      <c r="AA56" s="277"/>
      <c r="AB56" s="573"/>
      <c r="AC56" s="573"/>
      <c r="AD56" s="91"/>
    </row>
    <row r="57" ht="15.0" customHeight="1">
      <c r="A57" s="183" t="s">
        <v>2819</v>
      </c>
      <c r="B57" s="558" t="s">
        <v>2992</v>
      </c>
      <c r="C57" s="559" t="s">
        <v>47</v>
      </c>
      <c r="D57" s="568" t="s">
        <v>2818</v>
      </c>
      <c r="E57" s="233">
        <v>2070.0</v>
      </c>
      <c r="F57" s="589">
        <v>1830.0</v>
      </c>
      <c r="G57" s="587">
        <v>90.4</v>
      </c>
      <c r="H57" s="585">
        <v>152.0</v>
      </c>
      <c r="I57" s="590">
        <v>6.46</v>
      </c>
      <c r="J57" s="580">
        <v>5.34</v>
      </c>
      <c r="K57" s="581">
        <v>0.421</v>
      </c>
      <c r="L57" s="581">
        <v>0.698</v>
      </c>
      <c r="M57" s="590">
        <v>0.0974</v>
      </c>
      <c r="N57" s="580">
        <v>0.0139</v>
      </c>
      <c r="O57" s="581">
        <v>0.0481</v>
      </c>
      <c r="P57" s="581">
        <v>0.0354</v>
      </c>
      <c r="Q57" s="590">
        <v>6.36</v>
      </c>
      <c r="R57" s="580">
        <v>5.33</v>
      </c>
      <c r="S57" s="581">
        <v>0.373</v>
      </c>
      <c r="T57" s="581">
        <v>0.663</v>
      </c>
      <c r="U57" s="591">
        <v>1.46</v>
      </c>
      <c r="V57" s="581">
        <v>1.34</v>
      </c>
      <c r="W57" s="578">
        <v>0.0499</v>
      </c>
      <c r="X57" s="578">
        <v>0.0709</v>
      </c>
      <c r="Y57" s="561" t="s">
        <v>3021</v>
      </c>
      <c r="Z57" s="562" t="s">
        <v>2992</v>
      </c>
      <c r="AA57" s="277"/>
      <c r="AB57" s="573"/>
      <c r="AC57" s="573"/>
      <c r="AD57" s="91"/>
    </row>
    <row r="58" ht="15.0" customHeight="1">
      <c r="A58" s="183" t="s">
        <v>2825</v>
      </c>
      <c r="B58" s="558" t="s">
        <v>2993</v>
      </c>
      <c r="C58" s="559" t="s">
        <v>47</v>
      </c>
      <c r="D58" s="568" t="s">
        <v>2818</v>
      </c>
      <c r="E58" s="233">
        <v>12000.0</v>
      </c>
      <c r="F58" s="589">
        <v>7130.0</v>
      </c>
      <c r="G58" s="585">
        <v>340.0</v>
      </c>
      <c r="H58" s="589">
        <v>4560.0</v>
      </c>
      <c r="I58" s="592">
        <v>69.4</v>
      </c>
      <c r="J58" s="582">
        <v>54.3</v>
      </c>
      <c r="K58" s="581">
        <v>1.49</v>
      </c>
      <c r="L58" s="580">
        <v>13.5</v>
      </c>
      <c r="M58" s="592">
        <v>24.8</v>
      </c>
      <c r="N58" s="582">
        <v>23.3</v>
      </c>
      <c r="O58" s="581">
        <v>0.158</v>
      </c>
      <c r="P58" s="580">
        <v>1.37</v>
      </c>
      <c r="Q58" s="592">
        <v>44.6</v>
      </c>
      <c r="R58" s="582">
        <v>31.1</v>
      </c>
      <c r="S58" s="581">
        <v>1.33</v>
      </c>
      <c r="T58" s="580">
        <v>12.2</v>
      </c>
      <c r="U58" s="591">
        <v>2.53</v>
      </c>
      <c r="V58" s="577">
        <v>0.281</v>
      </c>
      <c r="W58" s="577">
        <v>0.219</v>
      </c>
      <c r="X58" s="581">
        <v>2.03</v>
      </c>
      <c r="Y58" s="561" t="s">
        <v>3021</v>
      </c>
      <c r="Z58" s="562" t="s">
        <v>2994</v>
      </c>
      <c r="AA58" s="277"/>
      <c r="AB58" s="573"/>
      <c r="AC58" s="573"/>
      <c r="AD58" s="91"/>
    </row>
    <row r="59" ht="15.0" customHeight="1">
      <c r="A59" s="183" t="s">
        <v>2831</v>
      </c>
      <c r="B59" s="558" t="s">
        <v>2995</v>
      </c>
      <c r="C59" s="559" t="s">
        <v>47</v>
      </c>
      <c r="D59" s="568" t="s">
        <v>2818</v>
      </c>
      <c r="E59" s="233">
        <v>19600.0</v>
      </c>
      <c r="F59" s="589">
        <v>14700.0</v>
      </c>
      <c r="G59" s="585">
        <v>601.0</v>
      </c>
      <c r="H59" s="589">
        <v>4360.0</v>
      </c>
      <c r="I59" s="592">
        <v>89.4</v>
      </c>
      <c r="J59" s="582">
        <v>79.1</v>
      </c>
      <c r="K59" s="581">
        <v>2.09</v>
      </c>
      <c r="L59" s="580">
        <v>8.13</v>
      </c>
      <c r="M59" s="592">
        <v>5.56</v>
      </c>
      <c r="N59" s="582">
        <v>5.11</v>
      </c>
      <c r="O59" s="581">
        <v>0.138</v>
      </c>
      <c r="P59" s="580">
        <v>0.317</v>
      </c>
      <c r="Q59" s="592">
        <v>83.8</v>
      </c>
      <c r="R59" s="582">
        <v>74.0</v>
      </c>
      <c r="S59" s="581">
        <v>1.95</v>
      </c>
      <c r="T59" s="580">
        <v>7.81</v>
      </c>
      <c r="U59" s="590">
        <v>19.2</v>
      </c>
      <c r="V59" s="580">
        <v>16.7</v>
      </c>
      <c r="W59" s="577">
        <v>0.403</v>
      </c>
      <c r="X59" s="577">
        <v>2.17</v>
      </c>
      <c r="Y59" s="561" t="s">
        <v>3021</v>
      </c>
      <c r="Z59" s="562" t="s">
        <v>2996</v>
      </c>
      <c r="AA59" s="277"/>
      <c r="AB59" s="573"/>
      <c r="AC59" s="573"/>
      <c r="AD59" s="91"/>
    </row>
    <row r="60" ht="15.0" customHeight="1">
      <c r="A60" s="372" t="s">
        <v>2837</v>
      </c>
      <c r="B60" s="558" t="s">
        <v>2960</v>
      </c>
      <c r="C60" s="559" t="s">
        <v>47</v>
      </c>
      <c r="D60" s="568" t="s">
        <v>2818</v>
      </c>
      <c r="E60" s="233">
        <v>44000.0</v>
      </c>
      <c r="F60" s="589">
        <v>38900.0</v>
      </c>
      <c r="G60" s="587">
        <v>128.0</v>
      </c>
      <c r="H60" s="589">
        <v>4980.0</v>
      </c>
      <c r="I60" s="592">
        <v>173.0</v>
      </c>
      <c r="J60" s="582">
        <v>146.0</v>
      </c>
      <c r="K60" s="577">
        <v>0.596</v>
      </c>
      <c r="L60" s="580">
        <v>26.5</v>
      </c>
      <c r="M60" s="592">
        <v>2.15</v>
      </c>
      <c r="N60" s="582">
        <v>0.37</v>
      </c>
      <c r="O60" s="577">
        <v>0.0504</v>
      </c>
      <c r="P60" s="580">
        <v>1.73</v>
      </c>
      <c r="Q60" s="592">
        <v>171.0</v>
      </c>
      <c r="R60" s="582">
        <v>145.0</v>
      </c>
      <c r="S60" s="577">
        <v>0.545</v>
      </c>
      <c r="T60" s="580">
        <v>24.7</v>
      </c>
      <c r="U60" s="590">
        <v>41.2</v>
      </c>
      <c r="V60" s="580">
        <v>36.2</v>
      </c>
      <c r="W60" s="578">
        <v>0.118</v>
      </c>
      <c r="X60" s="581">
        <v>4.86</v>
      </c>
      <c r="Y60" s="561" t="s">
        <v>3021</v>
      </c>
      <c r="Z60" s="562" t="s">
        <v>2997</v>
      </c>
      <c r="AA60" s="277"/>
      <c r="AB60" s="573"/>
      <c r="AC60" s="573"/>
      <c r="AD60" s="91"/>
    </row>
    <row r="61" ht="15.0" customHeight="1">
      <c r="A61" s="183" t="s">
        <v>2842</v>
      </c>
      <c r="B61" s="558" t="s">
        <v>2962</v>
      </c>
      <c r="C61" s="559" t="s">
        <v>47</v>
      </c>
      <c r="D61" s="568" t="s">
        <v>2818</v>
      </c>
      <c r="E61" s="233">
        <v>15200.0</v>
      </c>
      <c r="F61" s="589">
        <v>12000.0</v>
      </c>
      <c r="G61" s="587">
        <v>35.4</v>
      </c>
      <c r="H61" s="589">
        <v>3160.0</v>
      </c>
      <c r="I61" s="592">
        <v>61.9</v>
      </c>
      <c r="J61" s="582">
        <v>45.0</v>
      </c>
      <c r="K61" s="577">
        <v>0.165</v>
      </c>
      <c r="L61" s="580">
        <v>16.8</v>
      </c>
      <c r="M61" s="592">
        <v>1.23</v>
      </c>
      <c r="N61" s="582">
        <v>0.114</v>
      </c>
      <c r="O61" s="577">
        <v>0.013</v>
      </c>
      <c r="P61" s="580">
        <v>1.1</v>
      </c>
      <c r="Q61" s="592">
        <v>60.7</v>
      </c>
      <c r="R61" s="582">
        <v>44.9</v>
      </c>
      <c r="S61" s="577">
        <v>0.152</v>
      </c>
      <c r="T61" s="580">
        <v>15.7</v>
      </c>
      <c r="U61" s="590">
        <v>14.3</v>
      </c>
      <c r="V61" s="580">
        <v>11.2</v>
      </c>
      <c r="W61" s="578">
        <v>0.0332</v>
      </c>
      <c r="X61" s="581">
        <v>3.08</v>
      </c>
      <c r="Y61" s="561" t="s">
        <v>3021</v>
      </c>
      <c r="Z61" s="562" t="s">
        <v>2998</v>
      </c>
      <c r="AA61" s="277"/>
      <c r="AB61" s="573"/>
      <c r="AC61" s="573"/>
      <c r="AD61" s="91"/>
    </row>
    <row r="62" ht="15.0" customHeight="1">
      <c r="A62" s="183" t="s">
        <v>2848</v>
      </c>
      <c r="B62" s="558" t="s">
        <v>2964</v>
      </c>
      <c r="C62" s="559" t="s">
        <v>47</v>
      </c>
      <c r="D62" s="568" t="s">
        <v>2818</v>
      </c>
      <c r="E62" s="233">
        <v>38600.0</v>
      </c>
      <c r="F62" s="589">
        <v>37600.0</v>
      </c>
      <c r="G62" s="587">
        <v>60.6</v>
      </c>
      <c r="H62" s="585">
        <v>906.0</v>
      </c>
      <c r="I62" s="592">
        <v>146.0</v>
      </c>
      <c r="J62" s="582">
        <v>141.0</v>
      </c>
      <c r="K62" s="581">
        <v>0.282</v>
      </c>
      <c r="L62" s="580">
        <v>4.82</v>
      </c>
      <c r="M62" s="592">
        <v>0.695</v>
      </c>
      <c r="N62" s="582">
        <v>0.357</v>
      </c>
      <c r="O62" s="581">
        <v>0.0234</v>
      </c>
      <c r="P62" s="580">
        <v>0.315</v>
      </c>
      <c r="Q62" s="592">
        <v>145.0</v>
      </c>
      <c r="R62" s="582">
        <v>140.0</v>
      </c>
      <c r="S62" s="581">
        <v>0.259</v>
      </c>
      <c r="T62" s="580">
        <v>4.5</v>
      </c>
      <c r="U62" s="590">
        <v>35.9</v>
      </c>
      <c r="V62" s="580">
        <v>35.0</v>
      </c>
      <c r="W62" s="578">
        <v>0.0564</v>
      </c>
      <c r="X62" s="577">
        <v>0.884</v>
      </c>
      <c r="Y62" s="561" t="s">
        <v>3021</v>
      </c>
      <c r="Z62" s="562" t="s">
        <v>2999</v>
      </c>
      <c r="AA62" s="277"/>
      <c r="AB62" s="573"/>
      <c r="AC62" s="573"/>
      <c r="AD62" s="91"/>
    </row>
    <row r="63" ht="15.0" customHeight="1">
      <c r="A63" s="183" t="s">
        <v>2854</v>
      </c>
      <c r="B63" s="558" t="s">
        <v>3000</v>
      </c>
      <c r="C63" s="559" t="s">
        <v>47</v>
      </c>
      <c r="D63" s="568" t="s">
        <v>2818</v>
      </c>
      <c r="E63" s="222">
        <v>347.0</v>
      </c>
      <c r="F63" s="585">
        <v>256.0</v>
      </c>
      <c r="G63" s="587">
        <v>56.7</v>
      </c>
      <c r="H63" s="587">
        <v>34.0</v>
      </c>
      <c r="I63" s="591">
        <v>1.47</v>
      </c>
      <c r="J63" s="581">
        <v>1.06</v>
      </c>
      <c r="K63" s="577">
        <v>0.195</v>
      </c>
      <c r="L63" s="577">
        <v>0.217</v>
      </c>
      <c r="M63" s="591">
        <v>0.0421</v>
      </c>
      <c r="N63" s="581">
        <v>0.00341</v>
      </c>
      <c r="O63" s="577">
        <v>0.0115</v>
      </c>
      <c r="P63" s="577">
        <v>0.0272</v>
      </c>
      <c r="Q63" s="591">
        <v>1.43</v>
      </c>
      <c r="R63" s="581">
        <v>1.06</v>
      </c>
      <c r="S63" s="577">
        <v>0.183</v>
      </c>
      <c r="T63" s="577">
        <v>0.19</v>
      </c>
      <c r="U63" s="593">
        <v>0.313</v>
      </c>
      <c r="V63" s="577">
        <v>0.266</v>
      </c>
      <c r="W63" s="578">
        <v>0.0343</v>
      </c>
      <c r="X63" s="578">
        <v>0.0126</v>
      </c>
      <c r="Y63" s="561" t="s">
        <v>3021</v>
      </c>
      <c r="Z63" s="562" t="s">
        <v>3001</v>
      </c>
      <c r="AA63" s="277"/>
      <c r="AB63" s="573"/>
      <c r="AC63" s="573"/>
      <c r="AD63" s="91"/>
    </row>
    <row r="64" ht="15.0" customHeight="1">
      <c r="A64" s="183" t="s">
        <v>2859</v>
      </c>
      <c r="B64" s="563" t="s">
        <v>3002</v>
      </c>
      <c r="C64" s="559" t="s">
        <v>47</v>
      </c>
      <c r="D64" s="568" t="s">
        <v>2818</v>
      </c>
      <c r="E64" s="222">
        <v>353.0</v>
      </c>
      <c r="F64" s="585">
        <v>262.0</v>
      </c>
      <c r="G64" s="587">
        <v>56.7</v>
      </c>
      <c r="H64" s="587">
        <v>34.0</v>
      </c>
      <c r="I64" s="591">
        <v>1.5</v>
      </c>
      <c r="J64" s="581">
        <v>1.08</v>
      </c>
      <c r="K64" s="577">
        <v>0.195</v>
      </c>
      <c r="L64" s="577">
        <v>0.217</v>
      </c>
      <c r="M64" s="591">
        <v>0.0423</v>
      </c>
      <c r="N64" s="581">
        <v>0.00361</v>
      </c>
      <c r="O64" s="577">
        <v>0.0115</v>
      </c>
      <c r="P64" s="577">
        <v>0.0272</v>
      </c>
      <c r="Q64" s="591">
        <v>1.45</v>
      </c>
      <c r="R64" s="581">
        <v>1.08</v>
      </c>
      <c r="S64" s="577">
        <v>0.183</v>
      </c>
      <c r="T64" s="577">
        <v>0.19</v>
      </c>
      <c r="U64" s="593">
        <v>0.319</v>
      </c>
      <c r="V64" s="577">
        <v>0.272</v>
      </c>
      <c r="W64" s="578">
        <v>0.0343</v>
      </c>
      <c r="X64" s="578">
        <v>0.0126</v>
      </c>
      <c r="Y64" s="561" t="s">
        <v>3021</v>
      </c>
      <c r="Z64" s="564" t="s">
        <v>3003</v>
      </c>
      <c r="AA64" s="277"/>
      <c r="AB64" s="573"/>
      <c r="AC64" s="573"/>
      <c r="AD64" s="91"/>
    </row>
    <row r="65" ht="15.0" customHeight="1">
      <c r="A65" s="183" t="s">
        <v>2865</v>
      </c>
      <c r="B65" s="563" t="s">
        <v>3004</v>
      </c>
      <c r="C65" s="559" t="s">
        <v>47</v>
      </c>
      <c r="D65" s="568" t="s">
        <v>2818</v>
      </c>
      <c r="E65" s="222">
        <v>247.0</v>
      </c>
      <c r="F65" s="585">
        <v>152.0</v>
      </c>
      <c r="G65" s="587">
        <v>57.0</v>
      </c>
      <c r="H65" s="587">
        <v>37.6</v>
      </c>
      <c r="I65" s="225">
        <v>0.765</v>
      </c>
      <c r="J65" s="581">
        <v>0.329</v>
      </c>
      <c r="K65" s="577">
        <v>0.196</v>
      </c>
      <c r="L65" s="577">
        <v>0.24</v>
      </c>
      <c r="M65" s="225">
        <v>0.0765</v>
      </c>
      <c r="N65" s="581">
        <v>0.0349</v>
      </c>
      <c r="O65" s="577">
        <v>0.0115</v>
      </c>
      <c r="P65" s="577">
        <v>0.0301</v>
      </c>
      <c r="Q65" s="225">
        <v>0.688</v>
      </c>
      <c r="R65" s="577">
        <v>0.294</v>
      </c>
      <c r="S65" s="577">
        <v>0.185</v>
      </c>
      <c r="T65" s="577">
        <v>0.21</v>
      </c>
      <c r="U65" s="594">
        <v>0.157</v>
      </c>
      <c r="V65" s="577">
        <v>0.109</v>
      </c>
      <c r="W65" s="578">
        <v>0.0345</v>
      </c>
      <c r="X65" s="578">
        <v>0.0139</v>
      </c>
      <c r="Y65" s="561" t="s">
        <v>3021</v>
      </c>
      <c r="Z65" s="564" t="s">
        <v>3005</v>
      </c>
      <c r="AA65" s="277"/>
      <c r="AB65" s="573"/>
      <c r="AC65" s="573"/>
      <c r="AD65" s="91"/>
    </row>
    <row r="66" ht="15.0" customHeight="1">
      <c r="A66" s="183" t="s">
        <v>2870</v>
      </c>
      <c r="B66" s="563" t="s">
        <v>3006</v>
      </c>
      <c r="C66" s="559" t="s">
        <v>47</v>
      </c>
      <c r="D66" s="568" t="s">
        <v>2818</v>
      </c>
      <c r="E66" s="222">
        <v>316.0</v>
      </c>
      <c r="F66" s="585">
        <v>226.0</v>
      </c>
      <c r="G66" s="587">
        <v>56.7</v>
      </c>
      <c r="H66" s="587">
        <v>34.0</v>
      </c>
      <c r="I66" s="591">
        <v>1.35</v>
      </c>
      <c r="J66" s="581">
        <v>0.935</v>
      </c>
      <c r="K66" s="577">
        <v>0.195</v>
      </c>
      <c r="L66" s="577">
        <v>0.217</v>
      </c>
      <c r="M66" s="591">
        <v>0.0411</v>
      </c>
      <c r="N66" s="581">
        <v>0.00243</v>
      </c>
      <c r="O66" s="577">
        <v>0.0115</v>
      </c>
      <c r="P66" s="577">
        <v>0.0272</v>
      </c>
      <c r="Q66" s="591">
        <v>1.31</v>
      </c>
      <c r="R66" s="581">
        <v>0.933</v>
      </c>
      <c r="S66" s="577">
        <v>0.183</v>
      </c>
      <c r="T66" s="577">
        <v>0.19</v>
      </c>
      <c r="U66" s="593">
        <v>0.281</v>
      </c>
      <c r="V66" s="577">
        <v>0.235</v>
      </c>
      <c r="W66" s="578">
        <v>0.0343</v>
      </c>
      <c r="X66" s="578">
        <v>0.0126</v>
      </c>
      <c r="Y66" s="561" t="s">
        <v>3021</v>
      </c>
      <c r="Z66" s="564" t="s">
        <v>3007</v>
      </c>
      <c r="AA66" s="277"/>
      <c r="AB66" s="573"/>
      <c r="AC66" s="573"/>
      <c r="AD66" s="91"/>
    </row>
    <row r="67" ht="15.0" customHeight="1">
      <c r="A67" s="183" t="s">
        <v>2876</v>
      </c>
      <c r="B67" s="563" t="s">
        <v>3008</v>
      </c>
      <c r="C67" s="559" t="s">
        <v>47</v>
      </c>
      <c r="D67" s="568" t="s">
        <v>2818</v>
      </c>
      <c r="E67" s="222">
        <v>261.0</v>
      </c>
      <c r="F67" s="585">
        <v>87.6</v>
      </c>
      <c r="G67" s="587">
        <v>131.0</v>
      </c>
      <c r="H67" s="587">
        <v>41.9</v>
      </c>
      <c r="I67" s="225">
        <v>1.18</v>
      </c>
      <c r="J67" s="581">
        <v>0.601</v>
      </c>
      <c r="K67" s="577">
        <v>0.312</v>
      </c>
      <c r="L67" s="577">
        <v>0.268</v>
      </c>
      <c r="M67" s="225">
        <v>0.151</v>
      </c>
      <c r="N67" s="581">
        <v>0.0976</v>
      </c>
      <c r="O67" s="577">
        <v>0.0201</v>
      </c>
      <c r="P67" s="577">
        <v>0.0335</v>
      </c>
      <c r="Q67" s="225">
        <v>1.03</v>
      </c>
      <c r="R67" s="577">
        <v>0.503</v>
      </c>
      <c r="S67" s="577">
        <v>0.292</v>
      </c>
      <c r="T67" s="577">
        <v>0.234</v>
      </c>
      <c r="U67" s="594">
        <v>0.0934</v>
      </c>
      <c r="V67" s="577">
        <v>0.0204</v>
      </c>
      <c r="W67" s="578">
        <v>0.0576</v>
      </c>
      <c r="X67" s="578">
        <v>0.0155</v>
      </c>
      <c r="Y67" s="561" t="s">
        <v>3021</v>
      </c>
      <c r="Z67" s="564" t="s">
        <v>3022</v>
      </c>
      <c r="AA67" s="277"/>
      <c r="AB67" s="573"/>
      <c r="AC67" s="573"/>
      <c r="AD67" s="91"/>
    </row>
    <row r="68" ht="15.0" customHeight="1">
      <c r="A68" s="183" t="s">
        <v>2881</v>
      </c>
      <c r="B68" s="563" t="s">
        <v>3010</v>
      </c>
      <c r="C68" s="559" t="s">
        <v>47</v>
      </c>
      <c r="D68" s="568" t="s">
        <v>2818</v>
      </c>
      <c r="E68" s="222">
        <v>275.0</v>
      </c>
      <c r="F68" s="585">
        <v>180.0</v>
      </c>
      <c r="G68" s="587">
        <v>57.0</v>
      </c>
      <c r="H68" s="587">
        <v>37.6</v>
      </c>
      <c r="I68" s="225">
        <v>1.46</v>
      </c>
      <c r="J68" s="581">
        <v>1.02</v>
      </c>
      <c r="K68" s="577">
        <v>0.196</v>
      </c>
      <c r="L68" s="577">
        <v>0.24</v>
      </c>
      <c r="M68" s="225">
        <v>0.0499</v>
      </c>
      <c r="N68" s="581">
        <v>0.0083</v>
      </c>
      <c r="O68" s="577">
        <v>0.0115</v>
      </c>
      <c r="P68" s="577">
        <v>0.0301</v>
      </c>
      <c r="Q68" s="225">
        <v>1.41</v>
      </c>
      <c r="R68" s="577">
        <v>1.02</v>
      </c>
      <c r="S68" s="577">
        <v>0.185</v>
      </c>
      <c r="T68" s="577">
        <v>0.21</v>
      </c>
      <c r="U68" s="594">
        <v>0.256</v>
      </c>
      <c r="V68" s="577">
        <v>0.207</v>
      </c>
      <c r="W68" s="578">
        <v>0.0345</v>
      </c>
      <c r="X68" s="578">
        <v>0.0139</v>
      </c>
      <c r="Y68" s="561" t="s">
        <v>3021</v>
      </c>
      <c r="Z68" s="564" t="s">
        <v>3011</v>
      </c>
      <c r="AA68" s="277"/>
      <c r="AB68" s="573"/>
      <c r="AC68" s="573"/>
      <c r="AD68" s="91"/>
    </row>
    <row r="69" ht="15.0" customHeight="1">
      <c r="A69" s="183" t="s">
        <v>2887</v>
      </c>
      <c r="B69" s="563" t="s">
        <v>3012</v>
      </c>
      <c r="C69" s="559" t="s">
        <v>47</v>
      </c>
      <c r="D69" s="568" t="s">
        <v>2818</v>
      </c>
      <c r="E69" s="233">
        <v>2380.0</v>
      </c>
      <c r="F69" s="589">
        <v>1500.0</v>
      </c>
      <c r="G69" s="585">
        <v>134.0</v>
      </c>
      <c r="H69" s="585">
        <v>750.0</v>
      </c>
      <c r="I69" s="590">
        <v>16.6</v>
      </c>
      <c r="J69" s="580">
        <v>14.0</v>
      </c>
      <c r="K69" s="581">
        <v>0.339</v>
      </c>
      <c r="L69" s="581">
        <v>2.23</v>
      </c>
      <c r="M69" s="590">
        <v>6.28</v>
      </c>
      <c r="N69" s="580">
        <v>5.99</v>
      </c>
      <c r="O69" s="581">
        <v>0.0592</v>
      </c>
      <c r="P69" s="581">
        <v>0.226</v>
      </c>
      <c r="Q69" s="590">
        <v>10.3</v>
      </c>
      <c r="R69" s="580">
        <v>8.01</v>
      </c>
      <c r="S69" s="581">
        <v>0.28</v>
      </c>
      <c r="T69" s="581">
        <v>2.0</v>
      </c>
      <c r="U69" s="593">
        <v>0.456</v>
      </c>
      <c r="V69" s="578">
        <v>0.0725</v>
      </c>
      <c r="W69" s="578">
        <v>0.05</v>
      </c>
      <c r="X69" s="577">
        <v>0.333</v>
      </c>
      <c r="Y69" s="561" t="s">
        <v>3021</v>
      </c>
      <c r="Z69" s="564" t="s">
        <v>3013</v>
      </c>
      <c r="AA69" s="277"/>
      <c r="AB69" s="573"/>
      <c r="AC69" s="573"/>
      <c r="AD69" s="91"/>
    </row>
    <row r="70" ht="15.0" customHeight="1">
      <c r="A70" s="183" t="s">
        <v>2893</v>
      </c>
      <c r="B70" s="563" t="s">
        <v>3014</v>
      </c>
      <c r="C70" s="559" t="s">
        <v>47</v>
      </c>
      <c r="D70" s="568" t="s">
        <v>2818</v>
      </c>
      <c r="E70" s="233">
        <v>1610.0</v>
      </c>
      <c r="F70" s="589">
        <v>1360.0</v>
      </c>
      <c r="G70" s="585">
        <v>90.8</v>
      </c>
      <c r="H70" s="585">
        <v>156.0</v>
      </c>
      <c r="I70" s="590">
        <v>4.99</v>
      </c>
      <c r="J70" s="580">
        <v>3.85</v>
      </c>
      <c r="K70" s="581">
        <v>0.421</v>
      </c>
      <c r="L70" s="581">
        <v>0.717</v>
      </c>
      <c r="M70" s="590">
        <v>0.0939</v>
      </c>
      <c r="N70" s="580">
        <v>0.01</v>
      </c>
      <c r="O70" s="581">
        <v>0.0481</v>
      </c>
      <c r="P70" s="581">
        <v>0.0358</v>
      </c>
      <c r="Q70" s="590">
        <v>4.9</v>
      </c>
      <c r="R70" s="580">
        <v>3.84</v>
      </c>
      <c r="S70" s="581">
        <v>0.373</v>
      </c>
      <c r="T70" s="581">
        <v>0.682</v>
      </c>
      <c r="U70" s="591">
        <v>1.09</v>
      </c>
      <c r="V70" s="577">
        <v>0.965</v>
      </c>
      <c r="W70" s="578">
        <v>0.0506</v>
      </c>
      <c r="X70" s="578">
        <v>0.0732</v>
      </c>
      <c r="Y70" s="561" t="s">
        <v>3021</v>
      </c>
      <c r="Z70" s="564" t="s">
        <v>3015</v>
      </c>
      <c r="AA70" s="277"/>
      <c r="AB70" s="573"/>
      <c r="AC70" s="573"/>
      <c r="AD70" s="91"/>
    </row>
    <row r="71" ht="15.0" customHeight="1">
      <c r="A71" s="183" t="s">
        <v>2898</v>
      </c>
      <c r="B71" s="563" t="s">
        <v>3016</v>
      </c>
      <c r="C71" s="559" t="s">
        <v>47</v>
      </c>
      <c r="D71" s="568" t="s">
        <v>2818</v>
      </c>
      <c r="E71" s="222">
        <v>298.0</v>
      </c>
      <c r="F71" s="585">
        <v>280.0</v>
      </c>
      <c r="G71" s="587">
        <v>16.6</v>
      </c>
      <c r="H71" s="586">
        <v>1.88</v>
      </c>
      <c r="I71" s="225">
        <v>0.477</v>
      </c>
      <c r="J71" s="581">
        <v>0.403</v>
      </c>
      <c r="K71" s="577">
        <v>0.0659</v>
      </c>
      <c r="L71" s="577">
        <v>0.0077</v>
      </c>
      <c r="M71" s="225">
        <v>0.00516</v>
      </c>
      <c r="N71" s="581">
        <v>0.00136</v>
      </c>
      <c r="O71" s="577">
        <v>0.00367</v>
      </c>
      <c r="P71" s="577">
        <v>1.34E-4</v>
      </c>
      <c r="Q71" s="225">
        <v>0.471</v>
      </c>
      <c r="R71" s="577">
        <v>0.402</v>
      </c>
      <c r="S71" s="577">
        <v>0.0622</v>
      </c>
      <c r="T71" s="577">
        <v>0.00757</v>
      </c>
      <c r="U71" s="594">
        <v>0.135</v>
      </c>
      <c r="V71" s="577">
        <v>0.121</v>
      </c>
      <c r="W71" s="578">
        <v>0.0124</v>
      </c>
      <c r="X71" s="578">
        <v>9.32E-4</v>
      </c>
      <c r="Y71" s="561" t="s">
        <v>3021</v>
      </c>
      <c r="Z71" s="564" t="s">
        <v>3017</v>
      </c>
      <c r="AA71" s="277"/>
      <c r="AB71" s="573"/>
      <c r="AC71" s="573"/>
      <c r="AD71" s="91"/>
    </row>
    <row r="72" ht="15.0" customHeight="1">
      <c r="A72" s="183" t="s">
        <v>2902</v>
      </c>
      <c r="B72" s="563" t="s">
        <v>3018</v>
      </c>
      <c r="C72" s="559" t="s">
        <v>47</v>
      </c>
      <c r="D72" s="568" t="s">
        <v>2818</v>
      </c>
      <c r="E72" s="233">
        <v>2940.0</v>
      </c>
      <c r="F72" s="589">
        <v>1560.0</v>
      </c>
      <c r="G72" s="585">
        <v>230.0</v>
      </c>
      <c r="H72" s="589">
        <v>1150.0</v>
      </c>
      <c r="I72" s="590">
        <v>17.8</v>
      </c>
      <c r="J72" s="580">
        <v>13.4</v>
      </c>
      <c r="K72" s="581">
        <v>0.901</v>
      </c>
      <c r="L72" s="580">
        <v>3.53</v>
      </c>
      <c r="M72" s="590">
        <v>2.57</v>
      </c>
      <c r="N72" s="580">
        <v>2.18</v>
      </c>
      <c r="O72" s="581">
        <v>0.0946</v>
      </c>
      <c r="P72" s="580">
        <v>0.294</v>
      </c>
      <c r="Q72" s="590">
        <v>15.3</v>
      </c>
      <c r="R72" s="580">
        <v>11.2</v>
      </c>
      <c r="S72" s="581">
        <v>0.807</v>
      </c>
      <c r="T72" s="580">
        <v>3.23</v>
      </c>
      <c r="U72" s="591">
        <v>1.2</v>
      </c>
      <c r="V72" s="577">
        <v>0.445</v>
      </c>
      <c r="W72" s="577">
        <v>0.107</v>
      </c>
      <c r="X72" s="577">
        <v>0.65</v>
      </c>
      <c r="Y72" s="561" t="s">
        <v>3021</v>
      </c>
      <c r="Z72" s="564" t="s">
        <v>3018</v>
      </c>
      <c r="AA72" s="277"/>
      <c r="AB72" s="573"/>
      <c r="AC72" s="573"/>
      <c r="AD72" s="91"/>
    </row>
    <row r="73" ht="15.0" customHeight="1">
      <c r="A73" s="183" t="s">
        <v>2906</v>
      </c>
      <c r="B73" s="563" t="s">
        <v>3019</v>
      </c>
      <c r="C73" s="559" t="s">
        <v>47</v>
      </c>
      <c r="D73" s="568" t="s">
        <v>2818</v>
      </c>
      <c r="E73" s="233">
        <v>1440.0</v>
      </c>
      <c r="F73" s="589">
        <v>996.0</v>
      </c>
      <c r="G73" s="585">
        <v>118.0</v>
      </c>
      <c r="H73" s="585">
        <v>324.0</v>
      </c>
      <c r="I73" s="590">
        <v>10.6</v>
      </c>
      <c r="J73" s="580">
        <v>8.59</v>
      </c>
      <c r="K73" s="581">
        <v>0.551</v>
      </c>
      <c r="L73" s="581">
        <v>1.48</v>
      </c>
      <c r="M73" s="590">
        <v>1.53</v>
      </c>
      <c r="N73" s="580">
        <v>1.4</v>
      </c>
      <c r="O73" s="581">
        <v>0.063</v>
      </c>
      <c r="P73" s="581">
        <v>0.0733</v>
      </c>
      <c r="Q73" s="590">
        <v>9.1</v>
      </c>
      <c r="R73" s="580">
        <v>7.2</v>
      </c>
      <c r="S73" s="581">
        <v>0.488</v>
      </c>
      <c r="T73" s="581">
        <v>1.41</v>
      </c>
      <c r="U73" s="593">
        <v>0.518</v>
      </c>
      <c r="V73" s="577">
        <v>0.301</v>
      </c>
      <c r="W73" s="578">
        <v>0.0653</v>
      </c>
      <c r="X73" s="577">
        <v>0.152</v>
      </c>
      <c r="Y73" s="561" t="s">
        <v>3021</v>
      </c>
      <c r="Z73" s="564" t="s">
        <v>3019</v>
      </c>
      <c r="AA73" s="277"/>
      <c r="AB73" s="573"/>
      <c r="AC73" s="573"/>
      <c r="AD73" s="91"/>
    </row>
    <row r="74" ht="13.5" customHeight="1">
      <c r="A74" s="91"/>
      <c r="B74" s="595" t="s">
        <v>2208</v>
      </c>
      <c r="C74" s="596"/>
      <c r="D74" s="596" t="s">
        <v>2208</v>
      </c>
      <c r="E74" s="596" t="s">
        <v>2208</v>
      </c>
      <c r="F74" s="596" t="s">
        <v>2208</v>
      </c>
      <c r="G74" s="596" t="s">
        <v>2208</v>
      </c>
      <c r="H74" s="596"/>
      <c r="I74" s="596" t="s">
        <v>2208</v>
      </c>
      <c r="J74" s="596" t="s">
        <v>2208</v>
      </c>
      <c r="K74" s="596" t="s">
        <v>2208</v>
      </c>
      <c r="L74" s="596"/>
      <c r="M74" s="596" t="s">
        <v>2208</v>
      </c>
      <c r="N74" s="596" t="s">
        <v>2208</v>
      </c>
      <c r="O74" s="596" t="s">
        <v>2208</v>
      </c>
      <c r="P74" s="596"/>
      <c r="Q74" s="597" t="s">
        <v>2208</v>
      </c>
      <c r="R74" s="596" t="s">
        <v>2208</v>
      </c>
      <c r="S74" s="596" t="s">
        <v>2208</v>
      </c>
      <c r="T74" s="596"/>
      <c r="U74" s="596" t="s">
        <v>2208</v>
      </c>
      <c r="V74" s="596" t="s">
        <v>2208</v>
      </c>
      <c r="W74" s="596" t="s">
        <v>2208</v>
      </c>
      <c r="X74" s="596"/>
      <c r="Y74" s="598"/>
      <c r="Z74" s="599" t="s">
        <v>2208</v>
      </c>
      <c r="AA74" s="277"/>
      <c r="AB74" s="277"/>
      <c r="AC74" s="277"/>
      <c r="AD74" s="91"/>
    </row>
    <row r="75" ht="13.5" customHeight="1">
      <c r="A75" s="91"/>
      <c r="B75" s="595" t="s">
        <v>2208</v>
      </c>
      <c r="C75" s="596"/>
      <c r="D75" s="596" t="s">
        <v>2208</v>
      </c>
      <c r="E75" s="596" t="s">
        <v>2208</v>
      </c>
      <c r="F75" s="596" t="s">
        <v>2208</v>
      </c>
      <c r="G75" s="596" t="s">
        <v>2208</v>
      </c>
      <c r="H75" s="596"/>
      <c r="I75" s="596" t="s">
        <v>2208</v>
      </c>
      <c r="J75" s="596" t="s">
        <v>2208</v>
      </c>
      <c r="K75" s="596" t="s">
        <v>2208</v>
      </c>
      <c r="L75" s="596"/>
      <c r="M75" s="596" t="s">
        <v>2208</v>
      </c>
      <c r="N75" s="596" t="s">
        <v>2208</v>
      </c>
      <c r="O75" s="596" t="s">
        <v>2208</v>
      </c>
      <c r="P75" s="596"/>
      <c r="Q75" s="597" t="s">
        <v>2208</v>
      </c>
      <c r="R75" s="596" t="s">
        <v>2208</v>
      </c>
      <c r="S75" s="596" t="s">
        <v>2208</v>
      </c>
      <c r="T75" s="596"/>
      <c r="U75" s="596" t="s">
        <v>2208</v>
      </c>
      <c r="V75" s="596" t="s">
        <v>2208</v>
      </c>
      <c r="W75" s="596" t="s">
        <v>2208</v>
      </c>
      <c r="X75" s="596"/>
      <c r="Y75" s="598"/>
      <c r="Z75" s="599" t="s">
        <v>2208</v>
      </c>
      <c r="AA75" s="277"/>
      <c r="AB75" s="277"/>
      <c r="AC75" s="277"/>
      <c r="AD75" s="91"/>
    </row>
    <row r="76" ht="13.5" customHeight="1">
      <c r="A76" s="91"/>
      <c r="B76" s="595" t="s">
        <v>2208</v>
      </c>
      <c r="C76" s="596"/>
      <c r="D76" s="596" t="s">
        <v>2208</v>
      </c>
      <c r="E76" s="596" t="s">
        <v>2208</v>
      </c>
      <c r="F76" s="596" t="s">
        <v>2208</v>
      </c>
      <c r="G76" s="596" t="s">
        <v>2208</v>
      </c>
      <c r="H76" s="596"/>
      <c r="I76" s="596" t="s">
        <v>2208</v>
      </c>
      <c r="J76" s="596" t="s">
        <v>2208</v>
      </c>
      <c r="K76" s="596" t="s">
        <v>2208</v>
      </c>
      <c r="L76" s="596"/>
      <c r="M76" s="596" t="s">
        <v>2208</v>
      </c>
      <c r="N76" s="596" t="s">
        <v>2208</v>
      </c>
      <c r="O76" s="596" t="s">
        <v>2208</v>
      </c>
      <c r="P76" s="596"/>
      <c r="Q76" s="597" t="s">
        <v>2208</v>
      </c>
      <c r="R76" s="596" t="s">
        <v>2208</v>
      </c>
      <c r="S76" s="596" t="s">
        <v>2208</v>
      </c>
      <c r="T76" s="596"/>
      <c r="U76" s="596" t="s">
        <v>2208</v>
      </c>
      <c r="V76" s="596" t="s">
        <v>2208</v>
      </c>
      <c r="W76" s="596" t="s">
        <v>2208</v>
      </c>
      <c r="X76" s="596"/>
      <c r="Y76" s="598"/>
      <c r="Z76" s="599" t="s">
        <v>2208</v>
      </c>
      <c r="AA76" s="277"/>
      <c r="AB76" s="277"/>
      <c r="AC76" s="277"/>
      <c r="AD76" s="91"/>
    </row>
    <row r="77" ht="13.5" customHeight="1">
      <c r="A77" s="91"/>
      <c r="B77" s="595" t="s">
        <v>2208</v>
      </c>
      <c r="C77" s="596"/>
      <c r="D77" s="596" t="s">
        <v>2208</v>
      </c>
      <c r="E77" s="596" t="s">
        <v>2208</v>
      </c>
      <c r="F77" s="596" t="s">
        <v>2208</v>
      </c>
      <c r="G77" s="596" t="s">
        <v>2208</v>
      </c>
      <c r="H77" s="596"/>
      <c r="I77" s="596" t="s">
        <v>2208</v>
      </c>
      <c r="J77" s="596" t="s">
        <v>2208</v>
      </c>
      <c r="K77" s="596" t="s">
        <v>2208</v>
      </c>
      <c r="L77" s="596"/>
      <c r="M77" s="596" t="s">
        <v>2208</v>
      </c>
      <c r="N77" s="596" t="s">
        <v>2208</v>
      </c>
      <c r="O77" s="596" t="s">
        <v>2208</v>
      </c>
      <c r="P77" s="596"/>
      <c r="Q77" s="597" t="s">
        <v>2208</v>
      </c>
      <c r="R77" s="596" t="s">
        <v>2208</v>
      </c>
      <c r="S77" s="596" t="s">
        <v>2208</v>
      </c>
      <c r="T77" s="596"/>
      <c r="U77" s="596" t="s">
        <v>2208</v>
      </c>
      <c r="V77" s="596" t="s">
        <v>2208</v>
      </c>
      <c r="W77" s="596" t="s">
        <v>2208</v>
      </c>
      <c r="X77" s="596"/>
      <c r="Y77" s="598"/>
      <c r="Z77" s="599" t="s">
        <v>2208</v>
      </c>
      <c r="AA77" s="277"/>
      <c r="AB77" s="277"/>
      <c r="AC77" s="277"/>
      <c r="AD77" s="91"/>
    </row>
    <row r="78" ht="12.75" customHeight="1">
      <c r="A78" s="277"/>
      <c r="B78" s="278"/>
      <c r="C78" s="279"/>
      <c r="D78" s="277"/>
      <c r="E78" s="277"/>
      <c r="F78" s="277"/>
      <c r="G78" s="277"/>
      <c r="H78" s="277"/>
      <c r="I78" s="277"/>
      <c r="J78" s="277"/>
      <c r="K78" s="277"/>
      <c r="L78" s="277"/>
      <c r="M78" s="277"/>
      <c r="N78" s="277"/>
      <c r="O78" s="277"/>
      <c r="P78" s="277"/>
      <c r="Q78" s="277"/>
      <c r="R78" s="277"/>
      <c r="S78" s="277"/>
      <c r="T78" s="277"/>
      <c r="U78" s="277"/>
      <c r="V78" s="277"/>
      <c r="W78" s="277"/>
      <c r="X78" s="277"/>
      <c r="Y78" s="409"/>
      <c r="Z78" s="410"/>
      <c r="AA78" s="277"/>
      <c r="AB78" s="277"/>
      <c r="AC78" s="277"/>
      <c r="AD78" s="277"/>
    </row>
    <row r="79" ht="13.5" customHeight="1">
      <c r="A79" s="91"/>
      <c r="B79" s="595" t="s">
        <v>2208</v>
      </c>
      <c r="C79" s="596"/>
      <c r="D79" s="596" t="s">
        <v>2208</v>
      </c>
      <c r="E79" s="596" t="s">
        <v>2208</v>
      </c>
      <c r="F79" s="596" t="s">
        <v>2208</v>
      </c>
      <c r="G79" s="596" t="s">
        <v>2208</v>
      </c>
      <c r="H79" s="596"/>
      <c r="I79" s="596" t="s">
        <v>2208</v>
      </c>
      <c r="J79" s="596" t="s">
        <v>2208</v>
      </c>
      <c r="K79" s="596" t="s">
        <v>2208</v>
      </c>
      <c r="L79" s="596"/>
      <c r="M79" s="596" t="s">
        <v>2208</v>
      </c>
      <c r="N79" s="596" t="s">
        <v>2208</v>
      </c>
      <c r="O79" s="596" t="s">
        <v>2208</v>
      </c>
      <c r="P79" s="596"/>
      <c r="Q79" s="597" t="s">
        <v>2208</v>
      </c>
      <c r="R79" s="596" t="s">
        <v>2208</v>
      </c>
      <c r="S79" s="596" t="s">
        <v>2208</v>
      </c>
      <c r="T79" s="596"/>
      <c r="U79" s="596" t="s">
        <v>2208</v>
      </c>
      <c r="V79" s="596" t="s">
        <v>2208</v>
      </c>
      <c r="W79" s="596" t="s">
        <v>2208</v>
      </c>
      <c r="X79" s="596"/>
      <c r="Y79" s="598"/>
      <c r="Z79" s="599" t="s">
        <v>2208</v>
      </c>
      <c r="AA79" s="277"/>
      <c r="AB79" s="277"/>
      <c r="AC79" s="277"/>
      <c r="AD79" s="91"/>
    </row>
    <row r="80" ht="13.5" customHeight="1">
      <c r="A80" s="91"/>
      <c r="B80" s="595" t="s">
        <v>2208</v>
      </c>
      <c r="C80" s="596"/>
      <c r="D80" s="596" t="s">
        <v>2208</v>
      </c>
      <c r="E80" s="596" t="s">
        <v>2208</v>
      </c>
      <c r="F80" s="596" t="s">
        <v>2208</v>
      </c>
      <c r="G80" s="596" t="s">
        <v>2208</v>
      </c>
      <c r="H80" s="596"/>
      <c r="I80" s="596" t="s">
        <v>2208</v>
      </c>
      <c r="J80" s="596" t="s">
        <v>2208</v>
      </c>
      <c r="K80" s="596" t="s">
        <v>2208</v>
      </c>
      <c r="L80" s="596"/>
      <c r="M80" s="596" t="s">
        <v>2208</v>
      </c>
      <c r="N80" s="596" t="s">
        <v>2208</v>
      </c>
      <c r="O80" s="596" t="s">
        <v>2208</v>
      </c>
      <c r="P80" s="596"/>
      <c r="Q80" s="597" t="s">
        <v>2208</v>
      </c>
      <c r="R80" s="596" t="s">
        <v>2208</v>
      </c>
      <c r="S80" s="596" t="s">
        <v>2208</v>
      </c>
      <c r="T80" s="596"/>
      <c r="U80" s="596" t="s">
        <v>2208</v>
      </c>
      <c r="V80" s="596" t="s">
        <v>2208</v>
      </c>
      <c r="W80" s="596" t="s">
        <v>2208</v>
      </c>
      <c r="X80" s="596"/>
      <c r="Y80" s="598"/>
      <c r="Z80" s="599" t="s">
        <v>2208</v>
      </c>
      <c r="AA80" s="277"/>
      <c r="AB80" s="277"/>
      <c r="AC80" s="277"/>
      <c r="AD80" s="91"/>
    </row>
    <row r="81" ht="13.5" customHeight="1">
      <c r="A81" s="91"/>
      <c r="B81" s="595" t="s">
        <v>2208</v>
      </c>
      <c r="C81" s="596"/>
      <c r="D81" s="596" t="s">
        <v>2208</v>
      </c>
      <c r="E81" s="596" t="s">
        <v>2208</v>
      </c>
      <c r="F81" s="596" t="s">
        <v>2208</v>
      </c>
      <c r="G81" s="596" t="s">
        <v>2208</v>
      </c>
      <c r="H81" s="596"/>
      <c r="I81" s="596" t="s">
        <v>2208</v>
      </c>
      <c r="J81" s="596" t="s">
        <v>2208</v>
      </c>
      <c r="K81" s="596" t="s">
        <v>2208</v>
      </c>
      <c r="L81" s="596"/>
      <c r="M81" s="596" t="s">
        <v>2208</v>
      </c>
      <c r="N81" s="596" t="s">
        <v>2208</v>
      </c>
      <c r="O81" s="596" t="s">
        <v>2208</v>
      </c>
      <c r="P81" s="596"/>
      <c r="Q81" s="597" t="s">
        <v>2208</v>
      </c>
      <c r="R81" s="596" t="s">
        <v>2208</v>
      </c>
      <c r="S81" s="596" t="s">
        <v>2208</v>
      </c>
      <c r="T81" s="596"/>
      <c r="U81" s="596" t="s">
        <v>2208</v>
      </c>
      <c r="V81" s="596" t="s">
        <v>2208</v>
      </c>
      <c r="W81" s="596" t="s">
        <v>2208</v>
      </c>
      <c r="X81" s="596"/>
      <c r="Y81" s="598"/>
      <c r="Z81" s="599" t="s">
        <v>2208</v>
      </c>
      <c r="AA81" s="277"/>
      <c r="AB81" s="277"/>
      <c r="AC81" s="277"/>
      <c r="AD81" s="91"/>
    </row>
    <row r="82" ht="13.5" customHeight="1">
      <c r="A82" s="91"/>
      <c r="B82" s="595" t="s">
        <v>2208</v>
      </c>
      <c r="C82" s="596"/>
      <c r="D82" s="596" t="s">
        <v>2208</v>
      </c>
      <c r="E82" s="596" t="s">
        <v>2208</v>
      </c>
      <c r="F82" s="596" t="s">
        <v>2208</v>
      </c>
      <c r="G82" s="596" t="s">
        <v>2208</v>
      </c>
      <c r="H82" s="596"/>
      <c r="I82" s="596" t="s">
        <v>2208</v>
      </c>
      <c r="J82" s="596" t="s">
        <v>2208</v>
      </c>
      <c r="K82" s="596" t="s">
        <v>2208</v>
      </c>
      <c r="L82" s="596"/>
      <c r="M82" s="596" t="s">
        <v>2208</v>
      </c>
      <c r="N82" s="596" t="s">
        <v>2208</v>
      </c>
      <c r="O82" s="596" t="s">
        <v>2208</v>
      </c>
      <c r="P82" s="596"/>
      <c r="Q82" s="597" t="s">
        <v>2208</v>
      </c>
      <c r="R82" s="596" t="s">
        <v>2208</v>
      </c>
      <c r="S82" s="596" t="s">
        <v>2208</v>
      </c>
      <c r="T82" s="596"/>
      <c r="U82" s="596" t="s">
        <v>2208</v>
      </c>
      <c r="V82" s="596" t="s">
        <v>2208</v>
      </c>
      <c r="W82" s="596" t="s">
        <v>2208</v>
      </c>
      <c r="X82" s="596"/>
      <c r="Y82" s="598"/>
      <c r="Z82" s="599" t="s">
        <v>2208</v>
      </c>
      <c r="AA82" s="277"/>
      <c r="AB82" s="277"/>
      <c r="AC82" s="277"/>
      <c r="AD82" s="91"/>
    </row>
    <row r="83" ht="13.5" customHeight="1">
      <c r="A83" s="91"/>
      <c r="B83" s="595" t="s">
        <v>2208</v>
      </c>
      <c r="C83" s="596"/>
      <c r="D83" s="596" t="s">
        <v>2208</v>
      </c>
      <c r="E83" s="596" t="s">
        <v>2208</v>
      </c>
      <c r="F83" s="596" t="s">
        <v>2208</v>
      </c>
      <c r="G83" s="596" t="s">
        <v>2208</v>
      </c>
      <c r="H83" s="596"/>
      <c r="I83" s="596" t="s">
        <v>2208</v>
      </c>
      <c r="J83" s="596" t="s">
        <v>2208</v>
      </c>
      <c r="K83" s="596" t="s">
        <v>2208</v>
      </c>
      <c r="L83" s="596"/>
      <c r="M83" s="596" t="s">
        <v>2208</v>
      </c>
      <c r="N83" s="596" t="s">
        <v>2208</v>
      </c>
      <c r="O83" s="596" t="s">
        <v>2208</v>
      </c>
      <c r="P83" s="596"/>
      <c r="Q83" s="597" t="s">
        <v>2208</v>
      </c>
      <c r="R83" s="596" t="s">
        <v>2208</v>
      </c>
      <c r="S83" s="596" t="s">
        <v>2208</v>
      </c>
      <c r="T83" s="596"/>
      <c r="U83" s="596" t="s">
        <v>2208</v>
      </c>
      <c r="V83" s="596" t="s">
        <v>2208</v>
      </c>
      <c r="W83" s="596" t="s">
        <v>2208</v>
      </c>
      <c r="X83" s="596"/>
      <c r="Y83" s="598"/>
      <c r="Z83" s="599" t="s">
        <v>2208</v>
      </c>
      <c r="AA83" s="277"/>
      <c r="AB83" s="277"/>
      <c r="AC83" s="277"/>
      <c r="AD83" s="91"/>
    </row>
    <row r="84" ht="13.5" customHeight="1">
      <c r="A84" s="91"/>
      <c r="B84" s="595" t="s">
        <v>2208</v>
      </c>
      <c r="C84" s="596"/>
      <c r="D84" s="596" t="s">
        <v>2208</v>
      </c>
      <c r="E84" s="596" t="s">
        <v>2208</v>
      </c>
      <c r="F84" s="596" t="s">
        <v>2208</v>
      </c>
      <c r="G84" s="596" t="s">
        <v>2208</v>
      </c>
      <c r="H84" s="596"/>
      <c r="I84" s="596" t="s">
        <v>2208</v>
      </c>
      <c r="J84" s="596" t="s">
        <v>2208</v>
      </c>
      <c r="K84" s="596" t="s">
        <v>2208</v>
      </c>
      <c r="L84" s="596"/>
      <c r="M84" s="596" t="s">
        <v>2208</v>
      </c>
      <c r="N84" s="596" t="s">
        <v>2208</v>
      </c>
      <c r="O84" s="596" t="s">
        <v>2208</v>
      </c>
      <c r="P84" s="596"/>
      <c r="Q84" s="597" t="s">
        <v>2208</v>
      </c>
      <c r="R84" s="596" t="s">
        <v>2208</v>
      </c>
      <c r="S84" s="596" t="s">
        <v>2208</v>
      </c>
      <c r="T84" s="596"/>
      <c r="U84" s="596" t="s">
        <v>2208</v>
      </c>
      <c r="V84" s="596" t="s">
        <v>2208</v>
      </c>
      <c r="W84" s="596" t="s">
        <v>2208</v>
      </c>
      <c r="X84" s="596"/>
      <c r="Y84" s="598"/>
      <c r="Z84" s="599" t="s">
        <v>2208</v>
      </c>
      <c r="AA84" s="277"/>
      <c r="AB84" s="277"/>
      <c r="AC84" s="277"/>
      <c r="AD84" s="91"/>
    </row>
    <row r="85" ht="13.5" customHeight="1">
      <c r="A85" s="91"/>
      <c r="B85" s="595" t="s">
        <v>2208</v>
      </c>
      <c r="C85" s="596"/>
      <c r="D85" s="596" t="s">
        <v>2208</v>
      </c>
      <c r="E85" s="596" t="s">
        <v>2208</v>
      </c>
      <c r="F85" s="596" t="s">
        <v>2208</v>
      </c>
      <c r="G85" s="596" t="s">
        <v>2208</v>
      </c>
      <c r="H85" s="596"/>
      <c r="I85" s="596" t="s">
        <v>2208</v>
      </c>
      <c r="J85" s="596" t="s">
        <v>2208</v>
      </c>
      <c r="K85" s="596" t="s">
        <v>2208</v>
      </c>
      <c r="L85" s="596"/>
      <c r="M85" s="596" t="s">
        <v>2208</v>
      </c>
      <c r="N85" s="596" t="s">
        <v>2208</v>
      </c>
      <c r="O85" s="596" t="s">
        <v>2208</v>
      </c>
      <c r="P85" s="596"/>
      <c r="Q85" s="597" t="s">
        <v>2208</v>
      </c>
      <c r="R85" s="596" t="s">
        <v>2208</v>
      </c>
      <c r="S85" s="596" t="s">
        <v>2208</v>
      </c>
      <c r="T85" s="596"/>
      <c r="U85" s="596" t="s">
        <v>2208</v>
      </c>
      <c r="V85" s="596" t="s">
        <v>2208</v>
      </c>
      <c r="W85" s="596" t="s">
        <v>2208</v>
      </c>
      <c r="X85" s="596"/>
      <c r="Y85" s="598"/>
      <c r="Z85" s="599" t="s">
        <v>2208</v>
      </c>
      <c r="AA85" s="277"/>
      <c r="AB85" s="277"/>
      <c r="AC85" s="277"/>
      <c r="AD85" s="91"/>
    </row>
    <row r="86" ht="13.5" customHeight="1">
      <c r="A86" s="91"/>
      <c r="B86" s="595" t="s">
        <v>2208</v>
      </c>
      <c r="C86" s="596"/>
      <c r="D86" s="596" t="s">
        <v>2208</v>
      </c>
      <c r="E86" s="596" t="s">
        <v>2208</v>
      </c>
      <c r="F86" s="596" t="s">
        <v>2208</v>
      </c>
      <c r="G86" s="596" t="s">
        <v>2208</v>
      </c>
      <c r="H86" s="596"/>
      <c r="I86" s="596" t="s">
        <v>2208</v>
      </c>
      <c r="J86" s="596" t="s">
        <v>2208</v>
      </c>
      <c r="K86" s="596" t="s">
        <v>2208</v>
      </c>
      <c r="L86" s="596"/>
      <c r="M86" s="596" t="s">
        <v>2208</v>
      </c>
      <c r="N86" s="596" t="s">
        <v>2208</v>
      </c>
      <c r="O86" s="596" t="s">
        <v>2208</v>
      </c>
      <c r="P86" s="596"/>
      <c r="Q86" s="597" t="s">
        <v>2208</v>
      </c>
      <c r="R86" s="596" t="s">
        <v>2208</v>
      </c>
      <c r="S86" s="596" t="s">
        <v>2208</v>
      </c>
      <c r="T86" s="596"/>
      <c r="U86" s="596" t="s">
        <v>2208</v>
      </c>
      <c r="V86" s="596" t="s">
        <v>2208</v>
      </c>
      <c r="W86" s="596" t="s">
        <v>2208</v>
      </c>
      <c r="X86" s="596"/>
      <c r="Y86" s="598"/>
      <c r="Z86" s="599" t="s">
        <v>2208</v>
      </c>
      <c r="AA86" s="277"/>
      <c r="AB86" s="277"/>
      <c r="AC86" s="277"/>
      <c r="AD86" s="91"/>
    </row>
    <row r="87" ht="13.5" customHeight="1">
      <c r="A87" s="91"/>
      <c r="B87" s="595" t="s">
        <v>2208</v>
      </c>
      <c r="C87" s="596"/>
      <c r="D87" s="596" t="s">
        <v>2208</v>
      </c>
      <c r="E87" s="596" t="s">
        <v>2208</v>
      </c>
      <c r="F87" s="596" t="s">
        <v>2208</v>
      </c>
      <c r="G87" s="596" t="s">
        <v>2208</v>
      </c>
      <c r="H87" s="596"/>
      <c r="I87" s="596" t="s">
        <v>2208</v>
      </c>
      <c r="J87" s="596" t="s">
        <v>2208</v>
      </c>
      <c r="K87" s="596" t="s">
        <v>2208</v>
      </c>
      <c r="L87" s="596"/>
      <c r="M87" s="596" t="s">
        <v>2208</v>
      </c>
      <c r="N87" s="596" t="s">
        <v>2208</v>
      </c>
      <c r="O87" s="596" t="s">
        <v>2208</v>
      </c>
      <c r="P87" s="596"/>
      <c r="Q87" s="597" t="s">
        <v>2208</v>
      </c>
      <c r="R87" s="596" t="s">
        <v>2208</v>
      </c>
      <c r="S87" s="596" t="s">
        <v>2208</v>
      </c>
      <c r="T87" s="596"/>
      <c r="U87" s="596" t="s">
        <v>2208</v>
      </c>
      <c r="V87" s="596" t="s">
        <v>2208</v>
      </c>
      <c r="W87" s="596" t="s">
        <v>2208</v>
      </c>
      <c r="X87" s="596"/>
      <c r="Y87" s="598"/>
      <c r="Z87" s="599" t="s">
        <v>2208</v>
      </c>
      <c r="AA87" s="277"/>
      <c r="AB87" s="277"/>
      <c r="AC87" s="277"/>
      <c r="AD87" s="91"/>
    </row>
    <row r="88" ht="13.5" customHeight="1">
      <c r="A88" s="91"/>
      <c r="B88" s="595" t="s">
        <v>2208</v>
      </c>
      <c r="C88" s="596"/>
      <c r="D88" s="596" t="s">
        <v>2208</v>
      </c>
      <c r="E88" s="596" t="s">
        <v>2208</v>
      </c>
      <c r="F88" s="596" t="s">
        <v>2208</v>
      </c>
      <c r="G88" s="596" t="s">
        <v>2208</v>
      </c>
      <c r="H88" s="596"/>
      <c r="I88" s="596" t="s">
        <v>2208</v>
      </c>
      <c r="J88" s="596" t="s">
        <v>2208</v>
      </c>
      <c r="K88" s="596" t="s">
        <v>2208</v>
      </c>
      <c r="L88" s="596"/>
      <c r="M88" s="596" t="s">
        <v>2208</v>
      </c>
      <c r="N88" s="596" t="s">
        <v>2208</v>
      </c>
      <c r="O88" s="596" t="s">
        <v>2208</v>
      </c>
      <c r="P88" s="596"/>
      <c r="Q88" s="597" t="s">
        <v>2208</v>
      </c>
      <c r="R88" s="596" t="s">
        <v>2208</v>
      </c>
      <c r="S88" s="596" t="s">
        <v>2208</v>
      </c>
      <c r="T88" s="596"/>
      <c r="U88" s="596" t="s">
        <v>2208</v>
      </c>
      <c r="V88" s="596" t="s">
        <v>2208</v>
      </c>
      <c r="W88" s="596" t="s">
        <v>2208</v>
      </c>
      <c r="X88" s="596"/>
      <c r="Y88" s="598"/>
      <c r="Z88" s="599" t="s">
        <v>2208</v>
      </c>
      <c r="AA88" s="277"/>
      <c r="AB88" s="277"/>
      <c r="AC88" s="277"/>
      <c r="AD88" s="91"/>
    </row>
    <row r="89" ht="12.75" customHeight="1">
      <c r="A89" s="277"/>
      <c r="B89" s="278"/>
      <c r="C89" s="279"/>
      <c r="D89" s="277"/>
      <c r="E89" s="277"/>
      <c r="F89" s="277"/>
      <c r="G89" s="277"/>
      <c r="H89" s="277"/>
      <c r="I89" s="277"/>
      <c r="J89" s="277"/>
      <c r="K89" s="277"/>
      <c r="L89" s="277"/>
      <c r="M89" s="277"/>
      <c r="N89" s="277"/>
      <c r="O89" s="277"/>
      <c r="P89" s="277"/>
      <c r="Q89" s="277"/>
      <c r="R89" s="277"/>
      <c r="S89" s="277"/>
      <c r="T89" s="277"/>
      <c r="U89" s="277"/>
      <c r="V89" s="277"/>
      <c r="W89" s="277"/>
      <c r="X89" s="277"/>
      <c r="Y89" s="409"/>
      <c r="Z89" s="410"/>
      <c r="AA89" s="277"/>
      <c r="AB89" s="277"/>
      <c r="AC89" s="277"/>
      <c r="AD89" s="277"/>
    </row>
    <row r="90" ht="12.75" customHeight="1">
      <c r="A90" s="277"/>
      <c r="B90" s="278"/>
      <c r="C90" s="279"/>
      <c r="D90" s="277"/>
      <c r="E90" s="277"/>
      <c r="F90" s="277"/>
      <c r="G90" s="277"/>
      <c r="H90" s="277"/>
      <c r="I90" s="277"/>
      <c r="J90" s="277"/>
      <c r="K90" s="277"/>
      <c r="L90" s="277"/>
      <c r="M90" s="277"/>
      <c r="N90" s="277"/>
      <c r="O90" s="277"/>
      <c r="P90" s="277"/>
      <c r="Q90" s="277"/>
      <c r="R90" s="277"/>
      <c r="S90" s="277"/>
      <c r="T90" s="277"/>
      <c r="U90" s="277"/>
      <c r="V90" s="277"/>
      <c r="W90" s="277"/>
      <c r="X90" s="277"/>
      <c r="Y90" s="409"/>
      <c r="Z90" s="410"/>
      <c r="AA90" s="277"/>
      <c r="AB90" s="277"/>
      <c r="AC90" s="277"/>
      <c r="AD90" s="277"/>
    </row>
    <row r="91" ht="12.75" customHeight="1">
      <c r="A91" s="277"/>
      <c r="B91" s="278"/>
      <c r="C91" s="279"/>
      <c r="D91" s="277"/>
      <c r="E91" s="277"/>
      <c r="F91" s="277"/>
      <c r="G91" s="277"/>
      <c r="H91" s="277"/>
      <c r="I91" s="277"/>
      <c r="J91" s="277"/>
      <c r="K91" s="277"/>
      <c r="L91" s="277"/>
      <c r="M91" s="277"/>
      <c r="N91" s="277"/>
      <c r="O91" s="277"/>
      <c r="P91" s="277"/>
      <c r="Q91" s="277"/>
      <c r="R91" s="277"/>
      <c r="S91" s="277"/>
      <c r="T91" s="277"/>
      <c r="U91" s="277"/>
      <c r="V91" s="277"/>
      <c r="W91" s="277"/>
      <c r="X91" s="277"/>
      <c r="Y91" s="409"/>
      <c r="Z91" s="410"/>
      <c r="AA91" s="277"/>
      <c r="AB91" s="277"/>
      <c r="AC91" s="277"/>
      <c r="AD91" s="277"/>
    </row>
    <row r="92" ht="12.75" customHeight="1">
      <c r="A92" s="277"/>
      <c r="B92" s="278"/>
      <c r="C92" s="279"/>
      <c r="D92" s="277"/>
      <c r="E92" s="277"/>
      <c r="F92" s="277"/>
      <c r="G92" s="277"/>
      <c r="H92" s="277"/>
      <c r="I92" s="277"/>
      <c r="J92" s="277"/>
      <c r="K92" s="277"/>
      <c r="L92" s="277"/>
      <c r="M92" s="277"/>
      <c r="N92" s="277"/>
      <c r="O92" s="277"/>
      <c r="P92" s="277"/>
      <c r="Q92" s="277"/>
      <c r="R92" s="277"/>
      <c r="S92" s="277"/>
      <c r="T92" s="277"/>
      <c r="U92" s="277"/>
      <c r="V92" s="277"/>
      <c r="W92" s="277"/>
      <c r="X92" s="277"/>
      <c r="Y92" s="409"/>
      <c r="Z92" s="410"/>
      <c r="AA92" s="277"/>
      <c r="AB92" s="277"/>
      <c r="AC92" s="277"/>
      <c r="AD92" s="277"/>
    </row>
    <row r="93" ht="12.75" customHeight="1">
      <c r="A93" s="277"/>
      <c r="B93" s="278"/>
      <c r="C93" s="279"/>
      <c r="D93" s="277"/>
      <c r="E93" s="277"/>
      <c r="F93" s="277"/>
      <c r="G93" s="277"/>
      <c r="H93" s="277"/>
      <c r="I93" s="277"/>
      <c r="J93" s="277"/>
      <c r="K93" s="277"/>
      <c r="L93" s="277"/>
      <c r="M93" s="277"/>
      <c r="N93" s="277"/>
      <c r="O93" s="277"/>
      <c r="P93" s="277"/>
      <c r="Q93" s="277"/>
      <c r="R93" s="277"/>
      <c r="S93" s="277"/>
      <c r="T93" s="277"/>
      <c r="U93" s="277"/>
      <c r="V93" s="277"/>
      <c r="W93" s="277"/>
      <c r="X93" s="277"/>
      <c r="Y93" s="409"/>
      <c r="Z93" s="410"/>
      <c r="AA93" s="277"/>
      <c r="AB93" s="277"/>
      <c r="AC93" s="277"/>
      <c r="AD93" s="277"/>
    </row>
    <row r="94" ht="12.75" customHeight="1">
      <c r="A94" s="277"/>
      <c r="B94" s="278"/>
      <c r="C94" s="279"/>
      <c r="D94" s="277"/>
      <c r="E94" s="277"/>
      <c r="F94" s="277"/>
      <c r="G94" s="277"/>
      <c r="H94" s="277"/>
      <c r="I94" s="277"/>
      <c r="J94" s="277"/>
      <c r="K94" s="277"/>
      <c r="L94" s="277"/>
      <c r="M94" s="277"/>
      <c r="N94" s="277"/>
      <c r="O94" s="277"/>
      <c r="P94" s="277"/>
      <c r="Q94" s="277"/>
      <c r="R94" s="277"/>
      <c r="S94" s="277"/>
      <c r="T94" s="277"/>
      <c r="U94" s="277"/>
      <c r="V94" s="277"/>
      <c r="W94" s="277"/>
      <c r="X94" s="277"/>
      <c r="Y94" s="409"/>
      <c r="Z94" s="410"/>
      <c r="AA94" s="277"/>
      <c r="AB94" s="277"/>
      <c r="AC94" s="277"/>
      <c r="AD94" s="277"/>
    </row>
    <row r="95" ht="12.75" customHeight="1">
      <c r="A95" s="277"/>
      <c r="B95" s="278"/>
      <c r="C95" s="279"/>
      <c r="D95" s="277"/>
      <c r="E95" s="277"/>
      <c r="F95" s="277"/>
      <c r="G95" s="277"/>
      <c r="H95" s="277"/>
      <c r="I95" s="277"/>
      <c r="J95" s="277"/>
      <c r="K95" s="277"/>
      <c r="L95" s="277"/>
      <c r="M95" s="277"/>
      <c r="N95" s="277"/>
      <c r="O95" s="277"/>
      <c r="P95" s="277"/>
      <c r="Q95" s="277"/>
      <c r="R95" s="277"/>
      <c r="S95" s="277"/>
      <c r="T95" s="277"/>
      <c r="U95" s="277"/>
      <c r="V95" s="277"/>
      <c r="W95" s="277"/>
      <c r="X95" s="277"/>
      <c r="Y95" s="409"/>
      <c r="Z95" s="410"/>
      <c r="AA95" s="277"/>
      <c r="AB95" s="277"/>
      <c r="AC95" s="277"/>
      <c r="AD95" s="277"/>
    </row>
    <row r="96" ht="12.75" customHeight="1">
      <c r="A96" s="277"/>
      <c r="B96" s="278"/>
      <c r="C96" s="279"/>
      <c r="D96" s="277"/>
      <c r="E96" s="277"/>
      <c r="F96" s="277"/>
      <c r="G96" s="277"/>
      <c r="H96" s="277"/>
      <c r="I96" s="277"/>
      <c r="J96" s="277"/>
      <c r="K96" s="277"/>
      <c r="L96" s="277"/>
      <c r="M96" s="277"/>
      <c r="N96" s="277"/>
      <c r="O96" s="277"/>
      <c r="P96" s="277"/>
      <c r="Q96" s="277"/>
      <c r="R96" s="277"/>
      <c r="S96" s="277"/>
      <c r="T96" s="277"/>
      <c r="U96" s="277"/>
      <c r="V96" s="277"/>
      <c r="W96" s="277"/>
      <c r="X96" s="277"/>
      <c r="Y96" s="409"/>
      <c r="Z96" s="410"/>
      <c r="AA96" s="277"/>
      <c r="AB96" s="277"/>
      <c r="AC96" s="277"/>
      <c r="AD96" s="277"/>
    </row>
    <row r="97" ht="12.75" customHeight="1">
      <c r="A97" s="277"/>
      <c r="B97" s="278"/>
      <c r="C97" s="279"/>
      <c r="D97" s="277"/>
      <c r="E97" s="277"/>
      <c r="F97" s="277"/>
      <c r="G97" s="277"/>
      <c r="H97" s="277"/>
      <c r="I97" s="277"/>
      <c r="J97" s="277"/>
      <c r="K97" s="277"/>
      <c r="L97" s="277"/>
      <c r="M97" s="277"/>
      <c r="N97" s="277"/>
      <c r="O97" s="277"/>
      <c r="P97" s="277"/>
      <c r="Q97" s="277"/>
      <c r="R97" s="277"/>
      <c r="S97" s="277"/>
      <c r="T97" s="277"/>
      <c r="U97" s="277"/>
      <c r="V97" s="277"/>
      <c r="W97" s="277"/>
      <c r="X97" s="277"/>
      <c r="Y97" s="409"/>
      <c r="Z97" s="410"/>
      <c r="AA97" s="277"/>
      <c r="AB97" s="277"/>
      <c r="AC97" s="277"/>
      <c r="AD97" s="277"/>
    </row>
    <row r="98" ht="12.75" customHeight="1">
      <c r="A98" s="277"/>
      <c r="B98" s="278"/>
      <c r="C98" s="279"/>
      <c r="D98" s="277"/>
      <c r="E98" s="277"/>
      <c r="F98" s="277"/>
      <c r="G98" s="277"/>
      <c r="H98" s="277"/>
      <c r="I98" s="277"/>
      <c r="J98" s="277"/>
      <c r="K98" s="277"/>
      <c r="L98" s="277"/>
      <c r="M98" s="277"/>
      <c r="N98" s="277"/>
      <c r="O98" s="277"/>
      <c r="P98" s="277"/>
      <c r="Q98" s="277"/>
      <c r="R98" s="277"/>
      <c r="S98" s="277"/>
      <c r="T98" s="277"/>
      <c r="U98" s="277"/>
      <c r="V98" s="277"/>
      <c r="W98" s="277"/>
      <c r="X98" s="277"/>
      <c r="Y98" s="409"/>
      <c r="Z98" s="410"/>
      <c r="AA98" s="277"/>
      <c r="AB98" s="277"/>
      <c r="AC98" s="277"/>
      <c r="AD98" s="277"/>
    </row>
    <row r="99" ht="12.75" customHeight="1">
      <c r="A99" s="277"/>
      <c r="B99" s="278"/>
      <c r="C99" s="279"/>
      <c r="D99" s="277"/>
      <c r="E99" s="277"/>
      <c r="F99" s="277"/>
      <c r="G99" s="277"/>
      <c r="H99" s="277"/>
      <c r="I99" s="277"/>
      <c r="J99" s="277"/>
      <c r="K99" s="277"/>
      <c r="L99" s="277"/>
      <c r="M99" s="277"/>
      <c r="N99" s="277"/>
      <c r="O99" s="277"/>
      <c r="P99" s="277"/>
      <c r="Q99" s="277"/>
      <c r="R99" s="277"/>
      <c r="S99" s="277"/>
      <c r="T99" s="277"/>
      <c r="U99" s="277"/>
      <c r="V99" s="277"/>
      <c r="W99" s="277"/>
      <c r="X99" s="277"/>
      <c r="Y99" s="409"/>
      <c r="Z99" s="410"/>
      <c r="AA99" s="277"/>
      <c r="AB99" s="277"/>
      <c r="AC99" s="277"/>
      <c r="AD99" s="277"/>
    </row>
    <row r="100" ht="12.75" customHeight="1">
      <c r="A100" s="277"/>
      <c r="B100" s="278"/>
      <c r="C100" s="279"/>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409"/>
      <c r="Z100" s="410"/>
      <c r="AA100" s="277"/>
      <c r="AB100" s="277"/>
      <c r="AC100" s="277"/>
      <c r="AD100" s="277"/>
    </row>
    <row r="101" ht="12.75" customHeight="1">
      <c r="A101" s="277"/>
      <c r="B101" s="278"/>
      <c r="C101" s="279"/>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409"/>
      <c r="Z101" s="410"/>
      <c r="AA101" s="277"/>
      <c r="AB101" s="277"/>
      <c r="AC101" s="277"/>
      <c r="AD101" s="277"/>
    </row>
    <row r="102" ht="12.75" customHeight="1">
      <c r="A102" s="277"/>
      <c r="B102" s="278"/>
      <c r="C102" s="279"/>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409"/>
      <c r="Z102" s="410"/>
      <c r="AA102" s="277"/>
      <c r="AB102" s="277"/>
      <c r="AC102" s="277"/>
      <c r="AD102" s="277"/>
    </row>
    <row r="103" ht="12.75" customHeight="1">
      <c r="A103" s="277"/>
      <c r="B103" s="278"/>
      <c r="C103" s="279"/>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409"/>
      <c r="Z103" s="410"/>
      <c r="AA103" s="277"/>
      <c r="AB103" s="277"/>
      <c r="AC103" s="277"/>
      <c r="AD103" s="277"/>
    </row>
    <row r="104" ht="12.75" customHeight="1">
      <c r="A104" s="277"/>
      <c r="B104" s="278"/>
      <c r="C104" s="279"/>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409"/>
      <c r="Z104" s="410"/>
      <c r="AA104" s="277"/>
      <c r="AB104" s="277"/>
      <c r="AC104" s="277"/>
      <c r="AD104" s="277"/>
    </row>
    <row r="105" ht="12.75" customHeight="1">
      <c r="A105" s="277"/>
      <c r="B105" s="278"/>
      <c r="C105" s="279"/>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409"/>
      <c r="Z105" s="410"/>
      <c r="AA105" s="277"/>
      <c r="AB105" s="277"/>
      <c r="AC105" s="277"/>
      <c r="AD105" s="277"/>
    </row>
    <row r="106" ht="12.75" customHeight="1">
      <c r="A106" s="277"/>
      <c r="B106" s="278"/>
      <c r="C106" s="279"/>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409"/>
      <c r="Z106" s="410"/>
      <c r="AA106" s="277"/>
      <c r="AB106" s="277"/>
      <c r="AC106" s="277"/>
      <c r="AD106" s="277"/>
    </row>
    <row r="107" ht="12.75" customHeight="1">
      <c r="A107" s="277"/>
      <c r="B107" s="278"/>
      <c r="C107" s="279"/>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409"/>
      <c r="Z107" s="410"/>
      <c r="AA107" s="277"/>
      <c r="AB107" s="277"/>
      <c r="AC107" s="277"/>
      <c r="AD107" s="277"/>
    </row>
    <row r="108" ht="12.75" customHeight="1">
      <c r="A108" s="277"/>
      <c r="B108" s="278"/>
      <c r="C108" s="279"/>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409"/>
      <c r="Z108" s="410"/>
      <c r="AA108" s="277"/>
      <c r="AB108" s="277"/>
      <c r="AC108" s="277"/>
      <c r="AD108" s="277"/>
    </row>
    <row r="109" ht="12.75" customHeight="1">
      <c r="A109" s="277"/>
      <c r="B109" s="278"/>
      <c r="C109" s="279"/>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409"/>
      <c r="Z109" s="410"/>
      <c r="AA109" s="277"/>
      <c r="AB109" s="277"/>
      <c r="AC109" s="277"/>
      <c r="AD109" s="277"/>
    </row>
    <row r="110" ht="12.75" customHeight="1">
      <c r="A110" s="277"/>
      <c r="B110" s="278"/>
      <c r="C110" s="279"/>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409"/>
      <c r="Z110" s="410"/>
      <c r="AA110" s="277"/>
      <c r="AB110" s="277"/>
      <c r="AC110" s="277"/>
      <c r="AD110" s="277"/>
    </row>
    <row r="111" ht="12.75" customHeight="1">
      <c r="A111" s="277"/>
      <c r="B111" s="278"/>
      <c r="C111" s="279"/>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409"/>
      <c r="Z111" s="410"/>
      <c r="AA111" s="277"/>
      <c r="AB111" s="277"/>
      <c r="AC111" s="277"/>
      <c r="AD111" s="277"/>
    </row>
    <row r="112" ht="12.75" customHeight="1">
      <c r="A112" s="277"/>
      <c r="B112" s="278"/>
      <c r="C112" s="279"/>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409"/>
      <c r="Z112" s="410"/>
      <c r="AA112" s="277"/>
      <c r="AB112" s="277"/>
      <c r="AC112" s="277"/>
      <c r="AD112" s="277"/>
    </row>
    <row r="113" ht="12.75" customHeight="1">
      <c r="A113" s="277"/>
      <c r="B113" s="278"/>
      <c r="C113" s="279"/>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409"/>
      <c r="Z113" s="410"/>
      <c r="AA113" s="277"/>
      <c r="AB113" s="277"/>
      <c r="AC113" s="277"/>
      <c r="AD113" s="277"/>
    </row>
    <row r="114" ht="12.75" customHeight="1">
      <c r="A114" s="277"/>
      <c r="B114" s="278"/>
      <c r="C114" s="279"/>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409"/>
      <c r="Z114" s="410"/>
      <c r="AA114" s="277"/>
      <c r="AB114" s="277"/>
      <c r="AC114" s="277"/>
      <c r="AD114" s="277"/>
    </row>
    <row r="115" ht="12.75" customHeight="1">
      <c r="A115" s="277"/>
      <c r="B115" s="278"/>
      <c r="C115" s="279"/>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409"/>
      <c r="Z115" s="410"/>
      <c r="AA115" s="277"/>
      <c r="AB115" s="277"/>
      <c r="AC115" s="277"/>
      <c r="AD115" s="277"/>
    </row>
    <row r="116" ht="12.75" customHeight="1">
      <c r="A116" s="277"/>
      <c r="B116" s="278"/>
      <c r="C116" s="279"/>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409"/>
      <c r="Z116" s="410"/>
      <c r="AA116" s="277"/>
      <c r="AB116" s="277"/>
      <c r="AC116" s="277"/>
      <c r="AD116" s="277"/>
    </row>
    <row r="117" ht="12.75" customHeight="1">
      <c r="A117" s="277"/>
      <c r="B117" s="278"/>
      <c r="C117" s="279"/>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409"/>
      <c r="Z117" s="410"/>
      <c r="AA117" s="277"/>
      <c r="AB117" s="277"/>
      <c r="AC117" s="277"/>
      <c r="AD117" s="277"/>
    </row>
    <row r="118" ht="12.75" customHeight="1">
      <c r="A118" s="277"/>
      <c r="B118" s="278"/>
      <c r="C118" s="279"/>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409"/>
      <c r="Z118" s="410"/>
      <c r="AA118" s="277"/>
      <c r="AB118" s="277"/>
      <c r="AC118" s="277"/>
      <c r="AD118" s="277"/>
    </row>
    <row r="119" ht="12.75" customHeight="1">
      <c r="A119" s="277"/>
      <c r="B119" s="278"/>
      <c r="C119" s="279"/>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409"/>
      <c r="Z119" s="410"/>
      <c r="AA119" s="277"/>
      <c r="AB119" s="277"/>
      <c r="AC119" s="277"/>
      <c r="AD119" s="277"/>
    </row>
    <row r="120" ht="12.75" customHeight="1">
      <c r="A120" s="277"/>
      <c r="B120" s="278"/>
      <c r="C120" s="279"/>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409"/>
      <c r="Z120" s="410"/>
      <c r="AA120" s="277"/>
      <c r="AB120" s="277"/>
      <c r="AC120" s="277"/>
      <c r="AD120" s="277"/>
    </row>
    <row r="121" ht="12.75" customHeight="1">
      <c r="A121" s="277"/>
      <c r="B121" s="278"/>
      <c r="C121" s="279"/>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409"/>
      <c r="Z121" s="410"/>
      <c r="AA121" s="277"/>
      <c r="AB121" s="277"/>
      <c r="AC121" s="277"/>
      <c r="AD121" s="277"/>
    </row>
    <row r="122" ht="12.75" customHeight="1">
      <c r="A122" s="277"/>
      <c r="B122" s="278"/>
      <c r="C122" s="279"/>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409"/>
      <c r="Z122" s="410"/>
      <c r="AA122" s="277"/>
      <c r="AB122" s="277"/>
      <c r="AC122" s="277"/>
      <c r="AD122" s="277"/>
    </row>
    <row r="123" ht="12.75" customHeight="1">
      <c r="A123" s="277"/>
      <c r="B123" s="278"/>
      <c r="C123" s="279"/>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409"/>
      <c r="Z123" s="410"/>
      <c r="AA123" s="277"/>
      <c r="AB123" s="277"/>
      <c r="AC123" s="277"/>
      <c r="AD123" s="277"/>
    </row>
    <row r="124" ht="12.75" customHeight="1">
      <c r="A124" s="277"/>
      <c r="B124" s="278"/>
      <c r="C124" s="279"/>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409"/>
      <c r="Z124" s="410"/>
      <c r="AA124" s="277"/>
      <c r="AB124" s="277"/>
      <c r="AC124" s="277"/>
      <c r="AD124" s="277"/>
    </row>
    <row r="125" ht="12.75" customHeight="1">
      <c r="A125" s="277"/>
      <c r="B125" s="278"/>
      <c r="C125" s="279"/>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409"/>
      <c r="Z125" s="410"/>
      <c r="AA125" s="277"/>
      <c r="AB125" s="277"/>
      <c r="AC125" s="277"/>
      <c r="AD125" s="277"/>
    </row>
    <row r="126" ht="12.75" customHeight="1">
      <c r="A126" s="277"/>
      <c r="B126" s="278"/>
      <c r="C126" s="279"/>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409"/>
      <c r="Z126" s="410"/>
      <c r="AA126" s="277"/>
      <c r="AB126" s="277"/>
      <c r="AC126" s="277"/>
      <c r="AD126" s="277"/>
    </row>
    <row r="127" ht="12.75" customHeight="1">
      <c r="A127" s="277"/>
      <c r="B127" s="278"/>
      <c r="C127" s="279"/>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409"/>
      <c r="Z127" s="410"/>
      <c r="AA127" s="277"/>
      <c r="AB127" s="277"/>
      <c r="AC127" s="277"/>
      <c r="AD127" s="277"/>
    </row>
    <row r="128" ht="12.75" customHeight="1">
      <c r="A128" s="277"/>
      <c r="B128" s="278"/>
      <c r="C128" s="279"/>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409"/>
      <c r="Z128" s="410"/>
      <c r="AA128" s="277"/>
      <c r="AB128" s="277"/>
      <c r="AC128" s="277"/>
      <c r="AD128" s="277"/>
    </row>
    <row r="129" ht="12.75" customHeight="1">
      <c r="A129" s="277"/>
      <c r="B129" s="278"/>
      <c r="C129" s="279"/>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409"/>
      <c r="Z129" s="410"/>
      <c r="AA129" s="277"/>
      <c r="AB129" s="277"/>
      <c r="AC129" s="277"/>
      <c r="AD129" s="277"/>
    </row>
    <row r="130" ht="12.75" customHeight="1">
      <c r="A130" s="277"/>
      <c r="B130" s="278"/>
      <c r="C130" s="279"/>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409"/>
      <c r="Z130" s="410"/>
      <c r="AA130" s="277"/>
      <c r="AB130" s="277"/>
      <c r="AC130" s="277"/>
      <c r="AD130" s="277"/>
    </row>
    <row r="131" ht="12.75" customHeight="1">
      <c r="A131" s="277"/>
      <c r="B131" s="278"/>
      <c r="C131" s="279"/>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409"/>
      <c r="Z131" s="410"/>
      <c r="AA131" s="277"/>
      <c r="AB131" s="277"/>
      <c r="AC131" s="277"/>
      <c r="AD131" s="277"/>
    </row>
    <row r="132" ht="12.75" customHeight="1">
      <c r="A132" s="277"/>
      <c r="B132" s="278"/>
      <c r="C132" s="279"/>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409"/>
      <c r="Z132" s="410"/>
      <c r="AA132" s="277"/>
      <c r="AB132" s="277"/>
      <c r="AC132" s="277"/>
      <c r="AD132" s="277"/>
    </row>
    <row r="133" ht="12.75" customHeight="1">
      <c r="A133" s="277"/>
      <c r="B133" s="278"/>
      <c r="C133" s="279"/>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409"/>
      <c r="Z133" s="410"/>
      <c r="AA133" s="277"/>
      <c r="AB133" s="277"/>
      <c r="AC133" s="277"/>
      <c r="AD133" s="277"/>
    </row>
    <row r="134" ht="12.75" customHeight="1">
      <c r="A134" s="277"/>
      <c r="B134" s="278"/>
      <c r="C134" s="279"/>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409"/>
      <c r="Z134" s="410"/>
      <c r="AA134" s="277"/>
      <c r="AB134" s="277"/>
      <c r="AC134" s="277"/>
      <c r="AD134" s="277"/>
    </row>
    <row r="135" ht="12.75" customHeight="1">
      <c r="A135" s="277"/>
      <c r="B135" s="278"/>
      <c r="C135" s="279"/>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409"/>
      <c r="Z135" s="410"/>
      <c r="AA135" s="277"/>
      <c r="AB135" s="277"/>
      <c r="AC135" s="277"/>
      <c r="AD135" s="277"/>
    </row>
    <row r="136" ht="12.75" customHeight="1">
      <c r="A136" s="277"/>
      <c r="B136" s="278"/>
      <c r="C136" s="279"/>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409"/>
      <c r="Z136" s="410"/>
      <c r="AA136" s="277"/>
      <c r="AB136" s="277"/>
      <c r="AC136" s="277"/>
      <c r="AD136" s="277"/>
    </row>
    <row r="137" ht="12.75" customHeight="1">
      <c r="A137" s="277"/>
      <c r="B137" s="278"/>
      <c r="C137" s="279"/>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409"/>
      <c r="Z137" s="410"/>
      <c r="AA137" s="277"/>
      <c r="AB137" s="277"/>
      <c r="AC137" s="277"/>
      <c r="AD137" s="277"/>
    </row>
    <row r="138" ht="12.75" customHeight="1">
      <c r="A138" s="277"/>
      <c r="B138" s="278"/>
      <c r="C138" s="279"/>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409"/>
      <c r="Z138" s="410"/>
      <c r="AA138" s="277"/>
      <c r="AB138" s="277"/>
      <c r="AC138" s="277"/>
      <c r="AD138" s="277"/>
    </row>
    <row r="139" ht="12.75" customHeight="1">
      <c r="A139" s="277"/>
      <c r="B139" s="278"/>
      <c r="C139" s="279"/>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409"/>
      <c r="Z139" s="410"/>
      <c r="AA139" s="277"/>
      <c r="AB139" s="277"/>
      <c r="AC139" s="277"/>
      <c r="AD139" s="277"/>
    </row>
    <row r="140" ht="12.75" customHeight="1">
      <c r="A140" s="277"/>
      <c r="B140" s="278"/>
      <c r="C140" s="279"/>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409"/>
      <c r="Z140" s="410"/>
      <c r="AA140" s="277"/>
      <c r="AB140" s="277"/>
      <c r="AC140" s="277"/>
      <c r="AD140" s="277"/>
    </row>
    <row r="141" ht="12.75" customHeight="1">
      <c r="A141" s="277"/>
      <c r="B141" s="278"/>
      <c r="C141" s="279"/>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409"/>
      <c r="Z141" s="410"/>
      <c r="AA141" s="277"/>
      <c r="AB141" s="277"/>
      <c r="AC141" s="277"/>
      <c r="AD141" s="277"/>
    </row>
    <row r="142" ht="12.75" customHeight="1">
      <c r="A142" s="277"/>
      <c r="B142" s="278"/>
      <c r="C142" s="279"/>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409"/>
      <c r="Z142" s="410"/>
      <c r="AA142" s="277"/>
      <c r="AB142" s="277"/>
      <c r="AC142" s="277"/>
      <c r="AD142" s="277"/>
    </row>
    <row r="143" ht="12.75" customHeight="1">
      <c r="A143" s="277"/>
      <c r="B143" s="278"/>
      <c r="C143" s="279"/>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409"/>
      <c r="Z143" s="410"/>
      <c r="AA143" s="277"/>
      <c r="AB143" s="277"/>
      <c r="AC143" s="277"/>
      <c r="AD143" s="277"/>
    </row>
    <row r="144" ht="12.75" customHeight="1">
      <c r="A144" s="277"/>
      <c r="B144" s="278"/>
      <c r="C144" s="279"/>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409"/>
      <c r="Z144" s="410"/>
      <c r="AA144" s="277"/>
      <c r="AB144" s="277"/>
      <c r="AC144" s="277"/>
      <c r="AD144" s="277"/>
    </row>
    <row r="145" ht="12.75" customHeight="1">
      <c r="A145" s="277"/>
      <c r="B145" s="278"/>
      <c r="C145" s="279"/>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409"/>
      <c r="Z145" s="410"/>
      <c r="AA145" s="277"/>
      <c r="AB145" s="277"/>
      <c r="AC145" s="277"/>
      <c r="AD145" s="277"/>
    </row>
    <row r="146" ht="12.75" customHeight="1">
      <c r="A146" s="277"/>
      <c r="B146" s="278"/>
      <c r="C146" s="279"/>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409"/>
      <c r="Z146" s="410"/>
      <c r="AA146" s="277"/>
      <c r="AB146" s="277"/>
      <c r="AC146" s="277"/>
      <c r="AD146" s="277"/>
    </row>
    <row r="147" ht="12.75" customHeight="1">
      <c r="A147" s="277"/>
      <c r="B147" s="278"/>
      <c r="C147" s="279"/>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409"/>
      <c r="Z147" s="410"/>
      <c r="AA147" s="277"/>
      <c r="AB147" s="277"/>
      <c r="AC147" s="277"/>
      <c r="AD147" s="277"/>
    </row>
    <row r="148" ht="12.75" customHeight="1">
      <c r="A148" s="277"/>
      <c r="B148" s="278"/>
      <c r="C148" s="279"/>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409"/>
      <c r="Z148" s="410"/>
      <c r="AA148" s="277"/>
      <c r="AB148" s="277"/>
      <c r="AC148" s="277"/>
      <c r="AD148" s="277"/>
    </row>
    <row r="149" ht="12.75" customHeight="1">
      <c r="A149" s="277"/>
      <c r="B149" s="278"/>
      <c r="C149" s="279"/>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409"/>
      <c r="Z149" s="410"/>
      <c r="AA149" s="277"/>
      <c r="AB149" s="277"/>
      <c r="AC149" s="277"/>
      <c r="AD149" s="277"/>
    </row>
    <row r="150" ht="12.75" customHeight="1">
      <c r="A150" s="277"/>
      <c r="B150" s="278"/>
      <c r="C150" s="279"/>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409"/>
      <c r="Z150" s="410"/>
      <c r="AA150" s="277"/>
      <c r="AB150" s="277"/>
      <c r="AC150" s="277"/>
      <c r="AD150" s="277"/>
    </row>
    <row r="151" ht="12.75" customHeight="1">
      <c r="A151" s="277"/>
      <c r="B151" s="278"/>
      <c r="C151" s="279"/>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409"/>
      <c r="Z151" s="410"/>
      <c r="AA151" s="277"/>
      <c r="AB151" s="277"/>
      <c r="AC151" s="277"/>
      <c r="AD151" s="277"/>
    </row>
    <row r="152" ht="12.75" customHeight="1">
      <c r="A152" s="277"/>
      <c r="B152" s="278"/>
      <c r="C152" s="279"/>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409"/>
      <c r="Z152" s="410"/>
      <c r="AA152" s="277"/>
      <c r="AB152" s="277"/>
      <c r="AC152" s="277"/>
      <c r="AD152" s="277"/>
    </row>
    <row r="153" ht="12.75" customHeight="1">
      <c r="A153" s="277"/>
      <c r="B153" s="278"/>
      <c r="C153" s="279"/>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409"/>
      <c r="Z153" s="410"/>
      <c r="AA153" s="277"/>
      <c r="AB153" s="277"/>
      <c r="AC153" s="277"/>
      <c r="AD153" s="277"/>
    </row>
    <row r="154" ht="12.75" customHeight="1">
      <c r="A154" s="277"/>
      <c r="B154" s="278"/>
      <c r="C154" s="279"/>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409"/>
      <c r="Z154" s="410"/>
      <c r="AA154" s="277"/>
      <c r="AB154" s="277"/>
      <c r="AC154" s="277"/>
      <c r="AD154" s="277"/>
    </row>
    <row r="155" ht="12.75" customHeight="1">
      <c r="A155" s="277"/>
      <c r="B155" s="278"/>
      <c r="C155" s="279"/>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409"/>
      <c r="Z155" s="410"/>
      <c r="AA155" s="277"/>
      <c r="AB155" s="277"/>
      <c r="AC155" s="277"/>
      <c r="AD155" s="277"/>
    </row>
    <row r="156" ht="12.75" customHeight="1">
      <c r="A156" s="277"/>
      <c r="B156" s="278"/>
      <c r="C156" s="279"/>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409"/>
      <c r="Z156" s="410"/>
      <c r="AA156" s="277"/>
      <c r="AB156" s="277"/>
      <c r="AC156" s="277"/>
      <c r="AD156" s="277"/>
    </row>
    <row r="157" ht="12.75" customHeight="1">
      <c r="A157" s="277"/>
      <c r="B157" s="278"/>
      <c r="C157" s="279"/>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409"/>
      <c r="Z157" s="410"/>
      <c r="AA157" s="277"/>
      <c r="AB157" s="277"/>
      <c r="AC157" s="277"/>
      <c r="AD157" s="277"/>
    </row>
    <row r="158" ht="12.75" customHeight="1">
      <c r="A158" s="277"/>
      <c r="B158" s="278"/>
      <c r="C158" s="279"/>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409"/>
      <c r="Z158" s="410"/>
      <c r="AA158" s="277"/>
      <c r="AB158" s="277"/>
      <c r="AC158" s="277"/>
      <c r="AD158" s="277"/>
    </row>
    <row r="159" ht="12.75" customHeight="1">
      <c r="A159" s="277"/>
      <c r="B159" s="278"/>
      <c r="C159" s="279"/>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409"/>
      <c r="Z159" s="410"/>
      <c r="AA159" s="277"/>
      <c r="AB159" s="277"/>
      <c r="AC159" s="277"/>
      <c r="AD159" s="277"/>
    </row>
    <row r="160" ht="12.75" customHeight="1">
      <c r="A160" s="277"/>
      <c r="B160" s="278"/>
      <c r="C160" s="279"/>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409"/>
      <c r="Z160" s="410"/>
      <c r="AA160" s="277"/>
      <c r="AB160" s="277"/>
      <c r="AC160" s="277"/>
      <c r="AD160" s="277"/>
    </row>
    <row r="161" ht="12.75" customHeight="1">
      <c r="A161" s="277"/>
      <c r="B161" s="278"/>
      <c r="C161" s="279"/>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409"/>
      <c r="Z161" s="410"/>
      <c r="AA161" s="277"/>
      <c r="AB161" s="277"/>
      <c r="AC161" s="277"/>
      <c r="AD161" s="277"/>
    </row>
    <row r="162" ht="12.75" customHeight="1">
      <c r="A162" s="277"/>
      <c r="B162" s="278"/>
      <c r="C162" s="279"/>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409"/>
      <c r="Z162" s="410"/>
      <c r="AA162" s="277"/>
      <c r="AB162" s="277"/>
      <c r="AC162" s="277"/>
      <c r="AD162" s="277"/>
    </row>
    <row r="163" ht="12.75" customHeight="1">
      <c r="A163" s="277"/>
      <c r="B163" s="278"/>
      <c r="C163" s="279"/>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409"/>
      <c r="Z163" s="410"/>
      <c r="AA163" s="277"/>
      <c r="AB163" s="277"/>
      <c r="AC163" s="277"/>
      <c r="AD163" s="277"/>
    </row>
    <row r="164" ht="12.75" customHeight="1">
      <c r="A164" s="277"/>
      <c r="B164" s="278"/>
      <c r="C164" s="279"/>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409"/>
      <c r="Z164" s="410"/>
      <c r="AA164" s="277"/>
      <c r="AB164" s="277"/>
      <c r="AC164" s="277"/>
      <c r="AD164" s="277"/>
    </row>
    <row r="165" ht="12.75" customHeight="1">
      <c r="A165" s="277"/>
      <c r="B165" s="278"/>
      <c r="C165" s="279"/>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409"/>
      <c r="Z165" s="410"/>
      <c r="AA165" s="277"/>
      <c r="AB165" s="277"/>
      <c r="AC165" s="277"/>
      <c r="AD165" s="277"/>
    </row>
    <row r="166" ht="12.75" customHeight="1">
      <c r="A166" s="277"/>
      <c r="B166" s="278"/>
      <c r="C166" s="279"/>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409"/>
      <c r="Z166" s="410"/>
      <c r="AA166" s="277"/>
      <c r="AB166" s="277"/>
      <c r="AC166" s="277"/>
      <c r="AD166" s="277"/>
    </row>
    <row r="167" ht="12.75" customHeight="1">
      <c r="A167" s="277"/>
      <c r="B167" s="278"/>
      <c r="C167" s="279"/>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409"/>
      <c r="Z167" s="410"/>
      <c r="AA167" s="277"/>
      <c r="AB167" s="277"/>
      <c r="AC167" s="277"/>
      <c r="AD167" s="277"/>
    </row>
    <row r="168" ht="12.75" customHeight="1">
      <c r="A168" s="277"/>
      <c r="B168" s="278"/>
      <c r="C168" s="279"/>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409"/>
      <c r="Z168" s="410"/>
      <c r="AA168" s="277"/>
      <c r="AB168" s="277"/>
      <c r="AC168" s="277"/>
      <c r="AD168" s="277"/>
    </row>
    <row r="169" ht="12.75" customHeight="1">
      <c r="A169" s="277"/>
      <c r="B169" s="278"/>
      <c r="C169" s="279"/>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409"/>
      <c r="Z169" s="410"/>
      <c r="AA169" s="277"/>
      <c r="AB169" s="277"/>
      <c r="AC169" s="277"/>
      <c r="AD169" s="277"/>
    </row>
    <row r="170" ht="12.75" customHeight="1">
      <c r="A170" s="277"/>
      <c r="B170" s="278"/>
      <c r="C170" s="279"/>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409"/>
      <c r="Z170" s="410"/>
      <c r="AA170" s="277"/>
      <c r="AB170" s="277"/>
      <c r="AC170" s="277"/>
      <c r="AD170" s="277"/>
    </row>
    <row r="171" ht="12.75" customHeight="1">
      <c r="A171" s="277"/>
      <c r="B171" s="278"/>
      <c r="C171" s="279"/>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409"/>
      <c r="Z171" s="410"/>
      <c r="AA171" s="277"/>
      <c r="AB171" s="277"/>
      <c r="AC171" s="277"/>
      <c r="AD171" s="277"/>
    </row>
    <row r="172" ht="12.75" customHeight="1">
      <c r="A172" s="277"/>
      <c r="B172" s="278"/>
      <c r="C172" s="279"/>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409"/>
      <c r="Z172" s="410"/>
      <c r="AA172" s="277"/>
      <c r="AB172" s="277"/>
      <c r="AC172" s="277"/>
      <c r="AD172" s="277"/>
    </row>
    <row r="173" ht="12.75" customHeight="1">
      <c r="A173" s="277"/>
      <c r="B173" s="278"/>
      <c r="C173" s="279"/>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409"/>
      <c r="Z173" s="410"/>
      <c r="AA173" s="277"/>
      <c r="AB173" s="277"/>
      <c r="AC173" s="277"/>
      <c r="AD173" s="277"/>
    </row>
    <row r="174" ht="12.75" customHeight="1">
      <c r="A174" s="277"/>
      <c r="B174" s="278"/>
      <c r="C174" s="279"/>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409"/>
      <c r="Z174" s="410"/>
      <c r="AA174" s="277"/>
      <c r="AB174" s="277"/>
      <c r="AC174" s="277"/>
      <c r="AD174" s="277"/>
    </row>
    <row r="175" ht="12.75" customHeight="1">
      <c r="A175" s="277"/>
      <c r="B175" s="278"/>
      <c r="C175" s="279"/>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409"/>
      <c r="Z175" s="410"/>
      <c r="AA175" s="277"/>
      <c r="AB175" s="277"/>
      <c r="AC175" s="277"/>
      <c r="AD175" s="277"/>
    </row>
    <row r="176" ht="12.75" customHeight="1">
      <c r="A176" s="277"/>
      <c r="B176" s="278"/>
      <c r="C176" s="279"/>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409"/>
      <c r="Z176" s="410"/>
      <c r="AA176" s="277"/>
      <c r="AB176" s="277"/>
      <c r="AC176" s="277"/>
      <c r="AD176" s="277"/>
    </row>
    <row r="177" ht="12.75" customHeight="1">
      <c r="A177" s="277"/>
      <c r="B177" s="278"/>
      <c r="C177" s="279"/>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409"/>
      <c r="Z177" s="410"/>
      <c r="AA177" s="277"/>
      <c r="AB177" s="277"/>
      <c r="AC177" s="277"/>
      <c r="AD177" s="277"/>
    </row>
    <row r="178" ht="12.75" customHeight="1">
      <c r="A178" s="277"/>
      <c r="B178" s="278"/>
      <c r="C178" s="279"/>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409"/>
      <c r="Z178" s="410"/>
      <c r="AA178" s="277"/>
      <c r="AB178" s="277"/>
      <c r="AC178" s="277"/>
      <c r="AD178" s="277"/>
    </row>
    <row r="179" ht="12.75" customHeight="1">
      <c r="A179" s="277"/>
      <c r="B179" s="278"/>
      <c r="C179" s="279"/>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409"/>
      <c r="Z179" s="410"/>
      <c r="AA179" s="277"/>
      <c r="AB179" s="277"/>
      <c r="AC179" s="277"/>
      <c r="AD179" s="277"/>
    </row>
    <row r="180" ht="12.75" customHeight="1">
      <c r="A180" s="277"/>
      <c r="B180" s="278"/>
      <c r="C180" s="279"/>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409"/>
      <c r="Z180" s="410"/>
      <c r="AA180" s="277"/>
      <c r="AB180" s="277"/>
      <c r="AC180" s="277"/>
      <c r="AD180" s="277"/>
    </row>
    <row r="181" ht="12.75" customHeight="1">
      <c r="A181" s="277"/>
      <c r="B181" s="278"/>
      <c r="C181" s="279"/>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409"/>
      <c r="Z181" s="410"/>
      <c r="AA181" s="277"/>
      <c r="AB181" s="277"/>
      <c r="AC181" s="277"/>
      <c r="AD181" s="277"/>
    </row>
    <row r="182" ht="12.75" customHeight="1">
      <c r="A182" s="277"/>
      <c r="B182" s="278"/>
      <c r="C182" s="279"/>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409"/>
      <c r="Z182" s="410"/>
      <c r="AA182" s="277"/>
      <c r="AB182" s="277"/>
      <c r="AC182" s="277"/>
      <c r="AD182" s="277"/>
    </row>
    <row r="183" ht="12.75" customHeight="1">
      <c r="A183" s="277"/>
      <c r="B183" s="278"/>
      <c r="C183" s="279"/>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409"/>
      <c r="Z183" s="410"/>
      <c r="AA183" s="277"/>
      <c r="AB183" s="277"/>
      <c r="AC183" s="277"/>
      <c r="AD183" s="277"/>
    </row>
    <row r="184" ht="12.75" customHeight="1">
      <c r="A184" s="277"/>
      <c r="B184" s="278"/>
      <c r="C184" s="279"/>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409"/>
      <c r="Z184" s="410"/>
      <c r="AA184" s="277"/>
      <c r="AB184" s="277"/>
      <c r="AC184" s="277"/>
      <c r="AD184" s="277"/>
    </row>
    <row r="185" ht="12.75" customHeight="1">
      <c r="A185" s="277"/>
      <c r="B185" s="278"/>
      <c r="C185" s="279"/>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409"/>
      <c r="Z185" s="410"/>
      <c r="AA185" s="277"/>
      <c r="AB185" s="277"/>
      <c r="AC185" s="277"/>
      <c r="AD185" s="277"/>
    </row>
    <row r="186" ht="12.75" customHeight="1">
      <c r="A186" s="277"/>
      <c r="B186" s="278"/>
      <c r="C186" s="279"/>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409"/>
      <c r="Z186" s="410"/>
      <c r="AA186" s="277"/>
      <c r="AB186" s="277"/>
      <c r="AC186" s="277"/>
      <c r="AD186" s="277"/>
    </row>
    <row r="187" ht="12.75" customHeight="1">
      <c r="A187" s="277"/>
      <c r="B187" s="278"/>
      <c r="C187" s="279"/>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409"/>
      <c r="Z187" s="410"/>
      <c r="AA187" s="277"/>
      <c r="AB187" s="277"/>
      <c r="AC187" s="277"/>
      <c r="AD187" s="277"/>
    </row>
    <row r="188" ht="12.75" customHeight="1">
      <c r="A188" s="277"/>
      <c r="B188" s="278"/>
      <c r="C188" s="279"/>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409"/>
      <c r="Z188" s="410"/>
      <c r="AA188" s="277"/>
      <c r="AB188" s="277"/>
      <c r="AC188" s="277"/>
      <c r="AD188" s="277"/>
    </row>
    <row r="189" ht="12.75" customHeight="1">
      <c r="A189" s="277"/>
      <c r="B189" s="278"/>
      <c r="C189" s="279"/>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409"/>
      <c r="Z189" s="410"/>
      <c r="AA189" s="277"/>
      <c r="AB189" s="277"/>
      <c r="AC189" s="277"/>
      <c r="AD189" s="277"/>
    </row>
    <row r="190" ht="12.75" customHeight="1">
      <c r="A190" s="277"/>
      <c r="B190" s="278"/>
      <c r="C190" s="279"/>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409"/>
      <c r="Z190" s="410"/>
      <c r="AA190" s="277"/>
      <c r="AB190" s="277"/>
      <c r="AC190" s="277"/>
      <c r="AD190" s="277"/>
    </row>
    <row r="191" ht="12.75" customHeight="1">
      <c r="A191" s="277"/>
      <c r="B191" s="278"/>
      <c r="C191" s="279"/>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409"/>
      <c r="Z191" s="410"/>
      <c r="AA191" s="277"/>
      <c r="AB191" s="277"/>
      <c r="AC191" s="277"/>
      <c r="AD191" s="277"/>
    </row>
    <row r="192" ht="12.75" customHeight="1">
      <c r="A192" s="277"/>
      <c r="B192" s="278"/>
      <c r="C192" s="279"/>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409"/>
      <c r="Z192" s="410"/>
      <c r="AA192" s="277"/>
      <c r="AB192" s="277"/>
      <c r="AC192" s="277"/>
      <c r="AD192" s="277"/>
    </row>
    <row r="193" ht="12.75" customHeight="1">
      <c r="A193" s="277"/>
      <c r="B193" s="278"/>
      <c r="C193" s="279"/>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409"/>
      <c r="Z193" s="410"/>
      <c r="AA193" s="277"/>
      <c r="AB193" s="277"/>
      <c r="AC193" s="277"/>
      <c r="AD193" s="277"/>
    </row>
    <row r="194" ht="12.75" customHeight="1">
      <c r="A194" s="277"/>
      <c r="B194" s="278"/>
      <c r="C194" s="279"/>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409"/>
      <c r="Z194" s="410"/>
      <c r="AA194" s="277"/>
      <c r="AB194" s="277"/>
      <c r="AC194" s="277"/>
      <c r="AD194" s="277"/>
    </row>
    <row r="195" ht="12.75" customHeight="1">
      <c r="A195" s="277"/>
      <c r="B195" s="278"/>
      <c r="C195" s="279"/>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409"/>
      <c r="Z195" s="410"/>
      <c r="AA195" s="277"/>
      <c r="AB195" s="277"/>
      <c r="AC195" s="277"/>
      <c r="AD195" s="277"/>
    </row>
    <row r="196" ht="12.75" customHeight="1">
      <c r="A196" s="277"/>
      <c r="B196" s="278"/>
      <c r="C196" s="279"/>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409"/>
      <c r="Z196" s="410"/>
      <c r="AA196" s="277"/>
      <c r="AB196" s="277"/>
      <c r="AC196" s="277"/>
      <c r="AD196" s="277"/>
    </row>
    <row r="197" ht="12.75" customHeight="1">
      <c r="A197" s="277"/>
      <c r="B197" s="278"/>
      <c r="C197" s="279"/>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409"/>
      <c r="Z197" s="410"/>
      <c r="AA197" s="277"/>
      <c r="AB197" s="277"/>
      <c r="AC197" s="277"/>
      <c r="AD197" s="277"/>
    </row>
    <row r="198" ht="12.75" customHeight="1">
      <c r="A198" s="277"/>
      <c r="B198" s="278"/>
      <c r="C198" s="279"/>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409"/>
      <c r="Z198" s="410"/>
      <c r="AA198" s="277"/>
      <c r="AB198" s="277"/>
      <c r="AC198" s="277"/>
      <c r="AD198" s="277"/>
    </row>
    <row r="199" ht="12.75" customHeight="1">
      <c r="A199" s="277"/>
      <c r="B199" s="278"/>
      <c r="C199" s="279"/>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409"/>
      <c r="Z199" s="410"/>
      <c r="AA199" s="277"/>
      <c r="AB199" s="277"/>
      <c r="AC199" s="277"/>
      <c r="AD199" s="277"/>
    </row>
    <row r="200" ht="12.75" customHeight="1">
      <c r="A200" s="277"/>
      <c r="B200" s="278"/>
      <c r="C200" s="279"/>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409"/>
      <c r="Z200" s="410"/>
      <c r="AA200" s="277"/>
      <c r="AB200" s="277"/>
      <c r="AC200" s="277"/>
      <c r="AD200" s="277"/>
    </row>
    <row r="201" ht="12.75" customHeight="1">
      <c r="A201" s="277"/>
      <c r="B201" s="278"/>
      <c r="C201" s="279"/>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409"/>
      <c r="Z201" s="410"/>
      <c r="AA201" s="277"/>
      <c r="AB201" s="277"/>
      <c r="AC201" s="277"/>
      <c r="AD201" s="277"/>
    </row>
    <row r="202" ht="12.75" customHeight="1">
      <c r="A202" s="277"/>
      <c r="B202" s="278"/>
      <c r="C202" s="279"/>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409"/>
      <c r="Z202" s="410"/>
      <c r="AA202" s="277"/>
      <c r="AB202" s="277"/>
      <c r="AC202" s="277"/>
      <c r="AD202" s="277"/>
    </row>
    <row r="203" ht="12.75" customHeight="1">
      <c r="A203" s="277"/>
      <c r="B203" s="278"/>
      <c r="C203" s="279"/>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409"/>
      <c r="Z203" s="410"/>
      <c r="AA203" s="277"/>
      <c r="AB203" s="277"/>
      <c r="AC203" s="277"/>
      <c r="AD203" s="277"/>
    </row>
    <row r="204" ht="12.75" customHeight="1">
      <c r="A204" s="277"/>
      <c r="B204" s="278"/>
      <c r="C204" s="279"/>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409"/>
      <c r="Z204" s="410"/>
      <c r="AA204" s="277"/>
      <c r="AB204" s="277"/>
      <c r="AC204" s="277"/>
      <c r="AD204" s="277"/>
    </row>
    <row r="205" ht="12.75" customHeight="1">
      <c r="A205" s="277"/>
      <c r="B205" s="278"/>
      <c r="C205" s="279"/>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409"/>
      <c r="Z205" s="410"/>
      <c r="AA205" s="277"/>
      <c r="AB205" s="277"/>
      <c r="AC205" s="277"/>
      <c r="AD205" s="277"/>
    </row>
    <row r="206" ht="12.75" customHeight="1">
      <c r="A206" s="277"/>
      <c r="B206" s="278"/>
      <c r="C206" s="279"/>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409"/>
      <c r="Z206" s="410"/>
      <c r="AA206" s="277"/>
      <c r="AB206" s="277"/>
      <c r="AC206" s="277"/>
      <c r="AD206" s="277"/>
    </row>
    <row r="207" ht="12.75" customHeight="1">
      <c r="A207" s="277"/>
      <c r="B207" s="278"/>
      <c r="C207" s="279"/>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409"/>
      <c r="Z207" s="410"/>
      <c r="AA207" s="277"/>
      <c r="AB207" s="277"/>
      <c r="AC207" s="277"/>
      <c r="AD207" s="277"/>
    </row>
    <row r="208" ht="12.75" customHeight="1">
      <c r="A208" s="277"/>
      <c r="B208" s="278"/>
      <c r="C208" s="279"/>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409"/>
      <c r="Z208" s="410"/>
      <c r="AA208" s="277"/>
      <c r="AB208" s="277"/>
      <c r="AC208" s="277"/>
      <c r="AD208" s="277"/>
    </row>
    <row r="209" ht="12.75" customHeight="1">
      <c r="A209" s="277"/>
      <c r="B209" s="278"/>
      <c r="C209" s="279"/>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409"/>
      <c r="Z209" s="410"/>
      <c r="AA209" s="277"/>
      <c r="AB209" s="277"/>
      <c r="AC209" s="277"/>
      <c r="AD209" s="277"/>
    </row>
    <row r="210" ht="12.75" customHeight="1">
      <c r="A210" s="277"/>
      <c r="B210" s="278"/>
      <c r="C210" s="279"/>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409"/>
      <c r="Z210" s="410"/>
      <c r="AA210" s="277"/>
      <c r="AB210" s="277"/>
      <c r="AC210" s="277"/>
      <c r="AD210" s="277"/>
    </row>
    <row r="211" ht="12.75" customHeight="1">
      <c r="A211" s="277"/>
      <c r="B211" s="278"/>
      <c r="C211" s="279"/>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409"/>
      <c r="Z211" s="410"/>
      <c r="AA211" s="277"/>
      <c r="AB211" s="277"/>
      <c r="AC211" s="277"/>
      <c r="AD211" s="277"/>
    </row>
    <row r="212" ht="12.75" customHeight="1">
      <c r="A212" s="277"/>
      <c r="B212" s="278"/>
      <c r="C212" s="279"/>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409"/>
      <c r="Z212" s="410"/>
      <c r="AA212" s="277"/>
      <c r="AB212" s="277"/>
      <c r="AC212" s="277"/>
      <c r="AD212" s="277"/>
    </row>
    <row r="213" ht="12.75" customHeight="1">
      <c r="A213" s="277"/>
      <c r="B213" s="278"/>
      <c r="C213" s="279"/>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409"/>
      <c r="Z213" s="410"/>
      <c r="AA213" s="277"/>
      <c r="AB213" s="277"/>
      <c r="AC213" s="277"/>
      <c r="AD213" s="277"/>
    </row>
    <row r="214" ht="12.75" customHeight="1">
      <c r="A214" s="277"/>
      <c r="B214" s="278"/>
      <c r="C214" s="279"/>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409"/>
      <c r="Z214" s="410"/>
      <c r="AA214" s="277"/>
      <c r="AB214" s="277"/>
      <c r="AC214" s="277"/>
      <c r="AD214" s="277"/>
    </row>
    <row r="215" ht="12.75" customHeight="1">
      <c r="A215" s="277"/>
      <c r="B215" s="278"/>
      <c r="C215" s="279"/>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409"/>
      <c r="Z215" s="410"/>
      <c r="AA215" s="277"/>
      <c r="AB215" s="277"/>
      <c r="AC215" s="277"/>
      <c r="AD215" s="277"/>
    </row>
    <row r="216" ht="12.75" customHeight="1">
      <c r="A216" s="277"/>
      <c r="B216" s="278"/>
      <c r="C216" s="279"/>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409"/>
      <c r="Z216" s="410"/>
      <c r="AA216" s="277"/>
      <c r="AB216" s="277"/>
      <c r="AC216" s="277"/>
      <c r="AD216" s="277"/>
    </row>
    <row r="217" ht="12.75" customHeight="1">
      <c r="A217" s="277"/>
      <c r="B217" s="278"/>
      <c r="C217" s="279"/>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409"/>
      <c r="Z217" s="410"/>
      <c r="AA217" s="277"/>
      <c r="AB217" s="277"/>
      <c r="AC217" s="277"/>
      <c r="AD217" s="277"/>
    </row>
    <row r="218" ht="12.75" customHeight="1">
      <c r="A218" s="277"/>
      <c r="B218" s="278"/>
      <c r="C218" s="279"/>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409"/>
      <c r="Z218" s="410"/>
      <c r="AA218" s="277"/>
      <c r="AB218" s="277"/>
      <c r="AC218" s="277"/>
      <c r="AD218" s="277"/>
    </row>
    <row r="219" ht="12.75" customHeight="1">
      <c r="A219" s="277"/>
      <c r="B219" s="278"/>
      <c r="C219" s="279"/>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409"/>
      <c r="Z219" s="410"/>
      <c r="AA219" s="277"/>
      <c r="AB219" s="277"/>
      <c r="AC219" s="277"/>
      <c r="AD219" s="277"/>
    </row>
    <row r="220" ht="12.75" customHeight="1">
      <c r="A220" s="277"/>
      <c r="B220" s="278"/>
      <c r="C220" s="279"/>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409"/>
      <c r="Z220" s="410"/>
      <c r="AA220" s="277"/>
      <c r="AB220" s="277"/>
      <c r="AC220" s="277"/>
      <c r="AD220" s="277"/>
    </row>
    <row r="221" ht="12.75" customHeight="1">
      <c r="A221" s="277"/>
      <c r="B221" s="278"/>
      <c r="C221" s="279"/>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409"/>
      <c r="Z221" s="410"/>
      <c r="AA221" s="277"/>
      <c r="AB221" s="277"/>
      <c r="AC221" s="277"/>
      <c r="AD221" s="277"/>
    </row>
    <row r="222" ht="12.75" customHeight="1">
      <c r="A222" s="277"/>
      <c r="B222" s="278"/>
      <c r="C222" s="279"/>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409"/>
      <c r="Z222" s="410"/>
      <c r="AA222" s="277"/>
      <c r="AB222" s="277"/>
      <c r="AC222" s="277"/>
      <c r="AD222" s="277"/>
    </row>
    <row r="223" ht="12.75" customHeight="1">
      <c r="A223" s="277"/>
      <c r="B223" s="278"/>
      <c r="C223" s="279"/>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409"/>
      <c r="Z223" s="410"/>
      <c r="AA223" s="277"/>
      <c r="AB223" s="277"/>
      <c r="AC223" s="277"/>
      <c r="AD223" s="277"/>
    </row>
    <row r="224" ht="12.75" customHeight="1">
      <c r="A224" s="277"/>
      <c r="B224" s="278"/>
      <c r="C224" s="279"/>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409"/>
      <c r="Z224" s="410"/>
      <c r="AA224" s="277"/>
      <c r="AB224" s="277"/>
      <c r="AC224" s="277"/>
      <c r="AD224" s="277"/>
    </row>
    <row r="225" ht="12.75" customHeight="1">
      <c r="A225" s="277"/>
      <c r="B225" s="278"/>
      <c r="C225" s="279"/>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409"/>
      <c r="Z225" s="410"/>
      <c r="AA225" s="277"/>
      <c r="AB225" s="277"/>
      <c r="AC225" s="277"/>
      <c r="AD225" s="277"/>
    </row>
    <row r="226" ht="12.75" customHeight="1">
      <c r="A226" s="277"/>
      <c r="B226" s="278"/>
      <c r="C226" s="279"/>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409"/>
      <c r="Z226" s="410"/>
      <c r="AA226" s="277"/>
      <c r="AB226" s="277"/>
      <c r="AC226" s="277"/>
      <c r="AD226" s="277"/>
    </row>
    <row r="227" ht="12.75" customHeight="1">
      <c r="A227" s="277"/>
      <c r="B227" s="278"/>
      <c r="C227" s="279"/>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409"/>
      <c r="Z227" s="410"/>
      <c r="AA227" s="277"/>
      <c r="AB227" s="277"/>
      <c r="AC227" s="277"/>
      <c r="AD227" s="277"/>
    </row>
    <row r="228" ht="12.75" customHeight="1">
      <c r="A228" s="277"/>
      <c r="B228" s="278"/>
      <c r="C228" s="279"/>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409"/>
      <c r="Z228" s="410"/>
      <c r="AA228" s="277"/>
      <c r="AB228" s="277"/>
      <c r="AC228" s="277"/>
      <c r="AD228" s="277"/>
    </row>
    <row r="229" ht="12.75" customHeight="1">
      <c r="A229" s="277"/>
      <c r="B229" s="278"/>
      <c r="C229" s="279"/>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409"/>
      <c r="Z229" s="410"/>
      <c r="AA229" s="277"/>
      <c r="AB229" s="277"/>
      <c r="AC229" s="277"/>
      <c r="AD229" s="277"/>
    </row>
    <row r="230" ht="12.75" customHeight="1">
      <c r="A230" s="277"/>
      <c r="B230" s="278"/>
      <c r="C230" s="279"/>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409"/>
      <c r="Z230" s="410"/>
      <c r="AA230" s="277"/>
      <c r="AB230" s="277"/>
      <c r="AC230" s="277"/>
      <c r="AD230" s="277"/>
    </row>
    <row r="231" ht="12.75" customHeight="1">
      <c r="A231" s="277"/>
      <c r="B231" s="278"/>
      <c r="C231" s="279"/>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409"/>
      <c r="Z231" s="410"/>
      <c r="AA231" s="277"/>
      <c r="AB231" s="277"/>
      <c r="AC231" s="277"/>
      <c r="AD231" s="277"/>
    </row>
    <row r="232" ht="12.75" customHeight="1">
      <c r="A232" s="277"/>
      <c r="B232" s="278"/>
      <c r="C232" s="279"/>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409"/>
      <c r="Z232" s="410"/>
      <c r="AA232" s="277"/>
      <c r="AB232" s="277"/>
      <c r="AC232" s="277"/>
      <c r="AD232" s="277"/>
    </row>
    <row r="233" ht="12.75" customHeight="1">
      <c r="A233" s="277"/>
      <c r="B233" s="278"/>
      <c r="C233" s="279"/>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409"/>
      <c r="Z233" s="410"/>
      <c r="AA233" s="277"/>
      <c r="AB233" s="277"/>
      <c r="AC233" s="277"/>
      <c r="AD233" s="277"/>
    </row>
    <row r="234" ht="12.75" customHeight="1">
      <c r="A234" s="277"/>
      <c r="B234" s="278"/>
      <c r="C234" s="279"/>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409"/>
      <c r="Z234" s="410"/>
      <c r="AA234" s="277"/>
      <c r="AB234" s="277"/>
      <c r="AC234" s="277"/>
      <c r="AD234" s="277"/>
    </row>
    <row r="235" ht="12.75" customHeight="1">
      <c r="A235" s="277"/>
      <c r="B235" s="278"/>
      <c r="C235" s="279"/>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409"/>
      <c r="Z235" s="410"/>
      <c r="AA235" s="277"/>
      <c r="AB235" s="277"/>
      <c r="AC235" s="277"/>
      <c r="AD235" s="277"/>
    </row>
    <row r="236" ht="12.75" customHeight="1">
      <c r="A236" s="277"/>
      <c r="B236" s="278"/>
      <c r="C236" s="279"/>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409"/>
      <c r="Z236" s="410"/>
      <c r="AA236" s="277"/>
      <c r="AB236" s="277"/>
      <c r="AC236" s="277"/>
      <c r="AD236" s="277"/>
    </row>
    <row r="237" ht="12.75" customHeight="1">
      <c r="A237" s="277"/>
      <c r="B237" s="278"/>
      <c r="C237" s="279"/>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409"/>
      <c r="Z237" s="410"/>
      <c r="AA237" s="277"/>
      <c r="AB237" s="277"/>
      <c r="AC237" s="277"/>
      <c r="AD237" s="277"/>
    </row>
    <row r="238" ht="12.75" customHeight="1">
      <c r="A238" s="277"/>
      <c r="B238" s="278"/>
      <c r="C238" s="279"/>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409"/>
      <c r="Z238" s="410"/>
      <c r="AA238" s="277"/>
      <c r="AB238" s="277"/>
      <c r="AC238" s="277"/>
      <c r="AD238" s="277"/>
    </row>
    <row r="239" ht="12.75" customHeight="1">
      <c r="A239" s="277"/>
      <c r="B239" s="278"/>
      <c r="C239" s="279"/>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409"/>
      <c r="Z239" s="410"/>
      <c r="AA239" s="277"/>
      <c r="AB239" s="277"/>
      <c r="AC239" s="277"/>
      <c r="AD239" s="277"/>
    </row>
    <row r="240" ht="12.75" customHeight="1">
      <c r="A240" s="277"/>
      <c r="B240" s="278"/>
      <c r="C240" s="279"/>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409"/>
      <c r="Z240" s="410"/>
      <c r="AA240" s="277"/>
      <c r="AB240" s="277"/>
      <c r="AC240" s="277"/>
      <c r="AD240" s="277"/>
    </row>
    <row r="241" ht="12.75" customHeight="1">
      <c r="A241" s="277"/>
      <c r="B241" s="278"/>
      <c r="C241" s="279"/>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409"/>
      <c r="Z241" s="410"/>
      <c r="AA241" s="277"/>
      <c r="AB241" s="277"/>
      <c r="AC241" s="277"/>
      <c r="AD241" s="277"/>
    </row>
    <row r="242" ht="12.75" customHeight="1">
      <c r="A242" s="277"/>
      <c r="B242" s="278"/>
      <c r="C242" s="279"/>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409"/>
      <c r="Z242" s="410"/>
      <c r="AA242" s="277"/>
      <c r="AB242" s="277"/>
      <c r="AC242" s="277"/>
      <c r="AD242" s="277"/>
    </row>
    <row r="243" ht="12.75" customHeight="1">
      <c r="A243" s="277"/>
      <c r="B243" s="278"/>
      <c r="C243" s="279"/>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409"/>
      <c r="Z243" s="410"/>
      <c r="AA243" s="277"/>
      <c r="AB243" s="277"/>
      <c r="AC243" s="277"/>
      <c r="AD243" s="277"/>
    </row>
    <row r="244" ht="12.75" customHeight="1">
      <c r="A244" s="277"/>
      <c r="B244" s="278"/>
      <c r="C244" s="279"/>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409"/>
      <c r="Z244" s="410"/>
      <c r="AA244" s="277"/>
      <c r="AB244" s="277"/>
      <c r="AC244" s="277"/>
      <c r="AD244" s="277"/>
    </row>
    <row r="245" ht="12.75" customHeight="1">
      <c r="A245" s="277"/>
      <c r="B245" s="278"/>
      <c r="C245" s="279"/>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409"/>
      <c r="Z245" s="410"/>
      <c r="AA245" s="277"/>
      <c r="AB245" s="277"/>
      <c r="AC245" s="277"/>
      <c r="AD245" s="277"/>
    </row>
    <row r="246" ht="12.75" customHeight="1">
      <c r="A246" s="277"/>
      <c r="B246" s="278"/>
      <c r="C246" s="279"/>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409"/>
      <c r="Z246" s="410"/>
      <c r="AA246" s="277"/>
      <c r="AB246" s="277"/>
      <c r="AC246" s="277"/>
      <c r="AD246" s="277"/>
    </row>
    <row r="247" ht="12.75" customHeight="1">
      <c r="A247" s="277"/>
      <c r="B247" s="278"/>
      <c r="C247" s="279"/>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409"/>
      <c r="Z247" s="410"/>
      <c r="AA247" s="277"/>
      <c r="AB247" s="277"/>
      <c r="AC247" s="277"/>
      <c r="AD247" s="277"/>
    </row>
    <row r="248" ht="12.75" customHeight="1">
      <c r="A248" s="277"/>
      <c r="B248" s="278"/>
      <c r="C248" s="279"/>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409"/>
      <c r="Z248" s="410"/>
      <c r="AA248" s="277"/>
      <c r="AB248" s="277"/>
      <c r="AC248" s="277"/>
      <c r="AD248" s="277"/>
    </row>
    <row r="249" ht="12.75" customHeight="1">
      <c r="A249" s="277"/>
      <c r="B249" s="278"/>
      <c r="C249" s="279"/>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409"/>
      <c r="Z249" s="410"/>
      <c r="AA249" s="277"/>
      <c r="AB249" s="277"/>
      <c r="AC249" s="277"/>
      <c r="AD249" s="277"/>
    </row>
    <row r="250" ht="12.75" customHeight="1">
      <c r="A250" s="277"/>
      <c r="B250" s="278"/>
      <c r="C250" s="279"/>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409"/>
      <c r="Z250" s="410"/>
      <c r="AA250" s="277"/>
      <c r="AB250" s="277"/>
      <c r="AC250" s="277"/>
      <c r="AD250" s="277"/>
    </row>
    <row r="251" ht="12.75" customHeight="1">
      <c r="A251" s="277"/>
      <c r="B251" s="278"/>
      <c r="C251" s="279"/>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409"/>
      <c r="Z251" s="410"/>
      <c r="AA251" s="277"/>
      <c r="AB251" s="277"/>
      <c r="AC251" s="277"/>
      <c r="AD251" s="277"/>
    </row>
    <row r="252" ht="12.75" customHeight="1">
      <c r="A252" s="277"/>
      <c r="B252" s="278"/>
      <c r="C252" s="279"/>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409"/>
      <c r="Z252" s="410"/>
      <c r="AA252" s="277"/>
      <c r="AB252" s="277"/>
      <c r="AC252" s="277"/>
      <c r="AD252" s="277"/>
    </row>
    <row r="253" ht="12.75" customHeight="1">
      <c r="A253" s="277"/>
      <c r="B253" s="278"/>
      <c r="C253" s="279"/>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409"/>
      <c r="Z253" s="410"/>
      <c r="AA253" s="277"/>
      <c r="AB253" s="277"/>
      <c r="AC253" s="277"/>
      <c r="AD253" s="277"/>
    </row>
    <row r="254" ht="12.75" customHeight="1">
      <c r="A254" s="277"/>
      <c r="B254" s="278"/>
      <c r="C254" s="279"/>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409"/>
      <c r="Z254" s="410"/>
      <c r="AA254" s="277"/>
      <c r="AB254" s="277"/>
      <c r="AC254" s="277"/>
      <c r="AD254" s="277"/>
    </row>
    <row r="255" ht="12.75" customHeight="1">
      <c r="A255" s="277"/>
      <c r="B255" s="278"/>
      <c r="C255" s="279"/>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409"/>
      <c r="Z255" s="410"/>
      <c r="AA255" s="277"/>
      <c r="AB255" s="277"/>
      <c r="AC255" s="277"/>
      <c r="AD255" s="277"/>
    </row>
    <row r="256" ht="12.75" customHeight="1">
      <c r="A256" s="277"/>
      <c r="B256" s="278"/>
      <c r="C256" s="279"/>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409"/>
      <c r="Z256" s="410"/>
      <c r="AA256" s="277"/>
      <c r="AB256" s="277"/>
      <c r="AC256" s="277"/>
      <c r="AD256" s="277"/>
    </row>
    <row r="257" ht="12.75" customHeight="1">
      <c r="A257" s="277"/>
      <c r="B257" s="278"/>
      <c r="C257" s="279"/>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409"/>
      <c r="Z257" s="410"/>
      <c r="AA257" s="277"/>
      <c r="AB257" s="277"/>
      <c r="AC257" s="277"/>
      <c r="AD257" s="277"/>
    </row>
    <row r="258" ht="12.75" customHeight="1">
      <c r="A258" s="277"/>
      <c r="B258" s="278"/>
      <c r="C258" s="279"/>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409"/>
      <c r="Z258" s="410"/>
      <c r="AA258" s="277"/>
      <c r="AB258" s="277"/>
      <c r="AC258" s="277"/>
      <c r="AD258" s="277"/>
    </row>
    <row r="259" ht="12.75" customHeight="1">
      <c r="A259" s="277"/>
      <c r="B259" s="278"/>
      <c r="C259" s="279"/>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409"/>
      <c r="Z259" s="410"/>
      <c r="AA259" s="277"/>
      <c r="AB259" s="277"/>
      <c r="AC259" s="277"/>
      <c r="AD259" s="277"/>
    </row>
    <row r="260" ht="12.75" customHeight="1">
      <c r="A260" s="277"/>
      <c r="B260" s="278"/>
      <c r="C260" s="279"/>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409"/>
      <c r="Z260" s="410"/>
      <c r="AA260" s="277"/>
      <c r="AB260" s="277"/>
      <c r="AC260" s="277"/>
      <c r="AD260" s="277"/>
    </row>
    <row r="261" ht="12.75" customHeight="1">
      <c r="A261" s="277"/>
      <c r="B261" s="278"/>
      <c r="C261" s="279"/>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409"/>
      <c r="Z261" s="410"/>
      <c r="AA261" s="277"/>
      <c r="AB261" s="277"/>
      <c r="AC261" s="277"/>
      <c r="AD261" s="277"/>
    </row>
    <row r="262" ht="12.75" customHeight="1">
      <c r="A262" s="277"/>
      <c r="B262" s="278"/>
      <c r="C262" s="279"/>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409"/>
      <c r="Z262" s="410"/>
      <c r="AA262" s="277"/>
      <c r="AB262" s="277"/>
      <c r="AC262" s="277"/>
      <c r="AD262" s="277"/>
    </row>
    <row r="263" ht="12.75" customHeight="1">
      <c r="A263" s="277"/>
      <c r="B263" s="278"/>
      <c r="C263" s="279"/>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409"/>
      <c r="Z263" s="410"/>
      <c r="AA263" s="277"/>
      <c r="AB263" s="277"/>
      <c r="AC263" s="277"/>
      <c r="AD263" s="277"/>
    </row>
    <row r="264" ht="12.75" customHeight="1">
      <c r="A264" s="277"/>
      <c r="B264" s="278"/>
      <c r="C264" s="279"/>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409"/>
      <c r="Z264" s="410"/>
      <c r="AA264" s="277"/>
      <c r="AB264" s="277"/>
      <c r="AC264" s="277"/>
      <c r="AD264" s="277"/>
    </row>
    <row r="265" ht="12.75" customHeight="1">
      <c r="A265" s="277"/>
      <c r="B265" s="278"/>
      <c r="C265" s="279"/>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409"/>
      <c r="Z265" s="410"/>
      <c r="AA265" s="277"/>
      <c r="AB265" s="277"/>
      <c r="AC265" s="277"/>
      <c r="AD265" s="277"/>
    </row>
    <row r="266" ht="12.75" customHeight="1">
      <c r="A266" s="277"/>
      <c r="B266" s="278"/>
      <c r="C266" s="279"/>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409"/>
      <c r="Z266" s="410"/>
      <c r="AA266" s="277"/>
      <c r="AB266" s="277"/>
      <c r="AC266" s="277"/>
      <c r="AD266" s="277"/>
    </row>
    <row r="267" ht="12.75" customHeight="1">
      <c r="A267" s="277"/>
      <c r="B267" s="278"/>
      <c r="C267" s="279"/>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409"/>
      <c r="Z267" s="410"/>
      <c r="AA267" s="277"/>
      <c r="AB267" s="277"/>
      <c r="AC267" s="277"/>
      <c r="AD267" s="277"/>
    </row>
    <row r="268" ht="12.75" customHeight="1">
      <c r="A268" s="277"/>
      <c r="B268" s="278"/>
      <c r="C268" s="279"/>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409"/>
      <c r="Z268" s="410"/>
      <c r="AA268" s="277"/>
      <c r="AB268" s="277"/>
      <c r="AC268" s="277"/>
      <c r="AD268" s="277"/>
    </row>
    <row r="269" ht="12.75" customHeight="1">
      <c r="A269" s="277"/>
      <c r="B269" s="278"/>
      <c r="C269" s="279"/>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409"/>
      <c r="Z269" s="410"/>
      <c r="AA269" s="277"/>
      <c r="AB269" s="277"/>
      <c r="AC269" s="277"/>
      <c r="AD269" s="277"/>
    </row>
    <row r="270" ht="12.75" customHeight="1">
      <c r="A270" s="277"/>
      <c r="B270" s="278"/>
      <c r="C270" s="279"/>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409"/>
      <c r="Z270" s="410"/>
      <c r="AA270" s="277"/>
      <c r="AB270" s="277"/>
      <c r="AC270" s="277"/>
      <c r="AD270" s="277"/>
    </row>
    <row r="271" ht="12.75" customHeight="1">
      <c r="A271" s="277"/>
      <c r="B271" s="278"/>
      <c r="C271" s="279"/>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409"/>
      <c r="Z271" s="410"/>
      <c r="AA271" s="277"/>
      <c r="AB271" s="277"/>
      <c r="AC271" s="277"/>
      <c r="AD271" s="277"/>
    </row>
    <row r="272" ht="12.75" customHeight="1">
      <c r="A272" s="277"/>
      <c r="B272" s="278"/>
      <c r="C272" s="279"/>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409"/>
      <c r="Z272" s="410"/>
      <c r="AA272" s="277"/>
      <c r="AB272" s="277"/>
      <c r="AC272" s="277"/>
      <c r="AD272" s="277"/>
    </row>
    <row r="273" ht="12.75" customHeight="1">
      <c r="A273" s="277"/>
      <c r="B273" s="278"/>
      <c r="C273" s="279"/>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409"/>
      <c r="Z273" s="410"/>
      <c r="AA273" s="277"/>
      <c r="AB273" s="277"/>
      <c r="AC273" s="277"/>
      <c r="AD273" s="277"/>
    </row>
    <row r="274" ht="12.75" customHeight="1">
      <c r="A274" s="277"/>
      <c r="B274" s="278"/>
      <c r="C274" s="279"/>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409"/>
      <c r="Z274" s="410"/>
      <c r="AA274" s="277"/>
      <c r="AB274" s="277"/>
      <c r="AC274" s="277"/>
      <c r="AD274" s="277"/>
    </row>
    <row r="275" ht="12.75" customHeight="1">
      <c r="A275" s="277"/>
      <c r="B275" s="278"/>
      <c r="C275" s="279"/>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409"/>
      <c r="Z275" s="410"/>
      <c r="AA275" s="277"/>
      <c r="AB275" s="277"/>
      <c r="AC275" s="277"/>
      <c r="AD275" s="277"/>
    </row>
    <row r="276" ht="12.75" customHeight="1">
      <c r="A276" s="277"/>
      <c r="B276" s="278"/>
      <c r="C276" s="279"/>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409"/>
      <c r="Z276" s="410"/>
      <c r="AA276" s="277"/>
      <c r="AB276" s="277"/>
      <c r="AC276" s="277"/>
      <c r="AD276" s="277"/>
    </row>
    <row r="277" ht="12.75" customHeight="1">
      <c r="A277" s="277"/>
      <c r="B277" s="278"/>
      <c r="C277" s="279"/>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409"/>
      <c r="Z277" s="410"/>
      <c r="AA277" s="277"/>
      <c r="AB277" s="277"/>
      <c r="AC277" s="277"/>
      <c r="AD277" s="277"/>
    </row>
    <row r="278" ht="12.75" customHeight="1">
      <c r="A278" s="277"/>
      <c r="B278" s="278"/>
      <c r="C278" s="279"/>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409"/>
      <c r="Z278" s="410"/>
      <c r="AA278" s="277"/>
      <c r="AB278" s="277"/>
      <c r="AC278" s="277"/>
      <c r="AD278" s="277"/>
    </row>
    <row r="279" ht="12.75" customHeight="1">
      <c r="A279" s="277"/>
      <c r="B279" s="278"/>
      <c r="C279" s="279"/>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409"/>
      <c r="Z279" s="410"/>
      <c r="AA279" s="277"/>
      <c r="AB279" s="277"/>
      <c r="AC279" s="277"/>
      <c r="AD279" s="277"/>
    </row>
    <row r="280" ht="12.75" customHeight="1">
      <c r="A280" s="277"/>
      <c r="B280" s="278"/>
      <c r="C280" s="279"/>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409"/>
      <c r="Z280" s="410"/>
      <c r="AA280" s="277"/>
      <c r="AB280" s="277"/>
      <c r="AC280" s="277"/>
      <c r="AD280" s="277"/>
    </row>
    <row r="281" ht="12.75" customHeight="1">
      <c r="A281" s="277"/>
      <c r="B281" s="278"/>
      <c r="C281" s="279"/>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409"/>
      <c r="Z281" s="410"/>
      <c r="AA281" s="277"/>
      <c r="AB281" s="277"/>
      <c r="AC281" s="277"/>
      <c r="AD281" s="277"/>
    </row>
    <row r="282" ht="12.75" customHeight="1">
      <c r="A282" s="277"/>
      <c r="B282" s="278"/>
      <c r="C282" s="279"/>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409"/>
      <c r="Z282" s="410"/>
      <c r="AA282" s="277"/>
      <c r="AB282" s="277"/>
      <c r="AC282" s="277"/>
      <c r="AD282" s="277"/>
    </row>
    <row r="283" ht="12.75" customHeight="1">
      <c r="A283" s="277"/>
      <c r="B283" s="278"/>
      <c r="C283" s="279"/>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409"/>
      <c r="Z283" s="410"/>
      <c r="AA283" s="277"/>
      <c r="AB283" s="277"/>
      <c r="AC283" s="277"/>
      <c r="AD283" s="277"/>
    </row>
    <row r="284" ht="12.75" customHeight="1">
      <c r="A284" s="277"/>
      <c r="B284" s="278"/>
      <c r="C284" s="279"/>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409"/>
      <c r="Z284" s="410"/>
      <c r="AA284" s="277"/>
      <c r="AB284" s="277"/>
      <c r="AC284" s="277"/>
      <c r="AD284" s="277"/>
    </row>
    <row r="285" ht="12.75" customHeight="1">
      <c r="A285" s="277"/>
      <c r="B285" s="278"/>
      <c r="C285" s="279"/>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409"/>
      <c r="Z285" s="410"/>
      <c r="AA285" s="277"/>
      <c r="AB285" s="277"/>
      <c r="AC285" s="277"/>
      <c r="AD285" s="277"/>
    </row>
    <row r="286" ht="12.75" customHeight="1">
      <c r="A286" s="277"/>
      <c r="B286" s="278"/>
      <c r="C286" s="279"/>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409"/>
      <c r="Z286" s="410"/>
      <c r="AA286" s="277"/>
      <c r="AB286" s="277"/>
      <c r="AC286" s="277"/>
      <c r="AD286" s="277"/>
    </row>
    <row r="287" ht="12.75" customHeight="1">
      <c r="A287" s="277"/>
      <c r="B287" s="278"/>
      <c r="C287" s="279"/>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409"/>
      <c r="Z287" s="410"/>
      <c r="AA287" s="277"/>
      <c r="AB287" s="277"/>
      <c r="AC287" s="277"/>
      <c r="AD287" s="277"/>
    </row>
    <row r="288" ht="12.75" customHeight="1">
      <c r="A288" s="277"/>
      <c r="B288" s="278"/>
      <c r="C288" s="279"/>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409"/>
      <c r="Z288" s="410"/>
      <c r="AA288" s="277"/>
      <c r="AB288" s="277"/>
      <c r="AC288" s="277"/>
      <c r="AD288" s="277"/>
    </row>
    <row r="289" ht="12.75" customHeight="1">
      <c r="A289" s="277"/>
      <c r="B289" s="278"/>
      <c r="C289" s="279"/>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409"/>
      <c r="Z289" s="410"/>
      <c r="AA289" s="277"/>
      <c r="AB289" s="277"/>
      <c r="AC289" s="277"/>
      <c r="AD289" s="277"/>
    </row>
    <row r="290" ht="12.75" customHeight="1">
      <c r="A290" s="277"/>
      <c r="B290" s="278"/>
      <c r="C290" s="279"/>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409"/>
      <c r="Z290" s="410"/>
      <c r="AA290" s="277"/>
      <c r="AB290" s="277"/>
      <c r="AC290" s="277"/>
      <c r="AD290" s="277"/>
    </row>
    <row r="291" ht="12.75" customHeight="1">
      <c r="A291" s="277"/>
      <c r="B291" s="278"/>
      <c r="C291" s="279"/>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409"/>
      <c r="Z291" s="410"/>
      <c r="AA291" s="277"/>
      <c r="AB291" s="277"/>
      <c r="AC291" s="277"/>
      <c r="AD291" s="277"/>
    </row>
    <row r="292" ht="12.75" customHeight="1">
      <c r="A292" s="277"/>
      <c r="B292" s="278"/>
      <c r="C292" s="279"/>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409"/>
      <c r="Z292" s="410"/>
      <c r="AA292" s="277"/>
      <c r="AB292" s="277"/>
      <c r="AC292" s="277"/>
      <c r="AD292" s="277"/>
    </row>
    <row r="293" ht="12.75" customHeight="1">
      <c r="A293" s="277"/>
      <c r="B293" s="278"/>
      <c r="C293" s="279"/>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409"/>
      <c r="Z293" s="410"/>
      <c r="AA293" s="277"/>
      <c r="AB293" s="277"/>
      <c r="AC293" s="277"/>
      <c r="AD293" s="277"/>
    </row>
    <row r="294" ht="12.75" customHeight="1">
      <c r="A294" s="277"/>
      <c r="B294" s="278"/>
      <c r="C294" s="279"/>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409"/>
      <c r="Z294" s="410"/>
      <c r="AA294" s="277"/>
      <c r="AB294" s="277"/>
      <c r="AC294" s="277"/>
      <c r="AD294" s="277"/>
    </row>
    <row r="295" ht="12.75" customHeight="1">
      <c r="A295" s="277"/>
      <c r="B295" s="278"/>
      <c r="C295" s="279"/>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409"/>
      <c r="Z295" s="410"/>
      <c r="AA295" s="277"/>
      <c r="AB295" s="277"/>
      <c r="AC295" s="277"/>
      <c r="AD295" s="277"/>
    </row>
    <row r="296" ht="12.75" customHeight="1">
      <c r="A296" s="277"/>
      <c r="B296" s="278"/>
      <c r="C296" s="279"/>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409"/>
      <c r="Z296" s="410"/>
      <c r="AA296" s="277"/>
      <c r="AB296" s="277"/>
      <c r="AC296" s="277"/>
      <c r="AD296" s="277"/>
    </row>
    <row r="297" ht="12.75" customHeight="1">
      <c r="A297" s="277"/>
      <c r="B297" s="278"/>
      <c r="C297" s="279"/>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409"/>
      <c r="Z297" s="410"/>
      <c r="AA297" s="277"/>
      <c r="AB297" s="277"/>
      <c r="AC297" s="277"/>
      <c r="AD297" s="277"/>
    </row>
    <row r="298" ht="12.75" customHeight="1">
      <c r="A298" s="277"/>
      <c r="B298" s="278"/>
      <c r="C298" s="279"/>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409"/>
      <c r="Z298" s="410"/>
      <c r="AA298" s="277"/>
      <c r="AB298" s="277"/>
      <c r="AC298" s="277"/>
      <c r="AD298" s="277"/>
    </row>
    <row r="299" ht="12.75" customHeight="1">
      <c r="A299" s="277"/>
      <c r="B299" s="278"/>
      <c r="C299" s="279"/>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409"/>
      <c r="Z299" s="410"/>
      <c r="AA299" s="277"/>
      <c r="AB299" s="277"/>
      <c r="AC299" s="277"/>
      <c r="AD299" s="277"/>
    </row>
    <row r="300" ht="12.75" customHeight="1">
      <c r="A300" s="277"/>
      <c r="B300" s="278"/>
      <c r="C300" s="279"/>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409"/>
      <c r="Z300" s="410"/>
      <c r="AA300" s="277"/>
      <c r="AB300" s="277"/>
      <c r="AC300" s="277"/>
      <c r="AD300" s="277"/>
    </row>
    <row r="301" ht="12.75" customHeight="1">
      <c r="A301" s="277"/>
      <c r="B301" s="278"/>
      <c r="C301" s="279"/>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409"/>
      <c r="Z301" s="410"/>
      <c r="AA301" s="277"/>
      <c r="AB301" s="277"/>
      <c r="AC301" s="277"/>
      <c r="AD301" s="277"/>
    </row>
    <row r="302" ht="12.75" customHeight="1">
      <c r="A302" s="277"/>
      <c r="B302" s="278"/>
      <c r="C302" s="279"/>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409"/>
      <c r="Z302" s="410"/>
      <c r="AA302" s="277"/>
      <c r="AB302" s="277"/>
      <c r="AC302" s="277"/>
      <c r="AD302" s="277"/>
    </row>
    <row r="303" ht="12.75" customHeight="1">
      <c r="A303" s="277"/>
      <c r="B303" s="278"/>
      <c r="C303" s="279"/>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409"/>
      <c r="Z303" s="410"/>
      <c r="AA303" s="277"/>
      <c r="AB303" s="277"/>
      <c r="AC303" s="277"/>
      <c r="AD303" s="277"/>
    </row>
    <row r="304" ht="12.75" customHeight="1">
      <c r="A304" s="277"/>
      <c r="B304" s="278"/>
      <c r="C304" s="279"/>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409"/>
      <c r="Z304" s="410"/>
      <c r="AA304" s="277"/>
      <c r="AB304" s="277"/>
      <c r="AC304" s="277"/>
      <c r="AD304" s="277"/>
    </row>
    <row r="305" ht="12.75" customHeight="1">
      <c r="A305" s="277"/>
      <c r="B305" s="278"/>
      <c r="C305" s="279"/>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409"/>
      <c r="Z305" s="410"/>
      <c r="AA305" s="277"/>
      <c r="AB305" s="277"/>
      <c r="AC305" s="277"/>
      <c r="AD305" s="277"/>
    </row>
    <row r="306" ht="12.75" customHeight="1">
      <c r="A306" s="277"/>
      <c r="B306" s="278"/>
      <c r="C306" s="279"/>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409"/>
      <c r="Z306" s="410"/>
      <c r="AA306" s="277"/>
      <c r="AB306" s="277"/>
      <c r="AC306" s="277"/>
      <c r="AD306" s="277"/>
    </row>
    <row r="307" ht="12.75" customHeight="1">
      <c r="A307" s="277"/>
      <c r="B307" s="278"/>
      <c r="C307" s="279"/>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409"/>
      <c r="Z307" s="410"/>
      <c r="AA307" s="277"/>
      <c r="AB307" s="277"/>
      <c r="AC307" s="277"/>
      <c r="AD307" s="277"/>
    </row>
    <row r="308" ht="12.75" customHeight="1">
      <c r="A308" s="277"/>
      <c r="B308" s="278"/>
      <c r="C308" s="279"/>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409"/>
      <c r="Z308" s="410"/>
      <c r="AA308" s="277"/>
      <c r="AB308" s="277"/>
      <c r="AC308" s="277"/>
      <c r="AD308" s="277"/>
    </row>
    <row r="309" ht="12.75" customHeight="1">
      <c r="A309" s="277"/>
      <c r="B309" s="278"/>
      <c r="C309" s="279"/>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409"/>
      <c r="Z309" s="410"/>
      <c r="AA309" s="277"/>
      <c r="AB309" s="277"/>
      <c r="AC309" s="277"/>
      <c r="AD309" s="277"/>
    </row>
    <row r="310" ht="12.75" customHeight="1">
      <c r="A310" s="277"/>
      <c r="B310" s="278"/>
      <c r="C310" s="279"/>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409"/>
      <c r="Z310" s="410"/>
      <c r="AA310" s="277"/>
      <c r="AB310" s="277"/>
      <c r="AC310" s="277"/>
      <c r="AD310" s="277"/>
    </row>
    <row r="311" ht="12.75" customHeight="1">
      <c r="A311" s="277"/>
      <c r="B311" s="278"/>
      <c r="C311" s="279"/>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409"/>
      <c r="Z311" s="410"/>
      <c r="AA311" s="277"/>
      <c r="AB311" s="277"/>
      <c r="AC311" s="277"/>
      <c r="AD311" s="277"/>
    </row>
    <row r="312" ht="12.75" customHeight="1">
      <c r="A312" s="277"/>
      <c r="B312" s="278"/>
      <c r="C312" s="279"/>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409"/>
      <c r="Z312" s="410"/>
      <c r="AA312" s="277"/>
      <c r="AB312" s="277"/>
      <c r="AC312" s="277"/>
      <c r="AD312" s="277"/>
    </row>
    <row r="313" ht="12.75" customHeight="1">
      <c r="A313" s="277"/>
      <c r="B313" s="278"/>
      <c r="C313" s="279"/>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409"/>
      <c r="Z313" s="410"/>
      <c r="AA313" s="277"/>
      <c r="AB313" s="277"/>
      <c r="AC313" s="277"/>
      <c r="AD313" s="277"/>
    </row>
    <row r="314" ht="12.75" customHeight="1">
      <c r="A314" s="277"/>
      <c r="B314" s="278"/>
      <c r="C314" s="279"/>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409"/>
      <c r="Z314" s="410"/>
      <c r="AA314" s="277"/>
      <c r="AB314" s="277"/>
      <c r="AC314" s="277"/>
      <c r="AD314" s="277"/>
    </row>
    <row r="315" ht="12.75" customHeight="1">
      <c r="A315" s="277"/>
      <c r="B315" s="278"/>
      <c r="C315" s="279"/>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409"/>
      <c r="Z315" s="410"/>
      <c r="AA315" s="277"/>
      <c r="AB315" s="277"/>
      <c r="AC315" s="277"/>
      <c r="AD315" s="277"/>
    </row>
    <row r="316" ht="12.75" customHeight="1">
      <c r="A316" s="277"/>
      <c r="B316" s="278"/>
      <c r="C316" s="279"/>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409"/>
      <c r="Z316" s="410"/>
      <c r="AA316" s="277"/>
      <c r="AB316" s="277"/>
      <c r="AC316" s="277"/>
      <c r="AD316" s="277"/>
    </row>
    <row r="317" ht="12.75" customHeight="1">
      <c r="A317" s="277"/>
      <c r="B317" s="278"/>
      <c r="C317" s="279"/>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409"/>
      <c r="Z317" s="410"/>
      <c r="AA317" s="277"/>
      <c r="AB317" s="277"/>
      <c r="AC317" s="277"/>
      <c r="AD317" s="277"/>
    </row>
    <row r="318" ht="12.75" customHeight="1">
      <c r="A318" s="277"/>
      <c r="B318" s="278"/>
      <c r="C318" s="279"/>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409"/>
      <c r="Z318" s="410"/>
      <c r="AA318" s="277"/>
      <c r="AB318" s="277"/>
      <c r="AC318" s="277"/>
      <c r="AD318" s="277"/>
    </row>
    <row r="319" ht="12.75" customHeight="1">
      <c r="A319" s="277"/>
      <c r="B319" s="278"/>
      <c r="C319" s="279"/>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409"/>
      <c r="Z319" s="410"/>
      <c r="AA319" s="277"/>
      <c r="AB319" s="277"/>
      <c r="AC319" s="277"/>
      <c r="AD319" s="277"/>
    </row>
    <row r="320" ht="12.75" customHeight="1">
      <c r="A320" s="277"/>
      <c r="B320" s="278"/>
      <c r="C320" s="279"/>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409"/>
      <c r="Z320" s="410"/>
      <c r="AA320" s="277"/>
      <c r="AB320" s="277"/>
      <c r="AC320" s="277"/>
      <c r="AD320" s="277"/>
    </row>
    <row r="321" ht="12.75" customHeight="1">
      <c r="A321" s="277"/>
      <c r="B321" s="278"/>
      <c r="C321" s="279"/>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409"/>
      <c r="Z321" s="410"/>
      <c r="AA321" s="277"/>
      <c r="AB321" s="277"/>
      <c r="AC321" s="277"/>
      <c r="AD321" s="277"/>
    </row>
    <row r="322" ht="12.75" customHeight="1">
      <c r="A322" s="277"/>
      <c r="B322" s="278"/>
      <c r="C322" s="279"/>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409"/>
      <c r="Z322" s="410"/>
      <c r="AA322" s="277"/>
      <c r="AB322" s="277"/>
      <c r="AC322" s="277"/>
      <c r="AD322" s="277"/>
    </row>
    <row r="323" ht="12.75" customHeight="1">
      <c r="A323" s="277"/>
      <c r="B323" s="278"/>
      <c r="C323" s="279"/>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409"/>
      <c r="Z323" s="410"/>
      <c r="AA323" s="277"/>
      <c r="AB323" s="277"/>
      <c r="AC323" s="277"/>
      <c r="AD323" s="277"/>
    </row>
    <row r="324" ht="12.75" customHeight="1">
      <c r="A324" s="277"/>
      <c r="B324" s="278"/>
      <c r="C324" s="279"/>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409"/>
      <c r="Z324" s="410"/>
      <c r="AA324" s="277"/>
      <c r="AB324" s="277"/>
      <c r="AC324" s="277"/>
      <c r="AD324" s="277"/>
    </row>
    <row r="325" ht="12.75" customHeight="1">
      <c r="A325" s="277"/>
      <c r="B325" s="278"/>
      <c r="C325" s="279"/>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409"/>
      <c r="Z325" s="410"/>
      <c r="AA325" s="277"/>
      <c r="AB325" s="277"/>
      <c r="AC325" s="277"/>
      <c r="AD325" s="277"/>
    </row>
    <row r="326" ht="12.75" customHeight="1">
      <c r="A326" s="277"/>
      <c r="B326" s="278"/>
      <c r="C326" s="279"/>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409"/>
      <c r="Z326" s="410"/>
      <c r="AA326" s="277"/>
      <c r="AB326" s="277"/>
      <c r="AC326" s="277"/>
      <c r="AD326" s="277"/>
    </row>
    <row r="327" ht="12.75" customHeight="1">
      <c r="A327" s="277"/>
      <c r="B327" s="278"/>
      <c r="C327" s="279"/>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409"/>
      <c r="Z327" s="410"/>
      <c r="AA327" s="277"/>
      <c r="AB327" s="277"/>
      <c r="AC327" s="277"/>
      <c r="AD327" s="277"/>
    </row>
    <row r="328" ht="12.75" customHeight="1">
      <c r="A328" s="277"/>
      <c r="B328" s="278"/>
      <c r="C328" s="279"/>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409"/>
      <c r="Z328" s="410"/>
      <c r="AA328" s="277"/>
      <c r="AB328" s="277"/>
      <c r="AC328" s="277"/>
      <c r="AD328" s="277"/>
    </row>
    <row r="329" ht="12.75" customHeight="1">
      <c r="A329" s="277"/>
      <c r="B329" s="278"/>
      <c r="C329" s="279"/>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409"/>
      <c r="Z329" s="410"/>
      <c r="AA329" s="277"/>
      <c r="AB329" s="277"/>
      <c r="AC329" s="277"/>
      <c r="AD329" s="277"/>
    </row>
    <row r="330" ht="12.75" customHeight="1">
      <c r="A330" s="277"/>
      <c r="B330" s="278"/>
      <c r="C330" s="279"/>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409"/>
      <c r="Z330" s="410"/>
      <c r="AA330" s="277"/>
      <c r="AB330" s="277"/>
      <c r="AC330" s="277"/>
      <c r="AD330" s="277"/>
    </row>
    <row r="331" ht="12.75" customHeight="1">
      <c r="A331" s="277"/>
      <c r="B331" s="278"/>
      <c r="C331" s="279"/>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409"/>
      <c r="Z331" s="410"/>
      <c r="AA331" s="277"/>
      <c r="AB331" s="277"/>
      <c r="AC331" s="277"/>
      <c r="AD331" s="277"/>
    </row>
    <row r="332" ht="12.75" customHeight="1">
      <c r="A332" s="277"/>
      <c r="B332" s="278"/>
      <c r="C332" s="279"/>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409"/>
      <c r="Z332" s="410"/>
      <c r="AA332" s="277"/>
      <c r="AB332" s="277"/>
      <c r="AC332" s="277"/>
      <c r="AD332" s="277"/>
    </row>
    <row r="333" ht="12.75" customHeight="1">
      <c r="A333" s="277"/>
      <c r="B333" s="278"/>
      <c r="C333" s="279"/>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409"/>
      <c r="Z333" s="410"/>
      <c r="AA333" s="277"/>
      <c r="AB333" s="277"/>
      <c r="AC333" s="277"/>
      <c r="AD333" s="277"/>
    </row>
    <row r="334" ht="12.75" customHeight="1">
      <c r="A334" s="277"/>
      <c r="B334" s="278"/>
      <c r="C334" s="279"/>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409"/>
      <c r="Z334" s="410"/>
      <c r="AA334" s="277"/>
      <c r="AB334" s="277"/>
      <c r="AC334" s="277"/>
      <c r="AD334" s="277"/>
    </row>
    <row r="335" ht="12.75" customHeight="1">
      <c r="A335" s="277"/>
      <c r="B335" s="278"/>
      <c r="C335" s="279"/>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409"/>
      <c r="Z335" s="410"/>
      <c r="AA335" s="277"/>
      <c r="AB335" s="277"/>
      <c r="AC335" s="277"/>
      <c r="AD335" s="277"/>
    </row>
    <row r="336" ht="12.75" customHeight="1">
      <c r="A336" s="277"/>
      <c r="B336" s="278"/>
      <c r="C336" s="279"/>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409"/>
      <c r="Z336" s="410"/>
      <c r="AA336" s="277"/>
      <c r="AB336" s="277"/>
      <c r="AC336" s="277"/>
      <c r="AD336" s="277"/>
    </row>
    <row r="337" ht="12.75" customHeight="1">
      <c r="A337" s="277"/>
      <c r="B337" s="278"/>
      <c r="C337" s="279"/>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409"/>
      <c r="Z337" s="410"/>
      <c r="AA337" s="277"/>
      <c r="AB337" s="277"/>
      <c r="AC337" s="277"/>
      <c r="AD337" s="277"/>
    </row>
    <row r="338" ht="12.75" customHeight="1">
      <c r="A338" s="277"/>
      <c r="B338" s="278"/>
      <c r="C338" s="279"/>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409"/>
      <c r="Z338" s="410"/>
      <c r="AA338" s="277"/>
      <c r="AB338" s="277"/>
      <c r="AC338" s="277"/>
      <c r="AD338" s="277"/>
    </row>
    <row r="339" ht="12.75" customHeight="1">
      <c r="A339" s="277"/>
      <c r="B339" s="278"/>
      <c r="C339" s="279"/>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409"/>
      <c r="Z339" s="410"/>
      <c r="AA339" s="277"/>
      <c r="AB339" s="277"/>
      <c r="AC339" s="277"/>
      <c r="AD339" s="277"/>
    </row>
    <row r="340" ht="12.75" customHeight="1">
      <c r="A340" s="277"/>
      <c r="B340" s="278"/>
      <c r="C340" s="279"/>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409"/>
      <c r="Z340" s="410"/>
      <c r="AA340" s="277"/>
      <c r="AB340" s="277"/>
      <c r="AC340" s="277"/>
      <c r="AD340" s="277"/>
    </row>
    <row r="341" ht="12.75" customHeight="1">
      <c r="A341" s="277"/>
      <c r="B341" s="278"/>
      <c r="C341" s="279"/>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409"/>
      <c r="Z341" s="410"/>
      <c r="AA341" s="277"/>
      <c r="AB341" s="277"/>
      <c r="AC341" s="277"/>
      <c r="AD341" s="277"/>
    </row>
    <row r="342" ht="12.75" customHeight="1">
      <c r="A342" s="277"/>
      <c r="B342" s="278"/>
      <c r="C342" s="279"/>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409"/>
      <c r="Z342" s="410"/>
      <c r="AA342" s="277"/>
      <c r="AB342" s="277"/>
      <c r="AC342" s="277"/>
      <c r="AD342" s="277"/>
    </row>
    <row r="343" ht="12.75" customHeight="1">
      <c r="A343" s="277"/>
      <c r="B343" s="278"/>
      <c r="C343" s="279"/>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409"/>
      <c r="Z343" s="410"/>
      <c r="AA343" s="277"/>
      <c r="AB343" s="277"/>
      <c r="AC343" s="277"/>
      <c r="AD343" s="277"/>
    </row>
    <row r="344" ht="12.75" customHeight="1">
      <c r="A344" s="277"/>
      <c r="B344" s="278"/>
      <c r="C344" s="279"/>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409"/>
      <c r="Z344" s="410"/>
      <c r="AA344" s="277"/>
      <c r="AB344" s="277"/>
      <c r="AC344" s="277"/>
      <c r="AD344" s="277"/>
    </row>
    <row r="345" ht="12.75" customHeight="1">
      <c r="A345" s="277"/>
      <c r="B345" s="278"/>
      <c r="C345" s="279"/>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409"/>
      <c r="Z345" s="410"/>
      <c r="AA345" s="277"/>
      <c r="AB345" s="277"/>
      <c r="AC345" s="277"/>
      <c r="AD345" s="277"/>
    </row>
    <row r="346" ht="12.75" customHeight="1">
      <c r="A346" s="277"/>
      <c r="B346" s="278"/>
      <c r="C346" s="279"/>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409"/>
      <c r="Z346" s="410"/>
      <c r="AA346" s="277"/>
      <c r="AB346" s="277"/>
      <c r="AC346" s="277"/>
      <c r="AD346" s="277"/>
    </row>
    <row r="347" ht="12.75" customHeight="1">
      <c r="A347" s="277"/>
      <c r="B347" s="278"/>
      <c r="C347" s="279"/>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409"/>
      <c r="Z347" s="410"/>
      <c r="AA347" s="277"/>
      <c r="AB347" s="277"/>
      <c r="AC347" s="277"/>
      <c r="AD347" s="277"/>
    </row>
    <row r="348" ht="12.75" customHeight="1">
      <c r="A348" s="277"/>
      <c r="B348" s="278"/>
      <c r="C348" s="279"/>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409"/>
      <c r="Z348" s="410"/>
      <c r="AA348" s="277"/>
      <c r="AB348" s="277"/>
      <c r="AC348" s="277"/>
      <c r="AD348" s="277"/>
    </row>
    <row r="349" ht="12.75" customHeight="1">
      <c r="A349" s="277"/>
      <c r="B349" s="278"/>
      <c r="C349" s="279"/>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409"/>
      <c r="Z349" s="410"/>
      <c r="AA349" s="277"/>
      <c r="AB349" s="277"/>
      <c r="AC349" s="277"/>
      <c r="AD349" s="277"/>
    </row>
    <row r="350" ht="12.75" customHeight="1">
      <c r="A350" s="277"/>
      <c r="B350" s="278"/>
      <c r="C350" s="279"/>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409"/>
      <c r="Z350" s="410"/>
      <c r="AA350" s="277"/>
      <c r="AB350" s="277"/>
      <c r="AC350" s="277"/>
      <c r="AD350" s="277"/>
    </row>
    <row r="351" ht="12.75" customHeight="1">
      <c r="A351" s="277"/>
      <c r="B351" s="278"/>
      <c r="C351" s="279"/>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409"/>
      <c r="Z351" s="410"/>
      <c r="AA351" s="277"/>
      <c r="AB351" s="277"/>
      <c r="AC351" s="277"/>
      <c r="AD351" s="277"/>
    </row>
    <row r="352" ht="12.75" customHeight="1">
      <c r="A352" s="277"/>
      <c r="B352" s="278"/>
      <c r="C352" s="279"/>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409"/>
      <c r="Z352" s="410"/>
      <c r="AA352" s="277"/>
      <c r="AB352" s="277"/>
      <c r="AC352" s="277"/>
      <c r="AD352" s="277"/>
    </row>
    <row r="353" ht="12.75" customHeight="1">
      <c r="A353" s="277"/>
      <c r="B353" s="278"/>
      <c r="C353" s="279"/>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409"/>
      <c r="Z353" s="410"/>
      <c r="AA353" s="277"/>
      <c r="AB353" s="277"/>
      <c r="AC353" s="277"/>
      <c r="AD353" s="277"/>
    </row>
    <row r="354" ht="12.75" customHeight="1">
      <c r="A354" s="277"/>
      <c r="B354" s="278"/>
      <c r="C354" s="279"/>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409"/>
      <c r="Z354" s="410"/>
      <c r="AA354" s="277"/>
      <c r="AB354" s="277"/>
      <c r="AC354" s="277"/>
      <c r="AD354" s="277"/>
    </row>
    <row r="355" ht="12.75" customHeight="1">
      <c r="A355" s="277"/>
      <c r="B355" s="278"/>
      <c r="C355" s="279"/>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409"/>
      <c r="Z355" s="410"/>
      <c r="AA355" s="277"/>
      <c r="AB355" s="277"/>
      <c r="AC355" s="277"/>
      <c r="AD355" s="277"/>
    </row>
    <row r="356" ht="12.75" customHeight="1">
      <c r="A356" s="277"/>
      <c r="B356" s="278"/>
      <c r="C356" s="279"/>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409"/>
      <c r="Z356" s="410"/>
      <c r="AA356" s="277"/>
      <c r="AB356" s="277"/>
      <c r="AC356" s="277"/>
      <c r="AD356" s="277"/>
    </row>
    <row r="357" ht="12.75" customHeight="1">
      <c r="A357" s="277"/>
      <c r="B357" s="278"/>
      <c r="C357" s="279"/>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409"/>
      <c r="Z357" s="410"/>
      <c r="AA357" s="277"/>
      <c r="AB357" s="277"/>
      <c r="AC357" s="277"/>
      <c r="AD357" s="277"/>
    </row>
    <row r="358" ht="12.75" customHeight="1">
      <c r="A358" s="277"/>
      <c r="B358" s="278"/>
      <c r="C358" s="279"/>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409"/>
      <c r="Z358" s="410"/>
      <c r="AA358" s="277"/>
      <c r="AB358" s="277"/>
      <c r="AC358" s="277"/>
      <c r="AD358" s="277"/>
    </row>
    <row r="359" ht="12.75" customHeight="1">
      <c r="A359" s="277"/>
      <c r="B359" s="278"/>
      <c r="C359" s="279"/>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409"/>
      <c r="Z359" s="410"/>
      <c r="AA359" s="277"/>
      <c r="AB359" s="277"/>
      <c r="AC359" s="277"/>
      <c r="AD359" s="277"/>
    </row>
    <row r="360" ht="12.75" customHeight="1">
      <c r="A360" s="277"/>
      <c r="B360" s="278"/>
      <c r="C360" s="279"/>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409"/>
      <c r="Z360" s="410"/>
      <c r="AA360" s="277"/>
      <c r="AB360" s="277"/>
      <c r="AC360" s="277"/>
      <c r="AD360" s="277"/>
    </row>
    <row r="361" ht="12.75" customHeight="1">
      <c r="A361" s="277"/>
      <c r="B361" s="278"/>
      <c r="C361" s="279"/>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409"/>
      <c r="Z361" s="410"/>
      <c r="AA361" s="277"/>
      <c r="AB361" s="277"/>
      <c r="AC361" s="277"/>
      <c r="AD361" s="277"/>
    </row>
    <row r="362" ht="12.75" customHeight="1">
      <c r="A362" s="277"/>
      <c r="B362" s="278"/>
      <c r="C362" s="279"/>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409"/>
      <c r="Z362" s="410"/>
      <c r="AA362" s="277"/>
      <c r="AB362" s="277"/>
      <c r="AC362" s="277"/>
      <c r="AD362" s="277"/>
    </row>
    <row r="363" ht="12.75" customHeight="1">
      <c r="A363" s="277"/>
      <c r="B363" s="278"/>
      <c r="C363" s="279"/>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409"/>
      <c r="Z363" s="410"/>
      <c r="AA363" s="277"/>
      <c r="AB363" s="277"/>
      <c r="AC363" s="277"/>
      <c r="AD363" s="277"/>
    </row>
    <row r="364" ht="12.75" customHeight="1">
      <c r="A364" s="277"/>
      <c r="B364" s="278"/>
      <c r="C364" s="279"/>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409"/>
      <c r="Z364" s="410"/>
      <c r="AA364" s="277"/>
      <c r="AB364" s="277"/>
      <c r="AC364" s="277"/>
      <c r="AD364" s="277"/>
    </row>
    <row r="365" ht="12.75" customHeight="1">
      <c r="A365" s="277"/>
      <c r="B365" s="278"/>
      <c r="C365" s="279"/>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409"/>
      <c r="Z365" s="410"/>
      <c r="AA365" s="277"/>
      <c r="AB365" s="277"/>
      <c r="AC365" s="277"/>
      <c r="AD365" s="277"/>
    </row>
    <row r="366" ht="12.75" customHeight="1">
      <c r="A366" s="277"/>
      <c r="B366" s="278"/>
      <c r="C366" s="279"/>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409"/>
      <c r="Z366" s="410"/>
      <c r="AA366" s="277"/>
      <c r="AB366" s="277"/>
      <c r="AC366" s="277"/>
      <c r="AD366" s="277"/>
    </row>
    <row r="367" ht="12.75" customHeight="1">
      <c r="A367" s="277"/>
      <c r="B367" s="278"/>
      <c r="C367" s="279"/>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409"/>
      <c r="Z367" s="410"/>
      <c r="AA367" s="277"/>
      <c r="AB367" s="277"/>
      <c r="AC367" s="277"/>
      <c r="AD367" s="277"/>
    </row>
    <row r="368" ht="12.75" customHeight="1">
      <c r="A368" s="277"/>
      <c r="B368" s="278"/>
      <c r="C368" s="279"/>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409"/>
      <c r="Z368" s="410"/>
      <c r="AA368" s="277"/>
      <c r="AB368" s="277"/>
      <c r="AC368" s="277"/>
      <c r="AD368" s="277"/>
    </row>
    <row r="369" ht="12.75" customHeight="1">
      <c r="A369" s="277"/>
      <c r="B369" s="278"/>
      <c r="C369" s="279"/>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409"/>
      <c r="Z369" s="410"/>
      <c r="AA369" s="277"/>
      <c r="AB369" s="277"/>
      <c r="AC369" s="277"/>
      <c r="AD369" s="277"/>
    </row>
    <row r="370" ht="12.75" customHeight="1">
      <c r="A370" s="277"/>
      <c r="B370" s="278"/>
      <c r="C370" s="279"/>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409"/>
      <c r="Z370" s="410"/>
      <c r="AA370" s="277"/>
      <c r="AB370" s="277"/>
      <c r="AC370" s="277"/>
      <c r="AD370" s="277"/>
    </row>
    <row r="371" ht="12.75" customHeight="1">
      <c r="A371" s="277"/>
      <c r="B371" s="278"/>
      <c r="C371" s="279"/>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409"/>
      <c r="Z371" s="410"/>
      <c r="AA371" s="277"/>
      <c r="AB371" s="277"/>
      <c r="AC371" s="277"/>
      <c r="AD371" s="277"/>
    </row>
    <row r="372" ht="12.75" customHeight="1">
      <c r="A372" s="277"/>
      <c r="B372" s="278"/>
      <c r="C372" s="279"/>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409"/>
      <c r="Z372" s="410"/>
      <c r="AA372" s="277"/>
      <c r="AB372" s="277"/>
      <c r="AC372" s="277"/>
      <c r="AD372" s="277"/>
    </row>
    <row r="373" ht="12.75" customHeight="1">
      <c r="A373" s="277"/>
      <c r="B373" s="278"/>
      <c r="C373" s="279"/>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409"/>
      <c r="Z373" s="410"/>
      <c r="AA373" s="277"/>
      <c r="AB373" s="277"/>
      <c r="AC373" s="277"/>
      <c r="AD373" s="277"/>
    </row>
    <row r="374" ht="12.75" customHeight="1">
      <c r="A374" s="277"/>
      <c r="B374" s="278"/>
      <c r="C374" s="279"/>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409"/>
      <c r="Z374" s="410"/>
      <c r="AA374" s="277"/>
      <c r="AB374" s="277"/>
      <c r="AC374" s="277"/>
      <c r="AD374" s="277"/>
    </row>
    <row r="375" ht="12.75" customHeight="1">
      <c r="A375" s="277"/>
      <c r="B375" s="278"/>
      <c r="C375" s="279"/>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409"/>
      <c r="Z375" s="410"/>
      <c r="AA375" s="277"/>
      <c r="AB375" s="277"/>
      <c r="AC375" s="277"/>
      <c r="AD375" s="277"/>
    </row>
    <row r="376" ht="12.75" customHeight="1">
      <c r="A376" s="277"/>
      <c r="B376" s="278"/>
      <c r="C376" s="279"/>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409"/>
      <c r="Z376" s="410"/>
      <c r="AA376" s="277"/>
      <c r="AB376" s="277"/>
      <c r="AC376" s="277"/>
      <c r="AD376" s="277"/>
    </row>
    <row r="377" ht="12.75" customHeight="1">
      <c r="A377" s="277"/>
      <c r="B377" s="278"/>
      <c r="C377" s="279"/>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409"/>
      <c r="Z377" s="410"/>
      <c r="AA377" s="277"/>
      <c r="AB377" s="277"/>
      <c r="AC377" s="277"/>
      <c r="AD377" s="277"/>
    </row>
    <row r="378" ht="12.75" customHeight="1">
      <c r="A378" s="277"/>
      <c r="B378" s="278"/>
      <c r="C378" s="279"/>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409"/>
      <c r="Z378" s="410"/>
      <c r="AA378" s="277"/>
      <c r="AB378" s="277"/>
      <c r="AC378" s="277"/>
      <c r="AD378" s="277"/>
    </row>
    <row r="379" ht="12.75" customHeight="1">
      <c r="A379" s="277"/>
      <c r="B379" s="278"/>
      <c r="C379" s="279"/>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409"/>
      <c r="Z379" s="410"/>
      <c r="AA379" s="277"/>
      <c r="AB379" s="277"/>
      <c r="AC379" s="277"/>
      <c r="AD379" s="277"/>
    </row>
    <row r="380" ht="12.75" customHeight="1">
      <c r="A380" s="277"/>
      <c r="B380" s="278"/>
      <c r="C380" s="279"/>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409"/>
      <c r="Z380" s="410"/>
      <c r="AA380" s="277"/>
      <c r="AB380" s="277"/>
      <c r="AC380" s="277"/>
      <c r="AD380" s="277"/>
    </row>
    <row r="381" ht="12.75" customHeight="1">
      <c r="A381" s="277"/>
      <c r="B381" s="278"/>
      <c r="C381" s="279"/>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409"/>
      <c r="Z381" s="410"/>
      <c r="AA381" s="277"/>
      <c r="AB381" s="277"/>
      <c r="AC381" s="277"/>
      <c r="AD381" s="277"/>
    </row>
    <row r="382" ht="12.75" customHeight="1">
      <c r="A382" s="277"/>
      <c r="B382" s="278"/>
      <c r="C382" s="279"/>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409"/>
      <c r="Z382" s="410"/>
      <c r="AA382" s="277"/>
      <c r="AB382" s="277"/>
      <c r="AC382" s="277"/>
      <c r="AD382" s="277"/>
    </row>
    <row r="383" ht="12.75" customHeight="1">
      <c r="A383" s="277"/>
      <c r="B383" s="278"/>
      <c r="C383" s="279"/>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409"/>
      <c r="Z383" s="410"/>
      <c r="AA383" s="277"/>
      <c r="AB383" s="277"/>
      <c r="AC383" s="277"/>
      <c r="AD383" s="277"/>
    </row>
    <row r="384" ht="12.75" customHeight="1">
      <c r="A384" s="277"/>
      <c r="B384" s="278"/>
      <c r="C384" s="279"/>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409"/>
      <c r="Z384" s="410"/>
      <c r="AA384" s="277"/>
      <c r="AB384" s="277"/>
      <c r="AC384" s="277"/>
      <c r="AD384" s="277"/>
    </row>
    <row r="385" ht="12.75" customHeight="1">
      <c r="A385" s="277"/>
      <c r="B385" s="278"/>
      <c r="C385" s="279"/>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409"/>
      <c r="Z385" s="410"/>
      <c r="AA385" s="277"/>
      <c r="AB385" s="277"/>
      <c r="AC385" s="277"/>
      <c r="AD385" s="277"/>
    </row>
    <row r="386" ht="12.75" customHeight="1">
      <c r="A386" s="277"/>
      <c r="B386" s="278"/>
      <c r="C386" s="279"/>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409"/>
      <c r="Z386" s="410"/>
      <c r="AA386" s="277"/>
      <c r="AB386" s="277"/>
      <c r="AC386" s="277"/>
      <c r="AD386" s="277"/>
    </row>
    <row r="387" ht="12.75" customHeight="1">
      <c r="A387" s="277"/>
      <c r="B387" s="278"/>
      <c r="C387" s="279"/>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409"/>
      <c r="Z387" s="410"/>
      <c r="AA387" s="277"/>
      <c r="AB387" s="277"/>
      <c r="AC387" s="277"/>
      <c r="AD387" s="277"/>
    </row>
    <row r="388" ht="12.75" customHeight="1">
      <c r="A388" s="277"/>
      <c r="B388" s="278"/>
      <c r="C388" s="279"/>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409"/>
      <c r="Z388" s="410"/>
      <c r="AA388" s="277"/>
      <c r="AB388" s="277"/>
      <c r="AC388" s="277"/>
      <c r="AD388" s="277"/>
    </row>
    <row r="389" ht="12.75" customHeight="1">
      <c r="A389" s="277"/>
      <c r="B389" s="278"/>
      <c r="C389" s="279"/>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409"/>
      <c r="Z389" s="410"/>
      <c r="AA389" s="277"/>
      <c r="AB389" s="277"/>
      <c r="AC389" s="277"/>
      <c r="AD389" s="277"/>
    </row>
    <row r="390" ht="12.75" customHeight="1">
      <c r="A390" s="277"/>
      <c r="B390" s="278"/>
      <c r="C390" s="279"/>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409"/>
      <c r="Z390" s="410"/>
      <c r="AA390" s="277"/>
      <c r="AB390" s="277"/>
      <c r="AC390" s="277"/>
      <c r="AD390" s="277"/>
    </row>
    <row r="391" ht="12.75" customHeight="1">
      <c r="A391" s="277"/>
      <c r="B391" s="278"/>
      <c r="C391" s="279"/>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409"/>
      <c r="Z391" s="410"/>
      <c r="AA391" s="277"/>
      <c r="AB391" s="277"/>
      <c r="AC391" s="277"/>
      <c r="AD391" s="277"/>
    </row>
    <row r="392" ht="12.75" customHeight="1">
      <c r="A392" s="277"/>
      <c r="B392" s="278"/>
      <c r="C392" s="279"/>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409"/>
      <c r="Z392" s="410"/>
      <c r="AA392" s="277"/>
      <c r="AB392" s="277"/>
      <c r="AC392" s="277"/>
      <c r="AD392" s="277"/>
    </row>
    <row r="393" ht="12.75" customHeight="1">
      <c r="A393" s="277"/>
      <c r="B393" s="278"/>
      <c r="C393" s="279"/>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409"/>
      <c r="Z393" s="410"/>
      <c r="AA393" s="277"/>
      <c r="AB393" s="277"/>
      <c r="AC393" s="277"/>
      <c r="AD393" s="277"/>
    </row>
    <row r="394" ht="12.75" customHeight="1">
      <c r="A394" s="277"/>
      <c r="B394" s="278"/>
      <c r="C394" s="279"/>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409"/>
      <c r="Z394" s="410"/>
      <c r="AA394" s="277"/>
      <c r="AB394" s="277"/>
      <c r="AC394" s="277"/>
      <c r="AD394" s="277"/>
    </row>
    <row r="395" ht="12.75" customHeight="1">
      <c r="A395" s="277"/>
      <c r="B395" s="278"/>
      <c r="C395" s="279"/>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409"/>
      <c r="Z395" s="410"/>
      <c r="AA395" s="277"/>
      <c r="AB395" s="277"/>
      <c r="AC395" s="277"/>
      <c r="AD395" s="277"/>
    </row>
    <row r="396" ht="12.75" customHeight="1">
      <c r="A396" s="277"/>
      <c r="B396" s="278"/>
      <c r="C396" s="279"/>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409"/>
      <c r="Z396" s="410"/>
      <c r="AA396" s="277"/>
      <c r="AB396" s="277"/>
      <c r="AC396" s="277"/>
      <c r="AD396" s="277"/>
    </row>
    <row r="397" ht="12.75" customHeight="1">
      <c r="A397" s="277"/>
      <c r="B397" s="278"/>
      <c r="C397" s="279"/>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409"/>
      <c r="Z397" s="410"/>
      <c r="AA397" s="277"/>
      <c r="AB397" s="277"/>
      <c r="AC397" s="277"/>
      <c r="AD397" s="277"/>
    </row>
    <row r="398" ht="12.75" customHeight="1">
      <c r="A398" s="277"/>
      <c r="B398" s="278"/>
      <c r="C398" s="279"/>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409"/>
      <c r="Z398" s="410"/>
      <c r="AA398" s="277"/>
      <c r="AB398" s="277"/>
      <c r="AC398" s="277"/>
      <c r="AD398" s="277"/>
    </row>
    <row r="399" ht="12.75" customHeight="1">
      <c r="A399" s="277"/>
      <c r="B399" s="278"/>
      <c r="C399" s="279"/>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409"/>
      <c r="Z399" s="410"/>
      <c r="AA399" s="277"/>
      <c r="AB399" s="277"/>
      <c r="AC399" s="277"/>
      <c r="AD399" s="277"/>
    </row>
    <row r="400" ht="12.75" customHeight="1">
      <c r="A400" s="277"/>
      <c r="B400" s="278"/>
      <c r="C400" s="279"/>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409"/>
      <c r="Z400" s="410"/>
      <c r="AA400" s="277"/>
      <c r="AB400" s="277"/>
      <c r="AC400" s="277"/>
      <c r="AD400" s="277"/>
    </row>
    <row r="401" ht="12.75" customHeight="1">
      <c r="A401" s="277"/>
      <c r="B401" s="278"/>
      <c r="C401" s="279"/>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409"/>
      <c r="Z401" s="410"/>
      <c r="AA401" s="277"/>
      <c r="AB401" s="277"/>
      <c r="AC401" s="277"/>
      <c r="AD401" s="277"/>
    </row>
    <row r="402" ht="12.75" customHeight="1">
      <c r="A402" s="277"/>
      <c r="B402" s="278"/>
      <c r="C402" s="279"/>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409"/>
      <c r="Z402" s="410"/>
      <c r="AA402" s="277"/>
      <c r="AB402" s="277"/>
      <c r="AC402" s="277"/>
      <c r="AD402" s="277"/>
    </row>
    <row r="403" ht="12.75" customHeight="1">
      <c r="A403" s="277"/>
      <c r="B403" s="278"/>
      <c r="C403" s="279"/>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409"/>
      <c r="Z403" s="410"/>
      <c r="AA403" s="277"/>
      <c r="AB403" s="277"/>
      <c r="AC403" s="277"/>
      <c r="AD403" s="277"/>
    </row>
    <row r="404" ht="12.75" customHeight="1">
      <c r="A404" s="277"/>
      <c r="B404" s="278"/>
      <c r="C404" s="279"/>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409"/>
      <c r="Z404" s="410"/>
      <c r="AA404" s="277"/>
      <c r="AB404" s="277"/>
      <c r="AC404" s="277"/>
      <c r="AD404" s="277"/>
    </row>
    <row r="405" ht="12.75" customHeight="1">
      <c r="A405" s="277"/>
      <c r="B405" s="278"/>
      <c r="C405" s="279"/>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409"/>
      <c r="Z405" s="410"/>
      <c r="AA405" s="277"/>
      <c r="AB405" s="277"/>
      <c r="AC405" s="277"/>
      <c r="AD405" s="277"/>
    </row>
    <row r="406" ht="12.75" customHeight="1">
      <c r="A406" s="277"/>
      <c r="B406" s="278"/>
      <c r="C406" s="279"/>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409"/>
      <c r="Z406" s="410"/>
      <c r="AA406" s="277"/>
      <c r="AB406" s="277"/>
      <c r="AC406" s="277"/>
      <c r="AD406" s="277"/>
    </row>
    <row r="407" ht="12.75" customHeight="1">
      <c r="A407" s="277"/>
      <c r="B407" s="278"/>
      <c r="C407" s="279"/>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409"/>
      <c r="Z407" s="410"/>
      <c r="AA407" s="277"/>
      <c r="AB407" s="277"/>
      <c r="AC407" s="277"/>
      <c r="AD407" s="277"/>
    </row>
    <row r="408" ht="12.75" customHeight="1">
      <c r="A408" s="277"/>
      <c r="B408" s="278"/>
      <c r="C408" s="279"/>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409"/>
      <c r="Z408" s="410"/>
      <c r="AA408" s="277"/>
      <c r="AB408" s="277"/>
      <c r="AC408" s="277"/>
      <c r="AD408" s="277"/>
    </row>
    <row r="409" ht="12.75" customHeight="1">
      <c r="A409" s="277"/>
      <c r="B409" s="278"/>
      <c r="C409" s="279"/>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409"/>
      <c r="Z409" s="410"/>
      <c r="AA409" s="277"/>
      <c r="AB409" s="277"/>
      <c r="AC409" s="277"/>
      <c r="AD409" s="277"/>
    </row>
    <row r="410" ht="12.75" customHeight="1">
      <c r="A410" s="277"/>
      <c r="B410" s="278"/>
      <c r="C410" s="279"/>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409"/>
      <c r="Z410" s="410"/>
      <c r="AA410" s="277"/>
      <c r="AB410" s="277"/>
      <c r="AC410" s="277"/>
      <c r="AD410" s="277"/>
    </row>
    <row r="411" ht="12.75" customHeight="1">
      <c r="A411" s="277"/>
      <c r="B411" s="278"/>
      <c r="C411" s="279"/>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409"/>
      <c r="Z411" s="410"/>
      <c r="AA411" s="277"/>
      <c r="AB411" s="277"/>
      <c r="AC411" s="277"/>
      <c r="AD411" s="277"/>
    </row>
    <row r="412" ht="12.75" customHeight="1">
      <c r="A412" s="277"/>
      <c r="B412" s="278"/>
      <c r="C412" s="279"/>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409"/>
      <c r="Z412" s="410"/>
      <c r="AA412" s="277"/>
      <c r="AB412" s="277"/>
      <c r="AC412" s="277"/>
      <c r="AD412" s="277"/>
    </row>
    <row r="413" ht="12.75" customHeight="1">
      <c r="A413" s="277"/>
      <c r="B413" s="278"/>
      <c r="C413" s="279"/>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409"/>
      <c r="Z413" s="410"/>
      <c r="AA413" s="277"/>
      <c r="AB413" s="277"/>
      <c r="AC413" s="277"/>
      <c r="AD413" s="277"/>
    </row>
    <row r="414" ht="12.75" customHeight="1">
      <c r="A414" s="277"/>
      <c r="B414" s="278"/>
      <c r="C414" s="279"/>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409"/>
      <c r="Z414" s="410"/>
      <c r="AA414" s="277"/>
      <c r="AB414" s="277"/>
      <c r="AC414" s="277"/>
      <c r="AD414" s="277"/>
    </row>
    <row r="415" ht="12.75" customHeight="1">
      <c r="A415" s="277"/>
      <c r="B415" s="278"/>
      <c r="C415" s="279"/>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409"/>
      <c r="Z415" s="410"/>
      <c r="AA415" s="277"/>
      <c r="AB415" s="277"/>
      <c r="AC415" s="277"/>
      <c r="AD415" s="277"/>
    </row>
    <row r="416" ht="12.75" customHeight="1">
      <c r="A416" s="277"/>
      <c r="B416" s="278"/>
      <c r="C416" s="279"/>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409"/>
      <c r="Z416" s="410"/>
      <c r="AA416" s="277"/>
      <c r="AB416" s="277"/>
      <c r="AC416" s="277"/>
      <c r="AD416" s="277"/>
    </row>
    <row r="417" ht="12.75" customHeight="1">
      <c r="A417" s="277"/>
      <c r="B417" s="278"/>
      <c r="C417" s="279"/>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409"/>
      <c r="Z417" s="410"/>
      <c r="AA417" s="277"/>
      <c r="AB417" s="277"/>
      <c r="AC417" s="277"/>
      <c r="AD417" s="277"/>
    </row>
    <row r="418" ht="12.75" customHeight="1">
      <c r="A418" s="277"/>
      <c r="B418" s="278"/>
      <c r="C418" s="279"/>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409"/>
      <c r="Z418" s="410"/>
      <c r="AA418" s="277"/>
      <c r="AB418" s="277"/>
      <c r="AC418" s="277"/>
      <c r="AD418" s="277"/>
    </row>
    <row r="419" ht="12.75" customHeight="1">
      <c r="A419" s="277"/>
      <c r="B419" s="278"/>
      <c r="C419" s="279"/>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409"/>
      <c r="Z419" s="410"/>
      <c r="AA419" s="277"/>
      <c r="AB419" s="277"/>
      <c r="AC419" s="277"/>
      <c r="AD419" s="277"/>
    </row>
    <row r="420" ht="12.75" customHeight="1">
      <c r="A420" s="277"/>
      <c r="B420" s="278"/>
      <c r="C420" s="279"/>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409"/>
      <c r="Z420" s="410"/>
      <c r="AA420" s="277"/>
      <c r="AB420" s="277"/>
      <c r="AC420" s="277"/>
      <c r="AD420" s="277"/>
    </row>
    <row r="421" ht="12.75" customHeight="1">
      <c r="A421" s="277"/>
      <c r="B421" s="278"/>
      <c r="C421" s="279"/>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409"/>
      <c r="Z421" s="410"/>
      <c r="AA421" s="277"/>
      <c r="AB421" s="277"/>
      <c r="AC421" s="277"/>
      <c r="AD421" s="277"/>
    </row>
    <row r="422" ht="12.75" customHeight="1">
      <c r="A422" s="277"/>
      <c r="B422" s="278"/>
      <c r="C422" s="279"/>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409"/>
      <c r="Z422" s="410"/>
      <c r="AA422" s="277"/>
      <c r="AB422" s="277"/>
      <c r="AC422" s="277"/>
      <c r="AD422" s="277"/>
    </row>
    <row r="423" ht="12.75" customHeight="1">
      <c r="A423" s="277"/>
      <c r="B423" s="278"/>
      <c r="C423" s="279"/>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409"/>
      <c r="Z423" s="410"/>
      <c r="AA423" s="277"/>
      <c r="AB423" s="277"/>
      <c r="AC423" s="277"/>
      <c r="AD423" s="277"/>
    </row>
    <row r="424" ht="12.75" customHeight="1">
      <c r="A424" s="277"/>
      <c r="B424" s="278"/>
      <c r="C424" s="279"/>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409"/>
      <c r="Z424" s="410"/>
      <c r="AA424" s="277"/>
      <c r="AB424" s="277"/>
      <c r="AC424" s="277"/>
      <c r="AD424" s="277"/>
    </row>
    <row r="425" ht="12.75" customHeight="1">
      <c r="A425" s="277"/>
      <c r="B425" s="278"/>
      <c r="C425" s="279"/>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409"/>
      <c r="Z425" s="410"/>
      <c r="AA425" s="277"/>
      <c r="AB425" s="277"/>
      <c r="AC425" s="277"/>
      <c r="AD425" s="277"/>
    </row>
    <row r="426" ht="12.75" customHeight="1">
      <c r="A426" s="277"/>
      <c r="B426" s="278"/>
      <c r="C426" s="279"/>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409"/>
      <c r="Z426" s="410"/>
      <c r="AA426" s="277"/>
      <c r="AB426" s="277"/>
      <c r="AC426" s="277"/>
      <c r="AD426" s="277"/>
    </row>
    <row r="427" ht="12.75" customHeight="1">
      <c r="A427" s="277"/>
      <c r="B427" s="278"/>
      <c r="C427" s="279"/>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409"/>
      <c r="Z427" s="410"/>
      <c r="AA427" s="277"/>
      <c r="AB427" s="277"/>
      <c r="AC427" s="277"/>
      <c r="AD427" s="277"/>
    </row>
    <row r="428" ht="12.75" customHeight="1">
      <c r="A428" s="277"/>
      <c r="B428" s="278"/>
      <c r="C428" s="279"/>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409"/>
      <c r="Z428" s="410"/>
      <c r="AA428" s="277"/>
      <c r="AB428" s="277"/>
      <c r="AC428" s="277"/>
      <c r="AD428" s="277"/>
    </row>
    <row r="429" ht="12.75" customHeight="1">
      <c r="A429" s="277"/>
      <c r="B429" s="278"/>
      <c r="C429" s="279"/>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409"/>
      <c r="Z429" s="410"/>
      <c r="AA429" s="277"/>
      <c r="AB429" s="277"/>
      <c r="AC429" s="277"/>
      <c r="AD429" s="277"/>
    </row>
    <row r="430" ht="12.75" customHeight="1">
      <c r="A430" s="277"/>
      <c r="B430" s="278"/>
      <c r="C430" s="279"/>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409"/>
      <c r="Z430" s="410"/>
      <c r="AA430" s="277"/>
      <c r="AB430" s="277"/>
      <c r="AC430" s="277"/>
      <c r="AD430" s="277"/>
    </row>
    <row r="431" ht="12.75" customHeight="1">
      <c r="A431" s="277"/>
      <c r="B431" s="278"/>
      <c r="C431" s="279"/>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409"/>
      <c r="Z431" s="410"/>
      <c r="AA431" s="277"/>
      <c r="AB431" s="277"/>
      <c r="AC431" s="277"/>
      <c r="AD431" s="277"/>
    </row>
    <row r="432" ht="12.75" customHeight="1">
      <c r="A432" s="277"/>
      <c r="B432" s="278"/>
      <c r="C432" s="279"/>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409"/>
      <c r="Z432" s="410"/>
      <c r="AA432" s="277"/>
      <c r="AB432" s="277"/>
      <c r="AC432" s="277"/>
      <c r="AD432" s="277"/>
    </row>
    <row r="433" ht="12.75" customHeight="1">
      <c r="A433" s="277"/>
      <c r="B433" s="278"/>
      <c r="C433" s="279"/>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409"/>
      <c r="Z433" s="410"/>
      <c r="AA433" s="277"/>
      <c r="AB433" s="277"/>
      <c r="AC433" s="277"/>
      <c r="AD433" s="277"/>
    </row>
    <row r="434" ht="12.75" customHeight="1">
      <c r="A434" s="277"/>
      <c r="B434" s="278"/>
      <c r="C434" s="279"/>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409"/>
      <c r="Z434" s="410"/>
      <c r="AA434" s="277"/>
      <c r="AB434" s="277"/>
      <c r="AC434" s="277"/>
      <c r="AD434" s="277"/>
    </row>
    <row r="435" ht="12.75" customHeight="1">
      <c r="A435" s="277"/>
      <c r="B435" s="278"/>
      <c r="C435" s="279"/>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409"/>
      <c r="Z435" s="410"/>
      <c r="AA435" s="277"/>
      <c r="AB435" s="277"/>
      <c r="AC435" s="277"/>
      <c r="AD435" s="277"/>
    </row>
    <row r="436" ht="12.75" customHeight="1">
      <c r="A436" s="277"/>
      <c r="B436" s="278"/>
      <c r="C436" s="279"/>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409"/>
      <c r="Z436" s="410"/>
      <c r="AA436" s="277"/>
      <c r="AB436" s="277"/>
      <c r="AC436" s="277"/>
      <c r="AD436" s="277"/>
    </row>
    <row r="437" ht="12.75" customHeight="1">
      <c r="A437" s="277"/>
      <c r="B437" s="278"/>
      <c r="C437" s="279"/>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409"/>
      <c r="Z437" s="410"/>
      <c r="AA437" s="277"/>
      <c r="AB437" s="277"/>
      <c r="AC437" s="277"/>
      <c r="AD437" s="277"/>
    </row>
    <row r="438" ht="12.75" customHeight="1">
      <c r="A438" s="277"/>
      <c r="B438" s="278"/>
      <c r="C438" s="279"/>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409"/>
      <c r="Z438" s="410"/>
      <c r="AA438" s="277"/>
      <c r="AB438" s="277"/>
      <c r="AC438" s="277"/>
      <c r="AD438" s="277"/>
    </row>
    <row r="439" ht="12.75" customHeight="1">
      <c r="A439" s="277"/>
      <c r="B439" s="278"/>
      <c r="C439" s="279"/>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409"/>
      <c r="Z439" s="410"/>
      <c r="AA439" s="277"/>
      <c r="AB439" s="277"/>
      <c r="AC439" s="277"/>
      <c r="AD439" s="277"/>
    </row>
    <row r="440" ht="12.75" customHeight="1">
      <c r="A440" s="277"/>
      <c r="B440" s="278"/>
      <c r="C440" s="279"/>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409"/>
      <c r="Z440" s="410"/>
      <c r="AA440" s="277"/>
      <c r="AB440" s="277"/>
      <c r="AC440" s="277"/>
      <c r="AD440" s="277"/>
    </row>
    <row r="441" ht="12.75" customHeight="1">
      <c r="A441" s="277"/>
      <c r="B441" s="278"/>
      <c r="C441" s="279"/>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409"/>
      <c r="Z441" s="410"/>
      <c r="AA441" s="277"/>
      <c r="AB441" s="277"/>
      <c r="AC441" s="277"/>
      <c r="AD441" s="277"/>
    </row>
    <row r="442" ht="12.75" customHeight="1">
      <c r="A442" s="277"/>
      <c r="B442" s="278"/>
      <c r="C442" s="279"/>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409"/>
      <c r="Z442" s="410"/>
      <c r="AA442" s="277"/>
      <c r="AB442" s="277"/>
      <c r="AC442" s="277"/>
      <c r="AD442" s="277"/>
    </row>
    <row r="443" ht="12.75" customHeight="1">
      <c r="A443" s="277"/>
      <c r="B443" s="278"/>
      <c r="C443" s="279"/>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409"/>
      <c r="Z443" s="410"/>
      <c r="AA443" s="277"/>
      <c r="AB443" s="277"/>
      <c r="AC443" s="277"/>
      <c r="AD443" s="277"/>
    </row>
    <row r="444" ht="12.75" customHeight="1">
      <c r="A444" s="277"/>
      <c r="B444" s="278"/>
      <c r="C444" s="279"/>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409"/>
      <c r="Z444" s="410"/>
      <c r="AA444" s="277"/>
      <c r="AB444" s="277"/>
      <c r="AC444" s="277"/>
      <c r="AD444" s="277"/>
    </row>
    <row r="445" ht="12.75" customHeight="1">
      <c r="A445" s="277"/>
      <c r="B445" s="278"/>
      <c r="C445" s="279"/>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409"/>
      <c r="Z445" s="410"/>
      <c r="AA445" s="277"/>
      <c r="AB445" s="277"/>
      <c r="AC445" s="277"/>
      <c r="AD445" s="277"/>
    </row>
    <row r="446" ht="12.75" customHeight="1">
      <c r="A446" s="277"/>
      <c r="B446" s="278"/>
      <c r="C446" s="279"/>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409"/>
      <c r="Z446" s="410"/>
      <c r="AA446" s="277"/>
      <c r="AB446" s="277"/>
      <c r="AC446" s="277"/>
      <c r="AD446" s="277"/>
    </row>
    <row r="447" ht="12.75" customHeight="1">
      <c r="A447" s="277"/>
      <c r="B447" s="278"/>
      <c r="C447" s="279"/>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409"/>
      <c r="Z447" s="410"/>
      <c r="AA447" s="277"/>
      <c r="AB447" s="277"/>
      <c r="AC447" s="277"/>
      <c r="AD447" s="277"/>
    </row>
    <row r="448" ht="12.75" customHeight="1">
      <c r="A448" s="277"/>
      <c r="B448" s="278"/>
      <c r="C448" s="279"/>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409"/>
      <c r="Z448" s="410"/>
      <c r="AA448" s="277"/>
      <c r="AB448" s="277"/>
      <c r="AC448" s="277"/>
      <c r="AD448" s="277"/>
    </row>
    <row r="449" ht="12.75" customHeight="1">
      <c r="A449" s="277"/>
      <c r="B449" s="278"/>
      <c r="C449" s="279"/>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409"/>
      <c r="Z449" s="410"/>
      <c r="AA449" s="277"/>
      <c r="AB449" s="277"/>
      <c r="AC449" s="277"/>
      <c r="AD449" s="277"/>
    </row>
    <row r="450" ht="12.75" customHeight="1">
      <c r="A450" s="277"/>
      <c r="B450" s="278"/>
      <c r="C450" s="279"/>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409"/>
      <c r="Z450" s="410"/>
      <c r="AA450" s="277"/>
      <c r="AB450" s="277"/>
      <c r="AC450" s="277"/>
      <c r="AD450" s="277"/>
    </row>
    <row r="451" ht="12.75" customHeight="1">
      <c r="A451" s="277"/>
      <c r="B451" s="278"/>
      <c r="C451" s="279"/>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409"/>
      <c r="Z451" s="410"/>
      <c r="AA451" s="277"/>
      <c r="AB451" s="277"/>
      <c r="AC451" s="277"/>
      <c r="AD451" s="277"/>
    </row>
    <row r="452" ht="12.75" customHeight="1">
      <c r="A452" s="277"/>
      <c r="B452" s="278"/>
      <c r="C452" s="279"/>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409"/>
      <c r="Z452" s="410"/>
      <c r="AA452" s="277"/>
      <c r="AB452" s="277"/>
      <c r="AC452" s="277"/>
      <c r="AD452" s="277"/>
    </row>
    <row r="453" ht="12.75" customHeight="1">
      <c r="A453" s="277"/>
      <c r="B453" s="278"/>
      <c r="C453" s="279"/>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409"/>
      <c r="Z453" s="410"/>
      <c r="AA453" s="277"/>
      <c r="AB453" s="277"/>
      <c r="AC453" s="277"/>
      <c r="AD453" s="277"/>
    </row>
    <row r="454" ht="12.75" customHeight="1">
      <c r="A454" s="277"/>
      <c r="B454" s="278"/>
      <c r="C454" s="279"/>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409"/>
      <c r="Z454" s="410"/>
      <c r="AA454" s="277"/>
      <c r="AB454" s="277"/>
      <c r="AC454" s="277"/>
      <c r="AD454" s="277"/>
    </row>
    <row r="455" ht="12.75" customHeight="1">
      <c r="A455" s="277"/>
      <c r="B455" s="278"/>
      <c r="C455" s="279"/>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409"/>
      <c r="Z455" s="410"/>
      <c r="AA455" s="277"/>
      <c r="AB455" s="277"/>
      <c r="AC455" s="277"/>
      <c r="AD455" s="277"/>
    </row>
    <row r="456" ht="12.75" customHeight="1">
      <c r="A456" s="277"/>
      <c r="B456" s="278"/>
      <c r="C456" s="279"/>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409"/>
      <c r="Z456" s="410"/>
      <c r="AA456" s="277"/>
      <c r="AB456" s="277"/>
      <c r="AC456" s="277"/>
      <c r="AD456" s="277"/>
    </row>
    <row r="457" ht="12.75" customHeight="1">
      <c r="A457" s="277"/>
      <c r="B457" s="278"/>
      <c r="C457" s="279"/>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409"/>
      <c r="Z457" s="410"/>
      <c r="AA457" s="277"/>
      <c r="AB457" s="277"/>
      <c r="AC457" s="277"/>
      <c r="AD457" s="277"/>
    </row>
    <row r="458" ht="12.75" customHeight="1">
      <c r="A458" s="277"/>
      <c r="B458" s="278"/>
      <c r="C458" s="279"/>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409"/>
      <c r="Z458" s="410"/>
      <c r="AA458" s="277"/>
      <c r="AB458" s="277"/>
      <c r="AC458" s="277"/>
      <c r="AD458" s="277"/>
    </row>
    <row r="459" ht="12.75" customHeight="1">
      <c r="A459" s="277"/>
      <c r="B459" s="278"/>
      <c r="C459" s="279"/>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409"/>
      <c r="Z459" s="410"/>
      <c r="AA459" s="277"/>
      <c r="AB459" s="277"/>
      <c r="AC459" s="277"/>
      <c r="AD459" s="277"/>
    </row>
    <row r="460" ht="12.75" customHeight="1">
      <c r="A460" s="277"/>
      <c r="B460" s="278"/>
      <c r="C460" s="279"/>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409"/>
      <c r="Z460" s="410"/>
      <c r="AA460" s="277"/>
      <c r="AB460" s="277"/>
      <c r="AC460" s="277"/>
      <c r="AD460" s="277"/>
    </row>
    <row r="461" ht="12.75" customHeight="1">
      <c r="A461" s="277"/>
      <c r="B461" s="278"/>
      <c r="C461" s="279"/>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409"/>
      <c r="Z461" s="410"/>
      <c r="AA461" s="277"/>
      <c r="AB461" s="277"/>
      <c r="AC461" s="277"/>
      <c r="AD461" s="277"/>
    </row>
    <row r="462" ht="12.75" customHeight="1">
      <c r="A462" s="277"/>
      <c r="B462" s="278"/>
      <c r="C462" s="279"/>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409"/>
      <c r="Z462" s="410"/>
      <c r="AA462" s="277"/>
      <c r="AB462" s="277"/>
      <c r="AC462" s="277"/>
      <c r="AD462" s="277"/>
    </row>
    <row r="463" ht="12.75" customHeight="1">
      <c r="A463" s="277"/>
      <c r="B463" s="278"/>
      <c r="C463" s="279"/>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409"/>
      <c r="Z463" s="410"/>
      <c r="AA463" s="277"/>
      <c r="AB463" s="277"/>
      <c r="AC463" s="277"/>
      <c r="AD463" s="277"/>
    </row>
    <row r="464" ht="12.75" customHeight="1">
      <c r="A464" s="277"/>
      <c r="B464" s="278"/>
      <c r="C464" s="279"/>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409"/>
      <c r="Z464" s="410"/>
      <c r="AA464" s="277"/>
      <c r="AB464" s="277"/>
      <c r="AC464" s="277"/>
      <c r="AD464" s="277"/>
    </row>
    <row r="465" ht="12.75" customHeight="1">
      <c r="A465" s="277"/>
      <c r="B465" s="278"/>
      <c r="C465" s="279"/>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409"/>
      <c r="Z465" s="410"/>
      <c r="AA465" s="277"/>
      <c r="AB465" s="277"/>
      <c r="AC465" s="277"/>
      <c r="AD465" s="277"/>
    </row>
    <row r="466" ht="12.75" customHeight="1">
      <c r="A466" s="277"/>
      <c r="B466" s="278"/>
      <c r="C466" s="279"/>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409"/>
      <c r="Z466" s="410"/>
      <c r="AA466" s="277"/>
      <c r="AB466" s="277"/>
      <c r="AC466" s="277"/>
      <c r="AD466" s="277"/>
    </row>
    <row r="467" ht="12.75" customHeight="1">
      <c r="A467" s="277"/>
      <c r="B467" s="278"/>
      <c r="C467" s="279"/>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409"/>
      <c r="Z467" s="410"/>
      <c r="AA467" s="277"/>
      <c r="AB467" s="277"/>
      <c r="AC467" s="277"/>
      <c r="AD467" s="277"/>
    </row>
    <row r="468" ht="12.75" customHeight="1">
      <c r="A468" s="277"/>
      <c r="B468" s="278"/>
      <c r="C468" s="279"/>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409"/>
      <c r="Z468" s="410"/>
      <c r="AA468" s="277"/>
      <c r="AB468" s="277"/>
      <c r="AC468" s="277"/>
      <c r="AD468" s="277"/>
    </row>
    <row r="469" ht="12.75" customHeight="1">
      <c r="A469" s="277"/>
      <c r="B469" s="278"/>
      <c r="C469" s="279"/>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409"/>
      <c r="Z469" s="410"/>
      <c r="AA469" s="277"/>
      <c r="AB469" s="277"/>
      <c r="AC469" s="277"/>
      <c r="AD469" s="277"/>
    </row>
    <row r="470" ht="12.75" customHeight="1">
      <c r="A470" s="277"/>
      <c r="B470" s="278"/>
      <c r="C470" s="279"/>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409"/>
      <c r="Z470" s="410"/>
      <c r="AA470" s="277"/>
      <c r="AB470" s="277"/>
      <c r="AC470" s="277"/>
      <c r="AD470" s="277"/>
    </row>
    <row r="471" ht="12.75" customHeight="1">
      <c r="A471" s="277"/>
      <c r="B471" s="278"/>
      <c r="C471" s="279"/>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409"/>
      <c r="Z471" s="410"/>
      <c r="AA471" s="277"/>
      <c r="AB471" s="277"/>
      <c r="AC471" s="277"/>
      <c r="AD471" s="277"/>
    </row>
    <row r="472" ht="12.75" customHeight="1">
      <c r="A472" s="277"/>
      <c r="B472" s="278"/>
      <c r="C472" s="279"/>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409"/>
      <c r="Z472" s="410"/>
      <c r="AA472" s="277"/>
      <c r="AB472" s="277"/>
      <c r="AC472" s="277"/>
      <c r="AD472" s="277"/>
    </row>
    <row r="473" ht="12.75" customHeight="1">
      <c r="A473" s="277"/>
      <c r="B473" s="278"/>
      <c r="C473" s="279"/>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409"/>
      <c r="Z473" s="410"/>
      <c r="AA473" s="277"/>
      <c r="AB473" s="277"/>
      <c r="AC473" s="277"/>
      <c r="AD473" s="277"/>
    </row>
    <row r="474" ht="12.75" customHeight="1">
      <c r="A474" s="277"/>
      <c r="B474" s="278"/>
      <c r="C474" s="279"/>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409"/>
      <c r="Z474" s="410"/>
      <c r="AA474" s="277"/>
      <c r="AB474" s="277"/>
      <c r="AC474" s="277"/>
      <c r="AD474" s="277"/>
    </row>
    <row r="475" ht="12.75" customHeight="1">
      <c r="A475" s="277"/>
      <c r="B475" s="278"/>
      <c r="C475" s="279"/>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409"/>
      <c r="Z475" s="410"/>
      <c r="AA475" s="277"/>
      <c r="AB475" s="277"/>
      <c r="AC475" s="277"/>
      <c r="AD475" s="277"/>
    </row>
    <row r="476" ht="12.75" customHeight="1">
      <c r="A476" s="277"/>
      <c r="B476" s="278"/>
      <c r="C476" s="279"/>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409"/>
      <c r="Z476" s="410"/>
      <c r="AA476" s="277"/>
      <c r="AB476" s="277"/>
      <c r="AC476" s="277"/>
      <c r="AD476" s="277"/>
    </row>
    <row r="477" ht="12.75" customHeight="1">
      <c r="A477" s="277"/>
      <c r="B477" s="278"/>
      <c r="C477" s="279"/>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409"/>
      <c r="Z477" s="410"/>
      <c r="AA477" s="277"/>
      <c r="AB477" s="277"/>
      <c r="AC477" s="277"/>
      <c r="AD477" s="277"/>
    </row>
    <row r="478" ht="12.75" customHeight="1">
      <c r="A478" s="277"/>
      <c r="B478" s="278"/>
      <c r="C478" s="279"/>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409"/>
      <c r="Z478" s="410"/>
      <c r="AA478" s="277"/>
      <c r="AB478" s="277"/>
      <c r="AC478" s="277"/>
      <c r="AD478" s="277"/>
    </row>
    <row r="479" ht="12.75" customHeight="1">
      <c r="A479" s="277"/>
      <c r="B479" s="278"/>
      <c r="C479" s="279"/>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409"/>
      <c r="Z479" s="410"/>
      <c r="AA479" s="277"/>
      <c r="AB479" s="277"/>
      <c r="AC479" s="277"/>
      <c r="AD479" s="277"/>
    </row>
    <row r="480" ht="12.75" customHeight="1">
      <c r="A480" s="277"/>
      <c r="B480" s="278"/>
      <c r="C480" s="279"/>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409"/>
      <c r="Z480" s="410"/>
      <c r="AA480" s="277"/>
      <c r="AB480" s="277"/>
      <c r="AC480" s="277"/>
      <c r="AD480" s="277"/>
    </row>
    <row r="481" ht="12.75" customHeight="1">
      <c r="A481" s="277"/>
      <c r="B481" s="278"/>
      <c r="C481" s="279"/>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409"/>
      <c r="Z481" s="410"/>
      <c r="AA481" s="277"/>
      <c r="AB481" s="277"/>
      <c r="AC481" s="277"/>
      <c r="AD481" s="277"/>
    </row>
    <row r="482" ht="12.75" customHeight="1">
      <c r="A482" s="277"/>
      <c r="B482" s="278"/>
      <c r="C482" s="279"/>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409"/>
      <c r="Z482" s="410"/>
      <c r="AA482" s="277"/>
      <c r="AB482" s="277"/>
      <c r="AC482" s="277"/>
      <c r="AD482" s="277"/>
    </row>
    <row r="483" ht="12.75" customHeight="1">
      <c r="A483" s="277"/>
      <c r="B483" s="278"/>
      <c r="C483" s="279"/>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409"/>
      <c r="Z483" s="410"/>
      <c r="AA483" s="277"/>
      <c r="AB483" s="277"/>
      <c r="AC483" s="277"/>
      <c r="AD483" s="277"/>
    </row>
    <row r="484" ht="12.75" customHeight="1">
      <c r="A484" s="277"/>
      <c r="B484" s="278"/>
      <c r="C484" s="279"/>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409"/>
      <c r="Z484" s="410"/>
      <c r="AA484" s="277"/>
      <c r="AB484" s="277"/>
      <c r="AC484" s="277"/>
      <c r="AD484" s="277"/>
    </row>
    <row r="485" ht="12.75" customHeight="1">
      <c r="A485" s="277"/>
      <c r="B485" s="278"/>
      <c r="C485" s="279"/>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409"/>
      <c r="Z485" s="410"/>
      <c r="AA485" s="277"/>
      <c r="AB485" s="277"/>
      <c r="AC485" s="277"/>
      <c r="AD485" s="277"/>
    </row>
    <row r="486" ht="12.75" customHeight="1">
      <c r="A486" s="277"/>
      <c r="B486" s="278"/>
      <c r="C486" s="279"/>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409"/>
      <c r="Z486" s="410"/>
      <c r="AA486" s="277"/>
      <c r="AB486" s="277"/>
      <c r="AC486" s="277"/>
      <c r="AD486" s="277"/>
    </row>
    <row r="487" ht="12.75" customHeight="1">
      <c r="A487" s="277"/>
      <c r="B487" s="278"/>
      <c r="C487" s="279"/>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409"/>
      <c r="Z487" s="410"/>
      <c r="AA487" s="277"/>
      <c r="AB487" s="277"/>
      <c r="AC487" s="277"/>
      <c r="AD487" s="277"/>
    </row>
    <row r="488" ht="12.75" customHeight="1">
      <c r="A488" s="277"/>
      <c r="B488" s="278"/>
      <c r="C488" s="279"/>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409"/>
      <c r="Z488" s="410"/>
      <c r="AA488" s="277"/>
      <c r="AB488" s="277"/>
      <c r="AC488" s="277"/>
      <c r="AD488" s="277"/>
    </row>
    <row r="489" ht="12.75" customHeight="1">
      <c r="A489" s="277"/>
      <c r="B489" s="278"/>
      <c r="C489" s="279"/>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409"/>
      <c r="Z489" s="410"/>
      <c r="AA489" s="277"/>
      <c r="AB489" s="277"/>
      <c r="AC489" s="277"/>
      <c r="AD489" s="277"/>
    </row>
    <row r="490" ht="12.75" customHeight="1">
      <c r="A490" s="277"/>
      <c r="B490" s="278"/>
      <c r="C490" s="279"/>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409"/>
      <c r="Z490" s="410"/>
      <c r="AA490" s="277"/>
      <c r="AB490" s="277"/>
      <c r="AC490" s="277"/>
      <c r="AD490" s="277"/>
    </row>
    <row r="491" ht="12.75" customHeight="1">
      <c r="A491" s="277"/>
      <c r="B491" s="278"/>
      <c r="C491" s="279"/>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409"/>
      <c r="Z491" s="410"/>
      <c r="AA491" s="277"/>
      <c r="AB491" s="277"/>
      <c r="AC491" s="277"/>
      <c r="AD491" s="277"/>
    </row>
    <row r="492" ht="12.75" customHeight="1">
      <c r="A492" s="277"/>
      <c r="B492" s="278"/>
      <c r="C492" s="279"/>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409"/>
      <c r="Z492" s="410"/>
      <c r="AA492" s="277"/>
      <c r="AB492" s="277"/>
      <c r="AC492" s="277"/>
      <c r="AD492" s="277"/>
    </row>
    <row r="493" ht="12.75" customHeight="1">
      <c r="A493" s="277"/>
      <c r="B493" s="278"/>
      <c r="C493" s="279"/>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409"/>
      <c r="Z493" s="410"/>
      <c r="AA493" s="277"/>
      <c r="AB493" s="277"/>
      <c r="AC493" s="277"/>
      <c r="AD493" s="277"/>
    </row>
    <row r="494" ht="12.75" customHeight="1">
      <c r="A494" s="277"/>
      <c r="B494" s="278"/>
      <c r="C494" s="279"/>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409"/>
      <c r="Z494" s="410"/>
      <c r="AA494" s="277"/>
      <c r="AB494" s="277"/>
      <c r="AC494" s="277"/>
      <c r="AD494" s="277"/>
    </row>
    <row r="495" ht="12.75" customHeight="1">
      <c r="A495" s="277"/>
      <c r="B495" s="278"/>
      <c r="C495" s="279"/>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409"/>
      <c r="Z495" s="410"/>
      <c r="AA495" s="277"/>
      <c r="AB495" s="277"/>
      <c r="AC495" s="277"/>
      <c r="AD495" s="277"/>
    </row>
    <row r="496" ht="12.75" customHeight="1">
      <c r="A496" s="277"/>
      <c r="B496" s="278"/>
      <c r="C496" s="279"/>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409"/>
      <c r="Z496" s="410"/>
      <c r="AA496" s="277"/>
      <c r="AB496" s="277"/>
      <c r="AC496" s="277"/>
      <c r="AD496" s="277"/>
    </row>
    <row r="497" ht="12.75" customHeight="1">
      <c r="A497" s="277"/>
      <c r="B497" s="278"/>
      <c r="C497" s="279"/>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409"/>
      <c r="Z497" s="410"/>
      <c r="AA497" s="277"/>
      <c r="AB497" s="277"/>
      <c r="AC497" s="277"/>
      <c r="AD497" s="277"/>
    </row>
    <row r="498" ht="12.75" customHeight="1">
      <c r="A498" s="277"/>
      <c r="B498" s="278"/>
      <c r="C498" s="279"/>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409"/>
      <c r="Z498" s="410"/>
      <c r="AA498" s="277"/>
      <c r="AB498" s="277"/>
      <c r="AC498" s="277"/>
      <c r="AD498" s="277"/>
    </row>
    <row r="499" ht="12.75" customHeight="1">
      <c r="A499" s="277"/>
      <c r="B499" s="278"/>
      <c r="C499" s="279"/>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409"/>
      <c r="Z499" s="410"/>
      <c r="AA499" s="277"/>
      <c r="AB499" s="277"/>
      <c r="AC499" s="277"/>
      <c r="AD499" s="277"/>
    </row>
    <row r="500" ht="12.75" customHeight="1">
      <c r="A500" s="277"/>
      <c r="B500" s="278"/>
      <c r="C500" s="279"/>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409"/>
      <c r="Z500" s="410"/>
      <c r="AA500" s="277"/>
      <c r="AB500" s="277"/>
      <c r="AC500" s="277"/>
      <c r="AD500" s="277"/>
    </row>
    <row r="501" ht="12.75" customHeight="1">
      <c r="A501" s="277"/>
      <c r="B501" s="278"/>
      <c r="C501" s="279"/>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409"/>
      <c r="Z501" s="410"/>
      <c r="AA501" s="277"/>
      <c r="AB501" s="277"/>
      <c r="AC501" s="277"/>
      <c r="AD501" s="277"/>
    </row>
    <row r="502" ht="12.75" customHeight="1">
      <c r="A502" s="277"/>
      <c r="B502" s="278"/>
      <c r="C502" s="279"/>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409"/>
      <c r="Z502" s="410"/>
      <c r="AA502" s="277"/>
      <c r="AB502" s="277"/>
      <c r="AC502" s="277"/>
      <c r="AD502" s="277"/>
    </row>
    <row r="503" ht="12.75" customHeight="1">
      <c r="A503" s="277"/>
      <c r="B503" s="278"/>
      <c r="C503" s="279"/>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409"/>
      <c r="Z503" s="410"/>
      <c r="AA503" s="277"/>
      <c r="AB503" s="277"/>
      <c r="AC503" s="277"/>
      <c r="AD503" s="277"/>
    </row>
    <row r="504" ht="12.75" customHeight="1">
      <c r="A504" s="277"/>
      <c r="B504" s="278"/>
      <c r="C504" s="279"/>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409"/>
      <c r="Z504" s="410"/>
      <c r="AA504" s="277"/>
      <c r="AB504" s="277"/>
      <c r="AC504" s="277"/>
      <c r="AD504" s="277"/>
    </row>
    <row r="505" ht="12.75" customHeight="1">
      <c r="A505" s="277"/>
      <c r="B505" s="278"/>
      <c r="C505" s="279"/>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409"/>
      <c r="Z505" s="410"/>
      <c r="AA505" s="277"/>
      <c r="AB505" s="277"/>
      <c r="AC505" s="277"/>
      <c r="AD505" s="277"/>
    </row>
    <row r="506" ht="12.75" customHeight="1">
      <c r="A506" s="277"/>
      <c r="B506" s="278"/>
      <c r="C506" s="279"/>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409"/>
      <c r="Z506" s="410"/>
      <c r="AA506" s="277"/>
      <c r="AB506" s="277"/>
      <c r="AC506" s="277"/>
      <c r="AD506" s="277"/>
    </row>
    <row r="507" ht="12.75" customHeight="1">
      <c r="A507" s="277"/>
      <c r="B507" s="278"/>
      <c r="C507" s="279"/>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409"/>
      <c r="Z507" s="410"/>
      <c r="AA507" s="277"/>
      <c r="AB507" s="277"/>
      <c r="AC507" s="277"/>
      <c r="AD507" s="277"/>
    </row>
    <row r="508" ht="12.75" customHeight="1">
      <c r="A508" s="277"/>
      <c r="B508" s="278"/>
      <c r="C508" s="279"/>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409"/>
      <c r="Z508" s="410"/>
      <c r="AA508" s="277"/>
      <c r="AB508" s="277"/>
      <c r="AC508" s="277"/>
      <c r="AD508" s="277"/>
    </row>
    <row r="509" ht="12.75" customHeight="1">
      <c r="A509" s="277"/>
      <c r="B509" s="278"/>
      <c r="C509" s="279"/>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409"/>
      <c r="Z509" s="410"/>
      <c r="AA509" s="277"/>
      <c r="AB509" s="277"/>
      <c r="AC509" s="277"/>
      <c r="AD509" s="277"/>
    </row>
    <row r="510" ht="12.75" customHeight="1">
      <c r="A510" s="277"/>
      <c r="B510" s="278"/>
      <c r="C510" s="279"/>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409"/>
      <c r="Z510" s="410"/>
      <c r="AA510" s="277"/>
      <c r="AB510" s="277"/>
      <c r="AC510" s="277"/>
      <c r="AD510" s="277"/>
    </row>
    <row r="511" ht="12.75" customHeight="1">
      <c r="A511" s="277"/>
      <c r="B511" s="278"/>
      <c r="C511" s="279"/>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409"/>
      <c r="Z511" s="410"/>
      <c r="AA511" s="277"/>
      <c r="AB511" s="277"/>
      <c r="AC511" s="277"/>
      <c r="AD511" s="277"/>
    </row>
    <row r="512" ht="12.75" customHeight="1">
      <c r="A512" s="277"/>
      <c r="B512" s="278"/>
      <c r="C512" s="279"/>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409"/>
      <c r="Z512" s="410"/>
      <c r="AA512" s="277"/>
      <c r="AB512" s="277"/>
      <c r="AC512" s="277"/>
      <c r="AD512" s="277"/>
    </row>
    <row r="513" ht="12.75" customHeight="1">
      <c r="A513" s="277"/>
      <c r="B513" s="278"/>
      <c r="C513" s="279"/>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409"/>
      <c r="Z513" s="410"/>
      <c r="AA513" s="277"/>
      <c r="AB513" s="277"/>
      <c r="AC513" s="277"/>
      <c r="AD513" s="277"/>
    </row>
    <row r="514" ht="12.75" customHeight="1">
      <c r="A514" s="277"/>
      <c r="B514" s="278"/>
      <c r="C514" s="279"/>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409"/>
      <c r="Z514" s="410"/>
      <c r="AA514" s="277"/>
      <c r="AB514" s="277"/>
      <c r="AC514" s="277"/>
      <c r="AD514" s="277"/>
    </row>
    <row r="515" ht="12.75" customHeight="1">
      <c r="A515" s="277"/>
      <c r="B515" s="278"/>
      <c r="C515" s="279"/>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409"/>
      <c r="Z515" s="410"/>
      <c r="AA515" s="277"/>
      <c r="AB515" s="277"/>
      <c r="AC515" s="277"/>
      <c r="AD515" s="277"/>
    </row>
    <row r="516" ht="12.75" customHeight="1">
      <c r="A516" s="277"/>
      <c r="B516" s="278"/>
      <c r="C516" s="279"/>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409"/>
      <c r="Z516" s="410"/>
      <c r="AA516" s="277"/>
      <c r="AB516" s="277"/>
      <c r="AC516" s="277"/>
      <c r="AD516" s="277"/>
    </row>
    <row r="517" ht="12.75" customHeight="1">
      <c r="A517" s="277"/>
      <c r="B517" s="278"/>
      <c r="C517" s="279"/>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409"/>
      <c r="Z517" s="410"/>
      <c r="AA517" s="277"/>
      <c r="AB517" s="277"/>
      <c r="AC517" s="277"/>
      <c r="AD517" s="277"/>
    </row>
    <row r="518" ht="12.75" customHeight="1">
      <c r="A518" s="277"/>
      <c r="B518" s="278"/>
      <c r="C518" s="279"/>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409"/>
      <c r="Z518" s="410"/>
      <c r="AA518" s="277"/>
      <c r="AB518" s="277"/>
      <c r="AC518" s="277"/>
      <c r="AD518" s="277"/>
    </row>
    <row r="519" ht="12.75" customHeight="1">
      <c r="A519" s="277"/>
      <c r="B519" s="278"/>
      <c r="C519" s="279"/>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409"/>
      <c r="Z519" s="410"/>
      <c r="AA519" s="277"/>
      <c r="AB519" s="277"/>
      <c r="AC519" s="277"/>
      <c r="AD519" s="277"/>
    </row>
    <row r="520" ht="12.75" customHeight="1">
      <c r="A520" s="277"/>
      <c r="B520" s="278"/>
      <c r="C520" s="279"/>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409"/>
      <c r="Z520" s="410"/>
      <c r="AA520" s="277"/>
      <c r="AB520" s="277"/>
      <c r="AC520" s="277"/>
      <c r="AD520" s="277"/>
    </row>
    <row r="521" ht="12.75" customHeight="1">
      <c r="A521" s="277"/>
      <c r="B521" s="278"/>
      <c r="C521" s="279"/>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409"/>
      <c r="Z521" s="410"/>
      <c r="AA521" s="277"/>
      <c r="AB521" s="277"/>
      <c r="AC521" s="277"/>
      <c r="AD521" s="277"/>
    </row>
    <row r="522" ht="12.75" customHeight="1">
      <c r="A522" s="277"/>
      <c r="B522" s="278"/>
      <c r="C522" s="279"/>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409"/>
      <c r="Z522" s="410"/>
      <c r="AA522" s="277"/>
      <c r="AB522" s="277"/>
      <c r="AC522" s="277"/>
      <c r="AD522" s="277"/>
    </row>
    <row r="523" ht="12.75" customHeight="1">
      <c r="A523" s="277"/>
      <c r="B523" s="278"/>
      <c r="C523" s="279"/>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409"/>
      <c r="Z523" s="410"/>
      <c r="AA523" s="277"/>
      <c r="AB523" s="277"/>
      <c r="AC523" s="277"/>
      <c r="AD523" s="277"/>
    </row>
    <row r="524" ht="12.75" customHeight="1">
      <c r="A524" s="277"/>
      <c r="B524" s="278"/>
      <c r="C524" s="279"/>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409"/>
      <c r="Z524" s="410"/>
      <c r="AA524" s="277"/>
      <c r="AB524" s="277"/>
      <c r="AC524" s="277"/>
      <c r="AD524" s="277"/>
    </row>
    <row r="525" ht="12.75" customHeight="1">
      <c r="A525" s="277"/>
      <c r="B525" s="278"/>
      <c r="C525" s="279"/>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409"/>
      <c r="Z525" s="410"/>
      <c r="AA525" s="277"/>
      <c r="AB525" s="277"/>
      <c r="AC525" s="277"/>
      <c r="AD525" s="277"/>
    </row>
    <row r="526" ht="12.75" customHeight="1">
      <c r="A526" s="277"/>
      <c r="B526" s="278"/>
      <c r="C526" s="279"/>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409"/>
      <c r="Z526" s="410"/>
      <c r="AA526" s="277"/>
      <c r="AB526" s="277"/>
      <c r="AC526" s="277"/>
      <c r="AD526" s="277"/>
    </row>
    <row r="527" ht="12.75" customHeight="1">
      <c r="A527" s="277"/>
      <c r="B527" s="278"/>
      <c r="C527" s="279"/>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409"/>
      <c r="Z527" s="410"/>
      <c r="AA527" s="277"/>
      <c r="AB527" s="277"/>
      <c r="AC527" s="277"/>
      <c r="AD527" s="277"/>
    </row>
    <row r="528" ht="12.75" customHeight="1">
      <c r="A528" s="277"/>
      <c r="B528" s="278"/>
      <c r="C528" s="279"/>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409"/>
      <c r="Z528" s="410"/>
      <c r="AA528" s="277"/>
      <c r="AB528" s="277"/>
      <c r="AC528" s="277"/>
      <c r="AD528" s="277"/>
    </row>
    <row r="529" ht="12.75" customHeight="1">
      <c r="A529" s="277"/>
      <c r="B529" s="278"/>
      <c r="C529" s="279"/>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409"/>
      <c r="Z529" s="410"/>
      <c r="AA529" s="277"/>
      <c r="AB529" s="277"/>
      <c r="AC529" s="277"/>
      <c r="AD529" s="277"/>
    </row>
    <row r="530" ht="12.75" customHeight="1">
      <c r="A530" s="277"/>
      <c r="B530" s="278"/>
      <c r="C530" s="279"/>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409"/>
      <c r="Z530" s="410"/>
      <c r="AA530" s="277"/>
      <c r="AB530" s="277"/>
      <c r="AC530" s="277"/>
      <c r="AD530" s="277"/>
    </row>
    <row r="531" ht="12.75" customHeight="1">
      <c r="A531" s="277"/>
      <c r="B531" s="278"/>
      <c r="C531" s="279"/>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409"/>
      <c r="Z531" s="410"/>
      <c r="AA531" s="277"/>
      <c r="AB531" s="277"/>
      <c r="AC531" s="277"/>
      <c r="AD531" s="277"/>
    </row>
    <row r="532" ht="12.75" customHeight="1">
      <c r="A532" s="277"/>
      <c r="B532" s="278"/>
      <c r="C532" s="279"/>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409"/>
      <c r="Z532" s="410"/>
      <c r="AA532" s="277"/>
      <c r="AB532" s="277"/>
      <c r="AC532" s="277"/>
      <c r="AD532" s="277"/>
    </row>
    <row r="533" ht="12.75" customHeight="1">
      <c r="A533" s="277"/>
      <c r="B533" s="278"/>
      <c r="C533" s="279"/>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409"/>
      <c r="Z533" s="410"/>
      <c r="AA533" s="277"/>
      <c r="AB533" s="277"/>
      <c r="AC533" s="277"/>
      <c r="AD533" s="277"/>
    </row>
    <row r="534" ht="12.75" customHeight="1">
      <c r="A534" s="277"/>
      <c r="B534" s="278"/>
      <c r="C534" s="279"/>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409"/>
      <c r="Z534" s="410"/>
      <c r="AA534" s="277"/>
      <c r="AB534" s="277"/>
      <c r="AC534" s="277"/>
      <c r="AD534" s="277"/>
    </row>
    <row r="535" ht="12.75" customHeight="1">
      <c r="A535" s="277"/>
      <c r="B535" s="278"/>
      <c r="C535" s="279"/>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409"/>
      <c r="Z535" s="410"/>
      <c r="AA535" s="277"/>
      <c r="AB535" s="277"/>
      <c r="AC535" s="277"/>
      <c r="AD535" s="277"/>
    </row>
    <row r="536" ht="12.75" customHeight="1">
      <c r="A536" s="277"/>
      <c r="B536" s="278"/>
      <c r="C536" s="279"/>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409"/>
      <c r="Z536" s="410"/>
      <c r="AA536" s="277"/>
      <c r="AB536" s="277"/>
      <c r="AC536" s="277"/>
      <c r="AD536" s="277"/>
    </row>
    <row r="537" ht="12.75" customHeight="1">
      <c r="A537" s="277"/>
      <c r="B537" s="278"/>
      <c r="C537" s="279"/>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409"/>
      <c r="Z537" s="410"/>
      <c r="AA537" s="277"/>
      <c r="AB537" s="277"/>
      <c r="AC537" s="277"/>
      <c r="AD537" s="277"/>
    </row>
    <row r="538" ht="12.75" customHeight="1">
      <c r="A538" s="277"/>
      <c r="B538" s="278"/>
      <c r="C538" s="279"/>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409"/>
      <c r="Z538" s="410"/>
      <c r="AA538" s="277"/>
      <c r="AB538" s="277"/>
      <c r="AC538" s="277"/>
      <c r="AD538" s="277"/>
    </row>
    <row r="539" ht="12.75" customHeight="1">
      <c r="A539" s="277"/>
      <c r="B539" s="278"/>
      <c r="C539" s="279"/>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409"/>
      <c r="Z539" s="410"/>
      <c r="AA539" s="277"/>
      <c r="AB539" s="277"/>
      <c r="AC539" s="277"/>
      <c r="AD539" s="277"/>
    </row>
    <row r="540" ht="12.75" customHeight="1">
      <c r="A540" s="277"/>
      <c r="B540" s="278"/>
      <c r="C540" s="279"/>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409"/>
      <c r="Z540" s="410"/>
      <c r="AA540" s="277"/>
      <c r="AB540" s="277"/>
      <c r="AC540" s="277"/>
      <c r="AD540" s="277"/>
    </row>
    <row r="541" ht="12.75" customHeight="1">
      <c r="A541" s="277"/>
      <c r="B541" s="278"/>
      <c r="C541" s="279"/>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409"/>
      <c r="Z541" s="410"/>
      <c r="AA541" s="277"/>
      <c r="AB541" s="277"/>
      <c r="AC541" s="277"/>
      <c r="AD541" s="277"/>
    </row>
    <row r="542" ht="12.75" customHeight="1">
      <c r="A542" s="277"/>
      <c r="B542" s="278"/>
      <c r="C542" s="279"/>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409"/>
      <c r="Z542" s="410"/>
      <c r="AA542" s="277"/>
      <c r="AB542" s="277"/>
      <c r="AC542" s="277"/>
      <c r="AD542" s="277"/>
    </row>
    <row r="543" ht="12.75" customHeight="1">
      <c r="A543" s="277"/>
      <c r="B543" s="278"/>
      <c r="C543" s="279"/>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409"/>
      <c r="Z543" s="410"/>
      <c r="AA543" s="277"/>
      <c r="AB543" s="277"/>
      <c r="AC543" s="277"/>
      <c r="AD543" s="277"/>
    </row>
    <row r="544" ht="12.75" customHeight="1">
      <c r="A544" s="277"/>
      <c r="B544" s="278"/>
      <c r="C544" s="279"/>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409"/>
      <c r="Z544" s="410"/>
      <c r="AA544" s="277"/>
      <c r="AB544" s="277"/>
      <c r="AC544" s="277"/>
      <c r="AD544" s="277"/>
    </row>
    <row r="545" ht="12.75" customHeight="1">
      <c r="A545" s="277"/>
      <c r="B545" s="278"/>
      <c r="C545" s="279"/>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409"/>
      <c r="Z545" s="410"/>
      <c r="AA545" s="277"/>
      <c r="AB545" s="277"/>
      <c r="AC545" s="277"/>
      <c r="AD545" s="277"/>
    </row>
    <row r="546" ht="12.75" customHeight="1">
      <c r="A546" s="277"/>
      <c r="B546" s="278"/>
      <c r="C546" s="279"/>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409"/>
      <c r="Z546" s="410"/>
      <c r="AA546" s="277"/>
      <c r="AB546" s="277"/>
      <c r="AC546" s="277"/>
      <c r="AD546" s="277"/>
    </row>
    <row r="547" ht="12.75" customHeight="1">
      <c r="A547" s="277"/>
      <c r="B547" s="278"/>
      <c r="C547" s="279"/>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409"/>
      <c r="Z547" s="410"/>
      <c r="AA547" s="277"/>
      <c r="AB547" s="277"/>
      <c r="AC547" s="277"/>
      <c r="AD547" s="277"/>
    </row>
    <row r="548" ht="12.75" customHeight="1">
      <c r="A548" s="277"/>
      <c r="B548" s="278"/>
      <c r="C548" s="279"/>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409"/>
      <c r="Z548" s="410"/>
      <c r="AA548" s="277"/>
      <c r="AB548" s="277"/>
      <c r="AC548" s="277"/>
      <c r="AD548" s="277"/>
    </row>
    <row r="549" ht="12.75" customHeight="1">
      <c r="A549" s="277"/>
      <c r="B549" s="278"/>
      <c r="C549" s="279"/>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409"/>
      <c r="Z549" s="410"/>
      <c r="AA549" s="277"/>
      <c r="AB549" s="277"/>
      <c r="AC549" s="277"/>
      <c r="AD549" s="277"/>
    </row>
    <row r="550" ht="12.75" customHeight="1">
      <c r="A550" s="277"/>
      <c r="B550" s="278"/>
      <c r="C550" s="279"/>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409"/>
      <c r="Z550" s="410"/>
      <c r="AA550" s="277"/>
      <c r="AB550" s="277"/>
      <c r="AC550" s="277"/>
      <c r="AD550" s="277"/>
    </row>
    <row r="551" ht="12.75" customHeight="1">
      <c r="A551" s="277"/>
      <c r="B551" s="278"/>
      <c r="C551" s="279"/>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409"/>
      <c r="Z551" s="410"/>
      <c r="AA551" s="277"/>
      <c r="AB551" s="277"/>
      <c r="AC551" s="277"/>
      <c r="AD551" s="277"/>
    </row>
    <row r="552" ht="12.75" customHeight="1">
      <c r="A552" s="277"/>
      <c r="B552" s="278"/>
      <c r="C552" s="279"/>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409"/>
      <c r="Z552" s="410"/>
      <c r="AA552" s="277"/>
      <c r="AB552" s="277"/>
      <c r="AC552" s="277"/>
      <c r="AD552" s="277"/>
    </row>
    <row r="553" ht="12.75" customHeight="1">
      <c r="A553" s="277"/>
      <c r="B553" s="278"/>
      <c r="C553" s="279"/>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409"/>
      <c r="Z553" s="410"/>
      <c r="AA553" s="277"/>
      <c r="AB553" s="277"/>
      <c r="AC553" s="277"/>
      <c r="AD553" s="277"/>
    </row>
    <row r="554" ht="12.75" customHeight="1">
      <c r="A554" s="277"/>
      <c r="B554" s="278"/>
      <c r="C554" s="279"/>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409"/>
      <c r="Z554" s="410"/>
      <c r="AA554" s="277"/>
      <c r="AB554" s="277"/>
      <c r="AC554" s="277"/>
      <c r="AD554" s="277"/>
    </row>
    <row r="555" ht="12.75" customHeight="1">
      <c r="A555" s="277"/>
      <c r="B555" s="278"/>
      <c r="C555" s="279"/>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409"/>
      <c r="Z555" s="410"/>
      <c r="AA555" s="277"/>
      <c r="AB555" s="277"/>
      <c r="AC555" s="277"/>
      <c r="AD555" s="277"/>
    </row>
    <row r="556" ht="12.75" customHeight="1">
      <c r="A556" s="277"/>
      <c r="B556" s="278"/>
      <c r="C556" s="279"/>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409"/>
      <c r="Z556" s="410"/>
      <c r="AA556" s="277"/>
      <c r="AB556" s="277"/>
      <c r="AC556" s="277"/>
      <c r="AD556" s="277"/>
    </row>
    <row r="557" ht="12.75" customHeight="1">
      <c r="A557" s="277"/>
      <c r="B557" s="278"/>
      <c r="C557" s="279"/>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409"/>
      <c r="Z557" s="410"/>
      <c r="AA557" s="277"/>
      <c r="AB557" s="277"/>
      <c r="AC557" s="277"/>
      <c r="AD557" s="277"/>
    </row>
    <row r="558" ht="12.75" customHeight="1">
      <c r="A558" s="277"/>
      <c r="B558" s="278"/>
      <c r="C558" s="279"/>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409"/>
      <c r="Z558" s="410"/>
      <c r="AA558" s="277"/>
      <c r="AB558" s="277"/>
      <c r="AC558" s="277"/>
      <c r="AD558" s="277"/>
    </row>
    <row r="559" ht="12.75" customHeight="1">
      <c r="A559" s="277"/>
      <c r="B559" s="278"/>
      <c r="C559" s="279"/>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409"/>
      <c r="Z559" s="410"/>
      <c r="AA559" s="277"/>
      <c r="AB559" s="277"/>
      <c r="AC559" s="277"/>
      <c r="AD559" s="277"/>
    </row>
    <row r="560" ht="12.75" customHeight="1">
      <c r="A560" s="277"/>
      <c r="B560" s="278"/>
      <c r="C560" s="279"/>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409"/>
      <c r="Z560" s="410"/>
      <c r="AA560" s="277"/>
      <c r="AB560" s="277"/>
      <c r="AC560" s="277"/>
      <c r="AD560" s="277"/>
    </row>
    <row r="561" ht="12.75" customHeight="1">
      <c r="A561" s="277"/>
      <c r="B561" s="278"/>
      <c r="C561" s="279"/>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409"/>
      <c r="Z561" s="410"/>
      <c r="AA561" s="277"/>
      <c r="AB561" s="277"/>
      <c r="AC561" s="277"/>
      <c r="AD561" s="277"/>
    </row>
    <row r="562" ht="12.75" customHeight="1">
      <c r="A562" s="277"/>
      <c r="B562" s="278"/>
      <c r="C562" s="279"/>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409"/>
      <c r="Z562" s="410"/>
      <c r="AA562" s="277"/>
      <c r="AB562" s="277"/>
      <c r="AC562" s="277"/>
      <c r="AD562" s="277"/>
    </row>
    <row r="563" ht="12.75" customHeight="1">
      <c r="A563" s="277"/>
      <c r="B563" s="278"/>
      <c r="C563" s="279"/>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409"/>
      <c r="Z563" s="410"/>
      <c r="AA563" s="277"/>
      <c r="AB563" s="277"/>
      <c r="AC563" s="277"/>
      <c r="AD563" s="277"/>
    </row>
    <row r="564" ht="12.75" customHeight="1">
      <c r="A564" s="277"/>
      <c r="B564" s="278"/>
      <c r="C564" s="279"/>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409"/>
      <c r="Z564" s="410"/>
      <c r="AA564" s="277"/>
      <c r="AB564" s="277"/>
      <c r="AC564" s="277"/>
      <c r="AD564" s="277"/>
    </row>
    <row r="565" ht="12.75" customHeight="1">
      <c r="A565" s="277"/>
      <c r="B565" s="278"/>
      <c r="C565" s="279"/>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409"/>
      <c r="Z565" s="410"/>
      <c r="AA565" s="277"/>
      <c r="AB565" s="277"/>
      <c r="AC565" s="277"/>
      <c r="AD565" s="277"/>
    </row>
    <row r="566" ht="12.75" customHeight="1">
      <c r="A566" s="277"/>
      <c r="B566" s="278"/>
      <c r="C566" s="279"/>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409"/>
      <c r="Z566" s="410"/>
      <c r="AA566" s="277"/>
      <c r="AB566" s="277"/>
      <c r="AC566" s="277"/>
      <c r="AD566" s="277"/>
    </row>
    <row r="567" ht="12.75" customHeight="1">
      <c r="A567" s="277"/>
      <c r="B567" s="278"/>
      <c r="C567" s="279"/>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409"/>
      <c r="Z567" s="410"/>
      <c r="AA567" s="277"/>
      <c r="AB567" s="277"/>
      <c r="AC567" s="277"/>
      <c r="AD567" s="277"/>
    </row>
    <row r="568" ht="12.75" customHeight="1">
      <c r="A568" s="277"/>
      <c r="B568" s="278"/>
      <c r="C568" s="279"/>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409"/>
      <c r="Z568" s="410"/>
      <c r="AA568" s="277"/>
      <c r="AB568" s="277"/>
      <c r="AC568" s="277"/>
      <c r="AD568" s="277"/>
    </row>
    <row r="569" ht="12.75" customHeight="1">
      <c r="A569" s="277"/>
      <c r="B569" s="278"/>
      <c r="C569" s="279"/>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409"/>
      <c r="Z569" s="410"/>
      <c r="AA569" s="277"/>
      <c r="AB569" s="277"/>
      <c r="AC569" s="277"/>
      <c r="AD569" s="277"/>
    </row>
    <row r="570" ht="12.75" customHeight="1">
      <c r="A570" s="277"/>
      <c r="B570" s="278"/>
      <c r="C570" s="279"/>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409"/>
      <c r="Z570" s="410"/>
      <c r="AA570" s="277"/>
      <c r="AB570" s="277"/>
      <c r="AC570" s="277"/>
      <c r="AD570" s="277"/>
    </row>
    <row r="571" ht="12.75" customHeight="1">
      <c r="A571" s="277"/>
      <c r="B571" s="278"/>
      <c r="C571" s="279"/>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409"/>
      <c r="Z571" s="410"/>
      <c r="AA571" s="277"/>
      <c r="AB571" s="277"/>
      <c r="AC571" s="277"/>
      <c r="AD571" s="277"/>
    </row>
    <row r="572" ht="12.75" customHeight="1">
      <c r="A572" s="277"/>
      <c r="B572" s="278"/>
      <c r="C572" s="279"/>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409"/>
      <c r="Z572" s="410"/>
      <c r="AA572" s="277"/>
      <c r="AB572" s="277"/>
      <c r="AC572" s="277"/>
      <c r="AD572" s="277"/>
    </row>
    <row r="573" ht="12.75" customHeight="1">
      <c r="A573" s="277"/>
      <c r="B573" s="278"/>
      <c r="C573" s="279"/>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409"/>
      <c r="Z573" s="410"/>
      <c r="AA573" s="277"/>
      <c r="AB573" s="277"/>
      <c r="AC573" s="277"/>
      <c r="AD573" s="277"/>
    </row>
    <row r="574" ht="12.75" customHeight="1">
      <c r="A574" s="277"/>
      <c r="B574" s="278"/>
      <c r="C574" s="279"/>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409"/>
      <c r="Z574" s="410"/>
      <c r="AA574" s="277"/>
      <c r="AB574" s="277"/>
      <c r="AC574" s="277"/>
      <c r="AD574" s="277"/>
    </row>
    <row r="575" ht="12.75" customHeight="1">
      <c r="A575" s="277"/>
      <c r="B575" s="278"/>
      <c r="C575" s="279"/>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409"/>
      <c r="Z575" s="410"/>
      <c r="AA575" s="277"/>
      <c r="AB575" s="277"/>
      <c r="AC575" s="277"/>
      <c r="AD575" s="277"/>
    </row>
    <row r="576" ht="12.75" customHeight="1">
      <c r="A576" s="277"/>
      <c r="B576" s="278"/>
      <c r="C576" s="279"/>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409"/>
      <c r="Z576" s="410"/>
      <c r="AA576" s="277"/>
      <c r="AB576" s="277"/>
      <c r="AC576" s="277"/>
      <c r="AD576" s="277"/>
    </row>
    <row r="577" ht="12.75" customHeight="1">
      <c r="A577" s="277"/>
      <c r="B577" s="278"/>
      <c r="C577" s="279"/>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409"/>
      <c r="Z577" s="410"/>
      <c r="AA577" s="277"/>
      <c r="AB577" s="277"/>
      <c r="AC577" s="277"/>
      <c r="AD577" s="277"/>
    </row>
    <row r="578" ht="12.75" customHeight="1">
      <c r="A578" s="277"/>
      <c r="B578" s="278"/>
      <c r="C578" s="279"/>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409"/>
      <c r="Z578" s="410"/>
      <c r="AA578" s="277"/>
      <c r="AB578" s="277"/>
      <c r="AC578" s="277"/>
      <c r="AD578" s="277"/>
    </row>
    <row r="579" ht="12.75" customHeight="1">
      <c r="A579" s="277"/>
      <c r="B579" s="278"/>
      <c r="C579" s="279"/>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409"/>
      <c r="Z579" s="410"/>
      <c r="AA579" s="277"/>
      <c r="AB579" s="277"/>
      <c r="AC579" s="277"/>
      <c r="AD579" s="277"/>
    </row>
    <row r="580" ht="12.75" customHeight="1">
      <c r="A580" s="277"/>
      <c r="B580" s="278"/>
      <c r="C580" s="279"/>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409"/>
      <c r="Z580" s="410"/>
      <c r="AA580" s="277"/>
      <c r="AB580" s="277"/>
      <c r="AC580" s="277"/>
      <c r="AD580" s="277"/>
    </row>
    <row r="581" ht="12.75" customHeight="1">
      <c r="A581" s="277"/>
      <c r="B581" s="278"/>
      <c r="C581" s="279"/>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409"/>
      <c r="Z581" s="410"/>
      <c r="AA581" s="277"/>
      <c r="AB581" s="277"/>
      <c r="AC581" s="277"/>
      <c r="AD581" s="277"/>
    </row>
    <row r="582" ht="12.75" customHeight="1">
      <c r="A582" s="277"/>
      <c r="B582" s="278"/>
      <c r="C582" s="279"/>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409"/>
      <c r="Z582" s="410"/>
      <c r="AA582" s="277"/>
      <c r="AB582" s="277"/>
      <c r="AC582" s="277"/>
      <c r="AD582" s="277"/>
    </row>
    <row r="583" ht="12.75" customHeight="1">
      <c r="A583" s="277"/>
      <c r="B583" s="278"/>
      <c r="C583" s="279"/>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409"/>
      <c r="Z583" s="410"/>
      <c r="AA583" s="277"/>
      <c r="AB583" s="277"/>
      <c r="AC583" s="277"/>
      <c r="AD583" s="277"/>
    </row>
    <row r="584" ht="12.75" customHeight="1">
      <c r="A584" s="277"/>
      <c r="B584" s="278"/>
      <c r="C584" s="279"/>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409"/>
      <c r="Z584" s="410"/>
      <c r="AA584" s="277"/>
      <c r="AB584" s="277"/>
      <c r="AC584" s="277"/>
      <c r="AD584" s="277"/>
    </row>
    <row r="585" ht="12.75" customHeight="1">
      <c r="A585" s="277"/>
      <c r="B585" s="278"/>
      <c r="C585" s="279"/>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409"/>
      <c r="Z585" s="410"/>
      <c r="AA585" s="277"/>
      <c r="AB585" s="277"/>
      <c r="AC585" s="277"/>
      <c r="AD585" s="277"/>
    </row>
    <row r="586" ht="12.75" customHeight="1">
      <c r="A586" s="277"/>
      <c r="B586" s="278"/>
      <c r="C586" s="279"/>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409"/>
      <c r="Z586" s="410"/>
      <c r="AA586" s="277"/>
      <c r="AB586" s="277"/>
      <c r="AC586" s="277"/>
      <c r="AD586" s="277"/>
    </row>
    <row r="587" ht="12.75" customHeight="1">
      <c r="A587" s="277"/>
      <c r="B587" s="278"/>
      <c r="C587" s="279"/>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409"/>
      <c r="Z587" s="410"/>
      <c r="AA587" s="277"/>
      <c r="AB587" s="277"/>
      <c r="AC587" s="277"/>
      <c r="AD587" s="277"/>
    </row>
    <row r="588" ht="12.75" customHeight="1">
      <c r="A588" s="277"/>
      <c r="B588" s="278"/>
      <c r="C588" s="279"/>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409"/>
      <c r="Z588" s="410"/>
      <c r="AA588" s="277"/>
      <c r="AB588" s="277"/>
      <c r="AC588" s="277"/>
      <c r="AD588" s="277"/>
    </row>
    <row r="589" ht="12.75" customHeight="1">
      <c r="A589" s="277"/>
      <c r="B589" s="278"/>
      <c r="C589" s="279"/>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409"/>
      <c r="Z589" s="410"/>
      <c r="AA589" s="277"/>
      <c r="AB589" s="277"/>
      <c r="AC589" s="277"/>
      <c r="AD589" s="277"/>
    </row>
    <row r="590" ht="12.75" customHeight="1">
      <c r="A590" s="277"/>
      <c r="B590" s="278"/>
      <c r="C590" s="279"/>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409"/>
      <c r="Z590" s="410"/>
      <c r="AA590" s="277"/>
      <c r="AB590" s="277"/>
      <c r="AC590" s="277"/>
      <c r="AD590" s="277"/>
    </row>
    <row r="591" ht="12.75" customHeight="1">
      <c r="A591" s="277"/>
      <c r="B591" s="278"/>
      <c r="C591" s="279"/>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409"/>
      <c r="Z591" s="410"/>
      <c r="AA591" s="277"/>
      <c r="AB591" s="277"/>
      <c r="AC591" s="277"/>
      <c r="AD591" s="277"/>
    </row>
    <row r="592" ht="12.75" customHeight="1">
      <c r="A592" s="277"/>
      <c r="B592" s="278"/>
      <c r="C592" s="279"/>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409"/>
      <c r="Z592" s="410"/>
      <c r="AA592" s="277"/>
      <c r="AB592" s="277"/>
      <c r="AC592" s="277"/>
      <c r="AD592" s="277"/>
    </row>
    <row r="593" ht="12.75" customHeight="1">
      <c r="A593" s="277"/>
      <c r="B593" s="278"/>
      <c r="C593" s="279"/>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409"/>
      <c r="Z593" s="410"/>
      <c r="AA593" s="277"/>
      <c r="AB593" s="277"/>
      <c r="AC593" s="277"/>
      <c r="AD593" s="277"/>
    </row>
    <row r="594" ht="12.75" customHeight="1">
      <c r="A594" s="277"/>
      <c r="B594" s="278"/>
      <c r="C594" s="279"/>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409"/>
      <c r="Z594" s="410"/>
      <c r="AA594" s="277"/>
      <c r="AB594" s="277"/>
      <c r="AC594" s="277"/>
      <c r="AD594" s="277"/>
    </row>
    <row r="595" ht="12.75" customHeight="1">
      <c r="A595" s="277"/>
      <c r="B595" s="278"/>
      <c r="C595" s="279"/>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409"/>
      <c r="Z595" s="410"/>
      <c r="AA595" s="277"/>
      <c r="AB595" s="277"/>
      <c r="AC595" s="277"/>
      <c r="AD595" s="277"/>
    </row>
    <row r="596" ht="12.75" customHeight="1">
      <c r="A596" s="277"/>
      <c r="B596" s="278"/>
      <c r="C596" s="279"/>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409"/>
      <c r="Z596" s="410"/>
      <c r="AA596" s="277"/>
      <c r="AB596" s="277"/>
      <c r="AC596" s="277"/>
      <c r="AD596" s="277"/>
    </row>
    <row r="597" ht="12.75" customHeight="1">
      <c r="A597" s="277"/>
      <c r="B597" s="278"/>
      <c r="C597" s="279"/>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409"/>
      <c r="Z597" s="410"/>
      <c r="AA597" s="277"/>
      <c r="AB597" s="277"/>
      <c r="AC597" s="277"/>
      <c r="AD597" s="277"/>
    </row>
    <row r="598" ht="12.75" customHeight="1">
      <c r="A598" s="277"/>
      <c r="B598" s="278"/>
      <c r="C598" s="279"/>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409"/>
      <c r="Z598" s="410"/>
      <c r="AA598" s="277"/>
      <c r="AB598" s="277"/>
      <c r="AC598" s="277"/>
      <c r="AD598" s="277"/>
    </row>
    <row r="599" ht="12.75" customHeight="1">
      <c r="A599" s="277"/>
      <c r="B599" s="278"/>
      <c r="C599" s="279"/>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409"/>
      <c r="Z599" s="410"/>
      <c r="AA599" s="277"/>
      <c r="AB599" s="277"/>
      <c r="AC599" s="277"/>
      <c r="AD599" s="277"/>
    </row>
    <row r="600" ht="12.75" customHeight="1">
      <c r="A600" s="277"/>
      <c r="B600" s="278"/>
      <c r="C600" s="279"/>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409"/>
      <c r="Z600" s="410"/>
      <c r="AA600" s="277"/>
      <c r="AB600" s="277"/>
      <c r="AC600" s="277"/>
      <c r="AD600" s="277"/>
    </row>
    <row r="601" ht="12.75" customHeight="1">
      <c r="A601" s="277"/>
      <c r="B601" s="278"/>
      <c r="C601" s="279"/>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409"/>
      <c r="Z601" s="410"/>
      <c r="AA601" s="277"/>
      <c r="AB601" s="277"/>
      <c r="AC601" s="277"/>
      <c r="AD601" s="277"/>
    </row>
    <row r="602" ht="12.75" customHeight="1">
      <c r="A602" s="277"/>
      <c r="B602" s="278"/>
      <c r="C602" s="279"/>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409"/>
      <c r="Z602" s="410"/>
      <c r="AA602" s="277"/>
      <c r="AB602" s="277"/>
      <c r="AC602" s="277"/>
      <c r="AD602" s="277"/>
    </row>
    <row r="603" ht="12.75" customHeight="1">
      <c r="A603" s="277"/>
      <c r="B603" s="278"/>
      <c r="C603" s="279"/>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409"/>
      <c r="Z603" s="410"/>
      <c r="AA603" s="277"/>
      <c r="AB603" s="277"/>
      <c r="AC603" s="277"/>
      <c r="AD603" s="277"/>
    </row>
    <row r="604" ht="12.75" customHeight="1">
      <c r="A604" s="277"/>
      <c r="B604" s="278"/>
      <c r="C604" s="279"/>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409"/>
      <c r="Z604" s="410"/>
      <c r="AA604" s="277"/>
      <c r="AB604" s="277"/>
      <c r="AC604" s="277"/>
      <c r="AD604" s="277"/>
    </row>
    <row r="605" ht="12.75" customHeight="1">
      <c r="A605" s="277"/>
      <c r="B605" s="278"/>
      <c r="C605" s="279"/>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409"/>
      <c r="Z605" s="410"/>
      <c r="AA605" s="277"/>
      <c r="AB605" s="277"/>
      <c r="AC605" s="277"/>
      <c r="AD605" s="277"/>
    </row>
    <row r="606" ht="12.75" customHeight="1">
      <c r="A606" s="277"/>
      <c r="B606" s="278"/>
      <c r="C606" s="279"/>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409"/>
      <c r="Z606" s="410"/>
      <c r="AA606" s="277"/>
      <c r="AB606" s="277"/>
      <c r="AC606" s="277"/>
      <c r="AD606" s="277"/>
    </row>
    <row r="607" ht="12.75" customHeight="1">
      <c r="A607" s="277"/>
      <c r="B607" s="278"/>
      <c r="C607" s="279"/>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409"/>
      <c r="Z607" s="410"/>
      <c r="AA607" s="277"/>
      <c r="AB607" s="277"/>
      <c r="AC607" s="277"/>
      <c r="AD607" s="277"/>
    </row>
    <row r="608" ht="12.75" customHeight="1">
      <c r="A608" s="277"/>
      <c r="B608" s="278"/>
      <c r="C608" s="279"/>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409"/>
      <c r="Z608" s="410"/>
      <c r="AA608" s="277"/>
      <c r="AB608" s="277"/>
      <c r="AC608" s="277"/>
      <c r="AD608" s="277"/>
    </row>
    <row r="609" ht="12.75" customHeight="1">
      <c r="A609" s="277"/>
      <c r="B609" s="278"/>
      <c r="C609" s="279"/>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409"/>
      <c r="Z609" s="410"/>
      <c r="AA609" s="277"/>
      <c r="AB609" s="277"/>
      <c r="AC609" s="277"/>
      <c r="AD609" s="277"/>
    </row>
    <row r="610" ht="12.75" customHeight="1">
      <c r="A610" s="277"/>
      <c r="B610" s="278"/>
      <c r="C610" s="279"/>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409"/>
      <c r="Z610" s="410"/>
      <c r="AA610" s="277"/>
      <c r="AB610" s="277"/>
      <c r="AC610" s="277"/>
      <c r="AD610" s="277"/>
    </row>
    <row r="611" ht="12.75" customHeight="1">
      <c r="A611" s="277"/>
      <c r="B611" s="278"/>
      <c r="C611" s="279"/>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409"/>
      <c r="Z611" s="410"/>
      <c r="AA611" s="277"/>
      <c r="AB611" s="277"/>
      <c r="AC611" s="277"/>
      <c r="AD611" s="277"/>
    </row>
    <row r="612" ht="12.75" customHeight="1">
      <c r="A612" s="277"/>
      <c r="B612" s="278"/>
      <c r="C612" s="279"/>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409"/>
      <c r="Z612" s="410"/>
      <c r="AA612" s="277"/>
      <c r="AB612" s="277"/>
      <c r="AC612" s="277"/>
      <c r="AD612" s="277"/>
    </row>
    <row r="613" ht="12.75" customHeight="1">
      <c r="A613" s="277"/>
      <c r="B613" s="278"/>
      <c r="C613" s="279"/>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409"/>
      <c r="Z613" s="410"/>
      <c r="AA613" s="277"/>
      <c r="AB613" s="277"/>
      <c r="AC613" s="277"/>
      <c r="AD613" s="277"/>
    </row>
    <row r="614" ht="12.75" customHeight="1">
      <c r="A614" s="277"/>
      <c r="B614" s="278"/>
      <c r="C614" s="279"/>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409"/>
      <c r="Z614" s="410"/>
      <c r="AA614" s="277"/>
      <c r="AB614" s="277"/>
      <c r="AC614" s="277"/>
      <c r="AD614" s="277"/>
    </row>
    <row r="615" ht="12.75" customHeight="1">
      <c r="A615" s="277"/>
      <c r="B615" s="278"/>
      <c r="C615" s="279"/>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409"/>
      <c r="Z615" s="410"/>
      <c r="AA615" s="277"/>
      <c r="AB615" s="277"/>
      <c r="AC615" s="277"/>
      <c r="AD615" s="277"/>
    </row>
    <row r="616" ht="12.75" customHeight="1">
      <c r="A616" s="277"/>
      <c r="B616" s="278"/>
      <c r="C616" s="279"/>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409"/>
      <c r="Z616" s="410"/>
      <c r="AA616" s="277"/>
      <c r="AB616" s="277"/>
      <c r="AC616" s="277"/>
      <c r="AD616" s="277"/>
    </row>
    <row r="617" ht="12.75" customHeight="1">
      <c r="A617" s="277"/>
      <c r="B617" s="278"/>
      <c r="C617" s="279"/>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409"/>
      <c r="Z617" s="410"/>
      <c r="AA617" s="277"/>
      <c r="AB617" s="277"/>
      <c r="AC617" s="277"/>
      <c r="AD617" s="277"/>
    </row>
    <row r="618" ht="12.75" customHeight="1">
      <c r="A618" s="277"/>
      <c r="B618" s="278"/>
      <c r="C618" s="279"/>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409"/>
      <c r="Z618" s="410"/>
      <c r="AA618" s="277"/>
      <c r="AB618" s="277"/>
      <c r="AC618" s="277"/>
      <c r="AD618" s="277"/>
    </row>
    <row r="619" ht="12.75" customHeight="1">
      <c r="A619" s="277"/>
      <c r="B619" s="278"/>
      <c r="C619" s="279"/>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409"/>
      <c r="Z619" s="410"/>
      <c r="AA619" s="277"/>
      <c r="AB619" s="277"/>
      <c r="AC619" s="277"/>
      <c r="AD619" s="277"/>
    </row>
    <row r="620" ht="12.75" customHeight="1">
      <c r="A620" s="277"/>
      <c r="B620" s="278"/>
      <c r="C620" s="279"/>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409"/>
      <c r="Z620" s="410"/>
      <c r="AA620" s="277"/>
      <c r="AB620" s="277"/>
      <c r="AC620" s="277"/>
      <c r="AD620" s="277"/>
    </row>
    <row r="621" ht="12.75" customHeight="1">
      <c r="A621" s="277"/>
      <c r="B621" s="278"/>
      <c r="C621" s="279"/>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409"/>
      <c r="Z621" s="410"/>
      <c r="AA621" s="277"/>
      <c r="AB621" s="277"/>
      <c r="AC621" s="277"/>
      <c r="AD621" s="277"/>
    </row>
    <row r="622" ht="12.75" customHeight="1">
      <c r="A622" s="277"/>
      <c r="B622" s="278"/>
      <c r="C622" s="279"/>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409"/>
      <c r="Z622" s="410"/>
      <c r="AA622" s="277"/>
      <c r="AB622" s="277"/>
      <c r="AC622" s="277"/>
      <c r="AD622" s="277"/>
    </row>
    <row r="623" ht="12.75" customHeight="1">
      <c r="A623" s="277"/>
      <c r="B623" s="278"/>
      <c r="C623" s="279"/>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409"/>
      <c r="Z623" s="410"/>
      <c r="AA623" s="277"/>
      <c r="AB623" s="277"/>
      <c r="AC623" s="277"/>
      <c r="AD623" s="277"/>
    </row>
    <row r="624" ht="12.75" customHeight="1">
      <c r="A624" s="277"/>
      <c r="B624" s="278"/>
      <c r="C624" s="279"/>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409"/>
      <c r="Z624" s="410"/>
      <c r="AA624" s="277"/>
      <c r="AB624" s="277"/>
      <c r="AC624" s="277"/>
      <c r="AD624" s="277"/>
    </row>
    <row r="625" ht="12.75" customHeight="1">
      <c r="A625" s="277"/>
      <c r="B625" s="278"/>
      <c r="C625" s="279"/>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409"/>
      <c r="Z625" s="410"/>
      <c r="AA625" s="277"/>
      <c r="AB625" s="277"/>
      <c r="AC625" s="277"/>
      <c r="AD625" s="277"/>
    </row>
    <row r="626" ht="12.75" customHeight="1">
      <c r="A626" s="277"/>
      <c r="B626" s="278"/>
      <c r="C626" s="279"/>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409"/>
      <c r="Z626" s="410"/>
      <c r="AA626" s="277"/>
      <c r="AB626" s="277"/>
      <c r="AC626" s="277"/>
      <c r="AD626" s="277"/>
    </row>
    <row r="627" ht="12.75" customHeight="1">
      <c r="A627" s="277"/>
      <c r="B627" s="278"/>
      <c r="C627" s="279"/>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409"/>
      <c r="Z627" s="410"/>
      <c r="AA627" s="277"/>
      <c r="AB627" s="277"/>
      <c r="AC627" s="277"/>
      <c r="AD627" s="277"/>
    </row>
    <row r="628" ht="12.75" customHeight="1">
      <c r="A628" s="277"/>
      <c r="B628" s="278"/>
      <c r="C628" s="279"/>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409"/>
      <c r="Z628" s="410"/>
      <c r="AA628" s="277"/>
      <c r="AB628" s="277"/>
      <c r="AC628" s="277"/>
      <c r="AD628" s="277"/>
    </row>
    <row r="629" ht="12.75" customHeight="1">
      <c r="A629" s="277"/>
      <c r="B629" s="278"/>
      <c r="C629" s="279"/>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409"/>
      <c r="Z629" s="410"/>
      <c r="AA629" s="277"/>
      <c r="AB629" s="277"/>
      <c r="AC629" s="277"/>
      <c r="AD629" s="277"/>
    </row>
    <row r="630" ht="12.75" customHeight="1">
      <c r="A630" s="277"/>
      <c r="B630" s="278"/>
      <c r="C630" s="279"/>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409"/>
      <c r="Z630" s="410"/>
      <c r="AA630" s="277"/>
      <c r="AB630" s="277"/>
      <c r="AC630" s="277"/>
      <c r="AD630" s="277"/>
    </row>
    <row r="631" ht="12.75" customHeight="1">
      <c r="A631" s="277"/>
      <c r="B631" s="278"/>
      <c r="C631" s="279"/>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409"/>
      <c r="Z631" s="410"/>
      <c r="AA631" s="277"/>
      <c r="AB631" s="277"/>
      <c r="AC631" s="277"/>
      <c r="AD631" s="277"/>
    </row>
    <row r="632" ht="12.75" customHeight="1">
      <c r="A632" s="277"/>
      <c r="B632" s="278"/>
      <c r="C632" s="279"/>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409"/>
      <c r="Z632" s="410"/>
      <c r="AA632" s="277"/>
      <c r="AB632" s="277"/>
      <c r="AC632" s="277"/>
      <c r="AD632" s="277"/>
    </row>
    <row r="633" ht="12.75" customHeight="1">
      <c r="A633" s="277"/>
      <c r="B633" s="278"/>
      <c r="C633" s="279"/>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409"/>
      <c r="Z633" s="410"/>
      <c r="AA633" s="277"/>
      <c r="AB633" s="277"/>
      <c r="AC633" s="277"/>
      <c r="AD633" s="277"/>
    </row>
    <row r="634" ht="12.75" customHeight="1">
      <c r="A634" s="277"/>
      <c r="B634" s="278"/>
      <c r="C634" s="279"/>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409"/>
      <c r="Z634" s="410"/>
      <c r="AA634" s="277"/>
      <c r="AB634" s="277"/>
      <c r="AC634" s="277"/>
      <c r="AD634" s="277"/>
    </row>
    <row r="635" ht="12.75" customHeight="1">
      <c r="A635" s="277"/>
      <c r="B635" s="278"/>
      <c r="C635" s="279"/>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409"/>
      <c r="Z635" s="410"/>
      <c r="AA635" s="277"/>
      <c r="AB635" s="277"/>
      <c r="AC635" s="277"/>
      <c r="AD635" s="277"/>
    </row>
    <row r="636" ht="12.75" customHeight="1">
      <c r="A636" s="277"/>
      <c r="B636" s="278"/>
      <c r="C636" s="279"/>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409"/>
      <c r="Z636" s="410"/>
      <c r="AA636" s="277"/>
      <c r="AB636" s="277"/>
      <c r="AC636" s="277"/>
      <c r="AD636" s="277"/>
    </row>
    <row r="637" ht="12.75" customHeight="1">
      <c r="A637" s="277"/>
      <c r="B637" s="278"/>
      <c r="C637" s="279"/>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409"/>
      <c r="Z637" s="410"/>
      <c r="AA637" s="277"/>
      <c r="AB637" s="277"/>
      <c r="AC637" s="277"/>
      <c r="AD637" s="277"/>
    </row>
    <row r="638" ht="12.75" customHeight="1">
      <c r="A638" s="277"/>
      <c r="B638" s="278"/>
      <c r="C638" s="279"/>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409"/>
      <c r="Z638" s="410"/>
      <c r="AA638" s="277"/>
      <c r="AB638" s="277"/>
      <c r="AC638" s="277"/>
      <c r="AD638" s="277"/>
    </row>
    <row r="639" ht="12.75" customHeight="1">
      <c r="A639" s="277"/>
      <c r="B639" s="278"/>
      <c r="C639" s="279"/>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409"/>
      <c r="Z639" s="410"/>
      <c r="AA639" s="277"/>
      <c r="AB639" s="277"/>
      <c r="AC639" s="277"/>
      <c r="AD639" s="277"/>
    </row>
    <row r="640" ht="12.75" customHeight="1">
      <c r="A640" s="277"/>
      <c r="B640" s="278"/>
      <c r="C640" s="279"/>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409"/>
      <c r="Z640" s="410"/>
      <c r="AA640" s="277"/>
      <c r="AB640" s="277"/>
      <c r="AC640" s="277"/>
      <c r="AD640" s="277"/>
    </row>
    <row r="641" ht="12.75" customHeight="1">
      <c r="A641" s="277"/>
      <c r="B641" s="278"/>
      <c r="C641" s="279"/>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409"/>
      <c r="Z641" s="410"/>
      <c r="AA641" s="277"/>
      <c r="AB641" s="277"/>
      <c r="AC641" s="277"/>
      <c r="AD641" s="277"/>
    </row>
    <row r="642" ht="12.75" customHeight="1">
      <c r="A642" s="277"/>
      <c r="B642" s="278"/>
      <c r="C642" s="279"/>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409"/>
      <c r="Z642" s="410"/>
      <c r="AA642" s="277"/>
      <c r="AB642" s="277"/>
      <c r="AC642" s="277"/>
      <c r="AD642" s="277"/>
    </row>
    <row r="643" ht="12.75" customHeight="1">
      <c r="A643" s="277"/>
      <c r="B643" s="278"/>
      <c r="C643" s="279"/>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409"/>
      <c r="Z643" s="410"/>
      <c r="AA643" s="277"/>
      <c r="AB643" s="277"/>
      <c r="AC643" s="277"/>
      <c r="AD643" s="277"/>
    </row>
    <row r="644" ht="12.75" customHeight="1">
      <c r="A644" s="277"/>
      <c r="B644" s="278"/>
      <c r="C644" s="279"/>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409"/>
      <c r="Z644" s="410"/>
      <c r="AA644" s="277"/>
      <c r="AB644" s="277"/>
      <c r="AC644" s="277"/>
      <c r="AD644" s="277"/>
    </row>
    <row r="645" ht="12.75" customHeight="1">
      <c r="A645" s="277"/>
      <c r="B645" s="278"/>
      <c r="C645" s="279"/>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409"/>
      <c r="Z645" s="410"/>
      <c r="AA645" s="277"/>
      <c r="AB645" s="277"/>
      <c r="AC645" s="277"/>
      <c r="AD645" s="277"/>
    </row>
    <row r="646" ht="12.75" customHeight="1">
      <c r="A646" s="277"/>
      <c r="B646" s="278"/>
      <c r="C646" s="279"/>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409"/>
      <c r="Z646" s="410"/>
      <c r="AA646" s="277"/>
      <c r="AB646" s="277"/>
      <c r="AC646" s="277"/>
      <c r="AD646" s="277"/>
    </row>
    <row r="647" ht="12.75" customHeight="1">
      <c r="A647" s="277"/>
      <c r="B647" s="278"/>
      <c r="C647" s="279"/>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409"/>
      <c r="Z647" s="410"/>
      <c r="AA647" s="277"/>
      <c r="AB647" s="277"/>
      <c r="AC647" s="277"/>
      <c r="AD647" s="277"/>
    </row>
    <row r="648" ht="12.75" customHeight="1">
      <c r="A648" s="277"/>
      <c r="B648" s="278"/>
      <c r="C648" s="279"/>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409"/>
      <c r="Z648" s="410"/>
      <c r="AA648" s="277"/>
      <c r="AB648" s="277"/>
      <c r="AC648" s="277"/>
      <c r="AD648" s="277"/>
    </row>
    <row r="649" ht="12.75" customHeight="1">
      <c r="A649" s="277"/>
      <c r="B649" s="278"/>
      <c r="C649" s="279"/>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409"/>
      <c r="Z649" s="410"/>
      <c r="AA649" s="277"/>
      <c r="AB649" s="277"/>
      <c r="AC649" s="277"/>
      <c r="AD649" s="277"/>
    </row>
    <row r="650" ht="12.75" customHeight="1">
      <c r="A650" s="277"/>
      <c r="B650" s="278"/>
      <c r="C650" s="279"/>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409"/>
      <c r="Z650" s="410"/>
      <c r="AA650" s="277"/>
      <c r="AB650" s="277"/>
      <c r="AC650" s="277"/>
      <c r="AD650" s="277"/>
    </row>
    <row r="651" ht="12.75" customHeight="1">
      <c r="A651" s="277"/>
      <c r="B651" s="278"/>
      <c r="C651" s="279"/>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409"/>
      <c r="Z651" s="410"/>
      <c r="AA651" s="277"/>
      <c r="AB651" s="277"/>
      <c r="AC651" s="277"/>
      <c r="AD651" s="277"/>
    </row>
    <row r="652" ht="12.75" customHeight="1">
      <c r="A652" s="277"/>
      <c r="B652" s="278"/>
      <c r="C652" s="279"/>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409"/>
      <c r="Z652" s="410"/>
      <c r="AA652" s="277"/>
      <c r="AB652" s="277"/>
      <c r="AC652" s="277"/>
      <c r="AD652" s="277"/>
    </row>
    <row r="653" ht="12.75" customHeight="1">
      <c r="A653" s="277"/>
      <c r="B653" s="278"/>
      <c r="C653" s="279"/>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409"/>
      <c r="Z653" s="410"/>
      <c r="AA653" s="277"/>
      <c r="AB653" s="277"/>
      <c r="AC653" s="277"/>
      <c r="AD653" s="277"/>
    </row>
    <row r="654" ht="12.75" customHeight="1">
      <c r="A654" s="277"/>
      <c r="B654" s="278"/>
      <c r="C654" s="279"/>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409"/>
      <c r="Z654" s="410"/>
      <c r="AA654" s="277"/>
      <c r="AB654" s="277"/>
      <c r="AC654" s="277"/>
      <c r="AD654" s="277"/>
    </row>
    <row r="655" ht="12.75" customHeight="1">
      <c r="A655" s="277"/>
      <c r="B655" s="278"/>
      <c r="C655" s="279"/>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409"/>
      <c r="Z655" s="410"/>
      <c r="AA655" s="277"/>
      <c r="AB655" s="277"/>
      <c r="AC655" s="277"/>
      <c r="AD655" s="277"/>
    </row>
    <row r="656" ht="12.75" customHeight="1">
      <c r="A656" s="277"/>
      <c r="B656" s="278"/>
      <c r="C656" s="279"/>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409"/>
      <c r="Z656" s="410"/>
      <c r="AA656" s="277"/>
      <c r="AB656" s="277"/>
      <c r="AC656" s="277"/>
      <c r="AD656" s="277"/>
    </row>
    <row r="657" ht="12.75" customHeight="1">
      <c r="A657" s="277"/>
      <c r="B657" s="278"/>
      <c r="C657" s="279"/>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409"/>
      <c r="Z657" s="410"/>
      <c r="AA657" s="277"/>
      <c r="AB657" s="277"/>
      <c r="AC657" s="277"/>
      <c r="AD657" s="277"/>
    </row>
    <row r="658" ht="12.75" customHeight="1">
      <c r="A658" s="277"/>
      <c r="B658" s="278"/>
      <c r="C658" s="279"/>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409"/>
      <c r="Z658" s="410"/>
      <c r="AA658" s="277"/>
      <c r="AB658" s="277"/>
      <c r="AC658" s="277"/>
      <c r="AD658" s="277"/>
    </row>
    <row r="659" ht="12.75" customHeight="1">
      <c r="A659" s="277"/>
      <c r="B659" s="278"/>
      <c r="C659" s="279"/>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409"/>
      <c r="Z659" s="410"/>
      <c r="AA659" s="277"/>
      <c r="AB659" s="277"/>
      <c r="AC659" s="277"/>
      <c r="AD659" s="277"/>
    </row>
    <row r="660" ht="12.75" customHeight="1">
      <c r="A660" s="277"/>
      <c r="B660" s="278"/>
      <c r="C660" s="279"/>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409"/>
      <c r="Z660" s="410"/>
      <c r="AA660" s="277"/>
      <c r="AB660" s="277"/>
      <c r="AC660" s="277"/>
      <c r="AD660" s="277"/>
    </row>
    <row r="661" ht="12.75" customHeight="1">
      <c r="A661" s="277"/>
      <c r="B661" s="278"/>
      <c r="C661" s="279"/>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409"/>
      <c r="Z661" s="410"/>
      <c r="AA661" s="277"/>
      <c r="AB661" s="277"/>
      <c r="AC661" s="277"/>
      <c r="AD661" s="277"/>
    </row>
    <row r="662" ht="12.75" customHeight="1">
      <c r="A662" s="277"/>
      <c r="B662" s="278"/>
      <c r="C662" s="279"/>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409"/>
      <c r="Z662" s="410"/>
      <c r="AA662" s="277"/>
      <c r="AB662" s="277"/>
      <c r="AC662" s="277"/>
      <c r="AD662" s="277"/>
    </row>
    <row r="663" ht="12.75" customHeight="1">
      <c r="A663" s="277"/>
      <c r="B663" s="278"/>
      <c r="C663" s="279"/>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409"/>
      <c r="Z663" s="410"/>
      <c r="AA663" s="277"/>
      <c r="AB663" s="277"/>
      <c r="AC663" s="277"/>
      <c r="AD663" s="277"/>
    </row>
    <row r="664" ht="12.75" customHeight="1">
      <c r="A664" s="277"/>
      <c r="B664" s="278"/>
      <c r="C664" s="279"/>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409"/>
      <c r="Z664" s="410"/>
      <c r="AA664" s="277"/>
      <c r="AB664" s="277"/>
      <c r="AC664" s="277"/>
      <c r="AD664" s="277"/>
    </row>
    <row r="665" ht="12.75" customHeight="1">
      <c r="A665" s="277"/>
      <c r="B665" s="278"/>
      <c r="C665" s="279"/>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409"/>
      <c r="Z665" s="410"/>
      <c r="AA665" s="277"/>
      <c r="AB665" s="277"/>
      <c r="AC665" s="277"/>
      <c r="AD665" s="277"/>
    </row>
    <row r="666" ht="12.75" customHeight="1">
      <c r="A666" s="277"/>
      <c r="B666" s="278"/>
      <c r="C666" s="279"/>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409"/>
      <c r="Z666" s="410"/>
      <c r="AA666" s="277"/>
      <c r="AB666" s="277"/>
      <c r="AC666" s="277"/>
      <c r="AD666" s="277"/>
    </row>
    <row r="667" ht="12.75" customHeight="1">
      <c r="A667" s="277"/>
      <c r="B667" s="278"/>
      <c r="C667" s="279"/>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409"/>
      <c r="Z667" s="410"/>
      <c r="AA667" s="277"/>
      <c r="AB667" s="277"/>
      <c r="AC667" s="277"/>
      <c r="AD667" s="277"/>
    </row>
    <row r="668" ht="12.75" customHeight="1">
      <c r="A668" s="277"/>
      <c r="B668" s="278"/>
      <c r="C668" s="279"/>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409"/>
      <c r="Z668" s="410"/>
      <c r="AA668" s="277"/>
      <c r="AB668" s="277"/>
      <c r="AC668" s="277"/>
      <c r="AD668" s="277"/>
    </row>
    <row r="669" ht="12.75" customHeight="1">
      <c r="A669" s="277"/>
      <c r="B669" s="278"/>
      <c r="C669" s="279"/>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409"/>
      <c r="Z669" s="410"/>
      <c r="AA669" s="277"/>
      <c r="AB669" s="277"/>
      <c r="AC669" s="277"/>
      <c r="AD669" s="277"/>
    </row>
    <row r="670" ht="12.75" customHeight="1">
      <c r="A670" s="277"/>
      <c r="B670" s="278"/>
      <c r="C670" s="279"/>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409"/>
      <c r="Z670" s="410"/>
      <c r="AA670" s="277"/>
      <c r="AB670" s="277"/>
      <c r="AC670" s="277"/>
      <c r="AD670" s="277"/>
    </row>
    <row r="671" ht="12.75" customHeight="1">
      <c r="A671" s="277"/>
      <c r="B671" s="278"/>
      <c r="C671" s="279"/>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409"/>
      <c r="Z671" s="410"/>
      <c r="AA671" s="277"/>
      <c r="AB671" s="277"/>
      <c r="AC671" s="277"/>
      <c r="AD671" s="277"/>
    </row>
    <row r="672" ht="12.75" customHeight="1">
      <c r="A672" s="277"/>
      <c r="B672" s="278"/>
      <c r="C672" s="279"/>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409"/>
      <c r="Z672" s="410"/>
      <c r="AA672" s="277"/>
      <c r="AB672" s="277"/>
      <c r="AC672" s="277"/>
      <c r="AD672" s="277"/>
    </row>
    <row r="673" ht="12.75" customHeight="1">
      <c r="A673" s="277"/>
      <c r="B673" s="278"/>
      <c r="C673" s="279"/>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409"/>
      <c r="Z673" s="410"/>
      <c r="AA673" s="277"/>
      <c r="AB673" s="277"/>
      <c r="AC673" s="277"/>
      <c r="AD673" s="277"/>
    </row>
    <row r="674" ht="12.75" customHeight="1">
      <c r="A674" s="277"/>
      <c r="B674" s="278"/>
      <c r="C674" s="279"/>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409"/>
      <c r="Z674" s="410"/>
      <c r="AA674" s="277"/>
      <c r="AB674" s="277"/>
      <c r="AC674" s="277"/>
      <c r="AD674" s="277"/>
    </row>
    <row r="675" ht="12.75" customHeight="1">
      <c r="A675" s="277"/>
      <c r="B675" s="278"/>
      <c r="C675" s="279"/>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409"/>
      <c r="Z675" s="410"/>
      <c r="AA675" s="277"/>
      <c r="AB675" s="277"/>
      <c r="AC675" s="277"/>
      <c r="AD675" s="277"/>
    </row>
    <row r="676" ht="12.75" customHeight="1">
      <c r="A676" s="277"/>
      <c r="B676" s="278"/>
      <c r="C676" s="279"/>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409"/>
      <c r="Z676" s="410"/>
      <c r="AA676" s="277"/>
      <c r="AB676" s="277"/>
      <c r="AC676" s="277"/>
      <c r="AD676" s="277"/>
    </row>
    <row r="677" ht="12.75" customHeight="1">
      <c r="A677" s="277"/>
      <c r="B677" s="278"/>
      <c r="C677" s="279"/>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409"/>
      <c r="Z677" s="410"/>
      <c r="AA677" s="277"/>
      <c r="AB677" s="277"/>
      <c r="AC677" s="277"/>
      <c r="AD677" s="277"/>
    </row>
    <row r="678" ht="12.75" customHeight="1">
      <c r="A678" s="277"/>
      <c r="B678" s="278"/>
      <c r="C678" s="279"/>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409"/>
      <c r="Z678" s="410"/>
      <c r="AA678" s="277"/>
      <c r="AB678" s="277"/>
      <c r="AC678" s="277"/>
      <c r="AD678" s="277"/>
    </row>
    <row r="679" ht="12.75" customHeight="1">
      <c r="A679" s="277"/>
      <c r="B679" s="278"/>
      <c r="C679" s="279"/>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409"/>
      <c r="Z679" s="410"/>
      <c r="AA679" s="277"/>
      <c r="AB679" s="277"/>
      <c r="AC679" s="277"/>
      <c r="AD679" s="277"/>
    </row>
    <row r="680" ht="12.75" customHeight="1">
      <c r="A680" s="277"/>
      <c r="B680" s="278"/>
      <c r="C680" s="279"/>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409"/>
      <c r="Z680" s="410"/>
      <c r="AA680" s="277"/>
      <c r="AB680" s="277"/>
      <c r="AC680" s="277"/>
      <c r="AD680" s="277"/>
    </row>
    <row r="681" ht="12.75" customHeight="1">
      <c r="A681" s="277"/>
      <c r="B681" s="278"/>
      <c r="C681" s="279"/>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409"/>
      <c r="Z681" s="410"/>
      <c r="AA681" s="277"/>
      <c r="AB681" s="277"/>
      <c r="AC681" s="277"/>
      <c r="AD681" s="277"/>
    </row>
    <row r="682" ht="12.75" customHeight="1">
      <c r="A682" s="277"/>
      <c r="B682" s="278"/>
      <c r="C682" s="279"/>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409"/>
      <c r="Z682" s="410"/>
      <c r="AA682" s="277"/>
      <c r="AB682" s="277"/>
      <c r="AC682" s="277"/>
      <c r="AD682" s="277"/>
    </row>
    <row r="683" ht="12.75" customHeight="1">
      <c r="A683" s="277"/>
      <c r="B683" s="278"/>
      <c r="C683" s="279"/>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409"/>
      <c r="Z683" s="410"/>
      <c r="AA683" s="277"/>
      <c r="AB683" s="277"/>
      <c r="AC683" s="277"/>
      <c r="AD683" s="277"/>
    </row>
    <row r="684" ht="12.75" customHeight="1">
      <c r="A684" s="277"/>
      <c r="B684" s="278"/>
      <c r="C684" s="279"/>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409"/>
      <c r="Z684" s="410"/>
      <c r="AA684" s="277"/>
      <c r="AB684" s="277"/>
      <c r="AC684" s="277"/>
      <c r="AD684" s="277"/>
    </row>
    <row r="685" ht="12.75" customHeight="1">
      <c r="A685" s="277"/>
      <c r="B685" s="278"/>
      <c r="C685" s="279"/>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409"/>
      <c r="Z685" s="410"/>
      <c r="AA685" s="277"/>
      <c r="AB685" s="277"/>
      <c r="AC685" s="277"/>
      <c r="AD685" s="277"/>
    </row>
    <row r="686" ht="12.75" customHeight="1">
      <c r="A686" s="277"/>
      <c r="B686" s="278"/>
      <c r="C686" s="279"/>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409"/>
      <c r="Z686" s="410"/>
      <c r="AA686" s="277"/>
      <c r="AB686" s="277"/>
      <c r="AC686" s="277"/>
      <c r="AD686" s="277"/>
    </row>
    <row r="687" ht="12.75" customHeight="1">
      <c r="A687" s="277"/>
      <c r="B687" s="278"/>
      <c r="C687" s="279"/>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409"/>
      <c r="Z687" s="410"/>
      <c r="AA687" s="277"/>
      <c r="AB687" s="277"/>
      <c r="AC687" s="277"/>
      <c r="AD687" s="277"/>
    </row>
    <row r="688" ht="12.75" customHeight="1">
      <c r="A688" s="277"/>
      <c r="B688" s="278"/>
      <c r="C688" s="279"/>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409"/>
      <c r="Z688" s="410"/>
      <c r="AA688" s="277"/>
      <c r="AB688" s="277"/>
      <c r="AC688" s="277"/>
      <c r="AD688" s="277"/>
    </row>
    <row r="689" ht="12.75" customHeight="1">
      <c r="A689" s="277"/>
      <c r="B689" s="278"/>
      <c r="C689" s="279"/>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409"/>
      <c r="Z689" s="410"/>
      <c r="AA689" s="277"/>
      <c r="AB689" s="277"/>
      <c r="AC689" s="277"/>
      <c r="AD689" s="277"/>
    </row>
    <row r="690" ht="12.75" customHeight="1">
      <c r="A690" s="277"/>
      <c r="B690" s="278"/>
      <c r="C690" s="279"/>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409"/>
      <c r="Z690" s="410"/>
      <c r="AA690" s="277"/>
      <c r="AB690" s="277"/>
      <c r="AC690" s="277"/>
      <c r="AD690" s="277"/>
    </row>
    <row r="691" ht="12.75" customHeight="1">
      <c r="A691" s="277"/>
      <c r="B691" s="278"/>
      <c r="C691" s="279"/>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409"/>
      <c r="Z691" s="410"/>
      <c r="AA691" s="277"/>
      <c r="AB691" s="277"/>
      <c r="AC691" s="277"/>
      <c r="AD691" s="277"/>
    </row>
    <row r="692" ht="12.75" customHeight="1">
      <c r="A692" s="277"/>
      <c r="B692" s="278"/>
      <c r="C692" s="279"/>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409"/>
      <c r="Z692" s="410"/>
      <c r="AA692" s="277"/>
      <c r="AB692" s="277"/>
      <c r="AC692" s="277"/>
      <c r="AD692" s="277"/>
    </row>
    <row r="693" ht="12.75" customHeight="1">
      <c r="A693" s="277"/>
      <c r="B693" s="278"/>
      <c r="C693" s="279"/>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409"/>
      <c r="Z693" s="410"/>
      <c r="AA693" s="277"/>
      <c r="AB693" s="277"/>
      <c r="AC693" s="277"/>
      <c r="AD693" s="277"/>
    </row>
    <row r="694" ht="12.75" customHeight="1">
      <c r="A694" s="277"/>
      <c r="B694" s="278"/>
      <c r="C694" s="279"/>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409"/>
      <c r="Z694" s="410"/>
      <c r="AA694" s="277"/>
      <c r="AB694" s="277"/>
      <c r="AC694" s="277"/>
      <c r="AD694" s="277"/>
    </row>
    <row r="695" ht="12.75" customHeight="1">
      <c r="A695" s="277"/>
      <c r="B695" s="278"/>
      <c r="C695" s="279"/>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409"/>
      <c r="Z695" s="410"/>
      <c r="AA695" s="277"/>
      <c r="AB695" s="277"/>
      <c r="AC695" s="277"/>
      <c r="AD695" s="277"/>
    </row>
    <row r="696" ht="12.75" customHeight="1">
      <c r="A696" s="277"/>
      <c r="B696" s="278"/>
      <c r="C696" s="279"/>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409"/>
      <c r="Z696" s="410"/>
      <c r="AA696" s="277"/>
      <c r="AB696" s="277"/>
      <c r="AC696" s="277"/>
      <c r="AD696" s="277"/>
    </row>
    <row r="697" ht="12.75" customHeight="1">
      <c r="A697" s="277"/>
      <c r="B697" s="278"/>
      <c r="C697" s="279"/>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409"/>
      <c r="Z697" s="410"/>
      <c r="AA697" s="277"/>
      <c r="AB697" s="277"/>
      <c r="AC697" s="277"/>
      <c r="AD697" s="277"/>
    </row>
    <row r="698" ht="12.75" customHeight="1">
      <c r="A698" s="277"/>
      <c r="B698" s="278"/>
      <c r="C698" s="279"/>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409"/>
      <c r="Z698" s="410"/>
      <c r="AA698" s="277"/>
      <c r="AB698" s="277"/>
      <c r="AC698" s="277"/>
      <c r="AD698" s="277"/>
    </row>
    <row r="699" ht="12.75" customHeight="1">
      <c r="A699" s="277"/>
      <c r="B699" s="278"/>
      <c r="C699" s="279"/>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409"/>
      <c r="Z699" s="410"/>
      <c r="AA699" s="277"/>
      <c r="AB699" s="277"/>
      <c r="AC699" s="277"/>
      <c r="AD699" s="277"/>
    </row>
    <row r="700" ht="12.75" customHeight="1">
      <c r="A700" s="277"/>
      <c r="B700" s="278"/>
      <c r="C700" s="279"/>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409"/>
      <c r="Z700" s="410"/>
      <c r="AA700" s="277"/>
      <c r="AB700" s="277"/>
      <c r="AC700" s="277"/>
      <c r="AD700" s="277"/>
    </row>
    <row r="701" ht="12.75" customHeight="1">
      <c r="A701" s="277"/>
      <c r="B701" s="278"/>
      <c r="C701" s="279"/>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409"/>
      <c r="Z701" s="410"/>
      <c r="AA701" s="277"/>
      <c r="AB701" s="277"/>
      <c r="AC701" s="277"/>
      <c r="AD701" s="277"/>
    </row>
    <row r="702" ht="12.75" customHeight="1">
      <c r="A702" s="277"/>
      <c r="B702" s="278"/>
      <c r="C702" s="279"/>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409"/>
      <c r="Z702" s="410"/>
      <c r="AA702" s="277"/>
      <c r="AB702" s="277"/>
      <c r="AC702" s="277"/>
      <c r="AD702" s="277"/>
    </row>
    <row r="703" ht="12.75" customHeight="1">
      <c r="A703" s="277"/>
      <c r="B703" s="278"/>
      <c r="C703" s="279"/>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409"/>
      <c r="Z703" s="410"/>
      <c r="AA703" s="277"/>
      <c r="AB703" s="277"/>
      <c r="AC703" s="277"/>
      <c r="AD703" s="277"/>
    </row>
    <row r="704" ht="12.75" customHeight="1">
      <c r="A704" s="277"/>
      <c r="B704" s="278"/>
      <c r="C704" s="279"/>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409"/>
      <c r="Z704" s="410"/>
      <c r="AA704" s="277"/>
      <c r="AB704" s="277"/>
      <c r="AC704" s="277"/>
      <c r="AD704" s="277"/>
    </row>
    <row r="705" ht="12.75" customHeight="1">
      <c r="A705" s="277"/>
      <c r="B705" s="278"/>
      <c r="C705" s="279"/>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409"/>
      <c r="Z705" s="410"/>
      <c r="AA705" s="277"/>
      <c r="AB705" s="277"/>
      <c r="AC705" s="277"/>
      <c r="AD705" s="277"/>
    </row>
    <row r="706" ht="12.75" customHeight="1">
      <c r="A706" s="277"/>
      <c r="B706" s="278"/>
      <c r="C706" s="279"/>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409"/>
      <c r="Z706" s="410"/>
      <c r="AA706" s="277"/>
      <c r="AB706" s="277"/>
      <c r="AC706" s="277"/>
      <c r="AD706" s="277"/>
    </row>
    <row r="707" ht="12.75" customHeight="1">
      <c r="A707" s="277"/>
      <c r="B707" s="278"/>
      <c r="C707" s="279"/>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409"/>
      <c r="Z707" s="410"/>
      <c r="AA707" s="277"/>
      <c r="AB707" s="277"/>
      <c r="AC707" s="277"/>
      <c r="AD707" s="277"/>
    </row>
    <row r="708" ht="12.75" customHeight="1">
      <c r="A708" s="277"/>
      <c r="B708" s="278"/>
      <c r="C708" s="279"/>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409"/>
      <c r="Z708" s="410"/>
      <c r="AA708" s="277"/>
      <c r="AB708" s="277"/>
      <c r="AC708" s="277"/>
      <c r="AD708" s="277"/>
    </row>
    <row r="709" ht="12.75" customHeight="1">
      <c r="A709" s="277"/>
      <c r="B709" s="278"/>
      <c r="C709" s="279"/>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409"/>
      <c r="Z709" s="410"/>
      <c r="AA709" s="277"/>
      <c r="AB709" s="277"/>
      <c r="AC709" s="277"/>
      <c r="AD709" s="277"/>
    </row>
    <row r="710" ht="12.75" customHeight="1">
      <c r="A710" s="277"/>
      <c r="B710" s="278"/>
      <c r="C710" s="279"/>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409"/>
      <c r="Z710" s="410"/>
      <c r="AA710" s="277"/>
      <c r="AB710" s="277"/>
      <c r="AC710" s="277"/>
      <c r="AD710" s="277"/>
    </row>
    <row r="711" ht="12.75" customHeight="1">
      <c r="A711" s="277"/>
      <c r="B711" s="278"/>
      <c r="C711" s="279"/>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409"/>
      <c r="Z711" s="410"/>
      <c r="AA711" s="277"/>
      <c r="AB711" s="277"/>
      <c r="AC711" s="277"/>
      <c r="AD711" s="277"/>
    </row>
    <row r="712" ht="12.75" customHeight="1">
      <c r="A712" s="277"/>
      <c r="B712" s="278"/>
      <c r="C712" s="279"/>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409"/>
      <c r="Z712" s="410"/>
      <c r="AA712" s="277"/>
      <c r="AB712" s="277"/>
      <c r="AC712" s="277"/>
      <c r="AD712" s="277"/>
    </row>
    <row r="713" ht="12.75" customHeight="1">
      <c r="A713" s="277"/>
      <c r="B713" s="278"/>
      <c r="C713" s="279"/>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409"/>
      <c r="Z713" s="410"/>
      <c r="AA713" s="277"/>
      <c r="AB713" s="277"/>
      <c r="AC713" s="277"/>
      <c r="AD713" s="277"/>
    </row>
    <row r="714" ht="12.75" customHeight="1">
      <c r="A714" s="277"/>
      <c r="B714" s="278"/>
      <c r="C714" s="279"/>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409"/>
      <c r="Z714" s="410"/>
      <c r="AA714" s="277"/>
      <c r="AB714" s="277"/>
      <c r="AC714" s="277"/>
      <c r="AD714" s="277"/>
    </row>
    <row r="715" ht="12.75" customHeight="1">
      <c r="A715" s="277"/>
      <c r="B715" s="278"/>
      <c r="C715" s="279"/>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409"/>
      <c r="Z715" s="410"/>
      <c r="AA715" s="277"/>
      <c r="AB715" s="277"/>
      <c r="AC715" s="277"/>
      <c r="AD715" s="277"/>
    </row>
    <row r="716" ht="12.75" customHeight="1">
      <c r="A716" s="277"/>
      <c r="B716" s="278"/>
      <c r="C716" s="279"/>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409"/>
      <c r="Z716" s="410"/>
      <c r="AA716" s="277"/>
      <c r="AB716" s="277"/>
      <c r="AC716" s="277"/>
      <c r="AD716" s="277"/>
    </row>
    <row r="717" ht="12.75" customHeight="1">
      <c r="A717" s="277"/>
      <c r="B717" s="278"/>
      <c r="C717" s="279"/>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409"/>
      <c r="Z717" s="410"/>
      <c r="AA717" s="277"/>
      <c r="AB717" s="277"/>
      <c r="AC717" s="277"/>
      <c r="AD717" s="277"/>
    </row>
    <row r="718" ht="12.75" customHeight="1">
      <c r="A718" s="277"/>
      <c r="B718" s="278"/>
      <c r="C718" s="279"/>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409"/>
      <c r="Z718" s="410"/>
      <c r="AA718" s="277"/>
      <c r="AB718" s="277"/>
      <c r="AC718" s="277"/>
      <c r="AD718" s="277"/>
    </row>
    <row r="719" ht="12.75" customHeight="1">
      <c r="A719" s="277"/>
      <c r="B719" s="278"/>
      <c r="C719" s="279"/>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409"/>
      <c r="Z719" s="410"/>
      <c r="AA719" s="277"/>
      <c r="AB719" s="277"/>
      <c r="AC719" s="277"/>
      <c r="AD719" s="277"/>
    </row>
    <row r="720" ht="12.75" customHeight="1">
      <c r="A720" s="277"/>
      <c r="B720" s="278"/>
      <c r="C720" s="279"/>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409"/>
      <c r="Z720" s="410"/>
      <c r="AA720" s="277"/>
      <c r="AB720" s="277"/>
      <c r="AC720" s="277"/>
      <c r="AD720" s="277"/>
    </row>
    <row r="721" ht="12.75" customHeight="1">
      <c r="A721" s="277"/>
      <c r="B721" s="278"/>
      <c r="C721" s="279"/>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409"/>
      <c r="Z721" s="410"/>
      <c r="AA721" s="277"/>
      <c r="AB721" s="277"/>
      <c r="AC721" s="277"/>
      <c r="AD721" s="277"/>
    </row>
    <row r="722" ht="12.75" customHeight="1">
      <c r="A722" s="277"/>
      <c r="B722" s="278"/>
      <c r="C722" s="279"/>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409"/>
      <c r="Z722" s="410"/>
      <c r="AA722" s="277"/>
      <c r="AB722" s="277"/>
      <c r="AC722" s="277"/>
      <c r="AD722" s="277"/>
    </row>
    <row r="723" ht="12.75" customHeight="1">
      <c r="A723" s="277"/>
      <c r="B723" s="278"/>
      <c r="C723" s="279"/>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409"/>
      <c r="Z723" s="410"/>
      <c r="AA723" s="277"/>
      <c r="AB723" s="277"/>
      <c r="AC723" s="277"/>
      <c r="AD723" s="277"/>
    </row>
    <row r="724" ht="12.75" customHeight="1">
      <c r="A724" s="277"/>
      <c r="B724" s="278"/>
      <c r="C724" s="279"/>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409"/>
      <c r="Z724" s="410"/>
      <c r="AA724" s="277"/>
      <c r="AB724" s="277"/>
      <c r="AC724" s="277"/>
      <c r="AD724" s="277"/>
    </row>
    <row r="725" ht="12.75" customHeight="1">
      <c r="A725" s="277"/>
      <c r="B725" s="278"/>
      <c r="C725" s="279"/>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409"/>
      <c r="Z725" s="410"/>
      <c r="AA725" s="277"/>
      <c r="AB725" s="277"/>
      <c r="AC725" s="277"/>
      <c r="AD725" s="277"/>
    </row>
    <row r="726" ht="12.75" customHeight="1">
      <c r="A726" s="277"/>
      <c r="B726" s="278"/>
      <c r="C726" s="279"/>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409"/>
      <c r="Z726" s="410"/>
      <c r="AA726" s="277"/>
      <c r="AB726" s="277"/>
      <c r="AC726" s="277"/>
      <c r="AD726" s="277"/>
    </row>
    <row r="727" ht="12.75" customHeight="1">
      <c r="A727" s="277"/>
      <c r="B727" s="278"/>
      <c r="C727" s="279"/>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409"/>
      <c r="Z727" s="410"/>
      <c r="AA727" s="277"/>
      <c r="AB727" s="277"/>
      <c r="AC727" s="277"/>
      <c r="AD727" s="277"/>
    </row>
    <row r="728" ht="12.75" customHeight="1">
      <c r="A728" s="277"/>
      <c r="B728" s="278"/>
      <c r="C728" s="279"/>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409"/>
      <c r="Z728" s="410"/>
      <c r="AA728" s="277"/>
      <c r="AB728" s="277"/>
      <c r="AC728" s="277"/>
      <c r="AD728" s="277"/>
    </row>
    <row r="729" ht="12.75" customHeight="1">
      <c r="A729" s="277"/>
      <c r="B729" s="278"/>
      <c r="C729" s="279"/>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409"/>
      <c r="Z729" s="410"/>
      <c r="AA729" s="277"/>
      <c r="AB729" s="277"/>
      <c r="AC729" s="277"/>
      <c r="AD729" s="277"/>
    </row>
    <row r="730" ht="12.75" customHeight="1">
      <c r="A730" s="277"/>
      <c r="B730" s="278"/>
      <c r="C730" s="279"/>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409"/>
      <c r="Z730" s="410"/>
      <c r="AA730" s="277"/>
      <c r="AB730" s="277"/>
      <c r="AC730" s="277"/>
      <c r="AD730" s="277"/>
    </row>
    <row r="731" ht="12.75" customHeight="1">
      <c r="A731" s="277"/>
      <c r="B731" s="278"/>
      <c r="C731" s="279"/>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409"/>
      <c r="Z731" s="410"/>
      <c r="AA731" s="277"/>
      <c r="AB731" s="277"/>
      <c r="AC731" s="277"/>
      <c r="AD731" s="277"/>
    </row>
    <row r="732" ht="12.75" customHeight="1">
      <c r="A732" s="277"/>
      <c r="B732" s="278"/>
      <c r="C732" s="279"/>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409"/>
      <c r="Z732" s="410"/>
      <c r="AA732" s="277"/>
      <c r="AB732" s="277"/>
      <c r="AC732" s="277"/>
      <c r="AD732" s="277"/>
    </row>
    <row r="733" ht="12.75" customHeight="1">
      <c r="A733" s="277"/>
      <c r="B733" s="278"/>
      <c r="C733" s="279"/>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409"/>
      <c r="Z733" s="410"/>
      <c r="AA733" s="277"/>
      <c r="AB733" s="277"/>
      <c r="AC733" s="277"/>
      <c r="AD733" s="277"/>
    </row>
    <row r="734" ht="12.75" customHeight="1">
      <c r="A734" s="277"/>
      <c r="B734" s="278"/>
      <c r="C734" s="279"/>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409"/>
      <c r="Z734" s="410"/>
      <c r="AA734" s="277"/>
      <c r="AB734" s="277"/>
      <c r="AC734" s="277"/>
      <c r="AD734" s="277"/>
    </row>
    <row r="735" ht="12.75" customHeight="1">
      <c r="A735" s="277"/>
      <c r="B735" s="278"/>
      <c r="C735" s="279"/>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409"/>
      <c r="Z735" s="410"/>
      <c r="AA735" s="277"/>
      <c r="AB735" s="277"/>
      <c r="AC735" s="277"/>
      <c r="AD735" s="277"/>
    </row>
    <row r="736" ht="12.75" customHeight="1">
      <c r="A736" s="277"/>
      <c r="B736" s="278"/>
      <c r="C736" s="279"/>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409"/>
      <c r="Z736" s="410"/>
      <c r="AA736" s="277"/>
      <c r="AB736" s="277"/>
      <c r="AC736" s="277"/>
      <c r="AD736" s="277"/>
    </row>
    <row r="737" ht="12.75" customHeight="1">
      <c r="A737" s="277"/>
      <c r="B737" s="278"/>
      <c r="C737" s="279"/>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409"/>
      <c r="Z737" s="410"/>
      <c r="AA737" s="277"/>
      <c r="AB737" s="277"/>
      <c r="AC737" s="277"/>
      <c r="AD737" s="277"/>
    </row>
    <row r="738" ht="12.75" customHeight="1">
      <c r="A738" s="277"/>
      <c r="B738" s="278"/>
      <c r="C738" s="279"/>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409"/>
      <c r="Z738" s="410"/>
      <c r="AA738" s="277"/>
      <c r="AB738" s="277"/>
      <c r="AC738" s="277"/>
      <c r="AD738" s="277"/>
    </row>
    <row r="739" ht="12.75" customHeight="1">
      <c r="A739" s="277"/>
      <c r="B739" s="278"/>
      <c r="C739" s="279"/>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409"/>
      <c r="Z739" s="410"/>
      <c r="AA739" s="277"/>
      <c r="AB739" s="277"/>
      <c r="AC739" s="277"/>
      <c r="AD739" s="277"/>
    </row>
    <row r="740" ht="12.75" customHeight="1">
      <c r="A740" s="277"/>
      <c r="B740" s="278"/>
      <c r="C740" s="279"/>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409"/>
      <c r="Z740" s="410"/>
      <c r="AA740" s="277"/>
      <c r="AB740" s="277"/>
      <c r="AC740" s="277"/>
      <c r="AD740" s="277"/>
    </row>
    <row r="741" ht="12.75" customHeight="1">
      <c r="A741" s="277"/>
      <c r="B741" s="278"/>
      <c r="C741" s="279"/>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409"/>
      <c r="Z741" s="410"/>
      <c r="AA741" s="277"/>
      <c r="AB741" s="277"/>
      <c r="AC741" s="277"/>
      <c r="AD741" s="277"/>
    </row>
    <row r="742" ht="12.75" customHeight="1">
      <c r="A742" s="277"/>
      <c r="B742" s="278"/>
      <c r="C742" s="279"/>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409"/>
      <c r="Z742" s="410"/>
      <c r="AA742" s="277"/>
      <c r="AB742" s="277"/>
      <c r="AC742" s="277"/>
      <c r="AD742" s="277"/>
    </row>
    <row r="743" ht="12.75" customHeight="1">
      <c r="A743" s="277"/>
      <c r="B743" s="278"/>
      <c r="C743" s="279"/>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409"/>
      <c r="Z743" s="410"/>
      <c r="AA743" s="277"/>
      <c r="AB743" s="277"/>
      <c r="AC743" s="277"/>
      <c r="AD743" s="277"/>
    </row>
    <row r="744" ht="12.75" customHeight="1">
      <c r="A744" s="277"/>
      <c r="B744" s="278"/>
      <c r="C744" s="279"/>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409"/>
      <c r="Z744" s="410"/>
      <c r="AA744" s="277"/>
      <c r="AB744" s="277"/>
      <c r="AC744" s="277"/>
      <c r="AD744" s="277"/>
    </row>
    <row r="745" ht="12.75" customHeight="1">
      <c r="A745" s="277"/>
      <c r="B745" s="278"/>
      <c r="C745" s="279"/>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409"/>
      <c r="Z745" s="410"/>
      <c r="AA745" s="277"/>
      <c r="AB745" s="277"/>
      <c r="AC745" s="277"/>
      <c r="AD745" s="277"/>
    </row>
    <row r="746" ht="12.75" customHeight="1">
      <c r="A746" s="277"/>
      <c r="B746" s="278"/>
      <c r="C746" s="279"/>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409"/>
      <c r="Z746" s="410"/>
      <c r="AA746" s="277"/>
      <c r="AB746" s="277"/>
      <c r="AC746" s="277"/>
      <c r="AD746" s="277"/>
    </row>
    <row r="747" ht="12.75" customHeight="1">
      <c r="A747" s="277"/>
      <c r="B747" s="278"/>
      <c r="C747" s="279"/>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409"/>
      <c r="Z747" s="410"/>
      <c r="AA747" s="277"/>
      <c r="AB747" s="277"/>
      <c r="AC747" s="277"/>
      <c r="AD747" s="277"/>
    </row>
    <row r="748" ht="12.75" customHeight="1">
      <c r="A748" s="277"/>
      <c r="B748" s="278"/>
      <c r="C748" s="279"/>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409"/>
      <c r="Z748" s="410"/>
      <c r="AA748" s="277"/>
      <c r="AB748" s="277"/>
      <c r="AC748" s="277"/>
      <c r="AD748" s="277"/>
    </row>
    <row r="749" ht="12.75" customHeight="1">
      <c r="A749" s="277"/>
      <c r="B749" s="278"/>
      <c r="C749" s="279"/>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409"/>
      <c r="Z749" s="410"/>
      <c r="AA749" s="277"/>
      <c r="AB749" s="277"/>
      <c r="AC749" s="277"/>
      <c r="AD749" s="277"/>
    </row>
    <row r="750" ht="12.75" customHeight="1">
      <c r="A750" s="277"/>
      <c r="B750" s="278"/>
      <c r="C750" s="279"/>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409"/>
      <c r="Z750" s="410"/>
      <c r="AA750" s="277"/>
      <c r="AB750" s="277"/>
      <c r="AC750" s="277"/>
      <c r="AD750" s="277"/>
    </row>
    <row r="751" ht="12.75" customHeight="1">
      <c r="A751" s="277"/>
      <c r="B751" s="278"/>
      <c r="C751" s="279"/>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409"/>
      <c r="Z751" s="410"/>
      <c r="AA751" s="277"/>
      <c r="AB751" s="277"/>
      <c r="AC751" s="277"/>
      <c r="AD751" s="277"/>
    </row>
    <row r="752" ht="12.75" customHeight="1">
      <c r="A752" s="277"/>
      <c r="B752" s="278"/>
      <c r="C752" s="279"/>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409"/>
      <c r="Z752" s="410"/>
      <c r="AA752" s="277"/>
      <c r="AB752" s="277"/>
      <c r="AC752" s="277"/>
      <c r="AD752" s="277"/>
    </row>
    <row r="753" ht="12.75" customHeight="1">
      <c r="A753" s="277"/>
      <c r="B753" s="278"/>
      <c r="C753" s="279"/>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409"/>
      <c r="Z753" s="410"/>
      <c r="AA753" s="277"/>
      <c r="AB753" s="277"/>
      <c r="AC753" s="277"/>
      <c r="AD753" s="277"/>
    </row>
    <row r="754" ht="12.75" customHeight="1">
      <c r="A754" s="277"/>
      <c r="B754" s="278"/>
      <c r="C754" s="279"/>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409"/>
      <c r="Z754" s="410"/>
      <c r="AA754" s="277"/>
      <c r="AB754" s="277"/>
      <c r="AC754" s="277"/>
      <c r="AD754" s="277"/>
    </row>
    <row r="755" ht="12.75" customHeight="1">
      <c r="A755" s="277"/>
      <c r="B755" s="278"/>
      <c r="C755" s="279"/>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409"/>
      <c r="Z755" s="410"/>
      <c r="AA755" s="277"/>
      <c r="AB755" s="277"/>
      <c r="AC755" s="277"/>
      <c r="AD755" s="277"/>
    </row>
    <row r="756" ht="12.75" customHeight="1">
      <c r="A756" s="277"/>
      <c r="B756" s="278"/>
      <c r="C756" s="279"/>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409"/>
      <c r="Z756" s="410"/>
      <c r="AA756" s="277"/>
      <c r="AB756" s="277"/>
      <c r="AC756" s="277"/>
      <c r="AD756" s="277"/>
    </row>
    <row r="757" ht="12.75" customHeight="1">
      <c r="A757" s="277"/>
      <c r="B757" s="278"/>
      <c r="C757" s="279"/>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409"/>
      <c r="Z757" s="410"/>
      <c r="AA757" s="277"/>
      <c r="AB757" s="277"/>
      <c r="AC757" s="277"/>
      <c r="AD757" s="277"/>
    </row>
    <row r="758" ht="12.75" customHeight="1">
      <c r="A758" s="277"/>
      <c r="B758" s="278"/>
      <c r="C758" s="279"/>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409"/>
      <c r="Z758" s="410"/>
      <c r="AA758" s="277"/>
      <c r="AB758" s="277"/>
      <c r="AC758" s="277"/>
      <c r="AD758" s="277"/>
    </row>
    <row r="759" ht="12.75" customHeight="1">
      <c r="A759" s="277"/>
      <c r="B759" s="278"/>
      <c r="C759" s="279"/>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409"/>
      <c r="Z759" s="410"/>
      <c r="AA759" s="277"/>
      <c r="AB759" s="277"/>
      <c r="AC759" s="277"/>
      <c r="AD759" s="277"/>
    </row>
    <row r="760" ht="12.75" customHeight="1">
      <c r="A760" s="277"/>
      <c r="B760" s="278"/>
      <c r="C760" s="279"/>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409"/>
      <c r="Z760" s="410"/>
      <c r="AA760" s="277"/>
      <c r="AB760" s="277"/>
      <c r="AC760" s="277"/>
      <c r="AD760" s="277"/>
    </row>
    <row r="761" ht="12.75" customHeight="1">
      <c r="A761" s="277"/>
      <c r="B761" s="278"/>
      <c r="C761" s="279"/>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409"/>
      <c r="Z761" s="410"/>
      <c r="AA761" s="277"/>
      <c r="AB761" s="277"/>
      <c r="AC761" s="277"/>
      <c r="AD761" s="277"/>
    </row>
    <row r="762" ht="12.75" customHeight="1">
      <c r="A762" s="277"/>
      <c r="B762" s="278"/>
      <c r="C762" s="279"/>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409"/>
      <c r="Z762" s="410"/>
      <c r="AA762" s="277"/>
      <c r="AB762" s="277"/>
      <c r="AC762" s="277"/>
      <c r="AD762" s="277"/>
    </row>
    <row r="763" ht="12.75" customHeight="1">
      <c r="A763" s="277"/>
      <c r="B763" s="278"/>
      <c r="C763" s="279"/>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409"/>
      <c r="Z763" s="410"/>
      <c r="AA763" s="277"/>
      <c r="AB763" s="277"/>
      <c r="AC763" s="277"/>
      <c r="AD763" s="277"/>
    </row>
    <row r="764" ht="12.75" customHeight="1">
      <c r="A764" s="277"/>
      <c r="B764" s="278"/>
      <c r="C764" s="279"/>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409"/>
      <c r="Z764" s="410"/>
      <c r="AA764" s="277"/>
      <c r="AB764" s="277"/>
      <c r="AC764" s="277"/>
      <c r="AD764" s="277"/>
    </row>
    <row r="765" ht="12.75" customHeight="1">
      <c r="A765" s="277"/>
      <c r="B765" s="278"/>
      <c r="C765" s="279"/>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409"/>
      <c r="Z765" s="410"/>
      <c r="AA765" s="277"/>
      <c r="AB765" s="277"/>
      <c r="AC765" s="277"/>
      <c r="AD765" s="277"/>
    </row>
    <row r="766" ht="12.75" customHeight="1">
      <c r="A766" s="277"/>
      <c r="B766" s="278"/>
      <c r="C766" s="279"/>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409"/>
      <c r="Z766" s="410"/>
      <c r="AA766" s="277"/>
      <c r="AB766" s="277"/>
      <c r="AC766" s="277"/>
      <c r="AD766" s="277"/>
    </row>
    <row r="767" ht="12.75" customHeight="1">
      <c r="A767" s="277"/>
      <c r="B767" s="278"/>
      <c r="C767" s="279"/>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409"/>
      <c r="Z767" s="410"/>
      <c r="AA767" s="277"/>
      <c r="AB767" s="277"/>
      <c r="AC767" s="277"/>
      <c r="AD767" s="277"/>
    </row>
    <row r="768" ht="12.75" customHeight="1">
      <c r="A768" s="277"/>
      <c r="B768" s="278"/>
      <c r="C768" s="279"/>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409"/>
      <c r="Z768" s="410"/>
      <c r="AA768" s="277"/>
      <c r="AB768" s="277"/>
      <c r="AC768" s="277"/>
      <c r="AD768" s="277"/>
    </row>
    <row r="769" ht="12.75" customHeight="1">
      <c r="A769" s="277"/>
      <c r="B769" s="278"/>
      <c r="C769" s="279"/>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409"/>
      <c r="Z769" s="410"/>
      <c r="AA769" s="277"/>
      <c r="AB769" s="277"/>
      <c r="AC769" s="277"/>
      <c r="AD769" s="277"/>
    </row>
    <row r="770" ht="12.75" customHeight="1">
      <c r="A770" s="277"/>
      <c r="B770" s="278"/>
      <c r="C770" s="279"/>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409"/>
      <c r="Z770" s="410"/>
      <c r="AA770" s="277"/>
      <c r="AB770" s="277"/>
      <c r="AC770" s="277"/>
      <c r="AD770" s="277"/>
    </row>
    <row r="771" ht="12.75" customHeight="1">
      <c r="A771" s="277"/>
      <c r="B771" s="278"/>
      <c r="C771" s="279"/>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409"/>
      <c r="Z771" s="410"/>
      <c r="AA771" s="277"/>
      <c r="AB771" s="277"/>
      <c r="AC771" s="277"/>
      <c r="AD771" s="277"/>
    </row>
    <row r="772" ht="12.75" customHeight="1">
      <c r="A772" s="277"/>
      <c r="B772" s="278"/>
      <c r="C772" s="279"/>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409"/>
      <c r="Z772" s="410"/>
      <c r="AA772" s="277"/>
      <c r="AB772" s="277"/>
      <c r="AC772" s="277"/>
      <c r="AD772" s="277"/>
    </row>
    <row r="773" ht="12.75" customHeight="1">
      <c r="A773" s="277"/>
      <c r="B773" s="278"/>
      <c r="C773" s="279"/>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409"/>
      <c r="Z773" s="410"/>
      <c r="AA773" s="277"/>
      <c r="AB773" s="277"/>
      <c r="AC773" s="277"/>
      <c r="AD773" s="277"/>
    </row>
    <row r="774" ht="12.75" customHeight="1">
      <c r="A774" s="277"/>
      <c r="B774" s="278"/>
      <c r="C774" s="279"/>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409"/>
      <c r="Z774" s="410"/>
      <c r="AA774" s="277"/>
      <c r="AB774" s="277"/>
      <c r="AC774" s="277"/>
      <c r="AD774" s="277"/>
    </row>
    <row r="775" ht="12.75" customHeight="1">
      <c r="A775" s="277"/>
      <c r="B775" s="278"/>
      <c r="C775" s="279"/>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409"/>
      <c r="Z775" s="410"/>
      <c r="AA775" s="277"/>
      <c r="AB775" s="277"/>
      <c r="AC775" s="277"/>
      <c r="AD775" s="277"/>
    </row>
    <row r="776" ht="12.75" customHeight="1">
      <c r="A776" s="277"/>
      <c r="B776" s="278"/>
      <c r="C776" s="279"/>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409"/>
      <c r="Z776" s="410"/>
      <c r="AA776" s="277"/>
      <c r="AB776" s="277"/>
      <c r="AC776" s="277"/>
      <c r="AD776" s="277"/>
    </row>
    <row r="777" ht="12.75" customHeight="1">
      <c r="A777" s="277"/>
      <c r="B777" s="278"/>
      <c r="C777" s="279"/>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409"/>
      <c r="Z777" s="410"/>
      <c r="AA777" s="277"/>
      <c r="AB777" s="277"/>
      <c r="AC777" s="277"/>
      <c r="AD777" s="277"/>
    </row>
    <row r="778" ht="12.75" customHeight="1">
      <c r="A778" s="277"/>
      <c r="B778" s="278"/>
      <c r="C778" s="279"/>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409"/>
      <c r="Z778" s="410"/>
      <c r="AA778" s="277"/>
      <c r="AB778" s="277"/>
      <c r="AC778" s="277"/>
      <c r="AD778" s="277"/>
    </row>
    <row r="779" ht="12.75" customHeight="1">
      <c r="A779" s="277"/>
      <c r="B779" s="278"/>
      <c r="C779" s="279"/>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409"/>
      <c r="Z779" s="410"/>
      <c r="AA779" s="277"/>
      <c r="AB779" s="277"/>
      <c r="AC779" s="277"/>
      <c r="AD779" s="277"/>
    </row>
    <row r="780" ht="12.75" customHeight="1">
      <c r="A780" s="277"/>
      <c r="B780" s="278"/>
      <c r="C780" s="279"/>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409"/>
      <c r="Z780" s="410"/>
      <c r="AA780" s="277"/>
      <c r="AB780" s="277"/>
      <c r="AC780" s="277"/>
      <c r="AD780" s="277"/>
    </row>
    <row r="781" ht="12.75" customHeight="1">
      <c r="A781" s="277"/>
      <c r="B781" s="278"/>
      <c r="C781" s="279"/>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409"/>
      <c r="Z781" s="410"/>
      <c r="AA781" s="277"/>
      <c r="AB781" s="277"/>
      <c r="AC781" s="277"/>
      <c r="AD781" s="277"/>
    </row>
    <row r="782" ht="12.75" customHeight="1">
      <c r="A782" s="277"/>
      <c r="B782" s="278"/>
      <c r="C782" s="279"/>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409"/>
      <c r="Z782" s="410"/>
      <c r="AA782" s="277"/>
      <c r="AB782" s="277"/>
      <c r="AC782" s="277"/>
      <c r="AD782" s="277"/>
    </row>
    <row r="783" ht="12.75" customHeight="1">
      <c r="A783" s="277"/>
      <c r="B783" s="278"/>
      <c r="C783" s="279"/>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409"/>
      <c r="Z783" s="410"/>
      <c r="AA783" s="277"/>
      <c r="AB783" s="277"/>
      <c r="AC783" s="277"/>
      <c r="AD783" s="277"/>
    </row>
    <row r="784" ht="12.75" customHeight="1">
      <c r="A784" s="277"/>
      <c r="B784" s="278"/>
      <c r="C784" s="279"/>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409"/>
      <c r="Z784" s="410"/>
      <c r="AA784" s="277"/>
      <c r="AB784" s="277"/>
      <c r="AC784" s="277"/>
      <c r="AD784" s="277"/>
    </row>
    <row r="785" ht="12.75" customHeight="1">
      <c r="A785" s="277"/>
      <c r="B785" s="278"/>
      <c r="C785" s="279"/>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409"/>
      <c r="Z785" s="410"/>
      <c r="AA785" s="277"/>
      <c r="AB785" s="277"/>
      <c r="AC785" s="277"/>
      <c r="AD785" s="277"/>
    </row>
    <row r="786" ht="12.75" customHeight="1">
      <c r="A786" s="277"/>
      <c r="B786" s="278"/>
      <c r="C786" s="279"/>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409"/>
      <c r="Z786" s="410"/>
      <c r="AA786" s="277"/>
      <c r="AB786" s="277"/>
      <c r="AC786" s="277"/>
      <c r="AD786" s="277"/>
    </row>
    <row r="787" ht="12.75" customHeight="1">
      <c r="A787" s="277"/>
      <c r="B787" s="278"/>
      <c r="C787" s="279"/>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409"/>
      <c r="Z787" s="410"/>
      <c r="AA787" s="277"/>
      <c r="AB787" s="277"/>
      <c r="AC787" s="277"/>
      <c r="AD787" s="277"/>
    </row>
    <row r="788" ht="12.75" customHeight="1">
      <c r="A788" s="277"/>
      <c r="B788" s="278"/>
      <c r="C788" s="279"/>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409"/>
      <c r="Z788" s="410"/>
      <c r="AA788" s="277"/>
      <c r="AB788" s="277"/>
      <c r="AC788" s="277"/>
      <c r="AD788" s="277"/>
    </row>
    <row r="789" ht="12.75" customHeight="1">
      <c r="A789" s="277"/>
      <c r="B789" s="278"/>
      <c r="C789" s="279"/>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409"/>
      <c r="Z789" s="410"/>
      <c r="AA789" s="277"/>
      <c r="AB789" s="277"/>
      <c r="AC789" s="277"/>
      <c r="AD789" s="277"/>
    </row>
    <row r="790" ht="12.75" customHeight="1">
      <c r="A790" s="277"/>
      <c r="B790" s="278"/>
      <c r="C790" s="279"/>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409"/>
      <c r="Z790" s="410"/>
      <c r="AA790" s="277"/>
      <c r="AB790" s="277"/>
      <c r="AC790" s="277"/>
      <c r="AD790" s="277"/>
    </row>
    <row r="791" ht="12.75" customHeight="1">
      <c r="A791" s="277"/>
      <c r="B791" s="278"/>
      <c r="C791" s="279"/>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409"/>
      <c r="Z791" s="410"/>
      <c r="AA791" s="277"/>
      <c r="AB791" s="277"/>
      <c r="AC791" s="277"/>
      <c r="AD791" s="277"/>
    </row>
    <row r="792" ht="12.75" customHeight="1">
      <c r="A792" s="277"/>
      <c r="B792" s="278"/>
      <c r="C792" s="279"/>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409"/>
      <c r="Z792" s="410"/>
      <c r="AA792" s="277"/>
      <c r="AB792" s="277"/>
      <c r="AC792" s="277"/>
      <c r="AD792" s="277"/>
    </row>
    <row r="793" ht="12.75" customHeight="1">
      <c r="A793" s="277"/>
      <c r="B793" s="278"/>
      <c r="C793" s="279"/>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409"/>
      <c r="Z793" s="410"/>
      <c r="AA793" s="277"/>
      <c r="AB793" s="277"/>
      <c r="AC793" s="277"/>
      <c r="AD793" s="277"/>
    </row>
    <row r="794" ht="12.75" customHeight="1">
      <c r="A794" s="277"/>
      <c r="B794" s="278"/>
      <c r="C794" s="279"/>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409"/>
      <c r="Z794" s="410"/>
      <c r="AA794" s="277"/>
      <c r="AB794" s="277"/>
      <c r="AC794" s="277"/>
      <c r="AD794" s="277"/>
    </row>
    <row r="795" ht="12.75" customHeight="1">
      <c r="A795" s="277"/>
      <c r="B795" s="278"/>
      <c r="C795" s="279"/>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409"/>
      <c r="Z795" s="410"/>
      <c r="AA795" s="277"/>
      <c r="AB795" s="277"/>
      <c r="AC795" s="277"/>
      <c r="AD795" s="277"/>
    </row>
    <row r="796" ht="12.75" customHeight="1">
      <c r="A796" s="277"/>
      <c r="B796" s="278"/>
      <c r="C796" s="279"/>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409"/>
      <c r="Z796" s="410"/>
      <c r="AA796" s="277"/>
      <c r="AB796" s="277"/>
      <c r="AC796" s="277"/>
      <c r="AD796" s="277"/>
    </row>
    <row r="797" ht="12.75" customHeight="1">
      <c r="A797" s="277"/>
      <c r="B797" s="278"/>
      <c r="C797" s="279"/>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409"/>
      <c r="Z797" s="410"/>
      <c r="AA797" s="277"/>
      <c r="AB797" s="277"/>
      <c r="AC797" s="277"/>
      <c r="AD797" s="277"/>
    </row>
    <row r="798" ht="12.75" customHeight="1">
      <c r="A798" s="277"/>
      <c r="B798" s="278"/>
      <c r="C798" s="279"/>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409"/>
      <c r="Z798" s="410"/>
      <c r="AA798" s="277"/>
      <c r="AB798" s="277"/>
      <c r="AC798" s="277"/>
      <c r="AD798" s="277"/>
    </row>
    <row r="799" ht="12.75" customHeight="1">
      <c r="A799" s="277"/>
      <c r="B799" s="278"/>
      <c r="C799" s="279"/>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409"/>
      <c r="Z799" s="410"/>
      <c r="AA799" s="277"/>
      <c r="AB799" s="277"/>
      <c r="AC799" s="277"/>
      <c r="AD799" s="277"/>
    </row>
    <row r="800" ht="12.75" customHeight="1">
      <c r="A800" s="277"/>
      <c r="B800" s="278"/>
      <c r="C800" s="279"/>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409"/>
      <c r="Z800" s="410"/>
      <c r="AA800" s="277"/>
      <c r="AB800" s="277"/>
      <c r="AC800" s="277"/>
      <c r="AD800" s="277"/>
    </row>
    <row r="801" ht="12.75" customHeight="1">
      <c r="A801" s="277"/>
      <c r="B801" s="278"/>
      <c r="C801" s="279"/>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409"/>
      <c r="Z801" s="410"/>
      <c r="AA801" s="277"/>
      <c r="AB801" s="277"/>
      <c r="AC801" s="277"/>
      <c r="AD801" s="277"/>
    </row>
    <row r="802" ht="12.75" customHeight="1">
      <c r="A802" s="277"/>
      <c r="B802" s="278"/>
      <c r="C802" s="279"/>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409"/>
      <c r="Z802" s="410"/>
      <c r="AA802" s="277"/>
      <c r="AB802" s="277"/>
      <c r="AC802" s="277"/>
      <c r="AD802" s="277"/>
    </row>
    <row r="803" ht="12.75" customHeight="1">
      <c r="A803" s="277"/>
      <c r="B803" s="278"/>
      <c r="C803" s="279"/>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409"/>
      <c r="Z803" s="410"/>
      <c r="AA803" s="277"/>
      <c r="AB803" s="277"/>
      <c r="AC803" s="277"/>
      <c r="AD803" s="277"/>
    </row>
    <row r="804" ht="12.75" customHeight="1">
      <c r="A804" s="277"/>
      <c r="B804" s="278"/>
      <c r="C804" s="279"/>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409"/>
      <c r="Z804" s="410"/>
      <c r="AA804" s="277"/>
      <c r="AB804" s="277"/>
      <c r="AC804" s="277"/>
      <c r="AD804" s="277"/>
    </row>
    <row r="805" ht="12.75" customHeight="1">
      <c r="A805" s="277"/>
      <c r="B805" s="278"/>
      <c r="C805" s="279"/>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409"/>
      <c r="Z805" s="410"/>
      <c r="AA805" s="277"/>
      <c r="AB805" s="277"/>
      <c r="AC805" s="277"/>
      <c r="AD805" s="277"/>
    </row>
    <row r="806" ht="12.75" customHeight="1">
      <c r="A806" s="277"/>
      <c r="B806" s="278"/>
      <c r="C806" s="279"/>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409"/>
      <c r="Z806" s="410"/>
      <c r="AA806" s="277"/>
      <c r="AB806" s="277"/>
      <c r="AC806" s="277"/>
      <c r="AD806" s="277"/>
    </row>
    <row r="807" ht="12.75" customHeight="1">
      <c r="A807" s="277"/>
      <c r="B807" s="278"/>
      <c r="C807" s="279"/>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409"/>
      <c r="Z807" s="410"/>
      <c r="AA807" s="277"/>
      <c r="AB807" s="277"/>
      <c r="AC807" s="277"/>
      <c r="AD807" s="277"/>
    </row>
    <row r="808" ht="12.75" customHeight="1">
      <c r="A808" s="277"/>
      <c r="B808" s="278"/>
      <c r="C808" s="279"/>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409"/>
      <c r="Z808" s="410"/>
      <c r="AA808" s="277"/>
      <c r="AB808" s="277"/>
      <c r="AC808" s="277"/>
      <c r="AD808" s="277"/>
    </row>
    <row r="809" ht="12.75" customHeight="1">
      <c r="A809" s="277"/>
      <c r="B809" s="278"/>
      <c r="C809" s="279"/>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409"/>
      <c r="Z809" s="410"/>
      <c r="AA809" s="277"/>
      <c r="AB809" s="277"/>
      <c r="AC809" s="277"/>
      <c r="AD809" s="277"/>
    </row>
    <row r="810" ht="12.75" customHeight="1">
      <c r="A810" s="277"/>
      <c r="B810" s="278"/>
      <c r="C810" s="279"/>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409"/>
      <c r="Z810" s="410"/>
      <c r="AA810" s="277"/>
      <c r="AB810" s="277"/>
      <c r="AC810" s="277"/>
      <c r="AD810" s="277"/>
    </row>
    <row r="811" ht="12.75" customHeight="1">
      <c r="A811" s="277"/>
      <c r="B811" s="278"/>
      <c r="C811" s="279"/>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409"/>
      <c r="Z811" s="410"/>
      <c r="AA811" s="277"/>
      <c r="AB811" s="277"/>
      <c r="AC811" s="277"/>
      <c r="AD811" s="277"/>
    </row>
    <row r="812" ht="12.75" customHeight="1">
      <c r="A812" s="277"/>
      <c r="B812" s="278"/>
      <c r="C812" s="279"/>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409"/>
      <c r="Z812" s="410"/>
      <c r="AA812" s="277"/>
      <c r="AB812" s="277"/>
      <c r="AC812" s="277"/>
      <c r="AD812" s="277"/>
    </row>
    <row r="813" ht="12.75" customHeight="1">
      <c r="A813" s="277"/>
      <c r="B813" s="278"/>
      <c r="C813" s="279"/>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409"/>
      <c r="Z813" s="410"/>
      <c r="AA813" s="277"/>
      <c r="AB813" s="277"/>
      <c r="AC813" s="277"/>
      <c r="AD813" s="277"/>
    </row>
    <row r="814" ht="12.75" customHeight="1">
      <c r="A814" s="277"/>
      <c r="B814" s="278"/>
      <c r="C814" s="279"/>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409"/>
      <c r="Z814" s="410"/>
      <c r="AA814" s="277"/>
      <c r="AB814" s="277"/>
      <c r="AC814" s="277"/>
      <c r="AD814" s="277"/>
    </row>
    <row r="815" ht="12.75" customHeight="1">
      <c r="A815" s="277"/>
      <c r="B815" s="278"/>
      <c r="C815" s="279"/>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409"/>
      <c r="Z815" s="410"/>
      <c r="AA815" s="277"/>
      <c r="AB815" s="277"/>
      <c r="AC815" s="277"/>
      <c r="AD815" s="277"/>
    </row>
    <row r="816" ht="12.75" customHeight="1">
      <c r="A816" s="277"/>
      <c r="B816" s="278"/>
      <c r="C816" s="279"/>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409"/>
      <c r="Z816" s="410"/>
      <c r="AA816" s="277"/>
      <c r="AB816" s="277"/>
      <c r="AC816" s="277"/>
      <c r="AD816" s="277"/>
    </row>
    <row r="817" ht="12.75" customHeight="1">
      <c r="A817" s="277"/>
      <c r="B817" s="278"/>
      <c r="C817" s="279"/>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409"/>
      <c r="Z817" s="410"/>
      <c r="AA817" s="277"/>
      <c r="AB817" s="277"/>
      <c r="AC817" s="277"/>
      <c r="AD817" s="277"/>
    </row>
    <row r="818" ht="12.75" customHeight="1">
      <c r="A818" s="277"/>
      <c r="B818" s="278"/>
      <c r="C818" s="279"/>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409"/>
      <c r="Z818" s="410"/>
      <c r="AA818" s="277"/>
      <c r="AB818" s="277"/>
      <c r="AC818" s="277"/>
      <c r="AD818" s="277"/>
    </row>
    <row r="819" ht="12.75" customHeight="1">
      <c r="A819" s="277"/>
      <c r="B819" s="278"/>
      <c r="C819" s="279"/>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409"/>
      <c r="Z819" s="410"/>
      <c r="AA819" s="277"/>
      <c r="AB819" s="277"/>
      <c r="AC819" s="277"/>
      <c r="AD819" s="277"/>
    </row>
    <row r="820" ht="12.75" customHeight="1">
      <c r="A820" s="277"/>
      <c r="B820" s="278"/>
      <c r="C820" s="279"/>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409"/>
      <c r="Z820" s="410"/>
      <c r="AA820" s="277"/>
      <c r="AB820" s="277"/>
      <c r="AC820" s="277"/>
      <c r="AD820" s="277"/>
    </row>
    <row r="821" ht="12.75" customHeight="1">
      <c r="A821" s="277"/>
      <c r="B821" s="278"/>
      <c r="C821" s="279"/>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409"/>
      <c r="Z821" s="410"/>
      <c r="AA821" s="277"/>
      <c r="AB821" s="277"/>
      <c r="AC821" s="277"/>
      <c r="AD821" s="277"/>
    </row>
    <row r="822" ht="12.75" customHeight="1">
      <c r="A822" s="277"/>
      <c r="B822" s="278"/>
      <c r="C822" s="279"/>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409"/>
      <c r="Z822" s="410"/>
      <c r="AA822" s="277"/>
      <c r="AB822" s="277"/>
      <c r="AC822" s="277"/>
      <c r="AD822" s="277"/>
    </row>
    <row r="823" ht="12.75" customHeight="1">
      <c r="A823" s="277"/>
      <c r="B823" s="278"/>
      <c r="C823" s="279"/>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409"/>
      <c r="Z823" s="410"/>
      <c r="AA823" s="277"/>
      <c r="AB823" s="277"/>
      <c r="AC823" s="277"/>
      <c r="AD823" s="277"/>
    </row>
    <row r="824" ht="12.75" customHeight="1">
      <c r="A824" s="277"/>
      <c r="B824" s="278"/>
      <c r="C824" s="279"/>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409"/>
      <c r="Z824" s="410"/>
      <c r="AA824" s="277"/>
      <c r="AB824" s="277"/>
      <c r="AC824" s="277"/>
      <c r="AD824" s="277"/>
    </row>
    <row r="825" ht="12.75" customHeight="1">
      <c r="A825" s="277"/>
      <c r="B825" s="278"/>
      <c r="C825" s="279"/>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409"/>
      <c r="Z825" s="410"/>
      <c r="AA825" s="277"/>
      <c r="AB825" s="277"/>
      <c r="AC825" s="277"/>
      <c r="AD825" s="277"/>
    </row>
    <row r="826" ht="12.75" customHeight="1">
      <c r="A826" s="277"/>
      <c r="B826" s="278"/>
      <c r="C826" s="279"/>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409"/>
      <c r="Z826" s="410"/>
      <c r="AA826" s="277"/>
      <c r="AB826" s="277"/>
      <c r="AC826" s="277"/>
      <c r="AD826" s="277"/>
    </row>
    <row r="827" ht="12.75" customHeight="1">
      <c r="A827" s="277"/>
      <c r="B827" s="278"/>
      <c r="C827" s="279"/>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409"/>
      <c r="Z827" s="410"/>
      <c r="AA827" s="277"/>
      <c r="AB827" s="277"/>
      <c r="AC827" s="277"/>
      <c r="AD827" s="277"/>
    </row>
    <row r="828" ht="12.75" customHeight="1">
      <c r="A828" s="277"/>
      <c r="B828" s="278"/>
      <c r="C828" s="279"/>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409"/>
      <c r="Z828" s="410"/>
      <c r="AA828" s="277"/>
      <c r="AB828" s="277"/>
      <c r="AC828" s="277"/>
      <c r="AD828" s="277"/>
    </row>
    <row r="829" ht="12.75" customHeight="1">
      <c r="A829" s="277"/>
      <c r="B829" s="278"/>
      <c r="C829" s="279"/>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409"/>
      <c r="Z829" s="410"/>
      <c r="AA829" s="277"/>
      <c r="AB829" s="277"/>
      <c r="AC829" s="277"/>
      <c r="AD829" s="277"/>
    </row>
    <row r="830" ht="12.75" customHeight="1">
      <c r="A830" s="277"/>
      <c r="B830" s="278"/>
      <c r="C830" s="279"/>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409"/>
      <c r="Z830" s="410"/>
      <c r="AA830" s="277"/>
      <c r="AB830" s="277"/>
      <c r="AC830" s="277"/>
      <c r="AD830" s="277"/>
    </row>
    <row r="831" ht="12.75" customHeight="1">
      <c r="A831" s="277"/>
      <c r="B831" s="278"/>
      <c r="C831" s="279"/>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409"/>
      <c r="Z831" s="410"/>
      <c r="AA831" s="277"/>
      <c r="AB831" s="277"/>
      <c r="AC831" s="277"/>
      <c r="AD831" s="277"/>
    </row>
    <row r="832" ht="12.75" customHeight="1">
      <c r="A832" s="277"/>
      <c r="B832" s="278"/>
      <c r="C832" s="279"/>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409"/>
      <c r="Z832" s="410"/>
      <c r="AA832" s="277"/>
      <c r="AB832" s="277"/>
      <c r="AC832" s="277"/>
      <c r="AD832" s="277"/>
    </row>
    <row r="833" ht="12.75" customHeight="1">
      <c r="A833" s="277"/>
      <c r="B833" s="278"/>
      <c r="C833" s="279"/>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409"/>
      <c r="Z833" s="410"/>
      <c r="AA833" s="277"/>
      <c r="AB833" s="277"/>
      <c r="AC833" s="277"/>
      <c r="AD833" s="277"/>
    </row>
    <row r="834" ht="12.75" customHeight="1">
      <c r="A834" s="277"/>
      <c r="B834" s="278"/>
      <c r="C834" s="279"/>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409"/>
      <c r="Z834" s="410"/>
      <c r="AA834" s="277"/>
      <c r="AB834" s="277"/>
      <c r="AC834" s="277"/>
      <c r="AD834" s="277"/>
    </row>
    <row r="835" ht="12.75" customHeight="1">
      <c r="A835" s="277"/>
      <c r="B835" s="278"/>
      <c r="C835" s="279"/>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409"/>
      <c r="Z835" s="410"/>
      <c r="AA835" s="277"/>
      <c r="AB835" s="277"/>
      <c r="AC835" s="277"/>
      <c r="AD835" s="277"/>
    </row>
    <row r="836" ht="12.75" customHeight="1">
      <c r="A836" s="277"/>
      <c r="B836" s="278"/>
      <c r="C836" s="279"/>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409"/>
      <c r="Z836" s="410"/>
      <c r="AA836" s="277"/>
      <c r="AB836" s="277"/>
      <c r="AC836" s="277"/>
      <c r="AD836" s="277"/>
    </row>
    <row r="837" ht="12.75" customHeight="1">
      <c r="A837" s="277"/>
      <c r="B837" s="278"/>
      <c r="C837" s="279"/>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409"/>
      <c r="Z837" s="410"/>
      <c r="AA837" s="277"/>
      <c r="AB837" s="277"/>
      <c r="AC837" s="277"/>
      <c r="AD837" s="277"/>
    </row>
    <row r="838" ht="12.75" customHeight="1">
      <c r="A838" s="277"/>
      <c r="B838" s="278"/>
      <c r="C838" s="279"/>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409"/>
      <c r="Z838" s="410"/>
      <c r="AA838" s="277"/>
      <c r="AB838" s="277"/>
      <c r="AC838" s="277"/>
      <c r="AD838" s="277"/>
    </row>
    <row r="839" ht="12.75" customHeight="1">
      <c r="A839" s="277"/>
      <c r="B839" s="278"/>
      <c r="C839" s="279"/>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409"/>
      <c r="Z839" s="410"/>
      <c r="AA839" s="277"/>
      <c r="AB839" s="277"/>
      <c r="AC839" s="277"/>
      <c r="AD839" s="277"/>
    </row>
    <row r="840" ht="12.75" customHeight="1">
      <c r="A840" s="277"/>
      <c r="B840" s="278"/>
      <c r="C840" s="279"/>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409"/>
      <c r="Z840" s="410"/>
      <c r="AA840" s="277"/>
      <c r="AB840" s="277"/>
      <c r="AC840" s="277"/>
      <c r="AD840" s="277"/>
    </row>
    <row r="841" ht="12.75" customHeight="1">
      <c r="A841" s="277"/>
      <c r="B841" s="278"/>
      <c r="C841" s="279"/>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409"/>
      <c r="Z841" s="410"/>
      <c r="AA841" s="277"/>
      <c r="AB841" s="277"/>
      <c r="AC841" s="277"/>
      <c r="AD841" s="277"/>
    </row>
    <row r="842" ht="12.75" customHeight="1">
      <c r="A842" s="277"/>
      <c r="B842" s="278"/>
      <c r="C842" s="279"/>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409"/>
      <c r="Z842" s="410"/>
      <c r="AA842" s="277"/>
      <c r="AB842" s="277"/>
      <c r="AC842" s="277"/>
      <c r="AD842" s="277"/>
    </row>
    <row r="843" ht="12.75" customHeight="1">
      <c r="A843" s="277"/>
      <c r="B843" s="278"/>
      <c r="C843" s="279"/>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409"/>
      <c r="Z843" s="410"/>
      <c r="AA843" s="277"/>
      <c r="AB843" s="277"/>
      <c r="AC843" s="277"/>
      <c r="AD843" s="277"/>
    </row>
    <row r="844" ht="12.75" customHeight="1">
      <c r="A844" s="277"/>
      <c r="B844" s="278"/>
      <c r="C844" s="279"/>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409"/>
      <c r="Z844" s="410"/>
      <c r="AA844" s="277"/>
      <c r="AB844" s="277"/>
      <c r="AC844" s="277"/>
      <c r="AD844" s="277"/>
    </row>
    <row r="845" ht="12.75" customHeight="1">
      <c r="A845" s="277"/>
      <c r="B845" s="278"/>
      <c r="C845" s="279"/>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409"/>
      <c r="Z845" s="410"/>
      <c r="AA845" s="277"/>
      <c r="AB845" s="277"/>
      <c r="AC845" s="277"/>
      <c r="AD845" s="277"/>
    </row>
    <row r="846" ht="12.75" customHeight="1">
      <c r="A846" s="277"/>
      <c r="B846" s="278"/>
      <c r="C846" s="279"/>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409"/>
      <c r="Z846" s="410"/>
      <c r="AA846" s="277"/>
      <c r="AB846" s="277"/>
      <c r="AC846" s="277"/>
      <c r="AD846" s="277"/>
    </row>
    <row r="847" ht="12.75" customHeight="1">
      <c r="A847" s="277"/>
      <c r="B847" s="278"/>
      <c r="C847" s="279"/>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409"/>
      <c r="Z847" s="410"/>
      <c r="AA847" s="277"/>
      <c r="AB847" s="277"/>
      <c r="AC847" s="277"/>
      <c r="AD847" s="277"/>
    </row>
    <row r="848" ht="12.75" customHeight="1">
      <c r="A848" s="277"/>
      <c r="B848" s="278"/>
      <c r="C848" s="279"/>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409"/>
      <c r="Z848" s="410"/>
      <c r="AA848" s="277"/>
      <c r="AB848" s="277"/>
      <c r="AC848" s="277"/>
      <c r="AD848" s="277"/>
    </row>
    <row r="849" ht="12.75" customHeight="1">
      <c r="A849" s="277"/>
      <c r="B849" s="278"/>
      <c r="C849" s="279"/>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409"/>
      <c r="Z849" s="410"/>
      <c r="AA849" s="277"/>
      <c r="AB849" s="277"/>
      <c r="AC849" s="277"/>
      <c r="AD849" s="277"/>
    </row>
    <row r="850" ht="12.75" customHeight="1">
      <c r="A850" s="277"/>
      <c r="B850" s="278"/>
      <c r="C850" s="279"/>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409"/>
      <c r="Z850" s="410"/>
      <c r="AA850" s="277"/>
      <c r="AB850" s="277"/>
      <c r="AC850" s="277"/>
      <c r="AD850" s="277"/>
    </row>
    <row r="851" ht="12.75" customHeight="1">
      <c r="A851" s="277"/>
      <c r="B851" s="278"/>
      <c r="C851" s="279"/>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409"/>
      <c r="Z851" s="410"/>
      <c r="AA851" s="277"/>
      <c r="AB851" s="277"/>
      <c r="AC851" s="277"/>
      <c r="AD851" s="277"/>
    </row>
    <row r="852" ht="12.75" customHeight="1">
      <c r="A852" s="277"/>
      <c r="B852" s="278"/>
      <c r="C852" s="279"/>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409"/>
      <c r="Z852" s="410"/>
      <c r="AA852" s="277"/>
      <c r="AB852" s="277"/>
      <c r="AC852" s="277"/>
      <c r="AD852" s="277"/>
    </row>
    <row r="853" ht="12.75" customHeight="1">
      <c r="A853" s="277"/>
      <c r="B853" s="278"/>
      <c r="C853" s="279"/>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409"/>
      <c r="Z853" s="410"/>
      <c r="AA853" s="277"/>
      <c r="AB853" s="277"/>
      <c r="AC853" s="277"/>
      <c r="AD853" s="277"/>
    </row>
    <row r="854" ht="12.75" customHeight="1">
      <c r="A854" s="277"/>
      <c r="B854" s="278"/>
      <c r="C854" s="279"/>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409"/>
      <c r="Z854" s="410"/>
      <c r="AA854" s="277"/>
      <c r="AB854" s="277"/>
      <c r="AC854" s="277"/>
      <c r="AD854" s="277"/>
    </row>
    <row r="855" ht="12.75" customHeight="1">
      <c r="A855" s="277"/>
      <c r="B855" s="278"/>
      <c r="C855" s="279"/>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409"/>
      <c r="Z855" s="410"/>
      <c r="AA855" s="277"/>
      <c r="AB855" s="277"/>
      <c r="AC855" s="277"/>
      <c r="AD855" s="277"/>
    </row>
    <row r="856" ht="12.75" customHeight="1">
      <c r="A856" s="277"/>
      <c r="B856" s="278"/>
      <c r="C856" s="279"/>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409"/>
      <c r="Z856" s="410"/>
      <c r="AA856" s="277"/>
      <c r="AB856" s="277"/>
      <c r="AC856" s="277"/>
      <c r="AD856" s="277"/>
    </row>
    <row r="857" ht="12.75" customHeight="1">
      <c r="A857" s="277"/>
      <c r="B857" s="278"/>
      <c r="C857" s="279"/>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409"/>
      <c r="Z857" s="410"/>
      <c r="AA857" s="277"/>
      <c r="AB857" s="277"/>
      <c r="AC857" s="277"/>
      <c r="AD857" s="277"/>
    </row>
    <row r="858" ht="12.75" customHeight="1">
      <c r="A858" s="277"/>
      <c r="B858" s="278"/>
      <c r="C858" s="279"/>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409"/>
      <c r="Z858" s="410"/>
      <c r="AA858" s="277"/>
      <c r="AB858" s="277"/>
      <c r="AC858" s="277"/>
      <c r="AD858" s="277"/>
    </row>
    <row r="859" ht="12.75" customHeight="1">
      <c r="A859" s="277"/>
      <c r="B859" s="278"/>
      <c r="C859" s="279"/>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409"/>
      <c r="Z859" s="410"/>
      <c r="AA859" s="277"/>
      <c r="AB859" s="277"/>
      <c r="AC859" s="277"/>
      <c r="AD859" s="277"/>
    </row>
    <row r="860" ht="12.75" customHeight="1">
      <c r="A860" s="277"/>
      <c r="B860" s="278"/>
      <c r="C860" s="279"/>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409"/>
      <c r="Z860" s="410"/>
      <c r="AA860" s="277"/>
      <c r="AB860" s="277"/>
      <c r="AC860" s="277"/>
      <c r="AD860" s="277"/>
    </row>
    <row r="861" ht="12.75" customHeight="1">
      <c r="A861" s="277"/>
      <c r="B861" s="278"/>
      <c r="C861" s="279"/>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409"/>
      <c r="Z861" s="410"/>
      <c r="AA861" s="277"/>
      <c r="AB861" s="277"/>
      <c r="AC861" s="277"/>
      <c r="AD861" s="277"/>
    </row>
    <row r="862" ht="12.75" customHeight="1">
      <c r="A862" s="277"/>
      <c r="B862" s="278"/>
      <c r="C862" s="279"/>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409"/>
      <c r="Z862" s="410"/>
      <c r="AA862" s="277"/>
      <c r="AB862" s="277"/>
      <c r="AC862" s="277"/>
      <c r="AD862" s="277"/>
    </row>
    <row r="863" ht="12.75" customHeight="1">
      <c r="A863" s="277"/>
      <c r="B863" s="278"/>
      <c r="C863" s="279"/>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409"/>
      <c r="Z863" s="410"/>
      <c r="AA863" s="277"/>
      <c r="AB863" s="277"/>
      <c r="AC863" s="277"/>
      <c r="AD863" s="277"/>
    </row>
    <row r="864" ht="12.75" customHeight="1">
      <c r="A864" s="277"/>
      <c r="B864" s="278"/>
      <c r="C864" s="279"/>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409"/>
      <c r="Z864" s="410"/>
      <c r="AA864" s="277"/>
      <c r="AB864" s="277"/>
      <c r="AC864" s="277"/>
      <c r="AD864" s="277"/>
    </row>
    <row r="865" ht="12.75" customHeight="1">
      <c r="A865" s="277"/>
      <c r="B865" s="278"/>
      <c r="C865" s="279"/>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409"/>
      <c r="Z865" s="410"/>
      <c r="AA865" s="277"/>
      <c r="AB865" s="277"/>
      <c r="AC865" s="277"/>
      <c r="AD865" s="277"/>
    </row>
    <row r="866" ht="12.75" customHeight="1">
      <c r="A866" s="277"/>
      <c r="B866" s="278"/>
      <c r="C866" s="279"/>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409"/>
      <c r="Z866" s="410"/>
      <c r="AA866" s="277"/>
      <c r="AB866" s="277"/>
      <c r="AC866" s="277"/>
      <c r="AD866" s="277"/>
    </row>
    <row r="867" ht="12.75" customHeight="1">
      <c r="A867" s="277"/>
      <c r="B867" s="278"/>
      <c r="C867" s="279"/>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409"/>
      <c r="Z867" s="410"/>
      <c r="AA867" s="277"/>
      <c r="AB867" s="277"/>
      <c r="AC867" s="277"/>
      <c r="AD867" s="277"/>
    </row>
    <row r="868" ht="12.75" customHeight="1">
      <c r="A868" s="277"/>
      <c r="B868" s="278"/>
      <c r="C868" s="279"/>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409"/>
      <c r="Z868" s="410"/>
      <c r="AA868" s="277"/>
      <c r="AB868" s="277"/>
      <c r="AC868" s="277"/>
      <c r="AD868" s="277"/>
    </row>
    <row r="869" ht="12.75" customHeight="1">
      <c r="A869" s="277"/>
      <c r="B869" s="278"/>
      <c r="C869" s="279"/>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409"/>
      <c r="Z869" s="410"/>
      <c r="AA869" s="277"/>
      <c r="AB869" s="277"/>
      <c r="AC869" s="277"/>
      <c r="AD869" s="277"/>
    </row>
    <row r="870" ht="12.75" customHeight="1">
      <c r="A870" s="277"/>
      <c r="B870" s="278"/>
      <c r="C870" s="279"/>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409"/>
      <c r="Z870" s="410"/>
      <c r="AA870" s="277"/>
      <c r="AB870" s="277"/>
      <c r="AC870" s="277"/>
      <c r="AD870" s="277"/>
    </row>
    <row r="871" ht="12.75" customHeight="1">
      <c r="A871" s="277"/>
      <c r="B871" s="278"/>
      <c r="C871" s="279"/>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409"/>
      <c r="Z871" s="410"/>
      <c r="AA871" s="277"/>
      <c r="AB871" s="277"/>
      <c r="AC871" s="277"/>
      <c r="AD871" s="277"/>
    </row>
    <row r="872" ht="12.75" customHeight="1">
      <c r="A872" s="277"/>
      <c r="B872" s="278"/>
      <c r="C872" s="279"/>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409"/>
      <c r="Z872" s="410"/>
      <c r="AA872" s="277"/>
      <c r="AB872" s="277"/>
      <c r="AC872" s="277"/>
      <c r="AD872" s="277"/>
    </row>
    <row r="873" ht="12.75" customHeight="1">
      <c r="A873" s="277"/>
      <c r="B873" s="278"/>
      <c r="C873" s="279"/>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409"/>
      <c r="Z873" s="410"/>
      <c r="AA873" s="277"/>
      <c r="AB873" s="277"/>
      <c r="AC873" s="277"/>
      <c r="AD873" s="277"/>
    </row>
    <row r="874" ht="12.75" customHeight="1">
      <c r="A874" s="277"/>
      <c r="B874" s="278"/>
      <c r="C874" s="279"/>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409"/>
      <c r="Z874" s="410"/>
      <c r="AA874" s="277"/>
      <c r="AB874" s="277"/>
      <c r="AC874" s="277"/>
      <c r="AD874" s="277"/>
    </row>
    <row r="875" ht="12.75" customHeight="1">
      <c r="A875" s="277"/>
      <c r="B875" s="278"/>
      <c r="C875" s="279"/>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409"/>
      <c r="Z875" s="410"/>
      <c r="AA875" s="277"/>
      <c r="AB875" s="277"/>
      <c r="AC875" s="277"/>
      <c r="AD875" s="277"/>
    </row>
    <row r="876" ht="12.75" customHeight="1">
      <c r="A876" s="277"/>
      <c r="B876" s="278"/>
      <c r="C876" s="279"/>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409"/>
      <c r="Z876" s="410"/>
      <c r="AA876" s="277"/>
      <c r="AB876" s="277"/>
      <c r="AC876" s="277"/>
      <c r="AD876" s="277"/>
    </row>
    <row r="877" ht="12.75" customHeight="1">
      <c r="A877" s="277"/>
      <c r="B877" s="278"/>
      <c r="C877" s="279"/>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409"/>
      <c r="Z877" s="410"/>
      <c r="AA877" s="277"/>
      <c r="AB877" s="277"/>
      <c r="AC877" s="277"/>
      <c r="AD877" s="277"/>
    </row>
    <row r="878" ht="12.75" customHeight="1">
      <c r="A878" s="277"/>
      <c r="B878" s="278"/>
      <c r="C878" s="279"/>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409"/>
      <c r="Z878" s="410"/>
      <c r="AA878" s="277"/>
      <c r="AB878" s="277"/>
      <c r="AC878" s="277"/>
      <c r="AD878" s="277"/>
    </row>
    <row r="879" ht="12.75" customHeight="1">
      <c r="A879" s="277"/>
      <c r="B879" s="278"/>
      <c r="C879" s="279"/>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409"/>
      <c r="Z879" s="410"/>
      <c r="AA879" s="277"/>
      <c r="AB879" s="277"/>
      <c r="AC879" s="277"/>
      <c r="AD879" s="277"/>
    </row>
    <row r="880" ht="12.75" customHeight="1">
      <c r="A880" s="277"/>
      <c r="B880" s="278"/>
      <c r="C880" s="279"/>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409"/>
      <c r="Z880" s="410"/>
      <c r="AA880" s="277"/>
      <c r="AB880" s="277"/>
      <c r="AC880" s="277"/>
      <c r="AD880" s="277"/>
    </row>
    <row r="881" ht="12.75" customHeight="1">
      <c r="A881" s="277"/>
      <c r="B881" s="278"/>
      <c r="C881" s="279"/>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409"/>
      <c r="Z881" s="410"/>
      <c r="AA881" s="277"/>
      <c r="AB881" s="277"/>
      <c r="AC881" s="277"/>
      <c r="AD881" s="277"/>
    </row>
    <row r="882" ht="12.75" customHeight="1">
      <c r="A882" s="277"/>
      <c r="B882" s="278"/>
      <c r="C882" s="279"/>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409"/>
      <c r="Z882" s="410"/>
      <c r="AA882" s="277"/>
      <c r="AB882" s="277"/>
      <c r="AC882" s="277"/>
      <c r="AD882" s="277"/>
    </row>
    <row r="883" ht="12.75" customHeight="1">
      <c r="A883" s="277"/>
      <c r="B883" s="278"/>
      <c r="C883" s="279"/>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409"/>
      <c r="Z883" s="410"/>
      <c r="AA883" s="277"/>
      <c r="AB883" s="277"/>
      <c r="AC883" s="277"/>
      <c r="AD883" s="277"/>
    </row>
    <row r="884" ht="12.75" customHeight="1">
      <c r="A884" s="277"/>
      <c r="B884" s="278"/>
      <c r="C884" s="279"/>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409"/>
      <c r="Z884" s="410"/>
      <c r="AA884" s="277"/>
      <c r="AB884" s="277"/>
      <c r="AC884" s="277"/>
      <c r="AD884" s="277"/>
    </row>
    <row r="885" ht="12.75" customHeight="1">
      <c r="A885" s="277"/>
      <c r="B885" s="278"/>
      <c r="C885" s="279"/>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409"/>
      <c r="Z885" s="410"/>
      <c r="AA885" s="277"/>
      <c r="AB885" s="277"/>
      <c r="AC885" s="277"/>
      <c r="AD885" s="277"/>
    </row>
    <row r="886" ht="12.75" customHeight="1">
      <c r="A886" s="277"/>
      <c r="B886" s="278"/>
      <c r="C886" s="279"/>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409"/>
      <c r="Z886" s="410"/>
      <c r="AA886" s="277"/>
      <c r="AB886" s="277"/>
      <c r="AC886" s="277"/>
      <c r="AD886" s="277"/>
    </row>
    <row r="887" ht="12.75" customHeight="1">
      <c r="A887" s="277"/>
      <c r="B887" s="278"/>
      <c r="C887" s="279"/>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409"/>
      <c r="Z887" s="410"/>
      <c r="AA887" s="277"/>
      <c r="AB887" s="277"/>
      <c r="AC887" s="277"/>
      <c r="AD887" s="277"/>
    </row>
    <row r="888" ht="12.75" customHeight="1">
      <c r="A888" s="277"/>
      <c r="B888" s="278"/>
      <c r="C888" s="279"/>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409"/>
      <c r="Z888" s="410"/>
      <c r="AA888" s="277"/>
      <c r="AB888" s="277"/>
      <c r="AC888" s="277"/>
      <c r="AD888" s="277"/>
    </row>
    <row r="889" ht="12.75" customHeight="1">
      <c r="A889" s="277"/>
      <c r="B889" s="278"/>
      <c r="C889" s="279"/>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409"/>
      <c r="Z889" s="410"/>
      <c r="AA889" s="277"/>
      <c r="AB889" s="277"/>
      <c r="AC889" s="277"/>
      <c r="AD889" s="277"/>
    </row>
    <row r="890" ht="12.75" customHeight="1">
      <c r="A890" s="277"/>
      <c r="B890" s="278"/>
      <c r="C890" s="279"/>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409"/>
      <c r="Z890" s="410"/>
      <c r="AA890" s="277"/>
      <c r="AB890" s="277"/>
      <c r="AC890" s="277"/>
      <c r="AD890" s="277"/>
    </row>
    <row r="891" ht="12.75" customHeight="1">
      <c r="A891" s="277"/>
      <c r="B891" s="278"/>
      <c r="C891" s="279"/>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409"/>
      <c r="Z891" s="410"/>
      <c r="AA891" s="277"/>
      <c r="AB891" s="277"/>
      <c r="AC891" s="277"/>
      <c r="AD891" s="277"/>
    </row>
    <row r="892" ht="12.75" customHeight="1">
      <c r="A892" s="277"/>
      <c r="B892" s="278"/>
      <c r="C892" s="279"/>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409"/>
      <c r="Z892" s="410"/>
      <c r="AA892" s="277"/>
      <c r="AB892" s="277"/>
      <c r="AC892" s="277"/>
      <c r="AD892" s="277"/>
    </row>
    <row r="893" ht="12.75" customHeight="1">
      <c r="A893" s="277"/>
      <c r="B893" s="278"/>
      <c r="C893" s="279"/>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409"/>
      <c r="Z893" s="410"/>
      <c r="AA893" s="277"/>
      <c r="AB893" s="277"/>
      <c r="AC893" s="277"/>
      <c r="AD893" s="277"/>
    </row>
    <row r="894" ht="12.75" customHeight="1">
      <c r="A894" s="277"/>
      <c r="B894" s="278"/>
      <c r="C894" s="279"/>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409"/>
      <c r="Z894" s="410"/>
      <c r="AA894" s="277"/>
      <c r="AB894" s="277"/>
      <c r="AC894" s="277"/>
      <c r="AD894" s="277"/>
    </row>
    <row r="895" ht="12.75" customHeight="1">
      <c r="A895" s="277"/>
      <c r="B895" s="278"/>
      <c r="C895" s="279"/>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409"/>
      <c r="Z895" s="410"/>
      <c r="AA895" s="277"/>
      <c r="AB895" s="277"/>
      <c r="AC895" s="277"/>
      <c r="AD895" s="277"/>
    </row>
    <row r="896" ht="12.75" customHeight="1">
      <c r="A896" s="277"/>
      <c r="B896" s="278"/>
      <c r="C896" s="279"/>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409"/>
      <c r="Z896" s="410"/>
      <c r="AA896" s="277"/>
      <c r="AB896" s="277"/>
      <c r="AC896" s="277"/>
      <c r="AD896" s="277"/>
    </row>
    <row r="897" ht="12.75" customHeight="1">
      <c r="A897" s="277"/>
      <c r="B897" s="278"/>
      <c r="C897" s="279"/>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409"/>
      <c r="Z897" s="410"/>
      <c r="AA897" s="277"/>
      <c r="AB897" s="277"/>
      <c r="AC897" s="277"/>
      <c r="AD897" s="277"/>
    </row>
    <row r="898" ht="12.75" customHeight="1">
      <c r="A898" s="277"/>
      <c r="B898" s="278"/>
      <c r="C898" s="279"/>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409"/>
      <c r="Z898" s="410"/>
      <c r="AA898" s="277"/>
      <c r="AB898" s="277"/>
      <c r="AC898" s="277"/>
      <c r="AD898" s="277"/>
    </row>
    <row r="899" ht="12.75" customHeight="1">
      <c r="A899" s="277"/>
      <c r="B899" s="278"/>
      <c r="C899" s="279"/>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409"/>
      <c r="Z899" s="410"/>
      <c r="AA899" s="277"/>
      <c r="AB899" s="277"/>
      <c r="AC899" s="277"/>
      <c r="AD899" s="277"/>
    </row>
    <row r="900" ht="12.75" customHeight="1">
      <c r="A900" s="277"/>
      <c r="B900" s="278"/>
      <c r="C900" s="279"/>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409"/>
      <c r="Z900" s="410"/>
      <c r="AA900" s="277"/>
      <c r="AB900" s="277"/>
      <c r="AC900" s="277"/>
      <c r="AD900" s="277"/>
    </row>
    <row r="901" ht="12.75" customHeight="1">
      <c r="A901" s="277"/>
      <c r="B901" s="278"/>
      <c r="C901" s="279"/>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409"/>
      <c r="Z901" s="410"/>
      <c r="AA901" s="277"/>
      <c r="AB901" s="277"/>
      <c r="AC901" s="277"/>
      <c r="AD901" s="277"/>
    </row>
    <row r="902" ht="12.75" customHeight="1">
      <c r="A902" s="277"/>
      <c r="B902" s="278"/>
      <c r="C902" s="279"/>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409"/>
      <c r="Z902" s="410"/>
      <c r="AA902" s="277"/>
      <c r="AB902" s="277"/>
      <c r="AC902" s="277"/>
      <c r="AD902" s="277"/>
    </row>
    <row r="903" ht="12.75" customHeight="1">
      <c r="A903" s="277"/>
      <c r="B903" s="278"/>
      <c r="C903" s="279"/>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409"/>
      <c r="Z903" s="410"/>
      <c r="AA903" s="277"/>
      <c r="AB903" s="277"/>
      <c r="AC903" s="277"/>
      <c r="AD903" s="277"/>
    </row>
    <row r="904" ht="12.75" customHeight="1">
      <c r="A904" s="277"/>
      <c r="B904" s="278"/>
      <c r="C904" s="279"/>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409"/>
      <c r="Z904" s="410"/>
      <c r="AA904" s="277"/>
      <c r="AB904" s="277"/>
      <c r="AC904" s="277"/>
      <c r="AD904" s="277"/>
    </row>
    <row r="905" ht="12.75" customHeight="1">
      <c r="A905" s="277"/>
      <c r="B905" s="278"/>
      <c r="C905" s="279"/>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409"/>
      <c r="Z905" s="410"/>
      <c r="AA905" s="277"/>
      <c r="AB905" s="277"/>
      <c r="AC905" s="277"/>
      <c r="AD905" s="277"/>
    </row>
    <row r="906" ht="12.75" customHeight="1">
      <c r="A906" s="277"/>
      <c r="B906" s="278"/>
      <c r="C906" s="279"/>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409"/>
      <c r="Z906" s="410"/>
      <c r="AA906" s="277"/>
      <c r="AB906" s="277"/>
      <c r="AC906" s="277"/>
      <c r="AD906" s="277"/>
    </row>
    <row r="907" ht="12.75" customHeight="1">
      <c r="A907" s="277"/>
      <c r="B907" s="278"/>
      <c r="C907" s="279"/>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409"/>
      <c r="Z907" s="410"/>
      <c r="AA907" s="277"/>
      <c r="AB907" s="277"/>
      <c r="AC907" s="277"/>
      <c r="AD907" s="277"/>
    </row>
    <row r="908" ht="12.75" customHeight="1">
      <c r="A908" s="277"/>
      <c r="B908" s="278"/>
      <c r="C908" s="279"/>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409"/>
      <c r="Z908" s="410"/>
      <c r="AA908" s="277"/>
      <c r="AB908" s="277"/>
      <c r="AC908" s="277"/>
      <c r="AD908" s="277"/>
    </row>
    <row r="909" ht="12.75" customHeight="1">
      <c r="A909" s="277"/>
      <c r="B909" s="278"/>
      <c r="C909" s="279"/>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409"/>
      <c r="Z909" s="410"/>
      <c r="AA909" s="277"/>
      <c r="AB909" s="277"/>
      <c r="AC909" s="277"/>
      <c r="AD909" s="277"/>
    </row>
    <row r="910" ht="12.75" customHeight="1">
      <c r="A910" s="277"/>
      <c r="B910" s="278"/>
      <c r="C910" s="279"/>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409"/>
      <c r="Z910" s="410"/>
      <c r="AA910" s="277"/>
      <c r="AB910" s="277"/>
      <c r="AC910" s="277"/>
      <c r="AD910" s="277"/>
    </row>
    <row r="911" ht="12.75" customHeight="1">
      <c r="A911" s="277"/>
      <c r="B911" s="278"/>
      <c r="C911" s="279"/>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409"/>
      <c r="Z911" s="410"/>
      <c r="AA911" s="277"/>
      <c r="AB911" s="277"/>
      <c r="AC911" s="277"/>
      <c r="AD911" s="277"/>
    </row>
    <row r="912" ht="12.75" customHeight="1">
      <c r="A912" s="277"/>
      <c r="B912" s="278"/>
      <c r="C912" s="279"/>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409"/>
      <c r="Z912" s="410"/>
      <c r="AA912" s="277"/>
      <c r="AB912" s="277"/>
      <c r="AC912" s="277"/>
      <c r="AD912" s="277"/>
    </row>
    <row r="913" ht="12.75" customHeight="1">
      <c r="A913" s="277"/>
      <c r="B913" s="278"/>
      <c r="C913" s="279"/>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409"/>
      <c r="Z913" s="410"/>
      <c r="AA913" s="277"/>
      <c r="AB913" s="277"/>
      <c r="AC913" s="277"/>
      <c r="AD913" s="277"/>
    </row>
    <row r="914" ht="12.75" customHeight="1">
      <c r="A914" s="277"/>
      <c r="B914" s="278"/>
      <c r="C914" s="279"/>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409"/>
      <c r="Z914" s="410"/>
      <c r="AA914" s="277"/>
      <c r="AB914" s="277"/>
      <c r="AC914" s="277"/>
      <c r="AD914" s="277"/>
    </row>
    <row r="915" ht="12.75" customHeight="1">
      <c r="A915" s="277"/>
      <c r="B915" s="278"/>
      <c r="C915" s="279"/>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409"/>
      <c r="Z915" s="410"/>
      <c r="AA915" s="277"/>
      <c r="AB915" s="277"/>
      <c r="AC915" s="277"/>
      <c r="AD915" s="277"/>
    </row>
    <row r="916" ht="12.75" customHeight="1">
      <c r="A916" s="277"/>
      <c r="B916" s="278"/>
      <c r="C916" s="279"/>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409"/>
      <c r="Z916" s="410"/>
      <c r="AA916" s="277"/>
      <c r="AB916" s="277"/>
      <c r="AC916" s="277"/>
      <c r="AD916" s="277"/>
    </row>
    <row r="917" ht="12.75" customHeight="1">
      <c r="A917" s="277"/>
      <c r="B917" s="278"/>
      <c r="C917" s="279"/>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409"/>
      <c r="Z917" s="410"/>
      <c r="AA917" s="277"/>
      <c r="AB917" s="277"/>
      <c r="AC917" s="277"/>
      <c r="AD917" s="277"/>
    </row>
    <row r="918" ht="12.75" customHeight="1">
      <c r="A918" s="277"/>
      <c r="B918" s="278"/>
      <c r="C918" s="279"/>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409"/>
      <c r="Z918" s="410"/>
      <c r="AA918" s="277"/>
      <c r="AB918" s="277"/>
      <c r="AC918" s="277"/>
      <c r="AD918" s="277"/>
    </row>
    <row r="919" ht="12.75" customHeight="1">
      <c r="A919" s="277"/>
      <c r="B919" s="278"/>
      <c r="C919" s="279"/>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409"/>
      <c r="Z919" s="410"/>
      <c r="AA919" s="277"/>
      <c r="AB919" s="277"/>
      <c r="AC919" s="277"/>
      <c r="AD919" s="277"/>
    </row>
    <row r="920" ht="12.75" customHeight="1">
      <c r="A920" s="277"/>
      <c r="B920" s="278"/>
      <c r="C920" s="279"/>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409"/>
      <c r="Z920" s="410"/>
      <c r="AA920" s="277"/>
      <c r="AB920" s="277"/>
      <c r="AC920" s="277"/>
      <c r="AD920" s="277"/>
    </row>
    <row r="921" ht="12.75" customHeight="1">
      <c r="A921" s="277"/>
      <c r="B921" s="278"/>
      <c r="C921" s="279"/>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409"/>
      <c r="Z921" s="410"/>
      <c r="AA921" s="277"/>
      <c r="AB921" s="277"/>
      <c r="AC921" s="277"/>
      <c r="AD921" s="277"/>
    </row>
    <row r="922" ht="12.75" customHeight="1">
      <c r="A922" s="277"/>
      <c r="B922" s="278"/>
      <c r="C922" s="279"/>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409"/>
      <c r="Z922" s="410"/>
      <c r="AA922" s="277"/>
      <c r="AB922" s="277"/>
      <c r="AC922" s="277"/>
      <c r="AD922" s="277"/>
    </row>
    <row r="923" ht="12.75" customHeight="1">
      <c r="A923" s="277"/>
      <c r="B923" s="278"/>
      <c r="C923" s="279"/>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409"/>
      <c r="Z923" s="410"/>
      <c r="AA923" s="277"/>
      <c r="AB923" s="277"/>
      <c r="AC923" s="277"/>
      <c r="AD923" s="277"/>
    </row>
    <row r="924" ht="12.75" customHeight="1">
      <c r="A924" s="277"/>
      <c r="B924" s="278"/>
      <c r="C924" s="279"/>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409"/>
      <c r="Z924" s="410"/>
      <c r="AA924" s="277"/>
      <c r="AB924" s="277"/>
      <c r="AC924" s="277"/>
      <c r="AD924" s="277"/>
    </row>
    <row r="925" ht="12.75" customHeight="1">
      <c r="A925" s="277"/>
      <c r="B925" s="278"/>
      <c r="C925" s="279"/>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409"/>
      <c r="Z925" s="410"/>
      <c r="AA925" s="277"/>
      <c r="AB925" s="277"/>
      <c r="AC925" s="277"/>
      <c r="AD925" s="277"/>
    </row>
    <row r="926" ht="12.75" customHeight="1">
      <c r="A926" s="277"/>
      <c r="B926" s="278"/>
      <c r="C926" s="279"/>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409"/>
      <c r="Z926" s="410"/>
      <c r="AA926" s="277"/>
      <c r="AB926" s="277"/>
      <c r="AC926" s="277"/>
      <c r="AD926" s="277"/>
    </row>
    <row r="927" ht="12.75" customHeight="1">
      <c r="A927" s="277"/>
      <c r="B927" s="278"/>
      <c r="C927" s="279"/>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409"/>
      <c r="Z927" s="410"/>
      <c r="AA927" s="277"/>
      <c r="AB927" s="277"/>
      <c r="AC927" s="277"/>
      <c r="AD927" s="277"/>
    </row>
    <row r="928" ht="12.75" customHeight="1">
      <c r="A928" s="277"/>
      <c r="B928" s="278"/>
      <c r="C928" s="279"/>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409"/>
      <c r="Z928" s="410"/>
      <c r="AA928" s="277"/>
      <c r="AB928" s="277"/>
      <c r="AC928" s="277"/>
      <c r="AD928" s="277"/>
    </row>
    <row r="929" ht="12.75" customHeight="1">
      <c r="A929" s="277"/>
      <c r="B929" s="278"/>
      <c r="C929" s="279"/>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409"/>
      <c r="Z929" s="410"/>
      <c r="AA929" s="277"/>
      <c r="AB929" s="277"/>
      <c r="AC929" s="277"/>
      <c r="AD929" s="277"/>
    </row>
    <row r="930" ht="12.75" customHeight="1">
      <c r="A930" s="277"/>
      <c r="B930" s="278"/>
      <c r="C930" s="279"/>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409"/>
      <c r="Z930" s="410"/>
      <c r="AA930" s="277"/>
      <c r="AB930" s="277"/>
      <c r="AC930" s="277"/>
      <c r="AD930" s="277"/>
    </row>
    <row r="931" ht="12.75" customHeight="1">
      <c r="A931" s="277"/>
      <c r="B931" s="278"/>
      <c r="C931" s="279"/>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409"/>
      <c r="Z931" s="410"/>
      <c r="AA931" s="277"/>
      <c r="AB931" s="277"/>
      <c r="AC931" s="277"/>
      <c r="AD931" s="277"/>
    </row>
    <row r="932" ht="12.75" customHeight="1">
      <c r="A932" s="277"/>
      <c r="B932" s="278"/>
      <c r="C932" s="279"/>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409"/>
      <c r="Z932" s="410"/>
      <c r="AA932" s="277"/>
      <c r="AB932" s="277"/>
      <c r="AC932" s="277"/>
      <c r="AD932" s="277"/>
    </row>
    <row r="933" ht="12.75" customHeight="1">
      <c r="A933" s="277"/>
      <c r="B933" s="278"/>
      <c r="C933" s="279"/>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409"/>
      <c r="Z933" s="410"/>
      <c r="AA933" s="277"/>
      <c r="AB933" s="277"/>
      <c r="AC933" s="277"/>
      <c r="AD933" s="277"/>
    </row>
    <row r="934" ht="12.75" customHeight="1">
      <c r="A934" s="277"/>
      <c r="B934" s="278"/>
      <c r="C934" s="279"/>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409"/>
      <c r="Z934" s="410"/>
      <c r="AA934" s="277"/>
      <c r="AB934" s="277"/>
      <c r="AC934" s="277"/>
      <c r="AD934" s="277"/>
    </row>
    <row r="935" ht="12.75" customHeight="1">
      <c r="A935" s="277"/>
      <c r="B935" s="278"/>
      <c r="C935" s="279"/>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409"/>
      <c r="Z935" s="410"/>
      <c r="AA935" s="277"/>
      <c r="AB935" s="277"/>
      <c r="AC935" s="277"/>
      <c r="AD935" s="277"/>
    </row>
    <row r="936" ht="12.75" customHeight="1">
      <c r="A936" s="277"/>
      <c r="B936" s="278"/>
      <c r="C936" s="279"/>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409"/>
      <c r="Z936" s="410"/>
      <c r="AA936" s="277"/>
      <c r="AB936" s="277"/>
      <c r="AC936" s="277"/>
      <c r="AD936" s="277"/>
    </row>
    <row r="937" ht="12.75" customHeight="1">
      <c r="A937" s="277"/>
      <c r="B937" s="278"/>
      <c r="C937" s="279"/>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409"/>
      <c r="Z937" s="410"/>
      <c r="AA937" s="277"/>
      <c r="AB937" s="277"/>
      <c r="AC937" s="277"/>
      <c r="AD937" s="277"/>
    </row>
    <row r="938" ht="12.75" customHeight="1">
      <c r="A938" s="277"/>
      <c r="B938" s="278"/>
      <c r="C938" s="279"/>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409"/>
      <c r="Z938" s="410"/>
      <c r="AA938" s="277"/>
      <c r="AB938" s="277"/>
      <c r="AC938" s="277"/>
      <c r="AD938" s="277"/>
    </row>
    <row r="939" ht="12.75" customHeight="1">
      <c r="A939" s="277"/>
      <c r="B939" s="278"/>
      <c r="C939" s="279"/>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409"/>
      <c r="Z939" s="410"/>
      <c r="AA939" s="277"/>
      <c r="AB939" s="277"/>
      <c r="AC939" s="277"/>
      <c r="AD939" s="277"/>
    </row>
    <row r="940" ht="12.75" customHeight="1">
      <c r="A940" s="277"/>
      <c r="B940" s="278"/>
      <c r="C940" s="279"/>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409"/>
      <c r="Z940" s="410"/>
      <c r="AA940" s="277"/>
      <c r="AB940" s="277"/>
      <c r="AC940" s="277"/>
      <c r="AD940" s="277"/>
    </row>
    <row r="941" ht="12.75" customHeight="1">
      <c r="A941" s="277"/>
      <c r="B941" s="278"/>
      <c r="C941" s="279"/>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409"/>
      <c r="Z941" s="410"/>
      <c r="AA941" s="277"/>
      <c r="AB941" s="277"/>
      <c r="AC941" s="277"/>
      <c r="AD941" s="277"/>
    </row>
    <row r="942" ht="12.75" customHeight="1">
      <c r="A942" s="277"/>
      <c r="B942" s="278"/>
      <c r="C942" s="279"/>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409"/>
      <c r="Z942" s="410"/>
      <c r="AA942" s="277"/>
      <c r="AB942" s="277"/>
      <c r="AC942" s="277"/>
      <c r="AD942" s="277"/>
    </row>
    <row r="943" ht="12.75" customHeight="1">
      <c r="A943" s="277"/>
      <c r="B943" s="278"/>
      <c r="C943" s="279"/>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409"/>
      <c r="Z943" s="410"/>
      <c r="AA943" s="277"/>
      <c r="AB943" s="277"/>
      <c r="AC943" s="277"/>
      <c r="AD943" s="277"/>
    </row>
    <row r="944" ht="12.75" customHeight="1">
      <c r="A944" s="277"/>
      <c r="B944" s="278"/>
      <c r="C944" s="279"/>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409"/>
      <c r="Z944" s="410"/>
      <c r="AA944" s="277"/>
      <c r="AB944" s="277"/>
      <c r="AC944" s="277"/>
      <c r="AD944" s="277"/>
    </row>
    <row r="945" ht="12.75" customHeight="1">
      <c r="A945" s="277"/>
      <c r="B945" s="278"/>
      <c r="C945" s="279"/>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409"/>
      <c r="Z945" s="410"/>
      <c r="AA945" s="277"/>
      <c r="AB945" s="277"/>
      <c r="AC945" s="277"/>
      <c r="AD945" s="277"/>
    </row>
    <row r="946" ht="12.75" customHeight="1">
      <c r="A946" s="277"/>
      <c r="B946" s="278"/>
      <c r="C946" s="279"/>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409"/>
      <c r="Z946" s="410"/>
      <c r="AA946" s="277"/>
      <c r="AB946" s="277"/>
      <c r="AC946" s="277"/>
      <c r="AD946" s="277"/>
    </row>
    <row r="947" ht="12.75" customHeight="1">
      <c r="A947" s="277"/>
      <c r="B947" s="278"/>
      <c r="C947" s="279"/>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409"/>
      <c r="Z947" s="410"/>
      <c r="AA947" s="277"/>
      <c r="AB947" s="277"/>
      <c r="AC947" s="277"/>
      <c r="AD947" s="277"/>
    </row>
    <row r="948" ht="12.75" customHeight="1">
      <c r="A948" s="277"/>
      <c r="B948" s="278"/>
      <c r="C948" s="279"/>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409"/>
      <c r="Z948" s="410"/>
      <c r="AA948" s="277"/>
      <c r="AB948" s="277"/>
      <c r="AC948" s="277"/>
      <c r="AD948" s="277"/>
    </row>
    <row r="949" ht="12.75" customHeight="1">
      <c r="A949" s="277"/>
      <c r="B949" s="278"/>
      <c r="C949" s="279"/>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409"/>
      <c r="Z949" s="410"/>
      <c r="AA949" s="277"/>
      <c r="AB949" s="277"/>
      <c r="AC949" s="277"/>
      <c r="AD949" s="277"/>
    </row>
    <row r="950" ht="12.75" customHeight="1">
      <c r="A950" s="277"/>
      <c r="B950" s="278"/>
      <c r="C950" s="279"/>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409"/>
      <c r="Z950" s="410"/>
      <c r="AA950" s="277"/>
      <c r="AB950" s="277"/>
      <c r="AC950" s="277"/>
      <c r="AD950" s="277"/>
    </row>
    <row r="951" ht="12.75" customHeight="1">
      <c r="A951" s="277"/>
      <c r="B951" s="278"/>
      <c r="C951" s="279"/>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409"/>
      <c r="Z951" s="410"/>
      <c r="AA951" s="277"/>
      <c r="AB951" s="277"/>
      <c r="AC951" s="277"/>
      <c r="AD951" s="277"/>
    </row>
    <row r="952" ht="12.75" customHeight="1">
      <c r="A952" s="277"/>
      <c r="B952" s="278"/>
      <c r="C952" s="279"/>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409"/>
      <c r="Z952" s="410"/>
      <c r="AA952" s="277"/>
      <c r="AB952" s="277"/>
      <c r="AC952" s="277"/>
      <c r="AD952" s="277"/>
    </row>
    <row r="953" ht="12.75" customHeight="1">
      <c r="A953" s="277"/>
      <c r="B953" s="278"/>
      <c r="C953" s="279"/>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409"/>
      <c r="Z953" s="410"/>
      <c r="AA953" s="277"/>
      <c r="AB953" s="277"/>
      <c r="AC953" s="277"/>
      <c r="AD953" s="277"/>
    </row>
    <row r="954" ht="12.75" customHeight="1">
      <c r="A954" s="277"/>
      <c r="B954" s="278"/>
      <c r="C954" s="279"/>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409"/>
      <c r="Z954" s="410"/>
      <c r="AA954" s="277"/>
      <c r="AB954" s="277"/>
      <c r="AC954" s="277"/>
      <c r="AD954" s="277"/>
    </row>
    <row r="955" ht="12.75" customHeight="1">
      <c r="A955" s="277"/>
      <c r="B955" s="278"/>
      <c r="C955" s="279"/>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409"/>
      <c r="Z955" s="410"/>
      <c r="AA955" s="277"/>
      <c r="AB955" s="277"/>
      <c r="AC955" s="277"/>
      <c r="AD955" s="277"/>
    </row>
    <row r="956" ht="12.75" customHeight="1">
      <c r="A956" s="277"/>
      <c r="B956" s="278"/>
      <c r="C956" s="279"/>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409"/>
      <c r="Z956" s="410"/>
      <c r="AA956" s="277"/>
      <c r="AB956" s="277"/>
      <c r="AC956" s="277"/>
      <c r="AD956" s="277"/>
    </row>
    <row r="957" ht="12.75" customHeight="1">
      <c r="A957" s="277"/>
      <c r="B957" s="278"/>
      <c r="C957" s="279"/>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409"/>
      <c r="Z957" s="410"/>
      <c r="AA957" s="277"/>
      <c r="AB957" s="277"/>
      <c r="AC957" s="277"/>
      <c r="AD957" s="277"/>
    </row>
    <row r="958" ht="12.75" customHeight="1">
      <c r="A958" s="277"/>
      <c r="B958" s="278"/>
      <c r="C958" s="279"/>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409"/>
      <c r="Z958" s="410"/>
      <c r="AA958" s="277"/>
      <c r="AB958" s="277"/>
      <c r="AC958" s="277"/>
      <c r="AD958" s="277"/>
    </row>
    <row r="959" ht="12.75" customHeight="1">
      <c r="A959" s="277"/>
      <c r="B959" s="278"/>
      <c r="C959" s="279"/>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409"/>
      <c r="Z959" s="410"/>
      <c r="AA959" s="277"/>
      <c r="AB959" s="277"/>
      <c r="AC959" s="277"/>
      <c r="AD959" s="277"/>
    </row>
    <row r="960" ht="12.75" customHeight="1">
      <c r="A960" s="277"/>
      <c r="B960" s="278"/>
      <c r="C960" s="279"/>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409"/>
      <c r="Z960" s="410"/>
      <c r="AA960" s="277"/>
      <c r="AB960" s="277"/>
      <c r="AC960" s="277"/>
      <c r="AD960" s="277"/>
    </row>
    <row r="961" ht="12.75" customHeight="1">
      <c r="A961" s="277"/>
      <c r="B961" s="278"/>
      <c r="C961" s="279"/>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409"/>
      <c r="Z961" s="410"/>
      <c r="AA961" s="277"/>
      <c r="AB961" s="277"/>
      <c r="AC961" s="277"/>
      <c r="AD961" s="277"/>
    </row>
    <row r="962" ht="12.75" customHeight="1">
      <c r="A962" s="277"/>
      <c r="B962" s="278"/>
      <c r="C962" s="279"/>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409"/>
      <c r="Z962" s="410"/>
      <c r="AA962" s="277"/>
      <c r="AB962" s="277"/>
      <c r="AC962" s="277"/>
      <c r="AD962" s="277"/>
    </row>
    <row r="963" ht="12.75" customHeight="1">
      <c r="A963" s="277"/>
      <c r="B963" s="278"/>
      <c r="C963" s="279"/>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409"/>
      <c r="Z963" s="410"/>
      <c r="AA963" s="277"/>
      <c r="AB963" s="277"/>
      <c r="AC963" s="277"/>
      <c r="AD963" s="277"/>
    </row>
    <row r="964" ht="12.75" customHeight="1">
      <c r="A964" s="277"/>
      <c r="B964" s="278"/>
      <c r="C964" s="279"/>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409"/>
      <c r="Z964" s="410"/>
      <c r="AA964" s="277"/>
      <c r="AB964" s="277"/>
      <c r="AC964" s="277"/>
      <c r="AD964" s="277"/>
    </row>
    <row r="965" ht="12.75" customHeight="1">
      <c r="A965" s="277"/>
      <c r="B965" s="278"/>
      <c r="C965" s="279"/>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409"/>
      <c r="Z965" s="410"/>
      <c r="AA965" s="277"/>
      <c r="AB965" s="277"/>
      <c r="AC965" s="277"/>
      <c r="AD965" s="277"/>
    </row>
    <row r="966" ht="12.75" customHeight="1">
      <c r="A966" s="277"/>
      <c r="B966" s="278"/>
      <c r="C966" s="279"/>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409"/>
      <c r="Z966" s="410"/>
      <c r="AA966" s="277"/>
      <c r="AB966" s="277"/>
      <c r="AC966" s="277"/>
      <c r="AD966" s="277"/>
    </row>
    <row r="967" ht="12.75" customHeight="1">
      <c r="A967" s="277"/>
      <c r="B967" s="278"/>
      <c r="C967" s="279"/>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409"/>
      <c r="Z967" s="410"/>
      <c r="AA967" s="277"/>
      <c r="AB967" s="277"/>
      <c r="AC967" s="277"/>
      <c r="AD967" s="277"/>
    </row>
    <row r="968" ht="12.75" customHeight="1">
      <c r="A968" s="277"/>
      <c r="B968" s="278"/>
      <c r="C968" s="279"/>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409"/>
      <c r="Z968" s="410"/>
      <c r="AA968" s="277"/>
      <c r="AB968" s="277"/>
      <c r="AC968" s="277"/>
      <c r="AD968" s="277"/>
    </row>
    <row r="969" ht="12.75" customHeight="1">
      <c r="A969" s="277"/>
      <c r="B969" s="278"/>
      <c r="C969" s="279"/>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409"/>
      <c r="Z969" s="410"/>
      <c r="AA969" s="277"/>
      <c r="AB969" s="277"/>
      <c r="AC969" s="277"/>
      <c r="AD969" s="277"/>
    </row>
    <row r="970" ht="12.75" customHeight="1">
      <c r="A970" s="277"/>
      <c r="B970" s="278"/>
      <c r="C970" s="279"/>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409"/>
      <c r="Z970" s="410"/>
      <c r="AA970" s="277"/>
      <c r="AB970" s="277"/>
      <c r="AC970" s="277"/>
      <c r="AD970" s="277"/>
    </row>
    <row r="971" ht="12.75" customHeight="1">
      <c r="A971" s="277"/>
      <c r="B971" s="278"/>
      <c r="C971" s="279"/>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409"/>
      <c r="Z971" s="410"/>
      <c r="AA971" s="277"/>
      <c r="AB971" s="277"/>
      <c r="AC971" s="277"/>
      <c r="AD971" s="277"/>
    </row>
    <row r="972" ht="12.75" customHeight="1">
      <c r="A972" s="277"/>
      <c r="B972" s="278"/>
      <c r="C972" s="279"/>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409"/>
      <c r="Z972" s="410"/>
      <c r="AA972" s="277"/>
      <c r="AB972" s="277"/>
      <c r="AC972" s="277"/>
      <c r="AD972" s="277"/>
    </row>
    <row r="973" ht="12.75" customHeight="1">
      <c r="A973" s="277"/>
      <c r="B973" s="278"/>
      <c r="C973" s="279"/>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409"/>
      <c r="Z973" s="410"/>
      <c r="AA973" s="277"/>
      <c r="AB973" s="277"/>
      <c r="AC973" s="277"/>
      <c r="AD973" s="277"/>
    </row>
    <row r="974" ht="12.75" customHeight="1">
      <c r="A974" s="277"/>
      <c r="B974" s="278"/>
      <c r="C974" s="279"/>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409"/>
      <c r="Z974" s="410"/>
      <c r="AA974" s="277"/>
      <c r="AB974" s="277"/>
      <c r="AC974" s="277"/>
      <c r="AD974" s="277"/>
    </row>
    <row r="975" ht="12.75" customHeight="1">
      <c r="A975" s="277"/>
      <c r="B975" s="278"/>
      <c r="C975" s="279"/>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409"/>
      <c r="Z975" s="410"/>
      <c r="AA975" s="277"/>
      <c r="AB975" s="277"/>
      <c r="AC975" s="277"/>
      <c r="AD975" s="277"/>
    </row>
    <row r="976" ht="12.75" customHeight="1">
      <c r="A976" s="277"/>
      <c r="B976" s="278"/>
      <c r="C976" s="279"/>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409"/>
      <c r="Z976" s="410"/>
      <c r="AA976" s="277"/>
      <c r="AB976" s="277"/>
      <c r="AC976" s="277"/>
      <c r="AD976" s="277"/>
    </row>
    <row r="977" ht="12.75" customHeight="1">
      <c r="A977" s="277"/>
      <c r="B977" s="278"/>
      <c r="C977" s="279"/>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409"/>
      <c r="Z977" s="410"/>
      <c r="AA977" s="277"/>
      <c r="AB977" s="277"/>
      <c r="AC977" s="277"/>
      <c r="AD977" s="277"/>
    </row>
    <row r="978" ht="12.75" customHeight="1">
      <c r="A978" s="277"/>
      <c r="B978" s="278"/>
      <c r="C978" s="279"/>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409"/>
      <c r="Z978" s="410"/>
      <c r="AA978" s="277"/>
      <c r="AB978" s="277"/>
      <c r="AC978" s="277"/>
      <c r="AD978" s="277"/>
    </row>
    <row r="979" ht="12.75" customHeight="1">
      <c r="A979" s="277"/>
      <c r="B979" s="278"/>
      <c r="C979" s="279"/>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409"/>
      <c r="Z979" s="410"/>
      <c r="AA979" s="277"/>
      <c r="AB979" s="277"/>
      <c r="AC979" s="277"/>
      <c r="AD979" s="277"/>
    </row>
    <row r="980" ht="12.75" customHeight="1">
      <c r="A980" s="277"/>
      <c r="B980" s="278"/>
      <c r="C980" s="279"/>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409"/>
      <c r="Z980" s="410"/>
      <c r="AA980" s="277"/>
      <c r="AB980" s="277"/>
      <c r="AC980" s="277"/>
      <c r="AD980" s="277"/>
    </row>
    <row r="981" ht="12.75" customHeight="1">
      <c r="A981" s="277"/>
      <c r="B981" s="278"/>
      <c r="C981" s="279"/>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409"/>
      <c r="Z981" s="410"/>
      <c r="AA981" s="277"/>
      <c r="AB981" s="277"/>
      <c r="AC981" s="277"/>
      <c r="AD981" s="277"/>
    </row>
    <row r="982" ht="12.75" customHeight="1">
      <c r="A982" s="277"/>
      <c r="B982" s="278"/>
      <c r="C982" s="279"/>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409"/>
      <c r="Z982" s="410"/>
      <c r="AA982" s="277"/>
      <c r="AB982" s="277"/>
      <c r="AC982" s="277"/>
      <c r="AD982" s="277"/>
    </row>
    <row r="983" ht="12.75" customHeight="1">
      <c r="A983" s="277"/>
      <c r="B983" s="278"/>
      <c r="C983" s="279"/>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409"/>
      <c r="Z983" s="410"/>
      <c r="AA983" s="277"/>
      <c r="AB983" s="277"/>
      <c r="AC983" s="277"/>
      <c r="AD983" s="277"/>
    </row>
    <row r="984" ht="12.75" customHeight="1">
      <c r="A984" s="277"/>
      <c r="B984" s="278"/>
      <c r="C984" s="279"/>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409"/>
      <c r="Z984" s="410"/>
      <c r="AA984" s="277"/>
      <c r="AB984" s="277"/>
      <c r="AC984" s="277"/>
      <c r="AD984" s="277"/>
    </row>
    <row r="985" ht="12.75" customHeight="1">
      <c r="A985" s="277"/>
      <c r="B985" s="278"/>
      <c r="C985" s="279"/>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409"/>
      <c r="Z985" s="410"/>
      <c r="AA985" s="277"/>
      <c r="AB985" s="277"/>
      <c r="AC985" s="277"/>
      <c r="AD985" s="277"/>
    </row>
    <row r="986" ht="12.75" customHeight="1">
      <c r="A986" s="277"/>
      <c r="B986" s="278"/>
      <c r="C986" s="279"/>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409"/>
      <c r="Z986" s="410"/>
      <c r="AA986" s="277"/>
      <c r="AB986" s="277"/>
      <c r="AC986" s="277"/>
      <c r="AD986" s="277"/>
    </row>
    <row r="987" ht="12.75" customHeight="1">
      <c r="A987" s="277"/>
      <c r="B987" s="278"/>
      <c r="C987" s="279"/>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409"/>
      <c r="Z987" s="410"/>
      <c r="AA987" s="277"/>
      <c r="AB987" s="277"/>
      <c r="AC987" s="277"/>
      <c r="AD987" s="277"/>
    </row>
    <row r="988" ht="12.75" customHeight="1">
      <c r="A988" s="277"/>
      <c r="B988" s="278"/>
      <c r="C988" s="279"/>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409"/>
      <c r="Z988" s="410"/>
      <c r="AA988" s="277"/>
      <c r="AB988" s="277"/>
      <c r="AC988" s="277"/>
      <c r="AD988" s="277"/>
    </row>
    <row r="989" ht="12.75" customHeight="1">
      <c r="A989" s="277"/>
      <c r="B989" s="278"/>
      <c r="C989" s="279"/>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409"/>
      <c r="Z989" s="410"/>
      <c r="AA989" s="277"/>
      <c r="AB989" s="277"/>
      <c r="AC989" s="277"/>
      <c r="AD989" s="277"/>
    </row>
    <row r="990" ht="12.75" customHeight="1">
      <c r="A990" s="277"/>
      <c r="B990" s="278"/>
      <c r="C990" s="279"/>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409"/>
      <c r="Z990" s="410"/>
      <c r="AA990" s="277"/>
      <c r="AB990" s="277"/>
      <c r="AC990" s="277"/>
      <c r="AD990" s="277"/>
    </row>
    <row r="991" ht="12.75" customHeight="1">
      <c r="A991" s="277"/>
      <c r="B991" s="278"/>
      <c r="C991" s="279"/>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409"/>
      <c r="Z991" s="410"/>
      <c r="AA991" s="277"/>
      <c r="AB991" s="277"/>
      <c r="AC991" s="277"/>
      <c r="AD991" s="277"/>
    </row>
    <row r="992" ht="12.75" customHeight="1">
      <c r="A992" s="277"/>
      <c r="B992" s="278"/>
      <c r="C992" s="279"/>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409"/>
      <c r="Z992" s="410"/>
      <c r="AA992" s="277"/>
      <c r="AB992" s="277"/>
      <c r="AC992" s="277"/>
      <c r="AD992" s="277"/>
    </row>
    <row r="993" ht="12.75" customHeight="1">
      <c r="A993" s="277"/>
      <c r="B993" s="278"/>
      <c r="C993" s="279"/>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409"/>
      <c r="Z993" s="410"/>
      <c r="AA993" s="277"/>
      <c r="AB993" s="277"/>
      <c r="AC993" s="277"/>
      <c r="AD993" s="277"/>
    </row>
    <row r="994" ht="12.75" customHeight="1">
      <c r="A994" s="277"/>
      <c r="B994" s="278"/>
      <c r="C994" s="279"/>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409"/>
      <c r="Z994" s="410"/>
      <c r="AA994" s="277"/>
      <c r="AB994" s="277"/>
      <c r="AC994" s="277"/>
      <c r="AD994" s="277"/>
    </row>
    <row r="995" ht="12.75" customHeight="1">
      <c r="A995" s="277"/>
      <c r="B995" s="278"/>
      <c r="C995" s="279"/>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409"/>
      <c r="Z995" s="410"/>
      <c r="AA995" s="277"/>
      <c r="AB995" s="277"/>
      <c r="AC995" s="277"/>
      <c r="AD995" s="277"/>
    </row>
    <row r="996" ht="12.75" customHeight="1">
      <c r="A996" s="277"/>
      <c r="B996" s="278"/>
      <c r="C996" s="279"/>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409"/>
      <c r="Z996" s="410"/>
      <c r="AA996" s="277"/>
      <c r="AB996" s="277"/>
      <c r="AC996" s="277"/>
      <c r="AD996" s="277"/>
    </row>
    <row r="997" ht="12.75" customHeight="1">
      <c r="A997" s="277"/>
      <c r="B997" s="278"/>
      <c r="C997" s="279"/>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409"/>
      <c r="Z997" s="410"/>
      <c r="AA997" s="277"/>
      <c r="AB997" s="277"/>
      <c r="AC997" s="277"/>
      <c r="AD997" s="277"/>
    </row>
    <row r="998" ht="12.75" customHeight="1">
      <c r="A998" s="277"/>
      <c r="B998" s="278"/>
      <c r="C998" s="279"/>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409"/>
      <c r="Z998" s="410"/>
      <c r="AA998" s="277"/>
      <c r="AB998" s="277"/>
      <c r="AC998" s="277"/>
      <c r="AD998" s="277"/>
    </row>
    <row r="999" ht="12.75" customHeight="1">
      <c r="A999" s="277"/>
      <c r="B999" s="278"/>
      <c r="C999" s="279"/>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409"/>
      <c r="Z999" s="410"/>
      <c r="AA999" s="277"/>
      <c r="AB999" s="277"/>
      <c r="AC999" s="277"/>
      <c r="AD999" s="277"/>
    </row>
    <row r="1000" ht="12.75" customHeight="1">
      <c r="A1000" s="277"/>
      <c r="B1000" s="278"/>
      <c r="C1000" s="279"/>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409"/>
      <c r="Z1000" s="410"/>
      <c r="AA1000" s="277"/>
      <c r="AB1000" s="277"/>
      <c r="AC1000" s="277"/>
      <c r="AD1000" s="277"/>
    </row>
  </sheetData>
  <mergeCells count="16">
    <mergeCell ref="E5:H6"/>
    <mergeCell ref="I5:L5"/>
    <mergeCell ref="I6:L6"/>
    <mergeCell ref="M5:P5"/>
    <mergeCell ref="Q5:T5"/>
    <mergeCell ref="U5:X5"/>
    <mergeCell ref="M6:P6"/>
    <mergeCell ref="Q6:T6"/>
    <mergeCell ref="U6:X6"/>
    <mergeCell ref="B4:B6"/>
    <mergeCell ref="C4:D4"/>
    <mergeCell ref="E4:H4"/>
    <mergeCell ref="I4:T4"/>
    <mergeCell ref="U4:X4"/>
    <mergeCell ref="Z4:Z6"/>
    <mergeCell ref="A5:A6"/>
  </mergeCells>
  <conditionalFormatting sqref="E12:X19 E21:X37 E39:X55 E57:X73 F11:X11">
    <cfRule type="cellIs" dxfId="8" priority="1" operator="equal">
      <formula>0</formula>
    </cfRule>
  </conditionalFormatting>
  <conditionalFormatting sqref="E12:X19 E21:X37 E39:X55 E57:X73 F11:X11">
    <cfRule type="cellIs" dxfId="1" priority="2" operator="greaterThan">
      <formula>100</formula>
    </cfRule>
  </conditionalFormatting>
  <conditionalFormatting sqref="E12:X19 E21:X37 E39:X55 E57:X73 F11:X11">
    <cfRule type="cellIs" dxfId="2" priority="3" operator="between">
      <formula>10</formula>
      <formula>100</formula>
    </cfRule>
  </conditionalFormatting>
  <conditionalFormatting sqref="E12:X19 E21:X37 E39:X55 E57:X73 F11:X11">
    <cfRule type="cellIs" dxfId="6" priority="4" operator="between">
      <formula>1</formula>
      <formula>10</formula>
    </cfRule>
  </conditionalFormatting>
  <conditionalFormatting sqref="E12:X19 E21:X37 E39:X55 E57:X73 F11:X11">
    <cfRule type="cellIs" dxfId="7" priority="5" operator="lessThan">
      <formula>1</formula>
    </cfRule>
  </conditionalFormatting>
  <conditionalFormatting sqref="E11">
    <cfRule type="cellIs" dxfId="0" priority="6" operator="equal">
      <formula>0</formula>
    </cfRule>
  </conditionalFormatting>
  <conditionalFormatting sqref="E11">
    <cfRule type="cellIs" dxfId="1" priority="7" operator="greaterThan">
      <formula>100</formula>
    </cfRule>
  </conditionalFormatting>
  <conditionalFormatting sqref="E11">
    <cfRule type="cellIs" dxfId="5" priority="8" operator="between">
      <formula>10</formula>
      <formula>100</formula>
    </cfRule>
  </conditionalFormatting>
  <conditionalFormatting sqref="E11">
    <cfRule type="cellIs" dxfId="6" priority="9" operator="between">
      <formula>1</formula>
      <formula>10</formula>
    </cfRule>
  </conditionalFormatting>
  <conditionalFormatting sqref="E11">
    <cfRule type="cellIs" dxfId="7" priority="10" operator="lessThan">
      <formula>1</formula>
    </cfRule>
  </conditionalFormatting>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82.86"/>
    <col customWidth="1" min="3" max="3" width="10.0"/>
    <col customWidth="1" min="4" max="4" width="6.57"/>
    <col customWidth="1" min="5" max="5" width="14.0"/>
    <col customWidth="1" min="6" max="6" width="15.57"/>
    <col customWidth="1" min="7" max="7" width="46.29"/>
    <col customWidth="1" min="8" max="8" width="18.86"/>
    <col customWidth="1" min="9" max="9" width="31.0"/>
    <col customWidth="1" min="10" max="10" width="35.71"/>
    <col customWidth="1" min="11" max="11" width="33.71"/>
    <col customWidth="1" min="12" max="12" width="41.57"/>
    <col customWidth="1" min="13" max="13" width="46.29"/>
    <col customWidth="1" min="14" max="14" width="44.29"/>
    <col customWidth="1" min="15" max="15" width="36.57"/>
    <col customWidth="1" min="16" max="16" width="41.43"/>
    <col customWidth="1" min="17" max="17" width="39.29"/>
    <col customWidth="1" min="18" max="18" width="38.86"/>
    <col customWidth="1" min="19" max="19" width="43.57"/>
    <col customWidth="1" min="20" max="20" width="41.57"/>
    <col customWidth="1" min="21" max="21" width="32.71"/>
    <col customWidth="1" min="22" max="22" width="37.71"/>
    <col customWidth="1" min="23" max="23" width="36.14"/>
    <col customWidth="1" min="24" max="24" width="8.71"/>
    <col customWidth="1" min="25" max="25" width="21.57"/>
    <col customWidth="1" min="26" max="26" width="57.43"/>
    <col customWidth="1" min="27" max="27" width="19.43"/>
  </cols>
  <sheetData>
    <row r="1">
      <c r="A1" s="55" t="s">
        <v>19</v>
      </c>
      <c r="B1" s="55" t="s">
        <v>159</v>
      </c>
      <c r="C1" s="55" t="s">
        <v>160</v>
      </c>
      <c r="D1" s="55" t="s">
        <v>161</v>
      </c>
      <c r="E1" s="55" t="s">
        <v>162</v>
      </c>
      <c r="F1" s="55" t="s">
        <v>163</v>
      </c>
      <c r="G1" s="55" t="s">
        <v>164</v>
      </c>
      <c r="H1" s="55" t="s">
        <v>166</v>
      </c>
      <c r="I1" s="55" t="s">
        <v>167</v>
      </c>
      <c r="J1" s="55" t="s">
        <v>168</v>
      </c>
      <c r="K1" s="55" t="s">
        <v>169</v>
      </c>
      <c r="L1" s="55" t="s">
        <v>170</v>
      </c>
      <c r="M1" s="55" t="s">
        <v>171</v>
      </c>
      <c r="N1" s="55" t="s">
        <v>172</v>
      </c>
      <c r="O1" s="55" t="s">
        <v>173</v>
      </c>
      <c r="P1" s="55" t="s">
        <v>174</v>
      </c>
      <c r="Q1" s="55" t="s">
        <v>175</v>
      </c>
      <c r="R1" s="55" t="s">
        <v>176</v>
      </c>
      <c r="S1" s="55" t="s">
        <v>177</v>
      </c>
      <c r="T1" s="55" t="s">
        <v>178</v>
      </c>
      <c r="U1" s="55" t="s">
        <v>179</v>
      </c>
      <c r="V1" s="55" t="s">
        <v>180</v>
      </c>
      <c r="W1" s="55" t="s">
        <v>181</v>
      </c>
      <c r="X1" s="55" t="s">
        <v>182</v>
      </c>
      <c r="Y1" s="55" t="s">
        <v>183</v>
      </c>
      <c r="Z1" s="55" t="s">
        <v>184</v>
      </c>
      <c r="AA1" s="55" t="s">
        <v>52</v>
      </c>
    </row>
    <row r="2">
      <c r="A2" s="55" t="s">
        <v>3023</v>
      </c>
      <c r="B2" s="55" t="s">
        <v>3023</v>
      </c>
      <c r="F2" s="55" t="s">
        <v>186</v>
      </c>
      <c r="G2" s="55" t="s">
        <v>3024</v>
      </c>
      <c r="I2" s="58" t="s">
        <v>3025</v>
      </c>
      <c r="J2" s="58"/>
      <c r="K2" s="58" t="s">
        <v>3025</v>
      </c>
      <c r="L2" s="58" t="s">
        <v>3026</v>
      </c>
      <c r="M2" s="58"/>
      <c r="N2" s="58" t="s">
        <v>3026</v>
      </c>
      <c r="O2" s="58" t="s">
        <v>3027</v>
      </c>
      <c r="P2" s="58"/>
      <c r="Q2" s="58" t="s">
        <v>3027</v>
      </c>
      <c r="R2" s="58" t="s">
        <v>3028</v>
      </c>
      <c r="S2" s="58"/>
      <c r="T2" s="58" t="s">
        <v>3028</v>
      </c>
      <c r="U2" s="58" t="s">
        <v>559</v>
      </c>
      <c r="V2" s="55" t="s">
        <v>24</v>
      </c>
      <c r="X2" s="55" t="s">
        <v>1288</v>
      </c>
      <c r="Y2" s="4" t="s">
        <v>203</v>
      </c>
      <c r="Z2" s="4" t="s">
        <v>204</v>
      </c>
      <c r="AA2" s="414">
        <v>60.0</v>
      </c>
    </row>
    <row r="3">
      <c r="A3" s="55" t="s">
        <v>3029</v>
      </c>
      <c r="B3" s="55" t="s">
        <v>3029</v>
      </c>
      <c r="F3" s="55" t="s">
        <v>186</v>
      </c>
      <c r="G3" s="55" t="s">
        <v>3024</v>
      </c>
      <c r="I3" s="58" t="s">
        <v>3030</v>
      </c>
      <c r="J3" s="58"/>
      <c r="K3" s="58" t="s">
        <v>3030</v>
      </c>
      <c r="L3" s="58" t="s">
        <v>3028</v>
      </c>
      <c r="M3" s="58"/>
      <c r="N3" s="58" t="s">
        <v>3028</v>
      </c>
      <c r="O3" s="58" t="s">
        <v>3031</v>
      </c>
      <c r="P3" s="58"/>
      <c r="Q3" s="58" t="s">
        <v>3031</v>
      </c>
      <c r="R3" s="58" t="s">
        <v>3032</v>
      </c>
      <c r="S3" s="58"/>
      <c r="T3" s="58" t="s">
        <v>3032</v>
      </c>
      <c r="U3" s="58" t="s">
        <v>200</v>
      </c>
      <c r="V3" s="55" t="s">
        <v>201</v>
      </c>
      <c r="X3" s="55" t="s">
        <v>1079</v>
      </c>
      <c r="Y3" s="4" t="s">
        <v>203</v>
      </c>
      <c r="Z3" s="4" t="s">
        <v>204</v>
      </c>
      <c r="AA3" s="414">
        <v>60.0</v>
      </c>
    </row>
    <row r="4">
      <c r="A4" s="55" t="s">
        <v>3033</v>
      </c>
      <c r="B4" s="55" t="s">
        <v>3033</v>
      </c>
      <c r="F4" s="55" t="s">
        <v>186</v>
      </c>
      <c r="G4" s="55" t="s">
        <v>3024</v>
      </c>
      <c r="I4" s="58" t="s">
        <v>3034</v>
      </c>
      <c r="J4" s="58"/>
      <c r="K4" s="58" t="s">
        <v>3034</v>
      </c>
      <c r="L4" s="58" t="s">
        <v>3028</v>
      </c>
      <c r="M4" s="58"/>
      <c r="N4" s="58" t="s">
        <v>3028</v>
      </c>
      <c r="O4" s="58" t="s">
        <v>3035</v>
      </c>
      <c r="P4" s="58"/>
      <c r="Q4" s="58" t="s">
        <v>3035</v>
      </c>
      <c r="R4" s="58" t="s">
        <v>3036</v>
      </c>
      <c r="S4" s="58"/>
      <c r="T4" s="58" t="s">
        <v>3036</v>
      </c>
      <c r="U4" s="58" t="s">
        <v>200</v>
      </c>
      <c r="V4" s="55" t="s">
        <v>201</v>
      </c>
      <c r="X4" s="55" t="s">
        <v>1276</v>
      </c>
      <c r="Y4" s="4" t="s">
        <v>203</v>
      </c>
      <c r="Z4" s="4" t="s">
        <v>204</v>
      </c>
      <c r="AA4" s="414">
        <v>60.0</v>
      </c>
    </row>
    <row r="5">
      <c r="A5" s="55" t="s">
        <v>3037</v>
      </c>
      <c r="B5" s="55" t="s">
        <v>3037</v>
      </c>
      <c r="F5" s="55" t="s">
        <v>186</v>
      </c>
      <c r="G5" s="55" t="s">
        <v>3024</v>
      </c>
      <c r="I5" s="58" t="s">
        <v>3038</v>
      </c>
      <c r="J5" s="58"/>
      <c r="K5" s="58" t="s">
        <v>3038</v>
      </c>
      <c r="L5" s="58" t="s">
        <v>3039</v>
      </c>
      <c r="M5" s="58"/>
      <c r="N5" s="58" t="s">
        <v>3039</v>
      </c>
      <c r="O5" s="58" t="s">
        <v>3040</v>
      </c>
      <c r="P5" s="58"/>
      <c r="Q5" s="58" t="s">
        <v>3040</v>
      </c>
      <c r="R5" s="58" t="s">
        <v>3041</v>
      </c>
      <c r="S5" s="58"/>
      <c r="T5" s="58" t="s">
        <v>3041</v>
      </c>
      <c r="U5" s="58" t="s">
        <v>200</v>
      </c>
      <c r="V5" s="55" t="s">
        <v>201</v>
      </c>
      <c r="X5" s="55" t="s">
        <v>1282</v>
      </c>
      <c r="Y5" s="4" t="s">
        <v>203</v>
      </c>
      <c r="Z5" s="4" t="s">
        <v>204</v>
      </c>
      <c r="AA5" s="414">
        <v>60.0</v>
      </c>
    </row>
    <row r="6">
      <c r="A6" s="55" t="s">
        <v>3042</v>
      </c>
      <c r="B6" s="55" t="s">
        <v>3042</v>
      </c>
      <c r="F6" s="55" t="s">
        <v>186</v>
      </c>
      <c r="G6" s="55" t="s">
        <v>3024</v>
      </c>
      <c r="I6" s="58" t="s">
        <v>3043</v>
      </c>
      <c r="J6" s="58"/>
      <c r="K6" s="58" t="s">
        <v>3043</v>
      </c>
      <c r="L6" s="58" t="s">
        <v>3026</v>
      </c>
      <c r="M6" s="58"/>
      <c r="N6" s="58" t="s">
        <v>3026</v>
      </c>
      <c r="O6" s="58" t="s">
        <v>3044</v>
      </c>
      <c r="P6" s="58"/>
      <c r="Q6" s="58" t="s">
        <v>3044</v>
      </c>
      <c r="R6" s="58" t="s">
        <v>3027</v>
      </c>
      <c r="S6" s="58"/>
      <c r="T6" s="58" t="s">
        <v>3027</v>
      </c>
      <c r="U6" s="58" t="s">
        <v>200</v>
      </c>
      <c r="V6" s="55" t="s">
        <v>201</v>
      </c>
      <c r="X6" s="55" t="s">
        <v>1294</v>
      </c>
      <c r="Y6" s="4" t="s">
        <v>203</v>
      </c>
      <c r="Z6" s="4" t="s">
        <v>204</v>
      </c>
      <c r="AA6" s="414">
        <v>60.0</v>
      </c>
    </row>
    <row r="7">
      <c r="A7" s="55" t="s">
        <v>3045</v>
      </c>
      <c r="B7" s="55" t="s">
        <v>3045</v>
      </c>
      <c r="F7" s="55" t="s">
        <v>186</v>
      </c>
      <c r="G7" s="55" t="s">
        <v>3024</v>
      </c>
      <c r="I7" s="58" t="s">
        <v>3046</v>
      </c>
      <c r="J7" s="58"/>
      <c r="K7" s="58" t="s">
        <v>3046</v>
      </c>
      <c r="L7" s="58" t="s">
        <v>3047</v>
      </c>
      <c r="M7" s="58"/>
      <c r="N7" s="58" t="s">
        <v>3047</v>
      </c>
      <c r="O7" s="58" t="s">
        <v>3048</v>
      </c>
      <c r="P7" s="58"/>
      <c r="Q7" s="58" t="s">
        <v>3048</v>
      </c>
      <c r="R7" s="58" t="s">
        <v>3049</v>
      </c>
      <c r="S7" s="58"/>
      <c r="T7" s="58" t="s">
        <v>3049</v>
      </c>
      <c r="U7" s="58" t="s">
        <v>200</v>
      </c>
      <c r="V7" s="55" t="s">
        <v>201</v>
      </c>
      <c r="X7" s="55" t="s">
        <v>1300</v>
      </c>
      <c r="Y7" s="4" t="s">
        <v>203</v>
      </c>
      <c r="Z7" s="4" t="s">
        <v>204</v>
      </c>
      <c r="AA7" s="414">
        <v>60.0</v>
      </c>
    </row>
    <row r="8">
      <c r="A8" s="55" t="s">
        <v>3050</v>
      </c>
      <c r="B8" s="55" t="s">
        <v>3050</v>
      </c>
      <c r="F8" s="55" t="s">
        <v>186</v>
      </c>
      <c r="G8" s="55" t="s">
        <v>3024</v>
      </c>
      <c r="I8" s="58" t="s">
        <v>3051</v>
      </c>
      <c r="J8" s="58"/>
      <c r="K8" s="58" t="s">
        <v>3051</v>
      </c>
      <c r="L8" s="58" t="s">
        <v>3028</v>
      </c>
      <c r="M8" s="58"/>
      <c r="N8" s="58" t="s">
        <v>3028</v>
      </c>
      <c r="O8" s="58" t="s">
        <v>3052</v>
      </c>
      <c r="P8" s="58"/>
      <c r="Q8" s="58" t="s">
        <v>3052</v>
      </c>
      <c r="R8" s="58" t="s">
        <v>3053</v>
      </c>
      <c r="S8" s="58"/>
      <c r="T8" s="58" t="s">
        <v>3053</v>
      </c>
      <c r="U8" s="58" t="s">
        <v>200</v>
      </c>
      <c r="V8" s="55" t="s">
        <v>201</v>
      </c>
      <c r="X8" s="55" t="s">
        <v>1306</v>
      </c>
      <c r="Y8" s="4" t="s">
        <v>203</v>
      </c>
      <c r="Z8" s="4" t="s">
        <v>204</v>
      </c>
      <c r="AA8" s="414">
        <v>60.0</v>
      </c>
    </row>
    <row r="9">
      <c r="A9" s="55" t="s">
        <v>3054</v>
      </c>
      <c r="B9" s="55" t="s">
        <v>3054</v>
      </c>
      <c r="F9" s="55" t="s">
        <v>186</v>
      </c>
      <c r="G9" s="55" t="s">
        <v>3024</v>
      </c>
      <c r="I9" s="58" t="s">
        <v>3055</v>
      </c>
      <c r="J9" s="58"/>
      <c r="K9" s="58" t="s">
        <v>3055</v>
      </c>
      <c r="L9" s="58" t="s">
        <v>3047</v>
      </c>
      <c r="M9" s="58"/>
      <c r="N9" s="58" t="s">
        <v>3047</v>
      </c>
      <c r="O9" s="58" t="s">
        <v>3056</v>
      </c>
      <c r="P9" s="58"/>
      <c r="Q9" s="58" t="s">
        <v>3056</v>
      </c>
      <c r="R9" s="58" t="s">
        <v>3057</v>
      </c>
      <c r="S9" s="58"/>
      <c r="T9" s="58" t="s">
        <v>3057</v>
      </c>
      <c r="U9" s="58" t="s">
        <v>200</v>
      </c>
      <c r="V9" s="55" t="s">
        <v>201</v>
      </c>
      <c r="X9" s="55" t="s">
        <v>1316</v>
      </c>
      <c r="Y9" s="4" t="s">
        <v>203</v>
      </c>
      <c r="Z9" s="4" t="s">
        <v>204</v>
      </c>
      <c r="AA9" s="414">
        <v>60.0</v>
      </c>
    </row>
    <row r="10">
      <c r="A10" s="55" t="s">
        <v>3058</v>
      </c>
      <c r="B10" s="55" t="s">
        <v>3058</v>
      </c>
      <c r="F10" s="55" t="s">
        <v>186</v>
      </c>
      <c r="G10" s="55" t="s">
        <v>3024</v>
      </c>
      <c r="I10" s="58" t="s">
        <v>3059</v>
      </c>
      <c r="J10" s="58"/>
      <c r="K10" s="58" t="s">
        <v>3059</v>
      </c>
      <c r="L10" s="58" t="s">
        <v>3047</v>
      </c>
      <c r="M10" s="58"/>
      <c r="N10" s="58" t="s">
        <v>3047</v>
      </c>
      <c r="O10" s="58" t="s">
        <v>3060</v>
      </c>
      <c r="P10" s="58"/>
      <c r="Q10" s="58" t="s">
        <v>3060</v>
      </c>
      <c r="R10" s="58" t="s">
        <v>3061</v>
      </c>
      <c r="S10" s="58"/>
      <c r="T10" s="58" t="s">
        <v>3061</v>
      </c>
      <c r="U10" s="58" t="s">
        <v>200</v>
      </c>
      <c r="V10" s="55" t="s">
        <v>201</v>
      </c>
      <c r="X10" s="55" t="s">
        <v>1322</v>
      </c>
      <c r="Y10" s="4" t="s">
        <v>203</v>
      </c>
      <c r="Z10" s="4" t="s">
        <v>204</v>
      </c>
      <c r="AA10" s="414">
        <v>60.0</v>
      </c>
    </row>
    <row r="11">
      <c r="A11" s="55" t="s">
        <v>3062</v>
      </c>
      <c r="B11" s="55" t="s">
        <v>3062</v>
      </c>
      <c r="F11" s="55" t="s">
        <v>186</v>
      </c>
      <c r="G11" s="55" t="s">
        <v>3024</v>
      </c>
      <c r="I11" s="58" t="s">
        <v>3063</v>
      </c>
      <c r="J11" s="58"/>
      <c r="K11" s="58" t="s">
        <v>3063</v>
      </c>
      <c r="L11" s="58" t="s">
        <v>3026</v>
      </c>
      <c r="M11" s="58"/>
      <c r="N11" s="58" t="s">
        <v>3026</v>
      </c>
      <c r="O11" s="58" t="s">
        <v>3064</v>
      </c>
      <c r="P11" s="58"/>
      <c r="Q11" s="58" t="s">
        <v>3064</v>
      </c>
      <c r="R11" s="58" t="s">
        <v>3065</v>
      </c>
      <c r="S11" s="58"/>
      <c r="T11" s="58" t="s">
        <v>3065</v>
      </c>
      <c r="U11" s="58" t="s">
        <v>200</v>
      </c>
      <c r="V11" s="55" t="s">
        <v>201</v>
      </c>
      <c r="X11" s="55" t="s">
        <v>1328</v>
      </c>
      <c r="Y11" s="4" t="s">
        <v>203</v>
      </c>
      <c r="Z11" s="4" t="s">
        <v>204</v>
      </c>
      <c r="AA11" s="414">
        <v>60.0</v>
      </c>
    </row>
    <row r="12">
      <c r="A12" s="55" t="s">
        <v>3066</v>
      </c>
      <c r="B12" s="55" t="s">
        <v>3066</v>
      </c>
      <c r="F12" s="55" t="s">
        <v>186</v>
      </c>
      <c r="G12" s="55" t="s">
        <v>3024</v>
      </c>
      <c r="I12" s="58" t="s">
        <v>3067</v>
      </c>
      <c r="J12" s="58"/>
      <c r="K12" s="58" t="s">
        <v>3067</v>
      </c>
      <c r="L12" s="58" t="s">
        <v>3026</v>
      </c>
      <c r="M12" s="58"/>
      <c r="N12" s="58" t="s">
        <v>3026</v>
      </c>
      <c r="O12" s="58" t="s">
        <v>3068</v>
      </c>
      <c r="P12" s="58"/>
      <c r="Q12" s="58" t="s">
        <v>3068</v>
      </c>
      <c r="R12" s="58" t="s">
        <v>3027</v>
      </c>
      <c r="S12" s="58"/>
      <c r="T12" s="58" t="s">
        <v>3027</v>
      </c>
      <c r="U12" s="58" t="s">
        <v>200</v>
      </c>
      <c r="V12" s="55" t="s">
        <v>201</v>
      </c>
      <c r="X12" s="55" t="s">
        <v>1338</v>
      </c>
      <c r="Y12" s="4" t="s">
        <v>203</v>
      </c>
      <c r="Z12" s="4" t="s">
        <v>204</v>
      </c>
      <c r="AA12" s="414">
        <v>60.0</v>
      </c>
    </row>
    <row r="13">
      <c r="A13" s="55" t="s">
        <v>3069</v>
      </c>
      <c r="B13" s="55" t="s">
        <v>3069</v>
      </c>
      <c r="F13" s="55" t="s">
        <v>186</v>
      </c>
      <c r="G13" s="55" t="s">
        <v>3024</v>
      </c>
      <c r="I13" s="58" t="s">
        <v>3070</v>
      </c>
      <c r="J13" s="58"/>
      <c r="K13" s="58" t="s">
        <v>3070</v>
      </c>
      <c r="L13" s="58" t="s">
        <v>3026</v>
      </c>
      <c r="M13" s="58"/>
      <c r="N13" s="58" t="s">
        <v>3026</v>
      </c>
      <c r="O13" s="58" t="s">
        <v>3071</v>
      </c>
      <c r="P13" s="58"/>
      <c r="Q13" s="58" t="s">
        <v>3071</v>
      </c>
      <c r="R13" s="58" t="s">
        <v>3072</v>
      </c>
      <c r="S13" s="58"/>
      <c r="T13" s="58" t="s">
        <v>3072</v>
      </c>
      <c r="U13" s="58" t="s">
        <v>200</v>
      </c>
      <c r="V13" s="55" t="s">
        <v>201</v>
      </c>
      <c r="X13" s="55" t="s">
        <v>1344</v>
      </c>
      <c r="Y13" s="4" t="s">
        <v>203</v>
      </c>
      <c r="Z13" s="4" t="s">
        <v>204</v>
      </c>
      <c r="AA13" s="414">
        <v>60.0</v>
      </c>
    </row>
    <row r="14">
      <c r="A14" s="55" t="s">
        <v>3073</v>
      </c>
      <c r="B14" s="55" t="s">
        <v>3073</v>
      </c>
      <c r="F14" s="55" t="s">
        <v>186</v>
      </c>
      <c r="G14" s="55" t="s">
        <v>3024</v>
      </c>
      <c r="I14" s="58" t="s">
        <v>3074</v>
      </c>
      <c r="J14" s="58"/>
      <c r="K14" s="58" t="s">
        <v>3074</v>
      </c>
      <c r="L14" s="58" t="s">
        <v>3026</v>
      </c>
      <c r="M14" s="58"/>
      <c r="N14" s="58" t="s">
        <v>3026</v>
      </c>
      <c r="O14" s="58" t="s">
        <v>3075</v>
      </c>
      <c r="P14" s="58"/>
      <c r="Q14" s="58" t="s">
        <v>3075</v>
      </c>
      <c r="R14" s="58" t="s">
        <v>3076</v>
      </c>
      <c r="S14" s="58"/>
      <c r="T14" s="58" t="s">
        <v>3076</v>
      </c>
      <c r="U14" s="58" t="s">
        <v>200</v>
      </c>
      <c r="V14" s="55" t="s">
        <v>201</v>
      </c>
      <c r="X14" s="55" t="s">
        <v>1374</v>
      </c>
      <c r="Y14" s="4" t="s">
        <v>203</v>
      </c>
      <c r="Z14" s="4" t="s">
        <v>204</v>
      </c>
      <c r="AA14" s="414">
        <v>60.0</v>
      </c>
    </row>
    <row r="15">
      <c r="A15" s="55" t="s">
        <v>3077</v>
      </c>
      <c r="B15" s="55" t="s">
        <v>3077</v>
      </c>
      <c r="F15" s="55" t="s">
        <v>186</v>
      </c>
      <c r="G15" s="55" t="s">
        <v>3024</v>
      </c>
      <c r="I15" s="58" t="s">
        <v>3078</v>
      </c>
      <c r="J15" s="58"/>
      <c r="K15" s="58" t="s">
        <v>3078</v>
      </c>
      <c r="L15" s="58" t="s">
        <v>3026</v>
      </c>
      <c r="M15" s="58"/>
      <c r="N15" s="58" t="s">
        <v>3026</v>
      </c>
      <c r="O15" s="58" t="s">
        <v>3079</v>
      </c>
      <c r="P15" s="58"/>
      <c r="Q15" s="58" t="s">
        <v>3079</v>
      </c>
      <c r="R15" s="58" t="s">
        <v>3080</v>
      </c>
      <c r="S15" s="58"/>
      <c r="T15" s="58" t="s">
        <v>3080</v>
      </c>
      <c r="U15" s="58" t="s">
        <v>200</v>
      </c>
      <c r="V15" s="55" t="s">
        <v>201</v>
      </c>
      <c r="X15" s="55" t="s">
        <v>1380</v>
      </c>
      <c r="Y15" s="4" t="s">
        <v>203</v>
      </c>
      <c r="Z15" s="4" t="s">
        <v>204</v>
      </c>
      <c r="AA15" s="414">
        <v>60.0</v>
      </c>
    </row>
    <row r="16">
      <c r="A16" s="55" t="s">
        <v>3081</v>
      </c>
      <c r="B16" s="55" t="s">
        <v>3081</v>
      </c>
      <c r="F16" s="55" t="s">
        <v>186</v>
      </c>
      <c r="G16" s="55" t="s">
        <v>3024</v>
      </c>
      <c r="I16" s="58" t="s">
        <v>3082</v>
      </c>
      <c r="J16" s="58"/>
      <c r="K16" s="58" t="s">
        <v>3082</v>
      </c>
      <c r="L16" s="58" t="s">
        <v>3026</v>
      </c>
      <c r="M16" s="58"/>
      <c r="N16" s="58" t="s">
        <v>3026</v>
      </c>
      <c r="O16" s="58" t="s">
        <v>3083</v>
      </c>
      <c r="P16" s="58"/>
      <c r="Q16" s="58" t="s">
        <v>3083</v>
      </c>
      <c r="R16" s="58" t="s">
        <v>3084</v>
      </c>
      <c r="S16" s="58"/>
      <c r="T16" s="58" t="s">
        <v>3084</v>
      </c>
      <c r="U16" s="58" t="s">
        <v>200</v>
      </c>
      <c r="V16" s="55" t="s">
        <v>201</v>
      </c>
      <c r="X16" s="55" t="s">
        <v>1386</v>
      </c>
      <c r="Y16" s="4" t="s">
        <v>203</v>
      </c>
      <c r="Z16" s="4" t="s">
        <v>204</v>
      </c>
      <c r="AA16" s="414">
        <v>60.0</v>
      </c>
    </row>
    <row r="17">
      <c r="A17" s="55" t="s">
        <v>3085</v>
      </c>
      <c r="B17" s="55" t="s">
        <v>3085</v>
      </c>
      <c r="F17" s="55" t="s">
        <v>186</v>
      </c>
      <c r="G17" s="55" t="s">
        <v>3024</v>
      </c>
      <c r="I17" s="58" t="s">
        <v>3086</v>
      </c>
      <c r="J17" s="58"/>
      <c r="K17" s="58" t="s">
        <v>3086</v>
      </c>
      <c r="L17" s="58" t="s">
        <v>3075</v>
      </c>
      <c r="M17" s="58"/>
      <c r="N17" s="58" t="s">
        <v>3075</v>
      </c>
      <c r="O17" s="58" t="s">
        <v>3087</v>
      </c>
      <c r="P17" s="58"/>
      <c r="Q17" s="58" t="s">
        <v>3087</v>
      </c>
      <c r="R17" s="58" t="s">
        <v>3088</v>
      </c>
      <c r="S17" s="58"/>
      <c r="T17" s="58" t="s">
        <v>3088</v>
      </c>
      <c r="U17" s="58" t="s">
        <v>200</v>
      </c>
      <c r="V17" s="55" t="s">
        <v>201</v>
      </c>
      <c r="X17" s="55" t="s">
        <v>1392</v>
      </c>
      <c r="Y17" s="4" t="s">
        <v>203</v>
      </c>
      <c r="Z17" s="4" t="s">
        <v>204</v>
      </c>
      <c r="AA17" s="414">
        <v>60.0</v>
      </c>
    </row>
    <row r="18">
      <c r="A18" s="55" t="s">
        <v>3089</v>
      </c>
      <c r="B18" s="55" t="s">
        <v>3089</v>
      </c>
      <c r="F18" s="55" t="s">
        <v>186</v>
      </c>
      <c r="G18" s="55" t="s">
        <v>3024</v>
      </c>
      <c r="I18" s="58" t="s">
        <v>3090</v>
      </c>
      <c r="J18" s="58"/>
      <c r="K18" s="58" t="s">
        <v>3090</v>
      </c>
      <c r="L18" s="58" t="s">
        <v>3047</v>
      </c>
      <c r="M18" s="58"/>
      <c r="N18" s="58" t="s">
        <v>3047</v>
      </c>
      <c r="O18" s="58" t="s">
        <v>3091</v>
      </c>
      <c r="P18" s="58"/>
      <c r="Q18" s="58" t="s">
        <v>3091</v>
      </c>
      <c r="R18" s="58" t="s">
        <v>3083</v>
      </c>
      <c r="S18" s="58"/>
      <c r="T18" s="58" t="s">
        <v>3083</v>
      </c>
      <c r="U18" s="58" t="s">
        <v>200</v>
      </c>
      <c r="V18" s="55" t="s">
        <v>201</v>
      </c>
      <c r="X18" s="55" t="s">
        <v>1398</v>
      </c>
      <c r="Y18" s="4" t="s">
        <v>203</v>
      </c>
      <c r="Z18" s="4" t="s">
        <v>204</v>
      </c>
      <c r="AA18" s="414">
        <v>60.0</v>
      </c>
    </row>
    <row r="19">
      <c r="A19" s="55" t="s">
        <v>3092</v>
      </c>
      <c r="B19" s="55" t="s">
        <v>3092</v>
      </c>
      <c r="F19" s="55" t="s">
        <v>186</v>
      </c>
      <c r="G19" s="55" t="s">
        <v>3024</v>
      </c>
      <c r="I19" s="58" t="s">
        <v>3093</v>
      </c>
      <c r="J19" s="58"/>
      <c r="K19" s="58" t="s">
        <v>3093</v>
      </c>
      <c r="L19" s="58" t="s">
        <v>3028</v>
      </c>
      <c r="M19" s="58"/>
      <c r="N19" s="58" t="s">
        <v>3028</v>
      </c>
      <c r="O19" s="58" t="s">
        <v>3094</v>
      </c>
      <c r="P19" s="58"/>
      <c r="Q19" s="58" t="s">
        <v>3094</v>
      </c>
      <c r="R19" s="58" t="s">
        <v>3095</v>
      </c>
      <c r="S19" s="58"/>
      <c r="T19" s="58" t="s">
        <v>3095</v>
      </c>
      <c r="U19" s="58" t="s">
        <v>200</v>
      </c>
      <c r="V19" s="55" t="s">
        <v>201</v>
      </c>
      <c r="X19" s="55" t="s">
        <v>1404</v>
      </c>
      <c r="Y19" s="4" t="s">
        <v>203</v>
      </c>
      <c r="Z19" s="4" t="s">
        <v>204</v>
      </c>
      <c r="AA19" s="414">
        <v>60.0</v>
      </c>
    </row>
    <row r="20">
      <c r="A20" s="55" t="s">
        <v>3096</v>
      </c>
      <c r="B20" s="55" t="s">
        <v>3096</v>
      </c>
      <c r="F20" s="55" t="s">
        <v>186</v>
      </c>
      <c r="G20" s="55" t="s">
        <v>3024</v>
      </c>
      <c r="I20" s="58" t="s">
        <v>3097</v>
      </c>
      <c r="J20" s="58"/>
      <c r="K20" s="58" t="s">
        <v>3097</v>
      </c>
      <c r="L20" s="58" t="s">
        <v>3047</v>
      </c>
      <c r="M20" s="58"/>
      <c r="N20" s="58" t="s">
        <v>3047</v>
      </c>
      <c r="O20" s="58" t="s">
        <v>3098</v>
      </c>
      <c r="P20" s="58"/>
      <c r="Q20" s="58" t="s">
        <v>3098</v>
      </c>
      <c r="R20" s="58" t="s">
        <v>3099</v>
      </c>
      <c r="S20" s="58"/>
      <c r="T20" s="58" t="s">
        <v>3099</v>
      </c>
      <c r="U20" s="58" t="s">
        <v>200</v>
      </c>
      <c r="V20" s="55" t="s">
        <v>201</v>
      </c>
      <c r="X20" s="55" t="s">
        <v>1410</v>
      </c>
      <c r="Y20" s="4" t="s">
        <v>203</v>
      </c>
      <c r="Z20" s="4" t="s">
        <v>204</v>
      </c>
      <c r="AA20" s="414">
        <v>60.0</v>
      </c>
    </row>
    <row r="21">
      <c r="A21" s="55" t="s">
        <v>3100</v>
      </c>
      <c r="B21" s="55" t="s">
        <v>3100</v>
      </c>
      <c r="F21" s="55" t="s">
        <v>186</v>
      </c>
      <c r="G21" s="55" t="s">
        <v>3024</v>
      </c>
      <c r="I21" s="58" t="s">
        <v>3101</v>
      </c>
      <c r="J21" s="58"/>
      <c r="K21" s="58" t="s">
        <v>3101</v>
      </c>
      <c r="L21" s="58" t="s">
        <v>3047</v>
      </c>
      <c r="M21" s="58"/>
      <c r="N21" s="58" t="s">
        <v>3047</v>
      </c>
      <c r="O21" s="58" t="s">
        <v>3071</v>
      </c>
      <c r="P21" s="58"/>
      <c r="Q21" s="58" t="s">
        <v>3071</v>
      </c>
      <c r="R21" s="58" t="s">
        <v>3102</v>
      </c>
      <c r="S21" s="58"/>
      <c r="T21" s="58" t="s">
        <v>3102</v>
      </c>
      <c r="U21" s="58" t="s">
        <v>200</v>
      </c>
      <c r="V21" s="55" t="s">
        <v>201</v>
      </c>
      <c r="X21" s="55" t="s">
        <v>1416</v>
      </c>
      <c r="Y21" s="4" t="s">
        <v>203</v>
      </c>
      <c r="Z21" s="4" t="s">
        <v>204</v>
      </c>
      <c r="AA21" s="414">
        <v>60.0</v>
      </c>
    </row>
    <row r="22">
      <c r="A22" s="55" t="s">
        <v>3103</v>
      </c>
      <c r="B22" s="55" t="s">
        <v>3103</v>
      </c>
      <c r="F22" s="55" t="s">
        <v>186</v>
      </c>
      <c r="G22" s="55" t="s">
        <v>3024</v>
      </c>
      <c r="I22" s="58" t="s">
        <v>3104</v>
      </c>
      <c r="J22" s="58"/>
      <c r="K22" s="58" t="s">
        <v>3104</v>
      </c>
      <c r="L22" s="58" t="s">
        <v>3047</v>
      </c>
      <c r="M22" s="58"/>
      <c r="N22" s="58" t="s">
        <v>3047</v>
      </c>
      <c r="O22" s="58" t="s">
        <v>3105</v>
      </c>
      <c r="P22" s="58"/>
      <c r="Q22" s="58" t="s">
        <v>3105</v>
      </c>
      <c r="R22" s="58" t="s">
        <v>3106</v>
      </c>
      <c r="S22" s="58"/>
      <c r="T22" s="58" t="s">
        <v>3106</v>
      </c>
      <c r="U22" s="58" t="s">
        <v>200</v>
      </c>
      <c r="V22" s="55" t="s">
        <v>201</v>
      </c>
      <c r="X22" s="55" t="s">
        <v>1422</v>
      </c>
      <c r="Y22" s="4" t="s">
        <v>203</v>
      </c>
      <c r="Z22" s="4" t="s">
        <v>204</v>
      </c>
      <c r="AA22" s="414">
        <v>60.0</v>
      </c>
    </row>
    <row r="23">
      <c r="A23" s="55" t="s">
        <v>3107</v>
      </c>
      <c r="B23" s="55" t="s">
        <v>3107</v>
      </c>
      <c r="F23" s="55" t="s">
        <v>186</v>
      </c>
      <c r="G23" s="55" t="s">
        <v>3024</v>
      </c>
      <c r="I23" s="58" t="s">
        <v>3108</v>
      </c>
      <c r="J23" s="58"/>
      <c r="K23" s="58" t="s">
        <v>3108</v>
      </c>
      <c r="L23" s="58" t="s">
        <v>3047</v>
      </c>
      <c r="M23" s="58"/>
      <c r="N23" s="58" t="s">
        <v>3047</v>
      </c>
      <c r="O23" s="58" t="s">
        <v>3109</v>
      </c>
      <c r="P23" s="58"/>
      <c r="Q23" s="58" t="s">
        <v>3109</v>
      </c>
      <c r="R23" s="58" t="s">
        <v>3110</v>
      </c>
      <c r="S23" s="58"/>
      <c r="T23" s="58" t="s">
        <v>3110</v>
      </c>
      <c r="U23" s="58" t="s">
        <v>200</v>
      </c>
      <c r="V23" s="55" t="s">
        <v>201</v>
      </c>
      <c r="X23" s="55" t="s">
        <v>1428</v>
      </c>
      <c r="Y23" s="4" t="s">
        <v>203</v>
      </c>
      <c r="Z23" s="4" t="s">
        <v>204</v>
      </c>
      <c r="AA23" s="414">
        <v>60.0</v>
      </c>
    </row>
    <row r="24">
      <c r="A24" s="55" t="s">
        <v>3111</v>
      </c>
      <c r="B24" s="55" t="s">
        <v>3111</v>
      </c>
      <c r="F24" s="55" t="s">
        <v>186</v>
      </c>
      <c r="G24" s="55" t="s">
        <v>3024</v>
      </c>
      <c r="I24" s="58" t="s">
        <v>3112</v>
      </c>
      <c r="J24" s="58"/>
      <c r="K24" s="58" t="s">
        <v>3112</v>
      </c>
      <c r="L24" s="58" t="s">
        <v>3026</v>
      </c>
      <c r="M24" s="58"/>
      <c r="N24" s="58" t="s">
        <v>3026</v>
      </c>
      <c r="O24" s="58" t="s">
        <v>3027</v>
      </c>
      <c r="P24" s="58"/>
      <c r="Q24" s="58" t="s">
        <v>3027</v>
      </c>
      <c r="R24" s="58" t="s">
        <v>3113</v>
      </c>
      <c r="S24" s="58"/>
      <c r="T24" s="58" t="s">
        <v>3113</v>
      </c>
      <c r="U24" s="58" t="s">
        <v>559</v>
      </c>
      <c r="V24" s="55" t="s">
        <v>24</v>
      </c>
      <c r="X24" s="55" t="s">
        <v>1487</v>
      </c>
      <c r="Y24" s="4" t="s">
        <v>203</v>
      </c>
      <c r="Z24" s="4" t="s">
        <v>204</v>
      </c>
      <c r="AA24" s="414">
        <v>60.0</v>
      </c>
    </row>
    <row r="25">
      <c r="A25" s="55" t="s">
        <v>3114</v>
      </c>
      <c r="B25" s="55" t="s">
        <v>3114</v>
      </c>
      <c r="F25" s="55" t="s">
        <v>186</v>
      </c>
      <c r="G25" s="55" t="s">
        <v>3024</v>
      </c>
      <c r="I25" s="58" t="s">
        <v>3115</v>
      </c>
      <c r="J25" s="58"/>
      <c r="K25" s="58" t="s">
        <v>3115</v>
      </c>
      <c r="L25" s="58" t="s">
        <v>3116</v>
      </c>
      <c r="M25" s="58"/>
      <c r="N25" s="58" t="s">
        <v>3116</v>
      </c>
      <c r="O25" s="58" t="s">
        <v>3117</v>
      </c>
      <c r="P25" s="58"/>
      <c r="Q25" s="58" t="s">
        <v>3117</v>
      </c>
      <c r="R25" s="58" t="s">
        <v>3118</v>
      </c>
      <c r="S25" s="58"/>
      <c r="T25" s="58" t="s">
        <v>3118</v>
      </c>
      <c r="U25" s="58" t="s">
        <v>200</v>
      </c>
      <c r="V25" s="55" t="s">
        <v>201</v>
      </c>
      <c r="X25" s="55" t="s">
        <v>1437</v>
      </c>
      <c r="Y25" s="4" t="s">
        <v>203</v>
      </c>
      <c r="Z25" s="4" t="s">
        <v>204</v>
      </c>
      <c r="AA25" s="414">
        <v>60.0</v>
      </c>
    </row>
    <row r="26">
      <c r="A26" s="55" t="s">
        <v>3119</v>
      </c>
      <c r="B26" s="55" t="s">
        <v>3119</v>
      </c>
      <c r="F26" s="55" t="s">
        <v>186</v>
      </c>
      <c r="G26" s="55" t="s">
        <v>3024</v>
      </c>
      <c r="I26" s="58" t="s">
        <v>3120</v>
      </c>
      <c r="J26" s="58"/>
      <c r="K26" s="58" t="s">
        <v>3120</v>
      </c>
      <c r="L26" s="58" t="s">
        <v>3049</v>
      </c>
      <c r="M26" s="58"/>
      <c r="N26" s="58" t="s">
        <v>3049</v>
      </c>
      <c r="O26" s="58" t="s">
        <v>3121</v>
      </c>
      <c r="P26" s="58"/>
      <c r="Q26" s="58" t="s">
        <v>3121</v>
      </c>
      <c r="R26" s="58" t="s">
        <v>3122</v>
      </c>
      <c r="S26" s="58"/>
      <c r="T26" s="58" t="s">
        <v>3122</v>
      </c>
      <c r="U26" s="58" t="s">
        <v>200</v>
      </c>
      <c r="V26" s="55" t="s">
        <v>201</v>
      </c>
      <c r="X26" s="55" t="s">
        <v>1443</v>
      </c>
      <c r="Y26" s="4" t="s">
        <v>203</v>
      </c>
      <c r="Z26" s="4" t="s">
        <v>204</v>
      </c>
      <c r="AA26" s="414">
        <v>60.0</v>
      </c>
    </row>
    <row r="27">
      <c r="A27" s="55" t="s">
        <v>3123</v>
      </c>
      <c r="B27" s="55" t="s">
        <v>3123</v>
      </c>
      <c r="F27" s="55" t="s">
        <v>186</v>
      </c>
      <c r="G27" s="55" t="s">
        <v>3024</v>
      </c>
      <c r="I27" s="58" t="s">
        <v>3124</v>
      </c>
      <c r="J27" s="58"/>
      <c r="K27" s="58" t="s">
        <v>3124</v>
      </c>
      <c r="L27" s="58" t="s">
        <v>3026</v>
      </c>
      <c r="M27" s="58"/>
      <c r="N27" s="58" t="s">
        <v>3026</v>
      </c>
      <c r="O27" s="58" t="s">
        <v>3080</v>
      </c>
      <c r="P27" s="58"/>
      <c r="Q27" s="58" t="s">
        <v>3080</v>
      </c>
      <c r="R27" s="58" t="s">
        <v>3047</v>
      </c>
      <c r="S27" s="58"/>
      <c r="T27" s="58" t="s">
        <v>3047</v>
      </c>
      <c r="U27" s="58" t="s">
        <v>559</v>
      </c>
      <c r="V27" s="55" t="s">
        <v>24</v>
      </c>
      <c r="X27" s="55" t="s">
        <v>3125</v>
      </c>
      <c r="Y27" s="4" t="s">
        <v>203</v>
      </c>
      <c r="Z27" s="4" t="s">
        <v>204</v>
      </c>
      <c r="AA27" s="414">
        <v>60.0</v>
      </c>
    </row>
    <row r="28">
      <c r="A28" s="55" t="s">
        <v>3126</v>
      </c>
      <c r="B28" s="55" t="s">
        <v>3126</v>
      </c>
      <c r="F28" s="55" t="s">
        <v>186</v>
      </c>
      <c r="G28" s="55" t="s">
        <v>3024</v>
      </c>
      <c r="I28" s="58" t="s">
        <v>3127</v>
      </c>
      <c r="J28" s="58"/>
      <c r="K28" s="58" t="s">
        <v>3127</v>
      </c>
      <c r="L28" s="58" t="s">
        <v>3047</v>
      </c>
      <c r="M28" s="58"/>
      <c r="N28" s="58" t="s">
        <v>3047</v>
      </c>
      <c r="O28" s="58" t="s">
        <v>3128</v>
      </c>
      <c r="P28" s="58"/>
      <c r="Q28" s="58" t="s">
        <v>3128</v>
      </c>
      <c r="R28" s="58" t="s">
        <v>3129</v>
      </c>
      <c r="S28" s="58"/>
      <c r="T28" s="58" t="s">
        <v>3129</v>
      </c>
      <c r="U28" s="58" t="s">
        <v>559</v>
      </c>
      <c r="V28" s="55" t="s">
        <v>24</v>
      </c>
      <c r="X28" s="55" t="s">
        <v>1084</v>
      </c>
      <c r="Y28" s="4" t="s">
        <v>203</v>
      </c>
      <c r="Z28" s="4" t="s">
        <v>204</v>
      </c>
      <c r="AA28" s="414">
        <v>60.0</v>
      </c>
    </row>
    <row r="29">
      <c r="A29" s="55" t="s">
        <v>3130</v>
      </c>
      <c r="B29" s="55" t="s">
        <v>3130</v>
      </c>
      <c r="F29" s="55" t="s">
        <v>186</v>
      </c>
      <c r="G29" s="55" t="s">
        <v>3024</v>
      </c>
      <c r="I29" s="58" t="s">
        <v>3112</v>
      </c>
      <c r="J29" s="58"/>
      <c r="K29" s="58" t="s">
        <v>3112</v>
      </c>
      <c r="L29" s="58" t="s">
        <v>3026</v>
      </c>
      <c r="M29" s="58"/>
      <c r="N29" s="58" t="s">
        <v>3026</v>
      </c>
      <c r="O29" s="58" t="s">
        <v>3131</v>
      </c>
      <c r="P29" s="58"/>
      <c r="Q29" s="58" t="s">
        <v>3131</v>
      </c>
      <c r="R29" s="58" t="s">
        <v>3132</v>
      </c>
      <c r="S29" s="58"/>
      <c r="T29" s="58" t="s">
        <v>3132</v>
      </c>
      <c r="U29" s="58" t="s">
        <v>559</v>
      </c>
      <c r="V29" s="55" t="s">
        <v>24</v>
      </c>
      <c r="X29" s="55" t="s">
        <v>1213</v>
      </c>
      <c r="Y29" s="4" t="s">
        <v>203</v>
      </c>
      <c r="Z29" s="4" t="s">
        <v>204</v>
      </c>
      <c r="AA29" s="414">
        <v>60.0</v>
      </c>
    </row>
    <row r="30">
      <c r="A30" s="55" t="s">
        <v>3133</v>
      </c>
      <c r="B30" s="55" t="s">
        <v>3133</v>
      </c>
      <c r="F30" s="55" t="s">
        <v>186</v>
      </c>
      <c r="G30" s="55" t="s">
        <v>3024</v>
      </c>
      <c r="I30" s="58" t="s">
        <v>3134</v>
      </c>
      <c r="J30" s="58"/>
      <c r="K30" s="58" t="s">
        <v>3134</v>
      </c>
      <c r="L30" s="58" t="s">
        <v>3110</v>
      </c>
      <c r="M30" s="58"/>
      <c r="N30" s="58" t="s">
        <v>3110</v>
      </c>
      <c r="O30" s="58" t="s">
        <v>3135</v>
      </c>
      <c r="P30" s="58"/>
      <c r="Q30" s="58" t="s">
        <v>3135</v>
      </c>
      <c r="R30" s="58" t="s">
        <v>3136</v>
      </c>
      <c r="S30" s="58"/>
      <c r="T30" s="58" t="s">
        <v>3136</v>
      </c>
      <c r="U30" s="58" t="s">
        <v>200</v>
      </c>
      <c r="V30" s="55" t="s">
        <v>201</v>
      </c>
      <c r="X30" s="55" t="s">
        <v>799</v>
      </c>
      <c r="Y30" s="4" t="s">
        <v>203</v>
      </c>
      <c r="Z30" s="4" t="s">
        <v>204</v>
      </c>
      <c r="AA30" s="414">
        <v>60.0</v>
      </c>
    </row>
    <row r="31">
      <c r="A31" s="55" t="s">
        <v>3137</v>
      </c>
      <c r="B31" s="55" t="s">
        <v>3137</v>
      </c>
      <c r="F31" s="55" t="s">
        <v>186</v>
      </c>
      <c r="G31" s="55" t="s">
        <v>3024</v>
      </c>
      <c r="I31" s="58" t="s">
        <v>3138</v>
      </c>
      <c r="J31" s="58"/>
      <c r="K31" s="58" t="s">
        <v>3138</v>
      </c>
      <c r="L31" s="58" t="s">
        <v>3110</v>
      </c>
      <c r="M31" s="58"/>
      <c r="N31" s="58" t="s">
        <v>3110</v>
      </c>
      <c r="O31" s="58" t="s">
        <v>3139</v>
      </c>
      <c r="P31" s="58"/>
      <c r="Q31" s="58" t="s">
        <v>3139</v>
      </c>
      <c r="R31" s="58" t="s">
        <v>3140</v>
      </c>
      <c r="S31" s="58"/>
      <c r="T31" s="58" t="s">
        <v>3140</v>
      </c>
      <c r="U31" s="58" t="s">
        <v>200</v>
      </c>
      <c r="V31" s="55" t="s">
        <v>201</v>
      </c>
      <c r="X31" s="55" t="s">
        <v>805</v>
      </c>
      <c r="Y31" s="4" t="s">
        <v>203</v>
      </c>
      <c r="Z31" s="4" t="s">
        <v>204</v>
      </c>
      <c r="AA31" s="414">
        <v>60.0</v>
      </c>
    </row>
    <row r="32">
      <c r="A32" s="55" t="s">
        <v>3141</v>
      </c>
      <c r="B32" s="55" t="s">
        <v>3141</v>
      </c>
      <c r="F32" s="55" t="s">
        <v>186</v>
      </c>
      <c r="G32" s="55" t="s">
        <v>3024</v>
      </c>
      <c r="I32" s="58" t="s">
        <v>3142</v>
      </c>
      <c r="J32" s="58"/>
      <c r="K32" s="58" t="s">
        <v>3142</v>
      </c>
      <c r="L32" s="58" t="s">
        <v>3143</v>
      </c>
      <c r="M32" s="58"/>
      <c r="N32" s="58" t="s">
        <v>3143</v>
      </c>
      <c r="O32" s="58" t="s">
        <v>3144</v>
      </c>
      <c r="P32" s="58"/>
      <c r="Q32" s="58" t="s">
        <v>3144</v>
      </c>
      <c r="R32" s="58" t="s">
        <v>3145</v>
      </c>
      <c r="S32" s="58"/>
      <c r="T32" s="58" t="s">
        <v>3145</v>
      </c>
      <c r="U32" s="58" t="s">
        <v>200</v>
      </c>
      <c r="V32" s="55" t="s">
        <v>201</v>
      </c>
      <c r="X32" s="55" t="s">
        <v>811</v>
      </c>
      <c r="Y32" s="4" t="s">
        <v>203</v>
      </c>
      <c r="Z32" s="4" t="s">
        <v>204</v>
      </c>
      <c r="AA32" s="414">
        <v>60.0</v>
      </c>
    </row>
    <row r="33">
      <c r="A33" s="55" t="s">
        <v>3146</v>
      </c>
      <c r="B33" s="55" t="s">
        <v>3146</v>
      </c>
      <c r="F33" s="55" t="s">
        <v>186</v>
      </c>
      <c r="G33" s="55" t="s">
        <v>3024</v>
      </c>
      <c r="I33" s="58" t="s">
        <v>3147</v>
      </c>
      <c r="J33" s="58"/>
      <c r="K33" s="58" t="s">
        <v>3147</v>
      </c>
      <c r="L33" s="58" t="s">
        <v>3026</v>
      </c>
      <c r="M33" s="58"/>
      <c r="N33" s="58" t="s">
        <v>3026</v>
      </c>
      <c r="O33" s="58" t="s">
        <v>3148</v>
      </c>
      <c r="P33" s="58"/>
      <c r="Q33" s="58" t="s">
        <v>3148</v>
      </c>
      <c r="R33" s="58" t="s">
        <v>3047</v>
      </c>
      <c r="S33" s="58"/>
      <c r="T33" s="58" t="s">
        <v>3047</v>
      </c>
      <c r="U33" s="58" t="s">
        <v>559</v>
      </c>
      <c r="V33" s="55" t="s">
        <v>24</v>
      </c>
      <c r="X33" s="55" t="s">
        <v>637</v>
      </c>
      <c r="Y33" s="4" t="s">
        <v>203</v>
      </c>
      <c r="Z33" s="4" t="s">
        <v>204</v>
      </c>
      <c r="AA33" s="414">
        <v>60.0</v>
      </c>
    </row>
    <row r="34">
      <c r="A34" s="55" t="s">
        <v>3149</v>
      </c>
      <c r="B34" s="55" t="s">
        <v>3149</v>
      </c>
      <c r="F34" s="55" t="s">
        <v>186</v>
      </c>
      <c r="G34" s="55" t="s">
        <v>3024</v>
      </c>
      <c r="I34" s="58" t="s">
        <v>3150</v>
      </c>
      <c r="J34" s="58"/>
      <c r="K34" s="58" t="s">
        <v>3150</v>
      </c>
      <c r="L34" s="58" t="s">
        <v>3026</v>
      </c>
      <c r="M34" s="58"/>
      <c r="N34" s="58" t="s">
        <v>3026</v>
      </c>
      <c r="O34" s="58" t="s">
        <v>3080</v>
      </c>
      <c r="P34" s="58"/>
      <c r="Q34" s="58" t="s">
        <v>3080</v>
      </c>
      <c r="R34" s="58" t="s">
        <v>3028</v>
      </c>
      <c r="S34" s="58"/>
      <c r="T34" s="58" t="s">
        <v>3028</v>
      </c>
      <c r="U34" s="58" t="s">
        <v>559</v>
      </c>
      <c r="V34" s="55" t="s">
        <v>24</v>
      </c>
      <c r="X34" s="55" t="s">
        <v>992</v>
      </c>
      <c r="Y34" s="4" t="s">
        <v>203</v>
      </c>
      <c r="Z34" s="4" t="s">
        <v>204</v>
      </c>
      <c r="AA34" s="414">
        <v>60.0</v>
      </c>
    </row>
    <row r="35">
      <c r="A35" s="55" t="s">
        <v>3151</v>
      </c>
      <c r="B35" s="55" t="s">
        <v>3151</v>
      </c>
      <c r="F35" s="55" t="s">
        <v>186</v>
      </c>
      <c r="G35" s="55" t="s">
        <v>3024</v>
      </c>
      <c r="I35" s="58" t="s">
        <v>3152</v>
      </c>
      <c r="J35" s="58"/>
      <c r="K35" s="58" t="s">
        <v>3152</v>
      </c>
      <c r="L35" s="58" t="s">
        <v>3153</v>
      </c>
      <c r="M35" s="58"/>
      <c r="N35" s="58" t="s">
        <v>3153</v>
      </c>
      <c r="O35" s="58" t="s">
        <v>3154</v>
      </c>
      <c r="P35" s="58"/>
      <c r="Q35" s="58" t="s">
        <v>3154</v>
      </c>
      <c r="R35" s="58" t="s">
        <v>3155</v>
      </c>
      <c r="S35" s="58"/>
      <c r="T35" s="58" t="s">
        <v>3155</v>
      </c>
      <c r="U35" s="58" t="s">
        <v>200</v>
      </c>
      <c r="V35" s="55" t="s">
        <v>201</v>
      </c>
      <c r="X35" s="55" t="s">
        <v>1455</v>
      </c>
      <c r="Y35" s="4" t="s">
        <v>203</v>
      </c>
      <c r="Z35" s="4" t="s">
        <v>204</v>
      </c>
      <c r="AA35" s="414">
        <v>60.0</v>
      </c>
    </row>
    <row r="36">
      <c r="A36" s="55" t="s">
        <v>3156</v>
      </c>
      <c r="B36" s="55" t="s">
        <v>3156</v>
      </c>
      <c r="F36" s="55" t="s">
        <v>186</v>
      </c>
      <c r="G36" s="55" t="s">
        <v>3024</v>
      </c>
      <c r="I36" s="58" t="s">
        <v>3157</v>
      </c>
      <c r="J36" s="58"/>
      <c r="K36" s="58" t="s">
        <v>3157</v>
      </c>
      <c r="L36" s="58" t="s">
        <v>3080</v>
      </c>
      <c r="M36" s="58"/>
      <c r="N36" s="58" t="s">
        <v>3080</v>
      </c>
      <c r="O36" s="58" t="s">
        <v>3158</v>
      </c>
      <c r="P36" s="58"/>
      <c r="Q36" s="58" t="s">
        <v>3158</v>
      </c>
      <c r="R36" s="58" t="s">
        <v>3159</v>
      </c>
      <c r="S36" s="58"/>
      <c r="T36" s="58" t="s">
        <v>3159</v>
      </c>
      <c r="U36" s="58" t="s">
        <v>200</v>
      </c>
      <c r="V36" s="55" t="s">
        <v>201</v>
      </c>
      <c r="X36" s="55" t="s">
        <v>1449</v>
      </c>
      <c r="Y36" s="4" t="s">
        <v>203</v>
      </c>
      <c r="Z36" s="4" t="s">
        <v>204</v>
      </c>
      <c r="AA36" s="414">
        <v>60.0</v>
      </c>
    </row>
    <row r="37">
      <c r="A37" s="55" t="s">
        <v>3160</v>
      </c>
      <c r="B37" s="55" t="s">
        <v>3160</v>
      </c>
      <c r="F37" s="55" t="s">
        <v>186</v>
      </c>
      <c r="G37" s="55" t="s">
        <v>3024</v>
      </c>
      <c r="I37" s="58" t="s">
        <v>3161</v>
      </c>
      <c r="J37" s="58"/>
      <c r="K37" s="58" t="s">
        <v>3161</v>
      </c>
      <c r="L37" s="58" t="s">
        <v>3026</v>
      </c>
      <c r="M37" s="58"/>
      <c r="N37" s="58" t="s">
        <v>3026</v>
      </c>
      <c r="O37" s="58" t="s">
        <v>3148</v>
      </c>
      <c r="P37" s="58"/>
      <c r="Q37" s="58" t="s">
        <v>3148</v>
      </c>
      <c r="R37" s="58" t="s">
        <v>3047</v>
      </c>
      <c r="S37" s="58"/>
      <c r="T37" s="58" t="s">
        <v>3047</v>
      </c>
      <c r="U37" s="58" t="s">
        <v>559</v>
      </c>
      <c r="V37" s="55" t="s">
        <v>24</v>
      </c>
      <c r="X37" s="55" t="s">
        <v>1173</v>
      </c>
      <c r="Y37" s="4" t="s">
        <v>203</v>
      </c>
      <c r="Z37" s="4" t="s">
        <v>204</v>
      </c>
      <c r="AA37" s="414">
        <v>60.0</v>
      </c>
    </row>
    <row r="38">
      <c r="A38" s="55" t="s">
        <v>3162</v>
      </c>
      <c r="B38" s="55" t="s">
        <v>3162</v>
      </c>
      <c r="F38" s="55" t="s">
        <v>186</v>
      </c>
      <c r="G38" s="55" t="s">
        <v>3024</v>
      </c>
      <c r="I38" s="58" t="s">
        <v>3163</v>
      </c>
      <c r="J38" s="58"/>
      <c r="K38" s="58" t="s">
        <v>3163</v>
      </c>
      <c r="L38" s="58" t="s">
        <v>3026</v>
      </c>
      <c r="M38" s="58"/>
      <c r="N38" s="58" t="s">
        <v>3026</v>
      </c>
      <c r="O38" s="58" t="s">
        <v>3131</v>
      </c>
      <c r="P38" s="58"/>
      <c r="Q38" s="58" t="s">
        <v>3131</v>
      </c>
      <c r="R38" s="58" t="s">
        <v>3164</v>
      </c>
      <c r="S38" s="58"/>
      <c r="T38" s="58" t="s">
        <v>3164</v>
      </c>
      <c r="U38" s="58" t="s">
        <v>559</v>
      </c>
      <c r="V38" s="55" t="s">
        <v>24</v>
      </c>
      <c r="X38" s="55" t="s">
        <v>1107</v>
      </c>
      <c r="Y38" s="4" t="s">
        <v>203</v>
      </c>
      <c r="Z38" s="4" t="s">
        <v>204</v>
      </c>
      <c r="AA38" s="414">
        <v>60.0</v>
      </c>
    </row>
    <row r="39">
      <c r="A39" s="55" t="s">
        <v>3165</v>
      </c>
      <c r="B39" s="55" t="s">
        <v>3165</v>
      </c>
      <c r="F39" s="55" t="s">
        <v>186</v>
      </c>
      <c r="G39" s="55" t="s">
        <v>3024</v>
      </c>
      <c r="I39" s="58" t="s">
        <v>3166</v>
      </c>
      <c r="J39" s="58"/>
      <c r="K39" s="58" t="s">
        <v>3166</v>
      </c>
      <c r="L39" s="58" t="s">
        <v>3026</v>
      </c>
      <c r="M39" s="58"/>
      <c r="N39" s="58" t="s">
        <v>3026</v>
      </c>
      <c r="O39" s="58" t="s">
        <v>3131</v>
      </c>
      <c r="P39" s="58"/>
      <c r="Q39" s="58" t="s">
        <v>3131</v>
      </c>
      <c r="R39" s="58" t="s">
        <v>3167</v>
      </c>
      <c r="S39" s="58"/>
      <c r="T39" s="58" t="s">
        <v>3167</v>
      </c>
      <c r="U39" s="58" t="s">
        <v>559</v>
      </c>
      <c r="V39" s="55" t="s">
        <v>24</v>
      </c>
      <c r="X39" s="55" t="s">
        <v>1148</v>
      </c>
      <c r="Y39" s="4" t="s">
        <v>203</v>
      </c>
      <c r="Z39" s="4" t="s">
        <v>204</v>
      </c>
      <c r="AA39" s="414">
        <v>60.0</v>
      </c>
    </row>
    <row r="40">
      <c r="A40" s="55" t="s">
        <v>3168</v>
      </c>
      <c r="B40" s="55" t="s">
        <v>3168</v>
      </c>
      <c r="F40" s="55" t="s">
        <v>186</v>
      </c>
      <c r="G40" s="55" t="s">
        <v>3024</v>
      </c>
      <c r="I40" s="58" t="s">
        <v>3169</v>
      </c>
      <c r="J40" s="58"/>
      <c r="K40" s="58" t="s">
        <v>3169</v>
      </c>
      <c r="L40" s="58" t="s">
        <v>3047</v>
      </c>
      <c r="M40" s="58"/>
      <c r="N40" s="58" t="s">
        <v>3047</v>
      </c>
      <c r="O40" s="58" t="s">
        <v>3048</v>
      </c>
      <c r="P40" s="58"/>
      <c r="Q40" s="58" t="s">
        <v>3048</v>
      </c>
      <c r="R40" s="58" t="s">
        <v>3170</v>
      </c>
      <c r="S40" s="58"/>
      <c r="T40" s="58" t="s">
        <v>3170</v>
      </c>
      <c r="U40" s="58" t="s">
        <v>559</v>
      </c>
      <c r="V40" s="55" t="s">
        <v>24</v>
      </c>
      <c r="X40" s="55" t="s">
        <v>1223</v>
      </c>
      <c r="Y40" s="4" t="s">
        <v>203</v>
      </c>
      <c r="Z40" s="4" t="s">
        <v>204</v>
      </c>
      <c r="AA40" s="414">
        <v>60.0</v>
      </c>
    </row>
    <row r="41">
      <c r="A41" s="55" t="s">
        <v>3171</v>
      </c>
      <c r="B41" s="55" t="s">
        <v>3171</v>
      </c>
      <c r="F41" s="55" t="s">
        <v>186</v>
      </c>
      <c r="G41" s="55" t="s">
        <v>3024</v>
      </c>
      <c r="I41" s="58" t="s">
        <v>3127</v>
      </c>
      <c r="J41" s="58"/>
      <c r="K41" s="58" t="s">
        <v>3127</v>
      </c>
      <c r="L41" s="58" t="s">
        <v>3027</v>
      </c>
      <c r="M41" s="58"/>
      <c r="N41" s="58" t="s">
        <v>3027</v>
      </c>
      <c r="O41" s="58" t="s">
        <v>3172</v>
      </c>
      <c r="P41" s="58"/>
      <c r="Q41" s="58" t="s">
        <v>3172</v>
      </c>
      <c r="R41" s="58" t="s">
        <v>3173</v>
      </c>
      <c r="S41" s="58"/>
      <c r="T41" s="58" t="s">
        <v>3173</v>
      </c>
      <c r="U41" s="58" t="s">
        <v>559</v>
      </c>
      <c r="V41" s="55" t="s">
        <v>24</v>
      </c>
      <c r="X41" s="55" t="s">
        <v>1208</v>
      </c>
      <c r="Y41" s="4" t="s">
        <v>203</v>
      </c>
      <c r="Z41" s="4" t="s">
        <v>204</v>
      </c>
      <c r="AA41" s="414">
        <v>60.0</v>
      </c>
    </row>
    <row r="42">
      <c r="A42" s="55" t="s">
        <v>3174</v>
      </c>
      <c r="B42" s="55" t="s">
        <v>3174</v>
      </c>
      <c r="F42" s="55" t="s">
        <v>186</v>
      </c>
      <c r="G42" s="55" t="s">
        <v>3024</v>
      </c>
      <c r="I42" s="58" t="s">
        <v>3074</v>
      </c>
      <c r="J42" s="58"/>
      <c r="K42" s="58" t="s">
        <v>3074</v>
      </c>
      <c r="L42" s="58" t="s">
        <v>3026</v>
      </c>
      <c r="M42" s="58"/>
      <c r="N42" s="58" t="s">
        <v>3026</v>
      </c>
      <c r="O42" s="58" t="s">
        <v>3049</v>
      </c>
      <c r="P42" s="58"/>
      <c r="Q42" s="58" t="s">
        <v>3049</v>
      </c>
      <c r="R42" s="58" t="s">
        <v>3128</v>
      </c>
      <c r="S42" s="58"/>
      <c r="T42" s="58" t="s">
        <v>3128</v>
      </c>
      <c r="U42" s="58" t="s">
        <v>559</v>
      </c>
      <c r="V42" s="55" t="s">
        <v>24</v>
      </c>
      <c r="X42" s="55" t="s">
        <v>1203</v>
      </c>
      <c r="Y42" s="4" t="s">
        <v>203</v>
      </c>
      <c r="Z42" s="4" t="s">
        <v>204</v>
      </c>
      <c r="AA42" s="414">
        <v>60.0</v>
      </c>
    </row>
    <row r="43">
      <c r="A43" s="55" t="s">
        <v>3175</v>
      </c>
      <c r="B43" s="55" t="s">
        <v>3175</v>
      </c>
      <c r="F43" s="55" t="s">
        <v>186</v>
      </c>
      <c r="G43" s="55" t="s">
        <v>3024</v>
      </c>
      <c r="I43" s="58" t="s">
        <v>3176</v>
      </c>
      <c r="J43" s="58"/>
      <c r="K43" s="58" t="s">
        <v>3176</v>
      </c>
      <c r="L43" s="58" t="s">
        <v>3028</v>
      </c>
      <c r="M43" s="58"/>
      <c r="N43" s="58" t="s">
        <v>3028</v>
      </c>
      <c r="O43" s="58" t="s">
        <v>3177</v>
      </c>
      <c r="P43" s="58"/>
      <c r="Q43" s="58" t="s">
        <v>3177</v>
      </c>
      <c r="R43" s="58" t="s">
        <v>3178</v>
      </c>
      <c r="S43" s="58"/>
      <c r="T43" s="58" t="s">
        <v>3178</v>
      </c>
      <c r="U43" s="58" t="s">
        <v>200</v>
      </c>
      <c r="V43" s="55" t="s">
        <v>201</v>
      </c>
      <c r="X43" s="55" t="s">
        <v>817</v>
      </c>
      <c r="Y43" s="4" t="s">
        <v>203</v>
      </c>
      <c r="Z43" s="4" t="s">
        <v>204</v>
      </c>
      <c r="AA43" s="414">
        <v>60.0</v>
      </c>
    </row>
    <row r="44">
      <c r="A44" s="55" t="s">
        <v>3179</v>
      </c>
      <c r="B44" s="55" t="s">
        <v>3179</v>
      </c>
      <c r="F44" s="55" t="s">
        <v>186</v>
      </c>
      <c r="G44" s="55" t="s">
        <v>3024</v>
      </c>
      <c r="I44" s="58" t="s">
        <v>3180</v>
      </c>
      <c r="J44" s="58"/>
      <c r="K44" s="58" t="s">
        <v>3180</v>
      </c>
      <c r="L44" s="58" t="s">
        <v>3028</v>
      </c>
      <c r="M44" s="58"/>
      <c r="N44" s="58" t="s">
        <v>3028</v>
      </c>
      <c r="O44" s="58" t="s">
        <v>3181</v>
      </c>
      <c r="P44" s="58"/>
      <c r="Q44" s="58" t="s">
        <v>3181</v>
      </c>
      <c r="R44" s="58" t="s">
        <v>3182</v>
      </c>
      <c r="S44" s="58"/>
      <c r="T44" s="58" t="s">
        <v>3182</v>
      </c>
      <c r="U44" s="58" t="s">
        <v>200</v>
      </c>
      <c r="V44" s="55" t="s">
        <v>201</v>
      </c>
      <c r="X44" s="55" t="s">
        <v>835</v>
      </c>
      <c r="Y44" s="4" t="s">
        <v>203</v>
      </c>
      <c r="Z44" s="4" t="s">
        <v>204</v>
      </c>
      <c r="AA44" s="414">
        <v>60.0</v>
      </c>
    </row>
    <row r="45">
      <c r="A45" s="55" t="s">
        <v>3183</v>
      </c>
      <c r="B45" s="55" t="s">
        <v>3183</v>
      </c>
      <c r="F45" s="55" t="s">
        <v>186</v>
      </c>
      <c r="G45" s="55" t="s">
        <v>3024</v>
      </c>
      <c r="I45" s="58" t="s">
        <v>3034</v>
      </c>
      <c r="J45" s="58"/>
      <c r="K45" s="58" t="s">
        <v>3034</v>
      </c>
      <c r="L45" s="58" t="s">
        <v>3184</v>
      </c>
      <c r="M45" s="58"/>
      <c r="N45" s="58" t="s">
        <v>3184</v>
      </c>
      <c r="O45" s="58" t="s">
        <v>3185</v>
      </c>
      <c r="P45" s="58"/>
      <c r="Q45" s="58" t="s">
        <v>3185</v>
      </c>
      <c r="R45" s="58" t="s">
        <v>3186</v>
      </c>
      <c r="S45" s="58"/>
      <c r="T45" s="58" t="s">
        <v>3186</v>
      </c>
      <c r="U45" s="58" t="s">
        <v>200</v>
      </c>
      <c r="V45" s="55" t="s">
        <v>201</v>
      </c>
      <c r="X45" s="55" t="s">
        <v>847</v>
      </c>
      <c r="Y45" s="4" t="s">
        <v>203</v>
      </c>
      <c r="Z45" s="4" t="s">
        <v>204</v>
      </c>
      <c r="AA45" s="414">
        <v>60.0</v>
      </c>
    </row>
    <row r="46">
      <c r="A46" s="55" t="s">
        <v>3187</v>
      </c>
      <c r="B46" s="55" t="s">
        <v>3187</v>
      </c>
      <c r="F46" s="55" t="s">
        <v>186</v>
      </c>
      <c r="G46" s="55" t="s">
        <v>3024</v>
      </c>
      <c r="I46" s="58" t="s">
        <v>3188</v>
      </c>
      <c r="J46" s="58"/>
      <c r="K46" s="58" t="s">
        <v>3188</v>
      </c>
      <c r="L46" s="58" t="s">
        <v>3026</v>
      </c>
      <c r="M46" s="58"/>
      <c r="N46" s="58" t="s">
        <v>3026</v>
      </c>
      <c r="O46" s="58" t="s">
        <v>3064</v>
      </c>
      <c r="P46" s="58"/>
      <c r="Q46" s="58" t="s">
        <v>3064</v>
      </c>
      <c r="R46" s="58" t="s">
        <v>3189</v>
      </c>
      <c r="S46" s="58"/>
      <c r="T46" s="58" t="s">
        <v>3189</v>
      </c>
      <c r="U46" s="58" t="s">
        <v>559</v>
      </c>
      <c r="V46" s="55" t="s">
        <v>24</v>
      </c>
      <c r="X46" s="55" t="s">
        <v>781</v>
      </c>
      <c r="Y46" s="4" t="s">
        <v>203</v>
      </c>
      <c r="Z46" s="4" t="s">
        <v>204</v>
      </c>
      <c r="AA46" s="414">
        <v>60.0</v>
      </c>
    </row>
    <row r="47">
      <c r="A47" s="55" t="s">
        <v>3190</v>
      </c>
      <c r="B47" s="55" t="s">
        <v>3190</v>
      </c>
      <c r="F47" s="55" t="s">
        <v>186</v>
      </c>
      <c r="G47" s="55" t="s">
        <v>3024</v>
      </c>
      <c r="I47" s="58" t="s">
        <v>3191</v>
      </c>
      <c r="J47" s="58"/>
      <c r="K47" s="58" t="s">
        <v>3191</v>
      </c>
      <c r="L47" s="58" t="s">
        <v>3047</v>
      </c>
      <c r="M47" s="58"/>
      <c r="N47" s="58" t="s">
        <v>3047</v>
      </c>
      <c r="O47" s="58" t="s">
        <v>3083</v>
      </c>
      <c r="P47" s="58"/>
      <c r="Q47" s="58" t="s">
        <v>3083</v>
      </c>
      <c r="R47" s="58" t="s">
        <v>3192</v>
      </c>
      <c r="S47" s="58"/>
      <c r="T47" s="58" t="s">
        <v>3192</v>
      </c>
      <c r="U47" s="58" t="s">
        <v>559</v>
      </c>
      <c r="V47" s="55" t="s">
        <v>24</v>
      </c>
      <c r="X47" s="55" t="s">
        <v>1089</v>
      </c>
      <c r="Y47" s="4" t="s">
        <v>203</v>
      </c>
      <c r="Z47" s="4" t="s">
        <v>204</v>
      </c>
      <c r="AA47" s="414">
        <v>60.0</v>
      </c>
    </row>
    <row r="48">
      <c r="A48" s="55" t="s">
        <v>3193</v>
      </c>
      <c r="B48" s="55" t="s">
        <v>3193</v>
      </c>
      <c r="F48" s="55" t="s">
        <v>186</v>
      </c>
      <c r="G48" s="55" t="s">
        <v>3024</v>
      </c>
      <c r="I48" s="58" t="s">
        <v>3194</v>
      </c>
      <c r="J48" s="58"/>
      <c r="K48" s="58" t="s">
        <v>3194</v>
      </c>
      <c r="L48" s="58" t="s">
        <v>3026</v>
      </c>
      <c r="M48" s="58"/>
      <c r="N48" s="58" t="s">
        <v>3026</v>
      </c>
      <c r="O48" s="58" t="s">
        <v>3195</v>
      </c>
      <c r="P48" s="58"/>
      <c r="Q48" s="58" t="s">
        <v>3195</v>
      </c>
      <c r="R48" s="58" t="s">
        <v>3039</v>
      </c>
      <c r="S48" s="58"/>
      <c r="T48" s="58" t="s">
        <v>3039</v>
      </c>
      <c r="U48" s="58" t="s">
        <v>559</v>
      </c>
      <c r="V48" s="55" t="s">
        <v>24</v>
      </c>
      <c r="X48" s="55" t="s">
        <v>1153</v>
      </c>
      <c r="Y48" s="4" t="s">
        <v>203</v>
      </c>
      <c r="Z48" s="4" t="s">
        <v>204</v>
      </c>
      <c r="AA48" s="414">
        <v>60.0</v>
      </c>
    </row>
    <row r="49">
      <c r="A49" s="55" t="s">
        <v>3196</v>
      </c>
      <c r="B49" s="55" t="s">
        <v>3196</v>
      </c>
      <c r="F49" s="55" t="s">
        <v>186</v>
      </c>
      <c r="G49" s="55" t="s">
        <v>3024</v>
      </c>
      <c r="I49" s="58" t="s">
        <v>3197</v>
      </c>
      <c r="J49" s="58"/>
      <c r="K49" s="58" t="s">
        <v>3197</v>
      </c>
      <c r="L49" s="58" t="s">
        <v>3026</v>
      </c>
      <c r="M49" s="58"/>
      <c r="N49" s="58" t="s">
        <v>3026</v>
      </c>
      <c r="O49" s="58" t="s">
        <v>3076</v>
      </c>
      <c r="P49" s="58"/>
      <c r="Q49" s="58" t="s">
        <v>3076</v>
      </c>
      <c r="R49" s="58" t="s">
        <v>3116</v>
      </c>
      <c r="S49" s="58"/>
      <c r="T49" s="58" t="s">
        <v>3116</v>
      </c>
      <c r="U49" s="58" t="s">
        <v>559</v>
      </c>
      <c r="V49" s="55" t="s">
        <v>24</v>
      </c>
      <c r="X49" s="55" t="s">
        <v>973</v>
      </c>
      <c r="Y49" s="4" t="s">
        <v>203</v>
      </c>
      <c r="Z49" s="4" t="s">
        <v>204</v>
      </c>
      <c r="AA49" s="414">
        <v>60.0</v>
      </c>
    </row>
    <row r="50">
      <c r="A50" s="55" t="s">
        <v>3198</v>
      </c>
      <c r="B50" s="55" t="s">
        <v>3198</v>
      </c>
      <c r="F50" s="55" t="s">
        <v>186</v>
      </c>
      <c r="G50" s="55" t="s">
        <v>3024</v>
      </c>
      <c r="I50" s="58" t="s">
        <v>3199</v>
      </c>
      <c r="J50" s="58"/>
      <c r="K50" s="58" t="s">
        <v>3199</v>
      </c>
      <c r="L50" s="58" t="s">
        <v>3026</v>
      </c>
      <c r="M50" s="58"/>
      <c r="N50" s="58" t="s">
        <v>3026</v>
      </c>
      <c r="O50" s="58" t="s">
        <v>3084</v>
      </c>
      <c r="P50" s="58"/>
      <c r="Q50" s="58" t="s">
        <v>3084</v>
      </c>
      <c r="R50" s="58" t="s">
        <v>3049</v>
      </c>
      <c r="S50" s="58"/>
      <c r="T50" s="58" t="s">
        <v>3049</v>
      </c>
      <c r="U50" s="58" t="s">
        <v>559</v>
      </c>
      <c r="V50" s="55" t="s">
        <v>24</v>
      </c>
      <c r="X50" s="55" t="s">
        <v>968</v>
      </c>
      <c r="Y50" s="4" t="s">
        <v>203</v>
      </c>
      <c r="Z50" s="4" t="s">
        <v>204</v>
      </c>
      <c r="AA50" s="414">
        <v>60.0</v>
      </c>
    </row>
    <row r="51">
      <c r="A51" s="55" t="s">
        <v>3200</v>
      </c>
      <c r="B51" s="55" t="s">
        <v>3200</v>
      </c>
      <c r="F51" s="55" t="s">
        <v>186</v>
      </c>
      <c r="G51" s="55" t="s">
        <v>3024</v>
      </c>
      <c r="I51" s="58" t="s">
        <v>3201</v>
      </c>
      <c r="J51" s="58"/>
      <c r="K51" s="58" t="s">
        <v>3201</v>
      </c>
      <c r="L51" s="58" t="s">
        <v>3026</v>
      </c>
      <c r="M51" s="58"/>
      <c r="N51" s="58" t="s">
        <v>3026</v>
      </c>
      <c r="O51" s="58" t="s">
        <v>3076</v>
      </c>
      <c r="P51" s="58"/>
      <c r="Q51" s="58" t="s">
        <v>3076</v>
      </c>
      <c r="R51" s="58" t="s">
        <v>3131</v>
      </c>
      <c r="S51" s="58"/>
      <c r="T51" s="58" t="s">
        <v>3131</v>
      </c>
      <c r="U51" s="58" t="s">
        <v>559</v>
      </c>
      <c r="V51" s="55" t="s">
        <v>24</v>
      </c>
      <c r="X51" s="55" t="s">
        <v>987</v>
      </c>
      <c r="Y51" s="4" t="s">
        <v>203</v>
      </c>
      <c r="Z51" s="4" t="s">
        <v>204</v>
      </c>
      <c r="AA51" s="414">
        <v>60.0</v>
      </c>
    </row>
    <row r="52">
      <c r="A52" s="55" t="s">
        <v>3202</v>
      </c>
      <c r="B52" s="55" t="s">
        <v>3202</v>
      </c>
      <c r="F52" s="55" t="s">
        <v>186</v>
      </c>
      <c r="G52" s="55" t="s">
        <v>3024</v>
      </c>
      <c r="I52" s="58" t="s">
        <v>3201</v>
      </c>
      <c r="J52" s="58"/>
      <c r="K52" s="58" t="s">
        <v>3201</v>
      </c>
      <c r="L52" s="58" t="s">
        <v>3026</v>
      </c>
      <c r="M52" s="58"/>
      <c r="N52" s="58" t="s">
        <v>3026</v>
      </c>
      <c r="O52" s="58" t="s">
        <v>3076</v>
      </c>
      <c r="P52" s="58"/>
      <c r="Q52" s="58" t="s">
        <v>3076</v>
      </c>
      <c r="R52" s="58" t="s">
        <v>3131</v>
      </c>
      <c r="S52" s="58"/>
      <c r="T52" s="58" t="s">
        <v>3131</v>
      </c>
      <c r="U52" s="58" t="s">
        <v>559</v>
      </c>
      <c r="V52" s="55" t="s">
        <v>24</v>
      </c>
      <c r="X52" s="55" t="s">
        <v>1046</v>
      </c>
      <c r="Y52" s="4" t="s">
        <v>203</v>
      </c>
      <c r="Z52" s="4" t="s">
        <v>204</v>
      </c>
      <c r="AA52" s="414">
        <v>60.0</v>
      </c>
    </row>
    <row r="53">
      <c r="A53" s="55" t="s">
        <v>3203</v>
      </c>
      <c r="B53" s="55" t="s">
        <v>3203</v>
      </c>
      <c r="F53" s="55" t="s">
        <v>186</v>
      </c>
      <c r="G53" s="55" t="s">
        <v>3024</v>
      </c>
      <c r="I53" s="58" t="s">
        <v>2503</v>
      </c>
      <c r="J53" s="58"/>
      <c r="K53" s="58" t="s">
        <v>2503</v>
      </c>
      <c r="L53" s="58" t="s">
        <v>3026</v>
      </c>
      <c r="M53" s="58"/>
      <c r="N53" s="58" t="s">
        <v>3026</v>
      </c>
      <c r="O53" s="58" t="s">
        <v>3039</v>
      </c>
      <c r="P53" s="58"/>
      <c r="Q53" s="58" t="s">
        <v>3039</v>
      </c>
      <c r="R53" s="58" t="s">
        <v>3039</v>
      </c>
      <c r="S53" s="58"/>
      <c r="T53" s="58" t="s">
        <v>3039</v>
      </c>
      <c r="U53" s="58" t="s">
        <v>559</v>
      </c>
      <c r="V53" s="55" t="s">
        <v>24</v>
      </c>
      <c r="X53" s="55" t="s">
        <v>1253</v>
      </c>
      <c r="Y53" s="4" t="s">
        <v>203</v>
      </c>
      <c r="Z53" s="4" t="s">
        <v>204</v>
      </c>
      <c r="AA53" s="414">
        <v>60.0</v>
      </c>
    </row>
    <row r="54">
      <c r="A54" s="55" t="s">
        <v>3204</v>
      </c>
      <c r="B54" s="55" t="s">
        <v>3204</v>
      </c>
      <c r="F54" s="55" t="s">
        <v>186</v>
      </c>
      <c r="G54" s="55" t="s">
        <v>3024</v>
      </c>
      <c r="I54" s="58" t="s">
        <v>3205</v>
      </c>
      <c r="J54" s="58"/>
      <c r="K54" s="58" t="s">
        <v>3205</v>
      </c>
      <c r="L54" s="58" t="s">
        <v>3026</v>
      </c>
      <c r="M54" s="58"/>
      <c r="N54" s="58" t="s">
        <v>3026</v>
      </c>
      <c r="O54" s="58" t="s">
        <v>3184</v>
      </c>
      <c r="P54" s="58"/>
      <c r="Q54" s="58" t="s">
        <v>3184</v>
      </c>
      <c r="R54" s="58" t="s">
        <v>3047</v>
      </c>
      <c r="S54" s="58"/>
      <c r="T54" s="58" t="s">
        <v>3047</v>
      </c>
      <c r="U54" s="58" t="s">
        <v>559</v>
      </c>
      <c r="V54" s="55" t="s">
        <v>24</v>
      </c>
      <c r="X54" s="55" t="s">
        <v>997</v>
      </c>
      <c r="Y54" s="4" t="s">
        <v>203</v>
      </c>
      <c r="Z54" s="4" t="s">
        <v>204</v>
      </c>
      <c r="AA54" s="414">
        <v>60.0</v>
      </c>
    </row>
    <row r="55">
      <c r="A55" s="55" t="s">
        <v>3206</v>
      </c>
      <c r="B55" s="55" t="s">
        <v>3206</v>
      </c>
      <c r="F55" s="55" t="s">
        <v>186</v>
      </c>
      <c r="G55" s="55" t="s">
        <v>3024</v>
      </c>
      <c r="I55" s="58" t="s">
        <v>3207</v>
      </c>
      <c r="J55" s="58"/>
      <c r="K55" s="58" t="s">
        <v>3207</v>
      </c>
      <c r="L55" s="58" t="s">
        <v>3026</v>
      </c>
      <c r="M55" s="58"/>
      <c r="N55" s="58" t="s">
        <v>3026</v>
      </c>
      <c r="O55" s="58" t="s">
        <v>3184</v>
      </c>
      <c r="P55" s="58"/>
      <c r="Q55" s="58" t="s">
        <v>3184</v>
      </c>
      <c r="R55" s="58" t="s">
        <v>3047</v>
      </c>
      <c r="S55" s="58"/>
      <c r="T55" s="58" t="s">
        <v>3047</v>
      </c>
      <c r="U55" s="58" t="s">
        <v>559</v>
      </c>
      <c r="V55" s="55" t="s">
        <v>24</v>
      </c>
      <c r="X55" s="55" t="s">
        <v>1011</v>
      </c>
      <c r="Y55" s="4" t="s">
        <v>203</v>
      </c>
      <c r="Z55" s="4" t="s">
        <v>204</v>
      </c>
      <c r="AA55" s="414">
        <v>60.0</v>
      </c>
    </row>
    <row r="56">
      <c r="A56" s="55" t="s">
        <v>3208</v>
      </c>
      <c r="B56" s="55" t="s">
        <v>3208</v>
      </c>
      <c r="F56" s="55" t="s">
        <v>186</v>
      </c>
      <c r="G56" s="55" t="s">
        <v>3024</v>
      </c>
      <c r="I56" s="58" t="s">
        <v>3205</v>
      </c>
      <c r="J56" s="58"/>
      <c r="K56" s="58" t="s">
        <v>3205</v>
      </c>
      <c r="L56" s="58" t="s">
        <v>3026</v>
      </c>
      <c r="M56" s="58"/>
      <c r="N56" s="58" t="s">
        <v>3026</v>
      </c>
      <c r="O56" s="58" t="s">
        <v>3184</v>
      </c>
      <c r="P56" s="58"/>
      <c r="Q56" s="58" t="s">
        <v>3184</v>
      </c>
      <c r="R56" s="58" t="s">
        <v>3047</v>
      </c>
      <c r="S56" s="58"/>
      <c r="T56" s="58" t="s">
        <v>3047</v>
      </c>
      <c r="U56" s="58" t="s">
        <v>559</v>
      </c>
      <c r="V56" s="55" t="s">
        <v>24</v>
      </c>
      <c r="X56" s="55" t="s">
        <v>1019</v>
      </c>
      <c r="Y56" s="4" t="s">
        <v>203</v>
      </c>
      <c r="Z56" s="4" t="s">
        <v>204</v>
      </c>
      <c r="AA56" s="414">
        <v>60.0</v>
      </c>
    </row>
    <row r="57">
      <c r="A57" s="55" t="s">
        <v>3209</v>
      </c>
      <c r="B57" s="55" t="s">
        <v>3209</v>
      </c>
      <c r="F57" s="55" t="s">
        <v>186</v>
      </c>
      <c r="G57" s="55" t="s">
        <v>3024</v>
      </c>
      <c r="I57" s="58" t="s">
        <v>3205</v>
      </c>
      <c r="J57" s="58"/>
      <c r="K57" s="58" t="s">
        <v>3205</v>
      </c>
      <c r="L57" s="58" t="s">
        <v>3026</v>
      </c>
      <c r="M57" s="58"/>
      <c r="N57" s="58" t="s">
        <v>3026</v>
      </c>
      <c r="O57" s="58" t="s">
        <v>3184</v>
      </c>
      <c r="P57" s="58"/>
      <c r="Q57" s="58" t="s">
        <v>3184</v>
      </c>
      <c r="R57" s="58" t="s">
        <v>3047</v>
      </c>
      <c r="S57" s="58"/>
      <c r="T57" s="58" t="s">
        <v>3047</v>
      </c>
      <c r="U57" s="58" t="s">
        <v>559</v>
      </c>
      <c r="V57" s="55" t="s">
        <v>24</v>
      </c>
      <c r="X57" s="55" t="s">
        <v>1019</v>
      </c>
      <c r="Y57" s="4" t="s">
        <v>203</v>
      </c>
      <c r="Z57" s="4" t="s">
        <v>204</v>
      </c>
      <c r="AA57" s="414">
        <v>60.0</v>
      </c>
    </row>
    <row r="58">
      <c r="A58" s="55" t="s">
        <v>3210</v>
      </c>
      <c r="B58" s="55" t="s">
        <v>3210</v>
      </c>
      <c r="F58" s="55" t="s">
        <v>186</v>
      </c>
      <c r="G58" s="55" t="s">
        <v>3024</v>
      </c>
      <c r="I58" s="58" t="s">
        <v>3207</v>
      </c>
      <c r="J58" s="58"/>
      <c r="K58" s="58" t="s">
        <v>3207</v>
      </c>
      <c r="L58" s="58" t="s">
        <v>3026</v>
      </c>
      <c r="M58" s="58"/>
      <c r="N58" s="58" t="s">
        <v>3026</v>
      </c>
      <c r="O58" s="58" t="s">
        <v>3184</v>
      </c>
      <c r="P58" s="58"/>
      <c r="Q58" s="58" t="s">
        <v>3184</v>
      </c>
      <c r="R58" s="58" t="s">
        <v>3047</v>
      </c>
      <c r="S58" s="58"/>
      <c r="T58" s="58" t="s">
        <v>3047</v>
      </c>
      <c r="U58" s="58" t="s">
        <v>559</v>
      </c>
      <c r="V58" s="55" t="s">
        <v>24</v>
      </c>
      <c r="X58" s="55" t="s">
        <v>1032</v>
      </c>
      <c r="Y58" s="4" t="s">
        <v>203</v>
      </c>
      <c r="Z58" s="4" t="s">
        <v>204</v>
      </c>
      <c r="AA58" s="414">
        <v>60.0</v>
      </c>
    </row>
    <row r="59">
      <c r="A59" s="55" t="s">
        <v>3211</v>
      </c>
      <c r="B59" s="55" t="s">
        <v>3211</v>
      </c>
      <c r="F59" s="55" t="s">
        <v>186</v>
      </c>
      <c r="G59" s="55" t="s">
        <v>3024</v>
      </c>
      <c r="I59" s="58" t="s">
        <v>3201</v>
      </c>
      <c r="J59" s="58"/>
      <c r="K59" s="58" t="s">
        <v>3201</v>
      </c>
      <c r="L59" s="58" t="s">
        <v>3026</v>
      </c>
      <c r="M59" s="58"/>
      <c r="N59" s="58" t="s">
        <v>3026</v>
      </c>
      <c r="O59" s="58" t="s">
        <v>3076</v>
      </c>
      <c r="P59" s="58"/>
      <c r="Q59" s="58" t="s">
        <v>3076</v>
      </c>
      <c r="R59" s="58" t="s">
        <v>3131</v>
      </c>
      <c r="S59" s="58"/>
      <c r="T59" s="58" t="s">
        <v>3131</v>
      </c>
      <c r="U59" s="58" t="s">
        <v>559</v>
      </c>
      <c r="V59" s="55" t="s">
        <v>24</v>
      </c>
      <c r="X59" s="55" t="s">
        <v>1051</v>
      </c>
      <c r="Y59" s="4" t="s">
        <v>203</v>
      </c>
      <c r="Z59" s="4" t="s">
        <v>204</v>
      </c>
      <c r="AA59" s="414">
        <v>60.0</v>
      </c>
    </row>
    <row r="60">
      <c r="A60" s="55" t="s">
        <v>3212</v>
      </c>
      <c r="B60" s="55" t="s">
        <v>3212</v>
      </c>
      <c r="F60" s="55" t="s">
        <v>186</v>
      </c>
      <c r="G60" s="55" t="s">
        <v>3024</v>
      </c>
      <c r="I60" s="58" t="s">
        <v>3201</v>
      </c>
      <c r="J60" s="58"/>
      <c r="K60" s="58" t="s">
        <v>3201</v>
      </c>
      <c r="L60" s="58" t="s">
        <v>3026</v>
      </c>
      <c r="M60" s="58"/>
      <c r="N60" s="58" t="s">
        <v>3026</v>
      </c>
      <c r="O60" s="58" t="s">
        <v>3076</v>
      </c>
      <c r="P60" s="58"/>
      <c r="Q60" s="58" t="s">
        <v>3076</v>
      </c>
      <c r="R60" s="58" t="s">
        <v>3131</v>
      </c>
      <c r="S60" s="58"/>
      <c r="T60" s="58" t="s">
        <v>3131</v>
      </c>
      <c r="U60" s="58" t="s">
        <v>559</v>
      </c>
      <c r="V60" s="55" t="s">
        <v>24</v>
      </c>
      <c r="X60" s="55" t="s">
        <v>1059</v>
      </c>
      <c r="Y60" s="4" t="s">
        <v>203</v>
      </c>
      <c r="Z60" s="4" t="s">
        <v>204</v>
      </c>
      <c r="AA60" s="414">
        <v>60.0</v>
      </c>
    </row>
    <row r="61">
      <c r="A61" s="55" t="s">
        <v>3213</v>
      </c>
      <c r="B61" s="55" t="s">
        <v>3213</v>
      </c>
      <c r="F61" s="55" t="s">
        <v>186</v>
      </c>
      <c r="G61" s="55" t="s">
        <v>3024</v>
      </c>
      <c r="I61" s="58" t="s">
        <v>3199</v>
      </c>
      <c r="J61" s="58"/>
      <c r="K61" s="58" t="s">
        <v>3199</v>
      </c>
      <c r="L61" s="58" t="s">
        <v>3026</v>
      </c>
      <c r="M61" s="58"/>
      <c r="N61" s="58" t="s">
        <v>3026</v>
      </c>
      <c r="O61" s="58" t="s">
        <v>3084</v>
      </c>
      <c r="P61" s="58"/>
      <c r="Q61" s="58" t="s">
        <v>3084</v>
      </c>
      <c r="R61" s="58" t="s">
        <v>3049</v>
      </c>
      <c r="S61" s="58"/>
      <c r="T61" s="58" t="s">
        <v>3049</v>
      </c>
      <c r="U61" s="58" t="s">
        <v>559</v>
      </c>
      <c r="V61" s="55" t="s">
        <v>24</v>
      </c>
      <c r="X61" s="55" t="s">
        <v>1067</v>
      </c>
      <c r="Y61" s="4" t="s">
        <v>203</v>
      </c>
      <c r="Z61" s="4" t="s">
        <v>204</v>
      </c>
      <c r="AA61" s="414">
        <v>60.0</v>
      </c>
    </row>
    <row r="62">
      <c r="A62" s="55" t="s">
        <v>3214</v>
      </c>
      <c r="B62" s="55" t="s">
        <v>3214</v>
      </c>
      <c r="F62" s="55" t="s">
        <v>186</v>
      </c>
      <c r="G62" s="55" t="s">
        <v>3024</v>
      </c>
      <c r="I62" s="58" t="s">
        <v>3215</v>
      </c>
      <c r="J62" s="58"/>
      <c r="K62" s="58" t="s">
        <v>3215</v>
      </c>
      <c r="L62" s="58" t="s">
        <v>3026</v>
      </c>
      <c r="M62" s="58"/>
      <c r="N62" s="58" t="s">
        <v>3026</v>
      </c>
      <c r="O62" s="58" t="s">
        <v>3084</v>
      </c>
      <c r="P62" s="58"/>
      <c r="Q62" s="58" t="s">
        <v>3084</v>
      </c>
      <c r="R62" s="58" t="s">
        <v>3047</v>
      </c>
      <c r="S62" s="58"/>
      <c r="T62" s="58" t="s">
        <v>3047</v>
      </c>
      <c r="U62" s="58" t="s">
        <v>559</v>
      </c>
      <c r="V62" s="55" t="s">
        <v>24</v>
      </c>
      <c r="X62" s="55" t="s">
        <v>591</v>
      </c>
      <c r="Y62" s="4" t="s">
        <v>203</v>
      </c>
      <c r="Z62" s="4" t="s">
        <v>204</v>
      </c>
      <c r="AA62" s="414">
        <v>60.0</v>
      </c>
    </row>
    <row r="63">
      <c r="A63" s="55" t="s">
        <v>3216</v>
      </c>
      <c r="B63" s="55" t="s">
        <v>3216</v>
      </c>
      <c r="F63" s="55" t="s">
        <v>186</v>
      </c>
      <c r="G63" s="55" t="s">
        <v>3024</v>
      </c>
      <c r="I63" s="58" t="s">
        <v>3205</v>
      </c>
      <c r="J63" s="58"/>
      <c r="K63" s="58" t="s">
        <v>3205</v>
      </c>
      <c r="L63" s="58" t="s">
        <v>3026</v>
      </c>
      <c r="M63" s="58"/>
      <c r="N63" s="58" t="s">
        <v>3026</v>
      </c>
      <c r="O63" s="58" t="s">
        <v>3084</v>
      </c>
      <c r="P63" s="58"/>
      <c r="Q63" s="58" t="s">
        <v>3084</v>
      </c>
      <c r="R63" s="58" t="s">
        <v>3047</v>
      </c>
      <c r="S63" s="58"/>
      <c r="T63" s="58" t="s">
        <v>3047</v>
      </c>
      <c r="U63" s="58" t="s">
        <v>559</v>
      </c>
      <c r="V63" s="55" t="s">
        <v>24</v>
      </c>
      <c r="X63" s="55" t="s">
        <v>562</v>
      </c>
      <c r="Y63" s="4" t="s">
        <v>203</v>
      </c>
      <c r="Z63" s="4" t="s">
        <v>204</v>
      </c>
      <c r="AA63" s="414">
        <v>60.0</v>
      </c>
    </row>
    <row r="64">
      <c r="A64" s="55" t="s">
        <v>3217</v>
      </c>
      <c r="B64" s="55" t="s">
        <v>3217</v>
      </c>
      <c r="F64" s="55" t="s">
        <v>186</v>
      </c>
      <c r="G64" s="55" t="s">
        <v>3024</v>
      </c>
      <c r="I64" s="58" t="s">
        <v>3207</v>
      </c>
      <c r="J64" s="58"/>
      <c r="K64" s="58" t="s">
        <v>3207</v>
      </c>
      <c r="L64" s="58" t="s">
        <v>3026</v>
      </c>
      <c r="M64" s="58"/>
      <c r="N64" s="58" t="s">
        <v>3026</v>
      </c>
      <c r="O64" s="58" t="s">
        <v>3084</v>
      </c>
      <c r="P64" s="58"/>
      <c r="Q64" s="58" t="s">
        <v>3084</v>
      </c>
      <c r="R64" s="58" t="s">
        <v>3047</v>
      </c>
      <c r="S64" s="58"/>
      <c r="T64" s="58" t="s">
        <v>3047</v>
      </c>
      <c r="U64" s="58" t="s">
        <v>559</v>
      </c>
      <c r="V64" s="55" t="s">
        <v>24</v>
      </c>
      <c r="X64" s="55" t="s">
        <v>557</v>
      </c>
      <c r="Y64" s="4" t="s">
        <v>203</v>
      </c>
      <c r="Z64" s="4" t="s">
        <v>204</v>
      </c>
      <c r="AA64" s="414">
        <v>60.0</v>
      </c>
    </row>
    <row r="65">
      <c r="A65" s="55" t="s">
        <v>3218</v>
      </c>
      <c r="B65" s="55" t="s">
        <v>3218</v>
      </c>
      <c r="F65" s="55" t="s">
        <v>186</v>
      </c>
      <c r="G65" s="55" t="s">
        <v>3024</v>
      </c>
      <c r="I65" s="58" t="s">
        <v>3207</v>
      </c>
      <c r="J65" s="58"/>
      <c r="K65" s="58" t="s">
        <v>3207</v>
      </c>
      <c r="L65" s="58" t="s">
        <v>3026</v>
      </c>
      <c r="M65" s="58"/>
      <c r="N65" s="58" t="s">
        <v>3026</v>
      </c>
      <c r="O65" s="58" t="s">
        <v>3084</v>
      </c>
      <c r="P65" s="58"/>
      <c r="Q65" s="58" t="s">
        <v>3084</v>
      </c>
      <c r="R65" s="58" t="s">
        <v>3047</v>
      </c>
      <c r="S65" s="58"/>
      <c r="T65" s="58" t="s">
        <v>3047</v>
      </c>
      <c r="U65" s="58" t="s">
        <v>559</v>
      </c>
      <c r="V65" s="55" t="s">
        <v>24</v>
      </c>
      <c r="X65" s="55" t="s">
        <v>669</v>
      </c>
      <c r="Y65" s="4" t="s">
        <v>203</v>
      </c>
      <c r="Z65" s="4" t="s">
        <v>204</v>
      </c>
      <c r="AA65" s="414">
        <v>60.0</v>
      </c>
    </row>
    <row r="66">
      <c r="A66" s="55" t="s">
        <v>3219</v>
      </c>
      <c r="B66" s="55" t="s">
        <v>3219</v>
      </c>
      <c r="F66" s="55" t="s">
        <v>186</v>
      </c>
      <c r="G66" s="55" t="s">
        <v>3024</v>
      </c>
      <c r="I66" s="58" t="s">
        <v>3220</v>
      </c>
      <c r="J66" s="58"/>
      <c r="K66" s="58" t="s">
        <v>3220</v>
      </c>
      <c r="L66" s="58" t="s">
        <v>3026</v>
      </c>
      <c r="M66" s="58"/>
      <c r="N66" s="58" t="s">
        <v>3026</v>
      </c>
      <c r="O66" s="58" t="s">
        <v>3148</v>
      </c>
      <c r="P66" s="58"/>
      <c r="Q66" s="58" t="s">
        <v>3148</v>
      </c>
      <c r="R66" s="58" t="s">
        <v>3047</v>
      </c>
      <c r="S66" s="58"/>
      <c r="T66" s="58" t="s">
        <v>3047</v>
      </c>
      <c r="U66" s="58" t="s">
        <v>559</v>
      </c>
      <c r="V66" s="55" t="s">
        <v>24</v>
      </c>
      <c r="X66" s="55" t="s">
        <v>645</v>
      </c>
      <c r="Y66" s="4" t="s">
        <v>203</v>
      </c>
      <c r="Z66" s="4" t="s">
        <v>204</v>
      </c>
      <c r="AA66" s="414">
        <v>60.0</v>
      </c>
    </row>
    <row r="67">
      <c r="A67" s="55" t="s">
        <v>3221</v>
      </c>
      <c r="B67" s="55" t="s">
        <v>3221</v>
      </c>
      <c r="F67" s="55" t="s">
        <v>186</v>
      </c>
      <c r="G67" s="55" t="s">
        <v>3024</v>
      </c>
      <c r="I67" s="58" t="s">
        <v>3222</v>
      </c>
      <c r="J67" s="58"/>
      <c r="K67" s="58" t="s">
        <v>3222</v>
      </c>
      <c r="L67" s="58" t="s">
        <v>3026</v>
      </c>
      <c r="M67" s="58"/>
      <c r="N67" s="58" t="s">
        <v>3026</v>
      </c>
      <c r="O67" s="58" t="s">
        <v>3076</v>
      </c>
      <c r="P67" s="58"/>
      <c r="Q67" s="58" t="s">
        <v>3076</v>
      </c>
      <c r="R67" s="58" t="s">
        <v>3047</v>
      </c>
      <c r="S67" s="58"/>
      <c r="T67" s="58" t="s">
        <v>3047</v>
      </c>
      <c r="U67" s="58" t="s">
        <v>559</v>
      </c>
      <c r="V67" s="55" t="s">
        <v>24</v>
      </c>
      <c r="X67" s="55" t="s">
        <v>650</v>
      </c>
      <c r="Y67" s="4" t="s">
        <v>203</v>
      </c>
      <c r="Z67" s="4" t="s">
        <v>204</v>
      </c>
      <c r="AA67" s="414">
        <v>60.0</v>
      </c>
    </row>
    <row r="68">
      <c r="A68" s="55" t="s">
        <v>3223</v>
      </c>
      <c r="B68" s="55" t="s">
        <v>3223</v>
      </c>
      <c r="F68" s="55" t="s">
        <v>186</v>
      </c>
      <c r="G68" s="55" t="s">
        <v>3024</v>
      </c>
      <c r="I68" s="58" t="s">
        <v>3207</v>
      </c>
      <c r="J68" s="58"/>
      <c r="K68" s="58" t="s">
        <v>3207</v>
      </c>
      <c r="L68" s="58" t="s">
        <v>3026</v>
      </c>
      <c r="M68" s="58"/>
      <c r="N68" s="58" t="s">
        <v>3026</v>
      </c>
      <c r="O68" s="58" t="s">
        <v>3084</v>
      </c>
      <c r="P68" s="58"/>
      <c r="Q68" s="58" t="s">
        <v>3084</v>
      </c>
      <c r="R68" s="58" t="s">
        <v>3047</v>
      </c>
      <c r="S68" s="58"/>
      <c r="T68" s="58" t="s">
        <v>3047</v>
      </c>
      <c r="U68" s="58" t="s">
        <v>559</v>
      </c>
      <c r="V68" s="55" t="s">
        <v>24</v>
      </c>
      <c r="X68" s="55" t="s">
        <v>596</v>
      </c>
      <c r="Y68" s="4" t="s">
        <v>203</v>
      </c>
      <c r="Z68" s="4" t="s">
        <v>204</v>
      </c>
      <c r="AA68" s="414">
        <v>60.0</v>
      </c>
    </row>
    <row r="69">
      <c r="A69" s="55" t="s">
        <v>3224</v>
      </c>
      <c r="B69" s="55" t="s">
        <v>3224</v>
      </c>
      <c r="F69" s="55" t="s">
        <v>186</v>
      </c>
      <c r="G69" s="55" t="s">
        <v>3024</v>
      </c>
      <c r="I69" s="58" t="s">
        <v>3225</v>
      </c>
      <c r="J69" s="58"/>
      <c r="K69" s="58" t="s">
        <v>3225</v>
      </c>
      <c r="L69" s="58" t="s">
        <v>3026</v>
      </c>
      <c r="M69" s="58"/>
      <c r="N69" s="58" t="s">
        <v>3026</v>
      </c>
      <c r="O69" s="58" t="s">
        <v>3184</v>
      </c>
      <c r="P69" s="58"/>
      <c r="Q69" s="58" t="s">
        <v>3184</v>
      </c>
      <c r="R69" s="58" t="s">
        <v>3026</v>
      </c>
      <c r="S69" s="58"/>
      <c r="T69" s="58" t="s">
        <v>3026</v>
      </c>
      <c r="U69" s="58" t="s">
        <v>559</v>
      </c>
      <c r="V69" s="55" t="s">
        <v>24</v>
      </c>
      <c r="X69" s="55" t="s">
        <v>3226</v>
      </c>
      <c r="Y69" s="4" t="s">
        <v>203</v>
      </c>
      <c r="Z69" s="4" t="s">
        <v>204</v>
      </c>
      <c r="AA69" s="414">
        <v>60.0</v>
      </c>
    </row>
    <row r="70">
      <c r="A70" s="55" t="s">
        <v>3227</v>
      </c>
      <c r="B70" s="55" t="s">
        <v>3227</v>
      </c>
      <c r="F70" s="55" t="s">
        <v>186</v>
      </c>
      <c r="G70" s="55" t="s">
        <v>3024</v>
      </c>
      <c r="I70" s="58" t="s">
        <v>3147</v>
      </c>
      <c r="J70" s="58"/>
      <c r="K70" s="58" t="s">
        <v>3147</v>
      </c>
      <c r="L70" s="58" t="s">
        <v>3026</v>
      </c>
      <c r="M70" s="58"/>
      <c r="N70" s="58" t="s">
        <v>3026</v>
      </c>
      <c r="O70" s="58" t="s">
        <v>3184</v>
      </c>
      <c r="P70" s="58"/>
      <c r="Q70" s="58" t="s">
        <v>3184</v>
      </c>
      <c r="R70" s="58" t="s">
        <v>3026</v>
      </c>
      <c r="S70" s="58"/>
      <c r="T70" s="58" t="s">
        <v>3026</v>
      </c>
      <c r="U70" s="58" t="s">
        <v>559</v>
      </c>
      <c r="V70" s="55" t="s">
        <v>24</v>
      </c>
      <c r="X70" s="55" t="s">
        <v>720</v>
      </c>
      <c r="Y70" s="4" t="s">
        <v>203</v>
      </c>
      <c r="Z70" s="4" t="s">
        <v>204</v>
      </c>
      <c r="AA70" s="414">
        <v>60.0</v>
      </c>
    </row>
    <row r="71">
      <c r="A71" s="55" t="s">
        <v>3228</v>
      </c>
      <c r="B71" s="55" t="s">
        <v>3228</v>
      </c>
      <c r="F71" s="55" t="s">
        <v>186</v>
      </c>
      <c r="G71" s="55" t="s">
        <v>3024</v>
      </c>
      <c r="I71" s="58" t="s">
        <v>3161</v>
      </c>
      <c r="J71" s="58"/>
      <c r="K71" s="58" t="s">
        <v>3161</v>
      </c>
      <c r="L71" s="58" t="s">
        <v>3026</v>
      </c>
      <c r="M71" s="58"/>
      <c r="N71" s="58" t="s">
        <v>3026</v>
      </c>
      <c r="O71" s="58" t="s">
        <v>3076</v>
      </c>
      <c r="P71" s="58"/>
      <c r="Q71" s="58" t="s">
        <v>3076</v>
      </c>
      <c r="R71" s="58" t="s">
        <v>3047</v>
      </c>
      <c r="S71" s="58"/>
      <c r="T71" s="58" t="s">
        <v>3047</v>
      </c>
      <c r="U71" s="58" t="s">
        <v>559</v>
      </c>
      <c r="V71" s="55" t="s">
        <v>24</v>
      </c>
      <c r="X71" s="55" t="s">
        <v>677</v>
      </c>
      <c r="Y71" s="4" t="s">
        <v>203</v>
      </c>
      <c r="Z71" s="4" t="s">
        <v>204</v>
      </c>
      <c r="AA71" s="414">
        <v>60.0</v>
      </c>
    </row>
    <row r="72">
      <c r="A72" s="55" t="s">
        <v>3229</v>
      </c>
      <c r="B72" s="55" t="s">
        <v>3229</v>
      </c>
      <c r="F72" s="55" t="s">
        <v>186</v>
      </c>
      <c r="G72" s="55" t="s">
        <v>3024</v>
      </c>
      <c r="I72" s="58" t="s">
        <v>3222</v>
      </c>
      <c r="J72" s="58"/>
      <c r="K72" s="58" t="s">
        <v>3222</v>
      </c>
      <c r="L72" s="58" t="s">
        <v>3026</v>
      </c>
      <c r="M72" s="58"/>
      <c r="N72" s="58" t="s">
        <v>3026</v>
      </c>
      <c r="O72" s="58" t="s">
        <v>3076</v>
      </c>
      <c r="P72" s="58"/>
      <c r="Q72" s="58" t="s">
        <v>3076</v>
      </c>
      <c r="R72" s="58" t="s">
        <v>3047</v>
      </c>
      <c r="S72" s="58"/>
      <c r="T72" s="58" t="s">
        <v>3047</v>
      </c>
      <c r="U72" s="58" t="s">
        <v>559</v>
      </c>
      <c r="V72" s="55" t="s">
        <v>24</v>
      </c>
      <c r="X72" s="55" t="s">
        <v>655</v>
      </c>
      <c r="Y72" s="4" t="s">
        <v>203</v>
      </c>
      <c r="Z72" s="4" t="s">
        <v>204</v>
      </c>
      <c r="AA72" s="414">
        <v>60.0</v>
      </c>
    </row>
    <row r="73">
      <c r="A73" s="55" t="s">
        <v>3230</v>
      </c>
      <c r="B73" s="55" t="s">
        <v>3230</v>
      </c>
      <c r="F73" s="55" t="s">
        <v>186</v>
      </c>
      <c r="G73" s="55" t="s">
        <v>3024</v>
      </c>
      <c r="I73" s="58" t="s">
        <v>3205</v>
      </c>
      <c r="J73" s="58"/>
      <c r="K73" s="58" t="s">
        <v>3205</v>
      </c>
      <c r="L73" s="58" t="s">
        <v>3026</v>
      </c>
      <c r="M73" s="58"/>
      <c r="N73" s="58" t="s">
        <v>3026</v>
      </c>
      <c r="O73" s="58" t="s">
        <v>3084</v>
      </c>
      <c r="P73" s="58"/>
      <c r="Q73" s="58" t="s">
        <v>3084</v>
      </c>
      <c r="R73" s="58" t="s">
        <v>3047</v>
      </c>
      <c r="S73" s="58"/>
      <c r="T73" s="58" t="s">
        <v>3047</v>
      </c>
      <c r="U73" s="58" t="s">
        <v>559</v>
      </c>
      <c r="V73" s="55" t="s">
        <v>24</v>
      </c>
      <c r="X73" s="55" t="s">
        <v>607</v>
      </c>
      <c r="Y73" s="4" t="s">
        <v>203</v>
      </c>
      <c r="Z73" s="4" t="s">
        <v>204</v>
      </c>
      <c r="AA73" s="414">
        <v>60.0</v>
      </c>
    </row>
    <row r="74">
      <c r="A74" s="55" t="s">
        <v>3231</v>
      </c>
      <c r="B74" s="55" t="s">
        <v>3231</v>
      </c>
      <c r="F74" s="55" t="s">
        <v>186</v>
      </c>
      <c r="G74" s="55" t="s">
        <v>3024</v>
      </c>
      <c r="I74" s="58" t="s">
        <v>3232</v>
      </c>
      <c r="J74" s="58"/>
      <c r="K74" s="58" t="s">
        <v>3232</v>
      </c>
      <c r="L74" s="58" t="s">
        <v>3026</v>
      </c>
      <c r="M74" s="58"/>
      <c r="N74" s="58" t="s">
        <v>3026</v>
      </c>
      <c r="O74" s="58" t="s">
        <v>3026</v>
      </c>
      <c r="P74" s="58"/>
      <c r="Q74" s="58" t="s">
        <v>3026</v>
      </c>
      <c r="R74" s="58" t="s">
        <v>3026</v>
      </c>
      <c r="S74" s="58"/>
      <c r="T74" s="58" t="s">
        <v>3026</v>
      </c>
      <c r="U74" s="58" t="s">
        <v>559</v>
      </c>
      <c r="V74" s="55" t="s">
        <v>24</v>
      </c>
      <c r="X74" s="55" t="s">
        <v>577</v>
      </c>
      <c r="Y74" s="4" t="s">
        <v>203</v>
      </c>
      <c r="Z74" s="4" t="s">
        <v>204</v>
      </c>
      <c r="AA74" s="414">
        <v>60.0</v>
      </c>
    </row>
    <row r="75">
      <c r="A75" s="55" t="s">
        <v>3233</v>
      </c>
      <c r="B75" s="55" t="s">
        <v>3233</v>
      </c>
      <c r="F75" s="55" t="s">
        <v>186</v>
      </c>
      <c r="G75" s="55" t="s">
        <v>3024</v>
      </c>
      <c r="I75" s="58" t="s">
        <v>3234</v>
      </c>
      <c r="J75" s="58"/>
      <c r="K75" s="58" t="s">
        <v>3234</v>
      </c>
      <c r="L75" s="58" t="s">
        <v>3235</v>
      </c>
      <c r="M75" s="58"/>
      <c r="N75" s="58" t="s">
        <v>3235</v>
      </c>
      <c r="O75" s="58" t="s">
        <v>3236</v>
      </c>
      <c r="P75" s="58"/>
      <c r="Q75" s="58" t="s">
        <v>3236</v>
      </c>
      <c r="R75" s="58" t="s">
        <v>3237</v>
      </c>
      <c r="S75" s="58"/>
      <c r="T75" s="58" t="s">
        <v>3237</v>
      </c>
      <c r="U75" s="58" t="s">
        <v>200</v>
      </c>
      <c r="V75" s="55" t="s">
        <v>201</v>
      </c>
      <c r="X75" s="55" t="s">
        <v>441</v>
      </c>
      <c r="Y75" s="4" t="s">
        <v>203</v>
      </c>
      <c r="Z75" s="4" t="s">
        <v>204</v>
      </c>
      <c r="AA75" s="414">
        <v>60.0</v>
      </c>
    </row>
    <row r="76">
      <c r="A76" s="55" t="s">
        <v>3238</v>
      </c>
      <c r="B76" s="55" t="s">
        <v>3238</v>
      </c>
      <c r="F76" s="55" t="s">
        <v>186</v>
      </c>
      <c r="G76" s="55" t="s">
        <v>3024</v>
      </c>
      <c r="I76" s="58" t="s">
        <v>3234</v>
      </c>
      <c r="J76" s="58"/>
      <c r="K76" s="58" t="s">
        <v>3234</v>
      </c>
      <c r="L76" s="58" t="s">
        <v>3235</v>
      </c>
      <c r="M76" s="58"/>
      <c r="N76" s="58" t="s">
        <v>3235</v>
      </c>
      <c r="O76" s="58" t="s">
        <v>3236</v>
      </c>
      <c r="P76" s="58"/>
      <c r="Q76" s="58" t="s">
        <v>3236</v>
      </c>
      <c r="R76" s="58" t="s">
        <v>3237</v>
      </c>
      <c r="S76" s="58"/>
      <c r="T76" s="58" t="s">
        <v>3237</v>
      </c>
      <c r="U76" s="58" t="s">
        <v>200</v>
      </c>
      <c r="V76" s="55" t="s">
        <v>201</v>
      </c>
      <c r="X76" s="55" t="s">
        <v>446</v>
      </c>
      <c r="Y76" s="4" t="s">
        <v>203</v>
      </c>
      <c r="Z76" s="4" t="s">
        <v>204</v>
      </c>
      <c r="AA76" s="414">
        <v>60.0</v>
      </c>
    </row>
    <row r="77">
      <c r="A77" s="55" t="s">
        <v>3239</v>
      </c>
      <c r="B77" s="55" t="s">
        <v>3239</v>
      </c>
      <c r="F77" s="55" t="s">
        <v>186</v>
      </c>
      <c r="G77" s="55" t="s">
        <v>3024</v>
      </c>
      <c r="I77" s="58" t="s">
        <v>3240</v>
      </c>
      <c r="J77" s="58"/>
      <c r="K77" s="58" t="s">
        <v>3240</v>
      </c>
      <c r="L77" s="58" t="s">
        <v>3241</v>
      </c>
      <c r="M77" s="58"/>
      <c r="N77" s="58" t="s">
        <v>3241</v>
      </c>
      <c r="O77" s="58" t="s">
        <v>3242</v>
      </c>
      <c r="P77" s="58"/>
      <c r="Q77" s="58" t="s">
        <v>3242</v>
      </c>
      <c r="R77" s="58" t="s">
        <v>3243</v>
      </c>
      <c r="S77" s="58"/>
      <c r="T77" s="58" t="s">
        <v>3243</v>
      </c>
      <c r="U77" s="58" t="s">
        <v>200</v>
      </c>
      <c r="V77" s="55" t="s">
        <v>201</v>
      </c>
      <c r="X77" s="55" t="s">
        <v>451</v>
      </c>
      <c r="Y77" s="4" t="s">
        <v>203</v>
      </c>
      <c r="Z77" s="4" t="s">
        <v>204</v>
      </c>
      <c r="AA77" s="414">
        <v>60.0</v>
      </c>
    </row>
    <row r="78">
      <c r="A78" s="55" t="s">
        <v>3244</v>
      </c>
      <c r="B78" s="55" t="s">
        <v>3244</v>
      </c>
      <c r="F78" s="55" t="s">
        <v>186</v>
      </c>
      <c r="G78" s="55" t="s">
        <v>3024</v>
      </c>
      <c r="I78" s="58" t="s">
        <v>3245</v>
      </c>
      <c r="J78" s="58"/>
      <c r="K78" s="58" t="s">
        <v>3245</v>
      </c>
      <c r="L78" s="58" t="s">
        <v>3246</v>
      </c>
      <c r="M78" s="58"/>
      <c r="N78" s="58" t="s">
        <v>3246</v>
      </c>
      <c r="O78" s="58" t="s">
        <v>3247</v>
      </c>
      <c r="P78" s="58"/>
      <c r="Q78" s="58" t="s">
        <v>3247</v>
      </c>
      <c r="R78" s="58" t="s">
        <v>3248</v>
      </c>
      <c r="S78" s="58"/>
      <c r="T78" s="58" t="s">
        <v>3248</v>
      </c>
      <c r="U78" s="58" t="s">
        <v>200</v>
      </c>
      <c r="V78" s="55" t="s">
        <v>201</v>
      </c>
      <c r="X78" s="55" t="s">
        <v>456</v>
      </c>
      <c r="Y78" s="4" t="s">
        <v>203</v>
      </c>
      <c r="Z78" s="4" t="s">
        <v>204</v>
      </c>
      <c r="AA78" s="414">
        <v>60.0</v>
      </c>
    </row>
    <row r="79">
      <c r="A79" s="55" t="s">
        <v>3249</v>
      </c>
      <c r="B79" s="55" t="s">
        <v>3249</v>
      </c>
      <c r="F79" s="55" t="s">
        <v>186</v>
      </c>
      <c r="G79" s="55" t="s">
        <v>3024</v>
      </c>
      <c r="I79" s="58" t="s">
        <v>3250</v>
      </c>
      <c r="J79" s="58"/>
      <c r="K79" s="58" t="s">
        <v>3250</v>
      </c>
      <c r="L79" s="58" t="s">
        <v>3251</v>
      </c>
      <c r="M79" s="58"/>
      <c r="N79" s="58" t="s">
        <v>3251</v>
      </c>
      <c r="O79" s="58" t="s">
        <v>3252</v>
      </c>
      <c r="P79" s="58"/>
      <c r="Q79" s="58" t="s">
        <v>3252</v>
      </c>
      <c r="R79" s="58" t="s">
        <v>3155</v>
      </c>
      <c r="S79" s="58"/>
      <c r="T79" s="58" t="s">
        <v>3155</v>
      </c>
      <c r="U79" s="58" t="s">
        <v>200</v>
      </c>
      <c r="V79" s="55" t="s">
        <v>201</v>
      </c>
      <c r="X79" s="55" t="s">
        <v>461</v>
      </c>
      <c r="Y79" s="4" t="s">
        <v>203</v>
      </c>
      <c r="Z79" s="4" t="s">
        <v>204</v>
      </c>
      <c r="AA79" s="414">
        <v>60.0</v>
      </c>
    </row>
    <row r="80">
      <c r="A80" s="55" t="s">
        <v>3253</v>
      </c>
      <c r="B80" s="55" t="s">
        <v>3253</v>
      </c>
      <c r="F80" s="55" t="s">
        <v>186</v>
      </c>
      <c r="G80" s="55" t="s">
        <v>3024</v>
      </c>
      <c r="I80" s="58" t="s">
        <v>3254</v>
      </c>
      <c r="J80" s="58"/>
      <c r="K80" s="58" t="s">
        <v>3254</v>
      </c>
      <c r="L80" s="58" t="s">
        <v>3255</v>
      </c>
      <c r="M80" s="58"/>
      <c r="N80" s="58" t="s">
        <v>3255</v>
      </c>
      <c r="O80" s="58" t="s">
        <v>3256</v>
      </c>
      <c r="P80" s="58"/>
      <c r="Q80" s="58" t="s">
        <v>3256</v>
      </c>
      <c r="R80" s="58" t="s">
        <v>3257</v>
      </c>
      <c r="S80" s="58"/>
      <c r="T80" s="58" t="s">
        <v>3257</v>
      </c>
      <c r="U80" s="58" t="s">
        <v>200</v>
      </c>
      <c r="V80" s="55" t="s">
        <v>201</v>
      </c>
      <c r="X80" s="55" t="s">
        <v>466</v>
      </c>
      <c r="Y80" s="4" t="s">
        <v>203</v>
      </c>
      <c r="Z80" s="4" t="s">
        <v>204</v>
      </c>
      <c r="AA80" s="414">
        <v>60.0</v>
      </c>
    </row>
    <row r="81">
      <c r="A81" s="55" t="s">
        <v>3258</v>
      </c>
      <c r="B81" s="55" t="s">
        <v>3258</v>
      </c>
      <c r="F81" s="55" t="s">
        <v>186</v>
      </c>
      <c r="G81" s="55" t="s">
        <v>3024</v>
      </c>
      <c r="I81" s="58" t="s">
        <v>3259</v>
      </c>
      <c r="J81" s="58"/>
      <c r="K81" s="58" t="s">
        <v>3259</v>
      </c>
      <c r="L81" s="58" t="s">
        <v>3260</v>
      </c>
      <c r="M81" s="58"/>
      <c r="N81" s="58" t="s">
        <v>3260</v>
      </c>
      <c r="O81" s="58" t="s">
        <v>3261</v>
      </c>
      <c r="P81" s="58"/>
      <c r="Q81" s="58" t="s">
        <v>3261</v>
      </c>
      <c r="R81" s="58" t="s">
        <v>3262</v>
      </c>
      <c r="S81" s="58"/>
      <c r="T81" s="58" t="s">
        <v>3262</v>
      </c>
      <c r="U81" s="58" t="s">
        <v>200</v>
      </c>
      <c r="V81" s="55" t="s">
        <v>201</v>
      </c>
      <c r="X81" s="55" t="s">
        <v>471</v>
      </c>
      <c r="Y81" s="4" t="s">
        <v>203</v>
      </c>
      <c r="Z81" s="4" t="s">
        <v>204</v>
      </c>
      <c r="AA81" s="414">
        <v>60.0</v>
      </c>
    </row>
    <row r="82">
      <c r="A82" s="55" t="s">
        <v>3263</v>
      </c>
      <c r="B82" s="55" t="s">
        <v>3263</v>
      </c>
      <c r="F82" s="55" t="s">
        <v>186</v>
      </c>
      <c r="G82" s="55" t="s">
        <v>3024</v>
      </c>
      <c r="I82" s="58" t="s">
        <v>3264</v>
      </c>
      <c r="J82" s="58"/>
      <c r="K82" s="58" t="s">
        <v>3264</v>
      </c>
      <c r="L82" s="58" t="s">
        <v>3265</v>
      </c>
      <c r="M82" s="58"/>
      <c r="N82" s="58" t="s">
        <v>3265</v>
      </c>
      <c r="O82" s="58" t="s">
        <v>3266</v>
      </c>
      <c r="P82" s="58"/>
      <c r="Q82" s="58" t="s">
        <v>3266</v>
      </c>
      <c r="R82" s="58" t="s">
        <v>3267</v>
      </c>
      <c r="S82" s="58"/>
      <c r="T82" s="58" t="s">
        <v>3267</v>
      </c>
      <c r="U82" s="58" t="s">
        <v>200</v>
      </c>
      <c r="V82" s="55" t="s">
        <v>201</v>
      </c>
      <c r="X82" s="55" t="s">
        <v>476</v>
      </c>
      <c r="Y82" s="4" t="s">
        <v>203</v>
      </c>
      <c r="Z82" s="4" t="s">
        <v>204</v>
      </c>
      <c r="AA82" s="414">
        <v>60.0</v>
      </c>
    </row>
    <row r="83">
      <c r="A83" s="55" t="s">
        <v>3268</v>
      </c>
      <c r="B83" s="55" t="s">
        <v>3268</v>
      </c>
      <c r="F83" s="55" t="s">
        <v>186</v>
      </c>
      <c r="G83" s="55" t="s">
        <v>3024</v>
      </c>
      <c r="I83" s="58" t="s">
        <v>3269</v>
      </c>
      <c r="J83" s="58"/>
      <c r="K83" s="58" t="s">
        <v>3269</v>
      </c>
      <c r="L83" s="58" t="s">
        <v>3270</v>
      </c>
      <c r="M83" s="58"/>
      <c r="N83" s="58" t="s">
        <v>3270</v>
      </c>
      <c r="O83" s="58" t="s">
        <v>3271</v>
      </c>
      <c r="P83" s="58"/>
      <c r="Q83" s="58" t="s">
        <v>3271</v>
      </c>
      <c r="R83" s="58" t="s">
        <v>3272</v>
      </c>
      <c r="S83" s="58"/>
      <c r="T83" s="58" t="s">
        <v>3272</v>
      </c>
      <c r="U83" s="58" t="s">
        <v>200</v>
      </c>
      <c r="V83" s="55" t="s">
        <v>201</v>
      </c>
      <c r="X83" s="55" t="s">
        <v>481</v>
      </c>
      <c r="Y83" s="4" t="s">
        <v>203</v>
      </c>
      <c r="Z83" s="4" t="s">
        <v>204</v>
      </c>
      <c r="AA83" s="414">
        <v>60.0</v>
      </c>
    </row>
    <row r="84">
      <c r="A84" s="55" t="s">
        <v>3273</v>
      </c>
      <c r="B84" s="55" t="s">
        <v>3273</v>
      </c>
      <c r="F84" s="55" t="s">
        <v>186</v>
      </c>
      <c r="G84" s="55" t="s">
        <v>3024</v>
      </c>
      <c r="I84" s="58" t="s">
        <v>3274</v>
      </c>
      <c r="J84" s="58"/>
      <c r="K84" s="58" t="s">
        <v>3274</v>
      </c>
      <c r="L84" s="58" t="s">
        <v>3026</v>
      </c>
      <c r="M84" s="58"/>
      <c r="N84" s="58" t="s">
        <v>3026</v>
      </c>
      <c r="O84" s="58" t="s">
        <v>3026</v>
      </c>
      <c r="P84" s="58"/>
      <c r="Q84" s="58" t="s">
        <v>3026</v>
      </c>
      <c r="R84" s="58" t="s">
        <v>3026</v>
      </c>
      <c r="S84" s="58"/>
      <c r="T84" s="58" t="s">
        <v>3026</v>
      </c>
      <c r="U84" s="58" t="s">
        <v>200</v>
      </c>
      <c r="V84" s="55" t="s">
        <v>201</v>
      </c>
      <c r="X84" s="55" t="s">
        <v>486</v>
      </c>
      <c r="Y84" s="4" t="s">
        <v>203</v>
      </c>
      <c r="Z84" s="4" t="s">
        <v>204</v>
      </c>
      <c r="AA84" s="414">
        <v>60.0</v>
      </c>
    </row>
    <row r="85">
      <c r="A85" s="55" t="s">
        <v>3275</v>
      </c>
      <c r="B85" s="55" t="s">
        <v>3275</v>
      </c>
      <c r="F85" s="55" t="s">
        <v>186</v>
      </c>
      <c r="G85" s="55" t="s">
        <v>3024</v>
      </c>
      <c r="I85" s="58" t="s">
        <v>3274</v>
      </c>
      <c r="J85" s="58"/>
      <c r="K85" s="58" t="s">
        <v>3274</v>
      </c>
      <c r="L85" s="58" t="s">
        <v>3026</v>
      </c>
      <c r="M85" s="58"/>
      <c r="N85" s="58" t="s">
        <v>3026</v>
      </c>
      <c r="O85" s="58" t="s">
        <v>3026</v>
      </c>
      <c r="P85" s="58"/>
      <c r="Q85" s="58" t="s">
        <v>3026</v>
      </c>
      <c r="R85" s="58" t="s">
        <v>3026</v>
      </c>
      <c r="S85" s="58"/>
      <c r="T85" s="58" t="s">
        <v>3026</v>
      </c>
      <c r="U85" s="58" t="s">
        <v>200</v>
      </c>
      <c r="V85" s="55" t="s">
        <v>201</v>
      </c>
      <c r="X85" s="55" t="s">
        <v>491</v>
      </c>
      <c r="Y85" s="4" t="s">
        <v>203</v>
      </c>
      <c r="Z85" s="4" t="s">
        <v>204</v>
      </c>
      <c r="AA85" s="414">
        <v>60.0</v>
      </c>
    </row>
    <row r="86">
      <c r="A86" s="55" t="s">
        <v>3276</v>
      </c>
      <c r="B86" s="55" t="s">
        <v>3276</v>
      </c>
      <c r="F86" s="55" t="s">
        <v>186</v>
      </c>
      <c r="G86" s="55" t="s">
        <v>3024</v>
      </c>
      <c r="I86" s="58" t="s">
        <v>3274</v>
      </c>
      <c r="J86" s="58"/>
      <c r="K86" s="58" t="s">
        <v>3274</v>
      </c>
      <c r="L86" s="58" t="s">
        <v>3026</v>
      </c>
      <c r="M86" s="58"/>
      <c r="N86" s="58" t="s">
        <v>3026</v>
      </c>
      <c r="O86" s="58" t="s">
        <v>3026</v>
      </c>
      <c r="P86" s="58"/>
      <c r="Q86" s="58" t="s">
        <v>3026</v>
      </c>
      <c r="R86" s="58" t="s">
        <v>3026</v>
      </c>
      <c r="S86" s="58"/>
      <c r="T86" s="58" t="s">
        <v>3026</v>
      </c>
      <c r="U86" s="58" t="s">
        <v>200</v>
      </c>
      <c r="V86" s="55" t="s">
        <v>201</v>
      </c>
      <c r="X86" s="55" t="s">
        <v>496</v>
      </c>
      <c r="Y86" s="4" t="s">
        <v>203</v>
      </c>
      <c r="Z86" s="4" t="s">
        <v>204</v>
      </c>
      <c r="AA86" s="414">
        <v>60.0</v>
      </c>
    </row>
    <row r="87">
      <c r="A87" s="55" t="s">
        <v>3277</v>
      </c>
      <c r="B87" s="55" t="s">
        <v>3277</v>
      </c>
      <c r="F87" s="55" t="s">
        <v>186</v>
      </c>
      <c r="G87" s="55" t="s">
        <v>3024</v>
      </c>
      <c r="I87" s="58" t="s">
        <v>3274</v>
      </c>
      <c r="J87" s="58"/>
      <c r="K87" s="58" t="s">
        <v>3274</v>
      </c>
      <c r="L87" s="58" t="s">
        <v>3026</v>
      </c>
      <c r="M87" s="58"/>
      <c r="N87" s="58" t="s">
        <v>3026</v>
      </c>
      <c r="O87" s="58" t="s">
        <v>3026</v>
      </c>
      <c r="P87" s="58"/>
      <c r="Q87" s="58" t="s">
        <v>3026</v>
      </c>
      <c r="R87" s="58" t="s">
        <v>3026</v>
      </c>
      <c r="S87" s="58"/>
      <c r="T87" s="58" t="s">
        <v>3026</v>
      </c>
      <c r="U87" s="58" t="s">
        <v>334</v>
      </c>
      <c r="V87" s="55" t="s">
        <v>26</v>
      </c>
      <c r="X87" s="55" t="s">
        <v>501</v>
      </c>
      <c r="Y87" s="4" t="s">
        <v>203</v>
      </c>
      <c r="Z87" s="4" t="s">
        <v>204</v>
      </c>
      <c r="AA87" s="414">
        <v>60.0</v>
      </c>
    </row>
    <row r="88">
      <c r="A88" s="55" t="s">
        <v>3278</v>
      </c>
      <c r="B88" s="55" t="s">
        <v>3278</v>
      </c>
      <c r="F88" s="55" t="s">
        <v>186</v>
      </c>
      <c r="G88" s="55" t="s">
        <v>3024</v>
      </c>
      <c r="I88" s="58" t="s">
        <v>3274</v>
      </c>
      <c r="J88" s="58"/>
      <c r="K88" s="58" t="s">
        <v>3274</v>
      </c>
      <c r="L88" s="58" t="s">
        <v>3026</v>
      </c>
      <c r="M88" s="58"/>
      <c r="N88" s="58" t="s">
        <v>3026</v>
      </c>
      <c r="O88" s="58" t="s">
        <v>3026</v>
      </c>
      <c r="P88" s="58"/>
      <c r="Q88" s="58" t="s">
        <v>3026</v>
      </c>
      <c r="R88" s="58" t="s">
        <v>3026</v>
      </c>
      <c r="S88" s="58"/>
      <c r="T88" s="58" t="s">
        <v>3026</v>
      </c>
      <c r="U88" s="58" t="s">
        <v>334</v>
      </c>
      <c r="V88" s="55" t="s">
        <v>26</v>
      </c>
      <c r="X88" s="55" t="s">
        <v>505</v>
      </c>
      <c r="Y88" s="4" t="s">
        <v>203</v>
      </c>
      <c r="Z88" s="4" t="s">
        <v>204</v>
      </c>
      <c r="AA88" s="414">
        <v>60.0</v>
      </c>
    </row>
    <row r="89">
      <c r="A89" s="55" t="s">
        <v>3279</v>
      </c>
      <c r="B89" s="55" t="s">
        <v>3279</v>
      </c>
      <c r="F89" s="55" t="s">
        <v>186</v>
      </c>
      <c r="G89" s="55" t="s">
        <v>3024</v>
      </c>
      <c r="I89" s="58" t="s">
        <v>3274</v>
      </c>
      <c r="J89" s="58"/>
      <c r="K89" s="58" t="s">
        <v>3274</v>
      </c>
      <c r="L89" s="58" t="s">
        <v>3026</v>
      </c>
      <c r="M89" s="58"/>
      <c r="N89" s="58" t="s">
        <v>3026</v>
      </c>
      <c r="O89" s="58" t="s">
        <v>3026</v>
      </c>
      <c r="P89" s="58"/>
      <c r="Q89" s="58" t="s">
        <v>3026</v>
      </c>
      <c r="R89" s="58" t="s">
        <v>3026</v>
      </c>
      <c r="S89" s="58"/>
      <c r="T89" s="58" t="s">
        <v>3026</v>
      </c>
      <c r="U89" s="58" t="s">
        <v>334</v>
      </c>
      <c r="V89" s="55" t="s">
        <v>26</v>
      </c>
      <c r="X89" s="55" t="s">
        <v>509</v>
      </c>
      <c r="Y89" s="4" t="s">
        <v>203</v>
      </c>
      <c r="Z89" s="4" t="s">
        <v>204</v>
      </c>
      <c r="AA89" s="414">
        <v>60.0</v>
      </c>
    </row>
    <row r="90">
      <c r="A90" s="55" t="s">
        <v>3280</v>
      </c>
      <c r="B90" s="55" t="s">
        <v>3280</v>
      </c>
      <c r="F90" s="55" t="s">
        <v>186</v>
      </c>
      <c r="G90" s="55" t="s">
        <v>3024</v>
      </c>
      <c r="I90" s="58" t="s">
        <v>3274</v>
      </c>
      <c r="J90" s="58"/>
      <c r="K90" s="58" t="s">
        <v>3274</v>
      </c>
      <c r="L90" s="58" t="s">
        <v>3026</v>
      </c>
      <c r="M90" s="58"/>
      <c r="N90" s="58" t="s">
        <v>3026</v>
      </c>
      <c r="O90" s="58" t="s">
        <v>3026</v>
      </c>
      <c r="P90" s="58"/>
      <c r="Q90" s="58" t="s">
        <v>3026</v>
      </c>
      <c r="R90" s="58" t="s">
        <v>3026</v>
      </c>
      <c r="S90" s="58"/>
      <c r="T90" s="58" t="s">
        <v>3026</v>
      </c>
      <c r="U90" s="58" t="s">
        <v>334</v>
      </c>
      <c r="V90" s="55" t="s">
        <v>26</v>
      </c>
      <c r="X90" s="55" t="s">
        <v>513</v>
      </c>
      <c r="Y90" s="4" t="s">
        <v>203</v>
      </c>
      <c r="Z90" s="4" t="s">
        <v>204</v>
      </c>
      <c r="AA90" s="414">
        <v>60.0</v>
      </c>
    </row>
    <row r="91">
      <c r="A91" s="55" t="s">
        <v>3281</v>
      </c>
      <c r="B91" s="55" t="s">
        <v>3281</v>
      </c>
      <c r="F91" s="55" t="s">
        <v>186</v>
      </c>
      <c r="G91" s="55" t="s">
        <v>3024</v>
      </c>
      <c r="I91" s="58" t="s">
        <v>3274</v>
      </c>
      <c r="J91" s="58"/>
      <c r="K91" s="58" t="s">
        <v>3274</v>
      </c>
      <c r="L91" s="58" t="s">
        <v>3026</v>
      </c>
      <c r="M91" s="58"/>
      <c r="N91" s="58" t="s">
        <v>3026</v>
      </c>
      <c r="O91" s="58" t="s">
        <v>3026</v>
      </c>
      <c r="P91" s="58"/>
      <c r="Q91" s="58" t="s">
        <v>3026</v>
      </c>
      <c r="R91" s="58" t="s">
        <v>3026</v>
      </c>
      <c r="S91" s="58"/>
      <c r="T91" s="58" t="s">
        <v>3026</v>
      </c>
      <c r="U91" s="58" t="s">
        <v>334</v>
      </c>
      <c r="V91" s="55" t="s">
        <v>26</v>
      </c>
      <c r="X91" s="55" t="s">
        <v>517</v>
      </c>
      <c r="Y91" s="4" t="s">
        <v>203</v>
      </c>
      <c r="Z91" s="4" t="s">
        <v>204</v>
      </c>
      <c r="AA91" s="414">
        <v>60.0</v>
      </c>
    </row>
    <row r="92">
      <c r="A92" s="55" t="s">
        <v>3282</v>
      </c>
      <c r="B92" s="55" t="s">
        <v>3282</v>
      </c>
      <c r="F92" s="55" t="s">
        <v>186</v>
      </c>
      <c r="G92" s="55" t="s">
        <v>3024</v>
      </c>
      <c r="I92" s="58" t="s">
        <v>3274</v>
      </c>
      <c r="J92" s="58"/>
      <c r="K92" s="58" t="s">
        <v>3274</v>
      </c>
      <c r="L92" s="58" t="s">
        <v>3026</v>
      </c>
      <c r="M92" s="58"/>
      <c r="N92" s="58" t="s">
        <v>3026</v>
      </c>
      <c r="O92" s="58" t="s">
        <v>3026</v>
      </c>
      <c r="P92" s="58"/>
      <c r="Q92" s="58" t="s">
        <v>3026</v>
      </c>
      <c r="R92" s="58" t="s">
        <v>3026</v>
      </c>
      <c r="S92" s="58"/>
      <c r="T92" s="58" t="s">
        <v>3026</v>
      </c>
      <c r="U92" s="58" t="s">
        <v>334</v>
      </c>
      <c r="V92" s="55" t="s">
        <v>26</v>
      </c>
      <c r="X92" s="55" t="s">
        <v>521</v>
      </c>
      <c r="Y92" s="4" t="s">
        <v>203</v>
      </c>
      <c r="Z92" s="4" t="s">
        <v>204</v>
      </c>
      <c r="AA92" s="414">
        <v>60.0</v>
      </c>
    </row>
    <row r="93">
      <c r="A93" s="55" t="s">
        <v>3283</v>
      </c>
      <c r="B93" s="55" t="s">
        <v>3283</v>
      </c>
      <c r="F93" s="55" t="s">
        <v>186</v>
      </c>
      <c r="G93" s="55" t="s">
        <v>3024</v>
      </c>
      <c r="I93" s="58" t="s">
        <v>3274</v>
      </c>
      <c r="J93" s="58"/>
      <c r="K93" s="58" t="s">
        <v>3274</v>
      </c>
      <c r="L93" s="58" t="s">
        <v>3026</v>
      </c>
      <c r="M93" s="58"/>
      <c r="N93" s="58" t="s">
        <v>3026</v>
      </c>
      <c r="O93" s="58" t="s">
        <v>3026</v>
      </c>
      <c r="P93" s="58"/>
      <c r="Q93" s="58" t="s">
        <v>3026</v>
      </c>
      <c r="R93" s="58" t="s">
        <v>3026</v>
      </c>
      <c r="S93" s="58"/>
      <c r="T93" s="58" t="s">
        <v>3026</v>
      </c>
      <c r="U93" s="58" t="s">
        <v>334</v>
      </c>
      <c r="V93" s="55" t="s">
        <v>26</v>
      </c>
      <c r="X93" s="55" t="s">
        <v>525</v>
      </c>
      <c r="Y93" s="4" t="s">
        <v>203</v>
      </c>
      <c r="Z93" s="4" t="s">
        <v>204</v>
      </c>
      <c r="AA93" s="414">
        <v>60.0</v>
      </c>
    </row>
    <row r="94">
      <c r="A94" s="55" t="s">
        <v>3284</v>
      </c>
      <c r="B94" s="55" t="s">
        <v>3284</v>
      </c>
      <c r="F94" s="55" t="s">
        <v>186</v>
      </c>
      <c r="G94" s="55" t="s">
        <v>3024</v>
      </c>
      <c r="I94" s="58" t="s">
        <v>3274</v>
      </c>
      <c r="J94" s="58"/>
      <c r="K94" s="58" t="s">
        <v>3274</v>
      </c>
      <c r="L94" s="58" t="s">
        <v>3026</v>
      </c>
      <c r="M94" s="58"/>
      <c r="N94" s="58" t="s">
        <v>3026</v>
      </c>
      <c r="O94" s="58" t="s">
        <v>3026</v>
      </c>
      <c r="P94" s="58"/>
      <c r="Q94" s="58" t="s">
        <v>3026</v>
      </c>
      <c r="R94" s="58" t="s">
        <v>3026</v>
      </c>
      <c r="S94" s="58"/>
      <c r="T94" s="58" t="s">
        <v>3026</v>
      </c>
      <c r="U94" s="58" t="s">
        <v>334</v>
      </c>
      <c r="V94" s="55" t="s">
        <v>26</v>
      </c>
      <c r="X94" s="55" t="s">
        <v>529</v>
      </c>
      <c r="Y94" s="4" t="s">
        <v>203</v>
      </c>
      <c r="Z94" s="4" t="s">
        <v>204</v>
      </c>
      <c r="AA94" s="414">
        <v>60.0</v>
      </c>
    </row>
    <row r="95">
      <c r="A95" s="55" t="s">
        <v>3285</v>
      </c>
      <c r="B95" s="55" t="s">
        <v>3285</v>
      </c>
      <c r="F95" s="55" t="s">
        <v>186</v>
      </c>
      <c r="G95" s="55" t="s">
        <v>3024</v>
      </c>
      <c r="I95" s="58" t="s">
        <v>3274</v>
      </c>
      <c r="J95" s="58"/>
      <c r="K95" s="58" t="s">
        <v>3274</v>
      </c>
      <c r="L95" s="58" t="s">
        <v>3026</v>
      </c>
      <c r="M95" s="58"/>
      <c r="N95" s="58" t="s">
        <v>3026</v>
      </c>
      <c r="O95" s="58" t="s">
        <v>3026</v>
      </c>
      <c r="P95" s="58"/>
      <c r="Q95" s="58" t="s">
        <v>3026</v>
      </c>
      <c r="R95" s="58" t="s">
        <v>3026</v>
      </c>
      <c r="S95" s="58"/>
      <c r="T95" s="58" t="s">
        <v>3026</v>
      </c>
      <c r="U95" s="58" t="s">
        <v>382</v>
      </c>
      <c r="V95" s="55" t="s">
        <v>383</v>
      </c>
      <c r="X95" s="55" t="s">
        <v>533</v>
      </c>
      <c r="Y95" s="4" t="s">
        <v>203</v>
      </c>
      <c r="Z95" s="4" t="s">
        <v>204</v>
      </c>
      <c r="AA95" s="414">
        <v>60.0</v>
      </c>
    </row>
    <row r="96">
      <c r="A96" s="55" t="s">
        <v>3286</v>
      </c>
      <c r="B96" s="55" t="s">
        <v>3286</v>
      </c>
      <c r="F96" s="55" t="s">
        <v>186</v>
      </c>
      <c r="G96" s="55" t="s">
        <v>3024</v>
      </c>
      <c r="I96" s="58" t="s">
        <v>3274</v>
      </c>
      <c r="J96" s="58"/>
      <c r="K96" s="58" t="s">
        <v>3274</v>
      </c>
      <c r="L96" s="58" t="s">
        <v>3026</v>
      </c>
      <c r="M96" s="58"/>
      <c r="N96" s="58" t="s">
        <v>3026</v>
      </c>
      <c r="O96" s="58" t="s">
        <v>3026</v>
      </c>
      <c r="P96" s="58"/>
      <c r="Q96" s="58" t="s">
        <v>3026</v>
      </c>
      <c r="R96" s="58" t="s">
        <v>3026</v>
      </c>
      <c r="S96" s="58"/>
      <c r="T96" s="58" t="s">
        <v>3026</v>
      </c>
      <c r="U96" s="58" t="s">
        <v>382</v>
      </c>
      <c r="V96" s="55" t="s">
        <v>383</v>
      </c>
      <c r="X96" s="55" t="s">
        <v>538</v>
      </c>
      <c r="Y96" s="4" t="s">
        <v>203</v>
      </c>
      <c r="Z96" s="4" t="s">
        <v>204</v>
      </c>
      <c r="AA96" s="414">
        <v>60.0</v>
      </c>
    </row>
    <row r="97">
      <c r="A97" s="55" t="s">
        <v>3287</v>
      </c>
      <c r="B97" s="55" t="s">
        <v>3287</v>
      </c>
      <c r="F97" s="55" t="s">
        <v>186</v>
      </c>
      <c r="G97" s="55" t="s">
        <v>3024</v>
      </c>
      <c r="I97" s="58" t="s">
        <v>3274</v>
      </c>
      <c r="J97" s="58"/>
      <c r="K97" s="58" t="s">
        <v>3274</v>
      </c>
      <c r="L97" s="58" t="s">
        <v>3026</v>
      </c>
      <c r="M97" s="58"/>
      <c r="N97" s="58" t="s">
        <v>3026</v>
      </c>
      <c r="O97" s="58" t="s">
        <v>3026</v>
      </c>
      <c r="P97" s="58"/>
      <c r="Q97" s="58" t="s">
        <v>3026</v>
      </c>
      <c r="R97" s="58" t="s">
        <v>3026</v>
      </c>
      <c r="S97" s="58"/>
      <c r="T97" s="58" t="s">
        <v>3026</v>
      </c>
      <c r="U97" s="58" t="s">
        <v>382</v>
      </c>
      <c r="V97" s="55" t="s">
        <v>383</v>
      </c>
      <c r="X97" s="55" t="s">
        <v>543</v>
      </c>
      <c r="Y97" s="4" t="s">
        <v>203</v>
      </c>
      <c r="Z97" s="4" t="s">
        <v>204</v>
      </c>
      <c r="AA97" s="414">
        <v>60.0</v>
      </c>
    </row>
    <row r="98">
      <c r="A98" s="55" t="s">
        <v>3288</v>
      </c>
      <c r="B98" s="55" t="s">
        <v>3288</v>
      </c>
      <c r="F98" s="55" t="s">
        <v>186</v>
      </c>
      <c r="G98" s="55" t="s">
        <v>3024</v>
      </c>
      <c r="I98" s="58" t="s">
        <v>3274</v>
      </c>
      <c r="J98" s="58"/>
      <c r="K98" s="58" t="s">
        <v>3274</v>
      </c>
      <c r="L98" s="58" t="s">
        <v>3026</v>
      </c>
      <c r="M98" s="58"/>
      <c r="N98" s="58" t="s">
        <v>3026</v>
      </c>
      <c r="O98" s="58" t="s">
        <v>3026</v>
      </c>
      <c r="P98" s="58"/>
      <c r="Q98" s="58" t="s">
        <v>3026</v>
      </c>
      <c r="R98" s="58" t="s">
        <v>3026</v>
      </c>
      <c r="S98" s="58"/>
      <c r="T98" s="58" t="s">
        <v>3026</v>
      </c>
      <c r="U98" s="58" t="s">
        <v>382</v>
      </c>
      <c r="V98" s="55" t="s">
        <v>383</v>
      </c>
      <c r="X98" s="55" t="s">
        <v>548</v>
      </c>
      <c r="Y98" s="4" t="s">
        <v>203</v>
      </c>
      <c r="Z98" s="4" t="s">
        <v>204</v>
      </c>
      <c r="AA98" s="414">
        <v>60.0</v>
      </c>
    </row>
    <row r="99">
      <c r="A99" s="55" t="s">
        <v>3289</v>
      </c>
      <c r="B99" s="55" t="s">
        <v>3289</v>
      </c>
      <c r="F99" s="55" t="s">
        <v>186</v>
      </c>
      <c r="G99" s="55" t="s">
        <v>3024</v>
      </c>
      <c r="I99" s="58" t="s">
        <v>3222</v>
      </c>
      <c r="J99" s="58"/>
      <c r="K99" s="58" t="s">
        <v>3222</v>
      </c>
      <c r="L99" s="58" t="s">
        <v>3026</v>
      </c>
      <c r="M99" s="58"/>
      <c r="N99" s="58" t="s">
        <v>3026</v>
      </c>
      <c r="O99" s="58" t="s">
        <v>3076</v>
      </c>
      <c r="P99" s="58"/>
      <c r="Q99" s="58" t="s">
        <v>3076</v>
      </c>
      <c r="R99" s="58" t="s">
        <v>3047</v>
      </c>
      <c r="S99" s="58"/>
      <c r="T99" s="58" t="s">
        <v>3047</v>
      </c>
      <c r="U99" s="58" t="s">
        <v>559</v>
      </c>
      <c r="V99" s="55" t="s">
        <v>24</v>
      </c>
      <c r="X99" s="55" t="s">
        <v>706</v>
      </c>
      <c r="Y99" s="4" t="s">
        <v>203</v>
      </c>
      <c r="Z99" s="4" t="s">
        <v>204</v>
      </c>
      <c r="AA99" s="414">
        <v>60.0</v>
      </c>
    </row>
    <row r="100">
      <c r="A100" s="55" t="s">
        <v>3290</v>
      </c>
      <c r="B100" s="55" t="s">
        <v>3290</v>
      </c>
      <c r="F100" s="55" t="s">
        <v>186</v>
      </c>
      <c r="G100" s="55" t="s">
        <v>3024</v>
      </c>
      <c r="I100" s="58" t="s">
        <v>3222</v>
      </c>
      <c r="J100" s="58"/>
      <c r="K100" s="58" t="s">
        <v>3222</v>
      </c>
      <c r="L100" s="58" t="s">
        <v>3026</v>
      </c>
      <c r="M100" s="58"/>
      <c r="N100" s="58" t="s">
        <v>3026</v>
      </c>
      <c r="O100" s="58" t="s">
        <v>3076</v>
      </c>
      <c r="P100" s="58"/>
      <c r="Q100" s="58" t="s">
        <v>3076</v>
      </c>
      <c r="R100" s="58" t="s">
        <v>3047</v>
      </c>
      <c r="S100" s="58"/>
      <c r="T100" s="58" t="s">
        <v>3047</v>
      </c>
      <c r="U100" s="58" t="s">
        <v>559</v>
      </c>
      <c r="V100" s="55" t="s">
        <v>24</v>
      </c>
      <c r="X100" s="55" t="s">
        <v>710</v>
      </c>
      <c r="Y100" s="4" t="s">
        <v>203</v>
      </c>
      <c r="Z100" s="4" t="s">
        <v>204</v>
      </c>
      <c r="AA100" s="414">
        <v>60.0</v>
      </c>
    </row>
    <row r="101">
      <c r="A101" s="55" t="s">
        <v>3291</v>
      </c>
      <c r="B101" s="55" t="s">
        <v>3291</v>
      </c>
      <c r="F101" s="55" t="s">
        <v>186</v>
      </c>
      <c r="G101" s="55" t="s">
        <v>3024</v>
      </c>
      <c r="I101" s="58" t="s">
        <v>3222</v>
      </c>
      <c r="J101" s="58"/>
      <c r="K101" s="58" t="s">
        <v>3222</v>
      </c>
      <c r="L101" s="58" t="s">
        <v>3026</v>
      </c>
      <c r="M101" s="58"/>
      <c r="N101" s="58" t="s">
        <v>3026</v>
      </c>
      <c r="O101" s="58" t="s">
        <v>3076</v>
      </c>
      <c r="P101" s="58"/>
      <c r="Q101" s="58" t="s">
        <v>3076</v>
      </c>
      <c r="R101" s="58" t="s">
        <v>3047</v>
      </c>
      <c r="S101" s="58"/>
      <c r="T101" s="58" t="s">
        <v>3047</v>
      </c>
      <c r="U101" s="58" t="s">
        <v>559</v>
      </c>
      <c r="V101" s="55" t="s">
        <v>24</v>
      </c>
      <c r="X101" s="55" t="s">
        <v>695</v>
      </c>
      <c r="Y101" s="4" t="s">
        <v>203</v>
      </c>
      <c r="Z101" s="4" t="s">
        <v>204</v>
      </c>
      <c r="AA101" s="414">
        <v>60.0</v>
      </c>
    </row>
    <row r="102">
      <c r="A102" s="55" t="s">
        <v>3292</v>
      </c>
      <c r="B102" s="55" t="s">
        <v>3292</v>
      </c>
      <c r="F102" s="55" t="s">
        <v>186</v>
      </c>
      <c r="G102" s="55" t="s">
        <v>3024</v>
      </c>
      <c r="I102" s="58" t="s">
        <v>3147</v>
      </c>
      <c r="J102" s="58"/>
      <c r="K102" s="58" t="s">
        <v>3147</v>
      </c>
      <c r="L102" s="58" t="s">
        <v>3026</v>
      </c>
      <c r="M102" s="58"/>
      <c r="N102" s="58" t="s">
        <v>3026</v>
      </c>
      <c r="O102" s="58" t="s">
        <v>3148</v>
      </c>
      <c r="P102" s="58"/>
      <c r="Q102" s="58" t="s">
        <v>3148</v>
      </c>
      <c r="R102" s="58" t="s">
        <v>3047</v>
      </c>
      <c r="S102" s="58"/>
      <c r="T102" s="58" t="s">
        <v>3047</v>
      </c>
      <c r="U102" s="58" t="s">
        <v>559</v>
      </c>
      <c r="V102" s="55" t="s">
        <v>24</v>
      </c>
      <c r="X102" s="55" t="s">
        <v>737</v>
      </c>
      <c r="Y102" s="4" t="s">
        <v>203</v>
      </c>
      <c r="Z102" s="4" t="s">
        <v>204</v>
      </c>
      <c r="AA102" s="414">
        <v>60.0</v>
      </c>
    </row>
    <row r="103">
      <c r="A103" s="55" t="s">
        <v>3293</v>
      </c>
      <c r="B103" s="55" t="s">
        <v>3293</v>
      </c>
      <c r="F103" s="55" t="s">
        <v>186</v>
      </c>
      <c r="G103" s="55" t="s">
        <v>3024</v>
      </c>
      <c r="I103" s="58" t="s">
        <v>3222</v>
      </c>
      <c r="J103" s="58"/>
      <c r="K103" s="58" t="s">
        <v>3222</v>
      </c>
      <c r="L103" s="58" t="s">
        <v>3026</v>
      </c>
      <c r="M103" s="58"/>
      <c r="N103" s="58" t="s">
        <v>3026</v>
      </c>
      <c r="O103" s="58" t="s">
        <v>3076</v>
      </c>
      <c r="P103" s="58"/>
      <c r="Q103" s="58" t="s">
        <v>3076</v>
      </c>
      <c r="R103" s="58" t="s">
        <v>3047</v>
      </c>
      <c r="S103" s="58"/>
      <c r="T103" s="58" t="s">
        <v>3047</v>
      </c>
      <c r="U103" s="58" t="s">
        <v>559</v>
      </c>
      <c r="V103" s="55" t="s">
        <v>24</v>
      </c>
      <c r="X103" s="55" t="s">
        <v>742</v>
      </c>
      <c r="Y103" s="4" t="s">
        <v>203</v>
      </c>
      <c r="Z103" s="4" t="s">
        <v>204</v>
      </c>
      <c r="AA103" s="414">
        <v>60.0</v>
      </c>
    </row>
    <row r="104">
      <c r="A104" s="55" t="s">
        <v>3294</v>
      </c>
      <c r="B104" s="55" t="s">
        <v>3294</v>
      </c>
      <c r="F104" s="55" t="s">
        <v>186</v>
      </c>
      <c r="G104" s="55" t="s">
        <v>3024</v>
      </c>
      <c r="I104" s="58" t="s">
        <v>3295</v>
      </c>
      <c r="J104" s="58"/>
      <c r="K104" s="58" t="s">
        <v>3295</v>
      </c>
      <c r="L104" s="58" t="s">
        <v>3047</v>
      </c>
      <c r="M104" s="58"/>
      <c r="N104" s="58" t="s">
        <v>3047</v>
      </c>
      <c r="O104" s="58" t="s">
        <v>3296</v>
      </c>
      <c r="P104" s="58"/>
      <c r="Q104" s="58" t="s">
        <v>3296</v>
      </c>
      <c r="R104" s="58" t="s">
        <v>3297</v>
      </c>
      <c r="S104" s="58"/>
      <c r="T104" s="58" t="s">
        <v>3297</v>
      </c>
      <c r="U104" s="58" t="s">
        <v>200</v>
      </c>
      <c r="V104" s="55" t="s">
        <v>201</v>
      </c>
      <c r="X104" s="55" t="s">
        <v>765</v>
      </c>
      <c r="Y104" s="4" t="s">
        <v>203</v>
      </c>
      <c r="Z104" s="4" t="s">
        <v>204</v>
      </c>
      <c r="AA104" s="414">
        <v>60.0</v>
      </c>
    </row>
    <row r="105">
      <c r="A105" s="55" t="s">
        <v>3298</v>
      </c>
      <c r="B105" s="55" t="s">
        <v>3298</v>
      </c>
      <c r="F105" s="55" t="s">
        <v>186</v>
      </c>
      <c r="G105" s="55" t="s">
        <v>3024</v>
      </c>
      <c r="I105" s="58" t="s">
        <v>3299</v>
      </c>
      <c r="J105" s="58"/>
      <c r="K105" s="58" t="s">
        <v>3299</v>
      </c>
      <c r="L105" s="58" t="s">
        <v>3184</v>
      </c>
      <c r="M105" s="58"/>
      <c r="N105" s="58" t="s">
        <v>3184</v>
      </c>
      <c r="O105" s="58" t="s">
        <v>3300</v>
      </c>
      <c r="P105" s="58"/>
      <c r="Q105" s="58" t="s">
        <v>3300</v>
      </c>
      <c r="R105" s="58" t="s">
        <v>3301</v>
      </c>
      <c r="S105" s="58"/>
      <c r="T105" s="58" t="s">
        <v>3301</v>
      </c>
      <c r="U105" s="58" t="s">
        <v>200</v>
      </c>
      <c r="V105" s="55" t="s">
        <v>201</v>
      </c>
      <c r="X105" s="55" t="s">
        <v>895</v>
      </c>
      <c r="Y105" s="4" t="s">
        <v>203</v>
      </c>
      <c r="Z105" s="4" t="s">
        <v>204</v>
      </c>
      <c r="AA105" s="414">
        <v>60.0</v>
      </c>
    </row>
    <row r="106">
      <c r="A106" s="55" t="s">
        <v>3302</v>
      </c>
      <c r="B106" s="55" t="s">
        <v>3302</v>
      </c>
      <c r="F106" s="55" t="s">
        <v>186</v>
      </c>
      <c r="G106" s="55" t="s">
        <v>3024</v>
      </c>
      <c r="I106" s="58" t="s">
        <v>3303</v>
      </c>
      <c r="J106" s="58"/>
      <c r="K106" s="58" t="s">
        <v>3303</v>
      </c>
      <c r="L106" s="58" t="s">
        <v>3116</v>
      </c>
      <c r="M106" s="58"/>
      <c r="N106" s="58" t="s">
        <v>3116</v>
      </c>
      <c r="O106" s="58" t="s">
        <v>3304</v>
      </c>
      <c r="P106" s="58"/>
      <c r="Q106" s="58" t="s">
        <v>3304</v>
      </c>
      <c r="R106" s="58" t="s">
        <v>3305</v>
      </c>
      <c r="S106" s="58"/>
      <c r="T106" s="58" t="s">
        <v>3305</v>
      </c>
      <c r="U106" s="58" t="s">
        <v>200</v>
      </c>
      <c r="V106" s="55" t="s">
        <v>201</v>
      </c>
      <c r="X106" s="55" t="s">
        <v>787</v>
      </c>
      <c r="Y106" s="4" t="s">
        <v>203</v>
      </c>
      <c r="Z106" s="4" t="s">
        <v>204</v>
      </c>
      <c r="AA106" s="414">
        <v>60.0</v>
      </c>
    </row>
    <row r="107">
      <c r="A107" s="55" t="s">
        <v>3306</v>
      </c>
      <c r="B107" s="55" t="s">
        <v>3306</v>
      </c>
      <c r="F107" s="55" t="s">
        <v>186</v>
      </c>
      <c r="G107" s="55" t="s">
        <v>3024</v>
      </c>
      <c r="I107" s="58" t="s">
        <v>3307</v>
      </c>
      <c r="J107" s="58"/>
      <c r="K107" s="58" t="s">
        <v>3307</v>
      </c>
      <c r="L107" s="58" t="s">
        <v>3084</v>
      </c>
      <c r="M107" s="58"/>
      <c r="N107" s="58" t="s">
        <v>3084</v>
      </c>
      <c r="O107" s="58" t="s">
        <v>3308</v>
      </c>
      <c r="P107" s="58"/>
      <c r="Q107" s="58" t="s">
        <v>3308</v>
      </c>
      <c r="R107" s="58" t="s">
        <v>3309</v>
      </c>
      <c r="S107" s="58"/>
      <c r="T107" s="58" t="s">
        <v>3309</v>
      </c>
      <c r="U107" s="58" t="s">
        <v>200</v>
      </c>
      <c r="V107" s="55" t="s">
        <v>201</v>
      </c>
      <c r="X107" s="55" t="s">
        <v>787</v>
      </c>
      <c r="Y107" s="4" t="s">
        <v>203</v>
      </c>
      <c r="Z107" s="4" t="s">
        <v>204</v>
      </c>
      <c r="AA107" s="414">
        <v>60.0</v>
      </c>
    </row>
    <row r="108">
      <c r="A108" s="55" t="s">
        <v>3310</v>
      </c>
      <c r="B108" s="55" t="s">
        <v>3310</v>
      </c>
      <c r="F108" s="55" t="s">
        <v>186</v>
      </c>
      <c r="G108" s="55" t="s">
        <v>3024</v>
      </c>
      <c r="I108" s="58" t="s">
        <v>3311</v>
      </c>
      <c r="J108" s="58"/>
      <c r="K108" s="58" t="s">
        <v>3311</v>
      </c>
      <c r="L108" s="58" t="s">
        <v>3039</v>
      </c>
      <c r="M108" s="58"/>
      <c r="N108" s="58" t="s">
        <v>3039</v>
      </c>
      <c r="O108" s="58" t="s">
        <v>3312</v>
      </c>
      <c r="P108" s="58"/>
      <c r="Q108" s="58" t="s">
        <v>3312</v>
      </c>
      <c r="R108" s="58" t="s">
        <v>3313</v>
      </c>
      <c r="S108" s="58"/>
      <c r="T108" s="58" t="s">
        <v>3313</v>
      </c>
      <c r="U108" s="58" t="s">
        <v>200</v>
      </c>
      <c r="V108" s="55" t="s">
        <v>201</v>
      </c>
      <c r="X108" s="55" t="s">
        <v>771</v>
      </c>
      <c r="Y108" s="4" t="s">
        <v>203</v>
      </c>
      <c r="Z108" s="4" t="s">
        <v>204</v>
      </c>
      <c r="AA108" s="414">
        <v>60.0</v>
      </c>
    </row>
    <row r="109">
      <c r="A109" s="55" t="s">
        <v>3314</v>
      </c>
      <c r="B109" s="55" t="s">
        <v>3314</v>
      </c>
      <c r="F109" s="55" t="s">
        <v>186</v>
      </c>
      <c r="G109" s="55" t="s">
        <v>3024</v>
      </c>
      <c r="I109" s="58" t="s">
        <v>3315</v>
      </c>
      <c r="J109" s="58"/>
      <c r="K109" s="58" t="s">
        <v>3315</v>
      </c>
      <c r="L109" s="58" t="s">
        <v>3028</v>
      </c>
      <c r="M109" s="58"/>
      <c r="N109" s="58" t="s">
        <v>3028</v>
      </c>
      <c r="O109" s="58" t="s">
        <v>3316</v>
      </c>
      <c r="P109" s="58"/>
      <c r="Q109" s="58" t="s">
        <v>3316</v>
      </c>
      <c r="R109" s="58" t="s">
        <v>3317</v>
      </c>
      <c r="S109" s="58"/>
      <c r="T109" s="58" t="s">
        <v>3317</v>
      </c>
      <c r="U109" s="58" t="s">
        <v>200</v>
      </c>
      <c r="V109" s="55" t="s">
        <v>201</v>
      </c>
      <c r="X109" s="55" t="s">
        <v>823</v>
      </c>
      <c r="Y109" s="4" t="s">
        <v>203</v>
      </c>
      <c r="Z109" s="4" t="s">
        <v>204</v>
      </c>
      <c r="AA109" s="414">
        <v>60.0</v>
      </c>
    </row>
    <row r="110">
      <c r="A110" s="55" t="s">
        <v>3318</v>
      </c>
      <c r="B110" s="55" t="s">
        <v>3318</v>
      </c>
      <c r="F110" s="55" t="s">
        <v>186</v>
      </c>
      <c r="G110" s="55" t="s">
        <v>3024</v>
      </c>
      <c r="I110" s="58" t="s">
        <v>3176</v>
      </c>
      <c r="J110" s="58"/>
      <c r="K110" s="58" t="s">
        <v>3176</v>
      </c>
      <c r="L110" s="58" t="s">
        <v>3028</v>
      </c>
      <c r="M110" s="58"/>
      <c r="N110" s="58" t="s">
        <v>3028</v>
      </c>
      <c r="O110" s="58" t="s">
        <v>3177</v>
      </c>
      <c r="P110" s="58"/>
      <c r="Q110" s="58" t="s">
        <v>3177</v>
      </c>
      <c r="R110" s="58" t="s">
        <v>3178</v>
      </c>
      <c r="S110" s="58"/>
      <c r="T110" s="58" t="s">
        <v>3178</v>
      </c>
      <c r="U110" s="58" t="s">
        <v>200</v>
      </c>
      <c r="V110" s="55" t="s">
        <v>201</v>
      </c>
      <c r="X110" s="55" t="s">
        <v>829</v>
      </c>
      <c r="Y110" s="4" t="s">
        <v>203</v>
      </c>
      <c r="Z110" s="4" t="s">
        <v>204</v>
      </c>
      <c r="AA110" s="414">
        <v>60.0</v>
      </c>
    </row>
    <row r="111">
      <c r="A111" s="55" t="s">
        <v>3319</v>
      </c>
      <c r="B111" s="55" t="s">
        <v>3319</v>
      </c>
      <c r="F111" s="55" t="s">
        <v>186</v>
      </c>
      <c r="G111" s="55" t="s">
        <v>3024</v>
      </c>
      <c r="I111" s="58" t="s">
        <v>3180</v>
      </c>
      <c r="J111" s="58"/>
      <c r="K111" s="58" t="s">
        <v>3180</v>
      </c>
      <c r="L111" s="58" t="s">
        <v>3028</v>
      </c>
      <c r="M111" s="58"/>
      <c r="N111" s="58" t="s">
        <v>3028</v>
      </c>
      <c r="O111" s="58" t="s">
        <v>3181</v>
      </c>
      <c r="P111" s="58"/>
      <c r="Q111" s="58" t="s">
        <v>3181</v>
      </c>
      <c r="R111" s="58" t="s">
        <v>3182</v>
      </c>
      <c r="S111" s="58"/>
      <c r="T111" s="58" t="s">
        <v>3182</v>
      </c>
      <c r="U111" s="58" t="s">
        <v>200</v>
      </c>
      <c r="V111" s="55" t="s">
        <v>201</v>
      </c>
      <c r="X111" s="55" t="s">
        <v>841</v>
      </c>
      <c r="Y111" s="4" t="s">
        <v>203</v>
      </c>
      <c r="Z111" s="4" t="s">
        <v>204</v>
      </c>
      <c r="AA111" s="414">
        <v>60.0</v>
      </c>
    </row>
    <row r="112">
      <c r="A112" s="55" t="s">
        <v>3320</v>
      </c>
      <c r="B112" s="55" t="s">
        <v>3320</v>
      </c>
      <c r="F112" s="55" t="s">
        <v>186</v>
      </c>
      <c r="G112" s="55" t="s">
        <v>3024</v>
      </c>
      <c r="I112" s="58" t="s">
        <v>3321</v>
      </c>
      <c r="J112" s="58"/>
      <c r="K112" s="58" t="s">
        <v>3321</v>
      </c>
      <c r="L112" s="58" t="s">
        <v>3184</v>
      </c>
      <c r="M112" s="58"/>
      <c r="N112" s="58" t="s">
        <v>3184</v>
      </c>
      <c r="O112" s="58" t="s">
        <v>3173</v>
      </c>
      <c r="P112" s="58"/>
      <c r="Q112" s="58" t="s">
        <v>3173</v>
      </c>
      <c r="R112" s="58" t="s">
        <v>3322</v>
      </c>
      <c r="S112" s="58"/>
      <c r="T112" s="58" t="s">
        <v>3322</v>
      </c>
      <c r="U112" s="58" t="s">
        <v>200</v>
      </c>
      <c r="V112" s="55" t="s">
        <v>201</v>
      </c>
      <c r="X112" s="55" t="s">
        <v>853</v>
      </c>
      <c r="Y112" s="4" t="s">
        <v>203</v>
      </c>
      <c r="Z112" s="4" t="s">
        <v>204</v>
      </c>
      <c r="AA112" s="414">
        <v>60.0</v>
      </c>
    </row>
    <row r="113">
      <c r="A113" s="55" t="s">
        <v>3323</v>
      </c>
      <c r="B113" s="55" t="s">
        <v>3323</v>
      </c>
      <c r="F113" s="55" t="s">
        <v>186</v>
      </c>
      <c r="G113" s="55" t="s">
        <v>3024</v>
      </c>
      <c r="I113" s="58" t="s">
        <v>3321</v>
      </c>
      <c r="J113" s="58"/>
      <c r="K113" s="58" t="s">
        <v>3321</v>
      </c>
      <c r="L113" s="58" t="s">
        <v>3184</v>
      </c>
      <c r="M113" s="58"/>
      <c r="N113" s="58" t="s">
        <v>3184</v>
      </c>
      <c r="O113" s="58" t="s">
        <v>3173</v>
      </c>
      <c r="P113" s="58"/>
      <c r="Q113" s="58" t="s">
        <v>3173</v>
      </c>
      <c r="R113" s="58" t="s">
        <v>3322</v>
      </c>
      <c r="S113" s="58"/>
      <c r="T113" s="58" t="s">
        <v>3322</v>
      </c>
      <c r="U113" s="58" t="s">
        <v>200</v>
      </c>
      <c r="V113" s="55" t="s">
        <v>201</v>
      </c>
      <c r="X113" s="55" t="s">
        <v>859</v>
      </c>
      <c r="Y113" s="4" t="s">
        <v>203</v>
      </c>
      <c r="Z113" s="4" t="s">
        <v>204</v>
      </c>
      <c r="AA113" s="414">
        <v>60.0</v>
      </c>
    </row>
    <row r="114">
      <c r="A114" s="55" t="s">
        <v>3324</v>
      </c>
      <c r="B114" s="55" t="s">
        <v>3324</v>
      </c>
      <c r="F114" s="55" t="s">
        <v>186</v>
      </c>
      <c r="G114" s="55" t="s">
        <v>3024</v>
      </c>
      <c r="I114" s="58" t="s">
        <v>3321</v>
      </c>
      <c r="J114" s="58"/>
      <c r="K114" s="58" t="s">
        <v>3321</v>
      </c>
      <c r="L114" s="58" t="s">
        <v>3184</v>
      </c>
      <c r="M114" s="58"/>
      <c r="N114" s="58" t="s">
        <v>3184</v>
      </c>
      <c r="O114" s="58" t="s">
        <v>3173</v>
      </c>
      <c r="P114" s="58"/>
      <c r="Q114" s="58" t="s">
        <v>3173</v>
      </c>
      <c r="R114" s="58" t="s">
        <v>3322</v>
      </c>
      <c r="S114" s="58"/>
      <c r="T114" s="58" t="s">
        <v>3322</v>
      </c>
      <c r="U114" s="58" t="s">
        <v>200</v>
      </c>
      <c r="V114" s="55" t="s">
        <v>201</v>
      </c>
      <c r="X114" s="55" t="s">
        <v>865</v>
      </c>
      <c r="Y114" s="4" t="s">
        <v>203</v>
      </c>
      <c r="Z114" s="4" t="s">
        <v>204</v>
      </c>
      <c r="AA114" s="414">
        <v>60.0</v>
      </c>
    </row>
    <row r="115">
      <c r="A115" s="55" t="s">
        <v>3325</v>
      </c>
      <c r="B115" s="55" t="s">
        <v>3325</v>
      </c>
      <c r="F115" s="55" t="s">
        <v>186</v>
      </c>
      <c r="G115" s="55" t="s">
        <v>3024</v>
      </c>
      <c r="I115" s="58" t="s">
        <v>3326</v>
      </c>
      <c r="J115" s="58"/>
      <c r="K115" s="58" t="s">
        <v>3326</v>
      </c>
      <c r="L115" s="58" t="s">
        <v>3184</v>
      </c>
      <c r="M115" s="58"/>
      <c r="N115" s="58" t="s">
        <v>3184</v>
      </c>
      <c r="O115" s="58" t="s">
        <v>3327</v>
      </c>
      <c r="P115" s="58"/>
      <c r="Q115" s="58" t="s">
        <v>3327</v>
      </c>
      <c r="R115" s="58" t="s">
        <v>3328</v>
      </c>
      <c r="S115" s="58"/>
      <c r="T115" s="58" t="s">
        <v>3328</v>
      </c>
      <c r="U115" s="58" t="s">
        <v>200</v>
      </c>
      <c r="V115" s="55" t="s">
        <v>201</v>
      </c>
      <c r="X115" s="55" t="s">
        <v>871</v>
      </c>
      <c r="Y115" s="4" t="s">
        <v>203</v>
      </c>
      <c r="Z115" s="4" t="s">
        <v>204</v>
      </c>
      <c r="AA115" s="414">
        <v>60.0</v>
      </c>
    </row>
    <row r="116">
      <c r="A116" s="55" t="s">
        <v>3329</v>
      </c>
      <c r="B116" s="55" t="s">
        <v>3329</v>
      </c>
      <c r="F116" s="55" t="s">
        <v>186</v>
      </c>
      <c r="G116" s="55" t="s">
        <v>3024</v>
      </c>
      <c r="I116" s="58" t="s">
        <v>3326</v>
      </c>
      <c r="J116" s="58"/>
      <c r="K116" s="58" t="s">
        <v>3326</v>
      </c>
      <c r="L116" s="58" t="s">
        <v>3184</v>
      </c>
      <c r="M116" s="58"/>
      <c r="N116" s="58" t="s">
        <v>3184</v>
      </c>
      <c r="O116" s="58" t="s">
        <v>3327</v>
      </c>
      <c r="P116" s="58"/>
      <c r="Q116" s="58" t="s">
        <v>3327</v>
      </c>
      <c r="R116" s="58" t="s">
        <v>3328</v>
      </c>
      <c r="S116" s="58"/>
      <c r="T116" s="58" t="s">
        <v>3328</v>
      </c>
      <c r="U116" s="58" t="s">
        <v>200</v>
      </c>
      <c r="V116" s="55" t="s">
        <v>201</v>
      </c>
      <c r="X116" s="55" t="s">
        <v>877</v>
      </c>
      <c r="Y116" s="4" t="s">
        <v>203</v>
      </c>
      <c r="Z116" s="4" t="s">
        <v>204</v>
      </c>
      <c r="AA116" s="414">
        <v>60.0</v>
      </c>
    </row>
    <row r="117">
      <c r="A117" s="55" t="s">
        <v>3330</v>
      </c>
      <c r="B117" s="55" t="s">
        <v>3330</v>
      </c>
      <c r="F117" s="55" t="s">
        <v>186</v>
      </c>
      <c r="G117" s="55" t="s">
        <v>3024</v>
      </c>
      <c r="I117" s="58" t="s">
        <v>3331</v>
      </c>
      <c r="J117" s="58"/>
      <c r="K117" s="58" t="s">
        <v>3331</v>
      </c>
      <c r="L117" s="58" t="s">
        <v>3184</v>
      </c>
      <c r="M117" s="58"/>
      <c r="N117" s="58" t="s">
        <v>3184</v>
      </c>
      <c r="O117" s="58" t="s">
        <v>3332</v>
      </c>
      <c r="P117" s="58"/>
      <c r="Q117" s="58" t="s">
        <v>3332</v>
      </c>
      <c r="R117" s="58" t="s">
        <v>3333</v>
      </c>
      <c r="S117" s="58"/>
      <c r="T117" s="58" t="s">
        <v>3333</v>
      </c>
      <c r="U117" s="58" t="s">
        <v>200</v>
      </c>
      <c r="V117" s="55" t="s">
        <v>201</v>
      </c>
      <c r="X117" s="55" t="s">
        <v>901</v>
      </c>
      <c r="Y117" s="4" t="s">
        <v>203</v>
      </c>
      <c r="Z117" s="4" t="s">
        <v>204</v>
      </c>
      <c r="AA117" s="414">
        <v>60.0</v>
      </c>
    </row>
    <row r="118">
      <c r="A118" s="55" t="s">
        <v>3334</v>
      </c>
      <c r="B118" s="55" t="s">
        <v>3334</v>
      </c>
      <c r="F118" s="55" t="s">
        <v>186</v>
      </c>
      <c r="G118" s="55" t="s">
        <v>3024</v>
      </c>
      <c r="I118" s="58" t="s">
        <v>3335</v>
      </c>
      <c r="J118" s="58"/>
      <c r="K118" s="58" t="s">
        <v>3335</v>
      </c>
      <c r="L118" s="58" t="s">
        <v>3026</v>
      </c>
      <c r="M118" s="58"/>
      <c r="N118" s="58" t="s">
        <v>3026</v>
      </c>
      <c r="O118" s="58" t="s">
        <v>3098</v>
      </c>
      <c r="P118" s="58"/>
      <c r="Q118" s="58" t="s">
        <v>3098</v>
      </c>
      <c r="R118" s="58" t="s">
        <v>3076</v>
      </c>
      <c r="S118" s="58"/>
      <c r="T118" s="58" t="s">
        <v>3076</v>
      </c>
      <c r="U118" s="58" t="s">
        <v>200</v>
      </c>
      <c r="V118" s="55" t="s">
        <v>201</v>
      </c>
      <c r="X118" s="55" t="s">
        <v>883</v>
      </c>
      <c r="Y118" s="4" t="s">
        <v>203</v>
      </c>
      <c r="Z118" s="4" t="s">
        <v>204</v>
      </c>
      <c r="AA118" s="414">
        <v>60.0</v>
      </c>
    </row>
    <row r="119">
      <c r="A119" s="55" t="s">
        <v>3336</v>
      </c>
      <c r="B119" s="55" t="s">
        <v>3336</v>
      </c>
      <c r="F119" s="55" t="s">
        <v>186</v>
      </c>
      <c r="G119" s="55" t="s">
        <v>3024</v>
      </c>
      <c r="I119" s="58" t="s">
        <v>3067</v>
      </c>
      <c r="J119" s="58"/>
      <c r="K119" s="58" t="s">
        <v>3067</v>
      </c>
      <c r="L119" s="58" t="s">
        <v>3047</v>
      </c>
      <c r="M119" s="58"/>
      <c r="N119" s="58" t="s">
        <v>3047</v>
      </c>
      <c r="O119" s="58" t="s">
        <v>3337</v>
      </c>
      <c r="P119" s="58"/>
      <c r="Q119" s="58" t="s">
        <v>3337</v>
      </c>
      <c r="R119" s="58" t="s">
        <v>3131</v>
      </c>
      <c r="S119" s="58"/>
      <c r="T119" s="58" t="s">
        <v>3131</v>
      </c>
      <c r="U119" s="58" t="s">
        <v>200</v>
      </c>
      <c r="V119" s="55" t="s">
        <v>201</v>
      </c>
      <c r="X119" s="55" t="s">
        <v>889</v>
      </c>
      <c r="Y119" s="4" t="s">
        <v>203</v>
      </c>
      <c r="Z119" s="4" t="s">
        <v>204</v>
      </c>
      <c r="AA119" s="414">
        <v>60.0</v>
      </c>
    </row>
    <row r="120">
      <c r="A120" s="55" t="s">
        <v>3338</v>
      </c>
      <c r="B120" s="55" t="s">
        <v>3338</v>
      </c>
      <c r="F120" s="55" t="s">
        <v>186</v>
      </c>
      <c r="G120" s="55" t="s">
        <v>3024</v>
      </c>
      <c r="I120" s="58" t="s">
        <v>3339</v>
      </c>
      <c r="J120" s="58"/>
      <c r="K120" s="58" t="s">
        <v>3339</v>
      </c>
      <c r="L120" s="58" t="s">
        <v>3184</v>
      </c>
      <c r="M120" s="58"/>
      <c r="N120" s="58" t="s">
        <v>3184</v>
      </c>
      <c r="O120" s="58" t="s">
        <v>3332</v>
      </c>
      <c r="P120" s="58"/>
      <c r="Q120" s="58" t="s">
        <v>3332</v>
      </c>
      <c r="R120" s="58" t="s">
        <v>3340</v>
      </c>
      <c r="S120" s="58"/>
      <c r="T120" s="58" t="s">
        <v>3340</v>
      </c>
      <c r="U120" s="58" t="s">
        <v>200</v>
      </c>
      <c r="V120" s="55" t="s">
        <v>201</v>
      </c>
      <c r="X120" s="55" t="s">
        <v>907</v>
      </c>
      <c r="Y120" s="4" t="s">
        <v>203</v>
      </c>
      <c r="Z120" s="4" t="s">
        <v>204</v>
      </c>
      <c r="AA120" s="414">
        <v>60.0</v>
      </c>
    </row>
    <row r="121">
      <c r="A121" s="55" t="s">
        <v>3341</v>
      </c>
      <c r="B121" s="55" t="s">
        <v>3341</v>
      </c>
      <c r="F121" s="55" t="s">
        <v>186</v>
      </c>
      <c r="G121" s="55" t="s">
        <v>3024</v>
      </c>
      <c r="I121" s="58" t="s">
        <v>3342</v>
      </c>
      <c r="J121" s="58"/>
      <c r="K121" s="58" t="s">
        <v>3342</v>
      </c>
      <c r="L121" s="58" t="s">
        <v>3026</v>
      </c>
      <c r="M121" s="58"/>
      <c r="N121" s="58" t="s">
        <v>3026</v>
      </c>
      <c r="O121" s="58" t="s">
        <v>3131</v>
      </c>
      <c r="P121" s="58"/>
      <c r="Q121" s="58" t="s">
        <v>3131</v>
      </c>
      <c r="R121" s="58" t="s">
        <v>3153</v>
      </c>
      <c r="S121" s="58"/>
      <c r="T121" s="58" t="s">
        <v>3153</v>
      </c>
      <c r="U121" s="58" t="s">
        <v>559</v>
      </c>
      <c r="V121" s="55" t="s">
        <v>24</v>
      </c>
      <c r="X121" s="55" t="s">
        <v>1168</v>
      </c>
      <c r="Y121" s="4" t="s">
        <v>203</v>
      </c>
      <c r="Z121" s="4" t="s">
        <v>204</v>
      </c>
      <c r="AA121" s="414">
        <v>60.0</v>
      </c>
    </row>
    <row r="122">
      <c r="A122" s="55" t="s">
        <v>3343</v>
      </c>
      <c r="B122" s="55" t="s">
        <v>3343</v>
      </c>
      <c r="F122" s="55" t="s">
        <v>186</v>
      </c>
      <c r="G122" s="55" t="s">
        <v>3024</v>
      </c>
      <c r="I122" s="58" t="s">
        <v>1481</v>
      </c>
      <c r="J122" s="58"/>
      <c r="K122" s="58" t="s">
        <v>1481</v>
      </c>
      <c r="L122" s="58" t="s">
        <v>3026</v>
      </c>
      <c r="M122" s="58"/>
      <c r="N122" s="58" t="s">
        <v>3026</v>
      </c>
      <c r="O122" s="58" t="s">
        <v>3084</v>
      </c>
      <c r="P122" s="58"/>
      <c r="Q122" s="58" t="s">
        <v>3084</v>
      </c>
      <c r="R122" s="58" t="s">
        <v>3047</v>
      </c>
      <c r="S122" s="58"/>
      <c r="T122" s="58" t="s">
        <v>3047</v>
      </c>
      <c r="U122" s="58" t="s">
        <v>559</v>
      </c>
      <c r="V122" s="55" t="s">
        <v>24</v>
      </c>
      <c r="X122" s="55" t="s">
        <v>1232</v>
      </c>
      <c r="Y122" s="4" t="s">
        <v>203</v>
      </c>
      <c r="Z122" s="4" t="s">
        <v>204</v>
      </c>
      <c r="AA122" s="414">
        <v>60.0</v>
      </c>
    </row>
    <row r="123">
      <c r="A123" s="55" t="s">
        <v>3344</v>
      </c>
      <c r="B123" s="55" t="s">
        <v>3344</v>
      </c>
      <c r="F123" s="55" t="s">
        <v>186</v>
      </c>
      <c r="G123" s="55" t="s">
        <v>3024</v>
      </c>
      <c r="I123" s="58" t="s">
        <v>3345</v>
      </c>
      <c r="J123" s="58"/>
      <c r="K123" s="58" t="s">
        <v>3345</v>
      </c>
      <c r="L123" s="58" t="s">
        <v>3026</v>
      </c>
      <c r="M123" s="58"/>
      <c r="N123" s="58" t="s">
        <v>3026</v>
      </c>
      <c r="O123" s="58" t="s">
        <v>3076</v>
      </c>
      <c r="P123" s="58"/>
      <c r="Q123" s="58" t="s">
        <v>3076</v>
      </c>
      <c r="R123" s="58" t="s">
        <v>3128</v>
      </c>
      <c r="S123" s="58"/>
      <c r="T123" s="58" t="s">
        <v>3128</v>
      </c>
      <c r="U123" s="58" t="s">
        <v>559</v>
      </c>
      <c r="V123" s="55" t="s">
        <v>24</v>
      </c>
      <c r="X123" s="55" t="s">
        <v>1182</v>
      </c>
      <c r="Y123" s="4" t="s">
        <v>203</v>
      </c>
      <c r="Z123" s="4" t="s">
        <v>204</v>
      </c>
      <c r="AA123" s="414">
        <v>60.0</v>
      </c>
    </row>
    <row r="124">
      <c r="A124" s="55" t="s">
        <v>3346</v>
      </c>
      <c r="B124" s="55" t="s">
        <v>3346</v>
      </c>
      <c r="F124" s="55" t="s">
        <v>186</v>
      </c>
      <c r="G124" s="55" t="s">
        <v>3024</v>
      </c>
      <c r="I124" s="58" t="s">
        <v>3274</v>
      </c>
      <c r="J124" s="58"/>
      <c r="K124" s="58" t="s">
        <v>3274</v>
      </c>
      <c r="L124" s="58" t="s">
        <v>3026</v>
      </c>
      <c r="M124" s="58"/>
      <c r="N124" s="58" t="s">
        <v>3026</v>
      </c>
      <c r="O124" s="58" t="s">
        <v>3026</v>
      </c>
      <c r="P124" s="58"/>
      <c r="Q124" s="58" t="s">
        <v>3026</v>
      </c>
      <c r="R124" s="58" t="s">
        <v>3026</v>
      </c>
      <c r="S124" s="58"/>
      <c r="T124" s="58" t="s">
        <v>3026</v>
      </c>
      <c r="U124" s="58" t="s">
        <v>559</v>
      </c>
      <c r="V124" s="55" t="s">
        <v>24</v>
      </c>
      <c r="X124" s="55" t="s">
        <v>1248</v>
      </c>
      <c r="Y124" s="4" t="s">
        <v>203</v>
      </c>
      <c r="Z124" s="4" t="s">
        <v>204</v>
      </c>
      <c r="AA124" s="414">
        <v>60.0</v>
      </c>
    </row>
    <row r="125">
      <c r="A125" s="55" t="s">
        <v>3347</v>
      </c>
      <c r="B125" s="55" t="s">
        <v>3347</v>
      </c>
      <c r="F125" s="55" t="s">
        <v>186</v>
      </c>
      <c r="G125" s="55" t="s">
        <v>3024</v>
      </c>
      <c r="I125" s="58" t="s">
        <v>3348</v>
      </c>
      <c r="J125" s="58"/>
      <c r="K125" s="58" t="s">
        <v>3348</v>
      </c>
      <c r="L125" s="58" t="s">
        <v>3047</v>
      </c>
      <c r="M125" s="58"/>
      <c r="N125" s="58" t="s">
        <v>3047</v>
      </c>
      <c r="O125" s="58" t="s">
        <v>3349</v>
      </c>
      <c r="P125" s="58"/>
      <c r="Q125" s="58" t="s">
        <v>3349</v>
      </c>
      <c r="R125" s="58" t="s">
        <v>3350</v>
      </c>
      <c r="S125" s="58"/>
      <c r="T125" s="58" t="s">
        <v>3350</v>
      </c>
      <c r="U125" s="58" t="s">
        <v>1546</v>
      </c>
      <c r="V125" s="55" t="s">
        <v>28</v>
      </c>
      <c r="X125" s="55" t="s">
        <v>1544</v>
      </c>
      <c r="Y125" s="4" t="s">
        <v>203</v>
      </c>
      <c r="Z125" s="4" t="s">
        <v>204</v>
      </c>
      <c r="AA125" s="414">
        <v>60.0</v>
      </c>
    </row>
    <row r="126">
      <c r="A126" s="55" t="s">
        <v>3351</v>
      </c>
      <c r="B126" s="55" t="s">
        <v>3351</v>
      </c>
      <c r="F126" s="55" t="s">
        <v>186</v>
      </c>
      <c r="G126" s="55" t="s">
        <v>3024</v>
      </c>
      <c r="I126" s="58" t="s">
        <v>3352</v>
      </c>
      <c r="J126" s="58"/>
      <c r="K126" s="58" t="s">
        <v>3352</v>
      </c>
      <c r="L126" s="58" t="s">
        <v>3047</v>
      </c>
      <c r="M126" s="58"/>
      <c r="N126" s="58" t="s">
        <v>3047</v>
      </c>
      <c r="O126" s="58" t="s">
        <v>3353</v>
      </c>
      <c r="P126" s="58"/>
      <c r="Q126" s="58" t="s">
        <v>3353</v>
      </c>
      <c r="R126" s="58" t="s">
        <v>3354</v>
      </c>
      <c r="S126" s="58"/>
      <c r="T126" s="58" t="s">
        <v>3354</v>
      </c>
      <c r="U126" s="58" t="s">
        <v>200</v>
      </c>
      <c r="V126" s="55" t="s">
        <v>201</v>
      </c>
      <c r="X126" s="55" t="s">
        <v>1554</v>
      </c>
      <c r="Y126" s="4" t="s">
        <v>203</v>
      </c>
      <c r="Z126" s="4" t="s">
        <v>204</v>
      </c>
      <c r="AA126" s="414">
        <v>60.0</v>
      </c>
    </row>
    <row r="127">
      <c r="A127" s="55" t="s">
        <v>3355</v>
      </c>
      <c r="B127" s="55" t="s">
        <v>3355</v>
      </c>
      <c r="F127" s="55" t="s">
        <v>186</v>
      </c>
      <c r="G127" s="55" t="s">
        <v>3024</v>
      </c>
      <c r="I127" s="58" t="s">
        <v>3356</v>
      </c>
      <c r="J127" s="58"/>
      <c r="K127" s="58" t="s">
        <v>3356</v>
      </c>
      <c r="L127" s="58" t="s">
        <v>3184</v>
      </c>
      <c r="M127" s="58"/>
      <c r="N127" s="58" t="s">
        <v>3184</v>
      </c>
      <c r="O127" s="58" t="s">
        <v>3035</v>
      </c>
      <c r="P127" s="58"/>
      <c r="Q127" s="58" t="s">
        <v>3035</v>
      </c>
      <c r="R127" s="58" t="s">
        <v>3357</v>
      </c>
      <c r="S127" s="58"/>
      <c r="T127" s="58" t="s">
        <v>3357</v>
      </c>
      <c r="U127" s="58" t="s">
        <v>200</v>
      </c>
      <c r="V127" s="55" t="s">
        <v>201</v>
      </c>
      <c r="X127" s="55" t="s">
        <v>1560</v>
      </c>
      <c r="Y127" s="4" t="s">
        <v>203</v>
      </c>
      <c r="Z127" s="4" t="s">
        <v>204</v>
      </c>
      <c r="AA127" s="414">
        <v>60.0</v>
      </c>
    </row>
    <row r="128">
      <c r="A128" s="55" t="s">
        <v>3358</v>
      </c>
      <c r="B128" s="55" t="s">
        <v>3358</v>
      </c>
      <c r="F128" s="55" t="s">
        <v>186</v>
      </c>
      <c r="G128" s="55" t="s">
        <v>3024</v>
      </c>
      <c r="I128" s="58" t="s">
        <v>3359</v>
      </c>
      <c r="J128" s="58"/>
      <c r="K128" s="58" t="s">
        <v>3359</v>
      </c>
      <c r="L128" s="58" t="s">
        <v>3047</v>
      </c>
      <c r="M128" s="58"/>
      <c r="N128" s="58" t="s">
        <v>3047</v>
      </c>
      <c r="O128" s="58" t="s">
        <v>3360</v>
      </c>
      <c r="P128" s="58"/>
      <c r="Q128" s="58" t="s">
        <v>3360</v>
      </c>
      <c r="R128" s="58" t="s">
        <v>3361</v>
      </c>
      <c r="S128" s="58"/>
      <c r="T128" s="58" t="s">
        <v>3361</v>
      </c>
      <c r="U128" s="58" t="s">
        <v>200</v>
      </c>
      <c r="V128" s="55" t="s">
        <v>201</v>
      </c>
      <c r="X128" s="55" t="s">
        <v>1566</v>
      </c>
      <c r="Y128" s="4" t="s">
        <v>203</v>
      </c>
      <c r="Z128" s="4" t="s">
        <v>204</v>
      </c>
      <c r="AA128" s="414">
        <v>60.0</v>
      </c>
    </row>
    <row r="129">
      <c r="A129" s="55" t="s">
        <v>3362</v>
      </c>
      <c r="B129" s="55" t="s">
        <v>3362</v>
      </c>
      <c r="F129" s="55" t="s">
        <v>186</v>
      </c>
      <c r="G129" s="55" t="s">
        <v>3024</v>
      </c>
      <c r="I129" s="58" t="s">
        <v>3363</v>
      </c>
      <c r="J129" s="58"/>
      <c r="K129" s="58" t="s">
        <v>3363</v>
      </c>
      <c r="L129" s="58" t="s">
        <v>3047</v>
      </c>
      <c r="M129" s="58"/>
      <c r="N129" s="58" t="s">
        <v>3047</v>
      </c>
      <c r="O129" s="58" t="s">
        <v>3364</v>
      </c>
      <c r="P129" s="58"/>
      <c r="Q129" s="58" t="s">
        <v>3364</v>
      </c>
      <c r="R129" s="58" t="s">
        <v>3105</v>
      </c>
      <c r="S129" s="58"/>
      <c r="T129" s="58" t="s">
        <v>3105</v>
      </c>
      <c r="U129" s="58" t="s">
        <v>200</v>
      </c>
      <c r="V129" s="55" t="s">
        <v>201</v>
      </c>
      <c r="X129" s="55" t="s">
        <v>1572</v>
      </c>
      <c r="Y129" s="4" t="s">
        <v>203</v>
      </c>
      <c r="Z129" s="4" t="s">
        <v>204</v>
      </c>
      <c r="AA129" s="414">
        <v>60.0</v>
      </c>
    </row>
    <row r="130">
      <c r="A130" s="55" t="s">
        <v>3365</v>
      </c>
      <c r="B130" s="55" t="s">
        <v>3365</v>
      </c>
      <c r="F130" s="55" t="s">
        <v>186</v>
      </c>
      <c r="G130" s="55" t="s">
        <v>3024</v>
      </c>
      <c r="I130" s="58" t="s">
        <v>3366</v>
      </c>
      <c r="J130" s="58"/>
      <c r="K130" s="58" t="s">
        <v>3366</v>
      </c>
      <c r="L130" s="58" t="s">
        <v>3367</v>
      </c>
      <c r="M130" s="58"/>
      <c r="N130" s="58" t="s">
        <v>3367</v>
      </c>
      <c r="O130" s="58" t="s">
        <v>3368</v>
      </c>
      <c r="P130" s="58"/>
      <c r="Q130" s="58" t="s">
        <v>3368</v>
      </c>
      <c r="R130" s="58" t="s">
        <v>3353</v>
      </c>
      <c r="S130" s="58"/>
      <c r="T130" s="58" t="s">
        <v>3353</v>
      </c>
      <c r="U130" s="58" t="s">
        <v>200</v>
      </c>
      <c r="V130" s="55" t="s">
        <v>201</v>
      </c>
      <c r="X130" s="55" t="s">
        <v>1578</v>
      </c>
      <c r="Y130" s="4" t="s">
        <v>203</v>
      </c>
      <c r="Z130" s="4" t="s">
        <v>204</v>
      </c>
      <c r="AA130" s="414">
        <v>60.0</v>
      </c>
    </row>
    <row r="131">
      <c r="A131" s="55" t="s">
        <v>3369</v>
      </c>
      <c r="B131" s="55" t="s">
        <v>3369</v>
      </c>
      <c r="F131" s="55" t="s">
        <v>186</v>
      </c>
      <c r="G131" s="55" t="s">
        <v>3024</v>
      </c>
      <c r="I131" s="58" t="s">
        <v>3370</v>
      </c>
      <c r="J131" s="58"/>
      <c r="K131" s="58" t="s">
        <v>3370</v>
      </c>
      <c r="L131" s="58" t="s">
        <v>3184</v>
      </c>
      <c r="M131" s="58"/>
      <c r="N131" s="58" t="s">
        <v>3184</v>
      </c>
      <c r="O131" s="58" t="s">
        <v>3246</v>
      </c>
      <c r="P131" s="58"/>
      <c r="Q131" s="58" t="s">
        <v>3246</v>
      </c>
      <c r="R131" s="58" t="s">
        <v>3371</v>
      </c>
      <c r="S131" s="58"/>
      <c r="T131" s="58" t="s">
        <v>3371</v>
      </c>
      <c r="U131" s="58" t="s">
        <v>1546</v>
      </c>
      <c r="V131" s="55" t="s">
        <v>28</v>
      </c>
      <c r="X131" s="55" t="s">
        <v>1584</v>
      </c>
      <c r="Y131" s="4" t="s">
        <v>203</v>
      </c>
      <c r="Z131" s="4" t="s">
        <v>204</v>
      </c>
      <c r="AA131" s="414">
        <v>60.0</v>
      </c>
    </row>
    <row r="132">
      <c r="A132" s="55" t="s">
        <v>3372</v>
      </c>
      <c r="B132" s="55" t="s">
        <v>3372</v>
      </c>
      <c r="F132" s="55" t="s">
        <v>186</v>
      </c>
      <c r="G132" s="55" t="s">
        <v>3024</v>
      </c>
      <c r="I132" s="58" t="s">
        <v>3373</v>
      </c>
      <c r="J132" s="58"/>
      <c r="K132" s="58" t="s">
        <v>3373</v>
      </c>
      <c r="L132" s="58" t="s">
        <v>3060</v>
      </c>
      <c r="M132" s="58"/>
      <c r="N132" s="58" t="s">
        <v>3060</v>
      </c>
      <c r="O132" s="58" t="s">
        <v>3374</v>
      </c>
      <c r="P132" s="58"/>
      <c r="Q132" s="58" t="s">
        <v>3374</v>
      </c>
      <c r="R132" s="58" t="s">
        <v>3375</v>
      </c>
      <c r="S132" s="58"/>
      <c r="T132" s="58" t="s">
        <v>3375</v>
      </c>
      <c r="U132" s="58" t="s">
        <v>1546</v>
      </c>
      <c r="V132" s="55" t="s">
        <v>28</v>
      </c>
      <c r="X132" s="55" t="s">
        <v>1589</v>
      </c>
      <c r="Y132" s="4" t="s">
        <v>203</v>
      </c>
      <c r="Z132" s="4" t="s">
        <v>204</v>
      </c>
      <c r="AA132" s="414">
        <v>60.0</v>
      </c>
    </row>
    <row r="133">
      <c r="A133" s="55" t="s">
        <v>3376</v>
      </c>
      <c r="B133" s="55" t="s">
        <v>3376</v>
      </c>
      <c r="F133" s="55" t="s">
        <v>186</v>
      </c>
      <c r="G133" s="55" t="s">
        <v>3024</v>
      </c>
      <c r="I133" s="58" t="s">
        <v>3377</v>
      </c>
      <c r="J133" s="58"/>
      <c r="K133" s="58" t="s">
        <v>3377</v>
      </c>
      <c r="L133" s="58" t="s">
        <v>3076</v>
      </c>
      <c r="M133" s="58"/>
      <c r="N133" s="58" t="s">
        <v>3076</v>
      </c>
      <c r="O133" s="58" t="s">
        <v>3378</v>
      </c>
      <c r="P133" s="58"/>
      <c r="Q133" s="58" t="s">
        <v>3378</v>
      </c>
      <c r="R133" s="58" t="s">
        <v>3379</v>
      </c>
      <c r="S133" s="58"/>
      <c r="T133" s="58" t="s">
        <v>3379</v>
      </c>
      <c r="U133" s="58" t="s">
        <v>1546</v>
      </c>
      <c r="V133" s="55" t="s">
        <v>28</v>
      </c>
      <c r="X133" s="55" t="s">
        <v>1594</v>
      </c>
      <c r="Y133" s="4" t="s">
        <v>203</v>
      </c>
      <c r="Z133" s="4" t="s">
        <v>204</v>
      </c>
      <c r="AA133" s="414">
        <v>60.0</v>
      </c>
    </row>
    <row r="134">
      <c r="A134" s="55" t="s">
        <v>3380</v>
      </c>
      <c r="B134" s="55" t="s">
        <v>3380</v>
      </c>
      <c r="F134" s="55" t="s">
        <v>186</v>
      </c>
      <c r="G134" s="55" t="s">
        <v>3024</v>
      </c>
      <c r="I134" s="58" t="s">
        <v>3381</v>
      </c>
      <c r="J134" s="58"/>
      <c r="K134" s="58" t="s">
        <v>3381</v>
      </c>
      <c r="L134" s="58" t="s">
        <v>3382</v>
      </c>
      <c r="M134" s="58"/>
      <c r="N134" s="58" t="s">
        <v>3382</v>
      </c>
      <c r="O134" s="58" t="s">
        <v>3383</v>
      </c>
      <c r="P134" s="58"/>
      <c r="Q134" s="58" t="s">
        <v>3383</v>
      </c>
      <c r="R134" s="58" t="s">
        <v>3384</v>
      </c>
      <c r="S134" s="58"/>
      <c r="T134" s="58" t="s">
        <v>3384</v>
      </c>
      <c r="U134" s="58" t="s">
        <v>1546</v>
      </c>
      <c r="V134" s="55" t="s">
        <v>28</v>
      </c>
      <c r="X134" s="55" t="s">
        <v>1599</v>
      </c>
      <c r="Y134" s="4" t="s">
        <v>203</v>
      </c>
      <c r="Z134" s="4" t="s">
        <v>204</v>
      </c>
      <c r="AA134" s="414">
        <v>60.0</v>
      </c>
    </row>
    <row r="135">
      <c r="A135" s="55" t="s">
        <v>3385</v>
      </c>
      <c r="B135" s="55" t="s">
        <v>3385</v>
      </c>
      <c r="F135" s="55" t="s">
        <v>186</v>
      </c>
      <c r="G135" s="55" t="s">
        <v>3024</v>
      </c>
      <c r="I135" s="58" t="s">
        <v>3386</v>
      </c>
      <c r="J135" s="58"/>
      <c r="K135" s="58" t="s">
        <v>3386</v>
      </c>
      <c r="L135" s="58" t="s">
        <v>3026</v>
      </c>
      <c r="M135" s="58"/>
      <c r="N135" s="58" t="s">
        <v>3026</v>
      </c>
      <c r="O135" s="58" t="s">
        <v>3387</v>
      </c>
      <c r="P135" s="58"/>
      <c r="Q135" s="58" t="s">
        <v>3387</v>
      </c>
      <c r="R135" s="58" t="s">
        <v>3388</v>
      </c>
      <c r="S135" s="58"/>
      <c r="T135" s="58" t="s">
        <v>3388</v>
      </c>
      <c r="U135" s="58" t="s">
        <v>1546</v>
      </c>
      <c r="V135" s="55" t="s">
        <v>28</v>
      </c>
      <c r="X135" s="55" t="s">
        <v>1604</v>
      </c>
      <c r="Y135" s="4" t="s">
        <v>203</v>
      </c>
      <c r="Z135" s="4" t="s">
        <v>204</v>
      </c>
      <c r="AA135" s="414">
        <v>60.0</v>
      </c>
    </row>
    <row r="136">
      <c r="A136" s="55" t="s">
        <v>3389</v>
      </c>
      <c r="B136" s="55" t="s">
        <v>3389</v>
      </c>
      <c r="F136" s="55" t="s">
        <v>186</v>
      </c>
      <c r="G136" s="55" t="s">
        <v>3024</v>
      </c>
      <c r="I136" s="58" t="s">
        <v>3390</v>
      </c>
      <c r="J136" s="58"/>
      <c r="K136" s="58" t="s">
        <v>3390</v>
      </c>
      <c r="L136" s="58" t="s">
        <v>3028</v>
      </c>
      <c r="M136" s="58"/>
      <c r="N136" s="58" t="s">
        <v>3028</v>
      </c>
      <c r="O136" s="58" t="s">
        <v>3333</v>
      </c>
      <c r="P136" s="58"/>
      <c r="Q136" s="58" t="s">
        <v>3333</v>
      </c>
      <c r="R136" s="58" t="s">
        <v>3391</v>
      </c>
      <c r="S136" s="58"/>
      <c r="T136" s="58" t="s">
        <v>3391</v>
      </c>
      <c r="U136" s="58" t="s">
        <v>1546</v>
      </c>
      <c r="V136" s="55" t="s">
        <v>28</v>
      </c>
      <c r="X136" s="55" t="s">
        <v>1609</v>
      </c>
      <c r="Y136" s="4" t="s">
        <v>203</v>
      </c>
      <c r="Z136" s="4" t="s">
        <v>204</v>
      </c>
      <c r="AA136" s="414">
        <v>60.0</v>
      </c>
    </row>
    <row r="137">
      <c r="A137" s="55" t="s">
        <v>3392</v>
      </c>
      <c r="B137" s="55" t="s">
        <v>3392</v>
      </c>
      <c r="F137" s="55" t="s">
        <v>186</v>
      </c>
      <c r="G137" s="55" t="s">
        <v>3024</v>
      </c>
      <c r="I137" s="58" t="s">
        <v>3393</v>
      </c>
      <c r="J137" s="58"/>
      <c r="K137" s="58" t="s">
        <v>3393</v>
      </c>
      <c r="L137" s="58" t="s">
        <v>3195</v>
      </c>
      <c r="M137" s="58"/>
      <c r="N137" s="58" t="s">
        <v>3195</v>
      </c>
      <c r="O137" s="58" t="s">
        <v>3394</v>
      </c>
      <c r="P137" s="58"/>
      <c r="Q137" s="58" t="s">
        <v>3394</v>
      </c>
      <c r="R137" s="58" t="s">
        <v>3395</v>
      </c>
      <c r="S137" s="58"/>
      <c r="T137" s="58" t="s">
        <v>3395</v>
      </c>
      <c r="U137" s="58" t="s">
        <v>200</v>
      </c>
      <c r="V137" s="55" t="s">
        <v>201</v>
      </c>
      <c r="X137" s="55" t="s">
        <v>759</v>
      </c>
      <c r="Y137" s="4" t="s">
        <v>203</v>
      </c>
      <c r="Z137" s="4" t="s">
        <v>204</v>
      </c>
      <c r="AA137" s="414">
        <v>60.0</v>
      </c>
    </row>
    <row r="138">
      <c r="A138" s="55" t="s">
        <v>3396</v>
      </c>
      <c r="B138" s="55" t="s">
        <v>3396</v>
      </c>
      <c r="F138" s="55" t="s">
        <v>186</v>
      </c>
      <c r="G138" s="55" t="s">
        <v>3397</v>
      </c>
      <c r="I138" s="58" t="s">
        <v>3220</v>
      </c>
      <c r="J138" s="58"/>
      <c r="K138" s="58" t="s">
        <v>3220</v>
      </c>
      <c r="L138" s="58" t="s">
        <v>3026</v>
      </c>
      <c r="M138" s="58"/>
      <c r="N138" s="58" t="s">
        <v>3026</v>
      </c>
      <c r="O138" s="58" t="s">
        <v>3039</v>
      </c>
      <c r="P138" s="58"/>
      <c r="Q138" s="58" t="s">
        <v>3039</v>
      </c>
      <c r="R138" s="58" t="s">
        <v>3028</v>
      </c>
      <c r="S138" s="58"/>
      <c r="T138" s="58" t="s">
        <v>3028</v>
      </c>
      <c r="U138" s="58" t="s">
        <v>200</v>
      </c>
      <c r="V138" s="55" t="s">
        <v>201</v>
      </c>
      <c r="X138" s="55" t="s">
        <v>2056</v>
      </c>
      <c r="Y138" s="4" t="s">
        <v>203</v>
      </c>
      <c r="Z138" s="4" t="s">
        <v>204</v>
      </c>
      <c r="AA138" s="414">
        <v>60.0</v>
      </c>
    </row>
    <row r="139">
      <c r="A139" s="55" t="s">
        <v>3398</v>
      </c>
      <c r="B139" s="55" t="s">
        <v>3398</v>
      </c>
      <c r="F139" s="55" t="s">
        <v>186</v>
      </c>
      <c r="G139" s="55" t="s">
        <v>3397</v>
      </c>
      <c r="I139" s="58" t="s">
        <v>3399</v>
      </c>
      <c r="J139" s="58"/>
      <c r="K139" s="58" t="s">
        <v>3399</v>
      </c>
      <c r="L139" s="58" t="s">
        <v>3026</v>
      </c>
      <c r="M139" s="58"/>
      <c r="N139" s="58" t="s">
        <v>3026</v>
      </c>
      <c r="O139" s="58" t="s">
        <v>3184</v>
      </c>
      <c r="P139" s="58"/>
      <c r="Q139" s="58" t="s">
        <v>3184</v>
      </c>
      <c r="R139" s="58" t="s">
        <v>3131</v>
      </c>
      <c r="S139" s="58"/>
      <c r="T139" s="58" t="s">
        <v>3131</v>
      </c>
      <c r="U139" s="58" t="s">
        <v>200</v>
      </c>
      <c r="V139" s="55" t="s">
        <v>201</v>
      </c>
      <c r="X139" s="55" t="s">
        <v>2066</v>
      </c>
      <c r="Y139" s="4" t="s">
        <v>203</v>
      </c>
      <c r="Z139" s="4" t="s">
        <v>204</v>
      </c>
      <c r="AA139" s="414">
        <v>60.0</v>
      </c>
    </row>
    <row r="140">
      <c r="A140" s="55" t="s">
        <v>3400</v>
      </c>
      <c r="B140" s="55" t="s">
        <v>3400</v>
      </c>
      <c r="F140" s="55" t="s">
        <v>186</v>
      </c>
      <c r="G140" s="55" t="s">
        <v>3397</v>
      </c>
      <c r="I140" s="58" t="s">
        <v>3401</v>
      </c>
      <c r="J140" s="58"/>
      <c r="K140" s="58" t="s">
        <v>3401</v>
      </c>
      <c r="L140" s="58" t="s">
        <v>3026</v>
      </c>
      <c r="M140" s="58"/>
      <c r="N140" s="58" t="s">
        <v>3026</v>
      </c>
      <c r="O140" s="58" t="s">
        <v>3027</v>
      </c>
      <c r="P140" s="58"/>
      <c r="Q140" s="58" t="s">
        <v>3027</v>
      </c>
      <c r="R140" s="58" t="s">
        <v>3173</v>
      </c>
      <c r="S140" s="58"/>
      <c r="T140" s="58" t="s">
        <v>3173</v>
      </c>
      <c r="U140" s="58" t="s">
        <v>200</v>
      </c>
      <c r="V140" s="55" t="s">
        <v>201</v>
      </c>
      <c r="X140" s="55" t="s">
        <v>2061</v>
      </c>
      <c r="Y140" s="4" t="s">
        <v>203</v>
      </c>
      <c r="Z140" s="4" t="s">
        <v>204</v>
      </c>
      <c r="AA140" s="414">
        <v>60.0</v>
      </c>
    </row>
    <row r="141">
      <c r="A141" s="55" t="s">
        <v>3402</v>
      </c>
      <c r="B141" s="55" t="s">
        <v>3402</v>
      </c>
      <c r="F141" s="55" t="s">
        <v>186</v>
      </c>
      <c r="G141" s="55" t="s">
        <v>3397</v>
      </c>
      <c r="I141" s="58" t="s">
        <v>3403</v>
      </c>
      <c r="J141" s="58"/>
      <c r="K141" s="58" t="s">
        <v>3403</v>
      </c>
      <c r="L141" s="58" t="s">
        <v>3026</v>
      </c>
      <c r="M141" s="58"/>
      <c r="N141" s="58" t="s">
        <v>3026</v>
      </c>
      <c r="O141" s="58" t="s">
        <v>3028</v>
      </c>
      <c r="P141" s="58"/>
      <c r="Q141" s="58" t="s">
        <v>3028</v>
      </c>
      <c r="R141" s="58" t="s">
        <v>3131</v>
      </c>
      <c r="S141" s="58"/>
      <c r="T141" s="58" t="s">
        <v>3131</v>
      </c>
      <c r="U141" s="58" t="s">
        <v>200</v>
      </c>
      <c r="V141" s="55" t="s">
        <v>201</v>
      </c>
      <c r="X141" s="55" t="s">
        <v>2145</v>
      </c>
      <c r="Y141" s="4" t="s">
        <v>203</v>
      </c>
      <c r="Z141" s="4" t="s">
        <v>204</v>
      </c>
      <c r="AA141" s="414">
        <v>60.0</v>
      </c>
    </row>
    <row r="142">
      <c r="A142" s="55" t="s">
        <v>3404</v>
      </c>
      <c r="B142" s="55" t="s">
        <v>3404</v>
      </c>
      <c r="F142" s="55" t="s">
        <v>186</v>
      </c>
      <c r="G142" s="55" t="s">
        <v>3397</v>
      </c>
      <c r="I142" s="58" t="s">
        <v>3405</v>
      </c>
      <c r="J142" s="58"/>
      <c r="K142" s="58" t="s">
        <v>3405</v>
      </c>
      <c r="L142" s="58" t="s">
        <v>3047</v>
      </c>
      <c r="M142" s="58"/>
      <c r="N142" s="58" t="s">
        <v>3047</v>
      </c>
      <c r="O142" s="58" t="s">
        <v>3406</v>
      </c>
      <c r="P142" s="58"/>
      <c r="Q142" s="58" t="s">
        <v>3406</v>
      </c>
      <c r="R142" s="58" t="s">
        <v>3407</v>
      </c>
      <c r="S142" s="58"/>
      <c r="T142" s="58" t="s">
        <v>3407</v>
      </c>
      <c r="U142" s="58" t="s">
        <v>200</v>
      </c>
      <c r="V142" s="55" t="s">
        <v>201</v>
      </c>
      <c r="X142" s="55" t="s">
        <v>2177</v>
      </c>
      <c r="Y142" s="4" t="s">
        <v>203</v>
      </c>
      <c r="Z142" s="4" t="s">
        <v>204</v>
      </c>
      <c r="AA142" s="414">
        <v>60.0</v>
      </c>
    </row>
    <row r="143">
      <c r="A143" s="55" t="s">
        <v>3408</v>
      </c>
      <c r="B143" s="55" t="s">
        <v>3408</v>
      </c>
      <c r="F143" s="55" t="s">
        <v>186</v>
      </c>
      <c r="G143" s="55" t="s">
        <v>3397</v>
      </c>
      <c r="I143" s="58" t="s">
        <v>3409</v>
      </c>
      <c r="J143" s="58"/>
      <c r="K143" s="58" t="s">
        <v>3409</v>
      </c>
      <c r="L143" s="58" t="s">
        <v>3026</v>
      </c>
      <c r="M143" s="58"/>
      <c r="N143" s="58" t="s">
        <v>3026</v>
      </c>
      <c r="O143" s="58" t="s">
        <v>3110</v>
      </c>
      <c r="P143" s="58"/>
      <c r="Q143" s="58" t="s">
        <v>3110</v>
      </c>
      <c r="R143" s="58" t="s">
        <v>3410</v>
      </c>
      <c r="S143" s="58"/>
      <c r="T143" s="58" t="s">
        <v>3410</v>
      </c>
      <c r="U143" s="58" t="s">
        <v>200</v>
      </c>
      <c r="V143" s="55" t="s">
        <v>201</v>
      </c>
      <c r="X143" s="55" t="s">
        <v>2172</v>
      </c>
      <c r="Y143" s="4" t="s">
        <v>203</v>
      </c>
      <c r="Z143" s="4" t="s">
        <v>204</v>
      </c>
      <c r="AA143" s="414">
        <v>60.0</v>
      </c>
    </row>
    <row r="144">
      <c r="A144" s="55" t="s">
        <v>3411</v>
      </c>
      <c r="B144" s="55" t="s">
        <v>3411</v>
      </c>
      <c r="F144" s="55" t="s">
        <v>186</v>
      </c>
      <c r="G144" s="55" t="s">
        <v>3397</v>
      </c>
      <c r="I144" s="58" t="s">
        <v>3412</v>
      </c>
      <c r="J144" s="58"/>
      <c r="K144" s="58" t="s">
        <v>3412</v>
      </c>
      <c r="L144" s="58" t="s">
        <v>3080</v>
      </c>
      <c r="M144" s="58"/>
      <c r="N144" s="58" t="s">
        <v>3080</v>
      </c>
      <c r="O144" s="58" t="s">
        <v>3413</v>
      </c>
      <c r="P144" s="58"/>
      <c r="Q144" s="58" t="s">
        <v>3413</v>
      </c>
      <c r="R144" s="58" t="s">
        <v>3414</v>
      </c>
      <c r="S144" s="58"/>
      <c r="T144" s="58" t="s">
        <v>3414</v>
      </c>
      <c r="U144" s="58" t="s">
        <v>1546</v>
      </c>
      <c r="V144" s="55" t="s">
        <v>28</v>
      </c>
      <c r="X144" s="55" t="s">
        <v>2165</v>
      </c>
      <c r="Y144" s="4" t="s">
        <v>203</v>
      </c>
      <c r="Z144" s="4" t="s">
        <v>204</v>
      </c>
      <c r="AA144" s="414">
        <v>60.0</v>
      </c>
    </row>
    <row r="145">
      <c r="A145" s="55" t="s">
        <v>3415</v>
      </c>
      <c r="B145" s="55" t="s">
        <v>3415</v>
      </c>
      <c r="F145" s="55" t="s">
        <v>186</v>
      </c>
      <c r="G145" s="55" t="s">
        <v>3397</v>
      </c>
      <c r="I145" s="58" t="s">
        <v>3416</v>
      </c>
      <c r="J145" s="58"/>
      <c r="K145" s="58" t="s">
        <v>3416</v>
      </c>
      <c r="L145" s="58" t="s">
        <v>3076</v>
      </c>
      <c r="M145" s="58"/>
      <c r="N145" s="58" t="s">
        <v>3076</v>
      </c>
      <c r="O145" s="58" t="s">
        <v>3417</v>
      </c>
      <c r="P145" s="58"/>
      <c r="Q145" s="58" t="s">
        <v>3417</v>
      </c>
      <c r="R145" s="58" t="s">
        <v>3418</v>
      </c>
      <c r="S145" s="58"/>
      <c r="T145" s="58" t="s">
        <v>3418</v>
      </c>
      <c r="U145" s="58" t="s">
        <v>200</v>
      </c>
      <c r="V145" s="55" t="s">
        <v>201</v>
      </c>
      <c r="X145" s="55" t="s">
        <v>2190</v>
      </c>
      <c r="Y145" s="4" t="s">
        <v>203</v>
      </c>
      <c r="Z145" s="4" t="s">
        <v>204</v>
      </c>
      <c r="AA145" s="414">
        <v>60.0</v>
      </c>
    </row>
    <row r="146">
      <c r="A146" s="55" t="s">
        <v>3419</v>
      </c>
      <c r="B146" s="55" t="s">
        <v>3419</v>
      </c>
      <c r="F146" s="55" t="s">
        <v>186</v>
      </c>
      <c r="G146" s="55" t="s">
        <v>3397</v>
      </c>
      <c r="I146" s="58" t="s">
        <v>3420</v>
      </c>
      <c r="J146" s="58"/>
      <c r="K146" s="58" t="s">
        <v>3420</v>
      </c>
      <c r="L146" s="58" t="s">
        <v>3084</v>
      </c>
      <c r="M146" s="58"/>
      <c r="N146" s="58" t="s">
        <v>3084</v>
      </c>
      <c r="O146" s="58" t="s">
        <v>3421</v>
      </c>
      <c r="P146" s="58"/>
      <c r="Q146" s="58" t="s">
        <v>3421</v>
      </c>
      <c r="R146" s="58" t="s">
        <v>3422</v>
      </c>
      <c r="S146" s="58"/>
      <c r="T146" s="58" t="s">
        <v>3422</v>
      </c>
      <c r="U146" s="58" t="s">
        <v>200</v>
      </c>
      <c r="V146" s="55" t="s">
        <v>201</v>
      </c>
      <c r="X146" s="55" t="s">
        <v>2195</v>
      </c>
      <c r="Y146" s="4" t="s">
        <v>203</v>
      </c>
      <c r="Z146" s="4" t="s">
        <v>204</v>
      </c>
      <c r="AA146" s="414">
        <v>60.0</v>
      </c>
    </row>
    <row r="147">
      <c r="A147" s="55" t="s">
        <v>3423</v>
      </c>
      <c r="B147" s="55" t="s">
        <v>3423</v>
      </c>
      <c r="F147" s="55" t="s">
        <v>186</v>
      </c>
      <c r="G147" s="55" t="s">
        <v>3397</v>
      </c>
      <c r="I147" s="58" t="s">
        <v>3424</v>
      </c>
      <c r="J147" s="58"/>
      <c r="K147" s="58" t="s">
        <v>3424</v>
      </c>
      <c r="L147" s="58" t="s">
        <v>3027</v>
      </c>
      <c r="M147" s="58"/>
      <c r="N147" s="58" t="s">
        <v>3027</v>
      </c>
      <c r="O147" s="58" t="s">
        <v>3425</v>
      </c>
      <c r="P147" s="58"/>
      <c r="Q147" s="58" t="s">
        <v>3425</v>
      </c>
      <c r="R147" s="58" t="s">
        <v>3061</v>
      </c>
      <c r="S147" s="58"/>
      <c r="T147" s="58" t="s">
        <v>3061</v>
      </c>
      <c r="U147" s="58" t="s">
        <v>200</v>
      </c>
      <c r="V147" s="55" t="s">
        <v>201</v>
      </c>
      <c r="X147" s="55" t="s">
        <v>2155</v>
      </c>
      <c r="Y147" s="4" t="s">
        <v>203</v>
      </c>
      <c r="Z147" s="4" t="s">
        <v>204</v>
      </c>
      <c r="AA147" s="414">
        <v>60.0</v>
      </c>
    </row>
    <row r="148">
      <c r="A148" s="55" t="s">
        <v>3426</v>
      </c>
      <c r="B148" s="55" t="s">
        <v>3426</v>
      </c>
      <c r="F148" s="55" t="s">
        <v>186</v>
      </c>
      <c r="G148" s="55" t="s">
        <v>3397</v>
      </c>
      <c r="I148" s="58" t="s">
        <v>3427</v>
      </c>
      <c r="J148" s="58"/>
      <c r="K148" s="58" t="s">
        <v>3427</v>
      </c>
      <c r="L148" s="58" t="s">
        <v>3128</v>
      </c>
      <c r="M148" s="58"/>
      <c r="N148" s="58" t="s">
        <v>3128</v>
      </c>
      <c r="O148" s="58" t="s">
        <v>3428</v>
      </c>
      <c r="P148" s="58"/>
      <c r="Q148" s="58" t="s">
        <v>3428</v>
      </c>
      <c r="R148" s="58" t="s">
        <v>3429</v>
      </c>
      <c r="S148" s="58"/>
      <c r="T148" s="58" t="s">
        <v>3429</v>
      </c>
      <c r="U148" s="58" t="s">
        <v>200</v>
      </c>
      <c r="V148" s="55" t="s">
        <v>201</v>
      </c>
      <c r="X148" s="55" t="s">
        <v>2160</v>
      </c>
      <c r="Y148" s="4" t="s">
        <v>203</v>
      </c>
      <c r="Z148" s="4" t="s">
        <v>204</v>
      </c>
      <c r="AA148" s="414">
        <v>60.0</v>
      </c>
    </row>
    <row r="149">
      <c r="A149" s="55" t="s">
        <v>3430</v>
      </c>
      <c r="B149" s="55" t="s">
        <v>3430</v>
      </c>
      <c r="F149" s="55" t="s">
        <v>186</v>
      </c>
      <c r="G149" s="55" t="s">
        <v>3397</v>
      </c>
      <c r="I149" s="58" t="s">
        <v>3431</v>
      </c>
      <c r="J149" s="58"/>
      <c r="K149" s="58" t="s">
        <v>3431</v>
      </c>
      <c r="L149" s="58" t="s">
        <v>3084</v>
      </c>
      <c r="M149" s="58"/>
      <c r="N149" s="58" t="s">
        <v>3084</v>
      </c>
      <c r="O149" s="58" t="s">
        <v>3432</v>
      </c>
      <c r="P149" s="58"/>
      <c r="Q149" s="58" t="s">
        <v>3432</v>
      </c>
      <c r="R149" s="58" t="s">
        <v>3433</v>
      </c>
      <c r="S149" s="58"/>
      <c r="T149" s="58" t="s">
        <v>3433</v>
      </c>
      <c r="U149" s="58" t="s">
        <v>200</v>
      </c>
      <c r="V149" s="55" t="s">
        <v>201</v>
      </c>
      <c r="X149" s="55" t="s">
        <v>2150</v>
      </c>
      <c r="Y149" s="4" t="s">
        <v>203</v>
      </c>
      <c r="Z149" s="4" t="s">
        <v>204</v>
      </c>
      <c r="AA149" s="414">
        <v>60.0</v>
      </c>
    </row>
    <row r="150">
      <c r="A150" s="55" t="s">
        <v>3434</v>
      </c>
      <c r="B150" s="55" t="s">
        <v>3434</v>
      </c>
      <c r="F150" s="55" t="s">
        <v>186</v>
      </c>
      <c r="G150" s="55" t="s">
        <v>3397</v>
      </c>
      <c r="I150" s="58" t="s">
        <v>3435</v>
      </c>
      <c r="J150" s="58"/>
      <c r="K150" s="58" t="s">
        <v>3435</v>
      </c>
      <c r="L150" s="58" t="s">
        <v>3436</v>
      </c>
      <c r="M150" s="58"/>
      <c r="N150" s="58" t="s">
        <v>3436</v>
      </c>
      <c r="O150" s="58" t="s">
        <v>3301</v>
      </c>
      <c r="P150" s="58"/>
      <c r="Q150" s="58" t="s">
        <v>3301</v>
      </c>
      <c r="R150" s="58" t="s">
        <v>3437</v>
      </c>
      <c r="S150" s="58"/>
      <c r="T150" s="58" t="s">
        <v>3437</v>
      </c>
      <c r="U150" s="58" t="s">
        <v>334</v>
      </c>
      <c r="V150" s="55" t="s">
        <v>26</v>
      </c>
      <c r="X150" s="55" t="s">
        <v>2076</v>
      </c>
      <c r="Y150" s="4" t="s">
        <v>203</v>
      </c>
      <c r="Z150" s="4" t="s">
        <v>204</v>
      </c>
      <c r="AA150" s="414">
        <v>60.0</v>
      </c>
    </row>
    <row r="151">
      <c r="A151" s="55" t="s">
        <v>3438</v>
      </c>
      <c r="B151" s="55" t="s">
        <v>3438</v>
      </c>
      <c r="F151" s="55" t="s">
        <v>186</v>
      </c>
      <c r="G151" s="55" t="s">
        <v>3397</v>
      </c>
      <c r="I151" s="58" t="s">
        <v>3439</v>
      </c>
      <c r="J151" s="58"/>
      <c r="K151" s="58" t="s">
        <v>3439</v>
      </c>
      <c r="L151" s="58" t="s">
        <v>3047</v>
      </c>
      <c r="M151" s="58"/>
      <c r="N151" s="58" t="s">
        <v>3047</v>
      </c>
      <c r="O151" s="58" t="s">
        <v>3387</v>
      </c>
      <c r="P151" s="58"/>
      <c r="Q151" s="58" t="s">
        <v>3387</v>
      </c>
      <c r="R151" s="58" t="s">
        <v>3440</v>
      </c>
      <c r="S151" s="58"/>
      <c r="T151" s="58" t="s">
        <v>3440</v>
      </c>
      <c r="U151" s="58" t="s">
        <v>200</v>
      </c>
      <c r="V151" s="55" t="s">
        <v>201</v>
      </c>
      <c r="X151" s="55" t="s">
        <v>2110</v>
      </c>
      <c r="Y151" s="4" t="s">
        <v>203</v>
      </c>
      <c r="Z151" s="4" t="s">
        <v>204</v>
      </c>
      <c r="AA151" s="414">
        <v>60.0</v>
      </c>
    </row>
    <row r="152">
      <c r="A152" s="55" t="s">
        <v>3441</v>
      </c>
      <c r="B152" s="55" t="s">
        <v>3441</v>
      </c>
      <c r="F152" s="55" t="s">
        <v>186</v>
      </c>
      <c r="G152" s="55" t="s">
        <v>3397</v>
      </c>
      <c r="I152" s="58" t="s">
        <v>3442</v>
      </c>
      <c r="J152" s="58"/>
      <c r="K152" s="58" t="s">
        <v>3442</v>
      </c>
      <c r="L152" s="58" t="s">
        <v>3047</v>
      </c>
      <c r="M152" s="58"/>
      <c r="N152" s="58" t="s">
        <v>3047</v>
      </c>
      <c r="O152" s="58" t="s">
        <v>3068</v>
      </c>
      <c r="P152" s="58"/>
      <c r="Q152" s="58" t="s">
        <v>3068</v>
      </c>
      <c r="R152" s="58" t="s">
        <v>3443</v>
      </c>
      <c r="S152" s="58"/>
      <c r="T152" s="58" t="s">
        <v>3443</v>
      </c>
      <c r="U152" s="58" t="s">
        <v>200</v>
      </c>
      <c r="V152" s="55" t="s">
        <v>201</v>
      </c>
      <c r="X152" s="55" t="s">
        <v>2115</v>
      </c>
      <c r="Y152" s="4" t="s">
        <v>203</v>
      </c>
      <c r="Z152" s="4" t="s">
        <v>204</v>
      </c>
      <c r="AA152" s="414">
        <v>60.0</v>
      </c>
    </row>
    <row r="153">
      <c r="A153" s="55" t="s">
        <v>3444</v>
      </c>
      <c r="B153" s="55" t="s">
        <v>3444</v>
      </c>
      <c r="F153" s="55" t="s">
        <v>186</v>
      </c>
      <c r="G153" s="55" t="s">
        <v>3397</v>
      </c>
      <c r="I153" s="58" t="s">
        <v>3445</v>
      </c>
      <c r="J153" s="58"/>
      <c r="K153" s="58" t="s">
        <v>3445</v>
      </c>
      <c r="L153" s="58" t="s">
        <v>3047</v>
      </c>
      <c r="M153" s="58"/>
      <c r="N153" s="58" t="s">
        <v>3047</v>
      </c>
      <c r="O153" s="58" t="s">
        <v>3446</v>
      </c>
      <c r="P153" s="58"/>
      <c r="Q153" s="58" t="s">
        <v>3446</v>
      </c>
      <c r="R153" s="58" t="s">
        <v>3417</v>
      </c>
      <c r="S153" s="58"/>
      <c r="T153" s="58" t="s">
        <v>3417</v>
      </c>
      <c r="U153" s="58" t="s">
        <v>200</v>
      </c>
      <c r="V153" s="55" t="s">
        <v>201</v>
      </c>
      <c r="X153" s="55" t="s">
        <v>2120</v>
      </c>
      <c r="Y153" s="4" t="s">
        <v>203</v>
      </c>
      <c r="Z153" s="4" t="s">
        <v>204</v>
      </c>
      <c r="AA153" s="414">
        <v>60.0</v>
      </c>
    </row>
    <row r="154">
      <c r="A154" s="55" t="s">
        <v>3447</v>
      </c>
      <c r="B154" s="55" t="s">
        <v>3447</v>
      </c>
      <c r="F154" s="55" t="s">
        <v>186</v>
      </c>
      <c r="G154" s="55" t="s">
        <v>3397</v>
      </c>
      <c r="I154" s="58" t="s">
        <v>3448</v>
      </c>
      <c r="J154" s="58"/>
      <c r="K154" s="58" t="s">
        <v>3448</v>
      </c>
      <c r="L154" s="58" t="s">
        <v>3028</v>
      </c>
      <c r="M154" s="58"/>
      <c r="N154" s="58" t="s">
        <v>3028</v>
      </c>
      <c r="O154" s="58" t="s">
        <v>3449</v>
      </c>
      <c r="P154" s="58"/>
      <c r="Q154" s="58" t="s">
        <v>3449</v>
      </c>
      <c r="R154" s="58" t="s">
        <v>3450</v>
      </c>
      <c r="S154" s="58"/>
      <c r="T154" s="58" t="s">
        <v>3450</v>
      </c>
      <c r="U154" s="58" t="s">
        <v>200</v>
      </c>
      <c r="V154" s="55" t="s">
        <v>201</v>
      </c>
      <c r="X154" s="55" t="s">
        <v>2125</v>
      </c>
      <c r="Y154" s="4" t="s">
        <v>203</v>
      </c>
      <c r="Z154" s="4" t="s">
        <v>204</v>
      </c>
      <c r="AA154" s="414">
        <v>60.0</v>
      </c>
    </row>
    <row r="155">
      <c r="A155" s="55" t="s">
        <v>3451</v>
      </c>
      <c r="B155" s="55" t="s">
        <v>3451</v>
      </c>
      <c r="F155" s="55" t="s">
        <v>186</v>
      </c>
      <c r="G155" s="55" t="s">
        <v>3397</v>
      </c>
      <c r="I155" s="58" t="s">
        <v>3452</v>
      </c>
      <c r="J155" s="58"/>
      <c r="K155" s="58" t="s">
        <v>3452</v>
      </c>
      <c r="L155" s="58" t="s">
        <v>3028</v>
      </c>
      <c r="M155" s="58"/>
      <c r="N155" s="58" t="s">
        <v>3028</v>
      </c>
      <c r="O155" s="58" t="s">
        <v>3417</v>
      </c>
      <c r="P155" s="58"/>
      <c r="Q155" s="58" t="s">
        <v>3417</v>
      </c>
      <c r="R155" s="58" t="s">
        <v>3453</v>
      </c>
      <c r="S155" s="58"/>
      <c r="T155" s="58" t="s">
        <v>3453</v>
      </c>
      <c r="U155" s="58" t="s">
        <v>200</v>
      </c>
      <c r="V155" s="55" t="s">
        <v>201</v>
      </c>
      <c r="X155" s="55" t="s">
        <v>2130</v>
      </c>
      <c r="Y155" s="4" t="s">
        <v>203</v>
      </c>
      <c r="Z155" s="4" t="s">
        <v>204</v>
      </c>
      <c r="AA155" s="414">
        <v>60.0</v>
      </c>
    </row>
    <row r="156">
      <c r="A156" s="55" t="s">
        <v>3454</v>
      </c>
      <c r="B156" s="55" t="s">
        <v>3454</v>
      </c>
      <c r="F156" s="55" t="s">
        <v>186</v>
      </c>
      <c r="G156" s="55" t="s">
        <v>3397</v>
      </c>
      <c r="I156" s="58" t="s">
        <v>3455</v>
      </c>
      <c r="J156" s="58"/>
      <c r="K156" s="58" t="s">
        <v>3455</v>
      </c>
      <c r="L156" s="58" t="s">
        <v>3026</v>
      </c>
      <c r="M156" s="58"/>
      <c r="N156" s="58" t="s">
        <v>3026</v>
      </c>
      <c r="O156" s="58" t="s">
        <v>3080</v>
      </c>
      <c r="P156" s="58"/>
      <c r="Q156" s="58" t="s">
        <v>3080</v>
      </c>
      <c r="R156" s="58" t="s">
        <v>3153</v>
      </c>
      <c r="S156" s="58"/>
      <c r="T156" s="58" t="s">
        <v>3153</v>
      </c>
      <c r="U156" s="58" t="s">
        <v>200</v>
      </c>
      <c r="V156" s="55" t="s">
        <v>201</v>
      </c>
      <c r="X156" s="55" t="s">
        <v>2135</v>
      </c>
      <c r="Y156" s="4" t="s">
        <v>203</v>
      </c>
      <c r="Z156" s="4" t="s">
        <v>204</v>
      </c>
      <c r="AA156" s="414">
        <v>60.0</v>
      </c>
    </row>
    <row r="157">
      <c r="A157" s="55" t="s">
        <v>3456</v>
      </c>
      <c r="B157" s="55" t="s">
        <v>3456</v>
      </c>
      <c r="F157" s="55" t="s">
        <v>186</v>
      </c>
      <c r="G157" s="55" t="s">
        <v>3397</v>
      </c>
      <c r="I157" s="58" t="s">
        <v>3457</v>
      </c>
      <c r="J157" s="58"/>
      <c r="K157" s="58" t="s">
        <v>3457</v>
      </c>
      <c r="L157" s="58" t="s">
        <v>3026</v>
      </c>
      <c r="M157" s="58"/>
      <c r="N157" s="58" t="s">
        <v>3026</v>
      </c>
      <c r="O157" s="58" t="s">
        <v>3148</v>
      </c>
      <c r="P157" s="58"/>
      <c r="Q157" s="58" t="s">
        <v>3148</v>
      </c>
      <c r="R157" s="58" t="s">
        <v>3458</v>
      </c>
      <c r="S157" s="58"/>
      <c r="T157" s="58" t="s">
        <v>3458</v>
      </c>
      <c r="U157" s="58" t="s">
        <v>200</v>
      </c>
      <c r="V157" s="55" t="s">
        <v>201</v>
      </c>
      <c r="X157" s="55" t="s">
        <v>2140</v>
      </c>
      <c r="Y157" s="4" t="s">
        <v>203</v>
      </c>
      <c r="Z157" s="4" t="s">
        <v>204</v>
      </c>
      <c r="AA157" s="414">
        <v>60.0</v>
      </c>
    </row>
    <row r="158">
      <c r="A158" s="55" t="s">
        <v>3459</v>
      </c>
      <c r="B158" s="55" t="s">
        <v>3459</v>
      </c>
      <c r="F158" s="55" t="s">
        <v>186</v>
      </c>
      <c r="G158" s="55" t="s">
        <v>3397</v>
      </c>
      <c r="I158" s="58" t="s">
        <v>3460</v>
      </c>
      <c r="J158" s="58"/>
      <c r="K158" s="58" t="s">
        <v>3460</v>
      </c>
      <c r="L158" s="58" t="s">
        <v>3461</v>
      </c>
      <c r="M158" s="58"/>
      <c r="N158" s="58" t="s">
        <v>3461</v>
      </c>
      <c r="O158" s="58" t="s">
        <v>3462</v>
      </c>
      <c r="P158" s="58"/>
      <c r="Q158" s="58" t="s">
        <v>3462</v>
      </c>
      <c r="R158" s="58" t="s">
        <v>3463</v>
      </c>
      <c r="S158" s="58"/>
      <c r="T158" s="58" t="s">
        <v>3463</v>
      </c>
      <c r="U158" s="58" t="s">
        <v>1546</v>
      </c>
      <c r="V158" s="55" t="s">
        <v>28</v>
      </c>
      <c r="X158" s="55" t="s">
        <v>2088</v>
      </c>
      <c r="Y158" s="4" t="s">
        <v>203</v>
      </c>
      <c r="Z158" s="4" t="s">
        <v>204</v>
      </c>
      <c r="AA158" s="414">
        <v>60.0</v>
      </c>
    </row>
    <row r="159">
      <c r="A159" s="55" t="s">
        <v>3464</v>
      </c>
      <c r="B159" s="55" t="s">
        <v>3464</v>
      </c>
      <c r="F159" s="55" t="s">
        <v>186</v>
      </c>
      <c r="G159" s="55" t="s">
        <v>3397</v>
      </c>
      <c r="I159" s="58" t="s">
        <v>3386</v>
      </c>
      <c r="J159" s="58"/>
      <c r="K159" s="58" t="s">
        <v>3386</v>
      </c>
      <c r="L159" s="58" t="s">
        <v>3028</v>
      </c>
      <c r="M159" s="58"/>
      <c r="N159" s="58" t="s">
        <v>3028</v>
      </c>
      <c r="O159" s="58" t="s">
        <v>3079</v>
      </c>
      <c r="P159" s="58"/>
      <c r="Q159" s="58" t="s">
        <v>3079</v>
      </c>
      <c r="R159" s="58" t="s">
        <v>3465</v>
      </c>
      <c r="S159" s="58"/>
      <c r="T159" s="58" t="s">
        <v>3465</v>
      </c>
      <c r="U159" s="58" t="s">
        <v>559</v>
      </c>
      <c r="V159" s="55" t="s">
        <v>24</v>
      </c>
      <c r="X159" s="55" t="s">
        <v>2091</v>
      </c>
      <c r="Y159" s="4" t="s">
        <v>203</v>
      </c>
      <c r="Z159" s="4" t="s">
        <v>204</v>
      </c>
      <c r="AA159" s="414">
        <v>60.0</v>
      </c>
    </row>
    <row r="160">
      <c r="A160" s="55" t="s">
        <v>3466</v>
      </c>
      <c r="B160" s="55" t="s">
        <v>3466</v>
      </c>
      <c r="F160" s="55" t="s">
        <v>186</v>
      </c>
      <c r="G160" s="55" t="s">
        <v>3397</v>
      </c>
      <c r="I160" s="58" t="s">
        <v>3467</v>
      </c>
      <c r="J160" s="58"/>
      <c r="K160" s="58" t="s">
        <v>3467</v>
      </c>
      <c r="L160" s="58" t="s">
        <v>3468</v>
      </c>
      <c r="M160" s="58"/>
      <c r="N160" s="58" t="s">
        <v>3468</v>
      </c>
      <c r="O160" s="58" t="s">
        <v>3469</v>
      </c>
      <c r="P160" s="58"/>
      <c r="Q160" s="58" t="s">
        <v>3469</v>
      </c>
      <c r="R160" s="58" t="s">
        <v>3470</v>
      </c>
      <c r="S160" s="58"/>
      <c r="T160" s="58" t="s">
        <v>3470</v>
      </c>
      <c r="U160" s="58" t="s">
        <v>1546</v>
      </c>
      <c r="V160" s="55" t="s">
        <v>28</v>
      </c>
      <c r="X160" s="55" t="s">
        <v>2081</v>
      </c>
      <c r="Y160" s="4" t="s">
        <v>203</v>
      </c>
      <c r="Z160" s="4" t="s">
        <v>204</v>
      </c>
      <c r="AA160" s="414">
        <v>60.0</v>
      </c>
    </row>
    <row r="161">
      <c r="A161" s="55" t="s">
        <v>3471</v>
      </c>
      <c r="B161" s="55" t="s">
        <v>3471</v>
      </c>
      <c r="F161" s="55" t="s">
        <v>186</v>
      </c>
      <c r="G161" s="55" t="s">
        <v>3397</v>
      </c>
      <c r="I161" s="58" t="s">
        <v>3472</v>
      </c>
      <c r="J161" s="58"/>
      <c r="K161" s="58" t="s">
        <v>3472</v>
      </c>
      <c r="L161" s="58" t="s">
        <v>3028</v>
      </c>
      <c r="M161" s="58"/>
      <c r="N161" s="58" t="s">
        <v>3028</v>
      </c>
      <c r="O161" s="58" t="s">
        <v>3105</v>
      </c>
      <c r="P161" s="58"/>
      <c r="Q161" s="58" t="s">
        <v>3105</v>
      </c>
      <c r="R161" s="58" t="s">
        <v>3473</v>
      </c>
      <c r="S161" s="58"/>
      <c r="T161" s="58" t="s">
        <v>3473</v>
      </c>
      <c r="U161" s="58" t="s">
        <v>559</v>
      </c>
      <c r="V161" s="55" t="s">
        <v>24</v>
      </c>
      <c r="X161" s="55" t="s">
        <v>2085</v>
      </c>
      <c r="Y161" s="4" t="s">
        <v>203</v>
      </c>
      <c r="Z161" s="4" t="s">
        <v>204</v>
      </c>
      <c r="AA161" s="414">
        <v>60.0</v>
      </c>
    </row>
    <row r="162">
      <c r="A162" s="55" t="s">
        <v>3474</v>
      </c>
      <c r="B162" s="55" t="s">
        <v>3474</v>
      </c>
      <c r="F162" s="55" t="s">
        <v>186</v>
      </c>
      <c r="G162" s="55" t="s">
        <v>3397</v>
      </c>
      <c r="I162" s="58" t="s">
        <v>3475</v>
      </c>
      <c r="J162" s="58"/>
      <c r="K162" s="58" t="s">
        <v>3475</v>
      </c>
      <c r="L162" s="58" t="s">
        <v>3476</v>
      </c>
      <c r="M162" s="58"/>
      <c r="N162" s="58" t="s">
        <v>3476</v>
      </c>
      <c r="O162" s="58" t="s">
        <v>3477</v>
      </c>
      <c r="P162" s="58"/>
      <c r="Q162" s="58" t="s">
        <v>3477</v>
      </c>
      <c r="R162" s="58" t="s">
        <v>3478</v>
      </c>
      <c r="S162" s="58"/>
      <c r="T162" s="58" t="s">
        <v>3478</v>
      </c>
      <c r="U162" s="58" t="s">
        <v>200</v>
      </c>
      <c r="V162" s="55" t="s">
        <v>201</v>
      </c>
      <c r="X162" s="55" t="s">
        <v>2051</v>
      </c>
      <c r="Y162" s="4" t="s">
        <v>203</v>
      </c>
      <c r="Z162" s="4" t="s">
        <v>204</v>
      </c>
      <c r="AA162" s="414">
        <v>60.0</v>
      </c>
    </row>
    <row r="163">
      <c r="A163" s="55" t="s">
        <v>3479</v>
      </c>
      <c r="B163" s="55" t="s">
        <v>3479</v>
      </c>
      <c r="F163" s="55" t="s">
        <v>186</v>
      </c>
      <c r="G163" s="55" t="s">
        <v>3397</v>
      </c>
      <c r="I163" s="58" t="s">
        <v>3480</v>
      </c>
      <c r="J163" s="58"/>
      <c r="K163" s="58" t="s">
        <v>3480</v>
      </c>
      <c r="L163" s="58" t="s">
        <v>3332</v>
      </c>
      <c r="M163" s="58"/>
      <c r="N163" s="58" t="s">
        <v>3332</v>
      </c>
      <c r="O163" s="58" t="s">
        <v>3481</v>
      </c>
      <c r="P163" s="58"/>
      <c r="Q163" s="58" t="s">
        <v>3481</v>
      </c>
      <c r="R163" s="58" t="s">
        <v>3482</v>
      </c>
      <c r="S163" s="58"/>
      <c r="T163" s="58" t="s">
        <v>3482</v>
      </c>
      <c r="U163" s="58" t="s">
        <v>200</v>
      </c>
      <c r="V163" s="55" t="s">
        <v>201</v>
      </c>
      <c r="X163" s="55" t="s">
        <v>2046</v>
      </c>
      <c r="Y163" s="4" t="s">
        <v>203</v>
      </c>
      <c r="Z163" s="4" t="s">
        <v>204</v>
      </c>
      <c r="AA163" s="414">
        <v>60.0</v>
      </c>
    </row>
    <row r="164">
      <c r="A164" s="55" t="s">
        <v>3483</v>
      </c>
      <c r="B164" s="55" t="s">
        <v>3483</v>
      </c>
      <c r="F164" s="55" t="s">
        <v>186</v>
      </c>
      <c r="G164" s="55" t="s">
        <v>3397</v>
      </c>
      <c r="I164" s="58" t="s">
        <v>1266</v>
      </c>
      <c r="J164" s="58"/>
      <c r="K164" s="58" t="s">
        <v>1266</v>
      </c>
      <c r="L164" s="58" t="s">
        <v>3026</v>
      </c>
      <c r="M164" s="58"/>
      <c r="N164" s="58" t="s">
        <v>3026</v>
      </c>
      <c r="O164" s="58" t="s">
        <v>3028</v>
      </c>
      <c r="P164" s="58"/>
      <c r="Q164" s="58" t="s">
        <v>3028</v>
      </c>
      <c r="R164" s="58" t="s">
        <v>3047</v>
      </c>
      <c r="S164" s="58"/>
      <c r="T164" s="58" t="s">
        <v>3047</v>
      </c>
      <c r="U164" s="58" t="s">
        <v>200</v>
      </c>
      <c r="V164" s="55" t="s">
        <v>201</v>
      </c>
      <c r="X164" s="55" t="s">
        <v>2030</v>
      </c>
      <c r="Y164" s="4" t="s">
        <v>203</v>
      </c>
      <c r="Z164" s="4" t="s">
        <v>204</v>
      </c>
      <c r="AA164" s="414">
        <v>60.0</v>
      </c>
    </row>
    <row r="165">
      <c r="A165" s="55" t="s">
        <v>3484</v>
      </c>
      <c r="B165" s="55" t="s">
        <v>3484</v>
      </c>
      <c r="F165" s="55" t="s">
        <v>186</v>
      </c>
      <c r="G165" s="55" t="s">
        <v>3397</v>
      </c>
      <c r="I165" s="58" t="s">
        <v>2106</v>
      </c>
      <c r="J165" s="58"/>
      <c r="K165" s="58" t="s">
        <v>2106</v>
      </c>
      <c r="L165" s="58" t="s">
        <v>3026</v>
      </c>
      <c r="M165" s="58"/>
      <c r="N165" s="58" t="s">
        <v>3026</v>
      </c>
      <c r="O165" s="58" t="s">
        <v>3084</v>
      </c>
      <c r="P165" s="58"/>
      <c r="Q165" s="58" t="s">
        <v>3084</v>
      </c>
      <c r="R165" s="58" t="s">
        <v>3184</v>
      </c>
      <c r="S165" s="58"/>
      <c r="T165" s="58" t="s">
        <v>3184</v>
      </c>
      <c r="U165" s="58" t="s">
        <v>200</v>
      </c>
      <c r="V165" s="55" t="s">
        <v>201</v>
      </c>
      <c r="X165" s="55" t="s">
        <v>2036</v>
      </c>
      <c r="Y165" s="4" t="s">
        <v>203</v>
      </c>
      <c r="Z165" s="4" t="s">
        <v>204</v>
      </c>
      <c r="AA165" s="414">
        <v>60.0</v>
      </c>
    </row>
    <row r="166">
      <c r="A166" s="55" t="s">
        <v>3485</v>
      </c>
      <c r="B166" s="55" t="s">
        <v>3485</v>
      </c>
      <c r="F166" s="55" t="s">
        <v>186</v>
      </c>
      <c r="G166" s="55" t="s">
        <v>3397</v>
      </c>
      <c r="I166" s="58" t="s">
        <v>3150</v>
      </c>
      <c r="J166" s="58"/>
      <c r="K166" s="58" t="s">
        <v>3150</v>
      </c>
      <c r="L166" s="58" t="s">
        <v>3026</v>
      </c>
      <c r="M166" s="58"/>
      <c r="N166" s="58" t="s">
        <v>3026</v>
      </c>
      <c r="O166" s="58" t="s">
        <v>3027</v>
      </c>
      <c r="P166" s="58"/>
      <c r="Q166" s="58" t="s">
        <v>3027</v>
      </c>
      <c r="R166" s="58" t="s">
        <v>3084</v>
      </c>
      <c r="S166" s="58"/>
      <c r="T166" s="58" t="s">
        <v>3084</v>
      </c>
      <c r="U166" s="58" t="s">
        <v>200</v>
      </c>
      <c r="V166" s="55" t="s">
        <v>201</v>
      </c>
      <c r="X166" s="55" t="s">
        <v>2041</v>
      </c>
      <c r="Y166" s="4" t="s">
        <v>203</v>
      </c>
      <c r="Z166" s="4" t="s">
        <v>204</v>
      </c>
      <c r="AA166" s="414">
        <v>60.0</v>
      </c>
    </row>
    <row r="167">
      <c r="A167" s="55" t="s">
        <v>3486</v>
      </c>
      <c r="B167" s="55" t="s">
        <v>3486</v>
      </c>
      <c r="F167" s="55" t="s">
        <v>186</v>
      </c>
      <c r="G167" s="55" t="s">
        <v>3397</v>
      </c>
      <c r="I167" s="58" t="s">
        <v>2186</v>
      </c>
      <c r="J167" s="58"/>
      <c r="K167" s="58" t="s">
        <v>2186</v>
      </c>
      <c r="L167" s="58" t="s">
        <v>3026</v>
      </c>
      <c r="M167" s="58"/>
      <c r="N167" s="58" t="s">
        <v>3026</v>
      </c>
      <c r="O167" s="58" t="s">
        <v>3047</v>
      </c>
      <c r="P167" s="58"/>
      <c r="Q167" s="58" t="s">
        <v>3047</v>
      </c>
      <c r="R167" s="58" t="s">
        <v>3148</v>
      </c>
      <c r="S167" s="58"/>
      <c r="T167" s="58" t="s">
        <v>3148</v>
      </c>
      <c r="U167" s="58" t="s">
        <v>200</v>
      </c>
      <c r="V167" s="55" t="s">
        <v>201</v>
      </c>
      <c r="X167" s="55" t="s">
        <v>2071</v>
      </c>
      <c r="Y167" s="4" t="s">
        <v>203</v>
      </c>
      <c r="Z167" s="4" t="s">
        <v>204</v>
      </c>
      <c r="AA167" s="414">
        <v>60.0</v>
      </c>
    </row>
    <row r="168">
      <c r="A168" s="55" t="s">
        <v>3487</v>
      </c>
      <c r="B168" s="55" t="s">
        <v>3487</v>
      </c>
      <c r="F168" s="55" t="s">
        <v>186</v>
      </c>
      <c r="G168" s="55" t="s">
        <v>3397</v>
      </c>
      <c r="I168" s="58" t="s">
        <v>3488</v>
      </c>
      <c r="J168" s="58"/>
      <c r="K168" s="58" t="s">
        <v>3488</v>
      </c>
      <c r="L168" s="58" t="s">
        <v>3028</v>
      </c>
      <c r="M168" s="58"/>
      <c r="N168" s="58" t="s">
        <v>3028</v>
      </c>
      <c r="O168" s="58" t="s">
        <v>3349</v>
      </c>
      <c r="P168" s="58"/>
      <c r="Q168" s="58" t="s">
        <v>3349</v>
      </c>
      <c r="R168" s="58" t="s">
        <v>3489</v>
      </c>
      <c r="S168" s="58"/>
      <c r="T168" s="58" t="s">
        <v>3489</v>
      </c>
      <c r="U168" s="58" t="s">
        <v>200</v>
      </c>
      <c r="V168" s="55" t="s">
        <v>201</v>
      </c>
      <c r="X168" s="55" t="s">
        <v>2182</v>
      </c>
      <c r="Y168" s="4" t="s">
        <v>203</v>
      </c>
      <c r="Z168" s="4" t="s">
        <v>204</v>
      </c>
      <c r="AA168" s="414">
        <v>60.0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82.86"/>
    <col customWidth="1" min="3" max="3" width="11.57"/>
    <col customWidth="1" min="4" max="4" width="7.57"/>
    <col customWidth="1" min="5" max="5" width="16.57"/>
    <col customWidth="1" min="6" max="6" width="15.57"/>
    <col customWidth="1" min="7" max="7" width="52.43"/>
    <col customWidth="1" min="8" max="8" width="22.14"/>
    <col customWidth="1" min="9" max="9" width="36.86"/>
    <col customWidth="1" min="10" max="10" width="42.57"/>
    <col customWidth="1" min="11" max="11" width="40.43"/>
    <col customWidth="1" min="12" max="12" width="49.29"/>
    <col customWidth="1" min="13" max="13" width="54.86"/>
    <col customWidth="1" min="14" max="14" width="52.71"/>
    <col customWidth="1" min="15" max="15" width="43.71"/>
    <col customWidth="1" min="16" max="16" width="49.29"/>
    <col customWidth="1" min="17" max="17" width="47.14"/>
    <col customWidth="1" min="18" max="18" width="46.71"/>
    <col customWidth="1" min="19" max="19" width="52.29"/>
    <col customWidth="1" min="20" max="20" width="50.29"/>
    <col customWidth="1" min="21" max="21" width="39.14"/>
    <col customWidth="1" min="22" max="22" width="45.14"/>
    <col customWidth="1" min="23" max="23" width="43.14"/>
    <col customWidth="1" min="24" max="24" width="42.29"/>
    <col customWidth="1" min="25" max="25" width="25.71"/>
    <col customWidth="1" min="26" max="26" width="59.29"/>
    <col customWidth="1" min="27" max="27" width="29.86"/>
  </cols>
  <sheetData>
    <row r="1">
      <c r="A1" s="61" t="s">
        <v>19</v>
      </c>
      <c r="B1" s="61" t="s">
        <v>159</v>
      </c>
      <c r="C1" s="61" t="s">
        <v>160</v>
      </c>
      <c r="D1" s="61" t="s">
        <v>161</v>
      </c>
      <c r="E1" s="61" t="s">
        <v>162</v>
      </c>
      <c r="F1" s="61" t="s">
        <v>163</v>
      </c>
      <c r="G1" s="61" t="s">
        <v>164</v>
      </c>
      <c r="H1" s="61" t="s">
        <v>166</v>
      </c>
      <c r="I1" s="61" t="s">
        <v>167</v>
      </c>
      <c r="J1" s="61" t="s">
        <v>168</v>
      </c>
      <c r="K1" s="61" t="s">
        <v>169</v>
      </c>
      <c r="L1" s="61" t="s">
        <v>170</v>
      </c>
      <c r="M1" s="61" t="s">
        <v>171</v>
      </c>
      <c r="N1" s="61" t="s">
        <v>172</v>
      </c>
      <c r="O1" s="61" t="s">
        <v>173</v>
      </c>
      <c r="P1" s="61" t="s">
        <v>174</v>
      </c>
      <c r="Q1" s="61" t="s">
        <v>175</v>
      </c>
      <c r="R1" s="61" t="s">
        <v>176</v>
      </c>
      <c r="S1" s="61" t="s">
        <v>177</v>
      </c>
      <c r="T1" s="61" t="s">
        <v>178</v>
      </c>
      <c r="U1" s="61" t="s">
        <v>179</v>
      </c>
      <c r="V1" s="61" t="s">
        <v>180</v>
      </c>
      <c r="W1" s="61" t="s">
        <v>181</v>
      </c>
      <c r="X1" s="61" t="s">
        <v>182</v>
      </c>
      <c r="Y1" s="61" t="s">
        <v>183</v>
      </c>
      <c r="Z1" s="61" t="s">
        <v>184</v>
      </c>
      <c r="AA1" s="62" t="s">
        <v>52</v>
      </c>
      <c r="AB1" s="2"/>
      <c r="AC1" s="2"/>
    </row>
    <row r="2">
      <c r="A2" s="2" t="str">
        <f>'Entsorgung Déchets'!A12 &amp; " " &amp; 'Entsorgung Déchets'!B12 &amp; " (KBOB.2016)"</f>
        <v>91.001 Entsorgung, Asphalt, 0.1% Wasser, in Reaktordeponie (KBOB.2016)</v>
      </c>
      <c r="B2" s="2" t="str">
        <f t="shared" ref="B2:B169" si="1">A2</f>
        <v>91.001 Entsorgung, Asphalt, 0.1% Wasser, in Reaktordeponie (KBOB.2016)</v>
      </c>
      <c r="C2" s="2"/>
      <c r="D2" s="2"/>
      <c r="E2" s="2"/>
      <c r="F2" s="2" t="s">
        <v>186</v>
      </c>
      <c r="G2" s="2" t="str">
        <f t="shared" ref="G2:G169" si="2">SWITCH(LEFT(A2,2), "91", "OTHER_RESOURCE_DISPOSAL_CONSTRUCTION_MATERIAL", "92", "OTHER_RESOURCE_DISPOSAL_BUILDING_TECHNOLOGY")</f>
        <v>OTHER_RESOURCE_DISPOSAL_CONSTRUCTION_MATERIAL</v>
      </c>
      <c r="H2" s="2"/>
      <c r="I2" s="600">
        <f>'Entsorgung Déchets'!D12</f>
        <v>121</v>
      </c>
      <c r="J2" s="600" t="str">
        <f>'Entsorgung Déchets'!E12</f>
        <v/>
      </c>
      <c r="K2" s="600">
        <f>'Entsorgung Déchets'!F12</f>
        <v>121</v>
      </c>
      <c r="L2" s="601">
        <f>'Entsorgung Déchets'!J12</f>
        <v>0.00159</v>
      </c>
      <c r="M2" s="601" t="str">
        <f>'Entsorgung Déchets'!K12</f>
        <v/>
      </c>
      <c r="N2" s="601">
        <f>'Entsorgung Déchets'!L12</f>
        <v>0.00159</v>
      </c>
      <c r="O2" s="601">
        <f>'Entsorgung Déchets'!M12</f>
        <v>0.0882</v>
      </c>
      <c r="P2" s="601" t="str">
        <f>'Entsorgung Déchets'!N12</f>
        <v/>
      </c>
      <c r="Q2" s="601">
        <f>'Entsorgung Déchets'!O12</f>
        <v>0.0882</v>
      </c>
      <c r="R2" s="601">
        <f>'Entsorgung Déchets'!P12</f>
        <v>0.0184</v>
      </c>
      <c r="S2" s="601" t="str">
        <f>'Entsorgung Déchets'!Q12</f>
        <v/>
      </c>
      <c r="T2" s="601">
        <f>'Entsorgung Déchets'!R12</f>
        <v>0.0184</v>
      </c>
      <c r="U2" s="2" t="str">
        <f>'Entsorgung Déchets'!C12</f>
        <v>kg</v>
      </c>
      <c r="V2" s="2" t="str">
        <f t="shared" ref="V2:V169" si="3">SWITCH(U2, "m", "probeLength", "m2", "area", "m3", "volume", "kg", "mass", "Stk.", "device")</f>
        <v>mass</v>
      </c>
      <c r="W2" s="2"/>
      <c r="X2" s="2" t="str">
        <f t="shared" ref="X2:X169" si="4">LEFT(A2, 6)</f>
        <v>91.001</v>
      </c>
      <c r="Y2" s="7" t="s">
        <v>203</v>
      </c>
      <c r="Z2" s="7" t="s">
        <v>204</v>
      </c>
      <c r="AA2" s="414">
        <v>60.0</v>
      </c>
    </row>
    <row r="3">
      <c r="A3" s="2" t="str">
        <f>'Entsorgung Déchets'!A13 &amp; " " &amp; 'Entsorgung Déchets'!B13 &amp; " (KBOB.2016)"</f>
        <v>91.002 Entsorgung, Bodenbelag, 2K-Fliessbelag Industrie (Epoxidharz), 2.25 mm (KBOB.2016)</v>
      </c>
      <c r="B3" s="2" t="str">
        <f t="shared" si="1"/>
        <v>91.002 Entsorgung, Bodenbelag, 2K-Fliessbelag Industrie (Epoxidharz), 2.25 mm (KBOB.2016)</v>
      </c>
      <c r="C3" s="2"/>
      <c r="D3" s="2"/>
      <c r="E3" s="2"/>
      <c r="F3" s="2" t="s">
        <v>186</v>
      </c>
      <c r="G3" s="2" t="str">
        <f t="shared" si="2"/>
        <v>OTHER_RESOURCE_DISPOSAL_CONSTRUCTION_MATERIAL</v>
      </c>
      <c r="H3" s="2"/>
      <c r="I3" s="600">
        <f>'Entsorgung Déchets'!D13</f>
        <v>3430</v>
      </c>
      <c r="J3" s="600" t="str">
        <f>'Entsorgung Déchets'!E13</f>
        <v/>
      </c>
      <c r="K3" s="600">
        <f>'Entsorgung Déchets'!F13</f>
        <v>3430</v>
      </c>
      <c r="L3" s="601">
        <f>'Entsorgung Déchets'!J13</f>
        <v>0.0236</v>
      </c>
      <c r="M3" s="601" t="str">
        <f>'Entsorgung Déchets'!K13</f>
        <v/>
      </c>
      <c r="N3" s="601">
        <f>'Entsorgung Déchets'!L13</f>
        <v>0.0236</v>
      </c>
      <c r="O3" s="601">
        <f>'Entsorgung Déchets'!M13</f>
        <v>1.58</v>
      </c>
      <c r="P3" s="601" t="str">
        <f>'Entsorgung Déchets'!N13</f>
        <v/>
      </c>
      <c r="Q3" s="601">
        <f>'Entsorgung Déchets'!O13</f>
        <v>1.58</v>
      </c>
      <c r="R3" s="601">
        <f>'Entsorgung Déchets'!P13</f>
        <v>6.09</v>
      </c>
      <c r="S3" s="601" t="str">
        <f>'Entsorgung Déchets'!Q13</f>
        <v/>
      </c>
      <c r="T3" s="601">
        <f>'Entsorgung Déchets'!R13</f>
        <v>6.09</v>
      </c>
      <c r="U3" s="2" t="str">
        <f>'Entsorgung Déchets'!C13</f>
        <v>m2</v>
      </c>
      <c r="V3" s="2" t="str">
        <f t="shared" si="3"/>
        <v>area</v>
      </c>
      <c r="W3" s="2"/>
      <c r="X3" s="2" t="str">
        <f t="shared" si="4"/>
        <v>91.002</v>
      </c>
      <c r="Y3" s="7" t="s">
        <v>203</v>
      </c>
      <c r="Z3" s="7" t="s">
        <v>204</v>
      </c>
      <c r="AA3" s="414">
        <v>60.0</v>
      </c>
    </row>
    <row r="4">
      <c r="A4" s="2" t="str">
        <f>'Entsorgung Déchets'!A14 &amp; " " &amp; 'Entsorgung Déchets'!B14 &amp; " (KBOB.2016)"</f>
        <v>91.003 Entsorgung, Bodenbelag, 2K-Fliessbelag Wohnen/Verwaltung (Epoxidharz, PU), 2 mm (KBOB.2016)</v>
      </c>
      <c r="B4" s="2" t="str">
        <f t="shared" si="1"/>
        <v>91.003 Entsorgung, Bodenbelag, 2K-Fliessbelag Wohnen/Verwaltung (Epoxidharz, PU), 2 mm (KBOB.2016)</v>
      </c>
      <c r="C4" s="2"/>
      <c r="D4" s="2"/>
      <c r="E4" s="2"/>
      <c r="F4" s="2" t="s">
        <v>186</v>
      </c>
      <c r="G4" s="2" t="str">
        <f t="shared" si="2"/>
        <v>OTHER_RESOURCE_DISPOSAL_CONSTRUCTION_MATERIAL</v>
      </c>
      <c r="H4" s="2"/>
      <c r="I4" s="600">
        <f>'Entsorgung Déchets'!D14</f>
        <v>2980</v>
      </c>
      <c r="J4" s="600" t="str">
        <f>'Entsorgung Déchets'!E14</f>
        <v/>
      </c>
      <c r="K4" s="600">
        <f>'Entsorgung Déchets'!F14</f>
        <v>2980</v>
      </c>
      <c r="L4" s="601">
        <f>'Entsorgung Déchets'!J14</f>
        <v>0.0229</v>
      </c>
      <c r="M4" s="601" t="str">
        <f>'Entsorgung Déchets'!K14</f>
        <v/>
      </c>
      <c r="N4" s="601">
        <f>'Entsorgung Déchets'!L14</f>
        <v>0.0229</v>
      </c>
      <c r="O4" s="601">
        <f>'Entsorgung Déchets'!M14</f>
        <v>1.54</v>
      </c>
      <c r="P4" s="601" t="str">
        <f>'Entsorgung Déchets'!N14</f>
        <v/>
      </c>
      <c r="Q4" s="601">
        <f>'Entsorgung Déchets'!O14</f>
        <v>1.54</v>
      </c>
      <c r="R4" s="601">
        <f>'Entsorgung Déchets'!P14</f>
        <v>5.19</v>
      </c>
      <c r="S4" s="601" t="str">
        <f>'Entsorgung Déchets'!Q14</f>
        <v/>
      </c>
      <c r="T4" s="601">
        <f>'Entsorgung Déchets'!R14</f>
        <v>5.19</v>
      </c>
      <c r="U4" s="2" t="str">
        <f>'Entsorgung Déchets'!C14</f>
        <v>m2</v>
      </c>
      <c r="V4" s="2" t="str">
        <f t="shared" si="3"/>
        <v>area</v>
      </c>
      <c r="W4" s="2"/>
      <c r="X4" s="2" t="str">
        <f t="shared" si="4"/>
        <v>91.003</v>
      </c>
      <c r="Y4" s="7" t="s">
        <v>203</v>
      </c>
      <c r="Z4" s="7" t="s">
        <v>204</v>
      </c>
      <c r="AA4" s="414">
        <v>60.0</v>
      </c>
    </row>
    <row r="5">
      <c r="A5" s="2" t="str">
        <f>'Entsorgung Déchets'!A15 &amp; " " &amp; 'Entsorgung Déchets'!B15 &amp; " (KBOB.2016)"</f>
        <v>91.004 Entsorgung, Bodenbelag, Gummigranulat versiegelt, 7.5 mm (KBOB.2016)</v>
      </c>
      <c r="B5" s="2" t="str">
        <f t="shared" si="1"/>
        <v>91.004 Entsorgung, Bodenbelag, Gummigranulat versiegelt, 7.5 mm (KBOB.2016)</v>
      </c>
      <c r="C5" s="2"/>
      <c r="D5" s="2"/>
      <c r="E5" s="2"/>
      <c r="F5" s="2" t="s">
        <v>186</v>
      </c>
      <c r="G5" s="2" t="str">
        <f t="shared" si="2"/>
        <v>OTHER_RESOURCE_DISPOSAL_CONSTRUCTION_MATERIAL</v>
      </c>
      <c r="H5" s="2"/>
      <c r="I5" s="600">
        <f>'Entsorgung Déchets'!D15</f>
        <v>6780</v>
      </c>
      <c r="J5" s="600" t="str">
        <f>'Entsorgung Déchets'!E15</f>
        <v/>
      </c>
      <c r="K5" s="600">
        <f>'Entsorgung Déchets'!F15</f>
        <v>6780</v>
      </c>
      <c r="L5" s="601">
        <f>'Entsorgung Déchets'!J15</f>
        <v>0.0406</v>
      </c>
      <c r="M5" s="601" t="str">
        <f>'Entsorgung Déchets'!K15</f>
        <v/>
      </c>
      <c r="N5" s="601">
        <f>'Entsorgung Déchets'!L15</f>
        <v>0.0406</v>
      </c>
      <c r="O5" s="601">
        <f>'Entsorgung Déchets'!M15</f>
        <v>2.15</v>
      </c>
      <c r="P5" s="601" t="str">
        <f>'Entsorgung Déchets'!N15</f>
        <v/>
      </c>
      <c r="Q5" s="601">
        <f>'Entsorgung Déchets'!O15</f>
        <v>2.15</v>
      </c>
      <c r="R5" s="601">
        <f>'Entsorgung Déchets'!P15</f>
        <v>12.6</v>
      </c>
      <c r="S5" s="601" t="str">
        <f>'Entsorgung Déchets'!Q15</f>
        <v/>
      </c>
      <c r="T5" s="601">
        <f>'Entsorgung Déchets'!R15</f>
        <v>12.6</v>
      </c>
      <c r="U5" s="2" t="str">
        <f>'Entsorgung Déchets'!C15</f>
        <v>m2</v>
      </c>
      <c r="V5" s="2" t="str">
        <f t="shared" si="3"/>
        <v>area</v>
      </c>
      <c r="W5" s="2"/>
      <c r="X5" s="2" t="str">
        <f t="shared" si="4"/>
        <v>91.004</v>
      </c>
      <c r="Y5" s="7" t="s">
        <v>203</v>
      </c>
      <c r="Z5" s="7" t="s">
        <v>204</v>
      </c>
      <c r="AA5" s="414">
        <v>60.0</v>
      </c>
    </row>
    <row r="6">
      <c r="A6" s="2" t="str">
        <f>'Entsorgung Déchets'!A16 &amp; " " &amp; 'Entsorgung Déchets'!B16 &amp; " (KBOB.2016)"</f>
        <v>91.005 Entsorgung, Bodenbelag, Hartbeton einschichtig, 27.5 mm (KBOB.2016)</v>
      </c>
      <c r="B6" s="2" t="str">
        <f t="shared" si="1"/>
        <v>91.005 Entsorgung, Bodenbelag, Hartbeton einschichtig, 27.5 mm (KBOB.2016)</v>
      </c>
      <c r="C6" s="2"/>
      <c r="D6" s="2"/>
      <c r="E6" s="2"/>
      <c r="F6" s="2" t="s">
        <v>186</v>
      </c>
      <c r="G6" s="2" t="str">
        <f t="shared" si="2"/>
        <v>OTHER_RESOURCE_DISPOSAL_CONSTRUCTION_MATERIAL</v>
      </c>
      <c r="H6" s="2"/>
      <c r="I6" s="600">
        <f>'Entsorgung Déchets'!D16</f>
        <v>214</v>
      </c>
      <c r="J6" s="600" t="str">
        <f>'Entsorgung Déchets'!E16</f>
        <v/>
      </c>
      <c r="K6" s="600">
        <f>'Entsorgung Déchets'!F16</f>
        <v>214</v>
      </c>
      <c r="L6" s="601">
        <f>'Entsorgung Déchets'!J16</f>
        <v>0.00449</v>
      </c>
      <c r="M6" s="601" t="str">
        <f>'Entsorgung Déchets'!K16</f>
        <v/>
      </c>
      <c r="N6" s="601">
        <f>'Entsorgung Déchets'!L16</f>
        <v>0.00449</v>
      </c>
      <c r="O6" s="601">
        <f>'Entsorgung Déchets'!M16</f>
        <v>0.509</v>
      </c>
      <c r="P6" s="601" t="str">
        <f>'Entsorgung Déchets'!N16</f>
        <v/>
      </c>
      <c r="Q6" s="601">
        <f>'Entsorgung Déchets'!O16</f>
        <v>0.509</v>
      </c>
      <c r="R6" s="601">
        <f>'Entsorgung Déchets'!P16</f>
        <v>0.085</v>
      </c>
      <c r="S6" s="601" t="str">
        <f>'Entsorgung Déchets'!Q16</f>
        <v/>
      </c>
      <c r="T6" s="601">
        <f>'Entsorgung Déchets'!R16</f>
        <v>0.085</v>
      </c>
      <c r="U6" s="2" t="str">
        <f>'Entsorgung Déchets'!C16</f>
        <v>m2</v>
      </c>
      <c r="V6" s="2" t="str">
        <f t="shared" si="3"/>
        <v>area</v>
      </c>
      <c r="W6" s="2"/>
      <c r="X6" s="2" t="str">
        <f t="shared" si="4"/>
        <v>91.005</v>
      </c>
      <c r="Y6" s="7" t="s">
        <v>203</v>
      </c>
      <c r="Z6" s="7" t="s">
        <v>204</v>
      </c>
      <c r="AA6" s="414">
        <v>60.0</v>
      </c>
    </row>
    <row r="7">
      <c r="A7" s="2" t="str">
        <f>'Entsorgung Déchets'!A17 &amp; " " &amp; 'Entsorgung Déchets'!B17 &amp; " (KBOB.2016)"</f>
        <v>91.006 Entsorgung, Bodenbelag, Hartbeton zweischichtig, 35 mm (KBOB.2016)</v>
      </c>
      <c r="B7" s="2" t="str">
        <f t="shared" si="1"/>
        <v>91.006 Entsorgung, Bodenbelag, Hartbeton zweischichtig, 35 mm (KBOB.2016)</v>
      </c>
      <c r="C7" s="2"/>
      <c r="D7" s="2"/>
      <c r="E7" s="2"/>
      <c r="F7" s="2" t="s">
        <v>186</v>
      </c>
      <c r="G7" s="2" t="str">
        <f t="shared" si="2"/>
        <v>OTHER_RESOURCE_DISPOSAL_CONSTRUCTION_MATERIAL</v>
      </c>
      <c r="H7" s="2"/>
      <c r="I7" s="600">
        <f>'Entsorgung Déchets'!D17</f>
        <v>270</v>
      </c>
      <c r="J7" s="600" t="str">
        <f>'Entsorgung Déchets'!E17</f>
        <v/>
      </c>
      <c r="K7" s="600">
        <f>'Entsorgung Déchets'!F17</f>
        <v>270</v>
      </c>
      <c r="L7" s="601">
        <f>'Entsorgung Déchets'!J17</f>
        <v>0.00566</v>
      </c>
      <c r="M7" s="601" t="str">
        <f>'Entsorgung Déchets'!K17</f>
        <v/>
      </c>
      <c r="N7" s="601">
        <f>'Entsorgung Déchets'!L17</f>
        <v>0.00566</v>
      </c>
      <c r="O7" s="601">
        <f>'Entsorgung Déchets'!M17</f>
        <v>0.642</v>
      </c>
      <c r="P7" s="601" t="str">
        <f>'Entsorgung Déchets'!N17</f>
        <v/>
      </c>
      <c r="Q7" s="601">
        <f>'Entsorgung Déchets'!O17</f>
        <v>0.642</v>
      </c>
      <c r="R7" s="601">
        <f>'Entsorgung Déchets'!P17</f>
        <v>0.107</v>
      </c>
      <c r="S7" s="601" t="str">
        <f>'Entsorgung Déchets'!Q17</f>
        <v/>
      </c>
      <c r="T7" s="601">
        <f>'Entsorgung Déchets'!R17</f>
        <v>0.107</v>
      </c>
      <c r="U7" s="2" t="str">
        <f>'Entsorgung Déchets'!C17</f>
        <v>m2</v>
      </c>
      <c r="V7" s="2" t="str">
        <f t="shared" si="3"/>
        <v>area</v>
      </c>
      <c r="W7" s="2"/>
      <c r="X7" s="2" t="str">
        <f t="shared" si="4"/>
        <v>91.006</v>
      </c>
      <c r="Y7" s="7" t="s">
        <v>203</v>
      </c>
      <c r="Z7" s="7" t="s">
        <v>204</v>
      </c>
      <c r="AA7" s="414">
        <v>60.0</v>
      </c>
    </row>
    <row r="8">
      <c r="A8" s="2" t="str">
        <f>'Entsorgung Déchets'!A18 &amp; " " &amp; 'Entsorgung Déchets'!B18 &amp; " (KBOB.2016)"</f>
        <v>91.007 Entsorgung, Bodenbelag, Kautschuk, 2mm (KBOB.2016)</v>
      </c>
      <c r="B8" s="2" t="str">
        <f t="shared" si="1"/>
        <v>91.007 Entsorgung, Bodenbelag, Kautschuk, 2mm (KBOB.2016)</v>
      </c>
      <c r="C8" s="2"/>
      <c r="D8" s="2"/>
      <c r="E8" s="2"/>
      <c r="F8" s="2" t="s">
        <v>186</v>
      </c>
      <c r="G8" s="2" t="str">
        <f t="shared" si="2"/>
        <v>OTHER_RESOURCE_DISPOSAL_CONSTRUCTION_MATERIAL</v>
      </c>
      <c r="H8" s="2"/>
      <c r="I8" s="600">
        <f>'Entsorgung Déchets'!D18</f>
        <v>2600</v>
      </c>
      <c r="J8" s="600" t="str">
        <f>'Entsorgung Déchets'!E18</f>
        <v/>
      </c>
      <c r="K8" s="600">
        <f>'Entsorgung Déchets'!F18</f>
        <v>2600</v>
      </c>
      <c r="L8" s="601">
        <f>'Entsorgung Déchets'!J18</f>
        <v>0.0161</v>
      </c>
      <c r="M8" s="601" t="str">
        <f>'Entsorgung Déchets'!K18</f>
        <v/>
      </c>
      <c r="N8" s="601">
        <f>'Entsorgung Déchets'!L18</f>
        <v>0.0161</v>
      </c>
      <c r="O8" s="601">
        <f>'Entsorgung Déchets'!M18</f>
        <v>0.538</v>
      </c>
      <c r="P8" s="601" t="str">
        <f>'Entsorgung Déchets'!N18</f>
        <v/>
      </c>
      <c r="Q8" s="601">
        <f>'Entsorgung Déchets'!O18</f>
        <v>0.538</v>
      </c>
      <c r="R8" s="601">
        <f>'Entsorgung Déchets'!P18</f>
        <v>4.78</v>
      </c>
      <c r="S8" s="601" t="str">
        <f>'Entsorgung Déchets'!Q18</f>
        <v/>
      </c>
      <c r="T8" s="601">
        <f>'Entsorgung Déchets'!R18</f>
        <v>4.78</v>
      </c>
      <c r="U8" s="2" t="str">
        <f>'Entsorgung Déchets'!C18</f>
        <v>m2</v>
      </c>
      <c r="V8" s="2" t="str">
        <f t="shared" si="3"/>
        <v>area</v>
      </c>
      <c r="W8" s="2"/>
      <c r="X8" s="2" t="str">
        <f t="shared" si="4"/>
        <v>91.007</v>
      </c>
      <c r="Y8" s="7" t="s">
        <v>203</v>
      </c>
      <c r="Z8" s="7" t="s">
        <v>204</v>
      </c>
      <c r="AA8" s="414">
        <v>60.0</v>
      </c>
    </row>
    <row r="9">
      <c r="A9" s="2" t="str">
        <f>'Entsorgung Déchets'!A19 &amp; " " &amp; 'Entsorgung Déchets'!B19 &amp; " (KBOB.2016)"</f>
        <v>91.008 Entsorgung, Bodenbelag, Kork Fertigparkett, 10.5 mm (KBOB.2016)</v>
      </c>
      <c r="B9" s="2" t="str">
        <f t="shared" si="1"/>
        <v>91.008 Entsorgung, Bodenbelag, Kork Fertigparkett, 10.5 mm (KBOB.2016)</v>
      </c>
      <c r="C9" s="2"/>
      <c r="D9" s="2"/>
      <c r="E9" s="2"/>
      <c r="F9" s="2" t="s">
        <v>186</v>
      </c>
      <c r="G9" s="2" t="str">
        <f t="shared" si="2"/>
        <v>OTHER_RESOURCE_DISPOSAL_CONSTRUCTION_MATERIAL</v>
      </c>
      <c r="H9" s="2"/>
      <c r="I9" s="600">
        <f>'Entsorgung Déchets'!D19</f>
        <v>1210</v>
      </c>
      <c r="J9" s="600" t="str">
        <f>'Entsorgung Déchets'!E19</f>
        <v/>
      </c>
      <c r="K9" s="600">
        <f>'Entsorgung Déchets'!F19</f>
        <v>1210</v>
      </c>
      <c r="L9" s="601">
        <f>'Entsorgung Déchets'!J19</f>
        <v>0.0124</v>
      </c>
      <c r="M9" s="601" t="str">
        <f>'Entsorgung Déchets'!K19</f>
        <v/>
      </c>
      <c r="N9" s="601">
        <f>'Entsorgung Déchets'!L19</f>
        <v>0.0124</v>
      </c>
      <c r="O9" s="601">
        <f>'Entsorgung Déchets'!M19</f>
        <v>0.626</v>
      </c>
      <c r="P9" s="601" t="str">
        <f>'Entsorgung Déchets'!N19</f>
        <v/>
      </c>
      <c r="Q9" s="601">
        <f>'Entsorgung Déchets'!O19</f>
        <v>0.626</v>
      </c>
      <c r="R9" s="601">
        <f>'Entsorgung Déchets'!P19</f>
        <v>1.66</v>
      </c>
      <c r="S9" s="601" t="str">
        <f>'Entsorgung Déchets'!Q19</f>
        <v/>
      </c>
      <c r="T9" s="601">
        <f>'Entsorgung Déchets'!R19</f>
        <v>1.66</v>
      </c>
      <c r="U9" s="2" t="str">
        <f>'Entsorgung Déchets'!C19</f>
        <v>m2</v>
      </c>
      <c r="V9" s="2" t="str">
        <f t="shared" si="3"/>
        <v>area</v>
      </c>
      <c r="W9" s="2"/>
      <c r="X9" s="2" t="str">
        <f t="shared" si="4"/>
        <v>91.008</v>
      </c>
      <c r="Y9" s="7" t="s">
        <v>203</v>
      </c>
      <c r="Z9" s="7" t="s">
        <v>204</v>
      </c>
      <c r="AA9" s="414">
        <v>60.0</v>
      </c>
    </row>
    <row r="10">
      <c r="A10" s="2" t="str">
        <f>'Entsorgung Déchets'!A20 &amp; " " &amp; 'Entsorgung Déchets'!B20 &amp; " (KBOB.2016)"</f>
        <v>91.009 Entsorgung, Bodenbelag, Kork PVC-beschichtet, 3.2 mm (KBOB.2016)</v>
      </c>
      <c r="B10" s="2" t="str">
        <f t="shared" si="1"/>
        <v>91.009 Entsorgung, Bodenbelag, Kork PVC-beschichtet, 3.2 mm (KBOB.2016)</v>
      </c>
      <c r="C10" s="2"/>
      <c r="D10" s="2"/>
      <c r="E10" s="2"/>
      <c r="F10" s="2" t="s">
        <v>186</v>
      </c>
      <c r="G10" s="2" t="str">
        <f t="shared" si="2"/>
        <v>OTHER_RESOURCE_DISPOSAL_CONSTRUCTION_MATERIAL</v>
      </c>
      <c r="H10" s="2"/>
      <c r="I10" s="600">
        <f>'Entsorgung Déchets'!D20</f>
        <v>1550</v>
      </c>
      <c r="J10" s="600" t="str">
        <f>'Entsorgung Déchets'!E20</f>
        <v/>
      </c>
      <c r="K10" s="600">
        <f>'Entsorgung Déchets'!F20</f>
        <v>1550</v>
      </c>
      <c r="L10" s="601">
        <f>'Entsorgung Déchets'!J20</f>
        <v>0.00917</v>
      </c>
      <c r="M10" s="601" t="str">
        <f>'Entsorgung Déchets'!K20</f>
        <v/>
      </c>
      <c r="N10" s="601">
        <f>'Entsorgung Déchets'!L20</f>
        <v>0.00917</v>
      </c>
      <c r="O10" s="601">
        <f>'Entsorgung Déchets'!M20</f>
        <v>0.357</v>
      </c>
      <c r="P10" s="601" t="str">
        <f>'Entsorgung Déchets'!N20</f>
        <v/>
      </c>
      <c r="Q10" s="601">
        <f>'Entsorgung Déchets'!O20</f>
        <v>0.357</v>
      </c>
      <c r="R10" s="601">
        <f>'Entsorgung Déchets'!P20</f>
        <v>2.82</v>
      </c>
      <c r="S10" s="601" t="str">
        <f>'Entsorgung Déchets'!Q20</f>
        <v/>
      </c>
      <c r="T10" s="601">
        <f>'Entsorgung Déchets'!R20</f>
        <v>2.82</v>
      </c>
      <c r="U10" s="2" t="str">
        <f>'Entsorgung Déchets'!C20</f>
        <v>m2</v>
      </c>
      <c r="V10" s="2" t="str">
        <f t="shared" si="3"/>
        <v>area</v>
      </c>
      <c r="W10" s="2"/>
      <c r="X10" s="2" t="str">
        <f t="shared" si="4"/>
        <v>91.009</v>
      </c>
      <c r="Y10" s="7" t="s">
        <v>203</v>
      </c>
      <c r="Z10" s="7" t="s">
        <v>204</v>
      </c>
      <c r="AA10" s="414">
        <v>60.0</v>
      </c>
    </row>
    <row r="11">
      <c r="A11" s="2" t="str">
        <f>'Entsorgung Déchets'!A21 &amp; " " &amp; 'Entsorgung Déchets'!B21 &amp; " (KBOB.2016)"</f>
        <v>91.010 Entsorgung, Bodenbelag, Korkparkett geölt/versiegelt, 5.3 mm (KBOB.2016)</v>
      </c>
      <c r="B11" s="2" t="str">
        <f t="shared" si="1"/>
        <v>91.010 Entsorgung, Bodenbelag, Korkparkett geölt/versiegelt, 5.3 mm (KBOB.2016)</v>
      </c>
      <c r="C11" s="2"/>
      <c r="D11" s="2"/>
      <c r="E11" s="2"/>
      <c r="F11" s="2" t="s">
        <v>186</v>
      </c>
      <c r="G11" s="2" t="str">
        <f t="shared" si="2"/>
        <v>OTHER_RESOURCE_DISPOSAL_CONSTRUCTION_MATERIAL</v>
      </c>
      <c r="H11" s="2"/>
      <c r="I11" s="600">
        <f>'Entsorgung Déchets'!D21</f>
        <v>401</v>
      </c>
      <c r="J11" s="600" t="str">
        <f>'Entsorgung Déchets'!E21</f>
        <v/>
      </c>
      <c r="K11" s="600">
        <f>'Entsorgung Déchets'!F21</f>
        <v>401</v>
      </c>
      <c r="L11" s="601">
        <f>'Entsorgung Déchets'!J21</f>
        <v>0.00385</v>
      </c>
      <c r="M11" s="601" t="str">
        <f>'Entsorgung Déchets'!K21</f>
        <v/>
      </c>
      <c r="N11" s="601">
        <f>'Entsorgung Déchets'!L21</f>
        <v>0.00385</v>
      </c>
      <c r="O11" s="601">
        <f>'Entsorgung Déchets'!M21</f>
        <v>0.186</v>
      </c>
      <c r="P11" s="601" t="str">
        <f>'Entsorgung Déchets'!N21</f>
        <v/>
      </c>
      <c r="Q11" s="601">
        <f>'Entsorgung Déchets'!O21</f>
        <v>0.186</v>
      </c>
      <c r="R11" s="601">
        <f>'Entsorgung Déchets'!P21</f>
        <v>0.585</v>
      </c>
      <c r="S11" s="601" t="str">
        <f>'Entsorgung Déchets'!Q21</f>
        <v/>
      </c>
      <c r="T11" s="601">
        <f>'Entsorgung Déchets'!R21</f>
        <v>0.585</v>
      </c>
      <c r="U11" s="2" t="str">
        <f>'Entsorgung Déchets'!C21</f>
        <v>m2</v>
      </c>
      <c r="V11" s="2" t="str">
        <f t="shared" si="3"/>
        <v>area</v>
      </c>
      <c r="W11" s="2"/>
      <c r="X11" s="2" t="str">
        <f t="shared" si="4"/>
        <v>91.010</v>
      </c>
      <c r="Y11" s="7" t="s">
        <v>203</v>
      </c>
      <c r="Z11" s="7" t="s">
        <v>204</v>
      </c>
      <c r="AA11" s="414">
        <v>60.0</v>
      </c>
    </row>
    <row r="12">
      <c r="A12" s="2" t="str">
        <f>'Entsorgung Déchets'!A22 &amp; " " &amp; 'Entsorgung Déchets'!B22 &amp; " (KBOB.2016)"</f>
        <v>91.011 Entsorgung, Bodenbelag, Laminat, 8.5 mm (KBOB.2016)</v>
      </c>
      <c r="B12" s="2" t="str">
        <f t="shared" si="1"/>
        <v>91.011 Entsorgung, Bodenbelag, Laminat, 8.5 mm (KBOB.2016)</v>
      </c>
      <c r="C12" s="2"/>
      <c r="D12" s="2"/>
      <c r="E12" s="2"/>
      <c r="F12" s="2" t="s">
        <v>186</v>
      </c>
      <c r="G12" s="2" t="str">
        <f t="shared" si="2"/>
        <v>OTHER_RESOURCE_DISPOSAL_CONSTRUCTION_MATERIAL</v>
      </c>
      <c r="H12" s="2"/>
      <c r="I12" s="600">
        <f>'Entsorgung Déchets'!D22</f>
        <v>248</v>
      </c>
      <c r="J12" s="600" t="str">
        <f>'Entsorgung Déchets'!E22</f>
        <v/>
      </c>
      <c r="K12" s="600">
        <f>'Entsorgung Déchets'!F22</f>
        <v>248</v>
      </c>
      <c r="L12" s="601">
        <f>'Entsorgung Déchets'!J22</f>
        <v>0.00482</v>
      </c>
      <c r="M12" s="601" t="str">
        <f>'Entsorgung Déchets'!K22</f>
        <v/>
      </c>
      <c r="N12" s="601">
        <f>'Entsorgung Déchets'!L22</f>
        <v>0.00482</v>
      </c>
      <c r="O12" s="601">
        <f>'Entsorgung Déchets'!M22</f>
        <v>0.286</v>
      </c>
      <c r="P12" s="601" t="str">
        <f>'Entsorgung Déchets'!N22</f>
        <v/>
      </c>
      <c r="Q12" s="601">
        <f>'Entsorgung Déchets'!O22</f>
        <v>0.286</v>
      </c>
      <c r="R12" s="601">
        <f>'Entsorgung Déchets'!P22</f>
        <v>0.0881</v>
      </c>
      <c r="S12" s="601" t="str">
        <f>'Entsorgung Déchets'!Q22</f>
        <v/>
      </c>
      <c r="T12" s="601">
        <f>'Entsorgung Déchets'!R22</f>
        <v>0.0881</v>
      </c>
      <c r="U12" s="2" t="str">
        <f>'Entsorgung Déchets'!C22</f>
        <v>m2</v>
      </c>
      <c r="V12" s="2" t="str">
        <f t="shared" si="3"/>
        <v>area</v>
      </c>
      <c r="W12" s="2"/>
      <c r="X12" s="2" t="str">
        <f t="shared" si="4"/>
        <v>91.011</v>
      </c>
      <c r="Y12" s="7" t="s">
        <v>203</v>
      </c>
      <c r="Z12" s="7" t="s">
        <v>204</v>
      </c>
      <c r="AA12" s="414">
        <v>60.0</v>
      </c>
    </row>
    <row r="13">
      <c r="A13" s="2" t="str">
        <f>'Entsorgung Déchets'!A23 &amp; " " &amp; 'Entsorgung Déchets'!B23 &amp; " (KBOB.2016)"</f>
        <v>91.012 Entsorgung, Bodenbelag, Linoleum, 2.5 mm (KBOB.2016)</v>
      </c>
      <c r="B13" s="2" t="str">
        <f t="shared" si="1"/>
        <v>91.012 Entsorgung, Bodenbelag, Linoleum, 2.5 mm (KBOB.2016)</v>
      </c>
      <c r="C13" s="2"/>
      <c r="D13" s="2"/>
      <c r="E13" s="2"/>
      <c r="F13" s="2" t="s">
        <v>186</v>
      </c>
      <c r="G13" s="2" t="str">
        <f t="shared" si="2"/>
        <v>OTHER_RESOURCE_DISPOSAL_CONSTRUCTION_MATERIAL</v>
      </c>
      <c r="H13" s="2"/>
      <c r="I13" s="600">
        <f>'Entsorgung Déchets'!D23</f>
        <v>378</v>
      </c>
      <c r="J13" s="600" t="str">
        <f>'Entsorgung Déchets'!E23</f>
        <v/>
      </c>
      <c r="K13" s="600">
        <f>'Entsorgung Déchets'!F23</f>
        <v>378</v>
      </c>
      <c r="L13" s="601">
        <f>'Entsorgung Déchets'!J23</f>
        <v>0.00437</v>
      </c>
      <c r="M13" s="601" t="str">
        <f>'Entsorgung Déchets'!K23</f>
        <v/>
      </c>
      <c r="N13" s="601">
        <f>'Entsorgung Déchets'!L23</f>
        <v>0.00437</v>
      </c>
      <c r="O13" s="601">
        <f>'Entsorgung Déchets'!M23</f>
        <v>0.27</v>
      </c>
      <c r="P13" s="601" t="str">
        <f>'Entsorgung Déchets'!N23</f>
        <v/>
      </c>
      <c r="Q13" s="601">
        <f>'Entsorgung Déchets'!O23</f>
        <v>0.27</v>
      </c>
      <c r="R13" s="601">
        <f>'Entsorgung Déchets'!P23</f>
        <v>0.462</v>
      </c>
      <c r="S13" s="601" t="str">
        <f>'Entsorgung Déchets'!Q23</f>
        <v/>
      </c>
      <c r="T13" s="601">
        <f>'Entsorgung Déchets'!R23</f>
        <v>0.462</v>
      </c>
      <c r="U13" s="2" t="str">
        <f>'Entsorgung Déchets'!C23</f>
        <v>m2</v>
      </c>
      <c r="V13" s="2" t="str">
        <f t="shared" si="3"/>
        <v>area</v>
      </c>
      <c r="W13" s="2"/>
      <c r="X13" s="2" t="str">
        <f t="shared" si="4"/>
        <v>91.012</v>
      </c>
      <c r="Y13" s="7" t="s">
        <v>203</v>
      </c>
      <c r="Z13" s="7" t="s">
        <v>204</v>
      </c>
      <c r="AA13" s="414">
        <v>60.0</v>
      </c>
    </row>
    <row r="14">
      <c r="A14" s="2" t="str">
        <f>'Entsorgung Déchets'!A24 &amp; " " &amp; 'Entsorgung Déchets'!B24 &amp; " (KBOB.2016)"</f>
        <v>91.013 Entsorgung, Bodenbelag, Parkett 2-Schicht werkversiegelt, 11 mm (KBOB.2016)</v>
      </c>
      <c r="B14" s="2" t="str">
        <f t="shared" si="1"/>
        <v>91.013 Entsorgung, Bodenbelag, Parkett 2-Schicht werkversiegelt, 11 mm (KBOB.2016)</v>
      </c>
      <c r="C14" s="2"/>
      <c r="D14" s="2"/>
      <c r="E14" s="2"/>
      <c r="F14" s="2" t="s">
        <v>186</v>
      </c>
      <c r="G14" s="2" t="str">
        <f t="shared" si="2"/>
        <v>OTHER_RESOURCE_DISPOSAL_CONSTRUCTION_MATERIAL</v>
      </c>
      <c r="H14" s="2"/>
      <c r="I14" s="600">
        <f>'Entsorgung Déchets'!D24</f>
        <v>159</v>
      </c>
      <c r="J14" s="600" t="str">
        <f>'Entsorgung Déchets'!E24</f>
        <v/>
      </c>
      <c r="K14" s="600">
        <f>'Entsorgung Déchets'!F24</f>
        <v>159</v>
      </c>
      <c r="L14" s="601">
        <f>'Entsorgung Déchets'!J24</f>
        <v>0.00308</v>
      </c>
      <c r="M14" s="601" t="str">
        <f>'Entsorgung Déchets'!K24</f>
        <v/>
      </c>
      <c r="N14" s="601">
        <f>'Entsorgung Déchets'!L24</f>
        <v>0.00308</v>
      </c>
      <c r="O14" s="601">
        <f>'Entsorgung Déchets'!M24</f>
        <v>0.183</v>
      </c>
      <c r="P14" s="601" t="str">
        <f>'Entsorgung Déchets'!N24</f>
        <v/>
      </c>
      <c r="Q14" s="601">
        <f>'Entsorgung Déchets'!O24</f>
        <v>0.183</v>
      </c>
      <c r="R14" s="601">
        <f>'Entsorgung Déchets'!P24</f>
        <v>0.0564</v>
      </c>
      <c r="S14" s="601" t="str">
        <f>'Entsorgung Déchets'!Q24</f>
        <v/>
      </c>
      <c r="T14" s="601">
        <f>'Entsorgung Déchets'!R24</f>
        <v>0.0564</v>
      </c>
      <c r="U14" s="2" t="str">
        <f>'Entsorgung Déchets'!C24</f>
        <v>m2</v>
      </c>
      <c r="V14" s="2" t="str">
        <f t="shared" si="3"/>
        <v>area</v>
      </c>
      <c r="W14" s="2"/>
      <c r="X14" s="2" t="str">
        <f t="shared" si="4"/>
        <v>91.013</v>
      </c>
      <c r="Y14" s="7" t="s">
        <v>203</v>
      </c>
      <c r="Z14" s="7" t="s">
        <v>204</v>
      </c>
      <c r="AA14" s="414">
        <v>60.0</v>
      </c>
    </row>
    <row r="15">
      <c r="A15" s="2" t="str">
        <f>'Entsorgung Déchets'!A25 &amp; " " &amp; 'Entsorgung Déchets'!B25 &amp; " (KBOB.2016)"</f>
        <v>91.014 Entsorgung, Bodenbelag, Parkett 3-Schicht werkversiegelt, 15 mm (KBOB.2016)</v>
      </c>
      <c r="B15" s="2" t="str">
        <f t="shared" si="1"/>
        <v>91.014 Entsorgung, Bodenbelag, Parkett 3-Schicht werkversiegelt, 15 mm (KBOB.2016)</v>
      </c>
      <c r="C15" s="2"/>
      <c r="D15" s="2"/>
      <c r="E15" s="2"/>
      <c r="F15" s="2" t="s">
        <v>186</v>
      </c>
      <c r="G15" s="2" t="str">
        <f t="shared" si="2"/>
        <v>OTHER_RESOURCE_DISPOSAL_CONSTRUCTION_MATERIAL</v>
      </c>
      <c r="H15" s="2"/>
      <c r="I15" s="600">
        <f>'Entsorgung Déchets'!D25</f>
        <v>216</v>
      </c>
      <c r="J15" s="600" t="str">
        <f>'Entsorgung Déchets'!E25</f>
        <v/>
      </c>
      <c r="K15" s="600">
        <f>'Entsorgung Déchets'!F25</f>
        <v>216</v>
      </c>
      <c r="L15" s="601">
        <f>'Entsorgung Déchets'!J25</f>
        <v>0.00421</v>
      </c>
      <c r="M15" s="601" t="str">
        <f>'Entsorgung Déchets'!K25</f>
        <v/>
      </c>
      <c r="N15" s="601">
        <f>'Entsorgung Déchets'!L25</f>
        <v>0.00421</v>
      </c>
      <c r="O15" s="601">
        <f>'Entsorgung Déchets'!M25</f>
        <v>0.25</v>
      </c>
      <c r="P15" s="601" t="str">
        <f>'Entsorgung Déchets'!N25</f>
        <v/>
      </c>
      <c r="Q15" s="601">
        <f>'Entsorgung Déchets'!O25</f>
        <v>0.25</v>
      </c>
      <c r="R15" s="601">
        <f>'Entsorgung Déchets'!P25</f>
        <v>0.077</v>
      </c>
      <c r="S15" s="601" t="str">
        <f>'Entsorgung Déchets'!Q25</f>
        <v/>
      </c>
      <c r="T15" s="601">
        <f>'Entsorgung Déchets'!R25</f>
        <v>0.077</v>
      </c>
      <c r="U15" s="2" t="str">
        <f>'Entsorgung Déchets'!C25</f>
        <v>m2</v>
      </c>
      <c r="V15" s="2" t="str">
        <f t="shared" si="3"/>
        <v>area</v>
      </c>
      <c r="W15" s="2"/>
      <c r="X15" s="2" t="str">
        <f t="shared" si="4"/>
        <v>91.014</v>
      </c>
      <c r="Y15" s="7" t="s">
        <v>203</v>
      </c>
      <c r="Z15" s="7" t="s">
        <v>204</v>
      </c>
      <c r="AA15" s="414">
        <v>60.0</v>
      </c>
    </row>
    <row r="16">
      <c r="A16" s="2" t="str">
        <f>'Entsorgung Déchets'!A26 &amp; " " &amp; 'Entsorgung Déchets'!B26 &amp; " (KBOB.2016)"</f>
        <v>91.015 Entsorgung, Bodenbelag, Parkett Mosaik werkversiegelt, 8 mm (KBOB.2016)</v>
      </c>
      <c r="B16" s="2" t="str">
        <f t="shared" si="1"/>
        <v>91.015 Entsorgung, Bodenbelag, Parkett Mosaik werkversiegelt, 8 mm (KBOB.2016)</v>
      </c>
      <c r="C16" s="2"/>
      <c r="D16" s="2"/>
      <c r="E16" s="2"/>
      <c r="F16" s="2" t="s">
        <v>186</v>
      </c>
      <c r="G16" s="2" t="str">
        <f t="shared" si="2"/>
        <v>OTHER_RESOURCE_DISPOSAL_CONSTRUCTION_MATERIAL</v>
      </c>
      <c r="H16" s="2"/>
      <c r="I16" s="600">
        <f>'Entsorgung Déchets'!D26</f>
        <v>134</v>
      </c>
      <c r="J16" s="600" t="str">
        <f>'Entsorgung Déchets'!E26</f>
        <v/>
      </c>
      <c r="K16" s="600">
        <f>'Entsorgung Déchets'!F26</f>
        <v>134</v>
      </c>
      <c r="L16" s="601">
        <f>'Entsorgung Déchets'!J26</f>
        <v>0.00262</v>
      </c>
      <c r="M16" s="601" t="str">
        <f>'Entsorgung Déchets'!K26</f>
        <v/>
      </c>
      <c r="N16" s="601">
        <f>'Entsorgung Déchets'!L26</f>
        <v>0.00262</v>
      </c>
      <c r="O16" s="601">
        <f>'Entsorgung Déchets'!M26</f>
        <v>0.155</v>
      </c>
      <c r="P16" s="601" t="str">
        <f>'Entsorgung Déchets'!N26</f>
        <v/>
      </c>
      <c r="Q16" s="601">
        <f>'Entsorgung Déchets'!O26</f>
        <v>0.155</v>
      </c>
      <c r="R16" s="601">
        <f>'Entsorgung Déchets'!P26</f>
        <v>0.0478</v>
      </c>
      <c r="S16" s="601" t="str">
        <f>'Entsorgung Déchets'!Q26</f>
        <v/>
      </c>
      <c r="T16" s="601">
        <f>'Entsorgung Déchets'!R26</f>
        <v>0.0478</v>
      </c>
      <c r="U16" s="2" t="str">
        <f>'Entsorgung Déchets'!C26</f>
        <v>m2</v>
      </c>
      <c r="V16" s="2" t="str">
        <f t="shared" si="3"/>
        <v>area</v>
      </c>
      <c r="W16" s="2"/>
      <c r="X16" s="2" t="str">
        <f t="shared" si="4"/>
        <v>91.015</v>
      </c>
      <c r="Y16" s="7" t="s">
        <v>203</v>
      </c>
      <c r="Z16" s="7" t="s">
        <v>204</v>
      </c>
      <c r="AA16" s="414">
        <v>60.0</v>
      </c>
    </row>
    <row r="17">
      <c r="A17" s="2" t="str">
        <f>'Entsorgung Déchets'!A27 &amp; " " &amp; 'Entsorgung Déchets'!B27 &amp; " (KBOB.2016)"</f>
        <v>91.016 Entsorgung, Bodenbelag, PVC homogen, 2 mm (KBOB.2016)</v>
      </c>
      <c r="B17" s="2" t="str">
        <f t="shared" si="1"/>
        <v>91.016 Entsorgung, Bodenbelag, PVC homogen, 2 mm (KBOB.2016)</v>
      </c>
      <c r="C17" s="2"/>
      <c r="D17" s="2"/>
      <c r="E17" s="2"/>
      <c r="F17" s="2" t="s">
        <v>186</v>
      </c>
      <c r="G17" s="2" t="str">
        <f t="shared" si="2"/>
        <v>OTHER_RESOURCE_DISPOSAL_CONSTRUCTION_MATERIAL</v>
      </c>
      <c r="H17" s="2"/>
      <c r="I17" s="600">
        <f>'Entsorgung Déchets'!D27</f>
        <v>3050</v>
      </c>
      <c r="J17" s="600" t="str">
        <f>'Entsorgung Déchets'!E27</f>
        <v/>
      </c>
      <c r="K17" s="600">
        <f>'Entsorgung Déchets'!F27</f>
        <v>3050</v>
      </c>
      <c r="L17" s="601">
        <f>'Entsorgung Déchets'!J27</f>
        <v>0.181</v>
      </c>
      <c r="M17" s="601" t="str">
        <f>'Entsorgung Déchets'!K27</f>
        <v/>
      </c>
      <c r="N17" s="601">
        <f>'Entsorgung Déchets'!L27</f>
        <v>0.181</v>
      </c>
      <c r="O17" s="601">
        <f>'Entsorgung Déchets'!M27</f>
        <v>2.32</v>
      </c>
      <c r="P17" s="601" t="str">
        <f>'Entsorgung Déchets'!N27</f>
        <v/>
      </c>
      <c r="Q17" s="601">
        <f>'Entsorgung Déchets'!O27</f>
        <v>2.32</v>
      </c>
      <c r="R17" s="601">
        <f>'Entsorgung Déchets'!P27</f>
        <v>5.24</v>
      </c>
      <c r="S17" s="601" t="str">
        <f>'Entsorgung Déchets'!Q27</f>
        <v/>
      </c>
      <c r="T17" s="601">
        <f>'Entsorgung Déchets'!R27</f>
        <v>5.24</v>
      </c>
      <c r="U17" s="2" t="str">
        <f>'Entsorgung Déchets'!C27</f>
        <v>m2</v>
      </c>
      <c r="V17" s="2" t="str">
        <f t="shared" si="3"/>
        <v>area</v>
      </c>
      <c r="W17" s="2"/>
      <c r="X17" s="2" t="str">
        <f t="shared" si="4"/>
        <v>91.016</v>
      </c>
      <c r="Y17" s="7" t="s">
        <v>203</v>
      </c>
      <c r="Z17" s="7" t="s">
        <v>204</v>
      </c>
      <c r="AA17" s="414">
        <v>60.0</v>
      </c>
    </row>
    <row r="18">
      <c r="A18" s="2" t="str">
        <f>'Entsorgung Déchets'!A28 &amp; " " &amp; 'Entsorgung Déchets'!B28 &amp; " (KBOB.2016)"</f>
        <v>91.017 Entsorgung, Bodenbelag, Steinholz versiegelt, 16.5 mm (KBOB.2016)</v>
      </c>
      <c r="B18" s="2" t="str">
        <f t="shared" si="1"/>
        <v>91.017 Entsorgung, Bodenbelag, Steinholz versiegelt, 16.5 mm (KBOB.2016)</v>
      </c>
      <c r="C18" s="2"/>
      <c r="D18" s="2"/>
      <c r="E18" s="2"/>
      <c r="F18" s="2" t="s">
        <v>186</v>
      </c>
      <c r="G18" s="2" t="str">
        <f t="shared" si="2"/>
        <v>OTHER_RESOURCE_DISPOSAL_CONSTRUCTION_MATERIAL</v>
      </c>
      <c r="H18" s="2"/>
      <c r="I18" s="600">
        <f>'Entsorgung Déchets'!D28</f>
        <v>330</v>
      </c>
      <c r="J18" s="600" t="str">
        <f>'Entsorgung Déchets'!E28</f>
        <v/>
      </c>
      <c r="K18" s="600">
        <f>'Entsorgung Déchets'!F28</f>
        <v>330</v>
      </c>
      <c r="L18" s="601">
        <f>'Entsorgung Déchets'!J28</f>
        <v>0.0112</v>
      </c>
      <c r="M18" s="601" t="str">
        <f>'Entsorgung Déchets'!K28</f>
        <v/>
      </c>
      <c r="N18" s="601">
        <f>'Entsorgung Déchets'!L28</f>
        <v>0.0112</v>
      </c>
      <c r="O18" s="601">
        <f>'Entsorgung Déchets'!M28</f>
        <v>1.26</v>
      </c>
      <c r="P18" s="601" t="str">
        <f>'Entsorgung Déchets'!N28</f>
        <v/>
      </c>
      <c r="Q18" s="601">
        <f>'Entsorgung Déchets'!O28</f>
        <v>1.26</v>
      </c>
      <c r="R18" s="601">
        <f>'Entsorgung Déchets'!P28</f>
        <v>0.164</v>
      </c>
      <c r="S18" s="601" t="str">
        <f>'Entsorgung Déchets'!Q28</f>
        <v/>
      </c>
      <c r="T18" s="601">
        <f>'Entsorgung Déchets'!R28</f>
        <v>0.164</v>
      </c>
      <c r="U18" s="2" t="str">
        <f>'Entsorgung Déchets'!C28</f>
        <v>m2</v>
      </c>
      <c r="V18" s="2" t="str">
        <f t="shared" si="3"/>
        <v>area</v>
      </c>
      <c r="W18" s="2"/>
      <c r="X18" s="2" t="str">
        <f t="shared" si="4"/>
        <v>91.017</v>
      </c>
      <c r="Y18" s="7" t="s">
        <v>203</v>
      </c>
      <c r="Z18" s="7" t="s">
        <v>204</v>
      </c>
      <c r="AA18" s="414">
        <v>60.0</v>
      </c>
    </row>
    <row r="19">
      <c r="A19" s="2" t="str">
        <f>'Entsorgung Déchets'!A29 &amp; " " &amp; 'Entsorgung Déchets'!B29 &amp; " (KBOB.2016)"</f>
        <v>91.018 Entsorgung, Bodenbelag, Synthetische thermoplastische Beläge (TPO), 2 mm (KBOB.2016)</v>
      </c>
      <c r="B19" s="2" t="str">
        <f t="shared" si="1"/>
        <v>91.018 Entsorgung, Bodenbelag, Synthetische thermoplastische Beläge (TPO), 2 mm (KBOB.2016)</v>
      </c>
      <c r="C19" s="2"/>
      <c r="D19" s="2"/>
      <c r="E19" s="2"/>
      <c r="F19" s="2" t="s">
        <v>186</v>
      </c>
      <c r="G19" s="2" t="str">
        <f t="shared" si="2"/>
        <v>OTHER_RESOURCE_DISPOSAL_CONSTRUCTION_MATERIAL</v>
      </c>
      <c r="H19" s="2"/>
      <c r="I19" s="600">
        <f>'Entsorgung Déchets'!D29</f>
        <v>2790</v>
      </c>
      <c r="J19" s="600" t="str">
        <f>'Entsorgung Déchets'!E29</f>
        <v/>
      </c>
      <c r="K19" s="600">
        <f>'Entsorgung Déchets'!F29</f>
        <v>2790</v>
      </c>
      <c r="L19" s="601">
        <f>'Entsorgung Déchets'!J29</f>
        <v>0.0176</v>
      </c>
      <c r="M19" s="601" t="str">
        <f>'Entsorgung Déchets'!K29</f>
        <v/>
      </c>
      <c r="N19" s="601">
        <f>'Entsorgung Déchets'!L29</f>
        <v>0.0176</v>
      </c>
      <c r="O19" s="601">
        <f>'Entsorgung Déchets'!M29</f>
        <v>0.679</v>
      </c>
      <c r="P19" s="601" t="str">
        <f>'Entsorgung Déchets'!N29</f>
        <v/>
      </c>
      <c r="Q19" s="601">
        <f>'Entsorgung Déchets'!O29</f>
        <v>0.679</v>
      </c>
      <c r="R19" s="601">
        <f>'Entsorgung Déchets'!P29</f>
        <v>5.1</v>
      </c>
      <c r="S19" s="601" t="str">
        <f>'Entsorgung Déchets'!Q29</f>
        <v/>
      </c>
      <c r="T19" s="601">
        <f>'Entsorgung Déchets'!R29</f>
        <v>5.1</v>
      </c>
      <c r="U19" s="2" t="str">
        <f>'Entsorgung Déchets'!C29</f>
        <v>m2</v>
      </c>
      <c r="V19" s="2" t="str">
        <f t="shared" si="3"/>
        <v>area</v>
      </c>
      <c r="W19" s="2"/>
      <c r="X19" s="2" t="str">
        <f t="shared" si="4"/>
        <v>91.018</v>
      </c>
      <c r="Y19" s="7" t="s">
        <v>203</v>
      </c>
      <c r="Z19" s="7" t="s">
        <v>204</v>
      </c>
      <c r="AA19" s="414">
        <v>60.0</v>
      </c>
    </row>
    <row r="20">
      <c r="A20" s="2" t="str">
        <f>'Entsorgung Déchets'!A30 &amp; " " &amp; 'Entsorgung Déchets'!B30 &amp; " (KBOB.2016)"</f>
        <v>91.019 Entsorgung, Bodenbelag, Teppich Kunstfaser getuftet (KBOB.2016)</v>
      </c>
      <c r="B20" s="2" t="str">
        <f t="shared" si="1"/>
        <v>91.019 Entsorgung, Bodenbelag, Teppich Kunstfaser getuftet (KBOB.2016)</v>
      </c>
      <c r="C20" s="2"/>
      <c r="D20" s="2"/>
      <c r="E20" s="2"/>
      <c r="F20" s="2" t="s">
        <v>186</v>
      </c>
      <c r="G20" s="2" t="str">
        <f t="shared" si="2"/>
        <v>OTHER_RESOURCE_DISPOSAL_CONSTRUCTION_MATERIAL</v>
      </c>
      <c r="H20" s="2"/>
      <c r="I20" s="600">
        <f>'Entsorgung Déchets'!D30</f>
        <v>2270</v>
      </c>
      <c r="J20" s="600" t="str">
        <f>'Entsorgung Déchets'!E30</f>
        <v/>
      </c>
      <c r="K20" s="600">
        <f>'Entsorgung Déchets'!F30</f>
        <v>2270</v>
      </c>
      <c r="L20" s="601">
        <f>'Entsorgung Déchets'!J30</f>
        <v>0.0106</v>
      </c>
      <c r="M20" s="601" t="str">
        <f>'Entsorgung Déchets'!K30</f>
        <v/>
      </c>
      <c r="N20" s="601">
        <f>'Entsorgung Déchets'!L30</f>
        <v>0.0106</v>
      </c>
      <c r="O20" s="601">
        <f>'Entsorgung Déchets'!M30</f>
        <v>0.397</v>
      </c>
      <c r="P20" s="601" t="str">
        <f>'Entsorgung Déchets'!N30</f>
        <v/>
      </c>
      <c r="Q20" s="601">
        <f>'Entsorgung Déchets'!O30</f>
        <v>0.397</v>
      </c>
      <c r="R20" s="601">
        <f>'Entsorgung Déchets'!P30</f>
        <v>4.41</v>
      </c>
      <c r="S20" s="601" t="str">
        <f>'Entsorgung Déchets'!Q30</f>
        <v/>
      </c>
      <c r="T20" s="601">
        <f>'Entsorgung Déchets'!R30</f>
        <v>4.41</v>
      </c>
      <c r="U20" s="2" t="str">
        <f>'Entsorgung Déchets'!C30</f>
        <v>m2</v>
      </c>
      <c r="V20" s="2" t="str">
        <f t="shared" si="3"/>
        <v>area</v>
      </c>
      <c r="W20" s="2"/>
      <c r="X20" s="2" t="str">
        <f t="shared" si="4"/>
        <v>91.019</v>
      </c>
      <c r="Y20" s="7" t="s">
        <v>203</v>
      </c>
      <c r="Z20" s="7" t="s">
        <v>204</v>
      </c>
      <c r="AA20" s="414">
        <v>60.0</v>
      </c>
    </row>
    <row r="21">
      <c r="A21" s="2" t="str">
        <f>'Entsorgung Déchets'!A31 &amp; " " &amp; 'Entsorgung Déchets'!B31 &amp; " (KBOB.2016)"</f>
        <v>91.020 Entsorgung, Bodenbelag, Teppich Nadelfilz (KBOB.2016)</v>
      </c>
      <c r="B21" s="2" t="str">
        <f t="shared" si="1"/>
        <v>91.020 Entsorgung, Bodenbelag, Teppich Nadelfilz (KBOB.2016)</v>
      </c>
      <c r="C21" s="2"/>
      <c r="D21" s="2"/>
      <c r="E21" s="2"/>
      <c r="F21" s="2" t="s">
        <v>186</v>
      </c>
      <c r="G21" s="2" t="str">
        <f t="shared" si="2"/>
        <v>OTHER_RESOURCE_DISPOSAL_CONSTRUCTION_MATERIAL</v>
      </c>
      <c r="H21" s="2"/>
      <c r="I21" s="600">
        <f>'Entsorgung Déchets'!D31</f>
        <v>1880</v>
      </c>
      <c r="J21" s="600" t="str">
        <f>'Entsorgung Déchets'!E31</f>
        <v/>
      </c>
      <c r="K21" s="600">
        <f>'Entsorgung Déchets'!F31</f>
        <v>1880</v>
      </c>
      <c r="L21" s="601">
        <f>'Entsorgung Déchets'!J31</f>
        <v>0.00806</v>
      </c>
      <c r="M21" s="601" t="str">
        <f>'Entsorgung Déchets'!K31</f>
        <v/>
      </c>
      <c r="N21" s="601">
        <f>'Entsorgung Déchets'!L31</f>
        <v>0.00806</v>
      </c>
      <c r="O21" s="601">
        <f>'Entsorgung Déchets'!M31</f>
        <v>0.274</v>
      </c>
      <c r="P21" s="601" t="str">
        <f>'Entsorgung Déchets'!N31</f>
        <v/>
      </c>
      <c r="Q21" s="601">
        <f>'Entsorgung Déchets'!O31</f>
        <v>0.274</v>
      </c>
      <c r="R21" s="601">
        <f>'Entsorgung Déchets'!P31</f>
        <v>3.68</v>
      </c>
      <c r="S21" s="601" t="str">
        <f>'Entsorgung Déchets'!Q31</f>
        <v/>
      </c>
      <c r="T21" s="601">
        <f>'Entsorgung Déchets'!R31</f>
        <v>3.68</v>
      </c>
      <c r="U21" s="2" t="str">
        <f>'Entsorgung Déchets'!C31</f>
        <v>m2</v>
      </c>
      <c r="V21" s="2" t="str">
        <f t="shared" si="3"/>
        <v>area</v>
      </c>
      <c r="W21" s="2"/>
      <c r="X21" s="2" t="str">
        <f t="shared" si="4"/>
        <v>91.020</v>
      </c>
      <c r="Y21" s="7" t="s">
        <v>203</v>
      </c>
      <c r="Z21" s="7" t="s">
        <v>204</v>
      </c>
      <c r="AA21" s="414">
        <v>60.0</v>
      </c>
    </row>
    <row r="22">
      <c r="A22" s="2" t="str">
        <f>'Entsorgung Déchets'!A32 &amp; " " &amp; 'Entsorgung Déchets'!B32 &amp; " (KBOB.2016)"</f>
        <v>91.021 Entsorgung, Bodenbelag, Teppich Naturfaser (KBOB.2016)</v>
      </c>
      <c r="B22" s="2" t="str">
        <f t="shared" si="1"/>
        <v>91.021 Entsorgung, Bodenbelag, Teppich Naturfaser (KBOB.2016)</v>
      </c>
      <c r="C22" s="2"/>
      <c r="D22" s="2"/>
      <c r="E22" s="2"/>
      <c r="F22" s="2" t="s">
        <v>186</v>
      </c>
      <c r="G22" s="2" t="str">
        <f t="shared" si="2"/>
        <v>OTHER_RESOURCE_DISPOSAL_CONSTRUCTION_MATERIAL</v>
      </c>
      <c r="H22" s="2"/>
      <c r="I22" s="600">
        <f>'Entsorgung Déchets'!D32</f>
        <v>710</v>
      </c>
      <c r="J22" s="600" t="str">
        <f>'Entsorgung Déchets'!E32</f>
        <v/>
      </c>
      <c r="K22" s="600">
        <f>'Entsorgung Déchets'!F32</f>
        <v>710</v>
      </c>
      <c r="L22" s="601">
        <f>'Entsorgung Déchets'!J32</f>
        <v>0.00557</v>
      </c>
      <c r="M22" s="601" t="str">
        <f>'Entsorgung Déchets'!K32</f>
        <v/>
      </c>
      <c r="N22" s="601">
        <f>'Entsorgung Déchets'!L32</f>
        <v>0.00557</v>
      </c>
      <c r="O22" s="601">
        <f>'Entsorgung Déchets'!M32</f>
        <v>0.241</v>
      </c>
      <c r="P22" s="601" t="str">
        <f>'Entsorgung Déchets'!N32</f>
        <v/>
      </c>
      <c r="Q22" s="601">
        <f>'Entsorgung Déchets'!O32</f>
        <v>0.241</v>
      </c>
      <c r="R22" s="601">
        <f>'Entsorgung Déchets'!P32</f>
        <v>1.16</v>
      </c>
      <c r="S22" s="601" t="str">
        <f>'Entsorgung Déchets'!Q32</f>
        <v/>
      </c>
      <c r="T22" s="601">
        <f>'Entsorgung Déchets'!R32</f>
        <v>1.16</v>
      </c>
      <c r="U22" s="2" t="str">
        <f>'Entsorgung Déchets'!C32</f>
        <v>m2</v>
      </c>
      <c r="V22" s="2" t="str">
        <f t="shared" si="3"/>
        <v>area</v>
      </c>
      <c r="W22" s="2"/>
      <c r="X22" s="2" t="str">
        <f t="shared" si="4"/>
        <v>91.021</v>
      </c>
      <c r="Y22" s="7" t="s">
        <v>203</v>
      </c>
      <c r="Z22" s="7" t="s">
        <v>204</v>
      </c>
      <c r="AA22" s="414">
        <v>60.0</v>
      </c>
    </row>
    <row r="23">
      <c r="A23" s="2" t="str">
        <f>'Entsorgung Déchets'!A33 &amp; " " &amp; 'Entsorgung Déchets'!B33 &amp; " (KBOB.2016)"</f>
        <v>91.022 Entsorgung, Bodenbelag, Terrazzo versiegelt, 40 mm (KBOB.2016)</v>
      </c>
      <c r="B23" s="2" t="str">
        <f t="shared" si="1"/>
        <v>91.022 Entsorgung, Bodenbelag, Terrazzo versiegelt, 40 mm (KBOB.2016)</v>
      </c>
      <c r="C23" s="2"/>
      <c r="D23" s="2"/>
      <c r="E23" s="2"/>
      <c r="F23" s="2" t="s">
        <v>186</v>
      </c>
      <c r="G23" s="2" t="str">
        <f t="shared" si="2"/>
        <v>OTHER_RESOURCE_DISPOSAL_CONSTRUCTION_MATERIAL</v>
      </c>
      <c r="H23" s="2"/>
      <c r="I23" s="600">
        <f>'Entsorgung Déchets'!D33</f>
        <v>339</v>
      </c>
      <c r="J23" s="600" t="str">
        <f>'Entsorgung Déchets'!E33</f>
        <v/>
      </c>
      <c r="K23" s="600">
        <f>'Entsorgung Déchets'!F33</f>
        <v>339</v>
      </c>
      <c r="L23" s="601">
        <f>'Entsorgung Déchets'!J33</f>
        <v>0.00712</v>
      </c>
      <c r="M23" s="601" t="str">
        <f>'Entsorgung Déchets'!K33</f>
        <v/>
      </c>
      <c r="N23" s="601">
        <f>'Entsorgung Déchets'!L33</f>
        <v>0.00712</v>
      </c>
      <c r="O23" s="601">
        <f>'Entsorgung Déchets'!M33</f>
        <v>0.808</v>
      </c>
      <c r="P23" s="601" t="str">
        <f>'Entsorgung Déchets'!N33</f>
        <v/>
      </c>
      <c r="Q23" s="601">
        <f>'Entsorgung Déchets'!O33</f>
        <v>0.808</v>
      </c>
      <c r="R23" s="601">
        <f>'Entsorgung Déchets'!P33</f>
        <v>0.135</v>
      </c>
      <c r="S23" s="601" t="str">
        <f>'Entsorgung Déchets'!Q33</f>
        <v/>
      </c>
      <c r="T23" s="601">
        <f>'Entsorgung Déchets'!R33</f>
        <v>0.135</v>
      </c>
      <c r="U23" s="2" t="str">
        <f>'Entsorgung Déchets'!C33</f>
        <v>m2</v>
      </c>
      <c r="V23" s="2" t="str">
        <f t="shared" si="3"/>
        <v>area</v>
      </c>
      <c r="W23" s="2"/>
      <c r="X23" s="2" t="str">
        <f t="shared" si="4"/>
        <v>91.022</v>
      </c>
      <c r="Y23" s="7" t="s">
        <v>203</v>
      </c>
      <c r="Z23" s="7" t="s">
        <v>204</v>
      </c>
      <c r="AA23" s="414">
        <v>60.0</v>
      </c>
    </row>
    <row r="24">
      <c r="A24" s="2" t="str">
        <f>'Entsorgung Déchets'!A34 &amp; " " &amp; 'Entsorgung Déchets'!B34 &amp; " (KBOB.2016)"</f>
        <v>91.023 Entsorgung, Gebäude, Anstrich auf Holz, in Beseitigung (KBOB.2016)</v>
      </c>
      <c r="B24" s="2" t="str">
        <f t="shared" si="1"/>
        <v>91.023 Entsorgung, Gebäude, Anstrich auf Holz, in Beseitigung (KBOB.2016)</v>
      </c>
      <c r="C24" s="2"/>
      <c r="D24" s="2"/>
      <c r="E24" s="2"/>
      <c r="F24" s="2" t="s">
        <v>186</v>
      </c>
      <c r="G24" s="2" t="str">
        <f t="shared" si="2"/>
        <v>OTHER_RESOURCE_DISPOSAL_CONSTRUCTION_MATERIAL</v>
      </c>
      <c r="H24" s="2"/>
      <c r="I24" s="600">
        <f>'Entsorgung Déchets'!D34</f>
        <v>1570</v>
      </c>
      <c r="J24" s="600" t="str">
        <f>'Entsorgung Déchets'!E34</f>
        <v/>
      </c>
      <c r="K24" s="600">
        <f>'Entsorgung Déchets'!F34</f>
        <v>1570</v>
      </c>
      <c r="L24" s="601">
        <f>'Entsorgung Déchets'!J34</f>
        <v>0.00187</v>
      </c>
      <c r="M24" s="601" t="str">
        <f>'Entsorgung Déchets'!K34</f>
        <v/>
      </c>
      <c r="N24" s="601">
        <f>'Entsorgung Déchets'!L34</f>
        <v>0.00187</v>
      </c>
      <c r="O24" s="601">
        <f>'Entsorgung Déchets'!M34</f>
        <v>0.0856</v>
      </c>
      <c r="P24" s="601" t="str">
        <f>'Entsorgung Déchets'!N34</f>
        <v/>
      </c>
      <c r="Q24" s="601">
        <f>'Entsorgung Déchets'!O34</f>
        <v>0.0856</v>
      </c>
      <c r="R24" s="601">
        <f>'Entsorgung Déchets'!P34</f>
        <v>2.4</v>
      </c>
      <c r="S24" s="601" t="str">
        <f>'Entsorgung Déchets'!Q34</f>
        <v/>
      </c>
      <c r="T24" s="601">
        <f>'Entsorgung Déchets'!R34</f>
        <v>2.4</v>
      </c>
      <c r="U24" s="2" t="str">
        <f>'Entsorgung Déchets'!C34</f>
        <v>kg</v>
      </c>
      <c r="V24" s="2" t="str">
        <f t="shared" si="3"/>
        <v>mass</v>
      </c>
      <c r="W24" s="2"/>
      <c r="X24" s="2" t="str">
        <f t="shared" si="4"/>
        <v>91.023</v>
      </c>
      <c r="Y24" s="7" t="s">
        <v>203</v>
      </c>
      <c r="Z24" s="7" t="s">
        <v>204</v>
      </c>
      <c r="AA24" s="414">
        <v>60.0</v>
      </c>
    </row>
    <row r="25">
      <c r="A25" s="2" t="str">
        <f>'Entsorgung Déchets'!A35 &amp; " " &amp; 'Entsorgung Déchets'!B35 &amp; " (KBOB.2016)"</f>
        <v>91.024 Entsorgung, Gebäude, Aussentüre, Holz-Aluminium, in Beseitigung (KBOB.2016)</v>
      </c>
      <c r="B25" s="2" t="str">
        <f t="shared" si="1"/>
        <v>91.024 Entsorgung, Gebäude, Aussentüre, Holz-Aluminium, in Beseitigung (KBOB.2016)</v>
      </c>
      <c r="C25" s="2"/>
      <c r="D25" s="2"/>
      <c r="E25" s="2"/>
      <c r="F25" s="2" t="s">
        <v>186</v>
      </c>
      <c r="G25" s="2" t="str">
        <f t="shared" si="2"/>
        <v>OTHER_RESOURCE_DISPOSAL_CONSTRUCTION_MATERIAL</v>
      </c>
      <c r="H25" s="2"/>
      <c r="I25" s="600">
        <f>'Entsorgung Déchets'!D35</f>
        <v>4680</v>
      </c>
      <c r="J25" s="600" t="str">
        <f>'Entsorgung Déchets'!E35</f>
        <v/>
      </c>
      <c r="K25" s="600">
        <f>'Entsorgung Déchets'!F35</f>
        <v>4680</v>
      </c>
      <c r="L25" s="601">
        <f>'Entsorgung Déchets'!J35</f>
        <v>0.116</v>
      </c>
      <c r="M25" s="601" t="str">
        <f>'Entsorgung Déchets'!K35</f>
        <v/>
      </c>
      <c r="N25" s="601">
        <f>'Entsorgung Déchets'!L35</f>
        <v>0.116</v>
      </c>
      <c r="O25" s="601">
        <f>'Entsorgung Déchets'!M35</f>
        <v>8.66</v>
      </c>
      <c r="P25" s="601" t="str">
        <f>'Entsorgung Déchets'!N35</f>
        <v/>
      </c>
      <c r="Q25" s="601">
        <f>'Entsorgung Déchets'!O35</f>
        <v>8.66</v>
      </c>
      <c r="R25" s="601">
        <f>'Entsorgung Déchets'!P35</f>
        <v>3.27</v>
      </c>
      <c r="S25" s="601" t="str">
        <f>'Entsorgung Déchets'!Q35</f>
        <v/>
      </c>
      <c r="T25" s="601">
        <f>'Entsorgung Déchets'!R35</f>
        <v>3.27</v>
      </c>
      <c r="U25" s="2" t="str">
        <f>'Entsorgung Déchets'!C35</f>
        <v>m2</v>
      </c>
      <c r="V25" s="2" t="str">
        <f t="shared" si="3"/>
        <v>area</v>
      </c>
      <c r="W25" s="2"/>
      <c r="X25" s="2" t="str">
        <f t="shared" si="4"/>
        <v>91.024</v>
      </c>
      <c r="Y25" s="7" t="s">
        <v>203</v>
      </c>
      <c r="Z25" s="7" t="s">
        <v>204</v>
      </c>
      <c r="AA25" s="414">
        <v>60.0</v>
      </c>
    </row>
    <row r="26">
      <c r="A26" s="2" t="str">
        <f>'Entsorgung Déchets'!A36 &amp; " " &amp; 'Entsorgung Déchets'!B36 &amp; " (KBOB.2016)"</f>
        <v>91.025 Entsorgung, Gebäude, Aussentüre, Holz-Glas, in Beseitigung (KBOB.2016)</v>
      </c>
      <c r="B26" s="2" t="str">
        <f t="shared" si="1"/>
        <v>91.025 Entsorgung, Gebäude, Aussentüre, Holz-Glas, in Beseitigung (KBOB.2016)</v>
      </c>
      <c r="C26" s="2"/>
      <c r="D26" s="2"/>
      <c r="E26" s="2"/>
      <c r="F26" s="2" t="s">
        <v>186</v>
      </c>
      <c r="G26" s="2" t="str">
        <f t="shared" si="2"/>
        <v>OTHER_RESOURCE_DISPOSAL_CONSTRUCTION_MATERIAL</v>
      </c>
      <c r="H26" s="2"/>
      <c r="I26" s="600">
        <f>'Entsorgung Déchets'!D36</f>
        <v>5500</v>
      </c>
      <c r="J26" s="600" t="str">
        <f>'Entsorgung Déchets'!E36</f>
        <v/>
      </c>
      <c r="K26" s="600">
        <f>'Entsorgung Déchets'!F36</f>
        <v>5500</v>
      </c>
      <c r="L26" s="601">
        <f>'Entsorgung Déchets'!J36</f>
        <v>0.11</v>
      </c>
      <c r="M26" s="601" t="str">
        <f>'Entsorgung Déchets'!K36</f>
        <v/>
      </c>
      <c r="N26" s="601">
        <f>'Entsorgung Déchets'!L36</f>
        <v>0.11</v>
      </c>
      <c r="O26" s="601">
        <f>'Entsorgung Déchets'!M36</f>
        <v>8.39</v>
      </c>
      <c r="P26" s="601" t="str">
        <f>'Entsorgung Déchets'!N36</f>
        <v/>
      </c>
      <c r="Q26" s="601">
        <f>'Entsorgung Déchets'!O36</f>
        <v>8.39</v>
      </c>
      <c r="R26" s="601">
        <f>'Entsorgung Déchets'!P36</f>
        <v>5.62</v>
      </c>
      <c r="S26" s="601" t="str">
        <f>'Entsorgung Déchets'!Q36</f>
        <v/>
      </c>
      <c r="T26" s="601">
        <f>'Entsorgung Déchets'!R36</f>
        <v>5.62</v>
      </c>
      <c r="U26" s="2" t="str">
        <f>'Entsorgung Déchets'!C36</f>
        <v>m2</v>
      </c>
      <c r="V26" s="2" t="str">
        <f t="shared" si="3"/>
        <v>area</v>
      </c>
      <c r="W26" s="2"/>
      <c r="X26" s="2" t="str">
        <f t="shared" si="4"/>
        <v>91.025</v>
      </c>
      <c r="Y26" s="7" t="s">
        <v>203</v>
      </c>
      <c r="Z26" s="7" t="s">
        <v>204</v>
      </c>
      <c r="AA26" s="414">
        <v>60.0</v>
      </c>
    </row>
    <row r="27">
      <c r="A27" s="2" t="str">
        <f>'Entsorgung Déchets'!A37 &amp; " " &amp; 'Entsorgung Déchets'!B37 &amp; " (KBOB.2016)"</f>
        <v>91.026 Entsorgung, Gebäude, Backstein, in Beseitigung (KBOB.2016)</v>
      </c>
      <c r="B27" s="2" t="str">
        <f t="shared" si="1"/>
        <v>91.026 Entsorgung, Gebäude, Backstein, in Beseitigung (KBOB.2016)</v>
      </c>
      <c r="C27" s="2"/>
      <c r="D27" s="2"/>
      <c r="E27" s="2"/>
      <c r="F27" s="2" t="s">
        <v>186</v>
      </c>
      <c r="G27" s="2" t="str">
        <f t="shared" si="2"/>
        <v>OTHER_RESOURCE_DISPOSAL_CONSTRUCTION_MATERIAL</v>
      </c>
      <c r="H27" s="2"/>
      <c r="I27" s="600">
        <f>'Entsorgung Déchets'!D37</f>
        <v>34.5</v>
      </c>
      <c r="J27" s="600" t="str">
        <f>'Entsorgung Déchets'!E37</f>
        <v/>
      </c>
      <c r="K27" s="600">
        <f>'Entsorgung Déchets'!F37</f>
        <v>34.5</v>
      </c>
      <c r="L27" s="601">
        <f>'Entsorgung Déchets'!J37</f>
        <v>0.000732</v>
      </c>
      <c r="M27" s="601" t="str">
        <f>'Entsorgung Déchets'!K37</f>
        <v/>
      </c>
      <c r="N27" s="601">
        <f>'Entsorgung Déchets'!L37</f>
        <v>0.000732</v>
      </c>
      <c r="O27" s="601">
        <f>'Entsorgung Déchets'!M37</f>
        <v>0.0817</v>
      </c>
      <c r="P27" s="601" t="str">
        <f>'Entsorgung Déchets'!N37</f>
        <v/>
      </c>
      <c r="Q27" s="601">
        <f>'Entsorgung Déchets'!O37</f>
        <v>0.0817</v>
      </c>
      <c r="R27" s="601">
        <f>'Entsorgung Déchets'!P37</f>
        <v>0.0134</v>
      </c>
      <c r="S27" s="601" t="str">
        <f>'Entsorgung Déchets'!Q37</f>
        <v/>
      </c>
      <c r="T27" s="601">
        <f>'Entsorgung Déchets'!R37</f>
        <v>0.0134</v>
      </c>
      <c r="U27" s="2" t="str">
        <f>'Entsorgung Déchets'!C37</f>
        <v>kg</v>
      </c>
      <c r="V27" s="2" t="str">
        <f t="shared" si="3"/>
        <v>mass</v>
      </c>
      <c r="W27" s="2"/>
      <c r="X27" s="2" t="str">
        <f t="shared" si="4"/>
        <v>91.026</v>
      </c>
      <c r="Y27" s="7" t="s">
        <v>203</v>
      </c>
      <c r="Z27" s="7" t="s">
        <v>204</v>
      </c>
      <c r="AA27" s="414">
        <v>60.0</v>
      </c>
    </row>
    <row r="28">
      <c r="A28" s="2" t="str">
        <f>'Entsorgung Déchets'!A38 &amp; " " &amp; 'Entsorgung Déchets'!B38 &amp; " (KBOB.2016)"</f>
        <v>91.027 Entsorgung, Gebäude, Bitumenbahn, in Beseitigung (KBOB.2016)</v>
      </c>
      <c r="B28" s="2" t="str">
        <f t="shared" si="1"/>
        <v>91.027 Entsorgung, Gebäude, Bitumenbahn, in Beseitigung (KBOB.2016)</v>
      </c>
      <c r="C28" s="2"/>
      <c r="D28" s="2"/>
      <c r="E28" s="2"/>
      <c r="F28" s="2" t="s">
        <v>186</v>
      </c>
      <c r="G28" s="2" t="str">
        <f t="shared" si="2"/>
        <v>OTHER_RESOURCE_DISPOSAL_CONSTRUCTION_MATERIAL</v>
      </c>
      <c r="H28" s="2"/>
      <c r="I28" s="600">
        <f>'Entsorgung Déchets'!D38</f>
        <v>1180</v>
      </c>
      <c r="J28" s="600" t="str">
        <f>'Entsorgung Déchets'!E38</f>
        <v/>
      </c>
      <c r="K28" s="600">
        <f>'Entsorgung Déchets'!F38</f>
        <v>1180</v>
      </c>
      <c r="L28" s="601">
        <f>'Entsorgung Déchets'!J38</f>
        <v>0.0078</v>
      </c>
      <c r="M28" s="601" t="str">
        <f>'Entsorgung Déchets'!K38</f>
        <v/>
      </c>
      <c r="N28" s="601">
        <f>'Entsorgung Déchets'!L38</f>
        <v>0.0078</v>
      </c>
      <c r="O28" s="601">
        <f>'Entsorgung Déchets'!M38</f>
        <v>0.217</v>
      </c>
      <c r="P28" s="601" t="str">
        <f>'Entsorgung Déchets'!N38</f>
        <v/>
      </c>
      <c r="Q28" s="601">
        <f>'Entsorgung Déchets'!O38</f>
        <v>0.217</v>
      </c>
      <c r="R28" s="601">
        <f>'Entsorgung Déchets'!P38</f>
        <v>2.37</v>
      </c>
      <c r="S28" s="601" t="str">
        <f>'Entsorgung Déchets'!Q38</f>
        <v/>
      </c>
      <c r="T28" s="601">
        <f>'Entsorgung Déchets'!R38</f>
        <v>2.37</v>
      </c>
      <c r="U28" s="2" t="str">
        <f>'Entsorgung Déchets'!C38</f>
        <v>kg</v>
      </c>
      <c r="V28" s="2" t="str">
        <f t="shared" si="3"/>
        <v>mass</v>
      </c>
      <c r="W28" s="2"/>
      <c r="X28" s="2" t="str">
        <f t="shared" si="4"/>
        <v>91.027</v>
      </c>
      <c r="Y28" s="7" t="s">
        <v>203</v>
      </c>
      <c r="Z28" s="7" t="s">
        <v>204</v>
      </c>
      <c r="AA28" s="414">
        <v>60.0</v>
      </c>
    </row>
    <row r="29">
      <c r="A29" s="2" t="str">
        <f>'Entsorgung Déchets'!A39 &amp; " " &amp; 'Entsorgung Déchets'!B39 &amp; " (KBOB.2016)"</f>
        <v>91.028 Entsorgung, Gebäude, EPS-Isolation flammgeschützt, in Beseitigung (KBOB.2016)</v>
      </c>
      <c r="B29" s="2" t="str">
        <f t="shared" si="1"/>
        <v>91.028 Entsorgung, Gebäude, EPS-Isolation flammgeschützt, in Beseitigung (KBOB.2016)</v>
      </c>
      <c r="C29" s="2"/>
      <c r="D29" s="2"/>
      <c r="E29" s="2"/>
      <c r="F29" s="2" t="s">
        <v>186</v>
      </c>
      <c r="G29" s="2" t="str">
        <f t="shared" si="2"/>
        <v>OTHER_RESOURCE_DISPOSAL_CONSTRUCTION_MATERIAL</v>
      </c>
      <c r="H29" s="2"/>
      <c r="I29" s="600">
        <f>'Entsorgung Déchets'!D39</f>
        <v>1570</v>
      </c>
      <c r="J29" s="600" t="str">
        <f>'Entsorgung Déchets'!E39</f>
        <v/>
      </c>
      <c r="K29" s="600">
        <f>'Entsorgung Déchets'!F39</f>
        <v>1570</v>
      </c>
      <c r="L29" s="601">
        <f>'Entsorgung Déchets'!J39</f>
        <v>0.00236</v>
      </c>
      <c r="M29" s="601" t="str">
        <f>'Entsorgung Déchets'!K39</f>
        <v/>
      </c>
      <c r="N29" s="601">
        <f>'Entsorgung Déchets'!L39</f>
        <v>0.00236</v>
      </c>
      <c r="O29" s="601">
        <f>'Entsorgung Déchets'!M39</f>
        <v>0.133</v>
      </c>
      <c r="P29" s="601" t="str">
        <f>'Entsorgung Déchets'!N39</f>
        <v/>
      </c>
      <c r="Q29" s="601">
        <f>'Entsorgung Déchets'!O39</f>
        <v>0.133</v>
      </c>
      <c r="R29" s="601">
        <f>'Entsorgung Déchets'!P39</f>
        <v>3.19</v>
      </c>
      <c r="S29" s="601" t="str">
        <f>'Entsorgung Déchets'!Q39</f>
        <v/>
      </c>
      <c r="T29" s="601">
        <f>'Entsorgung Déchets'!R39</f>
        <v>3.19</v>
      </c>
      <c r="U29" s="2" t="str">
        <f>'Entsorgung Déchets'!C39</f>
        <v>kg</v>
      </c>
      <c r="V29" s="2" t="str">
        <f t="shared" si="3"/>
        <v>mass</v>
      </c>
      <c r="W29" s="2"/>
      <c r="X29" s="2" t="str">
        <f t="shared" si="4"/>
        <v>91.028</v>
      </c>
      <c r="Y29" s="7" t="s">
        <v>203</v>
      </c>
      <c r="Z29" s="7" t="s">
        <v>204</v>
      </c>
      <c r="AA29" s="414">
        <v>60.0</v>
      </c>
    </row>
    <row r="30">
      <c r="A30" s="2" t="str">
        <f>'Entsorgung Déchets'!A40 &amp; " " &amp; 'Entsorgung Déchets'!B40 &amp; " (KBOB.2016)"</f>
        <v>91.029 Entsorgung, Gebäude, Fensterrahmen, Holz, in Beseitigung (KBOB.2016)</v>
      </c>
      <c r="B30" s="2" t="str">
        <f t="shared" si="1"/>
        <v>91.029 Entsorgung, Gebäude, Fensterrahmen, Holz, in Beseitigung (KBOB.2016)</v>
      </c>
      <c r="C30" s="2"/>
      <c r="D30" s="2"/>
      <c r="E30" s="2"/>
      <c r="F30" s="2" t="s">
        <v>186</v>
      </c>
      <c r="G30" s="2" t="str">
        <f t="shared" si="2"/>
        <v>OTHER_RESOURCE_DISPOSAL_CONSTRUCTION_MATERIAL</v>
      </c>
      <c r="H30" s="2"/>
      <c r="I30" s="600">
        <f>'Entsorgung Déchets'!D40</f>
        <v>15900</v>
      </c>
      <c r="J30" s="600" t="str">
        <f>'Entsorgung Déchets'!E40</f>
        <v/>
      </c>
      <c r="K30" s="600">
        <f>'Entsorgung Déchets'!F40</f>
        <v>15900</v>
      </c>
      <c r="L30" s="601">
        <f>'Entsorgung Déchets'!J40</f>
        <v>0.136</v>
      </c>
      <c r="M30" s="601" t="str">
        <f>'Entsorgung Déchets'!K40</f>
        <v/>
      </c>
      <c r="N30" s="601">
        <f>'Entsorgung Déchets'!L40</f>
        <v>0.136</v>
      </c>
      <c r="O30" s="601">
        <f>'Entsorgung Déchets'!M40</f>
        <v>8.09</v>
      </c>
      <c r="P30" s="601" t="str">
        <f>'Entsorgung Déchets'!N40</f>
        <v/>
      </c>
      <c r="Q30" s="601">
        <f>'Entsorgung Déchets'!O40</f>
        <v>8.09</v>
      </c>
      <c r="R30" s="601">
        <f>'Entsorgung Déchets'!P40</f>
        <v>19.6</v>
      </c>
      <c r="S30" s="601" t="str">
        <f>'Entsorgung Déchets'!Q40</f>
        <v/>
      </c>
      <c r="T30" s="601">
        <f>'Entsorgung Déchets'!R40</f>
        <v>19.6</v>
      </c>
      <c r="U30" s="2" t="str">
        <f>'Entsorgung Déchets'!C40</f>
        <v>m2</v>
      </c>
      <c r="V30" s="2" t="str">
        <f t="shared" si="3"/>
        <v>area</v>
      </c>
      <c r="W30" s="2"/>
      <c r="X30" s="2" t="str">
        <f t="shared" si="4"/>
        <v>91.029</v>
      </c>
      <c r="Y30" s="7" t="s">
        <v>203</v>
      </c>
      <c r="Z30" s="7" t="s">
        <v>204</v>
      </c>
      <c r="AA30" s="414">
        <v>60.0</v>
      </c>
    </row>
    <row r="31">
      <c r="A31" s="2" t="str">
        <f>'Entsorgung Déchets'!A41 &amp; " " &amp; 'Entsorgung Déchets'!B41 &amp; " (KBOB.2016)"</f>
        <v>91.030 Entsorgung, Gebäude, Fensterrahmen, Holz-Metall, in Beseitigung (KBOB.2016)</v>
      </c>
      <c r="B31" s="2" t="str">
        <f t="shared" si="1"/>
        <v>91.030 Entsorgung, Gebäude, Fensterrahmen, Holz-Metall, in Beseitigung (KBOB.2016)</v>
      </c>
      <c r="C31" s="2"/>
      <c r="D31" s="2"/>
      <c r="E31" s="2"/>
      <c r="F31" s="2" t="s">
        <v>186</v>
      </c>
      <c r="G31" s="2" t="str">
        <f t="shared" si="2"/>
        <v>OTHER_RESOURCE_DISPOSAL_CONSTRUCTION_MATERIAL</v>
      </c>
      <c r="H31" s="2"/>
      <c r="I31" s="600">
        <f>'Entsorgung Déchets'!D41</f>
        <v>18400</v>
      </c>
      <c r="J31" s="600" t="str">
        <f>'Entsorgung Déchets'!E41</f>
        <v/>
      </c>
      <c r="K31" s="600">
        <f>'Entsorgung Déchets'!F41</f>
        <v>18400</v>
      </c>
      <c r="L31" s="601">
        <f>'Entsorgung Déchets'!J41</f>
        <v>0.138</v>
      </c>
      <c r="M31" s="601" t="str">
        <f>'Entsorgung Déchets'!K41</f>
        <v/>
      </c>
      <c r="N31" s="601">
        <f>'Entsorgung Déchets'!L41</f>
        <v>0.138</v>
      </c>
      <c r="O31" s="601">
        <f>'Entsorgung Déchets'!M41</f>
        <v>7.75</v>
      </c>
      <c r="P31" s="601" t="str">
        <f>'Entsorgung Déchets'!N41</f>
        <v/>
      </c>
      <c r="Q31" s="601">
        <f>'Entsorgung Déchets'!O41</f>
        <v>7.75</v>
      </c>
      <c r="R31" s="601">
        <f>'Entsorgung Déchets'!P41</f>
        <v>25.7</v>
      </c>
      <c r="S31" s="601" t="str">
        <f>'Entsorgung Déchets'!Q41</f>
        <v/>
      </c>
      <c r="T31" s="601">
        <f>'Entsorgung Déchets'!R41</f>
        <v>25.7</v>
      </c>
      <c r="U31" s="2" t="str">
        <f>'Entsorgung Déchets'!C41</f>
        <v>m2</v>
      </c>
      <c r="V31" s="2" t="str">
        <f t="shared" si="3"/>
        <v>area</v>
      </c>
      <c r="W31" s="2"/>
      <c r="X31" s="2" t="str">
        <f t="shared" si="4"/>
        <v>91.030</v>
      </c>
      <c r="Y31" s="7" t="s">
        <v>203</v>
      </c>
      <c r="Z31" s="7" t="s">
        <v>204</v>
      </c>
      <c r="AA31" s="414">
        <v>60.0</v>
      </c>
    </row>
    <row r="32">
      <c r="A32" s="2" t="str">
        <f>'Entsorgung Déchets'!A42 &amp; " " &amp; 'Entsorgung Déchets'!B42 &amp; " (KBOB.2016)"</f>
        <v>91.031 Entsorgung, Gebäude, Fensterrahmen, Plastik, in Beseitigung (KBOB.2016)</v>
      </c>
      <c r="B32" s="2" t="str">
        <f t="shared" si="1"/>
        <v>91.031 Entsorgung, Gebäude, Fensterrahmen, Plastik, in Beseitigung (KBOB.2016)</v>
      </c>
      <c r="C32" s="2"/>
      <c r="D32" s="2"/>
      <c r="E32" s="2"/>
      <c r="F32" s="2" t="s">
        <v>186</v>
      </c>
      <c r="G32" s="2" t="str">
        <f t="shared" si="2"/>
        <v>OTHER_RESOURCE_DISPOSAL_CONSTRUCTION_MATERIAL</v>
      </c>
      <c r="H32" s="2"/>
      <c r="I32" s="600">
        <f>'Entsorgung Déchets'!D42</f>
        <v>33200</v>
      </c>
      <c r="J32" s="600" t="str">
        <f>'Entsorgung Déchets'!E42</f>
        <v/>
      </c>
      <c r="K32" s="600">
        <f>'Entsorgung Déchets'!F42</f>
        <v>33200</v>
      </c>
      <c r="L32" s="601">
        <f>'Entsorgung Déchets'!J42</f>
        <v>2.42</v>
      </c>
      <c r="M32" s="601" t="str">
        <f>'Entsorgung Déchets'!K42</f>
        <v/>
      </c>
      <c r="N32" s="601">
        <f>'Entsorgung Déchets'!L42</f>
        <v>2.42</v>
      </c>
      <c r="O32" s="601">
        <f>'Entsorgung Déchets'!M42</f>
        <v>28.9</v>
      </c>
      <c r="P32" s="601" t="str">
        <f>'Entsorgung Déchets'!N42</f>
        <v/>
      </c>
      <c r="Q32" s="601">
        <f>'Entsorgung Déchets'!O42</f>
        <v>28.9</v>
      </c>
      <c r="R32" s="601">
        <f>'Entsorgung Déchets'!P42</f>
        <v>57.2</v>
      </c>
      <c r="S32" s="601" t="str">
        <f>'Entsorgung Déchets'!Q42</f>
        <v/>
      </c>
      <c r="T32" s="601">
        <f>'Entsorgung Déchets'!R42</f>
        <v>57.2</v>
      </c>
      <c r="U32" s="2" t="str">
        <f>'Entsorgung Déchets'!C42</f>
        <v>m2</v>
      </c>
      <c r="V32" s="2" t="str">
        <f t="shared" si="3"/>
        <v>area</v>
      </c>
      <c r="W32" s="2"/>
      <c r="X32" s="2" t="str">
        <f t="shared" si="4"/>
        <v>91.031</v>
      </c>
      <c r="Y32" s="7" t="s">
        <v>203</v>
      </c>
      <c r="Z32" s="7" t="s">
        <v>204</v>
      </c>
      <c r="AA32" s="414">
        <v>60.0</v>
      </c>
    </row>
    <row r="33">
      <c r="A33" s="2" t="str">
        <f>'Entsorgung Déchets'!A43 &amp; " " &amp; 'Entsorgung Déchets'!B43 &amp; " (KBOB.2016)"</f>
        <v>91.032 Entsorgung, Gebäude, Flachglas, in Beseitigung (KBOB.2016)</v>
      </c>
      <c r="B33" s="2" t="str">
        <f t="shared" si="1"/>
        <v>91.032 Entsorgung, Gebäude, Flachglas, in Beseitigung (KBOB.2016)</v>
      </c>
      <c r="C33" s="2"/>
      <c r="D33" s="2"/>
      <c r="E33" s="2"/>
      <c r="F33" s="2" t="s">
        <v>186</v>
      </c>
      <c r="G33" s="2" t="str">
        <f t="shared" si="2"/>
        <v>OTHER_RESOURCE_DISPOSAL_CONSTRUCTION_MATERIAL</v>
      </c>
      <c r="H33" s="2"/>
      <c r="I33" s="600">
        <f>'Entsorgung Déchets'!D43</f>
        <v>18.6</v>
      </c>
      <c r="J33" s="600" t="str">
        <f>'Entsorgung Déchets'!E43</f>
        <v/>
      </c>
      <c r="K33" s="600">
        <f>'Entsorgung Déchets'!F43</f>
        <v>18.6</v>
      </c>
      <c r="L33" s="601">
        <f>'Entsorgung Déchets'!J43</f>
        <v>0.000668</v>
      </c>
      <c r="M33" s="601" t="str">
        <f>'Entsorgung Déchets'!K43</f>
        <v/>
      </c>
      <c r="N33" s="601">
        <f>'Entsorgung Déchets'!L43</f>
        <v>0.000668</v>
      </c>
      <c r="O33" s="601">
        <f>'Entsorgung Déchets'!M43</f>
        <v>0.0678</v>
      </c>
      <c r="P33" s="601" t="str">
        <f>'Entsorgung Déchets'!N43</f>
        <v/>
      </c>
      <c r="Q33" s="601">
        <f>'Entsorgung Déchets'!O43</f>
        <v>0.0678</v>
      </c>
      <c r="R33" s="601">
        <f>'Entsorgung Déchets'!P43</f>
        <v>0.00999</v>
      </c>
      <c r="S33" s="601" t="str">
        <f>'Entsorgung Déchets'!Q43</f>
        <v/>
      </c>
      <c r="T33" s="601">
        <f>'Entsorgung Déchets'!R43</f>
        <v>0.00999</v>
      </c>
      <c r="U33" s="2" t="str">
        <f>'Entsorgung Déchets'!C43</f>
        <v>kg</v>
      </c>
      <c r="V33" s="2" t="str">
        <f t="shared" si="3"/>
        <v>mass</v>
      </c>
      <c r="W33" s="2"/>
      <c r="X33" s="2" t="str">
        <f t="shared" si="4"/>
        <v>91.032</v>
      </c>
      <c r="Y33" s="7" t="s">
        <v>203</v>
      </c>
      <c r="Z33" s="7" t="s">
        <v>204</v>
      </c>
      <c r="AA33" s="414">
        <v>60.0</v>
      </c>
    </row>
    <row r="34">
      <c r="A34" s="2" t="str">
        <f>'Entsorgung Déchets'!A44 &amp; " " &amp; 'Entsorgung Déchets'!B44 &amp; " (KBOB.2016)"</f>
        <v>91.033 Entsorgung, Gebäude, Holzzementplatte, in Beseitigung (KBOB.2016)</v>
      </c>
      <c r="B34" s="2" t="str">
        <f t="shared" si="1"/>
        <v>91.033 Entsorgung, Gebäude, Holzzementplatte, in Beseitigung (KBOB.2016)</v>
      </c>
      <c r="C34" s="2"/>
      <c r="D34" s="2"/>
      <c r="E34" s="2"/>
      <c r="F34" s="2" t="s">
        <v>186</v>
      </c>
      <c r="G34" s="2" t="str">
        <f t="shared" si="2"/>
        <v>OTHER_RESOURCE_DISPOSAL_CONSTRUCTION_MATERIAL</v>
      </c>
      <c r="H34" s="2"/>
      <c r="I34" s="600">
        <f>'Entsorgung Déchets'!D44</f>
        <v>52.8</v>
      </c>
      <c r="J34" s="600" t="str">
        <f>'Entsorgung Déchets'!E44</f>
        <v/>
      </c>
      <c r="K34" s="600">
        <f>'Entsorgung Déchets'!F44</f>
        <v>52.8</v>
      </c>
      <c r="L34" s="601">
        <f>'Entsorgung Déchets'!J44</f>
        <v>0.00115</v>
      </c>
      <c r="M34" s="601" t="str">
        <f>'Entsorgung Déchets'!K44</f>
        <v/>
      </c>
      <c r="N34" s="601">
        <f>'Entsorgung Déchets'!L44</f>
        <v>0.00115</v>
      </c>
      <c r="O34" s="601">
        <f>'Entsorgung Déchets'!M44</f>
        <v>0.0766</v>
      </c>
      <c r="P34" s="601" t="str">
        <f>'Entsorgung Déchets'!N44</f>
        <v/>
      </c>
      <c r="Q34" s="601">
        <f>'Entsorgung Déchets'!O44</f>
        <v>0.0766</v>
      </c>
      <c r="R34" s="601">
        <f>'Entsorgung Déchets'!P44</f>
        <v>0.0173</v>
      </c>
      <c r="S34" s="601" t="str">
        <f>'Entsorgung Déchets'!Q44</f>
        <v/>
      </c>
      <c r="T34" s="601">
        <f>'Entsorgung Déchets'!R44</f>
        <v>0.0173</v>
      </c>
      <c r="U34" s="2" t="str">
        <f>'Entsorgung Déchets'!C44</f>
        <v>kg</v>
      </c>
      <c r="V34" s="2" t="str">
        <f t="shared" si="3"/>
        <v>mass</v>
      </c>
      <c r="W34" s="2"/>
      <c r="X34" s="2" t="str">
        <f t="shared" si="4"/>
        <v>91.033</v>
      </c>
      <c r="Y34" s="7" t="s">
        <v>203</v>
      </c>
      <c r="Z34" s="7" t="s">
        <v>204</v>
      </c>
      <c r="AA34" s="414">
        <v>60.0</v>
      </c>
    </row>
    <row r="35">
      <c r="A35" s="2" t="str">
        <f>'Entsorgung Déchets'!A45 &amp; " " &amp; 'Entsorgung Déchets'!B45 &amp; " (KBOB.2016)"</f>
        <v>91.034 Entsorgung, Gebäude, Innentüre, Glas-Holz, in Beseitigung (KBOB.2016)</v>
      </c>
      <c r="B35" s="2" t="str">
        <f t="shared" si="1"/>
        <v>91.034 Entsorgung, Gebäude, Innentüre, Glas-Holz, in Beseitigung (KBOB.2016)</v>
      </c>
      <c r="C35" s="2"/>
      <c r="D35" s="2"/>
      <c r="E35" s="2"/>
      <c r="F35" s="2" t="s">
        <v>186</v>
      </c>
      <c r="G35" s="2" t="str">
        <f t="shared" si="2"/>
        <v>OTHER_RESOURCE_DISPOSAL_CONSTRUCTION_MATERIAL</v>
      </c>
      <c r="H35" s="2"/>
      <c r="I35" s="600">
        <f>'Entsorgung Déchets'!D45</f>
        <v>10600</v>
      </c>
      <c r="J35" s="600" t="str">
        <f>'Entsorgung Déchets'!E45</f>
        <v/>
      </c>
      <c r="K35" s="600">
        <f>'Entsorgung Déchets'!F45</f>
        <v>10600</v>
      </c>
      <c r="L35" s="601">
        <f>'Entsorgung Déchets'!J45</f>
        <v>0.3</v>
      </c>
      <c r="M35" s="601" t="str">
        <f>'Entsorgung Déchets'!K45</f>
        <v/>
      </c>
      <c r="N35" s="601">
        <f>'Entsorgung Déchets'!L45</f>
        <v>0.3</v>
      </c>
      <c r="O35" s="601">
        <f>'Entsorgung Déchets'!M45</f>
        <v>20.5</v>
      </c>
      <c r="P35" s="601" t="str">
        <f>'Entsorgung Déchets'!N45</f>
        <v/>
      </c>
      <c r="Q35" s="601">
        <f>'Entsorgung Déchets'!O45</f>
        <v>20.5</v>
      </c>
      <c r="R35" s="601">
        <f>'Entsorgung Déchets'!P45</f>
        <v>11.6</v>
      </c>
      <c r="S35" s="601" t="str">
        <f>'Entsorgung Déchets'!Q45</f>
        <v/>
      </c>
      <c r="T35" s="601">
        <f>'Entsorgung Déchets'!R45</f>
        <v>11.6</v>
      </c>
      <c r="U35" s="2" t="str">
        <f>'Entsorgung Déchets'!C45</f>
        <v>m2</v>
      </c>
      <c r="V35" s="2" t="str">
        <f t="shared" si="3"/>
        <v>area</v>
      </c>
      <c r="W35" s="2"/>
      <c r="X35" s="2" t="str">
        <f t="shared" si="4"/>
        <v>91.034</v>
      </c>
      <c r="Y35" s="7" t="s">
        <v>203</v>
      </c>
      <c r="Z35" s="7" t="s">
        <v>204</v>
      </c>
      <c r="AA35" s="414">
        <v>60.0</v>
      </c>
    </row>
    <row r="36">
      <c r="A36" s="2" t="str">
        <f>'Entsorgung Déchets'!A46 &amp; " " &amp; 'Entsorgung Déchets'!B46 &amp; " (KBOB.2016)"</f>
        <v>91.035 Entsorgung, Gebäude, Innentüre, Holz, in Beseitigung (KBOB.2016)</v>
      </c>
      <c r="B36" s="2" t="str">
        <f t="shared" si="1"/>
        <v>91.035 Entsorgung, Gebäude, Innentüre, Holz, in Beseitigung (KBOB.2016)</v>
      </c>
      <c r="C36" s="2"/>
      <c r="D36" s="2"/>
      <c r="E36" s="2"/>
      <c r="F36" s="2" t="s">
        <v>186</v>
      </c>
      <c r="G36" s="2" t="str">
        <f t="shared" si="2"/>
        <v>OTHER_RESOURCE_DISPOSAL_CONSTRUCTION_MATERIAL</v>
      </c>
      <c r="H36" s="2"/>
      <c r="I36" s="600">
        <f>'Entsorgung Déchets'!D46</f>
        <v>5370</v>
      </c>
      <c r="J36" s="600" t="str">
        <f>'Entsorgung Déchets'!E46</f>
        <v/>
      </c>
      <c r="K36" s="600">
        <f>'Entsorgung Déchets'!F46</f>
        <v>5370</v>
      </c>
      <c r="L36" s="601">
        <f>'Entsorgung Déchets'!J46</f>
        <v>0.0827</v>
      </c>
      <c r="M36" s="601" t="str">
        <f>'Entsorgung Déchets'!K46</f>
        <v/>
      </c>
      <c r="N36" s="601">
        <f>'Entsorgung Déchets'!L46</f>
        <v>0.0827</v>
      </c>
      <c r="O36" s="601">
        <f>'Entsorgung Déchets'!M46</f>
        <v>4.1</v>
      </c>
      <c r="P36" s="601" t="str">
        <f>'Entsorgung Déchets'!N46</f>
        <v/>
      </c>
      <c r="Q36" s="601">
        <f>'Entsorgung Déchets'!O46</f>
        <v>4.1</v>
      </c>
      <c r="R36" s="601">
        <f>'Entsorgung Déchets'!P46</f>
        <v>7.73</v>
      </c>
      <c r="S36" s="601" t="str">
        <f>'Entsorgung Déchets'!Q46</f>
        <v/>
      </c>
      <c r="T36" s="601">
        <f>'Entsorgung Déchets'!R46</f>
        <v>7.73</v>
      </c>
      <c r="U36" s="2" t="str">
        <f>'Entsorgung Déchets'!C46</f>
        <v>m2</v>
      </c>
      <c r="V36" s="2" t="str">
        <f t="shared" si="3"/>
        <v>area</v>
      </c>
      <c r="W36" s="2"/>
      <c r="X36" s="2" t="str">
        <f t="shared" si="4"/>
        <v>91.035</v>
      </c>
      <c r="Y36" s="7" t="s">
        <v>203</v>
      </c>
      <c r="Z36" s="7" t="s">
        <v>204</v>
      </c>
      <c r="AA36" s="414">
        <v>60.0</v>
      </c>
    </row>
    <row r="37">
      <c r="A37" s="2" t="str">
        <f>'Entsorgung Déchets'!A47 &amp; " " &amp; 'Entsorgung Déchets'!B47 &amp; " (KBOB.2016)"</f>
        <v>91.036 Entsorgung, Gebäude, Mineralwolle, in Beseitigung (KBOB.2016)</v>
      </c>
      <c r="B37" s="2" t="str">
        <f t="shared" si="1"/>
        <v>91.036 Entsorgung, Gebäude, Mineralwolle, in Beseitigung (KBOB.2016)</v>
      </c>
      <c r="C37" s="2"/>
      <c r="D37" s="2"/>
      <c r="E37" s="2"/>
      <c r="F37" s="2" t="s">
        <v>186</v>
      </c>
      <c r="G37" s="2" t="str">
        <f t="shared" si="2"/>
        <v>OTHER_RESOURCE_DISPOSAL_CONSTRUCTION_MATERIAL</v>
      </c>
      <c r="H37" s="2"/>
      <c r="I37" s="600">
        <f>'Entsorgung Déchets'!D47</f>
        <v>29.8</v>
      </c>
      <c r="J37" s="600" t="str">
        <f>'Entsorgung Déchets'!E47</f>
        <v/>
      </c>
      <c r="K37" s="600">
        <f>'Entsorgung Déchets'!F47</f>
        <v>29.8</v>
      </c>
      <c r="L37" s="601">
        <f>'Entsorgung Déchets'!J47</f>
        <v>0.000668</v>
      </c>
      <c r="M37" s="601" t="str">
        <f>'Entsorgung Déchets'!K47</f>
        <v/>
      </c>
      <c r="N37" s="601">
        <f>'Entsorgung Déchets'!L47</f>
        <v>0.000668</v>
      </c>
      <c r="O37" s="601">
        <f>'Entsorgung Déchets'!M47</f>
        <v>0.0678</v>
      </c>
      <c r="P37" s="601" t="str">
        <f>'Entsorgung Déchets'!N47</f>
        <v/>
      </c>
      <c r="Q37" s="601">
        <f>'Entsorgung Déchets'!O47</f>
        <v>0.0678</v>
      </c>
      <c r="R37" s="601">
        <f>'Entsorgung Déchets'!P47</f>
        <v>0.00999</v>
      </c>
      <c r="S37" s="601" t="str">
        <f>'Entsorgung Déchets'!Q47</f>
        <v/>
      </c>
      <c r="T37" s="601">
        <f>'Entsorgung Déchets'!R47</f>
        <v>0.00999</v>
      </c>
      <c r="U37" s="2" t="str">
        <f>'Entsorgung Déchets'!C47</f>
        <v>kg</v>
      </c>
      <c r="V37" s="2" t="str">
        <f t="shared" si="3"/>
        <v>mass</v>
      </c>
      <c r="W37" s="2"/>
      <c r="X37" s="2" t="str">
        <f t="shared" si="4"/>
        <v>91.036</v>
      </c>
      <c r="Y37" s="7" t="s">
        <v>203</v>
      </c>
      <c r="Z37" s="7" t="s">
        <v>204</v>
      </c>
      <c r="AA37" s="414">
        <v>60.0</v>
      </c>
    </row>
    <row r="38">
      <c r="A38" s="2" t="str">
        <f>'Entsorgung Déchets'!A48 &amp; " " &amp; 'Entsorgung Déchets'!B48 &amp; " (KBOB.2016)"</f>
        <v>91.037 Entsorgung, Gebäude, PE-Dichtungsbahn, in Beseitigung (KBOB.2016)</v>
      </c>
      <c r="B38" s="2" t="str">
        <f t="shared" si="1"/>
        <v>91.037 Entsorgung, Gebäude, PE-Dichtungsbahn, in Beseitigung (KBOB.2016)</v>
      </c>
      <c r="C38" s="2"/>
      <c r="D38" s="2"/>
      <c r="E38" s="2"/>
      <c r="F38" s="2" t="s">
        <v>186</v>
      </c>
      <c r="G38" s="2" t="str">
        <f t="shared" si="2"/>
        <v>OTHER_RESOURCE_DISPOSAL_CONSTRUCTION_MATERIAL</v>
      </c>
      <c r="H38" s="2"/>
      <c r="I38" s="600">
        <f>'Entsorgung Déchets'!D48</f>
        <v>1360</v>
      </c>
      <c r="J38" s="600" t="str">
        <f>'Entsorgung Déchets'!E48</f>
        <v/>
      </c>
      <c r="K38" s="600">
        <f>'Entsorgung Déchets'!F48</f>
        <v>1360</v>
      </c>
      <c r="L38" s="601">
        <f>'Entsorgung Déchets'!J48</f>
        <v>0.00226</v>
      </c>
      <c r="M38" s="601" t="str">
        <f>'Entsorgung Déchets'!K48</f>
        <v/>
      </c>
      <c r="N38" s="601">
        <f>'Entsorgung Déchets'!L48</f>
        <v>0.00226</v>
      </c>
      <c r="O38" s="601">
        <f>'Entsorgung Déchets'!M48</f>
        <v>0.133</v>
      </c>
      <c r="P38" s="601" t="str">
        <f>'Entsorgung Déchets'!N48</f>
        <v/>
      </c>
      <c r="Q38" s="601">
        <f>'Entsorgung Déchets'!O48</f>
        <v>0.133</v>
      </c>
      <c r="R38" s="601">
        <f>'Entsorgung Déchets'!P48</f>
        <v>2.58</v>
      </c>
      <c r="S38" s="601" t="str">
        <f>'Entsorgung Déchets'!Q48</f>
        <v/>
      </c>
      <c r="T38" s="601">
        <f>'Entsorgung Déchets'!R48</f>
        <v>2.58</v>
      </c>
      <c r="U38" s="2" t="str">
        <f>'Entsorgung Déchets'!C48</f>
        <v>kg</v>
      </c>
      <c r="V38" s="2" t="str">
        <f t="shared" si="3"/>
        <v>mass</v>
      </c>
      <c r="W38" s="2"/>
      <c r="X38" s="2" t="str">
        <f t="shared" si="4"/>
        <v>91.037</v>
      </c>
      <c r="Y38" s="7" t="s">
        <v>203</v>
      </c>
      <c r="Z38" s="7" t="s">
        <v>204</v>
      </c>
      <c r="AA38" s="414">
        <v>60.0</v>
      </c>
    </row>
    <row r="39">
      <c r="A39" s="2" t="str">
        <f>'Entsorgung Déchets'!A49 &amp; " " &amp; 'Entsorgung Déchets'!B49 &amp; " (KBOB.2016)"</f>
        <v>91.038 Entsorgung, Gebäude, Polyethylen/Polypropylen-Produkte, in Beseitigung (KBOB.2016)</v>
      </c>
      <c r="B39" s="2" t="str">
        <f t="shared" si="1"/>
        <v>91.038 Entsorgung, Gebäude, Polyethylen/Polypropylen-Produkte, in Beseitigung (KBOB.2016)</v>
      </c>
      <c r="C39" s="2"/>
      <c r="D39" s="2"/>
      <c r="E39" s="2"/>
      <c r="F39" s="2" t="s">
        <v>186</v>
      </c>
      <c r="G39" s="2" t="str">
        <f t="shared" si="2"/>
        <v>OTHER_RESOURCE_DISPOSAL_CONSTRUCTION_MATERIAL</v>
      </c>
      <c r="H39" s="2"/>
      <c r="I39" s="600">
        <f>'Entsorgung Déchets'!D49</f>
        <v>1480</v>
      </c>
      <c r="J39" s="600" t="str">
        <f>'Entsorgung Déchets'!E49</f>
        <v/>
      </c>
      <c r="K39" s="600">
        <f>'Entsorgung Déchets'!F49</f>
        <v>1480</v>
      </c>
      <c r="L39" s="601">
        <f>'Entsorgung Déchets'!J49</f>
        <v>0.00217</v>
      </c>
      <c r="M39" s="601" t="str">
        <f>'Entsorgung Déchets'!K49</f>
        <v/>
      </c>
      <c r="N39" s="601">
        <f>'Entsorgung Déchets'!L49</f>
        <v>0.00217</v>
      </c>
      <c r="O39" s="601">
        <f>'Entsorgung Déchets'!M49</f>
        <v>0.132</v>
      </c>
      <c r="P39" s="601" t="str">
        <f>'Entsorgung Déchets'!N49</f>
        <v/>
      </c>
      <c r="Q39" s="601">
        <f>'Entsorgung Déchets'!O49</f>
        <v>0.132</v>
      </c>
      <c r="R39" s="601">
        <f>'Entsorgung Déchets'!P49</f>
        <v>3.03</v>
      </c>
      <c r="S39" s="601" t="str">
        <f>'Entsorgung Déchets'!Q49</f>
        <v/>
      </c>
      <c r="T39" s="601">
        <f>'Entsorgung Déchets'!R49</f>
        <v>3.03</v>
      </c>
      <c r="U39" s="2" t="str">
        <f>'Entsorgung Déchets'!C49</f>
        <v>kg</v>
      </c>
      <c r="V39" s="2" t="str">
        <f t="shared" si="3"/>
        <v>mass</v>
      </c>
      <c r="W39" s="2"/>
      <c r="X39" s="2" t="str">
        <f t="shared" si="4"/>
        <v>91.038</v>
      </c>
      <c r="Y39" s="7" t="s">
        <v>203</v>
      </c>
      <c r="Z39" s="7" t="s">
        <v>204</v>
      </c>
      <c r="AA39" s="414">
        <v>60.0</v>
      </c>
    </row>
    <row r="40">
      <c r="A40" s="2" t="str">
        <f>'Entsorgung Déchets'!A50 &amp; " " &amp; 'Entsorgung Déchets'!B50 &amp; " (KBOB.2016)"</f>
        <v>91.039 Entsorgung, Gebäude, PUR-Schaum, in Beseitigung (KBOB.2016)</v>
      </c>
      <c r="B40" s="2" t="str">
        <f t="shared" si="1"/>
        <v>91.039 Entsorgung, Gebäude, PUR-Schaum, in Beseitigung (KBOB.2016)</v>
      </c>
      <c r="C40" s="2"/>
      <c r="D40" s="2"/>
      <c r="E40" s="2"/>
      <c r="F40" s="2" t="s">
        <v>186</v>
      </c>
      <c r="G40" s="2" t="str">
        <f t="shared" si="2"/>
        <v>OTHER_RESOURCE_DISPOSAL_CONSTRUCTION_MATERIAL</v>
      </c>
      <c r="H40" s="2"/>
      <c r="I40" s="600">
        <f>'Entsorgung Déchets'!D50</f>
        <v>1510</v>
      </c>
      <c r="J40" s="600" t="str">
        <f>'Entsorgung Déchets'!E50</f>
        <v/>
      </c>
      <c r="K40" s="600">
        <f>'Entsorgung Déchets'!F50</f>
        <v>1510</v>
      </c>
      <c r="L40" s="601">
        <f>'Entsorgung Déchets'!J50</f>
        <v>0.0096</v>
      </c>
      <c r="M40" s="601" t="str">
        <f>'Entsorgung Déchets'!K50</f>
        <v/>
      </c>
      <c r="N40" s="601">
        <f>'Entsorgung Déchets'!L50</f>
        <v>0.0096</v>
      </c>
      <c r="O40" s="601">
        <f>'Entsorgung Déchets'!M50</f>
        <v>0.642</v>
      </c>
      <c r="P40" s="601" t="str">
        <f>'Entsorgung Déchets'!N50</f>
        <v/>
      </c>
      <c r="Q40" s="601">
        <f>'Entsorgung Déchets'!O50</f>
        <v>0.642</v>
      </c>
      <c r="R40" s="601">
        <f>'Entsorgung Déchets'!P50</f>
        <v>2.72</v>
      </c>
      <c r="S40" s="601" t="str">
        <f>'Entsorgung Déchets'!Q50</f>
        <v/>
      </c>
      <c r="T40" s="601">
        <f>'Entsorgung Déchets'!R50</f>
        <v>2.72</v>
      </c>
      <c r="U40" s="2" t="str">
        <f>'Entsorgung Déchets'!C50</f>
        <v>kg</v>
      </c>
      <c r="V40" s="2" t="str">
        <f t="shared" si="3"/>
        <v>mass</v>
      </c>
      <c r="W40" s="2"/>
      <c r="X40" s="2" t="str">
        <f t="shared" si="4"/>
        <v>91.039</v>
      </c>
      <c r="Y40" s="7" t="s">
        <v>203</v>
      </c>
      <c r="Z40" s="7" t="s">
        <v>204</v>
      </c>
      <c r="AA40" s="414">
        <v>60.0</v>
      </c>
    </row>
    <row r="41">
      <c r="A41" s="2" t="str">
        <f>'Entsorgung Déchets'!A51 &amp; " " &amp; 'Entsorgung Déchets'!B51 &amp; " (KBOB.2016)"</f>
        <v>91.040 Entsorgung, Gebäude, PVC-Produkte, in Beseitigung (KBOB.2016)</v>
      </c>
      <c r="B41" s="2" t="str">
        <f t="shared" si="1"/>
        <v>91.040 Entsorgung, Gebäude, PVC-Produkte, in Beseitigung (KBOB.2016)</v>
      </c>
      <c r="C41" s="2"/>
      <c r="D41" s="2"/>
      <c r="E41" s="2"/>
      <c r="F41" s="2" t="s">
        <v>186</v>
      </c>
      <c r="G41" s="2" t="str">
        <f t="shared" si="2"/>
        <v>OTHER_RESOURCE_DISPOSAL_CONSTRUCTION_MATERIAL</v>
      </c>
      <c r="H41" s="2"/>
      <c r="I41" s="600">
        <f>'Entsorgung Déchets'!D51</f>
        <v>1180</v>
      </c>
      <c r="J41" s="600" t="str">
        <f>'Entsorgung Déchets'!E51</f>
        <v/>
      </c>
      <c r="K41" s="600">
        <f>'Entsorgung Déchets'!F51</f>
        <v>1180</v>
      </c>
      <c r="L41" s="601">
        <f>'Entsorgung Déchets'!J51</f>
        <v>0.0863</v>
      </c>
      <c r="M41" s="601" t="str">
        <f>'Entsorgung Déchets'!K51</f>
        <v/>
      </c>
      <c r="N41" s="601">
        <f>'Entsorgung Déchets'!L51</f>
        <v>0.0863</v>
      </c>
      <c r="O41" s="601">
        <f>'Entsorgung Déchets'!M51</f>
        <v>1.03</v>
      </c>
      <c r="P41" s="601" t="str">
        <f>'Entsorgung Déchets'!N51</f>
        <v/>
      </c>
      <c r="Q41" s="601">
        <f>'Entsorgung Déchets'!O51</f>
        <v>1.03</v>
      </c>
      <c r="R41" s="601">
        <f>'Entsorgung Déchets'!P51</f>
        <v>2.04</v>
      </c>
      <c r="S41" s="601" t="str">
        <f>'Entsorgung Déchets'!Q51</f>
        <v/>
      </c>
      <c r="T41" s="601">
        <f>'Entsorgung Déchets'!R51</f>
        <v>2.04</v>
      </c>
      <c r="U41" s="2" t="str">
        <f>'Entsorgung Déchets'!C51</f>
        <v>kg</v>
      </c>
      <c r="V41" s="2" t="str">
        <f t="shared" si="3"/>
        <v>mass</v>
      </c>
      <c r="W41" s="2"/>
      <c r="X41" s="2" t="str">
        <f t="shared" si="4"/>
        <v>91.040</v>
      </c>
      <c r="Y41" s="7" t="s">
        <v>203</v>
      </c>
      <c r="Z41" s="7" t="s">
        <v>204</v>
      </c>
      <c r="AA41" s="414">
        <v>60.0</v>
      </c>
    </row>
    <row r="42">
      <c r="A42" s="2" t="str">
        <f>'Entsorgung Déchets'!A52 &amp; " " &amp; 'Entsorgung Déchets'!B52 &amp; " (KBOB.2016)"</f>
        <v>91.041 Entsorgung, Gebäude, Spanplatte, in Beseitigung (KBOB.2016)</v>
      </c>
      <c r="B42" s="2" t="str">
        <f t="shared" si="1"/>
        <v>91.041 Entsorgung, Gebäude, Spanplatte, in Beseitigung (KBOB.2016)</v>
      </c>
      <c r="C42" s="2"/>
      <c r="D42" s="2"/>
      <c r="E42" s="2"/>
      <c r="F42" s="2" t="s">
        <v>186</v>
      </c>
      <c r="G42" s="2" t="str">
        <f t="shared" si="2"/>
        <v>OTHER_RESOURCE_DISPOSAL_CONSTRUCTION_MATERIAL</v>
      </c>
      <c r="H42" s="2"/>
      <c r="I42" s="600">
        <f>'Entsorgung Déchets'!D52</f>
        <v>159</v>
      </c>
      <c r="J42" s="600" t="str">
        <f>'Entsorgung Déchets'!E52</f>
        <v/>
      </c>
      <c r="K42" s="600">
        <f>'Entsorgung Déchets'!F52</f>
        <v>159</v>
      </c>
      <c r="L42" s="601">
        <f>'Entsorgung Déchets'!J52</f>
        <v>0.00167</v>
      </c>
      <c r="M42" s="601" t="str">
        <f>'Entsorgung Déchets'!K52</f>
        <v/>
      </c>
      <c r="N42" s="601">
        <f>'Entsorgung Déchets'!L52</f>
        <v>0.00167</v>
      </c>
      <c r="O42" s="601">
        <f>'Entsorgung Déchets'!M52</f>
        <v>0.106</v>
      </c>
      <c r="P42" s="601" t="str">
        <f>'Entsorgung Déchets'!N52</f>
        <v/>
      </c>
      <c r="Q42" s="601">
        <f>'Entsorgung Déchets'!O52</f>
        <v>0.106</v>
      </c>
      <c r="R42" s="601">
        <f>'Entsorgung Déchets'!P52</f>
        <v>0.221</v>
      </c>
      <c r="S42" s="601" t="str">
        <f>'Entsorgung Déchets'!Q52</f>
        <v/>
      </c>
      <c r="T42" s="601">
        <f>'Entsorgung Déchets'!R52</f>
        <v>0.221</v>
      </c>
      <c r="U42" s="2" t="str">
        <f>'Entsorgung Déchets'!C52</f>
        <v>kg</v>
      </c>
      <c r="V42" s="2" t="str">
        <f t="shared" si="3"/>
        <v>mass</v>
      </c>
      <c r="W42" s="2"/>
      <c r="X42" s="2" t="str">
        <f t="shared" si="4"/>
        <v>91.041</v>
      </c>
      <c r="Y42" s="7" t="s">
        <v>203</v>
      </c>
      <c r="Z42" s="7" t="s">
        <v>204</v>
      </c>
      <c r="AA42" s="414">
        <v>60.0</v>
      </c>
    </row>
    <row r="43">
      <c r="A43" s="2" t="str">
        <f>'Entsorgung Déchets'!A53 &amp; " " &amp; 'Entsorgung Déchets'!B53 &amp; " (KBOB.2016)"</f>
        <v>91.042 Entsorgungsmix, Isolierverglasung 2-fach, Ug-Wert 1.1 W/m2K, Dicke 24 mm (KBOB.2016)</v>
      </c>
      <c r="B43" s="2" t="str">
        <f t="shared" si="1"/>
        <v>91.042 Entsorgungsmix, Isolierverglasung 2-fach, Ug-Wert 1.1 W/m2K, Dicke 24 mm (KBOB.2016)</v>
      </c>
      <c r="C43" s="2"/>
      <c r="D43" s="2"/>
      <c r="E43" s="2"/>
      <c r="F43" s="2" t="s">
        <v>186</v>
      </c>
      <c r="G43" s="2" t="str">
        <f t="shared" si="2"/>
        <v>OTHER_RESOURCE_DISPOSAL_CONSTRUCTION_MATERIAL</v>
      </c>
      <c r="H43" s="2"/>
      <c r="I43" s="600">
        <f>'Entsorgung Déchets'!D53</f>
        <v>2180</v>
      </c>
      <c r="J43" s="600" t="str">
        <f>'Entsorgung Déchets'!E53</f>
        <v/>
      </c>
      <c r="K43" s="600">
        <f>'Entsorgung Déchets'!F53</f>
        <v>2180</v>
      </c>
      <c r="L43" s="601">
        <f>'Entsorgung Déchets'!J53</f>
        <v>0.0176</v>
      </c>
      <c r="M43" s="601" t="str">
        <f>'Entsorgung Déchets'!K53</f>
        <v/>
      </c>
      <c r="N43" s="601">
        <f>'Entsorgung Déchets'!L53</f>
        <v>0.0176</v>
      </c>
      <c r="O43" s="601">
        <f>'Entsorgung Déchets'!M53</f>
        <v>1.35</v>
      </c>
      <c r="P43" s="601" t="str">
        <f>'Entsorgung Déchets'!N53</f>
        <v/>
      </c>
      <c r="Q43" s="601">
        <f>'Entsorgung Déchets'!O53</f>
        <v>1.35</v>
      </c>
      <c r="R43" s="601">
        <f>'Entsorgung Déchets'!P53</f>
        <v>3.88</v>
      </c>
      <c r="S43" s="601" t="str">
        <f>'Entsorgung Déchets'!Q53</f>
        <v/>
      </c>
      <c r="T43" s="601">
        <f>'Entsorgung Déchets'!R53</f>
        <v>3.88</v>
      </c>
      <c r="U43" s="2" t="str">
        <f>'Entsorgung Déchets'!C53</f>
        <v>m2</v>
      </c>
      <c r="V43" s="2" t="str">
        <f t="shared" si="3"/>
        <v>area</v>
      </c>
      <c r="W43" s="2"/>
      <c r="X43" s="2" t="str">
        <f t="shared" si="4"/>
        <v>91.042</v>
      </c>
      <c r="Y43" s="7" t="s">
        <v>203</v>
      </c>
      <c r="Z43" s="7" t="s">
        <v>204</v>
      </c>
      <c r="AA43" s="414">
        <v>60.0</v>
      </c>
    </row>
    <row r="44">
      <c r="A44" s="2" t="str">
        <f>'Entsorgung Déchets'!A54 &amp; " " &amp; 'Entsorgung Déchets'!B54 &amp; " (KBOB.2016)"</f>
        <v>91.043 Entsorgungsmix, Isolierverglasung 2-fach, VSG, Ug-Wert 1.1 W/m2K (KBOB.2016)</v>
      </c>
      <c r="B44" s="2" t="str">
        <f t="shared" si="1"/>
        <v>91.043 Entsorgungsmix, Isolierverglasung 2-fach, VSG, Ug-Wert 1.1 W/m2K (KBOB.2016)</v>
      </c>
      <c r="C44" s="2"/>
      <c r="D44" s="2"/>
      <c r="E44" s="2"/>
      <c r="F44" s="2" t="s">
        <v>186</v>
      </c>
      <c r="G44" s="2" t="str">
        <f t="shared" si="2"/>
        <v>OTHER_RESOURCE_DISPOSAL_CONSTRUCTION_MATERIAL</v>
      </c>
      <c r="H44" s="2"/>
      <c r="I44" s="600">
        <f>'Entsorgung Déchets'!D54</f>
        <v>3900</v>
      </c>
      <c r="J44" s="600" t="str">
        <f>'Entsorgung Déchets'!E54</f>
        <v/>
      </c>
      <c r="K44" s="600">
        <f>'Entsorgung Déchets'!F54</f>
        <v>3900</v>
      </c>
      <c r="L44" s="601">
        <f>'Entsorgung Déchets'!J54</f>
        <v>0.0249</v>
      </c>
      <c r="M44" s="601" t="str">
        <f>'Entsorgung Déchets'!K54</f>
        <v/>
      </c>
      <c r="N44" s="601">
        <f>'Entsorgung Déchets'!L54</f>
        <v>0.0249</v>
      </c>
      <c r="O44" s="601">
        <f>'Entsorgung Déchets'!M54</f>
        <v>2.05</v>
      </c>
      <c r="P44" s="601" t="str">
        <f>'Entsorgung Déchets'!N54</f>
        <v/>
      </c>
      <c r="Q44" s="601">
        <f>'Entsorgung Déchets'!O54</f>
        <v>2.05</v>
      </c>
      <c r="R44" s="601">
        <f>'Entsorgung Déchets'!P54</f>
        <v>7.16</v>
      </c>
      <c r="S44" s="601" t="str">
        <f>'Entsorgung Déchets'!Q54</f>
        <v/>
      </c>
      <c r="T44" s="601">
        <f>'Entsorgung Déchets'!R54</f>
        <v>7.16</v>
      </c>
      <c r="U44" s="2" t="str">
        <f>'Entsorgung Déchets'!C54</f>
        <v>m2</v>
      </c>
      <c r="V44" s="2" t="str">
        <f t="shared" si="3"/>
        <v>area</v>
      </c>
      <c r="W44" s="2"/>
      <c r="X44" s="2" t="str">
        <f t="shared" si="4"/>
        <v>91.043</v>
      </c>
      <c r="Y44" s="7" t="s">
        <v>203</v>
      </c>
      <c r="Z44" s="7" t="s">
        <v>204</v>
      </c>
      <c r="AA44" s="414">
        <v>60.0</v>
      </c>
    </row>
    <row r="45">
      <c r="A45" s="2" t="str">
        <f>'Entsorgung Déchets'!A55 &amp; " " &amp; 'Entsorgung Déchets'!B55 &amp; " (KBOB.2016)"</f>
        <v>91.044 Entsorgungsmix, Isolierverglasung 3-fach, Ug-Wert 0.5 W/m2K, Dicke 36 mm (KBOB.2016)</v>
      </c>
      <c r="B45" s="2" t="str">
        <f t="shared" si="1"/>
        <v>91.044 Entsorgungsmix, Isolierverglasung 3-fach, Ug-Wert 0.5 W/m2K, Dicke 36 mm (KBOB.2016)</v>
      </c>
      <c r="C45" s="2"/>
      <c r="D45" s="2"/>
      <c r="E45" s="2"/>
      <c r="F45" s="2" t="s">
        <v>186</v>
      </c>
      <c r="G45" s="2" t="str">
        <f t="shared" si="2"/>
        <v>OTHER_RESOURCE_DISPOSAL_CONSTRUCTION_MATERIAL</v>
      </c>
      <c r="H45" s="2"/>
      <c r="I45" s="600">
        <f>'Entsorgung Déchets'!D55</f>
        <v>2980</v>
      </c>
      <c r="J45" s="600" t="str">
        <f>'Entsorgung Déchets'!E55</f>
        <v/>
      </c>
      <c r="K45" s="600">
        <f>'Entsorgung Déchets'!F55</f>
        <v>2980</v>
      </c>
      <c r="L45" s="601">
        <f>'Entsorgung Déchets'!J55</f>
        <v>0.0253</v>
      </c>
      <c r="M45" s="601" t="str">
        <f>'Entsorgung Déchets'!K55</f>
        <v/>
      </c>
      <c r="N45" s="601">
        <f>'Entsorgung Déchets'!L55</f>
        <v>0.0253</v>
      </c>
      <c r="O45" s="601">
        <f>'Entsorgung Déchets'!M55</f>
        <v>1.99</v>
      </c>
      <c r="P45" s="601" t="str">
        <f>'Entsorgung Déchets'!N55</f>
        <v/>
      </c>
      <c r="Q45" s="601">
        <f>'Entsorgung Déchets'!O55</f>
        <v>1.99</v>
      </c>
      <c r="R45" s="601">
        <f>'Entsorgung Déchets'!P55</f>
        <v>5.25</v>
      </c>
      <c r="S45" s="601" t="str">
        <f>'Entsorgung Déchets'!Q55</f>
        <v/>
      </c>
      <c r="T45" s="601">
        <f>'Entsorgung Déchets'!R55</f>
        <v>5.25</v>
      </c>
      <c r="U45" s="2" t="str">
        <f>'Entsorgung Déchets'!C55</f>
        <v>m2</v>
      </c>
      <c r="V45" s="2" t="str">
        <f t="shared" si="3"/>
        <v>area</v>
      </c>
      <c r="W45" s="2"/>
      <c r="X45" s="2" t="str">
        <f t="shared" si="4"/>
        <v>91.044</v>
      </c>
      <c r="Y45" s="7" t="s">
        <v>203</v>
      </c>
      <c r="Z45" s="7" t="s">
        <v>204</v>
      </c>
      <c r="AA45" s="414">
        <v>60.0</v>
      </c>
    </row>
    <row r="46">
      <c r="A46" s="2" t="str">
        <f>'Entsorgung Déchets'!A56 &amp; " " &amp; 'Entsorgung Déchets'!B56 &amp; " (KBOB.2016)"</f>
        <v>91.071 Entsorgung, glasfaserverstärkter Kunststoff (GFK), in Kehrichtverbrennung  (KBOB.2016)</v>
      </c>
      <c r="B46" s="2" t="str">
        <f t="shared" si="1"/>
        <v>91.071 Entsorgung, glasfaserverstärkter Kunststoff (GFK), in Kehrichtverbrennung  (KBOB.2016)</v>
      </c>
      <c r="C46" s="2"/>
      <c r="D46" s="2"/>
      <c r="E46" s="2"/>
      <c r="F46" s="2" t="s">
        <v>186</v>
      </c>
      <c r="G46" s="2" t="str">
        <f t="shared" si="2"/>
        <v>OTHER_RESOURCE_DISPOSAL_CONSTRUCTION_MATERIAL</v>
      </c>
      <c r="H46" s="2"/>
      <c r="I46" s="600">
        <f>'Entsorgung Déchets'!D56</f>
        <v>1030</v>
      </c>
      <c r="J46" s="600" t="str">
        <f>'Entsorgung Déchets'!E56</f>
        <v/>
      </c>
      <c r="K46" s="600">
        <f>'Entsorgung Déchets'!F56</f>
        <v>1030</v>
      </c>
      <c r="L46" s="601">
        <f>'Entsorgung Déchets'!J56</f>
        <v>0.00498</v>
      </c>
      <c r="M46" s="601" t="str">
        <f>'Entsorgung Déchets'!K56</f>
        <v/>
      </c>
      <c r="N46" s="601">
        <f>'Entsorgung Déchets'!L56</f>
        <v>0.00498</v>
      </c>
      <c r="O46" s="601">
        <f>'Entsorgung Déchets'!M56</f>
        <v>0.193</v>
      </c>
      <c r="P46" s="601" t="str">
        <f>'Entsorgung Déchets'!N56</f>
        <v/>
      </c>
      <c r="Q46" s="601">
        <f>'Entsorgung Déchets'!O56</f>
        <v>0.193</v>
      </c>
      <c r="R46" s="601">
        <f>'Entsorgung Déchets'!P56</f>
        <v>1.98</v>
      </c>
      <c r="S46" s="601" t="str">
        <f>'Entsorgung Déchets'!Q56</f>
        <v/>
      </c>
      <c r="T46" s="601">
        <f>'Entsorgung Déchets'!R56</f>
        <v>1.98</v>
      </c>
      <c r="U46" s="2" t="str">
        <f>'Entsorgung Déchets'!C56</f>
        <v>kg</v>
      </c>
      <c r="V46" s="2" t="str">
        <f t="shared" si="3"/>
        <v>mass</v>
      </c>
      <c r="W46" s="2"/>
      <c r="X46" s="2" t="str">
        <f t="shared" si="4"/>
        <v>91.071</v>
      </c>
      <c r="Y46" s="7" t="s">
        <v>203</v>
      </c>
      <c r="Z46" s="7" t="s">
        <v>204</v>
      </c>
      <c r="AA46" s="414">
        <v>60.0</v>
      </c>
    </row>
    <row r="47">
      <c r="A47" s="2" t="str">
        <f>'Entsorgung Déchets'!A57 &amp; " " &amp; 'Entsorgung Déchets'!B57 &amp; " (KBOB.2016)"</f>
        <v>91.045 Entsorgung, Gummi, unspezifisch, 0% Wasser, in Kehrichtverbrennung (KBOB.2016)</v>
      </c>
      <c r="B47" s="2" t="str">
        <f t="shared" si="1"/>
        <v>91.045 Entsorgung, Gummi, unspezifisch, 0% Wasser, in Kehrichtverbrennung (KBOB.2016)</v>
      </c>
      <c r="C47" s="2"/>
      <c r="D47" s="2"/>
      <c r="E47" s="2"/>
      <c r="F47" s="2" t="s">
        <v>186</v>
      </c>
      <c r="G47" s="2" t="str">
        <f t="shared" si="2"/>
        <v>OTHER_RESOURCE_DISPOSAL_CONSTRUCTION_MATERIAL</v>
      </c>
      <c r="H47" s="2"/>
      <c r="I47" s="600">
        <f>'Entsorgung Déchets'!D57</f>
        <v>1590</v>
      </c>
      <c r="J47" s="600" t="str">
        <f>'Entsorgung Déchets'!E57</f>
        <v/>
      </c>
      <c r="K47" s="600">
        <f>'Entsorgung Déchets'!F57</f>
        <v>1590</v>
      </c>
      <c r="L47" s="601">
        <f>'Entsorgung Déchets'!J57</f>
        <v>0.00625</v>
      </c>
      <c r="M47" s="601" t="str">
        <f>'Entsorgung Déchets'!K57</f>
        <v/>
      </c>
      <c r="N47" s="601">
        <f>'Entsorgung Déchets'!L57</f>
        <v>0.00625</v>
      </c>
      <c r="O47" s="601">
        <f>'Entsorgung Déchets'!M57</f>
        <v>0.163</v>
      </c>
      <c r="P47" s="601" t="str">
        <f>'Entsorgung Déchets'!N57</f>
        <v/>
      </c>
      <c r="Q47" s="601">
        <f>'Entsorgung Déchets'!O57</f>
        <v>0.163</v>
      </c>
      <c r="R47" s="601">
        <f>'Entsorgung Déchets'!P57</f>
        <v>3.16</v>
      </c>
      <c r="S47" s="601" t="str">
        <f>'Entsorgung Déchets'!Q57</f>
        <v/>
      </c>
      <c r="T47" s="601">
        <f>'Entsorgung Déchets'!R57</f>
        <v>3.16</v>
      </c>
      <c r="U47" s="2" t="str">
        <f>'Entsorgung Déchets'!C57</f>
        <v>kg</v>
      </c>
      <c r="V47" s="2" t="str">
        <f t="shared" si="3"/>
        <v>mass</v>
      </c>
      <c r="W47" s="2"/>
      <c r="X47" s="2" t="str">
        <f t="shared" si="4"/>
        <v>91.045</v>
      </c>
      <c r="Y47" s="7" t="s">
        <v>203</v>
      </c>
      <c r="Z47" s="7" t="s">
        <v>204</v>
      </c>
      <c r="AA47" s="414">
        <v>60.0</v>
      </c>
    </row>
    <row r="48">
      <c r="A48" s="2" t="str">
        <f>'Entsorgung Déchets'!A58 &amp; " " &amp; 'Entsorgung Déchets'!B58 &amp; " (KBOB.2016)"</f>
        <v>91.046 Entsorgung, Papier, 11.2% Wasser, in Kehrichtverbrennung (KBOB.2016)</v>
      </c>
      <c r="B48" s="2" t="str">
        <f t="shared" si="1"/>
        <v>91.046 Entsorgung, Papier, 11.2% Wasser, in Kehrichtverbrennung (KBOB.2016)</v>
      </c>
      <c r="C48" s="2"/>
      <c r="D48" s="2"/>
      <c r="E48" s="2"/>
      <c r="F48" s="2" t="s">
        <v>186</v>
      </c>
      <c r="G48" s="2" t="str">
        <f t="shared" si="2"/>
        <v>OTHER_RESOURCE_DISPOSAL_CONSTRUCTION_MATERIAL</v>
      </c>
      <c r="H48" s="2"/>
      <c r="I48" s="600">
        <f>'Entsorgung Déchets'!D58</f>
        <v>86.2</v>
      </c>
      <c r="J48" s="600" t="str">
        <f>'Entsorgung Déchets'!E58</f>
        <v/>
      </c>
      <c r="K48" s="600">
        <f>'Entsorgung Déchets'!F58</f>
        <v>86.2</v>
      </c>
      <c r="L48" s="601">
        <f>'Entsorgung Déchets'!J58</f>
        <v>0.00213</v>
      </c>
      <c r="M48" s="601" t="str">
        <f>'Entsorgung Déchets'!K58</f>
        <v/>
      </c>
      <c r="N48" s="601">
        <f>'Entsorgung Déchets'!L58</f>
        <v>0.00213</v>
      </c>
      <c r="O48" s="601">
        <f>'Entsorgung Déchets'!M58</f>
        <v>0.102</v>
      </c>
      <c r="P48" s="601" t="str">
        <f>'Entsorgung Déchets'!N58</f>
        <v/>
      </c>
      <c r="Q48" s="601">
        <f>'Entsorgung Déchets'!O58</f>
        <v>0.102</v>
      </c>
      <c r="R48" s="601">
        <f>'Entsorgung Déchets'!P58</f>
        <v>0.0405</v>
      </c>
      <c r="S48" s="601" t="str">
        <f>'Entsorgung Déchets'!Q58</f>
        <v/>
      </c>
      <c r="T48" s="601">
        <f>'Entsorgung Déchets'!R58</f>
        <v>0.0405</v>
      </c>
      <c r="U48" s="2" t="str">
        <f>'Entsorgung Déchets'!C58</f>
        <v>kg</v>
      </c>
      <c r="V48" s="2" t="str">
        <f t="shared" si="3"/>
        <v>mass</v>
      </c>
      <c r="W48" s="2"/>
      <c r="X48" s="2" t="str">
        <f t="shared" si="4"/>
        <v>91.046</v>
      </c>
      <c r="Y48" s="7" t="s">
        <v>203</v>
      </c>
      <c r="Z48" s="7" t="s">
        <v>204</v>
      </c>
      <c r="AA48" s="414">
        <v>60.0</v>
      </c>
    </row>
    <row r="49">
      <c r="A49" s="2" t="str">
        <f>'Entsorgung Déchets'!A59 &amp; " " &amp; 'Entsorgung Déchets'!B59 &amp; " (KBOB.2016)"</f>
        <v>91.047 Entsorgungsmix Brettschichtholz verleimt (KBOB.2016)</v>
      </c>
      <c r="B49" s="2" t="str">
        <f t="shared" si="1"/>
        <v>91.047 Entsorgungsmix Brettschichtholz verleimt (KBOB.2016)</v>
      </c>
      <c r="C49" s="2"/>
      <c r="D49" s="2"/>
      <c r="E49" s="2"/>
      <c r="F49" s="2" t="s">
        <v>186</v>
      </c>
      <c r="G49" s="2" t="str">
        <f t="shared" si="2"/>
        <v>OTHER_RESOURCE_DISPOSAL_CONSTRUCTION_MATERIAL</v>
      </c>
      <c r="H49" s="2"/>
      <c r="I49" s="600">
        <f>'Entsorgung Déchets'!D59</f>
        <v>86.9</v>
      </c>
      <c r="J49" s="600" t="str">
        <f>'Entsorgung Déchets'!E59</f>
        <v/>
      </c>
      <c r="K49" s="600">
        <f>'Entsorgung Déchets'!F59</f>
        <v>86.9</v>
      </c>
      <c r="L49" s="601">
        <f>'Entsorgung Déchets'!J59</f>
        <v>0.000912</v>
      </c>
      <c r="M49" s="601" t="str">
        <f>'Entsorgung Déchets'!K59</f>
        <v/>
      </c>
      <c r="N49" s="601">
        <f>'Entsorgung Déchets'!L59</f>
        <v>0.000912</v>
      </c>
      <c r="O49" s="601">
        <f>'Entsorgung Déchets'!M59</f>
        <v>0.0579</v>
      </c>
      <c r="P49" s="601" t="str">
        <f>'Entsorgung Déchets'!N59</f>
        <v/>
      </c>
      <c r="Q49" s="601">
        <f>'Entsorgung Déchets'!O59</f>
        <v>0.0579</v>
      </c>
      <c r="R49" s="601">
        <f>'Entsorgung Déchets'!P59</f>
        <v>0.121</v>
      </c>
      <c r="S49" s="601" t="str">
        <f>'Entsorgung Déchets'!Q59</f>
        <v/>
      </c>
      <c r="T49" s="601">
        <f>'Entsorgung Déchets'!R59</f>
        <v>0.121</v>
      </c>
      <c r="U49" s="2" t="str">
        <f>'Entsorgung Déchets'!C59</f>
        <v>kg</v>
      </c>
      <c r="V49" s="2" t="str">
        <f t="shared" si="3"/>
        <v>mass</v>
      </c>
      <c r="W49" s="2"/>
      <c r="X49" s="2" t="str">
        <f t="shared" si="4"/>
        <v>91.047</v>
      </c>
      <c r="Y49" s="7" t="s">
        <v>203</v>
      </c>
      <c r="Z49" s="7" t="s">
        <v>204</v>
      </c>
      <c r="AA49" s="414">
        <v>60.0</v>
      </c>
    </row>
    <row r="50">
      <c r="A50" s="2" t="str">
        <f>'Entsorgung Déchets'!A60 &amp; " " &amp; 'Entsorgung Déchets'!B60 &amp; " (KBOB.2016)"</f>
        <v>91.048 Entsorgungsmix Dreischichtplatte (KBOB.2016)</v>
      </c>
      <c r="B50" s="2" t="str">
        <f t="shared" si="1"/>
        <v>91.048 Entsorgungsmix Dreischichtplatte (KBOB.2016)</v>
      </c>
      <c r="C50" s="2"/>
      <c r="D50" s="2"/>
      <c r="E50" s="2"/>
      <c r="F50" s="2" t="s">
        <v>186</v>
      </c>
      <c r="G50" s="2" t="str">
        <f t="shared" si="2"/>
        <v>OTHER_RESOURCE_DISPOSAL_CONSTRUCTION_MATERIAL</v>
      </c>
      <c r="H50" s="2"/>
      <c r="I50" s="600">
        <f>'Entsorgung Déchets'!D60</f>
        <v>79.7</v>
      </c>
      <c r="J50" s="600" t="str">
        <f>'Entsorgung Déchets'!E60</f>
        <v/>
      </c>
      <c r="K50" s="600">
        <f>'Entsorgung Déchets'!F60</f>
        <v>79.7</v>
      </c>
      <c r="L50" s="601">
        <f>'Entsorgung Déchets'!J60</f>
        <v>0.000836</v>
      </c>
      <c r="M50" s="601" t="str">
        <f>'Entsorgung Déchets'!K60</f>
        <v/>
      </c>
      <c r="N50" s="601">
        <f>'Entsorgung Déchets'!L60</f>
        <v>0.000836</v>
      </c>
      <c r="O50" s="601">
        <f>'Entsorgung Déchets'!M60</f>
        <v>0.0531</v>
      </c>
      <c r="P50" s="601" t="str">
        <f>'Entsorgung Déchets'!N60</f>
        <v/>
      </c>
      <c r="Q50" s="601">
        <f>'Entsorgung Déchets'!O60</f>
        <v>0.0531</v>
      </c>
      <c r="R50" s="601">
        <f>'Entsorgung Déchets'!P60</f>
        <v>0.111</v>
      </c>
      <c r="S50" s="601" t="str">
        <f>'Entsorgung Déchets'!Q60</f>
        <v/>
      </c>
      <c r="T50" s="601">
        <f>'Entsorgung Déchets'!R60</f>
        <v>0.111</v>
      </c>
      <c r="U50" s="2" t="str">
        <f>'Entsorgung Déchets'!C60</f>
        <v>kg</v>
      </c>
      <c r="V50" s="2" t="str">
        <f t="shared" si="3"/>
        <v>mass</v>
      </c>
      <c r="W50" s="2"/>
      <c r="X50" s="2" t="str">
        <f t="shared" si="4"/>
        <v>91.048</v>
      </c>
      <c r="Y50" s="7" t="s">
        <v>203</v>
      </c>
      <c r="Z50" s="7" t="s">
        <v>204</v>
      </c>
      <c r="AA50" s="414">
        <v>60.0</v>
      </c>
    </row>
    <row r="51">
      <c r="A51" s="2" t="str">
        <f>'Entsorgung Déchets'!A61 &amp; " " &amp; 'Entsorgung Déchets'!B61 &amp; " (KBOB.2016)"</f>
        <v>91.049 Entsorgungsmix Faserplatte hart (KBOB.2016)</v>
      </c>
      <c r="B51" s="2" t="str">
        <f t="shared" si="1"/>
        <v>91.049 Entsorgungsmix Faserplatte hart (KBOB.2016)</v>
      </c>
      <c r="C51" s="2"/>
      <c r="D51" s="2"/>
      <c r="E51" s="2"/>
      <c r="F51" s="2" t="s">
        <v>186</v>
      </c>
      <c r="G51" s="2" t="str">
        <f t="shared" si="2"/>
        <v>OTHER_RESOURCE_DISPOSAL_CONSTRUCTION_MATERIAL</v>
      </c>
      <c r="H51" s="2"/>
      <c r="I51" s="600">
        <f>'Entsorgung Déchets'!D61</f>
        <v>91.1</v>
      </c>
      <c r="J51" s="600" t="str">
        <f>'Entsorgung Déchets'!E61</f>
        <v/>
      </c>
      <c r="K51" s="600">
        <f>'Entsorgung Déchets'!F61</f>
        <v>91.1</v>
      </c>
      <c r="L51" s="601">
        <f>'Entsorgung Déchets'!J61</f>
        <v>0.000955</v>
      </c>
      <c r="M51" s="601" t="str">
        <f>'Entsorgung Déchets'!K61</f>
        <v/>
      </c>
      <c r="N51" s="601">
        <f>'Entsorgung Déchets'!L61</f>
        <v>0.000955</v>
      </c>
      <c r="O51" s="601">
        <f>'Entsorgung Déchets'!M61</f>
        <v>0.0607</v>
      </c>
      <c r="P51" s="601" t="str">
        <f>'Entsorgung Déchets'!N61</f>
        <v/>
      </c>
      <c r="Q51" s="601">
        <f>'Entsorgung Déchets'!O61</f>
        <v>0.0607</v>
      </c>
      <c r="R51" s="601">
        <f>'Entsorgung Déchets'!P61</f>
        <v>0.126</v>
      </c>
      <c r="S51" s="601" t="str">
        <f>'Entsorgung Déchets'!Q61</f>
        <v/>
      </c>
      <c r="T51" s="601">
        <f>'Entsorgung Déchets'!R61</f>
        <v>0.126</v>
      </c>
      <c r="U51" s="2" t="str">
        <f>'Entsorgung Déchets'!C61</f>
        <v>kg</v>
      </c>
      <c r="V51" s="2" t="str">
        <f t="shared" si="3"/>
        <v>mass</v>
      </c>
      <c r="W51" s="2"/>
      <c r="X51" s="2" t="str">
        <f t="shared" si="4"/>
        <v>91.049</v>
      </c>
      <c r="Y51" s="7" t="s">
        <v>203</v>
      </c>
      <c r="Z51" s="7" t="s">
        <v>204</v>
      </c>
      <c r="AA51" s="414">
        <v>60.0</v>
      </c>
    </row>
    <row r="52">
      <c r="A52" s="2" t="str">
        <f>'Entsorgung Déchets'!A62 &amp; " " &amp; 'Entsorgung Déchets'!B62 &amp; " (KBOB.2016)"</f>
        <v>91.050 Entsorgungsmix Faserplatte mittlerer Dichte (MDF) (KBOB.2016)</v>
      </c>
      <c r="B52" s="2" t="str">
        <f t="shared" si="1"/>
        <v>91.050 Entsorgungsmix Faserplatte mittlerer Dichte (MDF) (KBOB.2016)</v>
      </c>
      <c r="C52" s="2"/>
      <c r="D52" s="2"/>
      <c r="E52" s="2"/>
      <c r="F52" s="2" t="s">
        <v>186</v>
      </c>
      <c r="G52" s="2" t="str">
        <f t="shared" si="2"/>
        <v>OTHER_RESOURCE_DISPOSAL_CONSTRUCTION_MATERIAL</v>
      </c>
      <c r="H52" s="2"/>
      <c r="I52" s="600">
        <f>'Entsorgung Déchets'!D62</f>
        <v>91.1</v>
      </c>
      <c r="J52" s="600" t="str">
        <f>'Entsorgung Déchets'!E62</f>
        <v/>
      </c>
      <c r="K52" s="600">
        <f>'Entsorgung Déchets'!F62</f>
        <v>91.1</v>
      </c>
      <c r="L52" s="601">
        <f>'Entsorgung Déchets'!J62</f>
        <v>0.000955</v>
      </c>
      <c r="M52" s="601" t="str">
        <f>'Entsorgung Déchets'!K62</f>
        <v/>
      </c>
      <c r="N52" s="601">
        <f>'Entsorgung Déchets'!L62</f>
        <v>0.000955</v>
      </c>
      <c r="O52" s="601">
        <f>'Entsorgung Déchets'!M62</f>
        <v>0.0607</v>
      </c>
      <c r="P52" s="601" t="str">
        <f>'Entsorgung Déchets'!N62</f>
        <v/>
      </c>
      <c r="Q52" s="601">
        <f>'Entsorgung Déchets'!O62</f>
        <v>0.0607</v>
      </c>
      <c r="R52" s="601">
        <f>'Entsorgung Déchets'!P62</f>
        <v>0.126</v>
      </c>
      <c r="S52" s="601" t="str">
        <f>'Entsorgung Déchets'!Q62</f>
        <v/>
      </c>
      <c r="T52" s="601">
        <f>'Entsorgung Déchets'!R62</f>
        <v>0.126</v>
      </c>
      <c r="U52" s="2" t="str">
        <f>'Entsorgung Déchets'!C62</f>
        <v>kg</v>
      </c>
      <c r="V52" s="2" t="str">
        <f t="shared" si="3"/>
        <v>mass</v>
      </c>
      <c r="W52" s="2"/>
      <c r="X52" s="2" t="str">
        <f t="shared" si="4"/>
        <v>91.050</v>
      </c>
      <c r="Y52" s="7" t="s">
        <v>203</v>
      </c>
      <c r="Z52" s="7" t="s">
        <v>204</v>
      </c>
      <c r="AA52" s="414">
        <v>60.0</v>
      </c>
    </row>
    <row r="53">
      <c r="A53" s="2" t="str">
        <f>'Entsorgung Déchets'!A63 &amp; " " &amp; 'Entsorgung Déchets'!B63 &amp; " (KBOB.2016)"</f>
        <v>91.051 Entsorgungsmix Faserplatte weich (KBOB.2016)</v>
      </c>
      <c r="B53" s="2" t="str">
        <f t="shared" si="1"/>
        <v>91.051 Entsorgungsmix Faserplatte weich (KBOB.2016)</v>
      </c>
      <c r="C53" s="2"/>
      <c r="D53" s="2"/>
      <c r="E53" s="2"/>
      <c r="F53" s="2" t="s">
        <v>186</v>
      </c>
      <c r="G53" s="2" t="str">
        <f t="shared" si="2"/>
        <v>OTHER_RESOURCE_DISPOSAL_CONSTRUCTION_MATERIAL</v>
      </c>
      <c r="H53" s="2"/>
      <c r="I53" s="600">
        <f>'Entsorgung Déchets'!D63</f>
        <v>43.6</v>
      </c>
      <c r="J53" s="600" t="str">
        <f>'Entsorgung Déchets'!E63</f>
        <v/>
      </c>
      <c r="K53" s="600">
        <f>'Entsorgung Déchets'!F63</f>
        <v>43.6</v>
      </c>
      <c r="L53" s="601">
        <f>'Entsorgung Déchets'!J63</f>
        <v>0.000655</v>
      </c>
      <c r="M53" s="601" t="str">
        <f>'Entsorgung Déchets'!K63</f>
        <v/>
      </c>
      <c r="N53" s="601">
        <f>'Entsorgung Déchets'!L63</f>
        <v>0.000655</v>
      </c>
      <c r="O53" s="601">
        <f>'Entsorgung Déchets'!M63</f>
        <v>0.0407</v>
      </c>
      <c r="P53" s="601" t="str">
        <f>'Entsorgung Déchets'!N63</f>
        <v/>
      </c>
      <c r="Q53" s="601">
        <f>'Entsorgung Déchets'!O63</f>
        <v>0.0407</v>
      </c>
      <c r="R53" s="601">
        <f>'Entsorgung Déchets'!P63</f>
        <v>0.0414</v>
      </c>
      <c r="S53" s="601" t="str">
        <f>'Entsorgung Déchets'!Q63</f>
        <v/>
      </c>
      <c r="T53" s="601">
        <f>'Entsorgung Déchets'!R63</f>
        <v>0.0414</v>
      </c>
      <c r="U53" s="2" t="str">
        <f>'Entsorgung Déchets'!C63</f>
        <v>kg</v>
      </c>
      <c r="V53" s="2" t="str">
        <f t="shared" si="3"/>
        <v>mass</v>
      </c>
      <c r="W53" s="2"/>
      <c r="X53" s="2" t="str">
        <f t="shared" si="4"/>
        <v>91.051</v>
      </c>
      <c r="Y53" s="7" t="s">
        <v>203</v>
      </c>
      <c r="Z53" s="7" t="s">
        <v>204</v>
      </c>
      <c r="AA53" s="414">
        <v>60.0</v>
      </c>
    </row>
    <row r="54">
      <c r="A54" s="2" t="str">
        <f>'Entsorgung Déchets'!A64 &amp; " " &amp; 'Entsorgung Déchets'!B64 &amp; " (KBOB.2016)"</f>
        <v>91.052 Entsorgungsmix Schnittholz, Laubholz, luft-/kammergetrocknet (KBOB.2016)</v>
      </c>
      <c r="B54" s="2" t="str">
        <f t="shared" si="1"/>
        <v>91.052 Entsorgungsmix Schnittholz, Laubholz, luft-/kammergetrocknet (KBOB.2016)</v>
      </c>
      <c r="C54" s="2"/>
      <c r="D54" s="2"/>
      <c r="E54" s="2"/>
      <c r="F54" s="2" t="s">
        <v>186</v>
      </c>
      <c r="G54" s="2" t="str">
        <f t="shared" si="2"/>
        <v>OTHER_RESOURCE_DISPOSAL_CONSTRUCTION_MATERIAL</v>
      </c>
      <c r="H54" s="2"/>
      <c r="I54" s="600">
        <f>'Entsorgung Déchets'!D64</f>
        <v>27</v>
      </c>
      <c r="J54" s="600" t="str">
        <f>'Entsorgung Déchets'!E64</f>
        <v/>
      </c>
      <c r="K54" s="600">
        <f>'Entsorgung Déchets'!F64</f>
        <v>27</v>
      </c>
      <c r="L54" s="601">
        <f>'Entsorgung Déchets'!J64</f>
        <v>0.000561</v>
      </c>
      <c r="M54" s="601" t="str">
        <f>'Entsorgung Déchets'!K64</f>
        <v/>
      </c>
      <c r="N54" s="601">
        <f>'Entsorgung Déchets'!L64</f>
        <v>0.000561</v>
      </c>
      <c r="O54" s="601">
        <f>'Entsorgung Déchets'!M64</f>
        <v>0.0342</v>
      </c>
      <c r="P54" s="601" t="str">
        <f>'Entsorgung Déchets'!N64</f>
        <v/>
      </c>
      <c r="Q54" s="601">
        <f>'Entsorgung Déchets'!O64</f>
        <v>0.0342</v>
      </c>
      <c r="R54" s="601">
        <f>'Entsorgung Déchets'!P64</f>
        <v>0.0101</v>
      </c>
      <c r="S54" s="601" t="str">
        <f>'Entsorgung Déchets'!Q64</f>
        <v/>
      </c>
      <c r="T54" s="601">
        <f>'Entsorgung Déchets'!R64</f>
        <v>0.0101</v>
      </c>
      <c r="U54" s="2" t="str">
        <f>'Entsorgung Déchets'!C64</f>
        <v>kg</v>
      </c>
      <c r="V54" s="2" t="str">
        <f t="shared" si="3"/>
        <v>mass</v>
      </c>
      <c r="W54" s="2"/>
      <c r="X54" s="2" t="str">
        <f t="shared" si="4"/>
        <v>91.052</v>
      </c>
      <c r="Y54" s="7" t="s">
        <v>203</v>
      </c>
      <c r="Z54" s="7" t="s">
        <v>204</v>
      </c>
      <c r="AA54" s="414">
        <v>60.0</v>
      </c>
    </row>
    <row r="55">
      <c r="A55" s="2" t="str">
        <f>'Entsorgung Déchets'!A65 &amp; " " &amp; 'Entsorgung Déchets'!B65 &amp; " (KBOB.2016)"</f>
        <v>91.053 Entsorgungsmix Schnittholz, Laubholz, luftgetrocknet (KBOB.2016)</v>
      </c>
      <c r="B55" s="2" t="str">
        <f t="shared" si="1"/>
        <v>91.053 Entsorgungsmix Schnittholz, Laubholz, luftgetrocknet (KBOB.2016)</v>
      </c>
      <c r="C55" s="2"/>
      <c r="D55" s="2"/>
      <c r="E55" s="2"/>
      <c r="F55" s="2" t="s">
        <v>186</v>
      </c>
      <c r="G55" s="2" t="str">
        <f t="shared" si="2"/>
        <v>OTHER_RESOURCE_DISPOSAL_CONSTRUCTION_MATERIAL</v>
      </c>
      <c r="H55" s="2"/>
      <c r="I55" s="600">
        <f>'Entsorgung Déchets'!D65</f>
        <v>24.7</v>
      </c>
      <c r="J55" s="600" t="str">
        <f>'Entsorgung Déchets'!E65</f>
        <v/>
      </c>
      <c r="K55" s="600">
        <f>'Entsorgung Déchets'!F65</f>
        <v>24.7</v>
      </c>
      <c r="L55" s="601">
        <f>'Entsorgung Déchets'!J65</f>
        <v>0.000515</v>
      </c>
      <c r="M55" s="601" t="str">
        <f>'Entsorgung Déchets'!K65</f>
        <v/>
      </c>
      <c r="N55" s="601">
        <f>'Entsorgung Déchets'!L65</f>
        <v>0.000515</v>
      </c>
      <c r="O55" s="601">
        <f>'Entsorgung Déchets'!M65</f>
        <v>0.0314</v>
      </c>
      <c r="P55" s="601" t="str">
        <f>'Entsorgung Déchets'!N65</f>
        <v/>
      </c>
      <c r="Q55" s="601">
        <f>'Entsorgung Déchets'!O65</f>
        <v>0.0314</v>
      </c>
      <c r="R55" s="601">
        <f>'Entsorgung Déchets'!P65</f>
        <v>0.00926</v>
      </c>
      <c r="S55" s="601" t="str">
        <f>'Entsorgung Déchets'!Q65</f>
        <v/>
      </c>
      <c r="T55" s="601">
        <f>'Entsorgung Déchets'!R65</f>
        <v>0.00926</v>
      </c>
      <c r="U55" s="2" t="str">
        <f>'Entsorgung Déchets'!C65</f>
        <v>kg</v>
      </c>
      <c r="V55" s="2" t="str">
        <f t="shared" si="3"/>
        <v>mass</v>
      </c>
      <c r="W55" s="2"/>
      <c r="X55" s="2" t="str">
        <f t="shared" si="4"/>
        <v>91.053</v>
      </c>
      <c r="Y55" s="7" t="s">
        <v>203</v>
      </c>
      <c r="Z55" s="7" t="s">
        <v>204</v>
      </c>
      <c r="AA55" s="414">
        <v>60.0</v>
      </c>
    </row>
    <row r="56">
      <c r="A56" s="2" t="str">
        <f>'Entsorgung Déchets'!A66 &amp; " " &amp; 'Entsorgung Déchets'!B66 &amp; " (KBOB.2016)"</f>
        <v>91.054 Entsorgungsmix Schnittholz, Nadelholz, kammergetrocknet (KBOB.2016)</v>
      </c>
      <c r="B56" s="2" t="str">
        <f t="shared" si="1"/>
        <v>91.054 Entsorgungsmix Schnittholz, Nadelholz, kammergetrocknet (KBOB.2016)</v>
      </c>
      <c r="C56" s="2"/>
      <c r="D56" s="2"/>
      <c r="E56" s="2"/>
      <c r="F56" s="2" t="s">
        <v>186</v>
      </c>
      <c r="G56" s="2" t="str">
        <f t="shared" si="2"/>
        <v>OTHER_RESOURCE_DISPOSAL_CONSTRUCTION_MATERIAL</v>
      </c>
      <c r="H56" s="2"/>
      <c r="I56" s="600">
        <f>'Entsorgung Déchets'!D66</f>
        <v>27</v>
      </c>
      <c r="J56" s="600" t="str">
        <f>'Entsorgung Déchets'!E66</f>
        <v/>
      </c>
      <c r="K56" s="600">
        <f>'Entsorgung Déchets'!F66</f>
        <v>27</v>
      </c>
      <c r="L56" s="601">
        <f>'Entsorgung Déchets'!J66</f>
        <v>0.000561</v>
      </c>
      <c r="M56" s="601" t="str">
        <f>'Entsorgung Déchets'!K66</f>
        <v/>
      </c>
      <c r="N56" s="601">
        <f>'Entsorgung Déchets'!L66</f>
        <v>0.000561</v>
      </c>
      <c r="O56" s="601">
        <f>'Entsorgung Déchets'!M66</f>
        <v>0.0342</v>
      </c>
      <c r="P56" s="601" t="str">
        <f>'Entsorgung Déchets'!N66</f>
        <v/>
      </c>
      <c r="Q56" s="601">
        <f>'Entsorgung Déchets'!O66</f>
        <v>0.0342</v>
      </c>
      <c r="R56" s="601">
        <f>'Entsorgung Déchets'!P66</f>
        <v>0.0101</v>
      </c>
      <c r="S56" s="601" t="str">
        <f>'Entsorgung Déchets'!Q66</f>
        <v/>
      </c>
      <c r="T56" s="601">
        <f>'Entsorgung Déchets'!R66</f>
        <v>0.0101</v>
      </c>
      <c r="U56" s="2" t="str">
        <f>'Entsorgung Déchets'!C66</f>
        <v>kg</v>
      </c>
      <c r="V56" s="2" t="str">
        <f t="shared" si="3"/>
        <v>mass</v>
      </c>
      <c r="W56" s="2"/>
      <c r="X56" s="2" t="str">
        <f t="shared" si="4"/>
        <v>91.054</v>
      </c>
      <c r="Y56" s="7" t="s">
        <v>203</v>
      </c>
      <c r="Z56" s="7" t="s">
        <v>204</v>
      </c>
      <c r="AA56" s="414">
        <v>60.0</v>
      </c>
    </row>
    <row r="57">
      <c r="A57" s="2" t="str">
        <f>'Entsorgung Déchets'!A67 &amp; " " &amp; 'Entsorgung Déchets'!B67 &amp; " (KBOB.2016)"</f>
        <v>91.054.01 Entsorgungsmix Schnittholz, Nadelholz, kammergetrocknet, holzpur (KBOB.2016)</v>
      </c>
      <c r="B57" s="2" t="str">
        <f t="shared" si="1"/>
        <v>91.054.01 Entsorgungsmix Schnittholz, Nadelholz, kammergetrocknet, holzpur (KBOB.2016)</v>
      </c>
      <c r="C57" s="2"/>
      <c r="D57" s="2"/>
      <c r="E57" s="2"/>
      <c r="F57" s="2" t="s">
        <v>186</v>
      </c>
      <c r="G57" s="2" t="str">
        <f t="shared" si="2"/>
        <v>OTHER_RESOURCE_DISPOSAL_CONSTRUCTION_MATERIAL</v>
      </c>
      <c r="H57" s="2"/>
      <c r="I57" s="600">
        <f>'Entsorgung Déchets'!D67</f>
        <v>27</v>
      </c>
      <c r="J57" s="600" t="str">
        <f>'Entsorgung Déchets'!E67</f>
        <v/>
      </c>
      <c r="K57" s="600">
        <f>'Entsorgung Déchets'!F67</f>
        <v>27</v>
      </c>
      <c r="L57" s="601">
        <f>'Entsorgung Déchets'!J67</f>
        <v>0.000561</v>
      </c>
      <c r="M57" s="601" t="str">
        <f>'Entsorgung Déchets'!K67</f>
        <v/>
      </c>
      <c r="N57" s="601">
        <f>'Entsorgung Déchets'!L67</f>
        <v>0.000561</v>
      </c>
      <c r="O57" s="601">
        <f>'Entsorgung Déchets'!M67</f>
        <v>0.0342</v>
      </c>
      <c r="P57" s="601" t="str">
        <f>'Entsorgung Déchets'!N67</f>
        <v/>
      </c>
      <c r="Q57" s="601">
        <f>'Entsorgung Déchets'!O67</f>
        <v>0.0342</v>
      </c>
      <c r="R57" s="601">
        <f>'Entsorgung Déchets'!P67</f>
        <v>0.0101</v>
      </c>
      <c r="S57" s="601" t="str">
        <f>'Entsorgung Déchets'!Q67</f>
        <v/>
      </c>
      <c r="T57" s="601">
        <f>'Entsorgung Déchets'!R67</f>
        <v>0.0101</v>
      </c>
      <c r="U57" s="2" t="str">
        <f>'Entsorgung Déchets'!C67</f>
        <v>kg</v>
      </c>
      <c r="V57" s="2" t="str">
        <f t="shared" si="3"/>
        <v>mass</v>
      </c>
      <c r="W57" s="2"/>
      <c r="X57" s="2" t="str">
        <f t="shared" si="4"/>
        <v>91.054</v>
      </c>
      <c r="Y57" s="7" t="s">
        <v>203</v>
      </c>
      <c r="Z57" s="7" t="s">
        <v>204</v>
      </c>
      <c r="AA57" s="414">
        <v>60.0</v>
      </c>
    </row>
    <row r="58">
      <c r="A58" s="2" t="str">
        <f>'Entsorgung Déchets'!A68 &amp; " " &amp; 'Entsorgung Déchets'!B68 &amp; " (KBOB.2016)"</f>
        <v>91.055 Entsorgungsmix Schnittholz, Nadelholz, luftgetrocknet (KBOB.2016)</v>
      </c>
      <c r="B58" s="2" t="str">
        <f t="shared" si="1"/>
        <v>91.055 Entsorgungsmix Schnittholz, Nadelholz, luftgetrocknet (KBOB.2016)</v>
      </c>
      <c r="C58" s="2"/>
      <c r="D58" s="2"/>
      <c r="E58" s="2"/>
      <c r="F58" s="2" t="s">
        <v>186</v>
      </c>
      <c r="G58" s="2" t="str">
        <f t="shared" si="2"/>
        <v>OTHER_RESOURCE_DISPOSAL_CONSTRUCTION_MATERIAL</v>
      </c>
      <c r="H58" s="2"/>
      <c r="I58" s="600">
        <f>'Entsorgung Déchets'!D68</f>
        <v>24.7</v>
      </c>
      <c r="J58" s="600" t="str">
        <f>'Entsorgung Déchets'!E68</f>
        <v/>
      </c>
      <c r="K58" s="600">
        <f>'Entsorgung Déchets'!F68</f>
        <v>24.7</v>
      </c>
      <c r="L58" s="601">
        <f>'Entsorgung Déchets'!J68</f>
        <v>0.000515</v>
      </c>
      <c r="M58" s="601" t="str">
        <f>'Entsorgung Déchets'!K68</f>
        <v/>
      </c>
      <c r="N58" s="601">
        <f>'Entsorgung Déchets'!L68</f>
        <v>0.000515</v>
      </c>
      <c r="O58" s="601">
        <f>'Entsorgung Déchets'!M68</f>
        <v>0.0314</v>
      </c>
      <c r="P58" s="601" t="str">
        <f>'Entsorgung Déchets'!N68</f>
        <v/>
      </c>
      <c r="Q58" s="601">
        <f>'Entsorgung Déchets'!O68</f>
        <v>0.0314</v>
      </c>
      <c r="R58" s="601">
        <f>'Entsorgung Déchets'!P68</f>
        <v>0.00926</v>
      </c>
      <c r="S58" s="601" t="str">
        <f>'Entsorgung Déchets'!Q68</f>
        <v/>
      </c>
      <c r="T58" s="601">
        <f>'Entsorgung Déchets'!R68</f>
        <v>0.00926</v>
      </c>
      <c r="U58" s="2" t="str">
        <f>'Entsorgung Déchets'!C68</f>
        <v>kg</v>
      </c>
      <c r="V58" s="2" t="str">
        <f t="shared" si="3"/>
        <v>mass</v>
      </c>
      <c r="W58" s="2"/>
      <c r="X58" s="2" t="str">
        <f t="shared" si="4"/>
        <v>91.055</v>
      </c>
      <c r="Y58" s="7" t="s">
        <v>203</v>
      </c>
      <c r="Z58" s="7" t="s">
        <v>204</v>
      </c>
      <c r="AA58" s="414">
        <v>60.0</v>
      </c>
    </row>
    <row r="59">
      <c r="A59" s="2" t="str">
        <f>'Entsorgung Déchets'!A69 &amp; " " &amp; 'Entsorgung Déchets'!B69 &amp; " (KBOB.2016)"</f>
        <v>91.056 Entsorgungsmix Spanplatte, Aussenanwendung (KBOB.2016)</v>
      </c>
      <c r="B59" s="2" t="str">
        <f t="shared" si="1"/>
        <v>91.056 Entsorgungsmix Spanplatte, Aussenanwendung (KBOB.2016)</v>
      </c>
      <c r="C59" s="2"/>
      <c r="D59" s="2"/>
      <c r="E59" s="2"/>
      <c r="F59" s="2" t="s">
        <v>186</v>
      </c>
      <c r="G59" s="2" t="str">
        <f t="shared" si="2"/>
        <v>OTHER_RESOURCE_DISPOSAL_CONSTRUCTION_MATERIAL</v>
      </c>
      <c r="H59" s="2"/>
      <c r="I59" s="600">
        <f>'Entsorgung Déchets'!D69</f>
        <v>91.4</v>
      </c>
      <c r="J59" s="600" t="str">
        <f>'Entsorgung Déchets'!E69</f>
        <v/>
      </c>
      <c r="K59" s="600">
        <f>'Entsorgung Déchets'!F69</f>
        <v>91.4</v>
      </c>
      <c r="L59" s="601">
        <f>'Entsorgung Déchets'!J69</f>
        <v>0.000959</v>
      </c>
      <c r="M59" s="601" t="str">
        <f>'Entsorgung Déchets'!K69</f>
        <v/>
      </c>
      <c r="N59" s="601">
        <f>'Entsorgung Déchets'!L69</f>
        <v>0.000959</v>
      </c>
      <c r="O59" s="601">
        <f>'Entsorgung Déchets'!M69</f>
        <v>0.0609</v>
      </c>
      <c r="P59" s="601" t="str">
        <f>'Entsorgung Déchets'!N69</f>
        <v/>
      </c>
      <c r="Q59" s="601">
        <f>'Entsorgung Déchets'!O69</f>
        <v>0.0609</v>
      </c>
      <c r="R59" s="601">
        <f>'Entsorgung Déchets'!P69</f>
        <v>0.127</v>
      </c>
      <c r="S59" s="601" t="str">
        <f>'Entsorgung Déchets'!Q69</f>
        <v/>
      </c>
      <c r="T59" s="601">
        <f>'Entsorgung Déchets'!R69</f>
        <v>0.127</v>
      </c>
      <c r="U59" s="2" t="str">
        <f>'Entsorgung Déchets'!C69</f>
        <v>kg</v>
      </c>
      <c r="V59" s="2" t="str">
        <f t="shared" si="3"/>
        <v>mass</v>
      </c>
      <c r="W59" s="2"/>
      <c r="X59" s="2" t="str">
        <f t="shared" si="4"/>
        <v>91.056</v>
      </c>
      <c r="Y59" s="7" t="s">
        <v>203</v>
      </c>
      <c r="Z59" s="7" t="s">
        <v>204</v>
      </c>
      <c r="AA59" s="414">
        <v>60.0</v>
      </c>
    </row>
    <row r="60">
      <c r="A60" s="2" t="str">
        <f>'Entsorgung Déchets'!A70 &amp; " " &amp; 'Entsorgung Déchets'!B70 &amp; " (KBOB.2016)"</f>
        <v>91.057 Entsorgungsmix Spanplatte, Innenanwendung (KBOB.2016)</v>
      </c>
      <c r="B60" s="2" t="str">
        <f t="shared" si="1"/>
        <v>91.057 Entsorgungsmix Spanplatte, Innenanwendung (KBOB.2016)</v>
      </c>
      <c r="C60" s="2"/>
      <c r="D60" s="2"/>
      <c r="E60" s="2"/>
      <c r="F60" s="2" t="s">
        <v>186</v>
      </c>
      <c r="G60" s="2" t="str">
        <f t="shared" si="2"/>
        <v>OTHER_RESOURCE_DISPOSAL_CONSTRUCTION_MATERIAL</v>
      </c>
      <c r="H60" s="2"/>
      <c r="I60" s="600">
        <f>'Entsorgung Déchets'!D70</f>
        <v>91.4</v>
      </c>
      <c r="J60" s="600" t="str">
        <f>'Entsorgung Déchets'!E70</f>
        <v/>
      </c>
      <c r="K60" s="600">
        <f>'Entsorgung Déchets'!F70</f>
        <v>91.4</v>
      </c>
      <c r="L60" s="601">
        <f>'Entsorgung Déchets'!J70</f>
        <v>0.000959</v>
      </c>
      <c r="M60" s="601" t="str">
        <f>'Entsorgung Déchets'!K70</f>
        <v/>
      </c>
      <c r="N60" s="601">
        <f>'Entsorgung Déchets'!L70</f>
        <v>0.000959</v>
      </c>
      <c r="O60" s="601">
        <f>'Entsorgung Déchets'!M70</f>
        <v>0.0609</v>
      </c>
      <c r="P60" s="601" t="str">
        <f>'Entsorgung Déchets'!N70</f>
        <v/>
      </c>
      <c r="Q60" s="601">
        <f>'Entsorgung Déchets'!O70</f>
        <v>0.0609</v>
      </c>
      <c r="R60" s="601">
        <f>'Entsorgung Déchets'!P70</f>
        <v>0.127</v>
      </c>
      <c r="S60" s="601" t="str">
        <f>'Entsorgung Déchets'!Q70</f>
        <v/>
      </c>
      <c r="T60" s="601">
        <f>'Entsorgung Déchets'!R70</f>
        <v>0.127</v>
      </c>
      <c r="U60" s="2" t="str">
        <f>'Entsorgung Déchets'!C70</f>
        <v>kg</v>
      </c>
      <c r="V60" s="2" t="str">
        <f t="shared" si="3"/>
        <v>mass</v>
      </c>
      <c r="W60" s="2"/>
      <c r="X60" s="2" t="str">
        <f t="shared" si="4"/>
        <v>91.057</v>
      </c>
      <c r="Y60" s="7" t="s">
        <v>203</v>
      </c>
      <c r="Z60" s="7" t="s">
        <v>204</v>
      </c>
      <c r="AA60" s="414">
        <v>60.0</v>
      </c>
    </row>
    <row r="61">
      <c r="A61" s="2" t="str">
        <f>'Entsorgung Déchets'!A71 &amp; " " &amp; 'Entsorgung Déchets'!B71 &amp; " (KBOB.2016)"</f>
        <v>91.058 Entsorgungsmix Sperrholz, Aussenanwendung (KBOB.2016)</v>
      </c>
      <c r="B61" s="2" t="str">
        <f t="shared" si="1"/>
        <v>91.058 Entsorgungsmix Sperrholz, Aussenanwendung (KBOB.2016)</v>
      </c>
      <c r="C61" s="2"/>
      <c r="D61" s="2"/>
      <c r="E61" s="2"/>
      <c r="F61" s="2" t="s">
        <v>186</v>
      </c>
      <c r="G61" s="2" t="str">
        <f t="shared" si="2"/>
        <v>OTHER_RESOURCE_DISPOSAL_CONSTRUCTION_MATERIAL</v>
      </c>
      <c r="H61" s="2"/>
      <c r="I61" s="600">
        <f>'Entsorgung Déchets'!D71</f>
        <v>79.7</v>
      </c>
      <c r="J61" s="600" t="str">
        <f>'Entsorgung Déchets'!E71</f>
        <v/>
      </c>
      <c r="K61" s="600">
        <f>'Entsorgung Déchets'!F71</f>
        <v>79.7</v>
      </c>
      <c r="L61" s="601">
        <f>'Entsorgung Déchets'!J71</f>
        <v>0.000836</v>
      </c>
      <c r="M61" s="601" t="str">
        <f>'Entsorgung Déchets'!K71</f>
        <v/>
      </c>
      <c r="N61" s="601">
        <f>'Entsorgung Déchets'!L71</f>
        <v>0.000836</v>
      </c>
      <c r="O61" s="601">
        <f>'Entsorgung Déchets'!M71</f>
        <v>0.0531</v>
      </c>
      <c r="P61" s="601" t="str">
        <f>'Entsorgung Déchets'!N71</f>
        <v/>
      </c>
      <c r="Q61" s="601">
        <f>'Entsorgung Déchets'!O71</f>
        <v>0.0531</v>
      </c>
      <c r="R61" s="601">
        <f>'Entsorgung Déchets'!P71</f>
        <v>0.111</v>
      </c>
      <c r="S61" s="601" t="str">
        <f>'Entsorgung Déchets'!Q71</f>
        <v/>
      </c>
      <c r="T61" s="601">
        <f>'Entsorgung Déchets'!R71</f>
        <v>0.111</v>
      </c>
      <c r="U61" s="2" t="str">
        <f>'Entsorgung Déchets'!C71</f>
        <v>kg</v>
      </c>
      <c r="V61" s="2" t="str">
        <f t="shared" si="3"/>
        <v>mass</v>
      </c>
      <c r="W61" s="2"/>
      <c r="X61" s="2" t="str">
        <f t="shared" si="4"/>
        <v>91.058</v>
      </c>
      <c r="Y61" s="7" t="s">
        <v>203</v>
      </c>
      <c r="Z61" s="7" t="s">
        <v>204</v>
      </c>
      <c r="AA61" s="414">
        <v>60.0</v>
      </c>
    </row>
    <row r="62">
      <c r="A62" s="2" t="str">
        <f>'Entsorgung Déchets'!A72 &amp; " " &amp; 'Entsorgung Déchets'!B72 &amp; " (KBOB.2016)"</f>
        <v>91.059 Entsorgungsmix, Backstein (KBOB.2016)</v>
      </c>
      <c r="B62" s="2" t="str">
        <f t="shared" si="1"/>
        <v>91.059 Entsorgungsmix, Backstein (KBOB.2016)</v>
      </c>
      <c r="C62" s="2"/>
      <c r="D62" s="2"/>
      <c r="E62" s="2"/>
      <c r="F62" s="2" t="s">
        <v>186</v>
      </c>
      <c r="G62" s="2" t="str">
        <f t="shared" si="2"/>
        <v>OTHER_RESOURCE_DISPOSAL_CONSTRUCTION_MATERIAL</v>
      </c>
      <c r="H62" s="2"/>
      <c r="I62" s="600">
        <f>'Entsorgung Déchets'!D72</f>
        <v>25.8</v>
      </c>
      <c r="J62" s="600" t="str">
        <f>'Entsorgung Déchets'!E72</f>
        <v/>
      </c>
      <c r="K62" s="600">
        <f>'Entsorgung Déchets'!F72</f>
        <v>25.8</v>
      </c>
      <c r="L62" s="601">
        <f>'Entsorgung Déchets'!J72</f>
        <v>0.00177</v>
      </c>
      <c r="M62" s="601" t="str">
        <f>'Entsorgung Déchets'!K72</f>
        <v/>
      </c>
      <c r="N62" s="601">
        <f>'Entsorgung Déchets'!L72</f>
        <v>0.00177</v>
      </c>
      <c r="O62" s="601">
        <f>'Entsorgung Déchets'!M72</f>
        <v>0.0505</v>
      </c>
      <c r="P62" s="601" t="str">
        <f>'Entsorgung Déchets'!N72</f>
        <v/>
      </c>
      <c r="Q62" s="601">
        <f>'Entsorgung Déchets'!O72</f>
        <v>0.0505</v>
      </c>
      <c r="R62" s="601">
        <f>'Entsorgung Déchets'!P72</f>
        <v>0.00903</v>
      </c>
      <c r="S62" s="601" t="str">
        <f>'Entsorgung Déchets'!Q72</f>
        <v/>
      </c>
      <c r="T62" s="601">
        <f>'Entsorgung Déchets'!R72</f>
        <v>0.00903</v>
      </c>
      <c r="U62" s="2" t="str">
        <f>'Entsorgung Déchets'!C72</f>
        <v>kg</v>
      </c>
      <c r="V62" s="2" t="str">
        <f t="shared" si="3"/>
        <v>mass</v>
      </c>
      <c r="W62" s="2"/>
      <c r="X62" s="2" t="str">
        <f t="shared" si="4"/>
        <v>91.059</v>
      </c>
      <c r="Y62" s="7" t="s">
        <v>203</v>
      </c>
      <c r="Z62" s="7" t="s">
        <v>204</v>
      </c>
      <c r="AA62" s="414">
        <v>60.0</v>
      </c>
    </row>
    <row r="63">
      <c r="A63" s="2" t="str">
        <f>'Entsorgung Déchets'!A73 &amp; " " &amp; 'Entsorgung Déchets'!B73 &amp; " (KBOB.2016)"</f>
        <v>91.060 Entsorgungsmix, Beton bewehrt (KBOB.2016)</v>
      </c>
      <c r="B63" s="2" t="str">
        <f t="shared" si="1"/>
        <v>91.060 Entsorgungsmix, Beton bewehrt (KBOB.2016)</v>
      </c>
      <c r="C63" s="2"/>
      <c r="D63" s="2"/>
      <c r="E63" s="2"/>
      <c r="F63" s="2" t="s">
        <v>186</v>
      </c>
      <c r="G63" s="2" t="str">
        <f t="shared" si="2"/>
        <v>OTHER_RESOURCE_DISPOSAL_CONSTRUCTION_MATERIAL</v>
      </c>
      <c r="H63" s="2"/>
      <c r="I63" s="600">
        <f>'Entsorgung Déchets'!D73</f>
        <v>27.4</v>
      </c>
      <c r="J63" s="600" t="str">
        <f>'Entsorgung Déchets'!E73</f>
        <v/>
      </c>
      <c r="K63" s="600">
        <f>'Entsorgung Déchets'!F73</f>
        <v>27.4</v>
      </c>
      <c r="L63" s="601">
        <f>'Entsorgung Déchets'!J73</f>
        <v>0.00201</v>
      </c>
      <c r="M63" s="601" t="str">
        <f>'Entsorgung Déchets'!K73</f>
        <v/>
      </c>
      <c r="N63" s="601">
        <f>'Entsorgung Déchets'!L73</f>
        <v>0.00201</v>
      </c>
      <c r="O63" s="601">
        <f>'Entsorgung Déchets'!M73</f>
        <v>0.0541</v>
      </c>
      <c r="P63" s="601" t="str">
        <f>'Entsorgung Déchets'!N73</f>
        <v/>
      </c>
      <c r="Q63" s="601">
        <f>'Entsorgung Déchets'!O73</f>
        <v>0.0541</v>
      </c>
      <c r="R63" s="601">
        <f>'Entsorgung Déchets'!P73</f>
        <v>0.0105</v>
      </c>
      <c r="S63" s="601" t="str">
        <f>'Entsorgung Déchets'!Q73</f>
        <v/>
      </c>
      <c r="T63" s="601">
        <f>'Entsorgung Déchets'!R73</f>
        <v>0.0105</v>
      </c>
      <c r="U63" s="2" t="str">
        <f>'Entsorgung Déchets'!C73</f>
        <v>kg</v>
      </c>
      <c r="V63" s="2" t="str">
        <f t="shared" si="3"/>
        <v>mass</v>
      </c>
      <c r="W63" s="2"/>
      <c r="X63" s="2" t="str">
        <f t="shared" si="4"/>
        <v>91.060</v>
      </c>
      <c r="Y63" s="7" t="s">
        <v>203</v>
      </c>
      <c r="Z63" s="7" t="s">
        <v>204</v>
      </c>
      <c r="AA63" s="414">
        <v>60.0</v>
      </c>
    </row>
    <row r="64">
      <c r="A64" s="2" t="str">
        <f>'Entsorgung Déchets'!A74 &amp; " " &amp; 'Entsorgung Déchets'!B74 &amp; " (KBOB.2016)"</f>
        <v>91.061 Entsorgungsmix, Beton unbewehrt (KBOB.2016)</v>
      </c>
      <c r="B64" s="2" t="str">
        <f t="shared" si="1"/>
        <v>91.061 Entsorgungsmix, Beton unbewehrt (KBOB.2016)</v>
      </c>
      <c r="C64" s="2"/>
      <c r="D64" s="2"/>
      <c r="E64" s="2"/>
      <c r="F64" s="2" t="s">
        <v>186</v>
      </c>
      <c r="G64" s="2" t="str">
        <f t="shared" si="2"/>
        <v>OTHER_RESOURCE_DISPOSAL_CONSTRUCTION_MATERIAL</v>
      </c>
      <c r="H64" s="2"/>
      <c r="I64" s="600">
        <f>'Entsorgung Déchets'!D74</f>
        <v>25.1</v>
      </c>
      <c r="J64" s="600" t="str">
        <f>'Entsorgung Déchets'!E74</f>
        <v/>
      </c>
      <c r="K64" s="600">
        <f>'Entsorgung Déchets'!F74</f>
        <v>25.1</v>
      </c>
      <c r="L64" s="601">
        <f>'Entsorgung Déchets'!J74</f>
        <v>0.00198</v>
      </c>
      <c r="M64" s="601" t="str">
        <f>'Entsorgung Déchets'!K74</f>
        <v/>
      </c>
      <c r="N64" s="601">
        <f>'Entsorgung Déchets'!L74</f>
        <v>0.00198</v>
      </c>
      <c r="O64" s="601">
        <f>'Entsorgung Déchets'!M74</f>
        <v>0.0474</v>
      </c>
      <c r="P64" s="601" t="str">
        <f>'Entsorgung Déchets'!N74</f>
        <v/>
      </c>
      <c r="Q64" s="601">
        <f>'Entsorgung Déchets'!O74</f>
        <v>0.0474</v>
      </c>
      <c r="R64" s="601">
        <f>'Entsorgung Déchets'!P74</f>
        <v>0.00887</v>
      </c>
      <c r="S64" s="601" t="str">
        <f>'Entsorgung Déchets'!Q74</f>
        <v/>
      </c>
      <c r="T64" s="601">
        <f>'Entsorgung Déchets'!R74</f>
        <v>0.00887</v>
      </c>
      <c r="U64" s="2" t="str">
        <f>'Entsorgung Déchets'!C74</f>
        <v>kg</v>
      </c>
      <c r="V64" s="2" t="str">
        <f t="shared" si="3"/>
        <v>mass</v>
      </c>
      <c r="W64" s="2"/>
      <c r="X64" s="2" t="str">
        <f t="shared" si="4"/>
        <v>91.061</v>
      </c>
      <c r="Y64" s="7" t="s">
        <v>203</v>
      </c>
      <c r="Z64" s="7" t="s">
        <v>204</v>
      </c>
      <c r="AA64" s="414">
        <v>60.0</v>
      </c>
    </row>
    <row r="65">
      <c r="A65" s="2" t="str">
        <f>'Entsorgung Déchets'!A75 &amp; " " &amp; 'Entsorgung Déchets'!B75 &amp; " (KBOB.2016)"</f>
        <v>91.062 Entsorgungsmix, Betonkies (KBOB.2016)</v>
      </c>
      <c r="B65" s="2" t="str">
        <f t="shared" si="1"/>
        <v>91.062 Entsorgungsmix, Betonkies (KBOB.2016)</v>
      </c>
      <c r="C65" s="2"/>
      <c r="D65" s="2"/>
      <c r="E65" s="2"/>
      <c r="F65" s="2" t="s">
        <v>186</v>
      </c>
      <c r="G65" s="2" t="str">
        <f t="shared" si="2"/>
        <v>OTHER_RESOURCE_DISPOSAL_CONSTRUCTION_MATERIAL</v>
      </c>
      <c r="H65" s="2"/>
      <c r="I65" s="600">
        <f>'Entsorgung Déchets'!D75</f>
        <v>25.1</v>
      </c>
      <c r="J65" s="600" t="str">
        <f>'Entsorgung Déchets'!E75</f>
        <v/>
      </c>
      <c r="K65" s="600">
        <f>'Entsorgung Déchets'!F75</f>
        <v>25.1</v>
      </c>
      <c r="L65" s="601">
        <f>'Entsorgung Déchets'!J75</f>
        <v>0.00198</v>
      </c>
      <c r="M65" s="601" t="str">
        <f>'Entsorgung Déchets'!K75</f>
        <v/>
      </c>
      <c r="N65" s="601">
        <f>'Entsorgung Déchets'!L75</f>
        <v>0.00198</v>
      </c>
      <c r="O65" s="601">
        <f>'Entsorgung Déchets'!M75</f>
        <v>0.0475</v>
      </c>
      <c r="P65" s="601" t="str">
        <f>'Entsorgung Déchets'!N75</f>
        <v/>
      </c>
      <c r="Q65" s="601">
        <f>'Entsorgung Déchets'!O75</f>
        <v>0.0475</v>
      </c>
      <c r="R65" s="601">
        <f>'Entsorgung Déchets'!P75</f>
        <v>0.00889</v>
      </c>
      <c r="S65" s="601" t="str">
        <f>'Entsorgung Déchets'!Q75</f>
        <v/>
      </c>
      <c r="T65" s="601">
        <f>'Entsorgung Déchets'!R75</f>
        <v>0.00889</v>
      </c>
      <c r="U65" s="2" t="str">
        <f>'Entsorgung Déchets'!C75</f>
        <v>kg</v>
      </c>
      <c r="V65" s="2" t="str">
        <f t="shared" si="3"/>
        <v>mass</v>
      </c>
      <c r="W65" s="2"/>
      <c r="X65" s="2" t="str">
        <f t="shared" si="4"/>
        <v>91.062</v>
      </c>
      <c r="Y65" s="7" t="s">
        <v>203</v>
      </c>
      <c r="Z65" s="7" t="s">
        <v>204</v>
      </c>
      <c r="AA65" s="414">
        <v>60.0</v>
      </c>
    </row>
    <row r="66">
      <c r="A66" s="2" t="str">
        <f>'Entsorgung Déchets'!A76 &amp; " " &amp; 'Entsorgung Déchets'!B76 &amp; " (KBOB.2016)"</f>
        <v>91.063 Entsorgungsmix, Gipsfaserplatte (KBOB.2016)</v>
      </c>
      <c r="B66" s="2" t="str">
        <f t="shared" si="1"/>
        <v>91.063 Entsorgungsmix, Gipsfaserplatte (KBOB.2016)</v>
      </c>
      <c r="C66" s="2"/>
      <c r="D66" s="2"/>
      <c r="E66" s="2"/>
      <c r="F66" s="2" t="s">
        <v>186</v>
      </c>
      <c r="G66" s="2" t="str">
        <f t="shared" si="2"/>
        <v>OTHER_RESOURCE_DISPOSAL_CONSTRUCTION_MATERIAL</v>
      </c>
      <c r="H66" s="2"/>
      <c r="I66" s="600">
        <f>'Entsorgung Déchets'!D76</f>
        <v>17.5</v>
      </c>
      <c r="J66" s="600" t="str">
        <f>'Entsorgung Déchets'!E76</f>
        <v/>
      </c>
      <c r="K66" s="600">
        <f>'Entsorgung Déchets'!F76</f>
        <v>17.5</v>
      </c>
      <c r="L66" s="601">
        <f>'Entsorgung Déchets'!J76</f>
        <v>0.000626</v>
      </c>
      <c r="M66" s="601" t="str">
        <f>'Entsorgung Déchets'!K76</f>
        <v/>
      </c>
      <c r="N66" s="601">
        <f>'Entsorgung Déchets'!L76</f>
        <v>0.000626</v>
      </c>
      <c r="O66" s="601">
        <f>'Entsorgung Déchets'!M76</f>
        <v>0.0651</v>
      </c>
      <c r="P66" s="601" t="str">
        <f>'Entsorgung Déchets'!N76</f>
        <v/>
      </c>
      <c r="Q66" s="601">
        <f>'Entsorgung Déchets'!O76</f>
        <v>0.0651</v>
      </c>
      <c r="R66" s="601">
        <f>'Entsorgung Déchets'!P76</f>
        <v>0.00926</v>
      </c>
      <c r="S66" s="601" t="str">
        <f>'Entsorgung Déchets'!Q76</f>
        <v/>
      </c>
      <c r="T66" s="601">
        <f>'Entsorgung Déchets'!R76</f>
        <v>0.00926</v>
      </c>
      <c r="U66" s="2" t="str">
        <f>'Entsorgung Déchets'!C76</f>
        <v>kg</v>
      </c>
      <c r="V66" s="2" t="str">
        <f t="shared" si="3"/>
        <v>mass</v>
      </c>
      <c r="W66" s="2"/>
      <c r="X66" s="2" t="str">
        <f t="shared" si="4"/>
        <v>91.063</v>
      </c>
      <c r="Y66" s="7" t="s">
        <v>203</v>
      </c>
      <c r="Z66" s="7" t="s">
        <v>204</v>
      </c>
      <c r="AA66" s="414">
        <v>60.0</v>
      </c>
    </row>
    <row r="67">
      <c r="A67" s="2" t="str">
        <f>'Entsorgung Déchets'!A77 &amp; " " &amp; 'Entsorgung Déchets'!B77 &amp; " (KBOB.2016)"</f>
        <v>91.064 Entsorgungsmix, Gipskartonplatte (KBOB.2016)</v>
      </c>
      <c r="B67" s="2" t="str">
        <f t="shared" si="1"/>
        <v>91.064 Entsorgungsmix, Gipskartonplatte (KBOB.2016)</v>
      </c>
      <c r="C67" s="2"/>
      <c r="D67" s="2"/>
      <c r="E67" s="2"/>
      <c r="F67" s="2" t="s">
        <v>186</v>
      </c>
      <c r="G67" s="2" t="str">
        <f t="shared" si="2"/>
        <v>OTHER_RESOURCE_DISPOSAL_CONSTRUCTION_MATERIAL</v>
      </c>
      <c r="H67" s="2"/>
      <c r="I67" s="600">
        <f>'Entsorgung Déchets'!D77</f>
        <v>17.3</v>
      </c>
      <c r="J67" s="600" t="str">
        <f>'Entsorgung Déchets'!E77</f>
        <v/>
      </c>
      <c r="K67" s="600">
        <f>'Entsorgung Déchets'!F77</f>
        <v>17.3</v>
      </c>
      <c r="L67" s="601">
        <f>'Entsorgung Déchets'!J77</f>
        <v>0.000621</v>
      </c>
      <c r="M67" s="601" t="str">
        <f>'Entsorgung Déchets'!K77</f>
        <v/>
      </c>
      <c r="N67" s="601">
        <f>'Entsorgung Déchets'!L77</f>
        <v>0.000621</v>
      </c>
      <c r="O67" s="601">
        <f>'Entsorgung Déchets'!M77</f>
        <v>0.0645</v>
      </c>
      <c r="P67" s="601" t="str">
        <f>'Entsorgung Déchets'!N77</f>
        <v/>
      </c>
      <c r="Q67" s="601">
        <f>'Entsorgung Déchets'!O77</f>
        <v>0.0645</v>
      </c>
      <c r="R67" s="601">
        <f>'Entsorgung Déchets'!P77</f>
        <v>0.00918</v>
      </c>
      <c r="S67" s="601" t="str">
        <f>'Entsorgung Déchets'!Q77</f>
        <v/>
      </c>
      <c r="T67" s="601">
        <f>'Entsorgung Déchets'!R77</f>
        <v>0.00918</v>
      </c>
      <c r="U67" s="2" t="str">
        <f>'Entsorgung Déchets'!C77</f>
        <v>kg</v>
      </c>
      <c r="V67" s="2" t="str">
        <f t="shared" si="3"/>
        <v>mass</v>
      </c>
      <c r="W67" s="2"/>
      <c r="X67" s="2" t="str">
        <f t="shared" si="4"/>
        <v>91.064</v>
      </c>
      <c r="Y67" s="7" t="s">
        <v>203</v>
      </c>
      <c r="Z67" s="7" t="s">
        <v>204</v>
      </c>
      <c r="AA67" s="414">
        <v>60.0</v>
      </c>
    </row>
    <row r="68">
      <c r="A68" s="2" t="str">
        <f>'Entsorgung Déchets'!A78 &amp; " " &amp; 'Entsorgung Déchets'!B78 &amp; " (KBOB.2016)"</f>
        <v>91.065 Entsorgungsmix, Kalksandstein (KBOB.2016)</v>
      </c>
      <c r="B68" s="2" t="str">
        <f t="shared" si="1"/>
        <v>91.065 Entsorgungsmix, Kalksandstein (KBOB.2016)</v>
      </c>
      <c r="C68" s="2"/>
      <c r="D68" s="2"/>
      <c r="E68" s="2"/>
      <c r="F68" s="2" t="s">
        <v>186</v>
      </c>
      <c r="G68" s="2" t="str">
        <f t="shared" si="2"/>
        <v>OTHER_RESOURCE_DISPOSAL_CONSTRUCTION_MATERIAL</v>
      </c>
      <c r="H68" s="2"/>
      <c r="I68" s="600">
        <f>'Entsorgung Déchets'!D78</f>
        <v>25.1</v>
      </c>
      <c r="J68" s="600" t="str">
        <f>'Entsorgung Déchets'!E78</f>
        <v/>
      </c>
      <c r="K68" s="600">
        <f>'Entsorgung Déchets'!F78</f>
        <v>25.1</v>
      </c>
      <c r="L68" s="601">
        <f>'Entsorgung Déchets'!J78</f>
        <v>0.00186</v>
      </c>
      <c r="M68" s="601" t="str">
        <f>'Entsorgung Déchets'!K78</f>
        <v/>
      </c>
      <c r="N68" s="601">
        <f>'Entsorgung Déchets'!L78</f>
        <v>0.00186</v>
      </c>
      <c r="O68" s="601">
        <f>'Entsorgung Déchets'!M78</f>
        <v>0.0481</v>
      </c>
      <c r="P68" s="601" t="str">
        <f>'Entsorgung Déchets'!N78</f>
        <v/>
      </c>
      <c r="Q68" s="601">
        <f>'Entsorgung Déchets'!O78</f>
        <v>0.0481</v>
      </c>
      <c r="R68" s="601">
        <f>'Entsorgung Déchets'!P78</f>
        <v>0.00868</v>
      </c>
      <c r="S68" s="601" t="str">
        <f>'Entsorgung Déchets'!Q78</f>
        <v/>
      </c>
      <c r="T68" s="601">
        <f>'Entsorgung Déchets'!R78</f>
        <v>0.00868</v>
      </c>
      <c r="U68" s="2" t="str">
        <f>'Entsorgung Déchets'!C78</f>
        <v>kg</v>
      </c>
      <c r="V68" s="2" t="str">
        <f t="shared" si="3"/>
        <v>mass</v>
      </c>
      <c r="W68" s="2"/>
      <c r="X68" s="2" t="str">
        <f t="shared" si="4"/>
        <v>91.065</v>
      </c>
      <c r="Y68" s="7" t="s">
        <v>203</v>
      </c>
      <c r="Z68" s="7" t="s">
        <v>204</v>
      </c>
      <c r="AA68" s="414">
        <v>60.0</v>
      </c>
    </row>
    <row r="69">
      <c r="A69" s="2" t="str">
        <f>'Entsorgung Déchets'!A79 &amp; " " &amp; 'Entsorgung Déchets'!B79 &amp; " (KBOB.2016)"</f>
        <v>91.066 Entsorgungsmix, Kunststoffputz (KBOB.2016)</v>
      </c>
      <c r="B69" s="2" t="str">
        <f t="shared" si="1"/>
        <v>91.066 Entsorgungsmix, Kunststoffputz (KBOB.2016)</v>
      </c>
      <c r="C69" s="2"/>
      <c r="D69" s="2"/>
      <c r="E69" s="2"/>
      <c r="F69" s="2" t="s">
        <v>186</v>
      </c>
      <c r="G69" s="2" t="str">
        <f t="shared" si="2"/>
        <v>OTHER_RESOURCE_DISPOSAL_CONSTRUCTION_MATERIAL</v>
      </c>
      <c r="H69" s="2"/>
      <c r="I69" s="600">
        <f>'Entsorgung Déchets'!D79</f>
        <v>19.5</v>
      </c>
      <c r="J69" s="600" t="str">
        <f>'Entsorgung Déchets'!E79</f>
        <v/>
      </c>
      <c r="K69" s="600">
        <f>'Entsorgung Déchets'!F79</f>
        <v>19.5</v>
      </c>
      <c r="L69" s="601">
        <f>'Entsorgung Déchets'!J79</f>
        <v>0.0019</v>
      </c>
      <c r="M69" s="601" t="str">
        <f>'Entsorgung Déchets'!K79</f>
        <v/>
      </c>
      <c r="N69" s="601">
        <f>'Entsorgung Déchets'!L79</f>
        <v>0.0019</v>
      </c>
      <c r="O69" s="601">
        <f>'Entsorgung Déchets'!M79</f>
        <v>0.0311</v>
      </c>
      <c r="P69" s="601" t="str">
        <f>'Entsorgung Déchets'!N79</f>
        <v/>
      </c>
      <c r="Q69" s="601">
        <f>'Entsorgung Déchets'!O79</f>
        <v>0.0311</v>
      </c>
      <c r="R69" s="601">
        <f>'Entsorgung Déchets'!P79</f>
        <v>0.00488</v>
      </c>
      <c r="S69" s="601" t="str">
        <f>'Entsorgung Déchets'!Q79</f>
        <v/>
      </c>
      <c r="T69" s="601">
        <f>'Entsorgung Déchets'!R79</f>
        <v>0.00488</v>
      </c>
      <c r="U69" s="2" t="str">
        <f>'Entsorgung Déchets'!C79</f>
        <v>kg</v>
      </c>
      <c r="V69" s="2" t="str">
        <f t="shared" si="3"/>
        <v>mass</v>
      </c>
      <c r="W69" s="2"/>
      <c r="X69" s="2" t="str">
        <f t="shared" si="4"/>
        <v>91.066</v>
      </c>
      <c r="Y69" s="7" t="s">
        <v>203</v>
      </c>
      <c r="Z69" s="7" t="s">
        <v>204</v>
      </c>
      <c r="AA69" s="414">
        <v>60.0</v>
      </c>
    </row>
    <row r="70">
      <c r="A70" s="2" t="str">
        <f>'Entsorgung Déchets'!A80 &amp; " " &amp; 'Entsorgung Déchets'!B80 &amp; " (KBOB.2016)"</f>
        <v>91.067 Entsorgungsmix, Mineralischer Putz (KBOB.2016)</v>
      </c>
      <c r="B70" s="2" t="str">
        <f t="shared" si="1"/>
        <v>91.067 Entsorgungsmix, Mineralischer Putz (KBOB.2016)</v>
      </c>
      <c r="C70" s="2"/>
      <c r="D70" s="2"/>
      <c r="E70" s="2"/>
      <c r="F70" s="2" t="s">
        <v>186</v>
      </c>
      <c r="G70" s="2" t="str">
        <f t="shared" si="2"/>
        <v>OTHER_RESOURCE_DISPOSAL_CONSTRUCTION_MATERIAL</v>
      </c>
      <c r="H70" s="2"/>
      <c r="I70" s="600">
        <f>'Entsorgung Déchets'!D80</f>
        <v>19.3</v>
      </c>
      <c r="J70" s="600" t="str">
        <f>'Entsorgung Déchets'!E80</f>
        <v/>
      </c>
      <c r="K70" s="600">
        <f>'Entsorgung Déchets'!F80</f>
        <v>19.3</v>
      </c>
      <c r="L70" s="601">
        <f>'Entsorgung Déchets'!J80</f>
        <v>0.0019</v>
      </c>
      <c r="M70" s="601" t="str">
        <f>'Entsorgung Déchets'!K80</f>
        <v/>
      </c>
      <c r="N70" s="601">
        <f>'Entsorgung Déchets'!L80</f>
        <v>0.0019</v>
      </c>
      <c r="O70" s="601">
        <f>'Entsorgung Déchets'!M80</f>
        <v>0.0305</v>
      </c>
      <c r="P70" s="601" t="str">
        <f>'Entsorgung Déchets'!N80</f>
        <v/>
      </c>
      <c r="Q70" s="601">
        <f>'Entsorgung Déchets'!O80</f>
        <v>0.0305</v>
      </c>
      <c r="R70" s="601">
        <f>'Entsorgung Déchets'!P80</f>
        <v>0.00473</v>
      </c>
      <c r="S70" s="601" t="str">
        <f>'Entsorgung Déchets'!Q80</f>
        <v/>
      </c>
      <c r="T70" s="601">
        <f>'Entsorgung Déchets'!R80</f>
        <v>0.00473</v>
      </c>
      <c r="U70" s="2" t="str">
        <f>'Entsorgung Déchets'!C80</f>
        <v>kg</v>
      </c>
      <c r="V70" s="2" t="str">
        <f t="shared" si="3"/>
        <v>mass</v>
      </c>
      <c r="W70" s="2"/>
      <c r="X70" s="2" t="str">
        <f t="shared" si="4"/>
        <v>91.067</v>
      </c>
      <c r="Y70" s="7" t="s">
        <v>203</v>
      </c>
      <c r="Z70" s="7" t="s">
        <v>204</v>
      </c>
      <c r="AA70" s="414">
        <v>60.0</v>
      </c>
    </row>
    <row r="71">
      <c r="A71" s="2" t="str">
        <f>'Entsorgung Déchets'!A81 &amp; " " &amp; 'Entsorgung Déchets'!B81 &amp; " (KBOB.2016)"</f>
        <v>91.068 Entsorgungsmix, Sand (KBOB.2016)</v>
      </c>
      <c r="B71" s="2" t="str">
        <f t="shared" si="1"/>
        <v>91.068 Entsorgungsmix, Sand (KBOB.2016)</v>
      </c>
      <c r="C71" s="2"/>
      <c r="D71" s="2"/>
      <c r="E71" s="2"/>
      <c r="F71" s="2" t="s">
        <v>186</v>
      </c>
      <c r="G71" s="2" t="str">
        <f t="shared" si="2"/>
        <v>OTHER_RESOURCE_DISPOSAL_CONSTRUCTION_MATERIAL</v>
      </c>
      <c r="H71" s="2"/>
      <c r="I71" s="600">
        <f>'Entsorgung Déchets'!D81</f>
        <v>29.7</v>
      </c>
      <c r="J71" s="600" t="str">
        <f>'Entsorgung Déchets'!E81</f>
        <v/>
      </c>
      <c r="K71" s="600">
        <f>'Entsorgung Déchets'!F81</f>
        <v>29.7</v>
      </c>
      <c r="L71" s="601">
        <f>'Entsorgung Déchets'!J81</f>
        <v>0.00143</v>
      </c>
      <c r="M71" s="601" t="str">
        <f>'Entsorgung Déchets'!K81</f>
        <v/>
      </c>
      <c r="N71" s="601">
        <f>'Entsorgung Déchets'!L81</f>
        <v>0.00143</v>
      </c>
      <c r="O71" s="601">
        <f>'Entsorgung Déchets'!M81</f>
        <v>0.064</v>
      </c>
      <c r="P71" s="601" t="str">
        <f>'Entsorgung Déchets'!N81</f>
        <v/>
      </c>
      <c r="Q71" s="601">
        <f>'Entsorgung Déchets'!O81</f>
        <v>0.064</v>
      </c>
      <c r="R71" s="601">
        <f>'Entsorgung Déchets'!P81</f>
        <v>0.0112</v>
      </c>
      <c r="S71" s="601" t="str">
        <f>'Entsorgung Déchets'!Q81</f>
        <v/>
      </c>
      <c r="T71" s="601">
        <f>'Entsorgung Déchets'!R81</f>
        <v>0.0112</v>
      </c>
      <c r="U71" s="2" t="str">
        <f>'Entsorgung Déchets'!C81</f>
        <v>kg</v>
      </c>
      <c r="V71" s="2" t="str">
        <f t="shared" si="3"/>
        <v>mass</v>
      </c>
      <c r="W71" s="2"/>
      <c r="X71" s="2" t="str">
        <f t="shared" si="4"/>
        <v>91.068</v>
      </c>
      <c r="Y71" s="7" t="s">
        <v>203</v>
      </c>
      <c r="Z71" s="7" t="s">
        <v>204</v>
      </c>
      <c r="AA71" s="414">
        <v>60.0</v>
      </c>
    </row>
    <row r="72">
      <c r="A72" s="2" t="str">
        <f>'Entsorgung Déchets'!A82 &amp; " " &amp; 'Entsorgung Déchets'!B82 &amp; " (KBOB.2016)"</f>
        <v>91.069 Entsorgungsmix, Gips-Wandbauplatte / Vollgipsplatte (KBOB.2016)</v>
      </c>
      <c r="B72" s="2" t="str">
        <f t="shared" si="1"/>
        <v>91.069 Entsorgungsmix, Gips-Wandbauplatte / Vollgipsplatte (KBOB.2016)</v>
      </c>
      <c r="C72" s="2"/>
      <c r="D72" s="2"/>
      <c r="E72" s="2"/>
      <c r="F72" s="2" t="s">
        <v>186</v>
      </c>
      <c r="G72" s="2" t="str">
        <f t="shared" si="2"/>
        <v>OTHER_RESOURCE_DISPOSAL_CONSTRUCTION_MATERIAL</v>
      </c>
      <c r="H72" s="2"/>
      <c r="I72" s="600">
        <f>'Entsorgung Déchets'!D82</f>
        <v>17.2</v>
      </c>
      <c r="J72" s="600" t="str">
        <f>'Entsorgung Déchets'!E82</f>
        <v/>
      </c>
      <c r="K72" s="600">
        <f>'Entsorgung Déchets'!F82</f>
        <v>17.2</v>
      </c>
      <c r="L72" s="601">
        <f>'Entsorgung Déchets'!J82</f>
        <v>0.000617</v>
      </c>
      <c r="M72" s="601" t="str">
        <f>'Entsorgung Déchets'!K82</f>
        <v/>
      </c>
      <c r="N72" s="601">
        <f>'Entsorgung Déchets'!L82</f>
        <v>0.000617</v>
      </c>
      <c r="O72" s="601">
        <f>'Entsorgung Déchets'!M82</f>
        <v>0.0641</v>
      </c>
      <c r="P72" s="601" t="str">
        <f>'Entsorgung Déchets'!N82</f>
        <v/>
      </c>
      <c r="Q72" s="601">
        <f>'Entsorgung Déchets'!O82</f>
        <v>0.0641</v>
      </c>
      <c r="R72" s="601">
        <f>'Entsorgung Déchets'!P82</f>
        <v>0.00913</v>
      </c>
      <c r="S72" s="601" t="str">
        <f>'Entsorgung Déchets'!Q82</f>
        <v/>
      </c>
      <c r="T72" s="601">
        <f>'Entsorgung Déchets'!R82</f>
        <v>0.00913</v>
      </c>
      <c r="U72" s="2" t="str">
        <f>'Entsorgung Déchets'!C82</f>
        <v>kg</v>
      </c>
      <c r="V72" s="2" t="str">
        <f t="shared" si="3"/>
        <v>mass</v>
      </c>
      <c r="W72" s="2"/>
      <c r="X72" s="2" t="str">
        <f t="shared" si="4"/>
        <v>91.069</v>
      </c>
      <c r="Y72" s="7" t="s">
        <v>203</v>
      </c>
      <c r="Z72" s="7" t="s">
        <v>204</v>
      </c>
      <c r="AA72" s="414">
        <v>60.0</v>
      </c>
    </row>
    <row r="73">
      <c r="A73" s="2" t="str">
        <f>'Entsorgung Déchets'!A83 &amp; " " &amp; 'Entsorgung Déchets'!B83 &amp; " (KBOB.2016)"</f>
        <v>91.070 Entsorgungsmix, Zement (in Beton) und Mauermörtel (KBOB.2016)</v>
      </c>
      <c r="B73" s="2" t="str">
        <f t="shared" si="1"/>
        <v>91.070 Entsorgungsmix, Zement (in Beton) und Mauermörtel (KBOB.2016)</v>
      </c>
      <c r="C73" s="2"/>
      <c r="D73" s="2"/>
      <c r="E73" s="2"/>
      <c r="F73" s="2" t="s">
        <v>186</v>
      </c>
      <c r="G73" s="2" t="str">
        <f t="shared" si="2"/>
        <v>OTHER_RESOURCE_DISPOSAL_CONSTRUCTION_MATERIAL</v>
      </c>
      <c r="H73" s="2"/>
      <c r="I73" s="600">
        <f>'Entsorgung Déchets'!D83</f>
        <v>26.6</v>
      </c>
      <c r="J73" s="600" t="str">
        <f>'Entsorgung Déchets'!E83</f>
        <v/>
      </c>
      <c r="K73" s="600">
        <f>'Entsorgung Déchets'!F83</f>
        <v>26.6</v>
      </c>
      <c r="L73" s="601">
        <f>'Entsorgung Déchets'!J83</f>
        <v>0.00178</v>
      </c>
      <c r="M73" s="601" t="str">
        <f>'Entsorgung Déchets'!K83</f>
        <v/>
      </c>
      <c r="N73" s="601">
        <f>'Entsorgung Déchets'!L83</f>
        <v>0.00178</v>
      </c>
      <c r="O73" s="601">
        <f>'Entsorgung Déchets'!M83</f>
        <v>0.0529</v>
      </c>
      <c r="P73" s="601" t="str">
        <f>'Entsorgung Déchets'!N83</f>
        <v/>
      </c>
      <c r="Q73" s="601">
        <f>'Entsorgung Déchets'!O83</f>
        <v>0.0529</v>
      </c>
      <c r="R73" s="601">
        <f>'Entsorgung Déchets'!P83</f>
        <v>0.00961</v>
      </c>
      <c r="S73" s="601" t="str">
        <f>'Entsorgung Déchets'!Q83</f>
        <v/>
      </c>
      <c r="T73" s="601">
        <f>'Entsorgung Déchets'!R83</f>
        <v>0.00961</v>
      </c>
      <c r="U73" s="2" t="str">
        <f>'Entsorgung Déchets'!C83</f>
        <v>kg</v>
      </c>
      <c r="V73" s="2" t="str">
        <f t="shared" si="3"/>
        <v>mass</v>
      </c>
      <c r="W73" s="2"/>
      <c r="X73" s="2" t="str">
        <f t="shared" si="4"/>
        <v>91.070</v>
      </c>
      <c r="Y73" s="7" t="s">
        <v>203</v>
      </c>
      <c r="Z73" s="7" t="s">
        <v>204</v>
      </c>
      <c r="AA73" s="414">
        <v>60.0</v>
      </c>
    </row>
    <row r="74">
      <c r="A74" s="2" t="str">
        <f>'Entsorgung Déchets'!A84 &amp; " " &amp; 'Entsorgung Déchets'!B84 &amp; " (KBOB.2016)"</f>
        <v>91.073 Entsorgungsmix, Hanfbeton (KBOB.2016)</v>
      </c>
      <c r="B74" s="2" t="str">
        <f t="shared" si="1"/>
        <v>91.073 Entsorgungsmix, Hanfbeton (KBOB.2016)</v>
      </c>
      <c r="C74" s="2"/>
      <c r="D74" s="2"/>
      <c r="E74" s="2"/>
      <c r="F74" s="2" t="s">
        <v>186</v>
      </c>
      <c r="G74" s="2" t="str">
        <f t="shared" si="2"/>
        <v>OTHER_RESOURCE_DISPOSAL_CONSTRUCTION_MATERIAL</v>
      </c>
      <c r="H74" s="2"/>
      <c r="I74" s="600">
        <f>'Entsorgung Déchets'!D84</f>
        <v>0.743</v>
      </c>
      <c r="J74" s="600" t="str">
        <f>'Entsorgung Déchets'!E84</f>
        <v/>
      </c>
      <c r="K74" s="600">
        <f>'Entsorgung Déchets'!F84</f>
        <v>0.743</v>
      </c>
      <c r="L74" s="601">
        <f>'Entsorgung Déchets'!J84</f>
        <v>0.0000259</v>
      </c>
      <c r="M74" s="601" t="str">
        <f>'Entsorgung Déchets'!K84</f>
        <v/>
      </c>
      <c r="N74" s="601">
        <f>'Entsorgung Déchets'!L84</f>
        <v>0.0000259</v>
      </c>
      <c r="O74" s="601">
        <f>'Entsorgung Déchets'!M84</f>
        <v>0.00278</v>
      </c>
      <c r="P74" s="601" t="str">
        <f>'Entsorgung Déchets'!N84</f>
        <v/>
      </c>
      <c r="Q74" s="601">
        <f>'Entsorgung Déchets'!O84</f>
        <v>0.00278</v>
      </c>
      <c r="R74" s="601">
        <f>'Entsorgung Déchets'!P84</f>
        <v>0.000365</v>
      </c>
      <c r="S74" s="601" t="str">
        <f>'Entsorgung Déchets'!Q84</f>
        <v/>
      </c>
      <c r="T74" s="601">
        <f>'Entsorgung Déchets'!R84</f>
        <v>0.000365</v>
      </c>
      <c r="U74" s="2" t="str">
        <f>'Entsorgung Déchets'!C84</f>
        <v>kg</v>
      </c>
      <c r="V74" s="2" t="str">
        <f t="shared" si="3"/>
        <v>mass</v>
      </c>
      <c r="W74" s="2"/>
      <c r="X74" s="2" t="str">
        <f t="shared" si="4"/>
        <v>91.073</v>
      </c>
      <c r="Y74" s="7" t="s">
        <v>203</v>
      </c>
      <c r="Z74" s="7" t="s">
        <v>204</v>
      </c>
      <c r="AA74" s="414">
        <v>60.0</v>
      </c>
    </row>
    <row r="75">
      <c r="A75" s="2" t="str">
        <f>'Entsorgung Déchets'!A85 &amp; " " &amp; 'Entsorgung Déchets'!B85 &amp; " (KBOB.2016)"</f>
        <v>91.074 Entsorgung, Baugrubensicherung, Bohrpfahlwand, gespriesst (KBOB.2016)</v>
      </c>
      <c r="B75" s="2" t="str">
        <f t="shared" si="1"/>
        <v>91.074 Entsorgung, Baugrubensicherung, Bohrpfahlwand, gespriesst (KBOB.2016)</v>
      </c>
      <c r="C75" s="2"/>
      <c r="D75" s="2"/>
      <c r="E75" s="2"/>
      <c r="F75" s="2" t="s">
        <v>186</v>
      </c>
      <c r="G75" s="2" t="str">
        <f t="shared" si="2"/>
        <v>OTHER_RESOURCE_DISPOSAL_CONSTRUCTION_MATERIAL</v>
      </c>
      <c r="H75" s="2"/>
      <c r="I75" s="600">
        <f>'Entsorgung Déchets'!D85</f>
        <v>130000</v>
      </c>
      <c r="J75" s="600" t="str">
        <f>'Entsorgung Déchets'!E85</f>
        <v/>
      </c>
      <c r="K75" s="600">
        <f>'Entsorgung Déchets'!F85</f>
        <v>130000</v>
      </c>
      <c r="L75" s="601">
        <f>'Entsorgung Déchets'!J85</f>
        <v>9.57</v>
      </c>
      <c r="M75" s="601" t="str">
        <f>'Entsorgung Déchets'!K85</f>
        <v/>
      </c>
      <c r="N75" s="601">
        <f>'Entsorgung Déchets'!L85</f>
        <v>9.57</v>
      </c>
      <c r="O75" s="601">
        <f>'Entsorgung Déchets'!M85</f>
        <v>258</v>
      </c>
      <c r="P75" s="601" t="str">
        <f>'Entsorgung Déchets'!N85</f>
        <v/>
      </c>
      <c r="Q75" s="601">
        <f>'Entsorgung Déchets'!O85</f>
        <v>258</v>
      </c>
      <c r="R75" s="601">
        <f>'Entsorgung Déchets'!P85</f>
        <v>50.2</v>
      </c>
      <c r="S75" s="601" t="str">
        <f>'Entsorgung Déchets'!Q85</f>
        <v/>
      </c>
      <c r="T75" s="601">
        <f>'Entsorgung Déchets'!R85</f>
        <v>50.2</v>
      </c>
      <c r="U75" s="2" t="str">
        <f>'Entsorgung Déchets'!C85</f>
        <v>m2</v>
      </c>
      <c r="V75" s="2" t="str">
        <f t="shared" si="3"/>
        <v>area</v>
      </c>
      <c r="W75" s="2"/>
      <c r="X75" s="2" t="str">
        <f t="shared" si="4"/>
        <v>91.074</v>
      </c>
      <c r="Y75" s="7" t="s">
        <v>203</v>
      </c>
      <c r="Z75" s="7" t="s">
        <v>204</v>
      </c>
      <c r="AA75" s="414">
        <v>60.0</v>
      </c>
    </row>
    <row r="76">
      <c r="A76" s="2" t="str">
        <f>'Entsorgung Déchets'!A86 &amp; " " &amp; 'Entsorgung Déchets'!B86 &amp; " (KBOB.2016)"</f>
        <v>91.075 Entsorgung, Baugrubensicherung, Bohrpfahlwand, unverankert (KBOB.2016)</v>
      </c>
      <c r="B76" s="2" t="str">
        <f t="shared" si="1"/>
        <v>91.075 Entsorgung, Baugrubensicherung, Bohrpfahlwand, unverankert (KBOB.2016)</v>
      </c>
      <c r="C76" s="2"/>
      <c r="D76" s="2"/>
      <c r="E76" s="2"/>
      <c r="F76" s="2" t="s">
        <v>186</v>
      </c>
      <c r="G76" s="2" t="str">
        <f t="shared" si="2"/>
        <v>OTHER_RESOURCE_DISPOSAL_CONSTRUCTION_MATERIAL</v>
      </c>
      <c r="H76" s="2"/>
      <c r="I76" s="600">
        <f>'Entsorgung Déchets'!D86</f>
        <v>130000</v>
      </c>
      <c r="J76" s="600" t="str">
        <f>'Entsorgung Déchets'!E86</f>
        <v/>
      </c>
      <c r="K76" s="600">
        <f>'Entsorgung Déchets'!F86</f>
        <v>130000</v>
      </c>
      <c r="L76" s="601">
        <f>'Entsorgung Déchets'!J86</f>
        <v>9.57</v>
      </c>
      <c r="M76" s="601" t="str">
        <f>'Entsorgung Déchets'!K86</f>
        <v/>
      </c>
      <c r="N76" s="601">
        <f>'Entsorgung Déchets'!L86</f>
        <v>9.57</v>
      </c>
      <c r="O76" s="601">
        <f>'Entsorgung Déchets'!M86</f>
        <v>258</v>
      </c>
      <c r="P76" s="601" t="str">
        <f>'Entsorgung Déchets'!N86</f>
        <v/>
      </c>
      <c r="Q76" s="601">
        <f>'Entsorgung Déchets'!O86</f>
        <v>258</v>
      </c>
      <c r="R76" s="601">
        <f>'Entsorgung Déchets'!P86</f>
        <v>50.2</v>
      </c>
      <c r="S76" s="601" t="str">
        <f>'Entsorgung Déchets'!Q86</f>
        <v/>
      </c>
      <c r="T76" s="601">
        <f>'Entsorgung Déchets'!R86</f>
        <v>50.2</v>
      </c>
      <c r="U76" s="2" t="str">
        <f>'Entsorgung Déchets'!C86</f>
        <v>m2</v>
      </c>
      <c r="V76" s="2" t="str">
        <f t="shared" si="3"/>
        <v>area</v>
      </c>
      <c r="W76" s="2"/>
      <c r="X76" s="2" t="str">
        <f t="shared" si="4"/>
        <v>91.075</v>
      </c>
      <c r="Y76" s="7" t="s">
        <v>203</v>
      </c>
      <c r="Z76" s="7" t="s">
        <v>204</v>
      </c>
      <c r="AA76" s="414">
        <v>60.0</v>
      </c>
    </row>
    <row r="77">
      <c r="A77" s="2" t="str">
        <f>'Entsorgung Déchets'!A87 &amp; " " &amp; 'Entsorgung Déchets'!B87 &amp; " (KBOB.2016)"</f>
        <v>91.076 Entsorgung, Baugrubensicherung, Bohrpfahlwand, verankert (KBOB.2016)</v>
      </c>
      <c r="B77" s="2" t="str">
        <f t="shared" si="1"/>
        <v>91.076 Entsorgung, Baugrubensicherung, Bohrpfahlwand, verankert (KBOB.2016)</v>
      </c>
      <c r="C77" s="2"/>
      <c r="D77" s="2"/>
      <c r="E77" s="2"/>
      <c r="F77" s="2" t="s">
        <v>186</v>
      </c>
      <c r="G77" s="2" t="str">
        <f t="shared" si="2"/>
        <v>OTHER_RESOURCE_DISPOSAL_CONSTRUCTION_MATERIAL</v>
      </c>
      <c r="H77" s="2"/>
      <c r="I77" s="600">
        <f>'Entsorgung Déchets'!D87</f>
        <v>86200</v>
      </c>
      <c r="J77" s="600" t="str">
        <f>'Entsorgung Déchets'!E87</f>
        <v/>
      </c>
      <c r="K77" s="600">
        <f>'Entsorgung Déchets'!F87</f>
        <v>86200</v>
      </c>
      <c r="L77" s="601">
        <f>'Entsorgung Déchets'!J87</f>
        <v>6.32</v>
      </c>
      <c r="M77" s="601" t="str">
        <f>'Entsorgung Déchets'!K87</f>
        <v/>
      </c>
      <c r="N77" s="601">
        <f>'Entsorgung Déchets'!L87</f>
        <v>6.32</v>
      </c>
      <c r="O77" s="601">
        <f>'Entsorgung Déchets'!M87</f>
        <v>170</v>
      </c>
      <c r="P77" s="601" t="str">
        <f>'Entsorgung Déchets'!N87</f>
        <v/>
      </c>
      <c r="Q77" s="601">
        <f>'Entsorgung Déchets'!O87</f>
        <v>170</v>
      </c>
      <c r="R77" s="601">
        <f>'Entsorgung Déchets'!P87</f>
        <v>33.1</v>
      </c>
      <c r="S77" s="601" t="str">
        <f>'Entsorgung Déchets'!Q87</f>
        <v/>
      </c>
      <c r="T77" s="601">
        <f>'Entsorgung Déchets'!R87</f>
        <v>33.1</v>
      </c>
      <c r="U77" s="2" t="str">
        <f>'Entsorgung Déchets'!C87</f>
        <v>m2</v>
      </c>
      <c r="V77" s="2" t="str">
        <f t="shared" si="3"/>
        <v>area</v>
      </c>
      <c r="W77" s="2"/>
      <c r="X77" s="2" t="str">
        <f t="shared" si="4"/>
        <v>91.076</v>
      </c>
      <c r="Y77" s="7" t="s">
        <v>203</v>
      </c>
      <c r="Z77" s="7" t="s">
        <v>204</v>
      </c>
      <c r="AA77" s="414">
        <v>60.0</v>
      </c>
    </row>
    <row r="78">
      <c r="A78" s="2" t="str">
        <f>'Entsorgung Déchets'!A88 &amp; " " &amp; 'Entsorgung Déchets'!B88 &amp; " (KBOB.2016)"</f>
        <v>91.077 Entsorgung, Baugrubensicherung, Nagelwand (KBOB.2016)</v>
      </c>
      <c r="B78" s="2" t="str">
        <f t="shared" si="1"/>
        <v>91.077 Entsorgung, Baugrubensicherung, Nagelwand (KBOB.2016)</v>
      </c>
      <c r="C78" s="2"/>
      <c r="D78" s="2"/>
      <c r="E78" s="2"/>
      <c r="F78" s="2" t="s">
        <v>186</v>
      </c>
      <c r="G78" s="2" t="str">
        <f t="shared" si="2"/>
        <v>OTHER_RESOURCE_DISPOSAL_CONSTRUCTION_MATERIAL</v>
      </c>
      <c r="H78" s="2"/>
      <c r="I78" s="600">
        <f>'Entsorgung Déchets'!D88</f>
        <v>18900</v>
      </c>
      <c r="J78" s="600" t="str">
        <f>'Entsorgung Déchets'!E88</f>
        <v/>
      </c>
      <c r="K78" s="600">
        <f>'Entsorgung Déchets'!F88</f>
        <v>18900</v>
      </c>
      <c r="L78" s="601">
        <f>'Entsorgung Déchets'!J88</f>
        <v>1.39</v>
      </c>
      <c r="M78" s="601" t="str">
        <f>'Entsorgung Déchets'!K88</f>
        <v/>
      </c>
      <c r="N78" s="601">
        <f>'Entsorgung Déchets'!L88</f>
        <v>1.39</v>
      </c>
      <c r="O78" s="601">
        <f>'Entsorgung Déchets'!M88</f>
        <v>37.5</v>
      </c>
      <c r="P78" s="601" t="str">
        <f>'Entsorgung Déchets'!N88</f>
        <v/>
      </c>
      <c r="Q78" s="601">
        <f>'Entsorgung Déchets'!O88</f>
        <v>37.5</v>
      </c>
      <c r="R78" s="601">
        <f>'Entsorgung Déchets'!P88</f>
        <v>7.28</v>
      </c>
      <c r="S78" s="601" t="str">
        <f>'Entsorgung Déchets'!Q88</f>
        <v/>
      </c>
      <c r="T78" s="601">
        <f>'Entsorgung Déchets'!R88</f>
        <v>7.28</v>
      </c>
      <c r="U78" s="2" t="str">
        <f>'Entsorgung Déchets'!C88</f>
        <v>m2</v>
      </c>
      <c r="V78" s="2" t="str">
        <f t="shared" si="3"/>
        <v>area</v>
      </c>
      <c r="W78" s="2"/>
      <c r="X78" s="2" t="str">
        <f t="shared" si="4"/>
        <v>91.077</v>
      </c>
      <c r="Y78" s="7" t="s">
        <v>203</v>
      </c>
      <c r="Z78" s="7" t="s">
        <v>204</v>
      </c>
      <c r="AA78" s="414">
        <v>60.0</v>
      </c>
    </row>
    <row r="79">
      <c r="A79" s="2" t="str">
        <f>'Entsorgung Déchets'!A89 &amp; " " &amp; 'Entsorgung Déchets'!B89 &amp; " (KBOB.2016)"</f>
        <v>91.078 Entsorgung, Baugrubensicherung, Rühlwand, auskragend (KBOB.2016)</v>
      </c>
      <c r="B79" s="2" t="str">
        <f t="shared" si="1"/>
        <v>91.078 Entsorgung, Baugrubensicherung, Rühlwand, auskragend (KBOB.2016)</v>
      </c>
      <c r="C79" s="2"/>
      <c r="D79" s="2"/>
      <c r="E79" s="2"/>
      <c r="F79" s="2" t="s">
        <v>186</v>
      </c>
      <c r="G79" s="2" t="str">
        <f t="shared" si="2"/>
        <v>OTHER_RESOURCE_DISPOSAL_CONSTRUCTION_MATERIAL</v>
      </c>
      <c r="H79" s="2"/>
      <c r="I79" s="600">
        <f>'Entsorgung Déchets'!D89</f>
        <v>30100</v>
      </c>
      <c r="J79" s="600" t="str">
        <f>'Entsorgung Déchets'!E89</f>
        <v/>
      </c>
      <c r="K79" s="600">
        <f>'Entsorgung Déchets'!F89</f>
        <v>30100</v>
      </c>
      <c r="L79" s="601">
        <f>'Entsorgung Déchets'!J89</f>
        <v>2.2</v>
      </c>
      <c r="M79" s="601" t="str">
        <f>'Entsorgung Déchets'!K89</f>
        <v/>
      </c>
      <c r="N79" s="601">
        <f>'Entsorgung Déchets'!L89</f>
        <v>2.2</v>
      </c>
      <c r="O79" s="601">
        <f>'Entsorgung Déchets'!M89</f>
        <v>59.5</v>
      </c>
      <c r="P79" s="601" t="str">
        <f>'Entsorgung Déchets'!N89</f>
        <v/>
      </c>
      <c r="Q79" s="601">
        <f>'Entsorgung Déchets'!O89</f>
        <v>59.5</v>
      </c>
      <c r="R79" s="601">
        <f>'Entsorgung Déchets'!P89</f>
        <v>11.6</v>
      </c>
      <c r="S79" s="601" t="str">
        <f>'Entsorgung Déchets'!Q89</f>
        <v/>
      </c>
      <c r="T79" s="601">
        <f>'Entsorgung Déchets'!R89</f>
        <v>11.6</v>
      </c>
      <c r="U79" s="2" t="str">
        <f>'Entsorgung Déchets'!C89</f>
        <v>m2</v>
      </c>
      <c r="V79" s="2" t="str">
        <f t="shared" si="3"/>
        <v>area</v>
      </c>
      <c r="W79" s="2"/>
      <c r="X79" s="2" t="str">
        <f t="shared" si="4"/>
        <v>91.078</v>
      </c>
      <c r="Y79" s="7" t="s">
        <v>203</v>
      </c>
      <c r="Z79" s="7" t="s">
        <v>204</v>
      </c>
      <c r="AA79" s="414">
        <v>60.0</v>
      </c>
    </row>
    <row r="80">
      <c r="A80" s="2" t="str">
        <f>'Entsorgung Déchets'!A90 &amp; " " &amp; 'Entsorgung Déchets'!B90 &amp; " (KBOB.2016)"</f>
        <v>91.079 Entsorgung, Baugrubensicherung, Rühlwand, gespriesst (KBOB.2016)</v>
      </c>
      <c r="B80" s="2" t="str">
        <f t="shared" si="1"/>
        <v>91.079 Entsorgung, Baugrubensicherung, Rühlwand, gespriesst (KBOB.2016)</v>
      </c>
      <c r="C80" s="2"/>
      <c r="D80" s="2"/>
      <c r="E80" s="2"/>
      <c r="F80" s="2" t="s">
        <v>186</v>
      </c>
      <c r="G80" s="2" t="str">
        <f t="shared" si="2"/>
        <v>OTHER_RESOURCE_DISPOSAL_CONSTRUCTION_MATERIAL</v>
      </c>
      <c r="H80" s="2"/>
      <c r="I80" s="600">
        <f>'Entsorgung Déchets'!D90</f>
        <v>17800</v>
      </c>
      <c r="J80" s="600" t="str">
        <f>'Entsorgung Déchets'!E90</f>
        <v/>
      </c>
      <c r="K80" s="600">
        <f>'Entsorgung Déchets'!F90</f>
        <v>17800</v>
      </c>
      <c r="L80" s="601">
        <f>'Entsorgung Déchets'!J90</f>
        <v>1.31</v>
      </c>
      <c r="M80" s="601" t="str">
        <f>'Entsorgung Déchets'!K90</f>
        <v/>
      </c>
      <c r="N80" s="601">
        <f>'Entsorgung Déchets'!L90</f>
        <v>1.31</v>
      </c>
      <c r="O80" s="601">
        <f>'Entsorgung Déchets'!M90</f>
        <v>35.2</v>
      </c>
      <c r="P80" s="601" t="str">
        <f>'Entsorgung Déchets'!N90</f>
        <v/>
      </c>
      <c r="Q80" s="601">
        <f>'Entsorgung Déchets'!O90</f>
        <v>35.2</v>
      </c>
      <c r="R80" s="601">
        <f>'Entsorgung Déchets'!P90</f>
        <v>6.84</v>
      </c>
      <c r="S80" s="601" t="str">
        <f>'Entsorgung Déchets'!Q90</f>
        <v/>
      </c>
      <c r="T80" s="601">
        <f>'Entsorgung Déchets'!R90</f>
        <v>6.84</v>
      </c>
      <c r="U80" s="2" t="str">
        <f>'Entsorgung Déchets'!C90</f>
        <v>m2</v>
      </c>
      <c r="V80" s="2" t="str">
        <f t="shared" si="3"/>
        <v>area</v>
      </c>
      <c r="W80" s="2"/>
      <c r="X80" s="2" t="str">
        <f t="shared" si="4"/>
        <v>91.079</v>
      </c>
      <c r="Y80" s="7" t="s">
        <v>203</v>
      </c>
      <c r="Z80" s="7" t="s">
        <v>204</v>
      </c>
      <c r="AA80" s="414">
        <v>60.0</v>
      </c>
    </row>
    <row r="81">
      <c r="A81" s="2" t="str">
        <f>'Entsorgung Déchets'!A91 &amp; " " &amp; 'Entsorgung Déchets'!B91 &amp; " (KBOB.2016)"</f>
        <v>91.080 Entsorgung, Baugrubensicherung, Rühlwand, verankert (KBOB.2016)</v>
      </c>
      <c r="B81" s="2" t="str">
        <f t="shared" si="1"/>
        <v>91.080 Entsorgung, Baugrubensicherung, Rühlwand, verankert (KBOB.2016)</v>
      </c>
      <c r="C81" s="2"/>
      <c r="D81" s="2"/>
      <c r="E81" s="2"/>
      <c r="F81" s="2" t="s">
        <v>186</v>
      </c>
      <c r="G81" s="2" t="str">
        <f t="shared" si="2"/>
        <v>OTHER_RESOURCE_DISPOSAL_CONSTRUCTION_MATERIAL</v>
      </c>
      <c r="H81" s="2"/>
      <c r="I81" s="600">
        <f>'Entsorgung Déchets'!D91</f>
        <v>20600</v>
      </c>
      <c r="J81" s="600" t="str">
        <f>'Entsorgung Déchets'!E91</f>
        <v/>
      </c>
      <c r="K81" s="600">
        <f>'Entsorgung Déchets'!F91</f>
        <v>20600</v>
      </c>
      <c r="L81" s="601">
        <f>'Entsorgung Déchets'!J91</f>
        <v>1.51</v>
      </c>
      <c r="M81" s="601" t="str">
        <f>'Entsorgung Déchets'!K91</f>
        <v/>
      </c>
      <c r="N81" s="601">
        <f>'Entsorgung Déchets'!L91</f>
        <v>1.51</v>
      </c>
      <c r="O81" s="601">
        <f>'Entsorgung Déchets'!M91</f>
        <v>40.7</v>
      </c>
      <c r="P81" s="601" t="str">
        <f>'Entsorgung Déchets'!N91</f>
        <v/>
      </c>
      <c r="Q81" s="601">
        <f>'Entsorgung Déchets'!O91</f>
        <v>40.7</v>
      </c>
      <c r="R81" s="601">
        <f>'Entsorgung Déchets'!P91</f>
        <v>7.9</v>
      </c>
      <c r="S81" s="601" t="str">
        <f>'Entsorgung Déchets'!Q91</f>
        <v/>
      </c>
      <c r="T81" s="601">
        <f>'Entsorgung Déchets'!R91</f>
        <v>7.9</v>
      </c>
      <c r="U81" s="2" t="str">
        <f>'Entsorgung Déchets'!C91</f>
        <v>m2</v>
      </c>
      <c r="V81" s="2" t="str">
        <f t="shared" si="3"/>
        <v>area</v>
      </c>
      <c r="W81" s="2"/>
      <c r="X81" s="2" t="str">
        <f t="shared" si="4"/>
        <v>91.080</v>
      </c>
      <c r="Y81" s="7" t="s">
        <v>203</v>
      </c>
      <c r="Z81" s="7" t="s">
        <v>204</v>
      </c>
      <c r="AA81" s="414">
        <v>60.0</v>
      </c>
    </row>
    <row r="82">
      <c r="A82" s="2" t="str">
        <f>'Entsorgung Déchets'!A92 &amp; " " &amp; 'Entsorgung Déchets'!B92 &amp; " (KBOB.2016)"</f>
        <v>91.081 Entsorgung, Baugrubensicherung, Schlitzwand, 400 mm (KBOB.2016)</v>
      </c>
      <c r="B82" s="2" t="str">
        <f t="shared" si="1"/>
        <v>91.081 Entsorgung, Baugrubensicherung, Schlitzwand, 400 mm (KBOB.2016)</v>
      </c>
      <c r="C82" s="2"/>
      <c r="D82" s="2"/>
      <c r="E82" s="2"/>
      <c r="F82" s="2" t="s">
        <v>186</v>
      </c>
      <c r="G82" s="2" t="str">
        <f t="shared" si="2"/>
        <v>OTHER_RESOURCE_DISPOSAL_CONSTRUCTION_MATERIAL</v>
      </c>
      <c r="H82" s="2"/>
      <c r="I82" s="600">
        <f>'Entsorgung Déchets'!D92</f>
        <v>65500</v>
      </c>
      <c r="J82" s="600" t="str">
        <f>'Entsorgung Déchets'!E92</f>
        <v/>
      </c>
      <c r="K82" s="600">
        <f>'Entsorgung Déchets'!F92</f>
        <v>65500</v>
      </c>
      <c r="L82" s="601">
        <f>'Entsorgung Déchets'!J92</f>
        <v>4.76</v>
      </c>
      <c r="M82" s="601" t="str">
        <f>'Entsorgung Déchets'!K92</f>
        <v/>
      </c>
      <c r="N82" s="601">
        <f>'Entsorgung Déchets'!L92</f>
        <v>4.76</v>
      </c>
      <c r="O82" s="601">
        <f>'Entsorgung Déchets'!M92</f>
        <v>130</v>
      </c>
      <c r="P82" s="601" t="str">
        <f>'Entsorgung Déchets'!N92</f>
        <v/>
      </c>
      <c r="Q82" s="601">
        <f>'Entsorgung Déchets'!O92</f>
        <v>130</v>
      </c>
      <c r="R82" s="601">
        <f>'Entsorgung Déchets'!P92</f>
        <v>25.2</v>
      </c>
      <c r="S82" s="601" t="str">
        <f>'Entsorgung Déchets'!Q92</f>
        <v/>
      </c>
      <c r="T82" s="601">
        <f>'Entsorgung Déchets'!R92</f>
        <v>25.2</v>
      </c>
      <c r="U82" s="2" t="str">
        <f>'Entsorgung Déchets'!C92</f>
        <v>m2</v>
      </c>
      <c r="V82" s="2" t="str">
        <f t="shared" si="3"/>
        <v>area</v>
      </c>
      <c r="W82" s="2"/>
      <c r="X82" s="2" t="str">
        <f t="shared" si="4"/>
        <v>91.081</v>
      </c>
      <c r="Y82" s="7" t="s">
        <v>203</v>
      </c>
      <c r="Z82" s="7" t="s">
        <v>204</v>
      </c>
      <c r="AA82" s="414">
        <v>60.0</v>
      </c>
    </row>
    <row r="83">
      <c r="A83" s="2" t="str">
        <f>'Entsorgung Déchets'!A93 &amp; " " &amp; 'Entsorgung Déchets'!B93 &amp; " (KBOB.2016)"</f>
        <v>91.082 Entsorgung, Baugrubensicherung, Schlitzwand, 800 mm (KBOB.2016)</v>
      </c>
      <c r="B83" s="2" t="str">
        <f t="shared" si="1"/>
        <v>91.082 Entsorgung, Baugrubensicherung, Schlitzwand, 800 mm (KBOB.2016)</v>
      </c>
      <c r="C83" s="2"/>
      <c r="D83" s="2"/>
      <c r="E83" s="2"/>
      <c r="F83" s="2" t="s">
        <v>186</v>
      </c>
      <c r="G83" s="2" t="str">
        <f t="shared" si="2"/>
        <v>OTHER_RESOURCE_DISPOSAL_CONSTRUCTION_MATERIAL</v>
      </c>
      <c r="H83" s="2"/>
      <c r="I83" s="600">
        <f>'Entsorgung Déchets'!D93</f>
        <v>129000</v>
      </c>
      <c r="J83" s="600" t="str">
        <f>'Entsorgung Déchets'!E93</f>
        <v/>
      </c>
      <c r="K83" s="600">
        <f>'Entsorgung Déchets'!F93</f>
        <v>129000</v>
      </c>
      <c r="L83" s="601">
        <f>'Entsorgung Déchets'!J93</f>
        <v>9.43</v>
      </c>
      <c r="M83" s="601" t="str">
        <f>'Entsorgung Déchets'!K93</f>
        <v/>
      </c>
      <c r="N83" s="601">
        <f>'Entsorgung Déchets'!L93</f>
        <v>9.43</v>
      </c>
      <c r="O83" s="601">
        <f>'Entsorgung Déchets'!M93</f>
        <v>256</v>
      </c>
      <c r="P83" s="601" t="str">
        <f>'Entsorgung Déchets'!N93</f>
        <v/>
      </c>
      <c r="Q83" s="601">
        <f>'Entsorgung Déchets'!O93</f>
        <v>256</v>
      </c>
      <c r="R83" s="601">
        <f>'Entsorgung Déchets'!P93</f>
        <v>49.6</v>
      </c>
      <c r="S83" s="601" t="str">
        <f>'Entsorgung Déchets'!Q93</f>
        <v/>
      </c>
      <c r="T83" s="601">
        <f>'Entsorgung Déchets'!R93</f>
        <v>49.6</v>
      </c>
      <c r="U83" s="2" t="str">
        <f>'Entsorgung Déchets'!C93</f>
        <v>m2</v>
      </c>
      <c r="V83" s="2" t="str">
        <f t="shared" si="3"/>
        <v>area</v>
      </c>
      <c r="W83" s="2"/>
      <c r="X83" s="2" t="str">
        <f t="shared" si="4"/>
        <v>91.082</v>
      </c>
      <c r="Y83" s="7" t="s">
        <v>203</v>
      </c>
      <c r="Z83" s="7" t="s">
        <v>204</v>
      </c>
      <c r="AA83" s="414">
        <v>60.0</v>
      </c>
    </row>
    <row r="84">
      <c r="A84" s="2" t="str">
        <f>'Entsorgung Déchets'!A94 &amp; " " &amp; 'Entsorgung Déchets'!B94 &amp; " (KBOB.2016)"</f>
        <v>91.083 Entsorgung, Baugrubensicherung, Spundwand, auskragend (KBOB.2016)</v>
      </c>
      <c r="B84" s="2" t="str">
        <f t="shared" si="1"/>
        <v>91.083 Entsorgung, Baugrubensicherung, Spundwand, auskragend (KBOB.2016)</v>
      </c>
      <c r="C84" s="2"/>
      <c r="D84" s="2"/>
      <c r="E84" s="2"/>
      <c r="F84" s="2" t="s">
        <v>186</v>
      </c>
      <c r="G84" s="2" t="str">
        <f t="shared" si="2"/>
        <v>OTHER_RESOURCE_DISPOSAL_CONSTRUCTION_MATERIAL</v>
      </c>
      <c r="H84" s="2"/>
      <c r="I84" s="600">
        <f>'Entsorgung Déchets'!D94</f>
        <v>0</v>
      </c>
      <c r="J84" s="600" t="str">
        <f>'Entsorgung Déchets'!E94</f>
        <v/>
      </c>
      <c r="K84" s="600">
        <f>'Entsorgung Déchets'!F94</f>
        <v>0</v>
      </c>
      <c r="L84" s="601">
        <f>'Entsorgung Déchets'!J94</f>
        <v>0</v>
      </c>
      <c r="M84" s="601" t="str">
        <f>'Entsorgung Déchets'!K94</f>
        <v/>
      </c>
      <c r="N84" s="601">
        <f>'Entsorgung Déchets'!L94</f>
        <v>0</v>
      </c>
      <c r="O84" s="601">
        <f>'Entsorgung Déchets'!M94</f>
        <v>0</v>
      </c>
      <c r="P84" s="601" t="str">
        <f>'Entsorgung Déchets'!N94</f>
        <v/>
      </c>
      <c r="Q84" s="601">
        <f>'Entsorgung Déchets'!O94</f>
        <v>0</v>
      </c>
      <c r="R84" s="601">
        <f>'Entsorgung Déchets'!P94</f>
        <v>0</v>
      </c>
      <c r="S84" s="601" t="str">
        <f>'Entsorgung Déchets'!Q94</f>
        <v/>
      </c>
      <c r="T84" s="601">
        <f>'Entsorgung Déchets'!R94</f>
        <v>0</v>
      </c>
      <c r="U84" s="2" t="str">
        <f>'Entsorgung Déchets'!C94</f>
        <v>m2</v>
      </c>
      <c r="V84" s="2" t="str">
        <f t="shared" si="3"/>
        <v>area</v>
      </c>
      <c r="W84" s="2"/>
      <c r="X84" s="2" t="str">
        <f t="shared" si="4"/>
        <v>91.083</v>
      </c>
      <c r="Y84" s="7" t="s">
        <v>203</v>
      </c>
      <c r="Z84" s="7" t="s">
        <v>204</v>
      </c>
      <c r="AA84" s="414">
        <v>60.0</v>
      </c>
    </row>
    <row r="85">
      <c r="A85" s="2" t="str">
        <f>'Entsorgung Déchets'!A95 &amp; " " &amp; 'Entsorgung Déchets'!B95 &amp; " (KBOB.2016)"</f>
        <v>91.084 Entsorgung, Baugrubensicherung, Spundwand, gespriesst (KBOB.2016)</v>
      </c>
      <c r="B85" s="2" t="str">
        <f t="shared" si="1"/>
        <v>91.084 Entsorgung, Baugrubensicherung, Spundwand, gespriesst (KBOB.2016)</v>
      </c>
      <c r="C85" s="2"/>
      <c r="D85" s="2"/>
      <c r="E85" s="2"/>
      <c r="F85" s="2" t="s">
        <v>186</v>
      </c>
      <c r="G85" s="2" t="str">
        <f t="shared" si="2"/>
        <v>OTHER_RESOURCE_DISPOSAL_CONSTRUCTION_MATERIAL</v>
      </c>
      <c r="H85" s="2"/>
      <c r="I85" s="600">
        <f>'Entsorgung Déchets'!D95</f>
        <v>0</v>
      </c>
      <c r="J85" s="600" t="str">
        <f>'Entsorgung Déchets'!E95</f>
        <v/>
      </c>
      <c r="K85" s="600">
        <f>'Entsorgung Déchets'!F95</f>
        <v>0</v>
      </c>
      <c r="L85" s="601">
        <f>'Entsorgung Déchets'!J95</f>
        <v>0</v>
      </c>
      <c r="M85" s="601" t="str">
        <f>'Entsorgung Déchets'!K95</f>
        <v/>
      </c>
      <c r="N85" s="601">
        <f>'Entsorgung Déchets'!L95</f>
        <v>0</v>
      </c>
      <c r="O85" s="601">
        <f>'Entsorgung Déchets'!M95</f>
        <v>0</v>
      </c>
      <c r="P85" s="601" t="str">
        <f>'Entsorgung Déchets'!N95</f>
        <v/>
      </c>
      <c r="Q85" s="601">
        <f>'Entsorgung Déchets'!O95</f>
        <v>0</v>
      </c>
      <c r="R85" s="601">
        <f>'Entsorgung Déchets'!P95</f>
        <v>0</v>
      </c>
      <c r="S85" s="601" t="str">
        <f>'Entsorgung Déchets'!Q95</f>
        <v/>
      </c>
      <c r="T85" s="601">
        <f>'Entsorgung Déchets'!R95</f>
        <v>0</v>
      </c>
      <c r="U85" s="2" t="str">
        <f>'Entsorgung Déchets'!C95</f>
        <v>m2</v>
      </c>
      <c r="V85" s="2" t="str">
        <f t="shared" si="3"/>
        <v>area</v>
      </c>
      <c r="W85" s="2"/>
      <c r="X85" s="2" t="str">
        <f t="shared" si="4"/>
        <v>91.084</v>
      </c>
      <c r="Y85" s="7" t="s">
        <v>203</v>
      </c>
      <c r="Z85" s="7" t="s">
        <v>204</v>
      </c>
      <c r="AA85" s="414">
        <v>60.0</v>
      </c>
    </row>
    <row r="86">
      <c r="A86" s="2" t="str">
        <f>'Entsorgung Déchets'!A96 &amp; " " &amp; 'Entsorgung Déchets'!B96 &amp; " (KBOB.2016)"</f>
        <v>91.085 Entsorgung, Baugrubensicherung, Spundwand, verankert (KBOB.2016)</v>
      </c>
      <c r="B86" s="2" t="str">
        <f t="shared" si="1"/>
        <v>91.085 Entsorgung, Baugrubensicherung, Spundwand, verankert (KBOB.2016)</v>
      </c>
      <c r="C86" s="2"/>
      <c r="D86" s="2"/>
      <c r="E86" s="2"/>
      <c r="F86" s="2" t="s">
        <v>186</v>
      </c>
      <c r="G86" s="2" t="str">
        <f t="shared" si="2"/>
        <v>OTHER_RESOURCE_DISPOSAL_CONSTRUCTION_MATERIAL</v>
      </c>
      <c r="H86" s="2"/>
      <c r="I86" s="600">
        <f>'Entsorgung Déchets'!D96</f>
        <v>0</v>
      </c>
      <c r="J86" s="600" t="str">
        <f>'Entsorgung Déchets'!E96</f>
        <v/>
      </c>
      <c r="K86" s="600">
        <f>'Entsorgung Déchets'!F96</f>
        <v>0</v>
      </c>
      <c r="L86" s="601">
        <f>'Entsorgung Déchets'!J96</f>
        <v>0</v>
      </c>
      <c r="M86" s="601" t="str">
        <f>'Entsorgung Déchets'!K96</f>
        <v/>
      </c>
      <c r="N86" s="601">
        <f>'Entsorgung Déchets'!L96</f>
        <v>0</v>
      </c>
      <c r="O86" s="601">
        <f>'Entsorgung Déchets'!M96</f>
        <v>0</v>
      </c>
      <c r="P86" s="601" t="str">
        <f>'Entsorgung Déchets'!N96</f>
        <v/>
      </c>
      <c r="Q86" s="601">
        <f>'Entsorgung Déchets'!O96</f>
        <v>0</v>
      </c>
      <c r="R86" s="601">
        <f>'Entsorgung Déchets'!P96</f>
        <v>0</v>
      </c>
      <c r="S86" s="601" t="str">
        <f>'Entsorgung Déchets'!Q96</f>
        <v/>
      </c>
      <c r="T86" s="601">
        <f>'Entsorgung Déchets'!R96</f>
        <v>0</v>
      </c>
      <c r="U86" s="2" t="str">
        <f>'Entsorgung Déchets'!C96</f>
        <v>m2</v>
      </c>
      <c r="V86" s="2" t="str">
        <f t="shared" si="3"/>
        <v>area</v>
      </c>
      <c r="W86" s="2"/>
      <c r="X86" s="2" t="str">
        <f t="shared" si="4"/>
        <v>91.085</v>
      </c>
      <c r="Y86" s="7" t="s">
        <v>203</v>
      </c>
      <c r="Z86" s="7" t="s">
        <v>204</v>
      </c>
      <c r="AA86" s="414">
        <v>60.0</v>
      </c>
    </row>
    <row r="87">
      <c r="A87" s="2" t="str">
        <f>'Entsorgung Déchets'!A97 &amp; " " &amp; 'Entsorgung Déchets'!B97 &amp; " (KBOB.2016)"</f>
        <v>91.086 Entsorgung, Tiefgründung, Mikrobohrpfahl (KBOB.2016)</v>
      </c>
      <c r="B87" s="2" t="str">
        <f t="shared" si="1"/>
        <v>91.086 Entsorgung, Tiefgründung, Mikrobohrpfahl (KBOB.2016)</v>
      </c>
      <c r="C87" s="2"/>
      <c r="D87" s="2"/>
      <c r="E87" s="2"/>
      <c r="F87" s="2" t="s">
        <v>186</v>
      </c>
      <c r="G87" s="2" t="str">
        <f t="shared" si="2"/>
        <v>OTHER_RESOURCE_DISPOSAL_CONSTRUCTION_MATERIAL</v>
      </c>
      <c r="H87" s="2"/>
      <c r="I87" s="600">
        <f>'Entsorgung Déchets'!D97</f>
        <v>0</v>
      </c>
      <c r="J87" s="600" t="str">
        <f>'Entsorgung Déchets'!E97</f>
        <v/>
      </c>
      <c r="K87" s="600">
        <f>'Entsorgung Déchets'!F97</f>
        <v>0</v>
      </c>
      <c r="L87" s="601">
        <f>'Entsorgung Déchets'!J97</f>
        <v>0</v>
      </c>
      <c r="M87" s="601" t="str">
        <f>'Entsorgung Déchets'!K97</f>
        <v/>
      </c>
      <c r="N87" s="601">
        <f>'Entsorgung Déchets'!L97</f>
        <v>0</v>
      </c>
      <c r="O87" s="601">
        <f>'Entsorgung Déchets'!M97</f>
        <v>0</v>
      </c>
      <c r="P87" s="601" t="str">
        <f>'Entsorgung Déchets'!N97</f>
        <v/>
      </c>
      <c r="Q87" s="601">
        <f>'Entsorgung Déchets'!O97</f>
        <v>0</v>
      </c>
      <c r="R87" s="601">
        <f>'Entsorgung Déchets'!P97</f>
        <v>0</v>
      </c>
      <c r="S87" s="601" t="str">
        <f>'Entsorgung Déchets'!Q97</f>
        <v/>
      </c>
      <c r="T87" s="601">
        <f>'Entsorgung Déchets'!R97</f>
        <v>0</v>
      </c>
      <c r="U87" s="2" t="str">
        <f>'Entsorgung Déchets'!C97</f>
        <v>m</v>
      </c>
      <c r="V87" s="2" t="str">
        <f t="shared" si="3"/>
        <v>probeLength</v>
      </c>
      <c r="W87" s="2"/>
      <c r="X87" s="2" t="str">
        <f t="shared" si="4"/>
        <v>91.086</v>
      </c>
      <c r="Y87" s="7" t="s">
        <v>203</v>
      </c>
      <c r="Z87" s="7" t="s">
        <v>204</v>
      </c>
      <c r="AA87" s="414">
        <v>60.0</v>
      </c>
    </row>
    <row r="88">
      <c r="A88" s="2" t="str">
        <f>'Entsorgung Déchets'!A98 &amp; " " &amp; 'Entsorgung Déchets'!B98 &amp; " (KBOB.2016)"</f>
        <v>91.087 Entsorgung, Tiefgründung, Ortbetonbohrpfahl, 700 mm (KBOB.2016)</v>
      </c>
      <c r="B88" s="2" t="str">
        <f t="shared" si="1"/>
        <v>91.087 Entsorgung, Tiefgründung, Ortbetonbohrpfahl, 700 mm (KBOB.2016)</v>
      </c>
      <c r="C88" s="2"/>
      <c r="D88" s="2"/>
      <c r="E88" s="2"/>
      <c r="F88" s="2" t="s">
        <v>186</v>
      </c>
      <c r="G88" s="2" t="str">
        <f t="shared" si="2"/>
        <v>OTHER_RESOURCE_DISPOSAL_CONSTRUCTION_MATERIAL</v>
      </c>
      <c r="H88" s="2"/>
      <c r="I88" s="600">
        <f>'Entsorgung Déchets'!D98</f>
        <v>0</v>
      </c>
      <c r="J88" s="600" t="str">
        <f>'Entsorgung Déchets'!E98</f>
        <v/>
      </c>
      <c r="K88" s="600">
        <f>'Entsorgung Déchets'!F98</f>
        <v>0</v>
      </c>
      <c r="L88" s="601">
        <f>'Entsorgung Déchets'!J98</f>
        <v>0</v>
      </c>
      <c r="M88" s="601" t="str">
        <f>'Entsorgung Déchets'!K98</f>
        <v/>
      </c>
      <c r="N88" s="601">
        <f>'Entsorgung Déchets'!L98</f>
        <v>0</v>
      </c>
      <c r="O88" s="601">
        <f>'Entsorgung Déchets'!M98</f>
        <v>0</v>
      </c>
      <c r="P88" s="601" t="str">
        <f>'Entsorgung Déchets'!N98</f>
        <v/>
      </c>
      <c r="Q88" s="601">
        <f>'Entsorgung Déchets'!O98</f>
        <v>0</v>
      </c>
      <c r="R88" s="601">
        <f>'Entsorgung Déchets'!P98</f>
        <v>0</v>
      </c>
      <c r="S88" s="601" t="str">
        <f>'Entsorgung Déchets'!Q98</f>
        <v/>
      </c>
      <c r="T88" s="601">
        <f>'Entsorgung Déchets'!R98</f>
        <v>0</v>
      </c>
      <c r="U88" s="2" t="str">
        <f>'Entsorgung Déchets'!C98</f>
        <v>m</v>
      </c>
      <c r="V88" s="2" t="str">
        <f t="shared" si="3"/>
        <v>probeLength</v>
      </c>
      <c r="W88" s="2"/>
      <c r="X88" s="2" t="str">
        <f t="shared" si="4"/>
        <v>91.087</v>
      </c>
      <c r="Y88" s="7" t="s">
        <v>203</v>
      </c>
      <c r="Z88" s="7" t="s">
        <v>204</v>
      </c>
      <c r="AA88" s="414">
        <v>60.0</v>
      </c>
    </row>
    <row r="89">
      <c r="A89" s="2" t="str">
        <f>'Entsorgung Déchets'!A99 &amp; " " &amp; 'Entsorgung Déchets'!B99 &amp; " (KBOB.2016)"</f>
        <v>91.088 Entsorgung, Tiefgründung, Ortbetonbohrpfahl, 900 mm (KBOB.2016)</v>
      </c>
      <c r="B89" s="2" t="str">
        <f t="shared" si="1"/>
        <v>91.088 Entsorgung, Tiefgründung, Ortbetonbohrpfahl, 900 mm (KBOB.2016)</v>
      </c>
      <c r="C89" s="2"/>
      <c r="D89" s="2"/>
      <c r="E89" s="2"/>
      <c r="F89" s="2" t="s">
        <v>186</v>
      </c>
      <c r="G89" s="2" t="str">
        <f t="shared" si="2"/>
        <v>OTHER_RESOURCE_DISPOSAL_CONSTRUCTION_MATERIAL</v>
      </c>
      <c r="H89" s="2"/>
      <c r="I89" s="600">
        <f>'Entsorgung Déchets'!D99</f>
        <v>0</v>
      </c>
      <c r="J89" s="600" t="str">
        <f>'Entsorgung Déchets'!E99</f>
        <v/>
      </c>
      <c r="K89" s="600">
        <f>'Entsorgung Déchets'!F99</f>
        <v>0</v>
      </c>
      <c r="L89" s="601">
        <f>'Entsorgung Déchets'!J99</f>
        <v>0</v>
      </c>
      <c r="M89" s="601" t="str">
        <f>'Entsorgung Déchets'!K99</f>
        <v/>
      </c>
      <c r="N89" s="601">
        <f>'Entsorgung Déchets'!L99</f>
        <v>0</v>
      </c>
      <c r="O89" s="601">
        <f>'Entsorgung Déchets'!M99</f>
        <v>0</v>
      </c>
      <c r="P89" s="601" t="str">
        <f>'Entsorgung Déchets'!N99</f>
        <v/>
      </c>
      <c r="Q89" s="601">
        <f>'Entsorgung Déchets'!O99</f>
        <v>0</v>
      </c>
      <c r="R89" s="601">
        <f>'Entsorgung Déchets'!P99</f>
        <v>0</v>
      </c>
      <c r="S89" s="601" t="str">
        <f>'Entsorgung Déchets'!Q99</f>
        <v/>
      </c>
      <c r="T89" s="601">
        <f>'Entsorgung Déchets'!R99</f>
        <v>0</v>
      </c>
      <c r="U89" s="2" t="str">
        <f>'Entsorgung Déchets'!C99</f>
        <v>m</v>
      </c>
      <c r="V89" s="2" t="str">
        <f t="shared" si="3"/>
        <v>probeLength</v>
      </c>
      <c r="W89" s="2"/>
      <c r="X89" s="2" t="str">
        <f t="shared" si="4"/>
        <v>91.088</v>
      </c>
      <c r="Y89" s="7" t="s">
        <v>203</v>
      </c>
      <c r="Z89" s="7" t="s">
        <v>204</v>
      </c>
      <c r="AA89" s="414">
        <v>60.0</v>
      </c>
    </row>
    <row r="90">
      <c r="A90" s="2" t="str">
        <f>'Entsorgung Déchets'!A100 &amp; " " &amp; 'Entsorgung Déchets'!B100 &amp; " (KBOB.2016)"</f>
        <v>91.089 Entsorgung, Tiefgründung, Ortbetonbohrpfahl, 1200 mm (KBOB.2016)</v>
      </c>
      <c r="B90" s="2" t="str">
        <f t="shared" si="1"/>
        <v>91.089 Entsorgung, Tiefgründung, Ortbetonbohrpfahl, 1200 mm (KBOB.2016)</v>
      </c>
      <c r="C90" s="2"/>
      <c r="D90" s="2"/>
      <c r="E90" s="2"/>
      <c r="F90" s="2" t="s">
        <v>186</v>
      </c>
      <c r="G90" s="2" t="str">
        <f t="shared" si="2"/>
        <v>OTHER_RESOURCE_DISPOSAL_CONSTRUCTION_MATERIAL</v>
      </c>
      <c r="H90" s="2"/>
      <c r="I90" s="600">
        <f>'Entsorgung Déchets'!D100</f>
        <v>0</v>
      </c>
      <c r="J90" s="600" t="str">
        <f>'Entsorgung Déchets'!E100</f>
        <v/>
      </c>
      <c r="K90" s="600">
        <f>'Entsorgung Déchets'!F100</f>
        <v>0</v>
      </c>
      <c r="L90" s="601">
        <f>'Entsorgung Déchets'!J100</f>
        <v>0</v>
      </c>
      <c r="M90" s="601" t="str">
        <f>'Entsorgung Déchets'!K100</f>
        <v/>
      </c>
      <c r="N90" s="601">
        <f>'Entsorgung Déchets'!L100</f>
        <v>0</v>
      </c>
      <c r="O90" s="601">
        <f>'Entsorgung Déchets'!M100</f>
        <v>0</v>
      </c>
      <c r="P90" s="601" t="str">
        <f>'Entsorgung Déchets'!N100</f>
        <v/>
      </c>
      <c r="Q90" s="601">
        <f>'Entsorgung Déchets'!O100</f>
        <v>0</v>
      </c>
      <c r="R90" s="601">
        <f>'Entsorgung Déchets'!P100</f>
        <v>0</v>
      </c>
      <c r="S90" s="601" t="str">
        <f>'Entsorgung Déchets'!Q100</f>
        <v/>
      </c>
      <c r="T90" s="601">
        <f>'Entsorgung Déchets'!R100</f>
        <v>0</v>
      </c>
      <c r="U90" s="2" t="str">
        <f>'Entsorgung Déchets'!C100</f>
        <v>m</v>
      </c>
      <c r="V90" s="2" t="str">
        <f t="shared" si="3"/>
        <v>probeLength</v>
      </c>
      <c r="W90" s="2"/>
      <c r="X90" s="2" t="str">
        <f t="shared" si="4"/>
        <v>91.089</v>
      </c>
      <c r="Y90" s="7" t="s">
        <v>203</v>
      </c>
      <c r="Z90" s="7" t="s">
        <v>204</v>
      </c>
      <c r="AA90" s="414">
        <v>60.0</v>
      </c>
    </row>
    <row r="91">
      <c r="A91" s="2" t="str">
        <f>'Entsorgung Déchets'!A101 &amp; " " &amp; 'Entsorgung Déchets'!B101 &amp; " (KBOB.2016)"</f>
        <v>91.090 Entsorgung, Tiefgründung, Ortbetonverdrängungspfahl 560/480 mm (KBOB.2016)</v>
      </c>
      <c r="B91" s="2" t="str">
        <f t="shared" si="1"/>
        <v>91.090 Entsorgung, Tiefgründung, Ortbetonverdrängungspfahl 560/480 mm (KBOB.2016)</v>
      </c>
      <c r="C91" s="2"/>
      <c r="D91" s="2"/>
      <c r="E91" s="2"/>
      <c r="F91" s="2" t="s">
        <v>186</v>
      </c>
      <c r="G91" s="2" t="str">
        <f t="shared" si="2"/>
        <v>OTHER_RESOURCE_DISPOSAL_CONSTRUCTION_MATERIAL</v>
      </c>
      <c r="H91" s="2"/>
      <c r="I91" s="600">
        <f>'Entsorgung Déchets'!D101</f>
        <v>0</v>
      </c>
      <c r="J91" s="600" t="str">
        <f>'Entsorgung Déchets'!E101</f>
        <v/>
      </c>
      <c r="K91" s="600">
        <f>'Entsorgung Déchets'!F101</f>
        <v>0</v>
      </c>
      <c r="L91" s="601">
        <f>'Entsorgung Déchets'!J101</f>
        <v>0</v>
      </c>
      <c r="M91" s="601" t="str">
        <f>'Entsorgung Déchets'!K101</f>
        <v/>
      </c>
      <c r="N91" s="601">
        <f>'Entsorgung Déchets'!L101</f>
        <v>0</v>
      </c>
      <c r="O91" s="601">
        <f>'Entsorgung Déchets'!M101</f>
        <v>0</v>
      </c>
      <c r="P91" s="601" t="str">
        <f>'Entsorgung Déchets'!N101</f>
        <v/>
      </c>
      <c r="Q91" s="601">
        <f>'Entsorgung Déchets'!O101</f>
        <v>0</v>
      </c>
      <c r="R91" s="601">
        <f>'Entsorgung Déchets'!P101</f>
        <v>0</v>
      </c>
      <c r="S91" s="601" t="str">
        <f>'Entsorgung Déchets'!Q101</f>
        <v/>
      </c>
      <c r="T91" s="601">
        <f>'Entsorgung Déchets'!R101</f>
        <v>0</v>
      </c>
      <c r="U91" s="2" t="str">
        <f>'Entsorgung Déchets'!C101</f>
        <v>m</v>
      </c>
      <c r="V91" s="2" t="str">
        <f t="shared" si="3"/>
        <v>probeLength</v>
      </c>
      <c r="W91" s="2"/>
      <c r="X91" s="2" t="str">
        <f t="shared" si="4"/>
        <v>91.090</v>
      </c>
      <c r="Y91" s="7" t="s">
        <v>203</v>
      </c>
      <c r="Z91" s="7" t="s">
        <v>204</v>
      </c>
      <c r="AA91" s="414">
        <v>60.0</v>
      </c>
    </row>
    <row r="92">
      <c r="A92" s="2" t="str">
        <f>'Entsorgung Déchets'!A102 &amp; " " &amp; 'Entsorgung Déchets'!B102 &amp; " (KBOB.2016)"</f>
        <v>91.091 Entsorgung, Tiefgründung, Ortbetonverdrängungspfahl 660/580 mm (KBOB.2016)</v>
      </c>
      <c r="B92" s="2" t="str">
        <f t="shared" si="1"/>
        <v>91.091 Entsorgung, Tiefgründung, Ortbetonverdrängungspfahl 660/580 mm (KBOB.2016)</v>
      </c>
      <c r="C92" s="2"/>
      <c r="D92" s="2"/>
      <c r="E92" s="2"/>
      <c r="F92" s="2" t="s">
        <v>186</v>
      </c>
      <c r="G92" s="2" t="str">
        <f t="shared" si="2"/>
        <v>OTHER_RESOURCE_DISPOSAL_CONSTRUCTION_MATERIAL</v>
      </c>
      <c r="H92" s="2"/>
      <c r="I92" s="600">
        <f>'Entsorgung Déchets'!D102</f>
        <v>0</v>
      </c>
      <c r="J92" s="600" t="str">
        <f>'Entsorgung Déchets'!E102</f>
        <v/>
      </c>
      <c r="K92" s="600">
        <f>'Entsorgung Déchets'!F102</f>
        <v>0</v>
      </c>
      <c r="L92" s="601">
        <f>'Entsorgung Déchets'!J102</f>
        <v>0</v>
      </c>
      <c r="M92" s="601" t="str">
        <f>'Entsorgung Déchets'!K102</f>
        <v/>
      </c>
      <c r="N92" s="601">
        <f>'Entsorgung Déchets'!L102</f>
        <v>0</v>
      </c>
      <c r="O92" s="601">
        <f>'Entsorgung Déchets'!M102</f>
        <v>0</v>
      </c>
      <c r="P92" s="601" t="str">
        <f>'Entsorgung Déchets'!N102</f>
        <v/>
      </c>
      <c r="Q92" s="601">
        <f>'Entsorgung Déchets'!O102</f>
        <v>0</v>
      </c>
      <c r="R92" s="601">
        <f>'Entsorgung Déchets'!P102</f>
        <v>0</v>
      </c>
      <c r="S92" s="601" t="str">
        <f>'Entsorgung Déchets'!Q102</f>
        <v/>
      </c>
      <c r="T92" s="601">
        <f>'Entsorgung Déchets'!R102</f>
        <v>0</v>
      </c>
      <c r="U92" s="2" t="str">
        <f>'Entsorgung Déchets'!C102</f>
        <v>m</v>
      </c>
      <c r="V92" s="2" t="str">
        <f t="shared" si="3"/>
        <v>probeLength</v>
      </c>
      <c r="W92" s="2"/>
      <c r="X92" s="2" t="str">
        <f t="shared" si="4"/>
        <v>91.091</v>
      </c>
      <c r="Y92" s="7" t="s">
        <v>203</v>
      </c>
      <c r="Z92" s="7" t="s">
        <v>204</v>
      </c>
      <c r="AA92" s="414">
        <v>60.0</v>
      </c>
    </row>
    <row r="93">
      <c r="A93" s="2" t="str">
        <f>'Entsorgung Déchets'!A103 &amp; " " &amp; 'Entsorgung Déchets'!B103 &amp; " (KBOB.2016)"</f>
        <v>91.092 Entsorgung, Tiefgründung, Rüttelstopfsäule (KBOB.2016)</v>
      </c>
      <c r="B93" s="2" t="str">
        <f t="shared" si="1"/>
        <v>91.092 Entsorgung, Tiefgründung, Rüttelstopfsäule (KBOB.2016)</v>
      </c>
      <c r="C93" s="2"/>
      <c r="D93" s="2"/>
      <c r="E93" s="2"/>
      <c r="F93" s="2" t="s">
        <v>186</v>
      </c>
      <c r="G93" s="2" t="str">
        <f t="shared" si="2"/>
        <v>OTHER_RESOURCE_DISPOSAL_CONSTRUCTION_MATERIAL</v>
      </c>
      <c r="H93" s="2"/>
      <c r="I93" s="600">
        <f>'Entsorgung Déchets'!D103</f>
        <v>0</v>
      </c>
      <c r="J93" s="600" t="str">
        <f>'Entsorgung Déchets'!E103</f>
        <v/>
      </c>
      <c r="K93" s="600">
        <f>'Entsorgung Déchets'!F103</f>
        <v>0</v>
      </c>
      <c r="L93" s="601">
        <f>'Entsorgung Déchets'!J103</f>
        <v>0</v>
      </c>
      <c r="M93" s="601" t="str">
        <f>'Entsorgung Déchets'!K103</f>
        <v/>
      </c>
      <c r="N93" s="601">
        <f>'Entsorgung Déchets'!L103</f>
        <v>0</v>
      </c>
      <c r="O93" s="601">
        <f>'Entsorgung Déchets'!M103</f>
        <v>0</v>
      </c>
      <c r="P93" s="601" t="str">
        <f>'Entsorgung Déchets'!N103</f>
        <v/>
      </c>
      <c r="Q93" s="601">
        <f>'Entsorgung Déchets'!O103</f>
        <v>0</v>
      </c>
      <c r="R93" s="601">
        <f>'Entsorgung Déchets'!P103</f>
        <v>0</v>
      </c>
      <c r="S93" s="601" t="str">
        <f>'Entsorgung Déchets'!Q103</f>
        <v/>
      </c>
      <c r="T93" s="601">
        <f>'Entsorgung Déchets'!R103</f>
        <v>0</v>
      </c>
      <c r="U93" s="2" t="str">
        <f>'Entsorgung Déchets'!C103</f>
        <v>m</v>
      </c>
      <c r="V93" s="2" t="str">
        <f t="shared" si="3"/>
        <v>probeLength</v>
      </c>
      <c r="W93" s="2"/>
      <c r="X93" s="2" t="str">
        <f t="shared" si="4"/>
        <v>91.092</v>
      </c>
      <c r="Y93" s="7" t="s">
        <v>203</v>
      </c>
      <c r="Z93" s="7" t="s">
        <v>204</v>
      </c>
      <c r="AA93" s="414">
        <v>60.0</v>
      </c>
    </row>
    <row r="94">
      <c r="A94" s="2" t="str">
        <f>'Entsorgung Déchets'!A104 &amp; " " &amp; 'Entsorgung Déchets'!B104 &amp; " (KBOB.2016)"</f>
        <v>91.093 Entsorgung, Tiefgründung, Vorgefertigter Betonpfahl (KBOB.2016)</v>
      </c>
      <c r="B94" s="2" t="str">
        <f t="shared" si="1"/>
        <v>91.093 Entsorgung, Tiefgründung, Vorgefertigter Betonpfahl (KBOB.2016)</v>
      </c>
      <c r="C94" s="2"/>
      <c r="D94" s="2"/>
      <c r="E94" s="2"/>
      <c r="F94" s="2" t="s">
        <v>186</v>
      </c>
      <c r="G94" s="2" t="str">
        <f t="shared" si="2"/>
        <v>OTHER_RESOURCE_DISPOSAL_CONSTRUCTION_MATERIAL</v>
      </c>
      <c r="H94" s="2"/>
      <c r="I94" s="600">
        <f>'Entsorgung Déchets'!D104</f>
        <v>0</v>
      </c>
      <c r="J94" s="600" t="str">
        <f>'Entsorgung Déchets'!E104</f>
        <v/>
      </c>
      <c r="K94" s="600">
        <f>'Entsorgung Déchets'!F104</f>
        <v>0</v>
      </c>
      <c r="L94" s="601">
        <f>'Entsorgung Déchets'!J104</f>
        <v>0</v>
      </c>
      <c r="M94" s="601" t="str">
        <f>'Entsorgung Déchets'!K104</f>
        <v/>
      </c>
      <c r="N94" s="601">
        <f>'Entsorgung Déchets'!L104</f>
        <v>0</v>
      </c>
      <c r="O94" s="601">
        <f>'Entsorgung Déchets'!M104</f>
        <v>0</v>
      </c>
      <c r="P94" s="601" t="str">
        <f>'Entsorgung Déchets'!N104</f>
        <v/>
      </c>
      <c r="Q94" s="601">
        <f>'Entsorgung Déchets'!O104</f>
        <v>0</v>
      </c>
      <c r="R94" s="601">
        <f>'Entsorgung Déchets'!P104</f>
        <v>0</v>
      </c>
      <c r="S94" s="601" t="str">
        <f>'Entsorgung Déchets'!Q104</f>
        <v/>
      </c>
      <c r="T94" s="601">
        <f>'Entsorgung Déchets'!R104</f>
        <v>0</v>
      </c>
      <c r="U94" s="2" t="str">
        <f>'Entsorgung Déchets'!C104</f>
        <v>m</v>
      </c>
      <c r="V94" s="2" t="str">
        <f t="shared" si="3"/>
        <v>probeLength</v>
      </c>
      <c r="W94" s="2"/>
      <c r="X94" s="2" t="str">
        <f t="shared" si="4"/>
        <v>91.093</v>
      </c>
      <c r="Y94" s="7" t="s">
        <v>203</v>
      </c>
      <c r="Z94" s="7" t="s">
        <v>204</v>
      </c>
      <c r="AA94" s="414">
        <v>60.0</v>
      </c>
    </row>
    <row r="95">
      <c r="A95" s="2" t="str">
        <f>'Entsorgung Déchets'!A105 &amp; " " &amp; 'Entsorgung Déchets'!B105 &amp; " (KBOB.2016)"</f>
        <v>91.094 Entsorgung, Wasserhaltung, Pumphöhe 2.5 m (KBOB.2016)</v>
      </c>
      <c r="B95" s="2" t="str">
        <f t="shared" si="1"/>
        <v>91.094 Entsorgung, Wasserhaltung, Pumphöhe 2.5 m (KBOB.2016)</v>
      </c>
      <c r="C95" s="2"/>
      <c r="D95" s="2"/>
      <c r="E95" s="2"/>
      <c r="F95" s="2" t="s">
        <v>186</v>
      </c>
      <c r="G95" s="2" t="str">
        <f t="shared" si="2"/>
        <v>OTHER_RESOURCE_DISPOSAL_CONSTRUCTION_MATERIAL</v>
      </c>
      <c r="H95" s="2"/>
      <c r="I95" s="600">
        <f>'Entsorgung Déchets'!D105</f>
        <v>0</v>
      </c>
      <c r="J95" s="600" t="str">
        <f>'Entsorgung Déchets'!E105</f>
        <v/>
      </c>
      <c r="K95" s="600">
        <f>'Entsorgung Déchets'!F105</f>
        <v>0</v>
      </c>
      <c r="L95" s="601">
        <f>'Entsorgung Déchets'!J105</f>
        <v>0</v>
      </c>
      <c r="M95" s="601" t="str">
        <f>'Entsorgung Déchets'!K105</f>
        <v/>
      </c>
      <c r="N95" s="601">
        <f>'Entsorgung Déchets'!L105</f>
        <v>0</v>
      </c>
      <c r="O95" s="601">
        <f>'Entsorgung Déchets'!M105</f>
        <v>0</v>
      </c>
      <c r="P95" s="601" t="str">
        <f>'Entsorgung Déchets'!N105</f>
        <v/>
      </c>
      <c r="Q95" s="601">
        <f>'Entsorgung Déchets'!O105</f>
        <v>0</v>
      </c>
      <c r="R95" s="601">
        <f>'Entsorgung Déchets'!P105</f>
        <v>0</v>
      </c>
      <c r="S95" s="601" t="str">
        <f>'Entsorgung Déchets'!Q105</f>
        <v/>
      </c>
      <c r="T95" s="601">
        <f>'Entsorgung Déchets'!R105</f>
        <v>0</v>
      </c>
      <c r="U95" s="69" t="str">
        <f>'Entsorgung Déchets'!C105</f>
        <v>m3</v>
      </c>
      <c r="V95" s="2" t="str">
        <f t="shared" si="3"/>
        <v>volume</v>
      </c>
      <c r="W95" s="2"/>
      <c r="X95" s="2" t="str">
        <f t="shared" si="4"/>
        <v>91.094</v>
      </c>
      <c r="Y95" s="7" t="s">
        <v>203</v>
      </c>
      <c r="Z95" s="7" t="s">
        <v>204</v>
      </c>
      <c r="AA95" s="414">
        <v>60.0</v>
      </c>
    </row>
    <row r="96">
      <c r="A96" s="2" t="str">
        <f>'Entsorgung Déchets'!A106 &amp; " " &amp; 'Entsorgung Déchets'!B106 &amp; " (KBOB.2016)"</f>
        <v>91.095 Entsorgung, Wasserhaltung, Pumphöhe 5 m (KBOB.2016)</v>
      </c>
      <c r="B96" s="2" t="str">
        <f t="shared" si="1"/>
        <v>91.095 Entsorgung, Wasserhaltung, Pumphöhe 5 m (KBOB.2016)</v>
      </c>
      <c r="C96" s="2"/>
      <c r="D96" s="2"/>
      <c r="E96" s="2"/>
      <c r="F96" s="2" t="s">
        <v>186</v>
      </c>
      <c r="G96" s="2" t="str">
        <f t="shared" si="2"/>
        <v>OTHER_RESOURCE_DISPOSAL_CONSTRUCTION_MATERIAL</v>
      </c>
      <c r="H96" s="2"/>
      <c r="I96" s="600">
        <f>'Entsorgung Déchets'!D106</f>
        <v>0</v>
      </c>
      <c r="J96" s="600" t="str">
        <f>'Entsorgung Déchets'!E106</f>
        <v/>
      </c>
      <c r="K96" s="600">
        <f>'Entsorgung Déchets'!F106</f>
        <v>0</v>
      </c>
      <c r="L96" s="601">
        <f>'Entsorgung Déchets'!J106</f>
        <v>0</v>
      </c>
      <c r="M96" s="601" t="str">
        <f>'Entsorgung Déchets'!K106</f>
        <v/>
      </c>
      <c r="N96" s="601">
        <f>'Entsorgung Déchets'!L106</f>
        <v>0</v>
      </c>
      <c r="O96" s="601">
        <f>'Entsorgung Déchets'!M106</f>
        <v>0</v>
      </c>
      <c r="P96" s="601" t="str">
        <f>'Entsorgung Déchets'!N106</f>
        <v/>
      </c>
      <c r="Q96" s="601">
        <f>'Entsorgung Déchets'!O106</f>
        <v>0</v>
      </c>
      <c r="R96" s="601">
        <f>'Entsorgung Déchets'!P106</f>
        <v>0</v>
      </c>
      <c r="S96" s="601" t="str">
        <f>'Entsorgung Déchets'!Q106</f>
        <v/>
      </c>
      <c r="T96" s="601">
        <f>'Entsorgung Déchets'!R106</f>
        <v>0</v>
      </c>
      <c r="U96" s="69" t="str">
        <f>'Entsorgung Déchets'!C106</f>
        <v>m3</v>
      </c>
      <c r="V96" s="2" t="str">
        <f t="shared" si="3"/>
        <v>volume</v>
      </c>
      <c r="W96" s="2"/>
      <c r="X96" s="2" t="str">
        <f t="shared" si="4"/>
        <v>91.095</v>
      </c>
      <c r="Y96" s="7" t="s">
        <v>203</v>
      </c>
      <c r="Z96" s="7" t="s">
        <v>204</v>
      </c>
      <c r="AA96" s="414">
        <v>60.0</v>
      </c>
    </row>
    <row r="97">
      <c r="A97" s="2" t="str">
        <f>'Entsorgung Déchets'!A107 &amp; " " &amp; 'Entsorgung Déchets'!B107 &amp; " (KBOB.2016)"</f>
        <v>91.096 Entsorgung, Wasserhaltung, Pumphöhe 7.5 m (KBOB.2016)</v>
      </c>
      <c r="B97" s="2" t="str">
        <f t="shared" si="1"/>
        <v>91.096 Entsorgung, Wasserhaltung, Pumphöhe 7.5 m (KBOB.2016)</v>
      </c>
      <c r="C97" s="2"/>
      <c r="D97" s="2"/>
      <c r="E97" s="2"/>
      <c r="F97" s="2" t="s">
        <v>186</v>
      </c>
      <c r="G97" s="2" t="str">
        <f t="shared" si="2"/>
        <v>OTHER_RESOURCE_DISPOSAL_CONSTRUCTION_MATERIAL</v>
      </c>
      <c r="H97" s="2"/>
      <c r="I97" s="600">
        <f>'Entsorgung Déchets'!D107</f>
        <v>0</v>
      </c>
      <c r="J97" s="600" t="str">
        <f>'Entsorgung Déchets'!E107</f>
        <v/>
      </c>
      <c r="K97" s="600">
        <f>'Entsorgung Déchets'!F107</f>
        <v>0</v>
      </c>
      <c r="L97" s="601">
        <f>'Entsorgung Déchets'!J107</f>
        <v>0</v>
      </c>
      <c r="M97" s="601" t="str">
        <f>'Entsorgung Déchets'!K107</f>
        <v/>
      </c>
      <c r="N97" s="601">
        <f>'Entsorgung Déchets'!L107</f>
        <v>0</v>
      </c>
      <c r="O97" s="601">
        <f>'Entsorgung Déchets'!M107</f>
        <v>0</v>
      </c>
      <c r="P97" s="601" t="str">
        <f>'Entsorgung Déchets'!N107</f>
        <v/>
      </c>
      <c r="Q97" s="601">
        <f>'Entsorgung Déchets'!O107</f>
        <v>0</v>
      </c>
      <c r="R97" s="601">
        <f>'Entsorgung Déchets'!P107</f>
        <v>0</v>
      </c>
      <c r="S97" s="601" t="str">
        <f>'Entsorgung Déchets'!Q107</f>
        <v/>
      </c>
      <c r="T97" s="601">
        <f>'Entsorgung Déchets'!R107</f>
        <v>0</v>
      </c>
      <c r="U97" s="69" t="str">
        <f>'Entsorgung Déchets'!C107</f>
        <v>m3</v>
      </c>
      <c r="V97" s="2" t="str">
        <f t="shared" si="3"/>
        <v>volume</v>
      </c>
      <c r="W97" s="2"/>
      <c r="X97" s="2" t="str">
        <f t="shared" si="4"/>
        <v>91.096</v>
      </c>
      <c r="Y97" s="7" t="s">
        <v>203</v>
      </c>
      <c r="Z97" s="7" t="s">
        <v>204</v>
      </c>
      <c r="AA97" s="414">
        <v>60.0</v>
      </c>
    </row>
    <row r="98">
      <c r="A98" s="2" t="str">
        <f>'Entsorgung Déchets'!A108 &amp; " " &amp; 'Entsorgung Déchets'!B108 &amp; " (KBOB.2016)"</f>
        <v>91.097 Entsorgung, Wasserhaltung, Pumphöhe 10 m (KBOB.2016)</v>
      </c>
      <c r="B98" s="2" t="str">
        <f t="shared" si="1"/>
        <v>91.097 Entsorgung, Wasserhaltung, Pumphöhe 10 m (KBOB.2016)</v>
      </c>
      <c r="C98" s="2"/>
      <c r="D98" s="2"/>
      <c r="E98" s="2"/>
      <c r="F98" s="2" t="s">
        <v>186</v>
      </c>
      <c r="G98" s="2" t="str">
        <f t="shared" si="2"/>
        <v>OTHER_RESOURCE_DISPOSAL_CONSTRUCTION_MATERIAL</v>
      </c>
      <c r="H98" s="2"/>
      <c r="I98" s="600">
        <f>'Entsorgung Déchets'!D108</f>
        <v>0</v>
      </c>
      <c r="J98" s="600" t="str">
        <f>'Entsorgung Déchets'!E108</f>
        <v/>
      </c>
      <c r="K98" s="600">
        <f>'Entsorgung Déchets'!F108</f>
        <v>0</v>
      </c>
      <c r="L98" s="601">
        <f>'Entsorgung Déchets'!J108</f>
        <v>0</v>
      </c>
      <c r="M98" s="601" t="str">
        <f>'Entsorgung Déchets'!K108</f>
        <v/>
      </c>
      <c r="N98" s="601">
        <f>'Entsorgung Déchets'!L108</f>
        <v>0</v>
      </c>
      <c r="O98" s="601">
        <f>'Entsorgung Déchets'!M108</f>
        <v>0</v>
      </c>
      <c r="P98" s="601" t="str">
        <f>'Entsorgung Déchets'!N108</f>
        <v/>
      </c>
      <c r="Q98" s="601">
        <f>'Entsorgung Déchets'!O108</f>
        <v>0</v>
      </c>
      <c r="R98" s="601">
        <f>'Entsorgung Déchets'!P108</f>
        <v>0</v>
      </c>
      <c r="S98" s="601" t="str">
        <f>'Entsorgung Déchets'!Q108</f>
        <v/>
      </c>
      <c r="T98" s="601">
        <f>'Entsorgung Déchets'!R108</f>
        <v>0</v>
      </c>
      <c r="U98" s="69" t="str">
        <f>'Entsorgung Déchets'!C108</f>
        <v>m3</v>
      </c>
      <c r="V98" s="2" t="str">
        <f t="shared" si="3"/>
        <v>volume</v>
      </c>
      <c r="W98" s="2"/>
      <c r="X98" s="2" t="str">
        <f t="shared" si="4"/>
        <v>91.097</v>
      </c>
      <c r="Y98" s="7" t="s">
        <v>203</v>
      </c>
      <c r="Z98" s="7" t="s">
        <v>204</v>
      </c>
      <c r="AA98" s="414">
        <v>60.0</v>
      </c>
    </row>
    <row r="99">
      <c r="A99" s="2" t="str">
        <f>'Entsorgung Déchets'!A109 &amp; " " &amp; 'Entsorgung Déchets'!B109 &amp; " (KBOB.2016)"</f>
        <v>91.098 Entsorgungsmix, Gips-Kalk-Putz (KBOB.2016)</v>
      </c>
      <c r="B99" s="2" t="str">
        <f t="shared" si="1"/>
        <v>91.098 Entsorgungsmix, Gips-Kalk-Putz (KBOB.2016)</v>
      </c>
      <c r="C99" s="2"/>
      <c r="D99" s="2"/>
      <c r="E99" s="2"/>
      <c r="F99" s="2" t="s">
        <v>186</v>
      </c>
      <c r="G99" s="2" t="str">
        <f t="shared" si="2"/>
        <v>OTHER_RESOURCE_DISPOSAL_CONSTRUCTION_MATERIAL</v>
      </c>
      <c r="H99" s="2"/>
      <c r="I99" s="600">
        <f>'Entsorgung Déchets'!D109</f>
        <v>17.2</v>
      </c>
      <c r="J99" s="600" t="str">
        <f>'Entsorgung Déchets'!E109</f>
        <v/>
      </c>
      <c r="K99" s="600">
        <f>'Entsorgung Déchets'!F109</f>
        <v>17.2</v>
      </c>
      <c r="L99" s="601">
        <f>'Entsorgung Déchets'!J109</f>
        <v>0.000617</v>
      </c>
      <c r="M99" s="601" t="str">
        <f>'Entsorgung Déchets'!K109</f>
        <v/>
      </c>
      <c r="N99" s="601">
        <f>'Entsorgung Déchets'!L109</f>
        <v>0.000617</v>
      </c>
      <c r="O99" s="601">
        <f>'Entsorgung Déchets'!M109</f>
        <v>0.0641</v>
      </c>
      <c r="P99" s="601" t="str">
        <f>'Entsorgung Déchets'!N109</f>
        <v/>
      </c>
      <c r="Q99" s="601">
        <f>'Entsorgung Déchets'!O109</f>
        <v>0.0641</v>
      </c>
      <c r="R99" s="601">
        <f>'Entsorgung Déchets'!P109</f>
        <v>0.00913</v>
      </c>
      <c r="S99" s="601" t="str">
        <f>'Entsorgung Déchets'!Q109</f>
        <v/>
      </c>
      <c r="T99" s="601">
        <f>'Entsorgung Déchets'!R109</f>
        <v>0.00913</v>
      </c>
      <c r="U99" s="2" t="str">
        <f>'Entsorgung Déchets'!C109</f>
        <v>kg</v>
      </c>
      <c r="V99" s="2" t="str">
        <f t="shared" si="3"/>
        <v>mass</v>
      </c>
      <c r="W99" s="2"/>
      <c r="X99" s="2" t="str">
        <f t="shared" si="4"/>
        <v>91.098</v>
      </c>
      <c r="Y99" s="7" t="s">
        <v>203</v>
      </c>
      <c r="Z99" s="7" t="s">
        <v>204</v>
      </c>
      <c r="AA99" s="414">
        <v>60.0</v>
      </c>
    </row>
    <row r="100">
      <c r="A100" s="2" t="str">
        <f>'Entsorgung Déchets'!A110 &amp; " " &amp; 'Entsorgung Déchets'!B110 &amp; " (KBOB.2016)"</f>
        <v>91.099 Entsorgungsmix, Gips-/Weissputz (KBOB.2016)</v>
      </c>
      <c r="B100" s="2" t="str">
        <f t="shared" si="1"/>
        <v>91.099 Entsorgungsmix, Gips-/Weissputz (KBOB.2016)</v>
      </c>
      <c r="C100" s="2"/>
      <c r="D100" s="2"/>
      <c r="E100" s="2"/>
      <c r="F100" s="2" t="s">
        <v>186</v>
      </c>
      <c r="G100" s="2" t="str">
        <f t="shared" si="2"/>
        <v>OTHER_RESOURCE_DISPOSAL_CONSTRUCTION_MATERIAL</v>
      </c>
      <c r="H100" s="2"/>
      <c r="I100" s="600">
        <f>'Entsorgung Déchets'!D110</f>
        <v>17.2</v>
      </c>
      <c r="J100" s="600" t="str">
        <f>'Entsorgung Déchets'!E110</f>
        <v/>
      </c>
      <c r="K100" s="600">
        <f>'Entsorgung Déchets'!F110</f>
        <v>17.2</v>
      </c>
      <c r="L100" s="601">
        <f>'Entsorgung Déchets'!J110</f>
        <v>0.000617</v>
      </c>
      <c r="M100" s="601" t="str">
        <f>'Entsorgung Déchets'!K110</f>
        <v/>
      </c>
      <c r="N100" s="601">
        <f>'Entsorgung Déchets'!L110</f>
        <v>0.000617</v>
      </c>
      <c r="O100" s="601">
        <f>'Entsorgung Déchets'!M110</f>
        <v>0.0641</v>
      </c>
      <c r="P100" s="601" t="str">
        <f>'Entsorgung Déchets'!N110</f>
        <v/>
      </c>
      <c r="Q100" s="601">
        <f>'Entsorgung Déchets'!O110</f>
        <v>0.0641</v>
      </c>
      <c r="R100" s="601">
        <f>'Entsorgung Déchets'!P110</f>
        <v>0.00913</v>
      </c>
      <c r="S100" s="601" t="str">
        <f>'Entsorgung Déchets'!Q110</f>
        <v/>
      </c>
      <c r="T100" s="601">
        <f>'Entsorgung Déchets'!R110</f>
        <v>0.00913</v>
      </c>
      <c r="U100" s="2" t="str">
        <f>'Entsorgung Déchets'!C110</f>
        <v>kg</v>
      </c>
      <c r="V100" s="2" t="str">
        <f t="shared" si="3"/>
        <v>mass</v>
      </c>
      <c r="W100" s="2"/>
      <c r="X100" s="2" t="str">
        <f t="shared" si="4"/>
        <v>91.099</v>
      </c>
      <c r="Y100" s="7" t="s">
        <v>203</v>
      </c>
      <c r="Z100" s="7" t="s">
        <v>204</v>
      </c>
      <c r="AA100" s="414">
        <v>60.0</v>
      </c>
    </row>
    <row r="101">
      <c r="A101" s="2" t="str">
        <f>'Entsorgung Déchets'!A111 &amp; " " &amp; 'Entsorgung Déchets'!B111 &amp; " (KBOB.2016)"</f>
        <v>91.100 Entsorgungsmix, Putz, ausgehärtet (KBOB.2016)</v>
      </c>
      <c r="B101" s="2" t="str">
        <f t="shared" si="1"/>
        <v>91.100 Entsorgungsmix, Putz, ausgehärtet (KBOB.2016)</v>
      </c>
      <c r="C101" s="2"/>
      <c r="D101" s="2"/>
      <c r="E101" s="2"/>
      <c r="F101" s="2" t="s">
        <v>186</v>
      </c>
      <c r="G101" s="2" t="str">
        <f t="shared" si="2"/>
        <v>OTHER_RESOURCE_DISPOSAL_CONSTRUCTION_MATERIAL</v>
      </c>
      <c r="H101" s="2"/>
      <c r="I101" s="600">
        <f>'Entsorgung Déchets'!D111</f>
        <v>17.2</v>
      </c>
      <c r="J101" s="600" t="str">
        <f>'Entsorgung Déchets'!E111</f>
        <v/>
      </c>
      <c r="K101" s="600">
        <f>'Entsorgung Déchets'!F111</f>
        <v>17.2</v>
      </c>
      <c r="L101" s="601">
        <f>'Entsorgung Déchets'!J111</f>
        <v>0.000617</v>
      </c>
      <c r="M101" s="601" t="str">
        <f>'Entsorgung Déchets'!K111</f>
        <v/>
      </c>
      <c r="N101" s="601">
        <f>'Entsorgung Déchets'!L111</f>
        <v>0.000617</v>
      </c>
      <c r="O101" s="601">
        <f>'Entsorgung Déchets'!M111</f>
        <v>0.0641</v>
      </c>
      <c r="P101" s="601" t="str">
        <f>'Entsorgung Déchets'!N111</f>
        <v/>
      </c>
      <c r="Q101" s="601">
        <f>'Entsorgung Déchets'!O111</f>
        <v>0.0641</v>
      </c>
      <c r="R101" s="601">
        <f>'Entsorgung Déchets'!P111</f>
        <v>0.00913</v>
      </c>
      <c r="S101" s="601" t="str">
        <f>'Entsorgung Déchets'!Q111</f>
        <v/>
      </c>
      <c r="T101" s="601">
        <f>'Entsorgung Déchets'!R111</f>
        <v>0.00913</v>
      </c>
      <c r="U101" s="2" t="str">
        <f>'Entsorgung Déchets'!C111</f>
        <v>kg</v>
      </c>
      <c r="V101" s="2" t="str">
        <f t="shared" si="3"/>
        <v>mass</v>
      </c>
      <c r="W101" s="2"/>
      <c r="X101" s="2" t="str">
        <f t="shared" si="4"/>
        <v>91.100</v>
      </c>
      <c r="Y101" s="7" t="s">
        <v>203</v>
      </c>
      <c r="Z101" s="7" t="s">
        <v>204</v>
      </c>
      <c r="AA101" s="414">
        <v>60.0</v>
      </c>
    </row>
    <row r="102">
      <c r="A102" s="2" t="str">
        <f>'Entsorgung Déchets'!A112 &amp; " " &amp; 'Entsorgung Déchets'!B112 &amp; " (KBOB.2016)"</f>
        <v>91.101 Entsorgungsmix, Unterlagsboden Anhydrit, 60 mm (KBOB.2016)</v>
      </c>
      <c r="B102" s="2" t="str">
        <f t="shared" si="1"/>
        <v>91.101 Entsorgungsmix, Unterlagsboden Anhydrit, 60 mm (KBOB.2016)</v>
      </c>
      <c r="C102" s="2"/>
      <c r="D102" s="2"/>
      <c r="E102" s="2"/>
      <c r="F102" s="2" t="s">
        <v>186</v>
      </c>
      <c r="G102" s="2" t="str">
        <f t="shared" si="2"/>
        <v>OTHER_RESOURCE_DISPOSAL_CONSTRUCTION_MATERIAL</v>
      </c>
      <c r="H102" s="2"/>
      <c r="I102" s="600">
        <f>'Entsorgung Déchets'!D112</f>
        <v>18.5</v>
      </c>
      <c r="J102" s="600" t="str">
        <f>'Entsorgung Déchets'!E112</f>
        <v/>
      </c>
      <c r="K102" s="600">
        <f>'Entsorgung Déchets'!F112</f>
        <v>18.5</v>
      </c>
      <c r="L102" s="601">
        <f>'Entsorgung Déchets'!J112</f>
        <v>0.000662</v>
      </c>
      <c r="M102" s="601" t="str">
        <f>'Entsorgung Déchets'!K112</f>
        <v/>
      </c>
      <c r="N102" s="601">
        <f>'Entsorgung Déchets'!L112</f>
        <v>0.000662</v>
      </c>
      <c r="O102" s="601">
        <f>'Entsorgung Déchets'!M112</f>
        <v>0.0691</v>
      </c>
      <c r="P102" s="601" t="str">
        <f>'Entsorgung Déchets'!N112</f>
        <v/>
      </c>
      <c r="Q102" s="601">
        <f>'Entsorgung Déchets'!O112</f>
        <v>0.0691</v>
      </c>
      <c r="R102" s="601">
        <f>'Entsorgung Déchets'!P112</f>
        <v>0.00978</v>
      </c>
      <c r="S102" s="601" t="str">
        <f>'Entsorgung Déchets'!Q112</f>
        <v/>
      </c>
      <c r="T102" s="601">
        <f>'Entsorgung Déchets'!R112</f>
        <v>0.00978</v>
      </c>
      <c r="U102" s="2" t="str">
        <f>'Entsorgung Déchets'!C112</f>
        <v>kg</v>
      </c>
      <c r="V102" s="2" t="str">
        <f t="shared" si="3"/>
        <v>mass</v>
      </c>
      <c r="W102" s="2"/>
      <c r="X102" s="2" t="str">
        <f t="shared" si="4"/>
        <v>91.101</v>
      </c>
      <c r="Y102" s="7" t="s">
        <v>203</v>
      </c>
      <c r="Z102" s="7" t="s">
        <v>204</v>
      </c>
      <c r="AA102" s="414">
        <v>60.0</v>
      </c>
    </row>
    <row r="103">
      <c r="A103" s="2" t="str">
        <f>'Entsorgung Déchets'!A113 &amp; " " &amp; 'Entsorgung Déchets'!B113 &amp; " (KBOB.2016)"</f>
        <v>91.102 Entsorgungsmix, Unterlagsboden Zement, 85 mm (KBOB.2016)</v>
      </c>
      <c r="B103" s="2" t="str">
        <f t="shared" si="1"/>
        <v>91.102 Entsorgungsmix, Unterlagsboden Zement, 85 mm (KBOB.2016)</v>
      </c>
      <c r="C103" s="2"/>
      <c r="D103" s="2"/>
      <c r="E103" s="2"/>
      <c r="F103" s="2" t="s">
        <v>186</v>
      </c>
      <c r="G103" s="2" t="str">
        <f t="shared" si="2"/>
        <v>OTHER_RESOURCE_DISPOSAL_CONSTRUCTION_MATERIAL</v>
      </c>
      <c r="H103" s="2"/>
      <c r="I103" s="600">
        <f>'Entsorgung Déchets'!D113</f>
        <v>17.2</v>
      </c>
      <c r="J103" s="600" t="str">
        <f>'Entsorgung Déchets'!E113</f>
        <v/>
      </c>
      <c r="K103" s="600">
        <f>'Entsorgung Déchets'!F113</f>
        <v>17.2</v>
      </c>
      <c r="L103" s="601">
        <f>'Entsorgung Déchets'!J113</f>
        <v>0.000617</v>
      </c>
      <c r="M103" s="601" t="str">
        <f>'Entsorgung Déchets'!K113</f>
        <v/>
      </c>
      <c r="N103" s="601">
        <f>'Entsorgung Déchets'!L113</f>
        <v>0.000617</v>
      </c>
      <c r="O103" s="601">
        <f>'Entsorgung Déchets'!M113</f>
        <v>0.0641</v>
      </c>
      <c r="P103" s="601" t="str">
        <f>'Entsorgung Déchets'!N113</f>
        <v/>
      </c>
      <c r="Q103" s="601">
        <f>'Entsorgung Déchets'!O113</f>
        <v>0.0641</v>
      </c>
      <c r="R103" s="601">
        <f>'Entsorgung Déchets'!P113</f>
        <v>0.00913</v>
      </c>
      <c r="S103" s="601" t="str">
        <f>'Entsorgung Déchets'!Q113</f>
        <v/>
      </c>
      <c r="T103" s="601">
        <f>'Entsorgung Déchets'!R113</f>
        <v>0.00913</v>
      </c>
      <c r="U103" s="2" t="str">
        <f>'Entsorgung Déchets'!C113</f>
        <v>kg</v>
      </c>
      <c r="V103" s="2" t="str">
        <f t="shared" si="3"/>
        <v>mass</v>
      </c>
      <c r="W103" s="2"/>
      <c r="X103" s="2" t="str">
        <f t="shared" si="4"/>
        <v>91.102</v>
      </c>
      <c r="Y103" s="7" t="s">
        <v>203</v>
      </c>
      <c r="Z103" s="7" t="s">
        <v>204</v>
      </c>
      <c r="AA103" s="414">
        <v>60.0</v>
      </c>
    </row>
    <row r="104">
      <c r="A104" s="2" t="str">
        <f>'Entsorgung Déchets'!A114 &amp; " " &amp; 'Entsorgung Déchets'!B114 &amp; " (KBOB.2016)"</f>
        <v>91.103 Entsorgungsmix, Aluverbund, Fassadenplatte 4 mm (KBOB.2016)</v>
      </c>
      <c r="B104" s="2" t="str">
        <f t="shared" si="1"/>
        <v>91.103 Entsorgungsmix, Aluverbund, Fassadenplatte 4 mm (KBOB.2016)</v>
      </c>
      <c r="C104" s="2"/>
      <c r="D104" s="2"/>
      <c r="E104" s="2"/>
      <c r="F104" s="2" t="s">
        <v>186</v>
      </c>
      <c r="G104" s="2" t="str">
        <f t="shared" si="2"/>
        <v>OTHER_RESOURCE_DISPOSAL_CONSTRUCTION_MATERIAL</v>
      </c>
      <c r="H104" s="2"/>
      <c r="I104" s="600">
        <f>'Entsorgung Déchets'!D114</f>
        <v>4240</v>
      </c>
      <c r="J104" s="600" t="str">
        <f>'Entsorgung Déchets'!E114</f>
        <v/>
      </c>
      <c r="K104" s="600">
        <f>'Entsorgung Déchets'!F114</f>
        <v>4240</v>
      </c>
      <c r="L104" s="601">
        <f>'Entsorgung Déchets'!J114</f>
        <v>0.0085</v>
      </c>
      <c r="M104" s="601" t="str">
        <f>'Entsorgung Déchets'!K114</f>
        <v/>
      </c>
      <c r="N104" s="601">
        <f>'Entsorgung Déchets'!L114</f>
        <v>0.0085</v>
      </c>
      <c r="O104" s="601">
        <f>'Entsorgung Déchets'!M114</f>
        <v>0.527</v>
      </c>
      <c r="P104" s="601" t="str">
        <f>'Entsorgung Déchets'!N114</f>
        <v/>
      </c>
      <c r="Q104" s="601">
        <f>'Entsorgung Déchets'!O114</f>
        <v>0.527</v>
      </c>
      <c r="R104" s="601">
        <f>'Entsorgung Déchets'!P114</f>
        <v>8.58</v>
      </c>
      <c r="S104" s="601" t="str">
        <f>'Entsorgung Déchets'!Q114</f>
        <v/>
      </c>
      <c r="T104" s="601">
        <f>'Entsorgung Déchets'!R114</f>
        <v>8.58</v>
      </c>
      <c r="U104" s="2" t="str">
        <f>'Entsorgung Déchets'!C114</f>
        <v>m2</v>
      </c>
      <c r="V104" s="2" t="str">
        <f t="shared" si="3"/>
        <v>area</v>
      </c>
      <c r="W104" s="2"/>
      <c r="X104" s="2" t="str">
        <f t="shared" si="4"/>
        <v>91.103</v>
      </c>
      <c r="Y104" s="7" t="s">
        <v>203</v>
      </c>
      <c r="Z104" s="7" t="s">
        <v>204</v>
      </c>
      <c r="AA104" s="414">
        <v>60.0</v>
      </c>
    </row>
    <row r="105">
      <c r="A105" s="2" t="str">
        <f>'Entsorgung Déchets'!A115 &amp; " " &amp; 'Entsorgung Déchets'!B115 &amp; " (KBOB.2016)"</f>
        <v>91.104 Entsorgungsmix, Ausstellstoren motorisiert (KBOB.2016)</v>
      </c>
      <c r="B105" s="2" t="str">
        <f t="shared" si="1"/>
        <v>91.104 Entsorgungsmix, Ausstellstoren motorisiert (KBOB.2016)</v>
      </c>
      <c r="C105" s="2"/>
      <c r="D105" s="2"/>
      <c r="E105" s="2"/>
      <c r="F105" s="2" t="s">
        <v>186</v>
      </c>
      <c r="G105" s="2" t="str">
        <f t="shared" si="2"/>
        <v>OTHER_RESOURCE_DISPOSAL_CONSTRUCTION_MATERIAL</v>
      </c>
      <c r="H105" s="2"/>
      <c r="I105" s="600">
        <f>'Entsorgung Déchets'!D115</f>
        <v>831</v>
      </c>
      <c r="J105" s="600" t="str">
        <f>'Entsorgung Déchets'!E115</f>
        <v/>
      </c>
      <c r="K105" s="600">
        <f>'Entsorgung Déchets'!F115</f>
        <v>831</v>
      </c>
      <c r="L105" s="601">
        <f>'Entsorgung Déchets'!J115</f>
        <v>0.0309</v>
      </c>
      <c r="M105" s="601" t="str">
        <f>'Entsorgung Déchets'!K115</f>
        <v/>
      </c>
      <c r="N105" s="601">
        <f>'Entsorgung Déchets'!L115</f>
        <v>0.0309</v>
      </c>
      <c r="O105" s="601">
        <f>'Entsorgung Déchets'!M115</f>
        <v>0.448</v>
      </c>
      <c r="P105" s="601" t="str">
        <f>'Entsorgung Déchets'!N115</f>
        <v/>
      </c>
      <c r="Q105" s="601">
        <f>'Entsorgung Déchets'!O115</f>
        <v>0.448</v>
      </c>
      <c r="R105" s="601">
        <f>'Entsorgung Déchets'!P115</f>
        <v>1.48</v>
      </c>
      <c r="S105" s="601" t="str">
        <f>'Entsorgung Déchets'!Q115</f>
        <v/>
      </c>
      <c r="T105" s="601">
        <f>'Entsorgung Déchets'!R115</f>
        <v>1.48</v>
      </c>
      <c r="U105" s="2" t="str">
        <f>'Entsorgung Déchets'!C115</f>
        <v>m2</v>
      </c>
      <c r="V105" s="2" t="str">
        <f t="shared" si="3"/>
        <v>area</v>
      </c>
      <c r="W105" s="2"/>
      <c r="X105" s="2" t="str">
        <f t="shared" si="4"/>
        <v>91.104</v>
      </c>
      <c r="Y105" s="7" t="s">
        <v>203</v>
      </c>
      <c r="Z105" s="7" t="s">
        <v>204</v>
      </c>
      <c r="AA105" s="414">
        <v>60.0</v>
      </c>
    </row>
    <row r="106">
      <c r="A106" s="2" t="str">
        <f>'Entsorgung Déchets'!A116 &amp; " " &amp; 'Entsorgung Déchets'!B116 &amp; " (KBOB.2016)"</f>
        <v>91.105 Entsorgungsmix, Fensterrahmen Aluminium (KBOB.2016)</v>
      </c>
      <c r="B106" s="2" t="str">
        <f t="shared" si="1"/>
        <v>91.105 Entsorgungsmix, Fensterrahmen Aluminium (KBOB.2016)</v>
      </c>
      <c r="C106" s="2"/>
      <c r="D106" s="2"/>
      <c r="E106" s="2"/>
      <c r="F106" s="2" t="s">
        <v>186</v>
      </c>
      <c r="G106" s="2" t="str">
        <f t="shared" si="2"/>
        <v>OTHER_RESOURCE_DISPOSAL_CONSTRUCTION_MATERIAL</v>
      </c>
      <c r="H106" s="2"/>
      <c r="I106" s="600">
        <f>'Entsorgung Déchets'!D116</f>
        <v>18600</v>
      </c>
      <c r="J106" s="600" t="str">
        <f>'Entsorgung Déchets'!E116</f>
        <v/>
      </c>
      <c r="K106" s="600">
        <f>'Entsorgung Déchets'!F116</f>
        <v>18600</v>
      </c>
      <c r="L106" s="601">
        <f>'Entsorgung Déchets'!J116</f>
        <v>0.123</v>
      </c>
      <c r="M106" s="601" t="str">
        <f>'Entsorgung Déchets'!K116</f>
        <v/>
      </c>
      <c r="N106" s="601">
        <f>'Entsorgung Déchets'!L116</f>
        <v>0.123</v>
      </c>
      <c r="O106" s="601">
        <f>'Entsorgung Déchets'!M116</f>
        <v>3.42</v>
      </c>
      <c r="P106" s="601" t="str">
        <f>'Entsorgung Déchets'!N116</f>
        <v/>
      </c>
      <c r="Q106" s="601">
        <f>'Entsorgung Déchets'!O116</f>
        <v>3.42</v>
      </c>
      <c r="R106" s="601">
        <f>'Entsorgung Déchets'!P116</f>
        <v>36.1</v>
      </c>
      <c r="S106" s="601" t="str">
        <f>'Entsorgung Déchets'!Q116</f>
        <v/>
      </c>
      <c r="T106" s="601">
        <f>'Entsorgung Déchets'!R116</f>
        <v>36.1</v>
      </c>
      <c r="U106" s="2" t="str">
        <f>'Entsorgung Déchets'!C116</f>
        <v>m2</v>
      </c>
      <c r="V106" s="2" t="str">
        <f t="shared" si="3"/>
        <v>area</v>
      </c>
      <c r="W106" s="2"/>
      <c r="X106" s="2" t="str">
        <f t="shared" si="4"/>
        <v>91.105</v>
      </c>
      <c r="Y106" s="7" t="s">
        <v>203</v>
      </c>
      <c r="Z106" s="7" t="s">
        <v>204</v>
      </c>
      <c r="AA106" s="414">
        <v>60.0</v>
      </c>
    </row>
    <row r="107">
      <c r="A107" s="2" t="str">
        <f>'Entsorgung Déchets'!A117 &amp; " " &amp; 'Entsorgung Déchets'!B117 &amp; " (KBOB.2016)"</f>
        <v>91.105.01 Entsorgungsmix, Fensterrahmen Aluminium, WICLINE 75evo (KBOB.2016)</v>
      </c>
      <c r="B107" s="2" t="str">
        <f t="shared" si="1"/>
        <v>91.105.01 Entsorgungsmix, Fensterrahmen Aluminium, WICLINE 75evo (KBOB.2016)</v>
      </c>
      <c r="C107" s="2"/>
      <c r="D107" s="2"/>
      <c r="E107" s="2"/>
      <c r="F107" s="2" t="s">
        <v>186</v>
      </c>
      <c r="G107" s="2" t="str">
        <f t="shared" si="2"/>
        <v>OTHER_RESOURCE_DISPOSAL_CONSTRUCTION_MATERIAL</v>
      </c>
      <c r="H107" s="2"/>
      <c r="I107" s="600">
        <f>'Entsorgung Déchets'!D117</f>
        <v>10900</v>
      </c>
      <c r="J107" s="600" t="str">
        <f>'Entsorgung Déchets'!E117</f>
        <v/>
      </c>
      <c r="K107" s="600">
        <f>'Entsorgung Déchets'!F117</f>
        <v>10900</v>
      </c>
      <c r="L107" s="601">
        <f>'Entsorgung Déchets'!J117</f>
        <v>0.0467</v>
      </c>
      <c r="M107" s="601" t="str">
        <f>'Entsorgung Déchets'!K117</f>
        <v/>
      </c>
      <c r="N107" s="601">
        <f>'Entsorgung Déchets'!L117</f>
        <v>0.0467</v>
      </c>
      <c r="O107" s="601">
        <f>'Entsorgung Déchets'!M117</f>
        <v>1.59</v>
      </c>
      <c r="P107" s="601" t="str">
        <f>'Entsorgung Déchets'!N117</f>
        <v/>
      </c>
      <c r="Q107" s="601">
        <f>'Entsorgung Déchets'!O117</f>
        <v>1.59</v>
      </c>
      <c r="R107" s="601">
        <f>'Entsorgung Déchets'!P117</f>
        <v>21.4</v>
      </c>
      <c r="S107" s="601" t="str">
        <f>'Entsorgung Déchets'!Q117</f>
        <v/>
      </c>
      <c r="T107" s="601">
        <f>'Entsorgung Déchets'!R117</f>
        <v>21.4</v>
      </c>
      <c r="U107" s="2" t="str">
        <f>'Entsorgung Déchets'!C117</f>
        <v>m2</v>
      </c>
      <c r="V107" s="2" t="str">
        <f t="shared" si="3"/>
        <v>area</v>
      </c>
      <c r="W107" s="2"/>
      <c r="X107" s="2" t="str">
        <f t="shared" si="4"/>
        <v>91.105</v>
      </c>
      <c r="Y107" s="7" t="s">
        <v>203</v>
      </c>
      <c r="Z107" s="7" t="s">
        <v>204</v>
      </c>
      <c r="AA107" s="414">
        <v>60.0</v>
      </c>
    </row>
    <row r="108">
      <c r="A108" s="2" t="str">
        <f>'Entsorgung Déchets'!A118 &amp; " " &amp; 'Entsorgung Déchets'!B118 &amp; " (KBOB.2016)"</f>
        <v>91.106 Entsorgung, HPL-Fassadenplatten, in Kehrichtverbrennung (KBOB.2016)</v>
      </c>
      <c r="B108" s="2" t="str">
        <f t="shared" si="1"/>
        <v>91.106 Entsorgung, HPL-Fassadenplatten, in Kehrichtverbrennung (KBOB.2016)</v>
      </c>
      <c r="C108" s="2"/>
      <c r="D108" s="2"/>
      <c r="E108" s="2"/>
      <c r="F108" s="2" t="s">
        <v>186</v>
      </c>
      <c r="G108" s="2" t="str">
        <f t="shared" si="2"/>
        <v>OTHER_RESOURCE_DISPOSAL_CONSTRUCTION_MATERIAL</v>
      </c>
      <c r="H108" s="2"/>
      <c r="I108" s="600">
        <f>'Entsorgung Déchets'!D118</f>
        <v>6310</v>
      </c>
      <c r="J108" s="600" t="str">
        <f>'Entsorgung Déchets'!E118</f>
        <v/>
      </c>
      <c r="K108" s="600">
        <f>'Entsorgung Déchets'!F118</f>
        <v>6310</v>
      </c>
      <c r="L108" s="601">
        <f>'Entsorgung Déchets'!J118</f>
        <v>0.044</v>
      </c>
      <c r="M108" s="601" t="str">
        <f>'Entsorgung Déchets'!K118</f>
        <v/>
      </c>
      <c r="N108" s="601">
        <f>'Entsorgung Déchets'!L118</f>
        <v>0.044</v>
      </c>
      <c r="O108" s="601">
        <f>'Entsorgung Déchets'!M118</f>
        <v>1.82</v>
      </c>
      <c r="P108" s="601" t="str">
        <f>'Entsorgung Déchets'!N118</f>
        <v/>
      </c>
      <c r="Q108" s="601">
        <f>'Entsorgung Déchets'!O118</f>
        <v>1.82</v>
      </c>
      <c r="R108" s="601">
        <f>'Entsorgung Déchets'!P118</f>
        <v>11.1</v>
      </c>
      <c r="S108" s="601" t="str">
        <f>'Entsorgung Déchets'!Q118</f>
        <v/>
      </c>
      <c r="T108" s="601">
        <f>'Entsorgung Déchets'!R118</f>
        <v>11.1</v>
      </c>
      <c r="U108" s="2" t="str">
        <f>'Entsorgung Déchets'!C118</f>
        <v>m2</v>
      </c>
      <c r="V108" s="2" t="str">
        <f t="shared" si="3"/>
        <v>area</v>
      </c>
      <c r="W108" s="2"/>
      <c r="X108" s="2" t="str">
        <f t="shared" si="4"/>
        <v>91.106</v>
      </c>
      <c r="Y108" s="7" t="s">
        <v>203</v>
      </c>
      <c r="Z108" s="7" t="s">
        <v>204</v>
      </c>
      <c r="AA108" s="414">
        <v>60.0</v>
      </c>
    </row>
    <row r="109">
      <c r="A109" s="2" t="str">
        <f>'Entsorgung Déchets'!A119 &amp; " " &amp; 'Entsorgung Déchets'!B119 &amp; " (KBOB.2016)"</f>
        <v>91.107 Entsorgungsmix, Isolierverglasung 2-fach, Ug-Wert 1.1 W/m2K, Dicke 18 mm (KBOB.2016)</v>
      </c>
      <c r="B109" s="2" t="str">
        <f t="shared" si="1"/>
        <v>91.107 Entsorgungsmix, Isolierverglasung 2-fach, Ug-Wert 1.1 W/m2K, Dicke 18 mm (KBOB.2016)</v>
      </c>
      <c r="C109" s="2"/>
      <c r="D109" s="2"/>
      <c r="E109" s="2"/>
      <c r="F109" s="2" t="s">
        <v>186</v>
      </c>
      <c r="G109" s="2" t="str">
        <f t="shared" si="2"/>
        <v>OTHER_RESOURCE_DISPOSAL_CONSTRUCTION_MATERIAL</v>
      </c>
      <c r="H109" s="2"/>
      <c r="I109" s="600">
        <f>'Entsorgung Déchets'!D119</f>
        <v>1730</v>
      </c>
      <c r="J109" s="600" t="str">
        <f>'Entsorgung Déchets'!E119</f>
        <v/>
      </c>
      <c r="K109" s="600">
        <f>'Entsorgung Déchets'!F119</f>
        <v>1730</v>
      </c>
      <c r="L109" s="601">
        <f>'Entsorgung Déchets'!J119</f>
        <v>0.0158</v>
      </c>
      <c r="M109" s="601" t="str">
        <f>'Entsorgung Déchets'!K119</f>
        <v/>
      </c>
      <c r="N109" s="601">
        <f>'Entsorgung Déchets'!L119</f>
        <v>0.0158</v>
      </c>
      <c r="O109" s="601">
        <f>'Entsorgung Déchets'!M119</f>
        <v>1.3</v>
      </c>
      <c r="P109" s="601" t="str">
        <f>'Entsorgung Déchets'!N119</f>
        <v/>
      </c>
      <c r="Q109" s="601">
        <f>'Entsorgung Déchets'!O119</f>
        <v>1.3</v>
      </c>
      <c r="R109" s="601">
        <f>'Entsorgung Déchets'!P119</f>
        <v>2.98</v>
      </c>
      <c r="S109" s="601" t="str">
        <f>'Entsorgung Déchets'!Q119</f>
        <v/>
      </c>
      <c r="T109" s="601">
        <f>'Entsorgung Déchets'!R119</f>
        <v>2.98</v>
      </c>
      <c r="U109" s="2" t="str">
        <f>'Entsorgung Déchets'!C119</f>
        <v>m2</v>
      </c>
      <c r="V109" s="2" t="str">
        <f t="shared" si="3"/>
        <v>area</v>
      </c>
      <c r="W109" s="2"/>
      <c r="X109" s="2" t="str">
        <f t="shared" si="4"/>
        <v>91.107</v>
      </c>
      <c r="Y109" s="7" t="s">
        <v>203</v>
      </c>
      <c r="Z109" s="7" t="s">
        <v>204</v>
      </c>
      <c r="AA109" s="414">
        <v>60.0</v>
      </c>
    </row>
    <row r="110">
      <c r="A110" s="2" t="str">
        <f>'Entsorgung Déchets'!A120 &amp; " " &amp; 'Entsorgung Déchets'!B120 &amp; " (KBOB.2016)"</f>
        <v>91.108 Entsorgungsmix, Isolierverglasung 2-fach, ESG, Ug-Wert 1.1 W/m2K (KBOB.2016)</v>
      </c>
      <c r="B110" s="2" t="str">
        <f t="shared" si="1"/>
        <v>91.108 Entsorgungsmix, Isolierverglasung 2-fach, ESG, Ug-Wert 1.1 W/m2K (KBOB.2016)</v>
      </c>
      <c r="C110" s="2"/>
      <c r="D110" s="2"/>
      <c r="E110" s="2"/>
      <c r="F110" s="2" t="s">
        <v>186</v>
      </c>
      <c r="G110" s="2" t="str">
        <f t="shared" si="2"/>
        <v>OTHER_RESOURCE_DISPOSAL_CONSTRUCTION_MATERIAL</v>
      </c>
      <c r="H110" s="2"/>
      <c r="I110" s="600">
        <f>'Entsorgung Déchets'!D120</f>
        <v>2180</v>
      </c>
      <c r="J110" s="600" t="str">
        <f>'Entsorgung Déchets'!E120</f>
        <v/>
      </c>
      <c r="K110" s="600">
        <f>'Entsorgung Déchets'!F120</f>
        <v>2180</v>
      </c>
      <c r="L110" s="601">
        <f>'Entsorgung Déchets'!J120</f>
        <v>0.0176</v>
      </c>
      <c r="M110" s="601" t="str">
        <f>'Entsorgung Déchets'!K120</f>
        <v/>
      </c>
      <c r="N110" s="601">
        <f>'Entsorgung Déchets'!L120</f>
        <v>0.0176</v>
      </c>
      <c r="O110" s="601">
        <f>'Entsorgung Déchets'!M120</f>
        <v>1.35</v>
      </c>
      <c r="P110" s="601" t="str">
        <f>'Entsorgung Déchets'!N120</f>
        <v/>
      </c>
      <c r="Q110" s="601">
        <f>'Entsorgung Déchets'!O120</f>
        <v>1.35</v>
      </c>
      <c r="R110" s="601">
        <f>'Entsorgung Déchets'!P120</f>
        <v>3.88</v>
      </c>
      <c r="S110" s="601" t="str">
        <f>'Entsorgung Déchets'!Q120</f>
        <v/>
      </c>
      <c r="T110" s="601">
        <f>'Entsorgung Déchets'!R120</f>
        <v>3.88</v>
      </c>
      <c r="U110" s="2" t="str">
        <f>'Entsorgung Déchets'!C120</f>
        <v>m2</v>
      </c>
      <c r="V110" s="2" t="str">
        <f t="shared" si="3"/>
        <v>area</v>
      </c>
      <c r="W110" s="2"/>
      <c r="X110" s="2" t="str">
        <f t="shared" si="4"/>
        <v>91.108</v>
      </c>
      <c r="Y110" s="7" t="s">
        <v>203</v>
      </c>
      <c r="Z110" s="7" t="s">
        <v>204</v>
      </c>
      <c r="AA110" s="414">
        <v>60.0</v>
      </c>
    </row>
    <row r="111">
      <c r="A111" s="2" t="str">
        <f>'Entsorgung Déchets'!A121 &amp; " " &amp; 'Entsorgung Déchets'!B121 &amp; " (KBOB.2016)"</f>
        <v>91.109 Entsorgungsmix, Isolierverglasung 2-fach, ESG/VSG, Ug-Wert 1.1 W/m2K (KBOB.2016)</v>
      </c>
      <c r="B111" s="2" t="str">
        <f t="shared" si="1"/>
        <v>91.109 Entsorgungsmix, Isolierverglasung 2-fach, ESG/VSG, Ug-Wert 1.1 W/m2K (KBOB.2016)</v>
      </c>
      <c r="C111" s="2"/>
      <c r="D111" s="2"/>
      <c r="E111" s="2"/>
      <c r="F111" s="2" t="s">
        <v>186</v>
      </c>
      <c r="G111" s="2" t="str">
        <f t="shared" si="2"/>
        <v>OTHER_RESOURCE_DISPOSAL_CONSTRUCTION_MATERIAL</v>
      </c>
      <c r="H111" s="2"/>
      <c r="I111" s="600">
        <f>'Entsorgung Déchets'!D121</f>
        <v>3900</v>
      </c>
      <c r="J111" s="600" t="str">
        <f>'Entsorgung Déchets'!E121</f>
        <v/>
      </c>
      <c r="K111" s="600">
        <f>'Entsorgung Déchets'!F121</f>
        <v>3900</v>
      </c>
      <c r="L111" s="601">
        <f>'Entsorgung Déchets'!J121</f>
        <v>0.0249</v>
      </c>
      <c r="M111" s="601" t="str">
        <f>'Entsorgung Déchets'!K121</f>
        <v/>
      </c>
      <c r="N111" s="601">
        <f>'Entsorgung Déchets'!L121</f>
        <v>0.0249</v>
      </c>
      <c r="O111" s="601">
        <f>'Entsorgung Déchets'!M121</f>
        <v>2.05</v>
      </c>
      <c r="P111" s="601" t="str">
        <f>'Entsorgung Déchets'!N121</f>
        <v/>
      </c>
      <c r="Q111" s="601">
        <f>'Entsorgung Déchets'!O121</f>
        <v>2.05</v>
      </c>
      <c r="R111" s="601">
        <f>'Entsorgung Déchets'!P121</f>
        <v>7.16</v>
      </c>
      <c r="S111" s="601" t="str">
        <f>'Entsorgung Déchets'!Q121</f>
        <v/>
      </c>
      <c r="T111" s="601">
        <f>'Entsorgung Déchets'!R121</f>
        <v>7.16</v>
      </c>
      <c r="U111" s="2" t="str">
        <f>'Entsorgung Déchets'!C121</f>
        <v>m2</v>
      </c>
      <c r="V111" s="2" t="str">
        <f t="shared" si="3"/>
        <v>area</v>
      </c>
      <c r="W111" s="2"/>
      <c r="X111" s="2" t="str">
        <f t="shared" si="4"/>
        <v>91.109</v>
      </c>
      <c r="Y111" s="7" t="s">
        <v>203</v>
      </c>
      <c r="Z111" s="7" t="s">
        <v>204</v>
      </c>
      <c r="AA111" s="414">
        <v>60.0</v>
      </c>
    </row>
    <row r="112">
      <c r="A112" s="2" t="str">
        <f>'Entsorgung Déchets'!A122 &amp; " " &amp; 'Entsorgung Déchets'!B122 &amp; " (KBOB.2016)"</f>
        <v>91.110 Entsorgungsmix, Isolierverglasung 3-fach, Ug-Wert 0.6 W/m2K, Dicke 40 mm (KBOB.2016)</v>
      </c>
      <c r="B112" s="2" t="str">
        <f t="shared" si="1"/>
        <v>91.110 Entsorgungsmix, Isolierverglasung 3-fach, Ug-Wert 0.6 W/m2K, Dicke 40 mm (KBOB.2016)</v>
      </c>
      <c r="C112" s="2"/>
      <c r="D112" s="2"/>
      <c r="E112" s="2"/>
      <c r="F112" s="2" t="s">
        <v>186</v>
      </c>
      <c r="G112" s="2" t="str">
        <f t="shared" si="2"/>
        <v>OTHER_RESOURCE_DISPOSAL_CONSTRUCTION_MATERIAL</v>
      </c>
      <c r="H112" s="2"/>
      <c r="I112" s="600">
        <f>'Entsorgung Déchets'!D122</f>
        <v>3450</v>
      </c>
      <c r="J112" s="600" t="str">
        <f>'Entsorgung Déchets'!E122</f>
        <v/>
      </c>
      <c r="K112" s="600">
        <f>'Entsorgung Déchets'!F122</f>
        <v>3450</v>
      </c>
      <c r="L112" s="601">
        <f>'Entsorgung Déchets'!J122</f>
        <v>0.0271</v>
      </c>
      <c r="M112" s="601" t="str">
        <f>'Entsorgung Déchets'!K122</f>
        <v/>
      </c>
      <c r="N112" s="601">
        <f>'Entsorgung Déchets'!L122</f>
        <v>0.0271</v>
      </c>
      <c r="O112" s="601">
        <f>'Entsorgung Déchets'!M122</f>
        <v>2.04</v>
      </c>
      <c r="P112" s="601" t="str">
        <f>'Entsorgung Déchets'!N122</f>
        <v/>
      </c>
      <c r="Q112" s="601">
        <f>'Entsorgung Déchets'!O122</f>
        <v>2.04</v>
      </c>
      <c r="R112" s="601">
        <f>'Entsorgung Déchets'!P122</f>
        <v>6.16</v>
      </c>
      <c r="S112" s="601" t="str">
        <f>'Entsorgung Déchets'!Q122</f>
        <v/>
      </c>
      <c r="T112" s="601">
        <f>'Entsorgung Déchets'!R122</f>
        <v>6.16</v>
      </c>
      <c r="U112" s="2" t="str">
        <f>'Entsorgung Déchets'!C122</f>
        <v>m2</v>
      </c>
      <c r="V112" s="2" t="str">
        <f t="shared" si="3"/>
        <v>area</v>
      </c>
      <c r="W112" s="2"/>
      <c r="X112" s="2" t="str">
        <f t="shared" si="4"/>
        <v>91.110</v>
      </c>
      <c r="Y112" s="7" t="s">
        <v>203</v>
      </c>
      <c r="Z112" s="7" t="s">
        <v>204</v>
      </c>
      <c r="AA112" s="414">
        <v>60.0</v>
      </c>
    </row>
    <row r="113">
      <c r="A113" s="2" t="str">
        <f>'Entsorgung Déchets'!A123 &amp; " " &amp; 'Entsorgung Déchets'!B123 &amp; " (KBOB.2016)"</f>
        <v>91.111 Entsorgungsmix, Isolierverglasung 3-fach, ESG/ESG, Ug-Wert 0.6 W/m2K (KBOB.2016)</v>
      </c>
      <c r="B113" s="2" t="str">
        <f t="shared" si="1"/>
        <v>91.111 Entsorgungsmix, Isolierverglasung 3-fach, ESG/ESG, Ug-Wert 0.6 W/m2K (KBOB.2016)</v>
      </c>
      <c r="C113" s="2"/>
      <c r="D113" s="2"/>
      <c r="E113" s="2"/>
      <c r="F113" s="2" t="s">
        <v>186</v>
      </c>
      <c r="G113" s="2" t="str">
        <f t="shared" si="2"/>
        <v>OTHER_RESOURCE_DISPOSAL_CONSTRUCTION_MATERIAL</v>
      </c>
      <c r="H113" s="2"/>
      <c r="I113" s="600">
        <f>'Entsorgung Déchets'!D123</f>
        <v>3450</v>
      </c>
      <c r="J113" s="600" t="str">
        <f>'Entsorgung Déchets'!E123</f>
        <v/>
      </c>
      <c r="K113" s="600">
        <f>'Entsorgung Déchets'!F123</f>
        <v>3450</v>
      </c>
      <c r="L113" s="601">
        <f>'Entsorgung Déchets'!J123</f>
        <v>0.0271</v>
      </c>
      <c r="M113" s="601" t="str">
        <f>'Entsorgung Déchets'!K123</f>
        <v/>
      </c>
      <c r="N113" s="601">
        <f>'Entsorgung Déchets'!L123</f>
        <v>0.0271</v>
      </c>
      <c r="O113" s="601">
        <f>'Entsorgung Déchets'!M123</f>
        <v>2.04</v>
      </c>
      <c r="P113" s="601" t="str">
        <f>'Entsorgung Déchets'!N123</f>
        <v/>
      </c>
      <c r="Q113" s="601">
        <f>'Entsorgung Déchets'!O123</f>
        <v>2.04</v>
      </c>
      <c r="R113" s="601">
        <f>'Entsorgung Déchets'!P123</f>
        <v>6.16</v>
      </c>
      <c r="S113" s="601" t="str">
        <f>'Entsorgung Déchets'!Q123</f>
        <v/>
      </c>
      <c r="T113" s="601">
        <f>'Entsorgung Déchets'!R123</f>
        <v>6.16</v>
      </c>
      <c r="U113" s="2" t="str">
        <f>'Entsorgung Déchets'!C123</f>
        <v>m2</v>
      </c>
      <c r="V113" s="2" t="str">
        <f t="shared" si="3"/>
        <v>area</v>
      </c>
      <c r="W113" s="2"/>
      <c r="X113" s="2" t="str">
        <f t="shared" si="4"/>
        <v>91.111</v>
      </c>
      <c r="Y113" s="7" t="s">
        <v>203</v>
      </c>
      <c r="Z113" s="7" t="s">
        <v>204</v>
      </c>
      <c r="AA113" s="414">
        <v>60.0</v>
      </c>
    </row>
    <row r="114">
      <c r="A114" s="2" t="str">
        <f>'Entsorgung Déchets'!A124 &amp; " " &amp; 'Entsorgung Déchets'!B124 &amp; " (KBOB.2016)"</f>
        <v>91.112 Entsorgungsmix, Isolierverglasung 3-fach, ESG/ESG/ESG, Ug-Wert 0.6 W/m2K (KBOB.2016)</v>
      </c>
      <c r="B114" s="2" t="str">
        <f t="shared" si="1"/>
        <v>91.112 Entsorgungsmix, Isolierverglasung 3-fach, ESG/ESG/ESG, Ug-Wert 0.6 W/m2K (KBOB.2016)</v>
      </c>
      <c r="C114" s="2"/>
      <c r="D114" s="2"/>
      <c r="E114" s="2"/>
      <c r="F114" s="2" t="s">
        <v>186</v>
      </c>
      <c r="G114" s="2" t="str">
        <f t="shared" si="2"/>
        <v>OTHER_RESOURCE_DISPOSAL_CONSTRUCTION_MATERIAL</v>
      </c>
      <c r="H114" s="2"/>
      <c r="I114" s="600">
        <f>'Entsorgung Déchets'!D124</f>
        <v>3450</v>
      </c>
      <c r="J114" s="600" t="str">
        <f>'Entsorgung Déchets'!E124</f>
        <v/>
      </c>
      <c r="K114" s="600">
        <f>'Entsorgung Déchets'!F124</f>
        <v>3450</v>
      </c>
      <c r="L114" s="601">
        <f>'Entsorgung Déchets'!J124</f>
        <v>0.0271</v>
      </c>
      <c r="M114" s="601" t="str">
        <f>'Entsorgung Déchets'!K124</f>
        <v/>
      </c>
      <c r="N114" s="601">
        <f>'Entsorgung Déchets'!L124</f>
        <v>0.0271</v>
      </c>
      <c r="O114" s="601">
        <f>'Entsorgung Déchets'!M124</f>
        <v>2.04</v>
      </c>
      <c r="P114" s="601" t="str">
        <f>'Entsorgung Déchets'!N124</f>
        <v/>
      </c>
      <c r="Q114" s="601">
        <f>'Entsorgung Déchets'!O124</f>
        <v>2.04</v>
      </c>
      <c r="R114" s="601">
        <f>'Entsorgung Déchets'!P124</f>
        <v>6.16</v>
      </c>
      <c r="S114" s="601" t="str">
        <f>'Entsorgung Déchets'!Q124</f>
        <v/>
      </c>
      <c r="T114" s="601">
        <f>'Entsorgung Déchets'!R124</f>
        <v>6.16</v>
      </c>
      <c r="U114" s="2" t="str">
        <f>'Entsorgung Déchets'!C124</f>
        <v>m2</v>
      </c>
      <c r="V114" s="2" t="str">
        <f t="shared" si="3"/>
        <v>area</v>
      </c>
      <c r="W114" s="2"/>
      <c r="X114" s="2" t="str">
        <f t="shared" si="4"/>
        <v>91.112</v>
      </c>
      <c r="Y114" s="7" t="s">
        <v>203</v>
      </c>
      <c r="Z114" s="7" t="s">
        <v>204</v>
      </c>
      <c r="AA114" s="414">
        <v>60.0</v>
      </c>
    </row>
    <row r="115">
      <c r="A115" s="2" t="str">
        <f>'Entsorgung Déchets'!A125 &amp; " " &amp; 'Entsorgung Déchets'!B125 &amp; " (KBOB.2016)"</f>
        <v>91.113 Entsorgungsmix, Isolierverglasung 3-fach, VSG, Ug-Wert 0.6 W/m2K (KBOB.2016)</v>
      </c>
      <c r="B115" s="2" t="str">
        <f t="shared" si="1"/>
        <v>91.113 Entsorgungsmix, Isolierverglasung 3-fach, VSG, Ug-Wert 0.6 W/m2K (KBOB.2016)</v>
      </c>
      <c r="C115" s="2"/>
      <c r="D115" s="2"/>
      <c r="E115" s="2"/>
      <c r="F115" s="2" t="s">
        <v>186</v>
      </c>
      <c r="G115" s="2" t="str">
        <f t="shared" si="2"/>
        <v>OTHER_RESOURCE_DISPOSAL_CONSTRUCTION_MATERIAL</v>
      </c>
      <c r="H115" s="2"/>
      <c r="I115" s="600">
        <f>'Entsorgung Déchets'!D125</f>
        <v>5170</v>
      </c>
      <c r="J115" s="600" t="str">
        <f>'Entsorgung Déchets'!E125</f>
        <v/>
      </c>
      <c r="K115" s="600">
        <f>'Entsorgung Déchets'!F125</f>
        <v>5170</v>
      </c>
      <c r="L115" s="601">
        <f>'Entsorgung Déchets'!J125</f>
        <v>0.0344</v>
      </c>
      <c r="M115" s="601" t="str">
        <f>'Entsorgung Déchets'!K125</f>
        <v/>
      </c>
      <c r="N115" s="601">
        <f>'Entsorgung Déchets'!L125</f>
        <v>0.0344</v>
      </c>
      <c r="O115" s="601">
        <f>'Entsorgung Déchets'!M125</f>
        <v>2.74</v>
      </c>
      <c r="P115" s="601" t="str">
        <f>'Entsorgung Déchets'!N125</f>
        <v/>
      </c>
      <c r="Q115" s="601">
        <f>'Entsorgung Déchets'!O125</f>
        <v>2.74</v>
      </c>
      <c r="R115" s="601">
        <f>'Entsorgung Déchets'!P125</f>
        <v>9.45</v>
      </c>
      <c r="S115" s="601" t="str">
        <f>'Entsorgung Déchets'!Q125</f>
        <v/>
      </c>
      <c r="T115" s="601">
        <f>'Entsorgung Déchets'!R125</f>
        <v>9.45</v>
      </c>
      <c r="U115" s="2" t="str">
        <f>'Entsorgung Déchets'!C125</f>
        <v>m2</v>
      </c>
      <c r="V115" s="2" t="str">
        <f t="shared" si="3"/>
        <v>area</v>
      </c>
      <c r="W115" s="2"/>
      <c r="X115" s="2" t="str">
        <f t="shared" si="4"/>
        <v>91.113</v>
      </c>
      <c r="Y115" s="7" t="s">
        <v>203</v>
      </c>
      <c r="Z115" s="7" t="s">
        <v>204</v>
      </c>
      <c r="AA115" s="414">
        <v>60.0</v>
      </c>
    </row>
    <row r="116">
      <c r="A116" s="2" t="str">
        <f>'Entsorgung Déchets'!A126 &amp; " " &amp; 'Entsorgung Déchets'!B126 &amp; " (KBOB.2016)"</f>
        <v>91.114 Entsorgungsmix, Isolierverglasung 3-fach, ESG/VSG, Ug-Wert 0.6 W/m2K (KBOB.2016)</v>
      </c>
      <c r="B116" s="2" t="str">
        <f t="shared" si="1"/>
        <v>91.114 Entsorgungsmix, Isolierverglasung 3-fach, ESG/VSG, Ug-Wert 0.6 W/m2K (KBOB.2016)</v>
      </c>
      <c r="C116" s="2"/>
      <c r="D116" s="2"/>
      <c r="E116" s="2"/>
      <c r="F116" s="2" t="s">
        <v>186</v>
      </c>
      <c r="G116" s="2" t="str">
        <f t="shared" si="2"/>
        <v>OTHER_RESOURCE_DISPOSAL_CONSTRUCTION_MATERIAL</v>
      </c>
      <c r="H116" s="2"/>
      <c r="I116" s="600">
        <f>'Entsorgung Déchets'!D126</f>
        <v>5170</v>
      </c>
      <c r="J116" s="600" t="str">
        <f>'Entsorgung Déchets'!E126</f>
        <v/>
      </c>
      <c r="K116" s="600">
        <f>'Entsorgung Déchets'!F126</f>
        <v>5170</v>
      </c>
      <c r="L116" s="601">
        <f>'Entsorgung Déchets'!J126</f>
        <v>0.0344</v>
      </c>
      <c r="M116" s="601" t="str">
        <f>'Entsorgung Déchets'!K126</f>
        <v/>
      </c>
      <c r="N116" s="601">
        <f>'Entsorgung Déchets'!L126</f>
        <v>0.0344</v>
      </c>
      <c r="O116" s="601">
        <f>'Entsorgung Déchets'!M126</f>
        <v>2.74</v>
      </c>
      <c r="P116" s="601" t="str">
        <f>'Entsorgung Déchets'!N126</f>
        <v/>
      </c>
      <c r="Q116" s="601">
        <f>'Entsorgung Déchets'!O126</f>
        <v>2.74</v>
      </c>
      <c r="R116" s="601">
        <f>'Entsorgung Déchets'!P126</f>
        <v>9.45</v>
      </c>
      <c r="S116" s="601" t="str">
        <f>'Entsorgung Déchets'!Q126</f>
        <v/>
      </c>
      <c r="T116" s="601">
        <f>'Entsorgung Déchets'!R126</f>
        <v>9.45</v>
      </c>
      <c r="U116" s="2" t="str">
        <f>'Entsorgung Déchets'!C126</f>
        <v>m2</v>
      </c>
      <c r="V116" s="2" t="str">
        <f t="shared" si="3"/>
        <v>area</v>
      </c>
      <c r="W116" s="2"/>
      <c r="X116" s="2" t="str">
        <f t="shared" si="4"/>
        <v>91.114</v>
      </c>
      <c r="Y116" s="7" t="s">
        <v>203</v>
      </c>
      <c r="Z116" s="7" t="s">
        <v>204</v>
      </c>
      <c r="AA116" s="414">
        <v>60.0</v>
      </c>
    </row>
    <row r="117">
      <c r="A117" s="2" t="str">
        <f>'Entsorgung Déchets'!A127 &amp; " " &amp; 'Entsorgung Déchets'!B127 &amp; " (KBOB.2016)"</f>
        <v>91.115 Entsorgungsmix, Lamellenstoren motorisiert (KBOB.2016)</v>
      </c>
      <c r="B117" s="2" t="str">
        <f t="shared" si="1"/>
        <v>91.115 Entsorgungsmix, Lamellenstoren motorisiert (KBOB.2016)</v>
      </c>
      <c r="C117" s="2"/>
      <c r="D117" s="2"/>
      <c r="E117" s="2"/>
      <c r="F117" s="2" t="s">
        <v>186</v>
      </c>
      <c r="G117" s="2" t="str">
        <f t="shared" si="2"/>
        <v>OTHER_RESOURCE_DISPOSAL_CONSTRUCTION_MATERIAL</v>
      </c>
      <c r="H117" s="2"/>
      <c r="I117" s="600">
        <f>'Entsorgung Déchets'!D127</f>
        <v>633</v>
      </c>
      <c r="J117" s="600" t="str">
        <f>'Entsorgung Déchets'!E127</f>
        <v/>
      </c>
      <c r="K117" s="600">
        <f>'Entsorgung Déchets'!F127</f>
        <v>633</v>
      </c>
      <c r="L117" s="601">
        <f>'Entsorgung Déchets'!J127</f>
        <v>0.0276</v>
      </c>
      <c r="M117" s="601" t="str">
        <f>'Entsorgung Déchets'!K127</f>
        <v/>
      </c>
      <c r="N117" s="601">
        <f>'Entsorgung Déchets'!L127</f>
        <v>0.0276</v>
      </c>
      <c r="O117" s="601">
        <f>'Entsorgung Déchets'!M127</f>
        <v>0.374</v>
      </c>
      <c r="P117" s="601" t="str">
        <f>'Entsorgung Déchets'!N127</f>
        <v/>
      </c>
      <c r="Q117" s="601">
        <f>'Entsorgung Déchets'!O127</f>
        <v>0.374</v>
      </c>
      <c r="R117" s="601">
        <f>'Entsorgung Déchets'!P127</f>
        <v>1.11</v>
      </c>
      <c r="S117" s="601" t="str">
        <f>'Entsorgung Déchets'!Q127</f>
        <v/>
      </c>
      <c r="T117" s="601">
        <f>'Entsorgung Déchets'!R127</f>
        <v>1.11</v>
      </c>
      <c r="U117" s="2" t="str">
        <f>'Entsorgung Déchets'!C127</f>
        <v>m2</v>
      </c>
      <c r="V117" s="2" t="str">
        <f t="shared" si="3"/>
        <v>area</v>
      </c>
      <c r="W117" s="2"/>
      <c r="X117" s="2" t="str">
        <f t="shared" si="4"/>
        <v>91.115</v>
      </c>
      <c r="Y117" s="7" t="s">
        <v>203</v>
      </c>
      <c r="Z117" s="7" t="s">
        <v>204</v>
      </c>
      <c r="AA117" s="414">
        <v>60.0</v>
      </c>
    </row>
    <row r="118">
      <c r="A118" s="2" t="str">
        <f>'Entsorgung Déchets'!A128 &amp; " " &amp; 'Entsorgung Déchets'!B128 &amp; " (KBOB.2016)"</f>
        <v>91.116 Entsorgungsmix, Putzträgerplatte kunstharzgebunden 13 mm (KBOB.2016)</v>
      </c>
      <c r="B118" s="2" t="str">
        <f t="shared" si="1"/>
        <v>91.116 Entsorgungsmix, Putzträgerplatte kunstharzgebunden 13 mm (KBOB.2016)</v>
      </c>
      <c r="C118" s="2"/>
      <c r="D118" s="2"/>
      <c r="E118" s="2"/>
      <c r="F118" s="2" t="s">
        <v>186</v>
      </c>
      <c r="G118" s="2" t="str">
        <f t="shared" si="2"/>
        <v>OTHER_RESOURCE_DISPOSAL_CONSTRUCTION_MATERIAL</v>
      </c>
      <c r="H118" s="2"/>
      <c r="I118" s="600">
        <f>'Entsorgung Déchets'!D128</f>
        <v>108</v>
      </c>
      <c r="J118" s="600" t="str">
        <f>'Entsorgung Déchets'!E128</f>
        <v/>
      </c>
      <c r="K118" s="600">
        <f>'Entsorgung Déchets'!F128</f>
        <v>108</v>
      </c>
      <c r="L118" s="601">
        <f>'Entsorgung Déchets'!J128</f>
        <v>0.00388</v>
      </c>
      <c r="M118" s="601" t="str">
        <f>'Entsorgung Déchets'!K128</f>
        <v/>
      </c>
      <c r="N118" s="601">
        <f>'Entsorgung Déchets'!L128</f>
        <v>0.00388</v>
      </c>
      <c r="O118" s="601">
        <f>'Entsorgung Déchets'!M128</f>
        <v>0.403</v>
      </c>
      <c r="P118" s="601" t="str">
        <f>'Entsorgung Déchets'!N128</f>
        <v/>
      </c>
      <c r="Q118" s="601">
        <f>'Entsorgung Déchets'!O128</f>
        <v>0.403</v>
      </c>
      <c r="R118" s="601">
        <f>'Entsorgung Déchets'!P128</f>
        <v>0.0574</v>
      </c>
      <c r="S118" s="601" t="str">
        <f>'Entsorgung Déchets'!Q128</f>
        <v/>
      </c>
      <c r="T118" s="601">
        <f>'Entsorgung Déchets'!R128</f>
        <v>0.0574</v>
      </c>
      <c r="U118" s="2" t="str">
        <f>'Entsorgung Déchets'!C128</f>
        <v>m2</v>
      </c>
      <c r="V118" s="2" t="str">
        <f t="shared" si="3"/>
        <v>area</v>
      </c>
      <c r="W118" s="2"/>
      <c r="X118" s="2" t="str">
        <f t="shared" si="4"/>
        <v>91.116</v>
      </c>
      <c r="Y118" s="7" t="s">
        <v>203</v>
      </c>
      <c r="Z118" s="7" t="s">
        <v>204</v>
      </c>
      <c r="AA118" s="414">
        <v>60.0</v>
      </c>
    </row>
    <row r="119">
      <c r="A119" s="2" t="str">
        <f>'Entsorgung Déchets'!A129 &amp; " " &amp; 'Entsorgung Déchets'!B129 &amp; " (KBOB.2016)"</f>
        <v>91.117 Entsorgungsmix, Putzträgerplatte mineralisch gebunden 12.5 mm (KBOB.2016)</v>
      </c>
      <c r="B119" s="2" t="str">
        <f t="shared" si="1"/>
        <v>91.117 Entsorgungsmix, Putzträgerplatte mineralisch gebunden 12.5 mm (KBOB.2016)</v>
      </c>
      <c r="C119" s="2"/>
      <c r="D119" s="2"/>
      <c r="E119" s="2"/>
      <c r="F119" s="2" t="s">
        <v>186</v>
      </c>
      <c r="G119" s="2" t="str">
        <f t="shared" si="2"/>
        <v>OTHER_RESOURCE_DISPOSAL_CONSTRUCTION_MATERIAL</v>
      </c>
      <c r="H119" s="2"/>
      <c r="I119" s="600">
        <f>'Entsorgung Déchets'!D129</f>
        <v>248</v>
      </c>
      <c r="J119" s="600" t="str">
        <f>'Entsorgung Déchets'!E129</f>
        <v/>
      </c>
      <c r="K119" s="600">
        <f>'Entsorgung Déchets'!F129</f>
        <v>248</v>
      </c>
      <c r="L119" s="601">
        <f>'Entsorgung Déchets'!J129</f>
        <v>0.00889</v>
      </c>
      <c r="M119" s="601" t="str">
        <f>'Entsorgung Déchets'!K129</f>
        <v/>
      </c>
      <c r="N119" s="601">
        <f>'Entsorgung Déchets'!L129</f>
        <v>0.00889</v>
      </c>
      <c r="O119" s="601">
        <f>'Entsorgung Déchets'!M129</f>
        <v>0.923</v>
      </c>
      <c r="P119" s="601" t="str">
        <f>'Entsorgung Déchets'!N129</f>
        <v/>
      </c>
      <c r="Q119" s="601">
        <f>'Entsorgung Déchets'!O129</f>
        <v>0.923</v>
      </c>
      <c r="R119" s="601">
        <f>'Entsorgung Déchets'!P129</f>
        <v>0.131</v>
      </c>
      <c r="S119" s="601" t="str">
        <f>'Entsorgung Déchets'!Q129</f>
        <v/>
      </c>
      <c r="T119" s="601">
        <f>'Entsorgung Déchets'!R129</f>
        <v>0.131</v>
      </c>
      <c r="U119" s="2" t="str">
        <f>'Entsorgung Déchets'!C129</f>
        <v>m2</v>
      </c>
      <c r="V119" s="2" t="str">
        <f t="shared" si="3"/>
        <v>area</v>
      </c>
      <c r="W119" s="2"/>
      <c r="X119" s="2" t="str">
        <f t="shared" si="4"/>
        <v>91.117</v>
      </c>
      <c r="Y119" s="7" t="s">
        <v>203</v>
      </c>
      <c r="Z119" s="7" t="s">
        <v>204</v>
      </c>
      <c r="AA119" s="414">
        <v>60.0</v>
      </c>
    </row>
    <row r="120">
      <c r="A120" s="2" t="str">
        <f>'Entsorgung Déchets'!A130 &amp; " " &amp; 'Entsorgung Déchets'!B130 &amp; " (KBOB.2016)"</f>
        <v>91.118 Entsorgungsmix, Rollladen motorisiert (KBOB.2016)</v>
      </c>
      <c r="B120" s="2" t="str">
        <f t="shared" si="1"/>
        <v>91.118 Entsorgungsmix, Rollladen motorisiert (KBOB.2016)</v>
      </c>
      <c r="C120" s="2"/>
      <c r="D120" s="2"/>
      <c r="E120" s="2"/>
      <c r="F120" s="2" t="s">
        <v>186</v>
      </c>
      <c r="G120" s="2" t="str">
        <f t="shared" si="2"/>
        <v>OTHER_RESOURCE_DISPOSAL_CONSTRUCTION_MATERIAL</v>
      </c>
      <c r="H120" s="2"/>
      <c r="I120" s="600">
        <f>'Entsorgung Déchets'!D130</f>
        <v>284</v>
      </c>
      <c r="J120" s="600" t="str">
        <f>'Entsorgung Déchets'!E130</f>
        <v/>
      </c>
      <c r="K120" s="600">
        <f>'Entsorgung Déchets'!F130</f>
        <v>284</v>
      </c>
      <c r="L120" s="601">
        <f>'Entsorgung Déchets'!J130</f>
        <v>0.0286</v>
      </c>
      <c r="M120" s="601" t="str">
        <f>'Entsorgung Déchets'!K130</f>
        <v/>
      </c>
      <c r="N120" s="601">
        <f>'Entsorgung Déchets'!L130</f>
        <v>0.0286</v>
      </c>
      <c r="O120" s="601">
        <f>'Entsorgung Déchets'!M130</f>
        <v>0.365</v>
      </c>
      <c r="P120" s="601" t="str">
        <f>'Entsorgung Déchets'!N130</f>
        <v/>
      </c>
      <c r="Q120" s="601">
        <f>'Entsorgung Déchets'!O130</f>
        <v>0.365</v>
      </c>
      <c r="R120" s="601">
        <f>'Entsorgung Déchets'!P130</f>
        <v>0.408</v>
      </c>
      <c r="S120" s="601" t="str">
        <f>'Entsorgung Déchets'!Q130</f>
        <v/>
      </c>
      <c r="T120" s="601">
        <f>'Entsorgung Déchets'!R130</f>
        <v>0.408</v>
      </c>
      <c r="U120" s="2" t="str">
        <f>'Entsorgung Déchets'!C130</f>
        <v>m2</v>
      </c>
      <c r="V120" s="2" t="str">
        <f t="shared" si="3"/>
        <v>area</v>
      </c>
      <c r="W120" s="2"/>
      <c r="X120" s="2" t="str">
        <f t="shared" si="4"/>
        <v>91.118</v>
      </c>
      <c r="Y120" s="7" t="s">
        <v>203</v>
      </c>
      <c r="Z120" s="7" t="s">
        <v>204</v>
      </c>
      <c r="AA120" s="414">
        <v>60.0</v>
      </c>
    </row>
    <row r="121">
      <c r="A121" s="2" t="str">
        <f>'Entsorgung Déchets'!A131 &amp; " " &amp; 'Entsorgung Déchets'!B131 &amp; " (KBOB.2016)"</f>
        <v>91.119 Entsorgungsmix, Aerogel-Vlies (KBOB.2016)</v>
      </c>
      <c r="B121" s="2" t="str">
        <f t="shared" si="1"/>
        <v>91.119 Entsorgungsmix, Aerogel-Vlies (KBOB.2016)</v>
      </c>
      <c r="C121" s="2"/>
      <c r="D121" s="2"/>
      <c r="E121" s="2"/>
      <c r="F121" s="2" t="s">
        <v>186</v>
      </c>
      <c r="G121" s="2" t="str">
        <f t="shared" si="2"/>
        <v>OTHER_RESOURCE_DISPOSAL_CONSTRUCTION_MATERIAL</v>
      </c>
      <c r="H121" s="2"/>
      <c r="I121" s="600">
        <f>'Entsorgung Déchets'!D131</f>
        <v>181</v>
      </c>
      <c r="J121" s="600" t="str">
        <f>'Entsorgung Déchets'!E131</f>
        <v/>
      </c>
      <c r="K121" s="600">
        <f>'Entsorgung Déchets'!F131</f>
        <v>181</v>
      </c>
      <c r="L121" s="601">
        <f>'Entsorgung Déchets'!J131</f>
        <v>0.00184</v>
      </c>
      <c r="M121" s="601" t="str">
        <f>'Entsorgung Déchets'!K131</f>
        <v/>
      </c>
      <c r="N121" s="601">
        <f>'Entsorgung Déchets'!L131</f>
        <v>0.00184</v>
      </c>
      <c r="O121" s="601">
        <f>'Entsorgung Déchets'!M131</f>
        <v>0.127</v>
      </c>
      <c r="P121" s="601" t="str">
        <f>'Entsorgung Déchets'!N131</f>
        <v/>
      </c>
      <c r="Q121" s="601">
        <f>'Entsorgung Déchets'!O131</f>
        <v>0.127</v>
      </c>
      <c r="R121" s="601">
        <f>'Entsorgung Déchets'!P131</f>
        <v>0.303</v>
      </c>
      <c r="S121" s="601" t="str">
        <f>'Entsorgung Déchets'!Q131</f>
        <v/>
      </c>
      <c r="T121" s="601">
        <f>'Entsorgung Déchets'!R131</f>
        <v>0.303</v>
      </c>
      <c r="U121" s="2" t="str">
        <f>'Entsorgung Déchets'!C131</f>
        <v>kg</v>
      </c>
      <c r="V121" s="2" t="str">
        <f t="shared" si="3"/>
        <v>mass</v>
      </c>
      <c r="W121" s="2"/>
      <c r="X121" s="2" t="str">
        <f t="shared" si="4"/>
        <v>91.119</v>
      </c>
      <c r="Y121" s="7" t="s">
        <v>203</v>
      </c>
      <c r="Z121" s="7" t="s">
        <v>204</v>
      </c>
      <c r="AA121" s="414">
        <v>60.0</v>
      </c>
    </row>
    <row r="122">
      <c r="A122" s="2" t="str">
        <f>'Entsorgung Déchets'!A132 &amp; " " &amp; 'Entsorgung Déchets'!B132 &amp; " (KBOB.2016)"</f>
        <v>91.120 Entsorgungsmix, Schaumglasschotter (KBOB.2016)</v>
      </c>
      <c r="B122" s="2" t="str">
        <f t="shared" si="1"/>
        <v>91.120 Entsorgungsmix, Schaumglasschotter (KBOB.2016)</v>
      </c>
      <c r="C122" s="2"/>
      <c r="D122" s="2"/>
      <c r="E122" s="2"/>
      <c r="F122" s="2" t="s">
        <v>186</v>
      </c>
      <c r="G122" s="2" t="str">
        <f t="shared" si="2"/>
        <v>OTHER_RESOURCE_DISPOSAL_CONSTRUCTION_MATERIAL</v>
      </c>
      <c r="H122" s="2"/>
      <c r="I122" s="600">
        <f>'Entsorgung Déchets'!D132</f>
        <v>14.2</v>
      </c>
      <c r="J122" s="600" t="str">
        <f>'Entsorgung Déchets'!E132</f>
        <v/>
      </c>
      <c r="K122" s="600">
        <f>'Entsorgung Déchets'!F132</f>
        <v>14.2</v>
      </c>
      <c r="L122" s="601">
        <f>'Entsorgung Déchets'!J132</f>
        <v>0.000483</v>
      </c>
      <c r="M122" s="601" t="str">
        <f>'Entsorgung Déchets'!K132</f>
        <v/>
      </c>
      <c r="N122" s="601">
        <f>'Entsorgung Déchets'!L132</f>
        <v>0.000483</v>
      </c>
      <c r="O122" s="601">
        <f>'Entsorgung Déchets'!M132</f>
        <v>0.0544</v>
      </c>
      <c r="P122" s="601" t="str">
        <f>'Entsorgung Déchets'!N132</f>
        <v/>
      </c>
      <c r="Q122" s="601">
        <f>'Entsorgung Déchets'!O132</f>
        <v>0.0544</v>
      </c>
      <c r="R122" s="601">
        <f>'Entsorgung Déchets'!P132</f>
        <v>0.00708</v>
      </c>
      <c r="S122" s="601" t="str">
        <f>'Entsorgung Déchets'!Q132</f>
        <v/>
      </c>
      <c r="T122" s="601">
        <f>'Entsorgung Déchets'!R132</f>
        <v>0.00708</v>
      </c>
      <c r="U122" s="2" t="str">
        <f>'Entsorgung Déchets'!C132</f>
        <v>kg</v>
      </c>
      <c r="V122" s="2" t="str">
        <f t="shared" si="3"/>
        <v>mass</v>
      </c>
      <c r="W122" s="2"/>
      <c r="X122" s="2" t="str">
        <f t="shared" si="4"/>
        <v>91.120</v>
      </c>
      <c r="Y122" s="7" t="s">
        <v>203</v>
      </c>
      <c r="Z122" s="7" t="s">
        <v>204</v>
      </c>
      <c r="AA122" s="414">
        <v>60.0</v>
      </c>
    </row>
    <row r="123">
      <c r="A123" s="2" t="str">
        <f>'Entsorgung Déchets'!A133 &amp; " " &amp; 'Entsorgung Déchets'!B133 &amp; " (KBOB.2016)"</f>
        <v>91.121 Entsorgungsmix, Flachsfasern (KBOB.2016)</v>
      </c>
      <c r="B123" s="2" t="str">
        <f t="shared" si="1"/>
        <v>91.121 Entsorgungsmix, Flachsfasern (KBOB.2016)</v>
      </c>
      <c r="C123" s="2"/>
      <c r="D123" s="2"/>
      <c r="E123" s="2"/>
      <c r="F123" s="2" t="s">
        <v>186</v>
      </c>
      <c r="G123" s="2" t="str">
        <f t="shared" si="2"/>
        <v>OTHER_RESOURCE_DISPOSAL_CONSTRUCTION_MATERIAL</v>
      </c>
      <c r="H123" s="2"/>
      <c r="I123" s="600">
        <f>'Entsorgung Déchets'!D133</f>
        <v>144</v>
      </c>
      <c r="J123" s="600" t="str">
        <f>'Entsorgung Déchets'!E133</f>
        <v/>
      </c>
      <c r="K123" s="600">
        <f>'Entsorgung Déchets'!F133</f>
        <v>144</v>
      </c>
      <c r="L123" s="601">
        <f>'Entsorgung Déchets'!J133</f>
        <v>0.000982</v>
      </c>
      <c r="M123" s="601" t="str">
        <f>'Entsorgung Déchets'!K133</f>
        <v/>
      </c>
      <c r="N123" s="601">
        <f>'Entsorgung Déchets'!L133</f>
        <v>0.000982</v>
      </c>
      <c r="O123" s="601">
        <f>'Entsorgung Déchets'!M133</f>
        <v>0.0603</v>
      </c>
      <c r="P123" s="601" t="str">
        <f>'Entsorgung Déchets'!N133</f>
        <v/>
      </c>
      <c r="Q123" s="601">
        <f>'Entsorgung Déchets'!O133</f>
        <v>0.0603</v>
      </c>
      <c r="R123" s="601">
        <f>'Entsorgung Déchets'!P133</f>
        <v>0.222</v>
      </c>
      <c r="S123" s="601" t="str">
        <f>'Entsorgung Déchets'!Q133</f>
        <v/>
      </c>
      <c r="T123" s="601">
        <f>'Entsorgung Déchets'!R133</f>
        <v>0.222</v>
      </c>
      <c r="U123" s="2" t="str">
        <f>'Entsorgung Déchets'!C133</f>
        <v>kg</v>
      </c>
      <c r="V123" s="2" t="str">
        <f t="shared" si="3"/>
        <v>mass</v>
      </c>
      <c r="W123" s="2"/>
      <c r="X123" s="2" t="str">
        <f t="shared" si="4"/>
        <v>91.121</v>
      </c>
      <c r="Y123" s="7" t="s">
        <v>203</v>
      </c>
      <c r="Z123" s="7" t="s">
        <v>204</v>
      </c>
      <c r="AA123" s="414">
        <v>60.0</v>
      </c>
    </row>
    <row r="124">
      <c r="A124" s="2" t="str">
        <f>'Entsorgung Déchets'!A134 &amp; " " &amp; 'Entsorgung Déchets'!B134 &amp; " (KBOB.2016)"</f>
        <v>91.122 Entsorgungsmix, Strohballenwand (KBOB.2016)</v>
      </c>
      <c r="B124" s="2" t="str">
        <f t="shared" si="1"/>
        <v>91.122 Entsorgungsmix, Strohballenwand (KBOB.2016)</v>
      </c>
      <c r="C124" s="2"/>
      <c r="D124" s="2"/>
      <c r="E124" s="2"/>
      <c r="F124" s="2" t="s">
        <v>186</v>
      </c>
      <c r="G124" s="2" t="str">
        <f t="shared" si="2"/>
        <v>OTHER_RESOURCE_DISPOSAL_CONSTRUCTION_MATERIAL</v>
      </c>
      <c r="H124" s="2"/>
      <c r="I124" s="600">
        <f>'Entsorgung Déchets'!D134</f>
        <v>0</v>
      </c>
      <c r="J124" s="600" t="str">
        <f>'Entsorgung Déchets'!E134</f>
        <v/>
      </c>
      <c r="K124" s="600">
        <f>'Entsorgung Déchets'!F134</f>
        <v>0</v>
      </c>
      <c r="L124" s="601">
        <f>'Entsorgung Déchets'!J134</f>
        <v>0</v>
      </c>
      <c r="M124" s="601" t="str">
        <f>'Entsorgung Déchets'!K134</f>
        <v/>
      </c>
      <c r="N124" s="601">
        <f>'Entsorgung Déchets'!L134</f>
        <v>0</v>
      </c>
      <c r="O124" s="601">
        <f>'Entsorgung Déchets'!M134</f>
        <v>0</v>
      </c>
      <c r="P124" s="601" t="str">
        <f>'Entsorgung Déchets'!N134</f>
        <v/>
      </c>
      <c r="Q124" s="601">
        <f>'Entsorgung Déchets'!O134</f>
        <v>0</v>
      </c>
      <c r="R124" s="601">
        <f>'Entsorgung Déchets'!P134</f>
        <v>0</v>
      </c>
      <c r="S124" s="601" t="str">
        <f>'Entsorgung Déchets'!Q134</f>
        <v/>
      </c>
      <c r="T124" s="601">
        <f>'Entsorgung Déchets'!R134</f>
        <v>0</v>
      </c>
      <c r="U124" s="2" t="str">
        <f>'Entsorgung Déchets'!C134</f>
        <v>kg</v>
      </c>
      <c r="V124" s="2" t="str">
        <f t="shared" si="3"/>
        <v>mass</v>
      </c>
      <c r="W124" s="2"/>
      <c r="X124" s="2" t="str">
        <f t="shared" si="4"/>
        <v>91.122</v>
      </c>
      <c r="Y124" s="7" t="s">
        <v>203</v>
      </c>
      <c r="Z124" s="7" t="s">
        <v>204</v>
      </c>
      <c r="AA124" s="414">
        <v>60.0</v>
      </c>
    </row>
    <row r="125">
      <c r="A125" s="2" t="str">
        <f>'Entsorgung Déchets'!A135 &amp; " " &amp; 'Entsorgung Déchets'!B135 &amp; " (KBOB.2016)"</f>
        <v>91.123 Entsorgung, Abfalltrennsystem (KBOB.2016)</v>
      </c>
      <c r="B125" s="2" t="str">
        <f t="shared" si="1"/>
        <v>91.123 Entsorgung, Abfalltrennsystem (KBOB.2016)</v>
      </c>
      <c r="C125" s="2"/>
      <c r="D125" s="2"/>
      <c r="E125" s="2"/>
      <c r="F125" s="2" t="s">
        <v>186</v>
      </c>
      <c r="G125" s="2" t="str">
        <f t="shared" si="2"/>
        <v>OTHER_RESOURCE_DISPOSAL_CONSTRUCTION_MATERIAL</v>
      </c>
      <c r="H125" s="2"/>
      <c r="I125" s="600">
        <f>'Entsorgung Déchets'!D135</f>
        <v>3770</v>
      </c>
      <c r="J125" s="600" t="str">
        <f>'Entsorgung Déchets'!E135</f>
        <v/>
      </c>
      <c r="K125" s="600">
        <f>'Entsorgung Déchets'!F135</f>
        <v>3770</v>
      </c>
      <c r="L125" s="601">
        <f>'Entsorgung Déchets'!J135</f>
        <v>0.00575</v>
      </c>
      <c r="M125" s="601" t="str">
        <f>'Entsorgung Déchets'!K135</f>
        <v/>
      </c>
      <c r="N125" s="601">
        <f>'Entsorgung Déchets'!L135</f>
        <v>0.00575</v>
      </c>
      <c r="O125" s="601">
        <f>'Entsorgung Déchets'!M135</f>
        <v>0.343</v>
      </c>
      <c r="P125" s="601" t="str">
        <f>'Entsorgung Déchets'!N135</f>
        <v/>
      </c>
      <c r="Q125" s="601">
        <f>'Entsorgung Déchets'!O135</f>
        <v>0.343</v>
      </c>
      <c r="R125" s="601">
        <f>'Entsorgung Déchets'!P135</f>
        <v>7.68</v>
      </c>
      <c r="S125" s="601" t="str">
        <f>'Entsorgung Déchets'!Q135</f>
        <v/>
      </c>
      <c r="T125" s="601">
        <f>'Entsorgung Déchets'!R135</f>
        <v>7.68</v>
      </c>
      <c r="U125" s="2" t="str">
        <f>'Entsorgung Déchets'!C135</f>
        <v>Stk.</v>
      </c>
      <c r="V125" s="2" t="str">
        <f t="shared" si="3"/>
        <v>device</v>
      </c>
      <c r="W125" s="2"/>
      <c r="X125" s="2" t="str">
        <f t="shared" si="4"/>
        <v>91.123</v>
      </c>
      <c r="Y125" s="7" t="s">
        <v>203</v>
      </c>
      <c r="Z125" s="7" t="s">
        <v>204</v>
      </c>
      <c r="AA125" s="414">
        <v>60.0</v>
      </c>
    </row>
    <row r="126">
      <c r="A126" s="2" t="str">
        <f>'Entsorgung Déchets'!A136 &amp; " " &amp; 'Entsorgung Déchets'!B136 &amp; " (KBOB.2016)"</f>
        <v>91.124 Entsorgung, Arbeitsplatte Chromstahl, Standard (KBOB.2016)</v>
      </c>
      <c r="B126" s="2" t="str">
        <f t="shared" si="1"/>
        <v>91.124 Entsorgung, Arbeitsplatte Chromstahl, Standard (KBOB.2016)</v>
      </c>
      <c r="C126" s="2"/>
      <c r="D126" s="2"/>
      <c r="E126" s="2"/>
      <c r="F126" s="2" t="s">
        <v>186</v>
      </c>
      <c r="G126" s="2" t="str">
        <f t="shared" si="2"/>
        <v>OTHER_RESOURCE_DISPOSAL_CONSTRUCTION_MATERIAL</v>
      </c>
      <c r="H126" s="2"/>
      <c r="I126" s="600">
        <f>'Entsorgung Déchets'!D136</f>
        <v>1130</v>
      </c>
      <c r="J126" s="600" t="str">
        <f>'Entsorgung Déchets'!E136</f>
        <v/>
      </c>
      <c r="K126" s="600">
        <f>'Entsorgung Déchets'!F136</f>
        <v>1130</v>
      </c>
      <c r="L126" s="601">
        <f>'Entsorgung Déchets'!J136</f>
        <v>0.0118</v>
      </c>
      <c r="M126" s="601" t="str">
        <f>'Entsorgung Déchets'!K136</f>
        <v/>
      </c>
      <c r="N126" s="601">
        <f>'Entsorgung Déchets'!L136</f>
        <v>0.0118</v>
      </c>
      <c r="O126" s="601">
        <f>'Entsorgung Déchets'!M136</f>
        <v>0.752</v>
      </c>
      <c r="P126" s="601" t="str">
        <f>'Entsorgung Déchets'!N136</f>
        <v/>
      </c>
      <c r="Q126" s="601">
        <f>'Entsorgung Déchets'!O136</f>
        <v>0.752</v>
      </c>
      <c r="R126" s="601">
        <f>'Entsorgung Déchets'!P136</f>
        <v>1.57</v>
      </c>
      <c r="S126" s="601" t="str">
        <f>'Entsorgung Déchets'!Q136</f>
        <v/>
      </c>
      <c r="T126" s="601">
        <f>'Entsorgung Déchets'!R136</f>
        <v>1.57</v>
      </c>
      <c r="U126" s="2" t="str">
        <f>'Entsorgung Déchets'!C136</f>
        <v>m2</v>
      </c>
      <c r="V126" s="2" t="str">
        <f t="shared" si="3"/>
        <v>area</v>
      </c>
      <c r="W126" s="2"/>
      <c r="X126" s="2" t="str">
        <f t="shared" si="4"/>
        <v>91.124</v>
      </c>
      <c r="Y126" s="7" t="s">
        <v>203</v>
      </c>
      <c r="Z126" s="7" t="s">
        <v>204</v>
      </c>
      <c r="AA126" s="414">
        <v>60.0</v>
      </c>
    </row>
    <row r="127">
      <c r="A127" s="2" t="str">
        <f>'Entsorgung Déchets'!A137 &amp; " " &amp; 'Entsorgung Déchets'!B137 &amp; " (KBOB.2016)"</f>
        <v>91.125 Entsorgung, Arbeitsplatte Kompositwerkstoff (auf Aluminiumhydroxidbasis) (KBOB.2016)</v>
      </c>
      <c r="B127" s="2" t="str">
        <f t="shared" si="1"/>
        <v>91.125 Entsorgung, Arbeitsplatte Kompositwerkstoff (auf Aluminiumhydroxidbasis) (KBOB.2016)</v>
      </c>
      <c r="C127" s="2"/>
      <c r="D127" s="2"/>
      <c r="E127" s="2"/>
      <c r="F127" s="2" t="s">
        <v>186</v>
      </c>
      <c r="G127" s="2" t="str">
        <f t="shared" si="2"/>
        <v>OTHER_RESOURCE_DISPOSAL_CONSTRUCTION_MATERIAL</v>
      </c>
      <c r="H127" s="2"/>
      <c r="I127" s="600">
        <f>'Entsorgung Déchets'!D137</f>
        <v>10200</v>
      </c>
      <c r="J127" s="600" t="str">
        <f>'Entsorgung Déchets'!E137</f>
        <v/>
      </c>
      <c r="K127" s="600">
        <f>'Entsorgung Déchets'!F137</f>
        <v>10200</v>
      </c>
      <c r="L127" s="601">
        <f>'Entsorgung Déchets'!J137</f>
        <v>0.0266</v>
      </c>
      <c r="M127" s="601" t="str">
        <f>'Entsorgung Déchets'!K137</f>
        <v/>
      </c>
      <c r="N127" s="601">
        <f>'Entsorgung Déchets'!L137</f>
        <v>0.0266</v>
      </c>
      <c r="O127" s="601">
        <f>'Entsorgung Déchets'!M137</f>
        <v>1.54</v>
      </c>
      <c r="P127" s="601" t="str">
        <f>'Entsorgung Déchets'!N137</f>
        <v/>
      </c>
      <c r="Q127" s="601">
        <f>'Entsorgung Déchets'!O137</f>
        <v>1.54</v>
      </c>
      <c r="R127" s="601">
        <f>'Entsorgung Déchets'!P137</f>
        <v>16.9</v>
      </c>
      <c r="S127" s="601" t="str">
        <f>'Entsorgung Déchets'!Q137</f>
        <v/>
      </c>
      <c r="T127" s="601">
        <f>'Entsorgung Déchets'!R137</f>
        <v>16.9</v>
      </c>
      <c r="U127" s="2" t="str">
        <f>'Entsorgung Déchets'!C137</f>
        <v>m2</v>
      </c>
      <c r="V127" s="2" t="str">
        <f t="shared" si="3"/>
        <v>area</v>
      </c>
      <c r="W127" s="2"/>
      <c r="X127" s="2" t="str">
        <f t="shared" si="4"/>
        <v>91.125</v>
      </c>
      <c r="Y127" s="7" t="s">
        <v>203</v>
      </c>
      <c r="Z127" s="7" t="s">
        <v>204</v>
      </c>
      <c r="AA127" s="414">
        <v>60.0</v>
      </c>
    </row>
    <row r="128">
      <c r="A128" s="2" t="str">
        <f>'Entsorgung Déchets'!A138 &amp; " " &amp; 'Entsorgung Déchets'!B138 &amp; " (KBOB.2016)"</f>
        <v>91.126 Entsorgung, Arbeitsplatte kunstharzbeschichtet (KBOB.2016)</v>
      </c>
      <c r="B128" s="2" t="str">
        <f t="shared" si="1"/>
        <v>91.126 Entsorgung, Arbeitsplatte kunstharzbeschichtet (KBOB.2016)</v>
      </c>
      <c r="C128" s="2"/>
      <c r="D128" s="2"/>
      <c r="E128" s="2"/>
      <c r="F128" s="2" t="s">
        <v>186</v>
      </c>
      <c r="G128" s="2" t="str">
        <f t="shared" si="2"/>
        <v>OTHER_RESOURCE_DISPOSAL_CONSTRUCTION_MATERIAL</v>
      </c>
      <c r="H128" s="2"/>
      <c r="I128" s="600">
        <f>'Entsorgung Déchets'!D138</f>
        <v>1750</v>
      </c>
      <c r="J128" s="600" t="str">
        <f>'Entsorgung Déchets'!E138</f>
        <v/>
      </c>
      <c r="K128" s="600">
        <f>'Entsorgung Déchets'!F138</f>
        <v>1750</v>
      </c>
      <c r="L128" s="601">
        <f>'Entsorgung Déchets'!J138</f>
        <v>0.0126</v>
      </c>
      <c r="M128" s="601" t="str">
        <f>'Entsorgung Déchets'!K138</f>
        <v/>
      </c>
      <c r="N128" s="601">
        <f>'Entsorgung Déchets'!L138</f>
        <v>0.0126</v>
      </c>
      <c r="O128" s="601">
        <f>'Entsorgung Déchets'!M138</f>
        <v>0.786</v>
      </c>
      <c r="P128" s="601" t="str">
        <f>'Entsorgung Déchets'!N138</f>
        <v/>
      </c>
      <c r="Q128" s="601">
        <f>'Entsorgung Déchets'!O138</f>
        <v>0.786</v>
      </c>
      <c r="R128" s="601">
        <f>'Entsorgung Déchets'!P138</f>
        <v>2.51</v>
      </c>
      <c r="S128" s="601" t="str">
        <f>'Entsorgung Déchets'!Q138</f>
        <v/>
      </c>
      <c r="T128" s="601">
        <f>'Entsorgung Déchets'!R138</f>
        <v>2.51</v>
      </c>
      <c r="U128" s="2" t="str">
        <f>'Entsorgung Déchets'!C138</f>
        <v>m2</v>
      </c>
      <c r="V128" s="2" t="str">
        <f t="shared" si="3"/>
        <v>area</v>
      </c>
      <c r="W128" s="2"/>
      <c r="X128" s="2" t="str">
        <f t="shared" si="4"/>
        <v>91.126</v>
      </c>
      <c r="Y128" s="7" t="s">
        <v>203</v>
      </c>
      <c r="Z128" s="7" t="s">
        <v>204</v>
      </c>
      <c r="AA128" s="414">
        <v>60.0</v>
      </c>
    </row>
    <row r="129">
      <c r="A129" s="2" t="str">
        <f>'Entsorgung Déchets'!A139 &amp; " " &amp; 'Entsorgung Déchets'!B139 &amp; " (KBOB.2016)"</f>
        <v>91.127 Entsorgung, Arbeitsplatte Massivholz (KBOB.2016)</v>
      </c>
      <c r="B129" s="2" t="str">
        <f t="shared" si="1"/>
        <v>91.127 Entsorgung, Arbeitsplatte Massivholz (KBOB.2016)</v>
      </c>
      <c r="C129" s="2"/>
      <c r="D129" s="2"/>
      <c r="E129" s="2"/>
      <c r="F129" s="2" t="s">
        <v>186</v>
      </c>
      <c r="G129" s="2" t="str">
        <f t="shared" si="2"/>
        <v>OTHER_RESOURCE_DISPOSAL_CONSTRUCTION_MATERIAL</v>
      </c>
      <c r="H129" s="2"/>
      <c r="I129" s="600">
        <f>'Entsorgung Déchets'!D139</f>
        <v>634</v>
      </c>
      <c r="J129" s="600" t="str">
        <f>'Entsorgung Déchets'!E139</f>
        <v/>
      </c>
      <c r="K129" s="600">
        <f>'Entsorgung Déchets'!F139</f>
        <v>634</v>
      </c>
      <c r="L129" s="601">
        <f>'Entsorgung Déchets'!J139</f>
        <v>0.0132</v>
      </c>
      <c r="M129" s="601" t="str">
        <f>'Entsorgung Déchets'!K139</f>
        <v/>
      </c>
      <c r="N129" s="601">
        <f>'Entsorgung Déchets'!L139</f>
        <v>0.0132</v>
      </c>
      <c r="O129" s="601">
        <f>'Entsorgung Déchets'!M139</f>
        <v>0.804</v>
      </c>
      <c r="P129" s="601" t="str">
        <f>'Entsorgung Déchets'!N139</f>
        <v/>
      </c>
      <c r="Q129" s="601">
        <f>'Entsorgung Déchets'!O139</f>
        <v>0.804</v>
      </c>
      <c r="R129" s="601">
        <f>'Entsorgung Déchets'!P139</f>
        <v>0.237</v>
      </c>
      <c r="S129" s="601" t="str">
        <f>'Entsorgung Déchets'!Q139</f>
        <v/>
      </c>
      <c r="T129" s="601">
        <f>'Entsorgung Déchets'!R139</f>
        <v>0.237</v>
      </c>
      <c r="U129" s="2" t="str">
        <f>'Entsorgung Déchets'!C139</f>
        <v>m2</v>
      </c>
      <c r="V129" s="2" t="str">
        <f t="shared" si="3"/>
        <v>area</v>
      </c>
      <c r="W129" s="2"/>
      <c r="X129" s="2" t="str">
        <f t="shared" si="4"/>
        <v>91.127</v>
      </c>
      <c r="Y129" s="7" t="s">
        <v>203</v>
      </c>
      <c r="Z129" s="7" t="s">
        <v>204</v>
      </c>
      <c r="AA129" s="414">
        <v>60.0</v>
      </c>
    </row>
    <row r="130">
      <c r="A130" s="2" t="str">
        <f>'Entsorgung Déchets'!A140 &amp; " " &amp; 'Entsorgung Déchets'!B140 &amp; " (KBOB.2016)"</f>
        <v>91.128 Entsorgung, Arbeitsplatte Naturstein (KBOB.2016)</v>
      </c>
      <c r="B130" s="2" t="str">
        <f t="shared" si="1"/>
        <v>91.128 Entsorgung, Arbeitsplatte Naturstein (KBOB.2016)</v>
      </c>
      <c r="C130" s="2"/>
      <c r="D130" s="2"/>
      <c r="E130" s="2"/>
      <c r="F130" s="2" t="s">
        <v>186</v>
      </c>
      <c r="G130" s="2" t="str">
        <f t="shared" si="2"/>
        <v>OTHER_RESOURCE_DISPOSAL_CONSTRUCTION_MATERIAL</v>
      </c>
      <c r="H130" s="2"/>
      <c r="I130" s="600">
        <f>'Entsorgung Déchets'!D140</f>
        <v>2130</v>
      </c>
      <c r="J130" s="600" t="str">
        <f>'Entsorgung Déchets'!E140</f>
        <v/>
      </c>
      <c r="K130" s="600">
        <f>'Entsorgung Déchets'!F140</f>
        <v>2130</v>
      </c>
      <c r="L130" s="601">
        <f>'Entsorgung Déchets'!J140</f>
        <v>0.146</v>
      </c>
      <c r="M130" s="601" t="str">
        <f>'Entsorgung Déchets'!K140</f>
        <v/>
      </c>
      <c r="N130" s="601">
        <f>'Entsorgung Déchets'!L140</f>
        <v>0.146</v>
      </c>
      <c r="O130" s="601">
        <f>'Entsorgung Déchets'!M140</f>
        <v>4.17</v>
      </c>
      <c r="P130" s="601" t="str">
        <f>'Entsorgung Déchets'!N140</f>
        <v/>
      </c>
      <c r="Q130" s="601">
        <f>'Entsorgung Déchets'!O140</f>
        <v>4.17</v>
      </c>
      <c r="R130" s="601">
        <f>'Entsorgung Déchets'!P140</f>
        <v>0.745</v>
      </c>
      <c r="S130" s="601" t="str">
        <f>'Entsorgung Déchets'!Q140</f>
        <v/>
      </c>
      <c r="T130" s="601">
        <f>'Entsorgung Déchets'!R140</f>
        <v>0.745</v>
      </c>
      <c r="U130" s="2" t="str">
        <f>'Entsorgung Déchets'!C140</f>
        <v>m2</v>
      </c>
      <c r="V130" s="2" t="str">
        <f t="shared" si="3"/>
        <v>area</v>
      </c>
      <c r="W130" s="2"/>
      <c r="X130" s="2" t="str">
        <f t="shared" si="4"/>
        <v>91.128</v>
      </c>
      <c r="Y130" s="7" t="s">
        <v>203</v>
      </c>
      <c r="Z130" s="7" t="s">
        <v>204</v>
      </c>
      <c r="AA130" s="414">
        <v>60.0</v>
      </c>
    </row>
    <row r="131">
      <c r="A131" s="2" t="str">
        <f>'Entsorgung Déchets'!A141 &amp; " " &amp; 'Entsorgung Déchets'!B141 &amp; " (KBOB.2016)"</f>
        <v>91.129 Entsorgung, Dampfabzug (KBOB.2016)</v>
      </c>
      <c r="B131" s="2" t="str">
        <f t="shared" si="1"/>
        <v>91.129 Entsorgung, Dampfabzug (KBOB.2016)</v>
      </c>
      <c r="C131" s="2"/>
      <c r="D131" s="2"/>
      <c r="E131" s="2"/>
      <c r="F131" s="2" t="s">
        <v>186</v>
      </c>
      <c r="G131" s="2" t="str">
        <f t="shared" si="2"/>
        <v>OTHER_RESOURCE_DISPOSAL_CONSTRUCTION_MATERIAL</v>
      </c>
      <c r="H131" s="2"/>
      <c r="I131" s="600">
        <f>'Entsorgung Déchets'!D141</f>
        <v>8630</v>
      </c>
      <c r="J131" s="600" t="str">
        <f>'Entsorgung Déchets'!E141</f>
        <v/>
      </c>
      <c r="K131" s="600">
        <f>'Entsorgung Déchets'!F141</f>
        <v>8630</v>
      </c>
      <c r="L131" s="601">
        <f>'Entsorgung Déchets'!J141</f>
        <v>0.0305</v>
      </c>
      <c r="M131" s="601" t="str">
        <f>'Entsorgung Déchets'!K141</f>
        <v/>
      </c>
      <c r="N131" s="601">
        <f>'Entsorgung Déchets'!L141</f>
        <v>0.0305</v>
      </c>
      <c r="O131" s="601">
        <f>'Entsorgung Déchets'!M141</f>
        <v>1.39</v>
      </c>
      <c r="P131" s="601" t="str">
        <f>'Entsorgung Déchets'!N141</f>
        <v/>
      </c>
      <c r="Q131" s="601">
        <f>'Entsorgung Déchets'!O141</f>
        <v>1.39</v>
      </c>
      <c r="R131" s="601">
        <f>'Entsorgung Déchets'!P141</f>
        <v>17.1</v>
      </c>
      <c r="S131" s="601" t="str">
        <f>'Entsorgung Déchets'!Q141</f>
        <v/>
      </c>
      <c r="T131" s="601">
        <f>'Entsorgung Déchets'!R141</f>
        <v>17.1</v>
      </c>
      <c r="U131" s="2" t="str">
        <f>'Entsorgung Déchets'!C141</f>
        <v>Stk.</v>
      </c>
      <c r="V131" s="2" t="str">
        <f t="shared" si="3"/>
        <v>device</v>
      </c>
      <c r="W131" s="2"/>
      <c r="X131" s="2" t="str">
        <f t="shared" si="4"/>
        <v>91.129</v>
      </c>
      <c r="Y131" s="7" t="s">
        <v>203</v>
      </c>
      <c r="Z131" s="7" t="s">
        <v>204</v>
      </c>
      <c r="AA131" s="414">
        <v>60.0</v>
      </c>
    </row>
    <row r="132">
      <c r="A132" s="2" t="str">
        <f>'Entsorgung Déchets'!A142 &amp; " " &amp; 'Entsorgung Déchets'!B142 &amp; " (KBOB.2016)"</f>
        <v>91.130 Entsorgung, Küche, Massivholz, 16-teilig (KBOB.2016)</v>
      </c>
      <c r="B132" s="2" t="str">
        <f t="shared" si="1"/>
        <v>91.130 Entsorgung, Küche, Massivholz, 16-teilig (KBOB.2016)</v>
      </c>
      <c r="C132" s="2"/>
      <c r="D132" s="2"/>
      <c r="E132" s="2"/>
      <c r="F132" s="2" t="s">
        <v>186</v>
      </c>
      <c r="G132" s="2" t="str">
        <f t="shared" si="2"/>
        <v>OTHER_RESOURCE_DISPOSAL_CONSTRUCTION_MATERIAL</v>
      </c>
      <c r="H132" s="2"/>
      <c r="I132" s="600">
        <f>'Entsorgung Déchets'!D142</f>
        <v>45200</v>
      </c>
      <c r="J132" s="600" t="str">
        <f>'Entsorgung Déchets'!E142</f>
        <v/>
      </c>
      <c r="K132" s="600">
        <f>'Entsorgung Déchets'!F142</f>
        <v>45200</v>
      </c>
      <c r="L132" s="601">
        <f>'Entsorgung Déchets'!J142</f>
        <v>0.361</v>
      </c>
      <c r="M132" s="601" t="str">
        <f>'Entsorgung Déchets'!K142</f>
        <v/>
      </c>
      <c r="N132" s="601">
        <f>'Entsorgung Déchets'!L142</f>
        <v>0.361</v>
      </c>
      <c r="O132" s="601">
        <f>'Entsorgung Déchets'!M142</f>
        <v>22.3</v>
      </c>
      <c r="P132" s="601" t="str">
        <f>'Entsorgung Déchets'!N142</f>
        <v/>
      </c>
      <c r="Q132" s="601">
        <f>'Entsorgung Déchets'!O142</f>
        <v>22.3</v>
      </c>
      <c r="R132" s="601">
        <f>'Entsorgung Déchets'!P142</f>
        <v>71.8</v>
      </c>
      <c r="S132" s="601" t="str">
        <f>'Entsorgung Déchets'!Q142</f>
        <v/>
      </c>
      <c r="T132" s="601">
        <f>'Entsorgung Déchets'!R142</f>
        <v>71.8</v>
      </c>
      <c r="U132" s="2" t="str">
        <f>'Entsorgung Déchets'!C142</f>
        <v>Stk.</v>
      </c>
      <c r="V132" s="2" t="str">
        <f t="shared" si="3"/>
        <v>device</v>
      </c>
      <c r="W132" s="2"/>
      <c r="X132" s="2" t="str">
        <f t="shared" si="4"/>
        <v>91.130</v>
      </c>
      <c r="Y132" s="7" t="s">
        <v>203</v>
      </c>
      <c r="Z132" s="7" t="s">
        <v>204</v>
      </c>
      <c r="AA132" s="414">
        <v>60.0</v>
      </c>
    </row>
    <row r="133">
      <c r="A133" s="2" t="str">
        <f>'Entsorgung Déchets'!A143 &amp; " " &amp; 'Entsorgung Déchets'!B143 &amp; " (KBOB.2016)"</f>
        <v>91.131 Entsorgung, Küche, Metall, 16-teilig (KBOB.2016)</v>
      </c>
      <c r="B133" s="2" t="str">
        <f t="shared" si="1"/>
        <v>91.131 Entsorgung, Küche, Metall, 16-teilig (KBOB.2016)</v>
      </c>
      <c r="C133" s="2"/>
      <c r="D133" s="2"/>
      <c r="E133" s="2"/>
      <c r="F133" s="2" t="s">
        <v>186</v>
      </c>
      <c r="G133" s="2" t="str">
        <f t="shared" si="2"/>
        <v>OTHER_RESOURCE_DISPOSAL_CONSTRUCTION_MATERIAL</v>
      </c>
      <c r="H133" s="2"/>
      <c r="I133" s="600">
        <f>'Entsorgung Déchets'!D143</f>
        <v>15200</v>
      </c>
      <c r="J133" s="600" t="str">
        <f>'Entsorgung Déchets'!E143</f>
        <v/>
      </c>
      <c r="K133" s="600">
        <f>'Entsorgung Déchets'!F143</f>
        <v>15200</v>
      </c>
      <c r="L133" s="601">
        <f>'Entsorgung Déchets'!J143</f>
        <v>0.0618</v>
      </c>
      <c r="M133" s="601" t="str">
        <f>'Entsorgung Déchets'!K143</f>
        <v/>
      </c>
      <c r="N133" s="601">
        <f>'Entsorgung Déchets'!L143</f>
        <v>0.0618</v>
      </c>
      <c r="O133" s="601">
        <f>'Entsorgung Déchets'!M143</f>
        <v>2.65</v>
      </c>
      <c r="P133" s="601" t="str">
        <f>'Entsorgung Déchets'!N143</f>
        <v/>
      </c>
      <c r="Q133" s="601">
        <f>'Entsorgung Déchets'!O143</f>
        <v>2.65</v>
      </c>
      <c r="R133" s="601">
        <f>'Entsorgung Déchets'!P143</f>
        <v>29.6</v>
      </c>
      <c r="S133" s="601" t="str">
        <f>'Entsorgung Déchets'!Q143</f>
        <v/>
      </c>
      <c r="T133" s="601">
        <f>'Entsorgung Déchets'!R143</f>
        <v>29.6</v>
      </c>
      <c r="U133" s="2" t="str">
        <f>'Entsorgung Déchets'!C143</f>
        <v>Stk.</v>
      </c>
      <c r="V133" s="2" t="str">
        <f t="shared" si="3"/>
        <v>device</v>
      </c>
      <c r="W133" s="2"/>
      <c r="X133" s="2" t="str">
        <f t="shared" si="4"/>
        <v>91.131</v>
      </c>
      <c r="Y133" s="7" t="s">
        <v>203</v>
      </c>
      <c r="Z133" s="7" t="s">
        <v>204</v>
      </c>
      <c r="AA133" s="414">
        <v>60.0</v>
      </c>
    </row>
    <row r="134">
      <c r="A134" s="2" t="str">
        <f>'Entsorgung Déchets'!A144 &amp; " " &amp; 'Entsorgung Déchets'!B144 &amp; " (KBOB.2016)"</f>
        <v>91.132 Entsorgung, Küche, Spanplatte, 16-teilig (KBOB.2016)</v>
      </c>
      <c r="B134" s="2" t="str">
        <f t="shared" si="1"/>
        <v>91.132 Entsorgung, Küche, Spanplatte, 16-teilig (KBOB.2016)</v>
      </c>
      <c r="C134" s="2"/>
      <c r="D134" s="2"/>
      <c r="E134" s="2"/>
      <c r="F134" s="2" t="s">
        <v>186</v>
      </c>
      <c r="G134" s="2" t="str">
        <f t="shared" si="2"/>
        <v>OTHER_RESOURCE_DISPOSAL_CONSTRUCTION_MATERIAL</v>
      </c>
      <c r="H134" s="2"/>
      <c r="I134" s="600">
        <f>'Entsorgung Déchets'!D144</f>
        <v>77700</v>
      </c>
      <c r="J134" s="600" t="str">
        <f>'Entsorgung Déchets'!E144</f>
        <v/>
      </c>
      <c r="K134" s="600">
        <f>'Entsorgung Déchets'!F144</f>
        <v>77700</v>
      </c>
      <c r="L134" s="601">
        <f>'Entsorgung Déchets'!J144</f>
        <v>0.581</v>
      </c>
      <c r="M134" s="601" t="str">
        <f>'Entsorgung Déchets'!K144</f>
        <v/>
      </c>
      <c r="N134" s="601">
        <f>'Entsorgung Déchets'!L144</f>
        <v>0.581</v>
      </c>
      <c r="O134" s="601">
        <f>'Entsorgung Déchets'!M144</f>
        <v>36</v>
      </c>
      <c r="P134" s="601" t="str">
        <f>'Entsorgung Déchets'!N144</f>
        <v/>
      </c>
      <c r="Q134" s="601">
        <f>'Entsorgung Déchets'!O144</f>
        <v>36</v>
      </c>
      <c r="R134" s="601">
        <f>'Entsorgung Déchets'!P144</f>
        <v>119</v>
      </c>
      <c r="S134" s="601" t="str">
        <f>'Entsorgung Déchets'!Q144</f>
        <v/>
      </c>
      <c r="T134" s="601">
        <f>'Entsorgung Déchets'!R144</f>
        <v>119</v>
      </c>
      <c r="U134" s="2" t="str">
        <f>'Entsorgung Déchets'!C144</f>
        <v>Stk.</v>
      </c>
      <c r="V134" s="2" t="str">
        <f t="shared" si="3"/>
        <v>device</v>
      </c>
      <c r="W134" s="2"/>
      <c r="X134" s="2" t="str">
        <f t="shared" si="4"/>
        <v>91.132</v>
      </c>
      <c r="Y134" s="7" t="s">
        <v>203</v>
      </c>
      <c r="Z134" s="7" t="s">
        <v>204</v>
      </c>
      <c r="AA134" s="414">
        <v>60.0</v>
      </c>
    </row>
    <row r="135">
      <c r="A135" s="2" t="str">
        <f>'Entsorgung Déchets'!A145 &amp; " " &amp; 'Entsorgung Déchets'!B145 &amp; " (KBOB.2016)"</f>
        <v>91.133 Entsorgung, Spüle Chromstahl (KBOB.2016)</v>
      </c>
      <c r="B135" s="2" t="str">
        <f t="shared" si="1"/>
        <v>91.133 Entsorgung, Spüle Chromstahl (KBOB.2016)</v>
      </c>
      <c r="C135" s="2"/>
      <c r="D135" s="2"/>
      <c r="E135" s="2"/>
      <c r="F135" s="2" t="s">
        <v>186</v>
      </c>
      <c r="G135" s="2" t="str">
        <f t="shared" si="2"/>
        <v>OTHER_RESOURCE_DISPOSAL_CONSTRUCTION_MATERIAL</v>
      </c>
      <c r="H135" s="2"/>
      <c r="I135" s="600">
        <f>'Entsorgung Déchets'!D145</f>
        <v>2240</v>
      </c>
      <c r="J135" s="600" t="str">
        <f>'Entsorgung Déchets'!E145</f>
        <v/>
      </c>
      <c r="K135" s="600">
        <f>'Entsorgung Déchets'!F145</f>
        <v>2240</v>
      </c>
      <c r="L135" s="601">
        <f>'Entsorgung Déchets'!J145</f>
        <v>0.0044</v>
      </c>
      <c r="M135" s="601" t="str">
        <f>'Entsorgung Déchets'!K145</f>
        <v/>
      </c>
      <c r="N135" s="601">
        <f>'Entsorgung Déchets'!L145</f>
        <v>0.0044</v>
      </c>
      <c r="O135" s="601">
        <f>'Entsorgung Déchets'!M145</f>
        <v>0.211</v>
      </c>
      <c r="P135" s="601" t="str">
        <f>'Entsorgung Déchets'!N145</f>
        <v/>
      </c>
      <c r="Q135" s="601">
        <f>'Entsorgung Déchets'!O145</f>
        <v>0.211</v>
      </c>
      <c r="R135" s="601">
        <f>'Entsorgung Déchets'!P145</f>
        <v>4.57</v>
      </c>
      <c r="S135" s="601" t="str">
        <f>'Entsorgung Déchets'!Q145</f>
        <v/>
      </c>
      <c r="T135" s="601">
        <f>'Entsorgung Déchets'!R145</f>
        <v>4.57</v>
      </c>
      <c r="U135" s="2" t="str">
        <f>'Entsorgung Déchets'!C145</f>
        <v>Stk.</v>
      </c>
      <c r="V135" s="2" t="str">
        <f t="shared" si="3"/>
        <v>device</v>
      </c>
      <c r="W135" s="2"/>
      <c r="X135" s="2" t="str">
        <f t="shared" si="4"/>
        <v>91.133</v>
      </c>
      <c r="Y135" s="7" t="s">
        <v>203</v>
      </c>
      <c r="Z135" s="7" t="s">
        <v>204</v>
      </c>
      <c r="AA135" s="414">
        <v>60.0</v>
      </c>
    </row>
    <row r="136">
      <c r="A136" s="2" t="str">
        <f>'Entsorgung Déchets'!A146 &amp; " " &amp; 'Entsorgung Déchets'!B146 &amp; " (KBOB.2016)"</f>
        <v>91.134 Entsorgung, Spüle Kompositwerkstoff (auf Gesteinsmehlbasis) (KBOB.2016)</v>
      </c>
      <c r="B136" s="2" t="str">
        <f t="shared" si="1"/>
        <v>91.134 Entsorgung, Spüle Kompositwerkstoff (auf Gesteinsmehlbasis) (KBOB.2016)</v>
      </c>
      <c r="C136" s="2"/>
      <c r="D136" s="2"/>
      <c r="E136" s="2"/>
      <c r="F136" s="2" t="s">
        <v>186</v>
      </c>
      <c r="G136" s="2" t="str">
        <f t="shared" si="2"/>
        <v>OTHER_RESOURCE_DISPOSAL_CONSTRUCTION_MATERIAL</v>
      </c>
      <c r="H136" s="2"/>
      <c r="I136" s="600">
        <f>'Entsorgung Déchets'!D146</f>
        <v>4490</v>
      </c>
      <c r="J136" s="600" t="str">
        <f>'Entsorgung Déchets'!E146</f>
        <v/>
      </c>
      <c r="K136" s="600">
        <f>'Entsorgung Déchets'!F146</f>
        <v>4490</v>
      </c>
      <c r="L136" s="601">
        <f>'Entsorgung Déchets'!J146</f>
        <v>0.0178</v>
      </c>
      <c r="M136" s="601" t="str">
        <f>'Entsorgung Déchets'!K146</f>
        <v/>
      </c>
      <c r="N136" s="601">
        <f>'Entsorgung Déchets'!L146</f>
        <v>0.0178</v>
      </c>
      <c r="O136" s="601">
        <f>'Entsorgung Déchets'!M146</f>
        <v>1.11</v>
      </c>
      <c r="P136" s="601" t="str">
        <f>'Entsorgung Déchets'!N146</f>
        <v/>
      </c>
      <c r="Q136" s="601">
        <f>'Entsorgung Déchets'!O146</f>
        <v>1.11</v>
      </c>
      <c r="R136" s="601">
        <f>'Entsorgung Déchets'!P146</f>
        <v>6.39</v>
      </c>
      <c r="S136" s="601" t="str">
        <f>'Entsorgung Déchets'!Q146</f>
        <v/>
      </c>
      <c r="T136" s="601">
        <f>'Entsorgung Déchets'!R146</f>
        <v>6.39</v>
      </c>
      <c r="U136" s="2" t="str">
        <f>'Entsorgung Déchets'!C146</f>
        <v>Stk.</v>
      </c>
      <c r="V136" s="2" t="str">
        <f t="shared" si="3"/>
        <v>device</v>
      </c>
      <c r="W136" s="2"/>
      <c r="X136" s="2" t="str">
        <f t="shared" si="4"/>
        <v>91.134</v>
      </c>
      <c r="Y136" s="7" t="s">
        <v>203</v>
      </c>
      <c r="Z136" s="7" t="s">
        <v>204</v>
      </c>
      <c r="AA136" s="414">
        <v>60.0</v>
      </c>
    </row>
    <row r="137">
      <c r="A137" s="2" t="str">
        <f>'Entsorgung Déchets'!A147 &amp; " " &amp; 'Entsorgung Déchets'!B147 &amp; " (KBOB.2016)"</f>
        <v>91.135 Entsorgung, Fassade, Pfosten-Riegel, Alu/Glas (KBOB.2016)</v>
      </c>
      <c r="B137" s="2" t="str">
        <f t="shared" si="1"/>
        <v>91.135 Entsorgung, Fassade, Pfosten-Riegel, Alu/Glas (KBOB.2016)</v>
      </c>
      <c r="C137" s="2"/>
      <c r="D137" s="2"/>
      <c r="E137" s="2"/>
      <c r="F137" s="2" t="s">
        <v>186</v>
      </c>
      <c r="G137" s="2" t="str">
        <f t="shared" si="2"/>
        <v>OTHER_RESOURCE_DISPOSAL_CONSTRUCTION_MATERIAL</v>
      </c>
      <c r="H137" s="2"/>
      <c r="I137" s="600">
        <f>'Entsorgung Déchets'!D147</f>
        <v>7250</v>
      </c>
      <c r="J137" s="600" t="str">
        <f>'Entsorgung Déchets'!E147</f>
        <v/>
      </c>
      <c r="K137" s="600">
        <f>'Entsorgung Déchets'!F147</f>
        <v>7250</v>
      </c>
      <c r="L137" s="601">
        <f>'Entsorgung Déchets'!J147</f>
        <v>0.0986</v>
      </c>
      <c r="M137" s="601" t="str">
        <f>'Entsorgung Déchets'!K147</f>
        <v/>
      </c>
      <c r="N137" s="601">
        <f>'Entsorgung Déchets'!L147</f>
        <v>0.0986</v>
      </c>
      <c r="O137" s="601">
        <f>'Entsorgung Déchets'!M147</f>
        <v>3.08</v>
      </c>
      <c r="P137" s="601" t="str">
        <f>'Entsorgung Déchets'!N147</f>
        <v/>
      </c>
      <c r="Q137" s="601">
        <f>'Entsorgung Déchets'!O147</f>
        <v>3.08</v>
      </c>
      <c r="R137" s="601">
        <f>'Entsorgung Déchets'!P147</f>
        <v>13.5</v>
      </c>
      <c r="S137" s="601" t="str">
        <f>'Entsorgung Déchets'!Q147</f>
        <v/>
      </c>
      <c r="T137" s="601">
        <f>'Entsorgung Déchets'!R147</f>
        <v>13.5</v>
      </c>
      <c r="U137" s="2" t="str">
        <f>'Entsorgung Déchets'!C147</f>
        <v>m2</v>
      </c>
      <c r="V137" s="2" t="str">
        <f t="shared" si="3"/>
        <v>area</v>
      </c>
      <c r="W137" s="2"/>
      <c r="X137" s="2" t="str">
        <f t="shared" si="4"/>
        <v>91.135</v>
      </c>
      <c r="Y137" s="7" t="s">
        <v>203</v>
      </c>
      <c r="Z137" s="7" t="s">
        <v>204</v>
      </c>
      <c r="AA137" s="414">
        <v>60.0</v>
      </c>
    </row>
    <row r="138">
      <c r="A138" s="2" t="str">
        <f>'Entsorgung Déchets'!A148 &amp; " " &amp; 'Entsorgung Déchets'!B148 &amp; " (KBOB.2016)"</f>
        <v>92 Entsorgung Gebäudetechnik (KBOB.2016)</v>
      </c>
      <c r="B138" s="2" t="str">
        <f t="shared" si="1"/>
        <v>92 Entsorgung Gebäudetechnik (KBOB.2016)</v>
      </c>
      <c r="C138" s="2"/>
      <c r="D138" s="2"/>
      <c r="E138" s="2"/>
      <c r="F138" s="2" t="s">
        <v>186</v>
      </c>
      <c r="G138" s="2" t="str">
        <f t="shared" si="2"/>
        <v>OTHER_RESOURCE_DISPOSAL_BUILDING_TECHNOLOGY</v>
      </c>
      <c r="H138" s="2"/>
      <c r="I138" s="600" t="str">
        <f>'Entsorgung Déchets'!D148</f>
        <v/>
      </c>
      <c r="J138" s="600" t="str">
        <f>'Entsorgung Déchets'!E148</f>
        <v/>
      </c>
      <c r="K138" s="600" t="str">
        <f>'Entsorgung Déchets'!F148</f>
        <v/>
      </c>
      <c r="L138" s="601" t="str">
        <f>'Entsorgung Déchets'!J148</f>
        <v/>
      </c>
      <c r="M138" s="601" t="str">
        <f>'Entsorgung Déchets'!K148</f>
        <v/>
      </c>
      <c r="N138" s="601" t="str">
        <f>'Entsorgung Déchets'!L148</f>
        <v/>
      </c>
      <c r="O138" s="601" t="str">
        <f>'Entsorgung Déchets'!M148</f>
        <v/>
      </c>
      <c r="P138" s="601" t="str">
        <f>'Entsorgung Déchets'!N148</f>
        <v/>
      </c>
      <c r="Q138" s="601" t="str">
        <f>'Entsorgung Déchets'!O148</f>
        <v/>
      </c>
      <c r="R138" s="601" t="str">
        <f>'Entsorgung Déchets'!P148</f>
        <v/>
      </c>
      <c r="S138" s="601" t="str">
        <f>'Entsorgung Déchets'!Q148</f>
        <v/>
      </c>
      <c r="T138" s="601" t="str">
        <f>'Entsorgung Déchets'!R148</f>
        <v/>
      </c>
      <c r="U138" s="602" t="str">
        <f>'Entsorgung Déchets'!C148</f>
        <v/>
      </c>
      <c r="V138" s="2" t="str">
        <f t="shared" si="3"/>
        <v>#N/A</v>
      </c>
      <c r="W138" s="2"/>
      <c r="X138" s="2" t="str">
        <f t="shared" si="4"/>
        <v>92 Ent</v>
      </c>
      <c r="Y138" s="7" t="s">
        <v>203</v>
      </c>
      <c r="Z138" s="7" t="s">
        <v>204</v>
      </c>
      <c r="AA138" s="414">
        <v>60.0</v>
      </c>
    </row>
    <row r="139">
      <c r="A139" s="2" t="str">
        <f>'Entsorgung Déchets'!A149 &amp; " " &amp; 'Entsorgung Déchets'!B149 &amp; " (KBOB.2016)"</f>
        <v>92.016 Entsorgung, Abgabe über Heizkörper (KBOB.2016)</v>
      </c>
      <c r="B139" s="2" t="str">
        <f t="shared" si="1"/>
        <v>92.016 Entsorgung, Abgabe über Heizkörper (KBOB.2016)</v>
      </c>
      <c r="C139" s="2"/>
      <c r="D139" s="2"/>
      <c r="E139" s="2"/>
      <c r="F139" s="2" t="s">
        <v>186</v>
      </c>
      <c r="G139" s="2" t="str">
        <f t="shared" si="2"/>
        <v>OTHER_RESOURCE_DISPOSAL_BUILDING_TECHNOLOGY</v>
      </c>
      <c r="H139" s="2"/>
      <c r="I139" s="600">
        <f>'Entsorgung Déchets'!D149</f>
        <v>17.9</v>
      </c>
      <c r="J139" s="600" t="str">
        <f>'Entsorgung Déchets'!E149</f>
        <v/>
      </c>
      <c r="K139" s="600">
        <f>'Entsorgung Déchets'!F149</f>
        <v>17.9</v>
      </c>
      <c r="L139" s="601">
        <f>'Entsorgung Déchets'!J149</f>
        <v>0.00185</v>
      </c>
      <c r="M139" s="601" t="str">
        <f>'Entsorgung Déchets'!K149</f>
        <v/>
      </c>
      <c r="N139" s="601">
        <f>'Entsorgung Déchets'!L149</f>
        <v>0.00185</v>
      </c>
      <c r="O139" s="601">
        <f>'Entsorgung Déchets'!M149</f>
        <v>0.0352</v>
      </c>
      <c r="P139" s="601" t="str">
        <f>'Entsorgung Déchets'!N149</f>
        <v/>
      </c>
      <c r="Q139" s="601">
        <f>'Entsorgung Déchets'!O149</f>
        <v>0.0352</v>
      </c>
      <c r="R139" s="601">
        <f>'Entsorgung Déchets'!P149</f>
        <v>0.0227</v>
      </c>
      <c r="S139" s="601" t="str">
        <f>'Entsorgung Déchets'!Q149</f>
        <v/>
      </c>
      <c r="T139" s="601">
        <f>'Entsorgung Déchets'!R149</f>
        <v>0.0227</v>
      </c>
      <c r="U139" s="2" t="str">
        <f>'Entsorgung Déchets'!C149</f>
        <v>m2</v>
      </c>
      <c r="V139" s="2" t="str">
        <f t="shared" si="3"/>
        <v>area</v>
      </c>
      <c r="W139" s="2"/>
      <c r="X139" s="2" t="str">
        <f t="shared" si="4"/>
        <v>92.016</v>
      </c>
      <c r="Y139" s="7" t="s">
        <v>203</v>
      </c>
      <c r="Z139" s="7" t="s">
        <v>204</v>
      </c>
      <c r="AA139" s="414">
        <v>60.0</v>
      </c>
    </row>
    <row r="140">
      <c r="A140" s="2" t="str">
        <f>'Entsorgung Déchets'!A150 &amp; " " &amp; 'Entsorgung Déchets'!B150 &amp; " (KBOB.2016)"</f>
        <v>92.018 Entsorgung, Abgabe über Heizkühldecke (ohne Gips- oder Metalldecke) (KBOB.2016)</v>
      </c>
      <c r="B140" s="2" t="str">
        <f t="shared" si="1"/>
        <v>92.018 Entsorgung, Abgabe über Heizkühldecke (ohne Gips- oder Metalldecke) (KBOB.2016)</v>
      </c>
      <c r="C140" s="2"/>
      <c r="D140" s="2"/>
      <c r="E140" s="2"/>
      <c r="F140" s="2" t="s">
        <v>186</v>
      </c>
      <c r="G140" s="2" t="str">
        <f t="shared" si="2"/>
        <v>OTHER_RESOURCE_DISPOSAL_BUILDING_TECHNOLOGY</v>
      </c>
      <c r="H140" s="2"/>
      <c r="I140" s="600">
        <f>'Entsorgung Déchets'!D150</f>
        <v>70.4</v>
      </c>
      <c r="J140" s="600" t="str">
        <f>'Entsorgung Déchets'!E150</f>
        <v/>
      </c>
      <c r="K140" s="600">
        <f>'Entsorgung Déchets'!F150</f>
        <v>70.4</v>
      </c>
      <c r="L140" s="601">
        <f>'Entsorgung Déchets'!J150</f>
        <v>0.00159</v>
      </c>
      <c r="M140" s="601" t="str">
        <f>'Entsorgung Déchets'!K150</f>
        <v/>
      </c>
      <c r="N140" s="601">
        <f>'Entsorgung Déchets'!L150</f>
        <v>0.00159</v>
      </c>
      <c r="O140" s="601">
        <f>'Entsorgung Déchets'!M150</f>
        <v>0.0306</v>
      </c>
      <c r="P140" s="601" t="str">
        <f>'Entsorgung Déchets'!N150</f>
        <v/>
      </c>
      <c r="Q140" s="601">
        <f>'Entsorgung Déchets'!O150</f>
        <v>0.0306</v>
      </c>
      <c r="R140" s="601">
        <f>'Entsorgung Déchets'!P150</f>
        <v>0.134</v>
      </c>
      <c r="S140" s="601" t="str">
        <f>'Entsorgung Déchets'!Q150</f>
        <v/>
      </c>
      <c r="T140" s="601">
        <f>'Entsorgung Déchets'!R150</f>
        <v>0.134</v>
      </c>
      <c r="U140" s="2" t="str">
        <f>'Entsorgung Déchets'!C150</f>
        <v>m2</v>
      </c>
      <c r="V140" s="2" t="str">
        <f t="shared" si="3"/>
        <v>area</v>
      </c>
      <c r="W140" s="2"/>
      <c r="X140" s="2" t="str">
        <f t="shared" si="4"/>
        <v>92.018</v>
      </c>
      <c r="Y140" s="7" t="s">
        <v>203</v>
      </c>
      <c r="Z140" s="7" t="s">
        <v>204</v>
      </c>
      <c r="AA140" s="414">
        <v>60.0</v>
      </c>
    </row>
    <row r="141">
      <c r="A141" s="2" t="str">
        <f>'Entsorgung Déchets'!A151 &amp; " " &amp; 'Entsorgung Déchets'!B151 &amp; " (KBOB.2016)"</f>
        <v>92.017 Entsorgung, Abgabe über Fussbodenheizung (KBOB.2016)</v>
      </c>
      <c r="B141" s="2" t="str">
        <f t="shared" si="1"/>
        <v>92.017 Entsorgung, Abgabe über Fussbodenheizung (KBOB.2016)</v>
      </c>
      <c r="C141" s="2"/>
      <c r="D141" s="2"/>
      <c r="E141" s="2"/>
      <c r="F141" s="2" t="s">
        <v>186</v>
      </c>
      <c r="G141" s="2" t="str">
        <f t="shared" si="2"/>
        <v>OTHER_RESOURCE_DISPOSAL_BUILDING_TECHNOLOGY</v>
      </c>
      <c r="H141" s="2"/>
      <c r="I141" s="600">
        <f>'Entsorgung Déchets'!D151</f>
        <v>997</v>
      </c>
      <c r="J141" s="600" t="str">
        <f>'Entsorgung Déchets'!E151</f>
        <v/>
      </c>
      <c r="K141" s="600">
        <f>'Entsorgung Déchets'!F151</f>
        <v>997</v>
      </c>
      <c r="L141" s="601">
        <f>'Entsorgung Déchets'!J151</f>
        <v>0.00165</v>
      </c>
      <c r="M141" s="601" t="str">
        <f>'Entsorgung Déchets'!K151</f>
        <v/>
      </c>
      <c r="N141" s="601">
        <f>'Entsorgung Déchets'!L151</f>
        <v>0.00165</v>
      </c>
      <c r="O141" s="601">
        <f>'Entsorgung Déchets'!M151</f>
        <v>0.0917</v>
      </c>
      <c r="P141" s="601" t="str">
        <f>'Entsorgung Déchets'!N151</f>
        <v/>
      </c>
      <c r="Q141" s="601">
        <f>'Entsorgung Déchets'!O151</f>
        <v>0.0917</v>
      </c>
      <c r="R141" s="601">
        <f>'Entsorgung Déchets'!P151</f>
        <v>2.04</v>
      </c>
      <c r="S141" s="601" t="str">
        <f>'Entsorgung Déchets'!Q151</f>
        <v/>
      </c>
      <c r="T141" s="601">
        <f>'Entsorgung Déchets'!R151</f>
        <v>2.04</v>
      </c>
      <c r="U141" s="2" t="str">
        <f>'Entsorgung Déchets'!C151</f>
        <v>m2</v>
      </c>
      <c r="V141" s="2" t="str">
        <f t="shared" si="3"/>
        <v>area</v>
      </c>
      <c r="W141" s="2"/>
      <c r="X141" s="2" t="str">
        <f t="shared" si="4"/>
        <v>92.017</v>
      </c>
      <c r="Y141" s="7" t="s">
        <v>203</v>
      </c>
      <c r="Z141" s="7" t="s">
        <v>204</v>
      </c>
      <c r="AA141" s="414">
        <v>60.0</v>
      </c>
    </row>
    <row r="142">
      <c r="A142" s="2" t="str">
        <f>'Entsorgung Déchets'!A152 &amp; " " &amp; 'Entsorgung Déchets'!B152 &amp; " (KBOB.2016)"</f>
        <v>92.023 Entsorgung, Abluftanlage Küche und Bad (KBOB.2016)</v>
      </c>
      <c r="B142" s="2" t="str">
        <f t="shared" si="1"/>
        <v>92.023 Entsorgung, Abluftanlage Küche und Bad (KBOB.2016)</v>
      </c>
      <c r="C142" s="2"/>
      <c r="D142" s="2"/>
      <c r="E142" s="2"/>
      <c r="F142" s="2" t="s">
        <v>186</v>
      </c>
      <c r="G142" s="2" t="str">
        <f t="shared" si="2"/>
        <v>OTHER_RESOURCE_DISPOSAL_BUILDING_TECHNOLOGY</v>
      </c>
      <c r="H142" s="2"/>
      <c r="I142" s="600">
        <f>'Entsorgung Déchets'!D152</f>
        <v>65.7</v>
      </c>
      <c r="J142" s="600" t="str">
        <f>'Entsorgung Déchets'!E152</f>
        <v/>
      </c>
      <c r="K142" s="600">
        <f>'Entsorgung Déchets'!F152</f>
        <v>65.7</v>
      </c>
      <c r="L142" s="601">
        <f>'Entsorgung Déchets'!J152</f>
        <v>0.000208</v>
      </c>
      <c r="M142" s="601" t="str">
        <f>'Entsorgung Déchets'!K152</f>
        <v/>
      </c>
      <c r="N142" s="601">
        <f>'Entsorgung Déchets'!L152</f>
        <v>0.000208</v>
      </c>
      <c r="O142" s="601">
        <f>'Entsorgung Déchets'!M152</f>
        <v>0.0165</v>
      </c>
      <c r="P142" s="601" t="str">
        <f>'Entsorgung Déchets'!N152</f>
        <v/>
      </c>
      <c r="Q142" s="601">
        <f>'Entsorgung Déchets'!O152</f>
        <v>0.0165</v>
      </c>
      <c r="R142" s="601">
        <f>'Entsorgung Déchets'!P152</f>
        <v>0.126</v>
      </c>
      <c r="S142" s="601" t="str">
        <f>'Entsorgung Déchets'!Q152</f>
        <v/>
      </c>
      <c r="T142" s="601">
        <f>'Entsorgung Déchets'!R152</f>
        <v>0.126</v>
      </c>
      <c r="U142" s="2" t="str">
        <f>'Entsorgung Déchets'!C152</f>
        <v>m2</v>
      </c>
      <c r="V142" s="2" t="str">
        <f t="shared" si="3"/>
        <v>area</v>
      </c>
      <c r="W142" s="2"/>
      <c r="X142" s="2" t="str">
        <f t="shared" si="4"/>
        <v>92.023</v>
      </c>
      <c r="Y142" s="7" t="s">
        <v>203</v>
      </c>
      <c r="Z142" s="7" t="s">
        <v>204</v>
      </c>
      <c r="AA142" s="414">
        <v>60.0</v>
      </c>
    </row>
    <row r="143">
      <c r="A143" s="2" t="str">
        <f>'Entsorgung Déchets'!A153 &amp; " " &amp; 'Entsorgung Déchets'!B153 &amp; " (KBOB.2016)"</f>
        <v>92.002 Entsorgung, Büro, aufwändige Installation, inkl. Apparate und Leitungen (KBOB.2016)</v>
      </c>
      <c r="B143" s="2" t="str">
        <f t="shared" si="1"/>
        <v>92.002 Entsorgung, Büro, aufwändige Installation, inkl. Apparate und Leitungen (KBOB.2016)</v>
      </c>
      <c r="C143" s="2"/>
      <c r="D143" s="2"/>
      <c r="E143" s="2"/>
      <c r="F143" s="2" t="s">
        <v>186</v>
      </c>
      <c r="G143" s="2" t="str">
        <f t="shared" si="2"/>
        <v>OTHER_RESOURCE_DISPOSAL_BUILDING_TECHNOLOGY</v>
      </c>
      <c r="H143" s="2"/>
      <c r="I143" s="600">
        <f>'Entsorgung Déchets'!D153</f>
        <v>1950</v>
      </c>
      <c r="J143" s="600" t="str">
        <f>'Entsorgung Déchets'!E153</f>
        <v/>
      </c>
      <c r="K143" s="600">
        <f>'Entsorgung Déchets'!F153</f>
        <v>1950</v>
      </c>
      <c r="L143" s="601">
        <f>'Entsorgung Déchets'!J153</f>
        <v>0.0147</v>
      </c>
      <c r="M143" s="601" t="str">
        <f>'Entsorgung Déchets'!K153</f>
        <v/>
      </c>
      <c r="N143" s="601">
        <f>'Entsorgung Déchets'!L153</f>
        <v>0.0147</v>
      </c>
      <c r="O143" s="601">
        <f>'Entsorgung Déchets'!M153</f>
        <v>0.478</v>
      </c>
      <c r="P143" s="601" t="str">
        <f>'Entsorgung Déchets'!N153</f>
        <v/>
      </c>
      <c r="Q143" s="601">
        <f>'Entsorgung Déchets'!O153</f>
        <v>0.478</v>
      </c>
      <c r="R143" s="601">
        <f>'Entsorgung Déchets'!P153</f>
        <v>3.76</v>
      </c>
      <c r="S143" s="601" t="str">
        <f>'Entsorgung Déchets'!Q153</f>
        <v/>
      </c>
      <c r="T143" s="601">
        <f>'Entsorgung Déchets'!R153</f>
        <v>3.76</v>
      </c>
      <c r="U143" s="2" t="str">
        <f>'Entsorgung Déchets'!C153</f>
        <v>m2</v>
      </c>
      <c r="V143" s="2" t="str">
        <f t="shared" si="3"/>
        <v>area</v>
      </c>
      <c r="W143" s="2"/>
      <c r="X143" s="2" t="str">
        <f t="shared" si="4"/>
        <v>92.002</v>
      </c>
      <c r="Y143" s="7" t="s">
        <v>203</v>
      </c>
      <c r="Z143" s="7" t="s">
        <v>204</v>
      </c>
      <c r="AA143" s="414">
        <v>60.0</v>
      </c>
    </row>
    <row r="144">
      <c r="A144" s="2" t="str">
        <f>'Entsorgung Déchets'!A154 &amp; " " &amp; 'Entsorgung Déchets'!B154 &amp; " (KBOB.2016)"</f>
        <v>92.001 Entsorgung, Büro, einfache Installation, inkl. Apparate und Leitungen (KBOB.2016)</v>
      </c>
      <c r="B144" s="2" t="str">
        <f t="shared" si="1"/>
        <v>92.001 Entsorgung, Büro, einfache Installation, inkl. Apparate und Leitungen (KBOB.2016)</v>
      </c>
      <c r="C144" s="2"/>
      <c r="D144" s="2"/>
      <c r="E144" s="2"/>
      <c r="F144" s="2" t="s">
        <v>186</v>
      </c>
      <c r="G144" s="2" t="str">
        <f t="shared" si="2"/>
        <v>OTHER_RESOURCE_DISPOSAL_BUILDING_TECHNOLOGY</v>
      </c>
      <c r="H144" s="2"/>
      <c r="I144" s="600">
        <f>'Entsorgung Déchets'!D154</f>
        <v>587</v>
      </c>
      <c r="J144" s="600" t="str">
        <f>'Entsorgung Déchets'!E154</f>
        <v/>
      </c>
      <c r="K144" s="600">
        <f>'Entsorgung Déchets'!F154</f>
        <v>587</v>
      </c>
      <c r="L144" s="601">
        <f>'Entsorgung Déchets'!J154</f>
        <v>0.00458</v>
      </c>
      <c r="M144" s="601" t="str">
        <f>'Entsorgung Déchets'!K154</f>
        <v/>
      </c>
      <c r="N144" s="601">
        <f>'Entsorgung Déchets'!L154</f>
        <v>0.00458</v>
      </c>
      <c r="O144" s="601">
        <f>'Entsorgung Déchets'!M154</f>
        <v>0.137</v>
      </c>
      <c r="P144" s="601" t="str">
        <f>'Entsorgung Déchets'!N154</f>
        <v/>
      </c>
      <c r="Q144" s="601">
        <f>'Entsorgung Déchets'!O154</f>
        <v>0.137</v>
      </c>
      <c r="R144" s="601">
        <f>'Entsorgung Déchets'!P154</f>
        <v>1.15</v>
      </c>
      <c r="S144" s="601" t="str">
        <f>'Entsorgung Déchets'!Q154</f>
        <v/>
      </c>
      <c r="T144" s="601">
        <f>'Entsorgung Déchets'!R154</f>
        <v>1.15</v>
      </c>
      <c r="U144" s="2" t="str">
        <f>'Entsorgung Déchets'!C154</f>
        <v>m2</v>
      </c>
      <c r="V144" s="2" t="str">
        <f t="shared" si="3"/>
        <v>area</v>
      </c>
      <c r="W144" s="2"/>
      <c r="X144" s="2" t="str">
        <f t="shared" si="4"/>
        <v>92.001</v>
      </c>
      <c r="Y144" s="7" t="s">
        <v>203</v>
      </c>
      <c r="Z144" s="7" t="s">
        <v>204</v>
      </c>
      <c r="AA144" s="414">
        <v>60.0</v>
      </c>
    </row>
    <row r="145">
      <c r="A145" s="2" t="str">
        <f>'Entsorgung Déchets'!A155 &amp; " " &amp; 'Entsorgung Déchets'!B155 &amp; " (KBOB.2016)"</f>
        <v>92.020 Entsorgung, Einzelraumlüfer Fenstermodell 10-30 m3/h, ohne Montage (KBOB.2016)</v>
      </c>
      <c r="B145" s="2" t="str">
        <f t="shared" si="1"/>
        <v>92.020 Entsorgung, Einzelraumlüfer Fenstermodell 10-30 m3/h, ohne Montage (KBOB.2016)</v>
      </c>
      <c r="C145" s="2"/>
      <c r="D145" s="2"/>
      <c r="E145" s="2"/>
      <c r="F145" s="2" t="s">
        <v>186</v>
      </c>
      <c r="G145" s="2" t="str">
        <f t="shared" si="2"/>
        <v>OTHER_RESOURCE_DISPOSAL_BUILDING_TECHNOLOGY</v>
      </c>
      <c r="H145" s="2"/>
      <c r="I145" s="600">
        <f>'Entsorgung Déchets'!D155</f>
        <v>3260</v>
      </c>
      <c r="J145" s="600" t="str">
        <f>'Entsorgung Déchets'!E155</f>
        <v/>
      </c>
      <c r="K145" s="600">
        <f>'Entsorgung Déchets'!F155</f>
        <v>3260</v>
      </c>
      <c r="L145" s="601">
        <f>'Entsorgung Déchets'!J155</f>
        <v>0.0758</v>
      </c>
      <c r="M145" s="601" t="str">
        <f>'Entsorgung Déchets'!K155</f>
        <v/>
      </c>
      <c r="N145" s="601">
        <f>'Entsorgung Déchets'!L155</f>
        <v>0.0758</v>
      </c>
      <c r="O145" s="601">
        <f>'Entsorgung Déchets'!M155</f>
        <v>1.41</v>
      </c>
      <c r="P145" s="601" t="str">
        <f>'Entsorgung Déchets'!N155</f>
        <v/>
      </c>
      <c r="Q145" s="601">
        <f>'Entsorgung Déchets'!O155</f>
        <v>1.41</v>
      </c>
      <c r="R145" s="601">
        <f>'Entsorgung Déchets'!P155</f>
        <v>5.48</v>
      </c>
      <c r="S145" s="601" t="str">
        <f>'Entsorgung Déchets'!Q155</f>
        <v/>
      </c>
      <c r="T145" s="601">
        <f>'Entsorgung Déchets'!R155</f>
        <v>5.48</v>
      </c>
      <c r="U145" s="2" t="str">
        <f>'Entsorgung Déchets'!C155</f>
        <v>Stk.</v>
      </c>
      <c r="V145" s="2" t="str">
        <f t="shared" si="3"/>
        <v>device</v>
      </c>
      <c r="W145" s="2"/>
      <c r="X145" s="2" t="str">
        <f t="shared" si="4"/>
        <v>92.020</v>
      </c>
      <c r="Y145" s="7" t="s">
        <v>203</v>
      </c>
      <c r="Z145" s="7" t="s">
        <v>204</v>
      </c>
      <c r="AA145" s="414">
        <v>60.0</v>
      </c>
    </row>
    <row r="146">
      <c r="A146" s="2" t="str">
        <f>'Entsorgung Déchets'!A156 &amp; " " &amp; 'Entsorgung Déchets'!B156 &amp; " (KBOB.2016)"</f>
        <v>92.004 Entsorgung, Elektroanlagen Wohnen (KBOB.2016)</v>
      </c>
      <c r="B146" s="2" t="str">
        <f t="shared" si="1"/>
        <v>92.004 Entsorgung, Elektroanlagen Wohnen (KBOB.2016)</v>
      </c>
      <c r="C146" s="2"/>
      <c r="D146" s="2"/>
      <c r="E146" s="2"/>
      <c r="F146" s="2" t="s">
        <v>186</v>
      </c>
      <c r="G146" s="2" t="str">
        <f t="shared" si="2"/>
        <v>OTHER_RESOURCE_DISPOSAL_BUILDING_TECHNOLOGY</v>
      </c>
      <c r="H146" s="2"/>
      <c r="I146" s="600">
        <f>'Entsorgung Déchets'!D156</f>
        <v>1820</v>
      </c>
      <c r="J146" s="600" t="str">
        <f>'Entsorgung Déchets'!E156</f>
        <v/>
      </c>
      <c r="K146" s="600">
        <f>'Entsorgung Déchets'!F156</f>
        <v>1820</v>
      </c>
      <c r="L146" s="601">
        <f>'Entsorgung Déchets'!J156</f>
        <v>0.0581</v>
      </c>
      <c r="M146" s="601" t="str">
        <f>'Entsorgung Déchets'!K156</f>
        <v/>
      </c>
      <c r="N146" s="601">
        <f>'Entsorgung Déchets'!L156</f>
        <v>0.0581</v>
      </c>
      <c r="O146" s="601">
        <f>'Entsorgung Déchets'!M156</f>
        <v>0.757</v>
      </c>
      <c r="P146" s="601" t="str">
        <f>'Entsorgung Déchets'!N156</f>
        <v/>
      </c>
      <c r="Q146" s="601">
        <f>'Entsorgung Déchets'!O156</f>
        <v>0.757</v>
      </c>
      <c r="R146" s="601">
        <f>'Entsorgung Déchets'!P156</f>
        <v>3.4</v>
      </c>
      <c r="S146" s="601" t="str">
        <f>'Entsorgung Déchets'!Q156</f>
        <v/>
      </c>
      <c r="T146" s="601">
        <f>'Entsorgung Déchets'!R156</f>
        <v>3.4</v>
      </c>
      <c r="U146" s="2" t="str">
        <f>'Entsorgung Déchets'!C156</f>
        <v>m2</v>
      </c>
      <c r="V146" s="2" t="str">
        <f t="shared" si="3"/>
        <v>area</v>
      </c>
      <c r="W146" s="2"/>
      <c r="X146" s="2" t="str">
        <f t="shared" si="4"/>
        <v>92.004</v>
      </c>
      <c r="Y146" s="7" t="s">
        <v>203</v>
      </c>
      <c r="Z146" s="7" t="s">
        <v>204</v>
      </c>
      <c r="AA146" s="414">
        <v>60.0</v>
      </c>
    </row>
    <row r="147">
      <c r="A147" s="2" t="str">
        <f>'Entsorgung Déchets'!A157 &amp; " " &amp; 'Entsorgung Déchets'!B157 &amp; " (KBOB.2016)"</f>
        <v>92.005 Entsorgung, Elektroanlagen Büro (KBOB.2016)</v>
      </c>
      <c r="B147" s="2" t="str">
        <f t="shared" si="1"/>
        <v>92.005 Entsorgung, Elektroanlagen Büro (KBOB.2016)</v>
      </c>
      <c r="C147" s="2"/>
      <c r="D147" s="2"/>
      <c r="E147" s="2"/>
      <c r="F147" s="2" t="s">
        <v>186</v>
      </c>
      <c r="G147" s="2" t="str">
        <f t="shared" si="2"/>
        <v>OTHER_RESOURCE_DISPOSAL_BUILDING_TECHNOLOGY</v>
      </c>
      <c r="H147" s="2"/>
      <c r="I147" s="600">
        <f>'Entsorgung Déchets'!D157</f>
        <v>900</v>
      </c>
      <c r="J147" s="600" t="str">
        <f>'Entsorgung Déchets'!E157</f>
        <v/>
      </c>
      <c r="K147" s="600">
        <f>'Entsorgung Déchets'!F157</f>
        <v>900</v>
      </c>
      <c r="L147" s="601">
        <f>'Entsorgung Déchets'!J157</f>
        <v>0.0483</v>
      </c>
      <c r="M147" s="601" t="str">
        <f>'Entsorgung Déchets'!K157</f>
        <v/>
      </c>
      <c r="N147" s="601">
        <f>'Entsorgung Déchets'!L157</f>
        <v>0.0483</v>
      </c>
      <c r="O147" s="601">
        <f>'Entsorgung Déchets'!M157</f>
        <v>0.832</v>
      </c>
      <c r="P147" s="601" t="str">
        <f>'Entsorgung Déchets'!N157</f>
        <v/>
      </c>
      <c r="Q147" s="601">
        <f>'Entsorgung Déchets'!O157</f>
        <v>0.832</v>
      </c>
      <c r="R147" s="601">
        <f>'Entsorgung Déchets'!P157</f>
        <v>1.45</v>
      </c>
      <c r="S147" s="601" t="str">
        <f>'Entsorgung Déchets'!Q157</f>
        <v/>
      </c>
      <c r="T147" s="601">
        <f>'Entsorgung Déchets'!R157</f>
        <v>1.45</v>
      </c>
      <c r="U147" s="2" t="str">
        <f>'Entsorgung Déchets'!C157</f>
        <v>m2</v>
      </c>
      <c r="V147" s="2" t="str">
        <f t="shared" si="3"/>
        <v>area</v>
      </c>
      <c r="W147" s="2"/>
      <c r="X147" s="2" t="str">
        <f t="shared" si="4"/>
        <v>92.005</v>
      </c>
      <c r="Y147" s="7" t="s">
        <v>203</v>
      </c>
      <c r="Z147" s="7" t="s">
        <v>204</v>
      </c>
      <c r="AA147" s="414">
        <v>60.0</v>
      </c>
    </row>
    <row r="148">
      <c r="A148" s="2" t="str">
        <f>'Entsorgung Déchets'!A158 &amp; " " &amp; 'Entsorgung Déchets'!B158 &amp; " (KBOB.2016)"</f>
        <v>92.025 Entsorgung, Erdregister kurz zu Lüftungsanlage Büro (0.27 m/m2 EBF) (KBOB.2016)</v>
      </c>
      <c r="B148" s="2" t="str">
        <f t="shared" si="1"/>
        <v>92.025 Entsorgung, Erdregister kurz zu Lüftungsanlage Büro (0.27 m/m2 EBF) (KBOB.2016)</v>
      </c>
      <c r="C148" s="2"/>
      <c r="D148" s="2"/>
      <c r="E148" s="2"/>
      <c r="F148" s="2" t="s">
        <v>186</v>
      </c>
      <c r="G148" s="2" t="str">
        <f t="shared" si="2"/>
        <v>OTHER_RESOURCE_DISPOSAL_BUILDING_TECHNOLOGY</v>
      </c>
      <c r="H148" s="2"/>
      <c r="I148" s="600">
        <f>'Entsorgung Déchets'!D158</f>
        <v>2300</v>
      </c>
      <c r="J148" s="600" t="str">
        <f>'Entsorgung Déchets'!E158</f>
        <v/>
      </c>
      <c r="K148" s="600">
        <f>'Entsorgung Déchets'!F158</f>
        <v>2300</v>
      </c>
      <c r="L148" s="601">
        <f>'Entsorgung Déchets'!J158</f>
        <v>0.0898</v>
      </c>
      <c r="M148" s="601" t="str">
        <f>'Entsorgung Déchets'!K158</f>
        <v/>
      </c>
      <c r="N148" s="601">
        <f>'Entsorgung Déchets'!L158</f>
        <v>0.0898</v>
      </c>
      <c r="O148" s="601">
        <f>'Entsorgung Déchets'!M158</f>
        <v>2.22</v>
      </c>
      <c r="P148" s="601" t="str">
        <f>'Entsorgung Déchets'!N158</f>
        <v/>
      </c>
      <c r="Q148" s="601">
        <f>'Entsorgung Déchets'!O158</f>
        <v>2.22</v>
      </c>
      <c r="R148" s="601">
        <f>'Entsorgung Déchets'!P158</f>
        <v>2.82</v>
      </c>
      <c r="S148" s="601" t="str">
        <f>'Entsorgung Déchets'!Q158</f>
        <v/>
      </c>
      <c r="T148" s="601">
        <f>'Entsorgung Déchets'!R158</f>
        <v>2.82</v>
      </c>
      <c r="U148" s="2" t="str">
        <f>'Entsorgung Déchets'!C158</f>
        <v>m2</v>
      </c>
      <c r="V148" s="2" t="str">
        <f t="shared" si="3"/>
        <v>area</v>
      </c>
      <c r="W148" s="2"/>
      <c r="X148" s="2" t="str">
        <f t="shared" si="4"/>
        <v>92.025</v>
      </c>
      <c r="Y148" s="7" t="s">
        <v>203</v>
      </c>
      <c r="Z148" s="7" t="s">
        <v>204</v>
      </c>
      <c r="AA148" s="414">
        <v>60.0</v>
      </c>
    </row>
    <row r="149">
      <c r="A149" s="2" t="str">
        <f>'Entsorgung Déchets'!A159 &amp; " " &amp; 'Entsorgung Déchets'!B159 &amp; " (KBOB.2016)"</f>
        <v>92.026 Entsorgung, Erdregister lang zu Lüftungsanlage Büro (0.67 m/m2 EBF) (KBOB.2016)</v>
      </c>
      <c r="B149" s="2" t="str">
        <f t="shared" si="1"/>
        <v>92.026 Entsorgung, Erdregister lang zu Lüftungsanlage Büro (0.67 m/m2 EBF) (KBOB.2016)</v>
      </c>
      <c r="C149" s="2"/>
      <c r="D149" s="2"/>
      <c r="E149" s="2"/>
      <c r="F149" s="2" t="s">
        <v>186</v>
      </c>
      <c r="G149" s="2" t="str">
        <f t="shared" si="2"/>
        <v>OTHER_RESOURCE_DISPOSAL_BUILDING_TECHNOLOGY</v>
      </c>
      <c r="H149" s="2"/>
      <c r="I149" s="600">
        <f>'Entsorgung Déchets'!D159</f>
        <v>5760</v>
      </c>
      <c r="J149" s="600" t="str">
        <f>'Entsorgung Déchets'!E159</f>
        <v/>
      </c>
      <c r="K149" s="600">
        <f>'Entsorgung Déchets'!F159</f>
        <v>5760</v>
      </c>
      <c r="L149" s="601">
        <f>'Entsorgung Déchets'!J159</f>
        <v>0.224</v>
      </c>
      <c r="M149" s="601" t="str">
        <f>'Entsorgung Déchets'!K159</f>
        <v/>
      </c>
      <c r="N149" s="601">
        <f>'Entsorgung Déchets'!L159</f>
        <v>0.224</v>
      </c>
      <c r="O149" s="601">
        <f>'Entsorgung Déchets'!M159</f>
        <v>5.54</v>
      </c>
      <c r="P149" s="601" t="str">
        <f>'Entsorgung Déchets'!N159</f>
        <v/>
      </c>
      <c r="Q149" s="601">
        <f>'Entsorgung Déchets'!O159</f>
        <v>5.54</v>
      </c>
      <c r="R149" s="601">
        <f>'Entsorgung Déchets'!P159</f>
        <v>7.05</v>
      </c>
      <c r="S149" s="601" t="str">
        <f>'Entsorgung Déchets'!Q159</f>
        <v/>
      </c>
      <c r="T149" s="601">
        <f>'Entsorgung Déchets'!R159</f>
        <v>7.05</v>
      </c>
      <c r="U149" s="2" t="str">
        <f>'Entsorgung Déchets'!C159</f>
        <v>m2</v>
      </c>
      <c r="V149" s="2" t="str">
        <f t="shared" si="3"/>
        <v>area</v>
      </c>
      <c r="W149" s="2"/>
      <c r="X149" s="2" t="str">
        <f t="shared" si="4"/>
        <v>92.026</v>
      </c>
      <c r="Y149" s="7" t="s">
        <v>203</v>
      </c>
      <c r="Z149" s="7" t="s">
        <v>204</v>
      </c>
      <c r="AA149" s="414">
        <v>60.0</v>
      </c>
    </row>
    <row r="150">
      <c r="A150" s="2" t="str">
        <f>'Entsorgung Déchets'!A160 &amp; " " &amp; 'Entsorgung Déchets'!B160 &amp; " (KBOB.2016)"</f>
        <v>92.024 Entsorgung, Erdregister zu Lüftungsanlage Wohnen (KBOB.2016)</v>
      </c>
      <c r="B150" s="2" t="str">
        <f t="shared" si="1"/>
        <v>92.024 Entsorgung, Erdregister zu Lüftungsanlage Wohnen (KBOB.2016)</v>
      </c>
      <c r="C150" s="2"/>
      <c r="D150" s="2"/>
      <c r="E150" s="2"/>
      <c r="F150" s="2" t="s">
        <v>186</v>
      </c>
      <c r="G150" s="2" t="str">
        <f t="shared" si="2"/>
        <v>OTHER_RESOURCE_DISPOSAL_BUILDING_TECHNOLOGY</v>
      </c>
      <c r="H150" s="2"/>
      <c r="I150" s="600">
        <f>'Entsorgung Déchets'!D160</f>
        <v>1330</v>
      </c>
      <c r="J150" s="600" t="str">
        <f>'Entsorgung Déchets'!E160</f>
        <v/>
      </c>
      <c r="K150" s="600">
        <f>'Entsorgung Déchets'!F160</f>
        <v>1330</v>
      </c>
      <c r="L150" s="601">
        <f>'Entsorgung Déchets'!J160</f>
        <v>0.0518</v>
      </c>
      <c r="M150" s="601" t="str">
        <f>'Entsorgung Déchets'!K160</f>
        <v/>
      </c>
      <c r="N150" s="601">
        <f>'Entsorgung Déchets'!L160</f>
        <v>0.0518</v>
      </c>
      <c r="O150" s="601">
        <f>'Entsorgung Déchets'!M160</f>
        <v>1.28</v>
      </c>
      <c r="P150" s="601" t="str">
        <f>'Entsorgung Déchets'!N160</f>
        <v/>
      </c>
      <c r="Q150" s="601">
        <f>'Entsorgung Déchets'!O160</f>
        <v>1.28</v>
      </c>
      <c r="R150" s="601">
        <f>'Entsorgung Déchets'!P160</f>
        <v>1.63</v>
      </c>
      <c r="S150" s="601" t="str">
        <f>'Entsorgung Déchets'!Q160</f>
        <v/>
      </c>
      <c r="T150" s="601">
        <f>'Entsorgung Déchets'!R160</f>
        <v>1.63</v>
      </c>
      <c r="U150" s="2" t="str">
        <f>'Entsorgung Déchets'!C160</f>
        <v>m2</v>
      </c>
      <c r="V150" s="2" t="str">
        <f t="shared" si="3"/>
        <v>area</v>
      </c>
      <c r="W150" s="2"/>
      <c r="X150" s="2" t="str">
        <f t="shared" si="4"/>
        <v>92.024</v>
      </c>
      <c r="Y150" s="7" t="s">
        <v>203</v>
      </c>
      <c r="Z150" s="7" t="s">
        <v>204</v>
      </c>
      <c r="AA150" s="414">
        <v>60.0</v>
      </c>
    </row>
    <row r="151">
      <c r="A151" s="2" t="str">
        <f>'Entsorgung Déchets'!A161 &amp; " " &amp; 'Entsorgung Déchets'!B161 &amp; " (KBOB.2016)"</f>
        <v>92.009 Entsorgung, Erdsonden, für Sole-Wasser-Wärmepumpe (KBOB.2016)</v>
      </c>
      <c r="B151" s="2" t="str">
        <f t="shared" si="1"/>
        <v>92.009 Entsorgung, Erdsonden, für Sole-Wasser-Wärmepumpe (KBOB.2016)</v>
      </c>
      <c r="C151" s="2"/>
      <c r="D151" s="2"/>
      <c r="E151" s="2"/>
      <c r="F151" s="2" t="s">
        <v>186</v>
      </c>
      <c r="G151" s="2" t="str">
        <f t="shared" si="2"/>
        <v>OTHER_RESOURCE_DISPOSAL_BUILDING_TECHNOLOGY</v>
      </c>
      <c r="H151" s="2"/>
      <c r="I151" s="600">
        <f>'Entsorgung Déchets'!D161</f>
        <v>4100</v>
      </c>
      <c r="J151" s="600" t="str">
        <f>'Entsorgung Déchets'!E161</f>
        <v/>
      </c>
      <c r="K151" s="600">
        <f>'Entsorgung Déchets'!F161</f>
        <v>4100</v>
      </c>
      <c r="L151" s="601">
        <f>'Entsorgung Déchets'!J161</f>
        <v>0.255</v>
      </c>
      <c r="M151" s="601" t="str">
        <f>'Entsorgung Déchets'!K161</f>
        <v/>
      </c>
      <c r="N151" s="601">
        <f>'Entsorgung Déchets'!L161</f>
        <v>0.255</v>
      </c>
      <c r="O151" s="601">
        <f>'Entsorgung Déchets'!M161</f>
        <v>1.48</v>
      </c>
      <c r="P151" s="601" t="str">
        <f>'Entsorgung Déchets'!N161</f>
        <v/>
      </c>
      <c r="Q151" s="601">
        <f>'Entsorgung Déchets'!O161</f>
        <v>1.48</v>
      </c>
      <c r="R151" s="601">
        <f>'Entsorgung Déchets'!P161</f>
        <v>2.73</v>
      </c>
      <c r="S151" s="601" t="str">
        <f>'Entsorgung Déchets'!Q161</f>
        <v/>
      </c>
      <c r="T151" s="601">
        <f>'Entsorgung Déchets'!R161</f>
        <v>2.73</v>
      </c>
      <c r="U151" s="2" t="str">
        <f>'Entsorgung Déchets'!C161</f>
        <v>m</v>
      </c>
      <c r="V151" s="2" t="str">
        <f t="shared" si="3"/>
        <v>probeLength</v>
      </c>
      <c r="W151" s="2"/>
      <c r="X151" s="2" t="str">
        <f t="shared" si="4"/>
        <v>92.009</v>
      </c>
      <c r="Y151" s="7" t="s">
        <v>203</v>
      </c>
      <c r="Z151" s="7" t="s">
        <v>204</v>
      </c>
      <c r="AA151" s="414">
        <v>60.0</v>
      </c>
    </row>
    <row r="152">
      <c r="A152" s="2" t="str">
        <f>'Entsorgung Déchets'!A162 &amp; " " &amp; 'Entsorgung Déchets'!B162 &amp; " (KBOB.2016)"</f>
        <v>92.027 Entsorgung, Lüftungsanlage, spez. Luftmenge 1 m3/hm2 EBF (KBOB.2016)</v>
      </c>
      <c r="B152" s="2" t="str">
        <f t="shared" si="1"/>
        <v>92.027 Entsorgung, Lüftungsanlage, spez. Luftmenge 1 m3/hm2 EBF (KBOB.2016)</v>
      </c>
      <c r="C152" s="2"/>
      <c r="D152" s="2"/>
      <c r="E152" s="2"/>
      <c r="F152" s="2" t="s">
        <v>186</v>
      </c>
      <c r="G152" s="2" t="str">
        <f t="shared" si="2"/>
        <v>OTHER_RESOURCE_DISPOSAL_BUILDING_TECHNOLOGY</v>
      </c>
      <c r="H152" s="2"/>
      <c r="I152" s="600">
        <f>'Entsorgung Déchets'!D162</f>
        <v>222</v>
      </c>
      <c r="J152" s="600" t="str">
        <f>'Entsorgung Déchets'!E162</f>
        <v/>
      </c>
      <c r="K152" s="600">
        <f>'Entsorgung Déchets'!F162</f>
        <v>222</v>
      </c>
      <c r="L152" s="601">
        <f>'Entsorgung Déchets'!J162</f>
        <v>0.00695</v>
      </c>
      <c r="M152" s="601" t="str">
        <f>'Entsorgung Déchets'!K162</f>
        <v/>
      </c>
      <c r="N152" s="601">
        <f>'Entsorgung Déchets'!L162</f>
        <v>0.00695</v>
      </c>
      <c r="O152" s="601">
        <f>'Entsorgung Déchets'!M162</f>
        <v>0.208</v>
      </c>
      <c r="P152" s="601" t="str">
        <f>'Entsorgung Déchets'!N162</f>
        <v/>
      </c>
      <c r="Q152" s="601">
        <f>'Entsorgung Déchets'!O162</f>
        <v>0.208</v>
      </c>
      <c r="R152" s="601">
        <f>'Entsorgung Déchets'!P162</f>
        <v>0.345</v>
      </c>
      <c r="S152" s="601" t="str">
        <f>'Entsorgung Déchets'!Q162</f>
        <v/>
      </c>
      <c r="T152" s="601">
        <f>'Entsorgung Déchets'!R162</f>
        <v>0.345</v>
      </c>
      <c r="U152" s="2" t="str">
        <f>'Entsorgung Déchets'!C162</f>
        <v>m2</v>
      </c>
      <c r="V152" s="2" t="str">
        <f t="shared" si="3"/>
        <v>area</v>
      </c>
      <c r="W152" s="2"/>
      <c r="X152" s="2" t="str">
        <f t="shared" si="4"/>
        <v>92.027</v>
      </c>
      <c r="Y152" s="7" t="s">
        <v>203</v>
      </c>
      <c r="Z152" s="7" t="s">
        <v>204</v>
      </c>
      <c r="AA152" s="414">
        <v>60.0</v>
      </c>
    </row>
    <row r="153">
      <c r="A153" s="2" t="str">
        <f>'Entsorgung Déchets'!A163 &amp; " " &amp; 'Entsorgung Déchets'!B163 &amp; " (KBOB.2016)"</f>
        <v>92.028 Entsorgung, Lüftungsanlage, spez. Luftmenge 2 m3/hm2 EBF (KBOB.2016)</v>
      </c>
      <c r="B153" s="2" t="str">
        <f t="shared" si="1"/>
        <v>92.028 Entsorgung, Lüftungsanlage, spez. Luftmenge 2 m3/hm2 EBF (KBOB.2016)</v>
      </c>
      <c r="C153" s="2"/>
      <c r="D153" s="2"/>
      <c r="E153" s="2"/>
      <c r="F153" s="2" t="s">
        <v>186</v>
      </c>
      <c r="G153" s="2" t="str">
        <f t="shared" si="2"/>
        <v>OTHER_RESOURCE_DISPOSAL_BUILDING_TECHNOLOGY</v>
      </c>
      <c r="H153" s="2"/>
      <c r="I153" s="600">
        <f>'Entsorgung Déchets'!D163</f>
        <v>311</v>
      </c>
      <c r="J153" s="600" t="str">
        <f>'Entsorgung Déchets'!E163</f>
        <v/>
      </c>
      <c r="K153" s="600">
        <f>'Entsorgung Déchets'!F163</f>
        <v>311</v>
      </c>
      <c r="L153" s="601">
        <f>'Entsorgung Déchets'!J163</f>
        <v>0.00947</v>
      </c>
      <c r="M153" s="601" t="str">
        <f>'Entsorgung Déchets'!K163</f>
        <v/>
      </c>
      <c r="N153" s="601">
        <f>'Entsorgung Déchets'!L163</f>
        <v>0.00947</v>
      </c>
      <c r="O153" s="601">
        <f>'Entsorgung Déchets'!M163</f>
        <v>0.287</v>
      </c>
      <c r="P153" s="601" t="str">
        <f>'Entsorgung Déchets'!N163</f>
        <v/>
      </c>
      <c r="Q153" s="601">
        <f>'Entsorgung Déchets'!O163</f>
        <v>0.287</v>
      </c>
      <c r="R153" s="601">
        <f>'Entsorgung Déchets'!P163</f>
        <v>0.485</v>
      </c>
      <c r="S153" s="601" t="str">
        <f>'Entsorgung Déchets'!Q163</f>
        <v/>
      </c>
      <c r="T153" s="601">
        <f>'Entsorgung Déchets'!R163</f>
        <v>0.485</v>
      </c>
      <c r="U153" s="2" t="str">
        <f>'Entsorgung Déchets'!C163</f>
        <v>m2</v>
      </c>
      <c r="V153" s="2" t="str">
        <f t="shared" si="3"/>
        <v>area</v>
      </c>
      <c r="W153" s="2"/>
      <c r="X153" s="2" t="str">
        <f t="shared" si="4"/>
        <v>92.028</v>
      </c>
      <c r="Y153" s="7" t="s">
        <v>203</v>
      </c>
      <c r="Z153" s="7" t="s">
        <v>204</v>
      </c>
      <c r="AA153" s="414">
        <v>60.0</v>
      </c>
    </row>
    <row r="154">
      <c r="A154" s="2" t="str">
        <f>'Entsorgung Déchets'!A164 &amp; " " &amp; 'Entsorgung Déchets'!B164 &amp; " (KBOB.2016)"</f>
        <v>92.029 Entsorgung, Lüftungsanlage, spez. Luftmenge 4 m3/hm2 EBF (KBOB.2016)</v>
      </c>
      <c r="B154" s="2" t="str">
        <f t="shared" si="1"/>
        <v>92.029 Entsorgung, Lüftungsanlage, spez. Luftmenge 4 m3/hm2 EBF (KBOB.2016)</v>
      </c>
      <c r="C154" s="2"/>
      <c r="D154" s="2"/>
      <c r="E154" s="2"/>
      <c r="F154" s="2" t="s">
        <v>186</v>
      </c>
      <c r="G154" s="2" t="str">
        <f t="shared" si="2"/>
        <v>OTHER_RESOURCE_DISPOSAL_BUILDING_TECHNOLOGY</v>
      </c>
      <c r="H154" s="2"/>
      <c r="I154" s="600">
        <f>'Entsorgung Déchets'!D164</f>
        <v>488</v>
      </c>
      <c r="J154" s="600" t="str">
        <f>'Entsorgung Déchets'!E164</f>
        <v/>
      </c>
      <c r="K154" s="600">
        <f>'Entsorgung Déchets'!F164</f>
        <v>488</v>
      </c>
      <c r="L154" s="601">
        <f>'Entsorgung Déchets'!J164</f>
        <v>0.0145</v>
      </c>
      <c r="M154" s="601" t="str">
        <f>'Entsorgung Déchets'!K164</f>
        <v/>
      </c>
      <c r="N154" s="601">
        <f>'Entsorgung Déchets'!L164</f>
        <v>0.0145</v>
      </c>
      <c r="O154" s="601">
        <f>'Entsorgung Déchets'!M164</f>
        <v>0.444</v>
      </c>
      <c r="P154" s="601" t="str">
        <f>'Entsorgung Déchets'!N164</f>
        <v/>
      </c>
      <c r="Q154" s="601">
        <f>'Entsorgung Déchets'!O164</f>
        <v>0.444</v>
      </c>
      <c r="R154" s="601">
        <f>'Entsorgung Déchets'!P164</f>
        <v>0.763</v>
      </c>
      <c r="S154" s="601" t="str">
        <f>'Entsorgung Déchets'!Q164</f>
        <v/>
      </c>
      <c r="T154" s="601">
        <f>'Entsorgung Déchets'!R164</f>
        <v>0.763</v>
      </c>
      <c r="U154" s="2" t="str">
        <f>'Entsorgung Déchets'!C164</f>
        <v>m2</v>
      </c>
      <c r="V154" s="2" t="str">
        <f t="shared" si="3"/>
        <v>area</v>
      </c>
      <c r="W154" s="2"/>
      <c r="X154" s="2" t="str">
        <f t="shared" si="4"/>
        <v>92.029</v>
      </c>
      <c r="Y154" s="7" t="s">
        <v>203</v>
      </c>
      <c r="Z154" s="7" t="s">
        <v>204</v>
      </c>
      <c r="AA154" s="414">
        <v>60.0</v>
      </c>
    </row>
    <row r="155">
      <c r="A155" s="2" t="str">
        <f>'Entsorgung Déchets'!A165 &amp; " " &amp; 'Entsorgung Déchets'!B165 &amp; " (KBOB.2016)"</f>
        <v>92.030 Entsorgung, Lüftungsanlage, spez. Luftmenge 6 m3/hm2 EBF (KBOB.2016)</v>
      </c>
      <c r="B155" s="2" t="str">
        <f t="shared" si="1"/>
        <v>92.030 Entsorgung, Lüftungsanlage, spez. Luftmenge 6 m3/hm2 EBF (KBOB.2016)</v>
      </c>
      <c r="C155" s="2"/>
      <c r="D155" s="2"/>
      <c r="E155" s="2"/>
      <c r="F155" s="2" t="s">
        <v>186</v>
      </c>
      <c r="G155" s="2" t="str">
        <f t="shared" si="2"/>
        <v>OTHER_RESOURCE_DISPOSAL_BUILDING_TECHNOLOGY</v>
      </c>
      <c r="H155" s="2"/>
      <c r="I155" s="600">
        <f>'Entsorgung Déchets'!D165</f>
        <v>666</v>
      </c>
      <c r="J155" s="600" t="str">
        <f>'Entsorgung Déchets'!E165</f>
        <v/>
      </c>
      <c r="K155" s="600">
        <f>'Entsorgung Déchets'!F165</f>
        <v>666</v>
      </c>
      <c r="L155" s="601">
        <f>'Entsorgung Déchets'!J165</f>
        <v>0.0196</v>
      </c>
      <c r="M155" s="601" t="str">
        <f>'Entsorgung Déchets'!K165</f>
        <v/>
      </c>
      <c r="N155" s="601">
        <f>'Entsorgung Déchets'!L165</f>
        <v>0.0196</v>
      </c>
      <c r="O155" s="601">
        <f>'Entsorgung Déchets'!M165</f>
        <v>0.601</v>
      </c>
      <c r="P155" s="601" t="str">
        <f>'Entsorgung Déchets'!N165</f>
        <v/>
      </c>
      <c r="Q155" s="601">
        <f>'Entsorgung Déchets'!O165</f>
        <v>0.601</v>
      </c>
      <c r="R155" s="601">
        <f>'Entsorgung Déchets'!P165</f>
        <v>1.04</v>
      </c>
      <c r="S155" s="601" t="str">
        <f>'Entsorgung Déchets'!Q165</f>
        <v/>
      </c>
      <c r="T155" s="601">
        <f>'Entsorgung Déchets'!R165</f>
        <v>1.04</v>
      </c>
      <c r="U155" s="2" t="str">
        <f>'Entsorgung Déchets'!C165</f>
        <v>m2</v>
      </c>
      <c r="V155" s="2" t="str">
        <f t="shared" si="3"/>
        <v>area</v>
      </c>
      <c r="W155" s="2"/>
      <c r="X155" s="2" t="str">
        <f t="shared" si="4"/>
        <v>92.030</v>
      </c>
      <c r="Y155" s="7" t="s">
        <v>203</v>
      </c>
      <c r="Z155" s="7" t="s">
        <v>204</v>
      </c>
      <c r="AA155" s="414">
        <v>60.0</v>
      </c>
    </row>
    <row r="156">
      <c r="A156" s="2" t="str">
        <f>'Entsorgung Déchets'!A166 &amp; " " &amp; 'Entsorgung Déchets'!B166 &amp; " (KBOB.2016)"</f>
        <v>92.031 Entsorgung, Lüftungsanlage, spez. Luftmenge 8 m3/hm2 EBF (KBOB.2016)</v>
      </c>
      <c r="B156" s="2" t="str">
        <f t="shared" si="1"/>
        <v>92.031 Entsorgung, Lüftungsanlage, spez. Luftmenge 8 m3/hm2 EBF (KBOB.2016)</v>
      </c>
      <c r="C156" s="2"/>
      <c r="D156" s="2"/>
      <c r="E156" s="2"/>
      <c r="F156" s="2" t="s">
        <v>186</v>
      </c>
      <c r="G156" s="2" t="str">
        <f t="shared" si="2"/>
        <v>OTHER_RESOURCE_DISPOSAL_BUILDING_TECHNOLOGY</v>
      </c>
      <c r="H156" s="2"/>
      <c r="I156" s="600">
        <f>'Entsorgung Déchets'!D166</f>
        <v>843</v>
      </c>
      <c r="J156" s="600" t="str">
        <f>'Entsorgung Déchets'!E166</f>
        <v/>
      </c>
      <c r="K156" s="600">
        <f>'Entsorgung Déchets'!F166</f>
        <v>843</v>
      </c>
      <c r="L156" s="601">
        <f>'Entsorgung Déchets'!J166</f>
        <v>0.0246</v>
      </c>
      <c r="M156" s="601" t="str">
        <f>'Entsorgung Déchets'!K166</f>
        <v/>
      </c>
      <c r="N156" s="601">
        <f>'Entsorgung Déchets'!L166</f>
        <v>0.0246</v>
      </c>
      <c r="O156" s="601">
        <f>'Entsorgung Déchets'!M166</f>
        <v>0.758</v>
      </c>
      <c r="P156" s="601" t="str">
        <f>'Entsorgung Déchets'!N166</f>
        <v/>
      </c>
      <c r="Q156" s="601">
        <f>'Entsorgung Déchets'!O166</f>
        <v>0.758</v>
      </c>
      <c r="R156" s="601">
        <f>'Entsorgung Déchets'!P166</f>
        <v>1.32</v>
      </c>
      <c r="S156" s="601" t="str">
        <f>'Entsorgung Déchets'!Q166</f>
        <v/>
      </c>
      <c r="T156" s="601">
        <f>'Entsorgung Déchets'!R166</f>
        <v>1.32</v>
      </c>
      <c r="U156" s="2" t="str">
        <f>'Entsorgung Déchets'!C166</f>
        <v>m2</v>
      </c>
      <c r="V156" s="2" t="str">
        <f t="shared" si="3"/>
        <v>area</v>
      </c>
      <c r="W156" s="2"/>
      <c r="X156" s="2" t="str">
        <f t="shared" si="4"/>
        <v>92.031</v>
      </c>
      <c r="Y156" s="7" t="s">
        <v>203</v>
      </c>
      <c r="Z156" s="7" t="s">
        <v>204</v>
      </c>
      <c r="AA156" s="414">
        <v>60.0</v>
      </c>
    </row>
    <row r="157">
      <c r="A157" s="2" t="str">
        <f>'Entsorgung Déchets'!A167 &amp; " " &amp; 'Entsorgung Déchets'!B167 &amp; " (KBOB.2016)"</f>
        <v>92.021 Entsorgung, Lüftungsanlage Wohnen, Blechkanäle, inkl. Küchenabluft (KBOB.2016)</v>
      </c>
      <c r="B157" s="2" t="str">
        <f t="shared" si="1"/>
        <v>92.021 Entsorgung, Lüftungsanlage Wohnen, Blechkanäle, inkl. Küchenabluft (KBOB.2016)</v>
      </c>
      <c r="C157" s="2"/>
      <c r="D157" s="2"/>
      <c r="E157" s="2"/>
      <c r="F157" s="2" t="s">
        <v>186</v>
      </c>
      <c r="G157" s="2" t="str">
        <f t="shared" si="2"/>
        <v>OTHER_RESOURCE_DISPOSAL_BUILDING_TECHNOLOGY</v>
      </c>
      <c r="H157" s="2"/>
      <c r="I157" s="600">
        <f>'Entsorgung Déchets'!D167</f>
        <v>182</v>
      </c>
      <c r="J157" s="600" t="str">
        <f>'Entsorgung Déchets'!E167</f>
        <v/>
      </c>
      <c r="K157" s="600">
        <f>'Entsorgung Déchets'!F167</f>
        <v>182</v>
      </c>
      <c r="L157" s="601">
        <f>'Entsorgung Déchets'!J167</f>
        <v>0.00388</v>
      </c>
      <c r="M157" s="601" t="str">
        <f>'Entsorgung Déchets'!K167</f>
        <v/>
      </c>
      <c r="N157" s="601">
        <f>'Entsorgung Déchets'!L167</f>
        <v>0.00388</v>
      </c>
      <c r="O157" s="601">
        <f>'Entsorgung Déchets'!M167</f>
        <v>0.0831</v>
      </c>
      <c r="P157" s="601" t="str">
        <f>'Entsorgung Déchets'!N167</f>
        <v/>
      </c>
      <c r="Q157" s="601">
        <f>'Entsorgung Déchets'!O167</f>
        <v>0.0831</v>
      </c>
      <c r="R157" s="601">
        <f>'Entsorgung Déchets'!P167</f>
        <v>0.299</v>
      </c>
      <c r="S157" s="601" t="str">
        <f>'Entsorgung Déchets'!Q167</f>
        <v/>
      </c>
      <c r="T157" s="601">
        <f>'Entsorgung Déchets'!R167</f>
        <v>0.299</v>
      </c>
      <c r="U157" s="2" t="str">
        <f>'Entsorgung Déchets'!C167</f>
        <v>m2</v>
      </c>
      <c r="V157" s="2" t="str">
        <f t="shared" si="3"/>
        <v>area</v>
      </c>
      <c r="W157" s="2"/>
      <c r="X157" s="2" t="str">
        <f t="shared" si="4"/>
        <v>92.021</v>
      </c>
      <c r="Y157" s="7" t="s">
        <v>203</v>
      </c>
      <c r="Z157" s="7" t="s">
        <v>204</v>
      </c>
      <c r="AA157" s="414">
        <v>60.0</v>
      </c>
    </row>
    <row r="158">
      <c r="A158" s="2" t="str">
        <f>'Entsorgung Déchets'!A168 &amp; " " &amp; 'Entsorgung Déchets'!B168 &amp; " (KBOB.2016)"</f>
        <v>92.022 Entsorgung, Lüftungsanlage Wohnen, PE-Kanäle, inkl. Küchenabluft (KBOB.2016)</v>
      </c>
      <c r="B158" s="2" t="str">
        <f t="shared" si="1"/>
        <v>92.022 Entsorgung, Lüftungsanlage Wohnen, PE-Kanäle, inkl. Küchenabluft (KBOB.2016)</v>
      </c>
      <c r="C158" s="2"/>
      <c r="D158" s="2"/>
      <c r="E158" s="2"/>
      <c r="F158" s="2" t="s">
        <v>186</v>
      </c>
      <c r="G158" s="2" t="str">
        <f t="shared" si="2"/>
        <v>OTHER_RESOURCE_DISPOSAL_BUILDING_TECHNOLOGY</v>
      </c>
      <c r="H158" s="2"/>
      <c r="I158" s="600">
        <f>'Entsorgung Déchets'!D168</f>
        <v>371</v>
      </c>
      <c r="J158" s="600" t="str">
        <f>'Entsorgung Déchets'!E168</f>
        <v/>
      </c>
      <c r="K158" s="600">
        <f>'Entsorgung Déchets'!F168</f>
        <v>371</v>
      </c>
      <c r="L158" s="601">
        <f>'Entsorgung Déchets'!J168</f>
        <v>0.00253</v>
      </c>
      <c r="M158" s="601" t="str">
        <f>'Entsorgung Déchets'!K168</f>
        <v/>
      </c>
      <c r="N158" s="601">
        <f>'Entsorgung Déchets'!L168</f>
        <v>0.00253</v>
      </c>
      <c r="O158" s="601">
        <f>'Entsorgung Déchets'!M168</f>
        <v>0.0743</v>
      </c>
      <c r="P158" s="601" t="str">
        <f>'Entsorgung Déchets'!N168</f>
        <v/>
      </c>
      <c r="Q158" s="601">
        <f>'Entsorgung Déchets'!O168</f>
        <v>0.0743</v>
      </c>
      <c r="R158" s="601">
        <f>'Entsorgung Déchets'!P168</f>
        <v>0.724</v>
      </c>
      <c r="S158" s="601" t="str">
        <f>'Entsorgung Déchets'!Q168</f>
        <v/>
      </c>
      <c r="T158" s="601">
        <f>'Entsorgung Déchets'!R168</f>
        <v>0.724</v>
      </c>
      <c r="U158" s="2" t="str">
        <f>'Entsorgung Déchets'!C168</f>
        <v>m2</v>
      </c>
      <c r="V158" s="2" t="str">
        <f t="shared" si="3"/>
        <v>area</v>
      </c>
      <c r="W158" s="2"/>
      <c r="X158" s="2" t="str">
        <f t="shared" si="4"/>
        <v>92.022</v>
      </c>
      <c r="Y158" s="7" t="s">
        <v>203</v>
      </c>
      <c r="Z158" s="7" t="s">
        <v>204</v>
      </c>
      <c r="AA158" s="414">
        <v>60.0</v>
      </c>
    </row>
    <row r="159">
      <c r="A159" s="2" t="str">
        <f>'Entsorgung Déchets'!A169 &amp; " " &amp; 'Entsorgung Déchets'!B169 &amp; " (KBOB.2016)"</f>
        <v>92.012 Entsorgung, Luft-Wasser Wärmepumpe 8 kW (KBOB.2016)</v>
      </c>
      <c r="B159" s="2" t="str">
        <f t="shared" si="1"/>
        <v>92.012 Entsorgung, Luft-Wasser Wärmepumpe 8 kW (KBOB.2016)</v>
      </c>
      <c r="C159" s="2"/>
      <c r="D159" s="2"/>
      <c r="E159" s="2"/>
      <c r="F159" s="2" t="s">
        <v>186</v>
      </c>
      <c r="G159" s="2" t="str">
        <f t="shared" si="2"/>
        <v>OTHER_RESOURCE_DISPOSAL_BUILDING_TECHNOLOGY</v>
      </c>
      <c r="H159" s="2"/>
      <c r="I159" s="600">
        <f>'Entsorgung Déchets'!D169</f>
        <v>546000</v>
      </c>
      <c r="J159" s="600" t="str">
        <f>'Entsorgung Déchets'!E169</f>
        <v/>
      </c>
      <c r="K159" s="600">
        <f>'Entsorgung Déchets'!F169</f>
        <v>546000</v>
      </c>
      <c r="L159" s="601">
        <f>'Entsorgung Déchets'!J169</f>
        <v>5.01</v>
      </c>
      <c r="M159" s="601" t="str">
        <f>'Entsorgung Déchets'!K169</f>
        <v/>
      </c>
      <c r="N159" s="601">
        <f>'Entsorgung Déchets'!L169</f>
        <v>5.01</v>
      </c>
      <c r="O159" s="601">
        <f>'Entsorgung Déchets'!M169</f>
        <v>60.2</v>
      </c>
      <c r="P159" s="601" t="str">
        <f>'Entsorgung Déchets'!N169</f>
        <v/>
      </c>
      <c r="Q159" s="601">
        <f>'Entsorgung Déchets'!O169</f>
        <v>60.2</v>
      </c>
      <c r="R159" s="601">
        <f>'Entsorgung Déchets'!P169</f>
        <v>1050</v>
      </c>
      <c r="S159" s="601" t="str">
        <f>'Entsorgung Déchets'!Q169</f>
        <v/>
      </c>
      <c r="T159" s="601">
        <f>'Entsorgung Déchets'!R169</f>
        <v>1050</v>
      </c>
      <c r="U159" s="2" t="str">
        <f>'Entsorgung Déchets'!C169</f>
        <v>Stk.</v>
      </c>
      <c r="V159" s="2" t="str">
        <f t="shared" si="3"/>
        <v>device</v>
      </c>
      <c r="W159" s="2"/>
      <c r="X159" s="2" t="str">
        <f t="shared" si="4"/>
        <v>92.012</v>
      </c>
      <c r="Y159" s="7" t="s">
        <v>203</v>
      </c>
      <c r="Z159" s="7" t="s">
        <v>204</v>
      </c>
      <c r="AA159" s="414">
        <v>60.0</v>
      </c>
    </row>
    <row r="160">
      <c r="A160" s="2" t="str">
        <f>'Entsorgung Déchets'!A170 &amp; " " &amp; 'Entsorgung Déchets'!B170 &amp; " (KBOB.2016)"</f>
        <v>92.013 Entsorgung, Luft-Wasser Wärmepumpe 8 kW (KBOB.2016)</v>
      </c>
      <c r="B160" s="2" t="str">
        <f t="shared" si="1"/>
        <v>92.013 Entsorgung, Luft-Wasser Wärmepumpe 8 kW (KBOB.2016)</v>
      </c>
      <c r="C160" s="2"/>
      <c r="D160" s="2"/>
      <c r="E160" s="2"/>
      <c r="F160" s="2" t="s">
        <v>186</v>
      </c>
      <c r="G160" s="2" t="str">
        <f t="shared" si="2"/>
        <v>OTHER_RESOURCE_DISPOSAL_BUILDING_TECHNOLOGY</v>
      </c>
      <c r="H160" s="2"/>
      <c r="I160" s="600">
        <f>'Entsorgung Déchets'!D170</f>
        <v>2240</v>
      </c>
      <c r="J160" s="600" t="str">
        <f>'Entsorgung Déchets'!E170</f>
        <v/>
      </c>
      <c r="K160" s="600">
        <f>'Entsorgung Déchets'!F170</f>
        <v>2240</v>
      </c>
      <c r="L160" s="601">
        <f>'Entsorgung Déchets'!J170</f>
        <v>0.0206</v>
      </c>
      <c r="M160" s="601" t="str">
        <f>'Entsorgung Déchets'!K170</f>
        <v/>
      </c>
      <c r="N160" s="601">
        <f>'Entsorgung Déchets'!L170</f>
        <v>0.0206</v>
      </c>
      <c r="O160" s="601">
        <f>'Entsorgung Déchets'!M170</f>
        <v>0.248</v>
      </c>
      <c r="P160" s="601" t="str">
        <f>'Entsorgung Déchets'!N170</f>
        <v/>
      </c>
      <c r="Q160" s="601">
        <f>'Entsorgung Déchets'!O170</f>
        <v>0.248</v>
      </c>
      <c r="R160" s="601">
        <f>'Entsorgung Déchets'!P170</f>
        <v>4.33</v>
      </c>
      <c r="S160" s="601" t="str">
        <f>'Entsorgung Déchets'!Q170</f>
        <v/>
      </c>
      <c r="T160" s="601">
        <f>'Entsorgung Déchets'!R170</f>
        <v>4.33</v>
      </c>
      <c r="U160" s="2" t="str">
        <f>'Entsorgung Déchets'!C170</f>
        <v>kg</v>
      </c>
      <c r="V160" s="2" t="str">
        <f t="shared" si="3"/>
        <v>mass</v>
      </c>
      <c r="W160" s="2"/>
      <c r="X160" s="2" t="str">
        <f t="shared" si="4"/>
        <v>92.013</v>
      </c>
      <c r="Y160" s="7" t="s">
        <v>203</v>
      </c>
      <c r="Z160" s="7" t="s">
        <v>204</v>
      </c>
      <c r="AA160" s="414">
        <v>60.0</v>
      </c>
    </row>
    <row r="161">
      <c r="A161" s="2" t="str">
        <f>'Entsorgung Déchets'!A171 &amp; " " &amp; 'Entsorgung Déchets'!B171 &amp; " (KBOB.2016)"</f>
        <v>92.010 Entsorgung, Sole-Wasser Wärmepumpe 8 kW (KBOB.2016)</v>
      </c>
      <c r="B161" s="2" t="str">
        <f t="shared" si="1"/>
        <v>92.010 Entsorgung, Sole-Wasser Wärmepumpe 8 kW (KBOB.2016)</v>
      </c>
      <c r="C161" s="2"/>
      <c r="D161" s="2"/>
      <c r="E161" s="2"/>
      <c r="F161" s="2" t="s">
        <v>186</v>
      </c>
      <c r="G161" s="2" t="str">
        <f t="shared" si="2"/>
        <v>OTHER_RESOURCE_DISPOSAL_BUILDING_TECHNOLOGY</v>
      </c>
      <c r="H161" s="2"/>
      <c r="I161" s="600">
        <f>'Entsorgung Déchets'!D171</f>
        <v>367000</v>
      </c>
      <c r="J161" s="600" t="str">
        <f>'Entsorgung Déchets'!E171</f>
        <v/>
      </c>
      <c r="K161" s="600">
        <f>'Entsorgung Déchets'!F171</f>
        <v>367000</v>
      </c>
      <c r="L161" s="601">
        <f>'Entsorgung Déchets'!J171</f>
        <v>3.82</v>
      </c>
      <c r="M161" s="601" t="str">
        <f>'Entsorgung Déchets'!K171</f>
        <v/>
      </c>
      <c r="N161" s="601">
        <f>'Entsorgung Déchets'!L171</f>
        <v>3.82</v>
      </c>
      <c r="O161" s="601">
        <f>'Entsorgung Déchets'!M171</f>
        <v>45.2</v>
      </c>
      <c r="P161" s="601" t="str">
        <f>'Entsorgung Déchets'!N171</f>
        <v/>
      </c>
      <c r="Q161" s="601">
        <f>'Entsorgung Déchets'!O171</f>
        <v>45.2</v>
      </c>
      <c r="R161" s="601">
        <f>'Entsorgung Déchets'!P171</f>
        <v>706</v>
      </c>
      <c r="S161" s="601" t="str">
        <f>'Entsorgung Déchets'!Q171</f>
        <v/>
      </c>
      <c r="T161" s="601">
        <f>'Entsorgung Déchets'!R171</f>
        <v>706</v>
      </c>
      <c r="U161" s="2" t="str">
        <f>'Entsorgung Déchets'!C171</f>
        <v>Stk.</v>
      </c>
      <c r="V161" s="2" t="str">
        <f t="shared" si="3"/>
        <v>device</v>
      </c>
      <c r="W161" s="2"/>
      <c r="X161" s="2" t="str">
        <f t="shared" si="4"/>
        <v>92.010</v>
      </c>
      <c r="Y161" s="7" t="s">
        <v>203</v>
      </c>
      <c r="Z161" s="7" t="s">
        <v>204</v>
      </c>
      <c r="AA161" s="414">
        <v>60.0</v>
      </c>
    </row>
    <row r="162">
      <c r="A162" s="2" t="str">
        <f>'Entsorgung Déchets'!A172 &amp; " " &amp; 'Entsorgung Déchets'!B172 &amp; " (KBOB.2016)"</f>
        <v>92.011 Entsorgung, Sole-Wasser Wärmepumpe 8 kW (KBOB.2016)</v>
      </c>
      <c r="B162" s="2" t="str">
        <f t="shared" si="1"/>
        <v>92.011 Entsorgung, Sole-Wasser Wärmepumpe 8 kW (KBOB.2016)</v>
      </c>
      <c r="C162" s="2"/>
      <c r="D162" s="2"/>
      <c r="E162" s="2"/>
      <c r="F162" s="2" t="s">
        <v>186</v>
      </c>
      <c r="G162" s="2" t="str">
        <f t="shared" si="2"/>
        <v>OTHER_RESOURCE_DISPOSAL_BUILDING_TECHNOLOGY</v>
      </c>
      <c r="H162" s="2"/>
      <c r="I162" s="600">
        <f>'Entsorgung Déchets'!D172</f>
        <v>1960</v>
      </c>
      <c r="J162" s="600" t="str">
        <f>'Entsorgung Déchets'!E172</f>
        <v/>
      </c>
      <c r="K162" s="600">
        <f>'Entsorgung Déchets'!F172</f>
        <v>1960</v>
      </c>
      <c r="L162" s="601">
        <f>'Entsorgung Déchets'!J172</f>
        <v>0.0204</v>
      </c>
      <c r="M162" s="601" t="str">
        <f>'Entsorgung Déchets'!K172</f>
        <v/>
      </c>
      <c r="N162" s="601">
        <f>'Entsorgung Déchets'!L172</f>
        <v>0.0204</v>
      </c>
      <c r="O162" s="601">
        <f>'Entsorgung Déchets'!M172</f>
        <v>0.241</v>
      </c>
      <c r="P162" s="601" t="str">
        <f>'Entsorgung Déchets'!N172</f>
        <v/>
      </c>
      <c r="Q162" s="601">
        <f>'Entsorgung Déchets'!O172</f>
        <v>0.241</v>
      </c>
      <c r="R162" s="601">
        <f>'Entsorgung Déchets'!P172</f>
        <v>3.77</v>
      </c>
      <c r="S162" s="601" t="str">
        <f>'Entsorgung Déchets'!Q172</f>
        <v/>
      </c>
      <c r="T162" s="601">
        <f>'Entsorgung Déchets'!R172</f>
        <v>3.77</v>
      </c>
      <c r="U162" s="2" t="str">
        <f>'Entsorgung Déchets'!C172</f>
        <v>kg</v>
      </c>
      <c r="V162" s="2" t="str">
        <f t="shared" si="3"/>
        <v>mass</v>
      </c>
      <c r="W162" s="2"/>
      <c r="X162" s="2" t="str">
        <f t="shared" si="4"/>
        <v>92.011</v>
      </c>
      <c r="Y162" s="7" t="s">
        <v>203</v>
      </c>
      <c r="Z162" s="7" t="s">
        <v>204</v>
      </c>
      <c r="AA162" s="414">
        <v>60.0</v>
      </c>
    </row>
    <row r="163">
      <c r="A163" s="2" t="str">
        <f>'Entsorgung Déchets'!A173 &amp; " " &amp; 'Entsorgung Déchets'!B173 &amp; " (KBOB.2016)"</f>
        <v>92.015 Entsorgung, Verteilung Bürogebäude (KBOB.2016)</v>
      </c>
      <c r="B163" s="2" t="str">
        <f t="shared" si="1"/>
        <v>92.015 Entsorgung, Verteilung Bürogebäude (KBOB.2016)</v>
      </c>
      <c r="C163" s="2"/>
      <c r="D163" s="2"/>
      <c r="E163" s="2"/>
      <c r="F163" s="2" t="s">
        <v>186</v>
      </c>
      <c r="G163" s="2" t="str">
        <f t="shared" si="2"/>
        <v>OTHER_RESOURCE_DISPOSAL_BUILDING_TECHNOLOGY</v>
      </c>
      <c r="H163" s="2"/>
      <c r="I163" s="600">
        <f>'Entsorgung Déchets'!D173</f>
        <v>1090</v>
      </c>
      <c r="J163" s="600" t="str">
        <f>'Entsorgung Déchets'!E173</f>
        <v/>
      </c>
      <c r="K163" s="600">
        <f>'Entsorgung Déchets'!F173</f>
        <v>1090</v>
      </c>
      <c r="L163" s="601">
        <f>'Entsorgung Déchets'!J173</f>
        <v>0.433</v>
      </c>
      <c r="M163" s="601" t="str">
        <f>'Entsorgung Déchets'!K173</f>
        <v/>
      </c>
      <c r="N163" s="601">
        <f>'Entsorgung Déchets'!L173</f>
        <v>0.433</v>
      </c>
      <c r="O163" s="601">
        <f>'Entsorgung Déchets'!M173</f>
        <v>2.79</v>
      </c>
      <c r="P163" s="601" t="str">
        <f>'Entsorgung Déchets'!N173</f>
        <v/>
      </c>
      <c r="Q163" s="601">
        <f>'Entsorgung Déchets'!O173</f>
        <v>2.79</v>
      </c>
      <c r="R163" s="601">
        <f>'Entsorgung Déchets'!P173</f>
        <v>1.06</v>
      </c>
      <c r="S163" s="601" t="str">
        <f>'Entsorgung Déchets'!Q173</f>
        <v/>
      </c>
      <c r="T163" s="601">
        <f>'Entsorgung Déchets'!R173</f>
        <v>1.06</v>
      </c>
      <c r="U163" s="2" t="str">
        <f>'Entsorgung Déchets'!C173</f>
        <v>m2</v>
      </c>
      <c r="V163" s="2" t="str">
        <f t="shared" si="3"/>
        <v>area</v>
      </c>
      <c r="W163" s="2"/>
      <c r="X163" s="2" t="str">
        <f t="shared" si="4"/>
        <v>92.015</v>
      </c>
      <c r="Y163" s="7" t="s">
        <v>203</v>
      </c>
      <c r="Z163" s="7" t="s">
        <v>204</v>
      </c>
      <c r="AA163" s="414">
        <v>60.0</v>
      </c>
    </row>
    <row r="164">
      <c r="A164" s="2" t="str">
        <f>'Entsorgung Déchets'!A174 &amp; " " &amp; 'Entsorgung Déchets'!B174 &amp; " (KBOB.2016)"</f>
        <v>92.014 Entsorgung, Verteilung Wohngebäude (KBOB.2016)</v>
      </c>
      <c r="B164" s="2" t="str">
        <f t="shared" si="1"/>
        <v>92.014 Entsorgung, Verteilung Wohngebäude (KBOB.2016)</v>
      </c>
      <c r="C164" s="2"/>
      <c r="D164" s="2"/>
      <c r="E164" s="2"/>
      <c r="F164" s="2" t="s">
        <v>186</v>
      </c>
      <c r="G164" s="2" t="str">
        <f t="shared" si="2"/>
        <v>OTHER_RESOURCE_DISPOSAL_BUILDING_TECHNOLOGY</v>
      </c>
      <c r="H164" s="2"/>
      <c r="I164" s="600">
        <f>'Entsorgung Déchets'!D174</f>
        <v>807</v>
      </c>
      <c r="J164" s="600" t="str">
        <f>'Entsorgung Déchets'!E174</f>
        <v/>
      </c>
      <c r="K164" s="600">
        <f>'Entsorgung Déchets'!F174</f>
        <v>807</v>
      </c>
      <c r="L164" s="601">
        <f>'Entsorgung Déchets'!J174</f>
        <v>0.37</v>
      </c>
      <c r="M164" s="601" t="str">
        <f>'Entsorgung Déchets'!K174</f>
        <v/>
      </c>
      <c r="N164" s="601">
        <f>'Entsorgung Déchets'!L174</f>
        <v>0.37</v>
      </c>
      <c r="O164" s="601">
        <f>'Entsorgung Déchets'!M174</f>
        <v>2.33</v>
      </c>
      <c r="P164" s="601" t="str">
        <f>'Entsorgung Déchets'!N174</f>
        <v/>
      </c>
      <c r="Q164" s="601">
        <f>'Entsorgung Déchets'!O174</f>
        <v>2.33</v>
      </c>
      <c r="R164" s="601">
        <f>'Entsorgung Déchets'!P174</f>
        <v>0.674</v>
      </c>
      <c r="S164" s="601" t="str">
        <f>'Entsorgung Déchets'!Q174</f>
        <v/>
      </c>
      <c r="T164" s="601">
        <f>'Entsorgung Déchets'!R174</f>
        <v>0.674</v>
      </c>
      <c r="U164" s="2" t="str">
        <f>'Entsorgung Déchets'!C174</f>
        <v>m2</v>
      </c>
      <c r="V164" s="2" t="str">
        <f t="shared" si="3"/>
        <v>area</v>
      </c>
      <c r="W164" s="2"/>
      <c r="X164" s="2" t="str">
        <f t="shared" si="4"/>
        <v>92.014</v>
      </c>
      <c r="Y164" s="7" t="s">
        <v>203</v>
      </c>
      <c r="Z164" s="7" t="s">
        <v>204</v>
      </c>
      <c r="AA164" s="414">
        <v>60.0</v>
      </c>
    </row>
    <row r="165">
      <c r="A165" s="2" t="str">
        <f>'Entsorgung Déchets'!A175 &amp; " " &amp; 'Entsorgung Déchets'!B175 &amp; " (KBOB.2016)"</f>
        <v>92.006 Entsorgung, Wärmeerzeuger, spez. Leistungsbedarf 10 W/m2 (KBOB.2016)</v>
      </c>
      <c r="B165" s="2" t="str">
        <f t="shared" si="1"/>
        <v>92.006 Entsorgung, Wärmeerzeuger, spez. Leistungsbedarf 10 W/m2 (KBOB.2016)</v>
      </c>
      <c r="C165" s="2"/>
      <c r="D165" s="2"/>
      <c r="E165" s="2"/>
      <c r="F165" s="2" t="s">
        <v>186</v>
      </c>
      <c r="G165" s="2" t="str">
        <f t="shared" si="2"/>
        <v>OTHER_RESOURCE_DISPOSAL_BUILDING_TECHNOLOGY</v>
      </c>
      <c r="H165" s="2"/>
      <c r="I165" s="600">
        <f>'Entsorgung Déchets'!D175</f>
        <v>10.6</v>
      </c>
      <c r="J165" s="600" t="str">
        <f>'Entsorgung Déchets'!E175</f>
        <v/>
      </c>
      <c r="K165" s="600">
        <f>'Entsorgung Déchets'!F175</f>
        <v>10.6</v>
      </c>
      <c r="L165" s="601">
        <f>'Entsorgung Déchets'!J175</f>
        <v>0.000317</v>
      </c>
      <c r="M165" s="601" t="str">
        <f>'Entsorgung Déchets'!K175</f>
        <v/>
      </c>
      <c r="N165" s="601">
        <f>'Entsorgung Déchets'!L175</f>
        <v>0.000317</v>
      </c>
      <c r="O165" s="601">
        <f>'Entsorgung Déchets'!M175</f>
        <v>0.0181</v>
      </c>
      <c r="P165" s="601" t="str">
        <f>'Entsorgung Déchets'!N175</f>
        <v/>
      </c>
      <c r="Q165" s="601">
        <f>'Entsorgung Déchets'!O175</f>
        <v>0.0181</v>
      </c>
      <c r="R165" s="601">
        <f>'Entsorgung Déchets'!P175</f>
        <v>0.0109</v>
      </c>
      <c r="S165" s="601" t="str">
        <f>'Entsorgung Déchets'!Q175</f>
        <v/>
      </c>
      <c r="T165" s="601">
        <f>'Entsorgung Déchets'!R175</f>
        <v>0.0109</v>
      </c>
      <c r="U165" s="2" t="str">
        <f>'Entsorgung Déchets'!C175</f>
        <v>m2</v>
      </c>
      <c r="V165" s="2" t="str">
        <f t="shared" si="3"/>
        <v>area</v>
      </c>
      <c r="W165" s="2"/>
      <c r="X165" s="2" t="str">
        <f t="shared" si="4"/>
        <v>92.006</v>
      </c>
      <c r="Y165" s="7" t="s">
        <v>203</v>
      </c>
      <c r="Z165" s="7" t="s">
        <v>204</v>
      </c>
      <c r="AA165" s="414">
        <v>60.0</v>
      </c>
    </row>
    <row r="166">
      <c r="A166" s="2" t="str">
        <f>'Entsorgung Déchets'!A176 &amp; " " &amp; 'Entsorgung Déchets'!B176 &amp; " (KBOB.2016)"</f>
        <v>92.007 Entsorgung, Wärmeerzeuger, spez. Leistungsbedarf 30 W/m2 (KBOB.2016)</v>
      </c>
      <c r="B166" s="2" t="str">
        <f t="shared" si="1"/>
        <v>92.007 Entsorgung, Wärmeerzeuger, spez. Leistungsbedarf 30 W/m2 (KBOB.2016)</v>
      </c>
      <c r="C166" s="2"/>
      <c r="D166" s="2"/>
      <c r="E166" s="2"/>
      <c r="F166" s="2" t="s">
        <v>186</v>
      </c>
      <c r="G166" s="2" t="str">
        <f t="shared" si="2"/>
        <v>OTHER_RESOURCE_DISPOSAL_BUILDING_TECHNOLOGY</v>
      </c>
      <c r="H166" s="2"/>
      <c r="I166" s="600">
        <f>'Entsorgung Déchets'!D176</f>
        <v>31.8</v>
      </c>
      <c r="J166" s="600" t="str">
        <f>'Entsorgung Déchets'!E176</f>
        <v/>
      </c>
      <c r="K166" s="600">
        <f>'Entsorgung Déchets'!F176</f>
        <v>31.8</v>
      </c>
      <c r="L166" s="601">
        <f>'Entsorgung Déchets'!J176</f>
        <v>0.000952</v>
      </c>
      <c r="M166" s="601" t="str">
        <f>'Entsorgung Déchets'!K176</f>
        <v/>
      </c>
      <c r="N166" s="601">
        <f>'Entsorgung Déchets'!L176</f>
        <v>0.000952</v>
      </c>
      <c r="O166" s="601">
        <f>'Entsorgung Déchets'!M176</f>
        <v>0.0544</v>
      </c>
      <c r="P166" s="601" t="str">
        <f>'Entsorgung Déchets'!N176</f>
        <v/>
      </c>
      <c r="Q166" s="601">
        <f>'Entsorgung Déchets'!O176</f>
        <v>0.0544</v>
      </c>
      <c r="R166" s="601">
        <f>'Entsorgung Déchets'!P176</f>
        <v>0.0327</v>
      </c>
      <c r="S166" s="601" t="str">
        <f>'Entsorgung Déchets'!Q176</f>
        <v/>
      </c>
      <c r="T166" s="601">
        <f>'Entsorgung Déchets'!R176</f>
        <v>0.0327</v>
      </c>
      <c r="U166" s="2" t="str">
        <f>'Entsorgung Déchets'!C176</f>
        <v>m2</v>
      </c>
      <c r="V166" s="2" t="str">
        <f t="shared" si="3"/>
        <v>area</v>
      </c>
      <c r="W166" s="2"/>
      <c r="X166" s="2" t="str">
        <f t="shared" si="4"/>
        <v>92.007</v>
      </c>
      <c r="Y166" s="7" t="s">
        <v>203</v>
      </c>
      <c r="Z166" s="7" t="s">
        <v>204</v>
      </c>
      <c r="AA166" s="414">
        <v>60.0</v>
      </c>
    </row>
    <row r="167">
      <c r="A167" s="2" t="str">
        <f>'Entsorgung Déchets'!A177 &amp; " " &amp; 'Entsorgung Déchets'!B177 &amp; " (KBOB.2016)"</f>
        <v>92.008 Entsorgung, Wärmeerzeuger, spez. Leistungsbedarf 50 W/m2 (KBOB.2016)</v>
      </c>
      <c r="B167" s="2" t="str">
        <f t="shared" si="1"/>
        <v>92.008 Entsorgung, Wärmeerzeuger, spez. Leistungsbedarf 50 W/m2 (KBOB.2016)</v>
      </c>
      <c r="C167" s="2"/>
      <c r="D167" s="2"/>
      <c r="E167" s="2"/>
      <c r="F167" s="2" t="s">
        <v>186</v>
      </c>
      <c r="G167" s="2" t="str">
        <f t="shared" si="2"/>
        <v>OTHER_RESOURCE_DISPOSAL_BUILDING_TECHNOLOGY</v>
      </c>
      <c r="H167" s="2"/>
      <c r="I167" s="600">
        <f>'Entsorgung Déchets'!D177</f>
        <v>53</v>
      </c>
      <c r="J167" s="600" t="str">
        <f>'Entsorgung Déchets'!E177</f>
        <v/>
      </c>
      <c r="K167" s="600">
        <f>'Entsorgung Déchets'!F177</f>
        <v>53</v>
      </c>
      <c r="L167" s="601">
        <f>'Entsorgung Déchets'!J177</f>
        <v>0.00159</v>
      </c>
      <c r="M167" s="601" t="str">
        <f>'Entsorgung Déchets'!K177</f>
        <v/>
      </c>
      <c r="N167" s="601">
        <f>'Entsorgung Déchets'!L177</f>
        <v>0.00159</v>
      </c>
      <c r="O167" s="601">
        <f>'Entsorgung Déchets'!M177</f>
        <v>0.0906</v>
      </c>
      <c r="P167" s="601" t="str">
        <f>'Entsorgung Déchets'!N177</f>
        <v/>
      </c>
      <c r="Q167" s="601">
        <f>'Entsorgung Déchets'!O177</f>
        <v>0.0906</v>
      </c>
      <c r="R167" s="601">
        <f>'Entsorgung Déchets'!P177</f>
        <v>0.0545</v>
      </c>
      <c r="S167" s="601" t="str">
        <f>'Entsorgung Déchets'!Q177</f>
        <v/>
      </c>
      <c r="T167" s="601">
        <f>'Entsorgung Déchets'!R177</f>
        <v>0.0545</v>
      </c>
      <c r="U167" s="2" t="str">
        <f>'Entsorgung Déchets'!C177</f>
        <v>m2</v>
      </c>
      <c r="V167" s="2" t="str">
        <f t="shared" si="3"/>
        <v>area</v>
      </c>
      <c r="W167" s="2"/>
      <c r="X167" s="2" t="str">
        <f t="shared" si="4"/>
        <v>92.008</v>
      </c>
      <c r="Y167" s="7" t="s">
        <v>203</v>
      </c>
      <c r="Z167" s="7" t="s">
        <v>204</v>
      </c>
      <c r="AA167" s="414">
        <v>60.0</v>
      </c>
    </row>
    <row r="168">
      <c r="A168" s="2" t="str">
        <f>'Entsorgung Déchets'!A178 &amp; " " &amp; 'Entsorgung Déchets'!B178 &amp; " (KBOB.2016)"</f>
        <v>92.019 Entsorgung, Wärmeverteilung und Abgabe, Luftheizung (KBOB.2016)</v>
      </c>
      <c r="B168" s="2" t="str">
        <f t="shared" si="1"/>
        <v>92.019 Entsorgung, Wärmeverteilung und Abgabe, Luftheizung (KBOB.2016)</v>
      </c>
      <c r="C168" s="2"/>
      <c r="D168" s="2"/>
      <c r="E168" s="2"/>
      <c r="F168" s="2" t="s">
        <v>186</v>
      </c>
      <c r="G168" s="2" t="str">
        <f t="shared" si="2"/>
        <v>OTHER_RESOURCE_DISPOSAL_BUILDING_TECHNOLOGY</v>
      </c>
      <c r="H168" s="2"/>
      <c r="I168" s="600">
        <f>'Entsorgung Déchets'!D178</f>
        <v>33.6</v>
      </c>
      <c r="J168" s="600" t="str">
        <f>'Entsorgung Déchets'!E178</f>
        <v/>
      </c>
      <c r="K168" s="600">
        <f>'Entsorgung Déchets'!F178</f>
        <v>33.6</v>
      </c>
      <c r="L168" s="601">
        <f>'Entsorgung Déchets'!J178</f>
        <v>0.000083</v>
      </c>
      <c r="M168" s="601" t="str">
        <f>'Entsorgung Déchets'!K178</f>
        <v/>
      </c>
      <c r="N168" s="601">
        <f>'Entsorgung Déchets'!L178</f>
        <v>0.000083</v>
      </c>
      <c r="O168" s="601">
        <f>'Entsorgung Déchets'!M178</f>
        <v>0.00648</v>
      </c>
      <c r="P168" s="601" t="str">
        <f>'Entsorgung Déchets'!N178</f>
        <v/>
      </c>
      <c r="Q168" s="601">
        <f>'Entsorgung Déchets'!O178</f>
        <v>0.00648</v>
      </c>
      <c r="R168" s="601">
        <f>'Entsorgung Déchets'!P178</f>
        <v>0.0672</v>
      </c>
      <c r="S168" s="601" t="str">
        <f>'Entsorgung Déchets'!Q178</f>
        <v/>
      </c>
      <c r="T168" s="601">
        <f>'Entsorgung Déchets'!R178</f>
        <v>0.0672</v>
      </c>
      <c r="U168" s="2" t="str">
        <f>'Entsorgung Déchets'!C178</f>
        <v>m2</v>
      </c>
      <c r="V168" s="2" t="str">
        <f t="shared" si="3"/>
        <v>area</v>
      </c>
      <c r="W168" s="2"/>
      <c r="X168" s="2" t="str">
        <f t="shared" si="4"/>
        <v>92.019</v>
      </c>
      <c r="Y168" s="7" t="s">
        <v>203</v>
      </c>
      <c r="Z168" s="7" t="s">
        <v>204</v>
      </c>
      <c r="AA168" s="414">
        <v>60.0</v>
      </c>
    </row>
    <row r="169">
      <c r="A169" s="2" t="str">
        <f>'Entsorgung Déchets'!A179 &amp; " " &amp; 'Entsorgung Déchets'!B179 &amp; " (KBOB.2016)"</f>
        <v>92.003 Entsorgung, Wohnen, inkl. Apparate und Leitungen (KBOB.2016)</v>
      </c>
      <c r="B169" s="2" t="str">
        <f t="shared" si="1"/>
        <v>92.003 Entsorgung, Wohnen, inkl. Apparate und Leitungen (KBOB.2016)</v>
      </c>
      <c r="C169" s="2"/>
      <c r="D169" s="2"/>
      <c r="E169" s="2"/>
      <c r="F169" s="2" t="s">
        <v>186</v>
      </c>
      <c r="G169" s="2" t="str">
        <f t="shared" si="2"/>
        <v>OTHER_RESOURCE_DISPOSAL_BUILDING_TECHNOLOGY</v>
      </c>
      <c r="H169" s="2"/>
      <c r="I169" s="600">
        <f>'Entsorgung Déchets'!D179</f>
        <v>833</v>
      </c>
      <c r="J169" s="600" t="str">
        <f>'Entsorgung Déchets'!E179</f>
        <v/>
      </c>
      <c r="K169" s="600">
        <f>'Entsorgung Déchets'!F179</f>
        <v>833</v>
      </c>
      <c r="L169" s="601">
        <f>'Entsorgung Déchets'!J179</f>
        <v>0.0192</v>
      </c>
      <c r="M169" s="601" t="str">
        <f>'Entsorgung Déchets'!K179</f>
        <v/>
      </c>
      <c r="N169" s="601">
        <f>'Entsorgung Déchets'!L179</f>
        <v>0.0192</v>
      </c>
      <c r="O169" s="601">
        <f>'Entsorgung Déchets'!M179</f>
        <v>0.337</v>
      </c>
      <c r="P169" s="601" t="str">
        <f>'Entsorgung Déchets'!N179</f>
        <v/>
      </c>
      <c r="Q169" s="601">
        <f>'Entsorgung Déchets'!O179</f>
        <v>0.337</v>
      </c>
      <c r="R169" s="601">
        <f>'Entsorgung Déchets'!P179</f>
        <v>1.55</v>
      </c>
      <c r="S169" s="601" t="str">
        <f>'Entsorgung Déchets'!Q179</f>
        <v/>
      </c>
      <c r="T169" s="601">
        <f>'Entsorgung Déchets'!R179</f>
        <v>1.55</v>
      </c>
      <c r="U169" s="2" t="str">
        <f>'Entsorgung Déchets'!C179</f>
        <v>m2</v>
      </c>
      <c r="V169" s="2" t="str">
        <f t="shared" si="3"/>
        <v>area</v>
      </c>
      <c r="W169" s="2"/>
      <c r="X169" s="2" t="str">
        <f t="shared" si="4"/>
        <v>92.003</v>
      </c>
      <c r="Y169" s="7" t="s">
        <v>203</v>
      </c>
      <c r="Z169" s="7" t="s">
        <v>204</v>
      </c>
      <c r="AA169" s="414">
        <v>60.0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3E2"/>
    <outlinePr summaryRight="0"/>
    <pageSetUpPr fitToPage="1"/>
  </sheetPr>
  <sheetViews>
    <sheetView workbookViewId="0"/>
  </sheetViews>
  <sheetFormatPr customHeight="1" defaultColWidth="14.43" defaultRowHeight="15.0" outlineLevelCol="2" outlineLevelRow="1"/>
  <cols>
    <col customWidth="1" min="1" max="1" width="8.86"/>
    <col customWidth="1" min="2" max="2" width="74.14"/>
    <col customWidth="1" min="3" max="3" width="7.14"/>
    <col customWidth="1" min="4" max="4" width="10.71"/>
    <col customWidth="1" min="5" max="6" width="10.71" outlineLevel="1"/>
    <col customWidth="1" min="7" max="9" width="10.71" outlineLevel="2"/>
    <col customWidth="1" min="10" max="10" width="10.71"/>
    <col customWidth="1" min="11" max="12" width="10.71" outlineLevel="1"/>
    <col customWidth="1" min="13" max="13" width="10.71"/>
    <col customWidth="1" min="14" max="15" width="10.71" outlineLevel="1"/>
    <col customWidth="1" min="16" max="16" width="10.71"/>
    <col customWidth="1" min="17" max="18" width="10.71" outlineLevel="1"/>
    <col customWidth="1" min="19" max="19" width="80.43"/>
    <col customWidth="1" min="20" max="26" width="10.71"/>
  </cols>
  <sheetData>
    <row r="1" ht="12.75" customHeight="1">
      <c r="A1" s="603"/>
      <c r="B1" s="290" t="s">
        <v>403</v>
      </c>
      <c r="C1" s="604"/>
      <c r="D1" s="293"/>
      <c r="E1" s="605"/>
      <c r="F1" s="605"/>
      <c r="G1" s="481" t="s">
        <v>404</v>
      </c>
      <c r="H1" s="605"/>
      <c r="I1" s="605"/>
      <c r="J1" s="605"/>
      <c r="K1" s="605"/>
      <c r="L1" s="605"/>
      <c r="M1" s="76" t="s">
        <v>404</v>
      </c>
      <c r="N1" s="605"/>
      <c r="O1" s="605"/>
      <c r="P1" s="605"/>
      <c r="Q1" s="605"/>
      <c r="R1" s="605"/>
      <c r="S1" s="298" t="s">
        <v>117</v>
      </c>
      <c r="T1" s="299"/>
      <c r="U1" s="299"/>
      <c r="V1" s="299"/>
      <c r="W1" s="299"/>
      <c r="X1" s="299"/>
      <c r="Y1" s="299"/>
      <c r="Z1" s="299"/>
    </row>
    <row r="2" ht="12.75" customHeight="1">
      <c r="A2" s="606"/>
      <c r="B2" s="489"/>
      <c r="C2" s="607"/>
      <c r="D2" s="490"/>
      <c r="E2" s="608"/>
      <c r="F2" s="608"/>
      <c r="G2" s="608"/>
      <c r="H2" s="608"/>
      <c r="I2" s="609"/>
      <c r="J2" s="609"/>
      <c r="K2" s="608"/>
      <c r="L2" s="608"/>
      <c r="M2" s="609"/>
      <c r="N2" s="608"/>
      <c r="O2" s="608"/>
      <c r="P2" s="608"/>
      <c r="Q2" s="608"/>
      <c r="R2" s="608"/>
      <c r="S2" s="307"/>
      <c r="T2" s="308"/>
      <c r="U2" s="308"/>
      <c r="V2" s="308"/>
      <c r="W2" s="308"/>
      <c r="X2" s="308"/>
      <c r="Y2" s="308"/>
      <c r="Z2" s="308"/>
    </row>
    <row r="3" ht="12.75" hidden="1" customHeight="1" outlineLevel="1">
      <c r="A3" s="610"/>
      <c r="B3" s="278"/>
      <c r="C3" s="611"/>
      <c r="D3" s="92"/>
      <c r="E3" s="91" t="s">
        <v>405</v>
      </c>
      <c r="F3" s="91" t="s">
        <v>405</v>
      </c>
      <c r="G3" s="91"/>
      <c r="H3" s="91" t="s">
        <v>405</v>
      </c>
      <c r="I3" s="91" t="s">
        <v>405</v>
      </c>
      <c r="J3" s="91"/>
      <c r="K3" s="91" t="s">
        <v>406</v>
      </c>
      <c r="L3" s="91" t="s">
        <v>406</v>
      </c>
      <c r="M3" s="91"/>
      <c r="N3" s="91" t="s">
        <v>407</v>
      </c>
      <c r="O3" s="93" t="s">
        <v>407</v>
      </c>
      <c r="P3" s="91"/>
      <c r="Q3" s="91" t="s">
        <v>408</v>
      </c>
      <c r="R3" s="91" t="s">
        <v>408</v>
      </c>
      <c r="S3" s="410"/>
      <c r="T3" s="277"/>
      <c r="U3" s="277"/>
      <c r="V3" s="277"/>
      <c r="W3" s="277"/>
      <c r="X3" s="277"/>
      <c r="Y3" s="277"/>
      <c r="Z3" s="277"/>
    </row>
    <row r="4" ht="12.75" hidden="1" customHeight="1" outlineLevel="1">
      <c r="A4" s="610"/>
      <c r="B4" s="278"/>
      <c r="C4" s="611"/>
      <c r="D4" s="92"/>
      <c r="E4" s="91" t="s">
        <v>420</v>
      </c>
      <c r="F4" s="91" t="s">
        <v>420</v>
      </c>
      <c r="G4" s="91"/>
      <c r="H4" s="91" t="s">
        <v>2009</v>
      </c>
      <c r="I4" s="91" t="s">
        <v>2009</v>
      </c>
      <c r="J4" s="91"/>
      <c r="K4" s="91" t="s">
        <v>2010</v>
      </c>
      <c r="L4" s="91" t="s">
        <v>2010</v>
      </c>
      <c r="M4" s="91"/>
      <c r="N4" s="91" t="s">
        <v>2011</v>
      </c>
      <c r="O4" s="93" t="s">
        <v>2011</v>
      </c>
      <c r="P4" s="91"/>
      <c r="Q4" s="91" t="s">
        <v>2012</v>
      </c>
      <c r="R4" s="91" t="s">
        <v>2012</v>
      </c>
      <c r="S4" s="410"/>
      <c r="T4" s="277"/>
      <c r="U4" s="277"/>
      <c r="V4" s="277"/>
      <c r="W4" s="277"/>
      <c r="X4" s="277"/>
      <c r="Y4" s="277"/>
      <c r="Z4" s="277"/>
    </row>
    <row r="5" ht="25.5" customHeight="1" collapsed="1">
      <c r="A5" s="309" t="s">
        <v>409</v>
      </c>
      <c r="B5" s="96" t="s">
        <v>3490</v>
      </c>
      <c r="C5" s="100" t="s">
        <v>3491</v>
      </c>
      <c r="D5" s="101" t="s">
        <v>122</v>
      </c>
      <c r="E5" s="102"/>
      <c r="F5" s="103"/>
      <c r="G5" s="612" t="s">
        <v>3492</v>
      </c>
      <c r="H5" s="102"/>
      <c r="I5" s="102"/>
      <c r="J5" s="102"/>
      <c r="K5" s="102"/>
      <c r="L5" s="102"/>
      <c r="M5" s="102"/>
      <c r="N5" s="102"/>
      <c r="O5" s="103"/>
      <c r="P5" s="612" t="s">
        <v>416</v>
      </c>
      <c r="Q5" s="102"/>
      <c r="R5" s="103"/>
      <c r="S5" s="613" t="s">
        <v>3493</v>
      </c>
      <c r="T5" s="277"/>
      <c r="U5" s="277"/>
      <c r="V5" s="277"/>
      <c r="W5" s="277"/>
      <c r="X5" s="277"/>
      <c r="Y5" s="277"/>
      <c r="Z5" s="277"/>
    </row>
    <row r="6" ht="12.75" customHeight="1">
      <c r="A6" s="318" t="s">
        <v>418</v>
      </c>
      <c r="B6" s="107"/>
      <c r="C6" s="107"/>
      <c r="D6" s="111" t="s">
        <v>420</v>
      </c>
      <c r="E6" s="112"/>
      <c r="F6" s="113"/>
      <c r="G6" s="322" t="s">
        <v>421</v>
      </c>
      <c r="H6" s="115"/>
      <c r="I6" s="116"/>
      <c r="J6" s="614" t="s">
        <v>125</v>
      </c>
      <c r="K6" s="115"/>
      <c r="L6" s="116"/>
      <c r="M6" s="322" t="s">
        <v>2018</v>
      </c>
      <c r="N6" s="115"/>
      <c r="O6" s="116"/>
      <c r="P6" s="615" t="s">
        <v>422</v>
      </c>
      <c r="Q6" s="115"/>
      <c r="R6" s="116"/>
      <c r="S6" s="107"/>
      <c r="T6" s="277"/>
      <c r="U6" s="277"/>
      <c r="V6" s="277"/>
      <c r="W6" s="277"/>
      <c r="X6" s="277"/>
      <c r="Y6" s="277"/>
      <c r="Z6" s="277"/>
    </row>
    <row r="7" ht="14.25" customHeight="1">
      <c r="A7" s="110"/>
      <c r="B7" s="110"/>
      <c r="C7" s="107"/>
      <c r="D7" s="122"/>
      <c r="E7" s="123"/>
      <c r="F7" s="124"/>
      <c r="G7" s="329" t="s">
        <v>424</v>
      </c>
      <c r="H7" s="126"/>
      <c r="I7" s="127"/>
      <c r="J7" s="616" t="s">
        <v>145</v>
      </c>
      <c r="K7" s="126"/>
      <c r="L7" s="127"/>
      <c r="M7" s="329" t="s">
        <v>2020</v>
      </c>
      <c r="N7" s="126"/>
      <c r="O7" s="127"/>
      <c r="P7" s="329" t="s">
        <v>426</v>
      </c>
      <c r="Q7" s="126"/>
      <c r="R7" s="127"/>
      <c r="S7" s="110"/>
      <c r="T7" s="277"/>
      <c r="U7" s="277"/>
      <c r="V7" s="277"/>
      <c r="W7" s="277"/>
      <c r="X7" s="277"/>
      <c r="Y7" s="277"/>
      <c r="Z7" s="277"/>
    </row>
    <row r="8" ht="14.25" customHeight="1">
      <c r="A8" s="519"/>
      <c r="B8" s="617" t="s">
        <v>428</v>
      </c>
      <c r="C8" s="107"/>
      <c r="D8" s="132" t="s">
        <v>405</v>
      </c>
      <c r="E8" s="133" t="s">
        <v>429</v>
      </c>
      <c r="F8" s="133" t="s">
        <v>412</v>
      </c>
      <c r="G8" s="134" t="s">
        <v>405</v>
      </c>
      <c r="H8" s="135" t="s">
        <v>429</v>
      </c>
      <c r="I8" s="135" t="s">
        <v>412</v>
      </c>
      <c r="J8" s="134" t="s">
        <v>405</v>
      </c>
      <c r="K8" s="135" t="s">
        <v>429</v>
      </c>
      <c r="L8" s="135" t="s">
        <v>412</v>
      </c>
      <c r="M8" s="134" t="s">
        <v>405</v>
      </c>
      <c r="N8" s="135" t="s">
        <v>429</v>
      </c>
      <c r="O8" s="135" t="s">
        <v>412</v>
      </c>
      <c r="P8" s="134" t="s">
        <v>405</v>
      </c>
      <c r="Q8" s="618" t="s">
        <v>429</v>
      </c>
      <c r="R8" s="618" t="s">
        <v>412</v>
      </c>
      <c r="S8" s="343"/>
      <c r="T8" s="277"/>
      <c r="U8" s="277"/>
      <c r="V8" s="277"/>
      <c r="W8" s="277"/>
      <c r="X8" s="277"/>
      <c r="Y8" s="277"/>
      <c r="Z8" s="277"/>
    </row>
    <row r="9" ht="14.25" customHeight="1">
      <c r="A9" s="137"/>
      <c r="B9" s="617"/>
      <c r="C9" s="107"/>
      <c r="D9" s="138" t="s">
        <v>405</v>
      </c>
      <c r="E9" s="139" t="s">
        <v>431</v>
      </c>
      <c r="F9" s="139" t="s">
        <v>432</v>
      </c>
      <c r="G9" s="140" t="s">
        <v>405</v>
      </c>
      <c r="H9" s="141" t="s">
        <v>431</v>
      </c>
      <c r="I9" s="141" t="s">
        <v>432</v>
      </c>
      <c r="J9" s="140" t="s">
        <v>405</v>
      </c>
      <c r="K9" s="141" t="s">
        <v>431</v>
      </c>
      <c r="L9" s="141" t="s">
        <v>432</v>
      </c>
      <c r="M9" s="140" t="s">
        <v>405</v>
      </c>
      <c r="N9" s="141" t="s">
        <v>431</v>
      </c>
      <c r="O9" s="141" t="s">
        <v>432</v>
      </c>
      <c r="P9" s="140" t="s">
        <v>405</v>
      </c>
      <c r="Q9" s="619" t="s">
        <v>431</v>
      </c>
      <c r="R9" s="619" t="s">
        <v>432</v>
      </c>
      <c r="S9" s="343"/>
      <c r="T9" s="142"/>
      <c r="U9" s="142"/>
      <c r="V9" s="142"/>
      <c r="W9" s="142"/>
      <c r="X9" s="142"/>
      <c r="Y9" s="142"/>
      <c r="Z9" s="142"/>
    </row>
    <row r="10" ht="14.25" customHeight="1">
      <c r="A10" s="143"/>
      <c r="B10" s="351"/>
      <c r="C10" s="146"/>
      <c r="D10" s="147" t="s">
        <v>420</v>
      </c>
      <c r="E10" s="147" t="s">
        <v>420</v>
      </c>
      <c r="F10" s="147" t="s">
        <v>420</v>
      </c>
      <c r="G10" s="148" t="s">
        <v>433</v>
      </c>
      <c r="H10" s="148" t="s">
        <v>433</v>
      </c>
      <c r="I10" s="148" t="s">
        <v>433</v>
      </c>
      <c r="J10" s="148" t="s">
        <v>433</v>
      </c>
      <c r="K10" s="148" t="s">
        <v>433</v>
      </c>
      <c r="L10" s="148" t="s">
        <v>433</v>
      </c>
      <c r="M10" s="148" t="s">
        <v>433</v>
      </c>
      <c r="N10" s="148" t="s">
        <v>433</v>
      </c>
      <c r="O10" s="148" t="s">
        <v>433</v>
      </c>
      <c r="P10" s="149" t="s">
        <v>3494</v>
      </c>
      <c r="Q10" s="149" t="s">
        <v>3495</v>
      </c>
      <c r="R10" s="149" t="s">
        <v>3496</v>
      </c>
      <c r="S10" s="150"/>
      <c r="T10" s="142"/>
      <c r="U10" s="142"/>
      <c r="V10" s="142"/>
      <c r="W10" s="142"/>
      <c r="X10" s="142"/>
      <c r="Y10" s="142"/>
      <c r="Z10" s="142"/>
    </row>
    <row r="11" ht="12.75" customHeight="1">
      <c r="A11" s="175" t="s">
        <v>3201</v>
      </c>
      <c r="B11" s="177" t="s">
        <v>3497</v>
      </c>
      <c r="C11" s="275"/>
      <c r="D11" s="275"/>
      <c r="E11" s="275"/>
      <c r="F11" s="275"/>
      <c r="G11" s="275"/>
      <c r="H11" s="181"/>
      <c r="I11" s="216"/>
      <c r="J11" s="180"/>
      <c r="K11" s="181"/>
      <c r="L11" s="181"/>
      <c r="M11" s="180"/>
      <c r="N11" s="181"/>
      <c r="O11" s="181"/>
      <c r="P11" s="180"/>
      <c r="Q11" s="181"/>
      <c r="R11" s="181"/>
      <c r="S11" s="217" t="s">
        <v>3498</v>
      </c>
      <c r="T11" s="277"/>
      <c r="U11" s="277"/>
      <c r="V11" s="277"/>
      <c r="W11" s="277"/>
      <c r="X11" s="277"/>
      <c r="Y11" s="277"/>
      <c r="Z11" s="277"/>
    </row>
    <row r="12" ht="12.75" customHeight="1">
      <c r="A12" s="183" t="s">
        <v>1288</v>
      </c>
      <c r="B12" s="184" t="s">
        <v>1289</v>
      </c>
      <c r="C12" s="186" t="s">
        <v>559</v>
      </c>
      <c r="D12" s="222">
        <v>121.0</v>
      </c>
      <c r="E12" s="223"/>
      <c r="F12" s="223">
        <v>121.0</v>
      </c>
      <c r="G12" s="225">
        <v>0.0898</v>
      </c>
      <c r="H12" s="226"/>
      <c r="I12" s="226">
        <v>0.0898</v>
      </c>
      <c r="J12" s="225">
        <v>0.00159</v>
      </c>
      <c r="K12" s="232"/>
      <c r="L12" s="226">
        <v>0.00159</v>
      </c>
      <c r="M12" s="225">
        <v>0.0882</v>
      </c>
      <c r="N12" s="232"/>
      <c r="O12" s="226">
        <v>0.0882</v>
      </c>
      <c r="P12" s="228">
        <v>0.0184</v>
      </c>
      <c r="Q12" s="226"/>
      <c r="R12" s="226">
        <v>0.0184</v>
      </c>
      <c r="S12" s="221" t="s">
        <v>3499</v>
      </c>
      <c r="T12" s="277"/>
      <c r="U12" s="277"/>
      <c r="V12" s="277"/>
      <c r="W12" s="277"/>
      <c r="X12" s="277"/>
      <c r="Y12" s="277"/>
      <c r="Z12" s="277"/>
    </row>
    <row r="13" ht="12.75" customHeight="1">
      <c r="A13" s="183" t="s">
        <v>1079</v>
      </c>
      <c r="B13" s="184" t="s">
        <v>1080</v>
      </c>
      <c r="C13" s="186" t="s">
        <v>3500</v>
      </c>
      <c r="D13" s="222">
        <v>3430.0</v>
      </c>
      <c r="E13" s="223"/>
      <c r="F13" s="223">
        <v>3430.0</v>
      </c>
      <c r="G13" s="225">
        <v>1.61</v>
      </c>
      <c r="H13" s="226"/>
      <c r="I13" s="226">
        <v>1.61</v>
      </c>
      <c r="J13" s="225">
        <v>0.0236</v>
      </c>
      <c r="K13" s="232"/>
      <c r="L13" s="232">
        <v>0.0236</v>
      </c>
      <c r="M13" s="225">
        <v>1.58</v>
      </c>
      <c r="N13" s="232"/>
      <c r="O13" s="232">
        <v>1.58</v>
      </c>
      <c r="P13" s="228">
        <v>6.09</v>
      </c>
      <c r="Q13" s="226"/>
      <c r="R13" s="226">
        <v>6.09</v>
      </c>
      <c r="S13" s="221" t="s">
        <v>3501</v>
      </c>
      <c r="T13" s="277"/>
      <c r="U13" s="277"/>
      <c r="V13" s="277"/>
      <c r="W13" s="277"/>
      <c r="X13" s="277"/>
      <c r="Y13" s="277"/>
      <c r="Z13" s="277"/>
    </row>
    <row r="14" ht="12.75" customHeight="1">
      <c r="A14" s="183" t="s">
        <v>1276</v>
      </c>
      <c r="B14" s="184" t="s">
        <v>1277</v>
      </c>
      <c r="C14" s="186" t="s">
        <v>3502</v>
      </c>
      <c r="D14" s="222">
        <v>2980.0</v>
      </c>
      <c r="E14" s="223"/>
      <c r="F14" s="223">
        <v>2980.0</v>
      </c>
      <c r="G14" s="225">
        <v>1.56</v>
      </c>
      <c r="H14" s="226"/>
      <c r="I14" s="226">
        <v>1.56</v>
      </c>
      <c r="J14" s="225">
        <v>0.0229</v>
      </c>
      <c r="K14" s="232"/>
      <c r="L14" s="232">
        <v>0.0229</v>
      </c>
      <c r="M14" s="225">
        <v>1.54</v>
      </c>
      <c r="N14" s="232"/>
      <c r="O14" s="232">
        <v>1.54</v>
      </c>
      <c r="P14" s="228">
        <v>5.19</v>
      </c>
      <c r="Q14" s="226"/>
      <c r="R14" s="226">
        <v>5.19</v>
      </c>
      <c r="S14" s="221" t="s">
        <v>3503</v>
      </c>
      <c r="T14" s="277"/>
      <c r="U14" s="277"/>
      <c r="V14" s="277"/>
      <c r="W14" s="277"/>
      <c r="X14" s="277"/>
      <c r="Y14" s="277"/>
      <c r="Z14" s="277"/>
    </row>
    <row r="15" ht="12.75" customHeight="1">
      <c r="A15" s="183" t="s">
        <v>1282</v>
      </c>
      <c r="B15" s="184" t="s">
        <v>1283</v>
      </c>
      <c r="C15" s="186" t="s">
        <v>3504</v>
      </c>
      <c r="D15" s="222">
        <v>6780.0</v>
      </c>
      <c r="E15" s="223"/>
      <c r="F15" s="223">
        <v>6780.0</v>
      </c>
      <c r="G15" s="225">
        <v>2.19</v>
      </c>
      <c r="H15" s="226"/>
      <c r="I15" s="226">
        <v>2.19</v>
      </c>
      <c r="J15" s="225">
        <v>0.0406</v>
      </c>
      <c r="K15" s="232"/>
      <c r="L15" s="232">
        <v>0.0406</v>
      </c>
      <c r="M15" s="225">
        <v>2.15</v>
      </c>
      <c r="N15" s="232"/>
      <c r="O15" s="232">
        <v>2.15</v>
      </c>
      <c r="P15" s="228">
        <v>12.6</v>
      </c>
      <c r="Q15" s="226"/>
      <c r="R15" s="226">
        <v>12.6</v>
      </c>
      <c r="S15" s="221" t="s">
        <v>3505</v>
      </c>
      <c r="T15" s="277"/>
      <c r="U15" s="277"/>
      <c r="V15" s="277"/>
      <c r="W15" s="277"/>
      <c r="X15" s="277"/>
      <c r="Y15" s="277"/>
      <c r="Z15" s="277"/>
    </row>
    <row r="16" ht="12.75" customHeight="1">
      <c r="A16" s="183" t="s">
        <v>1294</v>
      </c>
      <c r="B16" s="184" t="s">
        <v>1295</v>
      </c>
      <c r="C16" s="186" t="s">
        <v>3506</v>
      </c>
      <c r="D16" s="222">
        <v>214.0</v>
      </c>
      <c r="E16" s="223"/>
      <c r="F16" s="223">
        <v>214.0</v>
      </c>
      <c r="G16" s="225">
        <v>0.514</v>
      </c>
      <c r="H16" s="226"/>
      <c r="I16" s="226">
        <v>0.514</v>
      </c>
      <c r="J16" s="225">
        <v>0.00449</v>
      </c>
      <c r="K16" s="232"/>
      <c r="L16" s="232">
        <v>0.00449</v>
      </c>
      <c r="M16" s="225">
        <v>0.509</v>
      </c>
      <c r="N16" s="232"/>
      <c r="O16" s="232">
        <v>0.509</v>
      </c>
      <c r="P16" s="228">
        <v>0.085</v>
      </c>
      <c r="Q16" s="226"/>
      <c r="R16" s="226">
        <v>0.085</v>
      </c>
      <c r="S16" s="221" t="s">
        <v>3507</v>
      </c>
      <c r="T16" s="277"/>
      <c r="U16" s="277"/>
      <c r="V16" s="277"/>
      <c r="W16" s="277"/>
      <c r="X16" s="277"/>
      <c r="Y16" s="277"/>
      <c r="Z16" s="277"/>
    </row>
    <row r="17" ht="12.75" customHeight="1">
      <c r="A17" s="183" t="s">
        <v>1300</v>
      </c>
      <c r="B17" s="184" t="s">
        <v>1301</v>
      </c>
      <c r="C17" s="186" t="s">
        <v>3508</v>
      </c>
      <c r="D17" s="222">
        <v>270.0</v>
      </c>
      <c r="E17" s="223"/>
      <c r="F17" s="223">
        <v>270.0</v>
      </c>
      <c r="G17" s="225">
        <v>0.648</v>
      </c>
      <c r="H17" s="226"/>
      <c r="I17" s="226">
        <v>0.648</v>
      </c>
      <c r="J17" s="225">
        <v>0.00566</v>
      </c>
      <c r="K17" s="232"/>
      <c r="L17" s="232">
        <v>0.00566</v>
      </c>
      <c r="M17" s="225">
        <v>0.642</v>
      </c>
      <c r="N17" s="232"/>
      <c r="O17" s="232">
        <v>0.642</v>
      </c>
      <c r="P17" s="228">
        <v>0.107</v>
      </c>
      <c r="Q17" s="226"/>
      <c r="R17" s="226">
        <v>0.107</v>
      </c>
      <c r="S17" s="221" t="s">
        <v>3509</v>
      </c>
      <c r="T17" s="277"/>
      <c r="U17" s="277"/>
      <c r="V17" s="277"/>
      <c r="W17" s="277"/>
      <c r="X17" s="277"/>
      <c r="Y17" s="277"/>
      <c r="Z17" s="277"/>
    </row>
    <row r="18" ht="12.75" customHeight="1">
      <c r="A18" s="183" t="s">
        <v>1306</v>
      </c>
      <c r="B18" s="184" t="s">
        <v>1307</v>
      </c>
      <c r="C18" s="186" t="s">
        <v>3510</v>
      </c>
      <c r="D18" s="222">
        <v>2600.0</v>
      </c>
      <c r="E18" s="223"/>
      <c r="F18" s="223">
        <v>2600.0</v>
      </c>
      <c r="G18" s="225">
        <v>0.554</v>
      </c>
      <c r="H18" s="226"/>
      <c r="I18" s="226">
        <v>0.554</v>
      </c>
      <c r="J18" s="225">
        <v>0.0161</v>
      </c>
      <c r="K18" s="232"/>
      <c r="L18" s="232">
        <v>0.0161</v>
      </c>
      <c r="M18" s="225">
        <v>0.538</v>
      </c>
      <c r="N18" s="232"/>
      <c r="O18" s="232">
        <v>0.538</v>
      </c>
      <c r="P18" s="228">
        <v>4.78</v>
      </c>
      <c r="Q18" s="226"/>
      <c r="R18" s="226">
        <v>4.78</v>
      </c>
      <c r="S18" s="221" t="s">
        <v>3511</v>
      </c>
      <c r="T18" s="277"/>
      <c r="U18" s="277"/>
      <c r="V18" s="277"/>
      <c r="W18" s="277"/>
      <c r="X18" s="277"/>
      <c r="Y18" s="277"/>
      <c r="Z18" s="277"/>
    </row>
    <row r="19" ht="12.75" customHeight="1">
      <c r="A19" s="183" t="s">
        <v>1316</v>
      </c>
      <c r="B19" s="184" t="s">
        <v>1317</v>
      </c>
      <c r="C19" s="186" t="s">
        <v>3512</v>
      </c>
      <c r="D19" s="222">
        <v>1210.0</v>
      </c>
      <c r="E19" s="223"/>
      <c r="F19" s="223">
        <v>1210.0</v>
      </c>
      <c r="G19" s="225">
        <v>0.638</v>
      </c>
      <c r="H19" s="226"/>
      <c r="I19" s="226">
        <v>0.638</v>
      </c>
      <c r="J19" s="225">
        <v>0.0124</v>
      </c>
      <c r="K19" s="232"/>
      <c r="L19" s="232">
        <v>0.0124</v>
      </c>
      <c r="M19" s="225">
        <v>0.626</v>
      </c>
      <c r="N19" s="232"/>
      <c r="O19" s="232">
        <v>0.626</v>
      </c>
      <c r="P19" s="228">
        <v>1.66</v>
      </c>
      <c r="Q19" s="226"/>
      <c r="R19" s="226">
        <v>1.66</v>
      </c>
      <c r="S19" s="221" t="s">
        <v>3513</v>
      </c>
      <c r="T19" s="277"/>
      <c r="U19" s="277"/>
      <c r="V19" s="277"/>
      <c r="W19" s="277"/>
      <c r="X19" s="277"/>
      <c r="Y19" s="277"/>
      <c r="Z19" s="277"/>
    </row>
    <row r="20" ht="12.75" customHeight="1">
      <c r="A20" s="183" t="s">
        <v>1322</v>
      </c>
      <c r="B20" s="184" t="s">
        <v>1323</v>
      </c>
      <c r="C20" s="186" t="s">
        <v>3514</v>
      </c>
      <c r="D20" s="222">
        <v>1550.0</v>
      </c>
      <c r="E20" s="223"/>
      <c r="F20" s="223">
        <v>1550.0</v>
      </c>
      <c r="G20" s="225">
        <v>0.366</v>
      </c>
      <c r="H20" s="226"/>
      <c r="I20" s="226">
        <v>0.366</v>
      </c>
      <c r="J20" s="225">
        <v>0.00917</v>
      </c>
      <c r="K20" s="232"/>
      <c r="L20" s="232">
        <v>0.00917</v>
      </c>
      <c r="M20" s="225">
        <v>0.357</v>
      </c>
      <c r="N20" s="232"/>
      <c r="O20" s="232">
        <v>0.357</v>
      </c>
      <c r="P20" s="228">
        <v>2.82</v>
      </c>
      <c r="Q20" s="226"/>
      <c r="R20" s="226">
        <v>2.82</v>
      </c>
      <c r="S20" s="221" t="s">
        <v>3515</v>
      </c>
      <c r="T20" s="277"/>
      <c r="U20" s="277"/>
      <c r="V20" s="277"/>
      <c r="W20" s="277"/>
      <c r="X20" s="277"/>
      <c r="Y20" s="277"/>
      <c r="Z20" s="277"/>
    </row>
    <row r="21" ht="12.75" customHeight="1">
      <c r="A21" s="183" t="s">
        <v>1328</v>
      </c>
      <c r="B21" s="184" t="s">
        <v>1329</v>
      </c>
      <c r="C21" s="186" t="s">
        <v>3516</v>
      </c>
      <c r="D21" s="222">
        <v>401.0</v>
      </c>
      <c r="E21" s="223"/>
      <c r="F21" s="223">
        <v>401.0</v>
      </c>
      <c r="G21" s="225">
        <v>0.19</v>
      </c>
      <c r="H21" s="226"/>
      <c r="I21" s="226">
        <v>0.19</v>
      </c>
      <c r="J21" s="225">
        <v>0.00385</v>
      </c>
      <c r="K21" s="232"/>
      <c r="L21" s="232">
        <v>0.00385</v>
      </c>
      <c r="M21" s="225">
        <v>0.186</v>
      </c>
      <c r="N21" s="232"/>
      <c r="O21" s="232">
        <v>0.186</v>
      </c>
      <c r="P21" s="228">
        <v>0.585</v>
      </c>
      <c r="Q21" s="226"/>
      <c r="R21" s="226">
        <v>0.585</v>
      </c>
      <c r="S21" s="221" t="s">
        <v>3517</v>
      </c>
      <c r="T21" s="277"/>
      <c r="U21" s="277"/>
      <c r="V21" s="277"/>
      <c r="W21" s="277"/>
      <c r="X21" s="277"/>
      <c r="Y21" s="277"/>
      <c r="Z21" s="277"/>
    </row>
    <row r="22" ht="12.75" customHeight="1">
      <c r="A22" s="183" t="s">
        <v>1338</v>
      </c>
      <c r="B22" s="184" t="s">
        <v>1339</v>
      </c>
      <c r="C22" s="186" t="s">
        <v>3518</v>
      </c>
      <c r="D22" s="222">
        <v>248.0</v>
      </c>
      <c r="E22" s="223"/>
      <c r="F22" s="223">
        <v>248.0</v>
      </c>
      <c r="G22" s="225">
        <v>0.291</v>
      </c>
      <c r="H22" s="226"/>
      <c r="I22" s="226">
        <v>0.291</v>
      </c>
      <c r="J22" s="225">
        <v>0.00482</v>
      </c>
      <c r="K22" s="232"/>
      <c r="L22" s="232">
        <v>0.00482</v>
      </c>
      <c r="M22" s="225">
        <v>0.286</v>
      </c>
      <c r="N22" s="232"/>
      <c r="O22" s="232">
        <v>0.286</v>
      </c>
      <c r="P22" s="228">
        <v>0.0881</v>
      </c>
      <c r="Q22" s="226"/>
      <c r="R22" s="226">
        <v>0.0881</v>
      </c>
      <c r="S22" s="221" t="s">
        <v>3519</v>
      </c>
      <c r="T22" s="277"/>
      <c r="U22" s="277"/>
      <c r="V22" s="277"/>
      <c r="W22" s="277"/>
      <c r="X22" s="277"/>
      <c r="Y22" s="277"/>
      <c r="Z22" s="277"/>
    </row>
    <row r="23" ht="12.75" customHeight="1">
      <c r="A23" s="183" t="s">
        <v>1344</v>
      </c>
      <c r="B23" s="184" t="s">
        <v>1345</v>
      </c>
      <c r="C23" s="186" t="s">
        <v>3520</v>
      </c>
      <c r="D23" s="222">
        <v>378.0</v>
      </c>
      <c r="E23" s="223"/>
      <c r="F23" s="223">
        <v>378.0</v>
      </c>
      <c r="G23" s="225">
        <v>0.274</v>
      </c>
      <c r="H23" s="226"/>
      <c r="I23" s="226">
        <v>0.274</v>
      </c>
      <c r="J23" s="225">
        <v>0.00437</v>
      </c>
      <c r="K23" s="232"/>
      <c r="L23" s="232">
        <v>0.00437</v>
      </c>
      <c r="M23" s="225">
        <v>0.27</v>
      </c>
      <c r="N23" s="232"/>
      <c r="O23" s="232">
        <v>0.27</v>
      </c>
      <c r="P23" s="228">
        <v>0.462</v>
      </c>
      <c r="Q23" s="226"/>
      <c r="R23" s="226">
        <v>0.462</v>
      </c>
      <c r="S23" s="221" t="s">
        <v>3521</v>
      </c>
      <c r="T23" s="277"/>
      <c r="U23" s="277"/>
      <c r="V23" s="277"/>
      <c r="W23" s="277"/>
      <c r="X23" s="277"/>
      <c r="Y23" s="277"/>
      <c r="Z23" s="277"/>
    </row>
    <row r="24" ht="12.75" customHeight="1">
      <c r="A24" s="183" t="s">
        <v>1374</v>
      </c>
      <c r="B24" s="184" t="s">
        <v>1375</v>
      </c>
      <c r="C24" s="186" t="s">
        <v>3522</v>
      </c>
      <c r="D24" s="222">
        <v>159.0</v>
      </c>
      <c r="E24" s="223"/>
      <c r="F24" s="223">
        <v>159.0</v>
      </c>
      <c r="G24" s="225">
        <v>0.186</v>
      </c>
      <c r="H24" s="226"/>
      <c r="I24" s="226">
        <v>0.186</v>
      </c>
      <c r="J24" s="225">
        <v>0.00308</v>
      </c>
      <c r="K24" s="232"/>
      <c r="L24" s="232">
        <v>0.00308</v>
      </c>
      <c r="M24" s="225">
        <v>0.183</v>
      </c>
      <c r="N24" s="232"/>
      <c r="O24" s="232">
        <v>0.183</v>
      </c>
      <c r="P24" s="228">
        <v>0.0564</v>
      </c>
      <c r="Q24" s="226"/>
      <c r="R24" s="226">
        <v>0.0564</v>
      </c>
      <c r="S24" s="221" t="s">
        <v>3523</v>
      </c>
      <c r="T24" s="277"/>
      <c r="U24" s="277"/>
      <c r="V24" s="277"/>
      <c r="W24" s="277"/>
      <c r="X24" s="277"/>
      <c r="Y24" s="277"/>
      <c r="Z24" s="277"/>
    </row>
    <row r="25" ht="12.75" customHeight="1">
      <c r="A25" s="183" t="s">
        <v>1380</v>
      </c>
      <c r="B25" s="184" t="s">
        <v>1381</v>
      </c>
      <c r="C25" s="186" t="s">
        <v>3524</v>
      </c>
      <c r="D25" s="222">
        <v>216.0</v>
      </c>
      <c r="E25" s="223"/>
      <c r="F25" s="223">
        <v>216.0</v>
      </c>
      <c r="G25" s="225">
        <v>0.254</v>
      </c>
      <c r="H25" s="226"/>
      <c r="I25" s="226">
        <v>0.254</v>
      </c>
      <c r="J25" s="225">
        <v>0.00421</v>
      </c>
      <c r="K25" s="232"/>
      <c r="L25" s="232">
        <v>0.00421</v>
      </c>
      <c r="M25" s="225">
        <v>0.25</v>
      </c>
      <c r="N25" s="232"/>
      <c r="O25" s="232">
        <v>0.25</v>
      </c>
      <c r="P25" s="228">
        <v>0.077</v>
      </c>
      <c r="Q25" s="226"/>
      <c r="R25" s="226">
        <v>0.077</v>
      </c>
      <c r="S25" s="221" t="s">
        <v>3525</v>
      </c>
      <c r="T25" s="277"/>
      <c r="U25" s="277"/>
      <c r="V25" s="277"/>
      <c r="W25" s="277"/>
      <c r="X25" s="277"/>
      <c r="Y25" s="277"/>
      <c r="Z25" s="277"/>
    </row>
    <row r="26" ht="12.75" customHeight="1">
      <c r="A26" s="183" t="s">
        <v>1386</v>
      </c>
      <c r="B26" s="184" t="s">
        <v>1387</v>
      </c>
      <c r="C26" s="186" t="s">
        <v>3526</v>
      </c>
      <c r="D26" s="222">
        <v>134.0</v>
      </c>
      <c r="E26" s="223"/>
      <c r="F26" s="223">
        <v>134.0</v>
      </c>
      <c r="G26" s="225">
        <v>0.158</v>
      </c>
      <c r="H26" s="226"/>
      <c r="I26" s="226">
        <v>0.158</v>
      </c>
      <c r="J26" s="225">
        <v>0.00262</v>
      </c>
      <c r="K26" s="232"/>
      <c r="L26" s="232">
        <v>0.00262</v>
      </c>
      <c r="M26" s="225">
        <v>0.155</v>
      </c>
      <c r="N26" s="232"/>
      <c r="O26" s="232">
        <v>0.155</v>
      </c>
      <c r="P26" s="228">
        <v>0.0478</v>
      </c>
      <c r="Q26" s="226"/>
      <c r="R26" s="226">
        <v>0.0478</v>
      </c>
      <c r="S26" s="221" t="s">
        <v>3527</v>
      </c>
      <c r="T26" s="277"/>
      <c r="U26" s="277"/>
      <c r="V26" s="277"/>
      <c r="W26" s="277"/>
      <c r="X26" s="277"/>
      <c r="Y26" s="277"/>
      <c r="Z26" s="277"/>
    </row>
    <row r="27" ht="12.75" customHeight="1">
      <c r="A27" s="183" t="s">
        <v>1392</v>
      </c>
      <c r="B27" s="184" t="s">
        <v>1393</v>
      </c>
      <c r="C27" s="186" t="s">
        <v>3528</v>
      </c>
      <c r="D27" s="222">
        <v>3050.0</v>
      </c>
      <c r="E27" s="223"/>
      <c r="F27" s="223">
        <v>3050.0</v>
      </c>
      <c r="G27" s="225">
        <v>2.5</v>
      </c>
      <c r="H27" s="226"/>
      <c r="I27" s="226">
        <v>2.5</v>
      </c>
      <c r="J27" s="225">
        <v>0.181</v>
      </c>
      <c r="K27" s="232"/>
      <c r="L27" s="232">
        <v>0.181</v>
      </c>
      <c r="M27" s="225">
        <v>2.32</v>
      </c>
      <c r="N27" s="232"/>
      <c r="O27" s="232">
        <v>2.32</v>
      </c>
      <c r="P27" s="228">
        <v>5.24</v>
      </c>
      <c r="Q27" s="226"/>
      <c r="R27" s="226">
        <v>5.24</v>
      </c>
      <c r="S27" s="221" t="s">
        <v>3529</v>
      </c>
      <c r="T27" s="277"/>
      <c r="U27" s="277"/>
      <c r="V27" s="277"/>
      <c r="W27" s="277"/>
      <c r="X27" s="277"/>
      <c r="Y27" s="277"/>
      <c r="Z27" s="277"/>
    </row>
    <row r="28" ht="12.75" customHeight="1">
      <c r="A28" s="183" t="s">
        <v>1398</v>
      </c>
      <c r="B28" s="184" t="s">
        <v>1399</v>
      </c>
      <c r="C28" s="186" t="s">
        <v>3530</v>
      </c>
      <c r="D28" s="222">
        <v>330.0</v>
      </c>
      <c r="E28" s="223"/>
      <c r="F28" s="223">
        <v>330.0</v>
      </c>
      <c r="G28" s="225">
        <v>1.27</v>
      </c>
      <c r="H28" s="226"/>
      <c r="I28" s="226">
        <v>1.27</v>
      </c>
      <c r="J28" s="225">
        <v>0.0112</v>
      </c>
      <c r="K28" s="232"/>
      <c r="L28" s="232">
        <v>0.0112</v>
      </c>
      <c r="M28" s="225">
        <v>1.26</v>
      </c>
      <c r="N28" s="232"/>
      <c r="O28" s="232">
        <v>1.26</v>
      </c>
      <c r="P28" s="228">
        <v>0.164</v>
      </c>
      <c r="Q28" s="226"/>
      <c r="R28" s="226">
        <v>0.164</v>
      </c>
      <c r="S28" s="221" t="s">
        <v>3531</v>
      </c>
      <c r="T28" s="277"/>
      <c r="U28" s="277"/>
      <c r="V28" s="277"/>
      <c r="W28" s="277"/>
      <c r="X28" s="277"/>
      <c r="Y28" s="277"/>
      <c r="Z28" s="277"/>
    </row>
    <row r="29" ht="12.75" customHeight="1">
      <c r="A29" s="183" t="s">
        <v>1404</v>
      </c>
      <c r="B29" s="184" t="s">
        <v>1405</v>
      </c>
      <c r="C29" s="186" t="s">
        <v>3532</v>
      </c>
      <c r="D29" s="222">
        <v>2790.0</v>
      </c>
      <c r="E29" s="223"/>
      <c r="F29" s="223">
        <v>2790.0</v>
      </c>
      <c r="G29" s="225">
        <v>0.696</v>
      </c>
      <c r="H29" s="226"/>
      <c r="I29" s="226">
        <v>0.696</v>
      </c>
      <c r="J29" s="225">
        <v>0.0176</v>
      </c>
      <c r="K29" s="232"/>
      <c r="L29" s="232">
        <v>0.0176</v>
      </c>
      <c r="M29" s="225">
        <v>0.679</v>
      </c>
      <c r="N29" s="232"/>
      <c r="O29" s="232">
        <v>0.679</v>
      </c>
      <c r="P29" s="228">
        <v>5.1</v>
      </c>
      <c r="Q29" s="226"/>
      <c r="R29" s="226">
        <v>5.1</v>
      </c>
      <c r="S29" s="221" t="s">
        <v>3533</v>
      </c>
      <c r="T29" s="277"/>
      <c r="U29" s="277"/>
      <c r="V29" s="277"/>
      <c r="W29" s="277"/>
      <c r="X29" s="277"/>
      <c r="Y29" s="277"/>
      <c r="Z29" s="277"/>
    </row>
    <row r="30" ht="12.75" customHeight="1">
      <c r="A30" s="183" t="s">
        <v>1410</v>
      </c>
      <c r="B30" s="184" t="s">
        <v>1411</v>
      </c>
      <c r="C30" s="186" t="s">
        <v>3534</v>
      </c>
      <c r="D30" s="222">
        <v>2270.0</v>
      </c>
      <c r="E30" s="223"/>
      <c r="F30" s="223">
        <v>2270.0</v>
      </c>
      <c r="G30" s="225">
        <v>0.408</v>
      </c>
      <c r="H30" s="226"/>
      <c r="I30" s="226">
        <v>0.408</v>
      </c>
      <c r="J30" s="225">
        <v>0.0106</v>
      </c>
      <c r="K30" s="232"/>
      <c r="L30" s="232">
        <v>0.0106</v>
      </c>
      <c r="M30" s="225">
        <v>0.397</v>
      </c>
      <c r="N30" s="232"/>
      <c r="O30" s="232">
        <v>0.397</v>
      </c>
      <c r="P30" s="228">
        <v>4.41</v>
      </c>
      <c r="Q30" s="226"/>
      <c r="R30" s="226">
        <v>4.41</v>
      </c>
      <c r="S30" s="221" t="s">
        <v>3535</v>
      </c>
      <c r="T30" s="277"/>
      <c r="U30" s="277"/>
      <c r="V30" s="277"/>
      <c r="W30" s="277"/>
      <c r="X30" s="277"/>
      <c r="Y30" s="277"/>
      <c r="Z30" s="277"/>
    </row>
    <row r="31" ht="12.75" customHeight="1">
      <c r="A31" s="183" t="s">
        <v>1416</v>
      </c>
      <c r="B31" s="184" t="s">
        <v>1417</v>
      </c>
      <c r="C31" s="186" t="s">
        <v>3536</v>
      </c>
      <c r="D31" s="222">
        <v>1880.0</v>
      </c>
      <c r="E31" s="223"/>
      <c r="F31" s="223">
        <v>1880.0</v>
      </c>
      <c r="G31" s="225">
        <v>0.282</v>
      </c>
      <c r="H31" s="226"/>
      <c r="I31" s="226">
        <v>0.282</v>
      </c>
      <c r="J31" s="225">
        <v>0.00806</v>
      </c>
      <c r="K31" s="232"/>
      <c r="L31" s="232">
        <v>0.00806</v>
      </c>
      <c r="M31" s="225">
        <v>0.274</v>
      </c>
      <c r="N31" s="232"/>
      <c r="O31" s="232">
        <v>0.274</v>
      </c>
      <c r="P31" s="228">
        <v>3.68</v>
      </c>
      <c r="Q31" s="226"/>
      <c r="R31" s="226">
        <v>3.68</v>
      </c>
      <c r="S31" s="221" t="s">
        <v>3537</v>
      </c>
      <c r="T31" s="277"/>
      <c r="U31" s="277"/>
      <c r="V31" s="277"/>
      <c r="W31" s="277"/>
      <c r="X31" s="277"/>
      <c r="Y31" s="277"/>
      <c r="Z31" s="277"/>
    </row>
    <row r="32" ht="12.75" customHeight="1">
      <c r="A32" s="183" t="s">
        <v>1422</v>
      </c>
      <c r="B32" s="184" t="s">
        <v>1423</v>
      </c>
      <c r="C32" s="186" t="s">
        <v>3538</v>
      </c>
      <c r="D32" s="222">
        <v>710.0</v>
      </c>
      <c r="E32" s="223"/>
      <c r="F32" s="223">
        <v>710.0</v>
      </c>
      <c r="G32" s="225">
        <v>0.247</v>
      </c>
      <c r="H32" s="226"/>
      <c r="I32" s="226">
        <v>0.247</v>
      </c>
      <c r="J32" s="225">
        <v>0.00557</v>
      </c>
      <c r="K32" s="232"/>
      <c r="L32" s="232">
        <v>0.00557</v>
      </c>
      <c r="M32" s="225">
        <v>0.241</v>
      </c>
      <c r="N32" s="232"/>
      <c r="O32" s="232">
        <v>0.241</v>
      </c>
      <c r="P32" s="228">
        <v>1.16</v>
      </c>
      <c r="Q32" s="226"/>
      <c r="R32" s="226">
        <v>1.16</v>
      </c>
      <c r="S32" s="221" t="s">
        <v>3539</v>
      </c>
      <c r="T32" s="277"/>
      <c r="U32" s="277"/>
      <c r="V32" s="277"/>
      <c r="W32" s="277"/>
      <c r="X32" s="277"/>
      <c r="Y32" s="277"/>
      <c r="Z32" s="277"/>
    </row>
    <row r="33" ht="12.75" customHeight="1">
      <c r="A33" s="183" t="s">
        <v>1428</v>
      </c>
      <c r="B33" s="184" t="s">
        <v>1429</v>
      </c>
      <c r="C33" s="186" t="s">
        <v>3540</v>
      </c>
      <c r="D33" s="222">
        <v>339.0</v>
      </c>
      <c r="E33" s="223"/>
      <c r="F33" s="223">
        <v>339.0</v>
      </c>
      <c r="G33" s="225">
        <v>0.815</v>
      </c>
      <c r="H33" s="226"/>
      <c r="I33" s="226">
        <v>0.815</v>
      </c>
      <c r="J33" s="225">
        <v>0.00712</v>
      </c>
      <c r="K33" s="232"/>
      <c r="L33" s="232">
        <v>0.00712</v>
      </c>
      <c r="M33" s="225">
        <v>0.808</v>
      </c>
      <c r="N33" s="232"/>
      <c r="O33" s="232">
        <v>0.808</v>
      </c>
      <c r="P33" s="228">
        <v>0.135</v>
      </c>
      <c r="Q33" s="226"/>
      <c r="R33" s="226">
        <v>0.135</v>
      </c>
      <c r="S33" s="221" t="s">
        <v>3541</v>
      </c>
      <c r="T33" s="277"/>
      <c r="U33" s="277"/>
      <c r="V33" s="277"/>
      <c r="W33" s="277"/>
      <c r="X33" s="277"/>
      <c r="Y33" s="277"/>
      <c r="Z33" s="277"/>
    </row>
    <row r="34" ht="12.75" customHeight="1">
      <c r="A34" s="183" t="s">
        <v>1487</v>
      </c>
      <c r="B34" s="184" t="s">
        <v>1488</v>
      </c>
      <c r="C34" s="186" t="s">
        <v>559</v>
      </c>
      <c r="D34" s="222">
        <v>1570.0</v>
      </c>
      <c r="E34" s="223"/>
      <c r="F34" s="223">
        <v>1570.0</v>
      </c>
      <c r="G34" s="225">
        <v>0.0875</v>
      </c>
      <c r="H34" s="226"/>
      <c r="I34" s="226">
        <v>0.0875</v>
      </c>
      <c r="J34" s="225">
        <v>0.00187</v>
      </c>
      <c r="K34" s="232"/>
      <c r="L34" s="232">
        <v>0.00187</v>
      </c>
      <c r="M34" s="225">
        <v>0.0856</v>
      </c>
      <c r="N34" s="232"/>
      <c r="O34" s="232">
        <v>0.0856</v>
      </c>
      <c r="P34" s="228">
        <v>2.4</v>
      </c>
      <c r="Q34" s="226"/>
      <c r="R34" s="226">
        <v>2.4</v>
      </c>
      <c r="S34" s="221" t="s">
        <v>3542</v>
      </c>
      <c r="T34" s="277"/>
      <c r="U34" s="277"/>
      <c r="V34" s="277"/>
      <c r="W34" s="277"/>
      <c r="X34" s="277"/>
      <c r="Y34" s="277"/>
      <c r="Z34" s="277"/>
    </row>
    <row r="35" ht="12.75" customHeight="1">
      <c r="A35" s="183" t="s">
        <v>1437</v>
      </c>
      <c r="B35" s="184" t="s">
        <v>1438</v>
      </c>
      <c r="C35" s="186" t="s">
        <v>3543</v>
      </c>
      <c r="D35" s="222">
        <v>4680.0</v>
      </c>
      <c r="E35" s="223"/>
      <c r="F35" s="223">
        <v>4680.0</v>
      </c>
      <c r="G35" s="225">
        <v>8.78</v>
      </c>
      <c r="H35" s="226"/>
      <c r="I35" s="226">
        <v>8.78</v>
      </c>
      <c r="J35" s="225">
        <v>0.116</v>
      </c>
      <c r="K35" s="232"/>
      <c r="L35" s="232">
        <v>0.116</v>
      </c>
      <c r="M35" s="225">
        <v>8.66</v>
      </c>
      <c r="N35" s="232"/>
      <c r="O35" s="232">
        <v>8.66</v>
      </c>
      <c r="P35" s="228">
        <v>3.27</v>
      </c>
      <c r="Q35" s="226"/>
      <c r="R35" s="226">
        <v>3.27</v>
      </c>
      <c r="S35" s="221" t="s">
        <v>3544</v>
      </c>
      <c r="T35" s="277"/>
      <c r="U35" s="277"/>
      <c r="V35" s="277"/>
      <c r="W35" s="277"/>
      <c r="X35" s="277"/>
      <c r="Y35" s="277"/>
      <c r="Z35" s="277"/>
    </row>
    <row r="36" ht="12.75" customHeight="1">
      <c r="A36" s="183" t="s">
        <v>1443</v>
      </c>
      <c r="B36" s="184" t="s">
        <v>1444</v>
      </c>
      <c r="C36" s="186" t="s">
        <v>3545</v>
      </c>
      <c r="D36" s="222">
        <v>5500.0</v>
      </c>
      <c r="E36" s="223"/>
      <c r="F36" s="223">
        <v>5500.0</v>
      </c>
      <c r="G36" s="225">
        <v>8.5</v>
      </c>
      <c r="H36" s="226"/>
      <c r="I36" s="226">
        <v>8.5</v>
      </c>
      <c r="J36" s="225">
        <v>0.11</v>
      </c>
      <c r="K36" s="232"/>
      <c r="L36" s="232">
        <v>0.11</v>
      </c>
      <c r="M36" s="225">
        <v>8.39</v>
      </c>
      <c r="N36" s="232"/>
      <c r="O36" s="232">
        <v>8.39</v>
      </c>
      <c r="P36" s="228">
        <v>5.62</v>
      </c>
      <c r="Q36" s="226"/>
      <c r="R36" s="226">
        <v>5.62</v>
      </c>
      <c r="S36" s="221" t="s">
        <v>3546</v>
      </c>
      <c r="T36" s="277"/>
      <c r="U36" s="277"/>
      <c r="V36" s="277"/>
      <c r="W36" s="277"/>
      <c r="X36" s="277"/>
      <c r="Y36" s="277"/>
      <c r="Z36" s="277"/>
    </row>
    <row r="37" ht="12.75" customHeight="1">
      <c r="A37" s="183" t="s">
        <v>3125</v>
      </c>
      <c r="B37" s="184" t="s">
        <v>3547</v>
      </c>
      <c r="C37" s="186" t="s">
        <v>559</v>
      </c>
      <c r="D37" s="222">
        <v>34.5</v>
      </c>
      <c r="E37" s="223"/>
      <c r="F37" s="223">
        <v>34.5</v>
      </c>
      <c r="G37" s="225">
        <v>0.0824</v>
      </c>
      <c r="H37" s="226"/>
      <c r="I37" s="226">
        <v>0.0824</v>
      </c>
      <c r="J37" s="225">
        <v>7.32E-4</v>
      </c>
      <c r="K37" s="232"/>
      <c r="L37" s="232">
        <v>7.32E-4</v>
      </c>
      <c r="M37" s="225">
        <v>0.0817</v>
      </c>
      <c r="N37" s="232"/>
      <c r="O37" s="232">
        <v>0.0817</v>
      </c>
      <c r="P37" s="228">
        <v>0.0134</v>
      </c>
      <c r="Q37" s="226"/>
      <c r="R37" s="226">
        <v>0.0134</v>
      </c>
      <c r="S37" s="221" t="s">
        <v>3548</v>
      </c>
      <c r="T37" s="277"/>
      <c r="U37" s="277"/>
      <c r="V37" s="277"/>
      <c r="W37" s="277"/>
      <c r="X37" s="277"/>
      <c r="Y37" s="277"/>
      <c r="Z37" s="277"/>
    </row>
    <row r="38" ht="12.75" customHeight="1">
      <c r="A38" s="183" t="s">
        <v>1084</v>
      </c>
      <c r="B38" s="184" t="s">
        <v>1085</v>
      </c>
      <c r="C38" s="186" t="s">
        <v>559</v>
      </c>
      <c r="D38" s="222">
        <v>1180.0</v>
      </c>
      <c r="E38" s="223"/>
      <c r="F38" s="223">
        <v>1180.0</v>
      </c>
      <c r="G38" s="225">
        <v>0.225</v>
      </c>
      <c r="H38" s="226"/>
      <c r="I38" s="226">
        <v>0.225</v>
      </c>
      <c r="J38" s="225">
        <v>0.0078</v>
      </c>
      <c r="K38" s="232"/>
      <c r="L38" s="232">
        <v>0.0078</v>
      </c>
      <c r="M38" s="225">
        <v>0.217</v>
      </c>
      <c r="N38" s="232"/>
      <c r="O38" s="232">
        <v>0.217</v>
      </c>
      <c r="P38" s="228">
        <v>2.37</v>
      </c>
      <c r="Q38" s="226"/>
      <c r="R38" s="226">
        <v>2.37</v>
      </c>
      <c r="S38" s="221" t="s">
        <v>3549</v>
      </c>
      <c r="T38" s="277"/>
      <c r="U38" s="277"/>
      <c r="V38" s="277"/>
      <c r="W38" s="277"/>
      <c r="X38" s="277"/>
      <c r="Y38" s="277"/>
      <c r="Z38" s="277"/>
    </row>
    <row r="39" ht="12.75" customHeight="1">
      <c r="A39" s="183" t="s">
        <v>1213</v>
      </c>
      <c r="B39" s="184" t="s">
        <v>1214</v>
      </c>
      <c r="C39" s="186" t="s">
        <v>559</v>
      </c>
      <c r="D39" s="222">
        <v>1570.0</v>
      </c>
      <c r="E39" s="223"/>
      <c r="F39" s="223">
        <v>1570.0</v>
      </c>
      <c r="G39" s="225">
        <v>0.136</v>
      </c>
      <c r="H39" s="226"/>
      <c r="I39" s="226">
        <v>0.136</v>
      </c>
      <c r="J39" s="225">
        <v>0.00236</v>
      </c>
      <c r="K39" s="232"/>
      <c r="L39" s="232">
        <v>0.00236</v>
      </c>
      <c r="M39" s="225">
        <v>0.133</v>
      </c>
      <c r="N39" s="232"/>
      <c r="O39" s="232">
        <v>0.133</v>
      </c>
      <c r="P39" s="228">
        <v>3.19</v>
      </c>
      <c r="Q39" s="226"/>
      <c r="R39" s="226">
        <v>3.19</v>
      </c>
      <c r="S39" s="221" t="s">
        <v>3550</v>
      </c>
      <c r="T39" s="277"/>
      <c r="U39" s="277"/>
      <c r="V39" s="277"/>
      <c r="W39" s="277"/>
      <c r="X39" s="277"/>
      <c r="Y39" s="277"/>
      <c r="Z39" s="277"/>
    </row>
    <row r="40" ht="12.75" customHeight="1">
      <c r="A40" s="183" t="s">
        <v>799</v>
      </c>
      <c r="B40" s="184" t="s">
        <v>800</v>
      </c>
      <c r="C40" s="186" t="s">
        <v>3551</v>
      </c>
      <c r="D40" s="222">
        <v>15900.0</v>
      </c>
      <c r="E40" s="223"/>
      <c r="F40" s="223">
        <v>15900.0</v>
      </c>
      <c r="G40" s="225">
        <v>8.22</v>
      </c>
      <c r="H40" s="226"/>
      <c r="I40" s="226">
        <v>8.22</v>
      </c>
      <c r="J40" s="225">
        <v>0.136</v>
      </c>
      <c r="K40" s="232"/>
      <c r="L40" s="232">
        <v>0.136</v>
      </c>
      <c r="M40" s="225">
        <v>8.09</v>
      </c>
      <c r="N40" s="232"/>
      <c r="O40" s="232">
        <v>8.09</v>
      </c>
      <c r="P40" s="228">
        <v>19.6</v>
      </c>
      <c r="Q40" s="226"/>
      <c r="R40" s="226">
        <v>19.6</v>
      </c>
      <c r="S40" s="221" t="s">
        <v>3552</v>
      </c>
      <c r="T40" s="277"/>
      <c r="U40" s="277"/>
      <c r="V40" s="277"/>
      <c r="W40" s="277"/>
      <c r="X40" s="277"/>
      <c r="Y40" s="277"/>
      <c r="Z40" s="277"/>
    </row>
    <row r="41" ht="12.75" customHeight="1">
      <c r="A41" s="183" t="s">
        <v>805</v>
      </c>
      <c r="B41" s="184" t="s">
        <v>806</v>
      </c>
      <c r="C41" s="186" t="s">
        <v>3553</v>
      </c>
      <c r="D41" s="222">
        <v>18400.0</v>
      </c>
      <c r="E41" s="223"/>
      <c r="F41" s="223">
        <v>18400.0</v>
      </c>
      <c r="G41" s="225">
        <v>7.89</v>
      </c>
      <c r="H41" s="226"/>
      <c r="I41" s="226">
        <v>7.89</v>
      </c>
      <c r="J41" s="225">
        <v>0.138</v>
      </c>
      <c r="K41" s="232"/>
      <c r="L41" s="232">
        <v>0.138</v>
      </c>
      <c r="M41" s="225">
        <v>7.75</v>
      </c>
      <c r="N41" s="232"/>
      <c r="O41" s="232">
        <v>7.75</v>
      </c>
      <c r="P41" s="228">
        <v>25.7</v>
      </c>
      <c r="Q41" s="226"/>
      <c r="R41" s="226">
        <v>25.7</v>
      </c>
      <c r="S41" s="221" t="s">
        <v>3554</v>
      </c>
      <c r="T41" s="277"/>
      <c r="U41" s="277"/>
      <c r="V41" s="277"/>
      <c r="W41" s="277"/>
      <c r="X41" s="277"/>
      <c r="Y41" s="277"/>
      <c r="Z41" s="277"/>
    </row>
    <row r="42" ht="12.75" customHeight="1">
      <c r="A42" s="183" t="s">
        <v>811</v>
      </c>
      <c r="B42" s="184" t="s">
        <v>812</v>
      </c>
      <c r="C42" s="186" t="s">
        <v>3555</v>
      </c>
      <c r="D42" s="195">
        <v>33200.0</v>
      </c>
      <c r="E42" s="196"/>
      <c r="F42" s="196">
        <v>33200.0</v>
      </c>
      <c r="G42" s="219">
        <v>31.3</v>
      </c>
      <c r="H42" s="220"/>
      <c r="I42" s="220">
        <v>31.3</v>
      </c>
      <c r="J42" s="219">
        <v>2.42</v>
      </c>
      <c r="K42" s="191"/>
      <c r="L42" s="191">
        <v>2.42</v>
      </c>
      <c r="M42" s="219">
        <v>28.9</v>
      </c>
      <c r="N42" s="191"/>
      <c r="O42" s="191">
        <v>28.9</v>
      </c>
      <c r="P42" s="189">
        <v>57.2</v>
      </c>
      <c r="Q42" s="226"/>
      <c r="R42" s="220">
        <v>57.2</v>
      </c>
      <c r="S42" s="221" t="s">
        <v>3556</v>
      </c>
      <c r="T42" s="277"/>
      <c r="U42" s="277"/>
      <c r="V42" s="277"/>
      <c r="W42" s="277"/>
      <c r="X42" s="277"/>
      <c r="Y42" s="277"/>
      <c r="Z42" s="277"/>
    </row>
    <row r="43" ht="12.75" customHeight="1">
      <c r="A43" s="183" t="s">
        <v>637</v>
      </c>
      <c r="B43" s="184" t="s">
        <v>638</v>
      </c>
      <c r="C43" s="186" t="s">
        <v>559</v>
      </c>
      <c r="D43" s="222">
        <v>18.6</v>
      </c>
      <c r="E43" s="223"/>
      <c r="F43" s="223">
        <v>18.6</v>
      </c>
      <c r="G43" s="225">
        <v>0.0684</v>
      </c>
      <c r="H43" s="226"/>
      <c r="I43" s="226">
        <v>0.0684</v>
      </c>
      <c r="J43" s="225">
        <v>6.68E-4</v>
      </c>
      <c r="K43" s="232"/>
      <c r="L43" s="232">
        <v>6.68E-4</v>
      </c>
      <c r="M43" s="225">
        <v>0.0678</v>
      </c>
      <c r="N43" s="232"/>
      <c r="O43" s="232">
        <v>0.0678</v>
      </c>
      <c r="P43" s="228">
        <v>0.00999</v>
      </c>
      <c r="Q43" s="226"/>
      <c r="R43" s="226">
        <v>0.00999</v>
      </c>
      <c r="S43" s="221" t="s">
        <v>3557</v>
      </c>
      <c r="T43" s="277"/>
      <c r="U43" s="277"/>
      <c r="V43" s="277"/>
      <c r="W43" s="277"/>
      <c r="X43" s="277"/>
      <c r="Y43" s="277"/>
      <c r="Z43" s="277"/>
    </row>
    <row r="44" ht="12.75" customHeight="1">
      <c r="A44" s="183" t="s">
        <v>992</v>
      </c>
      <c r="B44" s="184" t="s">
        <v>993</v>
      </c>
      <c r="C44" s="186" t="s">
        <v>559</v>
      </c>
      <c r="D44" s="222">
        <v>52.8</v>
      </c>
      <c r="E44" s="223"/>
      <c r="F44" s="223">
        <v>52.8</v>
      </c>
      <c r="G44" s="225">
        <v>0.0777</v>
      </c>
      <c r="H44" s="226"/>
      <c r="I44" s="226">
        <v>0.0777</v>
      </c>
      <c r="J44" s="225">
        <v>0.00115</v>
      </c>
      <c r="K44" s="232"/>
      <c r="L44" s="232">
        <v>0.00115</v>
      </c>
      <c r="M44" s="225">
        <v>0.0766</v>
      </c>
      <c r="N44" s="232"/>
      <c r="O44" s="232">
        <v>0.0766</v>
      </c>
      <c r="P44" s="228">
        <v>0.0173</v>
      </c>
      <c r="Q44" s="226"/>
      <c r="R44" s="226">
        <v>0.0173</v>
      </c>
      <c r="S44" s="221" t="s">
        <v>3558</v>
      </c>
      <c r="T44" s="277"/>
      <c r="U44" s="277"/>
      <c r="V44" s="277"/>
      <c r="W44" s="277"/>
      <c r="X44" s="277"/>
      <c r="Y44" s="277"/>
      <c r="Z44" s="277"/>
    </row>
    <row r="45" ht="12.75" customHeight="1">
      <c r="A45" s="183" t="s">
        <v>1455</v>
      </c>
      <c r="B45" s="184" t="s">
        <v>1456</v>
      </c>
      <c r="C45" s="186" t="s">
        <v>3559</v>
      </c>
      <c r="D45" s="222">
        <v>10600.0</v>
      </c>
      <c r="E45" s="223"/>
      <c r="F45" s="223">
        <v>10600.0</v>
      </c>
      <c r="G45" s="225">
        <v>20.8</v>
      </c>
      <c r="H45" s="226"/>
      <c r="I45" s="226">
        <v>20.8</v>
      </c>
      <c r="J45" s="225">
        <v>0.3</v>
      </c>
      <c r="K45" s="232"/>
      <c r="L45" s="232">
        <v>0.3</v>
      </c>
      <c r="M45" s="225">
        <v>20.5</v>
      </c>
      <c r="N45" s="232"/>
      <c r="O45" s="232">
        <v>20.5</v>
      </c>
      <c r="P45" s="228">
        <v>11.6</v>
      </c>
      <c r="Q45" s="226"/>
      <c r="R45" s="226">
        <v>11.6</v>
      </c>
      <c r="S45" s="221" t="s">
        <v>3560</v>
      </c>
      <c r="T45" s="277"/>
      <c r="U45" s="277"/>
      <c r="V45" s="277"/>
      <c r="W45" s="277"/>
      <c r="X45" s="277"/>
      <c r="Y45" s="277"/>
      <c r="Z45" s="277"/>
    </row>
    <row r="46" ht="12.75" customHeight="1">
      <c r="A46" s="183" t="s">
        <v>1449</v>
      </c>
      <c r="B46" s="184" t="s">
        <v>1450</v>
      </c>
      <c r="C46" s="186" t="s">
        <v>3561</v>
      </c>
      <c r="D46" s="222">
        <v>5370.0</v>
      </c>
      <c r="E46" s="223"/>
      <c r="F46" s="223">
        <v>5370.0</v>
      </c>
      <c r="G46" s="225">
        <v>4.18</v>
      </c>
      <c r="H46" s="226"/>
      <c r="I46" s="226">
        <v>4.18</v>
      </c>
      <c r="J46" s="225">
        <v>0.0827</v>
      </c>
      <c r="K46" s="232"/>
      <c r="L46" s="232">
        <v>0.0827</v>
      </c>
      <c r="M46" s="225">
        <v>4.1</v>
      </c>
      <c r="N46" s="232"/>
      <c r="O46" s="232">
        <v>4.1</v>
      </c>
      <c r="P46" s="228">
        <v>7.73</v>
      </c>
      <c r="Q46" s="226"/>
      <c r="R46" s="226">
        <v>7.73</v>
      </c>
      <c r="S46" s="221" t="s">
        <v>3562</v>
      </c>
      <c r="T46" s="277"/>
      <c r="U46" s="277"/>
      <c r="V46" s="277"/>
      <c r="W46" s="277"/>
      <c r="X46" s="277"/>
      <c r="Y46" s="277"/>
      <c r="Z46" s="277"/>
    </row>
    <row r="47" ht="12.75" customHeight="1">
      <c r="A47" s="183" t="s">
        <v>1173</v>
      </c>
      <c r="B47" s="184" t="s">
        <v>1174</v>
      </c>
      <c r="C47" s="186" t="s">
        <v>559</v>
      </c>
      <c r="D47" s="222">
        <v>29.8</v>
      </c>
      <c r="E47" s="223"/>
      <c r="F47" s="223">
        <v>29.8</v>
      </c>
      <c r="G47" s="225">
        <v>0.0684</v>
      </c>
      <c r="H47" s="226"/>
      <c r="I47" s="226">
        <v>0.0684</v>
      </c>
      <c r="J47" s="225">
        <v>6.68E-4</v>
      </c>
      <c r="K47" s="232"/>
      <c r="L47" s="232">
        <v>6.68E-4</v>
      </c>
      <c r="M47" s="225">
        <v>0.0678</v>
      </c>
      <c r="N47" s="232"/>
      <c r="O47" s="232">
        <v>0.0678</v>
      </c>
      <c r="P47" s="228">
        <v>0.00999</v>
      </c>
      <c r="Q47" s="226"/>
      <c r="R47" s="226">
        <v>0.00999</v>
      </c>
      <c r="S47" s="221" t="s">
        <v>3563</v>
      </c>
      <c r="T47" s="277"/>
      <c r="U47" s="277"/>
      <c r="V47" s="277"/>
      <c r="W47" s="277"/>
      <c r="X47" s="277"/>
      <c r="Y47" s="277"/>
      <c r="Z47" s="277"/>
    </row>
    <row r="48" ht="12.75" customHeight="1">
      <c r="A48" s="183" t="s">
        <v>1107</v>
      </c>
      <c r="B48" s="184" t="s">
        <v>1108</v>
      </c>
      <c r="C48" s="186" t="s">
        <v>559</v>
      </c>
      <c r="D48" s="222">
        <v>1360.0</v>
      </c>
      <c r="E48" s="223"/>
      <c r="F48" s="223">
        <v>1360.0</v>
      </c>
      <c r="G48" s="225">
        <v>0.135</v>
      </c>
      <c r="H48" s="226"/>
      <c r="I48" s="226">
        <v>0.135</v>
      </c>
      <c r="J48" s="225">
        <v>0.00226</v>
      </c>
      <c r="K48" s="232"/>
      <c r="L48" s="232">
        <v>0.00226</v>
      </c>
      <c r="M48" s="225">
        <v>0.133</v>
      </c>
      <c r="N48" s="232"/>
      <c r="O48" s="232">
        <v>0.133</v>
      </c>
      <c r="P48" s="228">
        <v>2.58</v>
      </c>
      <c r="Q48" s="226"/>
      <c r="R48" s="226">
        <v>2.58</v>
      </c>
      <c r="S48" s="221" t="s">
        <v>3564</v>
      </c>
      <c r="T48" s="277"/>
      <c r="U48" s="277"/>
      <c r="V48" s="277"/>
      <c r="W48" s="277"/>
      <c r="X48" s="277"/>
      <c r="Y48" s="277"/>
      <c r="Z48" s="277"/>
    </row>
    <row r="49" ht="12.75" customHeight="1">
      <c r="A49" s="183" t="s">
        <v>1148</v>
      </c>
      <c r="B49" s="184" t="s">
        <v>1149</v>
      </c>
      <c r="C49" s="186" t="s">
        <v>559</v>
      </c>
      <c r="D49" s="222">
        <v>1480.0</v>
      </c>
      <c r="E49" s="223"/>
      <c r="F49" s="223">
        <v>1480.0</v>
      </c>
      <c r="G49" s="225">
        <v>0.134</v>
      </c>
      <c r="H49" s="226"/>
      <c r="I49" s="226">
        <v>0.134</v>
      </c>
      <c r="J49" s="225">
        <v>0.00217</v>
      </c>
      <c r="K49" s="232"/>
      <c r="L49" s="232">
        <v>0.00217</v>
      </c>
      <c r="M49" s="225">
        <v>0.132</v>
      </c>
      <c r="N49" s="232"/>
      <c r="O49" s="232">
        <v>0.132</v>
      </c>
      <c r="P49" s="228">
        <v>3.03</v>
      </c>
      <c r="Q49" s="226"/>
      <c r="R49" s="226">
        <v>3.03</v>
      </c>
      <c r="S49" s="221" t="s">
        <v>3565</v>
      </c>
      <c r="T49" s="277"/>
      <c r="U49" s="277"/>
      <c r="V49" s="277"/>
      <c r="W49" s="277"/>
      <c r="X49" s="277"/>
      <c r="Y49" s="277"/>
      <c r="Z49" s="277"/>
    </row>
    <row r="50" ht="12.75" customHeight="1">
      <c r="A50" s="183" t="s">
        <v>1223</v>
      </c>
      <c r="B50" s="184" t="s">
        <v>1224</v>
      </c>
      <c r="C50" s="186" t="s">
        <v>559</v>
      </c>
      <c r="D50" s="222">
        <v>1510.0</v>
      </c>
      <c r="E50" s="223"/>
      <c r="F50" s="223">
        <v>1510.0</v>
      </c>
      <c r="G50" s="225">
        <v>0.652</v>
      </c>
      <c r="H50" s="226"/>
      <c r="I50" s="226">
        <v>0.652</v>
      </c>
      <c r="J50" s="225">
        <v>0.0096</v>
      </c>
      <c r="K50" s="232"/>
      <c r="L50" s="232">
        <v>0.0096</v>
      </c>
      <c r="M50" s="225">
        <v>0.642</v>
      </c>
      <c r="N50" s="232"/>
      <c r="O50" s="232">
        <v>0.642</v>
      </c>
      <c r="P50" s="228">
        <v>2.72</v>
      </c>
      <c r="Q50" s="226"/>
      <c r="R50" s="226">
        <v>2.72</v>
      </c>
      <c r="S50" s="221" t="s">
        <v>3566</v>
      </c>
      <c r="T50" s="277"/>
      <c r="U50" s="277"/>
      <c r="V50" s="277"/>
      <c r="W50" s="277"/>
      <c r="X50" s="277"/>
      <c r="Y50" s="277"/>
      <c r="Z50" s="277"/>
    </row>
    <row r="51" ht="12.75" customHeight="1">
      <c r="A51" s="183" t="s">
        <v>1208</v>
      </c>
      <c r="B51" s="184" t="s">
        <v>1209</v>
      </c>
      <c r="C51" s="186" t="s">
        <v>559</v>
      </c>
      <c r="D51" s="222">
        <v>1180.0</v>
      </c>
      <c r="E51" s="223"/>
      <c r="F51" s="223">
        <v>1180.0</v>
      </c>
      <c r="G51" s="225">
        <v>1.11</v>
      </c>
      <c r="H51" s="226"/>
      <c r="I51" s="226">
        <v>1.11</v>
      </c>
      <c r="J51" s="225">
        <v>0.0863</v>
      </c>
      <c r="K51" s="232"/>
      <c r="L51" s="232">
        <v>0.0863</v>
      </c>
      <c r="M51" s="225">
        <v>1.03</v>
      </c>
      <c r="N51" s="232"/>
      <c r="O51" s="232">
        <v>1.03</v>
      </c>
      <c r="P51" s="228">
        <v>2.04</v>
      </c>
      <c r="Q51" s="226"/>
      <c r="R51" s="226">
        <v>2.04</v>
      </c>
      <c r="S51" s="221" t="s">
        <v>3567</v>
      </c>
      <c r="T51" s="277"/>
      <c r="U51" s="277"/>
      <c r="V51" s="277"/>
      <c r="W51" s="277"/>
      <c r="X51" s="277"/>
      <c r="Y51" s="277"/>
      <c r="Z51" s="277"/>
    </row>
    <row r="52" ht="12.75" customHeight="1">
      <c r="A52" s="183" t="s">
        <v>1203</v>
      </c>
      <c r="B52" s="184" t="s">
        <v>1204</v>
      </c>
      <c r="C52" s="186" t="s">
        <v>559</v>
      </c>
      <c r="D52" s="222">
        <v>159.0</v>
      </c>
      <c r="E52" s="223"/>
      <c r="F52" s="223">
        <v>159.0</v>
      </c>
      <c r="G52" s="225">
        <v>0.108</v>
      </c>
      <c r="H52" s="226"/>
      <c r="I52" s="226">
        <v>0.108</v>
      </c>
      <c r="J52" s="225">
        <v>0.00167</v>
      </c>
      <c r="K52" s="232"/>
      <c r="L52" s="232">
        <v>0.00167</v>
      </c>
      <c r="M52" s="225">
        <v>0.106</v>
      </c>
      <c r="N52" s="232"/>
      <c r="O52" s="232">
        <v>0.106</v>
      </c>
      <c r="P52" s="228">
        <v>0.221</v>
      </c>
      <c r="Q52" s="226"/>
      <c r="R52" s="226">
        <v>0.221</v>
      </c>
      <c r="S52" s="221" t="s">
        <v>3568</v>
      </c>
      <c r="T52" s="277"/>
      <c r="U52" s="277"/>
      <c r="V52" s="277"/>
      <c r="W52" s="277"/>
      <c r="X52" s="277"/>
      <c r="Y52" s="277"/>
      <c r="Z52" s="277"/>
    </row>
    <row r="53" ht="12.75" customHeight="1">
      <c r="A53" s="183" t="s">
        <v>817</v>
      </c>
      <c r="B53" s="162" t="s">
        <v>3569</v>
      </c>
      <c r="C53" s="186" t="s">
        <v>3570</v>
      </c>
      <c r="D53" s="195">
        <v>2180.0</v>
      </c>
      <c r="E53" s="196"/>
      <c r="F53" s="196">
        <v>2180.0</v>
      </c>
      <c r="G53" s="219">
        <v>1.36</v>
      </c>
      <c r="H53" s="220"/>
      <c r="I53" s="220">
        <v>1.36</v>
      </c>
      <c r="J53" s="219">
        <v>0.0176</v>
      </c>
      <c r="K53" s="191"/>
      <c r="L53" s="191">
        <v>0.0176</v>
      </c>
      <c r="M53" s="219">
        <v>1.35</v>
      </c>
      <c r="N53" s="191"/>
      <c r="O53" s="191">
        <v>1.35</v>
      </c>
      <c r="P53" s="189">
        <v>3.88</v>
      </c>
      <c r="Q53" s="226"/>
      <c r="R53" s="220">
        <v>3.88</v>
      </c>
      <c r="S53" s="173" t="s">
        <v>3571</v>
      </c>
      <c r="T53" s="277"/>
      <c r="U53" s="277"/>
      <c r="V53" s="277"/>
      <c r="W53" s="277"/>
      <c r="X53" s="277"/>
      <c r="Y53" s="277"/>
      <c r="Z53" s="277"/>
    </row>
    <row r="54" ht="12.75" customHeight="1">
      <c r="A54" s="183" t="s">
        <v>835</v>
      </c>
      <c r="B54" s="162" t="s">
        <v>3572</v>
      </c>
      <c r="C54" s="186" t="s">
        <v>3573</v>
      </c>
      <c r="D54" s="195">
        <v>3900.0</v>
      </c>
      <c r="E54" s="196"/>
      <c r="F54" s="196">
        <v>3900.0</v>
      </c>
      <c r="G54" s="219">
        <v>2.08</v>
      </c>
      <c r="H54" s="220"/>
      <c r="I54" s="220">
        <v>2.08</v>
      </c>
      <c r="J54" s="219">
        <v>0.0249</v>
      </c>
      <c r="K54" s="191"/>
      <c r="L54" s="191">
        <v>0.0249</v>
      </c>
      <c r="M54" s="219">
        <v>2.05</v>
      </c>
      <c r="N54" s="191"/>
      <c r="O54" s="191">
        <v>2.05</v>
      </c>
      <c r="P54" s="189">
        <v>7.16</v>
      </c>
      <c r="Q54" s="226"/>
      <c r="R54" s="220">
        <v>7.16</v>
      </c>
      <c r="S54" s="173" t="s">
        <v>3574</v>
      </c>
      <c r="T54" s="277"/>
      <c r="U54" s="277"/>
      <c r="V54" s="277"/>
      <c r="W54" s="277"/>
      <c r="X54" s="277"/>
      <c r="Y54" s="277"/>
      <c r="Z54" s="277"/>
    </row>
    <row r="55" ht="12.75" customHeight="1">
      <c r="A55" s="183" t="s">
        <v>847</v>
      </c>
      <c r="B55" s="162" t="s">
        <v>3575</v>
      </c>
      <c r="C55" s="186" t="s">
        <v>3576</v>
      </c>
      <c r="D55" s="195">
        <v>2980.0</v>
      </c>
      <c r="E55" s="196"/>
      <c r="F55" s="196">
        <v>2980.0</v>
      </c>
      <c r="G55" s="219">
        <v>2.01</v>
      </c>
      <c r="H55" s="220"/>
      <c r="I55" s="220">
        <v>2.01</v>
      </c>
      <c r="J55" s="219">
        <v>0.0253</v>
      </c>
      <c r="K55" s="191"/>
      <c r="L55" s="191">
        <v>0.0253</v>
      </c>
      <c r="M55" s="219">
        <v>1.99</v>
      </c>
      <c r="N55" s="191"/>
      <c r="O55" s="191">
        <v>1.99</v>
      </c>
      <c r="P55" s="189">
        <v>5.25</v>
      </c>
      <c r="Q55" s="226"/>
      <c r="R55" s="220">
        <v>5.25</v>
      </c>
      <c r="S55" s="173" t="s">
        <v>3577</v>
      </c>
      <c r="T55" s="277"/>
      <c r="U55" s="277"/>
      <c r="V55" s="277"/>
      <c r="W55" s="277"/>
      <c r="X55" s="277"/>
      <c r="Y55" s="277"/>
      <c r="Z55" s="277"/>
    </row>
    <row r="56" ht="12.75" customHeight="1">
      <c r="A56" s="183" t="s">
        <v>781</v>
      </c>
      <c r="B56" s="184" t="s">
        <v>782</v>
      </c>
      <c r="C56" s="186" t="s">
        <v>559</v>
      </c>
      <c r="D56" s="195">
        <v>1030.0</v>
      </c>
      <c r="E56" s="196"/>
      <c r="F56" s="196">
        <v>1030.0</v>
      </c>
      <c r="G56" s="219">
        <v>0.198</v>
      </c>
      <c r="H56" s="220"/>
      <c r="I56" s="220">
        <v>0.198</v>
      </c>
      <c r="J56" s="219">
        <v>0.00498</v>
      </c>
      <c r="K56" s="191"/>
      <c r="L56" s="191">
        <v>0.00498</v>
      </c>
      <c r="M56" s="219">
        <v>0.193</v>
      </c>
      <c r="N56" s="191"/>
      <c r="O56" s="191">
        <v>0.193</v>
      </c>
      <c r="P56" s="189">
        <v>1.98</v>
      </c>
      <c r="Q56" s="220"/>
      <c r="R56" s="220">
        <v>1.98</v>
      </c>
      <c r="S56" s="173" t="s">
        <v>3578</v>
      </c>
      <c r="T56" s="277"/>
      <c r="U56" s="277"/>
      <c r="V56" s="277"/>
      <c r="W56" s="277"/>
      <c r="X56" s="277"/>
      <c r="Y56" s="277"/>
      <c r="Z56" s="277"/>
    </row>
    <row r="57" ht="12.75" customHeight="1">
      <c r="A57" s="183" t="s">
        <v>1089</v>
      </c>
      <c r="B57" s="184" t="s">
        <v>1090</v>
      </c>
      <c r="C57" s="186" t="s">
        <v>559</v>
      </c>
      <c r="D57" s="222">
        <v>1590.0</v>
      </c>
      <c r="E57" s="223"/>
      <c r="F57" s="223">
        <v>1590.0</v>
      </c>
      <c r="G57" s="225">
        <v>0.169</v>
      </c>
      <c r="H57" s="226"/>
      <c r="I57" s="226">
        <v>0.169</v>
      </c>
      <c r="J57" s="225">
        <v>0.00625</v>
      </c>
      <c r="K57" s="232"/>
      <c r="L57" s="232">
        <v>0.00625</v>
      </c>
      <c r="M57" s="225">
        <v>0.163</v>
      </c>
      <c r="N57" s="232"/>
      <c r="O57" s="232">
        <v>0.163</v>
      </c>
      <c r="P57" s="228">
        <v>3.16</v>
      </c>
      <c r="Q57" s="226"/>
      <c r="R57" s="226">
        <v>3.16</v>
      </c>
      <c r="S57" s="221" t="s">
        <v>3579</v>
      </c>
      <c r="T57" s="277"/>
      <c r="U57" s="277"/>
      <c r="V57" s="277"/>
      <c r="W57" s="277"/>
      <c r="X57" s="277"/>
      <c r="Y57" s="277"/>
      <c r="Z57" s="277"/>
    </row>
    <row r="58" ht="12.75" customHeight="1">
      <c r="A58" s="183" t="s">
        <v>1153</v>
      </c>
      <c r="B58" s="184" t="s">
        <v>1154</v>
      </c>
      <c r="C58" s="186" t="s">
        <v>559</v>
      </c>
      <c r="D58" s="222">
        <v>86.2</v>
      </c>
      <c r="E58" s="223"/>
      <c r="F58" s="223">
        <v>86.2</v>
      </c>
      <c r="G58" s="225">
        <v>0.104</v>
      </c>
      <c r="H58" s="226"/>
      <c r="I58" s="226">
        <v>0.104</v>
      </c>
      <c r="J58" s="225">
        <v>0.00213</v>
      </c>
      <c r="K58" s="232"/>
      <c r="L58" s="232">
        <v>0.00213</v>
      </c>
      <c r="M58" s="225">
        <v>0.102</v>
      </c>
      <c r="N58" s="232"/>
      <c r="O58" s="232">
        <v>0.102</v>
      </c>
      <c r="P58" s="228">
        <v>0.0405</v>
      </c>
      <c r="Q58" s="226"/>
      <c r="R58" s="226">
        <v>0.0405</v>
      </c>
      <c r="S58" s="221" t="s">
        <v>3580</v>
      </c>
      <c r="T58" s="277"/>
      <c r="U58" s="277"/>
      <c r="V58" s="277"/>
      <c r="W58" s="277"/>
      <c r="X58" s="277"/>
      <c r="Y58" s="277"/>
      <c r="Z58" s="277"/>
    </row>
    <row r="59" ht="12.75" customHeight="1">
      <c r="A59" s="183" t="s">
        <v>973</v>
      </c>
      <c r="B59" s="184" t="s">
        <v>974</v>
      </c>
      <c r="C59" s="186" t="s">
        <v>559</v>
      </c>
      <c r="D59" s="222">
        <v>86.9</v>
      </c>
      <c r="E59" s="223"/>
      <c r="F59" s="223">
        <v>86.9</v>
      </c>
      <c r="G59" s="225">
        <v>0.0588</v>
      </c>
      <c r="H59" s="226"/>
      <c r="I59" s="226">
        <v>0.0588</v>
      </c>
      <c r="J59" s="225">
        <v>9.12E-4</v>
      </c>
      <c r="K59" s="232"/>
      <c r="L59" s="232">
        <v>9.12E-4</v>
      </c>
      <c r="M59" s="225">
        <v>0.0579</v>
      </c>
      <c r="N59" s="232"/>
      <c r="O59" s="232">
        <v>0.0579</v>
      </c>
      <c r="P59" s="228">
        <v>0.121</v>
      </c>
      <c r="Q59" s="226"/>
      <c r="R59" s="226">
        <v>0.121</v>
      </c>
      <c r="S59" s="221" t="s">
        <v>3581</v>
      </c>
      <c r="T59" s="277"/>
      <c r="U59" s="277"/>
      <c r="V59" s="277"/>
      <c r="W59" s="277"/>
      <c r="X59" s="277"/>
      <c r="Y59" s="277"/>
      <c r="Z59" s="277"/>
    </row>
    <row r="60" ht="12.75" customHeight="1">
      <c r="A60" s="183" t="s">
        <v>968</v>
      </c>
      <c r="B60" s="184" t="s">
        <v>969</v>
      </c>
      <c r="C60" s="186" t="s">
        <v>559</v>
      </c>
      <c r="D60" s="222">
        <v>79.7</v>
      </c>
      <c r="E60" s="223"/>
      <c r="F60" s="223">
        <v>79.7</v>
      </c>
      <c r="G60" s="225">
        <v>0.0539</v>
      </c>
      <c r="H60" s="226"/>
      <c r="I60" s="226">
        <v>0.0539</v>
      </c>
      <c r="J60" s="225">
        <v>8.36E-4</v>
      </c>
      <c r="K60" s="232"/>
      <c r="L60" s="232">
        <v>8.36E-4</v>
      </c>
      <c r="M60" s="225">
        <v>0.0531</v>
      </c>
      <c r="N60" s="232"/>
      <c r="O60" s="232">
        <v>0.0531</v>
      </c>
      <c r="P60" s="228">
        <v>0.111</v>
      </c>
      <c r="Q60" s="226"/>
      <c r="R60" s="226">
        <v>0.111</v>
      </c>
      <c r="S60" s="221" t="s">
        <v>3582</v>
      </c>
      <c r="T60" s="277"/>
      <c r="U60" s="277"/>
      <c r="V60" s="277"/>
      <c r="W60" s="277"/>
      <c r="X60" s="277"/>
      <c r="Y60" s="277"/>
      <c r="Z60" s="277"/>
    </row>
    <row r="61" ht="12.75" customHeight="1">
      <c r="A61" s="183" t="s">
        <v>987</v>
      </c>
      <c r="B61" s="184" t="s">
        <v>988</v>
      </c>
      <c r="C61" s="186" t="s">
        <v>559</v>
      </c>
      <c r="D61" s="222">
        <v>91.1</v>
      </c>
      <c r="E61" s="223"/>
      <c r="F61" s="223">
        <v>91.1</v>
      </c>
      <c r="G61" s="225">
        <v>0.0616</v>
      </c>
      <c r="H61" s="226"/>
      <c r="I61" s="226">
        <v>0.0616</v>
      </c>
      <c r="J61" s="225">
        <v>9.55E-4</v>
      </c>
      <c r="K61" s="232"/>
      <c r="L61" s="232">
        <v>9.55E-4</v>
      </c>
      <c r="M61" s="225">
        <v>0.0607</v>
      </c>
      <c r="N61" s="232"/>
      <c r="O61" s="232">
        <v>0.0607</v>
      </c>
      <c r="P61" s="228">
        <v>0.126</v>
      </c>
      <c r="Q61" s="226"/>
      <c r="R61" s="226">
        <v>0.126</v>
      </c>
      <c r="S61" s="221" t="s">
        <v>3583</v>
      </c>
      <c r="T61" s="277"/>
      <c r="U61" s="277"/>
      <c r="V61" s="277"/>
      <c r="W61" s="277"/>
      <c r="X61" s="277"/>
      <c r="Y61" s="277"/>
      <c r="Z61" s="277"/>
    </row>
    <row r="62" ht="12.75" customHeight="1">
      <c r="A62" s="183" t="s">
        <v>1046</v>
      </c>
      <c r="B62" s="184" t="s">
        <v>1047</v>
      </c>
      <c r="C62" s="186" t="s">
        <v>559</v>
      </c>
      <c r="D62" s="222">
        <v>91.1</v>
      </c>
      <c r="E62" s="223"/>
      <c r="F62" s="223">
        <v>91.1</v>
      </c>
      <c r="G62" s="225">
        <v>0.0616</v>
      </c>
      <c r="H62" s="226"/>
      <c r="I62" s="226">
        <v>0.0616</v>
      </c>
      <c r="J62" s="225">
        <v>9.55E-4</v>
      </c>
      <c r="K62" s="232"/>
      <c r="L62" s="232">
        <v>9.55E-4</v>
      </c>
      <c r="M62" s="225">
        <v>0.0607</v>
      </c>
      <c r="N62" s="232"/>
      <c r="O62" s="232">
        <v>0.0607</v>
      </c>
      <c r="P62" s="228">
        <v>0.126</v>
      </c>
      <c r="Q62" s="226"/>
      <c r="R62" s="226">
        <v>0.126</v>
      </c>
      <c r="S62" s="221" t="s">
        <v>3584</v>
      </c>
      <c r="T62" s="277"/>
      <c r="U62" s="277"/>
      <c r="V62" s="277"/>
      <c r="W62" s="277"/>
      <c r="X62" s="277"/>
      <c r="Y62" s="277"/>
      <c r="Z62" s="277"/>
    </row>
    <row r="63" ht="12.75" customHeight="1">
      <c r="A63" s="183" t="s">
        <v>1253</v>
      </c>
      <c r="B63" s="184" t="s">
        <v>1254</v>
      </c>
      <c r="C63" s="186" t="s">
        <v>559</v>
      </c>
      <c r="D63" s="222">
        <v>43.6</v>
      </c>
      <c r="E63" s="223"/>
      <c r="F63" s="223">
        <v>43.6</v>
      </c>
      <c r="G63" s="225">
        <v>0.0414</v>
      </c>
      <c r="H63" s="226"/>
      <c r="I63" s="226">
        <v>0.0414</v>
      </c>
      <c r="J63" s="225">
        <v>6.55E-4</v>
      </c>
      <c r="K63" s="232"/>
      <c r="L63" s="232">
        <v>6.55E-4</v>
      </c>
      <c r="M63" s="225">
        <v>0.0407</v>
      </c>
      <c r="N63" s="232"/>
      <c r="O63" s="232">
        <v>0.0407</v>
      </c>
      <c r="P63" s="228">
        <v>0.0414</v>
      </c>
      <c r="Q63" s="226"/>
      <c r="R63" s="226">
        <v>0.0414</v>
      </c>
      <c r="S63" s="221" t="s">
        <v>3585</v>
      </c>
      <c r="T63" s="277"/>
      <c r="U63" s="277"/>
      <c r="V63" s="277"/>
      <c r="W63" s="277"/>
      <c r="X63" s="277"/>
      <c r="Y63" s="277"/>
      <c r="Z63" s="277"/>
    </row>
    <row r="64" ht="12.75" customHeight="1">
      <c r="A64" s="183" t="s">
        <v>997</v>
      </c>
      <c r="B64" s="184" t="s">
        <v>998</v>
      </c>
      <c r="C64" s="186" t="s">
        <v>559</v>
      </c>
      <c r="D64" s="222">
        <v>27.0</v>
      </c>
      <c r="E64" s="223"/>
      <c r="F64" s="223">
        <v>27.0</v>
      </c>
      <c r="G64" s="225">
        <v>0.0348</v>
      </c>
      <c r="H64" s="226"/>
      <c r="I64" s="226">
        <v>0.0348</v>
      </c>
      <c r="J64" s="225">
        <v>5.61E-4</v>
      </c>
      <c r="K64" s="232"/>
      <c r="L64" s="232">
        <v>5.61E-4</v>
      </c>
      <c r="M64" s="225">
        <v>0.0342</v>
      </c>
      <c r="N64" s="232"/>
      <c r="O64" s="232">
        <v>0.0342</v>
      </c>
      <c r="P64" s="228">
        <v>0.0101</v>
      </c>
      <c r="Q64" s="226"/>
      <c r="R64" s="226">
        <v>0.0101</v>
      </c>
      <c r="S64" s="221" t="s">
        <v>3586</v>
      </c>
      <c r="T64" s="277"/>
      <c r="U64" s="277"/>
      <c r="V64" s="277"/>
      <c r="W64" s="277"/>
      <c r="X64" s="277"/>
      <c r="Y64" s="277"/>
      <c r="Z64" s="277"/>
    </row>
    <row r="65" ht="12.75" customHeight="1">
      <c r="A65" s="183" t="s">
        <v>1011</v>
      </c>
      <c r="B65" s="184" t="s">
        <v>1012</v>
      </c>
      <c r="C65" s="186" t="s">
        <v>559</v>
      </c>
      <c r="D65" s="222">
        <v>24.7</v>
      </c>
      <c r="E65" s="223"/>
      <c r="F65" s="223">
        <v>24.7</v>
      </c>
      <c r="G65" s="225">
        <v>0.0319</v>
      </c>
      <c r="H65" s="226"/>
      <c r="I65" s="226">
        <v>0.0319</v>
      </c>
      <c r="J65" s="225">
        <v>5.15E-4</v>
      </c>
      <c r="K65" s="232"/>
      <c r="L65" s="232">
        <v>5.15E-4</v>
      </c>
      <c r="M65" s="225">
        <v>0.0314</v>
      </c>
      <c r="N65" s="232"/>
      <c r="O65" s="232">
        <v>0.0314</v>
      </c>
      <c r="P65" s="228">
        <v>0.00926</v>
      </c>
      <c r="Q65" s="226"/>
      <c r="R65" s="226">
        <v>0.00926</v>
      </c>
      <c r="S65" s="221" t="s">
        <v>3586</v>
      </c>
      <c r="T65" s="277"/>
      <c r="U65" s="277"/>
      <c r="V65" s="277"/>
      <c r="W65" s="277"/>
      <c r="X65" s="277"/>
      <c r="Y65" s="277"/>
      <c r="Z65" s="277"/>
    </row>
    <row r="66" ht="12.75" customHeight="1">
      <c r="A66" s="183" t="s">
        <v>1019</v>
      </c>
      <c r="B66" s="184" t="s">
        <v>1020</v>
      </c>
      <c r="C66" s="186" t="s">
        <v>559</v>
      </c>
      <c r="D66" s="222">
        <v>27.0</v>
      </c>
      <c r="E66" s="223"/>
      <c r="F66" s="223">
        <v>27.0</v>
      </c>
      <c r="G66" s="225">
        <v>0.0348</v>
      </c>
      <c r="H66" s="226"/>
      <c r="I66" s="226">
        <v>0.0348</v>
      </c>
      <c r="J66" s="225">
        <v>5.61E-4</v>
      </c>
      <c r="K66" s="232"/>
      <c r="L66" s="232">
        <v>5.61E-4</v>
      </c>
      <c r="M66" s="225">
        <v>0.0342</v>
      </c>
      <c r="N66" s="232"/>
      <c r="O66" s="232">
        <v>0.0342</v>
      </c>
      <c r="P66" s="228">
        <v>0.0101</v>
      </c>
      <c r="Q66" s="226"/>
      <c r="R66" s="226">
        <v>0.0101</v>
      </c>
      <c r="S66" s="221" t="s">
        <v>3587</v>
      </c>
      <c r="T66" s="277"/>
      <c r="U66" s="277"/>
      <c r="V66" s="277"/>
      <c r="W66" s="277"/>
      <c r="X66" s="277"/>
      <c r="Y66" s="277"/>
      <c r="Z66" s="277"/>
    </row>
    <row r="67" ht="12.75" customHeight="1" outlineLevel="1">
      <c r="A67" s="202" t="s">
        <v>1027</v>
      </c>
      <c r="B67" s="201" t="s">
        <v>1028</v>
      </c>
      <c r="C67" s="204" t="s">
        <v>559</v>
      </c>
      <c r="D67" s="273">
        <v>27.0</v>
      </c>
      <c r="E67" s="267"/>
      <c r="F67" s="267">
        <v>27.0</v>
      </c>
      <c r="G67" s="209">
        <v>0.0348</v>
      </c>
      <c r="H67" s="210"/>
      <c r="I67" s="210">
        <v>0.0348</v>
      </c>
      <c r="J67" s="209">
        <v>5.61E-4</v>
      </c>
      <c r="K67" s="265"/>
      <c r="L67" s="265">
        <v>5.61E-4</v>
      </c>
      <c r="M67" s="209">
        <v>0.0342</v>
      </c>
      <c r="N67" s="265"/>
      <c r="O67" s="265">
        <v>0.0342</v>
      </c>
      <c r="P67" s="274">
        <v>0.0101</v>
      </c>
      <c r="Q67" s="210"/>
      <c r="R67" s="210">
        <v>0.0101</v>
      </c>
      <c r="S67" s="245" t="s">
        <v>3588</v>
      </c>
      <c r="T67" s="575"/>
      <c r="U67" s="575"/>
      <c r="V67" s="575"/>
      <c r="W67" s="575"/>
      <c r="X67" s="575"/>
      <c r="Y67" s="575"/>
      <c r="Z67" s="575"/>
    </row>
    <row r="68" ht="12.75" customHeight="1">
      <c r="A68" s="183" t="s">
        <v>1032</v>
      </c>
      <c r="B68" s="184" t="s">
        <v>1033</v>
      </c>
      <c r="C68" s="186" t="s">
        <v>559</v>
      </c>
      <c r="D68" s="222">
        <v>24.7</v>
      </c>
      <c r="E68" s="223"/>
      <c r="F68" s="223">
        <v>24.7</v>
      </c>
      <c r="G68" s="225">
        <v>0.0319</v>
      </c>
      <c r="H68" s="226"/>
      <c r="I68" s="226">
        <v>0.0319</v>
      </c>
      <c r="J68" s="225">
        <v>5.15E-4</v>
      </c>
      <c r="K68" s="232"/>
      <c r="L68" s="232">
        <v>5.15E-4</v>
      </c>
      <c r="M68" s="225">
        <v>0.0314</v>
      </c>
      <c r="N68" s="232"/>
      <c r="O68" s="232">
        <v>0.0314</v>
      </c>
      <c r="P68" s="228">
        <v>0.00926</v>
      </c>
      <c r="Q68" s="226"/>
      <c r="R68" s="226">
        <v>0.00926</v>
      </c>
      <c r="S68" s="221" t="s">
        <v>3589</v>
      </c>
      <c r="T68" s="277"/>
      <c r="U68" s="277"/>
      <c r="V68" s="277"/>
      <c r="W68" s="277"/>
      <c r="X68" s="277"/>
      <c r="Y68" s="277"/>
      <c r="Z68" s="277"/>
    </row>
    <row r="69" ht="12.75" customHeight="1">
      <c r="A69" s="183" t="s">
        <v>1051</v>
      </c>
      <c r="B69" s="184" t="s">
        <v>1052</v>
      </c>
      <c r="C69" s="186" t="s">
        <v>559</v>
      </c>
      <c r="D69" s="222">
        <v>91.4</v>
      </c>
      <c r="E69" s="223"/>
      <c r="F69" s="223">
        <v>91.4</v>
      </c>
      <c r="G69" s="225">
        <v>0.0619</v>
      </c>
      <c r="H69" s="226"/>
      <c r="I69" s="226">
        <v>0.0619</v>
      </c>
      <c r="J69" s="225">
        <v>9.59E-4</v>
      </c>
      <c r="K69" s="232"/>
      <c r="L69" s="232">
        <v>9.59E-4</v>
      </c>
      <c r="M69" s="225">
        <v>0.0609</v>
      </c>
      <c r="N69" s="232"/>
      <c r="O69" s="232">
        <v>0.0609</v>
      </c>
      <c r="P69" s="228">
        <v>0.127</v>
      </c>
      <c r="Q69" s="226"/>
      <c r="R69" s="226">
        <v>0.127</v>
      </c>
      <c r="S69" s="221" t="s">
        <v>3590</v>
      </c>
      <c r="T69" s="277"/>
      <c r="U69" s="277"/>
      <c r="V69" s="277"/>
      <c r="W69" s="277"/>
      <c r="X69" s="277"/>
      <c r="Y69" s="277"/>
      <c r="Z69" s="277"/>
    </row>
    <row r="70" ht="12.75" customHeight="1">
      <c r="A70" s="183" t="s">
        <v>1059</v>
      </c>
      <c r="B70" s="184" t="s">
        <v>1060</v>
      </c>
      <c r="C70" s="186" t="s">
        <v>559</v>
      </c>
      <c r="D70" s="222">
        <v>91.4</v>
      </c>
      <c r="E70" s="223"/>
      <c r="F70" s="223">
        <v>91.4</v>
      </c>
      <c r="G70" s="225">
        <v>0.0619</v>
      </c>
      <c r="H70" s="226"/>
      <c r="I70" s="226">
        <v>0.0619</v>
      </c>
      <c r="J70" s="225">
        <v>9.59E-4</v>
      </c>
      <c r="K70" s="232"/>
      <c r="L70" s="232">
        <v>9.59E-4</v>
      </c>
      <c r="M70" s="225">
        <v>0.0609</v>
      </c>
      <c r="N70" s="232"/>
      <c r="O70" s="232">
        <v>0.0609</v>
      </c>
      <c r="P70" s="228">
        <v>0.127</v>
      </c>
      <c r="Q70" s="226"/>
      <c r="R70" s="226">
        <v>0.127</v>
      </c>
      <c r="S70" s="221" t="s">
        <v>3591</v>
      </c>
      <c r="T70" s="277"/>
      <c r="U70" s="277"/>
      <c r="V70" s="277"/>
      <c r="W70" s="277"/>
      <c r="X70" s="277"/>
      <c r="Y70" s="277"/>
      <c r="Z70" s="277"/>
    </row>
    <row r="71" ht="12.75" customHeight="1">
      <c r="A71" s="183" t="s">
        <v>1067</v>
      </c>
      <c r="B71" s="184" t="s">
        <v>1068</v>
      </c>
      <c r="C71" s="186" t="s">
        <v>559</v>
      </c>
      <c r="D71" s="222">
        <v>79.7</v>
      </c>
      <c r="E71" s="223"/>
      <c r="F71" s="223">
        <v>79.7</v>
      </c>
      <c r="G71" s="225">
        <v>0.0539</v>
      </c>
      <c r="H71" s="226"/>
      <c r="I71" s="226">
        <v>0.0539</v>
      </c>
      <c r="J71" s="225">
        <v>8.36E-4</v>
      </c>
      <c r="K71" s="232"/>
      <c r="L71" s="232">
        <v>8.36E-4</v>
      </c>
      <c r="M71" s="225">
        <v>0.0531</v>
      </c>
      <c r="N71" s="232"/>
      <c r="O71" s="232">
        <v>0.0531</v>
      </c>
      <c r="P71" s="228">
        <v>0.111</v>
      </c>
      <c r="Q71" s="226"/>
      <c r="R71" s="226">
        <v>0.111</v>
      </c>
      <c r="S71" s="221" t="s">
        <v>3592</v>
      </c>
      <c r="T71" s="277"/>
      <c r="U71" s="277"/>
      <c r="V71" s="277"/>
      <c r="W71" s="277"/>
      <c r="X71" s="277"/>
      <c r="Y71" s="277"/>
      <c r="Z71" s="277"/>
    </row>
    <row r="72" ht="12.75" customHeight="1">
      <c r="A72" s="183" t="s">
        <v>591</v>
      </c>
      <c r="B72" s="184" t="s">
        <v>592</v>
      </c>
      <c r="C72" s="186" t="s">
        <v>559</v>
      </c>
      <c r="D72" s="222">
        <v>25.8</v>
      </c>
      <c r="E72" s="223"/>
      <c r="F72" s="223">
        <v>25.8</v>
      </c>
      <c r="G72" s="225">
        <v>0.0523</v>
      </c>
      <c r="H72" s="226"/>
      <c r="I72" s="226">
        <v>0.0523</v>
      </c>
      <c r="J72" s="225">
        <v>0.00177</v>
      </c>
      <c r="K72" s="232"/>
      <c r="L72" s="232">
        <v>0.00177</v>
      </c>
      <c r="M72" s="225">
        <v>0.0505</v>
      </c>
      <c r="N72" s="232"/>
      <c r="O72" s="232">
        <v>0.0505</v>
      </c>
      <c r="P72" s="228">
        <v>0.00903</v>
      </c>
      <c r="Q72" s="226"/>
      <c r="R72" s="226">
        <v>0.00903</v>
      </c>
      <c r="S72" s="221" t="s">
        <v>3593</v>
      </c>
      <c r="T72" s="277"/>
      <c r="U72" s="277"/>
      <c r="V72" s="277"/>
      <c r="W72" s="277"/>
      <c r="X72" s="277"/>
      <c r="Y72" s="277"/>
      <c r="Z72" s="277"/>
    </row>
    <row r="73" ht="12.75" customHeight="1">
      <c r="A73" s="183" t="s">
        <v>562</v>
      </c>
      <c r="B73" s="184" t="s">
        <v>563</v>
      </c>
      <c r="C73" s="186" t="s">
        <v>559</v>
      </c>
      <c r="D73" s="222">
        <v>27.4</v>
      </c>
      <c r="E73" s="223"/>
      <c r="F73" s="223">
        <v>27.4</v>
      </c>
      <c r="G73" s="225">
        <v>0.0562</v>
      </c>
      <c r="H73" s="226"/>
      <c r="I73" s="226">
        <v>0.0562</v>
      </c>
      <c r="J73" s="225">
        <v>0.00201</v>
      </c>
      <c r="K73" s="232"/>
      <c r="L73" s="232">
        <v>0.00201</v>
      </c>
      <c r="M73" s="225">
        <v>0.0541</v>
      </c>
      <c r="N73" s="232"/>
      <c r="O73" s="232">
        <v>0.0541</v>
      </c>
      <c r="P73" s="228">
        <v>0.0105</v>
      </c>
      <c r="Q73" s="226"/>
      <c r="R73" s="226">
        <v>0.0105</v>
      </c>
      <c r="S73" s="221" t="s">
        <v>3594</v>
      </c>
      <c r="T73" s="277"/>
      <c r="U73" s="277"/>
      <c r="V73" s="277"/>
      <c r="W73" s="277"/>
      <c r="X73" s="277"/>
      <c r="Y73" s="277"/>
      <c r="Z73" s="277"/>
    </row>
    <row r="74" ht="12.75" customHeight="1">
      <c r="A74" s="183" t="s">
        <v>557</v>
      </c>
      <c r="B74" s="184" t="s">
        <v>558</v>
      </c>
      <c r="C74" s="186" t="s">
        <v>559</v>
      </c>
      <c r="D74" s="222">
        <v>25.1</v>
      </c>
      <c r="E74" s="223"/>
      <c r="F74" s="223">
        <v>25.1</v>
      </c>
      <c r="G74" s="225">
        <v>0.0494</v>
      </c>
      <c r="H74" s="226"/>
      <c r="I74" s="226">
        <v>0.0494</v>
      </c>
      <c r="J74" s="225">
        <v>0.00198</v>
      </c>
      <c r="K74" s="232"/>
      <c r="L74" s="232">
        <v>0.00198</v>
      </c>
      <c r="M74" s="225">
        <v>0.0474</v>
      </c>
      <c r="N74" s="232"/>
      <c r="O74" s="232">
        <v>0.0474</v>
      </c>
      <c r="P74" s="228">
        <v>0.00887</v>
      </c>
      <c r="Q74" s="226"/>
      <c r="R74" s="226">
        <v>0.00887</v>
      </c>
      <c r="S74" s="221" t="s">
        <v>3595</v>
      </c>
      <c r="T74" s="277"/>
      <c r="U74" s="277"/>
      <c r="V74" s="277"/>
      <c r="W74" s="277"/>
      <c r="X74" s="277"/>
      <c r="Y74" s="277"/>
      <c r="Z74" s="277"/>
    </row>
    <row r="75" ht="12.75" customHeight="1">
      <c r="A75" s="183" t="s">
        <v>669</v>
      </c>
      <c r="B75" s="184" t="s">
        <v>670</v>
      </c>
      <c r="C75" s="186" t="s">
        <v>559</v>
      </c>
      <c r="D75" s="222">
        <v>25.1</v>
      </c>
      <c r="E75" s="223"/>
      <c r="F75" s="223">
        <v>25.1</v>
      </c>
      <c r="G75" s="225">
        <v>0.0495</v>
      </c>
      <c r="H75" s="226"/>
      <c r="I75" s="226">
        <v>0.0495</v>
      </c>
      <c r="J75" s="225">
        <v>0.00198</v>
      </c>
      <c r="K75" s="232"/>
      <c r="L75" s="232">
        <v>0.00198</v>
      </c>
      <c r="M75" s="225">
        <v>0.0475</v>
      </c>
      <c r="N75" s="232"/>
      <c r="O75" s="232">
        <v>0.0475</v>
      </c>
      <c r="P75" s="228">
        <v>0.00889</v>
      </c>
      <c r="Q75" s="226"/>
      <c r="R75" s="226">
        <v>0.00889</v>
      </c>
      <c r="S75" s="221" t="s">
        <v>3596</v>
      </c>
      <c r="T75" s="277"/>
      <c r="U75" s="277"/>
      <c r="V75" s="277"/>
      <c r="W75" s="277"/>
      <c r="X75" s="277"/>
      <c r="Y75" s="277"/>
      <c r="Z75" s="277"/>
    </row>
    <row r="76" ht="12.75" customHeight="1">
      <c r="A76" s="183" t="s">
        <v>645</v>
      </c>
      <c r="B76" s="184" t="s">
        <v>646</v>
      </c>
      <c r="C76" s="186" t="s">
        <v>559</v>
      </c>
      <c r="D76" s="195">
        <v>17.5</v>
      </c>
      <c r="E76" s="196"/>
      <c r="F76" s="196">
        <v>17.5</v>
      </c>
      <c r="G76" s="219">
        <v>0.0657</v>
      </c>
      <c r="H76" s="220"/>
      <c r="I76" s="220">
        <v>0.0657</v>
      </c>
      <c r="J76" s="219">
        <v>6.26E-4</v>
      </c>
      <c r="K76" s="191"/>
      <c r="L76" s="191">
        <v>6.26E-4</v>
      </c>
      <c r="M76" s="219">
        <v>0.0651</v>
      </c>
      <c r="N76" s="191"/>
      <c r="O76" s="191">
        <v>0.0651</v>
      </c>
      <c r="P76" s="189">
        <v>0.00926</v>
      </c>
      <c r="Q76" s="226"/>
      <c r="R76" s="220">
        <v>0.00926</v>
      </c>
      <c r="S76" s="221" t="s">
        <v>3597</v>
      </c>
      <c r="T76" s="277"/>
      <c r="U76" s="277"/>
      <c r="V76" s="277"/>
      <c r="W76" s="277"/>
      <c r="X76" s="277"/>
      <c r="Y76" s="277"/>
      <c r="Z76" s="277"/>
    </row>
    <row r="77" ht="12.75" customHeight="1">
      <c r="A77" s="183" t="s">
        <v>650</v>
      </c>
      <c r="B77" s="184" t="s">
        <v>651</v>
      </c>
      <c r="C77" s="186" t="s">
        <v>559</v>
      </c>
      <c r="D77" s="195">
        <v>17.3</v>
      </c>
      <c r="E77" s="196"/>
      <c r="F77" s="196">
        <v>17.3</v>
      </c>
      <c r="G77" s="219">
        <v>0.0651</v>
      </c>
      <c r="H77" s="220"/>
      <c r="I77" s="220">
        <v>0.0651</v>
      </c>
      <c r="J77" s="219">
        <v>6.21E-4</v>
      </c>
      <c r="K77" s="191"/>
      <c r="L77" s="191">
        <v>6.21E-4</v>
      </c>
      <c r="M77" s="219">
        <v>0.0645</v>
      </c>
      <c r="N77" s="191"/>
      <c r="O77" s="191">
        <v>0.0645</v>
      </c>
      <c r="P77" s="189">
        <v>0.00918</v>
      </c>
      <c r="Q77" s="226"/>
      <c r="R77" s="220">
        <v>0.00918</v>
      </c>
      <c r="S77" s="221" t="s">
        <v>3598</v>
      </c>
      <c r="T77" s="277"/>
      <c r="U77" s="277"/>
      <c r="V77" s="277"/>
      <c r="W77" s="277"/>
      <c r="X77" s="277"/>
      <c r="Y77" s="277"/>
      <c r="Z77" s="277"/>
    </row>
    <row r="78" ht="12.75" customHeight="1">
      <c r="A78" s="183" t="s">
        <v>596</v>
      </c>
      <c r="B78" s="184" t="s">
        <v>597</v>
      </c>
      <c r="C78" s="186" t="s">
        <v>559</v>
      </c>
      <c r="D78" s="222">
        <v>25.1</v>
      </c>
      <c r="E78" s="223"/>
      <c r="F78" s="223">
        <v>25.1</v>
      </c>
      <c r="G78" s="225">
        <v>0.0499</v>
      </c>
      <c r="H78" s="226"/>
      <c r="I78" s="226">
        <v>0.0499</v>
      </c>
      <c r="J78" s="225">
        <v>0.00186</v>
      </c>
      <c r="K78" s="232"/>
      <c r="L78" s="232">
        <v>0.00186</v>
      </c>
      <c r="M78" s="225">
        <v>0.0481</v>
      </c>
      <c r="N78" s="232"/>
      <c r="O78" s="232">
        <v>0.0481</v>
      </c>
      <c r="P78" s="228">
        <v>0.00868</v>
      </c>
      <c r="Q78" s="226"/>
      <c r="R78" s="226">
        <v>0.00868</v>
      </c>
      <c r="S78" s="221" t="s">
        <v>3599</v>
      </c>
      <c r="T78" s="277"/>
      <c r="U78" s="277"/>
      <c r="V78" s="277"/>
      <c r="W78" s="277"/>
      <c r="X78" s="277"/>
      <c r="Y78" s="277"/>
      <c r="Z78" s="277"/>
    </row>
    <row r="79" ht="12.75" customHeight="1">
      <c r="A79" s="183" t="s">
        <v>3226</v>
      </c>
      <c r="B79" s="184" t="s">
        <v>3600</v>
      </c>
      <c r="C79" s="186" t="s">
        <v>559</v>
      </c>
      <c r="D79" s="195">
        <v>19.5</v>
      </c>
      <c r="E79" s="196"/>
      <c r="F79" s="196">
        <v>19.5</v>
      </c>
      <c r="G79" s="219">
        <v>0.033</v>
      </c>
      <c r="H79" s="220"/>
      <c r="I79" s="220">
        <v>0.033</v>
      </c>
      <c r="J79" s="219">
        <v>0.0019</v>
      </c>
      <c r="K79" s="191"/>
      <c r="L79" s="191">
        <v>0.0019</v>
      </c>
      <c r="M79" s="219">
        <v>0.0311</v>
      </c>
      <c r="N79" s="191"/>
      <c r="O79" s="191">
        <v>0.0311</v>
      </c>
      <c r="P79" s="189">
        <v>0.00488</v>
      </c>
      <c r="Q79" s="226"/>
      <c r="R79" s="220">
        <v>0.00488</v>
      </c>
      <c r="S79" s="221" t="s">
        <v>3601</v>
      </c>
      <c r="T79" s="277"/>
      <c r="U79" s="277"/>
      <c r="V79" s="277"/>
      <c r="W79" s="277"/>
      <c r="X79" s="277"/>
      <c r="Y79" s="277"/>
      <c r="Z79" s="277"/>
    </row>
    <row r="80" ht="12.75" customHeight="1">
      <c r="A80" s="183" t="s">
        <v>720</v>
      </c>
      <c r="B80" s="184" t="s">
        <v>721</v>
      </c>
      <c r="C80" s="186" t="s">
        <v>559</v>
      </c>
      <c r="D80" s="222">
        <v>19.3</v>
      </c>
      <c r="E80" s="223"/>
      <c r="F80" s="223">
        <v>19.3</v>
      </c>
      <c r="G80" s="225">
        <v>0.0324</v>
      </c>
      <c r="H80" s="226"/>
      <c r="I80" s="226">
        <v>0.0324</v>
      </c>
      <c r="J80" s="225">
        <v>0.0019</v>
      </c>
      <c r="K80" s="232"/>
      <c r="L80" s="232">
        <v>0.0019</v>
      </c>
      <c r="M80" s="225">
        <v>0.0305</v>
      </c>
      <c r="N80" s="232"/>
      <c r="O80" s="232">
        <v>0.0305</v>
      </c>
      <c r="P80" s="228">
        <v>0.00473</v>
      </c>
      <c r="Q80" s="226"/>
      <c r="R80" s="226">
        <v>0.00473</v>
      </c>
      <c r="S80" s="221" t="s">
        <v>3602</v>
      </c>
      <c r="T80" s="277"/>
      <c r="U80" s="277"/>
      <c r="V80" s="277"/>
      <c r="W80" s="277"/>
      <c r="X80" s="277"/>
      <c r="Y80" s="277"/>
      <c r="Z80" s="277"/>
    </row>
    <row r="81" ht="12.75" customHeight="1">
      <c r="A81" s="183" t="s">
        <v>677</v>
      </c>
      <c r="B81" s="184" t="s">
        <v>678</v>
      </c>
      <c r="C81" s="186" t="s">
        <v>559</v>
      </c>
      <c r="D81" s="222">
        <v>29.7</v>
      </c>
      <c r="E81" s="223"/>
      <c r="F81" s="223">
        <v>29.7</v>
      </c>
      <c r="G81" s="225">
        <v>0.0655</v>
      </c>
      <c r="H81" s="226"/>
      <c r="I81" s="226">
        <v>0.0655</v>
      </c>
      <c r="J81" s="225">
        <v>0.00143</v>
      </c>
      <c r="K81" s="232"/>
      <c r="L81" s="232">
        <v>0.00143</v>
      </c>
      <c r="M81" s="225">
        <v>0.064</v>
      </c>
      <c r="N81" s="232"/>
      <c r="O81" s="232">
        <v>0.064</v>
      </c>
      <c r="P81" s="228">
        <v>0.0112</v>
      </c>
      <c r="Q81" s="226"/>
      <c r="R81" s="226">
        <v>0.0112</v>
      </c>
      <c r="S81" s="221" t="s">
        <v>3603</v>
      </c>
      <c r="T81" s="277"/>
      <c r="U81" s="277"/>
      <c r="V81" s="277"/>
      <c r="W81" s="277"/>
      <c r="X81" s="277"/>
      <c r="Y81" s="277"/>
      <c r="Z81" s="277"/>
    </row>
    <row r="82" ht="12.75" customHeight="1">
      <c r="A82" s="183" t="s">
        <v>655</v>
      </c>
      <c r="B82" s="162" t="s">
        <v>656</v>
      </c>
      <c r="C82" s="186" t="s">
        <v>559</v>
      </c>
      <c r="D82" s="195">
        <v>17.2</v>
      </c>
      <c r="E82" s="196"/>
      <c r="F82" s="196">
        <v>17.2</v>
      </c>
      <c r="G82" s="219">
        <v>0.0647</v>
      </c>
      <c r="H82" s="220"/>
      <c r="I82" s="220">
        <v>0.0647</v>
      </c>
      <c r="J82" s="219">
        <v>6.17E-4</v>
      </c>
      <c r="K82" s="191"/>
      <c r="L82" s="191">
        <v>6.17E-4</v>
      </c>
      <c r="M82" s="219">
        <v>0.0641</v>
      </c>
      <c r="N82" s="191"/>
      <c r="O82" s="191">
        <v>0.0641</v>
      </c>
      <c r="P82" s="189">
        <v>0.00913</v>
      </c>
      <c r="Q82" s="226"/>
      <c r="R82" s="220">
        <v>0.00913</v>
      </c>
      <c r="S82" s="173" t="s">
        <v>3604</v>
      </c>
      <c r="T82" s="277"/>
      <c r="U82" s="277"/>
      <c r="V82" s="277"/>
      <c r="W82" s="277"/>
      <c r="X82" s="277"/>
      <c r="Y82" s="277"/>
      <c r="Z82" s="277"/>
    </row>
    <row r="83" ht="12.75" customHeight="1">
      <c r="A83" s="183" t="s">
        <v>607</v>
      </c>
      <c r="B83" s="184" t="s">
        <v>608</v>
      </c>
      <c r="C83" s="186" t="s">
        <v>559</v>
      </c>
      <c r="D83" s="222">
        <v>26.6</v>
      </c>
      <c r="E83" s="223"/>
      <c r="F83" s="223">
        <v>26.6</v>
      </c>
      <c r="G83" s="225">
        <v>0.0547</v>
      </c>
      <c r="H83" s="226"/>
      <c r="I83" s="226">
        <v>0.0547</v>
      </c>
      <c r="J83" s="225">
        <v>0.00178</v>
      </c>
      <c r="K83" s="232"/>
      <c r="L83" s="232">
        <v>0.00178</v>
      </c>
      <c r="M83" s="225">
        <v>0.0529</v>
      </c>
      <c r="N83" s="232"/>
      <c r="O83" s="232">
        <v>0.0529</v>
      </c>
      <c r="P83" s="228">
        <v>0.00961</v>
      </c>
      <c r="Q83" s="226"/>
      <c r="R83" s="226">
        <v>0.00961</v>
      </c>
      <c r="S83" s="221" t="s">
        <v>3605</v>
      </c>
      <c r="T83" s="277"/>
      <c r="U83" s="277"/>
      <c r="V83" s="277"/>
      <c r="W83" s="277"/>
      <c r="X83" s="277"/>
      <c r="Y83" s="277"/>
      <c r="Z83" s="277"/>
    </row>
    <row r="84" ht="12.75" customHeight="1">
      <c r="A84" s="199" t="s">
        <v>577</v>
      </c>
      <c r="B84" s="162" t="s">
        <v>578</v>
      </c>
      <c r="C84" s="164" t="s">
        <v>559</v>
      </c>
      <c r="D84" s="195">
        <v>0.743</v>
      </c>
      <c r="E84" s="196"/>
      <c r="F84" s="196">
        <v>0.743</v>
      </c>
      <c r="G84" s="219">
        <v>0.0028</v>
      </c>
      <c r="H84" s="220"/>
      <c r="I84" s="220">
        <v>0.0028</v>
      </c>
      <c r="J84" s="219">
        <v>2.59E-5</v>
      </c>
      <c r="K84" s="191"/>
      <c r="L84" s="191">
        <v>2.59E-5</v>
      </c>
      <c r="M84" s="219">
        <v>0.00278</v>
      </c>
      <c r="N84" s="191"/>
      <c r="O84" s="191">
        <v>0.00278</v>
      </c>
      <c r="P84" s="189">
        <v>3.65E-4</v>
      </c>
      <c r="Q84" s="220"/>
      <c r="R84" s="220">
        <v>3.65E-4</v>
      </c>
      <c r="S84" s="173" t="s">
        <v>3606</v>
      </c>
      <c r="T84" s="575"/>
      <c r="U84" s="575"/>
      <c r="V84" s="575"/>
      <c r="W84" s="575"/>
      <c r="X84" s="575"/>
      <c r="Y84" s="575"/>
      <c r="Z84" s="575"/>
    </row>
    <row r="85" ht="12.75" customHeight="1">
      <c r="A85" s="199" t="s">
        <v>441</v>
      </c>
      <c r="B85" s="162" t="s">
        <v>442</v>
      </c>
      <c r="C85" s="164" t="s">
        <v>3607</v>
      </c>
      <c r="D85" s="195">
        <v>130000.0</v>
      </c>
      <c r="E85" s="196"/>
      <c r="F85" s="196">
        <v>130000.0</v>
      </c>
      <c r="G85" s="219">
        <v>268.0</v>
      </c>
      <c r="H85" s="220"/>
      <c r="I85" s="220">
        <v>268.0</v>
      </c>
      <c r="J85" s="219">
        <v>9.57</v>
      </c>
      <c r="K85" s="191"/>
      <c r="L85" s="191">
        <v>9.57</v>
      </c>
      <c r="M85" s="219">
        <v>258.0</v>
      </c>
      <c r="N85" s="191"/>
      <c r="O85" s="191">
        <v>258.0</v>
      </c>
      <c r="P85" s="189">
        <v>50.2</v>
      </c>
      <c r="Q85" s="220"/>
      <c r="R85" s="220">
        <v>50.2</v>
      </c>
      <c r="S85" s="173" t="s">
        <v>3608</v>
      </c>
      <c r="T85" s="575"/>
      <c r="U85" s="575"/>
      <c r="V85" s="575"/>
      <c r="W85" s="575"/>
      <c r="X85" s="575"/>
      <c r="Y85" s="575"/>
      <c r="Z85" s="575"/>
    </row>
    <row r="86" ht="12.75" customHeight="1">
      <c r="A86" s="199" t="s">
        <v>446</v>
      </c>
      <c r="B86" s="162" t="s">
        <v>447</v>
      </c>
      <c r="C86" s="164" t="s">
        <v>3609</v>
      </c>
      <c r="D86" s="195">
        <v>130000.0</v>
      </c>
      <c r="E86" s="196"/>
      <c r="F86" s="196">
        <v>130000.0</v>
      </c>
      <c r="G86" s="219">
        <v>268.0</v>
      </c>
      <c r="H86" s="220"/>
      <c r="I86" s="220">
        <v>268.0</v>
      </c>
      <c r="J86" s="219">
        <v>9.57</v>
      </c>
      <c r="K86" s="191"/>
      <c r="L86" s="191">
        <v>9.57</v>
      </c>
      <c r="M86" s="219">
        <v>258.0</v>
      </c>
      <c r="N86" s="191"/>
      <c r="O86" s="191">
        <v>258.0</v>
      </c>
      <c r="P86" s="189">
        <v>50.2</v>
      </c>
      <c r="Q86" s="220"/>
      <c r="R86" s="220">
        <v>50.2</v>
      </c>
      <c r="S86" s="173" t="s">
        <v>3610</v>
      </c>
      <c r="T86" s="575"/>
      <c r="U86" s="575"/>
      <c r="V86" s="575"/>
      <c r="W86" s="575"/>
      <c r="X86" s="575"/>
      <c r="Y86" s="575"/>
      <c r="Z86" s="575"/>
    </row>
    <row r="87" ht="12.75" customHeight="1">
      <c r="A87" s="199" t="s">
        <v>451</v>
      </c>
      <c r="B87" s="162" t="s">
        <v>452</v>
      </c>
      <c r="C87" s="164" t="s">
        <v>3611</v>
      </c>
      <c r="D87" s="195">
        <v>86200.0</v>
      </c>
      <c r="E87" s="196"/>
      <c r="F87" s="196">
        <v>86200.0</v>
      </c>
      <c r="G87" s="219">
        <v>177.0</v>
      </c>
      <c r="H87" s="220"/>
      <c r="I87" s="220">
        <v>177.0</v>
      </c>
      <c r="J87" s="219">
        <v>6.32</v>
      </c>
      <c r="K87" s="191"/>
      <c r="L87" s="191">
        <v>6.32</v>
      </c>
      <c r="M87" s="219">
        <v>170.0</v>
      </c>
      <c r="N87" s="191"/>
      <c r="O87" s="191">
        <v>170.0</v>
      </c>
      <c r="P87" s="189">
        <v>33.1</v>
      </c>
      <c r="Q87" s="220"/>
      <c r="R87" s="220">
        <v>33.1</v>
      </c>
      <c r="S87" s="173" t="s">
        <v>3612</v>
      </c>
      <c r="T87" s="575"/>
      <c r="U87" s="575"/>
      <c r="V87" s="575"/>
      <c r="W87" s="575"/>
      <c r="X87" s="575"/>
      <c r="Y87" s="575"/>
      <c r="Z87" s="575"/>
    </row>
    <row r="88" ht="12.75" customHeight="1">
      <c r="A88" s="199" t="s">
        <v>456</v>
      </c>
      <c r="B88" s="162" t="s">
        <v>457</v>
      </c>
      <c r="C88" s="164" t="s">
        <v>3613</v>
      </c>
      <c r="D88" s="195">
        <v>18900.0</v>
      </c>
      <c r="E88" s="196"/>
      <c r="F88" s="196">
        <v>18900.0</v>
      </c>
      <c r="G88" s="219">
        <v>38.8</v>
      </c>
      <c r="H88" s="220"/>
      <c r="I88" s="220">
        <v>38.8</v>
      </c>
      <c r="J88" s="219">
        <v>1.39</v>
      </c>
      <c r="K88" s="191"/>
      <c r="L88" s="191">
        <v>1.39</v>
      </c>
      <c r="M88" s="219">
        <v>37.5</v>
      </c>
      <c r="N88" s="191"/>
      <c r="O88" s="191">
        <v>37.5</v>
      </c>
      <c r="P88" s="189">
        <v>7.28</v>
      </c>
      <c r="Q88" s="220"/>
      <c r="R88" s="220">
        <v>7.28</v>
      </c>
      <c r="S88" s="173" t="s">
        <v>3614</v>
      </c>
      <c r="T88" s="575"/>
      <c r="U88" s="575"/>
      <c r="V88" s="575"/>
      <c r="W88" s="575"/>
      <c r="X88" s="575"/>
      <c r="Y88" s="575"/>
      <c r="Z88" s="575"/>
    </row>
    <row r="89" ht="12.75" customHeight="1">
      <c r="A89" s="199" t="s">
        <v>461</v>
      </c>
      <c r="B89" s="162" t="s">
        <v>462</v>
      </c>
      <c r="C89" s="164" t="s">
        <v>3615</v>
      </c>
      <c r="D89" s="195">
        <v>30100.0</v>
      </c>
      <c r="E89" s="196"/>
      <c r="F89" s="196">
        <v>30100.0</v>
      </c>
      <c r="G89" s="219">
        <v>61.7</v>
      </c>
      <c r="H89" s="220"/>
      <c r="I89" s="220">
        <v>61.7</v>
      </c>
      <c r="J89" s="219">
        <v>2.2</v>
      </c>
      <c r="K89" s="191"/>
      <c r="L89" s="191">
        <v>2.2</v>
      </c>
      <c r="M89" s="219">
        <v>59.5</v>
      </c>
      <c r="N89" s="191"/>
      <c r="O89" s="191">
        <v>59.5</v>
      </c>
      <c r="P89" s="189">
        <v>11.6</v>
      </c>
      <c r="Q89" s="220"/>
      <c r="R89" s="220">
        <v>11.6</v>
      </c>
      <c r="S89" s="173" t="s">
        <v>3616</v>
      </c>
      <c r="T89" s="575"/>
      <c r="U89" s="575"/>
      <c r="V89" s="575"/>
      <c r="W89" s="575"/>
      <c r="X89" s="575"/>
      <c r="Y89" s="575"/>
      <c r="Z89" s="575"/>
    </row>
    <row r="90" ht="12.75" customHeight="1">
      <c r="A90" s="199" t="s">
        <v>466</v>
      </c>
      <c r="B90" s="162" t="s">
        <v>467</v>
      </c>
      <c r="C90" s="164" t="s">
        <v>3617</v>
      </c>
      <c r="D90" s="195">
        <v>17800.0</v>
      </c>
      <c r="E90" s="196"/>
      <c r="F90" s="196">
        <v>17800.0</v>
      </c>
      <c r="G90" s="219">
        <v>36.5</v>
      </c>
      <c r="H90" s="220"/>
      <c r="I90" s="220">
        <v>36.5</v>
      </c>
      <c r="J90" s="219">
        <v>1.31</v>
      </c>
      <c r="K90" s="191"/>
      <c r="L90" s="191">
        <v>1.31</v>
      </c>
      <c r="M90" s="219">
        <v>35.2</v>
      </c>
      <c r="N90" s="191"/>
      <c r="O90" s="191">
        <v>35.2</v>
      </c>
      <c r="P90" s="189">
        <v>6.84</v>
      </c>
      <c r="Q90" s="220"/>
      <c r="R90" s="220">
        <v>6.84</v>
      </c>
      <c r="S90" s="173" t="s">
        <v>3618</v>
      </c>
      <c r="T90" s="575"/>
      <c r="U90" s="575"/>
      <c r="V90" s="575"/>
      <c r="W90" s="575"/>
      <c r="X90" s="575"/>
      <c r="Y90" s="575"/>
      <c r="Z90" s="575"/>
    </row>
    <row r="91" ht="12.75" customHeight="1">
      <c r="A91" s="199" t="s">
        <v>471</v>
      </c>
      <c r="B91" s="162" t="s">
        <v>472</v>
      </c>
      <c r="C91" s="164" t="s">
        <v>3619</v>
      </c>
      <c r="D91" s="195">
        <v>20600.0</v>
      </c>
      <c r="E91" s="196"/>
      <c r="F91" s="196">
        <v>20600.0</v>
      </c>
      <c r="G91" s="219">
        <v>42.2</v>
      </c>
      <c r="H91" s="220"/>
      <c r="I91" s="220">
        <v>42.2</v>
      </c>
      <c r="J91" s="219">
        <v>1.51</v>
      </c>
      <c r="K91" s="191"/>
      <c r="L91" s="191">
        <v>1.51</v>
      </c>
      <c r="M91" s="219">
        <v>40.7</v>
      </c>
      <c r="N91" s="191"/>
      <c r="O91" s="191">
        <v>40.7</v>
      </c>
      <c r="P91" s="189">
        <v>7.9</v>
      </c>
      <c r="Q91" s="220"/>
      <c r="R91" s="220">
        <v>7.9</v>
      </c>
      <c r="S91" s="173" t="s">
        <v>3620</v>
      </c>
      <c r="T91" s="575"/>
      <c r="U91" s="575"/>
      <c r="V91" s="575"/>
      <c r="W91" s="575"/>
      <c r="X91" s="575"/>
      <c r="Y91" s="575"/>
      <c r="Z91" s="575"/>
    </row>
    <row r="92" ht="12.75" customHeight="1">
      <c r="A92" s="199" t="s">
        <v>476</v>
      </c>
      <c r="B92" s="162" t="s">
        <v>3621</v>
      </c>
      <c r="C92" s="164" t="s">
        <v>3622</v>
      </c>
      <c r="D92" s="195">
        <v>65500.0</v>
      </c>
      <c r="E92" s="196"/>
      <c r="F92" s="196">
        <v>65500.0</v>
      </c>
      <c r="G92" s="219">
        <v>135.0</v>
      </c>
      <c r="H92" s="220"/>
      <c r="I92" s="220">
        <v>135.0</v>
      </c>
      <c r="J92" s="219">
        <v>4.76</v>
      </c>
      <c r="K92" s="191"/>
      <c r="L92" s="191">
        <v>4.76</v>
      </c>
      <c r="M92" s="219">
        <v>130.0</v>
      </c>
      <c r="N92" s="191"/>
      <c r="O92" s="191">
        <v>130.0</v>
      </c>
      <c r="P92" s="189">
        <v>25.2</v>
      </c>
      <c r="Q92" s="220"/>
      <c r="R92" s="220">
        <v>25.2</v>
      </c>
      <c r="S92" s="173" t="s">
        <v>3623</v>
      </c>
      <c r="T92" s="575"/>
      <c r="U92" s="575"/>
      <c r="V92" s="575"/>
      <c r="W92" s="575"/>
      <c r="X92" s="575"/>
      <c r="Y92" s="575"/>
      <c r="Z92" s="575"/>
    </row>
    <row r="93" ht="12.75" customHeight="1">
      <c r="A93" s="199" t="s">
        <v>481</v>
      </c>
      <c r="B93" s="162" t="s">
        <v>3624</v>
      </c>
      <c r="C93" s="164" t="s">
        <v>3625</v>
      </c>
      <c r="D93" s="195">
        <v>129000.0</v>
      </c>
      <c r="E93" s="196"/>
      <c r="F93" s="196">
        <v>129000.0</v>
      </c>
      <c r="G93" s="219">
        <v>265.0</v>
      </c>
      <c r="H93" s="220"/>
      <c r="I93" s="220">
        <v>265.0</v>
      </c>
      <c r="J93" s="219">
        <v>9.43</v>
      </c>
      <c r="K93" s="191"/>
      <c r="L93" s="191">
        <v>9.43</v>
      </c>
      <c r="M93" s="219">
        <v>256.0</v>
      </c>
      <c r="N93" s="191"/>
      <c r="O93" s="191">
        <v>256.0</v>
      </c>
      <c r="P93" s="189">
        <v>49.6</v>
      </c>
      <c r="Q93" s="220"/>
      <c r="R93" s="220">
        <v>49.6</v>
      </c>
      <c r="S93" s="173" t="s">
        <v>3626</v>
      </c>
      <c r="T93" s="575"/>
      <c r="U93" s="575"/>
      <c r="V93" s="575"/>
      <c r="W93" s="575"/>
      <c r="X93" s="575"/>
      <c r="Y93" s="575"/>
      <c r="Z93" s="575"/>
    </row>
    <row r="94" ht="12.75" customHeight="1">
      <c r="A94" s="199" t="s">
        <v>486</v>
      </c>
      <c r="B94" s="162" t="s">
        <v>487</v>
      </c>
      <c r="C94" s="164" t="s">
        <v>3627</v>
      </c>
      <c r="D94" s="195">
        <v>0.0</v>
      </c>
      <c r="E94" s="196"/>
      <c r="F94" s="196">
        <v>0.0</v>
      </c>
      <c r="G94" s="219">
        <v>0.0</v>
      </c>
      <c r="H94" s="220"/>
      <c r="I94" s="220">
        <v>0.0</v>
      </c>
      <c r="J94" s="219">
        <v>0.0</v>
      </c>
      <c r="K94" s="191"/>
      <c r="L94" s="191">
        <v>0.0</v>
      </c>
      <c r="M94" s="219">
        <v>0.0</v>
      </c>
      <c r="N94" s="191"/>
      <c r="O94" s="191">
        <v>0.0</v>
      </c>
      <c r="P94" s="189">
        <v>0.0</v>
      </c>
      <c r="Q94" s="220"/>
      <c r="R94" s="220">
        <v>0.0</v>
      </c>
      <c r="S94" s="173" t="s">
        <v>3628</v>
      </c>
      <c r="T94" s="575"/>
      <c r="U94" s="575"/>
      <c r="V94" s="575"/>
      <c r="W94" s="575"/>
      <c r="X94" s="575"/>
      <c r="Y94" s="575"/>
      <c r="Z94" s="575"/>
    </row>
    <row r="95" ht="12.75" customHeight="1">
      <c r="A95" s="199" t="s">
        <v>491</v>
      </c>
      <c r="B95" s="162" t="s">
        <v>492</v>
      </c>
      <c r="C95" s="164" t="s">
        <v>3629</v>
      </c>
      <c r="D95" s="195">
        <v>0.0</v>
      </c>
      <c r="E95" s="196"/>
      <c r="F95" s="196">
        <v>0.0</v>
      </c>
      <c r="G95" s="219">
        <v>0.0</v>
      </c>
      <c r="H95" s="220"/>
      <c r="I95" s="220">
        <v>0.0</v>
      </c>
      <c r="J95" s="219">
        <v>0.0</v>
      </c>
      <c r="K95" s="191"/>
      <c r="L95" s="191">
        <v>0.0</v>
      </c>
      <c r="M95" s="219">
        <v>0.0</v>
      </c>
      <c r="N95" s="191"/>
      <c r="O95" s="191">
        <v>0.0</v>
      </c>
      <c r="P95" s="189">
        <v>0.0</v>
      </c>
      <c r="Q95" s="220"/>
      <c r="R95" s="220">
        <v>0.0</v>
      </c>
      <c r="S95" s="173" t="s">
        <v>3630</v>
      </c>
      <c r="T95" s="575"/>
      <c r="U95" s="575"/>
      <c r="V95" s="575"/>
      <c r="W95" s="575"/>
      <c r="X95" s="575"/>
      <c r="Y95" s="575"/>
      <c r="Z95" s="575"/>
    </row>
    <row r="96" ht="12.75" customHeight="1">
      <c r="A96" s="199" t="s">
        <v>496</v>
      </c>
      <c r="B96" s="162" t="s">
        <v>497</v>
      </c>
      <c r="C96" s="164" t="s">
        <v>3631</v>
      </c>
      <c r="D96" s="195">
        <v>0.0</v>
      </c>
      <c r="E96" s="196"/>
      <c r="F96" s="196">
        <v>0.0</v>
      </c>
      <c r="G96" s="219">
        <v>0.0</v>
      </c>
      <c r="H96" s="220"/>
      <c r="I96" s="220">
        <v>0.0</v>
      </c>
      <c r="J96" s="219">
        <v>0.0</v>
      </c>
      <c r="K96" s="191"/>
      <c r="L96" s="191">
        <v>0.0</v>
      </c>
      <c r="M96" s="219">
        <v>0.0</v>
      </c>
      <c r="N96" s="191"/>
      <c r="O96" s="191">
        <v>0.0</v>
      </c>
      <c r="P96" s="189">
        <v>0.0</v>
      </c>
      <c r="Q96" s="220"/>
      <c r="R96" s="220">
        <v>0.0</v>
      </c>
      <c r="S96" s="173" t="s">
        <v>3632</v>
      </c>
      <c r="T96" s="575"/>
      <c r="U96" s="575"/>
      <c r="V96" s="575"/>
      <c r="W96" s="575"/>
      <c r="X96" s="575"/>
      <c r="Y96" s="575"/>
      <c r="Z96" s="575"/>
    </row>
    <row r="97" ht="12.75" customHeight="1">
      <c r="A97" s="199" t="s">
        <v>501</v>
      </c>
      <c r="B97" s="162" t="s">
        <v>502</v>
      </c>
      <c r="C97" s="164" t="s">
        <v>334</v>
      </c>
      <c r="D97" s="195">
        <v>0.0</v>
      </c>
      <c r="E97" s="196"/>
      <c r="F97" s="196">
        <v>0.0</v>
      </c>
      <c r="G97" s="219">
        <v>0.0</v>
      </c>
      <c r="H97" s="220"/>
      <c r="I97" s="220">
        <v>0.0</v>
      </c>
      <c r="J97" s="219">
        <v>0.0</v>
      </c>
      <c r="K97" s="191"/>
      <c r="L97" s="191">
        <v>0.0</v>
      </c>
      <c r="M97" s="219">
        <v>0.0</v>
      </c>
      <c r="N97" s="191"/>
      <c r="O97" s="191">
        <v>0.0</v>
      </c>
      <c r="P97" s="189">
        <v>0.0</v>
      </c>
      <c r="Q97" s="220"/>
      <c r="R97" s="220">
        <v>0.0</v>
      </c>
      <c r="S97" s="173" t="s">
        <v>3633</v>
      </c>
      <c r="T97" s="575"/>
      <c r="U97" s="575"/>
      <c r="V97" s="575"/>
      <c r="W97" s="575"/>
      <c r="X97" s="575"/>
      <c r="Y97" s="575"/>
      <c r="Z97" s="575"/>
    </row>
    <row r="98" ht="12.75" customHeight="1">
      <c r="A98" s="199" t="s">
        <v>505</v>
      </c>
      <c r="B98" s="162" t="s">
        <v>3634</v>
      </c>
      <c r="C98" s="164" t="s">
        <v>334</v>
      </c>
      <c r="D98" s="195">
        <v>0.0</v>
      </c>
      <c r="E98" s="196"/>
      <c r="F98" s="196">
        <v>0.0</v>
      </c>
      <c r="G98" s="219">
        <v>0.0</v>
      </c>
      <c r="H98" s="220"/>
      <c r="I98" s="220">
        <v>0.0</v>
      </c>
      <c r="J98" s="219">
        <v>0.0</v>
      </c>
      <c r="K98" s="191"/>
      <c r="L98" s="191">
        <v>0.0</v>
      </c>
      <c r="M98" s="219">
        <v>0.0</v>
      </c>
      <c r="N98" s="191"/>
      <c r="O98" s="191">
        <v>0.0</v>
      </c>
      <c r="P98" s="189">
        <v>0.0</v>
      </c>
      <c r="Q98" s="220"/>
      <c r="R98" s="220">
        <v>0.0</v>
      </c>
      <c r="S98" s="173" t="s">
        <v>3635</v>
      </c>
      <c r="T98" s="575"/>
      <c r="U98" s="575"/>
      <c r="V98" s="575"/>
      <c r="W98" s="575"/>
      <c r="X98" s="575"/>
      <c r="Y98" s="575"/>
      <c r="Z98" s="575"/>
    </row>
    <row r="99" ht="12.75" customHeight="1">
      <c r="A99" s="199" t="s">
        <v>509</v>
      </c>
      <c r="B99" s="162" t="s">
        <v>3636</v>
      </c>
      <c r="C99" s="164" t="s">
        <v>334</v>
      </c>
      <c r="D99" s="195">
        <v>0.0</v>
      </c>
      <c r="E99" s="196"/>
      <c r="F99" s="196">
        <v>0.0</v>
      </c>
      <c r="G99" s="219">
        <v>0.0</v>
      </c>
      <c r="H99" s="220"/>
      <c r="I99" s="220">
        <v>0.0</v>
      </c>
      <c r="J99" s="219">
        <v>0.0</v>
      </c>
      <c r="K99" s="191"/>
      <c r="L99" s="191">
        <v>0.0</v>
      </c>
      <c r="M99" s="219">
        <v>0.0</v>
      </c>
      <c r="N99" s="191"/>
      <c r="O99" s="191">
        <v>0.0</v>
      </c>
      <c r="P99" s="189">
        <v>0.0</v>
      </c>
      <c r="Q99" s="220"/>
      <c r="R99" s="220">
        <v>0.0</v>
      </c>
      <c r="S99" s="173" t="s">
        <v>3637</v>
      </c>
      <c r="T99" s="575"/>
      <c r="U99" s="575"/>
      <c r="V99" s="575"/>
      <c r="W99" s="575"/>
      <c r="X99" s="575"/>
      <c r="Y99" s="575"/>
      <c r="Z99" s="575"/>
    </row>
    <row r="100" ht="12.75" customHeight="1">
      <c r="A100" s="199" t="s">
        <v>513</v>
      </c>
      <c r="B100" s="162" t="s">
        <v>3638</v>
      </c>
      <c r="C100" s="164" t="s">
        <v>334</v>
      </c>
      <c r="D100" s="195">
        <v>0.0</v>
      </c>
      <c r="E100" s="196"/>
      <c r="F100" s="196">
        <v>0.0</v>
      </c>
      <c r="G100" s="219">
        <v>0.0</v>
      </c>
      <c r="H100" s="220"/>
      <c r="I100" s="220">
        <v>0.0</v>
      </c>
      <c r="J100" s="219">
        <v>0.0</v>
      </c>
      <c r="K100" s="191"/>
      <c r="L100" s="191">
        <v>0.0</v>
      </c>
      <c r="M100" s="219">
        <v>0.0</v>
      </c>
      <c r="N100" s="191"/>
      <c r="O100" s="191">
        <v>0.0</v>
      </c>
      <c r="P100" s="189">
        <v>0.0</v>
      </c>
      <c r="Q100" s="220"/>
      <c r="R100" s="220">
        <v>0.0</v>
      </c>
      <c r="S100" s="173" t="s">
        <v>3639</v>
      </c>
      <c r="T100" s="575"/>
      <c r="U100" s="575"/>
      <c r="V100" s="575"/>
      <c r="W100" s="575"/>
      <c r="X100" s="575"/>
      <c r="Y100" s="575"/>
      <c r="Z100" s="575"/>
    </row>
    <row r="101" ht="12.75" customHeight="1">
      <c r="A101" s="199" t="s">
        <v>517</v>
      </c>
      <c r="B101" s="162" t="s">
        <v>3640</v>
      </c>
      <c r="C101" s="164" t="s">
        <v>334</v>
      </c>
      <c r="D101" s="195">
        <v>0.0</v>
      </c>
      <c r="E101" s="196"/>
      <c r="F101" s="196">
        <v>0.0</v>
      </c>
      <c r="G101" s="219">
        <v>0.0</v>
      </c>
      <c r="H101" s="220"/>
      <c r="I101" s="220">
        <v>0.0</v>
      </c>
      <c r="J101" s="219">
        <v>0.0</v>
      </c>
      <c r="K101" s="191"/>
      <c r="L101" s="191">
        <v>0.0</v>
      </c>
      <c r="M101" s="219">
        <v>0.0</v>
      </c>
      <c r="N101" s="191"/>
      <c r="O101" s="191">
        <v>0.0</v>
      </c>
      <c r="P101" s="189">
        <v>0.0</v>
      </c>
      <c r="Q101" s="220"/>
      <c r="R101" s="220">
        <v>0.0</v>
      </c>
      <c r="S101" s="173" t="s">
        <v>3641</v>
      </c>
      <c r="T101" s="575"/>
      <c r="U101" s="575"/>
      <c r="V101" s="575"/>
      <c r="W101" s="575"/>
      <c r="X101" s="575"/>
      <c r="Y101" s="575"/>
      <c r="Z101" s="575"/>
    </row>
    <row r="102" ht="12.75" customHeight="1">
      <c r="A102" s="199" t="s">
        <v>521</v>
      </c>
      <c r="B102" s="162" t="s">
        <v>3642</v>
      </c>
      <c r="C102" s="164" t="s">
        <v>334</v>
      </c>
      <c r="D102" s="195">
        <v>0.0</v>
      </c>
      <c r="E102" s="196"/>
      <c r="F102" s="196">
        <v>0.0</v>
      </c>
      <c r="G102" s="219">
        <v>0.0</v>
      </c>
      <c r="H102" s="220"/>
      <c r="I102" s="220">
        <v>0.0</v>
      </c>
      <c r="J102" s="219">
        <v>0.0</v>
      </c>
      <c r="K102" s="191"/>
      <c r="L102" s="191">
        <v>0.0</v>
      </c>
      <c r="M102" s="219">
        <v>0.0</v>
      </c>
      <c r="N102" s="191"/>
      <c r="O102" s="191">
        <v>0.0</v>
      </c>
      <c r="P102" s="189">
        <v>0.0</v>
      </c>
      <c r="Q102" s="220"/>
      <c r="R102" s="220">
        <v>0.0</v>
      </c>
      <c r="S102" s="173" t="s">
        <v>3643</v>
      </c>
      <c r="T102" s="575"/>
      <c r="U102" s="575"/>
      <c r="V102" s="575"/>
      <c r="W102" s="575"/>
      <c r="X102" s="575"/>
      <c r="Y102" s="575"/>
      <c r="Z102" s="575"/>
    </row>
    <row r="103" ht="12.75" customHeight="1">
      <c r="A103" s="199" t="s">
        <v>525</v>
      </c>
      <c r="B103" s="162" t="s">
        <v>526</v>
      </c>
      <c r="C103" s="164" t="s">
        <v>334</v>
      </c>
      <c r="D103" s="195">
        <v>0.0</v>
      </c>
      <c r="E103" s="196"/>
      <c r="F103" s="196">
        <v>0.0</v>
      </c>
      <c r="G103" s="219">
        <v>0.0</v>
      </c>
      <c r="H103" s="220"/>
      <c r="I103" s="220">
        <v>0.0</v>
      </c>
      <c r="J103" s="219">
        <v>0.0</v>
      </c>
      <c r="K103" s="191"/>
      <c r="L103" s="191">
        <v>0.0</v>
      </c>
      <c r="M103" s="219">
        <v>0.0</v>
      </c>
      <c r="N103" s="191"/>
      <c r="O103" s="191">
        <v>0.0</v>
      </c>
      <c r="P103" s="189">
        <v>0.0</v>
      </c>
      <c r="Q103" s="220"/>
      <c r="R103" s="220">
        <v>0.0</v>
      </c>
      <c r="S103" s="173" t="s">
        <v>3644</v>
      </c>
      <c r="T103" s="575"/>
      <c r="U103" s="575"/>
      <c r="V103" s="575"/>
      <c r="W103" s="575"/>
      <c r="X103" s="575"/>
      <c r="Y103" s="575"/>
      <c r="Z103" s="575"/>
    </row>
    <row r="104" ht="12.75" customHeight="1">
      <c r="A104" s="199" t="s">
        <v>529</v>
      </c>
      <c r="B104" s="162" t="s">
        <v>530</v>
      </c>
      <c r="C104" s="164" t="s">
        <v>334</v>
      </c>
      <c r="D104" s="195">
        <v>0.0</v>
      </c>
      <c r="E104" s="196"/>
      <c r="F104" s="196">
        <v>0.0</v>
      </c>
      <c r="G104" s="219">
        <v>0.0</v>
      </c>
      <c r="H104" s="220"/>
      <c r="I104" s="220">
        <v>0.0</v>
      </c>
      <c r="J104" s="219">
        <v>0.0</v>
      </c>
      <c r="K104" s="191"/>
      <c r="L104" s="191">
        <v>0.0</v>
      </c>
      <c r="M104" s="219">
        <v>0.0</v>
      </c>
      <c r="N104" s="191"/>
      <c r="O104" s="191">
        <v>0.0</v>
      </c>
      <c r="P104" s="189">
        <v>0.0</v>
      </c>
      <c r="Q104" s="220"/>
      <c r="R104" s="220">
        <v>0.0</v>
      </c>
      <c r="S104" s="173" t="s">
        <v>3645</v>
      </c>
      <c r="T104" s="575"/>
      <c r="U104" s="575"/>
      <c r="V104" s="575"/>
      <c r="W104" s="575"/>
      <c r="X104" s="575"/>
      <c r="Y104" s="575"/>
      <c r="Z104" s="575"/>
    </row>
    <row r="105" ht="12.75" customHeight="1">
      <c r="A105" s="199" t="s">
        <v>533</v>
      </c>
      <c r="B105" s="162" t="s">
        <v>3646</v>
      </c>
      <c r="C105" s="174" t="s">
        <v>3647</v>
      </c>
      <c r="D105" s="195">
        <v>0.0</v>
      </c>
      <c r="E105" s="196"/>
      <c r="F105" s="196">
        <v>0.0</v>
      </c>
      <c r="G105" s="219">
        <v>0.0</v>
      </c>
      <c r="H105" s="220"/>
      <c r="I105" s="220">
        <v>0.0</v>
      </c>
      <c r="J105" s="219">
        <v>0.0</v>
      </c>
      <c r="K105" s="191"/>
      <c r="L105" s="191">
        <v>0.0</v>
      </c>
      <c r="M105" s="219">
        <v>0.0</v>
      </c>
      <c r="N105" s="191"/>
      <c r="O105" s="191">
        <v>0.0</v>
      </c>
      <c r="P105" s="189">
        <v>0.0</v>
      </c>
      <c r="Q105" s="220"/>
      <c r="R105" s="220">
        <v>0.0</v>
      </c>
      <c r="S105" s="173" t="s">
        <v>3648</v>
      </c>
      <c r="T105" s="575"/>
      <c r="U105" s="575"/>
      <c r="V105" s="575"/>
      <c r="W105" s="575"/>
      <c r="X105" s="575"/>
      <c r="Y105" s="575"/>
      <c r="Z105" s="575"/>
    </row>
    <row r="106" ht="12.75" customHeight="1">
      <c r="A106" s="199" t="s">
        <v>538</v>
      </c>
      <c r="B106" s="162" t="s">
        <v>3649</v>
      </c>
      <c r="C106" s="174" t="s">
        <v>3650</v>
      </c>
      <c r="D106" s="195">
        <v>0.0</v>
      </c>
      <c r="E106" s="196"/>
      <c r="F106" s="196">
        <v>0.0</v>
      </c>
      <c r="G106" s="219">
        <v>0.0</v>
      </c>
      <c r="H106" s="220"/>
      <c r="I106" s="220">
        <v>0.0</v>
      </c>
      <c r="J106" s="219">
        <v>0.0</v>
      </c>
      <c r="K106" s="191"/>
      <c r="L106" s="191">
        <v>0.0</v>
      </c>
      <c r="M106" s="219">
        <v>0.0</v>
      </c>
      <c r="N106" s="191"/>
      <c r="O106" s="191">
        <v>0.0</v>
      </c>
      <c r="P106" s="189">
        <v>0.0</v>
      </c>
      <c r="Q106" s="220"/>
      <c r="R106" s="220">
        <v>0.0</v>
      </c>
      <c r="S106" s="173" t="s">
        <v>3651</v>
      </c>
      <c r="T106" s="575"/>
      <c r="U106" s="575"/>
      <c r="V106" s="575"/>
      <c r="W106" s="575"/>
      <c r="X106" s="575"/>
      <c r="Y106" s="575"/>
      <c r="Z106" s="575"/>
    </row>
    <row r="107" ht="12.75" customHeight="1">
      <c r="A107" s="199" t="s">
        <v>543</v>
      </c>
      <c r="B107" s="162" t="s">
        <v>3652</v>
      </c>
      <c r="C107" s="174" t="s">
        <v>3653</v>
      </c>
      <c r="D107" s="195">
        <v>0.0</v>
      </c>
      <c r="E107" s="196"/>
      <c r="F107" s="196">
        <v>0.0</v>
      </c>
      <c r="G107" s="219">
        <v>0.0</v>
      </c>
      <c r="H107" s="220"/>
      <c r="I107" s="220">
        <v>0.0</v>
      </c>
      <c r="J107" s="219">
        <v>0.0</v>
      </c>
      <c r="K107" s="191"/>
      <c r="L107" s="191">
        <v>0.0</v>
      </c>
      <c r="M107" s="219">
        <v>0.0</v>
      </c>
      <c r="N107" s="191"/>
      <c r="O107" s="191">
        <v>0.0</v>
      </c>
      <c r="P107" s="189">
        <v>0.0</v>
      </c>
      <c r="Q107" s="220"/>
      <c r="R107" s="220">
        <v>0.0</v>
      </c>
      <c r="S107" s="173" t="s">
        <v>3654</v>
      </c>
      <c r="T107" s="575"/>
      <c r="U107" s="575"/>
      <c r="V107" s="575"/>
      <c r="W107" s="575"/>
      <c r="X107" s="575"/>
      <c r="Y107" s="575"/>
      <c r="Z107" s="575"/>
    </row>
    <row r="108" ht="12.75" customHeight="1">
      <c r="A108" s="199" t="s">
        <v>548</v>
      </c>
      <c r="B108" s="162" t="s">
        <v>3655</v>
      </c>
      <c r="C108" s="174" t="s">
        <v>3656</v>
      </c>
      <c r="D108" s="195">
        <v>0.0</v>
      </c>
      <c r="E108" s="196"/>
      <c r="F108" s="196">
        <v>0.0</v>
      </c>
      <c r="G108" s="219">
        <v>0.0</v>
      </c>
      <c r="H108" s="220"/>
      <c r="I108" s="220">
        <v>0.0</v>
      </c>
      <c r="J108" s="219">
        <v>0.0</v>
      </c>
      <c r="K108" s="191"/>
      <c r="L108" s="191">
        <v>0.0</v>
      </c>
      <c r="M108" s="219">
        <v>0.0</v>
      </c>
      <c r="N108" s="191"/>
      <c r="O108" s="191">
        <v>0.0</v>
      </c>
      <c r="P108" s="189">
        <v>0.0</v>
      </c>
      <c r="Q108" s="220"/>
      <c r="R108" s="220">
        <v>0.0</v>
      </c>
      <c r="S108" s="173" t="s">
        <v>3657</v>
      </c>
      <c r="T108" s="575"/>
      <c r="U108" s="575"/>
      <c r="V108" s="575"/>
      <c r="W108" s="575"/>
      <c r="X108" s="575"/>
      <c r="Y108" s="575"/>
      <c r="Z108" s="575"/>
    </row>
    <row r="109" ht="12.75" customHeight="1">
      <c r="A109" s="199" t="s">
        <v>706</v>
      </c>
      <c r="B109" s="162" t="s">
        <v>707</v>
      </c>
      <c r="C109" s="164" t="s">
        <v>559</v>
      </c>
      <c r="D109" s="195">
        <v>17.2</v>
      </c>
      <c r="E109" s="196"/>
      <c r="F109" s="196">
        <v>17.2</v>
      </c>
      <c r="G109" s="219">
        <v>0.0647</v>
      </c>
      <c r="H109" s="220"/>
      <c r="I109" s="220">
        <v>0.0647</v>
      </c>
      <c r="J109" s="219">
        <v>6.17E-4</v>
      </c>
      <c r="K109" s="191"/>
      <c r="L109" s="191">
        <v>6.17E-4</v>
      </c>
      <c r="M109" s="219">
        <v>0.0641</v>
      </c>
      <c r="N109" s="191"/>
      <c r="O109" s="191">
        <v>0.0641</v>
      </c>
      <c r="P109" s="189">
        <v>0.00913</v>
      </c>
      <c r="Q109" s="220"/>
      <c r="R109" s="220">
        <v>0.00913</v>
      </c>
      <c r="S109" s="173" t="s">
        <v>3658</v>
      </c>
      <c r="T109" s="575"/>
      <c r="U109" s="575"/>
      <c r="V109" s="575"/>
      <c r="W109" s="575"/>
      <c r="X109" s="575"/>
      <c r="Y109" s="575"/>
      <c r="Z109" s="575"/>
    </row>
    <row r="110" ht="12.75" customHeight="1">
      <c r="A110" s="199" t="s">
        <v>710</v>
      </c>
      <c r="B110" s="162" t="s">
        <v>711</v>
      </c>
      <c r="C110" s="164" t="s">
        <v>559</v>
      </c>
      <c r="D110" s="195">
        <v>17.2</v>
      </c>
      <c r="E110" s="196"/>
      <c r="F110" s="196">
        <v>17.2</v>
      </c>
      <c r="G110" s="219">
        <v>0.0647</v>
      </c>
      <c r="H110" s="220"/>
      <c r="I110" s="220">
        <v>0.0647</v>
      </c>
      <c r="J110" s="219">
        <v>6.17E-4</v>
      </c>
      <c r="K110" s="191"/>
      <c r="L110" s="191">
        <v>6.17E-4</v>
      </c>
      <c r="M110" s="219">
        <v>0.0641</v>
      </c>
      <c r="N110" s="191"/>
      <c r="O110" s="191">
        <v>0.0641</v>
      </c>
      <c r="P110" s="189">
        <v>0.00913</v>
      </c>
      <c r="Q110" s="220"/>
      <c r="R110" s="220">
        <v>0.00913</v>
      </c>
      <c r="S110" s="173" t="s">
        <v>3659</v>
      </c>
      <c r="T110" s="575"/>
      <c r="U110" s="575"/>
      <c r="V110" s="575"/>
      <c r="W110" s="575"/>
      <c r="X110" s="575"/>
      <c r="Y110" s="575"/>
      <c r="Z110" s="575"/>
    </row>
    <row r="111" ht="12.75" customHeight="1">
      <c r="A111" s="199" t="s">
        <v>695</v>
      </c>
      <c r="B111" s="162" t="s">
        <v>696</v>
      </c>
      <c r="C111" s="164" t="s">
        <v>559</v>
      </c>
      <c r="D111" s="195">
        <v>17.2</v>
      </c>
      <c r="E111" s="196"/>
      <c r="F111" s="196">
        <v>17.2</v>
      </c>
      <c r="G111" s="219">
        <v>0.0647</v>
      </c>
      <c r="H111" s="220"/>
      <c r="I111" s="220">
        <v>0.0647</v>
      </c>
      <c r="J111" s="219">
        <v>6.17E-4</v>
      </c>
      <c r="K111" s="191"/>
      <c r="L111" s="191">
        <v>6.17E-4</v>
      </c>
      <c r="M111" s="219">
        <v>0.0641</v>
      </c>
      <c r="N111" s="191"/>
      <c r="O111" s="191">
        <v>0.0641</v>
      </c>
      <c r="P111" s="189">
        <v>0.00913</v>
      </c>
      <c r="Q111" s="220"/>
      <c r="R111" s="220">
        <v>0.00913</v>
      </c>
      <c r="S111" s="173" t="s">
        <v>3660</v>
      </c>
      <c r="T111" s="575"/>
      <c r="U111" s="575"/>
      <c r="V111" s="575"/>
      <c r="W111" s="575"/>
      <c r="X111" s="575"/>
      <c r="Y111" s="575"/>
      <c r="Z111" s="575"/>
    </row>
    <row r="112" ht="12.75" customHeight="1">
      <c r="A112" s="199" t="s">
        <v>737</v>
      </c>
      <c r="B112" s="162" t="s">
        <v>738</v>
      </c>
      <c r="C112" s="164" t="s">
        <v>559</v>
      </c>
      <c r="D112" s="195">
        <v>18.5</v>
      </c>
      <c r="E112" s="196"/>
      <c r="F112" s="196">
        <v>18.5</v>
      </c>
      <c r="G112" s="219">
        <v>0.0698</v>
      </c>
      <c r="H112" s="220"/>
      <c r="I112" s="220">
        <v>0.0698</v>
      </c>
      <c r="J112" s="219">
        <v>6.62E-4</v>
      </c>
      <c r="K112" s="191"/>
      <c r="L112" s="191">
        <v>6.62E-4</v>
      </c>
      <c r="M112" s="219">
        <v>0.0691</v>
      </c>
      <c r="N112" s="191"/>
      <c r="O112" s="191">
        <v>0.0691</v>
      </c>
      <c r="P112" s="189">
        <v>0.00978</v>
      </c>
      <c r="Q112" s="220"/>
      <c r="R112" s="220">
        <v>0.00978</v>
      </c>
      <c r="S112" s="173" t="s">
        <v>3661</v>
      </c>
      <c r="T112" s="575"/>
      <c r="U112" s="575"/>
      <c r="V112" s="575"/>
      <c r="W112" s="575"/>
      <c r="X112" s="575"/>
      <c r="Y112" s="575"/>
      <c r="Z112" s="575"/>
    </row>
    <row r="113" ht="12.75" customHeight="1">
      <c r="A113" s="199" t="s">
        <v>742</v>
      </c>
      <c r="B113" s="162" t="s">
        <v>743</v>
      </c>
      <c r="C113" s="164" t="s">
        <v>559</v>
      </c>
      <c r="D113" s="195">
        <v>17.2</v>
      </c>
      <c r="E113" s="196"/>
      <c r="F113" s="196">
        <v>17.2</v>
      </c>
      <c r="G113" s="219">
        <v>0.0647</v>
      </c>
      <c r="H113" s="220"/>
      <c r="I113" s="220">
        <v>0.0647</v>
      </c>
      <c r="J113" s="219">
        <v>6.17E-4</v>
      </c>
      <c r="K113" s="191"/>
      <c r="L113" s="191">
        <v>6.17E-4</v>
      </c>
      <c r="M113" s="219">
        <v>0.0641</v>
      </c>
      <c r="N113" s="191"/>
      <c r="O113" s="191">
        <v>0.0641</v>
      </c>
      <c r="P113" s="189">
        <v>0.00913</v>
      </c>
      <c r="Q113" s="220"/>
      <c r="R113" s="220">
        <v>0.00913</v>
      </c>
      <c r="S113" s="173" t="s">
        <v>3662</v>
      </c>
      <c r="T113" s="575"/>
      <c r="U113" s="575"/>
      <c r="V113" s="575"/>
      <c r="W113" s="575"/>
      <c r="X113" s="575"/>
      <c r="Y113" s="575"/>
      <c r="Z113" s="575"/>
    </row>
    <row r="114" ht="12.75" customHeight="1">
      <c r="A114" s="199" t="s">
        <v>765</v>
      </c>
      <c r="B114" s="162" t="s">
        <v>3663</v>
      </c>
      <c r="C114" s="164" t="s">
        <v>3664</v>
      </c>
      <c r="D114" s="195">
        <v>4240.0</v>
      </c>
      <c r="E114" s="196"/>
      <c r="F114" s="196">
        <v>4240.0</v>
      </c>
      <c r="G114" s="219">
        <v>0.536</v>
      </c>
      <c r="H114" s="220"/>
      <c r="I114" s="220">
        <v>0.536</v>
      </c>
      <c r="J114" s="219">
        <v>0.0085</v>
      </c>
      <c r="K114" s="191"/>
      <c r="L114" s="191">
        <v>0.0085</v>
      </c>
      <c r="M114" s="219">
        <v>0.527</v>
      </c>
      <c r="N114" s="191"/>
      <c r="O114" s="191">
        <v>0.527</v>
      </c>
      <c r="P114" s="189">
        <v>8.58</v>
      </c>
      <c r="Q114" s="220"/>
      <c r="R114" s="220">
        <v>8.58</v>
      </c>
      <c r="S114" s="173" t="s">
        <v>3665</v>
      </c>
      <c r="T114" s="575"/>
      <c r="U114" s="575"/>
      <c r="V114" s="575"/>
      <c r="W114" s="575"/>
      <c r="X114" s="575"/>
      <c r="Y114" s="575"/>
      <c r="Z114" s="575"/>
    </row>
    <row r="115" ht="12.75" customHeight="1">
      <c r="A115" s="199" t="s">
        <v>895</v>
      </c>
      <c r="B115" s="162" t="s">
        <v>3666</v>
      </c>
      <c r="C115" s="164" t="s">
        <v>3667</v>
      </c>
      <c r="D115" s="195">
        <v>831.0</v>
      </c>
      <c r="E115" s="196"/>
      <c r="F115" s="196">
        <v>831.0</v>
      </c>
      <c r="G115" s="219">
        <v>0.479</v>
      </c>
      <c r="H115" s="220"/>
      <c r="I115" s="220">
        <v>0.479</v>
      </c>
      <c r="J115" s="219">
        <v>0.0309</v>
      </c>
      <c r="K115" s="191"/>
      <c r="L115" s="191">
        <v>0.0309</v>
      </c>
      <c r="M115" s="219">
        <v>0.448</v>
      </c>
      <c r="N115" s="191"/>
      <c r="O115" s="191">
        <v>0.448</v>
      </c>
      <c r="P115" s="189">
        <v>1.48</v>
      </c>
      <c r="Q115" s="220"/>
      <c r="R115" s="220">
        <v>1.48</v>
      </c>
      <c r="S115" s="173" t="s">
        <v>3668</v>
      </c>
      <c r="T115" s="575"/>
      <c r="U115" s="575"/>
      <c r="V115" s="575"/>
      <c r="W115" s="575"/>
      <c r="X115" s="575"/>
      <c r="Y115" s="575"/>
      <c r="Z115" s="575"/>
    </row>
    <row r="116" ht="12.75" customHeight="1">
      <c r="A116" s="199" t="s">
        <v>787</v>
      </c>
      <c r="B116" s="162" t="s">
        <v>788</v>
      </c>
      <c r="C116" s="164" t="s">
        <v>3669</v>
      </c>
      <c r="D116" s="195">
        <v>18600.0</v>
      </c>
      <c r="E116" s="196"/>
      <c r="F116" s="196">
        <v>18600.0</v>
      </c>
      <c r="G116" s="219">
        <v>3.54</v>
      </c>
      <c r="H116" s="220"/>
      <c r="I116" s="220">
        <v>3.54</v>
      </c>
      <c r="J116" s="219">
        <v>0.123</v>
      </c>
      <c r="K116" s="191"/>
      <c r="L116" s="191">
        <v>0.123</v>
      </c>
      <c r="M116" s="219">
        <v>3.42</v>
      </c>
      <c r="N116" s="191"/>
      <c r="O116" s="191">
        <v>3.42</v>
      </c>
      <c r="P116" s="189">
        <v>36.1</v>
      </c>
      <c r="Q116" s="220"/>
      <c r="R116" s="220">
        <v>36.1</v>
      </c>
      <c r="S116" s="173" t="s">
        <v>3670</v>
      </c>
      <c r="T116" s="575"/>
      <c r="U116" s="575"/>
      <c r="V116" s="575"/>
      <c r="W116" s="575"/>
      <c r="X116" s="575"/>
      <c r="Y116" s="575"/>
      <c r="Z116" s="575"/>
    </row>
    <row r="117" ht="12.75" customHeight="1" outlineLevel="1">
      <c r="A117" s="620" t="s">
        <v>793</v>
      </c>
      <c r="B117" s="201" t="s">
        <v>794</v>
      </c>
      <c r="C117" s="204" t="s">
        <v>3671</v>
      </c>
      <c r="D117" s="273">
        <v>10900.0</v>
      </c>
      <c r="E117" s="267"/>
      <c r="F117" s="267">
        <v>10900.0</v>
      </c>
      <c r="G117" s="209">
        <v>1.64</v>
      </c>
      <c r="H117" s="210"/>
      <c r="I117" s="210">
        <v>1.64</v>
      </c>
      <c r="J117" s="209">
        <v>0.0467</v>
      </c>
      <c r="K117" s="265"/>
      <c r="L117" s="265">
        <v>0.0467</v>
      </c>
      <c r="M117" s="209">
        <v>1.59</v>
      </c>
      <c r="N117" s="265"/>
      <c r="O117" s="265">
        <v>1.59</v>
      </c>
      <c r="P117" s="274">
        <v>21.4</v>
      </c>
      <c r="Q117" s="210"/>
      <c r="R117" s="210">
        <v>21.4</v>
      </c>
      <c r="S117" s="245" t="s">
        <v>3672</v>
      </c>
      <c r="T117" s="575"/>
      <c r="U117" s="575"/>
      <c r="V117" s="575"/>
      <c r="W117" s="575"/>
      <c r="X117" s="575"/>
      <c r="Y117" s="575"/>
      <c r="Z117" s="575"/>
    </row>
    <row r="118" ht="12.75" customHeight="1">
      <c r="A118" s="199" t="s">
        <v>771</v>
      </c>
      <c r="B118" s="162" t="s">
        <v>772</v>
      </c>
      <c r="C118" s="164" t="s">
        <v>3673</v>
      </c>
      <c r="D118" s="195">
        <v>6310.0</v>
      </c>
      <c r="E118" s="196"/>
      <c r="F118" s="196">
        <v>6310.0</v>
      </c>
      <c r="G118" s="219">
        <v>1.87</v>
      </c>
      <c r="H118" s="220"/>
      <c r="I118" s="220">
        <v>1.87</v>
      </c>
      <c r="J118" s="219">
        <v>0.044</v>
      </c>
      <c r="K118" s="191"/>
      <c r="L118" s="191">
        <v>0.044</v>
      </c>
      <c r="M118" s="219">
        <v>1.82</v>
      </c>
      <c r="N118" s="191"/>
      <c r="O118" s="191">
        <v>1.82</v>
      </c>
      <c r="P118" s="189">
        <v>11.1</v>
      </c>
      <c r="Q118" s="220"/>
      <c r="R118" s="220">
        <v>11.1</v>
      </c>
      <c r="S118" s="173" t="s">
        <v>3674</v>
      </c>
      <c r="T118" s="575"/>
      <c r="U118" s="575"/>
      <c r="V118" s="575"/>
      <c r="W118" s="575"/>
      <c r="X118" s="575"/>
      <c r="Y118" s="575"/>
      <c r="Z118" s="575"/>
    </row>
    <row r="119" ht="12.75" customHeight="1">
      <c r="A119" s="199" t="s">
        <v>823</v>
      </c>
      <c r="B119" s="162" t="s">
        <v>3675</v>
      </c>
      <c r="C119" s="164" t="s">
        <v>3676</v>
      </c>
      <c r="D119" s="195">
        <v>1730.0</v>
      </c>
      <c r="E119" s="196"/>
      <c r="F119" s="196">
        <v>1730.0</v>
      </c>
      <c r="G119" s="219">
        <v>1.32</v>
      </c>
      <c r="H119" s="220"/>
      <c r="I119" s="220">
        <v>1.32</v>
      </c>
      <c r="J119" s="219">
        <v>0.0158</v>
      </c>
      <c r="K119" s="191"/>
      <c r="L119" s="191">
        <v>0.0158</v>
      </c>
      <c r="M119" s="219">
        <v>1.3</v>
      </c>
      <c r="N119" s="191"/>
      <c r="O119" s="191">
        <v>1.3</v>
      </c>
      <c r="P119" s="189">
        <v>2.98</v>
      </c>
      <c r="Q119" s="220"/>
      <c r="R119" s="220">
        <v>2.98</v>
      </c>
      <c r="S119" s="173" t="s">
        <v>3677</v>
      </c>
      <c r="T119" s="575"/>
      <c r="U119" s="575"/>
      <c r="V119" s="575"/>
      <c r="W119" s="575"/>
      <c r="X119" s="575"/>
      <c r="Y119" s="575"/>
      <c r="Z119" s="575"/>
    </row>
    <row r="120" ht="12.75" customHeight="1">
      <c r="A120" s="199" t="s">
        <v>829</v>
      </c>
      <c r="B120" s="162" t="s">
        <v>3678</v>
      </c>
      <c r="C120" s="164" t="s">
        <v>3679</v>
      </c>
      <c r="D120" s="195">
        <v>2180.0</v>
      </c>
      <c r="E120" s="196"/>
      <c r="F120" s="196">
        <v>2180.0</v>
      </c>
      <c r="G120" s="219">
        <v>1.36</v>
      </c>
      <c r="H120" s="220"/>
      <c r="I120" s="220">
        <v>1.36</v>
      </c>
      <c r="J120" s="219">
        <v>0.0176</v>
      </c>
      <c r="K120" s="191"/>
      <c r="L120" s="191">
        <v>0.0176</v>
      </c>
      <c r="M120" s="219">
        <v>1.35</v>
      </c>
      <c r="N120" s="191"/>
      <c r="O120" s="191">
        <v>1.35</v>
      </c>
      <c r="P120" s="189">
        <v>3.88</v>
      </c>
      <c r="Q120" s="220"/>
      <c r="R120" s="220">
        <v>3.88</v>
      </c>
      <c r="S120" s="173" t="s">
        <v>3680</v>
      </c>
      <c r="T120" s="575"/>
      <c r="U120" s="575"/>
      <c r="V120" s="575"/>
      <c r="W120" s="575"/>
      <c r="X120" s="575"/>
      <c r="Y120" s="575"/>
      <c r="Z120" s="575"/>
    </row>
    <row r="121" ht="12.75" customHeight="1">
      <c r="A121" s="199" t="s">
        <v>841</v>
      </c>
      <c r="B121" s="162" t="s">
        <v>3681</v>
      </c>
      <c r="C121" s="164" t="s">
        <v>3682</v>
      </c>
      <c r="D121" s="195">
        <v>3900.0</v>
      </c>
      <c r="E121" s="196"/>
      <c r="F121" s="196">
        <v>3900.0</v>
      </c>
      <c r="G121" s="219">
        <v>2.08</v>
      </c>
      <c r="H121" s="220"/>
      <c r="I121" s="220">
        <v>2.08</v>
      </c>
      <c r="J121" s="219">
        <v>0.0249</v>
      </c>
      <c r="K121" s="191"/>
      <c r="L121" s="191">
        <v>0.0249</v>
      </c>
      <c r="M121" s="219">
        <v>2.05</v>
      </c>
      <c r="N121" s="191"/>
      <c r="O121" s="191">
        <v>2.05</v>
      </c>
      <c r="P121" s="189">
        <v>7.16</v>
      </c>
      <c r="Q121" s="220"/>
      <c r="R121" s="220">
        <v>7.16</v>
      </c>
      <c r="S121" s="173" t="s">
        <v>3683</v>
      </c>
      <c r="T121" s="575"/>
      <c r="U121" s="575"/>
      <c r="V121" s="575"/>
      <c r="W121" s="575"/>
      <c r="X121" s="575"/>
      <c r="Y121" s="575"/>
      <c r="Z121" s="575"/>
    </row>
    <row r="122" ht="12.75" customHeight="1">
      <c r="A122" s="199" t="s">
        <v>853</v>
      </c>
      <c r="B122" s="162" t="s">
        <v>3684</v>
      </c>
      <c r="C122" s="164" t="s">
        <v>3685</v>
      </c>
      <c r="D122" s="195">
        <v>3450.0</v>
      </c>
      <c r="E122" s="196"/>
      <c r="F122" s="196">
        <v>3450.0</v>
      </c>
      <c r="G122" s="219">
        <v>2.06</v>
      </c>
      <c r="H122" s="220"/>
      <c r="I122" s="220">
        <v>2.06</v>
      </c>
      <c r="J122" s="219">
        <v>0.0271</v>
      </c>
      <c r="K122" s="191"/>
      <c r="L122" s="191">
        <v>0.0271</v>
      </c>
      <c r="M122" s="219">
        <v>2.04</v>
      </c>
      <c r="N122" s="191"/>
      <c r="O122" s="191">
        <v>2.04</v>
      </c>
      <c r="P122" s="189">
        <v>6.16</v>
      </c>
      <c r="Q122" s="220"/>
      <c r="R122" s="220">
        <v>6.16</v>
      </c>
      <c r="S122" s="173" t="s">
        <v>3686</v>
      </c>
      <c r="T122" s="575"/>
      <c r="U122" s="575"/>
      <c r="V122" s="575"/>
      <c r="W122" s="575"/>
      <c r="X122" s="575"/>
      <c r="Y122" s="575"/>
      <c r="Z122" s="575"/>
    </row>
    <row r="123" ht="12.75" customHeight="1">
      <c r="A123" s="199" t="s">
        <v>859</v>
      </c>
      <c r="B123" s="162" t="s">
        <v>3687</v>
      </c>
      <c r="C123" s="164" t="s">
        <v>3688</v>
      </c>
      <c r="D123" s="195">
        <v>3450.0</v>
      </c>
      <c r="E123" s="196"/>
      <c r="F123" s="196">
        <v>3450.0</v>
      </c>
      <c r="G123" s="219">
        <v>2.06</v>
      </c>
      <c r="H123" s="220"/>
      <c r="I123" s="220">
        <v>2.06</v>
      </c>
      <c r="J123" s="219">
        <v>0.0271</v>
      </c>
      <c r="K123" s="191"/>
      <c r="L123" s="191">
        <v>0.0271</v>
      </c>
      <c r="M123" s="219">
        <v>2.04</v>
      </c>
      <c r="N123" s="191"/>
      <c r="O123" s="191">
        <v>2.04</v>
      </c>
      <c r="P123" s="189">
        <v>6.16</v>
      </c>
      <c r="Q123" s="220"/>
      <c r="R123" s="220">
        <v>6.16</v>
      </c>
      <c r="S123" s="173" t="s">
        <v>3689</v>
      </c>
      <c r="T123" s="575"/>
      <c r="U123" s="575"/>
      <c r="V123" s="575"/>
      <c r="W123" s="575"/>
      <c r="X123" s="575"/>
      <c r="Y123" s="575"/>
      <c r="Z123" s="575"/>
    </row>
    <row r="124" ht="12.75" customHeight="1">
      <c r="A124" s="199" t="s">
        <v>865</v>
      </c>
      <c r="B124" s="162" t="s">
        <v>3690</v>
      </c>
      <c r="C124" s="164" t="s">
        <v>3691</v>
      </c>
      <c r="D124" s="195">
        <v>3450.0</v>
      </c>
      <c r="E124" s="196"/>
      <c r="F124" s="196">
        <v>3450.0</v>
      </c>
      <c r="G124" s="219">
        <v>2.06</v>
      </c>
      <c r="H124" s="220"/>
      <c r="I124" s="220">
        <v>2.06</v>
      </c>
      <c r="J124" s="219">
        <v>0.0271</v>
      </c>
      <c r="K124" s="191"/>
      <c r="L124" s="191">
        <v>0.0271</v>
      </c>
      <c r="M124" s="219">
        <v>2.04</v>
      </c>
      <c r="N124" s="191"/>
      <c r="O124" s="191">
        <v>2.04</v>
      </c>
      <c r="P124" s="189">
        <v>6.16</v>
      </c>
      <c r="Q124" s="220"/>
      <c r="R124" s="220">
        <v>6.16</v>
      </c>
      <c r="S124" s="173" t="s">
        <v>3692</v>
      </c>
      <c r="T124" s="575"/>
      <c r="U124" s="575"/>
      <c r="V124" s="575"/>
      <c r="W124" s="575"/>
      <c r="X124" s="575"/>
      <c r="Y124" s="575"/>
      <c r="Z124" s="575"/>
    </row>
    <row r="125" ht="12.75" customHeight="1">
      <c r="A125" s="199" t="s">
        <v>871</v>
      </c>
      <c r="B125" s="162" t="s">
        <v>3693</v>
      </c>
      <c r="C125" s="164" t="s">
        <v>3694</v>
      </c>
      <c r="D125" s="195">
        <v>5170.0</v>
      </c>
      <c r="E125" s="196"/>
      <c r="F125" s="196">
        <v>5170.0</v>
      </c>
      <c r="G125" s="219">
        <v>2.78</v>
      </c>
      <c r="H125" s="220"/>
      <c r="I125" s="220">
        <v>2.78</v>
      </c>
      <c r="J125" s="219">
        <v>0.0344</v>
      </c>
      <c r="K125" s="191"/>
      <c r="L125" s="191">
        <v>0.0344</v>
      </c>
      <c r="M125" s="219">
        <v>2.74</v>
      </c>
      <c r="N125" s="191"/>
      <c r="O125" s="191">
        <v>2.74</v>
      </c>
      <c r="P125" s="189">
        <v>9.45</v>
      </c>
      <c r="Q125" s="220"/>
      <c r="R125" s="220">
        <v>9.45</v>
      </c>
      <c r="S125" s="173" t="s">
        <v>3695</v>
      </c>
      <c r="T125" s="575"/>
      <c r="U125" s="575"/>
      <c r="V125" s="575"/>
      <c r="W125" s="575"/>
      <c r="X125" s="575"/>
      <c r="Y125" s="575"/>
      <c r="Z125" s="575"/>
    </row>
    <row r="126" ht="12.75" customHeight="1">
      <c r="A126" s="199" t="s">
        <v>877</v>
      </c>
      <c r="B126" s="162" t="s">
        <v>3696</v>
      </c>
      <c r="C126" s="164" t="s">
        <v>3697</v>
      </c>
      <c r="D126" s="195">
        <v>5170.0</v>
      </c>
      <c r="E126" s="196"/>
      <c r="F126" s="196">
        <v>5170.0</v>
      </c>
      <c r="G126" s="219">
        <v>2.78</v>
      </c>
      <c r="H126" s="220"/>
      <c r="I126" s="220">
        <v>2.78</v>
      </c>
      <c r="J126" s="219">
        <v>0.0344</v>
      </c>
      <c r="K126" s="191"/>
      <c r="L126" s="191">
        <v>0.0344</v>
      </c>
      <c r="M126" s="219">
        <v>2.74</v>
      </c>
      <c r="N126" s="191"/>
      <c r="O126" s="191">
        <v>2.74</v>
      </c>
      <c r="P126" s="189">
        <v>9.45</v>
      </c>
      <c r="Q126" s="220"/>
      <c r="R126" s="220">
        <v>9.45</v>
      </c>
      <c r="S126" s="173" t="s">
        <v>3698</v>
      </c>
      <c r="T126" s="575"/>
      <c r="U126" s="575"/>
      <c r="V126" s="575"/>
      <c r="W126" s="575"/>
      <c r="X126" s="575"/>
      <c r="Y126" s="575"/>
      <c r="Z126" s="575"/>
    </row>
    <row r="127" ht="12.75" customHeight="1">
      <c r="A127" s="199" t="s">
        <v>901</v>
      </c>
      <c r="B127" s="162" t="s">
        <v>3699</v>
      </c>
      <c r="C127" s="164" t="s">
        <v>3700</v>
      </c>
      <c r="D127" s="195">
        <v>633.0</v>
      </c>
      <c r="E127" s="196"/>
      <c r="F127" s="196">
        <v>633.0</v>
      </c>
      <c r="G127" s="219">
        <v>0.401</v>
      </c>
      <c r="H127" s="220"/>
      <c r="I127" s="220">
        <v>0.401</v>
      </c>
      <c r="J127" s="219">
        <v>0.0276</v>
      </c>
      <c r="K127" s="191"/>
      <c r="L127" s="191">
        <v>0.0276</v>
      </c>
      <c r="M127" s="219">
        <v>0.374</v>
      </c>
      <c r="N127" s="191"/>
      <c r="O127" s="191">
        <v>0.374</v>
      </c>
      <c r="P127" s="189">
        <v>1.11</v>
      </c>
      <c r="Q127" s="220"/>
      <c r="R127" s="220">
        <v>1.11</v>
      </c>
      <c r="S127" s="173" t="s">
        <v>3701</v>
      </c>
      <c r="T127" s="575"/>
      <c r="U127" s="575"/>
      <c r="V127" s="575"/>
      <c r="W127" s="575"/>
      <c r="X127" s="575"/>
      <c r="Y127" s="575"/>
      <c r="Z127" s="575"/>
    </row>
    <row r="128" ht="12.75" customHeight="1">
      <c r="A128" s="199" t="s">
        <v>883</v>
      </c>
      <c r="B128" s="162" t="s">
        <v>884</v>
      </c>
      <c r="C128" s="164" t="s">
        <v>3702</v>
      </c>
      <c r="D128" s="195">
        <v>108.0</v>
      </c>
      <c r="E128" s="196"/>
      <c r="F128" s="196">
        <v>108.0</v>
      </c>
      <c r="G128" s="219">
        <v>0.407</v>
      </c>
      <c r="H128" s="220"/>
      <c r="I128" s="220">
        <v>0.407</v>
      </c>
      <c r="J128" s="219">
        <v>0.00388</v>
      </c>
      <c r="K128" s="191"/>
      <c r="L128" s="191">
        <v>0.00388</v>
      </c>
      <c r="M128" s="219">
        <v>0.403</v>
      </c>
      <c r="N128" s="191"/>
      <c r="O128" s="191">
        <v>0.403</v>
      </c>
      <c r="P128" s="189">
        <v>0.0574</v>
      </c>
      <c r="Q128" s="220"/>
      <c r="R128" s="220">
        <v>0.0574</v>
      </c>
      <c r="S128" s="173" t="s">
        <v>3703</v>
      </c>
      <c r="T128" s="575"/>
      <c r="U128" s="575"/>
      <c r="V128" s="575"/>
      <c r="W128" s="575"/>
      <c r="X128" s="575"/>
      <c r="Y128" s="575"/>
      <c r="Z128" s="575"/>
    </row>
    <row r="129" ht="12.75" customHeight="1">
      <c r="A129" s="199" t="s">
        <v>889</v>
      </c>
      <c r="B129" s="162" t="s">
        <v>890</v>
      </c>
      <c r="C129" s="164" t="s">
        <v>3704</v>
      </c>
      <c r="D129" s="195">
        <v>248.0</v>
      </c>
      <c r="E129" s="196"/>
      <c r="F129" s="196">
        <v>248.0</v>
      </c>
      <c r="G129" s="219">
        <v>0.932</v>
      </c>
      <c r="H129" s="220"/>
      <c r="I129" s="220">
        <v>0.932</v>
      </c>
      <c r="J129" s="219">
        <v>0.00889</v>
      </c>
      <c r="K129" s="191"/>
      <c r="L129" s="191">
        <v>0.00889</v>
      </c>
      <c r="M129" s="219">
        <v>0.923</v>
      </c>
      <c r="N129" s="191"/>
      <c r="O129" s="191">
        <v>0.923</v>
      </c>
      <c r="P129" s="189">
        <v>0.131</v>
      </c>
      <c r="Q129" s="220"/>
      <c r="R129" s="220">
        <v>0.131</v>
      </c>
      <c r="S129" s="173" t="s">
        <v>3705</v>
      </c>
      <c r="T129" s="575"/>
      <c r="U129" s="575"/>
      <c r="V129" s="575"/>
      <c r="W129" s="575"/>
      <c r="X129" s="575"/>
      <c r="Y129" s="575"/>
      <c r="Z129" s="575"/>
    </row>
    <row r="130" ht="12.75" customHeight="1">
      <c r="A130" s="199" t="s">
        <v>907</v>
      </c>
      <c r="B130" s="162" t="s">
        <v>3706</v>
      </c>
      <c r="C130" s="164" t="s">
        <v>3707</v>
      </c>
      <c r="D130" s="195">
        <v>284.0</v>
      </c>
      <c r="E130" s="196"/>
      <c r="F130" s="196">
        <v>284.0</v>
      </c>
      <c r="G130" s="219">
        <v>0.394</v>
      </c>
      <c r="H130" s="220"/>
      <c r="I130" s="220">
        <v>0.394</v>
      </c>
      <c r="J130" s="219">
        <v>0.0286</v>
      </c>
      <c r="K130" s="191"/>
      <c r="L130" s="191">
        <v>0.0286</v>
      </c>
      <c r="M130" s="219">
        <v>0.365</v>
      </c>
      <c r="N130" s="191"/>
      <c r="O130" s="191">
        <v>0.365</v>
      </c>
      <c r="P130" s="189">
        <v>0.408</v>
      </c>
      <c r="Q130" s="220"/>
      <c r="R130" s="220">
        <v>0.408</v>
      </c>
      <c r="S130" s="173" t="s">
        <v>3708</v>
      </c>
      <c r="T130" s="575"/>
      <c r="U130" s="575"/>
      <c r="V130" s="575"/>
      <c r="W130" s="575"/>
      <c r="X130" s="575"/>
      <c r="Y130" s="575"/>
      <c r="Z130" s="575"/>
    </row>
    <row r="131" ht="12.75" customHeight="1">
      <c r="A131" s="199" t="s">
        <v>1168</v>
      </c>
      <c r="B131" s="162" t="s">
        <v>1169</v>
      </c>
      <c r="C131" s="164" t="s">
        <v>559</v>
      </c>
      <c r="D131" s="195">
        <v>181.0</v>
      </c>
      <c r="E131" s="196"/>
      <c r="F131" s="196">
        <v>181.0</v>
      </c>
      <c r="G131" s="219">
        <v>0.128</v>
      </c>
      <c r="H131" s="220"/>
      <c r="I131" s="220">
        <v>0.128</v>
      </c>
      <c r="J131" s="219">
        <v>0.00184</v>
      </c>
      <c r="K131" s="191"/>
      <c r="L131" s="191">
        <v>0.00184</v>
      </c>
      <c r="M131" s="219">
        <v>0.127</v>
      </c>
      <c r="N131" s="191"/>
      <c r="O131" s="191">
        <v>0.127</v>
      </c>
      <c r="P131" s="189">
        <v>0.303</v>
      </c>
      <c r="Q131" s="220"/>
      <c r="R131" s="220">
        <v>0.303</v>
      </c>
      <c r="S131" s="173" t="s">
        <v>3709</v>
      </c>
      <c r="T131" s="575"/>
      <c r="U131" s="575"/>
      <c r="V131" s="575"/>
      <c r="W131" s="575"/>
      <c r="X131" s="575"/>
      <c r="Y131" s="575"/>
      <c r="Z131" s="575"/>
    </row>
    <row r="132" ht="12.75" customHeight="1">
      <c r="A132" s="199" t="s">
        <v>1232</v>
      </c>
      <c r="B132" s="162" t="s">
        <v>1233</v>
      </c>
      <c r="C132" s="164" t="s">
        <v>559</v>
      </c>
      <c r="D132" s="195">
        <v>14.2</v>
      </c>
      <c r="E132" s="196"/>
      <c r="F132" s="196">
        <v>14.2</v>
      </c>
      <c r="G132" s="219">
        <v>0.0549</v>
      </c>
      <c r="H132" s="220"/>
      <c r="I132" s="220">
        <v>0.0549</v>
      </c>
      <c r="J132" s="219">
        <v>4.83E-4</v>
      </c>
      <c r="K132" s="191"/>
      <c r="L132" s="191">
        <v>4.83E-4</v>
      </c>
      <c r="M132" s="219">
        <v>0.0544</v>
      </c>
      <c r="N132" s="191"/>
      <c r="O132" s="191">
        <v>0.0544</v>
      </c>
      <c r="P132" s="189">
        <v>0.00708</v>
      </c>
      <c r="Q132" s="220"/>
      <c r="R132" s="220">
        <v>0.00708</v>
      </c>
      <c r="S132" s="173" t="s">
        <v>3710</v>
      </c>
      <c r="T132" s="575"/>
      <c r="U132" s="575"/>
      <c r="V132" s="575"/>
      <c r="W132" s="575"/>
      <c r="X132" s="575"/>
      <c r="Y132" s="575"/>
      <c r="Z132" s="575"/>
    </row>
    <row r="133" ht="12.75" customHeight="1">
      <c r="A133" s="199" t="s">
        <v>1182</v>
      </c>
      <c r="B133" s="162" t="s">
        <v>1183</v>
      </c>
      <c r="C133" s="164" t="s">
        <v>559</v>
      </c>
      <c r="D133" s="195">
        <v>144.0</v>
      </c>
      <c r="E133" s="196"/>
      <c r="F133" s="196">
        <v>144.0</v>
      </c>
      <c r="G133" s="219">
        <v>0.0612</v>
      </c>
      <c r="H133" s="220"/>
      <c r="I133" s="220">
        <v>0.0612</v>
      </c>
      <c r="J133" s="219">
        <v>9.82E-4</v>
      </c>
      <c r="K133" s="191"/>
      <c r="L133" s="191">
        <v>9.82E-4</v>
      </c>
      <c r="M133" s="219">
        <v>0.0603</v>
      </c>
      <c r="N133" s="191"/>
      <c r="O133" s="191">
        <v>0.0603</v>
      </c>
      <c r="P133" s="189">
        <v>0.222</v>
      </c>
      <c r="Q133" s="220"/>
      <c r="R133" s="220">
        <v>0.222</v>
      </c>
      <c r="S133" s="173" t="s">
        <v>3711</v>
      </c>
      <c r="T133" s="575"/>
      <c r="U133" s="575"/>
      <c r="V133" s="575"/>
      <c r="W133" s="575"/>
      <c r="X133" s="575"/>
      <c r="Y133" s="575"/>
      <c r="Z133" s="575"/>
    </row>
    <row r="134" ht="12.75" customHeight="1">
      <c r="A134" s="199" t="s">
        <v>1248</v>
      </c>
      <c r="B134" s="162" t="s">
        <v>1249</v>
      </c>
      <c r="C134" s="164" t="s">
        <v>559</v>
      </c>
      <c r="D134" s="195">
        <v>0.0</v>
      </c>
      <c r="E134" s="196"/>
      <c r="F134" s="196">
        <v>0.0</v>
      </c>
      <c r="G134" s="219">
        <v>0.0</v>
      </c>
      <c r="H134" s="220"/>
      <c r="I134" s="220">
        <v>0.0</v>
      </c>
      <c r="J134" s="219">
        <v>0.0</v>
      </c>
      <c r="K134" s="191"/>
      <c r="L134" s="191">
        <v>0.0</v>
      </c>
      <c r="M134" s="219">
        <v>0.0</v>
      </c>
      <c r="N134" s="191"/>
      <c r="O134" s="191">
        <v>0.0</v>
      </c>
      <c r="P134" s="189">
        <v>0.0</v>
      </c>
      <c r="Q134" s="220"/>
      <c r="R134" s="220">
        <v>0.0</v>
      </c>
      <c r="S134" s="173" t="s">
        <v>3712</v>
      </c>
      <c r="T134" s="575"/>
      <c r="U134" s="575"/>
      <c r="V134" s="575"/>
      <c r="W134" s="575"/>
      <c r="X134" s="575"/>
      <c r="Y134" s="575"/>
      <c r="Z134" s="575"/>
    </row>
    <row r="135" ht="12.75" customHeight="1">
      <c r="A135" s="199" t="s">
        <v>1544</v>
      </c>
      <c r="B135" s="162" t="s">
        <v>1545</v>
      </c>
      <c r="C135" s="164" t="s">
        <v>1546</v>
      </c>
      <c r="D135" s="195">
        <v>3770.0</v>
      </c>
      <c r="E135" s="196"/>
      <c r="F135" s="196">
        <v>3770.0</v>
      </c>
      <c r="G135" s="219">
        <v>0.349</v>
      </c>
      <c r="H135" s="220"/>
      <c r="I135" s="220">
        <v>0.349</v>
      </c>
      <c r="J135" s="219">
        <v>0.00575</v>
      </c>
      <c r="K135" s="191"/>
      <c r="L135" s="191">
        <v>0.00575</v>
      </c>
      <c r="M135" s="219">
        <v>0.343</v>
      </c>
      <c r="N135" s="191"/>
      <c r="O135" s="191">
        <v>0.343</v>
      </c>
      <c r="P135" s="189">
        <v>7.68</v>
      </c>
      <c r="Q135" s="220"/>
      <c r="R135" s="220">
        <v>7.68</v>
      </c>
      <c r="S135" s="173" t="s">
        <v>3713</v>
      </c>
      <c r="T135" s="575"/>
      <c r="U135" s="575"/>
      <c r="V135" s="575"/>
      <c r="W135" s="575"/>
      <c r="X135" s="575"/>
      <c r="Y135" s="575"/>
      <c r="Z135" s="575"/>
    </row>
    <row r="136" ht="12.75" customHeight="1">
      <c r="A136" s="199" t="s">
        <v>1554</v>
      </c>
      <c r="B136" s="162" t="s">
        <v>1555</v>
      </c>
      <c r="C136" s="164" t="s">
        <v>3714</v>
      </c>
      <c r="D136" s="195">
        <v>1130.0</v>
      </c>
      <c r="E136" s="196"/>
      <c r="F136" s="196">
        <v>1130.0</v>
      </c>
      <c r="G136" s="219">
        <v>0.764</v>
      </c>
      <c r="H136" s="220"/>
      <c r="I136" s="220">
        <v>0.764</v>
      </c>
      <c r="J136" s="219">
        <v>0.0118</v>
      </c>
      <c r="K136" s="191"/>
      <c r="L136" s="191">
        <v>0.0118</v>
      </c>
      <c r="M136" s="219">
        <v>0.752</v>
      </c>
      <c r="N136" s="191"/>
      <c r="O136" s="191">
        <v>0.752</v>
      </c>
      <c r="P136" s="189">
        <v>1.57</v>
      </c>
      <c r="Q136" s="220"/>
      <c r="R136" s="220">
        <v>1.57</v>
      </c>
      <c r="S136" s="173" t="s">
        <v>3715</v>
      </c>
      <c r="T136" s="575"/>
      <c r="U136" s="575"/>
      <c r="V136" s="575"/>
      <c r="W136" s="575"/>
      <c r="X136" s="575"/>
      <c r="Y136" s="575"/>
      <c r="Z136" s="575"/>
    </row>
    <row r="137" ht="12.75" customHeight="1">
      <c r="A137" s="199" t="s">
        <v>1560</v>
      </c>
      <c r="B137" s="162" t="s">
        <v>1561</v>
      </c>
      <c r="C137" s="164" t="s">
        <v>3716</v>
      </c>
      <c r="D137" s="195">
        <v>10200.0</v>
      </c>
      <c r="E137" s="196"/>
      <c r="F137" s="196">
        <v>10200.0</v>
      </c>
      <c r="G137" s="219">
        <v>1.56</v>
      </c>
      <c r="H137" s="220"/>
      <c r="I137" s="220">
        <v>1.56</v>
      </c>
      <c r="J137" s="219">
        <v>0.0266</v>
      </c>
      <c r="K137" s="191"/>
      <c r="L137" s="191">
        <v>0.0266</v>
      </c>
      <c r="M137" s="219">
        <v>1.54</v>
      </c>
      <c r="N137" s="191"/>
      <c r="O137" s="191">
        <v>1.54</v>
      </c>
      <c r="P137" s="189">
        <v>16.9</v>
      </c>
      <c r="Q137" s="220"/>
      <c r="R137" s="220">
        <v>16.9</v>
      </c>
      <c r="S137" s="173" t="s">
        <v>3717</v>
      </c>
      <c r="T137" s="575"/>
      <c r="U137" s="575"/>
      <c r="V137" s="575"/>
      <c r="W137" s="575"/>
      <c r="X137" s="575"/>
      <c r="Y137" s="575"/>
      <c r="Z137" s="575"/>
    </row>
    <row r="138" ht="12.75" customHeight="1">
      <c r="A138" s="199" t="s">
        <v>1566</v>
      </c>
      <c r="B138" s="162" t="s">
        <v>1567</v>
      </c>
      <c r="C138" s="164" t="s">
        <v>3718</v>
      </c>
      <c r="D138" s="195">
        <v>1750.0</v>
      </c>
      <c r="E138" s="196"/>
      <c r="F138" s="196">
        <v>1750.0</v>
      </c>
      <c r="G138" s="219">
        <v>0.799</v>
      </c>
      <c r="H138" s="220"/>
      <c r="I138" s="220">
        <v>0.799</v>
      </c>
      <c r="J138" s="219">
        <v>0.0126</v>
      </c>
      <c r="K138" s="191"/>
      <c r="L138" s="191">
        <v>0.0126</v>
      </c>
      <c r="M138" s="219">
        <v>0.786</v>
      </c>
      <c r="N138" s="191"/>
      <c r="O138" s="191">
        <v>0.786</v>
      </c>
      <c r="P138" s="189">
        <v>2.51</v>
      </c>
      <c r="Q138" s="220"/>
      <c r="R138" s="220">
        <v>2.51</v>
      </c>
      <c r="S138" s="173" t="s">
        <v>3719</v>
      </c>
      <c r="T138" s="575"/>
      <c r="U138" s="575"/>
      <c r="V138" s="575"/>
      <c r="W138" s="575"/>
      <c r="X138" s="575"/>
      <c r="Y138" s="575"/>
      <c r="Z138" s="575"/>
    </row>
    <row r="139" ht="12.75" customHeight="1">
      <c r="A139" s="199" t="s">
        <v>1572</v>
      </c>
      <c r="B139" s="162" t="s">
        <v>1573</v>
      </c>
      <c r="C139" s="164" t="s">
        <v>3720</v>
      </c>
      <c r="D139" s="195">
        <v>634.0</v>
      </c>
      <c r="E139" s="196"/>
      <c r="F139" s="196">
        <v>634.0</v>
      </c>
      <c r="G139" s="219">
        <v>0.818</v>
      </c>
      <c r="H139" s="220"/>
      <c r="I139" s="220">
        <v>0.818</v>
      </c>
      <c r="J139" s="219">
        <v>0.0132</v>
      </c>
      <c r="K139" s="191"/>
      <c r="L139" s="191">
        <v>0.0132</v>
      </c>
      <c r="M139" s="219">
        <v>0.804</v>
      </c>
      <c r="N139" s="191"/>
      <c r="O139" s="191">
        <v>0.804</v>
      </c>
      <c r="P139" s="189">
        <v>0.237</v>
      </c>
      <c r="Q139" s="220"/>
      <c r="R139" s="220">
        <v>0.237</v>
      </c>
      <c r="S139" s="173" t="s">
        <v>3721</v>
      </c>
      <c r="T139" s="575"/>
      <c r="U139" s="575"/>
      <c r="V139" s="575"/>
      <c r="W139" s="575"/>
      <c r="X139" s="575"/>
      <c r="Y139" s="575"/>
      <c r="Z139" s="575"/>
    </row>
    <row r="140" ht="12.75" customHeight="1">
      <c r="A140" s="199" t="s">
        <v>1578</v>
      </c>
      <c r="B140" s="162" t="s">
        <v>1579</v>
      </c>
      <c r="C140" s="164" t="s">
        <v>3722</v>
      </c>
      <c r="D140" s="195">
        <v>2130.0</v>
      </c>
      <c r="E140" s="196"/>
      <c r="F140" s="196">
        <v>2130.0</v>
      </c>
      <c r="G140" s="219">
        <v>4.31</v>
      </c>
      <c r="H140" s="220"/>
      <c r="I140" s="220">
        <v>4.31</v>
      </c>
      <c r="J140" s="219">
        <v>0.146</v>
      </c>
      <c r="K140" s="191"/>
      <c r="L140" s="191">
        <v>0.146</v>
      </c>
      <c r="M140" s="219">
        <v>4.17</v>
      </c>
      <c r="N140" s="191"/>
      <c r="O140" s="191">
        <v>4.17</v>
      </c>
      <c r="P140" s="189">
        <v>0.745</v>
      </c>
      <c r="Q140" s="220"/>
      <c r="R140" s="220">
        <v>0.745</v>
      </c>
      <c r="S140" s="173" t="s">
        <v>3723</v>
      </c>
      <c r="T140" s="575"/>
      <c r="U140" s="575"/>
      <c r="V140" s="575"/>
      <c r="W140" s="575"/>
      <c r="X140" s="575"/>
      <c r="Y140" s="575"/>
      <c r="Z140" s="575"/>
    </row>
    <row r="141" ht="12.75" customHeight="1">
      <c r="A141" s="199" t="s">
        <v>1584</v>
      </c>
      <c r="B141" s="162" t="s">
        <v>1585</v>
      </c>
      <c r="C141" s="164" t="s">
        <v>1546</v>
      </c>
      <c r="D141" s="195">
        <v>8630.0</v>
      </c>
      <c r="E141" s="196"/>
      <c r="F141" s="196">
        <v>8630.0</v>
      </c>
      <c r="G141" s="219">
        <v>1.42</v>
      </c>
      <c r="H141" s="220"/>
      <c r="I141" s="220">
        <v>1.42</v>
      </c>
      <c r="J141" s="219">
        <v>0.0305</v>
      </c>
      <c r="K141" s="191"/>
      <c r="L141" s="191">
        <v>0.0305</v>
      </c>
      <c r="M141" s="219">
        <v>1.39</v>
      </c>
      <c r="N141" s="191"/>
      <c r="O141" s="191">
        <v>1.39</v>
      </c>
      <c r="P141" s="189">
        <v>17.1</v>
      </c>
      <c r="Q141" s="220"/>
      <c r="R141" s="220">
        <v>17.1</v>
      </c>
      <c r="S141" s="173" t="s">
        <v>3724</v>
      </c>
      <c r="T141" s="575"/>
      <c r="U141" s="575"/>
      <c r="V141" s="575"/>
      <c r="W141" s="575"/>
      <c r="X141" s="575"/>
      <c r="Y141" s="575"/>
      <c r="Z141" s="575"/>
    </row>
    <row r="142" ht="12.75" customHeight="1">
      <c r="A142" s="199" t="s">
        <v>1589</v>
      </c>
      <c r="B142" s="162" t="s">
        <v>1590</v>
      </c>
      <c r="C142" s="164" t="s">
        <v>1546</v>
      </c>
      <c r="D142" s="195">
        <v>45200.0</v>
      </c>
      <c r="E142" s="196"/>
      <c r="F142" s="196">
        <v>45200.0</v>
      </c>
      <c r="G142" s="219">
        <v>22.7</v>
      </c>
      <c r="H142" s="220"/>
      <c r="I142" s="220">
        <v>22.7</v>
      </c>
      <c r="J142" s="219">
        <v>0.361</v>
      </c>
      <c r="K142" s="191"/>
      <c r="L142" s="191">
        <v>0.361</v>
      </c>
      <c r="M142" s="219">
        <v>22.3</v>
      </c>
      <c r="N142" s="191"/>
      <c r="O142" s="191">
        <v>22.3</v>
      </c>
      <c r="P142" s="189">
        <v>71.8</v>
      </c>
      <c r="Q142" s="220"/>
      <c r="R142" s="220">
        <v>71.8</v>
      </c>
      <c r="S142" s="173" t="s">
        <v>3725</v>
      </c>
      <c r="T142" s="575"/>
      <c r="U142" s="575"/>
      <c r="V142" s="575"/>
      <c r="W142" s="575"/>
      <c r="X142" s="575"/>
      <c r="Y142" s="575"/>
      <c r="Z142" s="575"/>
    </row>
    <row r="143" ht="12.75" customHeight="1">
      <c r="A143" s="199" t="s">
        <v>1594</v>
      </c>
      <c r="B143" s="162" t="s">
        <v>1595</v>
      </c>
      <c r="C143" s="164" t="s">
        <v>1546</v>
      </c>
      <c r="D143" s="195">
        <v>15200.0</v>
      </c>
      <c r="E143" s="196"/>
      <c r="F143" s="196">
        <v>15200.0</v>
      </c>
      <c r="G143" s="219">
        <v>2.72</v>
      </c>
      <c r="H143" s="220"/>
      <c r="I143" s="220">
        <v>2.72</v>
      </c>
      <c r="J143" s="219">
        <v>0.0618</v>
      </c>
      <c r="K143" s="191"/>
      <c r="L143" s="191">
        <v>0.0618</v>
      </c>
      <c r="M143" s="219">
        <v>2.65</v>
      </c>
      <c r="N143" s="191"/>
      <c r="O143" s="191">
        <v>2.65</v>
      </c>
      <c r="P143" s="189">
        <v>29.6</v>
      </c>
      <c r="Q143" s="220"/>
      <c r="R143" s="220">
        <v>29.6</v>
      </c>
      <c r="S143" s="173" t="s">
        <v>3726</v>
      </c>
      <c r="T143" s="575"/>
      <c r="U143" s="575"/>
      <c r="V143" s="575"/>
      <c r="W143" s="575"/>
      <c r="X143" s="575"/>
      <c r="Y143" s="575"/>
      <c r="Z143" s="575"/>
    </row>
    <row r="144" ht="12.75" customHeight="1">
      <c r="A144" s="199" t="s">
        <v>1599</v>
      </c>
      <c r="B144" s="162" t="s">
        <v>1600</v>
      </c>
      <c r="C144" s="164" t="s">
        <v>1546</v>
      </c>
      <c r="D144" s="195">
        <v>77700.0</v>
      </c>
      <c r="E144" s="196"/>
      <c r="F144" s="196">
        <v>77700.0</v>
      </c>
      <c r="G144" s="219">
        <v>36.5</v>
      </c>
      <c r="H144" s="220"/>
      <c r="I144" s="220">
        <v>36.5</v>
      </c>
      <c r="J144" s="219">
        <v>0.581</v>
      </c>
      <c r="K144" s="191"/>
      <c r="L144" s="191">
        <v>0.581</v>
      </c>
      <c r="M144" s="219">
        <v>36.0</v>
      </c>
      <c r="N144" s="191"/>
      <c r="O144" s="191">
        <v>36.0</v>
      </c>
      <c r="P144" s="189">
        <v>119.0</v>
      </c>
      <c r="Q144" s="220"/>
      <c r="R144" s="220">
        <v>119.0</v>
      </c>
      <c r="S144" s="173" t="s">
        <v>3727</v>
      </c>
      <c r="T144" s="575"/>
      <c r="U144" s="575"/>
      <c r="V144" s="575"/>
      <c r="W144" s="575"/>
      <c r="X144" s="575"/>
      <c r="Y144" s="575"/>
      <c r="Z144" s="575"/>
    </row>
    <row r="145" ht="12.75" customHeight="1">
      <c r="A145" s="199" t="s">
        <v>1604</v>
      </c>
      <c r="B145" s="162" t="s">
        <v>1605</v>
      </c>
      <c r="C145" s="164" t="s">
        <v>1546</v>
      </c>
      <c r="D145" s="195">
        <v>2240.0</v>
      </c>
      <c r="E145" s="196"/>
      <c r="F145" s="196">
        <v>2240.0</v>
      </c>
      <c r="G145" s="219">
        <v>0.215</v>
      </c>
      <c r="H145" s="220"/>
      <c r="I145" s="220">
        <v>0.215</v>
      </c>
      <c r="J145" s="219">
        <v>0.0044</v>
      </c>
      <c r="K145" s="191"/>
      <c r="L145" s="191">
        <v>0.0044</v>
      </c>
      <c r="M145" s="219">
        <v>0.211</v>
      </c>
      <c r="N145" s="191"/>
      <c r="O145" s="191">
        <v>0.211</v>
      </c>
      <c r="P145" s="189">
        <v>4.57</v>
      </c>
      <c r="Q145" s="220"/>
      <c r="R145" s="220">
        <v>4.57</v>
      </c>
      <c r="S145" s="173" t="s">
        <v>3728</v>
      </c>
      <c r="T145" s="575"/>
      <c r="U145" s="575"/>
      <c r="V145" s="575"/>
      <c r="W145" s="575"/>
      <c r="X145" s="575"/>
      <c r="Y145" s="575"/>
      <c r="Z145" s="575"/>
    </row>
    <row r="146" ht="12.75" customHeight="1">
      <c r="A146" s="199" t="s">
        <v>1609</v>
      </c>
      <c r="B146" s="162" t="s">
        <v>1610</v>
      </c>
      <c r="C146" s="164" t="s">
        <v>1546</v>
      </c>
      <c r="D146" s="195">
        <v>4490.0</v>
      </c>
      <c r="E146" s="196"/>
      <c r="F146" s="196">
        <v>4490.0</v>
      </c>
      <c r="G146" s="219">
        <v>1.13</v>
      </c>
      <c r="H146" s="220"/>
      <c r="I146" s="220">
        <v>1.13</v>
      </c>
      <c r="J146" s="219">
        <v>0.0178</v>
      </c>
      <c r="K146" s="191"/>
      <c r="L146" s="191">
        <v>0.0178</v>
      </c>
      <c r="M146" s="219">
        <v>1.11</v>
      </c>
      <c r="N146" s="191"/>
      <c r="O146" s="191">
        <v>1.11</v>
      </c>
      <c r="P146" s="189">
        <v>6.39</v>
      </c>
      <c r="Q146" s="220"/>
      <c r="R146" s="220">
        <v>6.39</v>
      </c>
      <c r="S146" s="173" t="s">
        <v>3729</v>
      </c>
      <c r="T146" s="575"/>
      <c r="U146" s="575"/>
      <c r="V146" s="575"/>
      <c r="W146" s="575"/>
      <c r="X146" s="575"/>
      <c r="Y146" s="575"/>
      <c r="Z146" s="575"/>
    </row>
    <row r="147" ht="12.75" customHeight="1">
      <c r="A147" s="199" t="s">
        <v>759</v>
      </c>
      <c r="B147" s="162" t="s">
        <v>760</v>
      </c>
      <c r="C147" s="164" t="s">
        <v>3730</v>
      </c>
      <c r="D147" s="195">
        <v>7250.0</v>
      </c>
      <c r="E147" s="196"/>
      <c r="F147" s="196">
        <v>7250.0</v>
      </c>
      <c r="G147" s="219">
        <v>3.18</v>
      </c>
      <c r="H147" s="220"/>
      <c r="I147" s="220">
        <v>3.18</v>
      </c>
      <c r="J147" s="219">
        <v>0.0986</v>
      </c>
      <c r="K147" s="191"/>
      <c r="L147" s="191">
        <v>0.0986</v>
      </c>
      <c r="M147" s="219">
        <v>3.08</v>
      </c>
      <c r="N147" s="191"/>
      <c r="O147" s="191">
        <v>3.08</v>
      </c>
      <c r="P147" s="189">
        <v>13.5</v>
      </c>
      <c r="Q147" s="220"/>
      <c r="R147" s="220">
        <v>13.5</v>
      </c>
      <c r="S147" s="173" t="s">
        <v>3731</v>
      </c>
      <c r="T147" s="575"/>
      <c r="U147" s="575"/>
      <c r="V147" s="575"/>
      <c r="W147" s="575"/>
      <c r="X147" s="575"/>
      <c r="Y147" s="575"/>
      <c r="Z147" s="575"/>
    </row>
    <row r="148" ht="12.75" customHeight="1">
      <c r="A148" s="175" t="s">
        <v>3732</v>
      </c>
      <c r="B148" s="177" t="s">
        <v>3733</v>
      </c>
      <c r="C148" s="275"/>
      <c r="D148" s="621"/>
      <c r="E148" s="621"/>
      <c r="F148" s="621"/>
      <c r="G148" s="622"/>
      <c r="H148" s="240"/>
      <c r="I148" s="240"/>
      <c r="J148" s="622"/>
      <c r="K148" s="623"/>
      <c r="L148" s="623"/>
      <c r="M148" s="622"/>
      <c r="N148" s="623"/>
      <c r="O148" s="623"/>
      <c r="P148" s="215"/>
      <c r="Q148" s="181"/>
      <c r="R148" s="181"/>
      <c r="S148" s="217" t="s">
        <v>3734</v>
      </c>
      <c r="T148" s="277"/>
      <c r="U148" s="277"/>
      <c r="V148" s="277"/>
      <c r="W148" s="277"/>
      <c r="X148" s="277"/>
      <c r="Y148" s="277"/>
      <c r="Z148" s="277"/>
    </row>
    <row r="149" ht="12.75" customHeight="1">
      <c r="A149" s="183" t="s">
        <v>2056</v>
      </c>
      <c r="B149" s="184" t="s">
        <v>2057</v>
      </c>
      <c r="C149" s="186" t="s">
        <v>3735</v>
      </c>
      <c r="D149" s="233">
        <v>17.9</v>
      </c>
      <c r="E149" s="234"/>
      <c r="F149" s="234">
        <v>17.9</v>
      </c>
      <c r="G149" s="364">
        <v>0.0371</v>
      </c>
      <c r="H149" s="365"/>
      <c r="I149" s="365">
        <v>0.0371</v>
      </c>
      <c r="J149" s="364">
        <v>0.00185</v>
      </c>
      <c r="K149" s="365"/>
      <c r="L149" s="365">
        <v>0.00185</v>
      </c>
      <c r="M149" s="364">
        <v>0.0352</v>
      </c>
      <c r="N149" s="365"/>
      <c r="O149" s="365">
        <v>0.0352</v>
      </c>
      <c r="P149" s="364">
        <v>0.0227</v>
      </c>
      <c r="Q149" s="366"/>
      <c r="R149" s="365">
        <v>0.0227</v>
      </c>
      <c r="S149" s="221" t="s">
        <v>3736</v>
      </c>
      <c r="T149" s="277"/>
      <c r="U149" s="277"/>
      <c r="V149" s="277"/>
      <c r="W149" s="277"/>
      <c r="X149" s="277"/>
      <c r="Y149" s="277"/>
      <c r="Z149" s="277"/>
    </row>
    <row r="150" ht="12.75" customHeight="1">
      <c r="A150" s="183" t="s">
        <v>2066</v>
      </c>
      <c r="B150" s="184" t="s">
        <v>2067</v>
      </c>
      <c r="C150" s="186" t="s">
        <v>3737</v>
      </c>
      <c r="D150" s="233">
        <v>70.4</v>
      </c>
      <c r="E150" s="234"/>
      <c r="F150" s="234">
        <v>70.4</v>
      </c>
      <c r="G150" s="364">
        <v>0.0322</v>
      </c>
      <c r="H150" s="365"/>
      <c r="I150" s="365">
        <v>0.0322</v>
      </c>
      <c r="J150" s="364">
        <v>0.00159</v>
      </c>
      <c r="K150" s="365"/>
      <c r="L150" s="365">
        <v>0.00159</v>
      </c>
      <c r="M150" s="364">
        <v>0.0306</v>
      </c>
      <c r="N150" s="365"/>
      <c r="O150" s="365">
        <v>0.0306</v>
      </c>
      <c r="P150" s="364">
        <v>0.134</v>
      </c>
      <c r="Q150" s="366"/>
      <c r="R150" s="365">
        <v>0.134</v>
      </c>
      <c r="S150" s="221" t="s">
        <v>3738</v>
      </c>
      <c r="T150" s="277"/>
      <c r="U150" s="277"/>
      <c r="V150" s="277"/>
      <c r="W150" s="277"/>
      <c r="X150" s="277"/>
      <c r="Y150" s="277"/>
      <c r="Z150" s="277"/>
    </row>
    <row r="151" ht="12.75" customHeight="1">
      <c r="A151" s="183" t="s">
        <v>2061</v>
      </c>
      <c r="B151" s="184" t="s">
        <v>2062</v>
      </c>
      <c r="C151" s="186" t="s">
        <v>3739</v>
      </c>
      <c r="D151" s="233">
        <v>997.0</v>
      </c>
      <c r="E151" s="234"/>
      <c r="F151" s="234">
        <v>997.0</v>
      </c>
      <c r="G151" s="364">
        <v>0.0933</v>
      </c>
      <c r="H151" s="365"/>
      <c r="I151" s="365">
        <v>0.0933</v>
      </c>
      <c r="J151" s="364">
        <v>0.00165</v>
      </c>
      <c r="K151" s="365"/>
      <c r="L151" s="365">
        <v>0.00165</v>
      </c>
      <c r="M151" s="364">
        <v>0.0917</v>
      </c>
      <c r="N151" s="365"/>
      <c r="O151" s="365">
        <v>0.0917</v>
      </c>
      <c r="P151" s="364">
        <v>2.04</v>
      </c>
      <c r="Q151" s="366"/>
      <c r="R151" s="365">
        <v>2.04</v>
      </c>
      <c r="S151" s="221" t="s">
        <v>3740</v>
      </c>
      <c r="T151" s="277"/>
      <c r="U151" s="277"/>
      <c r="V151" s="277"/>
      <c r="W151" s="277"/>
      <c r="X151" s="277"/>
      <c r="Y151" s="277"/>
      <c r="Z151" s="277"/>
    </row>
    <row r="152" ht="12.75" customHeight="1">
      <c r="A152" s="183" t="s">
        <v>2145</v>
      </c>
      <c r="B152" s="184" t="s">
        <v>2146</v>
      </c>
      <c r="C152" s="186" t="s">
        <v>3741</v>
      </c>
      <c r="D152" s="233">
        <v>65.7</v>
      </c>
      <c r="E152" s="234"/>
      <c r="F152" s="234">
        <v>65.7</v>
      </c>
      <c r="G152" s="364">
        <v>0.0167</v>
      </c>
      <c r="H152" s="365"/>
      <c r="I152" s="365">
        <v>0.0167</v>
      </c>
      <c r="J152" s="364">
        <v>2.08E-4</v>
      </c>
      <c r="K152" s="365"/>
      <c r="L152" s="365">
        <v>2.08E-4</v>
      </c>
      <c r="M152" s="364">
        <v>0.0165</v>
      </c>
      <c r="N152" s="365"/>
      <c r="O152" s="365">
        <v>0.0165</v>
      </c>
      <c r="P152" s="364">
        <v>0.126</v>
      </c>
      <c r="Q152" s="366"/>
      <c r="R152" s="365">
        <v>0.126</v>
      </c>
      <c r="S152" s="221" t="s">
        <v>3742</v>
      </c>
      <c r="T152" s="277"/>
      <c r="U152" s="277"/>
      <c r="V152" s="277"/>
      <c r="W152" s="277"/>
      <c r="X152" s="277"/>
      <c r="Y152" s="277"/>
      <c r="Z152" s="277"/>
    </row>
    <row r="153" ht="12.75" customHeight="1">
      <c r="A153" s="183" t="s">
        <v>2177</v>
      </c>
      <c r="B153" s="184" t="s">
        <v>2178</v>
      </c>
      <c r="C153" s="186" t="s">
        <v>3743</v>
      </c>
      <c r="D153" s="233">
        <v>1950.0</v>
      </c>
      <c r="E153" s="234"/>
      <c r="F153" s="234">
        <v>1950.0</v>
      </c>
      <c r="G153" s="364">
        <v>0.493</v>
      </c>
      <c r="H153" s="365"/>
      <c r="I153" s="365">
        <v>0.493</v>
      </c>
      <c r="J153" s="364">
        <v>0.0147</v>
      </c>
      <c r="K153" s="365"/>
      <c r="L153" s="365">
        <v>0.0147</v>
      </c>
      <c r="M153" s="364">
        <v>0.478</v>
      </c>
      <c r="N153" s="365"/>
      <c r="O153" s="365">
        <v>0.478</v>
      </c>
      <c r="P153" s="364">
        <v>3.76</v>
      </c>
      <c r="Q153" s="366"/>
      <c r="R153" s="365">
        <v>3.76</v>
      </c>
      <c r="S153" s="221" t="s">
        <v>3744</v>
      </c>
      <c r="T153" s="277"/>
      <c r="U153" s="277"/>
      <c r="V153" s="277"/>
      <c r="W153" s="277"/>
      <c r="X153" s="277"/>
      <c r="Y153" s="277"/>
      <c r="Z153" s="277"/>
    </row>
    <row r="154" ht="12.75" customHeight="1">
      <c r="A154" s="183" t="s">
        <v>2172</v>
      </c>
      <c r="B154" s="184" t="s">
        <v>2173</v>
      </c>
      <c r="C154" s="186" t="s">
        <v>3745</v>
      </c>
      <c r="D154" s="233">
        <v>587.0</v>
      </c>
      <c r="E154" s="234"/>
      <c r="F154" s="234">
        <v>587.0</v>
      </c>
      <c r="G154" s="364">
        <v>0.141</v>
      </c>
      <c r="H154" s="365"/>
      <c r="I154" s="365">
        <v>0.141</v>
      </c>
      <c r="J154" s="364">
        <v>0.00458</v>
      </c>
      <c r="K154" s="365"/>
      <c r="L154" s="365">
        <v>0.00458</v>
      </c>
      <c r="M154" s="364">
        <v>0.137</v>
      </c>
      <c r="N154" s="365"/>
      <c r="O154" s="365">
        <v>0.137</v>
      </c>
      <c r="P154" s="364">
        <v>1.15</v>
      </c>
      <c r="Q154" s="366"/>
      <c r="R154" s="365">
        <v>1.15</v>
      </c>
      <c r="S154" s="221" t="s">
        <v>3746</v>
      </c>
      <c r="T154" s="277"/>
      <c r="U154" s="277"/>
      <c r="V154" s="277"/>
      <c r="W154" s="277"/>
      <c r="X154" s="277"/>
      <c r="Y154" s="277"/>
      <c r="Z154" s="277"/>
    </row>
    <row r="155" ht="12.75" customHeight="1">
      <c r="A155" s="183" t="s">
        <v>2165</v>
      </c>
      <c r="B155" s="184" t="s">
        <v>3747</v>
      </c>
      <c r="C155" s="186" t="s">
        <v>1546</v>
      </c>
      <c r="D155" s="233">
        <v>3260.0</v>
      </c>
      <c r="E155" s="234"/>
      <c r="F155" s="234">
        <v>3260.0</v>
      </c>
      <c r="G155" s="364">
        <v>1.48</v>
      </c>
      <c r="H155" s="365"/>
      <c r="I155" s="365">
        <v>1.48</v>
      </c>
      <c r="J155" s="364">
        <v>0.0758</v>
      </c>
      <c r="K155" s="365"/>
      <c r="L155" s="365">
        <v>0.0758</v>
      </c>
      <c r="M155" s="364">
        <v>1.41</v>
      </c>
      <c r="N155" s="365"/>
      <c r="O155" s="365">
        <v>1.41</v>
      </c>
      <c r="P155" s="364">
        <v>5.48</v>
      </c>
      <c r="Q155" s="366"/>
      <c r="R155" s="365">
        <v>5.48</v>
      </c>
      <c r="S155" s="221" t="s">
        <v>3748</v>
      </c>
      <c r="T155" s="277"/>
      <c r="U155" s="277"/>
      <c r="V155" s="277"/>
      <c r="W155" s="277"/>
      <c r="X155" s="277"/>
      <c r="Y155" s="277"/>
      <c r="Z155" s="277"/>
    </row>
    <row r="156" ht="12.75" customHeight="1">
      <c r="A156" s="183" t="s">
        <v>2190</v>
      </c>
      <c r="B156" s="184" t="s">
        <v>2191</v>
      </c>
      <c r="C156" s="186" t="s">
        <v>3749</v>
      </c>
      <c r="D156" s="233">
        <v>1820.0</v>
      </c>
      <c r="E156" s="234"/>
      <c r="F156" s="234">
        <v>1820.0</v>
      </c>
      <c r="G156" s="364">
        <v>0.816</v>
      </c>
      <c r="H156" s="365"/>
      <c r="I156" s="365">
        <v>0.816</v>
      </c>
      <c r="J156" s="364">
        <v>0.0581</v>
      </c>
      <c r="K156" s="365"/>
      <c r="L156" s="365">
        <v>0.0581</v>
      </c>
      <c r="M156" s="364">
        <v>0.757</v>
      </c>
      <c r="N156" s="365"/>
      <c r="O156" s="365">
        <v>0.757</v>
      </c>
      <c r="P156" s="364">
        <v>3.4</v>
      </c>
      <c r="Q156" s="366"/>
      <c r="R156" s="365">
        <v>3.4</v>
      </c>
      <c r="S156" s="221" t="s">
        <v>3750</v>
      </c>
      <c r="T156" s="277"/>
      <c r="U156" s="277"/>
      <c r="V156" s="277"/>
      <c r="W156" s="277"/>
      <c r="X156" s="277"/>
      <c r="Y156" s="277"/>
      <c r="Z156" s="277"/>
    </row>
    <row r="157" ht="12.75" customHeight="1">
      <c r="A157" s="183" t="s">
        <v>2195</v>
      </c>
      <c r="B157" s="184" t="s">
        <v>2196</v>
      </c>
      <c r="C157" s="186" t="s">
        <v>3751</v>
      </c>
      <c r="D157" s="233">
        <v>900.0</v>
      </c>
      <c r="E157" s="234"/>
      <c r="F157" s="234">
        <v>900.0</v>
      </c>
      <c r="G157" s="364">
        <v>0.88</v>
      </c>
      <c r="H157" s="365"/>
      <c r="I157" s="365">
        <v>0.88</v>
      </c>
      <c r="J157" s="364">
        <v>0.0483</v>
      </c>
      <c r="K157" s="365"/>
      <c r="L157" s="365">
        <v>0.0483</v>
      </c>
      <c r="M157" s="364">
        <v>0.832</v>
      </c>
      <c r="N157" s="365"/>
      <c r="O157" s="365">
        <v>0.832</v>
      </c>
      <c r="P157" s="364">
        <v>1.45</v>
      </c>
      <c r="Q157" s="366"/>
      <c r="R157" s="365">
        <v>1.45</v>
      </c>
      <c r="S157" s="221" t="s">
        <v>3752</v>
      </c>
      <c r="T157" s="277"/>
      <c r="U157" s="277"/>
      <c r="V157" s="277"/>
      <c r="W157" s="277"/>
      <c r="X157" s="277"/>
      <c r="Y157" s="277"/>
      <c r="Z157" s="277"/>
    </row>
    <row r="158" ht="12.75" customHeight="1">
      <c r="A158" s="183" t="s">
        <v>2155</v>
      </c>
      <c r="B158" s="184" t="s">
        <v>3753</v>
      </c>
      <c r="C158" s="186" t="s">
        <v>3754</v>
      </c>
      <c r="D158" s="233">
        <v>2300.0</v>
      </c>
      <c r="E158" s="234"/>
      <c r="F158" s="234">
        <v>2300.0</v>
      </c>
      <c r="G158" s="364">
        <v>2.31</v>
      </c>
      <c r="H158" s="365"/>
      <c r="I158" s="365">
        <v>2.31</v>
      </c>
      <c r="J158" s="364">
        <v>0.0898</v>
      </c>
      <c r="K158" s="365"/>
      <c r="L158" s="365">
        <v>0.0898</v>
      </c>
      <c r="M158" s="364">
        <v>2.22</v>
      </c>
      <c r="N158" s="365"/>
      <c r="O158" s="365">
        <v>2.22</v>
      </c>
      <c r="P158" s="364">
        <v>2.82</v>
      </c>
      <c r="Q158" s="366"/>
      <c r="R158" s="365">
        <v>2.82</v>
      </c>
      <c r="S158" s="221" t="s">
        <v>3755</v>
      </c>
      <c r="T158" s="277"/>
      <c r="U158" s="277"/>
      <c r="V158" s="277"/>
      <c r="W158" s="277"/>
      <c r="X158" s="277"/>
      <c r="Y158" s="277"/>
      <c r="Z158" s="277"/>
    </row>
    <row r="159" ht="12.75" customHeight="1">
      <c r="A159" s="183" t="s">
        <v>2160</v>
      </c>
      <c r="B159" s="184" t="s">
        <v>3756</v>
      </c>
      <c r="C159" s="186" t="s">
        <v>3757</v>
      </c>
      <c r="D159" s="233">
        <v>5760.0</v>
      </c>
      <c r="E159" s="234"/>
      <c r="F159" s="234">
        <v>5760.0</v>
      </c>
      <c r="G159" s="364">
        <v>5.77</v>
      </c>
      <c r="H159" s="365"/>
      <c r="I159" s="365">
        <v>5.77</v>
      </c>
      <c r="J159" s="364">
        <v>0.224</v>
      </c>
      <c r="K159" s="365"/>
      <c r="L159" s="365">
        <v>0.224</v>
      </c>
      <c r="M159" s="364">
        <v>5.54</v>
      </c>
      <c r="N159" s="365"/>
      <c r="O159" s="365">
        <v>5.54</v>
      </c>
      <c r="P159" s="364">
        <v>7.05</v>
      </c>
      <c r="Q159" s="366"/>
      <c r="R159" s="365">
        <v>7.05</v>
      </c>
      <c r="S159" s="221" t="s">
        <v>3758</v>
      </c>
      <c r="T159" s="277"/>
      <c r="U159" s="277"/>
      <c r="V159" s="277"/>
      <c r="W159" s="277"/>
      <c r="X159" s="277"/>
      <c r="Y159" s="277"/>
      <c r="Z159" s="277"/>
    </row>
    <row r="160" ht="12.75" customHeight="1">
      <c r="A160" s="183" t="s">
        <v>2150</v>
      </c>
      <c r="B160" s="184" t="s">
        <v>2151</v>
      </c>
      <c r="C160" s="186" t="s">
        <v>3759</v>
      </c>
      <c r="D160" s="233">
        <v>1330.0</v>
      </c>
      <c r="E160" s="234"/>
      <c r="F160" s="234">
        <v>1330.0</v>
      </c>
      <c r="G160" s="364">
        <v>1.33</v>
      </c>
      <c r="H160" s="365"/>
      <c r="I160" s="365">
        <v>1.33</v>
      </c>
      <c r="J160" s="364">
        <v>0.0518</v>
      </c>
      <c r="K160" s="365"/>
      <c r="L160" s="365">
        <v>0.0518</v>
      </c>
      <c r="M160" s="364">
        <v>1.28</v>
      </c>
      <c r="N160" s="365"/>
      <c r="O160" s="365">
        <v>1.28</v>
      </c>
      <c r="P160" s="364">
        <v>1.63</v>
      </c>
      <c r="Q160" s="366"/>
      <c r="R160" s="365">
        <v>1.63</v>
      </c>
      <c r="S160" s="221" t="s">
        <v>3760</v>
      </c>
      <c r="T160" s="277"/>
      <c r="U160" s="277"/>
      <c r="V160" s="277"/>
      <c r="W160" s="277"/>
      <c r="X160" s="277"/>
      <c r="Y160" s="277"/>
      <c r="Z160" s="277"/>
    </row>
    <row r="161" ht="12.75" customHeight="1">
      <c r="A161" s="183" t="s">
        <v>2076</v>
      </c>
      <c r="B161" s="184" t="s">
        <v>2077</v>
      </c>
      <c r="C161" s="186" t="s">
        <v>334</v>
      </c>
      <c r="D161" s="233">
        <v>4100.0</v>
      </c>
      <c r="E161" s="234"/>
      <c r="F161" s="234">
        <v>4100.0</v>
      </c>
      <c r="G161" s="364">
        <v>1.74</v>
      </c>
      <c r="H161" s="365"/>
      <c r="I161" s="365">
        <v>1.74</v>
      </c>
      <c r="J161" s="364">
        <v>0.255</v>
      </c>
      <c r="K161" s="365"/>
      <c r="L161" s="365">
        <v>0.255</v>
      </c>
      <c r="M161" s="364">
        <v>1.48</v>
      </c>
      <c r="N161" s="365"/>
      <c r="O161" s="365">
        <v>1.48</v>
      </c>
      <c r="P161" s="364">
        <v>2.73</v>
      </c>
      <c r="Q161" s="366"/>
      <c r="R161" s="365">
        <v>2.73</v>
      </c>
      <c r="S161" s="221" t="s">
        <v>3761</v>
      </c>
      <c r="T161" s="277"/>
      <c r="U161" s="277"/>
      <c r="V161" s="277"/>
      <c r="W161" s="277"/>
      <c r="X161" s="277"/>
      <c r="Y161" s="277"/>
      <c r="Z161" s="277"/>
    </row>
    <row r="162" ht="12.75" customHeight="1">
      <c r="A162" s="183" t="s">
        <v>2110</v>
      </c>
      <c r="B162" s="184" t="s">
        <v>3762</v>
      </c>
      <c r="C162" s="186" t="s">
        <v>3763</v>
      </c>
      <c r="D162" s="233">
        <v>222.0</v>
      </c>
      <c r="E162" s="234"/>
      <c r="F162" s="234">
        <v>222.0</v>
      </c>
      <c r="G162" s="364">
        <v>0.215</v>
      </c>
      <c r="H162" s="365"/>
      <c r="I162" s="365">
        <v>0.215</v>
      </c>
      <c r="J162" s="364">
        <v>0.00695</v>
      </c>
      <c r="K162" s="365"/>
      <c r="L162" s="365">
        <v>0.00695</v>
      </c>
      <c r="M162" s="364">
        <v>0.208</v>
      </c>
      <c r="N162" s="365"/>
      <c r="O162" s="365">
        <v>0.208</v>
      </c>
      <c r="P162" s="364">
        <v>0.345</v>
      </c>
      <c r="Q162" s="366"/>
      <c r="R162" s="365">
        <v>0.345</v>
      </c>
      <c r="S162" s="221" t="s">
        <v>3764</v>
      </c>
      <c r="T162" s="277"/>
      <c r="U162" s="277"/>
      <c r="V162" s="277"/>
      <c r="W162" s="277"/>
      <c r="X162" s="277"/>
      <c r="Y162" s="277"/>
      <c r="Z162" s="277"/>
    </row>
    <row r="163" ht="12.75" customHeight="1">
      <c r="A163" s="183" t="s">
        <v>2115</v>
      </c>
      <c r="B163" s="184" t="s">
        <v>3765</v>
      </c>
      <c r="C163" s="186" t="s">
        <v>3766</v>
      </c>
      <c r="D163" s="233">
        <v>311.0</v>
      </c>
      <c r="E163" s="234"/>
      <c r="F163" s="234">
        <v>311.0</v>
      </c>
      <c r="G163" s="364">
        <v>0.296</v>
      </c>
      <c r="H163" s="365"/>
      <c r="I163" s="365">
        <v>0.296</v>
      </c>
      <c r="J163" s="364">
        <v>0.00947</v>
      </c>
      <c r="K163" s="365"/>
      <c r="L163" s="365">
        <v>0.00947</v>
      </c>
      <c r="M163" s="364">
        <v>0.287</v>
      </c>
      <c r="N163" s="365"/>
      <c r="O163" s="365">
        <v>0.287</v>
      </c>
      <c r="P163" s="364">
        <v>0.485</v>
      </c>
      <c r="Q163" s="366"/>
      <c r="R163" s="365">
        <v>0.485</v>
      </c>
      <c r="S163" s="221" t="s">
        <v>3767</v>
      </c>
      <c r="T163" s="277"/>
      <c r="U163" s="277"/>
      <c r="V163" s="277"/>
      <c r="W163" s="277"/>
      <c r="X163" s="277"/>
      <c r="Y163" s="277"/>
      <c r="Z163" s="277"/>
    </row>
    <row r="164" ht="12.75" customHeight="1">
      <c r="A164" s="183" t="s">
        <v>2120</v>
      </c>
      <c r="B164" s="184" t="s">
        <v>3768</v>
      </c>
      <c r="C164" s="186" t="s">
        <v>3769</v>
      </c>
      <c r="D164" s="233">
        <v>488.0</v>
      </c>
      <c r="E164" s="234"/>
      <c r="F164" s="234">
        <v>488.0</v>
      </c>
      <c r="G164" s="364">
        <v>0.458</v>
      </c>
      <c r="H164" s="365"/>
      <c r="I164" s="365">
        <v>0.458</v>
      </c>
      <c r="J164" s="364">
        <v>0.0145</v>
      </c>
      <c r="K164" s="365"/>
      <c r="L164" s="365">
        <v>0.0145</v>
      </c>
      <c r="M164" s="364">
        <v>0.444</v>
      </c>
      <c r="N164" s="365"/>
      <c r="O164" s="365">
        <v>0.444</v>
      </c>
      <c r="P164" s="364">
        <v>0.763</v>
      </c>
      <c r="Q164" s="366"/>
      <c r="R164" s="365">
        <v>0.763</v>
      </c>
      <c r="S164" s="221" t="s">
        <v>3770</v>
      </c>
      <c r="T164" s="277"/>
      <c r="U164" s="277"/>
      <c r="V164" s="277"/>
      <c r="W164" s="277"/>
      <c r="X164" s="277"/>
      <c r="Y164" s="277"/>
      <c r="Z164" s="277"/>
    </row>
    <row r="165" ht="12.75" customHeight="1">
      <c r="A165" s="183" t="s">
        <v>2125</v>
      </c>
      <c r="B165" s="184" t="s">
        <v>3771</v>
      </c>
      <c r="C165" s="186" t="s">
        <v>3772</v>
      </c>
      <c r="D165" s="233">
        <v>666.0</v>
      </c>
      <c r="E165" s="234"/>
      <c r="F165" s="234">
        <v>666.0</v>
      </c>
      <c r="G165" s="364">
        <v>0.62</v>
      </c>
      <c r="H165" s="365"/>
      <c r="I165" s="365">
        <v>0.62</v>
      </c>
      <c r="J165" s="364">
        <v>0.0196</v>
      </c>
      <c r="K165" s="365"/>
      <c r="L165" s="365">
        <v>0.0196</v>
      </c>
      <c r="M165" s="364">
        <v>0.601</v>
      </c>
      <c r="N165" s="365"/>
      <c r="O165" s="365">
        <v>0.601</v>
      </c>
      <c r="P165" s="364">
        <v>1.04</v>
      </c>
      <c r="Q165" s="366"/>
      <c r="R165" s="365">
        <v>1.04</v>
      </c>
      <c r="S165" s="221" t="s">
        <v>3773</v>
      </c>
      <c r="T165" s="277"/>
      <c r="U165" s="277"/>
      <c r="V165" s="277"/>
      <c r="W165" s="277"/>
      <c r="X165" s="277"/>
      <c r="Y165" s="277"/>
      <c r="Z165" s="277"/>
    </row>
    <row r="166" ht="12.75" customHeight="1">
      <c r="A166" s="183" t="s">
        <v>2130</v>
      </c>
      <c r="B166" s="184" t="s">
        <v>3774</v>
      </c>
      <c r="C166" s="186" t="s">
        <v>3775</v>
      </c>
      <c r="D166" s="233">
        <v>843.0</v>
      </c>
      <c r="E166" s="234"/>
      <c r="F166" s="234">
        <v>843.0</v>
      </c>
      <c r="G166" s="364">
        <v>0.783</v>
      </c>
      <c r="H166" s="365"/>
      <c r="I166" s="365">
        <v>0.783</v>
      </c>
      <c r="J166" s="364">
        <v>0.0246</v>
      </c>
      <c r="K166" s="365"/>
      <c r="L166" s="365">
        <v>0.0246</v>
      </c>
      <c r="M166" s="364">
        <v>0.758</v>
      </c>
      <c r="N166" s="365"/>
      <c r="O166" s="365">
        <v>0.758</v>
      </c>
      <c r="P166" s="364">
        <v>1.32</v>
      </c>
      <c r="Q166" s="366"/>
      <c r="R166" s="365">
        <v>1.32</v>
      </c>
      <c r="S166" s="221" t="s">
        <v>3776</v>
      </c>
      <c r="T166" s="277"/>
      <c r="U166" s="277"/>
      <c r="V166" s="277"/>
      <c r="W166" s="277"/>
      <c r="X166" s="277"/>
      <c r="Y166" s="277"/>
      <c r="Z166" s="277"/>
    </row>
    <row r="167" ht="12.75" customHeight="1">
      <c r="A167" s="183" t="s">
        <v>2135</v>
      </c>
      <c r="B167" s="184" t="s">
        <v>2136</v>
      </c>
      <c r="C167" s="186" t="s">
        <v>3777</v>
      </c>
      <c r="D167" s="233">
        <v>182.0</v>
      </c>
      <c r="E167" s="234"/>
      <c r="F167" s="234">
        <v>182.0</v>
      </c>
      <c r="G167" s="364">
        <v>0.087</v>
      </c>
      <c r="H167" s="365"/>
      <c r="I167" s="365">
        <v>0.087</v>
      </c>
      <c r="J167" s="364">
        <v>0.00388</v>
      </c>
      <c r="K167" s="365"/>
      <c r="L167" s="365">
        <v>0.00388</v>
      </c>
      <c r="M167" s="364">
        <v>0.0831</v>
      </c>
      <c r="N167" s="365"/>
      <c r="O167" s="365">
        <v>0.0831</v>
      </c>
      <c r="P167" s="364">
        <v>0.299</v>
      </c>
      <c r="Q167" s="366"/>
      <c r="R167" s="365">
        <v>0.299</v>
      </c>
      <c r="S167" s="221" t="s">
        <v>3778</v>
      </c>
      <c r="T167" s="277"/>
      <c r="U167" s="277"/>
      <c r="V167" s="277"/>
      <c r="W167" s="277"/>
      <c r="X167" s="277"/>
      <c r="Y167" s="277"/>
      <c r="Z167" s="277"/>
    </row>
    <row r="168" ht="12.75" customHeight="1">
      <c r="A168" s="183" t="s">
        <v>2140</v>
      </c>
      <c r="B168" s="184" t="s">
        <v>2141</v>
      </c>
      <c r="C168" s="186" t="s">
        <v>3779</v>
      </c>
      <c r="D168" s="233">
        <v>371.0</v>
      </c>
      <c r="E168" s="234"/>
      <c r="F168" s="234">
        <v>371.0</v>
      </c>
      <c r="G168" s="364">
        <v>0.0768</v>
      </c>
      <c r="H168" s="365"/>
      <c r="I168" s="365">
        <v>0.0768</v>
      </c>
      <c r="J168" s="364">
        <v>0.00253</v>
      </c>
      <c r="K168" s="365"/>
      <c r="L168" s="365">
        <v>0.00253</v>
      </c>
      <c r="M168" s="364">
        <v>0.0743</v>
      </c>
      <c r="N168" s="365"/>
      <c r="O168" s="365">
        <v>0.0743</v>
      </c>
      <c r="P168" s="364">
        <v>0.724</v>
      </c>
      <c r="Q168" s="366"/>
      <c r="R168" s="365">
        <v>0.724</v>
      </c>
      <c r="S168" s="221" t="s">
        <v>3780</v>
      </c>
      <c r="T168" s="277"/>
      <c r="U168" s="277"/>
      <c r="V168" s="277"/>
      <c r="W168" s="277"/>
      <c r="X168" s="277"/>
      <c r="Y168" s="277"/>
      <c r="Z168" s="277"/>
    </row>
    <row r="169" ht="12.75" customHeight="1">
      <c r="A169" s="183" t="s">
        <v>2088</v>
      </c>
      <c r="B169" s="184" t="s">
        <v>2089</v>
      </c>
      <c r="C169" s="186" t="s">
        <v>1546</v>
      </c>
      <c r="D169" s="233">
        <v>546000.0</v>
      </c>
      <c r="E169" s="234"/>
      <c r="F169" s="234">
        <v>546000.0</v>
      </c>
      <c r="G169" s="364">
        <v>65.3</v>
      </c>
      <c r="H169" s="365"/>
      <c r="I169" s="365">
        <v>65.3</v>
      </c>
      <c r="J169" s="364">
        <v>5.01</v>
      </c>
      <c r="K169" s="365"/>
      <c r="L169" s="365">
        <v>5.01</v>
      </c>
      <c r="M169" s="364">
        <v>60.2</v>
      </c>
      <c r="N169" s="365"/>
      <c r="O169" s="365">
        <v>60.2</v>
      </c>
      <c r="P169" s="364">
        <v>1050.0</v>
      </c>
      <c r="Q169" s="366"/>
      <c r="R169" s="365">
        <v>1050.0</v>
      </c>
      <c r="S169" s="221" t="s">
        <v>3781</v>
      </c>
      <c r="T169" s="277"/>
      <c r="U169" s="277"/>
      <c r="V169" s="277"/>
      <c r="W169" s="277"/>
      <c r="X169" s="277"/>
      <c r="Y169" s="277"/>
      <c r="Z169" s="277"/>
    </row>
    <row r="170" ht="12.75" customHeight="1">
      <c r="A170" s="183" t="s">
        <v>2091</v>
      </c>
      <c r="B170" s="184" t="s">
        <v>2089</v>
      </c>
      <c r="C170" s="186" t="s">
        <v>559</v>
      </c>
      <c r="D170" s="233">
        <v>2240.0</v>
      </c>
      <c r="E170" s="234"/>
      <c r="F170" s="234">
        <v>2240.0</v>
      </c>
      <c r="G170" s="364">
        <v>0.268</v>
      </c>
      <c r="H170" s="365"/>
      <c r="I170" s="365">
        <v>0.268</v>
      </c>
      <c r="J170" s="364">
        <v>0.0206</v>
      </c>
      <c r="K170" s="365"/>
      <c r="L170" s="365">
        <v>0.0206</v>
      </c>
      <c r="M170" s="364">
        <v>0.248</v>
      </c>
      <c r="N170" s="365"/>
      <c r="O170" s="365">
        <v>0.248</v>
      </c>
      <c r="P170" s="364">
        <v>4.33</v>
      </c>
      <c r="Q170" s="366"/>
      <c r="R170" s="365">
        <v>4.33</v>
      </c>
      <c r="S170" s="221" t="s">
        <v>3781</v>
      </c>
      <c r="T170" s="277"/>
      <c r="U170" s="277"/>
      <c r="V170" s="277"/>
      <c r="W170" s="277"/>
      <c r="X170" s="277"/>
      <c r="Y170" s="277"/>
      <c r="Z170" s="277"/>
    </row>
    <row r="171" ht="12.75" customHeight="1">
      <c r="A171" s="183" t="s">
        <v>2081</v>
      </c>
      <c r="B171" s="184" t="s">
        <v>2082</v>
      </c>
      <c r="C171" s="186" t="s">
        <v>1546</v>
      </c>
      <c r="D171" s="233">
        <v>367000.0</v>
      </c>
      <c r="E171" s="234"/>
      <c r="F171" s="234">
        <v>367000.0</v>
      </c>
      <c r="G171" s="364">
        <v>49.0</v>
      </c>
      <c r="H171" s="365"/>
      <c r="I171" s="365">
        <v>49.0</v>
      </c>
      <c r="J171" s="364">
        <v>3.82</v>
      </c>
      <c r="K171" s="365"/>
      <c r="L171" s="365">
        <v>3.82</v>
      </c>
      <c r="M171" s="364">
        <v>45.2</v>
      </c>
      <c r="N171" s="365"/>
      <c r="O171" s="365">
        <v>45.2</v>
      </c>
      <c r="P171" s="364">
        <v>706.0</v>
      </c>
      <c r="Q171" s="366"/>
      <c r="R171" s="365">
        <v>706.0</v>
      </c>
      <c r="S171" s="221" t="s">
        <v>3782</v>
      </c>
      <c r="T171" s="277"/>
      <c r="U171" s="277"/>
      <c r="V171" s="277"/>
      <c r="W171" s="277"/>
      <c r="X171" s="277"/>
      <c r="Y171" s="277"/>
      <c r="Z171" s="277"/>
    </row>
    <row r="172" ht="12.75" customHeight="1">
      <c r="A172" s="183" t="s">
        <v>2085</v>
      </c>
      <c r="B172" s="184" t="s">
        <v>2082</v>
      </c>
      <c r="C172" s="186" t="s">
        <v>559</v>
      </c>
      <c r="D172" s="233">
        <v>1960.0</v>
      </c>
      <c r="E172" s="234"/>
      <c r="F172" s="234">
        <v>1960.0</v>
      </c>
      <c r="G172" s="364">
        <v>0.262</v>
      </c>
      <c r="H172" s="365"/>
      <c r="I172" s="365">
        <v>0.262</v>
      </c>
      <c r="J172" s="364">
        <v>0.0204</v>
      </c>
      <c r="K172" s="365"/>
      <c r="L172" s="365">
        <v>0.0204</v>
      </c>
      <c r="M172" s="364">
        <v>0.241</v>
      </c>
      <c r="N172" s="365"/>
      <c r="O172" s="365">
        <v>0.241</v>
      </c>
      <c r="P172" s="364">
        <v>3.77</v>
      </c>
      <c r="Q172" s="366"/>
      <c r="R172" s="365">
        <v>3.77</v>
      </c>
      <c r="S172" s="221" t="s">
        <v>3782</v>
      </c>
      <c r="T172" s="277"/>
      <c r="U172" s="277"/>
      <c r="V172" s="277"/>
      <c r="W172" s="277"/>
      <c r="X172" s="277"/>
      <c r="Y172" s="277"/>
      <c r="Z172" s="277"/>
    </row>
    <row r="173" ht="12.75" customHeight="1">
      <c r="A173" s="183" t="s">
        <v>2051</v>
      </c>
      <c r="B173" s="184" t="s">
        <v>2052</v>
      </c>
      <c r="C173" s="186" t="s">
        <v>3783</v>
      </c>
      <c r="D173" s="233">
        <v>1090.0</v>
      </c>
      <c r="E173" s="234"/>
      <c r="F173" s="234">
        <v>1090.0</v>
      </c>
      <c r="G173" s="364">
        <v>3.22</v>
      </c>
      <c r="H173" s="365"/>
      <c r="I173" s="365">
        <v>3.22</v>
      </c>
      <c r="J173" s="364">
        <v>0.433</v>
      </c>
      <c r="K173" s="365"/>
      <c r="L173" s="365">
        <v>0.433</v>
      </c>
      <c r="M173" s="364">
        <v>2.79</v>
      </c>
      <c r="N173" s="365"/>
      <c r="O173" s="365">
        <v>2.79</v>
      </c>
      <c r="P173" s="364">
        <v>1.06</v>
      </c>
      <c r="Q173" s="366"/>
      <c r="R173" s="365">
        <v>1.06</v>
      </c>
      <c r="S173" s="221" t="s">
        <v>3784</v>
      </c>
      <c r="T173" s="277"/>
      <c r="U173" s="277"/>
      <c r="V173" s="277"/>
      <c r="W173" s="277"/>
      <c r="X173" s="277"/>
      <c r="Y173" s="277"/>
      <c r="Z173" s="277"/>
    </row>
    <row r="174" ht="12.75" customHeight="1">
      <c r="A174" s="183" t="s">
        <v>2046</v>
      </c>
      <c r="B174" s="184" t="s">
        <v>2047</v>
      </c>
      <c r="C174" s="186" t="s">
        <v>3785</v>
      </c>
      <c r="D174" s="233">
        <v>807.0</v>
      </c>
      <c r="E174" s="234"/>
      <c r="F174" s="234">
        <v>807.0</v>
      </c>
      <c r="G174" s="364">
        <v>2.7</v>
      </c>
      <c r="H174" s="365"/>
      <c r="I174" s="365">
        <v>2.7</v>
      </c>
      <c r="J174" s="364">
        <v>0.37</v>
      </c>
      <c r="K174" s="365"/>
      <c r="L174" s="365">
        <v>0.37</v>
      </c>
      <c r="M174" s="364">
        <v>2.33</v>
      </c>
      <c r="N174" s="365"/>
      <c r="O174" s="365">
        <v>2.33</v>
      </c>
      <c r="P174" s="364">
        <v>0.674</v>
      </c>
      <c r="Q174" s="366"/>
      <c r="R174" s="365">
        <v>0.674</v>
      </c>
      <c r="S174" s="221" t="s">
        <v>3786</v>
      </c>
      <c r="T174" s="277"/>
      <c r="U174" s="277"/>
      <c r="V174" s="277"/>
      <c r="W174" s="277"/>
      <c r="X174" s="277"/>
      <c r="Y174" s="277"/>
      <c r="Z174" s="277"/>
    </row>
    <row r="175" ht="12.75" customHeight="1">
      <c r="A175" s="183" t="s">
        <v>2030</v>
      </c>
      <c r="B175" s="184" t="s">
        <v>3787</v>
      </c>
      <c r="C175" s="186" t="s">
        <v>3788</v>
      </c>
      <c r="D175" s="233">
        <v>10.6</v>
      </c>
      <c r="E175" s="234"/>
      <c r="F175" s="234">
        <v>10.6</v>
      </c>
      <c r="G175" s="364">
        <v>0.0184</v>
      </c>
      <c r="H175" s="365"/>
      <c r="I175" s="365">
        <v>0.0184</v>
      </c>
      <c r="J175" s="364">
        <v>3.17E-4</v>
      </c>
      <c r="K175" s="365"/>
      <c r="L175" s="365">
        <v>3.17E-4</v>
      </c>
      <c r="M175" s="364">
        <v>0.0181</v>
      </c>
      <c r="N175" s="365"/>
      <c r="O175" s="365">
        <v>0.0181</v>
      </c>
      <c r="P175" s="364">
        <v>0.0109</v>
      </c>
      <c r="Q175" s="366"/>
      <c r="R175" s="365">
        <v>0.0109</v>
      </c>
      <c r="S175" s="221" t="s">
        <v>3789</v>
      </c>
      <c r="T175" s="277"/>
      <c r="U175" s="277"/>
      <c r="V175" s="277"/>
      <c r="W175" s="277"/>
      <c r="X175" s="277"/>
      <c r="Y175" s="277"/>
      <c r="Z175" s="277"/>
    </row>
    <row r="176" ht="12.75" customHeight="1">
      <c r="A176" s="183" t="s">
        <v>2036</v>
      </c>
      <c r="B176" s="184" t="s">
        <v>3790</v>
      </c>
      <c r="C176" s="186" t="s">
        <v>3791</v>
      </c>
      <c r="D176" s="233">
        <v>31.8</v>
      </c>
      <c r="E176" s="234"/>
      <c r="F176" s="234">
        <v>31.8</v>
      </c>
      <c r="G176" s="364">
        <v>0.0553</v>
      </c>
      <c r="H176" s="365"/>
      <c r="I176" s="365">
        <v>0.0553</v>
      </c>
      <c r="J176" s="364">
        <v>9.52E-4</v>
      </c>
      <c r="K176" s="365"/>
      <c r="L176" s="365">
        <v>9.52E-4</v>
      </c>
      <c r="M176" s="364">
        <v>0.0544</v>
      </c>
      <c r="N176" s="365"/>
      <c r="O176" s="365">
        <v>0.0544</v>
      </c>
      <c r="P176" s="364">
        <v>0.0327</v>
      </c>
      <c r="Q176" s="366"/>
      <c r="R176" s="365">
        <v>0.0327</v>
      </c>
      <c r="S176" s="221" t="s">
        <v>3792</v>
      </c>
      <c r="T176" s="277"/>
      <c r="U176" s="277"/>
      <c r="V176" s="277"/>
      <c r="W176" s="277"/>
      <c r="X176" s="277"/>
      <c r="Y176" s="277"/>
      <c r="Z176" s="277"/>
    </row>
    <row r="177" ht="12.75" customHeight="1">
      <c r="A177" s="183" t="s">
        <v>2041</v>
      </c>
      <c r="B177" s="184" t="s">
        <v>3793</v>
      </c>
      <c r="C177" s="186" t="s">
        <v>3794</v>
      </c>
      <c r="D177" s="233">
        <v>53.0</v>
      </c>
      <c r="E177" s="234"/>
      <c r="F177" s="234">
        <v>53.0</v>
      </c>
      <c r="G177" s="364">
        <v>0.0922</v>
      </c>
      <c r="H177" s="365"/>
      <c r="I177" s="365">
        <v>0.0922</v>
      </c>
      <c r="J177" s="364">
        <v>0.00159</v>
      </c>
      <c r="K177" s="365"/>
      <c r="L177" s="365">
        <v>0.00159</v>
      </c>
      <c r="M177" s="364">
        <v>0.0906</v>
      </c>
      <c r="N177" s="365"/>
      <c r="O177" s="365">
        <v>0.0906</v>
      </c>
      <c r="P177" s="364">
        <v>0.0545</v>
      </c>
      <c r="Q177" s="366"/>
      <c r="R177" s="365">
        <v>0.0545</v>
      </c>
      <c r="S177" s="221" t="s">
        <v>3795</v>
      </c>
      <c r="T177" s="277"/>
      <c r="U177" s="277"/>
      <c r="V177" s="277"/>
      <c r="W177" s="277"/>
      <c r="X177" s="277"/>
      <c r="Y177" s="277"/>
      <c r="Z177" s="277"/>
    </row>
    <row r="178" ht="12.75" customHeight="1">
      <c r="A178" s="183" t="s">
        <v>2071</v>
      </c>
      <c r="B178" s="184" t="s">
        <v>2072</v>
      </c>
      <c r="C178" s="186" t="s">
        <v>3796</v>
      </c>
      <c r="D178" s="233">
        <v>33.6</v>
      </c>
      <c r="E178" s="234"/>
      <c r="F178" s="234">
        <v>33.6</v>
      </c>
      <c r="G178" s="364">
        <v>0.00656</v>
      </c>
      <c r="H178" s="365"/>
      <c r="I178" s="365">
        <v>0.00656</v>
      </c>
      <c r="J178" s="364">
        <v>8.3E-5</v>
      </c>
      <c r="K178" s="365"/>
      <c r="L178" s="365">
        <v>8.3E-5</v>
      </c>
      <c r="M178" s="364">
        <v>0.00648</v>
      </c>
      <c r="N178" s="365"/>
      <c r="O178" s="365">
        <v>0.00648</v>
      </c>
      <c r="P178" s="364">
        <v>0.0672</v>
      </c>
      <c r="Q178" s="366"/>
      <c r="R178" s="365">
        <v>0.0672</v>
      </c>
      <c r="S178" s="221" t="s">
        <v>3797</v>
      </c>
      <c r="T178" s="277"/>
      <c r="U178" s="277"/>
      <c r="V178" s="277"/>
      <c r="W178" s="277"/>
      <c r="X178" s="277"/>
      <c r="Y178" s="277"/>
      <c r="Z178" s="277"/>
    </row>
    <row r="179" ht="12.75" customHeight="1">
      <c r="A179" s="183" t="s">
        <v>2182</v>
      </c>
      <c r="B179" s="184" t="s">
        <v>2183</v>
      </c>
      <c r="C179" s="186" t="s">
        <v>3798</v>
      </c>
      <c r="D179" s="233">
        <v>833.0</v>
      </c>
      <c r="E179" s="234"/>
      <c r="F179" s="234">
        <v>833.0</v>
      </c>
      <c r="G179" s="364">
        <v>0.357</v>
      </c>
      <c r="H179" s="365"/>
      <c r="I179" s="365">
        <v>0.357</v>
      </c>
      <c r="J179" s="364">
        <v>0.0192</v>
      </c>
      <c r="K179" s="365"/>
      <c r="L179" s="365">
        <v>0.0192</v>
      </c>
      <c r="M179" s="364">
        <v>0.337</v>
      </c>
      <c r="N179" s="365"/>
      <c r="O179" s="365">
        <v>0.337</v>
      </c>
      <c r="P179" s="364">
        <v>1.55</v>
      </c>
      <c r="Q179" s="366"/>
      <c r="R179" s="365">
        <v>1.55</v>
      </c>
      <c r="S179" s="221" t="s">
        <v>3799</v>
      </c>
      <c r="T179" s="277"/>
      <c r="U179" s="277"/>
      <c r="V179" s="277"/>
      <c r="W179" s="277"/>
      <c r="X179" s="277"/>
      <c r="Y179" s="277"/>
      <c r="Z179" s="277"/>
    </row>
    <row r="180" ht="12.75" customHeight="1">
      <c r="A180" s="277"/>
      <c r="B180" s="278"/>
      <c r="C180" s="277"/>
      <c r="D180" s="277"/>
      <c r="E180" s="277"/>
      <c r="F180" s="277"/>
      <c r="G180" s="277"/>
      <c r="H180" s="277"/>
      <c r="I180" s="277"/>
      <c r="J180" s="277"/>
      <c r="K180" s="277"/>
      <c r="L180" s="277"/>
      <c r="M180" s="277"/>
      <c r="N180" s="277"/>
      <c r="O180" s="277"/>
      <c r="P180" s="277"/>
      <c r="Q180" s="277"/>
      <c r="R180" s="277"/>
      <c r="S180" s="410"/>
      <c r="T180" s="277"/>
      <c r="U180" s="277"/>
      <c r="V180" s="277"/>
      <c r="W180" s="277"/>
      <c r="X180" s="277"/>
      <c r="Y180" s="277"/>
      <c r="Z180" s="277"/>
    </row>
    <row r="181" ht="12.75" customHeight="1">
      <c r="A181" s="277"/>
      <c r="B181" s="278"/>
      <c r="C181" s="277"/>
      <c r="D181" s="277"/>
      <c r="E181" s="277"/>
      <c r="F181" s="277"/>
      <c r="G181" s="277"/>
      <c r="H181" s="277"/>
      <c r="I181" s="277"/>
      <c r="J181" s="277"/>
      <c r="K181" s="277"/>
      <c r="L181" s="277"/>
      <c r="M181" s="277"/>
      <c r="N181" s="277"/>
      <c r="O181" s="277"/>
      <c r="P181" s="277"/>
      <c r="Q181" s="277"/>
      <c r="R181" s="277"/>
      <c r="S181" s="410"/>
      <c r="T181" s="277"/>
      <c r="U181" s="277"/>
      <c r="V181" s="277"/>
      <c r="W181" s="277"/>
      <c r="X181" s="277"/>
      <c r="Y181" s="277"/>
      <c r="Z181" s="277"/>
    </row>
    <row r="182" ht="12.75" customHeight="1">
      <c r="A182" s="277"/>
      <c r="B182" s="278"/>
      <c r="C182" s="277"/>
      <c r="D182" s="277"/>
      <c r="E182" s="277"/>
      <c r="F182" s="277"/>
      <c r="G182" s="277"/>
      <c r="H182" s="277"/>
      <c r="I182" s="277"/>
      <c r="J182" s="277"/>
      <c r="K182" s="277"/>
      <c r="L182" s="277"/>
      <c r="M182" s="277"/>
      <c r="N182" s="277"/>
      <c r="O182" s="277"/>
      <c r="P182" s="277"/>
      <c r="Q182" s="277"/>
      <c r="R182" s="277"/>
      <c r="S182" s="410"/>
      <c r="T182" s="277"/>
      <c r="U182" s="277"/>
      <c r="V182" s="277"/>
      <c r="W182" s="277"/>
      <c r="X182" s="277"/>
      <c r="Y182" s="277"/>
      <c r="Z182" s="277"/>
    </row>
    <row r="183" ht="12.75" customHeight="1">
      <c r="A183" s="277"/>
      <c r="B183" s="278"/>
      <c r="C183" s="277"/>
      <c r="D183" s="277"/>
      <c r="E183" s="277"/>
      <c r="F183" s="277"/>
      <c r="G183" s="277"/>
      <c r="H183" s="277"/>
      <c r="I183" s="277"/>
      <c r="J183" s="277"/>
      <c r="K183" s="277"/>
      <c r="L183" s="277"/>
      <c r="M183" s="277"/>
      <c r="N183" s="277"/>
      <c r="O183" s="277"/>
      <c r="P183" s="277"/>
      <c r="Q183" s="277"/>
      <c r="R183" s="277"/>
      <c r="S183" s="410"/>
      <c r="T183" s="277"/>
      <c r="U183" s="277"/>
      <c r="V183" s="277"/>
      <c r="W183" s="277"/>
      <c r="X183" s="277"/>
      <c r="Y183" s="277"/>
      <c r="Z183" s="277"/>
    </row>
    <row r="184" ht="12.75" customHeight="1">
      <c r="A184" s="277"/>
      <c r="B184" s="278"/>
      <c r="C184" s="277"/>
      <c r="D184" s="277"/>
      <c r="E184" s="277"/>
      <c r="F184" s="277"/>
      <c r="G184" s="277"/>
      <c r="H184" s="277"/>
      <c r="I184" s="277"/>
      <c r="J184" s="277"/>
      <c r="K184" s="277"/>
      <c r="L184" s="277"/>
      <c r="M184" s="277"/>
      <c r="N184" s="277"/>
      <c r="O184" s="277"/>
      <c r="P184" s="277"/>
      <c r="Q184" s="277"/>
      <c r="R184" s="277"/>
      <c r="S184" s="410"/>
      <c r="T184" s="277"/>
      <c r="U184" s="277"/>
      <c r="V184" s="277"/>
      <c r="W184" s="277"/>
      <c r="X184" s="277"/>
      <c r="Y184" s="277"/>
      <c r="Z184" s="277"/>
    </row>
    <row r="185" ht="12.75" customHeight="1">
      <c r="A185" s="277"/>
      <c r="B185" s="278"/>
      <c r="C185" s="277"/>
      <c r="D185" s="277"/>
      <c r="E185" s="277"/>
      <c r="F185" s="277"/>
      <c r="G185" s="277"/>
      <c r="H185" s="277"/>
      <c r="I185" s="277"/>
      <c r="J185" s="277"/>
      <c r="K185" s="277"/>
      <c r="L185" s="277"/>
      <c r="M185" s="277"/>
      <c r="N185" s="277"/>
      <c r="O185" s="277"/>
      <c r="P185" s="277"/>
      <c r="Q185" s="277"/>
      <c r="R185" s="277"/>
      <c r="S185" s="410"/>
      <c r="T185" s="277"/>
      <c r="U185" s="277"/>
      <c r="V185" s="277"/>
      <c r="W185" s="277"/>
      <c r="X185" s="277"/>
      <c r="Y185" s="277"/>
      <c r="Z185" s="277"/>
    </row>
    <row r="186" ht="12.75" customHeight="1">
      <c r="A186" s="277"/>
      <c r="B186" s="278"/>
      <c r="C186" s="277"/>
      <c r="D186" s="277"/>
      <c r="E186" s="277"/>
      <c r="F186" s="277"/>
      <c r="G186" s="277"/>
      <c r="H186" s="277"/>
      <c r="I186" s="277"/>
      <c r="J186" s="277"/>
      <c r="K186" s="277"/>
      <c r="L186" s="277"/>
      <c r="M186" s="277"/>
      <c r="N186" s="277"/>
      <c r="O186" s="277"/>
      <c r="P186" s="277"/>
      <c r="Q186" s="277"/>
      <c r="R186" s="277"/>
      <c r="S186" s="410"/>
      <c r="T186" s="277"/>
      <c r="U186" s="277"/>
      <c r="V186" s="277"/>
      <c r="W186" s="277"/>
      <c r="X186" s="277"/>
      <c r="Y186" s="277"/>
      <c r="Z186" s="277"/>
    </row>
    <row r="187" ht="12.75" customHeight="1">
      <c r="A187" s="277"/>
      <c r="B187" s="278"/>
      <c r="C187" s="277"/>
      <c r="D187" s="277"/>
      <c r="E187" s="277"/>
      <c r="F187" s="277"/>
      <c r="G187" s="277"/>
      <c r="H187" s="277"/>
      <c r="I187" s="277"/>
      <c r="J187" s="277"/>
      <c r="K187" s="277"/>
      <c r="L187" s="277"/>
      <c r="M187" s="277"/>
      <c r="N187" s="277"/>
      <c r="O187" s="277"/>
      <c r="P187" s="277"/>
      <c r="Q187" s="277"/>
      <c r="R187" s="277"/>
      <c r="S187" s="410"/>
      <c r="T187" s="277"/>
      <c r="U187" s="277"/>
      <c r="V187" s="277"/>
      <c r="W187" s="277"/>
      <c r="X187" s="277"/>
      <c r="Y187" s="277"/>
      <c r="Z187" s="277"/>
    </row>
    <row r="188" ht="12.75" customHeight="1">
      <c r="A188" s="277"/>
      <c r="B188" s="278"/>
      <c r="C188" s="277"/>
      <c r="D188" s="277"/>
      <c r="E188" s="277"/>
      <c r="F188" s="277"/>
      <c r="G188" s="277"/>
      <c r="H188" s="277"/>
      <c r="I188" s="277"/>
      <c r="J188" s="277"/>
      <c r="K188" s="277"/>
      <c r="L188" s="277"/>
      <c r="M188" s="277"/>
      <c r="N188" s="277"/>
      <c r="O188" s="277"/>
      <c r="P188" s="277"/>
      <c r="Q188" s="277"/>
      <c r="R188" s="277"/>
      <c r="S188" s="410"/>
      <c r="T188" s="277"/>
      <c r="U188" s="277"/>
      <c r="V188" s="277"/>
      <c r="W188" s="277"/>
      <c r="X188" s="277"/>
      <c r="Y188" s="277"/>
      <c r="Z188" s="277"/>
    </row>
    <row r="189" ht="12.75" customHeight="1">
      <c r="A189" s="277"/>
      <c r="B189" s="278"/>
      <c r="C189" s="277"/>
      <c r="D189" s="277"/>
      <c r="E189" s="277"/>
      <c r="F189" s="277"/>
      <c r="G189" s="277"/>
      <c r="H189" s="277"/>
      <c r="I189" s="277"/>
      <c r="J189" s="277"/>
      <c r="K189" s="277"/>
      <c r="L189" s="277"/>
      <c r="M189" s="277"/>
      <c r="N189" s="277"/>
      <c r="O189" s="277"/>
      <c r="P189" s="277"/>
      <c r="Q189" s="277"/>
      <c r="R189" s="277"/>
      <c r="S189" s="410"/>
      <c r="T189" s="277"/>
      <c r="U189" s="277"/>
      <c r="V189" s="277"/>
      <c r="W189" s="277"/>
      <c r="X189" s="277"/>
      <c r="Y189" s="277"/>
      <c r="Z189" s="277"/>
    </row>
    <row r="190" ht="12.75" customHeight="1">
      <c r="A190" s="277"/>
      <c r="B190" s="278"/>
      <c r="C190" s="277"/>
      <c r="D190" s="277"/>
      <c r="E190" s="277"/>
      <c r="F190" s="277"/>
      <c r="G190" s="277"/>
      <c r="H190" s="277"/>
      <c r="I190" s="277"/>
      <c r="J190" s="277"/>
      <c r="K190" s="277"/>
      <c r="L190" s="277"/>
      <c r="M190" s="277"/>
      <c r="N190" s="277"/>
      <c r="O190" s="277"/>
      <c r="P190" s="277"/>
      <c r="Q190" s="277"/>
      <c r="R190" s="277"/>
      <c r="S190" s="410"/>
      <c r="T190" s="277"/>
      <c r="U190" s="277"/>
      <c r="V190" s="277"/>
      <c r="W190" s="277"/>
      <c r="X190" s="277"/>
      <c r="Y190" s="277"/>
      <c r="Z190" s="277"/>
    </row>
    <row r="191" ht="12.75" customHeight="1">
      <c r="A191" s="277"/>
      <c r="B191" s="278"/>
      <c r="C191" s="277"/>
      <c r="D191" s="277"/>
      <c r="E191" s="277"/>
      <c r="F191" s="277"/>
      <c r="G191" s="277"/>
      <c r="H191" s="277"/>
      <c r="I191" s="277"/>
      <c r="J191" s="277"/>
      <c r="K191" s="277"/>
      <c r="L191" s="277"/>
      <c r="M191" s="277"/>
      <c r="N191" s="277"/>
      <c r="O191" s="277"/>
      <c r="P191" s="277"/>
      <c r="Q191" s="277"/>
      <c r="R191" s="277"/>
      <c r="S191" s="410"/>
      <c r="T191" s="277"/>
      <c r="U191" s="277"/>
      <c r="V191" s="277"/>
      <c r="W191" s="277"/>
      <c r="X191" s="277"/>
      <c r="Y191" s="277"/>
      <c r="Z191" s="277"/>
    </row>
    <row r="192" ht="12.75" customHeight="1">
      <c r="A192" s="277"/>
      <c r="B192" s="278"/>
      <c r="C192" s="277"/>
      <c r="D192" s="277"/>
      <c r="E192" s="277"/>
      <c r="F192" s="277"/>
      <c r="G192" s="277"/>
      <c r="H192" s="277"/>
      <c r="I192" s="277"/>
      <c r="J192" s="277"/>
      <c r="K192" s="277"/>
      <c r="L192" s="277"/>
      <c r="M192" s="277"/>
      <c r="N192" s="277"/>
      <c r="O192" s="277"/>
      <c r="P192" s="277"/>
      <c r="Q192" s="277"/>
      <c r="R192" s="277"/>
      <c r="S192" s="410"/>
      <c r="T192" s="277"/>
      <c r="U192" s="277"/>
      <c r="V192" s="277"/>
      <c r="W192" s="277"/>
      <c r="X192" s="277"/>
      <c r="Y192" s="277"/>
      <c r="Z192" s="277"/>
    </row>
    <row r="193" ht="12.75" customHeight="1">
      <c r="A193" s="277"/>
      <c r="B193" s="278"/>
      <c r="C193" s="277"/>
      <c r="D193" s="277"/>
      <c r="E193" s="277"/>
      <c r="F193" s="277"/>
      <c r="G193" s="277"/>
      <c r="H193" s="277"/>
      <c r="I193" s="277"/>
      <c r="J193" s="277"/>
      <c r="K193" s="277"/>
      <c r="L193" s="277"/>
      <c r="M193" s="277"/>
      <c r="N193" s="277"/>
      <c r="O193" s="277"/>
      <c r="P193" s="277"/>
      <c r="Q193" s="277"/>
      <c r="R193" s="277"/>
      <c r="S193" s="410"/>
      <c r="T193" s="277"/>
      <c r="U193" s="277"/>
      <c r="V193" s="277"/>
      <c r="W193" s="277"/>
      <c r="X193" s="277"/>
      <c r="Y193" s="277"/>
      <c r="Z193" s="277"/>
    </row>
    <row r="194" ht="12.75" customHeight="1">
      <c r="A194" s="277"/>
      <c r="B194" s="278"/>
      <c r="C194" s="277"/>
      <c r="D194" s="277"/>
      <c r="E194" s="277"/>
      <c r="F194" s="277"/>
      <c r="G194" s="277"/>
      <c r="H194" s="277"/>
      <c r="I194" s="277"/>
      <c r="J194" s="277"/>
      <c r="K194" s="277"/>
      <c r="L194" s="277"/>
      <c r="M194" s="277"/>
      <c r="N194" s="277"/>
      <c r="O194" s="277"/>
      <c r="P194" s="277"/>
      <c r="Q194" s="277"/>
      <c r="R194" s="277"/>
      <c r="S194" s="410"/>
      <c r="T194" s="277"/>
      <c r="U194" s="277"/>
      <c r="V194" s="277"/>
      <c r="W194" s="277"/>
      <c r="X194" s="277"/>
      <c r="Y194" s="277"/>
      <c r="Z194" s="277"/>
    </row>
    <row r="195" ht="12.75" customHeight="1">
      <c r="A195" s="277"/>
      <c r="B195" s="278"/>
      <c r="C195" s="277"/>
      <c r="D195" s="277"/>
      <c r="E195" s="277"/>
      <c r="F195" s="277"/>
      <c r="G195" s="277"/>
      <c r="H195" s="277"/>
      <c r="I195" s="277"/>
      <c r="J195" s="277"/>
      <c r="K195" s="277"/>
      <c r="L195" s="277"/>
      <c r="M195" s="277"/>
      <c r="N195" s="277"/>
      <c r="O195" s="277"/>
      <c r="P195" s="277"/>
      <c r="Q195" s="277"/>
      <c r="R195" s="277"/>
      <c r="S195" s="410"/>
      <c r="T195" s="277"/>
      <c r="U195" s="277"/>
      <c r="V195" s="277"/>
      <c r="W195" s="277"/>
      <c r="X195" s="277"/>
      <c r="Y195" s="277"/>
      <c r="Z195" s="277"/>
    </row>
    <row r="196" ht="12.75" customHeight="1">
      <c r="A196" s="277"/>
      <c r="B196" s="278"/>
      <c r="C196" s="277"/>
      <c r="D196" s="277"/>
      <c r="E196" s="277"/>
      <c r="F196" s="277"/>
      <c r="G196" s="277"/>
      <c r="H196" s="277"/>
      <c r="I196" s="277"/>
      <c r="J196" s="277"/>
      <c r="K196" s="277"/>
      <c r="L196" s="277"/>
      <c r="M196" s="277"/>
      <c r="N196" s="277"/>
      <c r="O196" s="277"/>
      <c r="P196" s="277"/>
      <c r="Q196" s="277"/>
      <c r="R196" s="277"/>
      <c r="S196" s="410"/>
      <c r="T196" s="277"/>
      <c r="U196" s="277"/>
      <c r="V196" s="277"/>
      <c r="W196" s="277"/>
      <c r="X196" s="277"/>
      <c r="Y196" s="277"/>
      <c r="Z196" s="277"/>
    </row>
    <row r="197" ht="12.75" customHeight="1">
      <c r="A197" s="277"/>
      <c r="B197" s="278"/>
      <c r="C197" s="277"/>
      <c r="D197" s="277"/>
      <c r="E197" s="277"/>
      <c r="F197" s="277"/>
      <c r="G197" s="277"/>
      <c r="H197" s="277"/>
      <c r="I197" s="277"/>
      <c r="J197" s="277"/>
      <c r="K197" s="277"/>
      <c r="L197" s="277"/>
      <c r="M197" s="277"/>
      <c r="N197" s="277"/>
      <c r="O197" s="277"/>
      <c r="P197" s="277"/>
      <c r="Q197" s="277"/>
      <c r="R197" s="277"/>
      <c r="S197" s="410"/>
      <c r="T197" s="277"/>
      <c r="U197" s="277"/>
      <c r="V197" s="277"/>
      <c r="W197" s="277"/>
      <c r="X197" s="277"/>
      <c r="Y197" s="277"/>
      <c r="Z197" s="277"/>
    </row>
    <row r="198" ht="12.75" customHeight="1">
      <c r="A198" s="277"/>
      <c r="B198" s="278"/>
      <c r="C198" s="277"/>
      <c r="D198" s="277"/>
      <c r="E198" s="277"/>
      <c r="F198" s="277"/>
      <c r="G198" s="277"/>
      <c r="H198" s="277"/>
      <c r="I198" s="277"/>
      <c r="J198" s="277"/>
      <c r="K198" s="277"/>
      <c r="L198" s="277"/>
      <c r="M198" s="277"/>
      <c r="N198" s="277"/>
      <c r="O198" s="277"/>
      <c r="P198" s="277"/>
      <c r="Q198" s="277"/>
      <c r="R198" s="277"/>
      <c r="S198" s="410"/>
      <c r="T198" s="277"/>
      <c r="U198" s="277"/>
      <c r="V198" s="277"/>
      <c r="W198" s="277"/>
      <c r="X198" s="277"/>
      <c r="Y198" s="277"/>
      <c r="Z198" s="277"/>
    </row>
    <row r="199" ht="12.75" customHeight="1">
      <c r="A199" s="277"/>
      <c r="B199" s="278"/>
      <c r="C199" s="277"/>
      <c r="D199" s="277"/>
      <c r="E199" s="277"/>
      <c r="F199" s="277"/>
      <c r="G199" s="277"/>
      <c r="H199" s="277"/>
      <c r="I199" s="277"/>
      <c r="J199" s="277"/>
      <c r="K199" s="277"/>
      <c r="L199" s="277"/>
      <c r="M199" s="277"/>
      <c r="N199" s="277"/>
      <c r="O199" s="277"/>
      <c r="P199" s="277"/>
      <c r="Q199" s="277"/>
      <c r="R199" s="277"/>
      <c r="S199" s="410"/>
      <c r="T199" s="277"/>
      <c r="U199" s="277"/>
      <c r="V199" s="277"/>
      <c r="W199" s="277"/>
      <c r="X199" s="277"/>
      <c r="Y199" s="277"/>
      <c r="Z199" s="277"/>
    </row>
    <row r="200" ht="12.75" customHeight="1">
      <c r="A200" s="277"/>
      <c r="B200" s="278"/>
      <c r="C200" s="277"/>
      <c r="D200" s="277"/>
      <c r="E200" s="277"/>
      <c r="F200" s="277"/>
      <c r="G200" s="277"/>
      <c r="H200" s="277"/>
      <c r="I200" s="277"/>
      <c r="J200" s="277"/>
      <c r="K200" s="277"/>
      <c r="L200" s="277"/>
      <c r="M200" s="277"/>
      <c r="N200" s="277"/>
      <c r="O200" s="277"/>
      <c r="P200" s="277"/>
      <c r="Q200" s="277"/>
      <c r="R200" s="277"/>
      <c r="S200" s="410"/>
      <c r="T200" s="277"/>
      <c r="U200" s="277"/>
      <c r="V200" s="277"/>
      <c r="W200" s="277"/>
      <c r="X200" s="277"/>
      <c r="Y200" s="277"/>
      <c r="Z200" s="277"/>
    </row>
    <row r="201" ht="12.75" customHeight="1">
      <c r="A201" s="277"/>
      <c r="B201" s="278"/>
      <c r="C201" s="277"/>
      <c r="D201" s="277"/>
      <c r="E201" s="277"/>
      <c r="F201" s="277"/>
      <c r="G201" s="277"/>
      <c r="H201" s="277"/>
      <c r="I201" s="277"/>
      <c r="J201" s="277"/>
      <c r="K201" s="277"/>
      <c r="L201" s="277"/>
      <c r="M201" s="277"/>
      <c r="N201" s="277"/>
      <c r="O201" s="277"/>
      <c r="P201" s="277"/>
      <c r="Q201" s="277"/>
      <c r="R201" s="277"/>
      <c r="S201" s="410"/>
      <c r="T201" s="277"/>
      <c r="U201" s="277"/>
      <c r="V201" s="277"/>
      <c r="W201" s="277"/>
      <c r="X201" s="277"/>
      <c r="Y201" s="277"/>
      <c r="Z201" s="277"/>
    </row>
    <row r="202" ht="12.75" customHeight="1">
      <c r="A202" s="277"/>
      <c r="B202" s="278"/>
      <c r="C202" s="277"/>
      <c r="D202" s="277"/>
      <c r="E202" s="277"/>
      <c r="F202" s="277"/>
      <c r="G202" s="277"/>
      <c r="H202" s="277"/>
      <c r="I202" s="277"/>
      <c r="J202" s="277"/>
      <c r="K202" s="277"/>
      <c r="L202" s="277"/>
      <c r="M202" s="277"/>
      <c r="N202" s="277"/>
      <c r="O202" s="277"/>
      <c r="P202" s="277"/>
      <c r="Q202" s="277"/>
      <c r="R202" s="277"/>
      <c r="S202" s="410"/>
      <c r="T202" s="277"/>
      <c r="U202" s="277"/>
      <c r="V202" s="277"/>
      <c r="W202" s="277"/>
      <c r="X202" s="277"/>
      <c r="Y202" s="277"/>
      <c r="Z202" s="277"/>
    </row>
    <row r="203" ht="12.75" customHeight="1">
      <c r="A203" s="277"/>
      <c r="B203" s="278"/>
      <c r="C203" s="277"/>
      <c r="D203" s="277"/>
      <c r="E203" s="277"/>
      <c r="F203" s="277"/>
      <c r="G203" s="277"/>
      <c r="H203" s="277"/>
      <c r="I203" s="277"/>
      <c r="J203" s="277"/>
      <c r="K203" s="277"/>
      <c r="L203" s="277"/>
      <c r="M203" s="277"/>
      <c r="N203" s="277"/>
      <c r="O203" s="277"/>
      <c r="P203" s="277"/>
      <c r="Q203" s="277"/>
      <c r="R203" s="277"/>
      <c r="S203" s="410"/>
      <c r="T203" s="277"/>
      <c r="U203" s="277"/>
      <c r="V203" s="277"/>
      <c r="W203" s="277"/>
      <c r="X203" s="277"/>
      <c r="Y203" s="277"/>
      <c r="Z203" s="277"/>
    </row>
    <row r="204" ht="12.75" customHeight="1">
      <c r="A204" s="277"/>
      <c r="B204" s="278"/>
      <c r="C204" s="277"/>
      <c r="D204" s="277"/>
      <c r="E204" s="277"/>
      <c r="F204" s="277"/>
      <c r="G204" s="277"/>
      <c r="H204" s="277"/>
      <c r="I204" s="277"/>
      <c r="J204" s="277"/>
      <c r="K204" s="277"/>
      <c r="L204" s="277"/>
      <c r="M204" s="277"/>
      <c r="N204" s="277"/>
      <c r="O204" s="277"/>
      <c r="P204" s="277"/>
      <c r="Q204" s="277"/>
      <c r="R204" s="277"/>
      <c r="S204" s="410"/>
      <c r="T204" s="277"/>
      <c r="U204" s="277"/>
      <c r="V204" s="277"/>
      <c r="W204" s="277"/>
      <c r="X204" s="277"/>
      <c r="Y204" s="277"/>
      <c r="Z204" s="277"/>
    </row>
    <row r="205" ht="12.75" customHeight="1">
      <c r="A205" s="277"/>
      <c r="B205" s="278"/>
      <c r="C205" s="277"/>
      <c r="D205" s="277"/>
      <c r="E205" s="277"/>
      <c r="F205" s="277"/>
      <c r="G205" s="277"/>
      <c r="H205" s="277"/>
      <c r="I205" s="277"/>
      <c r="J205" s="277"/>
      <c r="K205" s="277"/>
      <c r="L205" s="277"/>
      <c r="M205" s="277"/>
      <c r="N205" s="277"/>
      <c r="O205" s="277"/>
      <c r="P205" s="277"/>
      <c r="Q205" s="277"/>
      <c r="R205" s="277"/>
      <c r="S205" s="410"/>
      <c r="T205" s="277"/>
      <c r="U205" s="277"/>
      <c r="V205" s="277"/>
      <c r="W205" s="277"/>
      <c r="X205" s="277"/>
      <c r="Y205" s="277"/>
      <c r="Z205" s="277"/>
    </row>
    <row r="206" ht="12.75" customHeight="1">
      <c r="A206" s="277"/>
      <c r="B206" s="278"/>
      <c r="C206" s="277"/>
      <c r="D206" s="277"/>
      <c r="E206" s="277"/>
      <c r="F206" s="277"/>
      <c r="G206" s="277"/>
      <c r="H206" s="277"/>
      <c r="I206" s="277"/>
      <c r="J206" s="277"/>
      <c r="K206" s="277"/>
      <c r="L206" s="277"/>
      <c r="M206" s="277"/>
      <c r="N206" s="277"/>
      <c r="O206" s="277"/>
      <c r="P206" s="277"/>
      <c r="Q206" s="277"/>
      <c r="R206" s="277"/>
      <c r="S206" s="410"/>
      <c r="T206" s="277"/>
      <c r="U206" s="277"/>
      <c r="V206" s="277"/>
      <c r="W206" s="277"/>
      <c r="X206" s="277"/>
      <c r="Y206" s="277"/>
      <c r="Z206" s="277"/>
    </row>
    <row r="207" ht="12.75" customHeight="1">
      <c r="A207" s="277"/>
      <c r="B207" s="278"/>
      <c r="C207" s="277"/>
      <c r="D207" s="277"/>
      <c r="E207" s="277"/>
      <c r="F207" s="277"/>
      <c r="G207" s="277"/>
      <c r="H207" s="277"/>
      <c r="I207" s="277"/>
      <c r="J207" s="277"/>
      <c r="K207" s="277"/>
      <c r="L207" s="277"/>
      <c r="M207" s="277"/>
      <c r="N207" s="277"/>
      <c r="O207" s="277"/>
      <c r="P207" s="277"/>
      <c r="Q207" s="277"/>
      <c r="R207" s="277"/>
      <c r="S207" s="410"/>
      <c r="T207" s="277"/>
      <c r="U207" s="277"/>
      <c r="V207" s="277"/>
      <c r="W207" s="277"/>
      <c r="X207" s="277"/>
      <c r="Y207" s="277"/>
      <c r="Z207" s="277"/>
    </row>
    <row r="208" ht="12.75" customHeight="1">
      <c r="A208" s="277"/>
      <c r="B208" s="278"/>
      <c r="C208" s="277"/>
      <c r="D208" s="277"/>
      <c r="E208" s="277"/>
      <c r="F208" s="277"/>
      <c r="G208" s="277"/>
      <c r="H208" s="277"/>
      <c r="I208" s="277"/>
      <c r="J208" s="277"/>
      <c r="K208" s="277"/>
      <c r="L208" s="277"/>
      <c r="M208" s="277"/>
      <c r="N208" s="277"/>
      <c r="O208" s="277"/>
      <c r="P208" s="277"/>
      <c r="Q208" s="277"/>
      <c r="R208" s="277"/>
      <c r="S208" s="410"/>
      <c r="T208" s="277"/>
      <c r="U208" s="277"/>
      <c r="V208" s="277"/>
      <c r="W208" s="277"/>
      <c r="X208" s="277"/>
      <c r="Y208" s="277"/>
      <c r="Z208" s="277"/>
    </row>
    <row r="209" ht="12.75" customHeight="1">
      <c r="A209" s="277"/>
      <c r="B209" s="278"/>
      <c r="C209" s="277"/>
      <c r="D209" s="277"/>
      <c r="E209" s="277"/>
      <c r="F209" s="277"/>
      <c r="G209" s="277"/>
      <c r="H209" s="277"/>
      <c r="I209" s="277"/>
      <c r="J209" s="277"/>
      <c r="K209" s="277"/>
      <c r="L209" s="277"/>
      <c r="M209" s="277"/>
      <c r="N209" s="277"/>
      <c r="O209" s="277"/>
      <c r="P209" s="277"/>
      <c r="Q209" s="277"/>
      <c r="R209" s="277"/>
      <c r="S209" s="410"/>
      <c r="T209" s="277"/>
      <c r="U209" s="277"/>
      <c r="V209" s="277"/>
      <c r="W209" s="277"/>
      <c r="X209" s="277"/>
      <c r="Y209" s="277"/>
      <c r="Z209" s="277"/>
    </row>
    <row r="210" ht="12.75" customHeight="1">
      <c r="A210" s="277"/>
      <c r="B210" s="278"/>
      <c r="C210" s="277"/>
      <c r="D210" s="277"/>
      <c r="E210" s="277"/>
      <c r="F210" s="277"/>
      <c r="G210" s="277"/>
      <c r="H210" s="277"/>
      <c r="I210" s="277"/>
      <c r="J210" s="277"/>
      <c r="K210" s="277"/>
      <c r="L210" s="277"/>
      <c r="M210" s="277"/>
      <c r="N210" s="277"/>
      <c r="O210" s="277"/>
      <c r="P210" s="277"/>
      <c r="Q210" s="277"/>
      <c r="R210" s="277"/>
      <c r="S210" s="410"/>
      <c r="T210" s="277"/>
      <c r="U210" s="277"/>
      <c r="V210" s="277"/>
      <c r="W210" s="277"/>
      <c r="X210" s="277"/>
      <c r="Y210" s="277"/>
      <c r="Z210" s="277"/>
    </row>
    <row r="211" ht="12.75" customHeight="1">
      <c r="A211" s="277"/>
      <c r="B211" s="278"/>
      <c r="C211" s="277"/>
      <c r="D211" s="277"/>
      <c r="E211" s="277"/>
      <c r="F211" s="277"/>
      <c r="G211" s="277"/>
      <c r="H211" s="277"/>
      <c r="I211" s="277"/>
      <c r="J211" s="277"/>
      <c r="K211" s="277"/>
      <c r="L211" s="277"/>
      <c r="M211" s="277"/>
      <c r="N211" s="277"/>
      <c r="O211" s="277"/>
      <c r="P211" s="277"/>
      <c r="Q211" s="277"/>
      <c r="R211" s="277"/>
      <c r="S211" s="410"/>
      <c r="T211" s="277"/>
      <c r="U211" s="277"/>
      <c r="V211" s="277"/>
      <c r="W211" s="277"/>
      <c r="X211" s="277"/>
      <c r="Y211" s="277"/>
      <c r="Z211" s="277"/>
    </row>
    <row r="212" ht="12.75" customHeight="1">
      <c r="A212" s="277"/>
      <c r="B212" s="278"/>
      <c r="C212" s="277"/>
      <c r="D212" s="277"/>
      <c r="E212" s="277"/>
      <c r="F212" s="277"/>
      <c r="G212" s="277"/>
      <c r="H212" s="277"/>
      <c r="I212" s="277"/>
      <c r="J212" s="277"/>
      <c r="K212" s="277"/>
      <c r="L212" s="277"/>
      <c r="M212" s="277"/>
      <c r="N212" s="277"/>
      <c r="O212" s="277"/>
      <c r="P212" s="277"/>
      <c r="Q212" s="277"/>
      <c r="R212" s="277"/>
      <c r="S212" s="410"/>
      <c r="T212" s="277"/>
      <c r="U212" s="277"/>
      <c r="V212" s="277"/>
      <c r="W212" s="277"/>
      <c r="X212" s="277"/>
      <c r="Y212" s="277"/>
      <c r="Z212" s="277"/>
    </row>
    <row r="213" ht="12.75" customHeight="1">
      <c r="A213" s="277"/>
      <c r="B213" s="278"/>
      <c r="C213" s="277"/>
      <c r="D213" s="277"/>
      <c r="E213" s="277"/>
      <c r="F213" s="277"/>
      <c r="G213" s="277"/>
      <c r="H213" s="277"/>
      <c r="I213" s="277"/>
      <c r="J213" s="277"/>
      <c r="K213" s="277"/>
      <c r="L213" s="277"/>
      <c r="M213" s="277"/>
      <c r="N213" s="277"/>
      <c r="O213" s="277"/>
      <c r="P213" s="277"/>
      <c r="Q213" s="277"/>
      <c r="R213" s="277"/>
      <c r="S213" s="410"/>
      <c r="T213" s="277"/>
      <c r="U213" s="277"/>
      <c r="V213" s="277"/>
      <c r="W213" s="277"/>
      <c r="X213" s="277"/>
      <c r="Y213" s="277"/>
      <c r="Z213" s="277"/>
    </row>
    <row r="214" ht="12.75" customHeight="1">
      <c r="A214" s="277"/>
      <c r="B214" s="278"/>
      <c r="C214" s="277"/>
      <c r="D214" s="277"/>
      <c r="E214" s="277"/>
      <c r="F214" s="277"/>
      <c r="G214" s="277"/>
      <c r="H214" s="277"/>
      <c r="I214" s="277"/>
      <c r="J214" s="277"/>
      <c r="K214" s="277"/>
      <c r="L214" s="277"/>
      <c r="M214" s="277"/>
      <c r="N214" s="277"/>
      <c r="O214" s="277"/>
      <c r="P214" s="277"/>
      <c r="Q214" s="277"/>
      <c r="R214" s="277"/>
      <c r="S214" s="410"/>
      <c r="T214" s="277"/>
      <c r="U214" s="277"/>
      <c r="V214" s="277"/>
      <c r="W214" s="277"/>
      <c r="X214" s="277"/>
      <c r="Y214" s="277"/>
      <c r="Z214" s="277"/>
    </row>
    <row r="215" ht="12.75" customHeight="1">
      <c r="A215" s="277"/>
      <c r="B215" s="278"/>
      <c r="C215" s="277"/>
      <c r="D215" s="277"/>
      <c r="E215" s="277"/>
      <c r="F215" s="277"/>
      <c r="G215" s="277"/>
      <c r="H215" s="277"/>
      <c r="I215" s="277"/>
      <c r="J215" s="277"/>
      <c r="K215" s="277"/>
      <c r="L215" s="277"/>
      <c r="M215" s="277"/>
      <c r="N215" s="277"/>
      <c r="O215" s="277"/>
      <c r="P215" s="277"/>
      <c r="Q215" s="277"/>
      <c r="R215" s="277"/>
      <c r="S215" s="410"/>
      <c r="T215" s="277"/>
      <c r="U215" s="277"/>
      <c r="V215" s="277"/>
      <c r="W215" s="277"/>
      <c r="X215" s="277"/>
      <c r="Y215" s="277"/>
      <c r="Z215" s="277"/>
    </row>
    <row r="216" ht="12.75" customHeight="1">
      <c r="A216" s="277"/>
      <c r="B216" s="278"/>
      <c r="C216" s="277"/>
      <c r="D216" s="277"/>
      <c r="E216" s="277"/>
      <c r="F216" s="277"/>
      <c r="G216" s="277"/>
      <c r="H216" s="277"/>
      <c r="I216" s="277"/>
      <c r="J216" s="277"/>
      <c r="K216" s="277"/>
      <c r="L216" s="277"/>
      <c r="M216" s="277"/>
      <c r="N216" s="277"/>
      <c r="O216" s="277"/>
      <c r="P216" s="277"/>
      <c r="Q216" s="277"/>
      <c r="R216" s="277"/>
      <c r="S216" s="410"/>
      <c r="T216" s="277"/>
      <c r="U216" s="277"/>
      <c r="V216" s="277"/>
      <c r="W216" s="277"/>
      <c r="X216" s="277"/>
      <c r="Y216" s="277"/>
      <c r="Z216" s="277"/>
    </row>
    <row r="217" ht="12.75" customHeight="1">
      <c r="A217" s="277"/>
      <c r="B217" s="278"/>
      <c r="C217" s="277"/>
      <c r="D217" s="277"/>
      <c r="E217" s="277"/>
      <c r="F217" s="277"/>
      <c r="G217" s="277"/>
      <c r="H217" s="277"/>
      <c r="I217" s="277"/>
      <c r="J217" s="277"/>
      <c r="K217" s="277"/>
      <c r="L217" s="277"/>
      <c r="M217" s="277"/>
      <c r="N217" s="277"/>
      <c r="O217" s="277"/>
      <c r="P217" s="277"/>
      <c r="Q217" s="277"/>
      <c r="R217" s="277"/>
      <c r="S217" s="410"/>
      <c r="T217" s="277"/>
      <c r="U217" s="277"/>
      <c r="V217" s="277"/>
      <c r="W217" s="277"/>
      <c r="X217" s="277"/>
      <c r="Y217" s="277"/>
      <c r="Z217" s="277"/>
    </row>
    <row r="218" ht="12.75" customHeight="1">
      <c r="A218" s="277"/>
      <c r="B218" s="278"/>
      <c r="C218" s="277"/>
      <c r="D218" s="277"/>
      <c r="E218" s="277"/>
      <c r="F218" s="277"/>
      <c r="G218" s="277"/>
      <c r="H218" s="277"/>
      <c r="I218" s="277"/>
      <c r="J218" s="277"/>
      <c r="K218" s="277"/>
      <c r="L218" s="277"/>
      <c r="M218" s="277"/>
      <c r="N218" s="277"/>
      <c r="O218" s="277"/>
      <c r="P218" s="277"/>
      <c r="Q218" s="277"/>
      <c r="R218" s="277"/>
      <c r="S218" s="410"/>
      <c r="T218" s="277"/>
      <c r="U218" s="277"/>
      <c r="V218" s="277"/>
      <c r="W218" s="277"/>
      <c r="X218" s="277"/>
      <c r="Y218" s="277"/>
      <c r="Z218" s="277"/>
    </row>
    <row r="219" ht="12.75" customHeight="1">
      <c r="A219" s="277"/>
      <c r="B219" s="278"/>
      <c r="C219" s="277"/>
      <c r="D219" s="277"/>
      <c r="E219" s="277"/>
      <c r="F219" s="277"/>
      <c r="G219" s="277"/>
      <c r="H219" s="277"/>
      <c r="I219" s="277"/>
      <c r="J219" s="277"/>
      <c r="K219" s="277"/>
      <c r="L219" s="277"/>
      <c r="M219" s="277"/>
      <c r="N219" s="277"/>
      <c r="O219" s="277"/>
      <c r="P219" s="277"/>
      <c r="Q219" s="277"/>
      <c r="R219" s="277"/>
      <c r="S219" s="410"/>
      <c r="T219" s="277"/>
      <c r="U219" s="277"/>
      <c r="V219" s="277"/>
      <c r="W219" s="277"/>
      <c r="X219" s="277"/>
      <c r="Y219" s="277"/>
      <c r="Z219" s="277"/>
    </row>
    <row r="220" ht="12.75" customHeight="1">
      <c r="A220" s="277"/>
      <c r="B220" s="278"/>
      <c r="C220" s="277"/>
      <c r="D220" s="277"/>
      <c r="E220" s="277"/>
      <c r="F220" s="277"/>
      <c r="G220" s="277"/>
      <c r="H220" s="277"/>
      <c r="I220" s="277"/>
      <c r="J220" s="277"/>
      <c r="K220" s="277"/>
      <c r="L220" s="277"/>
      <c r="M220" s="277"/>
      <c r="N220" s="277"/>
      <c r="O220" s="277"/>
      <c r="P220" s="277"/>
      <c r="Q220" s="277"/>
      <c r="R220" s="277"/>
      <c r="S220" s="410"/>
      <c r="T220" s="277"/>
      <c r="U220" s="277"/>
      <c r="V220" s="277"/>
      <c r="W220" s="277"/>
      <c r="X220" s="277"/>
      <c r="Y220" s="277"/>
      <c r="Z220" s="277"/>
    </row>
    <row r="221" ht="12.75" customHeight="1">
      <c r="A221" s="277"/>
      <c r="B221" s="278"/>
      <c r="C221" s="277"/>
      <c r="D221" s="277"/>
      <c r="E221" s="277"/>
      <c r="F221" s="277"/>
      <c r="G221" s="277"/>
      <c r="H221" s="277"/>
      <c r="I221" s="277"/>
      <c r="J221" s="277"/>
      <c r="K221" s="277"/>
      <c r="L221" s="277"/>
      <c r="M221" s="277"/>
      <c r="N221" s="277"/>
      <c r="O221" s="277"/>
      <c r="P221" s="277"/>
      <c r="Q221" s="277"/>
      <c r="R221" s="277"/>
      <c r="S221" s="410"/>
      <c r="T221" s="277"/>
      <c r="U221" s="277"/>
      <c r="V221" s="277"/>
      <c r="W221" s="277"/>
      <c r="X221" s="277"/>
      <c r="Y221" s="277"/>
      <c r="Z221" s="277"/>
    </row>
    <row r="222" ht="12.75" customHeight="1">
      <c r="A222" s="277"/>
      <c r="B222" s="278"/>
      <c r="C222" s="277"/>
      <c r="D222" s="277"/>
      <c r="E222" s="277"/>
      <c r="F222" s="277"/>
      <c r="G222" s="277"/>
      <c r="H222" s="277"/>
      <c r="I222" s="277"/>
      <c r="J222" s="277"/>
      <c r="K222" s="277"/>
      <c r="L222" s="277"/>
      <c r="M222" s="277"/>
      <c r="N222" s="277"/>
      <c r="O222" s="277"/>
      <c r="P222" s="277"/>
      <c r="Q222" s="277"/>
      <c r="R222" s="277"/>
      <c r="S222" s="410"/>
      <c r="T222" s="277"/>
      <c r="U222" s="277"/>
      <c r="V222" s="277"/>
      <c r="W222" s="277"/>
      <c r="X222" s="277"/>
      <c r="Y222" s="277"/>
      <c r="Z222" s="277"/>
    </row>
    <row r="223" ht="12.75" customHeight="1">
      <c r="A223" s="277"/>
      <c r="B223" s="278"/>
      <c r="C223" s="277"/>
      <c r="D223" s="277"/>
      <c r="E223" s="277"/>
      <c r="F223" s="277"/>
      <c r="G223" s="277"/>
      <c r="H223" s="277"/>
      <c r="I223" s="277"/>
      <c r="J223" s="277"/>
      <c r="K223" s="277"/>
      <c r="L223" s="277"/>
      <c r="M223" s="277"/>
      <c r="N223" s="277"/>
      <c r="O223" s="277"/>
      <c r="P223" s="277"/>
      <c r="Q223" s="277"/>
      <c r="R223" s="277"/>
      <c r="S223" s="410"/>
      <c r="T223" s="277"/>
      <c r="U223" s="277"/>
      <c r="V223" s="277"/>
      <c r="W223" s="277"/>
      <c r="X223" s="277"/>
      <c r="Y223" s="277"/>
      <c r="Z223" s="277"/>
    </row>
    <row r="224" ht="12.75" customHeight="1">
      <c r="A224" s="277"/>
      <c r="B224" s="278"/>
      <c r="C224" s="277"/>
      <c r="D224" s="277"/>
      <c r="E224" s="277"/>
      <c r="F224" s="277"/>
      <c r="G224" s="277"/>
      <c r="H224" s="277"/>
      <c r="I224" s="277"/>
      <c r="J224" s="277"/>
      <c r="K224" s="277"/>
      <c r="L224" s="277"/>
      <c r="M224" s="277"/>
      <c r="N224" s="277"/>
      <c r="O224" s="277"/>
      <c r="P224" s="277"/>
      <c r="Q224" s="277"/>
      <c r="R224" s="277"/>
      <c r="S224" s="410"/>
      <c r="T224" s="277"/>
      <c r="U224" s="277"/>
      <c r="V224" s="277"/>
      <c r="W224" s="277"/>
      <c r="X224" s="277"/>
      <c r="Y224" s="277"/>
      <c r="Z224" s="277"/>
    </row>
    <row r="225" ht="12.75" customHeight="1">
      <c r="A225" s="277"/>
      <c r="B225" s="278"/>
      <c r="C225" s="277"/>
      <c r="D225" s="277"/>
      <c r="E225" s="277"/>
      <c r="F225" s="277"/>
      <c r="G225" s="277"/>
      <c r="H225" s="277"/>
      <c r="I225" s="277"/>
      <c r="J225" s="277"/>
      <c r="K225" s="277"/>
      <c r="L225" s="277"/>
      <c r="M225" s="277"/>
      <c r="N225" s="277"/>
      <c r="O225" s="277"/>
      <c r="P225" s="277"/>
      <c r="Q225" s="277"/>
      <c r="R225" s="277"/>
      <c r="S225" s="410"/>
      <c r="T225" s="277"/>
      <c r="U225" s="277"/>
      <c r="V225" s="277"/>
      <c r="W225" s="277"/>
      <c r="X225" s="277"/>
      <c r="Y225" s="277"/>
      <c r="Z225" s="277"/>
    </row>
    <row r="226" ht="12.75" customHeight="1">
      <c r="A226" s="277"/>
      <c r="B226" s="278"/>
      <c r="C226" s="277"/>
      <c r="D226" s="277"/>
      <c r="E226" s="277"/>
      <c r="F226" s="277"/>
      <c r="G226" s="277"/>
      <c r="H226" s="277"/>
      <c r="I226" s="277"/>
      <c r="J226" s="277"/>
      <c r="K226" s="277"/>
      <c r="L226" s="277"/>
      <c r="M226" s="277"/>
      <c r="N226" s="277"/>
      <c r="O226" s="277"/>
      <c r="P226" s="277"/>
      <c r="Q226" s="277"/>
      <c r="R226" s="277"/>
      <c r="S226" s="410"/>
      <c r="T226" s="277"/>
      <c r="U226" s="277"/>
      <c r="V226" s="277"/>
      <c r="W226" s="277"/>
      <c r="X226" s="277"/>
      <c r="Y226" s="277"/>
      <c r="Z226" s="277"/>
    </row>
    <row r="227" ht="12.75" customHeight="1">
      <c r="A227" s="277"/>
      <c r="B227" s="278"/>
      <c r="C227" s="277"/>
      <c r="D227" s="277"/>
      <c r="E227" s="277"/>
      <c r="F227" s="277"/>
      <c r="G227" s="277"/>
      <c r="H227" s="277"/>
      <c r="I227" s="277"/>
      <c r="J227" s="277"/>
      <c r="K227" s="277"/>
      <c r="L227" s="277"/>
      <c r="M227" s="277"/>
      <c r="N227" s="277"/>
      <c r="O227" s="277"/>
      <c r="P227" s="277"/>
      <c r="Q227" s="277"/>
      <c r="R227" s="277"/>
      <c r="S227" s="410"/>
      <c r="T227" s="277"/>
      <c r="U227" s="277"/>
      <c r="V227" s="277"/>
      <c r="W227" s="277"/>
      <c r="X227" s="277"/>
      <c r="Y227" s="277"/>
      <c r="Z227" s="277"/>
    </row>
    <row r="228" ht="12.75" customHeight="1">
      <c r="A228" s="277"/>
      <c r="B228" s="278"/>
      <c r="C228" s="277"/>
      <c r="D228" s="277"/>
      <c r="E228" s="277"/>
      <c r="F228" s="277"/>
      <c r="G228" s="277"/>
      <c r="H228" s="277"/>
      <c r="I228" s="277"/>
      <c r="J228" s="277"/>
      <c r="K228" s="277"/>
      <c r="L228" s="277"/>
      <c r="M228" s="277"/>
      <c r="N228" s="277"/>
      <c r="O228" s="277"/>
      <c r="P228" s="277"/>
      <c r="Q228" s="277"/>
      <c r="R228" s="277"/>
      <c r="S228" s="410"/>
      <c r="T228" s="277"/>
      <c r="U228" s="277"/>
      <c r="V228" s="277"/>
      <c r="W228" s="277"/>
      <c r="X228" s="277"/>
      <c r="Y228" s="277"/>
      <c r="Z228" s="277"/>
    </row>
    <row r="229" ht="12.75" customHeight="1">
      <c r="A229" s="277"/>
      <c r="B229" s="278"/>
      <c r="C229" s="277"/>
      <c r="D229" s="277"/>
      <c r="E229" s="277"/>
      <c r="F229" s="277"/>
      <c r="G229" s="277"/>
      <c r="H229" s="277"/>
      <c r="I229" s="277"/>
      <c r="J229" s="277"/>
      <c r="K229" s="277"/>
      <c r="L229" s="277"/>
      <c r="M229" s="277"/>
      <c r="N229" s="277"/>
      <c r="O229" s="277"/>
      <c r="P229" s="277"/>
      <c r="Q229" s="277"/>
      <c r="R229" s="277"/>
      <c r="S229" s="410"/>
      <c r="T229" s="277"/>
      <c r="U229" s="277"/>
      <c r="V229" s="277"/>
      <c r="W229" s="277"/>
      <c r="X229" s="277"/>
      <c r="Y229" s="277"/>
      <c r="Z229" s="277"/>
    </row>
    <row r="230" ht="12.75" customHeight="1">
      <c r="A230" s="277"/>
      <c r="B230" s="278"/>
      <c r="C230" s="277"/>
      <c r="D230" s="277"/>
      <c r="E230" s="277"/>
      <c r="F230" s="277"/>
      <c r="G230" s="277"/>
      <c r="H230" s="277"/>
      <c r="I230" s="277"/>
      <c r="J230" s="277"/>
      <c r="K230" s="277"/>
      <c r="L230" s="277"/>
      <c r="M230" s="277"/>
      <c r="N230" s="277"/>
      <c r="O230" s="277"/>
      <c r="P230" s="277"/>
      <c r="Q230" s="277"/>
      <c r="R230" s="277"/>
      <c r="S230" s="410"/>
      <c r="T230" s="277"/>
      <c r="U230" s="277"/>
      <c r="V230" s="277"/>
      <c r="W230" s="277"/>
      <c r="X230" s="277"/>
      <c r="Y230" s="277"/>
      <c r="Z230" s="277"/>
    </row>
    <row r="231" ht="12.75" customHeight="1">
      <c r="A231" s="277"/>
      <c r="B231" s="278"/>
      <c r="C231" s="277"/>
      <c r="D231" s="277"/>
      <c r="E231" s="277"/>
      <c r="F231" s="277"/>
      <c r="G231" s="277"/>
      <c r="H231" s="277"/>
      <c r="I231" s="277"/>
      <c r="J231" s="277"/>
      <c r="K231" s="277"/>
      <c r="L231" s="277"/>
      <c r="M231" s="277"/>
      <c r="N231" s="277"/>
      <c r="O231" s="277"/>
      <c r="P231" s="277"/>
      <c r="Q231" s="277"/>
      <c r="R231" s="277"/>
      <c r="S231" s="410"/>
      <c r="T231" s="277"/>
      <c r="U231" s="277"/>
      <c r="V231" s="277"/>
      <c r="W231" s="277"/>
      <c r="X231" s="277"/>
      <c r="Y231" s="277"/>
      <c r="Z231" s="277"/>
    </row>
    <row r="232" ht="12.75" customHeight="1">
      <c r="A232" s="277"/>
      <c r="B232" s="278"/>
      <c r="C232" s="277"/>
      <c r="D232" s="277"/>
      <c r="E232" s="277"/>
      <c r="F232" s="277"/>
      <c r="G232" s="277"/>
      <c r="H232" s="277"/>
      <c r="I232" s="277"/>
      <c r="J232" s="277"/>
      <c r="K232" s="277"/>
      <c r="L232" s="277"/>
      <c r="M232" s="277"/>
      <c r="N232" s="277"/>
      <c r="O232" s="277"/>
      <c r="P232" s="277"/>
      <c r="Q232" s="277"/>
      <c r="R232" s="277"/>
      <c r="S232" s="410"/>
      <c r="T232" s="277"/>
      <c r="U232" s="277"/>
      <c r="V232" s="277"/>
      <c r="W232" s="277"/>
      <c r="X232" s="277"/>
      <c r="Y232" s="277"/>
      <c r="Z232" s="277"/>
    </row>
    <row r="233" ht="12.75" customHeight="1">
      <c r="A233" s="277"/>
      <c r="B233" s="278"/>
      <c r="C233" s="277"/>
      <c r="D233" s="277"/>
      <c r="E233" s="277"/>
      <c r="F233" s="277"/>
      <c r="G233" s="277"/>
      <c r="H233" s="277"/>
      <c r="I233" s="277"/>
      <c r="J233" s="277"/>
      <c r="K233" s="277"/>
      <c r="L233" s="277"/>
      <c r="M233" s="277"/>
      <c r="N233" s="277"/>
      <c r="O233" s="277"/>
      <c r="P233" s="277"/>
      <c r="Q233" s="277"/>
      <c r="R233" s="277"/>
      <c r="S233" s="410"/>
      <c r="T233" s="277"/>
      <c r="U233" s="277"/>
      <c r="V233" s="277"/>
      <c r="W233" s="277"/>
      <c r="X233" s="277"/>
      <c r="Y233" s="277"/>
      <c r="Z233" s="277"/>
    </row>
    <row r="234" ht="12.75" customHeight="1">
      <c r="A234" s="277"/>
      <c r="B234" s="278"/>
      <c r="C234" s="277"/>
      <c r="D234" s="277"/>
      <c r="E234" s="277"/>
      <c r="F234" s="277"/>
      <c r="G234" s="277"/>
      <c r="H234" s="277"/>
      <c r="I234" s="277"/>
      <c r="J234" s="277"/>
      <c r="K234" s="277"/>
      <c r="L234" s="277"/>
      <c r="M234" s="277"/>
      <c r="N234" s="277"/>
      <c r="O234" s="277"/>
      <c r="P234" s="277"/>
      <c r="Q234" s="277"/>
      <c r="R234" s="277"/>
      <c r="S234" s="410"/>
      <c r="T234" s="277"/>
      <c r="U234" s="277"/>
      <c r="V234" s="277"/>
      <c r="W234" s="277"/>
      <c r="X234" s="277"/>
      <c r="Y234" s="277"/>
      <c r="Z234" s="277"/>
    </row>
    <row r="235" ht="12.75" customHeight="1">
      <c r="A235" s="277"/>
      <c r="B235" s="278"/>
      <c r="C235" s="277"/>
      <c r="D235" s="277"/>
      <c r="E235" s="277"/>
      <c r="F235" s="277"/>
      <c r="G235" s="277"/>
      <c r="H235" s="277"/>
      <c r="I235" s="277"/>
      <c r="J235" s="277"/>
      <c r="K235" s="277"/>
      <c r="L235" s="277"/>
      <c r="M235" s="277"/>
      <c r="N235" s="277"/>
      <c r="O235" s="277"/>
      <c r="P235" s="277"/>
      <c r="Q235" s="277"/>
      <c r="R235" s="277"/>
      <c r="S235" s="410"/>
      <c r="T235" s="277"/>
      <c r="U235" s="277"/>
      <c r="V235" s="277"/>
      <c r="W235" s="277"/>
      <c r="X235" s="277"/>
      <c r="Y235" s="277"/>
      <c r="Z235" s="277"/>
    </row>
    <row r="236" ht="12.75" customHeight="1">
      <c r="A236" s="277"/>
      <c r="B236" s="278"/>
      <c r="C236" s="277"/>
      <c r="D236" s="277"/>
      <c r="E236" s="277"/>
      <c r="F236" s="277"/>
      <c r="G236" s="277"/>
      <c r="H236" s="277"/>
      <c r="I236" s="277"/>
      <c r="J236" s="277"/>
      <c r="K236" s="277"/>
      <c r="L236" s="277"/>
      <c r="M236" s="277"/>
      <c r="N236" s="277"/>
      <c r="O236" s="277"/>
      <c r="P236" s="277"/>
      <c r="Q236" s="277"/>
      <c r="R236" s="277"/>
      <c r="S236" s="410"/>
      <c r="T236" s="277"/>
      <c r="U236" s="277"/>
      <c r="V236" s="277"/>
      <c r="W236" s="277"/>
      <c r="X236" s="277"/>
      <c r="Y236" s="277"/>
      <c r="Z236" s="277"/>
    </row>
    <row r="237" ht="12.75" customHeight="1">
      <c r="A237" s="277"/>
      <c r="B237" s="278"/>
      <c r="C237" s="277"/>
      <c r="D237" s="277"/>
      <c r="E237" s="277"/>
      <c r="F237" s="277"/>
      <c r="G237" s="277"/>
      <c r="H237" s="277"/>
      <c r="I237" s="277"/>
      <c r="J237" s="277"/>
      <c r="K237" s="277"/>
      <c r="L237" s="277"/>
      <c r="M237" s="277"/>
      <c r="N237" s="277"/>
      <c r="O237" s="277"/>
      <c r="P237" s="277"/>
      <c r="Q237" s="277"/>
      <c r="R237" s="277"/>
      <c r="S237" s="410"/>
      <c r="T237" s="277"/>
      <c r="U237" s="277"/>
      <c r="V237" s="277"/>
      <c r="W237" s="277"/>
      <c r="X237" s="277"/>
      <c r="Y237" s="277"/>
      <c r="Z237" s="277"/>
    </row>
    <row r="238" ht="12.75" customHeight="1">
      <c r="A238" s="277"/>
      <c r="B238" s="278"/>
      <c r="C238" s="277"/>
      <c r="D238" s="277"/>
      <c r="E238" s="277"/>
      <c r="F238" s="277"/>
      <c r="G238" s="277"/>
      <c r="H238" s="277"/>
      <c r="I238" s="277"/>
      <c r="J238" s="277"/>
      <c r="K238" s="277"/>
      <c r="L238" s="277"/>
      <c r="M238" s="277"/>
      <c r="N238" s="277"/>
      <c r="O238" s="277"/>
      <c r="P238" s="277"/>
      <c r="Q238" s="277"/>
      <c r="R238" s="277"/>
      <c r="S238" s="410"/>
      <c r="T238" s="277"/>
      <c r="U238" s="277"/>
      <c r="V238" s="277"/>
      <c r="W238" s="277"/>
      <c r="X238" s="277"/>
      <c r="Y238" s="277"/>
      <c r="Z238" s="277"/>
    </row>
    <row r="239" ht="12.75" customHeight="1">
      <c r="A239" s="277"/>
      <c r="B239" s="278"/>
      <c r="C239" s="277"/>
      <c r="D239" s="277"/>
      <c r="E239" s="277"/>
      <c r="F239" s="277"/>
      <c r="G239" s="277"/>
      <c r="H239" s="277"/>
      <c r="I239" s="277"/>
      <c r="J239" s="277"/>
      <c r="K239" s="277"/>
      <c r="L239" s="277"/>
      <c r="M239" s="277"/>
      <c r="N239" s="277"/>
      <c r="O239" s="277"/>
      <c r="P239" s="277"/>
      <c r="Q239" s="277"/>
      <c r="R239" s="277"/>
      <c r="S239" s="410"/>
      <c r="T239" s="277"/>
      <c r="U239" s="277"/>
      <c r="V239" s="277"/>
      <c r="W239" s="277"/>
      <c r="X239" s="277"/>
      <c r="Y239" s="277"/>
      <c r="Z239" s="277"/>
    </row>
    <row r="240" ht="12.75" customHeight="1">
      <c r="A240" s="277"/>
      <c r="B240" s="278"/>
      <c r="C240" s="277"/>
      <c r="D240" s="277"/>
      <c r="E240" s="277"/>
      <c r="F240" s="277"/>
      <c r="G240" s="277"/>
      <c r="H240" s="277"/>
      <c r="I240" s="277"/>
      <c r="J240" s="277"/>
      <c r="K240" s="277"/>
      <c r="L240" s="277"/>
      <c r="M240" s="277"/>
      <c r="N240" s="277"/>
      <c r="O240" s="277"/>
      <c r="P240" s="277"/>
      <c r="Q240" s="277"/>
      <c r="R240" s="277"/>
      <c r="S240" s="410"/>
      <c r="T240" s="277"/>
      <c r="U240" s="277"/>
      <c r="V240" s="277"/>
      <c r="W240" s="277"/>
      <c r="X240" s="277"/>
      <c r="Y240" s="277"/>
      <c r="Z240" s="277"/>
    </row>
    <row r="241" ht="12.75" customHeight="1">
      <c r="A241" s="277"/>
      <c r="B241" s="278"/>
      <c r="C241" s="277"/>
      <c r="D241" s="277"/>
      <c r="E241" s="277"/>
      <c r="F241" s="277"/>
      <c r="G241" s="277"/>
      <c r="H241" s="277"/>
      <c r="I241" s="277"/>
      <c r="J241" s="277"/>
      <c r="K241" s="277"/>
      <c r="L241" s="277"/>
      <c r="M241" s="277"/>
      <c r="N241" s="277"/>
      <c r="O241" s="277"/>
      <c r="P241" s="277"/>
      <c r="Q241" s="277"/>
      <c r="R241" s="277"/>
      <c r="S241" s="410"/>
      <c r="T241" s="277"/>
      <c r="U241" s="277"/>
      <c r="V241" s="277"/>
      <c r="W241" s="277"/>
      <c r="X241" s="277"/>
      <c r="Y241" s="277"/>
      <c r="Z241" s="277"/>
    </row>
    <row r="242" ht="12.75" customHeight="1">
      <c r="A242" s="277"/>
      <c r="B242" s="278"/>
      <c r="C242" s="277"/>
      <c r="D242" s="277"/>
      <c r="E242" s="277"/>
      <c r="F242" s="277"/>
      <c r="G242" s="277"/>
      <c r="H242" s="277"/>
      <c r="I242" s="277"/>
      <c r="J242" s="277"/>
      <c r="K242" s="277"/>
      <c r="L242" s="277"/>
      <c r="M242" s="277"/>
      <c r="N242" s="277"/>
      <c r="O242" s="277"/>
      <c r="P242" s="277"/>
      <c r="Q242" s="277"/>
      <c r="R242" s="277"/>
      <c r="S242" s="410"/>
      <c r="T242" s="277"/>
      <c r="U242" s="277"/>
      <c r="V242" s="277"/>
      <c r="W242" s="277"/>
      <c r="X242" s="277"/>
      <c r="Y242" s="277"/>
      <c r="Z242" s="277"/>
    </row>
    <row r="243" ht="12.75" customHeight="1">
      <c r="A243" s="277"/>
      <c r="B243" s="278"/>
      <c r="C243" s="277"/>
      <c r="D243" s="277"/>
      <c r="E243" s="277"/>
      <c r="F243" s="277"/>
      <c r="G243" s="277"/>
      <c r="H243" s="277"/>
      <c r="I243" s="277"/>
      <c r="J243" s="277"/>
      <c r="K243" s="277"/>
      <c r="L243" s="277"/>
      <c r="M243" s="277"/>
      <c r="N243" s="277"/>
      <c r="O243" s="277"/>
      <c r="P243" s="277"/>
      <c r="Q243" s="277"/>
      <c r="R243" s="277"/>
      <c r="S243" s="410"/>
      <c r="T243" s="277"/>
      <c r="U243" s="277"/>
      <c r="V243" s="277"/>
      <c r="W243" s="277"/>
      <c r="X243" s="277"/>
      <c r="Y243" s="277"/>
      <c r="Z243" s="277"/>
    </row>
    <row r="244" ht="12.75" customHeight="1">
      <c r="A244" s="277"/>
      <c r="B244" s="278"/>
      <c r="C244" s="277"/>
      <c r="D244" s="277"/>
      <c r="E244" s="277"/>
      <c r="F244" s="277"/>
      <c r="G244" s="277"/>
      <c r="H244" s="277"/>
      <c r="I244" s="277"/>
      <c r="J244" s="277"/>
      <c r="K244" s="277"/>
      <c r="L244" s="277"/>
      <c r="M244" s="277"/>
      <c r="N244" s="277"/>
      <c r="O244" s="277"/>
      <c r="P244" s="277"/>
      <c r="Q244" s="277"/>
      <c r="R244" s="277"/>
      <c r="S244" s="410"/>
      <c r="T244" s="277"/>
      <c r="U244" s="277"/>
      <c r="V244" s="277"/>
      <c r="W244" s="277"/>
      <c r="X244" s="277"/>
      <c r="Y244" s="277"/>
      <c r="Z244" s="277"/>
    </row>
    <row r="245" ht="12.75" customHeight="1">
      <c r="A245" s="277"/>
      <c r="B245" s="278"/>
      <c r="C245" s="277"/>
      <c r="D245" s="277"/>
      <c r="E245" s="277"/>
      <c r="F245" s="277"/>
      <c r="G245" s="277"/>
      <c r="H245" s="277"/>
      <c r="I245" s="277"/>
      <c r="J245" s="277"/>
      <c r="K245" s="277"/>
      <c r="L245" s="277"/>
      <c r="M245" s="277"/>
      <c r="N245" s="277"/>
      <c r="O245" s="277"/>
      <c r="P245" s="277"/>
      <c r="Q245" s="277"/>
      <c r="R245" s="277"/>
      <c r="S245" s="410"/>
      <c r="T245" s="277"/>
      <c r="U245" s="277"/>
      <c r="V245" s="277"/>
      <c r="W245" s="277"/>
      <c r="X245" s="277"/>
      <c r="Y245" s="277"/>
      <c r="Z245" s="277"/>
    </row>
    <row r="246" ht="12.75" customHeight="1">
      <c r="A246" s="277"/>
      <c r="B246" s="278"/>
      <c r="C246" s="277"/>
      <c r="D246" s="277"/>
      <c r="E246" s="277"/>
      <c r="F246" s="277"/>
      <c r="G246" s="277"/>
      <c r="H246" s="277"/>
      <c r="I246" s="277"/>
      <c r="J246" s="277"/>
      <c r="K246" s="277"/>
      <c r="L246" s="277"/>
      <c r="M246" s="277"/>
      <c r="N246" s="277"/>
      <c r="O246" s="277"/>
      <c r="P246" s="277"/>
      <c r="Q246" s="277"/>
      <c r="R246" s="277"/>
      <c r="S246" s="410"/>
      <c r="T246" s="277"/>
      <c r="U246" s="277"/>
      <c r="V246" s="277"/>
      <c r="W246" s="277"/>
      <c r="X246" s="277"/>
      <c r="Y246" s="277"/>
      <c r="Z246" s="277"/>
    </row>
    <row r="247" ht="12.75" customHeight="1">
      <c r="A247" s="277"/>
      <c r="B247" s="278"/>
      <c r="C247" s="277"/>
      <c r="D247" s="277"/>
      <c r="E247" s="277"/>
      <c r="F247" s="277"/>
      <c r="G247" s="277"/>
      <c r="H247" s="277"/>
      <c r="I247" s="277"/>
      <c r="J247" s="277"/>
      <c r="K247" s="277"/>
      <c r="L247" s="277"/>
      <c r="M247" s="277"/>
      <c r="N247" s="277"/>
      <c r="O247" s="277"/>
      <c r="P247" s="277"/>
      <c r="Q247" s="277"/>
      <c r="R247" s="277"/>
      <c r="S247" s="410"/>
      <c r="T247" s="277"/>
      <c r="U247" s="277"/>
      <c r="V247" s="277"/>
      <c r="W247" s="277"/>
      <c r="X247" s="277"/>
      <c r="Y247" s="277"/>
      <c r="Z247" s="277"/>
    </row>
    <row r="248" ht="12.75" customHeight="1">
      <c r="A248" s="277"/>
      <c r="B248" s="278"/>
      <c r="C248" s="277"/>
      <c r="D248" s="277"/>
      <c r="E248" s="277"/>
      <c r="F248" s="277"/>
      <c r="G248" s="277"/>
      <c r="H248" s="277"/>
      <c r="I248" s="277"/>
      <c r="J248" s="277"/>
      <c r="K248" s="277"/>
      <c r="L248" s="277"/>
      <c r="M248" s="277"/>
      <c r="N248" s="277"/>
      <c r="O248" s="277"/>
      <c r="P248" s="277"/>
      <c r="Q248" s="277"/>
      <c r="R248" s="277"/>
      <c r="S248" s="410"/>
      <c r="T248" s="277"/>
      <c r="U248" s="277"/>
      <c r="V248" s="277"/>
      <c r="W248" s="277"/>
      <c r="X248" s="277"/>
      <c r="Y248" s="277"/>
      <c r="Z248" s="277"/>
    </row>
    <row r="249" ht="12.75" customHeight="1">
      <c r="A249" s="277"/>
      <c r="B249" s="278"/>
      <c r="C249" s="277"/>
      <c r="D249" s="277"/>
      <c r="E249" s="277"/>
      <c r="F249" s="277"/>
      <c r="G249" s="277"/>
      <c r="H249" s="277"/>
      <c r="I249" s="277"/>
      <c r="J249" s="277"/>
      <c r="K249" s="277"/>
      <c r="L249" s="277"/>
      <c r="M249" s="277"/>
      <c r="N249" s="277"/>
      <c r="O249" s="277"/>
      <c r="P249" s="277"/>
      <c r="Q249" s="277"/>
      <c r="R249" s="277"/>
      <c r="S249" s="410"/>
      <c r="T249" s="277"/>
      <c r="U249" s="277"/>
      <c r="V249" s="277"/>
      <c r="W249" s="277"/>
      <c r="X249" s="277"/>
      <c r="Y249" s="277"/>
      <c r="Z249" s="277"/>
    </row>
    <row r="250" ht="12.75" customHeight="1">
      <c r="A250" s="277"/>
      <c r="B250" s="278"/>
      <c r="C250" s="277"/>
      <c r="D250" s="277"/>
      <c r="E250" s="277"/>
      <c r="F250" s="277"/>
      <c r="G250" s="277"/>
      <c r="H250" s="277"/>
      <c r="I250" s="277"/>
      <c r="J250" s="277"/>
      <c r="K250" s="277"/>
      <c r="L250" s="277"/>
      <c r="M250" s="277"/>
      <c r="N250" s="277"/>
      <c r="O250" s="277"/>
      <c r="P250" s="277"/>
      <c r="Q250" s="277"/>
      <c r="R250" s="277"/>
      <c r="S250" s="410"/>
      <c r="T250" s="277"/>
      <c r="U250" s="277"/>
      <c r="V250" s="277"/>
      <c r="W250" s="277"/>
      <c r="X250" s="277"/>
      <c r="Y250" s="277"/>
      <c r="Z250" s="277"/>
    </row>
    <row r="251" ht="12.75" customHeight="1">
      <c r="A251" s="277"/>
      <c r="B251" s="278"/>
      <c r="C251" s="277"/>
      <c r="D251" s="277"/>
      <c r="E251" s="277"/>
      <c r="F251" s="277"/>
      <c r="G251" s="277"/>
      <c r="H251" s="277"/>
      <c r="I251" s="277"/>
      <c r="J251" s="277"/>
      <c r="K251" s="277"/>
      <c r="L251" s="277"/>
      <c r="M251" s="277"/>
      <c r="N251" s="277"/>
      <c r="O251" s="277"/>
      <c r="P251" s="277"/>
      <c r="Q251" s="277"/>
      <c r="R251" s="277"/>
      <c r="S251" s="410"/>
      <c r="T251" s="277"/>
      <c r="U251" s="277"/>
      <c r="V251" s="277"/>
      <c r="W251" s="277"/>
      <c r="X251" s="277"/>
      <c r="Y251" s="277"/>
      <c r="Z251" s="277"/>
    </row>
    <row r="252" ht="12.75" customHeight="1">
      <c r="A252" s="277"/>
      <c r="B252" s="278"/>
      <c r="C252" s="277"/>
      <c r="D252" s="277"/>
      <c r="E252" s="277"/>
      <c r="F252" s="277"/>
      <c r="G252" s="277"/>
      <c r="H252" s="277"/>
      <c r="I252" s="277"/>
      <c r="J252" s="277"/>
      <c r="K252" s="277"/>
      <c r="L252" s="277"/>
      <c r="M252" s="277"/>
      <c r="N252" s="277"/>
      <c r="O252" s="277"/>
      <c r="P252" s="277"/>
      <c r="Q252" s="277"/>
      <c r="R252" s="277"/>
      <c r="S252" s="410"/>
      <c r="T252" s="277"/>
      <c r="U252" s="277"/>
      <c r="V252" s="277"/>
      <c r="W252" s="277"/>
      <c r="X252" s="277"/>
      <c r="Y252" s="277"/>
      <c r="Z252" s="277"/>
    </row>
    <row r="253" ht="12.75" customHeight="1">
      <c r="A253" s="277"/>
      <c r="B253" s="278"/>
      <c r="C253" s="277"/>
      <c r="D253" s="277"/>
      <c r="E253" s="277"/>
      <c r="F253" s="277"/>
      <c r="G253" s="277"/>
      <c r="H253" s="277"/>
      <c r="I253" s="277"/>
      <c r="J253" s="277"/>
      <c r="K253" s="277"/>
      <c r="L253" s="277"/>
      <c r="M253" s="277"/>
      <c r="N253" s="277"/>
      <c r="O253" s="277"/>
      <c r="P253" s="277"/>
      <c r="Q253" s="277"/>
      <c r="R253" s="277"/>
      <c r="S253" s="410"/>
      <c r="T253" s="277"/>
      <c r="U253" s="277"/>
      <c r="V253" s="277"/>
      <c r="W253" s="277"/>
      <c r="X253" s="277"/>
      <c r="Y253" s="277"/>
      <c r="Z253" s="277"/>
    </row>
    <row r="254" ht="12.75" customHeight="1">
      <c r="A254" s="277"/>
      <c r="B254" s="278"/>
      <c r="C254" s="277"/>
      <c r="D254" s="277"/>
      <c r="E254" s="277"/>
      <c r="F254" s="277"/>
      <c r="G254" s="277"/>
      <c r="H254" s="277"/>
      <c r="I254" s="277"/>
      <c r="J254" s="277"/>
      <c r="K254" s="277"/>
      <c r="L254" s="277"/>
      <c r="M254" s="277"/>
      <c r="N254" s="277"/>
      <c r="O254" s="277"/>
      <c r="P254" s="277"/>
      <c r="Q254" s="277"/>
      <c r="R254" s="277"/>
      <c r="S254" s="410"/>
      <c r="T254" s="277"/>
      <c r="U254" s="277"/>
      <c r="V254" s="277"/>
      <c r="W254" s="277"/>
      <c r="X254" s="277"/>
      <c r="Y254" s="277"/>
      <c r="Z254" s="277"/>
    </row>
    <row r="255" ht="12.75" customHeight="1">
      <c r="A255" s="277"/>
      <c r="B255" s="278"/>
      <c r="C255" s="277"/>
      <c r="D255" s="277"/>
      <c r="E255" s="277"/>
      <c r="F255" s="277"/>
      <c r="G255" s="277"/>
      <c r="H255" s="277"/>
      <c r="I255" s="277"/>
      <c r="J255" s="277"/>
      <c r="K255" s="277"/>
      <c r="L255" s="277"/>
      <c r="M255" s="277"/>
      <c r="N255" s="277"/>
      <c r="O255" s="277"/>
      <c r="P255" s="277"/>
      <c r="Q255" s="277"/>
      <c r="R255" s="277"/>
      <c r="S255" s="410"/>
      <c r="T255" s="277"/>
      <c r="U255" s="277"/>
      <c r="V255" s="277"/>
      <c r="W255" s="277"/>
      <c r="X255" s="277"/>
      <c r="Y255" s="277"/>
      <c r="Z255" s="277"/>
    </row>
    <row r="256" ht="12.75" customHeight="1">
      <c r="A256" s="277"/>
      <c r="B256" s="278"/>
      <c r="C256" s="277"/>
      <c r="D256" s="277"/>
      <c r="E256" s="277"/>
      <c r="F256" s="277"/>
      <c r="G256" s="277"/>
      <c r="H256" s="277"/>
      <c r="I256" s="277"/>
      <c r="J256" s="277"/>
      <c r="K256" s="277"/>
      <c r="L256" s="277"/>
      <c r="M256" s="277"/>
      <c r="N256" s="277"/>
      <c r="O256" s="277"/>
      <c r="P256" s="277"/>
      <c r="Q256" s="277"/>
      <c r="R256" s="277"/>
      <c r="S256" s="410"/>
      <c r="T256" s="277"/>
      <c r="U256" s="277"/>
      <c r="V256" s="277"/>
      <c r="W256" s="277"/>
      <c r="X256" s="277"/>
      <c r="Y256" s="277"/>
      <c r="Z256" s="277"/>
    </row>
    <row r="257" ht="12.75" customHeight="1">
      <c r="A257" s="277"/>
      <c r="B257" s="278"/>
      <c r="C257" s="277"/>
      <c r="D257" s="277"/>
      <c r="E257" s="277"/>
      <c r="F257" s="277"/>
      <c r="G257" s="277"/>
      <c r="H257" s="277"/>
      <c r="I257" s="277"/>
      <c r="J257" s="277"/>
      <c r="K257" s="277"/>
      <c r="L257" s="277"/>
      <c r="M257" s="277"/>
      <c r="N257" s="277"/>
      <c r="O257" s="277"/>
      <c r="P257" s="277"/>
      <c r="Q257" s="277"/>
      <c r="R257" s="277"/>
      <c r="S257" s="410"/>
      <c r="T257" s="277"/>
      <c r="U257" s="277"/>
      <c r="V257" s="277"/>
      <c r="W257" s="277"/>
      <c r="X257" s="277"/>
      <c r="Y257" s="277"/>
      <c r="Z257" s="277"/>
    </row>
    <row r="258" ht="12.75" customHeight="1">
      <c r="A258" s="277"/>
      <c r="B258" s="278"/>
      <c r="C258" s="277"/>
      <c r="D258" s="277"/>
      <c r="E258" s="277"/>
      <c r="F258" s="277"/>
      <c r="G258" s="277"/>
      <c r="H258" s="277"/>
      <c r="I258" s="277"/>
      <c r="J258" s="277"/>
      <c r="K258" s="277"/>
      <c r="L258" s="277"/>
      <c r="M258" s="277"/>
      <c r="N258" s="277"/>
      <c r="O258" s="277"/>
      <c r="P258" s="277"/>
      <c r="Q258" s="277"/>
      <c r="R258" s="277"/>
      <c r="S258" s="410"/>
      <c r="T258" s="277"/>
      <c r="U258" s="277"/>
      <c r="V258" s="277"/>
      <c r="W258" s="277"/>
      <c r="X258" s="277"/>
      <c r="Y258" s="277"/>
      <c r="Z258" s="277"/>
    </row>
    <row r="259" ht="12.75" customHeight="1">
      <c r="A259" s="277"/>
      <c r="B259" s="278"/>
      <c r="C259" s="277"/>
      <c r="D259" s="277"/>
      <c r="E259" s="277"/>
      <c r="F259" s="277"/>
      <c r="G259" s="277"/>
      <c r="H259" s="277"/>
      <c r="I259" s="277"/>
      <c r="J259" s="277"/>
      <c r="K259" s="277"/>
      <c r="L259" s="277"/>
      <c r="M259" s="277"/>
      <c r="N259" s="277"/>
      <c r="O259" s="277"/>
      <c r="P259" s="277"/>
      <c r="Q259" s="277"/>
      <c r="R259" s="277"/>
      <c r="S259" s="410"/>
      <c r="T259" s="277"/>
      <c r="U259" s="277"/>
      <c r="V259" s="277"/>
      <c r="W259" s="277"/>
      <c r="X259" s="277"/>
      <c r="Y259" s="277"/>
      <c r="Z259" s="277"/>
    </row>
    <row r="260" ht="12.75" customHeight="1">
      <c r="A260" s="277"/>
      <c r="B260" s="278"/>
      <c r="C260" s="277"/>
      <c r="D260" s="277"/>
      <c r="E260" s="277"/>
      <c r="F260" s="277"/>
      <c r="G260" s="277"/>
      <c r="H260" s="277"/>
      <c r="I260" s="277"/>
      <c r="J260" s="277"/>
      <c r="K260" s="277"/>
      <c r="L260" s="277"/>
      <c r="M260" s="277"/>
      <c r="N260" s="277"/>
      <c r="O260" s="277"/>
      <c r="P260" s="277"/>
      <c r="Q260" s="277"/>
      <c r="R260" s="277"/>
      <c r="S260" s="410"/>
      <c r="T260" s="277"/>
      <c r="U260" s="277"/>
      <c r="V260" s="277"/>
      <c r="W260" s="277"/>
      <c r="X260" s="277"/>
      <c r="Y260" s="277"/>
      <c r="Z260" s="277"/>
    </row>
    <row r="261" ht="12.75" customHeight="1">
      <c r="A261" s="277"/>
      <c r="B261" s="278"/>
      <c r="C261" s="277"/>
      <c r="D261" s="277"/>
      <c r="E261" s="277"/>
      <c r="F261" s="277"/>
      <c r="G261" s="277"/>
      <c r="H261" s="277"/>
      <c r="I261" s="277"/>
      <c r="J261" s="277"/>
      <c r="K261" s="277"/>
      <c r="L261" s="277"/>
      <c r="M261" s="277"/>
      <c r="N261" s="277"/>
      <c r="O261" s="277"/>
      <c r="P261" s="277"/>
      <c r="Q261" s="277"/>
      <c r="R261" s="277"/>
      <c r="S261" s="410"/>
      <c r="T261" s="277"/>
      <c r="U261" s="277"/>
      <c r="V261" s="277"/>
      <c r="W261" s="277"/>
      <c r="X261" s="277"/>
      <c r="Y261" s="277"/>
      <c r="Z261" s="277"/>
    </row>
    <row r="262" ht="12.75" customHeight="1">
      <c r="A262" s="277"/>
      <c r="B262" s="278"/>
      <c r="C262" s="277"/>
      <c r="D262" s="277"/>
      <c r="E262" s="277"/>
      <c r="F262" s="277"/>
      <c r="G262" s="277"/>
      <c r="H262" s="277"/>
      <c r="I262" s="277"/>
      <c r="J262" s="277"/>
      <c r="K262" s="277"/>
      <c r="L262" s="277"/>
      <c r="M262" s="277"/>
      <c r="N262" s="277"/>
      <c r="O262" s="277"/>
      <c r="P262" s="277"/>
      <c r="Q262" s="277"/>
      <c r="R262" s="277"/>
      <c r="S262" s="410"/>
      <c r="T262" s="277"/>
      <c r="U262" s="277"/>
      <c r="V262" s="277"/>
      <c r="W262" s="277"/>
      <c r="X262" s="277"/>
      <c r="Y262" s="277"/>
      <c r="Z262" s="277"/>
    </row>
    <row r="263" ht="12.75" customHeight="1">
      <c r="A263" s="277"/>
      <c r="B263" s="278"/>
      <c r="C263" s="277"/>
      <c r="D263" s="277"/>
      <c r="E263" s="277"/>
      <c r="F263" s="277"/>
      <c r="G263" s="277"/>
      <c r="H263" s="277"/>
      <c r="I263" s="277"/>
      <c r="J263" s="277"/>
      <c r="K263" s="277"/>
      <c r="L263" s="277"/>
      <c r="M263" s="277"/>
      <c r="N263" s="277"/>
      <c r="O263" s="277"/>
      <c r="P263" s="277"/>
      <c r="Q263" s="277"/>
      <c r="R263" s="277"/>
      <c r="S263" s="410"/>
      <c r="T263" s="277"/>
      <c r="U263" s="277"/>
      <c r="V263" s="277"/>
      <c r="W263" s="277"/>
      <c r="X263" s="277"/>
      <c r="Y263" s="277"/>
      <c r="Z263" s="277"/>
    </row>
    <row r="264" ht="12.75" customHeight="1">
      <c r="A264" s="277"/>
      <c r="B264" s="278"/>
      <c r="C264" s="277"/>
      <c r="D264" s="277"/>
      <c r="E264" s="277"/>
      <c r="F264" s="277"/>
      <c r="G264" s="277"/>
      <c r="H264" s="277"/>
      <c r="I264" s="277"/>
      <c r="J264" s="277"/>
      <c r="K264" s="277"/>
      <c r="L264" s="277"/>
      <c r="M264" s="277"/>
      <c r="N264" s="277"/>
      <c r="O264" s="277"/>
      <c r="P264" s="277"/>
      <c r="Q264" s="277"/>
      <c r="R264" s="277"/>
      <c r="S264" s="410"/>
      <c r="T264" s="277"/>
      <c r="U264" s="277"/>
      <c r="V264" s="277"/>
      <c r="W264" s="277"/>
      <c r="X264" s="277"/>
      <c r="Y264" s="277"/>
      <c r="Z264" s="277"/>
    </row>
    <row r="265" ht="12.75" customHeight="1">
      <c r="A265" s="277"/>
      <c r="B265" s="278"/>
      <c r="C265" s="277"/>
      <c r="D265" s="277"/>
      <c r="E265" s="277"/>
      <c r="F265" s="277"/>
      <c r="G265" s="277"/>
      <c r="H265" s="277"/>
      <c r="I265" s="277"/>
      <c r="J265" s="277"/>
      <c r="K265" s="277"/>
      <c r="L265" s="277"/>
      <c r="M265" s="277"/>
      <c r="N265" s="277"/>
      <c r="O265" s="277"/>
      <c r="P265" s="277"/>
      <c r="Q265" s="277"/>
      <c r="R265" s="277"/>
      <c r="S265" s="410"/>
      <c r="T265" s="277"/>
      <c r="U265" s="277"/>
      <c r="V265" s="277"/>
      <c r="W265" s="277"/>
      <c r="X265" s="277"/>
      <c r="Y265" s="277"/>
      <c r="Z265" s="277"/>
    </row>
    <row r="266" ht="12.75" customHeight="1">
      <c r="A266" s="277"/>
      <c r="B266" s="278"/>
      <c r="C266" s="277"/>
      <c r="D266" s="277"/>
      <c r="E266" s="277"/>
      <c r="F266" s="277"/>
      <c r="G266" s="277"/>
      <c r="H266" s="277"/>
      <c r="I266" s="277"/>
      <c r="J266" s="277"/>
      <c r="K266" s="277"/>
      <c r="L266" s="277"/>
      <c r="M266" s="277"/>
      <c r="N266" s="277"/>
      <c r="O266" s="277"/>
      <c r="P266" s="277"/>
      <c r="Q266" s="277"/>
      <c r="R266" s="277"/>
      <c r="S266" s="410"/>
      <c r="T266" s="277"/>
      <c r="U266" s="277"/>
      <c r="V266" s="277"/>
      <c r="W266" s="277"/>
      <c r="X266" s="277"/>
      <c r="Y266" s="277"/>
      <c r="Z266" s="277"/>
    </row>
    <row r="267" ht="12.75" customHeight="1">
      <c r="A267" s="277"/>
      <c r="B267" s="278"/>
      <c r="C267" s="277"/>
      <c r="D267" s="277"/>
      <c r="E267" s="277"/>
      <c r="F267" s="277"/>
      <c r="G267" s="277"/>
      <c r="H267" s="277"/>
      <c r="I267" s="277"/>
      <c r="J267" s="277"/>
      <c r="K267" s="277"/>
      <c r="L267" s="277"/>
      <c r="M267" s="277"/>
      <c r="N267" s="277"/>
      <c r="O267" s="277"/>
      <c r="P267" s="277"/>
      <c r="Q267" s="277"/>
      <c r="R267" s="277"/>
      <c r="S267" s="410"/>
      <c r="T267" s="277"/>
      <c r="U267" s="277"/>
      <c r="V267" s="277"/>
      <c r="W267" s="277"/>
      <c r="X267" s="277"/>
      <c r="Y267" s="277"/>
      <c r="Z267" s="277"/>
    </row>
    <row r="268" ht="12.75" customHeight="1">
      <c r="A268" s="277"/>
      <c r="B268" s="278"/>
      <c r="C268" s="277"/>
      <c r="D268" s="277"/>
      <c r="E268" s="277"/>
      <c r="F268" s="277"/>
      <c r="G268" s="277"/>
      <c r="H268" s="277"/>
      <c r="I268" s="277"/>
      <c r="J268" s="277"/>
      <c r="K268" s="277"/>
      <c r="L268" s="277"/>
      <c r="M268" s="277"/>
      <c r="N268" s="277"/>
      <c r="O268" s="277"/>
      <c r="P268" s="277"/>
      <c r="Q268" s="277"/>
      <c r="R268" s="277"/>
      <c r="S268" s="410"/>
      <c r="T268" s="277"/>
      <c r="U268" s="277"/>
      <c r="V268" s="277"/>
      <c r="W268" s="277"/>
      <c r="X268" s="277"/>
      <c r="Y268" s="277"/>
      <c r="Z268" s="277"/>
    </row>
    <row r="269" ht="12.75" customHeight="1">
      <c r="A269" s="277"/>
      <c r="B269" s="278"/>
      <c r="C269" s="277"/>
      <c r="D269" s="277"/>
      <c r="E269" s="277"/>
      <c r="F269" s="277"/>
      <c r="G269" s="277"/>
      <c r="H269" s="277"/>
      <c r="I269" s="277"/>
      <c r="J269" s="277"/>
      <c r="K269" s="277"/>
      <c r="L269" s="277"/>
      <c r="M269" s="277"/>
      <c r="N269" s="277"/>
      <c r="O269" s="277"/>
      <c r="P269" s="277"/>
      <c r="Q269" s="277"/>
      <c r="R269" s="277"/>
      <c r="S269" s="410"/>
      <c r="T269" s="277"/>
      <c r="U269" s="277"/>
      <c r="V269" s="277"/>
      <c r="W269" s="277"/>
      <c r="X269" s="277"/>
      <c r="Y269" s="277"/>
      <c r="Z269" s="277"/>
    </row>
    <row r="270" ht="12.75" customHeight="1">
      <c r="A270" s="277"/>
      <c r="B270" s="278"/>
      <c r="C270" s="277"/>
      <c r="D270" s="277"/>
      <c r="E270" s="277"/>
      <c r="F270" s="277"/>
      <c r="G270" s="277"/>
      <c r="H270" s="277"/>
      <c r="I270" s="277"/>
      <c r="J270" s="277"/>
      <c r="K270" s="277"/>
      <c r="L270" s="277"/>
      <c r="M270" s="277"/>
      <c r="N270" s="277"/>
      <c r="O270" s="277"/>
      <c r="P270" s="277"/>
      <c r="Q270" s="277"/>
      <c r="R270" s="277"/>
      <c r="S270" s="410"/>
      <c r="T270" s="277"/>
      <c r="U270" s="277"/>
      <c r="V270" s="277"/>
      <c r="W270" s="277"/>
      <c r="X270" s="277"/>
      <c r="Y270" s="277"/>
      <c r="Z270" s="277"/>
    </row>
    <row r="271" ht="12.75" customHeight="1">
      <c r="A271" s="277"/>
      <c r="B271" s="278"/>
      <c r="C271" s="277"/>
      <c r="D271" s="277"/>
      <c r="E271" s="277"/>
      <c r="F271" s="277"/>
      <c r="G271" s="277"/>
      <c r="H271" s="277"/>
      <c r="I271" s="277"/>
      <c r="J271" s="277"/>
      <c r="K271" s="277"/>
      <c r="L271" s="277"/>
      <c r="M271" s="277"/>
      <c r="N271" s="277"/>
      <c r="O271" s="277"/>
      <c r="P271" s="277"/>
      <c r="Q271" s="277"/>
      <c r="R271" s="277"/>
      <c r="S271" s="410"/>
      <c r="T271" s="277"/>
      <c r="U271" s="277"/>
      <c r="V271" s="277"/>
      <c r="W271" s="277"/>
      <c r="X271" s="277"/>
      <c r="Y271" s="277"/>
      <c r="Z271" s="277"/>
    </row>
    <row r="272" ht="12.75" customHeight="1">
      <c r="A272" s="277"/>
      <c r="B272" s="278"/>
      <c r="C272" s="277"/>
      <c r="D272" s="277"/>
      <c r="E272" s="277"/>
      <c r="F272" s="277"/>
      <c r="G272" s="277"/>
      <c r="H272" s="277"/>
      <c r="I272" s="277"/>
      <c r="J272" s="277"/>
      <c r="K272" s="277"/>
      <c r="L272" s="277"/>
      <c r="M272" s="277"/>
      <c r="N272" s="277"/>
      <c r="O272" s="277"/>
      <c r="P272" s="277"/>
      <c r="Q272" s="277"/>
      <c r="R272" s="277"/>
      <c r="S272" s="410"/>
      <c r="T272" s="277"/>
      <c r="U272" s="277"/>
      <c r="V272" s="277"/>
      <c r="W272" s="277"/>
      <c r="X272" s="277"/>
      <c r="Y272" s="277"/>
      <c r="Z272" s="277"/>
    </row>
    <row r="273" ht="12.75" customHeight="1">
      <c r="A273" s="277"/>
      <c r="B273" s="278"/>
      <c r="C273" s="277"/>
      <c r="D273" s="277"/>
      <c r="E273" s="277"/>
      <c r="F273" s="277"/>
      <c r="G273" s="277"/>
      <c r="H273" s="277"/>
      <c r="I273" s="277"/>
      <c r="J273" s="277"/>
      <c r="K273" s="277"/>
      <c r="L273" s="277"/>
      <c r="M273" s="277"/>
      <c r="N273" s="277"/>
      <c r="O273" s="277"/>
      <c r="P273" s="277"/>
      <c r="Q273" s="277"/>
      <c r="R273" s="277"/>
      <c r="S273" s="410"/>
      <c r="T273" s="277"/>
      <c r="U273" s="277"/>
      <c r="V273" s="277"/>
      <c r="W273" s="277"/>
      <c r="X273" s="277"/>
      <c r="Y273" s="277"/>
      <c r="Z273" s="277"/>
    </row>
    <row r="274" ht="12.75" customHeight="1">
      <c r="A274" s="277"/>
      <c r="B274" s="278"/>
      <c r="C274" s="277"/>
      <c r="D274" s="277"/>
      <c r="E274" s="277"/>
      <c r="F274" s="277"/>
      <c r="G274" s="277"/>
      <c r="H274" s="277"/>
      <c r="I274" s="277"/>
      <c r="J274" s="277"/>
      <c r="K274" s="277"/>
      <c r="L274" s="277"/>
      <c r="M274" s="277"/>
      <c r="N274" s="277"/>
      <c r="O274" s="277"/>
      <c r="P274" s="277"/>
      <c r="Q274" s="277"/>
      <c r="R274" s="277"/>
      <c r="S274" s="410"/>
      <c r="T274" s="277"/>
      <c r="U274" s="277"/>
      <c r="V274" s="277"/>
      <c r="W274" s="277"/>
      <c r="X274" s="277"/>
      <c r="Y274" s="277"/>
      <c r="Z274" s="277"/>
    </row>
    <row r="275" ht="12.75" customHeight="1">
      <c r="A275" s="277"/>
      <c r="B275" s="278"/>
      <c r="C275" s="277"/>
      <c r="D275" s="277"/>
      <c r="E275" s="277"/>
      <c r="F275" s="277"/>
      <c r="G275" s="277"/>
      <c r="H275" s="277"/>
      <c r="I275" s="277"/>
      <c r="J275" s="277"/>
      <c r="K275" s="277"/>
      <c r="L275" s="277"/>
      <c r="M275" s="277"/>
      <c r="N275" s="277"/>
      <c r="O275" s="277"/>
      <c r="P275" s="277"/>
      <c r="Q275" s="277"/>
      <c r="R275" s="277"/>
      <c r="S275" s="410"/>
      <c r="T275" s="277"/>
      <c r="U275" s="277"/>
      <c r="V275" s="277"/>
      <c r="W275" s="277"/>
      <c r="X275" s="277"/>
      <c r="Y275" s="277"/>
      <c r="Z275" s="277"/>
    </row>
    <row r="276" ht="12.75" customHeight="1">
      <c r="A276" s="277"/>
      <c r="B276" s="278"/>
      <c r="C276" s="277"/>
      <c r="D276" s="277"/>
      <c r="E276" s="277"/>
      <c r="F276" s="277"/>
      <c r="G276" s="277"/>
      <c r="H276" s="277"/>
      <c r="I276" s="277"/>
      <c r="J276" s="277"/>
      <c r="K276" s="277"/>
      <c r="L276" s="277"/>
      <c r="M276" s="277"/>
      <c r="N276" s="277"/>
      <c r="O276" s="277"/>
      <c r="P276" s="277"/>
      <c r="Q276" s="277"/>
      <c r="R276" s="277"/>
      <c r="S276" s="410"/>
      <c r="T276" s="277"/>
      <c r="U276" s="277"/>
      <c r="V276" s="277"/>
      <c r="W276" s="277"/>
      <c r="X276" s="277"/>
      <c r="Y276" s="277"/>
      <c r="Z276" s="277"/>
    </row>
    <row r="277" ht="12.75" customHeight="1">
      <c r="A277" s="277"/>
      <c r="B277" s="278"/>
      <c r="C277" s="277"/>
      <c r="D277" s="277"/>
      <c r="E277" s="277"/>
      <c r="F277" s="277"/>
      <c r="G277" s="277"/>
      <c r="H277" s="277"/>
      <c r="I277" s="277"/>
      <c r="J277" s="277"/>
      <c r="K277" s="277"/>
      <c r="L277" s="277"/>
      <c r="M277" s="277"/>
      <c r="N277" s="277"/>
      <c r="O277" s="277"/>
      <c r="P277" s="277"/>
      <c r="Q277" s="277"/>
      <c r="R277" s="277"/>
      <c r="S277" s="410"/>
      <c r="T277" s="277"/>
      <c r="U277" s="277"/>
      <c r="V277" s="277"/>
      <c r="W277" s="277"/>
      <c r="X277" s="277"/>
      <c r="Y277" s="277"/>
      <c r="Z277" s="277"/>
    </row>
    <row r="278" ht="12.75" customHeight="1">
      <c r="A278" s="277"/>
      <c r="B278" s="278"/>
      <c r="C278" s="277"/>
      <c r="D278" s="277"/>
      <c r="E278" s="277"/>
      <c r="F278" s="277"/>
      <c r="G278" s="277"/>
      <c r="H278" s="277"/>
      <c r="I278" s="277"/>
      <c r="J278" s="277"/>
      <c r="K278" s="277"/>
      <c r="L278" s="277"/>
      <c r="M278" s="277"/>
      <c r="N278" s="277"/>
      <c r="O278" s="277"/>
      <c r="P278" s="277"/>
      <c r="Q278" s="277"/>
      <c r="R278" s="277"/>
      <c r="S278" s="410"/>
      <c r="T278" s="277"/>
      <c r="U278" s="277"/>
      <c r="V278" s="277"/>
      <c r="W278" s="277"/>
      <c r="X278" s="277"/>
      <c r="Y278" s="277"/>
      <c r="Z278" s="277"/>
    </row>
    <row r="279" ht="12.75" customHeight="1">
      <c r="A279" s="277"/>
      <c r="B279" s="278"/>
      <c r="C279" s="277"/>
      <c r="D279" s="277"/>
      <c r="E279" s="277"/>
      <c r="F279" s="277"/>
      <c r="G279" s="277"/>
      <c r="H279" s="277"/>
      <c r="I279" s="277"/>
      <c r="J279" s="277"/>
      <c r="K279" s="277"/>
      <c r="L279" s="277"/>
      <c r="M279" s="277"/>
      <c r="N279" s="277"/>
      <c r="O279" s="277"/>
      <c r="P279" s="277"/>
      <c r="Q279" s="277"/>
      <c r="R279" s="277"/>
      <c r="S279" s="410"/>
      <c r="T279" s="277"/>
      <c r="U279" s="277"/>
      <c r="V279" s="277"/>
      <c r="W279" s="277"/>
      <c r="X279" s="277"/>
      <c r="Y279" s="277"/>
      <c r="Z279" s="277"/>
    </row>
    <row r="280" ht="12.75" customHeight="1">
      <c r="A280" s="277"/>
      <c r="B280" s="278"/>
      <c r="C280" s="277"/>
      <c r="D280" s="277"/>
      <c r="E280" s="277"/>
      <c r="F280" s="277"/>
      <c r="G280" s="277"/>
      <c r="H280" s="277"/>
      <c r="I280" s="277"/>
      <c r="J280" s="277"/>
      <c r="K280" s="277"/>
      <c r="L280" s="277"/>
      <c r="M280" s="277"/>
      <c r="N280" s="277"/>
      <c r="O280" s="277"/>
      <c r="P280" s="277"/>
      <c r="Q280" s="277"/>
      <c r="R280" s="277"/>
      <c r="S280" s="410"/>
      <c r="T280" s="277"/>
      <c r="U280" s="277"/>
      <c r="V280" s="277"/>
      <c r="W280" s="277"/>
      <c r="X280" s="277"/>
      <c r="Y280" s="277"/>
      <c r="Z280" s="277"/>
    </row>
    <row r="281" ht="12.75" customHeight="1">
      <c r="A281" s="277"/>
      <c r="B281" s="278"/>
      <c r="C281" s="277"/>
      <c r="D281" s="277"/>
      <c r="E281" s="277"/>
      <c r="F281" s="277"/>
      <c r="G281" s="277"/>
      <c r="H281" s="277"/>
      <c r="I281" s="277"/>
      <c r="J281" s="277"/>
      <c r="K281" s="277"/>
      <c r="L281" s="277"/>
      <c r="M281" s="277"/>
      <c r="N281" s="277"/>
      <c r="O281" s="277"/>
      <c r="P281" s="277"/>
      <c r="Q281" s="277"/>
      <c r="R281" s="277"/>
      <c r="S281" s="410"/>
      <c r="T281" s="277"/>
      <c r="U281" s="277"/>
      <c r="V281" s="277"/>
      <c r="W281" s="277"/>
      <c r="X281" s="277"/>
      <c r="Y281" s="277"/>
      <c r="Z281" s="277"/>
    </row>
    <row r="282" ht="12.75" customHeight="1">
      <c r="A282" s="277"/>
      <c r="B282" s="278"/>
      <c r="C282" s="277"/>
      <c r="D282" s="277"/>
      <c r="E282" s="277"/>
      <c r="F282" s="277"/>
      <c r="G282" s="277"/>
      <c r="H282" s="277"/>
      <c r="I282" s="277"/>
      <c r="J282" s="277"/>
      <c r="K282" s="277"/>
      <c r="L282" s="277"/>
      <c r="M282" s="277"/>
      <c r="N282" s="277"/>
      <c r="O282" s="277"/>
      <c r="P282" s="277"/>
      <c r="Q282" s="277"/>
      <c r="R282" s="277"/>
      <c r="S282" s="410"/>
      <c r="T282" s="277"/>
      <c r="U282" s="277"/>
      <c r="V282" s="277"/>
      <c r="W282" s="277"/>
      <c r="X282" s="277"/>
      <c r="Y282" s="277"/>
      <c r="Z282" s="277"/>
    </row>
    <row r="283" ht="12.75" customHeight="1">
      <c r="A283" s="277"/>
      <c r="B283" s="278"/>
      <c r="C283" s="277"/>
      <c r="D283" s="277"/>
      <c r="E283" s="277"/>
      <c r="F283" s="277"/>
      <c r="G283" s="277"/>
      <c r="H283" s="277"/>
      <c r="I283" s="277"/>
      <c r="J283" s="277"/>
      <c r="K283" s="277"/>
      <c r="L283" s="277"/>
      <c r="M283" s="277"/>
      <c r="N283" s="277"/>
      <c r="O283" s="277"/>
      <c r="P283" s="277"/>
      <c r="Q283" s="277"/>
      <c r="R283" s="277"/>
      <c r="S283" s="410"/>
      <c r="T283" s="277"/>
      <c r="U283" s="277"/>
      <c r="V283" s="277"/>
      <c r="W283" s="277"/>
      <c r="X283" s="277"/>
      <c r="Y283" s="277"/>
      <c r="Z283" s="277"/>
    </row>
    <row r="284" ht="12.75" customHeight="1">
      <c r="A284" s="277"/>
      <c r="B284" s="278"/>
      <c r="C284" s="277"/>
      <c r="D284" s="277"/>
      <c r="E284" s="277"/>
      <c r="F284" s="277"/>
      <c r="G284" s="277"/>
      <c r="H284" s="277"/>
      <c r="I284" s="277"/>
      <c r="J284" s="277"/>
      <c r="K284" s="277"/>
      <c r="L284" s="277"/>
      <c r="M284" s="277"/>
      <c r="N284" s="277"/>
      <c r="O284" s="277"/>
      <c r="P284" s="277"/>
      <c r="Q284" s="277"/>
      <c r="R284" s="277"/>
      <c r="S284" s="410"/>
      <c r="T284" s="277"/>
      <c r="U284" s="277"/>
      <c r="V284" s="277"/>
      <c r="W284" s="277"/>
      <c r="X284" s="277"/>
      <c r="Y284" s="277"/>
      <c r="Z284" s="277"/>
    </row>
    <row r="285" ht="12.75" customHeight="1">
      <c r="A285" s="277"/>
      <c r="B285" s="278"/>
      <c r="C285" s="277"/>
      <c r="D285" s="277"/>
      <c r="E285" s="277"/>
      <c r="F285" s="277"/>
      <c r="G285" s="277"/>
      <c r="H285" s="277"/>
      <c r="I285" s="277"/>
      <c r="J285" s="277"/>
      <c r="K285" s="277"/>
      <c r="L285" s="277"/>
      <c r="M285" s="277"/>
      <c r="N285" s="277"/>
      <c r="O285" s="277"/>
      <c r="P285" s="277"/>
      <c r="Q285" s="277"/>
      <c r="R285" s="277"/>
      <c r="S285" s="410"/>
      <c r="T285" s="277"/>
      <c r="U285" s="277"/>
      <c r="V285" s="277"/>
      <c r="W285" s="277"/>
      <c r="X285" s="277"/>
      <c r="Y285" s="277"/>
      <c r="Z285" s="277"/>
    </row>
    <row r="286" ht="12.75" customHeight="1">
      <c r="A286" s="277"/>
      <c r="B286" s="278"/>
      <c r="C286" s="277"/>
      <c r="D286" s="277"/>
      <c r="E286" s="277"/>
      <c r="F286" s="277"/>
      <c r="G286" s="277"/>
      <c r="H286" s="277"/>
      <c r="I286" s="277"/>
      <c r="J286" s="277"/>
      <c r="K286" s="277"/>
      <c r="L286" s="277"/>
      <c r="M286" s="277"/>
      <c r="N286" s="277"/>
      <c r="O286" s="277"/>
      <c r="P286" s="277"/>
      <c r="Q286" s="277"/>
      <c r="R286" s="277"/>
      <c r="S286" s="410"/>
      <c r="T286" s="277"/>
      <c r="U286" s="277"/>
      <c r="V286" s="277"/>
      <c r="W286" s="277"/>
      <c r="X286" s="277"/>
      <c r="Y286" s="277"/>
      <c r="Z286" s="277"/>
    </row>
    <row r="287" ht="12.75" customHeight="1">
      <c r="A287" s="277"/>
      <c r="B287" s="278"/>
      <c r="C287" s="277"/>
      <c r="D287" s="277"/>
      <c r="E287" s="277"/>
      <c r="F287" s="277"/>
      <c r="G287" s="277"/>
      <c r="H287" s="277"/>
      <c r="I287" s="277"/>
      <c r="J287" s="277"/>
      <c r="K287" s="277"/>
      <c r="L287" s="277"/>
      <c r="M287" s="277"/>
      <c r="N287" s="277"/>
      <c r="O287" s="277"/>
      <c r="P287" s="277"/>
      <c r="Q287" s="277"/>
      <c r="R287" s="277"/>
      <c r="S287" s="410"/>
      <c r="T287" s="277"/>
      <c r="U287" s="277"/>
      <c r="V287" s="277"/>
      <c r="W287" s="277"/>
      <c r="X287" s="277"/>
      <c r="Y287" s="277"/>
      <c r="Z287" s="277"/>
    </row>
    <row r="288" ht="12.75" customHeight="1">
      <c r="A288" s="277"/>
      <c r="B288" s="278"/>
      <c r="C288" s="277"/>
      <c r="D288" s="277"/>
      <c r="E288" s="277"/>
      <c r="F288" s="277"/>
      <c r="G288" s="277"/>
      <c r="H288" s="277"/>
      <c r="I288" s="277"/>
      <c r="J288" s="277"/>
      <c r="K288" s="277"/>
      <c r="L288" s="277"/>
      <c r="M288" s="277"/>
      <c r="N288" s="277"/>
      <c r="O288" s="277"/>
      <c r="P288" s="277"/>
      <c r="Q288" s="277"/>
      <c r="R288" s="277"/>
      <c r="S288" s="410"/>
      <c r="T288" s="277"/>
      <c r="U288" s="277"/>
      <c r="V288" s="277"/>
      <c r="W288" s="277"/>
      <c r="X288" s="277"/>
      <c r="Y288" s="277"/>
      <c r="Z288" s="277"/>
    </row>
    <row r="289" ht="12.75" customHeight="1">
      <c r="A289" s="277"/>
      <c r="B289" s="278"/>
      <c r="C289" s="277"/>
      <c r="D289" s="277"/>
      <c r="E289" s="277"/>
      <c r="F289" s="277"/>
      <c r="G289" s="277"/>
      <c r="H289" s="277"/>
      <c r="I289" s="277"/>
      <c r="J289" s="277"/>
      <c r="K289" s="277"/>
      <c r="L289" s="277"/>
      <c r="M289" s="277"/>
      <c r="N289" s="277"/>
      <c r="O289" s="277"/>
      <c r="P289" s="277"/>
      <c r="Q289" s="277"/>
      <c r="R289" s="277"/>
      <c r="S289" s="410"/>
      <c r="T289" s="277"/>
      <c r="U289" s="277"/>
      <c r="V289" s="277"/>
      <c r="W289" s="277"/>
      <c r="X289" s="277"/>
      <c r="Y289" s="277"/>
      <c r="Z289" s="277"/>
    </row>
    <row r="290" ht="12.75" customHeight="1">
      <c r="A290" s="277"/>
      <c r="B290" s="278"/>
      <c r="C290" s="277"/>
      <c r="D290" s="277"/>
      <c r="E290" s="277"/>
      <c r="F290" s="277"/>
      <c r="G290" s="277"/>
      <c r="H290" s="277"/>
      <c r="I290" s="277"/>
      <c r="J290" s="277"/>
      <c r="K290" s="277"/>
      <c r="L290" s="277"/>
      <c r="M290" s="277"/>
      <c r="N290" s="277"/>
      <c r="O290" s="277"/>
      <c r="P290" s="277"/>
      <c r="Q290" s="277"/>
      <c r="R290" s="277"/>
      <c r="S290" s="410"/>
      <c r="T290" s="277"/>
      <c r="U290" s="277"/>
      <c r="V290" s="277"/>
      <c r="W290" s="277"/>
      <c r="X290" s="277"/>
      <c r="Y290" s="277"/>
      <c r="Z290" s="277"/>
    </row>
    <row r="291" ht="12.75" customHeight="1">
      <c r="A291" s="277"/>
      <c r="B291" s="278"/>
      <c r="C291" s="277"/>
      <c r="D291" s="277"/>
      <c r="E291" s="277"/>
      <c r="F291" s="277"/>
      <c r="G291" s="277"/>
      <c r="H291" s="277"/>
      <c r="I291" s="277"/>
      <c r="J291" s="277"/>
      <c r="K291" s="277"/>
      <c r="L291" s="277"/>
      <c r="M291" s="277"/>
      <c r="N291" s="277"/>
      <c r="O291" s="277"/>
      <c r="P291" s="277"/>
      <c r="Q291" s="277"/>
      <c r="R291" s="277"/>
      <c r="S291" s="410"/>
      <c r="T291" s="277"/>
      <c r="U291" s="277"/>
      <c r="V291" s="277"/>
      <c r="W291" s="277"/>
      <c r="X291" s="277"/>
      <c r="Y291" s="277"/>
      <c r="Z291" s="277"/>
    </row>
    <row r="292" ht="12.75" customHeight="1">
      <c r="A292" s="277"/>
      <c r="B292" s="278"/>
      <c r="C292" s="277"/>
      <c r="D292" s="277"/>
      <c r="E292" s="277"/>
      <c r="F292" s="277"/>
      <c r="G292" s="277"/>
      <c r="H292" s="277"/>
      <c r="I292" s="277"/>
      <c r="J292" s="277"/>
      <c r="K292" s="277"/>
      <c r="L292" s="277"/>
      <c r="M292" s="277"/>
      <c r="N292" s="277"/>
      <c r="O292" s="277"/>
      <c r="P292" s="277"/>
      <c r="Q292" s="277"/>
      <c r="R292" s="277"/>
      <c r="S292" s="410"/>
      <c r="T292" s="277"/>
      <c r="U292" s="277"/>
      <c r="V292" s="277"/>
      <c r="W292" s="277"/>
      <c r="X292" s="277"/>
      <c r="Y292" s="277"/>
      <c r="Z292" s="277"/>
    </row>
    <row r="293" ht="12.75" customHeight="1">
      <c r="A293" s="277"/>
      <c r="B293" s="278"/>
      <c r="C293" s="277"/>
      <c r="D293" s="277"/>
      <c r="E293" s="277"/>
      <c r="F293" s="277"/>
      <c r="G293" s="277"/>
      <c r="H293" s="277"/>
      <c r="I293" s="277"/>
      <c r="J293" s="277"/>
      <c r="K293" s="277"/>
      <c r="L293" s="277"/>
      <c r="M293" s="277"/>
      <c r="N293" s="277"/>
      <c r="O293" s="277"/>
      <c r="P293" s="277"/>
      <c r="Q293" s="277"/>
      <c r="R293" s="277"/>
      <c r="S293" s="410"/>
      <c r="T293" s="277"/>
      <c r="U293" s="277"/>
      <c r="V293" s="277"/>
      <c r="W293" s="277"/>
      <c r="X293" s="277"/>
      <c r="Y293" s="277"/>
      <c r="Z293" s="277"/>
    </row>
    <row r="294" ht="12.75" customHeight="1">
      <c r="A294" s="277"/>
      <c r="B294" s="278"/>
      <c r="C294" s="277"/>
      <c r="D294" s="277"/>
      <c r="E294" s="277"/>
      <c r="F294" s="277"/>
      <c r="G294" s="277"/>
      <c r="H294" s="277"/>
      <c r="I294" s="277"/>
      <c r="J294" s="277"/>
      <c r="K294" s="277"/>
      <c r="L294" s="277"/>
      <c r="M294" s="277"/>
      <c r="N294" s="277"/>
      <c r="O294" s="277"/>
      <c r="P294" s="277"/>
      <c r="Q294" s="277"/>
      <c r="R294" s="277"/>
      <c r="S294" s="410"/>
      <c r="T294" s="277"/>
      <c r="U294" s="277"/>
      <c r="V294" s="277"/>
      <c r="W294" s="277"/>
      <c r="X294" s="277"/>
      <c r="Y294" s="277"/>
      <c r="Z294" s="277"/>
    </row>
    <row r="295" ht="12.75" customHeight="1">
      <c r="A295" s="277"/>
      <c r="B295" s="278"/>
      <c r="C295" s="277"/>
      <c r="D295" s="277"/>
      <c r="E295" s="277"/>
      <c r="F295" s="277"/>
      <c r="G295" s="277"/>
      <c r="H295" s="277"/>
      <c r="I295" s="277"/>
      <c r="J295" s="277"/>
      <c r="K295" s="277"/>
      <c r="L295" s="277"/>
      <c r="M295" s="277"/>
      <c r="N295" s="277"/>
      <c r="O295" s="277"/>
      <c r="P295" s="277"/>
      <c r="Q295" s="277"/>
      <c r="R295" s="277"/>
      <c r="S295" s="410"/>
      <c r="T295" s="277"/>
      <c r="U295" s="277"/>
      <c r="V295" s="277"/>
      <c r="W295" s="277"/>
      <c r="X295" s="277"/>
      <c r="Y295" s="277"/>
      <c r="Z295" s="277"/>
    </row>
    <row r="296" ht="12.75" customHeight="1">
      <c r="A296" s="277"/>
      <c r="B296" s="278"/>
      <c r="C296" s="277"/>
      <c r="D296" s="277"/>
      <c r="E296" s="277"/>
      <c r="F296" s="277"/>
      <c r="G296" s="277"/>
      <c r="H296" s="277"/>
      <c r="I296" s="277"/>
      <c r="J296" s="277"/>
      <c r="K296" s="277"/>
      <c r="L296" s="277"/>
      <c r="M296" s="277"/>
      <c r="N296" s="277"/>
      <c r="O296" s="277"/>
      <c r="P296" s="277"/>
      <c r="Q296" s="277"/>
      <c r="R296" s="277"/>
      <c r="S296" s="410"/>
      <c r="T296" s="277"/>
      <c r="U296" s="277"/>
      <c r="V296" s="277"/>
      <c r="W296" s="277"/>
      <c r="X296" s="277"/>
      <c r="Y296" s="277"/>
      <c r="Z296" s="277"/>
    </row>
    <row r="297" ht="12.75" customHeight="1">
      <c r="A297" s="277"/>
      <c r="B297" s="278"/>
      <c r="C297" s="277"/>
      <c r="D297" s="277"/>
      <c r="E297" s="277"/>
      <c r="F297" s="277"/>
      <c r="G297" s="277"/>
      <c r="H297" s="277"/>
      <c r="I297" s="277"/>
      <c r="J297" s="277"/>
      <c r="K297" s="277"/>
      <c r="L297" s="277"/>
      <c r="M297" s="277"/>
      <c r="N297" s="277"/>
      <c r="O297" s="277"/>
      <c r="P297" s="277"/>
      <c r="Q297" s="277"/>
      <c r="R297" s="277"/>
      <c r="S297" s="410"/>
      <c r="T297" s="277"/>
      <c r="U297" s="277"/>
      <c r="V297" s="277"/>
      <c r="W297" s="277"/>
      <c r="X297" s="277"/>
      <c r="Y297" s="277"/>
      <c r="Z297" s="277"/>
    </row>
    <row r="298" ht="12.75" customHeight="1">
      <c r="A298" s="277"/>
      <c r="B298" s="278"/>
      <c r="C298" s="277"/>
      <c r="D298" s="277"/>
      <c r="E298" s="277"/>
      <c r="F298" s="277"/>
      <c r="G298" s="277"/>
      <c r="H298" s="277"/>
      <c r="I298" s="277"/>
      <c r="J298" s="277"/>
      <c r="K298" s="277"/>
      <c r="L298" s="277"/>
      <c r="M298" s="277"/>
      <c r="N298" s="277"/>
      <c r="O298" s="277"/>
      <c r="P298" s="277"/>
      <c r="Q298" s="277"/>
      <c r="R298" s="277"/>
      <c r="S298" s="410"/>
      <c r="T298" s="277"/>
      <c r="U298" s="277"/>
      <c r="V298" s="277"/>
      <c r="W298" s="277"/>
      <c r="X298" s="277"/>
      <c r="Y298" s="277"/>
      <c r="Z298" s="277"/>
    </row>
    <row r="299" ht="12.75" customHeight="1">
      <c r="A299" s="277"/>
      <c r="B299" s="278"/>
      <c r="C299" s="277"/>
      <c r="D299" s="277"/>
      <c r="E299" s="277"/>
      <c r="F299" s="277"/>
      <c r="G299" s="277"/>
      <c r="H299" s="277"/>
      <c r="I299" s="277"/>
      <c r="J299" s="277"/>
      <c r="K299" s="277"/>
      <c r="L299" s="277"/>
      <c r="M299" s="277"/>
      <c r="N299" s="277"/>
      <c r="O299" s="277"/>
      <c r="P299" s="277"/>
      <c r="Q299" s="277"/>
      <c r="R299" s="277"/>
      <c r="S299" s="410"/>
      <c r="T299" s="277"/>
      <c r="U299" s="277"/>
      <c r="V299" s="277"/>
      <c r="W299" s="277"/>
      <c r="X299" s="277"/>
      <c r="Y299" s="277"/>
      <c r="Z299" s="277"/>
    </row>
    <row r="300" ht="12.75" customHeight="1">
      <c r="A300" s="277"/>
      <c r="B300" s="278"/>
      <c r="C300" s="277"/>
      <c r="D300" s="277"/>
      <c r="E300" s="277"/>
      <c r="F300" s="277"/>
      <c r="G300" s="277"/>
      <c r="H300" s="277"/>
      <c r="I300" s="277"/>
      <c r="J300" s="277"/>
      <c r="K300" s="277"/>
      <c r="L300" s="277"/>
      <c r="M300" s="277"/>
      <c r="N300" s="277"/>
      <c r="O300" s="277"/>
      <c r="P300" s="277"/>
      <c r="Q300" s="277"/>
      <c r="R300" s="277"/>
      <c r="S300" s="410"/>
      <c r="T300" s="277"/>
      <c r="U300" s="277"/>
      <c r="V300" s="277"/>
      <c r="W300" s="277"/>
      <c r="X300" s="277"/>
      <c r="Y300" s="277"/>
      <c r="Z300" s="277"/>
    </row>
    <row r="301" ht="12.75" customHeight="1">
      <c r="A301" s="277"/>
      <c r="B301" s="278"/>
      <c r="C301" s="277"/>
      <c r="D301" s="277"/>
      <c r="E301" s="277"/>
      <c r="F301" s="277"/>
      <c r="G301" s="277"/>
      <c r="H301" s="277"/>
      <c r="I301" s="277"/>
      <c r="J301" s="277"/>
      <c r="K301" s="277"/>
      <c r="L301" s="277"/>
      <c r="M301" s="277"/>
      <c r="N301" s="277"/>
      <c r="O301" s="277"/>
      <c r="P301" s="277"/>
      <c r="Q301" s="277"/>
      <c r="R301" s="277"/>
      <c r="S301" s="410"/>
      <c r="T301" s="277"/>
      <c r="U301" s="277"/>
      <c r="V301" s="277"/>
      <c r="W301" s="277"/>
      <c r="X301" s="277"/>
      <c r="Y301" s="277"/>
      <c r="Z301" s="277"/>
    </row>
    <row r="302" ht="12.75" customHeight="1">
      <c r="A302" s="277"/>
      <c r="B302" s="278"/>
      <c r="C302" s="277"/>
      <c r="D302" s="277"/>
      <c r="E302" s="277"/>
      <c r="F302" s="277"/>
      <c r="G302" s="277"/>
      <c r="H302" s="277"/>
      <c r="I302" s="277"/>
      <c r="J302" s="277"/>
      <c r="K302" s="277"/>
      <c r="L302" s="277"/>
      <c r="M302" s="277"/>
      <c r="N302" s="277"/>
      <c r="O302" s="277"/>
      <c r="P302" s="277"/>
      <c r="Q302" s="277"/>
      <c r="R302" s="277"/>
      <c r="S302" s="410"/>
      <c r="T302" s="277"/>
      <c r="U302" s="277"/>
      <c r="V302" s="277"/>
      <c r="W302" s="277"/>
      <c r="X302" s="277"/>
      <c r="Y302" s="277"/>
      <c r="Z302" s="277"/>
    </row>
    <row r="303" ht="12.75" customHeight="1">
      <c r="A303" s="277"/>
      <c r="B303" s="278"/>
      <c r="C303" s="277"/>
      <c r="D303" s="277"/>
      <c r="E303" s="277"/>
      <c r="F303" s="277"/>
      <c r="G303" s="277"/>
      <c r="H303" s="277"/>
      <c r="I303" s="277"/>
      <c r="J303" s="277"/>
      <c r="K303" s="277"/>
      <c r="L303" s="277"/>
      <c r="M303" s="277"/>
      <c r="N303" s="277"/>
      <c r="O303" s="277"/>
      <c r="P303" s="277"/>
      <c r="Q303" s="277"/>
      <c r="R303" s="277"/>
      <c r="S303" s="410"/>
      <c r="T303" s="277"/>
      <c r="U303" s="277"/>
      <c r="V303" s="277"/>
      <c r="W303" s="277"/>
      <c r="X303" s="277"/>
      <c r="Y303" s="277"/>
      <c r="Z303" s="277"/>
    </row>
    <row r="304" ht="12.75" customHeight="1">
      <c r="A304" s="277"/>
      <c r="B304" s="278"/>
      <c r="C304" s="277"/>
      <c r="D304" s="277"/>
      <c r="E304" s="277"/>
      <c r="F304" s="277"/>
      <c r="G304" s="277"/>
      <c r="H304" s="277"/>
      <c r="I304" s="277"/>
      <c r="J304" s="277"/>
      <c r="K304" s="277"/>
      <c r="L304" s="277"/>
      <c r="M304" s="277"/>
      <c r="N304" s="277"/>
      <c r="O304" s="277"/>
      <c r="P304" s="277"/>
      <c r="Q304" s="277"/>
      <c r="R304" s="277"/>
      <c r="S304" s="410"/>
      <c r="T304" s="277"/>
      <c r="U304" s="277"/>
      <c r="V304" s="277"/>
      <c r="W304" s="277"/>
      <c r="X304" s="277"/>
      <c r="Y304" s="277"/>
      <c r="Z304" s="277"/>
    </row>
    <row r="305" ht="12.75" customHeight="1">
      <c r="A305" s="277"/>
      <c r="B305" s="278"/>
      <c r="C305" s="277"/>
      <c r="D305" s="277"/>
      <c r="E305" s="277"/>
      <c r="F305" s="277"/>
      <c r="G305" s="277"/>
      <c r="H305" s="277"/>
      <c r="I305" s="277"/>
      <c r="J305" s="277"/>
      <c r="K305" s="277"/>
      <c r="L305" s="277"/>
      <c r="M305" s="277"/>
      <c r="N305" s="277"/>
      <c r="O305" s="277"/>
      <c r="P305" s="277"/>
      <c r="Q305" s="277"/>
      <c r="R305" s="277"/>
      <c r="S305" s="410"/>
      <c r="T305" s="277"/>
      <c r="U305" s="277"/>
      <c r="V305" s="277"/>
      <c r="W305" s="277"/>
      <c r="X305" s="277"/>
      <c r="Y305" s="277"/>
      <c r="Z305" s="277"/>
    </row>
    <row r="306" ht="12.75" customHeight="1">
      <c r="A306" s="277"/>
      <c r="B306" s="278"/>
      <c r="C306" s="277"/>
      <c r="D306" s="277"/>
      <c r="E306" s="277"/>
      <c r="F306" s="277"/>
      <c r="G306" s="277"/>
      <c r="H306" s="277"/>
      <c r="I306" s="277"/>
      <c r="J306" s="277"/>
      <c r="K306" s="277"/>
      <c r="L306" s="277"/>
      <c r="M306" s="277"/>
      <c r="N306" s="277"/>
      <c r="O306" s="277"/>
      <c r="P306" s="277"/>
      <c r="Q306" s="277"/>
      <c r="R306" s="277"/>
      <c r="S306" s="410"/>
      <c r="T306" s="277"/>
      <c r="U306" s="277"/>
      <c r="V306" s="277"/>
      <c r="W306" s="277"/>
      <c r="X306" s="277"/>
      <c r="Y306" s="277"/>
      <c r="Z306" s="277"/>
    </row>
    <row r="307" ht="12.75" customHeight="1">
      <c r="A307" s="277"/>
      <c r="B307" s="278"/>
      <c r="C307" s="277"/>
      <c r="D307" s="277"/>
      <c r="E307" s="277"/>
      <c r="F307" s="277"/>
      <c r="G307" s="277"/>
      <c r="H307" s="277"/>
      <c r="I307" s="277"/>
      <c r="J307" s="277"/>
      <c r="K307" s="277"/>
      <c r="L307" s="277"/>
      <c r="M307" s="277"/>
      <c r="N307" s="277"/>
      <c r="O307" s="277"/>
      <c r="P307" s="277"/>
      <c r="Q307" s="277"/>
      <c r="R307" s="277"/>
      <c r="S307" s="410"/>
      <c r="T307" s="277"/>
      <c r="U307" s="277"/>
      <c r="V307" s="277"/>
      <c r="W307" s="277"/>
      <c r="X307" s="277"/>
      <c r="Y307" s="277"/>
      <c r="Z307" s="277"/>
    </row>
    <row r="308" ht="12.75" customHeight="1">
      <c r="A308" s="277"/>
      <c r="B308" s="278"/>
      <c r="C308" s="277"/>
      <c r="D308" s="277"/>
      <c r="E308" s="277"/>
      <c r="F308" s="277"/>
      <c r="G308" s="277"/>
      <c r="H308" s="277"/>
      <c r="I308" s="277"/>
      <c r="J308" s="277"/>
      <c r="K308" s="277"/>
      <c r="L308" s="277"/>
      <c r="M308" s="277"/>
      <c r="N308" s="277"/>
      <c r="O308" s="277"/>
      <c r="P308" s="277"/>
      <c r="Q308" s="277"/>
      <c r="R308" s="277"/>
      <c r="S308" s="410"/>
      <c r="T308" s="277"/>
      <c r="U308" s="277"/>
      <c r="V308" s="277"/>
      <c r="W308" s="277"/>
      <c r="X308" s="277"/>
      <c r="Y308" s="277"/>
      <c r="Z308" s="277"/>
    </row>
    <row r="309" ht="12.75" customHeight="1">
      <c r="A309" s="277"/>
      <c r="B309" s="278"/>
      <c r="C309" s="277"/>
      <c r="D309" s="277"/>
      <c r="E309" s="277"/>
      <c r="F309" s="277"/>
      <c r="G309" s="277"/>
      <c r="H309" s="277"/>
      <c r="I309" s="277"/>
      <c r="J309" s="277"/>
      <c r="K309" s="277"/>
      <c r="L309" s="277"/>
      <c r="M309" s="277"/>
      <c r="N309" s="277"/>
      <c r="O309" s="277"/>
      <c r="P309" s="277"/>
      <c r="Q309" s="277"/>
      <c r="R309" s="277"/>
      <c r="S309" s="410"/>
      <c r="T309" s="277"/>
      <c r="U309" s="277"/>
      <c r="V309" s="277"/>
      <c r="W309" s="277"/>
      <c r="X309" s="277"/>
      <c r="Y309" s="277"/>
      <c r="Z309" s="277"/>
    </row>
    <row r="310" ht="12.75" customHeight="1">
      <c r="A310" s="277"/>
      <c r="B310" s="278"/>
      <c r="C310" s="277"/>
      <c r="D310" s="277"/>
      <c r="E310" s="277"/>
      <c r="F310" s="277"/>
      <c r="G310" s="277"/>
      <c r="H310" s="277"/>
      <c r="I310" s="277"/>
      <c r="J310" s="277"/>
      <c r="K310" s="277"/>
      <c r="L310" s="277"/>
      <c r="M310" s="277"/>
      <c r="N310" s="277"/>
      <c r="O310" s="277"/>
      <c r="P310" s="277"/>
      <c r="Q310" s="277"/>
      <c r="R310" s="277"/>
      <c r="S310" s="410"/>
      <c r="T310" s="277"/>
      <c r="U310" s="277"/>
      <c r="V310" s="277"/>
      <c r="W310" s="277"/>
      <c r="X310" s="277"/>
      <c r="Y310" s="277"/>
      <c r="Z310" s="277"/>
    </row>
    <row r="311" ht="12.75" customHeight="1">
      <c r="A311" s="277"/>
      <c r="B311" s="278"/>
      <c r="C311" s="277"/>
      <c r="D311" s="277"/>
      <c r="E311" s="277"/>
      <c r="F311" s="277"/>
      <c r="G311" s="277"/>
      <c r="H311" s="277"/>
      <c r="I311" s="277"/>
      <c r="J311" s="277"/>
      <c r="K311" s="277"/>
      <c r="L311" s="277"/>
      <c r="M311" s="277"/>
      <c r="N311" s="277"/>
      <c r="O311" s="277"/>
      <c r="P311" s="277"/>
      <c r="Q311" s="277"/>
      <c r="R311" s="277"/>
      <c r="S311" s="410"/>
      <c r="T311" s="277"/>
      <c r="U311" s="277"/>
      <c r="V311" s="277"/>
      <c r="W311" s="277"/>
      <c r="X311" s="277"/>
      <c r="Y311" s="277"/>
      <c r="Z311" s="277"/>
    </row>
    <row r="312" ht="12.75" customHeight="1">
      <c r="A312" s="277"/>
      <c r="B312" s="278"/>
      <c r="C312" s="277"/>
      <c r="D312" s="277"/>
      <c r="E312" s="277"/>
      <c r="F312" s="277"/>
      <c r="G312" s="277"/>
      <c r="H312" s="277"/>
      <c r="I312" s="277"/>
      <c r="J312" s="277"/>
      <c r="K312" s="277"/>
      <c r="L312" s="277"/>
      <c r="M312" s="277"/>
      <c r="N312" s="277"/>
      <c r="O312" s="277"/>
      <c r="P312" s="277"/>
      <c r="Q312" s="277"/>
      <c r="R312" s="277"/>
      <c r="S312" s="410"/>
      <c r="T312" s="277"/>
      <c r="U312" s="277"/>
      <c r="V312" s="277"/>
      <c r="W312" s="277"/>
      <c r="X312" s="277"/>
      <c r="Y312" s="277"/>
      <c r="Z312" s="277"/>
    </row>
    <row r="313" ht="12.75" customHeight="1">
      <c r="A313" s="277"/>
      <c r="B313" s="278"/>
      <c r="C313" s="277"/>
      <c r="D313" s="277"/>
      <c r="E313" s="277"/>
      <c r="F313" s="277"/>
      <c r="G313" s="277"/>
      <c r="H313" s="277"/>
      <c r="I313" s="277"/>
      <c r="J313" s="277"/>
      <c r="K313" s="277"/>
      <c r="L313" s="277"/>
      <c r="M313" s="277"/>
      <c r="N313" s="277"/>
      <c r="O313" s="277"/>
      <c r="P313" s="277"/>
      <c r="Q313" s="277"/>
      <c r="R313" s="277"/>
      <c r="S313" s="410"/>
      <c r="T313" s="277"/>
      <c r="U313" s="277"/>
      <c r="V313" s="277"/>
      <c r="W313" s="277"/>
      <c r="X313" s="277"/>
      <c r="Y313" s="277"/>
      <c r="Z313" s="277"/>
    </row>
    <row r="314" ht="12.75" customHeight="1">
      <c r="A314" s="277"/>
      <c r="B314" s="278"/>
      <c r="C314" s="277"/>
      <c r="D314" s="277"/>
      <c r="E314" s="277"/>
      <c r="F314" s="277"/>
      <c r="G314" s="277"/>
      <c r="H314" s="277"/>
      <c r="I314" s="277"/>
      <c r="J314" s="277"/>
      <c r="K314" s="277"/>
      <c r="L314" s="277"/>
      <c r="M314" s="277"/>
      <c r="N314" s="277"/>
      <c r="O314" s="277"/>
      <c r="P314" s="277"/>
      <c r="Q314" s="277"/>
      <c r="R314" s="277"/>
      <c r="S314" s="410"/>
      <c r="T314" s="277"/>
      <c r="U314" s="277"/>
      <c r="V314" s="277"/>
      <c r="W314" s="277"/>
      <c r="X314" s="277"/>
      <c r="Y314" s="277"/>
      <c r="Z314" s="277"/>
    </row>
    <row r="315" ht="12.75" customHeight="1">
      <c r="A315" s="277"/>
      <c r="B315" s="278"/>
      <c r="C315" s="277"/>
      <c r="D315" s="277"/>
      <c r="E315" s="277"/>
      <c r="F315" s="277"/>
      <c r="G315" s="277"/>
      <c r="H315" s="277"/>
      <c r="I315" s="277"/>
      <c r="J315" s="277"/>
      <c r="K315" s="277"/>
      <c r="L315" s="277"/>
      <c r="M315" s="277"/>
      <c r="N315" s="277"/>
      <c r="O315" s="277"/>
      <c r="P315" s="277"/>
      <c r="Q315" s="277"/>
      <c r="R315" s="277"/>
      <c r="S315" s="410"/>
      <c r="T315" s="277"/>
      <c r="U315" s="277"/>
      <c r="V315" s="277"/>
      <c r="W315" s="277"/>
      <c r="X315" s="277"/>
      <c r="Y315" s="277"/>
      <c r="Z315" s="277"/>
    </row>
    <row r="316" ht="12.75" customHeight="1">
      <c r="A316" s="277"/>
      <c r="B316" s="278"/>
      <c r="C316" s="277"/>
      <c r="D316" s="277"/>
      <c r="E316" s="277"/>
      <c r="F316" s="277"/>
      <c r="G316" s="277"/>
      <c r="H316" s="277"/>
      <c r="I316" s="277"/>
      <c r="J316" s="277"/>
      <c r="K316" s="277"/>
      <c r="L316" s="277"/>
      <c r="M316" s="277"/>
      <c r="N316" s="277"/>
      <c r="O316" s="277"/>
      <c r="P316" s="277"/>
      <c r="Q316" s="277"/>
      <c r="R316" s="277"/>
      <c r="S316" s="410"/>
      <c r="T316" s="277"/>
      <c r="U316" s="277"/>
      <c r="V316" s="277"/>
      <c r="W316" s="277"/>
      <c r="X316" s="277"/>
      <c r="Y316" s="277"/>
      <c r="Z316" s="277"/>
    </row>
    <row r="317" ht="12.75" customHeight="1">
      <c r="A317" s="277"/>
      <c r="B317" s="278"/>
      <c r="C317" s="277"/>
      <c r="D317" s="277"/>
      <c r="E317" s="277"/>
      <c r="F317" s="277"/>
      <c r="G317" s="277"/>
      <c r="H317" s="277"/>
      <c r="I317" s="277"/>
      <c r="J317" s="277"/>
      <c r="K317" s="277"/>
      <c r="L317" s="277"/>
      <c r="M317" s="277"/>
      <c r="N317" s="277"/>
      <c r="O317" s="277"/>
      <c r="P317" s="277"/>
      <c r="Q317" s="277"/>
      <c r="R317" s="277"/>
      <c r="S317" s="410"/>
      <c r="T317" s="277"/>
      <c r="U317" s="277"/>
      <c r="V317" s="277"/>
      <c r="W317" s="277"/>
      <c r="X317" s="277"/>
      <c r="Y317" s="277"/>
      <c r="Z317" s="277"/>
    </row>
    <row r="318" ht="12.75" customHeight="1">
      <c r="A318" s="277"/>
      <c r="B318" s="278"/>
      <c r="C318" s="277"/>
      <c r="D318" s="277"/>
      <c r="E318" s="277"/>
      <c r="F318" s="277"/>
      <c r="G318" s="277"/>
      <c r="H318" s="277"/>
      <c r="I318" s="277"/>
      <c r="J318" s="277"/>
      <c r="K318" s="277"/>
      <c r="L318" s="277"/>
      <c r="M318" s="277"/>
      <c r="N318" s="277"/>
      <c r="O318" s="277"/>
      <c r="P318" s="277"/>
      <c r="Q318" s="277"/>
      <c r="R318" s="277"/>
      <c r="S318" s="410"/>
      <c r="T318" s="277"/>
      <c r="U318" s="277"/>
      <c r="V318" s="277"/>
      <c r="W318" s="277"/>
      <c r="X318" s="277"/>
      <c r="Y318" s="277"/>
      <c r="Z318" s="277"/>
    </row>
    <row r="319" ht="12.75" customHeight="1">
      <c r="A319" s="277"/>
      <c r="B319" s="278"/>
      <c r="C319" s="277"/>
      <c r="D319" s="277"/>
      <c r="E319" s="277"/>
      <c r="F319" s="277"/>
      <c r="G319" s="277"/>
      <c r="H319" s="277"/>
      <c r="I319" s="277"/>
      <c r="J319" s="277"/>
      <c r="K319" s="277"/>
      <c r="L319" s="277"/>
      <c r="M319" s="277"/>
      <c r="N319" s="277"/>
      <c r="O319" s="277"/>
      <c r="P319" s="277"/>
      <c r="Q319" s="277"/>
      <c r="R319" s="277"/>
      <c r="S319" s="410"/>
      <c r="T319" s="277"/>
      <c r="U319" s="277"/>
      <c r="V319" s="277"/>
      <c r="W319" s="277"/>
      <c r="X319" s="277"/>
      <c r="Y319" s="277"/>
      <c r="Z319" s="277"/>
    </row>
    <row r="320" ht="12.75" customHeight="1">
      <c r="A320" s="277"/>
      <c r="B320" s="278"/>
      <c r="C320" s="277"/>
      <c r="D320" s="277"/>
      <c r="E320" s="277"/>
      <c r="F320" s="277"/>
      <c r="G320" s="277"/>
      <c r="H320" s="277"/>
      <c r="I320" s="277"/>
      <c r="J320" s="277"/>
      <c r="K320" s="277"/>
      <c r="L320" s="277"/>
      <c r="M320" s="277"/>
      <c r="N320" s="277"/>
      <c r="O320" s="277"/>
      <c r="P320" s="277"/>
      <c r="Q320" s="277"/>
      <c r="R320" s="277"/>
      <c r="S320" s="410"/>
      <c r="T320" s="277"/>
      <c r="U320" s="277"/>
      <c r="V320" s="277"/>
      <c r="W320" s="277"/>
      <c r="X320" s="277"/>
      <c r="Y320" s="277"/>
      <c r="Z320" s="277"/>
    </row>
    <row r="321" ht="12.75" customHeight="1">
      <c r="A321" s="277"/>
      <c r="B321" s="278"/>
      <c r="C321" s="277"/>
      <c r="D321" s="277"/>
      <c r="E321" s="277"/>
      <c r="F321" s="277"/>
      <c r="G321" s="277"/>
      <c r="H321" s="277"/>
      <c r="I321" s="277"/>
      <c r="J321" s="277"/>
      <c r="K321" s="277"/>
      <c r="L321" s="277"/>
      <c r="M321" s="277"/>
      <c r="N321" s="277"/>
      <c r="O321" s="277"/>
      <c r="P321" s="277"/>
      <c r="Q321" s="277"/>
      <c r="R321" s="277"/>
      <c r="S321" s="410"/>
      <c r="T321" s="277"/>
      <c r="U321" s="277"/>
      <c r="V321" s="277"/>
      <c r="W321" s="277"/>
      <c r="X321" s="277"/>
      <c r="Y321" s="277"/>
      <c r="Z321" s="277"/>
    </row>
    <row r="322" ht="12.75" customHeight="1">
      <c r="A322" s="277"/>
      <c r="B322" s="278"/>
      <c r="C322" s="277"/>
      <c r="D322" s="277"/>
      <c r="E322" s="277"/>
      <c r="F322" s="277"/>
      <c r="G322" s="277"/>
      <c r="H322" s="277"/>
      <c r="I322" s="277"/>
      <c r="J322" s="277"/>
      <c r="K322" s="277"/>
      <c r="L322" s="277"/>
      <c r="M322" s="277"/>
      <c r="N322" s="277"/>
      <c r="O322" s="277"/>
      <c r="P322" s="277"/>
      <c r="Q322" s="277"/>
      <c r="R322" s="277"/>
      <c r="S322" s="410"/>
      <c r="T322" s="277"/>
      <c r="U322" s="277"/>
      <c r="V322" s="277"/>
      <c r="W322" s="277"/>
      <c r="X322" s="277"/>
      <c r="Y322" s="277"/>
      <c r="Z322" s="277"/>
    </row>
    <row r="323" ht="12.75" customHeight="1">
      <c r="A323" s="277"/>
      <c r="B323" s="278"/>
      <c r="C323" s="277"/>
      <c r="D323" s="277"/>
      <c r="E323" s="277"/>
      <c r="F323" s="277"/>
      <c r="G323" s="277"/>
      <c r="H323" s="277"/>
      <c r="I323" s="277"/>
      <c r="J323" s="277"/>
      <c r="K323" s="277"/>
      <c r="L323" s="277"/>
      <c r="M323" s="277"/>
      <c r="N323" s="277"/>
      <c r="O323" s="277"/>
      <c r="P323" s="277"/>
      <c r="Q323" s="277"/>
      <c r="R323" s="277"/>
      <c r="S323" s="410"/>
      <c r="T323" s="277"/>
      <c r="U323" s="277"/>
      <c r="V323" s="277"/>
      <c r="W323" s="277"/>
      <c r="X323" s="277"/>
      <c r="Y323" s="277"/>
      <c r="Z323" s="277"/>
    </row>
    <row r="324" ht="12.75" customHeight="1">
      <c r="A324" s="277"/>
      <c r="B324" s="278"/>
      <c r="C324" s="277"/>
      <c r="D324" s="277"/>
      <c r="E324" s="277"/>
      <c r="F324" s="277"/>
      <c r="G324" s="277"/>
      <c r="H324" s="277"/>
      <c r="I324" s="277"/>
      <c r="J324" s="277"/>
      <c r="K324" s="277"/>
      <c r="L324" s="277"/>
      <c r="M324" s="277"/>
      <c r="N324" s="277"/>
      <c r="O324" s="277"/>
      <c r="P324" s="277"/>
      <c r="Q324" s="277"/>
      <c r="R324" s="277"/>
      <c r="S324" s="410"/>
      <c r="T324" s="277"/>
      <c r="U324" s="277"/>
      <c r="V324" s="277"/>
      <c r="W324" s="277"/>
      <c r="X324" s="277"/>
      <c r="Y324" s="277"/>
      <c r="Z324" s="277"/>
    </row>
    <row r="325" ht="12.75" customHeight="1">
      <c r="A325" s="277"/>
      <c r="B325" s="278"/>
      <c r="C325" s="277"/>
      <c r="D325" s="277"/>
      <c r="E325" s="277"/>
      <c r="F325" s="277"/>
      <c r="G325" s="277"/>
      <c r="H325" s="277"/>
      <c r="I325" s="277"/>
      <c r="J325" s="277"/>
      <c r="K325" s="277"/>
      <c r="L325" s="277"/>
      <c r="M325" s="277"/>
      <c r="N325" s="277"/>
      <c r="O325" s="277"/>
      <c r="P325" s="277"/>
      <c r="Q325" s="277"/>
      <c r="R325" s="277"/>
      <c r="S325" s="410"/>
      <c r="T325" s="277"/>
      <c r="U325" s="277"/>
      <c r="V325" s="277"/>
      <c r="W325" s="277"/>
      <c r="X325" s="277"/>
      <c r="Y325" s="277"/>
      <c r="Z325" s="277"/>
    </row>
    <row r="326" ht="12.75" customHeight="1">
      <c r="A326" s="277"/>
      <c r="B326" s="278"/>
      <c r="C326" s="277"/>
      <c r="D326" s="277"/>
      <c r="E326" s="277"/>
      <c r="F326" s="277"/>
      <c r="G326" s="277"/>
      <c r="H326" s="277"/>
      <c r="I326" s="277"/>
      <c r="J326" s="277"/>
      <c r="K326" s="277"/>
      <c r="L326" s="277"/>
      <c r="M326" s="277"/>
      <c r="N326" s="277"/>
      <c r="O326" s="277"/>
      <c r="P326" s="277"/>
      <c r="Q326" s="277"/>
      <c r="R326" s="277"/>
      <c r="S326" s="410"/>
      <c r="T326" s="277"/>
      <c r="U326" s="277"/>
      <c r="V326" s="277"/>
      <c r="W326" s="277"/>
      <c r="X326" s="277"/>
      <c r="Y326" s="277"/>
      <c r="Z326" s="277"/>
    </row>
    <row r="327" ht="12.75" customHeight="1">
      <c r="A327" s="277"/>
      <c r="B327" s="278"/>
      <c r="C327" s="277"/>
      <c r="D327" s="277"/>
      <c r="E327" s="277"/>
      <c r="F327" s="277"/>
      <c r="G327" s="277"/>
      <c r="H327" s="277"/>
      <c r="I327" s="277"/>
      <c r="J327" s="277"/>
      <c r="K327" s="277"/>
      <c r="L327" s="277"/>
      <c r="M327" s="277"/>
      <c r="N327" s="277"/>
      <c r="O327" s="277"/>
      <c r="P327" s="277"/>
      <c r="Q327" s="277"/>
      <c r="R327" s="277"/>
      <c r="S327" s="410"/>
      <c r="T327" s="277"/>
      <c r="U327" s="277"/>
      <c r="V327" s="277"/>
      <c r="W327" s="277"/>
      <c r="X327" s="277"/>
      <c r="Y327" s="277"/>
      <c r="Z327" s="277"/>
    </row>
    <row r="328" ht="12.75" customHeight="1">
      <c r="A328" s="277"/>
      <c r="B328" s="278"/>
      <c r="C328" s="277"/>
      <c r="D328" s="277"/>
      <c r="E328" s="277"/>
      <c r="F328" s="277"/>
      <c r="G328" s="277"/>
      <c r="H328" s="277"/>
      <c r="I328" s="277"/>
      <c r="J328" s="277"/>
      <c r="K328" s="277"/>
      <c r="L328" s="277"/>
      <c r="M328" s="277"/>
      <c r="N328" s="277"/>
      <c r="O328" s="277"/>
      <c r="P328" s="277"/>
      <c r="Q328" s="277"/>
      <c r="R328" s="277"/>
      <c r="S328" s="410"/>
      <c r="T328" s="277"/>
      <c r="U328" s="277"/>
      <c r="V328" s="277"/>
      <c r="W328" s="277"/>
      <c r="X328" s="277"/>
      <c r="Y328" s="277"/>
      <c r="Z328" s="277"/>
    </row>
    <row r="329" ht="12.75" customHeight="1">
      <c r="A329" s="277"/>
      <c r="B329" s="278"/>
      <c r="C329" s="277"/>
      <c r="D329" s="277"/>
      <c r="E329" s="277"/>
      <c r="F329" s="277"/>
      <c r="G329" s="277"/>
      <c r="H329" s="277"/>
      <c r="I329" s="277"/>
      <c r="J329" s="277"/>
      <c r="K329" s="277"/>
      <c r="L329" s="277"/>
      <c r="M329" s="277"/>
      <c r="N329" s="277"/>
      <c r="O329" s="277"/>
      <c r="P329" s="277"/>
      <c r="Q329" s="277"/>
      <c r="R329" s="277"/>
      <c r="S329" s="410"/>
      <c r="T329" s="277"/>
      <c r="U329" s="277"/>
      <c r="V329" s="277"/>
      <c r="W329" s="277"/>
      <c r="X329" s="277"/>
      <c r="Y329" s="277"/>
      <c r="Z329" s="277"/>
    </row>
    <row r="330" ht="12.75" customHeight="1">
      <c r="A330" s="277"/>
      <c r="B330" s="278"/>
      <c r="C330" s="277"/>
      <c r="D330" s="277"/>
      <c r="E330" s="277"/>
      <c r="F330" s="277"/>
      <c r="G330" s="277"/>
      <c r="H330" s="277"/>
      <c r="I330" s="277"/>
      <c r="J330" s="277"/>
      <c r="K330" s="277"/>
      <c r="L330" s="277"/>
      <c r="M330" s="277"/>
      <c r="N330" s="277"/>
      <c r="O330" s="277"/>
      <c r="P330" s="277"/>
      <c r="Q330" s="277"/>
      <c r="R330" s="277"/>
      <c r="S330" s="410"/>
      <c r="T330" s="277"/>
      <c r="U330" s="277"/>
      <c r="V330" s="277"/>
      <c r="W330" s="277"/>
      <c r="X330" s="277"/>
      <c r="Y330" s="277"/>
      <c r="Z330" s="277"/>
    </row>
    <row r="331" ht="12.75" customHeight="1">
      <c r="A331" s="277"/>
      <c r="B331" s="278"/>
      <c r="C331" s="277"/>
      <c r="D331" s="277"/>
      <c r="E331" s="277"/>
      <c r="F331" s="277"/>
      <c r="G331" s="277"/>
      <c r="H331" s="277"/>
      <c r="I331" s="277"/>
      <c r="J331" s="277"/>
      <c r="K331" s="277"/>
      <c r="L331" s="277"/>
      <c r="M331" s="277"/>
      <c r="N331" s="277"/>
      <c r="O331" s="277"/>
      <c r="P331" s="277"/>
      <c r="Q331" s="277"/>
      <c r="R331" s="277"/>
      <c r="S331" s="410"/>
      <c r="T331" s="277"/>
      <c r="U331" s="277"/>
      <c r="V331" s="277"/>
      <c r="W331" s="277"/>
      <c r="X331" s="277"/>
      <c r="Y331" s="277"/>
      <c r="Z331" s="277"/>
    </row>
    <row r="332" ht="12.75" customHeight="1">
      <c r="A332" s="277"/>
      <c r="B332" s="278"/>
      <c r="C332" s="277"/>
      <c r="D332" s="277"/>
      <c r="E332" s="277"/>
      <c r="F332" s="277"/>
      <c r="G332" s="277"/>
      <c r="H332" s="277"/>
      <c r="I332" s="277"/>
      <c r="J332" s="277"/>
      <c r="K332" s="277"/>
      <c r="L332" s="277"/>
      <c r="M332" s="277"/>
      <c r="N332" s="277"/>
      <c r="O332" s="277"/>
      <c r="P332" s="277"/>
      <c r="Q332" s="277"/>
      <c r="R332" s="277"/>
      <c r="S332" s="410"/>
      <c r="T332" s="277"/>
      <c r="U332" s="277"/>
      <c r="V332" s="277"/>
      <c r="W332" s="277"/>
      <c r="X332" s="277"/>
      <c r="Y332" s="277"/>
      <c r="Z332" s="277"/>
    </row>
    <row r="333" ht="12.75" customHeight="1">
      <c r="A333" s="277"/>
      <c r="B333" s="278"/>
      <c r="C333" s="277"/>
      <c r="D333" s="277"/>
      <c r="E333" s="277"/>
      <c r="F333" s="277"/>
      <c r="G333" s="277"/>
      <c r="H333" s="277"/>
      <c r="I333" s="277"/>
      <c r="J333" s="277"/>
      <c r="K333" s="277"/>
      <c r="L333" s="277"/>
      <c r="M333" s="277"/>
      <c r="N333" s="277"/>
      <c r="O333" s="277"/>
      <c r="P333" s="277"/>
      <c r="Q333" s="277"/>
      <c r="R333" s="277"/>
      <c r="S333" s="410"/>
      <c r="T333" s="277"/>
      <c r="U333" s="277"/>
      <c r="V333" s="277"/>
      <c r="W333" s="277"/>
      <c r="X333" s="277"/>
      <c r="Y333" s="277"/>
      <c r="Z333" s="277"/>
    </row>
    <row r="334" ht="12.75" customHeight="1">
      <c r="A334" s="277"/>
      <c r="B334" s="278"/>
      <c r="C334" s="277"/>
      <c r="D334" s="277"/>
      <c r="E334" s="277"/>
      <c r="F334" s="277"/>
      <c r="G334" s="277"/>
      <c r="H334" s="277"/>
      <c r="I334" s="277"/>
      <c r="J334" s="277"/>
      <c r="K334" s="277"/>
      <c r="L334" s="277"/>
      <c r="M334" s="277"/>
      <c r="N334" s="277"/>
      <c r="O334" s="277"/>
      <c r="P334" s="277"/>
      <c r="Q334" s="277"/>
      <c r="R334" s="277"/>
      <c r="S334" s="410"/>
      <c r="T334" s="277"/>
      <c r="U334" s="277"/>
      <c r="V334" s="277"/>
      <c r="W334" s="277"/>
      <c r="X334" s="277"/>
      <c r="Y334" s="277"/>
      <c r="Z334" s="277"/>
    </row>
    <row r="335" ht="12.75" customHeight="1">
      <c r="A335" s="277"/>
      <c r="B335" s="278"/>
      <c r="C335" s="277"/>
      <c r="D335" s="277"/>
      <c r="E335" s="277"/>
      <c r="F335" s="277"/>
      <c r="G335" s="277"/>
      <c r="H335" s="277"/>
      <c r="I335" s="277"/>
      <c r="J335" s="277"/>
      <c r="K335" s="277"/>
      <c r="L335" s="277"/>
      <c r="M335" s="277"/>
      <c r="N335" s="277"/>
      <c r="O335" s="277"/>
      <c r="P335" s="277"/>
      <c r="Q335" s="277"/>
      <c r="R335" s="277"/>
      <c r="S335" s="410"/>
      <c r="T335" s="277"/>
      <c r="U335" s="277"/>
      <c r="V335" s="277"/>
      <c r="W335" s="277"/>
      <c r="X335" s="277"/>
      <c r="Y335" s="277"/>
      <c r="Z335" s="277"/>
    </row>
    <row r="336" ht="12.75" customHeight="1">
      <c r="A336" s="277"/>
      <c r="B336" s="278"/>
      <c r="C336" s="277"/>
      <c r="D336" s="277"/>
      <c r="E336" s="277"/>
      <c r="F336" s="277"/>
      <c r="G336" s="277"/>
      <c r="H336" s="277"/>
      <c r="I336" s="277"/>
      <c r="J336" s="277"/>
      <c r="K336" s="277"/>
      <c r="L336" s="277"/>
      <c r="M336" s="277"/>
      <c r="N336" s="277"/>
      <c r="O336" s="277"/>
      <c r="P336" s="277"/>
      <c r="Q336" s="277"/>
      <c r="R336" s="277"/>
      <c r="S336" s="410"/>
      <c r="T336" s="277"/>
      <c r="U336" s="277"/>
      <c r="V336" s="277"/>
      <c r="W336" s="277"/>
      <c r="X336" s="277"/>
      <c r="Y336" s="277"/>
      <c r="Z336" s="277"/>
    </row>
    <row r="337" ht="12.75" customHeight="1">
      <c r="A337" s="277"/>
      <c r="B337" s="278"/>
      <c r="C337" s="277"/>
      <c r="D337" s="277"/>
      <c r="E337" s="277"/>
      <c r="F337" s="277"/>
      <c r="G337" s="277"/>
      <c r="H337" s="277"/>
      <c r="I337" s="277"/>
      <c r="J337" s="277"/>
      <c r="K337" s="277"/>
      <c r="L337" s="277"/>
      <c r="M337" s="277"/>
      <c r="N337" s="277"/>
      <c r="O337" s="277"/>
      <c r="P337" s="277"/>
      <c r="Q337" s="277"/>
      <c r="R337" s="277"/>
      <c r="S337" s="410"/>
      <c r="T337" s="277"/>
      <c r="U337" s="277"/>
      <c r="V337" s="277"/>
      <c r="W337" s="277"/>
      <c r="X337" s="277"/>
      <c r="Y337" s="277"/>
      <c r="Z337" s="277"/>
    </row>
    <row r="338" ht="12.75" customHeight="1">
      <c r="A338" s="277"/>
      <c r="B338" s="278"/>
      <c r="C338" s="277"/>
      <c r="D338" s="277"/>
      <c r="E338" s="277"/>
      <c r="F338" s="277"/>
      <c r="G338" s="277"/>
      <c r="H338" s="277"/>
      <c r="I338" s="277"/>
      <c r="J338" s="277"/>
      <c r="K338" s="277"/>
      <c r="L338" s="277"/>
      <c r="M338" s="277"/>
      <c r="N338" s="277"/>
      <c r="O338" s="277"/>
      <c r="P338" s="277"/>
      <c r="Q338" s="277"/>
      <c r="R338" s="277"/>
      <c r="S338" s="410"/>
      <c r="T338" s="277"/>
      <c r="U338" s="277"/>
      <c r="V338" s="277"/>
      <c r="W338" s="277"/>
      <c r="X338" s="277"/>
      <c r="Y338" s="277"/>
      <c r="Z338" s="277"/>
    </row>
    <row r="339" ht="12.75" customHeight="1">
      <c r="A339" s="277"/>
      <c r="B339" s="278"/>
      <c r="C339" s="277"/>
      <c r="D339" s="277"/>
      <c r="E339" s="277"/>
      <c r="F339" s="277"/>
      <c r="G339" s="277"/>
      <c r="H339" s="277"/>
      <c r="I339" s="277"/>
      <c r="J339" s="277"/>
      <c r="K339" s="277"/>
      <c r="L339" s="277"/>
      <c r="M339" s="277"/>
      <c r="N339" s="277"/>
      <c r="O339" s="277"/>
      <c r="P339" s="277"/>
      <c r="Q339" s="277"/>
      <c r="R339" s="277"/>
      <c r="S339" s="410"/>
      <c r="T339" s="277"/>
      <c r="U339" s="277"/>
      <c r="V339" s="277"/>
      <c r="W339" s="277"/>
      <c r="X339" s="277"/>
      <c r="Y339" s="277"/>
      <c r="Z339" s="277"/>
    </row>
    <row r="340" ht="12.75" customHeight="1">
      <c r="A340" s="277"/>
      <c r="B340" s="278"/>
      <c r="C340" s="277"/>
      <c r="D340" s="277"/>
      <c r="E340" s="277"/>
      <c r="F340" s="277"/>
      <c r="G340" s="277"/>
      <c r="H340" s="277"/>
      <c r="I340" s="277"/>
      <c r="J340" s="277"/>
      <c r="K340" s="277"/>
      <c r="L340" s="277"/>
      <c r="M340" s="277"/>
      <c r="N340" s="277"/>
      <c r="O340" s="277"/>
      <c r="P340" s="277"/>
      <c r="Q340" s="277"/>
      <c r="R340" s="277"/>
      <c r="S340" s="410"/>
      <c r="T340" s="277"/>
      <c r="U340" s="277"/>
      <c r="V340" s="277"/>
      <c r="W340" s="277"/>
      <c r="X340" s="277"/>
      <c r="Y340" s="277"/>
      <c r="Z340" s="277"/>
    </row>
    <row r="341" ht="12.75" customHeight="1">
      <c r="A341" s="277"/>
      <c r="B341" s="278"/>
      <c r="C341" s="277"/>
      <c r="D341" s="277"/>
      <c r="E341" s="277"/>
      <c r="F341" s="277"/>
      <c r="G341" s="277"/>
      <c r="H341" s="277"/>
      <c r="I341" s="277"/>
      <c r="J341" s="277"/>
      <c r="K341" s="277"/>
      <c r="L341" s="277"/>
      <c r="M341" s="277"/>
      <c r="N341" s="277"/>
      <c r="O341" s="277"/>
      <c r="P341" s="277"/>
      <c r="Q341" s="277"/>
      <c r="R341" s="277"/>
      <c r="S341" s="410"/>
      <c r="T341" s="277"/>
      <c r="U341" s="277"/>
      <c r="V341" s="277"/>
      <c r="W341" s="277"/>
      <c r="X341" s="277"/>
      <c r="Y341" s="277"/>
      <c r="Z341" s="277"/>
    </row>
    <row r="342" ht="12.75" customHeight="1">
      <c r="A342" s="277"/>
      <c r="B342" s="278"/>
      <c r="C342" s="277"/>
      <c r="D342" s="277"/>
      <c r="E342" s="277"/>
      <c r="F342" s="277"/>
      <c r="G342" s="277"/>
      <c r="H342" s="277"/>
      <c r="I342" s="277"/>
      <c r="J342" s="277"/>
      <c r="K342" s="277"/>
      <c r="L342" s="277"/>
      <c r="M342" s="277"/>
      <c r="N342" s="277"/>
      <c r="O342" s="277"/>
      <c r="P342" s="277"/>
      <c r="Q342" s="277"/>
      <c r="R342" s="277"/>
      <c r="S342" s="410"/>
      <c r="T342" s="277"/>
      <c r="U342" s="277"/>
      <c r="V342" s="277"/>
      <c r="W342" s="277"/>
      <c r="X342" s="277"/>
      <c r="Y342" s="277"/>
      <c r="Z342" s="277"/>
    </row>
    <row r="343" ht="12.75" customHeight="1">
      <c r="A343" s="277"/>
      <c r="B343" s="278"/>
      <c r="C343" s="277"/>
      <c r="D343" s="277"/>
      <c r="E343" s="277"/>
      <c r="F343" s="277"/>
      <c r="G343" s="277"/>
      <c r="H343" s="277"/>
      <c r="I343" s="277"/>
      <c r="J343" s="277"/>
      <c r="K343" s="277"/>
      <c r="L343" s="277"/>
      <c r="M343" s="277"/>
      <c r="N343" s="277"/>
      <c r="O343" s="277"/>
      <c r="P343" s="277"/>
      <c r="Q343" s="277"/>
      <c r="R343" s="277"/>
      <c r="S343" s="410"/>
      <c r="T343" s="277"/>
      <c r="U343" s="277"/>
      <c r="V343" s="277"/>
      <c r="W343" s="277"/>
      <c r="X343" s="277"/>
      <c r="Y343" s="277"/>
      <c r="Z343" s="277"/>
    </row>
    <row r="344" ht="12.75" customHeight="1">
      <c r="A344" s="277"/>
      <c r="B344" s="278"/>
      <c r="C344" s="277"/>
      <c r="D344" s="277"/>
      <c r="E344" s="277"/>
      <c r="F344" s="277"/>
      <c r="G344" s="277"/>
      <c r="H344" s="277"/>
      <c r="I344" s="277"/>
      <c r="J344" s="277"/>
      <c r="K344" s="277"/>
      <c r="L344" s="277"/>
      <c r="M344" s="277"/>
      <c r="N344" s="277"/>
      <c r="O344" s="277"/>
      <c r="P344" s="277"/>
      <c r="Q344" s="277"/>
      <c r="R344" s="277"/>
      <c r="S344" s="410"/>
      <c r="T344" s="277"/>
      <c r="U344" s="277"/>
      <c r="V344" s="277"/>
      <c r="W344" s="277"/>
      <c r="X344" s="277"/>
      <c r="Y344" s="277"/>
      <c r="Z344" s="277"/>
    </row>
    <row r="345" ht="12.75" customHeight="1">
      <c r="A345" s="277"/>
      <c r="B345" s="278"/>
      <c r="C345" s="277"/>
      <c r="D345" s="277"/>
      <c r="E345" s="277"/>
      <c r="F345" s="277"/>
      <c r="G345" s="277"/>
      <c r="H345" s="277"/>
      <c r="I345" s="277"/>
      <c r="J345" s="277"/>
      <c r="K345" s="277"/>
      <c r="L345" s="277"/>
      <c r="M345" s="277"/>
      <c r="N345" s="277"/>
      <c r="O345" s="277"/>
      <c r="P345" s="277"/>
      <c r="Q345" s="277"/>
      <c r="R345" s="277"/>
      <c r="S345" s="410"/>
      <c r="T345" s="277"/>
      <c r="U345" s="277"/>
      <c r="V345" s="277"/>
      <c r="W345" s="277"/>
      <c r="X345" s="277"/>
      <c r="Y345" s="277"/>
      <c r="Z345" s="277"/>
    </row>
    <row r="346" ht="12.75" customHeight="1">
      <c r="A346" s="277"/>
      <c r="B346" s="278"/>
      <c r="C346" s="277"/>
      <c r="D346" s="277"/>
      <c r="E346" s="277"/>
      <c r="F346" s="277"/>
      <c r="G346" s="277"/>
      <c r="H346" s="277"/>
      <c r="I346" s="277"/>
      <c r="J346" s="277"/>
      <c r="K346" s="277"/>
      <c r="L346" s="277"/>
      <c r="M346" s="277"/>
      <c r="N346" s="277"/>
      <c r="O346" s="277"/>
      <c r="P346" s="277"/>
      <c r="Q346" s="277"/>
      <c r="R346" s="277"/>
      <c r="S346" s="410"/>
      <c r="T346" s="277"/>
      <c r="U346" s="277"/>
      <c r="V346" s="277"/>
      <c r="W346" s="277"/>
      <c r="X346" s="277"/>
      <c r="Y346" s="277"/>
      <c r="Z346" s="277"/>
    </row>
    <row r="347" ht="12.75" customHeight="1">
      <c r="A347" s="277"/>
      <c r="B347" s="278"/>
      <c r="C347" s="277"/>
      <c r="D347" s="277"/>
      <c r="E347" s="277"/>
      <c r="F347" s="277"/>
      <c r="G347" s="277"/>
      <c r="H347" s="277"/>
      <c r="I347" s="277"/>
      <c r="J347" s="277"/>
      <c r="K347" s="277"/>
      <c r="L347" s="277"/>
      <c r="M347" s="277"/>
      <c r="N347" s="277"/>
      <c r="O347" s="277"/>
      <c r="P347" s="277"/>
      <c r="Q347" s="277"/>
      <c r="R347" s="277"/>
      <c r="S347" s="410"/>
      <c r="T347" s="277"/>
      <c r="U347" s="277"/>
      <c r="V347" s="277"/>
      <c r="W347" s="277"/>
      <c r="X347" s="277"/>
      <c r="Y347" s="277"/>
      <c r="Z347" s="277"/>
    </row>
    <row r="348" ht="12.75" customHeight="1">
      <c r="A348" s="277"/>
      <c r="B348" s="278"/>
      <c r="C348" s="277"/>
      <c r="D348" s="277"/>
      <c r="E348" s="277"/>
      <c r="F348" s="277"/>
      <c r="G348" s="277"/>
      <c r="H348" s="277"/>
      <c r="I348" s="277"/>
      <c r="J348" s="277"/>
      <c r="K348" s="277"/>
      <c r="L348" s="277"/>
      <c r="M348" s="277"/>
      <c r="N348" s="277"/>
      <c r="O348" s="277"/>
      <c r="P348" s="277"/>
      <c r="Q348" s="277"/>
      <c r="R348" s="277"/>
      <c r="S348" s="410"/>
      <c r="T348" s="277"/>
      <c r="U348" s="277"/>
      <c r="V348" s="277"/>
      <c r="W348" s="277"/>
      <c r="X348" s="277"/>
      <c r="Y348" s="277"/>
      <c r="Z348" s="277"/>
    </row>
    <row r="349" ht="12.75" customHeight="1">
      <c r="A349" s="277"/>
      <c r="B349" s="278"/>
      <c r="C349" s="277"/>
      <c r="D349" s="277"/>
      <c r="E349" s="277"/>
      <c r="F349" s="277"/>
      <c r="G349" s="277"/>
      <c r="H349" s="277"/>
      <c r="I349" s="277"/>
      <c r="J349" s="277"/>
      <c r="K349" s="277"/>
      <c r="L349" s="277"/>
      <c r="M349" s="277"/>
      <c r="N349" s="277"/>
      <c r="O349" s="277"/>
      <c r="P349" s="277"/>
      <c r="Q349" s="277"/>
      <c r="R349" s="277"/>
      <c r="S349" s="410"/>
      <c r="T349" s="277"/>
      <c r="U349" s="277"/>
      <c r="V349" s="277"/>
      <c r="W349" s="277"/>
      <c r="X349" s="277"/>
      <c r="Y349" s="277"/>
      <c r="Z349" s="277"/>
    </row>
    <row r="350" ht="12.75" customHeight="1">
      <c r="A350" s="277"/>
      <c r="B350" s="278"/>
      <c r="C350" s="277"/>
      <c r="D350" s="277"/>
      <c r="E350" s="277"/>
      <c r="F350" s="277"/>
      <c r="G350" s="277"/>
      <c r="H350" s="277"/>
      <c r="I350" s="277"/>
      <c r="J350" s="277"/>
      <c r="K350" s="277"/>
      <c r="L350" s="277"/>
      <c r="M350" s="277"/>
      <c r="N350" s="277"/>
      <c r="O350" s="277"/>
      <c r="P350" s="277"/>
      <c r="Q350" s="277"/>
      <c r="R350" s="277"/>
      <c r="S350" s="410"/>
      <c r="T350" s="277"/>
      <c r="U350" s="277"/>
      <c r="V350" s="277"/>
      <c r="W350" s="277"/>
      <c r="X350" s="277"/>
      <c r="Y350" s="277"/>
      <c r="Z350" s="277"/>
    </row>
    <row r="351" ht="12.75" customHeight="1">
      <c r="A351" s="277"/>
      <c r="B351" s="278"/>
      <c r="C351" s="277"/>
      <c r="D351" s="277"/>
      <c r="E351" s="277"/>
      <c r="F351" s="277"/>
      <c r="G351" s="277"/>
      <c r="H351" s="277"/>
      <c r="I351" s="277"/>
      <c r="J351" s="277"/>
      <c r="K351" s="277"/>
      <c r="L351" s="277"/>
      <c r="M351" s="277"/>
      <c r="N351" s="277"/>
      <c r="O351" s="277"/>
      <c r="P351" s="277"/>
      <c r="Q351" s="277"/>
      <c r="R351" s="277"/>
      <c r="S351" s="410"/>
      <c r="T351" s="277"/>
      <c r="U351" s="277"/>
      <c r="V351" s="277"/>
      <c r="W351" s="277"/>
      <c r="X351" s="277"/>
      <c r="Y351" s="277"/>
      <c r="Z351" s="277"/>
    </row>
    <row r="352" ht="12.75" customHeight="1">
      <c r="A352" s="277"/>
      <c r="B352" s="278"/>
      <c r="C352" s="277"/>
      <c r="D352" s="277"/>
      <c r="E352" s="277"/>
      <c r="F352" s="277"/>
      <c r="G352" s="277"/>
      <c r="H352" s="277"/>
      <c r="I352" s="277"/>
      <c r="J352" s="277"/>
      <c r="K352" s="277"/>
      <c r="L352" s="277"/>
      <c r="M352" s="277"/>
      <c r="N352" s="277"/>
      <c r="O352" s="277"/>
      <c r="P352" s="277"/>
      <c r="Q352" s="277"/>
      <c r="R352" s="277"/>
      <c r="S352" s="410"/>
      <c r="T352" s="277"/>
      <c r="U352" s="277"/>
      <c r="V352" s="277"/>
      <c r="W352" s="277"/>
      <c r="X352" s="277"/>
      <c r="Y352" s="277"/>
      <c r="Z352" s="277"/>
    </row>
    <row r="353" ht="12.75" customHeight="1">
      <c r="A353" s="277"/>
      <c r="B353" s="278"/>
      <c r="C353" s="277"/>
      <c r="D353" s="277"/>
      <c r="E353" s="277"/>
      <c r="F353" s="277"/>
      <c r="G353" s="277"/>
      <c r="H353" s="277"/>
      <c r="I353" s="277"/>
      <c r="J353" s="277"/>
      <c r="K353" s="277"/>
      <c r="L353" s="277"/>
      <c r="M353" s="277"/>
      <c r="N353" s="277"/>
      <c r="O353" s="277"/>
      <c r="P353" s="277"/>
      <c r="Q353" s="277"/>
      <c r="R353" s="277"/>
      <c r="S353" s="410"/>
      <c r="T353" s="277"/>
      <c r="U353" s="277"/>
      <c r="V353" s="277"/>
      <c r="W353" s="277"/>
      <c r="X353" s="277"/>
      <c r="Y353" s="277"/>
      <c r="Z353" s="277"/>
    </row>
    <row r="354" ht="12.75" customHeight="1">
      <c r="A354" s="277"/>
      <c r="B354" s="278"/>
      <c r="C354" s="277"/>
      <c r="D354" s="277"/>
      <c r="E354" s="277"/>
      <c r="F354" s="277"/>
      <c r="G354" s="277"/>
      <c r="H354" s="277"/>
      <c r="I354" s="277"/>
      <c r="J354" s="277"/>
      <c r="K354" s="277"/>
      <c r="L354" s="277"/>
      <c r="M354" s="277"/>
      <c r="N354" s="277"/>
      <c r="O354" s="277"/>
      <c r="P354" s="277"/>
      <c r="Q354" s="277"/>
      <c r="R354" s="277"/>
      <c r="S354" s="410"/>
      <c r="T354" s="277"/>
      <c r="U354" s="277"/>
      <c r="V354" s="277"/>
      <c r="W354" s="277"/>
      <c r="X354" s="277"/>
      <c r="Y354" s="277"/>
      <c r="Z354" s="277"/>
    </row>
    <row r="355" ht="12.75" customHeight="1">
      <c r="A355" s="277"/>
      <c r="B355" s="278"/>
      <c r="C355" s="277"/>
      <c r="D355" s="277"/>
      <c r="E355" s="277"/>
      <c r="F355" s="277"/>
      <c r="G355" s="277"/>
      <c r="H355" s="277"/>
      <c r="I355" s="277"/>
      <c r="J355" s="277"/>
      <c r="K355" s="277"/>
      <c r="L355" s="277"/>
      <c r="M355" s="277"/>
      <c r="N355" s="277"/>
      <c r="O355" s="277"/>
      <c r="P355" s="277"/>
      <c r="Q355" s="277"/>
      <c r="R355" s="277"/>
      <c r="S355" s="410"/>
      <c r="T355" s="277"/>
      <c r="U355" s="277"/>
      <c r="V355" s="277"/>
      <c r="W355" s="277"/>
      <c r="X355" s="277"/>
      <c r="Y355" s="277"/>
      <c r="Z355" s="277"/>
    </row>
    <row r="356" ht="12.75" customHeight="1">
      <c r="A356" s="277"/>
      <c r="B356" s="278"/>
      <c r="C356" s="277"/>
      <c r="D356" s="277"/>
      <c r="E356" s="277"/>
      <c r="F356" s="277"/>
      <c r="G356" s="277"/>
      <c r="H356" s="277"/>
      <c r="I356" s="277"/>
      <c r="J356" s="277"/>
      <c r="K356" s="277"/>
      <c r="L356" s="277"/>
      <c r="M356" s="277"/>
      <c r="N356" s="277"/>
      <c r="O356" s="277"/>
      <c r="P356" s="277"/>
      <c r="Q356" s="277"/>
      <c r="R356" s="277"/>
      <c r="S356" s="410"/>
      <c r="T356" s="277"/>
      <c r="U356" s="277"/>
      <c r="V356" s="277"/>
      <c r="W356" s="277"/>
      <c r="X356" s="277"/>
      <c r="Y356" s="277"/>
      <c r="Z356" s="277"/>
    </row>
    <row r="357" ht="12.75" customHeight="1">
      <c r="A357" s="277"/>
      <c r="B357" s="278"/>
      <c r="C357" s="277"/>
      <c r="D357" s="277"/>
      <c r="E357" s="277"/>
      <c r="F357" s="277"/>
      <c r="G357" s="277"/>
      <c r="H357" s="277"/>
      <c r="I357" s="277"/>
      <c r="J357" s="277"/>
      <c r="K357" s="277"/>
      <c r="L357" s="277"/>
      <c r="M357" s="277"/>
      <c r="N357" s="277"/>
      <c r="O357" s="277"/>
      <c r="P357" s="277"/>
      <c r="Q357" s="277"/>
      <c r="R357" s="277"/>
      <c r="S357" s="410"/>
      <c r="T357" s="277"/>
      <c r="U357" s="277"/>
      <c r="V357" s="277"/>
      <c r="W357" s="277"/>
      <c r="X357" s="277"/>
      <c r="Y357" s="277"/>
      <c r="Z357" s="277"/>
    </row>
    <row r="358" ht="12.75" customHeight="1">
      <c r="A358" s="277"/>
      <c r="B358" s="278"/>
      <c r="C358" s="277"/>
      <c r="D358" s="277"/>
      <c r="E358" s="277"/>
      <c r="F358" s="277"/>
      <c r="G358" s="277"/>
      <c r="H358" s="277"/>
      <c r="I358" s="277"/>
      <c r="J358" s="277"/>
      <c r="K358" s="277"/>
      <c r="L358" s="277"/>
      <c r="M358" s="277"/>
      <c r="N358" s="277"/>
      <c r="O358" s="277"/>
      <c r="P358" s="277"/>
      <c r="Q358" s="277"/>
      <c r="R358" s="277"/>
      <c r="S358" s="410"/>
      <c r="T358" s="277"/>
      <c r="U358" s="277"/>
      <c r="V358" s="277"/>
      <c r="W358" s="277"/>
      <c r="X358" s="277"/>
      <c r="Y358" s="277"/>
      <c r="Z358" s="277"/>
    </row>
    <row r="359" ht="12.75" customHeight="1">
      <c r="A359" s="277"/>
      <c r="B359" s="278"/>
      <c r="C359" s="277"/>
      <c r="D359" s="277"/>
      <c r="E359" s="277"/>
      <c r="F359" s="277"/>
      <c r="G359" s="277"/>
      <c r="H359" s="277"/>
      <c r="I359" s="277"/>
      <c r="J359" s="277"/>
      <c r="K359" s="277"/>
      <c r="L359" s="277"/>
      <c r="M359" s="277"/>
      <c r="N359" s="277"/>
      <c r="O359" s="277"/>
      <c r="P359" s="277"/>
      <c r="Q359" s="277"/>
      <c r="R359" s="277"/>
      <c r="S359" s="410"/>
      <c r="T359" s="277"/>
      <c r="U359" s="277"/>
      <c r="V359" s="277"/>
      <c r="W359" s="277"/>
      <c r="X359" s="277"/>
      <c r="Y359" s="277"/>
      <c r="Z359" s="277"/>
    </row>
    <row r="360" ht="12.75" customHeight="1">
      <c r="A360" s="277"/>
      <c r="B360" s="278"/>
      <c r="C360" s="277"/>
      <c r="D360" s="277"/>
      <c r="E360" s="277"/>
      <c r="F360" s="277"/>
      <c r="G360" s="277"/>
      <c r="H360" s="277"/>
      <c r="I360" s="277"/>
      <c r="J360" s="277"/>
      <c r="K360" s="277"/>
      <c r="L360" s="277"/>
      <c r="M360" s="277"/>
      <c r="N360" s="277"/>
      <c r="O360" s="277"/>
      <c r="P360" s="277"/>
      <c r="Q360" s="277"/>
      <c r="R360" s="277"/>
      <c r="S360" s="410"/>
      <c r="T360" s="277"/>
      <c r="U360" s="277"/>
      <c r="V360" s="277"/>
      <c r="W360" s="277"/>
      <c r="X360" s="277"/>
      <c r="Y360" s="277"/>
      <c r="Z360" s="277"/>
    </row>
    <row r="361" ht="12.75" customHeight="1">
      <c r="A361" s="277"/>
      <c r="B361" s="278"/>
      <c r="C361" s="277"/>
      <c r="D361" s="277"/>
      <c r="E361" s="277"/>
      <c r="F361" s="277"/>
      <c r="G361" s="277"/>
      <c r="H361" s="277"/>
      <c r="I361" s="277"/>
      <c r="J361" s="277"/>
      <c r="K361" s="277"/>
      <c r="L361" s="277"/>
      <c r="M361" s="277"/>
      <c r="N361" s="277"/>
      <c r="O361" s="277"/>
      <c r="P361" s="277"/>
      <c r="Q361" s="277"/>
      <c r="R361" s="277"/>
      <c r="S361" s="410"/>
      <c r="T361" s="277"/>
      <c r="U361" s="277"/>
      <c r="V361" s="277"/>
      <c r="W361" s="277"/>
      <c r="X361" s="277"/>
      <c r="Y361" s="277"/>
      <c r="Z361" s="277"/>
    </row>
    <row r="362" ht="12.75" customHeight="1">
      <c r="A362" s="277"/>
      <c r="B362" s="278"/>
      <c r="C362" s="277"/>
      <c r="D362" s="277"/>
      <c r="E362" s="277"/>
      <c r="F362" s="277"/>
      <c r="G362" s="277"/>
      <c r="H362" s="277"/>
      <c r="I362" s="277"/>
      <c r="J362" s="277"/>
      <c r="K362" s="277"/>
      <c r="L362" s="277"/>
      <c r="M362" s="277"/>
      <c r="N362" s="277"/>
      <c r="O362" s="277"/>
      <c r="P362" s="277"/>
      <c r="Q362" s="277"/>
      <c r="R362" s="277"/>
      <c r="S362" s="410"/>
      <c r="T362" s="277"/>
      <c r="U362" s="277"/>
      <c r="V362" s="277"/>
      <c r="W362" s="277"/>
      <c r="X362" s="277"/>
      <c r="Y362" s="277"/>
      <c r="Z362" s="277"/>
    </row>
    <row r="363" ht="12.75" customHeight="1">
      <c r="A363" s="277"/>
      <c r="B363" s="278"/>
      <c r="C363" s="277"/>
      <c r="D363" s="277"/>
      <c r="E363" s="277"/>
      <c r="F363" s="277"/>
      <c r="G363" s="277"/>
      <c r="H363" s="277"/>
      <c r="I363" s="277"/>
      <c r="J363" s="277"/>
      <c r="K363" s="277"/>
      <c r="L363" s="277"/>
      <c r="M363" s="277"/>
      <c r="N363" s="277"/>
      <c r="O363" s="277"/>
      <c r="P363" s="277"/>
      <c r="Q363" s="277"/>
      <c r="R363" s="277"/>
      <c r="S363" s="410"/>
      <c r="T363" s="277"/>
      <c r="U363" s="277"/>
      <c r="V363" s="277"/>
      <c r="W363" s="277"/>
      <c r="X363" s="277"/>
      <c r="Y363" s="277"/>
      <c r="Z363" s="277"/>
    </row>
    <row r="364" ht="12.75" customHeight="1">
      <c r="A364" s="277"/>
      <c r="B364" s="278"/>
      <c r="C364" s="277"/>
      <c r="D364" s="277"/>
      <c r="E364" s="277"/>
      <c r="F364" s="277"/>
      <c r="G364" s="277"/>
      <c r="H364" s="277"/>
      <c r="I364" s="277"/>
      <c r="J364" s="277"/>
      <c r="K364" s="277"/>
      <c r="L364" s="277"/>
      <c r="M364" s="277"/>
      <c r="N364" s="277"/>
      <c r="O364" s="277"/>
      <c r="P364" s="277"/>
      <c r="Q364" s="277"/>
      <c r="R364" s="277"/>
      <c r="S364" s="410"/>
      <c r="T364" s="277"/>
      <c r="U364" s="277"/>
      <c r="V364" s="277"/>
      <c r="W364" s="277"/>
      <c r="X364" s="277"/>
      <c r="Y364" s="277"/>
      <c r="Z364" s="277"/>
    </row>
    <row r="365" ht="12.75" customHeight="1">
      <c r="A365" s="277"/>
      <c r="B365" s="278"/>
      <c r="C365" s="277"/>
      <c r="D365" s="277"/>
      <c r="E365" s="277"/>
      <c r="F365" s="277"/>
      <c r="G365" s="277"/>
      <c r="H365" s="277"/>
      <c r="I365" s="277"/>
      <c r="J365" s="277"/>
      <c r="K365" s="277"/>
      <c r="L365" s="277"/>
      <c r="M365" s="277"/>
      <c r="N365" s="277"/>
      <c r="O365" s="277"/>
      <c r="P365" s="277"/>
      <c r="Q365" s="277"/>
      <c r="R365" s="277"/>
      <c r="S365" s="410"/>
      <c r="T365" s="277"/>
      <c r="U365" s="277"/>
      <c r="V365" s="277"/>
      <c r="W365" s="277"/>
      <c r="X365" s="277"/>
      <c r="Y365" s="277"/>
      <c r="Z365" s="277"/>
    </row>
    <row r="366" ht="12.75" customHeight="1">
      <c r="A366" s="277"/>
      <c r="B366" s="278"/>
      <c r="C366" s="277"/>
      <c r="D366" s="277"/>
      <c r="E366" s="277"/>
      <c r="F366" s="277"/>
      <c r="G366" s="277"/>
      <c r="H366" s="277"/>
      <c r="I366" s="277"/>
      <c r="J366" s="277"/>
      <c r="K366" s="277"/>
      <c r="L366" s="277"/>
      <c r="M366" s="277"/>
      <c r="N366" s="277"/>
      <c r="O366" s="277"/>
      <c r="P366" s="277"/>
      <c r="Q366" s="277"/>
      <c r="R366" s="277"/>
      <c r="S366" s="410"/>
      <c r="T366" s="277"/>
      <c r="U366" s="277"/>
      <c r="V366" s="277"/>
      <c r="W366" s="277"/>
      <c r="X366" s="277"/>
      <c r="Y366" s="277"/>
      <c r="Z366" s="277"/>
    </row>
    <row r="367" ht="12.75" customHeight="1">
      <c r="A367" s="277"/>
      <c r="B367" s="278"/>
      <c r="C367" s="277"/>
      <c r="D367" s="277"/>
      <c r="E367" s="277"/>
      <c r="F367" s="277"/>
      <c r="G367" s="277"/>
      <c r="H367" s="277"/>
      <c r="I367" s="277"/>
      <c r="J367" s="277"/>
      <c r="K367" s="277"/>
      <c r="L367" s="277"/>
      <c r="M367" s="277"/>
      <c r="N367" s="277"/>
      <c r="O367" s="277"/>
      <c r="P367" s="277"/>
      <c r="Q367" s="277"/>
      <c r="R367" s="277"/>
      <c r="S367" s="410"/>
      <c r="T367" s="277"/>
      <c r="U367" s="277"/>
      <c r="V367" s="277"/>
      <c r="W367" s="277"/>
      <c r="X367" s="277"/>
      <c r="Y367" s="277"/>
      <c r="Z367" s="277"/>
    </row>
    <row r="368" ht="12.75" customHeight="1">
      <c r="A368" s="277"/>
      <c r="B368" s="278"/>
      <c r="C368" s="277"/>
      <c r="D368" s="277"/>
      <c r="E368" s="277"/>
      <c r="F368" s="277"/>
      <c r="G368" s="277"/>
      <c r="H368" s="277"/>
      <c r="I368" s="277"/>
      <c r="J368" s="277"/>
      <c r="K368" s="277"/>
      <c r="L368" s="277"/>
      <c r="M368" s="277"/>
      <c r="N368" s="277"/>
      <c r="O368" s="277"/>
      <c r="P368" s="277"/>
      <c r="Q368" s="277"/>
      <c r="R368" s="277"/>
      <c r="S368" s="410"/>
      <c r="T368" s="277"/>
      <c r="U368" s="277"/>
      <c r="V368" s="277"/>
      <c r="W368" s="277"/>
      <c r="X368" s="277"/>
      <c r="Y368" s="277"/>
      <c r="Z368" s="277"/>
    </row>
    <row r="369" ht="12.75" customHeight="1">
      <c r="A369" s="277"/>
      <c r="B369" s="278"/>
      <c r="C369" s="277"/>
      <c r="D369" s="277"/>
      <c r="E369" s="277"/>
      <c r="F369" s="277"/>
      <c r="G369" s="277"/>
      <c r="H369" s="277"/>
      <c r="I369" s="277"/>
      <c r="J369" s="277"/>
      <c r="K369" s="277"/>
      <c r="L369" s="277"/>
      <c r="M369" s="277"/>
      <c r="N369" s="277"/>
      <c r="O369" s="277"/>
      <c r="P369" s="277"/>
      <c r="Q369" s="277"/>
      <c r="R369" s="277"/>
      <c r="S369" s="410"/>
      <c r="T369" s="277"/>
      <c r="U369" s="277"/>
      <c r="V369" s="277"/>
      <c r="W369" s="277"/>
      <c r="X369" s="277"/>
      <c r="Y369" s="277"/>
      <c r="Z369" s="277"/>
    </row>
    <row r="370" ht="12.75" customHeight="1">
      <c r="A370" s="277"/>
      <c r="B370" s="278"/>
      <c r="C370" s="277"/>
      <c r="D370" s="277"/>
      <c r="E370" s="277"/>
      <c r="F370" s="277"/>
      <c r="G370" s="277"/>
      <c r="H370" s="277"/>
      <c r="I370" s="277"/>
      <c r="J370" s="277"/>
      <c r="K370" s="277"/>
      <c r="L370" s="277"/>
      <c r="M370" s="277"/>
      <c r="N370" s="277"/>
      <c r="O370" s="277"/>
      <c r="P370" s="277"/>
      <c r="Q370" s="277"/>
      <c r="R370" s="277"/>
      <c r="S370" s="410"/>
      <c r="T370" s="277"/>
      <c r="U370" s="277"/>
      <c r="V370" s="277"/>
      <c r="W370" s="277"/>
      <c r="X370" s="277"/>
      <c r="Y370" s="277"/>
      <c r="Z370" s="277"/>
    </row>
    <row r="371" ht="12.75" customHeight="1">
      <c r="A371" s="277"/>
      <c r="B371" s="278"/>
      <c r="C371" s="277"/>
      <c r="D371" s="277"/>
      <c r="E371" s="277"/>
      <c r="F371" s="277"/>
      <c r="G371" s="277"/>
      <c r="H371" s="277"/>
      <c r="I371" s="277"/>
      <c r="J371" s="277"/>
      <c r="K371" s="277"/>
      <c r="L371" s="277"/>
      <c r="M371" s="277"/>
      <c r="N371" s="277"/>
      <c r="O371" s="277"/>
      <c r="P371" s="277"/>
      <c r="Q371" s="277"/>
      <c r="R371" s="277"/>
      <c r="S371" s="410"/>
      <c r="T371" s="277"/>
      <c r="U371" s="277"/>
      <c r="V371" s="277"/>
      <c r="W371" s="277"/>
      <c r="X371" s="277"/>
      <c r="Y371" s="277"/>
      <c r="Z371" s="277"/>
    </row>
    <row r="372" ht="12.75" customHeight="1">
      <c r="A372" s="277"/>
      <c r="B372" s="278"/>
      <c r="C372" s="277"/>
      <c r="D372" s="277"/>
      <c r="E372" s="277"/>
      <c r="F372" s="277"/>
      <c r="G372" s="277"/>
      <c r="H372" s="277"/>
      <c r="I372" s="277"/>
      <c r="J372" s="277"/>
      <c r="K372" s="277"/>
      <c r="L372" s="277"/>
      <c r="M372" s="277"/>
      <c r="N372" s="277"/>
      <c r="O372" s="277"/>
      <c r="P372" s="277"/>
      <c r="Q372" s="277"/>
      <c r="R372" s="277"/>
      <c r="S372" s="410"/>
      <c r="T372" s="277"/>
      <c r="U372" s="277"/>
      <c r="V372" s="277"/>
      <c r="W372" s="277"/>
      <c r="X372" s="277"/>
      <c r="Y372" s="277"/>
      <c r="Z372" s="277"/>
    </row>
    <row r="373" ht="12.75" customHeight="1">
      <c r="A373" s="277"/>
      <c r="B373" s="278"/>
      <c r="C373" s="277"/>
      <c r="D373" s="277"/>
      <c r="E373" s="277"/>
      <c r="F373" s="277"/>
      <c r="G373" s="277"/>
      <c r="H373" s="277"/>
      <c r="I373" s="277"/>
      <c r="J373" s="277"/>
      <c r="K373" s="277"/>
      <c r="L373" s="277"/>
      <c r="M373" s="277"/>
      <c r="N373" s="277"/>
      <c r="O373" s="277"/>
      <c r="P373" s="277"/>
      <c r="Q373" s="277"/>
      <c r="R373" s="277"/>
      <c r="S373" s="410"/>
      <c r="T373" s="277"/>
      <c r="U373" s="277"/>
      <c r="V373" s="277"/>
      <c r="W373" s="277"/>
      <c r="X373" s="277"/>
      <c r="Y373" s="277"/>
      <c r="Z373" s="277"/>
    </row>
    <row r="374" ht="12.75" customHeight="1">
      <c r="A374" s="277"/>
      <c r="B374" s="278"/>
      <c r="C374" s="277"/>
      <c r="D374" s="277"/>
      <c r="E374" s="277"/>
      <c r="F374" s="277"/>
      <c r="G374" s="277"/>
      <c r="H374" s="277"/>
      <c r="I374" s="277"/>
      <c r="J374" s="277"/>
      <c r="K374" s="277"/>
      <c r="L374" s="277"/>
      <c r="M374" s="277"/>
      <c r="N374" s="277"/>
      <c r="O374" s="277"/>
      <c r="P374" s="277"/>
      <c r="Q374" s="277"/>
      <c r="R374" s="277"/>
      <c r="S374" s="410"/>
      <c r="T374" s="277"/>
      <c r="U374" s="277"/>
      <c r="V374" s="277"/>
      <c r="W374" s="277"/>
      <c r="X374" s="277"/>
      <c r="Y374" s="277"/>
      <c r="Z374" s="277"/>
    </row>
    <row r="375" ht="12.75" customHeight="1">
      <c r="A375" s="277"/>
      <c r="B375" s="278"/>
      <c r="C375" s="277"/>
      <c r="D375" s="277"/>
      <c r="E375" s="277"/>
      <c r="F375" s="277"/>
      <c r="G375" s="277"/>
      <c r="H375" s="277"/>
      <c r="I375" s="277"/>
      <c r="J375" s="277"/>
      <c r="K375" s="277"/>
      <c r="L375" s="277"/>
      <c r="M375" s="277"/>
      <c r="N375" s="277"/>
      <c r="O375" s="277"/>
      <c r="P375" s="277"/>
      <c r="Q375" s="277"/>
      <c r="R375" s="277"/>
      <c r="S375" s="410"/>
      <c r="T375" s="277"/>
      <c r="U375" s="277"/>
      <c r="V375" s="277"/>
      <c r="W375" s="277"/>
      <c r="X375" s="277"/>
      <c r="Y375" s="277"/>
      <c r="Z375" s="277"/>
    </row>
    <row r="376" ht="12.75" customHeight="1">
      <c r="A376" s="277"/>
      <c r="B376" s="278"/>
      <c r="C376" s="277"/>
      <c r="D376" s="277"/>
      <c r="E376" s="277"/>
      <c r="F376" s="277"/>
      <c r="G376" s="277"/>
      <c r="H376" s="277"/>
      <c r="I376" s="277"/>
      <c r="J376" s="277"/>
      <c r="K376" s="277"/>
      <c r="L376" s="277"/>
      <c r="M376" s="277"/>
      <c r="N376" s="277"/>
      <c r="O376" s="277"/>
      <c r="P376" s="277"/>
      <c r="Q376" s="277"/>
      <c r="R376" s="277"/>
      <c r="S376" s="410"/>
      <c r="T376" s="277"/>
      <c r="U376" s="277"/>
      <c r="V376" s="277"/>
      <c r="W376" s="277"/>
      <c r="X376" s="277"/>
      <c r="Y376" s="277"/>
      <c r="Z376" s="277"/>
    </row>
    <row r="377" ht="12.75" customHeight="1">
      <c r="A377" s="277"/>
      <c r="B377" s="278"/>
      <c r="C377" s="277"/>
      <c r="D377" s="277"/>
      <c r="E377" s="277"/>
      <c r="F377" s="277"/>
      <c r="G377" s="277"/>
      <c r="H377" s="277"/>
      <c r="I377" s="277"/>
      <c r="J377" s="277"/>
      <c r="K377" s="277"/>
      <c r="L377" s="277"/>
      <c r="M377" s="277"/>
      <c r="N377" s="277"/>
      <c r="O377" s="277"/>
      <c r="P377" s="277"/>
      <c r="Q377" s="277"/>
      <c r="R377" s="277"/>
      <c r="S377" s="410"/>
      <c r="T377" s="277"/>
      <c r="U377" s="277"/>
      <c r="V377" s="277"/>
      <c r="W377" s="277"/>
      <c r="X377" s="277"/>
      <c r="Y377" s="277"/>
      <c r="Z377" s="277"/>
    </row>
    <row r="378" ht="12.75" customHeight="1">
      <c r="A378" s="277"/>
      <c r="B378" s="278"/>
      <c r="C378" s="277"/>
      <c r="D378" s="277"/>
      <c r="E378" s="277"/>
      <c r="F378" s="277"/>
      <c r="G378" s="277"/>
      <c r="H378" s="277"/>
      <c r="I378" s="277"/>
      <c r="J378" s="277"/>
      <c r="K378" s="277"/>
      <c r="L378" s="277"/>
      <c r="M378" s="277"/>
      <c r="N378" s="277"/>
      <c r="O378" s="277"/>
      <c r="P378" s="277"/>
      <c r="Q378" s="277"/>
      <c r="R378" s="277"/>
      <c r="S378" s="410"/>
      <c r="T378" s="277"/>
      <c r="U378" s="277"/>
      <c r="V378" s="277"/>
      <c r="W378" s="277"/>
      <c r="X378" s="277"/>
      <c r="Y378" s="277"/>
      <c r="Z378" s="277"/>
    </row>
    <row r="379" ht="12.75" customHeight="1">
      <c r="A379" s="277"/>
      <c r="B379" s="278"/>
      <c r="C379" s="277"/>
      <c r="D379" s="277"/>
      <c r="E379" s="277"/>
      <c r="F379" s="277"/>
      <c r="G379" s="277"/>
      <c r="H379" s="277"/>
      <c r="I379" s="277"/>
      <c r="J379" s="277"/>
      <c r="K379" s="277"/>
      <c r="L379" s="277"/>
      <c r="M379" s="277"/>
      <c r="N379" s="277"/>
      <c r="O379" s="277"/>
      <c r="P379" s="277"/>
      <c r="Q379" s="277"/>
      <c r="R379" s="277"/>
      <c r="S379" s="410"/>
      <c r="T379" s="277"/>
      <c r="U379" s="277"/>
      <c r="V379" s="277"/>
      <c r="W379" s="277"/>
      <c r="X379" s="277"/>
      <c r="Y379" s="277"/>
      <c r="Z379" s="277"/>
    </row>
    <row r="380" ht="12.75" customHeight="1">
      <c r="A380" s="277"/>
      <c r="B380" s="278"/>
      <c r="C380" s="277"/>
      <c r="D380" s="277"/>
      <c r="E380" s="277"/>
      <c r="F380" s="277"/>
      <c r="G380" s="277"/>
      <c r="H380" s="277"/>
      <c r="I380" s="277"/>
      <c r="J380" s="277"/>
      <c r="K380" s="277"/>
      <c r="L380" s="277"/>
      <c r="M380" s="277"/>
      <c r="N380" s="277"/>
      <c r="O380" s="277"/>
      <c r="P380" s="277"/>
      <c r="Q380" s="277"/>
      <c r="R380" s="277"/>
      <c r="S380" s="410"/>
      <c r="T380" s="277"/>
      <c r="U380" s="277"/>
      <c r="V380" s="277"/>
      <c r="W380" s="277"/>
      <c r="X380" s="277"/>
      <c r="Y380" s="277"/>
      <c r="Z380" s="277"/>
    </row>
    <row r="381" ht="12.75" customHeight="1">
      <c r="A381" s="277"/>
      <c r="B381" s="278"/>
      <c r="C381" s="277"/>
      <c r="D381" s="277"/>
      <c r="E381" s="277"/>
      <c r="F381" s="277"/>
      <c r="G381" s="277"/>
      <c r="H381" s="277"/>
      <c r="I381" s="277"/>
      <c r="J381" s="277"/>
      <c r="K381" s="277"/>
      <c r="L381" s="277"/>
      <c r="M381" s="277"/>
      <c r="N381" s="277"/>
      <c r="O381" s="277"/>
      <c r="P381" s="277"/>
      <c r="Q381" s="277"/>
      <c r="R381" s="277"/>
      <c r="S381" s="410"/>
      <c r="T381" s="277"/>
      <c r="U381" s="277"/>
      <c r="V381" s="277"/>
      <c r="W381" s="277"/>
      <c r="X381" s="277"/>
      <c r="Y381" s="277"/>
      <c r="Z381" s="277"/>
    </row>
    <row r="382" ht="12.75" customHeight="1">
      <c r="A382" s="277"/>
      <c r="B382" s="278"/>
      <c r="C382" s="277"/>
      <c r="D382" s="277"/>
      <c r="E382" s="277"/>
      <c r="F382" s="277"/>
      <c r="G382" s="277"/>
      <c r="H382" s="277"/>
      <c r="I382" s="277"/>
      <c r="J382" s="277"/>
      <c r="K382" s="277"/>
      <c r="L382" s="277"/>
      <c r="M382" s="277"/>
      <c r="N382" s="277"/>
      <c r="O382" s="277"/>
      <c r="P382" s="277"/>
      <c r="Q382" s="277"/>
      <c r="R382" s="277"/>
      <c r="S382" s="410"/>
      <c r="T382" s="277"/>
      <c r="U382" s="277"/>
      <c r="V382" s="277"/>
      <c r="W382" s="277"/>
      <c r="X382" s="277"/>
      <c r="Y382" s="277"/>
      <c r="Z382" s="277"/>
    </row>
    <row r="383" ht="12.75" customHeight="1">
      <c r="A383" s="277"/>
      <c r="B383" s="278"/>
      <c r="C383" s="277"/>
      <c r="D383" s="277"/>
      <c r="E383" s="277"/>
      <c r="F383" s="277"/>
      <c r="G383" s="277"/>
      <c r="H383" s="277"/>
      <c r="I383" s="277"/>
      <c r="J383" s="277"/>
      <c r="K383" s="277"/>
      <c r="L383" s="277"/>
      <c r="M383" s="277"/>
      <c r="N383" s="277"/>
      <c r="O383" s="277"/>
      <c r="P383" s="277"/>
      <c r="Q383" s="277"/>
      <c r="R383" s="277"/>
      <c r="S383" s="410"/>
      <c r="T383" s="277"/>
      <c r="U383" s="277"/>
      <c r="V383" s="277"/>
      <c r="W383" s="277"/>
      <c r="X383" s="277"/>
      <c r="Y383" s="277"/>
      <c r="Z383" s="277"/>
    </row>
    <row r="384" ht="12.75" customHeight="1">
      <c r="A384" s="277"/>
      <c r="B384" s="278"/>
      <c r="C384" s="277"/>
      <c r="D384" s="277"/>
      <c r="E384" s="277"/>
      <c r="F384" s="277"/>
      <c r="G384" s="277"/>
      <c r="H384" s="277"/>
      <c r="I384" s="277"/>
      <c r="J384" s="277"/>
      <c r="K384" s="277"/>
      <c r="L384" s="277"/>
      <c r="M384" s="277"/>
      <c r="N384" s="277"/>
      <c r="O384" s="277"/>
      <c r="P384" s="277"/>
      <c r="Q384" s="277"/>
      <c r="R384" s="277"/>
      <c r="S384" s="410"/>
      <c r="T384" s="277"/>
      <c r="U384" s="277"/>
      <c r="V384" s="277"/>
      <c r="W384" s="277"/>
      <c r="X384" s="277"/>
      <c r="Y384" s="277"/>
      <c r="Z384" s="277"/>
    </row>
    <row r="385" ht="12.75" customHeight="1">
      <c r="A385" s="277"/>
      <c r="B385" s="278"/>
      <c r="C385" s="277"/>
      <c r="D385" s="277"/>
      <c r="E385" s="277"/>
      <c r="F385" s="277"/>
      <c r="G385" s="277"/>
      <c r="H385" s="277"/>
      <c r="I385" s="277"/>
      <c r="J385" s="277"/>
      <c r="K385" s="277"/>
      <c r="L385" s="277"/>
      <c r="M385" s="277"/>
      <c r="N385" s="277"/>
      <c r="O385" s="277"/>
      <c r="P385" s="277"/>
      <c r="Q385" s="277"/>
      <c r="R385" s="277"/>
      <c r="S385" s="410"/>
      <c r="T385" s="277"/>
      <c r="U385" s="277"/>
      <c r="V385" s="277"/>
      <c r="W385" s="277"/>
      <c r="X385" s="277"/>
      <c r="Y385" s="277"/>
      <c r="Z385" s="277"/>
    </row>
    <row r="386" ht="12.75" customHeight="1">
      <c r="A386" s="277"/>
      <c r="B386" s="278"/>
      <c r="C386" s="277"/>
      <c r="D386" s="277"/>
      <c r="E386" s="277"/>
      <c r="F386" s="277"/>
      <c r="G386" s="277"/>
      <c r="H386" s="277"/>
      <c r="I386" s="277"/>
      <c r="J386" s="277"/>
      <c r="K386" s="277"/>
      <c r="L386" s="277"/>
      <c r="M386" s="277"/>
      <c r="N386" s="277"/>
      <c r="O386" s="277"/>
      <c r="P386" s="277"/>
      <c r="Q386" s="277"/>
      <c r="R386" s="277"/>
      <c r="S386" s="410"/>
      <c r="T386" s="277"/>
      <c r="U386" s="277"/>
      <c r="V386" s="277"/>
      <c r="W386" s="277"/>
      <c r="X386" s="277"/>
      <c r="Y386" s="277"/>
      <c r="Z386" s="277"/>
    </row>
    <row r="387" ht="12.75" customHeight="1">
      <c r="A387" s="277"/>
      <c r="B387" s="278"/>
      <c r="C387" s="277"/>
      <c r="D387" s="277"/>
      <c r="E387" s="277"/>
      <c r="F387" s="277"/>
      <c r="G387" s="277"/>
      <c r="H387" s="277"/>
      <c r="I387" s="277"/>
      <c r="J387" s="277"/>
      <c r="K387" s="277"/>
      <c r="L387" s="277"/>
      <c r="M387" s="277"/>
      <c r="N387" s="277"/>
      <c r="O387" s="277"/>
      <c r="P387" s="277"/>
      <c r="Q387" s="277"/>
      <c r="R387" s="277"/>
      <c r="S387" s="410"/>
      <c r="T387" s="277"/>
      <c r="U387" s="277"/>
      <c r="V387" s="277"/>
      <c r="W387" s="277"/>
      <c r="X387" s="277"/>
      <c r="Y387" s="277"/>
      <c r="Z387" s="277"/>
    </row>
    <row r="388" ht="12.75" customHeight="1">
      <c r="A388" s="277"/>
      <c r="B388" s="278"/>
      <c r="C388" s="277"/>
      <c r="D388" s="277"/>
      <c r="E388" s="277"/>
      <c r="F388" s="277"/>
      <c r="G388" s="277"/>
      <c r="H388" s="277"/>
      <c r="I388" s="277"/>
      <c r="J388" s="277"/>
      <c r="K388" s="277"/>
      <c r="L388" s="277"/>
      <c r="M388" s="277"/>
      <c r="N388" s="277"/>
      <c r="O388" s="277"/>
      <c r="P388" s="277"/>
      <c r="Q388" s="277"/>
      <c r="R388" s="277"/>
      <c r="S388" s="410"/>
      <c r="T388" s="277"/>
      <c r="U388" s="277"/>
      <c r="V388" s="277"/>
      <c r="W388" s="277"/>
      <c r="X388" s="277"/>
      <c r="Y388" s="277"/>
      <c r="Z388" s="277"/>
    </row>
    <row r="389" ht="12.75" customHeight="1">
      <c r="A389" s="277"/>
      <c r="B389" s="278"/>
      <c r="C389" s="277"/>
      <c r="D389" s="277"/>
      <c r="E389" s="277"/>
      <c r="F389" s="277"/>
      <c r="G389" s="277"/>
      <c r="H389" s="277"/>
      <c r="I389" s="277"/>
      <c r="J389" s="277"/>
      <c r="K389" s="277"/>
      <c r="L389" s="277"/>
      <c r="M389" s="277"/>
      <c r="N389" s="277"/>
      <c r="O389" s="277"/>
      <c r="P389" s="277"/>
      <c r="Q389" s="277"/>
      <c r="R389" s="277"/>
      <c r="S389" s="410"/>
      <c r="T389" s="277"/>
      <c r="U389" s="277"/>
      <c r="V389" s="277"/>
      <c r="W389" s="277"/>
      <c r="X389" s="277"/>
      <c r="Y389" s="277"/>
      <c r="Z389" s="277"/>
    </row>
    <row r="390" ht="12.75" customHeight="1">
      <c r="A390" s="277"/>
      <c r="B390" s="278"/>
      <c r="C390" s="277"/>
      <c r="D390" s="277"/>
      <c r="E390" s="277"/>
      <c r="F390" s="277"/>
      <c r="G390" s="277"/>
      <c r="H390" s="277"/>
      <c r="I390" s="277"/>
      <c r="J390" s="277"/>
      <c r="K390" s="277"/>
      <c r="L390" s="277"/>
      <c r="M390" s="277"/>
      <c r="N390" s="277"/>
      <c r="O390" s="277"/>
      <c r="P390" s="277"/>
      <c r="Q390" s="277"/>
      <c r="R390" s="277"/>
      <c r="S390" s="410"/>
      <c r="T390" s="277"/>
      <c r="U390" s="277"/>
      <c r="V390" s="277"/>
      <c r="W390" s="277"/>
      <c r="X390" s="277"/>
      <c r="Y390" s="277"/>
      <c r="Z390" s="277"/>
    </row>
    <row r="391" ht="12.75" customHeight="1">
      <c r="A391" s="277"/>
      <c r="B391" s="278"/>
      <c r="C391" s="277"/>
      <c r="D391" s="277"/>
      <c r="E391" s="277"/>
      <c r="F391" s="277"/>
      <c r="G391" s="277"/>
      <c r="H391" s="277"/>
      <c r="I391" s="277"/>
      <c r="J391" s="277"/>
      <c r="K391" s="277"/>
      <c r="L391" s="277"/>
      <c r="M391" s="277"/>
      <c r="N391" s="277"/>
      <c r="O391" s="277"/>
      <c r="P391" s="277"/>
      <c r="Q391" s="277"/>
      <c r="R391" s="277"/>
      <c r="S391" s="410"/>
      <c r="T391" s="277"/>
      <c r="U391" s="277"/>
      <c r="V391" s="277"/>
      <c r="W391" s="277"/>
      <c r="X391" s="277"/>
      <c r="Y391" s="277"/>
      <c r="Z391" s="277"/>
    </row>
    <row r="392" ht="12.75" customHeight="1">
      <c r="A392" s="277"/>
      <c r="B392" s="278"/>
      <c r="C392" s="277"/>
      <c r="D392" s="277"/>
      <c r="E392" s="277"/>
      <c r="F392" s="277"/>
      <c r="G392" s="277"/>
      <c r="H392" s="277"/>
      <c r="I392" s="277"/>
      <c r="J392" s="277"/>
      <c r="K392" s="277"/>
      <c r="L392" s="277"/>
      <c r="M392" s="277"/>
      <c r="N392" s="277"/>
      <c r="O392" s="277"/>
      <c r="P392" s="277"/>
      <c r="Q392" s="277"/>
      <c r="R392" s="277"/>
      <c r="S392" s="410"/>
      <c r="T392" s="277"/>
      <c r="U392" s="277"/>
      <c r="V392" s="277"/>
      <c r="W392" s="277"/>
      <c r="X392" s="277"/>
      <c r="Y392" s="277"/>
      <c r="Z392" s="277"/>
    </row>
    <row r="393" ht="12.75" customHeight="1">
      <c r="A393" s="277"/>
      <c r="B393" s="278"/>
      <c r="C393" s="277"/>
      <c r="D393" s="277"/>
      <c r="E393" s="277"/>
      <c r="F393" s="277"/>
      <c r="G393" s="277"/>
      <c r="H393" s="277"/>
      <c r="I393" s="277"/>
      <c r="J393" s="277"/>
      <c r="K393" s="277"/>
      <c r="L393" s="277"/>
      <c r="M393" s="277"/>
      <c r="N393" s="277"/>
      <c r="O393" s="277"/>
      <c r="P393" s="277"/>
      <c r="Q393" s="277"/>
      <c r="R393" s="277"/>
      <c r="S393" s="410"/>
      <c r="T393" s="277"/>
      <c r="U393" s="277"/>
      <c r="V393" s="277"/>
      <c r="W393" s="277"/>
      <c r="X393" s="277"/>
      <c r="Y393" s="277"/>
      <c r="Z393" s="277"/>
    </row>
    <row r="394" ht="12.75" customHeight="1">
      <c r="A394" s="277"/>
      <c r="B394" s="278"/>
      <c r="C394" s="277"/>
      <c r="D394" s="277"/>
      <c r="E394" s="277"/>
      <c r="F394" s="277"/>
      <c r="G394" s="277"/>
      <c r="H394" s="277"/>
      <c r="I394" s="277"/>
      <c r="J394" s="277"/>
      <c r="K394" s="277"/>
      <c r="L394" s="277"/>
      <c r="M394" s="277"/>
      <c r="N394" s="277"/>
      <c r="O394" s="277"/>
      <c r="P394" s="277"/>
      <c r="Q394" s="277"/>
      <c r="R394" s="277"/>
      <c r="S394" s="410"/>
      <c r="T394" s="277"/>
      <c r="U394" s="277"/>
      <c r="V394" s="277"/>
      <c r="W394" s="277"/>
      <c r="X394" s="277"/>
      <c r="Y394" s="277"/>
      <c r="Z394" s="277"/>
    </row>
    <row r="395" ht="12.75" customHeight="1">
      <c r="A395" s="277"/>
      <c r="B395" s="278"/>
      <c r="C395" s="277"/>
      <c r="D395" s="277"/>
      <c r="E395" s="277"/>
      <c r="F395" s="277"/>
      <c r="G395" s="277"/>
      <c r="H395" s="277"/>
      <c r="I395" s="277"/>
      <c r="J395" s="277"/>
      <c r="K395" s="277"/>
      <c r="L395" s="277"/>
      <c r="M395" s="277"/>
      <c r="N395" s="277"/>
      <c r="O395" s="277"/>
      <c r="P395" s="277"/>
      <c r="Q395" s="277"/>
      <c r="R395" s="277"/>
      <c r="S395" s="410"/>
      <c r="T395" s="277"/>
      <c r="U395" s="277"/>
      <c r="V395" s="277"/>
      <c r="W395" s="277"/>
      <c r="X395" s="277"/>
      <c r="Y395" s="277"/>
      <c r="Z395" s="277"/>
    </row>
    <row r="396" ht="12.75" customHeight="1">
      <c r="A396" s="277"/>
      <c r="B396" s="278"/>
      <c r="C396" s="277"/>
      <c r="D396" s="277"/>
      <c r="E396" s="277"/>
      <c r="F396" s="277"/>
      <c r="G396" s="277"/>
      <c r="H396" s="277"/>
      <c r="I396" s="277"/>
      <c r="J396" s="277"/>
      <c r="K396" s="277"/>
      <c r="L396" s="277"/>
      <c r="M396" s="277"/>
      <c r="N396" s="277"/>
      <c r="O396" s="277"/>
      <c r="P396" s="277"/>
      <c r="Q396" s="277"/>
      <c r="R396" s="277"/>
      <c r="S396" s="410"/>
      <c r="T396" s="277"/>
      <c r="U396" s="277"/>
      <c r="V396" s="277"/>
      <c r="W396" s="277"/>
      <c r="X396" s="277"/>
      <c r="Y396" s="277"/>
      <c r="Z396" s="277"/>
    </row>
    <row r="397" ht="12.75" customHeight="1">
      <c r="A397" s="277"/>
      <c r="B397" s="278"/>
      <c r="C397" s="277"/>
      <c r="D397" s="277"/>
      <c r="E397" s="277"/>
      <c r="F397" s="277"/>
      <c r="G397" s="277"/>
      <c r="H397" s="277"/>
      <c r="I397" s="277"/>
      <c r="J397" s="277"/>
      <c r="K397" s="277"/>
      <c r="L397" s="277"/>
      <c r="M397" s="277"/>
      <c r="N397" s="277"/>
      <c r="O397" s="277"/>
      <c r="P397" s="277"/>
      <c r="Q397" s="277"/>
      <c r="R397" s="277"/>
      <c r="S397" s="410"/>
      <c r="T397" s="277"/>
      <c r="U397" s="277"/>
      <c r="V397" s="277"/>
      <c r="W397" s="277"/>
      <c r="X397" s="277"/>
      <c r="Y397" s="277"/>
      <c r="Z397" s="277"/>
    </row>
    <row r="398" ht="12.75" customHeight="1">
      <c r="A398" s="277"/>
      <c r="B398" s="278"/>
      <c r="C398" s="277"/>
      <c r="D398" s="277"/>
      <c r="E398" s="277"/>
      <c r="F398" s="277"/>
      <c r="G398" s="277"/>
      <c r="H398" s="277"/>
      <c r="I398" s="277"/>
      <c r="J398" s="277"/>
      <c r="K398" s="277"/>
      <c r="L398" s="277"/>
      <c r="M398" s="277"/>
      <c r="N398" s="277"/>
      <c r="O398" s="277"/>
      <c r="P398" s="277"/>
      <c r="Q398" s="277"/>
      <c r="R398" s="277"/>
      <c r="S398" s="410"/>
      <c r="T398" s="277"/>
      <c r="U398" s="277"/>
      <c r="V398" s="277"/>
      <c r="W398" s="277"/>
      <c r="X398" s="277"/>
      <c r="Y398" s="277"/>
      <c r="Z398" s="277"/>
    </row>
    <row r="399" ht="12.75" customHeight="1">
      <c r="A399" s="277"/>
      <c r="B399" s="278"/>
      <c r="C399" s="277"/>
      <c r="D399" s="277"/>
      <c r="E399" s="277"/>
      <c r="F399" s="277"/>
      <c r="G399" s="277"/>
      <c r="H399" s="277"/>
      <c r="I399" s="277"/>
      <c r="J399" s="277"/>
      <c r="K399" s="277"/>
      <c r="L399" s="277"/>
      <c r="M399" s="277"/>
      <c r="N399" s="277"/>
      <c r="O399" s="277"/>
      <c r="P399" s="277"/>
      <c r="Q399" s="277"/>
      <c r="R399" s="277"/>
      <c r="S399" s="410"/>
      <c r="T399" s="277"/>
      <c r="U399" s="277"/>
      <c r="V399" s="277"/>
      <c r="W399" s="277"/>
      <c r="X399" s="277"/>
      <c r="Y399" s="277"/>
      <c r="Z399" s="277"/>
    </row>
    <row r="400" ht="12.75" customHeight="1">
      <c r="A400" s="277"/>
      <c r="B400" s="278"/>
      <c r="C400" s="277"/>
      <c r="D400" s="277"/>
      <c r="E400" s="277"/>
      <c r="F400" s="277"/>
      <c r="G400" s="277"/>
      <c r="H400" s="277"/>
      <c r="I400" s="277"/>
      <c r="J400" s="277"/>
      <c r="K400" s="277"/>
      <c r="L400" s="277"/>
      <c r="M400" s="277"/>
      <c r="N400" s="277"/>
      <c r="O400" s="277"/>
      <c r="P400" s="277"/>
      <c r="Q400" s="277"/>
      <c r="R400" s="277"/>
      <c r="S400" s="410"/>
      <c r="T400" s="277"/>
      <c r="U400" s="277"/>
      <c r="V400" s="277"/>
      <c r="W400" s="277"/>
      <c r="X400" s="277"/>
      <c r="Y400" s="277"/>
      <c r="Z400" s="277"/>
    </row>
    <row r="401" ht="12.75" customHeight="1">
      <c r="A401" s="277"/>
      <c r="B401" s="278"/>
      <c r="C401" s="277"/>
      <c r="D401" s="277"/>
      <c r="E401" s="277"/>
      <c r="F401" s="277"/>
      <c r="G401" s="277"/>
      <c r="H401" s="277"/>
      <c r="I401" s="277"/>
      <c r="J401" s="277"/>
      <c r="K401" s="277"/>
      <c r="L401" s="277"/>
      <c r="M401" s="277"/>
      <c r="N401" s="277"/>
      <c r="O401" s="277"/>
      <c r="P401" s="277"/>
      <c r="Q401" s="277"/>
      <c r="R401" s="277"/>
      <c r="S401" s="410"/>
      <c r="T401" s="277"/>
      <c r="U401" s="277"/>
      <c r="V401" s="277"/>
      <c r="W401" s="277"/>
      <c r="X401" s="277"/>
      <c r="Y401" s="277"/>
      <c r="Z401" s="277"/>
    </row>
    <row r="402" ht="12.75" customHeight="1">
      <c r="A402" s="277"/>
      <c r="B402" s="278"/>
      <c r="C402" s="277"/>
      <c r="D402" s="277"/>
      <c r="E402" s="277"/>
      <c r="F402" s="277"/>
      <c r="G402" s="277"/>
      <c r="H402" s="277"/>
      <c r="I402" s="277"/>
      <c r="J402" s="277"/>
      <c r="K402" s="277"/>
      <c r="L402" s="277"/>
      <c r="M402" s="277"/>
      <c r="N402" s="277"/>
      <c r="O402" s="277"/>
      <c r="P402" s="277"/>
      <c r="Q402" s="277"/>
      <c r="R402" s="277"/>
      <c r="S402" s="410"/>
      <c r="T402" s="277"/>
      <c r="U402" s="277"/>
      <c r="V402" s="277"/>
      <c r="W402" s="277"/>
      <c r="X402" s="277"/>
      <c r="Y402" s="277"/>
      <c r="Z402" s="277"/>
    </row>
    <row r="403" ht="12.75" customHeight="1">
      <c r="A403" s="277"/>
      <c r="B403" s="278"/>
      <c r="C403" s="277"/>
      <c r="D403" s="277"/>
      <c r="E403" s="277"/>
      <c r="F403" s="277"/>
      <c r="G403" s="277"/>
      <c r="H403" s="277"/>
      <c r="I403" s="277"/>
      <c r="J403" s="277"/>
      <c r="K403" s="277"/>
      <c r="L403" s="277"/>
      <c r="M403" s="277"/>
      <c r="N403" s="277"/>
      <c r="O403" s="277"/>
      <c r="P403" s="277"/>
      <c r="Q403" s="277"/>
      <c r="R403" s="277"/>
      <c r="S403" s="410"/>
      <c r="T403" s="277"/>
      <c r="U403" s="277"/>
      <c r="V403" s="277"/>
      <c r="W403" s="277"/>
      <c r="X403" s="277"/>
      <c r="Y403" s="277"/>
      <c r="Z403" s="277"/>
    </row>
    <row r="404" ht="12.75" customHeight="1">
      <c r="A404" s="277"/>
      <c r="B404" s="278"/>
      <c r="C404" s="277"/>
      <c r="D404" s="277"/>
      <c r="E404" s="277"/>
      <c r="F404" s="277"/>
      <c r="G404" s="277"/>
      <c r="H404" s="277"/>
      <c r="I404" s="277"/>
      <c r="J404" s="277"/>
      <c r="K404" s="277"/>
      <c r="L404" s="277"/>
      <c r="M404" s="277"/>
      <c r="N404" s="277"/>
      <c r="O404" s="277"/>
      <c r="P404" s="277"/>
      <c r="Q404" s="277"/>
      <c r="R404" s="277"/>
      <c r="S404" s="410"/>
      <c r="T404" s="277"/>
      <c r="U404" s="277"/>
      <c r="V404" s="277"/>
      <c r="W404" s="277"/>
      <c r="X404" s="277"/>
      <c r="Y404" s="277"/>
      <c r="Z404" s="277"/>
    </row>
    <row r="405" ht="12.75" customHeight="1">
      <c r="A405" s="277"/>
      <c r="B405" s="278"/>
      <c r="C405" s="277"/>
      <c r="D405" s="277"/>
      <c r="E405" s="277"/>
      <c r="F405" s="277"/>
      <c r="G405" s="277"/>
      <c r="H405" s="277"/>
      <c r="I405" s="277"/>
      <c r="J405" s="277"/>
      <c r="K405" s="277"/>
      <c r="L405" s="277"/>
      <c r="M405" s="277"/>
      <c r="N405" s="277"/>
      <c r="O405" s="277"/>
      <c r="P405" s="277"/>
      <c r="Q405" s="277"/>
      <c r="R405" s="277"/>
      <c r="S405" s="410"/>
      <c r="T405" s="277"/>
      <c r="U405" s="277"/>
      <c r="V405" s="277"/>
      <c r="W405" s="277"/>
      <c r="X405" s="277"/>
      <c r="Y405" s="277"/>
      <c r="Z405" s="277"/>
    </row>
    <row r="406" ht="12.75" customHeight="1">
      <c r="A406" s="277"/>
      <c r="B406" s="278"/>
      <c r="C406" s="277"/>
      <c r="D406" s="277"/>
      <c r="E406" s="277"/>
      <c r="F406" s="277"/>
      <c r="G406" s="277"/>
      <c r="H406" s="277"/>
      <c r="I406" s="277"/>
      <c r="J406" s="277"/>
      <c r="K406" s="277"/>
      <c r="L406" s="277"/>
      <c r="M406" s="277"/>
      <c r="N406" s="277"/>
      <c r="O406" s="277"/>
      <c r="P406" s="277"/>
      <c r="Q406" s="277"/>
      <c r="R406" s="277"/>
      <c r="S406" s="410"/>
      <c r="T406" s="277"/>
      <c r="U406" s="277"/>
      <c r="V406" s="277"/>
      <c r="W406" s="277"/>
      <c r="X406" s="277"/>
      <c r="Y406" s="277"/>
      <c r="Z406" s="277"/>
    </row>
    <row r="407" ht="12.75" customHeight="1">
      <c r="A407" s="277"/>
      <c r="B407" s="278"/>
      <c r="C407" s="277"/>
      <c r="D407" s="277"/>
      <c r="E407" s="277"/>
      <c r="F407" s="277"/>
      <c r="G407" s="277"/>
      <c r="H407" s="277"/>
      <c r="I407" s="277"/>
      <c r="J407" s="277"/>
      <c r="K407" s="277"/>
      <c r="L407" s="277"/>
      <c r="M407" s="277"/>
      <c r="N407" s="277"/>
      <c r="O407" s="277"/>
      <c r="P407" s="277"/>
      <c r="Q407" s="277"/>
      <c r="R407" s="277"/>
      <c r="S407" s="410"/>
      <c r="T407" s="277"/>
      <c r="U407" s="277"/>
      <c r="V407" s="277"/>
      <c r="W407" s="277"/>
      <c r="X407" s="277"/>
      <c r="Y407" s="277"/>
      <c r="Z407" s="277"/>
    </row>
    <row r="408" ht="12.75" customHeight="1">
      <c r="A408" s="277"/>
      <c r="B408" s="278"/>
      <c r="C408" s="277"/>
      <c r="D408" s="277"/>
      <c r="E408" s="277"/>
      <c r="F408" s="277"/>
      <c r="G408" s="277"/>
      <c r="H408" s="277"/>
      <c r="I408" s="277"/>
      <c r="J408" s="277"/>
      <c r="K408" s="277"/>
      <c r="L408" s="277"/>
      <c r="M408" s="277"/>
      <c r="N408" s="277"/>
      <c r="O408" s="277"/>
      <c r="P408" s="277"/>
      <c r="Q408" s="277"/>
      <c r="R408" s="277"/>
      <c r="S408" s="410"/>
      <c r="T408" s="277"/>
      <c r="U408" s="277"/>
      <c r="V408" s="277"/>
      <c r="W408" s="277"/>
      <c r="X408" s="277"/>
      <c r="Y408" s="277"/>
      <c r="Z408" s="277"/>
    </row>
    <row r="409" ht="12.75" customHeight="1">
      <c r="A409" s="277"/>
      <c r="B409" s="278"/>
      <c r="C409" s="277"/>
      <c r="D409" s="277"/>
      <c r="E409" s="277"/>
      <c r="F409" s="277"/>
      <c r="G409" s="277"/>
      <c r="H409" s="277"/>
      <c r="I409" s="277"/>
      <c r="J409" s="277"/>
      <c r="K409" s="277"/>
      <c r="L409" s="277"/>
      <c r="M409" s="277"/>
      <c r="N409" s="277"/>
      <c r="O409" s="277"/>
      <c r="P409" s="277"/>
      <c r="Q409" s="277"/>
      <c r="R409" s="277"/>
      <c r="S409" s="410"/>
      <c r="T409" s="277"/>
      <c r="U409" s="277"/>
      <c r="V409" s="277"/>
      <c r="W409" s="277"/>
      <c r="X409" s="277"/>
      <c r="Y409" s="277"/>
      <c r="Z409" s="277"/>
    </row>
    <row r="410" ht="12.75" customHeight="1">
      <c r="A410" s="277"/>
      <c r="B410" s="278"/>
      <c r="C410" s="277"/>
      <c r="D410" s="277"/>
      <c r="E410" s="277"/>
      <c r="F410" s="277"/>
      <c r="G410" s="277"/>
      <c r="H410" s="277"/>
      <c r="I410" s="277"/>
      <c r="J410" s="277"/>
      <c r="K410" s="277"/>
      <c r="L410" s="277"/>
      <c r="M410" s="277"/>
      <c r="N410" s="277"/>
      <c r="O410" s="277"/>
      <c r="P410" s="277"/>
      <c r="Q410" s="277"/>
      <c r="R410" s="277"/>
      <c r="S410" s="410"/>
      <c r="T410" s="277"/>
      <c r="U410" s="277"/>
      <c r="V410" s="277"/>
      <c r="W410" s="277"/>
      <c r="X410" s="277"/>
      <c r="Y410" s="277"/>
      <c r="Z410" s="277"/>
    </row>
    <row r="411" ht="12.75" customHeight="1">
      <c r="A411" s="277"/>
      <c r="B411" s="278"/>
      <c r="C411" s="277"/>
      <c r="D411" s="277"/>
      <c r="E411" s="277"/>
      <c r="F411" s="277"/>
      <c r="G411" s="277"/>
      <c r="H411" s="277"/>
      <c r="I411" s="277"/>
      <c r="J411" s="277"/>
      <c r="K411" s="277"/>
      <c r="L411" s="277"/>
      <c r="M411" s="277"/>
      <c r="N411" s="277"/>
      <c r="O411" s="277"/>
      <c r="P411" s="277"/>
      <c r="Q411" s="277"/>
      <c r="R411" s="277"/>
      <c r="S411" s="410"/>
      <c r="T411" s="277"/>
      <c r="U411" s="277"/>
      <c r="V411" s="277"/>
      <c r="W411" s="277"/>
      <c r="X411" s="277"/>
      <c r="Y411" s="277"/>
      <c r="Z411" s="277"/>
    </row>
    <row r="412" ht="12.75" customHeight="1">
      <c r="A412" s="277"/>
      <c r="B412" s="278"/>
      <c r="C412" s="277"/>
      <c r="D412" s="277"/>
      <c r="E412" s="277"/>
      <c r="F412" s="277"/>
      <c r="G412" s="277"/>
      <c r="H412" s="277"/>
      <c r="I412" s="277"/>
      <c r="J412" s="277"/>
      <c r="K412" s="277"/>
      <c r="L412" s="277"/>
      <c r="M412" s="277"/>
      <c r="N412" s="277"/>
      <c r="O412" s="277"/>
      <c r="P412" s="277"/>
      <c r="Q412" s="277"/>
      <c r="R412" s="277"/>
      <c r="S412" s="410"/>
      <c r="T412" s="277"/>
      <c r="U412" s="277"/>
      <c r="V412" s="277"/>
      <c r="W412" s="277"/>
      <c r="X412" s="277"/>
      <c r="Y412" s="277"/>
      <c r="Z412" s="277"/>
    </row>
    <row r="413" ht="12.75" customHeight="1">
      <c r="A413" s="277"/>
      <c r="B413" s="278"/>
      <c r="C413" s="277"/>
      <c r="D413" s="277"/>
      <c r="E413" s="277"/>
      <c r="F413" s="277"/>
      <c r="G413" s="277"/>
      <c r="H413" s="277"/>
      <c r="I413" s="277"/>
      <c r="J413" s="277"/>
      <c r="K413" s="277"/>
      <c r="L413" s="277"/>
      <c r="M413" s="277"/>
      <c r="N413" s="277"/>
      <c r="O413" s="277"/>
      <c r="P413" s="277"/>
      <c r="Q413" s="277"/>
      <c r="R413" s="277"/>
      <c r="S413" s="410"/>
      <c r="T413" s="277"/>
      <c r="U413" s="277"/>
      <c r="V413" s="277"/>
      <c r="W413" s="277"/>
      <c r="X413" s="277"/>
      <c r="Y413" s="277"/>
      <c r="Z413" s="277"/>
    </row>
    <row r="414" ht="12.75" customHeight="1">
      <c r="A414" s="277"/>
      <c r="B414" s="278"/>
      <c r="C414" s="277"/>
      <c r="D414" s="277"/>
      <c r="E414" s="277"/>
      <c r="F414" s="277"/>
      <c r="G414" s="277"/>
      <c r="H414" s="277"/>
      <c r="I414" s="277"/>
      <c r="J414" s="277"/>
      <c r="K414" s="277"/>
      <c r="L414" s="277"/>
      <c r="M414" s="277"/>
      <c r="N414" s="277"/>
      <c r="O414" s="277"/>
      <c r="P414" s="277"/>
      <c r="Q414" s="277"/>
      <c r="R414" s="277"/>
      <c r="S414" s="410"/>
      <c r="T414" s="277"/>
      <c r="U414" s="277"/>
      <c r="V414" s="277"/>
      <c r="W414" s="277"/>
      <c r="X414" s="277"/>
      <c r="Y414" s="277"/>
      <c r="Z414" s="277"/>
    </row>
    <row r="415" ht="12.75" customHeight="1">
      <c r="A415" s="277"/>
      <c r="B415" s="278"/>
      <c r="C415" s="277"/>
      <c r="D415" s="277"/>
      <c r="E415" s="277"/>
      <c r="F415" s="277"/>
      <c r="G415" s="277"/>
      <c r="H415" s="277"/>
      <c r="I415" s="277"/>
      <c r="J415" s="277"/>
      <c r="K415" s="277"/>
      <c r="L415" s="277"/>
      <c r="M415" s="277"/>
      <c r="N415" s="277"/>
      <c r="O415" s="277"/>
      <c r="P415" s="277"/>
      <c r="Q415" s="277"/>
      <c r="R415" s="277"/>
      <c r="S415" s="410"/>
      <c r="T415" s="277"/>
      <c r="U415" s="277"/>
      <c r="V415" s="277"/>
      <c r="W415" s="277"/>
      <c r="X415" s="277"/>
      <c r="Y415" s="277"/>
      <c r="Z415" s="277"/>
    </row>
    <row r="416" ht="12.75" customHeight="1">
      <c r="A416" s="277"/>
      <c r="B416" s="278"/>
      <c r="C416" s="277"/>
      <c r="D416" s="277"/>
      <c r="E416" s="277"/>
      <c r="F416" s="277"/>
      <c r="G416" s="277"/>
      <c r="H416" s="277"/>
      <c r="I416" s="277"/>
      <c r="J416" s="277"/>
      <c r="K416" s="277"/>
      <c r="L416" s="277"/>
      <c r="M416" s="277"/>
      <c r="N416" s="277"/>
      <c r="O416" s="277"/>
      <c r="P416" s="277"/>
      <c r="Q416" s="277"/>
      <c r="R416" s="277"/>
      <c r="S416" s="410"/>
      <c r="T416" s="277"/>
      <c r="U416" s="277"/>
      <c r="V416" s="277"/>
      <c r="W416" s="277"/>
      <c r="X416" s="277"/>
      <c r="Y416" s="277"/>
      <c r="Z416" s="277"/>
    </row>
    <row r="417" ht="12.75" customHeight="1">
      <c r="A417" s="277"/>
      <c r="B417" s="278"/>
      <c r="C417" s="277"/>
      <c r="D417" s="277"/>
      <c r="E417" s="277"/>
      <c r="F417" s="277"/>
      <c r="G417" s="277"/>
      <c r="H417" s="277"/>
      <c r="I417" s="277"/>
      <c r="J417" s="277"/>
      <c r="K417" s="277"/>
      <c r="L417" s="277"/>
      <c r="M417" s="277"/>
      <c r="N417" s="277"/>
      <c r="O417" s="277"/>
      <c r="P417" s="277"/>
      <c r="Q417" s="277"/>
      <c r="R417" s="277"/>
      <c r="S417" s="410"/>
      <c r="T417" s="277"/>
      <c r="U417" s="277"/>
      <c r="V417" s="277"/>
      <c r="W417" s="277"/>
      <c r="X417" s="277"/>
      <c r="Y417" s="277"/>
      <c r="Z417" s="277"/>
    </row>
    <row r="418" ht="12.75" customHeight="1">
      <c r="A418" s="277"/>
      <c r="B418" s="278"/>
      <c r="C418" s="277"/>
      <c r="D418" s="277"/>
      <c r="E418" s="277"/>
      <c r="F418" s="277"/>
      <c r="G418" s="277"/>
      <c r="H418" s="277"/>
      <c r="I418" s="277"/>
      <c r="J418" s="277"/>
      <c r="K418" s="277"/>
      <c r="L418" s="277"/>
      <c r="M418" s="277"/>
      <c r="N418" s="277"/>
      <c r="O418" s="277"/>
      <c r="P418" s="277"/>
      <c r="Q418" s="277"/>
      <c r="R418" s="277"/>
      <c r="S418" s="410"/>
      <c r="T418" s="277"/>
      <c r="U418" s="277"/>
      <c r="V418" s="277"/>
      <c r="W418" s="277"/>
      <c r="X418" s="277"/>
      <c r="Y418" s="277"/>
      <c r="Z418" s="277"/>
    </row>
    <row r="419" ht="12.75" customHeight="1">
      <c r="A419" s="277"/>
      <c r="B419" s="278"/>
      <c r="C419" s="277"/>
      <c r="D419" s="277"/>
      <c r="E419" s="277"/>
      <c r="F419" s="277"/>
      <c r="G419" s="277"/>
      <c r="H419" s="277"/>
      <c r="I419" s="277"/>
      <c r="J419" s="277"/>
      <c r="K419" s="277"/>
      <c r="L419" s="277"/>
      <c r="M419" s="277"/>
      <c r="N419" s="277"/>
      <c r="O419" s="277"/>
      <c r="P419" s="277"/>
      <c r="Q419" s="277"/>
      <c r="R419" s="277"/>
      <c r="S419" s="410"/>
      <c r="T419" s="277"/>
      <c r="U419" s="277"/>
      <c r="V419" s="277"/>
      <c r="W419" s="277"/>
      <c r="X419" s="277"/>
      <c r="Y419" s="277"/>
      <c r="Z419" s="277"/>
    </row>
    <row r="420" ht="12.75" customHeight="1">
      <c r="A420" s="277"/>
      <c r="B420" s="278"/>
      <c r="C420" s="277"/>
      <c r="D420" s="277"/>
      <c r="E420" s="277"/>
      <c r="F420" s="277"/>
      <c r="G420" s="277"/>
      <c r="H420" s="277"/>
      <c r="I420" s="277"/>
      <c r="J420" s="277"/>
      <c r="K420" s="277"/>
      <c r="L420" s="277"/>
      <c r="M420" s="277"/>
      <c r="N420" s="277"/>
      <c r="O420" s="277"/>
      <c r="P420" s="277"/>
      <c r="Q420" s="277"/>
      <c r="R420" s="277"/>
      <c r="S420" s="410"/>
      <c r="T420" s="277"/>
      <c r="U420" s="277"/>
      <c r="V420" s="277"/>
      <c r="W420" s="277"/>
      <c r="X420" s="277"/>
      <c r="Y420" s="277"/>
      <c r="Z420" s="277"/>
    </row>
    <row r="421" ht="12.75" customHeight="1">
      <c r="A421" s="277"/>
      <c r="B421" s="278"/>
      <c r="C421" s="277"/>
      <c r="D421" s="277"/>
      <c r="E421" s="277"/>
      <c r="F421" s="277"/>
      <c r="G421" s="277"/>
      <c r="H421" s="277"/>
      <c r="I421" s="277"/>
      <c r="J421" s="277"/>
      <c r="K421" s="277"/>
      <c r="L421" s="277"/>
      <c r="M421" s="277"/>
      <c r="N421" s="277"/>
      <c r="O421" s="277"/>
      <c r="P421" s="277"/>
      <c r="Q421" s="277"/>
      <c r="R421" s="277"/>
      <c r="S421" s="410"/>
      <c r="T421" s="277"/>
      <c r="U421" s="277"/>
      <c r="V421" s="277"/>
      <c r="W421" s="277"/>
      <c r="X421" s="277"/>
      <c r="Y421" s="277"/>
      <c r="Z421" s="277"/>
    </row>
    <row r="422" ht="12.75" customHeight="1">
      <c r="A422" s="277"/>
      <c r="B422" s="278"/>
      <c r="C422" s="277"/>
      <c r="D422" s="277"/>
      <c r="E422" s="277"/>
      <c r="F422" s="277"/>
      <c r="G422" s="277"/>
      <c r="H422" s="277"/>
      <c r="I422" s="277"/>
      <c r="J422" s="277"/>
      <c r="K422" s="277"/>
      <c r="L422" s="277"/>
      <c r="M422" s="277"/>
      <c r="N422" s="277"/>
      <c r="O422" s="277"/>
      <c r="P422" s="277"/>
      <c r="Q422" s="277"/>
      <c r="R422" s="277"/>
      <c r="S422" s="410"/>
      <c r="T422" s="277"/>
      <c r="U422" s="277"/>
      <c r="V422" s="277"/>
      <c r="W422" s="277"/>
      <c r="X422" s="277"/>
      <c r="Y422" s="277"/>
      <c r="Z422" s="277"/>
    </row>
    <row r="423" ht="12.75" customHeight="1">
      <c r="A423" s="277"/>
      <c r="B423" s="278"/>
      <c r="C423" s="277"/>
      <c r="D423" s="277"/>
      <c r="E423" s="277"/>
      <c r="F423" s="277"/>
      <c r="G423" s="277"/>
      <c r="H423" s="277"/>
      <c r="I423" s="277"/>
      <c r="J423" s="277"/>
      <c r="K423" s="277"/>
      <c r="L423" s="277"/>
      <c r="M423" s="277"/>
      <c r="N423" s="277"/>
      <c r="O423" s="277"/>
      <c r="P423" s="277"/>
      <c r="Q423" s="277"/>
      <c r="R423" s="277"/>
      <c r="S423" s="410"/>
      <c r="T423" s="277"/>
      <c r="U423" s="277"/>
      <c r="V423" s="277"/>
      <c r="W423" s="277"/>
      <c r="X423" s="277"/>
      <c r="Y423" s="277"/>
      <c r="Z423" s="277"/>
    </row>
    <row r="424" ht="12.75" customHeight="1">
      <c r="A424" s="277"/>
      <c r="B424" s="278"/>
      <c r="C424" s="277"/>
      <c r="D424" s="277"/>
      <c r="E424" s="277"/>
      <c r="F424" s="277"/>
      <c r="G424" s="277"/>
      <c r="H424" s="277"/>
      <c r="I424" s="277"/>
      <c r="J424" s="277"/>
      <c r="K424" s="277"/>
      <c r="L424" s="277"/>
      <c r="M424" s="277"/>
      <c r="N424" s="277"/>
      <c r="O424" s="277"/>
      <c r="P424" s="277"/>
      <c r="Q424" s="277"/>
      <c r="R424" s="277"/>
      <c r="S424" s="410"/>
      <c r="T424" s="277"/>
      <c r="U424" s="277"/>
      <c r="V424" s="277"/>
      <c r="W424" s="277"/>
      <c r="X424" s="277"/>
      <c r="Y424" s="277"/>
      <c r="Z424" s="277"/>
    </row>
    <row r="425" ht="12.75" customHeight="1">
      <c r="A425" s="277"/>
      <c r="B425" s="278"/>
      <c r="C425" s="277"/>
      <c r="D425" s="277"/>
      <c r="E425" s="277"/>
      <c r="F425" s="277"/>
      <c r="G425" s="277"/>
      <c r="H425" s="277"/>
      <c r="I425" s="277"/>
      <c r="J425" s="277"/>
      <c r="K425" s="277"/>
      <c r="L425" s="277"/>
      <c r="M425" s="277"/>
      <c r="N425" s="277"/>
      <c r="O425" s="277"/>
      <c r="P425" s="277"/>
      <c r="Q425" s="277"/>
      <c r="R425" s="277"/>
      <c r="S425" s="410"/>
      <c r="T425" s="277"/>
      <c r="U425" s="277"/>
      <c r="V425" s="277"/>
      <c r="W425" s="277"/>
      <c r="X425" s="277"/>
      <c r="Y425" s="277"/>
      <c r="Z425" s="277"/>
    </row>
    <row r="426" ht="12.75" customHeight="1">
      <c r="A426" s="277"/>
      <c r="B426" s="278"/>
      <c r="C426" s="277"/>
      <c r="D426" s="277"/>
      <c r="E426" s="277"/>
      <c r="F426" s="277"/>
      <c r="G426" s="277"/>
      <c r="H426" s="277"/>
      <c r="I426" s="277"/>
      <c r="J426" s="277"/>
      <c r="K426" s="277"/>
      <c r="L426" s="277"/>
      <c r="M426" s="277"/>
      <c r="N426" s="277"/>
      <c r="O426" s="277"/>
      <c r="P426" s="277"/>
      <c r="Q426" s="277"/>
      <c r="R426" s="277"/>
      <c r="S426" s="410"/>
      <c r="T426" s="277"/>
      <c r="U426" s="277"/>
      <c r="V426" s="277"/>
      <c r="W426" s="277"/>
      <c r="X426" s="277"/>
      <c r="Y426" s="277"/>
      <c r="Z426" s="277"/>
    </row>
    <row r="427" ht="12.75" customHeight="1">
      <c r="A427" s="277"/>
      <c r="B427" s="278"/>
      <c r="C427" s="277"/>
      <c r="D427" s="277"/>
      <c r="E427" s="277"/>
      <c r="F427" s="277"/>
      <c r="G427" s="277"/>
      <c r="H427" s="277"/>
      <c r="I427" s="277"/>
      <c r="J427" s="277"/>
      <c r="K427" s="277"/>
      <c r="L427" s="277"/>
      <c r="M427" s="277"/>
      <c r="N427" s="277"/>
      <c r="O427" s="277"/>
      <c r="P427" s="277"/>
      <c r="Q427" s="277"/>
      <c r="R427" s="277"/>
      <c r="S427" s="410"/>
      <c r="T427" s="277"/>
      <c r="U427" s="277"/>
      <c r="V427" s="277"/>
      <c r="W427" s="277"/>
      <c r="X427" s="277"/>
      <c r="Y427" s="277"/>
      <c r="Z427" s="277"/>
    </row>
    <row r="428" ht="12.75" customHeight="1">
      <c r="A428" s="277"/>
      <c r="B428" s="278"/>
      <c r="C428" s="277"/>
      <c r="D428" s="277"/>
      <c r="E428" s="277"/>
      <c r="F428" s="277"/>
      <c r="G428" s="277"/>
      <c r="H428" s="277"/>
      <c r="I428" s="277"/>
      <c r="J428" s="277"/>
      <c r="K428" s="277"/>
      <c r="L428" s="277"/>
      <c r="M428" s="277"/>
      <c r="N428" s="277"/>
      <c r="O428" s="277"/>
      <c r="P428" s="277"/>
      <c r="Q428" s="277"/>
      <c r="R428" s="277"/>
      <c r="S428" s="410"/>
      <c r="T428" s="277"/>
      <c r="U428" s="277"/>
      <c r="V428" s="277"/>
      <c r="W428" s="277"/>
      <c r="X428" s="277"/>
      <c r="Y428" s="277"/>
      <c r="Z428" s="277"/>
    </row>
    <row r="429" ht="12.75" customHeight="1">
      <c r="A429" s="277"/>
      <c r="B429" s="278"/>
      <c r="C429" s="277"/>
      <c r="D429" s="277"/>
      <c r="E429" s="277"/>
      <c r="F429" s="277"/>
      <c r="G429" s="277"/>
      <c r="H429" s="277"/>
      <c r="I429" s="277"/>
      <c r="J429" s="277"/>
      <c r="K429" s="277"/>
      <c r="L429" s="277"/>
      <c r="M429" s="277"/>
      <c r="N429" s="277"/>
      <c r="O429" s="277"/>
      <c r="P429" s="277"/>
      <c r="Q429" s="277"/>
      <c r="R429" s="277"/>
      <c r="S429" s="410"/>
      <c r="T429" s="277"/>
      <c r="U429" s="277"/>
      <c r="V429" s="277"/>
      <c r="W429" s="277"/>
      <c r="X429" s="277"/>
      <c r="Y429" s="277"/>
      <c r="Z429" s="277"/>
    </row>
    <row r="430" ht="12.75" customHeight="1">
      <c r="A430" s="277"/>
      <c r="B430" s="278"/>
      <c r="C430" s="277"/>
      <c r="D430" s="277"/>
      <c r="E430" s="277"/>
      <c r="F430" s="277"/>
      <c r="G430" s="277"/>
      <c r="H430" s="277"/>
      <c r="I430" s="277"/>
      <c r="J430" s="277"/>
      <c r="K430" s="277"/>
      <c r="L430" s="277"/>
      <c r="M430" s="277"/>
      <c r="N430" s="277"/>
      <c r="O430" s="277"/>
      <c r="P430" s="277"/>
      <c r="Q430" s="277"/>
      <c r="R430" s="277"/>
      <c r="S430" s="410"/>
      <c r="T430" s="277"/>
      <c r="U430" s="277"/>
      <c r="V430" s="277"/>
      <c r="W430" s="277"/>
      <c r="X430" s="277"/>
      <c r="Y430" s="277"/>
      <c r="Z430" s="277"/>
    </row>
    <row r="431" ht="12.75" customHeight="1">
      <c r="A431" s="277"/>
      <c r="B431" s="278"/>
      <c r="C431" s="277"/>
      <c r="D431" s="277"/>
      <c r="E431" s="277"/>
      <c r="F431" s="277"/>
      <c r="G431" s="277"/>
      <c r="H431" s="277"/>
      <c r="I431" s="277"/>
      <c r="J431" s="277"/>
      <c r="K431" s="277"/>
      <c r="L431" s="277"/>
      <c r="M431" s="277"/>
      <c r="N431" s="277"/>
      <c r="O431" s="277"/>
      <c r="P431" s="277"/>
      <c r="Q431" s="277"/>
      <c r="R431" s="277"/>
      <c r="S431" s="410"/>
      <c r="T431" s="277"/>
      <c r="U431" s="277"/>
      <c r="V431" s="277"/>
      <c r="W431" s="277"/>
      <c r="X431" s="277"/>
      <c r="Y431" s="277"/>
      <c r="Z431" s="277"/>
    </row>
    <row r="432" ht="12.75" customHeight="1">
      <c r="A432" s="277"/>
      <c r="B432" s="278"/>
      <c r="C432" s="277"/>
      <c r="D432" s="277"/>
      <c r="E432" s="277"/>
      <c r="F432" s="277"/>
      <c r="G432" s="277"/>
      <c r="H432" s="277"/>
      <c r="I432" s="277"/>
      <c r="J432" s="277"/>
      <c r="K432" s="277"/>
      <c r="L432" s="277"/>
      <c r="M432" s="277"/>
      <c r="N432" s="277"/>
      <c r="O432" s="277"/>
      <c r="P432" s="277"/>
      <c r="Q432" s="277"/>
      <c r="R432" s="277"/>
      <c r="S432" s="410"/>
      <c r="T432" s="277"/>
      <c r="U432" s="277"/>
      <c r="V432" s="277"/>
      <c r="W432" s="277"/>
      <c r="X432" s="277"/>
      <c r="Y432" s="277"/>
      <c r="Z432" s="277"/>
    </row>
    <row r="433" ht="12.75" customHeight="1">
      <c r="A433" s="277"/>
      <c r="B433" s="278"/>
      <c r="C433" s="277"/>
      <c r="D433" s="277"/>
      <c r="E433" s="277"/>
      <c r="F433" s="277"/>
      <c r="G433" s="277"/>
      <c r="H433" s="277"/>
      <c r="I433" s="277"/>
      <c r="J433" s="277"/>
      <c r="K433" s="277"/>
      <c r="L433" s="277"/>
      <c r="M433" s="277"/>
      <c r="N433" s="277"/>
      <c r="O433" s="277"/>
      <c r="P433" s="277"/>
      <c r="Q433" s="277"/>
      <c r="R433" s="277"/>
      <c r="S433" s="410"/>
      <c r="T433" s="277"/>
      <c r="U433" s="277"/>
      <c r="V433" s="277"/>
      <c r="W433" s="277"/>
      <c r="X433" s="277"/>
      <c r="Y433" s="277"/>
      <c r="Z433" s="277"/>
    </row>
    <row r="434" ht="12.75" customHeight="1">
      <c r="A434" s="277"/>
      <c r="B434" s="278"/>
      <c r="C434" s="277"/>
      <c r="D434" s="277"/>
      <c r="E434" s="277"/>
      <c r="F434" s="277"/>
      <c r="G434" s="277"/>
      <c r="H434" s="277"/>
      <c r="I434" s="277"/>
      <c r="J434" s="277"/>
      <c r="K434" s="277"/>
      <c r="L434" s="277"/>
      <c r="M434" s="277"/>
      <c r="N434" s="277"/>
      <c r="O434" s="277"/>
      <c r="P434" s="277"/>
      <c r="Q434" s="277"/>
      <c r="R434" s="277"/>
      <c r="S434" s="410"/>
      <c r="T434" s="277"/>
      <c r="U434" s="277"/>
      <c r="V434" s="277"/>
      <c r="W434" s="277"/>
      <c r="X434" s="277"/>
      <c r="Y434" s="277"/>
      <c r="Z434" s="277"/>
    </row>
    <row r="435" ht="12.75" customHeight="1">
      <c r="A435" s="277"/>
      <c r="B435" s="278"/>
      <c r="C435" s="277"/>
      <c r="D435" s="277"/>
      <c r="E435" s="277"/>
      <c r="F435" s="277"/>
      <c r="G435" s="277"/>
      <c r="H435" s="277"/>
      <c r="I435" s="277"/>
      <c r="J435" s="277"/>
      <c r="K435" s="277"/>
      <c r="L435" s="277"/>
      <c r="M435" s="277"/>
      <c r="N435" s="277"/>
      <c r="O435" s="277"/>
      <c r="P435" s="277"/>
      <c r="Q435" s="277"/>
      <c r="R435" s="277"/>
      <c r="S435" s="410"/>
      <c r="T435" s="277"/>
      <c r="U435" s="277"/>
      <c r="V435" s="277"/>
      <c r="W435" s="277"/>
      <c r="X435" s="277"/>
      <c r="Y435" s="277"/>
      <c r="Z435" s="277"/>
    </row>
    <row r="436" ht="12.75" customHeight="1">
      <c r="A436" s="277"/>
      <c r="B436" s="278"/>
      <c r="C436" s="277"/>
      <c r="D436" s="277"/>
      <c r="E436" s="277"/>
      <c r="F436" s="277"/>
      <c r="G436" s="277"/>
      <c r="H436" s="277"/>
      <c r="I436" s="277"/>
      <c r="J436" s="277"/>
      <c r="K436" s="277"/>
      <c r="L436" s="277"/>
      <c r="M436" s="277"/>
      <c r="N436" s="277"/>
      <c r="O436" s="277"/>
      <c r="P436" s="277"/>
      <c r="Q436" s="277"/>
      <c r="R436" s="277"/>
      <c r="S436" s="410"/>
      <c r="T436" s="277"/>
      <c r="U436" s="277"/>
      <c r="V436" s="277"/>
      <c r="W436" s="277"/>
      <c r="X436" s="277"/>
      <c r="Y436" s="277"/>
      <c r="Z436" s="277"/>
    </row>
    <row r="437" ht="12.75" customHeight="1">
      <c r="A437" s="277"/>
      <c r="B437" s="278"/>
      <c r="C437" s="277"/>
      <c r="D437" s="277"/>
      <c r="E437" s="277"/>
      <c r="F437" s="277"/>
      <c r="G437" s="277"/>
      <c r="H437" s="277"/>
      <c r="I437" s="277"/>
      <c r="J437" s="277"/>
      <c r="K437" s="277"/>
      <c r="L437" s="277"/>
      <c r="M437" s="277"/>
      <c r="N437" s="277"/>
      <c r="O437" s="277"/>
      <c r="P437" s="277"/>
      <c r="Q437" s="277"/>
      <c r="R437" s="277"/>
      <c r="S437" s="410"/>
      <c r="T437" s="277"/>
      <c r="U437" s="277"/>
      <c r="V437" s="277"/>
      <c r="W437" s="277"/>
      <c r="X437" s="277"/>
      <c r="Y437" s="277"/>
      <c r="Z437" s="277"/>
    </row>
    <row r="438" ht="12.75" customHeight="1">
      <c r="A438" s="277"/>
      <c r="B438" s="278"/>
      <c r="C438" s="277"/>
      <c r="D438" s="277"/>
      <c r="E438" s="277"/>
      <c r="F438" s="277"/>
      <c r="G438" s="277"/>
      <c r="H438" s="277"/>
      <c r="I438" s="277"/>
      <c r="J438" s="277"/>
      <c r="K438" s="277"/>
      <c r="L438" s="277"/>
      <c r="M438" s="277"/>
      <c r="N438" s="277"/>
      <c r="O438" s="277"/>
      <c r="P438" s="277"/>
      <c r="Q438" s="277"/>
      <c r="R438" s="277"/>
      <c r="S438" s="410"/>
      <c r="T438" s="277"/>
      <c r="U438" s="277"/>
      <c r="V438" s="277"/>
      <c r="W438" s="277"/>
      <c r="X438" s="277"/>
      <c r="Y438" s="277"/>
      <c r="Z438" s="277"/>
    </row>
    <row r="439" ht="12.75" customHeight="1">
      <c r="A439" s="277"/>
      <c r="B439" s="278"/>
      <c r="C439" s="277"/>
      <c r="D439" s="277"/>
      <c r="E439" s="277"/>
      <c r="F439" s="277"/>
      <c r="G439" s="277"/>
      <c r="H439" s="277"/>
      <c r="I439" s="277"/>
      <c r="J439" s="277"/>
      <c r="K439" s="277"/>
      <c r="L439" s="277"/>
      <c r="M439" s="277"/>
      <c r="N439" s="277"/>
      <c r="O439" s="277"/>
      <c r="P439" s="277"/>
      <c r="Q439" s="277"/>
      <c r="R439" s="277"/>
      <c r="S439" s="410"/>
      <c r="T439" s="277"/>
      <c r="U439" s="277"/>
      <c r="V439" s="277"/>
      <c r="W439" s="277"/>
      <c r="X439" s="277"/>
      <c r="Y439" s="277"/>
      <c r="Z439" s="277"/>
    </row>
    <row r="440" ht="12.75" customHeight="1">
      <c r="A440" s="277"/>
      <c r="B440" s="278"/>
      <c r="C440" s="277"/>
      <c r="D440" s="277"/>
      <c r="E440" s="277"/>
      <c r="F440" s="277"/>
      <c r="G440" s="277"/>
      <c r="H440" s="277"/>
      <c r="I440" s="277"/>
      <c r="J440" s="277"/>
      <c r="K440" s="277"/>
      <c r="L440" s="277"/>
      <c r="M440" s="277"/>
      <c r="N440" s="277"/>
      <c r="O440" s="277"/>
      <c r="P440" s="277"/>
      <c r="Q440" s="277"/>
      <c r="R440" s="277"/>
      <c r="S440" s="410"/>
      <c r="T440" s="277"/>
      <c r="U440" s="277"/>
      <c r="V440" s="277"/>
      <c r="W440" s="277"/>
      <c r="X440" s="277"/>
      <c r="Y440" s="277"/>
      <c r="Z440" s="277"/>
    </row>
    <row r="441" ht="12.75" customHeight="1">
      <c r="A441" s="277"/>
      <c r="B441" s="278"/>
      <c r="C441" s="277"/>
      <c r="D441" s="277"/>
      <c r="E441" s="277"/>
      <c r="F441" s="277"/>
      <c r="G441" s="277"/>
      <c r="H441" s="277"/>
      <c r="I441" s="277"/>
      <c r="J441" s="277"/>
      <c r="K441" s="277"/>
      <c r="L441" s="277"/>
      <c r="M441" s="277"/>
      <c r="N441" s="277"/>
      <c r="O441" s="277"/>
      <c r="P441" s="277"/>
      <c r="Q441" s="277"/>
      <c r="R441" s="277"/>
      <c r="S441" s="410"/>
      <c r="T441" s="277"/>
      <c r="U441" s="277"/>
      <c r="V441" s="277"/>
      <c r="W441" s="277"/>
      <c r="X441" s="277"/>
      <c r="Y441" s="277"/>
      <c r="Z441" s="277"/>
    </row>
    <row r="442" ht="12.75" customHeight="1">
      <c r="A442" s="277"/>
      <c r="B442" s="278"/>
      <c r="C442" s="277"/>
      <c r="D442" s="277"/>
      <c r="E442" s="277"/>
      <c r="F442" s="277"/>
      <c r="G442" s="277"/>
      <c r="H442" s="277"/>
      <c r="I442" s="277"/>
      <c r="J442" s="277"/>
      <c r="K442" s="277"/>
      <c r="L442" s="277"/>
      <c r="M442" s="277"/>
      <c r="N442" s="277"/>
      <c r="O442" s="277"/>
      <c r="P442" s="277"/>
      <c r="Q442" s="277"/>
      <c r="R442" s="277"/>
      <c r="S442" s="410"/>
      <c r="T442" s="277"/>
      <c r="U442" s="277"/>
      <c r="V442" s="277"/>
      <c r="W442" s="277"/>
      <c r="X442" s="277"/>
      <c r="Y442" s="277"/>
      <c r="Z442" s="277"/>
    </row>
    <row r="443" ht="12.75" customHeight="1">
      <c r="A443" s="277"/>
      <c r="B443" s="278"/>
      <c r="C443" s="277"/>
      <c r="D443" s="277"/>
      <c r="E443" s="277"/>
      <c r="F443" s="277"/>
      <c r="G443" s="277"/>
      <c r="H443" s="277"/>
      <c r="I443" s="277"/>
      <c r="J443" s="277"/>
      <c r="K443" s="277"/>
      <c r="L443" s="277"/>
      <c r="M443" s="277"/>
      <c r="N443" s="277"/>
      <c r="O443" s="277"/>
      <c r="P443" s="277"/>
      <c r="Q443" s="277"/>
      <c r="R443" s="277"/>
      <c r="S443" s="410"/>
      <c r="T443" s="277"/>
      <c r="U443" s="277"/>
      <c r="V443" s="277"/>
      <c r="W443" s="277"/>
      <c r="X443" s="277"/>
      <c r="Y443" s="277"/>
      <c r="Z443" s="277"/>
    </row>
    <row r="444" ht="12.75" customHeight="1">
      <c r="A444" s="277"/>
      <c r="B444" s="278"/>
      <c r="C444" s="277"/>
      <c r="D444" s="277"/>
      <c r="E444" s="277"/>
      <c r="F444" s="277"/>
      <c r="G444" s="277"/>
      <c r="H444" s="277"/>
      <c r="I444" s="277"/>
      <c r="J444" s="277"/>
      <c r="K444" s="277"/>
      <c r="L444" s="277"/>
      <c r="M444" s="277"/>
      <c r="N444" s="277"/>
      <c r="O444" s="277"/>
      <c r="P444" s="277"/>
      <c r="Q444" s="277"/>
      <c r="R444" s="277"/>
      <c r="S444" s="410"/>
      <c r="T444" s="277"/>
      <c r="U444" s="277"/>
      <c r="V444" s="277"/>
      <c r="W444" s="277"/>
      <c r="X444" s="277"/>
      <c r="Y444" s="277"/>
      <c r="Z444" s="277"/>
    </row>
    <row r="445" ht="12.75" customHeight="1">
      <c r="A445" s="277"/>
      <c r="B445" s="278"/>
      <c r="C445" s="277"/>
      <c r="D445" s="277"/>
      <c r="E445" s="277"/>
      <c r="F445" s="277"/>
      <c r="G445" s="277"/>
      <c r="H445" s="277"/>
      <c r="I445" s="277"/>
      <c r="J445" s="277"/>
      <c r="K445" s="277"/>
      <c r="L445" s="277"/>
      <c r="M445" s="277"/>
      <c r="N445" s="277"/>
      <c r="O445" s="277"/>
      <c r="P445" s="277"/>
      <c r="Q445" s="277"/>
      <c r="R445" s="277"/>
      <c r="S445" s="410"/>
      <c r="T445" s="277"/>
      <c r="U445" s="277"/>
      <c r="V445" s="277"/>
      <c r="W445" s="277"/>
      <c r="X445" s="277"/>
      <c r="Y445" s="277"/>
      <c r="Z445" s="277"/>
    </row>
    <row r="446" ht="12.75" customHeight="1">
      <c r="A446" s="277"/>
      <c r="B446" s="278"/>
      <c r="C446" s="277"/>
      <c r="D446" s="277"/>
      <c r="E446" s="277"/>
      <c r="F446" s="277"/>
      <c r="G446" s="277"/>
      <c r="H446" s="277"/>
      <c r="I446" s="277"/>
      <c r="J446" s="277"/>
      <c r="K446" s="277"/>
      <c r="L446" s="277"/>
      <c r="M446" s="277"/>
      <c r="N446" s="277"/>
      <c r="O446" s="277"/>
      <c r="P446" s="277"/>
      <c r="Q446" s="277"/>
      <c r="R446" s="277"/>
      <c r="S446" s="410"/>
      <c r="T446" s="277"/>
      <c r="U446" s="277"/>
      <c r="V446" s="277"/>
      <c r="W446" s="277"/>
      <c r="X446" s="277"/>
      <c r="Y446" s="277"/>
      <c r="Z446" s="277"/>
    </row>
    <row r="447" ht="12.75" customHeight="1">
      <c r="A447" s="277"/>
      <c r="B447" s="278"/>
      <c r="C447" s="277"/>
      <c r="D447" s="277"/>
      <c r="E447" s="277"/>
      <c r="F447" s="277"/>
      <c r="G447" s="277"/>
      <c r="H447" s="277"/>
      <c r="I447" s="277"/>
      <c r="J447" s="277"/>
      <c r="K447" s="277"/>
      <c r="L447" s="277"/>
      <c r="M447" s="277"/>
      <c r="N447" s="277"/>
      <c r="O447" s="277"/>
      <c r="P447" s="277"/>
      <c r="Q447" s="277"/>
      <c r="R447" s="277"/>
      <c r="S447" s="410"/>
      <c r="T447" s="277"/>
      <c r="U447" s="277"/>
      <c r="V447" s="277"/>
      <c r="W447" s="277"/>
      <c r="X447" s="277"/>
      <c r="Y447" s="277"/>
      <c r="Z447" s="277"/>
    </row>
    <row r="448" ht="12.75" customHeight="1">
      <c r="A448" s="277"/>
      <c r="B448" s="278"/>
      <c r="C448" s="277"/>
      <c r="D448" s="277"/>
      <c r="E448" s="277"/>
      <c r="F448" s="277"/>
      <c r="G448" s="277"/>
      <c r="H448" s="277"/>
      <c r="I448" s="277"/>
      <c r="J448" s="277"/>
      <c r="K448" s="277"/>
      <c r="L448" s="277"/>
      <c r="M448" s="277"/>
      <c r="N448" s="277"/>
      <c r="O448" s="277"/>
      <c r="P448" s="277"/>
      <c r="Q448" s="277"/>
      <c r="R448" s="277"/>
      <c r="S448" s="410"/>
      <c r="T448" s="277"/>
      <c r="U448" s="277"/>
      <c r="V448" s="277"/>
      <c r="W448" s="277"/>
      <c r="X448" s="277"/>
      <c r="Y448" s="277"/>
      <c r="Z448" s="277"/>
    </row>
    <row r="449" ht="12.75" customHeight="1">
      <c r="A449" s="277"/>
      <c r="B449" s="278"/>
      <c r="C449" s="277"/>
      <c r="D449" s="277"/>
      <c r="E449" s="277"/>
      <c r="F449" s="277"/>
      <c r="G449" s="277"/>
      <c r="H449" s="277"/>
      <c r="I449" s="277"/>
      <c r="J449" s="277"/>
      <c r="K449" s="277"/>
      <c r="L449" s="277"/>
      <c r="M449" s="277"/>
      <c r="N449" s="277"/>
      <c r="O449" s="277"/>
      <c r="P449" s="277"/>
      <c r="Q449" s="277"/>
      <c r="R449" s="277"/>
      <c r="S449" s="410"/>
      <c r="T449" s="277"/>
      <c r="U449" s="277"/>
      <c r="V449" s="277"/>
      <c r="W449" s="277"/>
      <c r="X449" s="277"/>
      <c r="Y449" s="277"/>
      <c r="Z449" s="277"/>
    </row>
    <row r="450" ht="12.75" customHeight="1">
      <c r="A450" s="277"/>
      <c r="B450" s="278"/>
      <c r="C450" s="277"/>
      <c r="D450" s="277"/>
      <c r="E450" s="277"/>
      <c r="F450" s="277"/>
      <c r="G450" s="277"/>
      <c r="H450" s="277"/>
      <c r="I450" s="277"/>
      <c r="J450" s="277"/>
      <c r="K450" s="277"/>
      <c r="L450" s="277"/>
      <c r="M450" s="277"/>
      <c r="N450" s="277"/>
      <c r="O450" s="277"/>
      <c r="P450" s="277"/>
      <c r="Q450" s="277"/>
      <c r="R450" s="277"/>
      <c r="S450" s="410"/>
      <c r="T450" s="277"/>
      <c r="U450" s="277"/>
      <c r="V450" s="277"/>
      <c r="W450" s="277"/>
      <c r="X450" s="277"/>
      <c r="Y450" s="277"/>
      <c r="Z450" s="277"/>
    </row>
    <row r="451" ht="12.75" customHeight="1">
      <c r="A451" s="277"/>
      <c r="B451" s="278"/>
      <c r="C451" s="277"/>
      <c r="D451" s="277"/>
      <c r="E451" s="277"/>
      <c r="F451" s="277"/>
      <c r="G451" s="277"/>
      <c r="H451" s="277"/>
      <c r="I451" s="277"/>
      <c r="J451" s="277"/>
      <c r="K451" s="277"/>
      <c r="L451" s="277"/>
      <c r="M451" s="277"/>
      <c r="N451" s="277"/>
      <c r="O451" s="277"/>
      <c r="P451" s="277"/>
      <c r="Q451" s="277"/>
      <c r="R451" s="277"/>
      <c r="S451" s="410"/>
      <c r="T451" s="277"/>
      <c r="U451" s="277"/>
      <c r="V451" s="277"/>
      <c r="W451" s="277"/>
      <c r="X451" s="277"/>
      <c r="Y451" s="277"/>
      <c r="Z451" s="277"/>
    </row>
    <row r="452" ht="12.75" customHeight="1">
      <c r="A452" s="277"/>
      <c r="B452" s="278"/>
      <c r="C452" s="277"/>
      <c r="D452" s="277"/>
      <c r="E452" s="277"/>
      <c r="F452" s="277"/>
      <c r="G452" s="277"/>
      <c r="H452" s="277"/>
      <c r="I452" s="277"/>
      <c r="J452" s="277"/>
      <c r="K452" s="277"/>
      <c r="L452" s="277"/>
      <c r="M452" s="277"/>
      <c r="N452" s="277"/>
      <c r="O452" s="277"/>
      <c r="P452" s="277"/>
      <c r="Q452" s="277"/>
      <c r="R452" s="277"/>
      <c r="S452" s="410"/>
      <c r="T452" s="277"/>
      <c r="U452" s="277"/>
      <c r="V452" s="277"/>
      <c r="W452" s="277"/>
      <c r="X452" s="277"/>
      <c r="Y452" s="277"/>
      <c r="Z452" s="277"/>
    </row>
    <row r="453" ht="12.75" customHeight="1">
      <c r="A453" s="277"/>
      <c r="B453" s="278"/>
      <c r="C453" s="277"/>
      <c r="D453" s="277"/>
      <c r="E453" s="277"/>
      <c r="F453" s="277"/>
      <c r="G453" s="277"/>
      <c r="H453" s="277"/>
      <c r="I453" s="277"/>
      <c r="J453" s="277"/>
      <c r="K453" s="277"/>
      <c r="L453" s="277"/>
      <c r="M453" s="277"/>
      <c r="N453" s="277"/>
      <c r="O453" s="277"/>
      <c r="P453" s="277"/>
      <c r="Q453" s="277"/>
      <c r="R453" s="277"/>
      <c r="S453" s="410"/>
      <c r="T453" s="277"/>
      <c r="U453" s="277"/>
      <c r="V453" s="277"/>
      <c r="W453" s="277"/>
      <c r="X453" s="277"/>
      <c r="Y453" s="277"/>
      <c r="Z453" s="277"/>
    </row>
    <row r="454" ht="12.75" customHeight="1">
      <c r="A454" s="277"/>
      <c r="B454" s="278"/>
      <c r="C454" s="277"/>
      <c r="D454" s="277"/>
      <c r="E454" s="277"/>
      <c r="F454" s="277"/>
      <c r="G454" s="277"/>
      <c r="H454" s="277"/>
      <c r="I454" s="277"/>
      <c r="J454" s="277"/>
      <c r="K454" s="277"/>
      <c r="L454" s="277"/>
      <c r="M454" s="277"/>
      <c r="N454" s="277"/>
      <c r="O454" s="277"/>
      <c r="P454" s="277"/>
      <c r="Q454" s="277"/>
      <c r="R454" s="277"/>
      <c r="S454" s="410"/>
      <c r="T454" s="277"/>
      <c r="U454" s="277"/>
      <c r="V454" s="277"/>
      <c r="W454" s="277"/>
      <c r="X454" s="277"/>
      <c r="Y454" s="277"/>
      <c r="Z454" s="277"/>
    </row>
    <row r="455" ht="12.75" customHeight="1">
      <c r="A455" s="277"/>
      <c r="B455" s="278"/>
      <c r="C455" s="277"/>
      <c r="D455" s="277"/>
      <c r="E455" s="277"/>
      <c r="F455" s="277"/>
      <c r="G455" s="277"/>
      <c r="H455" s="277"/>
      <c r="I455" s="277"/>
      <c r="J455" s="277"/>
      <c r="K455" s="277"/>
      <c r="L455" s="277"/>
      <c r="M455" s="277"/>
      <c r="N455" s="277"/>
      <c r="O455" s="277"/>
      <c r="P455" s="277"/>
      <c r="Q455" s="277"/>
      <c r="R455" s="277"/>
      <c r="S455" s="410"/>
      <c r="T455" s="277"/>
      <c r="U455" s="277"/>
      <c r="V455" s="277"/>
      <c r="W455" s="277"/>
      <c r="X455" s="277"/>
      <c r="Y455" s="277"/>
      <c r="Z455" s="277"/>
    </row>
    <row r="456" ht="12.75" customHeight="1">
      <c r="A456" s="277"/>
      <c r="B456" s="278"/>
      <c r="C456" s="277"/>
      <c r="D456" s="277"/>
      <c r="E456" s="277"/>
      <c r="F456" s="277"/>
      <c r="G456" s="277"/>
      <c r="H456" s="277"/>
      <c r="I456" s="277"/>
      <c r="J456" s="277"/>
      <c r="K456" s="277"/>
      <c r="L456" s="277"/>
      <c r="M456" s="277"/>
      <c r="N456" s="277"/>
      <c r="O456" s="277"/>
      <c r="P456" s="277"/>
      <c r="Q456" s="277"/>
      <c r="R456" s="277"/>
      <c r="S456" s="410"/>
      <c r="T456" s="277"/>
      <c r="U456" s="277"/>
      <c r="V456" s="277"/>
      <c r="W456" s="277"/>
      <c r="X456" s="277"/>
      <c r="Y456" s="277"/>
      <c r="Z456" s="277"/>
    </row>
    <row r="457" ht="12.75" customHeight="1">
      <c r="A457" s="277"/>
      <c r="B457" s="278"/>
      <c r="C457" s="277"/>
      <c r="D457" s="277"/>
      <c r="E457" s="277"/>
      <c r="F457" s="277"/>
      <c r="G457" s="277"/>
      <c r="H457" s="277"/>
      <c r="I457" s="277"/>
      <c r="J457" s="277"/>
      <c r="K457" s="277"/>
      <c r="L457" s="277"/>
      <c r="M457" s="277"/>
      <c r="N457" s="277"/>
      <c r="O457" s="277"/>
      <c r="P457" s="277"/>
      <c r="Q457" s="277"/>
      <c r="R457" s="277"/>
      <c r="S457" s="410"/>
      <c r="T457" s="277"/>
      <c r="U457" s="277"/>
      <c r="V457" s="277"/>
      <c r="W457" s="277"/>
      <c r="X457" s="277"/>
      <c r="Y457" s="277"/>
      <c r="Z457" s="277"/>
    </row>
    <row r="458" ht="12.75" customHeight="1">
      <c r="A458" s="277"/>
      <c r="B458" s="278"/>
      <c r="C458" s="277"/>
      <c r="D458" s="277"/>
      <c r="E458" s="277"/>
      <c r="F458" s="277"/>
      <c r="G458" s="277"/>
      <c r="H458" s="277"/>
      <c r="I458" s="277"/>
      <c r="J458" s="277"/>
      <c r="K458" s="277"/>
      <c r="L458" s="277"/>
      <c r="M458" s="277"/>
      <c r="N458" s="277"/>
      <c r="O458" s="277"/>
      <c r="P458" s="277"/>
      <c r="Q458" s="277"/>
      <c r="R458" s="277"/>
      <c r="S458" s="410"/>
      <c r="T458" s="277"/>
      <c r="U458" s="277"/>
      <c r="V458" s="277"/>
      <c r="W458" s="277"/>
      <c r="X458" s="277"/>
      <c r="Y458" s="277"/>
      <c r="Z458" s="277"/>
    </row>
    <row r="459" ht="12.75" customHeight="1">
      <c r="A459" s="277"/>
      <c r="B459" s="278"/>
      <c r="C459" s="277"/>
      <c r="D459" s="277"/>
      <c r="E459" s="277"/>
      <c r="F459" s="277"/>
      <c r="G459" s="277"/>
      <c r="H459" s="277"/>
      <c r="I459" s="277"/>
      <c r="J459" s="277"/>
      <c r="K459" s="277"/>
      <c r="L459" s="277"/>
      <c r="M459" s="277"/>
      <c r="N459" s="277"/>
      <c r="O459" s="277"/>
      <c r="P459" s="277"/>
      <c r="Q459" s="277"/>
      <c r="R459" s="277"/>
      <c r="S459" s="410"/>
      <c r="T459" s="277"/>
      <c r="U459" s="277"/>
      <c r="V459" s="277"/>
      <c r="W459" s="277"/>
      <c r="X459" s="277"/>
      <c r="Y459" s="277"/>
      <c r="Z459" s="277"/>
    </row>
    <row r="460" ht="12.75" customHeight="1">
      <c r="A460" s="277"/>
      <c r="B460" s="278"/>
      <c r="C460" s="277"/>
      <c r="D460" s="277"/>
      <c r="E460" s="277"/>
      <c r="F460" s="277"/>
      <c r="G460" s="277"/>
      <c r="H460" s="277"/>
      <c r="I460" s="277"/>
      <c r="J460" s="277"/>
      <c r="K460" s="277"/>
      <c r="L460" s="277"/>
      <c r="M460" s="277"/>
      <c r="N460" s="277"/>
      <c r="O460" s="277"/>
      <c r="P460" s="277"/>
      <c r="Q460" s="277"/>
      <c r="R460" s="277"/>
      <c r="S460" s="410"/>
      <c r="T460" s="277"/>
      <c r="U460" s="277"/>
      <c r="V460" s="277"/>
      <c r="W460" s="277"/>
      <c r="X460" s="277"/>
      <c r="Y460" s="277"/>
      <c r="Z460" s="277"/>
    </row>
    <row r="461" ht="12.75" customHeight="1">
      <c r="A461" s="277"/>
      <c r="B461" s="278"/>
      <c r="C461" s="277"/>
      <c r="D461" s="277"/>
      <c r="E461" s="277"/>
      <c r="F461" s="277"/>
      <c r="G461" s="277"/>
      <c r="H461" s="277"/>
      <c r="I461" s="277"/>
      <c r="J461" s="277"/>
      <c r="K461" s="277"/>
      <c r="L461" s="277"/>
      <c r="M461" s="277"/>
      <c r="N461" s="277"/>
      <c r="O461" s="277"/>
      <c r="P461" s="277"/>
      <c r="Q461" s="277"/>
      <c r="R461" s="277"/>
      <c r="S461" s="410"/>
      <c r="T461" s="277"/>
      <c r="U461" s="277"/>
      <c r="V461" s="277"/>
      <c r="W461" s="277"/>
      <c r="X461" s="277"/>
      <c r="Y461" s="277"/>
      <c r="Z461" s="277"/>
    </row>
    <row r="462" ht="12.75" customHeight="1">
      <c r="A462" s="277"/>
      <c r="B462" s="278"/>
      <c r="C462" s="277"/>
      <c r="D462" s="277"/>
      <c r="E462" s="277"/>
      <c r="F462" s="277"/>
      <c r="G462" s="277"/>
      <c r="H462" s="277"/>
      <c r="I462" s="277"/>
      <c r="J462" s="277"/>
      <c r="K462" s="277"/>
      <c r="L462" s="277"/>
      <c r="M462" s="277"/>
      <c r="N462" s="277"/>
      <c r="O462" s="277"/>
      <c r="P462" s="277"/>
      <c r="Q462" s="277"/>
      <c r="R462" s="277"/>
      <c r="S462" s="410"/>
      <c r="T462" s="277"/>
      <c r="U462" s="277"/>
      <c r="V462" s="277"/>
      <c r="W462" s="277"/>
      <c r="X462" s="277"/>
      <c r="Y462" s="277"/>
      <c r="Z462" s="277"/>
    </row>
    <row r="463" ht="12.75" customHeight="1">
      <c r="A463" s="277"/>
      <c r="B463" s="278"/>
      <c r="C463" s="277"/>
      <c r="D463" s="277"/>
      <c r="E463" s="277"/>
      <c r="F463" s="277"/>
      <c r="G463" s="277"/>
      <c r="H463" s="277"/>
      <c r="I463" s="277"/>
      <c r="J463" s="277"/>
      <c r="K463" s="277"/>
      <c r="L463" s="277"/>
      <c r="M463" s="277"/>
      <c r="N463" s="277"/>
      <c r="O463" s="277"/>
      <c r="P463" s="277"/>
      <c r="Q463" s="277"/>
      <c r="R463" s="277"/>
      <c r="S463" s="410"/>
      <c r="T463" s="277"/>
      <c r="U463" s="277"/>
      <c r="V463" s="277"/>
      <c r="W463" s="277"/>
      <c r="X463" s="277"/>
      <c r="Y463" s="277"/>
      <c r="Z463" s="277"/>
    </row>
    <row r="464" ht="12.75" customHeight="1">
      <c r="A464" s="277"/>
      <c r="B464" s="278"/>
      <c r="C464" s="277"/>
      <c r="D464" s="277"/>
      <c r="E464" s="277"/>
      <c r="F464" s="277"/>
      <c r="G464" s="277"/>
      <c r="H464" s="277"/>
      <c r="I464" s="277"/>
      <c r="J464" s="277"/>
      <c r="K464" s="277"/>
      <c r="L464" s="277"/>
      <c r="M464" s="277"/>
      <c r="N464" s="277"/>
      <c r="O464" s="277"/>
      <c r="P464" s="277"/>
      <c r="Q464" s="277"/>
      <c r="R464" s="277"/>
      <c r="S464" s="410"/>
      <c r="T464" s="277"/>
      <c r="U464" s="277"/>
      <c r="V464" s="277"/>
      <c r="W464" s="277"/>
      <c r="X464" s="277"/>
      <c r="Y464" s="277"/>
      <c r="Z464" s="277"/>
    </row>
    <row r="465" ht="12.75" customHeight="1">
      <c r="A465" s="277"/>
      <c r="B465" s="278"/>
      <c r="C465" s="277"/>
      <c r="D465" s="277"/>
      <c r="E465" s="277"/>
      <c r="F465" s="277"/>
      <c r="G465" s="277"/>
      <c r="H465" s="277"/>
      <c r="I465" s="277"/>
      <c r="J465" s="277"/>
      <c r="K465" s="277"/>
      <c r="L465" s="277"/>
      <c r="M465" s="277"/>
      <c r="N465" s="277"/>
      <c r="O465" s="277"/>
      <c r="P465" s="277"/>
      <c r="Q465" s="277"/>
      <c r="R465" s="277"/>
      <c r="S465" s="410"/>
      <c r="T465" s="277"/>
      <c r="U465" s="277"/>
      <c r="V465" s="277"/>
      <c r="W465" s="277"/>
      <c r="X465" s="277"/>
      <c r="Y465" s="277"/>
      <c r="Z465" s="277"/>
    </row>
    <row r="466" ht="12.75" customHeight="1">
      <c r="A466" s="277"/>
      <c r="B466" s="278"/>
      <c r="C466" s="277"/>
      <c r="D466" s="277"/>
      <c r="E466" s="277"/>
      <c r="F466" s="277"/>
      <c r="G466" s="277"/>
      <c r="H466" s="277"/>
      <c r="I466" s="277"/>
      <c r="J466" s="277"/>
      <c r="K466" s="277"/>
      <c r="L466" s="277"/>
      <c r="M466" s="277"/>
      <c r="N466" s="277"/>
      <c r="O466" s="277"/>
      <c r="P466" s="277"/>
      <c r="Q466" s="277"/>
      <c r="R466" s="277"/>
      <c r="S466" s="410"/>
      <c r="T466" s="277"/>
      <c r="U466" s="277"/>
      <c r="V466" s="277"/>
      <c r="W466" s="277"/>
      <c r="X466" s="277"/>
      <c r="Y466" s="277"/>
      <c r="Z466" s="277"/>
    </row>
    <row r="467" ht="12.75" customHeight="1">
      <c r="A467" s="277"/>
      <c r="B467" s="278"/>
      <c r="C467" s="277"/>
      <c r="D467" s="277"/>
      <c r="E467" s="277"/>
      <c r="F467" s="277"/>
      <c r="G467" s="277"/>
      <c r="H467" s="277"/>
      <c r="I467" s="277"/>
      <c r="J467" s="277"/>
      <c r="K467" s="277"/>
      <c r="L467" s="277"/>
      <c r="M467" s="277"/>
      <c r="N467" s="277"/>
      <c r="O467" s="277"/>
      <c r="P467" s="277"/>
      <c r="Q467" s="277"/>
      <c r="R467" s="277"/>
      <c r="S467" s="410"/>
      <c r="T467" s="277"/>
      <c r="U467" s="277"/>
      <c r="V467" s="277"/>
      <c r="W467" s="277"/>
      <c r="X467" s="277"/>
      <c r="Y467" s="277"/>
      <c r="Z467" s="277"/>
    </row>
    <row r="468" ht="12.75" customHeight="1">
      <c r="A468" s="277"/>
      <c r="B468" s="278"/>
      <c r="C468" s="277"/>
      <c r="D468" s="277"/>
      <c r="E468" s="277"/>
      <c r="F468" s="277"/>
      <c r="G468" s="277"/>
      <c r="H468" s="277"/>
      <c r="I468" s="277"/>
      <c r="J468" s="277"/>
      <c r="K468" s="277"/>
      <c r="L468" s="277"/>
      <c r="M468" s="277"/>
      <c r="N468" s="277"/>
      <c r="O468" s="277"/>
      <c r="P468" s="277"/>
      <c r="Q468" s="277"/>
      <c r="R468" s="277"/>
      <c r="S468" s="410"/>
      <c r="T468" s="277"/>
      <c r="U468" s="277"/>
      <c r="V468" s="277"/>
      <c r="W468" s="277"/>
      <c r="X468" s="277"/>
      <c r="Y468" s="277"/>
      <c r="Z468" s="277"/>
    </row>
    <row r="469" ht="12.75" customHeight="1">
      <c r="A469" s="277"/>
      <c r="B469" s="278"/>
      <c r="C469" s="277"/>
      <c r="D469" s="277"/>
      <c r="E469" s="277"/>
      <c r="F469" s="277"/>
      <c r="G469" s="277"/>
      <c r="H469" s="277"/>
      <c r="I469" s="277"/>
      <c r="J469" s="277"/>
      <c r="K469" s="277"/>
      <c r="L469" s="277"/>
      <c r="M469" s="277"/>
      <c r="N469" s="277"/>
      <c r="O469" s="277"/>
      <c r="P469" s="277"/>
      <c r="Q469" s="277"/>
      <c r="R469" s="277"/>
      <c r="S469" s="410"/>
      <c r="T469" s="277"/>
      <c r="U469" s="277"/>
      <c r="V469" s="277"/>
      <c r="W469" s="277"/>
      <c r="X469" s="277"/>
      <c r="Y469" s="277"/>
      <c r="Z469" s="277"/>
    </row>
    <row r="470" ht="12.75" customHeight="1">
      <c r="A470" s="277"/>
      <c r="B470" s="278"/>
      <c r="C470" s="277"/>
      <c r="D470" s="277"/>
      <c r="E470" s="277"/>
      <c r="F470" s="277"/>
      <c r="G470" s="277"/>
      <c r="H470" s="277"/>
      <c r="I470" s="277"/>
      <c r="J470" s="277"/>
      <c r="K470" s="277"/>
      <c r="L470" s="277"/>
      <c r="M470" s="277"/>
      <c r="N470" s="277"/>
      <c r="O470" s="277"/>
      <c r="P470" s="277"/>
      <c r="Q470" s="277"/>
      <c r="R470" s="277"/>
      <c r="S470" s="410"/>
      <c r="T470" s="277"/>
      <c r="U470" s="277"/>
      <c r="V470" s="277"/>
      <c r="W470" s="277"/>
      <c r="X470" s="277"/>
      <c r="Y470" s="277"/>
      <c r="Z470" s="277"/>
    </row>
    <row r="471" ht="12.75" customHeight="1">
      <c r="A471" s="277"/>
      <c r="B471" s="278"/>
      <c r="C471" s="277"/>
      <c r="D471" s="277"/>
      <c r="E471" s="277"/>
      <c r="F471" s="277"/>
      <c r="G471" s="277"/>
      <c r="H471" s="277"/>
      <c r="I471" s="277"/>
      <c r="J471" s="277"/>
      <c r="K471" s="277"/>
      <c r="L471" s="277"/>
      <c r="M471" s="277"/>
      <c r="N471" s="277"/>
      <c r="O471" s="277"/>
      <c r="P471" s="277"/>
      <c r="Q471" s="277"/>
      <c r="R471" s="277"/>
      <c r="S471" s="410"/>
      <c r="T471" s="277"/>
      <c r="U471" s="277"/>
      <c r="V471" s="277"/>
      <c r="W471" s="277"/>
      <c r="X471" s="277"/>
      <c r="Y471" s="277"/>
      <c r="Z471" s="277"/>
    </row>
    <row r="472" ht="12.75" customHeight="1">
      <c r="A472" s="277"/>
      <c r="B472" s="278"/>
      <c r="C472" s="277"/>
      <c r="D472" s="277"/>
      <c r="E472" s="277"/>
      <c r="F472" s="277"/>
      <c r="G472" s="277"/>
      <c r="H472" s="277"/>
      <c r="I472" s="277"/>
      <c r="J472" s="277"/>
      <c r="K472" s="277"/>
      <c r="L472" s="277"/>
      <c r="M472" s="277"/>
      <c r="N472" s="277"/>
      <c r="O472" s="277"/>
      <c r="P472" s="277"/>
      <c r="Q472" s="277"/>
      <c r="R472" s="277"/>
      <c r="S472" s="410"/>
      <c r="T472" s="277"/>
      <c r="U472" s="277"/>
      <c r="V472" s="277"/>
      <c r="W472" s="277"/>
      <c r="X472" s="277"/>
      <c r="Y472" s="277"/>
      <c r="Z472" s="277"/>
    </row>
    <row r="473" ht="12.75" customHeight="1">
      <c r="A473" s="277"/>
      <c r="B473" s="278"/>
      <c r="C473" s="277"/>
      <c r="D473" s="277"/>
      <c r="E473" s="277"/>
      <c r="F473" s="277"/>
      <c r="G473" s="277"/>
      <c r="H473" s="277"/>
      <c r="I473" s="277"/>
      <c r="J473" s="277"/>
      <c r="K473" s="277"/>
      <c r="L473" s="277"/>
      <c r="M473" s="277"/>
      <c r="N473" s="277"/>
      <c r="O473" s="277"/>
      <c r="P473" s="277"/>
      <c r="Q473" s="277"/>
      <c r="R473" s="277"/>
      <c r="S473" s="410"/>
      <c r="T473" s="277"/>
      <c r="U473" s="277"/>
      <c r="V473" s="277"/>
      <c r="W473" s="277"/>
      <c r="X473" s="277"/>
      <c r="Y473" s="277"/>
      <c r="Z473" s="277"/>
    </row>
    <row r="474" ht="12.75" customHeight="1">
      <c r="A474" s="277"/>
      <c r="B474" s="278"/>
      <c r="C474" s="277"/>
      <c r="D474" s="277"/>
      <c r="E474" s="277"/>
      <c r="F474" s="277"/>
      <c r="G474" s="277"/>
      <c r="H474" s="277"/>
      <c r="I474" s="277"/>
      <c r="J474" s="277"/>
      <c r="K474" s="277"/>
      <c r="L474" s="277"/>
      <c r="M474" s="277"/>
      <c r="N474" s="277"/>
      <c r="O474" s="277"/>
      <c r="P474" s="277"/>
      <c r="Q474" s="277"/>
      <c r="R474" s="277"/>
      <c r="S474" s="410"/>
      <c r="T474" s="277"/>
      <c r="U474" s="277"/>
      <c r="V474" s="277"/>
      <c r="W474" s="277"/>
      <c r="X474" s="277"/>
      <c r="Y474" s="277"/>
      <c r="Z474" s="277"/>
    </row>
    <row r="475" ht="12.75" customHeight="1">
      <c r="A475" s="277"/>
      <c r="B475" s="278"/>
      <c r="C475" s="277"/>
      <c r="D475" s="277"/>
      <c r="E475" s="277"/>
      <c r="F475" s="277"/>
      <c r="G475" s="277"/>
      <c r="H475" s="277"/>
      <c r="I475" s="277"/>
      <c r="J475" s="277"/>
      <c r="K475" s="277"/>
      <c r="L475" s="277"/>
      <c r="M475" s="277"/>
      <c r="N475" s="277"/>
      <c r="O475" s="277"/>
      <c r="P475" s="277"/>
      <c r="Q475" s="277"/>
      <c r="R475" s="277"/>
      <c r="S475" s="410"/>
      <c r="T475" s="277"/>
      <c r="U475" s="277"/>
      <c r="V475" s="277"/>
      <c r="W475" s="277"/>
      <c r="X475" s="277"/>
      <c r="Y475" s="277"/>
      <c r="Z475" s="277"/>
    </row>
    <row r="476" ht="12.75" customHeight="1">
      <c r="A476" s="277"/>
      <c r="B476" s="278"/>
      <c r="C476" s="277"/>
      <c r="D476" s="277"/>
      <c r="E476" s="277"/>
      <c r="F476" s="277"/>
      <c r="G476" s="277"/>
      <c r="H476" s="277"/>
      <c r="I476" s="277"/>
      <c r="J476" s="277"/>
      <c r="K476" s="277"/>
      <c r="L476" s="277"/>
      <c r="M476" s="277"/>
      <c r="N476" s="277"/>
      <c r="O476" s="277"/>
      <c r="P476" s="277"/>
      <c r="Q476" s="277"/>
      <c r="R476" s="277"/>
      <c r="S476" s="410"/>
      <c r="T476" s="277"/>
      <c r="U476" s="277"/>
      <c r="V476" s="277"/>
      <c r="W476" s="277"/>
      <c r="X476" s="277"/>
      <c r="Y476" s="277"/>
      <c r="Z476" s="277"/>
    </row>
    <row r="477" ht="12.75" customHeight="1">
      <c r="A477" s="277"/>
      <c r="B477" s="278"/>
      <c r="C477" s="277"/>
      <c r="D477" s="277"/>
      <c r="E477" s="277"/>
      <c r="F477" s="277"/>
      <c r="G477" s="277"/>
      <c r="H477" s="277"/>
      <c r="I477" s="277"/>
      <c r="J477" s="277"/>
      <c r="K477" s="277"/>
      <c r="L477" s="277"/>
      <c r="M477" s="277"/>
      <c r="N477" s="277"/>
      <c r="O477" s="277"/>
      <c r="P477" s="277"/>
      <c r="Q477" s="277"/>
      <c r="R477" s="277"/>
      <c r="S477" s="410"/>
      <c r="T477" s="277"/>
      <c r="U477" s="277"/>
      <c r="V477" s="277"/>
      <c r="W477" s="277"/>
      <c r="X477" s="277"/>
      <c r="Y477" s="277"/>
      <c r="Z477" s="277"/>
    </row>
    <row r="478" ht="12.75" customHeight="1">
      <c r="A478" s="277"/>
      <c r="B478" s="278"/>
      <c r="C478" s="277"/>
      <c r="D478" s="277"/>
      <c r="E478" s="277"/>
      <c r="F478" s="277"/>
      <c r="G478" s="277"/>
      <c r="H478" s="277"/>
      <c r="I478" s="277"/>
      <c r="J478" s="277"/>
      <c r="K478" s="277"/>
      <c r="L478" s="277"/>
      <c r="M478" s="277"/>
      <c r="N478" s="277"/>
      <c r="O478" s="277"/>
      <c r="P478" s="277"/>
      <c r="Q478" s="277"/>
      <c r="R478" s="277"/>
      <c r="S478" s="410"/>
      <c r="T478" s="277"/>
      <c r="U478" s="277"/>
      <c r="V478" s="277"/>
      <c r="W478" s="277"/>
      <c r="X478" s="277"/>
      <c r="Y478" s="277"/>
      <c r="Z478" s="277"/>
    </row>
    <row r="479" ht="12.75" customHeight="1">
      <c r="A479" s="277"/>
      <c r="B479" s="278"/>
      <c r="C479" s="277"/>
      <c r="D479" s="277"/>
      <c r="E479" s="277"/>
      <c r="F479" s="277"/>
      <c r="G479" s="277"/>
      <c r="H479" s="277"/>
      <c r="I479" s="277"/>
      <c r="J479" s="277"/>
      <c r="K479" s="277"/>
      <c r="L479" s="277"/>
      <c r="M479" s="277"/>
      <c r="N479" s="277"/>
      <c r="O479" s="277"/>
      <c r="P479" s="277"/>
      <c r="Q479" s="277"/>
      <c r="R479" s="277"/>
      <c r="S479" s="410"/>
      <c r="T479" s="277"/>
      <c r="U479" s="277"/>
      <c r="V479" s="277"/>
      <c r="W479" s="277"/>
      <c r="X479" s="277"/>
      <c r="Y479" s="277"/>
      <c r="Z479" s="277"/>
    </row>
    <row r="480" ht="12.75" customHeight="1">
      <c r="A480" s="277"/>
      <c r="B480" s="278"/>
      <c r="C480" s="277"/>
      <c r="D480" s="277"/>
      <c r="E480" s="277"/>
      <c r="F480" s="277"/>
      <c r="G480" s="277"/>
      <c r="H480" s="277"/>
      <c r="I480" s="277"/>
      <c r="J480" s="277"/>
      <c r="K480" s="277"/>
      <c r="L480" s="277"/>
      <c r="M480" s="277"/>
      <c r="N480" s="277"/>
      <c r="O480" s="277"/>
      <c r="P480" s="277"/>
      <c r="Q480" s="277"/>
      <c r="R480" s="277"/>
      <c r="S480" s="410"/>
      <c r="T480" s="277"/>
      <c r="U480" s="277"/>
      <c r="V480" s="277"/>
      <c r="W480" s="277"/>
      <c r="X480" s="277"/>
      <c r="Y480" s="277"/>
      <c r="Z480" s="277"/>
    </row>
    <row r="481" ht="12.75" customHeight="1">
      <c r="A481" s="277"/>
      <c r="B481" s="278"/>
      <c r="C481" s="277"/>
      <c r="D481" s="277"/>
      <c r="E481" s="277"/>
      <c r="F481" s="277"/>
      <c r="G481" s="277"/>
      <c r="H481" s="277"/>
      <c r="I481" s="277"/>
      <c r="J481" s="277"/>
      <c r="K481" s="277"/>
      <c r="L481" s="277"/>
      <c r="M481" s="277"/>
      <c r="N481" s="277"/>
      <c r="O481" s="277"/>
      <c r="P481" s="277"/>
      <c r="Q481" s="277"/>
      <c r="R481" s="277"/>
      <c r="S481" s="410"/>
      <c r="T481" s="277"/>
      <c r="U481" s="277"/>
      <c r="V481" s="277"/>
      <c r="W481" s="277"/>
      <c r="X481" s="277"/>
      <c r="Y481" s="277"/>
      <c r="Z481" s="277"/>
    </row>
    <row r="482" ht="12.75" customHeight="1">
      <c r="A482" s="277"/>
      <c r="B482" s="278"/>
      <c r="C482" s="277"/>
      <c r="D482" s="277"/>
      <c r="E482" s="277"/>
      <c r="F482" s="277"/>
      <c r="G482" s="277"/>
      <c r="H482" s="277"/>
      <c r="I482" s="277"/>
      <c r="J482" s="277"/>
      <c r="K482" s="277"/>
      <c r="L482" s="277"/>
      <c r="M482" s="277"/>
      <c r="N482" s="277"/>
      <c r="O482" s="277"/>
      <c r="P482" s="277"/>
      <c r="Q482" s="277"/>
      <c r="R482" s="277"/>
      <c r="S482" s="410"/>
      <c r="T482" s="277"/>
      <c r="U482" s="277"/>
      <c r="V482" s="277"/>
      <c r="W482" s="277"/>
      <c r="X482" s="277"/>
      <c r="Y482" s="277"/>
      <c r="Z482" s="277"/>
    </row>
    <row r="483" ht="12.75" customHeight="1">
      <c r="A483" s="277"/>
      <c r="B483" s="278"/>
      <c r="C483" s="277"/>
      <c r="D483" s="277"/>
      <c r="E483" s="277"/>
      <c r="F483" s="277"/>
      <c r="G483" s="277"/>
      <c r="H483" s="277"/>
      <c r="I483" s="277"/>
      <c r="J483" s="277"/>
      <c r="K483" s="277"/>
      <c r="L483" s="277"/>
      <c r="M483" s="277"/>
      <c r="N483" s="277"/>
      <c r="O483" s="277"/>
      <c r="P483" s="277"/>
      <c r="Q483" s="277"/>
      <c r="R483" s="277"/>
      <c r="S483" s="410"/>
      <c r="T483" s="277"/>
      <c r="U483" s="277"/>
      <c r="V483" s="277"/>
      <c r="W483" s="277"/>
      <c r="X483" s="277"/>
      <c r="Y483" s="277"/>
      <c r="Z483" s="277"/>
    </row>
    <row r="484" ht="12.75" customHeight="1">
      <c r="A484" s="277"/>
      <c r="B484" s="278"/>
      <c r="C484" s="277"/>
      <c r="D484" s="277"/>
      <c r="E484" s="277"/>
      <c r="F484" s="277"/>
      <c r="G484" s="277"/>
      <c r="H484" s="277"/>
      <c r="I484" s="277"/>
      <c r="J484" s="277"/>
      <c r="K484" s="277"/>
      <c r="L484" s="277"/>
      <c r="M484" s="277"/>
      <c r="N484" s="277"/>
      <c r="O484" s="277"/>
      <c r="P484" s="277"/>
      <c r="Q484" s="277"/>
      <c r="R484" s="277"/>
      <c r="S484" s="410"/>
      <c r="T484" s="277"/>
      <c r="U484" s="277"/>
      <c r="V484" s="277"/>
      <c r="W484" s="277"/>
      <c r="X484" s="277"/>
      <c r="Y484" s="277"/>
      <c r="Z484" s="277"/>
    </row>
    <row r="485" ht="12.75" customHeight="1">
      <c r="A485" s="277"/>
      <c r="B485" s="278"/>
      <c r="C485" s="277"/>
      <c r="D485" s="277"/>
      <c r="E485" s="277"/>
      <c r="F485" s="277"/>
      <c r="G485" s="277"/>
      <c r="H485" s="277"/>
      <c r="I485" s="277"/>
      <c r="J485" s="277"/>
      <c r="K485" s="277"/>
      <c r="L485" s="277"/>
      <c r="M485" s="277"/>
      <c r="N485" s="277"/>
      <c r="O485" s="277"/>
      <c r="P485" s="277"/>
      <c r="Q485" s="277"/>
      <c r="R485" s="277"/>
      <c r="S485" s="410"/>
      <c r="T485" s="277"/>
      <c r="U485" s="277"/>
      <c r="V485" s="277"/>
      <c r="W485" s="277"/>
      <c r="X485" s="277"/>
      <c r="Y485" s="277"/>
      <c r="Z485" s="277"/>
    </row>
    <row r="486" ht="12.75" customHeight="1">
      <c r="A486" s="277"/>
      <c r="B486" s="278"/>
      <c r="C486" s="277"/>
      <c r="D486" s="277"/>
      <c r="E486" s="277"/>
      <c r="F486" s="277"/>
      <c r="G486" s="277"/>
      <c r="H486" s="277"/>
      <c r="I486" s="277"/>
      <c r="J486" s="277"/>
      <c r="K486" s="277"/>
      <c r="L486" s="277"/>
      <c r="M486" s="277"/>
      <c r="N486" s="277"/>
      <c r="O486" s="277"/>
      <c r="P486" s="277"/>
      <c r="Q486" s="277"/>
      <c r="R486" s="277"/>
      <c r="S486" s="410"/>
      <c r="T486" s="277"/>
      <c r="U486" s="277"/>
      <c r="V486" s="277"/>
      <c r="W486" s="277"/>
      <c r="X486" s="277"/>
      <c r="Y486" s="277"/>
      <c r="Z486" s="277"/>
    </row>
    <row r="487" ht="12.75" customHeight="1">
      <c r="A487" s="277"/>
      <c r="B487" s="278"/>
      <c r="C487" s="277"/>
      <c r="D487" s="277"/>
      <c r="E487" s="277"/>
      <c r="F487" s="277"/>
      <c r="G487" s="277"/>
      <c r="H487" s="277"/>
      <c r="I487" s="277"/>
      <c r="J487" s="277"/>
      <c r="K487" s="277"/>
      <c r="L487" s="277"/>
      <c r="M487" s="277"/>
      <c r="N487" s="277"/>
      <c r="O487" s="277"/>
      <c r="P487" s="277"/>
      <c r="Q487" s="277"/>
      <c r="R487" s="277"/>
      <c r="S487" s="410"/>
      <c r="T487" s="277"/>
      <c r="U487" s="277"/>
      <c r="V487" s="277"/>
      <c r="W487" s="277"/>
      <c r="X487" s="277"/>
      <c r="Y487" s="277"/>
      <c r="Z487" s="277"/>
    </row>
    <row r="488" ht="12.75" customHeight="1">
      <c r="A488" s="277"/>
      <c r="B488" s="278"/>
      <c r="C488" s="277"/>
      <c r="D488" s="277"/>
      <c r="E488" s="277"/>
      <c r="F488" s="277"/>
      <c r="G488" s="277"/>
      <c r="H488" s="277"/>
      <c r="I488" s="277"/>
      <c r="J488" s="277"/>
      <c r="K488" s="277"/>
      <c r="L488" s="277"/>
      <c r="M488" s="277"/>
      <c r="N488" s="277"/>
      <c r="O488" s="277"/>
      <c r="P488" s="277"/>
      <c r="Q488" s="277"/>
      <c r="R488" s="277"/>
      <c r="S488" s="410"/>
      <c r="T488" s="277"/>
      <c r="U488" s="277"/>
      <c r="V488" s="277"/>
      <c r="W488" s="277"/>
      <c r="X488" s="277"/>
      <c r="Y488" s="277"/>
      <c r="Z488" s="277"/>
    </row>
    <row r="489" ht="12.75" customHeight="1">
      <c r="A489" s="277"/>
      <c r="B489" s="278"/>
      <c r="C489" s="277"/>
      <c r="D489" s="277"/>
      <c r="E489" s="277"/>
      <c r="F489" s="277"/>
      <c r="G489" s="277"/>
      <c r="H489" s="277"/>
      <c r="I489" s="277"/>
      <c r="J489" s="277"/>
      <c r="K489" s="277"/>
      <c r="L489" s="277"/>
      <c r="M489" s="277"/>
      <c r="N489" s="277"/>
      <c r="O489" s="277"/>
      <c r="P489" s="277"/>
      <c r="Q489" s="277"/>
      <c r="R489" s="277"/>
      <c r="S489" s="410"/>
      <c r="T489" s="277"/>
      <c r="U489" s="277"/>
      <c r="V489" s="277"/>
      <c r="W489" s="277"/>
      <c r="X489" s="277"/>
      <c r="Y489" s="277"/>
      <c r="Z489" s="277"/>
    </row>
    <row r="490" ht="12.75" customHeight="1">
      <c r="A490" s="277"/>
      <c r="B490" s="278"/>
      <c r="C490" s="277"/>
      <c r="D490" s="277"/>
      <c r="E490" s="277"/>
      <c r="F490" s="277"/>
      <c r="G490" s="277"/>
      <c r="H490" s="277"/>
      <c r="I490" s="277"/>
      <c r="J490" s="277"/>
      <c r="K490" s="277"/>
      <c r="L490" s="277"/>
      <c r="M490" s="277"/>
      <c r="N490" s="277"/>
      <c r="O490" s="277"/>
      <c r="P490" s="277"/>
      <c r="Q490" s="277"/>
      <c r="R490" s="277"/>
      <c r="S490" s="410"/>
      <c r="T490" s="277"/>
      <c r="U490" s="277"/>
      <c r="V490" s="277"/>
      <c r="W490" s="277"/>
      <c r="X490" s="277"/>
      <c r="Y490" s="277"/>
      <c r="Z490" s="277"/>
    </row>
    <row r="491" ht="12.75" customHeight="1">
      <c r="A491" s="277"/>
      <c r="B491" s="278"/>
      <c r="C491" s="277"/>
      <c r="D491" s="277"/>
      <c r="E491" s="277"/>
      <c r="F491" s="277"/>
      <c r="G491" s="277"/>
      <c r="H491" s="277"/>
      <c r="I491" s="277"/>
      <c r="J491" s="277"/>
      <c r="K491" s="277"/>
      <c r="L491" s="277"/>
      <c r="M491" s="277"/>
      <c r="N491" s="277"/>
      <c r="O491" s="277"/>
      <c r="P491" s="277"/>
      <c r="Q491" s="277"/>
      <c r="R491" s="277"/>
      <c r="S491" s="410"/>
      <c r="T491" s="277"/>
      <c r="U491" s="277"/>
      <c r="V491" s="277"/>
      <c r="W491" s="277"/>
      <c r="X491" s="277"/>
      <c r="Y491" s="277"/>
      <c r="Z491" s="277"/>
    </row>
    <row r="492" ht="12.75" customHeight="1">
      <c r="A492" s="277"/>
      <c r="B492" s="278"/>
      <c r="C492" s="277"/>
      <c r="D492" s="277"/>
      <c r="E492" s="277"/>
      <c r="F492" s="277"/>
      <c r="G492" s="277"/>
      <c r="H492" s="277"/>
      <c r="I492" s="277"/>
      <c r="J492" s="277"/>
      <c r="K492" s="277"/>
      <c r="L492" s="277"/>
      <c r="M492" s="277"/>
      <c r="N492" s="277"/>
      <c r="O492" s="277"/>
      <c r="P492" s="277"/>
      <c r="Q492" s="277"/>
      <c r="R492" s="277"/>
      <c r="S492" s="410"/>
      <c r="T492" s="277"/>
      <c r="U492" s="277"/>
      <c r="V492" s="277"/>
      <c r="W492" s="277"/>
      <c r="X492" s="277"/>
      <c r="Y492" s="277"/>
      <c r="Z492" s="277"/>
    </row>
    <row r="493" ht="12.75" customHeight="1">
      <c r="A493" s="277"/>
      <c r="B493" s="278"/>
      <c r="C493" s="277"/>
      <c r="D493" s="277"/>
      <c r="E493" s="277"/>
      <c r="F493" s="277"/>
      <c r="G493" s="277"/>
      <c r="H493" s="277"/>
      <c r="I493" s="277"/>
      <c r="J493" s="277"/>
      <c r="K493" s="277"/>
      <c r="L493" s="277"/>
      <c r="M493" s="277"/>
      <c r="N493" s="277"/>
      <c r="O493" s="277"/>
      <c r="P493" s="277"/>
      <c r="Q493" s="277"/>
      <c r="R493" s="277"/>
      <c r="S493" s="410"/>
      <c r="T493" s="277"/>
      <c r="U493" s="277"/>
      <c r="V493" s="277"/>
      <c r="W493" s="277"/>
      <c r="X493" s="277"/>
      <c r="Y493" s="277"/>
      <c r="Z493" s="277"/>
    </row>
    <row r="494" ht="12.75" customHeight="1">
      <c r="A494" s="277"/>
      <c r="B494" s="278"/>
      <c r="C494" s="277"/>
      <c r="D494" s="277"/>
      <c r="E494" s="277"/>
      <c r="F494" s="277"/>
      <c r="G494" s="277"/>
      <c r="H494" s="277"/>
      <c r="I494" s="277"/>
      <c r="J494" s="277"/>
      <c r="K494" s="277"/>
      <c r="L494" s="277"/>
      <c r="M494" s="277"/>
      <c r="N494" s="277"/>
      <c r="O494" s="277"/>
      <c r="P494" s="277"/>
      <c r="Q494" s="277"/>
      <c r="R494" s="277"/>
      <c r="S494" s="410"/>
      <c r="T494" s="277"/>
      <c r="U494" s="277"/>
      <c r="V494" s="277"/>
      <c r="W494" s="277"/>
      <c r="X494" s="277"/>
      <c r="Y494" s="277"/>
      <c r="Z494" s="277"/>
    </row>
    <row r="495" ht="12.75" customHeight="1">
      <c r="A495" s="277"/>
      <c r="B495" s="278"/>
      <c r="C495" s="277"/>
      <c r="D495" s="277"/>
      <c r="E495" s="277"/>
      <c r="F495" s="277"/>
      <c r="G495" s="277"/>
      <c r="H495" s="277"/>
      <c r="I495" s="277"/>
      <c r="J495" s="277"/>
      <c r="K495" s="277"/>
      <c r="L495" s="277"/>
      <c r="M495" s="277"/>
      <c r="N495" s="277"/>
      <c r="O495" s="277"/>
      <c r="P495" s="277"/>
      <c r="Q495" s="277"/>
      <c r="R495" s="277"/>
      <c r="S495" s="410"/>
      <c r="T495" s="277"/>
      <c r="U495" s="277"/>
      <c r="V495" s="277"/>
      <c r="W495" s="277"/>
      <c r="X495" s="277"/>
      <c r="Y495" s="277"/>
      <c r="Z495" s="277"/>
    </row>
    <row r="496" ht="12.75" customHeight="1">
      <c r="A496" s="277"/>
      <c r="B496" s="278"/>
      <c r="C496" s="277"/>
      <c r="D496" s="277"/>
      <c r="E496" s="277"/>
      <c r="F496" s="277"/>
      <c r="G496" s="277"/>
      <c r="H496" s="277"/>
      <c r="I496" s="277"/>
      <c r="J496" s="277"/>
      <c r="K496" s="277"/>
      <c r="L496" s="277"/>
      <c r="M496" s="277"/>
      <c r="N496" s="277"/>
      <c r="O496" s="277"/>
      <c r="P496" s="277"/>
      <c r="Q496" s="277"/>
      <c r="R496" s="277"/>
      <c r="S496" s="410"/>
      <c r="T496" s="277"/>
      <c r="U496" s="277"/>
      <c r="V496" s="277"/>
      <c r="W496" s="277"/>
      <c r="X496" s="277"/>
      <c r="Y496" s="277"/>
      <c r="Z496" s="277"/>
    </row>
    <row r="497" ht="12.75" customHeight="1">
      <c r="A497" s="277"/>
      <c r="B497" s="278"/>
      <c r="C497" s="277"/>
      <c r="D497" s="277"/>
      <c r="E497" s="277"/>
      <c r="F497" s="277"/>
      <c r="G497" s="277"/>
      <c r="H497" s="277"/>
      <c r="I497" s="277"/>
      <c r="J497" s="277"/>
      <c r="K497" s="277"/>
      <c r="L497" s="277"/>
      <c r="M497" s="277"/>
      <c r="N497" s="277"/>
      <c r="O497" s="277"/>
      <c r="P497" s="277"/>
      <c r="Q497" s="277"/>
      <c r="R497" s="277"/>
      <c r="S497" s="410"/>
      <c r="T497" s="277"/>
      <c r="U497" s="277"/>
      <c r="V497" s="277"/>
      <c r="W497" s="277"/>
      <c r="X497" s="277"/>
      <c r="Y497" s="277"/>
      <c r="Z497" s="277"/>
    </row>
    <row r="498" ht="12.75" customHeight="1">
      <c r="A498" s="277"/>
      <c r="B498" s="278"/>
      <c r="C498" s="277"/>
      <c r="D498" s="277"/>
      <c r="E498" s="277"/>
      <c r="F498" s="277"/>
      <c r="G498" s="277"/>
      <c r="H498" s="277"/>
      <c r="I498" s="277"/>
      <c r="J498" s="277"/>
      <c r="K498" s="277"/>
      <c r="L498" s="277"/>
      <c r="M498" s="277"/>
      <c r="N498" s="277"/>
      <c r="O498" s="277"/>
      <c r="P498" s="277"/>
      <c r="Q498" s="277"/>
      <c r="R498" s="277"/>
      <c r="S498" s="410"/>
      <c r="T498" s="277"/>
      <c r="U498" s="277"/>
      <c r="V498" s="277"/>
      <c r="W498" s="277"/>
      <c r="X498" s="277"/>
      <c r="Y498" s="277"/>
      <c r="Z498" s="277"/>
    </row>
    <row r="499" ht="12.75" customHeight="1">
      <c r="A499" s="277"/>
      <c r="B499" s="278"/>
      <c r="C499" s="277"/>
      <c r="D499" s="277"/>
      <c r="E499" s="277"/>
      <c r="F499" s="277"/>
      <c r="G499" s="277"/>
      <c r="H499" s="277"/>
      <c r="I499" s="277"/>
      <c r="J499" s="277"/>
      <c r="K499" s="277"/>
      <c r="L499" s="277"/>
      <c r="M499" s="277"/>
      <c r="N499" s="277"/>
      <c r="O499" s="277"/>
      <c r="P499" s="277"/>
      <c r="Q499" s="277"/>
      <c r="R499" s="277"/>
      <c r="S499" s="410"/>
      <c r="T499" s="277"/>
      <c r="U499" s="277"/>
      <c r="V499" s="277"/>
      <c r="W499" s="277"/>
      <c r="X499" s="277"/>
      <c r="Y499" s="277"/>
      <c r="Z499" s="277"/>
    </row>
    <row r="500" ht="12.75" customHeight="1">
      <c r="A500" s="277"/>
      <c r="B500" s="278"/>
      <c r="C500" s="277"/>
      <c r="D500" s="277"/>
      <c r="E500" s="277"/>
      <c r="F500" s="277"/>
      <c r="G500" s="277"/>
      <c r="H500" s="277"/>
      <c r="I500" s="277"/>
      <c r="J500" s="277"/>
      <c r="K500" s="277"/>
      <c r="L500" s="277"/>
      <c r="M500" s="277"/>
      <c r="N500" s="277"/>
      <c r="O500" s="277"/>
      <c r="P500" s="277"/>
      <c r="Q500" s="277"/>
      <c r="R500" s="277"/>
      <c r="S500" s="410"/>
      <c r="T500" s="277"/>
      <c r="U500" s="277"/>
      <c r="V500" s="277"/>
      <c r="W500" s="277"/>
      <c r="X500" s="277"/>
      <c r="Y500" s="277"/>
      <c r="Z500" s="277"/>
    </row>
    <row r="501" ht="12.75" customHeight="1">
      <c r="A501" s="277"/>
      <c r="B501" s="278"/>
      <c r="C501" s="277"/>
      <c r="D501" s="277"/>
      <c r="E501" s="277"/>
      <c r="F501" s="277"/>
      <c r="G501" s="277"/>
      <c r="H501" s="277"/>
      <c r="I501" s="277"/>
      <c r="J501" s="277"/>
      <c r="K501" s="277"/>
      <c r="L501" s="277"/>
      <c r="M501" s="277"/>
      <c r="N501" s="277"/>
      <c r="O501" s="277"/>
      <c r="P501" s="277"/>
      <c r="Q501" s="277"/>
      <c r="R501" s="277"/>
      <c r="S501" s="410"/>
      <c r="T501" s="277"/>
      <c r="U501" s="277"/>
      <c r="V501" s="277"/>
      <c r="W501" s="277"/>
      <c r="X501" s="277"/>
      <c r="Y501" s="277"/>
      <c r="Z501" s="277"/>
    </row>
    <row r="502" ht="12.75" customHeight="1">
      <c r="A502" s="277"/>
      <c r="B502" s="278"/>
      <c r="C502" s="277"/>
      <c r="D502" s="277"/>
      <c r="E502" s="277"/>
      <c r="F502" s="277"/>
      <c r="G502" s="277"/>
      <c r="H502" s="277"/>
      <c r="I502" s="277"/>
      <c r="J502" s="277"/>
      <c r="K502" s="277"/>
      <c r="L502" s="277"/>
      <c r="M502" s="277"/>
      <c r="N502" s="277"/>
      <c r="O502" s="277"/>
      <c r="P502" s="277"/>
      <c r="Q502" s="277"/>
      <c r="R502" s="277"/>
      <c r="S502" s="410"/>
      <c r="T502" s="277"/>
      <c r="U502" s="277"/>
      <c r="V502" s="277"/>
      <c r="W502" s="277"/>
      <c r="X502" s="277"/>
      <c r="Y502" s="277"/>
      <c r="Z502" s="277"/>
    </row>
    <row r="503" ht="12.75" customHeight="1">
      <c r="A503" s="277"/>
      <c r="B503" s="278"/>
      <c r="C503" s="277"/>
      <c r="D503" s="277"/>
      <c r="E503" s="277"/>
      <c r="F503" s="277"/>
      <c r="G503" s="277"/>
      <c r="H503" s="277"/>
      <c r="I503" s="277"/>
      <c r="J503" s="277"/>
      <c r="K503" s="277"/>
      <c r="L503" s="277"/>
      <c r="M503" s="277"/>
      <c r="N503" s="277"/>
      <c r="O503" s="277"/>
      <c r="P503" s="277"/>
      <c r="Q503" s="277"/>
      <c r="R503" s="277"/>
      <c r="S503" s="410"/>
      <c r="T503" s="277"/>
      <c r="U503" s="277"/>
      <c r="V503" s="277"/>
      <c r="W503" s="277"/>
      <c r="X503" s="277"/>
      <c r="Y503" s="277"/>
      <c r="Z503" s="277"/>
    </row>
    <row r="504" ht="12.75" customHeight="1">
      <c r="A504" s="277"/>
      <c r="B504" s="278"/>
      <c r="C504" s="277"/>
      <c r="D504" s="277"/>
      <c r="E504" s="277"/>
      <c r="F504" s="277"/>
      <c r="G504" s="277"/>
      <c r="H504" s="277"/>
      <c r="I504" s="277"/>
      <c r="J504" s="277"/>
      <c r="K504" s="277"/>
      <c r="L504" s="277"/>
      <c r="M504" s="277"/>
      <c r="N504" s="277"/>
      <c r="O504" s="277"/>
      <c r="P504" s="277"/>
      <c r="Q504" s="277"/>
      <c r="R504" s="277"/>
      <c r="S504" s="410"/>
      <c r="T504" s="277"/>
      <c r="U504" s="277"/>
      <c r="V504" s="277"/>
      <c r="W504" s="277"/>
      <c r="X504" s="277"/>
      <c r="Y504" s="277"/>
      <c r="Z504" s="277"/>
    </row>
    <row r="505" ht="12.75" customHeight="1">
      <c r="A505" s="277"/>
      <c r="B505" s="278"/>
      <c r="C505" s="277"/>
      <c r="D505" s="277"/>
      <c r="E505" s="277"/>
      <c r="F505" s="277"/>
      <c r="G505" s="277"/>
      <c r="H505" s="277"/>
      <c r="I505" s="277"/>
      <c r="J505" s="277"/>
      <c r="K505" s="277"/>
      <c r="L505" s="277"/>
      <c r="M505" s="277"/>
      <c r="N505" s="277"/>
      <c r="O505" s="277"/>
      <c r="P505" s="277"/>
      <c r="Q505" s="277"/>
      <c r="R505" s="277"/>
      <c r="S505" s="410"/>
      <c r="T505" s="277"/>
      <c r="U505" s="277"/>
      <c r="V505" s="277"/>
      <c r="W505" s="277"/>
      <c r="X505" s="277"/>
      <c r="Y505" s="277"/>
      <c r="Z505" s="277"/>
    </row>
    <row r="506" ht="12.75" customHeight="1">
      <c r="A506" s="277"/>
      <c r="B506" s="278"/>
      <c r="C506" s="277"/>
      <c r="D506" s="277"/>
      <c r="E506" s="277"/>
      <c r="F506" s="277"/>
      <c r="G506" s="277"/>
      <c r="H506" s="277"/>
      <c r="I506" s="277"/>
      <c r="J506" s="277"/>
      <c r="K506" s="277"/>
      <c r="L506" s="277"/>
      <c r="M506" s="277"/>
      <c r="N506" s="277"/>
      <c r="O506" s="277"/>
      <c r="P506" s="277"/>
      <c r="Q506" s="277"/>
      <c r="R506" s="277"/>
      <c r="S506" s="410"/>
      <c r="T506" s="277"/>
      <c r="U506" s="277"/>
      <c r="V506" s="277"/>
      <c r="W506" s="277"/>
      <c r="X506" s="277"/>
      <c r="Y506" s="277"/>
      <c r="Z506" s="277"/>
    </row>
    <row r="507" ht="12.75" customHeight="1">
      <c r="A507" s="277"/>
      <c r="B507" s="278"/>
      <c r="C507" s="277"/>
      <c r="D507" s="277"/>
      <c r="E507" s="277"/>
      <c r="F507" s="277"/>
      <c r="G507" s="277"/>
      <c r="H507" s="277"/>
      <c r="I507" s="277"/>
      <c r="J507" s="277"/>
      <c r="K507" s="277"/>
      <c r="L507" s="277"/>
      <c r="M507" s="277"/>
      <c r="N507" s="277"/>
      <c r="O507" s="277"/>
      <c r="P507" s="277"/>
      <c r="Q507" s="277"/>
      <c r="R507" s="277"/>
      <c r="S507" s="410"/>
      <c r="T507" s="277"/>
      <c r="U507" s="277"/>
      <c r="V507" s="277"/>
      <c r="W507" s="277"/>
      <c r="X507" s="277"/>
      <c r="Y507" s="277"/>
      <c r="Z507" s="277"/>
    </row>
    <row r="508" ht="12.75" customHeight="1">
      <c r="A508" s="277"/>
      <c r="B508" s="278"/>
      <c r="C508" s="277"/>
      <c r="D508" s="277"/>
      <c r="E508" s="277"/>
      <c r="F508" s="277"/>
      <c r="G508" s="277"/>
      <c r="H508" s="277"/>
      <c r="I508" s="277"/>
      <c r="J508" s="277"/>
      <c r="K508" s="277"/>
      <c r="L508" s="277"/>
      <c r="M508" s="277"/>
      <c r="N508" s="277"/>
      <c r="O508" s="277"/>
      <c r="P508" s="277"/>
      <c r="Q508" s="277"/>
      <c r="R508" s="277"/>
      <c r="S508" s="410"/>
      <c r="T508" s="277"/>
      <c r="U508" s="277"/>
      <c r="V508" s="277"/>
      <c r="W508" s="277"/>
      <c r="X508" s="277"/>
      <c r="Y508" s="277"/>
      <c r="Z508" s="277"/>
    </row>
    <row r="509" ht="12.75" customHeight="1">
      <c r="A509" s="277"/>
      <c r="B509" s="278"/>
      <c r="C509" s="277"/>
      <c r="D509" s="277"/>
      <c r="E509" s="277"/>
      <c r="F509" s="277"/>
      <c r="G509" s="277"/>
      <c r="H509" s="277"/>
      <c r="I509" s="277"/>
      <c r="J509" s="277"/>
      <c r="K509" s="277"/>
      <c r="L509" s="277"/>
      <c r="M509" s="277"/>
      <c r="N509" s="277"/>
      <c r="O509" s="277"/>
      <c r="P509" s="277"/>
      <c r="Q509" s="277"/>
      <c r="R509" s="277"/>
      <c r="S509" s="410"/>
      <c r="T509" s="277"/>
      <c r="U509" s="277"/>
      <c r="V509" s="277"/>
      <c r="W509" s="277"/>
      <c r="X509" s="277"/>
      <c r="Y509" s="277"/>
      <c r="Z509" s="277"/>
    </row>
    <row r="510" ht="12.75" customHeight="1">
      <c r="A510" s="277"/>
      <c r="B510" s="278"/>
      <c r="C510" s="277"/>
      <c r="D510" s="277"/>
      <c r="E510" s="277"/>
      <c r="F510" s="277"/>
      <c r="G510" s="277"/>
      <c r="H510" s="277"/>
      <c r="I510" s="277"/>
      <c r="J510" s="277"/>
      <c r="K510" s="277"/>
      <c r="L510" s="277"/>
      <c r="M510" s="277"/>
      <c r="N510" s="277"/>
      <c r="O510" s="277"/>
      <c r="P510" s="277"/>
      <c r="Q510" s="277"/>
      <c r="R510" s="277"/>
      <c r="S510" s="410"/>
      <c r="T510" s="277"/>
      <c r="U510" s="277"/>
      <c r="V510" s="277"/>
      <c r="W510" s="277"/>
      <c r="X510" s="277"/>
      <c r="Y510" s="277"/>
      <c r="Z510" s="277"/>
    </row>
    <row r="511" ht="12.75" customHeight="1">
      <c r="A511" s="277"/>
      <c r="B511" s="278"/>
      <c r="C511" s="277"/>
      <c r="D511" s="277"/>
      <c r="E511" s="277"/>
      <c r="F511" s="277"/>
      <c r="G511" s="277"/>
      <c r="H511" s="277"/>
      <c r="I511" s="277"/>
      <c r="J511" s="277"/>
      <c r="K511" s="277"/>
      <c r="L511" s="277"/>
      <c r="M511" s="277"/>
      <c r="N511" s="277"/>
      <c r="O511" s="277"/>
      <c r="P511" s="277"/>
      <c r="Q511" s="277"/>
      <c r="R511" s="277"/>
      <c r="S511" s="410"/>
      <c r="T511" s="277"/>
      <c r="U511" s="277"/>
      <c r="V511" s="277"/>
      <c r="W511" s="277"/>
      <c r="X511" s="277"/>
      <c r="Y511" s="277"/>
      <c r="Z511" s="277"/>
    </row>
    <row r="512" ht="12.75" customHeight="1">
      <c r="A512" s="277"/>
      <c r="B512" s="278"/>
      <c r="C512" s="277"/>
      <c r="D512" s="277"/>
      <c r="E512" s="277"/>
      <c r="F512" s="277"/>
      <c r="G512" s="277"/>
      <c r="H512" s="277"/>
      <c r="I512" s="277"/>
      <c r="J512" s="277"/>
      <c r="K512" s="277"/>
      <c r="L512" s="277"/>
      <c r="M512" s="277"/>
      <c r="N512" s="277"/>
      <c r="O512" s="277"/>
      <c r="P512" s="277"/>
      <c r="Q512" s="277"/>
      <c r="R512" s="277"/>
      <c r="S512" s="410"/>
      <c r="T512" s="277"/>
      <c r="U512" s="277"/>
      <c r="V512" s="277"/>
      <c r="W512" s="277"/>
      <c r="X512" s="277"/>
      <c r="Y512" s="277"/>
      <c r="Z512" s="277"/>
    </row>
    <row r="513" ht="12.75" customHeight="1">
      <c r="A513" s="277"/>
      <c r="B513" s="278"/>
      <c r="C513" s="277"/>
      <c r="D513" s="277"/>
      <c r="E513" s="277"/>
      <c r="F513" s="277"/>
      <c r="G513" s="277"/>
      <c r="H513" s="277"/>
      <c r="I513" s="277"/>
      <c r="J513" s="277"/>
      <c r="K513" s="277"/>
      <c r="L513" s="277"/>
      <c r="M513" s="277"/>
      <c r="N513" s="277"/>
      <c r="O513" s="277"/>
      <c r="P513" s="277"/>
      <c r="Q513" s="277"/>
      <c r="R513" s="277"/>
      <c r="S513" s="410"/>
      <c r="T513" s="277"/>
      <c r="U513" s="277"/>
      <c r="V513" s="277"/>
      <c r="W513" s="277"/>
      <c r="X513" s="277"/>
      <c r="Y513" s="277"/>
      <c r="Z513" s="277"/>
    </row>
    <row r="514" ht="12.75" customHeight="1">
      <c r="A514" s="277"/>
      <c r="B514" s="278"/>
      <c r="C514" s="277"/>
      <c r="D514" s="277"/>
      <c r="E514" s="277"/>
      <c r="F514" s="277"/>
      <c r="G514" s="277"/>
      <c r="H514" s="277"/>
      <c r="I514" s="277"/>
      <c r="J514" s="277"/>
      <c r="K514" s="277"/>
      <c r="L514" s="277"/>
      <c r="M514" s="277"/>
      <c r="N514" s="277"/>
      <c r="O514" s="277"/>
      <c r="P514" s="277"/>
      <c r="Q514" s="277"/>
      <c r="R514" s="277"/>
      <c r="S514" s="410"/>
      <c r="T514" s="277"/>
      <c r="U514" s="277"/>
      <c r="V514" s="277"/>
      <c r="W514" s="277"/>
      <c r="X514" s="277"/>
      <c r="Y514" s="277"/>
      <c r="Z514" s="277"/>
    </row>
    <row r="515" ht="12.75" customHeight="1">
      <c r="A515" s="277"/>
      <c r="B515" s="278"/>
      <c r="C515" s="277"/>
      <c r="D515" s="277"/>
      <c r="E515" s="277"/>
      <c r="F515" s="277"/>
      <c r="G515" s="277"/>
      <c r="H515" s="277"/>
      <c r="I515" s="277"/>
      <c r="J515" s="277"/>
      <c r="K515" s="277"/>
      <c r="L515" s="277"/>
      <c r="M515" s="277"/>
      <c r="N515" s="277"/>
      <c r="O515" s="277"/>
      <c r="P515" s="277"/>
      <c r="Q515" s="277"/>
      <c r="R515" s="277"/>
      <c r="S515" s="410"/>
      <c r="T515" s="277"/>
      <c r="U515" s="277"/>
      <c r="V515" s="277"/>
      <c r="W515" s="277"/>
      <c r="X515" s="277"/>
      <c r="Y515" s="277"/>
      <c r="Z515" s="277"/>
    </row>
    <row r="516" ht="12.75" customHeight="1">
      <c r="A516" s="277"/>
      <c r="B516" s="278"/>
      <c r="C516" s="277"/>
      <c r="D516" s="277"/>
      <c r="E516" s="277"/>
      <c r="F516" s="277"/>
      <c r="G516" s="277"/>
      <c r="H516" s="277"/>
      <c r="I516" s="277"/>
      <c r="J516" s="277"/>
      <c r="K516" s="277"/>
      <c r="L516" s="277"/>
      <c r="M516" s="277"/>
      <c r="N516" s="277"/>
      <c r="O516" s="277"/>
      <c r="P516" s="277"/>
      <c r="Q516" s="277"/>
      <c r="R516" s="277"/>
      <c r="S516" s="410"/>
      <c r="T516" s="277"/>
      <c r="U516" s="277"/>
      <c r="V516" s="277"/>
      <c r="W516" s="277"/>
      <c r="X516" s="277"/>
      <c r="Y516" s="277"/>
      <c r="Z516" s="277"/>
    </row>
    <row r="517" ht="12.75" customHeight="1">
      <c r="A517" s="277"/>
      <c r="B517" s="278"/>
      <c r="C517" s="277"/>
      <c r="D517" s="277"/>
      <c r="E517" s="277"/>
      <c r="F517" s="277"/>
      <c r="G517" s="277"/>
      <c r="H517" s="277"/>
      <c r="I517" s="277"/>
      <c r="J517" s="277"/>
      <c r="K517" s="277"/>
      <c r="L517" s="277"/>
      <c r="M517" s="277"/>
      <c r="N517" s="277"/>
      <c r="O517" s="277"/>
      <c r="P517" s="277"/>
      <c r="Q517" s="277"/>
      <c r="R517" s="277"/>
      <c r="S517" s="410"/>
      <c r="T517" s="277"/>
      <c r="U517" s="277"/>
      <c r="V517" s="277"/>
      <c r="W517" s="277"/>
      <c r="X517" s="277"/>
      <c r="Y517" s="277"/>
      <c r="Z517" s="277"/>
    </row>
    <row r="518" ht="12.75" customHeight="1">
      <c r="A518" s="277"/>
      <c r="B518" s="278"/>
      <c r="C518" s="277"/>
      <c r="D518" s="277"/>
      <c r="E518" s="277"/>
      <c r="F518" s="277"/>
      <c r="G518" s="277"/>
      <c r="H518" s="277"/>
      <c r="I518" s="277"/>
      <c r="J518" s="277"/>
      <c r="K518" s="277"/>
      <c r="L518" s="277"/>
      <c r="M518" s="277"/>
      <c r="N518" s="277"/>
      <c r="O518" s="277"/>
      <c r="P518" s="277"/>
      <c r="Q518" s="277"/>
      <c r="R518" s="277"/>
      <c r="S518" s="410"/>
      <c r="T518" s="277"/>
      <c r="U518" s="277"/>
      <c r="V518" s="277"/>
      <c r="W518" s="277"/>
      <c r="X518" s="277"/>
      <c r="Y518" s="277"/>
      <c r="Z518" s="277"/>
    </row>
    <row r="519" ht="12.75" customHeight="1">
      <c r="A519" s="277"/>
      <c r="B519" s="278"/>
      <c r="C519" s="277"/>
      <c r="D519" s="277"/>
      <c r="E519" s="277"/>
      <c r="F519" s="277"/>
      <c r="G519" s="277"/>
      <c r="H519" s="277"/>
      <c r="I519" s="277"/>
      <c r="J519" s="277"/>
      <c r="K519" s="277"/>
      <c r="L519" s="277"/>
      <c r="M519" s="277"/>
      <c r="N519" s="277"/>
      <c r="O519" s="277"/>
      <c r="P519" s="277"/>
      <c r="Q519" s="277"/>
      <c r="R519" s="277"/>
      <c r="S519" s="410"/>
      <c r="T519" s="277"/>
      <c r="U519" s="277"/>
      <c r="V519" s="277"/>
      <c r="W519" s="277"/>
      <c r="X519" s="277"/>
      <c r="Y519" s="277"/>
      <c r="Z519" s="277"/>
    </row>
    <row r="520" ht="12.75" customHeight="1">
      <c r="A520" s="277"/>
      <c r="B520" s="278"/>
      <c r="C520" s="277"/>
      <c r="D520" s="277"/>
      <c r="E520" s="277"/>
      <c r="F520" s="277"/>
      <c r="G520" s="277"/>
      <c r="H520" s="277"/>
      <c r="I520" s="277"/>
      <c r="J520" s="277"/>
      <c r="K520" s="277"/>
      <c r="L520" s="277"/>
      <c r="M520" s="277"/>
      <c r="N520" s="277"/>
      <c r="O520" s="277"/>
      <c r="P520" s="277"/>
      <c r="Q520" s="277"/>
      <c r="R520" s="277"/>
      <c r="S520" s="410"/>
      <c r="T520" s="277"/>
      <c r="U520" s="277"/>
      <c r="V520" s="277"/>
      <c r="W520" s="277"/>
      <c r="X520" s="277"/>
      <c r="Y520" s="277"/>
      <c r="Z520" s="277"/>
    </row>
    <row r="521" ht="12.75" customHeight="1">
      <c r="A521" s="277"/>
      <c r="B521" s="278"/>
      <c r="C521" s="277"/>
      <c r="D521" s="277"/>
      <c r="E521" s="277"/>
      <c r="F521" s="277"/>
      <c r="G521" s="277"/>
      <c r="H521" s="277"/>
      <c r="I521" s="277"/>
      <c r="J521" s="277"/>
      <c r="K521" s="277"/>
      <c r="L521" s="277"/>
      <c r="M521" s="277"/>
      <c r="N521" s="277"/>
      <c r="O521" s="277"/>
      <c r="P521" s="277"/>
      <c r="Q521" s="277"/>
      <c r="R521" s="277"/>
      <c r="S521" s="410"/>
      <c r="T521" s="277"/>
      <c r="U521" s="277"/>
      <c r="V521" s="277"/>
      <c r="W521" s="277"/>
      <c r="X521" s="277"/>
      <c r="Y521" s="277"/>
      <c r="Z521" s="277"/>
    </row>
    <row r="522" ht="12.75" customHeight="1">
      <c r="A522" s="277"/>
      <c r="B522" s="278"/>
      <c r="C522" s="277"/>
      <c r="D522" s="277"/>
      <c r="E522" s="277"/>
      <c r="F522" s="277"/>
      <c r="G522" s="277"/>
      <c r="H522" s="277"/>
      <c r="I522" s="277"/>
      <c r="J522" s="277"/>
      <c r="K522" s="277"/>
      <c r="L522" s="277"/>
      <c r="M522" s="277"/>
      <c r="N522" s="277"/>
      <c r="O522" s="277"/>
      <c r="P522" s="277"/>
      <c r="Q522" s="277"/>
      <c r="R522" s="277"/>
      <c r="S522" s="410"/>
      <c r="T522" s="277"/>
      <c r="U522" s="277"/>
      <c r="V522" s="277"/>
      <c r="W522" s="277"/>
      <c r="X522" s="277"/>
      <c r="Y522" s="277"/>
      <c r="Z522" s="277"/>
    </row>
    <row r="523" ht="12.75" customHeight="1">
      <c r="A523" s="277"/>
      <c r="B523" s="278"/>
      <c r="C523" s="277"/>
      <c r="D523" s="277"/>
      <c r="E523" s="277"/>
      <c r="F523" s="277"/>
      <c r="G523" s="277"/>
      <c r="H523" s="277"/>
      <c r="I523" s="277"/>
      <c r="J523" s="277"/>
      <c r="K523" s="277"/>
      <c r="L523" s="277"/>
      <c r="M523" s="277"/>
      <c r="N523" s="277"/>
      <c r="O523" s="277"/>
      <c r="P523" s="277"/>
      <c r="Q523" s="277"/>
      <c r="R523" s="277"/>
      <c r="S523" s="410"/>
      <c r="T523" s="277"/>
      <c r="U523" s="277"/>
      <c r="V523" s="277"/>
      <c r="W523" s="277"/>
      <c r="X523" s="277"/>
      <c r="Y523" s="277"/>
      <c r="Z523" s="277"/>
    </row>
    <row r="524" ht="12.75" customHeight="1">
      <c r="A524" s="277"/>
      <c r="B524" s="278"/>
      <c r="C524" s="277"/>
      <c r="D524" s="277"/>
      <c r="E524" s="277"/>
      <c r="F524" s="277"/>
      <c r="G524" s="277"/>
      <c r="H524" s="277"/>
      <c r="I524" s="277"/>
      <c r="J524" s="277"/>
      <c r="K524" s="277"/>
      <c r="L524" s="277"/>
      <c r="M524" s="277"/>
      <c r="N524" s="277"/>
      <c r="O524" s="277"/>
      <c r="P524" s="277"/>
      <c r="Q524" s="277"/>
      <c r="R524" s="277"/>
      <c r="S524" s="410"/>
      <c r="T524" s="277"/>
      <c r="U524" s="277"/>
      <c r="V524" s="277"/>
      <c r="W524" s="277"/>
      <c r="X524" s="277"/>
      <c r="Y524" s="277"/>
      <c r="Z524" s="277"/>
    </row>
    <row r="525" ht="12.75" customHeight="1">
      <c r="A525" s="277"/>
      <c r="B525" s="278"/>
      <c r="C525" s="277"/>
      <c r="D525" s="277"/>
      <c r="E525" s="277"/>
      <c r="F525" s="277"/>
      <c r="G525" s="277"/>
      <c r="H525" s="277"/>
      <c r="I525" s="277"/>
      <c r="J525" s="277"/>
      <c r="K525" s="277"/>
      <c r="L525" s="277"/>
      <c r="M525" s="277"/>
      <c r="N525" s="277"/>
      <c r="O525" s="277"/>
      <c r="P525" s="277"/>
      <c r="Q525" s="277"/>
      <c r="R525" s="277"/>
      <c r="S525" s="410"/>
      <c r="T525" s="277"/>
      <c r="U525" s="277"/>
      <c r="V525" s="277"/>
      <c r="W525" s="277"/>
      <c r="X525" s="277"/>
      <c r="Y525" s="277"/>
      <c r="Z525" s="277"/>
    </row>
    <row r="526" ht="12.75" customHeight="1">
      <c r="A526" s="277"/>
      <c r="B526" s="278"/>
      <c r="C526" s="277"/>
      <c r="D526" s="277"/>
      <c r="E526" s="277"/>
      <c r="F526" s="277"/>
      <c r="G526" s="277"/>
      <c r="H526" s="277"/>
      <c r="I526" s="277"/>
      <c r="J526" s="277"/>
      <c r="K526" s="277"/>
      <c r="L526" s="277"/>
      <c r="M526" s="277"/>
      <c r="N526" s="277"/>
      <c r="O526" s="277"/>
      <c r="P526" s="277"/>
      <c r="Q526" s="277"/>
      <c r="R526" s="277"/>
      <c r="S526" s="410"/>
      <c r="T526" s="277"/>
      <c r="U526" s="277"/>
      <c r="V526" s="277"/>
      <c r="W526" s="277"/>
      <c r="X526" s="277"/>
      <c r="Y526" s="277"/>
      <c r="Z526" s="277"/>
    </row>
    <row r="527" ht="12.75" customHeight="1">
      <c r="A527" s="277"/>
      <c r="B527" s="278"/>
      <c r="C527" s="277"/>
      <c r="D527" s="277"/>
      <c r="E527" s="277"/>
      <c r="F527" s="277"/>
      <c r="G527" s="277"/>
      <c r="H527" s="277"/>
      <c r="I527" s="277"/>
      <c r="J527" s="277"/>
      <c r="K527" s="277"/>
      <c r="L527" s="277"/>
      <c r="M527" s="277"/>
      <c r="N527" s="277"/>
      <c r="O527" s="277"/>
      <c r="P527" s="277"/>
      <c r="Q527" s="277"/>
      <c r="R527" s="277"/>
      <c r="S527" s="410"/>
      <c r="T527" s="277"/>
      <c r="U527" s="277"/>
      <c r="V527" s="277"/>
      <c r="W527" s="277"/>
      <c r="X527" s="277"/>
      <c r="Y527" s="277"/>
      <c r="Z527" s="277"/>
    </row>
    <row r="528" ht="12.75" customHeight="1">
      <c r="A528" s="277"/>
      <c r="B528" s="278"/>
      <c r="C528" s="277"/>
      <c r="D528" s="277"/>
      <c r="E528" s="277"/>
      <c r="F528" s="277"/>
      <c r="G528" s="277"/>
      <c r="H528" s="277"/>
      <c r="I528" s="277"/>
      <c r="J528" s="277"/>
      <c r="K528" s="277"/>
      <c r="L528" s="277"/>
      <c r="M528" s="277"/>
      <c r="N528" s="277"/>
      <c r="O528" s="277"/>
      <c r="P528" s="277"/>
      <c r="Q528" s="277"/>
      <c r="R528" s="277"/>
      <c r="S528" s="410"/>
      <c r="T528" s="277"/>
      <c r="U528" s="277"/>
      <c r="V528" s="277"/>
      <c r="W528" s="277"/>
      <c r="X528" s="277"/>
      <c r="Y528" s="277"/>
      <c r="Z528" s="277"/>
    </row>
    <row r="529" ht="12.75" customHeight="1">
      <c r="A529" s="277"/>
      <c r="B529" s="278"/>
      <c r="C529" s="277"/>
      <c r="D529" s="277"/>
      <c r="E529" s="277"/>
      <c r="F529" s="277"/>
      <c r="G529" s="277"/>
      <c r="H529" s="277"/>
      <c r="I529" s="277"/>
      <c r="J529" s="277"/>
      <c r="K529" s="277"/>
      <c r="L529" s="277"/>
      <c r="M529" s="277"/>
      <c r="N529" s="277"/>
      <c r="O529" s="277"/>
      <c r="P529" s="277"/>
      <c r="Q529" s="277"/>
      <c r="R529" s="277"/>
      <c r="S529" s="410"/>
      <c r="T529" s="277"/>
      <c r="U529" s="277"/>
      <c r="V529" s="277"/>
      <c r="W529" s="277"/>
      <c r="X529" s="277"/>
      <c r="Y529" s="277"/>
      <c r="Z529" s="277"/>
    </row>
    <row r="530" ht="12.75" customHeight="1">
      <c r="A530" s="277"/>
      <c r="B530" s="278"/>
      <c r="C530" s="277"/>
      <c r="D530" s="277"/>
      <c r="E530" s="277"/>
      <c r="F530" s="277"/>
      <c r="G530" s="277"/>
      <c r="H530" s="277"/>
      <c r="I530" s="277"/>
      <c r="J530" s="277"/>
      <c r="K530" s="277"/>
      <c r="L530" s="277"/>
      <c r="M530" s="277"/>
      <c r="N530" s="277"/>
      <c r="O530" s="277"/>
      <c r="P530" s="277"/>
      <c r="Q530" s="277"/>
      <c r="R530" s="277"/>
      <c r="S530" s="410"/>
      <c r="T530" s="277"/>
      <c r="U530" s="277"/>
      <c r="V530" s="277"/>
      <c r="W530" s="277"/>
      <c r="X530" s="277"/>
      <c r="Y530" s="277"/>
      <c r="Z530" s="277"/>
    </row>
    <row r="531" ht="12.75" customHeight="1">
      <c r="A531" s="277"/>
      <c r="B531" s="278"/>
      <c r="C531" s="277"/>
      <c r="D531" s="277"/>
      <c r="E531" s="277"/>
      <c r="F531" s="277"/>
      <c r="G531" s="277"/>
      <c r="H531" s="277"/>
      <c r="I531" s="277"/>
      <c r="J531" s="277"/>
      <c r="K531" s="277"/>
      <c r="L531" s="277"/>
      <c r="M531" s="277"/>
      <c r="N531" s="277"/>
      <c r="O531" s="277"/>
      <c r="P531" s="277"/>
      <c r="Q531" s="277"/>
      <c r="R531" s="277"/>
      <c r="S531" s="410"/>
      <c r="T531" s="277"/>
      <c r="U531" s="277"/>
      <c r="V531" s="277"/>
      <c r="W531" s="277"/>
      <c r="X531" s="277"/>
      <c r="Y531" s="277"/>
      <c r="Z531" s="277"/>
    </row>
    <row r="532" ht="12.75" customHeight="1">
      <c r="A532" s="277"/>
      <c r="B532" s="278"/>
      <c r="C532" s="277"/>
      <c r="D532" s="277"/>
      <c r="E532" s="277"/>
      <c r="F532" s="277"/>
      <c r="G532" s="277"/>
      <c r="H532" s="277"/>
      <c r="I532" s="277"/>
      <c r="J532" s="277"/>
      <c r="K532" s="277"/>
      <c r="L532" s="277"/>
      <c r="M532" s="277"/>
      <c r="N532" s="277"/>
      <c r="O532" s="277"/>
      <c r="P532" s="277"/>
      <c r="Q532" s="277"/>
      <c r="R532" s="277"/>
      <c r="S532" s="410"/>
      <c r="T532" s="277"/>
      <c r="U532" s="277"/>
      <c r="V532" s="277"/>
      <c r="W532" s="277"/>
      <c r="X532" s="277"/>
      <c r="Y532" s="277"/>
      <c r="Z532" s="277"/>
    </row>
    <row r="533" ht="12.75" customHeight="1">
      <c r="A533" s="277"/>
      <c r="B533" s="278"/>
      <c r="C533" s="277"/>
      <c r="D533" s="277"/>
      <c r="E533" s="277"/>
      <c r="F533" s="277"/>
      <c r="G533" s="277"/>
      <c r="H533" s="277"/>
      <c r="I533" s="277"/>
      <c r="J533" s="277"/>
      <c r="K533" s="277"/>
      <c r="L533" s="277"/>
      <c r="M533" s="277"/>
      <c r="N533" s="277"/>
      <c r="O533" s="277"/>
      <c r="P533" s="277"/>
      <c r="Q533" s="277"/>
      <c r="R533" s="277"/>
      <c r="S533" s="410"/>
      <c r="T533" s="277"/>
      <c r="U533" s="277"/>
      <c r="V533" s="277"/>
      <c r="W533" s="277"/>
      <c r="X533" s="277"/>
      <c r="Y533" s="277"/>
      <c r="Z533" s="277"/>
    </row>
    <row r="534" ht="12.75" customHeight="1">
      <c r="A534" s="277"/>
      <c r="B534" s="278"/>
      <c r="C534" s="277"/>
      <c r="D534" s="277"/>
      <c r="E534" s="277"/>
      <c r="F534" s="277"/>
      <c r="G534" s="277"/>
      <c r="H534" s="277"/>
      <c r="I534" s="277"/>
      <c r="J534" s="277"/>
      <c r="K534" s="277"/>
      <c r="L534" s="277"/>
      <c r="M534" s="277"/>
      <c r="N534" s="277"/>
      <c r="O534" s="277"/>
      <c r="P534" s="277"/>
      <c r="Q534" s="277"/>
      <c r="R534" s="277"/>
      <c r="S534" s="410"/>
      <c r="T534" s="277"/>
      <c r="U534" s="277"/>
      <c r="V534" s="277"/>
      <c r="W534" s="277"/>
      <c r="X534" s="277"/>
      <c r="Y534" s="277"/>
      <c r="Z534" s="277"/>
    </row>
    <row r="535" ht="12.75" customHeight="1">
      <c r="A535" s="277"/>
      <c r="B535" s="278"/>
      <c r="C535" s="277"/>
      <c r="D535" s="277"/>
      <c r="E535" s="277"/>
      <c r="F535" s="277"/>
      <c r="G535" s="277"/>
      <c r="H535" s="277"/>
      <c r="I535" s="277"/>
      <c r="J535" s="277"/>
      <c r="K535" s="277"/>
      <c r="L535" s="277"/>
      <c r="M535" s="277"/>
      <c r="N535" s="277"/>
      <c r="O535" s="277"/>
      <c r="P535" s="277"/>
      <c r="Q535" s="277"/>
      <c r="R535" s="277"/>
      <c r="S535" s="410"/>
      <c r="T535" s="277"/>
      <c r="U535" s="277"/>
      <c r="V535" s="277"/>
      <c r="W535" s="277"/>
      <c r="X535" s="277"/>
      <c r="Y535" s="277"/>
      <c r="Z535" s="277"/>
    </row>
    <row r="536" ht="12.75" customHeight="1">
      <c r="A536" s="277"/>
      <c r="B536" s="278"/>
      <c r="C536" s="277"/>
      <c r="D536" s="277"/>
      <c r="E536" s="277"/>
      <c r="F536" s="277"/>
      <c r="G536" s="277"/>
      <c r="H536" s="277"/>
      <c r="I536" s="277"/>
      <c r="J536" s="277"/>
      <c r="K536" s="277"/>
      <c r="L536" s="277"/>
      <c r="M536" s="277"/>
      <c r="N536" s="277"/>
      <c r="O536" s="277"/>
      <c r="P536" s="277"/>
      <c r="Q536" s="277"/>
      <c r="R536" s="277"/>
      <c r="S536" s="410"/>
      <c r="T536" s="277"/>
      <c r="U536" s="277"/>
      <c r="V536" s="277"/>
      <c r="W536" s="277"/>
      <c r="X536" s="277"/>
      <c r="Y536" s="277"/>
      <c r="Z536" s="277"/>
    </row>
    <row r="537" ht="12.75" customHeight="1">
      <c r="A537" s="277"/>
      <c r="B537" s="278"/>
      <c r="C537" s="277"/>
      <c r="D537" s="277"/>
      <c r="E537" s="277"/>
      <c r="F537" s="277"/>
      <c r="G537" s="277"/>
      <c r="H537" s="277"/>
      <c r="I537" s="277"/>
      <c r="J537" s="277"/>
      <c r="K537" s="277"/>
      <c r="L537" s="277"/>
      <c r="M537" s="277"/>
      <c r="N537" s="277"/>
      <c r="O537" s="277"/>
      <c r="P537" s="277"/>
      <c r="Q537" s="277"/>
      <c r="R537" s="277"/>
      <c r="S537" s="410"/>
      <c r="T537" s="277"/>
      <c r="U537" s="277"/>
      <c r="V537" s="277"/>
      <c r="W537" s="277"/>
      <c r="X537" s="277"/>
      <c r="Y537" s="277"/>
      <c r="Z537" s="277"/>
    </row>
    <row r="538" ht="12.75" customHeight="1">
      <c r="A538" s="277"/>
      <c r="B538" s="278"/>
      <c r="C538" s="277"/>
      <c r="D538" s="277"/>
      <c r="E538" s="277"/>
      <c r="F538" s="277"/>
      <c r="G538" s="277"/>
      <c r="H538" s="277"/>
      <c r="I538" s="277"/>
      <c r="J538" s="277"/>
      <c r="K538" s="277"/>
      <c r="L538" s="277"/>
      <c r="M538" s="277"/>
      <c r="N538" s="277"/>
      <c r="O538" s="277"/>
      <c r="P538" s="277"/>
      <c r="Q538" s="277"/>
      <c r="R538" s="277"/>
      <c r="S538" s="410"/>
      <c r="T538" s="277"/>
      <c r="U538" s="277"/>
      <c r="V538" s="277"/>
      <c r="W538" s="277"/>
      <c r="X538" s="277"/>
      <c r="Y538" s="277"/>
      <c r="Z538" s="277"/>
    </row>
    <row r="539" ht="12.75" customHeight="1">
      <c r="A539" s="277"/>
      <c r="B539" s="278"/>
      <c r="C539" s="277"/>
      <c r="D539" s="277"/>
      <c r="E539" s="277"/>
      <c r="F539" s="277"/>
      <c r="G539" s="277"/>
      <c r="H539" s="277"/>
      <c r="I539" s="277"/>
      <c r="J539" s="277"/>
      <c r="K539" s="277"/>
      <c r="L539" s="277"/>
      <c r="M539" s="277"/>
      <c r="N539" s="277"/>
      <c r="O539" s="277"/>
      <c r="P539" s="277"/>
      <c r="Q539" s="277"/>
      <c r="R539" s="277"/>
      <c r="S539" s="410"/>
      <c r="T539" s="277"/>
      <c r="U539" s="277"/>
      <c r="V539" s="277"/>
      <c r="W539" s="277"/>
      <c r="X539" s="277"/>
      <c r="Y539" s="277"/>
      <c r="Z539" s="277"/>
    </row>
    <row r="540" ht="12.75" customHeight="1">
      <c r="A540" s="277"/>
      <c r="B540" s="278"/>
      <c r="C540" s="277"/>
      <c r="D540" s="277"/>
      <c r="E540" s="277"/>
      <c r="F540" s="277"/>
      <c r="G540" s="277"/>
      <c r="H540" s="277"/>
      <c r="I540" s="277"/>
      <c r="J540" s="277"/>
      <c r="K540" s="277"/>
      <c r="L540" s="277"/>
      <c r="M540" s="277"/>
      <c r="N540" s="277"/>
      <c r="O540" s="277"/>
      <c r="P540" s="277"/>
      <c r="Q540" s="277"/>
      <c r="R540" s="277"/>
      <c r="S540" s="410"/>
      <c r="T540" s="277"/>
      <c r="U540" s="277"/>
      <c r="V540" s="277"/>
      <c r="W540" s="277"/>
      <c r="X540" s="277"/>
      <c r="Y540" s="277"/>
      <c r="Z540" s="277"/>
    </row>
    <row r="541" ht="12.75" customHeight="1">
      <c r="A541" s="277"/>
      <c r="B541" s="278"/>
      <c r="C541" s="277"/>
      <c r="D541" s="277"/>
      <c r="E541" s="277"/>
      <c r="F541" s="277"/>
      <c r="G541" s="277"/>
      <c r="H541" s="277"/>
      <c r="I541" s="277"/>
      <c r="J541" s="277"/>
      <c r="K541" s="277"/>
      <c r="L541" s="277"/>
      <c r="M541" s="277"/>
      <c r="N541" s="277"/>
      <c r="O541" s="277"/>
      <c r="P541" s="277"/>
      <c r="Q541" s="277"/>
      <c r="R541" s="277"/>
      <c r="S541" s="410"/>
      <c r="T541" s="277"/>
      <c r="U541" s="277"/>
      <c r="V541" s="277"/>
      <c r="W541" s="277"/>
      <c r="X541" s="277"/>
      <c r="Y541" s="277"/>
      <c r="Z541" s="277"/>
    </row>
    <row r="542" ht="12.75" customHeight="1">
      <c r="A542" s="277"/>
      <c r="B542" s="278"/>
      <c r="C542" s="277"/>
      <c r="D542" s="277"/>
      <c r="E542" s="277"/>
      <c r="F542" s="277"/>
      <c r="G542" s="277"/>
      <c r="H542" s="277"/>
      <c r="I542" s="277"/>
      <c r="J542" s="277"/>
      <c r="K542" s="277"/>
      <c r="L542" s="277"/>
      <c r="M542" s="277"/>
      <c r="N542" s="277"/>
      <c r="O542" s="277"/>
      <c r="P542" s="277"/>
      <c r="Q542" s="277"/>
      <c r="R542" s="277"/>
      <c r="S542" s="410"/>
      <c r="T542" s="277"/>
      <c r="U542" s="277"/>
      <c r="V542" s="277"/>
      <c r="W542" s="277"/>
      <c r="X542" s="277"/>
      <c r="Y542" s="277"/>
      <c r="Z542" s="277"/>
    </row>
    <row r="543" ht="12.75" customHeight="1">
      <c r="A543" s="277"/>
      <c r="B543" s="278"/>
      <c r="C543" s="277"/>
      <c r="D543" s="277"/>
      <c r="E543" s="277"/>
      <c r="F543" s="277"/>
      <c r="G543" s="277"/>
      <c r="H543" s="277"/>
      <c r="I543" s="277"/>
      <c r="J543" s="277"/>
      <c r="K543" s="277"/>
      <c r="L543" s="277"/>
      <c r="M543" s="277"/>
      <c r="N543" s="277"/>
      <c r="O543" s="277"/>
      <c r="P543" s="277"/>
      <c r="Q543" s="277"/>
      <c r="R543" s="277"/>
      <c r="S543" s="410"/>
      <c r="T543" s="277"/>
      <c r="U543" s="277"/>
      <c r="V543" s="277"/>
      <c r="W543" s="277"/>
      <c r="X543" s="277"/>
      <c r="Y543" s="277"/>
      <c r="Z543" s="277"/>
    </row>
    <row r="544" ht="12.75" customHeight="1">
      <c r="A544" s="277"/>
      <c r="B544" s="278"/>
      <c r="C544" s="277"/>
      <c r="D544" s="277"/>
      <c r="E544" s="277"/>
      <c r="F544" s="277"/>
      <c r="G544" s="277"/>
      <c r="H544" s="277"/>
      <c r="I544" s="277"/>
      <c r="J544" s="277"/>
      <c r="K544" s="277"/>
      <c r="L544" s="277"/>
      <c r="M544" s="277"/>
      <c r="N544" s="277"/>
      <c r="O544" s="277"/>
      <c r="P544" s="277"/>
      <c r="Q544" s="277"/>
      <c r="R544" s="277"/>
      <c r="S544" s="410"/>
      <c r="T544" s="277"/>
      <c r="U544" s="277"/>
      <c r="V544" s="277"/>
      <c r="W544" s="277"/>
      <c r="X544" s="277"/>
      <c r="Y544" s="277"/>
      <c r="Z544" s="277"/>
    </row>
    <row r="545" ht="12.75" customHeight="1">
      <c r="A545" s="277"/>
      <c r="B545" s="278"/>
      <c r="C545" s="277"/>
      <c r="D545" s="277"/>
      <c r="E545" s="277"/>
      <c r="F545" s="277"/>
      <c r="G545" s="277"/>
      <c r="H545" s="277"/>
      <c r="I545" s="277"/>
      <c r="J545" s="277"/>
      <c r="K545" s="277"/>
      <c r="L545" s="277"/>
      <c r="M545" s="277"/>
      <c r="N545" s="277"/>
      <c r="O545" s="277"/>
      <c r="P545" s="277"/>
      <c r="Q545" s="277"/>
      <c r="R545" s="277"/>
      <c r="S545" s="410"/>
      <c r="T545" s="277"/>
      <c r="U545" s="277"/>
      <c r="V545" s="277"/>
      <c r="W545" s="277"/>
      <c r="X545" s="277"/>
      <c r="Y545" s="277"/>
      <c r="Z545" s="277"/>
    </row>
    <row r="546" ht="12.75" customHeight="1">
      <c r="A546" s="277"/>
      <c r="B546" s="278"/>
      <c r="C546" s="277"/>
      <c r="D546" s="277"/>
      <c r="E546" s="277"/>
      <c r="F546" s="277"/>
      <c r="G546" s="277"/>
      <c r="H546" s="277"/>
      <c r="I546" s="277"/>
      <c r="J546" s="277"/>
      <c r="K546" s="277"/>
      <c r="L546" s="277"/>
      <c r="M546" s="277"/>
      <c r="N546" s="277"/>
      <c r="O546" s="277"/>
      <c r="P546" s="277"/>
      <c r="Q546" s="277"/>
      <c r="R546" s="277"/>
      <c r="S546" s="410"/>
      <c r="T546" s="277"/>
      <c r="U546" s="277"/>
      <c r="V546" s="277"/>
      <c r="W546" s="277"/>
      <c r="X546" s="277"/>
      <c r="Y546" s="277"/>
      <c r="Z546" s="277"/>
    </row>
    <row r="547" ht="12.75" customHeight="1">
      <c r="A547" s="277"/>
      <c r="B547" s="278"/>
      <c r="C547" s="277"/>
      <c r="D547" s="277"/>
      <c r="E547" s="277"/>
      <c r="F547" s="277"/>
      <c r="G547" s="277"/>
      <c r="H547" s="277"/>
      <c r="I547" s="277"/>
      <c r="J547" s="277"/>
      <c r="K547" s="277"/>
      <c r="L547" s="277"/>
      <c r="M547" s="277"/>
      <c r="N547" s="277"/>
      <c r="O547" s="277"/>
      <c r="P547" s="277"/>
      <c r="Q547" s="277"/>
      <c r="R547" s="277"/>
      <c r="S547" s="410"/>
      <c r="T547" s="277"/>
      <c r="U547" s="277"/>
      <c r="V547" s="277"/>
      <c r="W547" s="277"/>
      <c r="X547" s="277"/>
      <c r="Y547" s="277"/>
      <c r="Z547" s="277"/>
    </row>
    <row r="548" ht="12.75" customHeight="1">
      <c r="A548" s="277"/>
      <c r="B548" s="278"/>
      <c r="C548" s="277"/>
      <c r="D548" s="277"/>
      <c r="E548" s="277"/>
      <c r="F548" s="277"/>
      <c r="G548" s="277"/>
      <c r="H548" s="277"/>
      <c r="I548" s="277"/>
      <c r="J548" s="277"/>
      <c r="K548" s="277"/>
      <c r="L548" s="277"/>
      <c r="M548" s="277"/>
      <c r="N548" s="277"/>
      <c r="O548" s="277"/>
      <c r="P548" s="277"/>
      <c r="Q548" s="277"/>
      <c r="R548" s="277"/>
      <c r="S548" s="410"/>
      <c r="T548" s="277"/>
      <c r="U548" s="277"/>
      <c r="V548" s="277"/>
      <c r="W548" s="277"/>
      <c r="X548" s="277"/>
      <c r="Y548" s="277"/>
      <c r="Z548" s="277"/>
    </row>
    <row r="549" ht="12.75" customHeight="1">
      <c r="A549" s="277"/>
      <c r="B549" s="278"/>
      <c r="C549" s="277"/>
      <c r="D549" s="277"/>
      <c r="E549" s="277"/>
      <c r="F549" s="277"/>
      <c r="G549" s="277"/>
      <c r="H549" s="277"/>
      <c r="I549" s="277"/>
      <c r="J549" s="277"/>
      <c r="K549" s="277"/>
      <c r="L549" s="277"/>
      <c r="M549" s="277"/>
      <c r="N549" s="277"/>
      <c r="O549" s="277"/>
      <c r="P549" s="277"/>
      <c r="Q549" s="277"/>
      <c r="R549" s="277"/>
      <c r="S549" s="410"/>
      <c r="T549" s="277"/>
      <c r="U549" s="277"/>
      <c r="V549" s="277"/>
      <c r="W549" s="277"/>
      <c r="X549" s="277"/>
      <c r="Y549" s="277"/>
      <c r="Z549" s="277"/>
    </row>
    <row r="550" ht="12.75" customHeight="1">
      <c r="A550" s="277"/>
      <c r="B550" s="278"/>
      <c r="C550" s="277"/>
      <c r="D550" s="277"/>
      <c r="E550" s="277"/>
      <c r="F550" s="277"/>
      <c r="G550" s="277"/>
      <c r="H550" s="277"/>
      <c r="I550" s="277"/>
      <c r="J550" s="277"/>
      <c r="K550" s="277"/>
      <c r="L550" s="277"/>
      <c r="M550" s="277"/>
      <c r="N550" s="277"/>
      <c r="O550" s="277"/>
      <c r="P550" s="277"/>
      <c r="Q550" s="277"/>
      <c r="R550" s="277"/>
      <c r="S550" s="410"/>
      <c r="T550" s="277"/>
      <c r="U550" s="277"/>
      <c r="V550" s="277"/>
      <c r="W550" s="277"/>
      <c r="X550" s="277"/>
      <c r="Y550" s="277"/>
      <c r="Z550" s="277"/>
    </row>
    <row r="551" ht="12.75" customHeight="1">
      <c r="A551" s="277"/>
      <c r="B551" s="278"/>
      <c r="C551" s="277"/>
      <c r="D551" s="277"/>
      <c r="E551" s="277"/>
      <c r="F551" s="277"/>
      <c r="G551" s="277"/>
      <c r="H551" s="277"/>
      <c r="I551" s="277"/>
      <c r="J551" s="277"/>
      <c r="K551" s="277"/>
      <c r="L551" s="277"/>
      <c r="M551" s="277"/>
      <c r="N551" s="277"/>
      <c r="O551" s="277"/>
      <c r="P551" s="277"/>
      <c r="Q551" s="277"/>
      <c r="R551" s="277"/>
      <c r="S551" s="410"/>
      <c r="T551" s="277"/>
      <c r="U551" s="277"/>
      <c r="V551" s="277"/>
      <c r="W551" s="277"/>
      <c r="X551" s="277"/>
      <c r="Y551" s="277"/>
      <c r="Z551" s="277"/>
    </row>
    <row r="552" ht="12.75" customHeight="1">
      <c r="A552" s="277"/>
      <c r="B552" s="278"/>
      <c r="C552" s="277"/>
      <c r="D552" s="277"/>
      <c r="E552" s="277"/>
      <c r="F552" s="277"/>
      <c r="G552" s="277"/>
      <c r="H552" s="277"/>
      <c r="I552" s="277"/>
      <c r="J552" s="277"/>
      <c r="K552" s="277"/>
      <c r="L552" s="277"/>
      <c r="M552" s="277"/>
      <c r="N552" s="277"/>
      <c r="O552" s="277"/>
      <c r="P552" s="277"/>
      <c r="Q552" s="277"/>
      <c r="R552" s="277"/>
      <c r="S552" s="410"/>
      <c r="T552" s="277"/>
      <c r="U552" s="277"/>
      <c r="V552" s="277"/>
      <c r="W552" s="277"/>
      <c r="X552" s="277"/>
      <c r="Y552" s="277"/>
      <c r="Z552" s="277"/>
    </row>
    <row r="553" ht="12.75" customHeight="1">
      <c r="A553" s="277"/>
      <c r="B553" s="278"/>
      <c r="C553" s="277"/>
      <c r="D553" s="277"/>
      <c r="E553" s="277"/>
      <c r="F553" s="277"/>
      <c r="G553" s="277"/>
      <c r="H553" s="277"/>
      <c r="I553" s="277"/>
      <c r="J553" s="277"/>
      <c r="K553" s="277"/>
      <c r="L553" s="277"/>
      <c r="M553" s="277"/>
      <c r="N553" s="277"/>
      <c r="O553" s="277"/>
      <c r="P553" s="277"/>
      <c r="Q553" s="277"/>
      <c r="R553" s="277"/>
      <c r="S553" s="410"/>
      <c r="T553" s="277"/>
      <c r="U553" s="277"/>
      <c r="V553" s="277"/>
      <c r="W553" s="277"/>
      <c r="X553" s="277"/>
      <c r="Y553" s="277"/>
      <c r="Z553" s="277"/>
    </row>
    <row r="554" ht="12.75" customHeight="1">
      <c r="A554" s="277"/>
      <c r="B554" s="278"/>
      <c r="C554" s="277"/>
      <c r="D554" s="277"/>
      <c r="E554" s="277"/>
      <c r="F554" s="277"/>
      <c r="G554" s="277"/>
      <c r="H554" s="277"/>
      <c r="I554" s="277"/>
      <c r="J554" s="277"/>
      <c r="K554" s="277"/>
      <c r="L554" s="277"/>
      <c r="M554" s="277"/>
      <c r="N554" s="277"/>
      <c r="O554" s="277"/>
      <c r="P554" s="277"/>
      <c r="Q554" s="277"/>
      <c r="R554" s="277"/>
      <c r="S554" s="410"/>
      <c r="T554" s="277"/>
      <c r="U554" s="277"/>
      <c r="V554" s="277"/>
      <c r="W554" s="277"/>
      <c r="X554" s="277"/>
      <c r="Y554" s="277"/>
      <c r="Z554" s="277"/>
    </row>
    <row r="555" ht="12.75" customHeight="1">
      <c r="A555" s="277"/>
      <c r="B555" s="278"/>
      <c r="C555" s="277"/>
      <c r="D555" s="277"/>
      <c r="E555" s="277"/>
      <c r="F555" s="277"/>
      <c r="G555" s="277"/>
      <c r="H555" s="277"/>
      <c r="I555" s="277"/>
      <c r="J555" s="277"/>
      <c r="K555" s="277"/>
      <c r="L555" s="277"/>
      <c r="M555" s="277"/>
      <c r="N555" s="277"/>
      <c r="O555" s="277"/>
      <c r="P555" s="277"/>
      <c r="Q555" s="277"/>
      <c r="R555" s="277"/>
      <c r="S555" s="410"/>
      <c r="T555" s="277"/>
      <c r="U555" s="277"/>
      <c r="V555" s="277"/>
      <c r="W555" s="277"/>
      <c r="X555" s="277"/>
      <c r="Y555" s="277"/>
      <c r="Z555" s="277"/>
    </row>
    <row r="556" ht="12.75" customHeight="1">
      <c r="A556" s="277"/>
      <c r="B556" s="278"/>
      <c r="C556" s="277"/>
      <c r="D556" s="277"/>
      <c r="E556" s="277"/>
      <c r="F556" s="277"/>
      <c r="G556" s="277"/>
      <c r="H556" s="277"/>
      <c r="I556" s="277"/>
      <c r="J556" s="277"/>
      <c r="K556" s="277"/>
      <c r="L556" s="277"/>
      <c r="M556" s="277"/>
      <c r="N556" s="277"/>
      <c r="O556" s="277"/>
      <c r="P556" s="277"/>
      <c r="Q556" s="277"/>
      <c r="R556" s="277"/>
      <c r="S556" s="410"/>
      <c r="T556" s="277"/>
      <c r="U556" s="277"/>
      <c r="V556" s="277"/>
      <c r="W556" s="277"/>
      <c r="X556" s="277"/>
      <c r="Y556" s="277"/>
      <c r="Z556" s="277"/>
    </row>
    <row r="557" ht="12.75" customHeight="1">
      <c r="A557" s="277"/>
      <c r="B557" s="278"/>
      <c r="C557" s="277"/>
      <c r="D557" s="277"/>
      <c r="E557" s="277"/>
      <c r="F557" s="277"/>
      <c r="G557" s="277"/>
      <c r="H557" s="277"/>
      <c r="I557" s="277"/>
      <c r="J557" s="277"/>
      <c r="K557" s="277"/>
      <c r="L557" s="277"/>
      <c r="M557" s="277"/>
      <c r="N557" s="277"/>
      <c r="O557" s="277"/>
      <c r="P557" s="277"/>
      <c r="Q557" s="277"/>
      <c r="R557" s="277"/>
      <c r="S557" s="410"/>
      <c r="T557" s="277"/>
      <c r="U557" s="277"/>
      <c r="V557" s="277"/>
      <c r="W557" s="277"/>
      <c r="X557" s="277"/>
      <c r="Y557" s="277"/>
      <c r="Z557" s="277"/>
    </row>
    <row r="558" ht="12.75" customHeight="1">
      <c r="A558" s="277"/>
      <c r="B558" s="278"/>
      <c r="C558" s="277"/>
      <c r="D558" s="277"/>
      <c r="E558" s="277"/>
      <c r="F558" s="277"/>
      <c r="G558" s="277"/>
      <c r="H558" s="277"/>
      <c r="I558" s="277"/>
      <c r="J558" s="277"/>
      <c r="K558" s="277"/>
      <c r="L558" s="277"/>
      <c r="M558" s="277"/>
      <c r="N558" s="277"/>
      <c r="O558" s="277"/>
      <c r="P558" s="277"/>
      <c r="Q558" s="277"/>
      <c r="R558" s="277"/>
      <c r="S558" s="410"/>
      <c r="T558" s="277"/>
      <c r="U558" s="277"/>
      <c r="V558" s="277"/>
      <c r="W558" s="277"/>
      <c r="X558" s="277"/>
      <c r="Y558" s="277"/>
      <c r="Z558" s="277"/>
    </row>
    <row r="559" ht="12.75" customHeight="1">
      <c r="A559" s="277"/>
      <c r="B559" s="278"/>
      <c r="C559" s="277"/>
      <c r="D559" s="277"/>
      <c r="E559" s="277"/>
      <c r="F559" s="277"/>
      <c r="G559" s="277"/>
      <c r="H559" s="277"/>
      <c r="I559" s="277"/>
      <c r="J559" s="277"/>
      <c r="K559" s="277"/>
      <c r="L559" s="277"/>
      <c r="M559" s="277"/>
      <c r="N559" s="277"/>
      <c r="O559" s="277"/>
      <c r="P559" s="277"/>
      <c r="Q559" s="277"/>
      <c r="R559" s="277"/>
      <c r="S559" s="410"/>
      <c r="T559" s="277"/>
      <c r="U559" s="277"/>
      <c r="V559" s="277"/>
      <c r="W559" s="277"/>
      <c r="X559" s="277"/>
      <c r="Y559" s="277"/>
      <c r="Z559" s="277"/>
    </row>
    <row r="560" ht="12.75" customHeight="1">
      <c r="A560" s="277"/>
      <c r="B560" s="278"/>
      <c r="C560" s="277"/>
      <c r="D560" s="277"/>
      <c r="E560" s="277"/>
      <c r="F560" s="277"/>
      <c r="G560" s="277"/>
      <c r="H560" s="277"/>
      <c r="I560" s="277"/>
      <c r="J560" s="277"/>
      <c r="K560" s="277"/>
      <c r="L560" s="277"/>
      <c r="M560" s="277"/>
      <c r="N560" s="277"/>
      <c r="O560" s="277"/>
      <c r="P560" s="277"/>
      <c r="Q560" s="277"/>
      <c r="R560" s="277"/>
      <c r="S560" s="410"/>
      <c r="T560" s="277"/>
      <c r="U560" s="277"/>
      <c r="V560" s="277"/>
      <c r="W560" s="277"/>
      <c r="X560" s="277"/>
      <c r="Y560" s="277"/>
      <c r="Z560" s="277"/>
    </row>
    <row r="561" ht="12.75" customHeight="1">
      <c r="A561" s="277"/>
      <c r="B561" s="278"/>
      <c r="C561" s="277"/>
      <c r="D561" s="277"/>
      <c r="E561" s="277"/>
      <c r="F561" s="277"/>
      <c r="G561" s="277"/>
      <c r="H561" s="277"/>
      <c r="I561" s="277"/>
      <c r="J561" s="277"/>
      <c r="K561" s="277"/>
      <c r="L561" s="277"/>
      <c r="M561" s="277"/>
      <c r="N561" s="277"/>
      <c r="O561" s="277"/>
      <c r="P561" s="277"/>
      <c r="Q561" s="277"/>
      <c r="R561" s="277"/>
      <c r="S561" s="410"/>
      <c r="T561" s="277"/>
      <c r="U561" s="277"/>
      <c r="V561" s="277"/>
      <c r="W561" s="277"/>
      <c r="X561" s="277"/>
      <c r="Y561" s="277"/>
      <c r="Z561" s="277"/>
    </row>
    <row r="562" ht="12.75" customHeight="1">
      <c r="A562" s="277"/>
      <c r="B562" s="278"/>
      <c r="C562" s="277"/>
      <c r="D562" s="277"/>
      <c r="E562" s="277"/>
      <c r="F562" s="277"/>
      <c r="G562" s="277"/>
      <c r="H562" s="277"/>
      <c r="I562" s="277"/>
      <c r="J562" s="277"/>
      <c r="K562" s="277"/>
      <c r="L562" s="277"/>
      <c r="M562" s="277"/>
      <c r="N562" s="277"/>
      <c r="O562" s="277"/>
      <c r="P562" s="277"/>
      <c r="Q562" s="277"/>
      <c r="R562" s="277"/>
      <c r="S562" s="410"/>
      <c r="T562" s="277"/>
      <c r="U562" s="277"/>
      <c r="V562" s="277"/>
      <c r="W562" s="277"/>
      <c r="X562" s="277"/>
      <c r="Y562" s="277"/>
      <c r="Z562" s="277"/>
    </row>
    <row r="563" ht="12.75" customHeight="1">
      <c r="A563" s="277"/>
      <c r="B563" s="278"/>
      <c r="C563" s="277"/>
      <c r="D563" s="277"/>
      <c r="E563" s="277"/>
      <c r="F563" s="277"/>
      <c r="G563" s="277"/>
      <c r="H563" s="277"/>
      <c r="I563" s="277"/>
      <c r="J563" s="277"/>
      <c r="K563" s="277"/>
      <c r="L563" s="277"/>
      <c r="M563" s="277"/>
      <c r="N563" s="277"/>
      <c r="O563" s="277"/>
      <c r="P563" s="277"/>
      <c r="Q563" s="277"/>
      <c r="R563" s="277"/>
      <c r="S563" s="410"/>
      <c r="T563" s="277"/>
      <c r="U563" s="277"/>
      <c r="V563" s="277"/>
      <c r="W563" s="277"/>
      <c r="X563" s="277"/>
      <c r="Y563" s="277"/>
      <c r="Z563" s="277"/>
    </row>
    <row r="564" ht="12.75" customHeight="1">
      <c r="A564" s="277"/>
      <c r="B564" s="278"/>
      <c r="C564" s="277"/>
      <c r="D564" s="277"/>
      <c r="E564" s="277"/>
      <c r="F564" s="277"/>
      <c r="G564" s="277"/>
      <c r="H564" s="277"/>
      <c r="I564" s="277"/>
      <c r="J564" s="277"/>
      <c r="K564" s="277"/>
      <c r="L564" s="277"/>
      <c r="M564" s="277"/>
      <c r="N564" s="277"/>
      <c r="O564" s="277"/>
      <c r="P564" s="277"/>
      <c r="Q564" s="277"/>
      <c r="R564" s="277"/>
      <c r="S564" s="410"/>
      <c r="T564" s="277"/>
      <c r="U564" s="277"/>
      <c r="V564" s="277"/>
      <c r="W564" s="277"/>
      <c r="X564" s="277"/>
      <c r="Y564" s="277"/>
      <c r="Z564" s="277"/>
    </row>
    <row r="565" ht="12.75" customHeight="1">
      <c r="A565" s="277"/>
      <c r="B565" s="278"/>
      <c r="C565" s="277"/>
      <c r="D565" s="277"/>
      <c r="E565" s="277"/>
      <c r="F565" s="277"/>
      <c r="G565" s="277"/>
      <c r="H565" s="277"/>
      <c r="I565" s="277"/>
      <c r="J565" s="277"/>
      <c r="K565" s="277"/>
      <c r="L565" s="277"/>
      <c r="M565" s="277"/>
      <c r="N565" s="277"/>
      <c r="O565" s="277"/>
      <c r="P565" s="277"/>
      <c r="Q565" s="277"/>
      <c r="R565" s="277"/>
      <c r="S565" s="410"/>
      <c r="T565" s="277"/>
      <c r="U565" s="277"/>
      <c r="V565" s="277"/>
      <c r="W565" s="277"/>
      <c r="X565" s="277"/>
      <c r="Y565" s="277"/>
      <c r="Z565" s="277"/>
    </row>
    <row r="566" ht="12.75" customHeight="1">
      <c r="A566" s="277"/>
      <c r="B566" s="278"/>
      <c r="C566" s="277"/>
      <c r="D566" s="277"/>
      <c r="E566" s="277"/>
      <c r="F566" s="277"/>
      <c r="G566" s="277"/>
      <c r="H566" s="277"/>
      <c r="I566" s="277"/>
      <c r="J566" s="277"/>
      <c r="K566" s="277"/>
      <c r="L566" s="277"/>
      <c r="M566" s="277"/>
      <c r="N566" s="277"/>
      <c r="O566" s="277"/>
      <c r="P566" s="277"/>
      <c r="Q566" s="277"/>
      <c r="R566" s="277"/>
      <c r="S566" s="410"/>
      <c r="T566" s="277"/>
      <c r="U566" s="277"/>
      <c r="V566" s="277"/>
      <c r="W566" s="277"/>
      <c r="X566" s="277"/>
      <c r="Y566" s="277"/>
      <c r="Z566" s="277"/>
    </row>
    <row r="567" ht="12.75" customHeight="1">
      <c r="A567" s="277"/>
      <c r="B567" s="278"/>
      <c r="C567" s="277"/>
      <c r="D567" s="277"/>
      <c r="E567" s="277"/>
      <c r="F567" s="277"/>
      <c r="G567" s="277"/>
      <c r="H567" s="277"/>
      <c r="I567" s="277"/>
      <c r="J567" s="277"/>
      <c r="K567" s="277"/>
      <c r="L567" s="277"/>
      <c r="M567" s="277"/>
      <c r="N567" s="277"/>
      <c r="O567" s="277"/>
      <c r="P567" s="277"/>
      <c r="Q567" s="277"/>
      <c r="R567" s="277"/>
      <c r="S567" s="410"/>
      <c r="T567" s="277"/>
      <c r="U567" s="277"/>
      <c r="V567" s="277"/>
      <c r="W567" s="277"/>
      <c r="X567" s="277"/>
      <c r="Y567" s="277"/>
      <c r="Z567" s="277"/>
    </row>
    <row r="568" ht="12.75" customHeight="1">
      <c r="A568" s="277"/>
      <c r="B568" s="278"/>
      <c r="C568" s="277"/>
      <c r="D568" s="277"/>
      <c r="E568" s="277"/>
      <c r="F568" s="277"/>
      <c r="G568" s="277"/>
      <c r="H568" s="277"/>
      <c r="I568" s="277"/>
      <c r="J568" s="277"/>
      <c r="K568" s="277"/>
      <c r="L568" s="277"/>
      <c r="M568" s="277"/>
      <c r="N568" s="277"/>
      <c r="O568" s="277"/>
      <c r="P568" s="277"/>
      <c r="Q568" s="277"/>
      <c r="R568" s="277"/>
      <c r="S568" s="410"/>
      <c r="T568" s="277"/>
      <c r="U568" s="277"/>
      <c r="V568" s="277"/>
      <c r="W568" s="277"/>
      <c r="X568" s="277"/>
      <c r="Y568" s="277"/>
      <c r="Z568" s="277"/>
    </row>
    <row r="569" ht="12.75" customHeight="1">
      <c r="A569" s="277"/>
      <c r="B569" s="278"/>
      <c r="C569" s="277"/>
      <c r="D569" s="277"/>
      <c r="E569" s="277"/>
      <c r="F569" s="277"/>
      <c r="G569" s="277"/>
      <c r="H569" s="277"/>
      <c r="I569" s="277"/>
      <c r="J569" s="277"/>
      <c r="K569" s="277"/>
      <c r="L569" s="277"/>
      <c r="M569" s="277"/>
      <c r="N569" s="277"/>
      <c r="O569" s="277"/>
      <c r="P569" s="277"/>
      <c r="Q569" s="277"/>
      <c r="R569" s="277"/>
      <c r="S569" s="410"/>
      <c r="T569" s="277"/>
      <c r="U569" s="277"/>
      <c r="V569" s="277"/>
      <c r="W569" s="277"/>
      <c r="X569" s="277"/>
      <c r="Y569" s="277"/>
      <c r="Z569" s="277"/>
    </row>
    <row r="570" ht="12.75" customHeight="1">
      <c r="A570" s="277"/>
      <c r="B570" s="278"/>
      <c r="C570" s="277"/>
      <c r="D570" s="277"/>
      <c r="E570" s="277"/>
      <c r="F570" s="277"/>
      <c r="G570" s="277"/>
      <c r="H570" s="277"/>
      <c r="I570" s="277"/>
      <c r="J570" s="277"/>
      <c r="K570" s="277"/>
      <c r="L570" s="277"/>
      <c r="M570" s="277"/>
      <c r="N570" s="277"/>
      <c r="O570" s="277"/>
      <c r="P570" s="277"/>
      <c r="Q570" s="277"/>
      <c r="R570" s="277"/>
      <c r="S570" s="410"/>
      <c r="T570" s="277"/>
      <c r="U570" s="277"/>
      <c r="V570" s="277"/>
      <c r="W570" s="277"/>
      <c r="X570" s="277"/>
      <c r="Y570" s="277"/>
      <c r="Z570" s="277"/>
    </row>
    <row r="571" ht="12.75" customHeight="1">
      <c r="A571" s="277"/>
      <c r="B571" s="278"/>
      <c r="C571" s="277"/>
      <c r="D571" s="277"/>
      <c r="E571" s="277"/>
      <c r="F571" s="277"/>
      <c r="G571" s="277"/>
      <c r="H571" s="277"/>
      <c r="I571" s="277"/>
      <c r="J571" s="277"/>
      <c r="K571" s="277"/>
      <c r="L571" s="277"/>
      <c r="M571" s="277"/>
      <c r="N571" s="277"/>
      <c r="O571" s="277"/>
      <c r="P571" s="277"/>
      <c r="Q571" s="277"/>
      <c r="R571" s="277"/>
      <c r="S571" s="410"/>
      <c r="T571" s="277"/>
      <c r="U571" s="277"/>
      <c r="V571" s="277"/>
      <c r="W571" s="277"/>
      <c r="X571" s="277"/>
      <c r="Y571" s="277"/>
      <c r="Z571" s="277"/>
    </row>
    <row r="572" ht="12.75" customHeight="1">
      <c r="A572" s="277"/>
      <c r="B572" s="278"/>
      <c r="C572" s="277"/>
      <c r="D572" s="277"/>
      <c r="E572" s="277"/>
      <c r="F572" s="277"/>
      <c r="G572" s="277"/>
      <c r="H572" s="277"/>
      <c r="I572" s="277"/>
      <c r="J572" s="277"/>
      <c r="K572" s="277"/>
      <c r="L572" s="277"/>
      <c r="M572" s="277"/>
      <c r="N572" s="277"/>
      <c r="O572" s="277"/>
      <c r="P572" s="277"/>
      <c r="Q572" s="277"/>
      <c r="R572" s="277"/>
      <c r="S572" s="410"/>
      <c r="T572" s="277"/>
      <c r="U572" s="277"/>
      <c r="V572" s="277"/>
      <c r="W572" s="277"/>
      <c r="X572" s="277"/>
      <c r="Y572" s="277"/>
      <c r="Z572" s="277"/>
    </row>
    <row r="573" ht="12.75" customHeight="1">
      <c r="A573" s="277"/>
      <c r="B573" s="278"/>
      <c r="C573" s="277"/>
      <c r="D573" s="277"/>
      <c r="E573" s="277"/>
      <c r="F573" s="277"/>
      <c r="G573" s="277"/>
      <c r="H573" s="277"/>
      <c r="I573" s="277"/>
      <c r="J573" s="277"/>
      <c r="K573" s="277"/>
      <c r="L573" s="277"/>
      <c r="M573" s="277"/>
      <c r="N573" s="277"/>
      <c r="O573" s="277"/>
      <c r="P573" s="277"/>
      <c r="Q573" s="277"/>
      <c r="R573" s="277"/>
      <c r="S573" s="410"/>
      <c r="T573" s="277"/>
      <c r="U573" s="277"/>
      <c r="V573" s="277"/>
      <c r="W573" s="277"/>
      <c r="X573" s="277"/>
      <c r="Y573" s="277"/>
      <c r="Z573" s="277"/>
    </row>
    <row r="574" ht="12.75" customHeight="1">
      <c r="A574" s="277"/>
      <c r="B574" s="278"/>
      <c r="C574" s="277"/>
      <c r="D574" s="277"/>
      <c r="E574" s="277"/>
      <c r="F574" s="277"/>
      <c r="G574" s="277"/>
      <c r="H574" s="277"/>
      <c r="I574" s="277"/>
      <c r="J574" s="277"/>
      <c r="K574" s="277"/>
      <c r="L574" s="277"/>
      <c r="M574" s="277"/>
      <c r="N574" s="277"/>
      <c r="O574" s="277"/>
      <c r="P574" s="277"/>
      <c r="Q574" s="277"/>
      <c r="R574" s="277"/>
      <c r="S574" s="410"/>
      <c r="T574" s="277"/>
      <c r="U574" s="277"/>
      <c r="V574" s="277"/>
      <c r="W574" s="277"/>
      <c r="X574" s="277"/>
      <c r="Y574" s="277"/>
      <c r="Z574" s="277"/>
    </row>
    <row r="575" ht="12.75" customHeight="1">
      <c r="A575" s="277"/>
      <c r="B575" s="278"/>
      <c r="C575" s="277"/>
      <c r="D575" s="277"/>
      <c r="E575" s="277"/>
      <c r="F575" s="277"/>
      <c r="G575" s="277"/>
      <c r="H575" s="277"/>
      <c r="I575" s="277"/>
      <c r="J575" s="277"/>
      <c r="K575" s="277"/>
      <c r="L575" s="277"/>
      <c r="M575" s="277"/>
      <c r="N575" s="277"/>
      <c r="O575" s="277"/>
      <c r="P575" s="277"/>
      <c r="Q575" s="277"/>
      <c r="R575" s="277"/>
      <c r="S575" s="410"/>
      <c r="T575" s="277"/>
      <c r="U575" s="277"/>
      <c r="V575" s="277"/>
      <c r="W575" s="277"/>
      <c r="X575" s="277"/>
      <c r="Y575" s="277"/>
      <c r="Z575" s="277"/>
    </row>
    <row r="576" ht="12.75" customHeight="1">
      <c r="A576" s="277"/>
      <c r="B576" s="278"/>
      <c r="C576" s="277"/>
      <c r="D576" s="277"/>
      <c r="E576" s="277"/>
      <c r="F576" s="277"/>
      <c r="G576" s="277"/>
      <c r="H576" s="277"/>
      <c r="I576" s="277"/>
      <c r="J576" s="277"/>
      <c r="K576" s="277"/>
      <c r="L576" s="277"/>
      <c r="M576" s="277"/>
      <c r="N576" s="277"/>
      <c r="O576" s="277"/>
      <c r="P576" s="277"/>
      <c r="Q576" s="277"/>
      <c r="R576" s="277"/>
      <c r="S576" s="410"/>
      <c r="T576" s="277"/>
      <c r="U576" s="277"/>
      <c r="V576" s="277"/>
      <c r="W576" s="277"/>
      <c r="X576" s="277"/>
      <c r="Y576" s="277"/>
      <c r="Z576" s="277"/>
    </row>
    <row r="577" ht="12.75" customHeight="1">
      <c r="A577" s="277"/>
      <c r="B577" s="278"/>
      <c r="C577" s="277"/>
      <c r="D577" s="277"/>
      <c r="E577" s="277"/>
      <c r="F577" s="277"/>
      <c r="G577" s="277"/>
      <c r="H577" s="277"/>
      <c r="I577" s="277"/>
      <c r="J577" s="277"/>
      <c r="K577" s="277"/>
      <c r="L577" s="277"/>
      <c r="M577" s="277"/>
      <c r="N577" s="277"/>
      <c r="O577" s="277"/>
      <c r="P577" s="277"/>
      <c r="Q577" s="277"/>
      <c r="R577" s="277"/>
      <c r="S577" s="410"/>
      <c r="T577" s="277"/>
      <c r="U577" s="277"/>
      <c r="V577" s="277"/>
      <c r="W577" s="277"/>
      <c r="X577" s="277"/>
      <c r="Y577" s="277"/>
      <c r="Z577" s="277"/>
    </row>
    <row r="578" ht="12.75" customHeight="1">
      <c r="A578" s="277"/>
      <c r="B578" s="278"/>
      <c r="C578" s="277"/>
      <c r="D578" s="277"/>
      <c r="E578" s="277"/>
      <c r="F578" s="277"/>
      <c r="G578" s="277"/>
      <c r="H578" s="277"/>
      <c r="I578" s="277"/>
      <c r="J578" s="277"/>
      <c r="K578" s="277"/>
      <c r="L578" s="277"/>
      <c r="M578" s="277"/>
      <c r="N578" s="277"/>
      <c r="O578" s="277"/>
      <c r="P578" s="277"/>
      <c r="Q578" s="277"/>
      <c r="R578" s="277"/>
      <c r="S578" s="410"/>
      <c r="T578" s="277"/>
      <c r="U578" s="277"/>
      <c r="V578" s="277"/>
      <c r="W578" s="277"/>
      <c r="X578" s="277"/>
      <c r="Y578" s="277"/>
      <c r="Z578" s="277"/>
    </row>
    <row r="579" ht="12.75" customHeight="1">
      <c r="A579" s="277"/>
      <c r="B579" s="278"/>
      <c r="C579" s="277"/>
      <c r="D579" s="277"/>
      <c r="E579" s="277"/>
      <c r="F579" s="277"/>
      <c r="G579" s="277"/>
      <c r="H579" s="277"/>
      <c r="I579" s="277"/>
      <c r="J579" s="277"/>
      <c r="K579" s="277"/>
      <c r="L579" s="277"/>
      <c r="M579" s="277"/>
      <c r="N579" s="277"/>
      <c r="O579" s="277"/>
      <c r="P579" s="277"/>
      <c r="Q579" s="277"/>
      <c r="R579" s="277"/>
      <c r="S579" s="410"/>
      <c r="T579" s="277"/>
      <c r="U579" s="277"/>
      <c r="V579" s="277"/>
      <c r="W579" s="277"/>
      <c r="X579" s="277"/>
      <c r="Y579" s="277"/>
      <c r="Z579" s="277"/>
    </row>
    <row r="580" ht="12.75" customHeight="1">
      <c r="A580" s="277"/>
      <c r="B580" s="278"/>
      <c r="C580" s="277"/>
      <c r="D580" s="277"/>
      <c r="E580" s="277"/>
      <c r="F580" s="277"/>
      <c r="G580" s="277"/>
      <c r="H580" s="277"/>
      <c r="I580" s="277"/>
      <c r="J580" s="277"/>
      <c r="K580" s="277"/>
      <c r="L580" s="277"/>
      <c r="M580" s="277"/>
      <c r="N580" s="277"/>
      <c r="O580" s="277"/>
      <c r="P580" s="277"/>
      <c r="Q580" s="277"/>
      <c r="R580" s="277"/>
      <c r="S580" s="410"/>
      <c r="T580" s="277"/>
      <c r="U580" s="277"/>
      <c r="V580" s="277"/>
      <c r="W580" s="277"/>
      <c r="X580" s="277"/>
      <c r="Y580" s="277"/>
      <c r="Z580" s="277"/>
    </row>
    <row r="581" ht="12.75" customHeight="1">
      <c r="A581" s="277"/>
      <c r="B581" s="278"/>
      <c r="C581" s="277"/>
      <c r="D581" s="277"/>
      <c r="E581" s="277"/>
      <c r="F581" s="277"/>
      <c r="G581" s="277"/>
      <c r="H581" s="277"/>
      <c r="I581" s="277"/>
      <c r="J581" s="277"/>
      <c r="K581" s="277"/>
      <c r="L581" s="277"/>
      <c r="M581" s="277"/>
      <c r="N581" s="277"/>
      <c r="O581" s="277"/>
      <c r="P581" s="277"/>
      <c r="Q581" s="277"/>
      <c r="R581" s="277"/>
      <c r="S581" s="410"/>
      <c r="T581" s="277"/>
      <c r="U581" s="277"/>
      <c r="V581" s="277"/>
      <c r="W581" s="277"/>
      <c r="X581" s="277"/>
      <c r="Y581" s="277"/>
      <c r="Z581" s="277"/>
    </row>
    <row r="582" ht="12.75" customHeight="1">
      <c r="A582" s="277"/>
      <c r="B582" s="278"/>
      <c r="C582" s="277"/>
      <c r="D582" s="277"/>
      <c r="E582" s="277"/>
      <c r="F582" s="277"/>
      <c r="G582" s="277"/>
      <c r="H582" s="277"/>
      <c r="I582" s="277"/>
      <c r="J582" s="277"/>
      <c r="K582" s="277"/>
      <c r="L582" s="277"/>
      <c r="M582" s="277"/>
      <c r="N582" s="277"/>
      <c r="O582" s="277"/>
      <c r="P582" s="277"/>
      <c r="Q582" s="277"/>
      <c r="R582" s="277"/>
      <c r="S582" s="410"/>
      <c r="T582" s="277"/>
      <c r="U582" s="277"/>
      <c r="V582" s="277"/>
      <c r="W582" s="277"/>
      <c r="X582" s="277"/>
      <c r="Y582" s="277"/>
      <c r="Z582" s="277"/>
    </row>
    <row r="583" ht="12.75" customHeight="1">
      <c r="A583" s="277"/>
      <c r="B583" s="278"/>
      <c r="C583" s="277"/>
      <c r="D583" s="277"/>
      <c r="E583" s="277"/>
      <c r="F583" s="277"/>
      <c r="G583" s="277"/>
      <c r="H583" s="277"/>
      <c r="I583" s="277"/>
      <c r="J583" s="277"/>
      <c r="K583" s="277"/>
      <c r="L583" s="277"/>
      <c r="M583" s="277"/>
      <c r="N583" s="277"/>
      <c r="O583" s="277"/>
      <c r="P583" s="277"/>
      <c r="Q583" s="277"/>
      <c r="R583" s="277"/>
      <c r="S583" s="410"/>
      <c r="T583" s="277"/>
      <c r="U583" s="277"/>
      <c r="V583" s="277"/>
      <c r="W583" s="277"/>
      <c r="X583" s="277"/>
      <c r="Y583" s="277"/>
      <c r="Z583" s="277"/>
    </row>
    <row r="584" ht="12.75" customHeight="1">
      <c r="A584" s="277"/>
      <c r="B584" s="278"/>
      <c r="C584" s="277"/>
      <c r="D584" s="277"/>
      <c r="E584" s="277"/>
      <c r="F584" s="277"/>
      <c r="G584" s="277"/>
      <c r="H584" s="277"/>
      <c r="I584" s="277"/>
      <c r="J584" s="277"/>
      <c r="K584" s="277"/>
      <c r="L584" s="277"/>
      <c r="M584" s="277"/>
      <c r="N584" s="277"/>
      <c r="O584" s="277"/>
      <c r="P584" s="277"/>
      <c r="Q584" s="277"/>
      <c r="R584" s="277"/>
      <c r="S584" s="410"/>
      <c r="T584" s="277"/>
      <c r="U584" s="277"/>
      <c r="V584" s="277"/>
      <c r="W584" s="277"/>
      <c r="X584" s="277"/>
      <c r="Y584" s="277"/>
      <c r="Z584" s="277"/>
    </row>
    <row r="585" ht="12.75" customHeight="1">
      <c r="A585" s="277"/>
      <c r="B585" s="278"/>
      <c r="C585" s="277"/>
      <c r="D585" s="277"/>
      <c r="E585" s="277"/>
      <c r="F585" s="277"/>
      <c r="G585" s="277"/>
      <c r="H585" s="277"/>
      <c r="I585" s="277"/>
      <c r="J585" s="277"/>
      <c r="K585" s="277"/>
      <c r="L585" s="277"/>
      <c r="M585" s="277"/>
      <c r="N585" s="277"/>
      <c r="O585" s="277"/>
      <c r="P585" s="277"/>
      <c r="Q585" s="277"/>
      <c r="R585" s="277"/>
      <c r="S585" s="410"/>
      <c r="T585" s="277"/>
      <c r="U585" s="277"/>
      <c r="V585" s="277"/>
      <c r="W585" s="277"/>
      <c r="X585" s="277"/>
      <c r="Y585" s="277"/>
      <c r="Z585" s="277"/>
    </row>
    <row r="586" ht="12.75" customHeight="1">
      <c r="A586" s="277"/>
      <c r="B586" s="278"/>
      <c r="C586" s="277"/>
      <c r="D586" s="277"/>
      <c r="E586" s="277"/>
      <c r="F586" s="277"/>
      <c r="G586" s="277"/>
      <c r="H586" s="277"/>
      <c r="I586" s="277"/>
      <c r="J586" s="277"/>
      <c r="K586" s="277"/>
      <c r="L586" s="277"/>
      <c r="M586" s="277"/>
      <c r="N586" s="277"/>
      <c r="O586" s="277"/>
      <c r="P586" s="277"/>
      <c r="Q586" s="277"/>
      <c r="R586" s="277"/>
      <c r="S586" s="410"/>
      <c r="T586" s="277"/>
      <c r="U586" s="277"/>
      <c r="V586" s="277"/>
      <c r="W586" s="277"/>
      <c r="X586" s="277"/>
      <c r="Y586" s="277"/>
      <c r="Z586" s="277"/>
    </row>
    <row r="587" ht="12.75" customHeight="1">
      <c r="A587" s="277"/>
      <c r="B587" s="278"/>
      <c r="C587" s="277"/>
      <c r="D587" s="277"/>
      <c r="E587" s="277"/>
      <c r="F587" s="277"/>
      <c r="G587" s="277"/>
      <c r="H587" s="277"/>
      <c r="I587" s="277"/>
      <c r="J587" s="277"/>
      <c r="K587" s="277"/>
      <c r="L587" s="277"/>
      <c r="M587" s="277"/>
      <c r="N587" s="277"/>
      <c r="O587" s="277"/>
      <c r="P587" s="277"/>
      <c r="Q587" s="277"/>
      <c r="R587" s="277"/>
      <c r="S587" s="410"/>
      <c r="T587" s="277"/>
      <c r="U587" s="277"/>
      <c r="V587" s="277"/>
      <c r="W587" s="277"/>
      <c r="X587" s="277"/>
      <c r="Y587" s="277"/>
      <c r="Z587" s="277"/>
    </row>
    <row r="588" ht="12.75" customHeight="1">
      <c r="A588" s="277"/>
      <c r="B588" s="278"/>
      <c r="C588" s="277"/>
      <c r="D588" s="277"/>
      <c r="E588" s="277"/>
      <c r="F588" s="277"/>
      <c r="G588" s="277"/>
      <c r="H588" s="277"/>
      <c r="I588" s="277"/>
      <c r="J588" s="277"/>
      <c r="K588" s="277"/>
      <c r="L588" s="277"/>
      <c r="M588" s="277"/>
      <c r="N588" s="277"/>
      <c r="O588" s="277"/>
      <c r="P588" s="277"/>
      <c r="Q588" s="277"/>
      <c r="R588" s="277"/>
      <c r="S588" s="410"/>
      <c r="T588" s="277"/>
      <c r="U588" s="277"/>
      <c r="V588" s="277"/>
      <c r="W588" s="277"/>
      <c r="X588" s="277"/>
      <c r="Y588" s="277"/>
      <c r="Z588" s="277"/>
    </row>
    <row r="589" ht="12.75" customHeight="1">
      <c r="A589" s="277"/>
      <c r="B589" s="278"/>
      <c r="C589" s="277"/>
      <c r="D589" s="277"/>
      <c r="E589" s="277"/>
      <c r="F589" s="277"/>
      <c r="G589" s="277"/>
      <c r="H589" s="277"/>
      <c r="I589" s="277"/>
      <c r="J589" s="277"/>
      <c r="K589" s="277"/>
      <c r="L589" s="277"/>
      <c r="M589" s="277"/>
      <c r="N589" s="277"/>
      <c r="O589" s="277"/>
      <c r="P589" s="277"/>
      <c r="Q589" s="277"/>
      <c r="R589" s="277"/>
      <c r="S589" s="410"/>
      <c r="T589" s="277"/>
      <c r="U589" s="277"/>
      <c r="V589" s="277"/>
      <c r="W589" s="277"/>
      <c r="X589" s="277"/>
      <c r="Y589" s="277"/>
      <c r="Z589" s="277"/>
    </row>
    <row r="590" ht="12.75" customHeight="1">
      <c r="A590" s="277"/>
      <c r="B590" s="278"/>
      <c r="C590" s="277"/>
      <c r="D590" s="277"/>
      <c r="E590" s="277"/>
      <c r="F590" s="277"/>
      <c r="G590" s="277"/>
      <c r="H590" s="277"/>
      <c r="I590" s="277"/>
      <c r="J590" s="277"/>
      <c r="K590" s="277"/>
      <c r="L590" s="277"/>
      <c r="M590" s="277"/>
      <c r="N590" s="277"/>
      <c r="O590" s="277"/>
      <c r="P590" s="277"/>
      <c r="Q590" s="277"/>
      <c r="R590" s="277"/>
      <c r="S590" s="410"/>
      <c r="T590" s="277"/>
      <c r="U590" s="277"/>
      <c r="V590" s="277"/>
      <c r="W590" s="277"/>
      <c r="X590" s="277"/>
      <c r="Y590" s="277"/>
      <c r="Z590" s="277"/>
    </row>
    <row r="591" ht="12.75" customHeight="1">
      <c r="A591" s="277"/>
      <c r="B591" s="278"/>
      <c r="C591" s="277"/>
      <c r="D591" s="277"/>
      <c r="E591" s="277"/>
      <c r="F591" s="277"/>
      <c r="G591" s="277"/>
      <c r="H591" s="277"/>
      <c r="I591" s="277"/>
      <c r="J591" s="277"/>
      <c r="K591" s="277"/>
      <c r="L591" s="277"/>
      <c r="M591" s="277"/>
      <c r="N591" s="277"/>
      <c r="O591" s="277"/>
      <c r="P591" s="277"/>
      <c r="Q591" s="277"/>
      <c r="R591" s="277"/>
      <c r="S591" s="410"/>
      <c r="T591" s="277"/>
      <c r="U591" s="277"/>
      <c r="V591" s="277"/>
      <c r="W591" s="277"/>
      <c r="X591" s="277"/>
      <c r="Y591" s="277"/>
      <c r="Z591" s="277"/>
    </row>
    <row r="592" ht="12.75" customHeight="1">
      <c r="A592" s="277"/>
      <c r="B592" s="278"/>
      <c r="C592" s="277"/>
      <c r="D592" s="277"/>
      <c r="E592" s="277"/>
      <c r="F592" s="277"/>
      <c r="G592" s="277"/>
      <c r="H592" s="277"/>
      <c r="I592" s="277"/>
      <c r="J592" s="277"/>
      <c r="K592" s="277"/>
      <c r="L592" s="277"/>
      <c r="M592" s="277"/>
      <c r="N592" s="277"/>
      <c r="O592" s="277"/>
      <c r="P592" s="277"/>
      <c r="Q592" s="277"/>
      <c r="R592" s="277"/>
      <c r="S592" s="410"/>
      <c r="T592" s="277"/>
      <c r="U592" s="277"/>
      <c r="V592" s="277"/>
      <c r="W592" s="277"/>
      <c r="X592" s="277"/>
      <c r="Y592" s="277"/>
      <c r="Z592" s="277"/>
    </row>
    <row r="593" ht="12.75" customHeight="1">
      <c r="A593" s="277"/>
      <c r="B593" s="278"/>
      <c r="C593" s="277"/>
      <c r="D593" s="277"/>
      <c r="E593" s="277"/>
      <c r="F593" s="277"/>
      <c r="G593" s="277"/>
      <c r="H593" s="277"/>
      <c r="I593" s="277"/>
      <c r="J593" s="277"/>
      <c r="K593" s="277"/>
      <c r="L593" s="277"/>
      <c r="M593" s="277"/>
      <c r="N593" s="277"/>
      <c r="O593" s="277"/>
      <c r="P593" s="277"/>
      <c r="Q593" s="277"/>
      <c r="R593" s="277"/>
      <c r="S593" s="410"/>
      <c r="T593" s="277"/>
      <c r="U593" s="277"/>
      <c r="V593" s="277"/>
      <c r="W593" s="277"/>
      <c r="X593" s="277"/>
      <c r="Y593" s="277"/>
      <c r="Z593" s="277"/>
    </row>
    <row r="594" ht="12.75" customHeight="1">
      <c r="A594" s="277"/>
      <c r="B594" s="278"/>
      <c r="C594" s="277"/>
      <c r="D594" s="277"/>
      <c r="E594" s="277"/>
      <c r="F594" s="277"/>
      <c r="G594" s="277"/>
      <c r="H594" s="277"/>
      <c r="I594" s="277"/>
      <c r="J594" s="277"/>
      <c r="K594" s="277"/>
      <c r="L594" s="277"/>
      <c r="M594" s="277"/>
      <c r="N594" s="277"/>
      <c r="O594" s="277"/>
      <c r="P594" s="277"/>
      <c r="Q594" s="277"/>
      <c r="R594" s="277"/>
      <c r="S594" s="410"/>
      <c r="T594" s="277"/>
      <c r="U594" s="277"/>
      <c r="V594" s="277"/>
      <c r="W594" s="277"/>
      <c r="X594" s="277"/>
      <c r="Y594" s="277"/>
      <c r="Z594" s="277"/>
    </row>
    <row r="595" ht="12.75" customHeight="1">
      <c r="A595" s="277"/>
      <c r="B595" s="278"/>
      <c r="C595" s="277"/>
      <c r="D595" s="277"/>
      <c r="E595" s="277"/>
      <c r="F595" s="277"/>
      <c r="G595" s="277"/>
      <c r="H595" s="277"/>
      <c r="I595" s="277"/>
      <c r="J595" s="277"/>
      <c r="K595" s="277"/>
      <c r="L595" s="277"/>
      <c r="M595" s="277"/>
      <c r="N595" s="277"/>
      <c r="O595" s="277"/>
      <c r="P595" s="277"/>
      <c r="Q595" s="277"/>
      <c r="R595" s="277"/>
      <c r="S595" s="410"/>
      <c r="T595" s="277"/>
      <c r="U595" s="277"/>
      <c r="V595" s="277"/>
      <c r="W595" s="277"/>
      <c r="X595" s="277"/>
      <c r="Y595" s="277"/>
      <c r="Z595" s="277"/>
    </row>
    <row r="596" ht="12.75" customHeight="1">
      <c r="A596" s="277"/>
      <c r="B596" s="278"/>
      <c r="C596" s="277"/>
      <c r="D596" s="277"/>
      <c r="E596" s="277"/>
      <c r="F596" s="277"/>
      <c r="G596" s="277"/>
      <c r="H596" s="277"/>
      <c r="I596" s="277"/>
      <c r="J596" s="277"/>
      <c r="K596" s="277"/>
      <c r="L596" s="277"/>
      <c r="M596" s="277"/>
      <c r="N596" s="277"/>
      <c r="O596" s="277"/>
      <c r="P596" s="277"/>
      <c r="Q596" s="277"/>
      <c r="R596" s="277"/>
      <c r="S596" s="410"/>
      <c r="T596" s="277"/>
      <c r="U596" s="277"/>
      <c r="V596" s="277"/>
      <c r="W596" s="277"/>
      <c r="X596" s="277"/>
      <c r="Y596" s="277"/>
      <c r="Z596" s="277"/>
    </row>
    <row r="597" ht="12.75" customHeight="1">
      <c r="A597" s="277"/>
      <c r="B597" s="278"/>
      <c r="C597" s="277"/>
      <c r="D597" s="277"/>
      <c r="E597" s="277"/>
      <c r="F597" s="277"/>
      <c r="G597" s="277"/>
      <c r="H597" s="277"/>
      <c r="I597" s="277"/>
      <c r="J597" s="277"/>
      <c r="K597" s="277"/>
      <c r="L597" s="277"/>
      <c r="M597" s="277"/>
      <c r="N597" s="277"/>
      <c r="O597" s="277"/>
      <c r="P597" s="277"/>
      <c r="Q597" s="277"/>
      <c r="R597" s="277"/>
      <c r="S597" s="410"/>
      <c r="T597" s="277"/>
      <c r="U597" s="277"/>
      <c r="V597" s="277"/>
      <c r="W597" s="277"/>
      <c r="X597" s="277"/>
      <c r="Y597" s="277"/>
      <c r="Z597" s="277"/>
    </row>
    <row r="598" ht="12.75" customHeight="1">
      <c r="A598" s="277"/>
      <c r="B598" s="278"/>
      <c r="C598" s="277"/>
      <c r="D598" s="277"/>
      <c r="E598" s="277"/>
      <c r="F598" s="277"/>
      <c r="G598" s="277"/>
      <c r="H598" s="277"/>
      <c r="I598" s="277"/>
      <c r="J598" s="277"/>
      <c r="K598" s="277"/>
      <c r="L598" s="277"/>
      <c r="M598" s="277"/>
      <c r="N598" s="277"/>
      <c r="O598" s="277"/>
      <c r="P598" s="277"/>
      <c r="Q598" s="277"/>
      <c r="R598" s="277"/>
      <c r="S598" s="410"/>
      <c r="T598" s="277"/>
      <c r="U598" s="277"/>
      <c r="V598" s="277"/>
      <c r="W598" s="277"/>
      <c r="X598" s="277"/>
      <c r="Y598" s="277"/>
      <c r="Z598" s="277"/>
    </row>
    <row r="599" ht="12.75" customHeight="1">
      <c r="A599" s="277"/>
      <c r="B599" s="278"/>
      <c r="C599" s="277"/>
      <c r="D599" s="277"/>
      <c r="E599" s="277"/>
      <c r="F599" s="277"/>
      <c r="G599" s="277"/>
      <c r="H599" s="277"/>
      <c r="I599" s="277"/>
      <c r="J599" s="277"/>
      <c r="K599" s="277"/>
      <c r="L599" s="277"/>
      <c r="M599" s="277"/>
      <c r="N599" s="277"/>
      <c r="O599" s="277"/>
      <c r="P599" s="277"/>
      <c r="Q599" s="277"/>
      <c r="R599" s="277"/>
      <c r="S599" s="410"/>
      <c r="T599" s="277"/>
      <c r="U599" s="277"/>
      <c r="V599" s="277"/>
      <c r="W599" s="277"/>
      <c r="X599" s="277"/>
      <c r="Y599" s="277"/>
      <c r="Z599" s="277"/>
    </row>
    <row r="600" ht="12.75" customHeight="1">
      <c r="A600" s="277"/>
      <c r="B600" s="278"/>
      <c r="C600" s="277"/>
      <c r="D600" s="277"/>
      <c r="E600" s="277"/>
      <c r="F600" s="277"/>
      <c r="G600" s="277"/>
      <c r="H600" s="277"/>
      <c r="I600" s="277"/>
      <c r="J600" s="277"/>
      <c r="K600" s="277"/>
      <c r="L600" s="277"/>
      <c r="M600" s="277"/>
      <c r="N600" s="277"/>
      <c r="O600" s="277"/>
      <c r="P600" s="277"/>
      <c r="Q600" s="277"/>
      <c r="R600" s="277"/>
      <c r="S600" s="410"/>
      <c r="T600" s="277"/>
      <c r="U600" s="277"/>
      <c r="V600" s="277"/>
      <c r="W600" s="277"/>
      <c r="X600" s="277"/>
      <c r="Y600" s="277"/>
      <c r="Z600" s="277"/>
    </row>
    <row r="601" ht="12.75" customHeight="1">
      <c r="A601" s="277"/>
      <c r="B601" s="278"/>
      <c r="C601" s="277"/>
      <c r="D601" s="277"/>
      <c r="E601" s="277"/>
      <c r="F601" s="277"/>
      <c r="G601" s="277"/>
      <c r="H601" s="277"/>
      <c r="I601" s="277"/>
      <c r="J601" s="277"/>
      <c r="K601" s="277"/>
      <c r="L601" s="277"/>
      <c r="M601" s="277"/>
      <c r="N601" s="277"/>
      <c r="O601" s="277"/>
      <c r="P601" s="277"/>
      <c r="Q601" s="277"/>
      <c r="R601" s="277"/>
      <c r="S601" s="410"/>
      <c r="T601" s="277"/>
      <c r="U601" s="277"/>
      <c r="V601" s="277"/>
      <c r="W601" s="277"/>
      <c r="X601" s="277"/>
      <c r="Y601" s="277"/>
      <c r="Z601" s="277"/>
    </row>
    <row r="602" ht="12.75" customHeight="1">
      <c r="A602" s="277"/>
      <c r="B602" s="278"/>
      <c r="C602" s="277"/>
      <c r="D602" s="277"/>
      <c r="E602" s="277"/>
      <c r="F602" s="277"/>
      <c r="G602" s="277"/>
      <c r="H602" s="277"/>
      <c r="I602" s="277"/>
      <c r="J602" s="277"/>
      <c r="K602" s="277"/>
      <c r="L602" s="277"/>
      <c r="M602" s="277"/>
      <c r="N602" s="277"/>
      <c r="O602" s="277"/>
      <c r="P602" s="277"/>
      <c r="Q602" s="277"/>
      <c r="R602" s="277"/>
      <c r="S602" s="410"/>
      <c r="T602" s="277"/>
      <c r="U602" s="277"/>
      <c r="V602" s="277"/>
      <c r="W602" s="277"/>
      <c r="X602" s="277"/>
      <c r="Y602" s="277"/>
      <c r="Z602" s="277"/>
    </row>
    <row r="603" ht="12.75" customHeight="1">
      <c r="A603" s="277"/>
      <c r="B603" s="278"/>
      <c r="C603" s="277"/>
      <c r="D603" s="277"/>
      <c r="E603" s="277"/>
      <c r="F603" s="277"/>
      <c r="G603" s="277"/>
      <c r="H603" s="277"/>
      <c r="I603" s="277"/>
      <c r="J603" s="277"/>
      <c r="K603" s="277"/>
      <c r="L603" s="277"/>
      <c r="M603" s="277"/>
      <c r="N603" s="277"/>
      <c r="O603" s="277"/>
      <c r="P603" s="277"/>
      <c r="Q603" s="277"/>
      <c r="R603" s="277"/>
      <c r="S603" s="410"/>
      <c r="T603" s="277"/>
      <c r="U603" s="277"/>
      <c r="V603" s="277"/>
      <c r="W603" s="277"/>
      <c r="X603" s="277"/>
      <c r="Y603" s="277"/>
      <c r="Z603" s="277"/>
    </row>
    <row r="604" ht="12.75" customHeight="1">
      <c r="A604" s="277"/>
      <c r="B604" s="278"/>
      <c r="C604" s="277"/>
      <c r="D604" s="277"/>
      <c r="E604" s="277"/>
      <c r="F604" s="277"/>
      <c r="G604" s="277"/>
      <c r="H604" s="277"/>
      <c r="I604" s="277"/>
      <c r="J604" s="277"/>
      <c r="K604" s="277"/>
      <c r="L604" s="277"/>
      <c r="M604" s="277"/>
      <c r="N604" s="277"/>
      <c r="O604" s="277"/>
      <c r="P604" s="277"/>
      <c r="Q604" s="277"/>
      <c r="R604" s="277"/>
      <c r="S604" s="410"/>
      <c r="T604" s="277"/>
      <c r="U604" s="277"/>
      <c r="V604" s="277"/>
      <c r="W604" s="277"/>
      <c r="X604" s="277"/>
      <c r="Y604" s="277"/>
      <c r="Z604" s="277"/>
    </row>
    <row r="605" ht="12.75" customHeight="1">
      <c r="A605" s="277"/>
      <c r="B605" s="278"/>
      <c r="C605" s="277"/>
      <c r="D605" s="277"/>
      <c r="E605" s="277"/>
      <c r="F605" s="277"/>
      <c r="G605" s="277"/>
      <c r="H605" s="277"/>
      <c r="I605" s="277"/>
      <c r="J605" s="277"/>
      <c r="K605" s="277"/>
      <c r="L605" s="277"/>
      <c r="M605" s="277"/>
      <c r="N605" s="277"/>
      <c r="O605" s="277"/>
      <c r="P605" s="277"/>
      <c r="Q605" s="277"/>
      <c r="R605" s="277"/>
      <c r="S605" s="410"/>
      <c r="T605" s="277"/>
      <c r="U605" s="277"/>
      <c r="V605" s="277"/>
      <c r="W605" s="277"/>
      <c r="X605" s="277"/>
      <c r="Y605" s="277"/>
      <c r="Z605" s="277"/>
    </row>
    <row r="606" ht="12.75" customHeight="1">
      <c r="A606" s="277"/>
      <c r="B606" s="278"/>
      <c r="C606" s="277"/>
      <c r="D606" s="277"/>
      <c r="E606" s="277"/>
      <c r="F606" s="277"/>
      <c r="G606" s="277"/>
      <c r="H606" s="277"/>
      <c r="I606" s="277"/>
      <c r="J606" s="277"/>
      <c r="K606" s="277"/>
      <c r="L606" s="277"/>
      <c r="M606" s="277"/>
      <c r="N606" s="277"/>
      <c r="O606" s="277"/>
      <c r="P606" s="277"/>
      <c r="Q606" s="277"/>
      <c r="R606" s="277"/>
      <c r="S606" s="410"/>
      <c r="T606" s="277"/>
      <c r="U606" s="277"/>
      <c r="V606" s="277"/>
      <c r="W606" s="277"/>
      <c r="X606" s="277"/>
      <c r="Y606" s="277"/>
      <c r="Z606" s="277"/>
    </row>
    <row r="607" ht="12.75" customHeight="1">
      <c r="A607" s="277"/>
      <c r="B607" s="278"/>
      <c r="C607" s="277"/>
      <c r="D607" s="277"/>
      <c r="E607" s="277"/>
      <c r="F607" s="277"/>
      <c r="G607" s="277"/>
      <c r="H607" s="277"/>
      <c r="I607" s="277"/>
      <c r="J607" s="277"/>
      <c r="K607" s="277"/>
      <c r="L607" s="277"/>
      <c r="M607" s="277"/>
      <c r="N607" s="277"/>
      <c r="O607" s="277"/>
      <c r="P607" s="277"/>
      <c r="Q607" s="277"/>
      <c r="R607" s="277"/>
      <c r="S607" s="410"/>
      <c r="T607" s="277"/>
      <c r="U607" s="277"/>
      <c r="V607" s="277"/>
      <c r="W607" s="277"/>
      <c r="X607" s="277"/>
      <c r="Y607" s="277"/>
      <c r="Z607" s="277"/>
    </row>
    <row r="608" ht="12.75" customHeight="1">
      <c r="A608" s="277"/>
      <c r="B608" s="278"/>
      <c r="C608" s="277"/>
      <c r="D608" s="277"/>
      <c r="E608" s="277"/>
      <c r="F608" s="277"/>
      <c r="G608" s="277"/>
      <c r="H608" s="277"/>
      <c r="I608" s="277"/>
      <c r="J608" s="277"/>
      <c r="K608" s="277"/>
      <c r="L608" s="277"/>
      <c r="M608" s="277"/>
      <c r="N608" s="277"/>
      <c r="O608" s="277"/>
      <c r="P608" s="277"/>
      <c r="Q608" s="277"/>
      <c r="R608" s="277"/>
      <c r="S608" s="410"/>
      <c r="T608" s="277"/>
      <c r="U608" s="277"/>
      <c r="V608" s="277"/>
      <c r="W608" s="277"/>
      <c r="X608" s="277"/>
      <c r="Y608" s="277"/>
      <c r="Z608" s="277"/>
    </row>
    <row r="609" ht="12.75" customHeight="1">
      <c r="A609" s="277"/>
      <c r="B609" s="278"/>
      <c r="C609" s="277"/>
      <c r="D609" s="277"/>
      <c r="E609" s="277"/>
      <c r="F609" s="277"/>
      <c r="G609" s="277"/>
      <c r="H609" s="277"/>
      <c r="I609" s="277"/>
      <c r="J609" s="277"/>
      <c r="K609" s="277"/>
      <c r="L609" s="277"/>
      <c r="M609" s="277"/>
      <c r="N609" s="277"/>
      <c r="O609" s="277"/>
      <c r="P609" s="277"/>
      <c r="Q609" s="277"/>
      <c r="R609" s="277"/>
      <c r="S609" s="410"/>
      <c r="T609" s="277"/>
      <c r="U609" s="277"/>
      <c r="V609" s="277"/>
      <c r="W609" s="277"/>
      <c r="X609" s="277"/>
      <c r="Y609" s="277"/>
      <c r="Z609" s="277"/>
    </row>
    <row r="610" ht="12.75" customHeight="1">
      <c r="A610" s="277"/>
      <c r="B610" s="278"/>
      <c r="C610" s="277"/>
      <c r="D610" s="277"/>
      <c r="E610" s="277"/>
      <c r="F610" s="277"/>
      <c r="G610" s="277"/>
      <c r="H610" s="277"/>
      <c r="I610" s="277"/>
      <c r="J610" s="277"/>
      <c r="K610" s="277"/>
      <c r="L610" s="277"/>
      <c r="M610" s="277"/>
      <c r="N610" s="277"/>
      <c r="O610" s="277"/>
      <c r="P610" s="277"/>
      <c r="Q610" s="277"/>
      <c r="R610" s="277"/>
      <c r="S610" s="410"/>
      <c r="T610" s="277"/>
      <c r="U610" s="277"/>
      <c r="V610" s="277"/>
      <c r="W610" s="277"/>
      <c r="X610" s="277"/>
      <c r="Y610" s="277"/>
      <c r="Z610" s="277"/>
    </row>
    <row r="611" ht="12.75" customHeight="1">
      <c r="A611" s="277"/>
      <c r="B611" s="278"/>
      <c r="C611" s="277"/>
      <c r="D611" s="277"/>
      <c r="E611" s="277"/>
      <c r="F611" s="277"/>
      <c r="G611" s="277"/>
      <c r="H611" s="277"/>
      <c r="I611" s="277"/>
      <c r="J611" s="277"/>
      <c r="K611" s="277"/>
      <c r="L611" s="277"/>
      <c r="M611" s="277"/>
      <c r="N611" s="277"/>
      <c r="O611" s="277"/>
      <c r="P611" s="277"/>
      <c r="Q611" s="277"/>
      <c r="R611" s="277"/>
      <c r="S611" s="410"/>
      <c r="T611" s="277"/>
      <c r="U611" s="277"/>
      <c r="V611" s="277"/>
      <c r="W611" s="277"/>
      <c r="X611" s="277"/>
      <c r="Y611" s="277"/>
      <c r="Z611" s="277"/>
    </row>
    <row r="612" ht="12.75" customHeight="1">
      <c r="A612" s="277"/>
      <c r="B612" s="278"/>
      <c r="C612" s="277"/>
      <c r="D612" s="277"/>
      <c r="E612" s="277"/>
      <c r="F612" s="277"/>
      <c r="G612" s="277"/>
      <c r="H612" s="277"/>
      <c r="I612" s="277"/>
      <c r="J612" s="277"/>
      <c r="K612" s="277"/>
      <c r="L612" s="277"/>
      <c r="M612" s="277"/>
      <c r="N612" s="277"/>
      <c r="O612" s="277"/>
      <c r="P612" s="277"/>
      <c r="Q612" s="277"/>
      <c r="R612" s="277"/>
      <c r="S612" s="410"/>
      <c r="T612" s="277"/>
      <c r="U612" s="277"/>
      <c r="V612" s="277"/>
      <c r="W612" s="277"/>
      <c r="X612" s="277"/>
      <c r="Y612" s="277"/>
      <c r="Z612" s="277"/>
    </row>
    <row r="613" ht="12.75" customHeight="1">
      <c r="A613" s="277"/>
      <c r="B613" s="278"/>
      <c r="C613" s="277"/>
      <c r="D613" s="277"/>
      <c r="E613" s="277"/>
      <c r="F613" s="277"/>
      <c r="G613" s="277"/>
      <c r="H613" s="277"/>
      <c r="I613" s="277"/>
      <c r="J613" s="277"/>
      <c r="K613" s="277"/>
      <c r="L613" s="277"/>
      <c r="M613" s="277"/>
      <c r="N613" s="277"/>
      <c r="O613" s="277"/>
      <c r="P613" s="277"/>
      <c r="Q613" s="277"/>
      <c r="R613" s="277"/>
      <c r="S613" s="410"/>
      <c r="T613" s="277"/>
      <c r="U613" s="277"/>
      <c r="V613" s="277"/>
      <c r="W613" s="277"/>
      <c r="X613" s="277"/>
      <c r="Y613" s="277"/>
      <c r="Z613" s="277"/>
    </row>
    <row r="614" ht="12.75" customHeight="1">
      <c r="A614" s="277"/>
      <c r="B614" s="278"/>
      <c r="C614" s="277"/>
      <c r="D614" s="277"/>
      <c r="E614" s="277"/>
      <c r="F614" s="277"/>
      <c r="G614" s="277"/>
      <c r="H614" s="277"/>
      <c r="I614" s="277"/>
      <c r="J614" s="277"/>
      <c r="K614" s="277"/>
      <c r="L614" s="277"/>
      <c r="M614" s="277"/>
      <c r="N614" s="277"/>
      <c r="O614" s="277"/>
      <c r="P614" s="277"/>
      <c r="Q614" s="277"/>
      <c r="R614" s="277"/>
      <c r="S614" s="410"/>
      <c r="T614" s="277"/>
      <c r="U614" s="277"/>
      <c r="V614" s="277"/>
      <c r="W614" s="277"/>
      <c r="X614" s="277"/>
      <c r="Y614" s="277"/>
      <c r="Z614" s="277"/>
    </row>
    <row r="615" ht="12.75" customHeight="1">
      <c r="A615" s="277"/>
      <c r="B615" s="278"/>
      <c r="C615" s="277"/>
      <c r="D615" s="277"/>
      <c r="E615" s="277"/>
      <c r="F615" s="277"/>
      <c r="G615" s="277"/>
      <c r="H615" s="277"/>
      <c r="I615" s="277"/>
      <c r="J615" s="277"/>
      <c r="K615" s="277"/>
      <c r="L615" s="277"/>
      <c r="M615" s="277"/>
      <c r="N615" s="277"/>
      <c r="O615" s="277"/>
      <c r="P615" s="277"/>
      <c r="Q615" s="277"/>
      <c r="R615" s="277"/>
      <c r="S615" s="410"/>
      <c r="T615" s="277"/>
      <c r="U615" s="277"/>
      <c r="V615" s="277"/>
      <c r="W615" s="277"/>
      <c r="X615" s="277"/>
      <c r="Y615" s="277"/>
      <c r="Z615" s="277"/>
    </row>
    <row r="616" ht="12.75" customHeight="1">
      <c r="A616" s="277"/>
      <c r="B616" s="278"/>
      <c r="C616" s="277"/>
      <c r="D616" s="277"/>
      <c r="E616" s="277"/>
      <c r="F616" s="277"/>
      <c r="G616" s="277"/>
      <c r="H616" s="277"/>
      <c r="I616" s="277"/>
      <c r="J616" s="277"/>
      <c r="K616" s="277"/>
      <c r="L616" s="277"/>
      <c r="M616" s="277"/>
      <c r="N616" s="277"/>
      <c r="O616" s="277"/>
      <c r="P616" s="277"/>
      <c r="Q616" s="277"/>
      <c r="R616" s="277"/>
      <c r="S616" s="410"/>
      <c r="T616" s="277"/>
      <c r="U616" s="277"/>
      <c r="V616" s="277"/>
      <c r="W616" s="277"/>
      <c r="X616" s="277"/>
      <c r="Y616" s="277"/>
      <c r="Z616" s="277"/>
    </row>
    <row r="617" ht="12.75" customHeight="1">
      <c r="A617" s="277"/>
      <c r="B617" s="278"/>
      <c r="C617" s="277"/>
      <c r="D617" s="277"/>
      <c r="E617" s="277"/>
      <c r="F617" s="277"/>
      <c r="G617" s="277"/>
      <c r="H617" s="277"/>
      <c r="I617" s="277"/>
      <c r="J617" s="277"/>
      <c r="K617" s="277"/>
      <c r="L617" s="277"/>
      <c r="M617" s="277"/>
      <c r="N617" s="277"/>
      <c r="O617" s="277"/>
      <c r="P617" s="277"/>
      <c r="Q617" s="277"/>
      <c r="R617" s="277"/>
      <c r="S617" s="410"/>
      <c r="T617" s="277"/>
      <c r="U617" s="277"/>
      <c r="V617" s="277"/>
      <c r="W617" s="277"/>
      <c r="X617" s="277"/>
      <c r="Y617" s="277"/>
      <c r="Z617" s="277"/>
    </row>
    <row r="618" ht="12.75" customHeight="1">
      <c r="A618" s="277"/>
      <c r="B618" s="278"/>
      <c r="C618" s="277"/>
      <c r="D618" s="277"/>
      <c r="E618" s="277"/>
      <c r="F618" s="277"/>
      <c r="G618" s="277"/>
      <c r="H618" s="277"/>
      <c r="I618" s="277"/>
      <c r="J618" s="277"/>
      <c r="K618" s="277"/>
      <c r="L618" s="277"/>
      <c r="M618" s="277"/>
      <c r="N618" s="277"/>
      <c r="O618" s="277"/>
      <c r="P618" s="277"/>
      <c r="Q618" s="277"/>
      <c r="R618" s="277"/>
      <c r="S618" s="410"/>
      <c r="T618" s="277"/>
      <c r="U618" s="277"/>
      <c r="V618" s="277"/>
      <c r="W618" s="277"/>
      <c r="X618" s="277"/>
      <c r="Y618" s="277"/>
      <c r="Z618" s="277"/>
    </row>
    <row r="619" ht="12.75" customHeight="1">
      <c r="A619" s="277"/>
      <c r="B619" s="278"/>
      <c r="C619" s="277"/>
      <c r="D619" s="277"/>
      <c r="E619" s="277"/>
      <c r="F619" s="277"/>
      <c r="G619" s="277"/>
      <c r="H619" s="277"/>
      <c r="I619" s="277"/>
      <c r="J619" s="277"/>
      <c r="K619" s="277"/>
      <c r="L619" s="277"/>
      <c r="M619" s="277"/>
      <c r="N619" s="277"/>
      <c r="O619" s="277"/>
      <c r="P619" s="277"/>
      <c r="Q619" s="277"/>
      <c r="R619" s="277"/>
      <c r="S619" s="410"/>
      <c r="T619" s="277"/>
      <c r="U619" s="277"/>
      <c r="V619" s="277"/>
      <c r="W619" s="277"/>
      <c r="X619" s="277"/>
      <c r="Y619" s="277"/>
      <c r="Z619" s="277"/>
    </row>
    <row r="620" ht="12.75" customHeight="1">
      <c r="A620" s="277"/>
      <c r="B620" s="278"/>
      <c r="C620" s="277"/>
      <c r="D620" s="277"/>
      <c r="E620" s="277"/>
      <c r="F620" s="277"/>
      <c r="G620" s="277"/>
      <c r="H620" s="277"/>
      <c r="I620" s="277"/>
      <c r="J620" s="277"/>
      <c r="K620" s="277"/>
      <c r="L620" s="277"/>
      <c r="M620" s="277"/>
      <c r="N620" s="277"/>
      <c r="O620" s="277"/>
      <c r="P620" s="277"/>
      <c r="Q620" s="277"/>
      <c r="R620" s="277"/>
      <c r="S620" s="410"/>
      <c r="T620" s="277"/>
      <c r="U620" s="277"/>
      <c r="V620" s="277"/>
      <c r="W620" s="277"/>
      <c r="X620" s="277"/>
      <c r="Y620" s="277"/>
      <c r="Z620" s="277"/>
    </row>
    <row r="621" ht="12.75" customHeight="1">
      <c r="A621" s="277"/>
      <c r="B621" s="278"/>
      <c r="C621" s="277"/>
      <c r="D621" s="277"/>
      <c r="E621" s="277"/>
      <c r="F621" s="277"/>
      <c r="G621" s="277"/>
      <c r="H621" s="277"/>
      <c r="I621" s="277"/>
      <c r="J621" s="277"/>
      <c r="K621" s="277"/>
      <c r="L621" s="277"/>
      <c r="M621" s="277"/>
      <c r="N621" s="277"/>
      <c r="O621" s="277"/>
      <c r="P621" s="277"/>
      <c r="Q621" s="277"/>
      <c r="R621" s="277"/>
      <c r="S621" s="410"/>
      <c r="T621" s="277"/>
      <c r="U621" s="277"/>
      <c r="V621" s="277"/>
      <c r="W621" s="277"/>
      <c r="X621" s="277"/>
      <c r="Y621" s="277"/>
      <c r="Z621" s="277"/>
    </row>
    <row r="622" ht="12.75" customHeight="1">
      <c r="A622" s="277"/>
      <c r="B622" s="278"/>
      <c r="C622" s="277"/>
      <c r="D622" s="277"/>
      <c r="E622" s="277"/>
      <c r="F622" s="277"/>
      <c r="G622" s="277"/>
      <c r="H622" s="277"/>
      <c r="I622" s="277"/>
      <c r="J622" s="277"/>
      <c r="K622" s="277"/>
      <c r="L622" s="277"/>
      <c r="M622" s="277"/>
      <c r="N622" s="277"/>
      <c r="O622" s="277"/>
      <c r="P622" s="277"/>
      <c r="Q622" s="277"/>
      <c r="R622" s="277"/>
      <c r="S622" s="410"/>
      <c r="T622" s="277"/>
      <c r="U622" s="277"/>
      <c r="V622" s="277"/>
      <c r="W622" s="277"/>
      <c r="X622" s="277"/>
      <c r="Y622" s="277"/>
      <c r="Z622" s="277"/>
    </row>
    <row r="623" ht="12.75" customHeight="1">
      <c r="A623" s="277"/>
      <c r="B623" s="278"/>
      <c r="C623" s="277"/>
      <c r="D623" s="277"/>
      <c r="E623" s="277"/>
      <c r="F623" s="277"/>
      <c r="G623" s="277"/>
      <c r="H623" s="277"/>
      <c r="I623" s="277"/>
      <c r="J623" s="277"/>
      <c r="K623" s="277"/>
      <c r="L623" s="277"/>
      <c r="M623" s="277"/>
      <c r="N623" s="277"/>
      <c r="O623" s="277"/>
      <c r="P623" s="277"/>
      <c r="Q623" s="277"/>
      <c r="R623" s="277"/>
      <c r="S623" s="410"/>
      <c r="T623" s="277"/>
      <c r="U623" s="277"/>
      <c r="V623" s="277"/>
      <c r="W623" s="277"/>
      <c r="X623" s="277"/>
      <c r="Y623" s="277"/>
      <c r="Z623" s="277"/>
    </row>
    <row r="624" ht="12.75" customHeight="1">
      <c r="A624" s="277"/>
      <c r="B624" s="278"/>
      <c r="C624" s="277"/>
      <c r="D624" s="277"/>
      <c r="E624" s="277"/>
      <c r="F624" s="277"/>
      <c r="G624" s="277"/>
      <c r="H624" s="277"/>
      <c r="I624" s="277"/>
      <c r="J624" s="277"/>
      <c r="K624" s="277"/>
      <c r="L624" s="277"/>
      <c r="M624" s="277"/>
      <c r="N624" s="277"/>
      <c r="O624" s="277"/>
      <c r="P624" s="277"/>
      <c r="Q624" s="277"/>
      <c r="R624" s="277"/>
      <c r="S624" s="410"/>
      <c r="T624" s="277"/>
      <c r="U624" s="277"/>
      <c r="V624" s="277"/>
      <c r="W624" s="277"/>
      <c r="X624" s="277"/>
      <c r="Y624" s="277"/>
      <c r="Z624" s="277"/>
    </row>
    <row r="625" ht="12.75" customHeight="1">
      <c r="A625" s="277"/>
      <c r="B625" s="278"/>
      <c r="C625" s="277"/>
      <c r="D625" s="277"/>
      <c r="E625" s="277"/>
      <c r="F625" s="277"/>
      <c r="G625" s="277"/>
      <c r="H625" s="277"/>
      <c r="I625" s="277"/>
      <c r="J625" s="277"/>
      <c r="K625" s="277"/>
      <c r="L625" s="277"/>
      <c r="M625" s="277"/>
      <c r="N625" s="277"/>
      <c r="O625" s="277"/>
      <c r="P625" s="277"/>
      <c r="Q625" s="277"/>
      <c r="R625" s="277"/>
      <c r="S625" s="410"/>
      <c r="T625" s="277"/>
      <c r="U625" s="277"/>
      <c r="V625" s="277"/>
      <c r="W625" s="277"/>
      <c r="X625" s="277"/>
      <c r="Y625" s="277"/>
      <c r="Z625" s="277"/>
    </row>
    <row r="626" ht="12.75" customHeight="1">
      <c r="A626" s="277"/>
      <c r="B626" s="278"/>
      <c r="C626" s="277"/>
      <c r="D626" s="277"/>
      <c r="E626" s="277"/>
      <c r="F626" s="277"/>
      <c r="G626" s="277"/>
      <c r="H626" s="277"/>
      <c r="I626" s="277"/>
      <c r="J626" s="277"/>
      <c r="K626" s="277"/>
      <c r="L626" s="277"/>
      <c r="M626" s="277"/>
      <c r="N626" s="277"/>
      <c r="O626" s="277"/>
      <c r="P626" s="277"/>
      <c r="Q626" s="277"/>
      <c r="R626" s="277"/>
      <c r="S626" s="410"/>
      <c r="T626" s="277"/>
      <c r="U626" s="277"/>
      <c r="V626" s="277"/>
      <c r="W626" s="277"/>
      <c r="X626" s="277"/>
      <c r="Y626" s="277"/>
      <c r="Z626" s="277"/>
    </row>
    <row r="627" ht="12.75" customHeight="1">
      <c r="A627" s="277"/>
      <c r="B627" s="278"/>
      <c r="C627" s="277"/>
      <c r="D627" s="277"/>
      <c r="E627" s="277"/>
      <c r="F627" s="277"/>
      <c r="G627" s="277"/>
      <c r="H627" s="277"/>
      <c r="I627" s="277"/>
      <c r="J627" s="277"/>
      <c r="K627" s="277"/>
      <c r="L627" s="277"/>
      <c r="M627" s="277"/>
      <c r="N627" s="277"/>
      <c r="O627" s="277"/>
      <c r="P627" s="277"/>
      <c r="Q627" s="277"/>
      <c r="R627" s="277"/>
      <c r="S627" s="410"/>
      <c r="T627" s="277"/>
      <c r="U627" s="277"/>
      <c r="V627" s="277"/>
      <c r="W627" s="277"/>
      <c r="X627" s="277"/>
      <c r="Y627" s="277"/>
      <c r="Z627" s="277"/>
    </row>
    <row r="628" ht="12.75" customHeight="1">
      <c r="A628" s="277"/>
      <c r="B628" s="278"/>
      <c r="C628" s="277"/>
      <c r="D628" s="277"/>
      <c r="E628" s="277"/>
      <c r="F628" s="277"/>
      <c r="G628" s="277"/>
      <c r="H628" s="277"/>
      <c r="I628" s="277"/>
      <c r="J628" s="277"/>
      <c r="K628" s="277"/>
      <c r="L628" s="277"/>
      <c r="M628" s="277"/>
      <c r="N628" s="277"/>
      <c r="O628" s="277"/>
      <c r="P628" s="277"/>
      <c r="Q628" s="277"/>
      <c r="R628" s="277"/>
      <c r="S628" s="410"/>
      <c r="T628" s="277"/>
      <c r="U628" s="277"/>
      <c r="V628" s="277"/>
      <c r="W628" s="277"/>
      <c r="X628" s="277"/>
      <c r="Y628" s="277"/>
      <c r="Z628" s="277"/>
    </row>
    <row r="629" ht="12.75" customHeight="1">
      <c r="A629" s="277"/>
      <c r="B629" s="278"/>
      <c r="C629" s="277"/>
      <c r="D629" s="277"/>
      <c r="E629" s="277"/>
      <c r="F629" s="277"/>
      <c r="G629" s="277"/>
      <c r="H629" s="277"/>
      <c r="I629" s="277"/>
      <c r="J629" s="277"/>
      <c r="K629" s="277"/>
      <c r="L629" s="277"/>
      <c r="M629" s="277"/>
      <c r="N629" s="277"/>
      <c r="O629" s="277"/>
      <c r="P629" s="277"/>
      <c r="Q629" s="277"/>
      <c r="R629" s="277"/>
      <c r="S629" s="410"/>
      <c r="T629" s="277"/>
      <c r="U629" s="277"/>
      <c r="V629" s="277"/>
      <c r="W629" s="277"/>
      <c r="X629" s="277"/>
      <c r="Y629" s="277"/>
      <c r="Z629" s="277"/>
    </row>
    <row r="630" ht="12.75" customHeight="1">
      <c r="A630" s="277"/>
      <c r="B630" s="278"/>
      <c r="C630" s="277"/>
      <c r="D630" s="277"/>
      <c r="E630" s="277"/>
      <c r="F630" s="277"/>
      <c r="G630" s="277"/>
      <c r="H630" s="277"/>
      <c r="I630" s="277"/>
      <c r="J630" s="277"/>
      <c r="K630" s="277"/>
      <c r="L630" s="277"/>
      <c r="M630" s="277"/>
      <c r="N630" s="277"/>
      <c r="O630" s="277"/>
      <c r="P630" s="277"/>
      <c r="Q630" s="277"/>
      <c r="R630" s="277"/>
      <c r="S630" s="410"/>
      <c r="T630" s="277"/>
      <c r="U630" s="277"/>
      <c r="V630" s="277"/>
      <c r="W630" s="277"/>
      <c r="X630" s="277"/>
      <c r="Y630" s="277"/>
      <c r="Z630" s="277"/>
    </row>
    <row r="631" ht="12.75" customHeight="1">
      <c r="A631" s="277"/>
      <c r="B631" s="278"/>
      <c r="C631" s="277"/>
      <c r="D631" s="277"/>
      <c r="E631" s="277"/>
      <c r="F631" s="277"/>
      <c r="G631" s="277"/>
      <c r="H631" s="277"/>
      <c r="I631" s="277"/>
      <c r="J631" s="277"/>
      <c r="K631" s="277"/>
      <c r="L631" s="277"/>
      <c r="M631" s="277"/>
      <c r="N631" s="277"/>
      <c r="O631" s="277"/>
      <c r="P631" s="277"/>
      <c r="Q631" s="277"/>
      <c r="R631" s="277"/>
      <c r="S631" s="410"/>
      <c r="T631" s="277"/>
      <c r="U631" s="277"/>
      <c r="V631" s="277"/>
      <c r="W631" s="277"/>
      <c r="X631" s="277"/>
      <c r="Y631" s="277"/>
      <c r="Z631" s="277"/>
    </row>
    <row r="632" ht="12.75" customHeight="1">
      <c r="A632" s="277"/>
      <c r="B632" s="278"/>
      <c r="C632" s="277"/>
      <c r="D632" s="277"/>
      <c r="E632" s="277"/>
      <c r="F632" s="277"/>
      <c r="G632" s="277"/>
      <c r="H632" s="277"/>
      <c r="I632" s="277"/>
      <c r="J632" s="277"/>
      <c r="K632" s="277"/>
      <c r="L632" s="277"/>
      <c r="M632" s="277"/>
      <c r="N632" s="277"/>
      <c r="O632" s="277"/>
      <c r="P632" s="277"/>
      <c r="Q632" s="277"/>
      <c r="R632" s="277"/>
      <c r="S632" s="410"/>
      <c r="T632" s="277"/>
      <c r="U632" s="277"/>
      <c r="V632" s="277"/>
      <c r="W632" s="277"/>
      <c r="X632" s="277"/>
      <c r="Y632" s="277"/>
      <c r="Z632" s="277"/>
    </row>
    <row r="633" ht="12.75" customHeight="1">
      <c r="A633" s="277"/>
      <c r="B633" s="278"/>
      <c r="C633" s="277"/>
      <c r="D633" s="277"/>
      <c r="E633" s="277"/>
      <c r="F633" s="277"/>
      <c r="G633" s="277"/>
      <c r="H633" s="277"/>
      <c r="I633" s="277"/>
      <c r="J633" s="277"/>
      <c r="K633" s="277"/>
      <c r="L633" s="277"/>
      <c r="M633" s="277"/>
      <c r="N633" s="277"/>
      <c r="O633" s="277"/>
      <c r="P633" s="277"/>
      <c r="Q633" s="277"/>
      <c r="R633" s="277"/>
      <c r="S633" s="410"/>
      <c r="T633" s="277"/>
      <c r="U633" s="277"/>
      <c r="V633" s="277"/>
      <c r="W633" s="277"/>
      <c r="X633" s="277"/>
      <c r="Y633" s="277"/>
      <c r="Z633" s="277"/>
    </row>
    <row r="634" ht="12.75" customHeight="1">
      <c r="A634" s="277"/>
      <c r="B634" s="278"/>
      <c r="C634" s="277"/>
      <c r="D634" s="277"/>
      <c r="E634" s="277"/>
      <c r="F634" s="277"/>
      <c r="G634" s="277"/>
      <c r="H634" s="277"/>
      <c r="I634" s="277"/>
      <c r="J634" s="277"/>
      <c r="K634" s="277"/>
      <c r="L634" s="277"/>
      <c r="M634" s="277"/>
      <c r="N634" s="277"/>
      <c r="O634" s="277"/>
      <c r="P634" s="277"/>
      <c r="Q634" s="277"/>
      <c r="R634" s="277"/>
      <c r="S634" s="410"/>
      <c r="T634" s="277"/>
      <c r="U634" s="277"/>
      <c r="V634" s="277"/>
      <c r="W634" s="277"/>
      <c r="X634" s="277"/>
      <c r="Y634" s="277"/>
      <c r="Z634" s="277"/>
    </row>
    <row r="635" ht="12.75" customHeight="1">
      <c r="A635" s="277"/>
      <c r="B635" s="278"/>
      <c r="C635" s="277"/>
      <c r="D635" s="277"/>
      <c r="E635" s="277"/>
      <c r="F635" s="277"/>
      <c r="G635" s="277"/>
      <c r="H635" s="277"/>
      <c r="I635" s="277"/>
      <c r="J635" s="277"/>
      <c r="K635" s="277"/>
      <c r="L635" s="277"/>
      <c r="M635" s="277"/>
      <c r="N635" s="277"/>
      <c r="O635" s="277"/>
      <c r="P635" s="277"/>
      <c r="Q635" s="277"/>
      <c r="R635" s="277"/>
      <c r="S635" s="410"/>
      <c r="T635" s="277"/>
      <c r="U635" s="277"/>
      <c r="V635" s="277"/>
      <c r="W635" s="277"/>
      <c r="X635" s="277"/>
      <c r="Y635" s="277"/>
      <c r="Z635" s="277"/>
    </row>
    <row r="636" ht="12.75" customHeight="1">
      <c r="A636" s="277"/>
      <c r="B636" s="278"/>
      <c r="C636" s="277"/>
      <c r="D636" s="277"/>
      <c r="E636" s="277"/>
      <c r="F636" s="277"/>
      <c r="G636" s="277"/>
      <c r="H636" s="277"/>
      <c r="I636" s="277"/>
      <c r="J636" s="277"/>
      <c r="K636" s="277"/>
      <c r="L636" s="277"/>
      <c r="M636" s="277"/>
      <c r="N636" s="277"/>
      <c r="O636" s="277"/>
      <c r="P636" s="277"/>
      <c r="Q636" s="277"/>
      <c r="R636" s="277"/>
      <c r="S636" s="410"/>
      <c r="T636" s="277"/>
      <c r="U636" s="277"/>
      <c r="V636" s="277"/>
      <c r="W636" s="277"/>
      <c r="X636" s="277"/>
      <c r="Y636" s="277"/>
      <c r="Z636" s="277"/>
    </row>
    <row r="637" ht="12.75" customHeight="1">
      <c r="A637" s="277"/>
      <c r="B637" s="278"/>
      <c r="C637" s="277"/>
      <c r="D637" s="277"/>
      <c r="E637" s="277"/>
      <c r="F637" s="277"/>
      <c r="G637" s="277"/>
      <c r="H637" s="277"/>
      <c r="I637" s="277"/>
      <c r="J637" s="277"/>
      <c r="K637" s="277"/>
      <c r="L637" s="277"/>
      <c r="M637" s="277"/>
      <c r="N637" s="277"/>
      <c r="O637" s="277"/>
      <c r="P637" s="277"/>
      <c r="Q637" s="277"/>
      <c r="R637" s="277"/>
      <c r="S637" s="410"/>
      <c r="T637" s="277"/>
      <c r="U637" s="277"/>
      <c r="V637" s="277"/>
      <c r="W637" s="277"/>
      <c r="X637" s="277"/>
      <c r="Y637" s="277"/>
      <c r="Z637" s="277"/>
    </row>
    <row r="638" ht="12.75" customHeight="1">
      <c r="A638" s="277"/>
      <c r="B638" s="278"/>
      <c r="C638" s="277"/>
      <c r="D638" s="277"/>
      <c r="E638" s="277"/>
      <c r="F638" s="277"/>
      <c r="G638" s="277"/>
      <c r="H638" s="277"/>
      <c r="I638" s="277"/>
      <c r="J638" s="277"/>
      <c r="K638" s="277"/>
      <c r="L638" s="277"/>
      <c r="M638" s="277"/>
      <c r="N638" s="277"/>
      <c r="O638" s="277"/>
      <c r="P638" s="277"/>
      <c r="Q638" s="277"/>
      <c r="R638" s="277"/>
      <c r="S638" s="410"/>
      <c r="T638" s="277"/>
      <c r="U638" s="277"/>
      <c r="V638" s="277"/>
      <c r="W638" s="277"/>
      <c r="X638" s="277"/>
      <c r="Y638" s="277"/>
      <c r="Z638" s="277"/>
    </row>
    <row r="639" ht="12.75" customHeight="1">
      <c r="A639" s="277"/>
      <c r="B639" s="278"/>
      <c r="C639" s="277"/>
      <c r="D639" s="277"/>
      <c r="E639" s="277"/>
      <c r="F639" s="277"/>
      <c r="G639" s="277"/>
      <c r="H639" s="277"/>
      <c r="I639" s="277"/>
      <c r="J639" s="277"/>
      <c r="K639" s="277"/>
      <c r="L639" s="277"/>
      <c r="M639" s="277"/>
      <c r="N639" s="277"/>
      <c r="O639" s="277"/>
      <c r="P639" s="277"/>
      <c r="Q639" s="277"/>
      <c r="R639" s="277"/>
      <c r="S639" s="410"/>
      <c r="T639" s="277"/>
      <c r="U639" s="277"/>
      <c r="V639" s="277"/>
      <c r="W639" s="277"/>
      <c r="X639" s="277"/>
      <c r="Y639" s="277"/>
      <c r="Z639" s="277"/>
    </row>
    <row r="640" ht="12.75" customHeight="1">
      <c r="A640" s="277"/>
      <c r="B640" s="278"/>
      <c r="C640" s="277"/>
      <c r="D640" s="277"/>
      <c r="E640" s="277"/>
      <c r="F640" s="277"/>
      <c r="G640" s="277"/>
      <c r="H640" s="277"/>
      <c r="I640" s="277"/>
      <c r="J640" s="277"/>
      <c r="K640" s="277"/>
      <c r="L640" s="277"/>
      <c r="M640" s="277"/>
      <c r="N640" s="277"/>
      <c r="O640" s="277"/>
      <c r="P640" s="277"/>
      <c r="Q640" s="277"/>
      <c r="R640" s="277"/>
      <c r="S640" s="410"/>
      <c r="T640" s="277"/>
      <c r="U640" s="277"/>
      <c r="V640" s="277"/>
      <c r="W640" s="277"/>
      <c r="X640" s="277"/>
      <c r="Y640" s="277"/>
      <c r="Z640" s="277"/>
    </row>
    <row r="641" ht="12.75" customHeight="1">
      <c r="A641" s="277"/>
      <c r="B641" s="278"/>
      <c r="C641" s="277"/>
      <c r="D641" s="277"/>
      <c r="E641" s="277"/>
      <c r="F641" s="277"/>
      <c r="G641" s="277"/>
      <c r="H641" s="277"/>
      <c r="I641" s="277"/>
      <c r="J641" s="277"/>
      <c r="K641" s="277"/>
      <c r="L641" s="277"/>
      <c r="M641" s="277"/>
      <c r="N641" s="277"/>
      <c r="O641" s="277"/>
      <c r="P641" s="277"/>
      <c r="Q641" s="277"/>
      <c r="R641" s="277"/>
      <c r="S641" s="410"/>
      <c r="T641" s="277"/>
      <c r="U641" s="277"/>
      <c r="V641" s="277"/>
      <c r="W641" s="277"/>
      <c r="X641" s="277"/>
      <c r="Y641" s="277"/>
      <c r="Z641" s="277"/>
    </row>
    <row r="642" ht="12.75" customHeight="1">
      <c r="A642" s="277"/>
      <c r="B642" s="278"/>
      <c r="C642" s="277"/>
      <c r="D642" s="277"/>
      <c r="E642" s="277"/>
      <c r="F642" s="277"/>
      <c r="G642" s="277"/>
      <c r="H642" s="277"/>
      <c r="I642" s="277"/>
      <c r="J642" s="277"/>
      <c r="K642" s="277"/>
      <c r="L642" s="277"/>
      <c r="M642" s="277"/>
      <c r="N642" s="277"/>
      <c r="O642" s="277"/>
      <c r="P642" s="277"/>
      <c r="Q642" s="277"/>
      <c r="R642" s="277"/>
      <c r="S642" s="410"/>
      <c r="T642" s="277"/>
      <c r="U642" s="277"/>
      <c r="V642" s="277"/>
      <c r="W642" s="277"/>
      <c r="X642" s="277"/>
      <c r="Y642" s="277"/>
      <c r="Z642" s="277"/>
    </row>
    <row r="643" ht="12.75" customHeight="1">
      <c r="A643" s="277"/>
      <c r="B643" s="278"/>
      <c r="C643" s="277"/>
      <c r="D643" s="277"/>
      <c r="E643" s="277"/>
      <c r="F643" s="277"/>
      <c r="G643" s="277"/>
      <c r="H643" s="277"/>
      <c r="I643" s="277"/>
      <c r="J643" s="277"/>
      <c r="K643" s="277"/>
      <c r="L643" s="277"/>
      <c r="M643" s="277"/>
      <c r="N643" s="277"/>
      <c r="O643" s="277"/>
      <c r="P643" s="277"/>
      <c r="Q643" s="277"/>
      <c r="R643" s="277"/>
      <c r="S643" s="410"/>
      <c r="T643" s="277"/>
      <c r="U643" s="277"/>
      <c r="V643" s="277"/>
      <c r="W643" s="277"/>
      <c r="X643" s="277"/>
      <c r="Y643" s="277"/>
      <c r="Z643" s="277"/>
    </row>
    <row r="644" ht="12.75" customHeight="1">
      <c r="A644" s="277"/>
      <c r="B644" s="278"/>
      <c r="C644" s="277"/>
      <c r="D644" s="277"/>
      <c r="E644" s="277"/>
      <c r="F644" s="277"/>
      <c r="G644" s="277"/>
      <c r="H644" s="277"/>
      <c r="I644" s="277"/>
      <c r="J644" s="277"/>
      <c r="K644" s="277"/>
      <c r="L644" s="277"/>
      <c r="M644" s="277"/>
      <c r="N644" s="277"/>
      <c r="O644" s="277"/>
      <c r="P644" s="277"/>
      <c r="Q644" s="277"/>
      <c r="R644" s="277"/>
      <c r="S644" s="410"/>
      <c r="T644" s="277"/>
      <c r="U644" s="277"/>
      <c r="V644" s="277"/>
      <c r="W644" s="277"/>
      <c r="X644" s="277"/>
      <c r="Y644" s="277"/>
      <c r="Z644" s="277"/>
    </row>
    <row r="645" ht="12.75" customHeight="1">
      <c r="A645" s="277"/>
      <c r="B645" s="278"/>
      <c r="C645" s="277"/>
      <c r="D645" s="277"/>
      <c r="E645" s="277"/>
      <c r="F645" s="277"/>
      <c r="G645" s="277"/>
      <c r="H645" s="277"/>
      <c r="I645" s="277"/>
      <c r="J645" s="277"/>
      <c r="K645" s="277"/>
      <c r="L645" s="277"/>
      <c r="M645" s="277"/>
      <c r="N645" s="277"/>
      <c r="O645" s="277"/>
      <c r="P645" s="277"/>
      <c r="Q645" s="277"/>
      <c r="R645" s="277"/>
      <c r="S645" s="410"/>
      <c r="T645" s="277"/>
      <c r="U645" s="277"/>
      <c r="V645" s="277"/>
      <c r="W645" s="277"/>
      <c r="X645" s="277"/>
      <c r="Y645" s="277"/>
      <c r="Z645" s="277"/>
    </row>
    <row r="646" ht="12.75" customHeight="1">
      <c r="A646" s="277"/>
      <c r="B646" s="278"/>
      <c r="C646" s="277"/>
      <c r="D646" s="277"/>
      <c r="E646" s="277"/>
      <c r="F646" s="277"/>
      <c r="G646" s="277"/>
      <c r="H646" s="277"/>
      <c r="I646" s="277"/>
      <c r="J646" s="277"/>
      <c r="K646" s="277"/>
      <c r="L646" s="277"/>
      <c r="M646" s="277"/>
      <c r="N646" s="277"/>
      <c r="O646" s="277"/>
      <c r="P646" s="277"/>
      <c r="Q646" s="277"/>
      <c r="R646" s="277"/>
      <c r="S646" s="410"/>
      <c r="T646" s="277"/>
      <c r="U646" s="277"/>
      <c r="V646" s="277"/>
      <c r="W646" s="277"/>
      <c r="X646" s="277"/>
      <c r="Y646" s="277"/>
      <c r="Z646" s="277"/>
    </row>
    <row r="647" ht="12.75" customHeight="1">
      <c r="A647" s="277"/>
      <c r="B647" s="278"/>
      <c r="C647" s="277"/>
      <c r="D647" s="277"/>
      <c r="E647" s="277"/>
      <c r="F647" s="277"/>
      <c r="G647" s="277"/>
      <c r="H647" s="277"/>
      <c r="I647" s="277"/>
      <c r="J647" s="277"/>
      <c r="K647" s="277"/>
      <c r="L647" s="277"/>
      <c r="M647" s="277"/>
      <c r="N647" s="277"/>
      <c r="O647" s="277"/>
      <c r="P647" s="277"/>
      <c r="Q647" s="277"/>
      <c r="R647" s="277"/>
      <c r="S647" s="410"/>
      <c r="T647" s="277"/>
      <c r="U647" s="277"/>
      <c r="V647" s="277"/>
      <c r="W647" s="277"/>
      <c r="X647" s="277"/>
      <c r="Y647" s="277"/>
      <c r="Z647" s="277"/>
    </row>
    <row r="648" ht="12.75" customHeight="1">
      <c r="A648" s="277"/>
      <c r="B648" s="278"/>
      <c r="C648" s="277"/>
      <c r="D648" s="277"/>
      <c r="E648" s="277"/>
      <c r="F648" s="277"/>
      <c r="G648" s="277"/>
      <c r="H648" s="277"/>
      <c r="I648" s="277"/>
      <c r="J648" s="277"/>
      <c r="K648" s="277"/>
      <c r="L648" s="277"/>
      <c r="M648" s="277"/>
      <c r="N648" s="277"/>
      <c r="O648" s="277"/>
      <c r="P648" s="277"/>
      <c r="Q648" s="277"/>
      <c r="R648" s="277"/>
      <c r="S648" s="410"/>
      <c r="T648" s="277"/>
      <c r="U648" s="277"/>
      <c r="V648" s="277"/>
      <c r="W648" s="277"/>
      <c r="X648" s="277"/>
      <c r="Y648" s="277"/>
      <c r="Z648" s="277"/>
    </row>
    <row r="649" ht="12.75" customHeight="1">
      <c r="A649" s="277"/>
      <c r="B649" s="278"/>
      <c r="C649" s="277"/>
      <c r="D649" s="277"/>
      <c r="E649" s="277"/>
      <c r="F649" s="277"/>
      <c r="G649" s="277"/>
      <c r="H649" s="277"/>
      <c r="I649" s="277"/>
      <c r="J649" s="277"/>
      <c r="K649" s="277"/>
      <c r="L649" s="277"/>
      <c r="M649" s="277"/>
      <c r="N649" s="277"/>
      <c r="O649" s="277"/>
      <c r="P649" s="277"/>
      <c r="Q649" s="277"/>
      <c r="R649" s="277"/>
      <c r="S649" s="410"/>
      <c r="T649" s="277"/>
      <c r="U649" s="277"/>
      <c r="V649" s="277"/>
      <c r="W649" s="277"/>
      <c r="X649" s="277"/>
      <c r="Y649" s="277"/>
      <c r="Z649" s="277"/>
    </row>
    <row r="650" ht="12.75" customHeight="1">
      <c r="A650" s="277"/>
      <c r="B650" s="278"/>
      <c r="C650" s="277"/>
      <c r="D650" s="277"/>
      <c r="E650" s="277"/>
      <c r="F650" s="277"/>
      <c r="G650" s="277"/>
      <c r="H650" s="277"/>
      <c r="I650" s="277"/>
      <c r="J650" s="277"/>
      <c r="K650" s="277"/>
      <c r="L650" s="277"/>
      <c r="M650" s="277"/>
      <c r="N650" s="277"/>
      <c r="O650" s="277"/>
      <c r="P650" s="277"/>
      <c r="Q650" s="277"/>
      <c r="R650" s="277"/>
      <c r="S650" s="410"/>
      <c r="T650" s="277"/>
      <c r="U650" s="277"/>
      <c r="V650" s="277"/>
      <c r="W650" s="277"/>
      <c r="X650" s="277"/>
      <c r="Y650" s="277"/>
      <c r="Z650" s="277"/>
    </row>
    <row r="651" ht="12.75" customHeight="1">
      <c r="A651" s="277"/>
      <c r="B651" s="278"/>
      <c r="C651" s="277"/>
      <c r="D651" s="277"/>
      <c r="E651" s="277"/>
      <c r="F651" s="277"/>
      <c r="G651" s="277"/>
      <c r="H651" s="277"/>
      <c r="I651" s="277"/>
      <c r="J651" s="277"/>
      <c r="K651" s="277"/>
      <c r="L651" s="277"/>
      <c r="M651" s="277"/>
      <c r="N651" s="277"/>
      <c r="O651" s="277"/>
      <c r="P651" s="277"/>
      <c r="Q651" s="277"/>
      <c r="R651" s="277"/>
      <c r="S651" s="410"/>
      <c r="T651" s="277"/>
      <c r="U651" s="277"/>
      <c r="V651" s="277"/>
      <c r="W651" s="277"/>
      <c r="X651" s="277"/>
      <c r="Y651" s="277"/>
      <c r="Z651" s="277"/>
    </row>
    <row r="652" ht="12.75" customHeight="1">
      <c r="A652" s="277"/>
      <c r="B652" s="278"/>
      <c r="C652" s="277"/>
      <c r="D652" s="277"/>
      <c r="E652" s="277"/>
      <c r="F652" s="277"/>
      <c r="G652" s="277"/>
      <c r="H652" s="277"/>
      <c r="I652" s="277"/>
      <c r="J652" s="277"/>
      <c r="K652" s="277"/>
      <c r="L652" s="277"/>
      <c r="M652" s="277"/>
      <c r="N652" s="277"/>
      <c r="O652" s="277"/>
      <c r="P652" s="277"/>
      <c r="Q652" s="277"/>
      <c r="R652" s="277"/>
      <c r="S652" s="410"/>
      <c r="T652" s="277"/>
      <c r="U652" s="277"/>
      <c r="V652" s="277"/>
      <c r="W652" s="277"/>
      <c r="X652" s="277"/>
      <c r="Y652" s="277"/>
      <c r="Z652" s="277"/>
    </row>
    <row r="653" ht="12.75" customHeight="1">
      <c r="A653" s="277"/>
      <c r="B653" s="278"/>
      <c r="C653" s="277"/>
      <c r="D653" s="277"/>
      <c r="E653" s="277"/>
      <c r="F653" s="277"/>
      <c r="G653" s="277"/>
      <c r="H653" s="277"/>
      <c r="I653" s="277"/>
      <c r="J653" s="277"/>
      <c r="K653" s="277"/>
      <c r="L653" s="277"/>
      <c r="M653" s="277"/>
      <c r="N653" s="277"/>
      <c r="O653" s="277"/>
      <c r="P653" s="277"/>
      <c r="Q653" s="277"/>
      <c r="R653" s="277"/>
      <c r="S653" s="410"/>
      <c r="T653" s="277"/>
      <c r="U653" s="277"/>
      <c r="V653" s="277"/>
      <c r="W653" s="277"/>
      <c r="X653" s="277"/>
      <c r="Y653" s="277"/>
      <c r="Z653" s="277"/>
    </row>
    <row r="654" ht="12.75" customHeight="1">
      <c r="A654" s="277"/>
      <c r="B654" s="278"/>
      <c r="C654" s="277"/>
      <c r="D654" s="277"/>
      <c r="E654" s="277"/>
      <c r="F654" s="277"/>
      <c r="G654" s="277"/>
      <c r="H654" s="277"/>
      <c r="I654" s="277"/>
      <c r="J654" s="277"/>
      <c r="K654" s="277"/>
      <c r="L654" s="277"/>
      <c r="M654" s="277"/>
      <c r="N654" s="277"/>
      <c r="O654" s="277"/>
      <c r="P654" s="277"/>
      <c r="Q654" s="277"/>
      <c r="R654" s="277"/>
      <c r="S654" s="410"/>
      <c r="T654" s="277"/>
      <c r="U654" s="277"/>
      <c r="V654" s="277"/>
      <c r="W654" s="277"/>
      <c r="X654" s="277"/>
      <c r="Y654" s="277"/>
      <c r="Z654" s="277"/>
    </row>
    <row r="655" ht="12.75" customHeight="1">
      <c r="A655" s="277"/>
      <c r="B655" s="278"/>
      <c r="C655" s="277"/>
      <c r="D655" s="277"/>
      <c r="E655" s="277"/>
      <c r="F655" s="277"/>
      <c r="G655" s="277"/>
      <c r="H655" s="277"/>
      <c r="I655" s="277"/>
      <c r="J655" s="277"/>
      <c r="K655" s="277"/>
      <c r="L655" s="277"/>
      <c r="M655" s="277"/>
      <c r="N655" s="277"/>
      <c r="O655" s="277"/>
      <c r="P655" s="277"/>
      <c r="Q655" s="277"/>
      <c r="R655" s="277"/>
      <c r="S655" s="410"/>
      <c r="T655" s="277"/>
      <c r="U655" s="277"/>
      <c r="V655" s="277"/>
      <c r="W655" s="277"/>
      <c r="X655" s="277"/>
      <c r="Y655" s="277"/>
      <c r="Z655" s="277"/>
    </row>
    <row r="656" ht="12.75" customHeight="1">
      <c r="A656" s="277"/>
      <c r="B656" s="278"/>
      <c r="C656" s="277"/>
      <c r="D656" s="277"/>
      <c r="E656" s="277"/>
      <c r="F656" s="277"/>
      <c r="G656" s="277"/>
      <c r="H656" s="277"/>
      <c r="I656" s="277"/>
      <c r="J656" s="277"/>
      <c r="K656" s="277"/>
      <c r="L656" s="277"/>
      <c r="M656" s="277"/>
      <c r="N656" s="277"/>
      <c r="O656" s="277"/>
      <c r="P656" s="277"/>
      <c r="Q656" s="277"/>
      <c r="R656" s="277"/>
      <c r="S656" s="410"/>
      <c r="T656" s="277"/>
      <c r="U656" s="277"/>
      <c r="V656" s="277"/>
      <c r="W656" s="277"/>
      <c r="X656" s="277"/>
      <c r="Y656" s="277"/>
      <c r="Z656" s="277"/>
    </row>
    <row r="657" ht="12.75" customHeight="1">
      <c r="A657" s="277"/>
      <c r="B657" s="278"/>
      <c r="C657" s="277"/>
      <c r="D657" s="277"/>
      <c r="E657" s="277"/>
      <c r="F657" s="277"/>
      <c r="G657" s="277"/>
      <c r="H657" s="277"/>
      <c r="I657" s="277"/>
      <c r="J657" s="277"/>
      <c r="K657" s="277"/>
      <c r="L657" s="277"/>
      <c r="M657" s="277"/>
      <c r="N657" s="277"/>
      <c r="O657" s="277"/>
      <c r="P657" s="277"/>
      <c r="Q657" s="277"/>
      <c r="R657" s="277"/>
      <c r="S657" s="410"/>
      <c r="T657" s="277"/>
      <c r="U657" s="277"/>
      <c r="V657" s="277"/>
      <c r="W657" s="277"/>
      <c r="X657" s="277"/>
      <c r="Y657" s="277"/>
      <c r="Z657" s="277"/>
    </row>
    <row r="658" ht="12.75" customHeight="1">
      <c r="A658" s="277"/>
      <c r="B658" s="278"/>
      <c r="C658" s="277"/>
      <c r="D658" s="277"/>
      <c r="E658" s="277"/>
      <c r="F658" s="277"/>
      <c r="G658" s="277"/>
      <c r="H658" s="277"/>
      <c r="I658" s="277"/>
      <c r="J658" s="277"/>
      <c r="K658" s="277"/>
      <c r="L658" s="277"/>
      <c r="M658" s="277"/>
      <c r="N658" s="277"/>
      <c r="O658" s="277"/>
      <c r="P658" s="277"/>
      <c r="Q658" s="277"/>
      <c r="R658" s="277"/>
      <c r="S658" s="410"/>
      <c r="T658" s="277"/>
      <c r="U658" s="277"/>
      <c r="V658" s="277"/>
      <c r="W658" s="277"/>
      <c r="X658" s="277"/>
      <c r="Y658" s="277"/>
      <c r="Z658" s="277"/>
    </row>
    <row r="659" ht="12.75" customHeight="1">
      <c r="A659" s="277"/>
      <c r="B659" s="278"/>
      <c r="C659" s="277"/>
      <c r="D659" s="277"/>
      <c r="E659" s="277"/>
      <c r="F659" s="277"/>
      <c r="G659" s="277"/>
      <c r="H659" s="277"/>
      <c r="I659" s="277"/>
      <c r="J659" s="277"/>
      <c r="K659" s="277"/>
      <c r="L659" s="277"/>
      <c r="M659" s="277"/>
      <c r="N659" s="277"/>
      <c r="O659" s="277"/>
      <c r="P659" s="277"/>
      <c r="Q659" s="277"/>
      <c r="R659" s="277"/>
      <c r="S659" s="410"/>
      <c r="T659" s="277"/>
      <c r="U659" s="277"/>
      <c r="V659" s="277"/>
      <c r="W659" s="277"/>
      <c r="X659" s="277"/>
      <c r="Y659" s="277"/>
      <c r="Z659" s="277"/>
    </row>
    <row r="660" ht="12.75" customHeight="1">
      <c r="A660" s="277"/>
      <c r="B660" s="278"/>
      <c r="C660" s="277"/>
      <c r="D660" s="277"/>
      <c r="E660" s="277"/>
      <c r="F660" s="277"/>
      <c r="G660" s="277"/>
      <c r="H660" s="277"/>
      <c r="I660" s="277"/>
      <c r="J660" s="277"/>
      <c r="K660" s="277"/>
      <c r="L660" s="277"/>
      <c r="M660" s="277"/>
      <c r="N660" s="277"/>
      <c r="O660" s="277"/>
      <c r="P660" s="277"/>
      <c r="Q660" s="277"/>
      <c r="R660" s="277"/>
      <c r="S660" s="410"/>
      <c r="T660" s="277"/>
      <c r="U660" s="277"/>
      <c r="V660" s="277"/>
      <c r="W660" s="277"/>
      <c r="X660" s="277"/>
      <c r="Y660" s="277"/>
      <c r="Z660" s="277"/>
    </row>
    <row r="661" ht="12.75" customHeight="1">
      <c r="A661" s="277"/>
      <c r="B661" s="278"/>
      <c r="C661" s="277"/>
      <c r="D661" s="277"/>
      <c r="E661" s="277"/>
      <c r="F661" s="277"/>
      <c r="G661" s="277"/>
      <c r="H661" s="277"/>
      <c r="I661" s="277"/>
      <c r="J661" s="277"/>
      <c r="K661" s="277"/>
      <c r="L661" s="277"/>
      <c r="M661" s="277"/>
      <c r="N661" s="277"/>
      <c r="O661" s="277"/>
      <c r="P661" s="277"/>
      <c r="Q661" s="277"/>
      <c r="R661" s="277"/>
      <c r="S661" s="410"/>
      <c r="T661" s="277"/>
      <c r="U661" s="277"/>
      <c r="V661" s="277"/>
      <c r="W661" s="277"/>
      <c r="X661" s="277"/>
      <c r="Y661" s="277"/>
      <c r="Z661" s="277"/>
    </row>
    <row r="662" ht="12.75" customHeight="1">
      <c r="A662" s="277"/>
      <c r="B662" s="278"/>
      <c r="C662" s="277"/>
      <c r="D662" s="277"/>
      <c r="E662" s="277"/>
      <c r="F662" s="277"/>
      <c r="G662" s="277"/>
      <c r="H662" s="277"/>
      <c r="I662" s="277"/>
      <c r="J662" s="277"/>
      <c r="K662" s="277"/>
      <c r="L662" s="277"/>
      <c r="M662" s="277"/>
      <c r="N662" s="277"/>
      <c r="O662" s="277"/>
      <c r="P662" s="277"/>
      <c r="Q662" s="277"/>
      <c r="R662" s="277"/>
      <c r="S662" s="410"/>
      <c r="T662" s="277"/>
      <c r="U662" s="277"/>
      <c r="V662" s="277"/>
      <c r="W662" s="277"/>
      <c r="X662" s="277"/>
      <c r="Y662" s="277"/>
      <c r="Z662" s="277"/>
    </row>
    <row r="663" ht="12.75" customHeight="1">
      <c r="A663" s="277"/>
      <c r="B663" s="278"/>
      <c r="C663" s="277"/>
      <c r="D663" s="277"/>
      <c r="E663" s="277"/>
      <c r="F663" s="277"/>
      <c r="G663" s="277"/>
      <c r="H663" s="277"/>
      <c r="I663" s="277"/>
      <c r="J663" s="277"/>
      <c r="K663" s="277"/>
      <c r="L663" s="277"/>
      <c r="M663" s="277"/>
      <c r="N663" s="277"/>
      <c r="O663" s="277"/>
      <c r="P663" s="277"/>
      <c r="Q663" s="277"/>
      <c r="R663" s="277"/>
      <c r="S663" s="410"/>
      <c r="T663" s="277"/>
      <c r="U663" s="277"/>
      <c r="V663" s="277"/>
      <c r="W663" s="277"/>
      <c r="X663" s="277"/>
      <c r="Y663" s="277"/>
      <c r="Z663" s="277"/>
    </row>
    <row r="664" ht="12.75" customHeight="1">
      <c r="A664" s="277"/>
      <c r="B664" s="278"/>
      <c r="C664" s="277"/>
      <c r="D664" s="277"/>
      <c r="E664" s="277"/>
      <c r="F664" s="277"/>
      <c r="G664" s="277"/>
      <c r="H664" s="277"/>
      <c r="I664" s="277"/>
      <c r="J664" s="277"/>
      <c r="K664" s="277"/>
      <c r="L664" s="277"/>
      <c r="M664" s="277"/>
      <c r="N664" s="277"/>
      <c r="O664" s="277"/>
      <c r="P664" s="277"/>
      <c r="Q664" s="277"/>
      <c r="R664" s="277"/>
      <c r="S664" s="410"/>
      <c r="T664" s="277"/>
      <c r="U664" s="277"/>
      <c r="V664" s="277"/>
      <c r="W664" s="277"/>
      <c r="X664" s="277"/>
      <c r="Y664" s="277"/>
      <c r="Z664" s="277"/>
    </row>
    <row r="665" ht="12.75" customHeight="1">
      <c r="A665" s="277"/>
      <c r="B665" s="278"/>
      <c r="C665" s="277"/>
      <c r="D665" s="277"/>
      <c r="E665" s="277"/>
      <c r="F665" s="277"/>
      <c r="G665" s="277"/>
      <c r="H665" s="277"/>
      <c r="I665" s="277"/>
      <c r="J665" s="277"/>
      <c r="K665" s="277"/>
      <c r="L665" s="277"/>
      <c r="M665" s="277"/>
      <c r="N665" s="277"/>
      <c r="O665" s="277"/>
      <c r="P665" s="277"/>
      <c r="Q665" s="277"/>
      <c r="R665" s="277"/>
      <c r="S665" s="410"/>
      <c r="T665" s="277"/>
      <c r="U665" s="277"/>
      <c r="V665" s="277"/>
      <c r="W665" s="277"/>
      <c r="X665" s="277"/>
      <c r="Y665" s="277"/>
      <c r="Z665" s="277"/>
    </row>
    <row r="666" ht="12.75" customHeight="1">
      <c r="A666" s="277"/>
      <c r="B666" s="278"/>
      <c r="C666" s="277"/>
      <c r="D666" s="277"/>
      <c r="E666" s="277"/>
      <c r="F666" s="277"/>
      <c r="G666" s="277"/>
      <c r="H666" s="277"/>
      <c r="I666" s="277"/>
      <c r="J666" s="277"/>
      <c r="K666" s="277"/>
      <c r="L666" s="277"/>
      <c r="M666" s="277"/>
      <c r="N666" s="277"/>
      <c r="O666" s="277"/>
      <c r="P666" s="277"/>
      <c r="Q666" s="277"/>
      <c r="R666" s="277"/>
      <c r="S666" s="410"/>
      <c r="T666" s="277"/>
      <c r="U666" s="277"/>
      <c r="V666" s="277"/>
      <c r="W666" s="277"/>
      <c r="X666" s="277"/>
      <c r="Y666" s="277"/>
      <c r="Z666" s="277"/>
    </row>
    <row r="667" ht="12.75" customHeight="1">
      <c r="A667" s="277"/>
      <c r="B667" s="278"/>
      <c r="C667" s="277"/>
      <c r="D667" s="277"/>
      <c r="E667" s="277"/>
      <c r="F667" s="277"/>
      <c r="G667" s="277"/>
      <c r="H667" s="277"/>
      <c r="I667" s="277"/>
      <c r="J667" s="277"/>
      <c r="K667" s="277"/>
      <c r="L667" s="277"/>
      <c r="M667" s="277"/>
      <c r="N667" s="277"/>
      <c r="O667" s="277"/>
      <c r="P667" s="277"/>
      <c r="Q667" s="277"/>
      <c r="R667" s="277"/>
      <c r="S667" s="410"/>
      <c r="T667" s="277"/>
      <c r="U667" s="277"/>
      <c r="V667" s="277"/>
      <c r="W667" s="277"/>
      <c r="X667" s="277"/>
      <c r="Y667" s="277"/>
      <c r="Z667" s="277"/>
    </row>
    <row r="668" ht="12.75" customHeight="1">
      <c r="A668" s="277"/>
      <c r="B668" s="278"/>
      <c r="C668" s="277"/>
      <c r="D668" s="277"/>
      <c r="E668" s="277"/>
      <c r="F668" s="277"/>
      <c r="G668" s="277"/>
      <c r="H668" s="277"/>
      <c r="I668" s="277"/>
      <c r="J668" s="277"/>
      <c r="K668" s="277"/>
      <c r="L668" s="277"/>
      <c r="M668" s="277"/>
      <c r="N668" s="277"/>
      <c r="O668" s="277"/>
      <c r="P668" s="277"/>
      <c r="Q668" s="277"/>
      <c r="R668" s="277"/>
      <c r="S668" s="410"/>
      <c r="T668" s="277"/>
      <c r="U668" s="277"/>
      <c r="V668" s="277"/>
      <c r="W668" s="277"/>
      <c r="X668" s="277"/>
      <c r="Y668" s="277"/>
      <c r="Z668" s="277"/>
    </row>
    <row r="669" ht="12.75" customHeight="1">
      <c r="A669" s="277"/>
      <c r="B669" s="278"/>
      <c r="C669" s="277"/>
      <c r="D669" s="277"/>
      <c r="E669" s="277"/>
      <c r="F669" s="277"/>
      <c r="G669" s="277"/>
      <c r="H669" s="277"/>
      <c r="I669" s="277"/>
      <c r="J669" s="277"/>
      <c r="K669" s="277"/>
      <c r="L669" s="277"/>
      <c r="M669" s="277"/>
      <c r="N669" s="277"/>
      <c r="O669" s="277"/>
      <c r="P669" s="277"/>
      <c r="Q669" s="277"/>
      <c r="R669" s="277"/>
      <c r="S669" s="410"/>
      <c r="T669" s="277"/>
      <c r="U669" s="277"/>
      <c r="V669" s="277"/>
      <c r="W669" s="277"/>
      <c r="X669" s="277"/>
      <c r="Y669" s="277"/>
      <c r="Z669" s="277"/>
    </row>
    <row r="670" ht="12.75" customHeight="1">
      <c r="A670" s="277"/>
      <c r="B670" s="278"/>
      <c r="C670" s="277"/>
      <c r="D670" s="277"/>
      <c r="E670" s="277"/>
      <c r="F670" s="277"/>
      <c r="G670" s="277"/>
      <c r="H670" s="277"/>
      <c r="I670" s="277"/>
      <c r="J670" s="277"/>
      <c r="K670" s="277"/>
      <c r="L670" s="277"/>
      <c r="M670" s="277"/>
      <c r="N670" s="277"/>
      <c r="O670" s="277"/>
      <c r="P670" s="277"/>
      <c r="Q670" s="277"/>
      <c r="R670" s="277"/>
      <c r="S670" s="410"/>
      <c r="T670" s="277"/>
      <c r="U670" s="277"/>
      <c r="V670" s="277"/>
      <c r="W670" s="277"/>
      <c r="X670" s="277"/>
      <c r="Y670" s="277"/>
      <c r="Z670" s="277"/>
    </row>
    <row r="671" ht="12.75" customHeight="1">
      <c r="A671" s="277"/>
      <c r="B671" s="278"/>
      <c r="C671" s="277"/>
      <c r="D671" s="277"/>
      <c r="E671" s="277"/>
      <c r="F671" s="277"/>
      <c r="G671" s="277"/>
      <c r="H671" s="277"/>
      <c r="I671" s="277"/>
      <c r="J671" s="277"/>
      <c r="K671" s="277"/>
      <c r="L671" s="277"/>
      <c r="M671" s="277"/>
      <c r="N671" s="277"/>
      <c r="O671" s="277"/>
      <c r="P671" s="277"/>
      <c r="Q671" s="277"/>
      <c r="R671" s="277"/>
      <c r="S671" s="410"/>
      <c r="T671" s="277"/>
      <c r="U671" s="277"/>
      <c r="V671" s="277"/>
      <c r="W671" s="277"/>
      <c r="X671" s="277"/>
      <c r="Y671" s="277"/>
      <c r="Z671" s="277"/>
    </row>
    <row r="672" ht="12.75" customHeight="1">
      <c r="A672" s="277"/>
      <c r="B672" s="278"/>
      <c r="C672" s="277"/>
      <c r="D672" s="277"/>
      <c r="E672" s="277"/>
      <c r="F672" s="277"/>
      <c r="G672" s="277"/>
      <c r="H672" s="277"/>
      <c r="I672" s="277"/>
      <c r="J672" s="277"/>
      <c r="K672" s="277"/>
      <c r="L672" s="277"/>
      <c r="M672" s="277"/>
      <c r="N672" s="277"/>
      <c r="O672" s="277"/>
      <c r="P672" s="277"/>
      <c r="Q672" s="277"/>
      <c r="R672" s="277"/>
      <c r="S672" s="410"/>
      <c r="T672" s="277"/>
      <c r="U672" s="277"/>
      <c r="V672" s="277"/>
      <c r="W672" s="277"/>
      <c r="X672" s="277"/>
      <c r="Y672" s="277"/>
      <c r="Z672" s="277"/>
    </row>
    <row r="673" ht="12.75" customHeight="1">
      <c r="A673" s="277"/>
      <c r="B673" s="278"/>
      <c r="C673" s="277"/>
      <c r="D673" s="277"/>
      <c r="E673" s="277"/>
      <c r="F673" s="277"/>
      <c r="G673" s="277"/>
      <c r="H673" s="277"/>
      <c r="I673" s="277"/>
      <c r="J673" s="277"/>
      <c r="K673" s="277"/>
      <c r="L673" s="277"/>
      <c r="M673" s="277"/>
      <c r="N673" s="277"/>
      <c r="O673" s="277"/>
      <c r="P673" s="277"/>
      <c r="Q673" s="277"/>
      <c r="R673" s="277"/>
      <c r="S673" s="410"/>
      <c r="T673" s="277"/>
      <c r="U673" s="277"/>
      <c r="V673" s="277"/>
      <c r="W673" s="277"/>
      <c r="X673" s="277"/>
      <c r="Y673" s="277"/>
      <c r="Z673" s="277"/>
    </row>
    <row r="674" ht="12.75" customHeight="1">
      <c r="A674" s="277"/>
      <c r="B674" s="278"/>
      <c r="C674" s="277"/>
      <c r="D674" s="277"/>
      <c r="E674" s="277"/>
      <c r="F674" s="277"/>
      <c r="G674" s="277"/>
      <c r="H674" s="277"/>
      <c r="I674" s="277"/>
      <c r="J674" s="277"/>
      <c r="K674" s="277"/>
      <c r="L674" s="277"/>
      <c r="M674" s="277"/>
      <c r="N674" s="277"/>
      <c r="O674" s="277"/>
      <c r="P674" s="277"/>
      <c r="Q674" s="277"/>
      <c r="R674" s="277"/>
      <c r="S674" s="410"/>
      <c r="T674" s="277"/>
      <c r="U674" s="277"/>
      <c r="V674" s="277"/>
      <c r="W674" s="277"/>
      <c r="X674" s="277"/>
      <c r="Y674" s="277"/>
      <c r="Z674" s="277"/>
    </row>
    <row r="675" ht="12.75" customHeight="1">
      <c r="A675" s="277"/>
      <c r="B675" s="278"/>
      <c r="C675" s="277"/>
      <c r="D675" s="277"/>
      <c r="E675" s="277"/>
      <c r="F675" s="277"/>
      <c r="G675" s="277"/>
      <c r="H675" s="277"/>
      <c r="I675" s="277"/>
      <c r="J675" s="277"/>
      <c r="K675" s="277"/>
      <c r="L675" s="277"/>
      <c r="M675" s="277"/>
      <c r="N675" s="277"/>
      <c r="O675" s="277"/>
      <c r="P675" s="277"/>
      <c r="Q675" s="277"/>
      <c r="R675" s="277"/>
      <c r="S675" s="410"/>
      <c r="T675" s="277"/>
      <c r="U675" s="277"/>
      <c r="V675" s="277"/>
      <c r="W675" s="277"/>
      <c r="X675" s="277"/>
      <c r="Y675" s="277"/>
      <c r="Z675" s="277"/>
    </row>
    <row r="676" ht="12.75" customHeight="1">
      <c r="A676" s="277"/>
      <c r="B676" s="278"/>
      <c r="C676" s="277"/>
      <c r="D676" s="277"/>
      <c r="E676" s="277"/>
      <c r="F676" s="277"/>
      <c r="G676" s="277"/>
      <c r="H676" s="277"/>
      <c r="I676" s="277"/>
      <c r="J676" s="277"/>
      <c r="K676" s="277"/>
      <c r="L676" s="277"/>
      <c r="M676" s="277"/>
      <c r="N676" s="277"/>
      <c r="O676" s="277"/>
      <c r="P676" s="277"/>
      <c r="Q676" s="277"/>
      <c r="R676" s="277"/>
      <c r="S676" s="410"/>
      <c r="T676" s="277"/>
      <c r="U676" s="277"/>
      <c r="V676" s="277"/>
      <c r="W676" s="277"/>
      <c r="X676" s="277"/>
      <c r="Y676" s="277"/>
      <c r="Z676" s="277"/>
    </row>
    <row r="677" ht="12.75" customHeight="1">
      <c r="A677" s="277"/>
      <c r="B677" s="278"/>
      <c r="C677" s="277"/>
      <c r="D677" s="277"/>
      <c r="E677" s="277"/>
      <c r="F677" s="277"/>
      <c r="G677" s="277"/>
      <c r="H677" s="277"/>
      <c r="I677" s="277"/>
      <c r="J677" s="277"/>
      <c r="K677" s="277"/>
      <c r="L677" s="277"/>
      <c r="M677" s="277"/>
      <c r="N677" s="277"/>
      <c r="O677" s="277"/>
      <c r="P677" s="277"/>
      <c r="Q677" s="277"/>
      <c r="R677" s="277"/>
      <c r="S677" s="410"/>
      <c r="T677" s="277"/>
      <c r="U677" s="277"/>
      <c r="V677" s="277"/>
      <c r="W677" s="277"/>
      <c r="X677" s="277"/>
      <c r="Y677" s="277"/>
      <c r="Z677" s="277"/>
    </row>
    <row r="678" ht="12.75" customHeight="1">
      <c r="A678" s="277"/>
      <c r="B678" s="278"/>
      <c r="C678" s="277"/>
      <c r="D678" s="277"/>
      <c r="E678" s="277"/>
      <c r="F678" s="277"/>
      <c r="G678" s="277"/>
      <c r="H678" s="277"/>
      <c r="I678" s="277"/>
      <c r="J678" s="277"/>
      <c r="K678" s="277"/>
      <c r="L678" s="277"/>
      <c r="M678" s="277"/>
      <c r="N678" s="277"/>
      <c r="O678" s="277"/>
      <c r="P678" s="277"/>
      <c r="Q678" s="277"/>
      <c r="R678" s="277"/>
      <c r="S678" s="410"/>
      <c r="T678" s="277"/>
      <c r="U678" s="277"/>
      <c r="V678" s="277"/>
      <c r="W678" s="277"/>
      <c r="X678" s="277"/>
      <c r="Y678" s="277"/>
      <c r="Z678" s="277"/>
    </row>
    <row r="679" ht="12.75" customHeight="1">
      <c r="A679" s="277"/>
      <c r="B679" s="278"/>
      <c r="C679" s="277"/>
      <c r="D679" s="277"/>
      <c r="E679" s="277"/>
      <c r="F679" s="277"/>
      <c r="G679" s="277"/>
      <c r="H679" s="277"/>
      <c r="I679" s="277"/>
      <c r="J679" s="277"/>
      <c r="K679" s="277"/>
      <c r="L679" s="277"/>
      <c r="M679" s="277"/>
      <c r="N679" s="277"/>
      <c r="O679" s="277"/>
      <c r="P679" s="277"/>
      <c r="Q679" s="277"/>
      <c r="R679" s="277"/>
      <c r="S679" s="410"/>
      <c r="T679" s="277"/>
      <c r="U679" s="277"/>
      <c r="V679" s="277"/>
      <c r="W679" s="277"/>
      <c r="X679" s="277"/>
      <c r="Y679" s="277"/>
      <c r="Z679" s="277"/>
    </row>
    <row r="680" ht="12.75" customHeight="1">
      <c r="A680" s="277"/>
      <c r="B680" s="278"/>
      <c r="C680" s="277"/>
      <c r="D680" s="277"/>
      <c r="E680" s="277"/>
      <c r="F680" s="277"/>
      <c r="G680" s="277"/>
      <c r="H680" s="277"/>
      <c r="I680" s="277"/>
      <c r="J680" s="277"/>
      <c r="K680" s="277"/>
      <c r="L680" s="277"/>
      <c r="M680" s="277"/>
      <c r="N680" s="277"/>
      <c r="O680" s="277"/>
      <c r="P680" s="277"/>
      <c r="Q680" s="277"/>
      <c r="R680" s="277"/>
      <c r="S680" s="410"/>
      <c r="T680" s="277"/>
      <c r="U680" s="277"/>
      <c r="V680" s="277"/>
      <c r="W680" s="277"/>
      <c r="X680" s="277"/>
      <c r="Y680" s="277"/>
      <c r="Z680" s="277"/>
    </row>
    <row r="681" ht="12.75" customHeight="1">
      <c r="A681" s="277"/>
      <c r="B681" s="278"/>
      <c r="C681" s="277"/>
      <c r="D681" s="277"/>
      <c r="E681" s="277"/>
      <c r="F681" s="277"/>
      <c r="G681" s="277"/>
      <c r="H681" s="277"/>
      <c r="I681" s="277"/>
      <c r="J681" s="277"/>
      <c r="K681" s="277"/>
      <c r="L681" s="277"/>
      <c r="M681" s="277"/>
      <c r="N681" s="277"/>
      <c r="O681" s="277"/>
      <c r="P681" s="277"/>
      <c r="Q681" s="277"/>
      <c r="R681" s="277"/>
      <c r="S681" s="410"/>
      <c r="T681" s="277"/>
      <c r="U681" s="277"/>
      <c r="V681" s="277"/>
      <c r="W681" s="277"/>
      <c r="X681" s="277"/>
      <c r="Y681" s="277"/>
      <c r="Z681" s="277"/>
    </row>
    <row r="682" ht="12.75" customHeight="1">
      <c r="A682" s="277"/>
      <c r="B682" s="278"/>
      <c r="C682" s="277"/>
      <c r="D682" s="277"/>
      <c r="E682" s="277"/>
      <c r="F682" s="277"/>
      <c r="G682" s="277"/>
      <c r="H682" s="277"/>
      <c r="I682" s="277"/>
      <c r="J682" s="277"/>
      <c r="K682" s="277"/>
      <c r="L682" s="277"/>
      <c r="M682" s="277"/>
      <c r="N682" s="277"/>
      <c r="O682" s="277"/>
      <c r="P682" s="277"/>
      <c r="Q682" s="277"/>
      <c r="R682" s="277"/>
      <c r="S682" s="410"/>
      <c r="T682" s="277"/>
      <c r="U682" s="277"/>
      <c r="V682" s="277"/>
      <c r="W682" s="277"/>
      <c r="X682" s="277"/>
      <c r="Y682" s="277"/>
      <c r="Z682" s="277"/>
    </row>
    <row r="683" ht="12.75" customHeight="1">
      <c r="A683" s="277"/>
      <c r="B683" s="278"/>
      <c r="C683" s="277"/>
      <c r="D683" s="277"/>
      <c r="E683" s="277"/>
      <c r="F683" s="277"/>
      <c r="G683" s="277"/>
      <c r="H683" s="277"/>
      <c r="I683" s="277"/>
      <c r="J683" s="277"/>
      <c r="K683" s="277"/>
      <c r="L683" s="277"/>
      <c r="M683" s="277"/>
      <c r="N683" s="277"/>
      <c r="O683" s="277"/>
      <c r="P683" s="277"/>
      <c r="Q683" s="277"/>
      <c r="R683" s="277"/>
      <c r="S683" s="410"/>
      <c r="T683" s="277"/>
      <c r="U683" s="277"/>
      <c r="V683" s="277"/>
      <c r="W683" s="277"/>
      <c r="X683" s="277"/>
      <c r="Y683" s="277"/>
      <c r="Z683" s="277"/>
    </row>
    <row r="684" ht="12.75" customHeight="1">
      <c r="A684" s="277"/>
      <c r="B684" s="278"/>
      <c r="C684" s="277"/>
      <c r="D684" s="277"/>
      <c r="E684" s="277"/>
      <c r="F684" s="277"/>
      <c r="G684" s="277"/>
      <c r="H684" s="277"/>
      <c r="I684" s="277"/>
      <c r="J684" s="277"/>
      <c r="K684" s="277"/>
      <c r="L684" s="277"/>
      <c r="M684" s="277"/>
      <c r="N684" s="277"/>
      <c r="O684" s="277"/>
      <c r="P684" s="277"/>
      <c r="Q684" s="277"/>
      <c r="R684" s="277"/>
      <c r="S684" s="410"/>
      <c r="T684" s="277"/>
      <c r="U684" s="277"/>
      <c r="V684" s="277"/>
      <c r="W684" s="277"/>
      <c r="X684" s="277"/>
      <c r="Y684" s="277"/>
      <c r="Z684" s="277"/>
    </row>
    <row r="685" ht="12.75" customHeight="1">
      <c r="A685" s="277"/>
      <c r="B685" s="278"/>
      <c r="C685" s="277"/>
      <c r="D685" s="277"/>
      <c r="E685" s="277"/>
      <c r="F685" s="277"/>
      <c r="G685" s="277"/>
      <c r="H685" s="277"/>
      <c r="I685" s="277"/>
      <c r="J685" s="277"/>
      <c r="K685" s="277"/>
      <c r="L685" s="277"/>
      <c r="M685" s="277"/>
      <c r="N685" s="277"/>
      <c r="O685" s="277"/>
      <c r="P685" s="277"/>
      <c r="Q685" s="277"/>
      <c r="R685" s="277"/>
      <c r="S685" s="410"/>
      <c r="T685" s="277"/>
      <c r="U685" s="277"/>
      <c r="V685" s="277"/>
      <c r="W685" s="277"/>
      <c r="X685" s="277"/>
      <c r="Y685" s="277"/>
      <c r="Z685" s="277"/>
    </row>
    <row r="686" ht="12.75" customHeight="1">
      <c r="A686" s="277"/>
      <c r="B686" s="278"/>
      <c r="C686" s="277"/>
      <c r="D686" s="277"/>
      <c r="E686" s="277"/>
      <c r="F686" s="277"/>
      <c r="G686" s="277"/>
      <c r="H686" s="277"/>
      <c r="I686" s="277"/>
      <c r="J686" s="277"/>
      <c r="K686" s="277"/>
      <c r="L686" s="277"/>
      <c r="M686" s="277"/>
      <c r="N686" s="277"/>
      <c r="O686" s="277"/>
      <c r="P686" s="277"/>
      <c r="Q686" s="277"/>
      <c r="R686" s="277"/>
      <c r="S686" s="410"/>
      <c r="T686" s="277"/>
      <c r="U686" s="277"/>
      <c r="V686" s="277"/>
      <c r="W686" s="277"/>
      <c r="X686" s="277"/>
      <c r="Y686" s="277"/>
      <c r="Z686" s="277"/>
    </row>
    <row r="687" ht="12.75" customHeight="1">
      <c r="A687" s="277"/>
      <c r="B687" s="278"/>
      <c r="C687" s="277"/>
      <c r="D687" s="277"/>
      <c r="E687" s="277"/>
      <c r="F687" s="277"/>
      <c r="G687" s="277"/>
      <c r="H687" s="277"/>
      <c r="I687" s="277"/>
      <c r="J687" s="277"/>
      <c r="K687" s="277"/>
      <c r="L687" s="277"/>
      <c r="M687" s="277"/>
      <c r="N687" s="277"/>
      <c r="O687" s="277"/>
      <c r="P687" s="277"/>
      <c r="Q687" s="277"/>
      <c r="R687" s="277"/>
      <c r="S687" s="410"/>
      <c r="T687" s="277"/>
      <c r="U687" s="277"/>
      <c r="V687" s="277"/>
      <c r="W687" s="277"/>
      <c r="X687" s="277"/>
      <c r="Y687" s="277"/>
      <c r="Z687" s="277"/>
    </row>
    <row r="688" ht="12.75" customHeight="1">
      <c r="A688" s="277"/>
      <c r="B688" s="278"/>
      <c r="C688" s="277"/>
      <c r="D688" s="277"/>
      <c r="E688" s="277"/>
      <c r="F688" s="277"/>
      <c r="G688" s="277"/>
      <c r="H688" s="277"/>
      <c r="I688" s="277"/>
      <c r="J688" s="277"/>
      <c r="K688" s="277"/>
      <c r="L688" s="277"/>
      <c r="M688" s="277"/>
      <c r="N688" s="277"/>
      <c r="O688" s="277"/>
      <c r="P688" s="277"/>
      <c r="Q688" s="277"/>
      <c r="R688" s="277"/>
      <c r="S688" s="410"/>
      <c r="T688" s="277"/>
      <c r="U688" s="277"/>
      <c r="V688" s="277"/>
      <c r="W688" s="277"/>
      <c r="X688" s="277"/>
      <c r="Y688" s="277"/>
      <c r="Z688" s="277"/>
    </row>
    <row r="689" ht="12.75" customHeight="1">
      <c r="A689" s="277"/>
      <c r="B689" s="278"/>
      <c r="C689" s="277"/>
      <c r="D689" s="277"/>
      <c r="E689" s="277"/>
      <c r="F689" s="277"/>
      <c r="G689" s="277"/>
      <c r="H689" s="277"/>
      <c r="I689" s="277"/>
      <c r="J689" s="277"/>
      <c r="K689" s="277"/>
      <c r="L689" s="277"/>
      <c r="M689" s="277"/>
      <c r="N689" s="277"/>
      <c r="O689" s="277"/>
      <c r="P689" s="277"/>
      <c r="Q689" s="277"/>
      <c r="R689" s="277"/>
      <c r="S689" s="410"/>
      <c r="T689" s="277"/>
      <c r="U689" s="277"/>
      <c r="V689" s="277"/>
      <c r="W689" s="277"/>
      <c r="X689" s="277"/>
      <c r="Y689" s="277"/>
      <c r="Z689" s="277"/>
    </row>
    <row r="690" ht="12.75" customHeight="1">
      <c r="A690" s="277"/>
      <c r="B690" s="278"/>
      <c r="C690" s="277"/>
      <c r="D690" s="277"/>
      <c r="E690" s="277"/>
      <c r="F690" s="277"/>
      <c r="G690" s="277"/>
      <c r="H690" s="277"/>
      <c r="I690" s="277"/>
      <c r="J690" s="277"/>
      <c r="K690" s="277"/>
      <c r="L690" s="277"/>
      <c r="M690" s="277"/>
      <c r="N690" s="277"/>
      <c r="O690" s="277"/>
      <c r="P690" s="277"/>
      <c r="Q690" s="277"/>
      <c r="R690" s="277"/>
      <c r="S690" s="410"/>
      <c r="T690" s="277"/>
      <c r="U690" s="277"/>
      <c r="V690" s="277"/>
      <c r="W690" s="277"/>
      <c r="X690" s="277"/>
      <c r="Y690" s="277"/>
      <c r="Z690" s="277"/>
    </row>
    <row r="691" ht="12.75" customHeight="1">
      <c r="A691" s="277"/>
      <c r="B691" s="278"/>
      <c r="C691" s="277"/>
      <c r="D691" s="277"/>
      <c r="E691" s="277"/>
      <c r="F691" s="277"/>
      <c r="G691" s="277"/>
      <c r="H691" s="277"/>
      <c r="I691" s="277"/>
      <c r="J691" s="277"/>
      <c r="K691" s="277"/>
      <c r="L691" s="277"/>
      <c r="M691" s="277"/>
      <c r="N691" s="277"/>
      <c r="O691" s="277"/>
      <c r="P691" s="277"/>
      <c r="Q691" s="277"/>
      <c r="R691" s="277"/>
      <c r="S691" s="410"/>
      <c r="T691" s="277"/>
      <c r="U691" s="277"/>
      <c r="V691" s="277"/>
      <c r="W691" s="277"/>
      <c r="X691" s="277"/>
      <c r="Y691" s="277"/>
      <c r="Z691" s="277"/>
    </row>
    <row r="692" ht="12.75" customHeight="1">
      <c r="A692" s="277"/>
      <c r="B692" s="278"/>
      <c r="C692" s="277"/>
      <c r="D692" s="277"/>
      <c r="E692" s="277"/>
      <c r="F692" s="277"/>
      <c r="G692" s="277"/>
      <c r="H692" s="277"/>
      <c r="I692" s="277"/>
      <c r="J692" s="277"/>
      <c r="K692" s="277"/>
      <c r="L692" s="277"/>
      <c r="M692" s="277"/>
      <c r="N692" s="277"/>
      <c r="O692" s="277"/>
      <c r="P692" s="277"/>
      <c r="Q692" s="277"/>
      <c r="R692" s="277"/>
      <c r="S692" s="410"/>
      <c r="T692" s="277"/>
      <c r="U692" s="277"/>
      <c r="V692" s="277"/>
      <c r="W692" s="277"/>
      <c r="X692" s="277"/>
      <c r="Y692" s="277"/>
      <c r="Z692" s="277"/>
    </row>
    <row r="693" ht="12.75" customHeight="1">
      <c r="A693" s="277"/>
      <c r="B693" s="278"/>
      <c r="C693" s="277"/>
      <c r="D693" s="277"/>
      <c r="E693" s="277"/>
      <c r="F693" s="277"/>
      <c r="G693" s="277"/>
      <c r="H693" s="277"/>
      <c r="I693" s="277"/>
      <c r="J693" s="277"/>
      <c r="K693" s="277"/>
      <c r="L693" s="277"/>
      <c r="M693" s="277"/>
      <c r="N693" s="277"/>
      <c r="O693" s="277"/>
      <c r="P693" s="277"/>
      <c r="Q693" s="277"/>
      <c r="R693" s="277"/>
      <c r="S693" s="410"/>
      <c r="T693" s="277"/>
      <c r="U693" s="277"/>
      <c r="V693" s="277"/>
      <c r="W693" s="277"/>
      <c r="X693" s="277"/>
      <c r="Y693" s="277"/>
      <c r="Z693" s="277"/>
    </row>
    <row r="694" ht="12.75" customHeight="1">
      <c r="A694" s="277"/>
      <c r="B694" s="278"/>
      <c r="C694" s="277"/>
      <c r="D694" s="277"/>
      <c r="E694" s="277"/>
      <c r="F694" s="277"/>
      <c r="G694" s="277"/>
      <c r="H694" s="277"/>
      <c r="I694" s="277"/>
      <c r="J694" s="277"/>
      <c r="K694" s="277"/>
      <c r="L694" s="277"/>
      <c r="M694" s="277"/>
      <c r="N694" s="277"/>
      <c r="O694" s="277"/>
      <c r="P694" s="277"/>
      <c r="Q694" s="277"/>
      <c r="R694" s="277"/>
      <c r="S694" s="410"/>
      <c r="T694" s="277"/>
      <c r="U694" s="277"/>
      <c r="V694" s="277"/>
      <c r="W694" s="277"/>
      <c r="X694" s="277"/>
      <c r="Y694" s="277"/>
      <c r="Z694" s="277"/>
    </row>
    <row r="695" ht="12.75" customHeight="1">
      <c r="A695" s="277"/>
      <c r="B695" s="278"/>
      <c r="C695" s="277"/>
      <c r="D695" s="277"/>
      <c r="E695" s="277"/>
      <c r="F695" s="277"/>
      <c r="G695" s="277"/>
      <c r="H695" s="277"/>
      <c r="I695" s="277"/>
      <c r="J695" s="277"/>
      <c r="K695" s="277"/>
      <c r="L695" s="277"/>
      <c r="M695" s="277"/>
      <c r="N695" s="277"/>
      <c r="O695" s="277"/>
      <c r="P695" s="277"/>
      <c r="Q695" s="277"/>
      <c r="R695" s="277"/>
      <c r="S695" s="410"/>
      <c r="T695" s="277"/>
      <c r="U695" s="277"/>
      <c r="V695" s="277"/>
      <c r="W695" s="277"/>
      <c r="X695" s="277"/>
      <c r="Y695" s="277"/>
      <c r="Z695" s="277"/>
    </row>
    <row r="696" ht="12.75" customHeight="1">
      <c r="A696" s="277"/>
      <c r="B696" s="278"/>
      <c r="C696" s="277"/>
      <c r="D696" s="277"/>
      <c r="E696" s="277"/>
      <c r="F696" s="277"/>
      <c r="G696" s="277"/>
      <c r="H696" s="277"/>
      <c r="I696" s="277"/>
      <c r="J696" s="277"/>
      <c r="K696" s="277"/>
      <c r="L696" s="277"/>
      <c r="M696" s="277"/>
      <c r="N696" s="277"/>
      <c r="O696" s="277"/>
      <c r="P696" s="277"/>
      <c r="Q696" s="277"/>
      <c r="R696" s="277"/>
      <c r="S696" s="410"/>
      <c r="T696" s="277"/>
      <c r="U696" s="277"/>
      <c r="V696" s="277"/>
      <c r="W696" s="277"/>
      <c r="X696" s="277"/>
      <c r="Y696" s="277"/>
      <c r="Z696" s="277"/>
    </row>
    <row r="697" ht="12.75" customHeight="1">
      <c r="A697" s="277"/>
      <c r="B697" s="278"/>
      <c r="C697" s="277"/>
      <c r="D697" s="277"/>
      <c r="E697" s="277"/>
      <c r="F697" s="277"/>
      <c r="G697" s="277"/>
      <c r="H697" s="277"/>
      <c r="I697" s="277"/>
      <c r="J697" s="277"/>
      <c r="K697" s="277"/>
      <c r="L697" s="277"/>
      <c r="M697" s="277"/>
      <c r="N697" s="277"/>
      <c r="O697" s="277"/>
      <c r="P697" s="277"/>
      <c r="Q697" s="277"/>
      <c r="R697" s="277"/>
      <c r="S697" s="410"/>
      <c r="T697" s="277"/>
      <c r="U697" s="277"/>
      <c r="V697" s="277"/>
      <c r="W697" s="277"/>
      <c r="X697" s="277"/>
      <c r="Y697" s="277"/>
      <c r="Z697" s="277"/>
    </row>
    <row r="698" ht="12.75" customHeight="1">
      <c r="A698" s="277"/>
      <c r="B698" s="278"/>
      <c r="C698" s="277"/>
      <c r="D698" s="277"/>
      <c r="E698" s="277"/>
      <c r="F698" s="277"/>
      <c r="G698" s="277"/>
      <c r="H698" s="277"/>
      <c r="I698" s="277"/>
      <c r="J698" s="277"/>
      <c r="K698" s="277"/>
      <c r="L698" s="277"/>
      <c r="M698" s="277"/>
      <c r="N698" s="277"/>
      <c r="O698" s="277"/>
      <c r="P698" s="277"/>
      <c r="Q698" s="277"/>
      <c r="R698" s="277"/>
      <c r="S698" s="410"/>
      <c r="T698" s="277"/>
      <c r="U698" s="277"/>
      <c r="V698" s="277"/>
      <c r="W698" s="277"/>
      <c r="X698" s="277"/>
      <c r="Y698" s="277"/>
      <c r="Z698" s="277"/>
    </row>
    <row r="699" ht="12.75" customHeight="1">
      <c r="A699" s="277"/>
      <c r="B699" s="278"/>
      <c r="C699" s="277"/>
      <c r="D699" s="277"/>
      <c r="E699" s="277"/>
      <c r="F699" s="277"/>
      <c r="G699" s="277"/>
      <c r="H699" s="277"/>
      <c r="I699" s="277"/>
      <c r="J699" s="277"/>
      <c r="K699" s="277"/>
      <c r="L699" s="277"/>
      <c r="M699" s="277"/>
      <c r="N699" s="277"/>
      <c r="O699" s="277"/>
      <c r="P699" s="277"/>
      <c r="Q699" s="277"/>
      <c r="R699" s="277"/>
      <c r="S699" s="410"/>
      <c r="T699" s="277"/>
      <c r="U699" s="277"/>
      <c r="V699" s="277"/>
      <c r="W699" s="277"/>
      <c r="X699" s="277"/>
      <c r="Y699" s="277"/>
      <c r="Z699" s="277"/>
    </row>
    <row r="700" ht="12.75" customHeight="1">
      <c r="A700" s="277"/>
      <c r="B700" s="278"/>
      <c r="C700" s="277"/>
      <c r="D700" s="277"/>
      <c r="E700" s="277"/>
      <c r="F700" s="277"/>
      <c r="G700" s="277"/>
      <c r="H700" s="277"/>
      <c r="I700" s="277"/>
      <c r="J700" s="277"/>
      <c r="K700" s="277"/>
      <c r="L700" s="277"/>
      <c r="M700" s="277"/>
      <c r="N700" s="277"/>
      <c r="O700" s="277"/>
      <c r="P700" s="277"/>
      <c r="Q700" s="277"/>
      <c r="R700" s="277"/>
      <c r="S700" s="410"/>
      <c r="T700" s="277"/>
      <c r="U700" s="277"/>
      <c r="V700" s="277"/>
      <c r="W700" s="277"/>
      <c r="X700" s="277"/>
      <c r="Y700" s="277"/>
      <c r="Z700" s="277"/>
    </row>
    <row r="701" ht="12.75" customHeight="1">
      <c r="A701" s="277"/>
      <c r="B701" s="278"/>
      <c r="C701" s="277"/>
      <c r="D701" s="277"/>
      <c r="E701" s="277"/>
      <c r="F701" s="277"/>
      <c r="G701" s="277"/>
      <c r="H701" s="277"/>
      <c r="I701" s="277"/>
      <c r="J701" s="277"/>
      <c r="K701" s="277"/>
      <c r="L701" s="277"/>
      <c r="M701" s="277"/>
      <c r="N701" s="277"/>
      <c r="O701" s="277"/>
      <c r="P701" s="277"/>
      <c r="Q701" s="277"/>
      <c r="R701" s="277"/>
      <c r="S701" s="410"/>
      <c r="T701" s="277"/>
      <c r="U701" s="277"/>
      <c r="V701" s="277"/>
      <c r="W701" s="277"/>
      <c r="X701" s="277"/>
      <c r="Y701" s="277"/>
      <c r="Z701" s="277"/>
    </row>
    <row r="702" ht="12.75" customHeight="1">
      <c r="A702" s="277"/>
      <c r="B702" s="278"/>
      <c r="C702" s="277"/>
      <c r="D702" s="277"/>
      <c r="E702" s="277"/>
      <c r="F702" s="277"/>
      <c r="G702" s="277"/>
      <c r="H702" s="277"/>
      <c r="I702" s="277"/>
      <c r="J702" s="277"/>
      <c r="K702" s="277"/>
      <c r="L702" s="277"/>
      <c r="M702" s="277"/>
      <c r="N702" s="277"/>
      <c r="O702" s="277"/>
      <c r="P702" s="277"/>
      <c r="Q702" s="277"/>
      <c r="R702" s="277"/>
      <c r="S702" s="410"/>
      <c r="T702" s="277"/>
      <c r="U702" s="277"/>
      <c r="V702" s="277"/>
      <c r="W702" s="277"/>
      <c r="X702" s="277"/>
      <c r="Y702" s="277"/>
      <c r="Z702" s="277"/>
    </row>
    <row r="703" ht="12.75" customHeight="1">
      <c r="A703" s="277"/>
      <c r="B703" s="278"/>
      <c r="C703" s="277"/>
      <c r="D703" s="277"/>
      <c r="E703" s="277"/>
      <c r="F703" s="277"/>
      <c r="G703" s="277"/>
      <c r="H703" s="277"/>
      <c r="I703" s="277"/>
      <c r="J703" s="277"/>
      <c r="K703" s="277"/>
      <c r="L703" s="277"/>
      <c r="M703" s="277"/>
      <c r="N703" s="277"/>
      <c r="O703" s="277"/>
      <c r="P703" s="277"/>
      <c r="Q703" s="277"/>
      <c r="R703" s="277"/>
      <c r="S703" s="410"/>
      <c r="T703" s="277"/>
      <c r="U703" s="277"/>
      <c r="V703" s="277"/>
      <c r="W703" s="277"/>
      <c r="X703" s="277"/>
      <c r="Y703" s="277"/>
      <c r="Z703" s="277"/>
    </row>
    <row r="704" ht="12.75" customHeight="1">
      <c r="A704" s="277"/>
      <c r="B704" s="278"/>
      <c r="C704" s="277"/>
      <c r="D704" s="277"/>
      <c r="E704" s="277"/>
      <c r="F704" s="277"/>
      <c r="G704" s="277"/>
      <c r="H704" s="277"/>
      <c r="I704" s="277"/>
      <c r="J704" s="277"/>
      <c r="K704" s="277"/>
      <c r="L704" s="277"/>
      <c r="M704" s="277"/>
      <c r="N704" s="277"/>
      <c r="O704" s="277"/>
      <c r="P704" s="277"/>
      <c r="Q704" s="277"/>
      <c r="R704" s="277"/>
      <c r="S704" s="410"/>
      <c r="T704" s="277"/>
      <c r="U704" s="277"/>
      <c r="V704" s="277"/>
      <c r="W704" s="277"/>
      <c r="X704" s="277"/>
      <c r="Y704" s="277"/>
      <c r="Z704" s="277"/>
    </row>
    <row r="705" ht="12.75" customHeight="1">
      <c r="A705" s="277"/>
      <c r="B705" s="278"/>
      <c r="C705" s="277"/>
      <c r="D705" s="277"/>
      <c r="E705" s="277"/>
      <c r="F705" s="277"/>
      <c r="G705" s="277"/>
      <c r="H705" s="277"/>
      <c r="I705" s="277"/>
      <c r="J705" s="277"/>
      <c r="K705" s="277"/>
      <c r="L705" s="277"/>
      <c r="M705" s="277"/>
      <c r="N705" s="277"/>
      <c r="O705" s="277"/>
      <c r="P705" s="277"/>
      <c r="Q705" s="277"/>
      <c r="R705" s="277"/>
      <c r="S705" s="410"/>
      <c r="T705" s="277"/>
      <c r="U705" s="277"/>
      <c r="V705" s="277"/>
      <c r="W705" s="277"/>
      <c r="X705" s="277"/>
      <c r="Y705" s="277"/>
      <c r="Z705" s="277"/>
    </row>
    <row r="706" ht="12.75" customHeight="1">
      <c r="A706" s="277"/>
      <c r="B706" s="278"/>
      <c r="C706" s="277"/>
      <c r="D706" s="277"/>
      <c r="E706" s="277"/>
      <c r="F706" s="277"/>
      <c r="G706" s="277"/>
      <c r="H706" s="277"/>
      <c r="I706" s="277"/>
      <c r="J706" s="277"/>
      <c r="K706" s="277"/>
      <c r="L706" s="277"/>
      <c r="M706" s="277"/>
      <c r="N706" s="277"/>
      <c r="O706" s="277"/>
      <c r="P706" s="277"/>
      <c r="Q706" s="277"/>
      <c r="R706" s="277"/>
      <c r="S706" s="410"/>
      <c r="T706" s="277"/>
      <c r="U706" s="277"/>
      <c r="V706" s="277"/>
      <c r="W706" s="277"/>
      <c r="X706" s="277"/>
      <c r="Y706" s="277"/>
      <c r="Z706" s="277"/>
    </row>
    <row r="707" ht="12.75" customHeight="1">
      <c r="A707" s="277"/>
      <c r="B707" s="278"/>
      <c r="C707" s="277"/>
      <c r="D707" s="277"/>
      <c r="E707" s="277"/>
      <c r="F707" s="277"/>
      <c r="G707" s="277"/>
      <c r="H707" s="277"/>
      <c r="I707" s="277"/>
      <c r="J707" s="277"/>
      <c r="K707" s="277"/>
      <c r="L707" s="277"/>
      <c r="M707" s="277"/>
      <c r="N707" s="277"/>
      <c r="O707" s="277"/>
      <c r="P707" s="277"/>
      <c r="Q707" s="277"/>
      <c r="R707" s="277"/>
      <c r="S707" s="410"/>
      <c r="T707" s="277"/>
      <c r="U707" s="277"/>
      <c r="V707" s="277"/>
      <c r="W707" s="277"/>
      <c r="X707" s="277"/>
      <c r="Y707" s="277"/>
      <c r="Z707" s="277"/>
    </row>
    <row r="708" ht="12.75" customHeight="1">
      <c r="A708" s="277"/>
      <c r="B708" s="278"/>
      <c r="C708" s="277"/>
      <c r="D708" s="277"/>
      <c r="E708" s="277"/>
      <c r="F708" s="277"/>
      <c r="G708" s="277"/>
      <c r="H708" s="277"/>
      <c r="I708" s="277"/>
      <c r="J708" s="277"/>
      <c r="K708" s="277"/>
      <c r="L708" s="277"/>
      <c r="M708" s="277"/>
      <c r="N708" s="277"/>
      <c r="O708" s="277"/>
      <c r="P708" s="277"/>
      <c r="Q708" s="277"/>
      <c r="R708" s="277"/>
      <c r="S708" s="410"/>
      <c r="T708" s="277"/>
      <c r="U708" s="277"/>
      <c r="V708" s="277"/>
      <c r="W708" s="277"/>
      <c r="X708" s="277"/>
      <c r="Y708" s="277"/>
      <c r="Z708" s="277"/>
    </row>
    <row r="709" ht="12.75" customHeight="1">
      <c r="A709" s="277"/>
      <c r="B709" s="278"/>
      <c r="C709" s="277"/>
      <c r="D709" s="277"/>
      <c r="E709" s="277"/>
      <c r="F709" s="277"/>
      <c r="G709" s="277"/>
      <c r="H709" s="277"/>
      <c r="I709" s="277"/>
      <c r="J709" s="277"/>
      <c r="K709" s="277"/>
      <c r="L709" s="277"/>
      <c r="M709" s="277"/>
      <c r="N709" s="277"/>
      <c r="O709" s="277"/>
      <c r="P709" s="277"/>
      <c r="Q709" s="277"/>
      <c r="R709" s="277"/>
      <c r="S709" s="410"/>
      <c r="T709" s="277"/>
      <c r="U709" s="277"/>
      <c r="V709" s="277"/>
      <c r="W709" s="277"/>
      <c r="X709" s="277"/>
      <c r="Y709" s="277"/>
      <c r="Z709" s="277"/>
    </row>
    <row r="710" ht="12.75" customHeight="1">
      <c r="A710" s="277"/>
      <c r="B710" s="278"/>
      <c r="C710" s="277"/>
      <c r="D710" s="277"/>
      <c r="E710" s="277"/>
      <c r="F710" s="277"/>
      <c r="G710" s="277"/>
      <c r="H710" s="277"/>
      <c r="I710" s="277"/>
      <c r="J710" s="277"/>
      <c r="K710" s="277"/>
      <c r="L710" s="277"/>
      <c r="M710" s="277"/>
      <c r="N710" s="277"/>
      <c r="O710" s="277"/>
      <c r="P710" s="277"/>
      <c r="Q710" s="277"/>
      <c r="R710" s="277"/>
      <c r="S710" s="410"/>
      <c r="T710" s="277"/>
      <c r="U710" s="277"/>
      <c r="V710" s="277"/>
      <c r="W710" s="277"/>
      <c r="X710" s="277"/>
      <c r="Y710" s="277"/>
      <c r="Z710" s="277"/>
    </row>
    <row r="711" ht="12.75" customHeight="1">
      <c r="A711" s="277"/>
      <c r="B711" s="278"/>
      <c r="C711" s="277"/>
      <c r="D711" s="277"/>
      <c r="E711" s="277"/>
      <c r="F711" s="277"/>
      <c r="G711" s="277"/>
      <c r="H711" s="277"/>
      <c r="I711" s="277"/>
      <c r="J711" s="277"/>
      <c r="K711" s="277"/>
      <c r="L711" s="277"/>
      <c r="M711" s="277"/>
      <c r="N711" s="277"/>
      <c r="O711" s="277"/>
      <c r="P711" s="277"/>
      <c r="Q711" s="277"/>
      <c r="R711" s="277"/>
      <c r="S711" s="410"/>
      <c r="T711" s="277"/>
      <c r="U711" s="277"/>
      <c r="V711" s="277"/>
      <c r="W711" s="277"/>
      <c r="X711" s="277"/>
      <c r="Y711" s="277"/>
      <c r="Z711" s="277"/>
    </row>
    <row r="712" ht="12.75" customHeight="1">
      <c r="A712" s="277"/>
      <c r="B712" s="278"/>
      <c r="C712" s="277"/>
      <c r="D712" s="277"/>
      <c r="E712" s="277"/>
      <c r="F712" s="277"/>
      <c r="G712" s="277"/>
      <c r="H712" s="277"/>
      <c r="I712" s="277"/>
      <c r="J712" s="277"/>
      <c r="K712" s="277"/>
      <c r="L712" s="277"/>
      <c r="M712" s="277"/>
      <c r="N712" s="277"/>
      <c r="O712" s="277"/>
      <c r="P712" s="277"/>
      <c r="Q712" s="277"/>
      <c r="R712" s="277"/>
      <c r="S712" s="410"/>
      <c r="T712" s="277"/>
      <c r="U712" s="277"/>
      <c r="V712" s="277"/>
      <c r="W712" s="277"/>
      <c r="X712" s="277"/>
      <c r="Y712" s="277"/>
      <c r="Z712" s="277"/>
    </row>
    <row r="713" ht="12.75" customHeight="1">
      <c r="A713" s="277"/>
      <c r="B713" s="278"/>
      <c r="C713" s="277"/>
      <c r="D713" s="277"/>
      <c r="E713" s="277"/>
      <c r="F713" s="277"/>
      <c r="G713" s="277"/>
      <c r="H713" s="277"/>
      <c r="I713" s="277"/>
      <c r="J713" s="277"/>
      <c r="K713" s="277"/>
      <c r="L713" s="277"/>
      <c r="M713" s="277"/>
      <c r="N713" s="277"/>
      <c r="O713" s="277"/>
      <c r="P713" s="277"/>
      <c r="Q713" s="277"/>
      <c r="R713" s="277"/>
      <c r="S713" s="410"/>
      <c r="T713" s="277"/>
      <c r="U713" s="277"/>
      <c r="V713" s="277"/>
      <c r="W713" s="277"/>
      <c r="X713" s="277"/>
      <c r="Y713" s="277"/>
      <c r="Z713" s="277"/>
    </row>
    <row r="714" ht="12.75" customHeight="1">
      <c r="A714" s="277"/>
      <c r="B714" s="278"/>
      <c r="C714" s="277"/>
      <c r="D714" s="277"/>
      <c r="E714" s="277"/>
      <c r="F714" s="277"/>
      <c r="G714" s="277"/>
      <c r="H714" s="277"/>
      <c r="I714" s="277"/>
      <c r="J714" s="277"/>
      <c r="K714" s="277"/>
      <c r="L714" s="277"/>
      <c r="M714" s="277"/>
      <c r="N714" s="277"/>
      <c r="O714" s="277"/>
      <c r="P714" s="277"/>
      <c r="Q714" s="277"/>
      <c r="R714" s="277"/>
      <c r="S714" s="410"/>
      <c r="T714" s="277"/>
      <c r="U714" s="277"/>
      <c r="V714" s="277"/>
      <c r="W714" s="277"/>
      <c r="X714" s="277"/>
      <c r="Y714" s="277"/>
      <c r="Z714" s="277"/>
    </row>
    <row r="715" ht="12.75" customHeight="1">
      <c r="A715" s="277"/>
      <c r="B715" s="278"/>
      <c r="C715" s="277"/>
      <c r="D715" s="277"/>
      <c r="E715" s="277"/>
      <c r="F715" s="277"/>
      <c r="G715" s="277"/>
      <c r="H715" s="277"/>
      <c r="I715" s="277"/>
      <c r="J715" s="277"/>
      <c r="K715" s="277"/>
      <c r="L715" s="277"/>
      <c r="M715" s="277"/>
      <c r="N715" s="277"/>
      <c r="O715" s="277"/>
      <c r="P715" s="277"/>
      <c r="Q715" s="277"/>
      <c r="R715" s="277"/>
      <c r="S715" s="410"/>
      <c r="T715" s="277"/>
      <c r="U715" s="277"/>
      <c r="V715" s="277"/>
      <c r="W715" s="277"/>
      <c r="X715" s="277"/>
      <c r="Y715" s="277"/>
      <c r="Z715" s="277"/>
    </row>
    <row r="716" ht="12.75" customHeight="1">
      <c r="A716" s="277"/>
      <c r="B716" s="278"/>
      <c r="C716" s="277"/>
      <c r="D716" s="277"/>
      <c r="E716" s="277"/>
      <c r="F716" s="277"/>
      <c r="G716" s="277"/>
      <c r="H716" s="277"/>
      <c r="I716" s="277"/>
      <c r="J716" s="277"/>
      <c r="K716" s="277"/>
      <c r="L716" s="277"/>
      <c r="M716" s="277"/>
      <c r="N716" s="277"/>
      <c r="O716" s="277"/>
      <c r="P716" s="277"/>
      <c r="Q716" s="277"/>
      <c r="R716" s="277"/>
      <c r="S716" s="410"/>
      <c r="T716" s="277"/>
      <c r="U716" s="277"/>
      <c r="V716" s="277"/>
      <c r="W716" s="277"/>
      <c r="X716" s="277"/>
      <c r="Y716" s="277"/>
      <c r="Z716" s="277"/>
    </row>
    <row r="717" ht="12.75" customHeight="1">
      <c r="A717" s="277"/>
      <c r="B717" s="278"/>
      <c r="C717" s="277"/>
      <c r="D717" s="277"/>
      <c r="E717" s="277"/>
      <c r="F717" s="277"/>
      <c r="G717" s="277"/>
      <c r="H717" s="277"/>
      <c r="I717" s="277"/>
      <c r="J717" s="277"/>
      <c r="K717" s="277"/>
      <c r="L717" s="277"/>
      <c r="M717" s="277"/>
      <c r="N717" s="277"/>
      <c r="O717" s="277"/>
      <c r="P717" s="277"/>
      <c r="Q717" s="277"/>
      <c r="R717" s="277"/>
      <c r="S717" s="410"/>
      <c r="T717" s="277"/>
      <c r="U717" s="277"/>
      <c r="V717" s="277"/>
      <c r="W717" s="277"/>
      <c r="X717" s="277"/>
      <c r="Y717" s="277"/>
      <c r="Z717" s="277"/>
    </row>
    <row r="718" ht="12.75" customHeight="1">
      <c r="A718" s="277"/>
      <c r="B718" s="278"/>
      <c r="C718" s="277"/>
      <c r="D718" s="277"/>
      <c r="E718" s="277"/>
      <c r="F718" s="277"/>
      <c r="G718" s="277"/>
      <c r="H718" s="277"/>
      <c r="I718" s="277"/>
      <c r="J718" s="277"/>
      <c r="K718" s="277"/>
      <c r="L718" s="277"/>
      <c r="M718" s="277"/>
      <c r="N718" s="277"/>
      <c r="O718" s="277"/>
      <c r="P718" s="277"/>
      <c r="Q718" s="277"/>
      <c r="R718" s="277"/>
      <c r="S718" s="410"/>
      <c r="T718" s="277"/>
      <c r="U718" s="277"/>
      <c r="V718" s="277"/>
      <c r="W718" s="277"/>
      <c r="X718" s="277"/>
      <c r="Y718" s="277"/>
      <c r="Z718" s="277"/>
    </row>
    <row r="719" ht="12.75" customHeight="1">
      <c r="A719" s="277"/>
      <c r="B719" s="278"/>
      <c r="C719" s="277"/>
      <c r="D719" s="277"/>
      <c r="E719" s="277"/>
      <c r="F719" s="277"/>
      <c r="G719" s="277"/>
      <c r="H719" s="277"/>
      <c r="I719" s="277"/>
      <c r="J719" s="277"/>
      <c r="K719" s="277"/>
      <c r="L719" s="277"/>
      <c r="M719" s="277"/>
      <c r="N719" s="277"/>
      <c r="O719" s="277"/>
      <c r="P719" s="277"/>
      <c r="Q719" s="277"/>
      <c r="R719" s="277"/>
      <c r="S719" s="410"/>
      <c r="T719" s="277"/>
      <c r="U719" s="277"/>
      <c r="V719" s="277"/>
      <c r="W719" s="277"/>
      <c r="X719" s="277"/>
      <c r="Y719" s="277"/>
      <c r="Z719" s="277"/>
    </row>
    <row r="720" ht="12.75" customHeight="1">
      <c r="A720" s="277"/>
      <c r="B720" s="278"/>
      <c r="C720" s="277"/>
      <c r="D720" s="277"/>
      <c r="E720" s="277"/>
      <c r="F720" s="277"/>
      <c r="G720" s="277"/>
      <c r="H720" s="277"/>
      <c r="I720" s="277"/>
      <c r="J720" s="277"/>
      <c r="K720" s="277"/>
      <c r="L720" s="277"/>
      <c r="M720" s="277"/>
      <c r="N720" s="277"/>
      <c r="O720" s="277"/>
      <c r="P720" s="277"/>
      <c r="Q720" s="277"/>
      <c r="R720" s="277"/>
      <c r="S720" s="410"/>
      <c r="T720" s="277"/>
      <c r="U720" s="277"/>
      <c r="V720" s="277"/>
      <c r="W720" s="277"/>
      <c r="X720" s="277"/>
      <c r="Y720" s="277"/>
      <c r="Z720" s="277"/>
    </row>
    <row r="721" ht="12.75" customHeight="1">
      <c r="A721" s="277"/>
      <c r="B721" s="278"/>
      <c r="C721" s="277"/>
      <c r="D721" s="277"/>
      <c r="E721" s="277"/>
      <c r="F721" s="277"/>
      <c r="G721" s="277"/>
      <c r="H721" s="277"/>
      <c r="I721" s="277"/>
      <c r="J721" s="277"/>
      <c r="K721" s="277"/>
      <c r="L721" s="277"/>
      <c r="M721" s="277"/>
      <c r="N721" s="277"/>
      <c r="O721" s="277"/>
      <c r="P721" s="277"/>
      <c r="Q721" s="277"/>
      <c r="R721" s="277"/>
      <c r="S721" s="410"/>
      <c r="T721" s="277"/>
      <c r="U721" s="277"/>
      <c r="V721" s="277"/>
      <c r="W721" s="277"/>
      <c r="X721" s="277"/>
      <c r="Y721" s="277"/>
      <c r="Z721" s="277"/>
    </row>
    <row r="722" ht="12.75" customHeight="1">
      <c r="A722" s="277"/>
      <c r="B722" s="278"/>
      <c r="C722" s="277"/>
      <c r="D722" s="277"/>
      <c r="E722" s="277"/>
      <c r="F722" s="277"/>
      <c r="G722" s="277"/>
      <c r="H722" s="277"/>
      <c r="I722" s="277"/>
      <c r="J722" s="277"/>
      <c r="K722" s="277"/>
      <c r="L722" s="277"/>
      <c r="M722" s="277"/>
      <c r="N722" s="277"/>
      <c r="O722" s="277"/>
      <c r="P722" s="277"/>
      <c r="Q722" s="277"/>
      <c r="R722" s="277"/>
      <c r="S722" s="410"/>
      <c r="T722" s="277"/>
      <c r="U722" s="277"/>
      <c r="V722" s="277"/>
      <c r="W722" s="277"/>
      <c r="X722" s="277"/>
      <c r="Y722" s="277"/>
      <c r="Z722" s="277"/>
    </row>
    <row r="723" ht="12.75" customHeight="1">
      <c r="A723" s="277"/>
      <c r="B723" s="278"/>
      <c r="C723" s="277"/>
      <c r="D723" s="277"/>
      <c r="E723" s="277"/>
      <c r="F723" s="277"/>
      <c r="G723" s="277"/>
      <c r="H723" s="277"/>
      <c r="I723" s="277"/>
      <c r="J723" s="277"/>
      <c r="K723" s="277"/>
      <c r="L723" s="277"/>
      <c r="M723" s="277"/>
      <c r="N723" s="277"/>
      <c r="O723" s="277"/>
      <c r="P723" s="277"/>
      <c r="Q723" s="277"/>
      <c r="R723" s="277"/>
      <c r="S723" s="410"/>
      <c r="T723" s="277"/>
      <c r="U723" s="277"/>
      <c r="V723" s="277"/>
      <c r="W723" s="277"/>
      <c r="X723" s="277"/>
      <c r="Y723" s="277"/>
      <c r="Z723" s="277"/>
    </row>
    <row r="724" ht="12.75" customHeight="1">
      <c r="A724" s="277"/>
      <c r="B724" s="278"/>
      <c r="C724" s="277"/>
      <c r="D724" s="277"/>
      <c r="E724" s="277"/>
      <c r="F724" s="277"/>
      <c r="G724" s="277"/>
      <c r="H724" s="277"/>
      <c r="I724" s="277"/>
      <c r="J724" s="277"/>
      <c r="K724" s="277"/>
      <c r="L724" s="277"/>
      <c r="M724" s="277"/>
      <c r="N724" s="277"/>
      <c r="O724" s="277"/>
      <c r="P724" s="277"/>
      <c r="Q724" s="277"/>
      <c r="R724" s="277"/>
      <c r="S724" s="410"/>
      <c r="T724" s="277"/>
      <c r="U724" s="277"/>
      <c r="V724" s="277"/>
      <c r="W724" s="277"/>
      <c r="X724" s="277"/>
      <c r="Y724" s="277"/>
      <c r="Z724" s="277"/>
    </row>
    <row r="725" ht="12.75" customHeight="1">
      <c r="A725" s="277"/>
      <c r="B725" s="278"/>
      <c r="C725" s="277"/>
      <c r="D725" s="277"/>
      <c r="E725" s="277"/>
      <c r="F725" s="277"/>
      <c r="G725" s="277"/>
      <c r="H725" s="277"/>
      <c r="I725" s="277"/>
      <c r="J725" s="277"/>
      <c r="K725" s="277"/>
      <c r="L725" s="277"/>
      <c r="M725" s="277"/>
      <c r="N725" s="277"/>
      <c r="O725" s="277"/>
      <c r="P725" s="277"/>
      <c r="Q725" s="277"/>
      <c r="R725" s="277"/>
      <c r="S725" s="410"/>
      <c r="T725" s="277"/>
      <c r="U725" s="277"/>
      <c r="V725" s="277"/>
      <c r="W725" s="277"/>
      <c r="X725" s="277"/>
      <c r="Y725" s="277"/>
      <c r="Z725" s="277"/>
    </row>
    <row r="726" ht="12.75" customHeight="1">
      <c r="A726" s="277"/>
      <c r="B726" s="278"/>
      <c r="C726" s="277"/>
      <c r="D726" s="277"/>
      <c r="E726" s="277"/>
      <c r="F726" s="277"/>
      <c r="G726" s="277"/>
      <c r="H726" s="277"/>
      <c r="I726" s="277"/>
      <c r="J726" s="277"/>
      <c r="K726" s="277"/>
      <c r="L726" s="277"/>
      <c r="M726" s="277"/>
      <c r="N726" s="277"/>
      <c r="O726" s="277"/>
      <c r="P726" s="277"/>
      <c r="Q726" s="277"/>
      <c r="R726" s="277"/>
      <c r="S726" s="410"/>
      <c r="T726" s="277"/>
      <c r="U726" s="277"/>
      <c r="V726" s="277"/>
      <c r="W726" s="277"/>
      <c r="X726" s="277"/>
      <c r="Y726" s="277"/>
      <c r="Z726" s="277"/>
    </row>
    <row r="727" ht="12.75" customHeight="1">
      <c r="A727" s="277"/>
      <c r="B727" s="278"/>
      <c r="C727" s="277"/>
      <c r="D727" s="277"/>
      <c r="E727" s="277"/>
      <c r="F727" s="277"/>
      <c r="G727" s="277"/>
      <c r="H727" s="277"/>
      <c r="I727" s="277"/>
      <c r="J727" s="277"/>
      <c r="K727" s="277"/>
      <c r="L727" s="277"/>
      <c r="M727" s="277"/>
      <c r="N727" s="277"/>
      <c r="O727" s="277"/>
      <c r="P727" s="277"/>
      <c r="Q727" s="277"/>
      <c r="R727" s="277"/>
      <c r="S727" s="410"/>
      <c r="T727" s="277"/>
      <c r="U727" s="277"/>
      <c r="V727" s="277"/>
      <c r="W727" s="277"/>
      <c r="X727" s="277"/>
      <c r="Y727" s="277"/>
      <c r="Z727" s="277"/>
    </row>
    <row r="728" ht="12.75" customHeight="1">
      <c r="A728" s="277"/>
      <c r="B728" s="278"/>
      <c r="C728" s="277"/>
      <c r="D728" s="277"/>
      <c r="E728" s="277"/>
      <c r="F728" s="277"/>
      <c r="G728" s="277"/>
      <c r="H728" s="277"/>
      <c r="I728" s="277"/>
      <c r="J728" s="277"/>
      <c r="K728" s="277"/>
      <c r="L728" s="277"/>
      <c r="M728" s="277"/>
      <c r="N728" s="277"/>
      <c r="O728" s="277"/>
      <c r="P728" s="277"/>
      <c r="Q728" s="277"/>
      <c r="R728" s="277"/>
      <c r="S728" s="410"/>
      <c r="T728" s="277"/>
      <c r="U728" s="277"/>
      <c r="V728" s="277"/>
      <c r="W728" s="277"/>
      <c r="X728" s="277"/>
      <c r="Y728" s="277"/>
      <c r="Z728" s="277"/>
    </row>
    <row r="729" ht="12.75" customHeight="1">
      <c r="A729" s="277"/>
      <c r="B729" s="278"/>
      <c r="C729" s="277"/>
      <c r="D729" s="277"/>
      <c r="E729" s="277"/>
      <c r="F729" s="277"/>
      <c r="G729" s="277"/>
      <c r="H729" s="277"/>
      <c r="I729" s="277"/>
      <c r="J729" s="277"/>
      <c r="K729" s="277"/>
      <c r="L729" s="277"/>
      <c r="M729" s="277"/>
      <c r="N729" s="277"/>
      <c r="O729" s="277"/>
      <c r="P729" s="277"/>
      <c r="Q729" s="277"/>
      <c r="R729" s="277"/>
      <c r="S729" s="410"/>
      <c r="T729" s="277"/>
      <c r="U729" s="277"/>
      <c r="V729" s="277"/>
      <c r="W729" s="277"/>
      <c r="X729" s="277"/>
      <c r="Y729" s="277"/>
      <c r="Z729" s="277"/>
    </row>
    <row r="730" ht="12.75" customHeight="1">
      <c r="A730" s="277"/>
      <c r="B730" s="278"/>
      <c r="C730" s="277"/>
      <c r="D730" s="277"/>
      <c r="E730" s="277"/>
      <c r="F730" s="277"/>
      <c r="G730" s="277"/>
      <c r="H730" s="277"/>
      <c r="I730" s="277"/>
      <c r="J730" s="277"/>
      <c r="K730" s="277"/>
      <c r="L730" s="277"/>
      <c r="M730" s="277"/>
      <c r="N730" s="277"/>
      <c r="O730" s="277"/>
      <c r="P730" s="277"/>
      <c r="Q730" s="277"/>
      <c r="R730" s="277"/>
      <c r="S730" s="410"/>
      <c r="T730" s="277"/>
      <c r="U730" s="277"/>
      <c r="V730" s="277"/>
      <c r="W730" s="277"/>
      <c r="X730" s="277"/>
      <c r="Y730" s="277"/>
      <c r="Z730" s="277"/>
    </row>
    <row r="731" ht="12.75" customHeight="1">
      <c r="A731" s="277"/>
      <c r="B731" s="278"/>
      <c r="C731" s="277"/>
      <c r="D731" s="277"/>
      <c r="E731" s="277"/>
      <c r="F731" s="277"/>
      <c r="G731" s="277"/>
      <c r="H731" s="277"/>
      <c r="I731" s="277"/>
      <c r="J731" s="277"/>
      <c r="K731" s="277"/>
      <c r="L731" s="277"/>
      <c r="M731" s="277"/>
      <c r="N731" s="277"/>
      <c r="O731" s="277"/>
      <c r="P731" s="277"/>
      <c r="Q731" s="277"/>
      <c r="R731" s="277"/>
      <c r="S731" s="410"/>
      <c r="T731" s="277"/>
      <c r="U731" s="277"/>
      <c r="V731" s="277"/>
      <c r="W731" s="277"/>
      <c r="X731" s="277"/>
      <c r="Y731" s="277"/>
      <c r="Z731" s="277"/>
    </row>
    <row r="732" ht="12.75" customHeight="1">
      <c r="A732" s="277"/>
      <c r="B732" s="278"/>
      <c r="C732" s="277"/>
      <c r="D732" s="277"/>
      <c r="E732" s="277"/>
      <c r="F732" s="277"/>
      <c r="G732" s="277"/>
      <c r="H732" s="277"/>
      <c r="I732" s="277"/>
      <c r="J732" s="277"/>
      <c r="K732" s="277"/>
      <c r="L732" s="277"/>
      <c r="M732" s="277"/>
      <c r="N732" s="277"/>
      <c r="O732" s="277"/>
      <c r="P732" s="277"/>
      <c r="Q732" s="277"/>
      <c r="R732" s="277"/>
      <c r="S732" s="410"/>
      <c r="T732" s="277"/>
      <c r="U732" s="277"/>
      <c r="V732" s="277"/>
      <c r="W732" s="277"/>
      <c r="X732" s="277"/>
      <c r="Y732" s="277"/>
      <c r="Z732" s="277"/>
    </row>
    <row r="733" ht="12.75" customHeight="1">
      <c r="A733" s="277"/>
      <c r="B733" s="278"/>
      <c r="C733" s="277"/>
      <c r="D733" s="277"/>
      <c r="E733" s="277"/>
      <c r="F733" s="277"/>
      <c r="G733" s="277"/>
      <c r="H733" s="277"/>
      <c r="I733" s="277"/>
      <c r="J733" s="277"/>
      <c r="K733" s="277"/>
      <c r="L733" s="277"/>
      <c r="M733" s="277"/>
      <c r="N733" s="277"/>
      <c r="O733" s="277"/>
      <c r="P733" s="277"/>
      <c r="Q733" s="277"/>
      <c r="R733" s="277"/>
      <c r="S733" s="410"/>
      <c r="T733" s="277"/>
      <c r="U733" s="277"/>
      <c r="V733" s="277"/>
      <c r="W733" s="277"/>
      <c r="X733" s="277"/>
      <c r="Y733" s="277"/>
      <c r="Z733" s="277"/>
    </row>
    <row r="734" ht="12.75" customHeight="1">
      <c r="A734" s="277"/>
      <c r="B734" s="278"/>
      <c r="C734" s="277"/>
      <c r="D734" s="277"/>
      <c r="E734" s="277"/>
      <c r="F734" s="277"/>
      <c r="G734" s="277"/>
      <c r="H734" s="277"/>
      <c r="I734" s="277"/>
      <c r="J734" s="277"/>
      <c r="K734" s="277"/>
      <c r="L734" s="277"/>
      <c r="M734" s="277"/>
      <c r="N734" s="277"/>
      <c r="O734" s="277"/>
      <c r="P734" s="277"/>
      <c r="Q734" s="277"/>
      <c r="R734" s="277"/>
      <c r="S734" s="410"/>
      <c r="T734" s="277"/>
      <c r="U734" s="277"/>
      <c r="V734" s="277"/>
      <c r="W734" s="277"/>
      <c r="X734" s="277"/>
      <c r="Y734" s="277"/>
      <c r="Z734" s="277"/>
    </row>
    <row r="735" ht="12.75" customHeight="1">
      <c r="A735" s="277"/>
      <c r="B735" s="278"/>
      <c r="C735" s="277"/>
      <c r="D735" s="277"/>
      <c r="E735" s="277"/>
      <c r="F735" s="277"/>
      <c r="G735" s="277"/>
      <c r="H735" s="277"/>
      <c r="I735" s="277"/>
      <c r="J735" s="277"/>
      <c r="K735" s="277"/>
      <c r="L735" s="277"/>
      <c r="M735" s="277"/>
      <c r="N735" s="277"/>
      <c r="O735" s="277"/>
      <c r="P735" s="277"/>
      <c r="Q735" s="277"/>
      <c r="R735" s="277"/>
      <c r="S735" s="410"/>
      <c r="T735" s="277"/>
      <c r="U735" s="277"/>
      <c r="V735" s="277"/>
      <c r="W735" s="277"/>
      <c r="X735" s="277"/>
      <c r="Y735" s="277"/>
      <c r="Z735" s="277"/>
    </row>
    <row r="736" ht="12.75" customHeight="1">
      <c r="A736" s="277"/>
      <c r="B736" s="278"/>
      <c r="C736" s="277"/>
      <c r="D736" s="277"/>
      <c r="E736" s="277"/>
      <c r="F736" s="277"/>
      <c r="G736" s="277"/>
      <c r="H736" s="277"/>
      <c r="I736" s="277"/>
      <c r="J736" s="277"/>
      <c r="K736" s="277"/>
      <c r="L736" s="277"/>
      <c r="M736" s="277"/>
      <c r="N736" s="277"/>
      <c r="O736" s="277"/>
      <c r="P736" s="277"/>
      <c r="Q736" s="277"/>
      <c r="R736" s="277"/>
      <c r="S736" s="410"/>
      <c r="T736" s="277"/>
      <c r="U736" s="277"/>
      <c r="V736" s="277"/>
      <c r="W736" s="277"/>
      <c r="X736" s="277"/>
      <c r="Y736" s="277"/>
      <c r="Z736" s="277"/>
    </row>
    <row r="737" ht="12.75" customHeight="1">
      <c r="A737" s="277"/>
      <c r="B737" s="278"/>
      <c r="C737" s="277"/>
      <c r="D737" s="277"/>
      <c r="E737" s="277"/>
      <c r="F737" s="277"/>
      <c r="G737" s="277"/>
      <c r="H737" s="277"/>
      <c r="I737" s="277"/>
      <c r="J737" s="277"/>
      <c r="K737" s="277"/>
      <c r="L737" s="277"/>
      <c r="M737" s="277"/>
      <c r="N737" s="277"/>
      <c r="O737" s="277"/>
      <c r="P737" s="277"/>
      <c r="Q737" s="277"/>
      <c r="R737" s="277"/>
      <c r="S737" s="410"/>
      <c r="T737" s="277"/>
      <c r="U737" s="277"/>
      <c r="V737" s="277"/>
      <c r="W737" s="277"/>
      <c r="X737" s="277"/>
      <c r="Y737" s="277"/>
      <c r="Z737" s="277"/>
    </row>
    <row r="738" ht="12.75" customHeight="1">
      <c r="A738" s="277"/>
      <c r="B738" s="278"/>
      <c r="C738" s="277"/>
      <c r="D738" s="277"/>
      <c r="E738" s="277"/>
      <c r="F738" s="277"/>
      <c r="G738" s="277"/>
      <c r="H738" s="277"/>
      <c r="I738" s="277"/>
      <c r="J738" s="277"/>
      <c r="K738" s="277"/>
      <c r="L738" s="277"/>
      <c r="M738" s="277"/>
      <c r="N738" s="277"/>
      <c r="O738" s="277"/>
      <c r="P738" s="277"/>
      <c r="Q738" s="277"/>
      <c r="R738" s="277"/>
      <c r="S738" s="410"/>
      <c r="T738" s="277"/>
      <c r="U738" s="277"/>
      <c r="V738" s="277"/>
      <c r="W738" s="277"/>
      <c r="X738" s="277"/>
      <c r="Y738" s="277"/>
      <c r="Z738" s="277"/>
    </row>
    <row r="739" ht="12.75" customHeight="1">
      <c r="A739" s="277"/>
      <c r="B739" s="278"/>
      <c r="C739" s="277"/>
      <c r="D739" s="277"/>
      <c r="E739" s="277"/>
      <c r="F739" s="277"/>
      <c r="G739" s="277"/>
      <c r="H739" s="277"/>
      <c r="I739" s="277"/>
      <c r="J739" s="277"/>
      <c r="K739" s="277"/>
      <c r="L739" s="277"/>
      <c r="M739" s="277"/>
      <c r="N739" s="277"/>
      <c r="O739" s="277"/>
      <c r="P739" s="277"/>
      <c r="Q739" s="277"/>
      <c r="R739" s="277"/>
      <c r="S739" s="410"/>
      <c r="T739" s="277"/>
      <c r="U739" s="277"/>
      <c r="V739" s="277"/>
      <c r="W739" s="277"/>
      <c r="X739" s="277"/>
      <c r="Y739" s="277"/>
      <c r="Z739" s="277"/>
    </row>
    <row r="740" ht="12.75" customHeight="1">
      <c r="A740" s="277"/>
      <c r="B740" s="278"/>
      <c r="C740" s="277"/>
      <c r="D740" s="277"/>
      <c r="E740" s="277"/>
      <c r="F740" s="277"/>
      <c r="G740" s="277"/>
      <c r="H740" s="277"/>
      <c r="I740" s="277"/>
      <c r="J740" s="277"/>
      <c r="K740" s="277"/>
      <c r="L740" s="277"/>
      <c r="M740" s="277"/>
      <c r="N740" s="277"/>
      <c r="O740" s="277"/>
      <c r="P740" s="277"/>
      <c r="Q740" s="277"/>
      <c r="R740" s="277"/>
      <c r="S740" s="410"/>
      <c r="T740" s="277"/>
      <c r="U740" s="277"/>
      <c r="V740" s="277"/>
      <c r="W740" s="277"/>
      <c r="X740" s="277"/>
      <c r="Y740" s="277"/>
      <c r="Z740" s="277"/>
    </row>
    <row r="741" ht="12.75" customHeight="1">
      <c r="A741" s="277"/>
      <c r="B741" s="278"/>
      <c r="C741" s="277"/>
      <c r="D741" s="277"/>
      <c r="E741" s="277"/>
      <c r="F741" s="277"/>
      <c r="G741" s="277"/>
      <c r="H741" s="277"/>
      <c r="I741" s="277"/>
      <c r="J741" s="277"/>
      <c r="K741" s="277"/>
      <c r="L741" s="277"/>
      <c r="M741" s="277"/>
      <c r="N741" s="277"/>
      <c r="O741" s="277"/>
      <c r="P741" s="277"/>
      <c r="Q741" s="277"/>
      <c r="R741" s="277"/>
      <c r="S741" s="410"/>
      <c r="T741" s="277"/>
      <c r="U741" s="277"/>
      <c r="V741" s="277"/>
      <c r="W741" s="277"/>
      <c r="X741" s="277"/>
      <c r="Y741" s="277"/>
      <c r="Z741" s="277"/>
    </row>
    <row r="742" ht="12.75" customHeight="1">
      <c r="A742" s="277"/>
      <c r="B742" s="278"/>
      <c r="C742" s="277"/>
      <c r="D742" s="277"/>
      <c r="E742" s="277"/>
      <c r="F742" s="277"/>
      <c r="G742" s="277"/>
      <c r="H742" s="277"/>
      <c r="I742" s="277"/>
      <c r="J742" s="277"/>
      <c r="K742" s="277"/>
      <c r="L742" s="277"/>
      <c r="M742" s="277"/>
      <c r="N742" s="277"/>
      <c r="O742" s="277"/>
      <c r="P742" s="277"/>
      <c r="Q742" s="277"/>
      <c r="R742" s="277"/>
      <c r="S742" s="410"/>
      <c r="T742" s="277"/>
      <c r="U742" s="277"/>
      <c r="V742" s="277"/>
      <c r="W742" s="277"/>
      <c r="X742" s="277"/>
      <c r="Y742" s="277"/>
      <c r="Z742" s="277"/>
    </row>
    <row r="743" ht="12.75" customHeight="1">
      <c r="A743" s="277"/>
      <c r="B743" s="278"/>
      <c r="C743" s="277"/>
      <c r="D743" s="277"/>
      <c r="E743" s="277"/>
      <c r="F743" s="277"/>
      <c r="G743" s="277"/>
      <c r="H743" s="277"/>
      <c r="I743" s="277"/>
      <c r="J743" s="277"/>
      <c r="K743" s="277"/>
      <c r="L743" s="277"/>
      <c r="M743" s="277"/>
      <c r="N743" s="277"/>
      <c r="O743" s="277"/>
      <c r="P743" s="277"/>
      <c r="Q743" s="277"/>
      <c r="R743" s="277"/>
      <c r="S743" s="410"/>
      <c r="T743" s="277"/>
      <c r="U743" s="277"/>
      <c r="V743" s="277"/>
      <c r="W743" s="277"/>
      <c r="X743" s="277"/>
      <c r="Y743" s="277"/>
      <c r="Z743" s="277"/>
    </row>
    <row r="744" ht="12.75" customHeight="1">
      <c r="A744" s="277"/>
      <c r="B744" s="278"/>
      <c r="C744" s="277"/>
      <c r="D744" s="277"/>
      <c r="E744" s="277"/>
      <c r="F744" s="277"/>
      <c r="G744" s="277"/>
      <c r="H744" s="277"/>
      <c r="I744" s="277"/>
      <c r="J744" s="277"/>
      <c r="K744" s="277"/>
      <c r="L744" s="277"/>
      <c r="M744" s="277"/>
      <c r="N744" s="277"/>
      <c r="O744" s="277"/>
      <c r="P744" s="277"/>
      <c r="Q744" s="277"/>
      <c r="R744" s="277"/>
      <c r="S744" s="410"/>
      <c r="T744" s="277"/>
      <c r="U744" s="277"/>
      <c r="V744" s="277"/>
      <c r="W744" s="277"/>
      <c r="X744" s="277"/>
      <c r="Y744" s="277"/>
      <c r="Z744" s="277"/>
    </row>
    <row r="745" ht="12.75" customHeight="1">
      <c r="A745" s="277"/>
      <c r="B745" s="278"/>
      <c r="C745" s="277"/>
      <c r="D745" s="277"/>
      <c r="E745" s="277"/>
      <c r="F745" s="277"/>
      <c r="G745" s="277"/>
      <c r="H745" s="277"/>
      <c r="I745" s="277"/>
      <c r="J745" s="277"/>
      <c r="K745" s="277"/>
      <c r="L745" s="277"/>
      <c r="M745" s="277"/>
      <c r="N745" s="277"/>
      <c r="O745" s="277"/>
      <c r="P745" s="277"/>
      <c r="Q745" s="277"/>
      <c r="R745" s="277"/>
      <c r="S745" s="410"/>
      <c r="T745" s="277"/>
      <c r="U745" s="277"/>
      <c r="V745" s="277"/>
      <c r="W745" s="277"/>
      <c r="X745" s="277"/>
      <c r="Y745" s="277"/>
      <c r="Z745" s="277"/>
    </row>
    <row r="746" ht="12.75" customHeight="1">
      <c r="A746" s="277"/>
      <c r="B746" s="278"/>
      <c r="C746" s="277"/>
      <c r="D746" s="277"/>
      <c r="E746" s="277"/>
      <c r="F746" s="277"/>
      <c r="G746" s="277"/>
      <c r="H746" s="277"/>
      <c r="I746" s="277"/>
      <c r="J746" s="277"/>
      <c r="K746" s="277"/>
      <c r="L746" s="277"/>
      <c r="M746" s="277"/>
      <c r="N746" s="277"/>
      <c r="O746" s="277"/>
      <c r="P746" s="277"/>
      <c r="Q746" s="277"/>
      <c r="R746" s="277"/>
      <c r="S746" s="410"/>
      <c r="T746" s="277"/>
      <c r="U746" s="277"/>
      <c r="V746" s="277"/>
      <c r="W746" s="277"/>
      <c r="X746" s="277"/>
      <c r="Y746" s="277"/>
      <c r="Z746" s="277"/>
    </row>
    <row r="747" ht="12.75" customHeight="1">
      <c r="A747" s="277"/>
      <c r="B747" s="278"/>
      <c r="C747" s="277"/>
      <c r="D747" s="277"/>
      <c r="E747" s="277"/>
      <c r="F747" s="277"/>
      <c r="G747" s="277"/>
      <c r="H747" s="277"/>
      <c r="I747" s="277"/>
      <c r="J747" s="277"/>
      <c r="K747" s="277"/>
      <c r="L747" s="277"/>
      <c r="M747" s="277"/>
      <c r="N747" s="277"/>
      <c r="O747" s="277"/>
      <c r="P747" s="277"/>
      <c r="Q747" s="277"/>
      <c r="R747" s="277"/>
      <c r="S747" s="410"/>
      <c r="T747" s="277"/>
      <c r="U747" s="277"/>
      <c r="V747" s="277"/>
      <c r="W747" s="277"/>
      <c r="X747" s="277"/>
      <c r="Y747" s="277"/>
      <c r="Z747" s="277"/>
    </row>
    <row r="748" ht="12.75" customHeight="1">
      <c r="A748" s="277"/>
      <c r="B748" s="278"/>
      <c r="C748" s="277"/>
      <c r="D748" s="277"/>
      <c r="E748" s="277"/>
      <c r="F748" s="277"/>
      <c r="G748" s="277"/>
      <c r="H748" s="277"/>
      <c r="I748" s="277"/>
      <c r="J748" s="277"/>
      <c r="K748" s="277"/>
      <c r="L748" s="277"/>
      <c r="M748" s="277"/>
      <c r="N748" s="277"/>
      <c r="O748" s="277"/>
      <c r="P748" s="277"/>
      <c r="Q748" s="277"/>
      <c r="R748" s="277"/>
      <c r="S748" s="410"/>
      <c r="T748" s="277"/>
      <c r="U748" s="277"/>
      <c r="V748" s="277"/>
      <c r="W748" s="277"/>
      <c r="X748" s="277"/>
      <c r="Y748" s="277"/>
      <c r="Z748" s="277"/>
    </row>
    <row r="749" ht="12.75" customHeight="1">
      <c r="A749" s="277"/>
      <c r="B749" s="278"/>
      <c r="C749" s="277"/>
      <c r="D749" s="277"/>
      <c r="E749" s="277"/>
      <c r="F749" s="277"/>
      <c r="G749" s="277"/>
      <c r="H749" s="277"/>
      <c r="I749" s="277"/>
      <c r="J749" s="277"/>
      <c r="K749" s="277"/>
      <c r="L749" s="277"/>
      <c r="M749" s="277"/>
      <c r="N749" s="277"/>
      <c r="O749" s="277"/>
      <c r="P749" s="277"/>
      <c r="Q749" s="277"/>
      <c r="R749" s="277"/>
      <c r="S749" s="410"/>
      <c r="T749" s="277"/>
      <c r="U749" s="277"/>
      <c r="V749" s="277"/>
      <c r="W749" s="277"/>
      <c r="X749" s="277"/>
      <c r="Y749" s="277"/>
      <c r="Z749" s="277"/>
    </row>
    <row r="750" ht="12.75" customHeight="1">
      <c r="A750" s="277"/>
      <c r="B750" s="278"/>
      <c r="C750" s="277"/>
      <c r="D750" s="277"/>
      <c r="E750" s="277"/>
      <c r="F750" s="277"/>
      <c r="G750" s="277"/>
      <c r="H750" s="277"/>
      <c r="I750" s="277"/>
      <c r="J750" s="277"/>
      <c r="K750" s="277"/>
      <c r="L750" s="277"/>
      <c r="M750" s="277"/>
      <c r="N750" s="277"/>
      <c r="O750" s="277"/>
      <c r="P750" s="277"/>
      <c r="Q750" s="277"/>
      <c r="R750" s="277"/>
      <c r="S750" s="410"/>
      <c r="T750" s="277"/>
      <c r="U750" s="277"/>
      <c r="V750" s="277"/>
      <c r="W750" s="277"/>
      <c r="X750" s="277"/>
      <c r="Y750" s="277"/>
      <c r="Z750" s="277"/>
    </row>
    <row r="751" ht="12.75" customHeight="1">
      <c r="A751" s="277"/>
      <c r="B751" s="278"/>
      <c r="C751" s="277"/>
      <c r="D751" s="277"/>
      <c r="E751" s="277"/>
      <c r="F751" s="277"/>
      <c r="G751" s="277"/>
      <c r="H751" s="277"/>
      <c r="I751" s="277"/>
      <c r="J751" s="277"/>
      <c r="K751" s="277"/>
      <c r="L751" s="277"/>
      <c r="M751" s="277"/>
      <c r="N751" s="277"/>
      <c r="O751" s="277"/>
      <c r="P751" s="277"/>
      <c r="Q751" s="277"/>
      <c r="R751" s="277"/>
      <c r="S751" s="410"/>
      <c r="T751" s="277"/>
      <c r="U751" s="277"/>
      <c r="V751" s="277"/>
      <c r="W751" s="277"/>
      <c r="X751" s="277"/>
      <c r="Y751" s="277"/>
      <c r="Z751" s="277"/>
    </row>
    <row r="752" ht="12.75" customHeight="1">
      <c r="A752" s="277"/>
      <c r="B752" s="278"/>
      <c r="C752" s="277"/>
      <c r="D752" s="277"/>
      <c r="E752" s="277"/>
      <c r="F752" s="277"/>
      <c r="G752" s="277"/>
      <c r="H752" s="277"/>
      <c r="I752" s="277"/>
      <c r="J752" s="277"/>
      <c r="K752" s="277"/>
      <c r="L752" s="277"/>
      <c r="M752" s="277"/>
      <c r="N752" s="277"/>
      <c r="O752" s="277"/>
      <c r="P752" s="277"/>
      <c r="Q752" s="277"/>
      <c r="R752" s="277"/>
      <c r="S752" s="410"/>
      <c r="T752" s="277"/>
      <c r="U752" s="277"/>
      <c r="V752" s="277"/>
      <c r="W752" s="277"/>
      <c r="X752" s="277"/>
      <c r="Y752" s="277"/>
      <c r="Z752" s="277"/>
    </row>
    <row r="753" ht="12.75" customHeight="1">
      <c r="A753" s="277"/>
      <c r="B753" s="278"/>
      <c r="C753" s="277"/>
      <c r="D753" s="277"/>
      <c r="E753" s="277"/>
      <c r="F753" s="277"/>
      <c r="G753" s="277"/>
      <c r="H753" s="277"/>
      <c r="I753" s="277"/>
      <c r="J753" s="277"/>
      <c r="K753" s="277"/>
      <c r="L753" s="277"/>
      <c r="M753" s="277"/>
      <c r="N753" s="277"/>
      <c r="O753" s="277"/>
      <c r="P753" s="277"/>
      <c r="Q753" s="277"/>
      <c r="R753" s="277"/>
      <c r="S753" s="410"/>
      <c r="T753" s="277"/>
      <c r="U753" s="277"/>
      <c r="V753" s="277"/>
      <c r="W753" s="277"/>
      <c r="X753" s="277"/>
      <c r="Y753" s="277"/>
      <c r="Z753" s="277"/>
    </row>
    <row r="754" ht="12.75" customHeight="1">
      <c r="A754" s="277"/>
      <c r="B754" s="278"/>
      <c r="C754" s="277"/>
      <c r="D754" s="277"/>
      <c r="E754" s="277"/>
      <c r="F754" s="277"/>
      <c r="G754" s="277"/>
      <c r="H754" s="277"/>
      <c r="I754" s="277"/>
      <c r="J754" s="277"/>
      <c r="K754" s="277"/>
      <c r="L754" s="277"/>
      <c r="M754" s="277"/>
      <c r="N754" s="277"/>
      <c r="O754" s="277"/>
      <c r="P754" s="277"/>
      <c r="Q754" s="277"/>
      <c r="R754" s="277"/>
      <c r="S754" s="410"/>
      <c r="T754" s="277"/>
      <c r="U754" s="277"/>
      <c r="V754" s="277"/>
      <c r="W754" s="277"/>
      <c r="X754" s="277"/>
      <c r="Y754" s="277"/>
      <c r="Z754" s="277"/>
    </row>
    <row r="755" ht="12.75" customHeight="1">
      <c r="A755" s="277"/>
      <c r="B755" s="278"/>
      <c r="C755" s="277"/>
      <c r="D755" s="277"/>
      <c r="E755" s="277"/>
      <c r="F755" s="277"/>
      <c r="G755" s="277"/>
      <c r="H755" s="277"/>
      <c r="I755" s="277"/>
      <c r="J755" s="277"/>
      <c r="K755" s="277"/>
      <c r="L755" s="277"/>
      <c r="M755" s="277"/>
      <c r="N755" s="277"/>
      <c r="O755" s="277"/>
      <c r="P755" s="277"/>
      <c r="Q755" s="277"/>
      <c r="R755" s="277"/>
      <c r="S755" s="410"/>
      <c r="T755" s="277"/>
      <c r="U755" s="277"/>
      <c r="V755" s="277"/>
      <c r="W755" s="277"/>
      <c r="X755" s="277"/>
      <c r="Y755" s="277"/>
      <c r="Z755" s="277"/>
    </row>
    <row r="756" ht="12.75" customHeight="1">
      <c r="A756" s="277"/>
      <c r="B756" s="278"/>
      <c r="C756" s="277"/>
      <c r="D756" s="277"/>
      <c r="E756" s="277"/>
      <c r="F756" s="277"/>
      <c r="G756" s="277"/>
      <c r="H756" s="277"/>
      <c r="I756" s="277"/>
      <c r="J756" s="277"/>
      <c r="K756" s="277"/>
      <c r="L756" s="277"/>
      <c r="M756" s="277"/>
      <c r="N756" s="277"/>
      <c r="O756" s="277"/>
      <c r="P756" s="277"/>
      <c r="Q756" s="277"/>
      <c r="R756" s="277"/>
      <c r="S756" s="410"/>
      <c r="T756" s="277"/>
      <c r="U756" s="277"/>
      <c r="V756" s="277"/>
      <c r="W756" s="277"/>
      <c r="X756" s="277"/>
      <c r="Y756" s="277"/>
      <c r="Z756" s="277"/>
    </row>
    <row r="757" ht="12.75" customHeight="1">
      <c r="A757" s="277"/>
      <c r="B757" s="278"/>
      <c r="C757" s="277"/>
      <c r="D757" s="277"/>
      <c r="E757" s="277"/>
      <c r="F757" s="277"/>
      <c r="G757" s="277"/>
      <c r="H757" s="277"/>
      <c r="I757" s="277"/>
      <c r="J757" s="277"/>
      <c r="K757" s="277"/>
      <c r="L757" s="277"/>
      <c r="M757" s="277"/>
      <c r="N757" s="277"/>
      <c r="O757" s="277"/>
      <c r="P757" s="277"/>
      <c r="Q757" s="277"/>
      <c r="R757" s="277"/>
      <c r="S757" s="410"/>
      <c r="T757" s="277"/>
      <c r="U757" s="277"/>
      <c r="V757" s="277"/>
      <c r="W757" s="277"/>
      <c r="X757" s="277"/>
      <c r="Y757" s="277"/>
      <c r="Z757" s="277"/>
    </row>
    <row r="758" ht="12.75" customHeight="1">
      <c r="A758" s="277"/>
      <c r="B758" s="278"/>
      <c r="C758" s="277"/>
      <c r="D758" s="277"/>
      <c r="E758" s="277"/>
      <c r="F758" s="277"/>
      <c r="G758" s="277"/>
      <c r="H758" s="277"/>
      <c r="I758" s="277"/>
      <c r="J758" s="277"/>
      <c r="K758" s="277"/>
      <c r="L758" s="277"/>
      <c r="M758" s="277"/>
      <c r="N758" s="277"/>
      <c r="O758" s="277"/>
      <c r="P758" s="277"/>
      <c r="Q758" s="277"/>
      <c r="R758" s="277"/>
      <c r="S758" s="410"/>
      <c r="T758" s="277"/>
      <c r="U758" s="277"/>
      <c r="V758" s="277"/>
      <c r="W758" s="277"/>
      <c r="X758" s="277"/>
      <c r="Y758" s="277"/>
      <c r="Z758" s="277"/>
    </row>
    <row r="759" ht="12.75" customHeight="1">
      <c r="A759" s="277"/>
      <c r="B759" s="278"/>
      <c r="C759" s="277"/>
      <c r="D759" s="277"/>
      <c r="E759" s="277"/>
      <c r="F759" s="277"/>
      <c r="G759" s="277"/>
      <c r="H759" s="277"/>
      <c r="I759" s="277"/>
      <c r="J759" s="277"/>
      <c r="K759" s="277"/>
      <c r="L759" s="277"/>
      <c r="M759" s="277"/>
      <c r="N759" s="277"/>
      <c r="O759" s="277"/>
      <c r="P759" s="277"/>
      <c r="Q759" s="277"/>
      <c r="R759" s="277"/>
      <c r="S759" s="410"/>
      <c r="T759" s="277"/>
      <c r="U759" s="277"/>
      <c r="V759" s="277"/>
      <c r="W759" s="277"/>
      <c r="X759" s="277"/>
      <c r="Y759" s="277"/>
      <c r="Z759" s="277"/>
    </row>
    <row r="760" ht="12.75" customHeight="1">
      <c r="A760" s="277"/>
      <c r="B760" s="278"/>
      <c r="C760" s="277"/>
      <c r="D760" s="277"/>
      <c r="E760" s="277"/>
      <c r="F760" s="277"/>
      <c r="G760" s="277"/>
      <c r="H760" s="277"/>
      <c r="I760" s="277"/>
      <c r="J760" s="277"/>
      <c r="K760" s="277"/>
      <c r="L760" s="277"/>
      <c r="M760" s="277"/>
      <c r="N760" s="277"/>
      <c r="O760" s="277"/>
      <c r="P760" s="277"/>
      <c r="Q760" s="277"/>
      <c r="R760" s="277"/>
      <c r="S760" s="410"/>
      <c r="T760" s="277"/>
      <c r="U760" s="277"/>
      <c r="V760" s="277"/>
      <c r="W760" s="277"/>
      <c r="X760" s="277"/>
      <c r="Y760" s="277"/>
      <c r="Z760" s="277"/>
    </row>
    <row r="761" ht="12.75" customHeight="1">
      <c r="A761" s="277"/>
      <c r="B761" s="278"/>
      <c r="C761" s="277"/>
      <c r="D761" s="277"/>
      <c r="E761" s="277"/>
      <c r="F761" s="277"/>
      <c r="G761" s="277"/>
      <c r="H761" s="277"/>
      <c r="I761" s="277"/>
      <c r="J761" s="277"/>
      <c r="K761" s="277"/>
      <c r="L761" s="277"/>
      <c r="M761" s="277"/>
      <c r="N761" s="277"/>
      <c r="O761" s="277"/>
      <c r="P761" s="277"/>
      <c r="Q761" s="277"/>
      <c r="R761" s="277"/>
      <c r="S761" s="410"/>
      <c r="T761" s="277"/>
      <c r="U761" s="277"/>
      <c r="V761" s="277"/>
      <c r="W761" s="277"/>
      <c r="X761" s="277"/>
      <c r="Y761" s="277"/>
      <c r="Z761" s="277"/>
    </row>
    <row r="762" ht="12.75" customHeight="1">
      <c r="A762" s="277"/>
      <c r="B762" s="278"/>
      <c r="C762" s="277"/>
      <c r="D762" s="277"/>
      <c r="E762" s="277"/>
      <c r="F762" s="277"/>
      <c r="G762" s="277"/>
      <c r="H762" s="277"/>
      <c r="I762" s="277"/>
      <c r="J762" s="277"/>
      <c r="K762" s="277"/>
      <c r="L762" s="277"/>
      <c r="M762" s="277"/>
      <c r="N762" s="277"/>
      <c r="O762" s="277"/>
      <c r="P762" s="277"/>
      <c r="Q762" s="277"/>
      <c r="R762" s="277"/>
      <c r="S762" s="410"/>
      <c r="T762" s="277"/>
      <c r="U762" s="277"/>
      <c r="V762" s="277"/>
      <c r="W762" s="277"/>
      <c r="X762" s="277"/>
      <c r="Y762" s="277"/>
      <c r="Z762" s="277"/>
    </row>
    <row r="763" ht="12.75" customHeight="1">
      <c r="A763" s="277"/>
      <c r="B763" s="278"/>
      <c r="C763" s="277"/>
      <c r="D763" s="277"/>
      <c r="E763" s="277"/>
      <c r="F763" s="277"/>
      <c r="G763" s="277"/>
      <c r="H763" s="277"/>
      <c r="I763" s="277"/>
      <c r="J763" s="277"/>
      <c r="K763" s="277"/>
      <c r="L763" s="277"/>
      <c r="M763" s="277"/>
      <c r="N763" s="277"/>
      <c r="O763" s="277"/>
      <c r="P763" s="277"/>
      <c r="Q763" s="277"/>
      <c r="R763" s="277"/>
      <c r="S763" s="410"/>
      <c r="T763" s="277"/>
      <c r="U763" s="277"/>
      <c r="V763" s="277"/>
      <c r="W763" s="277"/>
      <c r="X763" s="277"/>
      <c r="Y763" s="277"/>
      <c r="Z763" s="277"/>
    </row>
    <row r="764" ht="12.75" customHeight="1">
      <c r="A764" s="277"/>
      <c r="B764" s="278"/>
      <c r="C764" s="277"/>
      <c r="D764" s="277"/>
      <c r="E764" s="277"/>
      <c r="F764" s="277"/>
      <c r="G764" s="277"/>
      <c r="H764" s="277"/>
      <c r="I764" s="277"/>
      <c r="J764" s="277"/>
      <c r="K764" s="277"/>
      <c r="L764" s="277"/>
      <c r="M764" s="277"/>
      <c r="N764" s="277"/>
      <c r="O764" s="277"/>
      <c r="P764" s="277"/>
      <c r="Q764" s="277"/>
      <c r="R764" s="277"/>
      <c r="S764" s="410"/>
      <c r="T764" s="277"/>
      <c r="U764" s="277"/>
      <c r="V764" s="277"/>
      <c r="W764" s="277"/>
      <c r="X764" s="277"/>
      <c r="Y764" s="277"/>
      <c r="Z764" s="277"/>
    </row>
    <row r="765" ht="12.75" customHeight="1">
      <c r="A765" s="277"/>
      <c r="B765" s="278"/>
      <c r="C765" s="277"/>
      <c r="D765" s="277"/>
      <c r="E765" s="277"/>
      <c r="F765" s="277"/>
      <c r="G765" s="277"/>
      <c r="H765" s="277"/>
      <c r="I765" s="277"/>
      <c r="J765" s="277"/>
      <c r="K765" s="277"/>
      <c r="L765" s="277"/>
      <c r="M765" s="277"/>
      <c r="N765" s="277"/>
      <c r="O765" s="277"/>
      <c r="P765" s="277"/>
      <c r="Q765" s="277"/>
      <c r="R765" s="277"/>
      <c r="S765" s="410"/>
      <c r="T765" s="277"/>
      <c r="U765" s="277"/>
      <c r="V765" s="277"/>
      <c r="W765" s="277"/>
      <c r="X765" s="277"/>
      <c r="Y765" s="277"/>
      <c r="Z765" s="277"/>
    </row>
    <row r="766" ht="12.75" customHeight="1">
      <c r="A766" s="277"/>
      <c r="B766" s="278"/>
      <c r="C766" s="277"/>
      <c r="D766" s="277"/>
      <c r="E766" s="277"/>
      <c r="F766" s="277"/>
      <c r="G766" s="277"/>
      <c r="H766" s="277"/>
      <c r="I766" s="277"/>
      <c r="J766" s="277"/>
      <c r="K766" s="277"/>
      <c r="L766" s="277"/>
      <c r="M766" s="277"/>
      <c r="N766" s="277"/>
      <c r="O766" s="277"/>
      <c r="P766" s="277"/>
      <c r="Q766" s="277"/>
      <c r="R766" s="277"/>
      <c r="S766" s="410"/>
      <c r="T766" s="277"/>
      <c r="U766" s="277"/>
      <c r="V766" s="277"/>
      <c r="W766" s="277"/>
      <c r="X766" s="277"/>
      <c r="Y766" s="277"/>
      <c r="Z766" s="277"/>
    </row>
    <row r="767" ht="12.75" customHeight="1">
      <c r="A767" s="277"/>
      <c r="B767" s="278"/>
      <c r="C767" s="277"/>
      <c r="D767" s="277"/>
      <c r="E767" s="277"/>
      <c r="F767" s="277"/>
      <c r="G767" s="277"/>
      <c r="H767" s="277"/>
      <c r="I767" s="277"/>
      <c r="J767" s="277"/>
      <c r="K767" s="277"/>
      <c r="L767" s="277"/>
      <c r="M767" s="277"/>
      <c r="N767" s="277"/>
      <c r="O767" s="277"/>
      <c r="P767" s="277"/>
      <c r="Q767" s="277"/>
      <c r="R767" s="277"/>
      <c r="S767" s="410"/>
      <c r="T767" s="277"/>
      <c r="U767" s="277"/>
      <c r="V767" s="277"/>
      <c r="W767" s="277"/>
      <c r="X767" s="277"/>
      <c r="Y767" s="277"/>
      <c r="Z767" s="277"/>
    </row>
    <row r="768" ht="12.75" customHeight="1">
      <c r="A768" s="277"/>
      <c r="B768" s="278"/>
      <c r="C768" s="277"/>
      <c r="D768" s="277"/>
      <c r="E768" s="277"/>
      <c r="F768" s="277"/>
      <c r="G768" s="277"/>
      <c r="H768" s="277"/>
      <c r="I768" s="277"/>
      <c r="J768" s="277"/>
      <c r="K768" s="277"/>
      <c r="L768" s="277"/>
      <c r="M768" s="277"/>
      <c r="N768" s="277"/>
      <c r="O768" s="277"/>
      <c r="P768" s="277"/>
      <c r="Q768" s="277"/>
      <c r="R768" s="277"/>
      <c r="S768" s="410"/>
      <c r="T768" s="277"/>
      <c r="U768" s="277"/>
      <c r="V768" s="277"/>
      <c r="W768" s="277"/>
      <c r="X768" s="277"/>
      <c r="Y768" s="277"/>
      <c r="Z768" s="277"/>
    </row>
    <row r="769" ht="12.75" customHeight="1">
      <c r="A769" s="277"/>
      <c r="B769" s="278"/>
      <c r="C769" s="277"/>
      <c r="D769" s="277"/>
      <c r="E769" s="277"/>
      <c r="F769" s="277"/>
      <c r="G769" s="277"/>
      <c r="H769" s="277"/>
      <c r="I769" s="277"/>
      <c r="J769" s="277"/>
      <c r="K769" s="277"/>
      <c r="L769" s="277"/>
      <c r="M769" s="277"/>
      <c r="N769" s="277"/>
      <c r="O769" s="277"/>
      <c r="P769" s="277"/>
      <c r="Q769" s="277"/>
      <c r="R769" s="277"/>
      <c r="S769" s="410"/>
      <c r="T769" s="277"/>
      <c r="U769" s="277"/>
      <c r="V769" s="277"/>
      <c r="W769" s="277"/>
      <c r="X769" s="277"/>
      <c r="Y769" s="277"/>
      <c r="Z769" s="277"/>
    </row>
    <row r="770" ht="12.75" customHeight="1">
      <c r="A770" s="277"/>
      <c r="B770" s="278"/>
      <c r="C770" s="277"/>
      <c r="D770" s="277"/>
      <c r="E770" s="277"/>
      <c r="F770" s="277"/>
      <c r="G770" s="277"/>
      <c r="H770" s="277"/>
      <c r="I770" s="277"/>
      <c r="J770" s="277"/>
      <c r="K770" s="277"/>
      <c r="L770" s="277"/>
      <c r="M770" s="277"/>
      <c r="N770" s="277"/>
      <c r="O770" s="277"/>
      <c r="P770" s="277"/>
      <c r="Q770" s="277"/>
      <c r="R770" s="277"/>
      <c r="S770" s="410"/>
      <c r="T770" s="277"/>
      <c r="U770" s="277"/>
      <c r="V770" s="277"/>
      <c r="W770" s="277"/>
      <c r="X770" s="277"/>
      <c r="Y770" s="277"/>
      <c r="Z770" s="277"/>
    </row>
    <row r="771" ht="12.75" customHeight="1">
      <c r="A771" s="277"/>
      <c r="B771" s="278"/>
      <c r="C771" s="277"/>
      <c r="D771" s="277"/>
      <c r="E771" s="277"/>
      <c r="F771" s="277"/>
      <c r="G771" s="277"/>
      <c r="H771" s="277"/>
      <c r="I771" s="277"/>
      <c r="J771" s="277"/>
      <c r="K771" s="277"/>
      <c r="L771" s="277"/>
      <c r="M771" s="277"/>
      <c r="N771" s="277"/>
      <c r="O771" s="277"/>
      <c r="P771" s="277"/>
      <c r="Q771" s="277"/>
      <c r="R771" s="277"/>
      <c r="S771" s="410"/>
      <c r="T771" s="277"/>
      <c r="U771" s="277"/>
      <c r="V771" s="277"/>
      <c r="W771" s="277"/>
      <c r="X771" s="277"/>
      <c r="Y771" s="277"/>
      <c r="Z771" s="277"/>
    </row>
    <row r="772" ht="12.75" customHeight="1">
      <c r="A772" s="277"/>
      <c r="B772" s="278"/>
      <c r="C772" s="277"/>
      <c r="D772" s="277"/>
      <c r="E772" s="277"/>
      <c r="F772" s="277"/>
      <c r="G772" s="277"/>
      <c r="H772" s="277"/>
      <c r="I772" s="277"/>
      <c r="J772" s="277"/>
      <c r="K772" s="277"/>
      <c r="L772" s="277"/>
      <c r="M772" s="277"/>
      <c r="N772" s="277"/>
      <c r="O772" s="277"/>
      <c r="P772" s="277"/>
      <c r="Q772" s="277"/>
      <c r="R772" s="277"/>
      <c r="S772" s="410"/>
      <c r="T772" s="277"/>
      <c r="U772" s="277"/>
      <c r="V772" s="277"/>
      <c r="W772" s="277"/>
      <c r="X772" s="277"/>
      <c r="Y772" s="277"/>
      <c r="Z772" s="277"/>
    </row>
    <row r="773" ht="12.75" customHeight="1">
      <c r="A773" s="277"/>
      <c r="B773" s="278"/>
      <c r="C773" s="277"/>
      <c r="D773" s="277"/>
      <c r="E773" s="277"/>
      <c r="F773" s="277"/>
      <c r="G773" s="277"/>
      <c r="H773" s="277"/>
      <c r="I773" s="277"/>
      <c r="J773" s="277"/>
      <c r="K773" s="277"/>
      <c r="L773" s="277"/>
      <c r="M773" s="277"/>
      <c r="N773" s="277"/>
      <c r="O773" s="277"/>
      <c r="P773" s="277"/>
      <c r="Q773" s="277"/>
      <c r="R773" s="277"/>
      <c r="S773" s="410"/>
      <c r="T773" s="277"/>
      <c r="U773" s="277"/>
      <c r="V773" s="277"/>
      <c r="W773" s="277"/>
      <c r="X773" s="277"/>
      <c r="Y773" s="277"/>
      <c r="Z773" s="277"/>
    </row>
    <row r="774" ht="12.75" customHeight="1">
      <c r="A774" s="277"/>
      <c r="B774" s="278"/>
      <c r="C774" s="277"/>
      <c r="D774" s="277"/>
      <c r="E774" s="277"/>
      <c r="F774" s="277"/>
      <c r="G774" s="277"/>
      <c r="H774" s="277"/>
      <c r="I774" s="277"/>
      <c r="J774" s="277"/>
      <c r="K774" s="277"/>
      <c r="L774" s="277"/>
      <c r="M774" s="277"/>
      <c r="N774" s="277"/>
      <c r="O774" s="277"/>
      <c r="P774" s="277"/>
      <c r="Q774" s="277"/>
      <c r="R774" s="277"/>
      <c r="S774" s="410"/>
      <c r="T774" s="277"/>
      <c r="U774" s="277"/>
      <c r="V774" s="277"/>
      <c r="W774" s="277"/>
      <c r="X774" s="277"/>
      <c r="Y774" s="277"/>
      <c r="Z774" s="277"/>
    </row>
    <row r="775" ht="12.75" customHeight="1">
      <c r="A775" s="277"/>
      <c r="B775" s="278"/>
      <c r="C775" s="277"/>
      <c r="D775" s="277"/>
      <c r="E775" s="277"/>
      <c r="F775" s="277"/>
      <c r="G775" s="277"/>
      <c r="H775" s="277"/>
      <c r="I775" s="277"/>
      <c r="J775" s="277"/>
      <c r="K775" s="277"/>
      <c r="L775" s="277"/>
      <c r="M775" s="277"/>
      <c r="N775" s="277"/>
      <c r="O775" s="277"/>
      <c r="P775" s="277"/>
      <c r="Q775" s="277"/>
      <c r="R775" s="277"/>
      <c r="S775" s="410"/>
      <c r="T775" s="277"/>
      <c r="U775" s="277"/>
      <c r="V775" s="277"/>
      <c r="W775" s="277"/>
      <c r="X775" s="277"/>
      <c r="Y775" s="277"/>
      <c r="Z775" s="277"/>
    </row>
    <row r="776" ht="12.75" customHeight="1">
      <c r="A776" s="277"/>
      <c r="B776" s="278"/>
      <c r="C776" s="277"/>
      <c r="D776" s="277"/>
      <c r="E776" s="277"/>
      <c r="F776" s="277"/>
      <c r="G776" s="277"/>
      <c r="H776" s="277"/>
      <c r="I776" s="277"/>
      <c r="J776" s="277"/>
      <c r="K776" s="277"/>
      <c r="L776" s="277"/>
      <c r="M776" s="277"/>
      <c r="N776" s="277"/>
      <c r="O776" s="277"/>
      <c r="P776" s="277"/>
      <c r="Q776" s="277"/>
      <c r="R776" s="277"/>
      <c r="S776" s="410"/>
      <c r="T776" s="277"/>
      <c r="U776" s="277"/>
      <c r="V776" s="277"/>
      <c r="W776" s="277"/>
      <c r="X776" s="277"/>
      <c r="Y776" s="277"/>
      <c r="Z776" s="277"/>
    </row>
    <row r="777" ht="12.75" customHeight="1">
      <c r="A777" s="277"/>
      <c r="B777" s="278"/>
      <c r="C777" s="277"/>
      <c r="D777" s="277"/>
      <c r="E777" s="277"/>
      <c r="F777" s="277"/>
      <c r="G777" s="277"/>
      <c r="H777" s="277"/>
      <c r="I777" s="277"/>
      <c r="J777" s="277"/>
      <c r="K777" s="277"/>
      <c r="L777" s="277"/>
      <c r="M777" s="277"/>
      <c r="N777" s="277"/>
      <c r="O777" s="277"/>
      <c r="P777" s="277"/>
      <c r="Q777" s="277"/>
      <c r="R777" s="277"/>
      <c r="S777" s="410"/>
      <c r="T777" s="277"/>
      <c r="U777" s="277"/>
      <c r="V777" s="277"/>
      <c r="W777" s="277"/>
      <c r="X777" s="277"/>
      <c r="Y777" s="277"/>
      <c r="Z777" s="277"/>
    </row>
    <row r="778" ht="12.75" customHeight="1">
      <c r="A778" s="277"/>
      <c r="B778" s="278"/>
      <c r="C778" s="277"/>
      <c r="D778" s="277"/>
      <c r="E778" s="277"/>
      <c r="F778" s="277"/>
      <c r="G778" s="277"/>
      <c r="H778" s="277"/>
      <c r="I778" s="277"/>
      <c r="J778" s="277"/>
      <c r="K778" s="277"/>
      <c r="L778" s="277"/>
      <c r="M778" s="277"/>
      <c r="N778" s="277"/>
      <c r="O778" s="277"/>
      <c r="P778" s="277"/>
      <c r="Q778" s="277"/>
      <c r="R778" s="277"/>
      <c r="S778" s="410"/>
      <c r="T778" s="277"/>
      <c r="U778" s="277"/>
      <c r="V778" s="277"/>
      <c r="W778" s="277"/>
      <c r="X778" s="277"/>
      <c r="Y778" s="277"/>
      <c r="Z778" s="277"/>
    </row>
    <row r="779" ht="12.75" customHeight="1">
      <c r="A779" s="277"/>
      <c r="B779" s="278"/>
      <c r="C779" s="277"/>
      <c r="D779" s="277"/>
      <c r="E779" s="277"/>
      <c r="F779" s="277"/>
      <c r="G779" s="277"/>
      <c r="H779" s="277"/>
      <c r="I779" s="277"/>
      <c r="J779" s="277"/>
      <c r="K779" s="277"/>
      <c r="L779" s="277"/>
      <c r="M779" s="277"/>
      <c r="N779" s="277"/>
      <c r="O779" s="277"/>
      <c r="P779" s="277"/>
      <c r="Q779" s="277"/>
      <c r="R779" s="277"/>
      <c r="S779" s="410"/>
      <c r="T779" s="277"/>
      <c r="U779" s="277"/>
      <c r="V779" s="277"/>
      <c r="W779" s="277"/>
      <c r="X779" s="277"/>
      <c r="Y779" s="277"/>
      <c r="Z779" s="277"/>
    </row>
    <row r="780" ht="12.75" customHeight="1">
      <c r="A780" s="277"/>
      <c r="B780" s="278"/>
      <c r="C780" s="277"/>
      <c r="D780" s="277"/>
      <c r="E780" s="277"/>
      <c r="F780" s="277"/>
      <c r="G780" s="277"/>
      <c r="H780" s="277"/>
      <c r="I780" s="277"/>
      <c r="J780" s="277"/>
      <c r="K780" s="277"/>
      <c r="L780" s="277"/>
      <c r="M780" s="277"/>
      <c r="N780" s="277"/>
      <c r="O780" s="277"/>
      <c r="P780" s="277"/>
      <c r="Q780" s="277"/>
      <c r="R780" s="277"/>
      <c r="S780" s="410"/>
      <c r="T780" s="277"/>
      <c r="U780" s="277"/>
      <c r="V780" s="277"/>
      <c r="W780" s="277"/>
      <c r="X780" s="277"/>
      <c r="Y780" s="277"/>
      <c r="Z780" s="277"/>
    </row>
    <row r="781" ht="12.75" customHeight="1">
      <c r="A781" s="277"/>
      <c r="B781" s="278"/>
      <c r="C781" s="277"/>
      <c r="D781" s="277"/>
      <c r="E781" s="277"/>
      <c r="F781" s="277"/>
      <c r="G781" s="277"/>
      <c r="H781" s="277"/>
      <c r="I781" s="277"/>
      <c r="J781" s="277"/>
      <c r="K781" s="277"/>
      <c r="L781" s="277"/>
      <c r="M781" s="277"/>
      <c r="N781" s="277"/>
      <c r="O781" s="277"/>
      <c r="P781" s="277"/>
      <c r="Q781" s="277"/>
      <c r="R781" s="277"/>
      <c r="S781" s="410"/>
      <c r="T781" s="277"/>
      <c r="U781" s="277"/>
      <c r="V781" s="277"/>
      <c r="W781" s="277"/>
      <c r="X781" s="277"/>
      <c r="Y781" s="277"/>
      <c r="Z781" s="277"/>
    </row>
    <row r="782" ht="12.75" customHeight="1">
      <c r="A782" s="277"/>
      <c r="B782" s="278"/>
      <c r="C782" s="277"/>
      <c r="D782" s="277"/>
      <c r="E782" s="277"/>
      <c r="F782" s="277"/>
      <c r="G782" s="277"/>
      <c r="H782" s="277"/>
      <c r="I782" s="277"/>
      <c r="J782" s="277"/>
      <c r="K782" s="277"/>
      <c r="L782" s="277"/>
      <c r="M782" s="277"/>
      <c r="N782" s="277"/>
      <c r="O782" s="277"/>
      <c r="P782" s="277"/>
      <c r="Q782" s="277"/>
      <c r="R782" s="277"/>
      <c r="S782" s="410"/>
      <c r="T782" s="277"/>
      <c r="U782" s="277"/>
      <c r="V782" s="277"/>
      <c r="W782" s="277"/>
      <c r="X782" s="277"/>
      <c r="Y782" s="277"/>
      <c r="Z782" s="277"/>
    </row>
    <row r="783" ht="12.75" customHeight="1">
      <c r="A783" s="277"/>
      <c r="B783" s="278"/>
      <c r="C783" s="277"/>
      <c r="D783" s="277"/>
      <c r="E783" s="277"/>
      <c r="F783" s="277"/>
      <c r="G783" s="277"/>
      <c r="H783" s="277"/>
      <c r="I783" s="277"/>
      <c r="J783" s="277"/>
      <c r="K783" s="277"/>
      <c r="L783" s="277"/>
      <c r="M783" s="277"/>
      <c r="N783" s="277"/>
      <c r="O783" s="277"/>
      <c r="P783" s="277"/>
      <c r="Q783" s="277"/>
      <c r="R783" s="277"/>
      <c r="S783" s="410"/>
      <c r="T783" s="277"/>
      <c r="U783" s="277"/>
      <c r="V783" s="277"/>
      <c r="W783" s="277"/>
      <c r="X783" s="277"/>
      <c r="Y783" s="277"/>
      <c r="Z783" s="277"/>
    </row>
    <row r="784" ht="12.75" customHeight="1">
      <c r="A784" s="277"/>
      <c r="B784" s="278"/>
      <c r="C784" s="277"/>
      <c r="D784" s="277"/>
      <c r="E784" s="277"/>
      <c r="F784" s="277"/>
      <c r="G784" s="277"/>
      <c r="H784" s="277"/>
      <c r="I784" s="277"/>
      <c r="J784" s="277"/>
      <c r="K784" s="277"/>
      <c r="L784" s="277"/>
      <c r="M784" s="277"/>
      <c r="N784" s="277"/>
      <c r="O784" s="277"/>
      <c r="P784" s="277"/>
      <c r="Q784" s="277"/>
      <c r="R784" s="277"/>
      <c r="S784" s="410"/>
      <c r="T784" s="277"/>
      <c r="U784" s="277"/>
      <c r="V784" s="277"/>
      <c r="W784" s="277"/>
      <c r="X784" s="277"/>
      <c r="Y784" s="277"/>
      <c r="Z784" s="277"/>
    </row>
    <row r="785" ht="12.75" customHeight="1">
      <c r="A785" s="277"/>
      <c r="B785" s="278"/>
      <c r="C785" s="277"/>
      <c r="D785" s="277"/>
      <c r="E785" s="277"/>
      <c r="F785" s="277"/>
      <c r="G785" s="277"/>
      <c r="H785" s="277"/>
      <c r="I785" s="277"/>
      <c r="J785" s="277"/>
      <c r="K785" s="277"/>
      <c r="L785" s="277"/>
      <c r="M785" s="277"/>
      <c r="N785" s="277"/>
      <c r="O785" s="277"/>
      <c r="P785" s="277"/>
      <c r="Q785" s="277"/>
      <c r="R785" s="277"/>
      <c r="S785" s="410"/>
      <c r="T785" s="277"/>
      <c r="U785" s="277"/>
      <c r="V785" s="277"/>
      <c r="W785" s="277"/>
      <c r="X785" s="277"/>
      <c r="Y785" s="277"/>
      <c r="Z785" s="277"/>
    </row>
    <row r="786" ht="12.75" customHeight="1">
      <c r="A786" s="277"/>
      <c r="B786" s="278"/>
      <c r="C786" s="277"/>
      <c r="D786" s="277"/>
      <c r="E786" s="277"/>
      <c r="F786" s="277"/>
      <c r="G786" s="277"/>
      <c r="H786" s="277"/>
      <c r="I786" s="277"/>
      <c r="J786" s="277"/>
      <c r="K786" s="277"/>
      <c r="L786" s="277"/>
      <c r="M786" s="277"/>
      <c r="N786" s="277"/>
      <c r="O786" s="277"/>
      <c r="P786" s="277"/>
      <c r="Q786" s="277"/>
      <c r="R786" s="277"/>
      <c r="S786" s="410"/>
      <c r="T786" s="277"/>
      <c r="U786" s="277"/>
      <c r="V786" s="277"/>
      <c r="W786" s="277"/>
      <c r="X786" s="277"/>
      <c r="Y786" s="277"/>
      <c r="Z786" s="277"/>
    </row>
    <row r="787" ht="12.75" customHeight="1">
      <c r="A787" s="277"/>
      <c r="B787" s="278"/>
      <c r="C787" s="277"/>
      <c r="D787" s="277"/>
      <c r="E787" s="277"/>
      <c r="F787" s="277"/>
      <c r="G787" s="277"/>
      <c r="H787" s="277"/>
      <c r="I787" s="277"/>
      <c r="J787" s="277"/>
      <c r="K787" s="277"/>
      <c r="L787" s="277"/>
      <c r="M787" s="277"/>
      <c r="N787" s="277"/>
      <c r="O787" s="277"/>
      <c r="P787" s="277"/>
      <c r="Q787" s="277"/>
      <c r="R787" s="277"/>
      <c r="S787" s="410"/>
      <c r="T787" s="277"/>
      <c r="U787" s="277"/>
      <c r="V787" s="277"/>
      <c r="W787" s="277"/>
      <c r="X787" s="277"/>
      <c r="Y787" s="277"/>
      <c r="Z787" s="277"/>
    </row>
    <row r="788" ht="12.75" customHeight="1">
      <c r="A788" s="277"/>
      <c r="B788" s="278"/>
      <c r="C788" s="277"/>
      <c r="D788" s="277"/>
      <c r="E788" s="277"/>
      <c r="F788" s="277"/>
      <c r="G788" s="277"/>
      <c r="H788" s="277"/>
      <c r="I788" s="277"/>
      <c r="J788" s="277"/>
      <c r="K788" s="277"/>
      <c r="L788" s="277"/>
      <c r="M788" s="277"/>
      <c r="N788" s="277"/>
      <c r="O788" s="277"/>
      <c r="P788" s="277"/>
      <c r="Q788" s="277"/>
      <c r="R788" s="277"/>
      <c r="S788" s="410"/>
      <c r="T788" s="277"/>
      <c r="U788" s="277"/>
      <c r="V788" s="277"/>
      <c r="W788" s="277"/>
      <c r="X788" s="277"/>
      <c r="Y788" s="277"/>
      <c r="Z788" s="277"/>
    </row>
    <row r="789" ht="12.75" customHeight="1">
      <c r="A789" s="277"/>
      <c r="B789" s="278"/>
      <c r="C789" s="277"/>
      <c r="D789" s="277"/>
      <c r="E789" s="277"/>
      <c r="F789" s="277"/>
      <c r="G789" s="277"/>
      <c r="H789" s="277"/>
      <c r="I789" s="277"/>
      <c r="J789" s="277"/>
      <c r="K789" s="277"/>
      <c r="L789" s="277"/>
      <c r="M789" s="277"/>
      <c r="N789" s="277"/>
      <c r="O789" s="277"/>
      <c r="P789" s="277"/>
      <c r="Q789" s="277"/>
      <c r="R789" s="277"/>
      <c r="S789" s="410"/>
      <c r="T789" s="277"/>
      <c r="U789" s="277"/>
      <c r="V789" s="277"/>
      <c r="W789" s="277"/>
      <c r="X789" s="277"/>
      <c r="Y789" s="277"/>
      <c r="Z789" s="277"/>
    </row>
    <row r="790" ht="12.75" customHeight="1">
      <c r="A790" s="277"/>
      <c r="B790" s="278"/>
      <c r="C790" s="277"/>
      <c r="D790" s="277"/>
      <c r="E790" s="277"/>
      <c r="F790" s="277"/>
      <c r="G790" s="277"/>
      <c r="H790" s="277"/>
      <c r="I790" s="277"/>
      <c r="J790" s="277"/>
      <c r="K790" s="277"/>
      <c r="L790" s="277"/>
      <c r="M790" s="277"/>
      <c r="N790" s="277"/>
      <c r="O790" s="277"/>
      <c r="P790" s="277"/>
      <c r="Q790" s="277"/>
      <c r="R790" s="277"/>
      <c r="S790" s="410"/>
      <c r="T790" s="277"/>
      <c r="U790" s="277"/>
      <c r="V790" s="277"/>
      <c r="W790" s="277"/>
      <c r="X790" s="277"/>
      <c r="Y790" s="277"/>
      <c r="Z790" s="277"/>
    </row>
    <row r="791" ht="12.75" customHeight="1">
      <c r="A791" s="277"/>
      <c r="B791" s="278"/>
      <c r="C791" s="277"/>
      <c r="D791" s="277"/>
      <c r="E791" s="277"/>
      <c r="F791" s="277"/>
      <c r="G791" s="277"/>
      <c r="H791" s="277"/>
      <c r="I791" s="277"/>
      <c r="J791" s="277"/>
      <c r="K791" s="277"/>
      <c r="L791" s="277"/>
      <c r="M791" s="277"/>
      <c r="N791" s="277"/>
      <c r="O791" s="277"/>
      <c r="P791" s="277"/>
      <c r="Q791" s="277"/>
      <c r="R791" s="277"/>
      <c r="S791" s="410"/>
      <c r="T791" s="277"/>
      <c r="U791" s="277"/>
      <c r="V791" s="277"/>
      <c r="W791" s="277"/>
      <c r="X791" s="277"/>
      <c r="Y791" s="277"/>
      <c r="Z791" s="277"/>
    </row>
    <row r="792" ht="12.75" customHeight="1">
      <c r="A792" s="277"/>
      <c r="B792" s="278"/>
      <c r="C792" s="277"/>
      <c r="D792" s="277"/>
      <c r="E792" s="277"/>
      <c r="F792" s="277"/>
      <c r="G792" s="277"/>
      <c r="H792" s="277"/>
      <c r="I792" s="277"/>
      <c r="J792" s="277"/>
      <c r="K792" s="277"/>
      <c r="L792" s="277"/>
      <c r="M792" s="277"/>
      <c r="N792" s="277"/>
      <c r="O792" s="277"/>
      <c r="P792" s="277"/>
      <c r="Q792" s="277"/>
      <c r="R792" s="277"/>
      <c r="S792" s="410"/>
      <c r="T792" s="277"/>
      <c r="U792" s="277"/>
      <c r="V792" s="277"/>
      <c r="W792" s="277"/>
      <c r="X792" s="277"/>
      <c r="Y792" s="277"/>
      <c r="Z792" s="277"/>
    </row>
    <row r="793" ht="12.75" customHeight="1">
      <c r="A793" s="277"/>
      <c r="B793" s="278"/>
      <c r="C793" s="277"/>
      <c r="D793" s="277"/>
      <c r="E793" s="277"/>
      <c r="F793" s="277"/>
      <c r="G793" s="277"/>
      <c r="H793" s="277"/>
      <c r="I793" s="277"/>
      <c r="J793" s="277"/>
      <c r="K793" s="277"/>
      <c r="L793" s="277"/>
      <c r="M793" s="277"/>
      <c r="N793" s="277"/>
      <c r="O793" s="277"/>
      <c r="P793" s="277"/>
      <c r="Q793" s="277"/>
      <c r="R793" s="277"/>
      <c r="S793" s="410"/>
      <c r="T793" s="277"/>
      <c r="U793" s="277"/>
      <c r="V793" s="277"/>
      <c r="W793" s="277"/>
      <c r="X793" s="277"/>
      <c r="Y793" s="277"/>
      <c r="Z793" s="277"/>
    </row>
    <row r="794" ht="12.75" customHeight="1">
      <c r="A794" s="277"/>
      <c r="B794" s="278"/>
      <c r="C794" s="277"/>
      <c r="D794" s="277"/>
      <c r="E794" s="277"/>
      <c r="F794" s="277"/>
      <c r="G794" s="277"/>
      <c r="H794" s="277"/>
      <c r="I794" s="277"/>
      <c r="J794" s="277"/>
      <c r="K794" s="277"/>
      <c r="L794" s="277"/>
      <c r="M794" s="277"/>
      <c r="N794" s="277"/>
      <c r="O794" s="277"/>
      <c r="P794" s="277"/>
      <c r="Q794" s="277"/>
      <c r="R794" s="277"/>
      <c r="S794" s="410"/>
      <c r="T794" s="277"/>
      <c r="U794" s="277"/>
      <c r="V794" s="277"/>
      <c r="W794" s="277"/>
      <c r="X794" s="277"/>
      <c r="Y794" s="277"/>
      <c r="Z794" s="277"/>
    </row>
    <row r="795" ht="12.75" customHeight="1">
      <c r="A795" s="277"/>
      <c r="B795" s="278"/>
      <c r="C795" s="277"/>
      <c r="D795" s="277"/>
      <c r="E795" s="277"/>
      <c r="F795" s="277"/>
      <c r="G795" s="277"/>
      <c r="H795" s="277"/>
      <c r="I795" s="277"/>
      <c r="J795" s="277"/>
      <c r="K795" s="277"/>
      <c r="L795" s="277"/>
      <c r="M795" s="277"/>
      <c r="N795" s="277"/>
      <c r="O795" s="277"/>
      <c r="P795" s="277"/>
      <c r="Q795" s="277"/>
      <c r="R795" s="277"/>
      <c r="S795" s="410"/>
      <c r="T795" s="277"/>
      <c r="U795" s="277"/>
      <c r="V795" s="277"/>
      <c r="W795" s="277"/>
      <c r="X795" s="277"/>
      <c r="Y795" s="277"/>
      <c r="Z795" s="277"/>
    </row>
    <row r="796" ht="12.75" customHeight="1">
      <c r="A796" s="277"/>
      <c r="B796" s="278"/>
      <c r="C796" s="277"/>
      <c r="D796" s="277"/>
      <c r="E796" s="277"/>
      <c r="F796" s="277"/>
      <c r="G796" s="277"/>
      <c r="H796" s="277"/>
      <c r="I796" s="277"/>
      <c r="J796" s="277"/>
      <c r="K796" s="277"/>
      <c r="L796" s="277"/>
      <c r="M796" s="277"/>
      <c r="N796" s="277"/>
      <c r="O796" s="277"/>
      <c r="P796" s="277"/>
      <c r="Q796" s="277"/>
      <c r="R796" s="277"/>
      <c r="S796" s="410"/>
      <c r="T796" s="277"/>
      <c r="U796" s="277"/>
      <c r="V796" s="277"/>
      <c r="W796" s="277"/>
      <c r="X796" s="277"/>
      <c r="Y796" s="277"/>
      <c r="Z796" s="277"/>
    </row>
    <row r="797" ht="12.75" customHeight="1">
      <c r="A797" s="277"/>
      <c r="B797" s="278"/>
      <c r="C797" s="277"/>
      <c r="D797" s="277"/>
      <c r="E797" s="277"/>
      <c r="F797" s="277"/>
      <c r="G797" s="277"/>
      <c r="H797" s="277"/>
      <c r="I797" s="277"/>
      <c r="J797" s="277"/>
      <c r="K797" s="277"/>
      <c r="L797" s="277"/>
      <c r="M797" s="277"/>
      <c r="N797" s="277"/>
      <c r="O797" s="277"/>
      <c r="P797" s="277"/>
      <c r="Q797" s="277"/>
      <c r="R797" s="277"/>
      <c r="S797" s="410"/>
      <c r="T797" s="277"/>
      <c r="U797" s="277"/>
      <c r="V797" s="277"/>
      <c r="W797" s="277"/>
      <c r="X797" s="277"/>
      <c r="Y797" s="277"/>
      <c r="Z797" s="277"/>
    </row>
    <row r="798" ht="12.75" customHeight="1">
      <c r="A798" s="277"/>
      <c r="B798" s="278"/>
      <c r="C798" s="277"/>
      <c r="D798" s="277"/>
      <c r="E798" s="277"/>
      <c r="F798" s="277"/>
      <c r="G798" s="277"/>
      <c r="H798" s="277"/>
      <c r="I798" s="277"/>
      <c r="J798" s="277"/>
      <c r="K798" s="277"/>
      <c r="L798" s="277"/>
      <c r="M798" s="277"/>
      <c r="N798" s="277"/>
      <c r="O798" s="277"/>
      <c r="P798" s="277"/>
      <c r="Q798" s="277"/>
      <c r="R798" s="277"/>
      <c r="S798" s="410"/>
      <c r="T798" s="277"/>
      <c r="U798" s="277"/>
      <c r="V798" s="277"/>
      <c r="W798" s="277"/>
      <c r="X798" s="277"/>
      <c r="Y798" s="277"/>
      <c r="Z798" s="277"/>
    </row>
    <row r="799" ht="12.75" customHeight="1">
      <c r="A799" s="277"/>
      <c r="B799" s="278"/>
      <c r="C799" s="277"/>
      <c r="D799" s="277"/>
      <c r="E799" s="277"/>
      <c r="F799" s="277"/>
      <c r="G799" s="277"/>
      <c r="H799" s="277"/>
      <c r="I799" s="277"/>
      <c r="J799" s="277"/>
      <c r="K799" s="277"/>
      <c r="L799" s="277"/>
      <c r="M799" s="277"/>
      <c r="N799" s="277"/>
      <c r="O799" s="277"/>
      <c r="P799" s="277"/>
      <c r="Q799" s="277"/>
      <c r="R799" s="277"/>
      <c r="S799" s="410"/>
      <c r="T799" s="277"/>
      <c r="U799" s="277"/>
      <c r="V799" s="277"/>
      <c r="W799" s="277"/>
      <c r="X799" s="277"/>
      <c r="Y799" s="277"/>
      <c r="Z799" s="277"/>
    </row>
    <row r="800" ht="12.75" customHeight="1">
      <c r="A800" s="277"/>
      <c r="B800" s="278"/>
      <c r="C800" s="277"/>
      <c r="D800" s="277"/>
      <c r="E800" s="277"/>
      <c r="F800" s="277"/>
      <c r="G800" s="277"/>
      <c r="H800" s="277"/>
      <c r="I800" s="277"/>
      <c r="J800" s="277"/>
      <c r="K800" s="277"/>
      <c r="L800" s="277"/>
      <c r="M800" s="277"/>
      <c r="N800" s="277"/>
      <c r="O800" s="277"/>
      <c r="P800" s="277"/>
      <c r="Q800" s="277"/>
      <c r="R800" s="277"/>
      <c r="S800" s="410"/>
      <c r="T800" s="277"/>
      <c r="U800" s="277"/>
      <c r="V800" s="277"/>
      <c r="W800" s="277"/>
      <c r="X800" s="277"/>
      <c r="Y800" s="277"/>
      <c r="Z800" s="277"/>
    </row>
    <row r="801" ht="12.75" customHeight="1">
      <c r="A801" s="277"/>
      <c r="B801" s="278"/>
      <c r="C801" s="277"/>
      <c r="D801" s="277"/>
      <c r="E801" s="277"/>
      <c r="F801" s="277"/>
      <c r="G801" s="277"/>
      <c r="H801" s="277"/>
      <c r="I801" s="277"/>
      <c r="J801" s="277"/>
      <c r="K801" s="277"/>
      <c r="L801" s="277"/>
      <c r="M801" s="277"/>
      <c r="N801" s="277"/>
      <c r="O801" s="277"/>
      <c r="P801" s="277"/>
      <c r="Q801" s="277"/>
      <c r="R801" s="277"/>
      <c r="S801" s="410"/>
      <c r="T801" s="277"/>
      <c r="U801" s="277"/>
      <c r="V801" s="277"/>
      <c r="W801" s="277"/>
      <c r="X801" s="277"/>
      <c r="Y801" s="277"/>
      <c r="Z801" s="277"/>
    </row>
    <row r="802" ht="12.75" customHeight="1">
      <c r="A802" s="277"/>
      <c r="B802" s="278"/>
      <c r="C802" s="277"/>
      <c r="D802" s="277"/>
      <c r="E802" s="277"/>
      <c r="F802" s="277"/>
      <c r="G802" s="277"/>
      <c r="H802" s="277"/>
      <c r="I802" s="277"/>
      <c r="J802" s="277"/>
      <c r="K802" s="277"/>
      <c r="L802" s="277"/>
      <c r="M802" s="277"/>
      <c r="N802" s="277"/>
      <c r="O802" s="277"/>
      <c r="P802" s="277"/>
      <c r="Q802" s="277"/>
      <c r="R802" s="277"/>
      <c r="S802" s="410"/>
      <c r="T802" s="277"/>
      <c r="U802" s="277"/>
      <c r="V802" s="277"/>
      <c r="W802" s="277"/>
      <c r="X802" s="277"/>
      <c r="Y802" s="277"/>
      <c r="Z802" s="277"/>
    </row>
    <row r="803" ht="12.75" customHeight="1">
      <c r="A803" s="277"/>
      <c r="B803" s="278"/>
      <c r="C803" s="277"/>
      <c r="D803" s="277"/>
      <c r="E803" s="277"/>
      <c r="F803" s="277"/>
      <c r="G803" s="277"/>
      <c r="H803" s="277"/>
      <c r="I803" s="277"/>
      <c r="J803" s="277"/>
      <c r="K803" s="277"/>
      <c r="L803" s="277"/>
      <c r="M803" s="277"/>
      <c r="N803" s="277"/>
      <c r="O803" s="277"/>
      <c r="P803" s="277"/>
      <c r="Q803" s="277"/>
      <c r="R803" s="277"/>
      <c r="S803" s="410"/>
      <c r="T803" s="277"/>
      <c r="U803" s="277"/>
      <c r="V803" s="277"/>
      <c r="W803" s="277"/>
      <c r="X803" s="277"/>
      <c r="Y803" s="277"/>
      <c r="Z803" s="277"/>
    </row>
    <row r="804" ht="12.75" customHeight="1">
      <c r="A804" s="277"/>
      <c r="B804" s="278"/>
      <c r="C804" s="277"/>
      <c r="D804" s="277"/>
      <c r="E804" s="277"/>
      <c r="F804" s="277"/>
      <c r="G804" s="277"/>
      <c r="H804" s="277"/>
      <c r="I804" s="277"/>
      <c r="J804" s="277"/>
      <c r="K804" s="277"/>
      <c r="L804" s="277"/>
      <c r="M804" s="277"/>
      <c r="N804" s="277"/>
      <c r="O804" s="277"/>
      <c r="P804" s="277"/>
      <c r="Q804" s="277"/>
      <c r="R804" s="277"/>
      <c r="S804" s="410"/>
      <c r="T804" s="277"/>
      <c r="U804" s="277"/>
      <c r="V804" s="277"/>
      <c r="W804" s="277"/>
      <c r="X804" s="277"/>
      <c r="Y804" s="277"/>
      <c r="Z804" s="277"/>
    </row>
    <row r="805" ht="12.75" customHeight="1">
      <c r="A805" s="277"/>
      <c r="B805" s="278"/>
      <c r="C805" s="277"/>
      <c r="D805" s="277"/>
      <c r="E805" s="277"/>
      <c r="F805" s="277"/>
      <c r="G805" s="277"/>
      <c r="H805" s="277"/>
      <c r="I805" s="277"/>
      <c r="J805" s="277"/>
      <c r="K805" s="277"/>
      <c r="L805" s="277"/>
      <c r="M805" s="277"/>
      <c r="N805" s="277"/>
      <c r="O805" s="277"/>
      <c r="P805" s="277"/>
      <c r="Q805" s="277"/>
      <c r="R805" s="277"/>
      <c r="S805" s="410"/>
      <c r="T805" s="277"/>
      <c r="U805" s="277"/>
      <c r="V805" s="277"/>
      <c r="W805" s="277"/>
      <c r="X805" s="277"/>
      <c r="Y805" s="277"/>
      <c r="Z805" s="277"/>
    </row>
    <row r="806" ht="12.75" customHeight="1">
      <c r="A806" s="277"/>
      <c r="B806" s="278"/>
      <c r="C806" s="277"/>
      <c r="D806" s="277"/>
      <c r="E806" s="277"/>
      <c r="F806" s="277"/>
      <c r="G806" s="277"/>
      <c r="H806" s="277"/>
      <c r="I806" s="277"/>
      <c r="J806" s="277"/>
      <c r="K806" s="277"/>
      <c r="L806" s="277"/>
      <c r="M806" s="277"/>
      <c r="N806" s="277"/>
      <c r="O806" s="277"/>
      <c r="P806" s="277"/>
      <c r="Q806" s="277"/>
      <c r="R806" s="277"/>
      <c r="S806" s="410"/>
      <c r="T806" s="277"/>
      <c r="U806" s="277"/>
      <c r="V806" s="277"/>
      <c r="W806" s="277"/>
      <c r="X806" s="277"/>
      <c r="Y806" s="277"/>
      <c r="Z806" s="277"/>
    </row>
    <row r="807" ht="12.75" customHeight="1">
      <c r="A807" s="277"/>
      <c r="B807" s="278"/>
      <c r="C807" s="277"/>
      <c r="D807" s="277"/>
      <c r="E807" s="277"/>
      <c r="F807" s="277"/>
      <c r="G807" s="277"/>
      <c r="H807" s="277"/>
      <c r="I807" s="277"/>
      <c r="J807" s="277"/>
      <c r="K807" s="277"/>
      <c r="L807" s="277"/>
      <c r="M807" s="277"/>
      <c r="N807" s="277"/>
      <c r="O807" s="277"/>
      <c r="P807" s="277"/>
      <c r="Q807" s="277"/>
      <c r="R807" s="277"/>
      <c r="S807" s="410"/>
      <c r="T807" s="277"/>
      <c r="U807" s="277"/>
      <c r="V807" s="277"/>
      <c r="W807" s="277"/>
      <c r="X807" s="277"/>
      <c r="Y807" s="277"/>
      <c r="Z807" s="277"/>
    </row>
    <row r="808" ht="12.75" customHeight="1">
      <c r="A808" s="277"/>
      <c r="B808" s="278"/>
      <c r="C808" s="277"/>
      <c r="D808" s="277"/>
      <c r="E808" s="277"/>
      <c r="F808" s="277"/>
      <c r="G808" s="277"/>
      <c r="H808" s="277"/>
      <c r="I808" s="277"/>
      <c r="J808" s="277"/>
      <c r="K808" s="277"/>
      <c r="L808" s="277"/>
      <c r="M808" s="277"/>
      <c r="N808" s="277"/>
      <c r="O808" s="277"/>
      <c r="P808" s="277"/>
      <c r="Q808" s="277"/>
      <c r="R808" s="277"/>
      <c r="S808" s="410"/>
      <c r="T808" s="277"/>
      <c r="U808" s="277"/>
      <c r="V808" s="277"/>
      <c r="W808" s="277"/>
      <c r="X808" s="277"/>
      <c r="Y808" s="277"/>
      <c r="Z808" s="277"/>
    </row>
    <row r="809" ht="12.75" customHeight="1">
      <c r="A809" s="277"/>
      <c r="B809" s="278"/>
      <c r="C809" s="277"/>
      <c r="D809" s="277"/>
      <c r="E809" s="277"/>
      <c r="F809" s="277"/>
      <c r="G809" s="277"/>
      <c r="H809" s="277"/>
      <c r="I809" s="277"/>
      <c r="J809" s="277"/>
      <c r="K809" s="277"/>
      <c r="L809" s="277"/>
      <c r="M809" s="277"/>
      <c r="N809" s="277"/>
      <c r="O809" s="277"/>
      <c r="P809" s="277"/>
      <c r="Q809" s="277"/>
      <c r="R809" s="277"/>
      <c r="S809" s="410"/>
      <c r="T809" s="277"/>
      <c r="U809" s="277"/>
      <c r="V809" s="277"/>
      <c r="W809" s="277"/>
      <c r="X809" s="277"/>
      <c r="Y809" s="277"/>
      <c r="Z809" s="277"/>
    </row>
    <row r="810" ht="12.75" customHeight="1">
      <c r="A810" s="277"/>
      <c r="B810" s="278"/>
      <c r="C810" s="277"/>
      <c r="D810" s="277"/>
      <c r="E810" s="277"/>
      <c r="F810" s="277"/>
      <c r="G810" s="277"/>
      <c r="H810" s="277"/>
      <c r="I810" s="277"/>
      <c r="J810" s="277"/>
      <c r="K810" s="277"/>
      <c r="L810" s="277"/>
      <c r="M810" s="277"/>
      <c r="N810" s="277"/>
      <c r="O810" s="277"/>
      <c r="P810" s="277"/>
      <c r="Q810" s="277"/>
      <c r="R810" s="277"/>
      <c r="S810" s="410"/>
      <c r="T810" s="277"/>
      <c r="U810" s="277"/>
      <c r="V810" s="277"/>
      <c r="W810" s="277"/>
      <c r="X810" s="277"/>
      <c r="Y810" s="277"/>
      <c r="Z810" s="277"/>
    </row>
    <row r="811" ht="12.75" customHeight="1">
      <c r="A811" s="277"/>
      <c r="B811" s="278"/>
      <c r="C811" s="277"/>
      <c r="D811" s="277"/>
      <c r="E811" s="277"/>
      <c r="F811" s="277"/>
      <c r="G811" s="277"/>
      <c r="H811" s="277"/>
      <c r="I811" s="277"/>
      <c r="J811" s="277"/>
      <c r="K811" s="277"/>
      <c r="L811" s="277"/>
      <c r="M811" s="277"/>
      <c r="N811" s="277"/>
      <c r="O811" s="277"/>
      <c r="P811" s="277"/>
      <c r="Q811" s="277"/>
      <c r="R811" s="277"/>
      <c r="S811" s="410"/>
      <c r="T811" s="277"/>
      <c r="U811" s="277"/>
      <c r="V811" s="277"/>
      <c r="W811" s="277"/>
      <c r="X811" s="277"/>
      <c r="Y811" s="277"/>
      <c r="Z811" s="277"/>
    </row>
    <row r="812" ht="12.75" customHeight="1">
      <c r="A812" s="277"/>
      <c r="B812" s="278"/>
      <c r="C812" s="277"/>
      <c r="D812" s="277"/>
      <c r="E812" s="277"/>
      <c r="F812" s="277"/>
      <c r="G812" s="277"/>
      <c r="H812" s="277"/>
      <c r="I812" s="277"/>
      <c r="J812" s="277"/>
      <c r="K812" s="277"/>
      <c r="L812" s="277"/>
      <c r="M812" s="277"/>
      <c r="N812" s="277"/>
      <c r="O812" s="277"/>
      <c r="P812" s="277"/>
      <c r="Q812" s="277"/>
      <c r="R812" s="277"/>
      <c r="S812" s="410"/>
      <c r="T812" s="277"/>
      <c r="U812" s="277"/>
      <c r="V812" s="277"/>
      <c r="W812" s="277"/>
      <c r="X812" s="277"/>
      <c r="Y812" s="277"/>
      <c r="Z812" s="277"/>
    </row>
    <row r="813" ht="12.75" customHeight="1">
      <c r="A813" s="277"/>
      <c r="B813" s="278"/>
      <c r="C813" s="277"/>
      <c r="D813" s="277"/>
      <c r="E813" s="277"/>
      <c r="F813" s="277"/>
      <c r="G813" s="277"/>
      <c r="H813" s="277"/>
      <c r="I813" s="277"/>
      <c r="J813" s="277"/>
      <c r="K813" s="277"/>
      <c r="L813" s="277"/>
      <c r="M813" s="277"/>
      <c r="N813" s="277"/>
      <c r="O813" s="277"/>
      <c r="P813" s="277"/>
      <c r="Q813" s="277"/>
      <c r="R813" s="277"/>
      <c r="S813" s="410"/>
      <c r="T813" s="277"/>
      <c r="U813" s="277"/>
      <c r="V813" s="277"/>
      <c r="W813" s="277"/>
      <c r="X813" s="277"/>
      <c r="Y813" s="277"/>
      <c r="Z813" s="277"/>
    </row>
    <row r="814" ht="12.75" customHeight="1">
      <c r="A814" s="277"/>
      <c r="B814" s="278"/>
      <c r="C814" s="277"/>
      <c r="D814" s="277"/>
      <c r="E814" s="277"/>
      <c r="F814" s="277"/>
      <c r="G814" s="277"/>
      <c r="H814" s="277"/>
      <c r="I814" s="277"/>
      <c r="J814" s="277"/>
      <c r="K814" s="277"/>
      <c r="L814" s="277"/>
      <c r="M814" s="277"/>
      <c r="N814" s="277"/>
      <c r="O814" s="277"/>
      <c r="P814" s="277"/>
      <c r="Q814" s="277"/>
      <c r="R814" s="277"/>
      <c r="S814" s="410"/>
      <c r="T814" s="277"/>
      <c r="U814" s="277"/>
      <c r="V814" s="277"/>
      <c r="W814" s="277"/>
      <c r="X814" s="277"/>
      <c r="Y814" s="277"/>
      <c r="Z814" s="277"/>
    </row>
    <row r="815" ht="12.75" customHeight="1">
      <c r="A815" s="277"/>
      <c r="B815" s="278"/>
      <c r="C815" s="277"/>
      <c r="D815" s="277"/>
      <c r="E815" s="277"/>
      <c r="F815" s="277"/>
      <c r="G815" s="277"/>
      <c r="H815" s="277"/>
      <c r="I815" s="277"/>
      <c r="J815" s="277"/>
      <c r="K815" s="277"/>
      <c r="L815" s="277"/>
      <c r="M815" s="277"/>
      <c r="N815" s="277"/>
      <c r="O815" s="277"/>
      <c r="P815" s="277"/>
      <c r="Q815" s="277"/>
      <c r="R815" s="277"/>
      <c r="S815" s="410"/>
      <c r="T815" s="277"/>
      <c r="U815" s="277"/>
      <c r="V815" s="277"/>
      <c r="W815" s="277"/>
      <c r="X815" s="277"/>
      <c r="Y815" s="277"/>
      <c r="Z815" s="277"/>
    </row>
    <row r="816" ht="12.75" customHeight="1">
      <c r="A816" s="277"/>
      <c r="B816" s="278"/>
      <c r="C816" s="277"/>
      <c r="D816" s="277"/>
      <c r="E816" s="277"/>
      <c r="F816" s="277"/>
      <c r="G816" s="277"/>
      <c r="H816" s="277"/>
      <c r="I816" s="277"/>
      <c r="J816" s="277"/>
      <c r="K816" s="277"/>
      <c r="L816" s="277"/>
      <c r="M816" s="277"/>
      <c r="N816" s="277"/>
      <c r="O816" s="277"/>
      <c r="P816" s="277"/>
      <c r="Q816" s="277"/>
      <c r="R816" s="277"/>
      <c r="S816" s="410"/>
      <c r="T816" s="277"/>
      <c r="U816" s="277"/>
      <c r="V816" s="277"/>
      <c r="W816" s="277"/>
      <c r="X816" s="277"/>
      <c r="Y816" s="277"/>
      <c r="Z816" s="277"/>
    </row>
    <row r="817" ht="12.75" customHeight="1">
      <c r="A817" s="277"/>
      <c r="B817" s="278"/>
      <c r="C817" s="277"/>
      <c r="D817" s="277"/>
      <c r="E817" s="277"/>
      <c r="F817" s="277"/>
      <c r="G817" s="277"/>
      <c r="H817" s="277"/>
      <c r="I817" s="277"/>
      <c r="J817" s="277"/>
      <c r="K817" s="277"/>
      <c r="L817" s="277"/>
      <c r="M817" s="277"/>
      <c r="N817" s="277"/>
      <c r="O817" s="277"/>
      <c r="P817" s="277"/>
      <c r="Q817" s="277"/>
      <c r="R817" s="277"/>
      <c r="S817" s="410"/>
      <c r="T817" s="277"/>
      <c r="U817" s="277"/>
      <c r="V817" s="277"/>
      <c r="W817" s="277"/>
      <c r="X817" s="277"/>
      <c r="Y817" s="277"/>
      <c r="Z817" s="277"/>
    </row>
    <row r="818" ht="12.75" customHeight="1">
      <c r="A818" s="277"/>
      <c r="B818" s="278"/>
      <c r="C818" s="277"/>
      <c r="D818" s="277"/>
      <c r="E818" s="277"/>
      <c r="F818" s="277"/>
      <c r="G818" s="277"/>
      <c r="H818" s="277"/>
      <c r="I818" s="277"/>
      <c r="J818" s="277"/>
      <c r="K818" s="277"/>
      <c r="L818" s="277"/>
      <c r="M818" s="277"/>
      <c r="N818" s="277"/>
      <c r="O818" s="277"/>
      <c r="P818" s="277"/>
      <c r="Q818" s="277"/>
      <c r="R818" s="277"/>
      <c r="S818" s="410"/>
      <c r="T818" s="277"/>
      <c r="U818" s="277"/>
      <c r="V818" s="277"/>
      <c r="W818" s="277"/>
      <c r="X818" s="277"/>
      <c r="Y818" s="277"/>
      <c r="Z818" s="277"/>
    </row>
    <row r="819" ht="12.75" customHeight="1">
      <c r="A819" s="277"/>
      <c r="B819" s="278"/>
      <c r="C819" s="277"/>
      <c r="D819" s="277"/>
      <c r="E819" s="277"/>
      <c r="F819" s="277"/>
      <c r="G819" s="277"/>
      <c r="H819" s="277"/>
      <c r="I819" s="277"/>
      <c r="J819" s="277"/>
      <c r="K819" s="277"/>
      <c r="L819" s="277"/>
      <c r="M819" s="277"/>
      <c r="N819" s="277"/>
      <c r="O819" s="277"/>
      <c r="P819" s="277"/>
      <c r="Q819" s="277"/>
      <c r="R819" s="277"/>
      <c r="S819" s="410"/>
      <c r="T819" s="277"/>
      <c r="U819" s="277"/>
      <c r="V819" s="277"/>
      <c r="W819" s="277"/>
      <c r="X819" s="277"/>
      <c r="Y819" s="277"/>
      <c r="Z819" s="277"/>
    </row>
    <row r="820" ht="12.75" customHeight="1">
      <c r="A820" s="277"/>
      <c r="B820" s="278"/>
      <c r="C820" s="277"/>
      <c r="D820" s="277"/>
      <c r="E820" s="277"/>
      <c r="F820" s="277"/>
      <c r="G820" s="277"/>
      <c r="H820" s="277"/>
      <c r="I820" s="277"/>
      <c r="J820" s="277"/>
      <c r="K820" s="277"/>
      <c r="L820" s="277"/>
      <c r="M820" s="277"/>
      <c r="N820" s="277"/>
      <c r="O820" s="277"/>
      <c r="P820" s="277"/>
      <c r="Q820" s="277"/>
      <c r="R820" s="277"/>
      <c r="S820" s="410"/>
      <c r="T820" s="277"/>
      <c r="U820" s="277"/>
      <c r="V820" s="277"/>
      <c r="W820" s="277"/>
      <c r="X820" s="277"/>
      <c r="Y820" s="277"/>
      <c r="Z820" s="277"/>
    </row>
    <row r="821" ht="12.75" customHeight="1">
      <c r="A821" s="277"/>
      <c r="B821" s="278"/>
      <c r="C821" s="277"/>
      <c r="D821" s="277"/>
      <c r="E821" s="277"/>
      <c r="F821" s="277"/>
      <c r="G821" s="277"/>
      <c r="H821" s="277"/>
      <c r="I821" s="277"/>
      <c r="J821" s="277"/>
      <c r="K821" s="277"/>
      <c r="L821" s="277"/>
      <c r="M821" s="277"/>
      <c r="N821" s="277"/>
      <c r="O821" s="277"/>
      <c r="P821" s="277"/>
      <c r="Q821" s="277"/>
      <c r="R821" s="277"/>
      <c r="S821" s="410"/>
      <c r="T821" s="277"/>
      <c r="U821" s="277"/>
      <c r="V821" s="277"/>
      <c r="W821" s="277"/>
      <c r="X821" s="277"/>
      <c r="Y821" s="277"/>
      <c r="Z821" s="277"/>
    </row>
    <row r="822" ht="12.75" customHeight="1">
      <c r="A822" s="277"/>
      <c r="B822" s="278"/>
      <c r="C822" s="277"/>
      <c r="D822" s="277"/>
      <c r="E822" s="277"/>
      <c r="F822" s="277"/>
      <c r="G822" s="277"/>
      <c r="H822" s="277"/>
      <c r="I822" s="277"/>
      <c r="J822" s="277"/>
      <c r="K822" s="277"/>
      <c r="L822" s="277"/>
      <c r="M822" s="277"/>
      <c r="N822" s="277"/>
      <c r="O822" s="277"/>
      <c r="P822" s="277"/>
      <c r="Q822" s="277"/>
      <c r="R822" s="277"/>
      <c r="S822" s="410"/>
      <c r="T822" s="277"/>
      <c r="U822" s="277"/>
      <c r="V822" s="277"/>
      <c r="W822" s="277"/>
      <c r="X822" s="277"/>
      <c r="Y822" s="277"/>
      <c r="Z822" s="277"/>
    </row>
    <row r="823" ht="12.75" customHeight="1">
      <c r="A823" s="277"/>
      <c r="B823" s="278"/>
      <c r="C823" s="277"/>
      <c r="D823" s="277"/>
      <c r="E823" s="277"/>
      <c r="F823" s="277"/>
      <c r="G823" s="277"/>
      <c r="H823" s="277"/>
      <c r="I823" s="277"/>
      <c r="J823" s="277"/>
      <c r="K823" s="277"/>
      <c r="L823" s="277"/>
      <c r="M823" s="277"/>
      <c r="N823" s="277"/>
      <c r="O823" s="277"/>
      <c r="P823" s="277"/>
      <c r="Q823" s="277"/>
      <c r="R823" s="277"/>
      <c r="S823" s="410"/>
      <c r="T823" s="277"/>
      <c r="U823" s="277"/>
      <c r="V823" s="277"/>
      <c r="W823" s="277"/>
      <c r="X823" s="277"/>
      <c r="Y823" s="277"/>
      <c r="Z823" s="277"/>
    </row>
    <row r="824" ht="12.75" customHeight="1">
      <c r="A824" s="277"/>
      <c r="B824" s="278"/>
      <c r="C824" s="277"/>
      <c r="D824" s="277"/>
      <c r="E824" s="277"/>
      <c r="F824" s="277"/>
      <c r="G824" s="277"/>
      <c r="H824" s="277"/>
      <c r="I824" s="277"/>
      <c r="J824" s="277"/>
      <c r="K824" s="277"/>
      <c r="L824" s="277"/>
      <c r="M824" s="277"/>
      <c r="N824" s="277"/>
      <c r="O824" s="277"/>
      <c r="P824" s="277"/>
      <c r="Q824" s="277"/>
      <c r="R824" s="277"/>
      <c r="S824" s="410"/>
      <c r="T824" s="277"/>
      <c r="U824" s="277"/>
      <c r="V824" s="277"/>
      <c r="W824" s="277"/>
      <c r="X824" s="277"/>
      <c r="Y824" s="277"/>
      <c r="Z824" s="277"/>
    </row>
    <row r="825" ht="12.75" customHeight="1">
      <c r="A825" s="277"/>
      <c r="B825" s="278"/>
      <c r="C825" s="277"/>
      <c r="D825" s="277"/>
      <c r="E825" s="277"/>
      <c r="F825" s="277"/>
      <c r="G825" s="277"/>
      <c r="H825" s="277"/>
      <c r="I825" s="277"/>
      <c r="J825" s="277"/>
      <c r="K825" s="277"/>
      <c r="L825" s="277"/>
      <c r="M825" s="277"/>
      <c r="N825" s="277"/>
      <c r="O825" s="277"/>
      <c r="P825" s="277"/>
      <c r="Q825" s="277"/>
      <c r="R825" s="277"/>
      <c r="S825" s="410"/>
      <c r="T825" s="277"/>
      <c r="U825" s="277"/>
      <c r="V825" s="277"/>
      <c r="W825" s="277"/>
      <c r="X825" s="277"/>
      <c r="Y825" s="277"/>
      <c r="Z825" s="277"/>
    </row>
    <row r="826" ht="12.75" customHeight="1">
      <c r="A826" s="277"/>
      <c r="B826" s="278"/>
      <c r="C826" s="277"/>
      <c r="D826" s="277"/>
      <c r="E826" s="277"/>
      <c r="F826" s="277"/>
      <c r="G826" s="277"/>
      <c r="H826" s="277"/>
      <c r="I826" s="277"/>
      <c r="J826" s="277"/>
      <c r="K826" s="277"/>
      <c r="L826" s="277"/>
      <c r="M826" s="277"/>
      <c r="N826" s="277"/>
      <c r="O826" s="277"/>
      <c r="P826" s="277"/>
      <c r="Q826" s="277"/>
      <c r="R826" s="277"/>
      <c r="S826" s="410"/>
      <c r="T826" s="277"/>
      <c r="U826" s="277"/>
      <c r="V826" s="277"/>
      <c r="W826" s="277"/>
      <c r="X826" s="277"/>
      <c r="Y826" s="277"/>
      <c r="Z826" s="277"/>
    </row>
    <row r="827" ht="12.75" customHeight="1">
      <c r="A827" s="277"/>
      <c r="B827" s="278"/>
      <c r="C827" s="277"/>
      <c r="D827" s="277"/>
      <c r="E827" s="277"/>
      <c r="F827" s="277"/>
      <c r="G827" s="277"/>
      <c r="H827" s="277"/>
      <c r="I827" s="277"/>
      <c r="J827" s="277"/>
      <c r="K827" s="277"/>
      <c r="L827" s="277"/>
      <c r="M827" s="277"/>
      <c r="N827" s="277"/>
      <c r="O827" s="277"/>
      <c r="P827" s="277"/>
      <c r="Q827" s="277"/>
      <c r="R827" s="277"/>
      <c r="S827" s="410"/>
      <c r="T827" s="277"/>
      <c r="U827" s="277"/>
      <c r="V827" s="277"/>
      <c r="W827" s="277"/>
      <c r="X827" s="277"/>
      <c r="Y827" s="277"/>
      <c r="Z827" s="277"/>
    </row>
    <row r="828" ht="12.75" customHeight="1">
      <c r="A828" s="277"/>
      <c r="B828" s="278"/>
      <c r="C828" s="277"/>
      <c r="D828" s="277"/>
      <c r="E828" s="277"/>
      <c r="F828" s="277"/>
      <c r="G828" s="277"/>
      <c r="H828" s="277"/>
      <c r="I828" s="277"/>
      <c r="J828" s="277"/>
      <c r="K828" s="277"/>
      <c r="L828" s="277"/>
      <c r="M828" s="277"/>
      <c r="N828" s="277"/>
      <c r="O828" s="277"/>
      <c r="P828" s="277"/>
      <c r="Q828" s="277"/>
      <c r="R828" s="277"/>
      <c r="S828" s="410"/>
      <c r="T828" s="277"/>
      <c r="U828" s="277"/>
      <c r="V828" s="277"/>
      <c r="W828" s="277"/>
      <c r="X828" s="277"/>
      <c r="Y828" s="277"/>
      <c r="Z828" s="277"/>
    </row>
    <row r="829" ht="12.75" customHeight="1">
      <c r="A829" s="277"/>
      <c r="B829" s="278"/>
      <c r="C829" s="277"/>
      <c r="D829" s="277"/>
      <c r="E829" s="277"/>
      <c r="F829" s="277"/>
      <c r="G829" s="277"/>
      <c r="H829" s="277"/>
      <c r="I829" s="277"/>
      <c r="J829" s="277"/>
      <c r="K829" s="277"/>
      <c r="L829" s="277"/>
      <c r="M829" s="277"/>
      <c r="N829" s="277"/>
      <c r="O829" s="277"/>
      <c r="P829" s="277"/>
      <c r="Q829" s="277"/>
      <c r="R829" s="277"/>
      <c r="S829" s="410"/>
      <c r="T829" s="277"/>
      <c r="U829" s="277"/>
      <c r="V829" s="277"/>
      <c r="W829" s="277"/>
      <c r="X829" s="277"/>
      <c r="Y829" s="277"/>
      <c r="Z829" s="277"/>
    </row>
    <row r="830" ht="12.75" customHeight="1">
      <c r="A830" s="277"/>
      <c r="B830" s="278"/>
      <c r="C830" s="277"/>
      <c r="D830" s="277"/>
      <c r="E830" s="277"/>
      <c r="F830" s="277"/>
      <c r="G830" s="277"/>
      <c r="H830" s="277"/>
      <c r="I830" s="277"/>
      <c r="J830" s="277"/>
      <c r="K830" s="277"/>
      <c r="L830" s="277"/>
      <c r="M830" s="277"/>
      <c r="N830" s="277"/>
      <c r="O830" s="277"/>
      <c r="P830" s="277"/>
      <c r="Q830" s="277"/>
      <c r="R830" s="277"/>
      <c r="S830" s="410"/>
      <c r="T830" s="277"/>
      <c r="U830" s="277"/>
      <c r="V830" s="277"/>
      <c r="W830" s="277"/>
      <c r="X830" s="277"/>
      <c r="Y830" s="277"/>
      <c r="Z830" s="277"/>
    </row>
    <row r="831" ht="12.75" customHeight="1">
      <c r="A831" s="277"/>
      <c r="B831" s="278"/>
      <c r="C831" s="277"/>
      <c r="D831" s="277"/>
      <c r="E831" s="277"/>
      <c r="F831" s="277"/>
      <c r="G831" s="277"/>
      <c r="H831" s="277"/>
      <c r="I831" s="277"/>
      <c r="J831" s="277"/>
      <c r="K831" s="277"/>
      <c r="L831" s="277"/>
      <c r="M831" s="277"/>
      <c r="N831" s="277"/>
      <c r="O831" s="277"/>
      <c r="P831" s="277"/>
      <c r="Q831" s="277"/>
      <c r="R831" s="277"/>
      <c r="S831" s="410"/>
      <c r="T831" s="277"/>
      <c r="U831" s="277"/>
      <c r="V831" s="277"/>
      <c r="W831" s="277"/>
      <c r="X831" s="277"/>
      <c r="Y831" s="277"/>
      <c r="Z831" s="277"/>
    </row>
    <row r="832" ht="12.75" customHeight="1">
      <c r="A832" s="277"/>
      <c r="B832" s="278"/>
      <c r="C832" s="277"/>
      <c r="D832" s="277"/>
      <c r="E832" s="277"/>
      <c r="F832" s="277"/>
      <c r="G832" s="277"/>
      <c r="H832" s="277"/>
      <c r="I832" s="277"/>
      <c r="J832" s="277"/>
      <c r="K832" s="277"/>
      <c r="L832" s="277"/>
      <c r="M832" s="277"/>
      <c r="N832" s="277"/>
      <c r="O832" s="277"/>
      <c r="P832" s="277"/>
      <c r="Q832" s="277"/>
      <c r="R832" s="277"/>
      <c r="S832" s="410"/>
      <c r="T832" s="277"/>
      <c r="U832" s="277"/>
      <c r="V832" s="277"/>
      <c r="W832" s="277"/>
      <c r="X832" s="277"/>
      <c r="Y832" s="277"/>
      <c r="Z832" s="277"/>
    </row>
    <row r="833" ht="12.75" customHeight="1">
      <c r="A833" s="277"/>
      <c r="B833" s="278"/>
      <c r="C833" s="277"/>
      <c r="D833" s="277"/>
      <c r="E833" s="277"/>
      <c r="F833" s="277"/>
      <c r="G833" s="277"/>
      <c r="H833" s="277"/>
      <c r="I833" s="277"/>
      <c r="J833" s="277"/>
      <c r="K833" s="277"/>
      <c r="L833" s="277"/>
      <c r="M833" s="277"/>
      <c r="N833" s="277"/>
      <c r="O833" s="277"/>
      <c r="P833" s="277"/>
      <c r="Q833" s="277"/>
      <c r="R833" s="277"/>
      <c r="S833" s="410"/>
      <c r="T833" s="277"/>
      <c r="U833" s="277"/>
      <c r="V833" s="277"/>
      <c r="W833" s="277"/>
      <c r="X833" s="277"/>
      <c r="Y833" s="277"/>
      <c r="Z833" s="277"/>
    </row>
    <row r="834" ht="12.75" customHeight="1">
      <c r="A834" s="277"/>
      <c r="B834" s="278"/>
      <c r="C834" s="277"/>
      <c r="D834" s="277"/>
      <c r="E834" s="277"/>
      <c r="F834" s="277"/>
      <c r="G834" s="277"/>
      <c r="H834" s="277"/>
      <c r="I834" s="277"/>
      <c r="J834" s="277"/>
      <c r="K834" s="277"/>
      <c r="L834" s="277"/>
      <c r="M834" s="277"/>
      <c r="N834" s="277"/>
      <c r="O834" s="277"/>
      <c r="P834" s="277"/>
      <c r="Q834" s="277"/>
      <c r="R834" s="277"/>
      <c r="S834" s="410"/>
      <c r="T834" s="277"/>
      <c r="U834" s="277"/>
      <c r="V834" s="277"/>
      <c r="W834" s="277"/>
      <c r="X834" s="277"/>
      <c r="Y834" s="277"/>
      <c r="Z834" s="277"/>
    </row>
    <row r="835" ht="12.75" customHeight="1">
      <c r="A835" s="277"/>
      <c r="B835" s="278"/>
      <c r="C835" s="277"/>
      <c r="D835" s="277"/>
      <c r="E835" s="277"/>
      <c r="F835" s="277"/>
      <c r="G835" s="277"/>
      <c r="H835" s="277"/>
      <c r="I835" s="277"/>
      <c r="J835" s="277"/>
      <c r="K835" s="277"/>
      <c r="L835" s="277"/>
      <c r="M835" s="277"/>
      <c r="N835" s="277"/>
      <c r="O835" s="277"/>
      <c r="P835" s="277"/>
      <c r="Q835" s="277"/>
      <c r="R835" s="277"/>
      <c r="S835" s="410"/>
      <c r="T835" s="277"/>
      <c r="U835" s="277"/>
      <c r="V835" s="277"/>
      <c r="W835" s="277"/>
      <c r="X835" s="277"/>
      <c r="Y835" s="277"/>
      <c r="Z835" s="277"/>
    </row>
    <row r="836" ht="12.75" customHeight="1">
      <c r="A836" s="277"/>
      <c r="B836" s="278"/>
      <c r="C836" s="277"/>
      <c r="D836" s="277"/>
      <c r="E836" s="277"/>
      <c r="F836" s="277"/>
      <c r="G836" s="277"/>
      <c r="H836" s="277"/>
      <c r="I836" s="277"/>
      <c r="J836" s="277"/>
      <c r="K836" s="277"/>
      <c r="L836" s="277"/>
      <c r="M836" s="277"/>
      <c r="N836" s="277"/>
      <c r="O836" s="277"/>
      <c r="P836" s="277"/>
      <c r="Q836" s="277"/>
      <c r="R836" s="277"/>
      <c r="S836" s="410"/>
      <c r="T836" s="277"/>
      <c r="U836" s="277"/>
      <c r="V836" s="277"/>
      <c r="W836" s="277"/>
      <c r="X836" s="277"/>
      <c r="Y836" s="277"/>
      <c r="Z836" s="277"/>
    </row>
    <row r="837" ht="12.75" customHeight="1">
      <c r="A837" s="277"/>
      <c r="B837" s="278"/>
      <c r="C837" s="277"/>
      <c r="D837" s="277"/>
      <c r="E837" s="277"/>
      <c r="F837" s="277"/>
      <c r="G837" s="277"/>
      <c r="H837" s="277"/>
      <c r="I837" s="277"/>
      <c r="J837" s="277"/>
      <c r="K837" s="277"/>
      <c r="L837" s="277"/>
      <c r="M837" s="277"/>
      <c r="N837" s="277"/>
      <c r="O837" s="277"/>
      <c r="P837" s="277"/>
      <c r="Q837" s="277"/>
      <c r="R837" s="277"/>
      <c r="S837" s="410"/>
      <c r="T837" s="277"/>
      <c r="U837" s="277"/>
      <c r="V837" s="277"/>
      <c r="W837" s="277"/>
      <c r="X837" s="277"/>
      <c r="Y837" s="277"/>
      <c r="Z837" s="277"/>
    </row>
    <row r="838" ht="12.75" customHeight="1">
      <c r="A838" s="277"/>
      <c r="B838" s="278"/>
      <c r="C838" s="277"/>
      <c r="D838" s="277"/>
      <c r="E838" s="277"/>
      <c r="F838" s="277"/>
      <c r="G838" s="277"/>
      <c r="H838" s="277"/>
      <c r="I838" s="277"/>
      <c r="J838" s="277"/>
      <c r="K838" s="277"/>
      <c r="L838" s="277"/>
      <c r="M838" s="277"/>
      <c r="N838" s="277"/>
      <c r="O838" s="277"/>
      <c r="P838" s="277"/>
      <c r="Q838" s="277"/>
      <c r="R838" s="277"/>
      <c r="S838" s="410"/>
      <c r="T838" s="277"/>
      <c r="U838" s="277"/>
      <c r="V838" s="277"/>
      <c r="W838" s="277"/>
      <c r="X838" s="277"/>
      <c r="Y838" s="277"/>
      <c r="Z838" s="277"/>
    </row>
    <row r="839" ht="12.75" customHeight="1">
      <c r="A839" s="277"/>
      <c r="B839" s="278"/>
      <c r="C839" s="277"/>
      <c r="D839" s="277"/>
      <c r="E839" s="277"/>
      <c r="F839" s="277"/>
      <c r="G839" s="277"/>
      <c r="H839" s="277"/>
      <c r="I839" s="277"/>
      <c r="J839" s="277"/>
      <c r="K839" s="277"/>
      <c r="L839" s="277"/>
      <c r="M839" s="277"/>
      <c r="N839" s="277"/>
      <c r="O839" s="277"/>
      <c r="P839" s="277"/>
      <c r="Q839" s="277"/>
      <c r="R839" s="277"/>
      <c r="S839" s="410"/>
      <c r="T839" s="277"/>
      <c r="U839" s="277"/>
      <c r="V839" s="277"/>
      <c r="W839" s="277"/>
      <c r="X839" s="277"/>
      <c r="Y839" s="277"/>
      <c r="Z839" s="277"/>
    </row>
    <row r="840" ht="12.75" customHeight="1">
      <c r="A840" s="277"/>
      <c r="B840" s="278"/>
      <c r="C840" s="277"/>
      <c r="D840" s="277"/>
      <c r="E840" s="277"/>
      <c r="F840" s="277"/>
      <c r="G840" s="277"/>
      <c r="H840" s="277"/>
      <c r="I840" s="277"/>
      <c r="J840" s="277"/>
      <c r="K840" s="277"/>
      <c r="L840" s="277"/>
      <c r="M840" s="277"/>
      <c r="N840" s="277"/>
      <c r="O840" s="277"/>
      <c r="P840" s="277"/>
      <c r="Q840" s="277"/>
      <c r="R840" s="277"/>
      <c r="S840" s="410"/>
      <c r="T840" s="277"/>
      <c r="U840" s="277"/>
      <c r="V840" s="277"/>
      <c r="W840" s="277"/>
      <c r="X840" s="277"/>
      <c r="Y840" s="277"/>
      <c r="Z840" s="277"/>
    </row>
    <row r="841" ht="12.75" customHeight="1">
      <c r="A841" s="277"/>
      <c r="B841" s="278"/>
      <c r="C841" s="277"/>
      <c r="D841" s="277"/>
      <c r="E841" s="277"/>
      <c r="F841" s="277"/>
      <c r="G841" s="277"/>
      <c r="H841" s="277"/>
      <c r="I841" s="277"/>
      <c r="J841" s="277"/>
      <c r="K841" s="277"/>
      <c r="L841" s="277"/>
      <c r="M841" s="277"/>
      <c r="N841" s="277"/>
      <c r="O841" s="277"/>
      <c r="P841" s="277"/>
      <c r="Q841" s="277"/>
      <c r="R841" s="277"/>
      <c r="S841" s="410"/>
      <c r="T841" s="277"/>
      <c r="U841" s="277"/>
      <c r="V841" s="277"/>
      <c r="W841" s="277"/>
      <c r="X841" s="277"/>
      <c r="Y841" s="277"/>
      <c r="Z841" s="277"/>
    </row>
    <row r="842" ht="12.75" customHeight="1">
      <c r="A842" s="277"/>
      <c r="B842" s="278"/>
      <c r="C842" s="277"/>
      <c r="D842" s="277"/>
      <c r="E842" s="277"/>
      <c r="F842" s="277"/>
      <c r="G842" s="277"/>
      <c r="H842" s="277"/>
      <c r="I842" s="277"/>
      <c r="J842" s="277"/>
      <c r="K842" s="277"/>
      <c r="L842" s="277"/>
      <c r="M842" s="277"/>
      <c r="N842" s="277"/>
      <c r="O842" s="277"/>
      <c r="P842" s="277"/>
      <c r="Q842" s="277"/>
      <c r="R842" s="277"/>
      <c r="S842" s="410"/>
      <c r="T842" s="277"/>
      <c r="U842" s="277"/>
      <c r="V842" s="277"/>
      <c r="W842" s="277"/>
      <c r="X842" s="277"/>
      <c r="Y842" s="277"/>
      <c r="Z842" s="277"/>
    </row>
    <row r="843" ht="12.75" customHeight="1">
      <c r="A843" s="277"/>
      <c r="B843" s="278"/>
      <c r="C843" s="277"/>
      <c r="D843" s="277"/>
      <c r="E843" s="277"/>
      <c r="F843" s="277"/>
      <c r="G843" s="277"/>
      <c r="H843" s="277"/>
      <c r="I843" s="277"/>
      <c r="J843" s="277"/>
      <c r="K843" s="277"/>
      <c r="L843" s="277"/>
      <c r="M843" s="277"/>
      <c r="N843" s="277"/>
      <c r="O843" s="277"/>
      <c r="P843" s="277"/>
      <c r="Q843" s="277"/>
      <c r="R843" s="277"/>
      <c r="S843" s="410"/>
      <c r="T843" s="277"/>
      <c r="U843" s="277"/>
      <c r="V843" s="277"/>
      <c r="W843" s="277"/>
      <c r="X843" s="277"/>
      <c r="Y843" s="277"/>
      <c r="Z843" s="277"/>
    </row>
    <row r="844" ht="12.75" customHeight="1">
      <c r="A844" s="277"/>
      <c r="B844" s="278"/>
      <c r="C844" s="277"/>
      <c r="D844" s="277"/>
      <c r="E844" s="277"/>
      <c r="F844" s="277"/>
      <c r="G844" s="277"/>
      <c r="H844" s="277"/>
      <c r="I844" s="277"/>
      <c r="J844" s="277"/>
      <c r="K844" s="277"/>
      <c r="L844" s="277"/>
      <c r="M844" s="277"/>
      <c r="N844" s="277"/>
      <c r="O844" s="277"/>
      <c r="P844" s="277"/>
      <c r="Q844" s="277"/>
      <c r="R844" s="277"/>
      <c r="S844" s="410"/>
      <c r="T844" s="277"/>
      <c r="U844" s="277"/>
      <c r="V844" s="277"/>
      <c r="W844" s="277"/>
      <c r="X844" s="277"/>
      <c r="Y844" s="277"/>
      <c r="Z844" s="277"/>
    </row>
    <row r="845" ht="12.75" customHeight="1">
      <c r="A845" s="277"/>
      <c r="B845" s="278"/>
      <c r="C845" s="277"/>
      <c r="D845" s="277"/>
      <c r="E845" s="277"/>
      <c r="F845" s="277"/>
      <c r="G845" s="277"/>
      <c r="H845" s="277"/>
      <c r="I845" s="277"/>
      <c r="J845" s="277"/>
      <c r="K845" s="277"/>
      <c r="L845" s="277"/>
      <c r="M845" s="277"/>
      <c r="N845" s="277"/>
      <c r="O845" s="277"/>
      <c r="P845" s="277"/>
      <c r="Q845" s="277"/>
      <c r="R845" s="277"/>
      <c r="S845" s="410"/>
      <c r="T845" s="277"/>
      <c r="U845" s="277"/>
      <c r="V845" s="277"/>
      <c r="W845" s="277"/>
      <c r="X845" s="277"/>
      <c r="Y845" s="277"/>
      <c r="Z845" s="277"/>
    </row>
    <row r="846" ht="12.75" customHeight="1">
      <c r="A846" s="277"/>
      <c r="B846" s="278"/>
      <c r="C846" s="277"/>
      <c r="D846" s="277"/>
      <c r="E846" s="277"/>
      <c r="F846" s="277"/>
      <c r="G846" s="277"/>
      <c r="H846" s="277"/>
      <c r="I846" s="277"/>
      <c r="J846" s="277"/>
      <c r="K846" s="277"/>
      <c r="L846" s="277"/>
      <c r="M846" s="277"/>
      <c r="N846" s="277"/>
      <c r="O846" s="277"/>
      <c r="P846" s="277"/>
      <c r="Q846" s="277"/>
      <c r="R846" s="277"/>
      <c r="S846" s="410"/>
      <c r="T846" s="277"/>
      <c r="U846" s="277"/>
      <c r="V846" s="277"/>
      <c r="W846" s="277"/>
      <c r="X846" s="277"/>
      <c r="Y846" s="277"/>
      <c r="Z846" s="277"/>
    </row>
    <row r="847" ht="12.75" customHeight="1">
      <c r="A847" s="277"/>
      <c r="B847" s="278"/>
      <c r="C847" s="277"/>
      <c r="D847" s="277"/>
      <c r="E847" s="277"/>
      <c r="F847" s="277"/>
      <c r="G847" s="277"/>
      <c r="H847" s="277"/>
      <c r="I847" s="277"/>
      <c r="J847" s="277"/>
      <c r="K847" s="277"/>
      <c r="L847" s="277"/>
      <c r="M847" s="277"/>
      <c r="N847" s="277"/>
      <c r="O847" s="277"/>
      <c r="P847" s="277"/>
      <c r="Q847" s="277"/>
      <c r="R847" s="277"/>
      <c r="S847" s="410"/>
      <c r="T847" s="277"/>
      <c r="U847" s="277"/>
      <c r="V847" s="277"/>
      <c r="W847" s="277"/>
      <c r="X847" s="277"/>
      <c r="Y847" s="277"/>
      <c r="Z847" s="277"/>
    </row>
    <row r="848" ht="12.75" customHeight="1">
      <c r="A848" s="277"/>
      <c r="B848" s="278"/>
      <c r="C848" s="277"/>
      <c r="D848" s="277"/>
      <c r="E848" s="277"/>
      <c r="F848" s="277"/>
      <c r="G848" s="277"/>
      <c r="H848" s="277"/>
      <c r="I848" s="277"/>
      <c r="J848" s="277"/>
      <c r="K848" s="277"/>
      <c r="L848" s="277"/>
      <c r="M848" s="277"/>
      <c r="N848" s="277"/>
      <c r="O848" s="277"/>
      <c r="P848" s="277"/>
      <c r="Q848" s="277"/>
      <c r="R848" s="277"/>
      <c r="S848" s="410"/>
      <c r="T848" s="277"/>
      <c r="U848" s="277"/>
      <c r="V848" s="277"/>
      <c r="W848" s="277"/>
      <c r="X848" s="277"/>
      <c r="Y848" s="277"/>
      <c r="Z848" s="277"/>
    </row>
    <row r="849" ht="12.75" customHeight="1">
      <c r="A849" s="277"/>
      <c r="B849" s="278"/>
      <c r="C849" s="277"/>
      <c r="D849" s="277"/>
      <c r="E849" s="277"/>
      <c r="F849" s="277"/>
      <c r="G849" s="277"/>
      <c r="H849" s="277"/>
      <c r="I849" s="277"/>
      <c r="J849" s="277"/>
      <c r="K849" s="277"/>
      <c r="L849" s="277"/>
      <c r="M849" s="277"/>
      <c r="N849" s="277"/>
      <c r="O849" s="277"/>
      <c r="P849" s="277"/>
      <c r="Q849" s="277"/>
      <c r="R849" s="277"/>
      <c r="S849" s="410"/>
      <c r="T849" s="277"/>
      <c r="U849" s="277"/>
      <c r="V849" s="277"/>
      <c r="W849" s="277"/>
      <c r="X849" s="277"/>
      <c r="Y849" s="277"/>
      <c r="Z849" s="277"/>
    </row>
    <row r="850" ht="12.75" customHeight="1">
      <c r="A850" s="277"/>
      <c r="B850" s="278"/>
      <c r="C850" s="277"/>
      <c r="D850" s="277"/>
      <c r="E850" s="277"/>
      <c r="F850" s="277"/>
      <c r="G850" s="277"/>
      <c r="H850" s="277"/>
      <c r="I850" s="277"/>
      <c r="J850" s="277"/>
      <c r="K850" s="277"/>
      <c r="L850" s="277"/>
      <c r="M850" s="277"/>
      <c r="N850" s="277"/>
      <c r="O850" s="277"/>
      <c r="P850" s="277"/>
      <c r="Q850" s="277"/>
      <c r="R850" s="277"/>
      <c r="S850" s="410"/>
      <c r="T850" s="277"/>
      <c r="U850" s="277"/>
      <c r="V850" s="277"/>
      <c r="W850" s="277"/>
      <c r="X850" s="277"/>
      <c r="Y850" s="277"/>
      <c r="Z850" s="277"/>
    </row>
    <row r="851" ht="12.75" customHeight="1">
      <c r="A851" s="277"/>
      <c r="B851" s="278"/>
      <c r="C851" s="277"/>
      <c r="D851" s="277"/>
      <c r="E851" s="277"/>
      <c r="F851" s="277"/>
      <c r="G851" s="277"/>
      <c r="H851" s="277"/>
      <c r="I851" s="277"/>
      <c r="J851" s="277"/>
      <c r="K851" s="277"/>
      <c r="L851" s="277"/>
      <c r="M851" s="277"/>
      <c r="N851" s="277"/>
      <c r="O851" s="277"/>
      <c r="P851" s="277"/>
      <c r="Q851" s="277"/>
      <c r="R851" s="277"/>
      <c r="S851" s="410"/>
      <c r="T851" s="277"/>
      <c r="U851" s="277"/>
      <c r="V851" s="277"/>
      <c r="W851" s="277"/>
      <c r="X851" s="277"/>
      <c r="Y851" s="277"/>
      <c r="Z851" s="277"/>
    </row>
    <row r="852" ht="12.75" customHeight="1">
      <c r="A852" s="277"/>
      <c r="B852" s="278"/>
      <c r="C852" s="277"/>
      <c r="D852" s="277"/>
      <c r="E852" s="277"/>
      <c r="F852" s="277"/>
      <c r="G852" s="277"/>
      <c r="H852" s="277"/>
      <c r="I852" s="277"/>
      <c r="J852" s="277"/>
      <c r="K852" s="277"/>
      <c r="L852" s="277"/>
      <c r="M852" s="277"/>
      <c r="N852" s="277"/>
      <c r="O852" s="277"/>
      <c r="P852" s="277"/>
      <c r="Q852" s="277"/>
      <c r="R852" s="277"/>
      <c r="S852" s="410"/>
      <c r="T852" s="277"/>
      <c r="U852" s="277"/>
      <c r="V852" s="277"/>
      <c r="W852" s="277"/>
      <c r="X852" s="277"/>
      <c r="Y852" s="277"/>
      <c r="Z852" s="277"/>
    </row>
    <row r="853" ht="12.75" customHeight="1">
      <c r="A853" s="277"/>
      <c r="B853" s="278"/>
      <c r="C853" s="277"/>
      <c r="D853" s="277"/>
      <c r="E853" s="277"/>
      <c r="F853" s="277"/>
      <c r="G853" s="277"/>
      <c r="H853" s="277"/>
      <c r="I853" s="277"/>
      <c r="J853" s="277"/>
      <c r="K853" s="277"/>
      <c r="L853" s="277"/>
      <c r="M853" s="277"/>
      <c r="N853" s="277"/>
      <c r="O853" s="277"/>
      <c r="P853" s="277"/>
      <c r="Q853" s="277"/>
      <c r="R853" s="277"/>
      <c r="S853" s="410"/>
      <c r="T853" s="277"/>
      <c r="U853" s="277"/>
      <c r="V853" s="277"/>
      <c r="W853" s="277"/>
      <c r="X853" s="277"/>
      <c r="Y853" s="277"/>
      <c r="Z853" s="277"/>
    </row>
    <row r="854" ht="12.75" customHeight="1">
      <c r="A854" s="277"/>
      <c r="B854" s="278"/>
      <c r="C854" s="277"/>
      <c r="D854" s="277"/>
      <c r="E854" s="277"/>
      <c r="F854" s="277"/>
      <c r="G854" s="277"/>
      <c r="H854" s="277"/>
      <c r="I854" s="277"/>
      <c r="J854" s="277"/>
      <c r="K854" s="277"/>
      <c r="L854" s="277"/>
      <c r="M854" s="277"/>
      <c r="N854" s="277"/>
      <c r="O854" s="277"/>
      <c r="P854" s="277"/>
      <c r="Q854" s="277"/>
      <c r="R854" s="277"/>
      <c r="S854" s="410"/>
      <c r="T854" s="277"/>
      <c r="U854" s="277"/>
      <c r="V854" s="277"/>
      <c r="W854" s="277"/>
      <c r="X854" s="277"/>
      <c r="Y854" s="277"/>
      <c r="Z854" s="277"/>
    </row>
    <row r="855" ht="12.75" customHeight="1">
      <c r="A855" s="277"/>
      <c r="B855" s="278"/>
      <c r="C855" s="277"/>
      <c r="D855" s="277"/>
      <c r="E855" s="277"/>
      <c r="F855" s="277"/>
      <c r="G855" s="277"/>
      <c r="H855" s="277"/>
      <c r="I855" s="277"/>
      <c r="J855" s="277"/>
      <c r="K855" s="277"/>
      <c r="L855" s="277"/>
      <c r="M855" s="277"/>
      <c r="N855" s="277"/>
      <c r="O855" s="277"/>
      <c r="P855" s="277"/>
      <c r="Q855" s="277"/>
      <c r="R855" s="277"/>
      <c r="S855" s="410"/>
      <c r="T855" s="277"/>
      <c r="U855" s="277"/>
      <c r="V855" s="277"/>
      <c r="W855" s="277"/>
      <c r="X855" s="277"/>
      <c r="Y855" s="277"/>
      <c r="Z855" s="277"/>
    </row>
    <row r="856" ht="12.75" customHeight="1">
      <c r="A856" s="277"/>
      <c r="B856" s="278"/>
      <c r="C856" s="277"/>
      <c r="D856" s="277"/>
      <c r="E856" s="277"/>
      <c r="F856" s="277"/>
      <c r="G856" s="277"/>
      <c r="H856" s="277"/>
      <c r="I856" s="277"/>
      <c r="J856" s="277"/>
      <c r="K856" s="277"/>
      <c r="L856" s="277"/>
      <c r="M856" s="277"/>
      <c r="N856" s="277"/>
      <c r="O856" s="277"/>
      <c r="P856" s="277"/>
      <c r="Q856" s="277"/>
      <c r="R856" s="277"/>
      <c r="S856" s="410"/>
      <c r="T856" s="277"/>
      <c r="U856" s="277"/>
      <c r="V856" s="277"/>
      <c r="W856" s="277"/>
      <c r="X856" s="277"/>
      <c r="Y856" s="277"/>
      <c r="Z856" s="277"/>
    </row>
    <row r="857" ht="12.75" customHeight="1">
      <c r="A857" s="277"/>
      <c r="B857" s="278"/>
      <c r="C857" s="277"/>
      <c r="D857" s="277"/>
      <c r="E857" s="277"/>
      <c r="F857" s="277"/>
      <c r="G857" s="277"/>
      <c r="H857" s="277"/>
      <c r="I857" s="277"/>
      <c r="J857" s="277"/>
      <c r="K857" s="277"/>
      <c r="L857" s="277"/>
      <c r="M857" s="277"/>
      <c r="N857" s="277"/>
      <c r="O857" s="277"/>
      <c r="P857" s="277"/>
      <c r="Q857" s="277"/>
      <c r="R857" s="277"/>
      <c r="S857" s="410"/>
      <c r="T857" s="277"/>
      <c r="U857" s="277"/>
      <c r="V857" s="277"/>
      <c r="W857" s="277"/>
      <c r="X857" s="277"/>
      <c r="Y857" s="277"/>
      <c r="Z857" s="277"/>
    </row>
    <row r="858" ht="12.75" customHeight="1">
      <c r="A858" s="277"/>
      <c r="B858" s="278"/>
      <c r="C858" s="277"/>
      <c r="D858" s="277"/>
      <c r="E858" s="277"/>
      <c r="F858" s="277"/>
      <c r="G858" s="277"/>
      <c r="H858" s="277"/>
      <c r="I858" s="277"/>
      <c r="J858" s="277"/>
      <c r="K858" s="277"/>
      <c r="L858" s="277"/>
      <c r="M858" s="277"/>
      <c r="N858" s="277"/>
      <c r="O858" s="277"/>
      <c r="P858" s="277"/>
      <c r="Q858" s="277"/>
      <c r="R858" s="277"/>
      <c r="S858" s="410"/>
      <c r="T858" s="277"/>
      <c r="U858" s="277"/>
      <c r="V858" s="277"/>
      <c r="W858" s="277"/>
      <c r="X858" s="277"/>
      <c r="Y858" s="277"/>
      <c r="Z858" s="277"/>
    </row>
    <row r="859" ht="12.75" customHeight="1">
      <c r="A859" s="277"/>
      <c r="B859" s="278"/>
      <c r="C859" s="277"/>
      <c r="D859" s="277"/>
      <c r="E859" s="277"/>
      <c r="F859" s="277"/>
      <c r="G859" s="277"/>
      <c r="H859" s="277"/>
      <c r="I859" s="277"/>
      <c r="J859" s="277"/>
      <c r="K859" s="277"/>
      <c r="L859" s="277"/>
      <c r="M859" s="277"/>
      <c r="N859" s="277"/>
      <c r="O859" s="277"/>
      <c r="P859" s="277"/>
      <c r="Q859" s="277"/>
      <c r="R859" s="277"/>
      <c r="S859" s="410"/>
      <c r="T859" s="277"/>
      <c r="U859" s="277"/>
      <c r="V859" s="277"/>
      <c r="W859" s="277"/>
      <c r="X859" s="277"/>
      <c r="Y859" s="277"/>
      <c r="Z859" s="277"/>
    </row>
    <row r="860" ht="12.75" customHeight="1">
      <c r="A860" s="277"/>
      <c r="B860" s="278"/>
      <c r="C860" s="277"/>
      <c r="D860" s="277"/>
      <c r="E860" s="277"/>
      <c r="F860" s="277"/>
      <c r="G860" s="277"/>
      <c r="H860" s="277"/>
      <c r="I860" s="277"/>
      <c r="J860" s="277"/>
      <c r="K860" s="277"/>
      <c r="L860" s="277"/>
      <c r="M860" s="277"/>
      <c r="N860" s="277"/>
      <c r="O860" s="277"/>
      <c r="P860" s="277"/>
      <c r="Q860" s="277"/>
      <c r="R860" s="277"/>
      <c r="S860" s="410"/>
      <c r="T860" s="277"/>
      <c r="U860" s="277"/>
      <c r="V860" s="277"/>
      <c r="W860" s="277"/>
      <c r="X860" s="277"/>
      <c r="Y860" s="277"/>
      <c r="Z860" s="277"/>
    </row>
    <row r="861" ht="12.75" customHeight="1">
      <c r="A861" s="277"/>
      <c r="B861" s="278"/>
      <c r="C861" s="277"/>
      <c r="D861" s="277"/>
      <c r="E861" s="277"/>
      <c r="F861" s="277"/>
      <c r="G861" s="277"/>
      <c r="H861" s="277"/>
      <c r="I861" s="277"/>
      <c r="J861" s="277"/>
      <c r="K861" s="277"/>
      <c r="L861" s="277"/>
      <c r="M861" s="277"/>
      <c r="N861" s="277"/>
      <c r="O861" s="277"/>
      <c r="P861" s="277"/>
      <c r="Q861" s="277"/>
      <c r="R861" s="277"/>
      <c r="S861" s="410"/>
      <c r="T861" s="277"/>
      <c r="U861" s="277"/>
      <c r="V861" s="277"/>
      <c r="W861" s="277"/>
      <c r="X861" s="277"/>
      <c r="Y861" s="277"/>
      <c r="Z861" s="277"/>
    </row>
    <row r="862" ht="12.75" customHeight="1">
      <c r="A862" s="277"/>
      <c r="B862" s="278"/>
      <c r="C862" s="277"/>
      <c r="D862" s="277"/>
      <c r="E862" s="277"/>
      <c r="F862" s="277"/>
      <c r="G862" s="277"/>
      <c r="H862" s="277"/>
      <c r="I862" s="277"/>
      <c r="J862" s="277"/>
      <c r="K862" s="277"/>
      <c r="L862" s="277"/>
      <c r="M862" s="277"/>
      <c r="N862" s="277"/>
      <c r="O862" s="277"/>
      <c r="P862" s="277"/>
      <c r="Q862" s="277"/>
      <c r="R862" s="277"/>
      <c r="S862" s="410"/>
      <c r="T862" s="277"/>
      <c r="U862" s="277"/>
      <c r="V862" s="277"/>
      <c r="W862" s="277"/>
      <c r="X862" s="277"/>
      <c r="Y862" s="277"/>
      <c r="Z862" s="277"/>
    </row>
    <row r="863" ht="12.75" customHeight="1">
      <c r="A863" s="277"/>
      <c r="B863" s="278"/>
      <c r="C863" s="277"/>
      <c r="D863" s="277"/>
      <c r="E863" s="277"/>
      <c r="F863" s="277"/>
      <c r="G863" s="277"/>
      <c r="H863" s="277"/>
      <c r="I863" s="277"/>
      <c r="J863" s="277"/>
      <c r="K863" s="277"/>
      <c r="L863" s="277"/>
      <c r="M863" s="277"/>
      <c r="N863" s="277"/>
      <c r="O863" s="277"/>
      <c r="P863" s="277"/>
      <c r="Q863" s="277"/>
      <c r="R863" s="277"/>
      <c r="S863" s="410"/>
      <c r="T863" s="277"/>
      <c r="U863" s="277"/>
      <c r="V863" s="277"/>
      <c r="W863" s="277"/>
      <c r="X863" s="277"/>
      <c r="Y863" s="277"/>
      <c r="Z863" s="277"/>
    </row>
    <row r="864" ht="12.75" customHeight="1">
      <c r="A864" s="277"/>
      <c r="B864" s="278"/>
      <c r="C864" s="277"/>
      <c r="D864" s="277"/>
      <c r="E864" s="277"/>
      <c r="F864" s="277"/>
      <c r="G864" s="277"/>
      <c r="H864" s="277"/>
      <c r="I864" s="277"/>
      <c r="J864" s="277"/>
      <c r="K864" s="277"/>
      <c r="L864" s="277"/>
      <c r="M864" s="277"/>
      <c r="N864" s="277"/>
      <c r="O864" s="277"/>
      <c r="P864" s="277"/>
      <c r="Q864" s="277"/>
      <c r="R864" s="277"/>
      <c r="S864" s="410"/>
      <c r="T864" s="277"/>
      <c r="U864" s="277"/>
      <c r="V864" s="277"/>
      <c r="W864" s="277"/>
      <c r="X864" s="277"/>
      <c r="Y864" s="277"/>
      <c r="Z864" s="277"/>
    </row>
    <row r="865" ht="12.75" customHeight="1">
      <c r="A865" s="277"/>
      <c r="B865" s="278"/>
      <c r="C865" s="277"/>
      <c r="D865" s="277"/>
      <c r="E865" s="277"/>
      <c r="F865" s="277"/>
      <c r="G865" s="277"/>
      <c r="H865" s="277"/>
      <c r="I865" s="277"/>
      <c r="J865" s="277"/>
      <c r="K865" s="277"/>
      <c r="L865" s="277"/>
      <c r="M865" s="277"/>
      <c r="N865" s="277"/>
      <c r="O865" s="277"/>
      <c r="P865" s="277"/>
      <c r="Q865" s="277"/>
      <c r="R865" s="277"/>
      <c r="S865" s="410"/>
      <c r="T865" s="277"/>
      <c r="U865" s="277"/>
      <c r="V865" s="277"/>
      <c r="W865" s="277"/>
      <c r="X865" s="277"/>
      <c r="Y865" s="277"/>
      <c r="Z865" s="277"/>
    </row>
    <row r="866" ht="12.75" customHeight="1">
      <c r="A866" s="277"/>
      <c r="B866" s="278"/>
      <c r="C866" s="277"/>
      <c r="D866" s="277"/>
      <c r="E866" s="277"/>
      <c r="F866" s="277"/>
      <c r="G866" s="277"/>
      <c r="H866" s="277"/>
      <c r="I866" s="277"/>
      <c r="J866" s="277"/>
      <c r="K866" s="277"/>
      <c r="L866" s="277"/>
      <c r="M866" s="277"/>
      <c r="N866" s="277"/>
      <c r="O866" s="277"/>
      <c r="P866" s="277"/>
      <c r="Q866" s="277"/>
      <c r="R866" s="277"/>
      <c r="S866" s="410"/>
      <c r="T866" s="277"/>
      <c r="U866" s="277"/>
      <c r="V866" s="277"/>
      <c r="W866" s="277"/>
      <c r="X866" s="277"/>
      <c r="Y866" s="277"/>
      <c r="Z866" s="277"/>
    </row>
    <row r="867" ht="12.75" customHeight="1">
      <c r="A867" s="277"/>
      <c r="B867" s="278"/>
      <c r="C867" s="277"/>
      <c r="D867" s="277"/>
      <c r="E867" s="277"/>
      <c r="F867" s="277"/>
      <c r="G867" s="277"/>
      <c r="H867" s="277"/>
      <c r="I867" s="277"/>
      <c r="J867" s="277"/>
      <c r="K867" s="277"/>
      <c r="L867" s="277"/>
      <c r="M867" s="277"/>
      <c r="N867" s="277"/>
      <c r="O867" s="277"/>
      <c r="P867" s="277"/>
      <c r="Q867" s="277"/>
      <c r="R867" s="277"/>
      <c r="S867" s="410"/>
      <c r="T867" s="277"/>
      <c r="U867" s="277"/>
      <c r="V867" s="277"/>
      <c r="W867" s="277"/>
      <c r="X867" s="277"/>
      <c r="Y867" s="277"/>
      <c r="Z867" s="277"/>
    </row>
    <row r="868" ht="12.75" customHeight="1">
      <c r="A868" s="277"/>
      <c r="B868" s="278"/>
      <c r="C868" s="277"/>
      <c r="D868" s="277"/>
      <c r="E868" s="277"/>
      <c r="F868" s="277"/>
      <c r="G868" s="277"/>
      <c r="H868" s="277"/>
      <c r="I868" s="277"/>
      <c r="J868" s="277"/>
      <c r="K868" s="277"/>
      <c r="L868" s="277"/>
      <c r="M868" s="277"/>
      <c r="N868" s="277"/>
      <c r="O868" s="277"/>
      <c r="P868" s="277"/>
      <c r="Q868" s="277"/>
      <c r="R868" s="277"/>
      <c r="S868" s="410"/>
      <c r="T868" s="277"/>
      <c r="U868" s="277"/>
      <c r="V868" s="277"/>
      <c r="W868" s="277"/>
      <c r="X868" s="277"/>
      <c r="Y868" s="277"/>
      <c r="Z868" s="277"/>
    </row>
    <row r="869" ht="12.75" customHeight="1">
      <c r="A869" s="277"/>
      <c r="B869" s="278"/>
      <c r="C869" s="277"/>
      <c r="D869" s="277"/>
      <c r="E869" s="277"/>
      <c r="F869" s="277"/>
      <c r="G869" s="277"/>
      <c r="H869" s="277"/>
      <c r="I869" s="277"/>
      <c r="J869" s="277"/>
      <c r="K869" s="277"/>
      <c r="L869" s="277"/>
      <c r="M869" s="277"/>
      <c r="N869" s="277"/>
      <c r="O869" s="277"/>
      <c r="P869" s="277"/>
      <c r="Q869" s="277"/>
      <c r="R869" s="277"/>
      <c r="S869" s="410"/>
      <c r="T869" s="277"/>
      <c r="U869" s="277"/>
      <c r="V869" s="277"/>
      <c r="W869" s="277"/>
      <c r="X869" s="277"/>
      <c r="Y869" s="277"/>
      <c r="Z869" s="277"/>
    </row>
    <row r="870" ht="12.75" customHeight="1">
      <c r="A870" s="277"/>
      <c r="B870" s="278"/>
      <c r="C870" s="277"/>
      <c r="D870" s="277"/>
      <c r="E870" s="277"/>
      <c r="F870" s="277"/>
      <c r="G870" s="277"/>
      <c r="H870" s="277"/>
      <c r="I870" s="277"/>
      <c r="J870" s="277"/>
      <c r="K870" s="277"/>
      <c r="L870" s="277"/>
      <c r="M870" s="277"/>
      <c r="N870" s="277"/>
      <c r="O870" s="277"/>
      <c r="P870" s="277"/>
      <c r="Q870" s="277"/>
      <c r="R870" s="277"/>
      <c r="S870" s="410"/>
      <c r="T870" s="277"/>
      <c r="U870" s="277"/>
      <c r="V870" s="277"/>
      <c r="W870" s="277"/>
      <c r="X870" s="277"/>
      <c r="Y870" s="277"/>
      <c r="Z870" s="277"/>
    </row>
    <row r="871" ht="12.75" customHeight="1">
      <c r="A871" s="277"/>
      <c r="B871" s="278"/>
      <c r="C871" s="277"/>
      <c r="D871" s="277"/>
      <c r="E871" s="277"/>
      <c r="F871" s="277"/>
      <c r="G871" s="277"/>
      <c r="H871" s="277"/>
      <c r="I871" s="277"/>
      <c r="J871" s="277"/>
      <c r="K871" s="277"/>
      <c r="L871" s="277"/>
      <c r="M871" s="277"/>
      <c r="N871" s="277"/>
      <c r="O871" s="277"/>
      <c r="P871" s="277"/>
      <c r="Q871" s="277"/>
      <c r="R871" s="277"/>
      <c r="S871" s="410"/>
      <c r="T871" s="277"/>
      <c r="U871" s="277"/>
      <c r="V871" s="277"/>
      <c r="W871" s="277"/>
      <c r="X871" s="277"/>
      <c r="Y871" s="277"/>
      <c r="Z871" s="277"/>
    </row>
    <row r="872" ht="12.75" customHeight="1">
      <c r="A872" s="277"/>
      <c r="B872" s="278"/>
      <c r="C872" s="277"/>
      <c r="D872" s="277"/>
      <c r="E872" s="277"/>
      <c r="F872" s="277"/>
      <c r="G872" s="277"/>
      <c r="H872" s="277"/>
      <c r="I872" s="277"/>
      <c r="J872" s="277"/>
      <c r="K872" s="277"/>
      <c r="L872" s="277"/>
      <c r="M872" s="277"/>
      <c r="N872" s="277"/>
      <c r="O872" s="277"/>
      <c r="P872" s="277"/>
      <c r="Q872" s="277"/>
      <c r="R872" s="277"/>
      <c r="S872" s="410"/>
      <c r="T872" s="277"/>
      <c r="U872" s="277"/>
      <c r="V872" s="277"/>
      <c r="W872" s="277"/>
      <c r="X872" s="277"/>
      <c r="Y872" s="277"/>
      <c r="Z872" s="277"/>
    </row>
    <row r="873" ht="12.75" customHeight="1">
      <c r="A873" s="277"/>
      <c r="B873" s="278"/>
      <c r="C873" s="277"/>
      <c r="D873" s="277"/>
      <c r="E873" s="277"/>
      <c r="F873" s="277"/>
      <c r="G873" s="277"/>
      <c r="H873" s="277"/>
      <c r="I873" s="277"/>
      <c r="J873" s="277"/>
      <c r="K873" s="277"/>
      <c r="L873" s="277"/>
      <c r="M873" s="277"/>
      <c r="N873" s="277"/>
      <c r="O873" s="277"/>
      <c r="P873" s="277"/>
      <c r="Q873" s="277"/>
      <c r="R873" s="277"/>
      <c r="S873" s="410"/>
      <c r="T873" s="277"/>
      <c r="U873" s="277"/>
      <c r="V873" s="277"/>
      <c r="W873" s="277"/>
      <c r="X873" s="277"/>
      <c r="Y873" s="277"/>
      <c r="Z873" s="277"/>
    </row>
    <row r="874" ht="12.75" customHeight="1">
      <c r="A874" s="277"/>
      <c r="B874" s="278"/>
      <c r="C874" s="277"/>
      <c r="D874" s="277"/>
      <c r="E874" s="277"/>
      <c r="F874" s="277"/>
      <c r="G874" s="277"/>
      <c r="H874" s="277"/>
      <c r="I874" s="277"/>
      <c r="J874" s="277"/>
      <c r="K874" s="277"/>
      <c r="L874" s="277"/>
      <c r="M874" s="277"/>
      <c r="N874" s="277"/>
      <c r="O874" s="277"/>
      <c r="P874" s="277"/>
      <c r="Q874" s="277"/>
      <c r="R874" s="277"/>
      <c r="S874" s="410"/>
      <c r="T874" s="277"/>
      <c r="U874" s="277"/>
      <c r="V874" s="277"/>
      <c r="W874" s="277"/>
      <c r="X874" s="277"/>
      <c r="Y874" s="277"/>
      <c r="Z874" s="277"/>
    </row>
    <row r="875" ht="12.75" customHeight="1">
      <c r="A875" s="277"/>
      <c r="B875" s="278"/>
      <c r="C875" s="277"/>
      <c r="D875" s="277"/>
      <c r="E875" s="277"/>
      <c r="F875" s="277"/>
      <c r="G875" s="277"/>
      <c r="H875" s="277"/>
      <c r="I875" s="277"/>
      <c r="J875" s="277"/>
      <c r="K875" s="277"/>
      <c r="L875" s="277"/>
      <c r="M875" s="277"/>
      <c r="N875" s="277"/>
      <c r="O875" s="277"/>
      <c r="P875" s="277"/>
      <c r="Q875" s="277"/>
      <c r="R875" s="277"/>
      <c r="S875" s="410"/>
      <c r="T875" s="277"/>
      <c r="U875" s="277"/>
      <c r="V875" s="277"/>
      <c r="W875" s="277"/>
      <c r="X875" s="277"/>
      <c r="Y875" s="277"/>
      <c r="Z875" s="277"/>
    </row>
    <row r="876" ht="12.75" customHeight="1">
      <c r="A876" s="277"/>
      <c r="B876" s="278"/>
      <c r="C876" s="277"/>
      <c r="D876" s="277"/>
      <c r="E876" s="277"/>
      <c r="F876" s="277"/>
      <c r="G876" s="277"/>
      <c r="H876" s="277"/>
      <c r="I876" s="277"/>
      <c r="J876" s="277"/>
      <c r="K876" s="277"/>
      <c r="L876" s="277"/>
      <c r="M876" s="277"/>
      <c r="N876" s="277"/>
      <c r="O876" s="277"/>
      <c r="P876" s="277"/>
      <c r="Q876" s="277"/>
      <c r="R876" s="277"/>
      <c r="S876" s="410"/>
      <c r="T876" s="277"/>
      <c r="U876" s="277"/>
      <c r="V876" s="277"/>
      <c r="W876" s="277"/>
      <c r="X876" s="277"/>
      <c r="Y876" s="277"/>
      <c r="Z876" s="277"/>
    </row>
    <row r="877" ht="12.75" customHeight="1">
      <c r="A877" s="277"/>
      <c r="B877" s="278"/>
      <c r="C877" s="277"/>
      <c r="D877" s="277"/>
      <c r="E877" s="277"/>
      <c r="F877" s="277"/>
      <c r="G877" s="277"/>
      <c r="H877" s="277"/>
      <c r="I877" s="277"/>
      <c r="J877" s="277"/>
      <c r="K877" s="277"/>
      <c r="L877" s="277"/>
      <c r="M877" s="277"/>
      <c r="N877" s="277"/>
      <c r="O877" s="277"/>
      <c r="P877" s="277"/>
      <c r="Q877" s="277"/>
      <c r="R877" s="277"/>
      <c r="S877" s="410"/>
      <c r="T877" s="277"/>
      <c r="U877" s="277"/>
      <c r="V877" s="277"/>
      <c r="W877" s="277"/>
      <c r="X877" s="277"/>
      <c r="Y877" s="277"/>
      <c r="Z877" s="277"/>
    </row>
    <row r="878" ht="12.75" customHeight="1">
      <c r="A878" s="277"/>
      <c r="B878" s="278"/>
      <c r="C878" s="277"/>
      <c r="D878" s="277"/>
      <c r="E878" s="277"/>
      <c r="F878" s="277"/>
      <c r="G878" s="277"/>
      <c r="H878" s="277"/>
      <c r="I878" s="277"/>
      <c r="J878" s="277"/>
      <c r="K878" s="277"/>
      <c r="L878" s="277"/>
      <c r="M878" s="277"/>
      <c r="N878" s="277"/>
      <c r="O878" s="277"/>
      <c r="P878" s="277"/>
      <c r="Q878" s="277"/>
      <c r="R878" s="277"/>
      <c r="S878" s="410"/>
      <c r="T878" s="277"/>
      <c r="U878" s="277"/>
      <c r="V878" s="277"/>
      <c r="W878" s="277"/>
      <c r="X878" s="277"/>
      <c r="Y878" s="277"/>
      <c r="Z878" s="277"/>
    </row>
    <row r="879" ht="12.75" customHeight="1">
      <c r="A879" s="277"/>
      <c r="B879" s="278"/>
      <c r="C879" s="277"/>
      <c r="D879" s="277"/>
      <c r="E879" s="277"/>
      <c r="F879" s="277"/>
      <c r="G879" s="277"/>
      <c r="H879" s="277"/>
      <c r="I879" s="277"/>
      <c r="J879" s="277"/>
      <c r="K879" s="277"/>
      <c r="L879" s="277"/>
      <c r="M879" s="277"/>
      <c r="N879" s="277"/>
      <c r="O879" s="277"/>
      <c r="P879" s="277"/>
      <c r="Q879" s="277"/>
      <c r="R879" s="277"/>
      <c r="S879" s="410"/>
      <c r="T879" s="277"/>
      <c r="U879" s="277"/>
      <c r="V879" s="277"/>
      <c r="W879" s="277"/>
      <c r="X879" s="277"/>
      <c r="Y879" s="277"/>
      <c r="Z879" s="277"/>
    </row>
    <row r="880" ht="12.75" customHeight="1">
      <c r="A880" s="277"/>
      <c r="B880" s="278"/>
      <c r="C880" s="277"/>
      <c r="D880" s="277"/>
      <c r="E880" s="277"/>
      <c r="F880" s="277"/>
      <c r="G880" s="277"/>
      <c r="H880" s="277"/>
      <c r="I880" s="277"/>
      <c r="J880" s="277"/>
      <c r="K880" s="277"/>
      <c r="L880" s="277"/>
      <c r="M880" s="277"/>
      <c r="N880" s="277"/>
      <c r="O880" s="277"/>
      <c r="P880" s="277"/>
      <c r="Q880" s="277"/>
      <c r="R880" s="277"/>
      <c r="S880" s="410"/>
      <c r="T880" s="277"/>
      <c r="U880" s="277"/>
      <c r="V880" s="277"/>
      <c r="W880" s="277"/>
      <c r="X880" s="277"/>
      <c r="Y880" s="277"/>
      <c r="Z880" s="277"/>
    </row>
    <row r="881" ht="12.75" customHeight="1">
      <c r="A881" s="277"/>
      <c r="B881" s="278"/>
      <c r="C881" s="277"/>
      <c r="D881" s="277"/>
      <c r="E881" s="277"/>
      <c r="F881" s="277"/>
      <c r="G881" s="277"/>
      <c r="H881" s="277"/>
      <c r="I881" s="277"/>
      <c r="J881" s="277"/>
      <c r="K881" s="277"/>
      <c r="L881" s="277"/>
      <c r="M881" s="277"/>
      <c r="N881" s="277"/>
      <c r="O881" s="277"/>
      <c r="P881" s="277"/>
      <c r="Q881" s="277"/>
      <c r="R881" s="277"/>
      <c r="S881" s="410"/>
      <c r="T881" s="277"/>
      <c r="U881" s="277"/>
      <c r="V881" s="277"/>
      <c r="W881" s="277"/>
      <c r="X881" s="277"/>
      <c r="Y881" s="277"/>
      <c r="Z881" s="277"/>
    </row>
    <row r="882" ht="12.75" customHeight="1">
      <c r="A882" s="277"/>
      <c r="B882" s="278"/>
      <c r="C882" s="277"/>
      <c r="D882" s="277"/>
      <c r="E882" s="277"/>
      <c r="F882" s="277"/>
      <c r="G882" s="277"/>
      <c r="H882" s="277"/>
      <c r="I882" s="277"/>
      <c r="J882" s="277"/>
      <c r="K882" s="277"/>
      <c r="L882" s="277"/>
      <c r="M882" s="277"/>
      <c r="N882" s="277"/>
      <c r="O882" s="277"/>
      <c r="P882" s="277"/>
      <c r="Q882" s="277"/>
      <c r="R882" s="277"/>
      <c r="S882" s="410"/>
      <c r="T882" s="277"/>
      <c r="U882" s="277"/>
      <c r="V882" s="277"/>
      <c r="W882" s="277"/>
      <c r="X882" s="277"/>
      <c r="Y882" s="277"/>
      <c r="Z882" s="277"/>
    </row>
    <row r="883" ht="12.75" customHeight="1">
      <c r="A883" s="277"/>
      <c r="B883" s="278"/>
      <c r="C883" s="277"/>
      <c r="D883" s="277"/>
      <c r="E883" s="277"/>
      <c r="F883" s="277"/>
      <c r="G883" s="277"/>
      <c r="H883" s="277"/>
      <c r="I883" s="277"/>
      <c r="J883" s="277"/>
      <c r="K883" s="277"/>
      <c r="L883" s="277"/>
      <c r="M883" s="277"/>
      <c r="N883" s="277"/>
      <c r="O883" s="277"/>
      <c r="P883" s="277"/>
      <c r="Q883" s="277"/>
      <c r="R883" s="277"/>
      <c r="S883" s="410"/>
      <c r="T883" s="277"/>
      <c r="U883" s="277"/>
      <c r="V883" s="277"/>
      <c r="W883" s="277"/>
      <c r="X883" s="277"/>
      <c r="Y883" s="277"/>
      <c r="Z883" s="277"/>
    </row>
    <row r="884" ht="12.75" customHeight="1">
      <c r="A884" s="277"/>
      <c r="B884" s="278"/>
      <c r="C884" s="277"/>
      <c r="D884" s="277"/>
      <c r="E884" s="277"/>
      <c r="F884" s="277"/>
      <c r="G884" s="277"/>
      <c r="H884" s="277"/>
      <c r="I884" s="277"/>
      <c r="J884" s="277"/>
      <c r="K884" s="277"/>
      <c r="L884" s="277"/>
      <c r="M884" s="277"/>
      <c r="N884" s="277"/>
      <c r="O884" s="277"/>
      <c r="P884" s="277"/>
      <c r="Q884" s="277"/>
      <c r="R884" s="277"/>
      <c r="S884" s="410"/>
      <c r="T884" s="277"/>
      <c r="U884" s="277"/>
      <c r="V884" s="277"/>
      <c r="W884" s="277"/>
      <c r="X884" s="277"/>
      <c r="Y884" s="277"/>
      <c r="Z884" s="277"/>
    </row>
    <row r="885" ht="12.75" customHeight="1">
      <c r="A885" s="277"/>
      <c r="B885" s="278"/>
      <c r="C885" s="277"/>
      <c r="D885" s="277"/>
      <c r="E885" s="277"/>
      <c r="F885" s="277"/>
      <c r="G885" s="277"/>
      <c r="H885" s="277"/>
      <c r="I885" s="277"/>
      <c r="J885" s="277"/>
      <c r="K885" s="277"/>
      <c r="L885" s="277"/>
      <c r="M885" s="277"/>
      <c r="N885" s="277"/>
      <c r="O885" s="277"/>
      <c r="P885" s="277"/>
      <c r="Q885" s="277"/>
      <c r="R885" s="277"/>
      <c r="S885" s="410"/>
      <c r="T885" s="277"/>
      <c r="U885" s="277"/>
      <c r="V885" s="277"/>
      <c r="W885" s="277"/>
      <c r="X885" s="277"/>
      <c r="Y885" s="277"/>
      <c r="Z885" s="277"/>
    </row>
    <row r="886" ht="12.75" customHeight="1">
      <c r="A886" s="277"/>
      <c r="B886" s="278"/>
      <c r="C886" s="277"/>
      <c r="D886" s="277"/>
      <c r="E886" s="277"/>
      <c r="F886" s="277"/>
      <c r="G886" s="277"/>
      <c r="H886" s="277"/>
      <c r="I886" s="277"/>
      <c r="J886" s="277"/>
      <c r="K886" s="277"/>
      <c r="L886" s="277"/>
      <c r="M886" s="277"/>
      <c r="N886" s="277"/>
      <c r="O886" s="277"/>
      <c r="P886" s="277"/>
      <c r="Q886" s="277"/>
      <c r="R886" s="277"/>
      <c r="S886" s="410"/>
      <c r="T886" s="277"/>
      <c r="U886" s="277"/>
      <c r="V886" s="277"/>
      <c r="W886" s="277"/>
      <c r="X886" s="277"/>
      <c r="Y886" s="277"/>
      <c r="Z886" s="277"/>
    </row>
    <row r="887" ht="12.75" customHeight="1">
      <c r="A887" s="277"/>
      <c r="B887" s="278"/>
      <c r="C887" s="277"/>
      <c r="D887" s="277"/>
      <c r="E887" s="277"/>
      <c r="F887" s="277"/>
      <c r="G887" s="277"/>
      <c r="H887" s="277"/>
      <c r="I887" s="277"/>
      <c r="J887" s="277"/>
      <c r="K887" s="277"/>
      <c r="L887" s="277"/>
      <c r="M887" s="277"/>
      <c r="N887" s="277"/>
      <c r="O887" s="277"/>
      <c r="P887" s="277"/>
      <c r="Q887" s="277"/>
      <c r="R887" s="277"/>
      <c r="S887" s="410"/>
      <c r="T887" s="277"/>
      <c r="U887" s="277"/>
      <c r="V887" s="277"/>
      <c r="W887" s="277"/>
      <c r="X887" s="277"/>
      <c r="Y887" s="277"/>
      <c r="Z887" s="277"/>
    </row>
    <row r="888" ht="12.75" customHeight="1">
      <c r="A888" s="277"/>
      <c r="B888" s="278"/>
      <c r="C888" s="277"/>
      <c r="D888" s="277"/>
      <c r="E888" s="277"/>
      <c r="F888" s="277"/>
      <c r="G888" s="277"/>
      <c r="H888" s="277"/>
      <c r="I888" s="277"/>
      <c r="J888" s="277"/>
      <c r="K888" s="277"/>
      <c r="L888" s="277"/>
      <c r="M888" s="277"/>
      <c r="N888" s="277"/>
      <c r="O888" s="277"/>
      <c r="P888" s="277"/>
      <c r="Q888" s="277"/>
      <c r="R888" s="277"/>
      <c r="S888" s="410"/>
      <c r="T888" s="277"/>
      <c r="U888" s="277"/>
      <c r="V888" s="277"/>
      <c r="W888" s="277"/>
      <c r="X888" s="277"/>
      <c r="Y888" s="277"/>
      <c r="Z888" s="277"/>
    </row>
    <row r="889" ht="12.75" customHeight="1">
      <c r="A889" s="277"/>
      <c r="B889" s="278"/>
      <c r="C889" s="277"/>
      <c r="D889" s="277"/>
      <c r="E889" s="277"/>
      <c r="F889" s="277"/>
      <c r="G889" s="277"/>
      <c r="H889" s="277"/>
      <c r="I889" s="277"/>
      <c r="J889" s="277"/>
      <c r="K889" s="277"/>
      <c r="L889" s="277"/>
      <c r="M889" s="277"/>
      <c r="N889" s="277"/>
      <c r="O889" s="277"/>
      <c r="P889" s="277"/>
      <c r="Q889" s="277"/>
      <c r="R889" s="277"/>
      <c r="S889" s="410"/>
      <c r="T889" s="277"/>
      <c r="U889" s="277"/>
      <c r="V889" s="277"/>
      <c r="W889" s="277"/>
      <c r="X889" s="277"/>
      <c r="Y889" s="277"/>
      <c r="Z889" s="277"/>
    </row>
    <row r="890" ht="12.75" customHeight="1">
      <c r="A890" s="277"/>
      <c r="B890" s="278"/>
      <c r="C890" s="277"/>
      <c r="D890" s="277"/>
      <c r="E890" s="277"/>
      <c r="F890" s="277"/>
      <c r="G890" s="277"/>
      <c r="H890" s="277"/>
      <c r="I890" s="277"/>
      <c r="J890" s="277"/>
      <c r="K890" s="277"/>
      <c r="L890" s="277"/>
      <c r="M890" s="277"/>
      <c r="N890" s="277"/>
      <c r="O890" s="277"/>
      <c r="P890" s="277"/>
      <c r="Q890" s="277"/>
      <c r="R890" s="277"/>
      <c r="S890" s="410"/>
      <c r="T890" s="277"/>
      <c r="U890" s="277"/>
      <c r="V890" s="277"/>
      <c r="W890" s="277"/>
      <c r="X890" s="277"/>
      <c r="Y890" s="277"/>
      <c r="Z890" s="277"/>
    </row>
    <row r="891" ht="12.75" customHeight="1">
      <c r="A891" s="277"/>
      <c r="B891" s="278"/>
      <c r="C891" s="277"/>
      <c r="D891" s="277"/>
      <c r="E891" s="277"/>
      <c r="F891" s="277"/>
      <c r="G891" s="277"/>
      <c r="H891" s="277"/>
      <c r="I891" s="277"/>
      <c r="J891" s="277"/>
      <c r="K891" s="277"/>
      <c r="L891" s="277"/>
      <c r="M891" s="277"/>
      <c r="N891" s="277"/>
      <c r="O891" s="277"/>
      <c r="P891" s="277"/>
      <c r="Q891" s="277"/>
      <c r="R891" s="277"/>
      <c r="S891" s="410"/>
      <c r="T891" s="277"/>
      <c r="U891" s="277"/>
      <c r="V891" s="277"/>
      <c r="W891" s="277"/>
      <c r="X891" s="277"/>
      <c r="Y891" s="277"/>
      <c r="Z891" s="277"/>
    </row>
    <row r="892" ht="12.75" customHeight="1">
      <c r="A892" s="277"/>
      <c r="B892" s="278"/>
      <c r="C892" s="277"/>
      <c r="D892" s="277"/>
      <c r="E892" s="277"/>
      <c r="F892" s="277"/>
      <c r="G892" s="277"/>
      <c r="H892" s="277"/>
      <c r="I892" s="277"/>
      <c r="J892" s="277"/>
      <c r="K892" s="277"/>
      <c r="L892" s="277"/>
      <c r="M892" s="277"/>
      <c r="N892" s="277"/>
      <c r="O892" s="277"/>
      <c r="P892" s="277"/>
      <c r="Q892" s="277"/>
      <c r="R892" s="277"/>
      <c r="S892" s="410"/>
      <c r="T892" s="277"/>
      <c r="U892" s="277"/>
      <c r="V892" s="277"/>
      <c r="W892" s="277"/>
      <c r="X892" s="277"/>
      <c r="Y892" s="277"/>
      <c r="Z892" s="277"/>
    </row>
    <row r="893" ht="12.75" customHeight="1">
      <c r="A893" s="277"/>
      <c r="B893" s="278"/>
      <c r="C893" s="277"/>
      <c r="D893" s="277"/>
      <c r="E893" s="277"/>
      <c r="F893" s="277"/>
      <c r="G893" s="277"/>
      <c r="H893" s="277"/>
      <c r="I893" s="277"/>
      <c r="J893" s="277"/>
      <c r="K893" s="277"/>
      <c r="L893" s="277"/>
      <c r="M893" s="277"/>
      <c r="N893" s="277"/>
      <c r="O893" s="277"/>
      <c r="P893" s="277"/>
      <c r="Q893" s="277"/>
      <c r="R893" s="277"/>
      <c r="S893" s="410"/>
      <c r="T893" s="277"/>
      <c r="U893" s="277"/>
      <c r="V893" s="277"/>
      <c r="W893" s="277"/>
      <c r="X893" s="277"/>
      <c r="Y893" s="277"/>
      <c r="Z893" s="277"/>
    </row>
    <row r="894" ht="12.75" customHeight="1">
      <c r="A894" s="277"/>
      <c r="B894" s="278"/>
      <c r="C894" s="277"/>
      <c r="D894" s="277"/>
      <c r="E894" s="277"/>
      <c r="F894" s="277"/>
      <c r="G894" s="277"/>
      <c r="H894" s="277"/>
      <c r="I894" s="277"/>
      <c r="J894" s="277"/>
      <c r="K894" s="277"/>
      <c r="L894" s="277"/>
      <c r="M894" s="277"/>
      <c r="N894" s="277"/>
      <c r="O894" s="277"/>
      <c r="P894" s="277"/>
      <c r="Q894" s="277"/>
      <c r="R894" s="277"/>
      <c r="S894" s="410"/>
      <c r="T894" s="277"/>
      <c r="U894" s="277"/>
      <c r="V894" s="277"/>
      <c r="W894" s="277"/>
      <c r="X894" s="277"/>
      <c r="Y894" s="277"/>
      <c r="Z894" s="277"/>
    </row>
    <row r="895" ht="12.75" customHeight="1">
      <c r="A895" s="277"/>
      <c r="B895" s="278"/>
      <c r="C895" s="277"/>
      <c r="D895" s="277"/>
      <c r="E895" s="277"/>
      <c r="F895" s="277"/>
      <c r="G895" s="277"/>
      <c r="H895" s="277"/>
      <c r="I895" s="277"/>
      <c r="J895" s="277"/>
      <c r="K895" s="277"/>
      <c r="L895" s="277"/>
      <c r="M895" s="277"/>
      <c r="N895" s="277"/>
      <c r="O895" s="277"/>
      <c r="P895" s="277"/>
      <c r="Q895" s="277"/>
      <c r="R895" s="277"/>
      <c r="S895" s="410"/>
      <c r="T895" s="277"/>
      <c r="U895" s="277"/>
      <c r="V895" s="277"/>
      <c r="W895" s="277"/>
      <c r="X895" s="277"/>
      <c r="Y895" s="277"/>
      <c r="Z895" s="277"/>
    </row>
    <row r="896" ht="12.75" customHeight="1">
      <c r="A896" s="277"/>
      <c r="B896" s="278"/>
      <c r="C896" s="277"/>
      <c r="D896" s="277"/>
      <c r="E896" s="277"/>
      <c r="F896" s="277"/>
      <c r="G896" s="277"/>
      <c r="H896" s="277"/>
      <c r="I896" s="277"/>
      <c r="J896" s="277"/>
      <c r="K896" s="277"/>
      <c r="L896" s="277"/>
      <c r="M896" s="277"/>
      <c r="N896" s="277"/>
      <c r="O896" s="277"/>
      <c r="P896" s="277"/>
      <c r="Q896" s="277"/>
      <c r="R896" s="277"/>
      <c r="S896" s="410"/>
      <c r="T896" s="277"/>
      <c r="U896" s="277"/>
      <c r="V896" s="277"/>
      <c r="W896" s="277"/>
      <c r="X896" s="277"/>
      <c r="Y896" s="277"/>
      <c r="Z896" s="277"/>
    </row>
    <row r="897" ht="12.75" customHeight="1">
      <c r="A897" s="277"/>
      <c r="B897" s="278"/>
      <c r="C897" s="277"/>
      <c r="D897" s="277"/>
      <c r="E897" s="277"/>
      <c r="F897" s="277"/>
      <c r="G897" s="277"/>
      <c r="H897" s="277"/>
      <c r="I897" s="277"/>
      <c r="J897" s="277"/>
      <c r="K897" s="277"/>
      <c r="L897" s="277"/>
      <c r="M897" s="277"/>
      <c r="N897" s="277"/>
      <c r="O897" s="277"/>
      <c r="P897" s="277"/>
      <c r="Q897" s="277"/>
      <c r="R897" s="277"/>
      <c r="S897" s="410"/>
      <c r="T897" s="277"/>
      <c r="U897" s="277"/>
      <c r="V897" s="277"/>
      <c r="W897" s="277"/>
      <c r="X897" s="277"/>
      <c r="Y897" s="277"/>
      <c r="Z897" s="277"/>
    </row>
    <row r="898" ht="12.75" customHeight="1">
      <c r="A898" s="277"/>
      <c r="B898" s="278"/>
      <c r="C898" s="277"/>
      <c r="D898" s="277"/>
      <c r="E898" s="277"/>
      <c r="F898" s="277"/>
      <c r="G898" s="277"/>
      <c r="H898" s="277"/>
      <c r="I898" s="277"/>
      <c r="J898" s="277"/>
      <c r="K898" s="277"/>
      <c r="L898" s="277"/>
      <c r="M898" s="277"/>
      <c r="N898" s="277"/>
      <c r="O898" s="277"/>
      <c r="P898" s="277"/>
      <c r="Q898" s="277"/>
      <c r="R898" s="277"/>
      <c r="S898" s="410"/>
      <c r="T898" s="277"/>
      <c r="U898" s="277"/>
      <c r="V898" s="277"/>
      <c r="W898" s="277"/>
      <c r="X898" s="277"/>
      <c r="Y898" s="277"/>
      <c r="Z898" s="277"/>
    </row>
    <row r="899" ht="12.75" customHeight="1">
      <c r="A899" s="277"/>
      <c r="B899" s="278"/>
      <c r="C899" s="277"/>
      <c r="D899" s="277"/>
      <c r="E899" s="277"/>
      <c r="F899" s="277"/>
      <c r="G899" s="277"/>
      <c r="H899" s="277"/>
      <c r="I899" s="277"/>
      <c r="J899" s="277"/>
      <c r="K899" s="277"/>
      <c r="L899" s="277"/>
      <c r="M899" s="277"/>
      <c r="N899" s="277"/>
      <c r="O899" s="277"/>
      <c r="P899" s="277"/>
      <c r="Q899" s="277"/>
      <c r="R899" s="277"/>
      <c r="S899" s="410"/>
      <c r="T899" s="277"/>
      <c r="U899" s="277"/>
      <c r="V899" s="277"/>
      <c r="W899" s="277"/>
      <c r="X899" s="277"/>
      <c r="Y899" s="277"/>
      <c r="Z899" s="277"/>
    </row>
    <row r="900" ht="12.75" customHeight="1">
      <c r="A900" s="277"/>
      <c r="B900" s="278"/>
      <c r="C900" s="277"/>
      <c r="D900" s="277"/>
      <c r="E900" s="277"/>
      <c r="F900" s="277"/>
      <c r="G900" s="277"/>
      <c r="H900" s="277"/>
      <c r="I900" s="277"/>
      <c r="J900" s="277"/>
      <c r="K900" s="277"/>
      <c r="L900" s="277"/>
      <c r="M900" s="277"/>
      <c r="N900" s="277"/>
      <c r="O900" s="277"/>
      <c r="P900" s="277"/>
      <c r="Q900" s="277"/>
      <c r="R900" s="277"/>
      <c r="S900" s="410"/>
      <c r="T900" s="277"/>
      <c r="U900" s="277"/>
      <c r="V900" s="277"/>
      <c r="W900" s="277"/>
      <c r="X900" s="277"/>
      <c r="Y900" s="277"/>
      <c r="Z900" s="277"/>
    </row>
    <row r="901" ht="12.75" customHeight="1">
      <c r="A901" s="277"/>
      <c r="B901" s="278"/>
      <c r="C901" s="277"/>
      <c r="D901" s="277"/>
      <c r="E901" s="277"/>
      <c r="F901" s="277"/>
      <c r="G901" s="277"/>
      <c r="H901" s="277"/>
      <c r="I901" s="277"/>
      <c r="J901" s="277"/>
      <c r="K901" s="277"/>
      <c r="L901" s="277"/>
      <c r="M901" s="277"/>
      <c r="N901" s="277"/>
      <c r="O901" s="277"/>
      <c r="P901" s="277"/>
      <c r="Q901" s="277"/>
      <c r="R901" s="277"/>
      <c r="S901" s="410"/>
      <c r="T901" s="277"/>
      <c r="U901" s="277"/>
      <c r="V901" s="277"/>
      <c r="W901" s="277"/>
      <c r="X901" s="277"/>
      <c r="Y901" s="277"/>
      <c r="Z901" s="277"/>
    </row>
    <row r="902" ht="12.75" customHeight="1">
      <c r="A902" s="277"/>
      <c r="B902" s="278"/>
      <c r="C902" s="277"/>
      <c r="D902" s="277"/>
      <c r="E902" s="277"/>
      <c r="F902" s="277"/>
      <c r="G902" s="277"/>
      <c r="H902" s="277"/>
      <c r="I902" s="277"/>
      <c r="J902" s="277"/>
      <c r="K902" s="277"/>
      <c r="L902" s="277"/>
      <c r="M902" s="277"/>
      <c r="N902" s="277"/>
      <c r="O902" s="277"/>
      <c r="P902" s="277"/>
      <c r="Q902" s="277"/>
      <c r="R902" s="277"/>
      <c r="S902" s="410"/>
      <c r="T902" s="277"/>
      <c r="U902" s="277"/>
      <c r="V902" s="277"/>
      <c r="W902" s="277"/>
      <c r="X902" s="277"/>
      <c r="Y902" s="277"/>
      <c r="Z902" s="277"/>
    </row>
    <row r="903" ht="12.75" customHeight="1">
      <c r="A903" s="277"/>
      <c r="B903" s="278"/>
      <c r="C903" s="277"/>
      <c r="D903" s="277"/>
      <c r="E903" s="277"/>
      <c r="F903" s="277"/>
      <c r="G903" s="277"/>
      <c r="H903" s="277"/>
      <c r="I903" s="277"/>
      <c r="J903" s="277"/>
      <c r="K903" s="277"/>
      <c r="L903" s="277"/>
      <c r="M903" s="277"/>
      <c r="N903" s="277"/>
      <c r="O903" s="277"/>
      <c r="P903" s="277"/>
      <c r="Q903" s="277"/>
      <c r="R903" s="277"/>
      <c r="S903" s="410"/>
      <c r="T903" s="277"/>
      <c r="U903" s="277"/>
      <c r="V903" s="277"/>
      <c r="W903" s="277"/>
      <c r="X903" s="277"/>
      <c r="Y903" s="277"/>
      <c r="Z903" s="277"/>
    </row>
    <row r="904" ht="12.75" customHeight="1">
      <c r="A904" s="277"/>
      <c r="B904" s="278"/>
      <c r="C904" s="277"/>
      <c r="D904" s="277"/>
      <c r="E904" s="277"/>
      <c r="F904" s="277"/>
      <c r="G904" s="277"/>
      <c r="H904" s="277"/>
      <c r="I904" s="277"/>
      <c r="J904" s="277"/>
      <c r="K904" s="277"/>
      <c r="L904" s="277"/>
      <c r="M904" s="277"/>
      <c r="N904" s="277"/>
      <c r="O904" s="277"/>
      <c r="P904" s="277"/>
      <c r="Q904" s="277"/>
      <c r="R904" s="277"/>
      <c r="S904" s="410"/>
      <c r="T904" s="277"/>
      <c r="U904" s="277"/>
      <c r="V904" s="277"/>
      <c r="W904" s="277"/>
      <c r="X904" s="277"/>
      <c r="Y904" s="277"/>
      <c r="Z904" s="277"/>
    </row>
    <row r="905" ht="12.75" customHeight="1">
      <c r="A905" s="277"/>
      <c r="B905" s="278"/>
      <c r="C905" s="277"/>
      <c r="D905" s="277"/>
      <c r="E905" s="277"/>
      <c r="F905" s="277"/>
      <c r="G905" s="277"/>
      <c r="H905" s="277"/>
      <c r="I905" s="277"/>
      <c r="J905" s="277"/>
      <c r="K905" s="277"/>
      <c r="L905" s="277"/>
      <c r="M905" s="277"/>
      <c r="N905" s="277"/>
      <c r="O905" s="277"/>
      <c r="P905" s="277"/>
      <c r="Q905" s="277"/>
      <c r="R905" s="277"/>
      <c r="S905" s="410"/>
      <c r="T905" s="277"/>
      <c r="U905" s="277"/>
      <c r="V905" s="277"/>
      <c r="W905" s="277"/>
      <c r="X905" s="277"/>
      <c r="Y905" s="277"/>
      <c r="Z905" s="277"/>
    </row>
    <row r="906" ht="12.75" customHeight="1">
      <c r="A906" s="277"/>
      <c r="B906" s="278"/>
      <c r="C906" s="277"/>
      <c r="D906" s="277"/>
      <c r="E906" s="277"/>
      <c r="F906" s="277"/>
      <c r="G906" s="277"/>
      <c r="H906" s="277"/>
      <c r="I906" s="277"/>
      <c r="J906" s="277"/>
      <c r="K906" s="277"/>
      <c r="L906" s="277"/>
      <c r="M906" s="277"/>
      <c r="N906" s="277"/>
      <c r="O906" s="277"/>
      <c r="P906" s="277"/>
      <c r="Q906" s="277"/>
      <c r="R906" s="277"/>
      <c r="S906" s="410"/>
      <c r="T906" s="277"/>
      <c r="U906" s="277"/>
      <c r="V906" s="277"/>
      <c r="W906" s="277"/>
      <c r="X906" s="277"/>
      <c r="Y906" s="277"/>
      <c r="Z906" s="277"/>
    </row>
    <row r="907" ht="12.75" customHeight="1">
      <c r="A907" s="277"/>
      <c r="B907" s="278"/>
      <c r="C907" s="277"/>
      <c r="D907" s="277"/>
      <c r="E907" s="277"/>
      <c r="F907" s="277"/>
      <c r="G907" s="277"/>
      <c r="H907" s="277"/>
      <c r="I907" s="277"/>
      <c r="J907" s="277"/>
      <c r="K907" s="277"/>
      <c r="L907" s="277"/>
      <c r="M907" s="277"/>
      <c r="N907" s="277"/>
      <c r="O907" s="277"/>
      <c r="P907" s="277"/>
      <c r="Q907" s="277"/>
      <c r="R907" s="277"/>
      <c r="S907" s="410"/>
      <c r="T907" s="277"/>
      <c r="U907" s="277"/>
      <c r="V907" s="277"/>
      <c r="W907" s="277"/>
      <c r="X907" s="277"/>
      <c r="Y907" s="277"/>
      <c r="Z907" s="277"/>
    </row>
    <row r="908" ht="12.75" customHeight="1">
      <c r="A908" s="277"/>
      <c r="B908" s="278"/>
      <c r="C908" s="277"/>
      <c r="D908" s="277"/>
      <c r="E908" s="277"/>
      <c r="F908" s="277"/>
      <c r="G908" s="277"/>
      <c r="H908" s="277"/>
      <c r="I908" s="277"/>
      <c r="J908" s="277"/>
      <c r="K908" s="277"/>
      <c r="L908" s="277"/>
      <c r="M908" s="277"/>
      <c r="N908" s="277"/>
      <c r="O908" s="277"/>
      <c r="P908" s="277"/>
      <c r="Q908" s="277"/>
      <c r="R908" s="277"/>
      <c r="S908" s="410"/>
      <c r="T908" s="277"/>
      <c r="U908" s="277"/>
      <c r="V908" s="277"/>
      <c r="W908" s="277"/>
      <c r="X908" s="277"/>
      <c r="Y908" s="277"/>
      <c r="Z908" s="277"/>
    </row>
    <row r="909" ht="12.75" customHeight="1">
      <c r="A909" s="277"/>
      <c r="B909" s="278"/>
      <c r="C909" s="277"/>
      <c r="D909" s="277"/>
      <c r="E909" s="277"/>
      <c r="F909" s="277"/>
      <c r="G909" s="277"/>
      <c r="H909" s="277"/>
      <c r="I909" s="277"/>
      <c r="J909" s="277"/>
      <c r="K909" s="277"/>
      <c r="L909" s="277"/>
      <c r="M909" s="277"/>
      <c r="N909" s="277"/>
      <c r="O909" s="277"/>
      <c r="P909" s="277"/>
      <c r="Q909" s="277"/>
      <c r="R909" s="277"/>
      <c r="S909" s="410"/>
      <c r="T909" s="277"/>
      <c r="U909" s="277"/>
      <c r="V909" s="277"/>
      <c r="W909" s="277"/>
      <c r="X909" s="277"/>
      <c r="Y909" s="277"/>
      <c r="Z909" s="277"/>
    </row>
    <row r="910" ht="12.75" customHeight="1">
      <c r="A910" s="277"/>
      <c r="B910" s="278"/>
      <c r="C910" s="277"/>
      <c r="D910" s="277"/>
      <c r="E910" s="277"/>
      <c r="F910" s="277"/>
      <c r="G910" s="277"/>
      <c r="H910" s="277"/>
      <c r="I910" s="277"/>
      <c r="J910" s="277"/>
      <c r="K910" s="277"/>
      <c r="L910" s="277"/>
      <c r="M910" s="277"/>
      <c r="N910" s="277"/>
      <c r="O910" s="277"/>
      <c r="P910" s="277"/>
      <c r="Q910" s="277"/>
      <c r="R910" s="277"/>
      <c r="S910" s="410"/>
      <c r="T910" s="277"/>
      <c r="U910" s="277"/>
      <c r="V910" s="277"/>
      <c r="W910" s="277"/>
      <c r="X910" s="277"/>
      <c r="Y910" s="277"/>
      <c r="Z910" s="277"/>
    </row>
    <row r="911" ht="12.75" customHeight="1">
      <c r="A911" s="277"/>
      <c r="B911" s="278"/>
      <c r="C911" s="277"/>
      <c r="D911" s="277"/>
      <c r="E911" s="277"/>
      <c r="F911" s="277"/>
      <c r="G911" s="277"/>
      <c r="H911" s="277"/>
      <c r="I911" s="277"/>
      <c r="J911" s="277"/>
      <c r="K911" s="277"/>
      <c r="L911" s="277"/>
      <c r="M911" s="277"/>
      <c r="N911" s="277"/>
      <c r="O911" s="277"/>
      <c r="P911" s="277"/>
      <c r="Q911" s="277"/>
      <c r="R911" s="277"/>
      <c r="S911" s="410"/>
      <c r="T911" s="277"/>
      <c r="U911" s="277"/>
      <c r="V911" s="277"/>
      <c r="W911" s="277"/>
      <c r="X911" s="277"/>
      <c r="Y911" s="277"/>
      <c r="Z911" s="277"/>
    </row>
    <row r="912" ht="12.75" customHeight="1">
      <c r="A912" s="277"/>
      <c r="B912" s="278"/>
      <c r="C912" s="277"/>
      <c r="D912" s="277"/>
      <c r="E912" s="277"/>
      <c r="F912" s="277"/>
      <c r="G912" s="277"/>
      <c r="H912" s="277"/>
      <c r="I912" s="277"/>
      <c r="J912" s="277"/>
      <c r="K912" s="277"/>
      <c r="L912" s="277"/>
      <c r="M912" s="277"/>
      <c r="N912" s="277"/>
      <c r="O912" s="277"/>
      <c r="P912" s="277"/>
      <c r="Q912" s="277"/>
      <c r="R912" s="277"/>
      <c r="S912" s="410"/>
      <c r="T912" s="277"/>
      <c r="U912" s="277"/>
      <c r="V912" s="277"/>
      <c r="W912" s="277"/>
      <c r="X912" s="277"/>
      <c r="Y912" s="277"/>
      <c r="Z912" s="277"/>
    </row>
    <row r="913" ht="12.75" customHeight="1">
      <c r="A913" s="277"/>
      <c r="B913" s="278"/>
      <c r="C913" s="277"/>
      <c r="D913" s="277"/>
      <c r="E913" s="277"/>
      <c r="F913" s="277"/>
      <c r="G913" s="277"/>
      <c r="H913" s="277"/>
      <c r="I913" s="277"/>
      <c r="J913" s="277"/>
      <c r="K913" s="277"/>
      <c r="L913" s="277"/>
      <c r="M913" s="277"/>
      <c r="N913" s="277"/>
      <c r="O913" s="277"/>
      <c r="P913" s="277"/>
      <c r="Q913" s="277"/>
      <c r="R913" s="277"/>
      <c r="S913" s="410"/>
      <c r="T913" s="277"/>
      <c r="U913" s="277"/>
      <c r="V913" s="277"/>
      <c r="W913" s="277"/>
      <c r="X913" s="277"/>
      <c r="Y913" s="277"/>
      <c r="Z913" s="277"/>
    </row>
    <row r="914" ht="12.75" customHeight="1">
      <c r="A914" s="277"/>
      <c r="B914" s="278"/>
      <c r="C914" s="277"/>
      <c r="D914" s="277"/>
      <c r="E914" s="277"/>
      <c r="F914" s="277"/>
      <c r="G914" s="277"/>
      <c r="H914" s="277"/>
      <c r="I914" s="277"/>
      <c r="J914" s="277"/>
      <c r="K914" s="277"/>
      <c r="L914" s="277"/>
      <c r="M914" s="277"/>
      <c r="N914" s="277"/>
      <c r="O914" s="277"/>
      <c r="P914" s="277"/>
      <c r="Q914" s="277"/>
      <c r="R914" s="277"/>
      <c r="S914" s="410"/>
      <c r="T914" s="277"/>
      <c r="U914" s="277"/>
      <c r="V914" s="277"/>
      <c r="W914" s="277"/>
      <c r="X914" s="277"/>
      <c r="Y914" s="277"/>
      <c r="Z914" s="277"/>
    </row>
    <row r="915" ht="12.75" customHeight="1">
      <c r="A915" s="277"/>
      <c r="B915" s="278"/>
      <c r="C915" s="277"/>
      <c r="D915" s="277"/>
      <c r="E915" s="277"/>
      <c r="F915" s="277"/>
      <c r="G915" s="277"/>
      <c r="H915" s="277"/>
      <c r="I915" s="277"/>
      <c r="J915" s="277"/>
      <c r="K915" s="277"/>
      <c r="L915" s="277"/>
      <c r="M915" s="277"/>
      <c r="N915" s="277"/>
      <c r="O915" s="277"/>
      <c r="P915" s="277"/>
      <c r="Q915" s="277"/>
      <c r="R915" s="277"/>
      <c r="S915" s="410"/>
      <c r="T915" s="277"/>
      <c r="U915" s="277"/>
      <c r="V915" s="277"/>
      <c r="W915" s="277"/>
      <c r="X915" s="277"/>
      <c r="Y915" s="277"/>
      <c r="Z915" s="277"/>
    </row>
    <row r="916" ht="12.75" customHeight="1">
      <c r="A916" s="277"/>
      <c r="B916" s="278"/>
      <c r="C916" s="277"/>
      <c r="D916" s="277"/>
      <c r="E916" s="277"/>
      <c r="F916" s="277"/>
      <c r="G916" s="277"/>
      <c r="H916" s="277"/>
      <c r="I916" s="277"/>
      <c r="J916" s="277"/>
      <c r="K916" s="277"/>
      <c r="L916" s="277"/>
      <c r="M916" s="277"/>
      <c r="N916" s="277"/>
      <c r="O916" s="277"/>
      <c r="P916" s="277"/>
      <c r="Q916" s="277"/>
      <c r="R916" s="277"/>
      <c r="S916" s="410"/>
      <c r="T916" s="277"/>
      <c r="U916" s="277"/>
      <c r="V916" s="277"/>
      <c r="W916" s="277"/>
      <c r="X916" s="277"/>
      <c r="Y916" s="277"/>
      <c r="Z916" s="277"/>
    </row>
    <row r="917" ht="12.75" customHeight="1">
      <c r="A917" s="277"/>
      <c r="B917" s="278"/>
      <c r="C917" s="277"/>
      <c r="D917" s="277"/>
      <c r="E917" s="277"/>
      <c r="F917" s="277"/>
      <c r="G917" s="277"/>
      <c r="H917" s="277"/>
      <c r="I917" s="277"/>
      <c r="J917" s="277"/>
      <c r="K917" s="277"/>
      <c r="L917" s="277"/>
      <c r="M917" s="277"/>
      <c r="N917" s="277"/>
      <c r="O917" s="277"/>
      <c r="P917" s="277"/>
      <c r="Q917" s="277"/>
      <c r="R917" s="277"/>
      <c r="S917" s="410"/>
      <c r="T917" s="277"/>
      <c r="U917" s="277"/>
      <c r="V917" s="277"/>
      <c r="W917" s="277"/>
      <c r="X917" s="277"/>
      <c r="Y917" s="277"/>
      <c r="Z917" s="277"/>
    </row>
    <row r="918" ht="12.75" customHeight="1">
      <c r="A918" s="277"/>
      <c r="B918" s="278"/>
      <c r="C918" s="277"/>
      <c r="D918" s="277"/>
      <c r="E918" s="277"/>
      <c r="F918" s="277"/>
      <c r="G918" s="277"/>
      <c r="H918" s="277"/>
      <c r="I918" s="277"/>
      <c r="J918" s="277"/>
      <c r="K918" s="277"/>
      <c r="L918" s="277"/>
      <c r="M918" s="277"/>
      <c r="N918" s="277"/>
      <c r="O918" s="277"/>
      <c r="P918" s="277"/>
      <c r="Q918" s="277"/>
      <c r="R918" s="277"/>
      <c r="S918" s="410"/>
      <c r="T918" s="277"/>
      <c r="U918" s="277"/>
      <c r="V918" s="277"/>
      <c r="W918" s="277"/>
      <c r="X918" s="277"/>
      <c r="Y918" s="277"/>
      <c r="Z918" s="277"/>
    </row>
    <row r="919" ht="12.75" customHeight="1">
      <c r="A919" s="277"/>
      <c r="B919" s="278"/>
      <c r="C919" s="277"/>
      <c r="D919" s="277"/>
      <c r="E919" s="277"/>
      <c r="F919" s="277"/>
      <c r="G919" s="277"/>
      <c r="H919" s="277"/>
      <c r="I919" s="277"/>
      <c r="J919" s="277"/>
      <c r="K919" s="277"/>
      <c r="L919" s="277"/>
      <c r="M919" s="277"/>
      <c r="N919" s="277"/>
      <c r="O919" s="277"/>
      <c r="P919" s="277"/>
      <c r="Q919" s="277"/>
      <c r="R919" s="277"/>
      <c r="S919" s="410"/>
      <c r="T919" s="277"/>
      <c r="U919" s="277"/>
      <c r="V919" s="277"/>
      <c r="W919" s="277"/>
      <c r="X919" s="277"/>
      <c r="Y919" s="277"/>
      <c r="Z919" s="277"/>
    </row>
    <row r="920" ht="12.75" customHeight="1">
      <c r="A920" s="277"/>
      <c r="B920" s="278"/>
      <c r="C920" s="277"/>
      <c r="D920" s="277"/>
      <c r="E920" s="277"/>
      <c r="F920" s="277"/>
      <c r="G920" s="277"/>
      <c r="H920" s="277"/>
      <c r="I920" s="277"/>
      <c r="J920" s="277"/>
      <c r="K920" s="277"/>
      <c r="L920" s="277"/>
      <c r="M920" s="277"/>
      <c r="N920" s="277"/>
      <c r="O920" s="277"/>
      <c r="P920" s="277"/>
      <c r="Q920" s="277"/>
      <c r="R920" s="277"/>
      <c r="S920" s="410"/>
      <c r="T920" s="277"/>
      <c r="U920" s="277"/>
      <c r="V920" s="277"/>
      <c r="W920" s="277"/>
      <c r="X920" s="277"/>
      <c r="Y920" s="277"/>
      <c r="Z920" s="277"/>
    </row>
    <row r="921" ht="12.75" customHeight="1">
      <c r="A921" s="277"/>
      <c r="B921" s="278"/>
      <c r="C921" s="277"/>
      <c r="D921" s="277"/>
      <c r="E921" s="277"/>
      <c r="F921" s="277"/>
      <c r="G921" s="277"/>
      <c r="H921" s="277"/>
      <c r="I921" s="277"/>
      <c r="J921" s="277"/>
      <c r="K921" s="277"/>
      <c r="L921" s="277"/>
      <c r="M921" s="277"/>
      <c r="N921" s="277"/>
      <c r="O921" s="277"/>
      <c r="P921" s="277"/>
      <c r="Q921" s="277"/>
      <c r="R921" s="277"/>
      <c r="S921" s="410"/>
      <c r="T921" s="277"/>
      <c r="U921" s="277"/>
      <c r="V921" s="277"/>
      <c r="W921" s="277"/>
      <c r="X921" s="277"/>
      <c r="Y921" s="277"/>
      <c r="Z921" s="277"/>
    </row>
    <row r="922" ht="12.75" customHeight="1">
      <c r="A922" s="277"/>
      <c r="B922" s="278"/>
      <c r="C922" s="277"/>
      <c r="D922" s="277"/>
      <c r="E922" s="277"/>
      <c r="F922" s="277"/>
      <c r="G922" s="277"/>
      <c r="H922" s="277"/>
      <c r="I922" s="277"/>
      <c r="J922" s="277"/>
      <c r="K922" s="277"/>
      <c r="L922" s="277"/>
      <c r="M922" s="277"/>
      <c r="N922" s="277"/>
      <c r="O922" s="277"/>
      <c r="P922" s="277"/>
      <c r="Q922" s="277"/>
      <c r="R922" s="277"/>
      <c r="S922" s="410"/>
      <c r="T922" s="277"/>
      <c r="U922" s="277"/>
      <c r="V922" s="277"/>
      <c r="W922" s="277"/>
      <c r="X922" s="277"/>
      <c r="Y922" s="277"/>
      <c r="Z922" s="277"/>
    </row>
    <row r="923" ht="12.75" customHeight="1">
      <c r="A923" s="277"/>
      <c r="B923" s="278"/>
      <c r="C923" s="277"/>
      <c r="D923" s="277"/>
      <c r="E923" s="277"/>
      <c r="F923" s="277"/>
      <c r="G923" s="277"/>
      <c r="H923" s="277"/>
      <c r="I923" s="277"/>
      <c r="J923" s="277"/>
      <c r="K923" s="277"/>
      <c r="L923" s="277"/>
      <c r="M923" s="277"/>
      <c r="N923" s="277"/>
      <c r="O923" s="277"/>
      <c r="P923" s="277"/>
      <c r="Q923" s="277"/>
      <c r="R923" s="277"/>
      <c r="S923" s="410"/>
      <c r="T923" s="277"/>
      <c r="U923" s="277"/>
      <c r="V923" s="277"/>
      <c r="W923" s="277"/>
      <c r="X923" s="277"/>
      <c r="Y923" s="277"/>
      <c r="Z923" s="277"/>
    </row>
    <row r="924" ht="12.75" customHeight="1">
      <c r="A924" s="277"/>
      <c r="B924" s="278"/>
      <c r="C924" s="277"/>
      <c r="D924" s="277"/>
      <c r="E924" s="277"/>
      <c r="F924" s="277"/>
      <c r="G924" s="277"/>
      <c r="H924" s="277"/>
      <c r="I924" s="277"/>
      <c r="J924" s="277"/>
      <c r="K924" s="277"/>
      <c r="L924" s="277"/>
      <c r="M924" s="277"/>
      <c r="N924" s="277"/>
      <c r="O924" s="277"/>
      <c r="P924" s="277"/>
      <c r="Q924" s="277"/>
      <c r="R924" s="277"/>
      <c r="S924" s="410"/>
      <c r="T924" s="277"/>
      <c r="U924" s="277"/>
      <c r="V924" s="277"/>
      <c r="W924" s="277"/>
      <c r="X924" s="277"/>
      <c r="Y924" s="277"/>
      <c r="Z924" s="277"/>
    </row>
    <row r="925" ht="12.75" customHeight="1">
      <c r="A925" s="277"/>
      <c r="B925" s="278"/>
      <c r="C925" s="277"/>
      <c r="D925" s="277"/>
      <c r="E925" s="277"/>
      <c r="F925" s="277"/>
      <c r="G925" s="277"/>
      <c r="H925" s="277"/>
      <c r="I925" s="277"/>
      <c r="J925" s="277"/>
      <c r="K925" s="277"/>
      <c r="L925" s="277"/>
      <c r="M925" s="277"/>
      <c r="N925" s="277"/>
      <c r="O925" s="277"/>
      <c r="P925" s="277"/>
      <c r="Q925" s="277"/>
      <c r="R925" s="277"/>
      <c r="S925" s="410"/>
      <c r="T925" s="277"/>
      <c r="U925" s="277"/>
      <c r="V925" s="277"/>
      <c r="W925" s="277"/>
      <c r="X925" s="277"/>
      <c r="Y925" s="277"/>
      <c r="Z925" s="277"/>
    </row>
    <row r="926" ht="12.75" customHeight="1">
      <c r="A926" s="277"/>
      <c r="B926" s="278"/>
      <c r="C926" s="277"/>
      <c r="D926" s="277"/>
      <c r="E926" s="277"/>
      <c r="F926" s="277"/>
      <c r="G926" s="277"/>
      <c r="H926" s="277"/>
      <c r="I926" s="277"/>
      <c r="J926" s="277"/>
      <c r="K926" s="277"/>
      <c r="L926" s="277"/>
      <c r="M926" s="277"/>
      <c r="N926" s="277"/>
      <c r="O926" s="277"/>
      <c r="P926" s="277"/>
      <c r="Q926" s="277"/>
      <c r="R926" s="277"/>
      <c r="S926" s="410"/>
      <c r="T926" s="277"/>
      <c r="U926" s="277"/>
      <c r="V926" s="277"/>
      <c r="W926" s="277"/>
      <c r="X926" s="277"/>
      <c r="Y926" s="277"/>
      <c r="Z926" s="277"/>
    </row>
    <row r="927" ht="12.75" customHeight="1">
      <c r="A927" s="277"/>
      <c r="B927" s="278"/>
      <c r="C927" s="277"/>
      <c r="D927" s="277"/>
      <c r="E927" s="277"/>
      <c r="F927" s="277"/>
      <c r="G927" s="277"/>
      <c r="H927" s="277"/>
      <c r="I927" s="277"/>
      <c r="J927" s="277"/>
      <c r="K927" s="277"/>
      <c r="L927" s="277"/>
      <c r="M927" s="277"/>
      <c r="N927" s="277"/>
      <c r="O927" s="277"/>
      <c r="P927" s="277"/>
      <c r="Q927" s="277"/>
      <c r="R927" s="277"/>
      <c r="S927" s="410"/>
      <c r="T927" s="277"/>
      <c r="U927" s="277"/>
      <c r="V927" s="277"/>
      <c r="W927" s="277"/>
      <c r="X927" s="277"/>
      <c r="Y927" s="277"/>
      <c r="Z927" s="277"/>
    </row>
    <row r="928" ht="12.75" customHeight="1">
      <c r="A928" s="277"/>
      <c r="B928" s="278"/>
      <c r="C928" s="277"/>
      <c r="D928" s="277"/>
      <c r="E928" s="277"/>
      <c r="F928" s="277"/>
      <c r="G928" s="277"/>
      <c r="H928" s="277"/>
      <c r="I928" s="277"/>
      <c r="J928" s="277"/>
      <c r="K928" s="277"/>
      <c r="L928" s="277"/>
      <c r="M928" s="277"/>
      <c r="N928" s="277"/>
      <c r="O928" s="277"/>
      <c r="P928" s="277"/>
      <c r="Q928" s="277"/>
      <c r="R928" s="277"/>
      <c r="S928" s="410"/>
      <c r="T928" s="277"/>
      <c r="U928" s="277"/>
      <c r="V928" s="277"/>
      <c r="W928" s="277"/>
      <c r="X928" s="277"/>
      <c r="Y928" s="277"/>
      <c r="Z928" s="277"/>
    </row>
    <row r="929" ht="12.75" customHeight="1">
      <c r="A929" s="277"/>
      <c r="B929" s="278"/>
      <c r="C929" s="277"/>
      <c r="D929" s="277"/>
      <c r="E929" s="277"/>
      <c r="F929" s="277"/>
      <c r="G929" s="277"/>
      <c r="H929" s="277"/>
      <c r="I929" s="277"/>
      <c r="J929" s="277"/>
      <c r="K929" s="277"/>
      <c r="L929" s="277"/>
      <c r="M929" s="277"/>
      <c r="N929" s="277"/>
      <c r="O929" s="277"/>
      <c r="P929" s="277"/>
      <c r="Q929" s="277"/>
      <c r="R929" s="277"/>
      <c r="S929" s="410"/>
      <c r="T929" s="277"/>
      <c r="U929" s="277"/>
      <c r="V929" s="277"/>
      <c r="W929" s="277"/>
      <c r="X929" s="277"/>
      <c r="Y929" s="277"/>
      <c r="Z929" s="277"/>
    </row>
    <row r="930" ht="12.75" customHeight="1">
      <c r="A930" s="277"/>
      <c r="B930" s="278"/>
      <c r="C930" s="277"/>
      <c r="D930" s="277"/>
      <c r="E930" s="277"/>
      <c r="F930" s="277"/>
      <c r="G930" s="277"/>
      <c r="H930" s="277"/>
      <c r="I930" s="277"/>
      <c r="J930" s="277"/>
      <c r="K930" s="277"/>
      <c r="L930" s="277"/>
      <c r="M930" s="277"/>
      <c r="N930" s="277"/>
      <c r="O930" s="277"/>
      <c r="P930" s="277"/>
      <c r="Q930" s="277"/>
      <c r="R930" s="277"/>
      <c r="S930" s="410"/>
      <c r="T930" s="277"/>
      <c r="U930" s="277"/>
      <c r="V930" s="277"/>
      <c r="W930" s="277"/>
      <c r="X930" s="277"/>
      <c r="Y930" s="277"/>
      <c r="Z930" s="277"/>
    </row>
    <row r="931" ht="12.75" customHeight="1">
      <c r="A931" s="277"/>
      <c r="B931" s="278"/>
      <c r="C931" s="277"/>
      <c r="D931" s="277"/>
      <c r="E931" s="277"/>
      <c r="F931" s="277"/>
      <c r="G931" s="277"/>
      <c r="H931" s="277"/>
      <c r="I931" s="277"/>
      <c r="J931" s="277"/>
      <c r="K931" s="277"/>
      <c r="L931" s="277"/>
      <c r="M931" s="277"/>
      <c r="N931" s="277"/>
      <c r="O931" s="277"/>
      <c r="P931" s="277"/>
      <c r="Q931" s="277"/>
      <c r="R931" s="277"/>
      <c r="S931" s="410"/>
      <c r="T931" s="277"/>
      <c r="U931" s="277"/>
      <c r="V931" s="277"/>
      <c r="W931" s="277"/>
      <c r="X931" s="277"/>
      <c r="Y931" s="277"/>
      <c r="Z931" s="277"/>
    </row>
    <row r="932" ht="12.75" customHeight="1">
      <c r="A932" s="277"/>
      <c r="B932" s="278"/>
      <c r="C932" s="277"/>
      <c r="D932" s="277"/>
      <c r="E932" s="277"/>
      <c r="F932" s="277"/>
      <c r="G932" s="277"/>
      <c r="H932" s="277"/>
      <c r="I932" s="277"/>
      <c r="J932" s="277"/>
      <c r="K932" s="277"/>
      <c r="L932" s="277"/>
      <c r="M932" s="277"/>
      <c r="N932" s="277"/>
      <c r="O932" s="277"/>
      <c r="P932" s="277"/>
      <c r="Q932" s="277"/>
      <c r="R932" s="277"/>
      <c r="S932" s="410"/>
      <c r="T932" s="277"/>
      <c r="U932" s="277"/>
      <c r="V932" s="277"/>
      <c r="W932" s="277"/>
      <c r="X932" s="277"/>
      <c r="Y932" s="277"/>
      <c r="Z932" s="277"/>
    </row>
    <row r="933" ht="12.75" customHeight="1">
      <c r="A933" s="277"/>
      <c r="B933" s="278"/>
      <c r="C933" s="277"/>
      <c r="D933" s="277"/>
      <c r="E933" s="277"/>
      <c r="F933" s="277"/>
      <c r="G933" s="277"/>
      <c r="H933" s="277"/>
      <c r="I933" s="277"/>
      <c r="J933" s="277"/>
      <c r="K933" s="277"/>
      <c r="L933" s="277"/>
      <c r="M933" s="277"/>
      <c r="N933" s="277"/>
      <c r="O933" s="277"/>
      <c r="P933" s="277"/>
      <c r="Q933" s="277"/>
      <c r="R933" s="277"/>
      <c r="S933" s="410"/>
      <c r="T933" s="277"/>
      <c r="U933" s="277"/>
      <c r="V933" s="277"/>
      <c r="W933" s="277"/>
      <c r="X933" s="277"/>
      <c r="Y933" s="277"/>
      <c r="Z933" s="277"/>
    </row>
    <row r="934" ht="12.75" customHeight="1">
      <c r="A934" s="277"/>
      <c r="B934" s="278"/>
      <c r="C934" s="277"/>
      <c r="D934" s="277"/>
      <c r="E934" s="277"/>
      <c r="F934" s="277"/>
      <c r="G934" s="277"/>
      <c r="H934" s="277"/>
      <c r="I934" s="277"/>
      <c r="J934" s="277"/>
      <c r="K934" s="277"/>
      <c r="L934" s="277"/>
      <c r="M934" s="277"/>
      <c r="N934" s="277"/>
      <c r="O934" s="277"/>
      <c r="P934" s="277"/>
      <c r="Q934" s="277"/>
      <c r="R934" s="277"/>
      <c r="S934" s="410"/>
      <c r="T934" s="277"/>
      <c r="U934" s="277"/>
      <c r="V934" s="277"/>
      <c r="W934" s="277"/>
      <c r="X934" s="277"/>
      <c r="Y934" s="277"/>
      <c r="Z934" s="277"/>
    </row>
    <row r="935" ht="12.75" customHeight="1">
      <c r="A935" s="277"/>
      <c r="B935" s="278"/>
      <c r="C935" s="277"/>
      <c r="D935" s="277"/>
      <c r="E935" s="277"/>
      <c r="F935" s="277"/>
      <c r="G935" s="277"/>
      <c r="H935" s="277"/>
      <c r="I935" s="277"/>
      <c r="J935" s="277"/>
      <c r="K935" s="277"/>
      <c r="L935" s="277"/>
      <c r="M935" s="277"/>
      <c r="N935" s="277"/>
      <c r="O935" s="277"/>
      <c r="P935" s="277"/>
      <c r="Q935" s="277"/>
      <c r="R935" s="277"/>
      <c r="S935" s="410"/>
      <c r="T935" s="277"/>
      <c r="U935" s="277"/>
      <c r="V935" s="277"/>
      <c r="W935" s="277"/>
      <c r="X935" s="277"/>
      <c r="Y935" s="277"/>
      <c r="Z935" s="277"/>
    </row>
    <row r="936" ht="12.75" customHeight="1">
      <c r="A936" s="277"/>
      <c r="B936" s="278"/>
      <c r="C936" s="277"/>
      <c r="D936" s="277"/>
      <c r="E936" s="277"/>
      <c r="F936" s="277"/>
      <c r="G936" s="277"/>
      <c r="H936" s="277"/>
      <c r="I936" s="277"/>
      <c r="J936" s="277"/>
      <c r="K936" s="277"/>
      <c r="L936" s="277"/>
      <c r="M936" s="277"/>
      <c r="N936" s="277"/>
      <c r="O936" s="277"/>
      <c r="P936" s="277"/>
      <c r="Q936" s="277"/>
      <c r="R936" s="277"/>
      <c r="S936" s="410"/>
      <c r="T936" s="277"/>
      <c r="U936" s="277"/>
      <c r="V936" s="277"/>
      <c r="W936" s="277"/>
      <c r="X936" s="277"/>
      <c r="Y936" s="277"/>
      <c r="Z936" s="277"/>
    </row>
    <row r="937" ht="12.75" customHeight="1">
      <c r="A937" s="277"/>
      <c r="B937" s="278"/>
      <c r="C937" s="277"/>
      <c r="D937" s="277"/>
      <c r="E937" s="277"/>
      <c r="F937" s="277"/>
      <c r="G937" s="277"/>
      <c r="H937" s="277"/>
      <c r="I937" s="277"/>
      <c r="J937" s="277"/>
      <c r="K937" s="277"/>
      <c r="L937" s="277"/>
      <c r="M937" s="277"/>
      <c r="N937" s="277"/>
      <c r="O937" s="277"/>
      <c r="P937" s="277"/>
      <c r="Q937" s="277"/>
      <c r="R937" s="277"/>
      <c r="S937" s="410"/>
      <c r="T937" s="277"/>
      <c r="U937" s="277"/>
      <c r="V937" s="277"/>
      <c r="W937" s="277"/>
      <c r="X937" s="277"/>
      <c r="Y937" s="277"/>
      <c r="Z937" s="277"/>
    </row>
    <row r="938" ht="12.75" customHeight="1">
      <c r="A938" s="277"/>
      <c r="B938" s="278"/>
      <c r="C938" s="277"/>
      <c r="D938" s="277"/>
      <c r="E938" s="277"/>
      <c r="F938" s="277"/>
      <c r="G938" s="277"/>
      <c r="H938" s="277"/>
      <c r="I938" s="277"/>
      <c r="J938" s="277"/>
      <c r="K938" s="277"/>
      <c r="L938" s="277"/>
      <c r="M938" s="277"/>
      <c r="N938" s="277"/>
      <c r="O938" s="277"/>
      <c r="P938" s="277"/>
      <c r="Q938" s="277"/>
      <c r="R938" s="277"/>
      <c r="S938" s="410"/>
      <c r="T938" s="277"/>
      <c r="U938" s="277"/>
      <c r="V938" s="277"/>
      <c r="W938" s="277"/>
      <c r="X938" s="277"/>
      <c r="Y938" s="277"/>
      <c r="Z938" s="277"/>
    </row>
    <row r="939" ht="12.75" customHeight="1">
      <c r="A939" s="277"/>
      <c r="B939" s="278"/>
      <c r="C939" s="277"/>
      <c r="D939" s="277"/>
      <c r="E939" s="277"/>
      <c r="F939" s="277"/>
      <c r="G939" s="277"/>
      <c r="H939" s="277"/>
      <c r="I939" s="277"/>
      <c r="J939" s="277"/>
      <c r="K939" s="277"/>
      <c r="L939" s="277"/>
      <c r="M939" s="277"/>
      <c r="N939" s="277"/>
      <c r="O939" s="277"/>
      <c r="P939" s="277"/>
      <c r="Q939" s="277"/>
      <c r="R939" s="277"/>
      <c r="S939" s="410"/>
      <c r="T939" s="277"/>
      <c r="U939" s="277"/>
      <c r="V939" s="277"/>
      <c r="W939" s="277"/>
      <c r="X939" s="277"/>
      <c r="Y939" s="277"/>
      <c r="Z939" s="277"/>
    </row>
    <row r="940" ht="12.75" customHeight="1">
      <c r="A940" s="277"/>
      <c r="B940" s="278"/>
      <c r="C940" s="277"/>
      <c r="D940" s="277"/>
      <c r="E940" s="277"/>
      <c r="F940" s="277"/>
      <c r="G940" s="277"/>
      <c r="H940" s="277"/>
      <c r="I940" s="277"/>
      <c r="J940" s="277"/>
      <c r="K940" s="277"/>
      <c r="L940" s="277"/>
      <c r="M940" s="277"/>
      <c r="N940" s="277"/>
      <c r="O940" s="277"/>
      <c r="P940" s="277"/>
      <c r="Q940" s="277"/>
      <c r="R940" s="277"/>
      <c r="S940" s="410"/>
      <c r="T940" s="277"/>
      <c r="U940" s="277"/>
      <c r="V940" s="277"/>
      <c r="W940" s="277"/>
      <c r="X940" s="277"/>
      <c r="Y940" s="277"/>
      <c r="Z940" s="277"/>
    </row>
    <row r="941" ht="12.75" customHeight="1">
      <c r="A941" s="277"/>
      <c r="B941" s="278"/>
      <c r="C941" s="277"/>
      <c r="D941" s="277"/>
      <c r="E941" s="277"/>
      <c r="F941" s="277"/>
      <c r="G941" s="277"/>
      <c r="H941" s="277"/>
      <c r="I941" s="277"/>
      <c r="J941" s="277"/>
      <c r="K941" s="277"/>
      <c r="L941" s="277"/>
      <c r="M941" s="277"/>
      <c r="N941" s="277"/>
      <c r="O941" s="277"/>
      <c r="P941" s="277"/>
      <c r="Q941" s="277"/>
      <c r="R941" s="277"/>
      <c r="S941" s="410"/>
      <c r="T941" s="277"/>
      <c r="U941" s="277"/>
      <c r="V941" s="277"/>
      <c r="W941" s="277"/>
      <c r="X941" s="277"/>
      <c r="Y941" s="277"/>
      <c r="Z941" s="277"/>
    </row>
    <row r="942" ht="12.75" customHeight="1">
      <c r="A942" s="277"/>
      <c r="B942" s="278"/>
      <c r="C942" s="277"/>
      <c r="D942" s="277"/>
      <c r="E942" s="277"/>
      <c r="F942" s="277"/>
      <c r="G942" s="277"/>
      <c r="H942" s="277"/>
      <c r="I942" s="277"/>
      <c r="J942" s="277"/>
      <c r="K942" s="277"/>
      <c r="L942" s="277"/>
      <c r="M942" s="277"/>
      <c r="N942" s="277"/>
      <c r="O942" s="277"/>
      <c r="P942" s="277"/>
      <c r="Q942" s="277"/>
      <c r="R942" s="277"/>
      <c r="S942" s="410"/>
      <c r="T942" s="277"/>
      <c r="U942" s="277"/>
      <c r="V942" s="277"/>
      <c r="W942" s="277"/>
      <c r="X942" s="277"/>
      <c r="Y942" s="277"/>
      <c r="Z942" s="277"/>
    </row>
    <row r="943" ht="12.75" customHeight="1">
      <c r="A943" s="277"/>
      <c r="B943" s="278"/>
      <c r="C943" s="277"/>
      <c r="D943" s="277"/>
      <c r="E943" s="277"/>
      <c r="F943" s="277"/>
      <c r="G943" s="277"/>
      <c r="H943" s="277"/>
      <c r="I943" s="277"/>
      <c r="J943" s="277"/>
      <c r="K943" s="277"/>
      <c r="L943" s="277"/>
      <c r="M943" s="277"/>
      <c r="N943" s="277"/>
      <c r="O943" s="277"/>
      <c r="P943" s="277"/>
      <c r="Q943" s="277"/>
      <c r="R943" s="277"/>
      <c r="S943" s="410"/>
      <c r="T943" s="277"/>
      <c r="U943" s="277"/>
      <c r="V943" s="277"/>
      <c r="W943" s="277"/>
      <c r="X943" s="277"/>
      <c r="Y943" s="277"/>
      <c r="Z943" s="277"/>
    </row>
    <row r="944" ht="12.75" customHeight="1">
      <c r="A944" s="277"/>
      <c r="B944" s="278"/>
      <c r="C944" s="277"/>
      <c r="D944" s="277"/>
      <c r="E944" s="277"/>
      <c r="F944" s="277"/>
      <c r="G944" s="277"/>
      <c r="H944" s="277"/>
      <c r="I944" s="277"/>
      <c r="J944" s="277"/>
      <c r="K944" s="277"/>
      <c r="L944" s="277"/>
      <c r="M944" s="277"/>
      <c r="N944" s="277"/>
      <c r="O944" s="277"/>
      <c r="P944" s="277"/>
      <c r="Q944" s="277"/>
      <c r="R944" s="277"/>
      <c r="S944" s="410"/>
      <c r="T944" s="277"/>
      <c r="U944" s="277"/>
      <c r="V944" s="277"/>
      <c r="W944" s="277"/>
      <c r="X944" s="277"/>
      <c r="Y944" s="277"/>
      <c r="Z944" s="277"/>
    </row>
    <row r="945" ht="12.75" customHeight="1">
      <c r="A945" s="277"/>
      <c r="B945" s="278"/>
      <c r="C945" s="277"/>
      <c r="D945" s="277"/>
      <c r="E945" s="277"/>
      <c r="F945" s="277"/>
      <c r="G945" s="277"/>
      <c r="H945" s="277"/>
      <c r="I945" s="277"/>
      <c r="J945" s="277"/>
      <c r="K945" s="277"/>
      <c r="L945" s="277"/>
      <c r="M945" s="277"/>
      <c r="N945" s="277"/>
      <c r="O945" s="277"/>
      <c r="P945" s="277"/>
      <c r="Q945" s="277"/>
      <c r="R945" s="277"/>
      <c r="S945" s="410"/>
      <c r="T945" s="277"/>
      <c r="U945" s="277"/>
      <c r="V945" s="277"/>
      <c r="W945" s="277"/>
      <c r="X945" s="277"/>
      <c r="Y945" s="277"/>
      <c r="Z945" s="277"/>
    </row>
    <row r="946" ht="12.75" customHeight="1">
      <c r="A946" s="277"/>
      <c r="B946" s="278"/>
      <c r="C946" s="277"/>
      <c r="D946" s="277"/>
      <c r="E946" s="277"/>
      <c r="F946" s="277"/>
      <c r="G946" s="277"/>
      <c r="H946" s="277"/>
      <c r="I946" s="277"/>
      <c r="J946" s="277"/>
      <c r="K946" s="277"/>
      <c r="L946" s="277"/>
      <c r="M946" s="277"/>
      <c r="N946" s="277"/>
      <c r="O946" s="277"/>
      <c r="P946" s="277"/>
      <c r="Q946" s="277"/>
      <c r="R946" s="277"/>
      <c r="S946" s="410"/>
      <c r="T946" s="277"/>
      <c r="U946" s="277"/>
      <c r="V946" s="277"/>
      <c r="W946" s="277"/>
      <c r="X946" s="277"/>
      <c r="Y946" s="277"/>
      <c r="Z946" s="277"/>
    </row>
    <row r="947" ht="12.75" customHeight="1">
      <c r="A947" s="277"/>
      <c r="B947" s="278"/>
      <c r="C947" s="277"/>
      <c r="D947" s="277"/>
      <c r="E947" s="277"/>
      <c r="F947" s="277"/>
      <c r="G947" s="277"/>
      <c r="H947" s="277"/>
      <c r="I947" s="277"/>
      <c r="J947" s="277"/>
      <c r="K947" s="277"/>
      <c r="L947" s="277"/>
      <c r="M947" s="277"/>
      <c r="N947" s="277"/>
      <c r="O947" s="277"/>
      <c r="P947" s="277"/>
      <c r="Q947" s="277"/>
      <c r="R947" s="277"/>
      <c r="S947" s="410"/>
      <c r="T947" s="277"/>
      <c r="U947" s="277"/>
      <c r="V947" s="277"/>
      <c r="W947" s="277"/>
      <c r="X947" s="277"/>
      <c r="Y947" s="277"/>
      <c r="Z947" s="277"/>
    </row>
    <row r="948" ht="12.75" customHeight="1">
      <c r="A948" s="277"/>
      <c r="B948" s="278"/>
      <c r="C948" s="277"/>
      <c r="D948" s="277"/>
      <c r="E948" s="277"/>
      <c r="F948" s="277"/>
      <c r="G948" s="277"/>
      <c r="H948" s="277"/>
      <c r="I948" s="277"/>
      <c r="J948" s="277"/>
      <c r="K948" s="277"/>
      <c r="L948" s="277"/>
      <c r="M948" s="277"/>
      <c r="N948" s="277"/>
      <c r="O948" s="277"/>
      <c r="P948" s="277"/>
      <c r="Q948" s="277"/>
      <c r="R948" s="277"/>
      <c r="S948" s="410"/>
      <c r="T948" s="277"/>
      <c r="U948" s="277"/>
      <c r="V948" s="277"/>
      <c r="W948" s="277"/>
      <c r="X948" s="277"/>
      <c r="Y948" s="277"/>
      <c r="Z948" s="277"/>
    </row>
    <row r="949" ht="12.75" customHeight="1">
      <c r="A949" s="277"/>
      <c r="B949" s="278"/>
      <c r="C949" s="277"/>
      <c r="D949" s="277"/>
      <c r="E949" s="277"/>
      <c r="F949" s="277"/>
      <c r="G949" s="277"/>
      <c r="H949" s="277"/>
      <c r="I949" s="277"/>
      <c r="J949" s="277"/>
      <c r="K949" s="277"/>
      <c r="L949" s="277"/>
      <c r="M949" s="277"/>
      <c r="N949" s="277"/>
      <c r="O949" s="277"/>
      <c r="P949" s="277"/>
      <c r="Q949" s="277"/>
      <c r="R949" s="277"/>
      <c r="S949" s="410"/>
      <c r="T949" s="277"/>
      <c r="U949" s="277"/>
      <c r="V949" s="277"/>
      <c r="W949" s="277"/>
      <c r="X949" s="277"/>
      <c r="Y949" s="277"/>
      <c r="Z949" s="277"/>
    </row>
    <row r="950" ht="12.75" customHeight="1">
      <c r="A950" s="277"/>
      <c r="B950" s="278"/>
      <c r="C950" s="277"/>
      <c r="D950" s="277"/>
      <c r="E950" s="277"/>
      <c r="F950" s="277"/>
      <c r="G950" s="277"/>
      <c r="H950" s="277"/>
      <c r="I950" s="277"/>
      <c r="J950" s="277"/>
      <c r="K950" s="277"/>
      <c r="L950" s="277"/>
      <c r="M950" s="277"/>
      <c r="N950" s="277"/>
      <c r="O950" s="277"/>
      <c r="P950" s="277"/>
      <c r="Q950" s="277"/>
      <c r="R950" s="277"/>
      <c r="S950" s="410"/>
      <c r="T950" s="277"/>
      <c r="U950" s="277"/>
      <c r="V950" s="277"/>
      <c r="W950" s="277"/>
      <c r="X950" s="277"/>
      <c r="Y950" s="277"/>
      <c r="Z950" s="277"/>
    </row>
    <row r="951" ht="12.75" customHeight="1">
      <c r="A951" s="277"/>
      <c r="B951" s="278"/>
      <c r="C951" s="277"/>
      <c r="D951" s="277"/>
      <c r="E951" s="277"/>
      <c r="F951" s="277"/>
      <c r="G951" s="277"/>
      <c r="H951" s="277"/>
      <c r="I951" s="277"/>
      <c r="J951" s="277"/>
      <c r="K951" s="277"/>
      <c r="L951" s="277"/>
      <c r="M951" s="277"/>
      <c r="N951" s="277"/>
      <c r="O951" s="277"/>
      <c r="P951" s="277"/>
      <c r="Q951" s="277"/>
      <c r="R951" s="277"/>
      <c r="S951" s="410"/>
      <c r="T951" s="277"/>
      <c r="U951" s="277"/>
      <c r="V951" s="277"/>
      <c r="W951" s="277"/>
      <c r="X951" s="277"/>
      <c r="Y951" s="277"/>
      <c r="Z951" s="277"/>
    </row>
    <row r="952" ht="12.75" customHeight="1">
      <c r="A952" s="277"/>
      <c r="B952" s="278"/>
      <c r="C952" s="277"/>
      <c r="D952" s="277"/>
      <c r="E952" s="277"/>
      <c r="F952" s="277"/>
      <c r="G952" s="277"/>
      <c r="H952" s="277"/>
      <c r="I952" s="277"/>
      <c r="J952" s="277"/>
      <c r="K952" s="277"/>
      <c r="L952" s="277"/>
      <c r="M952" s="277"/>
      <c r="N952" s="277"/>
      <c r="O952" s="277"/>
      <c r="P952" s="277"/>
      <c r="Q952" s="277"/>
      <c r="R952" s="277"/>
      <c r="S952" s="410"/>
      <c r="T952" s="277"/>
      <c r="U952" s="277"/>
      <c r="V952" s="277"/>
      <c r="W952" s="277"/>
      <c r="X952" s="277"/>
      <c r="Y952" s="277"/>
      <c r="Z952" s="277"/>
    </row>
    <row r="953" ht="12.75" customHeight="1">
      <c r="A953" s="277"/>
      <c r="B953" s="278"/>
      <c r="C953" s="277"/>
      <c r="D953" s="277"/>
      <c r="E953" s="277"/>
      <c r="F953" s="277"/>
      <c r="G953" s="277"/>
      <c r="H953" s="277"/>
      <c r="I953" s="277"/>
      <c r="J953" s="277"/>
      <c r="K953" s="277"/>
      <c r="L953" s="277"/>
      <c r="M953" s="277"/>
      <c r="N953" s="277"/>
      <c r="O953" s="277"/>
      <c r="P953" s="277"/>
      <c r="Q953" s="277"/>
      <c r="R953" s="277"/>
      <c r="S953" s="410"/>
      <c r="T953" s="277"/>
      <c r="U953" s="277"/>
      <c r="V953" s="277"/>
      <c r="W953" s="277"/>
      <c r="X953" s="277"/>
      <c r="Y953" s="277"/>
      <c r="Z953" s="277"/>
    </row>
    <row r="954" ht="12.75" customHeight="1">
      <c r="A954" s="277"/>
      <c r="B954" s="278"/>
      <c r="C954" s="277"/>
      <c r="D954" s="277"/>
      <c r="E954" s="277"/>
      <c r="F954" s="277"/>
      <c r="G954" s="277"/>
      <c r="H954" s="277"/>
      <c r="I954" s="277"/>
      <c r="J954" s="277"/>
      <c r="K954" s="277"/>
      <c r="L954" s="277"/>
      <c r="M954" s="277"/>
      <c r="N954" s="277"/>
      <c r="O954" s="277"/>
      <c r="P954" s="277"/>
      <c r="Q954" s="277"/>
      <c r="R954" s="277"/>
      <c r="S954" s="410"/>
      <c r="T954" s="277"/>
      <c r="U954" s="277"/>
      <c r="V954" s="277"/>
      <c r="W954" s="277"/>
      <c r="X954" s="277"/>
      <c r="Y954" s="277"/>
      <c r="Z954" s="277"/>
    </row>
    <row r="955" ht="12.75" customHeight="1">
      <c r="A955" s="277"/>
      <c r="B955" s="278"/>
      <c r="C955" s="277"/>
      <c r="D955" s="277"/>
      <c r="E955" s="277"/>
      <c r="F955" s="277"/>
      <c r="G955" s="277"/>
      <c r="H955" s="277"/>
      <c r="I955" s="277"/>
      <c r="J955" s="277"/>
      <c r="K955" s="277"/>
      <c r="L955" s="277"/>
      <c r="M955" s="277"/>
      <c r="N955" s="277"/>
      <c r="O955" s="277"/>
      <c r="P955" s="277"/>
      <c r="Q955" s="277"/>
      <c r="R955" s="277"/>
      <c r="S955" s="410"/>
      <c r="T955" s="277"/>
      <c r="U955" s="277"/>
      <c r="V955" s="277"/>
      <c r="W955" s="277"/>
      <c r="X955" s="277"/>
      <c r="Y955" s="277"/>
      <c r="Z955" s="277"/>
    </row>
    <row r="956" ht="12.75" customHeight="1">
      <c r="A956" s="277"/>
      <c r="B956" s="278"/>
      <c r="C956" s="277"/>
      <c r="D956" s="277"/>
      <c r="E956" s="277"/>
      <c r="F956" s="277"/>
      <c r="G956" s="277"/>
      <c r="H956" s="277"/>
      <c r="I956" s="277"/>
      <c r="J956" s="277"/>
      <c r="K956" s="277"/>
      <c r="L956" s="277"/>
      <c r="M956" s="277"/>
      <c r="N956" s="277"/>
      <c r="O956" s="277"/>
      <c r="P956" s="277"/>
      <c r="Q956" s="277"/>
      <c r="R956" s="277"/>
      <c r="S956" s="410"/>
      <c r="T956" s="277"/>
      <c r="U956" s="277"/>
      <c r="V956" s="277"/>
      <c r="W956" s="277"/>
      <c r="X956" s="277"/>
      <c r="Y956" s="277"/>
      <c r="Z956" s="277"/>
    </row>
    <row r="957" ht="12.75" customHeight="1">
      <c r="A957" s="277"/>
      <c r="B957" s="278"/>
      <c r="C957" s="277"/>
      <c r="D957" s="277"/>
      <c r="E957" s="277"/>
      <c r="F957" s="277"/>
      <c r="G957" s="277"/>
      <c r="H957" s="277"/>
      <c r="I957" s="277"/>
      <c r="J957" s="277"/>
      <c r="K957" s="277"/>
      <c r="L957" s="277"/>
      <c r="M957" s="277"/>
      <c r="N957" s="277"/>
      <c r="O957" s="277"/>
      <c r="P957" s="277"/>
      <c r="Q957" s="277"/>
      <c r="R957" s="277"/>
      <c r="S957" s="410"/>
      <c r="T957" s="277"/>
      <c r="U957" s="277"/>
      <c r="V957" s="277"/>
      <c r="W957" s="277"/>
      <c r="X957" s="277"/>
      <c r="Y957" s="277"/>
      <c r="Z957" s="277"/>
    </row>
    <row r="958" ht="12.75" customHeight="1">
      <c r="A958" s="277"/>
      <c r="B958" s="278"/>
      <c r="C958" s="277"/>
      <c r="D958" s="277"/>
      <c r="E958" s="277"/>
      <c r="F958" s="277"/>
      <c r="G958" s="277"/>
      <c r="H958" s="277"/>
      <c r="I958" s="277"/>
      <c r="J958" s="277"/>
      <c r="K958" s="277"/>
      <c r="L958" s="277"/>
      <c r="M958" s="277"/>
      <c r="N958" s="277"/>
      <c r="O958" s="277"/>
      <c r="P958" s="277"/>
      <c r="Q958" s="277"/>
      <c r="R958" s="277"/>
      <c r="S958" s="410"/>
      <c r="T958" s="277"/>
      <c r="U958" s="277"/>
      <c r="V958" s="277"/>
      <c r="W958" s="277"/>
      <c r="X958" s="277"/>
      <c r="Y958" s="277"/>
      <c r="Z958" s="277"/>
    </row>
    <row r="959" ht="12.75" customHeight="1">
      <c r="A959" s="277"/>
      <c r="B959" s="278"/>
      <c r="C959" s="277"/>
      <c r="D959" s="277"/>
      <c r="E959" s="277"/>
      <c r="F959" s="277"/>
      <c r="G959" s="277"/>
      <c r="H959" s="277"/>
      <c r="I959" s="277"/>
      <c r="J959" s="277"/>
      <c r="K959" s="277"/>
      <c r="L959" s="277"/>
      <c r="M959" s="277"/>
      <c r="N959" s="277"/>
      <c r="O959" s="277"/>
      <c r="P959" s="277"/>
      <c r="Q959" s="277"/>
      <c r="R959" s="277"/>
      <c r="S959" s="410"/>
      <c r="T959" s="277"/>
      <c r="U959" s="277"/>
      <c r="V959" s="277"/>
      <c r="W959" s="277"/>
      <c r="X959" s="277"/>
      <c r="Y959" s="277"/>
      <c r="Z959" s="277"/>
    </row>
    <row r="960" ht="12.75" customHeight="1">
      <c r="A960" s="277"/>
      <c r="B960" s="278"/>
      <c r="C960" s="277"/>
      <c r="D960" s="277"/>
      <c r="E960" s="277"/>
      <c r="F960" s="277"/>
      <c r="G960" s="277"/>
      <c r="H960" s="277"/>
      <c r="I960" s="277"/>
      <c r="J960" s="277"/>
      <c r="K960" s="277"/>
      <c r="L960" s="277"/>
      <c r="M960" s="277"/>
      <c r="N960" s="277"/>
      <c r="O960" s="277"/>
      <c r="P960" s="277"/>
      <c r="Q960" s="277"/>
      <c r="R960" s="277"/>
      <c r="S960" s="410"/>
      <c r="T960" s="277"/>
      <c r="U960" s="277"/>
      <c r="V960" s="277"/>
      <c r="W960" s="277"/>
      <c r="X960" s="277"/>
      <c r="Y960" s="277"/>
      <c r="Z960" s="277"/>
    </row>
    <row r="961" ht="12.75" customHeight="1">
      <c r="A961" s="277"/>
      <c r="B961" s="278"/>
      <c r="C961" s="277"/>
      <c r="D961" s="277"/>
      <c r="E961" s="277"/>
      <c r="F961" s="277"/>
      <c r="G961" s="277"/>
      <c r="H961" s="277"/>
      <c r="I961" s="277"/>
      <c r="J961" s="277"/>
      <c r="K961" s="277"/>
      <c r="L961" s="277"/>
      <c r="M961" s="277"/>
      <c r="N961" s="277"/>
      <c r="O961" s="277"/>
      <c r="P961" s="277"/>
      <c r="Q961" s="277"/>
      <c r="R961" s="277"/>
      <c r="S961" s="410"/>
      <c r="T961" s="277"/>
      <c r="U961" s="277"/>
      <c r="V961" s="277"/>
      <c r="W961" s="277"/>
      <c r="X961" s="277"/>
      <c r="Y961" s="277"/>
      <c r="Z961" s="277"/>
    </row>
    <row r="962" ht="12.75" customHeight="1">
      <c r="A962" s="277"/>
      <c r="B962" s="278"/>
      <c r="C962" s="277"/>
      <c r="D962" s="277"/>
      <c r="E962" s="277"/>
      <c r="F962" s="277"/>
      <c r="G962" s="277"/>
      <c r="H962" s="277"/>
      <c r="I962" s="277"/>
      <c r="J962" s="277"/>
      <c r="K962" s="277"/>
      <c r="L962" s="277"/>
      <c r="M962" s="277"/>
      <c r="N962" s="277"/>
      <c r="O962" s="277"/>
      <c r="P962" s="277"/>
      <c r="Q962" s="277"/>
      <c r="R962" s="277"/>
      <c r="S962" s="410"/>
      <c r="T962" s="277"/>
      <c r="U962" s="277"/>
      <c r="V962" s="277"/>
      <c r="W962" s="277"/>
      <c r="X962" s="277"/>
      <c r="Y962" s="277"/>
      <c r="Z962" s="277"/>
    </row>
    <row r="963" ht="12.75" customHeight="1">
      <c r="A963" s="277"/>
      <c r="B963" s="278"/>
      <c r="C963" s="277"/>
      <c r="D963" s="277"/>
      <c r="E963" s="277"/>
      <c r="F963" s="277"/>
      <c r="G963" s="277"/>
      <c r="H963" s="277"/>
      <c r="I963" s="277"/>
      <c r="J963" s="277"/>
      <c r="K963" s="277"/>
      <c r="L963" s="277"/>
      <c r="M963" s="277"/>
      <c r="N963" s="277"/>
      <c r="O963" s="277"/>
      <c r="P963" s="277"/>
      <c r="Q963" s="277"/>
      <c r="R963" s="277"/>
      <c r="S963" s="410"/>
      <c r="T963" s="277"/>
      <c r="U963" s="277"/>
      <c r="V963" s="277"/>
      <c r="W963" s="277"/>
      <c r="X963" s="277"/>
      <c r="Y963" s="277"/>
      <c r="Z963" s="277"/>
    </row>
    <row r="964" ht="12.75" customHeight="1">
      <c r="A964" s="277"/>
      <c r="B964" s="278"/>
      <c r="C964" s="277"/>
      <c r="D964" s="277"/>
      <c r="E964" s="277"/>
      <c r="F964" s="277"/>
      <c r="G964" s="277"/>
      <c r="H964" s="277"/>
      <c r="I964" s="277"/>
      <c r="J964" s="277"/>
      <c r="K964" s="277"/>
      <c r="L964" s="277"/>
      <c r="M964" s="277"/>
      <c r="N964" s="277"/>
      <c r="O964" s="277"/>
      <c r="P964" s="277"/>
      <c r="Q964" s="277"/>
      <c r="R964" s="277"/>
      <c r="S964" s="410"/>
      <c r="T964" s="277"/>
      <c r="U964" s="277"/>
      <c r="V964" s="277"/>
      <c r="W964" s="277"/>
      <c r="X964" s="277"/>
      <c r="Y964" s="277"/>
      <c r="Z964" s="277"/>
    </row>
    <row r="965" ht="12.75" customHeight="1">
      <c r="A965" s="277"/>
      <c r="B965" s="278"/>
      <c r="C965" s="277"/>
      <c r="D965" s="277"/>
      <c r="E965" s="277"/>
      <c r="F965" s="277"/>
      <c r="G965" s="277"/>
      <c r="H965" s="277"/>
      <c r="I965" s="277"/>
      <c r="J965" s="277"/>
      <c r="K965" s="277"/>
      <c r="L965" s="277"/>
      <c r="M965" s="277"/>
      <c r="N965" s="277"/>
      <c r="O965" s="277"/>
      <c r="P965" s="277"/>
      <c r="Q965" s="277"/>
      <c r="R965" s="277"/>
      <c r="S965" s="410"/>
      <c r="T965" s="277"/>
      <c r="U965" s="277"/>
      <c r="V965" s="277"/>
      <c r="W965" s="277"/>
      <c r="X965" s="277"/>
      <c r="Y965" s="277"/>
      <c r="Z965" s="277"/>
    </row>
    <row r="966" ht="12.75" customHeight="1">
      <c r="A966" s="277"/>
      <c r="B966" s="278"/>
      <c r="C966" s="277"/>
      <c r="D966" s="277"/>
      <c r="E966" s="277"/>
      <c r="F966" s="277"/>
      <c r="G966" s="277"/>
      <c r="H966" s="277"/>
      <c r="I966" s="277"/>
      <c r="J966" s="277"/>
      <c r="K966" s="277"/>
      <c r="L966" s="277"/>
      <c r="M966" s="277"/>
      <c r="N966" s="277"/>
      <c r="O966" s="277"/>
      <c r="P966" s="277"/>
      <c r="Q966" s="277"/>
      <c r="R966" s="277"/>
      <c r="S966" s="410"/>
      <c r="T966" s="277"/>
      <c r="U966" s="277"/>
      <c r="V966" s="277"/>
      <c r="W966" s="277"/>
      <c r="X966" s="277"/>
      <c r="Y966" s="277"/>
      <c r="Z966" s="277"/>
    </row>
    <row r="967" ht="12.75" customHeight="1">
      <c r="A967" s="277"/>
      <c r="B967" s="278"/>
      <c r="C967" s="277"/>
      <c r="D967" s="277"/>
      <c r="E967" s="277"/>
      <c r="F967" s="277"/>
      <c r="G967" s="277"/>
      <c r="H967" s="277"/>
      <c r="I967" s="277"/>
      <c r="J967" s="277"/>
      <c r="K967" s="277"/>
      <c r="L967" s="277"/>
      <c r="M967" s="277"/>
      <c r="N967" s="277"/>
      <c r="O967" s="277"/>
      <c r="P967" s="277"/>
      <c r="Q967" s="277"/>
      <c r="R967" s="277"/>
      <c r="S967" s="410"/>
      <c r="T967" s="277"/>
      <c r="U967" s="277"/>
      <c r="V967" s="277"/>
      <c r="W967" s="277"/>
      <c r="X967" s="277"/>
      <c r="Y967" s="277"/>
      <c r="Z967" s="277"/>
    </row>
    <row r="968" ht="12.75" customHeight="1">
      <c r="A968" s="277"/>
      <c r="B968" s="278"/>
      <c r="C968" s="277"/>
      <c r="D968" s="277"/>
      <c r="E968" s="277"/>
      <c r="F968" s="277"/>
      <c r="G968" s="277"/>
      <c r="H968" s="277"/>
      <c r="I968" s="277"/>
      <c r="J968" s="277"/>
      <c r="K968" s="277"/>
      <c r="L968" s="277"/>
      <c r="M968" s="277"/>
      <c r="N968" s="277"/>
      <c r="O968" s="277"/>
      <c r="P968" s="277"/>
      <c r="Q968" s="277"/>
      <c r="R968" s="277"/>
      <c r="S968" s="410"/>
      <c r="T968" s="277"/>
      <c r="U968" s="277"/>
      <c r="V968" s="277"/>
      <c r="W968" s="277"/>
      <c r="X968" s="277"/>
      <c r="Y968" s="277"/>
      <c r="Z968" s="277"/>
    </row>
    <row r="969" ht="12.75" customHeight="1">
      <c r="A969" s="277"/>
      <c r="B969" s="278"/>
      <c r="C969" s="277"/>
      <c r="D969" s="277"/>
      <c r="E969" s="277"/>
      <c r="F969" s="277"/>
      <c r="G969" s="277"/>
      <c r="H969" s="277"/>
      <c r="I969" s="277"/>
      <c r="J969" s="277"/>
      <c r="K969" s="277"/>
      <c r="L969" s="277"/>
      <c r="M969" s="277"/>
      <c r="N969" s="277"/>
      <c r="O969" s="277"/>
      <c r="P969" s="277"/>
      <c r="Q969" s="277"/>
      <c r="R969" s="277"/>
      <c r="S969" s="410"/>
      <c r="T969" s="277"/>
      <c r="U969" s="277"/>
      <c r="V969" s="277"/>
      <c r="W969" s="277"/>
      <c r="X969" s="277"/>
      <c r="Y969" s="277"/>
      <c r="Z969" s="277"/>
    </row>
    <row r="970" ht="12.75" customHeight="1">
      <c r="A970" s="277"/>
      <c r="B970" s="278"/>
      <c r="C970" s="277"/>
      <c r="D970" s="277"/>
      <c r="E970" s="277"/>
      <c r="F970" s="277"/>
      <c r="G970" s="277"/>
      <c r="H970" s="277"/>
      <c r="I970" s="277"/>
      <c r="J970" s="277"/>
      <c r="K970" s="277"/>
      <c r="L970" s="277"/>
      <c r="M970" s="277"/>
      <c r="N970" s="277"/>
      <c r="O970" s="277"/>
      <c r="P970" s="277"/>
      <c r="Q970" s="277"/>
      <c r="R970" s="277"/>
      <c r="S970" s="410"/>
      <c r="T970" s="277"/>
      <c r="U970" s="277"/>
      <c r="V970" s="277"/>
      <c r="W970" s="277"/>
      <c r="X970" s="277"/>
      <c r="Y970" s="277"/>
      <c r="Z970" s="277"/>
    </row>
    <row r="971" ht="12.75" customHeight="1">
      <c r="A971" s="277"/>
      <c r="B971" s="278"/>
      <c r="C971" s="277"/>
      <c r="D971" s="277"/>
      <c r="E971" s="277"/>
      <c r="F971" s="277"/>
      <c r="G971" s="277"/>
      <c r="H971" s="277"/>
      <c r="I971" s="277"/>
      <c r="J971" s="277"/>
      <c r="K971" s="277"/>
      <c r="L971" s="277"/>
      <c r="M971" s="277"/>
      <c r="N971" s="277"/>
      <c r="O971" s="277"/>
      <c r="P971" s="277"/>
      <c r="Q971" s="277"/>
      <c r="R971" s="277"/>
      <c r="S971" s="410"/>
      <c r="T971" s="277"/>
      <c r="U971" s="277"/>
      <c r="V971" s="277"/>
      <c r="W971" s="277"/>
      <c r="X971" s="277"/>
      <c r="Y971" s="277"/>
      <c r="Z971" s="277"/>
    </row>
    <row r="972" ht="12.75" customHeight="1">
      <c r="A972" s="277"/>
      <c r="B972" s="278"/>
      <c r="C972" s="277"/>
      <c r="D972" s="277"/>
      <c r="E972" s="277"/>
      <c r="F972" s="277"/>
      <c r="G972" s="277"/>
      <c r="H972" s="277"/>
      <c r="I972" s="277"/>
      <c r="J972" s="277"/>
      <c r="K972" s="277"/>
      <c r="L972" s="277"/>
      <c r="M972" s="277"/>
      <c r="N972" s="277"/>
      <c r="O972" s="277"/>
      <c r="P972" s="277"/>
      <c r="Q972" s="277"/>
      <c r="R972" s="277"/>
      <c r="S972" s="410"/>
      <c r="T972" s="277"/>
      <c r="U972" s="277"/>
      <c r="V972" s="277"/>
      <c r="W972" s="277"/>
      <c r="X972" s="277"/>
      <c r="Y972" s="277"/>
      <c r="Z972" s="277"/>
    </row>
    <row r="973" ht="12.75" customHeight="1">
      <c r="A973" s="277"/>
      <c r="B973" s="278"/>
      <c r="C973" s="277"/>
      <c r="D973" s="277"/>
      <c r="E973" s="277"/>
      <c r="F973" s="277"/>
      <c r="G973" s="277"/>
      <c r="H973" s="277"/>
      <c r="I973" s="277"/>
      <c r="J973" s="277"/>
      <c r="K973" s="277"/>
      <c r="L973" s="277"/>
      <c r="M973" s="277"/>
      <c r="N973" s="277"/>
      <c r="O973" s="277"/>
      <c r="P973" s="277"/>
      <c r="Q973" s="277"/>
      <c r="R973" s="277"/>
      <c r="S973" s="410"/>
      <c r="T973" s="277"/>
      <c r="U973" s="277"/>
      <c r="V973" s="277"/>
      <c r="W973" s="277"/>
      <c r="X973" s="277"/>
      <c r="Y973" s="277"/>
      <c r="Z973" s="277"/>
    </row>
    <row r="974" ht="12.75" customHeight="1">
      <c r="A974" s="277"/>
      <c r="B974" s="278"/>
      <c r="C974" s="277"/>
      <c r="D974" s="277"/>
      <c r="E974" s="277"/>
      <c r="F974" s="277"/>
      <c r="G974" s="277"/>
      <c r="H974" s="277"/>
      <c r="I974" s="277"/>
      <c r="J974" s="277"/>
      <c r="K974" s="277"/>
      <c r="L974" s="277"/>
      <c r="M974" s="277"/>
      <c r="N974" s="277"/>
      <c r="O974" s="277"/>
      <c r="P974" s="277"/>
      <c r="Q974" s="277"/>
      <c r="R974" s="277"/>
      <c r="S974" s="410"/>
      <c r="T974" s="277"/>
      <c r="U974" s="277"/>
      <c r="V974" s="277"/>
      <c r="W974" s="277"/>
      <c r="X974" s="277"/>
      <c r="Y974" s="277"/>
      <c r="Z974" s="277"/>
    </row>
    <row r="975" ht="12.75" customHeight="1">
      <c r="A975" s="277"/>
      <c r="B975" s="278"/>
      <c r="C975" s="277"/>
      <c r="D975" s="277"/>
      <c r="E975" s="277"/>
      <c r="F975" s="277"/>
      <c r="G975" s="277"/>
      <c r="H975" s="277"/>
      <c r="I975" s="277"/>
      <c r="J975" s="277"/>
      <c r="K975" s="277"/>
      <c r="L975" s="277"/>
      <c r="M975" s="277"/>
      <c r="N975" s="277"/>
      <c r="O975" s="277"/>
      <c r="P975" s="277"/>
      <c r="Q975" s="277"/>
      <c r="R975" s="277"/>
      <c r="S975" s="410"/>
      <c r="T975" s="277"/>
      <c r="U975" s="277"/>
      <c r="V975" s="277"/>
      <c r="W975" s="277"/>
      <c r="X975" s="277"/>
      <c r="Y975" s="277"/>
      <c r="Z975" s="277"/>
    </row>
    <row r="976" ht="12.75" customHeight="1">
      <c r="A976" s="277"/>
      <c r="B976" s="278"/>
      <c r="C976" s="277"/>
      <c r="D976" s="277"/>
      <c r="E976" s="277"/>
      <c r="F976" s="277"/>
      <c r="G976" s="277"/>
      <c r="H976" s="277"/>
      <c r="I976" s="277"/>
      <c r="J976" s="277"/>
      <c r="K976" s="277"/>
      <c r="L976" s="277"/>
      <c r="M976" s="277"/>
      <c r="N976" s="277"/>
      <c r="O976" s="277"/>
      <c r="P976" s="277"/>
      <c r="Q976" s="277"/>
      <c r="R976" s="277"/>
      <c r="S976" s="410"/>
      <c r="T976" s="277"/>
      <c r="U976" s="277"/>
      <c r="V976" s="277"/>
      <c r="W976" s="277"/>
      <c r="X976" s="277"/>
      <c r="Y976" s="277"/>
      <c r="Z976" s="277"/>
    </row>
    <row r="977" ht="12.75" customHeight="1">
      <c r="A977" s="277"/>
      <c r="B977" s="278"/>
      <c r="C977" s="277"/>
      <c r="D977" s="277"/>
      <c r="E977" s="277"/>
      <c r="F977" s="277"/>
      <c r="G977" s="277"/>
      <c r="H977" s="277"/>
      <c r="I977" s="277"/>
      <c r="J977" s="277"/>
      <c r="K977" s="277"/>
      <c r="L977" s="277"/>
      <c r="M977" s="277"/>
      <c r="N977" s="277"/>
      <c r="O977" s="277"/>
      <c r="P977" s="277"/>
      <c r="Q977" s="277"/>
      <c r="R977" s="277"/>
      <c r="S977" s="410"/>
      <c r="T977" s="277"/>
      <c r="U977" s="277"/>
      <c r="V977" s="277"/>
      <c r="W977" s="277"/>
      <c r="X977" s="277"/>
      <c r="Y977" s="277"/>
      <c r="Z977" s="277"/>
    </row>
    <row r="978" ht="12.75" customHeight="1">
      <c r="A978" s="277"/>
      <c r="B978" s="278"/>
      <c r="C978" s="277"/>
      <c r="D978" s="277"/>
      <c r="E978" s="277"/>
      <c r="F978" s="277"/>
      <c r="G978" s="277"/>
      <c r="H978" s="277"/>
      <c r="I978" s="277"/>
      <c r="J978" s="277"/>
      <c r="K978" s="277"/>
      <c r="L978" s="277"/>
      <c r="M978" s="277"/>
      <c r="N978" s="277"/>
      <c r="O978" s="277"/>
      <c r="P978" s="277"/>
      <c r="Q978" s="277"/>
      <c r="R978" s="277"/>
      <c r="S978" s="410"/>
      <c r="T978" s="277"/>
      <c r="U978" s="277"/>
      <c r="V978" s="277"/>
      <c r="W978" s="277"/>
      <c r="X978" s="277"/>
      <c r="Y978" s="277"/>
      <c r="Z978" s="277"/>
    </row>
    <row r="979" ht="12.75" customHeight="1">
      <c r="A979" s="277"/>
      <c r="B979" s="278"/>
      <c r="C979" s="277"/>
      <c r="D979" s="277"/>
      <c r="E979" s="277"/>
      <c r="F979" s="277"/>
      <c r="G979" s="277"/>
      <c r="H979" s="277"/>
      <c r="I979" s="277"/>
      <c r="J979" s="277"/>
      <c r="K979" s="277"/>
      <c r="L979" s="277"/>
      <c r="M979" s="277"/>
      <c r="N979" s="277"/>
      <c r="O979" s="277"/>
      <c r="P979" s="277"/>
      <c r="Q979" s="277"/>
      <c r="R979" s="277"/>
      <c r="S979" s="410"/>
      <c r="T979" s="277"/>
      <c r="U979" s="277"/>
      <c r="V979" s="277"/>
      <c r="W979" s="277"/>
      <c r="X979" s="277"/>
      <c r="Y979" s="277"/>
      <c r="Z979" s="277"/>
    </row>
    <row r="980" ht="12.75" customHeight="1">
      <c r="A980" s="277"/>
      <c r="B980" s="278"/>
      <c r="C980" s="277"/>
      <c r="D980" s="277"/>
      <c r="E980" s="277"/>
      <c r="F980" s="277"/>
      <c r="G980" s="277"/>
      <c r="H980" s="277"/>
      <c r="I980" s="277"/>
      <c r="J980" s="277"/>
      <c r="K980" s="277"/>
      <c r="L980" s="277"/>
      <c r="M980" s="277"/>
      <c r="N980" s="277"/>
      <c r="O980" s="277"/>
      <c r="P980" s="277"/>
      <c r="Q980" s="277"/>
      <c r="R980" s="277"/>
      <c r="S980" s="410"/>
      <c r="T980" s="277"/>
      <c r="U980" s="277"/>
      <c r="V980" s="277"/>
      <c r="W980" s="277"/>
      <c r="X980" s="277"/>
      <c r="Y980" s="277"/>
      <c r="Z980" s="277"/>
    </row>
    <row r="981" ht="12.75" customHeight="1">
      <c r="A981" s="277"/>
      <c r="B981" s="278"/>
      <c r="C981" s="277"/>
      <c r="D981" s="277"/>
      <c r="E981" s="277"/>
      <c r="F981" s="277"/>
      <c r="G981" s="277"/>
      <c r="H981" s="277"/>
      <c r="I981" s="277"/>
      <c r="J981" s="277"/>
      <c r="K981" s="277"/>
      <c r="L981" s="277"/>
      <c r="M981" s="277"/>
      <c r="N981" s="277"/>
      <c r="O981" s="277"/>
      <c r="P981" s="277"/>
      <c r="Q981" s="277"/>
      <c r="R981" s="277"/>
      <c r="S981" s="410"/>
      <c r="T981" s="277"/>
      <c r="U981" s="277"/>
      <c r="V981" s="277"/>
      <c r="W981" s="277"/>
      <c r="X981" s="277"/>
      <c r="Y981" s="277"/>
      <c r="Z981" s="277"/>
    </row>
    <row r="982" ht="12.75" customHeight="1">
      <c r="A982" s="277"/>
      <c r="B982" s="278"/>
      <c r="C982" s="277"/>
      <c r="D982" s="277"/>
      <c r="E982" s="277"/>
      <c r="F982" s="277"/>
      <c r="G982" s="277"/>
      <c r="H982" s="277"/>
      <c r="I982" s="277"/>
      <c r="J982" s="277"/>
      <c r="K982" s="277"/>
      <c r="L982" s="277"/>
      <c r="M982" s="277"/>
      <c r="N982" s="277"/>
      <c r="O982" s="277"/>
      <c r="P982" s="277"/>
      <c r="Q982" s="277"/>
      <c r="R982" s="277"/>
      <c r="S982" s="410"/>
      <c r="T982" s="277"/>
      <c r="U982" s="277"/>
      <c r="V982" s="277"/>
      <c r="W982" s="277"/>
      <c r="X982" s="277"/>
      <c r="Y982" s="277"/>
      <c r="Z982" s="277"/>
    </row>
    <row r="983" ht="12.75" customHeight="1">
      <c r="A983" s="277"/>
      <c r="B983" s="278"/>
      <c r="C983" s="277"/>
      <c r="D983" s="277"/>
      <c r="E983" s="277"/>
      <c r="F983" s="277"/>
      <c r="G983" s="277"/>
      <c r="H983" s="277"/>
      <c r="I983" s="277"/>
      <c r="J983" s="277"/>
      <c r="K983" s="277"/>
      <c r="L983" s="277"/>
      <c r="M983" s="277"/>
      <c r="N983" s="277"/>
      <c r="O983" s="277"/>
      <c r="P983" s="277"/>
      <c r="Q983" s="277"/>
      <c r="R983" s="277"/>
      <c r="S983" s="410"/>
      <c r="T983" s="277"/>
      <c r="U983" s="277"/>
      <c r="V983" s="277"/>
      <c r="W983" s="277"/>
      <c r="X983" s="277"/>
      <c r="Y983" s="277"/>
      <c r="Z983" s="277"/>
    </row>
    <row r="984" ht="12.75" customHeight="1">
      <c r="A984" s="277"/>
      <c r="B984" s="278"/>
      <c r="C984" s="277"/>
      <c r="D984" s="277"/>
      <c r="E984" s="277"/>
      <c r="F984" s="277"/>
      <c r="G984" s="277"/>
      <c r="H984" s="277"/>
      <c r="I984" s="277"/>
      <c r="J984" s="277"/>
      <c r="K984" s="277"/>
      <c r="L984" s="277"/>
      <c r="M984" s="277"/>
      <c r="N984" s="277"/>
      <c r="O984" s="277"/>
      <c r="P984" s="277"/>
      <c r="Q984" s="277"/>
      <c r="R984" s="277"/>
      <c r="S984" s="410"/>
      <c r="T984" s="277"/>
      <c r="U984" s="277"/>
      <c r="V984" s="277"/>
      <c r="W984" s="277"/>
      <c r="X984" s="277"/>
      <c r="Y984" s="277"/>
      <c r="Z984" s="277"/>
    </row>
    <row r="985" ht="12.75" customHeight="1">
      <c r="A985" s="277"/>
      <c r="B985" s="278"/>
      <c r="C985" s="277"/>
      <c r="D985" s="277"/>
      <c r="E985" s="277"/>
      <c r="F985" s="277"/>
      <c r="G985" s="277"/>
      <c r="H985" s="277"/>
      <c r="I985" s="277"/>
      <c r="J985" s="277"/>
      <c r="K985" s="277"/>
      <c r="L985" s="277"/>
      <c r="M985" s="277"/>
      <c r="N985" s="277"/>
      <c r="O985" s="277"/>
      <c r="P985" s="277"/>
      <c r="Q985" s="277"/>
      <c r="R985" s="277"/>
      <c r="S985" s="410"/>
      <c r="T985" s="277"/>
      <c r="U985" s="277"/>
      <c r="V985" s="277"/>
      <c r="W985" s="277"/>
      <c r="X985" s="277"/>
      <c r="Y985" s="277"/>
      <c r="Z985" s="277"/>
    </row>
    <row r="986" ht="12.75" customHeight="1">
      <c r="A986" s="277"/>
      <c r="B986" s="278"/>
      <c r="C986" s="277"/>
      <c r="D986" s="277"/>
      <c r="E986" s="277"/>
      <c r="F986" s="277"/>
      <c r="G986" s="277"/>
      <c r="H986" s="277"/>
      <c r="I986" s="277"/>
      <c r="J986" s="277"/>
      <c r="K986" s="277"/>
      <c r="L986" s="277"/>
      <c r="M986" s="277"/>
      <c r="N986" s="277"/>
      <c r="O986" s="277"/>
      <c r="P986" s="277"/>
      <c r="Q986" s="277"/>
      <c r="R986" s="277"/>
      <c r="S986" s="410"/>
      <c r="T986" s="277"/>
      <c r="U986" s="277"/>
      <c r="V986" s="277"/>
      <c r="W986" s="277"/>
      <c r="X986" s="277"/>
      <c r="Y986" s="277"/>
      <c r="Z986" s="277"/>
    </row>
    <row r="987" ht="12.75" customHeight="1">
      <c r="A987" s="277"/>
      <c r="B987" s="278"/>
      <c r="C987" s="277"/>
      <c r="D987" s="277"/>
      <c r="E987" s="277"/>
      <c r="F987" s="277"/>
      <c r="G987" s="277"/>
      <c r="H987" s="277"/>
      <c r="I987" s="277"/>
      <c r="J987" s="277"/>
      <c r="K987" s="277"/>
      <c r="L987" s="277"/>
      <c r="M987" s="277"/>
      <c r="N987" s="277"/>
      <c r="O987" s="277"/>
      <c r="P987" s="277"/>
      <c r="Q987" s="277"/>
      <c r="R987" s="277"/>
      <c r="S987" s="410"/>
      <c r="T987" s="277"/>
      <c r="U987" s="277"/>
      <c r="V987" s="277"/>
      <c r="W987" s="277"/>
      <c r="X987" s="277"/>
      <c r="Y987" s="277"/>
      <c r="Z987" s="277"/>
    </row>
    <row r="988" ht="12.75" customHeight="1">
      <c r="A988" s="277"/>
      <c r="B988" s="278"/>
      <c r="C988" s="277"/>
      <c r="D988" s="277"/>
      <c r="E988" s="277"/>
      <c r="F988" s="277"/>
      <c r="G988" s="277"/>
      <c r="H988" s="277"/>
      <c r="I988" s="277"/>
      <c r="J988" s="277"/>
      <c r="K988" s="277"/>
      <c r="L988" s="277"/>
      <c r="M988" s="277"/>
      <c r="N988" s="277"/>
      <c r="O988" s="277"/>
      <c r="P988" s="277"/>
      <c r="Q988" s="277"/>
      <c r="R988" s="277"/>
      <c r="S988" s="410"/>
      <c r="T988" s="277"/>
      <c r="U988" s="277"/>
      <c r="V988" s="277"/>
      <c r="W988" s="277"/>
      <c r="X988" s="277"/>
      <c r="Y988" s="277"/>
      <c r="Z988" s="277"/>
    </row>
    <row r="989" ht="12.75" customHeight="1">
      <c r="A989" s="277"/>
      <c r="B989" s="278"/>
      <c r="C989" s="277"/>
      <c r="D989" s="277"/>
      <c r="E989" s="277"/>
      <c r="F989" s="277"/>
      <c r="G989" s="277"/>
      <c r="H989" s="277"/>
      <c r="I989" s="277"/>
      <c r="J989" s="277"/>
      <c r="K989" s="277"/>
      <c r="L989" s="277"/>
      <c r="M989" s="277"/>
      <c r="N989" s="277"/>
      <c r="O989" s="277"/>
      <c r="P989" s="277"/>
      <c r="Q989" s="277"/>
      <c r="R989" s="277"/>
      <c r="S989" s="410"/>
      <c r="T989" s="277"/>
      <c r="U989" s="277"/>
      <c r="V989" s="277"/>
      <c r="W989" s="277"/>
      <c r="X989" s="277"/>
      <c r="Y989" s="277"/>
      <c r="Z989" s="277"/>
    </row>
    <row r="990" ht="12.75" customHeight="1">
      <c r="A990" s="277"/>
      <c r="B990" s="278"/>
      <c r="C990" s="277"/>
      <c r="D990" s="277"/>
      <c r="E990" s="277"/>
      <c r="F990" s="277"/>
      <c r="G990" s="277"/>
      <c r="H990" s="277"/>
      <c r="I990" s="277"/>
      <c r="J990" s="277"/>
      <c r="K990" s="277"/>
      <c r="L990" s="277"/>
      <c r="M990" s="277"/>
      <c r="N990" s="277"/>
      <c r="O990" s="277"/>
      <c r="P990" s="277"/>
      <c r="Q990" s="277"/>
      <c r="R990" s="277"/>
      <c r="S990" s="410"/>
      <c r="T990" s="277"/>
      <c r="U990" s="277"/>
      <c r="V990" s="277"/>
      <c r="W990" s="277"/>
      <c r="X990" s="277"/>
      <c r="Y990" s="277"/>
      <c r="Z990" s="277"/>
    </row>
    <row r="991" ht="12.75" customHeight="1">
      <c r="A991" s="277"/>
      <c r="B991" s="278"/>
      <c r="C991" s="277"/>
      <c r="D991" s="277"/>
      <c r="E991" s="277"/>
      <c r="F991" s="277"/>
      <c r="G991" s="277"/>
      <c r="H991" s="277"/>
      <c r="I991" s="277"/>
      <c r="J991" s="277"/>
      <c r="K991" s="277"/>
      <c r="L991" s="277"/>
      <c r="M991" s="277"/>
      <c r="N991" s="277"/>
      <c r="O991" s="277"/>
      <c r="P991" s="277"/>
      <c r="Q991" s="277"/>
      <c r="R991" s="277"/>
      <c r="S991" s="410"/>
      <c r="T991" s="277"/>
      <c r="U991" s="277"/>
      <c r="V991" s="277"/>
      <c r="W991" s="277"/>
      <c r="X991" s="277"/>
      <c r="Y991" s="277"/>
      <c r="Z991" s="277"/>
    </row>
    <row r="992" ht="12.75" customHeight="1">
      <c r="A992" s="277"/>
      <c r="B992" s="278"/>
      <c r="C992" s="277"/>
      <c r="D992" s="277"/>
      <c r="E992" s="277"/>
      <c r="F992" s="277"/>
      <c r="G992" s="277"/>
      <c r="H992" s="277"/>
      <c r="I992" s="277"/>
      <c r="J992" s="277"/>
      <c r="K992" s="277"/>
      <c r="L992" s="277"/>
      <c r="M992" s="277"/>
      <c r="N992" s="277"/>
      <c r="O992" s="277"/>
      <c r="P992" s="277"/>
      <c r="Q992" s="277"/>
      <c r="R992" s="277"/>
      <c r="S992" s="410"/>
      <c r="T992" s="277"/>
      <c r="U992" s="277"/>
      <c r="V992" s="277"/>
      <c r="W992" s="277"/>
      <c r="X992" s="277"/>
      <c r="Y992" s="277"/>
      <c r="Z992" s="277"/>
    </row>
    <row r="993" ht="12.75" customHeight="1">
      <c r="A993" s="277"/>
      <c r="B993" s="278"/>
      <c r="C993" s="277"/>
      <c r="D993" s="277"/>
      <c r="E993" s="277"/>
      <c r="F993" s="277"/>
      <c r="G993" s="277"/>
      <c r="H993" s="277"/>
      <c r="I993" s="277"/>
      <c r="J993" s="277"/>
      <c r="K993" s="277"/>
      <c r="L993" s="277"/>
      <c r="M993" s="277"/>
      <c r="N993" s="277"/>
      <c r="O993" s="277"/>
      <c r="P993" s="277"/>
      <c r="Q993" s="277"/>
      <c r="R993" s="277"/>
      <c r="S993" s="410"/>
      <c r="T993" s="277"/>
      <c r="U993" s="277"/>
      <c r="V993" s="277"/>
      <c r="W993" s="277"/>
      <c r="X993" s="277"/>
      <c r="Y993" s="277"/>
      <c r="Z993" s="277"/>
    </row>
    <row r="994" ht="12.75" customHeight="1">
      <c r="A994" s="277"/>
      <c r="B994" s="278"/>
      <c r="C994" s="277"/>
      <c r="D994" s="277"/>
      <c r="E994" s="277"/>
      <c r="F994" s="277"/>
      <c r="G994" s="277"/>
      <c r="H994" s="277"/>
      <c r="I994" s="277"/>
      <c r="J994" s="277"/>
      <c r="K994" s="277"/>
      <c r="L994" s="277"/>
      <c r="M994" s="277"/>
      <c r="N994" s="277"/>
      <c r="O994" s="277"/>
      <c r="P994" s="277"/>
      <c r="Q994" s="277"/>
      <c r="R994" s="277"/>
      <c r="S994" s="410"/>
      <c r="T994" s="277"/>
      <c r="U994" s="277"/>
      <c r="V994" s="277"/>
      <c r="W994" s="277"/>
      <c r="X994" s="277"/>
      <c r="Y994" s="277"/>
      <c r="Z994" s="277"/>
    </row>
    <row r="995" ht="12.75" customHeight="1">
      <c r="A995" s="277"/>
      <c r="B995" s="278"/>
      <c r="C995" s="277"/>
      <c r="D995" s="277"/>
      <c r="E995" s="277"/>
      <c r="F995" s="277"/>
      <c r="G995" s="277"/>
      <c r="H995" s="277"/>
      <c r="I995" s="277"/>
      <c r="J995" s="277"/>
      <c r="K995" s="277"/>
      <c r="L995" s="277"/>
      <c r="M995" s="277"/>
      <c r="N995" s="277"/>
      <c r="O995" s="277"/>
      <c r="P995" s="277"/>
      <c r="Q995" s="277"/>
      <c r="R995" s="277"/>
      <c r="S995" s="410"/>
      <c r="T995" s="277"/>
      <c r="U995" s="277"/>
      <c r="V995" s="277"/>
      <c r="W995" s="277"/>
      <c r="X995" s="277"/>
      <c r="Y995" s="277"/>
      <c r="Z995" s="277"/>
    </row>
    <row r="996" ht="12.75" customHeight="1">
      <c r="A996" s="277"/>
      <c r="B996" s="278"/>
      <c r="C996" s="277"/>
      <c r="D996" s="277"/>
      <c r="E996" s="277"/>
      <c r="F996" s="277"/>
      <c r="G996" s="277"/>
      <c r="H996" s="277"/>
      <c r="I996" s="277"/>
      <c r="J996" s="277"/>
      <c r="K996" s="277"/>
      <c r="L996" s="277"/>
      <c r="M996" s="277"/>
      <c r="N996" s="277"/>
      <c r="O996" s="277"/>
      <c r="P996" s="277"/>
      <c r="Q996" s="277"/>
      <c r="R996" s="277"/>
      <c r="S996" s="410"/>
      <c r="T996" s="277"/>
      <c r="U996" s="277"/>
      <c r="V996" s="277"/>
      <c r="W996" s="277"/>
      <c r="X996" s="277"/>
      <c r="Y996" s="277"/>
      <c r="Z996" s="277"/>
    </row>
    <row r="997" ht="12.75" customHeight="1">
      <c r="A997" s="277"/>
      <c r="B997" s="278"/>
      <c r="C997" s="277"/>
      <c r="D997" s="277"/>
      <c r="E997" s="277"/>
      <c r="F997" s="277"/>
      <c r="G997" s="277"/>
      <c r="H997" s="277"/>
      <c r="I997" s="277"/>
      <c r="J997" s="277"/>
      <c r="K997" s="277"/>
      <c r="L997" s="277"/>
      <c r="M997" s="277"/>
      <c r="N997" s="277"/>
      <c r="O997" s="277"/>
      <c r="P997" s="277"/>
      <c r="Q997" s="277"/>
      <c r="R997" s="277"/>
      <c r="S997" s="410"/>
      <c r="T997" s="277"/>
      <c r="U997" s="277"/>
      <c r="V997" s="277"/>
      <c r="W997" s="277"/>
      <c r="X997" s="277"/>
      <c r="Y997" s="277"/>
      <c r="Z997" s="277"/>
    </row>
    <row r="998" ht="12.75" customHeight="1">
      <c r="A998" s="277"/>
      <c r="B998" s="278"/>
      <c r="C998" s="277"/>
      <c r="D998" s="277"/>
      <c r="E998" s="277"/>
      <c r="F998" s="277"/>
      <c r="G998" s="277"/>
      <c r="H998" s="277"/>
      <c r="I998" s="277"/>
      <c r="J998" s="277"/>
      <c r="K998" s="277"/>
      <c r="L998" s="277"/>
      <c r="M998" s="277"/>
      <c r="N998" s="277"/>
      <c r="O998" s="277"/>
      <c r="P998" s="277"/>
      <c r="Q998" s="277"/>
      <c r="R998" s="277"/>
      <c r="S998" s="410"/>
      <c r="T998" s="277"/>
      <c r="U998" s="277"/>
      <c r="V998" s="277"/>
      <c r="W998" s="277"/>
      <c r="X998" s="277"/>
      <c r="Y998" s="277"/>
      <c r="Z998" s="277"/>
    </row>
    <row r="999" ht="12.75" customHeight="1">
      <c r="A999" s="277"/>
      <c r="B999" s="278"/>
      <c r="C999" s="277"/>
      <c r="D999" s="277"/>
      <c r="E999" s="277"/>
      <c r="F999" s="277"/>
      <c r="G999" s="277"/>
      <c r="H999" s="277"/>
      <c r="I999" s="277"/>
      <c r="J999" s="277"/>
      <c r="K999" s="277"/>
      <c r="L999" s="277"/>
      <c r="M999" s="277"/>
      <c r="N999" s="277"/>
      <c r="O999" s="277"/>
      <c r="P999" s="277"/>
      <c r="Q999" s="277"/>
      <c r="R999" s="277"/>
      <c r="S999" s="410"/>
      <c r="T999" s="277"/>
      <c r="U999" s="277"/>
      <c r="V999" s="277"/>
      <c r="W999" s="277"/>
      <c r="X999" s="277"/>
      <c r="Y999" s="277"/>
      <c r="Z999" s="277"/>
    </row>
    <row r="1000" ht="12.75" customHeight="1">
      <c r="A1000" s="277"/>
      <c r="B1000" s="278"/>
      <c r="C1000" s="277"/>
      <c r="D1000" s="277"/>
      <c r="E1000" s="277"/>
      <c r="F1000" s="277"/>
      <c r="G1000" s="277"/>
      <c r="H1000" s="277"/>
      <c r="I1000" s="277"/>
      <c r="J1000" s="277"/>
      <c r="K1000" s="277"/>
      <c r="L1000" s="277"/>
      <c r="M1000" s="277"/>
      <c r="N1000" s="277"/>
      <c r="O1000" s="277"/>
      <c r="P1000" s="277"/>
      <c r="Q1000" s="277"/>
      <c r="R1000" s="277"/>
      <c r="S1000" s="410"/>
      <c r="T1000" s="277"/>
      <c r="U1000" s="277"/>
      <c r="V1000" s="277"/>
      <c r="W1000" s="277"/>
      <c r="X1000" s="277"/>
      <c r="Y1000" s="277"/>
      <c r="Z1000" s="277"/>
    </row>
  </sheetData>
  <mergeCells count="16">
    <mergeCell ref="D6:F7"/>
    <mergeCell ref="G6:I6"/>
    <mergeCell ref="G7:I7"/>
    <mergeCell ref="J6:L6"/>
    <mergeCell ref="M6:O6"/>
    <mergeCell ref="P6:R6"/>
    <mergeCell ref="J7:L7"/>
    <mergeCell ref="M7:O7"/>
    <mergeCell ref="P7:R7"/>
    <mergeCell ref="B5:B7"/>
    <mergeCell ref="C5:C10"/>
    <mergeCell ref="D5:F5"/>
    <mergeCell ref="G5:O5"/>
    <mergeCell ref="P5:R5"/>
    <mergeCell ref="S5:S7"/>
    <mergeCell ref="A6:A7"/>
  </mergeCells>
  <conditionalFormatting sqref="D12:R146 D149:R179">
    <cfRule type="cellIs" dxfId="1" priority="1" operator="equal">
      <formula>0</formula>
    </cfRule>
  </conditionalFormatting>
  <conditionalFormatting sqref="D12:R146 D149:R179">
    <cfRule type="cellIs" dxfId="1" priority="2" operator="greaterThan">
      <formula>100</formula>
    </cfRule>
  </conditionalFormatting>
  <conditionalFormatting sqref="D12:R146 D149:R179">
    <cfRule type="cellIs" dxfId="5" priority="3" operator="between">
      <formula>10</formula>
      <formula>100</formula>
    </cfRule>
  </conditionalFormatting>
  <conditionalFormatting sqref="D12:R146 D149:R179">
    <cfRule type="cellIs" dxfId="6" priority="4" operator="between">
      <formula>1</formula>
      <formula>10</formula>
    </cfRule>
  </conditionalFormatting>
  <conditionalFormatting sqref="D12:R146 D149:R179">
    <cfRule type="cellIs" dxfId="7" priority="5" operator="lessThan">
      <formula>1</formula>
    </cfRule>
  </conditionalFormatting>
  <conditionalFormatting sqref="D147:R147">
    <cfRule type="cellIs" dxfId="1" priority="6" operator="equal">
      <formula>0</formula>
    </cfRule>
  </conditionalFormatting>
  <conditionalFormatting sqref="D147:R147">
    <cfRule type="cellIs" dxfId="1" priority="7" operator="greaterThan">
      <formula>100</formula>
    </cfRule>
  </conditionalFormatting>
  <conditionalFormatting sqref="D147:R147">
    <cfRule type="cellIs" dxfId="5" priority="8" operator="between">
      <formula>10</formula>
      <formula>100</formula>
    </cfRule>
  </conditionalFormatting>
  <conditionalFormatting sqref="D147:R147">
    <cfRule type="cellIs" dxfId="6" priority="9" operator="between">
      <formula>1</formula>
      <formula>10</formula>
    </cfRule>
  </conditionalFormatting>
  <conditionalFormatting sqref="D147:R147">
    <cfRule type="cellIs" dxfId="7" priority="10" operator="lessThan">
      <formula>1</formula>
    </cfRule>
  </conditionalFormatting>
  <printOptions/>
  <pageMargins bottom="0.4330708661417323" footer="0.0" header="0.0" left="0.3937007874015748" right="0.3937007874015748" top="0.5905511811023623"/>
  <pageSetup fitToHeight="0" paperSize="9" orientation="landscape"/>
  <headerFooter>
    <oddFooter>&amp;C&amp;P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5.71"/>
    <col customWidth="1" min="2" max="2" width="10.71"/>
    <col customWidth="1" min="3" max="64" width="11.57"/>
    <col customWidth="1" min="65" max="65" width="12.14"/>
    <col customWidth="1" min="66" max="99" width="11.57"/>
    <col customWidth="1" min="100" max="100" width="12.57"/>
    <col customWidth="1" min="101" max="305" width="11.57"/>
    <col customWidth="1" min="306" max="306" width="12.57"/>
    <col customWidth="1" min="307" max="307" width="11.57"/>
    <col customWidth="1" min="308" max="308" width="12.57"/>
    <col customWidth="1" min="309" max="347" width="11.57"/>
    <col customWidth="1" min="348" max="348" width="12.57"/>
    <col customWidth="1" min="349" max="387" width="11.57"/>
    <col customWidth="1" min="388" max="404" width="10.71"/>
  </cols>
  <sheetData>
    <row r="1" ht="12.75" customHeight="1">
      <c r="A1" s="624" t="s">
        <v>3800</v>
      </c>
    </row>
    <row r="2" ht="12.75" customHeight="1"/>
    <row r="3" ht="12.75" customHeight="1"/>
    <row r="4" ht="12.75" customHeight="1">
      <c r="A4" s="625"/>
    </row>
    <row r="5" ht="12.75" hidden="1" customHeight="1" outlineLevel="1">
      <c r="A5" s="55" t="s">
        <v>3801</v>
      </c>
      <c r="B5" s="55" t="s">
        <v>3802</v>
      </c>
    </row>
    <row r="6" ht="12.75" hidden="1" customHeight="1" outlineLevel="1">
      <c r="A6" s="55" t="s">
        <v>3803</v>
      </c>
      <c r="B6" s="55" t="s">
        <v>3804</v>
      </c>
    </row>
    <row r="7" ht="12.75" hidden="1" customHeight="1" outlineLevel="1">
      <c r="A7" s="55" t="s">
        <v>3805</v>
      </c>
      <c r="B7" s="55" t="s">
        <v>3806</v>
      </c>
    </row>
    <row r="8" ht="12.75" hidden="1" customHeight="1" outlineLevel="1">
      <c r="A8" s="55" t="s">
        <v>3807</v>
      </c>
      <c r="B8" s="55" t="s">
        <v>3808</v>
      </c>
    </row>
    <row r="9" ht="12.75" hidden="1" customHeight="1" outlineLevel="1">
      <c r="A9" s="55" t="s">
        <v>3809</v>
      </c>
      <c r="B9" s="55" t="s">
        <v>3810</v>
      </c>
    </row>
    <row r="10" ht="12.75" hidden="1" customHeight="1" outlineLevel="1">
      <c r="A10" s="55" t="s">
        <v>3811</v>
      </c>
      <c r="B10" s="55" t="s">
        <v>3812</v>
      </c>
    </row>
    <row r="11" ht="12.75" hidden="1" customHeight="1" outlineLevel="1">
      <c r="A11" s="55" t="s">
        <v>3813</v>
      </c>
      <c r="B11" s="55" t="s">
        <v>3814</v>
      </c>
    </row>
    <row r="12" ht="12.75" hidden="1" customHeight="1" outlineLevel="1">
      <c r="A12" s="55" t="s">
        <v>3815</v>
      </c>
      <c r="B12" s="55" t="s">
        <v>3816</v>
      </c>
    </row>
    <row r="13" ht="12.75" hidden="1" customHeight="1" outlineLevel="1">
      <c r="A13" s="55" t="s">
        <v>3817</v>
      </c>
      <c r="B13" s="55" t="s">
        <v>3818</v>
      </c>
    </row>
    <row r="14" ht="12.75" hidden="1" customHeight="1" outlineLevel="1">
      <c r="A14" s="55" t="s">
        <v>3819</v>
      </c>
      <c r="B14" s="55" t="s">
        <v>3820</v>
      </c>
    </row>
    <row r="15" ht="12.75" hidden="1" customHeight="1" outlineLevel="1">
      <c r="A15" s="55" t="s">
        <v>3821</v>
      </c>
      <c r="B15" s="55" t="s">
        <v>3822</v>
      </c>
    </row>
    <row r="16" ht="12.75" hidden="1" customHeight="1" outlineLevel="1">
      <c r="A16" s="55" t="s">
        <v>3823</v>
      </c>
      <c r="B16" s="55" t="s">
        <v>3824</v>
      </c>
    </row>
    <row r="17" ht="12.75" hidden="1" customHeight="1" outlineLevel="1">
      <c r="A17" s="55" t="s">
        <v>3825</v>
      </c>
      <c r="B17" s="55" t="s">
        <v>3826</v>
      </c>
    </row>
    <row r="18" ht="12.75" hidden="1" customHeight="1" outlineLevel="1">
      <c r="A18" s="55" t="s">
        <v>3827</v>
      </c>
      <c r="B18" s="55" t="s">
        <v>3828</v>
      </c>
    </row>
    <row r="19" ht="12.75" hidden="1" customHeight="1" outlineLevel="1">
      <c r="A19" s="55" t="s">
        <v>3829</v>
      </c>
      <c r="B19" s="55" t="s">
        <v>3830</v>
      </c>
    </row>
    <row r="20" ht="12.75" hidden="1" customHeight="1" outlineLevel="1">
      <c r="A20" s="55" t="s">
        <v>3831</v>
      </c>
      <c r="B20" s="55" t="s">
        <v>3832</v>
      </c>
    </row>
    <row r="21" ht="12.75" hidden="1" customHeight="1" outlineLevel="1">
      <c r="A21" s="55" t="s">
        <v>3833</v>
      </c>
      <c r="B21" s="55" t="s">
        <v>3834</v>
      </c>
    </row>
    <row r="22" ht="12.75" hidden="1" customHeight="1" outlineLevel="1">
      <c r="A22" s="55" t="s">
        <v>3835</v>
      </c>
      <c r="B22" s="55" t="s">
        <v>3836</v>
      </c>
    </row>
    <row r="23" ht="12.75" hidden="1" customHeight="1" outlineLevel="1">
      <c r="A23" s="55" t="s">
        <v>3837</v>
      </c>
      <c r="B23" s="55" t="s">
        <v>3838</v>
      </c>
    </row>
    <row r="24" ht="12.75" hidden="1" customHeight="1" outlineLevel="1">
      <c r="A24" s="55" t="s">
        <v>3839</v>
      </c>
      <c r="B24" s="55" t="s">
        <v>3840</v>
      </c>
    </row>
    <row r="25" ht="12.75" hidden="1" customHeight="1" outlineLevel="1">
      <c r="A25" s="55" t="s">
        <v>3841</v>
      </c>
      <c r="B25" s="55" t="s">
        <v>3842</v>
      </c>
    </row>
    <row r="26" ht="12.75" hidden="1" customHeight="1" outlineLevel="1">
      <c r="A26" s="55" t="s">
        <v>3843</v>
      </c>
      <c r="B26" s="55" t="s">
        <v>3844</v>
      </c>
    </row>
    <row r="27" ht="12.75" hidden="1" customHeight="1" outlineLevel="1">
      <c r="A27" s="55" t="s">
        <v>3845</v>
      </c>
      <c r="B27" s="55" t="s">
        <v>3846</v>
      </c>
    </row>
    <row r="28" ht="12.75" hidden="1" customHeight="1" outlineLevel="1">
      <c r="A28" s="55" t="s">
        <v>3847</v>
      </c>
      <c r="B28" s="55" t="s">
        <v>3848</v>
      </c>
    </row>
    <row r="29" ht="12.75" hidden="1" customHeight="1" outlineLevel="1">
      <c r="A29" s="55" t="s">
        <v>3849</v>
      </c>
      <c r="B29" s="55" t="s">
        <v>3850</v>
      </c>
    </row>
    <row r="30" ht="12.75" hidden="1" customHeight="1" outlineLevel="1">
      <c r="A30" s="55" t="s">
        <v>3851</v>
      </c>
      <c r="B30" s="55" t="s">
        <v>3852</v>
      </c>
    </row>
    <row r="31" ht="12.75" hidden="1" customHeight="1" outlineLevel="1">
      <c r="A31" s="55" t="s">
        <v>3853</v>
      </c>
      <c r="B31" s="55" t="s">
        <v>3854</v>
      </c>
    </row>
    <row r="32" ht="12.75" hidden="1" customHeight="1" outlineLevel="1">
      <c r="A32" s="55" t="s">
        <v>3855</v>
      </c>
      <c r="B32" s="55" t="s">
        <v>3856</v>
      </c>
    </row>
    <row r="33" ht="12.75" hidden="1" customHeight="1" outlineLevel="1">
      <c r="A33" s="55" t="s">
        <v>3857</v>
      </c>
      <c r="B33" s="55" t="s">
        <v>3858</v>
      </c>
    </row>
    <row r="34" ht="12.75" hidden="1" customHeight="1" outlineLevel="1">
      <c r="A34" s="55" t="s">
        <v>3859</v>
      </c>
      <c r="B34" s="55" t="s">
        <v>3860</v>
      </c>
    </row>
    <row r="35" ht="12.75" hidden="1" customHeight="1" outlineLevel="1">
      <c r="A35" s="55" t="s">
        <v>3861</v>
      </c>
      <c r="B35" s="55" t="s">
        <v>3862</v>
      </c>
    </row>
    <row r="36" ht="12.75" hidden="1" customHeight="1" outlineLevel="1">
      <c r="A36" s="55" t="s">
        <v>3863</v>
      </c>
      <c r="B36" s="55" t="s">
        <v>3864</v>
      </c>
    </row>
    <row r="37" ht="12.75" hidden="1" customHeight="1" outlineLevel="1">
      <c r="A37" s="55" t="s">
        <v>3865</v>
      </c>
      <c r="B37" s="55" t="s">
        <v>3866</v>
      </c>
    </row>
    <row r="38" ht="12.75" hidden="1" customHeight="1" outlineLevel="1">
      <c r="A38" s="55" t="s">
        <v>3867</v>
      </c>
      <c r="B38" s="55" t="s">
        <v>3868</v>
      </c>
    </row>
    <row r="39" ht="12.75" hidden="1" customHeight="1" outlineLevel="1">
      <c r="A39" s="55" t="s">
        <v>3869</v>
      </c>
      <c r="B39" s="55" t="s">
        <v>3870</v>
      </c>
    </row>
    <row r="40" ht="12.75" hidden="1" customHeight="1" outlineLevel="1">
      <c r="A40" s="55" t="s">
        <v>3871</v>
      </c>
      <c r="B40" s="55" t="s">
        <v>3872</v>
      </c>
    </row>
    <row r="41" ht="12.75" hidden="1" customHeight="1" outlineLevel="1">
      <c r="A41" s="55" t="s">
        <v>3873</v>
      </c>
      <c r="B41" s="55" t="s">
        <v>3874</v>
      </c>
    </row>
    <row r="42" ht="12.75" hidden="1" customHeight="1" outlineLevel="1">
      <c r="A42" s="55" t="s">
        <v>3875</v>
      </c>
      <c r="B42" s="55" t="s">
        <v>3876</v>
      </c>
    </row>
    <row r="43" ht="12.75" hidden="1" customHeight="1" outlineLevel="1">
      <c r="A43" s="55" t="s">
        <v>3877</v>
      </c>
      <c r="B43" s="55" t="s">
        <v>3878</v>
      </c>
    </row>
    <row r="44" ht="12.75" hidden="1" customHeight="1" outlineLevel="1">
      <c r="A44" s="55" t="s">
        <v>3879</v>
      </c>
      <c r="B44" s="55" t="s">
        <v>3880</v>
      </c>
    </row>
    <row r="45" ht="12.75" hidden="1" customHeight="1" outlineLevel="1">
      <c r="A45" s="55" t="s">
        <v>3881</v>
      </c>
      <c r="B45" s="55" t="s">
        <v>3882</v>
      </c>
    </row>
    <row r="46" ht="12.75" hidden="1" customHeight="1" outlineLevel="1">
      <c r="A46" s="55" t="s">
        <v>3883</v>
      </c>
      <c r="B46" s="55" t="s">
        <v>3884</v>
      </c>
    </row>
    <row r="47" ht="12.75" hidden="1" customHeight="1" outlineLevel="1">
      <c r="A47" s="55" t="s">
        <v>3885</v>
      </c>
      <c r="B47" s="55" t="s">
        <v>3886</v>
      </c>
    </row>
    <row r="48" ht="12.75" hidden="1" customHeight="1" outlineLevel="1">
      <c r="A48" s="55" t="s">
        <v>3887</v>
      </c>
      <c r="B48" s="55" t="s">
        <v>3888</v>
      </c>
    </row>
    <row r="49" ht="12.75" hidden="1" customHeight="1" outlineLevel="1">
      <c r="A49" s="55" t="s">
        <v>3889</v>
      </c>
      <c r="B49" s="55" t="s">
        <v>3890</v>
      </c>
    </row>
    <row r="50" ht="12.75" hidden="1" customHeight="1" outlineLevel="1">
      <c r="A50" s="55" t="s">
        <v>3891</v>
      </c>
      <c r="B50" s="55" t="s">
        <v>3892</v>
      </c>
    </row>
    <row r="51" ht="12.75" hidden="1" customHeight="1" outlineLevel="1">
      <c r="A51" s="55" t="s">
        <v>3893</v>
      </c>
      <c r="B51" s="55" t="s">
        <v>3894</v>
      </c>
    </row>
    <row r="52" ht="12.75" hidden="1" customHeight="1" outlineLevel="1">
      <c r="A52" s="55" t="s">
        <v>3895</v>
      </c>
      <c r="B52" s="55" t="s">
        <v>3896</v>
      </c>
    </row>
    <row r="53" ht="12.75" hidden="1" customHeight="1" outlineLevel="1">
      <c r="A53" s="55" t="s">
        <v>3897</v>
      </c>
      <c r="B53" s="55" t="s">
        <v>3898</v>
      </c>
    </row>
    <row r="54" ht="12.75" hidden="1" customHeight="1" outlineLevel="1">
      <c r="A54" s="55" t="s">
        <v>3899</v>
      </c>
      <c r="B54" s="55" t="s">
        <v>3900</v>
      </c>
    </row>
    <row r="55" ht="12.75" hidden="1" customHeight="1" outlineLevel="1">
      <c r="A55" s="55" t="s">
        <v>3901</v>
      </c>
      <c r="B55" s="55" t="s">
        <v>3902</v>
      </c>
    </row>
    <row r="56" ht="12.75" hidden="1" customHeight="1" outlineLevel="1">
      <c r="A56" s="55" t="s">
        <v>3903</v>
      </c>
      <c r="B56" s="55" t="s">
        <v>3904</v>
      </c>
    </row>
    <row r="57" ht="12.75" hidden="1" customHeight="1" outlineLevel="1">
      <c r="A57" s="55" t="s">
        <v>3905</v>
      </c>
      <c r="B57" s="55" t="s">
        <v>3906</v>
      </c>
    </row>
    <row r="58" ht="12.75" hidden="1" customHeight="1" outlineLevel="1">
      <c r="A58" s="55" t="s">
        <v>3907</v>
      </c>
      <c r="B58" s="55" t="s">
        <v>3908</v>
      </c>
    </row>
    <row r="59" ht="12.75" hidden="1" customHeight="1" outlineLevel="1">
      <c r="A59" s="55" t="s">
        <v>3909</v>
      </c>
      <c r="B59" s="55" t="s">
        <v>3910</v>
      </c>
    </row>
    <row r="60" ht="12.75" hidden="1" customHeight="1" outlineLevel="1">
      <c r="A60" s="55" t="s">
        <v>3911</v>
      </c>
      <c r="B60" s="55" t="s">
        <v>3912</v>
      </c>
    </row>
    <row r="61" ht="12.75" hidden="1" customHeight="1" outlineLevel="1">
      <c r="A61" s="55" t="s">
        <v>3913</v>
      </c>
      <c r="B61" s="55" t="s">
        <v>3914</v>
      </c>
    </row>
    <row r="62" ht="12.75" hidden="1" customHeight="1" outlineLevel="1">
      <c r="A62" s="55" t="s">
        <v>3915</v>
      </c>
      <c r="B62" s="55" t="s">
        <v>3916</v>
      </c>
    </row>
    <row r="63" ht="12.75" hidden="1" customHeight="1" outlineLevel="1">
      <c r="A63" s="55" t="s">
        <v>3917</v>
      </c>
      <c r="B63" s="55" t="s">
        <v>3918</v>
      </c>
    </row>
    <row r="64" ht="12.75" hidden="1" customHeight="1" outlineLevel="1">
      <c r="A64" s="55" t="s">
        <v>3919</v>
      </c>
      <c r="B64" s="55" t="s">
        <v>3920</v>
      </c>
    </row>
    <row r="65" ht="12.75" hidden="1" customHeight="1" outlineLevel="1">
      <c r="A65" s="55" t="s">
        <v>3921</v>
      </c>
      <c r="B65" s="55" t="s">
        <v>3922</v>
      </c>
    </row>
    <row r="66" ht="12.75" hidden="1" customHeight="1" outlineLevel="1">
      <c r="A66" s="55" t="s">
        <v>3923</v>
      </c>
      <c r="B66" s="55" t="s">
        <v>3924</v>
      </c>
    </row>
    <row r="67" ht="12.75" hidden="1" customHeight="1" outlineLevel="1">
      <c r="A67" s="55" t="s">
        <v>3925</v>
      </c>
      <c r="B67" s="55" t="s">
        <v>3926</v>
      </c>
    </row>
    <row r="68" ht="12.75" hidden="1" customHeight="1" outlineLevel="1">
      <c r="A68" s="55" t="s">
        <v>3927</v>
      </c>
      <c r="B68" s="55" t="s">
        <v>3928</v>
      </c>
    </row>
    <row r="69" ht="12.75" hidden="1" customHeight="1" outlineLevel="1">
      <c r="A69" s="55" t="s">
        <v>3929</v>
      </c>
      <c r="B69" s="55" t="s">
        <v>3930</v>
      </c>
    </row>
    <row r="70" ht="12.75" hidden="1" customHeight="1" outlineLevel="1">
      <c r="A70" s="55" t="s">
        <v>3931</v>
      </c>
      <c r="B70" s="55" t="s">
        <v>3932</v>
      </c>
    </row>
    <row r="71" ht="12.75" hidden="1" customHeight="1" outlineLevel="1">
      <c r="A71" s="55" t="s">
        <v>3933</v>
      </c>
      <c r="B71" s="55" t="s">
        <v>3934</v>
      </c>
    </row>
    <row r="72" ht="12.75" hidden="1" customHeight="1" outlineLevel="1">
      <c r="A72" s="55" t="s">
        <v>3935</v>
      </c>
      <c r="B72" s="55" t="s">
        <v>3936</v>
      </c>
    </row>
    <row r="73" ht="12.75" hidden="1" customHeight="1" outlineLevel="1">
      <c r="A73" s="55" t="s">
        <v>3937</v>
      </c>
      <c r="B73" s="55" t="s">
        <v>3938</v>
      </c>
    </row>
    <row r="74" ht="12.75" hidden="1" customHeight="1" outlineLevel="1">
      <c r="A74" s="55" t="s">
        <v>3939</v>
      </c>
      <c r="B74" s="55" t="s">
        <v>3940</v>
      </c>
    </row>
    <row r="75" ht="12.75" hidden="1" customHeight="1" outlineLevel="1">
      <c r="A75" s="55" t="s">
        <v>3941</v>
      </c>
      <c r="B75" s="55" t="s">
        <v>3942</v>
      </c>
    </row>
    <row r="76" ht="12.75" hidden="1" customHeight="1" outlineLevel="1">
      <c r="A76" s="55" t="s">
        <v>3943</v>
      </c>
      <c r="B76" s="55" t="s">
        <v>3944</v>
      </c>
    </row>
    <row r="77" ht="12.75" hidden="1" customHeight="1" outlineLevel="1">
      <c r="A77" s="55" t="s">
        <v>3945</v>
      </c>
      <c r="B77" s="55" t="s">
        <v>3946</v>
      </c>
    </row>
    <row r="78" ht="12.75" hidden="1" customHeight="1" outlineLevel="1">
      <c r="A78" s="55" t="s">
        <v>3947</v>
      </c>
      <c r="B78" s="55" t="s">
        <v>3948</v>
      </c>
    </row>
    <row r="79" ht="12.75" hidden="1" customHeight="1" outlineLevel="1">
      <c r="A79" s="55" t="s">
        <v>3949</v>
      </c>
      <c r="B79" s="55" t="s">
        <v>3950</v>
      </c>
    </row>
    <row r="80" ht="12.75" hidden="1" customHeight="1" outlineLevel="1">
      <c r="A80" s="55" t="s">
        <v>3951</v>
      </c>
      <c r="B80" s="55" t="s">
        <v>3952</v>
      </c>
    </row>
    <row r="81" ht="12.75" hidden="1" customHeight="1" outlineLevel="1">
      <c r="A81" s="55" t="s">
        <v>3953</v>
      </c>
      <c r="B81" s="55" t="s">
        <v>3954</v>
      </c>
    </row>
    <row r="82" ht="12.75" hidden="1" customHeight="1" outlineLevel="1">
      <c r="A82" s="55" t="s">
        <v>3955</v>
      </c>
      <c r="B82" s="55" t="s">
        <v>3956</v>
      </c>
    </row>
    <row r="83" ht="12.75" hidden="1" customHeight="1" outlineLevel="1">
      <c r="A83" s="55" t="s">
        <v>3957</v>
      </c>
      <c r="B83" s="55" t="s">
        <v>3958</v>
      </c>
    </row>
    <row r="84" ht="12.75" hidden="1" customHeight="1" outlineLevel="1">
      <c r="A84" s="55" t="s">
        <v>3959</v>
      </c>
      <c r="B84" s="55" t="s">
        <v>3960</v>
      </c>
    </row>
    <row r="85" ht="12.75" hidden="1" customHeight="1" outlineLevel="1">
      <c r="A85" s="55" t="s">
        <v>3961</v>
      </c>
      <c r="B85" s="55" t="s">
        <v>3962</v>
      </c>
    </row>
    <row r="86" ht="12.75" hidden="1" customHeight="1" outlineLevel="1">
      <c r="A86" s="55" t="s">
        <v>3963</v>
      </c>
      <c r="B86" s="55" t="s">
        <v>3964</v>
      </c>
    </row>
    <row r="87" ht="12.75" hidden="1" customHeight="1" outlineLevel="1">
      <c r="A87" s="55" t="s">
        <v>3965</v>
      </c>
      <c r="B87" s="55" t="s">
        <v>3966</v>
      </c>
    </row>
    <row r="88" ht="12.75" hidden="1" customHeight="1" outlineLevel="1">
      <c r="A88" s="55" t="s">
        <v>3967</v>
      </c>
      <c r="B88" s="55" t="s">
        <v>3968</v>
      </c>
    </row>
    <row r="89" ht="12.75" hidden="1" customHeight="1" outlineLevel="1">
      <c r="A89" s="55" t="s">
        <v>3969</v>
      </c>
      <c r="B89" s="55" t="s">
        <v>3970</v>
      </c>
    </row>
    <row r="90" ht="12.75" hidden="1" customHeight="1" outlineLevel="1">
      <c r="A90" s="55" t="s">
        <v>3971</v>
      </c>
      <c r="B90" s="55" t="s">
        <v>3972</v>
      </c>
    </row>
    <row r="91" ht="12.75" hidden="1" customHeight="1" outlineLevel="1">
      <c r="A91" s="55" t="s">
        <v>3973</v>
      </c>
      <c r="B91" s="55" t="s">
        <v>3974</v>
      </c>
    </row>
    <row r="92" ht="12.75" hidden="1" customHeight="1" outlineLevel="1">
      <c r="A92" s="55" t="s">
        <v>3975</v>
      </c>
      <c r="B92" s="55" t="s">
        <v>3976</v>
      </c>
    </row>
    <row r="93" ht="12.75" hidden="1" customHeight="1" outlineLevel="1">
      <c r="A93" s="55" t="s">
        <v>3977</v>
      </c>
      <c r="B93" s="55" t="s">
        <v>3978</v>
      </c>
    </row>
    <row r="94" ht="12.75" hidden="1" customHeight="1" outlineLevel="1">
      <c r="A94" s="55" t="s">
        <v>3979</v>
      </c>
      <c r="B94" s="55" t="s">
        <v>3980</v>
      </c>
    </row>
    <row r="95" ht="12.75" hidden="1" customHeight="1" outlineLevel="1">
      <c r="A95" s="55" t="s">
        <v>3981</v>
      </c>
      <c r="B95" s="55" t="s">
        <v>3982</v>
      </c>
    </row>
    <row r="96" ht="12.75" hidden="1" customHeight="1" outlineLevel="1">
      <c r="A96" s="55" t="s">
        <v>3983</v>
      </c>
      <c r="B96" s="55" t="s">
        <v>3984</v>
      </c>
    </row>
    <row r="97" ht="12.75" hidden="1" customHeight="1" outlineLevel="1">
      <c r="A97" s="55" t="s">
        <v>3985</v>
      </c>
      <c r="B97" s="55" t="s">
        <v>3986</v>
      </c>
    </row>
    <row r="98" ht="12.75" hidden="1" customHeight="1" outlineLevel="1">
      <c r="A98" s="55" t="s">
        <v>3987</v>
      </c>
      <c r="B98" s="55" t="s">
        <v>3988</v>
      </c>
    </row>
    <row r="99" ht="12.75" hidden="1" customHeight="1" outlineLevel="1">
      <c r="A99" s="55" t="s">
        <v>3989</v>
      </c>
      <c r="B99" s="55" t="s">
        <v>3990</v>
      </c>
    </row>
    <row r="100" ht="12.75" hidden="1" customHeight="1" outlineLevel="1">
      <c r="A100" s="55" t="s">
        <v>3991</v>
      </c>
      <c r="B100" s="55" t="s">
        <v>3992</v>
      </c>
    </row>
    <row r="101" ht="12.75" hidden="1" customHeight="1" outlineLevel="1">
      <c r="A101" s="55" t="s">
        <v>3993</v>
      </c>
      <c r="B101" s="55" t="s">
        <v>3994</v>
      </c>
    </row>
    <row r="102" ht="12.75" hidden="1" customHeight="1" outlineLevel="1">
      <c r="A102" s="55" t="s">
        <v>3995</v>
      </c>
      <c r="B102" s="55" t="s">
        <v>3996</v>
      </c>
    </row>
    <row r="103" ht="12.75" hidden="1" customHeight="1" outlineLevel="1">
      <c r="A103" s="55" t="s">
        <v>3997</v>
      </c>
      <c r="B103" s="55" t="s">
        <v>3998</v>
      </c>
    </row>
    <row r="104" ht="12.75" hidden="1" customHeight="1" outlineLevel="1">
      <c r="A104" s="55" t="s">
        <v>3999</v>
      </c>
      <c r="B104" s="55" t="s">
        <v>4000</v>
      </c>
    </row>
    <row r="105" ht="12.75" hidden="1" customHeight="1" outlineLevel="1">
      <c r="A105" s="55" t="s">
        <v>4001</v>
      </c>
      <c r="B105" s="55" t="s">
        <v>4002</v>
      </c>
    </row>
    <row r="106" ht="12.75" hidden="1" customHeight="1" outlineLevel="1">
      <c r="A106" s="55" t="s">
        <v>4003</v>
      </c>
      <c r="B106" s="55" t="s">
        <v>4004</v>
      </c>
    </row>
    <row r="107" ht="12.75" hidden="1" customHeight="1" outlineLevel="1">
      <c r="A107" s="55" t="s">
        <v>4005</v>
      </c>
      <c r="B107" s="55" t="s">
        <v>4006</v>
      </c>
    </row>
    <row r="108" ht="12.75" hidden="1" customHeight="1" outlineLevel="1">
      <c r="A108" s="55" t="s">
        <v>4007</v>
      </c>
      <c r="B108" s="55" t="s">
        <v>4008</v>
      </c>
    </row>
    <row r="109" ht="12.75" hidden="1" customHeight="1" outlineLevel="1">
      <c r="A109" s="55" t="s">
        <v>4009</v>
      </c>
      <c r="B109" s="55" t="s">
        <v>4010</v>
      </c>
    </row>
    <row r="110" ht="12.75" hidden="1" customHeight="1" outlineLevel="1">
      <c r="A110" s="55" t="s">
        <v>4011</v>
      </c>
      <c r="B110" s="55" t="s">
        <v>4012</v>
      </c>
    </row>
    <row r="111" ht="12.75" hidden="1" customHeight="1" outlineLevel="1">
      <c r="A111" s="55" t="s">
        <v>4013</v>
      </c>
      <c r="B111" s="55" t="s">
        <v>4014</v>
      </c>
    </row>
    <row r="112" ht="12.75" hidden="1" customHeight="1" outlineLevel="1">
      <c r="A112" s="55" t="s">
        <v>4015</v>
      </c>
      <c r="B112" s="55" t="s">
        <v>4016</v>
      </c>
    </row>
    <row r="113" ht="12.75" hidden="1" customHeight="1" outlineLevel="1">
      <c r="A113" s="55" t="s">
        <v>4017</v>
      </c>
      <c r="B113" s="55" t="s">
        <v>4018</v>
      </c>
    </row>
    <row r="114" ht="12.75" hidden="1" customHeight="1" outlineLevel="1">
      <c r="A114" s="55" t="s">
        <v>4019</v>
      </c>
      <c r="B114" s="55" t="s">
        <v>4020</v>
      </c>
    </row>
    <row r="115" ht="12.75" hidden="1" customHeight="1" outlineLevel="1">
      <c r="A115" s="55" t="s">
        <v>4021</v>
      </c>
      <c r="B115" s="55" t="s">
        <v>4022</v>
      </c>
    </row>
    <row r="116" ht="12.75" hidden="1" customHeight="1" outlineLevel="1">
      <c r="A116" s="55" t="s">
        <v>4023</v>
      </c>
      <c r="B116" s="55" t="s">
        <v>4024</v>
      </c>
    </row>
    <row r="117" ht="12.75" hidden="1" customHeight="1" outlineLevel="1">
      <c r="A117" s="55" t="s">
        <v>4025</v>
      </c>
      <c r="B117" s="55" t="s">
        <v>4026</v>
      </c>
    </row>
    <row r="118" ht="12.75" hidden="1" customHeight="1" outlineLevel="1">
      <c r="A118" s="55" t="s">
        <v>4027</v>
      </c>
      <c r="B118" s="55" t="s">
        <v>4028</v>
      </c>
    </row>
    <row r="119" ht="12.75" hidden="1" customHeight="1" outlineLevel="1">
      <c r="A119" s="55" t="s">
        <v>4029</v>
      </c>
      <c r="B119" s="55" t="s">
        <v>4030</v>
      </c>
    </row>
    <row r="120" ht="12.75" hidden="1" customHeight="1" outlineLevel="1">
      <c r="A120" s="55" t="s">
        <v>4031</v>
      </c>
      <c r="B120" s="55" t="s">
        <v>4032</v>
      </c>
    </row>
    <row r="121" ht="12.75" hidden="1" customHeight="1" outlineLevel="1">
      <c r="A121" s="55" t="s">
        <v>4033</v>
      </c>
      <c r="B121" s="55" t="s">
        <v>4034</v>
      </c>
    </row>
    <row r="122" ht="12.75" hidden="1" customHeight="1" outlineLevel="1">
      <c r="A122" s="55" t="s">
        <v>4035</v>
      </c>
      <c r="B122" s="55" t="s">
        <v>4036</v>
      </c>
    </row>
    <row r="123" ht="12.75" hidden="1" customHeight="1" outlineLevel="1">
      <c r="A123" s="55" t="s">
        <v>4037</v>
      </c>
      <c r="B123" s="55" t="s">
        <v>4038</v>
      </c>
    </row>
    <row r="124" ht="12.75" hidden="1" customHeight="1" outlineLevel="1">
      <c r="A124" s="55" t="s">
        <v>4039</v>
      </c>
      <c r="B124" s="55" t="s">
        <v>4040</v>
      </c>
    </row>
    <row r="125" ht="12.75" hidden="1" customHeight="1" outlineLevel="1">
      <c r="A125" s="55" t="s">
        <v>4041</v>
      </c>
      <c r="B125" s="55" t="s">
        <v>4042</v>
      </c>
    </row>
    <row r="126" ht="12.75" hidden="1" customHeight="1" outlineLevel="1">
      <c r="A126" s="55" t="s">
        <v>4043</v>
      </c>
      <c r="B126" s="55" t="s">
        <v>4044</v>
      </c>
    </row>
    <row r="127" ht="12.75" hidden="1" customHeight="1" outlineLevel="1">
      <c r="A127" s="55" t="s">
        <v>4045</v>
      </c>
      <c r="B127" s="55" t="s">
        <v>4046</v>
      </c>
    </row>
    <row r="128" ht="12.75" hidden="1" customHeight="1" outlineLevel="1">
      <c r="A128" s="55" t="s">
        <v>4047</v>
      </c>
      <c r="B128" s="55" t="s">
        <v>4048</v>
      </c>
    </row>
    <row r="129" ht="12.75" hidden="1" customHeight="1" outlineLevel="1">
      <c r="A129" s="55" t="s">
        <v>4049</v>
      </c>
      <c r="B129" s="55" t="s">
        <v>4050</v>
      </c>
    </row>
    <row r="130" ht="12.75" hidden="1" customHeight="1" outlineLevel="1">
      <c r="A130" s="55" t="s">
        <v>4051</v>
      </c>
      <c r="B130" s="55" t="s">
        <v>4052</v>
      </c>
    </row>
    <row r="131" ht="12.75" hidden="1" customHeight="1" outlineLevel="1">
      <c r="A131" s="55" t="s">
        <v>4053</v>
      </c>
      <c r="B131" s="55" t="s">
        <v>4054</v>
      </c>
    </row>
    <row r="132" ht="12.75" hidden="1" customHeight="1" outlineLevel="1">
      <c r="A132" s="55" t="s">
        <v>4055</v>
      </c>
      <c r="B132" s="55" t="s">
        <v>4056</v>
      </c>
    </row>
    <row r="133" ht="12.75" hidden="1" customHeight="1" outlineLevel="1">
      <c r="A133" s="55" t="s">
        <v>4057</v>
      </c>
      <c r="B133" s="55" t="s">
        <v>4058</v>
      </c>
    </row>
    <row r="134" ht="12.75" hidden="1" customHeight="1" outlineLevel="1">
      <c r="A134" s="55" t="s">
        <v>4059</v>
      </c>
      <c r="B134" s="55" t="s">
        <v>4060</v>
      </c>
    </row>
    <row r="135" ht="12.75" hidden="1" customHeight="1" outlineLevel="1">
      <c r="A135" s="55" t="s">
        <v>4061</v>
      </c>
      <c r="B135" s="55" t="s">
        <v>4062</v>
      </c>
    </row>
    <row r="136" ht="12.75" hidden="1" customHeight="1" outlineLevel="1">
      <c r="A136" s="55" t="s">
        <v>4063</v>
      </c>
      <c r="B136" s="55" t="s">
        <v>4064</v>
      </c>
    </row>
    <row r="137" ht="12.75" hidden="1" customHeight="1" outlineLevel="1">
      <c r="A137" s="55" t="s">
        <v>4065</v>
      </c>
      <c r="B137" s="55" t="s">
        <v>4066</v>
      </c>
    </row>
    <row r="138" ht="12.75" hidden="1" customHeight="1" outlineLevel="1">
      <c r="A138" s="55" t="s">
        <v>4067</v>
      </c>
      <c r="B138" s="55" t="s">
        <v>4068</v>
      </c>
    </row>
    <row r="139" ht="12.75" hidden="1" customHeight="1" outlineLevel="1">
      <c r="A139" s="55" t="s">
        <v>4069</v>
      </c>
      <c r="B139" s="55" t="s">
        <v>4070</v>
      </c>
    </row>
    <row r="140" ht="12.75" hidden="1" customHeight="1" outlineLevel="1">
      <c r="A140" s="55" t="s">
        <v>4071</v>
      </c>
      <c r="B140" s="55" t="s">
        <v>4072</v>
      </c>
    </row>
    <row r="141" ht="12.75" hidden="1" customHeight="1" outlineLevel="1">
      <c r="A141" s="55" t="s">
        <v>4073</v>
      </c>
      <c r="B141" s="55" t="s">
        <v>4074</v>
      </c>
    </row>
    <row r="142" ht="12.75" hidden="1" customHeight="1" outlineLevel="1">
      <c r="A142" s="55" t="s">
        <v>4075</v>
      </c>
      <c r="B142" s="55" t="s">
        <v>4076</v>
      </c>
    </row>
    <row r="143" ht="12.75" hidden="1" customHeight="1" outlineLevel="1">
      <c r="A143" s="55" t="s">
        <v>4077</v>
      </c>
      <c r="B143" s="55" t="s">
        <v>4078</v>
      </c>
    </row>
    <row r="144" ht="12.75" hidden="1" customHeight="1" outlineLevel="1">
      <c r="A144" s="55" t="s">
        <v>4079</v>
      </c>
      <c r="B144" s="55" t="s">
        <v>4080</v>
      </c>
    </row>
    <row r="145" ht="12.75" hidden="1" customHeight="1" outlineLevel="1">
      <c r="A145" s="55" t="s">
        <v>4081</v>
      </c>
      <c r="B145" s="55" t="s">
        <v>4082</v>
      </c>
    </row>
    <row r="146" ht="12.75" hidden="1" customHeight="1" outlineLevel="1">
      <c r="A146" s="55" t="s">
        <v>4083</v>
      </c>
      <c r="B146" s="55" t="s">
        <v>4084</v>
      </c>
    </row>
    <row r="147" ht="12.75" hidden="1" customHeight="1" outlineLevel="1">
      <c r="A147" s="55" t="s">
        <v>4085</v>
      </c>
      <c r="B147" s="55" t="s">
        <v>4086</v>
      </c>
    </row>
    <row r="148" ht="12.75" hidden="1" customHeight="1" outlineLevel="1">
      <c r="A148" s="55" t="s">
        <v>4087</v>
      </c>
      <c r="B148" s="55" t="s">
        <v>4088</v>
      </c>
    </row>
    <row r="149" ht="12.75" hidden="1" customHeight="1" outlineLevel="1">
      <c r="A149" s="55" t="s">
        <v>4089</v>
      </c>
      <c r="B149" s="55" t="s">
        <v>4090</v>
      </c>
    </row>
    <row r="150" ht="12.75" hidden="1" customHeight="1" outlineLevel="1">
      <c r="A150" s="55" t="s">
        <v>4091</v>
      </c>
      <c r="B150" s="55" t="s">
        <v>4092</v>
      </c>
    </row>
    <row r="151" ht="12.75" hidden="1" customHeight="1" outlineLevel="1">
      <c r="A151" s="55" t="s">
        <v>4093</v>
      </c>
      <c r="B151" s="55" t="s">
        <v>4094</v>
      </c>
    </row>
    <row r="152" ht="12.75" hidden="1" customHeight="1" outlineLevel="1">
      <c r="A152" s="55" t="s">
        <v>4095</v>
      </c>
      <c r="B152" s="55" t="s">
        <v>4096</v>
      </c>
    </row>
    <row r="153" ht="12.75" hidden="1" customHeight="1" outlineLevel="1">
      <c r="A153" s="55" t="s">
        <v>4097</v>
      </c>
      <c r="B153" s="55" t="s">
        <v>4098</v>
      </c>
    </row>
    <row r="154" ht="12.75" hidden="1" customHeight="1" outlineLevel="1">
      <c r="A154" s="55" t="s">
        <v>4099</v>
      </c>
      <c r="B154" s="55" t="s">
        <v>4100</v>
      </c>
    </row>
    <row r="155" ht="12.75" hidden="1" customHeight="1" outlineLevel="1">
      <c r="A155" s="55" t="s">
        <v>4101</v>
      </c>
      <c r="B155" s="55" t="s">
        <v>4102</v>
      </c>
    </row>
    <row r="156" ht="12.75" hidden="1" customHeight="1" outlineLevel="1">
      <c r="A156" s="55" t="s">
        <v>4103</v>
      </c>
      <c r="B156" s="55" t="s">
        <v>4104</v>
      </c>
    </row>
    <row r="157" ht="12.75" hidden="1" customHeight="1" outlineLevel="1">
      <c r="A157" s="55" t="s">
        <v>4105</v>
      </c>
      <c r="B157" s="55" t="s">
        <v>4106</v>
      </c>
    </row>
    <row r="158" ht="12.75" hidden="1" customHeight="1" outlineLevel="1">
      <c r="A158" s="55" t="s">
        <v>4107</v>
      </c>
      <c r="B158" s="55" t="s">
        <v>4108</v>
      </c>
    </row>
    <row r="159" ht="12.75" hidden="1" customHeight="1" outlineLevel="1">
      <c r="A159" s="55" t="s">
        <v>4109</v>
      </c>
      <c r="B159" s="55" t="s">
        <v>4110</v>
      </c>
    </row>
    <row r="160" ht="12.75" hidden="1" customHeight="1" outlineLevel="1">
      <c r="A160" s="55" t="s">
        <v>4111</v>
      </c>
      <c r="B160" s="55" t="s">
        <v>4112</v>
      </c>
    </row>
    <row r="161" ht="12.75" hidden="1" customHeight="1" outlineLevel="1">
      <c r="A161" s="55" t="s">
        <v>4113</v>
      </c>
      <c r="B161" s="55" t="s">
        <v>4114</v>
      </c>
    </row>
    <row r="162" ht="12.75" hidden="1" customHeight="1" outlineLevel="1">
      <c r="A162" s="55" t="s">
        <v>4115</v>
      </c>
      <c r="B162" s="55" t="s">
        <v>4116</v>
      </c>
    </row>
    <row r="163" ht="12.75" hidden="1" customHeight="1" outlineLevel="1">
      <c r="A163" s="55" t="s">
        <v>4117</v>
      </c>
      <c r="B163" s="55" t="s">
        <v>4118</v>
      </c>
    </row>
    <row r="164" ht="12.75" hidden="1" customHeight="1" outlineLevel="1">
      <c r="A164" s="55" t="s">
        <v>4119</v>
      </c>
      <c r="B164" s="55" t="s">
        <v>4120</v>
      </c>
    </row>
    <row r="165" ht="12.75" hidden="1" customHeight="1" outlineLevel="1">
      <c r="A165" s="55" t="s">
        <v>4121</v>
      </c>
      <c r="B165" s="55" t="s">
        <v>4122</v>
      </c>
    </row>
    <row r="166" ht="12.75" hidden="1" customHeight="1" outlineLevel="1">
      <c r="A166" s="55" t="s">
        <v>4123</v>
      </c>
      <c r="B166" s="55" t="s">
        <v>4124</v>
      </c>
    </row>
    <row r="167" ht="12.75" hidden="1" customHeight="1" outlineLevel="1">
      <c r="A167" s="55" t="s">
        <v>4125</v>
      </c>
      <c r="B167" s="55" t="s">
        <v>4126</v>
      </c>
    </row>
    <row r="168" ht="12.75" hidden="1" customHeight="1" outlineLevel="1">
      <c r="A168" s="55" t="s">
        <v>4127</v>
      </c>
      <c r="B168" s="55" t="s">
        <v>4128</v>
      </c>
    </row>
    <row r="169" ht="12.75" hidden="1" customHeight="1" outlineLevel="1">
      <c r="A169" s="55" t="s">
        <v>4129</v>
      </c>
      <c r="B169" s="55" t="s">
        <v>4130</v>
      </c>
    </row>
    <row r="170" ht="12.75" hidden="1" customHeight="1" outlineLevel="1">
      <c r="A170" s="55" t="s">
        <v>4131</v>
      </c>
      <c r="B170" s="55" t="s">
        <v>4132</v>
      </c>
    </row>
    <row r="171" ht="12.75" hidden="1" customHeight="1" outlineLevel="1">
      <c r="A171" s="55" t="s">
        <v>4133</v>
      </c>
      <c r="B171" s="55" t="s">
        <v>4134</v>
      </c>
    </row>
    <row r="172" ht="12.75" hidden="1" customHeight="1" outlineLevel="1">
      <c r="A172" s="55" t="s">
        <v>4135</v>
      </c>
      <c r="B172" s="55" t="s">
        <v>4136</v>
      </c>
    </row>
    <row r="173" ht="12.75" hidden="1" customHeight="1" outlineLevel="1">
      <c r="A173" s="55" t="s">
        <v>4137</v>
      </c>
      <c r="B173" s="55" t="s">
        <v>4138</v>
      </c>
    </row>
    <row r="174" ht="12.75" hidden="1" customHeight="1" outlineLevel="1">
      <c r="A174" s="55" t="s">
        <v>4139</v>
      </c>
      <c r="B174" s="55" t="s">
        <v>4140</v>
      </c>
    </row>
    <row r="175" ht="12.75" hidden="1" customHeight="1" outlineLevel="1">
      <c r="A175" s="55" t="s">
        <v>4141</v>
      </c>
      <c r="B175" s="55" t="s">
        <v>4142</v>
      </c>
    </row>
    <row r="176" ht="12.75" hidden="1" customHeight="1" outlineLevel="1">
      <c r="A176" s="55" t="s">
        <v>4143</v>
      </c>
      <c r="B176" s="55" t="s">
        <v>4144</v>
      </c>
    </row>
    <row r="177" ht="12.75" hidden="1" customHeight="1" outlineLevel="1">
      <c r="A177" s="55" t="s">
        <v>4145</v>
      </c>
      <c r="B177" s="55" t="s">
        <v>4146</v>
      </c>
    </row>
    <row r="178" ht="12.75" hidden="1" customHeight="1" outlineLevel="1">
      <c r="A178" s="55" t="s">
        <v>4147</v>
      </c>
      <c r="B178" s="55" t="s">
        <v>4148</v>
      </c>
    </row>
    <row r="179" ht="12.75" hidden="1" customHeight="1" outlineLevel="1">
      <c r="A179" s="55" t="s">
        <v>4149</v>
      </c>
      <c r="B179" s="55" t="s">
        <v>4150</v>
      </c>
    </row>
    <row r="180" ht="12.75" hidden="1" customHeight="1" outlineLevel="1">
      <c r="A180" s="55" t="s">
        <v>4151</v>
      </c>
      <c r="B180" s="55" t="s">
        <v>4152</v>
      </c>
    </row>
    <row r="181" ht="12.75" hidden="1" customHeight="1" outlineLevel="1">
      <c r="A181" s="55" t="s">
        <v>4153</v>
      </c>
      <c r="B181" s="55" t="s">
        <v>4154</v>
      </c>
    </row>
    <row r="182" ht="12.75" hidden="1" customHeight="1" outlineLevel="1">
      <c r="A182" s="55" t="s">
        <v>4155</v>
      </c>
      <c r="B182" s="55" t="s">
        <v>4156</v>
      </c>
    </row>
    <row r="183" ht="12.75" hidden="1" customHeight="1" outlineLevel="1">
      <c r="A183" s="55" t="s">
        <v>4157</v>
      </c>
      <c r="B183" s="55" t="s">
        <v>4158</v>
      </c>
    </row>
    <row r="184" ht="12.75" hidden="1" customHeight="1" outlineLevel="1">
      <c r="A184" s="55" t="s">
        <v>4159</v>
      </c>
      <c r="B184" s="55" t="s">
        <v>4160</v>
      </c>
    </row>
    <row r="185" ht="12.75" hidden="1" customHeight="1" outlineLevel="1">
      <c r="A185" s="55" t="s">
        <v>4161</v>
      </c>
      <c r="B185" s="55" t="s">
        <v>4162</v>
      </c>
    </row>
    <row r="186" ht="12.75" hidden="1" customHeight="1" outlineLevel="1">
      <c r="A186" s="55" t="s">
        <v>4163</v>
      </c>
      <c r="B186" s="55" t="s">
        <v>4164</v>
      </c>
    </row>
    <row r="187" ht="12.75" hidden="1" customHeight="1" outlineLevel="1">
      <c r="A187" s="55" t="s">
        <v>4165</v>
      </c>
      <c r="B187" s="55" t="s">
        <v>4166</v>
      </c>
    </row>
    <row r="188" ht="12.75" hidden="1" customHeight="1" outlineLevel="1">
      <c r="A188" s="55" t="s">
        <v>4167</v>
      </c>
      <c r="B188" s="55" t="s">
        <v>4168</v>
      </c>
    </row>
    <row r="189" ht="12.75" hidden="1" customHeight="1" outlineLevel="1">
      <c r="A189" s="55" t="s">
        <v>4169</v>
      </c>
      <c r="B189" s="55" t="s">
        <v>4170</v>
      </c>
    </row>
    <row r="190" ht="12.75" hidden="1" customHeight="1" outlineLevel="1">
      <c r="A190" s="55" t="s">
        <v>4171</v>
      </c>
      <c r="B190" s="55" t="s">
        <v>4172</v>
      </c>
    </row>
    <row r="191" ht="12.75" hidden="1" customHeight="1" outlineLevel="1">
      <c r="A191" s="55" t="s">
        <v>4173</v>
      </c>
      <c r="B191" s="55" t="s">
        <v>4174</v>
      </c>
    </row>
    <row r="192" ht="12.75" hidden="1" customHeight="1" outlineLevel="1">
      <c r="A192" s="55" t="s">
        <v>4175</v>
      </c>
      <c r="B192" s="55" t="s">
        <v>4176</v>
      </c>
    </row>
    <row r="193" ht="12.75" hidden="1" customHeight="1" outlineLevel="1">
      <c r="A193" s="55" t="s">
        <v>4177</v>
      </c>
      <c r="B193" s="55" t="s">
        <v>4178</v>
      </c>
    </row>
    <row r="194" ht="12.75" hidden="1" customHeight="1" outlineLevel="1">
      <c r="A194" s="55" t="s">
        <v>4179</v>
      </c>
      <c r="B194" s="55" t="s">
        <v>4180</v>
      </c>
    </row>
    <row r="195" ht="12.75" hidden="1" customHeight="1" outlineLevel="1">
      <c r="A195" s="55" t="s">
        <v>4181</v>
      </c>
      <c r="B195" s="55" t="s">
        <v>4182</v>
      </c>
    </row>
    <row r="196" ht="12.75" hidden="1" customHeight="1" outlineLevel="1">
      <c r="A196" s="55" t="s">
        <v>4183</v>
      </c>
      <c r="B196" s="55" t="s">
        <v>4184</v>
      </c>
    </row>
    <row r="197" ht="12.75" hidden="1" customHeight="1" outlineLevel="1">
      <c r="A197" s="55" t="s">
        <v>4185</v>
      </c>
      <c r="B197" s="55" t="s">
        <v>4186</v>
      </c>
    </row>
    <row r="198" ht="12.75" hidden="1" customHeight="1" outlineLevel="1">
      <c r="A198" s="55" t="s">
        <v>4187</v>
      </c>
      <c r="B198" s="55" t="s">
        <v>4188</v>
      </c>
    </row>
    <row r="199" ht="12.75" hidden="1" customHeight="1" outlineLevel="1">
      <c r="A199" s="55" t="s">
        <v>4189</v>
      </c>
      <c r="B199" s="55" t="s">
        <v>4190</v>
      </c>
    </row>
    <row r="200" ht="12.75" hidden="1" customHeight="1" outlineLevel="1">
      <c r="A200" s="55" t="s">
        <v>4191</v>
      </c>
      <c r="B200" s="55" t="s">
        <v>4192</v>
      </c>
    </row>
    <row r="201" ht="12.75" hidden="1" customHeight="1" outlineLevel="1">
      <c r="A201" s="55" t="s">
        <v>4193</v>
      </c>
      <c r="B201" s="55" t="s">
        <v>4194</v>
      </c>
    </row>
    <row r="202" ht="12.75" hidden="1" customHeight="1" outlineLevel="1">
      <c r="A202" s="55" t="s">
        <v>4195</v>
      </c>
      <c r="B202" s="55" t="s">
        <v>4196</v>
      </c>
    </row>
    <row r="203" ht="12.75" hidden="1" customHeight="1" outlineLevel="1">
      <c r="A203" s="55" t="s">
        <v>4197</v>
      </c>
      <c r="B203" s="55" t="s">
        <v>4198</v>
      </c>
    </row>
    <row r="204" ht="12.75" hidden="1" customHeight="1" outlineLevel="1">
      <c r="A204" s="55" t="s">
        <v>4199</v>
      </c>
      <c r="B204" s="55" t="s">
        <v>4200</v>
      </c>
    </row>
    <row r="205" ht="12.75" hidden="1" customHeight="1" outlineLevel="1">
      <c r="A205" s="55" t="s">
        <v>4201</v>
      </c>
      <c r="B205" s="55" t="s">
        <v>4202</v>
      </c>
    </row>
    <row r="206" ht="12.75" hidden="1" customHeight="1" outlineLevel="1">
      <c r="A206" s="55" t="s">
        <v>4203</v>
      </c>
      <c r="B206" s="55" t="s">
        <v>4204</v>
      </c>
    </row>
    <row r="207" ht="12.75" hidden="1" customHeight="1" outlineLevel="1">
      <c r="A207" s="55" t="s">
        <v>4205</v>
      </c>
      <c r="B207" s="55" t="s">
        <v>4206</v>
      </c>
    </row>
    <row r="208" ht="12.75" hidden="1" customHeight="1" outlineLevel="1">
      <c r="A208" s="55" t="s">
        <v>4207</v>
      </c>
      <c r="B208" s="55" t="s">
        <v>4208</v>
      </c>
    </row>
    <row r="209" ht="12.75" hidden="1" customHeight="1" outlineLevel="1">
      <c r="A209" s="55" t="s">
        <v>4209</v>
      </c>
      <c r="B209" s="55" t="s">
        <v>4210</v>
      </c>
    </row>
    <row r="210" ht="12.75" hidden="1" customHeight="1" outlineLevel="1">
      <c r="A210" s="55" t="s">
        <v>4211</v>
      </c>
      <c r="B210" s="55" t="s">
        <v>4212</v>
      </c>
    </row>
    <row r="211" ht="12.75" hidden="1" customHeight="1" outlineLevel="1">
      <c r="A211" s="55" t="s">
        <v>4213</v>
      </c>
      <c r="B211" s="55" t="s">
        <v>4214</v>
      </c>
    </row>
    <row r="212" ht="12.75" hidden="1" customHeight="1" outlineLevel="1">
      <c r="A212" s="55" t="s">
        <v>4215</v>
      </c>
      <c r="B212" s="55" t="s">
        <v>4216</v>
      </c>
    </row>
    <row r="213" ht="12.75" hidden="1" customHeight="1" outlineLevel="1">
      <c r="A213" s="55" t="s">
        <v>4217</v>
      </c>
      <c r="B213" s="55" t="s">
        <v>4218</v>
      </c>
    </row>
    <row r="214" ht="12.75" hidden="1" customHeight="1" outlineLevel="1">
      <c r="A214" s="55" t="s">
        <v>4219</v>
      </c>
      <c r="B214" s="55" t="s">
        <v>4220</v>
      </c>
    </row>
    <row r="215" ht="12.75" hidden="1" customHeight="1" outlineLevel="1">
      <c r="A215" s="55" t="s">
        <v>4221</v>
      </c>
      <c r="B215" s="55" t="s">
        <v>4222</v>
      </c>
    </row>
    <row r="216" ht="12.75" hidden="1" customHeight="1" outlineLevel="1">
      <c r="A216" s="55" t="s">
        <v>4223</v>
      </c>
      <c r="B216" s="55" t="s">
        <v>4224</v>
      </c>
    </row>
    <row r="217" ht="12.75" hidden="1" customHeight="1" outlineLevel="1">
      <c r="A217" s="55" t="s">
        <v>4225</v>
      </c>
      <c r="B217" s="55" t="s">
        <v>4226</v>
      </c>
    </row>
    <row r="218" ht="12.75" hidden="1" customHeight="1" outlineLevel="1">
      <c r="A218" s="55" t="s">
        <v>4227</v>
      </c>
      <c r="B218" s="55" t="s">
        <v>4228</v>
      </c>
    </row>
    <row r="219" ht="12.75" hidden="1" customHeight="1" outlineLevel="1">
      <c r="A219" s="55" t="s">
        <v>4229</v>
      </c>
      <c r="B219" s="55" t="s">
        <v>4230</v>
      </c>
    </row>
    <row r="220" ht="12.75" hidden="1" customHeight="1" outlineLevel="1">
      <c r="A220" s="55" t="s">
        <v>4231</v>
      </c>
      <c r="B220" s="55" t="s">
        <v>4232</v>
      </c>
    </row>
    <row r="221" ht="12.75" hidden="1" customHeight="1" outlineLevel="1">
      <c r="A221" s="55" t="s">
        <v>4233</v>
      </c>
      <c r="B221" s="55" t="s">
        <v>4234</v>
      </c>
    </row>
    <row r="222" ht="12.75" hidden="1" customHeight="1" outlineLevel="1">
      <c r="A222" s="55" t="s">
        <v>4235</v>
      </c>
      <c r="B222" s="55" t="s">
        <v>4236</v>
      </c>
    </row>
    <row r="223" ht="12.75" hidden="1" customHeight="1" outlineLevel="1">
      <c r="A223" s="55" t="s">
        <v>4237</v>
      </c>
      <c r="B223" s="55" t="s">
        <v>4238</v>
      </c>
    </row>
    <row r="224" ht="12.75" hidden="1" customHeight="1" outlineLevel="1">
      <c r="A224" s="55" t="s">
        <v>4239</v>
      </c>
      <c r="B224" s="55" t="s">
        <v>4240</v>
      </c>
    </row>
    <row r="225" ht="12.75" hidden="1" customHeight="1" outlineLevel="1">
      <c r="A225" s="55" t="s">
        <v>4241</v>
      </c>
      <c r="B225" s="55" t="s">
        <v>4242</v>
      </c>
    </row>
    <row r="226" ht="12.75" hidden="1" customHeight="1" outlineLevel="1">
      <c r="A226" s="55" t="s">
        <v>4243</v>
      </c>
      <c r="B226" s="55" t="s">
        <v>4244</v>
      </c>
    </row>
    <row r="227" ht="12.75" hidden="1" customHeight="1" outlineLevel="1">
      <c r="A227" s="55" t="s">
        <v>4245</v>
      </c>
      <c r="B227" s="55" t="s">
        <v>4246</v>
      </c>
    </row>
    <row r="228" ht="12.75" hidden="1" customHeight="1" outlineLevel="1">
      <c r="A228" s="55" t="s">
        <v>4247</v>
      </c>
      <c r="B228" s="55" t="s">
        <v>4248</v>
      </c>
    </row>
    <row r="229" ht="12.75" hidden="1" customHeight="1" outlineLevel="1">
      <c r="A229" s="55" t="s">
        <v>4249</v>
      </c>
      <c r="B229" s="55" t="s">
        <v>4250</v>
      </c>
    </row>
    <row r="230" ht="12.75" hidden="1" customHeight="1" outlineLevel="1">
      <c r="A230" s="55" t="s">
        <v>4251</v>
      </c>
      <c r="B230" s="55" t="s">
        <v>4252</v>
      </c>
    </row>
    <row r="231" ht="12.75" hidden="1" customHeight="1" outlineLevel="1">
      <c r="A231" s="55" t="s">
        <v>4253</v>
      </c>
      <c r="B231" s="55" t="s">
        <v>4254</v>
      </c>
    </row>
    <row r="232" ht="12.75" hidden="1" customHeight="1" outlineLevel="1">
      <c r="A232" s="55" t="s">
        <v>4255</v>
      </c>
      <c r="B232" s="55" t="s">
        <v>4256</v>
      </c>
    </row>
    <row r="233" ht="12.75" hidden="1" customHeight="1" outlineLevel="1">
      <c r="A233" s="55" t="s">
        <v>4257</v>
      </c>
      <c r="B233" s="55" t="s">
        <v>4258</v>
      </c>
    </row>
    <row r="234" ht="12.75" hidden="1" customHeight="1" outlineLevel="1">
      <c r="A234" s="55" t="s">
        <v>4259</v>
      </c>
      <c r="B234" s="55" t="s">
        <v>4260</v>
      </c>
    </row>
    <row r="235" ht="12.75" hidden="1" customHeight="1" outlineLevel="1">
      <c r="A235" s="55" t="s">
        <v>4261</v>
      </c>
      <c r="B235" s="55" t="s">
        <v>4262</v>
      </c>
    </row>
    <row r="236" ht="12.75" hidden="1" customHeight="1" outlineLevel="1">
      <c r="A236" s="55" t="s">
        <v>4263</v>
      </c>
      <c r="B236" s="55" t="s">
        <v>4264</v>
      </c>
    </row>
    <row r="237" ht="12.75" hidden="1" customHeight="1" outlineLevel="1">
      <c r="A237" s="55" t="s">
        <v>4265</v>
      </c>
      <c r="B237" s="55" t="s">
        <v>4266</v>
      </c>
    </row>
    <row r="238" ht="12.75" hidden="1" customHeight="1" outlineLevel="1">
      <c r="A238" s="55" t="s">
        <v>4267</v>
      </c>
      <c r="B238" s="55" t="s">
        <v>4268</v>
      </c>
    </row>
    <row r="239" ht="12.75" hidden="1" customHeight="1" outlineLevel="1">
      <c r="A239" s="55" t="s">
        <v>4269</v>
      </c>
      <c r="B239" s="55" t="s">
        <v>4270</v>
      </c>
    </row>
    <row r="240" ht="12.75" hidden="1" customHeight="1" outlineLevel="1">
      <c r="A240" s="55" t="s">
        <v>4271</v>
      </c>
      <c r="B240" s="55" t="s">
        <v>4272</v>
      </c>
    </row>
    <row r="241" ht="12.75" hidden="1" customHeight="1" outlineLevel="1">
      <c r="A241" s="55" t="s">
        <v>4273</v>
      </c>
      <c r="B241" s="55" t="s">
        <v>4274</v>
      </c>
    </row>
    <row r="242" ht="12.75" hidden="1" customHeight="1" outlineLevel="1">
      <c r="A242" s="55" t="s">
        <v>4275</v>
      </c>
      <c r="B242" s="55" t="s">
        <v>4276</v>
      </c>
    </row>
    <row r="243" ht="12.75" hidden="1" customHeight="1" outlineLevel="1">
      <c r="A243" s="55" t="s">
        <v>4277</v>
      </c>
      <c r="B243" s="55" t="s">
        <v>4278</v>
      </c>
    </row>
    <row r="244" ht="12.75" hidden="1" customHeight="1" outlineLevel="1">
      <c r="A244" s="55" t="s">
        <v>4279</v>
      </c>
      <c r="B244" s="55" t="s">
        <v>4280</v>
      </c>
    </row>
    <row r="245" ht="12.75" hidden="1" customHeight="1" outlineLevel="1">
      <c r="A245" s="55" t="s">
        <v>4281</v>
      </c>
      <c r="B245" s="55" t="s">
        <v>4282</v>
      </c>
    </row>
    <row r="246" ht="12.75" hidden="1" customHeight="1" outlineLevel="1">
      <c r="A246" s="55" t="s">
        <v>4283</v>
      </c>
      <c r="B246" s="55" t="s">
        <v>4284</v>
      </c>
    </row>
    <row r="247" ht="12.75" hidden="1" customHeight="1" outlineLevel="1">
      <c r="A247" s="55" t="s">
        <v>4285</v>
      </c>
      <c r="B247" s="55" t="s">
        <v>4286</v>
      </c>
    </row>
    <row r="248" ht="12.75" hidden="1" customHeight="1" outlineLevel="1">
      <c r="A248" s="55" t="s">
        <v>4287</v>
      </c>
      <c r="B248" s="55" t="s">
        <v>4288</v>
      </c>
    </row>
    <row r="249" ht="12.75" hidden="1" customHeight="1" outlineLevel="1">
      <c r="A249" s="55" t="s">
        <v>4289</v>
      </c>
      <c r="B249" s="55" t="s">
        <v>4290</v>
      </c>
    </row>
    <row r="250" ht="12.75" hidden="1" customHeight="1" outlineLevel="1">
      <c r="A250" s="55" t="s">
        <v>4291</v>
      </c>
      <c r="B250" s="55" t="s">
        <v>4292</v>
      </c>
    </row>
    <row r="251" ht="12.75" hidden="1" customHeight="1" outlineLevel="1">
      <c r="A251" s="55" t="s">
        <v>4293</v>
      </c>
      <c r="B251" s="55" t="s">
        <v>4294</v>
      </c>
    </row>
    <row r="252" ht="12.75" hidden="1" customHeight="1" outlineLevel="1">
      <c r="A252" s="55" t="s">
        <v>4295</v>
      </c>
      <c r="B252" s="55" t="s">
        <v>4296</v>
      </c>
    </row>
    <row r="253" ht="12.75" hidden="1" customHeight="1" outlineLevel="1">
      <c r="A253" s="55" t="s">
        <v>4297</v>
      </c>
      <c r="B253" s="55" t="s">
        <v>4298</v>
      </c>
    </row>
    <row r="254" ht="12.75" hidden="1" customHeight="1" outlineLevel="1">
      <c r="A254" s="55" t="s">
        <v>4299</v>
      </c>
      <c r="B254" s="55" t="s">
        <v>4300</v>
      </c>
    </row>
    <row r="255" ht="12.75" hidden="1" customHeight="1" outlineLevel="1">
      <c r="A255" s="55" t="s">
        <v>4301</v>
      </c>
      <c r="B255" s="55" t="s">
        <v>4302</v>
      </c>
    </row>
    <row r="256" ht="12.75" hidden="1" customHeight="1" outlineLevel="1">
      <c r="A256" s="55" t="s">
        <v>4303</v>
      </c>
      <c r="B256" s="55" t="s">
        <v>4304</v>
      </c>
    </row>
    <row r="257" ht="12.75" hidden="1" customHeight="1" outlineLevel="1">
      <c r="A257" s="55" t="s">
        <v>4305</v>
      </c>
      <c r="B257" s="55" t="s">
        <v>4306</v>
      </c>
    </row>
    <row r="258" ht="12.75" hidden="1" customHeight="1" outlineLevel="1">
      <c r="A258" s="55" t="s">
        <v>4307</v>
      </c>
      <c r="B258" s="55" t="s">
        <v>4308</v>
      </c>
    </row>
    <row r="259" ht="12.75" hidden="1" customHeight="1" outlineLevel="1">
      <c r="A259" s="55" t="s">
        <v>4309</v>
      </c>
      <c r="B259" s="55" t="s">
        <v>4310</v>
      </c>
    </row>
    <row r="260" ht="12.75" hidden="1" customHeight="1" outlineLevel="1">
      <c r="A260" s="55" t="s">
        <v>4311</v>
      </c>
      <c r="B260" s="55" t="s">
        <v>4312</v>
      </c>
    </row>
    <row r="261" ht="12.75" hidden="1" customHeight="1" outlineLevel="1">
      <c r="A261" s="55" t="s">
        <v>4313</v>
      </c>
      <c r="B261" s="55" t="s">
        <v>4314</v>
      </c>
    </row>
    <row r="262" ht="12.75" hidden="1" customHeight="1" outlineLevel="1">
      <c r="A262" s="55" t="s">
        <v>4315</v>
      </c>
      <c r="B262" s="55" t="s">
        <v>4316</v>
      </c>
    </row>
    <row r="263" ht="12.75" hidden="1" customHeight="1" outlineLevel="1">
      <c r="A263" s="55" t="s">
        <v>4317</v>
      </c>
      <c r="B263" s="55" t="s">
        <v>4318</v>
      </c>
    </row>
    <row r="264" ht="12.75" hidden="1" customHeight="1" outlineLevel="1">
      <c r="A264" s="55" t="s">
        <v>4319</v>
      </c>
      <c r="B264" s="55" t="s">
        <v>4320</v>
      </c>
    </row>
    <row r="265" ht="12.75" hidden="1" customHeight="1" outlineLevel="1">
      <c r="A265" s="55" t="s">
        <v>4321</v>
      </c>
      <c r="B265" s="55" t="s">
        <v>4322</v>
      </c>
    </row>
    <row r="266" ht="12.75" hidden="1" customHeight="1" outlineLevel="1">
      <c r="A266" s="55" t="s">
        <v>4323</v>
      </c>
      <c r="B266" s="55" t="s">
        <v>4324</v>
      </c>
    </row>
    <row r="267" ht="12.75" hidden="1" customHeight="1" outlineLevel="1">
      <c r="A267" s="55" t="s">
        <v>4325</v>
      </c>
      <c r="B267" s="55" t="s">
        <v>4326</v>
      </c>
    </row>
    <row r="268" ht="12.75" hidden="1" customHeight="1" outlineLevel="1">
      <c r="A268" s="55" t="s">
        <v>4327</v>
      </c>
      <c r="B268" s="55" t="s">
        <v>4328</v>
      </c>
    </row>
    <row r="269" ht="12.75" hidden="1" customHeight="1" outlineLevel="1">
      <c r="A269" s="55" t="s">
        <v>4329</v>
      </c>
      <c r="B269" s="55" t="s">
        <v>4330</v>
      </c>
    </row>
    <row r="270" ht="12.75" hidden="1" customHeight="1" outlineLevel="1">
      <c r="A270" s="55" t="s">
        <v>4331</v>
      </c>
      <c r="B270" s="55" t="s">
        <v>4332</v>
      </c>
    </row>
    <row r="271" ht="12.75" hidden="1" customHeight="1" outlineLevel="1">
      <c r="A271" s="55" t="s">
        <v>4333</v>
      </c>
      <c r="B271" s="55" t="s">
        <v>4334</v>
      </c>
    </row>
    <row r="272" ht="12.75" hidden="1" customHeight="1" outlineLevel="1">
      <c r="A272" s="55" t="s">
        <v>4335</v>
      </c>
      <c r="B272" s="55" t="s">
        <v>4336</v>
      </c>
    </row>
    <row r="273" ht="12.75" hidden="1" customHeight="1" outlineLevel="1">
      <c r="A273" s="55" t="s">
        <v>4337</v>
      </c>
      <c r="B273" s="55" t="s">
        <v>4338</v>
      </c>
    </row>
    <row r="274" ht="12.75" hidden="1" customHeight="1" outlineLevel="1">
      <c r="A274" s="55" t="s">
        <v>4339</v>
      </c>
      <c r="B274" s="55" t="s">
        <v>4340</v>
      </c>
    </row>
    <row r="275" ht="12.75" hidden="1" customHeight="1" outlineLevel="1">
      <c r="A275" s="55" t="s">
        <v>4341</v>
      </c>
      <c r="B275" s="55" t="s">
        <v>4342</v>
      </c>
    </row>
    <row r="276" ht="12.75" hidden="1" customHeight="1" outlineLevel="1">
      <c r="A276" s="55" t="s">
        <v>4343</v>
      </c>
      <c r="B276" s="55" t="s">
        <v>4344</v>
      </c>
    </row>
    <row r="277" ht="12.75" hidden="1" customHeight="1" outlineLevel="1">
      <c r="A277" s="55" t="s">
        <v>4345</v>
      </c>
      <c r="B277" s="55" t="s">
        <v>4346</v>
      </c>
    </row>
    <row r="278" ht="12.75" hidden="1" customHeight="1" outlineLevel="1">
      <c r="A278" s="55" t="s">
        <v>4347</v>
      </c>
      <c r="B278" s="55" t="s">
        <v>4348</v>
      </c>
    </row>
    <row r="279" ht="12.75" hidden="1" customHeight="1" outlineLevel="1">
      <c r="A279" s="55" t="s">
        <v>4349</v>
      </c>
      <c r="B279" s="55" t="s">
        <v>4350</v>
      </c>
    </row>
    <row r="280" ht="12.75" hidden="1" customHeight="1" outlineLevel="1">
      <c r="A280" s="55" t="s">
        <v>4351</v>
      </c>
      <c r="B280" s="55" t="s">
        <v>4352</v>
      </c>
    </row>
    <row r="281" ht="12.75" hidden="1" customHeight="1" outlineLevel="1">
      <c r="A281" s="55" t="s">
        <v>4353</v>
      </c>
      <c r="B281" s="55" t="s">
        <v>4354</v>
      </c>
    </row>
    <row r="282" ht="12.75" hidden="1" customHeight="1" outlineLevel="1">
      <c r="A282" s="55" t="s">
        <v>4355</v>
      </c>
      <c r="B282" s="55" t="s">
        <v>4356</v>
      </c>
    </row>
    <row r="283" ht="12.75" hidden="1" customHeight="1" outlineLevel="1">
      <c r="A283" s="55" t="s">
        <v>4357</v>
      </c>
      <c r="B283" s="55" t="s">
        <v>4358</v>
      </c>
    </row>
    <row r="284" ht="12.75" hidden="1" customHeight="1" outlineLevel="1">
      <c r="A284" s="55" t="s">
        <v>4359</v>
      </c>
      <c r="B284" s="55" t="s">
        <v>4360</v>
      </c>
    </row>
    <row r="285" ht="12.75" hidden="1" customHeight="1" outlineLevel="1">
      <c r="A285" s="55" t="s">
        <v>4361</v>
      </c>
      <c r="B285" s="55" t="s">
        <v>4362</v>
      </c>
    </row>
    <row r="286" ht="12.75" hidden="1" customHeight="1" outlineLevel="1">
      <c r="A286" s="55" t="s">
        <v>4363</v>
      </c>
      <c r="B286" s="55" t="s">
        <v>4364</v>
      </c>
    </row>
    <row r="287" ht="12.75" hidden="1" customHeight="1" outlineLevel="1">
      <c r="A287" s="55" t="s">
        <v>4365</v>
      </c>
      <c r="B287" s="55" t="s">
        <v>4366</v>
      </c>
    </row>
    <row r="288" ht="12.75" hidden="1" customHeight="1" outlineLevel="1">
      <c r="A288" s="55" t="s">
        <v>4367</v>
      </c>
      <c r="B288" s="55" t="s">
        <v>4368</v>
      </c>
    </row>
    <row r="289" ht="12.75" hidden="1" customHeight="1" outlineLevel="1">
      <c r="A289" s="55" t="s">
        <v>4369</v>
      </c>
      <c r="B289" s="55" t="s">
        <v>4370</v>
      </c>
    </row>
    <row r="290" ht="12.75" hidden="1" customHeight="1" outlineLevel="1">
      <c r="A290" s="55" t="s">
        <v>4371</v>
      </c>
      <c r="B290" s="55" t="s">
        <v>4372</v>
      </c>
    </row>
    <row r="291" ht="12.75" hidden="1" customHeight="1" outlineLevel="1">
      <c r="A291" s="55" t="s">
        <v>4373</v>
      </c>
      <c r="B291" s="55" t="s">
        <v>4374</v>
      </c>
    </row>
    <row r="292" ht="12.75" hidden="1" customHeight="1" outlineLevel="1">
      <c r="A292" s="55" t="s">
        <v>4375</v>
      </c>
      <c r="B292" s="55" t="s">
        <v>4376</v>
      </c>
    </row>
    <row r="293" ht="12.75" hidden="1" customHeight="1" outlineLevel="1">
      <c r="A293" s="55" t="s">
        <v>4377</v>
      </c>
      <c r="B293" s="55" t="s">
        <v>4378</v>
      </c>
    </row>
    <row r="294" ht="12.75" hidden="1" customHeight="1" outlineLevel="1">
      <c r="A294" s="55" t="s">
        <v>4379</v>
      </c>
      <c r="B294" s="55" t="s">
        <v>4380</v>
      </c>
    </row>
    <row r="295" ht="12.75" hidden="1" customHeight="1" outlineLevel="1">
      <c r="A295" s="55" t="s">
        <v>4381</v>
      </c>
      <c r="B295" s="55" t="s">
        <v>4382</v>
      </c>
    </row>
    <row r="296" ht="12.75" hidden="1" customHeight="1" outlineLevel="1">
      <c r="A296" s="55" t="s">
        <v>4383</v>
      </c>
      <c r="B296" s="55" t="s">
        <v>4384</v>
      </c>
    </row>
    <row r="297" ht="12.75" hidden="1" customHeight="1" outlineLevel="1">
      <c r="A297" s="55" t="s">
        <v>4385</v>
      </c>
      <c r="B297" s="55" t="s">
        <v>4386</v>
      </c>
    </row>
    <row r="298" ht="12.75" hidden="1" customHeight="1" outlineLevel="1">
      <c r="A298" s="55" t="s">
        <v>4387</v>
      </c>
      <c r="B298" s="55" t="s">
        <v>4388</v>
      </c>
    </row>
    <row r="299" ht="12.75" hidden="1" customHeight="1" outlineLevel="1">
      <c r="A299" s="55" t="s">
        <v>4389</v>
      </c>
      <c r="B299" s="55" t="s">
        <v>4390</v>
      </c>
    </row>
    <row r="300" ht="12.75" hidden="1" customHeight="1" outlineLevel="1">
      <c r="A300" s="55" t="s">
        <v>4391</v>
      </c>
      <c r="B300" s="55" t="s">
        <v>4392</v>
      </c>
    </row>
    <row r="301" ht="12.75" hidden="1" customHeight="1" outlineLevel="1">
      <c r="A301" s="55" t="s">
        <v>4393</v>
      </c>
      <c r="B301" s="55" t="s">
        <v>4394</v>
      </c>
    </row>
    <row r="302" ht="12.75" hidden="1" customHeight="1" outlineLevel="1">
      <c r="A302" s="55" t="s">
        <v>4395</v>
      </c>
      <c r="B302" s="55" t="s">
        <v>4396</v>
      </c>
    </row>
    <row r="303" ht="12.75" hidden="1" customHeight="1" outlineLevel="1">
      <c r="A303" s="55" t="s">
        <v>4397</v>
      </c>
      <c r="B303" s="55" t="s">
        <v>4398</v>
      </c>
    </row>
    <row r="304" ht="12.75" hidden="1" customHeight="1" outlineLevel="1">
      <c r="A304" s="55" t="s">
        <v>4399</v>
      </c>
      <c r="B304" s="55" t="s">
        <v>4400</v>
      </c>
    </row>
    <row r="305" ht="12.75" hidden="1" customHeight="1" outlineLevel="1">
      <c r="A305" s="55" t="s">
        <v>4401</v>
      </c>
      <c r="B305" s="55" t="s">
        <v>4402</v>
      </c>
    </row>
    <row r="306" ht="12.75" hidden="1" customHeight="1" outlineLevel="1">
      <c r="A306" s="55" t="s">
        <v>4403</v>
      </c>
      <c r="B306" s="55" t="s">
        <v>4404</v>
      </c>
    </row>
    <row r="307" ht="12.75" hidden="1" customHeight="1" outlineLevel="1">
      <c r="A307" s="55" t="s">
        <v>4405</v>
      </c>
      <c r="B307" s="55" t="s">
        <v>4406</v>
      </c>
    </row>
    <row r="308" ht="12.75" hidden="1" customHeight="1" outlineLevel="1">
      <c r="A308" s="55" t="s">
        <v>4407</v>
      </c>
      <c r="B308" s="55" t="s">
        <v>4408</v>
      </c>
    </row>
    <row r="309" ht="12.75" hidden="1" customHeight="1" outlineLevel="1">
      <c r="A309" s="55" t="s">
        <v>4409</v>
      </c>
      <c r="B309" s="55" t="s">
        <v>4410</v>
      </c>
    </row>
    <row r="310" ht="12.75" hidden="1" customHeight="1" outlineLevel="1">
      <c r="A310" s="55" t="s">
        <v>4411</v>
      </c>
      <c r="B310" s="55" t="s">
        <v>4412</v>
      </c>
    </row>
    <row r="311" ht="12.75" hidden="1" customHeight="1" outlineLevel="1">
      <c r="A311" s="55" t="s">
        <v>4413</v>
      </c>
      <c r="B311" s="55" t="s">
        <v>4414</v>
      </c>
    </row>
    <row r="312" ht="12.75" hidden="1" customHeight="1" outlineLevel="1">
      <c r="A312" s="55" t="s">
        <v>4415</v>
      </c>
      <c r="B312" s="55" t="s">
        <v>4416</v>
      </c>
    </row>
    <row r="313" ht="12.75" hidden="1" customHeight="1" outlineLevel="1">
      <c r="A313" s="55" t="s">
        <v>4417</v>
      </c>
      <c r="B313" s="55" t="s">
        <v>4418</v>
      </c>
    </row>
    <row r="314" ht="12.75" hidden="1" customHeight="1" outlineLevel="1">
      <c r="A314" s="55" t="s">
        <v>4419</v>
      </c>
      <c r="B314" s="55" t="s">
        <v>4420</v>
      </c>
    </row>
    <row r="315" ht="12.75" hidden="1" customHeight="1" outlineLevel="1">
      <c r="A315" s="55" t="s">
        <v>4421</v>
      </c>
      <c r="B315" s="55" t="s">
        <v>4422</v>
      </c>
    </row>
    <row r="316" ht="12.75" hidden="1" customHeight="1" outlineLevel="1">
      <c r="A316" s="55" t="s">
        <v>4423</v>
      </c>
      <c r="B316" s="55" t="s">
        <v>4424</v>
      </c>
    </row>
    <row r="317" ht="12.75" hidden="1" customHeight="1" outlineLevel="1">
      <c r="A317" s="55" t="s">
        <v>4425</v>
      </c>
      <c r="B317" s="55" t="s">
        <v>4426</v>
      </c>
    </row>
    <row r="318" ht="12.75" hidden="1" customHeight="1" outlineLevel="1">
      <c r="A318" s="55" t="s">
        <v>4427</v>
      </c>
      <c r="B318" s="55" t="s">
        <v>4428</v>
      </c>
    </row>
    <row r="319" ht="12.75" hidden="1" customHeight="1" outlineLevel="1">
      <c r="A319" s="55" t="s">
        <v>4429</v>
      </c>
      <c r="B319" s="55" t="s">
        <v>4430</v>
      </c>
    </row>
    <row r="320" ht="12.75" hidden="1" customHeight="1" outlineLevel="1">
      <c r="A320" s="55" t="s">
        <v>4431</v>
      </c>
      <c r="B320" s="55" t="s">
        <v>4432</v>
      </c>
    </row>
    <row r="321" ht="12.75" hidden="1" customHeight="1" outlineLevel="1">
      <c r="A321" s="55" t="s">
        <v>4433</v>
      </c>
      <c r="B321" s="55" t="s">
        <v>4434</v>
      </c>
    </row>
    <row r="322" ht="12.75" hidden="1" customHeight="1" outlineLevel="1">
      <c r="A322" s="55" t="s">
        <v>4435</v>
      </c>
      <c r="B322" s="55" t="s">
        <v>4436</v>
      </c>
    </row>
    <row r="323" ht="12.75" hidden="1" customHeight="1" outlineLevel="1">
      <c r="A323" s="55" t="s">
        <v>4437</v>
      </c>
      <c r="B323" s="55" t="s">
        <v>4438</v>
      </c>
    </row>
    <row r="324" ht="12.75" hidden="1" customHeight="1" outlineLevel="1">
      <c r="A324" s="55" t="s">
        <v>4439</v>
      </c>
      <c r="B324" s="55" t="s">
        <v>4440</v>
      </c>
    </row>
    <row r="325" ht="12.75" hidden="1" customHeight="1" outlineLevel="1">
      <c r="A325" s="55" t="s">
        <v>4441</v>
      </c>
      <c r="B325" s="55" t="s">
        <v>4442</v>
      </c>
    </row>
    <row r="326" ht="12.75" hidden="1" customHeight="1" outlineLevel="1">
      <c r="A326" s="55" t="s">
        <v>4443</v>
      </c>
      <c r="B326" s="55" t="s">
        <v>4444</v>
      </c>
    </row>
    <row r="327" ht="12.75" hidden="1" customHeight="1" outlineLevel="1">
      <c r="A327" s="55" t="s">
        <v>4445</v>
      </c>
      <c r="B327" s="55" t="s">
        <v>4446</v>
      </c>
    </row>
    <row r="328" ht="12.75" hidden="1" customHeight="1" outlineLevel="1">
      <c r="A328" s="55" t="s">
        <v>4447</v>
      </c>
      <c r="B328" s="55" t="s">
        <v>4448</v>
      </c>
    </row>
    <row r="329" ht="12.75" hidden="1" customHeight="1" outlineLevel="1">
      <c r="A329" s="55" t="s">
        <v>4449</v>
      </c>
      <c r="B329" s="55" t="s">
        <v>4450</v>
      </c>
    </row>
    <row r="330" ht="12.75" hidden="1" customHeight="1" outlineLevel="1">
      <c r="A330" s="55" t="s">
        <v>4451</v>
      </c>
      <c r="B330" s="55" t="s">
        <v>4452</v>
      </c>
    </row>
    <row r="331" ht="12.75" hidden="1" customHeight="1" outlineLevel="1">
      <c r="A331" s="55" t="s">
        <v>4453</v>
      </c>
      <c r="B331" s="55" t="s">
        <v>4454</v>
      </c>
    </row>
    <row r="332" ht="12.75" hidden="1" customHeight="1" outlineLevel="1">
      <c r="A332" s="55" t="s">
        <v>4455</v>
      </c>
      <c r="B332" s="55" t="s">
        <v>4456</v>
      </c>
    </row>
    <row r="333" ht="12.75" hidden="1" customHeight="1" outlineLevel="1">
      <c r="A333" s="55" t="s">
        <v>4457</v>
      </c>
      <c r="B333" s="55" t="s">
        <v>4458</v>
      </c>
    </row>
    <row r="334" ht="12.75" hidden="1" customHeight="1" outlineLevel="1">
      <c r="A334" s="55" t="s">
        <v>4459</v>
      </c>
      <c r="B334" s="55" t="s">
        <v>4460</v>
      </c>
    </row>
    <row r="335" ht="12.75" hidden="1" customHeight="1" outlineLevel="1">
      <c r="A335" s="55" t="s">
        <v>4461</v>
      </c>
      <c r="B335" s="55" t="s">
        <v>4462</v>
      </c>
    </row>
    <row r="336" ht="12.75" hidden="1" customHeight="1" outlineLevel="1">
      <c r="A336" s="55" t="s">
        <v>4463</v>
      </c>
      <c r="B336" s="55" t="s">
        <v>4464</v>
      </c>
    </row>
    <row r="337" ht="12.75" hidden="1" customHeight="1" outlineLevel="1">
      <c r="A337" s="55" t="s">
        <v>4465</v>
      </c>
      <c r="B337" s="55" t="s">
        <v>4466</v>
      </c>
    </row>
    <row r="338" ht="12.75" hidden="1" customHeight="1" outlineLevel="1">
      <c r="A338" s="55" t="s">
        <v>4467</v>
      </c>
      <c r="B338" s="55" t="s">
        <v>4468</v>
      </c>
    </row>
    <row r="339" ht="12.75" hidden="1" customHeight="1" outlineLevel="1">
      <c r="A339" s="55" t="s">
        <v>4469</v>
      </c>
      <c r="B339" s="55" t="s">
        <v>4470</v>
      </c>
    </row>
    <row r="340" ht="12.75" hidden="1" customHeight="1" outlineLevel="1">
      <c r="A340" s="55" t="s">
        <v>4471</v>
      </c>
      <c r="B340" s="55" t="s">
        <v>4472</v>
      </c>
    </row>
    <row r="341" ht="12.75" hidden="1" customHeight="1" outlineLevel="1">
      <c r="A341" s="55" t="s">
        <v>4473</v>
      </c>
      <c r="B341" s="55" t="s">
        <v>4474</v>
      </c>
    </row>
    <row r="342" ht="12.75" hidden="1" customHeight="1" outlineLevel="1">
      <c r="A342" s="55" t="s">
        <v>4475</v>
      </c>
      <c r="B342" s="55" t="s">
        <v>4476</v>
      </c>
    </row>
    <row r="343" ht="12.75" hidden="1" customHeight="1" outlineLevel="1">
      <c r="A343" s="55" t="s">
        <v>4477</v>
      </c>
      <c r="B343" s="55" t="s">
        <v>4478</v>
      </c>
    </row>
    <row r="344" ht="12.75" hidden="1" customHeight="1" outlineLevel="1">
      <c r="A344" s="55" t="s">
        <v>4479</v>
      </c>
      <c r="B344" s="55" t="s">
        <v>4480</v>
      </c>
    </row>
    <row r="345" ht="12.75" hidden="1" customHeight="1" outlineLevel="1">
      <c r="A345" s="55" t="s">
        <v>4481</v>
      </c>
      <c r="B345" s="55" t="s">
        <v>4482</v>
      </c>
    </row>
    <row r="346" ht="12.75" hidden="1" customHeight="1" outlineLevel="1">
      <c r="A346" s="55" t="s">
        <v>4483</v>
      </c>
      <c r="B346" s="55" t="s">
        <v>4484</v>
      </c>
    </row>
    <row r="347" ht="12.75" hidden="1" customHeight="1" outlineLevel="1">
      <c r="A347" s="55" t="s">
        <v>4485</v>
      </c>
      <c r="B347" s="55" t="s">
        <v>4486</v>
      </c>
    </row>
    <row r="348" ht="12.75" hidden="1" customHeight="1" outlineLevel="1">
      <c r="A348" s="55" t="s">
        <v>4487</v>
      </c>
      <c r="B348" s="55" t="s">
        <v>4488</v>
      </c>
    </row>
    <row r="349" ht="12.75" hidden="1" customHeight="1" outlineLevel="1">
      <c r="A349" s="55" t="s">
        <v>4489</v>
      </c>
      <c r="B349" s="55" t="s">
        <v>4490</v>
      </c>
    </row>
    <row r="350" ht="12.75" hidden="1" customHeight="1" outlineLevel="1">
      <c r="A350" s="55" t="s">
        <v>4491</v>
      </c>
      <c r="B350" s="55" t="s">
        <v>4492</v>
      </c>
    </row>
    <row r="351" ht="12.75" hidden="1" customHeight="1" outlineLevel="1">
      <c r="A351" s="55" t="s">
        <v>4493</v>
      </c>
      <c r="B351" s="55" t="s">
        <v>4494</v>
      </c>
    </row>
    <row r="352" ht="12.75" hidden="1" customHeight="1" outlineLevel="1">
      <c r="A352" s="55" t="s">
        <v>4495</v>
      </c>
      <c r="B352" s="55" t="s">
        <v>4496</v>
      </c>
    </row>
    <row r="353" ht="12.75" hidden="1" customHeight="1" outlineLevel="1">
      <c r="A353" s="55" t="s">
        <v>4497</v>
      </c>
      <c r="B353" s="55" t="s">
        <v>4498</v>
      </c>
    </row>
    <row r="354" ht="12.75" hidden="1" customHeight="1" outlineLevel="1">
      <c r="A354" s="55" t="s">
        <v>4499</v>
      </c>
      <c r="B354" s="55" t="s">
        <v>4500</v>
      </c>
    </row>
    <row r="355" ht="12.75" hidden="1" customHeight="1" outlineLevel="1">
      <c r="A355" s="55" t="s">
        <v>4501</v>
      </c>
      <c r="B355" s="55" t="s">
        <v>4502</v>
      </c>
    </row>
    <row r="356" ht="12.75" hidden="1" customHeight="1" outlineLevel="1">
      <c r="A356" s="55" t="s">
        <v>4503</v>
      </c>
      <c r="B356" s="55" t="s">
        <v>4504</v>
      </c>
    </row>
    <row r="357" ht="12.75" hidden="1" customHeight="1" outlineLevel="1">
      <c r="A357" s="55" t="s">
        <v>4505</v>
      </c>
      <c r="B357" s="55" t="s">
        <v>4506</v>
      </c>
    </row>
    <row r="358" ht="12.75" hidden="1" customHeight="1" outlineLevel="1">
      <c r="A358" s="55" t="s">
        <v>4507</v>
      </c>
      <c r="B358" s="55" t="s">
        <v>4508</v>
      </c>
    </row>
    <row r="359" ht="12.75" hidden="1" customHeight="1" outlineLevel="1">
      <c r="A359" s="55" t="s">
        <v>4509</v>
      </c>
      <c r="B359" s="55" t="s">
        <v>4510</v>
      </c>
    </row>
    <row r="360" ht="12.75" hidden="1" customHeight="1" outlineLevel="1">
      <c r="A360" s="55" t="s">
        <v>4511</v>
      </c>
      <c r="B360" s="55" t="s">
        <v>4512</v>
      </c>
    </row>
    <row r="361" ht="12.75" hidden="1" customHeight="1" outlineLevel="1">
      <c r="A361" s="55" t="s">
        <v>4513</v>
      </c>
      <c r="B361" s="55" t="s">
        <v>4514</v>
      </c>
    </row>
    <row r="362" ht="12.75" hidden="1" customHeight="1" outlineLevel="1">
      <c r="A362" s="55" t="s">
        <v>4515</v>
      </c>
      <c r="B362" s="55" t="s">
        <v>4516</v>
      </c>
    </row>
    <row r="363" ht="12.75" hidden="1" customHeight="1" outlineLevel="1">
      <c r="A363" s="55" t="s">
        <v>4517</v>
      </c>
      <c r="B363" s="55" t="s">
        <v>4518</v>
      </c>
    </row>
    <row r="364" ht="12.75" hidden="1" customHeight="1" outlineLevel="1">
      <c r="A364" s="55" t="s">
        <v>4519</v>
      </c>
      <c r="B364" s="55" t="s">
        <v>4520</v>
      </c>
    </row>
    <row r="365" ht="12.75" hidden="1" customHeight="1" outlineLevel="1">
      <c r="A365" s="55" t="s">
        <v>4521</v>
      </c>
      <c r="B365" s="55" t="s">
        <v>4522</v>
      </c>
    </row>
    <row r="366" ht="12.75" hidden="1" customHeight="1" outlineLevel="1">
      <c r="A366" s="55" t="s">
        <v>4523</v>
      </c>
      <c r="B366" s="55" t="s">
        <v>4524</v>
      </c>
    </row>
    <row r="367" ht="12.75" hidden="1" customHeight="1" outlineLevel="1">
      <c r="A367" s="55" t="s">
        <v>4525</v>
      </c>
      <c r="B367" s="55" t="s">
        <v>4526</v>
      </c>
    </row>
    <row r="368" ht="12.75" hidden="1" customHeight="1" outlineLevel="1">
      <c r="A368" s="55" t="s">
        <v>4527</v>
      </c>
      <c r="B368" s="55" t="s">
        <v>4528</v>
      </c>
    </row>
    <row r="369" ht="12.75" hidden="1" customHeight="1" outlineLevel="1">
      <c r="A369" s="55" t="s">
        <v>4529</v>
      </c>
      <c r="B369" s="55" t="s">
        <v>4530</v>
      </c>
    </row>
    <row r="370" ht="12.75" hidden="1" customHeight="1" outlineLevel="1">
      <c r="A370" s="55" t="s">
        <v>4531</v>
      </c>
      <c r="B370" s="55" t="s">
        <v>4532</v>
      </c>
    </row>
    <row r="371" ht="12.75" hidden="1" customHeight="1" outlineLevel="1">
      <c r="A371" s="55" t="s">
        <v>4533</v>
      </c>
      <c r="B371" s="55" t="s">
        <v>4534</v>
      </c>
    </row>
    <row r="372" ht="12.75" hidden="1" customHeight="1" outlineLevel="1">
      <c r="A372" s="55" t="s">
        <v>4535</v>
      </c>
      <c r="B372" s="55" t="s">
        <v>4536</v>
      </c>
    </row>
    <row r="373" ht="12.75" hidden="1" customHeight="1" outlineLevel="1">
      <c r="A373" s="55" t="s">
        <v>4537</v>
      </c>
      <c r="B373" s="55" t="s">
        <v>4538</v>
      </c>
    </row>
    <row r="374" ht="12.75" hidden="1" customHeight="1" outlineLevel="1">
      <c r="A374" s="55" t="s">
        <v>4539</v>
      </c>
      <c r="B374" s="55" t="s">
        <v>4540</v>
      </c>
    </row>
    <row r="375" ht="12.75" hidden="1" customHeight="1" outlineLevel="1">
      <c r="A375" s="55" t="s">
        <v>4541</v>
      </c>
      <c r="B375" s="55" t="s">
        <v>4542</v>
      </c>
    </row>
    <row r="376" ht="12.75" hidden="1" customHeight="1" outlineLevel="1">
      <c r="A376" s="55" t="s">
        <v>4543</v>
      </c>
      <c r="B376" s="55" t="s">
        <v>4544</v>
      </c>
    </row>
    <row r="377" ht="12.75" hidden="1" customHeight="1" outlineLevel="1">
      <c r="A377" s="55" t="s">
        <v>4545</v>
      </c>
      <c r="B377" s="55" t="s">
        <v>4546</v>
      </c>
    </row>
    <row r="378" ht="12.75" hidden="1" customHeight="1" outlineLevel="1">
      <c r="A378" s="55" t="s">
        <v>4547</v>
      </c>
      <c r="B378" s="55" t="s">
        <v>4548</v>
      </c>
    </row>
    <row r="379" ht="12.75" hidden="1" customHeight="1" outlineLevel="1">
      <c r="A379" s="55" t="s">
        <v>4549</v>
      </c>
      <c r="B379" s="55" t="s">
        <v>4550</v>
      </c>
    </row>
    <row r="380" ht="12.75" hidden="1" customHeight="1" outlineLevel="1">
      <c r="A380" s="55" t="s">
        <v>4551</v>
      </c>
      <c r="B380" s="55" t="s">
        <v>4552</v>
      </c>
    </row>
    <row r="381" ht="12.75" hidden="1" customHeight="1" outlineLevel="1">
      <c r="A381" s="55" t="s">
        <v>4553</v>
      </c>
      <c r="B381" s="55" t="s">
        <v>4554</v>
      </c>
    </row>
    <row r="382" ht="12.75" hidden="1" customHeight="1" outlineLevel="1">
      <c r="A382" s="55" t="s">
        <v>4555</v>
      </c>
      <c r="B382" s="55" t="s">
        <v>4556</v>
      </c>
    </row>
    <row r="383" ht="12.75" hidden="1" customHeight="1" outlineLevel="1">
      <c r="A383" s="55" t="s">
        <v>4557</v>
      </c>
      <c r="B383" s="55" t="s">
        <v>4558</v>
      </c>
    </row>
    <row r="384" ht="12.75" hidden="1" customHeight="1" outlineLevel="1">
      <c r="A384" s="55" t="s">
        <v>4559</v>
      </c>
      <c r="B384" s="55" t="s">
        <v>4560</v>
      </c>
    </row>
    <row r="385" ht="12.75" hidden="1" customHeight="1" outlineLevel="1">
      <c r="A385" s="55" t="s">
        <v>4561</v>
      </c>
      <c r="B385" s="55" t="s">
        <v>4562</v>
      </c>
    </row>
    <row r="386" ht="12.75" hidden="1" customHeight="1" outlineLevel="1">
      <c r="A386" s="55" t="s">
        <v>4563</v>
      </c>
      <c r="B386" s="55" t="s">
        <v>4564</v>
      </c>
    </row>
    <row r="387" ht="12.75" hidden="1" customHeight="1" outlineLevel="1">
      <c r="A387" s="55" t="s">
        <v>4565</v>
      </c>
      <c r="B387" s="55" t="s">
        <v>4566</v>
      </c>
    </row>
    <row r="388" ht="12.75" hidden="1" customHeight="1" outlineLevel="1">
      <c r="A388" s="55" t="s">
        <v>4567</v>
      </c>
      <c r="B388" s="55" t="s">
        <v>4568</v>
      </c>
    </row>
    <row r="389" ht="12.75" hidden="1" customHeight="1" outlineLevel="1">
      <c r="A389" s="55" t="s">
        <v>4569</v>
      </c>
      <c r="B389" s="55" t="s">
        <v>4570</v>
      </c>
    </row>
    <row r="390" ht="12.75" hidden="1" customHeight="1" outlineLevel="1">
      <c r="A390" s="55" t="s">
        <v>4571</v>
      </c>
      <c r="B390" s="55" t="s">
        <v>4572</v>
      </c>
    </row>
    <row r="391" ht="12.75" hidden="1" customHeight="1" outlineLevel="1">
      <c r="A391" s="55" t="s">
        <v>4573</v>
      </c>
      <c r="B391" s="55" t="s">
        <v>4574</v>
      </c>
    </row>
    <row r="392" ht="12.75" hidden="1" customHeight="1" outlineLevel="1">
      <c r="A392" s="55" t="s">
        <v>4575</v>
      </c>
      <c r="B392" s="55" t="s">
        <v>4576</v>
      </c>
    </row>
    <row r="393" ht="12.75" hidden="1" customHeight="1" outlineLevel="1">
      <c r="A393" s="55" t="s">
        <v>4577</v>
      </c>
      <c r="B393" s="55" t="s">
        <v>4578</v>
      </c>
    </row>
    <row r="394" ht="12.75" hidden="1" customHeight="1" outlineLevel="1">
      <c r="A394" s="55" t="s">
        <v>4579</v>
      </c>
      <c r="B394" s="55" t="s">
        <v>4580</v>
      </c>
    </row>
    <row r="395" ht="12.75" hidden="1" customHeight="1" outlineLevel="1">
      <c r="A395" s="55" t="s">
        <v>4581</v>
      </c>
      <c r="B395" s="55" t="s">
        <v>4582</v>
      </c>
    </row>
    <row r="396" ht="12.75" hidden="1" customHeight="1" outlineLevel="1">
      <c r="A396" s="55" t="s">
        <v>4583</v>
      </c>
      <c r="B396" s="55" t="s">
        <v>4584</v>
      </c>
    </row>
    <row r="397" ht="12.75" hidden="1" customHeight="1" outlineLevel="1">
      <c r="A397" s="55" t="s">
        <v>4585</v>
      </c>
      <c r="B397" s="55" t="s">
        <v>4584</v>
      </c>
    </row>
    <row r="398" ht="12.75" hidden="1" customHeight="1" outlineLevel="1">
      <c r="A398" s="55" t="s">
        <v>4586</v>
      </c>
      <c r="B398" s="55" t="s">
        <v>4587</v>
      </c>
    </row>
    <row r="399" ht="12.75" hidden="1" customHeight="1" outlineLevel="1">
      <c r="A399" s="55" t="s">
        <v>4588</v>
      </c>
      <c r="B399" s="55" t="s">
        <v>4589</v>
      </c>
    </row>
    <row r="400" ht="12.75" hidden="1" customHeight="1" outlineLevel="1"/>
    <row r="401" ht="12.75" customHeight="1" collapsed="1">
      <c r="A401" s="626" t="s">
        <v>4587</v>
      </c>
      <c r="B401" s="626" t="s">
        <v>4590</v>
      </c>
      <c r="C401" s="626" t="s">
        <v>4591</v>
      </c>
      <c r="D401" s="626" t="s">
        <v>4592</v>
      </c>
      <c r="E401" s="626" t="s">
        <v>4593</v>
      </c>
      <c r="F401" s="626" t="s">
        <v>4594</v>
      </c>
      <c r="G401" s="626" t="s">
        <v>4595</v>
      </c>
      <c r="H401" s="626" t="s">
        <v>4596</v>
      </c>
      <c r="I401" s="626" t="s">
        <v>4597</v>
      </c>
      <c r="J401" s="626" t="s">
        <v>4598</v>
      </c>
      <c r="K401" s="626" t="s">
        <v>4599</v>
      </c>
      <c r="L401" s="626" t="s">
        <v>4600</v>
      </c>
      <c r="M401" s="626" t="s">
        <v>4601</v>
      </c>
      <c r="N401" s="626" t="s">
        <v>4602</v>
      </c>
      <c r="O401" s="626" t="s">
        <v>4603</v>
      </c>
      <c r="P401" s="626" t="s">
        <v>4604</v>
      </c>
      <c r="Q401" s="626" t="s">
        <v>4605</v>
      </c>
      <c r="R401" s="626" t="s">
        <v>4606</v>
      </c>
      <c r="S401" s="626" t="s">
        <v>4607</v>
      </c>
      <c r="T401" s="626" t="s">
        <v>4608</v>
      </c>
      <c r="U401" s="626" t="s">
        <v>4609</v>
      </c>
      <c r="V401" s="626" t="s">
        <v>4610</v>
      </c>
      <c r="W401" s="626" t="s">
        <v>4611</v>
      </c>
      <c r="X401" s="626" t="s">
        <v>4612</v>
      </c>
      <c r="Y401" s="626" t="s">
        <v>4613</v>
      </c>
      <c r="Z401" s="626" t="s">
        <v>4614</v>
      </c>
      <c r="AA401" s="626" t="s">
        <v>4615</v>
      </c>
      <c r="AB401" s="626" t="s">
        <v>4616</v>
      </c>
      <c r="AC401" s="626" t="s">
        <v>4617</v>
      </c>
      <c r="AD401" s="626" t="s">
        <v>4618</v>
      </c>
      <c r="AE401" s="626" t="s">
        <v>4619</v>
      </c>
      <c r="AF401" s="626" t="s">
        <v>4620</v>
      </c>
      <c r="AG401" s="626" t="s">
        <v>4621</v>
      </c>
      <c r="AH401" s="626" t="s">
        <v>4622</v>
      </c>
      <c r="AI401" s="626" t="s">
        <v>4623</v>
      </c>
      <c r="AJ401" s="626" t="s">
        <v>4624</v>
      </c>
      <c r="AK401" s="626" t="s">
        <v>4625</v>
      </c>
      <c r="AL401" s="626" t="s">
        <v>4626</v>
      </c>
      <c r="AM401" s="626" t="s">
        <v>4627</v>
      </c>
      <c r="AN401" s="626" t="s">
        <v>4628</v>
      </c>
      <c r="AO401" s="626" t="s">
        <v>4629</v>
      </c>
      <c r="AP401" s="626" t="s">
        <v>4630</v>
      </c>
      <c r="AQ401" s="626" t="s">
        <v>4631</v>
      </c>
      <c r="AR401" s="626" t="s">
        <v>4632</v>
      </c>
      <c r="AS401" s="626" t="s">
        <v>4633</v>
      </c>
      <c r="AT401" s="626" t="s">
        <v>4634</v>
      </c>
      <c r="AU401" s="626" t="s">
        <v>4635</v>
      </c>
      <c r="AV401" s="626" t="s">
        <v>4636</v>
      </c>
      <c r="AW401" s="626" t="s">
        <v>4637</v>
      </c>
      <c r="AX401" s="626" t="s">
        <v>4638</v>
      </c>
      <c r="AY401" s="626" t="s">
        <v>4639</v>
      </c>
      <c r="AZ401" s="626" t="s">
        <v>4640</v>
      </c>
      <c r="BA401" s="626" t="s">
        <v>4641</v>
      </c>
      <c r="BB401" s="626" t="s">
        <v>4642</v>
      </c>
      <c r="BC401" s="626" t="s">
        <v>4643</v>
      </c>
      <c r="BD401" s="626" t="s">
        <v>4644</v>
      </c>
      <c r="BE401" s="626" t="s">
        <v>4645</v>
      </c>
      <c r="BF401" s="626" t="s">
        <v>4646</v>
      </c>
      <c r="BG401" s="626" t="s">
        <v>4647</v>
      </c>
      <c r="BH401" s="626" t="s">
        <v>4648</v>
      </c>
      <c r="BI401" s="626" t="s">
        <v>4649</v>
      </c>
      <c r="BJ401" s="626" t="s">
        <v>4650</v>
      </c>
      <c r="BK401" s="626" t="s">
        <v>4651</v>
      </c>
      <c r="BL401" s="626" t="s">
        <v>4652</v>
      </c>
      <c r="BM401" s="626" t="s">
        <v>4653</v>
      </c>
      <c r="BN401" s="626" t="s">
        <v>4654</v>
      </c>
      <c r="BO401" s="626" t="s">
        <v>4655</v>
      </c>
      <c r="BP401" s="626" t="s">
        <v>4656</v>
      </c>
      <c r="BQ401" s="626" t="s">
        <v>4657</v>
      </c>
      <c r="BR401" s="626" t="s">
        <v>4658</v>
      </c>
      <c r="BS401" s="626" t="s">
        <v>4659</v>
      </c>
      <c r="BT401" s="626" t="s">
        <v>4660</v>
      </c>
      <c r="BU401" s="626" t="s">
        <v>4661</v>
      </c>
      <c r="BV401" s="626" t="s">
        <v>4662</v>
      </c>
      <c r="BW401" s="626" t="s">
        <v>4663</v>
      </c>
      <c r="BX401" s="626" t="s">
        <v>4664</v>
      </c>
      <c r="BY401" s="626" t="s">
        <v>4665</v>
      </c>
      <c r="BZ401" s="626" t="s">
        <v>4666</v>
      </c>
      <c r="CA401" s="626" t="s">
        <v>4667</v>
      </c>
      <c r="CB401" s="626" t="s">
        <v>4668</v>
      </c>
      <c r="CC401" s="626" t="s">
        <v>4669</v>
      </c>
      <c r="CD401" s="626" t="s">
        <v>4670</v>
      </c>
      <c r="CE401" s="626" t="s">
        <v>4671</v>
      </c>
      <c r="CF401" s="626" t="s">
        <v>4672</v>
      </c>
      <c r="CG401" s="626" t="s">
        <v>4673</v>
      </c>
      <c r="CH401" s="626" t="s">
        <v>4674</v>
      </c>
      <c r="CI401" s="626" t="s">
        <v>4675</v>
      </c>
      <c r="CJ401" s="626" t="s">
        <v>4676</v>
      </c>
      <c r="CK401" s="626" t="s">
        <v>4677</v>
      </c>
      <c r="CL401" s="626" t="s">
        <v>4678</v>
      </c>
      <c r="CM401" s="626" t="s">
        <v>4679</v>
      </c>
      <c r="CN401" s="626" t="s">
        <v>4680</v>
      </c>
      <c r="CO401" s="626" t="s">
        <v>4681</v>
      </c>
      <c r="CP401" s="626" t="s">
        <v>4682</v>
      </c>
      <c r="CQ401" s="626" t="s">
        <v>4683</v>
      </c>
      <c r="CR401" s="626" t="s">
        <v>4684</v>
      </c>
      <c r="CS401" s="626" t="s">
        <v>4685</v>
      </c>
      <c r="CT401" s="626" t="s">
        <v>4686</v>
      </c>
      <c r="CU401" s="626" t="s">
        <v>4687</v>
      </c>
      <c r="CV401" s="626" t="s">
        <v>4688</v>
      </c>
      <c r="CW401" s="626" t="s">
        <v>4689</v>
      </c>
      <c r="CX401" s="626" t="s">
        <v>4690</v>
      </c>
      <c r="CY401" s="626" t="s">
        <v>4691</v>
      </c>
      <c r="CZ401" s="626" t="s">
        <v>4692</v>
      </c>
      <c r="DA401" s="626" t="s">
        <v>4693</v>
      </c>
      <c r="DB401" s="626" t="s">
        <v>4694</v>
      </c>
      <c r="DC401" s="626" t="s">
        <v>4695</v>
      </c>
      <c r="DD401" s="626" t="s">
        <v>4696</v>
      </c>
      <c r="DE401" s="626" t="s">
        <v>4697</v>
      </c>
      <c r="DF401" s="626" t="s">
        <v>4698</v>
      </c>
      <c r="DG401" s="626" t="s">
        <v>4699</v>
      </c>
      <c r="DH401" s="626" t="s">
        <v>4700</v>
      </c>
      <c r="DI401" s="626" t="s">
        <v>4701</v>
      </c>
      <c r="DJ401" s="626" t="s">
        <v>4702</v>
      </c>
      <c r="DK401" s="626" t="s">
        <v>4703</v>
      </c>
      <c r="DL401" s="626" t="s">
        <v>4704</v>
      </c>
      <c r="DM401" s="626" t="s">
        <v>4705</v>
      </c>
      <c r="DN401" s="626" t="s">
        <v>4706</v>
      </c>
      <c r="DO401" s="626" t="s">
        <v>4707</v>
      </c>
      <c r="DP401" s="626" t="s">
        <v>4708</v>
      </c>
      <c r="DQ401" s="626" t="s">
        <v>4709</v>
      </c>
      <c r="DR401" s="626" t="s">
        <v>4710</v>
      </c>
      <c r="DS401" s="626" t="s">
        <v>4711</v>
      </c>
      <c r="DT401" s="626" t="s">
        <v>4712</v>
      </c>
      <c r="DU401" s="626" t="s">
        <v>4713</v>
      </c>
      <c r="DV401" s="626" t="s">
        <v>4714</v>
      </c>
      <c r="DW401" s="626" t="s">
        <v>4715</v>
      </c>
      <c r="DX401" s="626" t="s">
        <v>4716</v>
      </c>
      <c r="DY401" s="626" t="s">
        <v>4717</v>
      </c>
      <c r="DZ401" s="626" t="s">
        <v>4718</v>
      </c>
      <c r="EA401" s="626" t="s">
        <v>4719</v>
      </c>
      <c r="EB401" s="626" t="s">
        <v>4720</v>
      </c>
      <c r="EC401" s="626" t="s">
        <v>4721</v>
      </c>
      <c r="ED401" s="626" t="s">
        <v>4722</v>
      </c>
      <c r="EE401" s="626" t="s">
        <v>4723</v>
      </c>
      <c r="EF401" s="626" t="s">
        <v>4724</v>
      </c>
      <c r="EG401" s="626" t="s">
        <v>4725</v>
      </c>
      <c r="EH401" s="626" t="s">
        <v>4726</v>
      </c>
      <c r="EI401" s="626" t="s">
        <v>4727</v>
      </c>
      <c r="EJ401" s="626" t="s">
        <v>4728</v>
      </c>
      <c r="EK401" s="626" t="s">
        <v>4729</v>
      </c>
      <c r="EL401" s="626" t="s">
        <v>4730</v>
      </c>
      <c r="EM401" s="626" t="s">
        <v>4731</v>
      </c>
      <c r="EN401" s="626" t="s">
        <v>4732</v>
      </c>
      <c r="EO401" s="626" t="s">
        <v>4733</v>
      </c>
      <c r="EP401" s="626" t="s">
        <v>4734</v>
      </c>
      <c r="EQ401" s="626" t="s">
        <v>4735</v>
      </c>
      <c r="ER401" s="626" t="s">
        <v>4736</v>
      </c>
      <c r="ES401" s="626" t="s">
        <v>4737</v>
      </c>
      <c r="ET401" s="626" t="s">
        <v>4738</v>
      </c>
      <c r="EU401" s="626" t="s">
        <v>4739</v>
      </c>
      <c r="EV401" s="626" t="s">
        <v>4740</v>
      </c>
      <c r="EW401" s="626" t="s">
        <v>4741</v>
      </c>
      <c r="EX401" s="626" t="s">
        <v>4742</v>
      </c>
      <c r="EY401" s="626" t="s">
        <v>4743</v>
      </c>
      <c r="EZ401" s="626" t="s">
        <v>4744</v>
      </c>
      <c r="FA401" s="626" t="s">
        <v>4745</v>
      </c>
      <c r="FB401" s="626" t="s">
        <v>4746</v>
      </c>
      <c r="FC401" s="626" t="s">
        <v>4747</v>
      </c>
      <c r="FD401" s="626" t="s">
        <v>4748</v>
      </c>
      <c r="FE401" s="626" t="s">
        <v>4749</v>
      </c>
      <c r="FF401" s="626" t="s">
        <v>4750</v>
      </c>
      <c r="FG401" s="626" t="s">
        <v>4751</v>
      </c>
      <c r="FH401" s="626" t="s">
        <v>4752</v>
      </c>
      <c r="FI401" s="626" t="s">
        <v>4753</v>
      </c>
      <c r="FJ401" s="626" t="s">
        <v>4754</v>
      </c>
      <c r="FK401" s="626" t="s">
        <v>4755</v>
      </c>
      <c r="FL401" s="626" t="s">
        <v>4756</v>
      </c>
      <c r="FM401" s="626" t="s">
        <v>4757</v>
      </c>
      <c r="FN401" s="626" t="s">
        <v>4758</v>
      </c>
      <c r="FO401" s="626" t="s">
        <v>4759</v>
      </c>
      <c r="FP401" s="626" t="s">
        <v>4760</v>
      </c>
      <c r="FQ401" s="626" t="s">
        <v>4761</v>
      </c>
      <c r="FR401" s="626" t="s">
        <v>4762</v>
      </c>
      <c r="FS401" s="626" t="s">
        <v>4763</v>
      </c>
      <c r="FT401" s="626" t="s">
        <v>4764</v>
      </c>
      <c r="FU401" s="626" t="s">
        <v>4765</v>
      </c>
      <c r="FV401" s="626" t="s">
        <v>4766</v>
      </c>
      <c r="FW401" s="626" t="s">
        <v>4767</v>
      </c>
      <c r="FX401" s="626" t="s">
        <v>4768</v>
      </c>
      <c r="FY401" s="626" t="s">
        <v>4769</v>
      </c>
      <c r="FZ401" s="626" t="s">
        <v>4770</v>
      </c>
      <c r="GA401" s="626" t="s">
        <v>4771</v>
      </c>
      <c r="GB401" s="626" t="s">
        <v>4772</v>
      </c>
      <c r="GC401" s="626" t="s">
        <v>4773</v>
      </c>
      <c r="GD401" s="626" t="s">
        <v>4774</v>
      </c>
      <c r="GE401" s="626" t="s">
        <v>4775</v>
      </c>
      <c r="GF401" s="626" t="s">
        <v>4776</v>
      </c>
      <c r="GG401" s="626" t="s">
        <v>4777</v>
      </c>
      <c r="GH401" s="626" t="s">
        <v>4778</v>
      </c>
      <c r="GI401" s="626" t="s">
        <v>4779</v>
      </c>
      <c r="GJ401" s="626" t="s">
        <v>4780</v>
      </c>
      <c r="GK401" s="626" t="s">
        <v>4781</v>
      </c>
      <c r="GL401" s="626" t="s">
        <v>4782</v>
      </c>
      <c r="GM401" s="626" t="s">
        <v>4783</v>
      </c>
      <c r="GN401" s="626" t="s">
        <v>4784</v>
      </c>
      <c r="GO401" s="626" t="s">
        <v>4785</v>
      </c>
      <c r="GP401" s="626" t="s">
        <v>4786</v>
      </c>
      <c r="GQ401" s="626" t="s">
        <v>4787</v>
      </c>
      <c r="GR401" s="626" t="s">
        <v>4788</v>
      </c>
      <c r="GS401" s="626" t="s">
        <v>4789</v>
      </c>
      <c r="GT401" s="626" t="s">
        <v>4790</v>
      </c>
      <c r="GU401" s="626" t="s">
        <v>4791</v>
      </c>
      <c r="GV401" s="626" t="s">
        <v>4792</v>
      </c>
      <c r="GW401" s="626" t="s">
        <v>4793</v>
      </c>
      <c r="GX401" s="626" t="s">
        <v>4794</v>
      </c>
      <c r="GY401" s="626" t="s">
        <v>4795</v>
      </c>
      <c r="GZ401" s="626" t="s">
        <v>4796</v>
      </c>
      <c r="HA401" s="626" t="s">
        <v>4797</v>
      </c>
      <c r="HB401" s="626" t="s">
        <v>4798</v>
      </c>
      <c r="HC401" s="626" t="s">
        <v>4799</v>
      </c>
      <c r="HD401" s="626" t="s">
        <v>4800</v>
      </c>
      <c r="HE401" s="626" t="s">
        <v>4801</v>
      </c>
      <c r="HF401" s="626" t="s">
        <v>4802</v>
      </c>
      <c r="HG401" s="626" t="s">
        <v>4803</v>
      </c>
      <c r="HH401" s="626" t="s">
        <v>4804</v>
      </c>
      <c r="HI401" s="626" t="s">
        <v>4805</v>
      </c>
      <c r="HJ401" s="626" t="s">
        <v>4806</v>
      </c>
      <c r="HK401" s="626" t="s">
        <v>4807</v>
      </c>
      <c r="HL401" s="626" t="s">
        <v>4808</v>
      </c>
      <c r="HM401" s="626" t="s">
        <v>4809</v>
      </c>
      <c r="HN401" s="626" t="s">
        <v>4810</v>
      </c>
      <c r="HO401" s="626" t="s">
        <v>4811</v>
      </c>
      <c r="HP401" s="626" t="s">
        <v>4812</v>
      </c>
      <c r="HQ401" s="626" t="s">
        <v>4813</v>
      </c>
      <c r="HR401" s="626" t="s">
        <v>4814</v>
      </c>
      <c r="HS401" s="626" t="s">
        <v>4815</v>
      </c>
      <c r="HT401" s="626" t="s">
        <v>4816</v>
      </c>
      <c r="HU401" s="626" t="s">
        <v>4817</v>
      </c>
      <c r="HV401" s="626" t="s">
        <v>4818</v>
      </c>
      <c r="HW401" s="626" t="s">
        <v>4819</v>
      </c>
      <c r="HX401" s="626" t="s">
        <v>4820</v>
      </c>
      <c r="HY401" s="626" t="s">
        <v>4821</v>
      </c>
      <c r="HZ401" s="626" t="s">
        <v>4822</v>
      </c>
      <c r="IA401" s="626" t="s">
        <v>4823</v>
      </c>
      <c r="IB401" s="626" t="s">
        <v>4824</v>
      </c>
      <c r="IC401" s="626" t="s">
        <v>4825</v>
      </c>
      <c r="ID401" s="626" t="s">
        <v>4826</v>
      </c>
      <c r="IE401" s="626" t="s">
        <v>4827</v>
      </c>
      <c r="IF401" s="626" t="s">
        <v>4828</v>
      </c>
      <c r="IG401" s="626" t="s">
        <v>4829</v>
      </c>
      <c r="IH401" s="626" t="s">
        <v>4830</v>
      </c>
      <c r="II401" s="626" t="s">
        <v>4831</v>
      </c>
      <c r="IJ401" s="626" t="s">
        <v>4832</v>
      </c>
      <c r="IK401" s="626" t="s">
        <v>4833</v>
      </c>
      <c r="IL401" s="626" t="s">
        <v>4834</v>
      </c>
      <c r="IM401" s="626" t="s">
        <v>4835</v>
      </c>
      <c r="IN401" s="626" t="s">
        <v>4836</v>
      </c>
      <c r="IO401" s="626" t="s">
        <v>4837</v>
      </c>
      <c r="IP401" s="626" t="s">
        <v>4838</v>
      </c>
      <c r="IQ401" s="626" t="s">
        <v>4839</v>
      </c>
      <c r="IR401" s="626" t="s">
        <v>4840</v>
      </c>
      <c r="IS401" s="626" t="s">
        <v>4841</v>
      </c>
      <c r="IT401" s="626" t="s">
        <v>4842</v>
      </c>
      <c r="IU401" s="626" t="s">
        <v>4843</v>
      </c>
      <c r="IV401" s="626" t="s">
        <v>4844</v>
      </c>
      <c r="IW401" s="626" t="s">
        <v>4845</v>
      </c>
      <c r="IX401" s="626" t="s">
        <v>4846</v>
      </c>
      <c r="IY401" s="626" t="s">
        <v>4847</v>
      </c>
      <c r="IZ401" s="626" t="s">
        <v>4848</v>
      </c>
      <c r="JA401" s="626" t="s">
        <v>4849</v>
      </c>
      <c r="JB401" s="626" t="s">
        <v>4850</v>
      </c>
      <c r="JC401" s="626" t="s">
        <v>4851</v>
      </c>
      <c r="JD401" s="626" t="s">
        <v>4852</v>
      </c>
      <c r="JE401" s="626" t="s">
        <v>4853</v>
      </c>
      <c r="JF401" s="626" t="s">
        <v>4854</v>
      </c>
      <c r="JG401" s="626" t="s">
        <v>4855</v>
      </c>
      <c r="JH401" s="626" t="s">
        <v>4856</v>
      </c>
      <c r="JI401" s="626" t="s">
        <v>4857</v>
      </c>
      <c r="JJ401" s="626" t="s">
        <v>4858</v>
      </c>
      <c r="JK401" s="626" t="s">
        <v>4859</v>
      </c>
      <c r="JL401" s="626" t="s">
        <v>4860</v>
      </c>
      <c r="JM401" s="626" t="s">
        <v>4861</v>
      </c>
      <c r="JN401" s="626" t="s">
        <v>4862</v>
      </c>
      <c r="JO401" s="626" t="s">
        <v>4863</v>
      </c>
      <c r="JP401" s="626" t="s">
        <v>4864</v>
      </c>
      <c r="JQ401" s="626" t="s">
        <v>4865</v>
      </c>
      <c r="JR401" s="626" t="s">
        <v>4866</v>
      </c>
      <c r="JS401" s="626" t="s">
        <v>4867</v>
      </c>
      <c r="JT401" s="626" t="s">
        <v>4868</v>
      </c>
      <c r="JU401" s="626" t="s">
        <v>4869</v>
      </c>
      <c r="JV401" s="626" t="s">
        <v>4870</v>
      </c>
      <c r="JW401" s="626" t="s">
        <v>4871</v>
      </c>
      <c r="JX401" s="626" t="s">
        <v>4872</v>
      </c>
      <c r="JY401" s="626" t="s">
        <v>4873</v>
      </c>
      <c r="JZ401" s="626" t="s">
        <v>4874</v>
      </c>
      <c r="KA401" s="626" t="s">
        <v>4875</v>
      </c>
      <c r="KB401" s="626" t="s">
        <v>4876</v>
      </c>
      <c r="KC401" s="626" t="s">
        <v>4877</v>
      </c>
      <c r="KD401" s="626" t="s">
        <v>4878</v>
      </c>
      <c r="KE401" s="626" t="s">
        <v>4879</v>
      </c>
      <c r="KF401" s="626" t="s">
        <v>4880</v>
      </c>
      <c r="KG401" s="626" t="s">
        <v>4881</v>
      </c>
      <c r="KH401" s="626" t="s">
        <v>4882</v>
      </c>
      <c r="KI401" s="626" t="s">
        <v>4883</v>
      </c>
      <c r="KJ401" s="626" t="s">
        <v>4884</v>
      </c>
      <c r="KK401" s="626" t="s">
        <v>4885</v>
      </c>
      <c r="KL401" s="626" t="s">
        <v>4886</v>
      </c>
      <c r="KM401" s="626" t="s">
        <v>4887</v>
      </c>
      <c r="KN401" s="626" t="s">
        <v>4888</v>
      </c>
      <c r="KO401" s="626" t="s">
        <v>4889</v>
      </c>
      <c r="KP401" s="626" t="s">
        <v>4890</v>
      </c>
      <c r="KQ401" s="626" t="s">
        <v>4891</v>
      </c>
      <c r="KR401" s="626" t="s">
        <v>4892</v>
      </c>
      <c r="KS401" s="626" t="s">
        <v>4893</v>
      </c>
      <c r="KT401" s="626" t="s">
        <v>4894</v>
      </c>
      <c r="KU401" s="626" t="s">
        <v>4895</v>
      </c>
      <c r="KV401" s="626" t="s">
        <v>4896</v>
      </c>
      <c r="KW401" s="626" t="s">
        <v>4897</v>
      </c>
      <c r="KX401" s="626" t="s">
        <v>4898</v>
      </c>
      <c r="KY401" s="626" t="s">
        <v>4899</v>
      </c>
      <c r="KZ401" s="626" t="s">
        <v>4900</v>
      </c>
      <c r="LA401" s="626" t="s">
        <v>4901</v>
      </c>
      <c r="LB401" s="626" t="s">
        <v>4902</v>
      </c>
      <c r="LC401" s="626" t="s">
        <v>4903</v>
      </c>
      <c r="LD401" s="626" t="s">
        <v>4904</v>
      </c>
      <c r="LE401" s="626" t="s">
        <v>4905</v>
      </c>
      <c r="LF401" s="626" t="s">
        <v>4906</v>
      </c>
      <c r="LG401" s="626" t="s">
        <v>4907</v>
      </c>
      <c r="LH401" s="626" t="s">
        <v>4908</v>
      </c>
      <c r="LI401" s="626" t="s">
        <v>4909</v>
      </c>
      <c r="LJ401" s="626" t="s">
        <v>4910</v>
      </c>
      <c r="LK401" s="626" t="s">
        <v>4911</v>
      </c>
      <c r="LL401" s="626" t="s">
        <v>4912</v>
      </c>
      <c r="LM401" s="626" t="s">
        <v>4913</v>
      </c>
      <c r="LN401" s="626" t="s">
        <v>4914</v>
      </c>
      <c r="LO401" s="626" t="s">
        <v>4915</v>
      </c>
      <c r="LP401" s="626" t="s">
        <v>4916</v>
      </c>
      <c r="LQ401" s="626" t="s">
        <v>4917</v>
      </c>
      <c r="LR401" s="626" t="s">
        <v>4918</v>
      </c>
      <c r="LS401" s="626" t="s">
        <v>4919</v>
      </c>
      <c r="LT401" s="626" t="s">
        <v>4920</v>
      </c>
      <c r="LU401" s="626" t="s">
        <v>4921</v>
      </c>
      <c r="LV401" s="626" t="s">
        <v>4922</v>
      </c>
      <c r="LW401" s="626" t="s">
        <v>4923</v>
      </c>
      <c r="LX401" s="626" t="s">
        <v>4924</v>
      </c>
      <c r="LY401" s="626" t="s">
        <v>4925</v>
      </c>
      <c r="LZ401" s="626" t="s">
        <v>4926</v>
      </c>
      <c r="MA401" s="626" t="s">
        <v>4927</v>
      </c>
      <c r="MB401" s="626" t="s">
        <v>4928</v>
      </c>
      <c r="MC401" s="626" t="s">
        <v>4929</v>
      </c>
      <c r="MD401" s="626" t="s">
        <v>4930</v>
      </c>
      <c r="ME401" s="626" t="s">
        <v>4931</v>
      </c>
      <c r="MF401" s="626" t="s">
        <v>4932</v>
      </c>
      <c r="MG401" s="626" t="s">
        <v>4933</v>
      </c>
      <c r="MH401" s="626" t="s">
        <v>4934</v>
      </c>
      <c r="MI401" s="626" t="s">
        <v>4935</v>
      </c>
      <c r="MJ401" s="626" t="s">
        <v>4936</v>
      </c>
      <c r="MK401" s="626" t="s">
        <v>4937</v>
      </c>
      <c r="ML401" s="626" t="s">
        <v>4938</v>
      </c>
      <c r="MM401" s="626" t="s">
        <v>4939</v>
      </c>
      <c r="MN401" s="626" t="s">
        <v>4940</v>
      </c>
      <c r="MO401" s="626" t="s">
        <v>4941</v>
      </c>
      <c r="MP401" s="626" t="s">
        <v>4942</v>
      </c>
      <c r="MQ401" s="626" t="s">
        <v>4943</v>
      </c>
      <c r="MR401" s="626" t="s">
        <v>4944</v>
      </c>
      <c r="MS401" s="626" t="s">
        <v>4945</v>
      </c>
      <c r="MT401" s="626" t="s">
        <v>4946</v>
      </c>
      <c r="MU401" s="626" t="s">
        <v>4947</v>
      </c>
      <c r="MV401" s="626" t="s">
        <v>4948</v>
      </c>
      <c r="MW401" s="626" t="s">
        <v>4949</v>
      </c>
      <c r="MX401" s="626" t="s">
        <v>4950</v>
      </c>
      <c r="MY401" s="626" t="s">
        <v>4951</v>
      </c>
      <c r="MZ401" s="626" t="s">
        <v>4952</v>
      </c>
      <c r="NA401" s="626" t="s">
        <v>4953</v>
      </c>
      <c r="NB401" s="626" t="s">
        <v>4954</v>
      </c>
      <c r="NC401" s="626" t="s">
        <v>4955</v>
      </c>
      <c r="ND401" s="626" t="s">
        <v>4956</v>
      </c>
      <c r="NE401" s="626" t="s">
        <v>4957</v>
      </c>
      <c r="NF401" s="626" t="s">
        <v>4958</v>
      </c>
      <c r="NG401" s="626" t="s">
        <v>4959</v>
      </c>
      <c r="NH401" s="626" t="s">
        <v>4960</v>
      </c>
      <c r="NI401" s="626" t="s">
        <v>4961</v>
      </c>
      <c r="NJ401" s="626" t="s">
        <v>4962</v>
      </c>
      <c r="NK401" s="626" t="s">
        <v>4963</v>
      </c>
      <c r="NL401" s="626" t="s">
        <v>4964</v>
      </c>
      <c r="NM401" s="626" t="s">
        <v>4965</v>
      </c>
      <c r="NN401" s="626" t="s">
        <v>4966</v>
      </c>
      <c r="NO401" s="626" t="s">
        <v>4967</v>
      </c>
      <c r="NP401" s="626" t="s">
        <v>4968</v>
      </c>
      <c r="NQ401" s="626" t="s">
        <v>4969</v>
      </c>
      <c r="NR401" s="626" t="s">
        <v>4970</v>
      </c>
      <c r="NS401" s="626" t="s">
        <v>4971</v>
      </c>
      <c r="NT401" s="626" t="s">
        <v>4972</v>
      </c>
      <c r="NU401" s="626" t="s">
        <v>4973</v>
      </c>
      <c r="NV401" s="626" t="s">
        <v>4974</v>
      </c>
      <c r="NW401" s="626" t="s">
        <v>4975</v>
      </c>
      <c r="NX401" s="626"/>
      <c r="NY401" s="627" t="s">
        <v>918</v>
      </c>
      <c r="NZ401" s="627" t="s">
        <v>1476</v>
      </c>
      <c r="OA401" s="627" t="s">
        <v>600</v>
      </c>
      <c r="OB401" s="627" t="s">
        <v>1199</v>
      </c>
      <c r="OC401" s="627" t="s">
        <v>1147</v>
      </c>
      <c r="OD401" s="626"/>
      <c r="OE401" s="627" t="s">
        <v>662</v>
      </c>
      <c r="OF401" s="627" t="s">
        <v>4976</v>
      </c>
      <c r="OG401" s="627" t="s">
        <v>4977</v>
      </c>
      <c r="OH401" s="626"/>
      <c r="OI401" s="626"/>
      <c r="OJ401" s="626"/>
      <c r="OK401" s="626"/>
      <c r="OL401" s="626"/>
      <c r="OM401" s="626"/>
      <c r="ON401" s="626"/>
    </row>
    <row r="402" ht="12.75" customHeight="1">
      <c r="A402" s="30" t="s">
        <v>405</v>
      </c>
      <c r="B402" s="30" t="s">
        <v>4978</v>
      </c>
      <c r="C402" s="628">
        <v>2530.0811</v>
      </c>
      <c r="D402" s="628">
        <v>1209.7963</v>
      </c>
      <c r="E402" s="628">
        <v>3894.7179</v>
      </c>
      <c r="F402" s="628">
        <v>5699.1834</v>
      </c>
      <c r="G402" s="628">
        <v>406.72873</v>
      </c>
      <c r="H402" s="628">
        <v>410.14152</v>
      </c>
      <c r="I402" s="628">
        <v>982.43485</v>
      </c>
      <c r="J402" s="628">
        <v>45223.474</v>
      </c>
      <c r="K402" s="628">
        <v>4948.3516</v>
      </c>
      <c r="L402" s="628">
        <v>110192.33</v>
      </c>
      <c r="M402" s="628">
        <v>41126.197</v>
      </c>
      <c r="N402" s="628">
        <v>6984.2714</v>
      </c>
      <c r="O402" s="628">
        <v>4120.0139</v>
      </c>
      <c r="P402" s="628">
        <v>7302.81</v>
      </c>
      <c r="Q402" s="628">
        <v>127.68696</v>
      </c>
      <c r="R402" s="628">
        <v>322.51236</v>
      </c>
      <c r="S402" s="628">
        <v>144.35027</v>
      </c>
      <c r="T402" s="628">
        <v>0.74272493</v>
      </c>
      <c r="U402" s="628">
        <v>14.231372</v>
      </c>
      <c r="V402" s="628">
        <v>0.0</v>
      </c>
      <c r="W402" s="628">
        <v>1482.5716</v>
      </c>
      <c r="X402" s="628">
        <v>1872.7374</v>
      </c>
      <c r="Y402" s="628">
        <v>1824.6839</v>
      </c>
      <c r="Z402" s="628">
        <v>1438.3811</v>
      </c>
      <c r="AA402" s="628">
        <v>370.43707</v>
      </c>
      <c r="AB402" s="628">
        <v>356.18949</v>
      </c>
      <c r="AC402" s="628">
        <v>25.151848</v>
      </c>
      <c r="AD402" s="628">
        <v>561.67843</v>
      </c>
      <c r="AE402" s="628">
        <v>238094.56</v>
      </c>
      <c r="AF402" s="628">
        <v>301962.22</v>
      </c>
      <c r="AG402" s="628">
        <v>222474.61</v>
      </c>
      <c r="AH402" s="628">
        <v>1323.3516</v>
      </c>
      <c r="AI402" s="628">
        <v>1460.3393</v>
      </c>
      <c r="AJ402" s="628">
        <v>1919.0848</v>
      </c>
      <c r="AK402" s="628">
        <v>1102.8949</v>
      </c>
      <c r="AL402" s="628">
        <v>681.27663</v>
      </c>
      <c r="AM402" s="628">
        <v>1165.6341</v>
      </c>
      <c r="AN402" s="628">
        <v>713.68916</v>
      </c>
      <c r="AO402" s="628">
        <v>1113.7622</v>
      </c>
      <c r="AP402" s="628">
        <v>672.41893</v>
      </c>
      <c r="AQ402" s="628">
        <v>1123.5337</v>
      </c>
      <c r="AR402" s="628">
        <v>676.05659</v>
      </c>
      <c r="AS402" s="628">
        <v>1289.8268</v>
      </c>
      <c r="AT402" s="628">
        <v>939.05739</v>
      </c>
      <c r="AU402" s="628">
        <v>1427.9281</v>
      </c>
      <c r="AV402" s="628">
        <v>692238.6</v>
      </c>
      <c r="AW402" s="628">
        <v>821554.63</v>
      </c>
      <c r="AX402" s="628">
        <v>877267.63</v>
      </c>
      <c r="AY402" s="628">
        <v>47018.771</v>
      </c>
      <c r="AZ402" s="628">
        <v>191.26476</v>
      </c>
      <c r="BA402" s="628">
        <v>4196.173</v>
      </c>
      <c r="BB402" s="628">
        <v>261.66046</v>
      </c>
      <c r="BC402" s="628">
        <v>308.9104</v>
      </c>
      <c r="BD402" s="628">
        <v>252.89229</v>
      </c>
      <c r="BE402" s="628">
        <v>331.82944</v>
      </c>
      <c r="BF402" s="628">
        <v>122.3279</v>
      </c>
      <c r="BG402" s="628">
        <v>219.97136</v>
      </c>
      <c r="BH402" s="628">
        <v>238.19552</v>
      </c>
      <c r="BI402" s="628">
        <v>2429.9079</v>
      </c>
      <c r="BJ402" s="628">
        <v>6889.9655</v>
      </c>
      <c r="BK402" s="628">
        <v>10655.171</v>
      </c>
      <c r="BL402" s="628">
        <v>5245.9322</v>
      </c>
      <c r="BM402" s="628">
        <v>8990.0053</v>
      </c>
      <c r="BN402" s="628">
        <v>242264.16</v>
      </c>
      <c r="BO402" s="628">
        <v>43.020019</v>
      </c>
      <c r="BP402" s="628">
        <v>107.90711</v>
      </c>
      <c r="BQ402" s="628">
        <v>154803.65</v>
      </c>
      <c r="BR402" s="628">
        <v>171418.09</v>
      </c>
      <c r="BS402" s="628">
        <v>183588.68</v>
      </c>
      <c r="BT402" s="628">
        <v>506075.08</v>
      </c>
      <c r="BU402" s="628">
        <v>228729.25</v>
      </c>
      <c r="BV402" s="628">
        <v>330875.06</v>
      </c>
      <c r="BW402" s="628">
        <v>186.53703</v>
      </c>
      <c r="BX402" s="628">
        <v>286760.27</v>
      </c>
      <c r="BY402" s="628">
        <v>51505.831</v>
      </c>
      <c r="BZ402" s="628">
        <v>1534.0005</v>
      </c>
      <c r="CA402" s="628">
        <v>22.46682</v>
      </c>
      <c r="CB402" s="628">
        <v>14.432361</v>
      </c>
      <c r="CC402" s="628">
        <v>16.847907</v>
      </c>
      <c r="CD402" s="628">
        <v>19.553373</v>
      </c>
      <c r="CE402" s="628">
        <v>582533.32</v>
      </c>
      <c r="CF402" s="628">
        <v>1096139.2</v>
      </c>
      <c r="CG402" s="628">
        <v>121830.35</v>
      </c>
      <c r="CH402" s="628">
        <v>151954.86</v>
      </c>
      <c r="CI402" s="628">
        <v>180.77081</v>
      </c>
      <c r="CJ402" s="628">
        <v>633.35062</v>
      </c>
      <c r="CK402" s="628">
        <v>4244.8873</v>
      </c>
      <c r="CL402" s="628">
        <v>18.533156</v>
      </c>
      <c r="CM402" s="628">
        <v>121.30552</v>
      </c>
      <c r="CN402" s="628">
        <v>20550.764</v>
      </c>
      <c r="CO402" s="628">
        <v>30138.834</v>
      </c>
      <c r="CP402" s="628">
        <v>17793.494</v>
      </c>
      <c r="CQ402" s="628">
        <v>86152.727</v>
      </c>
      <c r="CR402" s="628">
        <v>130438.73</v>
      </c>
      <c r="CS402" s="628">
        <v>130438.73</v>
      </c>
      <c r="CT402" s="628">
        <v>25.76809</v>
      </c>
      <c r="CU402" s="628">
        <v>1179.4831</v>
      </c>
      <c r="CV402" s="628">
        <v>34.533828</v>
      </c>
      <c r="CW402" s="628">
        <v>52.798871</v>
      </c>
      <c r="CX402" s="628">
        <v>10617.116</v>
      </c>
      <c r="CY402" s="628">
        <v>5374.382</v>
      </c>
      <c r="CZ402" s="628">
        <v>4681.2638</v>
      </c>
      <c r="DA402" s="628">
        <v>5499.2555</v>
      </c>
      <c r="DB402" s="628">
        <v>159.4023</v>
      </c>
      <c r="DC402" s="628">
        <v>18.572656</v>
      </c>
      <c r="DD402" s="628">
        <v>2180.162</v>
      </c>
      <c r="DE402" s="628">
        <v>3900.4876</v>
      </c>
      <c r="DF402" s="628">
        <v>1728.0588</v>
      </c>
      <c r="DG402" s="628">
        <v>2180.162</v>
      </c>
      <c r="DH402" s="628">
        <v>3900.4876</v>
      </c>
      <c r="DI402" s="628">
        <v>2983.6988</v>
      </c>
      <c r="DJ402" s="628">
        <v>3445.3535</v>
      </c>
      <c r="DK402" s="628">
        <v>3445.3535</v>
      </c>
      <c r="DL402" s="628">
        <v>5165.6791</v>
      </c>
      <c r="DM402" s="628">
        <v>3445.3535</v>
      </c>
      <c r="DN402" s="628">
        <v>5165.6791</v>
      </c>
      <c r="DO402" s="628">
        <v>29.772656</v>
      </c>
      <c r="DP402" s="628">
        <v>1570.9764</v>
      </c>
      <c r="DQ402" s="628">
        <v>1355.6707</v>
      </c>
      <c r="DR402" s="628">
        <v>1483.5291</v>
      </c>
      <c r="DS402" s="628">
        <v>1571.1414</v>
      </c>
      <c r="DT402" s="628">
        <v>1514.9754</v>
      </c>
      <c r="DU402" s="628">
        <v>1180.319</v>
      </c>
      <c r="DV402" s="628">
        <v>10913.128</v>
      </c>
      <c r="DW402" s="628">
        <v>18579.409</v>
      </c>
      <c r="DX402" s="628">
        <v>33160.735</v>
      </c>
      <c r="DY402" s="628">
        <v>18427.482</v>
      </c>
      <c r="DZ402" s="628">
        <v>15876.327</v>
      </c>
      <c r="EA402" s="628">
        <v>14.231372</v>
      </c>
      <c r="EB402" s="628">
        <v>26.580655</v>
      </c>
      <c r="EC402" s="628">
        <v>17.221024</v>
      </c>
      <c r="ED402" s="628">
        <v>7247.3012</v>
      </c>
      <c r="EE402" s="628">
        <v>25.09201</v>
      </c>
      <c r="EF402" s="628">
        <v>0.0</v>
      </c>
      <c r="EG402" s="628">
        <v>0.0</v>
      </c>
      <c r="EH402" s="628">
        <v>0.0</v>
      </c>
      <c r="EI402" s="628">
        <v>27.367448</v>
      </c>
      <c r="EJ402" s="628">
        <v>25.056605</v>
      </c>
      <c r="EK402" s="628">
        <v>8626.8299</v>
      </c>
      <c r="EL402" s="628">
        <v>0.0</v>
      </c>
      <c r="EM402" s="628">
        <v>0.0</v>
      </c>
      <c r="EN402" s="628">
        <v>0.0</v>
      </c>
      <c r="EO402" s="628">
        <v>0.0</v>
      </c>
      <c r="EP402" s="628">
        <v>65488.575</v>
      </c>
      <c r="EQ402" s="628">
        <v>129117.89</v>
      </c>
      <c r="ER402" s="628">
        <v>0.0</v>
      </c>
      <c r="ES402" s="628">
        <v>0.0</v>
      </c>
      <c r="ET402" s="628">
        <v>831.05247</v>
      </c>
      <c r="EU402" s="628">
        <v>91.087254</v>
      </c>
      <c r="EV402" s="628">
        <v>91.087254</v>
      </c>
      <c r="EW402" s="628">
        <v>43.563113</v>
      </c>
      <c r="EX402" s="628">
        <v>378.25169</v>
      </c>
      <c r="EY402" s="628">
        <v>3432.3773</v>
      </c>
      <c r="EZ402" s="628">
        <v>2978.2041</v>
      </c>
      <c r="FA402" s="628">
        <v>710.25396</v>
      </c>
      <c r="FB402" s="628">
        <v>1212.4876</v>
      </c>
      <c r="FC402" s="628">
        <v>401.40123</v>
      </c>
      <c r="FD402" s="628">
        <v>1546.4386</v>
      </c>
      <c r="FE402" s="628">
        <v>6781.5655</v>
      </c>
      <c r="FF402" s="628">
        <v>213.87212</v>
      </c>
      <c r="FG402" s="628">
        <v>269.85661</v>
      </c>
      <c r="FH402" s="628">
        <v>247.56865</v>
      </c>
      <c r="FI402" s="628">
        <v>134.43169</v>
      </c>
      <c r="FJ402" s="628">
        <v>2597.6492</v>
      </c>
      <c r="FK402" s="628">
        <v>1882.287</v>
      </c>
      <c r="FL402" s="628">
        <v>216.25562</v>
      </c>
      <c r="FM402" s="628">
        <v>158.56882</v>
      </c>
      <c r="FN402" s="628">
        <v>2790.054</v>
      </c>
      <c r="FO402" s="628">
        <v>3049.7722</v>
      </c>
      <c r="FP402" s="628">
        <v>339.46375</v>
      </c>
      <c r="FQ402" s="628">
        <v>2273.0191</v>
      </c>
      <c r="FR402" s="628">
        <v>329.75512</v>
      </c>
      <c r="FS402" s="628">
        <v>2461.2422</v>
      </c>
      <c r="FT402" s="628">
        <v>86.945983</v>
      </c>
      <c r="FU402" s="628">
        <v>1446.6318</v>
      </c>
      <c r="FV402" s="628">
        <v>174.87151</v>
      </c>
      <c r="FW402" s="628">
        <v>17.221024</v>
      </c>
      <c r="FX402" s="628">
        <v>173.19221</v>
      </c>
      <c r="FY402" s="628">
        <v>17.221024</v>
      </c>
      <c r="FZ402" s="628">
        <v>6307.8643</v>
      </c>
      <c r="GA402" s="628">
        <v>11337.835</v>
      </c>
      <c r="GB402" s="628">
        <v>10231.105</v>
      </c>
      <c r="GC402" s="628">
        <v>1129.2192</v>
      </c>
      <c r="GD402" s="628">
        <v>1745.2147</v>
      </c>
      <c r="GE402" s="628">
        <v>2125.8675</v>
      </c>
      <c r="GF402" s="628">
        <v>634.37887</v>
      </c>
      <c r="GG402" s="628">
        <v>15205.823</v>
      </c>
      <c r="GH402" s="628">
        <v>77660.833</v>
      </c>
      <c r="GI402" s="628">
        <v>45187.651</v>
      </c>
      <c r="GJ402" s="628">
        <v>19.270329</v>
      </c>
      <c r="GK402" s="628">
        <v>86.181313</v>
      </c>
      <c r="GL402" s="628">
        <v>91.434751</v>
      </c>
      <c r="GM402" s="628">
        <v>91.434751</v>
      </c>
      <c r="GN402" s="628">
        <v>17.221024</v>
      </c>
      <c r="GO402" s="628">
        <v>19.477896</v>
      </c>
      <c r="GP402" s="628">
        <v>79.701148</v>
      </c>
      <c r="GQ402" s="628">
        <v>0.0</v>
      </c>
      <c r="GR402" s="628">
        <v>0.0</v>
      </c>
      <c r="GS402" s="628">
        <v>247.98275</v>
      </c>
      <c r="GT402" s="628">
        <v>108.33021</v>
      </c>
      <c r="GU402" s="628">
        <v>283.80692</v>
      </c>
      <c r="GV402" s="628">
        <v>1591.9127</v>
      </c>
      <c r="GW402" s="628">
        <v>25.076059</v>
      </c>
      <c r="GX402" s="628">
        <v>29.748134</v>
      </c>
      <c r="GY402" s="628">
        <v>26.994845</v>
      </c>
      <c r="GZ402" s="628">
        <v>24.745481</v>
      </c>
      <c r="HA402" s="628">
        <v>0.0</v>
      </c>
      <c r="HB402" s="628">
        <v>0.0</v>
      </c>
      <c r="HC402" s="628">
        <v>0.0</v>
      </c>
      <c r="HD402" s="628">
        <v>2239.1419</v>
      </c>
      <c r="HE402" s="628">
        <v>4486.5223</v>
      </c>
      <c r="HF402" s="628">
        <v>24.745481</v>
      </c>
      <c r="HG402" s="628">
        <v>26.994845</v>
      </c>
      <c r="HH402" s="628">
        <v>18929.79</v>
      </c>
      <c r="HI402" s="628">
        <v>0.0</v>
      </c>
      <c r="HJ402" s="628">
        <v>79.701148</v>
      </c>
      <c r="HK402" s="628">
        <v>3765.8528</v>
      </c>
      <c r="HL402" s="628">
        <v>77159.522</v>
      </c>
      <c r="HM402" s="628">
        <v>53282.305</v>
      </c>
      <c r="HN402" s="628">
        <v>161377.58</v>
      </c>
      <c r="HO402" s="628">
        <v>177680.12</v>
      </c>
      <c r="HP402" s="628">
        <v>140377.53</v>
      </c>
      <c r="HQ402" s="628">
        <v>10521.912</v>
      </c>
      <c r="HR402" s="628">
        <v>919.81004</v>
      </c>
      <c r="HS402" s="628">
        <v>562.95591</v>
      </c>
      <c r="HT402" s="628">
        <v>699.91166</v>
      </c>
      <c r="HU402" s="628">
        <v>1001.7583</v>
      </c>
      <c r="HV402" s="628">
        <v>724.16528</v>
      </c>
      <c r="HW402" s="628">
        <v>90651.873</v>
      </c>
      <c r="HX402" s="628">
        <v>1215.6109</v>
      </c>
      <c r="HY402" s="628">
        <v>816.03302</v>
      </c>
      <c r="HZ402" s="628">
        <v>2290.1505</v>
      </c>
      <c r="IA402" s="628">
        <v>1124.3871</v>
      </c>
      <c r="IB402" s="628">
        <v>1335.7677</v>
      </c>
      <c r="IC402" s="628">
        <v>25458.145</v>
      </c>
      <c r="ID402" s="628">
        <v>18158.53</v>
      </c>
      <c r="IE402" s="628">
        <v>8933.2878</v>
      </c>
      <c r="IF402" s="628">
        <v>2621.1142</v>
      </c>
      <c r="IG402" s="628">
        <v>9740.7899</v>
      </c>
      <c r="IH402" s="628">
        <v>5652.892</v>
      </c>
      <c r="II402" s="628">
        <v>16696.255</v>
      </c>
      <c r="IJ402" s="628">
        <v>18573.966</v>
      </c>
      <c r="IK402" s="628">
        <v>19136.366</v>
      </c>
      <c r="IL402" s="628">
        <v>10017.562</v>
      </c>
      <c r="IM402" s="628">
        <v>10422.839</v>
      </c>
      <c r="IN402" s="628">
        <v>7785.9756</v>
      </c>
      <c r="IO402" s="628">
        <v>12254.202</v>
      </c>
      <c r="IP402" s="628">
        <v>5080.8568</v>
      </c>
      <c r="IQ402" s="628">
        <v>16839.342</v>
      </c>
      <c r="IR402" s="628">
        <v>12574.738</v>
      </c>
      <c r="IS402" s="628">
        <v>5634.21</v>
      </c>
      <c r="IT402" s="628">
        <v>9348.9022</v>
      </c>
      <c r="IU402" s="628">
        <v>18489.098</v>
      </c>
      <c r="IV402" s="628">
        <v>8640.327</v>
      </c>
      <c r="IW402" s="628">
        <v>8458.0989</v>
      </c>
      <c r="IX402" s="628">
        <v>1023.4176</v>
      </c>
      <c r="IY402" s="628">
        <v>19624.135</v>
      </c>
      <c r="IZ402" s="628">
        <v>7354.7668</v>
      </c>
      <c r="JA402" s="628">
        <v>377.27405</v>
      </c>
      <c r="JB402" s="628">
        <v>1663.5498</v>
      </c>
      <c r="JC402" s="628">
        <v>55349.835</v>
      </c>
      <c r="JD402" s="628">
        <v>90829.408</v>
      </c>
      <c r="JE402" s="628">
        <v>49592.669</v>
      </c>
      <c r="JF402" s="628">
        <v>44644.525</v>
      </c>
      <c r="JG402" s="628">
        <v>80143.634</v>
      </c>
      <c r="JH402" s="628">
        <v>80100.914</v>
      </c>
      <c r="JI402" s="628">
        <v>92335.382</v>
      </c>
      <c r="JJ402" s="628">
        <v>118357.42</v>
      </c>
      <c r="JK402" s="628">
        <v>70898.1</v>
      </c>
      <c r="JL402" s="628">
        <v>106412.43</v>
      </c>
      <c r="JM402" s="628">
        <v>103029.18</v>
      </c>
      <c r="JN402" s="628">
        <v>907.82763</v>
      </c>
      <c r="JO402" s="628">
        <v>875.67309</v>
      </c>
      <c r="JP402" s="628">
        <v>953.03655</v>
      </c>
      <c r="JQ402" s="628">
        <v>920.88202</v>
      </c>
      <c r="JR402" s="628">
        <v>39.848792</v>
      </c>
      <c r="JS402" s="628">
        <v>35.92862</v>
      </c>
      <c r="JT402" s="628">
        <v>27364.949</v>
      </c>
      <c r="JU402" s="628">
        <v>4703.0217</v>
      </c>
      <c r="JV402" s="628">
        <v>134.00298</v>
      </c>
      <c r="JW402" s="628">
        <v>2964.2701</v>
      </c>
      <c r="JX402" s="628">
        <v>128.99639</v>
      </c>
      <c r="JY402" s="628">
        <v>124865.29</v>
      </c>
      <c r="JZ402" s="628">
        <v>43450.573</v>
      </c>
      <c r="KA402" s="628">
        <v>211791.7</v>
      </c>
      <c r="KB402" s="628">
        <v>76400.852</v>
      </c>
      <c r="KC402" s="628">
        <v>742431.17</v>
      </c>
      <c r="KD402" s="628">
        <v>110593.5</v>
      </c>
      <c r="KE402" s="628">
        <v>26412.104</v>
      </c>
      <c r="KF402" s="628">
        <v>118504.51</v>
      </c>
      <c r="KG402" s="628">
        <v>35274.052</v>
      </c>
      <c r="KH402" s="628">
        <v>5596122.6</v>
      </c>
      <c r="KI402" s="628">
        <v>903448.09</v>
      </c>
      <c r="KJ402" s="628">
        <v>982041.69</v>
      </c>
      <c r="KK402" s="628">
        <v>2950.5433</v>
      </c>
      <c r="KL402" s="628">
        <v>6525.3151</v>
      </c>
      <c r="KM402" s="628">
        <v>86402.905</v>
      </c>
      <c r="KN402" s="628">
        <v>211.56081</v>
      </c>
      <c r="KO402" s="628">
        <v>444.65257</v>
      </c>
      <c r="KP402" s="628">
        <v>195.10015</v>
      </c>
      <c r="KQ402" s="628">
        <v>348.49539</v>
      </c>
      <c r="KR402" s="628">
        <v>424.8605</v>
      </c>
      <c r="KS402" s="628">
        <v>265.32492</v>
      </c>
      <c r="KT402" s="628">
        <v>1080.263</v>
      </c>
      <c r="KU402" s="628">
        <v>5881.5376</v>
      </c>
      <c r="KV402" s="628">
        <v>587.76408</v>
      </c>
      <c r="KW402" s="628">
        <v>598.96849</v>
      </c>
      <c r="KX402" s="628">
        <v>764.55705</v>
      </c>
      <c r="KY402" s="628">
        <v>836.01192</v>
      </c>
      <c r="KZ402" s="628">
        <v>722.07754</v>
      </c>
      <c r="LA402" s="628">
        <v>1333.9625</v>
      </c>
      <c r="LB402" s="628">
        <v>791.80635</v>
      </c>
      <c r="LC402" s="628">
        <v>2244.6854</v>
      </c>
      <c r="LD402" s="628">
        <v>875.55962</v>
      </c>
      <c r="LE402" s="628">
        <v>654.44453</v>
      </c>
      <c r="LF402" s="628">
        <v>5309.3404</v>
      </c>
      <c r="LG402" s="628">
        <v>1775.6155</v>
      </c>
      <c r="LH402" s="628">
        <v>2096.1846</v>
      </c>
      <c r="LI402" s="628">
        <v>6760.2068</v>
      </c>
      <c r="LJ402" s="628">
        <v>1922.4941</v>
      </c>
      <c r="LK402" s="628">
        <v>7566.0123</v>
      </c>
      <c r="LL402" s="628">
        <v>1943.9913</v>
      </c>
      <c r="LM402" s="628">
        <v>3605.9141</v>
      </c>
      <c r="LN402" s="628">
        <v>9243.4622</v>
      </c>
      <c r="LO402" s="628">
        <v>2584.0748</v>
      </c>
      <c r="LP402" s="628">
        <v>1926.8715</v>
      </c>
      <c r="LQ402" s="628">
        <v>5112.5566</v>
      </c>
      <c r="LR402" s="628">
        <v>3215.1236</v>
      </c>
      <c r="LS402" s="628">
        <v>4467.4366</v>
      </c>
      <c r="LT402" s="628">
        <v>4738.5631</v>
      </c>
      <c r="LU402" s="628">
        <v>1256237.9</v>
      </c>
      <c r="LV402" s="628">
        <v>546121.12</v>
      </c>
      <c r="LW402" s="628">
        <v>38848.462</v>
      </c>
      <c r="LX402" s="628">
        <v>48594.951</v>
      </c>
      <c r="LY402" s="628">
        <v>204.20363</v>
      </c>
      <c r="LZ402" s="628">
        <v>2857.9338</v>
      </c>
      <c r="MA402" s="628">
        <v>6966.6942</v>
      </c>
      <c r="MB402" s="628">
        <v>11047.647</v>
      </c>
      <c r="MC402" s="628">
        <v>1111.3198</v>
      </c>
      <c r="MD402" s="628">
        <v>1013.7739</v>
      </c>
      <c r="ME402" s="628">
        <v>1004.5561</v>
      </c>
      <c r="MF402" s="628">
        <v>137464.4</v>
      </c>
      <c r="MG402" s="628">
        <v>274.01732</v>
      </c>
      <c r="MH402" s="628">
        <v>132.18948</v>
      </c>
      <c r="MI402" s="628">
        <v>35.928619</v>
      </c>
      <c r="MJ402" s="628">
        <v>2999.5144</v>
      </c>
      <c r="MK402" s="628">
        <v>352.26035</v>
      </c>
      <c r="ML402" s="628">
        <v>393.06109</v>
      </c>
      <c r="MM402" s="628">
        <v>372.33692</v>
      </c>
      <c r="MN402" s="628">
        <v>332.78894</v>
      </c>
      <c r="MO402" s="628">
        <v>285.86551</v>
      </c>
      <c r="MP402" s="628">
        <v>267.24187</v>
      </c>
      <c r="MQ402" s="628">
        <v>474.8342</v>
      </c>
      <c r="MR402" s="628">
        <v>457.35989</v>
      </c>
      <c r="MS402" s="628">
        <v>321.85416</v>
      </c>
      <c r="MT402" s="628">
        <v>398.8429</v>
      </c>
      <c r="MU402" s="628">
        <v>382.59267</v>
      </c>
      <c r="MV402" s="628">
        <v>307.90254</v>
      </c>
      <c r="MW402" s="628">
        <v>7122.2267</v>
      </c>
      <c r="MX402" s="628">
        <v>254915.19</v>
      </c>
      <c r="MY402" s="628">
        <v>228109.53</v>
      </c>
      <c r="MZ402" s="628">
        <v>128832.83</v>
      </c>
      <c r="NA402" s="628">
        <v>1200.3244</v>
      </c>
      <c r="NB402" s="628">
        <v>1389.9237</v>
      </c>
      <c r="NC402" s="628">
        <v>2959.7431</v>
      </c>
      <c r="ND402" s="628">
        <v>86752.33</v>
      </c>
      <c r="NE402" s="628">
        <v>28199.131</v>
      </c>
      <c r="NF402" s="628">
        <v>93758.071</v>
      </c>
      <c r="NG402" s="628">
        <v>151873.95</v>
      </c>
      <c r="NH402" s="628">
        <v>3574.5286</v>
      </c>
      <c r="NI402" s="628">
        <v>16095.235</v>
      </c>
      <c r="NJ402" s="628">
        <v>29927.558</v>
      </c>
      <c r="NK402" s="628">
        <v>3339.6474</v>
      </c>
      <c r="NL402" s="628">
        <v>596.11146</v>
      </c>
      <c r="NM402" s="628">
        <v>1284.6197</v>
      </c>
      <c r="NN402" s="628">
        <v>35758.592</v>
      </c>
      <c r="NO402" s="628">
        <v>15821.194</v>
      </c>
      <c r="NP402" s="628">
        <v>284.09798</v>
      </c>
      <c r="NQ402" s="628">
        <v>248072.38</v>
      </c>
      <c r="NR402" s="628">
        <v>387314.9</v>
      </c>
      <c r="NS402" s="628">
        <v>416398.15</v>
      </c>
      <c r="NT402" s="628">
        <v>300592.23</v>
      </c>
      <c r="NU402" s="628">
        <v>200929.67</v>
      </c>
      <c r="NV402" s="628">
        <v>507.86445</v>
      </c>
      <c r="NW402" s="628">
        <v>41062.837</v>
      </c>
      <c r="NX402" s="30"/>
      <c r="NY402" s="628">
        <v>0.0</v>
      </c>
      <c r="NZ402" s="628">
        <v>1357.0</v>
      </c>
      <c r="OA402" s="628">
        <v>97.38</v>
      </c>
      <c r="OB402" s="629">
        <v>1257.1</v>
      </c>
      <c r="OC402" s="629">
        <v>2942.616147786361</v>
      </c>
      <c r="OD402" s="626"/>
      <c r="OE402" s="629">
        <f t="shared" ref="OE402:OE406" si="2">SUMPRODUCT(OF402:OG402,OF$426:OG$426)</f>
        <v>140243.4126</v>
      </c>
      <c r="OF402" s="629">
        <f t="shared" ref="OF402:OG402" si="1">SUM(OF403:OF423)</f>
        <v>102690.9842</v>
      </c>
      <c r="OG402" s="629">
        <f t="shared" si="1"/>
        <v>146251.8011</v>
      </c>
      <c r="OH402" s="30"/>
      <c r="OI402" s="626"/>
      <c r="OJ402" s="626"/>
      <c r="OK402" s="626"/>
      <c r="OL402" s="626"/>
      <c r="OM402" s="626"/>
      <c r="ON402" s="626"/>
    </row>
    <row r="403" ht="12.75" customHeight="1">
      <c r="A403" s="55" t="s">
        <v>4979</v>
      </c>
      <c r="B403" s="55" t="s">
        <v>4978</v>
      </c>
      <c r="C403" s="630">
        <v>2.996152</v>
      </c>
      <c r="D403" s="630">
        <v>11.326187</v>
      </c>
      <c r="E403" s="630">
        <v>6.1796334</v>
      </c>
      <c r="F403" s="630">
        <v>8.216633</v>
      </c>
      <c r="G403" s="630">
        <v>0.33684801</v>
      </c>
      <c r="H403" s="630">
        <v>0.31206341</v>
      </c>
      <c r="I403" s="630">
        <v>11.28743</v>
      </c>
      <c r="J403" s="630">
        <v>61.575274</v>
      </c>
      <c r="K403" s="630">
        <v>3.3666136</v>
      </c>
      <c r="L403" s="630">
        <v>531.31439</v>
      </c>
      <c r="M403" s="630">
        <v>250.19785</v>
      </c>
      <c r="N403" s="630">
        <v>12.871844</v>
      </c>
      <c r="O403" s="630">
        <v>117.42565</v>
      </c>
      <c r="P403" s="630">
        <v>14.698054</v>
      </c>
      <c r="Q403" s="630">
        <v>11.605293</v>
      </c>
      <c r="R403" s="630">
        <v>0.21138463</v>
      </c>
      <c r="S403" s="630">
        <v>0.0179948</v>
      </c>
      <c r="T403" s="630">
        <v>5.8065789E-4</v>
      </c>
      <c r="U403" s="630">
        <v>0.011439853</v>
      </c>
      <c r="V403" s="630">
        <v>0.0</v>
      </c>
      <c r="W403" s="630">
        <v>0.61547005</v>
      </c>
      <c r="X403" s="630">
        <v>3.964379</v>
      </c>
      <c r="Y403" s="630">
        <v>3.9174062</v>
      </c>
      <c r="Z403" s="630">
        <v>0.60165482</v>
      </c>
      <c r="AA403" s="630">
        <v>12.124059</v>
      </c>
      <c r="AB403" s="630">
        <v>11.657749</v>
      </c>
      <c r="AC403" s="630">
        <v>0.0080443131</v>
      </c>
      <c r="AD403" s="630">
        <v>0.027066646</v>
      </c>
      <c r="AE403" s="630">
        <v>172.06361</v>
      </c>
      <c r="AF403" s="630">
        <v>243.88023</v>
      </c>
      <c r="AG403" s="630">
        <v>173.30921</v>
      </c>
      <c r="AH403" s="630">
        <v>0.54425026</v>
      </c>
      <c r="AI403" s="630">
        <v>0.45956192</v>
      </c>
      <c r="AJ403" s="630">
        <v>2.0301869</v>
      </c>
      <c r="AK403" s="630">
        <v>0.54568036</v>
      </c>
      <c r="AL403" s="630">
        <v>0.32458854</v>
      </c>
      <c r="AM403" s="630">
        <v>0.57236841</v>
      </c>
      <c r="AN403" s="630">
        <v>0.33505924</v>
      </c>
      <c r="AO403" s="630">
        <v>0.60289568</v>
      </c>
      <c r="AP403" s="630">
        <v>0.36084965</v>
      </c>
      <c r="AQ403" s="630">
        <v>0.58772854</v>
      </c>
      <c r="AR403" s="630">
        <v>0.34232479</v>
      </c>
      <c r="AS403" s="630">
        <v>0.63900083</v>
      </c>
      <c r="AT403" s="630">
        <v>0.45481626</v>
      </c>
      <c r="AU403" s="630">
        <v>1.0549789</v>
      </c>
      <c r="AV403" s="630">
        <v>444.53378</v>
      </c>
      <c r="AW403" s="630">
        <v>516.83933</v>
      </c>
      <c r="AX403" s="630">
        <v>562.06438</v>
      </c>
      <c r="AY403" s="630">
        <v>6.5508094</v>
      </c>
      <c r="AZ403" s="630">
        <v>0.062767036</v>
      </c>
      <c r="BA403" s="630">
        <v>1.0899967</v>
      </c>
      <c r="BB403" s="630">
        <v>0.3186588</v>
      </c>
      <c r="BC403" s="630">
        <v>0.34706527</v>
      </c>
      <c r="BD403" s="630">
        <v>0.27091163</v>
      </c>
      <c r="BE403" s="630">
        <v>0.30212566</v>
      </c>
      <c r="BF403" s="630">
        <v>1.9408739</v>
      </c>
      <c r="BG403" s="630">
        <v>0.13823366</v>
      </c>
      <c r="BH403" s="630">
        <v>0.1489529</v>
      </c>
      <c r="BI403" s="630">
        <v>0.66978173</v>
      </c>
      <c r="BJ403" s="630">
        <v>5.0347938</v>
      </c>
      <c r="BK403" s="630">
        <v>7.6824473</v>
      </c>
      <c r="BL403" s="630">
        <v>4.1951354</v>
      </c>
      <c r="BM403" s="630">
        <v>6.8427889</v>
      </c>
      <c r="BN403" s="630">
        <v>2204.4025</v>
      </c>
      <c r="BO403" s="630">
        <v>0.081216062</v>
      </c>
      <c r="BP403" s="630">
        <v>0.11308425</v>
      </c>
      <c r="BQ403" s="630">
        <v>199.62222</v>
      </c>
      <c r="BR403" s="630">
        <v>223.4498</v>
      </c>
      <c r="BS403" s="630">
        <v>205.624</v>
      </c>
      <c r="BT403" s="630">
        <v>319.99521</v>
      </c>
      <c r="BU403" s="630">
        <v>144.47179</v>
      </c>
      <c r="BV403" s="630">
        <v>209.12481</v>
      </c>
      <c r="BW403" s="630">
        <v>0.16099971</v>
      </c>
      <c r="BX403" s="630">
        <v>159.08587</v>
      </c>
      <c r="BY403" s="630">
        <v>5.5712912</v>
      </c>
      <c r="BZ403" s="630">
        <v>1.3636465</v>
      </c>
      <c r="CA403" s="630">
        <v>0.03672836</v>
      </c>
      <c r="CB403" s="630">
        <v>0.023313542</v>
      </c>
      <c r="CC403" s="630">
        <v>0.027346683</v>
      </c>
      <c r="CD403" s="630">
        <v>0.031863894</v>
      </c>
      <c r="CE403" s="630">
        <v>434.02838</v>
      </c>
      <c r="CF403" s="630">
        <v>745.79149</v>
      </c>
      <c r="CG403" s="630">
        <v>52.182113</v>
      </c>
      <c r="CH403" s="630">
        <v>70.185804</v>
      </c>
      <c r="CI403" s="630">
        <v>0.024211383</v>
      </c>
      <c r="CJ403" s="630">
        <v>0.17389152</v>
      </c>
      <c r="CK403" s="630">
        <v>0.16357238</v>
      </c>
      <c r="CL403" s="630">
        <v>0.013291416</v>
      </c>
      <c r="CM403" s="630">
        <v>0.019767989</v>
      </c>
      <c r="CN403" s="630">
        <v>3.896019</v>
      </c>
      <c r="CO403" s="630">
        <v>5.7511848</v>
      </c>
      <c r="CP403" s="630">
        <v>3.373295</v>
      </c>
      <c r="CQ403" s="630">
        <v>16.332856</v>
      </c>
      <c r="CR403" s="630">
        <v>24.728607</v>
      </c>
      <c r="CS403" s="630">
        <v>24.728607</v>
      </c>
      <c r="CT403" s="630">
        <v>0.0061057473</v>
      </c>
      <c r="CU403" s="630">
        <v>0.12952783</v>
      </c>
      <c r="CV403" s="630">
        <v>0.01296295</v>
      </c>
      <c r="CW403" s="630">
        <v>0.015025519</v>
      </c>
      <c r="CX403" s="630">
        <v>3.3053154</v>
      </c>
      <c r="CY403" s="630">
        <v>2.5046952</v>
      </c>
      <c r="CZ403" s="630">
        <v>1.7752316</v>
      </c>
      <c r="DA403" s="630">
        <v>1.8478568</v>
      </c>
      <c r="DB403" s="630">
        <v>0.041592314</v>
      </c>
      <c r="DC403" s="630">
        <v>0.012447902</v>
      </c>
      <c r="DD403" s="630">
        <v>0.58657532</v>
      </c>
      <c r="DE403" s="630">
        <v>0.75790736</v>
      </c>
      <c r="DF403" s="630">
        <v>0.50376996</v>
      </c>
      <c r="DG403" s="630">
        <v>0.58657532</v>
      </c>
      <c r="DH403" s="630">
        <v>0.75790736</v>
      </c>
      <c r="DI403" s="630">
        <v>0.82738071</v>
      </c>
      <c r="DJ403" s="630">
        <v>0.91193548</v>
      </c>
      <c r="DK403" s="630">
        <v>0.91193548</v>
      </c>
      <c r="DL403" s="630">
        <v>1.0832675</v>
      </c>
      <c r="DM403" s="630">
        <v>0.91193548</v>
      </c>
      <c r="DN403" s="630">
        <v>1.0832675</v>
      </c>
      <c r="DO403" s="630">
        <v>0.012447902</v>
      </c>
      <c r="DP403" s="630">
        <v>0.043163556</v>
      </c>
      <c r="DQ403" s="630">
        <v>0.045197161</v>
      </c>
      <c r="DR403" s="630">
        <v>0.047907508</v>
      </c>
      <c r="DS403" s="630">
        <v>0.081651199</v>
      </c>
      <c r="DT403" s="630">
        <v>0.34131657</v>
      </c>
      <c r="DU403" s="630">
        <v>5.9672994</v>
      </c>
      <c r="DV403" s="630">
        <v>2.2761016</v>
      </c>
      <c r="DW403" s="630">
        <v>3.9169956</v>
      </c>
      <c r="DX403" s="630">
        <v>165.36684</v>
      </c>
      <c r="DY403" s="630">
        <v>2.6238237</v>
      </c>
      <c r="DZ403" s="630">
        <v>2.1001179</v>
      </c>
      <c r="EA403" s="630">
        <v>0.011439853</v>
      </c>
      <c r="EB403" s="630">
        <v>0.006187389</v>
      </c>
      <c r="EC403" s="630">
        <v>0.012236662</v>
      </c>
      <c r="ED403" s="630">
        <v>5.6001152</v>
      </c>
      <c r="EE403" s="630">
        <v>0.0049424275</v>
      </c>
      <c r="EF403" s="630">
        <v>0.0</v>
      </c>
      <c r="EG403" s="630">
        <v>0.0</v>
      </c>
      <c r="EH403" s="630">
        <v>0.0</v>
      </c>
      <c r="EI403" s="630">
        <v>0.0051883277</v>
      </c>
      <c r="EJ403" s="630">
        <v>0.0049379722</v>
      </c>
      <c r="EK403" s="630">
        <v>0.7674534</v>
      </c>
      <c r="EL403" s="630">
        <v>0.0</v>
      </c>
      <c r="EM403" s="630">
        <v>0.0</v>
      </c>
      <c r="EN403" s="630">
        <v>0.0</v>
      </c>
      <c r="EO403" s="630">
        <v>0.0</v>
      </c>
      <c r="EP403" s="630">
        <v>12.597664</v>
      </c>
      <c r="EQ403" s="630">
        <v>24.660526</v>
      </c>
      <c r="ER403" s="630">
        <v>0.0</v>
      </c>
      <c r="ES403" s="630">
        <v>0.0</v>
      </c>
      <c r="ET403" s="630">
        <v>0.21696008</v>
      </c>
      <c r="EU403" s="630">
        <v>0.023767096</v>
      </c>
      <c r="EV403" s="630">
        <v>0.023767096</v>
      </c>
      <c r="EW403" s="630">
        <v>0.010350288</v>
      </c>
      <c r="EX403" s="630">
        <v>0.1051062</v>
      </c>
      <c r="EY403" s="630">
        <v>0.79039845</v>
      </c>
      <c r="EZ403" s="630">
        <v>0.70468327</v>
      </c>
      <c r="FA403" s="630">
        <v>0.17355543</v>
      </c>
      <c r="FB403" s="630">
        <v>0.33682998</v>
      </c>
      <c r="FC403" s="630">
        <v>0.11088309</v>
      </c>
      <c r="FD403" s="630">
        <v>0.36477534</v>
      </c>
      <c r="FE403" s="630">
        <v>1.4283565</v>
      </c>
      <c r="FF403" s="630">
        <v>0.078619098</v>
      </c>
      <c r="FG403" s="630">
        <v>0.099198918</v>
      </c>
      <c r="FH403" s="630">
        <v>0.088293102</v>
      </c>
      <c r="FI403" s="630">
        <v>0.047943836</v>
      </c>
      <c r="FJ403" s="630">
        <v>0.62273598</v>
      </c>
      <c r="FK403" s="630">
        <v>0.39258008</v>
      </c>
      <c r="FL403" s="630">
        <v>0.077125595</v>
      </c>
      <c r="FM403" s="630">
        <v>0.056552122</v>
      </c>
      <c r="FN403" s="630">
        <v>0.69711655</v>
      </c>
      <c r="FO403" s="630">
        <v>12.293149</v>
      </c>
      <c r="FP403" s="630">
        <v>0.12478641</v>
      </c>
      <c r="FQ403" s="630">
        <v>0.48145007</v>
      </c>
      <c r="FR403" s="630">
        <v>0.26507283</v>
      </c>
      <c r="FS403" s="630">
        <v>0.52334576</v>
      </c>
      <c r="FT403" s="630">
        <v>0.022686528</v>
      </c>
      <c r="FU403" s="630">
        <v>1.0278971</v>
      </c>
      <c r="FV403" s="630">
        <v>0.12450587</v>
      </c>
      <c r="FW403" s="630">
        <v>0.012236662</v>
      </c>
      <c r="FX403" s="630">
        <v>0.12315597</v>
      </c>
      <c r="FY403" s="630">
        <v>0.012236662</v>
      </c>
      <c r="FZ403" s="630">
        <v>1.5729222</v>
      </c>
      <c r="GA403" s="630">
        <v>3.9610283</v>
      </c>
      <c r="GB403" s="630">
        <v>1.5129557</v>
      </c>
      <c r="GC403" s="630">
        <v>0.29464343</v>
      </c>
      <c r="GD403" s="630">
        <v>0.31156829</v>
      </c>
      <c r="GE403" s="630">
        <v>0.50372415</v>
      </c>
      <c r="GF403" s="630">
        <v>0.22162897</v>
      </c>
      <c r="GG403" s="630">
        <v>1.8578282</v>
      </c>
      <c r="GH403" s="630">
        <v>14.382622</v>
      </c>
      <c r="GI403" s="630">
        <v>8.9536634</v>
      </c>
      <c r="GJ403" s="630">
        <v>0.0043094272</v>
      </c>
      <c r="GK403" s="630">
        <v>0.046446212</v>
      </c>
      <c r="GL403" s="630">
        <v>0.023857767</v>
      </c>
      <c r="GM403" s="630">
        <v>0.023857767</v>
      </c>
      <c r="GN403" s="630">
        <v>0.012236662</v>
      </c>
      <c r="GO403" s="630">
        <v>0.0043355474</v>
      </c>
      <c r="GP403" s="630">
        <v>0.020796157</v>
      </c>
      <c r="GQ403" s="630">
        <v>0.0</v>
      </c>
      <c r="GR403" s="630">
        <v>0.0</v>
      </c>
      <c r="GS403" s="630">
        <v>0.17620793</v>
      </c>
      <c r="GT403" s="630">
        <v>0.076971258</v>
      </c>
      <c r="GU403" s="630">
        <v>0.10348865</v>
      </c>
      <c r="GV403" s="630">
        <v>0.29156817</v>
      </c>
      <c r="GW403" s="630">
        <v>0.0055643892</v>
      </c>
      <c r="GX403" s="630">
        <v>0.0085568393</v>
      </c>
      <c r="GY403" s="630">
        <v>0.0094310198</v>
      </c>
      <c r="GZ403" s="630">
        <v>0.0086451735</v>
      </c>
      <c r="HA403" s="630">
        <v>0.0</v>
      </c>
      <c r="HB403" s="630">
        <v>0.0</v>
      </c>
      <c r="HC403" s="630">
        <v>0.0</v>
      </c>
      <c r="HD403" s="630">
        <v>0.090324937</v>
      </c>
      <c r="HE403" s="630">
        <v>1.0379011</v>
      </c>
      <c r="HF403" s="630">
        <v>0.0086451735</v>
      </c>
      <c r="HG403" s="630">
        <v>0.0094310198</v>
      </c>
      <c r="HH403" s="630">
        <v>3.5887144</v>
      </c>
      <c r="HI403" s="630">
        <v>0.0</v>
      </c>
      <c r="HJ403" s="630">
        <v>0.020796157</v>
      </c>
      <c r="HK403" s="630">
        <v>0.12305443</v>
      </c>
      <c r="HL403" s="630">
        <v>902.48125</v>
      </c>
      <c r="HM403" s="630">
        <v>40.222129</v>
      </c>
      <c r="HN403" s="630">
        <v>112.2208</v>
      </c>
      <c r="HO403" s="630">
        <v>960.77311</v>
      </c>
      <c r="HP403" s="630">
        <v>744.80749</v>
      </c>
      <c r="HQ403" s="630">
        <v>17.846295</v>
      </c>
      <c r="HR403" s="630">
        <v>0.71939635</v>
      </c>
      <c r="HS403" s="630">
        <v>0.14626412</v>
      </c>
      <c r="HT403" s="630">
        <v>0.7154407</v>
      </c>
      <c r="HU403" s="630">
        <v>0.98183514</v>
      </c>
      <c r="HV403" s="630">
        <v>0.82166001</v>
      </c>
      <c r="HW403" s="630">
        <v>109.25148</v>
      </c>
      <c r="HX403" s="630">
        <v>1.1429735</v>
      </c>
      <c r="HY403" s="630">
        <v>0.9015043</v>
      </c>
      <c r="HZ403" s="630">
        <v>2.3549834</v>
      </c>
      <c r="IA403" s="630">
        <v>44.707675</v>
      </c>
      <c r="IB403" s="630">
        <v>46.327066</v>
      </c>
      <c r="IC403" s="630">
        <v>20.398406</v>
      </c>
      <c r="ID403" s="630">
        <v>30.925475</v>
      </c>
      <c r="IE403" s="630">
        <v>73.046579</v>
      </c>
      <c r="IF403" s="630">
        <v>5.4102185</v>
      </c>
      <c r="IG403" s="630">
        <v>14.519823</v>
      </c>
      <c r="IH403" s="630">
        <v>19.468303</v>
      </c>
      <c r="II403" s="630">
        <v>37.87653</v>
      </c>
      <c r="IJ403" s="630">
        <v>15.035061</v>
      </c>
      <c r="IK403" s="630">
        <v>15.000249</v>
      </c>
      <c r="IL403" s="630">
        <v>7.6752707</v>
      </c>
      <c r="IM403" s="630">
        <v>16.670414</v>
      </c>
      <c r="IN403" s="630">
        <v>5.3624481</v>
      </c>
      <c r="IO403" s="630">
        <v>25.269527</v>
      </c>
      <c r="IP403" s="630">
        <v>5.7814486</v>
      </c>
      <c r="IQ403" s="630">
        <v>11.070236</v>
      </c>
      <c r="IR403" s="630">
        <v>10.109974</v>
      </c>
      <c r="IS403" s="630">
        <v>17.631214</v>
      </c>
      <c r="IT403" s="630">
        <v>30.521825</v>
      </c>
      <c r="IU403" s="630">
        <v>15.384253</v>
      </c>
      <c r="IV403" s="630">
        <v>9.5361265</v>
      </c>
      <c r="IW403" s="630">
        <v>5.4126617</v>
      </c>
      <c r="IX403" s="630">
        <v>0.39424681</v>
      </c>
      <c r="IY403" s="630">
        <v>21.256767</v>
      </c>
      <c r="IZ403" s="630">
        <v>22.079648</v>
      </c>
      <c r="JA403" s="630">
        <v>0.028886371</v>
      </c>
      <c r="JB403" s="630">
        <v>0.0</v>
      </c>
      <c r="JC403" s="630">
        <v>1581.9885</v>
      </c>
      <c r="JD403" s="630">
        <v>2523.9217</v>
      </c>
      <c r="JE403" s="630">
        <v>1348.6962</v>
      </c>
      <c r="JF403" s="630">
        <v>1340.7129</v>
      </c>
      <c r="JG403" s="630">
        <v>2282.6028</v>
      </c>
      <c r="JH403" s="630">
        <v>2040.2013</v>
      </c>
      <c r="JI403" s="630">
        <v>2502.4733</v>
      </c>
      <c r="JJ403" s="630">
        <v>3205.9843</v>
      </c>
      <c r="JK403" s="630">
        <v>2018.1732</v>
      </c>
      <c r="JL403" s="630">
        <v>2964.2587</v>
      </c>
      <c r="JM403" s="630">
        <v>2743.7941</v>
      </c>
      <c r="JN403" s="630">
        <v>0.40698676</v>
      </c>
      <c r="JO403" s="630">
        <v>0.37508453</v>
      </c>
      <c r="JP403" s="630">
        <v>0.44516083</v>
      </c>
      <c r="JQ403" s="630">
        <v>0.41325861</v>
      </c>
      <c r="JR403" s="630">
        <v>0.090029937</v>
      </c>
      <c r="JS403" s="630">
        <v>0.087249057</v>
      </c>
      <c r="JT403" s="630">
        <v>4376.4016</v>
      </c>
      <c r="JU403" s="630">
        <v>121.07943</v>
      </c>
      <c r="JV403" s="630">
        <v>12.123584</v>
      </c>
      <c r="JW403" s="630">
        <v>128.36503</v>
      </c>
      <c r="JX403" s="630">
        <v>13.224036</v>
      </c>
      <c r="JY403" s="630">
        <v>121.77763</v>
      </c>
      <c r="JZ403" s="630">
        <v>88.850709</v>
      </c>
      <c r="KA403" s="630">
        <v>38.492704</v>
      </c>
      <c r="KB403" s="630">
        <v>45.579962</v>
      </c>
      <c r="KC403" s="630">
        <v>249.1121</v>
      </c>
      <c r="KD403" s="630">
        <v>39.573023</v>
      </c>
      <c r="KE403" s="630">
        <v>17.729468</v>
      </c>
      <c r="KF403" s="630">
        <v>119.70167</v>
      </c>
      <c r="KG403" s="630">
        <v>19.245357</v>
      </c>
      <c r="KH403" s="630">
        <v>3788.3643</v>
      </c>
      <c r="KI403" s="630">
        <v>1607.558</v>
      </c>
      <c r="KJ403" s="630">
        <v>1583.8707</v>
      </c>
      <c r="KK403" s="630">
        <v>6.0082513</v>
      </c>
      <c r="KL403" s="630">
        <v>1.5496202</v>
      </c>
      <c r="KM403" s="630">
        <v>114.82961</v>
      </c>
      <c r="KN403" s="630">
        <v>0.034631511</v>
      </c>
      <c r="KO403" s="630">
        <v>0.11695388</v>
      </c>
      <c r="KP403" s="630">
        <v>0.32682375</v>
      </c>
      <c r="KQ403" s="630">
        <v>0.22975693</v>
      </c>
      <c r="KR403" s="630">
        <v>20.868822</v>
      </c>
      <c r="KS403" s="630">
        <v>0.13776898</v>
      </c>
      <c r="KT403" s="630">
        <v>0.71802007</v>
      </c>
      <c r="KU403" s="630">
        <v>2.8019256</v>
      </c>
      <c r="KV403" s="630">
        <v>0.60453282</v>
      </c>
      <c r="KW403" s="630">
        <v>0.97406344</v>
      </c>
      <c r="KX403" s="630">
        <v>1.0123904</v>
      </c>
      <c r="KY403" s="630">
        <v>1.027569</v>
      </c>
      <c r="KZ403" s="630">
        <v>1.0045155</v>
      </c>
      <c r="LA403" s="630">
        <v>1.1549217</v>
      </c>
      <c r="LB403" s="630">
        <v>0.7410779</v>
      </c>
      <c r="LC403" s="630">
        <v>3.5504024</v>
      </c>
      <c r="LD403" s="630">
        <v>1.459931</v>
      </c>
      <c r="LE403" s="630">
        <v>0.42888894</v>
      </c>
      <c r="LF403" s="630">
        <v>9.0473275</v>
      </c>
      <c r="LG403" s="630">
        <v>0.98179414</v>
      </c>
      <c r="LH403" s="630">
        <v>1.2354675</v>
      </c>
      <c r="LI403" s="630">
        <v>5.8443332</v>
      </c>
      <c r="LJ403" s="630">
        <v>2.137009</v>
      </c>
      <c r="LK403" s="630">
        <v>3.545922</v>
      </c>
      <c r="LL403" s="630">
        <v>2.4927942</v>
      </c>
      <c r="LM403" s="630">
        <v>6.4399259</v>
      </c>
      <c r="LN403" s="630">
        <v>7.6054497</v>
      </c>
      <c r="LO403" s="630">
        <v>4.5561623</v>
      </c>
      <c r="LP403" s="630">
        <v>3.6624405</v>
      </c>
      <c r="LQ403" s="630">
        <v>13.655258</v>
      </c>
      <c r="LR403" s="630">
        <v>16.088052</v>
      </c>
      <c r="LS403" s="630">
        <v>2.8652048</v>
      </c>
      <c r="LT403" s="630">
        <v>3.5717222</v>
      </c>
      <c r="LU403" s="630">
        <v>593.30794</v>
      </c>
      <c r="LV403" s="630">
        <v>378.89375</v>
      </c>
      <c r="LW403" s="630">
        <v>24.332602</v>
      </c>
      <c r="LX403" s="630">
        <v>28.375073</v>
      </c>
      <c r="LY403" s="630">
        <v>0.12644821</v>
      </c>
      <c r="LZ403" s="630">
        <v>0.9836009</v>
      </c>
      <c r="MA403" s="630">
        <v>51.309713</v>
      </c>
      <c r="MB403" s="630">
        <v>12.542325</v>
      </c>
      <c r="MC403" s="630">
        <v>0.75822448</v>
      </c>
      <c r="MD403" s="630">
        <v>0.72131157</v>
      </c>
      <c r="ME403" s="630">
        <v>0.82882007</v>
      </c>
      <c r="MF403" s="630">
        <v>722.80751</v>
      </c>
      <c r="MG403" s="630">
        <v>0.094568493</v>
      </c>
      <c r="MH403" s="630">
        <v>0.12696205</v>
      </c>
      <c r="MI403" s="630">
        <v>0.087249057</v>
      </c>
      <c r="MJ403" s="630">
        <v>1.9191026</v>
      </c>
      <c r="MK403" s="630">
        <v>0.12470865</v>
      </c>
      <c r="ML403" s="630">
        <v>0.15299013</v>
      </c>
      <c r="MM403" s="630">
        <v>0.13354307</v>
      </c>
      <c r="MN403" s="630">
        <v>0.10833461</v>
      </c>
      <c r="MO403" s="630">
        <v>0.09484329</v>
      </c>
      <c r="MP403" s="630">
        <v>0.08167178</v>
      </c>
      <c r="MQ403" s="630">
        <v>0.16926792</v>
      </c>
      <c r="MR403" s="630">
        <v>0.1564991</v>
      </c>
      <c r="MS403" s="630">
        <v>0.09157334</v>
      </c>
      <c r="MT403" s="630">
        <v>0.13705756</v>
      </c>
      <c r="MU403" s="630">
        <v>0.12654194</v>
      </c>
      <c r="MV403" s="630">
        <v>0.084685153</v>
      </c>
      <c r="MW403" s="630">
        <v>1.7555612</v>
      </c>
      <c r="MX403" s="630">
        <v>167.83896</v>
      </c>
      <c r="MY403" s="630">
        <v>137.19628</v>
      </c>
      <c r="MZ403" s="630">
        <v>75.524221</v>
      </c>
      <c r="NA403" s="630">
        <v>10.1401</v>
      </c>
      <c r="NB403" s="630">
        <v>10.176364</v>
      </c>
      <c r="NC403" s="630">
        <v>9.8127438</v>
      </c>
      <c r="ND403" s="630">
        <v>44.724566</v>
      </c>
      <c r="NE403" s="630">
        <v>22.514231</v>
      </c>
      <c r="NF403" s="630">
        <v>108.93307</v>
      </c>
      <c r="NG403" s="630">
        <v>90.476623</v>
      </c>
      <c r="NH403" s="630">
        <v>2.5323341</v>
      </c>
      <c r="NI403" s="630">
        <v>5.7555164</v>
      </c>
      <c r="NJ403" s="630">
        <v>57.763478</v>
      </c>
      <c r="NK403" s="630">
        <v>4.1930308</v>
      </c>
      <c r="NL403" s="630">
        <v>0.41878581</v>
      </c>
      <c r="NM403" s="630">
        <v>0.67139877</v>
      </c>
      <c r="NN403" s="630">
        <v>10.453093</v>
      </c>
      <c r="NO403" s="630">
        <v>18.864973</v>
      </c>
      <c r="NP403" s="630">
        <v>2.0955805</v>
      </c>
      <c r="NQ403" s="630">
        <v>4470.1023</v>
      </c>
      <c r="NR403" s="630">
        <v>1095.5953</v>
      </c>
      <c r="NS403" s="630">
        <v>1094.6774</v>
      </c>
      <c r="NT403" s="630">
        <v>515.80181</v>
      </c>
      <c r="NU403" s="630">
        <v>212.35208</v>
      </c>
      <c r="NV403" s="630">
        <v>0.29719861</v>
      </c>
      <c r="NW403" s="630">
        <v>10.222332</v>
      </c>
      <c r="NY403" s="630">
        <v>0.0</v>
      </c>
      <c r="NZ403" s="630"/>
      <c r="OA403" s="630">
        <v>0.103</v>
      </c>
      <c r="OB403" s="631">
        <v>0.8</v>
      </c>
      <c r="OC403" s="631"/>
      <c r="OD403" s="626"/>
      <c r="OE403" s="631">
        <f t="shared" si="2"/>
        <v>236.7490227</v>
      </c>
      <c r="OF403" s="631">
        <v>251.14155795412546</v>
      </c>
      <c r="OG403" s="630">
        <v>234.44621704278893</v>
      </c>
      <c r="OI403" s="626"/>
      <c r="OJ403" s="626"/>
      <c r="OK403" s="626"/>
      <c r="OL403" s="626"/>
      <c r="OM403" s="626"/>
      <c r="ON403" s="626"/>
    </row>
    <row r="404" ht="12.75" customHeight="1">
      <c r="A404" s="55" t="s">
        <v>4980</v>
      </c>
      <c r="B404" s="55" t="s">
        <v>4978</v>
      </c>
      <c r="C404" s="630">
        <v>174.20381</v>
      </c>
      <c r="D404" s="630">
        <v>65.078804</v>
      </c>
      <c r="E404" s="630">
        <v>364.07738</v>
      </c>
      <c r="F404" s="630">
        <v>300.07823</v>
      </c>
      <c r="G404" s="630">
        <v>20.703593</v>
      </c>
      <c r="H404" s="630">
        <v>19.693407</v>
      </c>
      <c r="I404" s="630">
        <v>51.867633</v>
      </c>
      <c r="J404" s="630">
        <v>2888.8231</v>
      </c>
      <c r="K404" s="630">
        <v>273.89887</v>
      </c>
      <c r="L404" s="630">
        <v>3343.7704</v>
      </c>
      <c r="M404" s="630">
        <v>2546.6723</v>
      </c>
      <c r="N404" s="630">
        <v>355.55599</v>
      </c>
      <c r="O404" s="630">
        <v>180.05655</v>
      </c>
      <c r="P404" s="630">
        <v>347.59994</v>
      </c>
      <c r="Q404" s="630">
        <v>4.8935206</v>
      </c>
      <c r="R404" s="630">
        <v>11.027956</v>
      </c>
      <c r="S404" s="630">
        <v>0.74472118</v>
      </c>
      <c r="T404" s="630">
        <v>0.034882519</v>
      </c>
      <c r="U404" s="630">
        <v>0.68350326</v>
      </c>
      <c r="V404" s="630">
        <v>0.0</v>
      </c>
      <c r="W404" s="630">
        <v>87.693213</v>
      </c>
      <c r="X404" s="630">
        <v>112.43976</v>
      </c>
      <c r="Y404" s="630">
        <v>110.18282</v>
      </c>
      <c r="Z404" s="630">
        <v>85.681293</v>
      </c>
      <c r="AA404" s="630">
        <v>15.696516</v>
      </c>
      <c r="AB404" s="630">
        <v>15.092804</v>
      </c>
      <c r="AC404" s="630">
        <v>0.94828713</v>
      </c>
      <c r="AD404" s="630">
        <v>21.803817</v>
      </c>
      <c r="AE404" s="630">
        <v>8054.8897</v>
      </c>
      <c r="AF404" s="630">
        <v>11089.685</v>
      </c>
      <c r="AG404" s="630">
        <v>8075.1094</v>
      </c>
      <c r="AH404" s="630">
        <v>94.201882</v>
      </c>
      <c r="AI404" s="630">
        <v>191.96308</v>
      </c>
      <c r="AJ404" s="630">
        <v>172.57353</v>
      </c>
      <c r="AK404" s="630">
        <v>119.46184</v>
      </c>
      <c r="AL404" s="630">
        <v>63.0594</v>
      </c>
      <c r="AM404" s="630">
        <v>129.1544</v>
      </c>
      <c r="AN404" s="630">
        <v>68.709407</v>
      </c>
      <c r="AO404" s="630">
        <v>132.68458</v>
      </c>
      <c r="AP404" s="630">
        <v>74.059638</v>
      </c>
      <c r="AQ404" s="630">
        <v>131.69477</v>
      </c>
      <c r="AR404" s="630">
        <v>72.25561</v>
      </c>
      <c r="AS404" s="630">
        <v>145.44659</v>
      </c>
      <c r="AT404" s="630">
        <v>98.532575</v>
      </c>
      <c r="AU404" s="630">
        <v>154.27373</v>
      </c>
      <c r="AV404" s="630">
        <v>16815.626</v>
      </c>
      <c r="AW404" s="630">
        <v>23020.226</v>
      </c>
      <c r="AX404" s="630">
        <v>25423.902</v>
      </c>
      <c r="AY404" s="630">
        <v>148.38171</v>
      </c>
      <c r="AZ404" s="630">
        <v>9.410039</v>
      </c>
      <c r="BA404" s="630">
        <v>81.891083</v>
      </c>
      <c r="BB404" s="630">
        <v>19.290032</v>
      </c>
      <c r="BC404" s="630">
        <v>21.664576</v>
      </c>
      <c r="BD404" s="630">
        <v>9.3140396</v>
      </c>
      <c r="BE404" s="630">
        <v>12.467603</v>
      </c>
      <c r="BF404" s="630">
        <v>2.7980601</v>
      </c>
      <c r="BG404" s="630">
        <v>9.1931474</v>
      </c>
      <c r="BH404" s="630">
        <v>8.6932475</v>
      </c>
      <c r="BI404" s="630">
        <v>46.9412</v>
      </c>
      <c r="BJ404" s="630">
        <v>196.65789</v>
      </c>
      <c r="BK404" s="630">
        <v>292.81479</v>
      </c>
      <c r="BL404" s="630">
        <v>120.41974</v>
      </c>
      <c r="BM404" s="630">
        <v>216.57664</v>
      </c>
      <c r="BN404" s="630">
        <v>9566.8331</v>
      </c>
      <c r="BO404" s="630">
        <v>1.7026838</v>
      </c>
      <c r="BP404" s="630">
        <v>2.6439222</v>
      </c>
      <c r="BQ404" s="630">
        <v>4290.5255</v>
      </c>
      <c r="BR404" s="630">
        <v>4861.0357</v>
      </c>
      <c r="BS404" s="630">
        <v>5123.1167</v>
      </c>
      <c r="BT404" s="630">
        <v>10710.491</v>
      </c>
      <c r="BU404" s="630">
        <v>5082.5788</v>
      </c>
      <c r="BV404" s="630">
        <v>7123.8228</v>
      </c>
      <c r="BW404" s="630">
        <v>5.8862554</v>
      </c>
      <c r="BX404" s="630">
        <v>7824.809</v>
      </c>
      <c r="BY404" s="630">
        <v>120.34606</v>
      </c>
      <c r="BZ404" s="630">
        <v>110.72049</v>
      </c>
      <c r="CA404" s="630">
        <v>2.0596302</v>
      </c>
      <c r="CB404" s="630">
        <v>1.3071368</v>
      </c>
      <c r="CC404" s="630">
        <v>1.5333726</v>
      </c>
      <c r="CD404" s="630">
        <v>1.7867619</v>
      </c>
      <c r="CE404" s="630">
        <v>14091.255</v>
      </c>
      <c r="CF404" s="630">
        <v>25316.938</v>
      </c>
      <c r="CG404" s="630">
        <v>2844.8495</v>
      </c>
      <c r="CH404" s="630">
        <v>3427.6123</v>
      </c>
      <c r="CI404" s="630">
        <v>1.5849414</v>
      </c>
      <c r="CJ404" s="630">
        <v>4.7087127</v>
      </c>
      <c r="CK404" s="630">
        <v>6.549611</v>
      </c>
      <c r="CL404" s="630">
        <v>0.86773906</v>
      </c>
      <c r="CM404" s="630">
        <v>1.1081671</v>
      </c>
      <c r="CN404" s="630">
        <v>512.86533</v>
      </c>
      <c r="CO404" s="630">
        <v>749.97859</v>
      </c>
      <c r="CP404" s="630">
        <v>444.05483</v>
      </c>
      <c r="CQ404" s="630">
        <v>2150.0294</v>
      </c>
      <c r="CR404" s="630">
        <v>3255.2319</v>
      </c>
      <c r="CS404" s="630">
        <v>3255.2319</v>
      </c>
      <c r="CT404" s="630">
        <v>0.63694067</v>
      </c>
      <c r="CU404" s="630">
        <v>2.70548</v>
      </c>
      <c r="CV404" s="630">
        <v>1.0254052</v>
      </c>
      <c r="CW404" s="630">
        <v>0.95945829</v>
      </c>
      <c r="CX404" s="630">
        <v>257.68328</v>
      </c>
      <c r="CY404" s="630">
        <v>51.075543</v>
      </c>
      <c r="CZ404" s="630">
        <v>108.51709</v>
      </c>
      <c r="DA404" s="630">
        <v>105.24593</v>
      </c>
      <c r="DB404" s="630">
        <v>1.3128789</v>
      </c>
      <c r="DC404" s="630">
        <v>0.85121683</v>
      </c>
      <c r="DD404" s="630">
        <v>16.882324</v>
      </c>
      <c r="DE404" s="630">
        <v>25.735123</v>
      </c>
      <c r="DF404" s="630">
        <v>16.306609</v>
      </c>
      <c r="DG404" s="630">
        <v>16.882324</v>
      </c>
      <c r="DH404" s="630">
        <v>25.735123</v>
      </c>
      <c r="DI404" s="630">
        <v>24.958596</v>
      </c>
      <c r="DJ404" s="630">
        <v>25.546474</v>
      </c>
      <c r="DK404" s="630">
        <v>25.546474</v>
      </c>
      <c r="DL404" s="630">
        <v>34.399273</v>
      </c>
      <c r="DM404" s="630">
        <v>25.546474</v>
      </c>
      <c r="DN404" s="630">
        <v>34.399273</v>
      </c>
      <c r="DO404" s="630">
        <v>0.85121683</v>
      </c>
      <c r="DP404" s="630">
        <v>1.0633874</v>
      </c>
      <c r="DQ404" s="630">
        <v>1.6518824</v>
      </c>
      <c r="DR404" s="630">
        <v>1.6284741</v>
      </c>
      <c r="DS404" s="630">
        <v>1.6504452</v>
      </c>
      <c r="DT404" s="630">
        <v>7.914129</v>
      </c>
      <c r="DU404" s="630">
        <v>13.024291</v>
      </c>
      <c r="DV404" s="630">
        <v>19.729904</v>
      </c>
      <c r="DW404" s="630">
        <v>42.579357</v>
      </c>
      <c r="DX404" s="630">
        <v>367.21193</v>
      </c>
      <c r="DY404" s="630">
        <v>96.594754</v>
      </c>
      <c r="DZ404" s="630">
        <v>100.81241</v>
      </c>
      <c r="EA404" s="630">
        <v>0.68350326</v>
      </c>
      <c r="EB404" s="630">
        <v>0.66662642</v>
      </c>
      <c r="EC404" s="630">
        <v>0.80472006</v>
      </c>
      <c r="ED404" s="630">
        <v>38.6711</v>
      </c>
      <c r="EE404" s="630">
        <v>0.5997239</v>
      </c>
      <c r="EF404" s="630">
        <v>0.0</v>
      </c>
      <c r="EG404" s="630">
        <v>0.0</v>
      </c>
      <c r="EH404" s="630">
        <v>0.0</v>
      </c>
      <c r="EI404" s="630">
        <v>0.68298264</v>
      </c>
      <c r="EJ404" s="630">
        <v>0.59842914</v>
      </c>
      <c r="EK404" s="630">
        <v>17.26909</v>
      </c>
      <c r="EL404" s="630">
        <v>0.0</v>
      </c>
      <c r="EM404" s="630">
        <v>0.0</v>
      </c>
      <c r="EN404" s="630">
        <v>0.0</v>
      </c>
      <c r="EO404" s="630">
        <v>0.0</v>
      </c>
      <c r="EP404" s="630">
        <v>1638.2931</v>
      </c>
      <c r="EQ404" s="630">
        <v>3226.2278</v>
      </c>
      <c r="ER404" s="630">
        <v>0.0</v>
      </c>
      <c r="ES404" s="630">
        <v>0.0</v>
      </c>
      <c r="ET404" s="630">
        <v>5.6388954</v>
      </c>
      <c r="EU404" s="630">
        <v>0.75021838</v>
      </c>
      <c r="EV404" s="630">
        <v>0.75021838</v>
      </c>
      <c r="EW404" s="630">
        <v>0.50513638</v>
      </c>
      <c r="EX404" s="630">
        <v>3.3343063</v>
      </c>
      <c r="EY404" s="630">
        <v>19.556659</v>
      </c>
      <c r="EZ404" s="630">
        <v>19.000197</v>
      </c>
      <c r="FA404" s="630">
        <v>2.9908778</v>
      </c>
      <c r="FB404" s="630">
        <v>7.7515127</v>
      </c>
      <c r="FC404" s="630">
        <v>2.3052842</v>
      </c>
      <c r="FD404" s="630">
        <v>4.4275688</v>
      </c>
      <c r="FE404" s="630">
        <v>26.632863</v>
      </c>
      <c r="FF404" s="630">
        <v>6.3933291</v>
      </c>
      <c r="FG404" s="630">
        <v>8.0668864</v>
      </c>
      <c r="FH404" s="630">
        <v>3.5375725</v>
      </c>
      <c r="FI404" s="630">
        <v>1.9209292</v>
      </c>
      <c r="FJ404" s="630">
        <v>6.7010891</v>
      </c>
      <c r="FK404" s="630">
        <v>3.4029971</v>
      </c>
      <c r="FL404" s="630">
        <v>3.0901325</v>
      </c>
      <c r="FM404" s="630">
        <v>2.2658308</v>
      </c>
      <c r="FN404" s="630">
        <v>8.4265862</v>
      </c>
      <c r="FO404" s="630">
        <v>29.343264</v>
      </c>
      <c r="FP404" s="630">
        <v>10.147669</v>
      </c>
      <c r="FQ404" s="630">
        <v>4.9433815</v>
      </c>
      <c r="FR404" s="630">
        <v>15.837454</v>
      </c>
      <c r="FS404" s="630">
        <v>5.7560208</v>
      </c>
      <c r="FT404" s="630">
        <v>0.71610979</v>
      </c>
      <c r="FU404" s="630">
        <v>67.599153</v>
      </c>
      <c r="FV404" s="630">
        <v>8.1750158</v>
      </c>
      <c r="FW404" s="630">
        <v>0.80472007</v>
      </c>
      <c r="FX404" s="630">
        <v>8.0943623</v>
      </c>
      <c r="FY404" s="630">
        <v>0.80472007</v>
      </c>
      <c r="FZ404" s="630">
        <v>22.644558</v>
      </c>
      <c r="GA404" s="630">
        <v>178.14932</v>
      </c>
      <c r="GB404" s="630">
        <v>19.143733</v>
      </c>
      <c r="GC404" s="630">
        <v>9.3005437</v>
      </c>
      <c r="GD404" s="630">
        <v>9.7175084</v>
      </c>
      <c r="GE404" s="630">
        <v>52.547606</v>
      </c>
      <c r="GF404" s="630">
        <v>9.9678784</v>
      </c>
      <c r="GG404" s="630">
        <v>32.921138</v>
      </c>
      <c r="GH404" s="630">
        <v>444.67611</v>
      </c>
      <c r="GI404" s="630">
        <v>275.79134</v>
      </c>
      <c r="GJ404" s="630">
        <v>0.3866833</v>
      </c>
      <c r="GK404" s="630">
        <v>1.2617888</v>
      </c>
      <c r="GL404" s="630">
        <v>0.75308046</v>
      </c>
      <c r="GM404" s="630">
        <v>0.75308046</v>
      </c>
      <c r="GN404" s="630">
        <v>0.80472006</v>
      </c>
      <c r="GO404" s="630">
        <v>0.39427413</v>
      </c>
      <c r="GP404" s="630">
        <v>0.65643944</v>
      </c>
      <c r="GQ404" s="630">
        <v>0.0</v>
      </c>
      <c r="GR404" s="630">
        <v>0.0</v>
      </c>
      <c r="GS404" s="630">
        <v>11.587969</v>
      </c>
      <c r="GT404" s="630">
        <v>5.0620933</v>
      </c>
      <c r="GU404" s="630">
        <v>4.6121889</v>
      </c>
      <c r="GV404" s="630">
        <v>2.0271651</v>
      </c>
      <c r="GW404" s="630">
        <v>0.60627242</v>
      </c>
      <c r="GX404" s="630">
        <v>0.80573601</v>
      </c>
      <c r="GY404" s="630">
        <v>0.42416504</v>
      </c>
      <c r="GZ404" s="630">
        <v>0.38882119</v>
      </c>
      <c r="HA404" s="630">
        <v>0.0</v>
      </c>
      <c r="HB404" s="630">
        <v>0.0</v>
      </c>
      <c r="HC404" s="630">
        <v>0.0</v>
      </c>
      <c r="HD404" s="630">
        <v>2.6065027</v>
      </c>
      <c r="HE404" s="630">
        <v>13.826791</v>
      </c>
      <c r="HF404" s="630">
        <v>0.38882119</v>
      </c>
      <c r="HG404" s="630">
        <v>0.42416504</v>
      </c>
      <c r="HH404" s="630">
        <v>472.41227</v>
      </c>
      <c r="HI404" s="630">
        <v>0.0</v>
      </c>
      <c r="HJ404" s="630">
        <v>0.65643944</v>
      </c>
      <c r="HK404" s="630">
        <v>4.2499931</v>
      </c>
      <c r="HL404" s="630">
        <v>4244.746</v>
      </c>
      <c r="HM404" s="630">
        <v>3151.2633</v>
      </c>
      <c r="HN404" s="630">
        <v>4379.0073</v>
      </c>
      <c r="HO404" s="630">
        <v>5269.4928</v>
      </c>
      <c r="HP404" s="630">
        <v>3781.3867</v>
      </c>
      <c r="HQ404" s="630">
        <v>550.6563</v>
      </c>
      <c r="HR404" s="630">
        <v>56.355826</v>
      </c>
      <c r="HS404" s="630">
        <v>22.725037</v>
      </c>
      <c r="HT404" s="630">
        <v>26.875916</v>
      </c>
      <c r="HU404" s="630">
        <v>42.109655</v>
      </c>
      <c r="HV404" s="630">
        <v>31.358978</v>
      </c>
      <c r="HW404" s="630">
        <v>9148.1124</v>
      </c>
      <c r="HX404" s="630">
        <v>67.67697</v>
      </c>
      <c r="HY404" s="630">
        <v>59.80678</v>
      </c>
      <c r="HZ404" s="630">
        <v>321.65772</v>
      </c>
      <c r="IA404" s="630">
        <v>49.632942</v>
      </c>
      <c r="IB404" s="630">
        <v>57.960844</v>
      </c>
      <c r="IC404" s="630">
        <v>786.69636</v>
      </c>
      <c r="ID404" s="630">
        <v>758.69014</v>
      </c>
      <c r="IE404" s="630">
        <v>234.09658</v>
      </c>
      <c r="IF404" s="630">
        <v>180.92983</v>
      </c>
      <c r="IG404" s="630">
        <v>721.22779</v>
      </c>
      <c r="IH404" s="630">
        <v>445.90389</v>
      </c>
      <c r="II404" s="630">
        <v>1369.2931</v>
      </c>
      <c r="IJ404" s="630">
        <v>617.70355</v>
      </c>
      <c r="IK404" s="630">
        <v>556.77299</v>
      </c>
      <c r="IL404" s="630">
        <v>697.44309</v>
      </c>
      <c r="IM404" s="630">
        <v>403.37678</v>
      </c>
      <c r="IN404" s="630">
        <v>629.02858</v>
      </c>
      <c r="IO404" s="630">
        <v>774.45582</v>
      </c>
      <c r="IP404" s="630">
        <v>424.69313</v>
      </c>
      <c r="IQ404" s="630">
        <v>1148.1146</v>
      </c>
      <c r="IR404" s="630">
        <v>885.78503</v>
      </c>
      <c r="IS404" s="630">
        <v>543.28625</v>
      </c>
      <c r="IT404" s="630">
        <v>688.46431</v>
      </c>
      <c r="IU404" s="630">
        <v>554.4496</v>
      </c>
      <c r="IV404" s="630">
        <v>616.33274</v>
      </c>
      <c r="IW404" s="630">
        <v>307.88398</v>
      </c>
      <c r="IX404" s="630">
        <v>71.454515</v>
      </c>
      <c r="IY404" s="630">
        <v>944.23817</v>
      </c>
      <c r="IZ404" s="630">
        <v>492.94566</v>
      </c>
      <c r="JA404" s="630">
        <v>1.6094418</v>
      </c>
      <c r="JB404" s="630">
        <v>102.0058</v>
      </c>
      <c r="JC404" s="630">
        <v>2826.4875</v>
      </c>
      <c r="JD404" s="630">
        <v>4866.0524</v>
      </c>
      <c r="JE404" s="630">
        <v>2473.4684</v>
      </c>
      <c r="JF404" s="630">
        <v>2124.6072</v>
      </c>
      <c r="JG404" s="630">
        <v>4165.8898</v>
      </c>
      <c r="JH404" s="630">
        <v>4070.9423</v>
      </c>
      <c r="JI404" s="630">
        <v>4646.8117</v>
      </c>
      <c r="JJ404" s="630">
        <v>6033.4935</v>
      </c>
      <c r="JK404" s="630">
        <v>3241.9669</v>
      </c>
      <c r="JL404" s="630">
        <v>5279.5131</v>
      </c>
      <c r="JM404" s="630">
        <v>5347.2858</v>
      </c>
      <c r="JN404" s="630">
        <v>50.916288</v>
      </c>
      <c r="JO404" s="630">
        <v>49.466593</v>
      </c>
      <c r="JP404" s="630">
        <v>53.398097</v>
      </c>
      <c r="JQ404" s="630">
        <v>51.948402</v>
      </c>
      <c r="JR404" s="630">
        <v>0.46469103</v>
      </c>
      <c r="JS404" s="630">
        <v>0.21477786</v>
      </c>
      <c r="JT404" s="630">
        <v>1422.9084</v>
      </c>
      <c r="JU404" s="630">
        <v>298.09023</v>
      </c>
      <c r="JV404" s="630">
        <v>7.9133202</v>
      </c>
      <c r="JW404" s="630">
        <v>161.06326</v>
      </c>
      <c r="JX404" s="630">
        <v>7.9769453</v>
      </c>
      <c r="JY404" s="630">
        <v>8146.0357</v>
      </c>
      <c r="JZ404" s="630">
        <v>2775.3365</v>
      </c>
      <c r="KA404" s="630">
        <v>14374.98</v>
      </c>
      <c r="KB404" s="630">
        <v>4461.1819</v>
      </c>
      <c r="KC404" s="630">
        <v>18190.396</v>
      </c>
      <c r="KD404" s="630">
        <v>2625.1196</v>
      </c>
      <c r="KE404" s="630">
        <v>1698.6326</v>
      </c>
      <c r="KF404" s="630">
        <v>5217.8249</v>
      </c>
      <c r="KG404" s="630">
        <v>1750.6794</v>
      </c>
      <c r="KH404" s="630">
        <v>130457.02</v>
      </c>
      <c r="KI404" s="630">
        <v>43214.915</v>
      </c>
      <c r="KJ404" s="630">
        <v>39954.589</v>
      </c>
      <c r="KK404" s="630">
        <v>154.55842</v>
      </c>
      <c r="KL404" s="630">
        <v>50.492403</v>
      </c>
      <c r="KM404" s="630">
        <v>2504.821</v>
      </c>
      <c r="KN404" s="630">
        <v>11.850574</v>
      </c>
      <c r="KO404" s="630">
        <v>18.4543</v>
      </c>
      <c r="KP404" s="630">
        <v>4.7040058</v>
      </c>
      <c r="KQ404" s="630">
        <v>15.889002</v>
      </c>
      <c r="KR404" s="630">
        <v>22.037461</v>
      </c>
      <c r="KS404" s="630">
        <v>23.999831</v>
      </c>
      <c r="KT404" s="630">
        <v>71.158811</v>
      </c>
      <c r="KU404" s="630">
        <v>299.53054</v>
      </c>
      <c r="KV404" s="630">
        <v>31.484936</v>
      </c>
      <c r="KW404" s="630">
        <v>36.786847</v>
      </c>
      <c r="KX404" s="630">
        <v>42.605241</v>
      </c>
      <c r="KY404" s="630">
        <v>44.811629</v>
      </c>
      <c r="KZ404" s="630">
        <v>41.5506</v>
      </c>
      <c r="LA404" s="630">
        <v>51.955482</v>
      </c>
      <c r="LB404" s="630">
        <v>54.562122</v>
      </c>
      <c r="LC404" s="630">
        <v>308.81669</v>
      </c>
      <c r="LD404" s="630">
        <v>59.510225</v>
      </c>
      <c r="LE404" s="630">
        <v>43.281595</v>
      </c>
      <c r="LF404" s="630">
        <v>418.21153</v>
      </c>
      <c r="LG404" s="630">
        <v>99.443536</v>
      </c>
      <c r="LH404" s="630">
        <v>116.10843</v>
      </c>
      <c r="LI404" s="630">
        <v>390.30878</v>
      </c>
      <c r="LJ404" s="630">
        <v>287.93399</v>
      </c>
      <c r="LK404" s="630">
        <v>494.95248</v>
      </c>
      <c r="LL404" s="630">
        <v>282.05113</v>
      </c>
      <c r="LM404" s="630">
        <v>369.1994</v>
      </c>
      <c r="LN404" s="630">
        <v>360.1743</v>
      </c>
      <c r="LO404" s="630">
        <v>303.49342</v>
      </c>
      <c r="LP404" s="630">
        <v>95.161974</v>
      </c>
      <c r="LQ404" s="630">
        <v>368.39011</v>
      </c>
      <c r="LR404" s="630">
        <v>230.15891</v>
      </c>
      <c r="LS404" s="630">
        <v>214.23158</v>
      </c>
      <c r="LT404" s="630">
        <v>274.13704</v>
      </c>
      <c r="LU404" s="630">
        <v>25138.949</v>
      </c>
      <c r="LV404" s="630">
        <v>14219.098</v>
      </c>
      <c r="LW404" s="630">
        <v>831.51583</v>
      </c>
      <c r="LX404" s="630">
        <v>1460.8171</v>
      </c>
      <c r="LY404" s="630">
        <v>4.399978</v>
      </c>
      <c r="LZ404" s="630">
        <v>44.284705</v>
      </c>
      <c r="MA404" s="630">
        <v>237.30696</v>
      </c>
      <c r="MB404" s="630">
        <v>556.99734</v>
      </c>
      <c r="MC404" s="630">
        <v>53.767097</v>
      </c>
      <c r="MD404" s="630">
        <v>49.558107</v>
      </c>
      <c r="ME404" s="630">
        <v>43.412825</v>
      </c>
      <c r="MF404" s="630">
        <v>4235.0039</v>
      </c>
      <c r="MG404" s="630">
        <v>13.257103</v>
      </c>
      <c r="MH404" s="630">
        <v>4.4774544</v>
      </c>
      <c r="MI404" s="630">
        <v>0.21477786</v>
      </c>
      <c r="MJ404" s="630">
        <v>137.61951</v>
      </c>
      <c r="MK404" s="630">
        <v>21.327094</v>
      </c>
      <c r="ML404" s="630">
        <v>23.026084</v>
      </c>
      <c r="MM404" s="630">
        <v>22.241876</v>
      </c>
      <c r="MN404" s="630">
        <v>20.551885</v>
      </c>
      <c r="MO404" s="630">
        <v>17.225515</v>
      </c>
      <c r="MP404" s="630">
        <v>16.447307</v>
      </c>
      <c r="MQ404" s="630">
        <v>25.479143</v>
      </c>
      <c r="MR404" s="630">
        <v>24.502106</v>
      </c>
      <c r="MS404" s="630">
        <v>17.612086</v>
      </c>
      <c r="MT404" s="630">
        <v>20.959012</v>
      </c>
      <c r="MU404" s="630">
        <v>20.045343</v>
      </c>
      <c r="MV404" s="630">
        <v>16.773752</v>
      </c>
      <c r="MW404" s="630">
        <v>63.938403</v>
      </c>
      <c r="MX404" s="630">
        <v>10217.955</v>
      </c>
      <c r="MY404" s="630">
        <v>9394.3406</v>
      </c>
      <c r="MZ404" s="630">
        <v>5287.4908</v>
      </c>
      <c r="NA404" s="630">
        <v>63.321212</v>
      </c>
      <c r="NB404" s="630">
        <v>76.884266</v>
      </c>
      <c r="NC404" s="630">
        <v>190.66081</v>
      </c>
      <c r="ND404" s="630">
        <v>2921.6708</v>
      </c>
      <c r="NE404" s="630">
        <v>1875.5237</v>
      </c>
      <c r="NF404" s="630">
        <v>11099.059</v>
      </c>
      <c r="NG404" s="630">
        <v>3601.5105</v>
      </c>
      <c r="NH404" s="630">
        <v>96.248262</v>
      </c>
      <c r="NI404" s="630">
        <v>196.4158</v>
      </c>
      <c r="NJ404" s="630">
        <v>389.50453</v>
      </c>
      <c r="NK404" s="630">
        <v>309.7921</v>
      </c>
      <c r="NL404" s="630">
        <v>23.999682</v>
      </c>
      <c r="NM404" s="630">
        <v>63.676026</v>
      </c>
      <c r="NN404" s="630">
        <v>223.55282</v>
      </c>
      <c r="NO404" s="630">
        <v>1473.934</v>
      </c>
      <c r="NP404" s="630">
        <v>12.188882</v>
      </c>
      <c r="NQ404" s="630">
        <v>11192.021</v>
      </c>
      <c r="NR404" s="630">
        <v>20486.684</v>
      </c>
      <c r="NS404" s="630">
        <v>18682.125</v>
      </c>
      <c r="NT404" s="630">
        <v>13415.257</v>
      </c>
      <c r="NU404" s="630">
        <v>8645.6939</v>
      </c>
      <c r="NV404" s="630">
        <v>19.039967</v>
      </c>
      <c r="NW404" s="630">
        <v>328.18072</v>
      </c>
      <c r="NY404" s="630">
        <v>0.0</v>
      </c>
      <c r="NZ404" s="630"/>
      <c r="OA404" s="630">
        <v>3.41</v>
      </c>
      <c r="OB404" s="631">
        <v>66.1</v>
      </c>
      <c r="OC404" s="631"/>
      <c r="OD404" s="626"/>
      <c r="OE404" s="631">
        <f t="shared" si="2"/>
        <v>9176.300246</v>
      </c>
      <c r="OF404" s="631">
        <v>8519.987090878943</v>
      </c>
      <c r="OG404" s="630">
        <v>9281.310350385233</v>
      </c>
      <c r="OI404" s="626"/>
      <c r="OJ404" s="626"/>
      <c r="OK404" s="626"/>
      <c r="OL404" s="626"/>
      <c r="OM404" s="626"/>
      <c r="ON404" s="626"/>
    </row>
    <row r="405" ht="12.75" customHeight="1">
      <c r="A405" s="55" t="s">
        <v>4981</v>
      </c>
      <c r="B405" s="55" t="s">
        <v>4978</v>
      </c>
      <c r="C405" s="630">
        <v>142.58251</v>
      </c>
      <c r="D405" s="630">
        <v>36.807795</v>
      </c>
      <c r="E405" s="630">
        <v>22.588054</v>
      </c>
      <c r="F405" s="630">
        <v>15.215863</v>
      </c>
      <c r="G405" s="630">
        <v>14.031741</v>
      </c>
      <c r="H405" s="630">
        <v>14.74501</v>
      </c>
      <c r="I405" s="630">
        <v>17.912839</v>
      </c>
      <c r="J405" s="630">
        <v>172.32857</v>
      </c>
      <c r="K405" s="630">
        <v>178.97145</v>
      </c>
      <c r="L405" s="630">
        <v>7657.8661</v>
      </c>
      <c r="M405" s="630">
        <v>487.84064</v>
      </c>
      <c r="N405" s="630">
        <v>81.9254</v>
      </c>
      <c r="O405" s="630">
        <v>100.97067</v>
      </c>
      <c r="P405" s="630">
        <v>105.60348</v>
      </c>
      <c r="Q405" s="630">
        <v>22.624291</v>
      </c>
      <c r="R405" s="630">
        <v>18.233511</v>
      </c>
      <c r="S405" s="630">
        <v>0.62024718</v>
      </c>
      <c r="T405" s="630">
        <v>0.17224617</v>
      </c>
      <c r="U405" s="630">
        <v>3.4382952</v>
      </c>
      <c r="V405" s="630">
        <v>0.0</v>
      </c>
      <c r="W405" s="630">
        <v>13.094902</v>
      </c>
      <c r="X405" s="630">
        <v>21.433235</v>
      </c>
      <c r="Y405" s="630">
        <v>20.349437</v>
      </c>
      <c r="Z405" s="630">
        <v>12.093662</v>
      </c>
      <c r="AA405" s="630">
        <v>7.7596503</v>
      </c>
      <c r="AB405" s="630">
        <v>7.4612022</v>
      </c>
      <c r="AC405" s="630">
        <v>0.43913566</v>
      </c>
      <c r="AD405" s="630">
        <v>1.1998486</v>
      </c>
      <c r="AE405" s="630">
        <v>6162.4648</v>
      </c>
      <c r="AF405" s="630">
        <v>9162.9384</v>
      </c>
      <c r="AG405" s="630">
        <v>6302.1409</v>
      </c>
      <c r="AH405" s="630">
        <v>8.2880997</v>
      </c>
      <c r="AI405" s="630">
        <v>16.418678</v>
      </c>
      <c r="AJ405" s="630">
        <v>30.421378</v>
      </c>
      <c r="AK405" s="630">
        <v>17.447932</v>
      </c>
      <c r="AL405" s="630">
        <v>12.732936</v>
      </c>
      <c r="AM405" s="630">
        <v>15.350369</v>
      </c>
      <c r="AN405" s="630">
        <v>10.297311</v>
      </c>
      <c r="AO405" s="630">
        <v>11.975287</v>
      </c>
      <c r="AP405" s="630">
        <v>7.0939497</v>
      </c>
      <c r="AQ405" s="630">
        <v>11.759495</v>
      </c>
      <c r="AR405" s="630">
        <v>6.8096892</v>
      </c>
      <c r="AS405" s="630">
        <v>16.201008</v>
      </c>
      <c r="AT405" s="630">
        <v>12.279557</v>
      </c>
      <c r="AU405" s="630">
        <v>29.701924</v>
      </c>
      <c r="AV405" s="630">
        <v>15018.36</v>
      </c>
      <c r="AW405" s="630">
        <v>18810.848</v>
      </c>
      <c r="AX405" s="630">
        <v>20396.469</v>
      </c>
      <c r="AY405" s="630">
        <v>749.58111</v>
      </c>
      <c r="AZ405" s="630">
        <v>2.0402753</v>
      </c>
      <c r="BA405" s="630">
        <v>12.362272</v>
      </c>
      <c r="BB405" s="630">
        <v>4.5684997</v>
      </c>
      <c r="BC405" s="630">
        <v>5.7892602</v>
      </c>
      <c r="BD405" s="630">
        <v>39.431377</v>
      </c>
      <c r="BE405" s="630">
        <v>43.719664</v>
      </c>
      <c r="BF405" s="630">
        <v>25.100588</v>
      </c>
      <c r="BG405" s="630">
        <v>7.0625623</v>
      </c>
      <c r="BH405" s="630">
        <v>6.5537381</v>
      </c>
      <c r="BI405" s="630">
        <v>112.03461</v>
      </c>
      <c r="BJ405" s="630">
        <v>-491.36829</v>
      </c>
      <c r="BK405" s="630">
        <v>937.90625</v>
      </c>
      <c r="BL405" s="630">
        <v>148.85534</v>
      </c>
      <c r="BM405" s="630">
        <v>1556.9971</v>
      </c>
      <c r="BN405" s="630">
        <v>9769.4071</v>
      </c>
      <c r="BO405" s="630">
        <v>18.108527</v>
      </c>
      <c r="BP405" s="630">
        <v>5.0107078</v>
      </c>
      <c r="BQ405" s="630">
        <v>8160.1936</v>
      </c>
      <c r="BR405" s="630">
        <v>9063.3869</v>
      </c>
      <c r="BS405" s="630">
        <v>8000.1302</v>
      </c>
      <c r="BT405" s="630">
        <v>63171.946</v>
      </c>
      <c r="BU405" s="630">
        <v>30363.65</v>
      </c>
      <c r="BV405" s="630">
        <v>42205.296</v>
      </c>
      <c r="BW405" s="630">
        <v>9.6452296</v>
      </c>
      <c r="BX405" s="630">
        <v>38139.491</v>
      </c>
      <c r="BY405" s="630">
        <v>1000.4988</v>
      </c>
      <c r="BZ405" s="630">
        <v>23.449851</v>
      </c>
      <c r="CA405" s="630">
        <v>0.23838031</v>
      </c>
      <c r="CB405" s="630">
        <v>0.16869368</v>
      </c>
      <c r="CC405" s="630">
        <v>0.18964484</v>
      </c>
      <c r="CD405" s="630">
        <v>0.21311063</v>
      </c>
      <c r="CE405" s="630">
        <v>10465.855</v>
      </c>
      <c r="CF405" s="630">
        <v>20198.356</v>
      </c>
      <c r="CG405" s="630">
        <v>7631.3967</v>
      </c>
      <c r="CH405" s="630">
        <v>10812.331</v>
      </c>
      <c r="CI405" s="630">
        <v>5.115865</v>
      </c>
      <c r="CJ405" s="630">
        <v>2.0174089</v>
      </c>
      <c r="CK405" s="630">
        <v>9.8237453</v>
      </c>
      <c r="CL405" s="630">
        <v>3.859785</v>
      </c>
      <c r="CM405" s="630">
        <v>5.3710851</v>
      </c>
      <c r="CN405" s="630">
        <v>400.37082</v>
      </c>
      <c r="CO405" s="630">
        <v>585.84046</v>
      </c>
      <c r="CP405" s="630">
        <v>346.65357</v>
      </c>
      <c r="CQ405" s="630">
        <v>1678.4309</v>
      </c>
      <c r="CR405" s="630">
        <v>2541.2127</v>
      </c>
      <c r="CS405" s="630">
        <v>2541.2127</v>
      </c>
      <c r="CT405" s="630">
        <v>0.99666716</v>
      </c>
      <c r="CU405" s="630">
        <v>3.1081035</v>
      </c>
      <c r="CV405" s="630">
        <v>3.5795923</v>
      </c>
      <c r="CW405" s="630">
        <v>2.2474367</v>
      </c>
      <c r="CX405" s="630">
        <v>226.88603</v>
      </c>
      <c r="CY405" s="630">
        <v>40.210607</v>
      </c>
      <c r="CZ405" s="630">
        <v>241.03208</v>
      </c>
      <c r="DA405" s="630">
        <v>269.44791</v>
      </c>
      <c r="DB405" s="630">
        <v>0.7692058</v>
      </c>
      <c r="DC405" s="630">
        <v>3.5613827</v>
      </c>
      <c r="DD405" s="630">
        <v>74.57675</v>
      </c>
      <c r="DE405" s="630">
        <v>112.01393</v>
      </c>
      <c r="DF405" s="630">
        <v>74.171233</v>
      </c>
      <c r="DG405" s="630">
        <v>74.57675</v>
      </c>
      <c r="DH405" s="630">
        <v>112.01393</v>
      </c>
      <c r="DI405" s="630">
        <v>111.60811</v>
      </c>
      <c r="DJ405" s="630">
        <v>112.02219</v>
      </c>
      <c r="DK405" s="630">
        <v>112.02219</v>
      </c>
      <c r="DL405" s="630">
        <v>149.45937</v>
      </c>
      <c r="DM405" s="630">
        <v>112.02219</v>
      </c>
      <c r="DN405" s="630">
        <v>149.45937</v>
      </c>
      <c r="DO405" s="630">
        <v>3.5613827</v>
      </c>
      <c r="DP405" s="630">
        <v>1.0007826</v>
      </c>
      <c r="DQ405" s="630">
        <v>1.7345822</v>
      </c>
      <c r="DR405" s="630">
        <v>1.0171989</v>
      </c>
      <c r="DS405" s="630">
        <v>1.0470871</v>
      </c>
      <c r="DT405" s="630">
        <v>1.8158786</v>
      </c>
      <c r="DU405" s="630">
        <v>7.9723577</v>
      </c>
      <c r="DV405" s="630">
        <v>10.396085</v>
      </c>
      <c r="DW405" s="630">
        <v>22.804834</v>
      </c>
      <c r="DX405" s="630">
        <v>224.50065</v>
      </c>
      <c r="DY405" s="630">
        <v>91.675572</v>
      </c>
      <c r="DZ405" s="630">
        <v>96.371183</v>
      </c>
      <c r="EA405" s="630">
        <v>3.4382952</v>
      </c>
      <c r="EB405" s="630">
        <v>0.99908271</v>
      </c>
      <c r="EC405" s="630">
        <v>3.5427742</v>
      </c>
      <c r="ED405" s="630">
        <v>113.71356</v>
      </c>
      <c r="EE405" s="630">
        <v>0.524382</v>
      </c>
      <c r="EF405" s="630">
        <v>0.0</v>
      </c>
      <c r="EG405" s="630">
        <v>0.0</v>
      </c>
      <c r="EH405" s="630">
        <v>0.0</v>
      </c>
      <c r="EI405" s="630">
        <v>0.53317374</v>
      </c>
      <c r="EJ405" s="630">
        <v>0.52421956</v>
      </c>
      <c r="EK405" s="630">
        <v>9.7086107</v>
      </c>
      <c r="EL405" s="630">
        <v>0.0</v>
      </c>
      <c r="EM405" s="630">
        <v>0.0</v>
      </c>
      <c r="EN405" s="630">
        <v>0.0</v>
      </c>
      <c r="EO405" s="630">
        <v>0.0</v>
      </c>
      <c r="EP405" s="630">
        <v>1357.3797</v>
      </c>
      <c r="EQ405" s="630">
        <v>2597.0086</v>
      </c>
      <c r="ER405" s="630">
        <v>0.0</v>
      </c>
      <c r="ES405" s="630">
        <v>0.0</v>
      </c>
      <c r="ET405" s="630">
        <v>2.5513978</v>
      </c>
      <c r="EU405" s="630">
        <v>0.43954727</v>
      </c>
      <c r="EV405" s="630">
        <v>0.43954727</v>
      </c>
      <c r="EW405" s="630">
        <v>0.43151511</v>
      </c>
      <c r="EX405" s="630">
        <v>2.2174899</v>
      </c>
      <c r="EY405" s="630">
        <v>11.718094</v>
      </c>
      <c r="EZ405" s="630">
        <v>18.732726</v>
      </c>
      <c r="FA405" s="630">
        <v>2.9100857</v>
      </c>
      <c r="FB405" s="630">
        <v>7.0238075</v>
      </c>
      <c r="FC405" s="630">
        <v>2.1485333</v>
      </c>
      <c r="FD405" s="630">
        <v>3.7199781</v>
      </c>
      <c r="FE405" s="630">
        <v>30.818603</v>
      </c>
      <c r="FF405" s="630">
        <v>21.547878</v>
      </c>
      <c r="FG405" s="630">
        <v>27.188384</v>
      </c>
      <c r="FH405" s="630">
        <v>3.1999249</v>
      </c>
      <c r="FI405" s="630">
        <v>1.7375839</v>
      </c>
      <c r="FJ405" s="630">
        <v>7.706363</v>
      </c>
      <c r="FK405" s="630">
        <v>1.793108</v>
      </c>
      <c r="FL405" s="630">
        <v>2.7951913</v>
      </c>
      <c r="FM405" s="630">
        <v>2.049566</v>
      </c>
      <c r="FN405" s="630">
        <v>7.6090386</v>
      </c>
      <c r="FO405" s="630">
        <v>18.9213</v>
      </c>
      <c r="FP405" s="630">
        <v>34.201389</v>
      </c>
      <c r="FQ405" s="630">
        <v>5.3234712</v>
      </c>
      <c r="FR405" s="630">
        <v>79.668739</v>
      </c>
      <c r="FS405" s="630">
        <v>6.6821647</v>
      </c>
      <c r="FT405" s="630">
        <v>0.41956331</v>
      </c>
      <c r="FU405" s="630">
        <v>297.59533</v>
      </c>
      <c r="FV405" s="630">
        <v>36.070703</v>
      </c>
      <c r="FW405" s="630">
        <v>3.5427742</v>
      </c>
      <c r="FX405" s="630">
        <v>35.664985</v>
      </c>
      <c r="FY405" s="630">
        <v>3.5427742</v>
      </c>
      <c r="FZ405" s="630">
        <v>17.786379</v>
      </c>
      <c r="GA405" s="630">
        <v>156.77487</v>
      </c>
      <c r="GB405" s="630">
        <v>40.048544</v>
      </c>
      <c r="GC405" s="630">
        <v>5.4491182</v>
      </c>
      <c r="GD405" s="630">
        <v>5.841535</v>
      </c>
      <c r="GE405" s="630">
        <v>82.225042</v>
      </c>
      <c r="GF405" s="630">
        <v>8.7719271</v>
      </c>
      <c r="GG405" s="630">
        <v>20.828177</v>
      </c>
      <c r="GH405" s="630">
        <v>264.05726</v>
      </c>
      <c r="GI405" s="630">
        <v>161.97343</v>
      </c>
      <c r="GJ405" s="630">
        <v>0.50147747</v>
      </c>
      <c r="GK405" s="630">
        <v>1.285217</v>
      </c>
      <c r="GL405" s="630">
        <v>0.44122414</v>
      </c>
      <c r="GM405" s="630">
        <v>0.44122414</v>
      </c>
      <c r="GN405" s="630">
        <v>3.5427742</v>
      </c>
      <c r="GO405" s="630">
        <v>0.50242987</v>
      </c>
      <c r="GP405" s="630">
        <v>0.3846029</v>
      </c>
      <c r="GQ405" s="630">
        <v>0.0</v>
      </c>
      <c r="GR405" s="630">
        <v>0.0</v>
      </c>
      <c r="GS405" s="630">
        <v>51.015949</v>
      </c>
      <c r="GT405" s="630">
        <v>22.284398</v>
      </c>
      <c r="GU405" s="630">
        <v>1.9885208</v>
      </c>
      <c r="GV405" s="630">
        <v>1.4278744</v>
      </c>
      <c r="GW405" s="630">
        <v>0.79275203</v>
      </c>
      <c r="GX405" s="630">
        <v>1.8840117</v>
      </c>
      <c r="GY405" s="630">
        <v>0.3732735</v>
      </c>
      <c r="GZ405" s="630">
        <v>0.34217022</v>
      </c>
      <c r="HA405" s="630">
        <v>0.0</v>
      </c>
      <c r="HB405" s="630">
        <v>0.0</v>
      </c>
      <c r="HC405" s="630">
        <v>0.0</v>
      </c>
      <c r="HD405" s="630">
        <v>1.9841212</v>
      </c>
      <c r="HE405" s="630">
        <v>31.890754</v>
      </c>
      <c r="HF405" s="630">
        <v>0.34217022</v>
      </c>
      <c r="HG405" s="630">
        <v>0.3732735</v>
      </c>
      <c r="HH405" s="630">
        <v>368.79094</v>
      </c>
      <c r="HI405" s="630">
        <v>0.0</v>
      </c>
      <c r="HJ405" s="630">
        <v>0.3846029</v>
      </c>
      <c r="HK405" s="630">
        <v>2.8316353</v>
      </c>
      <c r="HL405" s="630">
        <v>2622.7558</v>
      </c>
      <c r="HM405" s="630">
        <v>1430.3148</v>
      </c>
      <c r="HN405" s="630">
        <v>11904.84</v>
      </c>
      <c r="HO405" s="630">
        <v>13037.171</v>
      </c>
      <c r="HP405" s="630">
        <v>18873.072</v>
      </c>
      <c r="HQ405" s="630">
        <v>286.63104</v>
      </c>
      <c r="HR405" s="630">
        <v>7.7428121</v>
      </c>
      <c r="HS405" s="630">
        <v>24.794367</v>
      </c>
      <c r="HT405" s="630">
        <v>7.7563063</v>
      </c>
      <c r="HU405" s="630">
        <v>11.93625</v>
      </c>
      <c r="HV405" s="630">
        <v>9.3798565</v>
      </c>
      <c r="HW405" s="630">
        <v>823.26486</v>
      </c>
      <c r="HX405" s="630">
        <v>12.058367</v>
      </c>
      <c r="HY405" s="630">
        <v>7.9980346</v>
      </c>
      <c r="HZ405" s="630">
        <v>10.618176</v>
      </c>
      <c r="IA405" s="630">
        <v>41.32695</v>
      </c>
      <c r="IB405" s="630">
        <v>103.17907</v>
      </c>
      <c r="IC405" s="630">
        <v>290.39609</v>
      </c>
      <c r="ID405" s="630">
        <v>2099.1599</v>
      </c>
      <c r="IE405" s="630">
        <v>31.68168</v>
      </c>
      <c r="IF405" s="630">
        <v>45.493238</v>
      </c>
      <c r="IG405" s="630">
        <v>151.13841</v>
      </c>
      <c r="IH405" s="630">
        <v>45.574856</v>
      </c>
      <c r="II405" s="630">
        <v>143.45072</v>
      </c>
      <c r="IJ405" s="630">
        <v>1513.8925</v>
      </c>
      <c r="IK405" s="630">
        <v>2045.1601</v>
      </c>
      <c r="IL405" s="630">
        <v>164.89339</v>
      </c>
      <c r="IM405" s="630">
        <v>135.2583</v>
      </c>
      <c r="IN405" s="630">
        <v>185.82765</v>
      </c>
      <c r="IO405" s="630">
        <v>199.03827</v>
      </c>
      <c r="IP405" s="630">
        <v>30.209225</v>
      </c>
      <c r="IQ405" s="630">
        <v>362.38388</v>
      </c>
      <c r="IR405" s="630">
        <v>231.18317</v>
      </c>
      <c r="IS405" s="630">
        <v>81.83448</v>
      </c>
      <c r="IT405" s="630">
        <v>101.36112</v>
      </c>
      <c r="IU405" s="630">
        <v>2533.6294</v>
      </c>
      <c r="IV405" s="630">
        <v>41.91772</v>
      </c>
      <c r="IW405" s="630">
        <v>168.54494</v>
      </c>
      <c r="IX405" s="630">
        <v>51.239326</v>
      </c>
      <c r="IY405" s="630">
        <v>353.97768</v>
      </c>
      <c r="IZ405" s="630">
        <v>27.259972</v>
      </c>
      <c r="JA405" s="630">
        <v>4.6977637</v>
      </c>
      <c r="JB405" s="630">
        <v>0.0</v>
      </c>
      <c r="JC405" s="630">
        <v>2504.6508</v>
      </c>
      <c r="JD405" s="630">
        <v>3693.8724</v>
      </c>
      <c r="JE405" s="630">
        <v>2252.1993</v>
      </c>
      <c r="JF405" s="630">
        <v>2251.8175</v>
      </c>
      <c r="JG405" s="630">
        <v>3441.2662</v>
      </c>
      <c r="JH405" s="630">
        <v>3824.1495</v>
      </c>
      <c r="JI405" s="630">
        <v>4958.3434</v>
      </c>
      <c r="JJ405" s="630">
        <v>5926.3268</v>
      </c>
      <c r="JK405" s="630">
        <v>4451.6224</v>
      </c>
      <c r="JL405" s="630">
        <v>5638.1555</v>
      </c>
      <c r="JM405" s="630">
        <v>5211.1849</v>
      </c>
      <c r="JN405" s="630">
        <v>13.616126</v>
      </c>
      <c r="JO405" s="630">
        <v>13.377147</v>
      </c>
      <c r="JP405" s="630">
        <v>14.369014</v>
      </c>
      <c r="JQ405" s="630">
        <v>14.130035</v>
      </c>
      <c r="JR405" s="630">
        <v>31.463491</v>
      </c>
      <c r="JS405" s="630">
        <v>31.295144</v>
      </c>
      <c r="JT405" s="630">
        <v>616.43362</v>
      </c>
      <c r="JU405" s="630">
        <v>79.266074</v>
      </c>
      <c r="JV405" s="630">
        <v>3.5662799</v>
      </c>
      <c r="JW405" s="630">
        <v>72.934441</v>
      </c>
      <c r="JX405" s="630">
        <v>1.4006569</v>
      </c>
      <c r="JY405" s="630">
        <v>2737.2207</v>
      </c>
      <c r="JZ405" s="630">
        <v>520.14036</v>
      </c>
      <c r="KA405" s="630">
        <v>4675.0572</v>
      </c>
      <c r="KB405" s="630">
        <v>1056.0922</v>
      </c>
      <c r="KC405" s="630">
        <v>82518.625</v>
      </c>
      <c r="KD405" s="630">
        <v>12337.232</v>
      </c>
      <c r="KE405" s="630">
        <v>417.83118</v>
      </c>
      <c r="KF405" s="630">
        <v>558.1074</v>
      </c>
      <c r="KG405" s="630">
        <v>571.08898</v>
      </c>
      <c r="KH405" s="630">
        <v>88202.95</v>
      </c>
      <c r="KI405" s="630">
        <v>58484.107</v>
      </c>
      <c r="KJ405" s="630">
        <v>59597.665</v>
      </c>
      <c r="KK405" s="630">
        <v>52.372799</v>
      </c>
      <c r="KL405" s="630">
        <v>364.40187</v>
      </c>
      <c r="KM405" s="630">
        <v>4857.7304</v>
      </c>
      <c r="KN405" s="630">
        <v>1.7296269</v>
      </c>
      <c r="KO405" s="630">
        <v>3.8715334</v>
      </c>
      <c r="KP405" s="630">
        <v>2.3151304</v>
      </c>
      <c r="KQ405" s="630">
        <v>4.2547459</v>
      </c>
      <c r="KR405" s="630">
        <v>5.729095</v>
      </c>
      <c r="KS405" s="630">
        <v>22.675205</v>
      </c>
      <c r="KT405" s="630">
        <v>15.755775</v>
      </c>
      <c r="KU405" s="630">
        <v>33.291772</v>
      </c>
      <c r="KV405" s="630">
        <v>6.2344793</v>
      </c>
      <c r="KW405" s="630">
        <v>4.3813655</v>
      </c>
      <c r="KX405" s="630">
        <v>6.977415</v>
      </c>
      <c r="KY405" s="630">
        <v>6.9794442</v>
      </c>
      <c r="KZ405" s="630">
        <v>7.9205579</v>
      </c>
      <c r="LA405" s="630">
        <v>7.4630128</v>
      </c>
      <c r="LB405" s="630">
        <v>12.731923</v>
      </c>
      <c r="LC405" s="630">
        <v>7.0240698</v>
      </c>
      <c r="LD405" s="630">
        <v>13.918827</v>
      </c>
      <c r="LE405" s="630">
        <v>10.483204</v>
      </c>
      <c r="LF405" s="630">
        <v>38.96204</v>
      </c>
      <c r="LG405" s="630">
        <v>30.921425</v>
      </c>
      <c r="LH405" s="630">
        <v>35.875054</v>
      </c>
      <c r="LI405" s="630">
        <v>5.7905362</v>
      </c>
      <c r="LJ405" s="630">
        <v>4.1393099</v>
      </c>
      <c r="LK405" s="630">
        <v>5.4887392</v>
      </c>
      <c r="LL405" s="630">
        <v>4.3252436</v>
      </c>
      <c r="LM405" s="630">
        <v>5.3385216</v>
      </c>
      <c r="LN405" s="630">
        <v>21.321516</v>
      </c>
      <c r="LO405" s="630">
        <v>1.4420677</v>
      </c>
      <c r="LP405" s="630">
        <v>66.064507</v>
      </c>
      <c r="LQ405" s="630">
        <v>41.942301</v>
      </c>
      <c r="LR405" s="630">
        <v>6.9923597</v>
      </c>
      <c r="LS405" s="630">
        <v>66.212614</v>
      </c>
      <c r="LT405" s="630">
        <v>49.678912</v>
      </c>
      <c r="LU405" s="630">
        <v>12813.781</v>
      </c>
      <c r="LV405" s="630">
        <v>11840.373</v>
      </c>
      <c r="LW405" s="630">
        <v>4805.851</v>
      </c>
      <c r="LX405" s="630">
        <v>2509.2942</v>
      </c>
      <c r="LY405" s="630">
        <v>22.892078</v>
      </c>
      <c r="LZ405" s="630">
        <v>11.186388</v>
      </c>
      <c r="MA405" s="630">
        <v>146.79201</v>
      </c>
      <c r="MB405" s="630">
        <v>149.11568</v>
      </c>
      <c r="MC405" s="630">
        <v>11.980509</v>
      </c>
      <c r="MD405" s="630">
        <v>9.2541705</v>
      </c>
      <c r="ME405" s="630">
        <v>28.034722</v>
      </c>
      <c r="MF405" s="630">
        <v>9209.8513</v>
      </c>
      <c r="MG405" s="630">
        <v>2.1723227</v>
      </c>
      <c r="MH405" s="630">
        <v>31.231664</v>
      </c>
      <c r="MI405" s="630">
        <v>31.295144</v>
      </c>
      <c r="MJ405" s="630">
        <v>38.454039</v>
      </c>
      <c r="MK405" s="630">
        <v>6.813892</v>
      </c>
      <c r="ML405" s="630">
        <v>8.1271276</v>
      </c>
      <c r="MM405" s="630">
        <v>7.2737759</v>
      </c>
      <c r="MN405" s="630">
        <v>5.9715931</v>
      </c>
      <c r="MO405" s="630">
        <v>6.0768278</v>
      </c>
      <c r="MP405" s="630">
        <v>5.2437115</v>
      </c>
      <c r="MQ405" s="630">
        <v>9.0334937</v>
      </c>
      <c r="MR405" s="630">
        <v>8.8339924</v>
      </c>
      <c r="MS405" s="630">
        <v>6.3550673</v>
      </c>
      <c r="MT405" s="630">
        <v>8.1714985</v>
      </c>
      <c r="MU405" s="630">
        <v>7.9520204</v>
      </c>
      <c r="MV405" s="630">
        <v>6.1253578</v>
      </c>
      <c r="MW405" s="630">
        <v>159.75047</v>
      </c>
      <c r="MX405" s="630">
        <v>7593.3772</v>
      </c>
      <c r="MY405" s="630">
        <v>4812.3695</v>
      </c>
      <c r="MZ405" s="630">
        <v>2649.2483</v>
      </c>
      <c r="NA405" s="630">
        <v>35.957233</v>
      </c>
      <c r="NB405" s="630">
        <v>39.332303</v>
      </c>
      <c r="NC405" s="630">
        <v>46.32746</v>
      </c>
      <c r="ND405" s="630">
        <v>8703.6553</v>
      </c>
      <c r="NE405" s="630">
        <v>500.80011</v>
      </c>
      <c r="NF405" s="630">
        <v>879.12694</v>
      </c>
      <c r="NG405" s="630">
        <v>2921.6347</v>
      </c>
      <c r="NH405" s="630">
        <v>26.808703</v>
      </c>
      <c r="NI405" s="630">
        <v>619.59089</v>
      </c>
      <c r="NJ405" s="630">
        <v>20436.715</v>
      </c>
      <c r="NK405" s="630">
        <v>145.95083</v>
      </c>
      <c r="NL405" s="630">
        <v>3.1083684</v>
      </c>
      <c r="NM405" s="630">
        <v>20.5664</v>
      </c>
      <c r="NN405" s="630">
        <v>1506.1029</v>
      </c>
      <c r="NO405" s="630">
        <v>124.06523</v>
      </c>
      <c r="NP405" s="630">
        <v>7.6830477</v>
      </c>
      <c r="NQ405" s="630">
        <v>6134.2978</v>
      </c>
      <c r="NR405" s="630">
        <v>6517.4776</v>
      </c>
      <c r="NS405" s="630">
        <v>18429.553</v>
      </c>
      <c r="NT405" s="630">
        <v>11144.314</v>
      </c>
      <c r="NU405" s="630">
        <v>9893.7388</v>
      </c>
      <c r="NV405" s="630">
        <v>5.437071</v>
      </c>
      <c r="NW405" s="630">
        <v>6560.0033</v>
      </c>
      <c r="NY405" s="630">
        <v>0.0</v>
      </c>
      <c r="NZ405" s="630"/>
      <c r="OA405" s="630">
        <v>30.1</v>
      </c>
      <c r="OB405" s="631">
        <v>234.0</v>
      </c>
      <c r="OC405" s="631"/>
      <c r="OD405" s="626"/>
      <c r="OE405" s="631">
        <f t="shared" si="2"/>
        <v>1761.939428</v>
      </c>
      <c r="OF405" s="631">
        <v>842.5614466611124</v>
      </c>
      <c r="OG405" s="630">
        <v>1909.0399051582374</v>
      </c>
      <c r="OI405" s="626"/>
      <c r="OJ405" s="626"/>
      <c r="OK405" s="626"/>
      <c r="OL405" s="626"/>
      <c r="OM405" s="626"/>
      <c r="ON405" s="626"/>
    </row>
    <row r="406" ht="12.75" customHeight="1">
      <c r="A406" s="55" t="s">
        <v>4982</v>
      </c>
      <c r="B406" s="55" t="s">
        <v>4978</v>
      </c>
      <c r="C406" s="630">
        <v>4.8796904</v>
      </c>
      <c r="D406" s="630">
        <v>7.9128797</v>
      </c>
      <c r="E406" s="630">
        <v>4.8118903</v>
      </c>
      <c r="F406" s="630">
        <v>1.8740989</v>
      </c>
      <c r="G406" s="630">
        <v>2.691442</v>
      </c>
      <c r="H406" s="630">
        <v>2.8464456</v>
      </c>
      <c r="I406" s="630">
        <v>4.8464266</v>
      </c>
      <c r="J406" s="630">
        <v>133.08754</v>
      </c>
      <c r="K406" s="630">
        <v>306.46584</v>
      </c>
      <c r="L406" s="630">
        <v>164.42742</v>
      </c>
      <c r="M406" s="630">
        <v>135.72394</v>
      </c>
      <c r="N406" s="630">
        <v>16.964562</v>
      </c>
      <c r="O406" s="630">
        <v>19.499869</v>
      </c>
      <c r="P406" s="630">
        <v>12.917946</v>
      </c>
      <c r="Q406" s="630">
        <v>0.42341947</v>
      </c>
      <c r="R406" s="630">
        <v>0.79850744</v>
      </c>
      <c r="S406" s="630">
        <v>0.04590659</v>
      </c>
      <c r="T406" s="630">
        <v>0.016382265</v>
      </c>
      <c r="U406" s="630">
        <v>0.32685139</v>
      </c>
      <c r="V406" s="630">
        <v>0.0</v>
      </c>
      <c r="W406" s="630">
        <v>17.728652</v>
      </c>
      <c r="X406" s="630">
        <v>18.916447</v>
      </c>
      <c r="Y406" s="630">
        <v>18.659259</v>
      </c>
      <c r="Z406" s="630">
        <v>17.483225</v>
      </c>
      <c r="AA406" s="630">
        <v>4.7557079</v>
      </c>
      <c r="AB406" s="630">
        <v>4.5727961</v>
      </c>
      <c r="AC406" s="630">
        <v>0.13953688</v>
      </c>
      <c r="AD406" s="630">
        <v>65.881657</v>
      </c>
      <c r="AE406" s="630">
        <v>676.45801</v>
      </c>
      <c r="AF406" s="630">
        <v>2267.0098</v>
      </c>
      <c r="AG406" s="630">
        <v>669.50836</v>
      </c>
      <c r="AH406" s="630">
        <v>1.1129078</v>
      </c>
      <c r="AI406" s="630">
        <v>2.159378</v>
      </c>
      <c r="AJ406" s="630">
        <v>3.7359765</v>
      </c>
      <c r="AK406" s="630">
        <v>2.4568193</v>
      </c>
      <c r="AL406" s="630">
        <v>1.9005405</v>
      </c>
      <c r="AM406" s="630">
        <v>2.3583953</v>
      </c>
      <c r="AN406" s="630">
        <v>1.7624915</v>
      </c>
      <c r="AO406" s="630">
        <v>3.1673113</v>
      </c>
      <c r="AP406" s="630">
        <v>2.5976308</v>
      </c>
      <c r="AQ406" s="630">
        <v>2.7824493</v>
      </c>
      <c r="AR406" s="630">
        <v>2.204842</v>
      </c>
      <c r="AS406" s="630">
        <v>2.4046966</v>
      </c>
      <c r="AT406" s="630">
        <v>1.942197</v>
      </c>
      <c r="AU406" s="630">
        <v>3.1097691</v>
      </c>
      <c r="AV406" s="630">
        <v>1803.8917</v>
      </c>
      <c r="AW406" s="630">
        <v>2477.5333</v>
      </c>
      <c r="AX406" s="630">
        <v>2636.6014</v>
      </c>
      <c r="AY406" s="630">
        <v>42.570559</v>
      </c>
      <c r="AZ406" s="630">
        <v>0.53532254</v>
      </c>
      <c r="BA406" s="630">
        <v>5.1318345</v>
      </c>
      <c r="BB406" s="630">
        <v>0.49815072</v>
      </c>
      <c r="BC406" s="630">
        <v>0.60855735</v>
      </c>
      <c r="BD406" s="630">
        <v>1.7005415</v>
      </c>
      <c r="BE406" s="630">
        <v>1.9225229</v>
      </c>
      <c r="BF406" s="630">
        <v>0.54140445</v>
      </c>
      <c r="BG406" s="630">
        <v>2.29739</v>
      </c>
      <c r="BH406" s="630">
        <v>2.1694231</v>
      </c>
      <c r="BI406" s="630">
        <v>6.3041786</v>
      </c>
      <c r="BJ406" s="630">
        <v>18.467876</v>
      </c>
      <c r="BK406" s="630">
        <v>26.95211</v>
      </c>
      <c r="BL406" s="630">
        <v>9.1327739</v>
      </c>
      <c r="BM406" s="630">
        <v>17.617009</v>
      </c>
      <c r="BN406" s="630">
        <v>1214.6252</v>
      </c>
      <c r="BO406" s="630">
        <v>0.10675311</v>
      </c>
      <c r="BP406" s="630">
        <v>0.54305899</v>
      </c>
      <c r="BQ406" s="630">
        <v>904.0002</v>
      </c>
      <c r="BR406" s="630">
        <v>999.279</v>
      </c>
      <c r="BS406" s="630">
        <v>1039.703</v>
      </c>
      <c r="BT406" s="630">
        <v>1475.9204</v>
      </c>
      <c r="BU406" s="630">
        <v>605.46959</v>
      </c>
      <c r="BV406" s="630">
        <v>934.10986</v>
      </c>
      <c r="BW406" s="630">
        <v>0.58900348</v>
      </c>
      <c r="BX406" s="630">
        <v>1041.2638</v>
      </c>
      <c r="BY406" s="630">
        <v>53.267209</v>
      </c>
      <c r="BZ406" s="630">
        <v>170.19221</v>
      </c>
      <c r="CA406" s="630">
        <v>0.019540103</v>
      </c>
      <c r="CB406" s="630">
        <v>0.012770254</v>
      </c>
      <c r="CC406" s="630">
        <v>0.014805597</v>
      </c>
      <c r="CD406" s="630">
        <v>0.017085228</v>
      </c>
      <c r="CE406" s="630">
        <v>1596.2749</v>
      </c>
      <c r="CF406" s="630">
        <v>2955.6872</v>
      </c>
      <c r="CG406" s="630">
        <v>220.42801</v>
      </c>
      <c r="CH406" s="630">
        <v>299.60931</v>
      </c>
      <c r="CI406" s="630">
        <v>0.79578782</v>
      </c>
      <c r="CJ406" s="630">
        <v>0.40311242</v>
      </c>
      <c r="CK406" s="630">
        <v>1.343812</v>
      </c>
      <c r="CL406" s="630">
        <v>0.36316344</v>
      </c>
      <c r="CM406" s="630">
        <v>1.1552752</v>
      </c>
      <c r="CN406" s="630">
        <v>52.205226</v>
      </c>
      <c r="CO406" s="630">
        <v>76.201701</v>
      </c>
      <c r="CP406" s="630">
        <v>45.200916</v>
      </c>
      <c r="CQ406" s="630">
        <v>218.85427</v>
      </c>
      <c r="CR406" s="630">
        <v>331.35427</v>
      </c>
      <c r="CS406" s="630">
        <v>331.35427</v>
      </c>
      <c r="CT406" s="630">
        <v>0.11000633</v>
      </c>
      <c r="CU406" s="630">
        <v>0.42904069</v>
      </c>
      <c r="CV406" s="630">
        <v>0.33884173</v>
      </c>
      <c r="CW406" s="630">
        <v>0.31299668</v>
      </c>
      <c r="CX406" s="630">
        <v>19.061916</v>
      </c>
      <c r="CY406" s="630">
        <v>4.1502418</v>
      </c>
      <c r="CZ406" s="630">
        <v>22.885362</v>
      </c>
      <c r="DA406" s="630">
        <v>25.555169</v>
      </c>
      <c r="DB406" s="630">
        <v>0.061014622</v>
      </c>
      <c r="DC406" s="630">
        <v>0.33637339</v>
      </c>
      <c r="DD406" s="630">
        <v>7.1660358</v>
      </c>
      <c r="DE406" s="630">
        <v>10.73098</v>
      </c>
      <c r="DF406" s="630">
        <v>7.1090466</v>
      </c>
      <c r="DG406" s="630">
        <v>7.1660358</v>
      </c>
      <c r="DH406" s="630">
        <v>10.73098</v>
      </c>
      <c r="DI406" s="630">
        <v>10.712934</v>
      </c>
      <c r="DJ406" s="630">
        <v>10.771127</v>
      </c>
      <c r="DK406" s="630">
        <v>10.771127</v>
      </c>
      <c r="DL406" s="630">
        <v>14.336071</v>
      </c>
      <c r="DM406" s="630">
        <v>10.771127</v>
      </c>
      <c r="DN406" s="630">
        <v>14.336071</v>
      </c>
      <c r="DO406" s="630">
        <v>0.33637339</v>
      </c>
      <c r="DP406" s="630">
        <v>0.11365503</v>
      </c>
      <c r="DQ406" s="630">
        <v>0.22555403</v>
      </c>
      <c r="DR406" s="630">
        <v>0.10098896</v>
      </c>
      <c r="DS406" s="630">
        <v>0.10967056</v>
      </c>
      <c r="DT406" s="630">
        <v>0.20072199</v>
      </c>
      <c r="DU406" s="630">
        <v>1.64115</v>
      </c>
      <c r="DV406" s="630">
        <v>1.2679525</v>
      </c>
      <c r="DW406" s="630">
        <v>3.3122545</v>
      </c>
      <c r="DX406" s="630">
        <v>46.250656</v>
      </c>
      <c r="DY406" s="630">
        <v>8.8664055</v>
      </c>
      <c r="DZ406" s="630">
        <v>9.0319018</v>
      </c>
      <c r="EA406" s="630">
        <v>0.32685139</v>
      </c>
      <c r="EB406" s="630">
        <v>0.11038287</v>
      </c>
      <c r="EC406" s="630">
        <v>0.33302774</v>
      </c>
      <c r="ED406" s="630">
        <v>11.636114</v>
      </c>
      <c r="EE406" s="630">
        <v>0.068335299</v>
      </c>
      <c r="EF406" s="630">
        <v>0.0</v>
      </c>
      <c r="EG406" s="630">
        <v>0.0</v>
      </c>
      <c r="EH406" s="630">
        <v>0.0</v>
      </c>
      <c r="EI406" s="630">
        <v>0.069521688</v>
      </c>
      <c r="EJ406" s="630">
        <v>0.068315549</v>
      </c>
      <c r="EK406" s="630">
        <v>0.94633285</v>
      </c>
      <c r="EL406" s="630">
        <v>0.0</v>
      </c>
      <c r="EM406" s="630">
        <v>0.0</v>
      </c>
      <c r="EN406" s="630">
        <v>0.0</v>
      </c>
      <c r="EO406" s="630">
        <v>0.0</v>
      </c>
      <c r="EP406" s="630">
        <v>173.43785</v>
      </c>
      <c r="EQ406" s="630">
        <v>335.07577</v>
      </c>
      <c r="ER406" s="630">
        <v>0.0</v>
      </c>
      <c r="ES406" s="630">
        <v>0.0</v>
      </c>
      <c r="ET406" s="630">
        <v>0.50384566</v>
      </c>
      <c r="EU406" s="630">
        <v>0.034865586</v>
      </c>
      <c r="EV406" s="630">
        <v>0.034865586</v>
      </c>
      <c r="EW406" s="630">
        <v>0.031826912</v>
      </c>
      <c r="EX406" s="630">
        <v>0.17000784</v>
      </c>
      <c r="EY406" s="630">
        <v>1.6662608</v>
      </c>
      <c r="EZ406" s="630">
        <v>2.7940401</v>
      </c>
      <c r="FA406" s="630">
        <v>0.30868184</v>
      </c>
      <c r="FB406" s="630">
        <v>0.63172972</v>
      </c>
      <c r="FC406" s="630">
        <v>0.2097342</v>
      </c>
      <c r="FD406" s="630">
        <v>0.44930081</v>
      </c>
      <c r="FE406" s="630">
        <v>4.6318834</v>
      </c>
      <c r="FF406" s="630">
        <v>2.0406801</v>
      </c>
      <c r="FG406" s="630">
        <v>2.5748611</v>
      </c>
      <c r="FH406" s="630">
        <v>0.2302601</v>
      </c>
      <c r="FI406" s="630">
        <v>0.12503301</v>
      </c>
      <c r="FJ406" s="630">
        <v>1.123507</v>
      </c>
      <c r="FK406" s="630">
        <v>0.21869538</v>
      </c>
      <c r="FL406" s="630">
        <v>0.20113629</v>
      </c>
      <c r="FM406" s="630">
        <v>0.14748261</v>
      </c>
      <c r="FN406" s="630">
        <v>1.0707804</v>
      </c>
      <c r="FO406" s="630">
        <v>3.7354077</v>
      </c>
      <c r="FP406" s="630">
        <v>3.2390239</v>
      </c>
      <c r="FQ406" s="630">
        <v>0.76075455</v>
      </c>
      <c r="FR406" s="630">
        <v>7.5734736</v>
      </c>
      <c r="FS406" s="630">
        <v>0.94973551</v>
      </c>
      <c r="FT406" s="630">
        <v>0.033280426</v>
      </c>
      <c r="FU406" s="630">
        <v>27.974466</v>
      </c>
      <c r="FV406" s="630">
        <v>3.3913986</v>
      </c>
      <c r="FW406" s="630">
        <v>0.33302774</v>
      </c>
      <c r="FX406" s="630">
        <v>3.3528301</v>
      </c>
      <c r="FY406" s="630">
        <v>0.33302774</v>
      </c>
      <c r="FZ406" s="630">
        <v>2.212172</v>
      </c>
      <c r="GA406" s="630">
        <v>11.382745</v>
      </c>
      <c r="GB406" s="630">
        <v>5.4692744</v>
      </c>
      <c r="GC406" s="630">
        <v>0.43223268</v>
      </c>
      <c r="GD406" s="630">
        <v>0.47679795</v>
      </c>
      <c r="GE406" s="630">
        <v>9.0755222</v>
      </c>
      <c r="GF406" s="630">
        <v>0.63689167</v>
      </c>
      <c r="GG406" s="630">
        <v>2.0487576</v>
      </c>
      <c r="GH406" s="630">
        <v>21.512783</v>
      </c>
      <c r="GI406" s="630">
        <v>13.130864</v>
      </c>
      <c r="GJ406" s="630">
        <v>0.065273526</v>
      </c>
      <c r="GK406" s="630">
        <v>0.16772797</v>
      </c>
      <c r="GL406" s="630">
        <v>0.034998598</v>
      </c>
      <c r="GM406" s="630">
        <v>0.034998598</v>
      </c>
      <c r="GN406" s="630">
        <v>0.33302774</v>
      </c>
      <c r="GO406" s="630">
        <v>0.065389309</v>
      </c>
      <c r="GP406" s="630">
        <v>0.030507311</v>
      </c>
      <c r="GQ406" s="630">
        <v>0.0</v>
      </c>
      <c r="GR406" s="630">
        <v>0.0</v>
      </c>
      <c r="GS406" s="630">
        <v>4.7955994</v>
      </c>
      <c r="GT406" s="630">
        <v>2.0947651</v>
      </c>
      <c r="GU406" s="630">
        <v>0.43120814</v>
      </c>
      <c r="GV406" s="630">
        <v>0.20066641</v>
      </c>
      <c r="GW406" s="630">
        <v>0.091940377</v>
      </c>
      <c r="GX406" s="630">
        <v>0.18879873</v>
      </c>
      <c r="GY406" s="630">
        <v>0.027101773</v>
      </c>
      <c r="GZ406" s="630">
        <v>0.024843499</v>
      </c>
      <c r="HA406" s="630">
        <v>0.0</v>
      </c>
      <c r="HB406" s="630">
        <v>0.0</v>
      </c>
      <c r="HC406" s="630">
        <v>0.0</v>
      </c>
      <c r="HD406" s="630">
        <v>0.21847085</v>
      </c>
      <c r="HE406" s="630">
        <v>4.4906607</v>
      </c>
      <c r="HF406" s="630">
        <v>0.024843499</v>
      </c>
      <c r="HG406" s="630">
        <v>0.027101773</v>
      </c>
      <c r="HH406" s="630">
        <v>48.087457</v>
      </c>
      <c r="HI406" s="630">
        <v>0.0</v>
      </c>
      <c r="HJ406" s="630">
        <v>0.030507311</v>
      </c>
      <c r="HK406" s="630">
        <v>0.27016708</v>
      </c>
      <c r="HL406" s="630">
        <v>4339.8012</v>
      </c>
      <c r="HM406" s="630">
        <v>4969.1139</v>
      </c>
      <c r="HN406" s="630">
        <v>4904.093</v>
      </c>
      <c r="HO406" s="630">
        <v>3270.6021</v>
      </c>
      <c r="HP406" s="630">
        <v>204.30827</v>
      </c>
      <c r="HQ406" s="630">
        <v>23.36065</v>
      </c>
      <c r="HR406" s="630">
        <v>2.4721397</v>
      </c>
      <c r="HS406" s="630">
        <v>2.2208406</v>
      </c>
      <c r="HT406" s="630">
        <v>9.3102734</v>
      </c>
      <c r="HU406" s="630">
        <v>10.797833</v>
      </c>
      <c r="HV406" s="630">
        <v>7.652456</v>
      </c>
      <c r="HW406" s="630">
        <v>11827.157</v>
      </c>
      <c r="HX406" s="630">
        <v>127.52698</v>
      </c>
      <c r="HY406" s="630">
        <v>95.367447</v>
      </c>
      <c r="HZ406" s="630">
        <v>5.4782226</v>
      </c>
      <c r="IA406" s="630">
        <v>1.6907281</v>
      </c>
      <c r="IB406" s="630">
        <v>1.9137572</v>
      </c>
      <c r="IC406" s="630">
        <v>9.703406</v>
      </c>
      <c r="ID406" s="630">
        <v>6.9985498</v>
      </c>
      <c r="IE406" s="630">
        <v>1638.3423</v>
      </c>
      <c r="IF406" s="630">
        <v>309.42979</v>
      </c>
      <c r="IG406" s="630">
        <v>738.12021</v>
      </c>
      <c r="IH406" s="630">
        <v>207.88681</v>
      </c>
      <c r="II406" s="630">
        <v>10.414752</v>
      </c>
      <c r="IJ406" s="630">
        <v>32.357082</v>
      </c>
      <c r="IK406" s="630">
        <v>35.643764</v>
      </c>
      <c r="IL406" s="630">
        <v>619.59286</v>
      </c>
      <c r="IM406" s="630">
        <v>2376.1661</v>
      </c>
      <c r="IN406" s="630">
        <v>1713.0885</v>
      </c>
      <c r="IO406" s="630">
        <v>101.969</v>
      </c>
      <c r="IP406" s="630">
        <v>3.2154823</v>
      </c>
      <c r="IQ406" s="630">
        <v>3939.8632</v>
      </c>
      <c r="IR406" s="630">
        <v>2146.9782</v>
      </c>
      <c r="IS406" s="630">
        <v>49.351499</v>
      </c>
      <c r="IT406" s="630">
        <v>8.4795434</v>
      </c>
      <c r="IU406" s="630">
        <v>36.374919</v>
      </c>
      <c r="IV406" s="630">
        <v>2.7125805</v>
      </c>
      <c r="IW406" s="630">
        <v>9.3269783</v>
      </c>
      <c r="IX406" s="630">
        <v>6.8218934</v>
      </c>
      <c r="IY406" s="630">
        <v>56.274767</v>
      </c>
      <c r="IZ406" s="630">
        <v>6.9183102</v>
      </c>
      <c r="JA406" s="630">
        <v>0.72401015</v>
      </c>
      <c r="JB406" s="630">
        <v>1047.816</v>
      </c>
      <c r="JC406" s="630">
        <v>92.790303</v>
      </c>
      <c r="JD406" s="630">
        <v>154.4652</v>
      </c>
      <c r="JE406" s="630">
        <v>79.059601</v>
      </c>
      <c r="JF406" s="630">
        <v>71.409607</v>
      </c>
      <c r="JG406" s="630">
        <v>132.93904</v>
      </c>
      <c r="JH406" s="630">
        <v>126.14711</v>
      </c>
      <c r="JI406" s="630">
        <v>156.24963</v>
      </c>
      <c r="JJ406" s="630">
        <v>198.97926</v>
      </c>
      <c r="JK406" s="630">
        <v>113.06708</v>
      </c>
      <c r="JL406" s="630">
        <v>170.89994</v>
      </c>
      <c r="JM406" s="630">
        <v>177.79417</v>
      </c>
      <c r="JN406" s="630">
        <v>242.34756</v>
      </c>
      <c r="JO406" s="630">
        <v>241.0868</v>
      </c>
      <c r="JP406" s="630">
        <v>242.4344</v>
      </c>
      <c r="JQ406" s="630">
        <v>241.17364</v>
      </c>
      <c r="JR406" s="630">
        <v>0.12956595</v>
      </c>
      <c r="JS406" s="630">
        <v>0.12392201</v>
      </c>
      <c r="JT406" s="630">
        <v>36.360898</v>
      </c>
      <c r="JU406" s="630">
        <v>9.208532</v>
      </c>
      <c r="JV406" s="630">
        <v>1.1847652</v>
      </c>
      <c r="JW406" s="630">
        <v>27.780675</v>
      </c>
      <c r="JX406" s="630">
        <v>1.1649041</v>
      </c>
      <c r="JY406" s="630">
        <v>330.36286</v>
      </c>
      <c r="JZ406" s="630">
        <v>2076.2929</v>
      </c>
      <c r="KA406" s="630">
        <v>99152.593</v>
      </c>
      <c r="KB406" s="630">
        <v>93.172668</v>
      </c>
      <c r="KC406" s="630">
        <v>7887.4619</v>
      </c>
      <c r="KD406" s="630">
        <v>365.76397</v>
      </c>
      <c r="KE406" s="630">
        <v>1901.8415</v>
      </c>
      <c r="KF406" s="630">
        <v>108.93019</v>
      </c>
      <c r="KG406" s="630">
        <v>11220.604</v>
      </c>
      <c r="KH406" s="630">
        <v>10765.221</v>
      </c>
      <c r="KI406" s="630">
        <v>32813.879</v>
      </c>
      <c r="KJ406" s="630">
        <v>166559.79</v>
      </c>
      <c r="KK406" s="630">
        <v>315.91671</v>
      </c>
      <c r="KL406" s="630">
        <v>4.8246828</v>
      </c>
      <c r="KM406" s="630">
        <v>546.37639</v>
      </c>
      <c r="KN406" s="630">
        <v>9.5397857</v>
      </c>
      <c r="KO406" s="630">
        <v>1.2283891</v>
      </c>
      <c r="KP406" s="630">
        <v>5.7567824</v>
      </c>
      <c r="KQ406" s="630">
        <v>2.2940556</v>
      </c>
      <c r="KR406" s="630">
        <v>1.3569219</v>
      </c>
      <c r="KS406" s="630">
        <v>0.74272326</v>
      </c>
      <c r="KT406" s="630">
        <v>93.104919</v>
      </c>
      <c r="KU406" s="630">
        <v>4.0100981</v>
      </c>
      <c r="KV406" s="630">
        <v>0.74152109</v>
      </c>
      <c r="KW406" s="630">
        <v>0.5174292</v>
      </c>
      <c r="KX406" s="630">
        <v>0.85607278</v>
      </c>
      <c r="KY406" s="630">
        <v>0.96784699</v>
      </c>
      <c r="KZ406" s="630">
        <v>0.81864014</v>
      </c>
      <c r="LA406" s="630">
        <v>0.94237847</v>
      </c>
      <c r="LB406" s="630">
        <v>157.02779</v>
      </c>
      <c r="LC406" s="630">
        <v>7.3751711</v>
      </c>
      <c r="LD406" s="630">
        <v>61.607124</v>
      </c>
      <c r="LE406" s="630">
        <v>55.559814</v>
      </c>
      <c r="LF406" s="630">
        <v>5.1643782</v>
      </c>
      <c r="LG406" s="630">
        <v>252.09625</v>
      </c>
      <c r="LH406" s="630">
        <v>252.65565</v>
      </c>
      <c r="LI406" s="630">
        <v>4.4944101</v>
      </c>
      <c r="LJ406" s="630">
        <v>4.3369902</v>
      </c>
      <c r="LK406" s="630">
        <v>0.19796438</v>
      </c>
      <c r="LL406" s="630">
        <v>4.3289142</v>
      </c>
      <c r="LM406" s="630">
        <v>1.0284923</v>
      </c>
      <c r="LN406" s="630">
        <v>2.7163961</v>
      </c>
      <c r="LO406" s="630">
        <v>0.069952519</v>
      </c>
      <c r="LP406" s="630">
        <v>5.7423541</v>
      </c>
      <c r="LQ406" s="630">
        <v>2.0310528</v>
      </c>
      <c r="LR406" s="630">
        <v>4.4825611</v>
      </c>
      <c r="LS406" s="630">
        <v>4.1341171</v>
      </c>
      <c r="LT406" s="630">
        <v>5.0404298</v>
      </c>
      <c r="LU406" s="630">
        <v>1534.7904</v>
      </c>
      <c r="LV406" s="630">
        <v>4949.6016</v>
      </c>
      <c r="LW406" s="630">
        <v>112.35315</v>
      </c>
      <c r="LX406" s="630">
        <v>109.02197</v>
      </c>
      <c r="LY406" s="630">
        <v>0.6032405</v>
      </c>
      <c r="LZ406" s="630">
        <v>2.5165151</v>
      </c>
      <c r="MA406" s="630">
        <v>47.39516</v>
      </c>
      <c r="MB406" s="630">
        <v>46.891836</v>
      </c>
      <c r="MC406" s="630">
        <v>4.3133334</v>
      </c>
      <c r="MD406" s="630">
        <v>4.0880406</v>
      </c>
      <c r="ME406" s="630">
        <v>2.6553937</v>
      </c>
      <c r="MF406" s="630">
        <v>214.36591</v>
      </c>
      <c r="MG406" s="630">
        <v>0.48386667</v>
      </c>
      <c r="MH406" s="630">
        <v>0.68410042</v>
      </c>
      <c r="MI406" s="630">
        <v>0.12392201</v>
      </c>
      <c r="MJ406" s="630">
        <v>6.7510792</v>
      </c>
      <c r="MK406" s="630">
        <v>133.82543</v>
      </c>
      <c r="ML406" s="630">
        <v>143.46237</v>
      </c>
      <c r="MM406" s="630">
        <v>154.25994</v>
      </c>
      <c r="MN406" s="630">
        <v>143.91712</v>
      </c>
      <c r="MO406" s="630">
        <v>120.94205</v>
      </c>
      <c r="MP406" s="630">
        <v>130.05626</v>
      </c>
      <c r="MQ406" s="630">
        <v>190.12392</v>
      </c>
      <c r="MR406" s="630">
        <v>189.15395</v>
      </c>
      <c r="MS406" s="630">
        <v>160.77211</v>
      </c>
      <c r="MT406" s="630">
        <v>173.25832</v>
      </c>
      <c r="MU406" s="630">
        <v>172.37913</v>
      </c>
      <c r="MV406" s="630">
        <v>159.95818</v>
      </c>
      <c r="MW406" s="630">
        <v>6.9889815</v>
      </c>
      <c r="MX406" s="630">
        <v>608.04044</v>
      </c>
      <c r="MY406" s="630">
        <v>491.9601</v>
      </c>
      <c r="MZ406" s="630">
        <v>271.33515</v>
      </c>
      <c r="NA406" s="630">
        <v>8.0417542</v>
      </c>
      <c r="NB406" s="630">
        <v>8.2464806</v>
      </c>
      <c r="NC406" s="630">
        <v>7.3924112</v>
      </c>
      <c r="ND406" s="630">
        <v>558.44181</v>
      </c>
      <c r="NE406" s="630">
        <v>540.41557</v>
      </c>
      <c r="NF406" s="630">
        <v>12598.732</v>
      </c>
      <c r="NG406" s="630">
        <v>401.23206</v>
      </c>
      <c r="NH406" s="630">
        <v>5.6578613</v>
      </c>
      <c r="NI406" s="630">
        <v>9.7059055</v>
      </c>
      <c r="NJ406" s="630">
        <v>87.019321</v>
      </c>
      <c r="NK406" s="630">
        <v>7.7709442</v>
      </c>
      <c r="NL406" s="630">
        <v>2.1437651</v>
      </c>
      <c r="NM406" s="630">
        <v>428.16596</v>
      </c>
      <c r="NN406" s="630">
        <v>15.134313</v>
      </c>
      <c r="NO406" s="630">
        <v>547.77573</v>
      </c>
      <c r="NP406" s="630">
        <v>2.390068</v>
      </c>
      <c r="NQ406" s="630">
        <v>1236.7699</v>
      </c>
      <c r="NR406" s="630">
        <v>1109.3867</v>
      </c>
      <c r="NS406" s="630">
        <v>1167.8857</v>
      </c>
      <c r="NT406" s="630">
        <v>19520.711</v>
      </c>
      <c r="NU406" s="630">
        <v>20803.539</v>
      </c>
      <c r="NV406" s="630">
        <v>40.315747</v>
      </c>
      <c r="NW406" s="630">
        <v>15.363565</v>
      </c>
      <c r="NY406" s="630">
        <v>0.0</v>
      </c>
      <c r="NZ406" s="630"/>
      <c r="OA406" s="630">
        <v>0.419</v>
      </c>
      <c r="OB406" s="631">
        <v>24.5</v>
      </c>
      <c r="OC406" s="631"/>
      <c r="OD406" s="626"/>
      <c r="OE406" s="631">
        <f t="shared" si="2"/>
        <v>447.1981769</v>
      </c>
      <c r="OF406" s="631">
        <v>530.1514934804154</v>
      </c>
      <c r="OG406" s="630">
        <v>433.9256462225229</v>
      </c>
      <c r="OI406" s="626"/>
      <c r="OJ406" s="626"/>
      <c r="OK406" s="626"/>
      <c r="OL406" s="626"/>
      <c r="OM406" s="626"/>
      <c r="ON406" s="626"/>
    </row>
    <row r="407" ht="12.75" customHeight="1">
      <c r="A407" s="55" t="s">
        <v>4983</v>
      </c>
      <c r="B407" s="55" t="s">
        <v>4978</v>
      </c>
      <c r="C407" s="630">
        <v>0.0</v>
      </c>
      <c r="D407" s="630">
        <v>0.0</v>
      </c>
      <c r="E407" s="630">
        <v>0.0</v>
      </c>
      <c r="F407" s="630">
        <v>0.0</v>
      </c>
      <c r="G407" s="630">
        <v>0.0</v>
      </c>
      <c r="H407" s="630">
        <v>0.0</v>
      </c>
      <c r="I407" s="630">
        <v>0.0</v>
      </c>
      <c r="J407" s="630">
        <v>0.0</v>
      </c>
      <c r="K407" s="630">
        <v>0.0</v>
      </c>
      <c r="L407" s="630">
        <v>0.0</v>
      </c>
      <c r="M407" s="630">
        <v>0.0</v>
      </c>
      <c r="N407" s="630">
        <v>0.0</v>
      </c>
      <c r="O407" s="630">
        <v>0.0</v>
      </c>
      <c r="P407" s="630">
        <v>0.0</v>
      </c>
      <c r="Q407" s="630">
        <v>0.0</v>
      </c>
      <c r="R407" s="630">
        <v>0.0</v>
      </c>
      <c r="S407" s="630">
        <v>0.0</v>
      </c>
      <c r="T407" s="630">
        <v>0.0</v>
      </c>
      <c r="U407" s="630">
        <v>0.0</v>
      </c>
      <c r="V407" s="630">
        <v>0.0</v>
      </c>
      <c r="W407" s="630">
        <v>0.0</v>
      </c>
      <c r="X407" s="630">
        <v>0.0</v>
      </c>
      <c r="Y407" s="630">
        <v>0.0</v>
      </c>
      <c r="Z407" s="630">
        <v>0.0</v>
      </c>
      <c r="AA407" s="630">
        <v>0.0</v>
      </c>
      <c r="AB407" s="630">
        <v>0.0</v>
      </c>
      <c r="AC407" s="630">
        <v>0.0</v>
      </c>
      <c r="AD407" s="630">
        <v>0.0</v>
      </c>
      <c r="AE407" s="630">
        <v>0.0</v>
      </c>
      <c r="AF407" s="630">
        <v>0.0</v>
      </c>
      <c r="AG407" s="630">
        <v>0.0</v>
      </c>
      <c r="AH407" s="630">
        <v>0.0</v>
      </c>
      <c r="AI407" s="630">
        <v>0.0</v>
      </c>
      <c r="AJ407" s="630">
        <v>0.0</v>
      </c>
      <c r="AK407" s="630">
        <v>0.0</v>
      </c>
      <c r="AL407" s="630">
        <v>0.0</v>
      </c>
      <c r="AM407" s="630">
        <v>0.0</v>
      </c>
      <c r="AN407" s="630">
        <v>0.0</v>
      </c>
      <c r="AO407" s="630">
        <v>0.0</v>
      </c>
      <c r="AP407" s="630">
        <v>0.0</v>
      </c>
      <c r="AQ407" s="630">
        <v>0.0</v>
      </c>
      <c r="AR407" s="630">
        <v>0.0</v>
      </c>
      <c r="AS407" s="630">
        <v>0.0</v>
      </c>
      <c r="AT407" s="630">
        <v>0.0</v>
      </c>
      <c r="AU407" s="630">
        <v>0.0</v>
      </c>
      <c r="AV407" s="630">
        <v>0.0</v>
      </c>
      <c r="AW407" s="630">
        <v>0.0</v>
      </c>
      <c r="AX407" s="630">
        <v>0.0</v>
      </c>
      <c r="AY407" s="630">
        <v>0.0</v>
      </c>
      <c r="AZ407" s="630">
        <v>0.0</v>
      </c>
      <c r="BA407" s="630">
        <v>0.0</v>
      </c>
      <c r="BB407" s="630">
        <v>0.0</v>
      </c>
      <c r="BC407" s="630">
        <v>0.0</v>
      </c>
      <c r="BD407" s="630">
        <v>0.0</v>
      </c>
      <c r="BE407" s="630">
        <v>0.0</v>
      </c>
      <c r="BF407" s="630">
        <v>0.0</v>
      </c>
      <c r="BG407" s="630">
        <v>0.0</v>
      </c>
      <c r="BH407" s="630">
        <v>0.0</v>
      </c>
      <c r="BI407" s="630">
        <v>0.0</v>
      </c>
      <c r="BJ407" s="630">
        <v>0.0</v>
      </c>
      <c r="BK407" s="630">
        <v>0.0</v>
      </c>
      <c r="BL407" s="630">
        <v>0.0</v>
      </c>
      <c r="BM407" s="630">
        <v>0.0</v>
      </c>
      <c r="BN407" s="630">
        <v>0.0</v>
      </c>
      <c r="BO407" s="630">
        <v>0.0</v>
      </c>
      <c r="BP407" s="630">
        <v>0.0</v>
      </c>
      <c r="BQ407" s="630">
        <v>0.0</v>
      </c>
      <c r="BR407" s="630">
        <v>0.0</v>
      </c>
      <c r="BS407" s="630">
        <v>0.0</v>
      </c>
      <c r="BT407" s="630">
        <v>0.0</v>
      </c>
      <c r="BU407" s="630">
        <v>0.0</v>
      </c>
      <c r="BV407" s="630">
        <v>0.0</v>
      </c>
      <c r="BW407" s="630">
        <v>0.0</v>
      </c>
      <c r="BX407" s="630">
        <v>0.0</v>
      </c>
      <c r="BY407" s="630">
        <v>0.0</v>
      </c>
      <c r="BZ407" s="630">
        <v>0.0</v>
      </c>
      <c r="CA407" s="630">
        <v>0.0</v>
      </c>
      <c r="CB407" s="630">
        <v>0.0</v>
      </c>
      <c r="CC407" s="630">
        <v>0.0</v>
      </c>
      <c r="CD407" s="630">
        <v>0.0</v>
      </c>
      <c r="CE407" s="630">
        <v>0.0</v>
      </c>
      <c r="CF407" s="630">
        <v>0.0</v>
      </c>
      <c r="CG407" s="630">
        <v>0.0</v>
      </c>
      <c r="CH407" s="630">
        <v>0.0</v>
      </c>
      <c r="CI407" s="630">
        <v>0.0</v>
      </c>
      <c r="CJ407" s="630">
        <v>0.0</v>
      </c>
      <c r="CK407" s="630">
        <v>0.0</v>
      </c>
      <c r="CL407" s="630">
        <v>0.0</v>
      </c>
      <c r="CM407" s="630">
        <v>0.0</v>
      </c>
      <c r="CN407" s="630">
        <v>0.0</v>
      </c>
      <c r="CO407" s="630">
        <v>0.0</v>
      </c>
      <c r="CP407" s="630">
        <v>0.0</v>
      </c>
      <c r="CQ407" s="630">
        <v>0.0</v>
      </c>
      <c r="CR407" s="630">
        <v>0.0</v>
      </c>
      <c r="CS407" s="630">
        <v>0.0</v>
      </c>
      <c r="CT407" s="630">
        <v>0.0</v>
      </c>
      <c r="CU407" s="630">
        <v>0.0</v>
      </c>
      <c r="CV407" s="630">
        <v>0.0</v>
      </c>
      <c r="CW407" s="630">
        <v>0.0</v>
      </c>
      <c r="CX407" s="630">
        <v>0.0</v>
      </c>
      <c r="CY407" s="630">
        <v>0.0</v>
      </c>
      <c r="CZ407" s="630">
        <v>0.0</v>
      </c>
      <c r="DA407" s="630">
        <v>0.0</v>
      </c>
      <c r="DB407" s="630">
        <v>0.0</v>
      </c>
      <c r="DC407" s="630">
        <v>0.0</v>
      </c>
      <c r="DD407" s="630">
        <v>0.0</v>
      </c>
      <c r="DE407" s="630">
        <v>0.0</v>
      </c>
      <c r="DF407" s="630">
        <v>0.0</v>
      </c>
      <c r="DG407" s="630">
        <v>0.0</v>
      </c>
      <c r="DH407" s="630">
        <v>0.0</v>
      </c>
      <c r="DI407" s="630">
        <v>0.0</v>
      </c>
      <c r="DJ407" s="630">
        <v>0.0</v>
      </c>
      <c r="DK407" s="630">
        <v>0.0</v>
      </c>
      <c r="DL407" s="630">
        <v>0.0</v>
      </c>
      <c r="DM407" s="630">
        <v>0.0</v>
      </c>
      <c r="DN407" s="630">
        <v>0.0</v>
      </c>
      <c r="DO407" s="630">
        <v>0.0</v>
      </c>
      <c r="DP407" s="630">
        <v>0.0</v>
      </c>
      <c r="DQ407" s="630">
        <v>0.0</v>
      </c>
      <c r="DR407" s="630">
        <v>0.0</v>
      </c>
      <c r="DS407" s="630">
        <v>0.0</v>
      </c>
      <c r="DT407" s="630">
        <v>0.0</v>
      </c>
      <c r="DU407" s="630">
        <v>0.0</v>
      </c>
      <c r="DV407" s="630">
        <v>0.0</v>
      </c>
      <c r="DW407" s="630">
        <v>0.0</v>
      </c>
      <c r="DX407" s="630">
        <v>0.0</v>
      </c>
      <c r="DY407" s="630">
        <v>0.0</v>
      </c>
      <c r="DZ407" s="630">
        <v>0.0</v>
      </c>
      <c r="EA407" s="630">
        <v>0.0</v>
      </c>
      <c r="EB407" s="630">
        <v>0.0</v>
      </c>
      <c r="EC407" s="630">
        <v>0.0</v>
      </c>
      <c r="ED407" s="630">
        <v>0.0</v>
      </c>
      <c r="EE407" s="630">
        <v>0.0</v>
      </c>
      <c r="EF407" s="630">
        <v>0.0</v>
      </c>
      <c r="EG407" s="630">
        <v>0.0</v>
      </c>
      <c r="EH407" s="630">
        <v>0.0</v>
      </c>
      <c r="EI407" s="630">
        <v>0.0</v>
      </c>
      <c r="EJ407" s="630">
        <v>0.0</v>
      </c>
      <c r="EK407" s="630">
        <v>0.0</v>
      </c>
      <c r="EL407" s="630">
        <v>0.0</v>
      </c>
      <c r="EM407" s="630">
        <v>0.0</v>
      </c>
      <c r="EN407" s="630">
        <v>0.0</v>
      </c>
      <c r="EO407" s="630">
        <v>0.0</v>
      </c>
      <c r="EP407" s="630">
        <v>0.0</v>
      </c>
      <c r="EQ407" s="630">
        <v>0.0</v>
      </c>
      <c r="ER407" s="630">
        <v>0.0</v>
      </c>
      <c r="ES407" s="630">
        <v>0.0</v>
      </c>
      <c r="ET407" s="630">
        <v>0.0</v>
      </c>
      <c r="EU407" s="630">
        <v>0.0</v>
      </c>
      <c r="EV407" s="630">
        <v>0.0</v>
      </c>
      <c r="EW407" s="630">
        <v>0.0</v>
      </c>
      <c r="EX407" s="630">
        <v>0.0</v>
      </c>
      <c r="EY407" s="630">
        <v>0.0</v>
      </c>
      <c r="EZ407" s="630">
        <v>0.0</v>
      </c>
      <c r="FA407" s="630">
        <v>0.0</v>
      </c>
      <c r="FB407" s="630">
        <v>0.0</v>
      </c>
      <c r="FC407" s="630">
        <v>0.0</v>
      </c>
      <c r="FD407" s="630">
        <v>0.0</v>
      </c>
      <c r="FE407" s="630">
        <v>0.0</v>
      </c>
      <c r="FF407" s="630">
        <v>0.0</v>
      </c>
      <c r="FG407" s="630">
        <v>0.0</v>
      </c>
      <c r="FH407" s="630">
        <v>0.0</v>
      </c>
      <c r="FI407" s="630">
        <v>0.0</v>
      </c>
      <c r="FJ407" s="630">
        <v>0.0</v>
      </c>
      <c r="FK407" s="630">
        <v>0.0</v>
      </c>
      <c r="FL407" s="630">
        <v>0.0</v>
      </c>
      <c r="FM407" s="630">
        <v>0.0</v>
      </c>
      <c r="FN407" s="630">
        <v>0.0</v>
      </c>
      <c r="FO407" s="630">
        <v>0.0</v>
      </c>
      <c r="FP407" s="630">
        <v>0.0</v>
      </c>
      <c r="FQ407" s="630">
        <v>0.0</v>
      </c>
      <c r="FR407" s="630">
        <v>0.0</v>
      </c>
      <c r="FS407" s="630">
        <v>0.0</v>
      </c>
      <c r="FT407" s="630">
        <v>0.0</v>
      </c>
      <c r="FU407" s="630">
        <v>0.0</v>
      </c>
      <c r="FV407" s="630">
        <v>0.0</v>
      </c>
      <c r="FW407" s="630">
        <v>0.0</v>
      </c>
      <c r="FX407" s="630">
        <v>0.0</v>
      </c>
      <c r="FY407" s="630">
        <v>0.0</v>
      </c>
      <c r="FZ407" s="630">
        <v>0.0</v>
      </c>
      <c r="GA407" s="630">
        <v>0.0</v>
      </c>
      <c r="GB407" s="630">
        <v>0.0</v>
      </c>
      <c r="GC407" s="630">
        <v>0.0</v>
      </c>
      <c r="GD407" s="630">
        <v>0.0</v>
      </c>
      <c r="GE407" s="630">
        <v>0.0</v>
      </c>
      <c r="GF407" s="630">
        <v>0.0</v>
      </c>
      <c r="GG407" s="630">
        <v>0.0</v>
      </c>
      <c r="GH407" s="630">
        <v>0.0</v>
      </c>
      <c r="GI407" s="630">
        <v>0.0</v>
      </c>
      <c r="GJ407" s="630">
        <v>0.0</v>
      </c>
      <c r="GK407" s="630">
        <v>0.0</v>
      </c>
      <c r="GL407" s="630">
        <v>0.0</v>
      </c>
      <c r="GM407" s="630">
        <v>0.0</v>
      </c>
      <c r="GN407" s="630">
        <v>0.0</v>
      </c>
      <c r="GO407" s="630">
        <v>0.0</v>
      </c>
      <c r="GP407" s="630">
        <v>0.0</v>
      </c>
      <c r="GQ407" s="630">
        <v>0.0</v>
      </c>
      <c r="GR407" s="630">
        <v>0.0</v>
      </c>
      <c r="GS407" s="630">
        <v>0.0</v>
      </c>
      <c r="GT407" s="630">
        <v>0.0</v>
      </c>
      <c r="GU407" s="630">
        <v>0.0</v>
      </c>
      <c r="GV407" s="630">
        <v>0.0</v>
      </c>
      <c r="GW407" s="630">
        <v>0.0</v>
      </c>
      <c r="GX407" s="630">
        <v>0.0</v>
      </c>
      <c r="GY407" s="630">
        <v>0.0</v>
      </c>
      <c r="GZ407" s="630">
        <v>0.0</v>
      </c>
      <c r="HA407" s="630">
        <v>0.0</v>
      </c>
      <c r="HB407" s="630">
        <v>0.0</v>
      </c>
      <c r="HC407" s="630">
        <v>0.0</v>
      </c>
      <c r="HD407" s="630">
        <v>0.0</v>
      </c>
      <c r="HE407" s="630">
        <v>0.0</v>
      </c>
      <c r="HF407" s="630">
        <v>0.0</v>
      </c>
      <c r="HG407" s="630">
        <v>0.0</v>
      </c>
      <c r="HH407" s="630">
        <v>0.0</v>
      </c>
      <c r="HI407" s="630">
        <v>0.0</v>
      </c>
      <c r="HJ407" s="630">
        <v>0.0</v>
      </c>
      <c r="HK407" s="630">
        <v>0.0</v>
      </c>
      <c r="HL407" s="630">
        <v>0.0</v>
      </c>
      <c r="HM407" s="630">
        <v>0.0</v>
      </c>
      <c r="HN407" s="630">
        <v>0.0</v>
      </c>
      <c r="HO407" s="630">
        <v>0.0</v>
      </c>
      <c r="HP407" s="630">
        <v>0.0</v>
      </c>
      <c r="HQ407" s="630">
        <v>0.0</v>
      </c>
      <c r="HR407" s="630">
        <v>0.0</v>
      </c>
      <c r="HS407" s="630">
        <v>0.0</v>
      </c>
      <c r="HT407" s="630">
        <v>0.0</v>
      </c>
      <c r="HU407" s="630">
        <v>0.0</v>
      </c>
      <c r="HV407" s="630">
        <v>0.0</v>
      </c>
      <c r="HW407" s="630">
        <v>0.0</v>
      </c>
      <c r="HX407" s="630">
        <v>0.0</v>
      </c>
      <c r="HY407" s="630">
        <v>0.0</v>
      </c>
      <c r="HZ407" s="630">
        <v>0.0</v>
      </c>
      <c r="IA407" s="630">
        <v>0.0</v>
      </c>
      <c r="IB407" s="630">
        <v>0.0</v>
      </c>
      <c r="IC407" s="630">
        <v>0.0</v>
      </c>
      <c r="ID407" s="630">
        <v>0.0</v>
      </c>
      <c r="IE407" s="630">
        <v>0.0</v>
      </c>
      <c r="IF407" s="630">
        <v>0.0</v>
      </c>
      <c r="IG407" s="630">
        <v>0.0</v>
      </c>
      <c r="IH407" s="630">
        <v>0.0</v>
      </c>
      <c r="II407" s="630">
        <v>0.0</v>
      </c>
      <c r="IJ407" s="630">
        <v>0.0</v>
      </c>
      <c r="IK407" s="630">
        <v>0.0</v>
      </c>
      <c r="IL407" s="630">
        <v>0.0</v>
      </c>
      <c r="IM407" s="630">
        <v>0.0</v>
      </c>
      <c r="IN407" s="630">
        <v>0.0</v>
      </c>
      <c r="IO407" s="630">
        <v>0.0</v>
      </c>
      <c r="IP407" s="630">
        <v>0.0</v>
      </c>
      <c r="IQ407" s="630">
        <v>0.0</v>
      </c>
      <c r="IR407" s="630">
        <v>0.0</v>
      </c>
      <c r="IS407" s="630">
        <v>0.0</v>
      </c>
      <c r="IT407" s="630">
        <v>0.0</v>
      </c>
      <c r="IU407" s="630">
        <v>0.0</v>
      </c>
      <c r="IV407" s="630">
        <v>0.0</v>
      </c>
      <c r="IW407" s="630">
        <v>0.0</v>
      </c>
      <c r="IX407" s="630">
        <v>0.0</v>
      </c>
      <c r="IY407" s="630">
        <v>0.0</v>
      </c>
      <c r="IZ407" s="630">
        <v>0.0</v>
      </c>
      <c r="JA407" s="630">
        <v>0.0</v>
      </c>
      <c r="JB407" s="630">
        <v>0.0</v>
      </c>
      <c r="JC407" s="630">
        <v>0.0</v>
      </c>
      <c r="JD407" s="630">
        <v>0.0</v>
      </c>
      <c r="JE407" s="630">
        <v>0.0</v>
      </c>
      <c r="JF407" s="630">
        <v>0.0</v>
      </c>
      <c r="JG407" s="630">
        <v>0.0</v>
      </c>
      <c r="JH407" s="630">
        <v>0.0</v>
      </c>
      <c r="JI407" s="630">
        <v>0.0</v>
      </c>
      <c r="JJ407" s="630">
        <v>0.0</v>
      </c>
      <c r="JK407" s="630">
        <v>0.0</v>
      </c>
      <c r="JL407" s="630">
        <v>0.0</v>
      </c>
      <c r="JM407" s="630">
        <v>0.0</v>
      </c>
      <c r="JN407" s="630">
        <v>0.0</v>
      </c>
      <c r="JO407" s="630">
        <v>0.0</v>
      </c>
      <c r="JP407" s="630">
        <v>0.0</v>
      </c>
      <c r="JQ407" s="630">
        <v>0.0</v>
      </c>
      <c r="JR407" s="630">
        <v>0.0</v>
      </c>
      <c r="JS407" s="630">
        <v>0.0</v>
      </c>
      <c r="JT407" s="630">
        <v>0.0</v>
      </c>
      <c r="JU407" s="630">
        <v>0.0</v>
      </c>
      <c r="JV407" s="630">
        <v>0.0</v>
      </c>
      <c r="JW407" s="630">
        <v>0.0</v>
      </c>
      <c r="JX407" s="630">
        <v>0.0</v>
      </c>
      <c r="JY407" s="630">
        <v>0.0</v>
      </c>
      <c r="JZ407" s="630">
        <v>0.0</v>
      </c>
      <c r="KA407" s="630">
        <v>0.0</v>
      </c>
      <c r="KB407" s="630">
        <v>0.0</v>
      </c>
      <c r="KC407" s="630">
        <v>0.0</v>
      </c>
      <c r="KD407" s="630">
        <v>0.0</v>
      </c>
      <c r="KE407" s="630">
        <v>0.0</v>
      </c>
      <c r="KF407" s="630">
        <v>0.0</v>
      </c>
      <c r="KG407" s="630">
        <v>0.0</v>
      </c>
      <c r="KH407" s="630">
        <v>0.0</v>
      </c>
      <c r="KI407" s="630">
        <v>0.0</v>
      </c>
      <c r="KJ407" s="630">
        <v>0.0</v>
      </c>
      <c r="KK407" s="630">
        <v>0.0</v>
      </c>
      <c r="KL407" s="630">
        <v>0.0</v>
      </c>
      <c r="KM407" s="630">
        <v>0.0</v>
      </c>
      <c r="KN407" s="630">
        <v>0.0</v>
      </c>
      <c r="KO407" s="630">
        <v>0.0</v>
      </c>
      <c r="KP407" s="630">
        <v>0.0</v>
      </c>
      <c r="KQ407" s="630">
        <v>0.0</v>
      </c>
      <c r="KR407" s="630">
        <v>0.0</v>
      </c>
      <c r="KS407" s="630">
        <v>0.0</v>
      </c>
      <c r="KT407" s="630">
        <v>0.0</v>
      </c>
      <c r="KU407" s="630">
        <v>0.0</v>
      </c>
      <c r="KV407" s="630">
        <v>0.0</v>
      </c>
      <c r="KW407" s="630">
        <v>0.0</v>
      </c>
      <c r="KX407" s="630">
        <v>0.0</v>
      </c>
      <c r="KY407" s="630">
        <v>0.0</v>
      </c>
      <c r="KZ407" s="630">
        <v>0.0</v>
      </c>
      <c r="LA407" s="630">
        <v>0.0</v>
      </c>
      <c r="LB407" s="630">
        <v>0.0</v>
      </c>
      <c r="LC407" s="630">
        <v>0.0</v>
      </c>
      <c r="LD407" s="630">
        <v>0.0</v>
      </c>
      <c r="LE407" s="630">
        <v>0.0</v>
      </c>
      <c r="LF407" s="630">
        <v>0.0</v>
      </c>
      <c r="LG407" s="630">
        <v>0.0</v>
      </c>
      <c r="LH407" s="630">
        <v>0.0</v>
      </c>
      <c r="LI407" s="630">
        <v>0.0</v>
      </c>
      <c r="LJ407" s="630">
        <v>0.0</v>
      </c>
      <c r="LK407" s="630">
        <v>0.0</v>
      </c>
      <c r="LL407" s="630">
        <v>0.0</v>
      </c>
      <c r="LM407" s="630">
        <v>0.0</v>
      </c>
      <c r="LN407" s="630">
        <v>0.0</v>
      </c>
      <c r="LO407" s="630">
        <v>0.0</v>
      </c>
      <c r="LP407" s="630">
        <v>0.0</v>
      </c>
      <c r="LQ407" s="630">
        <v>0.0</v>
      </c>
      <c r="LR407" s="630">
        <v>0.0</v>
      </c>
      <c r="LS407" s="630">
        <v>0.0</v>
      </c>
      <c r="LT407" s="630">
        <v>0.0</v>
      </c>
      <c r="LU407" s="630">
        <v>0.0</v>
      </c>
      <c r="LV407" s="630">
        <v>0.0</v>
      </c>
      <c r="LW407" s="630">
        <v>0.0</v>
      </c>
      <c r="LX407" s="630">
        <v>0.0</v>
      </c>
      <c r="LY407" s="630">
        <v>0.0</v>
      </c>
      <c r="LZ407" s="630">
        <v>0.0</v>
      </c>
      <c r="MA407" s="630">
        <v>0.0</v>
      </c>
      <c r="MB407" s="630">
        <v>0.0</v>
      </c>
      <c r="MC407" s="630">
        <v>0.0</v>
      </c>
      <c r="MD407" s="630">
        <v>0.0</v>
      </c>
      <c r="ME407" s="630">
        <v>0.0</v>
      </c>
      <c r="MF407" s="630">
        <v>0.0</v>
      </c>
      <c r="MG407" s="630">
        <v>0.0</v>
      </c>
      <c r="MH407" s="630">
        <v>0.0</v>
      </c>
      <c r="MI407" s="630">
        <v>0.0</v>
      </c>
      <c r="MJ407" s="630">
        <v>0.0</v>
      </c>
      <c r="MK407" s="630">
        <v>0.0</v>
      </c>
      <c r="ML407" s="630">
        <v>0.0</v>
      </c>
      <c r="MM407" s="630">
        <v>0.0</v>
      </c>
      <c r="MN407" s="630">
        <v>0.0</v>
      </c>
      <c r="MO407" s="630">
        <v>0.0</v>
      </c>
      <c r="MP407" s="630">
        <v>0.0</v>
      </c>
      <c r="MQ407" s="630">
        <v>0.0</v>
      </c>
      <c r="MR407" s="630">
        <v>0.0</v>
      </c>
      <c r="MS407" s="630">
        <v>0.0</v>
      </c>
      <c r="MT407" s="630">
        <v>0.0</v>
      </c>
      <c r="MU407" s="630">
        <v>0.0</v>
      </c>
      <c r="MV407" s="630">
        <v>0.0</v>
      </c>
      <c r="MW407" s="630">
        <v>0.0</v>
      </c>
      <c r="MX407" s="630">
        <v>0.0</v>
      </c>
      <c r="MY407" s="630">
        <v>0.0</v>
      </c>
      <c r="MZ407" s="630">
        <v>0.0</v>
      </c>
      <c r="NA407" s="630">
        <v>0.0</v>
      </c>
      <c r="NB407" s="630">
        <v>0.0</v>
      </c>
      <c r="NC407" s="630">
        <v>0.0</v>
      </c>
      <c r="ND407" s="630">
        <v>0.0</v>
      </c>
      <c r="NE407" s="630">
        <v>0.0</v>
      </c>
      <c r="NF407" s="630">
        <v>0.0</v>
      </c>
      <c r="NG407" s="630">
        <v>0.0</v>
      </c>
      <c r="NH407" s="630">
        <v>0.0</v>
      </c>
      <c r="NI407" s="630">
        <v>0.0</v>
      </c>
      <c r="NJ407" s="630">
        <v>0.0</v>
      </c>
      <c r="NK407" s="630">
        <v>0.0</v>
      </c>
      <c r="NL407" s="630">
        <v>0.0</v>
      </c>
      <c r="NM407" s="630">
        <v>0.0</v>
      </c>
      <c r="NN407" s="630">
        <v>0.0</v>
      </c>
      <c r="NO407" s="630">
        <v>0.0</v>
      </c>
      <c r="NP407" s="630">
        <v>0.0</v>
      </c>
      <c r="NQ407" s="630">
        <v>0.0</v>
      </c>
      <c r="NR407" s="630">
        <v>0.0</v>
      </c>
      <c r="NS407" s="630">
        <v>0.0</v>
      </c>
      <c r="NT407" s="630">
        <v>0.0</v>
      </c>
      <c r="NU407" s="630">
        <v>0.0</v>
      </c>
      <c r="NV407" s="630">
        <v>0.0</v>
      </c>
      <c r="NW407" s="630">
        <v>0.0</v>
      </c>
      <c r="NY407" s="630">
        <v>0.0</v>
      </c>
      <c r="NZ407" s="630"/>
      <c r="OA407" s="630"/>
      <c r="OB407" s="630"/>
      <c r="OC407" s="631"/>
      <c r="OD407" s="626"/>
      <c r="OE407" s="631"/>
      <c r="OF407" s="630"/>
      <c r="OG407" s="630"/>
      <c r="OI407" s="626"/>
      <c r="OJ407" s="626"/>
      <c r="OK407" s="626"/>
      <c r="OL407" s="626"/>
      <c r="OM407" s="626"/>
      <c r="ON407" s="626"/>
    </row>
    <row r="408" ht="12.75" customHeight="1">
      <c r="A408" s="55" t="s">
        <v>4984</v>
      </c>
      <c r="B408" s="55" t="s">
        <v>4978</v>
      </c>
      <c r="C408" s="630">
        <v>977.06913</v>
      </c>
      <c r="D408" s="630">
        <v>428.4952</v>
      </c>
      <c r="E408" s="630">
        <v>2203.2224</v>
      </c>
      <c r="F408" s="630">
        <v>2086.3938</v>
      </c>
      <c r="G408" s="630">
        <v>190.44497</v>
      </c>
      <c r="H408" s="630">
        <v>181.31158</v>
      </c>
      <c r="I408" s="630">
        <v>340.95226</v>
      </c>
      <c r="J408" s="630">
        <v>22083.907</v>
      </c>
      <c r="K408" s="630">
        <v>1340.3997</v>
      </c>
      <c r="L408" s="630">
        <v>25742.879</v>
      </c>
      <c r="M408" s="630">
        <v>16317.779</v>
      </c>
      <c r="N408" s="630">
        <v>2619.3601</v>
      </c>
      <c r="O408" s="630">
        <v>1347.2501</v>
      </c>
      <c r="P408" s="630">
        <v>2574.7538</v>
      </c>
      <c r="Q408" s="630">
        <v>35.171949</v>
      </c>
      <c r="R408" s="630">
        <v>186.82458</v>
      </c>
      <c r="S408" s="630">
        <v>102.46711</v>
      </c>
      <c r="T408" s="630">
        <v>0.16653623</v>
      </c>
      <c r="U408" s="630">
        <v>3.2267471</v>
      </c>
      <c r="V408" s="630">
        <v>0.0</v>
      </c>
      <c r="W408" s="630">
        <v>352.22059</v>
      </c>
      <c r="X408" s="630">
        <v>550.10168</v>
      </c>
      <c r="Y408" s="630">
        <v>535.67027</v>
      </c>
      <c r="Z408" s="630">
        <v>339.7484</v>
      </c>
      <c r="AA408" s="630">
        <v>132.38401</v>
      </c>
      <c r="AB408" s="630">
        <v>127.29232</v>
      </c>
      <c r="AC408" s="630">
        <v>7.4650991</v>
      </c>
      <c r="AD408" s="630">
        <v>44.117793</v>
      </c>
      <c r="AE408" s="630">
        <v>84335.143</v>
      </c>
      <c r="AF408" s="630">
        <v>116376.18</v>
      </c>
      <c r="AG408" s="630">
        <v>80891.365</v>
      </c>
      <c r="AH408" s="630">
        <v>203.99033</v>
      </c>
      <c r="AI408" s="630">
        <v>311.19406</v>
      </c>
      <c r="AJ408" s="630">
        <v>533.42791</v>
      </c>
      <c r="AK408" s="630">
        <v>273.23454</v>
      </c>
      <c r="AL408" s="630">
        <v>176.75424</v>
      </c>
      <c r="AM408" s="630">
        <v>295.04783</v>
      </c>
      <c r="AN408" s="630">
        <v>191.50679</v>
      </c>
      <c r="AO408" s="630">
        <v>315.18176</v>
      </c>
      <c r="AP408" s="630">
        <v>210.29795</v>
      </c>
      <c r="AQ408" s="630">
        <v>308.03324</v>
      </c>
      <c r="AR408" s="630">
        <v>201.69419</v>
      </c>
      <c r="AS408" s="630">
        <v>328.58401</v>
      </c>
      <c r="AT408" s="630">
        <v>248.22237</v>
      </c>
      <c r="AU408" s="630">
        <v>398.41567</v>
      </c>
      <c r="AV408" s="630">
        <v>219278.69</v>
      </c>
      <c r="AW408" s="630">
        <v>338493.12</v>
      </c>
      <c r="AX408" s="630">
        <v>356735.11</v>
      </c>
      <c r="AY408" s="630">
        <v>1240.0548</v>
      </c>
      <c r="AZ408" s="630">
        <v>113.91171</v>
      </c>
      <c r="BA408" s="630">
        <v>687.35252</v>
      </c>
      <c r="BB408" s="630">
        <v>54.679094</v>
      </c>
      <c r="BC408" s="630">
        <v>67.475803</v>
      </c>
      <c r="BD408" s="630">
        <v>74.304889</v>
      </c>
      <c r="BE408" s="630">
        <v>98.860627</v>
      </c>
      <c r="BF408" s="630">
        <v>53.003187</v>
      </c>
      <c r="BG408" s="630">
        <v>109.13176</v>
      </c>
      <c r="BH408" s="630">
        <v>119.20228</v>
      </c>
      <c r="BI408" s="630">
        <v>350.36905</v>
      </c>
      <c r="BJ408" s="630">
        <v>1715.8075</v>
      </c>
      <c r="BK408" s="630">
        <v>2490.0088</v>
      </c>
      <c r="BL408" s="630">
        <v>1019.1635</v>
      </c>
      <c r="BM408" s="630">
        <v>1793.3648</v>
      </c>
      <c r="BN408" s="630">
        <v>74467.303</v>
      </c>
      <c r="BO408" s="630">
        <v>8.3292349</v>
      </c>
      <c r="BP408" s="630">
        <v>55.2615</v>
      </c>
      <c r="BQ408" s="630">
        <v>93778.703</v>
      </c>
      <c r="BR408" s="630">
        <v>103898.78</v>
      </c>
      <c r="BS408" s="630">
        <v>113752.33</v>
      </c>
      <c r="BT408" s="630">
        <v>170551.83</v>
      </c>
      <c r="BU408" s="630">
        <v>72869.616</v>
      </c>
      <c r="BV408" s="630">
        <v>109400.22</v>
      </c>
      <c r="BW408" s="630">
        <v>95.178</v>
      </c>
      <c r="BX408" s="630">
        <v>60288.042</v>
      </c>
      <c r="BY408" s="630">
        <v>1003.1099</v>
      </c>
      <c r="BZ408" s="630">
        <v>511.97052</v>
      </c>
      <c r="CA408" s="630">
        <v>2.9935972</v>
      </c>
      <c r="CB408" s="630">
        <v>1.9184843</v>
      </c>
      <c r="CC408" s="630">
        <v>2.2417151</v>
      </c>
      <c r="CD408" s="630">
        <v>2.603741</v>
      </c>
      <c r="CE408" s="630">
        <v>174735.04</v>
      </c>
      <c r="CF408" s="630">
        <v>333323.96</v>
      </c>
      <c r="CG408" s="630">
        <v>33103.82</v>
      </c>
      <c r="CH408" s="630">
        <v>41852.117</v>
      </c>
      <c r="CI408" s="630">
        <v>139.32573</v>
      </c>
      <c r="CJ408" s="630">
        <v>510.40836</v>
      </c>
      <c r="CK408" s="630">
        <v>3946.3765</v>
      </c>
      <c r="CL408" s="630">
        <v>4.4641149</v>
      </c>
      <c r="CM408" s="630">
        <v>8.1168949</v>
      </c>
      <c r="CN408" s="630">
        <v>3619.6876</v>
      </c>
      <c r="CO408" s="630">
        <v>5308.5947</v>
      </c>
      <c r="CP408" s="630">
        <v>3134.0387</v>
      </c>
      <c r="CQ408" s="630">
        <v>15174.422</v>
      </c>
      <c r="CR408" s="630">
        <v>22974.691</v>
      </c>
      <c r="CS408" s="630">
        <v>22974.691</v>
      </c>
      <c r="CT408" s="630">
        <v>4.1323278</v>
      </c>
      <c r="CU408" s="630">
        <v>1091.7477</v>
      </c>
      <c r="CV408" s="630">
        <v>6.1237392</v>
      </c>
      <c r="CW408" s="630">
        <v>7.9980011</v>
      </c>
      <c r="CX408" s="630">
        <v>5328.7855</v>
      </c>
      <c r="CY408" s="630">
        <v>3582.6808</v>
      </c>
      <c r="CZ408" s="630">
        <v>1505.0569</v>
      </c>
      <c r="DA408" s="630">
        <v>2586.0653</v>
      </c>
      <c r="DB408" s="630">
        <v>103.22478</v>
      </c>
      <c r="DC408" s="630">
        <v>4.5613005</v>
      </c>
      <c r="DD408" s="630">
        <v>1782.8816</v>
      </c>
      <c r="DE408" s="630">
        <v>3294.8458</v>
      </c>
      <c r="DF408" s="630">
        <v>1370.2454</v>
      </c>
      <c r="DG408" s="630">
        <v>1782.8816</v>
      </c>
      <c r="DH408" s="630">
        <v>3294.8458</v>
      </c>
      <c r="DI408" s="630">
        <v>2412.7924</v>
      </c>
      <c r="DJ408" s="630">
        <v>2834.1463</v>
      </c>
      <c r="DK408" s="630">
        <v>2834.1463</v>
      </c>
      <c r="DL408" s="630">
        <v>4346.1105</v>
      </c>
      <c r="DM408" s="630">
        <v>2834.1463</v>
      </c>
      <c r="DN408" s="630">
        <v>4346.1105</v>
      </c>
      <c r="DO408" s="630">
        <v>4.5613005</v>
      </c>
      <c r="DP408" s="630">
        <v>1102.5996</v>
      </c>
      <c r="DQ408" s="630">
        <v>1185.4982</v>
      </c>
      <c r="DR408" s="630">
        <v>1395.0036</v>
      </c>
      <c r="DS408" s="630">
        <v>1466.2212</v>
      </c>
      <c r="DT408" s="630">
        <v>1268.5021</v>
      </c>
      <c r="DU408" s="630">
        <v>937.90707</v>
      </c>
      <c r="DV408" s="630">
        <v>9836.0391</v>
      </c>
      <c r="DW408" s="630">
        <v>16618.114</v>
      </c>
      <c r="DX408" s="630">
        <v>26327.58</v>
      </c>
      <c r="DY408" s="630">
        <v>11839.371</v>
      </c>
      <c r="DZ408" s="630">
        <v>9036.1236</v>
      </c>
      <c r="EA408" s="630">
        <v>3.2267471</v>
      </c>
      <c r="EB408" s="630">
        <v>4.3997234</v>
      </c>
      <c r="EC408" s="630">
        <v>4.1666088</v>
      </c>
      <c r="ED408" s="630">
        <v>6202.39</v>
      </c>
      <c r="EE408" s="630">
        <v>4.0736591</v>
      </c>
      <c r="EF408" s="630">
        <v>0.0</v>
      </c>
      <c r="EG408" s="630">
        <v>0.0</v>
      </c>
      <c r="EH408" s="630">
        <v>0.0</v>
      </c>
      <c r="EI408" s="630">
        <v>4.8203372</v>
      </c>
      <c r="EJ408" s="630">
        <v>4.0620913</v>
      </c>
      <c r="EK408" s="630">
        <v>7884.9091</v>
      </c>
      <c r="EL408" s="630">
        <v>0.0</v>
      </c>
      <c r="EM408" s="630">
        <v>0.0</v>
      </c>
      <c r="EN408" s="630">
        <v>0.0</v>
      </c>
      <c r="EO408" s="630">
        <v>0.0</v>
      </c>
      <c r="EP408" s="630">
        <v>11528.264</v>
      </c>
      <c r="EQ408" s="630">
        <v>22735.548</v>
      </c>
      <c r="ER408" s="630">
        <v>0.0</v>
      </c>
      <c r="ES408" s="630">
        <v>0.0</v>
      </c>
      <c r="ET408" s="630">
        <v>680.79875</v>
      </c>
      <c r="EU408" s="630">
        <v>58.985737</v>
      </c>
      <c r="EV408" s="630">
        <v>58.985737</v>
      </c>
      <c r="EW408" s="630">
        <v>19.175105</v>
      </c>
      <c r="EX408" s="630">
        <v>215.66454</v>
      </c>
      <c r="EY408" s="630">
        <v>2837.7728</v>
      </c>
      <c r="EZ408" s="630">
        <v>2418.6198</v>
      </c>
      <c r="FA408" s="630">
        <v>532.63268</v>
      </c>
      <c r="FB408" s="630">
        <v>768.1779</v>
      </c>
      <c r="FC408" s="630">
        <v>269.86712</v>
      </c>
      <c r="FD408" s="630">
        <v>1300.2363</v>
      </c>
      <c r="FE408" s="630">
        <v>5831.7603</v>
      </c>
      <c r="FF408" s="630">
        <v>38.863285</v>
      </c>
      <c r="FG408" s="630">
        <v>49.036379</v>
      </c>
      <c r="FH408" s="630">
        <v>41.723688</v>
      </c>
      <c r="FI408" s="630">
        <v>22.656284</v>
      </c>
      <c r="FJ408" s="630">
        <v>2200.7317</v>
      </c>
      <c r="FK408" s="630">
        <v>1696.5117</v>
      </c>
      <c r="FL408" s="630">
        <v>36.446383</v>
      </c>
      <c r="FM408" s="630">
        <v>26.724207</v>
      </c>
      <c r="FN408" s="630">
        <v>2354.2651</v>
      </c>
      <c r="FO408" s="630">
        <v>2415.7473</v>
      </c>
      <c r="FP408" s="630">
        <v>61.684882</v>
      </c>
      <c r="FQ408" s="630">
        <v>2030.9884</v>
      </c>
      <c r="FR408" s="630">
        <v>74.766958</v>
      </c>
      <c r="FS408" s="630">
        <v>2191.884</v>
      </c>
      <c r="FT408" s="630">
        <v>56.303957</v>
      </c>
      <c r="FU408" s="630">
        <v>350.01582</v>
      </c>
      <c r="FV408" s="630">
        <v>42.26949</v>
      </c>
      <c r="FW408" s="630">
        <v>4.1666089</v>
      </c>
      <c r="FX408" s="630">
        <v>41.888734</v>
      </c>
      <c r="FY408" s="630">
        <v>4.1666089</v>
      </c>
      <c r="FZ408" s="630">
        <v>5128.2238</v>
      </c>
      <c r="GA408" s="630">
        <v>2002.887</v>
      </c>
      <c r="GB408" s="630">
        <v>7791.9598</v>
      </c>
      <c r="GC408" s="630">
        <v>731.25297</v>
      </c>
      <c r="GD408" s="630">
        <v>1163.5933</v>
      </c>
      <c r="GE408" s="630">
        <v>340.91704</v>
      </c>
      <c r="GF408" s="630">
        <v>112.0663</v>
      </c>
      <c r="GG408" s="630">
        <v>13649.935</v>
      </c>
      <c r="GH408" s="630">
        <v>55045.723</v>
      </c>
      <c r="GI408" s="630">
        <v>33309.103</v>
      </c>
      <c r="GJ408" s="630">
        <v>2.1637416</v>
      </c>
      <c r="GK408" s="630">
        <v>19.591642</v>
      </c>
      <c r="GL408" s="630">
        <v>59.210767</v>
      </c>
      <c r="GM408" s="630">
        <v>59.210767</v>
      </c>
      <c r="GN408" s="630">
        <v>4.1666088</v>
      </c>
      <c r="GO408" s="630">
        <v>2.2315607</v>
      </c>
      <c r="GP408" s="630">
        <v>51.612391</v>
      </c>
      <c r="GQ408" s="630">
        <v>0.0</v>
      </c>
      <c r="GR408" s="630">
        <v>0.0</v>
      </c>
      <c r="GS408" s="630">
        <v>59.999167</v>
      </c>
      <c r="GT408" s="630">
        <v>26.211102</v>
      </c>
      <c r="GU408" s="630">
        <v>187.76532</v>
      </c>
      <c r="GV408" s="630">
        <v>1452.9446</v>
      </c>
      <c r="GW408" s="630">
        <v>3.9751111</v>
      </c>
      <c r="GX408" s="630">
        <v>5.135682</v>
      </c>
      <c r="GY408" s="630">
        <v>4.7687787</v>
      </c>
      <c r="GZ408" s="630">
        <v>4.3714169</v>
      </c>
      <c r="HA408" s="630">
        <v>0.0</v>
      </c>
      <c r="HB408" s="630">
        <v>0.0</v>
      </c>
      <c r="HC408" s="630">
        <v>0.0</v>
      </c>
      <c r="HD408" s="630">
        <v>2102.0654</v>
      </c>
      <c r="HE408" s="630">
        <v>2938.7521</v>
      </c>
      <c r="HF408" s="630">
        <v>4.3714169</v>
      </c>
      <c r="HG408" s="630">
        <v>4.7687787</v>
      </c>
      <c r="HH408" s="630">
        <v>3334.1791</v>
      </c>
      <c r="HI408" s="630">
        <v>0.0</v>
      </c>
      <c r="HJ408" s="630">
        <v>51.612391</v>
      </c>
      <c r="HK408" s="630">
        <v>3534.9699</v>
      </c>
      <c r="HL408" s="630">
        <v>26214.196</v>
      </c>
      <c r="HM408" s="630">
        <v>16123.422</v>
      </c>
      <c r="HN408" s="630">
        <v>33954.63</v>
      </c>
      <c r="HO408" s="630">
        <v>42056.787</v>
      </c>
      <c r="HP408" s="630">
        <v>29060.132</v>
      </c>
      <c r="HQ408" s="630">
        <v>3706.7594</v>
      </c>
      <c r="HR408" s="630">
        <v>458.64259</v>
      </c>
      <c r="HS408" s="630">
        <v>196.10617</v>
      </c>
      <c r="HT408" s="630">
        <v>306.22552</v>
      </c>
      <c r="HU408" s="630">
        <v>493.36616</v>
      </c>
      <c r="HV408" s="630">
        <v>328.03426</v>
      </c>
      <c r="HW408" s="630">
        <v>25831.878</v>
      </c>
      <c r="HX408" s="630">
        <v>472.71369</v>
      </c>
      <c r="HY408" s="630">
        <v>284.87421</v>
      </c>
      <c r="HZ408" s="630">
        <v>1329.1073</v>
      </c>
      <c r="IA408" s="630">
        <v>499.95167</v>
      </c>
      <c r="IB408" s="630">
        <v>528.33798</v>
      </c>
      <c r="IC408" s="630">
        <v>5031.1367</v>
      </c>
      <c r="ID408" s="630">
        <v>4502.1046</v>
      </c>
      <c r="IE408" s="630">
        <v>1519.4985</v>
      </c>
      <c r="IF408" s="630">
        <v>896.20094</v>
      </c>
      <c r="IG408" s="630">
        <v>3650.2405</v>
      </c>
      <c r="IH408" s="630">
        <v>2164.0589</v>
      </c>
      <c r="II408" s="630">
        <v>6726.8604</v>
      </c>
      <c r="IJ408" s="630">
        <v>7695.5478</v>
      </c>
      <c r="IK408" s="630">
        <v>7654.0436</v>
      </c>
      <c r="IL408" s="630">
        <v>3823.0316</v>
      </c>
      <c r="IM408" s="630">
        <v>2716.5532</v>
      </c>
      <c r="IN408" s="630">
        <v>1544.564</v>
      </c>
      <c r="IO408" s="630">
        <v>5000.7227</v>
      </c>
      <c r="IP408" s="630">
        <v>2748.7484</v>
      </c>
      <c r="IQ408" s="630">
        <v>3732.0366</v>
      </c>
      <c r="IR408" s="630">
        <v>3404.3444</v>
      </c>
      <c r="IS408" s="630">
        <v>2653.4397</v>
      </c>
      <c r="IT408" s="630">
        <v>3701.0234</v>
      </c>
      <c r="IU408" s="630">
        <v>8088.8149</v>
      </c>
      <c r="IV408" s="630">
        <v>4853.1393</v>
      </c>
      <c r="IW408" s="630">
        <v>5806.2185</v>
      </c>
      <c r="IX408" s="630">
        <v>531.7517</v>
      </c>
      <c r="IY408" s="630">
        <v>7826.2621</v>
      </c>
      <c r="IZ408" s="630">
        <v>4035.7926</v>
      </c>
      <c r="JA408" s="630">
        <v>328.54075</v>
      </c>
      <c r="JB408" s="630">
        <v>513.728</v>
      </c>
      <c r="JC408" s="630">
        <v>21569.937</v>
      </c>
      <c r="JD408" s="630">
        <v>35818.495</v>
      </c>
      <c r="JE408" s="630">
        <v>20509.007</v>
      </c>
      <c r="JF408" s="630">
        <v>18202.035</v>
      </c>
      <c r="JG408" s="630">
        <v>32464.667</v>
      </c>
      <c r="JH408" s="630">
        <v>32939.628</v>
      </c>
      <c r="JI408" s="630">
        <v>34457.901</v>
      </c>
      <c r="JJ408" s="630">
        <v>45754.762</v>
      </c>
      <c r="JK408" s="630">
        <v>27729.549</v>
      </c>
      <c r="JL408" s="630">
        <v>42008.907</v>
      </c>
      <c r="JM408" s="630">
        <v>37814.18</v>
      </c>
      <c r="JN408" s="630">
        <v>149.1582</v>
      </c>
      <c r="JO408" s="630">
        <v>126.32141</v>
      </c>
      <c r="JP408" s="630">
        <v>166.89533</v>
      </c>
      <c r="JQ408" s="630">
        <v>144.05855</v>
      </c>
      <c r="JR408" s="630">
        <v>2.0591028</v>
      </c>
      <c r="JS408" s="630">
        <v>1.2703388</v>
      </c>
      <c r="JT408" s="630">
        <v>11430.036</v>
      </c>
      <c r="JU408" s="630">
        <v>2410.3837</v>
      </c>
      <c r="JV408" s="630">
        <v>66.512277</v>
      </c>
      <c r="JW408" s="630">
        <v>1298.4287</v>
      </c>
      <c r="JX408" s="630">
        <v>63.202368</v>
      </c>
      <c r="JY408" s="630">
        <v>28482.858</v>
      </c>
      <c r="JZ408" s="630">
        <v>15178.516</v>
      </c>
      <c r="KA408" s="630">
        <v>18540.525</v>
      </c>
      <c r="KB408" s="630">
        <v>34764.7</v>
      </c>
      <c r="KC408" s="630">
        <v>147254.87</v>
      </c>
      <c r="KD408" s="630">
        <v>22192.689</v>
      </c>
      <c r="KE408" s="630">
        <v>9753.1232</v>
      </c>
      <c r="KF408" s="630">
        <v>16268.001</v>
      </c>
      <c r="KG408" s="630">
        <v>5357.6102</v>
      </c>
      <c r="KH408" s="630">
        <v>1010677.2</v>
      </c>
      <c r="KI408" s="630">
        <v>263540.03</v>
      </c>
      <c r="KJ408" s="630">
        <v>186662.3</v>
      </c>
      <c r="KK408" s="630">
        <v>753.73088</v>
      </c>
      <c r="KL408" s="630">
        <v>474.9823</v>
      </c>
      <c r="KM408" s="630">
        <v>49638.536</v>
      </c>
      <c r="KN408" s="630">
        <v>73.810293</v>
      </c>
      <c r="KO408" s="630">
        <v>186.53365</v>
      </c>
      <c r="KP408" s="630">
        <v>97.956284</v>
      </c>
      <c r="KQ408" s="630">
        <v>163.28167</v>
      </c>
      <c r="KR408" s="630">
        <v>210.41812</v>
      </c>
      <c r="KS408" s="630">
        <v>92.896033</v>
      </c>
      <c r="KT408" s="630">
        <v>415.30026</v>
      </c>
      <c r="KU408" s="630">
        <v>923.73055</v>
      </c>
      <c r="KV408" s="630">
        <v>145.35905</v>
      </c>
      <c r="KW408" s="630">
        <v>130.80428</v>
      </c>
      <c r="KX408" s="630">
        <v>178.92757</v>
      </c>
      <c r="KY408" s="630">
        <v>198.38318</v>
      </c>
      <c r="KZ408" s="630">
        <v>168.46812</v>
      </c>
      <c r="LA408" s="630">
        <v>205.72441</v>
      </c>
      <c r="LB408" s="630">
        <v>221.46613</v>
      </c>
      <c r="LC408" s="630">
        <v>1237.1358</v>
      </c>
      <c r="LD408" s="630">
        <v>327.33175</v>
      </c>
      <c r="LE408" s="630">
        <v>236.42245</v>
      </c>
      <c r="LF408" s="630">
        <v>1890.0358</v>
      </c>
      <c r="LG408" s="630">
        <v>482.40137</v>
      </c>
      <c r="LH408" s="630">
        <v>615.12168</v>
      </c>
      <c r="LI408" s="630">
        <v>3779.9696</v>
      </c>
      <c r="LJ408" s="630">
        <v>1067.6794</v>
      </c>
      <c r="LK408" s="630">
        <v>3891.0016</v>
      </c>
      <c r="LL408" s="630">
        <v>1082.1566</v>
      </c>
      <c r="LM408" s="630">
        <v>1988.5024</v>
      </c>
      <c r="LN408" s="630">
        <v>4804.3314</v>
      </c>
      <c r="LO408" s="630">
        <v>1625.9812</v>
      </c>
      <c r="LP408" s="630">
        <v>694.58736</v>
      </c>
      <c r="LQ408" s="630">
        <v>2147.8853</v>
      </c>
      <c r="LR408" s="630">
        <v>1088.1053</v>
      </c>
      <c r="LS408" s="630">
        <v>1702.1302</v>
      </c>
      <c r="LT408" s="630">
        <v>2057.7337</v>
      </c>
      <c r="LU408" s="630">
        <v>324099.91</v>
      </c>
      <c r="LV408" s="630">
        <v>185860.49</v>
      </c>
      <c r="LW408" s="630">
        <v>13129.218</v>
      </c>
      <c r="LX408" s="630">
        <v>13989.559</v>
      </c>
      <c r="LY408" s="630">
        <v>103.36607</v>
      </c>
      <c r="LZ408" s="630">
        <v>311.04504</v>
      </c>
      <c r="MA408" s="630">
        <v>2773.1455</v>
      </c>
      <c r="MB408" s="630">
        <v>3617.5323</v>
      </c>
      <c r="MC408" s="630">
        <v>510.45667</v>
      </c>
      <c r="MD408" s="630">
        <v>475.55018</v>
      </c>
      <c r="ME408" s="630">
        <v>335.4155</v>
      </c>
      <c r="MF408" s="630">
        <v>32710.446</v>
      </c>
      <c r="MG408" s="630">
        <v>167.74328</v>
      </c>
      <c r="MH408" s="630">
        <v>59.200017</v>
      </c>
      <c r="MI408" s="630">
        <v>1.2703388</v>
      </c>
      <c r="MJ408" s="630">
        <v>1055.8603</v>
      </c>
      <c r="MK408" s="630">
        <v>45.383083</v>
      </c>
      <c r="ML408" s="630">
        <v>52.953148</v>
      </c>
      <c r="MM408" s="630">
        <v>37.304553</v>
      </c>
      <c r="MN408" s="630">
        <v>31.704432</v>
      </c>
      <c r="MO408" s="630">
        <v>38.453692</v>
      </c>
      <c r="MP408" s="630">
        <v>26.777773</v>
      </c>
      <c r="MQ408" s="630">
        <v>60.81606</v>
      </c>
      <c r="MR408" s="630">
        <v>50.78307</v>
      </c>
      <c r="MS408" s="630">
        <v>41.755738</v>
      </c>
      <c r="MT408" s="630">
        <v>53.166157</v>
      </c>
      <c r="MU408" s="630">
        <v>44.561914</v>
      </c>
      <c r="MV408" s="630">
        <v>35.493949</v>
      </c>
      <c r="MW408" s="630">
        <v>265.79585</v>
      </c>
      <c r="MX408" s="630">
        <v>82970.025</v>
      </c>
      <c r="MY408" s="630">
        <v>74739.494</v>
      </c>
      <c r="MZ408" s="630">
        <v>42213.784</v>
      </c>
      <c r="NA408" s="630">
        <v>439.89624</v>
      </c>
      <c r="NB408" s="630">
        <v>504.53786</v>
      </c>
      <c r="NC408" s="630">
        <v>1221.1337</v>
      </c>
      <c r="ND408" s="630">
        <v>19115.492</v>
      </c>
      <c r="NE408" s="630">
        <v>13918.035</v>
      </c>
      <c r="NF408" s="630">
        <v>25867.594</v>
      </c>
      <c r="NG408" s="630">
        <v>49884.388</v>
      </c>
      <c r="NH408" s="630">
        <v>834.76877</v>
      </c>
      <c r="NI408" s="630">
        <v>1600.3373</v>
      </c>
      <c r="NJ408" s="630">
        <v>2957.2235</v>
      </c>
      <c r="NK408" s="630">
        <v>1230.4093</v>
      </c>
      <c r="NL408" s="630">
        <v>345.79161</v>
      </c>
      <c r="NM408" s="630">
        <v>188.49174</v>
      </c>
      <c r="NN408" s="630">
        <v>1843.9657</v>
      </c>
      <c r="NO408" s="630">
        <v>7273.291</v>
      </c>
      <c r="NP408" s="630">
        <v>146.37256</v>
      </c>
      <c r="NQ408" s="630">
        <v>83232.958</v>
      </c>
      <c r="NR408" s="630">
        <v>149064.17</v>
      </c>
      <c r="NS408" s="630">
        <v>104137.55</v>
      </c>
      <c r="NT408" s="630">
        <v>87357.576</v>
      </c>
      <c r="NU408" s="630">
        <v>49700.336</v>
      </c>
      <c r="NV408" s="630">
        <v>245.77503</v>
      </c>
      <c r="NW408" s="630">
        <v>2745.8953</v>
      </c>
      <c r="NY408" s="630">
        <v>0.0</v>
      </c>
      <c r="NZ408" s="630"/>
      <c r="OA408" s="630"/>
      <c r="OB408" s="631"/>
      <c r="OC408" s="631"/>
      <c r="OD408" s="626"/>
      <c r="OE408" s="631"/>
      <c r="OF408" s="631"/>
      <c r="OG408" s="630"/>
      <c r="OI408" s="626"/>
      <c r="OJ408" s="626"/>
      <c r="OK408" s="626"/>
      <c r="OL408" s="626"/>
      <c r="OM408" s="626"/>
      <c r="ON408" s="626"/>
    </row>
    <row r="409" ht="12.75" customHeight="1">
      <c r="A409" s="55" t="s">
        <v>4985</v>
      </c>
      <c r="B409" s="55" t="s">
        <v>4978</v>
      </c>
      <c r="C409" s="630">
        <v>0.0</v>
      </c>
      <c r="D409" s="630">
        <v>0.0</v>
      </c>
      <c r="E409" s="630">
        <v>0.0</v>
      </c>
      <c r="F409" s="630">
        <v>0.0</v>
      </c>
      <c r="G409" s="630">
        <v>0.0</v>
      </c>
      <c r="H409" s="630">
        <v>0.0</v>
      </c>
      <c r="I409" s="630">
        <v>0.0</v>
      </c>
      <c r="J409" s="630">
        <v>0.0</v>
      </c>
      <c r="K409" s="630">
        <v>0.0</v>
      </c>
      <c r="L409" s="630">
        <v>0.0</v>
      </c>
      <c r="M409" s="630">
        <v>0.0</v>
      </c>
      <c r="N409" s="630">
        <v>0.0</v>
      </c>
      <c r="O409" s="630">
        <v>0.0</v>
      </c>
      <c r="P409" s="630">
        <v>0.0</v>
      </c>
      <c r="Q409" s="630">
        <v>0.0</v>
      </c>
      <c r="R409" s="630">
        <v>0.0</v>
      </c>
      <c r="S409" s="630">
        <v>0.0</v>
      </c>
      <c r="T409" s="630">
        <v>0.0</v>
      </c>
      <c r="U409" s="630">
        <v>0.0</v>
      </c>
      <c r="V409" s="630">
        <v>0.0</v>
      </c>
      <c r="W409" s="630">
        <v>0.0</v>
      </c>
      <c r="X409" s="630">
        <v>0.0</v>
      </c>
      <c r="Y409" s="630">
        <v>0.0</v>
      </c>
      <c r="Z409" s="630">
        <v>0.0</v>
      </c>
      <c r="AA409" s="630">
        <v>0.0</v>
      </c>
      <c r="AB409" s="630">
        <v>0.0</v>
      </c>
      <c r="AC409" s="630">
        <v>0.0</v>
      </c>
      <c r="AD409" s="630">
        <v>0.0</v>
      </c>
      <c r="AE409" s="630">
        <v>0.0</v>
      </c>
      <c r="AF409" s="630">
        <v>0.0</v>
      </c>
      <c r="AG409" s="630">
        <v>0.0</v>
      </c>
      <c r="AH409" s="630">
        <v>0.0</v>
      </c>
      <c r="AI409" s="630">
        <v>0.0</v>
      </c>
      <c r="AJ409" s="630">
        <v>0.0</v>
      </c>
      <c r="AK409" s="630">
        <v>0.0</v>
      </c>
      <c r="AL409" s="630">
        <v>0.0</v>
      </c>
      <c r="AM409" s="630">
        <v>0.0</v>
      </c>
      <c r="AN409" s="630">
        <v>0.0</v>
      </c>
      <c r="AO409" s="630">
        <v>0.0</v>
      </c>
      <c r="AP409" s="630">
        <v>0.0</v>
      </c>
      <c r="AQ409" s="630">
        <v>0.0</v>
      </c>
      <c r="AR409" s="630">
        <v>0.0</v>
      </c>
      <c r="AS409" s="630">
        <v>0.0</v>
      </c>
      <c r="AT409" s="630">
        <v>0.0</v>
      </c>
      <c r="AU409" s="630">
        <v>0.0</v>
      </c>
      <c r="AV409" s="630">
        <v>0.0</v>
      </c>
      <c r="AW409" s="630">
        <v>0.0</v>
      </c>
      <c r="AX409" s="630">
        <v>0.0</v>
      </c>
      <c r="AY409" s="630">
        <v>0.0</v>
      </c>
      <c r="AZ409" s="630">
        <v>0.0</v>
      </c>
      <c r="BA409" s="630">
        <v>0.0</v>
      </c>
      <c r="BB409" s="630">
        <v>0.0</v>
      </c>
      <c r="BC409" s="630">
        <v>0.0</v>
      </c>
      <c r="BD409" s="630">
        <v>0.0</v>
      </c>
      <c r="BE409" s="630">
        <v>0.0</v>
      </c>
      <c r="BF409" s="630">
        <v>0.0</v>
      </c>
      <c r="BG409" s="630">
        <v>0.0</v>
      </c>
      <c r="BH409" s="630">
        <v>0.0</v>
      </c>
      <c r="BI409" s="630">
        <v>0.0</v>
      </c>
      <c r="BJ409" s="630">
        <v>0.0</v>
      </c>
      <c r="BK409" s="630">
        <v>0.0</v>
      </c>
      <c r="BL409" s="630">
        <v>0.0</v>
      </c>
      <c r="BM409" s="630">
        <v>0.0</v>
      </c>
      <c r="BN409" s="630">
        <v>0.0</v>
      </c>
      <c r="BO409" s="630">
        <v>0.0</v>
      </c>
      <c r="BP409" s="630">
        <v>0.0</v>
      </c>
      <c r="BQ409" s="630">
        <v>0.0</v>
      </c>
      <c r="BR409" s="630">
        <v>0.0</v>
      </c>
      <c r="BS409" s="630">
        <v>0.0</v>
      </c>
      <c r="BT409" s="630">
        <v>0.0</v>
      </c>
      <c r="BU409" s="630">
        <v>0.0</v>
      </c>
      <c r="BV409" s="630">
        <v>0.0</v>
      </c>
      <c r="BW409" s="630">
        <v>0.0</v>
      </c>
      <c r="BX409" s="630">
        <v>0.0</v>
      </c>
      <c r="BY409" s="630">
        <v>0.0</v>
      </c>
      <c r="BZ409" s="630">
        <v>0.0</v>
      </c>
      <c r="CA409" s="630">
        <v>0.0</v>
      </c>
      <c r="CB409" s="630">
        <v>0.0</v>
      </c>
      <c r="CC409" s="630">
        <v>0.0</v>
      </c>
      <c r="CD409" s="630">
        <v>0.0</v>
      </c>
      <c r="CE409" s="630">
        <v>0.0</v>
      </c>
      <c r="CF409" s="630">
        <v>0.0</v>
      </c>
      <c r="CG409" s="630">
        <v>0.0</v>
      </c>
      <c r="CH409" s="630">
        <v>0.0</v>
      </c>
      <c r="CI409" s="630">
        <v>0.0</v>
      </c>
      <c r="CJ409" s="630">
        <v>0.0</v>
      </c>
      <c r="CK409" s="630">
        <v>0.0</v>
      </c>
      <c r="CL409" s="630">
        <v>0.0</v>
      </c>
      <c r="CM409" s="630">
        <v>0.0</v>
      </c>
      <c r="CN409" s="630">
        <v>0.0</v>
      </c>
      <c r="CO409" s="630">
        <v>0.0</v>
      </c>
      <c r="CP409" s="630">
        <v>0.0</v>
      </c>
      <c r="CQ409" s="630">
        <v>0.0</v>
      </c>
      <c r="CR409" s="630">
        <v>0.0</v>
      </c>
      <c r="CS409" s="630">
        <v>0.0</v>
      </c>
      <c r="CT409" s="630">
        <v>0.0</v>
      </c>
      <c r="CU409" s="630">
        <v>0.0</v>
      </c>
      <c r="CV409" s="630">
        <v>0.0</v>
      </c>
      <c r="CW409" s="630">
        <v>0.0</v>
      </c>
      <c r="CX409" s="630">
        <v>0.0</v>
      </c>
      <c r="CY409" s="630">
        <v>0.0</v>
      </c>
      <c r="CZ409" s="630">
        <v>0.0</v>
      </c>
      <c r="DA409" s="630">
        <v>0.0</v>
      </c>
      <c r="DB409" s="630">
        <v>0.0</v>
      </c>
      <c r="DC409" s="630">
        <v>0.0</v>
      </c>
      <c r="DD409" s="630">
        <v>0.0</v>
      </c>
      <c r="DE409" s="630">
        <v>0.0</v>
      </c>
      <c r="DF409" s="630">
        <v>0.0</v>
      </c>
      <c r="DG409" s="630">
        <v>0.0</v>
      </c>
      <c r="DH409" s="630">
        <v>0.0</v>
      </c>
      <c r="DI409" s="630">
        <v>0.0</v>
      </c>
      <c r="DJ409" s="630">
        <v>0.0</v>
      </c>
      <c r="DK409" s="630">
        <v>0.0</v>
      </c>
      <c r="DL409" s="630">
        <v>0.0</v>
      </c>
      <c r="DM409" s="630">
        <v>0.0</v>
      </c>
      <c r="DN409" s="630">
        <v>0.0</v>
      </c>
      <c r="DO409" s="630">
        <v>0.0</v>
      </c>
      <c r="DP409" s="630">
        <v>0.0</v>
      </c>
      <c r="DQ409" s="630">
        <v>0.0</v>
      </c>
      <c r="DR409" s="630">
        <v>0.0</v>
      </c>
      <c r="DS409" s="630">
        <v>0.0</v>
      </c>
      <c r="DT409" s="630">
        <v>0.0</v>
      </c>
      <c r="DU409" s="630">
        <v>0.0</v>
      </c>
      <c r="DV409" s="630">
        <v>0.0</v>
      </c>
      <c r="DW409" s="630">
        <v>0.0</v>
      </c>
      <c r="DX409" s="630">
        <v>0.0</v>
      </c>
      <c r="DY409" s="630">
        <v>0.0</v>
      </c>
      <c r="DZ409" s="630">
        <v>0.0</v>
      </c>
      <c r="EA409" s="630">
        <v>0.0</v>
      </c>
      <c r="EB409" s="630">
        <v>0.0</v>
      </c>
      <c r="EC409" s="630">
        <v>0.0</v>
      </c>
      <c r="ED409" s="630">
        <v>0.0</v>
      </c>
      <c r="EE409" s="630">
        <v>0.0</v>
      </c>
      <c r="EF409" s="630">
        <v>0.0</v>
      </c>
      <c r="EG409" s="630">
        <v>0.0</v>
      </c>
      <c r="EH409" s="630">
        <v>0.0</v>
      </c>
      <c r="EI409" s="630">
        <v>0.0</v>
      </c>
      <c r="EJ409" s="630">
        <v>0.0</v>
      </c>
      <c r="EK409" s="630">
        <v>0.0</v>
      </c>
      <c r="EL409" s="630">
        <v>0.0</v>
      </c>
      <c r="EM409" s="630">
        <v>0.0</v>
      </c>
      <c r="EN409" s="630">
        <v>0.0</v>
      </c>
      <c r="EO409" s="630">
        <v>0.0</v>
      </c>
      <c r="EP409" s="630">
        <v>0.0</v>
      </c>
      <c r="EQ409" s="630">
        <v>0.0</v>
      </c>
      <c r="ER409" s="630">
        <v>0.0</v>
      </c>
      <c r="ES409" s="630">
        <v>0.0</v>
      </c>
      <c r="ET409" s="630">
        <v>0.0</v>
      </c>
      <c r="EU409" s="630">
        <v>0.0</v>
      </c>
      <c r="EV409" s="630">
        <v>0.0</v>
      </c>
      <c r="EW409" s="630">
        <v>0.0</v>
      </c>
      <c r="EX409" s="630">
        <v>0.0</v>
      </c>
      <c r="EY409" s="630">
        <v>0.0</v>
      </c>
      <c r="EZ409" s="630">
        <v>0.0</v>
      </c>
      <c r="FA409" s="630">
        <v>0.0</v>
      </c>
      <c r="FB409" s="630">
        <v>0.0</v>
      </c>
      <c r="FC409" s="630">
        <v>0.0</v>
      </c>
      <c r="FD409" s="630">
        <v>0.0</v>
      </c>
      <c r="FE409" s="630">
        <v>0.0</v>
      </c>
      <c r="FF409" s="630">
        <v>0.0</v>
      </c>
      <c r="FG409" s="630">
        <v>0.0</v>
      </c>
      <c r="FH409" s="630">
        <v>0.0</v>
      </c>
      <c r="FI409" s="630">
        <v>0.0</v>
      </c>
      <c r="FJ409" s="630">
        <v>0.0</v>
      </c>
      <c r="FK409" s="630">
        <v>0.0</v>
      </c>
      <c r="FL409" s="630">
        <v>0.0</v>
      </c>
      <c r="FM409" s="630">
        <v>0.0</v>
      </c>
      <c r="FN409" s="630">
        <v>0.0</v>
      </c>
      <c r="FO409" s="630">
        <v>0.0</v>
      </c>
      <c r="FP409" s="630">
        <v>0.0</v>
      </c>
      <c r="FQ409" s="630">
        <v>0.0</v>
      </c>
      <c r="FR409" s="630">
        <v>0.0</v>
      </c>
      <c r="FS409" s="630">
        <v>0.0</v>
      </c>
      <c r="FT409" s="630">
        <v>0.0</v>
      </c>
      <c r="FU409" s="630">
        <v>0.0</v>
      </c>
      <c r="FV409" s="630">
        <v>0.0</v>
      </c>
      <c r="FW409" s="630">
        <v>0.0</v>
      </c>
      <c r="FX409" s="630">
        <v>0.0</v>
      </c>
      <c r="FY409" s="630">
        <v>0.0</v>
      </c>
      <c r="FZ409" s="630">
        <v>0.0</v>
      </c>
      <c r="GA409" s="630">
        <v>0.0</v>
      </c>
      <c r="GB409" s="630">
        <v>0.0</v>
      </c>
      <c r="GC409" s="630">
        <v>0.0</v>
      </c>
      <c r="GD409" s="630">
        <v>0.0</v>
      </c>
      <c r="GE409" s="630">
        <v>0.0</v>
      </c>
      <c r="GF409" s="630">
        <v>0.0</v>
      </c>
      <c r="GG409" s="630">
        <v>0.0</v>
      </c>
      <c r="GH409" s="630">
        <v>0.0</v>
      </c>
      <c r="GI409" s="630">
        <v>0.0</v>
      </c>
      <c r="GJ409" s="630">
        <v>0.0</v>
      </c>
      <c r="GK409" s="630">
        <v>0.0</v>
      </c>
      <c r="GL409" s="630">
        <v>0.0</v>
      </c>
      <c r="GM409" s="630">
        <v>0.0</v>
      </c>
      <c r="GN409" s="630">
        <v>0.0</v>
      </c>
      <c r="GO409" s="630">
        <v>0.0</v>
      </c>
      <c r="GP409" s="630">
        <v>0.0</v>
      </c>
      <c r="GQ409" s="630">
        <v>0.0</v>
      </c>
      <c r="GR409" s="630">
        <v>0.0</v>
      </c>
      <c r="GS409" s="630">
        <v>0.0</v>
      </c>
      <c r="GT409" s="630">
        <v>0.0</v>
      </c>
      <c r="GU409" s="630">
        <v>0.0</v>
      </c>
      <c r="GV409" s="630">
        <v>0.0</v>
      </c>
      <c r="GW409" s="630">
        <v>0.0</v>
      </c>
      <c r="GX409" s="630">
        <v>0.0</v>
      </c>
      <c r="GY409" s="630">
        <v>0.0</v>
      </c>
      <c r="GZ409" s="630">
        <v>0.0</v>
      </c>
      <c r="HA409" s="630">
        <v>0.0</v>
      </c>
      <c r="HB409" s="630">
        <v>0.0</v>
      </c>
      <c r="HC409" s="630">
        <v>0.0</v>
      </c>
      <c r="HD409" s="630">
        <v>0.0</v>
      </c>
      <c r="HE409" s="630">
        <v>0.0</v>
      </c>
      <c r="HF409" s="630">
        <v>0.0</v>
      </c>
      <c r="HG409" s="630">
        <v>0.0</v>
      </c>
      <c r="HH409" s="630">
        <v>0.0</v>
      </c>
      <c r="HI409" s="630">
        <v>0.0</v>
      </c>
      <c r="HJ409" s="630">
        <v>0.0</v>
      </c>
      <c r="HK409" s="630">
        <v>0.0</v>
      </c>
      <c r="HL409" s="630">
        <v>0.0</v>
      </c>
      <c r="HM409" s="630">
        <v>0.0</v>
      </c>
      <c r="HN409" s="630">
        <v>0.0</v>
      </c>
      <c r="HO409" s="630">
        <v>0.0</v>
      </c>
      <c r="HP409" s="630">
        <v>0.0</v>
      </c>
      <c r="HQ409" s="630">
        <v>0.0</v>
      </c>
      <c r="HR409" s="630">
        <v>0.0</v>
      </c>
      <c r="HS409" s="630">
        <v>0.0</v>
      </c>
      <c r="HT409" s="630">
        <v>0.0</v>
      </c>
      <c r="HU409" s="630">
        <v>0.0</v>
      </c>
      <c r="HV409" s="630">
        <v>0.0</v>
      </c>
      <c r="HW409" s="630">
        <v>0.0</v>
      </c>
      <c r="HX409" s="630">
        <v>0.0</v>
      </c>
      <c r="HY409" s="630">
        <v>0.0</v>
      </c>
      <c r="HZ409" s="630">
        <v>0.0</v>
      </c>
      <c r="IA409" s="630">
        <v>0.0</v>
      </c>
      <c r="IB409" s="630">
        <v>0.0</v>
      </c>
      <c r="IC409" s="630">
        <v>0.0</v>
      </c>
      <c r="ID409" s="630">
        <v>0.0</v>
      </c>
      <c r="IE409" s="630">
        <v>0.0</v>
      </c>
      <c r="IF409" s="630">
        <v>0.0</v>
      </c>
      <c r="IG409" s="630">
        <v>0.0</v>
      </c>
      <c r="IH409" s="630">
        <v>0.0</v>
      </c>
      <c r="II409" s="630">
        <v>0.0</v>
      </c>
      <c r="IJ409" s="630">
        <v>0.0</v>
      </c>
      <c r="IK409" s="630">
        <v>0.0</v>
      </c>
      <c r="IL409" s="630">
        <v>0.0</v>
      </c>
      <c r="IM409" s="630">
        <v>0.0</v>
      </c>
      <c r="IN409" s="630">
        <v>0.0</v>
      </c>
      <c r="IO409" s="630">
        <v>0.0</v>
      </c>
      <c r="IP409" s="630">
        <v>0.0</v>
      </c>
      <c r="IQ409" s="630">
        <v>0.0</v>
      </c>
      <c r="IR409" s="630">
        <v>0.0</v>
      </c>
      <c r="IS409" s="630">
        <v>0.0</v>
      </c>
      <c r="IT409" s="630">
        <v>0.0</v>
      </c>
      <c r="IU409" s="630">
        <v>0.0</v>
      </c>
      <c r="IV409" s="630">
        <v>0.0</v>
      </c>
      <c r="IW409" s="630">
        <v>0.0</v>
      </c>
      <c r="IX409" s="630">
        <v>0.0</v>
      </c>
      <c r="IY409" s="630">
        <v>0.0</v>
      </c>
      <c r="IZ409" s="630">
        <v>0.0</v>
      </c>
      <c r="JA409" s="630">
        <v>0.0</v>
      </c>
      <c r="JB409" s="630">
        <v>0.0</v>
      </c>
      <c r="JC409" s="630">
        <v>0.0</v>
      </c>
      <c r="JD409" s="630">
        <v>0.0</v>
      </c>
      <c r="JE409" s="630">
        <v>0.0</v>
      </c>
      <c r="JF409" s="630">
        <v>0.0</v>
      </c>
      <c r="JG409" s="630">
        <v>0.0</v>
      </c>
      <c r="JH409" s="630">
        <v>0.0</v>
      </c>
      <c r="JI409" s="630">
        <v>0.0</v>
      </c>
      <c r="JJ409" s="630">
        <v>0.0</v>
      </c>
      <c r="JK409" s="630">
        <v>0.0</v>
      </c>
      <c r="JL409" s="630">
        <v>0.0</v>
      </c>
      <c r="JM409" s="630">
        <v>0.0</v>
      </c>
      <c r="JN409" s="630">
        <v>0.0</v>
      </c>
      <c r="JO409" s="630">
        <v>0.0</v>
      </c>
      <c r="JP409" s="630">
        <v>0.0</v>
      </c>
      <c r="JQ409" s="630">
        <v>0.0</v>
      </c>
      <c r="JR409" s="630">
        <v>0.0</v>
      </c>
      <c r="JS409" s="630">
        <v>0.0</v>
      </c>
      <c r="JT409" s="630">
        <v>0.0</v>
      </c>
      <c r="JU409" s="630">
        <v>0.0</v>
      </c>
      <c r="JV409" s="630">
        <v>0.0</v>
      </c>
      <c r="JW409" s="630">
        <v>0.0</v>
      </c>
      <c r="JX409" s="630">
        <v>0.0</v>
      </c>
      <c r="JY409" s="630">
        <v>0.0</v>
      </c>
      <c r="JZ409" s="630">
        <v>0.0</v>
      </c>
      <c r="KA409" s="630">
        <v>0.0</v>
      </c>
      <c r="KB409" s="630">
        <v>0.0</v>
      </c>
      <c r="KC409" s="630">
        <v>0.0</v>
      </c>
      <c r="KD409" s="630">
        <v>0.0</v>
      </c>
      <c r="KE409" s="630">
        <v>0.0</v>
      </c>
      <c r="KF409" s="630">
        <v>0.0</v>
      </c>
      <c r="KG409" s="630">
        <v>0.0</v>
      </c>
      <c r="KH409" s="630">
        <v>0.0</v>
      </c>
      <c r="KI409" s="630">
        <v>0.0</v>
      </c>
      <c r="KJ409" s="630">
        <v>0.0</v>
      </c>
      <c r="KK409" s="630">
        <v>0.0</v>
      </c>
      <c r="KL409" s="630">
        <v>0.0</v>
      </c>
      <c r="KM409" s="630">
        <v>0.0</v>
      </c>
      <c r="KN409" s="630">
        <v>0.0</v>
      </c>
      <c r="KO409" s="630">
        <v>0.0</v>
      </c>
      <c r="KP409" s="630">
        <v>0.0</v>
      </c>
      <c r="KQ409" s="630">
        <v>0.0</v>
      </c>
      <c r="KR409" s="630">
        <v>0.0</v>
      </c>
      <c r="KS409" s="630">
        <v>0.0</v>
      </c>
      <c r="KT409" s="630">
        <v>0.0</v>
      </c>
      <c r="KU409" s="630">
        <v>0.0</v>
      </c>
      <c r="KV409" s="630">
        <v>0.0</v>
      </c>
      <c r="KW409" s="630">
        <v>0.0</v>
      </c>
      <c r="KX409" s="630">
        <v>0.0</v>
      </c>
      <c r="KY409" s="630">
        <v>0.0</v>
      </c>
      <c r="KZ409" s="630">
        <v>0.0</v>
      </c>
      <c r="LA409" s="630">
        <v>0.0</v>
      </c>
      <c r="LB409" s="630">
        <v>0.0</v>
      </c>
      <c r="LC409" s="630">
        <v>0.0</v>
      </c>
      <c r="LD409" s="630">
        <v>0.0</v>
      </c>
      <c r="LE409" s="630">
        <v>0.0</v>
      </c>
      <c r="LF409" s="630">
        <v>0.0</v>
      </c>
      <c r="LG409" s="630">
        <v>0.0</v>
      </c>
      <c r="LH409" s="630">
        <v>0.0</v>
      </c>
      <c r="LI409" s="630">
        <v>0.0</v>
      </c>
      <c r="LJ409" s="630">
        <v>0.0</v>
      </c>
      <c r="LK409" s="630">
        <v>0.0</v>
      </c>
      <c r="LL409" s="630">
        <v>0.0</v>
      </c>
      <c r="LM409" s="630">
        <v>0.0</v>
      </c>
      <c r="LN409" s="630">
        <v>0.0</v>
      </c>
      <c r="LO409" s="630">
        <v>0.0</v>
      </c>
      <c r="LP409" s="630">
        <v>0.0</v>
      </c>
      <c r="LQ409" s="630">
        <v>0.0</v>
      </c>
      <c r="LR409" s="630">
        <v>0.0</v>
      </c>
      <c r="LS409" s="630">
        <v>0.0</v>
      </c>
      <c r="LT409" s="630">
        <v>0.0</v>
      </c>
      <c r="LU409" s="630">
        <v>0.0</v>
      </c>
      <c r="LV409" s="630">
        <v>0.0</v>
      </c>
      <c r="LW409" s="630">
        <v>0.0</v>
      </c>
      <c r="LX409" s="630">
        <v>0.0</v>
      </c>
      <c r="LY409" s="630">
        <v>0.0</v>
      </c>
      <c r="LZ409" s="630">
        <v>0.0</v>
      </c>
      <c r="MA409" s="630">
        <v>0.0</v>
      </c>
      <c r="MB409" s="630">
        <v>0.0</v>
      </c>
      <c r="MC409" s="630">
        <v>0.0</v>
      </c>
      <c r="MD409" s="630">
        <v>0.0</v>
      </c>
      <c r="ME409" s="630">
        <v>0.0</v>
      </c>
      <c r="MF409" s="630">
        <v>0.0</v>
      </c>
      <c r="MG409" s="630">
        <v>0.0</v>
      </c>
      <c r="MH409" s="630">
        <v>0.0</v>
      </c>
      <c r="MI409" s="630">
        <v>0.0</v>
      </c>
      <c r="MJ409" s="630">
        <v>0.0</v>
      </c>
      <c r="MK409" s="630">
        <v>0.0</v>
      </c>
      <c r="ML409" s="630">
        <v>0.0</v>
      </c>
      <c r="MM409" s="630">
        <v>0.0</v>
      </c>
      <c r="MN409" s="630">
        <v>0.0</v>
      </c>
      <c r="MO409" s="630">
        <v>0.0</v>
      </c>
      <c r="MP409" s="630">
        <v>0.0</v>
      </c>
      <c r="MQ409" s="630">
        <v>0.0</v>
      </c>
      <c r="MR409" s="630">
        <v>0.0</v>
      </c>
      <c r="MS409" s="630">
        <v>0.0</v>
      </c>
      <c r="MT409" s="630">
        <v>0.0</v>
      </c>
      <c r="MU409" s="630">
        <v>0.0</v>
      </c>
      <c r="MV409" s="630">
        <v>0.0</v>
      </c>
      <c r="MW409" s="630">
        <v>0.0</v>
      </c>
      <c r="MX409" s="630">
        <v>0.0</v>
      </c>
      <c r="MY409" s="630">
        <v>0.0</v>
      </c>
      <c r="MZ409" s="630">
        <v>0.0</v>
      </c>
      <c r="NA409" s="630">
        <v>0.0</v>
      </c>
      <c r="NB409" s="630">
        <v>0.0</v>
      </c>
      <c r="NC409" s="630">
        <v>0.0</v>
      </c>
      <c r="ND409" s="630">
        <v>0.0</v>
      </c>
      <c r="NE409" s="630">
        <v>0.0</v>
      </c>
      <c r="NF409" s="630">
        <v>0.0</v>
      </c>
      <c r="NG409" s="630">
        <v>0.0</v>
      </c>
      <c r="NH409" s="630">
        <v>0.0</v>
      </c>
      <c r="NI409" s="630">
        <v>0.0</v>
      </c>
      <c r="NJ409" s="630">
        <v>0.0</v>
      </c>
      <c r="NK409" s="630">
        <v>0.0</v>
      </c>
      <c r="NL409" s="630">
        <v>0.0</v>
      </c>
      <c r="NM409" s="630">
        <v>0.0</v>
      </c>
      <c r="NN409" s="630">
        <v>0.0</v>
      </c>
      <c r="NO409" s="630">
        <v>0.0</v>
      </c>
      <c r="NP409" s="630">
        <v>0.0</v>
      </c>
      <c r="NQ409" s="630">
        <v>0.0</v>
      </c>
      <c r="NR409" s="630">
        <v>0.0</v>
      </c>
      <c r="NS409" s="630">
        <v>0.0</v>
      </c>
      <c r="NT409" s="630">
        <v>0.0</v>
      </c>
      <c r="NU409" s="630">
        <v>0.0</v>
      </c>
      <c r="NV409" s="630">
        <v>0.0</v>
      </c>
      <c r="NW409" s="630">
        <v>0.0</v>
      </c>
      <c r="NY409" s="630">
        <v>0.0</v>
      </c>
      <c r="NZ409" s="630"/>
      <c r="OA409" s="630">
        <v>45.7</v>
      </c>
      <c r="OB409" s="631">
        <v>356.4</v>
      </c>
      <c r="OC409" s="631"/>
      <c r="OD409" s="626"/>
      <c r="OE409" s="631">
        <f t="shared" ref="OE409:OE423" si="3">SUMPRODUCT(OF409:OG409,OF$426:OG$426)</f>
        <v>67817.02535</v>
      </c>
      <c r="OF409" s="631">
        <v>19865.913400053214</v>
      </c>
      <c r="OG409" s="630">
        <v>75489.20326048162</v>
      </c>
      <c r="OI409" s="626"/>
      <c r="OJ409" s="626"/>
      <c r="OK409" s="626"/>
      <c r="OL409" s="626"/>
      <c r="OM409" s="626"/>
      <c r="ON409" s="626"/>
    </row>
    <row r="410" ht="12.75" customHeight="1">
      <c r="A410" s="55" t="s">
        <v>4986</v>
      </c>
      <c r="B410" s="55" t="s">
        <v>4978</v>
      </c>
      <c r="C410" s="630">
        <v>2.5108977</v>
      </c>
      <c r="D410" s="630">
        <v>3.4769378</v>
      </c>
      <c r="E410" s="630">
        <v>0.61508016</v>
      </c>
      <c r="F410" s="630">
        <v>5.7310172</v>
      </c>
      <c r="G410" s="630">
        <v>0.098201838</v>
      </c>
      <c r="H410" s="630">
        <v>0.10424274</v>
      </c>
      <c r="I410" s="630">
        <v>0.66436822</v>
      </c>
      <c r="J410" s="630">
        <v>23.878189</v>
      </c>
      <c r="K410" s="630">
        <v>2.5769781</v>
      </c>
      <c r="L410" s="630">
        <v>32.630053</v>
      </c>
      <c r="M410" s="630">
        <v>11.661665</v>
      </c>
      <c r="N410" s="630">
        <v>1.6289702</v>
      </c>
      <c r="O410" s="630">
        <v>0.93838943</v>
      </c>
      <c r="P410" s="630">
        <v>1.5820304</v>
      </c>
      <c r="Q410" s="630">
        <v>0.053967792</v>
      </c>
      <c r="R410" s="630">
        <v>0.074909691</v>
      </c>
      <c r="S410" s="630">
        <v>0.0065282877</v>
      </c>
      <c r="T410" s="630">
        <v>1.9424817E-4</v>
      </c>
      <c r="U410" s="630">
        <v>0.0038425839</v>
      </c>
      <c r="V410" s="630">
        <v>0.0</v>
      </c>
      <c r="W410" s="630">
        <v>0.24159082</v>
      </c>
      <c r="X410" s="630">
        <v>0.55918593</v>
      </c>
      <c r="Y410" s="630">
        <v>0.54814334</v>
      </c>
      <c r="Z410" s="630">
        <v>0.23369273</v>
      </c>
      <c r="AA410" s="630">
        <v>0.06720653</v>
      </c>
      <c r="AB410" s="630">
        <v>0.064621664</v>
      </c>
      <c r="AC410" s="630">
        <v>0.0087496348</v>
      </c>
      <c r="AD410" s="630">
        <v>0.036500044</v>
      </c>
      <c r="AE410" s="630">
        <v>43.651127</v>
      </c>
      <c r="AF410" s="630">
        <v>60.318287</v>
      </c>
      <c r="AG410" s="630">
        <v>44.272468</v>
      </c>
      <c r="AH410" s="630">
        <v>0.43175032</v>
      </c>
      <c r="AI410" s="630">
        <v>0.87348411</v>
      </c>
      <c r="AJ410" s="630">
        <v>0.77047345</v>
      </c>
      <c r="AK410" s="630">
        <v>0.49957957</v>
      </c>
      <c r="AL410" s="630">
        <v>0.27070959</v>
      </c>
      <c r="AM410" s="630">
        <v>0.52954017</v>
      </c>
      <c r="AN410" s="630">
        <v>0.28435039</v>
      </c>
      <c r="AO410" s="630">
        <v>0.49297823</v>
      </c>
      <c r="AP410" s="630">
        <v>0.25788186</v>
      </c>
      <c r="AQ410" s="630">
        <v>0.4975833</v>
      </c>
      <c r="AR410" s="630">
        <v>0.2592203</v>
      </c>
      <c r="AS410" s="630">
        <v>0.59084687</v>
      </c>
      <c r="AT410" s="630">
        <v>0.40054453</v>
      </c>
      <c r="AU410" s="630">
        <v>0.58978345</v>
      </c>
      <c r="AV410" s="630">
        <v>89.803061</v>
      </c>
      <c r="AW410" s="630">
        <v>118.66066</v>
      </c>
      <c r="AX410" s="630">
        <v>132.15665</v>
      </c>
      <c r="AY410" s="630">
        <v>0.71940623</v>
      </c>
      <c r="AZ410" s="630">
        <v>0.070563108</v>
      </c>
      <c r="BA410" s="630">
        <v>0.20663781</v>
      </c>
      <c r="BB410" s="630">
        <v>0.207442</v>
      </c>
      <c r="BC410" s="630">
        <v>0.22573367</v>
      </c>
      <c r="BD410" s="630">
        <v>0.039610599</v>
      </c>
      <c r="BE410" s="630">
        <v>0.056477772</v>
      </c>
      <c r="BF410" s="630">
        <v>0.018518029</v>
      </c>
      <c r="BG410" s="630">
        <v>0.066128655</v>
      </c>
      <c r="BH410" s="630">
        <v>0.060581889</v>
      </c>
      <c r="BI410" s="630">
        <v>0.50045044</v>
      </c>
      <c r="BJ410" s="630">
        <v>0.79071516</v>
      </c>
      <c r="BK410" s="630">
        <v>3.6089135</v>
      </c>
      <c r="BL410" s="630">
        <v>0.39736058</v>
      </c>
      <c r="BM410" s="630">
        <v>3.2155589</v>
      </c>
      <c r="BN410" s="630">
        <v>152.17804</v>
      </c>
      <c r="BO410" s="630">
        <v>0.014834299</v>
      </c>
      <c r="BP410" s="630">
        <v>0.017486844</v>
      </c>
      <c r="BQ410" s="630">
        <v>24.615259000000002</v>
      </c>
      <c r="BR410" s="630">
        <v>27.696051</v>
      </c>
      <c r="BS410" s="630">
        <v>28.902265</v>
      </c>
      <c r="BT410" s="630">
        <v>58.544089</v>
      </c>
      <c r="BU410" s="630">
        <v>27.128254</v>
      </c>
      <c r="BV410" s="630">
        <v>38.611635</v>
      </c>
      <c r="BW410" s="630">
        <v>0.058502256</v>
      </c>
      <c r="BX410" s="630">
        <v>149.23851</v>
      </c>
      <c r="BY410" s="630">
        <v>0.62685914</v>
      </c>
      <c r="BZ410" s="630">
        <v>0.42177985</v>
      </c>
      <c r="CA410" s="630">
        <v>0.023688816</v>
      </c>
      <c r="CB410" s="630">
        <v>0.015015326</v>
      </c>
      <c r="CC410" s="630">
        <v>0.017622995</v>
      </c>
      <c r="CD410" s="630">
        <v>0.020543645</v>
      </c>
      <c r="CE410" s="630">
        <v>181.03522</v>
      </c>
      <c r="CF410" s="630">
        <v>242.08177</v>
      </c>
      <c r="CG410" s="630">
        <v>14.456946</v>
      </c>
      <c r="CH410" s="630">
        <v>17.69336</v>
      </c>
      <c r="CI410" s="630">
        <v>0.0092781434</v>
      </c>
      <c r="CJ410" s="630">
        <v>0.032008213</v>
      </c>
      <c r="CK410" s="630">
        <v>0.060908375</v>
      </c>
      <c r="CL410" s="630">
        <v>0.0048682259</v>
      </c>
      <c r="CM410" s="630">
        <v>0.0061581742</v>
      </c>
      <c r="CN410" s="630">
        <v>3.0844253</v>
      </c>
      <c r="CO410" s="630">
        <v>4.5174838</v>
      </c>
      <c r="CP410" s="630">
        <v>2.6705918</v>
      </c>
      <c r="CQ410" s="630">
        <v>12.9305</v>
      </c>
      <c r="CR410" s="630">
        <v>19.577303</v>
      </c>
      <c r="CS410" s="630">
        <v>19.577303</v>
      </c>
      <c r="CT410" s="630">
        <v>0.0038915992</v>
      </c>
      <c r="CU410" s="630">
        <v>0.020819866</v>
      </c>
      <c r="CV410" s="630">
        <v>0.0055558854</v>
      </c>
      <c r="CW410" s="630">
        <v>0.0051277803</v>
      </c>
      <c r="CX410" s="630">
        <v>1.556804</v>
      </c>
      <c r="CY410" s="630">
        <v>0.43906427</v>
      </c>
      <c r="CZ410" s="630">
        <v>0.66855822</v>
      </c>
      <c r="DA410" s="630">
        <v>0.64208266</v>
      </c>
      <c r="DB410" s="630">
        <v>0.011542405</v>
      </c>
      <c r="DC410" s="630">
        <v>0.0047820898</v>
      </c>
      <c r="DD410" s="630">
        <v>0.10684357</v>
      </c>
      <c r="DE410" s="630">
        <v>0.1660188</v>
      </c>
      <c r="DF410" s="630">
        <v>0.10073497</v>
      </c>
      <c r="DG410" s="630">
        <v>0.10684357</v>
      </c>
      <c r="DH410" s="630">
        <v>0.1660188</v>
      </c>
      <c r="DI410" s="630">
        <v>0.15639371</v>
      </c>
      <c r="DJ410" s="630">
        <v>0.16263136</v>
      </c>
      <c r="DK410" s="630">
        <v>0.16263136</v>
      </c>
      <c r="DL410" s="630">
        <v>0.22180659</v>
      </c>
      <c r="DM410" s="630">
        <v>0.16263136</v>
      </c>
      <c r="DN410" s="630">
        <v>0.22180659</v>
      </c>
      <c r="DO410" s="630">
        <v>0.0047820898</v>
      </c>
      <c r="DP410" s="630">
        <v>0.013077527</v>
      </c>
      <c r="DQ410" s="630">
        <v>0.017614623</v>
      </c>
      <c r="DR410" s="630">
        <v>0.018026187</v>
      </c>
      <c r="DS410" s="630">
        <v>0.015503652</v>
      </c>
      <c r="DT410" s="630">
        <v>0.077901081</v>
      </c>
      <c r="DU410" s="630">
        <v>0.1465792</v>
      </c>
      <c r="DV410" s="630">
        <v>0.19638217</v>
      </c>
      <c r="DW410" s="630">
        <v>0.39724921</v>
      </c>
      <c r="DX410" s="630">
        <v>4.106895</v>
      </c>
      <c r="DY410" s="630">
        <v>0.74602567</v>
      </c>
      <c r="DZ410" s="630">
        <v>0.76271798</v>
      </c>
      <c r="EA410" s="630">
        <v>0.0038425839</v>
      </c>
      <c r="EB410" s="630">
        <v>0.0040222902</v>
      </c>
      <c r="EC410" s="630">
        <v>0.0045139397</v>
      </c>
      <c r="ED410" s="630">
        <v>0.31298329</v>
      </c>
      <c r="EE410" s="630">
        <v>0.0037374853</v>
      </c>
      <c r="EF410" s="630">
        <v>0.0</v>
      </c>
      <c r="EG410" s="630">
        <v>0.0</v>
      </c>
      <c r="EH410" s="630">
        <v>0.0</v>
      </c>
      <c r="EI410" s="630">
        <v>0.0041075285</v>
      </c>
      <c r="EJ410" s="630">
        <v>0.0037316989</v>
      </c>
      <c r="EK410" s="630">
        <v>0.15739473</v>
      </c>
      <c r="EL410" s="630">
        <v>0.0</v>
      </c>
      <c r="EM410" s="630">
        <v>0.0</v>
      </c>
      <c r="EN410" s="630">
        <v>0.0</v>
      </c>
      <c r="EO410" s="630">
        <v>0.0</v>
      </c>
      <c r="EP410" s="630">
        <v>9.8387779</v>
      </c>
      <c r="EQ410" s="630">
        <v>19.388782</v>
      </c>
      <c r="ER410" s="630">
        <v>0.0</v>
      </c>
      <c r="ES410" s="630">
        <v>0.0</v>
      </c>
      <c r="ET410" s="630">
        <v>0.039718657</v>
      </c>
      <c r="EU410" s="630">
        <v>0.0065956766</v>
      </c>
      <c r="EV410" s="630">
        <v>0.0065956766</v>
      </c>
      <c r="EW410" s="630">
        <v>0.003910806</v>
      </c>
      <c r="EX410" s="630">
        <v>0.029582024</v>
      </c>
      <c r="EY410" s="630">
        <v>0.18339679</v>
      </c>
      <c r="EZ410" s="630">
        <v>0.16791843</v>
      </c>
      <c r="FA410" s="630">
        <v>0.026282034</v>
      </c>
      <c r="FB410" s="630">
        <v>0.066434362</v>
      </c>
      <c r="FC410" s="630">
        <v>0.019847346</v>
      </c>
      <c r="FD410" s="630">
        <v>0.040645093</v>
      </c>
      <c r="FE410" s="630">
        <v>0.2353515</v>
      </c>
      <c r="FF410" s="630">
        <v>0.034418461</v>
      </c>
      <c r="FG410" s="630">
        <v>0.04342805</v>
      </c>
      <c r="FH410" s="630">
        <v>0.029410827</v>
      </c>
      <c r="FI410" s="630">
        <v>0.015970306</v>
      </c>
      <c r="FJ410" s="630">
        <v>0.061298756</v>
      </c>
      <c r="FK410" s="630">
        <v>0.033871831</v>
      </c>
      <c r="FL410" s="630">
        <v>0.025690881</v>
      </c>
      <c r="FM410" s="630">
        <v>0.018837765</v>
      </c>
      <c r="FN410" s="630">
        <v>0.077624649</v>
      </c>
      <c r="FO410" s="630">
        <v>0.32452242</v>
      </c>
      <c r="FP410" s="630">
        <v>0.054629933</v>
      </c>
      <c r="FQ410" s="630">
        <v>0.044989856</v>
      </c>
      <c r="FR410" s="630">
        <v>0.089036512</v>
      </c>
      <c r="FS410" s="630">
        <v>0.050782111</v>
      </c>
      <c r="FT410" s="630">
        <v>0.0062958049</v>
      </c>
      <c r="FU410" s="630">
        <v>0.37918571</v>
      </c>
      <c r="FV410" s="630">
        <v>0.04585796</v>
      </c>
      <c r="FW410" s="630">
        <v>0.0045139397</v>
      </c>
      <c r="FX410" s="630">
        <v>0.045404535</v>
      </c>
      <c r="FY410" s="630">
        <v>0.0045139397</v>
      </c>
      <c r="FZ410" s="630">
        <v>0.20306153</v>
      </c>
      <c r="GA410" s="630">
        <v>1.41164</v>
      </c>
      <c r="GB410" s="630">
        <v>0.13322436</v>
      </c>
      <c r="GC410" s="630">
        <v>0.081767362</v>
      </c>
      <c r="GD410" s="630">
        <v>0.086895191</v>
      </c>
      <c r="GE410" s="630">
        <v>0.32105694</v>
      </c>
      <c r="GF410" s="630">
        <v>0.078984619</v>
      </c>
      <c r="GG410" s="630">
        <v>0.31102979</v>
      </c>
      <c r="GH410" s="630">
        <v>3.9597002</v>
      </c>
      <c r="GI410" s="630">
        <v>2.4439712</v>
      </c>
      <c r="GJ410" s="630">
        <v>0.00278993</v>
      </c>
      <c r="GK410" s="630">
        <v>0.010598321</v>
      </c>
      <c r="GL410" s="630">
        <v>0.0066208391</v>
      </c>
      <c r="GM410" s="630">
        <v>0.0066208391</v>
      </c>
      <c r="GN410" s="630">
        <v>0.0045139397</v>
      </c>
      <c r="GO410" s="630">
        <v>0.0028238547</v>
      </c>
      <c r="GP410" s="630">
        <v>0.0057712026</v>
      </c>
      <c r="GQ410" s="630">
        <v>0.0</v>
      </c>
      <c r="GR410" s="630">
        <v>0.0</v>
      </c>
      <c r="GS410" s="630">
        <v>0.065000732</v>
      </c>
      <c r="GT410" s="630">
        <v>0.028394919</v>
      </c>
      <c r="GU410" s="630">
        <v>0.029465205</v>
      </c>
      <c r="GV410" s="630">
        <v>0.021509146</v>
      </c>
      <c r="GW410" s="630">
        <v>0.0037602082</v>
      </c>
      <c r="GX410" s="630">
        <v>0.0046203844</v>
      </c>
      <c r="GY410" s="630">
        <v>0.0033610476</v>
      </c>
      <c r="GZ410" s="630">
        <v>0.003080986</v>
      </c>
      <c r="HA410" s="630">
        <v>0.0</v>
      </c>
      <c r="HB410" s="630">
        <v>0.0</v>
      </c>
      <c r="HC410" s="630">
        <v>0.0</v>
      </c>
      <c r="HD410" s="630">
        <v>0.027723957</v>
      </c>
      <c r="HE410" s="630">
        <v>0.091614036</v>
      </c>
      <c r="HF410" s="630">
        <v>0.003080986</v>
      </c>
      <c r="HG410" s="630">
        <v>0.0033610476</v>
      </c>
      <c r="HH410" s="630">
        <v>2.8411364</v>
      </c>
      <c r="HI410" s="630">
        <v>0.0</v>
      </c>
      <c r="HJ410" s="630">
        <v>0.0057712026</v>
      </c>
      <c r="HK410" s="630">
        <v>0.046288858</v>
      </c>
      <c r="HL410" s="630">
        <v>54.980362</v>
      </c>
      <c r="HM410" s="630">
        <v>16.559301</v>
      </c>
      <c r="HN410" s="630">
        <v>26.662904</v>
      </c>
      <c r="HO410" s="630">
        <v>64.098383</v>
      </c>
      <c r="HP410" s="630">
        <v>30.880755</v>
      </c>
      <c r="HQ410" s="630">
        <v>2.5517583</v>
      </c>
      <c r="HR410" s="630">
        <v>6.6947595</v>
      </c>
      <c r="HS410" s="630">
        <v>0.10149605</v>
      </c>
      <c r="HT410" s="630">
        <v>23.429925</v>
      </c>
      <c r="HU410" s="630">
        <v>0.31066321</v>
      </c>
      <c r="HV410" s="630">
        <v>7.7065913</v>
      </c>
      <c r="HW410" s="630">
        <v>51.599102</v>
      </c>
      <c r="HX410" s="630">
        <v>0.16027792</v>
      </c>
      <c r="HY410" s="630">
        <v>0.3169653</v>
      </c>
      <c r="HZ410" s="630">
        <v>0.1703421</v>
      </c>
      <c r="IA410" s="630">
        <v>0.35736714</v>
      </c>
      <c r="IB410" s="630">
        <v>0.44385895</v>
      </c>
      <c r="IC410" s="630">
        <v>35.938775</v>
      </c>
      <c r="ID410" s="630">
        <v>34.463355</v>
      </c>
      <c r="IE410" s="630">
        <v>0.71085798</v>
      </c>
      <c r="IF410" s="630">
        <v>2.563794</v>
      </c>
      <c r="IG410" s="630">
        <v>5.9243255</v>
      </c>
      <c r="IH410" s="630">
        <v>2.0414625</v>
      </c>
      <c r="II410" s="630">
        <v>25.331333</v>
      </c>
      <c r="IJ410" s="630">
        <v>3.2431422</v>
      </c>
      <c r="IK410" s="630">
        <v>3.1060103</v>
      </c>
      <c r="IL410" s="630">
        <v>3.7859683</v>
      </c>
      <c r="IM410" s="630">
        <v>3.4372171</v>
      </c>
      <c r="IN410" s="630">
        <v>2.9515022</v>
      </c>
      <c r="IO410" s="630">
        <v>4.7321942</v>
      </c>
      <c r="IP410" s="630">
        <v>0.48383855</v>
      </c>
      <c r="IQ410" s="630">
        <v>4.1364262</v>
      </c>
      <c r="IR410" s="630">
        <v>4.0014566</v>
      </c>
      <c r="IS410" s="630">
        <v>2.0654046</v>
      </c>
      <c r="IT410" s="630">
        <v>2.572632</v>
      </c>
      <c r="IU410" s="630">
        <v>4.4311699</v>
      </c>
      <c r="IV410" s="630">
        <v>0.52485013</v>
      </c>
      <c r="IW410" s="630">
        <v>2.9805961</v>
      </c>
      <c r="IX410" s="630">
        <v>0.54924453</v>
      </c>
      <c r="IY410" s="630">
        <v>15.549284</v>
      </c>
      <c r="IZ410" s="630">
        <v>20.35931</v>
      </c>
      <c r="JA410" s="630">
        <v>0.010526887</v>
      </c>
      <c r="JB410" s="630">
        <v>0.0</v>
      </c>
      <c r="JC410" s="630">
        <v>102.35507</v>
      </c>
      <c r="JD410" s="630">
        <v>115.45371</v>
      </c>
      <c r="JE410" s="630">
        <v>72.501832</v>
      </c>
      <c r="JF410" s="630">
        <v>95.526881</v>
      </c>
      <c r="JG410" s="630">
        <v>108.64518</v>
      </c>
      <c r="JH410" s="630">
        <v>138.55052</v>
      </c>
      <c r="JI410" s="630">
        <v>118.8672</v>
      </c>
      <c r="JJ410" s="630">
        <v>125.3802</v>
      </c>
      <c r="JK410" s="630">
        <v>105.2047</v>
      </c>
      <c r="JL410" s="630">
        <v>118.34011</v>
      </c>
      <c r="JM410" s="630">
        <v>125.67723</v>
      </c>
      <c r="JN410" s="630">
        <v>0.22060325</v>
      </c>
      <c r="JO410" s="630">
        <v>0.23864364</v>
      </c>
      <c r="JP410" s="630">
        <v>0.24287645</v>
      </c>
      <c r="JQ410" s="630">
        <v>0.26091685</v>
      </c>
      <c r="JR410" s="630">
        <v>0.0064430312</v>
      </c>
      <c r="JS410" s="630">
        <v>0.0020774528</v>
      </c>
      <c r="JT410" s="630">
        <v>12.405268</v>
      </c>
      <c r="JU410" s="630">
        <v>3.6431463</v>
      </c>
      <c r="JV410" s="630">
        <v>0.17396134</v>
      </c>
      <c r="JW410" s="630">
        <v>1.129754</v>
      </c>
      <c r="JX410" s="630">
        <v>0.17141418</v>
      </c>
      <c r="JY410" s="630">
        <v>109.08767</v>
      </c>
      <c r="JZ410" s="630">
        <v>9.9926972</v>
      </c>
      <c r="KA410" s="630">
        <v>19.388316</v>
      </c>
      <c r="KB410" s="630">
        <v>12.19575</v>
      </c>
      <c r="KC410" s="630">
        <v>78.346085</v>
      </c>
      <c r="KD410" s="630">
        <v>12.559487</v>
      </c>
      <c r="KE410" s="630">
        <v>11.481955</v>
      </c>
      <c r="KF410" s="630">
        <v>51.971246</v>
      </c>
      <c r="KG410" s="630">
        <v>8.2347644</v>
      </c>
      <c r="KH410" s="630">
        <v>2153.5006</v>
      </c>
      <c r="KI410" s="630">
        <v>455.16477</v>
      </c>
      <c r="KJ410" s="630">
        <v>374.76442</v>
      </c>
      <c r="KK410" s="630">
        <v>0.67887407</v>
      </c>
      <c r="KL410" s="630">
        <v>0.23296402</v>
      </c>
      <c r="KM410" s="630">
        <v>15.009496</v>
      </c>
      <c r="KN410" s="630">
        <v>0.086530561</v>
      </c>
      <c r="KO410" s="630">
        <v>0.08690385</v>
      </c>
      <c r="KP410" s="630">
        <v>0.026516366</v>
      </c>
      <c r="KQ410" s="630">
        <v>0.23931181</v>
      </c>
      <c r="KR410" s="630">
        <v>0.28516872</v>
      </c>
      <c r="KS410" s="630">
        <v>0.14726864</v>
      </c>
      <c r="KT410" s="630">
        <v>0.4038596</v>
      </c>
      <c r="KU410" s="630">
        <v>1.4872184</v>
      </c>
      <c r="KV410" s="630">
        <v>0.26624402</v>
      </c>
      <c r="KW410" s="630">
        <v>0.35119812</v>
      </c>
      <c r="KX410" s="630">
        <v>0.37782728</v>
      </c>
      <c r="KY410" s="630">
        <v>0.38715422</v>
      </c>
      <c r="KZ410" s="630">
        <v>0.37411006</v>
      </c>
      <c r="LA410" s="630">
        <v>0.47294557</v>
      </c>
      <c r="LB410" s="630">
        <v>0.47288693</v>
      </c>
      <c r="LC410" s="630">
        <v>0.15924686</v>
      </c>
      <c r="LD410" s="630">
        <v>0.38003178</v>
      </c>
      <c r="LE410" s="630">
        <v>0.27465752</v>
      </c>
      <c r="LF410" s="630">
        <v>0.60244941</v>
      </c>
      <c r="LG410" s="630">
        <v>0.4489614</v>
      </c>
      <c r="LH410" s="630">
        <v>0.59534619</v>
      </c>
      <c r="LI410" s="630">
        <v>347.27815</v>
      </c>
      <c r="LJ410" s="630">
        <v>0.11006798</v>
      </c>
      <c r="LK410" s="630">
        <v>0.085447785</v>
      </c>
      <c r="LL410" s="630">
        <v>0.10992757</v>
      </c>
      <c r="LM410" s="630">
        <v>1.7974401</v>
      </c>
      <c r="LN410" s="630">
        <v>1408.2974</v>
      </c>
      <c r="LO410" s="630">
        <v>0.504179</v>
      </c>
      <c r="LP410" s="630">
        <v>2.8041306</v>
      </c>
      <c r="LQ410" s="630">
        <v>13.603634</v>
      </c>
      <c r="LR410" s="630">
        <v>0.1151575</v>
      </c>
      <c r="LS410" s="630">
        <v>2.3745063</v>
      </c>
      <c r="LT410" s="630">
        <v>6.1140175</v>
      </c>
      <c r="LU410" s="630">
        <v>150.6449</v>
      </c>
      <c r="LV410" s="630">
        <v>95.719315</v>
      </c>
      <c r="LW410" s="630">
        <v>4.5248574</v>
      </c>
      <c r="LX410" s="630">
        <v>7.8927733</v>
      </c>
      <c r="LY410" s="630">
        <v>0.027479192</v>
      </c>
      <c r="LZ410" s="630">
        <v>0.24162428</v>
      </c>
      <c r="MA410" s="630">
        <v>3.6928511</v>
      </c>
      <c r="MB410" s="630">
        <v>8.5195005</v>
      </c>
      <c r="MC410" s="630">
        <v>0.15059442</v>
      </c>
      <c r="MD410" s="630">
        <v>0.1308937</v>
      </c>
      <c r="ME410" s="630">
        <v>0.24439491</v>
      </c>
      <c r="MF410" s="630">
        <v>33.807519</v>
      </c>
      <c r="MG410" s="630">
        <v>0.10250514</v>
      </c>
      <c r="MH410" s="630">
        <v>0.03365034</v>
      </c>
      <c r="MI410" s="630">
        <v>0.0020774528</v>
      </c>
      <c r="MJ410" s="630">
        <v>1.2309957</v>
      </c>
      <c r="MK410" s="630">
        <v>0.0457113</v>
      </c>
      <c r="ML410" s="630">
        <v>0.062217696</v>
      </c>
      <c r="MM410" s="630">
        <v>0.067058476</v>
      </c>
      <c r="MN410" s="630">
        <v>0.048254337</v>
      </c>
      <c r="MO410" s="630">
        <v>0.036036871</v>
      </c>
      <c r="MP410" s="630">
        <v>0.036116001</v>
      </c>
      <c r="MQ410" s="630">
        <v>0.081239342</v>
      </c>
      <c r="MR410" s="630">
        <v>0.085655212</v>
      </c>
      <c r="MS410" s="630">
        <v>0.039715032</v>
      </c>
      <c r="MT410" s="630">
        <v>0.068577746</v>
      </c>
      <c r="MU410" s="630">
        <v>0.071246185</v>
      </c>
      <c r="MV410" s="630">
        <v>0.039601965</v>
      </c>
      <c r="MW410" s="630">
        <v>1.2301061</v>
      </c>
      <c r="MX410" s="630">
        <v>55.201518</v>
      </c>
      <c r="MY410" s="630">
        <v>49.822067</v>
      </c>
      <c r="MZ410" s="630">
        <v>27.916427</v>
      </c>
      <c r="NA410" s="630">
        <v>4.8525235</v>
      </c>
      <c r="NB410" s="630">
        <v>12.265586</v>
      </c>
      <c r="NC410" s="630">
        <v>129.4294</v>
      </c>
      <c r="ND410" s="630">
        <v>15.858997</v>
      </c>
      <c r="NE410" s="630">
        <v>10.066036</v>
      </c>
      <c r="NF410" s="630">
        <v>51.635696</v>
      </c>
      <c r="NG410" s="630">
        <v>19.184369</v>
      </c>
      <c r="NH410" s="630">
        <v>0.32739892</v>
      </c>
      <c r="NI410" s="630">
        <v>2.3058325</v>
      </c>
      <c r="NJ410" s="630">
        <v>2.5697779</v>
      </c>
      <c r="NK410" s="630">
        <v>0.55487022</v>
      </c>
      <c r="NL410" s="630">
        <v>0.13816296</v>
      </c>
      <c r="NM410" s="630">
        <v>0.28253728</v>
      </c>
      <c r="NN410" s="630">
        <v>0.97886021</v>
      </c>
      <c r="NO410" s="630">
        <v>69.098228</v>
      </c>
      <c r="NP410" s="630">
        <v>0.068692944</v>
      </c>
      <c r="NQ410" s="630">
        <v>66.920664</v>
      </c>
      <c r="NR410" s="630">
        <v>235.48097</v>
      </c>
      <c r="NS410" s="630">
        <v>44.858015</v>
      </c>
      <c r="NT410" s="630">
        <v>67.555648</v>
      </c>
      <c r="NU410" s="630">
        <v>48.923129</v>
      </c>
      <c r="NV410" s="630">
        <v>0.086697151</v>
      </c>
      <c r="NW410" s="630">
        <v>5.5790553</v>
      </c>
      <c r="NY410" s="630">
        <v>0.0</v>
      </c>
      <c r="NZ410" s="630"/>
      <c r="OA410" s="630">
        <v>0.0305</v>
      </c>
      <c r="OB410" s="631">
        <v>0.5</v>
      </c>
      <c r="OC410" s="631"/>
      <c r="OD410" s="626"/>
      <c r="OE410" s="631">
        <f t="shared" si="3"/>
        <v>62.52696646</v>
      </c>
      <c r="OF410" s="631">
        <v>93.1969675424471</v>
      </c>
      <c r="OG410" s="630">
        <v>57.61976628367003</v>
      </c>
      <c r="OI410" s="626"/>
      <c r="OJ410" s="626"/>
      <c r="OK410" s="626"/>
      <c r="OL410" s="626"/>
      <c r="OM410" s="626"/>
      <c r="ON410" s="626"/>
    </row>
    <row r="411" ht="12.75" customHeight="1">
      <c r="A411" s="55" t="s">
        <v>4987</v>
      </c>
      <c r="B411" s="55" t="s">
        <v>4978</v>
      </c>
      <c r="C411" s="630">
        <v>430.11979</v>
      </c>
      <c r="D411" s="630">
        <v>226.33201</v>
      </c>
      <c r="E411" s="630">
        <v>716.83032</v>
      </c>
      <c r="F411" s="630">
        <v>2082.3554</v>
      </c>
      <c r="G411" s="630">
        <v>62.500315</v>
      </c>
      <c r="H411" s="630">
        <v>59.99185</v>
      </c>
      <c r="I411" s="630">
        <v>159.33792</v>
      </c>
      <c r="J411" s="630">
        <v>9825.2731</v>
      </c>
      <c r="K411" s="630">
        <v>1044.0811</v>
      </c>
      <c r="L411" s="630">
        <v>13783.522</v>
      </c>
      <c r="M411" s="630">
        <v>6993.9806</v>
      </c>
      <c r="N411" s="630">
        <v>1237.8012</v>
      </c>
      <c r="O411" s="630">
        <v>670.17351</v>
      </c>
      <c r="P411" s="630">
        <v>1258.3672</v>
      </c>
      <c r="Q411" s="630">
        <v>20.227388</v>
      </c>
      <c r="R411" s="630">
        <v>43.899902</v>
      </c>
      <c r="S411" s="630">
        <v>10.796785</v>
      </c>
      <c r="T411" s="630">
        <v>0.19016038</v>
      </c>
      <c r="U411" s="630">
        <v>3.6897979</v>
      </c>
      <c r="V411" s="630">
        <v>0.0</v>
      </c>
      <c r="W411" s="630">
        <v>180.38381</v>
      </c>
      <c r="X411" s="630">
        <v>245.91764</v>
      </c>
      <c r="Y411" s="630">
        <v>234.79837</v>
      </c>
      <c r="Z411" s="630">
        <v>169.91339</v>
      </c>
      <c r="AA411" s="630">
        <v>57.711094</v>
      </c>
      <c r="AB411" s="630">
        <v>55.491437</v>
      </c>
      <c r="AC411" s="630">
        <v>9.9698674</v>
      </c>
      <c r="AD411" s="630">
        <v>38.903243</v>
      </c>
      <c r="AE411" s="630">
        <v>47217.449</v>
      </c>
      <c r="AF411" s="630">
        <v>60799.003</v>
      </c>
      <c r="AG411" s="630">
        <v>42898.404</v>
      </c>
      <c r="AH411" s="630">
        <v>694.89316</v>
      </c>
      <c r="AI411" s="630">
        <v>282.51408</v>
      </c>
      <c r="AJ411" s="630">
        <v>349.50016</v>
      </c>
      <c r="AK411" s="630">
        <v>199.13177</v>
      </c>
      <c r="AL411" s="630">
        <v>116.90468</v>
      </c>
      <c r="AM411" s="630">
        <v>212.72985</v>
      </c>
      <c r="AN411" s="630">
        <v>124.59184</v>
      </c>
      <c r="AO411" s="630">
        <v>209.33633</v>
      </c>
      <c r="AP411" s="630">
        <v>123.38255</v>
      </c>
      <c r="AQ411" s="630">
        <v>208.02077</v>
      </c>
      <c r="AR411" s="630">
        <v>120.87239</v>
      </c>
      <c r="AS411" s="630">
        <v>236.10275</v>
      </c>
      <c r="AT411" s="630">
        <v>167.69602</v>
      </c>
      <c r="AU411" s="630">
        <v>264.13871</v>
      </c>
      <c r="AV411" s="630">
        <v>115846.25</v>
      </c>
      <c r="AW411" s="630">
        <v>194674.18</v>
      </c>
      <c r="AX411" s="630">
        <v>203939.24</v>
      </c>
      <c r="AY411" s="630">
        <v>5010.6011</v>
      </c>
      <c r="AZ411" s="630">
        <v>36.395491</v>
      </c>
      <c r="BA411" s="630">
        <v>750.0725</v>
      </c>
      <c r="BB411" s="630">
        <v>36.428932</v>
      </c>
      <c r="BC411" s="630">
        <v>47.686114</v>
      </c>
      <c r="BD411" s="630">
        <v>70.467794</v>
      </c>
      <c r="BE411" s="630">
        <v>93.574191</v>
      </c>
      <c r="BF411" s="630">
        <v>14.577012</v>
      </c>
      <c r="BG411" s="630">
        <v>36.249823</v>
      </c>
      <c r="BH411" s="630">
        <v>38.107884</v>
      </c>
      <c r="BI411" s="630">
        <v>1351.3147</v>
      </c>
      <c r="BJ411" s="630">
        <v>2301.1376</v>
      </c>
      <c r="BK411" s="630">
        <v>3202.9655</v>
      </c>
      <c r="BL411" s="630">
        <v>1809.0087</v>
      </c>
      <c r="BM411" s="630">
        <v>2710.8366</v>
      </c>
      <c r="BN411" s="630">
        <v>54007.664</v>
      </c>
      <c r="BO411" s="630">
        <v>4.2266821</v>
      </c>
      <c r="BP411" s="630">
        <v>17.269605</v>
      </c>
      <c r="BQ411" s="630">
        <v>24473.062</v>
      </c>
      <c r="BR411" s="630">
        <v>26920.25</v>
      </c>
      <c r="BS411" s="630">
        <v>28792.356</v>
      </c>
      <c r="BT411" s="630">
        <v>66023.403</v>
      </c>
      <c r="BU411" s="630">
        <v>36462.975</v>
      </c>
      <c r="BV411" s="630">
        <v>46485.709</v>
      </c>
      <c r="BW411" s="630">
        <v>28.907414</v>
      </c>
      <c r="BX411" s="630">
        <v>51237.988</v>
      </c>
      <c r="BY411" s="630">
        <v>6236.0344</v>
      </c>
      <c r="BZ411" s="630">
        <v>299.95947</v>
      </c>
      <c r="CA411" s="630">
        <v>1.5333793</v>
      </c>
      <c r="CB411" s="630">
        <v>1.0092684</v>
      </c>
      <c r="CC411" s="630">
        <v>1.1668414</v>
      </c>
      <c r="CD411" s="630">
        <v>1.3433268</v>
      </c>
      <c r="CE411" s="630">
        <v>80740.061</v>
      </c>
      <c r="CF411" s="630">
        <v>148938.85</v>
      </c>
      <c r="CG411" s="630">
        <v>24199.961</v>
      </c>
      <c r="CH411" s="630">
        <v>27289.145</v>
      </c>
      <c r="CI411" s="630">
        <v>12.205513</v>
      </c>
      <c r="CJ411" s="630">
        <v>28.947634</v>
      </c>
      <c r="CK411" s="630">
        <v>75.722819</v>
      </c>
      <c r="CL411" s="630">
        <v>4.9131489</v>
      </c>
      <c r="CM411" s="630">
        <v>6.2075524</v>
      </c>
      <c r="CN411" s="630">
        <v>12967.883</v>
      </c>
      <c r="CO411" s="630">
        <v>18919.651</v>
      </c>
      <c r="CP411" s="630">
        <v>11227.998</v>
      </c>
      <c r="CQ411" s="630">
        <v>54363.841</v>
      </c>
      <c r="CR411" s="630">
        <v>82309.065</v>
      </c>
      <c r="CS411" s="630">
        <v>82309.065</v>
      </c>
      <c r="CT411" s="630">
        <v>16.151502</v>
      </c>
      <c r="CU411" s="630">
        <v>31.917409</v>
      </c>
      <c r="CV411" s="630">
        <v>18.503615</v>
      </c>
      <c r="CW411" s="630">
        <v>20.041157</v>
      </c>
      <c r="CX411" s="630">
        <v>2130.7461</v>
      </c>
      <c r="CY411" s="630">
        <v>580.2402</v>
      </c>
      <c r="CZ411" s="630">
        <v>1431.0095</v>
      </c>
      <c r="DA411" s="630">
        <v>1352.6539</v>
      </c>
      <c r="DB411" s="630">
        <v>18.797709</v>
      </c>
      <c r="DC411" s="630">
        <v>5.0068634</v>
      </c>
      <c r="DD411" s="630">
        <v>104.80639</v>
      </c>
      <c r="DE411" s="630">
        <v>166.4516</v>
      </c>
      <c r="DF411" s="630">
        <v>98.408527</v>
      </c>
      <c r="DG411" s="630">
        <v>104.80639</v>
      </c>
      <c r="DH411" s="630">
        <v>166.4516</v>
      </c>
      <c r="DI411" s="630">
        <v>153.1546</v>
      </c>
      <c r="DJ411" s="630">
        <v>159.68763</v>
      </c>
      <c r="DK411" s="630">
        <v>159.68763</v>
      </c>
      <c r="DL411" s="630">
        <v>221.33284</v>
      </c>
      <c r="DM411" s="630">
        <v>159.68763</v>
      </c>
      <c r="DN411" s="630">
        <v>221.33284</v>
      </c>
      <c r="DO411" s="630">
        <v>16.206863</v>
      </c>
      <c r="DP411" s="630">
        <v>12.887848</v>
      </c>
      <c r="DQ411" s="630">
        <v>20.536739</v>
      </c>
      <c r="DR411" s="630">
        <v>22.135924</v>
      </c>
      <c r="DS411" s="630">
        <v>22.188581</v>
      </c>
      <c r="DT411" s="630">
        <v>121.85975</v>
      </c>
      <c r="DU411" s="630">
        <v>64.979622</v>
      </c>
      <c r="DV411" s="630">
        <v>251.33384</v>
      </c>
      <c r="DW411" s="630">
        <v>480.01172</v>
      </c>
      <c r="DX411" s="630">
        <v>1841.5767</v>
      </c>
      <c r="DY411" s="630">
        <v>1054.6785</v>
      </c>
      <c r="DZ411" s="630">
        <v>1106.1075</v>
      </c>
      <c r="EA411" s="630">
        <v>3.6897979</v>
      </c>
      <c r="EB411" s="630">
        <v>16.549578</v>
      </c>
      <c r="EC411" s="630">
        <v>4.5729495</v>
      </c>
      <c r="ED411" s="630">
        <v>279.32985</v>
      </c>
      <c r="EE411" s="630">
        <v>16.172058</v>
      </c>
      <c r="EF411" s="630">
        <v>0.0</v>
      </c>
      <c r="EG411" s="630">
        <v>0.0</v>
      </c>
      <c r="EH411" s="630">
        <v>0.0</v>
      </c>
      <c r="EI411" s="630">
        <v>17.269327</v>
      </c>
      <c r="EJ411" s="630">
        <v>16.155362</v>
      </c>
      <c r="EK411" s="630">
        <v>215.68537</v>
      </c>
      <c r="EL411" s="630">
        <v>0.0</v>
      </c>
      <c r="EM411" s="630">
        <v>0.0</v>
      </c>
      <c r="EN411" s="630">
        <v>0.0</v>
      </c>
      <c r="EO411" s="630">
        <v>0.0</v>
      </c>
      <c r="EP411" s="630">
        <v>41240.565</v>
      </c>
      <c r="EQ411" s="630">
        <v>81391.75</v>
      </c>
      <c r="ER411" s="630">
        <v>0.0</v>
      </c>
      <c r="ES411" s="630">
        <v>0.0</v>
      </c>
      <c r="ET411" s="630">
        <v>37.031788</v>
      </c>
      <c r="EU411" s="630">
        <v>10.741575</v>
      </c>
      <c r="EV411" s="630">
        <v>10.741575</v>
      </c>
      <c r="EW411" s="630">
        <v>6.442271</v>
      </c>
      <c r="EX411" s="630">
        <v>49.227929</v>
      </c>
      <c r="EY411" s="630">
        <v>283.98403</v>
      </c>
      <c r="EZ411" s="630">
        <v>256.70791</v>
      </c>
      <c r="FA411" s="630">
        <v>38.990452</v>
      </c>
      <c r="FB411" s="630">
        <v>106.63946</v>
      </c>
      <c r="FC411" s="630">
        <v>31.159846</v>
      </c>
      <c r="FD411" s="630">
        <v>56.32941</v>
      </c>
      <c r="FE411" s="630">
        <v>333.50477</v>
      </c>
      <c r="FF411" s="630">
        <v>114.26282</v>
      </c>
      <c r="FG411" s="630">
        <v>144.17296</v>
      </c>
      <c r="FH411" s="630">
        <v>50.809727</v>
      </c>
      <c r="FI411" s="630">
        <v>27.590074</v>
      </c>
      <c r="FJ411" s="630">
        <v>75.588038</v>
      </c>
      <c r="FK411" s="630">
        <v>43.349846</v>
      </c>
      <c r="FL411" s="630">
        <v>44.3832</v>
      </c>
      <c r="FM411" s="630">
        <v>32.543855</v>
      </c>
      <c r="FN411" s="630">
        <v>104.55664</v>
      </c>
      <c r="FO411" s="630">
        <v>170.6925</v>
      </c>
      <c r="FP411" s="630">
        <v>181.36111</v>
      </c>
      <c r="FQ411" s="630">
        <v>57.605704</v>
      </c>
      <c r="FR411" s="630">
        <v>85.496306</v>
      </c>
      <c r="FS411" s="630">
        <v>65.070482</v>
      </c>
      <c r="FT411" s="630">
        <v>10.253211</v>
      </c>
      <c r="FU411" s="630">
        <v>384.1472</v>
      </c>
      <c r="FV411" s="630">
        <v>46.419488</v>
      </c>
      <c r="FW411" s="630">
        <v>4.5729496</v>
      </c>
      <c r="FX411" s="630">
        <v>45.984092</v>
      </c>
      <c r="FY411" s="630">
        <v>4.5729496</v>
      </c>
      <c r="FZ411" s="630">
        <v>287.36933</v>
      </c>
      <c r="GA411" s="630">
        <v>2391.9933</v>
      </c>
      <c r="GB411" s="630">
        <v>433.96582</v>
      </c>
      <c r="GC411" s="630">
        <v>133.16454</v>
      </c>
      <c r="GD411" s="630">
        <v>138.218</v>
      </c>
      <c r="GE411" s="630">
        <v>1332.499</v>
      </c>
      <c r="GF411" s="630">
        <v>133.83772</v>
      </c>
      <c r="GG411" s="630">
        <v>422.33484</v>
      </c>
      <c r="GH411" s="630">
        <v>6310.5305</v>
      </c>
      <c r="GI411" s="630">
        <v>3911.8535</v>
      </c>
      <c r="GJ411" s="630">
        <v>13.368388</v>
      </c>
      <c r="GK411" s="630">
        <v>16.499063</v>
      </c>
      <c r="GL411" s="630">
        <v>10.782554</v>
      </c>
      <c r="GM411" s="630">
        <v>10.782554</v>
      </c>
      <c r="GN411" s="630">
        <v>4.5729496</v>
      </c>
      <c r="GO411" s="630">
        <v>13.466271</v>
      </c>
      <c r="GP411" s="630">
        <v>9.3988547</v>
      </c>
      <c r="GQ411" s="630">
        <v>0.0</v>
      </c>
      <c r="GR411" s="630">
        <v>0.0</v>
      </c>
      <c r="GS411" s="630">
        <v>65.850474</v>
      </c>
      <c r="GT411" s="630">
        <v>28.766797</v>
      </c>
      <c r="GU411" s="630">
        <v>24.001787</v>
      </c>
      <c r="GV411" s="630">
        <v>22.527693</v>
      </c>
      <c r="GW411" s="630">
        <v>15.965809</v>
      </c>
      <c r="GX411" s="630">
        <v>17.43009</v>
      </c>
      <c r="GY411" s="630">
        <v>5.695222</v>
      </c>
      <c r="GZ411" s="630">
        <v>5.2206637</v>
      </c>
      <c r="HA411" s="630">
        <v>0.0</v>
      </c>
      <c r="HB411" s="630">
        <v>0.0</v>
      </c>
      <c r="HC411" s="630">
        <v>0.0</v>
      </c>
      <c r="HD411" s="630">
        <v>35.422921</v>
      </c>
      <c r="HE411" s="630">
        <v>287.89797</v>
      </c>
      <c r="HF411" s="630">
        <v>5.2206637</v>
      </c>
      <c r="HG411" s="630">
        <v>5.695222</v>
      </c>
      <c r="HH411" s="630">
        <v>11945.021</v>
      </c>
      <c r="HI411" s="630">
        <v>0.0</v>
      </c>
      <c r="HJ411" s="630">
        <v>9.3988547</v>
      </c>
      <c r="HK411" s="630">
        <v>57.412346</v>
      </c>
      <c r="HL411" s="630">
        <v>17466.943</v>
      </c>
      <c r="HM411" s="630">
        <v>11151.612</v>
      </c>
      <c r="HN411" s="630">
        <v>31559.324</v>
      </c>
      <c r="HO411" s="630">
        <v>36786.257</v>
      </c>
      <c r="HP411" s="630">
        <v>16432.169</v>
      </c>
      <c r="HQ411" s="630">
        <v>3107.8973</v>
      </c>
      <c r="HR411" s="630">
        <v>149.78716</v>
      </c>
      <c r="HS411" s="630">
        <v>201.45128</v>
      </c>
      <c r="HT411" s="630">
        <v>97.740034</v>
      </c>
      <c r="HU411" s="630">
        <v>151.30538</v>
      </c>
      <c r="HV411" s="630">
        <v>102.0565</v>
      </c>
      <c r="HW411" s="630">
        <v>13396.74</v>
      </c>
      <c r="HX411" s="630">
        <v>271.52621</v>
      </c>
      <c r="HY411" s="630">
        <v>153.22171</v>
      </c>
      <c r="HZ411" s="630">
        <v>443.98763</v>
      </c>
      <c r="IA411" s="630">
        <v>315.29144</v>
      </c>
      <c r="IB411" s="630">
        <v>333.44259</v>
      </c>
      <c r="IC411" s="630">
        <v>4404.5144</v>
      </c>
      <c r="ID411" s="630">
        <v>3692.8622</v>
      </c>
      <c r="IE411" s="630">
        <v>1380.2147</v>
      </c>
      <c r="IF411" s="630">
        <v>501.2591</v>
      </c>
      <c r="IG411" s="630">
        <v>1926.2051</v>
      </c>
      <c r="IH411" s="630">
        <v>913.38475</v>
      </c>
      <c r="II411" s="630">
        <v>4116.0314</v>
      </c>
      <c r="IJ411" s="630">
        <v>3068.5275</v>
      </c>
      <c r="IK411" s="630">
        <v>3090.6433</v>
      </c>
      <c r="IL411" s="630">
        <v>2110.4824</v>
      </c>
      <c r="IM411" s="630">
        <v>1329.7538</v>
      </c>
      <c r="IN411" s="630">
        <v>1441.2895</v>
      </c>
      <c r="IO411" s="630">
        <v>2668.5264</v>
      </c>
      <c r="IP411" s="630">
        <v>1041.325</v>
      </c>
      <c r="IQ411" s="630">
        <v>3635.6934</v>
      </c>
      <c r="IR411" s="630">
        <v>2548.3921</v>
      </c>
      <c r="IS411" s="630">
        <v>1096.4062</v>
      </c>
      <c r="IT411" s="630">
        <v>1500.1418</v>
      </c>
      <c r="IU411" s="630">
        <v>2450.6652</v>
      </c>
      <c r="IV411" s="630">
        <v>1896.3709</v>
      </c>
      <c r="IW411" s="630">
        <v>920.32594</v>
      </c>
      <c r="IX411" s="630">
        <v>195.82144</v>
      </c>
      <c r="IY411" s="630">
        <v>2444.7239</v>
      </c>
      <c r="IZ411" s="630">
        <v>1418.3196</v>
      </c>
      <c r="JA411" s="630">
        <v>13.29519</v>
      </c>
      <c r="JB411" s="630">
        <v>0.0</v>
      </c>
      <c r="JC411" s="630">
        <v>13189.512</v>
      </c>
      <c r="JD411" s="630">
        <v>21826.971</v>
      </c>
      <c r="JE411" s="630">
        <v>11850.616</v>
      </c>
      <c r="JF411" s="630">
        <v>11125.528</v>
      </c>
      <c r="JG411" s="630">
        <v>19765.234</v>
      </c>
      <c r="JH411" s="630">
        <v>18505.73</v>
      </c>
      <c r="JI411" s="630">
        <v>21744.483</v>
      </c>
      <c r="JJ411" s="630">
        <v>28691.82</v>
      </c>
      <c r="JK411" s="630">
        <v>17609.157</v>
      </c>
      <c r="JL411" s="630">
        <v>26259.875</v>
      </c>
      <c r="JM411" s="630">
        <v>23808.603</v>
      </c>
      <c r="JN411" s="630">
        <v>222.20241</v>
      </c>
      <c r="JO411" s="630">
        <v>214.34913</v>
      </c>
      <c r="JP411" s="630">
        <v>234.4252</v>
      </c>
      <c r="JQ411" s="630">
        <v>226.57192</v>
      </c>
      <c r="JR411" s="630">
        <v>2.013388</v>
      </c>
      <c r="JS411" s="630">
        <v>1.4211083</v>
      </c>
      <c r="JT411" s="630">
        <v>7252.5997</v>
      </c>
      <c r="JU411" s="630">
        <v>840.82151</v>
      </c>
      <c r="JV411" s="630">
        <v>14.304574</v>
      </c>
      <c r="JW411" s="630">
        <v>608.73649</v>
      </c>
      <c r="JX411" s="630">
        <v>13.636852</v>
      </c>
      <c r="JY411" s="630">
        <v>28744.687</v>
      </c>
      <c r="JZ411" s="630">
        <v>6532.3753</v>
      </c>
      <c r="KA411" s="630">
        <v>36856.084</v>
      </c>
      <c r="KB411" s="630">
        <v>19085.909</v>
      </c>
      <c r="KC411" s="630">
        <v>207645.8</v>
      </c>
      <c r="KD411" s="630">
        <v>31081.085</v>
      </c>
      <c r="KE411" s="630">
        <v>5647.2464</v>
      </c>
      <c r="KF411" s="630">
        <v>61997.256</v>
      </c>
      <c r="KG411" s="630">
        <v>7721.4178</v>
      </c>
      <c r="KH411" s="630">
        <v>2852843.6</v>
      </c>
      <c r="KI411" s="630">
        <v>187729.87</v>
      </c>
      <c r="KJ411" s="630">
        <v>206607.84</v>
      </c>
      <c r="KK411" s="630">
        <v>485.42378</v>
      </c>
      <c r="KL411" s="630">
        <v>697.06411</v>
      </c>
      <c r="KM411" s="630">
        <v>14084.796</v>
      </c>
      <c r="KN411" s="630">
        <v>18.439274</v>
      </c>
      <c r="KO411" s="630">
        <v>97.994218</v>
      </c>
      <c r="KP411" s="630">
        <v>38.801999</v>
      </c>
      <c r="KQ411" s="630">
        <v>59.722219</v>
      </c>
      <c r="KR411" s="630">
        <v>68.617354</v>
      </c>
      <c r="KS411" s="630">
        <v>44.014488</v>
      </c>
      <c r="KT411" s="630">
        <v>232.58071</v>
      </c>
      <c r="KU411" s="630">
        <v>3735.6645</v>
      </c>
      <c r="KV411" s="630">
        <v>197.64238</v>
      </c>
      <c r="KW411" s="630">
        <v>187.43353</v>
      </c>
      <c r="KX411" s="630">
        <v>257.44952</v>
      </c>
      <c r="KY411" s="630">
        <v>297.95482</v>
      </c>
      <c r="KZ411" s="630">
        <v>224.67768</v>
      </c>
      <c r="LA411" s="630">
        <v>730.49178</v>
      </c>
      <c r="LB411" s="630">
        <v>157.84228</v>
      </c>
      <c r="LC411" s="630">
        <v>479.45142</v>
      </c>
      <c r="LD411" s="630">
        <v>190.55218</v>
      </c>
      <c r="LE411" s="630">
        <v>144.60558</v>
      </c>
      <c r="LF411" s="630">
        <v>664.21477</v>
      </c>
      <c r="LG411" s="630">
        <v>416.63747</v>
      </c>
      <c r="LH411" s="630">
        <v>500.80896</v>
      </c>
      <c r="LI411" s="630">
        <v>1699.9188</v>
      </c>
      <c r="LJ411" s="630">
        <v>402.83163</v>
      </c>
      <c r="LK411" s="630">
        <v>1639.4213</v>
      </c>
      <c r="LL411" s="630">
        <v>383.70856</v>
      </c>
      <c r="LM411" s="630">
        <v>877.93789</v>
      </c>
      <c r="LN411" s="630">
        <v>811.26925</v>
      </c>
      <c r="LO411" s="630">
        <v>531.08968</v>
      </c>
      <c r="LP411" s="630">
        <v>424.57554</v>
      </c>
      <c r="LQ411" s="630">
        <v>1180.6975</v>
      </c>
      <c r="LR411" s="630">
        <v>409.45505</v>
      </c>
      <c r="LS411" s="630">
        <v>449.625</v>
      </c>
      <c r="LT411" s="630">
        <v>1430.4228</v>
      </c>
      <c r="LU411" s="630">
        <v>124669.29</v>
      </c>
      <c r="LV411" s="630">
        <v>68341.101</v>
      </c>
      <c r="LW411" s="630">
        <v>5269.1694</v>
      </c>
      <c r="LX411" s="630">
        <v>8393.8705</v>
      </c>
      <c r="LY411" s="630">
        <v>28.312084</v>
      </c>
      <c r="LZ411" s="630">
        <v>211.05484</v>
      </c>
      <c r="MA411" s="630">
        <v>1160.9354</v>
      </c>
      <c r="MB411" s="630">
        <v>2699.0992</v>
      </c>
      <c r="MC411" s="630">
        <v>336.44938</v>
      </c>
      <c r="MD411" s="630">
        <v>307.18482</v>
      </c>
      <c r="ME411" s="630">
        <v>167.17859</v>
      </c>
      <c r="MF411" s="630">
        <v>17455.668</v>
      </c>
      <c r="MG411" s="630">
        <v>50.665555</v>
      </c>
      <c r="MH411" s="630">
        <v>14.387883</v>
      </c>
      <c r="MI411" s="630">
        <v>1.4211083</v>
      </c>
      <c r="MJ411" s="630">
        <v>1413.1308</v>
      </c>
      <c r="MK411" s="630">
        <v>83.795113</v>
      </c>
      <c r="ML411" s="630">
        <v>92.676796</v>
      </c>
      <c r="MM411" s="630">
        <v>83.604371</v>
      </c>
      <c r="MN411" s="630">
        <v>75.292577</v>
      </c>
      <c r="MO411" s="630">
        <v>56.829477</v>
      </c>
      <c r="MP411" s="630">
        <v>48.843481</v>
      </c>
      <c r="MQ411" s="630">
        <v>103.07056</v>
      </c>
      <c r="MR411" s="630">
        <v>99.231468</v>
      </c>
      <c r="MS411" s="630">
        <v>49.379747</v>
      </c>
      <c r="MT411" s="630">
        <v>74.03877</v>
      </c>
      <c r="MU411" s="630">
        <v>70.435882</v>
      </c>
      <c r="MV411" s="630">
        <v>46.375133</v>
      </c>
      <c r="MW411" s="630">
        <v>158.33693</v>
      </c>
      <c r="MX411" s="630">
        <v>57031.654</v>
      </c>
      <c r="MY411" s="630">
        <v>59486.66</v>
      </c>
      <c r="MZ411" s="630">
        <v>34478.704</v>
      </c>
      <c r="NA411" s="630">
        <v>218.75263</v>
      </c>
      <c r="NB411" s="630">
        <v>257.52414</v>
      </c>
      <c r="NC411" s="630">
        <v>513.66933</v>
      </c>
      <c r="ND411" s="630">
        <v>22197.239</v>
      </c>
      <c r="NE411" s="630">
        <v>6189.5359</v>
      </c>
      <c r="NF411" s="630">
        <v>13620.234</v>
      </c>
      <c r="NG411" s="630">
        <v>24955.784</v>
      </c>
      <c r="NH411" s="630">
        <v>760.13954</v>
      </c>
      <c r="NI411" s="630">
        <v>5437.6314</v>
      </c>
      <c r="NJ411" s="630">
        <v>3690.3713</v>
      </c>
      <c r="NK411" s="630">
        <v>552.1082</v>
      </c>
      <c r="NL411" s="630">
        <v>94.251185</v>
      </c>
      <c r="NM411" s="630">
        <v>283.6273</v>
      </c>
      <c r="NN411" s="630">
        <v>1946.0739</v>
      </c>
      <c r="NO411" s="630">
        <v>2716.4732</v>
      </c>
      <c r="NP411" s="630">
        <v>46.967493</v>
      </c>
      <c r="NQ411" s="630">
        <v>40122.454</v>
      </c>
      <c r="NR411" s="630">
        <v>65272.191</v>
      </c>
      <c r="NS411" s="630">
        <v>85461.397</v>
      </c>
      <c r="NT411" s="630">
        <v>50365.372</v>
      </c>
      <c r="NU411" s="630">
        <v>35634.361</v>
      </c>
      <c r="NV411" s="630">
        <v>80.777459</v>
      </c>
      <c r="NW411" s="630">
        <v>2070.1323</v>
      </c>
      <c r="NY411" s="630">
        <v>0.0</v>
      </c>
      <c r="NZ411" s="630"/>
      <c r="OA411" s="630">
        <v>7.03</v>
      </c>
      <c r="OB411" s="631">
        <v>241.5</v>
      </c>
      <c r="OC411" s="631"/>
      <c r="OD411" s="626"/>
      <c r="OE411" s="631">
        <f t="shared" si="3"/>
        <v>21973.97329</v>
      </c>
      <c r="OF411" s="631">
        <v>16610.267003051777</v>
      </c>
      <c r="OG411" s="630">
        <v>22832.166298034066</v>
      </c>
      <c r="OI411" s="626"/>
      <c r="OJ411" s="626"/>
      <c r="OK411" s="626"/>
      <c r="OL411" s="626"/>
      <c r="OM411" s="626"/>
      <c r="ON411" s="626"/>
    </row>
    <row r="412" ht="12.75" customHeight="1">
      <c r="A412" s="55" t="s">
        <v>4988</v>
      </c>
      <c r="B412" s="55" t="s">
        <v>4978</v>
      </c>
      <c r="C412" s="630">
        <v>41.756029</v>
      </c>
      <c r="D412" s="630">
        <v>19.634504</v>
      </c>
      <c r="E412" s="630">
        <v>74.100622</v>
      </c>
      <c r="F412" s="630">
        <v>18.389091</v>
      </c>
      <c r="G412" s="630">
        <v>19.821099</v>
      </c>
      <c r="H412" s="630">
        <v>20.258535</v>
      </c>
      <c r="I412" s="630">
        <v>15.401894</v>
      </c>
      <c r="J412" s="630">
        <v>2395.8297</v>
      </c>
      <c r="K412" s="630">
        <v>53.307766</v>
      </c>
      <c r="L412" s="630">
        <v>6947.1608</v>
      </c>
      <c r="M412" s="630">
        <v>627.9244</v>
      </c>
      <c r="N412" s="630">
        <v>115.20258</v>
      </c>
      <c r="O412" s="630">
        <v>94.481643</v>
      </c>
      <c r="P412" s="630">
        <v>133.42578</v>
      </c>
      <c r="Q412" s="630">
        <v>2.1908943</v>
      </c>
      <c r="R412" s="630">
        <v>20.700322</v>
      </c>
      <c r="S412" s="630">
        <v>6.0106467</v>
      </c>
      <c r="T412" s="630">
        <v>0.012599341</v>
      </c>
      <c r="U412" s="630">
        <v>0.14147075</v>
      </c>
      <c r="V412" s="630">
        <v>0.0</v>
      </c>
      <c r="W412" s="630">
        <v>12.740233</v>
      </c>
      <c r="X412" s="630">
        <v>19.922512</v>
      </c>
      <c r="Y412" s="630">
        <v>19.199766</v>
      </c>
      <c r="Z412" s="630">
        <v>12.088599</v>
      </c>
      <c r="AA412" s="630">
        <v>25.931843</v>
      </c>
      <c r="AB412" s="630">
        <v>24.934464</v>
      </c>
      <c r="AC412" s="630">
        <v>0.58976331</v>
      </c>
      <c r="AD412" s="630">
        <v>1.7575147</v>
      </c>
      <c r="AE412" s="630">
        <v>9128.0679</v>
      </c>
      <c r="AF412" s="630">
        <v>7586.6361</v>
      </c>
      <c r="AG412" s="630">
        <v>6939.3533</v>
      </c>
      <c r="AH412" s="630">
        <v>23.275465</v>
      </c>
      <c r="AI412" s="630">
        <v>14.82379</v>
      </c>
      <c r="AJ412" s="630">
        <v>27.918819</v>
      </c>
      <c r="AK412" s="630">
        <v>38.087795</v>
      </c>
      <c r="AL412" s="630">
        <v>33.195662</v>
      </c>
      <c r="AM412" s="630">
        <v>42.642918</v>
      </c>
      <c r="AN412" s="630">
        <v>37.395304</v>
      </c>
      <c r="AO412" s="630">
        <v>54.659239</v>
      </c>
      <c r="AP412" s="630">
        <v>49.442904</v>
      </c>
      <c r="AQ412" s="630">
        <v>71.766142</v>
      </c>
      <c r="AR412" s="630">
        <v>66.476619</v>
      </c>
      <c r="AS412" s="630">
        <v>50.766632</v>
      </c>
      <c r="AT412" s="630">
        <v>46.694283</v>
      </c>
      <c r="AU412" s="630">
        <v>23.227352</v>
      </c>
      <c r="AV412" s="630">
        <v>48965.472</v>
      </c>
      <c r="AW412" s="630">
        <v>31697.222</v>
      </c>
      <c r="AX412" s="630">
        <v>33026.637</v>
      </c>
      <c r="AY412" s="630">
        <v>1975.444</v>
      </c>
      <c r="AZ412" s="630">
        <v>4.306716</v>
      </c>
      <c r="BA412" s="630">
        <v>792.64692</v>
      </c>
      <c r="BB412" s="630">
        <v>4.9453081</v>
      </c>
      <c r="BC412" s="630">
        <v>5.8319107</v>
      </c>
      <c r="BD412" s="630">
        <v>3.6643787</v>
      </c>
      <c r="BE412" s="630">
        <v>5.1204665</v>
      </c>
      <c r="BF412" s="630">
        <v>9.1766968</v>
      </c>
      <c r="BG412" s="630">
        <v>9.8778732</v>
      </c>
      <c r="BH412" s="630">
        <v>18.466862</v>
      </c>
      <c r="BI412" s="630">
        <v>35.480137</v>
      </c>
      <c r="BJ412" s="630">
        <v>616.0929</v>
      </c>
      <c r="BK412" s="630">
        <v>631.69843</v>
      </c>
      <c r="BL412" s="630">
        <v>545.66478</v>
      </c>
      <c r="BM412" s="630">
        <v>561.27032</v>
      </c>
      <c r="BN412" s="630">
        <v>17920.554</v>
      </c>
      <c r="BO412" s="630">
        <v>0.25333967</v>
      </c>
      <c r="BP412" s="630">
        <v>10.552637</v>
      </c>
      <c r="BQ412" s="630">
        <v>1409.3721</v>
      </c>
      <c r="BR412" s="630">
        <v>1551.7229</v>
      </c>
      <c r="BS412" s="630">
        <v>1600.702</v>
      </c>
      <c r="BT412" s="630">
        <v>29072.259</v>
      </c>
      <c r="BU412" s="630">
        <v>12312.448</v>
      </c>
      <c r="BV412" s="630">
        <v>18593.06</v>
      </c>
      <c r="BW412" s="630">
        <v>16.127649</v>
      </c>
      <c r="BX412" s="630">
        <v>10556.781</v>
      </c>
      <c r="BY412" s="630">
        <v>1036.0615</v>
      </c>
      <c r="BZ412" s="630">
        <v>75.624774</v>
      </c>
      <c r="CA412" s="630">
        <v>0.1914895</v>
      </c>
      <c r="CB412" s="630">
        <v>0.13486529</v>
      </c>
      <c r="CC412" s="630">
        <v>0.15188926</v>
      </c>
      <c r="CD412" s="630">
        <v>0.1709565</v>
      </c>
      <c r="CE412" s="630">
        <v>43507.433</v>
      </c>
      <c r="CF412" s="630">
        <v>85362.494</v>
      </c>
      <c r="CG412" s="630">
        <v>8348.7124</v>
      </c>
      <c r="CH412" s="630">
        <v>10641.165</v>
      </c>
      <c r="CI412" s="630">
        <v>8.4413878</v>
      </c>
      <c r="CJ412" s="630">
        <v>2.8624548</v>
      </c>
      <c r="CK412" s="630">
        <v>20.156629</v>
      </c>
      <c r="CL412" s="630">
        <v>0.21191802</v>
      </c>
      <c r="CM412" s="630">
        <v>0.30586525</v>
      </c>
      <c r="CN412" s="630">
        <v>152.78573</v>
      </c>
      <c r="CO412" s="630">
        <v>251.42933</v>
      </c>
      <c r="CP412" s="630">
        <v>132.28666</v>
      </c>
      <c r="CQ412" s="630">
        <v>640.50693</v>
      </c>
      <c r="CR412" s="630">
        <v>969.75354</v>
      </c>
      <c r="CS412" s="630">
        <v>969.75354</v>
      </c>
      <c r="CT412" s="630">
        <v>0.18383215</v>
      </c>
      <c r="CU412" s="630">
        <v>4.7059935</v>
      </c>
      <c r="CV412" s="630">
        <v>0.26346628</v>
      </c>
      <c r="CW412" s="630">
        <v>8.5135196</v>
      </c>
      <c r="CX412" s="630">
        <v>220.40752</v>
      </c>
      <c r="CY412" s="630">
        <v>179.2531</v>
      </c>
      <c r="CZ412" s="630">
        <v>210.66039</v>
      </c>
      <c r="DA412" s="630">
        <v>146.78443</v>
      </c>
      <c r="DB412" s="630">
        <v>6.0527032</v>
      </c>
      <c r="DC412" s="630">
        <v>0.21169738</v>
      </c>
      <c r="DD412" s="630">
        <v>6.291655</v>
      </c>
      <c r="DE412" s="630">
        <v>10.028786</v>
      </c>
      <c r="DF412" s="630">
        <v>5.4992287</v>
      </c>
      <c r="DG412" s="630">
        <v>6.291655</v>
      </c>
      <c r="DH412" s="630">
        <v>10.028786</v>
      </c>
      <c r="DI412" s="630">
        <v>8.9352405</v>
      </c>
      <c r="DJ412" s="630">
        <v>9.7444081</v>
      </c>
      <c r="DK412" s="630">
        <v>9.7444081</v>
      </c>
      <c r="DL412" s="630">
        <v>13.481539</v>
      </c>
      <c r="DM412" s="630">
        <v>9.7444081</v>
      </c>
      <c r="DN412" s="630">
        <v>13.481539</v>
      </c>
      <c r="DO412" s="630">
        <v>0.21169738</v>
      </c>
      <c r="DP412" s="630">
        <v>5.3087638</v>
      </c>
      <c r="DQ412" s="630">
        <v>3.3179481</v>
      </c>
      <c r="DR412" s="630">
        <v>2.1577057</v>
      </c>
      <c r="DS412" s="630">
        <v>2.8182924</v>
      </c>
      <c r="DT412" s="630">
        <v>4.9237082</v>
      </c>
      <c r="DU412" s="630">
        <v>13.288091</v>
      </c>
      <c r="DV412" s="630">
        <v>33.447667</v>
      </c>
      <c r="DW412" s="630">
        <v>59.590169</v>
      </c>
      <c r="DX412" s="630">
        <v>370.80662</v>
      </c>
      <c r="DY412" s="630">
        <v>450.19818</v>
      </c>
      <c r="DZ412" s="630">
        <v>497.27136</v>
      </c>
      <c r="EA412" s="630">
        <v>0.14147075</v>
      </c>
      <c r="EB412" s="630">
        <v>0.19163222</v>
      </c>
      <c r="EC412" s="630">
        <v>0.19887441</v>
      </c>
      <c r="ED412" s="630">
        <v>27.168152</v>
      </c>
      <c r="EE412" s="630">
        <v>0.17892875</v>
      </c>
      <c r="EF412" s="630">
        <v>0.0</v>
      </c>
      <c r="EG412" s="630">
        <v>0.0</v>
      </c>
      <c r="EH412" s="630">
        <v>0.0</v>
      </c>
      <c r="EI412" s="630">
        <v>0.20346472</v>
      </c>
      <c r="EJ412" s="630">
        <v>0.17838113</v>
      </c>
      <c r="EK412" s="630">
        <v>39.900355</v>
      </c>
      <c r="EL412" s="630">
        <v>0.0</v>
      </c>
      <c r="EM412" s="630">
        <v>0.0</v>
      </c>
      <c r="EN412" s="630">
        <v>0.0</v>
      </c>
      <c r="EO412" s="630">
        <v>0.0</v>
      </c>
      <c r="EP412" s="630">
        <v>486.89922</v>
      </c>
      <c r="EQ412" s="630">
        <v>959.95469</v>
      </c>
      <c r="ER412" s="630">
        <v>0.0</v>
      </c>
      <c r="ES412" s="630">
        <v>0.0</v>
      </c>
      <c r="ET412" s="630">
        <v>3.6412448</v>
      </c>
      <c r="EU412" s="630">
        <v>3.4586962</v>
      </c>
      <c r="EV412" s="630">
        <v>3.4586962</v>
      </c>
      <c r="EW412" s="630">
        <v>3.42453</v>
      </c>
      <c r="EX412" s="630">
        <v>20.548167</v>
      </c>
      <c r="EY412" s="630">
        <v>22.980616</v>
      </c>
      <c r="EZ412" s="630">
        <v>33.048041</v>
      </c>
      <c r="FA412" s="630">
        <v>19.861209</v>
      </c>
      <c r="FB412" s="630">
        <v>58.507488</v>
      </c>
      <c r="FC412" s="630">
        <v>16.405877</v>
      </c>
      <c r="FD412" s="630">
        <v>18.738451</v>
      </c>
      <c r="FE412" s="630">
        <v>53.198446</v>
      </c>
      <c r="FF412" s="630">
        <v>1.651856</v>
      </c>
      <c r="FG412" s="630">
        <v>2.0842561</v>
      </c>
      <c r="FH412" s="630">
        <v>32.395622</v>
      </c>
      <c r="FI412" s="630">
        <v>17.591073</v>
      </c>
      <c r="FJ412" s="630">
        <v>24.704534</v>
      </c>
      <c r="FK412" s="630">
        <v>5.7690251</v>
      </c>
      <c r="FL412" s="630">
        <v>28.298152</v>
      </c>
      <c r="FM412" s="630">
        <v>20.749539</v>
      </c>
      <c r="FN412" s="630">
        <v>25.930888</v>
      </c>
      <c r="FO412" s="630">
        <v>36.853564</v>
      </c>
      <c r="FP412" s="630">
        <v>2.6218716</v>
      </c>
      <c r="FQ412" s="630">
        <v>11.796324</v>
      </c>
      <c r="FR412" s="630">
        <v>3.2780187</v>
      </c>
      <c r="FS412" s="630">
        <v>13.983007</v>
      </c>
      <c r="FT412" s="630">
        <v>3.301447</v>
      </c>
      <c r="FU412" s="630">
        <v>16.706714</v>
      </c>
      <c r="FV412" s="630">
        <v>2.0151992</v>
      </c>
      <c r="FW412" s="630">
        <v>0.19887441</v>
      </c>
      <c r="FX412" s="630">
        <v>1.9985056</v>
      </c>
      <c r="FY412" s="630">
        <v>0.19887441</v>
      </c>
      <c r="FZ412" s="630">
        <v>74.951987</v>
      </c>
      <c r="GA412" s="630">
        <v>1407.5786</v>
      </c>
      <c r="GB412" s="630">
        <v>1461.3033</v>
      </c>
      <c r="GC412" s="630">
        <v>42.877855</v>
      </c>
      <c r="GD412" s="630">
        <v>44.959474</v>
      </c>
      <c r="GE412" s="630">
        <v>15.166152</v>
      </c>
      <c r="GF412" s="630">
        <v>78.757372</v>
      </c>
      <c r="GG412" s="630">
        <v>103.0526</v>
      </c>
      <c r="GH412" s="630">
        <v>1997.2189</v>
      </c>
      <c r="GI412" s="630">
        <v>1215.2451</v>
      </c>
      <c r="GJ412" s="630">
        <v>0.11549064</v>
      </c>
      <c r="GK412" s="630">
        <v>6.4234988</v>
      </c>
      <c r="GL412" s="630">
        <v>3.4718911</v>
      </c>
      <c r="GM412" s="630">
        <v>3.4718911</v>
      </c>
      <c r="GN412" s="630">
        <v>0.19887441</v>
      </c>
      <c r="GO412" s="630">
        <v>0.11870119</v>
      </c>
      <c r="GP412" s="630">
        <v>3.0263516</v>
      </c>
      <c r="GQ412" s="630">
        <v>0.0</v>
      </c>
      <c r="GR412" s="630">
        <v>0.0</v>
      </c>
      <c r="GS412" s="630">
        <v>2.8637915</v>
      </c>
      <c r="GT412" s="630">
        <v>1.2511114</v>
      </c>
      <c r="GU412" s="630">
        <v>1.9487398</v>
      </c>
      <c r="GV412" s="630">
        <v>2.7902331</v>
      </c>
      <c r="GW412" s="630">
        <v>0.17754524</v>
      </c>
      <c r="GX412" s="630">
        <v>0.22150003</v>
      </c>
      <c r="GY412" s="630">
        <v>3.3513775</v>
      </c>
      <c r="GZ412" s="630">
        <v>3.0721217</v>
      </c>
      <c r="HA412" s="630">
        <v>0.0</v>
      </c>
      <c r="HB412" s="630">
        <v>0.0</v>
      </c>
      <c r="HC412" s="630">
        <v>0.0</v>
      </c>
      <c r="HD412" s="630">
        <v>5.8117777</v>
      </c>
      <c r="HE412" s="630">
        <v>994.05391</v>
      </c>
      <c r="HF412" s="630">
        <v>3.0721217</v>
      </c>
      <c r="HG412" s="630">
        <v>3.3513775</v>
      </c>
      <c r="HH412" s="630">
        <v>140.73451</v>
      </c>
      <c r="HI412" s="630">
        <v>0.0</v>
      </c>
      <c r="HJ412" s="630">
        <v>3.0263516</v>
      </c>
      <c r="HK412" s="630">
        <v>9.2903456</v>
      </c>
      <c r="HL412" s="630">
        <v>2186.0936</v>
      </c>
      <c r="HM412" s="630">
        <v>2137.785</v>
      </c>
      <c r="HN412" s="630">
        <v>13906.369</v>
      </c>
      <c r="HO412" s="630">
        <v>13860.55</v>
      </c>
      <c r="HP412" s="630">
        <v>9167.1745</v>
      </c>
      <c r="HQ412" s="630">
        <v>129.51375</v>
      </c>
      <c r="HR412" s="630">
        <v>8.318638</v>
      </c>
      <c r="HS412" s="630">
        <v>9.2704924</v>
      </c>
      <c r="HT412" s="630">
        <v>59.856966</v>
      </c>
      <c r="HU412" s="630">
        <v>86.63211</v>
      </c>
      <c r="HV412" s="630">
        <v>56.952956</v>
      </c>
      <c r="HW412" s="630">
        <v>1970.4708</v>
      </c>
      <c r="HX412" s="630">
        <v>51.713582</v>
      </c>
      <c r="HY412" s="630">
        <v>22.756837</v>
      </c>
      <c r="HZ412" s="630">
        <v>11.457837</v>
      </c>
      <c r="IA412" s="630">
        <v>7.2538661</v>
      </c>
      <c r="IB412" s="630">
        <v>12.661825</v>
      </c>
      <c r="IC412" s="630">
        <v>221.56565</v>
      </c>
      <c r="ID412" s="630">
        <v>146.00324</v>
      </c>
      <c r="IE412" s="630">
        <v>49.280404</v>
      </c>
      <c r="IF412" s="630">
        <v>39.574315</v>
      </c>
      <c r="IG412" s="630">
        <v>473.03744</v>
      </c>
      <c r="IH412" s="630">
        <v>884.49498</v>
      </c>
      <c r="II412" s="630">
        <v>144.20603</v>
      </c>
      <c r="IJ412" s="630">
        <v>953.94594</v>
      </c>
      <c r="IK412" s="630">
        <v>984.59447</v>
      </c>
      <c r="IL412" s="630">
        <v>344.51067</v>
      </c>
      <c r="IM412" s="630">
        <v>159.68603</v>
      </c>
      <c r="IN412" s="630">
        <v>139.03676</v>
      </c>
      <c r="IO412" s="630">
        <v>186.99673</v>
      </c>
      <c r="IP412" s="630">
        <v>33.798174</v>
      </c>
      <c r="IQ412" s="630">
        <v>411.36848</v>
      </c>
      <c r="IR412" s="630">
        <v>274.74809</v>
      </c>
      <c r="IS412" s="630">
        <v>91.393064</v>
      </c>
      <c r="IT412" s="630">
        <v>1695.7564</v>
      </c>
      <c r="IU412" s="630">
        <v>1243.1713</v>
      </c>
      <c r="IV412" s="630">
        <v>39.523962</v>
      </c>
      <c r="IW412" s="630">
        <v>75.782148</v>
      </c>
      <c r="IX412" s="630">
        <v>15.981709</v>
      </c>
      <c r="IY412" s="630">
        <v>1608.6768</v>
      </c>
      <c r="IZ412" s="630">
        <v>131.8108</v>
      </c>
      <c r="JA412" s="630">
        <v>7.3807563</v>
      </c>
      <c r="JB412" s="630">
        <v>0.0</v>
      </c>
      <c r="JC412" s="630">
        <v>463.38161</v>
      </c>
      <c r="JD412" s="630">
        <v>748.92559</v>
      </c>
      <c r="JE412" s="630">
        <v>445.91801</v>
      </c>
      <c r="JF412" s="630">
        <v>389.7441</v>
      </c>
      <c r="JG412" s="630">
        <v>675.48208</v>
      </c>
      <c r="JH412" s="630">
        <v>766.57401</v>
      </c>
      <c r="JI412" s="630">
        <v>963.34996</v>
      </c>
      <c r="JJ412" s="630">
        <v>1196.079</v>
      </c>
      <c r="JK412" s="630">
        <v>816.09516</v>
      </c>
      <c r="JL412" s="630">
        <v>1099.2109</v>
      </c>
      <c r="JM412" s="630">
        <v>1036.9332</v>
      </c>
      <c r="JN412" s="630">
        <v>35.364826</v>
      </c>
      <c r="JO412" s="630">
        <v>34.520341</v>
      </c>
      <c r="JP412" s="630">
        <v>35.89906</v>
      </c>
      <c r="JQ412" s="630">
        <v>35.054575</v>
      </c>
      <c r="JR412" s="630">
        <v>0.2978175</v>
      </c>
      <c r="JS412" s="630">
        <v>0.12174559</v>
      </c>
      <c r="JT412" s="630">
        <v>212.09601</v>
      </c>
      <c r="JU412" s="630">
        <v>71.295182</v>
      </c>
      <c r="JV412" s="630">
        <v>2.717873</v>
      </c>
      <c r="JW412" s="630">
        <v>46.025092</v>
      </c>
      <c r="JX412" s="630">
        <v>2.7416328</v>
      </c>
      <c r="JY412" s="630">
        <v>3074.2537</v>
      </c>
      <c r="JZ412" s="630">
        <v>5473.0093</v>
      </c>
      <c r="KA412" s="630">
        <v>9587.2562</v>
      </c>
      <c r="KB412" s="630">
        <v>656.56004</v>
      </c>
      <c r="KC412" s="630">
        <v>47249.341</v>
      </c>
      <c r="KD412" s="630">
        <v>7019.1141</v>
      </c>
      <c r="KE412" s="630">
        <v>740.89859</v>
      </c>
      <c r="KF412" s="630">
        <v>630.27592</v>
      </c>
      <c r="KG412" s="630">
        <v>1048.0751</v>
      </c>
      <c r="KH412" s="630">
        <v>344970.58</v>
      </c>
      <c r="KI412" s="630">
        <v>38329.742</v>
      </c>
      <c r="KJ412" s="630">
        <v>41144.323</v>
      </c>
      <c r="KK412" s="630">
        <v>416.56285</v>
      </c>
      <c r="KL412" s="630">
        <v>1010.1893</v>
      </c>
      <c r="KM412" s="630">
        <v>919.03669</v>
      </c>
      <c r="KN412" s="630">
        <v>2.7183356</v>
      </c>
      <c r="KO412" s="630">
        <v>10.925456</v>
      </c>
      <c r="KP412" s="630">
        <v>17.459537</v>
      </c>
      <c r="KQ412" s="630">
        <v>16.863808</v>
      </c>
      <c r="KR412" s="630">
        <v>6.641086</v>
      </c>
      <c r="KS412" s="630">
        <v>2.263158</v>
      </c>
      <c r="KT412" s="630">
        <v>34.06757</v>
      </c>
      <c r="KU412" s="630">
        <v>152.75226</v>
      </c>
      <c r="KV412" s="630">
        <v>7.2098929</v>
      </c>
      <c r="KW412" s="630">
        <v>5.0307476</v>
      </c>
      <c r="KX412" s="630">
        <v>8.4096664</v>
      </c>
      <c r="KY412" s="630">
        <v>10.108288</v>
      </c>
      <c r="KZ412" s="630">
        <v>7.1967006</v>
      </c>
      <c r="LA412" s="630">
        <v>9.3416987</v>
      </c>
      <c r="LB412" s="630">
        <v>28.372649</v>
      </c>
      <c r="LC412" s="630">
        <v>10.997709</v>
      </c>
      <c r="LD412" s="630">
        <v>26.607025</v>
      </c>
      <c r="LE412" s="630">
        <v>19.804236</v>
      </c>
      <c r="LF412" s="630">
        <v>1459.7644</v>
      </c>
      <c r="LG412" s="630">
        <v>72.779385</v>
      </c>
      <c r="LH412" s="630">
        <v>77.239597</v>
      </c>
      <c r="LI412" s="630">
        <v>14.213933</v>
      </c>
      <c r="LJ412" s="630">
        <v>7.1292518</v>
      </c>
      <c r="LK412" s="630">
        <v>1080.4447</v>
      </c>
      <c r="LL412" s="630">
        <v>6.7445274</v>
      </c>
      <c r="LM412" s="630">
        <v>26.392035</v>
      </c>
      <c r="LN412" s="630">
        <v>1364.9836</v>
      </c>
      <c r="LO412" s="630">
        <v>17.242161</v>
      </c>
      <c r="LP412" s="630">
        <v>19.954799</v>
      </c>
      <c r="LQ412" s="630">
        <v>23.808027</v>
      </c>
      <c r="LR412" s="630">
        <v>1111.4108</v>
      </c>
      <c r="LS412" s="630">
        <v>90.377943</v>
      </c>
      <c r="LT412" s="630">
        <v>76.212051</v>
      </c>
      <c r="LU412" s="630">
        <v>125397.21</v>
      </c>
      <c r="LV412" s="630">
        <v>38949.034</v>
      </c>
      <c r="LW412" s="630">
        <v>2191.8412</v>
      </c>
      <c r="LX412" s="630">
        <v>2686.0814</v>
      </c>
      <c r="LY412" s="630">
        <v>19.324788</v>
      </c>
      <c r="LZ412" s="630">
        <v>396.2374</v>
      </c>
      <c r="MA412" s="630">
        <v>313.30933</v>
      </c>
      <c r="MB412" s="630">
        <v>88.955473</v>
      </c>
      <c r="MC412" s="630">
        <v>54.762088</v>
      </c>
      <c r="MD412" s="630">
        <v>52.139569</v>
      </c>
      <c r="ME412" s="630">
        <v>23.773505</v>
      </c>
      <c r="MF412" s="630">
        <v>8310.2677</v>
      </c>
      <c r="MG412" s="630">
        <v>5.8012443</v>
      </c>
      <c r="MH412" s="630">
        <v>2.0385926</v>
      </c>
      <c r="MI412" s="630">
        <v>0.12174559</v>
      </c>
      <c r="MJ412" s="630">
        <v>26.004413</v>
      </c>
      <c r="MK412" s="630">
        <v>9.9246263</v>
      </c>
      <c r="ML412" s="630">
        <v>11.598007</v>
      </c>
      <c r="MM412" s="630">
        <v>10.845069</v>
      </c>
      <c r="MN412" s="630">
        <v>9.2259199</v>
      </c>
      <c r="MO412" s="630">
        <v>6.0026563</v>
      </c>
      <c r="MP412" s="630">
        <v>5.3612272</v>
      </c>
      <c r="MQ412" s="630">
        <v>12.252491</v>
      </c>
      <c r="MR412" s="630">
        <v>11.760647</v>
      </c>
      <c r="MS412" s="630">
        <v>3.9191059</v>
      </c>
      <c r="MT412" s="630">
        <v>8.1190778</v>
      </c>
      <c r="MU412" s="630">
        <v>7.6710082</v>
      </c>
      <c r="MV412" s="630">
        <v>3.5320542</v>
      </c>
      <c r="MW412" s="630">
        <v>16.404983</v>
      </c>
      <c r="MX412" s="630">
        <v>6371.8653</v>
      </c>
      <c r="MY412" s="630">
        <v>4557.507</v>
      </c>
      <c r="MZ412" s="630">
        <v>2537.788</v>
      </c>
      <c r="NA412" s="630">
        <v>20.167277</v>
      </c>
      <c r="NB412" s="630">
        <v>22.285715</v>
      </c>
      <c r="NC412" s="630">
        <v>43.463676</v>
      </c>
      <c r="ND412" s="630">
        <v>5067.6389</v>
      </c>
      <c r="NE412" s="630">
        <v>270.77087</v>
      </c>
      <c r="NF412" s="630">
        <v>1979.224</v>
      </c>
      <c r="NG412" s="630">
        <v>10724.234</v>
      </c>
      <c r="NH412" s="630">
        <v>558.77173</v>
      </c>
      <c r="NI412" s="630">
        <v>1646.3849</v>
      </c>
      <c r="NJ412" s="630">
        <v>169.0402</v>
      </c>
      <c r="NK412" s="630">
        <v>112.61603</v>
      </c>
      <c r="NL412" s="630">
        <v>51.126469</v>
      </c>
      <c r="NM412" s="630">
        <v>37.886284</v>
      </c>
      <c r="NN412" s="630">
        <v>4306.2956</v>
      </c>
      <c r="NO412" s="630">
        <v>496.45908</v>
      </c>
      <c r="NP412" s="630">
        <v>10.43779</v>
      </c>
      <c r="NQ412" s="630">
        <v>7387.5365</v>
      </c>
      <c r="NR412" s="630">
        <v>7749.0899</v>
      </c>
      <c r="NS412" s="630">
        <v>88819.615</v>
      </c>
      <c r="NT412" s="630">
        <v>11073.545</v>
      </c>
      <c r="NU412" s="630">
        <v>9513.8342</v>
      </c>
      <c r="NV412" s="630">
        <v>41.746396</v>
      </c>
      <c r="NW412" s="630">
        <v>4277.7543</v>
      </c>
      <c r="NY412" s="630">
        <v>0.0</v>
      </c>
      <c r="NZ412" s="630"/>
      <c r="OA412" s="630">
        <v>1.07</v>
      </c>
      <c r="OB412" s="631">
        <v>69.8</v>
      </c>
      <c r="OC412" s="631"/>
      <c r="OD412" s="626"/>
      <c r="OE412" s="631">
        <f t="shared" si="3"/>
        <v>3082.149442</v>
      </c>
      <c r="OF412" s="631">
        <v>1112.9542146366666</v>
      </c>
      <c r="OG412" s="630">
        <v>3397.2206788875105</v>
      </c>
      <c r="OI412" s="626"/>
      <c r="OJ412" s="626"/>
      <c r="OK412" s="626"/>
      <c r="OL412" s="626"/>
      <c r="OM412" s="626"/>
      <c r="ON412" s="626"/>
    </row>
    <row r="413" ht="12.75" customHeight="1">
      <c r="A413" s="55" t="s">
        <v>4989</v>
      </c>
      <c r="B413" s="55" t="s">
        <v>4978</v>
      </c>
      <c r="C413" s="630">
        <v>147.3911</v>
      </c>
      <c r="D413" s="630">
        <v>76.057872</v>
      </c>
      <c r="E413" s="630">
        <v>40.094523</v>
      </c>
      <c r="F413" s="630">
        <v>177.12704</v>
      </c>
      <c r="G413" s="630">
        <v>44.181199</v>
      </c>
      <c r="H413" s="630">
        <v>45.282266</v>
      </c>
      <c r="I413" s="630">
        <v>69.166306</v>
      </c>
      <c r="J413" s="630">
        <v>1001.0852</v>
      </c>
      <c r="K413" s="630">
        <v>168.80578</v>
      </c>
      <c r="L413" s="630">
        <v>25468.441</v>
      </c>
      <c r="M413" s="630">
        <v>1551.6165</v>
      </c>
      <c r="N413" s="630">
        <v>320.78827</v>
      </c>
      <c r="O413" s="630">
        <v>294.8211</v>
      </c>
      <c r="P413" s="630">
        <v>404.06657</v>
      </c>
      <c r="Q413" s="630">
        <v>4.2003452</v>
      </c>
      <c r="R413" s="630">
        <v>8.6248895</v>
      </c>
      <c r="S413" s="630">
        <v>2.6760948</v>
      </c>
      <c r="T413" s="630">
        <v>0.015070323</v>
      </c>
      <c r="U413" s="630">
        <v>0.19210621</v>
      </c>
      <c r="V413" s="630">
        <v>0.0</v>
      </c>
      <c r="W413" s="630">
        <v>39.867672</v>
      </c>
      <c r="X413" s="630">
        <v>60.240943</v>
      </c>
      <c r="Y413" s="630">
        <v>58.804538</v>
      </c>
      <c r="Z413" s="630">
        <v>38.632983</v>
      </c>
      <c r="AA413" s="630">
        <v>13.580342</v>
      </c>
      <c r="AB413" s="630">
        <v>13.058021</v>
      </c>
      <c r="AC413" s="630">
        <v>1.4773496</v>
      </c>
      <c r="AD413" s="630">
        <v>4.1089097</v>
      </c>
      <c r="AE413" s="630">
        <v>18340.345</v>
      </c>
      <c r="AF413" s="630">
        <v>17198.508</v>
      </c>
      <c r="AG413" s="630">
        <v>15061.182</v>
      </c>
      <c r="AH413" s="630">
        <v>20.092069</v>
      </c>
      <c r="AI413" s="630">
        <v>29.934493</v>
      </c>
      <c r="AJ413" s="630">
        <v>92.84157</v>
      </c>
      <c r="AK413" s="630">
        <v>91.072659</v>
      </c>
      <c r="AL413" s="630">
        <v>83.568866</v>
      </c>
      <c r="AM413" s="630">
        <v>83.479299</v>
      </c>
      <c r="AN413" s="630">
        <v>75.438243</v>
      </c>
      <c r="AO413" s="630">
        <v>20.423388</v>
      </c>
      <c r="AP413" s="630">
        <v>12.699664</v>
      </c>
      <c r="AQ413" s="630">
        <v>20.167255</v>
      </c>
      <c r="AR413" s="630">
        <v>12.334753</v>
      </c>
      <c r="AS413" s="630">
        <v>79.397524</v>
      </c>
      <c r="AT413" s="630">
        <v>73.157484</v>
      </c>
      <c r="AU413" s="630">
        <v>87.748468</v>
      </c>
      <c r="AV413" s="630">
        <v>86615.844</v>
      </c>
      <c r="AW413" s="630">
        <v>56582.478</v>
      </c>
      <c r="AX413" s="630">
        <v>60143.062</v>
      </c>
      <c r="AY413" s="630">
        <v>36288.092</v>
      </c>
      <c r="AZ413" s="630">
        <v>3.1883251</v>
      </c>
      <c r="BA413" s="630">
        <v>751.67225</v>
      </c>
      <c r="BB413" s="630">
        <v>11.070673</v>
      </c>
      <c r="BC413" s="630">
        <v>12.64296</v>
      </c>
      <c r="BD413" s="630">
        <v>8.2043779</v>
      </c>
      <c r="BE413" s="630">
        <v>10.378952</v>
      </c>
      <c r="BF413" s="630">
        <v>2.8311967</v>
      </c>
      <c r="BG413" s="630">
        <v>10.831721</v>
      </c>
      <c r="BH413" s="630">
        <v>11.942669</v>
      </c>
      <c r="BI413" s="630">
        <v>131.22074</v>
      </c>
      <c r="BJ413" s="630">
        <v>1123.1029</v>
      </c>
      <c r="BK413" s="630">
        <v>1241.1317</v>
      </c>
      <c r="BL413" s="630">
        <v>429.21892</v>
      </c>
      <c r="BM413" s="630">
        <v>547.2477</v>
      </c>
      <c r="BN413" s="630">
        <v>18818.4</v>
      </c>
      <c r="BO413" s="630">
        <v>1.0558221</v>
      </c>
      <c r="BP413" s="630">
        <v>5.8766634</v>
      </c>
      <c r="BQ413" s="630">
        <v>4047.1485</v>
      </c>
      <c r="BR413" s="630">
        <v>4444.6962</v>
      </c>
      <c r="BS413" s="630">
        <v>4564.3837</v>
      </c>
      <c r="BT413" s="630">
        <v>52071.932</v>
      </c>
      <c r="BU413" s="630">
        <v>21877.732</v>
      </c>
      <c r="BV413" s="630">
        <v>33214.554</v>
      </c>
      <c r="BW413" s="630">
        <v>8.5771047</v>
      </c>
      <c r="BX413" s="630">
        <v>38764.956</v>
      </c>
      <c r="BY413" s="630">
        <v>41030.8</v>
      </c>
      <c r="BZ413" s="630">
        <v>76.647474</v>
      </c>
      <c r="CA413" s="630">
        <v>1.8792962</v>
      </c>
      <c r="CB413" s="630">
        <v>1.277412</v>
      </c>
      <c r="CC413" s="630">
        <v>1.4583674</v>
      </c>
      <c r="CD413" s="630">
        <v>1.6610417</v>
      </c>
      <c r="CE413" s="630">
        <v>76769.136</v>
      </c>
      <c r="CF413" s="630">
        <v>150538.36</v>
      </c>
      <c r="CG413" s="630">
        <v>14427.07</v>
      </c>
      <c r="CH413" s="630">
        <v>18488.545</v>
      </c>
      <c r="CI413" s="630">
        <v>1.1770291</v>
      </c>
      <c r="CJ413" s="630">
        <v>37.162305</v>
      </c>
      <c r="CK413" s="630">
        <v>31.577107</v>
      </c>
      <c r="CL413" s="630">
        <v>0.28938704</v>
      </c>
      <c r="CM413" s="630">
        <v>0.39919627</v>
      </c>
      <c r="CN413" s="630">
        <v>244.71584</v>
      </c>
      <c r="CO413" s="630">
        <v>369.16267</v>
      </c>
      <c r="CP413" s="630">
        <v>211.88262</v>
      </c>
      <c r="CQ413" s="630">
        <v>1025.8955</v>
      </c>
      <c r="CR413" s="630">
        <v>1553.2475</v>
      </c>
      <c r="CS413" s="630">
        <v>1553.2475</v>
      </c>
      <c r="CT413" s="630">
        <v>0.29776499</v>
      </c>
      <c r="CU413" s="630">
        <v>4.6050126</v>
      </c>
      <c r="CV413" s="630">
        <v>0.34706269</v>
      </c>
      <c r="CW413" s="630">
        <v>1.4813068</v>
      </c>
      <c r="CX413" s="630">
        <v>265.30483</v>
      </c>
      <c r="CY413" s="630">
        <v>150.04007</v>
      </c>
      <c r="CZ413" s="630">
        <v>132.93592</v>
      </c>
      <c r="DA413" s="630">
        <v>138.18849</v>
      </c>
      <c r="DB413" s="630">
        <v>4.8867734</v>
      </c>
      <c r="DC413" s="630">
        <v>0.29131717</v>
      </c>
      <c r="DD413" s="630">
        <v>79.556526</v>
      </c>
      <c r="DE413" s="630">
        <v>92.890799</v>
      </c>
      <c r="DF413" s="630">
        <v>61.38922</v>
      </c>
      <c r="DG413" s="630">
        <v>79.556526</v>
      </c>
      <c r="DH413" s="630">
        <v>92.890799</v>
      </c>
      <c r="DI413" s="630">
        <v>107.8203</v>
      </c>
      <c r="DJ413" s="630">
        <v>126.37142</v>
      </c>
      <c r="DK413" s="630">
        <v>126.37142</v>
      </c>
      <c r="DL413" s="630">
        <v>139.70569</v>
      </c>
      <c r="DM413" s="630">
        <v>126.37142</v>
      </c>
      <c r="DN413" s="630">
        <v>139.70569</v>
      </c>
      <c r="DO413" s="630">
        <v>0.29131717</v>
      </c>
      <c r="DP413" s="630">
        <v>45.559234</v>
      </c>
      <c r="DQ413" s="630">
        <v>27.036028</v>
      </c>
      <c r="DR413" s="630">
        <v>10.724582</v>
      </c>
      <c r="DS413" s="630">
        <v>14.613635</v>
      </c>
      <c r="DT413" s="630">
        <v>31.139014</v>
      </c>
      <c r="DU413" s="630">
        <v>21.739345</v>
      </c>
      <c r="DV413" s="630">
        <v>241.40955</v>
      </c>
      <c r="DW413" s="630">
        <v>412.57293</v>
      </c>
      <c r="DX413" s="630">
        <v>609.26576</v>
      </c>
      <c r="DY413" s="630">
        <v>1160.6789</v>
      </c>
      <c r="DZ413" s="630">
        <v>1072.1218</v>
      </c>
      <c r="EA413" s="630">
        <v>0.19210621</v>
      </c>
      <c r="EB413" s="630">
        <v>0.30637082</v>
      </c>
      <c r="EC413" s="630">
        <v>0.27167485</v>
      </c>
      <c r="ED413" s="630">
        <v>217.18179</v>
      </c>
      <c r="EE413" s="630">
        <v>0.29935635</v>
      </c>
      <c r="EF413" s="630">
        <v>0.0</v>
      </c>
      <c r="EG413" s="630">
        <v>0.0</v>
      </c>
      <c r="EH413" s="630">
        <v>0.0</v>
      </c>
      <c r="EI413" s="630">
        <v>0.32588803</v>
      </c>
      <c r="EJ413" s="630">
        <v>0.29882443</v>
      </c>
      <c r="EK413" s="630">
        <v>76.398406</v>
      </c>
      <c r="EL413" s="630">
        <v>0.0</v>
      </c>
      <c r="EM413" s="630">
        <v>0.0</v>
      </c>
      <c r="EN413" s="630">
        <v>0.0</v>
      </c>
      <c r="EO413" s="630">
        <v>0.0</v>
      </c>
      <c r="EP413" s="630">
        <v>778.06105</v>
      </c>
      <c r="EQ413" s="630">
        <v>1535.7507</v>
      </c>
      <c r="ER413" s="630">
        <v>0.0</v>
      </c>
      <c r="ES413" s="630">
        <v>0.0</v>
      </c>
      <c r="ET413" s="630">
        <v>40.884527</v>
      </c>
      <c r="EU413" s="630">
        <v>2.792449</v>
      </c>
      <c r="EV413" s="630">
        <v>2.792449</v>
      </c>
      <c r="EW413" s="630">
        <v>1.6591404</v>
      </c>
      <c r="EX413" s="630">
        <v>13.410167</v>
      </c>
      <c r="EY413" s="630">
        <v>70.532205</v>
      </c>
      <c r="EZ413" s="630">
        <v>61.196884</v>
      </c>
      <c r="FA413" s="630">
        <v>29.482137</v>
      </c>
      <c r="FB413" s="630">
        <v>43.298095</v>
      </c>
      <c r="FC413" s="630">
        <v>13.67064</v>
      </c>
      <c r="FD413" s="630">
        <v>39.62813</v>
      </c>
      <c r="FE413" s="630">
        <v>210.27232</v>
      </c>
      <c r="FF413" s="630">
        <v>2.1597165</v>
      </c>
      <c r="FG413" s="630">
        <v>2.7250572</v>
      </c>
      <c r="FH413" s="630">
        <v>14.302982</v>
      </c>
      <c r="FI413" s="630">
        <v>7.7666299</v>
      </c>
      <c r="FJ413" s="630">
        <v>96.766093</v>
      </c>
      <c r="FK413" s="630">
        <v>41.638115</v>
      </c>
      <c r="FL413" s="630">
        <v>12.49391</v>
      </c>
      <c r="FM413" s="630">
        <v>9.1611235</v>
      </c>
      <c r="FN413" s="630">
        <v>71.513631</v>
      </c>
      <c r="FO413" s="630">
        <v>62.884448</v>
      </c>
      <c r="FP413" s="630">
        <v>3.4279617</v>
      </c>
      <c r="FQ413" s="630">
        <v>50.240195</v>
      </c>
      <c r="FR413" s="630">
        <v>4.4512929</v>
      </c>
      <c r="FS413" s="630">
        <v>54.415155</v>
      </c>
      <c r="FT413" s="630">
        <v>2.6654906</v>
      </c>
      <c r="FU413" s="630">
        <v>22.822438</v>
      </c>
      <c r="FV413" s="630">
        <v>2.7526724</v>
      </c>
      <c r="FW413" s="630">
        <v>0.27167485</v>
      </c>
      <c r="FX413" s="630">
        <v>2.7300039</v>
      </c>
      <c r="FY413" s="630">
        <v>0.27167485</v>
      </c>
      <c r="FZ413" s="630">
        <v>148.36897</v>
      </c>
      <c r="GA413" s="630">
        <v>631.87635</v>
      </c>
      <c r="GB413" s="630">
        <v>45.855152</v>
      </c>
      <c r="GC413" s="630">
        <v>34.618311</v>
      </c>
      <c r="GD413" s="630">
        <v>52.482542</v>
      </c>
      <c r="GE413" s="630">
        <v>24.565612</v>
      </c>
      <c r="GF413" s="630">
        <v>35.354986</v>
      </c>
      <c r="GG413" s="630">
        <v>145.80971</v>
      </c>
      <c r="GH413" s="630">
        <v>2029.8717</v>
      </c>
      <c r="GI413" s="630">
        <v>1055.9434</v>
      </c>
      <c r="GJ413" s="630">
        <v>0.23090373</v>
      </c>
      <c r="GK413" s="630">
        <v>2.8411182</v>
      </c>
      <c r="GL413" s="630">
        <v>2.8031021</v>
      </c>
      <c r="GM413" s="630">
        <v>2.8031021</v>
      </c>
      <c r="GN413" s="630">
        <v>0.27167485</v>
      </c>
      <c r="GO413" s="630">
        <v>0.23402227</v>
      </c>
      <c r="GP413" s="630">
        <v>2.4433867</v>
      </c>
      <c r="GQ413" s="630">
        <v>0.0</v>
      </c>
      <c r="GR413" s="630">
        <v>0.0</v>
      </c>
      <c r="GS413" s="630">
        <v>3.9121179</v>
      </c>
      <c r="GT413" s="630">
        <v>1.7091</v>
      </c>
      <c r="GU413" s="630">
        <v>29.52399</v>
      </c>
      <c r="GV413" s="630">
        <v>63.969385</v>
      </c>
      <c r="GW413" s="630">
        <v>0.29387307</v>
      </c>
      <c r="GX413" s="630">
        <v>0.32594221</v>
      </c>
      <c r="GY413" s="630">
        <v>1.5044675</v>
      </c>
      <c r="GZ413" s="630">
        <v>1.3791067</v>
      </c>
      <c r="HA413" s="630">
        <v>0.0</v>
      </c>
      <c r="HB413" s="630">
        <v>0.0</v>
      </c>
      <c r="HC413" s="630">
        <v>0.0</v>
      </c>
      <c r="HD413" s="630">
        <v>15.409773</v>
      </c>
      <c r="HE413" s="630">
        <v>22.107163</v>
      </c>
      <c r="HF413" s="630">
        <v>1.3791067</v>
      </c>
      <c r="HG413" s="630">
        <v>1.5044675</v>
      </c>
      <c r="HH413" s="630">
        <v>225.41349</v>
      </c>
      <c r="HI413" s="630">
        <v>0.0</v>
      </c>
      <c r="HJ413" s="630">
        <v>2.4433867</v>
      </c>
      <c r="HK413" s="630">
        <v>27.389669</v>
      </c>
      <c r="HL413" s="630">
        <v>4223.787</v>
      </c>
      <c r="HM413" s="630">
        <v>3681.914</v>
      </c>
      <c r="HN413" s="630">
        <v>31497.332</v>
      </c>
      <c r="HO413" s="630">
        <v>31771.249</v>
      </c>
      <c r="HP413" s="630">
        <v>29621.599</v>
      </c>
      <c r="HQ413" s="630">
        <v>211.86875</v>
      </c>
      <c r="HR413" s="630">
        <v>50.073932</v>
      </c>
      <c r="HS413" s="630">
        <v>18.095462</v>
      </c>
      <c r="HT413" s="630">
        <v>51.411084</v>
      </c>
      <c r="HU413" s="630">
        <v>54.77269</v>
      </c>
      <c r="HV413" s="630">
        <v>53.52351</v>
      </c>
      <c r="HW413" s="630">
        <v>3422.8939</v>
      </c>
      <c r="HX413" s="630">
        <v>41.81871</v>
      </c>
      <c r="HY413" s="630">
        <v>31.2306</v>
      </c>
      <c r="HZ413" s="630">
        <v>43.475707</v>
      </c>
      <c r="IA413" s="630">
        <v>30.412511</v>
      </c>
      <c r="IB413" s="630">
        <v>45.387391</v>
      </c>
      <c r="IC413" s="630">
        <v>564.72181</v>
      </c>
      <c r="ID413" s="630">
        <v>345.29965</v>
      </c>
      <c r="IE413" s="630">
        <v>120.99385</v>
      </c>
      <c r="IF413" s="630">
        <v>54.560508</v>
      </c>
      <c r="IG413" s="630">
        <v>457.00064</v>
      </c>
      <c r="IH413" s="630">
        <v>159.14565</v>
      </c>
      <c r="II413" s="630">
        <v>692.59084</v>
      </c>
      <c r="IJ413" s="630">
        <v>791.21935</v>
      </c>
      <c r="IK413" s="630">
        <v>760.88971</v>
      </c>
      <c r="IL413" s="630">
        <v>660.25212</v>
      </c>
      <c r="IM413" s="630">
        <v>133.9085</v>
      </c>
      <c r="IN413" s="630">
        <v>267.48931</v>
      </c>
      <c r="IO413" s="630">
        <v>388.54066</v>
      </c>
      <c r="IP413" s="630">
        <v>107.68762</v>
      </c>
      <c r="IQ413" s="630">
        <v>545.88234</v>
      </c>
      <c r="IR413" s="630">
        <v>469.04338</v>
      </c>
      <c r="IS413" s="630">
        <v>123.02356</v>
      </c>
      <c r="IT413" s="630">
        <v>259.71046</v>
      </c>
      <c r="IU413" s="630">
        <v>517.20967</v>
      </c>
      <c r="IV413" s="630">
        <v>123.58226</v>
      </c>
      <c r="IW413" s="630">
        <v>210.13152</v>
      </c>
      <c r="IX413" s="630">
        <v>27.676859</v>
      </c>
      <c r="IY413" s="630">
        <v>3311.0607</v>
      </c>
      <c r="IZ413" s="630">
        <v>35.845968</v>
      </c>
      <c r="JA413" s="630">
        <v>3.2064464</v>
      </c>
      <c r="JB413" s="630">
        <v>0.0</v>
      </c>
      <c r="JC413" s="630">
        <v>1651.486</v>
      </c>
      <c r="JD413" s="630">
        <v>2581.5921</v>
      </c>
      <c r="JE413" s="630">
        <v>1454.2127</v>
      </c>
      <c r="JF413" s="630">
        <v>1352.0767</v>
      </c>
      <c r="JG413" s="630">
        <v>2282.1429</v>
      </c>
      <c r="JH413" s="630">
        <v>2386.1649</v>
      </c>
      <c r="JI413" s="630">
        <v>3184.7624</v>
      </c>
      <c r="JJ413" s="630">
        <v>3848.5979</v>
      </c>
      <c r="JK413" s="630">
        <v>2584.0243</v>
      </c>
      <c r="JL413" s="630">
        <v>3513.5938</v>
      </c>
      <c r="JM413" s="630">
        <v>3484.4388</v>
      </c>
      <c r="JN413" s="630">
        <v>40.72693</v>
      </c>
      <c r="JO413" s="630">
        <v>39.898014</v>
      </c>
      <c r="JP413" s="630">
        <v>44.989571</v>
      </c>
      <c r="JQ413" s="630">
        <v>44.160655</v>
      </c>
      <c r="JR413" s="630">
        <v>0.58700709</v>
      </c>
      <c r="JS413" s="630">
        <v>0.23287635</v>
      </c>
      <c r="JT413" s="630">
        <v>231.04379</v>
      </c>
      <c r="JU413" s="630">
        <v>94.770151</v>
      </c>
      <c r="JV413" s="630">
        <v>4.2688096</v>
      </c>
      <c r="JW413" s="630">
        <v>66.618171</v>
      </c>
      <c r="JX413" s="630">
        <v>4.3081898</v>
      </c>
      <c r="JY413" s="630">
        <v>6074.792</v>
      </c>
      <c r="JZ413" s="630">
        <v>1465.6376</v>
      </c>
      <c r="KA413" s="630">
        <v>11063.572</v>
      </c>
      <c r="KB413" s="630">
        <v>998.55569</v>
      </c>
      <c r="KC413" s="630">
        <v>108450.88</v>
      </c>
      <c r="KD413" s="630">
        <v>16203.198</v>
      </c>
      <c r="KE413" s="630">
        <v>1596.7235</v>
      </c>
      <c r="KF413" s="630">
        <v>1686.5997</v>
      </c>
      <c r="KG413" s="630">
        <v>1129.4181</v>
      </c>
      <c r="KH413" s="630">
        <v>366362.49</v>
      </c>
      <c r="KI413" s="630">
        <v>86190.251</v>
      </c>
      <c r="KJ413" s="630">
        <v>75818.971</v>
      </c>
      <c r="KK413" s="630">
        <v>74.494837</v>
      </c>
      <c r="KL413" s="630">
        <v>2445.0128</v>
      </c>
      <c r="KM413" s="630">
        <v>2836.9071</v>
      </c>
      <c r="KN413" s="630">
        <v>3.9142157</v>
      </c>
      <c r="KO413" s="630">
        <v>58.051026</v>
      </c>
      <c r="KP413" s="630">
        <v>7.4049528</v>
      </c>
      <c r="KQ413" s="630">
        <v>21.788204</v>
      </c>
      <c r="KR413" s="630">
        <v>16.230624</v>
      </c>
      <c r="KS413" s="630">
        <v>9.9424316</v>
      </c>
      <c r="KT413" s="630">
        <v>71.605338</v>
      </c>
      <c r="KU413" s="630">
        <v>114.51441</v>
      </c>
      <c r="KV413" s="630">
        <v>11.952477</v>
      </c>
      <c r="KW413" s="630">
        <v>12.112569</v>
      </c>
      <c r="KX413" s="630">
        <v>15.358911</v>
      </c>
      <c r="KY413" s="630">
        <v>16.047047</v>
      </c>
      <c r="KZ413" s="630">
        <v>15.551726</v>
      </c>
      <c r="LA413" s="630">
        <v>18.162122</v>
      </c>
      <c r="LB413" s="630">
        <v>29.385043</v>
      </c>
      <c r="LC413" s="630">
        <v>18.360255</v>
      </c>
      <c r="LD413" s="630">
        <v>56.025477</v>
      </c>
      <c r="LE413" s="630">
        <v>39.784287</v>
      </c>
      <c r="LF413" s="630">
        <v>145.74306</v>
      </c>
      <c r="LG413" s="630">
        <v>105.46004</v>
      </c>
      <c r="LH413" s="630">
        <v>134.3731</v>
      </c>
      <c r="LI413" s="630">
        <v>212.3584</v>
      </c>
      <c r="LJ413" s="630">
        <v>22.796984</v>
      </c>
      <c r="LK413" s="630">
        <v>6.3730327</v>
      </c>
      <c r="LL413" s="630">
        <v>22.63278</v>
      </c>
      <c r="LM413" s="630">
        <v>31.803224</v>
      </c>
      <c r="LN413" s="630">
        <v>70.310345</v>
      </c>
      <c r="LO413" s="630">
        <v>7.1494271</v>
      </c>
      <c r="LP413" s="630">
        <v>105.85806</v>
      </c>
      <c r="LQ413" s="630">
        <v>93.56939</v>
      </c>
      <c r="LR413" s="630">
        <v>99.325553</v>
      </c>
      <c r="LS413" s="630">
        <v>104.76359</v>
      </c>
      <c r="LT413" s="630">
        <v>147.04009</v>
      </c>
      <c r="LU413" s="630">
        <v>219407.69</v>
      </c>
      <c r="LV413" s="630">
        <v>69498.481</v>
      </c>
      <c r="LW413" s="630">
        <v>3923.2789</v>
      </c>
      <c r="LX413" s="630">
        <v>5067.1201</v>
      </c>
      <c r="LY413" s="630">
        <v>8.0167603</v>
      </c>
      <c r="LZ413" s="630">
        <v>684.50918</v>
      </c>
      <c r="MA413" s="630">
        <v>1204.969</v>
      </c>
      <c r="MB413" s="630">
        <v>1404.1053</v>
      </c>
      <c r="MC413" s="630">
        <v>51.994827</v>
      </c>
      <c r="MD413" s="630">
        <v>49.576385</v>
      </c>
      <c r="ME413" s="630">
        <v>65.346093</v>
      </c>
      <c r="MF413" s="630">
        <v>30275.38</v>
      </c>
      <c r="MG413" s="630">
        <v>3.7492643</v>
      </c>
      <c r="MH413" s="630">
        <v>4.7033011</v>
      </c>
      <c r="MI413" s="630">
        <v>0.23287635</v>
      </c>
      <c r="MJ413" s="630">
        <v>66.282878</v>
      </c>
      <c r="MK413" s="630">
        <v>9.8943962</v>
      </c>
      <c r="ML413" s="630">
        <v>12.102769</v>
      </c>
      <c r="MM413" s="630">
        <v>11.159462</v>
      </c>
      <c r="MN413" s="630">
        <v>8.9866319</v>
      </c>
      <c r="MO413" s="630">
        <v>6.4219741</v>
      </c>
      <c r="MP413" s="630">
        <v>5.5526789</v>
      </c>
      <c r="MQ413" s="630">
        <v>13.239253</v>
      </c>
      <c r="MR413" s="630">
        <v>12.673086</v>
      </c>
      <c r="MS413" s="630">
        <v>4.7971561</v>
      </c>
      <c r="MT413" s="630">
        <v>9.5010666</v>
      </c>
      <c r="MU413" s="630">
        <v>8.9644513</v>
      </c>
      <c r="MV413" s="630">
        <v>4.2985292</v>
      </c>
      <c r="MW413" s="630">
        <v>63.473149</v>
      </c>
      <c r="MX413" s="630">
        <v>14934.219</v>
      </c>
      <c r="MY413" s="630">
        <v>11019.125</v>
      </c>
      <c r="MZ413" s="630">
        <v>6077.8537</v>
      </c>
      <c r="NA413" s="630">
        <v>88.038929</v>
      </c>
      <c r="NB413" s="630">
        <v>81.949687</v>
      </c>
      <c r="NC413" s="630">
        <v>110.04929</v>
      </c>
      <c r="ND413" s="630">
        <v>11586.846</v>
      </c>
      <c r="NE413" s="630">
        <v>450.45316</v>
      </c>
      <c r="NF413" s="630">
        <v>3454.2572</v>
      </c>
      <c r="NG413" s="630">
        <v>18920.249</v>
      </c>
      <c r="NH413" s="630">
        <v>366.3726</v>
      </c>
      <c r="NI413" s="630">
        <v>4920.9114</v>
      </c>
      <c r="NJ413" s="630">
        <v>259.86558</v>
      </c>
      <c r="NK413" s="630">
        <v>426.65977</v>
      </c>
      <c r="NL413" s="630">
        <v>18.288119</v>
      </c>
      <c r="NM413" s="630">
        <v>41.011817</v>
      </c>
      <c r="NN413" s="630">
        <v>23337.62</v>
      </c>
      <c r="NO413" s="630">
        <v>306.48793</v>
      </c>
      <c r="NP413" s="630">
        <v>11.595119</v>
      </c>
      <c r="NQ413" s="630">
        <v>20918.122</v>
      </c>
      <c r="NR413" s="630">
        <v>19765.714</v>
      </c>
      <c r="NS413" s="630">
        <v>48454.811</v>
      </c>
      <c r="NT413" s="630">
        <v>28420.239</v>
      </c>
      <c r="NU413" s="630">
        <v>23473.851</v>
      </c>
      <c r="NV413" s="630">
        <v>14.480677</v>
      </c>
      <c r="NW413" s="630">
        <v>20433.256</v>
      </c>
      <c r="NY413" s="630">
        <v>0.0</v>
      </c>
      <c r="NZ413" s="630"/>
      <c r="OA413" s="630">
        <v>2.34</v>
      </c>
      <c r="OB413" s="631">
        <v>62.7</v>
      </c>
      <c r="OC413" s="631"/>
      <c r="OD413" s="626"/>
      <c r="OE413" s="631">
        <f t="shared" si="3"/>
        <v>4370.986538</v>
      </c>
      <c r="OF413" s="631">
        <v>3367.872327976209</v>
      </c>
      <c r="OG413" s="630">
        <v>4531.484811119218</v>
      </c>
      <c r="OI413" s="626"/>
      <c r="OJ413" s="626"/>
      <c r="OK413" s="626"/>
      <c r="OL413" s="626"/>
      <c r="OM413" s="626"/>
      <c r="ON413" s="626"/>
    </row>
    <row r="414" ht="12.75" customHeight="1">
      <c r="A414" s="55" t="s">
        <v>4990</v>
      </c>
      <c r="B414" s="55" t="s">
        <v>4978</v>
      </c>
      <c r="C414" s="630">
        <v>88.891711</v>
      </c>
      <c r="D414" s="630">
        <v>76.164063</v>
      </c>
      <c r="E414" s="630">
        <v>111.84347</v>
      </c>
      <c r="F414" s="630">
        <v>252.008</v>
      </c>
      <c r="G414" s="630">
        <v>12.041901</v>
      </c>
      <c r="H414" s="630">
        <v>12.499643</v>
      </c>
      <c r="I414" s="630">
        <v>66.250622</v>
      </c>
      <c r="J414" s="630">
        <v>993.06437</v>
      </c>
      <c r="K414" s="630">
        <v>880.44122</v>
      </c>
      <c r="L414" s="630">
        <v>2342.5856</v>
      </c>
      <c r="M414" s="630">
        <v>1454.8914</v>
      </c>
      <c r="N414" s="630">
        <v>300.22259</v>
      </c>
      <c r="O414" s="630">
        <v>163.54203</v>
      </c>
      <c r="P414" s="630">
        <v>314.04955</v>
      </c>
      <c r="Q414" s="630">
        <v>3.9979146</v>
      </c>
      <c r="R414" s="630">
        <v>5.657046</v>
      </c>
      <c r="S414" s="630">
        <v>3.90155</v>
      </c>
      <c r="T414" s="630">
        <v>0.043555389</v>
      </c>
      <c r="U414" s="630">
        <v>0.86365928</v>
      </c>
      <c r="V414" s="630">
        <v>0.0</v>
      </c>
      <c r="W414" s="630">
        <v>508.80215</v>
      </c>
      <c r="X414" s="630">
        <v>481.93722</v>
      </c>
      <c r="Y414" s="630">
        <v>475.40839</v>
      </c>
      <c r="Z414" s="630">
        <v>502.00732</v>
      </c>
      <c r="AA414" s="630">
        <v>52.930555</v>
      </c>
      <c r="AB414" s="630">
        <v>50.894764</v>
      </c>
      <c r="AC414" s="630">
        <v>1.3786897</v>
      </c>
      <c r="AD414" s="630">
        <v>198.24871</v>
      </c>
      <c r="AE414" s="630">
        <v>7654.2345</v>
      </c>
      <c r="AF414" s="630">
        <v>10426.319</v>
      </c>
      <c r="AG414" s="630">
        <v>7580.3896</v>
      </c>
      <c r="AH414" s="630">
        <v>136.33344</v>
      </c>
      <c r="AI414" s="630">
        <v>334.87673</v>
      </c>
      <c r="AJ414" s="630">
        <v>251.46298</v>
      </c>
      <c r="AK414" s="630">
        <v>186.89956</v>
      </c>
      <c r="AL414" s="630">
        <v>96.276588</v>
      </c>
      <c r="AM414" s="630">
        <v>200.33568</v>
      </c>
      <c r="AN414" s="630">
        <v>103.26074</v>
      </c>
      <c r="AO414" s="630">
        <v>191.50964</v>
      </c>
      <c r="AP414" s="630">
        <v>98.749245</v>
      </c>
      <c r="AQ414" s="630">
        <v>193.6922</v>
      </c>
      <c r="AR414" s="630">
        <v>99.642916</v>
      </c>
      <c r="AS414" s="630">
        <v>225.55029</v>
      </c>
      <c r="AT414" s="630">
        <v>150.20615</v>
      </c>
      <c r="AU414" s="630">
        <v>201.1645</v>
      </c>
      <c r="AV414" s="630">
        <v>13258.552</v>
      </c>
      <c r="AW414" s="630">
        <v>22978.557</v>
      </c>
      <c r="AX414" s="630">
        <v>25218.517</v>
      </c>
      <c r="AY414" s="630">
        <v>161.10882</v>
      </c>
      <c r="AZ414" s="630">
        <v>4.9473937</v>
      </c>
      <c r="BA414" s="630">
        <v>21.239392</v>
      </c>
      <c r="BB414" s="630">
        <v>4.9632324</v>
      </c>
      <c r="BC414" s="630">
        <v>7.0532639</v>
      </c>
      <c r="BD414" s="630">
        <v>6.5656635</v>
      </c>
      <c r="BE414" s="630">
        <v>10.272944</v>
      </c>
      <c r="BF414" s="630">
        <v>1.9212704</v>
      </c>
      <c r="BG414" s="630">
        <v>8.0753746</v>
      </c>
      <c r="BH414" s="630">
        <v>6.9163376</v>
      </c>
      <c r="BI414" s="630">
        <v>11.204401</v>
      </c>
      <c r="BJ414" s="630">
        <v>76.604855</v>
      </c>
      <c r="BK414" s="630">
        <v>159.97727</v>
      </c>
      <c r="BL414" s="630">
        <v>54.61121</v>
      </c>
      <c r="BM414" s="630">
        <v>137.98363</v>
      </c>
      <c r="BN414" s="630">
        <v>5191.459</v>
      </c>
      <c r="BO414" s="630">
        <v>1.2343211</v>
      </c>
      <c r="BP414" s="630">
        <v>1.7952102</v>
      </c>
      <c r="BQ414" s="630">
        <v>2099.2493</v>
      </c>
      <c r="BR414" s="630">
        <v>2343.7824</v>
      </c>
      <c r="BS414" s="630">
        <v>2405.0004</v>
      </c>
      <c r="BT414" s="630">
        <v>6529.9535</v>
      </c>
      <c r="BU414" s="630">
        <v>4046.907</v>
      </c>
      <c r="BV414" s="630">
        <v>4818.3142</v>
      </c>
      <c r="BW414" s="630">
        <v>3.3843906</v>
      </c>
      <c r="BX414" s="630">
        <v>4830.6795</v>
      </c>
      <c r="BY414" s="630">
        <v>177.96218</v>
      </c>
      <c r="BZ414" s="630">
        <v>36.741702</v>
      </c>
      <c r="CA414" s="630">
        <v>0.099277036</v>
      </c>
      <c r="CB414" s="630">
        <v>0.064063609</v>
      </c>
      <c r="CC414" s="630">
        <v>0.074650463</v>
      </c>
      <c r="CD414" s="630">
        <v>0.086507984</v>
      </c>
      <c r="CE414" s="630">
        <v>11973.847</v>
      </c>
      <c r="CF414" s="630">
        <v>18703.332</v>
      </c>
      <c r="CG414" s="630">
        <v>2886.7604</v>
      </c>
      <c r="CH414" s="630">
        <v>3158.8995</v>
      </c>
      <c r="CI414" s="630">
        <v>2.3760172</v>
      </c>
      <c r="CJ414" s="630">
        <v>5.3313169</v>
      </c>
      <c r="CK414" s="630">
        <v>23.449016</v>
      </c>
      <c r="CL414" s="630">
        <v>1.0956742</v>
      </c>
      <c r="CM414" s="630">
        <v>1.6517463</v>
      </c>
      <c r="CN414" s="630">
        <v>677.7911</v>
      </c>
      <c r="CO414" s="630">
        <v>1004.3354</v>
      </c>
      <c r="CP414" s="630">
        <v>586.85271</v>
      </c>
      <c r="CQ414" s="630">
        <v>2841.4297</v>
      </c>
      <c r="CR414" s="630">
        <v>4302.0401</v>
      </c>
      <c r="CS414" s="630">
        <v>4302.0401</v>
      </c>
      <c r="CT414" s="630">
        <v>0.7991468</v>
      </c>
      <c r="CU414" s="630">
        <v>7.1544783</v>
      </c>
      <c r="CV414" s="630">
        <v>1.393123</v>
      </c>
      <c r="CW414" s="630">
        <v>2.3327962</v>
      </c>
      <c r="CX414" s="630">
        <v>391.2635</v>
      </c>
      <c r="CY414" s="630">
        <v>146.42555</v>
      </c>
      <c r="CZ414" s="630">
        <v>208.30492</v>
      </c>
      <c r="DA414" s="630">
        <v>182.74181</v>
      </c>
      <c r="DB414" s="630">
        <v>4.8626204</v>
      </c>
      <c r="DC414" s="630">
        <v>1.0781547</v>
      </c>
      <c r="DD414" s="630">
        <v>27.730383</v>
      </c>
      <c r="DE414" s="630">
        <v>44.735763</v>
      </c>
      <c r="DF414" s="630">
        <v>25.463003</v>
      </c>
      <c r="DG414" s="630">
        <v>27.730383</v>
      </c>
      <c r="DH414" s="630">
        <v>44.735763</v>
      </c>
      <c r="DI414" s="630">
        <v>40.158503</v>
      </c>
      <c r="DJ414" s="630">
        <v>42.473786</v>
      </c>
      <c r="DK414" s="630">
        <v>42.473786</v>
      </c>
      <c r="DL414" s="630">
        <v>59.479165</v>
      </c>
      <c r="DM414" s="630">
        <v>42.473785</v>
      </c>
      <c r="DN414" s="630">
        <v>59.479165</v>
      </c>
      <c r="DO414" s="630">
        <v>1.0781547</v>
      </c>
      <c r="DP414" s="630">
        <v>5.8186519</v>
      </c>
      <c r="DQ414" s="630">
        <v>7.200407</v>
      </c>
      <c r="DR414" s="630">
        <v>7.5492155</v>
      </c>
      <c r="DS414" s="630">
        <v>8.0193074</v>
      </c>
      <c r="DT414" s="630">
        <v>17.839752</v>
      </c>
      <c r="DU414" s="630">
        <v>16.040994</v>
      </c>
      <c r="DV414" s="630">
        <v>64.068929</v>
      </c>
      <c r="DW414" s="630">
        <v>116.92252</v>
      </c>
      <c r="DX414" s="630">
        <v>451.91377</v>
      </c>
      <c r="DY414" s="630">
        <v>325.43566</v>
      </c>
      <c r="DZ414" s="630">
        <v>343.41408</v>
      </c>
      <c r="EA414" s="630">
        <v>0.86365928</v>
      </c>
      <c r="EB414" s="630">
        <v>0.85374323</v>
      </c>
      <c r="EC414" s="630">
        <v>1.0160448</v>
      </c>
      <c r="ED414" s="630">
        <v>70.815897</v>
      </c>
      <c r="EE414" s="630">
        <v>0.75205303</v>
      </c>
      <c r="EF414" s="630">
        <v>0.0</v>
      </c>
      <c r="EG414" s="630">
        <v>0.0</v>
      </c>
      <c r="EH414" s="630">
        <v>0.0</v>
      </c>
      <c r="EI414" s="630">
        <v>0.90261424</v>
      </c>
      <c r="EJ414" s="630">
        <v>0.74979487</v>
      </c>
      <c r="EK414" s="630">
        <v>55.337133</v>
      </c>
      <c r="EL414" s="630">
        <v>0.0</v>
      </c>
      <c r="EM414" s="630">
        <v>0.0</v>
      </c>
      <c r="EN414" s="630">
        <v>0.0</v>
      </c>
      <c r="EO414" s="630">
        <v>0.0</v>
      </c>
      <c r="EP414" s="630">
        <v>2165.2899</v>
      </c>
      <c r="EQ414" s="630">
        <v>4263.868</v>
      </c>
      <c r="ER414" s="630">
        <v>0.0</v>
      </c>
      <c r="ES414" s="630">
        <v>0.0</v>
      </c>
      <c r="ET414" s="630">
        <v>7.041868</v>
      </c>
      <c r="EU414" s="630">
        <v>2.7786472</v>
      </c>
      <c r="EV414" s="630">
        <v>2.7786472</v>
      </c>
      <c r="EW414" s="630">
        <v>2.2482147</v>
      </c>
      <c r="EX414" s="630">
        <v>14.57364</v>
      </c>
      <c r="EY414" s="630">
        <v>41.86365</v>
      </c>
      <c r="EZ414" s="630">
        <v>38.187052</v>
      </c>
      <c r="FA414" s="630">
        <v>13.751562</v>
      </c>
      <c r="FB414" s="630">
        <v>37.741292</v>
      </c>
      <c r="FC414" s="630">
        <v>10.722385</v>
      </c>
      <c r="FD414" s="630">
        <v>16.287246</v>
      </c>
      <c r="FE414" s="630">
        <v>60.417361</v>
      </c>
      <c r="FF414" s="630">
        <v>8.7883379</v>
      </c>
      <c r="FG414" s="630">
        <v>11.088828</v>
      </c>
      <c r="FH414" s="630">
        <v>19.485021</v>
      </c>
      <c r="FI414" s="630">
        <v>10.580517</v>
      </c>
      <c r="FJ414" s="630">
        <v>21.694062</v>
      </c>
      <c r="FK414" s="630">
        <v>11.050554</v>
      </c>
      <c r="FL414" s="630">
        <v>17.020513</v>
      </c>
      <c r="FM414" s="630">
        <v>12.480242</v>
      </c>
      <c r="FN414" s="630">
        <v>24.884422</v>
      </c>
      <c r="FO414" s="630">
        <v>40.736084</v>
      </c>
      <c r="FP414" s="630">
        <v>13.949093</v>
      </c>
      <c r="FQ414" s="630">
        <v>14.180211</v>
      </c>
      <c r="FR414" s="630">
        <v>20.011849</v>
      </c>
      <c r="FS414" s="630">
        <v>15.79254</v>
      </c>
      <c r="FT414" s="630">
        <v>2.6523163</v>
      </c>
      <c r="FU414" s="630">
        <v>85.35112</v>
      </c>
      <c r="FV414" s="630">
        <v>10.321953</v>
      </c>
      <c r="FW414" s="630">
        <v>1.0160449</v>
      </c>
      <c r="FX414" s="630">
        <v>10.220041</v>
      </c>
      <c r="FY414" s="630">
        <v>1.0160449</v>
      </c>
      <c r="FZ414" s="630">
        <v>74.415603</v>
      </c>
      <c r="GA414" s="630">
        <v>872.92543</v>
      </c>
      <c r="GB414" s="630">
        <v>56.626927</v>
      </c>
      <c r="GC414" s="630">
        <v>34.447209</v>
      </c>
      <c r="GD414" s="630">
        <v>36.728761</v>
      </c>
      <c r="GE414" s="630">
        <v>65.929612</v>
      </c>
      <c r="GF414" s="630">
        <v>48.842256</v>
      </c>
      <c r="GG414" s="630">
        <v>121.26919</v>
      </c>
      <c r="GH414" s="630">
        <v>1659.2435</v>
      </c>
      <c r="GI414" s="630">
        <v>1018.125</v>
      </c>
      <c r="GJ414" s="630">
        <v>0.36736448</v>
      </c>
      <c r="GK414" s="630">
        <v>4.4946294</v>
      </c>
      <c r="GL414" s="630">
        <v>2.7892477</v>
      </c>
      <c r="GM414" s="630">
        <v>2.7892477</v>
      </c>
      <c r="GN414" s="630">
        <v>1.0160448</v>
      </c>
      <c r="GO414" s="630">
        <v>0.38060353</v>
      </c>
      <c r="GP414" s="630">
        <v>2.4313102</v>
      </c>
      <c r="GQ414" s="630">
        <v>0.0</v>
      </c>
      <c r="GR414" s="630">
        <v>0.0</v>
      </c>
      <c r="GS414" s="630">
        <v>14.631046</v>
      </c>
      <c r="GT414" s="630">
        <v>6.39143</v>
      </c>
      <c r="GU414" s="630">
        <v>3.7465374</v>
      </c>
      <c r="GV414" s="630">
        <v>7.9837343</v>
      </c>
      <c r="GW414" s="630">
        <v>0.75225394</v>
      </c>
      <c r="GX414" s="630">
        <v>1.0673878</v>
      </c>
      <c r="GY414" s="630">
        <v>2.0783939</v>
      </c>
      <c r="GZ414" s="630">
        <v>1.9052103</v>
      </c>
      <c r="HA414" s="630">
        <v>0.0</v>
      </c>
      <c r="HB414" s="630">
        <v>0.0</v>
      </c>
      <c r="HC414" s="630">
        <v>0.0</v>
      </c>
      <c r="HD414" s="630">
        <v>11.433921</v>
      </c>
      <c r="HE414" s="630">
        <v>26.912335</v>
      </c>
      <c r="HF414" s="630">
        <v>1.9052103</v>
      </c>
      <c r="HG414" s="630">
        <v>2.0783939</v>
      </c>
      <c r="HH414" s="630">
        <v>624.32925</v>
      </c>
      <c r="HI414" s="630">
        <v>0.0</v>
      </c>
      <c r="HJ414" s="630">
        <v>2.4313102</v>
      </c>
      <c r="HK414" s="630">
        <v>19.238288</v>
      </c>
      <c r="HL414" s="630">
        <v>2769.4643</v>
      </c>
      <c r="HM414" s="630">
        <v>2379.9992</v>
      </c>
      <c r="HN414" s="630">
        <v>2412.6906</v>
      </c>
      <c r="HO414" s="630">
        <v>2975.6525</v>
      </c>
      <c r="HP414" s="630">
        <v>2739.8125</v>
      </c>
      <c r="HQ414" s="630">
        <v>269.47149</v>
      </c>
      <c r="HR414" s="630">
        <v>67.682516</v>
      </c>
      <c r="HS414" s="630">
        <v>36.309382</v>
      </c>
      <c r="HT414" s="630">
        <v>15.274212</v>
      </c>
      <c r="HU414" s="630">
        <v>26.049241</v>
      </c>
      <c r="HV414" s="630">
        <v>16.546297</v>
      </c>
      <c r="HW414" s="630">
        <v>2997.5613</v>
      </c>
      <c r="HX414" s="630">
        <v>37.795439</v>
      </c>
      <c r="HY414" s="630">
        <v>25.343808</v>
      </c>
      <c r="HZ414" s="630">
        <v>12.805739</v>
      </c>
      <c r="IA414" s="630">
        <v>32.944945</v>
      </c>
      <c r="IB414" s="630">
        <v>35.174857</v>
      </c>
      <c r="IC414" s="630">
        <v>4501.0951</v>
      </c>
      <c r="ID414" s="630">
        <v>3747.5583</v>
      </c>
      <c r="IE414" s="630">
        <v>3254.335</v>
      </c>
      <c r="IF414" s="630">
        <v>158.8079</v>
      </c>
      <c r="IG414" s="630">
        <v>346.8898</v>
      </c>
      <c r="IH414" s="630">
        <v>143.42754</v>
      </c>
      <c r="II414" s="630">
        <v>929.18275</v>
      </c>
      <c r="IJ414" s="630">
        <v>531.05654</v>
      </c>
      <c r="IK414" s="630">
        <v>521.044</v>
      </c>
      <c r="IL414" s="630">
        <v>342.53761</v>
      </c>
      <c r="IM414" s="630">
        <v>2243.8798</v>
      </c>
      <c r="IN414" s="630">
        <v>204.70187</v>
      </c>
      <c r="IO414" s="630">
        <v>565.09768</v>
      </c>
      <c r="IP414" s="630">
        <v>152.85936</v>
      </c>
      <c r="IQ414" s="630">
        <v>477.21905</v>
      </c>
      <c r="IR414" s="630">
        <v>324.31213</v>
      </c>
      <c r="IS414" s="630">
        <v>150.69172</v>
      </c>
      <c r="IT414" s="630">
        <v>181.76417</v>
      </c>
      <c r="IU414" s="630">
        <v>384.2678</v>
      </c>
      <c r="IV414" s="630">
        <v>282.91273</v>
      </c>
      <c r="IW414" s="630">
        <v>161.28086</v>
      </c>
      <c r="IX414" s="630">
        <v>21.268747</v>
      </c>
      <c r="IY414" s="630">
        <v>989.27124</v>
      </c>
      <c r="IZ414" s="630">
        <v>447.54402</v>
      </c>
      <c r="JA414" s="630">
        <v>3.1202047</v>
      </c>
      <c r="JB414" s="630">
        <v>0.0</v>
      </c>
      <c r="JC414" s="630">
        <v>1692.839</v>
      </c>
      <c r="JD414" s="630">
        <v>2926.7797</v>
      </c>
      <c r="JE414" s="630">
        <v>1427.3688</v>
      </c>
      <c r="JF414" s="630">
        <v>1411.3952</v>
      </c>
      <c r="JG414" s="630">
        <v>2645.8991</v>
      </c>
      <c r="JH414" s="630">
        <v>2105.1618</v>
      </c>
      <c r="JI414" s="630">
        <v>2667.9556</v>
      </c>
      <c r="JJ414" s="630">
        <v>3695.0048</v>
      </c>
      <c r="JK414" s="630">
        <v>2104.7405</v>
      </c>
      <c r="JL414" s="630">
        <v>3339.5198</v>
      </c>
      <c r="JM414" s="630">
        <v>2949.323</v>
      </c>
      <c r="JN414" s="630">
        <v>19.443122</v>
      </c>
      <c r="JO414" s="630">
        <v>18.732552</v>
      </c>
      <c r="JP414" s="630">
        <v>21.14544</v>
      </c>
      <c r="JQ414" s="630">
        <v>20.434871</v>
      </c>
      <c r="JR414" s="630">
        <v>0.25579382</v>
      </c>
      <c r="JS414" s="630">
        <v>0.20424943</v>
      </c>
      <c r="JT414" s="630">
        <v>317.03402</v>
      </c>
      <c r="JU414" s="630">
        <v>115.68493</v>
      </c>
      <c r="JV414" s="630">
        <v>4.1529096</v>
      </c>
      <c r="JW414" s="630">
        <v>134.8547</v>
      </c>
      <c r="JX414" s="630">
        <v>4.0647898</v>
      </c>
      <c r="JY414" s="630">
        <v>3567.4199</v>
      </c>
      <c r="JZ414" s="630">
        <v>4157.713</v>
      </c>
      <c r="KA414" s="630">
        <v>3213.9651</v>
      </c>
      <c r="KB414" s="630">
        <v>4293.6968</v>
      </c>
      <c r="KC414" s="630">
        <v>9103.4947</v>
      </c>
      <c r="KD414" s="630">
        <v>1512.71</v>
      </c>
      <c r="KE414" s="630">
        <v>840.62276</v>
      </c>
      <c r="KF414" s="630">
        <v>2242.1602</v>
      </c>
      <c r="KG414" s="630">
        <v>877.70768</v>
      </c>
      <c r="KH414" s="630">
        <v>49377.126</v>
      </c>
      <c r="KI414" s="630">
        <v>21815.218</v>
      </c>
      <c r="KJ414" s="630">
        <v>20706.126</v>
      </c>
      <c r="KK414" s="630">
        <v>309.11275</v>
      </c>
      <c r="KL414" s="630">
        <v>33.027803</v>
      </c>
      <c r="KM414" s="630">
        <v>1306.7306</v>
      </c>
      <c r="KN414" s="630">
        <v>51.280057</v>
      </c>
      <c r="KO414" s="630">
        <v>29.428871</v>
      </c>
      <c r="KP414" s="630">
        <v>3.6587353</v>
      </c>
      <c r="KQ414" s="630">
        <v>11.712614</v>
      </c>
      <c r="KR414" s="630">
        <v>14.27076</v>
      </c>
      <c r="KS414" s="630">
        <v>29.047105</v>
      </c>
      <c r="KT414" s="630">
        <v>28.575001</v>
      </c>
      <c r="KU414" s="630">
        <v>263.85566</v>
      </c>
      <c r="KV414" s="630">
        <v>23.450322</v>
      </c>
      <c r="KW414" s="630">
        <v>19.030431</v>
      </c>
      <c r="KX414" s="630">
        <v>28.05363</v>
      </c>
      <c r="KY414" s="630">
        <v>31.433454</v>
      </c>
      <c r="KZ414" s="630">
        <v>26.478314</v>
      </c>
      <c r="LA414" s="630">
        <v>31.649302</v>
      </c>
      <c r="LB414" s="630">
        <v>18.059845</v>
      </c>
      <c r="LC414" s="630">
        <v>11.930783</v>
      </c>
      <c r="LD414" s="630">
        <v>27.807152</v>
      </c>
      <c r="LE414" s="630">
        <v>19.735389</v>
      </c>
      <c r="LF414" s="630">
        <v>318.63274</v>
      </c>
      <c r="LG414" s="630">
        <v>45.594425</v>
      </c>
      <c r="LH414" s="630">
        <v>56.915753</v>
      </c>
      <c r="LI414" s="630">
        <v>110.79187</v>
      </c>
      <c r="LJ414" s="630">
        <v>11.998867</v>
      </c>
      <c r="LK414" s="630">
        <v>311.07438</v>
      </c>
      <c r="LL414" s="630">
        <v>51.361673</v>
      </c>
      <c r="LM414" s="630">
        <v>99.821704</v>
      </c>
      <c r="LN414" s="630">
        <v>94.238145</v>
      </c>
      <c r="LO414" s="630">
        <v>6.1054043</v>
      </c>
      <c r="LP414" s="630">
        <v>169.64688</v>
      </c>
      <c r="LQ414" s="630">
        <v>304.58582</v>
      </c>
      <c r="LR414" s="630">
        <v>36.362877</v>
      </c>
      <c r="LS414" s="630">
        <v>66.843594</v>
      </c>
      <c r="LT414" s="630">
        <v>79.579762</v>
      </c>
      <c r="LU414" s="630">
        <v>11822.928</v>
      </c>
      <c r="LV414" s="630">
        <v>7592.5957</v>
      </c>
      <c r="LW414" s="630">
        <v>531.35543</v>
      </c>
      <c r="LX414" s="630">
        <v>1350.5582</v>
      </c>
      <c r="LY414" s="630">
        <v>3.0214578</v>
      </c>
      <c r="LZ414" s="630">
        <v>17.217925</v>
      </c>
      <c r="MA414" s="630">
        <v>207.00394</v>
      </c>
      <c r="MB414" s="630">
        <v>396.70948</v>
      </c>
      <c r="MC414" s="630">
        <v>19.809512</v>
      </c>
      <c r="MD414" s="630">
        <v>15.660272</v>
      </c>
      <c r="ME414" s="630">
        <v>41.153373</v>
      </c>
      <c r="MF414" s="630">
        <v>3171.7013</v>
      </c>
      <c r="MG414" s="630">
        <v>6.32254</v>
      </c>
      <c r="MH414" s="630">
        <v>3.9432215</v>
      </c>
      <c r="MI414" s="630">
        <v>0.20424943</v>
      </c>
      <c r="MJ414" s="630">
        <v>21.382882</v>
      </c>
      <c r="MK414" s="630">
        <v>7.4982219</v>
      </c>
      <c r="ML414" s="630">
        <v>8.1428812</v>
      </c>
      <c r="MM414" s="630">
        <v>6.5227131</v>
      </c>
      <c r="MN414" s="630">
        <v>5.9145442</v>
      </c>
      <c r="MO414" s="630">
        <v>6.7702766</v>
      </c>
      <c r="MP414" s="630">
        <v>5.2202395</v>
      </c>
      <c r="MQ414" s="630">
        <v>11.025519</v>
      </c>
      <c r="MR414" s="630">
        <v>10.589505</v>
      </c>
      <c r="MS414" s="630">
        <v>8.9490595</v>
      </c>
      <c r="MT414" s="630">
        <v>9.9824026</v>
      </c>
      <c r="MU414" s="630">
        <v>9.5270944</v>
      </c>
      <c r="MV414" s="630">
        <v>8.5083957</v>
      </c>
      <c r="MW414" s="630">
        <v>13.374806</v>
      </c>
      <c r="MX414" s="630">
        <v>10955.374</v>
      </c>
      <c r="MY414" s="630">
        <v>10940.443</v>
      </c>
      <c r="MZ414" s="630">
        <v>6251.3623</v>
      </c>
      <c r="NA414" s="630">
        <v>76.072042</v>
      </c>
      <c r="NB414" s="630">
        <v>81.763338</v>
      </c>
      <c r="NC414" s="630">
        <v>100.46998</v>
      </c>
      <c r="ND414" s="630">
        <v>1603.803</v>
      </c>
      <c r="NE414" s="630">
        <v>1810.5357</v>
      </c>
      <c r="NF414" s="630">
        <v>3043.5064</v>
      </c>
      <c r="NG414" s="630">
        <v>2725.1551</v>
      </c>
      <c r="NH414" s="630">
        <v>26.777184</v>
      </c>
      <c r="NI414" s="630">
        <v>69.835616</v>
      </c>
      <c r="NJ414" s="630">
        <v>531.52134</v>
      </c>
      <c r="NK414" s="630">
        <v>111.1541</v>
      </c>
      <c r="NL414" s="630">
        <v>12.453243</v>
      </c>
      <c r="NM414" s="630">
        <v>29.284351</v>
      </c>
      <c r="NN414" s="630">
        <v>106.98317</v>
      </c>
      <c r="NO414" s="630">
        <v>1062.1161</v>
      </c>
      <c r="NP414" s="630">
        <v>12.796769</v>
      </c>
      <c r="NQ414" s="630">
        <v>8022.9902</v>
      </c>
      <c r="NR414" s="630">
        <v>15951.214</v>
      </c>
      <c r="NS414" s="630">
        <v>5060.4365</v>
      </c>
      <c r="NT414" s="630">
        <v>10326.949</v>
      </c>
      <c r="NU414" s="630">
        <v>6883.5642</v>
      </c>
      <c r="NV414" s="630">
        <v>11.198418</v>
      </c>
      <c r="NW414" s="630">
        <v>231.46656</v>
      </c>
      <c r="NY414" s="630">
        <v>0.0</v>
      </c>
      <c r="NZ414" s="630"/>
      <c r="OA414" s="630">
        <v>1.2</v>
      </c>
      <c r="OB414" s="631">
        <v>88.2</v>
      </c>
      <c r="OC414" s="631"/>
      <c r="OD414" s="626"/>
      <c r="OE414" s="631">
        <f t="shared" si="3"/>
        <v>2564.173651</v>
      </c>
      <c r="OF414" s="631">
        <v>1783.7662426463417</v>
      </c>
      <c r="OG414" s="630">
        <v>2689.0388365323643</v>
      </c>
      <c r="OI414" s="626"/>
      <c r="OJ414" s="626"/>
      <c r="OK414" s="626"/>
      <c r="OL414" s="626"/>
      <c r="OM414" s="626"/>
      <c r="ON414" s="626"/>
    </row>
    <row r="415" ht="12.75" customHeight="1">
      <c r="A415" s="55" t="s">
        <v>4991</v>
      </c>
      <c r="B415" s="55" t="s">
        <v>4978</v>
      </c>
      <c r="C415" s="630">
        <v>25.406016</v>
      </c>
      <c r="D415" s="630">
        <v>54.684915</v>
      </c>
      <c r="E415" s="630">
        <v>8.7786272</v>
      </c>
      <c r="F415" s="630">
        <v>4.1132925</v>
      </c>
      <c r="G415" s="630">
        <v>3.4638555</v>
      </c>
      <c r="H415" s="630">
        <v>3.8143052</v>
      </c>
      <c r="I415" s="630">
        <v>54.356873</v>
      </c>
      <c r="J415" s="630">
        <v>351.39997</v>
      </c>
      <c r="K415" s="630">
        <v>100.60009</v>
      </c>
      <c r="L415" s="630">
        <v>531.40673</v>
      </c>
      <c r="M415" s="630">
        <v>329.46448</v>
      </c>
      <c r="N415" s="630">
        <v>64.549792</v>
      </c>
      <c r="O415" s="630">
        <v>34.994286</v>
      </c>
      <c r="P415" s="630">
        <v>67.814707</v>
      </c>
      <c r="Q415" s="630">
        <v>1.2580078</v>
      </c>
      <c r="R415" s="630">
        <v>2.5368061</v>
      </c>
      <c r="S415" s="630">
        <v>0.11853146</v>
      </c>
      <c r="T415" s="630">
        <v>0.020898384</v>
      </c>
      <c r="U415" s="630">
        <v>0.41532664</v>
      </c>
      <c r="V415" s="630">
        <v>0.0</v>
      </c>
      <c r="W415" s="630">
        <v>9.7676207</v>
      </c>
      <c r="X415" s="630">
        <v>11.903481</v>
      </c>
      <c r="Y415" s="630">
        <v>11.05109</v>
      </c>
      <c r="Z415" s="630">
        <v>8.9363764</v>
      </c>
      <c r="AA415" s="630">
        <v>5.4970316</v>
      </c>
      <c r="AB415" s="630">
        <v>5.2856073</v>
      </c>
      <c r="AC415" s="630">
        <v>0.52447306</v>
      </c>
      <c r="AD415" s="630">
        <v>1.4242189</v>
      </c>
      <c r="AE415" s="630">
        <v>2001.88</v>
      </c>
      <c r="AF415" s="630">
        <v>2536.828</v>
      </c>
      <c r="AG415" s="630">
        <v>1747.2858</v>
      </c>
      <c r="AH415" s="630">
        <v>56.829605</v>
      </c>
      <c r="AI415" s="630">
        <v>143.00479</v>
      </c>
      <c r="AJ415" s="630">
        <v>101.20369</v>
      </c>
      <c r="AK415" s="630">
        <v>77.971257</v>
      </c>
      <c r="AL415" s="630">
        <v>39.939832</v>
      </c>
      <c r="AM415" s="630">
        <v>83.540142</v>
      </c>
      <c r="AN415" s="630">
        <v>42.804685</v>
      </c>
      <c r="AO415" s="630">
        <v>79.525229</v>
      </c>
      <c r="AP415" s="630">
        <v>40.717312</v>
      </c>
      <c r="AQ415" s="630">
        <v>80.571318</v>
      </c>
      <c r="AR415" s="630">
        <v>41.224121</v>
      </c>
      <c r="AS415" s="630">
        <v>94.043888</v>
      </c>
      <c r="AT415" s="630">
        <v>62.427294</v>
      </c>
      <c r="AU415" s="630">
        <v>89.287885</v>
      </c>
      <c r="AV415" s="630">
        <v>4957.0328</v>
      </c>
      <c r="AW415" s="630">
        <v>9252.2747</v>
      </c>
      <c r="AX415" s="630">
        <v>9563.8032</v>
      </c>
      <c r="AY415" s="630">
        <v>31.544983</v>
      </c>
      <c r="AZ415" s="630">
        <v>1.8121825</v>
      </c>
      <c r="BA415" s="630">
        <v>6.3305494</v>
      </c>
      <c r="BB415" s="630">
        <v>1.8683298</v>
      </c>
      <c r="BC415" s="630">
        <v>2.7278269</v>
      </c>
      <c r="BD415" s="630">
        <v>2.7832282</v>
      </c>
      <c r="BE415" s="630">
        <v>4.5309381</v>
      </c>
      <c r="BF415" s="630">
        <v>0.82466793</v>
      </c>
      <c r="BG415" s="630">
        <v>2.896622</v>
      </c>
      <c r="BH415" s="630">
        <v>2.3499014</v>
      </c>
      <c r="BI415" s="630">
        <v>2.9336676</v>
      </c>
      <c r="BJ415" s="630">
        <v>18.440659</v>
      </c>
      <c r="BK415" s="630">
        <v>48.23316</v>
      </c>
      <c r="BL415" s="630">
        <v>11.469884</v>
      </c>
      <c r="BM415" s="630">
        <v>41.262386</v>
      </c>
      <c r="BN415" s="630">
        <v>1414.6042</v>
      </c>
      <c r="BO415" s="630">
        <v>0.55181636</v>
      </c>
      <c r="BP415" s="630">
        <v>0.77791727</v>
      </c>
      <c r="BQ415" s="630">
        <v>849.39343</v>
      </c>
      <c r="BR415" s="630">
        <v>930.56706</v>
      </c>
      <c r="BS415" s="630">
        <v>959.94397</v>
      </c>
      <c r="BT415" s="630">
        <v>2550.1453</v>
      </c>
      <c r="BU415" s="630">
        <v>1599.2969</v>
      </c>
      <c r="BV415" s="630">
        <v>1891.1491</v>
      </c>
      <c r="BW415" s="630">
        <v>1.3006499</v>
      </c>
      <c r="BX415" s="630">
        <v>972.48498</v>
      </c>
      <c r="BY415" s="630">
        <v>29.918037</v>
      </c>
      <c r="BZ415" s="630">
        <v>8.6094306</v>
      </c>
      <c r="CA415" s="630">
        <v>0.023658907</v>
      </c>
      <c r="CB415" s="630">
        <v>0.015251834</v>
      </c>
      <c r="CC415" s="630">
        <v>0.017779405</v>
      </c>
      <c r="CD415" s="630">
        <v>0.020610344</v>
      </c>
      <c r="CE415" s="630">
        <v>2963.5857</v>
      </c>
      <c r="CF415" s="630">
        <v>5531.6558</v>
      </c>
      <c r="CG415" s="630">
        <v>1139.657</v>
      </c>
      <c r="CH415" s="630">
        <v>1241.1676</v>
      </c>
      <c r="CI415" s="630">
        <v>0.76560204</v>
      </c>
      <c r="CJ415" s="630">
        <v>1.1210896</v>
      </c>
      <c r="CK415" s="630">
        <v>1.895043</v>
      </c>
      <c r="CL415" s="630">
        <v>0.52616185</v>
      </c>
      <c r="CM415" s="630">
        <v>0.61401255</v>
      </c>
      <c r="CN415" s="630">
        <v>291.94216</v>
      </c>
      <c r="CO415" s="630">
        <v>425.66669</v>
      </c>
      <c r="CP415" s="630">
        <v>252.77264</v>
      </c>
      <c r="CQ415" s="630">
        <v>1223.8773</v>
      </c>
      <c r="CR415" s="630">
        <v>1852.9999</v>
      </c>
      <c r="CS415" s="630">
        <v>1852.9999</v>
      </c>
      <c r="CT415" s="630">
        <v>0.35558309</v>
      </c>
      <c r="CU415" s="630">
        <v>0.60933569</v>
      </c>
      <c r="CV415" s="630">
        <v>0.6450727</v>
      </c>
      <c r="CW415" s="630">
        <v>0.50342221</v>
      </c>
      <c r="CX415" s="630">
        <v>146.02302</v>
      </c>
      <c r="CY415" s="630">
        <v>16.697193</v>
      </c>
      <c r="CZ415" s="630">
        <v>57.785836</v>
      </c>
      <c r="DA415" s="630">
        <v>58.011963</v>
      </c>
      <c r="DB415" s="630">
        <v>0.22648602</v>
      </c>
      <c r="DC415" s="630">
        <v>0.5170965</v>
      </c>
      <c r="DD415" s="630">
        <v>9.3147394</v>
      </c>
      <c r="DE415" s="630">
        <v>13.970698</v>
      </c>
      <c r="DF415" s="630">
        <v>9.1920382</v>
      </c>
      <c r="DG415" s="630">
        <v>9.3147394</v>
      </c>
      <c r="DH415" s="630">
        <v>13.970698</v>
      </c>
      <c r="DI415" s="630">
        <v>13.894341</v>
      </c>
      <c r="DJ415" s="630">
        <v>14.019634</v>
      </c>
      <c r="DK415" s="630">
        <v>14.019634</v>
      </c>
      <c r="DL415" s="630">
        <v>18.675593</v>
      </c>
      <c r="DM415" s="630">
        <v>14.019634</v>
      </c>
      <c r="DN415" s="630">
        <v>18.675593</v>
      </c>
      <c r="DO415" s="630">
        <v>0.51709651</v>
      </c>
      <c r="DP415" s="630">
        <v>0.26192425</v>
      </c>
      <c r="DQ415" s="630">
        <v>0.40115994</v>
      </c>
      <c r="DR415" s="630">
        <v>0.30699413</v>
      </c>
      <c r="DS415" s="630">
        <v>0.31580325</v>
      </c>
      <c r="DT415" s="630">
        <v>0.8130031</v>
      </c>
      <c r="DU415" s="630">
        <v>4.2098344</v>
      </c>
      <c r="DV415" s="630">
        <v>3.3632966</v>
      </c>
      <c r="DW415" s="630">
        <v>9.8883952</v>
      </c>
      <c r="DX415" s="630">
        <v>119.4245</v>
      </c>
      <c r="DY415" s="630">
        <v>35.891703</v>
      </c>
      <c r="DZ415" s="630">
        <v>37.966486</v>
      </c>
      <c r="EA415" s="630">
        <v>0.41532664</v>
      </c>
      <c r="EB415" s="630">
        <v>0.377703</v>
      </c>
      <c r="EC415" s="630">
        <v>0.48786873</v>
      </c>
      <c r="ED415" s="630">
        <v>17.127567</v>
      </c>
      <c r="EE415" s="630">
        <v>0.32758386</v>
      </c>
      <c r="EF415" s="630">
        <v>0.0</v>
      </c>
      <c r="EG415" s="630">
        <v>0.0</v>
      </c>
      <c r="EH415" s="630">
        <v>0.0</v>
      </c>
      <c r="EI415" s="630">
        <v>0.38877931</v>
      </c>
      <c r="EJ415" s="630">
        <v>0.32666822</v>
      </c>
      <c r="EK415" s="630">
        <v>4.0614406</v>
      </c>
      <c r="EL415" s="630">
        <v>0.0</v>
      </c>
      <c r="EM415" s="630">
        <v>0.0</v>
      </c>
      <c r="EN415" s="630">
        <v>0.0</v>
      </c>
      <c r="EO415" s="630">
        <v>0.0</v>
      </c>
      <c r="EP415" s="630">
        <v>933.97739</v>
      </c>
      <c r="EQ415" s="630">
        <v>1837.8893</v>
      </c>
      <c r="ER415" s="630">
        <v>0.0</v>
      </c>
      <c r="ES415" s="630">
        <v>0.0</v>
      </c>
      <c r="ET415" s="630">
        <v>1.4713876</v>
      </c>
      <c r="EU415" s="630">
        <v>0.12942091</v>
      </c>
      <c r="EV415" s="630">
        <v>0.12942091</v>
      </c>
      <c r="EW415" s="630">
        <v>0.13871994</v>
      </c>
      <c r="EX415" s="630">
        <v>0.47279649</v>
      </c>
      <c r="EY415" s="630">
        <v>2.8210242</v>
      </c>
      <c r="EZ415" s="630">
        <v>3.6909037</v>
      </c>
      <c r="FA415" s="630">
        <v>0.5906446</v>
      </c>
      <c r="FB415" s="630">
        <v>1.3861021</v>
      </c>
      <c r="FC415" s="630">
        <v>0.42754164</v>
      </c>
      <c r="FD415" s="630">
        <v>0.85969821</v>
      </c>
      <c r="FE415" s="630">
        <v>6.0175784</v>
      </c>
      <c r="FF415" s="630">
        <v>4.0460161</v>
      </c>
      <c r="FG415" s="630">
        <v>5.1051263</v>
      </c>
      <c r="FH415" s="630">
        <v>0.59018931</v>
      </c>
      <c r="FI415" s="630">
        <v>0.32047735</v>
      </c>
      <c r="FJ415" s="630">
        <v>1.6406344</v>
      </c>
      <c r="FK415" s="630">
        <v>0.58009854</v>
      </c>
      <c r="FL415" s="630">
        <v>0.51554086</v>
      </c>
      <c r="FM415" s="630">
        <v>0.37801887</v>
      </c>
      <c r="FN415" s="630">
        <v>1.7299337</v>
      </c>
      <c r="FO415" s="630">
        <v>9.0247564</v>
      </c>
      <c r="FP415" s="630">
        <v>6.4219488</v>
      </c>
      <c r="FQ415" s="630">
        <v>1.1629165</v>
      </c>
      <c r="FR415" s="630">
        <v>9.6235336</v>
      </c>
      <c r="FS415" s="630">
        <v>1.4962176</v>
      </c>
      <c r="FT415" s="630">
        <v>0.1235368</v>
      </c>
      <c r="FU415" s="630">
        <v>40.98257</v>
      </c>
      <c r="FV415" s="630">
        <v>4.9563535</v>
      </c>
      <c r="FW415" s="630">
        <v>0.48786874</v>
      </c>
      <c r="FX415" s="630">
        <v>4.9073449</v>
      </c>
      <c r="FY415" s="630">
        <v>0.48786874</v>
      </c>
      <c r="FZ415" s="630">
        <v>4.6314587</v>
      </c>
      <c r="GA415" s="630">
        <v>40.991027</v>
      </c>
      <c r="GB415" s="630">
        <v>6.5216197</v>
      </c>
      <c r="GC415" s="630">
        <v>1.6044459</v>
      </c>
      <c r="GD415" s="630">
        <v>1.707149</v>
      </c>
      <c r="GE415" s="630">
        <v>29.335606</v>
      </c>
      <c r="GF415" s="630">
        <v>2.2935456</v>
      </c>
      <c r="GG415" s="630">
        <v>6.8804244</v>
      </c>
      <c r="GH415" s="630">
        <v>78.536928</v>
      </c>
      <c r="GI415" s="630">
        <v>48.751044</v>
      </c>
      <c r="GJ415" s="630">
        <v>0.17119162</v>
      </c>
      <c r="GK415" s="630">
        <v>0.25184086</v>
      </c>
      <c r="GL415" s="630">
        <v>0.12991465</v>
      </c>
      <c r="GM415" s="630">
        <v>0.12991465</v>
      </c>
      <c r="GN415" s="630">
        <v>0.48786874</v>
      </c>
      <c r="GO415" s="630">
        <v>0.17655978</v>
      </c>
      <c r="GP415" s="630">
        <v>0.11324301</v>
      </c>
      <c r="GQ415" s="630">
        <v>0.0</v>
      </c>
      <c r="GR415" s="630">
        <v>0.0</v>
      </c>
      <c r="GS415" s="630">
        <v>7.0253098</v>
      </c>
      <c r="GT415" s="630">
        <v>3.0689362</v>
      </c>
      <c r="GU415" s="630">
        <v>1.2612799</v>
      </c>
      <c r="GV415" s="630">
        <v>0.43204635</v>
      </c>
      <c r="GW415" s="630">
        <v>0.33272865</v>
      </c>
      <c r="GX415" s="630">
        <v>0.48104798</v>
      </c>
      <c r="GY415" s="630">
        <v>0.097597685</v>
      </c>
      <c r="GZ415" s="630">
        <v>0.08946529</v>
      </c>
      <c r="HA415" s="630">
        <v>0.0</v>
      </c>
      <c r="HB415" s="630">
        <v>0.0</v>
      </c>
      <c r="HC415" s="630">
        <v>0.0</v>
      </c>
      <c r="HD415" s="630">
        <v>0.44313633</v>
      </c>
      <c r="HE415" s="630">
        <v>5.1067627</v>
      </c>
      <c r="HF415" s="630">
        <v>0.08946529</v>
      </c>
      <c r="HG415" s="630">
        <v>0.097597685</v>
      </c>
      <c r="HH415" s="630">
        <v>268.91476</v>
      </c>
      <c r="HI415" s="630">
        <v>0.0</v>
      </c>
      <c r="HJ415" s="630">
        <v>0.11324301</v>
      </c>
      <c r="HK415" s="630">
        <v>0.83136193</v>
      </c>
      <c r="HL415" s="630">
        <v>595.42952</v>
      </c>
      <c r="HM415" s="630">
        <v>381.47547</v>
      </c>
      <c r="HN415" s="630">
        <v>661.65722</v>
      </c>
      <c r="HO415" s="630">
        <v>823.07178</v>
      </c>
      <c r="HP415" s="630">
        <v>642.56737</v>
      </c>
      <c r="HQ415" s="630">
        <v>31.810305</v>
      </c>
      <c r="HR415" s="630">
        <v>28.963954</v>
      </c>
      <c r="HS415" s="630">
        <v>14.555849</v>
      </c>
      <c r="HT415" s="630">
        <v>4.9684778</v>
      </c>
      <c r="HU415" s="630">
        <v>6.3301232</v>
      </c>
      <c r="HV415" s="630">
        <v>5.4577781</v>
      </c>
      <c r="HW415" s="630">
        <v>558.81185</v>
      </c>
      <c r="HX415" s="630">
        <v>6.4471297</v>
      </c>
      <c r="HY415" s="630">
        <v>4.6737705</v>
      </c>
      <c r="HZ415" s="630">
        <v>2.0262627</v>
      </c>
      <c r="IA415" s="630">
        <v>9.1034503</v>
      </c>
      <c r="IB415" s="630">
        <v>9.5852338</v>
      </c>
      <c r="IC415" s="630">
        <v>7687.0424</v>
      </c>
      <c r="ID415" s="630">
        <v>1217.0021</v>
      </c>
      <c r="IE415" s="630">
        <v>29.480808</v>
      </c>
      <c r="IF415" s="630">
        <v>11.377908</v>
      </c>
      <c r="IG415" s="630">
        <v>66.070164</v>
      </c>
      <c r="IH415" s="630">
        <v>20.545952</v>
      </c>
      <c r="II415" s="630">
        <v>17.987068</v>
      </c>
      <c r="IJ415" s="630">
        <v>192.60201</v>
      </c>
      <c r="IK415" s="630">
        <v>199.25293</v>
      </c>
      <c r="IL415" s="630">
        <v>93.531852</v>
      </c>
      <c r="IM415" s="630">
        <v>40.653247</v>
      </c>
      <c r="IN415" s="630">
        <v>77.504236</v>
      </c>
      <c r="IO415" s="630">
        <v>50.008925</v>
      </c>
      <c r="IP415" s="630">
        <v>13.604882</v>
      </c>
      <c r="IQ415" s="630">
        <v>163.746</v>
      </c>
      <c r="IR415" s="630">
        <v>105.58528</v>
      </c>
      <c r="IS415" s="630">
        <v>27.324281</v>
      </c>
      <c r="IT415" s="630">
        <v>45.381128</v>
      </c>
      <c r="IU415" s="630">
        <v>159.192</v>
      </c>
      <c r="IV415" s="630">
        <v>12.984188</v>
      </c>
      <c r="IW415" s="630">
        <v>39.364281</v>
      </c>
      <c r="IX415" s="630">
        <v>7.2750625</v>
      </c>
      <c r="IY415" s="630">
        <v>88.923173</v>
      </c>
      <c r="IZ415" s="630">
        <v>6.8758951</v>
      </c>
      <c r="JA415" s="630">
        <v>0.73026027</v>
      </c>
      <c r="JB415" s="630">
        <v>0.0</v>
      </c>
      <c r="JC415" s="630">
        <v>417.35807</v>
      </c>
      <c r="JD415" s="630">
        <v>723.33866</v>
      </c>
      <c r="JE415" s="630">
        <v>362.38218</v>
      </c>
      <c r="JF415" s="630">
        <v>351.56022</v>
      </c>
      <c r="JG415" s="630">
        <v>657.72997</v>
      </c>
      <c r="JH415" s="630">
        <v>557.0912</v>
      </c>
      <c r="JI415" s="630">
        <v>670.84105</v>
      </c>
      <c r="JJ415" s="630">
        <v>942.05936</v>
      </c>
      <c r="JK415" s="630">
        <v>539.37335</v>
      </c>
      <c r="JL415" s="630">
        <v>845.88803</v>
      </c>
      <c r="JM415" s="630">
        <v>736.65343</v>
      </c>
      <c r="JN415" s="630">
        <v>6.1563764</v>
      </c>
      <c r="JO415" s="630">
        <v>5.6767344</v>
      </c>
      <c r="JP415" s="630">
        <v>6.6937284</v>
      </c>
      <c r="JQ415" s="630">
        <v>6.2140864</v>
      </c>
      <c r="JR415" s="630">
        <v>0.10100617</v>
      </c>
      <c r="JS415" s="630">
        <v>0.082721679</v>
      </c>
      <c r="JT415" s="630">
        <v>73.579834</v>
      </c>
      <c r="JU415" s="630">
        <v>40.339809</v>
      </c>
      <c r="JV415" s="630">
        <v>1.2263976</v>
      </c>
      <c r="JW415" s="630">
        <v>28.72521</v>
      </c>
      <c r="JX415" s="630">
        <v>1.1199815</v>
      </c>
      <c r="JY415" s="630">
        <v>1374.8415</v>
      </c>
      <c r="JZ415" s="630">
        <v>305.1238</v>
      </c>
      <c r="KA415" s="630">
        <v>999.21884</v>
      </c>
      <c r="KB415" s="630">
        <v>503.44725</v>
      </c>
      <c r="KC415" s="630">
        <v>2733.2571</v>
      </c>
      <c r="KD415" s="630">
        <v>395.40447</v>
      </c>
      <c r="KE415" s="630">
        <v>239.73548</v>
      </c>
      <c r="KF415" s="630">
        <v>889.45883</v>
      </c>
      <c r="KG415" s="630">
        <v>252.17555</v>
      </c>
      <c r="KH415" s="630">
        <v>11471.718</v>
      </c>
      <c r="KI415" s="630">
        <v>5486.3658</v>
      </c>
      <c r="KJ415" s="630">
        <v>5176.5433</v>
      </c>
      <c r="KK415" s="630">
        <v>17.604532</v>
      </c>
      <c r="KL415" s="630">
        <v>10.603284</v>
      </c>
      <c r="KM415" s="630">
        <v>543.01911</v>
      </c>
      <c r="KN415" s="630">
        <v>0.51918858</v>
      </c>
      <c r="KO415" s="630">
        <v>11.850478</v>
      </c>
      <c r="KP415" s="630">
        <v>1.5907361</v>
      </c>
      <c r="KQ415" s="630">
        <v>4.4693156</v>
      </c>
      <c r="KR415" s="630">
        <v>5.6227905</v>
      </c>
      <c r="KS415" s="630">
        <v>14.657789</v>
      </c>
      <c r="KT415" s="630">
        <v>8.6332557</v>
      </c>
      <c r="KU415" s="630">
        <v>100.15618</v>
      </c>
      <c r="KV415" s="630">
        <v>9.7347016</v>
      </c>
      <c r="KW415" s="630">
        <v>7.8603488</v>
      </c>
      <c r="KX415" s="630">
        <v>11.565204</v>
      </c>
      <c r="KY415" s="630">
        <v>12.914764</v>
      </c>
      <c r="KZ415" s="630">
        <v>10.973319</v>
      </c>
      <c r="LA415" s="630">
        <v>12.973844</v>
      </c>
      <c r="LB415" s="630">
        <v>6.0490981</v>
      </c>
      <c r="LC415" s="630">
        <v>2.7607876</v>
      </c>
      <c r="LD415" s="630">
        <v>7.9884981</v>
      </c>
      <c r="LE415" s="630">
        <v>6.1396552</v>
      </c>
      <c r="LF415" s="630">
        <v>6.8470542</v>
      </c>
      <c r="LG415" s="630">
        <v>13.251432</v>
      </c>
      <c r="LH415" s="630">
        <v>16.760694</v>
      </c>
      <c r="LI415" s="630">
        <v>2.4316135</v>
      </c>
      <c r="LJ415" s="630">
        <v>3.7097825</v>
      </c>
      <c r="LK415" s="630">
        <v>0.69134179</v>
      </c>
      <c r="LL415" s="630">
        <v>3.6758833</v>
      </c>
      <c r="LM415" s="630">
        <v>11.582299</v>
      </c>
      <c r="LN415" s="630">
        <v>8.1841543</v>
      </c>
      <c r="LO415" s="630">
        <v>0.23777324</v>
      </c>
      <c r="LP415" s="630">
        <v>8.226763</v>
      </c>
      <c r="LQ415" s="630">
        <v>8.1160844</v>
      </c>
      <c r="LR415" s="630">
        <v>4.527481</v>
      </c>
      <c r="LS415" s="630">
        <v>9.3988726</v>
      </c>
      <c r="LT415" s="630">
        <v>12.89759</v>
      </c>
      <c r="LU415" s="630">
        <v>4162.4567</v>
      </c>
      <c r="LV415" s="630">
        <v>2837.0597</v>
      </c>
      <c r="LW415" s="630">
        <v>208.17358</v>
      </c>
      <c r="LX415" s="630">
        <v>344.96205</v>
      </c>
      <c r="LY415" s="630">
        <v>1.3685385</v>
      </c>
      <c r="LZ415" s="630">
        <v>5.1447674</v>
      </c>
      <c r="MA415" s="630">
        <v>78.234127</v>
      </c>
      <c r="MB415" s="630">
        <v>67.899132</v>
      </c>
      <c r="MC415" s="630">
        <v>5.123137</v>
      </c>
      <c r="MD415" s="630">
        <v>3.2486898</v>
      </c>
      <c r="ME415" s="630">
        <v>5.4584634</v>
      </c>
      <c r="MF415" s="630">
        <v>721.89227</v>
      </c>
      <c r="MG415" s="630">
        <v>2.2713173</v>
      </c>
      <c r="MH415" s="630">
        <v>1.8428783</v>
      </c>
      <c r="MI415" s="630">
        <v>0.08272168</v>
      </c>
      <c r="MJ415" s="630">
        <v>4.0188452</v>
      </c>
      <c r="MK415" s="630">
        <v>2.6674382</v>
      </c>
      <c r="ML415" s="630">
        <v>2.8800113</v>
      </c>
      <c r="MM415" s="630">
        <v>2.2130502</v>
      </c>
      <c r="MN415" s="630">
        <v>2.011801</v>
      </c>
      <c r="MO415" s="630">
        <v>2.4149333</v>
      </c>
      <c r="MP415" s="630">
        <v>1.7673753</v>
      </c>
      <c r="MQ415" s="630">
        <v>3.4361226</v>
      </c>
      <c r="MR415" s="630">
        <v>3.0877518</v>
      </c>
      <c r="MS415" s="630">
        <v>2.7840447</v>
      </c>
      <c r="MT415" s="630">
        <v>3.1080157</v>
      </c>
      <c r="MU415" s="630">
        <v>2.7640041</v>
      </c>
      <c r="MV415" s="630">
        <v>2.4510973</v>
      </c>
      <c r="MW415" s="630">
        <v>3.7286084</v>
      </c>
      <c r="MX415" s="630">
        <v>2450.5216</v>
      </c>
      <c r="MY415" s="630">
        <v>2726.9537</v>
      </c>
      <c r="MZ415" s="630">
        <v>1599.51</v>
      </c>
      <c r="NA415" s="630">
        <v>53.657378</v>
      </c>
      <c r="NB415" s="630">
        <v>54.43531</v>
      </c>
      <c r="NC415" s="630">
        <v>12.653674</v>
      </c>
      <c r="ND415" s="630">
        <v>248.0411</v>
      </c>
      <c r="NE415" s="630">
        <v>137.87852</v>
      </c>
      <c r="NF415" s="630">
        <v>572.95154</v>
      </c>
      <c r="NG415" s="630">
        <v>1049.6154</v>
      </c>
      <c r="NH415" s="630">
        <v>8.5486471</v>
      </c>
      <c r="NI415" s="630">
        <v>20.810471</v>
      </c>
      <c r="NJ415" s="630">
        <v>224.72538</v>
      </c>
      <c r="NK415" s="630">
        <v>101.37865</v>
      </c>
      <c r="NL415" s="630">
        <v>4.0547904</v>
      </c>
      <c r="NM415" s="630">
        <v>9.1117693</v>
      </c>
      <c r="NN415" s="630">
        <v>30.87978</v>
      </c>
      <c r="NO415" s="630">
        <v>68.122421</v>
      </c>
      <c r="NP415" s="630">
        <v>4.5375483</v>
      </c>
      <c r="NQ415" s="630">
        <v>1968.4407</v>
      </c>
      <c r="NR415" s="630">
        <v>3151.1808</v>
      </c>
      <c r="NS415" s="630">
        <v>1118.098</v>
      </c>
      <c r="NT415" s="630">
        <v>2205.8437</v>
      </c>
      <c r="NU415" s="630">
        <v>1324.233</v>
      </c>
      <c r="NV415" s="630">
        <v>4.5045713</v>
      </c>
      <c r="NW415" s="630">
        <v>75.465688</v>
      </c>
      <c r="NY415" s="630">
        <v>0.0</v>
      </c>
      <c r="NZ415" s="630"/>
      <c r="OA415" s="630">
        <v>0.392</v>
      </c>
      <c r="OB415" s="631">
        <v>5.7</v>
      </c>
      <c r="OC415" s="631"/>
      <c r="OD415" s="626"/>
      <c r="OE415" s="631">
        <f t="shared" si="3"/>
        <v>802.2384364</v>
      </c>
      <c r="OF415" s="631">
        <v>523.478698902177</v>
      </c>
      <c r="OG415" s="630">
        <v>846.8399944407489</v>
      </c>
      <c r="OI415" s="626"/>
      <c r="OJ415" s="626"/>
      <c r="OK415" s="626"/>
      <c r="OL415" s="626"/>
      <c r="OM415" s="626"/>
      <c r="ON415" s="626"/>
    </row>
    <row r="416" ht="12.75" customHeight="1">
      <c r="A416" s="55" t="s">
        <v>4992</v>
      </c>
      <c r="B416" s="55" t="s">
        <v>4978</v>
      </c>
      <c r="C416" s="630">
        <v>110.58537</v>
      </c>
      <c r="D416" s="630">
        <v>109.35485</v>
      </c>
      <c r="E416" s="630">
        <v>240.74431</v>
      </c>
      <c r="F416" s="630">
        <v>369.29925</v>
      </c>
      <c r="G416" s="630">
        <v>9.4083798</v>
      </c>
      <c r="H416" s="630">
        <v>10.305579</v>
      </c>
      <c r="I416" s="630">
        <v>118.53713</v>
      </c>
      <c r="J416" s="630">
        <v>1099.4787</v>
      </c>
      <c r="K416" s="630">
        <v>200.63314</v>
      </c>
      <c r="L416" s="630">
        <v>14724.563</v>
      </c>
      <c r="M416" s="630">
        <v>5063.8638</v>
      </c>
      <c r="N416" s="630">
        <v>712.94386</v>
      </c>
      <c r="O416" s="630">
        <v>370.02879</v>
      </c>
      <c r="P416" s="630">
        <v>748.2652</v>
      </c>
      <c r="Q416" s="630">
        <v>3.7942841</v>
      </c>
      <c r="R416" s="630">
        <v>6.7053829</v>
      </c>
      <c r="S416" s="630">
        <v>5.8878684</v>
      </c>
      <c r="T416" s="630">
        <v>0.031883587</v>
      </c>
      <c r="U416" s="630">
        <v>0.50025199</v>
      </c>
      <c r="V416" s="630">
        <v>0.0</v>
      </c>
      <c r="W416" s="630">
        <v>123.3006</v>
      </c>
      <c r="X416" s="630">
        <v>144.13203</v>
      </c>
      <c r="Y416" s="630">
        <v>141.10733</v>
      </c>
      <c r="Z416" s="630">
        <v>120.48215</v>
      </c>
      <c r="AA416" s="630">
        <v>10.875477</v>
      </c>
      <c r="AB416" s="630">
        <v>10.45719</v>
      </c>
      <c r="AC416" s="630">
        <v>0.89921385</v>
      </c>
      <c r="AD416" s="630">
        <v>25.981159</v>
      </c>
      <c r="AE416" s="630">
        <v>33846.719</v>
      </c>
      <c r="AF416" s="630">
        <v>34857.365</v>
      </c>
      <c r="AG416" s="630">
        <v>30171.77</v>
      </c>
      <c r="AH416" s="630">
        <v>55.160666</v>
      </c>
      <c r="AI416" s="630">
        <v>106.94219</v>
      </c>
      <c r="AJ416" s="630">
        <v>146.72481</v>
      </c>
      <c r="AK416" s="630">
        <v>69.911588</v>
      </c>
      <c r="AL416" s="630">
        <v>37.597561</v>
      </c>
      <c r="AM416" s="630">
        <v>74.510849</v>
      </c>
      <c r="AN416" s="630">
        <v>39.875843</v>
      </c>
      <c r="AO416" s="630">
        <v>71.734236</v>
      </c>
      <c r="AP416" s="630">
        <v>38.017836</v>
      </c>
      <c r="AQ416" s="630">
        <v>72.200302</v>
      </c>
      <c r="AR416" s="630">
        <v>38.014775</v>
      </c>
      <c r="AS416" s="630">
        <v>83.694922</v>
      </c>
      <c r="AT416" s="630">
        <v>56.813839</v>
      </c>
      <c r="AU416" s="630">
        <v>82.125186</v>
      </c>
      <c r="AV416" s="630">
        <v>131946.81</v>
      </c>
      <c r="AW416" s="630">
        <v>81549.762</v>
      </c>
      <c r="AX416" s="630">
        <v>90549.074</v>
      </c>
      <c r="AY416" s="630">
        <v>631.20128</v>
      </c>
      <c r="AZ416" s="630">
        <v>5.5196032</v>
      </c>
      <c r="BA416" s="630">
        <v>976.57979</v>
      </c>
      <c r="BB416" s="630">
        <v>8.362051</v>
      </c>
      <c r="BC416" s="630">
        <v>10.531674</v>
      </c>
      <c r="BD416" s="630">
        <v>22.448724</v>
      </c>
      <c r="BE416" s="630">
        <v>27.147017</v>
      </c>
      <c r="BF416" s="630">
        <v>1.6702461</v>
      </c>
      <c r="BG416" s="630">
        <v>6.1127251</v>
      </c>
      <c r="BH416" s="630">
        <v>5.6496632</v>
      </c>
      <c r="BI416" s="630">
        <v>41.172781</v>
      </c>
      <c r="BJ416" s="630">
        <v>952.54774</v>
      </c>
      <c r="BK416" s="630">
        <v>1130.9661</v>
      </c>
      <c r="BL416" s="630">
        <v>885.79284</v>
      </c>
      <c r="BM416" s="630">
        <v>1064.2112</v>
      </c>
      <c r="BN416" s="630">
        <v>28152.642</v>
      </c>
      <c r="BO416" s="630">
        <v>0.75311815</v>
      </c>
      <c r="BP416" s="630">
        <v>3.0495356</v>
      </c>
      <c r="BQ416" s="630">
        <v>2384.2168</v>
      </c>
      <c r="BR416" s="630">
        <v>2657.628</v>
      </c>
      <c r="BS416" s="630">
        <v>2718.3092</v>
      </c>
      <c r="BT416" s="630">
        <v>76451.736</v>
      </c>
      <c r="BU416" s="630">
        <v>32365.92</v>
      </c>
      <c r="BV416" s="630">
        <v>48888.247</v>
      </c>
      <c r="BW416" s="630">
        <v>5.0156826</v>
      </c>
      <c r="BX416" s="630">
        <v>53480.8</v>
      </c>
      <c r="BY416" s="630">
        <v>160.11959</v>
      </c>
      <c r="BZ416" s="630">
        <v>35.339195</v>
      </c>
      <c r="CA416" s="630">
        <v>0.27632731</v>
      </c>
      <c r="CB416" s="630">
        <v>0.18938291</v>
      </c>
      <c r="CC416" s="630">
        <v>0.21552259</v>
      </c>
      <c r="CD416" s="630">
        <v>0.24479963</v>
      </c>
      <c r="CE416" s="630">
        <v>113686.73</v>
      </c>
      <c r="CF416" s="630">
        <v>224932.73</v>
      </c>
      <c r="CG416" s="630">
        <v>22205.375</v>
      </c>
      <c r="CH416" s="630">
        <v>28295.287</v>
      </c>
      <c r="CI416" s="630">
        <v>4.1303175</v>
      </c>
      <c r="CJ416" s="630">
        <v>16.872305</v>
      </c>
      <c r="CK416" s="630">
        <v>60.648949</v>
      </c>
      <c r="CL416" s="630">
        <v>0.70763872</v>
      </c>
      <c r="CM416" s="630">
        <v>0.84721152</v>
      </c>
      <c r="CN416" s="630">
        <v>417.00272</v>
      </c>
      <c r="CO416" s="630">
        <v>629.55159</v>
      </c>
      <c r="CP416" s="630">
        <v>361.05399</v>
      </c>
      <c r="CQ416" s="630">
        <v>1748.155</v>
      </c>
      <c r="CR416" s="630">
        <v>2646.7778</v>
      </c>
      <c r="CS416" s="630">
        <v>2646.7778</v>
      </c>
      <c r="CT416" s="630">
        <v>0.53077011</v>
      </c>
      <c r="CU416" s="630">
        <v>11.248611</v>
      </c>
      <c r="CV416" s="630">
        <v>0.85354455</v>
      </c>
      <c r="CW416" s="630">
        <v>3.1045674</v>
      </c>
      <c r="CX416" s="630">
        <v>471.12957</v>
      </c>
      <c r="CY416" s="630">
        <v>236.02611</v>
      </c>
      <c r="CZ416" s="630">
        <v>234.14521</v>
      </c>
      <c r="DA416" s="630">
        <v>200.3756</v>
      </c>
      <c r="DB416" s="630">
        <v>7.3509728</v>
      </c>
      <c r="DC416" s="630">
        <v>0.72822957</v>
      </c>
      <c r="DD416" s="630">
        <v>25.998069</v>
      </c>
      <c r="DE416" s="630">
        <v>52.722149</v>
      </c>
      <c r="DF416" s="630">
        <v>22.293379</v>
      </c>
      <c r="DG416" s="630">
        <v>25.998069</v>
      </c>
      <c r="DH416" s="630">
        <v>52.722149</v>
      </c>
      <c r="DI416" s="630">
        <v>36.649061</v>
      </c>
      <c r="DJ416" s="630">
        <v>40.432019</v>
      </c>
      <c r="DK416" s="630">
        <v>40.432019</v>
      </c>
      <c r="DL416" s="630">
        <v>67.156098</v>
      </c>
      <c r="DM416" s="630">
        <v>40.432019</v>
      </c>
      <c r="DN416" s="630">
        <v>67.156098</v>
      </c>
      <c r="DO416" s="630">
        <v>0.72822958</v>
      </c>
      <c r="DP416" s="630">
        <v>378.42585</v>
      </c>
      <c r="DQ416" s="630">
        <v>20.549026</v>
      </c>
      <c r="DR416" s="630">
        <v>20.360861</v>
      </c>
      <c r="DS416" s="630">
        <v>30.567904</v>
      </c>
      <c r="DT416" s="630">
        <v>38.774931</v>
      </c>
      <c r="DU416" s="630">
        <v>55.183855</v>
      </c>
      <c r="DV416" s="630">
        <v>286.44127</v>
      </c>
      <c r="DW416" s="630">
        <v>491.88688</v>
      </c>
      <c r="DX416" s="630">
        <v>1541.3133</v>
      </c>
      <c r="DY416" s="630">
        <v>2405.4489</v>
      </c>
      <c r="DZ416" s="630">
        <v>2565.5373</v>
      </c>
      <c r="EA416" s="630">
        <v>0.50025199</v>
      </c>
      <c r="EB416" s="630">
        <v>0.55059632</v>
      </c>
      <c r="EC416" s="630">
        <v>0.66151549</v>
      </c>
      <c r="ED416" s="630">
        <v>119.09649</v>
      </c>
      <c r="EE416" s="630">
        <v>0.49554558</v>
      </c>
      <c r="EF416" s="630">
        <v>0.0</v>
      </c>
      <c r="EG416" s="630">
        <v>0.0</v>
      </c>
      <c r="EH416" s="630">
        <v>0.0</v>
      </c>
      <c r="EI416" s="630">
        <v>0.55532243</v>
      </c>
      <c r="EJ416" s="630">
        <v>0.49443936</v>
      </c>
      <c r="EK416" s="630">
        <v>180.68687</v>
      </c>
      <c r="EL416" s="630">
        <v>0.0</v>
      </c>
      <c r="EM416" s="630">
        <v>0.0</v>
      </c>
      <c r="EN416" s="630">
        <v>0.0</v>
      </c>
      <c r="EO416" s="630">
        <v>0.0</v>
      </c>
      <c r="EP416" s="630">
        <v>1332.797</v>
      </c>
      <c r="EQ416" s="630">
        <v>2623.9216</v>
      </c>
      <c r="ER416" s="630">
        <v>0.0</v>
      </c>
      <c r="ES416" s="630">
        <v>0.0</v>
      </c>
      <c r="ET416" s="630">
        <v>22.378298</v>
      </c>
      <c r="EU416" s="630">
        <v>4.2005664</v>
      </c>
      <c r="EV416" s="630">
        <v>4.2005664</v>
      </c>
      <c r="EW416" s="630">
        <v>2.926296</v>
      </c>
      <c r="EX416" s="630">
        <v>20.909514</v>
      </c>
      <c r="EY416" s="630">
        <v>88.87287</v>
      </c>
      <c r="EZ416" s="630">
        <v>78.43387</v>
      </c>
      <c r="FA416" s="630">
        <v>25.948834</v>
      </c>
      <c r="FB416" s="630">
        <v>69.528687</v>
      </c>
      <c r="FC416" s="630">
        <v>22.157275</v>
      </c>
      <c r="FD416" s="630">
        <v>56.484997</v>
      </c>
      <c r="FE416" s="630">
        <v>114.24908</v>
      </c>
      <c r="FF416" s="630">
        <v>5.2960807</v>
      </c>
      <c r="FG416" s="630">
        <v>6.6824154</v>
      </c>
      <c r="FH416" s="630">
        <v>24.71129</v>
      </c>
      <c r="FI416" s="630">
        <v>13.418421</v>
      </c>
      <c r="FJ416" s="630">
        <v>80.527385</v>
      </c>
      <c r="FK416" s="630">
        <v>49.405148</v>
      </c>
      <c r="FL416" s="630">
        <v>21.585751</v>
      </c>
      <c r="FM416" s="630">
        <v>15.82769</v>
      </c>
      <c r="FN416" s="630">
        <v>110.55661</v>
      </c>
      <c r="FO416" s="630">
        <v>145.96981</v>
      </c>
      <c r="FP416" s="630">
        <v>8.4060858</v>
      </c>
      <c r="FQ416" s="630">
        <v>60.128929</v>
      </c>
      <c r="FR416" s="630">
        <v>11.591339</v>
      </c>
      <c r="FS416" s="630">
        <v>65.366584</v>
      </c>
      <c r="FT416" s="630">
        <v>4.0095881</v>
      </c>
      <c r="FU416" s="630">
        <v>55.570849</v>
      </c>
      <c r="FV416" s="630">
        <v>6.708702</v>
      </c>
      <c r="FW416" s="630">
        <v>0.6615155</v>
      </c>
      <c r="FX416" s="630">
        <v>6.6496723</v>
      </c>
      <c r="FY416" s="630">
        <v>0.6615155</v>
      </c>
      <c r="FZ416" s="630">
        <v>357.27346</v>
      </c>
      <c r="GA416" s="630">
        <v>1100.3338</v>
      </c>
      <c r="GB416" s="630">
        <v>150.23874</v>
      </c>
      <c r="GC416" s="630">
        <v>52.074905</v>
      </c>
      <c r="GD416" s="630">
        <v>200.45947</v>
      </c>
      <c r="GE416" s="630">
        <v>43.788535</v>
      </c>
      <c r="GF416" s="630">
        <v>61.566294</v>
      </c>
      <c r="GG416" s="630">
        <v>370.04992</v>
      </c>
      <c r="GH416" s="630">
        <v>5708.7241</v>
      </c>
      <c r="GI416" s="630">
        <v>1671.4293</v>
      </c>
      <c r="GJ416" s="630">
        <v>0.34163551</v>
      </c>
      <c r="GK416" s="630">
        <v>21.863913</v>
      </c>
      <c r="GL416" s="630">
        <v>4.2165915</v>
      </c>
      <c r="GM416" s="630">
        <v>4.2165915</v>
      </c>
      <c r="GN416" s="630">
        <v>0.66151549</v>
      </c>
      <c r="GO416" s="630">
        <v>0.34812099</v>
      </c>
      <c r="GP416" s="630">
        <v>3.6754864</v>
      </c>
      <c r="GQ416" s="630">
        <v>0.0</v>
      </c>
      <c r="GR416" s="630">
        <v>0.0</v>
      </c>
      <c r="GS416" s="630">
        <v>9.5258231</v>
      </c>
      <c r="GT416" s="630">
        <v>4.16147</v>
      </c>
      <c r="GU416" s="630">
        <v>7.9493689</v>
      </c>
      <c r="GV416" s="630">
        <v>13.044684</v>
      </c>
      <c r="GW416" s="630">
        <v>0.50528792</v>
      </c>
      <c r="GX416" s="630">
        <v>0.66675722</v>
      </c>
      <c r="GY416" s="630">
        <v>2.6198423</v>
      </c>
      <c r="GZ416" s="630">
        <v>2.4015421</v>
      </c>
      <c r="HA416" s="630">
        <v>0.0</v>
      </c>
      <c r="HB416" s="630">
        <v>0.0</v>
      </c>
      <c r="HC416" s="630">
        <v>0.0</v>
      </c>
      <c r="HD416" s="630">
        <v>29.683397</v>
      </c>
      <c r="HE416" s="630">
        <v>68.686353</v>
      </c>
      <c r="HF416" s="630">
        <v>2.4015421</v>
      </c>
      <c r="HG416" s="630">
        <v>2.6198423</v>
      </c>
      <c r="HH416" s="630">
        <v>384.11097</v>
      </c>
      <c r="HI416" s="630">
        <v>0.0</v>
      </c>
      <c r="HJ416" s="630">
        <v>3.6754864</v>
      </c>
      <c r="HK416" s="630">
        <v>51.95109</v>
      </c>
      <c r="HL416" s="630">
        <v>3375.5011</v>
      </c>
      <c r="HM416" s="630">
        <v>2216.1421</v>
      </c>
      <c r="HN416" s="630">
        <v>16699.372</v>
      </c>
      <c r="HO416" s="630">
        <v>16158.845</v>
      </c>
      <c r="HP416" s="630">
        <v>18659.015</v>
      </c>
      <c r="HQ416" s="630">
        <v>272.61061</v>
      </c>
      <c r="HR416" s="630">
        <v>47.151701</v>
      </c>
      <c r="HS416" s="630">
        <v>14.252899</v>
      </c>
      <c r="HT416" s="630">
        <v>14.542333</v>
      </c>
      <c r="HU416" s="630">
        <v>24.605925</v>
      </c>
      <c r="HV416" s="630">
        <v>16.947073</v>
      </c>
      <c r="HW416" s="630">
        <v>2023.5556</v>
      </c>
      <c r="HX416" s="630">
        <v>27.812937</v>
      </c>
      <c r="HY416" s="630">
        <v>21.014057</v>
      </c>
      <c r="HZ416" s="630">
        <v>50.322849</v>
      </c>
      <c r="IA416" s="630">
        <v>39.889043</v>
      </c>
      <c r="IB416" s="630">
        <v>66.844473</v>
      </c>
      <c r="IC416" s="630">
        <v>818.39863</v>
      </c>
      <c r="ID416" s="630">
        <v>1092.3968</v>
      </c>
      <c r="IE416" s="630">
        <v>286.50047</v>
      </c>
      <c r="IF416" s="630">
        <v>121.14991</v>
      </c>
      <c r="IG416" s="630">
        <v>398.53759</v>
      </c>
      <c r="IH416" s="630">
        <v>208.3115</v>
      </c>
      <c r="II416" s="630">
        <v>2044.7383</v>
      </c>
      <c r="IJ416" s="630">
        <v>1815.8508</v>
      </c>
      <c r="IK416" s="630">
        <v>1788.5404</v>
      </c>
      <c r="IL416" s="630">
        <v>378.37136</v>
      </c>
      <c r="IM416" s="630">
        <v>330.67246</v>
      </c>
      <c r="IN416" s="630">
        <v>208.45157</v>
      </c>
      <c r="IO416" s="630">
        <v>753.75761</v>
      </c>
      <c r="IP416" s="630">
        <v>262.4439</v>
      </c>
      <c r="IQ416" s="630">
        <v>470.32962</v>
      </c>
      <c r="IR416" s="630">
        <v>358.31425</v>
      </c>
      <c r="IS416" s="630">
        <v>161.4309</v>
      </c>
      <c r="IT416" s="630">
        <v>325.51638</v>
      </c>
      <c r="IU416" s="630">
        <v>359.18479</v>
      </c>
      <c r="IV416" s="630">
        <v>522.4762</v>
      </c>
      <c r="IW416" s="630">
        <v>238.52434</v>
      </c>
      <c r="IX416" s="630">
        <v>47.23346</v>
      </c>
      <c r="IY416" s="630">
        <v>620.92421</v>
      </c>
      <c r="IZ416" s="630">
        <v>467.83968</v>
      </c>
      <c r="JA416" s="630">
        <v>6.2860445</v>
      </c>
      <c r="JB416" s="630">
        <v>0.0</v>
      </c>
      <c r="JC416" s="630">
        <v>2598.5208</v>
      </c>
      <c r="JD416" s="630">
        <v>3912.6229</v>
      </c>
      <c r="JE416" s="630">
        <v>2289.8404</v>
      </c>
      <c r="JF416" s="630">
        <v>2300.4489</v>
      </c>
      <c r="JG416" s="630">
        <v>3615.7736</v>
      </c>
      <c r="JH416" s="630">
        <v>3635.1047</v>
      </c>
      <c r="JI416" s="630">
        <v>4413.0606</v>
      </c>
      <c r="JJ416" s="630">
        <v>5495.8978</v>
      </c>
      <c r="JK416" s="630">
        <v>3817.75</v>
      </c>
      <c r="JL416" s="630">
        <v>5132.4042</v>
      </c>
      <c r="JM416" s="630">
        <v>4710.3484</v>
      </c>
      <c r="JN416" s="630">
        <v>17.152831</v>
      </c>
      <c r="JO416" s="630">
        <v>15.824648</v>
      </c>
      <c r="JP416" s="630">
        <v>18.976578</v>
      </c>
      <c r="JQ416" s="630">
        <v>17.648395</v>
      </c>
      <c r="JR416" s="630">
        <v>0.38487146</v>
      </c>
      <c r="JS416" s="630">
        <v>0.1931816</v>
      </c>
      <c r="JT416" s="630">
        <v>661.60521</v>
      </c>
      <c r="JU416" s="630">
        <v>158.03912</v>
      </c>
      <c r="JV416" s="630">
        <v>4.4756786</v>
      </c>
      <c r="JW416" s="630">
        <v>111.17318</v>
      </c>
      <c r="JX416" s="630">
        <v>4.52996</v>
      </c>
      <c r="JY416" s="630">
        <v>3925.7823</v>
      </c>
      <c r="JZ416" s="630">
        <v>1954.7549</v>
      </c>
      <c r="KA416" s="630">
        <v>4572.9308</v>
      </c>
      <c r="KB416" s="630">
        <v>7447.6713</v>
      </c>
      <c r="KC416" s="630">
        <v>75548.219</v>
      </c>
      <c r="KD416" s="630">
        <v>11304.345</v>
      </c>
      <c r="KE416" s="630">
        <v>1120.9563</v>
      </c>
      <c r="KF416" s="630">
        <v>1556.5041</v>
      </c>
      <c r="KG416" s="630">
        <v>677.61274</v>
      </c>
      <c r="KH416" s="630">
        <v>526763.05</v>
      </c>
      <c r="KI416" s="630">
        <v>91681.352</v>
      </c>
      <c r="KJ416" s="630">
        <v>83789.46</v>
      </c>
      <c r="KK416" s="630">
        <v>78.364754</v>
      </c>
      <c r="KL416" s="630">
        <v>1291.3833</v>
      </c>
      <c r="KM416" s="630">
        <v>1573.8653</v>
      </c>
      <c r="KN416" s="630">
        <v>10.321728</v>
      </c>
      <c r="KO416" s="630">
        <v>12.685319</v>
      </c>
      <c r="KP416" s="630">
        <v>4.6564588</v>
      </c>
      <c r="KQ416" s="630">
        <v>10.057616</v>
      </c>
      <c r="KR416" s="630">
        <v>15.677485</v>
      </c>
      <c r="KS416" s="630">
        <v>12.48546</v>
      </c>
      <c r="KT416" s="630">
        <v>35.242319</v>
      </c>
      <c r="KU416" s="630">
        <v>136.55097</v>
      </c>
      <c r="KV416" s="630">
        <v>16.054864</v>
      </c>
      <c r="KW416" s="630">
        <v>12.925143</v>
      </c>
      <c r="KX416" s="630">
        <v>18.881968</v>
      </c>
      <c r="KY416" s="630">
        <v>19.931499</v>
      </c>
      <c r="KZ416" s="630">
        <v>19.542496</v>
      </c>
      <c r="LA416" s="630">
        <v>21.000752</v>
      </c>
      <c r="LB416" s="630">
        <v>47.562031</v>
      </c>
      <c r="LC416" s="630">
        <v>52.531794</v>
      </c>
      <c r="LD416" s="630">
        <v>35.121446</v>
      </c>
      <c r="LE416" s="630">
        <v>26.564958</v>
      </c>
      <c r="LF416" s="630">
        <v>83.369414</v>
      </c>
      <c r="LG416" s="630">
        <v>44.87802</v>
      </c>
      <c r="LH416" s="630">
        <v>57.282338</v>
      </c>
      <c r="LI416" s="630">
        <v>95.211551</v>
      </c>
      <c r="LJ416" s="630">
        <v>35.225704</v>
      </c>
      <c r="LK416" s="630">
        <v>110.63007</v>
      </c>
      <c r="LL416" s="630">
        <v>28.849578</v>
      </c>
      <c r="LM416" s="630">
        <v>63.273606</v>
      </c>
      <c r="LN416" s="630">
        <v>90.814661</v>
      </c>
      <c r="LO416" s="630">
        <v>78.550063</v>
      </c>
      <c r="LP416" s="630">
        <v>210.659</v>
      </c>
      <c r="LQ416" s="630">
        <v>795.66455</v>
      </c>
      <c r="LR416" s="630">
        <v>123.69532</v>
      </c>
      <c r="LS416" s="630">
        <v>1453.6326</v>
      </c>
      <c r="LT416" s="630">
        <v>232.62519</v>
      </c>
      <c r="LU416" s="630">
        <v>335867.47</v>
      </c>
      <c r="LV416" s="630">
        <v>101857.43</v>
      </c>
      <c r="LW416" s="630">
        <v>5760.969</v>
      </c>
      <c r="LX416" s="630">
        <v>8929.8052</v>
      </c>
      <c r="LY416" s="630">
        <v>4.0803097</v>
      </c>
      <c r="LZ416" s="630">
        <v>1070.4334</v>
      </c>
      <c r="MA416" s="630">
        <v>214.4636</v>
      </c>
      <c r="MB416" s="630">
        <v>686.77299</v>
      </c>
      <c r="MC416" s="630">
        <v>18.960304</v>
      </c>
      <c r="MD416" s="630">
        <v>14.704626</v>
      </c>
      <c r="ME416" s="630">
        <v>167.12711</v>
      </c>
      <c r="MF416" s="630">
        <v>18278.531</v>
      </c>
      <c r="MG416" s="630">
        <v>7.2009255</v>
      </c>
      <c r="MH416" s="630">
        <v>3.8438377</v>
      </c>
      <c r="MI416" s="630">
        <v>0.1931816</v>
      </c>
      <c r="MJ416" s="630">
        <v>66.379058</v>
      </c>
      <c r="MK416" s="630">
        <v>6.1104245</v>
      </c>
      <c r="ML416" s="630">
        <v>7.5699339</v>
      </c>
      <c r="MM416" s="630">
        <v>5.9566244</v>
      </c>
      <c r="MN416" s="630">
        <v>4.5541274</v>
      </c>
      <c r="MO416" s="630">
        <v>5.4197878</v>
      </c>
      <c r="MP416" s="630">
        <v>3.9155884</v>
      </c>
      <c r="MQ416" s="630">
        <v>9.157938</v>
      </c>
      <c r="MR416" s="630">
        <v>8.2904222</v>
      </c>
      <c r="MS416" s="630">
        <v>6.1039347</v>
      </c>
      <c r="MT416" s="630">
        <v>8.2496624</v>
      </c>
      <c r="MU416" s="630">
        <v>7.4116695</v>
      </c>
      <c r="MV416" s="630">
        <v>5.3276984</v>
      </c>
      <c r="MW416" s="630">
        <v>6049.2302</v>
      </c>
      <c r="MX416" s="630">
        <v>35019.038</v>
      </c>
      <c r="MY416" s="630">
        <v>27627.509</v>
      </c>
      <c r="MZ416" s="630">
        <v>15226.517</v>
      </c>
      <c r="NA416" s="630">
        <v>92.867767</v>
      </c>
      <c r="NB416" s="630">
        <v>137.57848</v>
      </c>
      <c r="NC416" s="630">
        <v>443.01655</v>
      </c>
      <c r="ND416" s="630">
        <v>8134.5087</v>
      </c>
      <c r="NE416" s="630">
        <v>750.93364</v>
      </c>
      <c r="NF416" s="630">
        <v>2043.3812</v>
      </c>
      <c r="NG416" s="630">
        <v>28553.058</v>
      </c>
      <c r="NH416" s="630">
        <v>754.01571</v>
      </c>
      <c r="NI416" s="630">
        <v>1253.5704</v>
      </c>
      <c r="NJ416" s="630">
        <v>358.73689</v>
      </c>
      <c r="NK416" s="630">
        <v>118.07623</v>
      </c>
      <c r="NL416" s="630">
        <v>10.24242</v>
      </c>
      <c r="NM416" s="630">
        <v>22.937844</v>
      </c>
      <c r="NN416" s="630">
        <v>1901.9314</v>
      </c>
      <c r="NO416" s="630">
        <v>386.12464</v>
      </c>
      <c r="NP416" s="630">
        <v>8.487732</v>
      </c>
      <c r="NQ416" s="630">
        <v>29683.245</v>
      </c>
      <c r="NR416" s="630">
        <v>42285.967</v>
      </c>
      <c r="NS416" s="630">
        <v>28321.854</v>
      </c>
      <c r="NT416" s="630">
        <v>31314.121</v>
      </c>
      <c r="NU416" s="630">
        <v>14431.61</v>
      </c>
      <c r="NV416" s="630">
        <v>11.008312</v>
      </c>
      <c r="NW416" s="630">
        <v>3744.0887</v>
      </c>
      <c r="NY416" s="630">
        <v>0.0</v>
      </c>
      <c r="NZ416" s="630"/>
      <c r="OA416" s="630">
        <v>2.19</v>
      </c>
      <c r="OB416" s="631">
        <v>39.5</v>
      </c>
      <c r="OC416" s="631"/>
      <c r="OD416" s="626"/>
      <c r="OE416" s="631">
        <f t="shared" si="3"/>
        <v>3438.190172</v>
      </c>
      <c r="OF416" s="631">
        <v>2082.635016754639</v>
      </c>
      <c r="OG416" s="630">
        <v>3655.078997046159</v>
      </c>
      <c r="OI416" s="626"/>
      <c r="OJ416" s="626"/>
      <c r="OK416" s="626"/>
      <c r="OL416" s="626"/>
      <c r="OM416" s="626"/>
      <c r="ON416" s="626"/>
    </row>
    <row r="417" ht="12.75" customHeight="1">
      <c r="A417" s="55" t="s">
        <v>4993</v>
      </c>
      <c r="B417" s="55" t="s">
        <v>4978</v>
      </c>
      <c r="C417" s="630">
        <v>0.018240716</v>
      </c>
      <c r="D417" s="630">
        <v>0.45819051</v>
      </c>
      <c r="E417" s="630">
        <v>0.013534799</v>
      </c>
      <c r="F417" s="630">
        <v>0.0060022818</v>
      </c>
      <c r="G417" s="630">
        <v>0.069603139</v>
      </c>
      <c r="H417" s="630">
        <v>0.076950881</v>
      </c>
      <c r="I417" s="630">
        <v>0.23439019</v>
      </c>
      <c r="J417" s="630">
        <v>0.26628246</v>
      </c>
      <c r="K417" s="630">
        <v>48.228811</v>
      </c>
      <c r="L417" s="630">
        <v>2.9468245</v>
      </c>
      <c r="M417" s="630">
        <v>3.1094365</v>
      </c>
      <c r="N417" s="630">
        <v>0.535868</v>
      </c>
      <c r="O417" s="630">
        <v>0.28908808</v>
      </c>
      <c r="P417" s="630">
        <v>0.49259481</v>
      </c>
      <c r="Q417" s="630">
        <v>0.001622843</v>
      </c>
      <c r="R417" s="630">
        <v>0.0025576012</v>
      </c>
      <c r="S417" s="630">
        <v>4.8914508E-5</v>
      </c>
      <c r="T417" s="630">
        <v>2.9419435E-6</v>
      </c>
      <c r="U417" s="630">
        <v>5.6786681E-5</v>
      </c>
      <c r="V417" s="630">
        <v>0.0</v>
      </c>
      <c r="W417" s="630">
        <v>0.059952051</v>
      </c>
      <c r="X417" s="630">
        <v>0.065610897</v>
      </c>
      <c r="Y417" s="630">
        <v>0.064597123</v>
      </c>
      <c r="Z417" s="630">
        <v>0.058994305</v>
      </c>
      <c r="AA417" s="630">
        <v>0.0049916305</v>
      </c>
      <c r="AB417" s="630">
        <v>0.0047996447</v>
      </c>
      <c r="AC417" s="630">
        <v>0.0022892502</v>
      </c>
      <c r="AD417" s="630">
        <v>31.96527</v>
      </c>
      <c r="AE417" s="630">
        <v>0.9288371</v>
      </c>
      <c r="AF417" s="630">
        <v>2.9060441</v>
      </c>
      <c r="AG417" s="630">
        <v>0.9935902</v>
      </c>
      <c r="AH417" s="630">
        <v>0.0020730344</v>
      </c>
      <c r="AI417" s="630">
        <v>0.0026120668</v>
      </c>
      <c r="AJ417" s="630">
        <v>0.047462795</v>
      </c>
      <c r="AK417" s="630">
        <v>0.19423043</v>
      </c>
      <c r="AL417" s="630">
        <v>0.1933935</v>
      </c>
      <c r="AM417" s="630">
        <v>0.17129325</v>
      </c>
      <c r="AN417" s="630">
        <v>0.17039623</v>
      </c>
      <c r="AO417" s="630">
        <v>0.33629619</v>
      </c>
      <c r="AP417" s="630">
        <v>0.33542731</v>
      </c>
      <c r="AQ417" s="630">
        <v>0.26830881</v>
      </c>
      <c r="AR417" s="630">
        <v>0.26742772</v>
      </c>
      <c r="AS417" s="630">
        <v>0.15554802</v>
      </c>
      <c r="AT417" s="630">
        <v>0.1548519</v>
      </c>
      <c r="AU417" s="630">
        <v>0.026987388</v>
      </c>
      <c r="AV417" s="630">
        <v>1.6783652</v>
      </c>
      <c r="AW417" s="630">
        <v>1.8673207</v>
      </c>
      <c r="AX417" s="630">
        <v>2.2084105</v>
      </c>
      <c r="AY417" s="630">
        <v>0.1707525</v>
      </c>
      <c r="AZ417" s="630">
        <v>0.0013032988</v>
      </c>
      <c r="BA417" s="630">
        <v>0.008394848</v>
      </c>
      <c r="BB417" s="630">
        <v>0.0024960844</v>
      </c>
      <c r="BC417" s="630">
        <v>0.0030286513</v>
      </c>
      <c r="BD417" s="630">
        <v>0.0062085393</v>
      </c>
      <c r="BE417" s="630">
        <v>0.0072852235</v>
      </c>
      <c r="BF417" s="630">
        <v>0.0021039677</v>
      </c>
      <c r="BG417" s="630">
        <v>0.023559072</v>
      </c>
      <c r="BH417" s="630">
        <v>0.021751043</v>
      </c>
      <c r="BI417" s="630">
        <v>0.0078964541</v>
      </c>
      <c r="BJ417" s="630">
        <v>0.022496081</v>
      </c>
      <c r="BK417" s="630">
        <v>0.05113845</v>
      </c>
      <c r="BL417" s="630">
        <v>0.014746508</v>
      </c>
      <c r="BM417" s="630">
        <v>0.043388878</v>
      </c>
      <c r="BN417" s="630">
        <v>8.2170797</v>
      </c>
      <c r="BO417" s="630">
        <v>1.1933502E-4</v>
      </c>
      <c r="BP417" s="630">
        <v>9.3673294E-4</v>
      </c>
      <c r="BQ417" s="630">
        <v>0.49810629</v>
      </c>
      <c r="BR417" s="630">
        <v>0.54822012</v>
      </c>
      <c r="BS417" s="630">
        <v>0.56598891</v>
      </c>
      <c r="BT417" s="630">
        <v>1.1802946</v>
      </c>
      <c r="BU417" s="630">
        <v>0.49608485</v>
      </c>
      <c r="BV417" s="630">
        <v>0.75295899</v>
      </c>
      <c r="BW417" s="630">
        <v>0.0011643154</v>
      </c>
      <c r="BX417" s="630">
        <v>37.561624</v>
      </c>
      <c r="BY417" s="630">
        <v>0.19387643</v>
      </c>
      <c r="BZ417" s="630">
        <v>0.16509264</v>
      </c>
      <c r="CA417" s="630">
        <v>1.2023525E-4</v>
      </c>
      <c r="CB417" s="630">
        <v>7.6831823E-5</v>
      </c>
      <c r="CC417" s="630">
        <v>8.9880985E-5</v>
      </c>
      <c r="CD417" s="630">
        <v>1.0449635E-4</v>
      </c>
      <c r="CE417" s="630">
        <v>2.1145634</v>
      </c>
      <c r="CF417" s="630">
        <v>3.3367394</v>
      </c>
      <c r="CG417" s="630">
        <v>0.21743218</v>
      </c>
      <c r="CH417" s="630">
        <v>0.28697146</v>
      </c>
      <c r="CI417" s="630">
        <v>2.744839E-4</v>
      </c>
      <c r="CJ417" s="630">
        <v>9.2172425E-4</v>
      </c>
      <c r="CK417" s="630">
        <v>8.0934371E-4</v>
      </c>
      <c r="CL417" s="630">
        <v>9.6578978E-5</v>
      </c>
      <c r="CM417" s="630">
        <v>1.0610097E-4</v>
      </c>
      <c r="CN417" s="630">
        <v>0.054950952</v>
      </c>
      <c r="CO417" s="630">
        <v>0.080326031</v>
      </c>
      <c r="CP417" s="630">
        <v>0.047578251</v>
      </c>
      <c r="CQ417" s="630">
        <v>0.23036488</v>
      </c>
      <c r="CR417" s="630">
        <v>0.3487818</v>
      </c>
      <c r="CS417" s="630">
        <v>0.3487818</v>
      </c>
      <c r="CT417" s="630">
        <v>7.6816651E-5</v>
      </c>
      <c r="CU417" s="630">
        <v>7.1451082E-4</v>
      </c>
      <c r="CV417" s="630">
        <v>1.0752794E-4</v>
      </c>
      <c r="CW417" s="630">
        <v>1.44229E-4</v>
      </c>
      <c r="CX417" s="630">
        <v>0.067874067</v>
      </c>
      <c r="CY417" s="630">
        <v>0.0090395528</v>
      </c>
      <c r="CZ417" s="630">
        <v>0.020150938</v>
      </c>
      <c r="DA417" s="630">
        <v>0.018839299</v>
      </c>
      <c r="DB417" s="630">
        <v>1.1432854E-4</v>
      </c>
      <c r="DC417" s="630">
        <v>1.0459611E-4</v>
      </c>
      <c r="DD417" s="630">
        <v>0.0017473029</v>
      </c>
      <c r="DE417" s="630">
        <v>0.002481285</v>
      </c>
      <c r="DF417" s="630">
        <v>0.0016165124</v>
      </c>
      <c r="DG417" s="630">
        <v>0.0017473029</v>
      </c>
      <c r="DH417" s="630">
        <v>0.002481285</v>
      </c>
      <c r="DI417" s="630">
        <v>0.002538059</v>
      </c>
      <c r="DJ417" s="630">
        <v>0.0026716127</v>
      </c>
      <c r="DK417" s="630">
        <v>0.0026716127</v>
      </c>
      <c r="DL417" s="630">
        <v>0.0034055947</v>
      </c>
      <c r="DM417" s="630">
        <v>0.0026716127</v>
      </c>
      <c r="DN417" s="630">
        <v>0.0034055947</v>
      </c>
      <c r="DO417" s="630">
        <v>1.0459611E-4</v>
      </c>
      <c r="DP417" s="630">
        <v>1.2913221E-4</v>
      </c>
      <c r="DQ417" s="630">
        <v>1.8479961E-4</v>
      </c>
      <c r="DR417" s="630">
        <v>1.5644201E-4</v>
      </c>
      <c r="DS417" s="630">
        <v>1.6971881E-4</v>
      </c>
      <c r="DT417" s="630">
        <v>5.7596868E-4</v>
      </c>
      <c r="DU417" s="630">
        <v>0.0069564892</v>
      </c>
      <c r="DV417" s="630">
        <v>0.0033355656</v>
      </c>
      <c r="DW417" s="630">
        <v>0.0076871117</v>
      </c>
      <c r="DX417" s="630">
        <v>0.19407661</v>
      </c>
      <c r="DY417" s="630">
        <v>0.01714755</v>
      </c>
      <c r="DZ417" s="630">
        <v>0.01746451</v>
      </c>
      <c r="EA417" s="630">
        <v>5.6786681E-5</v>
      </c>
      <c r="EB417" s="630">
        <v>7.7068567E-5</v>
      </c>
      <c r="EC417" s="630">
        <v>9.1343245E-5</v>
      </c>
      <c r="ED417" s="630">
        <v>0.0083043011</v>
      </c>
      <c r="EE417" s="630">
        <v>7.1727849E-5</v>
      </c>
      <c r="EF417" s="630">
        <v>0.0</v>
      </c>
      <c r="EG417" s="630">
        <v>0.0</v>
      </c>
      <c r="EH417" s="630">
        <v>0.0</v>
      </c>
      <c r="EI417" s="630">
        <v>7.317817E-5</v>
      </c>
      <c r="EJ417" s="630">
        <v>7.1702549E-5</v>
      </c>
      <c r="EK417" s="630">
        <v>0.0024268913</v>
      </c>
      <c r="EL417" s="630">
        <v>0.0</v>
      </c>
      <c r="EM417" s="630">
        <v>0.0</v>
      </c>
      <c r="EN417" s="630">
        <v>0.0</v>
      </c>
      <c r="EO417" s="630">
        <v>0.0</v>
      </c>
      <c r="EP417" s="630">
        <v>0.17563438</v>
      </c>
      <c r="EQ417" s="630">
        <v>0.34577362</v>
      </c>
      <c r="ER417" s="630">
        <v>0.0</v>
      </c>
      <c r="ES417" s="630">
        <v>0.0</v>
      </c>
      <c r="ET417" s="630">
        <v>0.0011123816</v>
      </c>
      <c r="EU417" s="630">
        <v>6.5330758E-5</v>
      </c>
      <c r="EV417" s="630">
        <v>6.5330758E-5</v>
      </c>
      <c r="EW417" s="630">
        <v>6.1351753E-5</v>
      </c>
      <c r="EX417" s="630">
        <v>2.279466E-4</v>
      </c>
      <c r="EY417" s="630">
        <v>0.0016246847</v>
      </c>
      <c r="EZ417" s="630">
        <v>0.0018384991</v>
      </c>
      <c r="FA417" s="630">
        <v>3.5330367E-4</v>
      </c>
      <c r="FB417" s="630">
        <v>7.1953904E-4</v>
      </c>
      <c r="FC417" s="630">
        <v>2.319029E-4</v>
      </c>
      <c r="FD417" s="630">
        <v>6.2859033E-4</v>
      </c>
      <c r="FE417" s="630">
        <v>0.0033841529</v>
      </c>
      <c r="FF417" s="630">
        <v>6.5039577E-4</v>
      </c>
      <c r="FG417" s="630">
        <v>8.2064738E-4</v>
      </c>
      <c r="FH417" s="630">
        <v>2.3921945E-4</v>
      </c>
      <c r="FI417" s="630">
        <v>1.2989801E-4</v>
      </c>
      <c r="FJ417" s="630">
        <v>0.0011833803</v>
      </c>
      <c r="FK417" s="630">
        <v>5.7531552E-4</v>
      </c>
      <c r="FL417" s="630">
        <v>2.0896244E-4</v>
      </c>
      <c r="FM417" s="630">
        <v>1.5322112E-4</v>
      </c>
      <c r="FN417" s="630">
        <v>0.001247965</v>
      </c>
      <c r="FO417" s="630">
        <v>0.014432926</v>
      </c>
      <c r="FP417" s="630">
        <v>0.0010323262</v>
      </c>
      <c r="FQ417" s="630">
        <v>8.5398932E-4</v>
      </c>
      <c r="FR417" s="630">
        <v>0.0013158042</v>
      </c>
      <c r="FS417" s="630">
        <v>0.0010225632</v>
      </c>
      <c r="FT417" s="630">
        <v>6.2360503E-5</v>
      </c>
      <c r="FU417" s="630">
        <v>0.007673593</v>
      </c>
      <c r="FV417" s="630">
        <v>9.2405156E-4</v>
      </c>
      <c r="FW417" s="630">
        <v>9.1343246E-5</v>
      </c>
      <c r="FX417" s="630">
        <v>9.1735074E-4</v>
      </c>
      <c r="FY417" s="630">
        <v>9.1343246E-5</v>
      </c>
      <c r="FZ417" s="630">
        <v>0.003184254</v>
      </c>
      <c r="GA417" s="630">
        <v>0.017616545</v>
      </c>
      <c r="GB417" s="630">
        <v>0.0025791465</v>
      </c>
      <c r="GC417" s="630">
        <v>8.0991293E-4</v>
      </c>
      <c r="GD417" s="630">
        <v>8.6054696E-4</v>
      </c>
      <c r="GE417" s="630">
        <v>0.0063373738</v>
      </c>
      <c r="GF417" s="630">
        <v>9.8568766E-4</v>
      </c>
      <c r="GG417" s="630">
        <v>0.0046233966</v>
      </c>
      <c r="GH417" s="630">
        <v>0.040078221</v>
      </c>
      <c r="GI417" s="630">
        <v>0.025068127</v>
      </c>
      <c r="GJ417" s="630">
        <v>6.7872168E-5</v>
      </c>
      <c r="GK417" s="630">
        <v>1.3236409E-4</v>
      </c>
      <c r="GL417" s="630">
        <v>6.5579994E-5</v>
      </c>
      <c r="GM417" s="630">
        <v>6.5579994E-5</v>
      </c>
      <c r="GN417" s="630">
        <v>9.1343246E-5</v>
      </c>
      <c r="GO417" s="630">
        <v>6.8020495E-5</v>
      </c>
      <c r="GP417" s="630">
        <v>5.7164271E-5</v>
      </c>
      <c r="GQ417" s="630">
        <v>0.0</v>
      </c>
      <c r="GR417" s="630">
        <v>0.0</v>
      </c>
      <c r="GS417" s="630">
        <v>0.0013153427</v>
      </c>
      <c r="GT417" s="630">
        <v>5.746642E-4</v>
      </c>
      <c r="GU417" s="630">
        <v>9.3450597E-4</v>
      </c>
      <c r="GV417" s="630">
        <v>4.6052991E-4</v>
      </c>
      <c r="GW417" s="630">
        <v>7.4392077E-5</v>
      </c>
      <c r="GX417" s="630">
        <v>8.792211E-5</v>
      </c>
      <c r="GY417" s="630">
        <v>4.1944156E-5</v>
      </c>
      <c r="GZ417" s="630">
        <v>3.844913E-5</v>
      </c>
      <c r="HA417" s="630">
        <v>0.0</v>
      </c>
      <c r="HB417" s="630">
        <v>0.0</v>
      </c>
      <c r="HC417" s="630">
        <v>0.0</v>
      </c>
      <c r="HD417" s="630">
        <v>3.0816285E-4</v>
      </c>
      <c r="HE417" s="630">
        <v>0.0018964592</v>
      </c>
      <c r="HF417" s="630">
        <v>3.844913E-5</v>
      </c>
      <c r="HG417" s="630">
        <v>4.1944156E-5</v>
      </c>
      <c r="HH417" s="630">
        <v>0.050616609</v>
      </c>
      <c r="HI417" s="630">
        <v>0.0</v>
      </c>
      <c r="HJ417" s="630">
        <v>5.7164271E-5</v>
      </c>
      <c r="HK417" s="630">
        <v>4.1743501E-4</v>
      </c>
      <c r="HL417" s="630">
        <v>44.16325</v>
      </c>
      <c r="HM417" s="630">
        <v>60.933393</v>
      </c>
      <c r="HN417" s="630">
        <v>33.583977</v>
      </c>
      <c r="HO417" s="630">
        <v>26.660069</v>
      </c>
      <c r="HP417" s="630">
        <v>3.4503241</v>
      </c>
      <c r="HQ417" s="630">
        <v>1.0199762</v>
      </c>
      <c r="HR417" s="630">
        <v>0.012383518</v>
      </c>
      <c r="HS417" s="630">
        <v>0.011190568</v>
      </c>
      <c r="HT417" s="630">
        <v>0.024858003</v>
      </c>
      <c r="HU417" s="630">
        <v>0.0064848532</v>
      </c>
      <c r="HV417" s="630">
        <v>0.025027777</v>
      </c>
      <c r="HW417" s="630">
        <v>45.292757</v>
      </c>
      <c r="HX417" s="630">
        <v>3.4385685</v>
      </c>
      <c r="HY417" s="630">
        <v>1.3007476</v>
      </c>
      <c r="HZ417" s="630">
        <v>0.76300502</v>
      </c>
      <c r="IA417" s="630">
        <v>0.015545568</v>
      </c>
      <c r="IB417" s="630">
        <v>0.018995513</v>
      </c>
      <c r="IC417" s="630">
        <v>0.041659253</v>
      </c>
      <c r="ID417" s="630">
        <v>0.020301198</v>
      </c>
      <c r="IE417" s="630">
        <v>179.96889</v>
      </c>
      <c r="IF417" s="630">
        <v>10.254924</v>
      </c>
      <c r="IG417" s="630">
        <v>5.8903165</v>
      </c>
      <c r="IH417" s="630">
        <v>0.46325375</v>
      </c>
      <c r="II417" s="630">
        <v>0.024251441</v>
      </c>
      <c r="IJ417" s="630">
        <v>0.17985627</v>
      </c>
      <c r="IK417" s="630">
        <v>0.18305026</v>
      </c>
      <c r="IL417" s="630">
        <v>3.8904274</v>
      </c>
      <c r="IM417" s="630">
        <v>168.68847</v>
      </c>
      <c r="IN417" s="630">
        <v>4.5512445</v>
      </c>
      <c r="IO417" s="630">
        <v>49.366561</v>
      </c>
      <c r="IP417" s="630">
        <v>0.012201048</v>
      </c>
      <c r="IQ417" s="630">
        <v>16.483668</v>
      </c>
      <c r="IR417" s="630">
        <v>8.6407871</v>
      </c>
      <c r="IS417" s="630">
        <v>1.2047296</v>
      </c>
      <c r="IT417" s="630">
        <v>0.033879716</v>
      </c>
      <c r="IU417" s="630">
        <v>0.060881978</v>
      </c>
      <c r="IV417" s="630">
        <v>0.011494394</v>
      </c>
      <c r="IW417" s="630">
        <v>0.22411933</v>
      </c>
      <c r="IX417" s="630">
        <v>0.16801828</v>
      </c>
      <c r="IY417" s="630">
        <v>0.26628327</v>
      </c>
      <c r="IZ417" s="630">
        <v>0.019408554</v>
      </c>
      <c r="JA417" s="630">
        <v>2.7035686E-4</v>
      </c>
      <c r="JB417" s="630">
        <v>0.0</v>
      </c>
      <c r="JC417" s="630">
        <v>1.2272458</v>
      </c>
      <c r="JD417" s="630">
        <v>2.9218045</v>
      </c>
      <c r="JE417" s="630">
        <v>0.87539554</v>
      </c>
      <c r="JF417" s="630">
        <v>0.83249052</v>
      </c>
      <c r="JG417" s="630">
        <v>2.521158</v>
      </c>
      <c r="JH417" s="630">
        <v>1.2460916</v>
      </c>
      <c r="JI417" s="630">
        <v>1.9600261</v>
      </c>
      <c r="JJ417" s="630">
        <v>3.2612949</v>
      </c>
      <c r="JK417" s="630">
        <v>1.1560691</v>
      </c>
      <c r="JL417" s="630">
        <v>2.7888921</v>
      </c>
      <c r="JM417" s="630">
        <v>2.3607722</v>
      </c>
      <c r="JN417" s="630">
        <v>1.1332209</v>
      </c>
      <c r="JO417" s="630">
        <v>1.3019738</v>
      </c>
      <c r="JP417" s="630">
        <v>1.1328042</v>
      </c>
      <c r="JQ417" s="630">
        <v>1.301557</v>
      </c>
      <c r="JR417" s="630">
        <v>5.9520835E-5</v>
      </c>
      <c r="JS417" s="630">
        <v>2.9430913E-5</v>
      </c>
      <c r="JT417" s="630">
        <v>0.10443454</v>
      </c>
      <c r="JU417" s="630">
        <v>0.034253972</v>
      </c>
      <c r="JV417" s="630">
        <v>0.0035869756</v>
      </c>
      <c r="JW417" s="630">
        <v>2.6140696</v>
      </c>
      <c r="JX417" s="630">
        <v>0.0035160036</v>
      </c>
      <c r="JY417" s="630">
        <v>1.0670875</v>
      </c>
      <c r="JZ417" s="630">
        <v>33.454983</v>
      </c>
      <c r="KA417" s="630">
        <v>75.07249</v>
      </c>
      <c r="KB417" s="630">
        <v>4.4321972</v>
      </c>
      <c r="KC417" s="630">
        <v>16.202613</v>
      </c>
      <c r="KD417" s="630">
        <v>13.627322</v>
      </c>
      <c r="KE417" s="630">
        <v>8.4075492</v>
      </c>
      <c r="KF417" s="630">
        <v>4.4061167</v>
      </c>
      <c r="KG417" s="630">
        <v>53.996709</v>
      </c>
      <c r="KH417" s="630">
        <v>260.38421</v>
      </c>
      <c r="KI417" s="630">
        <v>212.43197</v>
      </c>
      <c r="KJ417" s="630">
        <v>874.80365</v>
      </c>
      <c r="KK417" s="630">
        <v>2.5344317</v>
      </c>
      <c r="KL417" s="630">
        <v>0.031551328</v>
      </c>
      <c r="KM417" s="630">
        <v>0.34145026</v>
      </c>
      <c r="KN417" s="630">
        <v>3.9675725</v>
      </c>
      <c r="KO417" s="630">
        <v>0.0093014432</v>
      </c>
      <c r="KP417" s="630">
        <v>0.0012367311</v>
      </c>
      <c r="KQ417" s="630">
        <v>0.015031478</v>
      </c>
      <c r="KR417" s="630">
        <v>0.0031625919</v>
      </c>
      <c r="KS417" s="630">
        <v>0.0034324725</v>
      </c>
      <c r="KT417" s="630">
        <v>0.21512005</v>
      </c>
      <c r="KU417" s="630">
        <v>0.0087944042</v>
      </c>
      <c r="KV417" s="630">
        <v>0.0034258047</v>
      </c>
      <c r="KW417" s="630">
        <v>0.002452665</v>
      </c>
      <c r="KX417" s="630">
        <v>0.0039750932</v>
      </c>
      <c r="KY417" s="630">
        <v>0.0043279311</v>
      </c>
      <c r="KZ417" s="630">
        <v>0.0040221702</v>
      </c>
      <c r="LA417" s="630">
        <v>0.0043909971</v>
      </c>
      <c r="LB417" s="630">
        <v>0.34190934</v>
      </c>
      <c r="LC417" s="630">
        <v>0.25346719</v>
      </c>
      <c r="LD417" s="630">
        <v>0.17542506</v>
      </c>
      <c r="LE417" s="630">
        <v>0.12907842</v>
      </c>
      <c r="LF417" s="630">
        <v>0.013169439</v>
      </c>
      <c r="LG417" s="630">
        <v>1.1433686</v>
      </c>
      <c r="LH417" s="630">
        <v>1.1446004</v>
      </c>
      <c r="LI417" s="630">
        <v>0.27034181</v>
      </c>
      <c r="LJ417" s="630">
        <v>0.01029158</v>
      </c>
      <c r="LK417" s="630">
        <v>3.8888993E-4</v>
      </c>
      <c r="LL417" s="630">
        <v>0.010271885</v>
      </c>
      <c r="LM417" s="630">
        <v>0.0047862517</v>
      </c>
      <c r="LN417" s="630">
        <v>0.010977853</v>
      </c>
      <c r="LO417" s="630">
        <v>1.350981E-4</v>
      </c>
      <c r="LP417" s="630">
        <v>0.026385415</v>
      </c>
      <c r="LQ417" s="630">
        <v>0.0068236347</v>
      </c>
      <c r="LR417" s="630">
        <v>0.010647935</v>
      </c>
      <c r="LS417" s="630">
        <v>0.018203626</v>
      </c>
      <c r="LT417" s="630">
        <v>0.034944079</v>
      </c>
      <c r="LU417" s="630">
        <v>3.028791</v>
      </c>
      <c r="LV417" s="630">
        <v>12.140842</v>
      </c>
      <c r="LW417" s="630">
        <v>0.089766362</v>
      </c>
      <c r="LX417" s="630">
        <v>0.16778216</v>
      </c>
      <c r="LY417" s="630">
        <v>0.0010874881</v>
      </c>
      <c r="LZ417" s="630">
        <v>0.0049100354</v>
      </c>
      <c r="MA417" s="630">
        <v>0.1731892</v>
      </c>
      <c r="MB417" s="630">
        <v>0.16387349</v>
      </c>
      <c r="MC417" s="630">
        <v>0.013290981</v>
      </c>
      <c r="MD417" s="630">
        <v>0.012172512</v>
      </c>
      <c r="ME417" s="630">
        <v>0.006009028</v>
      </c>
      <c r="MF417" s="630">
        <v>4.1607807</v>
      </c>
      <c r="MG417" s="630">
        <v>0.0014043612</v>
      </c>
      <c r="MH417" s="630">
        <v>0.0021761697</v>
      </c>
      <c r="MI417" s="630">
        <v>2.9430913E-5</v>
      </c>
      <c r="MJ417" s="630">
        <v>0.0090563978</v>
      </c>
      <c r="MK417" s="630">
        <v>0.35193475</v>
      </c>
      <c r="ML417" s="630">
        <v>0.3767806</v>
      </c>
      <c r="MM417" s="630">
        <v>0.4064338</v>
      </c>
      <c r="MN417" s="630">
        <v>0.37964909</v>
      </c>
      <c r="MO417" s="630">
        <v>0.31806498</v>
      </c>
      <c r="MP417" s="630">
        <v>0.34308951</v>
      </c>
      <c r="MQ417" s="630">
        <v>0.82568526</v>
      </c>
      <c r="MR417" s="630">
        <v>0.95896425</v>
      </c>
      <c r="MS417" s="630">
        <v>0.70000744</v>
      </c>
      <c r="MT417" s="630">
        <v>0.75313355</v>
      </c>
      <c r="MU417" s="630">
        <v>0.873899</v>
      </c>
      <c r="MV417" s="630">
        <v>0.81244564</v>
      </c>
      <c r="MW417" s="630">
        <v>0.015390588</v>
      </c>
      <c r="MX417" s="630">
        <v>1.2124198</v>
      </c>
      <c r="MY417" s="630">
        <v>1.0210988</v>
      </c>
      <c r="MZ417" s="630">
        <v>0.56134449</v>
      </c>
      <c r="NA417" s="630">
        <v>0.45107939</v>
      </c>
      <c r="NB417" s="630">
        <v>0.44833107</v>
      </c>
      <c r="NC417" s="630">
        <v>0.022758654</v>
      </c>
      <c r="ND417" s="630">
        <v>44.302603</v>
      </c>
      <c r="NE417" s="630">
        <v>58.817297</v>
      </c>
      <c r="NF417" s="630">
        <v>46.227736</v>
      </c>
      <c r="NG417" s="630">
        <v>0.35496417</v>
      </c>
      <c r="NH417" s="630">
        <v>0.0094616113</v>
      </c>
      <c r="NI417" s="630">
        <v>0.04417089</v>
      </c>
      <c r="NJ417" s="630">
        <v>0.046211159</v>
      </c>
      <c r="NK417" s="630">
        <v>0.02086571</v>
      </c>
      <c r="NL417" s="630">
        <v>0.0081256624</v>
      </c>
      <c r="NM417" s="630">
        <v>1.9111582</v>
      </c>
      <c r="NN417" s="630">
        <v>0.1037764</v>
      </c>
      <c r="NO417" s="630">
        <v>58.818599</v>
      </c>
      <c r="NP417" s="630">
        <v>0.023964708</v>
      </c>
      <c r="NQ417" s="630">
        <v>12.832144</v>
      </c>
      <c r="NR417" s="630">
        <v>20.533053</v>
      </c>
      <c r="NS417" s="630">
        <v>4.6756521</v>
      </c>
      <c r="NT417" s="630">
        <v>269.2273</v>
      </c>
      <c r="NU417" s="630">
        <v>284.86146</v>
      </c>
      <c r="NV417" s="630">
        <v>0.089562058</v>
      </c>
      <c r="NW417" s="630">
        <v>0.1243772</v>
      </c>
      <c r="NY417" s="630">
        <v>0.0</v>
      </c>
      <c r="NZ417" s="630"/>
      <c r="OA417" s="630">
        <v>5.65E-4</v>
      </c>
      <c r="OB417" s="631">
        <v>1.1</v>
      </c>
      <c r="OC417" s="631"/>
      <c r="OD417" s="626"/>
      <c r="OE417" s="631">
        <f t="shared" si="3"/>
        <v>1.253535745</v>
      </c>
      <c r="OF417" s="631">
        <v>0.9979735551860067</v>
      </c>
      <c r="OG417" s="630">
        <v>1.2944256954046578</v>
      </c>
      <c r="OI417" s="626"/>
      <c r="OJ417" s="626"/>
      <c r="OK417" s="626"/>
      <c r="OL417" s="626"/>
      <c r="OM417" s="626"/>
      <c r="ON417" s="626"/>
    </row>
    <row r="418" ht="12.75" customHeight="1">
      <c r="A418" s="55" t="s">
        <v>4994</v>
      </c>
      <c r="B418" s="55" t="s">
        <v>4978</v>
      </c>
      <c r="C418" s="630">
        <v>4.2317691</v>
      </c>
      <c r="D418" s="630">
        <v>4.947387</v>
      </c>
      <c r="E418" s="630">
        <v>0.99592221</v>
      </c>
      <c r="F418" s="630">
        <v>0.51315496</v>
      </c>
      <c r="G418" s="630">
        <v>1.0132528</v>
      </c>
      <c r="H418" s="630">
        <v>1.2714686</v>
      </c>
      <c r="I418" s="630">
        <v>3.7042754</v>
      </c>
      <c r="J418" s="630">
        <v>69.463127</v>
      </c>
      <c r="K418" s="630">
        <v>42.766788</v>
      </c>
      <c r="L418" s="630">
        <v>165.29981</v>
      </c>
      <c r="M418" s="630">
        <v>117.59083</v>
      </c>
      <c r="N418" s="630">
        <v>25.994837</v>
      </c>
      <c r="O418" s="630">
        <v>15.805599</v>
      </c>
      <c r="P418" s="630">
        <v>26.509481</v>
      </c>
      <c r="Q418" s="630">
        <v>0.48527637</v>
      </c>
      <c r="R418" s="630">
        <v>0.22980438</v>
      </c>
      <c r="S418" s="630">
        <v>0.02090333</v>
      </c>
      <c r="T418" s="630">
        <v>0.0021599286</v>
      </c>
      <c r="U418" s="630">
        <v>0.043007698</v>
      </c>
      <c r="V418" s="630">
        <v>0.0</v>
      </c>
      <c r="W418" s="630">
        <v>10.334592</v>
      </c>
      <c r="X418" s="630">
        <v>10.344084</v>
      </c>
      <c r="Y418" s="630">
        <v>9.9463792</v>
      </c>
      <c r="Z418" s="630">
        <v>9.936981</v>
      </c>
      <c r="AA418" s="630">
        <v>5.750837</v>
      </c>
      <c r="AB418" s="630">
        <v>5.529651</v>
      </c>
      <c r="AC418" s="630">
        <v>0.023491806</v>
      </c>
      <c r="AD418" s="630">
        <v>124.06819</v>
      </c>
      <c r="AE418" s="630">
        <v>320.64635</v>
      </c>
      <c r="AF418" s="630">
        <v>468.11295</v>
      </c>
      <c r="AG418" s="630">
        <v>342.66265</v>
      </c>
      <c r="AH418" s="630">
        <v>0.36839978</v>
      </c>
      <c r="AI418" s="630">
        <v>0.40649218</v>
      </c>
      <c r="AJ418" s="630">
        <v>3.3171077</v>
      </c>
      <c r="AK418" s="630">
        <v>1.4323735</v>
      </c>
      <c r="AL418" s="630">
        <v>1.2082813</v>
      </c>
      <c r="AM418" s="630">
        <v>1.4100819</v>
      </c>
      <c r="AN418" s="630">
        <v>1.1699255</v>
      </c>
      <c r="AO418" s="630">
        <v>1.1019694</v>
      </c>
      <c r="AP418" s="630">
        <v>0.86864049</v>
      </c>
      <c r="AQ418" s="630">
        <v>1.0023884</v>
      </c>
      <c r="AR418" s="630">
        <v>0.76582186</v>
      </c>
      <c r="AS418" s="630">
        <v>1.3824764</v>
      </c>
      <c r="AT418" s="630">
        <v>1.1960792</v>
      </c>
      <c r="AU418" s="630">
        <v>1.2393349</v>
      </c>
      <c r="AV418" s="630">
        <v>598.27465</v>
      </c>
      <c r="AW418" s="630">
        <v>705.86652</v>
      </c>
      <c r="AX418" s="630">
        <v>819.24925</v>
      </c>
      <c r="AY418" s="630">
        <v>3.7461794</v>
      </c>
      <c r="AZ418" s="630">
        <v>0.26684802</v>
      </c>
      <c r="BA418" s="630">
        <v>1.1699685</v>
      </c>
      <c r="BB418" s="630">
        <v>1.0971966</v>
      </c>
      <c r="BC418" s="630">
        <v>1.4574917</v>
      </c>
      <c r="BD418" s="630">
        <v>0.62610721</v>
      </c>
      <c r="BE418" s="630">
        <v>1.2746758</v>
      </c>
      <c r="BF418" s="630">
        <v>0.18220266</v>
      </c>
      <c r="BG418" s="630">
        <v>0.50974553</v>
      </c>
      <c r="BH418" s="630">
        <v>0.44920649</v>
      </c>
      <c r="BI418" s="630">
        <v>0.96765973</v>
      </c>
      <c r="BJ418" s="630">
        <v>2.6376911</v>
      </c>
      <c r="BK418" s="630">
        <v>4.4994423</v>
      </c>
      <c r="BL418" s="630">
        <v>2.157006</v>
      </c>
      <c r="BM418" s="630">
        <v>4.0187572</v>
      </c>
      <c r="BN418" s="630">
        <v>384.99248</v>
      </c>
      <c r="BO418" s="630">
        <v>0.081169517</v>
      </c>
      <c r="BP418" s="630">
        <v>0.058607122</v>
      </c>
      <c r="BQ418" s="630">
        <v>182.38637</v>
      </c>
      <c r="BR418" s="630">
        <v>196.99305</v>
      </c>
      <c r="BS418" s="630">
        <v>203.85952</v>
      </c>
      <c r="BT418" s="630">
        <v>447.48928</v>
      </c>
      <c r="BU418" s="630">
        <v>185.03637</v>
      </c>
      <c r="BV418" s="630">
        <v>283.94474</v>
      </c>
      <c r="BW418" s="630">
        <v>0.11451387</v>
      </c>
      <c r="BX418" s="630">
        <v>1044.2372</v>
      </c>
      <c r="BY418" s="630">
        <v>2.4738732</v>
      </c>
      <c r="BZ418" s="630">
        <v>10.97672</v>
      </c>
      <c r="CA418" s="630">
        <v>0.065656791</v>
      </c>
      <c r="CB418" s="630">
        <v>0.04162546</v>
      </c>
      <c r="CC418" s="630">
        <v>0.048850437</v>
      </c>
      <c r="CD418" s="630">
        <v>0.056942578</v>
      </c>
      <c r="CE418" s="630">
        <v>516.172</v>
      </c>
      <c r="CF418" s="630">
        <v>953.66319</v>
      </c>
      <c r="CG418" s="630">
        <v>71.338639</v>
      </c>
      <c r="CH418" s="630">
        <v>96.722612</v>
      </c>
      <c r="CI418" s="630">
        <v>0.17705769</v>
      </c>
      <c r="CJ418" s="630">
        <v>0.49279253</v>
      </c>
      <c r="CK418" s="630">
        <v>0.45638327</v>
      </c>
      <c r="CL418" s="630">
        <v>0.074810259</v>
      </c>
      <c r="CM418" s="630">
        <v>0.065461132</v>
      </c>
      <c r="CN418" s="630">
        <v>47.211733</v>
      </c>
      <c r="CO418" s="630">
        <v>68.940645</v>
      </c>
      <c r="CP418" s="630">
        <v>40.877394</v>
      </c>
      <c r="CQ418" s="630">
        <v>197.9206</v>
      </c>
      <c r="CR418" s="630">
        <v>299.65983</v>
      </c>
      <c r="CS418" s="630">
        <v>299.65983</v>
      </c>
      <c r="CT418" s="630">
        <v>0.066832702</v>
      </c>
      <c r="CU418" s="630">
        <v>0.17437731</v>
      </c>
      <c r="CV418" s="630">
        <v>0.089942895</v>
      </c>
      <c r="CW418" s="630">
        <v>0.098319702</v>
      </c>
      <c r="CX418" s="630">
        <v>63.713115</v>
      </c>
      <c r="CY418" s="630">
        <v>5.8304288</v>
      </c>
      <c r="CZ418" s="630">
        <v>17.694876</v>
      </c>
      <c r="DA418" s="630">
        <v>16.382133</v>
      </c>
      <c r="DB418" s="630">
        <v>0.055680381</v>
      </c>
      <c r="DC418" s="630">
        <v>0.089581827</v>
      </c>
      <c r="DD418" s="630">
        <v>1.0023348</v>
      </c>
      <c r="DE418" s="630">
        <v>1.511644</v>
      </c>
      <c r="DF418" s="630">
        <v>0.98053621</v>
      </c>
      <c r="DG418" s="630">
        <v>1.0023348</v>
      </c>
      <c r="DH418" s="630">
        <v>1.511644</v>
      </c>
      <c r="DI418" s="630">
        <v>1.4896862</v>
      </c>
      <c r="DJ418" s="630">
        <v>1.5119453</v>
      </c>
      <c r="DK418" s="630">
        <v>1.5119453</v>
      </c>
      <c r="DL418" s="630">
        <v>2.0212545</v>
      </c>
      <c r="DM418" s="630">
        <v>1.5119453</v>
      </c>
      <c r="DN418" s="630">
        <v>2.0212545</v>
      </c>
      <c r="DO418" s="630">
        <v>0.089581829</v>
      </c>
      <c r="DP418" s="630">
        <v>0.066953245</v>
      </c>
      <c r="DQ418" s="630">
        <v>0.10280101</v>
      </c>
      <c r="DR418" s="630">
        <v>0.081452799</v>
      </c>
      <c r="DS418" s="630">
        <v>0.08052022</v>
      </c>
      <c r="DT418" s="630">
        <v>0.11601544</v>
      </c>
      <c r="DU418" s="630">
        <v>0.49766899</v>
      </c>
      <c r="DV418" s="630">
        <v>0.54012377</v>
      </c>
      <c r="DW418" s="630">
        <v>2.8620383</v>
      </c>
      <c r="DX418" s="630">
        <v>15.071035</v>
      </c>
      <c r="DY418" s="630">
        <v>13.242448</v>
      </c>
      <c r="DZ418" s="630">
        <v>14.201498</v>
      </c>
      <c r="EA418" s="630">
        <v>0.043007698</v>
      </c>
      <c r="EB418" s="630">
        <v>0.066655997</v>
      </c>
      <c r="EC418" s="630">
        <v>0.070844949</v>
      </c>
      <c r="ED418" s="630">
        <v>1.9704153</v>
      </c>
      <c r="EE418" s="630">
        <v>0.062644819</v>
      </c>
      <c r="EF418" s="630">
        <v>0.0</v>
      </c>
      <c r="EG418" s="630">
        <v>0.0</v>
      </c>
      <c r="EH418" s="630">
        <v>0.0</v>
      </c>
      <c r="EI418" s="630">
        <v>0.062871854</v>
      </c>
      <c r="EJ418" s="630">
        <v>0.062641422</v>
      </c>
      <c r="EK418" s="630">
        <v>1.2172366</v>
      </c>
      <c r="EL418" s="630">
        <v>0.0</v>
      </c>
      <c r="EM418" s="630">
        <v>0.0</v>
      </c>
      <c r="EN418" s="630">
        <v>0.0</v>
      </c>
      <c r="EO418" s="630">
        <v>0.0</v>
      </c>
      <c r="EP418" s="630">
        <v>150.85282</v>
      </c>
      <c r="EQ418" s="630">
        <v>297.02988</v>
      </c>
      <c r="ER418" s="630">
        <v>0.0</v>
      </c>
      <c r="ES418" s="630">
        <v>0.0</v>
      </c>
      <c r="ET418" s="630">
        <v>0.63663752</v>
      </c>
      <c r="EU418" s="630">
        <v>0.03181744</v>
      </c>
      <c r="EV418" s="630">
        <v>0.03181744</v>
      </c>
      <c r="EW418" s="630">
        <v>0.045799073</v>
      </c>
      <c r="EX418" s="630">
        <v>0.076896421</v>
      </c>
      <c r="EY418" s="630">
        <v>0.46023879</v>
      </c>
      <c r="EZ418" s="630">
        <v>0.69360194</v>
      </c>
      <c r="FA418" s="630">
        <v>0.10655745</v>
      </c>
      <c r="FB418" s="630">
        <v>0.24529324</v>
      </c>
      <c r="FC418" s="630">
        <v>0.075943818</v>
      </c>
      <c r="FD418" s="630">
        <v>0.14916122</v>
      </c>
      <c r="FE418" s="630">
        <v>1.174885</v>
      </c>
      <c r="FF418" s="630">
        <v>0.54129835</v>
      </c>
      <c r="FG418" s="630">
        <v>0.68299195</v>
      </c>
      <c r="FH418" s="630">
        <v>0.10487293</v>
      </c>
      <c r="FI418" s="630">
        <v>0.056946809</v>
      </c>
      <c r="FJ418" s="630">
        <v>0.30196177</v>
      </c>
      <c r="FK418" s="630">
        <v>0.093160088</v>
      </c>
      <c r="FL418" s="630">
        <v>0.091608367</v>
      </c>
      <c r="FM418" s="630">
        <v>0.067171574</v>
      </c>
      <c r="FN418" s="630">
        <v>0.30142407</v>
      </c>
      <c r="FO418" s="630">
        <v>1.0546218</v>
      </c>
      <c r="FP418" s="630">
        <v>0.85916372</v>
      </c>
      <c r="FQ418" s="630">
        <v>0.22099949</v>
      </c>
      <c r="FR418" s="630">
        <v>0.99653137</v>
      </c>
      <c r="FS418" s="630">
        <v>0.31459484</v>
      </c>
      <c r="FT418" s="630">
        <v>0.030370864</v>
      </c>
      <c r="FU418" s="630">
        <v>5.9515882</v>
      </c>
      <c r="FV418" s="630">
        <v>0.71649193</v>
      </c>
      <c r="FW418" s="630">
        <v>0.07084495</v>
      </c>
      <c r="FX418" s="630">
        <v>0.71141703</v>
      </c>
      <c r="FY418" s="630">
        <v>0.07084495</v>
      </c>
      <c r="FZ418" s="630">
        <v>0.93345943</v>
      </c>
      <c r="GA418" s="630">
        <v>11.635052</v>
      </c>
      <c r="GB418" s="630">
        <v>1.422706</v>
      </c>
      <c r="GC418" s="630">
        <v>0.39444447</v>
      </c>
      <c r="GD418" s="630">
        <v>0.4206975</v>
      </c>
      <c r="GE418" s="630">
        <v>5.513698</v>
      </c>
      <c r="GF418" s="630">
        <v>0.65100886</v>
      </c>
      <c r="GG418" s="630">
        <v>1.7934916</v>
      </c>
      <c r="GH418" s="630">
        <v>19.555589</v>
      </c>
      <c r="GI418" s="630">
        <v>12.211635</v>
      </c>
      <c r="GJ418" s="630">
        <v>0.061925857</v>
      </c>
      <c r="GK418" s="630">
        <v>0.045546085</v>
      </c>
      <c r="GL418" s="630">
        <v>0.031938823</v>
      </c>
      <c r="GM418" s="630">
        <v>0.031938823</v>
      </c>
      <c r="GN418" s="630">
        <v>0.070844949</v>
      </c>
      <c r="GO418" s="630">
        <v>0.061945771</v>
      </c>
      <c r="GP418" s="630">
        <v>0.02784019</v>
      </c>
      <c r="GQ418" s="630">
        <v>0.0</v>
      </c>
      <c r="GR418" s="630">
        <v>0.0</v>
      </c>
      <c r="GS418" s="630">
        <v>1.0201673</v>
      </c>
      <c r="GT418" s="630">
        <v>0.44570752</v>
      </c>
      <c r="GU418" s="630">
        <v>0.59118731</v>
      </c>
      <c r="GV418" s="630">
        <v>0.076755594</v>
      </c>
      <c r="GW418" s="630">
        <v>0.065008213</v>
      </c>
      <c r="GX418" s="630">
        <v>0.074812164</v>
      </c>
      <c r="GY418" s="630">
        <v>0.027702505</v>
      </c>
      <c r="GZ418" s="630">
        <v>0.025394174</v>
      </c>
      <c r="HA418" s="630">
        <v>0.0</v>
      </c>
      <c r="HB418" s="630">
        <v>0.0</v>
      </c>
      <c r="HC418" s="630">
        <v>0.0</v>
      </c>
      <c r="HD418" s="630">
        <v>0.097956709</v>
      </c>
      <c r="HE418" s="630">
        <v>1.1334439</v>
      </c>
      <c r="HF418" s="630">
        <v>0.025394174</v>
      </c>
      <c r="HG418" s="630">
        <v>0.027702505</v>
      </c>
      <c r="HH418" s="630">
        <v>43.487833</v>
      </c>
      <c r="HI418" s="630">
        <v>0.0</v>
      </c>
      <c r="HJ418" s="630">
        <v>0.02784019</v>
      </c>
      <c r="HK418" s="630">
        <v>0.22306913</v>
      </c>
      <c r="HL418" s="630">
        <v>388.04894</v>
      </c>
      <c r="HM418" s="630">
        <v>337.59883</v>
      </c>
      <c r="HN418" s="630">
        <v>199.972</v>
      </c>
      <c r="HO418" s="630">
        <v>238.17361</v>
      </c>
      <c r="HP418" s="630">
        <v>192.68077</v>
      </c>
      <c r="HQ418" s="630">
        <v>38.984357</v>
      </c>
      <c r="HR418" s="630">
        <v>0.57808438</v>
      </c>
      <c r="HS418" s="630">
        <v>0.24894542</v>
      </c>
      <c r="HT418" s="630">
        <v>0.60719403</v>
      </c>
      <c r="HU418" s="630">
        <v>0.82568997</v>
      </c>
      <c r="HV418" s="630">
        <v>0.66922702</v>
      </c>
      <c r="HW418" s="630">
        <v>709.43086</v>
      </c>
      <c r="HX418" s="630">
        <v>6.3216768</v>
      </c>
      <c r="HY418" s="630">
        <v>5.081669</v>
      </c>
      <c r="HZ418" s="630">
        <v>1.8982694</v>
      </c>
      <c r="IA418" s="630">
        <v>1.1071925</v>
      </c>
      <c r="IB418" s="630">
        <v>1.4497727</v>
      </c>
      <c r="IC418" s="630">
        <v>5.4847984</v>
      </c>
      <c r="ID418" s="630">
        <v>3.6679149</v>
      </c>
      <c r="IE418" s="630">
        <v>-130.90767</v>
      </c>
      <c r="IF418" s="630">
        <v>-13.14543</v>
      </c>
      <c r="IG418" s="630">
        <v>12.791949</v>
      </c>
      <c r="IH418" s="630">
        <v>7.4230086</v>
      </c>
      <c r="II418" s="630">
        <v>4.5348342</v>
      </c>
      <c r="IJ418" s="630">
        <v>16.230549</v>
      </c>
      <c r="IK418" s="630">
        <v>16.895576</v>
      </c>
      <c r="IL418" s="630">
        <v>22.713848</v>
      </c>
      <c r="IM418" s="630">
        <v>-339.19532</v>
      </c>
      <c r="IN418" s="630">
        <v>32.77831</v>
      </c>
      <c r="IO418" s="630">
        <v>-69.005137</v>
      </c>
      <c r="IP418" s="630">
        <v>3.7662496</v>
      </c>
      <c r="IQ418" s="630">
        <v>69.069739</v>
      </c>
      <c r="IR418" s="630">
        <v>44.515806</v>
      </c>
      <c r="IS418" s="630">
        <v>11.472946</v>
      </c>
      <c r="IT418" s="630">
        <v>10.891997</v>
      </c>
      <c r="IU418" s="630">
        <v>15.76066</v>
      </c>
      <c r="IV418" s="630">
        <v>4.0987315</v>
      </c>
      <c r="IW418" s="630">
        <v>20.185364</v>
      </c>
      <c r="IX418" s="630">
        <v>4.6037536</v>
      </c>
      <c r="IY418" s="630">
        <v>47.080032</v>
      </c>
      <c r="IZ418" s="630">
        <v>2.6660507</v>
      </c>
      <c r="JA418" s="630">
        <v>0.17269691</v>
      </c>
      <c r="JB418" s="630">
        <v>0.0</v>
      </c>
      <c r="JC418" s="630">
        <v>112.07408</v>
      </c>
      <c r="JD418" s="630">
        <v>229.26625</v>
      </c>
      <c r="JE418" s="630">
        <v>91.753717</v>
      </c>
      <c r="JF418" s="630">
        <v>79.415698</v>
      </c>
      <c r="JG418" s="630">
        <v>196.67231</v>
      </c>
      <c r="JH418" s="630">
        <v>146.87405</v>
      </c>
      <c r="JI418" s="630">
        <v>184.70993</v>
      </c>
      <c r="JJ418" s="630">
        <v>281.48051</v>
      </c>
      <c r="JK418" s="630">
        <v>119.37919</v>
      </c>
      <c r="JL418" s="630">
        <v>236.48038</v>
      </c>
      <c r="JM418" s="630">
        <v>217.3864</v>
      </c>
      <c r="JN418" s="630">
        <v>10.830562</v>
      </c>
      <c r="JO418" s="630">
        <v>10.889317</v>
      </c>
      <c r="JP418" s="630">
        <v>10.814149</v>
      </c>
      <c r="JQ418" s="630">
        <v>10.872904</v>
      </c>
      <c r="JR418" s="630">
        <v>0.017488222</v>
      </c>
      <c r="JS418" s="630">
        <v>0.0097874494</v>
      </c>
      <c r="JT418" s="630">
        <v>14.464036</v>
      </c>
      <c r="JU418" s="630">
        <v>15.89837</v>
      </c>
      <c r="JV418" s="630">
        <v>0.14095394</v>
      </c>
      <c r="JW418" s="630">
        <v>16.777884</v>
      </c>
      <c r="JX418" s="630">
        <v>0.12477527</v>
      </c>
      <c r="JY418" s="630">
        <v>250.03266</v>
      </c>
      <c r="JZ418" s="630">
        <v>112.24762</v>
      </c>
      <c r="KA418" s="630">
        <v>3008.3743</v>
      </c>
      <c r="KB418" s="630">
        <v>85.845626</v>
      </c>
      <c r="KC418" s="630">
        <v>806.71359</v>
      </c>
      <c r="KD418" s="630">
        <v>137.19271</v>
      </c>
      <c r="KE418" s="630">
        <v>58.89532</v>
      </c>
      <c r="KF418" s="630">
        <v>235.97482</v>
      </c>
      <c r="KG418" s="630">
        <v>260.47422</v>
      </c>
      <c r="KH418" s="630">
        <v>3470.3001</v>
      </c>
      <c r="KI418" s="630">
        <v>2204.2655</v>
      </c>
      <c r="KJ418" s="630">
        <v>5037.3119</v>
      </c>
      <c r="KK418" s="630">
        <v>8.4437256</v>
      </c>
      <c r="KL418" s="630">
        <v>3.265719</v>
      </c>
      <c r="KM418" s="630">
        <v>134.30191</v>
      </c>
      <c r="KN418" s="630">
        <v>20.41587</v>
      </c>
      <c r="KO418" s="630">
        <v>0.35983989</v>
      </c>
      <c r="KP418" s="630">
        <v>0.31647887</v>
      </c>
      <c r="KQ418" s="630">
        <v>1.1078583</v>
      </c>
      <c r="KR418" s="630">
        <v>1.605072</v>
      </c>
      <c r="KS418" s="630">
        <v>0.25058327</v>
      </c>
      <c r="KT418" s="630">
        <v>1.6782901</v>
      </c>
      <c r="KU418" s="630">
        <v>1.5326554</v>
      </c>
      <c r="KV418" s="630">
        <v>2.2796742</v>
      </c>
      <c r="KW418" s="630">
        <v>1.845908</v>
      </c>
      <c r="KX418" s="630">
        <v>2.6366359</v>
      </c>
      <c r="KY418" s="630">
        <v>2.5332824</v>
      </c>
      <c r="KZ418" s="630">
        <v>3.0735216</v>
      </c>
      <c r="LA418" s="630">
        <v>2.8886953</v>
      </c>
      <c r="LB418" s="630">
        <v>2.275403</v>
      </c>
      <c r="LC418" s="630">
        <v>1.4834386</v>
      </c>
      <c r="LD418" s="630">
        <v>1.936083</v>
      </c>
      <c r="LE418" s="630">
        <v>1.3465881</v>
      </c>
      <c r="LF418" s="630">
        <v>3.2981096</v>
      </c>
      <c r="LG418" s="630">
        <v>53.112105</v>
      </c>
      <c r="LH418" s="630">
        <v>53.400825</v>
      </c>
      <c r="LI418" s="630">
        <v>1.1959151</v>
      </c>
      <c r="LJ418" s="630">
        <v>0.69773324</v>
      </c>
      <c r="LK418" s="630">
        <v>0.045374989</v>
      </c>
      <c r="LL418" s="630">
        <v>0.69564955</v>
      </c>
      <c r="LM418" s="630">
        <v>1.7526059</v>
      </c>
      <c r="LN418" s="630">
        <v>3.3183868</v>
      </c>
      <c r="LO418" s="630">
        <v>0.016173159</v>
      </c>
      <c r="LP418" s="630">
        <v>1.6913585</v>
      </c>
      <c r="LQ418" s="630">
        <v>3.3420912</v>
      </c>
      <c r="LR418" s="630">
        <v>0.9124907</v>
      </c>
      <c r="LS418" s="630">
        <v>3.1978926</v>
      </c>
      <c r="LT418" s="630">
        <v>4.5339421</v>
      </c>
      <c r="LU418" s="630">
        <v>774.70104</v>
      </c>
      <c r="LV418" s="630">
        <v>568.5744</v>
      </c>
      <c r="LW418" s="630">
        <v>33.983431</v>
      </c>
      <c r="LX418" s="630">
        <v>55.725393</v>
      </c>
      <c r="LY418" s="630">
        <v>0.13983789</v>
      </c>
      <c r="LZ418" s="630">
        <v>1.340407</v>
      </c>
      <c r="MA418" s="630">
        <v>31.030928</v>
      </c>
      <c r="MB418" s="630">
        <v>26.030158</v>
      </c>
      <c r="MC418" s="630">
        <v>1.3746473</v>
      </c>
      <c r="MD418" s="630">
        <v>0.6687353</v>
      </c>
      <c r="ME418" s="630">
        <v>2.017722</v>
      </c>
      <c r="MF418" s="630">
        <v>228.60862</v>
      </c>
      <c r="MG418" s="630">
        <v>0.30505328</v>
      </c>
      <c r="MH418" s="630">
        <v>0.078406134</v>
      </c>
      <c r="MI418" s="630">
        <v>0.0097874494</v>
      </c>
      <c r="MJ418" s="630">
        <v>2.3711643</v>
      </c>
      <c r="MK418" s="630">
        <v>1.1506631</v>
      </c>
      <c r="ML418" s="630">
        <v>1.2458104</v>
      </c>
      <c r="MM418" s="630">
        <v>1.0704551</v>
      </c>
      <c r="MN418" s="630">
        <v>0.97208512</v>
      </c>
      <c r="MO418" s="630">
        <v>1.0261109</v>
      </c>
      <c r="MP418" s="630">
        <v>0.83988318</v>
      </c>
      <c r="MQ418" s="630">
        <v>1.7819504</v>
      </c>
      <c r="MR418" s="630">
        <v>1.8302419</v>
      </c>
      <c r="MS418" s="630">
        <v>1.4223093</v>
      </c>
      <c r="MT418" s="630">
        <v>1.5984126</v>
      </c>
      <c r="MU418" s="630">
        <v>1.6290201</v>
      </c>
      <c r="MV418" s="630">
        <v>1.4429906</v>
      </c>
      <c r="MW418" s="630">
        <v>2.3375857</v>
      </c>
      <c r="MX418" s="630">
        <v>398.1867</v>
      </c>
      <c r="MY418" s="630">
        <v>330.64084</v>
      </c>
      <c r="MZ418" s="630">
        <v>181.27676</v>
      </c>
      <c r="NA418" s="630">
        <v>4.8232831</v>
      </c>
      <c r="NB418" s="630">
        <v>5.1767802</v>
      </c>
      <c r="NC418" s="630">
        <v>3.1745265</v>
      </c>
      <c r="ND418" s="630">
        <v>140.48513</v>
      </c>
      <c r="NE418" s="630">
        <v>124.81999</v>
      </c>
      <c r="NF418" s="630">
        <v>711.0965</v>
      </c>
      <c r="NG418" s="630">
        <v>127.31297</v>
      </c>
      <c r="NH418" s="630">
        <v>1.385731</v>
      </c>
      <c r="NI418" s="630">
        <v>3.9638175</v>
      </c>
      <c r="NJ418" s="630">
        <v>26.761228</v>
      </c>
      <c r="NK418" s="630">
        <v>3.0504502</v>
      </c>
      <c r="NL418" s="630">
        <v>0.69992106</v>
      </c>
      <c r="NM418" s="630">
        <v>9.5144368</v>
      </c>
      <c r="NN418" s="630">
        <v>6.9292101</v>
      </c>
      <c r="NO418" s="630">
        <v>107.48676</v>
      </c>
      <c r="NP418" s="630">
        <v>0.64796494</v>
      </c>
      <c r="NQ418" s="630">
        <v>818.77569</v>
      </c>
      <c r="NR418" s="630">
        <v>1050.3896</v>
      </c>
      <c r="NS418" s="630">
        <v>307.46334</v>
      </c>
      <c r="NT418" s="630">
        <v>945.5769</v>
      </c>
      <c r="NU418" s="630">
        <v>696.92609</v>
      </c>
      <c r="NV418" s="630">
        <v>1.4270935</v>
      </c>
      <c r="NW418" s="630">
        <v>8.2004418</v>
      </c>
      <c r="NY418" s="630">
        <v>0.0</v>
      </c>
      <c r="NZ418" s="630"/>
      <c r="OA418" s="630">
        <v>0.0651</v>
      </c>
      <c r="OB418" s="631">
        <v>8.5</v>
      </c>
      <c r="OC418" s="631"/>
      <c r="OD418" s="626"/>
      <c r="OE418" s="631">
        <f t="shared" si="3"/>
        <v>431.4564059</v>
      </c>
      <c r="OF418" s="631">
        <v>242.40319092855765</v>
      </c>
      <c r="OG418" s="630">
        <v>461.7049202857953</v>
      </c>
      <c r="OI418" s="626"/>
      <c r="OJ418" s="626"/>
      <c r="OK418" s="626"/>
      <c r="OL418" s="626"/>
      <c r="OM418" s="626"/>
      <c r="ON418" s="626"/>
    </row>
    <row r="419" ht="12.75" customHeight="1">
      <c r="A419" s="55" t="s">
        <v>4995</v>
      </c>
      <c r="B419" s="55" t="s">
        <v>4978</v>
      </c>
      <c r="C419" s="630">
        <v>5.5622569E-5</v>
      </c>
      <c r="D419" s="630">
        <v>1.2165928E-5</v>
      </c>
      <c r="E419" s="630">
        <v>1.8600232E-5</v>
      </c>
      <c r="F419" s="630">
        <v>4.0513921E-6</v>
      </c>
      <c r="G419" s="630">
        <v>5.3730019E-6</v>
      </c>
      <c r="H419" s="630">
        <v>8.5089168E-6</v>
      </c>
      <c r="I419" s="630">
        <v>9.1232882E-6</v>
      </c>
      <c r="J419" s="630">
        <v>0.0010464693</v>
      </c>
      <c r="K419" s="630">
        <v>4.7285886E-5</v>
      </c>
      <c r="L419" s="630">
        <v>0.001473789</v>
      </c>
      <c r="M419" s="630">
        <v>9.0487071E-4</v>
      </c>
      <c r="N419" s="630">
        <v>1.9491554E-4</v>
      </c>
      <c r="O419" s="630">
        <v>8.3172948E-5</v>
      </c>
      <c r="P419" s="630">
        <v>1.8645136E-4</v>
      </c>
      <c r="Q419" s="630">
        <v>2.3850067E-6</v>
      </c>
      <c r="R419" s="630">
        <v>4.3498753E-6</v>
      </c>
      <c r="S419" s="630">
        <v>8.5051036E-8</v>
      </c>
      <c r="T419" s="630">
        <v>2.820544E-9</v>
      </c>
      <c r="U419" s="630">
        <v>5.356462E-8</v>
      </c>
      <c r="V419" s="630">
        <v>0.0</v>
      </c>
      <c r="W419" s="630">
        <v>2.0268222E-5</v>
      </c>
      <c r="X419" s="630">
        <v>3.3546778E-5</v>
      </c>
      <c r="Y419" s="630">
        <v>3.3051999E-5</v>
      </c>
      <c r="Z419" s="630">
        <v>1.9904914E-5</v>
      </c>
      <c r="AA419" s="630">
        <v>3.9673306E-6</v>
      </c>
      <c r="AB419" s="630">
        <v>3.8147409E-6</v>
      </c>
      <c r="AC419" s="630">
        <v>3.6632296E-7</v>
      </c>
      <c r="AD419" s="630">
        <v>4.7929862E-7</v>
      </c>
      <c r="AE419" s="630">
        <v>0.0038891925</v>
      </c>
      <c r="AF419" s="630">
        <v>0.0055706063</v>
      </c>
      <c r="AG419" s="630">
        <v>0.0040655375</v>
      </c>
      <c r="AH419" s="630">
        <v>5.3539034E-6</v>
      </c>
      <c r="AI419" s="630">
        <v>4.1686277E-6</v>
      </c>
      <c r="AJ419" s="630">
        <v>3.3778546E-5</v>
      </c>
      <c r="AK419" s="630">
        <v>4.1869096E-6</v>
      </c>
      <c r="AL419" s="630">
        <v>2.9376832E-6</v>
      </c>
      <c r="AM419" s="630">
        <v>4.0156575E-6</v>
      </c>
      <c r="AN419" s="630">
        <v>2.677216E-6</v>
      </c>
      <c r="AO419" s="630">
        <v>3.3474768E-6</v>
      </c>
      <c r="AP419" s="630">
        <v>2.0587546E-6</v>
      </c>
      <c r="AQ419" s="630">
        <v>3.255605E-6</v>
      </c>
      <c r="AR419" s="630">
        <v>1.9489445E-6</v>
      </c>
      <c r="AS419" s="630">
        <v>4.114709E-6</v>
      </c>
      <c r="AT419" s="630">
        <v>3.0759071E-6</v>
      </c>
      <c r="AU419" s="630">
        <v>1.964463E-5</v>
      </c>
      <c r="AV419" s="630">
        <v>0.0081387042</v>
      </c>
      <c r="AW419" s="630">
        <v>0.0099247783</v>
      </c>
      <c r="AX419" s="630">
        <v>0.011203873</v>
      </c>
      <c r="AY419" s="630">
        <v>6.0687018E-5</v>
      </c>
      <c r="AZ419" s="630">
        <v>1.4879197E-6</v>
      </c>
      <c r="BA419" s="630">
        <v>1.8802746E-5</v>
      </c>
      <c r="BB419" s="630">
        <v>3.4315544E-5</v>
      </c>
      <c r="BC419" s="630">
        <v>3.6589912E-5</v>
      </c>
      <c r="BD419" s="630">
        <v>1.6563173E-6</v>
      </c>
      <c r="BE419" s="630">
        <v>2.0656719E-6</v>
      </c>
      <c r="BF419" s="630">
        <v>2.0057866E-6</v>
      </c>
      <c r="BG419" s="630">
        <v>3.891924E-6</v>
      </c>
      <c r="BH419" s="630">
        <v>4.1413624E-6</v>
      </c>
      <c r="BI419" s="630">
        <v>1.5267788E-5</v>
      </c>
      <c r="BJ419" s="630">
        <v>6.413267E-5</v>
      </c>
      <c r="BK419" s="630">
        <v>9.0918112E-5</v>
      </c>
      <c r="BL419" s="630">
        <v>4.048069E-5</v>
      </c>
      <c r="BM419" s="630">
        <v>6.7266131E-5</v>
      </c>
      <c r="BN419" s="630">
        <v>0.0038359269</v>
      </c>
      <c r="BO419" s="630">
        <v>2.0210298E-6</v>
      </c>
      <c r="BP419" s="630">
        <v>1.3651082E-6</v>
      </c>
      <c r="BQ419" s="630">
        <v>0.003317197</v>
      </c>
      <c r="BR419" s="630">
        <v>0.0036799414</v>
      </c>
      <c r="BS419" s="630">
        <v>0.0039635206</v>
      </c>
      <c r="BT419" s="630">
        <v>0.0063249912</v>
      </c>
      <c r="BU419" s="630">
        <v>0.0025187695</v>
      </c>
      <c r="BV419" s="630">
        <v>0.0039650973</v>
      </c>
      <c r="BW419" s="630">
        <v>2.6128742E-6</v>
      </c>
      <c r="BX419" s="630">
        <v>0.0028829252</v>
      </c>
      <c r="BY419" s="630">
        <v>4.5794819E-5</v>
      </c>
      <c r="BZ419" s="630">
        <v>3.6621554E-5</v>
      </c>
      <c r="CA419" s="630">
        <v>4.4878426E-6</v>
      </c>
      <c r="CB419" s="630">
        <v>2.8433244E-6</v>
      </c>
      <c r="CC419" s="630">
        <v>3.3377459E-6</v>
      </c>
      <c r="CD419" s="630">
        <v>3.8915093E-6</v>
      </c>
      <c r="CE419" s="630">
        <v>0.0070597295</v>
      </c>
      <c r="CF419" s="630">
        <v>0.013314538</v>
      </c>
      <c r="CG419" s="630">
        <v>0.0010310496</v>
      </c>
      <c r="CH419" s="630">
        <v>0.0013930433</v>
      </c>
      <c r="CI419" s="630">
        <v>1.7116895E-7</v>
      </c>
      <c r="CJ419" s="630">
        <v>2.8289294E-6</v>
      </c>
      <c r="CK419" s="630">
        <v>7.6790772E-7</v>
      </c>
      <c r="CL419" s="630">
        <v>7.3229477E-8</v>
      </c>
      <c r="CM419" s="630">
        <v>1.8711502E-7</v>
      </c>
      <c r="CN419" s="630">
        <v>2.0826537E-4</v>
      </c>
      <c r="CO419" s="630">
        <v>3.034953E-4</v>
      </c>
      <c r="CP419" s="630">
        <v>1.8032267E-4</v>
      </c>
      <c r="CQ419" s="630">
        <v>8.7308821E-4</v>
      </c>
      <c r="CR419" s="630">
        <v>0.001321891</v>
      </c>
      <c r="CS419" s="630">
        <v>0.001321891</v>
      </c>
      <c r="CT419" s="630">
        <v>2.434629E-7</v>
      </c>
      <c r="CU419" s="630">
        <v>7.5939159E-7</v>
      </c>
      <c r="CV419" s="630">
        <v>8.0533125E-8</v>
      </c>
      <c r="CW419" s="630">
        <v>1.0646401E-7</v>
      </c>
      <c r="CX419" s="630">
        <v>3.280902E-5</v>
      </c>
      <c r="CY419" s="630">
        <v>7.206451E-6</v>
      </c>
      <c r="CZ419" s="630">
        <v>1.2225683E-5</v>
      </c>
      <c r="DA419" s="630">
        <v>1.157711E-5</v>
      </c>
      <c r="DB419" s="630">
        <v>1.4096591E-7</v>
      </c>
      <c r="DC419" s="630">
        <v>7.4740708E-8</v>
      </c>
      <c r="DD419" s="630">
        <v>1.7032694E-6</v>
      </c>
      <c r="DE419" s="630">
        <v>2.4618758E-6</v>
      </c>
      <c r="DF419" s="630">
        <v>1.5666367E-6</v>
      </c>
      <c r="DG419" s="630">
        <v>1.7032694E-6</v>
      </c>
      <c r="DH419" s="630">
        <v>2.4618758E-6</v>
      </c>
      <c r="DI419" s="630">
        <v>2.4683059E-6</v>
      </c>
      <c r="DJ419" s="630">
        <v>2.6078253E-6</v>
      </c>
      <c r="DK419" s="630">
        <v>2.6078253E-6</v>
      </c>
      <c r="DL419" s="630">
        <v>3.3664317E-6</v>
      </c>
      <c r="DM419" s="630">
        <v>2.6078253E-6</v>
      </c>
      <c r="DN419" s="630">
        <v>3.3664317E-6</v>
      </c>
      <c r="DO419" s="630">
        <v>7.474071E-8</v>
      </c>
      <c r="DP419" s="630">
        <v>1.6804326E-7</v>
      </c>
      <c r="DQ419" s="630">
        <v>2.0590657E-7</v>
      </c>
      <c r="DR419" s="630">
        <v>1.9413763E-7</v>
      </c>
      <c r="DS419" s="630">
        <v>2.0710648E-7</v>
      </c>
      <c r="DT419" s="630">
        <v>7.3834419E-7</v>
      </c>
      <c r="DU419" s="630">
        <v>5.5157632E-6</v>
      </c>
      <c r="DV419" s="630">
        <v>3.4516235E-6</v>
      </c>
      <c r="DW419" s="630">
        <v>1.200653E-5</v>
      </c>
      <c r="DX419" s="630">
        <v>1.5687321E-4</v>
      </c>
      <c r="DY419" s="630">
        <v>1.3083165E-5</v>
      </c>
      <c r="DZ419" s="630">
        <v>1.3107396E-5</v>
      </c>
      <c r="EA419" s="630">
        <v>5.356462E-8</v>
      </c>
      <c r="EB419" s="630">
        <v>2.4429088E-7</v>
      </c>
      <c r="EC419" s="630">
        <v>6.8290818E-8</v>
      </c>
      <c r="ED419" s="630">
        <v>7.2855604E-6</v>
      </c>
      <c r="EE419" s="630">
        <v>2.7457989E-7</v>
      </c>
      <c r="EF419" s="630">
        <v>0.0</v>
      </c>
      <c r="EG419" s="630">
        <v>0.0</v>
      </c>
      <c r="EH419" s="630">
        <v>0.0</v>
      </c>
      <c r="EI419" s="630">
        <v>2.7734695E-7</v>
      </c>
      <c r="EJ419" s="630">
        <v>2.7452264E-7</v>
      </c>
      <c r="EK419" s="630">
        <v>2.6916518E-6</v>
      </c>
      <c r="EL419" s="630">
        <v>0.0</v>
      </c>
      <c r="EM419" s="630">
        <v>0.0</v>
      </c>
      <c r="EN419" s="630">
        <v>0.0</v>
      </c>
      <c r="EO419" s="630">
        <v>0.0</v>
      </c>
      <c r="EP419" s="630">
        <v>6.5663768E-4</v>
      </c>
      <c r="EQ419" s="630">
        <v>0.0013014693</v>
      </c>
      <c r="ER419" s="630">
        <v>0.0</v>
      </c>
      <c r="ES419" s="630">
        <v>0.0</v>
      </c>
      <c r="ET419" s="630">
        <v>3.2754147E-6</v>
      </c>
      <c r="EU419" s="630">
        <v>8.0552151E-8</v>
      </c>
      <c r="EV419" s="630">
        <v>8.0552151E-8</v>
      </c>
      <c r="EW419" s="630">
        <v>6.0555207E-8</v>
      </c>
      <c r="EX419" s="630">
        <v>3.6347445E-7</v>
      </c>
      <c r="EY419" s="630">
        <v>1.8509086E-6</v>
      </c>
      <c r="EZ419" s="630">
        <v>1.8337471E-6</v>
      </c>
      <c r="FA419" s="630">
        <v>4.6138573E-7</v>
      </c>
      <c r="FB419" s="630">
        <v>1.0333822E-6</v>
      </c>
      <c r="FC419" s="630">
        <v>3.1919997E-7</v>
      </c>
      <c r="FD419" s="630">
        <v>7.2019518E-7</v>
      </c>
      <c r="FE419" s="630">
        <v>3.2463828E-6</v>
      </c>
      <c r="FF419" s="630">
        <v>4.9181316E-7</v>
      </c>
      <c r="FG419" s="630">
        <v>6.205532E-7</v>
      </c>
      <c r="FH419" s="630">
        <v>4.166053E-7</v>
      </c>
      <c r="FI419" s="630">
        <v>2.2621989E-7</v>
      </c>
      <c r="FJ419" s="630">
        <v>1.3101884E-6</v>
      </c>
      <c r="FK419" s="630">
        <v>5.9533308E-7</v>
      </c>
      <c r="FL419" s="630">
        <v>3.6391214E-7</v>
      </c>
      <c r="FM419" s="630">
        <v>2.6683754E-7</v>
      </c>
      <c r="FN419" s="630">
        <v>1.3904406E-6</v>
      </c>
      <c r="FO419" s="630">
        <v>1.1619141E-5</v>
      </c>
      <c r="FP419" s="630">
        <v>7.8061945E-7</v>
      </c>
      <c r="FQ419" s="630">
        <v>8.069409E-7</v>
      </c>
      <c r="FR419" s="630">
        <v>1.2411458E-6</v>
      </c>
      <c r="FS419" s="630">
        <v>9.191442E-7</v>
      </c>
      <c r="FT419" s="630">
        <v>7.6889856E-8</v>
      </c>
      <c r="FU419" s="630">
        <v>5.7367528E-6</v>
      </c>
      <c r="FV419" s="630">
        <v>6.9292477E-7</v>
      </c>
      <c r="FW419" s="630">
        <v>6.829082E-8</v>
      </c>
      <c r="FX419" s="630">
        <v>6.8660415E-7</v>
      </c>
      <c r="FY419" s="630">
        <v>6.829082E-8</v>
      </c>
      <c r="FZ419" s="630">
        <v>3.5863448E-6</v>
      </c>
      <c r="GA419" s="630">
        <v>2.1197567E-5</v>
      </c>
      <c r="GB419" s="630">
        <v>2.4086319E-6</v>
      </c>
      <c r="GC419" s="630">
        <v>9.986143E-7</v>
      </c>
      <c r="GD419" s="630">
        <v>1.0645057E-6</v>
      </c>
      <c r="GE419" s="630">
        <v>2.008569E-5</v>
      </c>
      <c r="GF419" s="630">
        <v>1.1860544E-6</v>
      </c>
      <c r="GG419" s="630">
        <v>5.2521651E-6</v>
      </c>
      <c r="GH419" s="630">
        <v>4.920936E-5</v>
      </c>
      <c r="GI419" s="630">
        <v>3.0628821E-5</v>
      </c>
      <c r="GJ419" s="630">
        <v>2.674019E-7</v>
      </c>
      <c r="GK419" s="630">
        <v>1.8958833E-7</v>
      </c>
      <c r="GL419" s="630">
        <v>8.0859456E-8</v>
      </c>
      <c r="GM419" s="630">
        <v>8.0859456E-8</v>
      </c>
      <c r="GN419" s="630">
        <v>6.8290819E-8</v>
      </c>
      <c r="GO419" s="630">
        <v>2.6773755E-7</v>
      </c>
      <c r="GP419" s="630">
        <v>7.0482956E-8</v>
      </c>
      <c r="GQ419" s="630">
        <v>0.0</v>
      </c>
      <c r="GR419" s="630">
        <v>0.0</v>
      </c>
      <c r="GS419" s="630">
        <v>9.8338779E-7</v>
      </c>
      <c r="GT419" s="630">
        <v>4.2959834E-7</v>
      </c>
      <c r="GU419" s="630">
        <v>3.0834906E-6</v>
      </c>
      <c r="GV419" s="630">
        <v>4.8110126E-7</v>
      </c>
      <c r="GW419" s="630">
        <v>2.5632578E-7</v>
      </c>
      <c r="GX419" s="630">
        <v>1.8889622E-7</v>
      </c>
      <c r="GY419" s="630">
        <v>5.0470398E-8</v>
      </c>
      <c r="GZ419" s="630">
        <v>4.6264917E-8</v>
      </c>
      <c r="HA419" s="630">
        <v>0.0</v>
      </c>
      <c r="HB419" s="630">
        <v>0.0</v>
      </c>
      <c r="HC419" s="630">
        <v>0.0</v>
      </c>
      <c r="HD419" s="630">
        <v>4.0088326E-7</v>
      </c>
      <c r="HE419" s="630">
        <v>1.6057351E-6</v>
      </c>
      <c r="HF419" s="630">
        <v>4.6264917E-8</v>
      </c>
      <c r="HG419" s="630">
        <v>5.0470398E-8</v>
      </c>
      <c r="HH419" s="630">
        <v>1.9183811E-4</v>
      </c>
      <c r="HI419" s="630">
        <v>0.0</v>
      </c>
      <c r="HJ419" s="630">
        <v>7.0482956E-8</v>
      </c>
      <c r="HK419" s="630">
        <v>5.1453047E-7</v>
      </c>
      <c r="HL419" s="630">
        <v>0.0016896656</v>
      </c>
      <c r="HM419" s="630">
        <v>0.001014101</v>
      </c>
      <c r="HN419" s="630">
        <v>0.0016649507</v>
      </c>
      <c r="HO419" s="630">
        <v>0.0021384012</v>
      </c>
      <c r="HP419" s="630">
        <v>0.0017642116</v>
      </c>
      <c r="HQ419" s="630">
        <v>4.3309117E-4</v>
      </c>
      <c r="HR419" s="630">
        <v>5.6192537E-6</v>
      </c>
      <c r="HS419" s="630">
        <v>3.3639243E-6</v>
      </c>
      <c r="HT419" s="630">
        <v>2.4973429E-5</v>
      </c>
      <c r="HU419" s="630">
        <v>2.6166837E-5</v>
      </c>
      <c r="HV419" s="630">
        <v>2.5969807E-5</v>
      </c>
      <c r="HW419" s="630">
        <v>0.0057774465</v>
      </c>
      <c r="HX419" s="630">
        <v>1.5611509E-5</v>
      </c>
      <c r="HY419" s="630">
        <v>3.0166623E-5</v>
      </c>
      <c r="HZ419" s="630">
        <v>9.743807E-6</v>
      </c>
      <c r="IA419" s="630">
        <v>1.1141635E-5</v>
      </c>
      <c r="IB419" s="630">
        <v>2.5384614E-5</v>
      </c>
      <c r="IC419" s="630">
        <v>9.8425592E-5</v>
      </c>
      <c r="ID419" s="630">
        <v>5.4089774E-5</v>
      </c>
      <c r="IE419" s="630">
        <v>4.806934E-5</v>
      </c>
      <c r="IF419" s="630">
        <v>5.9335348E-5</v>
      </c>
      <c r="IG419" s="630">
        <v>1.3569501E-4</v>
      </c>
      <c r="IH419" s="630">
        <v>8.2922653E-5</v>
      </c>
      <c r="II419" s="630">
        <v>6.0938437E-5</v>
      </c>
      <c r="IJ419" s="630">
        <v>1.9880601E-4</v>
      </c>
      <c r="IK419" s="630">
        <v>2.0014962E-4</v>
      </c>
      <c r="IL419" s="630">
        <v>2.5385934E-4</v>
      </c>
      <c r="IM419" s="630">
        <v>1.2750313E-4</v>
      </c>
      <c r="IN419" s="630">
        <v>3.4224462E-4</v>
      </c>
      <c r="IO419" s="630">
        <v>3.1851999E-4</v>
      </c>
      <c r="IP419" s="630">
        <v>4.7259686E-5</v>
      </c>
      <c r="IQ419" s="630">
        <v>3.5027595E-4</v>
      </c>
      <c r="IR419" s="630">
        <v>4.0336772E-4</v>
      </c>
      <c r="IS419" s="630">
        <v>1.2230364E-4</v>
      </c>
      <c r="IT419" s="630">
        <v>1.6135221E-4</v>
      </c>
      <c r="IU419" s="630">
        <v>4.185978E-4</v>
      </c>
      <c r="IV419" s="630">
        <v>3.8147317E-5</v>
      </c>
      <c r="IW419" s="630">
        <v>8.4465424E-5</v>
      </c>
      <c r="IX419" s="630">
        <v>3.6386498E-6</v>
      </c>
      <c r="IY419" s="630">
        <v>1.993847E-4</v>
      </c>
      <c r="IZ419" s="630">
        <v>4.6004836E-5</v>
      </c>
      <c r="JA419" s="630">
        <v>1.7951892E-7</v>
      </c>
      <c r="JB419" s="630">
        <v>0.0</v>
      </c>
      <c r="JC419" s="630">
        <v>0.0018862578</v>
      </c>
      <c r="JD419" s="630">
        <v>0.0029969141</v>
      </c>
      <c r="JE419" s="630">
        <v>0.0012320929</v>
      </c>
      <c r="JF419" s="630">
        <v>9.0699759E-4</v>
      </c>
      <c r="JG419" s="630">
        <v>0.0020172621</v>
      </c>
      <c r="JH419" s="630">
        <v>0.0022052282</v>
      </c>
      <c r="JI419" s="630">
        <v>0.0034100908</v>
      </c>
      <c r="JJ419" s="630">
        <v>0.0035395795</v>
      </c>
      <c r="JK419" s="630">
        <v>0.0014440702</v>
      </c>
      <c r="JL419" s="630">
        <v>0.0025535399</v>
      </c>
      <c r="JM419" s="630">
        <v>0.0043897829</v>
      </c>
      <c r="JN419" s="630">
        <v>2.6362825E-5</v>
      </c>
      <c r="JO419" s="630">
        <v>3.0040723E-5</v>
      </c>
      <c r="JP419" s="630">
        <v>2.6843535E-5</v>
      </c>
      <c r="JQ419" s="630">
        <v>3.0521434E-5</v>
      </c>
      <c r="JR419" s="630">
        <v>6.3611742E-7</v>
      </c>
      <c r="JS419" s="630">
        <v>1.9587991E-7</v>
      </c>
      <c r="JT419" s="630">
        <v>1.4795263E-4</v>
      </c>
      <c r="JU419" s="630">
        <v>7.4437195E-5</v>
      </c>
      <c r="JV419" s="630">
        <v>1.8104636E-6</v>
      </c>
      <c r="JW419" s="630">
        <v>2.9066907E-5</v>
      </c>
      <c r="JX419" s="630">
        <v>1.7938279E-6</v>
      </c>
      <c r="JY419" s="630">
        <v>0.01268057</v>
      </c>
      <c r="JZ419" s="630">
        <v>5.0749641E-4</v>
      </c>
      <c r="KA419" s="630">
        <v>0.001027363</v>
      </c>
      <c r="KB419" s="630">
        <v>3.5987725E-4</v>
      </c>
      <c r="KC419" s="630">
        <v>0.0049877048</v>
      </c>
      <c r="KD419" s="630">
        <v>8.021666E-4</v>
      </c>
      <c r="KE419" s="630">
        <v>4.3004134E-4</v>
      </c>
      <c r="KF419" s="630">
        <v>0.0087833065</v>
      </c>
      <c r="KG419" s="630">
        <v>0.0011156956</v>
      </c>
      <c r="KH419" s="630">
        <v>0.036304674</v>
      </c>
      <c r="KI419" s="630">
        <v>0.013401398</v>
      </c>
      <c r="KJ419" s="630">
        <v>0.020923979</v>
      </c>
      <c r="KK419" s="630">
        <v>3.952489E-5</v>
      </c>
      <c r="KL419" s="630">
        <v>2.0482196E-5</v>
      </c>
      <c r="KM419" s="630">
        <v>0.001939578</v>
      </c>
      <c r="KN419" s="630">
        <v>5.2893741E-7</v>
      </c>
      <c r="KO419" s="630">
        <v>2.5165803E-6</v>
      </c>
      <c r="KP419" s="630">
        <v>2.1007663E-6</v>
      </c>
      <c r="KQ419" s="630">
        <v>7.9967138E-6</v>
      </c>
      <c r="KR419" s="630">
        <v>5.0139079E-6</v>
      </c>
      <c r="KS419" s="630">
        <v>2.9967154E-6</v>
      </c>
      <c r="KT419" s="630">
        <v>1.2163609E-5</v>
      </c>
      <c r="KU419" s="630">
        <v>2.0735892E-5</v>
      </c>
      <c r="KV419" s="630">
        <v>3.8999151E-5</v>
      </c>
      <c r="KW419" s="630">
        <v>5.7293826E-5</v>
      </c>
      <c r="KX419" s="630">
        <v>5.8182746E-5</v>
      </c>
      <c r="KY419" s="630">
        <v>5.8598853E-5</v>
      </c>
      <c r="KZ419" s="630">
        <v>5.7907912E-5</v>
      </c>
      <c r="LA419" s="630">
        <v>7.4758686E-5</v>
      </c>
      <c r="LB419" s="630">
        <v>7.627389E-6</v>
      </c>
      <c r="LC419" s="630">
        <v>2.0701137E-5</v>
      </c>
      <c r="LD419" s="630">
        <v>1.0636752E-5</v>
      </c>
      <c r="LE419" s="630">
        <v>7.8687654E-6</v>
      </c>
      <c r="LF419" s="630">
        <v>4.9262559E-5</v>
      </c>
      <c r="LG419" s="630">
        <v>2.8995122E-5</v>
      </c>
      <c r="LH419" s="630">
        <v>3.2214992E-5</v>
      </c>
      <c r="LI419" s="630">
        <v>1.5577295E-5</v>
      </c>
      <c r="LJ419" s="630">
        <v>1.5224306E-5</v>
      </c>
      <c r="LK419" s="630">
        <v>4.9439703E-7</v>
      </c>
      <c r="LL419" s="630">
        <v>1.5200151E-5</v>
      </c>
      <c r="LM419" s="630">
        <v>2.4305101E-5</v>
      </c>
      <c r="LN419" s="630">
        <v>3.7790604E-5</v>
      </c>
      <c r="LO419" s="630">
        <v>1.7112326E-7</v>
      </c>
      <c r="LP419" s="630">
        <v>2.3761867E-5</v>
      </c>
      <c r="LQ419" s="630">
        <v>1.5979206E-5</v>
      </c>
      <c r="LR419" s="630">
        <v>1.5630245E-5</v>
      </c>
      <c r="LS419" s="630">
        <v>6.0526419E-5</v>
      </c>
      <c r="LT419" s="630">
        <v>7.2339969E-5</v>
      </c>
      <c r="LU419" s="630">
        <v>0.016708295</v>
      </c>
      <c r="LV419" s="630">
        <v>0.010083154</v>
      </c>
      <c r="LW419" s="630">
        <v>4.8031341E-4</v>
      </c>
      <c r="LX419" s="630">
        <v>6.8845199E-4</v>
      </c>
      <c r="LY419" s="630">
        <v>2.2931303E-6</v>
      </c>
      <c r="LZ419" s="630">
        <v>2.0041519E-5</v>
      </c>
      <c r="MA419" s="630">
        <v>7.4481693E-5</v>
      </c>
      <c r="MB419" s="630">
        <v>2.4388843E-4</v>
      </c>
      <c r="MC419" s="630">
        <v>6.1000763E-6</v>
      </c>
      <c r="MD419" s="630">
        <v>5.6132437E-6</v>
      </c>
      <c r="ME419" s="630">
        <v>2.195891E-5</v>
      </c>
      <c r="MF419" s="630">
        <v>0.0019824292</v>
      </c>
      <c r="MG419" s="630">
        <v>2.6911686E-6</v>
      </c>
      <c r="MH419" s="630">
        <v>1.5327764E-6</v>
      </c>
      <c r="MI419" s="630">
        <v>1.9587991E-7</v>
      </c>
      <c r="MJ419" s="630">
        <v>3.3402776E-5</v>
      </c>
      <c r="MK419" s="630">
        <v>4.8855853E-6</v>
      </c>
      <c r="ML419" s="630">
        <v>6.3883996E-6</v>
      </c>
      <c r="MM419" s="630">
        <v>7.9418931E-6</v>
      </c>
      <c r="MN419" s="630">
        <v>6.0319908E-6</v>
      </c>
      <c r="MO419" s="630">
        <v>3.3806668E-6</v>
      </c>
      <c r="MP419" s="630">
        <v>4.0997003E-6</v>
      </c>
      <c r="MQ419" s="630">
        <v>8.4121622E-6</v>
      </c>
      <c r="MR419" s="630">
        <v>9.6045583E-6</v>
      </c>
      <c r="MS419" s="630">
        <v>3.3796939E-6</v>
      </c>
      <c r="MT419" s="630">
        <v>6.5418904E-6</v>
      </c>
      <c r="MU419" s="630">
        <v>7.427946E-6</v>
      </c>
      <c r="MV419" s="630">
        <v>3.7744374E-6</v>
      </c>
      <c r="MW419" s="630">
        <v>1.0113698E-4</v>
      </c>
      <c r="MX419" s="630">
        <v>0.0045586232</v>
      </c>
      <c r="MY419" s="630">
        <v>0.0037546481</v>
      </c>
      <c r="MZ419" s="630">
        <v>0.0020599346</v>
      </c>
      <c r="NA419" s="630">
        <v>1.1313266E-5</v>
      </c>
      <c r="NB419" s="630">
        <v>1.3531437E-5</v>
      </c>
      <c r="NC419" s="630">
        <v>2.4244948E-5</v>
      </c>
      <c r="ND419" s="630">
        <v>0.0015912314</v>
      </c>
      <c r="NE419" s="630">
        <v>2.4987616E-4</v>
      </c>
      <c r="NF419" s="630">
        <v>0.0057605442</v>
      </c>
      <c r="NG419" s="630">
        <v>0.0018056394</v>
      </c>
      <c r="NH419" s="630">
        <v>2.3822411E-5</v>
      </c>
      <c r="NI419" s="630">
        <v>6.0908922E-5</v>
      </c>
      <c r="NJ419" s="630">
        <v>1.4293665E-4</v>
      </c>
      <c r="NK419" s="630">
        <v>4.4352251E-5</v>
      </c>
      <c r="NL419" s="630">
        <v>6.8046859E-6</v>
      </c>
      <c r="NM419" s="630">
        <v>3.9332682E-5</v>
      </c>
      <c r="NN419" s="630">
        <v>1.0723135E-4</v>
      </c>
      <c r="NO419" s="630">
        <v>2.1393292E-4</v>
      </c>
      <c r="NP419" s="630">
        <v>3.5474427E-6</v>
      </c>
      <c r="NQ419" s="630">
        <v>0.0041325768</v>
      </c>
      <c r="NR419" s="630">
        <v>0.0084120821</v>
      </c>
      <c r="NS419" s="630">
        <v>0.0025680419</v>
      </c>
      <c r="NT419" s="630">
        <v>0.0062800636</v>
      </c>
      <c r="NU419" s="630">
        <v>0.0038682494</v>
      </c>
      <c r="NV419" s="630">
        <v>5.8011349E-6</v>
      </c>
      <c r="NW419" s="630">
        <v>1.1159393E-4</v>
      </c>
      <c r="NY419" s="630">
        <v>0.0</v>
      </c>
      <c r="NZ419" s="630"/>
      <c r="OA419" s="630">
        <v>9.68E-7</v>
      </c>
      <c r="OB419" s="631">
        <v>0.0</v>
      </c>
      <c r="OC419" s="631"/>
      <c r="OD419" s="626"/>
      <c r="OE419" s="631">
        <f t="shared" si="3"/>
        <v>0.006068670026</v>
      </c>
      <c r="OF419" s="631">
        <v>0.016068026586034033</v>
      </c>
      <c r="OG419" s="630">
        <v>0.00446877297592636</v>
      </c>
      <c r="OI419" s="626"/>
      <c r="OJ419" s="626"/>
      <c r="OK419" s="626"/>
      <c r="OL419" s="626"/>
      <c r="OM419" s="626"/>
      <c r="ON419" s="626"/>
    </row>
    <row r="420" ht="12.75" customHeight="1">
      <c r="A420" s="55" t="s">
        <v>4996</v>
      </c>
      <c r="B420" s="55" t="s">
        <v>4978</v>
      </c>
      <c r="C420" s="630">
        <v>7.3559805</v>
      </c>
      <c r="D420" s="630">
        <v>1.4555288</v>
      </c>
      <c r="E420" s="630">
        <v>2.4256378</v>
      </c>
      <c r="F420" s="630">
        <v>0.45800254</v>
      </c>
      <c r="G420" s="630">
        <v>0.51442733</v>
      </c>
      <c r="H420" s="630">
        <v>0.7374723</v>
      </c>
      <c r="I420" s="630">
        <v>1.0514905</v>
      </c>
      <c r="J420" s="630">
        <v>13.989061</v>
      </c>
      <c r="K420" s="630">
        <v>6.1102875</v>
      </c>
      <c r="L420" s="630">
        <v>192.16157</v>
      </c>
      <c r="M420" s="630">
        <v>118.05038</v>
      </c>
      <c r="N420" s="630">
        <v>25.437506</v>
      </c>
      <c r="O420" s="630">
        <v>10.752391</v>
      </c>
      <c r="P420" s="630">
        <v>24.303979</v>
      </c>
      <c r="Q420" s="630">
        <v>0.19553576</v>
      </c>
      <c r="R420" s="630">
        <v>0.43698732</v>
      </c>
      <c r="S420" s="630">
        <v>0.0094658857</v>
      </c>
      <c r="T420" s="630">
        <v>2.6116886E-4</v>
      </c>
      <c r="U420" s="630">
        <v>0.0048542213</v>
      </c>
      <c r="V420" s="630">
        <v>0.0</v>
      </c>
      <c r="W420" s="630">
        <v>2.8977924</v>
      </c>
      <c r="X420" s="630">
        <v>4.8518197</v>
      </c>
      <c r="Y420" s="630">
        <v>4.788319</v>
      </c>
      <c r="Z420" s="630">
        <v>2.8536385</v>
      </c>
      <c r="AA420" s="630">
        <v>0.31310175</v>
      </c>
      <c r="AB420" s="630">
        <v>0.30105938</v>
      </c>
      <c r="AC420" s="630">
        <v>0.03014792</v>
      </c>
      <c r="AD420" s="630">
        <v>0.047918777</v>
      </c>
      <c r="AE420" s="630">
        <v>437.59944</v>
      </c>
      <c r="AF420" s="630">
        <v>623.84864</v>
      </c>
      <c r="AG420" s="630">
        <v>469.20015</v>
      </c>
      <c r="AH420" s="630">
        <v>0.69849052</v>
      </c>
      <c r="AI420" s="630">
        <v>0.54013572</v>
      </c>
      <c r="AJ420" s="630">
        <v>4.4078406</v>
      </c>
      <c r="AK420" s="630">
        <v>0.50866117</v>
      </c>
      <c r="AL420" s="630">
        <v>0.35869578</v>
      </c>
      <c r="AM420" s="630">
        <v>0.48802647</v>
      </c>
      <c r="AN420" s="630">
        <v>0.32735067</v>
      </c>
      <c r="AO420" s="630">
        <v>0.39746696</v>
      </c>
      <c r="AP420" s="630">
        <v>0.24285546</v>
      </c>
      <c r="AQ420" s="630">
        <v>0.38672352</v>
      </c>
      <c r="AR420" s="630">
        <v>0.22995975</v>
      </c>
      <c r="AS420" s="630">
        <v>0.50579217</v>
      </c>
      <c r="AT420" s="630">
        <v>0.38108746</v>
      </c>
      <c r="AU420" s="630">
        <v>2.56072</v>
      </c>
      <c r="AV420" s="630">
        <v>788.47667</v>
      </c>
      <c r="AW420" s="630">
        <v>848.9467</v>
      </c>
      <c r="AX420" s="630">
        <v>1013.241</v>
      </c>
      <c r="AY420" s="630">
        <v>7.8293315</v>
      </c>
      <c r="AZ420" s="630">
        <v>0.18747111</v>
      </c>
      <c r="BA420" s="630">
        <v>2.4391738</v>
      </c>
      <c r="BB420" s="630">
        <v>2.5599031</v>
      </c>
      <c r="BC420" s="630">
        <v>2.7352935</v>
      </c>
      <c r="BD420" s="630">
        <v>0.19486937</v>
      </c>
      <c r="BE420" s="630">
        <v>0.23423044</v>
      </c>
      <c r="BF420" s="630">
        <v>0.15167939</v>
      </c>
      <c r="BG420" s="630">
        <v>0.33915215</v>
      </c>
      <c r="BH420" s="630">
        <v>0.3538835</v>
      </c>
      <c r="BI420" s="630">
        <v>1.9369152</v>
      </c>
      <c r="BJ420" s="630">
        <v>8.3932232</v>
      </c>
      <c r="BK420" s="630">
        <v>11.909094</v>
      </c>
      <c r="BL420" s="630">
        <v>5.2896819</v>
      </c>
      <c r="BM420" s="630">
        <v>8.8055527</v>
      </c>
      <c r="BN420" s="630">
        <v>425.61107</v>
      </c>
      <c r="BO420" s="630">
        <v>0.14927835</v>
      </c>
      <c r="BP420" s="630">
        <v>0.11337336</v>
      </c>
      <c r="BQ420" s="630">
        <v>252.81879</v>
      </c>
      <c r="BR420" s="630">
        <v>282.37102</v>
      </c>
      <c r="BS420" s="630">
        <v>302.5317</v>
      </c>
      <c r="BT420" s="630">
        <v>563.02526</v>
      </c>
      <c r="BU420" s="630">
        <v>227.79303</v>
      </c>
      <c r="BV420" s="630">
        <v>354.74977</v>
      </c>
      <c r="BW420" s="630">
        <v>0.25336159</v>
      </c>
      <c r="BX420" s="630">
        <v>360.88986</v>
      </c>
      <c r="BY420" s="630">
        <v>5.9619138</v>
      </c>
      <c r="BZ420" s="630">
        <v>4.6915089</v>
      </c>
      <c r="CA420" s="630">
        <v>0.32903532</v>
      </c>
      <c r="CB420" s="630">
        <v>0.20850428</v>
      </c>
      <c r="CC420" s="630">
        <v>0.24474172</v>
      </c>
      <c r="CD420" s="630">
        <v>0.28532849</v>
      </c>
      <c r="CE420" s="630">
        <v>691.64592</v>
      </c>
      <c r="CF420" s="630">
        <v>1287.5546</v>
      </c>
      <c r="CG420" s="630">
        <v>103.5036</v>
      </c>
      <c r="CH420" s="630">
        <v>137.54162</v>
      </c>
      <c r="CI420" s="630">
        <v>0.01643167</v>
      </c>
      <c r="CJ420" s="630">
        <v>0.30895854</v>
      </c>
      <c r="CK420" s="630">
        <v>0.081132965</v>
      </c>
      <c r="CL420" s="630">
        <v>0.0066374707</v>
      </c>
      <c r="CM420" s="630">
        <v>0.015376679</v>
      </c>
      <c r="CN420" s="630">
        <v>16.072179</v>
      </c>
      <c r="CO420" s="630">
        <v>23.43444</v>
      </c>
      <c r="CP420" s="630">
        <v>13.915795</v>
      </c>
      <c r="CQ420" s="630">
        <v>67.377643</v>
      </c>
      <c r="CR420" s="630">
        <v>102.01249</v>
      </c>
      <c r="CS420" s="630">
        <v>102.01249</v>
      </c>
      <c r="CT420" s="630">
        <v>0.018811628</v>
      </c>
      <c r="CU420" s="630">
        <v>0.091698443</v>
      </c>
      <c r="CV420" s="630">
        <v>0.0074851212</v>
      </c>
      <c r="CW420" s="630">
        <v>0.010512291</v>
      </c>
      <c r="CX420" s="630">
        <v>2.9861483</v>
      </c>
      <c r="CY420" s="630">
        <v>0.7476349</v>
      </c>
      <c r="CZ420" s="630">
        <v>1.1438471</v>
      </c>
      <c r="DA420" s="630">
        <v>1.0773226</v>
      </c>
      <c r="DB420" s="630">
        <v>0.015806781</v>
      </c>
      <c r="DC420" s="630">
        <v>0.0067274256</v>
      </c>
      <c r="DD420" s="630">
        <v>0.16645097</v>
      </c>
      <c r="DE420" s="630">
        <v>0.23922879</v>
      </c>
      <c r="DF420" s="630">
        <v>0.15115793</v>
      </c>
      <c r="DG420" s="630">
        <v>0.16645097</v>
      </c>
      <c r="DH420" s="630">
        <v>0.23922879</v>
      </c>
      <c r="DI420" s="630">
        <v>0.23998368</v>
      </c>
      <c r="DJ420" s="630">
        <v>0.25559981</v>
      </c>
      <c r="DK420" s="630">
        <v>0.25559981</v>
      </c>
      <c r="DL420" s="630">
        <v>0.32837763</v>
      </c>
      <c r="DM420" s="630">
        <v>0.25559981</v>
      </c>
      <c r="DN420" s="630">
        <v>0.32837763</v>
      </c>
      <c r="DO420" s="630">
        <v>0.0067274257</v>
      </c>
      <c r="DP420" s="630">
        <v>0.017283346</v>
      </c>
      <c r="DQ420" s="630">
        <v>0.021879376</v>
      </c>
      <c r="DR420" s="630">
        <v>0.021364919</v>
      </c>
      <c r="DS420" s="630">
        <v>0.022677621</v>
      </c>
      <c r="DT420" s="630">
        <v>0.088288423</v>
      </c>
      <c r="DU420" s="630">
        <v>0.62047195</v>
      </c>
      <c r="DV420" s="630">
        <v>0.39424427</v>
      </c>
      <c r="DW420" s="630">
        <v>1.1314008</v>
      </c>
      <c r="DX420" s="630">
        <v>17.496996</v>
      </c>
      <c r="DY420" s="630">
        <v>1.3159776</v>
      </c>
      <c r="DZ420" s="630">
        <v>1.3064607</v>
      </c>
      <c r="EA420" s="630">
        <v>0.0048542213</v>
      </c>
      <c r="EB420" s="630">
        <v>0.018924462</v>
      </c>
      <c r="EC420" s="630">
        <v>0.0061899115</v>
      </c>
      <c r="ED420" s="630">
        <v>0.78432012</v>
      </c>
      <c r="EE420" s="630">
        <v>0.021042443</v>
      </c>
      <c r="EF420" s="630">
        <v>0.0</v>
      </c>
      <c r="EG420" s="630">
        <v>0.0</v>
      </c>
      <c r="EH420" s="630">
        <v>0.0</v>
      </c>
      <c r="EI420" s="630">
        <v>0.021403317</v>
      </c>
      <c r="EJ420" s="630">
        <v>0.021034951</v>
      </c>
      <c r="EK420" s="630">
        <v>0.30674055</v>
      </c>
      <c r="EL420" s="630">
        <v>0.0</v>
      </c>
      <c r="EM420" s="630">
        <v>0.0</v>
      </c>
      <c r="EN420" s="630">
        <v>0.0</v>
      </c>
      <c r="EO420" s="630">
        <v>0.0</v>
      </c>
      <c r="EP420" s="630">
        <v>50.705846</v>
      </c>
      <c r="EQ420" s="630">
        <v>100.46856</v>
      </c>
      <c r="ER420" s="630">
        <v>0.0</v>
      </c>
      <c r="ES420" s="630">
        <v>0.0</v>
      </c>
      <c r="ET420" s="630">
        <v>0.34196392</v>
      </c>
      <c r="EU420" s="630">
        <v>0.0090324687</v>
      </c>
      <c r="EV420" s="630">
        <v>0.0090324687</v>
      </c>
      <c r="EW420" s="630">
        <v>0.0063574054</v>
      </c>
      <c r="EX420" s="630">
        <v>0.041269478</v>
      </c>
      <c r="EY420" s="630">
        <v>0.21614249</v>
      </c>
      <c r="EZ420" s="630">
        <v>0.20797512</v>
      </c>
      <c r="FA420" s="630">
        <v>0.050638602</v>
      </c>
      <c r="FB420" s="630">
        <v>0.11426727</v>
      </c>
      <c r="FC420" s="630">
        <v>0.03518006</v>
      </c>
      <c r="FD420" s="630">
        <v>0.080044792</v>
      </c>
      <c r="FE420" s="630">
        <v>0.36174961</v>
      </c>
      <c r="FF420" s="630">
        <v>0.045997922</v>
      </c>
      <c r="FG420" s="630">
        <v>0.058038622</v>
      </c>
      <c r="FH420" s="630">
        <v>0.046122619</v>
      </c>
      <c r="FI420" s="630">
        <v>0.025044938</v>
      </c>
      <c r="FJ420" s="630">
        <v>0.14172734</v>
      </c>
      <c r="FK420" s="630">
        <v>0.067998917</v>
      </c>
      <c r="FL420" s="630">
        <v>0.040288928</v>
      </c>
      <c r="FM420" s="630">
        <v>0.029541742</v>
      </c>
      <c r="FN420" s="630">
        <v>0.15315612</v>
      </c>
      <c r="FO420" s="630">
        <v>1.3062936</v>
      </c>
      <c r="FP420" s="630">
        <v>0.073009175</v>
      </c>
      <c r="FQ420" s="630">
        <v>0.090187588</v>
      </c>
      <c r="FR420" s="630">
        <v>0.11247716</v>
      </c>
      <c r="FS420" s="630">
        <v>0.10175255</v>
      </c>
      <c r="FT420" s="630">
        <v>0.0086218086</v>
      </c>
      <c r="FU420" s="630">
        <v>0.51998196</v>
      </c>
      <c r="FV420" s="630">
        <v>0.062806855</v>
      </c>
      <c r="FW420" s="630">
        <v>0.0061899116</v>
      </c>
      <c r="FX420" s="630">
        <v>0.062234057</v>
      </c>
      <c r="FY420" s="630">
        <v>0.0061899116</v>
      </c>
      <c r="FZ420" s="630">
        <v>0.39499509</v>
      </c>
      <c r="GA420" s="630">
        <v>2.2748288</v>
      </c>
      <c r="GB420" s="630">
        <v>0.25588862</v>
      </c>
      <c r="GC420" s="630">
        <v>0.11197656</v>
      </c>
      <c r="GD420" s="630">
        <v>0.11875353</v>
      </c>
      <c r="GE420" s="630">
        <v>1.5519593</v>
      </c>
      <c r="GF420" s="630">
        <v>0.12728209</v>
      </c>
      <c r="GG420" s="630">
        <v>0.5984804</v>
      </c>
      <c r="GH420" s="630">
        <v>5.5098291</v>
      </c>
      <c r="GI420" s="630">
        <v>3.4393033</v>
      </c>
      <c r="GJ420" s="630">
        <v>0.020108883</v>
      </c>
      <c r="GK420" s="630">
        <v>0.020360629</v>
      </c>
      <c r="GL420" s="630">
        <v>0.0090669275</v>
      </c>
      <c r="GM420" s="630">
        <v>0.0090669275</v>
      </c>
      <c r="GN420" s="630">
        <v>0.0061899116</v>
      </c>
      <c r="GO420" s="630">
        <v>0.020152806</v>
      </c>
      <c r="GP420" s="630">
        <v>0.0079033904</v>
      </c>
      <c r="GQ420" s="630">
        <v>0.0</v>
      </c>
      <c r="GR420" s="630">
        <v>0.0</v>
      </c>
      <c r="GS420" s="630">
        <v>0.089134727</v>
      </c>
      <c r="GT420" s="630">
        <v>0.038938996</v>
      </c>
      <c r="GU420" s="630">
        <v>0.32374101</v>
      </c>
      <c r="GV420" s="630">
        <v>0.053848708</v>
      </c>
      <c r="GW420" s="630">
        <v>0.019705826</v>
      </c>
      <c r="GX420" s="630">
        <v>0.015090133</v>
      </c>
      <c r="GY420" s="630">
        <v>0.0054162589</v>
      </c>
      <c r="GZ420" s="630">
        <v>0.0049649454</v>
      </c>
      <c r="HA420" s="630">
        <v>0.0</v>
      </c>
      <c r="HB420" s="630">
        <v>0.0</v>
      </c>
      <c r="HC420" s="630">
        <v>0.0</v>
      </c>
      <c r="HD420" s="630">
        <v>0.046168048</v>
      </c>
      <c r="HE420" s="630">
        <v>0.16648363</v>
      </c>
      <c r="HF420" s="630">
        <v>0.0049649454</v>
      </c>
      <c r="HG420" s="630">
        <v>0.0054162589</v>
      </c>
      <c r="HH420" s="630">
        <v>14.804461</v>
      </c>
      <c r="HI420" s="630">
        <v>0.0</v>
      </c>
      <c r="HJ420" s="630">
        <v>0.0079033904</v>
      </c>
      <c r="HK420" s="630">
        <v>0.056392884</v>
      </c>
      <c r="HL420" s="630">
        <v>180.24856</v>
      </c>
      <c r="HM420" s="630">
        <v>121.22862</v>
      </c>
      <c r="HN420" s="630">
        <v>196.74534</v>
      </c>
      <c r="HO420" s="630">
        <v>231.87944</v>
      </c>
      <c r="HP420" s="630">
        <v>229.95872</v>
      </c>
      <c r="HQ420" s="630">
        <v>57.110563</v>
      </c>
      <c r="HR420" s="630">
        <v>0.68541815</v>
      </c>
      <c r="HS420" s="630">
        <v>0.43356229</v>
      </c>
      <c r="HT420" s="630">
        <v>1.959553</v>
      </c>
      <c r="HU420" s="630">
        <v>2.1171659</v>
      </c>
      <c r="HV420" s="630">
        <v>2.0900173</v>
      </c>
      <c r="HW420" s="630">
        <v>435.26298</v>
      </c>
      <c r="HX420" s="630">
        <v>1.7194757</v>
      </c>
      <c r="HY420" s="630">
        <v>2.4132987</v>
      </c>
      <c r="HZ420" s="630">
        <v>1.2608176</v>
      </c>
      <c r="IA420" s="630">
        <v>1.4461414</v>
      </c>
      <c r="IB420" s="630">
        <v>2.5133247</v>
      </c>
      <c r="IC420" s="630">
        <v>9.7012232</v>
      </c>
      <c r="ID420" s="630">
        <v>6.17515</v>
      </c>
      <c r="IE420" s="630">
        <v>6.1727124</v>
      </c>
      <c r="IF420" s="630">
        <v>7.6760012</v>
      </c>
      <c r="IG420" s="630">
        <v>17.484422</v>
      </c>
      <c r="IH420" s="630">
        <v>10.814885</v>
      </c>
      <c r="II420" s="630">
        <v>7.8760336</v>
      </c>
      <c r="IJ420" s="630">
        <v>20.678256</v>
      </c>
      <c r="IK420" s="630">
        <v>20.364829</v>
      </c>
      <c r="IL420" s="630">
        <v>14.439076</v>
      </c>
      <c r="IM420" s="630">
        <v>16.507743</v>
      </c>
      <c r="IN420" s="630">
        <v>27.28774</v>
      </c>
      <c r="IO420" s="630">
        <v>41.530645</v>
      </c>
      <c r="IP420" s="630">
        <v>6.1894287</v>
      </c>
      <c r="IQ420" s="630">
        <v>33.797062</v>
      </c>
      <c r="IR420" s="630">
        <v>41.209327</v>
      </c>
      <c r="IS420" s="630">
        <v>15.854305</v>
      </c>
      <c r="IT420" s="630">
        <v>21.119161</v>
      </c>
      <c r="IU420" s="630">
        <v>34.837176</v>
      </c>
      <c r="IV420" s="630">
        <v>4.9466392</v>
      </c>
      <c r="IW420" s="630">
        <v>10.870971</v>
      </c>
      <c r="IX420" s="630">
        <v>0.42199162</v>
      </c>
      <c r="IY420" s="630">
        <v>25.484932</v>
      </c>
      <c r="IZ420" s="630">
        <v>6.0347674</v>
      </c>
      <c r="JA420" s="630">
        <v>0.017539782</v>
      </c>
      <c r="JB420" s="630">
        <v>0.0</v>
      </c>
      <c r="JC420" s="630">
        <v>161.99924</v>
      </c>
      <c r="JD420" s="630">
        <v>258.49107</v>
      </c>
      <c r="JE420" s="630">
        <v>130.09459</v>
      </c>
      <c r="JF420" s="630">
        <v>86.926324</v>
      </c>
      <c r="JG420" s="630">
        <v>183.36472</v>
      </c>
      <c r="JH420" s="630">
        <v>239.72083</v>
      </c>
      <c r="JI420" s="630">
        <v>289.5941</v>
      </c>
      <c r="JJ420" s="630">
        <v>310.96892</v>
      </c>
      <c r="JK420" s="630">
        <v>138.82692</v>
      </c>
      <c r="JL420" s="630">
        <v>235.24641</v>
      </c>
      <c r="JM420" s="630">
        <v>364.72411</v>
      </c>
      <c r="JN420" s="630">
        <v>2.1701664</v>
      </c>
      <c r="JO420" s="630">
        <v>2.2668483</v>
      </c>
      <c r="JP420" s="630">
        <v>2.233126</v>
      </c>
      <c r="JQ420" s="630">
        <v>2.329808</v>
      </c>
      <c r="JR420" s="630">
        <v>0.047551995</v>
      </c>
      <c r="JS420" s="630">
        <v>0.01483997</v>
      </c>
      <c r="JT420" s="630">
        <v>13.862716</v>
      </c>
      <c r="JU420" s="630">
        <v>6.6146233</v>
      </c>
      <c r="JV420" s="630">
        <v>0.17389</v>
      </c>
      <c r="JW420" s="630">
        <v>2.898146</v>
      </c>
      <c r="JX420" s="630">
        <v>0.17305963</v>
      </c>
      <c r="JY420" s="630">
        <v>939.97838</v>
      </c>
      <c r="JZ420" s="630">
        <v>60.809873</v>
      </c>
      <c r="KA420" s="630">
        <v>70.911606</v>
      </c>
      <c r="KB420" s="630">
        <v>42.679312</v>
      </c>
      <c r="KC420" s="630">
        <v>630.18705</v>
      </c>
      <c r="KD420" s="630">
        <v>97.566475</v>
      </c>
      <c r="KE420" s="630">
        <v>47.992061</v>
      </c>
      <c r="KF420" s="630">
        <v>647.30949</v>
      </c>
      <c r="KG420" s="630">
        <v>92.271725</v>
      </c>
      <c r="KH420" s="630">
        <v>4593.9198</v>
      </c>
      <c r="KI420" s="630">
        <v>1500.5484</v>
      </c>
      <c r="KJ420" s="630">
        <v>1929.3067</v>
      </c>
      <c r="KK420" s="630">
        <v>4.7720429</v>
      </c>
      <c r="KL420" s="630">
        <v>2.5886341</v>
      </c>
      <c r="KM420" s="630">
        <v>147.90997</v>
      </c>
      <c r="KN420" s="630">
        <v>0.061176918</v>
      </c>
      <c r="KO420" s="630">
        <v>0.28739483</v>
      </c>
      <c r="KP420" s="630">
        <v>0.18701239</v>
      </c>
      <c r="KQ420" s="630">
        <v>0.65844316</v>
      </c>
      <c r="KR420" s="630">
        <v>0.45117202</v>
      </c>
      <c r="KS420" s="630">
        <v>0.24222782</v>
      </c>
      <c r="KT420" s="630">
        <v>1.5612332</v>
      </c>
      <c r="KU420" s="630">
        <v>2.7020897</v>
      </c>
      <c r="KV420" s="630">
        <v>2.9101858</v>
      </c>
      <c r="KW420" s="630">
        <v>4.2191327</v>
      </c>
      <c r="KX420" s="630">
        <v>4.3204616</v>
      </c>
      <c r="KY420" s="630">
        <v>4.3770684</v>
      </c>
      <c r="KZ420" s="630">
        <v>4.2759308</v>
      </c>
      <c r="LA420" s="630">
        <v>5.5385161</v>
      </c>
      <c r="LB420" s="630">
        <v>0.94438182</v>
      </c>
      <c r="LC420" s="630">
        <v>2.7167584</v>
      </c>
      <c r="LD420" s="630">
        <v>1.3722859</v>
      </c>
      <c r="LE420" s="630">
        <v>1.0210962</v>
      </c>
      <c r="LF420" s="630">
        <v>6.4393754</v>
      </c>
      <c r="LG420" s="630">
        <v>3.4579633</v>
      </c>
      <c r="LH420" s="630">
        <v>3.87472</v>
      </c>
      <c r="LI420" s="630">
        <v>2.0352161</v>
      </c>
      <c r="LJ420" s="630">
        <v>2.0053562</v>
      </c>
      <c r="LK420" s="630">
        <v>0.05609336</v>
      </c>
      <c r="LL420" s="630">
        <v>2.0025637</v>
      </c>
      <c r="LM420" s="630">
        <v>3.1765689</v>
      </c>
      <c r="LN420" s="630">
        <v>4.900537</v>
      </c>
      <c r="LO420" s="630">
        <v>0.019412607</v>
      </c>
      <c r="LP420" s="630">
        <v>3.086982</v>
      </c>
      <c r="LQ420" s="630">
        <v>2.0469369</v>
      </c>
      <c r="LR420" s="630">
        <v>2.0503695</v>
      </c>
      <c r="LS420" s="630">
        <v>7.9549654</v>
      </c>
      <c r="LT420" s="630">
        <v>9.5164021</v>
      </c>
      <c r="LU420" s="630">
        <v>1626.795</v>
      </c>
      <c r="LV420" s="630">
        <v>893.34595</v>
      </c>
      <c r="LW420" s="630">
        <v>42.72754</v>
      </c>
      <c r="LX420" s="630">
        <v>80.847266</v>
      </c>
      <c r="LY420" s="630">
        <v>0.1829631</v>
      </c>
      <c r="LZ420" s="630">
        <v>2.6128793</v>
      </c>
      <c r="MA420" s="630">
        <v>6.970981</v>
      </c>
      <c r="MB420" s="630">
        <v>19.99772</v>
      </c>
      <c r="MC420" s="630">
        <v>0.66803427</v>
      </c>
      <c r="MD420" s="630">
        <v>0.62156438</v>
      </c>
      <c r="ME420" s="630">
        <v>2.8521094</v>
      </c>
      <c r="MF420" s="630">
        <v>258.47613</v>
      </c>
      <c r="MG420" s="630">
        <v>0.34657849</v>
      </c>
      <c r="MH420" s="630">
        <v>0.12673628</v>
      </c>
      <c r="MI420" s="630">
        <v>0.01483997</v>
      </c>
      <c r="MJ420" s="630">
        <v>4.3197534</v>
      </c>
      <c r="MK420" s="630">
        <v>0.42793683</v>
      </c>
      <c r="ML420" s="630">
        <v>0.55991265</v>
      </c>
      <c r="MM420" s="630">
        <v>0.59459727</v>
      </c>
      <c r="MN420" s="630">
        <v>0.45117761</v>
      </c>
      <c r="MO420" s="630">
        <v>0.29728779</v>
      </c>
      <c r="MP420" s="630">
        <v>0.30850378</v>
      </c>
      <c r="MQ420" s="630">
        <v>0.69329958</v>
      </c>
      <c r="MR420" s="630">
        <v>0.72080454</v>
      </c>
      <c r="MS420" s="630">
        <v>0.28198769</v>
      </c>
      <c r="MT420" s="630">
        <v>0.54081153</v>
      </c>
      <c r="MU420" s="630">
        <v>0.55979735</v>
      </c>
      <c r="MV420" s="630">
        <v>0.28714639</v>
      </c>
      <c r="MW420" s="630">
        <v>7.9642711</v>
      </c>
      <c r="MX420" s="630">
        <v>577.37186</v>
      </c>
      <c r="MY420" s="630">
        <v>482.46463</v>
      </c>
      <c r="MZ420" s="630">
        <v>264.70855</v>
      </c>
      <c r="NA420" s="630">
        <v>1.3418583</v>
      </c>
      <c r="NB420" s="630">
        <v>1.6352043</v>
      </c>
      <c r="NC420" s="630">
        <v>3.1322885</v>
      </c>
      <c r="ND420" s="630">
        <v>145.4587</v>
      </c>
      <c r="NE420" s="630">
        <v>26.097413</v>
      </c>
      <c r="NF420" s="630">
        <v>432.92791</v>
      </c>
      <c r="NG420" s="630">
        <v>170.19589</v>
      </c>
      <c r="NH420" s="630">
        <v>3.0863364</v>
      </c>
      <c r="NI420" s="630">
        <v>7.8713073</v>
      </c>
      <c r="NJ420" s="630">
        <v>11.258848</v>
      </c>
      <c r="NK420" s="630">
        <v>5.8071836</v>
      </c>
      <c r="NL420" s="630">
        <v>0.59004281</v>
      </c>
      <c r="NM420" s="630">
        <v>3.2495009</v>
      </c>
      <c r="NN420" s="630">
        <v>13.763751</v>
      </c>
      <c r="NO420" s="630">
        <v>26.587513</v>
      </c>
      <c r="NP420" s="630">
        <v>0.32037894</v>
      </c>
      <c r="NQ420" s="630">
        <v>531.56112</v>
      </c>
      <c r="NR420" s="630">
        <v>1086.7102</v>
      </c>
      <c r="NS420" s="630">
        <v>330.17535</v>
      </c>
      <c r="NT420" s="630">
        <v>780.05954</v>
      </c>
      <c r="NU420" s="630">
        <v>461.84083</v>
      </c>
      <c r="NV420" s="630">
        <v>0.54468517</v>
      </c>
      <c r="NW420" s="630">
        <v>14.316757</v>
      </c>
      <c r="NY420" s="630">
        <v>0.0</v>
      </c>
      <c r="NZ420" s="630"/>
      <c r="OA420" s="630">
        <v>0.07</v>
      </c>
      <c r="OB420" s="631">
        <v>1.1</v>
      </c>
      <c r="OC420" s="631"/>
      <c r="OD420" s="626"/>
      <c r="OE420" s="631">
        <f t="shared" si="3"/>
        <v>496.3731347</v>
      </c>
      <c r="OF420" s="631">
        <v>1181.453191291678</v>
      </c>
      <c r="OG420" s="630">
        <v>386.7603256298911</v>
      </c>
      <c r="OI420" s="626"/>
      <c r="OJ420" s="626"/>
      <c r="OK420" s="626"/>
      <c r="OL420" s="626"/>
      <c r="OM420" s="626"/>
      <c r="ON420" s="626"/>
    </row>
    <row r="421" ht="12.75" customHeight="1">
      <c r="A421" s="55" t="s">
        <v>4997</v>
      </c>
      <c r="B421" s="55" t="s">
        <v>4978</v>
      </c>
      <c r="C421" s="630">
        <v>18.511775</v>
      </c>
      <c r="D421" s="630">
        <v>25.518071</v>
      </c>
      <c r="E421" s="630">
        <v>4.7899608</v>
      </c>
      <c r="F421" s="630">
        <v>12.616209</v>
      </c>
      <c r="G421" s="630">
        <v>7.1380143</v>
      </c>
      <c r="H421" s="630">
        <v>9.5418107</v>
      </c>
      <c r="I421" s="630">
        <v>26.162178</v>
      </c>
      <c r="J421" s="630">
        <v>301.09413</v>
      </c>
      <c r="K421" s="630">
        <v>29.118306</v>
      </c>
      <c r="L421" s="630">
        <v>314.44942</v>
      </c>
      <c r="M421" s="630">
        <v>178.07283</v>
      </c>
      <c r="N421" s="630">
        <v>19.610642</v>
      </c>
      <c r="O421" s="630">
        <v>28.166836</v>
      </c>
      <c r="P421" s="630">
        <v>19.576682</v>
      </c>
      <c r="Q421" s="630">
        <v>5.8835596</v>
      </c>
      <c r="R421" s="630">
        <v>1.4962282</v>
      </c>
      <c r="S421" s="630">
        <v>0.27997716</v>
      </c>
      <c r="T421" s="630">
        <v>0.025742754</v>
      </c>
      <c r="U421" s="630">
        <v>0.51209299</v>
      </c>
      <c r="V421" s="630">
        <v>0.0</v>
      </c>
      <c r="W421" s="630">
        <v>37.142146</v>
      </c>
      <c r="X421" s="630">
        <v>42.431106</v>
      </c>
      <c r="Y421" s="630">
        <v>38.59491</v>
      </c>
      <c r="Z421" s="630">
        <v>33.358317</v>
      </c>
      <c r="AA421" s="630">
        <v>13.122902</v>
      </c>
      <c r="AB421" s="630">
        <v>12.618175</v>
      </c>
      <c r="AC421" s="630">
        <v>0.079406154</v>
      </c>
      <c r="AD421" s="630">
        <v>0.41226646</v>
      </c>
      <c r="AE421" s="630">
        <v>5015.737</v>
      </c>
      <c r="AF421" s="630">
        <v>7328.2807</v>
      </c>
      <c r="AG421" s="630">
        <v>5492.2782</v>
      </c>
      <c r="AH421" s="630">
        <v>4.3465595</v>
      </c>
      <c r="AI421" s="630">
        <v>6.3519155</v>
      </c>
      <c r="AJ421" s="630">
        <v>7.3283714</v>
      </c>
      <c r="AK421" s="630">
        <v>6.6561406</v>
      </c>
      <c r="AL421" s="630">
        <v>4.7088804</v>
      </c>
      <c r="AM421" s="630">
        <v>6.4692555</v>
      </c>
      <c r="AN421" s="630">
        <v>4.3822242</v>
      </c>
      <c r="AO421" s="630">
        <v>6.2904323</v>
      </c>
      <c r="AP421" s="630">
        <v>4.2583616</v>
      </c>
      <c r="AQ421" s="630">
        <v>6.1688792</v>
      </c>
      <c r="AR421" s="630">
        <v>4.108606</v>
      </c>
      <c r="AS421" s="630">
        <v>6.8323018</v>
      </c>
      <c r="AT421" s="630">
        <v>5.2124593</v>
      </c>
      <c r="AU421" s="630">
        <v>7.0915545</v>
      </c>
      <c r="AV421" s="630">
        <v>7943.9233</v>
      </c>
      <c r="AW421" s="630">
        <v>8646.1061</v>
      </c>
      <c r="AX421" s="630">
        <v>10622.931</v>
      </c>
      <c r="AY421" s="630">
        <v>43.844689</v>
      </c>
      <c r="AZ421" s="630">
        <v>2.5837871</v>
      </c>
      <c r="BA421" s="630">
        <v>17.962702</v>
      </c>
      <c r="BB421" s="630">
        <v>8.4356713</v>
      </c>
      <c r="BC421" s="630">
        <v>12.856481</v>
      </c>
      <c r="BD421" s="630">
        <v>5.2162735</v>
      </c>
      <c r="BE421" s="630">
        <v>12.821126</v>
      </c>
      <c r="BF421" s="630">
        <v>1.7869987</v>
      </c>
      <c r="BG421" s="630">
        <v>4.6980949</v>
      </c>
      <c r="BH421" s="630">
        <v>4.0361187</v>
      </c>
      <c r="BI421" s="630">
        <v>12.302985</v>
      </c>
      <c r="BJ421" s="630">
        <v>21.73929</v>
      </c>
      <c r="BK421" s="630">
        <v>29.358163</v>
      </c>
      <c r="BL421" s="630">
        <v>19.968187</v>
      </c>
      <c r="BM421" s="630">
        <v>27.58706</v>
      </c>
      <c r="BN421" s="630">
        <v>2335.4504</v>
      </c>
      <c r="BO421" s="630">
        <v>0.63048403</v>
      </c>
      <c r="BP421" s="630">
        <v>0.54076676</v>
      </c>
      <c r="BQ421" s="630">
        <v>2130.9383</v>
      </c>
      <c r="BR421" s="630">
        <v>2305.6593</v>
      </c>
      <c r="BS421" s="630">
        <v>2397.0491</v>
      </c>
      <c r="BT421" s="630">
        <v>5667.3338</v>
      </c>
      <c r="BU421" s="630">
        <v>2334.4811</v>
      </c>
      <c r="BV421" s="630">
        <v>3591.6065</v>
      </c>
      <c r="BW421" s="630">
        <v>0.66866486</v>
      </c>
      <c r="BX421" s="630">
        <v>2315.4862</v>
      </c>
      <c r="BY421" s="630">
        <v>22.530942</v>
      </c>
      <c r="BZ421" s="630">
        <v>18.296022</v>
      </c>
      <c r="CA421" s="630">
        <v>0.019898184</v>
      </c>
      <c r="CB421" s="630">
        <v>0.013150631</v>
      </c>
      <c r="CC421" s="630">
        <v>0.015179271</v>
      </c>
      <c r="CD421" s="630">
        <v>0.017451394</v>
      </c>
      <c r="CE421" s="630">
        <v>6734.8557</v>
      </c>
      <c r="CF421" s="630">
        <v>12477.487</v>
      </c>
      <c r="CG421" s="630">
        <v>948.49667</v>
      </c>
      <c r="CH421" s="630">
        <v>1280.3584</v>
      </c>
      <c r="CI421" s="630">
        <v>2.1212086</v>
      </c>
      <c r="CJ421" s="630">
        <v>5.1695161</v>
      </c>
      <c r="CK421" s="630">
        <v>5.6189421</v>
      </c>
      <c r="CL421" s="630">
        <v>0.89050841</v>
      </c>
      <c r="CM421" s="630">
        <v>0.761807</v>
      </c>
      <c r="CN421" s="630">
        <v>531.29281</v>
      </c>
      <c r="CO421" s="630">
        <v>776.11551</v>
      </c>
      <c r="CP421" s="630">
        <v>460.00992</v>
      </c>
      <c r="CQ421" s="630">
        <v>2227.2809</v>
      </c>
      <c r="CR421" s="630">
        <v>3372.1938</v>
      </c>
      <c r="CS421" s="630">
        <v>3372.1938</v>
      </c>
      <c r="CT421" s="630">
        <v>0.76171259</v>
      </c>
      <c r="CU421" s="630">
        <v>1.9836691</v>
      </c>
      <c r="CV421" s="630">
        <v>1.070648</v>
      </c>
      <c r="CW421" s="630">
        <v>1.1794099</v>
      </c>
      <c r="CX421" s="630">
        <v>760.41759</v>
      </c>
      <c r="CY421" s="630">
        <v>70.291113</v>
      </c>
      <c r="CZ421" s="630">
        <v>211.68855</v>
      </c>
      <c r="DA421" s="630">
        <v>195.77985</v>
      </c>
      <c r="DB421" s="630">
        <v>0.70091926</v>
      </c>
      <c r="DC421" s="630">
        <v>1.0675595</v>
      </c>
      <c r="DD421" s="630">
        <v>11.948964</v>
      </c>
      <c r="DE421" s="630">
        <v>18.07851</v>
      </c>
      <c r="DF421" s="630">
        <v>11.686001</v>
      </c>
      <c r="DG421" s="630">
        <v>11.948964</v>
      </c>
      <c r="DH421" s="630">
        <v>18.07851</v>
      </c>
      <c r="DI421" s="630">
        <v>17.75678</v>
      </c>
      <c r="DJ421" s="630">
        <v>18.025298</v>
      </c>
      <c r="DK421" s="630">
        <v>18.025298</v>
      </c>
      <c r="DL421" s="630">
        <v>24.154844</v>
      </c>
      <c r="DM421" s="630">
        <v>18.025298</v>
      </c>
      <c r="DN421" s="630">
        <v>24.154844</v>
      </c>
      <c r="DO421" s="630">
        <v>1.0675595</v>
      </c>
      <c r="DP421" s="630">
        <v>0.83546587</v>
      </c>
      <c r="DQ421" s="630">
        <v>1.2783079</v>
      </c>
      <c r="DR421" s="630">
        <v>1.0319712</v>
      </c>
      <c r="DS421" s="630">
        <v>1.0171555</v>
      </c>
      <c r="DT421" s="630">
        <v>1.5195271</v>
      </c>
      <c r="DU421" s="630">
        <v>5.1754579</v>
      </c>
      <c r="DV421" s="630">
        <v>6.6940637</v>
      </c>
      <c r="DW421" s="630">
        <v>33.658545</v>
      </c>
      <c r="DX421" s="630">
        <v>158.11703</v>
      </c>
      <c r="DY421" s="630">
        <v>159.87533</v>
      </c>
      <c r="DZ421" s="630">
        <v>171.52949</v>
      </c>
      <c r="EA421" s="630">
        <v>0.51209299</v>
      </c>
      <c r="EB421" s="630">
        <v>0.75939998</v>
      </c>
      <c r="EC421" s="630">
        <v>0.84329342</v>
      </c>
      <c r="ED421" s="630">
        <v>23.039721</v>
      </c>
      <c r="EE421" s="630">
        <v>0.70539334</v>
      </c>
      <c r="EF421" s="630">
        <v>0.0</v>
      </c>
      <c r="EG421" s="630">
        <v>0.0</v>
      </c>
      <c r="EH421" s="630">
        <v>0.0</v>
      </c>
      <c r="EI421" s="630">
        <v>0.70752252</v>
      </c>
      <c r="EJ421" s="630">
        <v>0.70536336</v>
      </c>
      <c r="EK421" s="630">
        <v>15.140567</v>
      </c>
      <c r="EL421" s="630">
        <v>0.0</v>
      </c>
      <c r="EM421" s="630">
        <v>0.0</v>
      </c>
      <c r="EN421" s="630">
        <v>0.0</v>
      </c>
      <c r="EO421" s="630">
        <v>0.0</v>
      </c>
      <c r="EP421" s="630">
        <v>1699.2415</v>
      </c>
      <c r="EQ421" s="630">
        <v>3344.2314</v>
      </c>
      <c r="ER421" s="630">
        <v>0.0</v>
      </c>
      <c r="ES421" s="630">
        <v>0.0</v>
      </c>
      <c r="ET421" s="630">
        <v>6.8441226</v>
      </c>
      <c r="EU421" s="630">
        <v>0.40052629</v>
      </c>
      <c r="EV421" s="630">
        <v>0.40052629</v>
      </c>
      <c r="EW421" s="630">
        <v>0.56266512</v>
      </c>
      <c r="EX421" s="630">
        <v>1.031145</v>
      </c>
      <c r="EY421" s="630">
        <v>5.7965215</v>
      </c>
      <c r="EZ421" s="630">
        <v>8.5380125</v>
      </c>
      <c r="FA421" s="630">
        <v>1.3574808</v>
      </c>
      <c r="FB421" s="630">
        <v>3.1984488</v>
      </c>
      <c r="FC421" s="630">
        <v>0.98088547</v>
      </c>
      <c r="FD421" s="630">
        <v>1.8667985</v>
      </c>
      <c r="FE421" s="630">
        <v>14.318016</v>
      </c>
      <c r="FF421" s="630">
        <v>6.4418414</v>
      </c>
      <c r="FG421" s="630">
        <v>8.1280976</v>
      </c>
      <c r="FH421" s="630">
        <v>1.4038786</v>
      </c>
      <c r="FI421" s="630">
        <v>0.76231691</v>
      </c>
      <c r="FJ421" s="630">
        <v>3.6731119</v>
      </c>
      <c r="FK421" s="630">
        <v>1.1545864</v>
      </c>
      <c r="FL421" s="630">
        <v>1.2263129</v>
      </c>
      <c r="FM421" s="630">
        <v>0.89919044</v>
      </c>
      <c r="FN421" s="630">
        <v>3.7092568</v>
      </c>
      <c r="FO421" s="630">
        <v>11.082994</v>
      </c>
      <c r="FP421" s="630">
        <v>10.224669</v>
      </c>
      <c r="FQ421" s="630">
        <v>2.6896331</v>
      </c>
      <c r="FR421" s="630">
        <v>11.865707</v>
      </c>
      <c r="FS421" s="630">
        <v>3.809098</v>
      </c>
      <c r="FT421" s="630">
        <v>0.38231641</v>
      </c>
      <c r="FU421" s="630">
        <v>70.843935</v>
      </c>
      <c r="FV421" s="630">
        <v>8.5286957</v>
      </c>
      <c r="FW421" s="630">
        <v>0.84329343</v>
      </c>
      <c r="FX421" s="630">
        <v>8.4682687</v>
      </c>
      <c r="FY421" s="630">
        <v>0.84329343</v>
      </c>
      <c r="FZ421" s="630">
        <v>11.517877</v>
      </c>
      <c r="GA421" s="630">
        <v>145.36743</v>
      </c>
      <c r="GB421" s="630">
        <v>17.364687</v>
      </c>
      <c r="GC421" s="630">
        <v>4.9653706</v>
      </c>
      <c r="GD421" s="630">
        <v>5.2929651</v>
      </c>
      <c r="GE421" s="630">
        <v>62.841289</v>
      </c>
      <c r="GF421" s="630">
        <v>8.1336538</v>
      </c>
      <c r="GG421" s="630">
        <v>22.339055</v>
      </c>
      <c r="GH421" s="630">
        <v>245.93655</v>
      </c>
      <c r="GI421" s="630">
        <v>153.55</v>
      </c>
      <c r="GJ421" s="630">
        <v>0.69830103</v>
      </c>
      <c r="GK421" s="630">
        <v>0.5720319</v>
      </c>
      <c r="GL421" s="630">
        <v>0.4020543</v>
      </c>
      <c r="GM421" s="630">
        <v>0.4020543</v>
      </c>
      <c r="GN421" s="630">
        <v>0.84329343</v>
      </c>
      <c r="GO421" s="630">
        <v>0.69847679</v>
      </c>
      <c r="GP421" s="630">
        <v>0.35045963</v>
      </c>
      <c r="GQ421" s="630">
        <v>0.0</v>
      </c>
      <c r="GR421" s="630">
        <v>0.0</v>
      </c>
      <c r="GS421" s="630">
        <v>12.143425</v>
      </c>
      <c r="GT421" s="630">
        <v>5.3054197</v>
      </c>
      <c r="GU421" s="630">
        <v>6.281036</v>
      </c>
      <c r="GV421" s="630">
        <v>0.92592612</v>
      </c>
      <c r="GW421" s="630">
        <v>0.73732295</v>
      </c>
      <c r="GX421" s="630">
        <v>0.86802699</v>
      </c>
      <c r="GY421" s="630">
        <v>0.34611293</v>
      </c>
      <c r="GZ421" s="630">
        <v>0.31727283</v>
      </c>
      <c r="HA421" s="630">
        <v>0.0</v>
      </c>
      <c r="HB421" s="630">
        <v>0.0</v>
      </c>
      <c r="HC421" s="630">
        <v>0.0</v>
      </c>
      <c r="HD421" s="630">
        <v>1.2327986</v>
      </c>
      <c r="HE421" s="630">
        <v>13.797719</v>
      </c>
      <c r="HF421" s="630">
        <v>0.31727283</v>
      </c>
      <c r="HG421" s="630">
        <v>0.34611293</v>
      </c>
      <c r="HH421" s="630">
        <v>489.38625</v>
      </c>
      <c r="HI421" s="630">
        <v>0.0</v>
      </c>
      <c r="HJ421" s="630">
        <v>0.35045963</v>
      </c>
      <c r="HK421" s="630">
        <v>2.8174212</v>
      </c>
      <c r="HL421" s="630">
        <v>1321.0482</v>
      </c>
      <c r="HM421" s="630">
        <v>960.89216</v>
      </c>
      <c r="HN421" s="630">
        <v>926.34464</v>
      </c>
      <c r="HO421" s="630">
        <v>1305.3436</v>
      </c>
      <c r="HP421" s="630">
        <v>480.1296</v>
      </c>
      <c r="HQ421" s="630">
        <v>25.357521</v>
      </c>
      <c r="HR421" s="630">
        <v>11.350793</v>
      </c>
      <c r="HS421" s="630">
        <v>8.4131431</v>
      </c>
      <c r="HT421" s="630">
        <v>4.2904855</v>
      </c>
      <c r="HU421" s="630">
        <v>7.6385463</v>
      </c>
      <c r="HV421" s="630">
        <v>4.7379265</v>
      </c>
      <c r="HW421" s="630">
        <v>626.74607</v>
      </c>
      <c r="HX421" s="630">
        <v>22.809425</v>
      </c>
      <c r="HY421" s="630">
        <v>7.8250298</v>
      </c>
      <c r="HZ421" s="630">
        <v>4.6020061</v>
      </c>
      <c r="IA421" s="630">
        <v>3.1544709</v>
      </c>
      <c r="IB421" s="630">
        <v>3.648059</v>
      </c>
      <c r="IC421" s="630">
        <v>67.938161</v>
      </c>
      <c r="ID421" s="630">
        <v>50.038137</v>
      </c>
      <c r="IE421" s="630">
        <v>52.991841</v>
      </c>
      <c r="IF421" s="630">
        <v>38.54948</v>
      </c>
      <c r="IG421" s="630">
        <v>178.29114</v>
      </c>
      <c r="IH421" s="630">
        <v>68.123679</v>
      </c>
      <c r="II421" s="630">
        <v>40.06596</v>
      </c>
      <c r="IJ421" s="630">
        <v>516.95235</v>
      </c>
      <c r="IK421" s="630">
        <v>662.71746</v>
      </c>
      <c r="IL421" s="630">
        <v>263.19772</v>
      </c>
      <c r="IM421" s="630">
        <v>86.13641</v>
      </c>
      <c r="IN421" s="630">
        <v>250.77554</v>
      </c>
      <c r="IO421" s="630">
        <v>82.333286</v>
      </c>
      <c r="IP421" s="630">
        <v>30.476478</v>
      </c>
      <c r="IQ421" s="630">
        <v>598.71461</v>
      </c>
      <c r="IR421" s="630">
        <v>282.03561</v>
      </c>
      <c r="IS421" s="630">
        <v>71.964039</v>
      </c>
      <c r="IT421" s="630">
        <v>62.911834</v>
      </c>
      <c r="IU421" s="630">
        <v>799.37949</v>
      </c>
      <c r="IV421" s="630">
        <v>34.344298</v>
      </c>
      <c r="IW421" s="630">
        <v>121.25326</v>
      </c>
      <c r="IX421" s="630">
        <v>24.183188</v>
      </c>
      <c r="IY421" s="630">
        <v>243.9082</v>
      </c>
      <c r="IZ421" s="630">
        <v>21.850278</v>
      </c>
      <c r="JA421" s="630">
        <v>2.0762999</v>
      </c>
      <c r="JB421" s="630">
        <v>0.0</v>
      </c>
      <c r="JC421" s="630">
        <v>486.99372</v>
      </c>
      <c r="JD421" s="630">
        <v>1050.1671</v>
      </c>
      <c r="JE421" s="630">
        <v>406.58029</v>
      </c>
      <c r="JF421" s="630">
        <v>406.70912</v>
      </c>
      <c r="JG421" s="630">
        <v>970.83974</v>
      </c>
      <c r="JH421" s="630">
        <v>609.67545</v>
      </c>
      <c r="JI421" s="630">
        <v>773.99525</v>
      </c>
      <c r="JJ421" s="630">
        <v>1392.1766</v>
      </c>
      <c r="JK421" s="630">
        <v>615.68673</v>
      </c>
      <c r="JL421" s="630">
        <v>1178.3569</v>
      </c>
      <c r="JM421" s="630">
        <v>854.22269</v>
      </c>
      <c r="JN421" s="630">
        <v>15.81017</v>
      </c>
      <c r="JO421" s="630">
        <v>14.64584</v>
      </c>
      <c r="JP421" s="630">
        <v>16.770656</v>
      </c>
      <c r="JQ421" s="630">
        <v>15.606326</v>
      </c>
      <c r="JR421" s="630">
        <v>0.1015326</v>
      </c>
      <c r="JS421" s="630">
        <v>0.085437413</v>
      </c>
      <c r="JT421" s="630">
        <v>107.87934</v>
      </c>
      <c r="JU421" s="630">
        <v>145.59002</v>
      </c>
      <c r="JV421" s="630">
        <v>3.9679616</v>
      </c>
      <c r="JW421" s="630">
        <v>140.76996</v>
      </c>
      <c r="JX421" s="630">
        <v>4.0533344</v>
      </c>
      <c r="JY421" s="630">
        <v>799.28253</v>
      </c>
      <c r="JZ421" s="630">
        <v>603.65843</v>
      </c>
      <c r="KA421" s="630">
        <v>2524.7689</v>
      </c>
      <c r="KB421" s="630">
        <v>768.35181</v>
      </c>
      <c r="KC421" s="630">
        <v>8781.2495</v>
      </c>
      <c r="KD421" s="630">
        <v>1294.0875</v>
      </c>
      <c r="KE421" s="630">
        <v>671.73935</v>
      </c>
      <c r="KF421" s="630">
        <v>1397.3521</v>
      </c>
      <c r="KG421" s="630">
        <v>780.72227</v>
      </c>
      <c r="KH421" s="630">
        <v>23963.379</v>
      </c>
      <c r="KI421" s="630">
        <v>13184.35</v>
      </c>
      <c r="KJ421" s="630">
        <v>13004.092</v>
      </c>
      <c r="KK421" s="630">
        <v>89.22782</v>
      </c>
      <c r="KL421" s="630">
        <v>51.29455</v>
      </c>
      <c r="KM421" s="630">
        <v>1537.62</v>
      </c>
      <c r="KN421" s="630">
        <v>0.67238441</v>
      </c>
      <c r="KO421" s="630">
        <v>3.1840444</v>
      </c>
      <c r="KP421" s="630">
        <v>3.1420182</v>
      </c>
      <c r="KQ421" s="630">
        <v>10.937295</v>
      </c>
      <c r="KR421" s="630">
        <v>17.704166</v>
      </c>
      <c r="KS421" s="630">
        <v>2.7373193</v>
      </c>
      <c r="KT421" s="630">
        <v>19.211642</v>
      </c>
      <c r="KU421" s="630">
        <v>19.7987</v>
      </c>
      <c r="KV421" s="630">
        <v>20.370547</v>
      </c>
      <c r="KW421" s="630">
        <v>12.329254</v>
      </c>
      <c r="KX421" s="630">
        <v>21.365</v>
      </c>
      <c r="KY421" s="630">
        <v>20.633763</v>
      </c>
      <c r="KZ421" s="630">
        <v>25.710091</v>
      </c>
      <c r="LA421" s="630">
        <v>21.547604</v>
      </c>
      <c r="LB421" s="630">
        <v>22.564864</v>
      </c>
      <c r="LC421" s="630">
        <v>7.6950319</v>
      </c>
      <c r="LD421" s="630">
        <v>19.660165</v>
      </c>
      <c r="LE421" s="630">
        <v>16.221081</v>
      </c>
      <c r="LF421" s="630">
        <v>51.046388</v>
      </c>
      <c r="LG421" s="630">
        <v>40.282638</v>
      </c>
      <c r="LH421" s="630">
        <v>46.562984</v>
      </c>
      <c r="LI421" s="630">
        <v>5.6924994</v>
      </c>
      <c r="LJ421" s="630">
        <v>2.0769005</v>
      </c>
      <c r="LK421" s="630">
        <v>0.46132288</v>
      </c>
      <c r="LL421" s="630">
        <v>2.0564612</v>
      </c>
      <c r="LM421" s="630">
        <v>9.9818637</v>
      </c>
      <c r="LN421" s="630">
        <v>27.25458</v>
      </c>
      <c r="LO421" s="630">
        <v>0.16572358</v>
      </c>
      <c r="LP421" s="630">
        <v>8.5560139</v>
      </c>
      <c r="LQ421" s="630">
        <v>30.754531</v>
      </c>
      <c r="LR421" s="630">
        <v>7.404227</v>
      </c>
      <c r="LS421" s="630">
        <v>10.867469</v>
      </c>
      <c r="LT421" s="630">
        <v>23.31101</v>
      </c>
      <c r="LU421" s="630">
        <v>10469.474</v>
      </c>
      <c r="LV421" s="630">
        <v>5205.0819</v>
      </c>
      <c r="LW421" s="630">
        <v>429.92848</v>
      </c>
      <c r="LX421" s="630">
        <v>895.12284</v>
      </c>
      <c r="LY421" s="630">
        <v>1.4271367</v>
      </c>
      <c r="LZ421" s="630">
        <v>12.735059</v>
      </c>
      <c r="MA421" s="630">
        <v>234.02885</v>
      </c>
      <c r="MB421" s="630">
        <v>150.00471</v>
      </c>
      <c r="MC421" s="630">
        <v>17.181283</v>
      </c>
      <c r="MD421" s="630">
        <v>8.7974585</v>
      </c>
      <c r="ME421" s="630">
        <v>26.835445</v>
      </c>
      <c r="MF421" s="630">
        <v>385.67204</v>
      </c>
      <c r="MG421" s="630">
        <v>2.4997463</v>
      </c>
      <c r="MH421" s="630">
        <v>0.71059175</v>
      </c>
      <c r="MI421" s="630">
        <v>0.085437412</v>
      </c>
      <c r="MJ421" s="630">
        <v>13.463795</v>
      </c>
      <c r="MK421" s="630">
        <v>7.4483132</v>
      </c>
      <c r="ML421" s="630">
        <v>7.875931</v>
      </c>
      <c r="MM421" s="630">
        <v>5.8308293</v>
      </c>
      <c r="MN421" s="630">
        <v>5.3646034</v>
      </c>
      <c r="MO421" s="630">
        <v>6.788669</v>
      </c>
      <c r="MP421" s="630">
        <v>4.6146582</v>
      </c>
      <c r="MQ421" s="630">
        <v>7.984911</v>
      </c>
      <c r="MR421" s="630">
        <v>7.0178491</v>
      </c>
      <c r="MS421" s="630">
        <v>6.485788</v>
      </c>
      <c r="MT421" s="630">
        <v>7.186296</v>
      </c>
      <c r="MU421" s="630">
        <v>6.1528785</v>
      </c>
      <c r="MV421" s="630">
        <v>5.4180309</v>
      </c>
      <c r="MW421" s="630">
        <v>8.9660737</v>
      </c>
      <c r="MX421" s="630">
        <v>6835.5741</v>
      </c>
      <c r="MY421" s="630">
        <v>5718.7929</v>
      </c>
      <c r="MZ421" s="630">
        <v>3132.7503</v>
      </c>
      <c r="NA421" s="630">
        <v>27.225701</v>
      </c>
      <c r="NB421" s="630">
        <v>27.883916</v>
      </c>
      <c r="NC421" s="630">
        <v>20.043713</v>
      </c>
      <c r="ND421" s="630">
        <v>510.35339</v>
      </c>
      <c r="NE421" s="630">
        <v>376.82509</v>
      </c>
      <c r="NF421" s="630">
        <v>646.83646</v>
      </c>
      <c r="NG421" s="630">
        <v>1662.1922</v>
      </c>
      <c r="NH421" s="630">
        <v>19.174245</v>
      </c>
      <c r="NI421" s="630">
        <v>36.647222</v>
      </c>
      <c r="NJ421" s="630">
        <v>296.29037</v>
      </c>
      <c r="NK421" s="630">
        <v>24.560015</v>
      </c>
      <c r="NL421" s="630">
        <v>7.0270423</v>
      </c>
      <c r="NM421" s="630">
        <v>24.55536</v>
      </c>
      <c r="NN421" s="630">
        <v>63.807636</v>
      </c>
      <c r="NO421" s="630">
        <v>200.34009</v>
      </c>
      <c r="NP421" s="630">
        <v>5.7695815</v>
      </c>
      <c r="NQ421" s="630">
        <v>2272.5925</v>
      </c>
      <c r="NR421" s="630">
        <v>1361.9121</v>
      </c>
      <c r="NS421" s="630">
        <v>2874.2288</v>
      </c>
      <c r="NT421" s="630">
        <v>2342.0307</v>
      </c>
      <c r="NU421" s="630">
        <v>2164.3484</v>
      </c>
      <c r="NV421" s="630">
        <v>11.884475</v>
      </c>
      <c r="NW421" s="630">
        <v>64.854561</v>
      </c>
      <c r="NY421" s="630">
        <v>0.0</v>
      </c>
      <c r="NZ421" s="630"/>
      <c r="OA421" s="630">
        <v>0.454</v>
      </c>
      <c r="OB421" s="631">
        <v>17.4</v>
      </c>
      <c r="OC421" s="631"/>
      <c r="OD421" s="626"/>
      <c r="OE421" s="631">
        <f t="shared" si="3"/>
        <v>2067.396503</v>
      </c>
      <c r="OF421" s="631">
        <v>142.3515507343818</v>
      </c>
      <c r="OG421" s="630">
        <v>2375.4036954947333</v>
      </c>
      <c r="OI421" s="626"/>
      <c r="OJ421" s="626"/>
      <c r="OK421" s="626"/>
      <c r="OL421" s="626"/>
      <c r="OM421" s="626"/>
      <c r="ON421" s="626"/>
    </row>
    <row r="422" ht="12.75" customHeight="1">
      <c r="A422" s="55" t="s">
        <v>4998</v>
      </c>
      <c r="B422" s="55" t="s">
        <v>4978</v>
      </c>
      <c r="C422" s="630">
        <v>122.51431</v>
      </c>
      <c r="D422" s="630">
        <v>15.431367</v>
      </c>
      <c r="E422" s="630">
        <v>16.78589</v>
      </c>
      <c r="F422" s="630">
        <v>349.80262</v>
      </c>
      <c r="G422" s="630">
        <v>0.44315643</v>
      </c>
      <c r="H422" s="630">
        <v>0.82315149</v>
      </c>
      <c r="I422" s="630">
        <v>6.6304324</v>
      </c>
      <c r="J422" s="630">
        <v>42.442456</v>
      </c>
      <c r="K422" s="630">
        <v>76.950957</v>
      </c>
      <c r="L422" s="630">
        <v>2171.6765</v>
      </c>
      <c r="M422" s="630">
        <v>1198.6962</v>
      </c>
      <c r="N422" s="630">
        <v>264.31742</v>
      </c>
      <c r="O422" s="630">
        <v>327.03778</v>
      </c>
      <c r="P422" s="630">
        <v>474.59129</v>
      </c>
      <c r="Q422" s="630">
        <v>3.3169493</v>
      </c>
      <c r="R422" s="630">
        <v>0.18256929</v>
      </c>
      <c r="S422" s="630">
        <v>10.434876</v>
      </c>
      <c r="T422" s="630">
        <v>4.1659499E-4</v>
      </c>
      <c r="U422" s="630">
        <v>0.0065934725</v>
      </c>
      <c r="V422" s="630">
        <v>0.0</v>
      </c>
      <c r="W422" s="630">
        <v>3.2428108</v>
      </c>
      <c r="X422" s="630">
        <v>5.0750227</v>
      </c>
      <c r="Y422" s="630">
        <v>4.9993987</v>
      </c>
      <c r="Z422" s="630">
        <v>3.1853276</v>
      </c>
      <c r="AA422" s="630">
        <v>0.25021485</v>
      </c>
      <c r="AB422" s="630">
        <v>0.2405912</v>
      </c>
      <c r="AC422" s="630">
        <v>0.060429569</v>
      </c>
      <c r="AD422" s="630">
        <v>0.10823341</v>
      </c>
      <c r="AE422" s="630">
        <v>398.37638</v>
      </c>
      <c r="AF422" s="630">
        <v>533.4952</v>
      </c>
      <c r="AG422" s="630">
        <v>423.16821</v>
      </c>
      <c r="AH422" s="630">
        <v>0.95129589</v>
      </c>
      <c r="AI422" s="630">
        <v>0.96114886</v>
      </c>
      <c r="AJ422" s="630">
        <v>52.374939</v>
      </c>
      <c r="AK422" s="630">
        <v>1.135233</v>
      </c>
      <c r="AL422" s="630">
        <v>0.84102836</v>
      </c>
      <c r="AM422" s="630">
        <v>1.2306969</v>
      </c>
      <c r="AN422" s="630">
        <v>0.91395077</v>
      </c>
      <c r="AO422" s="630">
        <v>1.5113292</v>
      </c>
      <c r="AP422" s="630">
        <v>1.1607909</v>
      </c>
      <c r="AQ422" s="630">
        <v>1.4593563</v>
      </c>
      <c r="AR422" s="630">
        <v>1.1039442</v>
      </c>
      <c r="AS422" s="630">
        <v>1.4083786</v>
      </c>
      <c r="AT422" s="630">
        <v>1.1625674</v>
      </c>
      <c r="AU422" s="630">
        <v>2.0961557</v>
      </c>
      <c r="AV422" s="630">
        <v>743.2025</v>
      </c>
      <c r="AW422" s="630">
        <v>560.6157</v>
      </c>
      <c r="AX422" s="630">
        <v>720.27235</v>
      </c>
      <c r="AY422" s="630">
        <v>429.92163</v>
      </c>
      <c r="AZ422" s="630">
        <v>0.10300628</v>
      </c>
      <c r="BA422" s="630">
        <v>11.59533</v>
      </c>
      <c r="BB422" s="630">
        <v>4.5578839</v>
      </c>
      <c r="BC422" s="630">
        <v>4.8584301</v>
      </c>
      <c r="BD422" s="630">
        <v>1.3645579</v>
      </c>
      <c r="BE422" s="630">
        <v>1.4897011</v>
      </c>
      <c r="BF422" s="630">
        <v>0.035923264</v>
      </c>
      <c r="BG422" s="630">
        <v>0.28741206</v>
      </c>
      <c r="BH422" s="630">
        <v>0.26914317</v>
      </c>
      <c r="BI422" s="630">
        <v>263.73596</v>
      </c>
      <c r="BJ422" s="630">
        <v>61.738749</v>
      </c>
      <c r="BK422" s="630">
        <v>63.599715</v>
      </c>
      <c r="BL422" s="630">
        <v>15.287121</v>
      </c>
      <c r="BM422" s="630">
        <v>17.148089</v>
      </c>
      <c r="BN422" s="630">
        <v>2189.4548</v>
      </c>
      <c r="BO422" s="630">
        <v>0.013047297</v>
      </c>
      <c r="BP422" s="630">
        <v>0.1068093</v>
      </c>
      <c r="BQ422" s="630">
        <v>58.400035</v>
      </c>
      <c r="BR422" s="630">
        <v>65.696269</v>
      </c>
      <c r="BS422" s="630">
        <v>64.235119</v>
      </c>
      <c r="BT422" s="630">
        <v>416.08738</v>
      </c>
      <c r="BU422" s="630">
        <v>183.52507</v>
      </c>
      <c r="BV422" s="630">
        <v>269.76712</v>
      </c>
      <c r="BW422" s="630">
        <v>1.9376529</v>
      </c>
      <c r="BX422" s="630">
        <v>4127.3687</v>
      </c>
      <c r="BY422" s="630">
        <v>433.82065</v>
      </c>
      <c r="BZ422" s="630">
        <v>1.3934988</v>
      </c>
      <c r="CA422" s="630">
        <v>0.012294704</v>
      </c>
      <c r="CB422" s="630">
        <v>0.0085167346</v>
      </c>
      <c r="CC422" s="630">
        <v>0.0096525744</v>
      </c>
      <c r="CD422" s="630">
        <v>0.010924741</v>
      </c>
      <c r="CE422" s="630">
        <v>19629.119</v>
      </c>
      <c r="CF422" s="630">
        <v>20187.818</v>
      </c>
      <c r="CG422" s="630">
        <v>116.98122</v>
      </c>
      <c r="CH422" s="630">
        <v>147.29203</v>
      </c>
      <c r="CI422" s="630">
        <v>1.93598</v>
      </c>
      <c r="CJ422" s="630">
        <v>7.1290758</v>
      </c>
      <c r="CK422" s="630">
        <v>58.249964</v>
      </c>
      <c r="CL422" s="630">
        <v>0.0097681498</v>
      </c>
      <c r="CM422" s="630">
        <v>94.095432</v>
      </c>
      <c r="CN422" s="630">
        <v>6.5890836</v>
      </c>
      <c r="CO422" s="630">
        <v>57.197705</v>
      </c>
      <c r="CP422" s="630">
        <v>5.7050344</v>
      </c>
      <c r="CQ422" s="630">
        <v>27.622696</v>
      </c>
      <c r="CR422" s="630">
        <v>41.821885</v>
      </c>
      <c r="CS422" s="630">
        <v>41.821885</v>
      </c>
      <c r="CT422" s="630">
        <v>0.0080076824</v>
      </c>
      <c r="CU422" s="630">
        <v>15.916875</v>
      </c>
      <c r="CV422" s="630">
        <v>0.011778283</v>
      </c>
      <c r="CW422" s="630">
        <v>3.635844</v>
      </c>
      <c r="CX422" s="630">
        <v>222.5066</v>
      </c>
      <c r="CY422" s="630">
        <v>282.6137</v>
      </c>
      <c r="CZ422" s="630">
        <v>256.02054</v>
      </c>
      <c r="DA422" s="630">
        <v>180.76425</v>
      </c>
      <c r="DB422" s="630">
        <v>10.513475</v>
      </c>
      <c r="DC422" s="630">
        <v>0.009596005</v>
      </c>
      <c r="DD422" s="630">
        <v>25.42622</v>
      </c>
      <c r="DE422" s="630">
        <v>47.370508</v>
      </c>
      <c r="DF422" s="630">
        <v>19.340332</v>
      </c>
      <c r="DG422" s="630">
        <v>25.42622</v>
      </c>
      <c r="DH422" s="630">
        <v>47.370508</v>
      </c>
      <c r="DI422" s="630">
        <v>34.282077</v>
      </c>
      <c r="DJ422" s="630">
        <v>40.496541</v>
      </c>
      <c r="DK422" s="630">
        <v>40.496541</v>
      </c>
      <c r="DL422" s="630">
        <v>62.440829</v>
      </c>
      <c r="DM422" s="630">
        <v>40.496541</v>
      </c>
      <c r="DN422" s="630">
        <v>62.440829</v>
      </c>
      <c r="DO422" s="630">
        <v>0.0095960051</v>
      </c>
      <c r="DP422" s="630">
        <v>16.377415</v>
      </c>
      <c r="DQ422" s="630">
        <v>85.323111</v>
      </c>
      <c r="DR422" s="630">
        <v>20.638225</v>
      </c>
      <c r="DS422" s="630">
        <v>21.622821</v>
      </c>
      <c r="DT422" s="630">
        <v>16.214632</v>
      </c>
      <c r="DU422" s="630">
        <v>11.614305</v>
      </c>
      <c r="DV422" s="630">
        <v>142.68581</v>
      </c>
      <c r="DW422" s="630">
        <v>240.35823</v>
      </c>
      <c r="DX422" s="630">
        <v>326.37036</v>
      </c>
      <c r="DY422" s="630">
        <v>736.0764</v>
      </c>
      <c r="DZ422" s="630">
        <v>777.08564</v>
      </c>
      <c r="EA422" s="630">
        <v>0.0065934725</v>
      </c>
      <c r="EB422" s="630">
        <v>0.0083575065</v>
      </c>
      <c r="EC422" s="630">
        <v>0.0091602316</v>
      </c>
      <c r="ED422" s="630">
        <v>92.407901</v>
      </c>
      <c r="EE422" s="630">
        <v>0.0077349536</v>
      </c>
      <c r="EF422" s="630">
        <v>0.0</v>
      </c>
      <c r="EG422" s="630">
        <v>0.0</v>
      </c>
      <c r="EH422" s="630">
        <v>0.0</v>
      </c>
      <c r="EI422" s="630">
        <v>0.0087746811</v>
      </c>
      <c r="EJ422" s="630">
        <v>0.0077156295</v>
      </c>
      <c r="EK422" s="630">
        <v>114.33703</v>
      </c>
      <c r="EL422" s="630">
        <v>0.0</v>
      </c>
      <c r="EM422" s="630">
        <v>0.0</v>
      </c>
      <c r="EN422" s="630">
        <v>0.0</v>
      </c>
      <c r="EO422" s="630">
        <v>0.0</v>
      </c>
      <c r="EP422" s="630">
        <v>21.010054</v>
      </c>
      <c r="EQ422" s="630">
        <v>41.411187</v>
      </c>
      <c r="ER422" s="630">
        <v>0.0</v>
      </c>
      <c r="ES422" s="630">
        <v>0.0</v>
      </c>
      <c r="ET422" s="630">
        <v>9.5552857</v>
      </c>
      <c r="EU422" s="630">
        <v>6.0077152</v>
      </c>
      <c r="EV422" s="630">
        <v>6.0077152</v>
      </c>
      <c r="EW422" s="630">
        <v>5.7382185</v>
      </c>
      <c r="EX422" s="630">
        <v>35.091852</v>
      </c>
      <c r="EY422" s="630">
        <v>36.170177</v>
      </c>
      <c r="EZ422" s="630">
        <v>30.688569</v>
      </c>
      <c r="FA422" s="630">
        <v>39.400667</v>
      </c>
      <c r="FB422" s="630">
        <v>104.07742</v>
      </c>
      <c r="FC422" s="630">
        <v>29.94452</v>
      </c>
      <c r="FD422" s="630">
        <v>44.144846</v>
      </c>
      <c r="FE422" s="630">
        <v>80.662092</v>
      </c>
      <c r="FF422" s="630">
        <v>0.073673841</v>
      </c>
      <c r="FG422" s="630">
        <v>0.09295916</v>
      </c>
      <c r="FH422" s="630">
        <v>53.391493</v>
      </c>
      <c r="FI422" s="630">
        <v>28.991993</v>
      </c>
      <c r="FJ422" s="630">
        <v>70.96401</v>
      </c>
      <c r="FK422" s="630">
        <v>24.610327</v>
      </c>
      <c r="FL422" s="630">
        <v>46.638419</v>
      </c>
      <c r="FM422" s="630">
        <v>34.197488</v>
      </c>
      <c r="FN422" s="630">
        <v>69.522389</v>
      </c>
      <c r="FO422" s="630">
        <v>47.033423</v>
      </c>
      <c r="FP422" s="630">
        <v>0.11693716</v>
      </c>
      <c r="FQ422" s="630">
        <v>29.402479</v>
      </c>
      <c r="FR422" s="630">
        <v>0.15277735</v>
      </c>
      <c r="FS422" s="630">
        <v>31.697597</v>
      </c>
      <c r="FT422" s="630">
        <v>5.7345751</v>
      </c>
      <c r="FU422" s="630">
        <v>0.76951593</v>
      </c>
      <c r="FV422" s="630">
        <v>0.092835295</v>
      </c>
      <c r="FW422" s="630">
        <v>0.0091602317</v>
      </c>
      <c r="FX422" s="630">
        <v>0.092057266</v>
      </c>
      <c r="FY422" s="630">
        <v>0.0091602317</v>
      </c>
      <c r="FZ422" s="630">
        <v>162.34077</v>
      </c>
      <c r="GA422" s="630">
        <v>2302.6238</v>
      </c>
      <c r="GB422" s="630">
        <v>190.74067</v>
      </c>
      <c r="GC422" s="630">
        <v>74.478337</v>
      </c>
      <c r="GD422" s="630">
        <v>80.900085</v>
      </c>
      <c r="GE422" s="630">
        <v>0.66063381</v>
      </c>
      <c r="GF422" s="630">
        <v>128.83728</v>
      </c>
      <c r="GG422" s="630">
        <v>284.28034</v>
      </c>
      <c r="GH422" s="630">
        <v>3630.7004</v>
      </c>
      <c r="GI422" s="630">
        <v>2213.0217</v>
      </c>
      <c r="GJ422" s="630">
        <v>0.0050605168</v>
      </c>
      <c r="GK422" s="630">
        <v>10.128827</v>
      </c>
      <c r="GL422" s="630">
        <v>6.0306346</v>
      </c>
      <c r="GM422" s="630">
        <v>6.0306346</v>
      </c>
      <c r="GN422" s="630">
        <v>0.0091602316</v>
      </c>
      <c r="GO422" s="630">
        <v>0.0051738086</v>
      </c>
      <c r="GP422" s="630">
        <v>5.2567377</v>
      </c>
      <c r="GQ422" s="630">
        <v>0.0</v>
      </c>
      <c r="GR422" s="630">
        <v>0.0</v>
      </c>
      <c r="GS422" s="630">
        <v>0.13190734</v>
      </c>
      <c r="GT422" s="630">
        <v>0.057626413</v>
      </c>
      <c r="GU422" s="630">
        <v>2.4063135</v>
      </c>
      <c r="GV422" s="630">
        <v>21.429185</v>
      </c>
      <c r="GW422" s="630">
        <v>0.0077100035</v>
      </c>
      <c r="GX422" s="630">
        <v>0.0097427193</v>
      </c>
      <c r="GY422" s="630">
        <v>5.4824376</v>
      </c>
      <c r="GZ422" s="630">
        <v>5.0256097</v>
      </c>
      <c r="HA422" s="630">
        <v>0.0</v>
      </c>
      <c r="HB422" s="630">
        <v>0.0</v>
      </c>
      <c r="HC422" s="630">
        <v>0.0</v>
      </c>
      <c r="HD422" s="630">
        <v>31.06735</v>
      </c>
      <c r="HE422" s="630">
        <v>70.966256</v>
      </c>
      <c r="HF422" s="630">
        <v>5.0256097</v>
      </c>
      <c r="HG422" s="630">
        <v>5.4824376</v>
      </c>
      <c r="HH422" s="630">
        <v>6.0693592</v>
      </c>
      <c r="HI422" s="630">
        <v>0.0</v>
      </c>
      <c r="HJ422" s="630">
        <v>5.2567377</v>
      </c>
      <c r="HK422" s="630">
        <v>52.289209</v>
      </c>
      <c r="HL422" s="630">
        <v>226.4996</v>
      </c>
      <c r="HM422" s="630">
        <v>227.26492</v>
      </c>
      <c r="HN422" s="630">
        <v>1612.1054</v>
      </c>
      <c r="HO422" s="630">
        <v>1128.7404</v>
      </c>
      <c r="HP422" s="630">
        <v>2254.8542</v>
      </c>
      <c r="HQ422" s="630">
        <v>9.1974531</v>
      </c>
      <c r="HR422" s="630">
        <v>0.69296174</v>
      </c>
      <c r="HS422" s="630">
        <v>0.21113837</v>
      </c>
      <c r="HT422" s="630">
        <v>1.5850457</v>
      </c>
      <c r="HU422" s="630">
        <v>3.7074091</v>
      </c>
      <c r="HV422" s="630">
        <v>2.8081305</v>
      </c>
      <c r="HW422" s="630">
        <v>113.06569</v>
      </c>
      <c r="HX422" s="630">
        <v>0.80966692</v>
      </c>
      <c r="HY422" s="630">
        <v>0.90873772</v>
      </c>
      <c r="HZ422" s="630">
        <v>8.5151477</v>
      </c>
      <c r="IA422" s="630">
        <v>0.82686613</v>
      </c>
      <c r="IB422" s="630">
        <v>0.90188902</v>
      </c>
      <c r="IC422" s="630">
        <v>670.79366</v>
      </c>
      <c r="ID422" s="630">
        <v>223.52355</v>
      </c>
      <c r="IE422" s="630">
        <v>13.111481</v>
      </c>
      <c r="IF422" s="630">
        <v>10.526273</v>
      </c>
      <c r="IG422" s="630">
        <v>27.370246</v>
      </c>
      <c r="IH422" s="630">
        <v>13.59185</v>
      </c>
      <c r="II422" s="630">
        <v>136.31862</v>
      </c>
      <c r="IJ422" s="630">
        <v>94.480422</v>
      </c>
      <c r="IK422" s="630">
        <v>92.366161</v>
      </c>
      <c r="IL422" s="630">
        <v>15.786698</v>
      </c>
      <c r="IM422" s="630">
        <v>81.964511</v>
      </c>
      <c r="IN422" s="630">
        <v>37.234925</v>
      </c>
      <c r="IO422" s="630">
        <v>131.7463</v>
      </c>
      <c r="IP422" s="630">
        <v>22.327999</v>
      </c>
      <c r="IQ422" s="630">
        <v>52.098954</v>
      </c>
      <c r="IR422" s="630">
        <v>41.147999</v>
      </c>
      <c r="IS422" s="630">
        <v>38.760237</v>
      </c>
      <c r="IT422" s="630">
        <v>53.77968</v>
      </c>
      <c r="IU422" s="630">
        <v>20.796966</v>
      </c>
      <c r="IV422" s="630">
        <v>40.019559</v>
      </c>
      <c r="IW422" s="630">
        <v>18.578556</v>
      </c>
      <c r="IX422" s="630">
        <v>2.8704303</v>
      </c>
      <c r="IY422" s="630">
        <v>224.35462</v>
      </c>
      <c r="IZ422" s="630">
        <v>22.295221</v>
      </c>
      <c r="JA422" s="630">
        <v>4.7743165</v>
      </c>
      <c r="JB422" s="630">
        <v>0.0</v>
      </c>
      <c r="JC422" s="630">
        <v>51.904345</v>
      </c>
      <c r="JD422" s="630">
        <v>86.343708</v>
      </c>
      <c r="JE422" s="630">
        <v>47.194127</v>
      </c>
      <c r="JF422" s="630">
        <v>45.032136</v>
      </c>
      <c r="JG422" s="630">
        <v>79.467703</v>
      </c>
      <c r="JH422" s="630">
        <v>69.545068</v>
      </c>
      <c r="JI422" s="630">
        <v>106.37754</v>
      </c>
      <c r="JJ422" s="630">
        <v>134.97479</v>
      </c>
      <c r="JK422" s="630">
        <v>92.584862</v>
      </c>
      <c r="JL422" s="630">
        <v>126.92519</v>
      </c>
      <c r="JM422" s="630">
        <v>113.26035</v>
      </c>
      <c r="JN422" s="630">
        <v>0.56271332</v>
      </c>
      <c r="JO422" s="630">
        <v>0.51490189</v>
      </c>
      <c r="JP422" s="630">
        <v>0.59658318</v>
      </c>
      <c r="JQ422" s="630">
        <v>0.54877174</v>
      </c>
      <c r="JR422" s="630">
        <v>0.013520414</v>
      </c>
      <c r="JS422" s="630">
        <v>0.0057806041</v>
      </c>
      <c r="JT422" s="630">
        <v>10.615078</v>
      </c>
      <c r="JU422" s="630">
        <v>4.7247898</v>
      </c>
      <c r="JV422" s="630">
        <v>0.14659766</v>
      </c>
      <c r="JW422" s="630">
        <v>4.7014941</v>
      </c>
      <c r="JX422" s="630">
        <v>0.14804725</v>
      </c>
      <c r="JY422" s="630">
        <v>172.93266</v>
      </c>
      <c r="JZ422" s="630">
        <v>68.924571</v>
      </c>
      <c r="KA422" s="630">
        <v>161.75666</v>
      </c>
      <c r="KB422" s="630">
        <v>695.92052</v>
      </c>
      <c r="KC422" s="630">
        <v>5399.7454</v>
      </c>
      <c r="KD422" s="630">
        <v>845.23506</v>
      </c>
      <c r="KE422" s="630">
        <v>66.249008</v>
      </c>
      <c r="KF422" s="630">
        <v>36.78721</v>
      </c>
      <c r="KG422" s="630">
        <v>76.402384</v>
      </c>
      <c r="KH422" s="630">
        <v>21167.184</v>
      </c>
      <c r="KI422" s="630">
        <v>5819.7411</v>
      </c>
      <c r="KJ422" s="630">
        <v>5473.6918</v>
      </c>
      <c r="KK422" s="630">
        <v>23.843782</v>
      </c>
      <c r="KL422" s="630">
        <v>2.6533462</v>
      </c>
      <c r="KM422" s="630">
        <v>49.11559</v>
      </c>
      <c r="KN422" s="630">
        <v>0.13039256</v>
      </c>
      <c r="KO422" s="630">
        <v>0.2163109</v>
      </c>
      <c r="KP422" s="630">
        <v>0.12577677</v>
      </c>
      <c r="KQ422" s="630">
        <v>0.80951613</v>
      </c>
      <c r="KR422" s="630">
        <v>1.3383137</v>
      </c>
      <c r="KS422" s="630">
        <v>0.1276247</v>
      </c>
      <c r="KT422" s="630">
        <v>1.0951985</v>
      </c>
      <c r="KU422" s="630">
        <v>4.6419378</v>
      </c>
      <c r="KV422" s="630">
        <v>0.29222894</v>
      </c>
      <c r="KW422" s="630">
        <v>0.27378514</v>
      </c>
      <c r="KX422" s="630">
        <v>0.36326748</v>
      </c>
      <c r="KY422" s="630">
        <v>0.37678613</v>
      </c>
      <c r="KZ422" s="630">
        <v>0.37642356</v>
      </c>
      <c r="LA422" s="630">
        <v>0.42019443</v>
      </c>
      <c r="LB422" s="630">
        <v>0.90493475</v>
      </c>
      <c r="LC422" s="630">
        <v>7.6386246</v>
      </c>
      <c r="LD422" s="630">
        <v>1.0658982</v>
      </c>
      <c r="LE422" s="630">
        <v>0.74545473</v>
      </c>
      <c r="LF422" s="630">
        <v>6.7658545</v>
      </c>
      <c r="LG422" s="630">
        <v>1.6294553</v>
      </c>
      <c r="LH422" s="630">
        <v>2.0724815</v>
      </c>
      <c r="LI422" s="630">
        <v>18.76962</v>
      </c>
      <c r="LJ422" s="630">
        <v>5.1771943</v>
      </c>
      <c r="LK422" s="630">
        <v>19.71114</v>
      </c>
      <c r="LL422" s="630">
        <v>4.3816244</v>
      </c>
      <c r="LM422" s="630">
        <v>8.654676</v>
      </c>
      <c r="LN422" s="630">
        <v>9.4968093</v>
      </c>
      <c r="LO422" s="630">
        <v>6.8181069</v>
      </c>
      <c r="LP422" s="630">
        <v>10.280811</v>
      </c>
      <c r="LQ422" s="630">
        <v>18.121542</v>
      </c>
      <c r="LR422" s="630">
        <v>10.04824</v>
      </c>
      <c r="LS422" s="630">
        <v>30.683694</v>
      </c>
      <c r="LT422" s="630">
        <v>29.370531</v>
      </c>
      <c r="LU422" s="630">
        <v>1846.564</v>
      </c>
      <c r="LV422" s="630">
        <v>1243.174</v>
      </c>
      <c r="LW422" s="630">
        <v>31.595188</v>
      </c>
      <c r="LX422" s="630">
        <v>82.669823</v>
      </c>
      <c r="LY422" s="630">
        <v>0.11929164</v>
      </c>
      <c r="LZ422" s="630">
        <v>4.6722238</v>
      </c>
      <c r="MA422" s="630">
        <v>4.6848017</v>
      </c>
      <c r="MB422" s="630">
        <v>354.75759</v>
      </c>
      <c r="MC422" s="630">
        <v>1.5459718</v>
      </c>
      <c r="MD422" s="630">
        <v>1.4558939</v>
      </c>
      <c r="ME422" s="630">
        <v>2.9441509</v>
      </c>
      <c r="MF422" s="630">
        <v>3070.5294</v>
      </c>
      <c r="MG422" s="630">
        <v>0.12494164</v>
      </c>
      <c r="MH422" s="630">
        <v>0.11775272</v>
      </c>
      <c r="MI422" s="630">
        <v>0.0057806041</v>
      </c>
      <c r="MJ422" s="630">
        <v>4.9496683</v>
      </c>
      <c r="MK422" s="630">
        <v>0.1533516</v>
      </c>
      <c r="ML422" s="630">
        <v>0.20977475</v>
      </c>
      <c r="MM422" s="630">
        <v>0.17032694</v>
      </c>
      <c r="MN422" s="630">
        <v>0.11699577</v>
      </c>
      <c r="MO422" s="630">
        <v>0.12232784</v>
      </c>
      <c r="MP422" s="630">
        <v>0.089952318</v>
      </c>
      <c r="MQ422" s="630">
        <v>0.24385627</v>
      </c>
      <c r="MR422" s="630">
        <v>0.21616444</v>
      </c>
      <c r="MS422" s="630">
        <v>0.11808799</v>
      </c>
      <c r="MT422" s="630">
        <v>0.20043586</v>
      </c>
      <c r="MU422" s="630">
        <v>0.17253531</v>
      </c>
      <c r="MV422" s="630">
        <v>0.095689139</v>
      </c>
      <c r="MW422" s="630">
        <v>1.4205864</v>
      </c>
      <c r="MX422" s="630">
        <v>573.78768</v>
      </c>
      <c r="MY422" s="630">
        <v>489.55301</v>
      </c>
      <c r="MZ422" s="630">
        <v>269.77837</v>
      </c>
      <c r="NA422" s="630">
        <v>11.584462</v>
      </c>
      <c r="NB422" s="630">
        <v>15.520815</v>
      </c>
      <c r="NC422" s="630">
        <v>6.8629336</v>
      </c>
      <c r="ND422" s="630">
        <v>585.57042</v>
      </c>
      <c r="NE422" s="630">
        <v>214.21524</v>
      </c>
      <c r="NF422" s="630">
        <v>113.34092</v>
      </c>
      <c r="NG422" s="630">
        <v>153.43817</v>
      </c>
      <c r="NH422" s="630">
        <v>13.195187</v>
      </c>
      <c r="NI422" s="630">
        <v>15.077271</v>
      </c>
      <c r="NJ422" s="630">
        <v>7.636146</v>
      </c>
      <c r="NK422" s="630">
        <v>4.1077605</v>
      </c>
      <c r="NL422" s="630">
        <v>0.55848384</v>
      </c>
      <c r="NM422" s="630">
        <v>0.64747144</v>
      </c>
      <c r="NN422" s="630">
        <v>5.3037344</v>
      </c>
      <c r="NO422" s="630">
        <v>34.661961</v>
      </c>
      <c r="NP422" s="630">
        <v>0.31400889</v>
      </c>
      <c r="NQ422" s="630">
        <v>13030.009</v>
      </c>
      <c r="NR422" s="630">
        <v>16540.445</v>
      </c>
      <c r="NS422" s="630">
        <v>1689.9206</v>
      </c>
      <c r="NT422" s="630">
        <v>5600.0025</v>
      </c>
      <c r="NU422" s="630">
        <v>1872.3328</v>
      </c>
      <c r="NV422" s="630">
        <v>0.2608503</v>
      </c>
      <c r="NW422" s="630">
        <v>21.881855</v>
      </c>
      <c r="NY422" s="630">
        <v>0.0</v>
      </c>
      <c r="NZ422" s="630"/>
      <c r="OA422" s="630">
        <v>0.0789</v>
      </c>
      <c r="OB422" s="631">
        <v>2.0</v>
      </c>
      <c r="OC422" s="631"/>
      <c r="OD422" s="626"/>
      <c r="OE422" s="631">
        <f t="shared" si="3"/>
        <v>256.0718349</v>
      </c>
      <c r="OF422" s="631">
        <v>120.56805817346479</v>
      </c>
      <c r="OG422" s="630">
        <v>277.7524391481071</v>
      </c>
      <c r="OI422" s="626"/>
      <c r="OJ422" s="626"/>
      <c r="OK422" s="626"/>
      <c r="OL422" s="626"/>
      <c r="OM422" s="626"/>
      <c r="ON422" s="626"/>
    </row>
    <row r="423" ht="12.75" customHeight="1">
      <c r="A423" s="55" t="s">
        <v>4999</v>
      </c>
      <c r="B423" s="55" t="s">
        <v>4978</v>
      </c>
      <c r="C423" s="630">
        <v>229.05675</v>
      </c>
      <c r="D423" s="630">
        <v>46.659714</v>
      </c>
      <c r="E423" s="630">
        <v>75.820665</v>
      </c>
      <c r="F423" s="630">
        <v>14.985784</v>
      </c>
      <c r="G423" s="630">
        <v>17.826723</v>
      </c>
      <c r="H423" s="630">
        <v>26.525733</v>
      </c>
      <c r="I423" s="630">
        <v>34.070368</v>
      </c>
      <c r="J423" s="630">
        <v>3766.4871</v>
      </c>
      <c r="K423" s="630">
        <v>191.62781</v>
      </c>
      <c r="L423" s="630">
        <v>6075.2246</v>
      </c>
      <c r="M423" s="630">
        <v>3739.0609</v>
      </c>
      <c r="N423" s="630">
        <v>808.55985</v>
      </c>
      <c r="O423" s="630">
        <v>343.77957</v>
      </c>
      <c r="P423" s="630">
        <v>774.19158</v>
      </c>
      <c r="Q423" s="630">
        <v>7.3627371</v>
      </c>
      <c r="R423" s="630">
        <v>14.869015</v>
      </c>
      <c r="S423" s="630">
        <v>0.31101362</v>
      </c>
      <c r="T423" s="630">
        <v>0.0091520397</v>
      </c>
      <c r="U423" s="630">
        <v>0.1714747</v>
      </c>
      <c r="V423" s="630">
        <v>0.0</v>
      </c>
      <c r="W423" s="630">
        <v>82.437789</v>
      </c>
      <c r="X423" s="630">
        <v>138.50126</v>
      </c>
      <c r="Y423" s="630">
        <v>136.59347</v>
      </c>
      <c r="Z423" s="630">
        <v>81.085076</v>
      </c>
      <c r="AA423" s="630">
        <v>11.681521</v>
      </c>
      <c r="AB423" s="630">
        <v>11.232232</v>
      </c>
      <c r="AC423" s="630">
        <v>1.107873</v>
      </c>
      <c r="AD423" s="630">
        <v>1.5861119</v>
      </c>
      <c r="AE423" s="630">
        <v>14287.901</v>
      </c>
      <c r="AF423" s="630">
        <v>20400.902</v>
      </c>
      <c r="AG423" s="630">
        <v>15192.215</v>
      </c>
      <c r="AH423" s="630">
        <v>21.831182</v>
      </c>
      <c r="AI423" s="630">
        <v>16.912709</v>
      </c>
      <c r="AJ423" s="630">
        <v>138.99756</v>
      </c>
      <c r="AK423" s="630">
        <v>16.247285</v>
      </c>
      <c r="AL423" s="630">
        <v>11.440749</v>
      </c>
      <c r="AM423" s="630">
        <v>15.61305</v>
      </c>
      <c r="AN423" s="630">
        <v>10.463236</v>
      </c>
      <c r="AO423" s="630">
        <v>12.831869</v>
      </c>
      <c r="AP423" s="630">
        <v>7.8754434</v>
      </c>
      <c r="AQ423" s="630">
        <v>12.474799</v>
      </c>
      <c r="AR423" s="630">
        <v>7.4493801</v>
      </c>
      <c r="AS423" s="630">
        <v>16.120119</v>
      </c>
      <c r="AT423" s="630">
        <v>12.123211</v>
      </c>
      <c r="AU423" s="630">
        <v>80.075386</v>
      </c>
      <c r="AV423" s="630">
        <v>27122.167</v>
      </c>
      <c r="AW423" s="630">
        <v>30619.517</v>
      </c>
      <c r="AX423" s="630">
        <v>35763.086</v>
      </c>
      <c r="AY423" s="630">
        <v>247.40797</v>
      </c>
      <c r="AZ423" s="630">
        <v>5.921953</v>
      </c>
      <c r="BA423" s="630">
        <v>76.421664</v>
      </c>
      <c r="BB423" s="630">
        <v>97.806867</v>
      </c>
      <c r="BC423" s="630">
        <v>104.41489</v>
      </c>
      <c r="BD423" s="630">
        <v>6.2887321</v>
      </c>
      <c r="BE423" s="630">
        <v>7.6488946</v>
      </c>
      <c r="BF423" s="630">
        <v>5.7652666</v>
      </c>
      <c r="BG423" s="630">
        <v>12.180029</v>
      </c>
      <c r="BH423" s="630">
        <v>12.803879</v>
      </c>
      <c r="BI423" s="630">
        <v>60.810778</v>
      </c>
      <c r="BJ423" s="630">
        <v>262.11681</v>
      </c>
      <c r="BK423" s="630">
        <v>371.80815</v>
      </c>
      <c r="BL423" s="630">
        <v>165.28526</v>
      </c>
      <c r="BM423" s="630">
        <v>274.9766</v>
      </c>
      <c r="BN423" s="630">
        <v>14040.36</v>
      </c>
      <c r="BO423" s="630">
        <v>5.7275699</v>
      </c>
      <c r="BP423" s="630">
        <v>4.1752898</v>
      </c>
      <c r="BQ423" s="630">
        <v>9558.4985</v>
      </c>
      <c r="BR423" s="630">
        <v>10644.543</v>
      </c>
      <c r="BS423" s="630">
        <v>11429.941</v>
      </c>
      <c r="BT423" s="630">
        <v>19991.808</v>
      </c>
      <c r="BU423" s="630">
        <v>8039.7199</v>
      </c>
      <c r="BV423" s="630">
        <v>12572.016</v>
      </c>
      <c r="BW423" s="630">
        <v>8.7307882</v>
      </c>
      <c r="BX423" s="630">
        <v>11429.103</v>
      </c>
      <c r="BY423" s="630">
        <v>186.53425</v>
      </c>
      <c r="BZ423" s="630">
        <v>147.43709</v>
      </c>
      <c r="CA423" s="630">
        <v>12.664817</v>
      </c>
      <c r="CB423" s="630">
        <v>8.0248259</v>
      </c>
      <c r="CC423" s="630">
        <v>9.4198309</v>
      </c>
      <c r="CD423" s="630">
        <v>10.982269</v>
      </c>
      <c r="CE423" s="630">
        <v>23815.124</v>
      </c>
      <c r="CF423" s="630">
        <v>44439.066</v>
      </c>
      <c r="CG423" s="630">
        <v>3515.146</v>
      </c>
      <c r="CH423" s="630">
        <v>4698.9023</v>
      </c>
      <c r="CI423" s="630">
        <v>0.56817856</v>
      </c>
      <c r="CJ423" s="630">
        <v>10.208755</v>
      </c>
      <c r="CK423" s="630">
        <v>2.7123747</v>
      </c>
      <c r="CL423" s="630">
        <v>0.23444467</v>
      </c>
      <c r="CM423" s="630">
        <v>0.56439955</v>
      </c>
      <c r="CN423" s="630">
        <v>605.31337</v>
      </c>
      <c r="CO423" s="630">
        <v>882.38494</v>
      </c>
      <c r="CP423" s="630">
        <v>524.09923</v>
      </c>
      <c r="CQ423" s="630">
        <v>2537.5892</v>
      </c>
      <c r="CR423" s="630">
        <v>3842.0133</v>
      </c>
      <c r="CS423" s="630">
        <v>3842.0133</v>
      </c>
      <c r="CT423" s="630">
        <v>0.70810986</v>
      </c>
      <c r="CU423" s="630">
        <v>2.9343011</v>
      </c>
      <c r="CV423" s="630">
        <v>0.26188496</v>
      </c>
      <c r="CW423" s="630">
        <v>0.35982496</v>
      </c>
      <c r="CX423" s="630">
        <v>105.27122</v>
      </c>
      <c r="CY423" s="630">
        <v>25.146932</v>
      </c>
      <c r="CZ423" s="630">
        <v>39.918796</v>
      </c>
      <c r="DA423" s="630">
        <v>37.672558</v>
      </c>
      <c r="DB423" s="630">
        <v>0.51801933</v>
      </c>
      <c r="DC423" s="630">
        <v>0.23822464</v>
      </c>
      <c r="DD423" s="630">
        <v>5.7184294</v>
      </c>
      <c r="DE423" s="630">
        <v>8.2356714</v>
      </c>
      <c r="DF423" s="630">
        <v>5.2170573</v>
      </c>
      <c r="DG423" s="630">
        <v>5.7184294</v>
      </c>
      <c r="DH423" s="630">
        <v>8.2356714</v>
      </c>
      <c r="DI423" s="630">
        <v>8.259873</v>
      </c>
      <c r="DJ423" s="630">
        <v>8.7718375</v>
      </c>
      <c r="DK423" s="630">
        <v>8.7718375</v>
      </c>
      <c r="DL423" s="630">
        <v>11.28908</v>
      </c>
      <c r="DM423" s="630">
        <v>8.7718375</v>
      </c>
      <c r="DN423" s="630">
        <v>11.28908</v>
      </c>
      <c r="DO423" s="630">
        <v>0.23822464</v>
      </c>
      <c r="DP423" s="630">
        <v>0.58318547</v>
      </c>
      <c r="DQ423" s="630">
        <v>0.73003107</v>
      </c>
      <c r="DR423" s="630">
        <v>0.70450963</v>
      </c>
      <c r="DS423" s="630">
        <v>0.74898238</v>
      </c>
      <c r="DT423" s="630">
        <v>2.8341287</v>
      </c>
      <c r="DU423" s="630">
        <v>20.303604</v>
      </c>
      <c r="DV423" s="630">
        <v>12.839934</v>
      </c>
      <c r="DW423" s="630">
        <v>39.393609</v>
      </c>
      <c r="DX423" s="630">
        <v>574.16726</v>
      </c>
      <c r="DY423" s="630">
        <v>44.745388</v>
      </c>
      <c r="DZ423" s="630">
        <v>44.565637</v>
      </c>
      <c r="EA423" s="630">
        <v>0.1714747</v>
      </c>
      <c r="EB423" s="630">
        <v>0.71159149</v>
      </c>
      <c r="EC423" s="630">
        <v>0.2186347</v>
      </c>
      <c r="ED423" s="630">
        <v>26.046835</v>
      </c>
      <c r="EE423" s="630">
        <v>0.79481685</v>
      </c>
      <c r="EF423" s="630">
        <v>0.0</v>
      </c>
      <c r="EG423" s="630">
        <v>0.0</v>
      </c>
      <c r="EH423" s="630">
        <v>0.0</v>
      </c>
      <c r="EI423" s="630">
        <v>0.80609569</v>
      </c>
      <c r="EJ423" s="630">
        <v>0.79458292</v>
      </c>
      <c r="EK423" s="630">
        <v>9.9983926</v>
      </c>
      <c r="EL423" s="630">
        <v>0.0</v>
      </c>
      <c r="EM423" s="630">
        <v>0.0</v>
      </c>
      <c r="EN423" s="630">
        <v>0.0</v>
      </c>
      <c r="EO423" s="630">
        <v>0.0</v>
      </c>
      <c r="EP423" s="630">
        <v>1909.1877</v>
      </c>
      <c r="EQ423" s="630">
        <v>3783.3601</v>
      </c>
      <c r="ER423" s="630">
        <v>0.0</v>
      </c>
      <c r="ES423" s="630">
        <v>0.0</v>
      </c>
      <c r="ET423" s="630">
        <v>11.474666</v>
      </c>
      <c r="EU423" s="630">
        <v>0.29601178</v>
      </c>
      <c r="EV423" s="630">
        <v>0.29601178</v>
      </c>
      <c r="EW423" s="630">
        <v>0.21299429</v>
      </c>
      <c r="EX423" s="630">
        <v>1.3470561</v>
      </c>
      <c r="EY423" s="630">
        <v>6.9906398</v>
      </c>
      <c r="EZ423" s="630">
        <v>6.7901182</v>
      </c>
      <c r="FA423" s="630">
        <v>1.6712664</v>
      </c>
      <c r="FB423" s="630">
        <v>3.7621238</v>
      </c>
      <c r="FC423" s="630">
        <v>1.1595036</v>
      </c>
      <c r="FD423" s="630">
        <v>2.6305639</v>
      </c>
      <c r="FE423" s="630">
        <v>11.878431</v>
      </c>
      <c r="FF423" s="630">
        <v>1.6056252</v>
      </c>
      <c r="FG423" s="630">
        <v>2.0259236</v>
      </c>
      <c r="FH423" s="630">
        <v>1.518066</v>
      </c>
      <c r="FI423" s="630">
        <v>0.82432155</v>
      </c>
      <c r="FJ423" s="630">
        <v>4.699823</v>
      </c>
      <c r="FK423" s="630">
        <v>2.2146208</v>
      </c>
      <c r="FL423" s="630">
        <v>1.3260577</v>
      </c>
      <c r="FM423" s="630">
        <v>0.97232799</v>
      </c>
      <c r="FN423" s="630">
        <v>5.0482158</v>
      </c>
      <c r="FO423" s="630">
        <v>42.754315</v>
      </c>
      <c r="FP423" s="630">
        <v>2.5484927</v>
      </c>
      <c r="FQ423" s="630">
        <v>2.9582326</v>
      </c>
      <c r="FR423" s="630">
        <v>3.9732403</v>
      </c>
      <c r="FS423" s="630">
        <v>3.3481101</v>
      </c>
      <c r="FT423" s="630">
        <v>0.28255364</v>
      </c>
      <c r="FU423" s="630">
        <v>18.366353</v>
      </c>
      <c r="FV423" s="630">
        <v>2.2184128</v>
      </c>
      <c r="FW423" s="630">
        <v>0.21863471</v>
      </c>
      <c r="FX423" s="630">
        <v>2.1981788</v>
      </c>
      <c r="FY423" s="630">
        <v>0.21863471</v>
      </c>
      <c r="FZ423" s="630">
        <v>13.020329</v>
      </c>
      <c r="GA423" s="630">
        <v>75.651298</v>
      </c>
      <c r="GB423" s="630">
        <v>8.5391759</v>
      </c>
      <c r="GC423" s="630">
        <v>3.6696922</v>
      </c>
      <c r="GD423" s="630">
        <v>3.8983649</v>
      </c>
      <c r="GE423" s="630">
        <v>58.419064</v>
      </c>
      <c r="GF423" s="630">
        <v>4.2328703</v>
      </c>
      <c r="GG423" s="630">
        <v>19.508511</v>
      </c>
      <c r="GH423" s="630">
        <v>180.65396</v>
      </c>
      <c r="GI423" s="630">
        <v>112.6595</v>
      </c>
      <c r="GJ423" s="630">
        <v>0.76561536</v>
      </c>
      <c r="GK423" s="630">
        <v>0.67692974</v>
      </c>
      <c r="GL423" s="630">
        <v>0.29714107</v>
      </c>
      <c r="GM423" s="630">
        <v>0.29714107</v>
      </c>
      <c r="GN423" s="630">
        <v>0.21863471</v>
      </c>
      <c r="GO423" s="630">
        <v>0.76698687</v>
      </c>
      <c r="GP423" s="630">
        <v>0.25900966</v>
      </c>
      <c r="GQ423" s="630">
        <v>0.0</v>
      </c>
      <c r="GR423" s="630">
        <v>0.0</v>
      </c>
      <c r="GS423" s="630">
        <v>3.1483398</v>
      </c>
      <c r="GT423" s="630">
        <v>1.3753695</v>
      </c>
      <c r="GU423" s="630">
        <v>10.841814</v>
      </c>
      <c r="GV423" s="630">
        <v>1.7653947</v>
      </c>
      <c r="GW423" s="630">
        <v>0.74333815</v>
      </c>
      <c r="GX423" s="630">
        <v>0.56024299</v>
      </c>
      <c r="GY423" s="630">
        <v>0.18012214</v>
      </c>
      <c r="GZ423" s="630">
        <v>0.16511334</v>
      </c>
      <c r="HA423" s="630">
        <v>0.0</v>
      </c>
      <c r="HB423" s="630">
        <v>0.0</v>
      </c>
      <c r="HC423" s="630">
        <v>0.0</v>
      </c>
      <c r="HD423" s="630">
        <v>1.4998825</v>
      </c>
      <c r="HE423" s="630">
        <v>5.6022716</v>
      </c>
      <c r="HF423" s="630">
        <v>0.16511334</v>
      </c>
      <c r="HG423" s="630">
        <v>0.18012214</v>
      </c>
      <c r="HH423" s="630">
        <v>557.56833</v>
      </c>
      <c r="HI423" s="630">
        <v>0.0</v>
      </c>
      <c r="HJ423" s="630">
        <v>0.25900966</v>
      </c>
      <c r="HK423" s="630">
        <v>1.8621042</v>
      </c>
      <c r="HL423" s="630">
        <v>6003.3318</v>
      </c>
      <c r="HM423" s="630">
        <v>3894.5635</v>
      </c>
      <c r="HN423" s="630">
        <v>6390.631</v>
      </c>
      <c r="HO423" s="630">
        <v>7714.7717</v>
      </c>
      <c r="HP423" s="630">
        <v>7259.5259</v>
      </c>
      <c r="HQ423" s="630">
        <v>1779.2636</v>
      </c>
      <c r="HR423" s="630">
        <v>21.884975</v>
      </c>
      <c r="HS423" s="630">
        <v>13.608396</v>
      </c>
      <c r="HT423" s="630">
        <v>73.338015</v>
      </c>
      <c r="HU423" s="630">
        <v>78.265072</v>
      </c>
      <c r="HV423" s="630">
        <v>77.397004</v>
      </c>
      <c r="HW423" s="630">
        <v>16560.773</v>
      </c>
      <c r="HX423" s="630">
        <v>62.118823</v>
      </c>
      <c r="HY423" s="630">
        <v>90.997781</v>
      </c>
      <c r="HZ423" s="630">
        <v>39.648494</v>
      </c>
      <c r="IA423" s="630">
        <v>45.274308</v>
      </c>
      <c r="IB423" s="630">
        <v>85.976634</v>
      </c>
      <c r="IC423" s="630">
        <v>332.57752</v>
      </c>
      <c r="ID423" s="630">
        <v>201.64093</v>
      </c>
      <c r="IE423" s="630">
        <v>193.76889</v>
      </c>
      <c r="IF423" s="630">
        <v>240.49548</v>
      </c>
      <c r="IG423" s="630">
        <v>550.05</v>
      </c>
      <c r="IH423" s="630">
        <v>338.2306</v>
      </c>
      <c r="II423" s="630">
        <v>249.47204</v>
      </c>
      <c r="IJ423" s="630">
        <v>694.46282</v>
      </c>
      <c r="IK423" s="630">
        <v>689.14752</v>
      </c>
      <c r="IL423" s="630">
        <v>451.42528</v>
      </c>
      <c r="IM423" s="630">
        <v>518.72139</v>
      </c>
      <c r="IN423" s="630">
        <v>1014.0516</v>
      </c>
      <c r="IO423" s="630">
        <v>1299.1149</v>
      </c>
      <c r="IP423" s="630">
        <v>193.23389</v>
      </c>
      <c r="IQ423" s="630">
        <v>1167.3335</v>
      </c>
      <c r="IR423" s="630">
        <v>1394.3908</v>
      </c>
      <c r="IS423" s="630">
        <v>497.07529</v>
      </c>
      <c r="IT423" s="630">
        <v>659.47242</v>
      </c>
      <c r="IU423" s="630">
        <v>1271.4871</v>
      </c>
      <c r="IV423" s="630">
        <v>154.89267</v>
      </c>
      <c r="IW423" s="630">
        <v>341.20972</v>
      </c>
      <c r="IX423" s="630">
        <v>13.702053</v>
      </c>
      <c r="IY423" s="630">
        <v>801.90206</v>
      </c>
      <c r="IZ423" s="630">
        <v>188.3095</v>
      </c>
      <c r="JA423" s="630">
        <v>0.60264026</v>
      </c>
      <c r="JB423" s="630">
        <v>0.0</v>
      </c>
      <c r="JC423" s="630">
        <v>5844.3282</v>
      </c>
      <c r="JD423" s="630">
        <v>9309.725</v>
      </c>
      <c r="JE423" s="630">
        <v>4350.8994</v>
      </c>
      <c r="JF423" s="630">
        <v>3008.7465</v>
      </c>
      <c r="JG423" s="630">
        <v>6472.4939</v>
      </c>
      <c r="JH423" s="630">
        <v>7938.4043</v>
      </c>
      <c r="JI423" s="630">
        <v>10493.643</v>
      </c>
      <c r="JJ423" s="630">
        <v>11120.167</v>
      </c>
      <c r="JK423" s="630">
        <v>4799.741</v>
      </c>
      <c r="JL423" s="630">
        <v>8262.0597</v>
      </c>
      <c r="JM423" s="630">
        <v>13331.003</v>
      </c>
      <c r="JN423" s="630">
        <v>79.608515</v>
      </c>
      <c r="JO423" s="630">
        <v>86.18708</v>
      </c>
      <c r="JP423" s="630">
        <v>81.574746</v>
      </c>
      <c r="JQ423" s="630">
        <v>88.153312</v>
      </c>
      <c r="JR423" s="630">
        <v>1.8154313</v>
      </c>
      <c r="JS423" s="630">
        <v>0.56335205</v>
      </c>
      <c r="JT423" s="630">
        <v>575.51904</v>
      </c>
      <c r="JU423" s="630">
        <v>287.53769</v>
      </c>
      <c r="JV423" s="630">
        <v>6.9495578</v>
      </c>
      <c r="JW423" s="630">
        <v>110.67382</v>
      </c>
      <c r="JX423" s="630">
        <v>6.9519303</v>
      </c>
      <c r="JY423" s="630">
        <v>36012.87</v>
      </c>
      <c r="JZ423" s="630">
        <v>2033.7338</v>
      </c>
      <c r="KA423" s="630">
        <v>2856.7467</v>
      </c>
      <c r="KB423" s="630">
        <v>1384.8599</v>
      </c>
      <c r="KC423" s="630">
        <v>19887.267</v>
      </c>
      <c r="KD423" s="630">
        <v>3116.9974</v>
      </c>
      <c r="KE423" s="630">
        <v>1571.9976</v>
      </c>
      <c r="KF423" s="630">
        <v>24855.877</v>
      </c>
      <c r="KG423" s="630">
        <v>3376.3149</v>
      </c>
      <c r="KH423" s="630">
        <v>144834.55</v>
      </c>
      <c r="KI423" s="630">
        <v>49178.284</v>
      </c>
      <c r="KJ423" s="630">
        <v>67746.214</v>
      </c>
      <c r="KK423" s="630">
        <v>156.89206</v>
      </c>
      <c r="KL423" s="630">
        <v>81.716828</v>
      </c>
      <c r="KM423" s="630">
        <v>5591.9565</v>
      </c>
      <c r="KN423" s="630">
        <v>2.069168</v>
      </c>
      <c r="KO423" s="630">
        <v>9.3685756</v>
      </c>
      <c r="KP423" s="630">
        <v>6.6696589</v>
      </c>
      <c r="KQ423" s="630">
        <v>24.164918</v>
      </c>
      <c r="KR423" s="630">
        <v>16.002917</v>
      </c>
      <c r="KS423" s="630">
        <v>8.9544642</v>
      </c>
      <c r="KT423" s="630">
        <v>49.355659</v>
      </c>
      <c r="KU423" s="630">
        <v>84.507266</v>
      </c>
      <c r="KV423" s="630">
        <v>111.17257</v>
      </c>
      <c r="KW423" s="630">
        <v>162.08994</v>
      </c>
      <c r="KX423" s="630">
        <v>165.39224</v>
      </c>
      <c r="KY423" s="630">
        <v>167.13994</v>
      </c>
      <c r="KZ423" s="630">
        <v>164.08071</v>
      </c>
      <c r="LA423" s="630">
        <v>212.23038</v>
      </c>
      <c r="LB423" s="630">
        <v>30.501968</v>
      </c>
      <c r="LC423" s="630">
        <v>84.803971</v>
      </c>
      <c r="LD423" s="630">
        <v>43.040077</v>
      </c>
      <c r="LE423" s="630">
        <v>31.896508</v>
      </c>
      <c r="LF423" s="630">
        <v>201.18243</v>
      </c>
      <c r="LG423" s="630">
        <v>111.09582</v>
      </c>
      <c r="LH423" s="630">
        <v>124.15688</v>
      </c>
      <c r="LI423" s="630">
        <v>63.631181</v>
      </c>
      <c r="LJ423" s="630">
        <v>62.497683</v>
      </c>
      <c r="LK423" s="630">
        <v>1.8311386</v>
      </c>
      <c r="LL423" s="630">
        <v>62.407076</v>
      </c>
      <c r="LM423" s="630">
        <v>99.226583</v>
      </c>
      <c r="LN423" s="630">
        <v>154.2341</v>
      </c>
      <c r="LO423" s="630">
        <v>0.63374263</v>
      </c>
      <c r="LP423" s="630">
        <v>96.286106</v>
      </c>
      <c r="LQ423" s="630">
        <v>64.335629</v>
      </c>
      <c r="LR423" s="630">
        <v>63.978204</v>
      </c>
      <c r="LS423" s="630">
        <v>248.12459</v>
      </c>
      <c r="LT423" s="630">
        <v>296.7429</v>
      </c>
      <c r="LU423" s="630">
        <v>55858.916</v>
      </c>
      <c r="LV423" s="630">
        <v>31778.913</v>
      </c>
      <c r="LW423" s="630">
        <v>1517.554</v>
      </c>
      <c r="LX423" s="630">
        <v>2603.0604</v>
      </c>
      <c r="LY423" s="630">
        <v>6.7940858</v>
      </c>
      <c r="LZ423" s="630">
        <v>81.712915</v>
      </c>
      <c r="MA423" s="630">
        <v>251.24776</v>
      </c>
      <c r="MB423" s="630">
        <v>761.55254</v>
      </c>
      <c r="MC423" s="630">
        <v>22.010943</v>
      </c>
      <c r="MD423" s="630">
        <v>20.401012</v>
      </c>
      <c r="ME423" s="630">
        <v>89.271864</v>
      </c>
      <c r="MF423" s="630">
        <v>8177.2243</v>
      </c>
      <c r="MG423" s="630">
        <v>10.875096</v>
      </c>
      <c r="MH423" s="630">
        <v>4.6402512</v>
      </c>
      <c r="MI423" s="630">
        <v>0.56335205</v>
      </c>
      <c r="MJ423" s="630">
        <v>135.36702</v>
      </c>
      <c r="MK423" s="630">
        <v>15.318011</v>
      </c>
      <c r="ML423" s="630">
        <v>20.038538</v>
      </c>
      <c r="MM423" s="630">
        <v>22.682229</v>
      </c>
      <c r="MN423" s="630">
        <v>17.217198</v>
      </c>
      <c r="MO423" s="630">
        <v>10.624985</v>
      </c>
      <c r="MP423" s="630">
        <v>11.742346</v>
      </c>
      <c r="MQ423" s="630">
        <v>25.419485</v>
      </c>
      <c r="MR423" s="630">
        <v>27.467702</v>
      </c>
      <c r="MS423" s="630">
        <v>10.286636</v>
      </c>
      <c r="MT423" s="630">
        <v>19.804186</v>
      </c>
      <c r="MU423" s="630">
        <v>21.294224</v>
      </c>
      <c r="MV423" s="630">
        <v>10.877807</v>
      </c>
      <c r="MW423" s="630">
        <v>297.51464</v>
      </c>
      <c r="MX423" s="630">
        <v>18153.944</v>
      </c>
      <c r="MY423" s="630">
        <v>15103.673</v>
      </c>
      <c r="MZ423" s="630">
        <v>8286.7158</v>
      </c>
      <c r="NA423" s="630">
        <v>43.132884</v>
      </c>
      <c r="NB423" s="630">
        <v>52.279144</v>
      </c>
      <c r="NC423" s="630">
        <v>98.427799</v>
      </c>
      <c r="ND423" s="630">
        <v>5128.2374</v>
      </c>
      <c r="NE423" s="630">
        <v>920.89269</v>
      </c>
      <c r="NF423" s="630">
        <v>16489.0</v>
      </c>
      <c r="NG423" s="630">
        <v>5913.9369</v>
      </c>
      <c r="NH423" s="630">
        <v>96.708908</v>
      </c>
      <c r="NI423" s="630">
        <v>248.37521</v>
      </c>
      <c r="NJ423" s="630">
        <v>420.50829</v>
      </c>
      <c r="NK423" s="630">
        <v>181.43706</v>
      </c>
      <c r="NL423" s="630">
        <v>21.211236</v>
      </c>
      <c r="NM423" s="630">
        <v>119.02833</v>
      </c>
      <c r="NN423" s="630">
        <v>438.71197</v>
      </c>
      <c r="NO423" s="630">
        <v>850.48628</v>
      </c>
      <c r="NP423" s="630">
        <v>11.400793</v>
      </c>
      <c r="NQ423" s="630">
        <v>16970.749</v>
      </c>
      <c r="NR423" s="630">
        <v>34570.747</v>
      </c>
      <c r="NS423" s="630">
        <v>10398.822</v>
      </c>
      <c r="NT423" s="630">
        <v>24928.036</v>
      </c>
      <c r="NU423" s="630">
        <v>14883.318</v>
      </c>
      <c r="NV423" s="630">
        <v>18.990232</v>
      </c>
      <c r="NW423" s="630">
        <v>456.05149</v>
      </c>
      <c r="NY423" s="630">
        <v>0.0</v>
      </c>
      <c r="NZ423" s="630"/>
      <c r="OA423" s="630">
        <v>2.73</v>
      </c>
      <c r="OB423" s="631">
        <v>37.2</v>
      </c>
      <c r="OC423" s="631"/>
      <c r="OD423" s="626"/>
      <c r="OE423" s="631">
        <f t="shared" si="3"/>
        <v>21257.40436</v>
      </c>
      <c r="OF423" s="631">
        <v>45419.26871680588</v>
      </c>
      <c r="OG423" s="630">
        <v>17391.506061135362</v>
      </c>
      <c r="OI423" s="626"/>
      <c r="OJ423" s="626"/>
      <c r="OK423" s="626"/>
      <c r="OL423" s="626"/>
      <c r="OM423" s="626"/>
      <c r="ON423" s="626"/>
    </row>
    <row r="424" ht="12.75" customHeight="1">
      <c r="OB424" s="626"/>
      <c r="OC424" s="626"/>
      <c r="OD424" s="626"/>
      <c r="OE424" s="626"/>
      <c r="OI424" s="626"/>
      <c r="OJ424" s="626"/>
      <c r="OK424" s="626"/>
      <c r="OL424" s="626"/>
      <c r="OM424" s="626"/>
      <c r="ON424" s="626"/>
    </row>
    <row r="425" ht="12.75" customHeight="1">
      <c r="OD425" s="626"/>
      <c r="OE425" s="25" t="s">
        <v>5000</v>
      </c>
      <c r="OF425" s="631">
        <v>800.0</v>
      </c>
      <c r="OG425" s="630">
        <v>5000.0</v>
      </c>
      <c r="OH425" s="25" t="s">
        <v>5001</v>
      </c>
      <c r="OI425" s="626"/>
      <c r="OJ425" s="626"/>
      <c r="OK425" s="626"/>
      <c r="OL425" s="626"/>
      <c r="OM425" s="626"/>
      <c r="ON425" s="626"/>
    </row>
    <row r="426" ht="12.75" customHeight="1">
      <c r="OE426" s="626" t="s">
        <v>5002</v>
      </c>
      <c r="OF426" s="630">
        <f t="shared" ref="OF426:OG426" si="4">OF425/($OF425+$OG425)</f>
        <v>0.1379310345</v>
      </c>
      <c r="OG426" s="630">
        <f t="shared" si="4"/>
        <v>0.8620689655</v>
      </c>
    </row>
  </sheetData>
  <printOptions/>
  <pageMargins bottom="0.787401575" footer="0.0" header="0.0" left="0.7" right="0.7" top="0.7874015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5.71"/>
    <col customWidth="1" min="2" max="398" width="10.71"/>
  </cols>
  <sheetData>
    <row r="1" ht="12.75" customHeight="1">
      <c r="A1" s="624" t="s">
        <v>5003</v>
      </c>
    </row>
    <row r="2" ht="12.75" customHeight="1"/>
    <row r="3" ht="12.75" customHeight="1"/>
    <row r="4" ht="12.75" customHeight="1">
      <c r="A4" s="625"/>
    </row>
    <row r="5" ht="12.75" hidden="1" customHeight="1" outlineLevel="1">
      <c r="A5" s="55" t="s">
        <v>3801</v>
      </c>
      <c r="B5" s="55" t="s">
        <v>3802</v>
      </c>
    </row>
    <row r="6" ht="12.75" hidden="1" customHeight="1" outlineLevel="1">
      <c r="A6" s="55" t="s">
        <v>3803</v>
      </c>
      <c r="B6" s="55" t="s">
        <v>3804</v>
      </c>
    </row>
    <row r="7" ht="12.75" hidden="1" customHeight="1" outlineLevel="1">
      <c r="A7" s="55" t="s">
        <v>3805</v>
      </c>
      <c r="B7" s="55" t="s">
        <v>3806</v>
      </c>
    </row>
    <row r="8" ht="12.75" hidden="1" customHeight="1" outlineLevel="1">
      <c r="A8" s="55" t="s">
        <v>3807</v>
      </c>
      <c r="B8" s="55" t="s">
        <v>3808</v>
      </c>
    </row>
    <row r="9" ht="12.75" hidden="1" customHeight="1" outlineLevel="1">
      <c r="A9" s="55" t="s">
        <v>3809</v>
      </c>
      <c r="B9" s="55" t="s">
        <v>3810</v>
      </c>
    </row>
    <row r="10" ht="12.75" hidden="1" customHeight="1" outlineLevel="1">
      <c r="A10" s="55" t="s">
        <v>3811</v>
      </c>
      <c r="B10" s="55" t="s">
        <v>3812</v>
      </c>
    </row>
    <row r="11" ht="12.75" hidden="1" customHeight="1" outlineLevel="1">
      <c r="A11" s="55" t="s">
        <v>3813</v>
      </c>
      <c r="B11" s="55" t="s">
        <v>3814</v>
      </c>
    </row>
    <row r="12" ht="12.75" hidden="1" customHeight="1" outlineLevel="1">
      <c r="A12" s="55" t="s">
        <v>3815</v>
      </c>
      <c r="B12" s="55" t="s">
        <v>3816</v>
      </c>
    </row>
    <row r="13" ht="12.75" hidden="1" customHeight="1" outlineLevel="1">
      <c r="A13" s="55" t="s">
        <v>3817</v>
      </c>
      <c r="B13" s="55" t="s">
        <v>3818</v>
      </c>
    </row>
    <row r="14" ht="12.75" hidden="1" customHeight="1" outlineLevel="1">
      <c r="A14" s="55" t="s">
        <v>3819</v>
      </c>
      <c r="B14" s="55" t="s">
        <v>3820</v>
      </c>
    </row>
    <row r="15" ht="12.75" hidden="1" customHeight="1" outlineLevel="1">
      <c r="A15" s="55" t="s">
        <v>3821</v>
      </c>
      <c r="B15" s="55" t="s">
        <v>3822</v>
      </c>
    </row>
    <row r="16" ht="12.75" hidden="1" customHeight="1" outlineLevel="1">
      <c r="A16" s="55" t="s">
        <v>3823</v>
      </c>
      <c r="B16" s="55" t="s">
        <v>3824</v>
      </c>
    </row>
    <row r="17" ht="12.75" hidden="1" customHeight="1" outlineLevel="1">
      <c r="A17" s="55" t="s">
        <v>3825</v>
      </c>
      <c r="B17" s="55" t="s">
        <v>3826</v>
      </c>
    </row>
    <row r="18" ht="12.75" hidden="1" customHeight="1" outlineLevel="1">
      <c r="A18" s="55" t="s">
        <v>3827</v>
      </c>
      <c r="B18" s="55" t="s">
        <v>3828</v>
      </c>
    </row>
    <row r="19" ht="12.75" hidden="1" customHeight="1" outlineLevel="1">
      <c r="A19" s="55" t="s">
        <v>3829</v>
      </c>
      <c r="B19" s="55" t="s">
        <v>3830</v>
      </c>
    </row>
    <row r="20" ht="12.75" hidden="1" customHeight="1" outlineLevel="1">
      <c r="A20" s="55" t="s">
        <v>3831</v>
      </c>
      <c r="B20" s="55" t="s">
        <v>3832</v>
      </c>
    </row>
    <row r="21" ht="12.75" hidden="1" customHeight="1" outlineLevel="1">
      <c r="A21" s="55" t="s">
        <v>3833</v>
      </c>
      <c r="B21" s="55" t="s">
        <v>3834</v>
      </c>
    </row>
    <row r="22" ht="12.75" hidden="1" customHeight="1" outlineLevel="1">
      <c r="A22" s="55" t="s">
        <v>3835</v>
      </c>
      <c r="B22" s="55" t="s">
        <v>3836</v>
      </c>
    </row>
    <row r="23" ht="12.75" hidden="1" customHeight="1" outlineLevel="1">
      <c r="A23" s="55" t="s">
        <v>3837</v>
      </c>
      <c r="B23" s="55" t="s">
        <v>3838</v>
      </c>
    </row>
    <row r="24" ht="12.75" hidden="1" customHeight="1" outlineLevel="1">
      <c r="A24" s="55" t="s">
        <v>3839</v>
      </c>
      <c r="B24" s="55" t="s">
        <v>3840</v>
      </c>
    </row>
    <row r="25" ht="12.75" hidden="1" customHeight="1" outlineLevel="1">
      <c r="A25" s="55" t="s">
        <v>3841</v>
      </c>
      <c r="B25" s="55" t="s">
        <v>3842</v>
      </c>
    </row>
    <row r="26" ht="12.75" hidden="1" customHeight="1" outlineLevel="1">
      <c r="A26" s="55" t="s">
        <v>3843</v>
      </c>
      <c r="B26" s="55" t="s">
        <v>3844</v>
      </c>
    </row>
    <row r="27" ht="12.75" hidden="1" customHeight="1" outlineLevel="1">
      <c r="A27" s="55" t="s">
        <v>3845</v>
      </c>
      <c r="B27" s="55" t="s">
        <v>3846</v>
      </c>
    </row>
    <row r="28" ht="12.75" hidden="1" customHeight="1" outlineLevel="1">
      <c r="A28" s="55" t="s">
        <v>3847</v>
      </c>
      <c r="B28" s="55" t="s">
        <v>3848</v>
      </c>
    </row>
    <row r="29" ht="12.75" hidden="1" customHeight="1" outlineLevel="1">
      <c r="A29" s="55" t="s">
        <v>3849</v>
      </c>
      <c r="B29" s="55" t="s">
        <v>3850</v>
      </c>
    </row>
    <row r="30" ht="12.75" hidden="1" customHeight="1" outlineLevel="1">
      <c r="A30" s="55" t="s">
        <v>3851</v>
      </c>
      <c r="B30" s="55" t="s">
        <v>3852</v>
      </c>
    </row>
    <row r="31" ht="12.75" hidden="1" customHeight="1" outlineLevel="1">
      <c r="A31" s="55" t="s">
        <v>3853</v>
      </c>
      <c r="B31" s="55" t="s">
        <v>3854</v>
      </c>
    </row>
    <row r="32" ht="12.75" hidden="1" customHeight="1" outlineLevel="1">
      <c r="A32" s="55" t="s">
        <v>3855</v>
      </c>
      <c r="B32" s="55" t="s">
        <v>3856</v>
      </c>
    </row>
    <row r="33" ht="12.75" hidden="1" customHeight="1" outlineLevel="1">
      <c r="A33" s="55" t="s">
        <v>3857</v>
      </c>
      <c r="B33" s="55" t="s">
        <v>3858</v>
      </c>
    </row>
    <row r="34" ht="12.75" hidden="1" customHeight="1" outlineLevel="1">
      <c r="A34" s="55" t="s">
        <v>3859</v>
      </c>
      <c r="B34" s="55" t="s">
        <v>3860</v>
      </c>
    </row>
    <row r="35" ht="12.75" hidden="1" customHeight="1" outlineLevel="1">
      <c r="A35" s="55" t="s">
        <v>3861</v>
      </c>
      <c r="B35" s="55" t="s">
        <v>3862</v>
      </c>
    </row>
    <row r="36" ht="12.75" hidden="1" customHeight="1" outlineLevel="1">
      <c r="A36" s="55" t="s">
        <v>3863</v>
      </c>
      <c r="B36" s="55" t="s">
        <v>3864</v>
      </c>
    </row>
    <row r="37" ht="12.75" hidden="1" customHeight="1" outlineLevel="1">
      <c r="A37" s="55" t="s">
        <v>3865</v>
      </c>
      <c r="B37" s="55" t="s">
        <v>3866</v>
      </c>
    </row>
    <row r="38" ht="12.75" hidden="1" customHeight="1" outlineLevel="1">
      <c r="A38" s="55" t="s">
        <v>3867</v>
      </c>
      <c r="B38" s="55" t="s">
        <v>3868</v>
      </c>
    </row>
    <row r="39" ht="12.75" hidden="1" customHeight="1" outlineLevel="1">
      <c r="A39" s="55" t="s">
        <v>3869</v>
      </c>
      <c r="B39" s="55" t="s">
        <v>3870</v>
      </c>
    </row>
    <row r="40" ht="12.75" hidden="1" customHeight="1" outlineLevel="1">
      <c r="A40" s="55" t="s">
        <v>3871</v>
      </c>
      <c r="B40" s="55" t="s">
        <v>3872</v>
      </c>
    </row>
    <row r="41" ht="12.75" hidden="1" customHeight="1" outlineLevel="1">
      <c r="A41" s="55" t="s">
        <v>3873</v>
      </c>
      <c r="B41" s="55" t="s">
        <v>3874</v>
      </c>
    </row>
    <row r="42" ht="12.75" hidden="1" customHeight="1" outlineLevel="1">
      <c r="A42" s="55" t="s">
        <v>3875</v>
      </c>
      <c r="B42" s="55" t="s">
        <v>3876</v>
      </c>
    </row>
    <row r="43" ht="12.75" hidden="1" customHeight="1" outlineLevel="1">
      <c r="A43" s="55" t="s">
        <v>3877</v>
      </c>
      <c r="B43" s="55" t="s">
        <v>3878</v>
      </c>
    </row>
    <row r="44" ht="12.75" hidden="1" customHeight="1" outlineLevel="1">
      <c r="A44" s="55" t="s">
        <v>3879</v>
      </c>
      <c r="B44" s="55" t="s">
        <v>3880</v>
      </c>
    </row>
    <row r="45" ht="12.75" hidden="1" customHeight="1" outlineLevel="1">
      <c r="A45" s="55" t="s">
        <v>3881</v>
      </c>
      <c r="B45" s="55" t="s">
        <v>3882</v>
      </c>
    </row>
    <row r="46" ht="12.75" hidden="1" customHeight="1" outlineLevel="1">
      <c r="A46" s="55" t="s">
        <v>3883</v>
      </c>
      <c r="B46" s="55" t="s">
        <v>3884</v>
      </c>
    </row>
    <row r="47" ht="12.75" hidden="1" customHeight="1" outlineLevel="1">
      <c r="A47" s="55" t="s">
        <v>3885</v>
      </c>
      <c r="B47" s="55" t="s">
        <v>3886</v>
      </c>
    </row>
    <row r="48" ht="12.75" hidden="1" customHeight="1" outlineLevel="1">
      <c r="A48" s="55" t="s">
        <v>3887</v>
      </c>
      <c r="B48" s="55" t="s">
        <v>3888</v>
      </c>
    </row>
    <row r="49" ht="12.75" hidden="1" customHeight="1" outlineLevel="1">
      <c r="A49" s="55" t="s">
        <v>3889</v>
      </c>
      <c r="B49" s="55" t="s">
        <v>3890</v>
      </c>
    </row>
    <row r="50" ht="12.75" hidden="1" customHeight="1" outlineLevel="1">
      <c r="A50" s="55" t="s">
        <v>3891</v>
      </c>
      <c r="B50" s="55" t="s">
        <v>3892</v>
      </c>
    </row>
    <row r="51" ht="12.75" hidden="1" customHeight="1" outlineLevel="1">
      <c r="A51" s="55" t="s">
        <v>3893</v>
      </c>
      <c r="B51" s="55" t="s">
        <v>3894</v>
      </c>
    </row>
    <row r="52" ht="12.75" hidden="1" customHeight="1" outlineLevel="1">
      <c r="A52" s="55" t="s">
        <v>3895</v>
      </c>
      <c r="B52" s="55" t="s">
        <v>3896</v>
      </c>
    </row>
    <row r="53" ht="12.75" hidden="1" customHeight="1" outlineLevel="1">
      <c r="A53" s="55" t="s">
        <v>3897</v>
      </c>
      <c r="B53" s="55" t="s">
        <v>3898</v>
      </c>
    </row>
    <row r="54" ht="12.75" hidden="1" customHeight="1" outlineLevel="1">
      <c r="A54" s="55" t="s">
        <v>3899</v>
      </c>
      <c r="B54" s="55" t="s">
        <v>3900</v>
      </c>
    </row>
    <row r="55" ht="12.75" hidden="1" customHeight="1" outlineLevel="1">
      <c r="A55" s="55" t="s">
        <v>3901</v>
      </c>
      <c r="B55" s="55" t="s">
        <v>3902</v>
      </c>
    </row>
    <row r="56" ht="12.75" hidden="1" customHeight="1" outlineLevel="1">
      <c r="A56" s="55" t="s">
        <v>3903</v>
      </c>
      <c r="B56" s="55" t="s">
        <v>3904</v>
      </c>
    </row>
    <row r="57" ht="12.75" hidden="1" customHeight="1" outlineLevel="1">
      <c r="A57" s="55" t="s">
        <v>3905</v>
      </c>
      <c r="B57" s="55" t="s">
        <v>3906</v>
      </c>
    </row>
    <row r="58" ht="12.75" hidden="1" customHeight="1" outlineLevel="1">
      <c r="A58" s="55" t="s">
        <v>3907</v>
      </c>
      <c r="B58" s="55" t="s">
        <v>3908</v>
      </c>
    </row>
    <row r="59" ht="12.75" hidden="1" customHeight="1" outlineLevel="1">
      <c r="A59" s="55" t="s">
        <v>3909</v>
      </c>
      <c r="B59" s="55" t="s">
        <v>3910</v>
      </c>
    </row>
    <row r="60" ht="12.75" hidden="1" customHeight="1" outlineLevel="1">
      <c r="A60" s="55" t="s">
        <v>3911</v>
      </c>
      <c r="B60" s="55" t="s">
        <v>3912</v>
      </c>
    </row>
    <row r="61" ht="12.75" hidden="1" customHeight="1" outlineLevel="1">
      <c r="A61" s="55" t="s">
        <v>3913</v>
      </c>
      <c r="B61" s="55" t="s">
        <v>3914</v>
      </c>
    </row>
    <row r="62" ht="12.75" hidden="1" customHeight="1" outlineLevel="1">
      <c r="A62" s="55" t="s">
        <v>3915</v>
      </c>
      <c r="B62" s="55" t="s">
        <v>3916</v>
      </c>
    </row>
    <row r="63" ht="12.75" hidden="1" customHeight="1" outlineLevel="1">
      <c r="A63" s="55" t="s">
        <v>3917</v>
      </c>
      <c r="B63" s="55" t="s">
        <v>3918</v>
      </c>
    </row>
    <row r="64" ht="12.75" hidden="1" customHeight="1" outlineLevel="1">
      <c r="A64" s="55" t="s">
        <v>3919</v>
      </c>
      <c r="B64" s="55" t="s">
        <v>3920</v>
      </c>
    </row>
    <row r="65" ht="12.75" hidden="1" customHeight="1" outlineLevel="1">
      <c r="A65" s="55" t="s">
        <v>3921</v>
      </c>
      <c r="B65" s="55" t="s">
        <v>3922</v>
      </c>
    </row>
    <row r="66" ht="12.75" hidden="1" customHeight="1" outlineLevel="1">
      <c r="A66" s="55" t="s">
        <v>3923</v>
      </c>
      <c r="B66" s="55" t="s">
        <v>3924</v>
      </c>
    </row>
    <row r="67" ht="12.75" hidden="1" customHeight="1" outlineLevel="1">
      <c r="A67" s="55" t="s">
        <v>3925</v>
      </c>
      <c r="B67" s="55" t="s">
        <v>3926</v>
      </c>
    </row>
    <row r="68" ht="12.75" hidden="1" customHeight="1" outlineLevel="1">
      <c r="A68" s="55" t="s">
        <v>3927</v>
      </c>
      <c r="B68" s="55" t="s">
        <v>3928</v>
      </c>
    </row>
    <row r="69" ht="12.75" hidden="1" customHeight="1" outlineLevel="1">
      <c r="A69" s="55" t="s">
        <v>3929</v>
      </c>
      <c r="B69" s="55" t="s">
        <v>3930</v>
      </c>
    </row>
    <row r="70" ht="12.75" hidden="1" customHeight="1" outlineLevel="1">
      <c r="A70" s="55" t="s">
        <v>3931</v>
      </c>
      <c r="B70" s="55" t="s">
        <v>3932</v>
      </c>
    </row>
    <row r="71" ht="12.75" hidden="1" customHeight="1" outlineLevel="1">
      <c r="A71" s="55" t="s">
        <v>3933</v>
      </c>
      <c r="B71" s="55" t="s">
        <v>3934</v>
      </c>
    </row>
    <row r="72" ht="12.75" hidden="1" customHeight="1" outlineLevel="1">
      <c r="A72" s="55" t="s">
        <v>3935</v>
      </c>
      <c r="B72" s="55" t="s">
        <v>3936</v>
      </c>
    </row>
    <row r="73" ht="12.75" hidden="1" customHeight="1" outlineLevel="1">
      <c r="A73" s="55" t="s">
        <v>3937</v>
      </c>
      <c r="B73" s="55" t="s">
        <v>3938</v>
      </c>
    </row>
    <row r="74" ht="12.75" hidden="1" customHeight="1" outlineLevel="1">
      <c r="A74" s="55" t="s">
        <v>3939</v>
      </c>
      <c r="B74" s="55" t="s">
        <v>3940</v>
      </c>
    </row>
    <row r="75" ht="12.75" hidden="1" customHeight="1" outlineLevel="1">
      <c r="A75" s="55" t="s">
        <v>3941</v>
      </c>
      <c r="B75" s="55" t="s">
        <v>3942</v>
      </c>
    </row>
    <row r="76" ht="12.75" hidden="1" customHeight="1" outlineLevel="1">
      <c r="A76" s="55" t="s">
        <v>3943</v>
      </c>
      <c r="B76" s="55" t="s">
        <v>3944</v>
      </c>
    </row>
    <row r="77" ht="12.75" hidden="1" customHeight="1" outlineLevel="1">
      <c r="A77" s="55" t="s">
        <v>3945</v>
      </c>
      <c r="B77" s="55" t="s">
        <v>3946</v>
      </c>
    </row>
    <row r="78" ht="12.75" hidden="1" customHeight="1" outlineLevel="1">
      <c r="A78" s="55" t="s">
        <v>3947</v>
      </c>
      <c r="B78" s="55" t="s">
        <v>3948</v>
      </c>
    </row>
    <row r="79" ht="12.75" hidden="1" customHeight="1" outlineLevel="1">
      <c r="A79" s="55" t="s">
        <v>3949</v>
      </c>
      <c r="B79" s="55" t="s">
        <v>3950</v>
      </c>
    </row>
    <row r="80" ht="12.75" hidden="1" customHeight="1" outlineLevel="1">
      <c r="A80" s="55" t="s">
        <v>3951</v>
      </c>
      <c r="B80" s="55" t="s">
        <v>3952</v>
      </c>
    </row>
    <row r="81" ht="12.75" hidden="1" customHeight="1" outlineLevel="1">
      <c r="A81" s="55" t="s">
        <v>3953</v>
      </c>
      <c r="B81" s="55" t="s">
        <v>3954</v>
      </c>
    </row>
    <row r="82" ht="12.75" hidden="1" customHeight="1" outlineLevel="1">
      <c r="A82" s="55" t="s">
        <v>3955</v>
      </c>
      <c r="B82" s="55" t="s">
        <v>3956</v>
      </c>
    </row>
    <row r="83" ht="12.75" hidden="1" customHeight="1" outlineLevel="1">
      <c r="A83" s="55" t="s">
        <v>3957</v>
      </c>
      <c r="B83" s="55" t="s">
        <v>3958</v>
      </c>
    </row>
    <row r="84" ht="12.75" hidden="1" customHeight="1" outlineLevel="1">
      <c r="A84" s="55" t="s">
        <v>3959</v>
      </c>
      <c r="B84" s="55" t="s">
        <v>3960</v>
      </c>
    </row>
    <row r="85" ht="12.75" hidden="1" customHeight="1" outlineLevel="1">
      <c r="A85" s="55" t="s">
        <v>3961</v>
      </c>
      <c r="B85" s="55" t="s">
        <v>3962</v>
      </c>
    </row>
    <row r="86" ht="12.75" hidden="1" customHeight="1" outlineLevel="1">
      <c r="A86" s="55" t="s">
        <v>3963</v>
      </c>
      <c r="B86" s="55" t="s">
        <v>3964</v>
      </c>
    </row>
    <row r="87" ht="12.75" hidden="1" customHeight="1" outlineLevel="1">
      <c r="A87" s="55" t="s">
        <v>3965</v>
      </c>
      <c r="B87" s="55" t="s">
        <v>3966</v>
      </c>
    </row>
    <row r="88" ht="12.75" hidden="1" customHeight="1" outlineLevel="1">
      <c r="A88" s="55" t="s">
        <v>3967</v>
      </c>
      <c r="B88" s="55" t="s">
        <v>3968</v>
      </c>
    </row>
    <row r="89" ht="12.75" hidden="1" customHeight="1" outlineLevel="1">
      <c r="A89" s="55" t="s">
        <v>3969</v>
      </c>
      <c r="B89" s="55" t="s">
        <v>3970</v>
      </c>
    </row>
    <row r="90" ht="12.75" hidden="1" customHeight="1" outlineLevel="1">
      <c r="A90" s="55" t="s">
        <v>3971</v>
      </c>
      <c r="B90" s="55" t="s">
        <v>3972</v>
      </c>
    </row>
    <row r="91" ht="12.75" hidden="1" customHeight="1" outlineLevel="1">
      <c r="A91" s="55" t="s">
        <v>3973</v>
      </c>
      <c r="B91" s="55" t="s">
        <v>3974</v>
      </c>
    </row>
    <row r="92" ht="12.75" hidden="1" customHeight="1" outlineLevel="1">
      <c r="A92" s="55" t="s">
        <v>3975</v>
      </c>
      <c r="B92" s="55" t="s">
        <v>3976</v>
      </c>
    </row>
    <row r="93" ht="12.75" hidden="1" customHeight="1" outlineLevel="1">
      <c r="A93" s="55" t="s">
        <v>3977</v>
      </c>
      <c r="B93" s="55" t="s">
        <v>3978</v>
      </c>
    </row>
    <row r="94" ht="12.75" hidden="1" customHeight="1" outlineLevel="1">
      <c r="A94" s="55" t="s">
        <v>3979</v>
      </c>
      <c r="B94" s="55" t="s">
        <v>3980</v>
      </c>
    </row>
    <row r="95" ht="12.75" hidden="1" customHeight="1" outlineLevel="1">
      <c r="A95" s="55" t="s">
        <v>3981</v>
      </c>
      <c r="B95" s="55" t="s">
        <v>3982</v>
      </c>
    </row>
    <row r="96" ht="12.75" hidden="1" customHeight="1" outlineLevel="1">
      <c r="A96" s="55" t="s">
        <v>3983</v>
      </c>
      <c r="B96" s="55" t="s">
        <v>3984</v>
      </c>
    </row>
    <row r="97" ht="12.75" hidden="1" customHeight="1" outlineLevel="1">
      <c r="A97" s="55" t="s">
        <v>3985</v>
      </c>
      <c r="B97" s="55" t="s">
        <v>3986</v>
      </c>
    </row>
    <row r="98" ht="12.75" hidden="1" customHeight="1" outlineLevel="1">
      <c r="A98" s="55" t="s">
        <v>3987</v>
      </c>
      <c r="B98" s="55" t="s">
        <v>3988</v>
      </c>
    </row>
    <row r="99" ht="12.75" hidden="1" customHeight="1" outlineLevel="1">
      <c r="A99" s="55" t="s">
        <v>3989</v>
      </c>
      <c r="B99" s="55" t="s">
        <v>3990</v>
      </c>
    </row>
    <row r="100" ht="12.75" hidden="1" customHeight="1" outlineLevel="1">
      <c r="A100" s="55" t="s">
        <v>3991</v>
      </c>
      <c r="B100" s="55" t="s">
        <v>3992</v>
      </c>
    </row>
    <row r="101" ht="12.75" hidden="1" customHeight="1" outlineLevel="1">
      <c r="A101" s="55" t="s">
        <v>3993</v>
      </c>
      <c r="B101" s="55" t="s">
        <v>3994</v>
      </c>
    </row>
    <row r="102" ht="12.75" hidden="1" customHeight="1" outlineLevel="1">
      <c r="A102" s="55" t="s">
        <v>3995</v>
      </c>
      <c r="B102" s="55" t="s">
        <v>3996</v>
      </c>
    </row>
    <row r="103" ht="12.75" hidden="1" customHeight="1" outlineLevel="1">
      <c r="A103" s="55" t="s">
        <v>3997</v>
      </c>
      <c r="B103" s="55" t="s">
        <v>3998</v>
      </c>
    </row>
    <row r="104" ht="12.75" hidden="1" customHeight="1" outlineLevel="1">
      <c r="A104" s="55" t="s">
        <v>3999</v>
      </c>
      <c r="B104" s="55" t="s">
        <v>4000</v>
      </c>
    </row>
    <row r="105" ht="12.75" hidden="1" customHeight="1" outlineLevel="1">
      <c r="A105" s="55" t="s">
        <v>4001</v>
      </c>
      <c r="B105" s="55" t="s">
        <v>4002</v>
      </c>
    </row>
    <row r="106" ht="12.75" hidden="1" customHeight="1" outlineLevel="1">
      <c r="A106" s="55" t="s">
        <v>4003</v>
      </c>
      <c r="B106" s="55" t="s">
        <v>4004</v>
      </c>
    </row>
    <row r="107" ht="12.75" hidden="1" customHeight="1" outlineLevel="1">
      <c r="A107" s="55" t="s">
        <v>4005</v>
      </c>
      <c r="B107" s="55" t="s">
        <v>4006</v>
      </c>
    </row>
    <row r="108" ht="12.75" hidden="1" customHeight="1" outlineLevel="1">
      <c r="A108" s="55" t="s">
        <v>4007</v>
      </c>
      <c r="B108" s="55" t="s">
        <v>4008</v>
      </c>
    </row>
    <row r="109" ht="12.75" hidden="1" customHeight="1" outlineLevel="1">
      <c r="A109" s="55" t="s">
        <v>4009</v>
      </c>
      <c r="B109" s="55" t="s">
        <v>4010</v>
      </c>
    </row>
    <row r="110" ht="12.75" hidden="1" customHeight="1" outlineLevel="1">
      <c r="A110" s="55" t="s">
        <v>4011</v>
      </c>
      <c r="B110" s="55" t="s">
        <v>4012</v>
      </c>
    </row>
    <row r="111" ht="12.75" hidden="1" customHeight="1" outlineLevel="1">
      <c r="A111" s="55" t="s">
        <v>4013</v>
      </c>
      <c r="B111" s="55" t="s">
        <v>4014</v>
      </c>
    </row>
    <row r="112" ht="12.75" hidden="1" customHeight="1" outlineLevel="1">
      <c r="A112" s="55" t="s">
        <v>4015</v>
      </c>
      <c r="B112" s="55" t="s">
        <v>4016</v>
      </c>
    </row>
    <row r="113" ht="12.75" hidden="1" customHeight="1" outlineLevel="1">
      <c r="A113" s="55" t="s">
        <v>4017</v>
      </c>
      <c r="B113" s="55" t="s">
        <v>4018</v>
      </c>
    </row>
    <row r="114" ht="12.75" hidden="1" customHeight="1" outlineLevel="1">
      <c r="A114" s="55" t="s">
        <v>4019</v>
      </c>
      <c r="B114" s="55" t="s">
        <v>4020</v>
      </c>
    </row>
    <row r="115" ht="12.75" hidden="1" customHeight="1" outlineLevel="1">
      <c r="A115" s="55" t="s">
        <v>4021</v>
      </c>
      <c r="B115" s="55" t="s">
        <v>4022</v>
      </c>
    </row>
    <row r="116" ht="12.75" hidden="1" customHeight="1" outlineLevel="1">
      <c r="A116" s="55" t="s">
        <v>4023</v>
      </c>
      <c r="B116" s="55" t="s">
        <v>4024</v>
      </c>
    </row>
    <row r="117" ht="12.75" hidden="1" customHeight="1" outlineLevel="1">
      <c r="A117" s="55" t="s">
        <v>4025</v>
      </c>
      <c r="B117" s="55" t="s">
        <v>4026</v>
      </c>
    </row>
    <row r="118" ht="12.75" hidden="1" customHeight="1" outlineLevel="1">
      <c r="A118" s="55" t="s">
        <v>4027</v>
      </c>
      <c r="B118" s="55" t="s">
        <v>4028</v>
      </c>
    </row>
    <row r="119" ht="12.75" hidden="1" customHeight="1" outlineLevel="1">
      <c r="A119" s="55" t="s">
        <v>4029</v>
      </c>
      <c r="B119" s="55" t="s">
        <v>4030</v>
      </c>
    </row>
    <row r="120" ht="12.75" hidden="1" customHeight="1" outlineLevel="1">
      <c r="A120" s="55" t="s">
        <v>4031</v>
      </c>
      <c r="B120" s="55" t="s">
        <v>4032</v>
      </c>
    </row>
    <row r="121" ht="12.75" hidden="1" customHeight="1" outlineLevel="1">
      <c r="A121" s="55" t="s">
        <v>4033</v>
      </c>
      <c r="B121" s="55" t="s">
        <v>4034</v>
      </c>
    </row>
    <row r="122" ht="12.75" hidden="1" customHeight="1" outlineLevel="1">
      <c r="A122" s="55" t="s">
        <v>4035</v>
      </c>
      <c r="B122" s="55" t="s">
        <v>4036</v>
      </c>
    </row>
    <row r="123" ht="12.75" hidden="1" customHeight="1" outlineLevel="1">
      <c r="A123" s="55" t="s">
        <v>4037</v>
      </c>
      <c r="B123" s="55" t="s">
        <v>4038</v>
      </c>
    </row>
    <row r="124" ht="12.75" hidden="1" customHeight="1" outlineLevel="1">
      <c r="A124" s="55" t="s">
        <v>4039</v>
      </c>
      <c r="B124" s="55" t="s">
        <v>4040</v>
      </c>
    </row>
    <row r="125" ht="12.75" hidden="1" customHeight="1" outlineLevel="1">
      <c r="A125" s="55" t="s">
        <v>4041</v>
      </c>
      <c r="B125" s="55" t="s">
        <v>4042</v>
      </c>
    </row>
    <row r="126" ht="12.75" hidden="1" customHeight="1" outlineLevel="1">
      <c r="A126" s="55" t="s">
        <v>4043</v>
      </c>
      <c r="B126" s="55" t="s">
        <v>4044</v>
      </c>
    </row>
    <row r="127" ht="12.75" hidden="1" customHeight="1" outlineLevel="1">
      <c r="A127" s="55" t="s">
        <v>4045</v>
      </c>
      <c r="B127" s="55" t="s">
        <v>4046</v>
      </c>
    </row>
    <row r="128" ht="12.75" hidden="1" customHeight="1" outlineLevel="1">
      <c r="A128" s="55" t="s">
        <v>4047</v>
      </c>
      <c r="B128" s="55" t="s">
        <v>4048</v>
      </c>
    </row>
    <row r="129" ht="12.75" hidden="1" customHeight="1" outlineLevel="1">
      <c r="A129" s="55" t="s">
        <v>4049</v>
      </c>
      <c r="B129" s="55" t="s">
        <v>4050</v>
      </c>
    </row>
    <row r="130" ht="12.75" hidden="1" customHeight="1" outlineLevel="1">
      <c r="A130" s="55" t="s">
        <v>4051</v>
      </c>
      <c r="B130" s="55" t="s">
        <v>4052</v>
      </c>
    </row>
    <row r="131" ht="12.75" hidden="1" customHeight="1" outlineLevel="1">
      <c r="A131" s="55" t="s">
        <v>4053</v>
      </c>
      <c r="B131" s="55" t="s">
        <v>4054</v>
      </c>
    </row>
    <row r="132" ht="12.75" hidden="1" customHeight="1" outlineLevel="1">
      <c r="A132" s="55" t="s">
        <v>4055</v>
      </c>
      <c r="B132" s="55" t="s">
        <v>4056</v>
      </c>
    </row>
    <row r="133" ht="12.75" hidden="1" customHeight="1" outlineLevel="1">
      <c r="A133" s="55" t="s">
        <v>4057</v>
      </c>
      <c r="B133" s="55" t="s">
        <v>4058</v>
      </c>
    </row>
    <row r="134" ht="12.75" hidden="1" customHeight="1" outlineLevel="1">
      <c r="A134" s="55" t="s">
        <v>4059</v>
      </c>
      <c r="B134" s="55" t="s">
        <v>4060</v>
      </c>
    </row>
    <row r="135" ht="12.75" hidden="1" customHeight="1" outlineLevel="1">
      <c r="A135" s="55" t="s">
        <v>4061</v>
      </c>
      <c r="B135" s="55" t="s">
        <v>4062</v>
      </c>
    </row>
    <row r="136" ht="12.75" hidden="1" customHeight="1" outlineLevel="1">
      <c r="A136" s="55" t="s">
        <v>4063</v>
      </c>
      <c r="B136" s="55" t="s">
        <v>4064</v>
      </c>
    </row>
    <row r="137" ht="12.75" hidden="1" customHeight="1" outlineLevel="1">
      <c r="A137" s="55" t="s">
        <v>4065</v>
      </c>
      <c r="B137" s="55" t="s">
        <v>4066</v>
      </c>
    </row>
    <row r="138" ht="12.75" hidden="1" customHeight="1" outlineLevel="1">
      <c r="A138" s="55" t="s">
        <v>4067</v>
      </c>
      <c r="B138" s="55" t="s">
        <v>4068</v>
      </c>
    </row>
    <row r="139" ht="12.75" hidden="1" customHeight="1" outlineLevel="1">
      <c r="A139" s="55" t="s">
        <v>4069</v>
      </c>
      <c r="B139" s="55" t="s">
        <v>4070</v>
      </c>
    </row>
    <row r="140" ht="12.75" hidden="1" customHeight="1" outlineLevel="1">
      <c r="A140" s="55" t="s">
        <v>4071</v>
      </c>
      <c r="B140" s="55" t="s">
        <v>4072</v>
      </c>
    </row>
    <row r="141" ht="12.75" hidden="1" customHeight="1" outlineLevel="1">
      <c r="A141" s="55" t="s">
        <v>4073</v>
      </c>
      <c r="B141" s="55" t="s">
        <v>4074</v>
      </c>
    </row>
    <row r="142" ht="12.75" hidden="1" customHeight="1" outlineLevel="1">
      <c r="A142" s="55" t="s">
        <v>4075</v>
      </c>
      <c r="B142" s="55" t="s">
        <v>4076</v>
      </c>
    </row>
    <row r="143" ht="12.75" hidden="1" customHeight="1" outlineLevel="1">
      <c r="A143" s="55" t="s">
        <v>4077</v>
      </c>
      <c r="B143" s="55" t="s">
        <v>4078</v>
      </c>
    </row>
    <row r="144" ht="12.75" hidden="1" customHeight="1" outlineLevel="1">
      <c r="A144" s="55" t="s">
        <v>4079</v>
      </c>
      <c r="B144" s="55" t="s">
        <v>4080</v>
      </c>
    </row>
    <row r="145" ht="12.75" hidden="1" customHeight="1" outlineLevel="1">
      <c r="A145" s="55" t="s">
        <v>4081</v>
      </c>
      <c r="B145" s="55" t="s">
        <v>4082</v>
      </c>
    </row>
    <row r="146" ht="12.75" hidden="1" customHeight="1" outlineLevel="1">
      <c r="A146" s="55" t="s">
        <v>4083</v>
      </c>
      <c r="B146" s="55" t="s">
        <v>4084</v>
      </c>
    </row>
    <row r="147" ht="12.75" hidden="1" customHeight="1" outlineLevel="1">
      <c r="A147" s="55" t="s">
        <v>4085</v>
      </c>
      <c r="B147" s="55" t="s">
        <v>4086</v>
      </c>
    </row>
    <row r="148" ht="12.75" hidden="1" customHeight="1" outlineLevel="1">
      <c r="A148" s="55" t="s">
        <v>4087</v>
      </c>
      <c r="B148" s="55" t="s">
        <v>4088</v>
      </c>
    </row>
    <row r="149" ht="12.75" hidden="1" customHeight="1" outlineLevel="1">
      <c r="A149" s="55" t="s">
        <v>4089</v>
      </c>
      <c r="B149" s="55" t="s">
        <v>4090</v>
      </c>
    </row>
    <row r="150" ht="12.75" hidden="1" customHeight="1" outlineLevel="1">
      <c r="A150" s="55" t="s">
        <v>4091</v>
      </c>
      <c r="B150" s="55" t="s">
        <v>4092</v>
      </c>
    </row>
    <row r="151" ht="12.75" hidden="1" customHeight="1" outlineLevel="1">
      <c r="A151" s="55" t="s">
        <v>4093</v>
      </c>
      <c r="B151" s="55" t="s">
        <v>4094</v>
      </c>
    </row>
    <row r="152" ht="12.75" hidden="1" customHeight="1" outlineLevel="1">
      <c r="A152" s="55" t="s">
        <v>4095</v>
      </c>
      <c r="B152" s="55" t="s">
        <v>4096</v>
      </c>
    </row>
    <row r="153" ht="12.75" hidden="1" customHeight="1" outlineLevel="1">
      <c r="A153" s="55" t="s">
        <v>4097</v>
      </c>
      <c r="B153" s="55" t="s">
        <v>4098</v>
      </c>
    </row>
    <row r="154" ht="12.75" hidden="1" customHeight="1" outlineLevel="1">
      <c r="A154" s="55" t="s">
        <v>4099</v>
      </c>
      <c r="B154" s="55" t="s">
        <v>4100</v>
      </c>
    </row>
    <row r="155" ht="12.75" hidden="1" customHeight="1" outlineLevel="1">
      <c r="A155" s="55" t="s">
        <v>4101</v>
      </c>
      <c r="B155" s="55" t="s">
        <v>4102</v>
      </c>
    </row>
    <row r="156" ht="12.75" hidden="1" customHeight="1" outlineLevel="1">
      <c r="A156" s="55" t="s">
        <v>4103</v>
      </c>
      <c r="B156" s="55" t="s">
        <v>4104</v>
      </c>
    </row>
    <row r="157" ht="12.75" hidden="1" customHeight="1" outlineLevel="1">
      <c r="A157" s="55" t="s">
        <v>4105</v>
      </c>
      <c r="B157" s="55" t="s">
        <v>4106</v>
      </c>
    </row>
    <row r="158" ht="12.75" hidden="1" customHeight="1" outlineLevel="1">
      <c r="A158" s="55" t="s">
        <v>4107</v>
      </c>
      <c r="B158" s="55" t="s">
        <v>4108</v>
      </c>
    </row>
    <row r="159" ht="12.75" hidden="1" customHeight="1" outlineLevel="1">
      <c r="A159" s="55" t="s">
        <v>4109</v>
      </c>
      <c r="B159" s="55" t="s">
        <v>4110</v>
      </c>
    </row>
    <row r="160" ht="12.75" hidden="1" customHeight="1" outlineLevel="1">
      <c r="A160" s="55" t="s">
        <v>4111</v>
      </c>
      <c r="B160" s="55" t="s">
        <v>4112</v>
      </c>
    </row>
    <row r="161" ht="12.75" hidden="1" customHeight="1" outlineLevel="1">
      <c r="A161" s="55" t="s">
        <v>4113</v>
      </c>
      <c r="B161" s="55" t="s">
        <v>4114</v>
      </c>
    </row>
    <row r="162" ht="12.75" hidden="1" customHeight="1" outlineLevel="1">
      <c r="A162" s="55" t="s">
        <v>4115</v>
      </c>
      <c r="B162" s="55" t="s">
        <v>4116</v>
      </c>
    </row>
    <row r="163" ht="12.75" hidden="1" customHeight="1" outlineLevel="1">
      <c r="A163" s="55" t="s">
        <v>4117</v>
      </c>
      <c r="B163" s="55" t="s">
        <v>4118</v>
      </c>
    </row>
    <row r="164" ht="12.75" hidden="1" customHeight="1" outlineLevel="1">
      <c r="A164" s="55" t="s">
        <v>4119</v>
      </c>
      <c r="B164" s="55" t="s">
        <v>4120</v>
      </c>
    </row>
    <row r="165" ht="12.75" hidden="1" customHeight="1" outlineLevel="1">
      <c r="A165" s="55" t="s">
        <v>4121</v>
      </c>
      <c r="B165" s="55" t="s">
        <v>4122</v>
      </c>
    </row>
    <row r="166" ht="12.75" hidden="1" customHeight="1" outlineLevel="1">
      <c r="A166" s="55" t="s">
        <v>4123</v>
      </c>
      <c r="B166" s="55" t="s">
        <v>4124</v>
      </c>
    </row>
    <row r="167" ht="12.75" hidden="1" customHeight="1" outlineLevel="1">
      <c r="A167" s="55" t="s">
        <v>4125</v>
      </c>
      <c r="B167" s="55" t="s">
        <v>4126</v>
      </c>
    </row>
    <row r="168" ht="12.75" hidden="1" customHeight="1" outlineLevel="1">
      <c r="A168" s="55" t="s">
        <v>4127</v>
      </c>
      <c r="B168" s="55" t="s">
        <v>4128</v>
      </c>
    </row>
    <row r="169" ht="12.75" hidden="1" customHeight="1" outlineLevel="1">
      <c r="A169" s="55" t="s">
        <v>4129</v>
      </c>
      <c r="B169" s="55" t="s">
        <v>4130</v>
      </c>
    </row>
    <row r="170" ht="12.75" hidden="1" customHeight="1" outlineLevel="1">
      <c r="A170" s="55" t="s">
        <v>4131</v>
      </c>
      <c r="B170" s="55" t="s">
        <v>4132</v>
      </c>
    </row>
    <row r="171" ht="12.75" hidden="1" customHeight="1" outlineLevel="1">
      <c r="A171" s="55" t="s">
        <v>4133</v>
      </c>
      <c r="B171" s="55" t="s">
        <v>4134</v>
      </c>
    </row>
    <row r="172" ht="12.75" hidden="1" customHeight="1" outlineLevel="1">
      <c r="A172" s="55" t="s">
        <v>4135</v>
      </c>
      <c r="B172" s="55" t="s">
        <v>4136</v>
      </c>
    </row>
    <row r="173" ht="12.75" hidden="1" customHeight="1" outlineLevel="1">
      <c r="A173" s="55" t="s">
        <v>4137</v>
      </c>
      <c r="B173" s="55" t="s">
        <v>4138</v>
      </c>
    </row>
    <row r="174" ht="12.75" hidden="1" customHeight="1" outlineLevel="1">
      <c r="A174" s="55" t="s">
        <v>4139</v>
      </c>
      <c r="B174" s="55" t="s">
        <v>4140</v>
      </c>
    </row>
    <row r="175" ht="12.75" hidden="1" customHeight="1" outlineLevel="1">
      <c r="A175" s="55" t="s">
        <v>4141</v>
      </c>
      <c r="B175" s="55" t="s">
        <v>4142</v>
      </c>
    </row>
    <row r="176" ht="12.75" hidden="1" customHeight="1" outlineLevel="1">
      <c r="A176" s="55" t="s">
        <v>4143</v>
      </c>
      <c r="B176" s="55" t="s">
        <v>4144</v>
      </c>
    </row>
    <row r="177" ht="12.75" hidden="1" customHeight="1" outlineLevel="1">
      <c r="A177" s="55" t="s">
        <v>4145</v>
      </c>
      <c r="B177" s="55" t="s">
        <v>4146</v>
      </c>
    </row>
    <row r="178" ht="12.75" hidden="1" customHeight="1" outlineLevel="1">
      <c r="A178" s="55" t="s">
        <v>4147</v>
      </c>
      <c r="B178" s="55" t="s">
        <v>4148</v>
      </c>
    </row>
    <row r="179" ht="12.75" hidden="1" customHeight="1" outlineLevel="1">
      <c r="A179" s="55" t="s">
        <v>4149</v>
      </c>
      <c r="B179" s="55" t="s">
        <v>4150</v>
      </c>
    </row>
    <row r="180" ht="12.75" hidden="1" customHeight="1" outlineLevel="1">
      <c r="A180" s="55" t="s">
        <v>4151</v>
      </c>
      <c r="B180" s="55" t="s">
        <v>4152</v>
      </c>
    </row>
    <row r="181" ht="12.75" hidden="1" customHeight="1" outlineLevel="1">
      <c r="A181" s="55" t="s">
        <v>4153</v>
      </c>
      <c r="B181" s="55" t="s">
        <v>4154</v>
      </c>
    </row>
    <row r="182" ht="12.75" hidden="1" customHeight="1" outlineLevel="1">
      <c r="A182" s="55" t="s">
        <v>4155</v>
      </c>
      <c r="B182" s="55" t="s">
        <v>4156</v>
      </c>
    </row>
    <row r="183" ht="12.75" hidden="1" customHeight="1" outlineLevel="1">
      <c r="A183" s="55" t="s">
        <v>4157</v>
      </c>
      <c r="B183" s="55" t="s">
        <v>4158</v>
      </c>
    </row>
    <row r="184" ht="12.75" hidden="1" customHeight="1" outlineLevel="1">
      <c r="A184" s="55" t="s">
        <v>4159</v>
      </c>
      <c r="B184" s="55" t="s">
        <v>4160</v>
      </c>
    </row>
    <row r="185" ht="12.75" hidden="1" customHeight="1" outlineLevel="1">
      <c r="A185" s="55" t="s">
        <v>4161</v>
      </c>
      <c r="B185" s="55" t="s">
        <v>4162</v>
      </c>
    </row>
    <row r="186" ht="12.75" hidden="1" customHeight="1" outlineLevel="1">
      <c r="A186" s="55" t="s">
        <v>4163</v>
      </c>
      <c r="B186" s="55" t="s">
        <v>4164</v>
      </c>
    </row>
    <row r="187" ht="12.75" hidden="1" customHeight="1" outlineLevel="1">
      <c r="A187" s="55" t="s">
        <v>4165</v>
      </c>
      <c r="B187" s="55" t="s">
        <v>4166</v>
      </c>
    </row>
    <row r="188" ht="12.75" hidden="1" customHeight="1" outlineLevel="1">
      <c r="A188" s="55" t="s">
        <v>4167</v>
      </c>
      <c r="B188" s="55" t="s">
        <v>4168</v>
      </c>
    </row>
    <row r="189" ht="12.75" hidden="1" customHeight="1" outlineLevel="1">
      <c r="A189" s="55" t="s">
        <v>4169</v>
      </c>
      <c r="B189" s="55" t="s">
        <v>4170</v>
      </c>
    </row>
    <row r="190" ht="12.75" hidden="1" customHeight="1" outlineLevel="1">
      <c r="A190" s="55" t="s">
        <v>4171</v>
      </c>
      <c r="B190" s="55" t="s">
        <v>4172</v>
      </c>
    </row>
    <row r="191" ht="12.75" hidden="1" customHeight="1" outlineLevel="1">
      <c r="A191" s="55" t="s">
        <v>4173</v>
      </c>
      <c r="B191" s="55" t="s">
        <v>4174</v>
      </c>
    </row>
    <row r="192" ht="12.75" hidden="1" customHeight="1" outlineLevel="1">
      <c r="A192" s="55" t="s">
        <v>4175</v>
      </c>
      <c r="B192" s="55" t="s">
        <v>4176</v>
      </c>
    </row>
    <row r="193" ht="12.75" hidden="1" customHeight="1" outlineLevel="1">
      <c r="A193" s="55" t="s">
        <v>4177</v>
      </c>
      <c r="B193" s="55" t="s">
        <v>4178</v>
      </c>
    </row>
    <row r="194" ht="12.75" hidden="1" customHeight="1" outlineLevel="1">
      <c r="A194" s="55" t="s">
        <v>4179</v>
      </c>
      <c r="B194" s="55" t="s">
        <v>4180</v>
      </c>
    </row>
    <row r="195" ht="12.75" hidden="1" customHeight="1" outlineLevel="1">
      <c r="A195" s="55" t="s">
        <v>4181</v>
      </c>
      <c r="B195" s="55" t="s">
        <v>4182</v>
      </c>
    </row>
    <row r="196" ht="12.75" hidden="1" customHeight="1" outlineLevel="1">
      <c r="A196" s="55" t="s">
        <v>4183</v>
      </c>
      <c r="B196" s="55" t="s">
        <v>4184</v>
      </c>
    </row>
    <row r="197" ht="12.75" hidden="1" customHeight="1" outlineLevel="1">
      <c r="A197" s="55" t="s">
        <v>4185</v>
      </c>
      <c r="B197" s="55" t="s">
        <v>4186</v>
      </c>
    </row>
    <row r="198" ht="12.75" hidden="1" customHeight="1" outlineLevel="1">
      <c r="A198" s="55" t="s">
        <v>4187</v>
      </c>
      <c r="B198" s="55" t="s">
        <v>4188</v>
      </c>
    </row>
    <row r="199" ht="12.75" hidden="1" customHeight="1" outlineLevel="1">
      <c r="A199" s="55" t="s">
        <v>4189</v>
      </c>
      <c r="B199" s="55" t="s">
        <v>4190</v>
      </c>
    </row>
    <row r="200" ht="12.75" hidden="1" customHeight="1" outlineLevel="1">
      <c r="A200" s="55" t="s">
        <v>4191</v>
      </c>
      <c r="B200" s="55" t="s">
        <v>4192</v>
      </c>
    </row>
    <row r="201" ht="12.75" hidden="1" customHeight="1" outlineLevel="1">
      <c r="A201" s="55" t="s">
        <v>4193</v>
      </c>
      <c r="B201" s="55" t="s">
        <v>4194</v>
      </c>
    </row>
    <row r="202" ht="12.75" hidden="1" customHeight="1" outlineLevel="1">
      <c r="A202" s="55" t="s">
        <v>4195</v>
      </c>
      <c r="B202" s="55" t="s">
        <v>4196</v>
      </c>
    </row>
    <row r="203" ht="12.75" hidden="1" customHeight="1" outlineLevel="1">
      <c r="A203" s="55" t="s">
        <v>4197</v>
      </c>
      <c r="B203" s="55" t="s">
        <v>4198</v>
      </c>
    </row>
    <row r="204" ht="12.75" hidden="1" customHeight="1" outlineLevel="1">
      <c r="A204" s="55" t="s">
        <v>4199</v>
      </c>
      <c r="B204" s="55" t="s">
        <v>4200</v>
      </c>
    </row>
    <row r="205" ht="12.75" hidden="1" customHeight="1" outlineLevel="1">
      <c r="A205" s="55" t="s">
        <v>4201</v>
      </c>
      <c r="B205" s="55" t="s">
        <v>4202</v>
      </c>
    </row>
    <row r="206" ht="12.75" hidden="1" customHeight="1" outlineLevel="1">
      <c r="A206" s="55" t="s">
        <v>4203</v>
      </c>
      <c r="B206" s="55" t="s">
        <v>4204</v>
      </c>
    </row>
    <row r="207" ht="12.75" hidden="1" customHeight="1" outlineLevel="1">
      <c r="A207" s="55" t="s">
        <v>4205</v>
      </c>
      <c r="B207" s="55" t="s">
        <v>4206</v>
      </c>
    </row>
    <row r="208" ht="12.75" hidden="1" customHeight="1" outlineLevel="1">
      <c r="A208" s="55" t="s">
        <v>4207</v>
      </c>
      <c r="B208" s="55" t="s">
        <v>4208</v>
      </c>
    </row>
    <row r="209" ht="12.75" hidden="1" customHeight="1" outlineLevel="1">
      <c r="A209" s="55" t="s">
        <v>4209</v>
      </c>
      <c r="B209" s="55" t="s">
        <v>4210</v>
      </c>
    </row>
    <row r="210" ht="12.75" hidden="1" customHeight="1" outlineLevel="1">
      <c r="A210" s="55" t="s">
        <v>4211</v>
      </c>
      <c r="B210" s="55" t="s">
        <v>4212</v>
      </c>
    </row>
    <row r="211" ht="12.75" hidden="1" customHeight="1" outlineLevel="1">
      <c r="A211" s="55" t="s">
        <v>4213</v>
      </c>
      <c r="B211" s="55" t="s">
        <v>4214</v>
      </c>
    </row>
    <row r="212" ht="12.75" hidden="1" customHeight="1" outlineLevel="1">
      <c r="A212" s="55" t="s">
        <v>4215</v>
      </c>
      <c r="B212" s="55" t="s">
        <v>4216</v>
      </c>
    </row>
    <row r="213" ht="12.75" hidden="1" customHeight="1" outlineLevel="1">
      <c r="A213" s="55" t="s">
        <v>4217</v>
      </c>
      <c r="B213" s="55" t="s">
        <v>4218</v>
      </c>
    </row>
    <row r="214" ht="12.75" hidden="1" customHeight="1" outlineLevel="1">
      <c r="A214" s="55" t="s">
        <v>4219</v>
      </c>
      <c r="B214" s="55" t="s">
        <v>4220</v>
      </c>
    </row>
    <row r="215" ht="12.75" hidden="1" customHeight="1" outlineLevel="1">
      <c r="A215" s="55" t="s">
        <v>4221</v>
      </c>
      <c r="B215" s="55" t="s">
        <v>4222</v>
      </c>
    </row>
    <row r="216" ht="12.75" hidden="1" customHeight="1" outlineLevel="1">
      <c r="A216" s="55" t="s">
        <v>4223</v>
      </c>
      <c r="B216" s="55" t="s">
        <v>4224</v>
      </c>
    </row>
    <row r="217" ht="12.75" hidden="1" customHeight="1" outlineLevel="1">
      <c r="A217" s="55" t="s">
        <v>4225</v>
      </c>
      <c r="B217" s="55" t="s">
        <v>4226</v>
      </c>
    </row>
    <row r="218" ht="12.75" hidden="1" customHeight="1" outlineLevel="1">
      <c r="A218" s="55" t="s">
        <v>4227</v>
      </c>
      <c r="B218" s="55" t="s">
        <v>4228</v>
      </c>
    </row>
    <row r="219" ht="12.75" hidden="1" customHeight="1" outlineLevel="1">
      <c r="A219" s="55" t="s">
        <v>4229</v>
      </c>
      <c r="B219" s="55" t="s">
        <v>4230</v>
      </c>
    </row>
    <row r="220" ht="12.75" hidden="1" customHeight="1" outlineLevel="1">
      <c r="A220" s="55" t="s">
        <v>4231</v>
      </c>
      <c r="B220" s="55" t="s">
        <v>4232</v>
      </c>
    </row>
    <row r="221" ht="12.75" hidden="1" customHeight="1" outlineLevel="1">
      <c r="A221" s="55" t="s">
        <v>4233</v>
      </c>
      <c r="B221" s="55" t="s">
        <v>4234</v>
      </c>
    </row>
    <row r="222" ht="12.75" hidden="1" customHeight="1" outlineLevel="1">
      <c r="A222" s="55" t="s">
        <v>4235</v>
      </c>
      <c r="B222" s="55" t="s">
        <v>4236</v>
      </c>
    </row>
    <row r="223" ht="12.75" hidden="1" customHeight="1" outlineLevel="1">
      <c r="A223" s="55" t="s">
        <v>4237</v>
      </c>
      <c r="B223" s="55" t="s">
        <v>4238</v>
      </c>
    </row>
    <row r="224" ht="12.75" hidden="1" customHeight="1" outlineLevel="1">
      <c r="A224" s="55" t="s">
        <v>4239</v>
      </c>
      <c r="B224" s="55" t="s">
        <v>4240</v>
      </c>
    </row>
    <row r="225" ht="12.75" hidden="1" customHeight="1" outlineLevel="1">
      <c r="A225" s="55" t="s">
        <v>4241</v>
      </c>
      <c r="B225" s="55" t="s">
        <v>4242</v>
      </c>
    </row>
    <row r="226" ht="12.75" hidden="1" customHeight="1" outlineLevel="1">
      <c r="A226" s="55" t="s">
        <v>4243</v>
      </c>
      <c r="B226" s="55" t="s">
        <v>4244</v>
      </c>
    </row>
    <row r="227" ht="12.75" hidden="1" customHeight="1" outlineLevel="1">
      <c r="A227" s="55" t="s">
        <v>4245</v>
      </c>
      <c r="B227" s="55" t="s">
        <v>4246</v>
      </c>
    </row>
    <row r="228" ht="12.75" hidden="1" customHeight="1" outlineLevel="1">
      <c r="A228" s="55" t="s">
        <v>4247</v>
      </c>
      <c r="B228" s="55" t="s">
        <v>4248</v>
      </c>
    </row>
    <row r="229" ht="12.75" hidden="1" customHeight="1" outlineLevel="1">
      <c r="A229" s="55" t="s">
        <v>4249</v>
      </c>
      <c r="B229" s="55" t="s">
        <v>4250</v>
      </c>
    </row>
    <row r="230" ht="12.75" hidden="1" customHeight="1" outlineLevel="1">
      <c r="A230" s="55" t="s">
        <v>4251</v>
      </c>
      <c r="B230" s="55" t="s">
        <v>4252</v>
      </c>
    </row>
    <row r="231" ht="12.75" hidden="1" customHeight="1" outlineLevel="1">
      <c r="A231" s="55" t="s">
        <v>4253</v>
      </c>
      <c r="B231" s="55" t="s">
        <v>4254</v>
      </c>
    </row>
    <row r="232" ht="12.75" hidden="1" customHeight="1" outlineLevel="1">
      <c r="A232" s="55" t="s">
        <v>4255</v>
      </c>
      <c r="B232" s="55" t="s">
        <v>4256</v>
      </c>
    </row>
    <row r="233" ht="12.75" hidden="1" customHeight="1" outlineLevel="1">
      <c r="A233" s="55" t="s">
        <v>4257</v>
      </c>
      <c r="B233" s="55" t="s">
        <v>4258</v>
      </c>
    </row>
    <row r="234" ht="12.75" hidden="1" customHeight="1" outlineLevel="1">
      <c r="A234" s="55" t="s">
        <v>4259</v>
      </c>
      <c r="B234" s="55" t="s">
        <v>4260</v>
      </c>
    </row>
    <row r="235" ht="12.75" hidden="1" customHeight="1" outlineLevel="1">
      <c r="A235" s="55" t="s">
        <v>4261</v>
      </c>
      <c r="B235" s="55" t="s">
        <v>4262</v>
      </c>
    </row>
    <row r="236" ht="12.75" hidden="1" customHeight="1" outlineLevel="1">
      <c r="A236" s="55" t="s">
        <v>4263</v>
      </c>
      <c r="B236" s="55" t="s">
        <v>4264</v>
      </c>
    </row>
    <row r="237" ht="12.75" hidden="1" customHeight="1" outlineLevel="1">
      <c r="A237" s="55" t="s">
        <v>4265</v>
      </c>
      <c r="B237" s="55" t="s">
        <v>4266</v>
      </c>
    </row>
    <row r="238" ht="12.75" hidden="1" customHeight="1" outlineLevel="1">
      <c r="A238" s="55" t="s">
        <v>4267</v>
      </c>
      <c r="B238" s="55" t="s">
        <v>4268</v>
      </c>
    </row>
    <row r="239" ht="12.75" hidden="1" customHeight="1" outlineLevel="1">
      <c r="A239" s="55" t="s">
        <v>4269</v>
      </c>
      <c r="B239" s="55" t="s">
        <v>4270</v>
      </c>
    </row>
    <row r="240" ht="12.75" hidden="1" customHeight="1" outlineLevel="1">
      <c r="A240" s="55" t="s">
        <v>4271</v>
      </c>
      <c r="B240" s="55" t="s">
        <v>4272</v>
      </c>
    </row>
    <row r="241" ht="12.75" hidden="1" customHeight="1" outlineLevel="1">
      <c r="A241" s="55" t="s">
        <v>4273</v>
      </c>
      <c r="B241" s="55" t="s">
        <v>4274</v>
      </c>
    </row>
    <row r="242" ht="12.75" hidden="1" customHeight="1" outlineLevel="1">
      <c r="A242" s="55" t="s">
        <v>4275</v>
      </c>
      <c r="B242" s="55" t="s">
        <v>4276</v>
      </c>
    </row>
    <row r="243" ht="12.75" hidden="1" customHeight="1" outlineLevel="1">
      <c r="A243" s="55" t="s">
        <v>4277</v>
      </c>
      <c r="B243" s="55" t="s">
        <v>4278</v>
      </c>
    </row>
    <row r="244" ht="12.75" hidden="1" customHeight="1" outlineLevel="1">
      <c r="A244" s="55" t="s">
        <v>4279</v>
      </c>
      <c r="B244" s="55" t="s">
        <v>4280</v>
      </c>
    </row>
    <row r="245" ht="12.75" hidden="1" customHeight="1" outlineLevel="1">
      <c r="A245" s="55" t="s">
        <v>4281</v>
      </c>
      <c r="B245" s="55" t="s">
        <v>4282</v>
      </c>
    </row>
    <row r="246" ht="12.75" hidden="1" customHeight="1" outlineLevel="1">
      <c r="A246" s="55" t="s">
        <v>4283</v>
      </c>
      <c r="B246" s="55" t="s">
        <v>4284</v>
      </c>
    </row>
    <row r="247" ht="12.75" hidden="1" customHeight="1" outlineLevel="1">
      <c r="A247" s="55" t="s">
        <v>4285</v>
      </c>
      <c r="B247" s="55" t="s">
        <v>4286</v>
      </c>
    </row>
    <row r="248" ht="12.75" hidden="1" customHeight="1" outlineLevel="1">
      <c r="A248" s="55" t="s">
        <v>4287</v>
      </c>
      <c r="B248" s="55" t="s">
        <v>4288</v>
      </c>
    </row>
    <row r="249" ht="12.75" hidden="1" customHeight="1" outlineLevel="1">
      <c r="A249" s="55" t="s">
        <v>4289</v>
      </c>
      <c r="B249" s="55" t="s">
        <v>4290</v>
      </c>
    </row>
    <row r="250" ht="12.75" hidden="1" customHeight="1" outlineLevel="1">
      <c r="A250" s="55" t="s">
        <v>4291</v>
      </c>
      <c r="B250" s="55" t="s">
        <v>4292</v>
      </c>
    </row>
    <row r="251" ht="12.75" hidden="1" customHeight="1" outlineLevel="1">
      <c r="A251" s="55" t="s">
        <v>4293</v>
      </c>
      <c r="B251" s="55" t="s">
        <v>4294</v>
      </c>
    </row>
    <row r="252" ht="12.75" hidden="1" customHeight="1" outlineLevel="1">
      <c r="A252" s="55" t="s">
        <v>4295</v>
      </c>
      <c r="B252" s="55" t="s">
        <v>4296</v>
      </c>
    </row>
    <row r="253" ht="12.75" hidden="1" customHeight="1" outlineLevel="1">
      <c r="A253" s="55" t="s">
        <v>4297</v>
      </c>
      <c r="B253" s="55" t="s">
        <v>4298</v>
      </c>
    </row>
    <row r="254" ht="12.75" hidden="1" customHeight="1" outlineLevel="1">
      <c r="A254" s="55" t="s">
        <v>4299</v>
      </c>
      <c r="B254" s="55" t="s">
        <v>4300</v>
      </c>
    </row>
    <row r="255" ht="12.75" hidden="1" customHeight="1" outlineLevel="1">
      <c r="A255" s="55" t="s">
        <v>4301</v>
      </c>
      <c r="B255" s="55" t="s">
        <v>4302</v>
      </c>
    </row>
    <row r="256" ht="12.75" hidden="1" customHeight="1" outlineLevel="1">
      <c r="A256" s="55" t="s">
        <v>4303</v>
      </c>
      <c r="B256" s="55" t="s">
        <v>4304</v>
      </c>
    </row>
    <row r="257" ht="12.75" hidden="1" customHeight="1" outlineLevel="1">
      <c r="A257" s="55" t="s">
        <v>4305</v>
      </c>
      <c r="B257" s="55" t="s">
        <v>4306</v>
      </c>
    </row>
    <row r="258" ht="12.75" hidden="1" customHeight="1" outlineLevel="1">
      <c r="A258" s="55" t="s">
        <v>4307</v>
      </c>
      <c r="B258" s="55" t="s">
        <v>4308</v>
      </c>
    </row>
    <row r="259" ht="12.75" hidden="1" customHeight="1" outlineLevel="1">
      <c r="A259" s="55" t="s">
        <v>4309</v>
      </c>
      <c r="B259" s="55" t="s">
        <v>4310</v>
      </c>
    </row>
    <row r="260" ht="12.75" hidden="1" customHeight="1" outlineLevel="1">
      <c r="A260" s="55" t="s">
        <v>4311</v>
      </c>
      <c r="B260" s="55" t="s">
        <v>4312</v>
      </c>
    </row>
    <row r="261" ht="12.75" hidden="1" customHeight="1" outlineLevel="1">
      <c r="A261" s="55" t="s">
        <v>4313</v>
      </c>
      <c r="B261" s="55" t="s">
        <v>4314</v>
      </c>
    </row>
    <row r="262" ht="12.75" hidden="1" customHeight="1" outlineLevel="1">
      <c r="A262" s="55" t="s">
        <v>4315</v>
      </c>
      <c r="B262" s="55" t="s">
        <v>4316</v>
      </c>
    </row>
    <row r="263" ht="12.75" hidden="1" customHeight="1" outlineLevel="1">
      <c r="A263" s="55" t="s">
        <v>4317</v>
      </c>
      <c r="B263" s="55" t="s">
        <v>4318</v>
      </c>
    </row>
    <row r="264" ht="12.75" hidden="1" customHeight="1" outlineLevel="1">
      <c r="A264" s="55" t="s">
        <v>4319</v>
      </c>
      <c r="B264" s="55" t="s">
        <v>4320</v>
      </c>
    </row>
    <row r="265" ht="12.75" hidden="1" customHeight="1" outlineLevel="1">
      <c r="A265" s="55" t="s">
        <v>4321</v>
      </c>
      <c r="B265" s="55" t="s">
        <v>4322</v>
      </c>
    </row>
    <row r="266" ht="12.75" hidden="1" customHeight="1" outlineLevel="1">
      <c r="A266" s="55" t="s">
        <v>4323</v>
      </c>
      <c r="B266" s="55" t="s">
        <v>4324</v>
      </c>
    </row>
    <row r="267" ht="12.75" hidden="1" customHeight="1" outlineLevel="1">
      <c r="A267" s="55" t="s">
        <v>4325</v>
      </c>
      <c r="B267" s="55" t="s">
        <v>4326</v>
      </c>
    </row>
    <row r="268" ht="12.75" hidden="1" customHeight="1" outlineLevel="1">
      <c r="A268" s="55" t="s">
        <v>4327</v>
      </c>
      <c r="B268" s="55" t="s">
        <v>4328</v>
      </c>
    </row>
    <row r="269" ht="12.75" hidden="1" customHeight="1" outlineLevel="1">
      <c r="A269" s="55" t="s">
        <v>4329</v>
      </c>
      <c r="B269" s="55" t="s">
        <v>4330</v>
      </c>
    </row>
    <row r="270" ht="12.75" hidden="1" customHeight="1" outlineLevel="1">
      <c r="A270" s="55" t="s">
        <v>4331</v>
      </c>
      <c r="B270" s="55" t="s">
        <v>4332</v>
      </c>
    </row>
    <row r="271" ht="12.75" hidden="1" customHeight="1" outlineLevel="1">
      <c r="A271" s="55" t="s">
        <v>4333</v>
      </c>
      <c r="B271" s="55" t="s">
        <v>4334</v>
      </c>
    </row>
    <row r="272" ht="12.75" hidden="1" customHeight="1" outlineLevel="1">
      <c r="A272" s="55" t="s">
        <v>4335</v>
      </c>
      <c r="B272" s="55" t="s">
        <v>4336</v>
      </c>
    </row>
    <row r="273" ht="12.75" hidden="1" customHeight="1" outlineLevel="1">
      <c r="A273" s="55" t="s">
        <v>4337</v>
      </c>
      <c r="B273" s="55" t="s">
        <v>4338</v>
      </c>
    </row>
    <row r="274" ht="12.75" hidden="1" customHeight="1" outlineLevel="1">
      <c r="A274" s="55" t="s">
        <v>4339</v>
      </c>
      <c r="B274" s="55" t="s">
        <v>4340</v>
      </c>
    </row>
    <row r="275" ht="12.75" hidden="1" customHeight="1" outlineLevel="1">
      <c r="A275" s="55" t="s">
        <v>4341</v>
      </c>
      <c r="B275" s="55" t="s">
        <v>4342</v>
      </c>
    </row>
    <row r="276" ht="12.75" hidden="1" customHeight="1" outlineLevel="1">
      <c r="A276" s="55" t="s">
        <v>4343</v>
      </c>
      <c r="B276" s="55" t="s">
        <v>4344</v>
      </c>
    </row>
    <row r="277" ht="12.75" hidden="1" customHeight="1" outlineLevel="1">
      <c r="A277" s="55" t="s">
        <v>4345</v>
      </c>
      <c r="B277" s="55" t="s">
        <v>4346</v>
      </c>
    </row>
    <row r="278" ht="12.75" hidden="1" customHeight="1" outlineLevel="1">
      <c r="A278" s="55" t="s">
        <v>4347</v>
      </c>
      <c r="B278" s="55" t="s">
        <v>4348</v>
      </c>
    </row>
    <row r="279" ht="12.75" hidden="1" customHeight="1" outlineLevel="1">
      <c r="A279" s="55" t="s">
        <v>4349</v>
      </c>
      <c r="B279" s="55" t="s">
        <v>4350</v>
      </c>
    </row>
    <row r="280" ht="12.75" hidden="1" customHeight="1" outlineLevel="1">
      <c r="A280" s="55" t="s">
        <v>4351</v>
      </c>
      <c r="B280" s="55" t="s">
        <v>4352</v>
      </c>
    </row>
    <row r="281" ht="12.75" hidden="1" customHeight="1" outlineLevel="1">
      <c r="A281" s="55" t="s">
        <v>4353</v>
      </c>
      <c r="B281" s="55" t="s">
        <v>4354</v>
      </c>
    </row>
    <row r="282" ht="12.75" hidden="1" customHeight="1" outlineLevel="1">
      <c r="A282" s="55" t="s">
        <v>4355</v>
      </c>
      <c r="B282" s="55" t="s">
        <v>4356</v>
      </c>
    </row>
    <row r="283" ht="12.75" hidden="1" customHeight="1" outlineLevel="1">
      <c r="A283" s="55" t="s">
        <v>4357</v>
      </c>
      <c r="B283" s="55" t="s">
        <v>4358</v>
      </c>
    </row>
    <row r="284" ht="12.75" hidden="1" customHeight="1" outlineLevel="1">
      <c r="A284" s="55" t="s">
        <v>4359</v>
      </c>
      <c r="B284" s="55" t="s">
        <v>4360</v>
      </c>
    </row>
    <row r="285" ht="12.75" hidden="1" customHeight="1" outlineLevel="1">
      <c r="A285" s="55" t="s">
        <v>4361</v>
      </c>
      <c r="B285" s="55" t="s">
        <v>4362</v>
      </c>
    </row>
    <row r="286" ht="12.75" hidden="1" customHeight="1" outlineLevel="1">
      <c r="A286" s="55" t="s">
        <v>4363</v>
      </c>
      <c r="B286" s="55" t="s">
        <v>4364</v>
      </c>
    </row>
    <row r="287" ht="12.75" hidden="1" customHeight="1" outlineLevel="1">
      <c r="A287" s="55" t="s">
        <v>4365</v>
      </c>
      <c r="B287" s="55" t="s">
        <v>4366</v>
      </c>
    </row>
    <row r="288" ht="12.75" hidden="1" customHeight="1" outlineLevel="1">
      <c r="A288" s="55" t="s">
        <v>4367</v>
      </c>
      <c r="B288" s="55" t="s">
        <v>4368</v>
      </c>
    </row>
    <row r="289" ht="12.75" hidden="1" customHeight="1" outlineLevel="1">
      <c r="A289" s="55" t="s">
        <v>4369</v>
      </c>
      <c r="B289" s="55" t="s">
        <v>4370</v>
      </c>
    </row>
    <row r="290" ht="12.75" hidden="1" customHeight="1" outlineLevel="1">
      <c r="A290" s="55" t="s">
        <v>4371</v>
      </c>
      <c r="B290" s="55" t="s">
        <v>4372</v>
      </c>
    </row>
    <row r="291" ht="12.75" hidden="1" customHeight="1" outlineLevel="1">
      <c r="A291" s="55" t="s">
        <v>4373</v>
      </c>
      <c r="B291" s="55" t="s">
        <v>4374</v>
      </c>
    </row>
    <row r="292" ht="12.75" hidden="1" customHeight="1" outlineLevel="1">
      <c r="A292" s="55" t="s">
        <v>4375</v>
      </c>
      <c r="B292" s="55" t="s">
        <v>4376</v>
      </c>
    </row>
    <row r="293" ht="12.75" hidden="1" customHeight="1" outlineLevel="1">
      <c r="A293" s="55" t="s">
        <v>4377</v>
      </c>
      <c r="B293" s="55" t="s">
        <v>4378</v>
      </c>
    </row>
    <row r="294" ht="12.75" hidden="1" customHeight="1" outlineLevel="1">
      <c r="A294" s="55" t="s">
        <v>4379</v>
      </c>
      <c r="B294" s="55" t="s">
        <v>4380</v>
      </c>
    </row>
    <row r="295" ht="12.75" hidden="1" customHeight="1" outlineLevel="1">
      <c r="A295" s="55" t="s">
        <v>4381</v>
      </c>
      <c r="B295" s="55" t="s">
        <v>4382</v>
      </c>
    </row>
    <row r="296" ht="12.75" hidden="1" customHeight="1" outlineLevel="1">
      <c r="A296" s="55" t="s">
        <v>4383</v>
      </c>
      <c r="B296" s="55" t="s">
        <v>4384</v>
      </c>
    </row>
    <row r="297" ht="12.75" hidden="1" customHeight="1" outlineLevel="1">
      <c r="A297" s="55" t="s">
        <v>4385</v>
      </c>
      <c r="B297" s="55" t="s">
        <v>4386</v>
      </c>
    </row>
    <row r="298" ht="12.75" hidden="1" customHeight="1" outlineLevel="1">
      <c r="A298" s="55" t="s">
        <v>4387</v>
      </c>
      <c r="B298" s="55" t="s">
        <v>4388</v>
      </c>
    </row>
    <row r="299" ht="12.75" hidden="1" customHeight="1" outlineLevel="1">
      <c r="A299" s="55" t="s">
        <v>4389</v>
      </c>
      <c r="B299" s="55" t="s">
        <v>4390</v>
      </c>
    </row>
    <row r="300" ht="12.75" hidden="1" customHeight="1" outlineLevel="1">
      <c r="A300" s="55" t="s">
        <v>4391</v>
      </c>
      <c r="B300" s="55" t="s">
        <v>4392</v>
      </c>
    </row>
    <row r="301" ht="12.75" hidden="1" customHeight="1" outlineLevel="1">
      <c r="A301" s="55" t="s">
        <v>4393</v>
      </c>
      <c r="B301" s="55" t="s">
        <v>4394</v>
      </c>
    </row>
    <row r="302" ht="12.75" hidden="1" customHeight="1" outlineLevel="1">
      <c r="A302" s="55" t="s">
        <v>4395</v>
      </c>
      <c r="B302" s="55" t="s">
        <v>4396</v>
      </c>
    </row>
    <row r="303" ht="12.75" hidden="1" customHeight="1" outlineLevel="1">
      <c r="A303" s="55" t="s">
        <v>4397</v>
      </c>
      <c r="B303" s="55" t="s">
        <v>4398</v>
      </c>
    </row>
    <row r="304" ht="12.75" hidden="1" customHeight="1" outlineLevel="1">
      <c r="A304" s="55" t="s">
        <v>4399</v>
      </c>
      <c r="B304" s="55" t="s">
        <v>4400</v>
      </c>
    </row>
    <row r="305" ht="12.75" hidden="1" customHeight="1" outlineLevel="1">
      <c r="A305" s="55" t="s">
        <v>4401</v>
      </c>
      <c r="B305" s="55" t="s">
        <v>4402</v>
      </c>
    </row>
    <row r="306" ht="12.75" hidden="1" customHeight="1" outlineLevel="1">
      <c r="A306" s="55" t="s">
        <v>4403</v>
      </c>
      <c r="B306" s="55" t="s">
        <v>4404</v>
      </c>
    </row>
    <row r="307" ht="12.75" hidden="1" customHeight="1" outlineLevel="1">
      <c r="A307" s="55" t="s">
        <v>4405</v>
      </c>
      <c r="B307" s="55" t="s">
        <v>4406</v>
      </c>
    </row>
    <row r="308" ht="12.75" hidden="1" customHeight="1" outlineLevel="1">
      <c r="A308" s="55" t="s">
        <v>4407</v>
      </c>
      <c r="B308" s="55" t="s">
        <v>4408</v>
      </c>
    </row>
    <row r="309" ht="12.75" hidden="1" customHeight="1" outlineLevel="1">
      <c r="A309" s="55" t="s">
        <v>4409</v>
      </c>
      <c r="B309" s="55" t="s">
        <v>4410</v>
      </c>
    </row>
    <row r="310" ht="12.75" hidden="1" customHeight="1" outlineLevel="1">
      <c r="A310" s="55" t="s">
        <v>4411</v>
      </c>
      <c r="B310" s="55" t="s">
        <v>4412</v>
      </c>
    </row>
    <row r="311" ht="12.75" hidden="1" customHeight="1" outlineLevel="1">
      <c r="A311" s="55" t="s">
        <v>4413</v>
      </c>
      <c r="B311" s="55" t="s">
        <v>4414</v>
      </c>
    </row>
    <row r="312" ht="12.75" hidden="1" customHeight="1" outlineLevel="1">
      <c r="A312" s="55" t="s">
        <v>4415</v>
      </c>
      <c r="B312" s="55" t="s">
        <v>4416</v>
      </c>
    </row>
    <row r="313" ht="12.75" hidden="1" customHeight="1" outlineLevel="1">
      <c r="A313" s="55" t="s">
        <v>4417</v>
      </c>
      <c r="B313" s="55" t="s">
        <v>4418</v>
      </c>
    </row>
    <row r="314" ht="12.75" hidden="1" customHeight="1" outlineLevel="1">
      <c r="A314" s="55" t="s">
        <v>4419</v>
      </c>
      <c r="B314" s="55" t="s">
        <v>4420</v>
      </c>
    </row>
    <row r="315" ht="12.75" hidden="1" customHeight="1" outlineLevel="1">
      <c r="A315" s="55" t="s">
        <v>4421</v>
      </c>
      <c r="B315" s="55" t="s">
        <v>4422</v>
      </c>
    </row>
    <row r="316" ht="12.75" hidden="1" customHeight="1" outlineLevel="1">
      <c r="A316" s="55" t="s">
        <v>4423</v>
      </c>
      <c r="B316" s="55" t="s">
        <v>4424</v>
      </c>
    </row>
    <row r="317" ht="12.75" hidden="1" customHeight="1" outlineLevel="1">
      <c r="A317" s="55" t="s">
        <v>4425</v>
      </c>
      <c r="B317" s="55" t="s">
        <v>4426</v>
      </c>
    </row>
    <row r="318" ht="12.75" hidden="1" customHeight="1" outlineLevel="1">
      <c r="A318" s="55" t="s">
        <v>4427</v>
      </c>
      <c r="B318" s="55" t="s">
        <v>4428</v>
      </c>
    </row>
    <row r="319" ht="12.75" hidden="1" customHeight="1" outlineLevel="1">
      <c r="A319" s="55" t="s">
        <v>4429</v>
      </c>
      <c r="B319" s="55" t="s">
        <v>4430</v>
      </c>
    </row>
    <row r="320" ht="12.75" hidden="1" customHeight="1" outlineLevel="1">
      <c r="A320" s="55" t="s">
        <v>4431</v>
      </c>
      <c r="B320" s="55" t="s">
        <v>4432</v>
      </c>
    </row>
    <row r="321" ht="12.75" hidden="1" customHeight="1" outlineLevel="1">
      <c r="A321" s="55" t="s">
        <v>4433</v>
      </c>
      <c r="B321" s="55" t="s">
        <v>4434</v>
      </c>
    </row>
    <row r="322" ht="12.75" hidden="1" customHeight="1" outlineLevel="1">
      <c r="A322" s="55" t="s">
        <v>4435</v>
      </c>
      <c r="B322" s="55" t="s">
        <v>4436</v>
      </c>
    </row>
    <row r="323" ht="12.75" hidden="1" customHeight="1" outlineLevel="1">
      <c r="A323" s="55" t="s">
        <v>4437</v>
      </c>
      <c r="B323" s="55" t="s">
        <v>4438</v>
      </c>
    </row>
    <row r="324" ht="12.75" hidden="1" customHeight="1" outlineLevel="1">
      <c r="A324" s="55" t="s">
        <v>4439</v>
      </c>
      <c r="B324" s="55" t="s">
        <v>4440</v>
      </c>
    </row>
    <row r="325" ht="12.75" hidden="1" customHeight="1" outlineLevel="1">
      <c r="A325" s="55" t="s">
        <v>4441</v>
      </c>
      <c r="B325" s="55" t="s">
        <v>4442</v>
      </c>
    </row>
    <row r="326" ht="12.75" hidden="1" customHeight="1" outlineLevel="1">
      <c r="A326" s="55" t="s">
        <v>4443</v>
      </c>
      <c r="B326" s="55" t="s">
        <v>4444</v>
      </c>
    </row>
    <row r="327" ht="12.75" hidden="1" customHeight="1" outlineLevel="1">
      <c r="A327" s="55" t="s">
        <v>4445</v>
      </c>
      <c r="B327" s="55" t="s">
        <v>4446</v>
      </c>
    </row>
    <row r="328" ht="12.75" hidden="1" customHeight="1" outlineLevel="1">
      <c r="A328" s="55" t="s">
        <v>4447</v>
      </c>
      <c r="B328" s="55" t="s">
        <v>4448</v>
      </c>
    </row>
    <row r="329" ht="12.75" hidden="1" customHeight="1" outlineLevel="1">
      <c r="A329" s="55" t="s">
        <v>4449</v>
      </c>
      <c r="B329" s="55" t="s">
        <v>4450</v>
      </c>
    </row>
    <row r="330" ht="12.75" hidden="1" customHeight="1" outlineLevel="1">
      <c r="A330" s="55" t="s">
        <v>4451</v>
      </c>
      <c r="B330" s="55" t="s">
        <v>4452</v>
      </c>
    </row>
    <row r="331" ht="12.75" hidden="1" customHeight="1" outlineLevel="1">
      <c r="A331" s="55" t="s">
        <v>4453</v>
      </c>
      <c r="B331" s="55" t="s">
        <v>4454</v>
      </c>
    </row>
    <row r="332" ht="12.75" hidden="1" customHeight="1" outlineLevel="1">
      <c r="A332" s="55" t="s">
        <v>4455</v>
      </c>
      <c r="B332" s="55" t="s">
        <v>4456</v>
      </c>
    </row>
    <row r="333" ht="12.75" hidden="1" customHeight="1" outlineLevel="1">
      <c r="A333" s="55" t="s">
        <v>4457</v>
      </c>
      <c r="B333" s="55" t="s">
        <v>4458</v>
      </c>
    </row>
    <row r="334" ht="12.75" hidden="1" customHeight="1" outlineLevel="1">
      <c r="A334" s="55" t="s">
        <v>4459</v>
      </c>
      <c r="B334" s="55" t="s">
        <v>4460</v>
      </c>
    </row>
    <row r="335" ht="12.75" hidden="1" customHeight="1" outlineLevel="1">
      <c r="A335" s="55" t="s">
        <v>4461</v>
      </c>
      <c r="B335" s="55" t="s">
        <v>4462</v>
      </c>
    </row>
    <row r="336" ht="12.75" hidden="1" customHeight="1" outlineLevel="1">
      <c r="A336" s="55" t="s">
        <v>4463</v>
      </c>
      <c r="B336" s="55" t="s">
        <v>4464</v>
      </c>
    </row>
    <row r="337" ht="12.75" hidden="1" customHeight="1" outlineLevel="1">
      <c r="A337" s="55" t="s">
        <v>4465</v>
      </c>
      <c r="B337" s="55" t="s">
        <v>4466</v>
      </c>
    </row>
    <row r="338" ht="12.75" hidden="1" customHeight="1" outlineLevel="1">
      <c r="A338" s="55" t="s">
        <v>4467</v>
      </c>
      <c r="B338" s="55" t="s">
        <v>4468</v>
      </c>
    </row>
    <row r="339" ht="12.75" hidden="1" customHeight="1" outlineLevel="1">
      <c r="A339" s="55" t="s">
        <v>4469</v>
      </c>
      <c r="B339" s="55" t="s">
        <v>4470</v>
      </c>
    </row>
    <row r="340" ht="12.75" hidden="1" customHeight="1" outlineLevel="1">
      <c r="A340" s="55" t="s">
        <v>4471</v>
      </c>
      <c r="B340" s="55" t="s">
        <v>4472</v>
      </c>
    </row>
    <row r="341" ht="12.75" hidden="1" customHeight="1" outlineLevel="1">
      <c r="A341" s="55" t="s">
        <v>4473</v>
      </c>
      <c r="B341" s="55" t="s">
        <v>4474</v>
      </c>
    </row>
    <row r="342" ht="12.75" hidden="1" customHeight="1" outlineLevel="1">
      <c r="A342" s="55" t="s">
        <v>4475</v>
      </c>
      <c r="B342" s="55" t="s">
        <v>4476</v>
      </c>
    </row>
    <row r="343" ht="12.75" hidden="1" customHeight="1" outlineLevel="1">
      <c r="A343" s="55" t="s">
        <v>4477</v>
      </c>
      <c r="B343" s="55" t="s">
        <v>4478</v>
      </c>
    </row>
    <row r="344" ht="12.75" hidden="1" customHeight="1" outlineLevel="1">
      <c r="A344" s="55" t="s">
        <v>4479</v>
      </c>
      <c r="B344" s="55" t="s">
        <v>4480</v>
      </c>
    </row>
    <row r="345" ht="12.75" hidden="1" customHeight="1" outlineLevel="1">
      <c r="A345" s="55" t="s">
        <v>4481</v>
      </c>
      <c r="B345" s="55" t="s">
        <v>4482</v>
      </c>
    </row>
    <row r="346" ht="12.75" hidden="1" customHeight="1" outlineLevel="1">
      <c r="A346" s="55" t="s">
        <v>4483</v>
      </c>
      <c r="B346" s="55" t="s">
        <v>4484</v>
      </c>
    </row>
    <row r="347" ht="12.75" hidden="1" customHeight="1" outlineLevel="1">
      <c r="A347" s="55" t="s">
        <v>4485</v>
      </c>
      <c r="B347" s="55" t="s">
        <v>4486</v>
      </c>
    </row>
    <row r="348" ht="12.75" hidden="1" customHeight="1" outlineLevel="1">
      <c r="A348" s="55" t="s">
        <v>4487</v>
      </c>
      <c r="B348" s="55" t="s">
        <v>4488</v>
      </c>
    </row>
    <row r="349" ht="12.75" hidden="1" customHeight="1" outlineLevel="1">
      <c r="A349" s="55" t="s">
        <v>4489</v>
      </c>
      <c r="B349" s="55" t="s">
        <v>4490</v>
      </c>
    </row>
    <row r="350" ht="12.75" hidden="1" customHeight="1" outlineLevel="1">
      <c r="A350" s="55" t="s">
        <v>4491</v>
      </c>
      <c r="B350" s="55" t="s">
        <v>4492</v>
      </c>
    </row>
    <row r="351" ht="12.75" hidden="1" customHeight="1" outlineLevel="1">
      <c r="A351" s="55" t="s">
        <v>4493</v>
      </c>
      <c r="B351" s="55" t="s">
        <v>4494</v>
      </c>
    </row>
    <row r="352" ht="12.75" hidden="1" customHeight="1" outlineLevel="1">
      <c r="A352" s="55" t="s">
        <v>4495</v>
      </c>
      <c r="B352" s="55" t="s">
        <v>4496</v>
      </c>
    </row>
    <row r="353" ht="12.75" hidden="1" customHeight="1" outlineLevel="1">
      <c r="A353" s="55" t="s">
        <v>4497</v>
      </c>
      <c r="B353" s="55" t="s">
        <v>4498</v>
      </c>
    </row>
    <row r="354" ht="12.75" hidden="1" customHeight="1" outlineLevel="1">
      <c r="A354" s="55" t="s">
        <v>4499</v>
      </c>
      <c r="B354" s="55" t="s">
        <v>4500</v>
      </c>
    </row>
    <row r="355" ht="12.75" hidden="1" customHeight="1" outlineLevel="1">
      <c r="A355" s="55" t="s">
        <v>4501</v>
      </c>
      <c r="B355" s="55" t="s">
        <v>4502</v>
      </c>
    </row>
    <row r="356" ht="12.75" hidden="1" customHeight="1" outlineLevel="1">
      <c r="A356" s="55" t="s">
        <v>4503</v>
      </c>
      <c r="B356" s="55" t="s">
        <v>4504</v>
      </c>
    </row>
    <row r="357" ht="12.75" hidden="1" customHeight="1" outlineLevel="1">
      <c r="A357" s="55" t="s">
        <v>4505</v>
      </c>
      <c r="B357" s="55" t="s">
        <v>4506</v>
      </c>
    </row>
    <row r="358" ht="12.75" hidden="1" customHeight="1" outlineLevel="1">
      <c r="A358" s="55" t="s">
        <v>4507</v>
      </c>
      <c r="B358" s="55" t="s">
        <v>4508</v>
      </c>
    </row>
    <row r="359" ht="12.75" hidden="1" customHeight="1" outlineLevel="1">
      <c r="A359" s="55" t="s">
        <v>4509</v>
      </c>
      <c r="B359" s="55" t="s">
        <v>4510</v>
      </c>
    </row>
    <row r="360" ht="12.75" hidden="1" customHeight="1" outlineLevel="1">
      <c r="A360" s="55" t="s">
        <v>4511</v>
      </c>
      <c r="B360" s="55" t="s">
        <v>4512</v>
      </c>
    </row>
    <row r="361" ht="12.75" hidden="1" customHeight="1" outlineLevel="1">
      <c r="A361" s="55" t="s">
        <v>4513</v>
      </c>
      <c r="B361" s="55" t="s">
        <v>4514</v>
      </c>
    </row>
    <row r="362" ht="12.75" hidden="1" customHeight="1" outlineLevel="1">
      <c r="A362" s="55" t="s">
        <v>4515</v>
      </c>
      <c r="B362" s="55" t="s">
        <v>4516</v>
      </c>
    </row>
    <row r="363" ht="12.75" hidden="1" customHeight="1" outlineLevel="1">
      <c r="A363" s="55" t="s">
        <v>4517</v>
      </c>
      <c r="B363" s="55" t="s">
        <v>4518</v>
      </c>
    </row>
    <row r="364" ht="12.75" hidden="1" customHeight="1" outlineLevel="1">
      <c r="A364" s="55" t="s">
        <v>4519</v>
      </c>
      <c r="B364" s="55" t="s">
        <v>4520</v>
      </c>
    </row>
    <row r="365" ht="12.75" hidden="1" customHeight="1" outlineLevel="1">
      <c r="A365" s="55" t="s">
        <v>4521</v>
      </c>
      <c r="B365" s="55" t="s">
        <v>4522</v>
      </c>
    </row>
    <row r="366" ht="12.75" hidden="1" customHeight="1" outlineLevel="1">
      <c r="A366" s="55" t="s">
        <v>4523</v>
      </c>
      <c r="B366" s="55" t="s">
        <v>4524</v>
      </c>
    </row>
    <row r="367" ht="12.75" hidden="1" customHeight="1" outlineLevel="1">
      <c r="A367" s="55" t="s">
        <v>4525</v>
      </c>
      <c r="B367" s="55" t="s">
        <v>4526</v>
      </c>
    </row>
    <row r="368" ht="12.75" hidden="1" customHeight="1" outlineLevel="1">
      <c r="A368" s="55" t="s">
        <v>4527</v>
      </c>
      <c r="B368" s="55" t="s">
        <v>4528</v>
      </c>
    </row>
    <row r="369" ht="12.75" hidden="1" customHeight="1" outlineLevel="1">
      <c r="A369" s="55" t="s">
        <v>4529</v>
      </c>
      <c r="B369" s="55" t="s">
        <v>4530</v>
      </c>
    </row>
    <row r="370" ht="12.75" hidden="1" customHeight="1" outlineLevel="1">
      <c r="A370" s="55" t="s">
        <v>4531</v>
      </c>
      <c r="B370" s="55" t="s">
        <v>4532</v>
      </c>
    </row>
    <row r="371" ht="12.75" hidden="1" customHeight="1" outlineLevel="1">
      <c r="A371" s="55" t="s">
        <v>4533</v>
      </c>
      <c r="B371" s="55" t="s">
        <v>4534</v>
      </c>
    </row>
    <row r="372" ht="12.75" hidden="1" customHeight="1" outlineLevel="1">
      <c r="A372" s="55" t="s">
        <v>4535</v>
      </c>
      <c r="B372" s="55" t="s">
        <v>4536</v>
      </c>
    </row>
    <row r="373" ht="12.75" hidden="1" customHeight="1" outlineLevel="1">
      <c r="A373" s="55" t="s">
        <v>4537</v>
      </c>
      <c r="B373" s="55" t="s">
        <v>4538</v>
      </c>
    </row>
    <row r="374" ht="12.75" hidden="1" customHeight="1" outlineLevel="1">
      <c r="A374" s="55" t="s">
        <v>4539</v>
      </c>
      <c r="B374" s="55" t="s">
        <v>4540</v>
      </c>
    </row>
    <row r="375" ht="12.75" hidden="1" customHeight="1" outlineLevel="1">
      <c r="A375" s="55" t="s">
        <v>4541</v>
      </c>
      <c r="B375" s="55" t="s">
        <v>4542</v>
      </c>
    </row>
    <row r="376" ht="12.75" hidden="1" customHeight="1" outlineLevel="1">
      <c r="A376" s="55" t="s">
        <v>4543</v>
      </c>
      <c r="B376" s="55" t="s">
        <v>4544</v>
      </c>
    </row>
    <row r="377" ht="12.75" hidden="1" customHeight="1" outlineLevel="1">
      <c r="A377" s="55" t="s">
        <v>4545</v>
      </c>
      <c r="B377" s="55" t="s">
        <v>4546</v>
      </c>
    </row>
    <row r="378" ht="12.75" hidden="1" customHeight="1" outlineLevel="1">
      <c r="A378" s="55" t="s">
        <v>4547</v>
      </c>
      <c r="B378" s="55" t="s">
        <v>4548</v>
      </c>
    </row>
    <row r="379" ht="12.75" hidden="1" customHeight="1" outlineLevel="1">
      <c r="A379" s="55" t="s">
        <v>4549</v>
      </c>
      <c r="B379" s="55" t="s">
        <v>4550</v>
      </c>
    </row>
    <row r="380" ht="12.75" hidden="1" customHeight="1" outlineLevel="1">
      <c r="A380" s="55" t="s">
        <v>4551</v>
      </c>
      <c r="B380" s="55" t="s">
        <v>4552</v>
      </c>
    </row>
    <row r="381" ht="12.75" hidden="1" customHeight="1" outlineLevel="1">
      <c r="A381" s="55" t="s">
        <v>4553</v>
      </c>
      <c r="B381" s="55" t="s">
        <v>4554</v>
      </c>
    </row>
    <row r="382" ht="12.75" hidden="1" customHeight="1" outlineLevel="1">
      <c r="A382" s="55" t="s">
        <v>4555</v>
      </c>
      <c r="B382" s="55" t="s">
        <v>4556</v>
      </c>
    </row>
    <row r="383" ht="12.75" hidden="1" customHeight="1" outlineLevel="1">
      <c r="A383" s="55" t="s">
        <v>4557</v>
      </c>
      <c r="B383" s="55" t="s">
        <v>4558</v>
      </c>
    </row>
    <row r="384" ht="12.75" hidden="1" customHeight="1" outlineLevel="1">
      <c r="A384" s="55" t="s">
        <v>4559</v>
      </c>
      <c r="B384" s="55" t="s">
        <v>4560</v>
      </c>
    </row>
    <row r="385" ht="12.75" hidden="1" customHeight="1" outlineLevel="1">
      <c r="A385" s="55" t="s">
        <v>4561</v>
      </c>
      <c r="B385" s="55" t="s">
        <v>4562</v>
      </c>
    </row>
    <row r="386" ht="12.75" hidden="1" customHeight="1" outlineLevel="1">
      <c r="A386" s="55" t="s">
        <v>4563</v>
      </c>
      <c r="B386" s="55" t="s">
        <v>4564</v>
      </c>
    </row>
    <row r="387" ht="12.75" hidden="1" customHeight="1" outlineLevel="1">
      <c r="A387" s="55" t="s">
        <v>4565</v>
      </c>
      <c r="B387" s="55" t="s">
        <v>4566</v>
      </c>
    </row>
    <row r="388" ht="12.75" hidden="1" customHeight="1" outlineLevel="1">
      <c r="A388" s="55" t="s">
        <v>4567</v>
      </c>
      <c r="B388" s="55" t="s">
        <v>4568</v>
      </c>
    </row>
    <row r="389" ht="12.75" hidden="1" customHeight="1" outlineLevel="1">
      <c r="A389" s="55" t="s">
        <v>4569</v>
      </c>
      <c r="B389" s="55" t="s">
        <v>4570</v>
      </c>
    </row>
    <row r="390" ht="12.75" hidden="1" customHeight="1" outlineLevel="1">
      <c r="A390" s="55" t="s">
        <v>4571</v>
      </c>
      <c r="B390" s="55" t="s">
        <v>4572</v>
      </c>
    </row>
    <row r="391" ht="12.75" hidden="1" customHeight="1" outlineLevel="1">
      <c r="A391" s="55" t="s">
        <v>4573</v>
      </c>
      <c r="B391" s="55" t="s">
        <v>4574</v>
      </c>
    </row>
    <row r="392" ht="12.75" hidden="1" customHeight="1" outlineLevel="1">
      <c r="A392" s="55" t="s">
        <v>4575</v>
      </c>
      <c r="B392" s="55" t="s">
        <v>5004</v>
      </c>
    </row>
    <row r="393" ht="12.75" hidden="1" customHeight="1" outlineLevel="1">
      <c r="A393" s="55" t="s">
        <v>4577</v>
      </c>
      <c r="B393" s="55" t="s">
        <v>4578</v>
      </c>
    </row>
    <row r="394" ht="12.75" hidden="1" customHeight="1" outlineLevel="1">
      <c r="A394" s="55" t="s">
        <v>4579</v>
      </c>
      <c r="B394" s="55" t="s">
        <v>4580</v>
      </c>
    </row>
    <row r="395" ht="12.75" hidden="1" customHeight="1" outlineLevel="1">
      <c r="A395" s="55" t="s">
        <v>4581</v>
      </c>
      <c r="B395" s="55" t="s">
        <v>4582</v>
      </c>
    </row>
    <row r="396" ht="12.75" hidden="1" customHeight="1" outlineLevel="1">
      <c r="A396" s="55" t="s">
        <v>4583</v>
      </c>
      <c r="B396" s="55" t="s">
        <v>4584</v>
      </c>
    </row>
    <row r="397" ht="12.75" hidden="1" customHeight="1" outlineLevel="1">
      <c r="A397" s="55" t="s">
        <v>4585</v>
      </c>
      <c r="B397" s="55" t="s">
        <v>4584</v>
      </c>
    </row>
    <row r="398" ht="12.75" hidden="1" customHeight="1" outlineLevel="1">
      <c r="A398" s="55" t="s">
        <v>4586</v>
      </c>
      <c r="B398" s="55" t="s">
        <v>4587</v>
      </c>
    </row>
    <row r="399" ht="12.75" hidden="1" customHeight="1" outlineLevel="1">
      <c r="A399" s="55" t="s">
        <v>4588</v>
      </c>
      <c r="B399" s="55" t="s">
        <v>4589</v>
      </c>
    </row>
    <row r="400" ht="12.75" hidden="1" customHeight="1" outlineLevel="1"/>
    <row r="401" ht="12.75" customHeight="1" collapsed="1">
      <c r="A401" s="626" t="s">
        <v>4587</v>
      </c>
      <c r="B401" s="626" t="s">
        <v>4590</v>
      </c>
      <c r="C401" s="626" t="s">
        <v>4591</v>
      </c>
      <c r="D401" s="626" t="s">
        <v>4592</v>
      </c>
      <c r="E401" s="626" t="s">
        <v>4593</v>
      </c>
      <c r="F401" s="626" t="s">
        <v>4594</v>
      </c>
      <c r="G401" s="626" t="s">
        <v>4595</v>
      </c>
      <c r="H401" s="626" t="s">
        <v>4596</v>
      </c>
      <c r="I401" s="626" t="s">
        <v>4597</v>
      </c>
      <c r="J401" s="626" t="s">
        <v>4598</v>
      </c>
      <c r="K401" s="626" t="s">
        <v>4599</v>
      </c>
      <c r="L401" s="626" t="s">
        <v>4600</v>
      </c>
      <c r="M401" s="626" t="s">
        <v>4601</v>
      </c>
      <c r="N401" s="626" t="s">
        <v>4602</v>
      </c>
      <c r="O401" s="626" t="s">
        <v>4603</v>
      </c>
      <c r="P401" s="626" t="s">
        <v>4604</v>
      </c>
      <c r="Q401" s="626" t="s">
        <v>4605</v>
      </c>
      <c r="R401" s="626" t="s">
        <v>4606</v>
      </c>
      <c r="S401" s="626" t="s">
        <v>4607</v>
      </c>
      <c r="T401" s="626" t="s">
        <v>4608</v>
      </c>
      <c r="U401" s="626" t="s">
        <v>4609</v>
      </c>
      <c r="V401" s="626" t="s">
        <v>4610</v>
      </c>
      <c r="W401" s="626" t="s">
        <v>4611</v>
      </c>
      <c r="X401" s="626" t="s">
        <v>4612</v>
      </c>
      <c r="Y401" s="626" t="s">
        <v>4613</v>
      </c>
      <c r="Z401" s="626" t="s">
        <v>4614</v>
      </c>
      <c r="AA401" s="626" t="s">
        <v>4615</v>
      </c>
      <c r="AB401" s="626" t="s">
        <v>4616</v>
      </c>
      <c r="AC401" s="626" t="s">
        <v>4617</v>
      </c>
      <c r="AD401" s="626" t="s">
        <v>4618</v>
      </c>
      <c r="AE401" s="626" t="s">
        <v>4619</v>
      </c>
      <c r="AF401" s="626" t="s">
        <v>4620</v>
      </c>
      <c r="AG401" s="626" t="s">
        <v>4621</v>
      </c>
      <c r="AH401" s="626" t="s">
        <v>4622</v>
      </c>
      <c r="AI401" s="626" t="s">
        <v>4623</v>
      </c>
      <c r="AJ401" s="626" t="s">
        <v>4624</v>
      </c>
      <c r="AK401" s="626" t="s">
        <v>4625</v>
      </c>
      <c r="AL401" s="626" t="s">
        <v>4626</v>
      </c>
      <c r="AM401" s="626" t="s">
        <v>4627</v>
      </c>
      <c r="AN401" s="626" t="s">
        <v>4628</v>
      </c>
      <c r="AO401" s="626" t="s">
        <v>4629</v>
      </c>
      <c r="AP401" s="626" t="s">
        <v>4630</v>
      </c>
      <c r="AQ401" s="626" t="s">
        <v>4631</v>
      </c>
      <c r="AR401" s="626" t="s">
        <v>4632</v>
      </c>
      <c r="AS401" s="626" t="s">
        <v>4633</v>
      </c>
      <c r="AT401" s="626" t="s">
        <v>4634</v>
      </c>
      <c r="AU401" s="626" t="s">
        <v>4635</v>
      </c>
      <c r="AV401" s="626" t="s">
        <v>4636</v>
      </c>
      <c r="AW401" s="626" t="s">
        <v>4637</v>
      </c>
      <c r="AX401" s="626" t="s">
        <v>4638</v>
      </c>
      <c r="AY401" s="626" t="s">
        <v>4639</v>
      </c>
      <c r="AZ401" s="626" t="s">
        <v>4640</v>
      </c>
      <c r="BA401" s="626" t="s">
        <v>4641</v>
      </c>
      <c r="BB401" s="626" t="s">
        <v>4642</v>
      </c>
      <c r="BC401" s="626" t="s">
        <v>4643</v>
      </c>
      <c r="BD401" s="626" t="s">
        <v>4644</v>
      </c>
      <c r="BE401" s="626" t="s">
        <v>4645</v>
      </c>
      <c r="BF401" s="626" t="s">
        <v>4646</v>
      </c>
      <c r="BG401" s="626" t="s">
        <v>4647</v>
      </c>
      <c r="BH401" s="626" t="s">
        <v>4648</v>
      </c>
      <c r="BI401" s="626" t="s">
        <v>4649</v>
      </c>
      <c r="BJ401" s="626" t="s">
        <v>4650</v>
      </c>
      <c r="BK401" s="626" t="s">
        <v>4651</v>
      </c>
      <c r="BL401" s="626" t="s">
        <v>4652</v>
      </c>
      <c r="BM401" s="626" t="s">
        <v>4653</v>
      </c>
      <c r="BN401" s="626" t="s">
        <v>4654</v>
      </c>
      <c r="BO401" s="626" t="s">
        <v>4655</v>
      </c>
      <c r="BP401" s="626" t="s">
        <v>4656</v>
      </c>
      <c r="BQ401" s="626" t="s">
        <v>4657</v>
      </c>
      <c r="BR401" s="626" t="s">
        <v>4658</v>
      </c>
      <c r="BS401" s="626" t="s">
        <v>4659</v>
      </c>
      <c r="BT401" s="626" t="s">
        <v>4660</v>
      </c>
      <c r="BU401" s="626" t="s">
        <v>4661</v>
      </c>
      <c r="BV401" s="626" t="s">
        <v>4662</v>
      </c>
      <c r="BW401" s="626" t="s">
        <v>4663</v>
      </c>
      <c r="BX401" s="626" t="s">
        <v>4664</v>
      </c>
      <c r="BY401" s="626" t="s">
        <v>4665</v>
      </c>
      <c r="BZ401" s="626" t="s">
        <v>4666</v>
      </c>
      <c r="CA401" s="626" t="s">
        <v>4667</v>
      </c>
      <c r="CB401" s="626" t="s">
        <v>4668</v>
      </c>
      <c r="CC401" s="626" t="s">
        <v>4669</v>
      </c>
      <c r="CD401" s="626" t="s">
        <v>4670</v>
      </c>
      <c r="CE401" s="626" t="s">
        <v>4671</v>
      </c>
      <c r="CF401" s="626" t="s">
        <v>4672</v>
      </c>
      <c r="CG401" s="626" t="s">
        <v>4673</v>
      </c>
      <c r="CH401" s="626" t="s">
        <v>4674</v>
      </c>
      <c r="CI401" s="626" t="s">
        <v>4675</v>
      </c>
      <c r="CJ401" s="626" t="s">
        <v>4676</v>
      </c>
      <c r="CK401" s="626" t="s">
        <v>4677</v>
      </c>
      <c r="CL401" s="626" t="s">
        <v>4678</v>
      </c>
      <c r="CM401" s="626" t="s">
        <v>4679</v>
      </c>
      <c r="CN401" s="626" t="s">
        <v>4680</v>
      </c>
      <c r="CO401" s="626" t="s">
        <v>4681</v>
      </c>
      <c r="CP401" s="626" t="s">
        <v>4682</v>
      </c>
      <c r="CQ401" s="626" t="s">
        <v>4683</v>
      </c>
      <c r="CR401" s="626" t="s">
        <v>4684</v>
      </c>
      <c r="CS401" s="626" t="s">
        <v>4685</v>
      </c>
      <c r="CT401" s="626" t="s">
        <v>4686</v>
      </c>
      <c r="CU401" s="626" t="s">
        <v>4687</v>
      </c>
      <c r="CV401" s="626" t="s">
        <v>4688</v>
      </c>
      <c r="CW401" s="626" t="s">
        <v>4689</v>
      </c>
      <c r="CX401" s="626" t="s">
        <v>4690</v>
      </c>
      <c r="CY401" s="626" t="s">
        <v>4691</v>
      </c>
      <c r="CZ401" s="626" t="s">
        <v>4692</v>
      </c>
      <c r="DA401" s="626" t="s">
        <v>4693</v>
      </c>
      <c r="DB401" s="626" t="s">
        <v>4694</v>
      </c>
      <c r="DC401" s="626" t="s">
        <v>4695</v>
      </c>
      <c r="DD401" s="626" t="s">
        <v>4696</v>
      </c>
      <c r="DE401" s="626" t="s">
        <v>4697</v>
      </c>
      <c r="DF401" s="626" t="s">
        <v>4698</v>
      </c>
      <c r="DG401" s="626" t="s">
        <v>4699</v>
      </c>
      <c r="DH401" s="626" t="s">
        <v>4700</v>
      </c>
      <c r="DI401" s="626" t="s">
        <v>4701</v>
      </c>
      <c r="DJ401" s="626" t="s">
        <v>4702</v>
      </c>
      <c r="DK401" s="626" t="s">
        <v>4703</v>
      </c>
      <c r="DL401" s="626" t="s">
        <v>4704</v>
      </c>
      <c r="DM401" s="626" t="s">
        <v>4705</v>
      </c>
      <c r="DN401" s="626" t="s">
        <v>4706</v>
      </c>
      <c r="DO401" s="626" t="s">
        <v>4707</v>
      </c>
      <c r="DP401" s="626" t="s">
        <v>4708</v>
      </c>
      <c r="DQ401" s="626" t="s">
        <v>4709</v>
      </c>
      <c r="DR401" s="626" t="s">
        <v>4710</v>
      </c>
      <c r="DS401" s="626" t="s">
        <v>4711</v>
      </c>
      <c r="DT401" s="626" t="s">
        <v>4712</v>
      </c>
      <c r="DU401" s="626" t="s">
        <v>4713</v>
      </c>
      <c r="DV401" s="626" t="s">
        <v>4714</v>
      </c>
      <c r="DW401" s="626" t="s">
        <v>4715</v>
      </c>
      <c r="DX401" s="626" t="s">
        <v>4716</v>
      </c>
      <c r="DY401" s="626" t="s">
        <v>4717</v>
      </c>
      <c r="DZ401" s="626" t="s">
        <v>4718</v>
      </c>
      <c r="EA401" s="626" t="s">
        <v>4719</v>
      </c>
      <c r="EB401" s="626" t="s">
        <v>4720</v>
      </c>
      <c r="EC401" s="626" t="s">
        <v>4721</v>
      </c>
      <c r="ED401" s="626" t="s">
        <v>4722</v>
      </c>
      <c r="EE401" s="626" t="s">
        <v>4723</v>
      </c>
      <c r="EF401" s="626" t="s">
        <v>4724</v>
      </c>
      <c r="EG401" s="626" t="s">
        <v>4725</v>
      </c>
      <c r="EH401" s="626" t="s">
        <v>4726</v>
      </c>
      <c r="EI401" s="626" t="s">
        <v>4727</v>
      </c>
      <c r="EJ401" s="626" t="s">
        <v>4728</v>
      </c>
      <c r="EK401" s="626" t="s">
        <v>4729</v>
      </c>
      <c r="EL401" s="626" t="s">
        <v>4730</v>
      </c>
      <c r="EM401" s="626" t="s">
        <v>4731</v>
      </c>
      <c r="EN401" s="626" t="s">
        <v>4732</v>
      </c>
      <c r="EO401" s="626" t="s">
        <v>4733</v>
      </c>
      <c r="EP401" s="626" t="s">
        <v>4734</v>
      </c>
      <c r="EQ401" s="626" t="s">
        <v>4735</v>
      </c>
      <c r="ER401" s="626" t="s">
        <v>4736</v>
      </c>
      <c r="ES401" s="626" t="s">
        <v>4737</v>
      </c>
      <c r="ET401" s="626" t="s">
        <v>4738</v>
      </c>
      <c r="EU401" s="626" t="s">
        <v>4739</v>
      </c>
      <c r="EV401" s="626" t="s">
        <v>4740</v>
      </c>
      <c r="EW401" s="626" t="s">
        <v>4741</v>
      </c>
      <c r="EX401" s="626" t="s">
        <v>4742</v>
      </c>
      <c r="EY401" s="626" t="s">
        <v>4743</v>
      </c>
      <c r="EZ401" s="626" t="s">
        <v>4744</v>
      </c>
      <c r="FA401" s="626" t="s">
        <v>4745</v>
      </c>
      <c r="FB401" s="626" t="s">
        <v>4746</v>
      </c>
      <c r="FC401" s="626" t="s">
        <v>4747</v>
      </c>
      <c r="FD401" s="626" t="s">
        <v>4748</v>
      </c>
      <c r="FE401" s="626" t="s">
        <v>4749</v>
      </c>
      <c r="FF401" s="626" t="s">
        <v>4750</v>
      </c>
      <c r="FG401" s="626" t="s">
        <v>4751</v>
      </c>
      <c r="FH401" s="626" t="s">
        <v>4752</v>
      </c>
      <c r="FI401" s="626" t="s">
        <v>4753</v>
      </c>
      <c r="FJ401" s="626" t="s">
        <v>4754</v>
      </c>
      <c r="FK401" s="626" t="s">
        <v>4755</v>
      </c>
      <c r="FL401" s="626" t="s">
        <v>4756</v>
      </c>
      <c r="FM401" s="626" t="s">
        <v>4757</v>
      </c>
      <c r="FN401" s="626" t="s">
        <v>4758</v>
      </c>
      <c r="FO401" s="626" t="s">
        <v>4759</v>
      </c>
      <c r="FP401" s="626" t="s">
        <v>4760</v>
      </c>
      <c r="FQ401" s="626" t="s">
        <v>4761</v>
      </c>
      <c r="FR401" s="626" t="s">
        <v>4762</v>
      </c>
      <c r="FS401" s="626" t="s">
        <v>4763</v>
      </c>
      <c r="FT401" s="626" t="s">
        <v>4764</v>
      </c>
      <c r="FU401" s="626" t="s">
        <v>4765</v>
      </c>
      <c r="FV401" s="626" t="s">
        <v>4766</v>
      </c>
      <c r="FW401" s="626" t="s">
        <v>4767</v>
      </c>
      <c r="FX401" s="626" t="s">
        <v>4768</v>
      </c>
      <c r="FY401" s="626" t="s">
        <v>4769</v>
      </c>
      <c r="FZ401" s="626" t="s">
        <v>4770</v>
      </c>
      <c r="GA401" s="626" t="s">
        <v>4771</v>
      </c>
      <c r="GB401" s="626" t="s">
        <v>4772</v>
      </c>
      <c r="GC401" s="626" t="s">
        <v>4773</v>
      </c>
      <c r="GD401" s="626" t="s">
        <v>4774</v>
      </c>
      <c r="GE401" s="626" t="s">
        <v>4775</v>
      </c>
      <c r="GF401" s="626" t="s">
        <v>4776</v>
      </c>
      <c r="GG401" s="626" t="s">
        <v>4777</v>
      </c>
      <c r="GH401" s="626" t="s">
        <v>4778</v>
      </c>
      <c r="GI401" s="626" t="s">
        <v>4779</v>
      </c>
      <c r="GJ401" s="626" t="s">
        <v>4780</v>
      </c>
      <c r="GK401" s="626" t="s">
        <v>4781</v>
      </c>
      <c r="GL401" s="626" t="s">
        <v>4782</v>
      </c>
      <c r="GM401" s="626" t="s">
        <v>4783</v>
      </c>
      <c r="GN401" s="626" t="s">
        <v>4784</v>
      </c>
      <c r="GO401" s="626" t="s">
        <v>4785</v>
      </c>
      <c r="GP401" s="626" t="s">
        <v>4786</v>
      </c>
      <c r="GQ401" s="626" t="s">
        <v>4787</v>
      </c>
      <c r="GR401" s="626" t="s">
        <v>4788</v>
      </c>
      <c r="GS401" s="626" t="s">
        <v>4789</v>
      </c>
      <c r="GT401" s="626" t="s">
        <v>4790</v>
      </c>
      <c r="GU401" s="626" t="s">
        <v>4791</v>
      </c>
      <c r="GV401" s="626" t="s">
        <v>4792</v>
      </c>
      <c r="GW401" s="626" t="s">
        <v>4793</v>
      </c>
      <c r="GX401" s="626" t="s">
        <v>4794</v>
      </c>
      <c r="GY401" s="626" t="s">
        <v>4795</v>
      </c>
      <c r="GZ401" s="626" t="s">
        <v>4796</v>
      </c>
      <c r="HA401" s="626" t="s">
        <v>4797</v>
      </c>
      <c r="HB401" s="626" t="s">
        <v>4798</v>
      </c>
      <c r="HC401" s="626" t="s">
        <v>4799</v>
      </c>
      <c r="HD401" s="626" t="s">
        <v>4800</v>
      </c>
      <c r="HE401" s="626" t="s">
        <v>4801</v>
      </c>
      <c r="HF401" s="626" t="s">
        <v>4802</v>
      </c>
      <c r="HG401" s="626" t="s">
        <v>4803</v>
      </c>
      <c r="HH401" s="626" t="s">
        <v>4804</v>
      </c>
      <c r="HI401" s="626" t="s">
        <v>4805</v>
      </c>
      <c r="HJ401" s="626" t="s">
        <v>4806</v>
      </c>
      <c r="HK401" s="626" t="s">
        <v>4807</v>
      </c>
      <c r="HL401" s="626" t="s">
        <v>4808</v>
      </c>
      <c r="HM401" s="626" t="s">
        <v>4809</v>
      </c>
      <c r="HN401" s="626" t="s">
        <v>4810</v>
      </c>
      <c r="HO401" s="626" t="s">
        <v>4811</v>
      </c>
      <c r="HP401" s="626" t="s">
        <v>4812</v>
      </c>
      <c r="HQ401" s="626" t="s">
        <v>4813</v>
      </c>
      <c r="HR401" s="626" t="s">
        <v>4814</v>
      </c>
      <c r="HS401" s="626" t="s">
        <v>4815</v>
      </c>
      <c r="HT401" s="626" t="s">
        <v>4816</v>
      </c>
      <c r="HU401" s="626" t="s">
        <v>4817</v>
      </c>
      <c r="HV401" s="626" t="s">
        <v>4818</v>
      </c>
      <c r="HW401" s="626" t="s">
        <v>4819</v>
      </c>
      <c r="HX401" s="626" t="s">
        <v>4820</v>
      </c>
      <c r="HY401" s="626" t="s">
        <v>4821</v>
      </c>
      <c r="HZ401" s="626" t="s">
        <v>4822</v>
      </c>
      <c r="IA401" s="626" t="s">
        <v>4823</v>
      </c>
      <c r="IB401" s="626" t="s">
        <v>4824</v>
      </c>
      <c r="IC401" s="626" t="s">
        <v>4825</v>
      </c>
      <c r="ID401" s="626" t="s">
        <v>4826</v>
      </c>
      <c r="IE401" s="626" t="s">
        <v>4827</v>
      </c>
      <c r="IF401" s="626" t="s">
        <v>4828</v>
      </c>
      <c r="IG401" s="626" t="s">
        <v>4829</v>
      </c>
      <c r="IH401" s="626" t="s">
        <v>4830</v>
      </c>
      <c r="II401" s="626" t="s">
        <v>4831</v>
      </c>
      <c r="IJ401" s="626" t="s">
        <v>4832</v>
      </c>
      <c r="IK401" s="626" t="s">
        <v>4833</v>
      </c>
      <c r="IL401" s="626" t="s">
        <v>4834</v>
      </c>
      <c r="IM401" s="626" t="s">
        <v>4835</v>
      </c>
      <c r="IN401" s="626" t="s">
        <v>4836</v>
      </c>
      <c r="IO401" s="626" t="s">
        <v>4837</v>
      </c>
      <c r="IP401" s="626" t="s">
        <v>4838</v>
      </c>
      <c r="IQ401" s="626" t="s">
        <v>4839</v>
      </c>
      <c r="IR401" s="626" t="s">
        <v>4840</v>
      </c>
      <c r="IS401" s="626" t="s">
        <v>4841</v>
      </c>
      <c r="IT401" s="626" t="s">
        <v>4842</v>
      </c>
      <c r="IU401" s="626" t="s">
        <v>4843</v>
      </c>
      <c r="IV401" s="626" t="s">
        <v>4844</v>
      </c>
      <c r="IW401" s="626" t="s">
        <v>4845</v>
      </c>
      <c r="IX401" s="626" t="s">
        <v>4846</v>
      </c>
      <c r="IY401" s="626" t="s">
        <v>4847</v>
      </c>
      <c r="IZ401" s="626" t="s">
        <v>4848</v>
      </c>
      <c r="JA401" s="626" t="s">
        <v>4849</v>
      </c>
      <c r="JB401" s="626" t="s">
        <v>4850</v>
      </c>
      <c r="JC401" s="626" t="s">
        <v>4851</v>
      </c>
      <c r="JD401" s="626" t="s">
        <v>4852</v>
      </c>
      <c r="JE401" s="626" t="s">
        <v>4853</v>
      </c>
      <c r="JF401" s="626" t="s">
        <v>4854</v>
      </c>
      <c r="JG401" s="626" t="s">
        <v>4855</v>
      </c>
      <c r="JH401" s="626" t="s">
        <v>4856</v>
      </c>
      <c r="JI401" s="626" t="s">
        <v>4857</v>
      </c>
      <c r="JJ401" s="626" t="s">
        <v>4858</v>
      </c>
      <c r="JK401" s="626" t="s">
        <v>4859</v>
      </c>
      <c r="JL401" s="626" t="s">
        <v>4860</v>
      </c>
      <c r="JM401" s="626" t="s">
        <v>4861</v>
      </c>
      <c r="JN401" s="626" t="s">
        <v>4862</v>
      </c>
      <c r="JO401" s="626" t="s">
        <v>4863</v>
      </c>
      <c r="JP401" s="626" t="s">
        <v>4864</v>
      </c>
      <c r="JQ401" s="626" t="s">
        <v>4865</v>
      </c>
      <c r="JR401" s="626" t="s">
        <v>4866</v>
      </c>
      <c r="JS401" s="626" t="s">
        <v>4867</v>
      </c>
      <c r="JT401" s="626" t="s">
        <v>4868</v>
      </c>
      <c r="JU401" s="626" t="s">
        <v>4869</v>
      </c>
      <c r="JV401" s="626" t="s">
        <v>4870</v>
      </c>
      <c r="JW401" s="626" t="s">
        <v>4871</v>
      </c>
      <c r="JX401" s="626" t="s">
        <v>4872</v>
      </c>
      <c r="JY401" s="626" t="s">
        <v>4873</v>
      </c>
      <c r="JZ401" s="626" t="s">
        <v>4874</v>
      </c>
      <c r="KA401" s="626" t="s">
        <v>4875</v>
      </c>
      <c r="KB401" s="626" t="s">
        <v>4876</v>
      </c>
      <c r="KC401" s="626" t="s">
        <v>4877</v>
      </c>
      <c r="KD401" s="626" t="s">
        <v>4878</v>
      </c>
      <c r="KE401" s="626" t="s">
        <v>4879</v>
      </c>
      <c r="KF401" s="626" t="s">
        <v>4880</v>
      </c>
      <c r="KG401" s="626" t="s">
        <v>4881</v>
      </c>
      <c r="KH401" s="626" t="s">
        <v>4882</v>
      </c>
      <c r="KI401" s="626" t="s">
        <v>4883</v>
      </c>
      <c r="KJ401" s="626" t="s">
        <v>4884</v>
      </c>
      <c r="KK401" s="626" t="s">
        <v>4885</v>
      </c>
      <c r="KL401" s="626" t="s">
        <v>4886</v>
      </c>
      <c r="KM401" s="626" t="s">
        <v>4887</v>
      </c>
      <c r="KN401" s="626" t="s">
        <v>4888</v>
      </c>
      <c r="KO401" s="626" t="s">
        <v>4889</v>
      </c>
      <c r="KP401" s="626" t="s">
        <v>4890</v>
      </c>
      <c r="KQ401" s="626" t="s">
        <v>4891</v>
      </c>
      <c r="KR401" s="626" t="s">
        <v>4892</v>
      </c>
      <c r="KS401" s="626" t="s">
        <v>4893</v>
      </c>
      <c r="KT401" s="626" t="s">
        <v>4894</v>
      </c>
      <c r="KU401" s="626" t="s">
        <v>4895</v>
      </c>
      <c r="KV401" s="626" t="s">
        <v>4896</v>
      </c>
      <c r="KW401" s="626" t="s">
        <v>4897</v>
      </c>
      <c r="KX401" s="626" t="s">
        <v>4898</v>
      </c>
      <c r="KY401" s="626" t="s">
        <v>4899</v>
      </c>
      <c r="KZ401" s="626" t="s">
        <v>4900</v>
      </c>
      <c r="LA401" s="626" t="s">
        <v>4901</v>
      </c>
      <c r="LB401" s="626" t="s">
        <v>4902</v>
      </c>
      <c r="LC401" s="626" t="s">
        <v>4903</v>
      </c>
      <c r="LD401" s="626" t="s">
        <v>4904</v>
      </c>
      <c r="LE401" s="626" t="s">
        <v>4905</v>
      </c>
      <c r="LF401" s="626" t="s">
        <v>4906</v>
      </c>
      <c r="LG401" s="626" t="s">
        <v>4907</v>
      </c>
      <c r="LH401" s="626" t="s">
        <v>4908</v>
      </c>
      <c r="LI401" s="626" t="s">
        <v>4909</v>
      </c>
      <c r="LJ401" s="626" t="s">
        <v>4910</v>
      </c>
      <c r="LK401" s="626" t="s">
        <v>4911</v>
      </c>
      <c r="LL401" s="626" t="s">
        <v>4912</v>
      </c>
      <c r="LM401" s="626" t="s">
        <v>4913</v>
      </c>
      <c r="LN401" s="626" t="s">
        <v>4914</v>
      </c>
      <c r="LO401" s="626" t="s">
        <v>4915</v>
      </c>
      <c r="LP401" s="626" t="s">
        <v>4916</v>
      </c>
      <c r="LQ401" s="626" t="s">
        <v>4917</v>
      </c>
      <c r="LR401" s="626" t="s">
        <v>4918</v>
      </c>
      <c r="LS401" s="626" t="s">
        <v>4919</v>
      </c>
      <c r="LT401" s="626" t="s">
        <v>4920</v>
      </c>
      <c r="LU401" s="626" t="s">
        <v>4921</v>
      </c>
      <c r="LV401" s="626" t="s">
        <v>4922</v>
      </c>
      <c r="LW401" s="626" t="s">
        <v>4923</v>
      </c>
      <c r="LX401" s="626" t="s">
        <v>4924</v>
      </c>
      <c r="LY401" s="626" t="s">
        <v>4925</v>
      </c>
      <c r="LZ401" s="626" t="s">
        <v>4926</v>
      </c>
      <c r="MA401" s="626" t="s">
        <v>4927</v>
      </c>
      <c r="MB401" s="626" t="s">
        <v>4928</v>
      </c>
      <c r="MC401" s="626" t="s">
        <v>4929</v>
      </c>
      <c r="MD401" s="626" t="s">
        <v>4930</v>
      </c>
      <c r="ME401" s="626" t="s">
        <v>4931</v>
      </c>
      <c r="MF401" s="626" t="s">
        <v>4932</v>
      </c>
      <c r="MG401" s="626" t="s">
        <v>4933</v>
      </c>
      <c r="MH401" s="626" t="s">
        <v>4934</v>
      </c>
      <c r="MI401" s="626" t="s">
        <v>4935</v>
      </c>
      <c r="MJ401" s="626" t="s">
        <v>4936</v>
      </c>
      <c r="MK401" s="626" t="s">
        <v>4937</v>
      </c>
      <c r="ML401" s="626" t="s">
        <v>4938</v>
      </c>
      <c r="MM401" s="626" t="s">
        <v>4939</v>
      </c>
      <c r="MN401" s="626" t="s">
        <v>4940</v>
      </c>
      <c r="MO401" s="626" t="s">
        <v>4941</v>
      </c>
      <c r="MP401" s="626" t="s">
        <v>4942</v>
      </c>
      <c r="MQ401" s="626" t="s">
        <v>4943</v>
      </c>
      <c r="MR401" s="626" t="s">
        <v>4944</v>
      </c>
      <c r="MS401" s="626" t="s">
        <v>4945</v>
      </c>
      <c r="MT401" s="626" t="s">
        <v>4946</v>
      </c>
      <c r="MU401" s="626" t="s">
        <v>4947</v>
      </c>
      <c r="MV401" s="626" t="s">
        <v>4948</v>
      </c>
      <c r="MW401" s="626" t="s">
        <v>4949</v>
      </c>
      <c r="MX401" s="626" t="s">
        <v>4950</v>
      </c>
      <c r="MY401" s="626" t="s">
        <v>4951</v>
      </c>
      <c r="MZ401" s="626" t="s">
        <v>4952</v>
      </c>
      <c r="NA401" s="626" t="s">
        <v>4953</v>
      </c>
      <c r="NB401" s="626" t="s">
        <v>4954</v>
      </c>
      <c r="NC401" s="626" t="s">
        <v>4955</v>
      </c>
      <c r="ND401" s="626" t="s">
        <v>4956</v>
      </c>
      <c r="NE401" s="626" t="s">
        <v>4957</v>
      </c>
      <c r="NF401" s="626" t="s">
        <v>4958</v>
      </c>
      <c r="NG401" s="626" t="s">
        <v>4959</v>
      </c>
      <c r="NH401" s="626" t="s">
        <v>4960</v>
      </c>
      <c r="NI401" s="626" t="s">
        <v>4961</v>
      </c>
      <c r="NJ401" s="626" t="s">
        <v>4962</v>
      </c>
      <c r="NK401" s="626" t="s">
        <v>4963</v>
      </c>
      <c r="NL401" s="626" t="s">
        <v>4964</v>
      </c>
      <c r="NM401" s="626" t="s">
        <v>4965</v>
      </c>
      <c r="NN401" s="626" t="s">
        <v>4966</v>
      </c>
      <c r="NO401" s="626" t="s">
        <v>4967</v>
      </c>
      <c r="NP401" s="626" t="s">
        <v>4968</v>
      </c>
      <c r="NQ401" s="626" t="s">
        <v>4969</v>
      </c>
      <c r="NR401" s="626" t="s">
        <v>4970</v>
      </c>
      <c r="NS401" s="626" t="s">
        <v>4971</v>
      </c>
      <c r="NT401" s="626" t="s">
        <v>4972</v>
      </c>
      <c r="NU401" s="626" t="s">
        <v>4973</v>
      </c>
      <c r="NV401" s="626" t="s">
        <v>4974</v>
      </c>
      <c r="NW401" s="626" t="s">
        <v>4975</v>
      </c>
      <c r="NX401" s="626"/>
      <c r="NY401" s="627" t="s">
        <v>918</v>
      </c>
      <c r="NZ401" s="627" t="s">
        <v>1476</v>
      </c>
      <c r="OA401" s="627" t="s">
        <v>600</v>
      </c>
      <c r="OB401" s="627" t="s">
        <v>1199</v>
      </c>
      <c r="OC401" s="627" t="s">
        <v>1147</v>
      </c>
      <c r="OD401" s="626"/>
      <c r="OE401" s="627" t="s">
        <v>662</v>
      </c>
      <c r="OF401" s="627" t="s">
        <v>4976</v>
      </c>
      <c r="OG401" s="627" t="s">
        <v>4977</v>
      </c>
      <c r="OH401" s="626"/>
    </row>
    <row r="402" ht="12.75" customHeight="1">
      <c r="A402" s="55" t="s">
        <v>405</v>
      </c>
      <c r="B402" s="55" t="s">
        <v>5005</v>
      </c>
      <c r="C402" s="632">
        <v>51.968747</v>
      </c>
      <c r="D402" s="632">
        <v>19.49591</v>
      </c>
      <c r="E402" s="632">
        <v>106.91603</v>
      </c>
      <c r="F402" s="632">
        <v>88.637367</v>
      </c>
      <c r="G402" s="632">
        <v>6.3744629</v>
      </c>
      <c r="H402" s="632">
        <v>6.1373144</v>
      </c>
      <c r="I402" s="632">
        <v>15.422758</v>
      </c>
      <c r="J402" s="632">
        <v>881.49127</v>
      </c>
      <c r="K402" s="632">
        <v>83.162081</v>
      </c>
      <c r="L402" s="632">
        <v>1060.2605</v>
      </c>
      <c r="M402" s="632">
        <v>805.1625</v>
      </c>
      <c r="N402" s="632">
        <v>117.42138</v>
      </c>
      <c r="O402" s="632">
        <v>61.336851</v>
      </c>
      <c r="P402" s="632">
        <v>115.006</v>
      </c>
      <c r="Q402" s="632">
        <v>1.4891283</v>
      </c>
      <c r="R402" s="632">
        <v>3.3768768</v>
      </c>
      <c r="S402" s="632">
        <v>0.22048338</v>
      </c>
      <c r="T402" s="632">
        <v>0.010095185</v>
      </c>
      <c r="U402" s="632">
        <v>0.19768349</v>
      </c>
      <c r="V402" s="632">
        <v>0.0</v>
      </c>
      <c r="W402" s="632">
        <v>40.299017</v>
      </c>
      <c r="X402" s="632">
        <v>46.354975</v>
      </c>
      <c r="Y402" s="632">
        <v>45.563023</v>
      </c>
      <c r="Z402" s="632">
        <v>39.567026</v>
      </c>
      <c r="AA402" s="632">
        <v>6.7107437</v>
      </c>
      <c r="AB402" s="632">
        <v>6.4526382</v>
      </c>
      <c r="AC402" s="632">
        <v>0.28434998</v>
      </c>
      <c r="AD402" s="632">
        <v>18.06525</v>
      </c>
      <c r="AE402" s="632">
        <v>2458.2786</v>
      </c>
      <c r="AF402" s="632">
        <v>3527.7433</v>
      </c>
      <c r="AG402" s="632">
        <v>2474.707</v>
      </c>
      <c r="AH402" s="632">
        <v>27.265545</v>
      </c>
      <c r="AI402" s="632">
        <v>55.227489</v>
      </c>
      <c r="AJ402" s="632">
        <v>51.459201</v>
      </c>
      <c r="AK402" s="632">
        <v>34.899708</v>
      </c>
      <c r="AL402" s="632">
        <v>18.649961</v>
      </c>
      <c r="AM402" s="632">
        <v>37.629117</v>
      </c>
      <c r="AN402" s="632">
        <v>20.214535</v>
      </c>
      <c r="AO402" s="632">
        <v>38.718559</v>
      </c>
      <c r="AP402" s="632">
        <v>21.82452</v>
      </c>
      <c r="AQ402" s="632">
        <v>38.335391</v>
      </c>
      <c r="AR402" s="632">
        <v>21.206686</v>
      </c>
      <c r="AS402" s="632">
        <v>42.279246</v>
      </c>
      <c r="AT402" s="632">
        <v>28.763011</v>
      </c>
      <c r="AU402" s="632">
        <v>45.089228</v>
      </c>
      <c r="AV402" s="632">
        <v>5090.7252</v>
      </c>
      <c r="AW402" s="632">
        <v>6893.8874</v>
      </c>
      <c r="AX402" s="632">
        <v>7638.6065</v>
      </c>
      <c r="AY402" s="632">
        <v>48.176324</v>
      </c>
      <c r="AZ402" s="632">
        <v>2.9378596</v>
      </c>
      <c r="BA402" s="632">
        <v>24.547295</v>
      </c>
      <c r="BB402" s="632">
        <v>6.2813295</v>
      </c>
      <c r="BC402" s="632">
        <v>7.014015</v>
      </c>
      <c r="BD402" s="632">
        <v>3.2722157</v>
      </c>
      <c r="BE402" s="632">
        <v>4.2167326</v>
      </c>
      <c r="BF402" s="632">
        <v>0.89046073</v>
      </c>
      <c r="BG402" s="632">
        <v>2.9896733</v>
      </c>
      <c r="BH402" s="632">
        <v>2.8272555</v>
      </c>
      <c r="BI402" s="632">
        <v>14.3759</v>
      </c>
      <c r="BJ402" s="632">
        <v>63.722995</v>
      </c>
      <c r="BK402" s="632">
        <v>92.442637</v>
      </c>
      <c r="BL402" s="632">
        <v>37.648955</v>
      </c>
      <c r="BM402" s="632">
        <v>66.368598</v>
      </c>
      <c r="BN402" s="632">
        <v>2964.0391</v>
      </c>
      <c r="BO402" s="632">
        <v>0.53124982</v>
      </c>
      <c r="BP402" s="632">
        <v>0.82370542</v>
      </c>
      <c r="BQ402" s="632">
        <v>1318.9349</v>
      </c>
      <c r="BR402" s="632">
        <v>1492.7063</v>
      </c>
      <c r="BS402" s="632">
        <v>1575.0205</v>
      </c>
      <c r="BT402" s="632">
        <v>3264.8092</v>
      </c>
      <c r="BU402" s="632">
        <v>1535.5554</v>
      </c>
      <c r="BV402" s="632">
        <v>2164.6277</v>
      </c>
      <c r="BW402" s="632">
        <v>1.7954015</v>
      </c>
      <c r="BX402" s="632">
        <v>2469.4909</v>
      </c>
      <c r="BY402" s="632">
        <v>39.296004</v>
      </c>
      <c r="BZ402" s="632">
        <v>51.212785</v>
      </c>
      <c r="CA402" s="632">
        <v>0.68501192</v>
      </c>
      <c r="CB402" s="632">
        <v>0.43470805</v>
      </c>
      <c r="CC402" s="632">
        <v>0.50996147</v>
      </c>
      <c r="CD402" s="632">
        <v>0.59424702</v>
      </c>
      <c r="CE402" s="632">
        <v>4284.4538</v>
      </c>
      <c r="CF402" s="632">
        <v>7706.8007</v>
      </c>
      <c r="CG402" s="632">
        <v>850.8485</v>
      </c>
      <c r="CH402" s="632">
        <v>1029.5921</v>
      </c>
      <c r="CI402" s="632">
        <v>0.46221117</v>
      </c>
      <c r="CJ402" s="632">
        <v>1.4442304</v>
      </c>
      <c r="CK402" s="632">
        <v>1.9283872</v>
      </c>
      <c r="CL402" s="632">
        <v>0.25112709</v>
      </c>
      <c r="CM402" s="632">
        <v>0.32311319</v>
      </c>
      <c r="CN402" s="632">
        <v>151.81004</v>
      </c>
      <c r="CO402" s="632">
        <v>221.99372</v>
      </c>
      <c r="CP402" s="632">
        <v>131.44187</v>
      </c>
      <c r="CQ402" s="632">
        <v>636.41666</v>
      </c>
      <c r="CR402" s="632">
        <v>963.5607</v>
      </c>
      <c r="CS402" s="632">
        <v>963.5607</v>
      </c>
      <c r="CT402" s="632">
        <v>0.18824118</v>
      </c>
      <c r="CU402" s="632">
        <v>0.8096086</v>
      </c>
      <c r="CV402" s="632">
        <v>0.29658961</v>
      </c>
      <c r="CW402" s="632">
        <v>0.27972414</v>
      </c>
      <c r="CX402" s="632">
        <v>75.005951</v>
      </c>
      <c r="CY402" s="632">
        <v>15.062693</v>
      </c>
      <c r="CZ402" s="632">
        <v>31.593615</v>
      </c>
      <c r="DA402" s="632">
        <v>30.609162</v>
      </c>
      <c r="DB402" s="632">
        <v>0.38838936</v>
      </c>
      <c r="DC402" s="632">
        <v>0.2463985</v>
      </c>
      <c r="DD402" s="632">
        <v>4.9081321</v>
      </c>
      <c r="DE402" s="632">
        <v>7.4797436</v>
      </c>
      <c r="DF402" s="632">
        <v>4.7355077</v>
      </c>
      <c r="DG402" s="632">
        <v>4.9081321</v>
      </c>
      <c r="DH402" s="632">
        <v>7.4797436</v>
      </c>
      <c r="DI402" s="632">
        <v>7.2527883</v>
      </c>
      <c r="DJ402" s="632">
        <v>7.4290597</v>
      </c>
      <c r="DK402" s="632">
        <v>7.4290597</v>
      </c>
      <c r="DL402" s="632">
        <v>10.000671</v>
      </c>
      <c r="DM402" s="632">
        <v>7.4290597</v>
      </c>
      <c r="DN402" s="632">
        <v>10.000671</v>
      </c>
      <c r="DO402" s="632">
        <v>0.2463985</v>
      </c>
      <c r="DP402" s="632">
        <v>0.31491018</v>
      </c>
      <c r="DQ402" s="632">
        <v>0.4876428</v>
      </c>
      <c r="DR402" s="632">
        <v>0.48169048</v>
      </c>
      <c r="DS402" s="632">
        <v>0.4885202</v>
      </c>
      <c r="DT402" s="632">
        <v>2.3466686</v>
      </c>
      <c r="DU402" s="632">
        <v>4.0030954</v>
      </c>
      <c r="DV402" s="632">
        <v>5.890658</v>
      </c>
      <c r="DW402" s="632">
        <v>12.739962</v>
      </c>
      <c r="DX402" s="632">
        <v>112.82532</v>
      </c>
      <c r="DY402" s="632">
        <v>28.391109</v>
      </c>
      <c r="DZ402" s="632">
        <v>29.603146</v>
      </c>
      <c r="EA402" s="632">
        <v>0.19768349</v>
      </c>
      <c r="EB402" s="632">
        <v>0.19678848</v>
      </c>
      <c r="EC402" s="632">
        <v>0.23290068</v>
      </c>
      <c r="ED402" s="632">
        <v>11.437953</v>
      </c>
      <c r="EE402" s="632">
        <v>0.17817565</v>
      </c>
      <c r="EF402" s="632">
        <v>0.0</v>
      </c>
      <c r="EG402" s="632">
        <v>0.0</v>
      </c>
      <c r="EH402" s="632">
        <v>0.0</v>
      </c>
      <c r="EI402" s="632">
        <v>0.20216539</v>
      </c>
      <c r="EJ402" s="632">
        <v>0.17780179</v>
      </c>
      <c r="EK402" s="632">
        <v>5.1194684</v>
      </c>
      <c r="EL402" s="632">
        <v>0.0</v>
      </c>
      <c r="EM402" s="632">
        <v>0.0</v>
      </c>
      <c r="EN402" s="632">
        <v>0.0</v>
      </c>
      <c r="EO402" s="632">
        <v>0.0</v>
      </c>
      <c r="EP402" s="632">
        <v>484.76271</v>
      </c>
      <c r="EQ402" s="632">
        <v>954.79725</v>
      </c>
      <c r="ER402" s="632">
        <v>0.0</v>
      </c>
      <c r="ES402" s="632">
        <v>0.0</v>
      </c>
      <c r="ET402" s="632">
        <v>1.7227672</v>
      </c>
      <c r="EU402" s="632">
        <v>0.22193733</v>
      </c>
      <c r="EV402" s="632">
        <v>0.22193733</v>
      </c>
      <c r="EW402" s="632">
        <v>0.14886215</v>
      </c>
      <c r="EX402" s="632">
        <v>0.98781193</v>
      </c>
      <c r="EY402" s="632">
        <v>5.7883753</v>
      </c>
      <c r="EZ402" s="632">
        <v>5.6115241</v>
      </c>
      <c r="FA402" s="632">
        <v>0.88814583</v>
      </c>
      <c r="FB402" s="632">
        <v>2.2984584</v>
      </c>
      <c r="FC402" s="632">
        <v>0.68376898</v>
      </c>
      <c r="FD402" s="632">
        <v>1.3172662</v>
      </c>
      <c r="FE402" s="632">
        <v>7.8767894</v>
      </c>
      <c r="FF402" s="632">
        <v>1.8489653</v>
      </c>
      <c r="FG402" s="632">
        <v>2.3329619</v>
      </c>
      <c r="FH402" s="632">
        <v>1.0473691</v>
      </c>
      <c r="FI402" s="632">
        <v>0.5687295</v>
      </c>
      <c r="FJ402" s="632">
        <v>1.9951818</v>
      </c>
      <c r="FK402" s="632">
        <v>1.0160157</v>
      </c>
      <c r="FL402" s="632">
        <v>0.91489554</v>
      </c>
      <c r="FM402" s="632">
        <v>0.67084454</v>
      </c>
      <c r="FN402" s="632">
        <v>2.5061333</v>
      </c>
      <c r="FO402" s="632">
        <v>8.9892035</v>
      </c>
      <c r="FP402" s="632">
        <v>2.9347289</v>
      </c>
      <c r="FQ402" s="632">
        <v>1.4692543</v>
      </c>
      <c r="FR402" s="632">
        <v>4.580524</v>
      </c>
      <c r="FS402" s="632">
        <v>1.7080172</v>
      </c>
      <c r="FT402" s="632">
        <v>0.21184697</v>
      </c>
      <c r="FU402" s="632">
        <v>19.564432</v>
      </c>
      <c r="FV402" s="632">
        <v>2.3659736</v>
      </c>
      <c r="FW402" s="632">
        <v>0.23290068</v>
      </c>
      <c r="FX402" s="632">
        <v>2.3426469</v>
      </c>
      <c r="FY402" s="632">
        <v>0.23290068</v>
      </c>
      <c r="FZ402" s="632">
        <v>6.7276032</v>
      </c>
      <c r="GA402" s="632">
        <v>52.601115</v>
      </c>
      <c r="GB402" s="632">
        <v>5.6286121</v>
      </c>
      <c r="GC402" s="632">
        <v>2.7513826</v>
      </c>
      <c r="GD402" s="632">
        <v>2.874862</v>
      </c>
      <c r="GE402" s="632">
        <v>15.529897</v>
      </c>
      <c r="GF402" s="632">
        <v>2.9431576</v>
      </c>
      <c r="GG402" s="632">
        <v>9.7765813</v>
      </c>
      <c r="GH402" s="632">
        <v>131.56459</v>
      </c>
      <c r="GI402" s="632">
        <v>81.600635</v>
      </c>
      <c r="GJ402" s="632">
        <v>0.11678722</v>
      </c>
      <c r="GK402" s="632">
        <v>0.37410624</v>
      </c>
      <c r="GL402" s="632">
        <v>0.22278402</v>
      </c>
      <c r="GM402" s="632">
        <v>0.22278402</v>
      </c>
      <c r="GN402" s="632">
        <v>0.23290068</v>
      </c>
      <c r="GO402" s="632">
        <v>0.11897909</v>
      </c>
      <c r="GP402" s="632">
        <v>0.19419468</v>
      </c>
      <c r="GQ402" s="632">
        <v>0.0</v>
      </c>
      <c r="GR402" s="632">
        <v>0.0</v>
      </c>
      <c r="GS402" s="632">
        <v>3.3537698</v>
      </c>
      <c r="GT402" s="632">
        <v>1.4650627</v>
      </c>
      <c r="GU402" s="632">
        <v>1.4170353</v>
      </c>
      <c r="GV402" s="632">
        <v>0.60783238</v>
      </c>
      <c r="GW402" s="632">
        <v>0.17968735</v>
      </c>
      <c r="GX402" s="632">
        <v>0.23565076</v>
      </c>
      <c r="GY402" s="632">
        <v>0.12524075</v>
      </c>
      <c r="GZ402" s="632">
        <v>0.11480498</v>
      </c>
      <c r="HA402" s="632">
        <v>0.0</v>
      </c>
      <c r="HB402" s="632">
        <v>0.0</v>
      </c>
      <c r="HC402" s="632">
        <v>0.0</v>
      </c>
      <c r="HD402" s="632">
        <v>0.77384571</v>
      </c>
      <c r="HE402" s="632">
        <v>4.0566182</v>
      </c>
      <c r="HF402" s="632">
        <v>0.11480498</v>
      </c>
      <c r="HG402" s="632">
        <v>0.12524075</v>
      </c>
      <c r="HH402" s="632">
        <v>139.83578</v>
      </c>
      <c r="HI402" s="632">
        <v>0.0</v>
      </c>
      <c r="HJ402" s="632">
        <v>0.19419468</v>
      </c>
      <c r="HK402" s="632">
        <v>1.2569663</v>
      </c>
      <c r="HL402" s="632">
        <v>1915.752</v>
      </c>
      <c r="HM402" s="632">
        <v>1722.6918</v>
      </c>
      <c r="HN402" s="632">
        <v>1785.7679</v>
      </c>
      <c r="HO402" s="632">
        <v>1886.7814</v>
      </c>
      <c r="HP402" s="632">
        <v>1197.105</v>
      </c>
      <c r="HQ402" s="632">
        <v>172.80966</v>
      </c>
      <c r="HR402" s="632">
        <v>16.694695</v>
      </c>
      <c r="HS402" s="632">
        <v>6.6776398</v>
      </c>
      <c r="HT402" s="632">
        <v>9.1930497</v>
      </c>
      <c r="HU402" s="632">
        <v>13.833558</v>
      </c>
      <c r="HV402" s="632">
        <v>10.335313</v>
      </c>
      <c r="HW402" s="632">
        <v>5043.171</v>
      </c>
      <c r="HX402" s="632">
        <v>40.204879</v>
      </c>
      <c r="HY402" s="632">
        <v>37.892177</v>
      </c>
      <c r="HZ402" s="632">
        <v>94.769614</v>
      </c>
      <c r="IA402" s="632">
        <v>14.854688</v>
      </c>
      <c r="IB402" s="632">
        <v>17.564376</v>
      </c>
      <c r="IC402" s="632">
        <v>233.58775</v>
      </c>
      <c r="ID402" s="632">
        <v>226.30678</v>
      </c>
      <c r="IE402" s="632">
        <v>94.72049</v>
      </c>
      <c r="IF402" s="632">
        <v>81.6454</v>
      </c>
      <c r="IG402" s="632">
        <v>305.29292</v>
      </c>
      <c r="IH402" s="632">
        <v>149.75538</v>
      </c>
      <c r="II402" s="632">
        <v>404.67014</v>
      </c>
      <c r="IJ402" s="632">
        <v>184.56246</v>
      </c>
      <c r="IK402" s="632">
        <v>166.75071</v>
      </c>
      <c r="IL402" s="632">
        <v>298.0082</v>
      </c>
      <c r="IM402" s="632">
        <v>165.30181</v>
      </c>
      <c r="IN402" s="632">
        <v>374.67269</v>
      </c>
      <c r="IO402" s="632">
        <v>250.99793</v>
      </c>
      <c r="IP402" s="632">
        <v>125.13931</v>
      </c>
      <c r="IQ402" s="632">
        <v>697.80612</v>
      </c>
      <c r="IR402" s="632">
        <v>468.8162</v>
      </c>
      <c r="IS402" s="632">
        <v>166.50211</v>
      </c>
      <c r="IT402" s="632">
        <v>205.88869</v>
      </c>
      <c r="IU402" s="632">
        <v>170.30426</v>
      </c>
      <c r="IV402" s="632">
        <v>181.0662</v>
      </c>
      <c r="IW402" s="632">
        <v>92.581894</v>
      </c>
      <c r="IX402" s="632">
        <v>25.714094</v>
      </c>
      <c r="IY402" s="632">
        <v>284.14948</v>
      </c>
      <c r="IZ402" s="632">
        <v>146.57321</v>
      </c>
      <c r="JA402" s="632">
        <v>0.47013486</v>
      </c>
      <c r="JB402" s="632">
        <v>35.52883</v>
      </c>
      <c r="JC402" s="632">
        <v>870.26531</v>
      </c>
      <c r="JD402" s="632">
        <v>1490.7898</v>
      </c>
      <c r="JE402" s="632">
        <v>755.46799</v>
      </c>
      <c r="JF402" s="632">
        <v>645.67022</v>
      </c>
      <c r="JG402" s="632">
        <v>1266.6703</v>
      </c>
      <c r="JH402" s="632">
        <v>1248.6228</v>
      </c>
      <c r="JI402" s="632">
        <v>1436.06</v>
      </c>
      <c r="JJ402" s="632">
        <v>1846.0567</v>
      </c>
      <c r="JK402" s="632">
        <v>986.36529</v>
      </c>
      <c r="JL402" s="632">
        <v>1605.9047</v>
      </c>
      <c r="JM402" s="632">
        <v>1660.2701</v>
      </c>
      <c r="JN402" s="632">
        <v>39.197833</v>
      </c>
      <c r="JO402" s="632">
        <v>38.397851</v>
      </c>
      <c r="JP402" s="632">
        <v>39.903388</v>
      </c>
      <c r="JQ402" s="632">
        <v>39.103407</v>
      </c>
      <c r="JR402" s="632">
        <v>0.14758478</v>
      </c>
      <c r="JS402" s="632">
        <v>0.066127314</v>
      </c>
      <c r="JT402" s="632">
        <v>423.89137</v>
      </c>
      <c r="JU402" s="632">
        <v>89.326926</v>
      </c>
      <c r="JV402" s="632">
        <v>2.4650355</v>
      </c>
      <c r="JW402" s="632">
        <v>49.015569</v>
      </c>
      <c r="JX402" s="632">
        <v>2.4811475</v>
      </c>
      <c r="JY402" s="632">
        <v>2620.0858</v>
      </c>
      <c r="JZ402" s="632">
        <v>1030.1948</v>
      </c>
      <c r="KA402" s="632">
        <v>15797.459</v>
      </c>
      <c r="KB402" s="632">
        <v>1312.4117</v>
      </c>
      <c r="KC402" s="632">
        <v>6486.8103</v>
      </c>
      <c r="KD402" s="632">
        <v>858.20055</v>
      </c>
      <c r="KE402" s="632">
        <v>954.16307</v>
      </c>
      <c r="KF402" s="632">
        <v>1685.2172</v>
      </c>
      <c r="KG402" s="632">
        <v>1206.7178</v>
      </c>
      <c r="KH402" s="632">
        <v>39619.158</v>
      </c>
      <c r="KI402" s="632">
        <v>20366.592</v>
      </c>
      <c r="KJ402" s="632">
        <v>22185.428</v>
      </c>
      <c r="KK402" s="632">
        <v>80.688441</v>
      </c>
      <c r="KL402" s="632">
        <v>15.360419</v>
      </c>
      <c r="KM402" s="632">
        <v>770.19929</v>
      </c>
      <c r="KN402" s="632">
        <v>5.4111152</v>
      </c>
      <c r="KO402" s="632">
        <v>5.440423</v>
      </c>
      <c r="KP402" s="632">
        <v>1.4395211</v>
      </c>
      <c r="KQ402" s="632">
        <v>4.9980331</v>
      </c>
      <c r="KR402" s="632">
        <v>6.6659563</v>
      </c>
      <c r="KS402" s="632">
        <v>7.0086695</v>
      </c>
      <c r="KT402" s="632">
        <v>38.41387</v>
      </c>
      <c r="KU402" s="632">
        <v>87.330288</v>
      </c>
      <c r="KV402" s="632">
        <v>9.8632011</v>
      </c>
      <c r="KW402" s="632">
        <v>11.758286</v>
      </c>
      <c r="KX402" s="632">
        <v>13.455719</v>
      </c>
      <c r="KY402" s="632">
        <v>14.10277</v>
      </c>
      <c r="KZ402" s="632">
        <v>13.143195</v>
      </c>
      <c r="LA402" s="632">
        <v>16.485515</v>
      </c>
      <c r="LB402" s="632">
        <v>39.381585</v>
      </c>
      <c r="LC402" s="632">
        <v>92.07563</v>
      </c>
      <c r="LD402" s="632">
        <v>31.717513</v>
      </c>
      <c r="LE402" s="632">
        <v>26.179571</v>
      </c>
      <c r="LF402" s="632">
        <v>123.08559</v>
      </c>
      <c r="LG402" s="632">
        <v>57.940326</v>
      </c>
      <c r="LH402" s="632">
        <v>62.914208</v>
      </c>
      <c r="LI402" s="632">
        <v>115.30395</v>
      </c>
      <c r="LJ402" s="632">
        <v>84.953385</v>
      </c>
      <c r="LK402" s="632">
        <v>145.18975</v>
      </c>
      <c r="LL402" s="632">
        <v>82.773171</v>
      </c>
      <c r="LM402" s="632">
        <v>108.06487</v>
      </c>
      <c r="LN402" s="632">
        <v>105.93739</v>
      </c>
      <c r="LO402" s="632">
        <v>88.252319</v>
      </c>
      <c r="LP402" s="632">
        <v>28.84849</v>
      </c>
      <c r="LQ402" s="632">
        <v>109.28967</v>
      </c>
      <c r="LR402" s="632">
        <v>68.523642</v>
      </c>
      <c r="LS402" s="632">
        <v>64.577451</v>
      </c>
      <c r="LT402" s="632">
        <v>82.515972</v>
      </c>
      <c r="LU402" s="632">
        <v>7744.262</v>
      </c>
      <c r="LV402" s="632">
        <v>4735.72</v>
      </c>
      <c r="LW402" s="632">
        <v>253.12755</v>
      </c>
      <c r="LX402" s="632">
        <v>446.2234</v>
      </c>
      <c r="LY402" s="632">
        <v>1.3552637</v>
      </c>
      <c r="LZ402" s="632">
        <v>13.521428</v>
      </c>
      <c r="MA402" s="632">
        <v>74.69258</v>
      </c>
      <c r="MB402" s="632">
        <v>171.85171</v>
      </c>
      <c r="MC402" s="632">
        <v>16.573197</v>
      </c>
      <c r="MD402" s="632">
        <v>15.329215</v>
      </c>
      <c r="ME402" s="632">
        <v>13.367824</v>
      </c>
      <c r="MF402" s="632">
        <v>1351.811</v>
      </c>
      <c r="MG402" s="632">
        <v>3.9619156</v>
      </c>
      <c r="MH402" s="632">
        <v>1.3845061</v>
      </c>
      <c r="MI402" s="632">
        <v>0.066127314</v>
      </c>
      <c r="MJ402" s="632">
        <v>41.50584</v>
      </c>
      <c r="MK402" s="632">
        <v>24.356311</v>
      </c>
      <c r="ML402" s="632">
        <v>25.097123</v>
      </c>
      <c r="MM402" s="632">
        <v>25.219622</v>
      </c>
      <c r="MN402" s="632">
        <v>24.45766</v>
      </c>
      <c r="MO402" s="632">
        <v>21.000979</v>
      </c>
      <c r="MP402" s="632">
        <v>21.068686</v>
      </c>
      <c r="MQ402" s="632">
        <v>26.783605</v>
      </c>
      <c r="MR402" s="632">
        <v>26.171786</v>
      </c>
      <c r="MS402" s="632">
        <v>21.533466</v>
      </c>
      <c r="MT402" s="632">
        <v>23.175395</v>
      </c>
      <c r="MU402" s="632">
        <v>22.608747</v>
      </c>
      <c r="MV402" s="632">
        <v>21.001884</v>
      </c>
      <c r="MW402" s="632">
        <v>20.761381</v>
      </c>
      <c r="MX402" s="632">
        <v>3124.8803</v>
      </c>
      <c r="MY402" s="632">
        <v>2856.5165</v>
      </c>
      <c r="MZ402" s="632">
        <v>1605.4382</v>
      </c>
      <c r="NA402" s="632">
        <v>19.045634</v>
      </c>
      <c r="NB402" s="632">
        <v>23.30821</v>
      </c>
      <c r="NC402" s="632">
        <v>61.225796</v>
      </c>
      <c r="ND402" s="632">
        <v>957.43062</v>
      </c>
      <c r="NE402" s="632">
        <v>591.27299</v>
      </c>
      <c r="NF402" s="632">
        <v>6816.5907</v>
      </c>
      <c r="NG402" s="632">
        <v>1090.8899</v>
      </c>
      <c r="NH402" s="632">
        <v>28.965381</v>
      </c>
      <c r="NI402" s="632">
        <v>60.264291</v>
      </c>
      <c r="NJ402" s="632">
        <v>115.18432</v>
      </c>
      <c r="NK402" s="632">
        <v>91.334653</v>
      </c>
      <c r="NL402" s="632">
        <v>7.3065237</v>
      </c>
      <c r="NM402" s="632">
        <v>45.0428</v>
      </c>
      <c r="NN402" s="632">
        <v>72.132224</v>
      </c>
      <c r="NO402" s="632">
        <v>473.06303</v>
      </c>
      <c r="NP402" s="632">
        <v>3.8632897</v>
      </c>
      <c r="NQ402" s="632">
        <v>3676.9248</v>
      </c>
      <c r="NR402" s="632">
        <v>6532.6532</v>
      </c>
      <c r="NS402" s="632">
        <v>5620.0918</v>
      </c>
      <c r="NT402" s="632">
        <v>5988.5899</v>
      </c>
      <c r="NU402" s="632">
        <v>4592.7986</v>
      </c>
      <c r="NV402" s="632">
        <v>11.812059</v>
      </c>
      <c r="NW402" s="632">
        <v>102.58528</v>
      </c>
      <c r="NX402" s="632"/>
      <c r="NY402" s="632">
        <v>0.0</v>
      </c>
      <c r="NZ402" s="632">
        <v>34.8</v>
      </c>
      <c r="OA402" s="632">
        <v>1.07987665476598</v>
      </c>
      <c r="OB402" s="632">
        <v>25.56</v>
      </c>
      <c r="OC402" s="632">
        <v>84.06221784673218</v>
      </c>
      <c r="OD402" s="626"/>
      <c r="OE402" s="632">
        <f t="shared" ref="OE402:OE408" si="2">SUMPRODUCT(OF402:OG402,OF$413:OG$413)</f>
        <v>2831.511914</v>
      </c>
      <c r="OF402" s="632">
        <f t="shared" ref="OF402:OG402" si="1">SUM(OF403:OF408)</f>
        <v>2818.934347</v>
      </c>
      <c r="OG402" s="632">
        <f t="shared" si="1"/>
        <v>2833.524325</v>
      </c>
    </row>
    <row r="403" ht="12.75" customHeight="1">
      <c r="A403" s="55" t="s">
        <v>5006</v>
      </c>
      <c r="B403" s="55" t="s">
        <v>5005</v>
      </c>
      <c r="C403" s="632">
        <v>42.903901</v>
      </c>
      <c r="D403" s="632">
        <v>16.89237</v>
      </c>
      <c r="E403" s="632">
        <v>99.180084</v>
      </c>
      <c r="F403" s="632">
        <v>79.154252</v>
      </c>
      <c r="G403" s="632">
        <v>5.1442572</v>
      </c>
      <c r="H403" s="632">
        <v>4.5266564</v>
      </c>
      <c r="I403" s="632">
        <v>13.524519</v>
      </c>
      <c r="J403" s="632">
        <v>639.70224</v>
      </c>
      <c r="K403" s="632">
        <v>71.638583</v>
      </c>
      <c r="L403" s="632">
        <v>752.49884</v>
      </c>
      <c r="M403" s="632">
        <v>579.64967</v>
      </c>
      <c r="N403" s="632">
        <v>73.143067</v>
      </c>
      <c r="O403" s="632">
        <v>38.166582</v>
      </c>
      <c r="P403" s="632">
        <v>71.856542</v>
      </c>
      <c r="Q403" s="632">
        <v>1.1215763</v>
      </c>
      <c r="R403" s="632">
        <v>2.6349984</v>
      </c>
      <c r="S403" s="632">
        <v>0.20660073</v>
      </c>
      <c r="T403" s="632">
        <v>0.0096518236</v>
      </c>
      <c r="U403" s="632">
        <v>0.18929935</v>
      </c>
      <c r="V403" s="632">
        <v>0.0</v>
      </c>
      <c r="W403" s="632">
        <v>15.406238</v>
      </c>
      <c r="X403" s="632">
        <v>21.645596</v>
      </c>
      <c r="Y403" s="632">
        <v>21.122905</v>
      </c>
      <c r="Z403" s="632">
        <v>14.945322</v>
      </c>
      <c r="AA403" s="632">
        <v>3.0869135</v>
      </c>
      <c r="AB403" s="632">
        <v>2.9681861</v>
      </c>
      <c r="AC403" s="632">
        <v>0.22801511</v>
      </c>
      <c r="AD403" s="632">
        <v>0.7607435</v>
      </c>
      <c r="AE403" s="632">
        <v>1835.0178</v>
      </c>
      <c r="AF403" s="632">
        <v>2474.4464</v>
      </c>
      <c r="AG403" s="632">
        <v>1815.8456</v>
      </c>
      <c r="AH403" s="632">
        <v>26.235051</v>
      </c>
      <c r="AI403" s="632">
        <v>54.537739</v>
      </c>
      <c r="AJ403" s="632">
        <v>44.796077</v>
      </c>
      <c r="AK403" s="632">
        <v>33.441892</v>
      </c>
      <c r="AL403" s="632">
        <v>17.484088</v>
      </c>
      <c r="AM403" s="632">
        <v>36.228177</v>
      </c>
      <c r="AN403" s="632">
        <v>19.126821</v>
      </c>
      <c r="AO403" s="632">
        <v>37.137719</v>
      </c>
      <c r="AP403" s="632">
        <v>20.557319</v>
      </c>
      <c r="AQ403" s="632">
        <v>36.935329</v>
      </c>
      <c r="AR403" s="632">
        <v>20.124664</v>
      </c>
      <c r="AS403" s="632">
        <v>40.875097</v>
      </c>
      <c r="AT403" s="632">
        <v>27.601986</v>
      </c>
      <c r="AU403" s="632">
        <v>41.440665</v>
      </c>
      <c r="AV403" s="632">
        <v>3865.4469</v>
      </c>
      <c r="AW403" s="632">
        <v>5462.1056</v>
      </c>
      <c r="AX403" s="632">
        <v>5989.6765</v>
      </c>
      <c r="AY403" s="632">
        <v>33.605748</v>
      </c>
      <c r="AZ403" s="632">
        <v>2.473114</v>
      </c>
      <c r="BA403" s="632">
        <v>21.405637</v>
      </c>
      <c r="BB403" s="632">
        <v>1.6159363</v>
      </c>
      <c r="BC403" s="632">
        <v>2.0357204</v>
      </c>
      <c r="BD403" s="632">
        <v>2.1907377</v>
      </c>
      <c r="BE403" s="632">
        <v>3.0321951</v>
      </c>
      <c r="BF403" s="632">
        <v>0.55746989</v>
      </c>
      <c r="BG403" s="632">
        <v>2.0685284</v>
      </c>
      <c r="BH403" s="632">
        <v>1.9119977</v>
      </c>
      <c r="BI403" s="632">
        <v>11.629459</v>
      </c>
      <c r="BJ403" s="632">
        <v>47.020706</v>
      </c>
      <c r="BK403" s="632">
        <v>71.352331</v>
      </c>
      <c r="BL403" s="632">
        <v>29.198601</v>
      </c>
      <c r="BM403" s="632">
        <v>53.530226</v>
      </c>
      <c r="BN403" s="632">
        <v>2236.8551</v>
      </c>
      <c r="BO403" s="632">
        <v>0.25810733</v>
      </c>
      <c r="BP403" s="632">
        <v>0.58898823</v>
      </c>
      <c r="BQ403" s="632">
        <v>856.3985</v>
      </c>
      <c r="BR403" s="632">
        <v>978.25864</v>
      </c>
      <c r="BS403" s="632">
        <v>1022.4789</v>
      </c>
      <c r="BT403" s="632">
        <v>2340.553</v>
      </c>
      <c r="BU403" s="632">
        <v>1165.3015</v>
      </c>
      <c r="BV403" s="632">
        <v>1584.1205</v>
      </c>
      <c r="BW403" s="632">
        <v>1.3682578</v>
      </c>
      <c r="BX403" s="632">
        <v>1834.9575</v>
      </c>
      <c r="BY403" s="632">
        <v>27.54264</v>
      </c>
      <c r="BZ403" s="632">
        <v>18.883865</v>
      </c>
      <c r="CA403" s="632">
        <v>0.080132794</v>
      </c>
      <c r="CB403" s="632">
        <v>0.051385025</v>
      </c>
      <c r="CC403" s="632">
        <v>0.060027991</v>
      </c>
      <c r="CD403" s="632">
        <v>0.069708312</v>
      </c>
      <c r="CE403" s="632">
        <v>3196.9396</v>
      </c>
      <c r="CF403" s="632">
        <v>5684.6467</v>
      </c>
      <c r="CG403" s="632">
        <v>694.03989</v>
      </c>
      <c r="CH403" s="632">
        <v>818.92641</v>
      </c>
      <c r="CI403" s="632">
        <v>0.43340723</v>
      </c>
      <c r="CJ403" s="632">
        <v>1.0043068</v>
      </c>
      <c r="CK403" s="632">
        <v>1.802692</v>
      </c>
      <c r="CL403" s="632">
        <v>0.2397608</v>
      </c>
      <c r="CM403" s="632">
        <v>0.29477012</v>
      </c>
      <c r="CN403" s="632">
        <v>123.1703</v>
      </c>
      <c r="CO403" s="632">
        <v>180.24823</v>
      </c>
      <c r="CP403" s="632">
        <v>106.6447</v>
      </c>
      <c r="CQ403" s="632">
        <v>516.35342</v>
      </c>
      <c r="CR403" s="632">
        <v>781.78007</v>
      </c>
      <c r="CS403" s="632">
        <v>781.78007</v>
      </c>
      <c r="CT403" s="632">
        <v>0.1546402</v>
      </c>
      <c r="CU403" s="632">
        <v>0.68671674</v>
      </c>
      <c r="CV403" s="632">
        <v>0.28412249</v>
      </c>
      <c r="CW403" s="632">
        <v>0.26225267</v>
      </c>
      <c r="CX403" s="632">
        <v>70.096175</v>
      </c>
      <c r="CY403" s="632">
        <v>13.900479</v>
      </c>
      <c r="CZ403" s="632">
        <v>29.716281</v>
      </c>
      <c r="DA403" s="632">
        <v>28.8304</v>
      </c>
      <c r="DB403" s="632">
        <v>0.36519048</v>
      </c>
      <c r="DC403" s="632">
        <v>0.23489845</v>
      </c>
      <c r="DD403" s="632">
        <v>4.6348345</v>
      </c>
      <c r="DE403" s="632">
        <v>7.0865064</v>
      </c>
      <c r="DF403" s="632">
        <v>4.4852078</v>
      </c>
      <c r="DG403" s="632">
        <v>4.6348345</v>
      </c>
      <c r="DH403" s="632">
        <v>7.0865064</v>
      </c>
      <c r="DI403" s="632">
        <v>6.8574179</v>
      </c>
      <c r="DJ403" s="632">
        <v>7.0102057</v>
      </c>
      <c r="DK403" s="632">
        <v>7.0102057</v>
      </c>
      <c r="DL403" s="632">
        <v>9.4618776</v>
      </c>
      <c r="DM403" s="632">
        <v>7.0102057</v>
      </c>
      <c r="DN403" s="632">
        <v>9.4618776</v>
      </c>
      <c r="DO403" s="632">
        <v>0.23489846</v>
      </c>
      <c r="DP403" s="632">
        <v>0.28809401</v>
      </c>
      <c r="DQ403" s="632">
        <v>0.45438246</v>
      </c>
      <c r="DR403" s="632">
        <v>0.45030401</v>
      </c>
      <c r="DS403" s="632">
        <v>0.4548947</v>
      </c>
      <c r="DT403" s="632">
        <v>2.2207252</v>
      </c>
      <c r="DU403" s="632">
        <v>3.0219077</v>
      </c>
      <c r="DV403" s="632">
        <v>5.3001293</v>
      </c>
      <c r="DW403" s="632">
        <v>10.899791</v>
      </c>
      <c r="DX403" s="632">
        <v>85.087314</v>
      </c>
      <c r="DY403" s="632">
        <v>26.331839</v>
      </c>
      <c r="DZ403" s="632">
        <v>27.553663</v>
      </c>
      <c r="EA403" s="632">
        <v>0.18929935</v>
      </c>
      <c r="EB403" s="632">
        <v>0.16304749</v>
      </c>
      <c r="EC403" s="632">
        <v>0.2223074</v>
      </c>
      <c r="ED403" s="632">
        <v>10.193187</v>
      </c>
      <c r="EE403" s="632">
        <v>0.14049751</v>
      </c>
      <c r="EF403" s="632">
        <v>0.0</v>
      </c>
      <c r="EG403" s="632">
        <v>0.0</v>
      </c>
      <c r="EH403" s="632">
        <v>0.0</v>
      </c>
      <c r="EI403" s="632">
        <v>0.16402586</v>
      </c>
      <c r="EJ403" s="632">
        <v>0.14013327</v>
      </c>
      <c r="EK403" s="632">
        <v>4.6800538</v>
      </c>
      <c r="EL403" s="632">
        <v>0.0</v>
      </c>
      <c r="EM403" s="632">
        <v>0.0</v>
      </c>
      <c r="EN403" s="632">
        <v>0.0</v>
      </c>
      <c r="EO403" s="632">
        <v>0.0</v>
      </c>
      <c r="EP403" s="632">
        <v>394.42789</v>
      </c>
      <c r="EQ403" s="632">
        <v>775.78803</v>
      </c>
      <c r="ER403" s="632">
        <v>0.0</v>
      </c>
      <c r="ES403" s="632">
        <v>0.0</v>
      </c>
      <c r="ET403" s="632">
        <v>1.22145</v>
      </c>
      <c r="EU403" s="632">
        <v>0.20868079</v>
      </c>
      <c r="EV403" s="632">
        <v>0.20868079</v>
      </c>
      <c r="EW403" s="632">
        <v>0.13923493</v>
      </c>
      <c r="EX403" s="632">
        <v>0.92766136</v>
      </c>
      <c r="EY403" s="632">
        <v>5.4723226</v>
      </c>
      <c r="EZ403" s="632">
        <v>5.2989026</v>
      </c>
      <c r="FA403" s="632">
        <v>0.81198919</v>
      </c>
      <c r="FB403" s="632">
        <v>2.1280844</v>
      </c>
      <c r="FC403" s="632">
        <v>0.63106728</v>
      </c>
      <c r="FD403" s="632">
        <v>1.1963818</v>
      </c>
      <c r="FE403" s="632">
        <v>7.3260925</v>
      </c>
      <c r="FF403" s="632">
        <v>1.7727371</v>
      </c>
      <c r="FG403" s="632">
        <v>2.2367797</v>
      </c>
      <c r="FH403" s="632">
        <v>0.97941066</v>
      </c>
      <c r="FI403" s="632">
        <v>0.53182755</v>
      </c>
      <c r="FJ403" s="632">
        <v>1.7775939</v>
      </c>
      <c r="FK403" s="632">
        <v>0.91416181</v>
      </c>
      <c r="FL403" s="632">
        <v>0.85553263</v>
      </c>
      <c r="FM403" s="632">
        <v>0.62731686</v>
      </c>
      <c r="FN403" s="632">
        <v>2.2731029</v>
      </c>
      <c r="FO403" s="632">
        <v>6.926784</v>
      </c>
      <c r="FP403" s="632">
        <v>2.8137373</v>
      </c>
      <c r="FQ403" s="632">
        <v>1.3314099</v>
      </c>
      <c r="FR403" s="632">
        <v>4.3862552</v>
      </c>
      <c r="FS403" s="632">
        <v>1.5516045</v>
      </c>
      <c r="FT403" s="632">
        <v>0.19919314</v>
      </c>
      <c r="FU403" s="632">
        <v>18.674548</v>
      </c>
      <c r="FV403" s="632">
        <v>2.258473</v>
      </c>
      <c r="FW403" s="632">
        <v>0.2223074</v>
      </c>
      <c r="FX403" s="632">
        <v>2.2361356</v>
      </c>
      <c r="FY403" s="632">
        <v>0.2223074</v>
      </c>
      <c r="FZ403" s="632">
        <v>6.1325704</v>
      </c>
      <c r="GA403" s="632">
        <v>49.194963</v>
      </c>
      <c r="GB403" s="632">
        <v>5.2306021</v>
      </c>
      <c r="GC403" s="632">
        <v>2.5870398</v>
      </c>
      <c r="GD403" s="632">
        <v>2.7000043</v>
      </c>
      <c r="GE403" s="632">
        <v>12.757816</v>
      </c>
      <c r="GF403" s="632">
        <v>2.7525753</v>
      </c>
      <c r="GG403" s="632">
        <v>8.9113203</v>
      </c>
      <c r="GH403" s="632">
        <v>123.47906</v>
      </c>
      <c r="GI403" s="632">
        <v>76.565952</v>
      </c>
      <c r="GJ403" s="632">
        <v>0.080304963</v>
      </c>
      <c r="GK403" s="632">
        <v>0.34342484</v>
      </c>
      <c r="GL403" s="632">
        <v>0.20947691</v>
      </c>
      <c r="GM403" s="632">
        <v>0.20947691</v>
      </c>
      <c r="GN403" s="632">
        <v>0.2223074</v>
      </c>
      <c r="GO403" s="632">
        <v>0.082440435</v>
      </c>
      <c r="GP403" s="632">
        <v>0.18259524</v>
      </c>
      <c r="GQ403" s="632">
        <v>0.0</v>
      </c>
      <c r="GR403" s="632">
        <v>0.0</v>
      </c>
      <c r="GS403" s="632">
        <v>3.2012266</v>
      </c>
      <c r="GT403" s="632">
        <v>1.3984236</v>
      </c>
      <c r="GU403" s="632">
        <v>0.94630492</v>
      </c>
      <c r="GV403" s="632">
        <v>0.52685448</v>
      </c>
      <c r="GW403" s="632">
        <v>0.14441791</v>
      </c>
      <c r="GX403" s="632">
        <v>0.20908413</v>
      </c>
      <c r="GY403" s="632">
        <v>0.11713086</v>
      </c>
      <c r="GZ403" s="632">
        <v>0.10737085</v>
      </c>
      <c r="HA403" s="632">
        <v>0.0</v>
      </c>
      <c r="HB403" s="632">
        <v>0.0</v>
      </c>
      <c r="HC403" s="632">
        <v>0.0</v>
      </c>
      <c r="HD403" s="632">
        <v>0.70868094</v>
      </c>
      <c r="HE403" s="632">
        <v>3.7899359</v>
      </c>
      <c r="HF403" s="632">
        <v>0.10737085</v>
      </c>
      <c r="HG403" s="632">
        <v>0.11713086</v>
      </c>
      <c r="HH403" s="632">
        <v>113.45505</v>
      </c>
      <c r="HI403" s="632">
        <v>0.0</v>
      </c>
      <c r="HJ403" s="632">
        <v>0.18259524</v>
      </c>
      <c r="HK403" s="632">
        <v>1.173856</v>
      </c>
      <c r="HL403" s="632">
        <v>821.90591</v>
      </c>
      <c r="HM403" s="632">
        <v>548.5093</v>
      </c>
      <c r="HN403" s="632">
        <v>943.2688</v>
      </c>
      <c r="HO403" s="632">
        <v>1181.134</v>
      </c>
      <c r="HP403" s="632">
        <v>840.10767</v>
      </c>
      <c r="HQ403" s="632">
        <v>102.30745</v>
      </c>
      <c r="HR403" s="632">
        <v>15.229308</v>
      </c>
      <c r="HS403" s="632">
        <v>6.0622592</v>
      </c>
      <c r="HT403" s="632">
        <v>4.4388299</v>
      </c>
      <c r="HU403" s="632">
        <v>8.5564785</v>
      </c>
      <c r="HV403" s="632">
        <v>5.6962346</v>
      </c>
      <c r="HW403" s="632">
        <v>923.66524</v>
      </c>
      <c r="HX403" s="632">
        <v>12.735289</v>
      </c>
      <c r="HY403" s="632">
        <v>9.0879469</v>
      </c>
      <c r="HZ403" s="632">
        <v>86.058441</v>
      </c>
      <c r="IA403" s="632">
        <v>12.979538</v>
      </c>
      <c r="IB403" s="632">
        <v>13.742205</v>
      </c>
      <c r="IC403" s="632">
        <v>202.31262</v>
      </c>
      <c r="ID403" s="632">
        <v>193.21005</v>
      </c>
      <c r="IE403" s="632">
        <v>48.968932</v>
      </c>
      <c r="IF403" s="632">
        <v>29.741263</v>
      </c>
      <c r="IG403" s="632">
        <v>143.41037</v>
      </c>
      <c r="IH403" s="632">
        <v>99.593501</v>
      </c>
      <c r="II403" s="632">
        <v>365.6356</v>
      </c>
      <c r="IJ403" s="632">
        <v>153.1603</v>
      </c>
      <c r="IK403" s="632">
        <v>135.74285</v>
      </c>
      <c r="IL403" s="632">
        <v>145.48508</v>
      </c>
      <c r="IM403" s="632">
        <v>79.299372</v>
      </c>
      <c r="IN403" s="632">
        <v>54.799495</v>
      </c>
      <c r="IO403" s="632">
        <v>170.51881</v>
      </c>
      <c r="IP403" s="632">
        <v>112.0367</v>
      </c>
      <c r="IQ403" s="632">
        <v>122.17622</v>
      </c>
      <c r="IR403" s="632">
        <v>112.03566</v>
      </c>
      <c r="IS403" s="632">
        <v>132.48332</v>
      </c>
      <c r="IT403" s="632">
        <v>159.68274</v>
      </c>
      <c r="IU403" s="632">
        <v>109.94815</v>
      </c>
      <c r="IV403" s="632">
        <v>165.7935</v>
      </c>
      <c r="IW403" s="632">
        <v>78.052074</v>
      </c>
      <c r="IX403" s="632">
        <v>18.360745</v>
      </c>
      <c r="IY403" s="632">
        <v>242.45222</v>
      </c>
      <c r="IZ403" s="632">
        <v>125.32878</v>
      </c>
      <c r="JA403" s="632">
        <v>0.44014039</v>
      </c>
      <c r="JB403" s="632">
        <v>27.66253</v>
      </c>
      <c r="JC403" s="632">
        <v>591.0856</v>
      </c>
      <c r="JD403" s="632">
        <v>1042.7544</v>
      </c>
      <c r="JE403" s="632">
        <v>560.29458</v>
      </c>
      <c r="JF403" s="632">
        <v>501.4364</v>
      </c>
      <c r="JG403" s="632">
        <v>953.67323</v>
      </c>
      <c r="JH403" s="632">
        <v>899.84508</v>
      </c>
      <c r="JI403" s="632">
        <v>937.98501</v>
      </c>
      <c r="JJ403" s="632">
        <v>1314.3026</v>
      </c>
      <c r="JK403" s="632">
        <v>759.29219</v>
      </c>
      <c r="JL403" s="632">
        <v>1210.8179</v>
      </c>
      <c r="JM403" s="632">
        <v>1027.1507</v>
      </c>
      <c r="JN403" s="632">
        <v>4.8942453</v>
      </c>
      <c r="JO403" s="632">
        <v>4.2427892</v>
      </c>
      <c r="JP403" s="632">
        <v>5.5693758</v>
      </c>
      <c r="JQ403" s="632">
        <v>4.9179197</v>
      </c>
      <c r="JR403" s="632">
        <v>0.060545092</v>
      </c>
      <c r="JS403" s="632">
        <v>0.039134788</v>
      </c>
      <c r="JT403" s="632">
        <v>394.19186</v>
      </c>
      <c r="JU403" s="632">
        <v>75.442056</v>
      </c>
      <c r="JV403" s="632">
        <v>1.9838323</v>
      </c>
      <c r="JW403" s="632">
        <v>42.246319</v>
      </c>
      <c r="JX403" s="632">
        <v>2.0058304</v>
      </c>
      <c r="JY403" s="632">
        <v>882.30957</v>
      </c>
      <c r="JZ403" s="632">
        <v>632.07288</v>
      </c>
      <c r="KA403" s="632">
        <v>539.7042</v>
      </c>
      <c r="KB403" s="632">
        <v>1187.986</v>
      </c>
      <c r="KC403" s="632">
        <v>4172.138</v>
      </c>
      <c r="KD403" s="632">
        <v>628.75207</v>
      </c>
      <c r="KE403" s="632">
        <v>367.38414</v>
      </c>
      <c r="KF403" s="632">
        <v>495.0471</v>
      </c>
      <c r="KG403" s="632">
        <v>173.69222</v>
      </c>
      <c r="KH403" s="632">
        <v>32919.3</v>
      </c>
      <c r="KI403" s="632">
        <v>9584.942</v>
      </c>
      <c r="KJ403" s="632">
        <v>5984.0661</v>
      </c>
      <c r="KK403" s="632">
        <v>23.49602</v>
      </c>
      <c r="KL403" s="632">
        <v>11.938299</v>
      </c>
      <c r="KM403" s="632">
        <v>498.79926</v>
      </c>
      <c r="KN403" s="632">
        <v>2.4926115</v>
      </c>
      <c r="KO403" s="632">
        <v>4.9481778</v>
      </c>
      <c r="KP403" s="632">
        <v>1.0925653</v>
      </c>
      <c r="KQ403" s="632">
        <v>3.5014314</v>
      </c>
      <c r="KR403" s="632">
        <v>5.5195379</v>
      </c>
      <c r="KS403" s="632">
        <v>6.5109119</v>
      </c>
      <c r="KT403" s="632">
        <v>15.800956</v>
      </c>
      <c r="KU403" s="632">
        <v>82.438176</v>
      </c>
      <c r="KV403" s="632">
        <v>4.5810084</v>
      </c>
      <c r="KW403" s="632">
        <v>4.0297911</v>
      </c>
      <c r="KX403" s="632">
        <v>5.5876768</v>
      </c>
      <c r="KY403" s="632">
        <v>6.166664</v>
      </c>
      <c r="KZ403" s="632">
        <v>5.3222421</v>
      </c>
      <c r="LA403" s="632">
        <v>6.3835248</v>
      </c>
      <c r="LB403" s="632">
        <v>8.4487863</v>
      </c>
      <c r="LC403" s="632">
        <v>78.470481</v>
      </c>
      <c r="LD403" s="632">
        <v>13.474862</v>
      </c>
      <c r="LE403" s="632">
        <v>9.4298797</v>
      </c>
      <c r="LF403" s="632">
        <v>112.112</v>
      </c>
      <c r="LG403" s="632">
        <v>17.60732</v>
      </c>
      <c r="LH403" s="632">
        <v>22.031323</v>
      </c>
      <c r="LI403" s="632">
        <v>104.66968</v>
      </c>
      <c r="LJ403" s="632">
        <v>76.223881</v>
      </c>
      <c r="LK403" s="632">
        <v>131.42436</v>
      </c>
      <c r="LL403" s="632">
        <v>75.05501</v>
      </c>
      <c r="LM403" s="632">
        <v>99.8309</v>
      </c>
      <c r="LN403" s="632">
        <v>95.54989</v>
      </c>
      <c r="LO403" s="632">
        <v>84.474402</v>
      </c>
      <c r="LP403" s="632">
        <v>22.917387</v>
      </c>
      <c r="LQ403" s="632">
        <v>94.226409</v>
      </c>
      <c r="LR403" s="632">
        <v>52.541021</v>
      </c>
      <c r="LS403" s="632">
        <v>54.127703</v>
      </c>
      <c r="LT403" s="632">
        <v>70.119229</v>
      </c>
      <c r="LU403" s="632">
        <v>5239.184</v>
      </c>
      <c r="LV403" s="632">
        <v>2735.2556</v>
      </c>
      <c r="LW403" s="632">
        <v>182.95608</v>
      </c>
      <c r="LX403" s="632">
        <v>334.12751</v>
      </c>
      <c r="LY403" s="632">
        <v>0.98853473</v>
      </c>
      <c r="LZ403" s="632">
        <v>10.225542</v>
      </c>
      <c r="MA403" s="632">
        <v>57.033462</v>
      </c>
      <c r="MB403" s="632">
        <v>123.06934</v>
      </c>
      <c r="MC403" s="632">
        <v>14.561176</v>
      </c>
      <c r="MD403" s="632">
        <v>13.414568</v>
      </c>
      <c r="ME403" s="632">
        <v>9.6876315</v>
      </c>
      <c r="MF403" s="632">
        <v>935.79257</v>
      </c>
      <c r="MG403" s="632">
        <v>3.5038599</v>
      </c>
      <c r="MH403" s="632">
        <v>1.0851971</v>
      </c>
      <c r="MI403" s="632">
        <v>0.039134788</v>
      </c>
      <c r="MJ403" s="632">
        <v>35.843266</v>
      </c>
      <c r="MK403" s="632">
        <v>1.4004507</v>
      </c>
      <c r="ML403" s="632">
        <v>1.6120825</v>
      </c>
      <c r="MM403" s="632">
        <v>1.136732</v>
      </c>
      <c r="MN403" s="632">
        <v>0.97818513</v>
      </c>
      <c r="MO403" s="632">
        <v>1.2086449</v>
      </c>
      <c r="MP403" s="632">
        <v>0.8398614</v>
      </c>
      <c r="MQ403" s="632">
        <v>1.8505175</v>
      </c>
      <c r="MR403" s="632">
        <v>1.5509179</v>
      </c>
      <c r="MS403" s="632">
        <v>1.320625</v>
      </c>
      <c r="MT403" s="632">
        <v>1.6343057</v>
      </c>
      <c r="MU403" s="632">
        <v>1.3729619</v>
      </c>
      <c r="MV403" s="632">
        <v>1.1224357</v>
      </c>
      <c r="MW403" s="632">
        <v>6.678059</v>
      </c>
      <c r="MX403" s="632">
        <v>2356.1928</v>
      </c>
      <c r="MY403" s="632">
        <v>2219.3339</v>
      </c>
      <c r="MZ403" s="632">
        <v>1255.8702</v>
      </c>
      <c r="NA403" s="632">
        <v>16.476441</v>
      </c>
      <c r="NB403" s="632">
        <v>19.941498</v>
      </c>
      <c r="NC403" s="632">
        <v>49.12886</v>
      </c>
      <c r="ND403" s="632">
        <v>620.67023</v>
      </c>
      <c r="NE403" s="632">
        <v>481.55369</v>
      </c>
      <c r="NF403" s="632">
        <v>925.67632</v>
      </c>
      <c r="NG403" s="632">
        <v>821.95927</v>
      </c>
      <c r="NH403" s="632">
        <v>24.894223</v>
      </c>
      <c r="NI403" s="632">
        <v>48.733549</v>
      </c>
      <c r="NJ403" s="632">
        <v>95.211591</v>
      </c>
      <c r="NK403" s="632">
        <v>81.528532</v>
      </c>
      <c r="NL403" s="632">
        <v>5.9170042</v>
      </c>
      <c r="NM403" s="632">
        <v>6.1381431</v>
      </c>
      <c r="NN403" s="632">
        <v>49.045555</v>
      </c>
      <c r="NO403" s="632">
        <v>366.67631</v>
      </c>
      <c r="NP403" s="632">
        <v>2.9565617</v>
      </c>
      <c r="NQ403" s="632">
        <v>2541.8652</v>
      </c>
      <c r="NR403" s="632">
        <v>4573.219</v>
      </c>
      <c r="NS403" s="632">
        <v>4323.2804</v>
      </c>
      <c r="NT403" s="632">
        <v>2585.9959</v>
      </c>
      <c r="NU403" s="632">
        <v>1544.2942</v>
      </c>
      <c r="NV403" s="632">
        <v>3.8497475</v>
      </c>
      <c r="NW403" s="632">
        <v>78.819626</v>
      </c>
      <c r="NX403" s="632"/>
      <c r="NY403" s="632">
        <v>0.0</v>
      </c>
      <c r="NZ403" s="632"/>
      <c r="OA403" s="632">
        <v>0.850472648924097</v>
      </c>
      <c r="OB403" s="632">
        <v>14.87</v>
      </c>
      <c r="OC403" s="632"/>
      <c r="OD403" s="626"/>
      <c r="OE403" s="632">
        <f t="shared" si="2"/>
        <v>1803.622575</v>
      </c>
      <c r="OF403" s="632">
        <v>595.7904718976571</v>
      </c>
      <c r="OG403" s="632">
        <v>1996.8757112840851</v>
      </c>
    </row>
    <row r="404" ht="12.75" customHeight="1">
      <c r="A404" s="55" t="s">
        <v>5007</v>
      </c>
      <c r="B404" s="55" t="s">
        <v>5005</v>
      </c>
      <c r="C404" s="632">
        <v>7.3373149</v>
      </c>
      <c r="D404" s="632">
        <v>1.7879416</v>
      </c>
      <c r="E404" s="632">
        <v>6.1808053</v>
      </c>
      <c r="F404" s="632">
        <v>8.223018</v>
      </c>
      <c r="G404" s="632">
        <v>0.70542964</v>
      </c>
      <c r="H404" s="632">
        <v>1.0137024</v>
      </c>
      <c r="I404" s="632">
        <v>1.3751336</v>
      </c>
      <c r="J404" s="632">
        <v>192.44085</v>
      </c>
      <c r="K404" s="632">
        <v>6.1676416</v>
      </c>
      <c r="L404" s="632">
        <v>191.30149</v>
      </c>
      <c r="M404" s="632">
        <v>137.37811</v>
      </c>
      <c r="N404" s="632">
        <v>25.183549</v>
      </c>
      <c r="O404" s="632">
        <v>10.770755</v>
      </c>
      <c r="P404" s="632">
        <v>24.122429</v>
      </c>
      <c r="Q404" s="632">
        <v>0.27850064</v>
      </c>
      <c r="R404" s="632">
        <v>0.51331317</v>
      </c>
      <c r="S404" s="632">
        <v>0.010347132</v>
      </c>
      <c r="T404" s="632">
        <v>3.501931E-4</v>
      </c>
      <c r="U404" s="632">
        <v>0.0066434316</v>
      </c>
      <c r="V404" s="632">
        <v>0.0</v>
      </c>
      <c r="W404" s="632">
        <v>3.1023334</v>
      </c>
      <c r="X404" s="632">
        <v>4.7161406</v>
      </c>
      <c r="Y404" s="632">
        <v>4.6502106</v>
      </c>
      <c r="Z404" s="632">
        <v>3.0523816</v>
      </c>
      <c r="AA404" s="632">
        <v>0.44711515</v>
      </c>
      <c r="AB404" s="632">
        <v>0.42991841</v>
      </c>
      <c r="AC404" s="632">
        <v>0.041483403</v>
      </c>
      <c r="AD404" s="632">
        <v>0.059659099</v>
      </c>
      <c r="AE404" s="632">
        <v>470.70828</v>
      </c>
      <c r="AF404" s="632">
        <v>673.42355</v>
      </c>
      <c r="AG404" s="632">
        <v>495.30163</v>
      </c>
      <c r="AH404" s="632">
        <v>0.8140101</v>
      </c>
      <c r="AI404" s="632">
        <v>0.52864564</v>
      </c>
      <c r="AJ404" s="632">
        <v>4.3228179</v>
      </c>
      <c r="AK404" s="632">
        <v>0.67873556</v>
      </c>
      <c r="AL404" s="632">
        <v>0.44754333</v>
      </c>
      <c r="AM404" s="632">
        <v>0.70149379</v>
      </c>
      <c r="AN404" s="632">
        <v>0.45344787</v>
      </c>
      <c r="AO404" s="632">
        <v>0.80050573</v>
      </c>
      <c r="AP404" s="632">
        <v>0.55068042</v>
      </c>
      <c r="AQ404" s="632">
        <v>0.7496822</v>
      </c>
      <c r="AR404" s="632">
        <v>0.49638846</v>
      </c>
      <c r="AS404" s="632">
        <v>0.75022649</v>
      </c>
      <c r="AT404" s="632">
        <v>0.55770943</v>
      </c>
      <c r="AU404" s="632">
        <v>2.7527769</v>
      </c>
      <c r="AV404" s="632">
        <v>950.05473</v>
      </c>
      <c r="AW404" s="632">
        <v>1126.5864</v>
      </c>
      <c r="AX404" s="632">
        <v>1286.9972</v>
      </c>
      <c r="AY404" s="632">
        <v>7.7556912</v>
      </c>
      <c r="AZ404" s="632">
        <v>0.19226766</v>
      </c>
      <c r="BA404" s="632">
        <v>2.378732</v>
      </c>
      <c r="BB404" s="632">
        <v>3.7888061</v>
      </c>
      <c r="BC404" s="632">
        <v>4.0418867</v>
      </c>
      <c r="BD404" s="632">
        <v>0.26806271</v>
      </c>
      <c r="BE404" s="632">
        <v>0.31976412</v>
      </c>
      <c r="BF404" s="632">
        <v>0.22269101</v>
      </c>
      <c r="BG404" s="632">
        <v>0.45365377</v>
      </c>
      <c r="BH404" s="632">
        <v>0.47928945</v>
      </c>
      <c r="BI404" s="632">
        <v>1.9097224</v>
      </c>
      <c r="BJ404" s="632">
        <v>8.1276481</v>
      </c>
      <c r="BK404" s="632">
        <v>11.527707</v>
      </c>
      <c r="BL404" s="632">
        <v>5.1269779</v>
      </c>
      <c r="BM404" s="632">
        <v>8.5270365</v>
      </c>
      <c r="BN404" s="632">
        <v>489.26981</v>
      </c>
      <c r="BO404" s="632">
        <v>0.22269903</v>
      </c>
      <c r="BP404" s="632">
        <v>0.15598093</v>
      </c>
      <c r="BQ404" s="632">
        <v>367.69076</v>
      </c>
      <c r="BR404" s="632">
        <v>409.06109</v>
      </c>
      <c r="BS404" s="632">
        <v>439.59153</v>
      </c>
      <c r="BT404" s="632">
        <v>723.96371</v>
      </c>
      <c r="BU404" s="632">
        <v>289.57129</v>
      </c>
      <c r="BV404" s="632">
        <v>454.48419</v>
      </c>
      <c r="BW404" s="632">
        <v>0.30989968</v>
      </c>
      <c r="BX404" s="632">
        <v>377.6463</v>
      </c>
      <c r="BY404" s="632">
        <v>5.8306123</v>
      </c>
      <c r="BZ404" s="632">
        <v>4.6781165</v>
      </c>
      <c r="CA404" s="632">
        <v>0.49377046</v>
      </c>
      <c r="CB404" s="632">
        <v>0.31284849</v>
      </c>
      <c r="CC404" s="632">
        <v>0.36724236</v>
      </c>
      <c r="CD404" s="632">
        <v>0.42816474</v>
      </c>
      <c r="CE404" s="632">
        <v>840.70888</v>
      </c>
      <c r="CF404" s="632">
        <v>1567.5004</v>
      </c>
      <c r="CG404" s="632">
        <v>121.29138</v>
      </c>
      <c r="CH404" s="632">
        <v>163.22771</v>
      </c>
      <c r="CI404" s="632">
        <v>0.022181172</v>
      </c>
      <c r="CJ404" s="632">
        <v>0.34070256</v>
      </c>
      <c r="CK404" s="632">
        <v>0.095105146</v>
      </c>
      <c r="CL404" s="632">
        <v>0.0089831262</v>
      </c>
      <c r="CM404" s="632">
        <v>0.022607622</v>
      </c>
      <c r="CN404" s="632">
        <v>23.20983</v>
      </c>
      <c r="CO404" s="632">
        <v>33.826621</v>
      </c>
      <c r="CP404" s="632">
        <v>20.095796</v>
      </c>
      <c r="CQ404" s="632">
        <v>97.300037</v>
      </c>
      <c r="CR404" s="632">
        <v>147.31621</v>
      </c>
      <c r="CS404" s="632">
        <v>147.31621</v>
      </c>
      <c r="CT404" s="632">
        <v>0.027215679</v>
      </c>
      <c r="CU404" s="632">
        <v>0.094822367</v>
      </c>
      <c r="CV404" s="632">
        <v>0.0098306028</v>
      </c>
      <c r="CW404" s="632">
        <v>0.013331473</v>
      </c>
      <c r="CX404" s="632">
        <v>3.8278255</v>
      </c>
      <c r="CY404" s="632">
        <v>0.86435858</v>
      </c>
      <c r="CZ404" s="632">
        <v>1.4580273</v>
      </c>
      <c r="DA404" s="632">
        <v>1.3837235</v>
      </c>
      <c r="DB404" s="632">
        <v>0.017179733</v>
      </c>
      <c r="DC404" s="632">
        <v>0.0090964157</v>
      </c>
      <c r="DD404" s="632">
        <v>0.20985672</v>
      </c>
      <c r="DE404" s="632">
        <v>0.30353589</v>
      </c>
      <c r="DF404" s="632">
        <v>0.1932461</v>
      </c>
      <c r="DG404" s="632">
        <v>0.20985672</v>
      </c>
      <c r="DH404" s="632">
        <v>0.30353589</v>
      </c>
      <c r="DI404" s="632">
        <v>0.30425722</v>
      </c>
      <c r="DJ404" s="632">
        <v>0.32121877</v>
      </c>
      <c r="DK404" s="632">
        <v>0.32121877</v>
      </c>
      <c r="DL404" s="632">
        <v>0.41489794</v>
      </c>
      <c r="DM404" s="632">
        <v>0.32121877</v>
      </c>
      <c r="DN404" s="632">
        <v>0.41489794</v>
      </c>
      <c r="DO404" s="632">
        <v>0.0090964158</v>
      </c>
      <c r="DP404" s="632">
        <v>0.02008198</v>
      </c>
      <c r="DQ404" s="632">
        <v>0.025112079</v>
      </c>
      <c r="DR404" s="632">
        <v>0.023577584</v>
      </c>
      <c r="DS404" s="632">
        <v>0.02513124</v>
      </c>
      <c r="DT404" s="632">
        <v>0.091386882</v>
      </c>
      <c r="DU404" s="632">
        <v>0.6702946</v>
      </c>
      <c r="DV404" s="632">
        <v>0.42229114</v>
      </c>
      <c r="DW404" s="632">
        <v>1.3977134</v>
      </c>
      <c r="DX404" s="632">
        <v>19.020593</v>
      </c>
      <c r="DY404" s="632">
        <v>1.5612883</v>
      </c>
      <c r="DZ404" s="632">
        <v>1.5614035</v>
      </c>
      <c r="EA404" s="632">
        <v>0.0066434316</v>
      </c>
      <c r="EB404" s="632">
        <v>0.027321801</v>
      </c>
      <c r="EC404" s="632">
        <v>0.0083706017</v>
      </c>
      <c r="ED404" s="632">
        <v>0.8897165</v>
      </c>
      <c r="EE404" s="632">
        <v>0.030558077</v>
      </c>
      <c r="EF404" s="632">
        <v>0.0</v>
      </c>
      <c r="EG404" s="632">
        <v>0.0</v>
      </c>
      <c r="EH404" s="632">
        <v>0.0</v>
      </c>
      <c r="EI404" s="632">
        <v>0.030908525</v>
      </c>
      <c r="EJ404" s="632">
        <v>0.030550821</v>
      </c>
      <c r="EK404" s="632">
        <v>0.32945556</v>
      </c>
      <c r="EL404" s="632">
        <v>0.0</v>
      </c>
      <c r="EM404" s="632">
        <v>0.0</v>
      </c>
      <c r="EN404" s="632">
        <v>0.0</v>
      </c>
      <c r="EO404" s="632">
        <v>0.0</v>
      </c>
      <c r="EP404" s="632">
        <v>73.200869</v>
      </c>
      <c r="EQ404" s="632">
        <v>145.06319</v>
      </c>
      <c r="ER404" s="632">
        <v>0.0</v>
      </c>
      <c r="ES404" s="632">
        <v>0.0</v>
      </c>
      <c r="ET404" s="632">
        <v>0.39002765</v>
      </c>
      <c r="EU404" s="632">
        <v>0.0098170147</v>
      </c>
      <c r="EV404" s="632">
        <v>0.0098170147</v>
      </c>
      <c r="EW404" s="632">
        <v>0.0072697901</v>
      </c>
      <c r="EX404" s="632">
        <v>0.04442748</v>
      </c>
      <c r="EY404" s="632">
        <v>0.23094508</v>
      </c>
      <c r="EZ404" s="632">
        <v>0.23033532</v>
      </c>
      <c r="FA404" s="632">
        <v>0.05610306</v>
      </c>
      <c r="FB404" s="632">
        <v>0.12576678</v>
      </c>
      <c r="FC404" s="632">
        <v>0.038858086</v>
      </c>
      <c r="FD404" s="632">
        <v>0.0878849</v>
      </c>
      <c r="FE404" s="632">
        <v>0.40456436</v>
      </c>
      <c r="FF404" s="632">
        <v>0.060070591</v>
      </c>
      <c r="FG404" s="632">
        <v>0.075795039</v>
      </c>
      <c r="FH404" s="632">
        <v>0.050620214</v>
      </c>
      <c r="FI404" s="632">
        <v>0.027487167</v>
      </c>
      <c r="FJ404" s="632">
        <v>0.15944321</v>
      </c>
      <c r="FK404" s="632">
        <v>0.072836417</v>
      </c>
      <c r="FL404" s="632">
        <v>0.044217657</v>
      </c>
      <c r="FM404" s="632">
        <v>0.032422471</v>
      </c>
      <c r="FN404" s="632">
        <v>0.16983783</v>
      </c>
      <c r="FO404" s="632">
        <v>1.4125074</v>
      </c>
      <c r="FP404" s="632">
        <v>0.095345704</v>
      </c>
      <c r="FQ404" s="632">
        <v>0.099512608</v>
      </c>
      <c r="FR404" s="632">
        <v>0.15393495</v>
      </c>
      <c r="FS404" s="632">
        <v>0.1133535</v>
      </c>
      <c r="FT404" s="632">
        <v>0.0093706853</v>
      </c>
      <c r="FU404" s="632">
        <v>0.70316856</v>
      </c>
      <c r="FV404" s="632">
        <v>0.084948339</v>
      </c>
      <c r="FW404" s="632">
        <v>0.0083706019</v>
      </c>
      <c r="FX404" s="632">
        <v>0.084164415</v>
      </c>
      <c r="FY404" s="632">
        <v>0.0083706019</v>
      </c>
      <c r="FZ404" s="632">
        <v>0.43653449</v>
      </c>
      <c r="GA404" s="632">
        <v>2.5573061</v>
      </c>
      <c r="GB404" s="632">
        <v>0.30210409</v>
      </c>
      <c r="GC404" s="632">
        <v>0.12170266</v>
      </c>
      <c r="GD404" s="632">
        <v>0.12957701</v>
      </c>
      <c r="GE404" s="632">
        <v>2.2452935</v>
      </c>
      <c r="GF404" s="632">
        <v>0.14308736</v>
      </c>
      <c r="GG404" s="632">
        <v>0.64260727</v>
      </c>
      <c r="GH404" s="632">
        <v>5.9955064</v>
      </c>
      <c r="GI404" s="632">
        <v>3.7343686</v>
      </c>
      <c r="GJ404" s="632">
        <v>0.029649655</v>
      </c>
      <c r="GK404" s="632">
        <v>0.023014625</v>
      </c>
      <c r="GL404" s="632">
        <v>0.0098544665</v>
      </c>
      <c r="GM404" s="632">
        <v>0.0098544665</v>
      </c>
      <c r="GN404" s="632">
        <v>0.0083706018</v>
      </c>
      <c r="GO404" s="632">
        <v>0.029692192</v>
      </c>
      <c r="GP404" s="632">
        <v>0.0085898664</v>
      </c>
      <c r="GQ404" s="632">
        <v>0.0</v>
      </c>
      <c r="GR404" s="632">
        <v>0.0</v>
      </c>
      <c r="GS404" s="632">
        <v>0.12053667</v>
      </c>
      <c r="GT404" s="632">
        <v>0.052656842</v>
      </c>
      <c r="GU404" s="632">
        <v>0.36760435</v>
      </c>
      <c r="GV404" s="632">
        <v>0.058488112</v>
      </c>
      <c r="GW404" s="632">
        <v>0.028588185</v>
      </c>
      <c r="GX404" s="632">
        <v>0.021416762</v>
      </c>
      <c r="GY404" s="632">
        <v>0.006088824</v>
      </c>
      <c r="GZ404" s="632">
        <v>0.0055814685</v>
      </c>
      <c r="HA404" s="632">
        <v>0.0</v>
      </c>
      <c r="HB404" s="632">
        <v>0.0</v>
      </c>
      <c r="HC404" s="632">
        <v>0.0</v>
      </c>
      <c r="HD404" s="632">
        <v>0.049311045</v>
      </c>
      <c r="HE404" s="632">
        <v>0.20273638</v>
      </c>
      <c r="HF404" s="632">
        <v>0.0055814685</v>
      </c>
      <c r="HG404" s="632">
        <v>0.006088824</v>
      </c>
      <c r="HH404" s="632">
        <v>21.379118</v>
      </c>
      <c r="HI404" s="632">
        <v>0.0</v>
      </c>
      <c r="HJ404" s="632">
        <v>0.0085898664</v>
      </c>
      <c r="HK404" s="632">
        <v>0.062419036</v>
      </c>
      <c r="HL404" s="632">
        <v>212.5436</v>
      </c>
      <c r="HM404" s="632">
        <v>131.7845</v>
      </c>
      <c r="HN404" s="632">
        <v>213.0636</v>
      </c>
      <c r="HO404" s="632">
        <v>268.46085</v>
      </c>
      <c r="HP404" s="632">
        <v>227.54944</v>
      </c>
      <c r="HQ404" s="632">
        <v>54.969141</v>
      </c>
      <c r="HR404" s="632">
        <v>0.84621132</v>
      </c>
      <c r="HS404" s="632">
        <v>0.42833922</v>
      </c>
      <c r="HT404" s="632">
        <v>2.800485</v>
      </c>
      <c r="HU404" s="632">
        <v>3.0365112</v>
      </c>
      <c r="HV404" s="632">
        <v>2.9332362</v>
      </c>
      <c r="HW404" s="632">
        <v>640.13801</v>
      </c>
      <c r="HX404" s="632">
        <v>2.1521084</v>
      </c>
      <c r="HY404" s="632">
        <v>3.4796998</v>
      </c>
      <c r="HZ404" s="632">
        <v>6.7221832</v>
      </c>
      <c r="IA404" s="632">
        <v>1.4089096</v>
      </c>
      <c r="IB404" s="632">
        <v>2.9853592</v>
      </c>
      <c r="IC404" s="632">
        <v>26.19328</v>
      </c>
      <c r="ID404" s="632">
        <v>25.907923</v>
      </c>
      <c r="IE404" s="632">
        <v>6.7371059</v>
      </c>
      <c r="IF404" s="632">
        <v>9.0472943</v>
      </c>
      <c r="IG404" s="632">
        <v>22.559596</v>
      </c>
      <c r="IH404" s="632">
        <v>21.235182</v>
      </c>
      <c r="II404" s="632">
        <v>30.289925</v>
      </c>
      <c r="IJ404" s="632">
        <v>24.123121</v>
      </c>
      <c r="IK404" s="632">
        <v>23.808906</v>
      </c>
      <c r="IL404" s="632">
        <v>14.264097</v>
      </c>
      <c r="IM404" s="632">
        <v>16.681703</v>
      </c>
      <c r="IN404" s="632">
        <v>38.651898</v>
      </c>
      <c r="IO404" s="632">
        <v>42.108863</v>
      </c>
      <c r="IP404" s="632">
        <v>10.924846</v>
      </c>
      <c r="IQ404" s="632">
        <v>41.264357</v>
      </c>
      <c r="IR404" s="632">
        <v>47.97697</v>
      </c>
      <c r="IS404" s="632">
        <v>21.86466</v>
      </c>
      <c r="IT404" s="632">
        <v>39.028637</v>
      </c>
      <c r="IU404" s="632">
        <v>47.730351</v>
      </c>
      <c r="IV404" s="632">
        <v>13.213749</v>
      </c>
      <c r="IW404" s="632">
        <v>11.165171</v>
      </c>
      <c r="IX404" s="632">
        <v>0.56319915</v>
      </c>
      <c r="IY404" s="632">
        <v>28.57479</v>
      </c>
      <c r="IZ404" s="632">
        <v>17.631531</v>
      </c>
      <c r="JA404" s="632">
        <v>0.023026924</v>
      </c>
      <c r="JB404" s="632">
        <v>0.0</v>
      </c>
      <c r="JC404" s="632">
        <v>218.7035</v>
      </c>
      <c r="JD404" s="632">
        <v>352.50245</v>
      </c>
      <c r="JE404" s="632">
        <v>150.96207</v>
      </c>
      <c r="JF404" s="632">
        <v>110.01263</v>
      </c>
      <c r="JG404" s="632">
        <v>243.76088</v>
      </c>
      <c r="JH404" s="632">
        <v>269.49029</v>
      </c>
      <c r="JI404" s="632">
        <v>391.69207</v>
      </c>
      <c r="JJ404" s="632">
        <v>416.63019</v>
      </c>
      <c r="JK404" s="632">
        <v>173.46364</v>
      </c>
      <c r="JL404" s="632">
        <v>307.02968</v>
      </c>
      <c r="JM404" s="632">
        <v>500.43836</v>
      </c>
      <c r="JN404" s="632">
        <v>2.9701352</v>
      </c>
      <c r="JO404" s="632">
        <v>3.3247643</v>
      </c>
      <c r="JP404" s="632">
        <v>3.0311615</v>
      </c>
      <c r="JQ404" s="632">
        <v>3.3857906</v>
      </c>
      <c r="JR404" s="632">
        <v>0.070346239</v>
      </c>
      <c r="JS404" s="632">
        <v>0.02172165</v>
      </c>
      <c r="JT404" s="632">
        <v>21.118125</v>
      </c>
      <c r="JU404" s="632">
        <v>10.819081</v>
      </c>
      <c r="JV404" s="632">
        <v>0.25490999</v>
      </c>
      <c r="JW404" s="632">
        <v>3.9596674</v>
      </c>
      <c r="JX404" s="632">
        <v>0.25487057</v>
      </c>
      <c r="JY404" s="632">
        <v>1403.8264</v>
      </c>
      <c r="JZ404" s="632">
        <v>75.188524</v>
      </c>
      <c r="KA404" s="632">
        <v>114.86564</v>
      </c>
      <c r="KB404" s="632">
        <v>102.8645</v>
      </c>
      <c r="KC404" s="632">
        <v>627.44001</v>
      </c>
      <c r="KD404" s="632">
        <v>101.3711</v>
      </c>
      <c r="KE404" s="632">
        <v>53.884894</v>
      </c>
      <c r="KF404" s="632">
        <v>967.31322</v>
      </c>
      <c r="KG404" s="632">
        <v>126.17793</v>
      </c>
      <c r="KH404" s="632">
        <v>4756.0769</v>
      </c>
      <c r="KI404" s="632">
        <v>1690.2787</v>
      </c>
      <c r="KJ404" s="632">
        <v>2459.9855</v>
      </c>
      <c r="KK404" s="632">
        <v>5.1108708</v>
      </c>
      <c r="KL404" s="632">
        <v>2.5723259</v>
      </c>
      <c r="KM404" s="632">
        <v>215.1586</v>
      </c>
      <c r="KN404" s="632">
        <v>0.070288963</v>
      </c>
      <c r="KO404" s="632">
        <v>0.31113924</v>
      </c>
      <c r="KP404" s="632">
        <v>0.24219276</v>
      </c>
      <c r="KQ404" s="632">
        <v>0.94318572</v>
      </c>
      <c r="KR404" s="632">
        <v>0.74359463</v>
      </c>
      <c r="KS404" s="632">
        <v>0.33693751</v>
      </c>
      <c r="KT404" s="632">
        <v>1.5472319</v>
      </c>
      <c r="KU404" s="632">
        <v>3.8768449</v>
      </c>
      <c r="KV404" s="632">
        <v>4.306316</v>
      </c>
      <c r="KW404" s="632">
        <v>6.3087423</v>
      </c>
      <c r="KX404" s="632">
        <v>6.4177892</v>
      </c>
      <c r="KY404" s="632">
        <v>6.4709418</v>
      </c>
      <c r="KZ404" s="632">
        <v>6.3810416</v>
      </c>
      <c r="LA404" s="632">
        <v>8.2420581</v>
      </c>
      <c r="LB404" s="632">
        <v>1.265345</v>
      </c>
      <c r="LC404" s="632">
        <v>10.338938</v>
      </c>
      <c r="LD404" s="632">
        <v>1.394272</v>
      </c>
      <c r="LE404" s="632">
        <v>1.0424982</v>
      </c>
      <c r="LF404" s="632">
        <v>8.7400878</v>
      </c>
      <c r="LG404" s="632">
        <v>3.5773514</v>
      </c>
      <c r="LH404" s="632">
        <v>3.9846621</v>
      </c>
      <c r="LI404" s="632">
        <v>9.0887264</v>
      </c>
      <c r="LJ404" s="632">
        <v>6.7594392</v>
      </c>
      <c r="LK404" s="632">
        <v>12.430671</v>
      </c>
      <c r="LL404" s="632">
        <v>6.166074</v>
      </c>
      <c r="LM404" s="632">
        <v>6.9452523</v>
      </c>
      <c r="LN404" s="632">
        <v>8.5702502</v>
      </c>
      <c r="LO404" s="632">
        <v>3.4289132</v>
      </c>
      <c r="LP404" s="632">
        <v>4.4115863</v>
      </c>
      <c r="LQ404" s="632">
        <v>12.197119</v>
      </c>
      <c r="LR404" s="632">
        <v>13.971187</v>
      </c>
      <c r="LS404" s="632">
        <v>8.1129252</v>
      </c>
      <c r="LT404" s="632">
        <v>9.6049339</v>
      </c>
      <c r="LU404" s="632">
        <v>1950.6093</v>
      </c>
      <c r="LV404" s="632">
        <v>1152.7124</v>
      </c>
      <c r="LW404" s="632">
        <v>54.969755</v>
      </c>
      <c r="LX404" s="632">
        <v>84.237056</v>
      </c>
      <c r="LY404" s="632">
        <v>0.25713503</v>
      </c>
      <c r="LZ404" s="632">
        <v>2.5365062</v>
      </c>
      <c r="MA404" s="632">
        <v>9.1503427</v>
      </c>
      <c r="MB404" s="632">
        <v>35.690003</v>
      </c>
      <c r="MC404" s="632">
        <v>0.79395116</v>
      </c>
      <c r="MD404" s="632">
        <v>0.73502963</v>
      </c>
      <c r="ME404" s="632">
        <v>2.7752567</v>
      </c>
      <c r="MF404" s="632">
        <v>255.80877</v>
      </c>
      <c r="MG404" s="632">
        <v>0.3437194</v>
      </c>
      <c r="MH404" s="632">
        <v>0.17344603</v>
      </c>
      <c r="MI404" s="632">
        <v>0.02172165</v>
      </c>
      <c r="MJ404" s="632">
        <v>4.2243715</v>
      </c>
      <c r="MK404" s="632">
        <v>0.55830365</v>
      </c>
      <c r="ML404" s="632">
        <v>0.73025093</v>
      </c>
      <c r="MM404" s="632">
        <v>0.87804485</v>
      </c>
      <c r="MN404" s="632">
        <v>0.66660566</v>
      </c>
      <c r="MO404" s="632">
        <v>0.38684916</v>
      </c>
      <c r="MP404" s="632">
        <v>0.45369054</v>
      </c>
      <c r="MQ404" s="632">
        <v>0.94873545</v>
      </c>
      <c r="MR404" s="632">
        <v>1.0624658</v>
      </c>
      <c r="MS404" s="632">
        <v>0.38234193</v>
      </c>
      <c r="MT404" s="632">
        <v>0.73847821</v>
      </c>
      <c r="MU404" s="632">
        <v>0.82252165</v>
      </c>
      <c r="MV404" s="632">
        <v>0.41871829</v>
      </c>
      <c r="MW404" s="632">
        <v>11.291502</v>
      </c>
      <c r="MX404" s="632">
        <v>569.46908</v>
      </c>
      <c r="MY404" s="632">
        <v>470.9803</v>
      </c>
      <c r="MZ404" s="632">
        <v>258.403</v>
      </c>
      <c r="NA404" s="632">
        <v>1.6757397</v>
      </c>
      <c r="NB404" s="632">
        <v>2.0357213</v>
      </c>
      <c r="NC404" s="632">
        <v>4.2502892</v>
      </c>
      <c r="ND404" s="632">
        <v>190.5844</v>
      </c>
      <c r="NE404" s="632">
        <v>46.453931</v>
      </c>
      <c r="NF404" s="632">
        <v>637.96725</v>
      </c>
      <c r="NG404" s="632">
        <v>209.31237</v>
      </c>
      <c r="NH404" s="632">
        <v>3.0116398</v>
      </c>
      <c r="NI404" s="632">
        <v>7.7544333</v>
      </c>
      <c r="NJ404" s="632">
        <v>15.9971</v>
      </c>
      <c r="NK404" s="632">
        <v>7.2090049</v>
      </c>
      <c r="NL404" s="632">
        <v>0.90417523</v>
      </c>
      <c r="NM404" s="632">
        <v>4.4430518</v>
      </c>
      <c r="NN404" s="632">
        <v>13.750437</v>
      </c>
      <c r="NO404" s="632">
        <v>41.492862</v>
      </c>
      <c r="NP404" s="632">
        <v>0.42036425</v>
      </c>
      <c r="NQ404" s="632">
        <v>554.04678</v>
      </c>
      <c r="NR404" s="632">
        <v>1181.9787</v>
      </c>
      <c r="NS404" s="632">
        <v>1055.7315</v>
      </c>
      <c r="NT404" s="632">
        <v>810.49371</v>
      </c>
      <c r="NU404" s="632">
        <v>488.14982</v>
      </c>
      <c r="NV404" s="632">
        <v>0.70321401</v>
      </c>
      <c r="NW404" s="632">
        <v>14.306256</v>
      </c>
      <c r="NX404" s="632"/>
      <c r="NY404" s="632">
        <v>0.0</v>
      </c>
      <c r="NZ404" s="632"/>
      <c r="OA404" s="632">
        <v>0.112334109460454</v>
      </c>
      <c r="OB404" s="632">
        <v>1.18</v>
      </c>
      <c r="OC404" s="632"/>
      <c r="OD404" s="626"/>
      <c r="OE404" s="632">
        <f t="shared" si="2"/>
        <v>815.1019565</v>
      </c>
      <c r="OF404" s="632">
        <v>1771.4596202281516</v>
      </c>
      <c r="OG404" s="632">
        <v>662.0847302573117</v>
      </c>
    </row>
    <row r="405" ht="12.75" customHeight="1">
      <c r="A405" s="55" t="s">
        <v>5008</v>
      </c>
      <c r="B405" s="55" t="s">
        <v>5005</v>
      </c>
      <c r="C405" s="632">
        <v>3.1788314E-5</v>
      </c>
      <c r="D405" s="632">
        <v>1.6885224E-4</v>
      </c>
      <c r="E405" s="632">
        <v>7.5814062E-6</v>
      </c>
      <c r="F405" s="632">
        <v>1.5666844E-5</v>
      </c>
      <c r="G405" s="632">
        <v>2.3531445E-5</v>
      </c>
      <c r="H405" s="632">
        <v>2.4948167E-5</v>
      </c>
      <c r="I405" s="632">
        <v>1.636859E-4</v>
      </c>
      <c r="J405" s="632">
        <v>2.0807741E-4</v>
      </c>
      <c r="K405" s="632">
        <v>1.0775714E-4</v>
      </c>
      <c r="L405" s="632">
        <v>0.0099725085</v>
      </c>
      <c r="M405" s="632">
        <v>0.0021664535</v>
      </c>
      <c r="N405" s="632">
        <v>3.464304E-4</v>
      </c>
      <c r="O405" s="632">
        <v>2.225567E-4</v>
      </c>
      <c r="P405" s="632">
        <v>3.5036349E-4</v>
      </c>
      <c r="Q405" s="632">
        <v>3.5268653E-6</v>
      </c>
      <c r="R405" s="632">
        <v>1.8027997E-5</v>
      </c>
      <c r="S405" s="632">
        <v>2.7092208E-7</v>
      </c>
      <c r="T405" s="632">
        <v>1.9799955E-8</v>
      </c>
      <c r="U405" s="632">
        <v>3.5193542E-7</v>
      </c>
      <c r="V405" s="632">
        <v>0.0</v>
      </c>
      <c r="W405" s="632">
        <v>1.9042748E-4</v>
      </c>
      <c r="X405" s="632">
        <v>3.0177368E-4</v>
      </c>
      <c r="Y405" s="632">
        <v>2.9776475E-4</v>
      </c>
      <c r="Z405" s="632">
        <v>1.8752098E-4</v>
      </c>
      <c r="AA405" s="632">
        <v>2.1387227E-5</v>
      </c>
      <c r="AB405" s="632">
        <v>2.0564641E-5</v>
      </c>
      <c r="AC405" s="632">
        <v>1.1196786E-6</v>
      </c>
      <c r="AD405" s="632">
        <v>2.2227147E-5</v>
      </c>
      <c r="AE405" s="632">
        <v>0.0036662157</v>
      </c>
      <c r="AF405" s="632">
        <v>0.0051833369</v>
      </c>
      <c r="AG405" s="632">
        <v>0.0036628713</v>
      </c>
      <c r="AH405" s="632">
        <v>3.0362588E-5</v>
      </c>
      <c r="AI405" s="632">
        <v>7.5180963E-5</v>
      </c>
      <c r="AJ405" s="632">
        <v>8.2295987E-5</v>
      </c>
      <c r="AK405" s="632">
        <v>1.9720093E-4</v>
      </c>
      <c r="AL405" s="632">
        <v>1.7713194E-4</v>
      </c>
      <c r="AM405" s="632">
        <v>1.8152189E-4</v>
      </c>
      <c r="AN405" s="632">
        <v>1.6001756E-4</v>
      </c>
      <c r="AO405" s="632">
        <v>3.1226249E-4</v>
      </c>
      <c r="AP405" s="632">
        <v>2.9175941E-4</v>
      </c>
      <c r="AQ405" s="632">
        <v>2.5790793E-4</v>
      </c>
      <c r="AR405" s="632">
        <v>2.3711288E-4</v>
      </c>
      <c r="AS405" s="632">
        <v>1.7399302E-4</v>
      </c>
      <c r="AT405" s="632">
        <v>1.5730741E-4</v>
      </c>
      <c r="AU405" s="632">
        <v>6.5168731E-5</v>
      </c>
      <c r="AV405" s="632">
        <v>0.0079933297</v>
      </c>
      <c r="AW405" s="632">
        <v>0.011483308</v>
      </c>
      <c r="AX405" s="632">
        <v>0.012481518</v>
      </c>
      <c r="AY405" s="632">
        <v>1.0580024E-4</v>
      </c>
      <c r="AZ405" s="632">
        <v>7.7786159E-6</v>
      </c>
      <c r="BA405" s="632">
        <v>1.2195055E-5</v>
      </c>
      <c r="BB405" s="632">
        <v>1.1984319E-5</v>
      </c>
      <c r="BC405" s="632">
        <v>1.3734759E-5</v>
      </c>
      <c r="BD405" s="632">
        <v>7.0213249E-6</v>
      </c>
      <c r="BE405" s="632">
        <v>9.6031826E-6</v>
      </c>
      <c r="BF405" s="632">
        <v>4.3873728E-6</v>
      </c>
      <c r="BG405" s="632">
        <v>2.4219707E-5</v>
      </c>
      <c r="BH405" s="632">
        <v>2.2229078E-5</v>
      </c>
      <c r="BI405" s="632">
        <v>1.7940309E-5</v>
      </c>
      <c r="BJ405" s="632">
        <v>5.0056743E-5</v>
      </c>
      <c r="BK405" s="632">
        <v>9.3921093E-5</v>
      </c>
      <c r="BL405" s="632">
        <v>2.071737E-5</v>
      </c>
      <c r="BM405" s="632">
        <v>6.458172E-5</v>
      </c>
      <c r="BN405" s="632">
        <v>0.14041758</v>
      </c>
      <c r="BO405" s="632">
        <v>7.8814986E-7</v>
      </c>
      <c r="BP405" s="632">
        <v>1.2378496E-5</v>
      </c>
      <c r="BQ405" s="632">
        <v>0.0029551637</v>
      </c>
      <c r="BR405" s="632">
        <v>0.0031226791</v>
      </c>
      <c r="BS405" s="632">
        <v>0.0030524852</v>
      </c>
      <c r="BT405" s="632">
        <v>0.0053324742</v>
      </c>
      <c r="BU405" s="632">
        <v>0.0025793725</v>
      </c>
      <c r="BV405" s="632">
        <v>0.0035711459</v>
      </c>
      <c r="BW405" s="632">
        <v>1.2369224E-5</v>
      </c>
      <c r="BX405" s="632">
        <v>0.012851708</v>
      </c>
      <c r="BY405" s="632">
        <v>1.2374796E-4</v>
      </c>
      <c r="BZ405" s="632">
        <v>1.5394384E-5</v>
      </c>
      <c r="CA405" s="632">
        <v>6.470609E-8</v>
      </c>
      <c r="CB405" s="632">
        <v>4.1802797E-8</v>
      </c>
      <c r="CC405" s="632">
        <v>4.8688631E-8</v>
      </c>
      <c r="CD405" s="632">
        <v>5.6400924E-8</v>
      </c>
      <c r="CE405" s="632">
        <v>0.0055938473</v>
      </c>
      <c r="CF405" s="632">
        <v>0.010715836</v>
      </c>
      <c r="CG405" s="632">
        <v>0.001224158</v>
      </c>
      <c r="CH405" s="632">
        <v>0.0014960742</v>
      </c>
      <c r="CI405" s="632">
        <v>9.0304103E-7</v>
      </c>
      <c r="CJ405" s="632">
        <v>2.4100067E-6</v>
      </c>
      <c r="CK405" s="632">
        <v>3.1727821E-6</v>
      </c>
      <c r="CL405" s="632">
        <v>4.8498778E-7</v>
      </c>
      <c r="CM405" s="632">
        <v>5.4413025E-7</v>
      </c>
      <c r="CN405" s="632">
        <v>2.5026118E-4</v>
      </c>
      <c r="CO405" s="632">
        <v>3.6576865E-4</v>
      </c>
      <c r="CP405" s="632">
        <v>2.1668395E-4</v>
      </c>
      <c r="CQ405" s="632">
        <v>0.0010491427</v>
      </c>
      <c r="CR405" s="632">
        <v>0.0015884447</v>
      </c>
      <c r="CS405" s="632">
        <v>0.0015884447</v>
      </c>
      <c r="CT405" s="632">
        <v>3.2672281E-7</v>
      </c>
      <c r="CU405" s="632">
        <v>1.1801665E-6</v>
      </c>
      <c r="CV405" s="632">
        <v>5.6532175E-7</v>
      </c>
      <c r="CW405" s="632">
        <v>5.3675562E-7</v>
      </c>
      <c r="CX405" s="632">
        <v>2.0563012E-4</v>
      </c>
      <c r="CY405" s="632">
        <v>3.495225E-5</v>
      </c>
      <c r="CZ405" s="632">
        <v>7.1765317E-5</v>
      </c>
      <c r="DA405" s="632">
        <v>6.9441254E-5</v>
      </c>
      <c r="DB405" s="632">
        <v>5.8450572E-7</v>
      </c>
      <c r="DC405" s="632">
        <v>4.9072079E-7</v>
      </c>
      <c r="DD405" s="632">
        <v>9.7529411E-6</v>
      </c>
      <c r="DE405" s="632">
        <v>1.4138504E-5</v>
      </c>
      <c r="DF405" s="632">
        <v>9.2013288E-6</v>
      </c>
      <c r="DG405" s="632">
        <v>9.7529411E-6</v>
      </c>
      <c r="DH405" s="632">
        <v>1.4138504E-5</v>
      </c>
      <c r="DI405" s="632">
        <v>1.4279798E-5</v>
      </c>
      <c r="DJ405" s="632">
        <v>1.4843064E-5</v>
      </c>
      <c r="DK405" s="632">
        <v>1.4843064E-5</v>
      </c>
      <c r="DL405" s="632">
        <v>1.9228627E-5</v>
      </c>
      <c r="DM405" s="632">
        <v>1.4843064E-5</v>
      </c>
      <c r="DN405" s="632">
        <v>1.9228627E-5</v>
      </c>
      <c r="DO405" s="632">
        <v>4.9072079E-7</v>
      </c>
      <c r="DP405" s="632">
        <v>5.4562494E-7</v>
      </c>
      <c r="DQ405" s="632">
        <v>7.635591E-7</v>
      </c>
      <c r="DR405" s="632">
        <v>7.1049244E-7</v>
      </c>
      <c r="DS405" s="632">
        <v>8.4976295E-7</v>
      </c>
      <c r="DT405" s="632">
        <v>3.623442E-6</v>
      </c>
      <c r="DU405" s="632">
        <v>3.3319642E-5</v>
      </c>
      <c r="DV405" s="632">
        <v>1.6187245E-5</v>
      </c>
      <c r="DW405" s="632">
        <v>3.2975459E-5</v>
      </c>
      <c r="DX405" s="632">
        <v>9.268515E-4</v>
      </c>
      <c r="DY405" s="632">
        <v>5.9939643E-5</v>
      </c>
      <c r="DZ405" s="632">
        <v>6.0285967E-5</v>
      </c>
      <c r="EA405" s="632">
        <v>3.5193542E-7</v>
      </c>
      <c r="EB405" s="632">
        <v>3.3917383E-7</v>
      </c>
      <c r="EC405" s="632">
        <v>4.5253934E-7</v>
      </c>
      <c r="ED405" s="632">
        <v>4.1531629E-5</v>
      </c>
      <c r="EE405" s="632">
        <v>2.9751516E-7</v>
      </c>
      <c r="EF405" s="632">
        <v>0.0</v>
      </c>
      <c r="EG405" s="632">
        <v>0.0</v>
      </c>
      <c r="EH405" s="632">
        <v>0.0</v>
      </c>
      <c r="EI405" s="632">
        <v>3.3327276E-7</v>
      </c>
      <c r="EJ405" s="632">
        <v>2.9697421E-7</v>
      </c>
      <c r="EK405" s="632">
        <v>9.836776E-6</v>
      </c>
      <c r="EL405" s="632">
        <v>0.0</v>
      </c>
      <c r="EM405" s="632">
        <v>0.0</v>
      </c>
      <c r="EN405" s="632">
        <v>0.0</v>
      </c>
      <c r="EO405" s="632">
        <v>0.0</v>
      </c>
      <c r="EP405" s="632">
        <v>8.0134319E-4</v>
      </c>
      <c r="EQ405" s="632">
        <v>0.0015762024</v>
      </c>
      <c r="ER405" s="632">
        <v>0.0</v>
      </c>
      <c r="ES405" s="632">
        <v>0.0</v>
      </c>
      <c r="ET405" s="632">
        <v>3.0709728E-6</v>
      </c>
      <c r="EU405" s="632">
        <v>3.340041E-7</v>
      </c>
      <c r="EV405" s="632">
        <v>3.340041E-7</v>
      </c>
      <c r="EW405" s="632">
        <v>2.4379328E-7</v>
      </c>
      <c r="EX405" s="632">
        <v>1.3277789E-6</v>
      </c>
      <c r="EY405" s="632">
        <v>9.1759044E-6</v>
      </c>
      <c r="EZ405" s="632">
        <v>9.2393386E-6</v>
      </c>
      <c r="FA405" s="632">
        <v>1.6288778E-6</v>
      </c>
      <c r="FB405" s="632">
        <v>3.6210177E-6</v>
      </c>
      <c r="FC405" s="632">
        <v>1.1382202E-6</v>
      </c>
      <c r="FD405" s="632">
        <v>2.9615243E-6</v>
      </c>
      <c r="FE405" s="632">
        <v>1.5379914E-5</v>
      </c>
      <c r="FF405" s="632">
        <v>3.4967418E-6</v>
      </c>
      <c r="FG405" s="632">
        <v>4.4120705E-6</v>
      </c>
      <c r="FH405" s="632">
        <v>1.3047766E-6</v>
      </c>
      <c r="FI405" s="632">
        <v>7.0850376E-7</v>
      </c>
      <c r="FJ405" s="632">
        <v>4.9597187E-6</v>
      </c>
      <c r="FK405" s="632">
        <v>2.7919623E-6</v>
      </c>
      <c r="FL405" s="632">
        <v>1.1397456E-6</v>
      </c>
      <c r="FM405" s="632">
        <v>8.3571518E-7</v>
      </c>
      <c r="FN405" s="632">
        <v>5.7330463E-6</v>
      </c>
      <c r="FO405" s="632">
        <v>6.9200854E-5</v>
      </c>
      <c r="FP405" s="632">
        <v>5.5501254E-6</v>
      </c>
      <c r="FQ405" s="632">
        <v>3.8637597E-6</v>
      </c>
      <c r="FR405" s="632">
        <v>8.1546955E-6</v>
      </c>
      <c r="FS405" s="632">
        <v>4.4720408E-6</v>
      </c>
      <c r="FT405" s="632">
        <v>3.1881864E-7</v>
      </c>
      <c r="FU405" s="632">
        <v>3.8015518E-5</v>
      </c>
      <c r="FV405" s="632">
        <v>4.5912053E-6</v>
      </c>
      <c r="FW405" s="632">
        <v>4.5253934E-7</v>
      </c>
      <c r="FX405" s="632">
        <v>4.5496769E-6</v>
      </c>
      <c r="FY405" s="632">
        <v>4.5253934E-7</v>
      </c>
      <c r="FZ405" s="632">
        <v>1.4170995E-5</v>
      </c>
      <c r="GA405" s="632">
        <v>7.7456245E-5</v>
      </c>
      <c r="GB405" s="632">
        <v>8.4684135E-6</v>
      </c>
      <c r="GC405" s="632">
        <v>4.1406873E-6</v>
      </c>
      <c r="GD405" s="632">
        <v>4.3546323E-6</v>
      </c>
      <c r="GE405" s="632">
        <v>2.6954632E-5</v>
      </c>
      <c r="GF405" s="632">
        <v>4.3338613E-6</v>
      </c>
      <c r="GG405" s="632">
        <v>1.914757E-5</v>
      </c>
      <c r="GH405" s="632">
        <v>2.0059944E-4</v>
      </c>
      <c r="GI405" s="632">
        <v>1.2481113E-4</v>
      </c>
      <c r="GJ405" s="632">
        <v>2.0587292E-7</v>
      </c>
      <c r="GK405" s="632">
        <v>5.6020321E-7</v>
      </c>
      <c r="GL405" s="632">
        <v>3.3527832E-7</v>
      </c>
      <c r="GM405" s="632">
        <v>3.3527832E-7</v>
      </c>
      <c r="GN405" s="632">
        <v>4.5253934E-7</v>
      </c>
      <c r="GO405" s="632">
        <v>2.0904444E-7</v>
      </c>
      <c r="GP405" s="632">
        <v>2.9225286E-7</v>
      </c>
      <c r="GQ405" s="632">
        <v>0.0</v>
      </c>
      <c r="GR405" s="632">
        <v>0.0</v>
      </c>
      <c r="GS405" s="632">
        <v>6.5165665E-6</v>
      </c>
      <c r="GT405" s="632">
        <v>2.8468078E-6</v>
      </c>
      <c r="GU405" s="632">
        <v>2.2141695E-6</v>
      </c>
      <c r="GV405" s="632">
        <v>1.9422969E-6</v>
      </c>
      <c r="GW405" s="632">
        <v>3.0788605E-7</v>
      </c>
      <c r="GX405" s="632">
        <v>4.2374412E-7</v>
      </c>
      <c r="GY405" s="632">
        <v>1.8441963E-7</v>
      </c>
      <c r="GZ405" s="632">
        <v>1.6905274E-7</v>
      </c>
      <c r="HA405" s="632">
        <v>0.0</v>
      </c>
      <c r="HB405" s="632">
        <v>0.0</v>
      </c>
      <c r="HC405" s="632">
        <v>0.0</v>
      </c>
      <c r="HD405" s="632">
        <v>1.064609E-6</v>
      </c>
      <c r="HE405" s="632">
        <v>6.4473915E-6</v>
      </c>
      <c r="HF405" s="632">
        <v>1.6905274E-7</v>
      </c>
      <c r="HG405" s="632">
        <v>1.8441963E-7</v>
      </c>
      <c r="HH405" s="632">
        <v>2.3052144E-4</v>
      </c>
      <c r="HI405" s="632">
        <v>0.0</v>
      </c>
      <c r="HJ405" s="632">
        <v>2.9225286E-7</v>
      </c>
      <c r="HK405" s="632">
        <v>1.8658466E-6</v>
      </c>
      <c r="HL405" s="632">
        <v>0.0024406605</v>
      </c>
      <c r="HM405" s="632">
        <v>0.0024643215</v>
      </c>
      <c r="HN405" s="632">
        <v>0.0048126241</v>
      </c>
      <c r="HO405" s="632">
        <v>0.0044409412</v>
      </c>
      <c r="HP405" s="632">
        <v>0.018014062</v>
      </c>
      <c r="HQ405" s="632">
        <v>0.021174759</v>
      </c>
      <c r="HR405" s="632">
        <v>3.6309613E-5</v>
      </c>
      <c r="HS405" s="632">
        <v>2.22798E-5</v>
      </c>
      <c r="HT405" s="632">
        <v>1.1375417E-4</v>
      </c>
      <c r="HU405" s="632">
        <v>4.4538065E-5</v>
      </c>
      <c r="HV405" s="632">
        <v>1.1558518E-4</v>
      </c>
      <c r="HW405" s="632">
        <v>9.7870255E-4</v>
      </c>
      <c r="HX405" s="632">
        <v>1.474421E-5</v>
      </c>
      <c r="HY405" s="632">
        <v>9.8479666E-6</v>
      </c>
      <c r="HZ405" s="632">
        <v>6.1832415E-4</v>
      </c>
      <c r="IA405" s="632">
        <v>1.7926898E-5</v>
      </c>
      <c r="IB405" s="632">
        <v>2.0678442E-5</v>
      </c>
      <c r="IC405" s="632">
        <v>4.8266261E-5</v>
      </c>
      <c r="ID405" s="632">
        <v>3.1162026E-5</v>
      </c>
      <c r="IE405" s="632">
        <v>3.1895612E-4</v>
      </c>
      <c r="IF405" s="632">
        <v>0.56592588</v>
      </c>
      <c r="IG405" s="632">
        <v>0.25618401</v>
      </c>
      <c r="IH405" s="632">
        <v>2.511252E-4</v>
      </c>
      <c r="II405" s="632">
        <v>3.2142808E-5</v>
      </c>
      <c r="IJ405" s="632">
        <v>2.5611634E-4</v>
      </c>
      <c r="IK405" s="632">
        <v>2.6762586E-4</v>
      </c>
      <c r="IL405" s="632">
        <v>0.0041765557</v>
      </c>
      <c r="IM405" s="632">
        <v>2.692636E-4</v>
      </c>
      <c r="IN405" s="632">
        <v>1.29734E-4</v>
      </c>
      <c r="IO405" s="632">
        <v>2.7561951</v>
      </c>
      <c r="IP405" s="632">
        <v>2.2761388E-5</v>
      </c>
      <c r="IQ405" s="632">
        <v>2.8503077E-4</v>
      </c>
      <c r="IR405" s="632">
        <v>1.8596791E-4</v>
      </c>
      <c r="IS405" s="632">
        <v>7.5780661E-4</v>
      </c>
      <c r="IT405" s="632">
        <v>5.4454567E-5</v>
      </c>
      <c r="IU405" s="632">
        <v>2.4195658E-4</v>
      </c>
      <c r="IV405" s="632">
        <v>1.6469452E-5</v>
      </c>
      <c r="IW405" s="632">
        <v>8.6340188E-5</v>
      </c>
      <c r="IX405" s="632">
        <v>5.0632179E-5</v>
      </c>
      <c r="IY405" s="632">
        <v>1.643825E-4</v>
      </c>
      <c r="IZ405" s="632">
        <v>1.3745228E-5</v>
      </c>
      <c r="JA405" s="632">
        <v>9.0728341E-7</v>
      </c>
      <c r="JB405" s="632">
        <v>0.0</v>
      </c>
      <c r="JC405" s="632">
        <v>0.0010612835</v>
      </c>
      <c r="JD405" s="632">
        <v>0.0018959833</v>
      </c>
      <c r="JE405" s="632">
        <v>8.7198537E-4</v>
      </c>
      <c r="JF405" s="632">
        <v>9.2307657E-4</v>
      </c>
      <c r="JG405" s="632">
        <v>0.0017539509</v>
      </c>
      <c r="JH405" s="632">
        <v>0.0012437992</v>
      </c>
      <c r="JI405" s="632">
        <v>0.0016982786</v>
      </c>
      <c r="JJ405" s="632">
        <v>0.0024298234</v>
      </c>
      <c r="JK405" s="632">
        <v>0.0014135161</v>
      </c>
      <c r="JL405" s="632">
        <v>0.00223277</v>
      </c>
      <c r="JM405" s="632">
        <v>0.0018405949</v>
      </c>
      <c r="JN405" s="632">
        <v>1.2573303E-5</v>
      </c>
      <c r="JO405" s="632">
        <v>1.1707952E-5</v>
      </c>
      <c r="JP405" s="632">
        <v>1.3373314E-5</v>
      </c>
      <c r="JQ405" s="632">
        <v>1.2507963E-5</v>
      </c>
      <c r="JR405" s="632">
        <v>9.4308776E-7</v>
      </c>
      <c r="JS405" s="632">
        <v>4.9419199E-7</v>
      </c>
      <c r="JT405" s="632">
        <v>3.693414E-4</v>
      </c>
      <c r="JU405" s="632">
        <v>8.8883536E-5</v>
      </c>
      <c r="JV405" s="632">
        <v>1.1293537E-5</v>
      </c>
      <c r="JW405" s="632">
        <v>0.001709514</v>
      </c>
      <c r="JX405" s="632">
        <v>1.1100037E-5</v>
      </c>
      <c r="JY405" s="632">
        <v>0.0013840915</v>
      </c>
      <c r="JZ405" s="632">
        <v>0.05122527</v>
      </c>
      <c r="KA405" s="632">
        <v>0.008519713</v>
      </c>
      <c r="KB405" s="632">
        <v>0.0015199144</v>
      </c>
      <c r="KC405" s="632">
        <v>0.0061716629</v>
      </c>
      <c r="KD405" s="632">
        <v>0.004254293</v>
      </c>
      <c r="KE405" s="632">
        <v>0.0014240147</v>
      </c>
      <c r="KF405" s="632">
        <v>0.0018181225</v>
      </c>
      <c r="KG405" s="632">
        <v>0.0015465246</v>
      </c>
      <c r="KH405" s="632">
        <v>0.083348043</v>
      </c>
      <c r="KI405" s="632">
        <v>0.046766801</v>
      </c>
      <c r="KJ405" s="632">
        <v>0.047672289</v>
      </c>
      <c r="KK405" s="632">
        <v>3.4225185E-5</v>
      </c>
      <c r="KL405" s="632">
        <v>2.48309E-5</v>
      </c>
      <c r="KM405" s="632">
        <v>0.0023366963</v>
      </c>
      <c r="KN405" s="632">
        <v>1.6700378E-5</v>
      </c>
      <c r="KO405" s="632">
        <v>3.0393547E-5</v>
      </c>
      <c r="KP405" s="632">
        <v>1.2656869E-5</v>
      </c>
      <c r="KQ405" s="632">
        <v>2.4099134E-5</v>
      </c>
      <c r="KR405" s="632">
        <v>1.1233433E-5</v>
      </c>
      <c r="KS405" s="632">
        <v>1.9358053E-5</v>
      </c>
      <c r="KT405" s="632">
        <v>1.5206105E-5</v>
      </c>
      <c r="KU405" s="632">
        <v>6.0530658E-5</v>
      </c>
      <c r="KV405" s="632">
        <v>9.2154439E-6</v>
      </c>
      <c r="KW405" s="632">
        <v>6.8932293E-6</v>
      </c>
      <c r="KX405" s="632">
        <v>1.0626133E-5</v>
      </c>
      <c r="KY405" s="632">
        <v>1.1196486E-5</v>
      </c>
      <c r="KZ405" s="632">
        <v>1.1165752E-5</v>
      </c>
      <c r="LA405" s="632">
        <v>1.1651298E-5</v>
      </c>
      <c r="LB405" s="632">
        <v>8.9858334E-6</v>
      </c>
      <c r="LC405" s="632">
        <v>1.9490998E-4</v>
      </c>
      <c r="LD405" s="632">
        <v>1.8597594E-4</v>
      </c>
      <c r="LE405" s="632">
        <v>9.9347747E-6</v>
      </c>
      <c r="LF405" s="632">
        <v>1.993181E-5</v>
      </c>
      <c r="LG405" s="632">
        <v>2.1170007E-5</v>
      </c>
      <c r="LH405" s="632">
        <v>2.6428029E-5</v>
      </c>
      <c r="LI405" s="632">
        <v>2.0893931E-4</v>
      </c>
      <c r="LJ405" s="632">
        <v>3.7709928E-6</v>
      </c>
      <c r="LK405" s="632">
        <v>5.6889412E-7</v>
      </c>
      <c r="LL405" s="632">
        <v>3.744643E-6</v>
      </c>
      <c r="LM405" s="632">
        <v>9.6088348E-6</v>
      </c>
      <c r="LN405" s="632">
        <v>6.6218871E-5</v>
      </c>
      <c r="LO405" s="632">
        <v>2.0341335E-7</v>
      </c>
      <c r="LP405" s="632">
        <v>5.399099E-4</v>
      </c>
      <c r="LQ405" s="632">
        <v>1.2349089E-5</v>
      </c>
      <c r="LR405" s="632">
        <v>4.5945663E-6</v>
      </c>
      <c r="LS405" s="632">
        <v>3.851629E-5</v>
      </c>
      <c r="LT405" s="632">
        <v>5.1192011E-5</v>
      </c>
      <c r="LU405" s="632">
        <v>0.008245084</v>
      </c>
      <c r="LV405" s="632">
        <v>0.0066791202</v>
      </c>
      <c r="LW405" s="632">
        <v>4.132526E-4</v>
      </c>
      <c r="LX405" s="632">
        <v>6.1541946E-4</v>
      </c>
      <c r="LY405" s="632">
        <v>1.2949905E-5</v>
      </c>
      <c r="LZ405" s="632">
        <v>1.2235234E-5</v>
      </c>
      <c r="MA405" s="632">
        <v>3.7366586E-4</v>
      </c>
      <c r="MB405" s="632">
        <v>3.5969153E-4</v>
      </c>
      <c r="MC405" s="632">
        <v>5.6231364E-5</v>
      </c>
      <c r="MD405" s="632">
        <v>5.2976398E-5</v>
      </c>
      <c r="ME405" s="632">
        <v>1.8226161E-5</v>
      </c>
      <c r="MF405" s="632">
        <v>0.01488641</v>
      </c>
      <c r="MG405" s="632">
        <v>8.6381027E-6</v>
      </c>
      <c r="MH405" s="632">
        <v>1.7309201E-5</v>
      </c>
      <c r="MI405" s="632">
        <v>4.9419199E-7</v>
      </c>
      <c r="MJ405" s="632">
        <v>3.5913401E-5</v>
      </c>
      <c r="MK405" s="632">
        <v>5.3401149E-6</v>
      </c>
      <c r="ML405" s="632">
        <v>5.8247823E-6</v>
      </c>
      <c r="MM405" s="632">
        <v>4.5445545E-6</v>
      </c>
      <c r="MN405" s="632">
        <v>4.1034364E-6</v>
      </c>
      <c r="MO405" s="632">
        <v>4.8160413E-6</v>
      </c>
      <c r="MP405" s="632">
        <v>3.6272917E-6</v>
      </c>
      <c r="MQ405" s="632">
        <v>7.5753756E-6</v>
      </c>
      <c r="MR405" s="632">
        <v>6.9613833E-6</v>
      </c>
      <c r="MS405" s="632">
        <v>6.1255644E-6</v>
      </c>
      <c r="MT405" s="632">
        <v>6.8611256E-6</v>
      </c>
      <c r="MU405" s="632">
        <v>6.2687309E-6</v>
      </c>
      <c r="MV405" s="632">
        <v>5.5634698E-6</v>
      </c>
      <c r="MW405" s="632">
        <v>8.0181449E-6</v>
      </c>
      <c r="MX405" s="632">
        <v>0.0042892246</v>
      </c>
      <c r="MY405" s="632">
        <v>0.0039337383</v>
      </c>
      <c r="MZ405" s="632">
        <v>0.0022154453</v>
      </c>
      <c r="NA405" s="632">
        <v>1.6835488E-4</v>
      </c>
      <c r="NB405" s="632">
        <v>1.7559615E-4</v>
      </c>
      <c r="NC405" s="632">
        <v>1.5541017E-4</v>
      </c>
      <c r="ND405" s="632">
        <v>0.011394874</v>
      </c>
      <c r="NE405" s="632">
        <v>0.015100928</v>
      </c>
      <c r="NF405" s="632">
        <v>0.0010206057</v>
      </c>
      <c r="NG405" s="632">
        <v>0.0016680803</v>
      </c>
      <c r="NH405" s="632">
        <v>1.6245319E-5</v>
      </c>
      <c r="NI405" s="632">
        <v>3.957214E-5</v>
      </c>
      <c r="NJ405" s="632">
        <v>4.6324164E-4</v>
      </c>
      <c r="NK405" s="632">
        <v>4.4461985E-5</v>
      </c>
      <c r="NL405" s="632">
        <v>2.3050418E-5</v>
      </c>
      <c r="NM405" s="632">
        <v>1.8944048E-5</v>
      </c>
      <c r="NN405" s="632">
        <v>5.7331473E-5</v>
      </c>
      <c r="NO405" s="632">
        <v>0.014946132</v>
      </c>
      <c r="NP405" s="632">
        <v>2.5420181E-5</v>
      </c>
      <c r="NQ405" s="632">
        <v>0.032278962</v>
      </c>
      <c r="NR405" s="632">
        <v>0.01359951</v>
      </c>
      <c r="NS405" s="632">
        <v>0.11502585</v>
      </c>
      <c r="NT405" s="632">
        <v>0.073984616</v>
      </c>
      <c r="NU405" s="632">
        <v>0.040671448</v>
      </c>
      <c r="NV405" s="632">
        <v>7.9500553E-6</v>
      </c>
      <c r="NW405" s="632">
        <v>1.2458856E-4</v>
      </c>
      <c r="NX405" s="632"/>
      <c r="NY405" s="632">
        <v>0.0</v>
      </c>
      <c r="NZ405" s="632"/>
      <c r="OA405" s="632">
        <v>4.63703681713105E-6</v>
      </c>
      <c r="OB405" s="632">
        <v>0.0</v>
      </c>
      <c r="OC405" s="632"/>
      <c r="OD405" s="626"/>
      <c r="OE405" s="632">
        <f t="shared" si="2"/>
        <v>0.001483941152</v>
      </c>
      <c r="OF405" s="632">
        <v>7.324243103294307E-4</v>
      </c>
      <c r="OG405" s="632">
        <v>0.0016041838471153814</v>
      </c>
    </row>
    <row r="406" ht="12.75" customHeight="1">
      <c r="A406" s="55" t="s">
        <v>5009</v>
      </c>
      <c r="B406" s="55" t="s">
        <v>5005</v>
      </c>
      <c r="C406" s="632">
        <v>0.44065464</v>
      </c>
      <c r="D406" s="632">
        <v>0.32632498</v>
      </c>
      <c r="E406" s="632">
        <v>0.81410387</v>
      </c>
      <c r="F406" s="632">
        <v>0.27074164</v>
      </c>
      <c r="G406" s="632">
        <v>0.33882468</v>
      </c>
      <c r="H406" s="632">
        <v>0.34374437</v>
      </c>
      <c r="I406" s="632">
        <v>0.18771507</v>
      </c>
      <c r="J406" s="632">
        <v>14.929469</v>
      </c>
      <c r="K406" s="632">
        <v>4.2041908</v>
      </c>
      <c r="L406" s="632">
        <v>8.4832366</v>
      </c>
      <c r="M406" s="632">
        <v>14.471498</v>
      </c>
      <c r="N406" s="632">
        <v>1.0367331</v>
      </c>
      <c r="O406" s="632">
        <v>1.2309081</v>
      </c>
      <c r="P406" s="632">
        <v>0.44429095</v>
      </c>
      <c r="Q406" s="632">
        <v>0.02784143</v>
      </c>
      <c r="R406" s="632">
        <v>0.074223517</v>
      </c>
      <c r="S406" s="632">
        <v>6.4066638E-4</v>
      </c>
      <c r="T406" s="632">
        <v>1.4812332E-5</v>
      </c>
      <c r="U406" s="632">
        <v>2.6376384E-4</v>
      </c>
      <c r="V406" s="632">
        <v>0.0</v>
      </c>
      <c r="W406" s="632">
        <v>21.304769</v>
      </c>
      <c r="X406" s="632">
        <v>19.383365</v>
      </c>
      <c r="Y406" s="632">
        <v>19.190634</v>
      </c>
      <c r="Z406" s="632">
        <v>21.093015</v>
      </c>
      <c r="AA406" s="632">
        <v>3.0174611</v>
      </c>
      <c r="AB406" s="632">
        <v>2.9014049</v>
      </c>
      <c r="AC406" s="632">
        <v>0.0039900445</v>
      </c>
      <c r="AD406" s="632">
        <v>17.229204</v>
      </c>
      <c r="AE406" s="632">
        <v>23.322043</v>
      </c>
      <c r="AF406" s="632">
        <v>194.35972</v>
      </c>
      <c r="AG406" s="632">
        <v>25.430442</v>
      </c>
      <c r="AH406" s="632">
        <v>0.051030326</v>
      </c>
      <c r="AI406" s="632">
        <v>0.034933459</v>
      </c>
      <c r="AJ406" s="632">
        <v>0.20571511</v>
      </c>
      <c r="AK406" s="632">
        <v>0.16153922</v>
      </c>
      <c r="AL406" s="632">
        <v>0.15061456</v>
      </c>
      <c r="AM406" s="632">
        <v>0.14779236</v>
      </c>
      <c r="AN406" s="632">
        <v>0.13607337</v>
      </c>
      <c r="AO406" s="632">
        <v>0.26719568</v>
      </c>
      <c r="AP406" s="632">
        <v>0.25547694</v>
      </c>
      <c r="AQ406" s="632">
        <v>0.21808284</v>
      </c>
      <c r="AR406" s="632">
        <v>0.20620113</v>
      </c>
      <c r="AS406" s="632">
        <v>0.13978027</v>
      </c>
      <c r="AT406" s="632">
        <v>0.13068493</v>
      </c>
      <c r="AU406" s="632">
        <v>0.2569683</v>
      </c>
      <c r="AV406" s="632">
        <v>37.52025</v>
      </c>
      <c r="AW406" s="632">
        <v>34.187523</v>
      </c>
      <c r="AX406" s="632">
        <v>43.730768</v>
      </c>
      <c r="AY406" s="632">
        <v>0.63201024</v>
      </c>
      <c r="AZ406" s="632">
        <v>0.22578509</v>
      </c>
      <c r="BA406" s="632">
        <v>0.2135196</v>
      </c>
      <c r="BB406" s="632">
        <v>0.055798608</v>
      </c>
      <c r="BC406" s="632">
        <v>0.060313478</v>
      </c>
      <c r="BD406" s="632">
        <v>0.19809661</v>
      </c>
      <c r="BE406" s="632">
        <v>0.20955007</v>
      </c>
      <c r="BF406" s="632">
        <v>0.055066119</v>
      </c>
      <c r="BG406" s="632">
        <v>0.30569923</v>
      </c>
      <c r="BH406" s="632">
        <v>0.28424792</v>
      </c>
      <c r="BI406" s="632">
        <v>0.27181114</v>
      </c>
      <c r="BJ406" s="632">
        <v>0.69867287</v>
      </c>
      <c r="BK406" s="632">
        <v>0.90891929</v>
      </c>
      <c r="BL406" s="632">
        <v>0.40038451</v>
      </c>
      <c r="BM406" s="632">
        <v>0.61063093</v>
      </c>
      <c r="BN406" s="632">
        <v>65.334936</v>
      </c>
      <c r="BO406" s="632">
        <v>0.0023478905</v>
      </c>
      <c r="BP406" s="632">
        <v>0.035227492</v>
      </c>
      <c r="BQ406" s="632">
        <v>8.5875782</v>
      </c>
      <c r="BR406" s="632">
        <v>9.4997222</v>
      </c>
      <c r="BS406" s="632">
        <v>9.8465405</v>
      </c>
      <c r="BT406" s="632">
        <v>23.986304</v>
      </c>
      <c r="BU406" s="632">
        <v>10.031092</v>
      </c>
      <c r="BV406" s="632">
        <v>15.276607</v>
      </c>
      <c r="BW406" s="632">
        <v>0.041683349</v>
      </c>
      <c r="BX406" s="632">
        <v>65.818686</v>
      </c>
      <c r="BY406" s="632">
        <v>0.70579834</v>
      </c>
      <c r="BZ406" s="632">
        <v>26.60284</v>
      </c>
      <c r="CA406" s="632">
        <v>0.0046049168</v>
      </c>
      <c r="CB406" s="632">
        <v>0.0029268654</v>
      </c>
      <c r="CC406" s="632">
        <v>0.0034313686</v>
      </c>
      <c r="CD406" s="632">
        <v>0.0039964237</v>
      </c>
      <c r="CE406" s="632">
        <v>36.45337</v>
      </c>
      <c r="CF406" s="632">
        <v>64.175861</v>
      </c>
      <c r="CG406" s="632">
        <v>5.1199279</v>
      </c>
      <c r="CH406" s="632">
        <v>6.6776322</v>
      </c>
      <c r="CI406" s="632">
        <v>0.0013390186</v>
      </c>
      <c r="CJ406" s="632">
        <v>0.019712454</v>
      </c>
      <c r="CK406" s="632">
        <v>0.0058935022</v>
      </c>
      <c r="CL406" s="632">
        <v>3.5792263E-4</v>
      </c>
      <c r="CM406" s="632">
        <v>6.8799667E-4</v>
      </c>
      <c r="CN406" s="632">
        <v>0.34668321</v>
      </c>
      <c r="CO406" s="632">
        <v>0.50753518</v>
      </c>
      <c r="CP406" s="632">
        <v>0.30016915</v>
      </c>
      <c r="CQ406" s="632">
        <v>1.4533622</v>
      </c>
      <c r="CR406" s="632">
        <v>2.2004494</v>
      </c>
      <c r="CS406" s="632">
        <v>2.2004494</v>
      </c>
      <c r="CT406" s="632">
        <v>4.2498493E-4</v>
      </c>
      <c r="CU406" s="632">
        <v>0.0055794583</v>
      </c>
      <c r="CV406" s="632">
        <v>4.0152265E-4</v>
      </c>
      <c r="CW406" s="632">
        <v>7.7357121E-4</v>
      </c>
      <c r="CX406" s="632">
        <v>0.1622929</v>
      </c>
      <c r="CY406" s="632">
        <v>0.061946963</v>
      </c>
      <c r="CZ406" s="632">
        <v>0.066296565</v>
      </c>
      <c r="DA406" s="632">
        <v>0.062912685</v>
      </c>
      <c r="DB406" s="632">
        <v>0.0012227879</v>
      </c>
      <c r="DC406" s="632">
        <v>3.5289694E-4</v>
      </c>
      <c r="DD406" s="632">
        <v>0.0122347</v>
      </c>
      <c r="DE406" s="632">
        <v>0.01653399</v>
      </c>
      <c r="DF406" s="632">
        <v>0.010635899</v>
      </c>
      <c r="DG406" s="632">
        <v>0.0122347</v>
      </c>
      <c r="DH406" s="632">
        <v>0.01653399</v>
      </c>
      <c r="DI406" s="632">
        <v>0.017338726</v>
      </c>
      <c r="DJ406" s="632">
        <v>0.018971305</v>
      </c>
      <c r="DK406" s="632">
        <v>0.018971305</v>
      </c>
      <c r="DL406" s="632">
        <v>0.023270594</v>
      </c>
      <c r="DM406" s="632">
        <v>0.018971305</v>
      </c>
      <c r="DN406" s="632">
        <v>0.023270594</v>
      </c>
      <c r="DO406" s="632">
        <v>3.5289694E-4</v>
      </c>
      <c r="DP406" s="632">
        <v>0.0012272818</v>
      </c>
      <c r="DQ406" s="632">
        <v>0.0015196988</v>
      </c>
      <c r="DR406" s="632">
        <v>0.0014777172</v>
      </c>
      <c r="DS406" s="632">
        <v>0.0016614558</v>
      </c>
      <c r="DT406" s="632">
        <v>0.0083370792</v>
      </c>
      <c r="DU406" s="632">
        <v>0.094872334</v>
      </c>
      <c r="DV406" s="632">
        <v>0.043625212</v>
      </c>
      <c r="DW406" s="632">
        <v>0.082602711</v>
      </c>
      <c r="DX406" s="632">
        <v>2.634282</v>
      </c>
      <c r="DY406" s="632">
        <v>0.088324052</v>
      </c>
      <c r="DZ406" s="632">
        <v>0.082048399</v>
      </c>
      <c r="EA406" s="632">
        <v>2.6376384E-4</v>
      </c>
      <c r="EB406" s="632">
        <v>4.3236307E-4</v>
      </c>
      <c r="EC406" s="632">
        <v>3.336036E-4</v>
      </c>
      <c r="ED406" s="632">
        <v>0.095561487</v>
      </c>
      <c r="EE406" s="632">
        <v>4.3856104E-4</v>
      </c>
      <c r="EF406" s="632">
        <v>0.0</v>
      </c>
      <c r="EG406" s="632">
        <v>0.0</v>
      </c>
      <c r="EH406" s="632">
        <v>0.0</v>
      </c>
      <c r="EI406" s="632">
        <v>4.6167795E-4</v>
      </c>
      <c r="EJ406" s="632">
        <v>4.3807661E-4</v>
      </c>
      <c r="EK406" s="632">
        <v>0.023205085</v>
      </c>
      <c r="EL406" s="632">
        <v>0.0</v>
      </c>
      <c r="EM406" s="632">
        <v>0.0</v>
      </c>
      <c r="EN406" s="632">
        <v>0.0</v>
      </c>
      <c r="EO406" s="632">
        <v>0.0</v>
      </c>
      <c r="EP406" s="632">
        <v>1.1000759</v>
      </c>
      <c r="EQ406" s="632">
        <v>2.1734771</v>
      </c>
      <c r="ER406" s="632">
        <v>0.0</v>
      </c>
      <c r="ES406" s="632">
        <v>0.0</v>
      </c>
      <c r="ET406" s="632">
        <v>0.020570539</v>
      </c>
      <c r="EU406" s="632">
        <v>6.987377E-4</v>
      </c>
      <c r="EV406" s="632">
        <v>6.987377E-4</v>
      </c>
      <c r="EW406" s="632">
        <v>4.0244872E-4</v>
      </c>
      <c r="EX406" s="632">
        <v>0.0031478757</v>
      </c>
      <c r="EY406" s="632">
        <v>0.020300254</v>
      </c>
      <c r="EZ406" s="632">
        <v>0.019276257</v>
      </c>
      <c r="FA406" s="632">
        <v>0.0042382482</v>
      </c>
      <c r="FB406" s="632">
        <v>0.009028334</v>
      </c>
      <c r="FC406" s="632">
        <v>0.0028580834</v>
      </c>
      <c r="FD406" s="632">
        <v>0.0077568028</v>
      </c>
      <c r="FE406" s="632">
        <v>0.034771155</v>
      </c>
      <c r="FF406" s="632">
        <v>0.0024778825</v>
      </c>
      <c r="FG406" s="632">
        <v>0.0031265084</v>
      </c>
      <c r="FH406" s="632">
        <v>0.0031162415</v>
      </c>
      <c r="FI406" s="632">
        <v>0.0016921432</v>
      </c>
      <c r="FJ406" s="632">
        <v>0.013336769</v>
      </c>
      <c r="FK406" s="632">
        <v>0.0075244395</v>
      </c>
      <c r="FL406" s="632">
        <v>0.0027220923</v>
      </c>
      <c r="FM406" s="632">
        <v>0.0019959664</v>
      </c>
      <c r="FN406" s="632">
        <v>0.014878804</v>
      </c>
      <c r="FO406" s="632">
        <v>0.19681302</v>
      </c>
      <c r="FP406" s="632">
        <v>0.0039329637</v>
      </c>
      <c r="FQ406" s="632">
        <v>0.0097362572</v>
      </c>
      <c r="FR406" s="632">
        <v>0.006111672</v>
      </c>
      <c r="FS406" s="632">
        <v>0.010798236</v>
      </c>
      <c r="FT406" s="632">
        <v>6.6696967E-4</v>
      </c>
      <c r="FU406" s="632">
        <v>0.028024239</v>
      </c>
      <c r="FV406" s="632">
        <v>0.0033853599</v>
      </c>
      <c r="FW406" s="632">
        <v>3.3360361E-4</v>
      </c>
      <c r="FX406" s="632">
        <v>0.0033542358</v>
      </c>
      <c r="FY406" s="632">
        <v>3.3360361E-4</v>
      </c>
      <c r="FZ406" s="632">
        <v>0.035685509</v>
      </c>
      <c r="GA406" s="632">
        <v>0.14798084</v>
      </c>
      <c r="GB406" s="632">
        <v>0.0181891</v>
      </c>
      <c r="GC406" s="632">
        <v>0.0086623318</v>
      </c>
      <c r="GD406" s="632">
        <v>0.0091435611</v>
      </c>
      <c r="GE406" s="632">
        <v>0.035061257</v>
      </c>
      <c r="GF406" s="632">
        <v>0.0082798803</v>
      </c>
      <c r="GG406" s="632">
        <v>0.048652447</v>
      </c>
      <c r="GH406" s="632">
        <v>0.42383271</v>
      </c>
      <c r="GI406" s="632">
        <v>0.26457087</v>
      </c>
      <c r="GJ406" s="632">
        <v>3.7883562E-4</v>
      </c>
      <c r="GK406" s="632">
        <v>0.0014437648</v>
      </c>
      <c r="GL406" s="632">
        <v>7.0140338E-4</v>
      </c>
      <c r="GM406" s="632">
        <v>7.0140338E-4</v>
      </c>
      <c r="GN406" s="632">
        <v>3.336036E-4</v>
      </c>
      <c r="GO406" s="632">
        <v>3.8167569E-4</v>
      </c>
      <c r="GP406" s="632">
        <v>6.1139396E-4</v>
      </c>
      <c r="GQ406" s="632">
        <v>0.0</v>
      </c>
      <c r="GR406" s="632">
        <v>0.0</v>
      </c>
      <c r="GS406" s="632">
        <v>0.0048038919</v>
      </c>
      <c r="GT406" s="632">
        <v>0.0020985995</v>
      </c>
      <c r="GU406" s="632">
        <v>0.018811382</v>
      </c>
      <c r="GV406" s="632">
        <v>0.0056295822</v>
      </c>
      <c r="GW406" s="632">
        <v>4.2683722E-4</v>
      </c>
      <c r="GX406" s="632">
        <v>4.2679505E-4</v>
      </c>
      <c r="GY406" s="632">
        <v>3.5233533E-4</v>
      </c>
      <c r="GZ406" s="632">
        <v>3.2297675E-4</v>
      </c>
      <c r="HA406" s="632">
        <v>0.0</v>
      </c>
      <c r="HB406" s="632">
        <v>0.0</v>
      </c>
      <c r="HC406" s="632">
        <v>0.0</v>
      </c>
      <c r="HD406" s="632">
        <v>0.0030821983</v>
      </c>
      <c r="HE406" s="632">
        <v>0.01219816</v>
      </c>
      <c r="HF406" s="632">
        <v>3.2297675E-4</v>
      </c>
      <c r="HG406" s="632">
        <v>3.5233533E-4</v>
      </c>
      <c r="HH406" s="632">
        <v>0.31933802</v>
      </c>
      <c r="HI406" s="632">
        <v>0.0</v>
      </c>
      <c r="HJ406" s="632">
        <v>6.1139396E-4</v>
      </c>
      <c r="HK406" s="632">
        <v>0.0038873744</v>
      </c>
      <c r="HL406" s="632">
        <v>832.70377</v>
      </c>
      <c r="HM406" s="632">
        <v>1011.3511</v>
      </c>
      <c r="HN406" s="632">
        <v>534.7285</v>
      </c>
      <c r="HO406" s="632">
        <v>344.25007</v>
      </c>
      <c r="HP406" s="632">
        <v>11.222949</v>
      </c>
      <c r="HQ406" s="632">
        <v>3.3575558</v>
      </c>
      <c r="HR406" s="632">
        <v>0.20687089</v>
      </c>
      <c r="HS406" s="632">
        <v>0.088229369</v>
      </c>
      <c r="HT406" s="632">
        <v>1.2629518</v>
      </c>
      <c r="HU406" s="632">
        <v>1.5145842</v>
      </c>
      <c r="HV406" s="632">
        <v>0.99049361</v>
      </c>
      <c r="HW406" s="632">
        <v>3340.6342</v>
      </c>
      <c r="HX406" s="632">
        <v>24.914125</v>
      </c>
      <c r="HY406" s="632">
        <v>24.532881</v>
      </c>
      <c r="HZ406" s="632">
        <v>0.99752058</v>
      </c>
      <c r="IA406" s="632">
        <v>0.12949066</v>
      </c>
      <c r="IB406" s="632">
        <v>0.15705648</v>
      </c>
      <c r="IC406" s="632">
        <v>0.94372529</v>
      </c>
      <c r="ID406" s="632">
        <v>4.5041586</v>
      </c>
      <c r="IE406" s="632">
        <v>37.56013</v>
      </c>
      <c r="IF406" s="632">
        <v>40.56582</v>
      </c>
      <c r="IG406" s="632">
        <v>134.71579</v>
      </c>
      <c r="IH406" s="632">
        <v>25.750278</v>
      </c>
      <c r="II406" s="632">
        <v>5.718372</v>
      </c>
      <c r="IJ406" s="632">
        <v>1.1391156</v>
      </c>
      <c r="IK406" s="632">
        <v>1.0308137</v>
      </c>
      <c r="IL406" s="632">
        <v>134.6687</v>
      </c>
      <c r="IM406" s="632">
        <v>65.777978</v>
      </c>
      <c r="IN406" s="632">
        <v>272.93335</v>
      </c>
      <c r="IO406" s="632">
        <v>26.910768</v>
      </c>
      <c r="IP406" s="632">
        <v>0.57353676</v>
      </c>
      <c r="IQ406" s="632">
        <v>525.18563</v>
      </c>
      <c r="IR406" s="632">
        <v>298.18341</v>
      </c>
      <c r="IS406" s="632">
        <v>7.9188963</v>
      </c>
      <c r="IT406" s="632">
        <v>1.2881033</v>
      </c>
      <c r="IU406" s="632">
        <v>1.1839702</v>
      </c>
      <c r="IV406" s="632">
        <v>0.58026924</v>
      </c>
      <c r="IW406" s="632">
        <v>0.83837121</v>
      </c>
      <c r="IX406" s="632">
        <v>0.84199417</v>
      </c>
      <c r="IY406" s="632">
        <v>6.9955892</v>
      </c>
      <c r="IZ406" s="632">
        <v>1.9275023</v>
      </c>
      <c r="JA406" s="632">
        <v>0.0013955048</v>
      </c>
      <c r="JB406" s="632">
        <v>0.0</v>
      </c>
      <c r="JC406" s="632">
        <v>9.8961246</v>
      </c>
      <c r="JD406" s="632">
        <v>16.025927</v>
      </c>
      <c r="JE406" s="632">
        <v>9.0243424</v>
      </c>
      <c r="JF406" s="632">
        <v>7.2195779</v>
      </c>
      <c r="JG406" s="632">
        <v>13.318356</v>
      </c>
      <c r="JH406" s="632">
        <v>15.671777</v>
      </c>
      <c r="JI406" s="632">
        <v>15.655237</v>
      </c>
      <c r="JJ406" s="632">
        <v>19.066227</v>
      </c>
      <c r="JK406" s="632">
        <v>10.221612</v>
      </c>
      <c r="JL406" s="632">
        <v>15.787623</v>
      </c>
      <c r="JM406" s="632">
        <v>18.362997</v>
      </c>
      <c r="JN406" s="632">
        <v>30.681119</v>
      </c>
      <c r="JO406" s="632">
        <v>30.104254</v>
      </c>
      <c r="JP406" s="632">
        <v>30.634983</v>
      </c>
      <c r="JQ406" s="632">
        <v>30.058118</v>
      </c>
      <c r="JR406" s="632">
        <v>0.0011230613</v>
      </c>
      <c r="JS406" s="632">
        <v>4.2921688E-4</v>
      </c>
      <c r="JT406" s="632">
        <v>4.3599417</v>
      </c>
      <c r="JU406" s="632">
        <v>1.0485693</v>
      </c>
      <c r="JV406" s="632">
        <v>0.1712443</v>
      </c>
      <c r="JW406" s="632">
        <v>1.8392158</v>
      </c>
      <c r="JX406" s="632">
        <v>0.16853537</v>
      </c>
      <c r="JY406" s="632">
        <v>28.006673</v>
      </c>
      <c r="JZ406" s="632">
        <v>280.51085</v>
      </c>
      <c r="KA406" s="632">
        <v>14608.872</v>
      </c>
      <c r="KB406" s="632">
        <v>7.5767436</v>
      </c>
      <c r="KC406" s="632">
        <v>978.39325</v>
      </c>
      <c r="KD406" s="632">
        <v>20.087523</v>
      </c>
      <c r="KE406" s="632">
        <v>520.76593</v>
      </c>
      <c r="KF406" s="632">
        <v>12.839166</v>
      </c>
      <c r="KG406" s="632">
        <v>878.33457</v>
      </c>
      <c r="KH406" s="632">
        <v>561.21834</v>
      </c>
      <c r="KI406" s="632">
        <v>8539.5116</v>
      </c>
      <c r="KJ406" s="632">
        <v>13018.941</v>
      </c>
      <c r="KK406" s="632">
        <v>50.119442</v>
      </c>
      <c r="KL406" s="632">
        <v>0.24147955</v>
      </c>
      <c r="KM406" s="632">
        <v>5.8592329</v>
      </c>
      <c r="KN406" s="632">
        <v>2.8282386</v>
      </c>
      <c r="KO406" s="632">
        <v>0.10228358</v>
      </c>
      <c r="KP406" s="632">
        <v>0.037933597</v>
      </c>
      <c r="KQ406" s="632">
        <v>0.29111592</v>
      </c>
      <c r="KR406" s="632">
        <v>0.16565841</v>
      </c>
      <c r="KS406" s="632">
        <v>0.068613706</v>
      </c>
      <c r="KT406" s="632">
        <v>20.680445</v>
      </c>
      <c r="KU406" s="632">
        <v>0.29244223</v>
      </c>
      <c r="KV406" s="632">
        <v>0.046213364</v>
      </c>
      <c r="KW406" s="632">
        <v>0.060554888</v>
      </c>
      <c r="KX406" s="632">
        <v>0.065989747</v>
      </c>
      <c r="KY406" s="632">
        <v>0.069079206</v>
      </c>
      <c r="KZ406" s="632">
        <v>0.063524592</v>
      </c>
      <c r="LA406" s="632">
        <v>0.082970121</v>
      </c>
      <c r="LB406" s="632">
        <v>29.486557</v>
      </c>
      <c r="LC406" s="632">
        <v>1.7251502</v>
      </c>
      <c r="LD406" s="632">
        <v>16.529262</v>
      </c>
      <c r="LE406" s="632">
        <v>15.489397</v>
      </c>
      <c r="LF406" s="632">
        <v>0.64000634</v>
      </c>
      <c r="LG406" s="632">
        <v>35.932995</v>
      </c>
      <c r="LH406" s="632">
        <v>35.972183</v>
      </c>
      <c r="LI406" s="632">
        <v>0.76539126</v>
      </c>
      <c r="LJ406" s="632">
        <v>0.95082012</v>
      </c>
      <c r="LK406" s="632">
        <v>0.49275231</v>
      </c>
      <c r="LL406" s="632">
        <v>0.82219262</v>
      </c>
      <c r="LM406" s="632">
        <v>0.36918083</v>
      </c>
      <c r="LN406" s="632">
        <v>0.50502496</v>
      </c>
      <c r="LO406" s="632">
        <v>0.16164191</v>
      </c>
      <c r="LP406" s="632">
        <v>0.59897439</v>
      </c>
      <c r="LQ406" s="632">
        <v>1.8360346</v>
      </c>
      <c r="LR406" s="632">
        <v>0.64798609</v>
      </c>
      <c r="LS406" s="632">
        <v>0.54664586</v>
      </c>
      <c r="LT406" s="632">
        <v>0.64781494</v>
      </c>
      <c r="LU406" s="632">
        <v>72.455868</v>
      </c>
      <c r="LV406" s="632">
        <v>569.1434</v>
      </c>
      <c r="LW406" s="632">
        <v>1.8188504</v>
      </c>
      <c r="LX406" s="632">
        <v>4.4622891</v>
      </c>
      <c r="LY406" s="632">
        <v>0.037379572</v>
      </c>
      <c r="LZ406" s="632">
        <v>0.17156575</v>
      </c>
      <c r="MA406" s="632">
        <v>5.8222431</v>
      </c>
      <c r="MB406" s="632">
        <v>6.2368187</v>
      </c>
      <c r="MC406" s="632">
        <v>0.26400268</v>
      </c>
      <c r="MD406" s="632">
        <v>0.25740989</v>
      </c>
      <c r="ME406" s="632">
        <v>0.17717321</v>
      </c>
      <c r="MF406" s="632">
        <v>10.666505</v>
      </c>
      <c r="MG406" s="632">
        <v>0.033174614</v>
      </c>
      <c r="MH406" s="632">
        <v>0.061649222</v>
      </c>
      <c r="MI406" s="632">
        <v>4.2921688E-4</v>
      </c>
      <c r="MJ406" s="632">
        <v>0.37445592</v>
      </c>
      <c r="MK406" s="632">
        <v>22.274211</v>
      </c>
      <c r="ML406" s="632">
        <v>22.592512</v>
      </c>
      <c r="MM406" s="632">
        <v>23.012274</v>
      </c>
      <c r="MN406" s="632">
        <v>22.667491</v>
      </c>
      <c r="MO406" s="632">
        <v>19.319547</v>
      </c>
      <c r="MP406" s="632">
        <v>19.67583</v>
      </c>
      <c r="MQ406" s="632">
        <v>23.774093</v>
      </c>
      <c r="MR406" s="632">
        <v>23.32481</v>
      </c>
      <c r="MS406" s="632">
        <v>19.745423</v>
      </c>
      <c r="MT406" s="632">
        <v>20.638192</v>
      </c>
      <c r="MU406" s="632">
        <v>20.231707</v>
      </c>
      <c r="MV406" s="632">
        <v>19.36849</v>
      </c>
      <c r="MW406" s="632">
        <v>0.31436044</v>
      </c>
      <c r="MX406" s="632">
        <v>33.303576</v>
      </c>
      <c r="MY406" s="632">
        <v>28.090656</v>
      </c>
      <c r="MZ406" s="632">
        <v>15.415947</v>
      </c>
      <c r="NA406" s="632">
        <v>0.35858074</v>
      </c>
      <c r="NB406" s="632">
        <v>0.47668576</v>
      </c>
      <c r="NC406" s="632">
        <v>2.3101708</v>
      </c>
      <c r="ND406" s="632">
        <v>44.920124</v>
      </c>
      <c r="NE406" s="632">
        <v>54.57763</v>
      </c>
      <c r="NF406" s="632">
        <v>5114.6793</v>
      </c>
      <c r="NG406" s="632">
        <v>7.8073451</v>
      </c>
      <c r="NH406" s="632">
        <v>0.26736448</v>
      </c>
      <c r="NI406" s="632">
        <v>0.4725594</v>
      </c>
      <c r="NJ406" s="632">
        <v>0.37137348</v>
      </c>
      <c r="NK406" s="632">
        <v>1.0215594</v>
      </c>
      <c r="NL406" s="632">
        <v>0.26963308</v>
      </c>
      <c r="NM406" s="632">
        <v>33.49214</v>
      </c>
      <c r="NN406" s="632">
        <v>0.49861199</v>
      </c>
      <c r="NO406" s="632">
        <v>56.563263</v>
      </c>
      <c r="NP406" s="632">
        <v>0.31466148</v>
      </c>
      <c r="NQ406" s="632">
        <v>96.20166</v>
      </c>
      <c r="NR406" s="632">
        <v>67.05672</v>
      </c>
      <c r="NS406" s="632">
        <v>63.863386</v>
      </c>
      <c r="NT406" s="632">
        <v>2244.4501</v>
      </c>
      <c r="NU406" s="632">
        <v>2404.0672</v>
      </c>
      <c r="NV406" s="632">
        <v>7.0810163</v>
      </c>
      <c r="NW406" s="632">
        <v>0.55523326</v>
      </c>
      <c r="NX406" s="632"/>
      <c r="NY406" s="632">
        <v>0.0</v>
      </c>
      <c r="NZ406" s="632"/>
      <c r="OA406" s="632">
        <v>0.0334163627316065</v>
      </c>
      <c r="OB406" s="632">
        <v>2.12</v>
      </c>
      <c r="OC406" s="632"/>
      <c r="OD406" s="626"/>
      <c r="OE406" s="632">
        <f t="shared" si="2"/>
        <v>61.00740505</v>
      </c>
      <c r="OF406" s="632">
        <v>70.02311850336281</v>
      </c>
      <c r="OG406" s="632">
        <v>59.564890893265286</v>
      </c>
    </row>
    <row r="407" ht="12.75" customHeight="1">
      <c r="A407" s="55" t="s">
        <v>5010</v>
      </c>
      <c r="B407" s="55" t="s">
        <v>5005</v>
      </c>
      <c r="C407" s="632">
        <v>0.20322016</v>
      </c>
      <c r="D407" s="632">
        <v>0.044560614</v>
      </c>
      <c r="E407" s="632">
        <v>0.10615795</v>
      </c>
      <c r="F407" s="632">
        <v>0.016610176</v>
      </c>
      <c r="G407" s="632">
        <v>0.014145593</v>
      </c>
      <c r="H407" s="632">
        <v>0.016314374</v>
      </c>
      <c r="I407" s="632">
        <v>0.037310837</v>
      </c>
      <c r="J407" s="632">
        <v>4.6718431</v>
      </c>
      <c r="K407" s="632">
        <v>0.16871889</v>
      </c>
      <c r="L407" s="632">
        <v>4.4326594</v>
      </c>
      <c r="M407" s="632">
        <v>2.2881267</v>
      </c>
      <c r="N407" s="632">
        <v>0.3211837</v>
      </c>
      <c r="O407" s="632">
        <v>0.3356311</v>
      </c>
      <c r="P407" s="632">
        <v>0.22458586</v>
      </c>
      <c r="Q407" s="632">
        <v>0.0066287169</v>
      </c>
      <c r="R407" s="632">
        <v>0.013706635</v>
      </c>
      <c r="S407" s="632">
        <v>3.3755456E-4</v>
      </c>
      <c r="T407" s="632">
        <v>6.9966734E-6</v>
      </c>
      <c r="U407" s="632">
        <v>1.2375595E-4</v>
      </c>
      <c r="V407" s="632">
        <v>0.0</v>
      </c>
      <c r="W407" s="632">
        <v>0.027175692</v>
      </c>
      <c r="X407" s="632">
        <v>0.056275393</v>
      </c>
      <c r="Y407" s="632">
        <v>0.055290098</v>
      </c>
      <c r="Z407" s="632">
        <v>0.026478513</v>
      </c>
      <c r="AA407" s="632">
        <v>0.0051175327</v>
      </c>
      <c r="AB407" s="632">
        <v>0.0049207046</v>
      </c>
      <c r="AC407" s="632">
        <v>5.0386369E-4</v>
      </c>
      <c r="AD407" s="632">
        <v>0.0012839971</v>
      </c>
      <c r="AE407" s="632">
        <v>15.21185</v>
      </c>
      <c r="AF407" s="632">
        <v>21.546927</v>
      </c>
      <c r="AG407" s="632">
        <v>16.850693</v>
      </c>
      <c r="AH407" s="632">
        <v>0.030554077</v>
      </c>
      <c r="AI407" s="632">
        <v>0.023522356</v>
      </c>
      <c r="AJ407" s="632">
        <v>0.1206815</v>
      </c>
      <c r="AK407" s="632">
        <v>0.020123032</v>
      </c>
      <c r="AL407" s="632">
        <v>0.014079792</v>
      </c>
      <c r="AM407" s="632">
        <v>0.020083912</v>
      </c>
      <c r="AN407" s="632">
        <v>0.013609057</v>
      </c>
      <c r="AO407" s="632">
        <v>0.015817365</v>
      </c>
      <c r="AP407" s="632">
        <v>0.0095915117</v>
      </c>
      <c r="AQ407" s="632">
        <v>0.015396974</v>
      </c>
      <c r="AR407" s="632">
        <v>0.0090844473</v>
      </c>
      <c r="AS407" s="632">
        <v>0.021048031</v>
      </c>
      <c r="AT407" s="632">
        <v>0.016022736</v>
      </c>
      <c r="AU407" s="632">
        <v>0.11111715</v>
      </c>
      <c r="AV407" s="632">
        <v>21.464517</v>
      </c>
      <c r="AW407" s="632">
        <v>17.239411</v>
      </c>
      <c r="AX407" s="632">
        <v>23.895715</v>
      </c>
      <c r="AY407" s="632">
        <v>0.23030788</v>
      </c>
      <c r="AZ407" s="632">
        <v>0.0079342914</v>
      </c>
      <c r="BA407" s="632">
        <v>0.10705083</v>
      </c>
      <c r="BB407" s="632">
        <v>0.033533798</v>
      </c>
      <c r="BC407" s="632">
        <v>0.036227049</v>
      </c>
      <c r="BD407" s="632">
        <v>0.0075647375</v>
      </c>
      <c r="BE407" s="632">
        <v>0.0086788633</v>
      </c>
      <c r="BF407" s="632">
        <v>0.0021453231</v>
      </c>
      <c r="BG407" s="632">
        <v>0.0071317281</v>
      </c>
      <c r="BH407" s="632">
        <v>0.0070774034</v>
      </c>
      <c r="BI407" s="632">
        <v>0.06521594</v>
      </c>
      <c r="BJ407" s="632">
        <v>0.36833455</v>
      </c>
      <c r="BK407" s="632">
        <v>0.52290544</v>
      </c>
      <c r="BL407" s="632">
        <v>0.23242298</v>
      </c>
      <c r="BM407" s="632">
        <v>0.38699387</v>
      </c>
      <c r="BN407" s="632">
        <v>12.064139</v>
      </c>
      <c r="BO407" s="632">
        <v>0.0018522837</v>
      </c>
      <c r="BP407" s="632">
        <v>0.0027252353</v>
      </c>
      <c r="BQ407" s="632">
        <v>3.2630264</v>
      </c>
      <c r="BR407" s="632">
        <v>3.6463934</v>
      </c>
      <c r="BS407" s="632">
        <v>3.8828894</v>
      </c>
      <c r="BT407" s="632">
        <v>12.711304</v>
      </c>
      <c r="BU407" s="632">
        <v>5.3219938</v>
      </c>
      <c r="BV407" s="632">
        <v>8.0987929</v>
      </c>
      <c r="BW407" s="632">
        <v>0.0055746297</v>
      </c>
      <c r="BX407" s="632">
        <v>18.463595</v>
      </c>
      <c r="BY407" s="632">
        <v>0.25435365</v>
      </c>
      <c r="BZ407" s="632">
        <v>0.20181129</v>
      </c>
      <c r="CA407" s="632">
        <v>0.0039123038</v>
      </c>
      <c r="CB407" s="632">
        <v>0.0024819454</v>
      </c>
      <c r="CC407" s="632">
        <v>0.0029119801</v>
      </c>
      <c r="CD407" s="632">
        <v>0.0033936289</v>
      </c>
      <c r="CE407" s="632">
        <v>21.133985</v>
      </c>
      <c r="CF407" s="632">
        <v>36.872576</v>
      </c>
      <c r="CG407" s="632">
        <v>3.0332009</v>
      </c>
      <c r="CH407" s="632">
        <v>3.9068593</v>
      </c>
      <c r="CI407" s="632">
        <v>4.6988204E-4</v>
      </c>
      <c r="CJ407" s="632">
        <v>0.010856813</v>
      </c>
      <c r="CK407" s="632">
        <v>0.0026959188</v>
      </c>
      <c r="CL407" s="632">
        <v>1.6835326E-4</v>
      </c>
      <c r="CM407" s="632">
        <v>3.0088586E-4</v>
      </c>
      <c r="CN407" s="632">
        <v>0.2484139</v>
      </c>
      <c r="CO407" s="632">
        <v>0.36307747</v>
      </c>
      <c r="CP407" s="632">
        <v>0.21508452</v>
      </c>
      <c r="CQ407" s="632">
        <v>1.0413985</v>
      </c>
      <c r="CR407" s="632">
        <v>1.5767197</v>
      </c>
      <c r="CS407" s="632">
        <v>1.5767197</v>
      </c>
      <c r="CT407" s="632">
        <v>2.919503E-4</v>
      </c>
      <c r="CU407" s="632">
        <v>0.003681508</v>
      </c>
      <c r="CV407" s="632">
        <v>2.0139668E-4</v>
      </c>
      <c r="CW407" s="632">
        <v>3.1818615E-4</v>
      </c>
      <c r="CX407" s="632">
        <v>0.075626752</v>
      </c>
      <c r="CY407" s="632">
        <v>0.024196569</v>
      </c>
      <c r="CZ407" s="632">
        <v>0.030873655</v>
      </c>
      <c r="DA407" s="632">
        <v>0.028789038</v>
      </c>
      <c r="DB407" s="632">
        <v>5.6691363E-4</v>
      </c>
      <c r="DC407" s="632">
        <v>1.6806103E-4</v>
      </c>
      <c r="DD407" s="632">
        <v>0.0049334692</v>
      </c>
      <c r="DE407" s="632">
        <v>0.0070078453</v>
      </c>
      <c r="DF407" s="632">
        <v>0.0043775408</v>
      </c>
      <c r="DG407" s="632">
        <v>0.0049334692</v>
      </c>
      <c r="DH407" s="632">
        <v>0.0070078453</v>
      </c>
      <c r="DI407" s="632">
        <v>0.0070478548</v>
      </c>
      <c r="DJ407" s="632">
        <v>0.0076155281</v>
      </c>
      <c r="DK407" s="632">
        <v>0.0076155281</v>
      </c>
      <c r="DL407" s="632">
        <v>0.0096899042</v>
      </c>
      <c r="DM407" s="632">
        <v>0.0076155281</v>
      </c>
      <c r="DN407" s="632">
        <v>0.0096899042</v>
      </c>
      <c r="DO407" s="632">
        <v>1.6806103E-4</v>
      </c>
      <c r="DP407" s="632">
        <v>5.5213989E-4</v>
      </c>
      <c r="DQ407" s="632">
        <v>7.3191545E-4</v>
      </c>
      <c r="DR407" s="632">
        <v>7.4893591E-4</v>
      </c>
      <c r="DS407" s="632">
        <v>7.8966449E-4</v>
      </c>
      <c r="DT407" s="632">
        <v>0.0033969723</v>
      </c>
      <c r="DU407" s="632">
        <v>0.022783219</v>
      </c>
      <c r="DV407" s="632">
        <v>0.01462033</v>
      </c>
      <c r="DW407" s="632">
        <v>0.031100465</v>
      </c>
      <c r="DX407" s="632">
        <v>0.63549142</v>
      </c>
      <c r="DY407" s="632">
        <v>0.040560712</v>
      </c>
      <c r="DZ407" s="632">
        <v>0.03961001</v>
      </c>
      <c r="EA407" s="632">
        <v>1.2375595E-4</v>
      </c>
      <c r="EB407" s="632">
        <v>2.9710654E-4</v>
      </c>
      <c r="EC407" s="632">
        <v>1.5694296E-4</v>
      </c>
      <c r="ED407" s="632">
        <v>0.0271104</v>
      </c>
      <c r="EE407" s="632">
        <v>3.1498167E-4</v>
      </c>
      <c r="EF407" s="632">
        <v>0.0</v>
      </c>
      <c r="EG407" s="632">
        <v>0.0</v>
      </c>
      <c r="EH407" s="632">
        <v>0.0</v>
      </c>
      <c r="EI407" s="632">
        <v>3.3081273E-4</v>
      </c>
      <c r="EJ407" s="632">
        <v>3.1465186E-4</v>
      </c>
      <c r="EK407" s="632">
        <v>0.011361283</v>
      </c>
      <c r="EL407" s="632">
        <v>0.0</v>
      </c>
      <c r="EM407" s="632">
        <v>0.0</v>
      </c>
      <c r="EN407" s="632">
        <v>0.0</v>
      </c>
      <c r="EO407" s="632">
        <v>0.0</v>
      </c>
      <c r="EP407" s="632">
        <v>0.78587202</v>
      </c>
      <c r="EQ407" s="632">
        <v>1.5550116</v>
      </c>
      <c r="ER407" s="632">
        <v>0.0</v>
      </c>
      <c r="ES407" s="632">
        <v>0.0</v>
      </c>
      <c r="ET407" s="632">
        <v>0.011265502</v>
      </c>
      <c r="EU407" s="632">
        <v>3.2395145E-4</v>
      </c>
      <c r="EV407" s="632">
        <v>3.2395145E-4</v>
      </c>
      <c r="EW407" s="632">
        <v>2.091781E-4</v>
      </c>
      <c r="EX407" s="632">
        <v>0.0015058316</v>
      </c>
      <c r="EY407" s="632">
        <v>0.0081097126</v>
      </c>
      <c r="EZ407" s="632">
        <v>0.0075492183</v>
      </c>
      <c r="FA407" s="632">
        <v>0.0017840453</v>
      </c>
      <c r="FB407" s="632">
        <v>0.0040545542</v>
      </c>
      <c r="FC407" s="632">
        <v>0.0012436262</v>
      </c>
      <c r="FD407" s="632">
        <v>0.0028668066</v>
      </c>
      <c r="FE407" s="632">
        <v>0.012933092</v>
      </c>
      <c r="FF407" s="632">
        <v>0.0012545495</v>
      </c>
      <c r="FG407" s="632">
        <v>0.0015829481</v>
      </c>
      <c r="FH407" s="632">
        <v>0.0016359401</v>
      </c>
      <c r="FI407" s="632">
        <v>8.883281E-4</v>
      </c>
      <c r="FJ407" s="632">
        <v>0.0049116417</v>
      </c>
      <c r="FK407" s="632">
        <v>0.0025217022</v>
      </c>
      <c r="FL407" s="632">
        <v>0.0014290228</v>
      </c>
      <c r="FM407" s="632">
        <v>0.0010478269</v>
      </c>
      <c r="FN407" s="632">
        <v>0.0054188934</v>
      </c>
      <c r="FO407" s="632">
        <v>0.047909596</v>
      </c>
      <c r="FP407" s="632">
        <v>0.0019912557</v>
      </c>
      <c r="FQ407" s="632">
        <v>0.0032566826</v>
      </c>
      <c r="FR407" s="632">
        <v>0.002867549</v>
      </c>
      <c r="FS407" s="632">
        <v>0.0036282992</v>
      </c>
      <c r="FT407" s="632">
        <v>3.0922304E-4</v>
      </c>
      <c r="FU407" s="632">
        <v>0.013183939</v>
      </c>
      <c r="FV407" s="632">
        <v>0.001592572</v>
      </c>
      <c r="FW407" s="632">
        <v>1.5694296E-4</v>
      </c>
      <c r="FX407" s="632">
        <v>0.0015779688</v>
      </c>
      <c r="FY407" s="632">
        <v>1.5694296E-4</v>
      </c>
      <c r="FZ407" s="632">
        <v>0.013962727</v>
      </c>
      <c r="GA407" s="632">
        <v>0.077305948</v>
      </c>
      <c r="GB407" s="632">
        <v>0.0086775524</v>
      </c>
      <c r="GC407" s="632">
        <v>0.0040160635</v>
      </c>
      <c r="GD407" s="632">
        <v>0.004232563</v>
      </c>
      <c r="GE407" s="632">
        <v>0.0240859</v>
      </c>
      <c r="GF407" s="632">
        <v>0.0043254518</v>
      </c>
      <c r="GG407" s="632">
        <v>0.022163756</v>
      </c>
      <c r="GH407" s="632">
        <v>0.19743099</v>
      </c>
      <c r="GI407" s="632">
        <v>0.12373333</v>
      </c>
      <c r="GJ407" s="632">
        <v>2.7413733E-4</v>
      </c>
      <c r="GK407" s="632">
        <v>6.9499385E-4</v>
      </c>
      <c r="GL407" s="632">
        <v>3.2518732E-4</v>
      </c>
      <c r="GM407" s="632">
        <v>3.2518732E-4</v>
      </c>
      <c r="GN407" s="632">
        <v>1.5694296E-4</v>
      </c>
      <c r="GO407" s="632">
        <v>2.7607088E-4</v>
      </c>
      <c r="GP407" s="632">
        <v>2.8345681E-4</v>
      </c>
      <c r="GQ407" s="632">
        <v>0.0</v>
      </c>
      <c r="GR407" s="632">
        <v>0.0</v>
      </c>
      <c r="GS407" s="632">
        <v>0.0022599786</v>
      </c>
      <c r="GT407" s="632">
        <v>9.8728185E-4</v>
      </c>
      <c r="GU407" s="632">
        <v>0.010758374</v>
      </c>
      <c r="GV407" s="632">
        <v>0.0019574942</v>
      </c>
      <c r="GW407" s="632">
        <v>2.9909927E-4</v>
      </c>
      <c r="GX407" s="632">
        <v>2.6771849E-4</v>
      </c>
      <c r="GY407" s="632">
        <v>1.8406178E-4</v>
      </c>
      <c r="GZ407" s="632">
        <v>1.687247E-4</v>
      </c>
      <c r="HA407" s="632">
        <v>0.0</v>
      </c>
      <c r="HB407" s="632">
        <v>0.0</v>
      </c>
      <c r="HC407" s="632">
        <v>0.0</v>
      </c>
      <c r="HD407" s="632">
        <v>0.0017326106</v>
      </c>
      <c r="HE407" s="632">
        <v>0.0054362416</v>
      </c>
      <c r="HF407" s="632">
        <v>1.687247E-4</v>
      </c>
      <c r="HG407" s="632">
        <v>1.8406178E-4</v>
      </c>
      <c r="HH407" s="632">
        <v>0.22881986</v>
      </c>
      <c r="HI407" s="632">
        <v>0.0</v>
      </c>
      <c r="HJ407" s="632">
        <v>2.8345681E-4</v>
      </c>
      <c r="HK407" s="632">
        <v>0.0019677658</v>
      </c>
      <c r="HL407" s="632">
        <v>5.9148208</v>
      </c>
      <c r="HM407" s="632">
        <v>4.5387127</v>
      </c>
      <c r="HN407" s="632">
        <v>4.825517</v>
      </c>
      <c r="HO407" s="632">
        <v>6.0838218</v>
      </c>
      <c r="HP407" s="632">
        <v>5.9771085</v>
      </c>
      <c r="HQ407" s="632">
        <v>2.5271684</v>
      </c>
      <c r="HR407" s="632">
        <v>0.029597424</v>
      </c>
      <c r="HS407" s="632">
        <v>0.018769978</v>
      </c>
      <c r="HT407" s="632">
        <v>0.030601906</v>
      </c>
      <c r="HU407" s="632">
        <v>0.037102924</v>
      </c>
      <c r="HV407" s="632">
        <v>0.035001055</v>
      </c>
      <c r="HW407" s="632">
        <v>6.0294866</v>
      </c>
      <c r="HX407" s="632">
        <v>0.14810694</v>
      </c>
      <c r="HY407" s="632">
        <v>0.069467746</v>
      </c>
      <c r="HZ407" s="632">
        <v>0.055129288</v>
      </c>
      <c r="IA407" s="632">
        <v>0.062917696</v>
      </c>
      <c r="IB407" s="632">
        <v>0.077247645</v>
      </c>
      <c r="IC407" s="632">
        <v>0.26227302</v>
      </c>
      <c r="ID407" s="632">
        <v>0.19878653</v>
      </c>
      <c r="IE407" s="632">
        <v>0.26539703</v>
      </c>
      <c r="IF407" s="632">
        <v>0.3259203</v>
      </c>
      <c r="IG407" s="632">
        <v>0.81182313</v>
      </c>
      <c r="IH407" s="632">
        <v>0.47167016</v>
      </c>
      <c r="II407" s="632">
        <v>0.35650312</v>
      </c>
      <c r="IJ407" s="632">
        <v>0.64783634</v>
      </c>
      <c r="IK407" s="632">
        <v>0.6274743</v>
      </c>
      <c r="IL407" s="632">
        <v>0.70526998</v>
      </c>
      <c r="IM407" s="632">
        <v>0.669653</v>
      </c>
      <c r="IN407" s="632">
        <v>0.44946982</v>
      </c>
      <c r="IO407" s="632">
        <v>1.73869</v>
      </c>
      <c r="IP407" s="632">
        <v>0.27154352</v>
      </c>
      <c r="IQ407" s="632">
        <v>0.96197577</v>
      </c>
      <c r="IR407" s="632">
        <v>1.3080484</v>
      </c>
      <c r="IS407" s="632">
        <v>0.66082352</v>
      </c>
      <c r="IT407" s="632">
        <v>0.88497064</v>
      </c>
      <c r="IU407" s="632">
        <v>0.67373873</v>
      </c>
      <c r="IV407" s="632">
        <v>0.21502551</v>
      </c>
      <c r="IW407" s="632">
        <v>0.45507034</v>
      </c>
      <c r="IX407" s="632">
        <v>0.14573757</v>
      </c>
      <c r="IY407" s="632">
        <v>1.1055589</v>
      </c>
      <c r="IZ407" s="632">
        <v>0.26524285</v>
      </c>
      <c r="JA407" s="632">
        <v>5.172301E-4</v>
      </c>
      <c r="JB407" s="632">
        <v>0.0</v>
      </c>
      <c r="JC407" s="632">
        <v>3.6639657</v>
      </c>
      <c r="JD407" s="632">
        <v>5.9047006</v>
      </c>
      <c r="JE407" s="632">
        <v>4.4512209</v>
      </c>
      <c r="JF407" s="632">
        <v>2.5329352</v>
      </c>
      <c r="JG407" s="632">
        <v>4.771235</v>
      </c>
      <c r="JH407" s="632">
        <v>8.5574061</v>
      </c>
      <c r="JI407" s="632">
        <v>6.2515942</v>
      </c>
      <c r="JJ407" s="632">
        <v>7.3672047</v>
      </c>
      <c r="JK407" s="632">
        <v>3.9769377</v>
      </c>
      <c r="JL407" s="632">
        <v>6.2176098</v>
      </c>
      <c r="JM407" s="632">
        <v>7.3851522</v>
      </c>
      <c r="JN407" s="632">
        <v>0.042965306</v>
      </c>
      <c r="JO407" s="632">
        <v>0.031507369</v>
      </c>
      <c r="JP407" s="632">
        <v>0.045709331</v>
      </c>
      <c r="JQ407" s="632">
        <v>0.034251395</v>
      </c>
      <c r="JR407" s="632">
        <v>6.1917961E-4</v>
      </c>
      <c r="JS407" s="632">
        <v>2.0751273E-4</v>
      </c>
      <c r="JT407" s="632">
        <v>1.8578393</v>
      </c>
      <c r="JU407" s="632">
        <v>0.9972537</v>
      </c>
      <c r="JV407" s="632">
        <v>0.019127893</v>
      </c>
      <c r="JW407" s="632">
        <v>0.27016181</v>
      </c>
      <c r="JX407" s="632">
        <v>0.019818469</v>
      </c>
      <c r="JY407" s="632">
        <v>11.739756</v>
      </c>
      <c r="JZ407" s="632">
        <v>5.5016103</v>
      </c>
      <c r="KA407" s="632">
        <v>4.0138142</v>
      </c>
      <c r="KB407" s="632">
        <v>1.2391497</v>
      </c>
      <c r="KC407" s="632">
        <v>26.643855</v>
      </c>
      <c r="KD407" s="632">
        <v>3.9826467</v>
      </c>
      <c r="KE407" s="632">
        <v>1.6156909</v>
      </c>
      <c r="KF407" s="632">
        <v>7.8204292</v>
      </c>
      <c r="KG407" s="632">
        <v>1.7893229</v>
      </c>
      <c r="KH407" s="632">
        <v>191.95828</v>
      </c>
      <c r="KI407" s="632">
        <v>56.681271</v>
      </c>
      <c r="KJ407" s="632">
        <v>54.851755</v>
      </c>
      <c r="KK407" s="632">
        <v>0.21530012</v>
      </c>
      <c r="KL407" s="632">
        <v>0.10921174</v>
      </c>
      <c r="KM407" s="632">
        <v>1.9402794</v>
      </c>
      <c r="KN407" s="632">
        <v>0.0038039659</v>
      </c>
      <c r="KO407" s="632">
        <v>0.010864635</v>
      </c>
      <c r="KP407" s="632">
        <v>0.0048076777</v>
      </c>
      <c r="KQ407" s="632">
        <v>0.012565327</v>
      </c>
      <c r="KR407" s="632">
        <v>0.0093096443</v>
      </c>
      <c r="KS407" s="632">
        <v>0.0045154306</v>
      </c>
      <c r="KT407" s="632">
        <v>0.082798555</v>
      </c>
      <c r="KU407" s="632">
        <v>0.11738087</v>
      </c>
      <c r="KV407" s="632">
        <v>0.038258578</v>
      </c>
      <c r="KW407" s="632">
        <v>0.051501432</v>
      </c>
      <c r="KX407" s="632">
        <v>0.055306222</v>
      </c>
      <c r="KY407" s="632">
        <v>0.057885914</v>
      </c>
      <c r="KZ407" s="632">
        <v>0.05298059</v>
      </c>
      <c r="LA407" s="632">
        <v>0.069994124</v>
      </c>
      <c r="LB407" s="632">
        <v>0.035751603</v>
      </c>
      <c r="LC407" s="632">
        <v>0.11990121</v>
      </c>
      <c r="LD407" s="632">
        <v>0.05632931</v>
      </c>
      <c r="LE407" s="632">
        <v>0.041043227</v>
      </c>
      <c r="LF407" s="632">
        <v>0.28106279</v>
      </c>
      <c r="LG407" s="632">
        <v>0.13788878</v>
      </c>
      <c r="LH407" s="632">
        <v>0.15585111</v>
      </c>
      <c r="LI407" s="632">
        <v>0.089562365</v>
      </c>
      <c r="LJ407" s="632">
        <v>0.088613071</v>
      </c>
      <c r="LK407" s="632">
        <v>0.0021033837</v>
      </c>
      <c r="LL407" s="632">
        <v>0.088505844</v>
      </c>
      <c r="LM407" s="632">
        <v>0.13944912</v>
      </c>
      <c r="LN407" s="632">
        <v>0.21604287</v>
      </c>
      <c r="LO407" s="632">
        <v>7.2766139E-4</v>
      </c>
      <c r="LP407" s="632">
        <v>0.12713028</v>
      </c>
      <c r="LQ407" s="632">
        <v>0.087511525</v>
      </c>
      <c r="LR407" s="632">
        <v>0.090239623</v>
      </c>
      <c r="LS407" s="632">
        <v>0.34029359</v>
      </c>
      <c r="LT407" s="632">
        <v>0.40937761</v>
      </c>
      <c r="LU407" s="632">
        <v>44.981804</v>
      </c>
      <c r="LV407" s="632">
        <v>19.397001</v>
      </c>
      <c r="LW407" s="632">
        <v>0.96325805</v>
      </c>
      <c r="LX407" s="632">
        <v>2.9705047</v>
      </c>
      <c r="LY407" s="632">
        <v>0.0030984983</v>
      </c>
      <c r="LZ407" s="632">
        <v>0.11468645</v>
      </c>
      <c r="MA407" s="632">
        <v>0.31482464</v>
      </c>
      <c r="MB407" s="632">
        <v>0.81721259</v>
      </c>
      <c r="MC407" s="632">
        <v>0.031017079</v>
      </c>
      <c r="MD407" s="632">
        <v>0.029489106</v>
      </c>
      <c r="ME407" s="632">
        <v>0.12420434</v>
      </c>
      <c r="MF407" s="632">
        <v>5.6510246</v>
      </c>
      <c r="MG407" s="632">
        <v>0.015009397</v>
      </c>
      <c r="MH407" s="632">
        <v>0.0024554464</v>
      </c>
      <c r="MI407" s="632">
        <v>2.0751273E-4</v>
      </c>
      <c r="MJ407" s="632">
        <v>0.18204088</v>
      </c>
      <c r="MK407" s="632">
        <v>0.010131588</v>
      </c>
      <c r="ML407" s="632">
        <v>0.013241148</v>
      </c>
      <c r="MM407" s="632">
        <v>0.0078894176</v>
      </c>
      <c r="MN407" s="632">
        <v>0.0059857828</v>
      </c>
      <c r="MO407" s="632">
        <v>0.0071011052</v>
      </c>
      <c r="MP407" s="632">
        <v>0.0042203558</v>
      </c>
      <c r="MQ407" s="632">
        <v>0.013705383</v>
      </c>
      <c r="MR407" s="632">
        <v>0.0096686817</v>
      </c>
      <c r="MS407" s="632">
        <v>0.005805841</v>
      </c>
      <c r="MT407" s="632">
        <v>0.010779969</v>
      </c>
      <c r="MU407" s="632">
        <v>0.0076586501</v>
      </c>
      <c r="MV407" s="632">
        <v>0.0041387435</v>
      </c>
      <c r="MW407" s="632">
        <v>0.1343637</v>
      </c>
      <c r="MX407" s="632">
        <v>23.08275</v>
      </c>
      <c r="MY407" s="632">
        <v>19.584602</v>
      </c>
      <c r="MZ407" s="632">
        <v>10.747414</v>
      </c>
      <c r="NA407" s="632">
        <v>0.04397933</v>
      </c>
      <c r="NB407" s="632">
        <v>0.054910827</v>
      </c>
      <c r="NC407" s="632">
        <v>0.16617725</v>
      </c>
      <c r="ND407" s="632">
        <v>3.853665</v>
      </c>
      <c r="NE407" s="632">
        <v>1.2894897</v>
      </c>
      <c r="NF407" s="632">
        <v>5.921568</v>
      </c>
      <c r="NG407" s="632">
        <v>4.4005267</v>
      </c>
      <c r="NH407" s="632">
        <v>0.13493855</v>
      </c>
      <c r="NI407" s="632">
        <v>0.25076338</v>
      </c>
      <c r="NJ407" s="632">
        <v>0.18724828</v>
      </c>
      <c r="NK407" s="632">
        <v>0.2478821</v>
      </c>
      <c r="NL407" s="632">
        <v>0.012880768</v>
      </c>
      <c r="NM407" s="632">
        <v>0.065141464</v>
      </c>
      <c r="NN407" s="632">
        <v>0.22626899</v>
      </c>
      <c r="NO407" s="632">
        <v>1.1569283</v>
      </c>
      <c r="NP407" s="632">
        <v>0.016573693</v>
      </c>
      <c r="NQ407" s="632">
        <v>38.123154</v>
      </c>
      <c r="NR407" s="632">
        <v>17.599931</v>
      </c>
      <c r="NS407" s="632">
        <v>12.334122</v>
      </c>
      <c r="NT407" s="632">
        <v>21.470511</v>
      </c>
      <c r="NU407" s="632">
        <v>15.047697</v>
      </c>
      <c r="NV407" s="632">
        <v>0.014973488</v>
      </c>
      <c r="NW407" s="632">
        <v>0.25483872</v>
      </c>
      <c r="NX407" s="632"/>
      <c r="NY407" s="632">
        <v>0.0</v>
      </c>
      <c r="NZ407" s="632"/>
      <c r="OA407" s="632">
        <v>0.00111486015193235</v>
      </c>
      <c r="OB407" s="632">
        <v>0.04</v>
      </c>
      <c r="OC407" s="632"/>
      <c r="OD407" s="626"/>
      <c r="OE407" s="632">
        <f t="shared" si="2"/>
        <v>57.64622087</v>
      </c>
      <c r="OF407" s="632">
        <v>14.257437892263754</v>
      </c>
      <c r="OG407" s="632">
        <v>64.58842614663466</v>
      </c>
    </row>
    <row r="408" ht="12.75" customHeight="1">
      <c r="A408" s="55" t="s">
        <v>5011</v>
      </c>
      <c r="B408" s="55" t="s">
        <v>5005</v>
      </c>
      <c r="C408" s="632">
        <v>1.0836245</v>
      </c>
      <c r="D408" s="632">
        <v>0.44454356</v>
      </c>
      <c r="E408" s="632">
        <v>0.63487126</v>
      </c>
      <c r="F408" s="632">
        <v>0.97272943</v>
      </c>
      <c r="G408" s="632">
        <v>0.17178217</v>
      </c>
      <c r="H408" s="632">
        <v>0.23687193</v>
      </c>
      <c r="I408" s="632">
        <v>0.29791569</v>
      </c>
      <c r="J408" s="632">
        <v>29.746663</v>
      </c>
      <c r="K408" s="632">
        <v>0.98283866</v>
      </c>
      <c r="L408" s="632">
        <v>103.53426</v>
      </c>
      <c r="M408" s="632">
        <v>71.372923</v>
      </c>
      <c r="N408" s="632">
        <v>17.736499</v>
      </c>
      <c r="O408" s="632">
        <v>10.832753</v>
      </c>
      <c r="P408" s="632">
        <v>18.357798</v>
      </c>
      <c r="Q408" s="632">
        <v>0.054577642</v>
      </c>
      <c r="R408" s="632">
        <v>0.14061706</v>
      </c>
      <c r="S408" s="632">
        <v>0.0025570244</v>
      </c>
      <c r="T408" s="632">
        <v>7.1340029E-5</v>
      </c>
      <c r="U408" s="632">
        <v>0.0013528337</v>
      </c>
      <c r="V408" s="632">
        <v>0.0</v>
      </c>
      <c r="W408" s="632">
        <v>0.45831036</v>
      </c>
      <c r="X408" s="632">
        <v>0.55329544</v>
      </c>
      <c r="Y408" s="632">
        <v>0.54368557</v>
      </c>
      <c r="Z408" s="632">
        <v>0.44964094</v>
      </c>
      <c r="AA408" s="632">
        <v>0.15411505</v>
      </c>
      <c r="AB408" s="632">
        <v>0.14818755</v>
      </c>
      <c r="AC408" s="632">
        <v>0.010356433</v>
      </c>
      <c r="AD408" s="632">
        <v>0.014337145</v>
      </c>
      <c r="AE408" s="632">
        <v>114.01497</v>
      </c>
      <c r="AF408" s="632">
        <v>163.96152</v>
      </c>
      <c r="AG408" s="632">
        <v>121.27503</v>
      </c>
      <c r="AH408" s="632">
        <v>0.13486895</v>
      </c>
      <c r="AI408" s="632">
        <v>0.10257318</v>
      </c>
      <c r="AJ408" s="632">
        <v>2.0138278</v>
      </c>
      <c r="AK408" s="632">
        <v>0.59722115</v>
      </c>
      <c r="AL408" s="632">
        <v>0.55345803</v>
      </c>
      <c r="AM408" s="632">
        <v>0.53138866</v>
      </c>
      <c r="AN408" s="632">
        <v>0.48442422</v>
      </c>
      <c r="AO408" s="632">
        <v>0.49700892</v>
      </c>
      <c r="AP408" s="632">
        <v>0.45116047</v>
      </c>
      <c r="AQ408" s="632">
        <v>0.41664226</v>
      </c>
      <c r="AR408" s="632">
        <v>0.37011019</v>
      </c>
      <c r="AS408" s="632">
        <v>0.49292044</v>
      </c>
      <c r="AT408" s="632">
        <v>0.45645038</v>
      </c>
      <c r="AU408" s="632">
        <v>0.52763478</v>
      </c>
      <c r="AV408" s="632">
        <v>216.23082</v>
      </c>
      <c r="AW408" s="632">
        <v>253.7569</v>
      </c>
      <c r="AX408" s="632">
        <v>294.29376</v>
      </c>
      <c r="AY408" s="632">
        <v>5.9524606</v>
      </c>
      <c r="AZ408" s="632">
        <v>0.038750778</v>
      </c>
      <c r="BA408" s="632">
        <v>0.44234314</v>
      </c>
      <c r="BB408" s="632">
        <v>0.78724271</v>
      </c>
      <c r="BC408" s="632">
        <v>0.83985359</v>
      </c>
      <c r="BD408" s="632">
        <v>0.60774699</v>
      </c>
      <c r="BE408" s="632">
        <v>0.64653481</v>
      </c>
      <c r="BF408" s="632">
        <v>0.05308401</v>
      </c>
      <c r="BG408" s="632">
        <v>0.15463587</v>
      </c>
      <c r="BH408" s="632">
        <v>0.14462088</v>
      </c>
      <c r="BI408" s="632">
        <v>0.49967379</v>
      </c>
      <c r="BJ408" s="632">
        <v>7.5075836</v>
      </c>
      <c r="BK408" s="632">
        <v>8.1306815</v>
      </c>
      <c r="BL408" s="632">
        <v>2.6905476</v>
      </c>
      <c r="BM408" s="632">
        <v>3.3136457</v>
      </c>
      <c r="BN408" s="632">
        <v>160.37468</v>
      </c>
      <c r="BO408" s="632">
        <v>0.046242491</v>
      </c>
      <c r="BP408" s="632">
        <v>0.040771158</v>
      </c>
      <c r="BQ408" s="632">
        <v>82.992072</v>
      </c>
      <c r="BR408" s="632">
        <v>92.237324</v>
      </c>
      <c r="BS408" s="632">
        <v>99.217558</v>
      </c>
      <c r="BT408" s="632">
        <v>163.58959</v>
      </c>
      <c r="BU408" s="632">
        <v>65.326971</v>
      </c>
      <c r="BV408" s="632">
        <v>102.64411</v>
      </c>
      <c r="BW408" s="632">
        <v>0.069973705</v>
      </c>
      <c r="BX408" s="632">
        <v>172.5919</v>
      </c>
      <c r="BY408" s="632">
        <v>4.962476</v>
      </c>
      <c r="BZ408" s="632">
        <v>0.84613706</v>
      </c>
      <c r="CA408" s="632">
        <v>0.10259138</v>
      </c>
      <c r="CB408" s="632">
        <v>0.065065686</v>
      </c>
      <c r="CC408" s="632">
        <v>0.076347721</v>
      </c>
      <c r="CD408" s="632">
        <v>0.088983859</v>
      </c>
      <c r="CE408" s="632">
        <v>189.21236</v>
      </c>
      <c r="CF408" s="632">
        <v>353.59455</v>
      </c>
      <c r="CG408" s="632">
        <v>27.362875</v>
      </c>
      <c r="CH408" s="632">
        <v>36.852035</v>
      </c>
      <c r="CI408" s="632">
        <v>0.0048129636</v>
      </c>
      <c r="CJ408" s="632">
        <v>0.068649352</v>
      </c>
      <c r="CK408" s="632">
        <v>0.021997472</v>
      </c>
      <c r="CL408" s="632">
        <v>0.0018564081</v>
      </c>
      <c r="CM408" s="632">
        <v>0.0047460277</v>
      </c>
      <c r="CN408" s="632">
        <v>4.8345585</v>
      </c>
      <c r="CO408" s="632">
        <v>7.0478911</v>
      </c>
      <c r="CP408" s="632">
        <v>4.1859118</v>
      </c>
      <c r="CQ408" s="632">
        <v>20.267392</v>
      </c>
      <c r="CR408" s="632">
        <v>30.685656</v>
      </c>
      <c r="CS408" s="632">
        <v>30.685656</v>
      </c>
      <c r="CT408" s="632">
        <v>0.005668039</v>
      </c>
      <c r="CU408" s="632">
        <v>0.018807342</v>
      </c>
      <c r="CV408" s="632">
        <v>0.0020330378</v>
      </c>
      <c r="CW408" s="632">
        <v>0.003047695</v>
      </c>
      <c r="CX408" s="632">
        <v>0.8438252</v>
      </c>
      <c r="CY408" s="632">
        <v>0.21167698</v>
      </c>
      <c r="CZ408" s="632">
        <v>0.32206468</v>
      </c>
      <c r="DA408" s="632">
        <v>0.30326766</v>
      </c>
      <c r="DB408" s="632">
        <v>0.0042288591</v>
      </c>
      <c r="DC408" s="632">
        <v>0.0018821841</v>
      </c>
      <c r="DD408" s="632">
        <v>0.046262987</v>
      </c>
      <c r="DE408" s="632">
        <v>0.066145359</v>
      </c>
      <c r="DF408" s="632">
        <v>0.042031167</v>
      </c>
      <c r="DG408" s="632">
        <v>0.046262987</v>
      </c>
      <c r="DH408" s="632">
        <v>0.066145359</v>
      </c>
      <c r="DI408" s="632">
        <v>0.066712341</v>
      </c>
      <c r="DJ408" s="632">
        <v>0.071033566</v>
      </c>
      <c r="DK408" s="632">
        <v>0.071033566</v>
      </c>
      <c r="DL408" s="632">
        <v>0.090915937</v>
      </c>
      <c r="DM408" s="632">
        <v>0.071033565</v>
      </c>
      <c r="DN408" s="632">
        <v>0.090915937</v>
      </c>
      <c r="DO408" s="632">
        <v>0.0018821841</v>
      </c>
      <c r="DP408" s="632">
        <v>0.0049542213</v>
      </c>
      <c r="DQ408" s="632">
        <v>0.0058958855</v>
      </c>
      <c r="DR408" s="632">
        <v>0.005581518</v>
      </c>
      <c r="DS408" s="632">
        <v>0.0060422891</v>
      </c>
      <c r="DT408" s="632">
        <v>0.022818761</v>
      </c>
      <c r="DU408" s="632">
        <v>0.19320418</v>
      </c>
      <c r="DV408" s="632">
        <v>0.10997583</v>
      </c>
      <c r="DW408" s="632">
        <v>0.32872192</v>
      </c>
      <c r="DX408" s="632">
        <v>5.4467125</v>
      </c>
      <c r="DY408" s="632">
        <v>0.36903702</v>
      </c>
      <c r="DZ408" s="632">
        <v>0.36636075</v>
      </c>
      <c r="EA408" s="632">
        <v>0.0013528337</v>
      </c>
      <c r="EB408" s="632">
        <v>0.0056893836</v>
      </c>
      <c r="EC408" s="632">
        <v>0.0017316768</v>
      </c>
      <c r="ED408" s="632">
        <v>0.2323364</v>
      </c>
      <c r="EE408" s="632">
        <v>0.0063662275</v>
      </c>
      <c r="EF408" s="632">
        <v>0.0</v>
      </c>
      <c r="EG408" s="632">
        <v>0.0</v>
      </c>
      <c r="EH408" s="632">
        <v>0.0</v>
      </c>
      <c r="EI408" s="632">
        <v>0.0064381805</v>
      </c>
      <c r="EJ408" s="632">
        <v>0.0063646778</v>
      </c>
      <c r="EK408" s="632">
        <v>0.075382857</v>
      </c>
      <c r="EL408" s="632">
        <v>0.0</v>
      </c>
      <c r="EM408" s="632">
        <v>0.0</v>
      </c>
      <c r="EN408" s="632">
        <v>0.0</v>
      </c>
      <c r="EO408" s="632">
        <v>0.0</v>
      </c>
      <c r="EP408" s="632">
        <v>15.247203</v>
      </c>
      <c r="EQ408" s="632">
        <v>30.215973</v>
      </c>
      <c r="ER408" s="632">
        <v>0.0</v>
      </c>
      <c r="ES408" s="632">
        <v>0.0</v>
      </c>
      <c r="ET408" s="632">
        <v>0.079450414</v>
      </c>
      <c r="EU408" s="632">
        <v>0.002416497</v>
      </c>
      <c r="EV408" s="632">
        <v>0.002416497</v>
      </c>
      <c r="EW408" s="632">
        <v>0.0017455517</v>
      </c>
      <c r="EX408" s="632">
        <v>0.011068055</v>
      </c>
      <c r="EY408" s="632">
        <v>0.056688435</v>
      </c>
      <c r="EZ408" s="632">
        <v>0.055451531</v>
      </c>
      <c r="FA408" s="632">
        <v>0.014029653</v>
      </c>
      <c r="FB408" s="632">
        <v>0.031520682</v>
      </c>
      <c r="FC408" s="632">
        <v>0.0097407709</v>
      </c>
      <c r="FD408" s="632">
        <v>0.022373011</v>
      </c>
      <c r="FE408" s="632">
        <v>0.098412908</v>
      </c>
      <c r="FF408" s="632">
        <v>0.012421738</v>
      </c>
      <c r="FG408" s="632">
        <v>0.015673329</v>
      </c>
      <c r="FH408" s="632">
        <v>0.012584741</v>
      </c>
      <c r="FI408" s="632">
        <v>0.0068336115</v>
      </c>
      <c r="FJ408" s="632">
        <v>0.039891368</v>
      </c>
      <c r="FK408" s="632">
        <v>0.018968538</v>
      </c>
      <c r="FL408" s="632">
        <v>0.010992995</v>
      </c>
      <c r="FM408" s="632">
        <v>0.0080605823</v>
      </c>
      <c r="FN408" s="632">
        <v>0.042889206</v>
      </c>
      <c r="FO408" s="632">
        <v>0.40512029</v>
      </c>
      <c r="FP408" s="632">
        <v>0.019716126</v>
      </c>
      <c r="FQ408" s="632">
        <v>0.02533506</v>
      </c>
      <c r="FR408" s="632">
        <v>0.031346511</v>
      </c>
      <c r="FS408" s="632">
        <v>0.028628218</v>
      </c>
      <c r="FT408" s="632">
        <v>0.0023066312</v>
      </c>
      <c r="FU408" s="632">
        <v>0.14546919</v>
      </c>
      <c r="FV408" s="632">
        <v>0.017569748</v>
      </c>
      <c r="FW408" s="632">
        <v>0.0017316768</v>
      </c>
      <c r="FX408" s="632">
        <v>0.017410114</v>
      </c>
      <c r="FY408" s="632">
        <v>0.0017316768</v>
      </c>
      <c r="FZ408" s="632">
        <v>0.10883591</v>
      </c>
      <c r="GA408" s="632">
        <v>0.62348169</v>
      </c>
      <c r="GB408" s="632">
        <v>0.069030746</v>
      </c>
      <c r="GC408" s="632">
        <v>0.029957591</v>
      </c>
      <c r="GD408" s="632">
        <v>0.03190019</v>
      </c>
      <c r="GE408" s="632">
        <v>0.46761322</v>
      </c>
      <c r="GF408" s="632">
        <v>0.034885285</v>
      </c>
      <c r="GG408" s="632">
        <v>0.15181835</v>
      </c>
      <c r="GH408" s="632">
        <v>1.4685639</v>
      </c>
      <c r="GI408" s="632">
        <v>0.91188495</v>
      </c>
      <c r="GJ408" s="632">
        <v>0.0061794217</v>
      </c>
      <c r="GK408" s="632">
        <v>0.0055274621</v>
      </c>
      <c r="GL408" s="632">
        <v>0.0024257159</v>
      </c>
      <c r="GM408" s="632">
        <v>0.0024257159</v>
      </c>
      <c r="GN408" s="632">
        <v>0.0017316768</v>
      </c>
      <c r="GO408" s="632">
        <v>0.0061885067</v>
      </c>
      <c r="GP408" s="632">
        <v>0.0021144295</v>
      </c>
      <c r="GQ408" s="632">
        <v>0.0</v>
      </c>
      <c r="GR408" s="632">
        <v>0.0</v>
      </c>
      <c r="GS408" s="632">
        <v>0.024936146</v>
      </c>
      <c r="GT408" s="632">
        <v>0.01089351</v>
      </c>
      <c r="GU408" s="632">
        <v>0.073554024</v>
      </c>
      <c r="GV408" s="632">
        <v>0.014900773</v>
      </c>
      <c r="GW408" s="632">
        <v>0.0059550129</v>
      </c>
      <c r="GX408" s="632">
        <v>0.0044549325</v>
      </c>
      <c r="GY408" s="632">
        <v>0.0014844802</v>
      </c>
      <c r="GZ408" s="632">
        <v>0.0013607849</v>
      </c>
      <c r="HA408" s="632">
        <v>0.0</v>
      </c>
      <c r="HB408" s="632">
        <v>0.0</v>
      </c>
      <c r="HC408" s="632">
        <v>0.0</v>
      </c>
      <c r="HD408" s="632">
        <v>0.01103785</v>
      </c>
      <c r="HE408" s="632">
        <v>0.046305065</v>
      </c>
      <c r="HF408" s="632">
        <v>0.0013607849</v>
      </c>
      <c r="HG408" s="632">
        <v>0.0014844802</v>
      </c>
      <c r="HH408" s="632">
        <v>4.4532251</v>
      </c>
      <c r="HI408" s="632">
        <v>0.0</v>
      </c>
      <c r="HJ408" s="632">
        <v>0.0021144295</v>
      </c>
      <c r="HK408" s="632">
        <v>0.014834253</v>
      </c>
      <c r="HL408" s="632">
        <v>42.681501</v>
      </c>
      <c r="HM408" s="632">
        <v>26.505698</v>
      </c>
      <c r="HN408" s="632">
        <v>89.876678</v>
      </c>
      <c r="HO408" s="632">
        <v>86.848304</v>
      </c>
      <c r="HP408" s="632">
        <v>112.2298</v>
      </c>
      <c r="HQ408" s="632">
        <v>9.6271737</v>
      </c>
      <c r="HR408" s="632">
        <v>0.38267149</v>
      </c>
      <c r="HS408" s="632">
        <v>0.080019749</v>
      </c>
      <c r="HT408" s="632">
        <v>0.66006735</v>
      </c>
      <c r="HU408" s="632">
        <v>0.68883653</v>
      </c>
      <c r="HV408" s="632">
        <v>0.68023194</v>
      </c>
      <c r="HW408" s="632">
        <v>132.70302</v>
      </c>
      <c r="HX408" s="632">
        <v>0.25523565</v>
      </c>
      <c r="HY408" s="632">
        <v>0.72217131</v>
      </c>
      <c r="HZ408" s="632">
        <v>0.93572187</v>
      </c>
      <c r="IA408" s="632">
        <v>0.2738147</v>
      </c>
      <c r="IB408" s="632">
        <v>0.60248663</v>
      </c>
      <c r="IC408" s="632">
        <v>3.8757974</v>
      </c>
      <c r="ID408" s="632">
        <v>2.4858368</v>
      </c>
      <c r="IE408" s="632">
        <v>1.1886067</v>
      </c>
      <c r="IF408" s="632">
        <v>1.3991762</v>
      </c>
      <c r="IG408" s="632">
        <v>3.5391689</v>
      </c>
      <c r="IH408" s="632">
        <v>2.704502</v>
      </c>
      <c r="II408" s="632">
        <v>2.6697065</v>
      </c>
      <c r="IJ408" s="632">
        <v>5.4918325</v>
      </c>
      <c r="IK408" s="632">
        <v>5.5404004</v>
      </c>
      <c r="IL408" s="632">
        <v>2.8808837</v>
      </c>
      <c r="IM408" s="632">
        <v>2.8728345</v>
      </c>
      <c r="IN408" s="632">
        <v>7.8383434</v>
      </c>
      <c r="IO408" s="632">
        <v>6.9645989</v>
      </c>
      <c r="IP408" s="632">
        <v>1.332662</v>
      </c>
      <c r="IQ408" s="632">
        <v>8.2176481</v>
      </c>
      <c r="IR408" s="632">
        <v>9.3119272</v>
      </c>
      <c r="IS408" s="632">
        <v>3.5736443</v>
      </c>
      <c r="IT408" s="632">
        <v>5.0041846</v>
      </c>
      <c r="IU408" s="632">
        <v>10.767813</v>
      </c>
      <c r="IV408" s="632">
        <v>1.2636367</v>
      </c>
      <c r="IW408" s="632">
        <v>2.0711209</v>
      </c>
      <c r="IX408" s="632">
        <v>5.8023678</v>
      </c>
      <c r="IY408" s="632">
        <v>5.0211547</v>
      </c>
      <c r="IZ408" s="632">
        <v>1.4201409</v>
      </c>
      <c r="JA408" s="632">
        <v>0.0050539059</v>
      </c>
      <c r="JB408" s="632">
        <v>7.8663</v>
      </c>
      <c r="JC408" s="632">
        <v>46.915056</v>
      </c>
      <c r="JD408" s="632">
        <v>73.600424</v>
      </c>
      <c r="JE408" s="632">
        <v>30.734904</v>
      </c>
      <c r="JF408" s="632">
        <v>24.467755</v>
      </c>
      <c r="JG408" s="632">
        <v>51.144881</v>
      </c>
      <c r="JH408" s="632">
        <v>55.056986</v>
      </c>
      <c r="JI408" s="632">
        <v>84.474425</v>
      </c>
      <c r="JJ408" s="632">
        <v>88.688063</v>
      </c>
      <c r="JK408" s="632">
        <v>39.409492</v>
      </c>
      <c r="JL408" s="632">
        <v>66.049697</v>
      </c>
      <c r="JM408" s="632">
        <v>106.93099</v>
      </c>
      <c r="JN408" s="632">
        <v>0.60935549</v>
      </c>
      <c r="JO408" s="632">
        <v>0.69452523</v>
      </c>
      <c r="JP408" s="632">
        <v>0.62214516</v>
      </c>
      <c r="JQ408" s="632">
        <v>0.7073149</v>
      </c>
      <c r="JR408" s="632">
        <v>0.014950263</v>
      </c>
      <c r="JS408" s="632">
        <v>0.0046336515</v>
      </c>
      <c r="JT408" s="632">
        <v>2.3632366</v>
      </c>
      <c r="JU408" s="632">
        <v>1.0198779</v>
      </c>
      <c r="JV408" s="632">
        <v>0.035909687</v>
      </c>
      <c r="JW408" s="632">
        <v>0.69849554</v>
      </c>
      <c r="JX408" s="632">
        <v>0.032081604</v>
      </c>
      <c r="JY408" s="632">
        <v>294.20197</v>
      </c>
      <c r="JZ408" s="632">
        <v>36.869661</v>
      </c>
      <c r="KA408" s="632">
        <v>529.99509</v>
      </c>
      <c r="KB408" s="632">
        <v>12.743837</v>
      </c>
      <c r="KC408" s="632">
        <v>682.18897</v>
      </c>
      <c r="KD408" s="632">
        <v>104.00296</v>
      </c>
      <c r="KE408" s="632">
        <v>10.51099</v>
      </c>
      <c r="KF408" s="632">
        <v>202.19542</v>
      </c>
      <c r="KG408" s="632">
        <v>26.722232</v>
      </c>
      <c r="KH408" s="632">
        <v>1190.5213</v>
      </c>
      <c r="KI408" s="632">
        <v>495.13159</v>
      </c>
      <c r="KJ408" s="632">
        <v>667.53559</v>
      </c>
      <c r="KK408" s="632">
        <v>1.7467741</v>
      </c>
      <c r="KL408" s="632">
        <v>0.49907875</v>
      </c>
      <c r="KM408" s="632">
        <v>48.439571</v>
      </c>
      <c r="KN408" s="632">
        <v>0.016155433</v>
      </c>
      <c r="KO408" s="632">
        <v>0.067927318</v>
      </c>
      <c r="KP408" s="632">
        <v>0.062009145</v>
      </c>
      <c r="KQ408" s="632">
        <v>0.24971064</v>
      </c>
      <c r="KR408" s="632">
        <v>0.22784448</v>
      </c>
      <c r="KS408" s="632">
        <v>0.087671604</v>
      </c>
      <c r="KT408" s="632">
        <v>0.30242384</v>
      </c>
      <c r="KU408" s="632">
        <v>0.60538375</v>
      </c>
      <c r="KV408" s="632">
        <v>0.89139548</v>
      </c>
      <c r="KW408" s="632">
        <v>1.3076897</v>
      </c>
      <c r="KX408" s="632">
        <v>1.3289468</v>
      </c>
      <c r="KY408" s="632">
        <v>1.3381884</v>
      </c>
      <c r="KZ408" s="632">
        <v>1.3233948</v>
      </c>
      <c r="LA408" s="632">
        <v>1.7069563</v>
      </c>
      <c r="LB408" s="632">
        <v>0.14513579</v>
      </c>
      <c r="LC408" s="632">
        <v>1.4209642</v>
      </c>
      <c r="LD408" s="632">
        <v>0.26260141</v>
      </c>
      <c r="LE408" s="632">
        <v>0.17674253</v>
      </c>
      <c r="LF408" s="632">
        <v>1.3124146</v>
      </c>
      <c r="LG408" s="632">
        <v>0.68474844</v>
      </c>
      <c r="LH408" s="632">
        <v>0.77016313</v>
      </c>
      <c r="LI408" s="632">
        <v>0.69037509</v>
      </c>
      <c r="LJ408" s="632">
        <v>0.9306284</v>
      </c>
      <c r="LK408" s="632">
        <v>0.83986828</v>
      </c>
      <c r="LL408" s="632">
        <v>0.64138434</v>
      </c>
      <c r="LM408" s="632">
        <v>0.78008242</v>
      </c>
      <c r="LN408" s="632">
        <v>1.096118</v>
      </c>
      <c r="LO408" s="632">
        <v>0.18663341</v>
      </c>
      <c r="LP408" s="632">
        <v>0.79287244</v>
      </c>
      <c r="LQ408" s="632">
        <v>0.94258124</v>
      </c>
      <c r="LR408" s="632">
        <v>1.2732042</v>
      </c>
      <c r="LS408" s="632">
        <v>1.449844</v>
      </c>
      <c r="LT408" s="632">
        <v>1.734566</v>
      </c>
      <c r="LU408" s="632">
        <v>437.02283</v>
      </c>
      <c r="LV408" s="632">
        <v>259.20482</v>
      </c>
      <c r="LW408" s="632">
        <v>12.419198</v>
      </c>
      <c r="LX408" s="632">
        <v>20.425422</v>
      </c>
      <c r="LY408" s="632">
        <v>0.069102936</v>
      </c>
      <c r="LZ408" s="632">
        <v>0.47311534</v>
      </c>
      <c r="MA408" s="632">
        <v>2.3713345</v>
      </c>
      <c r="MB408" s="632">
        <v>6.0379802</v>
      </c>
      <c r="MC408" s="632">
        <v>0.92299397</v>
      </c>
      <c r="MD408" s="632">
        <v>0.89266538</v>
      </c>
      <c r="ME408" s="632">
        <v>0.60353987</v>
      </c>
      <c r="MF408" s="632">
        <v>143.87723</v>
      </c>
      <c r="MG408" s="632">
        <v>0.066143573</v>
      </c>
      <c r="MH408" s="632">
        <v>0.061740996</v>
      </c>
      <c r="MI408" s="632">
        <v>0.0046336515</v>
      </c>
      <c r="MJ408" s="632">
        <v>0.88166984</v>
      </c>
      <c r="MK408" s="632">
        <v>0.11320829</v>
      </c>
      <c r="ML408" s="632">
        <v>0.14903043</v>
      </c>
      <c r="MM408" s="632">
        <v>0.18467686</v>
      </c>
      <c r="MN408" s="632">
        <v>0.13938891</v>
      </c>
      <c r="MO408" s="632">
        <v>0.078831518</v>
      </c>
      <c r="MP408" s="632">
        <v>0.095080184</v>
      </c>
      <c r="MQ408" s="632">
        <v>0.1965457</v>
      </c>
      <c r="MR408" s="632">
        <v>0.22391654</v>
      </c>
      <c r="MS408" s="632">
        <v>0.079264811</v>
      </c>
      <c r="MT408" s="632">
        <v>0.15363256</v>
      </c>
      <c r="MU408" s="632">
        <v>0.17389154</v>
      </c>
      <c r="MV408" s="632">
        <v>0.088095287</v>
      </c>
      <c r="MW408" s="632">
        <v>2.3430881</v>
      </c>
      <c r="MX408" s="632">
        <v>142.82782</v>
      </c>
      <c r="MY408" s="632">
        <v>118.52315</v>
      </c>
      <c r="MZ408" s="632">
        <v>64.999409</v>
      </c>
      <c r="NA408" s="632">
        <v>0.49072491</v>
      </c>
      <c r="NB408" s="632">
        <v>0.79921793</v>
      </c>
      <c r="NC408" s="632">
        <v>5.370143</v>
      </c>
      <c r="ND408" s="632">
        <v>97.390794</v>
      </c>
      <c r="NE408" s="632">
        <v>7.3831483</v>
      </c>
      <c r="NF408" s="632">
        <v>132.34521</v>
      </c>
      <c r="NG408" s="632">
        <v>47.408769</v>
      </c>
      <c r="NH408" s="632">
        <v>0.65719829</v>
      </c>
      <c r="NI408" s="632">
        <v>3.0529468</v>
      </c>
      <c r="NJ408" s="632">
        <v>3.4165412</v>
      </c>
      <c r="NK408" s="632">
        <v>1.3276305</v>
      </c>
      <c r="NL408" s="632">
        <v>0.20280735</v>
      </c>
      <c r="NM408" s="632">
        <v>0.90430385</v>
      </c>
      <c r="NN408" s="632">
        <v>8.6112938</v>
      </c>
      <c r="NO408" s="632">
        <v>7.1587187</v>
      </c>
      <c r="NP408" s="632">
        <v>0.15510317</v>
      </c>
      <c r="NQ408" s="632">
        <v>446.65577</v>
      </c>
      <c r="NR408" s="632">
        <v>692.78526</v>
      </c>
      <c r="NS408" s="632">
        <v>164.76732</v>
      </c>
      <c r="NT408" s="632">
        <v>326.10577</v>
      </c>
      <c r="NU408" s="632">
        <v>141.199</v>
      </c>
      <c r="NV408" s="632">
        <v>0.16309935</v>
      </c>
      <c r="NW408" s="632">
        <v>8.6491985</v>
      </c>
      <c r="NX408" s="632"/>
      <c r="NY408" s="632">
        <v>0.0</v>
      </c>
      <c r="NZ408" s="632"/>
      <c r="OA408" s="632">
        <v>0.0825340364610691</v>
      </c>
      <c r="OB408" s="632">
        <v>7.35</v>
      </c>
      <c r="OC408" s="632"/>
      <c r="OD408" s="626"/>
      <c r="OE408" s="632">
        <f t="shared" si="2"/>
        <v>94.13227304</v>
      </c>
      <c r="OF408" s="632">
        <v>367.4029657387464</v>
      </c>
      <c r="OG408" s="632">
        <v>50.40896220573874</v>
      </c>
    </row>
    <row r="409" ht="12.75" customHeight="1">
      <c r="A409" s="30" t="s">
        <v>407</v>
      </c>
      <c r="B409" s="30" t="s">
        <v>5005</v>
      </c>
      <c r="C409" s="633">
        <f t="shared" ref="C409:NW409" si="3">SUM(C403:C405)</f>
        <v>50.24124769</v>
      </c>
      <c r="D409" s="633">
        <f t="shared" si="3"/>
        <v>18.68048045</v>
      </c>
      <c r="E409" s="633">
        <f t="shared" si="3"/>
        <v>105.3608969</v>
      </c>
      <c r="F409" s="633">
        <f t="shared" si="3"/>
        <v>87.37728567</v>
      </c>
      <c r="G409" s="633">
        <f t="shared" si="3"/>
        <v>5.849710371</v>
      </c>
      <c r="H409" s="633">
        <f t="shared" si="3"/>
        <v>5.540383748</v>
      </c>
      <c r="I409" s="633">
        <f t="shared" si="3"/>
        <v>14.89981629</v>
      </c>
      <c r="J409" s="633">
        <f t="shared" si="3"/>
        <v>832.1432981</v>
      </c>
      <c r="K409" s="633">
        <f t="shared" si="3"/>
        <v>77.80633236</v>
      </c>
      <c r="L409" s="633">
        <f t="shared" si="3"/>
        <v>943.8103025</v>
      </c>
      <c r="M409" s="633">
        <f t="shared" si="3"/>
        <v>717.0299465</v>
      </c>
      <c r="N409" s="633">
        <f t="shared" si="3"/>
        <v>98.32696243</v>
      </c>
      <c r="O409" s="633">
        <f t="shared" si="3"/>
        <v>48.93755956</v>
      </c>
      <c r="P409" s="633">
        <f t="shared" si="3"/>
        <v>95.97932136</v>
      </c>
      <c r="Q409" s="633">
        <f t="shared" si="3"/>
        <v>1.400080467</v>
      </c>
      <c r="R409" s="633">
        <f t="shared" si="3"/>
        <v>3.148329598</v>
      </c>
      <c r="S409" s="633">
        <f t="shared" si="3"/>
        <v>0.2169481329</v>
      </c>
      <c r="T409" s="633">
        <f t="shared" si="3"/>
        <v>0.0100020365</v>
      </c>
      <c r="U409" s="633">
        <f t="shared" si="3"/>
        <v>0.1959431335</v>
      </c>
      <c r="V409" s="633">
        <f t="shared" si="3"/>
        <v>0</v>
      </c>
      <c r="W409" s="633">
        <f t="shared" si="3"/>
        <v>18.50876183</v>
      </c>
      <c r="X409" s="633">
        <f t="shared" si="3"/>
        <v>26.36203837</v>
      </c>
      <c r="Y409" s="633">
        <f t="shared" si="3"/>
        <v>25.77341336</v>
      </c>
      <c r="Z409" s="633">
        <f t="shared" si="3"/>
        <v>17.99789112</v>
      </c>
      <c r="AA409" s="633">
        <f t="shared" si="3"/>
        <v>3.534050037</v>
      </c>
      <c r="AB409" s="633">
        <f t="shared" si="3"/>
        <v>3.398125075</v>
      </c>
      <c r="AC409" s="633">
        <f t="shared" si="3"/>
        <v>0.2694996327</v>
      </c>
      <c r="AD409" s="633">
        <f t="shared" si="3"/>
        <v>0.8204248261</v>
      </c>
      <c r="AE409" s="633">
        <f t="shared" si="3"/>
        <v>2305.729746</v>
      </c>
      <c r="AF409" s="633">
        <f t="shared" si="3"/>
        <v>3147.875133</v>
      </c>
      <c r="AG409" s="633">
        <f t="shared" si="3"/>
        <v>2311.150893</v>
      </c>
      <c r="AH409" s="633">
        <f t="shared" si="3"/>
        <v>27.04909146</v>
      </c>
      <c r="AI409" s="633">
        <f t="shared" si="3"/>
        <v>55.06645982</v>
      </c>
      <c r="AJ409" s="633">
        <f t="shared" si="3"/>
        <v>49.1189772</v>
      </c>
      <c r="AK409" s="633">
        <f t="shared" si="3"/>
        <v>34.12082476</v>
      </c>
      <c r="AL409" s="633">
        <f t="shared" si="3"/>
        <v>17.93180846</v>
      </c>
      <c r="AM409" s="633">
        <f t="shared" si="3"/>
        <v>36.92985231</v>
      </c>
      <c r="AN409" s="633">
        <f t="shared" si="3"/>
        <v>19.58042889</v>
      </c>
      <c r="AO409" s="633">
        <f t="shared" si="3"/>
        <v>37.93853699</v>
      </c>
      <c r="AP409" s="633">
        <f t="shared" si="3"/>
        <v>21.10829118</v>
      </c>
      <c r="AQ409" s="633">
        <f t="shared" si="3"/>
        <v>37.68526911</v>
      </c>
      <c r="AR409" s="633">
        <f t="shared" si="3"/>
        <v>20.62128957</v>
      </c>
      <c r="AS409" s="633">
        <f t="shared" si="3"/>
        <v>41.62549748</v>
      </c>
      <c r="AT409" s="633">
        <f t="shared" si="3"/>
        <v>28.15985274</v>
      </c>
      <c r="AU409" s="633">
        <f t="shared" si="3"/>
        <v>44.19350707</v>
      </c>
      <c r="AV409" s="633">
        <f t="shared" si="3"/>
        <v>4815.509623</v>
      </c>
      <c r="AW409" s="633">
        <f t="shared" si="3"/>
        <v>6588.703483</v>
      </c>
      <c r="AX409" s="633">
        <f t="shared" si="3"/>
        <v>7276.686182</v>
      </c>
      <c r="AY409" s="633">
        <f t="shared" si="3"/>
        <v>41.361545</v>
      </c>
      <c r="AZ409" s="633">
        <f t="shared" si="3"/>
        <v>2.665389439</v>
      </c>
      <c r="BA409" s="633">
        <f t="shared" si="3"/>
        <v>23.7843812</v>
      </c>
      <c r="BB409" s="633">
        <f t="shared" si="3"/>
        <v>5.404754384</v>
      </c>
      <c r="BC409" s="633">
        <f t="shared" si="3"/>
        <v>6.077620835</v>
      </c>
      <c r="BD409" s="633">
        <f t="shared" si="3"/>
        <v>2.458807431</v>
      </c>
      <c r="BE409" s="633">
        <f t="shared" si="3"/>
        <v>3.351968823</v>
      </c>
      <c r="BF409" s="633">
        <f t="shared" si="3"/>
        <v>0.7801652874</v>
      </c>
      <c r="BG409" s="633">
        <f t="shared" si="3"/>
        <v>2.52220639</v>
      </c>
      <c r="BH409" s="633">
        <f t="shared" si="3"/>
        <v>2.391309379</v>
      </c>
      <c r="BI409" s="633">
        <f t="shared" si="3"/>
        <v>13.53919934</v>
      </c>
      <c r="BJ409" s="633">
        <f t="shared" si="3"/>
        <v>55.14840416</v>
      </c>
      <c r="BK409" s="633">
        <f t="shared" si="3"/>
        <v>82.88013192</v>
      </c>
      <c r="BL409" s="633">
        <f t="shared" si="3"/>
        <v>34.32559962</v>
      </c>
      <c r="BM409" s="633">
        <f t="shared" si="3"/>
        <v>62.05732708</v>
      </c>
      <c r="BN409" s="633">
        <f t="shared" si="3"/>
        <v>2726.265328</v>
      </c>
      <c r="BO409" s="633">
        <f t="shared" si="3"/>
        <v>0.4808071481</v>
      </c>
      <c r="BP409" s="633">
        <f t="shared" si="3"/>
        <v>0.7449815385</v>
      </c>
      <c r="BQ409" s="633">
        <f t="shared" si="3"/>
        <v>1224.092215</v>
      </c>
      <c r="BR409" s="633">
        <f t="shared" si="3"/>
        <v>1387.322853</v>
      </c>
      <c r="BS409" s="633">
        <f t="shared" si="3"/>
        <v>1462.073482</v>
      </c>
      <c r="BT409" s="633">
        <f t="shared" si="3"/>
        <v>3064.522042</v>
      </c>
      <c r="BU409" s="633">
        <f t="shared" si="3"/>
        <v>1454.875369</v>
      </c>
      <c r="BV409" s="633">
        <f t="shared" si="3"/>
        <v>2038.608261</v>
      </c>
      <c r="BW409" s="633">
        <f t="shared" si="3"/>
        <v>1.678169849</v>
      </c>
      <c r="BX409" s="633">
        <f t="shared" si="3"/>
        <v>2212.616652</v>
      </c>
      <c r="BY409" s="633">
        <f t="shared" si="3"/>
        <v>33.37337605</v>
      </c>
      <c r="BZ409" s="633">
        <f t="shared" si="3"/>
        <v>23.56199689</v>
      </c>
      <c r="CA409" s="633">
        <f t="shared" si="3"/>
        <v>0.5739033187</v>
      </c>
      <c r="CB409" s="633">
        <f t="shared" si="3"/>
        <v>0.3642335568</v>
      </c>
      <c r="CC409" s="633">
        <f t="shared" si="3"/>
        <v>0.4272703997</v>
      </c>
      <c r="CD409" s="633">
        <f t="shared" si="3"/>
        <v>0.4978731084</v>
      </c>
      <c r="CE409" s="633">
        <f t="shared" si="3"/>
        <v>4037.654074</v>
      </c>
      <c r="CF409" s="633">
        <f t="shared" si="3"/>
        <v>7252.157816</v>
      </c>
      <c r="CG409" s="633">
        <f t="shared" si="3"/>
        <v>815.3324942</v>
      </c>
      <c r="CH409" s="633">
        <f t="shared" si="3"/>
        <v>982.1556161</v>
      </c>
      <c r="CI409" s="633">
        <f t="shared" si="3"/>
        <v>0.455589305</v>
      </c>
      <c r="CJ409" s="633">
        <f t="shared" si="3"/>
        <v>1.34501177</v>
      </c>
      <c r="CK409" s="633">
        <f t="shared" si="3"/>
        <v>1.897800319</v>
      </c>
      <c r="CL409" s="633">
        <f t="shared" si="3"/>
        <v>0.2487444112</v>
      </c>
      <c r="CM409" s="633">
        <f t="shared" si="3"/>
        <v>0.3173782861</v>
      </c>
      <c r="CN409" s="633">
        <f t="shared" si="3"/>
        <v>146.3803803</v>
      </c>
      <c r="CO409" s="633">
        <f t="shared" si="3"/>
        <v>214.0752168</v>
      </c>
      <c r="CP409" s="633">
        <f t="shared" si="3"/>
        <v>126.7407127</v>
      </c>
      <c r="CQ409" s="633">
        <f t="shared" si="3"/>
        <v>613.6545061</v>
      </c>
      <c r="CR409" s="633">
        <f t="shared" si="3"/>
        <v>929.0978684</v>
      </c>
      <c r="CS409" s="633">
        <f t="shared" si="3"/>
        <v>929.0978684</v>
      </c>
      <c r="CT409" s="633">
        <f t="shared" si="3"/>
        <v>0.1818562057</v>
      </c>
      <c r="CU409" s="633">
        <f t="shared" si="3"/>
        <v>0.7815402872</v>
      </c>
      <c r="CV409" s="633">
        <f t="shared" si="3"/>
        <v>0.2939536581</v>
      </c>
      <c r="CW409" s="633">
        <f t="shared" si="3"/>
        <v>0.2755846798</v>
      </c>
      <c r="CX409" s="633">
        <f t="shared" si="3"/>
        <v>73.92420613</v>
      </c>
      <c r="CY409" s="633">
        <f t="shared" si="3"/>
        <v>14.76487253</v>
      </c>
      <c r="CZ409" s="633">
        <f t="shared" si="3"/>
        <v>31.17438007</v>
      </c>
      <c r="DA409" s="633">
        <f t="shared" si="3"/>
        <v>30.21419294</v>
      </c>
      <c r="DB409" s="633">
        <f t="shared" si="3"/>
        <v>0.3823707975</v>
      </c>
      <c r="DC409" s="633">
        <f t="shared" si="3"/>
        <v>0.2439953564</v>
      </c>
      <c r="DD409" s="633">
        <f t="shared" si="3"/>
        <v>4.844700973</v>
      </c>
      <c r="DE409" s="633">
        <f t="shared" si="3"/>
        <v>7.390056429</v>
      </c>
      <c r="DF409" s="633">
        <f t="shared" si="3"/>
        <v>4.678463101</v>
      </c>
      <c r="DG409" s="633">
        <f t="shared" si="3"/>
        <v>4.844700973</v>
      </c>
      <c r="DH409" s="633">
        <f t="shared" si="3"/>
        <v>7.390056429</v>
      </c>
      <c r="DI409" s="633">
        <f t="shared" si="3"/>
        <v>7.1616894</v>
      </c>
      <c r="DJ409" s="633">
        <f t="shared" si="3"/>
        <v>7.331439313</v>
      </c>
      <c r="DK409" s="633">
        <f t="shared" si="3"/>
        <v>7.331439313</v>
      </c>
      <c r="DL409" s="633">
        <f t="shared" si="3"/>
        <v>9.876794769</v>
      </c>
      <c r="DM409" s="633">
        <f t="shared" si="3"/>
        <v>7.331439313</v>
      </c>
      <c r="DN409" s="633">
        <f t="shared" si="3"/>
        <v>9.876794769</v>
      </c>
      <c r="DO409" s="633">
        <f t="shared" si="3"/>
        <v>0.2439953665</v>
      </c>
      <c r="DP409" s="633">
        <f t="shared" si="3"/>
        <v>0.3081765356</v>
      </c>
      <c r="DQ409" s="633">
        <f t="shared" si="3"/>
        <v>0.4794953026</v>
      </c>
      <c r="DR409" s="633">
        <f t="shared" si="3"/>
        <v>0.4738823045</v>
      </c>
      <c r="DS409" s="633">
        <f t="shared" si="3"/>
        <v>0.4800267898</v>
      </c>
      <c r="DT409" s="633">
        <f t="shared" si="3"/>
        <v>2.312115705</v>
      </c>
      <c r="DU409" s="633">
        <f t="shared" si="3"/>
        <v>3.69223562</v>
      </c>
      <c r="DV409" s="633">
        <f t="shared" si="3"/>
        <v>5.722436627</v>
      </c>
      <c r="DW409" s="633">
        <f t="shared" si="3"/>
        <v>12.29753738</v>
      </c>
      <c r="DX409" s="633">
        <f t="shared" si="3"/>
        <v>104.1088339</v>
      </c>
      <c r="DY409" s="633">
        <f t="shared" si="3"/>
        <v>27.89318724</v>
      </c>
      <c r="DZ409" s="633">
        <f t="shared" si="3"/>
        <v>29.11512679</v>
      </c>
      <c r="EA409" s="633">
        <f t="shared" si="3"/>
        <v>0.1959431335</v>
      </c>
      <c r="EB409" s="633">
        <f t="shared" si="3"/>
        <v>0.1903696302</v>
      </c>
      <c r="EC409" s="633">
        <f t="shared" si="3"/>
        <v>0.2306784542</v>
      </c>
      <c r="ED409" s="633">
        <f t="shared" si="3"/>
        <v>11.08294503</v>
      </c>
      <c r="EE409" s="633">
        <f t="shared" si="3"/>
        <v>0.1710558845</v>
      </c>
      <c r="EF409" s="633">
        <f t="shared" si="3"/>
        <v>0</v>
      </c>
      <c r="EG409" s="633">
        <f t="shared" si="3"/>
        <v>0</v>
      </c>
      <c r="EH409" s="633">
        <f t="shared" si="3"/>
        <v>0</v>
      </c>
      <c r="EI409" s="633">
        <f t="shared" si="3"/>
        <v>0.1949347183</v>
      </c>
      <c r="EJ409" s="633">
        <f t="shared" si="3"/>
        <v>0.170684388</v>
      </c>
      <c r="EK409" s="633">
        <f t="shared" si="3"/>
        <v>5.009519197</v>
      </c>
      <c r="EL409" s="633">
        <f t="shared" si="3"/>
        <v>0</v>
      </c>
      <c r="EM409" s="633">
        <f t="shared" si="3"/>
        <v>0</v>
      </c>
      <c r="EN409" s="633">
        <f t="shared" si="3"/>
        <v>0</v>
      </c>
      <c r="EO409" s="633">
        <f t="shared" si="3"/>
        <v>0</v>
      </c>
      <c r="EP409" s="633">
        <f t="shared" si="3"/>
        <v>467.6295603</v>
      </c>
      <c r="EQ409" s="633">
        <f t="shared" si="3"/>
        <v>920.8527962</v>
      </c>
      <c r="ER409" s="633">
        <f t="shared" si="3"/>
        <v>0</v>
      </c>
      <c r="ES409" s="633">
        <f t="shared" si="3"/>
        <v>0</v>
      </c>
      <c r="ET409" s="633">
        <f t="shared" si="3"/>
        <v>1.611480721</v>
      </c>
      <c r="EU409" s="633">
        <f t="shared" si="3"/>
        <v>0.2184981387</v>
      </c>
      <c r="EV409" s="633">
        <f t="shared" si="3"/>
        <v>0.2184981387</v>
      </c>
      <c r="EW409" s="633">
        <f t="shared" si="3"/>
        <v>0.1465049639</v>
      </c>
      <c r="EX409" s="633">
        <f t="shared" si="3"/>
        <v>0.9720901678</v>
      </c>
      <c r="EY409" s="633">
        <f t="shared" si="3"/>
        <v>5.703276856</v>
      </c>
      <c r="EZ409" s="633">
        <f t="shared" si="3"/>
        <v>5.529247159</v>
      </c>
      <c r="FA409" s="633">
        <f t="shared" si="3"/>
        <v>0.8680938789</v>
      </c>
      <c r="FB409" s="633">
        <f t="shared" si="3"/>
        <v>2.253854801</v>
      </c>
      <c r="FC409" s="633">
        <f t="shared" si="3"/>
        <v>0.6699265042</v>
      </c>
      <c r="FD409" s="633">
        <f t="shared" si="3"/>
        <v>1.284269662</v>
      </c>
      <c r="FE409" s="633">
        <f t="shared" si="3"/>
        <v>7.73067224</v>
      </c>
      <c r="FF409" s="633">
        <f t="shared" si="3"/>
        <v>1.832811188</v>
      </c>
      <c r="FG409" s="633">
        <f t="shared" si="3"/>
        <v>2.312579151</v>
      </c>
      <c r="FH409" s="633">
        <f t="shared" si="3"/>
        <v>1.030032179</v>
      </c>
      <c r="FI409" s="633">
        <f t="shared" si="3"/>
        <v>0.5593154255</v>
      </c>
      <c r="FJ409" s="633">
        <f t="shared" si="3"/>
        <v>1.93704207</v>
      </c>
      <c r="FK409" s="633">
        <f t="shared" si="3"/>
        <v>0.987001019</v>
      </c>
      <c r="FL409" s="633">
        <f t="shared" si="3"/>
        <v>0.8997514267</v>
      </c>
      <c r="FM409" s="633">
        <f t="shared" si="3"/>
        <v>0.6597401667</v>
      </c>
      <c r="FN409" s="633">
        <f t="shared" si="3"/>
        <v>2.442946463</v>
      </c>
      <c r="FO409" s="633">
        <f t="shared" si="3"/>
        <v>8.339360601</v>
      </c>
      <c r="FP409" s="633">
        <f t="shared" si="3"/>
        <v>2.909088554</v>
      </c>
      <c r="FQ409" s="633">
        <f t="shared" si="3"/>
        <v>1.430926372</v>
      </c>
      <c r="FR409" s="633">
        <f t="shared" si="3"/>
        <v>4.540198305</v>
      </c>
      <c r="FS409" s="633">
        <f t="shared" si="3"/>
        <v>1.664962472</v>
      </c>
      <c r="FT409" s="633">
        <f t="shared" si="3"/>
        <v>0.2085641441</v>
      </c>
      <c r="FU409" s="633">
        <f t="shared" si="3"/>
        <v>19.37775458</v>
      </c>
      <c r="FV409" s="633">
        <f t="shared" si="3"/>
        <v>2.34342593</v>
      </c>
      <c r="FW409" s="633">
        <f t="shared" si="3"/>
        <v>0.2306784544</v>
      </c>
      <c r="FX409" s="633">
        <f t="shared" si="3"/>
        <v>2.320304565</v>
      </c>
      <c r="FY409" s="633">
        <f t="shared" si="3"/>
        <v>0.2306784544</v>
      </c>
      <c r="FZ409" s="633">
        <f t="shared" si="3"/>
        <v>6.569119061</v>
      </c>
      <c r="GA409" s="633">
        <f t="shared" si="3"/>
        <v>51.75234656</v>
      </c>
      <c r="GB409" s="633">
        <f t="shared" si="3"/>
        <v>5.532714658</v>
      </c>
      <c r="GC409" s="633">
        <f t="shared" si="3"/>
        <v>2.708746601</v>
      </c>
      <c r="GD409" s="633">
        <f t="shared" si="3"/>
        <v>2.829585665</v>
      </c>
      <c r="GE409" s="633">
        <f t="shared" si="3"/>
        <v>15.00313645</v>
      </c>
      <c r="GF409" s="633">
        <f t="shared" si="3"/>
        <v>2.895666994</v>
      </c>
      <c r="GG409" s="633">
        <f t="shared" si="3"/>
        <v>9.553946718</v>
      </c>
      <c r="GH409" s="633">
        <f t="shared" si="3"/>
        <v>129.474767</v>
      </c>
      <c r="GI409" s="633">
        <f t="shared" si="3"/>
        <v>80.30044541</v>
      </c>
      <c r="GJ409" s="633">
        <f t="shared" si="3"/>
        <v>0.1099548239</v>
      </c>
      <c r="GK409" s="633">
        <f t="shared" si="3"/>
        <v>0.3664400252</v>
      </c>
      <c r="GL409" s="633">
        <f t="shared" si="3"/>
        <v>0.2193317118</v>
      </c>
      <c r="GM409" s="633">
        <f t="shared" si="3"/>
        <v>0.2193317118</v>
      </c>
      <c r="GN409" s="633">
        <f t="shared" si="3"/>
        <v>0.2306784543</v>
      </c>
      <c r="GO409" s="633">
        <f t="shared" si="3"/>
        <v>0.112132836</v>
      </c>
      <c r="GP409" s="633">
        <f t="shared" si="3"/>
        <v>0.1911853987</v>
      </c>
      <c r="GQ409" s="633">
        <f t="shared" si="3"/>
        <v>0</v>
      </c>
      <c r="GR409" s="633">
        <f t="shared" si="3"/>
        <v>0</v>
      </c>
      <c r="GS409" s="633">
        <f t="shared" si="3"/>
        <v>3.321769787</v>
      </c>
      <c r="GT409" s="633">
        <f t="shared" si="3"/>
        <v>1.451083289</v>
      </c>
      <c r="GU409" s="633">
        <f t="shared" si="3"/>
        <v>1.313911484</v>
      </c>
      <c r="GV409" s="633">
        <f t="shared" si="3"/>
        <v>0.5853445343</v>
      </c>
      <c r="GW409" s="633">
        <f t="shared" si="3"/>
        <v>0.1730064029</v>
      </c>
      <c r="GX409" s="633">
        <f t="shared" si="3"/>
        <v>0.2305013157</v>
      </c>
      <c r="GY409" s="633">
        <f t="shared" si="3"/>
        <v>0.1232198684</v>
      </c>
      <c r="GZ409" s="633">
        <f t="shared" si="3"/>
        <v>0.1129524876</v>
      </c>
      <c r="HA409" s="633">
        <f t="shared" si="3"/>
        <v>0</v>
      </c>
      <c r="HB409" s="633">
        <f t="shared" si="3"/>
        <v>0</v>
      </c>
      <c r="HC409" s="633">
        <f t="shared" si="3"/>
        <v>0</v>
      </c>
      <c r="HD409" s="633">
        <f t="shared" si="3"/>
        <v>0.7579930496</v>
      </c>
      <c r="HE409" s="633">
        <f t="shared" si="3"/>
        <v>3.992678727</v>
      </c>
      <c r="HF409" s="633">
        <f t="shared" si="3"/>
        <v>0.1129524876</v>
      </c>
      <c r="HG409" s="633">
        <f t="shared" si="3"/>
        <v>0.1232198684</v>
      </c>
      <c r="HH409" s="633">
        <f t="shared" si="3"/>
        <v>134.8343985</v>
      </c>
      <c r="HI409" s="633">
        <f t="shared" si="3"/>
        <v>0</v>
      </c>
      <c r="HJ409" s="633">
        <f t="shared" si="3"/>
        <v>0.1911853987</v>
      </c>
      <c r="HK409" s="633">
        <f t="shared" si="3"/>
        <v>1.236276902</v>
      </c>
      <c r="HL409" s="633">
        <f t="shared" si="3"/>
        <v>1034.451951</v>
      </c>
      <c r="HM409" s="633">
        <f t="shared" si="3"/>
        <v>680.2962643</v>
      </c>
      <c r="HN409" s="633">
        <f t="shared" si="3"/>
        <v>1156.337213</v>
      </c>
      <c r="HO409" s="633">
        <f t="shared" si="3"/>
        <v>1449.599291</v>
      </c>
      <c r="HP409" s="633">
        <f t="shared" si="3"/>
        <v>1067.675124</v>
      </c>
      <c r="HQ409" s="633">
        <f t="shared" si="3"/>
        <v>157.2977658</v>
      </c>
      <c r="HR409" s="633">
        <f t="shared" si="3"/>
        <v>16.07555563</v>
      </c>
      <c r="HS409" s="633">
        <f t="shared" si="3"/>
        <v>6.4906207</v>
      </c>
      <c r="HT409" s="633">
        <f t="shared" si="3"/>
        <v>7.239428654</v>
      </c>
      <c r="HU409" s="633">
        <f t="shared" si="3"/>
        <v>11.59303424</v>
      </c>
      <c r="HV409" s="633">
        <f t="shared" si="3"/>
        <v>8.629586385</v>
      </c>
      <c r="HW409" s="633">
        <f t="shared" si="3"/>
        <v>1563.804229</v>
      </c>
      <c r="HX409" s="633">
        <f t="shared" si="3"/>
        <v>14.88741214</v>
      </c>
      <c r="HY409" s="633">
        <f t="shared" si="3"/>
        <v>12.56765655</v>
      </c>
      <c r="HZ409" s="633">
        <f t="shared" si="3"/>
        <v>92.78124252</v>
      </c>
      <c r="IA409" s="633">
        <f t="shared" si="3"/>
        <v>14.38846553</v>
      </c>
      <c r="IB409" s="633">
        <f t="shared" si="3"/>
        <v>16.72758488</v>
      </c>
      <c r="IC409" s="633">
        <f t="shared" si="3"/>
        <v>228.5059483</v>
      </c>
      <c r="ID409" s="633">
        <f t="shared" si="3"/>
        <v>219.1180042</v>
      </c>
      <c r="IE409" s="633">
        <f t="shared" si="3"/>
        <v>55.70635686</v>
      </c>
      <c r="IF409" s="633">
        <f t="shared" si="3"/>
        <v>39.35448318</v>
      </c>
      <c r="IG409" s="633">
        <f t="shared" si="3"/>
        <v>166.22615</v>
      </c>
      <c r="IH409" s="633">
        <f t="shared" si="3"/>
        <v>120.8289341</v>
      </c>
      <c r="II409" s="633">
        <f t="shared" si="3"/>
        <v>395.9255571</v>
      </c>
      <c r="IJ409" s="633">
        <f t="shared" si="3"/>
        <v>177.2836771</v>
      </c>
      <c r="IK409" s="633">
        <f t="shared" si="3"/>
        <v>159.5520236</v>
      </c>
      <c r="IL409" s="633">
        <f t="shared" si="3"/>
        <v>159.7533536</v>
      </c>
      <c r="IM409" s="633">
        <f t="shared" si="3"/>
        <v>95.98134426</v>
      </c>
      <c r="IN409" s="633">
        <f t="shared" si="3"/>
        <v>93.45152273</v>
      </c>
      <c r="IO409" s="633">
        <f t="shared" si="3"/>
        <v>215.3838681</v>
      </c>
      <c r="IP409" s="633">
        <f t="shared" si="3"/>
        <v>122.9615688</v>
      </c>
      <c r="IQ409" s="633">
        <f t="shared" si="3"/>
        <v>163.440862</v>
      </c>
      <c r="IR409" s="633">
        <f t="shared" si="3"/>
        <v>160.012816</v>
      </c>
      <c r="IS409" s="633">
        <f t="shared" si="3"/>
        <v>154.3487378</v>
      </c>
      <c r="IT409" s="633">
        <f t="shared" si="3"/>
        <v>198.7114315</v>
      </c>
      <c r="IU409" s="633">
        <f t="shared" si="3"/>
        <v>157.678743</v>
      </c>
      <c r="IV409" s="633">
        <f t="shared" si="3"/>
        <v>179.0072655</v>
      </c>
      <c r="IW409" s="633">
        <f t="shared" si="3"/>
        <v>89.21733134</v>
      </c>
      <c r="IX409" s="633">
        <f t="shared" si="3"/>
        <v>18.92399478</v>
      </c>
      <c r="IY409" s="633">
        <f t="shared" si="3"/>
        <v>271.0271744</v>
      </c>
      <c r="IZ409" s="633">
        <f t="shared" si="3"/>
        <v>142.9603247</v>
      </c>
      <c r="JA409" s="633">
        <f t="shared" si="3"/>
        <v>0.4631682213</v>
      </c>
      <c r="JB409" s="633">
        <f t="shared" si="3"/>
        <v>27.66253</v>
      </c>
      <c r="JC409" s="633">
        <f t="shared" si="3"/>
        <v>809.7901613</v>
      </c>
      <c r="JD409" s="633">
        <f t="shared" si="3"/>
        <v>1395.258746</v>
      </c>
      <c r="JE409" s="633">
        <f t="shared" si="3"/>
        <v>711.257522</v>
      </c>
      <c r="JF409" s="633">
        <f t="shared" si="3"/>
        <v>611.4499531</v>
      </c>
      <c r="JG409" s="633">
        <f t="shared" si="3"/>
        <v>1197.435864</v>
      </c>
      <c r="JH409" s="633">
        <f t="shared" si="3"/>
        <v>1169.336614</v>
      </c>
      <c r="JI409" s="633">
        <f t="shared" si="3"/>
        <v>1329.678778</v>
      </c>
      <c r="JJ409" s="633">
        <f t="shared" si="3"/>
        <v>1730.93522</v>
      </c>
      <c r="JK409" s="633">
        <f t="shared" si="3"/>
        <v>932.7572435</v>
      </c>
      <c r="JL409" s="633">
        <f t="shared" si="3"/>
        <v>1517.849813</v>
      </c>
      <c r="JM409" s="633">
        <f t="shared" si="3"/>
        <v>1527.590901</v>
      </c>
      <c r="JN409" s="633">
        <f t="shared" si="3"/>
        <v>7.864393073</v>
      </c>
      <c r="JO409" s="633">
        <f t="shared" si="3"/>
        <v>7.567565208</v>
      </c>
      <c r="JP409" s="633">
        <f t="shared" si="3"/>
        <v>8.600550673</v>
      </c>
      <c r="JQ409" s="633">
        <f t="shared" si="3"/>
        <v>8.303722808</v>
      </c>
      <c r="JR409" s="633">
        <f t="shared" si="3"/>
        <v>0.1308922741</v>
      </c>
      <c r="JS409" s="633">
        <f t="shared" si="3"/>
        <v>0.06085693219</v>
      </c>
      <c r="JT409" s="633">
        <f t="shared" si="3"/>
        <v>415.3103543</v>
      </c>
      <c r="JU409" s="633">
        <f t="shared" si="3"/>
        <v>86.26122588</v>
      </c>
      <c r="JV409" s="633">
        <f t="shared" si="3"/>
        <v>2.238753584</v>
      </c>
      <c r="JW409" s="633">
        <f t="shared" si="3"/>
        <v>46.20769591</v>
      </c>
      <c r="JX409" s="633">
        <f t="shared" si="3"/>
        <v>2.26071207</v>
      </c>
      <c r="JY409" s="633">
        <f t="shared" si="3"/>
        <v>2286.137354</v>
      </c>
      <c r="JZ409" s="633">
        <f t="shared" si="3"/>
        <v>707.3126293</v>
      </c>
      <c r="KA409" s="633">
        <f t="shared" si="3"/>
        <v>654.5783597</v>
      </c>
      <c r="KB409" s="633">
        <f t="shared" si="3"/>
        <v>1290.85202</v>
      </c>
      <c r="KC409" s="633">
        <f t="shared" si="3"/>
        <v>4799.584182</v>
      </c>
      <c r="KD409" s="633">
        <f t="shared" si="3"/>
        <v>730.1274243</v>
      </c>
      <c r="KE409" s="633">
        <f t="shared" si="3"/>
        <v>421.270458</v>
      </c>
      <c r="KF409" s="633">
        <f t="shared" si="3"/>
        <v>1462.362138</v>
      </c>
      <c r="KG409" s="633">
        <f t="shared" si="3"/>
        <v>299.8716965</v>
      </c>
      <c r="KH409" s="633">
        <f t="shared" si="3"/>
        <v>37675.46025</v>
      </c>
      <c r="KI409" s="633">
        <f t="shared" si="3"/>
        <v>11275.26747</v>
      </c>
      <c r="KJ409" s="633">
        <f t="shared" si="3"/>
        <v>8444.099272</v>
      </c>
      <c r="KK409" s="633">
        <f t="shared" si="3"/>
        <v>28.60692503</v>
      </c>
      <c r="KL409" s="633">
        <f t="shared" si="3"/>
        <v>14.51064973</v>
      </c>
      <c r="KM409" s="633">
        <f t="shared" si="3"/>
        <v>713.9601967</v>
      </c>
      <c r="KN409" s="633">
        <f t="shared" si="3"/>
        <v>2.562917163</v>
      </c>
      <c r="KO409" s="633">
        <f t="shared" si="3"/>
        <v>5.259347434</v>
      </c>
      <c r="KP409" s="633">
        <f t="shared" si="3"/>
        <v>1.334770717</v>
      </c>
      <c r="KQ409" s="633">
        <f t="shared" si="3"/>
        <v>4.444641219</v>
      </c>
      <c r="KR409" s="633">
        <f t="shared" si="3"/>
        <v>6.263143763</v>
      </c>
      <c r="KS409" s="633">
        <f t="shared" si="3"/>
        <v>6.847868768</v>
      </c>
      <c r="KT409" s="633">
        <f t="shared" si="3"/>
        <v>17.34820311</v>
      </c>
      <c r="KU409" s="633">
        <f t="shared" si="3"/>
        <v>86.31508143</v>
      </c>
      <c r="KV409" s="633">
        <f t="shared" si="3"/>
        <v>8.887333615</v>
      </c>
      <c r="KW409" s="633">
        <f t="shared" si="3"/>
        <v>10.33854029</v>
      </c>
      <c r="KX409" s="633">
        <f t="shared" si="3"/>
        <v>12.00547663</v>
      </c>
      <c r="KY409" s="633">
        <f t="shared" si="3"/>
        <v>12.637617</v>
      </c>
      <c r="KZ409" s="633">
        <f t="shared" si="3"/>
        <v>11.70329487</v>
      </c>
      <c r="LA409" s="633">
        <f t="shared" si="3"/>
        <v>14.62559455</v>
      </c>
      <c r="LB409" s="633">
        <f t="shared" si="3"/>
        <v>9.714140286</v>
      </c>
      <c r="LC409" s="633">
        <f t="shared" si="3"/>
        <v>88.80961391</v>
      </c>
      <c r="LD409" s="633">
        <f t="shared" si="3"/>
        <v>14.86931998</v>
      </c>
      <c r="LE409" s="633">
        <f t="shared" si="3"/>
        <v>10.47238783</v>
      </c>
      <c r="LF409" s="633">
        <f t="shared" si="3"/>
        <v>120.8521077</v>
      </c>
      <c r="LG409" s="633">
        <f t="shared" si="3"/>
        <v>21.18469257</v>
      </c>
      <c r="LH409" s="633">
        <f t="shared" si="3"/>
        <v>26.01601153</v>
      </c>
      <c r="LI409" s="633">
        <f t="shared" si="3"/>
        <v>113.7586153</v>
      </c>
      <c r="LJ409" s="633">
        <f t="shared" si="3"/>
        <v>82.98332397</v>
      </c>
      <c r="LK409" s="633">
        <f t="shared" si="3"/>
        <v>143.8550316</v>
      </c>
      <c r="LL409" s="633">
        <f t="shared" si="3"/>
        <v>81.22108774</v>
      </c>
      <c r="LM409" s="633">
        <f t="shared" si="3"/>
        <v>106.7761619</v>
      </c>
      <c r="LN409" s="633">
        <f t="shared" si="3"/>
        <v>104.1202064</v>
      </c>
      <c r="LO409" s="633">
        <f t="shared" si="3"/>
        <v>87.9033154</v>
      </c>
      <c r="LP409" s="633">
        <f t="shared" si="3"/>
        <v>27.32951321</v>
      </c>
      <c r="LQ409" s="633">
        <f t="shared" si="3"/>
        <v>106.4235403</v>
      </c>
      <c r="LR409" s="633">
        <f t="shared" si="3"/>
        <v>66.51221259</v>
      </c>
      <c r="LS409" s="633">
        <f t="shared" si="3"/>
        <v>62.24066672</v>
      </c>
      <c r="LT409" s="633">
        <f t="shared" si="3"/>
        <v>79.72421409</v>
      </c>
      <c r="LU409" s="633">
        <f t="shared" si="3"/>
        <v>7189.801545</v>
      </c>
      <c r="LV409" s="633">
        <f t="shared" si="3"/>
        <v>3887.974679</v>
      </c>
      <c r="LW409" s="633">
        <f t="shared" si="3"/>
        <v>237.9262483</v>
      </c>
      <c r="LX409" s="633">
        <f t="shared" si="3"/>
        <v>418.3651814</v>
      </c>
      <c r="LY409" s="633">
        <f t="shared" si="3"/>
        <v>1.24568271</v>
      </c>
      <c r="LZ409" s="633">
        <f t="shared" si="3"/>
        <v>12.76206044</v>
      </c>
      <c r="MA409" s="633">
        <f t="shared" si="3"/>
        <v>66.18417837</v>
      </c>
      <c r="MB409" s="633">
        <f t="shared" si="3"/>
        <v>158.7597027</v>
      </c>
      <c r="MC409" s="633">
        <f t="shared" si="3"/>
        <v>15.35518339</v>
      </c>
      <c r="MD409" s="633">
        <f t="shared" si="3"/>
        <v>14.14965061</v>
      </c>
      <c r="ME409" s="633">
        <f t="shared" si="3"/>
        <v>12.46290643</v>
      </c>
      <c r="MF409" s="633">
        <f t="shared" si="3"/>
        <v>1191.616226</v>
      </c>
      <c r="MG409" s="633">
        <f t="shared" si="3"/>
        <v>3.847587938</v>
      </c>
      <c r="MH409" s="633">
        <f t="shared" si="3"/>
        <v>1.258660439</v>
      </c>
      <c r="MI409" s="633">
        <f t="shared" si="3"/>
        <v>0.06085693219</v>
      </c>
      <c r="MJ409" s="633">
        <f t="shared" si="3"/>
        <v>40.06767341</v>
      </c>
      <c r="MK409" s="633">
        <f t="shared" si="3"/>
        <v>1.95875969</v>
      </c>
      <c r="ML409" s="633">
        <f t="shared" si="3"/>
        <v>2.342339255</v>
      </c>
      <c r="MM409" s="633">
        <f t="shared" si="3"/>
        <v>2.014781395</v>
      </c>
      <c r="MN409" s="633">
        <f t="shared" si="3"/>
        <v>1.644794893</v>
      </c>
      <c r="MO409" s="633">
        <f t="shared" si="3"/>
        <v>1.595498876</v>
      </c>
      <c r="MP409" s="633">
        <f t="shared" si="3"/>
        <v>1.293555567</v>
      </c>
      <c r="MQ409" s="633">
        <f t="shared" si="3"/>
        <v>2.799260525</v>
      </c>
      <c r="MR409" s="633">
        <f t="shared" si="3"/>
        <v>2.613390661</v>
      </c>
      <c r="MS409" s="633">
        <f t="shared" si="3"/>
        <v>1.702973056</v>
      </c>
      <c r="MT409" s="633">
        <f t="shared" si="3"/>
        <v>2.372790771</v>
      </c>
      <c r="MU409" s="633">
        <f t="shared" si="3"/>
        <v>2.195489819</v>
      </c>
      <c r="MV409" s="633">
        <f t="shared" si="3"/>
        <v>1.541159553</v>
      </c>
      <c r="MW409" s="633">
        <f t="shared" si="3"/>
        <v>17.96956902</v>
      </c>
      <c r="MX409" s="633">
        <f t="shared" si="3"/>
        <v>2925.666169</v>
      </c>
      <c r="MY409" s="633">
        <f t="shared" si="3"/>
        <v>2690.318134</v>
      </c>
      <c r="MZ409" s="633">
        <f t="shared" si="3"/>
        <v>1514.275415</v>
      </c>
      <c r="NA409" s="633">
        <f t="shared" si="3"/>
        <v>18.15234905</v>
      </c>
      <c r="NB409" s="633">
        <f t="shared" si="3"/>
        <v>21.9773949</v>
      </c>
      <c r="NC409" s="633">
        <f t="shared" si="3"/>
        <v>53.37930461</v>
      </c>
      <c r="ND409" s="633">
        <f t="shared" si="3"/>
        <v>811.2660249</v>
      </c>
      <c r="NE409" s="633">
        <f t="shared" si="3"/>
        <v>528.0227219</v>
      </c>
      <c r="NF409" s="633">
        <f t="shared" si="3"/>
        <v>1563.644591</v>
      </c>
      <c r="NG409" s="633">
        <f t="shared" si="3"/>
        <v>1031.273308</v>
      </c>
      <c r="NH409" s="633">
        <f t="shared" si="3"/>
        <v>27.90587905</v>
      </c>
      <c r="NI409" s="633">
        <f t="shared" si="3"/>
        <v>56.48802187</v>
      </c>
      <c r="NJ409" s="633">
        <f t="shared" si="3"/>
        <v>111.2091542</v>
      </c>
      <c r="NK409" s="633">
        <f t="shared" si="3"/>
        <v>88.73758136</v>
      </c>
      <c r="NL409" s="633">
        <f t="shared" si="3"/>
        <v>6.82120248</v>
      </c>
      <c r="NM409" s="633">
        <f t="shared" si="3"/>
        <v>10.58121384</v>
      </c>
      <c r="NN409" s="633">
        <f t="shared" si="3"/>
        <v>62.79604933</v>
      </c>
      <c r="NO409" s="633">
        <f t="shared" si="3"/>
        <v>408.1841181</v>
      </c>
      <c r="NP409" s="633">
        <f t="shared" si="3"/>
        <v>3.37695137</v>
      </c>
      <c r="NQ409" s="633">
        <f t="shared" si="3"/>
        <v>3095.944259</v>
      </c>
      <c r="NR409" s="633">
        <f t="shared" si="3"/>
        <v>5755.2113</v>
      </c>
      <c r="NS409" s="633">
        <f t="shared" si="3"/>
        <v>5379.126926</v>
      </c>
      <c r="NT409" s="633">
        <f t="shared" si="3"/>
        <v>3396.563595</v>
      </c>
      <c r="NU409" s="633">
        <f t="shared" si="3"/>
        <v>2032.484691</v>
      </c>
      <c r="NV409" s="633">
        <f t="shared" si="3"/>
        <v>4.55296946</v>
      </c>
      <c r="NW409" s="633">
        <f t="shared" si="3"/>
        <v>93.12600659</v>
      </c>
      <c r="NX409" s="633"/>
      <c r="NY409" s="633">
        <f>SUM(NY403:NY405)</f>
        <v>0</v>
      </c>
      <c r="NZ409" s="633">
        <v>31.9</v>
      </c>
      <c r="OA409" s="633">
        <f t="shared" ref="OA409:OB409" si="4">SUM(OA403:OA405)</f>
        <v>0.9628113954</v>
      </c>
      <c r="OB409" s="633">
        <f t="shared" si="4"/>
        <v>16.05</v>
      </c>
      <c r="OC409" s="633">
        <v>82.58744276492142</v>
      </c>
      <c r="OD409" s="626"/>
      <c r="OE409" s="633">
        <f t="shared" ref="OE409:OG409" si="5">SUM(OE403:OE405)</f>
        <v>2618.726015</v>
      </c>
      <c r="OF409" s="633">
        <f t="shared" si="5"/>
        <v>2367.250825</v>
      </c>
      <c r="OG409" s="633">
        <f t="shared" si="5"/>
        <v>2658.962046</v>
      </c>
      <c r="OH409" s="30"/>
    </row>
    <row r="410" ht="12.75" customHeight="1">
      <c r="A410" s="30" t="s">
        <v>406</v>
      </c>
      <c r="B410" s="30" t="s">
        <v>5005</v>
      </c>
      <c r="C410" s="633">
        <f t="shared" ref="C410:NW410" si="6">SUM(C406:C408)</f>
        <v>1.7274993</v>
      </c>
      <c r="D410" s="633">
        <f t="shared" si="6"/>
        <v>0.815429154</v>
      </c>
      <c r="E410" s="633">
        <f t="shared" si="6"/>
        <v>1.55513308</v>
      </c>
      <c r="F410" s="633">
        <f t="shared" si="6"/>
        <v>1.260081246</v>
      </c>
      <c r="G410" s="633">
        <f t="shared" si="6"/>
        <v>0.524752443</v>
      </c>
      <c r="H410" s="633">
        <f t="shared" si="6"/>
        <v>0.596930674</v>
      </c>
      <c r="I410" s="633">
        <f t="shared" si="6"/>
        <v>0.522941597</v>
      </c>
      <c r="J410" s="633">
        <f t="shared" si="6"/>
        <v>49.3479751</v>
      </c>
      <c r="K410" s="633">
        <f t="shared" si="6"/>
        <v>5.35574835</v>
      </c>
      <c r="L410" s="633">
        <f t="shared" si="6"/>
        <v>116.450156</v>
      </c>
      <c r="M410" s="633">
        <f t="shared" si="6"/>
        <v>88.1325477</v>
      </c>
      <c r="N410" s="633">
        <f t="shared" si="6"/>
        <v>19.0944158</v>
      </c>
      <c r="O410" s="633">
        <f t="shared" si="6"/>
        <v>12.3992922</v>
      </c>
      <c r="P410" s="633">
        <f t="shared" si="6"/>
        <v>19.02667481</v>
      </c>
      <c r="Q410" s="633">
        <f t="shared" si="6"/>
        <v>0.0890477889</v>
      </c>
      <c r="R410" s="633">
        <f t="shared" si="6"/>
        <v>0.228547212</v>
      </c>
      <c r="S410" s="633">
        <f t="shared" si="6"/>
        <v>0.00353524534</v>
      </c>
      <c r="T410" s="633">
        <f t="shared" si="6"/>
        <v>0.0000931490344</v>
      </c>
      <c r="U410" s="633">
        <f t="shared" si="6"/>
        <v>0.00174035349</v>
      </c>
      <c r="V410" s="633">
        <f t="shared" si="6"/>
        <v>0</v>
      </c>
      <c r="W410" s="633">
        <f t="shared" si="6"/>
        <v>21.79025505</v>
      </c>
      <c r="X410" s="633">
        <f t="shared" si="6"/>
        <v>19.99293583</v>
      </c>
      <c r="Y410" s="633">
        <f t="shared" si="6"/>
        <v>19.78960967</v>
      </c>
      <c r="Z410" s="633">
        <f t="shared" si="6"/>
        <v>21.56913445</v>
      </c>
      <c r="AA410" s="633">
        <f t="shared" si="6"/>
        <v>3.176693683</v>
      </c>
      <c r="AB410" s="633">
        <f t="shared" si="6"/>
        <v>3.054513155</v>
      </c>
      <c r="AC410" s="633">
        <f t="shared" si="6"/>
        <v>0.01485034119</v>
      </c>
      <c r="AD410" s="633">
        <f t="shared" si="6"/>
        <v>17.24482514</v>
      </c>
      <c r="AE410" s="633">
        <f t="shared" si="6"/>
        <v>152.548863</v>
      </c>
      <c r="AF410" s="633">
        <f t="shared" si="6"/>
        <v>379.868167</v>
      </c>
      <c r="AG410" s="633">
        <f t="shared" si="6"/>
        <v>163.556165</v>
      </c>
      <c r="AH410" s="633">
        <f t="shared" si="6"/>
        <v>0.216453353</v>
      </c>
      <c r="AI410" s="633">
        <f t="shared" si="6"/>
        <v>0.161028995</v>
      </c>
      <c r="AJ410" s="633">
        <f t="shared" si="6"/>
        <v>2.34022441</v>
      </c>
      <c r="AK410" s="633">
        <f t="shared" si="6"/>
        <v>0.778883402</v>
      </c>
      <c r="AL410" s="633">
        <f t="shared" si="6"/>
        <v>0.718152382</v>
      </c>
      <c r="AM410" s="633">
        <f t="shared" si="6"/>
        <v>0.699264932</v>
      </c>
      <c r="AN410" s="633">
        <f t="shared" si="6"/>
        <v>0.634106647</v>
      </c>
      <c r="AO410" s="633">
        <f t="shared" si="6"/>
        <v>0.780021965</v>
      </c>
      <c r="AP410" s="633">
        <f t="shared" si="6"/>
        <v>0.7162289217</v>
      </c>
      <c r="AQ410" s="633">
        <f t="shared" si="6"/>
        <v>0.650122074</v>
      </c>
      <c r="AR410" s="633">
        <f t="shared" si="6"/>
        <v>0.5853957673</v>
      </c>
      <c r="AS410" s="633">
        <f t="shared" si="6"/>
        <v>0.653748741</v>
      </c>
      <c r="AT410" s="633">
        <f t="shared" si="6"/>
        <v>0.603158046</v>
      </c>
      <c r="AU410" s="633">
        <f t="shared" si="6"/>
        <v>0.89572023</v>
      </c>
      <c r="AV410" s="633">
        <f t="shared" si="6"/>
        <v>275.215587</v>
      </c>
      <c r="AW410" s="633">
        <f t="shared" si="6"/>
        <v>305.183834</v>
      </c>
      <c r="AX410" s="633">
        <f t="shared" si="6"/>
        <v>361.920243</v>
      </c>
      <c r="AY410" s="633">
        <f t="shared" si="6"/>
        <v>6.81477872</v>
      </c>
      <c r="AZ410" s="633">
        <f t="shared" si="6"/>
        <v>0.2724701594</v>
      </c>
      <c r="BA410" s="633">
        <f t="shared" si="6"/>
        <v>0.76291357</v>
      </c>
      <c r="BB410" s="633">
        <f t="shared" si="6"/>
        <v>0.876575116</v>
      </c>
      <c r="BC410" s="633">
        <f t="shared" si="6"/>
        <v>0.936394117</v>
      </c>
      <c r="BD410" s="633">
        <f t="shared" si="6"/>
        <v>0.8134083375</v>
      </c>
      <c r="BE410" s="633">
        <f t="shared" si="6"/>
        <v>0.8647637433</v>
      </c>
      <c r="BF410" s="633">
        <f t="shared" si="6"/>
        <v>0.1102954521</v>
      </c>
      <c r="BG410" s="633">
        <f t="shared" si="6"/>
        <v>0.4674668281</v>
      </c>
      <c r="BH410" s="633">
        <f t="shared" si="6"/>
        <v>0.4359462034</v>
      </c>
      <c r="BI410" s="633">
        <f t="shared" si="6"/>
        <v>0.83670087</v>
      </c>
      <c r="BJ410" s="633">
        <f t="shared" si="6"/>
        <v>8.57459102</v>
      </c>
      <c r="BK410" s="633">
        <f t="shared" si="6"/>
        <v>9.56250623</v>
      </c>
      <c r="BL410" s="633">
        <f t="shared" si="6"/>
        <v>3.32335509</v>
      </c>
      <c r="BM410" s="633">
        <f t="shared" si="6"/>
        <v>4.3112705</v>
      </c>
      <c r="BN410" s="633">
        <f t="shared" si="6"/>
        <v>237.773755</v>
      </c>
      <c r="BO410" s="633">
        <f t="shared" si="6"/>
        <v>0.0504426652</v>
      </c>
      <c r="BP410" s="633">
        <f t="shared" si="6"/>
        <v>0.0787238853</v>
      </c>
      <c r="BQ410" s="633">
        <f t="shared" si="6"/>
        <v>94.8426766</v>
      </c>
      <c r="BR410" s="633">
        <f t="shared" si="6"/>
        <v>105.3834396</v>
      </c>
      <c r="BS410" s="633">
        <f t="shared" si="6"/>
        <v>112.9469879</v>
      </c>
      <c r="BT410" s="633">
        <f t="shared" si="6"/>
        <v>200.287198</v>
      </c>
      <c r="BU410" s="633">
        <f t="shared" si="6"/>
        <v>80.6800568</v>
      </c>
      <c r="BV410" s="633">
        <f t="shared" si="6"/>
        <v>126.0195099</v>
      </c>
      <c r="BW410" s="633">
        <f t="shared" si="6"/>
        <v>0.1172316837</v>
      </c>
      <c r="BX410" s="633">
        <f t="shared" si="6"/>
        <v>256.874181</v>
      </c>
      <c r="BY410" s="633">
        <f t="shared" si="6"/>
        <v>5.92262799</v>
      </c>
      <c r="BZ410" s="633">
        <f t="shared" si="6"/>
        <v>27.65078835</v>
      </c>
      <c r="CA410" s="633">
        <f t="shared" si="6"/>
        <v>0.1111086006</v>
      </c>
      <c r="CB410" s="633">
        <f t="shared" si="6"/>
        <v>0.0704744968</v>
      </c>
      <c r="CC410" s="633">
        <f t="shared" si="6"/>
        <v>0.0826910697</v>
      </c>
      <c r="CD410" s="633">
        <f t="shared" si="6"/>
        <v>0.0963739116</v>
      </c>
      <c r="CE410" s="633">
        <f t="shared" si="6"/>
        <v>246.799715</v>
      </c>
      <c r="CF410" s="633">
        <f t="shared" si="6"/>
        <v>454.642987</v>
      </c>
      <c r="CG410" s="633">
        <f t="shared" si="6"/>
        <v>35.5160038</v>
      </c>
      <c r="CH410" s="633">
        <f t="shared" si="6"/>
        <v>47.4365265</v>
      </c>
      <c r="CI410" s="633">
        <f t="shared" si="6"/>
        <v>0.00662186424</v>
      </c>
      <c r="CJ410" s="633">
        <f t="shared" si="6"/>
        <v>0.099218619</v>
      </c>
      <c r="CK410" s="633">
        <f t="shared" si="6"/>
        <v>0.030586893</v>
      </c>
      <c r="CL410" s="633">
        <f t="shared" si="6"/>
        <v>0.00238268399</v>
      </c>
      <c r="CM410" s="633">
        <f t="shared" si="6"/>
        <v>0.00573491023</v>
      </c>
      <c r="CN410" s="633">
        <f t="shared" si="6"/>
        <v>5.42965561</v>
      </c>
      <c r="CO410" s="633">
        <f t="shared" si="6"/>
        <v>7.91850375</v>
      </c>
      <c r="CP410" s="633">
        <f t="shared" si="6"/>
        <v>4.70116547</v>
      </c>
      <c r="CQ410" s="633">
        <f t="shared" si="6"/>
        <v>22.7621527</v>
      </c>
      <c r="CR410" s="633">
        <f t="shared" si="6"/>
        <v>34.4628251</v>
      </c>
      <c r="CS410" s="633">
        <f t="shared" si="6"/>
        <v>34.4628251</v>
      </c>
      <c r="CT410" s="633">
        <f t="shared" si="6"/>
        <v>0.00638497423</v>
      </c>
      <c r="CU410" s="633">
        <f t="shared" si="6"/>
        <v>0.0280683083</v>
      </c>
      <c r="CV410" s="633">
        <f t="shared" si="6"/>
        <v>0.00263595713</v>
      </c>
      <c r="CW410" s="633">
        <f t="shared" si="6"/>
        <v>0.00413945236</v>
      </c>
      <c r="CX410" s="633">
        <f t="shared" si="6"/>
        <v>1.081744852</v>
      </c>
      <c r="CY410" s="633">
        <f t="shared" si="6"/>
        <v>0.297820512</v>
      </c>
      <c r="CZ410" s="633">
        <f t="shared" si="6"/>
        <v>0.4192349</v>
      </c>
      <c r="DA410" s="633">
        <f t="shared" si="6"/>
        <v>0.394969383</v>
      </c>
      <c r="DB410" s="633">
        <f t="shared" si="6"/>
        <v>0.00601856063</v>
      </c>
      <c r="DC410" s="633">
        <f t="shared" si="6"/>
        <v>0.00240314207</v>
      </c>
      <c r="DD410" s="633">
        <f t="shared" si="6"/>
        <v>0.0634311562</v>
      </c>
      <c r="DE410" s="633">
        <f t="shared" si="6"/>
        <v>0.0896871943</v>
      </c>
      <c r="DF410" s="633">
        <f t="shared" si="6"/>
        <v>0.0570446068</v>
      </c>
      <c r="DG410" s="633">
        <f t="shared" si="6"/>
        <v>0.0634311562</v>
      </c>
      <c r="DH410" s="633">
        <f t="shared" si="6"/>
        <v>0.0896871943</v>
      </c>
      <c r="DI410" s="633">
        <f t="shared" si="6"/>
        <v>0.0910989218</v>
      </c>
      <c r="DJ410" s="633">
        <f t="shared" si="6"/>
        <v>0.0976203991</v>
      </c>
      <c r="DK410" s="633">
        <f t="shared" si="6"/>
        <v>0.0976203991</v>
      </c>
      <c r="DL410" s="633">
        <f t="shared" si="6"/>
        <v>0.1238764352</v>
      </c>
      <c r="DM410" s="633">
        <f t="shared" si="6"/>
        <v>0.0976203981</v>
      </c>
      <c r="DN410" s="633">
        <f t="shared" si="6"/>
        <v>0.1238764352</v>
      </c>
      <c r="DO410" s="633">
        <f t="shared" si="6"/>
        <v>0.00240314207</v>
      </c>
      <c r="DP410" s="633">
        <f t="shared" si="6"/>
        <v>0.00673364299</v>
      </c>
      <c r="DQ410" s="633">
        <f t="shared" si="6"/>
        <v>0.00814749975</v>
      </c>
      <c r="DR410" s="633">
        <f t="shared" si="6"/>
        <v>0.00780817111</v>
      </c>
      <c r="DS410" s="633">
        <f t="shared" si="6"/>
        <v>0.00849340939</v>
      </c>
      <c r="DT410" s="633">
        <f t="shared" si="6"/>
        <v>0.0345528125</v>
      </c>
      <c r="DU410" s="633">
        <f t="shared" si="6"/>
        <v>0.310859733</v>
      </c>
      <c r="DV410" s="633">
        <f t="shared" si="6"/>
        <v>0.168221372</v>
      </c>
      <c r="DW410" s="633">
        <f t="shared" si="6"/>
        <v>0.442425096</v>
      </c>
      <c r="DX410" s="633">
        <f t="shared" si="6"/>
        <v>8.71648592</v>
      </c>
      <c r="DY410" s="633">
        <f t="shared" si="6"/>
        <v>0.497921784</v>
      </c>
      <c r="DZ410" s="633">
        <f t="shared" si="6"/>
        <v>0.488019159</v>
      </c>
      <c r="EA410" s="633">
        <f t="shared" si="6"/>
        <v>0.00174035349</v>
      </c>
      <c r="EB410" s="633">
        <f t="shared" si="6"/>
        <v>0.00641885321</v>
      </c>
      <c r="EC410" s="633">
        <f t="shared" si="6"/>
        <v>0.00222222336</v>
      </c>
      <c r="ED410" s="633">
        <f t="shared" si="6"/>
        <v>0.355008287</v>
      </c>
      <c r="EE410" s="633">
        <f t="shared" si="6"/>
        <v>0.00711977021</v>
      </c>
      <c r="EF410" s="633">
        <f t="shared" si="6"/>
        <v>0</v>
      </c>
      <c r="EG410" s="633">
        <f t="shared" si="6"/>
        <v>0</v>
      </c>
      <c r="EH410" s="633">
        <f t="shared" si="6"/>
        <v>0</v>
      </c>
      <c r="EI410" s="633">
        <f t="shared" si="6"/>
        <v>0.00723067118</v>
      </c>
      <c r="EJ410" s="633">
        <f t="shared" si="6"/>
        <v>0.00711740627</v>
      </c>
      <c r="EK410" s="633">
        <f t="shared" si="6"/>
        <v>0.109949225</v>
      </c>
      <c r="EL410" s="633">
        <f t="shared" si="6"/>
        <v>0</v>
      </c>
      <c r="EM410" s="633">
        <f t="shared" si="6"/>
        <v>0</v>
      </c>
      <c r="EN410" s="633">
        <f t="shared" si="6"/>
        <v>0</v>
      </c>
      <c r="EO410" s="633">
        <f t="shared" si="6"/>
        <v>0</v>
      </c>
      <c r="EP410" s="633">
        <f t="shared" si="6"/>
        <v>17.13315092</v>
      </c>
      <c r="EQ410" s="633">
        <f t="shared" si="6"/>
        <v>33.9444617</v>
      </c>
      <c r="ER410" s="633">
        <f t="shared" si="6"/>
        <v>0</v>
      </c>
      <c r="ES410" s="633">
        <f t="shared" si="6"/>
        <v>0</v>
      </c>
      <c r="ET410" s="633">
        <f t="shared" si="6"/>
        <v>0.111286455</v>
      </c>
      <c r="EU410" s="633">
        <f t="shared" si="6"/>
        <v>0.00343918615</v>
      </c>
      <c r="EV410" s="633">
        <f t="shared" si="6"/>
        <v>0.00343918615</v>
      </c>
      <c r="EW410" s="633">
        <f t="shared" si="6"/>
        <v>0.00235717852</v>
      </c>
      <c r="EX410" s="633">
        <f t="shared" si="6"/>
        <v>0.0157217623</v>
      </c>
      <c r="EY410" s="633">
        <f t="shared" si="6"/>
        <v>0.0850984016</v>
      </c>
      <c r="EZ410" s="633">
        <f t="shared" si="6"/>
        <v>0.0822770063</v>
      </c>
      <c r="FA410" s="633">
        <f t="shared" si="6"/>
        <v>0.0200519465</v>
      </c>
      <c r="FB410" s="633">
        <f t="shared" si="6"/>
        <v>0.0446035702</v>
      </c>
      <c r="FC410" s="633">
        <f t="shared" si="6"/>
        <v>0.0138424805</v>
      </c>
      <c r="FD410" s="633">
        <f t="shared" si="6"/>
        <v>0.0329966204</v>
      </c>
      <c r="FE410" s="633">
        <f t="shared" si="6"/>
        <v>0.146117155</v>
      </c>
      <c r="FF410" s="633">
        <f t="shared" si="6"/>
        <v>0.01615417</v>
      </c>
      <c r="FG410" s="633">
        <f t="shared" si="6"/>
        <v>0.0203827855</v>
      </c>
      <c r="FH410" s="633">
        <f t="shared" si="6"/>
        <v>0.0173369226</v>
      </c>
      <c r="FI410" s="633">
        <f t="shared" si="6"/>
        <v>0.0094140828</v>
      </c>
      <c r="FJ410" s="633">
        <f t="shared" si="6"/>
        <v>0.0581397787</v>
      </c>
      <c r="FK410" s="633">
        <f t="shared" si="6"/>
        <v>0.0290146797</v>
      </c>
      <c r="FL410" s="633">
        <f t="shared" si="6"/>
        <v>0.0151441101</v>
      </c>
      <c r="FM410" s="633">
        <f t="shared" si="6"/>
        <v>0.0111043756</v>
      </c>
      <c r="FN410" s="633">
        <f t="shared" si="6"/>
        <v>0.0631869034</v>
      </c>
      <c r="FO410" s="633">
        <f t="shared" si="6"/>
        <v>0.649842906</v>
      </c>
      <c r="FP410" s="633">
        <f t="shared" si="6"/>
        <v>0.0256403454</v>
      </c>
      <c r="FQ410" s="633">
        <f t="shared" si="6"/>
        <v>0.0383279998</v>
      </c>
      <c r="FR410" s="633">
        <f t="shared" si="6"/>
        <v>0.040325732</v>
      </c>
      <c r="FS410" s="633">
        <f t="shared" si="6"/>
        <v>0.0430547532</v>
      </c>
      <c r="FT410" s="633">
        <f t="shared" si="6"/>
        <v>0.00328282391</v>
      </c>
      <c r="FU410" s="633">
        <f t="shared" si="6"/>
        <v>0.186677368</v>
      </c>
      <c r="FV410" s="633">
        <f t="shared" si="6"/>
        <v>0.0225476799</v>
      </c>
      <c r="FW410" s="633">
        <f t="shared" si="6"/>
        <v>0.00222222337</v>
      </c>
      <c r="FX410" s="633">
        <f t="shared" si="6"/>
        <v>0.0223423186</v>
      </c>
      <c r="FY410" s="633">
        <f t="shared" si="6"/>
        <v>0.00222222337</v>
      </c>
      <c r="FZ410" s="633">
        <f t="shared" si="6"/>
        <v>0.158484146</v>
      </c>
      <c r="GA410" s="633">
        <f t="shared" si="6"/>
        <v>0.848768478</v>
      </c>
      <c r="GB410" s="633">
        <f t="shared" si="6"/>
        <v>0.0958973984</v>
      </c>
      <c r="GC410" s="633">
        <f t="shared" si="6"/>
        <v>0.0426359863</v>
      </c>
      <c r="GD410" s="633">
        <f t="shared" si="6"/>
        <v>0.0452763141</v>
      </c>
      <c r="GE410" s="633">
        <f t="shared" si="6"/>
        <v>0.526760377</v>
      </c>
      <c r="GF410" s="633">
        <f t="shared" si="6"/>
        <v>0.0474906171</v>
      </c>
      <c r="GG410" s="633">
        <f t="shared" si="6"/>
        <v>0.222634553</v>
      </c>
      <c r="GH410" s="633">
        <f t="shared" si="6"/>
        <v>2.0898276</v>
      </c>
      <c r="GI410" s="633">
        <f t="shared" si="6"/>
        <v>1.30018915</v>
      </c>
      <c r="GJ410" s="633">
        <f t="shared" si="6"/>
        <v>0.00683239465</v>
      </c>
      <c r="GK410" s="633">
        <f t="shared" si="6"/>
        <v>0.00766622075</v>
      </c>
      <c r="GL410" s="633">
        <f t="shared" si="6"/>
        <v>0.0034523066</v>
      </c>
      <c r="GM410" s="633">
        <f t="shared" si="6"/>
        <v>0.0034523066</v>
      </c>
      <c r="GN410" s="633">
        <f t="shared" si="6"/>
        <v>0.00222222336</v>
      </c>
      <c r="GO410" s="633">
        <f t="shared" si="6"/>
        <v>0.00684625327</v>
      </c>
      <c r="GP410" s="633">
        <f t="shared" si="6"/>
        <v>0.00300928027</v>
      </c>
      <c r="GQ410" s="633">
        <f t="shared" si="6"/>
        <v>0</v>
      </c>
      <c r="GR410" s="633">
        <f t="shared" si="6"/>
        <v>0</v>
      </c>
      <c r="GS410" s="633">
        <f t="shared" si="6"/>
        <v>0.0320000165</v>
      </c>
      <c r="GT410" s="633">
        <f t="shared" si="6"/>
        <v>0.01397939135</v>
      </c>
      <c r="GU410" s="633">
        <f t="shared" si="6"/>
        <v>0.10312378</v>
      </c>
      <c r="GV410" s="633">
        <f t="shared" si="6"/>
        <v>0.0224878494</v>
      </c>
      <c r="GW410" s="633">
        <f t="shared" si="6"/>
        <v>0.00668094939</v>
      </c>
      <c r="GX410" s="633">
        <f t="shared" si="6"/>
        <v>0.00514944604</v>
      </c>
      <c r="GY410" s="633">
        <f t="shared" si="6"/>
        <v>0.00202087731</v>
      </c>
      <c r="GZ410" s="633">
        <f t="shared" si="6"/>
        <v>0.00185248635</v>
      </c>
      <c r="HA410" s="633">
        <f t="shared" si="6"/>
        <v>0</v>
      </c>
      <c r="HB410" s="633">
        <f t="shared" si="6"/>
        <v>0</v>
      </c>
      <c r="HC410" s="633">
        <f t="shared" si="6"/>
        <v>0</v>
      </c>
      <c r="HD410" s="633">
        <f t="shared" si="6"/>
        <v>0.0158526589</v>
      </c>
      <c r="HE410" s="633">
        <f t="shared" si="6"/>
        <v>0.0639394666</v>
      </c>
      <c r="HF410" s="633">
        <f t="shared" si="6"/>
        <v>0.00185248635</v>
      </c>
      <c r="HG410" s="633">
        <f t="shared" si="6"/>
        <v>0.00202087731</v>
      </c>
      <c r="HH410" s="633">
        <f t="shared" si="6"/>
        <v>5.00138298</v>
      </c>
      <c r="HI410" s="633">
        <f t="shared" si="6"/>
        <v>0</v>
      </c>
      <c r="HJ410" s="633">
        <f t="shared" si="6"/>
        <v>0.00300928027</v>
      </c>
      <c r="HK410" s="633">
        <f t="shared" si="6"/>
        <v>0.0206893932</v>
      </c>
      <c r="HL410" s="633">
        <f t="shared" si="6"/>
        <v>881.3000918</v>
      </c>
      <c r="HM410" s="633">
        <f t="shared" si="6"/>
        <v>1042.395511</v>
      </c>
      <c r="HN410" s="633">
        <f t="shared" si="6"/>
        <v>629.430695</v>
      </c>
      <c r="HO410" s="633">
        <f t="shared" si="6"/>
        <v>437.1821958</v>
      </c>
      <c r="HP410" s="633">
        <f t="shared" si="6"/>
        <v>129.4298575</v>
      </c>
      <c r="HQ410" s="633">
        <f t="shared" si="6"/>
        <v>15.5118979</v>
      </c>
      <c r="HR410" s="633">
        <f t="shared" si="6"/>
        <v>0.619139804</v>
      </c>
      <c r="HS410" s="633">
        <f t="shared" si="6"/>
        <v>0.187019096</v>
      </c>
      <c r="HT410" s="633">
        <f t="shared" si="6"/>
        <v>1.953621056</v>
      </c>
      <c r="HU410" s="633">
        <f t="shared" si="6"/>
        <v>2.240523654</v>
      </c>
      <c r="HV410" s="633">
        <f t="shared" si="6"/>
        <v>1.705726605</v>
      </c>
      <c r="HW410" s="633">
        <f t="shared" si="6"/>
        <v>3479.366707</v>
      </c>
      <c r="HX410" s="633">
        <f t="shared" si="6"/>
        <v>25.31746759</v>
      </c>
      <c r="HY410" s="633">
        <f t="shared" si="6"/>
        <v>25.32452006</v>
      </c>
      <c r="HZ410" s="633">
        <f t="shared" si="6"/>
        <v>1.988371738</v>
      </c>
      <c r="IA410" s="633">
        <f t="shared" si="6"/>
        <v>0.466223056</v>
      </c>
      <c r="IB410" s="633">
        <f t="shared" si="6"/>
        <v>0.836790755</v>
      </c>
      <c r="IC410" s="633">
        <f t="shared" si="6"/>
        <v>5.08179571</v>
      </c>
      <c r="ID410" s="633">
        <f t="shared" si="6"/>
        <v>7.18878193</v>
      </c>
      <c r="IE410" s="633">
        <f t="shared" si="6"/>
        <v>39.01413373</v>
      </c>
      <c r="IF410" s="633">
        <f t="shared" si="6"/>
        <v>42.2909165</v>
      </c>
      <c r="IG410" s="633">
        <f t="shared" si="6"/>
        <v>139.066782</v>
      </c>
      <c r="IH410" s="633">
        <f t="shared" si="6"/>
        <v>28.92645016</v>
      </c>
      <c r="II410" s="633">
        <f t="shared" si="6"/>
        <v>8.74458162</v>
      </c>
      <c r="IJ410" s="633">
        <f t="shared" si="6"/>
        <v>7.27878444</v>
      </c>
      <c r="IK410" s="633">
        <f t="shared" si="6"/>
        <v>7.1986884</v>
      </c>
      <c r="IL410" s="633">
        <f t="shared" si="6"/>
        <v>138.2548537</v>
      </c>
      <c r="IM410" s="633">
        <f t="shared" si="6"/>
        <v>69.3204655</v>
      </c>
      <c r="IN410" s="633">
        <f t="shared" si="6"/>
        <v>281.2211632</v>
      </c>
      <c r="IO410" s="633">
        <f t="shared" si="6"/>
        <v>35.6140569</v>
      </c>
      <c r="IP410" s="633">
        <f t="shared" si="6"/>
        <v>2.17774228</v>
      </c>
      <c r="IQ410" s="633">
        <f t="shared" si="6"/>
        <v>534.3652539</v>
      </c>
      <c r="IR410" s="633">
        <f t="shared" si="6"/>
        <v>308.8033856</v>
      </c>
      <c r="IS410" s="633">
        <f t="shared" si="6"/>
        <v>12.15336412</v>
      </c>
      <c r="IT410" s="633">
        <f t="shared" si="6"/>
        <v>7.17725854</v>
      </c>
      <c r="IU410" s="633">
        <f t="shared" si="6"/>
        <v>12.62552193</v>
      </c>
      <c r="IV410" s="633">
        <f t="shared" si="6"/>
        <v>2.05893145</v>
      </c>
      <c r="IW410" s="633">
        <f t="shared" si="6"/>
        <v>3.36456245</v>
      </c>
      <c r="IX410" s="633">
        <f t="shared" si="6"/>
        <v>6.79009954</v>
      </c>
      <c r="IY410" s="633">
        <f t="shared" si="6"/>
        <v>13.1223028</v>
      </c>
      <c r="IZ410" s="633">
        <f t="shared" si="6"/>
        <v>3.61288605</v>
      </c>
      <c r="JA410" s="633">
        <f t="shared" si="6"/>
        <v>0.0069666408</v>
      </c>
      <c r="JB410" s="633">
        <f t="shared" si="6"/>
        <v>7.8663</v>
      </c>
      <c r="JC410" s="633">
        <f t="shared" si="6"/>
        <v>60.4751463</v>
      </c>
      <c r="JD410" s="633">
        <f t="shared" si="6"/>
        <v>95.5310516</v>
      </c>
      <c r="JE410" s="633">
        <f t="shared" si="6"/>
        <v>44.2104673</v>
      </c>
      <c r="JF410" s="633">
        <f t="shared" si="6"/>
        <v>34.2202681</v>
      </c>
      <c r="JG410" s="633">
        <f t="shared" si="6"/>
        <v>69.234472</v>
      </c>
      <c r="JH410" s="633">
        <f t="shared" si="6"/>
        <v>79.2861691</v>
      </c>
      <c r="JI410" s="633">
        <f t="shared" si="6"/>
        <v>106.3812562</v>
      </c>
      <c r="JJ410" s="633">
        <f t="shared" si="6"/>
        <v>115.1214947</v>
      </c>
      <c r="JK410" s="633">
        <f t="shared" si="6"/>
        <v>53.6080417</v>
      </c>
      <c r="JL410" s="633">
        <f t="shared" si="6"/>
        <v>88.0549298</v>
      </c>
      <c r="JM410" s="633">
        <f t="shared" si="6"/>
        <v>132.6791392</v>
      </c>
      <c r="JN410" s="633">
        <f t="shared" si="6"/>
        <v>31.3334398</v>
      </c>
      <c r="JO410" s="633">
        <f t="shared" si="6"/>
        <v>30.8302866</v>
      </c>
      <c r="JP410" s="633">
        <f t="shared" si="6"/>
        <v>31.30283749</v>
      </c>
      <c r="JQ410" s="633">
        <f t="shared" si="6"/>
        <v>30.7996843</v>
      </c>
      <c r="JR410" s="633">
        <f t="shared" si="6"/>
        <v>0.01669250391</v>
      </c>
      <c r="JS410" s="633">
        <f t="shared" si="6"/>
        <v>0.00527038111</v>
      </c>
      <c r="JT410" s="633">
        <f t="shared" si="6"/>
        <v>8.5810176</v>
      </c>
      <c r="JU410" s="633">
        <f t="shared" si="6"/>
        <v>3.0657009</v>
      </c>
      <c r="JV410" s="633">
        <f t="shared" si="6"/>
        <v>0.22628188</v>
      </c>
      <c r="JW410" s="633">
        <f t="shared" si="6"/>
        <v>2.80787315</v>
      </c>
      <c r="JX410" s="633">
        <f t="shared" si="6"/>
        <v>0.220435443</v>
      </c>
      <c r="JY410" s="633">
        <f t="shared" si="6"/>
        <v>333.948399</v>
      </c>
      <c r="JZ410" s="633">
        <f t="shared" si="6"/>
        <v>322.8821213</v>
      </c>
      <c r="KA410" s="633">
        <f t="shared" si="6"/>
        <v>15142.8809</v>
      </c>
      <c r="KB410" s="633">
        <f t="shared" si="6"/>
        <v>21.5597303</v>
      </c>
      <c r="KC410" s="633">
        <f t="shared" si="6"/>
        <v>1687.226075</v>
      </c>
      <c r="KD410" s="633">
        <f t="shared" si="6"/>
        <v>128.0731297</v>
      </c>
      <c r="KE410" s="633">
        <f t="shared" si="6"/>
        <v>532.8926109</v>
      </c>
      <c r="KF410" s="633">
        <f t="shared" si="6"/>
        <v>222.8550152</v>
      </c>
      <c r="KG410" s="633">
        <f t="shared" si="6"/>
        <v>906.8461249</v>
      </c>
      <c r="KH410" s="633">
        <f t="shared" si="6"/>
        <v>1943.69792</v>
      </c>
      <c r="KI410" s="633">
        <f t="shared" si="6"/>
        <v>9091.324461</v>
      </c>
      <c r="KJ410" s="633">
        <f t="shared" si="6"/>
        <v>13741.32835</v>
      </c>
      <c r="KK410" s="633">
        <f t="shared" si="6"/>
        <v>52.08151622</v>
      </c>
      <c r="KL410" s="633">
        <f t="shared" si="6"/>
        <v>0.84977004</v>
      </c>
      <c r="KM410" s="633">
        <f t="shared" si="6"/>
        <v>56.2390833</v>
      </c>
      <c r="KN410" s="633">
        <f t="shared" si="6"/>
        <v>2.848197999</v>
      </c>
      <c r="KO410" s="633">
        <f t="shared" si="6"/>
        <v>0.181075533</v>
      </c>
      <c r="KP410" s="633">
        <f t="shared" si="6"/>
        <v>0.1047504197</v>
      </c>
      <c r="KQ410" s="633">
        <f t="shared" si="6"/>
        <v>0.553391887</v>
      </c>
      <c r="KR410" s="633">
        <f t="shared" si="6"/>
        <v>0.4028125343</v>
      </c>
      <c r="KS410" s="633">
        <f t="shared" si="6"/>
        <v>0.1608007406</v>
      </c>
      <c r="KT410" s="633">
        <f t="shared" si="6"/>
        <v>21.0656674</v>
      </c>
      <c r="KU410" s="633">
        <f t="shared" si="6"/>
        <v>1.01520685</v>
      </c>
      <c r="KV410" s="633">
        <f t="shared" si="6"/>
        <v>0.975867422</v>
      </c>
      <c r="KW410" s="633">
        <f t="shared" si="6"/>
        <v>1.41974602</v>
      </c>
      <c r="KX410" s="633">
        <f t="shared" si="6"/>
        <v>1.450242769</v>
      </c>
      <c r="KY410" s="633">
        <f t="shared" si="6"/>
        <v>1.46515352</v>
      </c>
      <c r="KZ410" s="633">
        <f t="shared" si="6"/>
        <v>1.439899982</v>
      </c>
      <c r="LA410" s="633">
        <f t="shared" si="6"/>
        <v>1.859920545</v>
      </c>
      <c r="LB410" s="633">
        <f t="shared" si="6"/>
        <v>29.66744439</v>
      </c>
      <c r="LC410" s="633">
        <f t="shared" si="6"/>
        <v>3.26601561</v>
      </c>
      <c r="LD410" s="633">
        <f t="shared" si="6"/>
        <v>16.84819272</v>
      </c>
      <c r="LE410" s="633">
        <f t="shared" si="6"/>
        <v>15.70718276</v>
      </c>
      <c r="LF410" s="633">
        <f t="shared" si="6"/>
        <v>2.23348373</v>
      </c>
      <c r="LG410" s="633">
        <f t="shared" si="6"/>
        <v>36.75563222</v>
      </c>
      <c r="LH410" s="633">
        <f t="shared" si="6"/>
        <v>36.89819724</v>
      </c>
      <c r="LI410" s="633">
        <f t="shared" si="6"/>
        <v>1.545328715</v>
      </c>
      <c r="LJ410" s="633">
        <f t="shared" si="6"/>
        <v>1.970061591</v>
      </c>
      <c r="LK410" s="633">
        <f t="shared" si="6"/>
        <v>1.334723974</v>
      </c>
      <c r="LL410" s="633">
        <f t="shared" si="6"/>
        <v>1.552082804</v>
      </c>
      <c r="LM410" s="633">
        <f t="shared" si="6"/>
        <v>1.28871237</v>
      </c>
      <c r="LN410" s="633">
        <f t="shared" si="6"/>
        <v>1.81718583</v>
      </c>
      <c r="LO410" s="633">
        <f t="shared" si="6"/>
        <v>0.3490029814</v>
      </c>
      <c r="LP410" s="633">
        <f t="shared" si="6"/>
        <v>1.51897711</v>
      </c>
      <c r="LQ410" s="633">
        <f t="shared" si="6"/>
        <v>2.866127365</v>
      </c>
      <c r="LR410" s="633">
        <f t="shared" si="6"/>
        <v>2.011429913</v>
      </c>
      <c r="LS410" s="633">
        <f t="shared" si="6"/>
        <v>2.33678345</v>
      </c>
      <c r="LT410" s="633">
        <f t="shared" si="6"/>
        <v>2.79175855</v>
      </c>
      <c r="LU410" s="633">
        <f t="shared" si="6"/>
        <v>554.460502</v>
      </c>
      <c r="LV410" s="633">
        <f t="shared" si="6"/>
        <v>847.745221</v>
      </c>
      <c r="LW410" s="633">
        <f t="shared" si="6"/>
        <v>15.20130645</v>
      </c>
      <c r="LX410" s="633">
        <f t="shared" si="6"/>
        <v>27.8582158</v>
      </c>
      <c r="LY410" s="633">
        <f t="shared" si="6"/>
        <v>0.1095810063</v>
      </c>
      <c r="LZ410" s="633">
        <f t="shared" si="6"/>
        <v>0.75936754</v>
      </c>
      <c r="MA410" s="633">
        <f t="shared" si="6"/>
        <v>8.50840224</v>
      </c>
      <c r="MB410" s="633">
        <f t="shared" si="6"/>
        <v>13.09201149</v>
      </c>
      <c r="MC410" s="633">
        <f t="shared" si="6"/>
        <v>1.218013729</v>
      </c>
      <c r="MD410" s="633">
        <f t="shared" si="6"/>
        <v>1.179564376</v>
      </c>
      <c r="ME410" s="633">
        <f t="shared" si="6"/>
        <v>0.90491742</v>
      </c>
      <c r="MF410" s="633">
        <f t="shared" si="6"/>
        <v>160.1947596</v>
      </c>
      <c r="MG410" s="633">
        <f t="shared" si="6"/>
        <v>0.114327584</v>
      </c>
      <c r="MH410" s="633">
        <f t="shared" si="6"/>
        <v>0.1258456644</v>
      </c>
      <c r="MI410" s="633">
        <f t="shared" si="6"/>
        <v>0.00527038111</v>
      </c>
      <c r="MJ410" s="633">
        <f t="shared" si="6"/>
        <v>1.43816664</v>
      </c>
      <c r="MK410" s="633">
        <f t="shared" si="6"/>
        <v>22.39755088</v>
      </c>
      <c r="ML410" s="633">
        <f t="shared" si="6"/>
        <v>22.75478358</v>
      </c>
      <c r="MM410" s="633">
        <f t="shared" si="6"/>
        <v>23.20484028</v>
      </c>
      <c r="MN410" s="633">
        <f t="shared" si="6"/>
        <v>22.81286569</v>
      </c>
      <c r="MO410" s="633">
        <f t="shared" si="6"/>
        <v>19.40547962</v>
      </c>
      <c r="MP410" s="633">
        <f t="shared" si="6"/>
        <v>19.77513054</v>
      </c>
      <c r="MQ410" s="633">
        <f t="shared" si="6"/>
        <v>23.98434408</v>
      </c>
      <c r="MR410" s="633">
        <f t="shared" si="6"/>
        <v>23.55839522</v>
      </c>
      <c r="MS410" s="633">
        <f t="shared" si="6"/>
        <v>19.83049365</v>
      </c>
      <c r="MT410" s="633">
        <f t="shared" si="6"/>
        <v>20.80260453</v>
      </c>
      <c r="MU410" s="633">
        <f t="shared" si="6"/>
        <v>20.41325719</v>
      </c>
      <c r="MV410" s="633">
        <f t="shared" si="6"/>
        <v>19.46072403</v>
      </c>
      <c r="MW410" s="633">
        <f t="shared" si="6"/>
        <v>2.79181224</v>
      </c>
      <c r="MX410" s="633">
        <f t="shared" si="6"/>
        <v>199.214146</v>
      </c>
      <c r="MY410" s="633">
        <f t="shared" si="6"/>
        <v>166.198408</v>
      </c>
      <c r="MZ410" s="633">
        <f t="shared" si="6"/>
        <v>91.16277</v>
      </c>
      <c r="NA410" s="633">
        <f t="shared" si="6"/>
        <v>0.89328498</v>
      </c>
      <c r="NB410" s="633">
        <f t="shared" si="6"/>
        <v>1.330814517</v>
      </c>
      <c r="NC410" s="633">
        <f t="shared" si="6"/>
        <v>7.84649105</v>
      </c>
      <c r="ND410" s="633">
        <f t="shared" si="6"/>
        <v>146.164583</v>
      </c>
      <c r="NE410" s="633">
        <f t="shared" si="6"/>
        <v>63.250268</v>
      </c>
      <c r="NF410" s="633">
        <f t="shared" si="6"/>
        <v>5252.946078</v>
      </c>
      <c r="NG410" s="633">
        <f t="shared" si="6"/>
        <v>59.6166408</v>
      </c>
      <c r="NH410" s="633">
        <f t="shared" si="6"/>
        <v>1.05950132</v>
      </c>
      <c r="NI410" s="633">
        <f t="shared" si="6"/>
        <v>3.77626958</v>
      </c>
      <c r="NJ410" s="633">
        <f t="shared" si="6"/>
        <v>3.97516296</v>
      </c>
      <c r="NK410" s="633">
        <f t="shared" si="6"/>
        <v>2.597072</v>
      </c>
      <c r="NL410" s="633">
        <f t="shared" si="6"/>
        <v>0.485321198</v>
      </c>
      <c r="NM410" s="633">
        <f t="shared" si="6"/>
        <v>34.46158531</v>
      </c>
      <c r="NN410" s="633">
        <f t="shared" si="6"/>
        <v>9.33617478</v>
      </c>
      <c r="NO410" s="633">
        <f t="shared" si="6"/>
        <v>64.87891</v>
      </c>
      <c r="NP410" s="633">
        <f t="shared" si="6"/>
        <v>0.486338343</v>
      </c>
      <c r="NQ410" s="633">
        <f t="shared" si="6"/>
        <v>580.980584</v>
      </c>
      <c r="NR410" s="633">
        <f t="shared" si="6"/>
        <v>777.441911</v>
      </c>
      <c r="NS410" s="633">
        <f t="shared" si="6"/>
        <v>240.964828</v>
      </c>
      <c r="NT410" s="633">
        <f t="shared" si="6"/>
        <v>2592.026381</v>
      </c>
      <c r="NU410" s="633">
        <f t="shared" si="6"/>
        <v>2560.313897</v>
      </c>
      <c r="NV410" s="633">
        <f t="shared" si="6"/>
        <v>7.259089138</v>
      </c>
      <c r="NW410" s="633">
        <f t="shared" si="6"/>
        <v>9.45927048</v>
      </c>
      <c r="NX410" s="633"/>
      <c r="NY410" s="633">
        <f>SUM(NY406:NY408)</f>
        <v>0</v>
      </c>
      <c r="NZ410" s="633">
        <f>NZ402-NZ409</f>
        <v>2.9</v>
      </c>
      <c r="OA410" s="633">
        <f t="shared" ref="OA410:OB410" si="7">SUM(OA406:OA408)</f>
        <v>0.1170652593</v>
      </c>
      <c r="OB410" s="633">
        <f t="shared" si="7"/>
        <v>9.51</v>
      </c>
      <c r="OC410" s="633">
        <f>OC402-OC409</f>
        <v>1.474775082</v>
      </c>
      <c r="OD410" s="626"/>
      <c r="OE410" s="633">
        <f t="shared" ref="OE410:OG410" si="8">SUM(OE406:OE408)</f>
        <v>212.785899</v>
      </c>
      <c r="OF410" s="633">
        <f t="shared" si="8"/>
        <v>451.6835221</v>
      </c>
      <c r="OG410" s="633">
        <f t="shared" si="8"/>
        <v>174.5622792</v>
      </c>
      <c r="OH410" s="30"/>
    </row>
    <row r="411" ht="12.75" customHeight="1">
      <c r="OC411" s="626"/>
      <c r="OD411" s="626"/>
      <c r="OE411" s="626"/>
      <c r="OF411" s="626"/>
      <c r="OG411" s="626"/>
    </row>
    <row r="412" ht="12.75" customHeight="1">
      <c r="OC412" s="626"/>
      <c r="OD412" s="626"/>
      <c r="OE412" s="25" t="s">
        <v>5000</v>
      </c>
      <c r="OF412" s="631">
        <v>800.0</v>
      </c>
      <c r="OG412" s="630">
        <v>5000.0</v>
      </c>
      <c r="OH412" s="25" t="s">
        <v>5001</v>
      </c>
    </row>
    <row r="413" ht="12.75" customHeight="1">
      <c r="OE413" s="626" t="s">
        <v>5002</v>
      </c>
      <c r="OF413" s="630">
        <f t="shared" ref="OF413:OG413" si="9">OF412/($OF412+$OG412)</f>
        <v>0.1379310345</v>
      </c>
      <c r="OG413" s="630">
        <f t="shared" si="9"/>
        <v>0.8620689655</v>
      </c>
    </row>
  </sheetData>
  <printOptions/>
  <pageMargins bottom="0.787401575" footer="0.0" header="0.0" left="0.7" right="0.7" top="0.7874015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5.71"/>
    <col customWidth="1" min="2" max="398" width="10.71"/>
  </cols>
  <sheetData>
    <row r="1" ht="12.75" customHeight="1">
      <c r="A1" s="624" t="s">
        <v>5012</v>
      </c>
    </row>
    <row r="2" ht="12.75" customHeight="1"/>
    <row r="3" ht="12.75" customHeight="1"/>
    <row r="4" ht="12.75" customHeight="1"/>
    <row r="5" ht="12.75" customHeight="1">
      <c r="A5" s="625"/>
    </row>
    <row r="6" ht="12.75" hidden="1" customHeight="1" outlineLevel="1">
      <c r="A6" s="55" t="s">
        <v>3801</v>
      </c>
      <c r="B6" s="55" t="s">
        <v>3802</v>
      </c>
    </row>
    <row r="7" ht="12.75" hidden="1" customHeight="1" outlineLevel="1">
      <c r="A7" s="55" t="s">
        <v>3803</v>
      </c>
      <c r="B7" s="55" t="s">
        <v>3804</v>
      </c>
    </row>
    <row r="8" ht="12.75" hidden="1" customHeight="1" outlineLevel="1">
      <c r="A8" s="55" t="s">
        <v>3805</v>
      </c>
      <c r="B8" s="55" t="s">
        <v>3806</v>
      </c>
    </row>
    <row r="9" ht="12.75" hidden="1" customHeight="1" outlineLevel="1">
      <c r="A9" s="55" t="s">
        <v>3807</v>
      </c>
      <c r="B9" s="55" t="s">
        <v>3808</v>
      </c>
    </row>
    <row r="10" ht="12.75" hidden="1" customHeight="1" outlineLevel="1">
      <c r="A10" s="55" t="s">
        <v>3809</v>
      </c>
      <c r="B10" s="55" t="s">
        <v>3810</v>
      </c>
    </row>
    <row r="11" ht="12.75" hidden="1" customHeight="1" outlineLevel="1">
      <c r="A11" s="55" t="s">
        <v>3811</v>
      </c>
      <c r="B11" s="55" t="s">
        <v>3812</v>
      </c>
    </row>
    <row r="12" ht="12.75" hidden="1" customHeight="1" outlineLevel="1">
      <c r="A12" s="55" t="s">
        <v>3813</v>
      </c>
      <c r="B12" s="55" t="s">
        <v>3814</v>
      </c>
    </row>
    <row r="13" ht="12.75" hidden="1" customHeight="1" outlineLevel="1">
      <c r="A13" s="55" t="s">
        <v>3815</v>
      </c>
      <c r="B13" s="55" t="s">
        <v>3816</v>
      </c>
    </row>
    <row r="14" ht="12.75" hidden="1" customHeight="1" outlineLevel="1">
      <c r="A14" s="55" t="s">
        <v>3817</v>
      </c>
      <c r="B14" s="55" t="s">
        <v>3818</v>
      </c>
    </row>
    <row r="15" ht="12.75" hidden="1" customHeight="1" outlineLevel="1">
      <c r="A15" s="55" t="s">
        <v>3819</v>
      </c>
      <c r="B15" s="55" t="s">
        <v>3820</v>
      </c>
    </row>
    <row r="16" ht="12.75" hidden="1" customHeight="1" outlineLevel="1">
      <c r="A16" s="55" t="s">
        <v>3821</v>
      </c>
      <c r="B16" s="55" t="s">
        <v>3822</v>
      </c>
    </row>
    <row r="17" ht="12.75" hidden="1" customHeight="1" outlineLevel="1">
      <c r="A17" s="55" t="s">
        <v>3823</v>
      </c>
      <c r="B17" s="55" t="s">
        <v>3824</v>
      </c>
    </row>
    <row r="18" ht="12.75" hidden="1" customHeight="1" outlineLevel="1">
      <c r="A18" s="55" t="s">
        <v>3825</v>
      </c>
      <c r="B18" s="55" t="s">
        <v>3826</v>
      </c>
    </row>
    <row r="19" ht="12.75" hidden="1" customHeight="1" outlineLevel="1">
      <c r="A19" s="55" t="s">
        <v>3827</v>
      </c>
      <c r="B19" s="55" t="s">
        <v>3828</v>
      </c>
    </row>
    <row r="20" ht="12.75" hidden="1" customHeight="1" outlineLevel="1">
      <c r="A20" s="55" t="s">
        <v>3829</v>
      </c>
      <c r="B20" s="55" t="s">
        <v>3830</v>
      </c>
    </row>
    <row r="21" ht="12.75" hidden="1" customHeight="1" outlineLevel="1">
      <c r="A21" s="55" t="s">
        <v>3831</v>
      </c>
      <c r="B21" s="55" t="s">
        <v>3832</v>
      </c>
    </row>
    <row r="22" ht="12.75" hidden="1" customHeight="1" outlineLevel="1">
      <c r="A22" s="55" t="s">
        <v>3833</v>
      </c>
      <c r="B22" s="55" t="s">
        <v>3834</v>
      </c>
    </row>
    <row r="23" ht="12.75" hidden="1" customHeight="1" outlineLevel="1">
      <c r="A23" s="55" t="s">
        <v>3835</v>
      </c>
      <c r="B23" s="55" t="s">
        <v>3836</v>
      </c>
    </row>
    <row r="24" ht="12.75" hidden="1" customHeight="1" outlineLevel="1">
      <c r="A24" s="55" t="s">
        <v>3837</v>
      </c>
      <c r="B24" s="55" t="s">
        <v>3838</v>
      </c>
    </row>
    <row r="25" ht="12.75" hidden="1" customHeight="1" outlineLevel="1">
      <c r="A25" s="55" t="s">
        <v>3839</v>
      </c>
      <c r="B25" s="55" t="s">
        <v>3840</v>
      </c>
    </row>
    <row r="26" ht="12.75" hidden="1" customHeight="1" outlineLevel="1">
      <c r="A26" s="55" t="s">
        <v>3841</v>
      </c>
      <c r="B26" s="55" t="s">
        <v>3842</v>
      </c>
    </row>
    <row r="27" ht="12.75" hidden="1" customHeight="1" outlineLevel="1">
      <c r="A27" s="55" t="s">
        <v>3843</v>
      </c>
      <c r="B27" s="55" t="s">
        <v>3844</v>
      </c>
    </row>
    <row r="28" ht="12.75" hidden="1" customHeight="1" outlineLevel="1">
      <c r="A28" s="55" t="s">
        <v>3845</v>
      </c>
      <c r="B28" s="55" t="s">
        <v>3846</v>
      </c>
    </row>
    <row r="29" ht="12.75" hidden="1" customHeight="1" outlineLevel="1">
      <c r="A29" s="55" t="s">
        <v>3847</v>
      </c>
      <c r="B29" s="55" t="s">
        <v>3848</v>
      </c>
    </row>
    <row r="30" ht="12.75" hidden="1" customHeight="1" outlineLevel="1">
      <c r="A30" s="55" t="s">
        <v>3849</v>
      </c>
      <c r="B30" s="55" t="s">
        <v>3850</v>
      </c>
    </row>
    <row r="31" ht="12.75" hidden="1" customHeight="1" outlineLevel="1">
      <c r="A31" s="55" t="s">
        <v>3851</v>
      </c>
      <c r="B31" s="55" t="s">
        <v>3852</v>
      </c>
    </row>
    <row r="32" ht="12.75" hidden="1" customHeight="1" outlineLevel="1">
      <c r="A32" s="55" t="s">
        <v>3853</v>
      </c>
      <c r="B32" s="55" t="s">
        <v>3854</v>
      </c>
    </row>
    <row r="33" ht="12.75" hidden="1" customHeight="1" outlineLevel="1">
      <c r="A33" s="55" t="s">
        <v>3855</v>
      </c>
      <c r="B33" s="55" t="s">
        <v>3856</v>
      </c>
    </row>
    <row r="34" ht="12.75" hidden="1" customHeight="1" outlineLevel="1">
      <c r="A34" s="55" t="s">
        <v>3857</v>
      </c>
      <c r="B34" s="55" t="s">
        <v>3858</v>
      </c>
    </row>
    <row r="35" ht="12.75" hidden="1" customHeight="1" outlineLevel="1">
      <c r="A35" s="55" t="s">
        <v>3859</v>
      </c>
      <c r="B35" s="55" t="s">
        <v>3860</v>
      </c>
    </row>
    <row r="36" ht="12.75" hidden="1" customHeight="1" outlineLevel="1">
      <c r="A36" s="55" t="s">
        <v>3861</v>
      </c>
      <c r="B36" s="55" t="s">
        <v>3862</v>
      </c>
    </row>
    <row r="37" ht="12.75" hidden="1" customHeight="1" outlineLevel="1">
      <c r="A37" s="55" t="s">
        <v>3863</v>
      </c>
      <c r="B37" s="55" t="s">
        <v>3864</v>
      </c>
    </row>
    <row r="38" ht="12.75" hidden="1" customHeight="1" outlineLevel="1">
      <c r="A38" s="55" t="s">
        <v>3865</v>
      </c>
      <c r="B38" s="55" t="s">
        <v>3866</v>
      </c>
    </row>
    <row r="39" ht="12.75" hidden="1" customHeight="1" outlineLevel="1">
      <c r="A39" s="55" t="s">
        <v>3867</v>
      </c>
      <c r="B39" s="55" t="s">
        <v>3868</v>
      </c>
    </row>
    <row r="40" ht="12.75" hidden="1" customHeight="1" outlineLevel="1">
      <c r="A40" s="55" t="s">
        <v>3869</v>
      </c>
      <c r="B40" s="55" t="s">
        <v>3870</v>
      </c>
    </row>
    <row r="41" ht="12.75" hidden="1" customHeight="1" outlineLevel="1">
      <c r="A41" s="55" t="s">
        <v>3871</v>
      </c>
      <c r="B41" s="55" t="s">
        <v>3872</v>
      </c>
    </row>
    <row r="42" ht="12.75" hidden="1" customHeight="1" outlineLevel="1">
      <c r="A42" s="55" t="s">
        <v>3873</v>
      </c>
      <c r="B42" s="55" t="s">
        <v>3874</v>
      </c>
    </row>
    <row r="43" ht="12.75" hidden="1" customHeight="1" outlineLevel="1">
      <c r="A43" s="55" t="s">
        <v>3875</v>
      </c>
      <c r="B43" s="55" t="s">
        <v>3876</v>
      </c>
    </row>
    <row r="44" ht="12.75" hidden="1" customHeight="1" outlineLevel="1">
      <c r="A44" s="55" t="s">
        <v>3877</v>
      </c>
      <c r="B44" s="55" t="s">
        <v>3878</v>
      </c>
    </row>
    <row r="45" ht="12.75" hidden="1" customHeight="1" outlineLevel="1">
      <c r="A45" s="55" t="s">
        <v>3879</v>
      </c>
      <c r="B45" s="55" t="s">
        <v>3880</v>
      </c>
    </row>
    <row r="46" ht="12.75" hidden="1" customHeight="1" outlineLevel="1">
      <c r="A46" s="55" t="s">
        <v>3881</v>
      </c>
      <c r="B46" s="55" t="s">
        <v>3882</v>
      </c>
    </row>
    <row r="47" ht="12.75" hidden="1" customHeight="1" outlineLevel="1">
      <c r="A47" s="55" t="s">
        <v>3883</v>
      </c>
      <c r="B47" s="55" t="s">
        <v>3884</v>
      </c>
    </row>
    <row r="48" ht="12.75" hidden="1" customHeight="1" outlineLevel="1">
      <c r="A48" s="55" t="s">
        <v>3885</v>
      </c>
      <c r="B48" s="55" t="s">
        <v>3886</v>
      </c>
    </row>
    <row r="49" ht="12.75" hidden="1" customHeight="1" outlineLevel="1">
      <c r="A49" s="55" t="s">
        <v>3887</v>
      </c>
      <c r="B49" s="55" t="s">
        <v>3888</v>
      </c>
    </row>
    <row r="50" ht="12.75" hidden="1" customHeight="1" outlineLevel="1">
      <c r="A50" s="55" t="s">
        <v>3889</v>
      </c>
      <c r="B50" s="55" t="s">
        <v>3890</v>
      </c>
    </row>
    <row r="51" ht="12.75" hidden="1" customHeight="1" outlineLevel="1">
      <c r="A51" s="55" t="s">
        <v>3891</v>
      </c>
      <c r="B51" s="55" t="s">
        <v>3892</v>
      </c>
    </row>
    <row r="52" ht="12.75" hidden="1" customHeight="1" outlineLevel="1">
      <c r="A52" s="55" t="s">
        <v>3893</v>
      </c>
      <c r="B52" s="55" t="s">
        <v>3894</v>
      </c>
    </row>
    <row r="53" ht="12.75" hidden="1" customHeight="1" outlineLevel="1">
      <c r="A53" s="55" t="s">
        <v>3895</v>
      </c>
      <c r="B53" s="55" t="s">
        <v>3896</v>
      </c>
    </row>
    <row r="54" ht="12.75" hidden="1" customHeight="1" outlineLevel="1">
      <c r="A54" s="55" t="s">
        <v>3897</v>
      </c>
      <c r="B54" s="55" t="s">
        <v>3898</v>
      </c>
    </row>
    <row r="55" ht="12.75" hidden="1" customHeight="1" outlineLevel="1">
      <c r="A55" s="55" t="s">
        <v>3899</v>
      </c>
      <c r="B55" s="55" t="s">
        <v>3900</v>
      </c>
    </row>
    <row r="56" ht="12.75" hidden="1" customHeight="1" outlineLevel="1">
      <c r="A56" s="55" t="s">
        <v>3901</v>
      </c>
      <c r="B56" s="55" t="s">
        <v>3902</v>
      </c>
    </row>
    <row r="57" ht="12.75" hidden="1" customHeight="1" outlineLevel="1">
      <c r="A57" s="55" t="s">
        <v>3903</v>
      </c>
      <c r="B57" s="55" t="s">
        <v>3904</v>
      </c>
    </row>
    <row r="58" ht="12.75" hidden="1" customHeight="1" outlineLevel="1">
      <c r="A58" s="55" t="s">
        <v>3905</v>
      </c>
      <c r="B58" s="55" t="s">
        <v>3906</v>
      </c>
    </row>
    <row r="59" ht="12.75" hidden="1" customHeight="1" outlineLevel="1">
      <c r="A59" s="55" t="s">
        <v>3907</v>
      </c>
      <c r="B59" s="55" t="s">
        <v>3908</v>
      </c>
    </row>
    <row r="60" ht="12.75" hidden="1" customHeight="1" outlineLevel="1">
      <c r="A60" s="55" t="s">
        <v>3909</v>
      </c>
      <c r="B60" s="55" t="s">
        <v>3910</v>
      </c>
    </row>
    <row r="61" ht="12.75" hidden="1" customHeight="1" outlineLevel="1">
      <c r="A61" s="55" t="s">
        <v>3911</v>
      </c>
      <c r="B61" s="55" t="s">
        <v>3912</v>
      </c>
    </row>
    <row r="62" ht="12.75" hidden="1" customHeight="1" outlineLevel="1">
      <c r="A62" s="55" t="s">
        <v>3913</v>
      </c>
      <c r="B62" s="55" t="s">
        <v>3914</v>
      </c>
    </row>
    <row r="63" ht="12.75" hidden="1" customHeight="1" outlineLevel="1">
      <c r="A63" s="55" t="s">
        <v>3915</v>
      </c>
      <c r="B63" s="55" t="s">
        <v>3916</v>
      </c>
    </row>
    <row r="64" ht="12.75" hidden="1" customHeight="1" outlineLevel="1">
      <c r="A64" s="55" t="s">
        <v>3917</v>
      </c>
      <c r="B64" s="55" t="s">
        <v>3918</v>
      </c>
    </row>
    <row r="65" ht="12.75" hidden="1" customHeight="1" outlineLevel="1">
      <c r="A65" s="55" t="s">
        <v>3919</v>
      </c>
      <c r="B65" s="55" t="s">
        <v>3920</v>
      </c>
    </row>
    <row r="66" ht="12.75" hidden="1" customHeight="1" outlineLevel="1">
      <c r="A66" s="55" t="s">
        <v>3921</v>
      </c>
      <c r="B66" s="55" t="s">
        <v>3922</v>
      </c>
    </row>
    <row r="67" ht="12.75" hidden="1" customHeight="1" outlineLevel="1">
      <c r="A67" s="55" t="s">
        <v>3923</v>
      </c>
      <c r="B67" s="55" t="s">
        <v>3924</v>
      </c>
    </row>
    <row r="68" ht="12.75" hidden="1" customHeight="1" outlineLevel="1">
      <c r="A68" s="55" t="s">
        <v>3925</v>
      </c>
      <c r="B68" s="55" t="s">
        <v>3926</v>
      </c>
    </row>
    <row r="69" ht="12.75" hidden="1" customHeight="1" outlineLevel="1">
      <c r="A69" s="55" t="s">
        <v>3927</v>
      </c>
      <c r="B69" s="55" t="s">
        <v>3928</v>
      </c>
    </row>
    <row r="70" ht="12.75" hidden="1" customHeight="1" outlineLevel="1">
      <c r="A70" s="55" t="s">
        <v>3929</v>
      </c>
      <c r="B70" s="55" t="s">
        <v>3930</v>
      </c>
    </row>
    <row r="71" ht="12.75" hidden="1" customHeight="1" outlineLevel="1">
      <c r="A71" s="55" t="s">
        <v>3931</v>
      </c>
      <c r="B71" s="55" t="s">
        <v>3932</v>
      </c>
    </row>
    <row r="72" ht="12.75" hidden="1" customHeight="1" outlineLevel="1">
      <c r="A72" s="55" t="s">
        <v>3933</v>
      </c>
      <c r="B72" s="55" t="s">
        <v>3934</v>
      </c>
    </row>
    <row r="73" ht="12.75" hidden="1" customHeight="1" outlineLevel="1">
      <c r="A73" s="55" t="s">
        <v>3935</v>
      </c>
      <c r="B73" s="55" t="s">
        <v>3936</v>
      </c>
    </row>
    <row r="74" ht="12.75" hidden="1" customHeight="1" outlineLevel="1">
      <c r="A74" s="55" t="s">
        <v>3937</v>
      </c>
      <c r="B74" s="55" t="s">
        <v>3938</v>
      </c>
    </row>
    <row r="75" ht="12.75" hidden="1" customHeight="1" outlineLevel="1">
      <c r="A75" s="55" t="s">
        <v>3939</v>
      </c>
      <c r="B75" s="55" t="s">
        <v>3940</v>
      </c>
    </row>
    <row r="76" ht="12.75" hidden="1" customHeight="1" outlineLevel="1">
      <c r="A76" s="55" t="s">
        <v>3941</v>
      </c>
      <c r="B76" s="55" t="s">
        <v>3942</v>
      </c>
    </row>
    <row r="77" ht="12.75" hidden="1" customHeight="1" outlineLevel="1">
      <c r="A77" s="55" t="s">
        <v>3943</v>
      </c>
      <c r="B77" s="55" t="s">
        <v>3944</v>
      </c>
    </row>
    <row r="78" ht="12.75" hidden="1" customHeight="1" outlineLevel="1">
      <c r="A78" s="55" t="s">
        <v>3945</v>
      </c>
      <c r="B78" s="55" t="s">
        <v>3946</v>
      </c>
    </row>
    <row r="79" ht="12.75" hidden="1" customHeight="1" outlineLevel="1">
      <c r="A79" s="55" t="s">
        <v>3947</v>
      </c>
      <c r="B79" s="55" t="s">
        <v>3948</v>
      </c>
    </row>
    <row r="80" ht="12.75" hidden="1" customHeight="1" outlineLevel="1">
      <c r="A80" s="55" t="s">
        <v>3949</v>
      </c>
      <c r="B80" s="55" t="s">
        <v>3950</v>
      </c>
    </row>
    <row r="81" ht="12.75" hidden="1" customHeight="1" outlineLevel="1">
      <c r="A81" s="55" t="s">
        <v>3951</v>
      </c>
      <c r="B81" s="55" t="s">
        <v>3952</v>
      </c>
    </row>
    <row r="82" ht="12.75" hidden="1" customHeight="1" outlineLevel="1">
      <c r="A82" s="55" t="s">
        <v>3953</v>
      </c>
      <c r="B82" s="55" t="s">
        <v>3954</v>
      </c>
    </row>
    <row r="83" ht="12.75" hidden="1" customHeight="1" outlineLevel="1">
      <c r="A83" s="55" t="s">
        <v>3955</v>
      </c>
      <c r="B83" s="55" t="s">
        <v>3956</v>
      </c>
    </row>
    <row r="84" ht="12.75" hidden="1" customHeight="1" outlineLevel="1">
      <c r="A84" s="55" t="s">
        <v>3957</v>
      </c>
      <c r="B84" s="55" t="s">
        <v>3958</v>
      </c>
    </row>
    <row r="85" ht="12.75" hidden="1" customHeight="1" outlineLevel="1">
      <c r="A85" s="55" t="s">
        <v>3959</v>
      </c>
      <c r="B85" s="55" t="s">
        <v>3960</v>
      </c>
    </row>
    <row r="86" ht="12.75" hidden="1" customHeight="1" outlineLevel="1">
      <c r="A86" s="55" t="s">
        <v>3961</v>
      </c>
      <c r="B86" s="55" t="s">
        <v>3962</v>
      </c>
    </row>
    <row r="87" ht="12.75" hidden="1" customHeight="1" outlineLevel="1">
      <c r="A87" s="55" t="s">
        <v>3963</v>
      </c>
      <c r="B87" s="55" t="s">
        <v>3964</v>
      </c>
    </row>
    <row r="88" ht="12.75" hidden="1" customHeight="1" outlineLevel="1">
      <c r="A88" s="55" t="s">
        <v>3965</v>
      </c>
      <c r="B88" s="55" t="s">
        <v>3966</v>
      </c>
    </row>
    <row r="89" ht="12.75" hidden="1" customHeight="1" outlineLevel="1">
      <c r="A89" s="55" t="s">
        <v>3967</v>
      </c>
      <c r="B89" s="55" t="s">
        <v>3968</v>
      </c>
    </row>
    <row r="90" ht="12.75" hidden="1" customHeight="1" outlineLevel="1">
      <c r="A90" s="55" t="s">
        <v>3969</v>
      </c>
      <c r="B90" s="55" t="s">
        <v>3970</v>
      </c>
    </row>
    <row r="91" ht="12.75" hidden="1" customHeight="1" outlineLevel="1">
      <c r="A91" s="55" t="s">
        <v>3971</v>
      </c>
      <c r="B91" s="55" t="s">
        <v>3972</v>
      </c>
    </row>
    <row r="92" ht="12.75" hidden="1" customHeight="1" outlineLevel="1">
      <c r="A92" s="55" t="s">
        <v>3973</v>
      </c>
      <c r="B92" s="55" t="s">
        <v>3974</v>
      </c>
    </row>
    <row r="93" ht="12.75" hidden="1" customHeight="1" outlineLevel="1">
      <c r="A93" s="55" t="s">
        <v>3975</v>
      </c>
      <c r="B93" s="55" t="s">
        <v>3976</v>
      </c>
    </row>
    <row r="94" ht="12.75" hidden="1" customHeight="1" outlineLevel="1">
      <c r="A94" s="55" t="s">
        <v>3977</v>
      </c>
      <c r="B94" s="55" t="s">
        <v>3978</v>
      </c>
    </row>
    <row r="95" ht="12.75" hidden="1" customHeight="1" outlineLevel="1">
      <c r="A95" s="55" t="s">
        <v>3979</v>
      </c>
      <c r="B95" s="55" t="s">
        <v>3980</v>
      </c>
    </row>
    <row r="96" ht="12.75" hidden="1" customHeight="1" outlineLevel="1">
      <c r="A96" s="55" t="s">
        <v>3981</v>
      </c>
      <c r="B96" s="55" t="s">
        <v>3982</v>
      </c>
    </row>
    <row r="97" ht="12.75" hidden="1" customHeight="1" outlineLevel="1">
      <c r="A97" s="55" t="s">
        <v>3983</v>
      </c>
      <c r="B97" s="55" t="s">
        <v>3984</v>
      </c>
    </row>
    <row r="98" ht="12.75" hidden="1" customHeight="1" outlineLevel="1">
      <c r="A98" s="55" t="s">
        <v>3985</v>
      </c>
      <c r="B98" s="55" t="s">
        <v>3986</v>
      </c>
    </row>
    <row r="99" ht="12.75" hidden="1" customHeight="1" outlineLevel="1">
      <c r="A99" s="55" t="s">
        <v>3987</v>
      </c>
      <c r="B99" s="55" t="s">
        <v>3988</v>
      </c>
    </row>
    <row r="100" ht="12.75" hidden="1" customHeight="1" outlineLevel="1">
      <c r="A100" s="55" t="s">
        <v>3989</v>
      </c>
      <c r="B100" s="55" t="s">
        <v>3990</v>
      </c>
    </row>
    <row r="101" ht="12.75" hidden="1" customHeight="1" outlineLevel="1">
      <c r="A101" s="55" t="s">
        <v>3991</v>
      </c>
      <c r="B101" s="55" t="s">
        <v>3992</v>
      </c>
    </row>
    <row r="102" ht="12.75" hidden="1" customHeight="1" outlineLevel="1">
      <c r="A102" s="55" t="s">
        <v>3993</v>
      </c>
      <c r="B102" s="55" t="s">
        <v>3994</v>
      </c>
    </row>
    <row r="103" ht="12.75" hidden="1" customHeight="1" outlineLevel="1">
      <c r="A103" s="55" t="s">
        <v>3995</v>
      </c>
      <c r="B103" s="55" t="s">
        <v>3996</v>
      </c>
    </row>
    <row r="104" ht="12.75" hidden="1" customHeight="1" outlineLevel="1">
      <c r="A104" s="55" t="s">
        <v>3997</v>
      </c>
      <c r="B104" s="55" t="s">
        <v>3998</v>
      </c>
    </row>
    <row r="105" ht="12.75" hidden="1" customHeight="1" outlineLevel="1">
      <c r="A105" s="55" t="s">
        <v>3999</v>
      </c>
      <c r="B105" s="55" t="s">
        <v>4000</v>
      </c>
    </row>
    <row r="106" ht="12.75" hidden="1" customHeight="1" outlineLevel="1">
      <c r="A106" s="55" t="s">
        <v>4001</v>
      </c>
      <c r="B106" s="55" t="s">
        <v>4002</v>
      </c>
    </row>
    <row r="107" ht="12.75" hidden="1" customHeight="1" outlineLevel="1">
      <c r="A107" s="55" t="s">
        <v>4003</v>
      </c>
      <c r="B107" s="55" t="s">
        <v>4004</v>
      </c>
    </row>
    <row r="108" ht="12.75" hidden="1" customHeight="1" outlineLevel="1">
      <c r="A108" s="55" t="s">
        <v>4005</v>
      </c>
      <c r="B108" s="55" t="s">
        <v>4006</v>
      </c>
    </row>
    <row r="109" ht="12.75" hidden="1" customHeight="1" outlineLevel="1">
      <c r="A109" s="55" t="s">
        <v>4007</v>
      </c>
      <c r="B109" s="55" t="s">
        <v>4008</v>
      </c>
    </row>
    <row r="110" ht="12.75" hidden="1" customHeight="1" outlineLevel="1">
      <c r="A110" s="55" t="s">
        <v>4009</v>
      </c>
      <c r="B110" s="55" t="s">
        <v>4010</v>
      </c>
    </row>
    <row r="111" ht="12.75" hidden="1" customHeight="1" outlineLevel="1">
      <c r="A111" s="55" t="s">
        <v>4011</v>
      </c>
      <c r="B111" s="55" t="s">
        <v>4012</v>
      </c>
    </row>
    <row r="112" ht="12.75" hidden="1" customHeight="1" outlineLevel="1">
      <c r="A112" s="55" t="s">
        <v>4013</v>
      </c>
      <c r="B112" s="55" t="s">
        <v>4014</v>
      </c>
    </row>
    <row r="113" ht="12.75" hidden="1" customHeight="1" outlineLevel="1">
      <c r="A113" s="55" t="s">
        <v>4015</v>
      </c>
      <c r="B113" s="55" t="s">
        <v>4016</v>
      </c>
    </row>
    <row r="114" ht="12.75" hidden="1" customHeight="1" outlineLevel="1">
      <c r="A114" s="55" t="s">
        <v>4017</v>
      </c>
      <c r="B114" s="55" t="s">
        <v>4018</v>
      </c>
    </row>
    <row r="115" ht="12.75" hidden="1" customHeight="1" outlineLevel="1">
      <c r="A115" s="55" t="s">
        <v>4019</v>
      </c>
      <c r="B115" s="55" t="s">
        <v>4020</v>
      </c>
    </row>
    <row r="116" ht="12.75" hidden="1" customHeight="1" outlineLevel="1">
      <c r="A116" s="55" t="s">
        <v>4021</v>
      </c>
      <c r="B116" s="55" t="s">
        <v>4022</v>
      </c>
    </row>
    <row r="117" ht="12.75" hidden="1" customHeight="1" outlineLevel="1">
      <c r="A117" s="55" t="s">
        <v>4023</v>
      </c>
      <c r="B117" s="55" t="s">
        <v>4024</v>
      </c>
    </row>
    <row r="118" ht="12.75" hidden="1" customHeight="1" outlineLevel="1">
      <c r="A118" s="55" t="s">
        <v>4025</v>
      </c>
      <c r="B118" s="55" t="s">
        <v>4026</v>
      </c>
    </row>
    <row r="119" ht="12.75" hidden="1" customHeight="1" outlineLevel="1">
      <c r="A119" s="55" t="s">
        <v>4027</v>
      </c>
      <c r="B119" s="55" t="s">
        <v>4028</v>
      </c>
    </row>
    <row r="120" ht="12.75" hidden="1" customHeight="1" outlineLevel="1">
      <c r="A120" s="55" t="s">
        <v>4029</v>
      </c>
      <c r="B120" s="55" t="s">
        <v>4030</v>
      </c>
    </row>
    <row r="121" ht="12.75" hidden="1" customHeight="1" outlineLevel="1">
      <c r="A121" s="55" t="s">
        <v>4031</v>
      </c>
      <c r="B121" s="55" t="s">
        <v>4032</v>
      </c>
    </row>
    <row r="122" ht="12.75" hidden="1" customHeight="1" outlineLevel="1">
      <c r="A122" s="55" t="s">
        <v>4033</v>
      </c>
      <c r="B122" s="55" t="s">
        <v>4034</v>
      </c>
    </row>
    <row r="123" ht="12.75" hidden="1" customHeight="1" outlineLevel="1">
      <c r="A123" s="55" t="s">
        <v>4035</v>
      </c>
      <c r="B123" s="55" t="s">
        <v>4036</v>
      </c>
    </row>
    <row r="124" ht="12.75" hidden="1" customHeight="1" outlineLevel="1">
      <c r="A124" s="55" t="s">
        <v>4037</v>
      </c>
      <c r="B124" s="55" t="s">
        <v>4038</v>
      </c>
    </row>
    <row r="125" ht="12.75" hidden="1" customHeight="1" outlineLevel="1">
      <c r="A125" s="55" t="s">
        <v>4039</v>
      </c>
      <c r="B125" s="55" t="s">
        <v>4040</v>
      </c>
    </row>
    <row r="126" ht="12.75" hidden="1" customHeight="1" outlineLevel="1">
      <c r="A126" s="55" t="s">
        <v>4041</v>
      </c>
      <c r="B126" s="55" t="s">
        <v>4042</v>
      </c>
    </row>
    <row r="127" ht="12.75" hidden="1" customHeight="1" outlineLevel="1">
      <c r="A127" s="55" t="s">
        <v>4043</v>
      </c>
      <c r="B127" s="55" t="s">
        <v>4044</v>
      </c>
    </row>
    <row r="128" ht="12.75" hidden="1" customHeight="1" outlineLevel="1">
      <c r="A128" s="55" t="s">
        <v>4045</v>
      </c>
      <c r="B128" s="55" t="s">
        <v>4046</v>
      </c>
    </row>
    <row r="129" ht="12.75" hidden="1" customHeight="1" outlineLevel="1">
      <c r="A129" s="55" t="s">
        <v>4047</v>
      </c>
      <c r="B129" s="55" t="s">
        <v>4048</v>
      </c>
    </row>
    <row r="130" ht="12.75" hidden="1" customHeight="1" outlineLevel="1">
      <c r="A130" s="55" t="s">
        <v>4049</v>
      </c>
      <c r="B130" s="55" t="s">
        <v>4050</v>
      </c>
    </row>
    <row r="131" ht="12.75" hidden="1" customHeight="1" outlineLevel="1">
      <c r="A131" s="55" t="s">
        <v>4051</v>
      </c>
      <c r="B131" s="55" t="s">
        <v>4052</v>
      </c>
    </row>
    <row r="132" ht="12.75" hidden="1" customHeight="1" outlineLevel="1">
      <c r="A132" s="55" t="s">
        <v>4053</v>
      </c>
      <c r="B132" s="55" t="s">
        <v>4054</v>
      </c>
    </row>
    <row r="133" ht="12.75" hidden="1" customHeight="1" outlineLevel="1">
      <c r="A133" s="55" t="s">
        <v>4055</v>
      </c>
      <c r="B133" s="55" t="s">
        <v>4056</v>
      </c>
    </row>
    <row r="134" ht="12.75" hidden="1" customHeight="1" outlineLevel="1">
      <c r="A134" s="55" t="s">
        <v>4057</v>
      </c>
      <c r="B134" s="55" t="s">
        <v>4058</v>
      </c>
    </row>
    <row r="135" ht="12.75" hidden="1" customHeight="1" outlineLevel="1">
      <c r="A135" s="55" t="s">
        <v>4059</v>
      </c>
      <c r="B135" s="55" t="s">
        <v>4060</v>
      </c>
    </row>
    <row r="136" ht="12.75" hidden="1" customHeight="1" outlineLevel="1">
      <c r="A136" s="55" t="s">
        <v>4061</v>
      </c>
      <c r="B136" s="55" t="s">
        <v>4062</v>
      </c>
    </row>
    <row r="137" ht="12.75" hidden="1" customHeight="1" outlineLevel="1">
      <c r="A137" s="55" t="s">
        <v>4063</v>
      </c>
      <c r="B137" s="55" t="s">
        <v>4064</v>
      </c>
    </row>
    <row r="138" ht="12.75" hidden="1" customHeight="1" outlineLevel="1">
      <c r="A138" s="55" t="s">
        <v>4065</v>
      </c>
      <c r="B138" s="55" t="s">
        <v>4066</v>
      </c>
    </row>
    <row r="139" ht="12.75" hidden="1" customHeight="1" outlineLevel="1">
      <c r="A139" s="55" t="s">
        <v>4067</v>
      </c>
      <c r="B139" s="55" t="s">
        <v>4068</v>
      </c>
    </row>
    <row r="140" ht="12.75" hidden="1" customHeight="1" outlineLevel="1">
      <c r="A140" s="55" t="s">
        <v>4069</v>
      </c>
      <c r="B140" s="55" t="s">
        <v>4070</v>
      </c>
    </row>
    <row r="141" ht="12.75" hidden="1" customHeight="1" outlineLevel="1">
      <c r="A141" s="55" t="s">
        <v>4071</v>
      </c>
      <c r="B141" s="55" t="s">
        <v>4072</v>
      </c>
    </row>
    <row r="142" ht="12.75" hidden="1" customHeight="1" outlineLevel="1">
      <c r="A142" s="55" t="s">
        <v>4073</v>
      </c>
      <c r="B142" s="55" t="s">
        <v>4074</v>
      </c>
    </row>
    <row r="143" ht="12.75" hidden="1" customHeight="1" outlineLevel="1">
      <c r="A143" s="55" t="s">
        <v>4075</v>
      </c>
      <c r="B143" s="55" t="s">
        <v>4076</v>
      </c>
    </row>
    <row r="144" ht="12.75" hidden="1" customHeight="1" outlineLevel="1">
      <c r="A144" s="55" t="s">
        <v>4077</v>
      </c>
      <c r="B144" s="55" t="s">
        <v>4078</v>
      </c>
    </row>
    <row r="145" ht="12.75" hidden="1" customHeight="1" outlineLevel="1">
      <c r="A145" s="55" t="s">
        <v>4079</v>
      </c>
      <c r="B145" s="55" t="s">
        <v>4080</v>
      </c>
    </row>
    <row r="146" ht="12.75" hidden="1" customHeight="1" outlineLevel="1">
      <c r="A146" s="55" t="s">
        <v>4081</v>
      </c>
      <c r="B146" s="55" t="s">
        <v>4082</v>
      </c>
    </row>
    <row r="147" ht="12.75" hidden="1" customHeight="1" outlineLevel="1">
      <c r="A147" s="55" t="s">
        <v>4083</v>
      </c>
      <c r="B147" s="55" t="s">
        <v>4084</v>
      </c>
    </row>
    <row r="148" ht="12.75" hidden="1" customHeight="1" outlineLevel="1">
      <c r="A148" s="55" t="s">
        <v>4085</v>
      </c>
      <c r="B148" s="55" t="s">
        <v>4086</v>
      </c>
    </row>
    <row r="149" ht="12.75" hidden="1" customHeight="1" outlineLevel="1">
      <c r="A149" s="55" t="s">
        <v>4087</v>
      </c>
      <c r="B149" s="55" t="s">
        <v>4088</v>
      </c>
    </row>
    <row r="150" ht="12.75" hidden="1" customHeight="1" outlineLevel="1">
      <c r="A150" s="55" t="s">
        <v>4089</v>
      </c>
      <c r="B150" s="55" t="s">
        <v>4090</v>
      </c>
    </row>
    <row r="151" ht="12.75" hidden="1" customHeight="1" outlineLevel="1">
      <c r="A151" s="55" t="s">
        <v>4091</v>
      </c>
      <c r="B151" s="55" t="s">
        <v>4092</v>
      </c>
    </row>
    <row r="152" ht="12.75" hidden="1" customHeight="1" outlineLevel="1">
      <c r="A152" s="55" t="s">
        <v>4093</v>
      </c>
      <c r="B152" s="55" t="s">
        <v>4094</v>
      </c>
    </row>
    <row r="153" ht="12.75" hidden="1" customHeight="1" outlineLevel="1">
      <c r="A153" s="55" t="s">
        <v>4095</v>
      </c>
      <c r="B153" s="55" t="s">
        <v>4096</v>
      </c>
    </row>
    <row r="154" ht="12.75" hidden="1" customHeight="1" outlineLevel="1">
      <c r="A154" s="55" t="s">
        <v>4097</v>
      </c>
      <c r="B154" s="55" t="s">
        <v>4098</v>
      </c>
    </row>
    <row r="155" ht="12.75" hidden="1" customHeight="1" outlineLevel="1">
      <c r="A155" s="55" t="s">
        <v>4099</v>
      </c>
      <c r="B155" s="55" t="s">
        <v>4100</v>
      </c>
    </row>
    <row r="156" ht="12.75" hidden="1" customHeight="1" outlineLevel="1">
      <c r="A156" s="55" t="s">
        <v>4101</v>
      </c>
      <c r="B156" s="55" t="s">
        <v>4102</v>
      </c>
    </row>
    <row r="157" ht="12.75" hidden="1" customHeight="1" outlineLevel="1">
      <c r="A157" s="55" t="s">
        <v>4103</v>
      </c>
      <c r="B157" s="55" t="s">
        <v>4104</v>
      </c>
    </row>
    <row r="158" ht="12.75" hidden="1" customHeight="1" outlineLevel="1">
      <c r="A158" s="55" t="s">
        <v>4105</v>
      </c>
      <c r="B158" s="55" t="s">
        <v>4106</v>
      </c>
    </row>
    <row r="159" ht="12.75" hidden="1" customHeight="1" outlineLevel="1">
      <c r="A159" s="55" t="s">
        <v>4107</v>
      </c>
      <c r="B159" s="55" t="s">
        <v>4108</v>
      </c>
    </row>
    <row r="160" ht="12.75" hidden="1" customHeight="1" outlineLevel="1">
      <c r="A160" s="55" t="s">
        <v>4109</v>
      </c>
      <c r="B160" s="55" t="s">
        <v>4110</v>
      </c>
    </row>
    <row r="161" ht="12.75" hidden="1" customHeight="1" outlineLevel="1">
      <c r="A161" s="55" t="s">
        <v>4111</v>
      </c>
      <c r="B161" s="55" t="s">
        <v>4112</v>
      </c>
    </row>
    <row r="162" ht="12.75" hidden="1" customHeight="1" outlineLevel="1">
      <c r="A162" s="55" t="s">
        <v>4113</v>
      </c>
      <c r="B162" s="55" t="s">
        <v>4114</v>
      </c>
    </row>
    <row r="163" ht="12.75" hidden="1" customHeight="1" outlineLevel="1">
      <c r="A163" s="55" t="s">
        <v>4115</v>
      </c>
      <c r="B163" s="55" t="s">
        <v>4116</v>
      </c>
    </row>
    <row r="164" ht="12.75" hidden="1" customHeight="1" outlineLevel="1">
      <c r="A164" s="55" t="s">
        <v>4117</v>
      </c>
      <c r="B164" s="55" t="s">
        <v>4118</v>
      </c>
    </row>
    <row r="165" ht="12.75" hidden="1" customHeight="1" outlineLevel="1">
      <c r="A165" s="55" t="s">
        <v>4119</v>
      </c>
      <c r="B165" s="55" t="s">
        <v>4120</v>
      </c>
    </row>
    <row r="166" ht="12.75" hidden="1" customHeight="1" outlineLevel="1">
      <c r="A166" s="55" t="s">
        <v>4121</v>
      </c>
      <c r="B166" s="55" t="s">
        <v>4122</v>
      </c>
    </row>
    <row r="167" ht="12.75" hidden="1" customHeight="1" outlineLevel="1">
      <c r="A167" s="55" t="s">
        <v>4123</v>
      </c>
      <c r="B167" s="55" t="s">
        <v>4124</v>
      </c>
    </row>
    <row r="168" ht="12.75" hidden="1" customHeight="1" outlineLevel="1">
      <c r="A168" s="55" t="s">
        <v>4125</v>
      </c>
      <c r="B168" s="55" t="s">
        <v>4126</v>
      </c>
    </row>
    <row r="169" ht="12.75" hidden="1" customHeight="1" outlineLevel="1">
      <c r="A169" s="55" t="s">
        <v>4127</v>
      </c>
      <c r="B169" s="55" t="s">
        <v>4128</v>
      </c>
    </row>
    <row r="170" ht="12.75" hidden="1" customHeight="1" outlineLevel="1">
      <c r="A170" s="55" t="s">
        <v>4129</v>
      </c>
      <c r="B170" s="55" t="s">
        <v>4130</v>
      </c>
    </row>
    <row r="171" ht="12.75" hidden="1" customHeight="1" outlineLevel="1">
      <c r="A171" s="55" t="s">
        <v>4131</v>
      </c>
      <c r="B171" s="55" t="s">
        <v>4132</v>
      </c>
    </row>
    <row r="172" ht="12.75" hidden="1" customHeight="1" outlineLevel="1">
      <c r="A172" s="55" t="s">
        <v>4133</v>
      </c>
      <c r="B172" s="55" t="s">
        <v>4134</v>
      </c>
    </row>
    <row r="173" ht="12.75" hidden="1" customHeight="1" outlineLevel="1">
      <c r="A173" s="55" t="s">
        <v>4135</v>
      </c>
      <c r="B173" s="55" t="s">
        <v>4136</v>
      </c>
    </row>
    <row r="174" ht="12.75" hidden="1" customHeight="1" outlineLevel="1">
      <c r="A174" s="55" t="s">
        <v>4137</v>
      </c>
      <c r="B174" s="55" t="s">
        <v>4138</v>
      </c>
    </row>
    <row r="175" ht="12.75" hidden="1" customHeight="1" outlineLevel="1">
      <c r="A175" s="55" t="s">
        <v>4139</v>
      </c>
      <c r="B175" s="55" t="s">
        <v>4140</v>
      </c>
    </row>
    <row r="176" ht="12.75" hidden="1" customHeight="1" outlineLevel="1">
      <c r="A176" s="55" t="s">
        <v>4141</v>
      </c>
      <c r="B176" s="55" t="s">
        <v>4142</v>
      </c>
    </row>
    <row r="177" ht="12.75" hidden="1" customHeight="1" outlineLevel="1">
      <c r="A177" s="55" t="s">
        <v>4143</v>
      </c>
      <c r="B177" s="55" t="s">
        <v>4144</v>
      </c>
    </row>
    <row r="178" ht="12.75" hidden="1" customHeight="1" outlineLevel="1">
      <c r="A178" s="55" t="s">
        <v>4145</v>
      </c>
      <c r="B178" s="55" t="s">
        <v>4146</v>
      </c>
    </row>
    <row r="179" ht="12.75" hidden="1" customHeight="1" outlineLevel="1">
      <c r="A179" s="55" t="s">
        <v>4147</v>
      </c>
      <c r="B179" s="55" t="s">
        <v>4148</v>
      </c>
    </row>
    <row r="180" ht="12.75" hidden="1" customHeight="1" outlineLevel="1">
      <c r="A180" s="55" t="s">
        <v>4149</v>
      </c>
      <c r="B180" s="55" t="s">
        <v>4150</v>
      </c>
    </row>
    <row r="181" ht="12.75" hidden="1" customHeight="1" outlineLevel="1">
      <c r="A181" s="55" t="s">
        <v>4151</v>
      </c>
      <c r="B181" s="55" t="s">
        <v>4152</v>
      </c>
    </row>
    <row r="182" ht="12.75" hidden="1" customHeight="1" outlineLevel="1">
      <c r="A182" s="55" t="s">
        <v>4153</v>
      </c>
      <c r="B182" s="55" t="s">
        <v>4154</v>
      </c>
    </row>
    <row r="183" ht="12.75" hidden="1" customHeight="1" outlineLevel="1">
      <c r="A183" s="55" t="s">
        <v>4155</v>
      </c>
      <c r="B183" s="55" t="s">
        <v>4156</v>
      </c>
    </row>
    <row r="184" ht="12.75" hidden="1" customHeight="1" outlineLevel="1">
      <c r="A184" s="55" t="s">
        <v>4157</v>
      </c>
      <c r="B184" s="55" t="s">
        <v>4158</v>
      </c>
    </row>
    <row r="185" ht="12.75" hidden="1" customHeight="1" outlineLevel="1">
      <c r="A185" s="55" t="s">
        <v>4159</v>
      </c>
      <c r="B185" s="55" t="s">
        <v>4160</v>
      </c>
    </row>
    <row r="186" ht="12.75" hidden="1" customHeight="1" outlineLevel="1">
      <c r="A186" s="55" t="s">
        <v>4161</v>
      </c>
      <c r="B186" s="55" t="s">
        <v>4162</v>
      </c>
    </row>
    <row r="187" ht="12.75" hidden="1" customHeight="1" outlineLevel="1">
      <c r="A187" s="55" t="s">
        <v>4163</v>
      </c>
      <c r="B187" s="55" t="s">
        <v>4164</v>
      </c>
    </row>
    <row r="188" ht="12.75" hidden="1" customHeight="1" outlineLevel="1">
      <c r="A188" s="55" t="s">
        <v>4165</v>
      </c>
      <c r="B188" s="55" t="s">
        <v>4166</v>
      </c>
    </row>
    <row r="189" ht="12.75" hidden="1" customHeight="1" outlineLevel="1">
      <c r="A189" s="55" t="s">
        <v>4167</v>
      </c>
      <c r="B189" s="55" t="s">
        <v>4168</v>
      </c>
    </row>
    <row r="190" ht="12.75" hidden="1" customHeight="1" outlineLevel="1">
      <c r="A190" s="55" t="s">
        <v>4169</v>
      </c>
      <c r="B190" s="55" t="s">
        <v>4170</v>
      </c>
    </row>
    <row r="191" ht="12.75" hidden="1" customHeight="1" outlineLevel="1">
      <c r="A191" s="55" t="s">
        <v>4171</v>
      </c>
      <c r="B191" s="55" t="s">
        <v>4172</v>
      </c>
    </row>
    <row r="192" ht="12.75" hidden="1" customHeight="1" outlineLevel="1">
      <c r="A192" s="55" t="s">
        <v>4173</v>
      </c>
      <c r="B192" s="55" t="s">
        <v>4174</v>
      </c>
    </row>
    <row r="193" ht="12.75" hidden="1" customHeight="1" outlineLevel="1">
      <c r="A193" s="55" t="s">
        <v>4175</v>
      </c>
      <c r="B193" s="55" t="s">
        <v>4176</v>
      </c>
    </row>
    <row r="194" ht="12.75" hidden="1" customHeight="1" outlineLevel="1">
      <c r="A194" s="55" t="s">
        <v>4177</v>
      </c>
      <c r="B194" s="55" t="s">
        <v>4178</v>
      </c>
    </row>
    <row r="195" ht="12.75" hidden="1" customHeight="1" outlineLevel="1">
      <c r="A195" s="55" t="s">
        <v>4179</v>
      </c>
      <c r="B195" s="55" t="s">
        <v>4180</v>
      </c>
    </row>
    <row r="196" ht="12.75" hidden="1" customHeight="1" outlineLevel="1">
      <c r="A196" s="55" t="s">
        <v>4181</v>
      </c>
      <c r="B196" s="55" t="s">
        <v>4182</v>
      </c>
    </row>
    <row r="197" ht="12.75" hidden="1" customHeight="1" outlineLevel="1">
      <c r="A197" s="55" t="s">
        <v>4183</v>
      </c>
      <c r="B197" s="55" t="s">
        <v>4184</v>
      </c>
    </row>
    <row r="198" ht="12.75" hidden="1" customHeight="1" outlineLevel="1">
      <c r="A198" s="55" t="s">
        <v>4185</v>
      </c>
      <c r="B198" s="55" t="s">
        <v>4186</v>
      </c>
    </row>
    <row r="199" ht="12.75" hidden="1" customHeight="1" outlineLevel="1">
      <c r="A199" s="55" t="s">
        <v>4187</v>
      </c>
      <c r="B199" s="55" t="s">
        <v>4188</v>
      </c>
    </row>
    <row r="200" ht="12.75" hidden="1" customHeight="1" outlineLevel="1">
      <c r="A200" s="55" t="s">
        <v>4189</v>
      </c>
      <c r="B200" s="55" t="s">
        <v>4190</v>
      </c>
    </row>
    <row r="201" ht="12.75" hidden="1" customHeight="1" outlineLevel="1">
      <c r="A201" s="55" t="s">
        <v>4191</v>
      </c>
      <c r="B201" s="55" t="s">
        <v>4192</v>
      </c>
    </row>
    <row r="202" ht="12.75" hidden="1" customHeight="1" outlineLevel="1">
      <c r="A202" s="55" t="s">
        <v>4193</v>
      </c>
      <c r="B202" s="55" t="s">
        <v>4194</v>
      </c>
    </row>
    <row r="203" ht="12.75" hidden="1" customHeight="1" outlineLevel="1">
      <c r="A203" s="55" t="s">
        <v>4195</v>
      </c>
      <c r="B203" s="55" t="s">
        <v>4196</v>
      </c>
    </row>
    <row r="204" ht="12.75" hidden="1" customHeight="1" outlineLevel="1">
      <c r="A204" s="55" t="s">
        <v>4197</v>
      </c>
      <c r="B204" s="55" t="s">
        <v>4198</v>
      </c>
    </row>
    <row r="205" ht="12.75" hidden="1" customHeight="1" outlineLevel="1">
      <c r="A205" s="55" t="s">
        <v>4199</v>
      </c>
      <c r="B205" s="55" t="s">
        <v>4200</v>
      </c>
    </row>
    <row r="206" ht="12.75" hidden="1" customHeight="1" outlineLevel="1">
      <c r="A206" s="55" t="s">
        <v>4201</v>
      </c>
      <c r="B206" s="55" t="s">
        <v>4202</v>
      </c>
    </row>
    <row r="207" ht="12.75" hidden="1" customHeight="1" outlineLevel="1">
      <c r="A207" s="55" t="s">
        <v>4203</v>
      </c>
      <c r="B207" s="55" t="s">
        <v>4204</v>
      </c>
    </row>
    <row r="208" ht="12.75" hidden="1" customHeight="1" outlineLevel="1">
      <c r="A208" s="55" t="s">
        <v>4205</v>
      </c>
      <c r="B208" s="55" t="s">
        <v>4206</v>
      </c>
    </row>
    <row r="209" ht="12.75" hidden="1" customHeight="1" outlineLevel="1">
      <c r="A209" s="55" t="s">
        <v>4207</v>
      </c>
      <c r="B209" s="55" t="s">
        <v>4208</v>
      </c>
    </row>
    <row r="210" ht="12.75" hidden="1" customHeight="1" outlineLevel="1">
      <c r="A210" s="55" t="s">
        <v>4209</v>
      </c>
      <c r="B210" s="55" t="s">
        <v>4210</v>
      </c>
    </row>
    <row r="211" ht="12.75" hidden="1" customHeight="1" outlineLevel="1">
      <c r="A211" s="55" t="s">
        <v>4211</v>
      </c>
      <c r="B211" s="55" t="s">
        <v>4212</v>
      </c>
    </row>
    <row r="212" ht="12.75" hidden="1" customHeight="1" outlineLevel="1">
      <c r="A212" s="55" t="s">
        <v>4213</v>
      </c>
      <c r="B212" s="55" t="s">
        <v>4214</v>
      </c>
    </row>
    <row r="213" ht="12.75" hidden="1" customHeight="1" outlineLevel="1">
      <c r="A213" s="55" t="s">
        <v>4215</v>
      </c>
      <c r="B213" s="55" t="s">
        <v>4216</v>
      </c>
    </row>
    <row r="214" ht="12.75" hidden="1" customHeight="1" outlineLevel="1">
      <c r="A214" s="55" t="s">
        <v>4217</v>
      </c>
      <c r="B214" s="55" t="s">
        <v>4218</v>
      </c>
    </row>
    <row r="215" ht="12.75" hidden="1" customHeight="1" outlineLevel="1">
      <c r="A215" s="55" t="s">
        <v>4219</v>
      </c>
      <c r="B215" s="55" t="s">
        <v>4220</v>
      </c>
    </row>
    <row r="216" ht="12.75" hidden="1" customHeight="1" outlineLevel="1">
      <c r="A216" s="55" t="s">
        <v>4221</v>
      </c>
      <c r="B216" s="55" t="s">
        <v>4222</v>
      </c>
    </row>
    <row r="217" ht="12.75" hidden="1" customHeight="1" outlineLevel="1">
      <c r="A217" s="55" t="s">
        <v>4223</v>
      </c>
      <c r="B217" s="55" t="s">
        <v>4224</v>
      </c>
    </row>
    <row r="218" ht="12.75" hidden="1" customHeight="1" outlineLevel="1">
      <c r="A218" s="55" t="s">
        <v>4225</v>
      </c>
      <c r="B218" s="55" t="s">
        <v>4226</v>
      </c>
    </row>
    <row r="219" ht="12.75" hidden="1" customHeight="1" outlineLevel="1">
      <c r="A219" s="55" t="s">
        <v>4227</v>
      </c>
      <c r="B219" s="55" t="s">
        <v>4228</v>
      </c>
    </row>
    <row r="220" ht="12.75" hidden="1" customHeight="1" outlineLevel="1">
      <c r="A220" s="55" t="s">
        <v>4229</v>
      </c>
      <c r="B220" s="55" t="s">
        <v>4230</v>
      </c>
    </row>
    <row r="221" ht="12.75" hidden="1" customHeight="1" outlineLevel="1">
      <c r="A221" s="55" t="s">
        <v>4231</v>
      </c>
      <c r="B221" s="55" t="s">
        <v>4232</v>
      </c>
    </row>
    <row r="222" ht="12.75" hidden="1" customHeight="1" outlineLevel="1">
      <c r="A222" s="55" t="s">
        <v>4233</v>
      </c>
      <c r="B222" s="55" t="s">
        <v>4234</v>
      </c>
    </row>
    <row r="223" ht="12.75" hidden="1" customHeight="1" outlineLevel="1">
      <c r="A223" s="55" t="s">
        <v>4235</v>
      </c>
      <c r="B223" s="55" t="s">
        <v>4236</v>
      </c>
    </row>
    <row r="224" ht="12.75" hidden="1" customHeight="1" outlineLevel="1">
      <c r="A224" s="55" t="s">
        <v>4237</v>
      </c>
      <c r="B224" s="55" t="s">
        <v>4238</v>
      </c>
    </row>
    <row r="225" ht="12.75" hidden="1" customHeight="1" outlineLevel="1">
      <c r="A225" s="55" t="s">
        <v>4239</v>
      </c>
      <c r="B225" s="55" t="s">
        <v>4240</v>
      </c>
    </row>
    <row r="226" ht="12.75" hidden="1" customHeight="1" outlineLevel="1">
      <c r="A226" s="55" t="s">
        <v>4241</v>
      </c>
      <c r="B226" s="55" t="s">
        <v>4242</v>
      </c>
    </row>
    <row r="227" ht="12.75" hidden="1" customHeight="1" outlineLevel="1">
      <c r="A227" s="55" t="s">
        <v>4243</v>
      </c>
      <c r="B227" s="55" t="s">
        <v>4244</v>
      </c>
    </row>
    <row r="228" ht="12.75" hidden="1" customHeight="1" outlineLevel="1">
      <c r="A228" s="55" t="s">
        <v>4245</v>
      </c>
      <c r="B228" s="55" t="s">
        <v>4246</v>
      </c>
    </row>
    <row r="229" ht="12.75" hidden="1" customHeight="1" outlineLevel="1">
      <c r="A229" s="55" t="s">
        <v>4247</v>
      </c>
      <c r="B229" s="55" t="s">
        <v>4248</v>
      </c>
    </row>
    <row r="230" ht="12.75" hidden="1" customHeight="1" outlineLevel="1">
      <c r="A230" s="55" t="s">
        <v>4249</v>
      </c>
      <c r="B230" s="55" t="s">
        <v>4250</v>
      </c>
    </row>
    <row r="231" ht="12.75" hidden="1" customHeight="1" outlineLevel="1">
      <c r="A231" s="55" t="s">
        <v>4251</v>
      </c>
      <c r="B231" s="55" t="s">
        <v>4252</v>
      </c>
    </row>
    <row r="232" ht="12.75" hidden="1" customHeight="1" outlineLevel="1">
      <c r="A232" s="55" t="s">
        <v>4253</v>
      </c>
      <c r="B232" s="55" t="s">
        <v>4254</v>
      </c>
    </row>
    <row r="233" ht="12.75" hidden="1" customHeight="1" outlineLevel="1">
      <c r="A233" s="55" t="s">
        <v>4255</v>
      </c>
      <c r="B233" s="55" t="s">
        <v>4256</v>
      </c>
    </row>
    <row r="234" ht="12.75" hidden="1" customHeight="1" outlineLevel="1">
      <c r="A234" s="55" t="s">
        <v>4257</v>
      </c>
      <c r="B234" s="55" t="s">
        <v>4258</v>
      </c>
    </row>
    <row r="235" ht="12.75" hidden="1" customHeight="1" outlineLevel="1">
      <c r="A235" s="55" t="s">
        <v>4259</v>
      </c>
      <c r="B235" s="55" t="s">
        <v>4260</v>
      </c>
    </row>
    <row r="236" ht="12.75" hidden="1" customHeight="1" outlineLevel="1">
      <c r="A236" s="55" t="s">
        <v>4261</v>
      </c>
      <c r="B236" s="55" t="s">
        <v>4262</v>
      </c>
    </row>
    <row r="237" ht="12.75" hidden="1" customHeight="1" outlineLevel="1">
      <c r="A237" s="55" t="s">
        <v>4263</v>
      </c>
      <c r="B237" s="55" t="s">
        <v>4264</v>
      </c>
    </row>
    <row r="238" ht="12.75" hidden="1" customHeight="1" outlineLevel="1">
      <c r="A238" s="55" t="s">
        <v>4265</v>
      </c>
      <c r="B238" s="55" t="s">
        <v>4266</v>
      </c>
    </row>
    <row r="239" ht="12.75" hidden="1" customHeight="1" outlineLevel="1">
      <c r="A239" s="55" t="s">
        <v>4267</v>
      </c>
      <c r="B239" s="55" t="s">
        <v>4268</v>
      </c>
    </row>
    <row r="240" ht="12.75" hidden="1" customHeight="1" outlineLevel="1">
      <c r="A240" s="55" t="s">
        <v>4269</v>
      </c>
      <c r="B240" s="55" t="s">
        <v>4270</v>
      </c>
    </row>
    <row r="241" ht="12.75" hidden="1" customHeight="1" outlineLevel="1">
      <c r="A241" s="55" t="s">
        <v>4271</v>
      </c>
      <c r="B241" s="55" t="s">
        <v>4272</v>
      </c>
    </row>
    <row r="242" ht="12.75" hidden="1" customHeight="1" outlineLevel="1">
      <c r="A242" s="55" t="s">
        <v>4273</v>
      </c>
      <c r="B242" s="55" t="s">
        <v>4274</v>
      </c>
    </row>
    <row r="243" ht="12.75" hidden="1" customHeight="1" outlineLevel="1">
      <c r="A243" s="55" t="s">
        <v>4275</v>
      </c>
      <c r="B243" s="55" t="s">
        <v>4276</v>
      </c>
    </row>
    <row r="244" ht="12.75" hidden="1" customHeight="1" outlineLevel="1">
      <c r="A244" s="55" t="s">
        <v>4277</v>
      </c>
      <c r="B244" s="55" t="s">
        <v>4278</v>
      </c>
    </row>
    <row r="245" ht="12.75" hidden="1" customHeight="1" outlineLevel="1">
      <c r="A245" s="55" t="s">
        <v>4279</v>
      </c>
      <c r="B245" s="55" t="s">
        <v>4280</v>
      </c>
    </row>
    <row r="246" ht="12.75" hidden="1" customHeight="1" outlineLevel="1">
      <c r="A246" s="55" t="s">
        <v>4281</v>
      </c>
      <c r="B246" s="55" t="s">
        <v>4282</v>
      </c>
    </row>
    <row r="247" ht="12.75" hidden="1" customHeight="1" outlineLevel="1">
      <c r="A247" s="55" t="s">
        <v>4283</v>
      </c>
      <c r="B247" s="55" t="s">
        <v>4284</v>
      </c>
    </row>
    <row r="248" ht="12.75" hidden="1" customHeight="1" outlineLevel="1">
      <c r="A248" s="55" t="s">
        <v>4285</v>
      </c>
      <c r="B248" s="55" t="s">
        <v>4286</v>
      </c>
    </row>
    <row r="249" ht="12.75" hidden="1" customHeight="1" outlineLevel="1">
      <c r="A249" s="55" t="s">
        <v>4287</v>
      </c>
      <c r="B249" s="55" t="s">
        <v>4288</v>
      </c>
    </row>
    <row r="250" ht="12.75" hidden="1" customHeight="1" outlineLevel="1">
      <c r="A250" s="55" t="s">
        <v>4289</v>
      </c>
      <c r="B250" s="55" t="s">
        <v>4290</v>
      </c>
    </row>
    <row r="251" ht="12.75" hidden="1" customHeight="1" outlineLevel="1">
      <c r="A251" s="55" t="s">
        <v>4291</v>
      </c>
      <c r="B251" s="55" t="s">
        <v>4292</v>
      </c>
    </row>
    <row r="252" ht="12.75" hidden="1" customHeight="1" outlineLevel="1">
      <c r="A252" s="55" t="s">
        <v>4293</v>
      </c>
      <c r="B252" s="55" t="s">
        <v>4294</v>
      </c>
    </row>
    <row r="253" ht="12.75" hidden="1" customHeight="1" outlineLevel="1">
      <c r="A253" s="55" t="s">
        <v>4295</v>
      </c>
      <c r="B253" s="55" t="s">
        <v>4296</v>
      </c>
    </row>
    <row r="254" ht="12.75" hidden="1" customHeight="1" outlineLevel="1">
      <c r="A254" s="55" t="s">
        <v>4297</v>
      </c>
      <c r="B254" s="55" t="s">
        <v>4298</v>
      </c>
    </row>
    <row r="255" ht="12.75" hidden="1" customHeight="1" outlineLevel="1">
      <c r="A255" s="55" t="s">
        <v>4299</v>
      </c>
      <c r="B255" s="55" t="s">
        <v>4300</v>
      </c>
    </row>
    <row r="256" ht="12.75" hidden="1" customHeight="1" outlineLevel="1">
      <c r="A256" s="55" t="s">
        <v>4301</v>
      </c>
      <c r="B256" s="55" t="s">
        <v>4302</v>
      </c>
    </row>
    <row r="257" ht="12.75" hidden="1" customHeight="1" outlineLevel="1">
      <c r="A257" s="55" t="s">
        <v>4303</v>
      </c>
      <c r="B257" s="55" t="s">
        <v>4304</v>
      </c>
    </row>
    <row r="258" ht="12.75" hidden="1" customHeight="1" outlineLevel="1">
      <c r="A258" s="55" t="s">
        <v>4305</v>
      </c>
      <c r="B258" s="55" t="s">
        <v>4306</v>
      </c>
    </row>
    <row r="259" ht="12.75" hidden="1" customHeight="1" outlineLevel="1">
      <c r="A259" s="55" t="s">
        <v>4307</v>
      </c>
      <c r="B259" s="55" t="s">
        <v>4308</v>
      </c>
    </row>
    <row r="260" ht="12.75" hidden="1" customHeight="1" outlineLevel="1">
      <c r="A260" s="55" t="s">
        <v>4309</v>
      </c>
      <c r="B260" s="55" t="s">
        <v>4310</v>
      </c>
    </row>
    <row r="261" ht="12.75" hidden="1" customHeight="1" outlineLevel="1">
      <c r="A261" s="55" t="s">
        <v>4311</v>
      </c>
      <c r="B261" s="55" t="s">
        <v>4312</v>
      </c>
    </row>
    <row r="262" ht="12.75" hidden="1" customHeight="1" outlineLevel="1">
      <c r="A262" s="55" t="s">
        <v>4313</v>
      </c>
      <c r="B262" s="55" t="s">
        <v>4314</v>
      </c>
    </row>
    <row r="263" ht="12.75" hidden="1" customHeight="1" outlineLevel="1">
      <c r="A263" s="55" t="s">
        <v>4315</v>
      </c>
      <c r="B263" s="55" t="s">
        <v>4316</v>
      </c>
    </row>
    <row r="264" ht="12.75" hidden="1" customHeight="1" outlineLevel="1">
      <c r="A264" s="55" t="s">
        <v>4317</v>
      </c>
      <c r="B264" s="55" t="s">
        <v>4318</v>
      </c>
    </row>
    <row r="265" ht="12.75" hidden="1" customHeight="1" outlineLevel="1">
      <c r="A265" s="55" t="s">
        <v>4319</v>
      </c>
      <c r="B265" s="55" t="s">
        <v>4320</v>
      </c>
    </row>
    <row r="266" ht="12.75" hidden="1" customHeight="1" outlineLevel="1">
      <c r="A266" s="55" t="s">
        <v>4321</v>
      </c>
      <c r="B266" s="55" t="s">
        <v>4322</v>
      </c>
    </row>
    <row r="267" ht="12.75" hidden="1" customHeight="1" outlineLevel="1">
      <c r="A267" s="55" t="s">
        <v>4323</v>
      </c>
      <c r="B267" s="55" t="s">
        <v>4324</v>
      </c>
    </row>
    <row r="268" ht="12.75" hidden="1" customHeight="1" outlineLevel="1">
      <c r="A268" s="55" t="s">
        <v>4325</v>
      </c>
      <c r="B268" s="55" t="s">
        <v>4326</v>
      </c>
    </row>
    <row r="269" ht="12.75" hidden="1" customHeight="1" outlineLevel="1">
      <c r="A269" s="55" t="s">
        <v>4327</v>
      </c>
      <c r="B269" s="55" t="s">
        <v>4328</v>
      </c>
    </row>
    <row r="270" ht="12.75" hidden="1" customHeight="1" outlineLevel="1">
      <c r="A270" s="55" t="s">
        <v>4329</v>
      </c>
      <c r="B270" s="55" t="s">
        <v>4330</v>
      </c>
    </row>
    <row r="271" ht="12.75" hidden="1" customHeight="1" outlineLevel="1">
      <c r="A271" s="55" t="s">
        <v>4331</v>
      </c>
      <c r="B271" s="55" t="s">
        <v>4332</v>
      </c>
    </row>
    <row r="272" ht="12.75" hidden="1" customHeight="1" outlineLevel="1">
      <c r="A272" s="55" t="s">
        <v>4333</v>
      </c>
      <c r="B272" s="55" t="s">
        <v>4334</v>
      </c>
    </row>
    <row r="273" ht="12.75" hidden="1" customHeight="1" outlineLevel="1">
      <c r="A273" s="55" t="s">
        <v>4335</v>
      </c>
      <c r="B273" s="55" t="s">
        <v>4336</v>
      </c>
    </row>
    <row r="274" ht="12.75" hidden="1" customHeight="1" outlineLevel="1">
      <c r="A274" s="55" t="s">
        <v>4337</v>
      </c>
      <c r="B274" s="55" t="s">
        <v>4338</v>
      </c>
    </row>
    <row r="275" ht="12.75" hidden="1" customHeight="1" outlineLevel="1">
      <c r="A275" s="55" t="s">
        <v>4339</v>
      </c>
      <c r="B275" s="55" t="s">
        <v>4340</v>
      </c>
    </row>
    <row r="276" ht="12.75" hidden="1" customHeight="1" outlineLevel="1">
      <c r="A276" s="55" t="s">
        <v>4341</v>
      </c>
      <c r="B276" s="55" t="s">
        <v>4342</v>
      </c>
    </row>
    <row r="277" ht="12.75" hidden="1" customHeight="1" outlineLevel="1">
      <c r="A277" s="55" t="s">
        <v>4343</v>
      </c>
      <c r="B277" s="55" t="s">
        <v>4344</v>
      </c>
    </row>
    <row r="278" ht="12.75" hidden="1" customHeight="1" outlineLevel="1">
      <c r="A278" s="55" t="s">
        <v>4345</v>
      </c>
      <c r="B278" s="55" t="s">
        <v>4346</v>
      </c>
    </row>
    <row r="279" ht="12.75" hidden="1" customHeight="1" outlineLevel="1">
      <c r="A279" s="55" t="s">
        <v>4347</v>
      </c>
      <c r="B279" s="55" t="s">
        <v>4348</v>
      </c>
    </row>
    <row r="280" ht="12.75" hidden="1" customHeight="1" outlineLevel="1">
      <c r="A280" s="55" t="s">
        <v>4349</v>
      </c>
      <c r="B280" s="55" t="s">
        <v>4350</v>
      </c>
    </row>
    <row r="281" ht="12.75" hidden="1" customHeight="1" outlineLevel="1">
      <c r="A281" s="55" t="s">
        <v>4351</v>
      </c>
      <c r="B281" s="55" t="s">
        <v>4352</v>
      </c>
    </row>
    <row r="282" ht="12.75" hidden="1" customHeight="1" outlineLevel="1">
      <c r="A282" s="55" t="s">
        <v>4353</v>
      </c>
      <c r="B282" s="55" t="s">
        <v>4354</v>
      </c>
    </row>
    <row r="283" ht="12.75" hidden="1" customHeight="1" outlineLevel="1">
      <c r="A283" s="55" t="s">
        <v>4355</v>
      </c>
      <c r="B283" s="55" t="s">
        <v>4356</v>
      </c>
    </row>
    <row r="284" ht="12.75" hidden="1" customHeight="1" outlineLevel="1">
      <c r="A284" s="55" t="s">
        <v>4357</v>
      </c>
      <c r="B284" s="55" t="s">
        <v>4358</v>
      </c>
    </row>
    <row r="285" ht="12.75" hidden="1" customHeight="1" outlineLevel="1">
      <c r="A285" s="55" t="s">
        <v>4359</v>
      </c>
      <c r="B285" s="55" t="s">
        <v>4360</v>
      </c>
    </row>
    <row r="286" ht="12.75" hidden="1" customHeight="1" outlineLevel="1">
      <c r="A286" s="55" t="s">
        <v>4361</v>
      </c>
      <c r="B286" s="55" t="s">
        <v>4362</v>
      </c>
    </row>
    <row r="287" ht="12.75" hidden="1" customHeight="1" outlineLevel="1">
      <c r="A287" s="55" t="s">
        <v>4363</v>
      </c>
      <c r="B287" s="55" t="s">
        <v>4364</v>
      </c>
    </row>
    <row r="288" ht="12.75" hidden="1" customHeight="1" outlineLevel="1">
      <c r="A288" s="55" t="s">
        <v>4365</v>
      </c>
      <c r="B288" s="55" t="s">
        <v>4366</v>
      </c>
    </row>
    <row r="289" ht="12.75" hidden="1" customHeight="1" outlineLevel="1">
      <c r="A289" s="55" t="s">
        <v>4367</v>
      </c>
      <c r="B289" s="55" t="s">
        <v>4368</v>
      </c>
    </row>
    <row r="290" ht="12.75" hidden="1" customHeight="1" outlineLevel="1">
      <c r="A290" s="55" t="s">
        <v>4369</v>
      </c>
      <c r="B290" s="55" t="s">
        <v>4370</v>
      </c>
    </row>
    <row r="291" ht="12.75" hidden="1" customHeight="1" outlineLevel="1">
      <c r="A291" s="55" t="s">
        <v>4371</v>
      </c>
      <c r="B291" s="55" t="s">
        <v>4372</v>
      </c>
    </row>
    <row r="292" ht="12.75" hidden="1" customHeight="1" outlineLevel="1">
      <c r="A292" s="55" t="s">
        <v>4373</v>
      </c>
      <c r="B292" s="55" t="s">
        <v>4374</v>
      </c>
    </row>
    <row r="293" ht="12.75" hidden="1" customHeight="1" outlineLevel="1">
      <c r="A293" s="55" t="s">
        <v>4375</v>
      </c>
      <c r="B293" s="55" t="s">
        <v>4376</v>
      </c>
    </row>
    <row r="294" ht="12.75" hidden="1" customHeight="1" outlineLevel="1">
      <c r="A294" s="55" t="s">
        <v>4377</v>
      </c>
      <c r="B294" s="55" t="s">
        <v>4378</v>
      </c>
    </row>
    <row r="295" ht="12.75" hidden="1" customHeight="1" outlineLevel="1">
      <c r="A295" s="55" t="s">
        <v>4379</v>
      </c>
      <c r="B295" s="55" t="s">
        <v>4380</v>
      </c>
    </row>
    <row r="296" ht="12.75" hidden="1" customHeight="1" outlineLevel="1">
      <c r="A296" s="55" t="s">
        <v>4381</v>
      </c>
      <c r="B296" s="55" t="s">
        <v>4382</v>
      </c>
    </row>
    <row r="297" ht="12.75" hidden="1" customHeight="1" outlineLevel="1">
      <c r="A297" s="55" t="s">
        <v>4383</v>
      </c>
      <c r="B297" s="55" t="s">
        <v>4384</v>
      </c>
    </row>
    <row r="298" ht="12.75" hidden="1" customHeight="1" outlineLevel="1">
      <c r="A298" s="55" t="s">
        <v>4385</v>
      </c>
      <c r="B298" s="55" t="s">
        <v>4386</v>
      </c>
    </row>
    <row r="299" ht="12.75" hidden="1" customHeight="1" outlineLevel="1">
      <c r="A299" s="55" t="s">
        <v>4387</v>
      </c>
      <c r="B299" s="55" t="s">
        <v>4388</v>
      </c>
    </row>
    <row r="300" ht="12.75" hidden="1" customHeight="1" outlineLevel="1">
      <c r="A300" s="55" t="s">
        <v>4389</v>
      </c>
      <c r="B300" s="55" t="s">
        <v>4390</v>
      </c>
    </row>
    <row r="301" ht="12.75" hidden="1" customHeight="1" outlineLevel="1">
      <c r="A301" s="55" t="s">
        <v>4391</v>
      </c>
      <c r="B301" s="55" t="s">
        <v>4392</v>
      </c>
    </row>
    <row r="302" ht="12.75" hidden="1" customHeight="1" outlineLevel="1">
      <c r="A302" s="55" t="s">
        <v>4393</v>
      </c>
      <c r="B302" s="55" t="s">
        <v>4394</v>
      </c>
    </row>
    <row r="303" ht="12.75" hidden="1" customHeight="1" outlineLevel="1">
      <c r="A303" s="55" t="s">
        <v>4395</v>
      </c>
      <c r="B303" s="55" t="s">
        <v>4396</v>
      </c>
    </row>
    <row r="304" ht="12.75" hidden="1" customHeight="1" outlineLevel="1">
      <c r="A304" s="55" t="s">
        <v>4397</v>
      </c>
      <c r="B304" s="55" t="s">
        <v>4398</v>
      </c>
    </row>
    <row r="305" ht="12.75" hidden="1" customHeight="1" outlineLevel="1">
      <c r="A305" s="55" t="s">
        <v>4399</v>
      </c>
      <c r="B305" s="55" t="s">
        <v>4400</v>
      </c>
    </row>
    <row r="306" ht="12.75" hidden="1" customHeight="1" outlineLevel="1">
      <c r="A306" s="55" t="s">
        <v>4401</v>
      </c>
      <c r="B306" s="55" t="s">
        <v>4402</v>
      </c>
    </row>
    <row r="307" ht="12.75" hidden="1" customHeight="1" outlineLevel="1">
      <c r="A307" s="55" t="s">
        <v>4403</v>
      </c>
      <c r="B307" s="55" t="s">
        <v>4404</v>
      </c>
    </row>
    <row r="308" ht="12.75" hidden="1" customHeight="1" outlineLevel="1">
      <c r="A308" s="55" t="s">
        <v>4405</v>
      </c>
      <c r="B308" s="55" t="s">
        <v>4406</v>
      </c>
    </row>
    <row r="309" ht="12.75" hidden="1" customHeight="1" outlineLevel="1">
      <c r="A309" s="55" t="s">
        <v>4407</v>
      </c>
      <c r="B309" s="55" t="s">
        <v>4408</v>
      </c>
    </row>
    <row r="310" ht="12.75" hidden="1" customHeight="1" outlineLevel="1">
      <c r="A310" s="55" t="s">
        <v>4409</v>
      </c>
      <c r="B310" s="55" t="s">
        <v>4410</v>
      </c>
    </row>
    <row r="311" ht="12.75" hidden="1" customHeight="1" outlineLevel="1">
      <c r="A311" s="55" t="s">
        <v>4411</v>
      </c>
      <c r="B311" s="55" t="s">
        <v>4412</v>
      </c>
    </row>
    <row r="312" ht="12.75" hidden="1" customHeight="1" outlineLevel="1">
      <c r="A312" s="55" t="s">
        <v>4413</v>
      </c>
      <c r="B312" s="55" t="s">
        <v>4414</v>
      </c>
    </row>
    <row r="313" ht="12.75" hidden="1" customHeight="1" outlineLevel="1">
      <c r="A313" s="55" t="s">
        <v>4415</v>
      </c>
      <c r="B313" s="55" t="s">
        <v>4416</v>
      </c>
    </row>
    <row r="314" ht="12.75" hidden="1" customHeight="1" outlineLevel="1">
      <c r="A314" s="55" t="s">
        <v>4417</v>
      </c>
      <c r="B314" s="55" t="s">
        <v>4418</v>
      </c>
    </row>
    <row r="315" ht="12.75" hidden="1" customHeight="1" outlineLevel="1">
      <c r="A315" s="55" t="s">
        <v>4419</v>
      </c>
      <c r="B315" s="55" t="s">
        <v>4420</v>
      </c>
    </row>
    <row r="316" ht="12.75" hidden="1" customHeight="1" outlineLevel="1">
      <c r="A316" s="55" t="s">
        <v>4421</v>
      </c>
      <c r="B316" s="55" t="s">
        <v>4422</v>
      </c>
    </row>
    <row r="317" ht="12.75" hidden="1" customHeight="1" outlineLevel="1">
      <c r="A317" s="55" t="s">
        <v>4423</v>
      </c>
      <c r="B317" s="55" t="s">
        <v>4424</v>
      </c>
    </row>
    <row r="318" ht="12.75" hidden="1" customHeight="1" outlineLevel="1">
      <c r="A318" s="55" t="s">
        <v>4425</v>
      </c>
      <c r="B318" s="55" t="s">
        <v>4426</v>
      </c>
    </row>
    <row r="319" ht="12.75" hidden="1" customHeight="1" outlineLevel="1">
      <c r="A319" s="55" t="s">
        <v>4427</v>
      </c>
      <c r="B319" s="55" t="s">
        <v>4428</v>
      </c>
    </row>
    <row r="320" ht="12.75" hidden="1" customHeight="1" outlineLevel="1">
      <c r="A320" s="55" t="s">
        <v>4429</v>
      </c>
      <c r="B320" s="55" t="s">
        <v>4430</v>
      </c>
    </row>
    <row r="321" ht="12.75" hidden="1" customHeight="1" outlineLevel="1">
      <c r="A321" s="55" t="s">
        <v>4431</v>
      </c>
      <c r="B321" s="55" t="s">
        <v>4432</v>
      </c>
    </row>
    <row r="322" ht="12.75" hidden="1" customHeight="1" outlineLevel="1">
      <c r="A322" s="55" t="s">
        <v>4433</v>
      </c>
      <c r="B322" s="55" t="s">
        <v>4434</v>
      </c>
    </row>
    <row r="323" ht="12.75" hidden="1" customHeight="1" outlineLevel="1">
      <c r="A323" s="55" t="s">
        <v>4435</v>
      </c>
      <c r="B323" s="55" t="s">
        <v>4436</v>
      </c>
    </row>
    <row r="324" ht="12.75" hidden="1" customHeight="1" outlineLevel="1">
      <c r="A324" s="55" t="s">
        <v>4437</v>
      </c>
      <c r="B324" s="55" t="s">
        <v>4438</v>
      </c>
    </row>
    <row r="325" ht="12.75" hidden="1" customHeight="1" outlineLevel="1">
      <c r="A325" s="55" t="s">
        <v>4439</v>
      </c>
      <c r="B325" s="55" t="s">
        <v>4440</v>
      </c>
    </row>
    <row r="326" ht="12.75" hidden="1" customHeight="1" outlineLevel="1">
      <c r="A326" s="55" t="s">
        <v>4441</v>
      </c>
      <c r="B326" s="55" t="s">
        <v>4442</v>
      </c>
    </row>
    <row r="327" ht="12.75" hidden="1" customHeight="1" outlineLevel="1">
      <c r="A327" s="55" t="s">
        <v>4443</v>
      </c>
      <c r="B327" s="55" t="s">
        <v>4444</v>
      </c>
    </row>
    <row r="328" ht="12.75" hidden="1" customHeight="1" outlineLevel="1">
      <c r="A328" s="55" t="s">
        <v>4445</v>
      </c>
      <c r="B328" s="55" t="s">
        <v>4446</v>
      </c>
    </row>
    <row r="329" ht="12.75" hidden="1" customHeight="1" outlineLevel="1">
      <c r="A329" s="55" t="s">
        <v>4447</v>
      </c>
      <c r="B329" s="55" t="s">
        <v>4448</v>
      </c>
    </row>
    <row r="330" ht="12.75" hidden="1" customHeight="1" outlineLevel="1">
      <c r="A330" s="55" t="s">
        <v>4449</v>
      </c>
      <c r="B330" s="55" t="s">
        <v>4450</v>
      </c>
    </row>
    <row r="331" ht="12.75" hidden="1" customHeight="1" outlineLevel="1">
      <c r="A331" s="55" t="s">
        <v>4451</v>
      </c>
      <c r="B331" s="55" t="s">
        <v>4452</v>
      </c>
    </row>
    <row r="332" ht="12.75" hidden="1" customHeight="1" outlineLevel="1">
      <c r="A332" s="55" t="s">
        <v>4453</v>
      </c>
      <c r="B332" s="55" t="s">
        <v>4454</v>
      </c>
    </row>
    <row r="333" ht="12.75" hidden="1" customHeight="1" outlineLevel="1">
      <c r="A333" s="55" t="s">
        <v>4455</v>
      </c>
      <c r="B333" s="55" t="s">
        <v>4456</v>
      </c>
    </row>
    <row r="334" ht="12.75" hidden="1" customHeight="1" outlineLevel="1">
      <c r="A334" s="55" t="s">
        <v>4457</v>
      </c>
      <c r="B334" s="55" t="s">
        <v>4458</v>
      </c>
    </row>
    <row r="335" ht="12.75" hidden="1" customHeight="1" outlineLevel="1">
      <c r="A335" s="55" t="s">
        <v>4459</v>
      </c>
      <c r="B335" s="55" t="s">
        <v>4460</v>
      </c>
    </row>
    <row r="336" ht="12.75" hidden="1" customHeight="1" outlineLevel="1">
      <c r="A336" s="55" t="s">
        <v>4461</v>
      </c>
      <c r="B336" s="55" t="s">
        <v>4462</v>
      </c>
    </row>
    <row r="337" ht="12.75" hidden="1" customHeight="1" outlineLevel="1">
      <c r="A337" s="55" t="s">
        <v>4463</v>
      </c>
      <c r="B337" s="55" t="s">
        <v>4464</v>
      </c>
    </row>
    <row r="338" ht="12.75" hidden="1" customHeight="1" outlineLevel="1">
      <c r="A338" s="55" t="s">
        <v>4465</v>
      </c>
      <c r="B338" s="55" t="s">
        <v>4466</v>
      </c>
    </row>
    <row r="339" ht="12.75" hidden="1" customHeight="1" outlineLevel="1">
      <c r="A339" s="55" t="s">
        <v>4467</v>
      </c>
      <c r="B339" s="55" t="s">
        <v>4468</v>
      </c>
    </row>
    <row r="340" ht="12.75" hidden="1" customHeight="1" outlineLevel="1">
      <c r="A340" s="55" t="s">
        <v>4469</v>
      </c>
      <c r="B340" s="55" t="s">
        <v>4470</v>
      </c>
    </row>
    <row r="341" ht="12.75" hidden="1" customHeight="1" outlineLevel="1">
      <c r="A341" s="55" t="s">
        <v>4471</v>
      </c>
      <c r="B341" s="55" t="s">
        <v>4472</v>
      </c>
    </row>
    <row r="342" ht="12.75" hidden="1" customHeight="1" outlineLevel="1">
      <c r="A342" s="55" t="s">
        <v>4473</v>
      </c>
      <c r="B342" s="55" t="s">
        <v>4474</v>
      </c>
    </row>
    <row r="343" ht="12.75" hidden="1" customHeight="1" outlineLevel="1">
      <c r="A343" s="55" t="s">
        <v>4475</v>
      </c>
      <c r="B343" s="55" t="s">
        <v>4476</v>
      </c>
    </row>
    <row r="344" ht="12.75" hidden="1" customHeight="1" outlineLevel="1">
      <c r="A344" s="55" t="s">
        <v>4477</v>
      </c>
      <c r="B344" s="55" t="s">
        <v>4478</v>
      </c>
    </row>
    <row r="345" ht="12.75" hidden="1" customHeight="1" outlineLevel="1">
      <c r="A345" s="55" t="s">
        <v>4479</v>
      </c>
      <c r="B345" s="55" t="s">
        <v>4480</v>
      </c>
    </row>
    <row r="346" ht="12.75" hidden="1" customHeight="1" outlineLevel="1">
      <c r="A346" s="55" t="s">
        <v>4481</v>
      </c>
      <c r="B346" s="55" t="s">
        <v>4482</v>
      </c>
    </row>
    <row r="347" ht="12.75" hidden="1" customHeight="1" outlineLevel="1">
      <c r="A347" s="55" t="s">
        <v>4483</v>
      </c>
      <c r="B347" s="55" t="s">
        <v>4484</v>
      </c>
    </row>
    <row r="348" ht="12.75" hidden="1" customHeight="1" outlineLevel="1">
      <c r="A348" s="55" t="s">
        <v>4485</v>
      </c>
      <c r="B348" s="55" t="s">
        <v>4486</v>
      </c>
    </row>
    <row r="349" ht="12.75" hidden="1" customHeight="1" outlineLevel="1">
      <c r="A349" s="55" t="s">
        <v>4487</v>
      </c>
      <c r="B349" s="55" t="s">
        <v>4488</v>
      </c>
    </row>
    <row r="350" ht="12.75" hidden="1" customHeight="1" outlineLevel="1">
      <c r="A350" s="55" t="s">
        <v>4489</v>
      </c>
      <c r="B350" s="55" t="s">
        <v>4490</v>
      </c>
    </row>
    <row r="351" ht="12.75" hidden="1" customHeight="1" outlineLevel="1">
      <c r="A351" s="55" t="s">
        <v>4491</v>
      </c>
      <c r="B351" s="55" t="s">
        <v>4492</v>
      </c>
    </row>
    <row r="352" ht="12.75" hidden="1" customHeight="1" outlineLevel="1">
      <c r="A352" s="55" t="s">
        <v>4493</v>
      </c>
      <c r="B352" s="55" t="s">
        <v>4494</v>
      </c>
    </row>
    <row r="353" ht="12.75" hidden="1" customHeight="1" outlineLevel="1">
      <c r="A353" s="55" t="s">
        <v>4495</v>
      </c>
      <c r="B353" s="55" t="s">
        <v>4496</v>
      </c>
    </row>
    <row r="354" ht="12.75" hidden="1" customHeight="1" outlineLevel="1">
      <c r="A354" s="55" t="s">
        <v>4497</v>
      </c>
      <c r="B354" s="55" t="s">
        <v>4498</v>
      </c>
    </row>
    <row r="355" ht="12.75" hidden="1" customHeight="1" outlineLevel="1">
      <c r="A355" s="55" t="s">
        <v>4499</v>
      </c>
      <c r="B355" s="55" t="s">
        <v>4500</v>
      </c>
    </row>
    <row r="356" ht="12.75" hidden="1" customHeight="1" outlineLevel="1">
      <c r="A356" s="55" t="s">
        <v>4501</v>
      </c>
      <c r="B356" s="55" t="s">
        <v>4502</v>
      </c>
    </row>
    <row r="357" ht="12.75" hidden="1" customHeight="1" outlineLevel="1">
      <c r="A357" s="55" t="s">
        <v>4503</v>
      </c>
      <c r="B357" s="55" t="s">
        <v>4504</v>
      </c>
    </row>
    <row r="358" ht="12.75" hidden="1" customHeight="1" outlineLevel="1">
      <c r="A358" s="55" t="s">
        <v>4505</v>
      </c>
      <c r="B358" s="55" t="s">
        <v>4506</v>
      </c>
    </row>
    <row r="359" ht="12.75" hidden="1" customHeight="1" outlineLevel="1">
      <c r="A359" s="55" t="s">
        <v>4507</v>
      </c>
      <c r="B359" s="55" t="s">
        <v>4508</v>
      </c>
    </row>
    <row r="360" ht="12.75" hidden="1" customHeight="1" outlineLevel="1">
      <c r="A360" s="55" t="s">
        <v>4509</v>
      </c>
      <c r="B360" s="55" t="s">
        <v>4510</v>
      </c>
    </row>
    <row r="361" ht="12.75" hidden="1" customHeight="1" outlineLevel="1">
      <c r="A361" s="55" t="s">
        <v>4511</v>
      </c>
      <c r="B361" s="55" t="s">
        <v>4512</v>
      </c>
    </row>
    <row r="362" ht="12.75" hidden="1" customHeight="1" outlineLevel="1">
      <c r="A362" s="55" t="s">
        <v>4513</v>
      </c>
      <c r="B362" s="55" t="s">
        <v>4514</v>
      </c>
    </row>
    <row r="363" ht="12.75" hidden="1" customHeight="1" outlineLevel="1">
      <c r="A363" s="55" t="s">
        <v>4515</v>
      </c>
      <c r="B363" s="55" t="s">
        <v>4516</v>
      </c>
    </row>
    <row r="364" ht="12.75" hidden="1" customHeight="1" outlineLevel="1">
      <c r="A364" s="55" t="s">
        <v>4517</v>
      </c>
      <c r="B364" s="55" t="s">
        <v>4518</v>
      </c>
    </row>
    <row r="365" ht="12.75" hidden="1" customHeight="1" outlineLevel="1">
      <c r="A365" s="55" t="s">
        <v>4519</v>
      </c>
      <c r="B365" s="55" t="s">
        <v>4520</v>
      </c>
    </row>
    <row r="366" ht="12.75" hidden="1" customHeight="1" outlineLevel="1">
      <c r="A366" s="55" t="s">
        <v>4521</v>
      </c>
      <c r="B366" s="55" t="s">
        <v>4522</v>
      </c>
    </row>
    <row r="367" ht="12.75" hidden="1" customHeight="1" outlineLevel="1">
      <c r="A367" s="55" t="s">
        <v>4523</v>
      </c>
      <c r="B367" s="55" t="s">
        <v>4524</v>
      </c>
    </row>
    <row r="368" ht="12.75" hidden="1" customHeight="1" outlineLevel="1">
      <c r="A368" s="55" t="s">
        <v>4525</v>
      </c>
      <c r="B368" s="55" t="s">
        <v>4526</v>
      </c>
    </row>
    <row r="369" ht="12.75" hidden="1" customHeight="1" outlineLevel="1">
      <c r="A369" s="55" t="s">
        <v>4527</v>
      </c>
      <c r="B369" s="55" t="s">
        <v>4528</v>
      </c>
    </row>
    <row r="370" ht="12.75" hidden="1" customHeight="1" outlineLevel="1">
      <c r="A370" s="55" t="s">
        <v>4529</v>
      </c>
      <c r="B370" s="55" t="s">
        <v>4530</v>
      </c>
    </row>
    <row r="371" ht="12.75" hidden="1" customHeight="1" outlineLevel="1">
      <c r="A371" s="55" t="s">
        <v>4531</v>
      </c>
      <c r="B371" s="55" t="s">
        <v>4532</v>
      </c>
    </row>
    <row r="372" ht="12.75" hidden="1" customHeight="1" outlineLevel="1">
      <c r="A372" s="55" t="s">
        <v>4533</v>
      </c>
      <c r="B372" s="55" t="s">
        <v>4534</v>
      </c>
    </row>
    <row r="373" ht="12.75" hidden="1" customHeight="1" outlineLevel="1">
      <c r="A373" s="55" t="s">
        <v>4535</v>
      </c>
      <c r="B373" s="55" t="s">
        <v>4536</v>
      </c>
    </row>
    <row r="374" ht="12.75" hidden="1" customHeight="1" outlineLevel="1">
      <c r="A374" s="55" t="s">
        <v>4537</v>
      </c>
      <c r="B374" s="55" t="s">
        <v>4538</v>
      </c>
    </row>
    <row r="375" ht="12.75" hidden="1" customHeight="1" outlineLevel="1">
      <c r="A375" s="55" t="s">
        <v>4539</v>
      </c>
      <c r="B375" s="55" t="s">
        <v>4540</v>
      </c>
    </row>
    <row r="376" ht="12.75" hidden="1" customHeight="1" outlineLevel="1">
      <c r="A376" s="55" t="s">
        <v>4541</v>
      </c>
      <c r="B376" s="55" t="s">
        <v>4542</v>
      </c>
    </row>
    <row r="377" ht="12.75" hidden="1" customHeight="1" outlineLevel="1">
      <c r="A377" s="55" t="s">
        <v>4543</v>
      </c>
      <c r="B377" s="55" t="s">
        <v>4544</v>
      </c>
    </row>
    <row r="378" ht="12.75" hidden="1" customHeight="1" outlineLevel="1">
      <c r="A378" s="55" t="s">
        <v>4545</v>
      </c>
      <c r="B378" s="55" t="s">
        <v>4546</v>
      </c>
    </row>
    <row r="379" ht="12.75" hidden="1" customHeight="1" outlineLevel="1">
      <c r="A379" s="55" t="s">
        <v>4547</v>
      </c>
      <c r="B379" s="55" t="s">
        <v>4548</v>
      </c>
    </row>
    <row r="380" ht="12.75" hidden="1" customHeight="1" outlineLevel="1">
      <c r="A380" s="55" t="s">
        <v>4549</v>
      </c>
      <c r="B380" s="55" t="s">
        <v>4550</v>
      </c>
    </row>
    <row r="381" ht="12.75" hidden="1" customHeight="1" outlineLevel="1">
      <c r="A381" s="55" t="s">
        <v>4551</v>
      </c>
      <c r="B381" s="55" t="s">
        <v>4552</v>
      </c>
    </row>
    <row r="382" ht="12.75" hidden="1" customHeight="1" outlineLevel="1">
      <c r="A382" s="55" t="s">
        <v>4553</v>
      </c>
      <c r="B382" s="55" t="s">
        <v>4554</v>
      </c>
    </row>
    <row r="383" ht="12.75" hidden="1" customHeight="1" outlineLevel="1">
      <c r="A383" s="55" t="s">
        <v>4555</v>
      </c>
      <c r="B383" s="55" t="s">
        <v>4556</v>
      </c>
    </row>
    <row r="384" ht="12.75" hidden="1" customHeight="1" outlineLevel="1">
      <c r="A384" s="55" t="s">
        <v>4557</v>
      </c>
      <c r="B384" s="55" t="s">
        <v>4558</v>
      </c>
    </row>
    <row r="385" ht="12.75" hidden="1" customHeight="1" outlineLevel="1">
      <c r="A385" s="55" t="s">
        <v>4559</v>
      </c>
      <c r="B385" s="55" t="s">
        <v>4560</v>
      </c>
    </row>
    <row r="386" ht="12.75" hidden="1" customHeight="1" outlineLevel="1">
      <c r="A386" s="55" t="s">
        <v>4561</v>
      </c>
      <c r="B386" s="55" t="s">
        <v>4562</v>
      </c>
    </row>
    <row r="387" ht="12.75" hidden="1" customHeight="1" outlineLevel="1">
      <c r="A387" s="55" t="s">
        <v>4563</v>
      </c>
      <c r="B387" s="55" t="s">
        <v>4564</v>
      </c>
    </row>
    <row r="388" ht="12.75" hidden="1" customHeight="1" outlineLevel="1">
      <c r="A388" s="55" t="s">
        <v>4565</v>
      </c>
      <c r="B388" s="55" t="s">
        <v>4566</v>
      </c>
    </row>
    <row r="389" ht="12.75" hidden="1" customHeight="1" outlineLevel="1">
      <c r="A389" s="55" t="s">
        <v>4567</v>
      </c>
      <c r="B389" s="55" t="s">
        <v>4568</v>
      </c>
    </row>
    <row r="390" ht="12.75" hidden="1" customHeight="1" outlineLevel="1">
      <c r="A390" s="55" t="s">
        <v>4569</v>
      </c>
      <c r="B390" s="55" t="s">
        <v>4570</v>
      </c>
    </row>
    <row r="391" ht="12.75" hidden="1" customHeight="1" outlineLevel="1">
      <c r="A391" s="55" t="s">
        <v>4571</v>
      </c>
      <c r="B391" s="55" t="s">
        <v>4572</v>
      </c>
    </row>
    <row r="392" ht="12.75" hidden="1" customHeight="1" outlineLevel="1">
      <c r="A392" s="55" t="s">
        <v>4573</v>
      </c>
      <c r="B392" s="55" t="s">
        <v>4574</v>
      </c>
    </row>
    <row r="393" ht="12.75" hidden="1" customHeight="1" outlineLevel="1">
      <c r="A393" s="55" t="s">
        <v>4575</v>
      </c>
      <c r="B393" s="55" t="s">
        <v>5013</v>
      </c>
    </row>
    <row r="394" ht="12.75" hidden="1" customHeight="1" outlineLevel="1">
      <c r="A394" s="55" t="s">
        <v>4577</v>
      </c>
      <c r="B394" s="55" t="s">
        <v>5014</v>
      </c>
    </row>
    <row r="395" ht="12.75" hidden="1" customHeight="1" outlineLevel="1">
      <c r="A395" s="55" t="s">
        <v>4579</v>
      </c>
      <c r="B395" s="55" t="s">
        <v>4580</v>
      </c>
    </row>
    <row r="396" ht="12.75" hidden="1" customHeight="1" outlineLevel="1">
      <c r="A396" s="55" t="s">
        <v>4583</v>
      </c>
      <c r="B396" s="55" t="s">
        <v>4584</v>
      </c>
    </row>
    <row r="397" ht="12.75" hidden="1" customHeight="1" outlineLevel="1">
      <c r="A397" s="55" t="s">
        <v>4585</v>
      </c>
      <c r="B397" s="55" t="s">
        <v>4584</v>
      </c>
    </row>
    <row r="398" ht="12.75" hidden="1" customHeight="1" outlineLevel="1">
      <c r="A398" s="55" t="s">
        <v>4586</v>
      </c>
      <c r="B398" s="55" t="s">
        <v>4587</v>
      </c>
    </row>
    <row r="399" ht="12.75" hidden="1" customHeight="1" outlineLevel="1">
      <c r="A399" s="55" t="s">
        <v>4588</v>
      </c>
      <c r="B399" s="55" t="s">
        <v>4589</v>
      </c>
    </row>
    <row r="400" ht="12.75" hidden="1" customHeight="1" outlineLevel="1"/>
    <row r="401" ht="12.75" customHeight="1" collapsed="1">
      <c r="A401" s="626" t="s">
        <v>4587</v>
      </c>
      <c r="B401" s="626" t="s">
        <v>4590</v>
      </c>
      <c r="C401" s="626" t="s">
        <v>4591</v>
      </c>
      <c r="D401" s="626" t="s">
        <v>4592</v>
      </c>
      <c r="E401" s="626" t="s">
        <v>4593</v>
      </c>
      <c r="F401" s="626" t="s">
        <v>4594</v>
      </c>
      <c r="G401" s="626" t="s">
        <v>4595</v>
      </c>
      <c r="H401" s="626" t="s">
        <v>4596</v>
      </c>
      <c r="I401" s="626" t="s">
        <v>4597</v>
      </c>
      <c r="J401" s="626" t="s">
        <v>4598</v>
      </c>
      <c r="K401" s="626" t="s">
        <v>4599</v>
      </c>
      <c r="L401" s="626" t="s">
        <v>4600</v>
      </c>
      <c r="M401" s="626" t="s">
        <v>4601</v>
      </c>
      <c r="N401" s="626" t="s">
        <v>4602</v>
      </c>
      <c r="O401" s="626" t="s">
        <v>4603</v>
      </c>
      <c r="P401" s="626" t="s">
        <v>4604</v>
      </c>
      <c r="Q401" s="626" t="s">
        <v>4605</v>
      </c>
      <c r="R401" s="626" t="s">
        <v>4606</v>
      </c>
      <c r="S401" s="626" t="s">
        <v>4607</v>
      </c>
      <c r="T401" s="626" t="s">
        <v>4608</v>
      </c>
      <c r="U401" s="626" t="s">
        <v>4609</v>
      </c>
      <c r="V401" s="626" t="s">
        <v>4610</v>
      </c>
      <c r="W401" s="626" t="s">
        <v>4611</v>
      </c>
      <c r="X401" s="626" t="s">
        <v>4612</v>
      </c>
      <c r="Y401" s="626" t="s">
        <v>4613</v>
      </c>
      <c r="Z401" s="626" t="s">
        <v>4614</v>
      </c>
      <c r="AA401" s="626" t="s">
        <v>4615</v>
      </c>
      <c r="AB401" s="626" t="s">
        <v>4616</v>
      </c>
      <c r="AC401" s="626" t="s">
        <v>4617</v>
      </c>
      <c r="AD401" s="626" t="s">
        <v>4618</v>
      </c>
      <c r="AE401" s="626" t="s">
        <v>4619</v>
      </c>
      <c r="AF401" s="626" t="s">
        <v>4620</v>
      </c>
      <c r="AG401" s="626" t="s">
        <v>4621</v>
      </c>
      <c r="AH401" s="626" t="s">
        <v>4622</v>
      </c>
      <c r="AI401" s="626" t="s">
        <v>4623</v>
      </c>
      <c r="AJ401" s="626" t="s">
        <v>4624</v>
      </c>
      <c r="AK401" s="626" t="s">
        <v>4625</v>
      </c>
      <c r="AL401" s="626" t="s">
        <v>4626</v>
      </c>
      <c r="AM401" s="626" t="s">
        <v>4627</v>
      </c>
      <c r="AN401" s="626" t="s">
        <v>4628</v>
      </c>
      <c r="AO401" s="626" t="s">
        <v>4629</v>
      </c>
      <c r="AP401" s="626" t="s">
        <v>4630</v>
      </c>
      <c r="AQ401" s="626" t="s">
        <v>4631</v>
      </c>
      <c r="AR401" s="626" t="s">
        <v>4632</v>
      </c>
      <c r="AS401" s="626" t="s">
        <v>4633</v>
      </c>
      <c r="AT401" s="626" t="s">
        <v>4634</v>
      </c>
      <c r="AU401" s="626" t="s">
        <v>4635</v>
      </c>
      <c r="AV401" s="626" t="s">
        <v>4636</v>
      </c>
      <c r="AW401" s="626" t="s">
        <v>4637</v>
      </c>
      <c r="AX401" s="626" t="s">
        <v>4638</v>
      </c>
      <c r="AY401" s="626" t="s">
        <v>4639</v>
      </c>
      <c r="AZ401" s="626" t="s">
        <v>4640</v>
      </c>
      <c r="BA401" s="626" t="s">
        <v>4641</v>
      </c>
      <c r="BB401" s="626" t="s">
        <v>4642</v>
      </c>
      <c r="BC401" s="626" t="s">
        <v>4643</v>
      </c>
      <c r="BD401" s="626" t="s">
        <v>4644</v>
      </c>
      <c r="BE401" s="626" t="s">
        <v>4645</v>
      </c>
      <c r="BF401" s="626" t="s">
        <v>4646</v>
      </c>
      <c r="BG401" s="626" t="s">
        <v>4647</v>
      </c>
      <c r="BH401" s="626" t="s">
        <v>4648</v>
      </c>
      <c r="BI401" s="626" t="s">
        <v>4649</v>
      </c>
      <c r="BJ401" s="626" t="s">
        <v>4650</v>
      </c>
      <c r="BK401" s="626" t="s">
        <v>4651</v>
      </c>
      <c r="BL401" s="626" t="s">
        <v>4652</v>
      </c>
      <c r="BM401" s="626" t="s">
        <v>4653</v>
      </c>
      <c r="BN401" s="626" t="s">
        <v>4654</v>
      </c>
      <c r="BO401" s="626" t="s">
        <v>4655</v>
      </c>
      <c r="BP401" s="626" t="s">
        <v>4656</v>
      </c>
      <c r="BQ401" s="626" t="s">
        <v>4657</v>
      </c>
      <c r="BR401" s="626" t="s">
        <v>4658</v>
      </c>
      <c r="BS401" s="626" t="s">
        <v>4659</v>
      </c>
      <c r="BT401" s="626" t="s">
        <v>4660</v>
      </c>
      <c r="BU401" s="626" t="s">
        <v>4661</v>
      </c>
      <c r="BV401" s="626" t="s">
        <v>4662</v>
      </c>
      <c r="BW401" s="626" t="s">
        <v>4663</v>
      </c>
      <c r="BX401" s="626" t="s">
        <v>4664</v>
      </c>
      <c r="BY401" s="626" t="s">
        <v>4665</v>
      </c>
      <c r="BZ401" s="626" t="s">
        <v>4666</v>
      </c>
      <c r="CA401" s="626" t="s">
        <v>4667</v>
      </c>
      <c r="CB401" s="626" t="s">
        <v>4668</v>
      </c>
      <c r="CC401" s="626" t="s">
        <v>4669</v>
      </c>
      <c r="CD401" s="626" t="s">
        <v>4670</v>
      </c>
      <c r="CE401" s="626" t="s">
        <v>4671</v>
      </c>
      <c r="CF401" s="626" t="s">
        <v>4672</v>
      </c>
      <c r="CG401" s="626" t="s">
        <v>4673</v>
      </c>
      <c r="CH401" s="626" t="s">
        <v>4674</v>
      </c>
      <c r="CI401" s="626" t="s">
        <v>4675</v>
      </c>
      <c r="CJ401" s="626" t="s">
        <v>4676</v>
      </c>
      <c r="CK401" s="626" t="s">
        <v>4677</v>
      </c>
      <c r="CL401" s="626" t="s">
        <v>4678</v>
      </c>
      <c r="CM401" s="626" t="s">
        <v>4679</v>
      </c>
      <c r="CN401" s="626" t="s">
        <v>4680</v>
      </c>
      <c r="CO401" s="626" t="s">
        <v>4681</v>
      </c>
      <c r="CP401" s="626" t="s">
        <v>4682</v>
      </c>
      <c r="CQ401" s="626" t="s">
        <v>4683</v>
      </c>
      <c r="CR401" s="626" t="s">
        <v>4684</v>
      </c>
      <c r="CS401" s="626" t="s">
        <v>4685</v>
      </c>
      <c r="CT401" s="626" t="s">
        <v>4686</v>
      </c>
      <c r="CU401" s="626" t="s">
        <v>4687</v>
      </c>
      <c r="CV401" s="626" t="s">
        <v>4688</v>
      </c>
      <c r="CW401" s="626" t="s">
        <v>4689</v>
      </c>
      <c r="CX401" s="626" t="s">
        <v>4690</v>
      </c>
      <c r="CY401" s="626" t="s">
        <v>4691</v>
      </c>
      <c r="CZ401" s="626" t="s">
        <v>4692</v>
      </c>
      <c r="DA401" s="626" t="s">
        <v>4693</v>
      </c>
      <c r="DB401" s="626" t="s">
        <v>4694</v>
      </c>
      <c r="DC401" s="626" t="s">
        <v>4695</v>
      </c>
      <c r="DD401" s="626" t="s">
        <v>4696</v>
      </c>
      <c r="DE401" s="626" t="s">
        <v>4697</v>
      </c>
      <c r="DF401" s="626" t="s">
        <v>4698</v>
      </c>
      <c r="DG401" s="626" t="s">
        <v>4699</v>
      </c>
      <c r="DH401" s="626" t="s">
        <v>4700</v>
      </c>
      <c r="DI401" s="626" t="s">
        <v>4701</v>
      </c>
      <c r="DJ401" s="626" t="s">
        <v>4702</v>
      </c>
      <c r="DK401" s="626" t="s">
        <v>4703</v>
      </c>
      <c r="DL401" s="626" t="s">
        <v>4704</v>
      </c>
      <c r="DM401" s="626" t="s">
        <v>4705</v>
      </c>
      <c r="DN401" s="626" t="s">
        <v>4706</v>
      </c>
      <c r="DO401" s="626" t="s">
        <v>4707</v>
      </c>
      <c r="DP401" s="626" t="s">
        <v>4708</v>
      </c>
      <c r="DQ401" s="626" t="s">
        <v>4709</v>
      </c>
      <c r="DR401" s="626" t="s">
        <v>4710</v>
      </c>
      <c r="DS401" s="626" t="s">
        <v>4711</v>
      </c>
      <c r="DT401" s="626" t="s">
        <v>4712</v>
      </c>
      <c r="DU401" s="626" t="s">
        <v>4713</v>
      </c>
      <c r="DV401" s="626" t="s">
        <v>4714</v>
      </c>
      <c r="DW401" s="626" t="s">
        <v>4715</v>
      </c>
      <c r="DX401" s="626" t="s">
        <v>4716</v>
      </c>
      <c r="DY401" s="626" t="s">
        <v>4717</v>
      </c>
      <c r="DZ401" s="626" t="s">
        <v>4718</v>
      </c>
      <c r="EA401" s="626" t="s">
        <v>4719</v>
      </c>
      <c r="EB401" s="626" t="s">
        <v>4720</v>
      </c>
      <c r="EC401" s="626" t="s">
        <v>4721</v>
      </c>
      <c r="ED401" s="626" t="s">
        <v>4722</v>
      </c>
      <c r="EE401" s="626" t="s">
        <v>4723</v>
      </c>
      <c r="EF401" s="626" t="s">
        <v>4724</v>
      </c>
      <c r="EG401" s="626" t="s">
        <v>4725</v>
      </c>
      <c r="EH401" s="626" t="s">
        <v>4726</v>
      </c>
      <c r="EI401" s="626" t="s">
        <v>4727</v>
      </c>
      <c r="EJ401" s="626" t="s">
        <v>4728</v>
      </c>
      <c r="EK401" s="626" t="s">
        <v>4729</v>
      </c>
      <c r="EL401" s="626" t="s">
        <v>4730</v>
      </c>
      <c r="EM401" s="626" t="s">
        <v>4731</v>
      </c>
      <c r="EN401" s="626" t="s">
        <v>4732</v>
      </c>
      <c r="EO401" s="626" t="s">
        <v>4733</v>
      </c>
      <c r="EP401" s="626" t="s">
        <v>4734</v>
      </c>
      <c r="EQ401" s="626" t="s">
        <v>4735</v>
      </c>
      <c r="ER401" s="626" t="s">
        <v>4736</v>
      </c>
      <c r="ES401" s="626" t="s">
        <v>4737</v>
      </c>
      <c r="ET401" s="626" t="s">
        <v>4738</v>
      </c>
      <c r="EU401" s="626" t="s">
        <v>4739</v>
      </c>
      <c r="EV401" s="626" t="s">
        <v>4740</v>
      </c>
      <c r="EW401" s="626" t="s">
        <v>4741</v>
      </c>
      <c r="EX401" s="626" t="s">
        <v>4742</v>
      </c>
      <c r="EY401" s="626" t="s">
        <v>4743</v>
      </c>
      <c r="EZ401" s="626" t="s">
        <v>4744</v>
      </c>
      <c r="FA401" s="626" t="s">
        <v>4745</v>
      </c>
      <c r="FB401" s="626" t="s">
        <v>4746</v>
      </c>
      <c r="FC401" s="626" t="s">
        <v>4747</v>
      </c>
      <c r="FD401" s="626" t="s">
        <v>4748</v>
      </c>
      <c r="FE401" s="626" t="s">
        <v>4749</v>
      </c>
      <c r="FF401" s="626" t="s">
        <v>4750</v>
      </c>
      <c r="FG401" s="626" t="s">
        <v>4751</v>
      </c>
      <c r="FH401" s="626" t="s">
        <v>4752</v>
      </c>
      <c r="FI401" s="626" t="s">
        <v>4753</v>
      </c>
      <c r="FJ401" s="626" t="s">
        <v>4754</v>
      </c>
      <c r="FK401" s="626" t="s">
        <v>4755</v>
      </c>
      <c r="FL401" s="626" t="s">
        <v>4756</v>
      </c>
      <c r="FM401" s="626" t="s">
        <v>4757</v>
      </c>
      <c r="FN401" s="626" t="s">
        <v>4758</v>
      </c>
      <c r="FO401" s="626" t="s">
        <v>4759</v>
      </c>
      <c r="FP401" s="626" t="s">
        <v>4760</v>
      </c>
      <c r="FQ401" s="626" t="s">
        <v>4761</v>
      </c>
      <c r="FR401" s="626" t="s">
        <v>4762</v>
      </c>
      <c r="FS401" s="626" t="s">
        <v>4763</v>
      </c>
      <c r="FT401" s="626" t="s">
        <v>4764</v>
      </c>
      <c r="FU401" s="626" t="s">
        <v>4765</v>
      </c>
      <c r="FV401" s="626" t="s">
        <v>4766</v>
      </c>
      <c r="FW401" s="626" t="s">
        <v>4767</v>
      </c>
      <c r="FX401" s="626" t="s">
        <v>4768</v>
      </c>
      <c r="FY401" s="626" t="s">
        <v>4769</v>
      </c>
      <c r="FZ401" s="626" t="s">
        <v>4770</v>
      </c>
      <c r="GA401" s="626" t="s">
        <v>4771</v>
      </c>
      <c r="GB401" s="626" t="s">
        <v>4772</v>
      </c>
      <c r="GC401" s="626" t="s">
        <v>4773</v>
      </c>
      <c r="GD401" s="626" t="s">
        <v>4774</v>
      </c>
      <c r="GE401" s="626" t="s">
        <v>4775</v>
      </c>
      <c r="GF401" s="626" t="s">
        <v>4776</v>
      </c>
      <c r="GG401" s="626" t="s">
        <v>4777</v>
      </c>
      <c r="GH401" s="626" t="s">
        <v>4778</v>
      </c>
      <c r="GI401" s="626" t="s">
        <v>4779</v>
      </c>
      <c r="GJ401" s="626" t="s">
        <v>4780</v>
      </c>
      <c r="GK401" s="626" t="s">
        <v>4781</v>
      </c>
      <c r="GL401" s="626" t="s">
        <v>4782</v>
      </c>
      <c r="GM401" s="626" t="s">
        <v>4783</v>
      </c>
      <c r="GN401" s="626" t="s">
        <v>4784</v>
      </c>
      <c r="GO401" s="626" t="s">
        <v>4785</v>
      </c>
      <c r="GP401" s="626" t="s">
        <v>4786</v>
      </c>
      <c r="GQ401" s="626" t="s">
        <v>4787</v>
      </c>
      <c r="GR401" s="626" t="s">
        <v>4788</v>
      </c>
      <c r="GS401" s="626" t="s">
        <v>4789</v>
      </c>
      <c r="GT401" s="626" t="s">
        <v>4790</v>
      </c>
      <c r="GU401" s="626" t="s">
        <v>4791</v>
      </c>
      <c r="GV401" s="626" t="s">
        <v>4792</v>
      </c>
      <c r="GW401" s="626" t="s">
        <v>4793</v>
      </c>
      <c r="GX401" s="626" t="s">
        <v>4794</v>
      </c>
      <c r="GY401" s="626" t="s">
        <v>4795</v>
      </c>
      <c r="GZ401" s="626" t="s">
        <v>4796</v>
      </c>
      <c r="HA401" s="626" t="s">
        <v>4797</v>
      </c>
      <c r="HB401" s="626" t="s">
        <v>4798</v>
      </c>
      <c r="HC401" s="626" t="s">
        <v>4799</v>
      </c>
      <c r="HD401" s="626" t="s">
        <v>4800</v>
      </c>
      <c r="HE401" s="626" t="s">
        <v>4801</v>
      </c>
      <c r="HF401" s="626" t="s">
        <v>4802</v>
      </c>
      <c r="HG401" s="626" t="s">
        <v>4803</v>
      </c>
      <c r="HH401" s="626" t="s">
        <v>4804</v>
      </c>
      <c r="HI401" s="626" t="s">
        <v>4805</v>
      </c>
      <c r="HJ401" s="626" t="s">
        <v>4806</v>
      </c>
      <c r="HK401" s="626" t="s">
        <v>4807</v>
      </c>
      <c r="HL401" s="626" t="s">
        <v>4808</v>
      </c>
      <c r="HM401" s="626" t="s">
        <v>4809</v>
      </c>
      <c r="HN401" s="626" t="s">
        <v>4810</v>
      </c>
      <c r="HO401" s="626" t="s">
        <v>4811</v>
      </c>
      <c r="HP401" s="626" t="s">
        <v>4812</v>
      </c>
      <c r="HQ401" s="626" t="s">
        <v>4813</v>
      </c>
      <c r="HR401" s="626" t="s">
        <v>4814</v>
      </c>
      <c r="HS401" s="626" t="s">
        <v>4815</v>
      </c>
      <c r="HT401" s="626" t="s">
        <v>4816</v>
      </c>
      <c r="HU401" s="626" t="s">
        <v>4817</v>
      </c>
      <c r="HV401" s="626" t="s">
        <v>4818</v>
      </c>
      <c r="HW401" s="626" t="s">
        <v>4819</v>
      </c>
      <c r="HX401" s="626" t="s">
        <v>4820</v>
      </c>
      <c r="HY401" s="626" t="s">
        <v>4821</v>
      </c>
      <c r="HZ401" s="626" t="s">
        <v>4822</v>
      </c>
      <c r="IA401" s="626" t="s">
        <v>4823</v>
      </c>
      <c r="IB401" s="626" t="s">
        <v>4824</v>
      </c>
      <c r="IC401" s="626" t="s">
        <v>4825</v>
      </c>
      <c r="ID401" s="626" t="s">
        <v>4826</v>
      </c>
      <c r="IE401" s="626" t="s">
        <v>4827</v>
      </c>
      <c r="IF401" s="626" t="s">
        <v>4828</v>
      </c>
      <c r="IG401" s="626" t="s">
        <v>4829</v>
      </c>
      <c r="IH401" s="626" t="s">
        <v>4830</v>
      </c>
      <c r="II401" s="626" t="s">
        <v>4831</v>
      </c>
      <c r="IJ401" s="626" t="s">
        <v>4832</v>
      </c>
      <c r="IK401" s="626" t="s">
        <v>4833</v>
      </c>
      <c r="IL401" s="626" t="s">
        <v>4834</v>
      </c>
      <c r="IM401" s="626" t="s">
        <v>4835</v>
      </c>
      <c r="IN401" s="626" t="s">
        <v>4836</v>
      </c>
      <c r="IO401" s="626" t="s">
        <v>4837</v>
      </c>
      <c r="IP401" s="626" t="s">
        <v>4838</v>
      </c>
      <c r="IQ401" s="626" t="s">
        <v>4839</v>
      </c>
      <c r="IR401" s="626" t="s">
        <v>4840</v>
      </c>
      <c r="IS401" s="626" t="s">
        <v>4841</v>
      </c>
      <c r="IT401" s="626" t="s">
        <v>4842</v>
      </c>
      <c r="IU401" s="626" t="s">
        <v>4843</v>
      </c>
      <c r="IV401" s="626" t="s">
        <v>4844</v>
      </c>
      <c r="IW401" s="626" t="s">
        <v>4845</v>
      </c>
      <c r="IX401" s="626" t="s">
        <v>4846</v>
      </c>
      <c r="IY401" s="626" t="s">
        <v>4847</v>
      </c>
      <c r="IZ401" s="626" t="s">
        <v>4848</v>
      </c>
      <c r="JA401" s="626" t="s">
        <v>4849</v>
      </c>
      <c r="JB401" s="626" t="s">
        <v>4850</v>
      </c>
      <c r="JC401" s="626" t="s">
        <v>4851</v>
      </c>
      <c r="JD401" s="626" t="s">
        <v>4852</v>
      </c>
      <c r="JE401" s="626" t="s">
        <v>4853</v>
      </c>
      <c r="JF401" s="626" t="s">
        <v>4854</v>
      </c>
      <c r="JG401" s="626" t="s">
        <v>4855</v>
      </c>
      <c r="JH401" s="626" t="s">
        <v>4856</v>
      </c>
      <c r="JI401" s="626" t="s">
        <v>4857</v>
      </c>
      <c r="JJ401" s="626" t="s">
        <v>4858</v>
      </c>
      <c r="JK401" s="626" t="s">
        <v>4859</v>
      </c>
      <c r="JL401" s="626" t="s">
        <v>4860</v>
      </c>
      <c r="JM401" s="626" t="s">
        <v>4861</v>
      </c>
      <c r="JN401" s="626" t="s">
        <v>4862</v>
      </c>
      <c r="JO401" s="626" t="s">
        <v>4863</v>
      </c>
      <c r="JP401" s="626" t="s">
        <v>4864</v>
      </c>
      <c r="JQ401" s="626" t="s">
        <v>4865</v>
      </c>
      <c r="JR401" s="626" t="s">
        <v>4866</v>
      </c>
      <c r="JS401" s="626" t="s">
        <v>4867</v>
      </c>
      <c r="JT401" s="626" t="s">
        <v>4868</v>
      </c>
      <c r="JU401" s="626" t="s">
        <v>4869</v>
      </c>
      <c r="JV401" s="626" t="s">
        <v>4870</v>
      </c>
      <c r="JW401" s="626" t="s">
        <v>4871</v>
      </c>
      <c r="JX401" s="626" t="s">
        <v>4872</v>
      </c>
      <c r="JY401" s="626" t="s">
        <v>4873</v>
      </c>
      <c r="JZ401" s="626" t="s">
        <v>4874</v>
      </c>
      <c r="KA401" s="626" t="s">
        <v>4875</v>
      </c>
      <c r="KB401" s="626" t="s">
        <v>4876</v>
      </c>
      <c r="KC401" s="626" t="s">
        <v>4877</v>
      </c>
      <c r="KD401" s="626" t="s">
        <v>4878</v>
      </c>
      <c r="KE401" s="626" t="s">
        <v>4879</v>
      </c>
      <c r="KF401" s="626" t="s">
        <v>4880</v>
      </c>
      <c r="KG401" s="626" t="s">
        <v>4881</v>
      </c>
      <c r="KH401" s="626" t="s">
        <v>4882</v>
      </c>
      <c r="KI401" s="626" t="s">
        <v>4883</v>
      </c>
      <c r="KJ401" s="626" t="s">
        <v>4884</v>
      </c>
      <c r="KK401" s="626" t="s">
        <v>4885</v>
      </c>
      <c r="KL401" s="626" t="s">
        <v>4886</v>
      </c>
      <c r="KM401" s="626" t="s">
        <v>4887</v>
      </c>
      <c r="KN401" s="626" t="s">
        <v>4888</v>
      </c>
      <c r="KO401" s="626" t="s">
        <v>4889</v>
      </c>
      <c r="KP401" s="626" t="s">
        <v>4890</v>
      </c>
      <c r="KQ401" s="626" t="s">
        <v>4891</v>
      </c>
      <c r="KR401" s="626" t="s">
        <v>4892</v>
      </c>
      <c r="KS401" s="626" t="s">
        <v>4893</v>
      </c>
      <c r="KT401" s="626" t="s">
        <v>4894</v>
      </c>
      <c r="KU401" s="626" t="s">
        <v>4895</v>
      </c>
      <c r="KV401" s="626" t="s">
        <v>4896</v>
      </c>
      <c r="KW401" s="626" t="s">
        <v>4897</v>
      </c>
      <c r="KX401" s="626" t="s">
        <v>4898</v>
      </c>
      <c r="KY401" s="626" t="s">
        <v>4899</v>
      </c>
      <c r="KZ401" s="626" t="s">
        <v>4900</v>
      </c>
      <c r="LA401" s="626" t="s">
        <v>4901</v>
      </c>
      <c r="LB401" s="626" t="s">
        <v>4902</v>
      </c>
      <c r="LC401" s="626" t="s">
        <v>4903</v>
      </c>
      <c r="LD401" s="626" t="s">
        <v>4904</v>
      </c>
      <c r="LE401" s="626" t="s">
        <v>4905</v>
      </c>
      <c r="LF401" s="626" t="s">
        <v>4906</v>
      </c>
      <c r="LG401" s="626" t="s">
        <v>4907</v>
      </c>
      <c r="LH401" s="626" t="s">
        <v>4908</v>
      </c>
      <c r="LI401" s="626" t="s">
        <v>4909</v>
      </c>
      <c r="LJ401" s="626" t="s">
        <v>4910</v>
      </c>
      <c r="LK401" s="626" t="s">
        <v>4911</v>
      </c>
      <c r="LL401" s="626" t="s">
        <v>4912</v>
      </c>
      <c r="LM401" s="626" t="s">
        <v>4913</v>
      </c>
      <c r="LN401" s="626" t="s">
        <v>4914</v>
      </c>
      <c r="LO401" s="626" t="s">
        <v>4915</v>
      </c>
      <c r="LP401" s="626" t="s">
        <v>4916</v>
      </c>
      <c r="LQ401" s="626" t="s">
        <v>4917</v>
      </c>
      <c r="LR401" s="626" t="s">
        <v>4918</v>
      </c>
      <c r="LS401" s="626" t="s">
        <v>4919</v>
      </c>
      <c r="LT401" s="626" t="s">
        <v>4920</v>
      </c>
      <c r="LU401" s="626" t="s">
        <v>4921</v>
      </c>
      <c r="LV401" s="626" t="s">
        <v>4922</v>
      </c>
      <c r="LW401" s="626" t="s">
        <v>4923</v>
      </c>
      <c r="LX401" s="626" t="s">
        <v>4924</v>
      </c>
      <c r="LY401" s="626" t="s">
        <v>4925</v>
      </c>
      <c r="LZ401" s="626" t="s">
        <v>4926</v>
      </c>
      <c r="MA401" s="626" t="s">
        <v>4927</v>
      </c>
      <c r="MB401" s="626" t="s">
        <v>4928</v>
      </c>
      <c r="MC401" s="626" t="s">
        <v>4929</v>
      </c>
      <c r="MD401" s="626" t="s">
        <v>4930</v>
      </c>
      <c r="ME401" s="626" t="s">
        <v>4931</v>
      </c>
      <c r="MF401" s="626" t="s">
        <v>4932</v>
      </c>
      <c r="MG401" s="626" t="s">
        <v>4933</v>
      </c>
      <c r="MH401" s="626" t="s">
        <v>4934</v>
      </c>
      <c r="MI401" s="626" t="s">
        <v>4935</v>
      </c>
      <c r="MJ401" s="626" t="s">
        <v>4936</v>
      </c>
      <c r="MK401" s="626" t="s">
        <v>4937</v>
      </c>
      <c r="ML401" s="626" t="s">
        <v>4938</v>
      </c>
      <c r="MM401" s="626" t="s">
        <v>4939</v>
      </c>
      <c r="MN401" s="626" t="s">
        <v>4940</v>
      </c>
      <c r="MO401" s="626" t="s">
        <v>4941</v>
      </c>
      <c r="MP401" s="626" t="s">
        <v>4942</v>
      </c>
      <c r="MQ401" s="626" t="s">
        <v>4943</v>
      </c>
      <c r="MR401" s="626" t="s">
        <v>4944</v>
      </c>
      <c r="MS401" s="626" t="s">
        <v>4945</v>
      </c>
      <c r="MT401" s="626" t="s">
        <v>4946</v>
      </c>
      <c r="MU401" s="626" t="s">
        <v>4947</v>
      </c>
      <c r="MV401" s="626" t="s">
        <v>4948</v>
      </c>
      <c r="MW401" s="626" t="s">
        <v>4949</v>
      </c>
      <c r="MX401" s="626" t="s">
        <v>4950</v>
      </c>
      <c r="MY401" s="626" t="s">
        <v>4951</v>
      </c>
      <c r="MZ401" s="626" t="s">
        <v>4952</v>
      </c>
      <c r="NA401" s="626" t="s">
        <v>4953</v>
      </c>
      <c r="NB401" s="626" t="s">
        <v>4954</v>
      </c>
      <c r="NC401" s="626" t="s">
        <v>4955</v>
      </c>
      <c r="ND401" s="626" t="s">
        <v>4956</v>
      </c>
      <c r="NE401" s="626" t="s">
        <v>4957</v>
      </c>
      <c r="NF401" s="626" t="s">
        <v>4958</v>
      </c>
      <c r="NG401" s="626" t="s">
        <v>4959</v>
      </c>
      <c r="NH401" s="626" t="s">
        <v>4960</v>
      </c>
      <c r="NI401" s="626" t="s">
        <v>4961</v>
      </c>
      <c r="NJ401" s="626" t="s">
        <v>4962</v>
      </c>
      <c r="NK401" s="626" t="s">
        <v>4963</v>
      </c>
      <c r="NL401" s="626" t="s">
        <v>4964</v>
      </c>
      <c r="NM401" s="626" t="s">
        <v>4965</v>
      </c>
      <c r="NN401" s="626" t="s">
        <v>4966</v>
      </c>
      <c r="NO401" s="626" t="s">
        <v>4967</v>
      </c>
      <c r="NP401" s="626" t="s">
        <v>4968</v>
      </c>
      <c r="NQ401" s="626" t="s">
        <v>4969</v>
      </c>
      <c r="NR401" s="626" t="s">
        <v>4970</v>
      </c>
      <c r="NS401" s="626" t="s">
        <v>4971</v>
      </c>
      <c r="NT401" s="626" t="s">
        <v>4972</v>
      </c>
      <c r="NU401" s="626" t="s">
        <v>4973</v>
      </c>
      <c r="NV401" s="626" t="s">
        <v>4974</v>
      </c>
      <c r="NW401" s="626" t="s">
        <v>4975</v>
      </c>
      <c r="NX401" s="626"/>
      <c r="NY401" s="627" t="s">
        <v>918</v>
      </c>
      <c r="NZ401" s="627" t="s">
        <v>1476</v>
      </c>
      <c r="OA401" s="627" t="s">
        <v>600</v>
      </c>
      <c r="OB401" s="627" t="s">
        <v>1199</v>
      </c>
      <c r="OC401" s="627" t="s">
        <v>1147</v>
      </c>
      <c r="OD401" s="626"/>
      <c r="OE401" s="627" t="s">
        <v>662</v>
      </c>
      <c r="OF401" s="627" t="s">
        <v>4976</v>
      </c>
      <c r="OG401" s="627" t="s">
        <v>4977</v>
      </c>
      <c r="OH401" s="626"/>
    </row>
    <row r="402" ht="12.75" customHeight="1">
      <c r="A402" s="30" t="s">
        <v>408</v>
      </c>
      <c r="B402" s="30" t="s">
        <v>5015</v>
      </c>
      <c r="C402" s="633">
        <v>2.1466725</v>
      </c>
      <c r="D402" s="633">
        <v>0.94170206</v>
      </c>
      <c r="E402" s="633">
        <v>4.9089096</v>
      </c>
      <c r="F402" s="633">
        <v>4.6142124</v>
      </c>
      <c r="G402" s="633">
        <v>0.4175964</v>
      </c>
      <c r="H402" s="633">
        <v>0.39661941</v>
      </c>
      <c r="I402" s="633">
        <v>0.74895589</v>
      </c>
      <c r="J402" s="633">
        <v>48.386289</v>
      </c>
      <c r="K402" s="633">
        <v>2.9225034</v>
      </c>
      <c r="L402" s="633">
        <v>56.292047</v>
      </c>
      <c r="M402" s="633">
        <v>35.768563</v>
      </c>
      <c r="N402" s="633">
        <v>5.7149044</v>
      </c>
      <c r="O402" s="633">
        <v>2.9408624</v>
      </c>
      <c r="P402" s="633">
        <v>5.6162051</v>
      </c>
      <c r="Q402" s="633">
        <v>0.076944926</v>
      </c>
      <c r="R402" s="633">
        <v>0.40760969</v>
      </c>
      <c r="S402" s="633">
        <v>0.22195608</v>
      </c>
      <c r="T402" s="633">
        <v>3.6521641E-4</v>
      </c>
      <c r="U402" s="633">
        <v>0.0070754678</v>
      </c>
      <c r="V402" s="633">
        <v>0.0</v>
      </c>
      <c r="W402" s="633">
        <v>0.76757622</v>
      </c>
      <c r="X402" s="633">
        <v>1.1972039</v>
      </c>
      <c r="Y402" s="633">
        <v>1.1657386</v>
      </c>
      <c r="Z402" s="633">
        <v>0.74036466</v>
      </c>
      <c r="AA402" s="633">
        <v>0.28785986</v>
      </c>
      <c r="AB402" s="633">
        <v>0.27678833</v>
      </c>
      <c r="AC402" s="633">
        <v>0.016289922</v>
      </c>
      <c r="AD402" s="633">
        <v>0.089995507</v>
      </c>
      <c r="AE402" s="633">
        <v>184.15916</v>
      </c>
      <c r="AF402" s="633">
        <v>254.11976</v>
      </c>
      <c r="AG402" s="633">
        <v>176.6858</v>
      </c>
      <c r="AH402" s="633">
        <v>0.45282435</v>
      </c>
      <c r="AI402" s="633">
        <v>0.69150704</v>
      </c>
      <c r="AJ402" s="633">
        <v>1.1725431</v>
      </c>
      <c r="AK402" s="633">
        <v>0.60668458</v>
      </c>
      <c r="AL402" s="633">
        <v>0.39079702</v>
      </c>
      <c r="AM402" s="633">
        <v>0.65532385</v>
      </c>
      <c r="AN402" s="633">
        <v>0.42363849</v>
      </c>
      <c r="AO402" s="633">
        <v>0.7010279</v>
      </c>
      <c r="AP402" s="633">
        <v>0.46637289</v>
      </c>
      <c r="AQ402" s="633">
        <v>0.6851803</v>
      </c>
      <c r="AR402" s="633">
        <v>0.44726956</v>
      </c>
      <c r="AS402" s="633">
        <v>0.73023305</v>
      </c>
      <c r="AT402" s="633">
        <v>0.55041429</v>
      </c>
      <c r="AU402" s="633">
        <v>0.87958728</v>
      </c>
      <c r="AV402" s="633">
        <v>478.46389</v>
      </c>
      <c r="AW402" s="633">
        <v>738.0605</v>
      </c>
      <c r="AX402" s="633">
        <v>777.97268</v>
      </c>
      <c r="AY402" s="633">
        <v>2.7077296</v>
      </c>
      <c r="AZ402" s="633">
        <v>0.24873411</v>
      </c>
      <c r="BA402" s="633">
        <v>1.5127708</v>
      </c>
      <c r="BB402" s="633">
        <v>0.11964981</v>
      </c>
      <c r="BC402" s="633">
        <v>0.14760205</v>
      </c>
      <c r="BD402" s="633">
        <v>0.1625799</v>
      </c>
      <c r="BE402" s="633">
        <v>0.21624393</v>
      </c>
      <c r="BF402" s="633">
        <v>0.11559318</v>
      </c>
      <c r="BG402" s="633">
        <v>0.23811917</v>
      </c>
      <c r="BH402" s="633">
        <v>0.26013695</v>
      </c>
      <c r="BI402" s="633">
        <v>0.76762429</v>
      </c>
      <c r="BJ402" s="633">
        <v>3.7599562</v>
      </c>
      <c r="BK402" s="633">
        <v>5.4521233</v>
      </c>
      <c r="BL402" s="633">
        <v>2.2350131</v>
      </c>
      <c r="BM402" s="633">
        <v>3.9271802</v>
      </c>
      <c r="BN402" s="633">
        <v>163.13711</v>
      </c>
      <c r="BO402" s="633">
        <v>0.018195081</v>
      </c>
      <c r="BP402" s="633">
        <v>0.12054061</v>
      </c>
      <c r="BQ402" s="633">
        <v>204.36673</v>
      </c>
      <c r="BR402" s="633">
        <v>226.4382</v>
      </c>
      <c r="BS402" s="633">
        <v>247.89362</v>
      </c>
      <c r="BT402" s="633">
        <v>371.97068</v>
      </c>
      <c r="BU402" s="633">
        <v>158.9432</v>
      </c>
      <c r="BV402" s="633">
        <v>238.60794</v>
      </c>
      <c r="BW402" s="633">
        <v>0.20780449</v>
      </c>
      <c r="BX402" s="633">
        <v>132.12638</v>
      </c>
      <c r="BY402" s="633">
        <v>2.1859056</v>
      </c>
      <c r="BZ402" s="633">
        <v>1.1225084</v>
      </c>
      <c r="CA402" s="633">
        <v>0.0065641174</v>
      </c>
      <c r="CB402" s="633">
        <v>0.0042067123</v>
      </c>
      <c r="CC402" s="633">
        <v>0.004915462</v>
      </c>
      <c r="CD402" s="633">
        <v>0.0057092779</v>
      </c>
      <c r="CE402" s="633">
        <v>381.58941</v>
      </c>
      <c r="CF402" s="633">
        <v>727.61785</v>
      </c>
      <c r="CG402" s="633">
        <v>72.235876</v>
      </c>
      <c r="CH402" s="633">
        <v>91.323155</v>
      </c>
      <c r="CI402" s="633">
        <v>0.30253234</v>
      </c>
      <c r="CJ402" s="633">
        <v>1.1084143</v>
      </c>
      <c r="CK402" s="633">
        <v>8.5777229</v>
      </c>
      <c r="CL402" s="633">
        <v>0.0097813583</v>
      </c>
      <c r="CM402" s="633">
        <v>0.018407444</v>
      </c>
      <c r="CN402" s="633">
        <v>7.9020996</v>
      </c>
      <c r="CO402" s="633">
        <v>11.586485</v>
      </c>
      <c r="CP402" s="633">
        <v>6.8418848</v>
      </c>
      <c r="CQ402" s="633">
        <v>33.12711</v>
      </c>
      <c r="CR402" s="633">
        <v>50.155792</v>
      </c>
      <c r="CS402" s="633">
        <v>50.155792</v>
      </c>
      <c r="CT402" s="633">
        <v>0.0090278768</v>
      </c>
      <c r="CU402" s="633">
        <v>2.3717008</v>
      </c>
      <c r="CV402" s="633">
        <v>0.013397673</v>
      </c>
      <c r="CW402" s="633">
        <v>0.017275816</v>
      </c>
      <c r="CX402" s="633">
        <v>11.565766</v>
      </c>
      <c r="CY402" s="633">
        <v>7.7310154</v>
      </c>
      <c r="CZ402" s="633">
        <v>3.267527</v>
      </c>
      <c r="DA402" s="633">
        <v>5.622193</v>
      </c>
      <c r="DB402" s="633">
        <v>0.22135311</v>
      </c>
      <c r="DC402" s="633">
        <v>0.0099904323</v>
      </c>
      <c r="DD402" s="633">
        <v>3.8773773</v>
      </c>
      <c r="DE402" s="633">
        <v>7.1643033</v>
      </c>
      <c r="DF402" s="633">
        <v>2.9802797</v>
      </c>
      <c r="DG402" s="633">
        <v>3.8773773</v>
      </c>
      <c r="DH402" s="633">
        <v>7.1643033</v>
      </c>
      <c r="DI402" s="633">
        <v>5.2474829</v>
      </c>
      <c r="DJ402" s="633">
        <v>6.1635333</v>
      </c>
      <c r="DK402" s="633">
        <v>6.1635333</v>
      </c>
      <c r="DL402" s="633">
        <v>9.4504593</v>
      </c>
      <c r="DM402" s="633">
        <v>6.1635333</v>
      </c>
      <c r="DN402" s="633">
        <v>9.4504593</v>
      </c>
      <c r="DO402" s="633">
        <v>0.0099904324</v>
      </c>
      <c r="DP402" s="633">
        <v>2.3970914</v>
      </c>
      <c r="DQ402" s="633">
        <v>2.5767292</v>
      </c>
      <c r="DR402" s="633">
        <v>3.0320622</v>
      </c>
      <c r="DS402" s="633">
        <v>3.1865092</v>
      </c>
      <c r="DT402" s="633">
        <v>2.7228718</v>
      </c>
      <c r="DU402" s="633">
        <v>2.0389265</v>
      </c>
      <c r="DV402" s="633">
        <v>21.352782</v>
      </c>
      <c r="DW402" s="633">
        <v>36.076615</v>
      </c>
      <c r="DX402" s="633">
        <v>57.234035</v>
      </c>
      <c r="DY402" s="633">
        <v>25.711382</v>
      </c>
      <c r="DZ402" s="633">
        <v>19.615741</v>
      </c>
      <c r="EA402" s="633">
        <v>0.0070754678</v>
      </c>
      <c r="EB402" s="633">
        <v>0.0096109348</v>
      </c>
      <c r="EC402" s="633">
        <v>0.0091290001</v>
      </c>
      <c r="ED402" s="633">
        <v>13.47851</v>
      </c>
      <c r="EE402" s="633">
        <v>0.0088949313</v>
      </c>
      <c r="EF402" s="633">
        <v>0.0</v>
      </c>
      <c r="EG402" s="633">
        <v>0.0</v>
      </c>
      <c r="EH402" s="633">
        <v>0.0</v>
      </c>
      <c r="EI402" s="633">
        <v>0.010523224</v>
      </c>
      <c r="EJ402" s="633">
        <v>0.0088696993</v>
      </c>
      <c r="EK402" s="633">
        <v>17.112655</v>
      </c>
      <c r="EL402" s="633">
        <v>0.0</v>
      </c>
      <c r="EM402" s="633">
        <v>0.0</v>
      </c>
      <c r="EN402" s="633">
        <v>0.0</v>
      </c>
      <c r="EO402" s="633">
        <v>0.0</v>
      </c>
      <c r="EP402" s="633">
        <v>25.16807</v>
      </c>
      <c r="EQ402" s="633">
        <v>49.634566</v>
      </c>
      <c r="ER402" s="633">
        <v>0.0</v>
      </c>
      <c r="ES402" s="633">
        <v>0.0</v>
      </c>
      <c r="ET402" s="633">
        <v>1.4783599</v>
      </c>
      <c r="EU402" s="633">
        <v>0.12648781</v>
      </c>
      <c r="EV402" s="633">
        <v>0.12648781</v>
      </c>
      <c r="EW402" s="633">
        <v>0.041421325</v>
      </c>
      <c r="EX402" s="633">
        <v>0.46203716</v>
      </c>
      <c r="EY402" s="633">
        <v>6.0918701</v>
      </c>
      <c r="EZ402" s="633">
        <v>5.1927343</v>
      </c>
      <c r="FA402" s="633">
        <v>1.1558568</v>
      </c>
      <c r="FB402" s="633">
        <v>1.6630028</v>
      </c>
      <c r="FC402" s="633">
        <v>0.58450385</v>
      </c>
      <c r="FD402" s="633">
        <v>2.8211205</v>
      </c>
      <c r="FE402" s="633">
        <v>12.61057</v>
      </c>
      <c r="FF402" s="633">
        <v>0.085011586</v>
      </c>
      <c r="FG402" s="633">
        <v>0.10726474</v>
      </c>
      <c r="FH402" s="633">
        <v>0.088110607</v>
      </c>
      <c r="FI402" s="633">
        <v>0.047844739</v>
      </c>
      <c r="FJ402" s="633">
        <v>4.7789512</v>
      </c>
      <c r="FK402" s="633">
        <v>3.6829098</v>
      </c>
      <c r="FL402" s="633">
        <v>0.076966182</v>
      </c>
      <c r="FM402" s="633">
        <v>0.056435233</v>
      </c>
      <c r="FN402" s="633">
        <v>5.1032953</v>
      </c>
      <c r="FO402" s="633">
        <v>5.2440832</v>
      </c>
      <c r="FP402" s="633">
        <v>0.13493274</v>
      </c>
      <c r="FQ402" s="633">
        <v>4.4091231</v>
      </c>
      <c r="FR402" s="633">
        <v>0.16394566</v>
      </c>
      <c r="FS402" s="633">
        <v>4.7584645</v>
      </c>
      <c r="FT402" s="633">
        <v>0.12073706</v>
      </c>
      <c r="FU402" s="633">
        <v>0.7668812</v>
      </c>
      <c r="FV402" s="633">
        <v>0.092613114</v>
      </c>
      <c r="FW402" s="633">
        <v>0.0091290003</v>
      </c>
      <c r="FX402" s="633">
        <v>0.091778209</v>
      </c>
      <c r="FY402" s="633">
        <v>0.0091290003</v>
      </c>
      <c r="FZ402" s="633">
        <v>11.113339</v>
      </c>
      <c r="GA402" s="633">
        <v>4.2443949</v>
      </c>
      <c r="GB402" s="633">
        <v>16.93612</v>
      </c>
      <c r="GC402" s="633">
        <v>1.5680839</v>
      </c>
      <c r="GD402" s="633">
        <v>2.5080074</v>
      </c>
      <c r="GE402" s="633">
        <v>0.74479984</v>
      </c>
      <c r="GF402" s="633">
        <v>0.237484</v>
      </c>
      <c r="GG402" s="633">
        <v>29.631805</v>
      </c>
      <c r="GH402" s="633">
        <v>118.67877</v>
      </c>
      <c r="GI402" s="633">
        <v>71.795782</v>
      </c>
      <c r="GJ402" s="633">
        <v>0.0047299083</v>
      </c>
      <c r="GK402" s="633">
        <v>0.040549151</v>
      </c>
      <c r="GL402" s="633">
        <v>0.12697036</v>
      </c>
      <c r="GM402" s="633">
        <v>0.12697036</v>
      </c>
      <c r="GN402" s="633">
        <v>0.0091290002</v>
      </c>
      <c r="GO402" s="633">
        <v>0.0048778373</v>
      </c>
      <c r="GP402" s="633">
        <v>0.11067656</v>
      </c>
      <c r="GQ402" s="633">
        <v>0.0</v>
      </c>
      <c r="GR402" s="633">
        <v>0.0</v>
      </c>
      <c r="GS402" s="633">
        <v>0.1314576</v>
      </c>
      <c r="GT402" s="633">
        <v>0.057428256</v>
      </c>
      <c r="GU402" s="633">
        <v>0.40804606</v>
      </c>
      <c r="GV402" s="633">
        <v>3.1587944</v>
      </c>
      <c r="GW402" s="633">
        <v>0.0086828929</v>
      </c>
      <c r="GX402" s="633">
        <v>0.011225169</v>
      </c>
      <c r="GY402" s="633">
        <v>0.010105702</v>
      </c>
      <c r="GZ402" s="633">
        <v>0.0092636374</v>
      </c>
      <c r="HA402" s="633">
        <v>0.0</v>
      </c>
      <c r="HB402" s="633">
        <v>0.0</v>
      </c>
      <c r="HC402" s="633">
        <v>0.0</v>
      </c>
      <c r="HD402" s="633">
        <v>4.5686186</v>
      </c>
      <c r="HE402" s="633">
        <v>6.3884397</v>
      </c>
      <c r="HF402" s="633">
        <v>0.0092636374</v>
      </c>
      <c r="HG402" s="633">
        <v>0.010105702</v>
      </c>
      <c r="HH402" s="633">
        <v>7.278809</v>
      </c>
      <c r="HI402" s="633">
        <v>0.0</v>
      </c>
      <c r="HJ402" s="633">
        <v>0.11067656</v>
      </c>
      <c r="HK402" s="633">
        <v>7.6833308</v>
      </c>
      <c r="HL402" s="633">
        <v>57.402592</v>
      </c>
      <c r="HM402" s="633">
        <v>35.316118</v>
      </c>
      <c r="HN402" s="633">
        <v>74.309435</v>
      </c>
      <c r="HO402" s="633">
        <v>92.078429</v>
      </c>
      <c r="HP402" s="633">
        <v>63.534921</v>
      </c>
      <c r="HQ402" s="633">
        <v>8.1087442</v>
      </c>
      <c r="HR402" s="633">
        <v>1.0040311</v>
      </c>
      <c r="HS402" s="633">
        <v>0.42798229</v>
      </c>
      <c r="HT402" s="633">
        <v>0.66873327</v>
      </c>
      <c r="HU402" s="633">
        <v>1.0776384</v>
      </c>
      <c r="HV402" s="633">
        <v>0.71689671</v>
      </c>
      <c r="HW402" s="633">
        <v>56.54775</v>
      </c>
      <c r="HX402" s="633">
        <v>1.0351005</v>
      </c>
      <c r="HY402" s="633">
        <v>0.62372227</v>
      </c>
      <c r="HZ402" s="633">
        <v>2.9544969</v>
      </c>
      <c r="IA402" s="633">
        <v>1.0928853</v>
      </c>
      <c r="IB402" s="633">
        <v>1.1549973</v>
      </c>
      <c r="IC402" s="633">
        <v>11.124205</v>
      </c>
      <c r="ID402" s="633">
        <v>10.021396</v>
      </c>
      <c r="IE402" s="633">
        <v>3.2563164</v>
      </c>
      <c r="IF402" s="633">
        <v>1.9715006</v>
      </c>
      <c r="IG402" s="633">
        <v>8.0201574</v>
      </c>
      <c r="IH402" s="633">
        <v>4.762283</v>
      </c>
      <c r="II402" s="633">
        <v>14.907754</v>
      </c>
      <c r="IJ402" s="633">
        <v>16.810183</v>
      </c>
      <c r="IK402" s="633">
        <v>16.705233</v>
      </c>
      <c r="IL402" s="633">
        <v>8.3780802</v>
      </c>
      <c r="IM402" s="633">
        <v>5.8973655</v>
      </c>
      <c r="IN402" s="633">
        <v>3.380702</v>
      </c>
      <c r="IO402" s="633">
        <v>10.91153</v>
      </c>
      <c r="IP402" s="633">
        <v>5.9666527</v>
      </c>
      <c r="IQ402" s="633">
        <v>8.1612374</v>
      </c>
      <c r="IR402" s="633">
        <v>7.4510571</v>
      </c>
      <c r="IS402" s="633">
        <v>5.8582508</v>
      </c>
      <c r="IT402" s="633">
        <v>8.1235416</v>
      </c>
      <c r="IU402" s="633">
        <v>17.649465</v>
      </c>
      <c r="IV402" s="633">
        <v>10.451979</v>
      </c>
      <c r="IW402" s="633">
        <v>12.662016</v>
      </c>
      <c r="IX402" s="633">
        <v>1.164223</v>
      </c>
      <c r="IY402" s="633">
        <v>16.481736</v>
      </c>
      <c r="IZ402" s="633">
        <v>8.8875784</v>
      </c>
      <c r="JA402" s="633">
        <v>0.71421855</v>
      </c>
      <c r="JB402" s="633">
        <v>1.1168</v>
      </c>
      <c r="JC402" s="633">
        <v>47.206705</v>
      </c>
      <c r="JD402" s="633">
        <v>78.418187</v>
      </c>
      <c r="JE402" s="633">
        <v>44.882819</v>
      </c>
      <c r="JF402" s="633">
        <v>39.841028</v>
      </c>
      <c r="JG402" s="633">
        <v>71.083362</v>
      </c>
      <c r="JH402" s="633">
        <v>72.084642</v>
      </c>
      <c r="JI402" s="633">
        <v>75.388865</v>
      </c>
      <c r="JJ402" s="633">
        <v>100.14342</v>
      </c>
      <c r="JK402" s="633">
        <v>60.67394</v>
      </c>
      <c r="JL402" s="633">
        <v>91.951461</v>
      </c>
      <c r="JM402" s="633">
        <v>82.729041</v>
      </c>
      <c r="JN402" s="633">
        <v>0.32564801</v>
      </c>
      <c r="JO402" s="633">
        <v>0.27576932</v>
      </c>
      <c r="JP402" s="633">
        <v>0.36457904</v>
      </c>
      <c r="JQ402" s="633">
        <v>0.31470035</v>
      </c>
      <c r="JR402" s="633">
        <v>0.0045029701</v>
      </c>
      <c r="JS402" s="633">
        <v>0.0027745079</v>
      </c>
      <c r="JT402" s="633">
        <v>25.031676</v>
      </c>
      <c r="JU402" s="633">
        <v>5.2742886</v>
      </c>
      <c r="JV402" s="633">
        <v>0.14547294</v>
      </c>
      <c r="JW402" s="633">
        <v>2.8388521</v>
      </c>
      <c r="JX402" s="633">
        <v>0.13828682</v>
      </c>
      <c r="JY402" s="633">
        <v>62.313785</v>
      </c>
      <c r="JZ402" s="633">
        <v>33.360165</v>
      </c>
      <c r="KA402" s="633">
        <v>40.20687</v>
      </c>
      <c r="KB402" s="633">
        <v>77.05837</v>
      </c>
      <c r="KC402" s="633">
        <v>322.68643</v>
      </c>
      <c r="KD402" s="633">
        <v>48.637104</v>
      </c>
      <c r="KE402" s="633">
        <v>21.380368</v>
      </c>
      <c r="KF402" s="633">
        <v>35.556488</v>
      </c>
      <c r="KG402" s="633">
        <v>11.707936</v>
      </c>
      <c r="KH402" s="633">
        <v>2217.4437</v>
      </c>
      <c r="KI402" s="633">
        <v>578.15322</v>
      </c>
      <c r="KJ402" s="633">
        <v>408.81689</v>
      </c>
      <c r="KK402" s="633">
        <v>1.649775</v>
      </c>
      <c r="KL402" s="633">
        <v>1.0390762</v>
      </c>
      <c r="KM402" s="633">
        <v>108.1832</v>
      </c>
      <c r="KN402" s="633">
        <v>0.16054811</v>
      </c>
      <c r="KO402" s="633">
        <v>0.40698344</v>
      </c>
      <c r="KP402" s="633">
        <v>0.21365235</v>
      </c>
      <c r="KQ402" s="633">
        <v>0.35736205</v>
      </c>
      <c r="KR402" s="633">
        <v>0.46036682</v>
      </c>
      <c r="KS402" s="633">
        <v>0.20405584</v>
      </c>
      <c r="KT402" s="633">
        <v>0.91017822</v>
      </c>
      <c r="KU402" s="633">
        <v>2.0509263</v>
      </c>
      <c r="KV402" s="633">
        <v>0.31744008</v>
      </c>
      <c r="KW402" s="633">
        <v>0.28578705</v>
      </c>
      <c r="KX402" s="633">
        <v>0.39079892</v>
      </c>
      <c r="KY402" s="633">
        <v>0.43324313</v>
      </c>
      <c r="KZ402" s="633">
        <v>0.36799034</v>
      </c>
      <c r="LA402" s="633">
        <v>0.44936407</v>
      </c>
      <c r="LB402" s="633">
        <v>0.48707985</v>
      </c>
      <c r="LC402" s="633">
        <v>2.7574849</v>
      </c>
      <c r="LD402" s="633">
        <v>0.71844213</v>
      </c>
      <c r="LE402" s="633">
        <v>0.5187867</v>
      </c>
      <c r="LF402" s="633">
        <v>4.1867471</v>
      </c>
      <c r="LG402" s="633">
        <v>1.0555626</v>
      </c>
      <c r="LH402" s="633">
        <v>1.3460102</v>
      </c>
      <c r="LI402" s="633">
        <v>8.4871677</v>
      </c>
      <c r="LJ402" s="633">
        <v>2.3786723</v>
      </c>
      <c r="LK402" s="633">
        <v>8.6784687</v>
      </c>
      <c r="LL402" s="633">
        <v>2.4009474</v>
      </c>
      <c r="LM402" s="633">
        <v>4.458219</v>
      </c>
      <c r="LN402" s="633">
        <v>11.282453</v>
      </c>
      <c r="LO402" s="633">
        <v>3.6445154</v>
      </c>
      <c r="LP402" s="633">
        <v>1.5131143</v>
      </c>
      <c r="LQ402" s="633">
        <v>4.7987188</v>
      </c>
      <c r="LR402" s="633">
        <v>2.3818568</v>
      </c>
      <c r="LS402" s="633">
        <v>3.7194905</v>
      </c>
      <c r="LT402" s="633">
        <v>4.5009199</v>
      </c>
      <c r="LU402" s="633">
        <v>707.51638</v>
      </c>
      <c r="LV402" s="633">
        <v>405.50975</v>
      </c>
      <c r="LW402" s="633">
        <v>28.634343</v>
      </c>
      <c r="LX402" s="633">
        <v>30.562838</v>
      </c>
      <c r="LY402" s="633">
        <v>0.22542173</v>
      </c>
      <c r="LZ402" s="633">
        <v>0.68173164</v>
      </c>
      <c r="MA402" s="633">
        <v>6.050102</v>
      </c>
      <c r="MB402" s="633">
        <v>7.9549382</v>
      </c>
      <c r="MC402" s="633">
        <v>1.1215866</v>
      </c>
      <c r="MD402" s="633">
        <v>1.0451661</v>
      </c>
      <c r="ME402" s="633">
        <v>0.73387942</v>
      </c>
      <c r="MF402" s="633">
        <v>71.478899</v>
      </c>
      <c r="MG402" s="633">
        <v>0.36622605</v>
      </c>
      <c r="MH402" s="633">
        <v>0.12911311</v>
      </c>
      <c r="MI402" s="633">
        <v>0.0027745079</v>
      </c>
      <c r="MJ402" s="633">
        <v>2.3128601</v>
      </c>
      <c r="MK402" s="633">
        <v>0.098972235</v>
      </c>
      <c r="ML402" s="633">
        <v>0.11552817</v>
      </c>
      <c r="MM402" s="633">
        <v>0.081355882</v>
      </c>
      <c r="MN402" s="633">
        <v>0.069107056</v>
      </c>
      <c r="MO402" s="633">
        <v>0.083918055</v>
      </c>
      <c r="MP402" s="633">
        <v>0.058431166</v>
      </c>
      <c r="MQ402" s="633">
        <v>0.13277395</v>
      </c>
      <c r="MR402" s="633">
        <v>0.11088452</v>
      </c>
      <c r="MS402" s="633">
        <v>0.091239634</v>
      </c>
      <c r="MT402" s="633">
        <v>0.11614714</v>
      </c>
      <c r="MU402" s="633">
        <v>0.097378973</v>
      </c>
      <c r="MV402" s="633">
        <v>0.077592317</v>
      </c>
      <c r="MW402" s="633">
        <v>0.58167221</v>
      </c>
      <c r="MX402" s="633">
        <v>181.37812</v>
      </c>
      <c r="MY402" s="633">
        <v>163.36345</v>
      </c>
      <c r="MZ402" s="633">
        <v>92.263089</v>
      </c>
      <c r="NA402" s="633">
        <v>0.96635688</v>
      </c>
      <c r="NB402" s="633">
        <v>1.1105362</v>
      </c>
      <c r="NC402" s="633">
        <v>2.709462</v>
      </c>
      <c r="ND402" s="633">
        <v>41.935853</v>
      </c>
      <c r="NE402" s="633">
        <v>30.73119</v>
      </c>
      <c r="NF402" s="633">
        <v>56.624637</v>
      </c>
      <c r="NG402" s="633">
        <v>108.82777</v>
      </c>
      <c r="NH402" s="633">
        <v>1.8345254</v>
      </c>
      <c r="NI402" s="633">
        <v>3.5119813</v>
      </c>
      <c r="NJ402" s="633">
        <v>6.4548202</v>
      </c>
      <c r="NK402" s="633">
        <v>2.7021476</v>
      </c>
      <c r="NL402" s="633">
        <v>0.75788656</v>
      </c>
      <c r="NM402" s="633">
        <v>0.41196452</v>
      </c>
      <c r="NN402" s="633">
        <v>4.0381217</v>
      </c>
      <c r="NO402" s="633">
        <v>16.042047</v>
      </c>
      <c r="NP402" s="633">
        <v>0.31929134</v>
      </c>
      <c r="NQ402" s="633">
        <v>181.81858</v>
      </c>
      <c r="NR402" s="633">
        <v>326.05531</v>
      </c>
      <c r="NS402" s="633">
        <v>228.07355</v>
      </c>
      <c r="NT402" s="633">
        <v>190.87986</v>
      </c>
      <c r="NU402" s="633">
        <v>108.66262</v>
      </c>
      <c r="NV402" s="633">
        <v>0.53667172</v>
      </c>
      <c r="NW402" s="633">
        <v>6.0091568</v>
      </c>
      <c r="NX402" s="633"/>
      <c r="NY402" s="633">
        <v>0.0</v>
      </c>
      <c r="NZ402" s="633">
        <v>1.57</v>
      </c>
      <c r="OA402" s="633">
        <v>0.0996</v>
      </c>
      <c r="OB402" s="633">
        <v>0.785</v>
      </c>
      <c r="OC402" s="633">
        <v>2.5185518340713404</v>
      </c>
      <c r="OD402" s="633"/>
      <c r="OE402" s="633">
        <f t="shared" ref="OE402:OE403" si="1">SUMPRODUCT(OF402:OG402,OF$406:OG$406)</f>
        <v>148.3060705</v>
      </c>
      <c r="OF402" s="633">
        <v>43.44491159684367</v>
      </c>
      <c r="OG402" s="633">
        <v>165.08385591640092</v>
      </c>
      <c r="OH402" s="30"/>
    </row>
    <row r="403" ht="12.75" customHeight="1">
      <c r="A403" s="25" t="s">
        <v>5016</v>
      </c>
      <c r="B403" s="25" t="s">
        <v>5015</v>
      </c>
      <c r="C403" s="632">
        <v>2.1466754</v>
      </c>
      <c r="D403" s="632">
        <v>0.94170315</v>
      </c>
      <c r="E403" s="632">
        <v>4.9089113</v>
      </c>
      <c r="F403" s="632">
        <v>4.6142135</v>
      </c>
      <c r="G403" s="632">
        <v>0.4175967</v>
      </c>
      <c r="H403" s="632">
        <v>0.39661972</v>
      </c>
      <c r="I403" s="632">
        <v>0.74895715</v>
      </c>
      <c r="J403" s="632">
        <v>48.386294</v>
      </c>
      <c r="K403" s="632">
        <v>2.9225072</v>
      </c>
      <c r="L403" s="632">
        <v>56.29206</v>
      </c>
      <c r="M403" s="632">
        <v>35.768576</v>
      </c>
      <c r="N403" s="632">
        <v>5.7149049</v>
      </c>
      <c r="O403" s="632">
        <v>2.9408628</v>
      </c>
      <c r="P403" s="632">
        <v>5.6162056</v>
      </c>
      <c r="Q403" s="632">
        <v>0.076944987</v>
      </c>
      <c r="R403" s="632">
        <v>0.40760974</v>
      </c>
      <c r="S403" s="632">
        <v>0.22195609</v>
      </c>
      <c r="T403" s="632">
        <v>3.6521751E-4</v>
      </c>
      <c r="U403" s="632">
        <v>0.0070754896</v>
      </c>
      <c r="V403" s="632">
        <v>0.0</v>
      </c>
      <c r="W403" s="632">
        <v>0.76757657</v>
      </c>
      <c r="X403" s="632">
        <v>1.1972046</v>
      </c>
      <c r="Y403" s="632">
        <v>1.1657393</v>
      </c>
      <c r="Z403" s="632">
        <v>0.74036499</v>
      </c>
      <c r="AA403" s="632">
        <v>0.28785996</v>
      </c>
      <c r="AB403" s="632">
        <v>0.27678842</v>
      </c>
      <c r="AC403" s="632">
        <v>0.016289927</v>
      </c>
      <c r="AD403" s="632">
        <v>0.08999563</v>
      </c>
      <c r="AE403" s="632">
        <v>184.15923</v>
      </c>
      <c r="AF403" s="632">
        <v>254.11986</v>
      </c>
      <c r="AG403" s="632">
        <v>176.68586</v>
      </c>
      <c r="AH403" s="632">
        <v>0.45282464</v>
      </c>
      <c r="AI403" s="632">
        <v>0.69150721</v>
      </c>
      <c r="AJ403" s="632">
        <v>1.1725443</v>
      </c>
      <c r="AK403" s="632">
        <v>0.60668519</v>
      </c>
      <c r="AL403" s="632">
        <v>0.39079757</v>
      </c>
      <c r="AM403" s="632">
        <v>0.65532449</v>
      </c>
      <c r="AN403" s="632">
        <v>0.42363907</v>
      </c>
      <c r="AO403" s="632">
        <v>0.70102856</v>
      </c>
      <c r="AP403" s="632">
        <v>0.46637348</v>
      </c>
      <c r="AQ403" s="632">
        <v>0.68518096</v>
      </c>
      <c r="AR403" s="632">
        <v>0.44727015</v>
      </c>
      <c r="AS403" s="632">
        <v>0.73023371</v>
      </c>
      <c r="AT403" s="632">
        <v>0.55041489</v>
      </c>
      <c r="AU403" s="632">
        <v>0.87958856</v>
      </c>
      <c r="AV403" s="632">
        <v>478.46411</v>
      </c>
      <c r="AW403" s="632">
        <v>738.06081</v>
      </c>
      <c r="AX403" s="632">
        <v>777.97301</v>
      </c>
      <c r="AY403" s="632">
        <v>2.7077304</v>
      </c>
      <c r="AZ403" s="632">
        <v>0.24873414</v>
      </c>
      <c r="BA403" s="632">
        <v>1.5127708</v>
      </c>
      <c r="BB403" s="632">
        <v>0.11964997</v>
      </c>
      <c r="BC403" s="632">
        <v>0.14760223</v>
      </c>
      <c r="BD403" s="632">
        <v>0.16258049</v>
      </c>
      <c r="BE403" s="632">
        <v>0.21624488</v>
      </c>
      <c r="BF403" s="632">
        <v>0.11559324</v>
      </c>
      <c r="BG403" s="632">
        <v>0.23811946</v>
      </c>
      <c r="BH403" s="632">
        <v>0.26013723</v>
      </c>
      <c r="BI403" s="632">
        <v>0.76762447</v>
      </c>
      <c r="BJ403" s="632">
        <v>3.7599566</v>
      </c>
      <c r="BK403" s="632">
        <v>5.4521243</v>
      </c>
      <c r="BL403" s="632">
        <v>2.2350133</v>
      </c>
      <c r="BM403" s="632">
        <v>3.927181</v>
      </c>
      <c r="BN403" s="632">
        <v>163.14178</v>
      </c>
      <c r="BO403" s="632">
        <v>0.018195229</v>
      </c>
      <c r="BP403" s="632">
        <v>0.12054064</v>
      </c>
      <c r="BQ403" s="632">
        <v>204.36682</v>
      </c>
      <c r="BR403" s="632">
        <v>226.4383</v>
      </c>
      <c r="BS403" s="632">
        <v>247.89372</v>
      </c>
      <c r="BT403" s="632">
        <v>371.97087</v>
      </c>
      <c r="BU403" s="632">
        <v>158.94328</v>
      </c>
      <c r="BV403" s="632">
        <v>238.60806</v>
      </c>
      <c r="BW403" s="632">
        <v>0.20780456</v>
      </c>
      <c r="BX403" s="632">
        <v>132.14665</v>
      </c>
      <c r="BY403" s="632">
        <v>2.1859065</v>
      </c>
      <c r="BZ403" s="632">
        <v>1.1225092</v>
      </c>
      <c r="CA403" s="632">
        <v>0.006564122</v>
      </c>
      <c r="CB403" s="632">
        <v>0.0042067153</v>
      </c>
      <c r="CC403" s="632">
        <v>0.0049154654</v>
      </c>
      <c r="CD403" s="632">
        <v>0.0057092819</v>
      </c>
      <c r="CE403" s="632">
        <v>381.58961</v>
      </c>
      <c r="CF403" s="632">
        <v>727.61822</v>
      </c>
      <c r="CG403" s="632">
        <v>72.2359</v>
      </c>
      <c r="CH403" s="632">
        <v>91.323189</v>
      </c>
      <c r="CI403" s="632">
        <v>0.30253242</v>
      </c>
      <c r="CJ403" s="632">
        <v>1.1084145</v>
      </c>
      <c r="CK403" s="632">
        <v>8.5777231</v>
      </c>
      <c r="CL403" s="632">
        <v>0.0097813975</v>
      </c>
      <c r="CM403" s="632">
        <v>0.018407476</v>
      </c>
      <c r="CN403" s="632">
        <v>7.902121</v>
      </c>
      <c r="CO403" s="632">
        <v>11.586517</v>
      </c>
      <c r="CP403" s="632">
        <v>6.8419032</v>
      </c>
      <c r="CQ403" s="632">
        <v>33.1272</v>
      </c>
      <c r="CR403" s="632">
        <v>50.155927</v>
      </c>
      <c r="CS403" s="632">
        <v>50.155927</v>
      </c>
      <c r="CT403" s="632">
        <v>0.0090279076</v>
      </c>
      <c r="CU403" s="632">
        <v>2.3717009</v>
      </c>
      <c r="CV403" s="632">
        <v>0.013397717</v>
      </c>
      <c r="CW403" s="632">
        <v>0.017275862</v>
      </c>
      <c r="CX403" s="632">
        <v>11.565797</v>
      </c>
      <c r="CY403" s="632">
        <v>7.7310182</v>
      </c>
      <c r="CZ403" s="632">
        <v>3.2675355</v>
      </c>
      <c r="DA403" s="632">
        <v>5.6222008</v>
      </c>
      <c r="DB403" s="632">
        <v>0.22135314</v>
      </c>
      <c r="DC403" s="632">
        <v>0.0099904762</v>
      </c>
      <c r="DD403" s="632">
        <v>3.8773778</v>
      </c>
      <c r="DE403" s="632">
        <v>7.1643041</v>
      </c>
      <c r="DF403" s="632">
        <v>2.9802802</v>
      </c>
      <c r="DG403" s="632">
        <v>3.8773778</v>
      </c>
      <c r="DH403" s="632">
        <v>7.1643041</v>
      </c>
      <c r="DI403" s="632">
        <v>5.2474837</v>
      </c>
      <c r="DJ403" s="632">
        <v>6.163534</v>
      </c>
      <c r="DK403" s="632">
        <v>6.163534</v>
      </c>
      <c r="DL403" s="632">
        <v>9.4504604</v>
      </c>
      <c r="DM403" s="632">
        <v>6.1635341</v>
      </c>
      <c r="DN403" s="632">
        <v>9.4504604</v>
      </c>
      <c r="DO403" s="632">
        <v>0.0099904763</v>
      </c>
      <c r="DP403" s="632">
        <v>2.3970914</v>
      </c>
      <c r="DQ403" s="632">
        <v>2.5767292</v>
      </c>
      <c r="DR403" s="632">
        <v>3.0320623</v>
      </c>
      <c r="DS403" s="632">
        <v>3.1865092</v>
      </c>
      <c r="DT403" s="632">
        <v>2.7228718</v>
      </c>
      <c r="DU403" s="632">
        <v>2.0389268</v>
      </c>
      <c r="DV403" s="632">
        <v>21.352782</v>
      </c>
      <c r="DW403" s="632">
        <v>36.076616</v>
      </c>
      <c r="DX403" s="632">
        <v>57.234042</v>
      </c>
      <c r="DY403" s="632">
        <v>25.711388</v>
      </c>
      <c r="DZ403" s="632">
        <v>19.615748</v>
      </c>
      <c r="EA403" s="632">
        <v>0.0070754896</v>
      </c>
      <c r="EB403" s="632">
        <v>0.0096109655</v>
      </c>
      <c r="EC403" s="632">
        <v>0.0091290373</v>
      </c>
      <c r="ED403" s="632">
        <v>13.478511</v>
      </c>
      <c r="EE403" s="632">
        <v>0.0088949597</v>
      </c>
      <c r="EF403" s="632">
        <v>0.0</v>
      </c>
      <c r="EG403" s="632">
        <v>0.0</v>
      </c>
      <c r="EH403" s="632">
        <v>0.0</v>
      </c>
      <c r="EI403" s="632">
        <v>0.010523253</v>
      </c>
      <c r="EJ403" s="632">
        <v>0.0088697276</v>
      </c>
      <c r="EK403" s="632">
        <v>17.112655</v>
      </c>
      <c r="EL403" s="632">
        <v>0.0</v>
      </c>
      <c r="EM403" s="632">
        <v>0.0</v>
      </c>
      <c r="EN403" s="632">
        <v>0.0</v>
      </c>
      <c r="EO403" s="632">
        <v>0.0</v>
      </c>
      <c r="EP403" s="632">
        <v>25.168138</v>
      </c>
      <c r="EQ403" s="632">
        <v>49.634701</v>
      </c>
      <c r="ER403" s="632">
        <v>0.0</v>
      </c>
      <c r="ES403" s="632">
        <v>0.0</v>
      </c>
      <c r="ET403" s="632">
        <v>1.4783602</v>
      </c>
      <c r="EU403" s="632">
        <v>0.12648783</v>
      </c>
      <c r="EV403" s="632">
        <v>0.12648783</v>
      </c>
      <c r="EW403" s="632">
        <v>0.041421346</v>
      </c>
      <c r="EX403" s="632">
        <v>0.46203719</v>
      </c>
      <c r="EY403" s="632">
        <v>6.0918703</v>
      </c>
      <c r="EZ403" s="632">
        <v>5.1927346</v>
      </c>
      <c r="FA403" s="632">
        <v>1.1558569</v>
      </c>
      <c r="FB403" s="632">
        <v>1.6630029</v>
      </c>
      <c r="FC403" s="632">
        <v>0.58450389</v>
      </c>
      <c r="FD403" s="632">
        <v>2.8211206</v>
      </c>
      <c r="FE403" s="632">
        <v>12.610571</v>
      </c>
      <c r="FF403" s="632">
        <v>0.085011851</v>
      </c>
      <c r="FG403" s="632">
        <v>0.10726508</v>
      </c>
      <c r="FH403" s="632">
        <v>0.088110655</v>
      </c>
      <c r="FI403" s="632">
        <v>0.047844765</v>
      </c>
      <c r="FJ403" s="632">
        <v>4.7789513</v>
      </c>
      <c r="FK403" s="632">
        <v>3.6829098</v>
      </c>
      <c r="FL403" s="632">
        <v>0.076966224</v>
      </c>
      <c r="FM403" s="632">
        <v>0.056435264</v>
      </c>
      <c r="FN403" s="632">
        <v>5.1032954</v>
      </c>
      <c r="FO403" s="632">
        <v>5.2440836</v>
      </c>
      <c r="FP403" s="632">
        <v>0.13493316</v>
      </c>
      <c r="FQ403" s="632">
        <v>4.4091232</v>
      </c>
      <c r="FR403" s="632">
        <v>0.16394617</v>
      </c>
      <c r="FS403" s="632">
        <v>4.7584647</v>
      </c>
      <c r="FT403" s="632">
        <v>0.12073707</v>
      </c>
      <c r="FU403" s="632">
        <v>0.76688432</v>
      </c>
      <c r="FV403" s="632">
        <v>0.09261349</v>
      </c>
      <c r="FW403" s="632">
        <v>0.0091290374</v>
      </c>
      <c r="FX403" s="632">
        <v>0.091778582</v>
      </c>
      <c r="FY403" s="632">
        <v>0.0091290374</v>
      </c>
      <c r="FZ403" s="632">
        <v>11.113339</v>
      </c>
      <c r="GA403" s="632">
        <v>4.2444003</v>
      </c>
      <c r="GB403" s="632">
        <v>16.936121</v>
      </c>
      <c r="GC403" s="632">
        <v>1.5680841</v>
      </c>
      <c r="GD403" s="632">
        <v>2.5080076</v>
      </c>
      <c r="GE403" s="632">
        <v>0.74480238</v>
      </c>
      <c r="GF403" s="632">
        <v>0.2374843</v>
      </c>
      <c r="GG403" s="632">
        <v>29.631806</v>
      </c>
      <c r="GH403" s="632">
        <v>118.67877</v>
      </c>
      <c r="GI403" s="632">
        <v>71.795788</v>
      </c>
      <c r="GJ403" s="632">
        <v>0.0047299364</v>
      </c>
      <c r="GK403" s="632">
        <v>0.040549173</v>
      </c>
      <c r="GL403" s="632">
        <v>0.12697038</v>
      </c>
      <c r="GM403" s="632">
        <v>0.12697038</v>
      </c>
      <c r="GN403" s="632">
        <v>0.0091290373</v>
      </c>
      <c r="GO403" s="632">
        <v>0.0048778654</v>
      </c>
      <c r="GP403" s="632">
        <v>0.11067657</v>
      </c>
      <c r="GQ403" s="632">
        <v>0.0</v>
      </c>
      <c r="GR403" s="632">
        <v>0.0</v>
      </c>
      <c r="GS403" s="632">
        <v>0.13145814</v>
      </c>
      <c r="GT403" s="632">
        <v>0.05742849</v>
      </c>
      <c r="GU403" s="632">
        <v>0.40804632</v>
      </c>
      <c r="GV403" s="632">
        <v>3.1587944</v>
      </c>
      <c r="GW403" s="632">
        <v>0.0086829226</v>
      </c>
      <c r="GX403" s="632">
        <v>0.011225204</v>
      </c>
      <c r="GY403" s="632">
        <v>0.010105715</v>
      </c>
      <c r="GZ403" s="632">
        <v>0.0092636493</v>
      </c>
      <c r="HA403" s="632">
        <v>0.0</v>
      </c>
      <c r="HB403" s="632">
        <v>0.0</v>
      </c>
      <c r="HC403" s="632">
        <v>0.0</v>
      </c>
      <c r="HD403" s="632">
        <v>4.5686187</v>
      </c>
      <c r="HE403" s="632">
        <v>6.3884402</v>
      </c>
      <c r="HF403" s="632">
        <v>0.0092636493</v>
      </c>
      <c r="HG403" s="632">
        <v>0.010105715</v>
      </c>
      <c r="HH403" s="632">
        <v>7.2788287</v>
      </c>
      <c r="HI403" s="632">
        <v>0.0</v>
      </c>
      <c r="HJ403" s="632">
        <v>0.11067657</v>
      </c>
      <c r="HK403" s="632">
        <v>7.6833309</v>
      </c>
      <c r="HL403" s="632">
        <v>57.404033</v>
      </c>
      <c r="HM403" s="632">
        <v>35.316156</v>
      </c>
      <c r="HN403" s="632">
        <v>74.309478</v>
      </c>
      <c r="HO403" s="632">
        <v>92.079875</v>
      </c>
      <c r="HP403" s="632">
        <v>63.534935</v>
      </c>
      <c r="HQ403" s="632">
        <v>8.108748</v>
      </c>
      <c r="HR403" s="632">
        <v>1.00404</v>
      </c>
      <c r="HS403" s="632">
        <v>0.42798232</v>
      </c>
      <c r="HT403" s="632">
        <v>0.66873375</v>
      </c>
      <c r="HU403" s="632">
        <v>1.0776388</v>
      </c>
      <c r="HV403" s="632">
        <v>0.71689728</v>
      </c>
      <c r="HW403" s="632">
        <v>56.547791</v>
      </c>
      <c r="HX403" s="632">
        <v>1.035101</v>
      </c>
      <c r="HY403" s="632">
        <v>0.62372258</v>
      </c>
      <c r="HZ403" s="632">
        <v>2.954498</v>
      </c>
      <c r="IA403" s="632">
        <v>1.0928857</v>
      </c>
      <c r="IB403" s="632">
        <v>1.1552086</v>
      </c>
      <c r="IC403" s="632">
        <v>11.124214</v>
      </c>
      <c r="ID403" s="632">
        <v>10.021401</v>
      </c>
      <c r="IE403" s="632">
        <v>3.2563194</v>
      </c>
      <c r="IF403" s="632">
        <v>1.971501</v>
      </c>
      <c r="IG403" s="632">
        <v>8.0201627</v>
      </c>
      <c r="IH403" s="632">
        <v>4.7622843</v>
      </c>
      <c r="II403" s="632">
        <v>14.907764</v>
      </c>
      <c r="IJ403" s="632">
        <v>16.8102</v>
      </c>
      <c r="IK403" s="632">
        <v>16.705253</v>
      </c>
      <c r="IL403" s="632">
        <v>8.3780882</v>
      </c>
      <c r="IM403" s="632">
        <v>5.8973675</v>
      </c>
      <c r="IN403" s="632">
        <v>3.3807123</v>
      </c>
      <c r="IO403" s="632">
        <v>10.911534</v>
      </c>
      <c r="IP403" s="632">
        <v>5.9666551</v>
      </c>
      <c r="IQ403" s="632">
        <v>8.1612595</v>
      </c>
      <c r="IR403" s="632">
        <v>7.4510699</v>
      </c>
      <c r="IS403" s="632">
        <v>5.8582523</v>
      </c>
      <c r="IT403" s="632">
        <v>8.1235498</v>
      </c>
      <c r="IU403" s="632">
        <v>17.649488</v>
      </c>
      <c r="IV403" s="632">
        <v>10.451982</v>
      </c>
      <c r="IW403" s="632">
        <v>12.662022</v>
      </c>
      <c r="IX403" s="632">
        <v>1.164224</v>
      </c>
      <c r="IY403" s="632">
        <v>16.481746</v>
      </c>
      <c r="IZ403" s="632">
        <v>8.8875788</v>
      </c>
      <c r="JA403" s="632">
        <v>0.71421863</v>
      </c>
      <c r="JB403" s="632">
        <v>1.1168</v>
      </c>
      <c r="JC403" s="632">
        <v>47.209781</v>
      </c>
      <c r="JD403" s="632">
        <v>78.421886</v>
      </c>
      <c r="JE403" s="632">
        <v>44.885892</v>
      </c>
      <c r="JF403" s="632">
        <v>39.844101</v>
      </c>
      <c r="JG403" s="632">
        <v>71.087057</v>
      </c>
      <c r="JH403" s="632">
        <v>72.090803</v>
      </c>
      <c r="JI403" s="632">
        <v>75.395032</v>
      </c>
      <c r="JJ403" s="632">
        <v>100.15019</v>
      </c>
      <c r="JK403" s="632">
        <v>60.680101</v>
      </c>
      <c r="JL403" s="632">
        <v>91.958223</v>
      </c>
      <c r="JM403" s="632">
        <v>82.735211</v>
      </c>
      <c r="JN403" s="632">
        <v>0.32564871</v>
      </c>
      <c r="JO403" s="632">
        <v>0.27577007</v>
      </c>
      <c r="JP403" s="632">
        <v>0.3645798</v>
      </c>
      <c r="JQ403" s="632">
        <v>0.31470116</v>
      </c>
      <c r="JR403" s="632">
        <v>0.004502977</v>
      </c>
      <c r="JS403" s="632">
        <v>0.0027745113</v>
      </c>
      <c r="JT403" s="632">
        <v>25.031677</v>
      </c>
      <c r="JU403" s="632">
        <v>5.2742896</v>
      </c>
      <c r="JV403" s="632">
        <v>0.14547296</v>
      </c>
      <c r="JW403" s="632">
        <v>2.8388527</v>
      </c>
      <c r="JX403" s="632">
        <v>0.13828684</v>
      </c>
      <c r="JY403" s="632">
        <v>62.313806</v>
      </c>
      <c r="JZ403" s="632">
        <v>33.360186</v>
      </c>
      <c r="KA403" s="632">
        <v>40.206991</v>
      </c>
      <c r="KB403" s="632">
        <v>77.058436</v>
      </c>
      <c r="KC403" s="632">
        <v>322.68676</v>
      </c>
      <c r="KD403" s="632">
        <v>48.637152</v>
      </c>
      <c r="KE403" s="632">
        <v>21.380391</v>
      </c>
      <c r="KF403" s="632">
        <v>35.556545</v>
      </c>
      <c r="KG403" s="632">
        <v>11.707964</v>
      </c>
      <c r="KH403" s="632">
        <v>2217.4646</v>
      </c>
      <c r="KI403" s="632">
        <v>578.17387</v>
      </c>
      <c r="KJ403" s="632">
        <v>408.83759</v>
      </c>
      <c r="KK403" s="632">
        <v>1.6497756</v>
      </c>
      <c r="KL403" s="632">
        <v>1.0390767</v>
      </c>
      <c r="KM403" s="632">
        <v>108.18326</v>
      </c>
      <c r="KN403" s="632">
        <v>0.16054815</v>
      </c>
      <c r="KO403" s="632">
        <v>0.40698347</v>
      </c>
      <c r="KP403" s="632">
        <v>0.21365239</v>
      </c>
      <c r="KQ403" s="632">
        <v>0.35736254</v>
      </c>
      <c r="KR403" s="632">
        <v>0.46036722</v>
      </c>
      <c r="KS403" s="632">
        <v>0.20405759</v>
      </c>
      <c r="KT403" s="632">
        <v>0.91017908</v>
      </c>
      <c r="KU403" s="632">
        <v>2.0509292</v>
      </c>
      <c r="KV403" s="632">
        <v>0.3174406</v>
      </c>
      <c r="KW403" s="632">
        <v>0.28578759</v>
      </c>
      <c r="KX403" s="632">
        <v>0.3907995</v>
      </c>
      <c r="KY403" s="632">
        <v>0.4332437</v>
      </c>
      <c r="KZ403" s="632">
        <v>0.36799093</v>
      </c>
      <c r="LA403" s="632">
        <v>0.44936466</v>
      </c>
      <c r="LB403" s="632">
        <v>0.4870802</v>
      </c>
      <c r="LC403" s="632">
        <v>2.7574851</v>
      </c>
      <c r="LD403" s="632">
        <v>0.71844285</v>
      </c>
      <c r="LE403" s="632">
        <v>0.51878721</v>
      </c>
      <c r="LF403" s="632">
        <v>4.1867507</v>
      </c>
      <c r="LG403" s="632">
        <v>1.0555638</v>
      </c>
      <c r="LH403" s="632">
        <v>1.3460118</v>
      </c>
      <c r="LI403" s="632">
        <v>8.4871679</v>
      </c>
      <c r="LJ403" s="632">
        <v>2.3786724</v>
      </c>
      <c r="LK403" s="632">
        <v>8.6784689</v>
      </c>
      <c r="LL403" s="632">
        <v>2.4009476</v>
      </c>
      <c r="LM403" s="632">
        <v>4.4582193</v>
      </c>
      <c r="LN403" s="632">
        <v>11.282453</v>
      </c>
      <c r="LO403" s="632">
        <v>3.6445155</v>
      </c>
      <c r="LP403" s="632">
        <v>1.5131164</v>
      </c>
      <c r="LQ403" s="632">
        <v>4.7987202</v>
      </c>
      <c r="LR403" s="632">
        <v>2.3818569</v>
      </c>
      <c r="LS403" s="632">
        <v>3.7194929</v>
      </c>
      <c r="LT403" s="632">
        <v>4.5009223</v>
      </c>
      <c r="LU403" s="632">
        <v>707.51679</v>
      </c>
      <c r="LV403" s="632">
        <v>405.51012</v>
      </c>
      <c r="LW403" s="632">
        <v>28.634358</v>
      </c>
      <c r="LX403" s="632">
        <v>30.562848</v>
      </c>
      <c r="LY403" s="632">
        <v>0.22542181</v>
      </c>
      <c r="LZ403" s="632">
        <v>0.68173173</v>
      </c>
      <c r="MA403" s="632">
        <v>6.0501032</v>
      </c>
      <c r="MB403" s="632">
        <v>7.9549419</v>
      </c>
      <c r="MC403" s="632">
        <v>1.1215872</v>
      </c>
      <c r="MD403" s="632">
        <v>1.0451664</v>
      </c>
      <c r="ME403" s="632">
        <v>0.73387956</v>
      </c>
      <c r="MF403" s="632">
        <v>71.478913</v>
      </c>
      <c r="MG403" s="632">
        <v>0.36622609</v>
      </c>
      <c r="MH403" s="632">
        <v>0.12911336</v>
      </c>
      <c r="MI403" s="632">
        <v>0.0027745113</v>
      </c>
      <c r="MJ403" s="632">
        <v>2.3128603</v>
      </c>
      <c r="MK403" s="632">
        <v>0.098972522</v>
      </c>
      <c r="ML403" s="632">
        <v>0.11552848</v>
      </c>
      <c r="MM403" s="632">
        <v>0.081356236</v>
      </c>
      <c r="MN403" s="632">
        <v>0.069107384</v>
      </c>
      <c r="MO403" s="632">
        <v>0.083918308</v>
      </c>
      <c r="MP403" s="632">
        <v>0.058431452</v>
      </c>
      <c r="MQ403" s="632">
        <v>0.13277436</v>
      </c>
      <c r="MR403" s="632">
        <v>0.11088496</v>
      </c>
      <c r="MS403" s="632">
        <v>0.091239969</v>
      </c>
      <c r="MT403" s="632">
        <v>0.11614751</v>
      </c>
      <c r="MU403" s="632">
        <v>0.097379364</v>
      </c>
      <c r="MV403" s="632">
        <v>0.077592668</v>
      </c>
      <c r="MW403" s="632">
        <v>0.58167277</v>
      </c>
      <c r="MX403" s="632">
        <v>181.37816</v>
      </c>
      <c r="MY403" s="632">
        <v>163.36349</v>
      </c>
      <c r="MZ403" s="632">
        <v>92.263107</v>
      </c>
      <c r="NA403" s="632">
        <v>0.96635798</v>
      </c>
      <c r="NB403" s="632">
        <v>1.1105373</v>
      </c>
      <c r="NC403" s="632">
        <v>2.7094628</v>
      </c>
      <c r="ND403" s="632">
        <v>41.935873</v>
      </c>
      <c r="NE403" s="632">
        <v>30.731206</v>
      </c>
      <c r="NF403" s="632">
        <v>56.624678</v>
      </c>
      <c r="NG403" s="632">
        <v>108.82782</v>
      </c>
      <c r="NH403" s="632">
        <v>1.8345255</v>
      </c>
      <c r="NI403" s="632">
        <v>3.5119819</v>
      </c>
      <c r="NJ403" s="632">
        <v>6.4548356</v>
      </c>
      <c r="NK403" s="632">
        <v>2.7021495</v>
      </c>
      <c r="NL403" s="632">
        <v>0.75788669</v>
      </c>
      <c r="NM403" s="632">
        <v>0.41196553</v>
      </c>
      <c r="NN403" s="632">
        <v>4.0381223</v>
      </c>
      <c r="NO403" s="632">
        <v>16.042054</v>
      </c>
      <c r="NP403" s="632">
        <v>0.31929163</v>
      </c>
      <c r="NQ403" s="632">
        <v>181.81868</v>
      </c>
      <c r="NR403" s="632">
        <v>326.05537</v>
      </c>
      <c r="NS403" s="632">
        <v>228.07357</v>
      </c>
      <c r="NT403" s="632">
        <v>190.87994</v>
      </c>
      <c r="NU403" s="632">
        <v>108.6627</v>
      </c>
      <c r="NV403" s="632">
        <v>0.53667191</v>
      </c>
      <c r="NW403" s="632">
        <v>6.009158</v>
      </c>
      <c r="NX403" s="632"/>
      <c r="NY403" s="632">
        <v>0.0</v>
      </c>
      <c r="NZ403" s="632">
        <v>1.57</v>
      </c>
      <c r="OA403" s="632">
        <v>0.0996</v>
      </c>
      <c r="OB403" s="632">
        <v>0.785</v>
      </c>
      <c r="OC403" s="632">
        <v>2.5185518340713404</v>
      </c>
      <c r="OD403" s="632"/>
      <c r="OE403" s="632">
        <f t="shared" si="1"/>
        <v>148.3061121</v>
      </c>
      <c r="OF403" s="632">
        <v>43.444927085303</v>
      </c>
      <c r="OG403" s="632">
        <v>165.08390174042634</v>
      </c>
      <c r="OH403" s="25"/>
    </row>
    <row r="404" ht="12.75" customHeight="1"/>
    <row r="405" ht="12.75" customHeight="1">
      <c r="OE405" s="25" t="s">
        <v>5000</v>
      </c>
      <c r="OF405" s="631">
        <v>800.0</v>
      </c>
      <c r="OG405" s="630">
        <v>5000.0</v>
      </c>
      <c r="OH405" s="25" t="s">
        <v>5001</v>
      </c>
    </row>
    <row r="406" ht="12.75" customHeight="1">
      <c r="OE406" s="626" t="s">
        <v>5002</v>
      </c>
      <c r="OF406" s="630">
        <f t="shared" ref="OF406:OG406" si="2">OF405/($OF405+$OG405)</f>
        <v>0.1379310345</v>
      </c>
      <c r="OG406" s="630">
        <f t="shared" si="2"/>
        <v>0.8620689655</v>
      </c>
    </row>
  </sheetData>
  <printOptions/>
  <pageMargins bottom="0.787401575" footer="0.0" header="0.0" left="0.7" right="0.7" top="0.7874015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4" width="6.71" outlineLevel="1"/>
    <col customWidth="1" min="5" max="5" width="5.71"/>
    <col customWidth="1" min="6" max="6" width="20.71"/>
    <col customWidth="1" min="7" max="7" width="8.71"/>
    <col customWidth="1" min="8" max="8" width="54.71"/>
    <col customWidth="1" min="9" max="9" width="65.71" outlineLevel="1"/>
    <col customWidth="1" min="10" max="20" width="8.29"/>
    <col customWidth="1" min="21" max="27" width="11.43"/>
  </cols>
  <sheetData>
    <row r="1" ht="15.0" customHeight="1">
      <c r="A1" s="634"/>
      <c r="B1" s="634"/>
      <c r="C1" s="634"/>
      <c r="D1" s="634"/>
      <c r="E1" s="634"/>
      <c r="F1" s="634"/>
      <c r="G1" s="634"/>
      <c r="H1" s="635"/>
      <c r="I1" s="634"/>
      <c r="J1" s="636"/>
      <c r="K1" s="637" t="s">
        <v>2009</v>
      </c>
      <c r="L1" s="635"/>
      <c r="M1" s="635"/>
      <c r="N1" s="635" t="s">
        <v>2010</v>
      </c>
      <c r="O1" s="635"/>
      <c r="P1" s="637" t="s">
        <v>2012</v>
      </c>
      <c r="Q1" s="637"/>
      <c r="R1" s="637" t="s">
        <v>420</v>
      </c>
      <c r="S1" s="637"/>
      <c r="T1" s="637" t="s">
        <v>2011</v>
      </c>
      <c r="U1" s="637"/>
      <c r="V1" s="634"/>
      <c r="W1" s="634"/>
      <c r="X1" s="634"/>
      <c r="Y1" s="634"/>
      <c r="Z1" s="634"/>
      <c r="AA1" s="634"/>
    </row>
    <row r="2">
      <c r="A2" s="638"/>
      <c r="B2" s="638"/>
      <c r="C2" s="638"/>
      <c r="D2" s="638"/>
      <c r="E2" s="638"/>
      <c r="F2" s="639" t="s">
        <v>5017</v>
      </c>
      <c r="G2" s="638"/>
      <c r="H2" s="640" t="s">
        <v>5018</v>
      </c>
      <c r="I2" s="638"/>
      <c r="J2" s="641"/>
      <c r="K2" s="642"/>
      <c r="L2" s="642"/>
      <c r="M2" s="642"/>
      <c r="N2" s="642"/>
      <c r="O2" s="642"/>
      <c r="P2" s="642"/>
      <c r="Q2" s="642"/>
      <c r="R2" s="642"/>
      <c r="S2" s="642"/>
      <c r="T2" s="642"/>
      <c r="U2" s="638"/>
      <c r="V2" s="638"/>
      <c r="W2" s="642"/>
      <c r="X2" s="642"/>
      <c r="Y2" s="638"/>
      <c r="Z2" s="638"/>
      <c r="AA2" s="638"/>
    </row>
    <row r="3" ht="18.0" customHeight="1">
      <c r="A3" s="643"/>
      <c r="B3" s="643"/>
      <c r="C3" s="643"/>
      <c r="D3" s="643"/>
      <c r="E3" s="643"/>
      <c r="F3" s="644" t="s">
        <v>5019</v>
      </c>
      <c r="G3" s="643"/>
      <c r="H3" s="645"/>
      <c r="I3" s="643"/>
      <c r="J3" s="646"/>
      <c r="K3" s="645"/>
      <c r="L3" s="645"/>
      <c r="M3" s="645"/>
      <c r="N3" s="645"/>
      <c r="O3" s="645"/>
      <c r="P3" s="645"/>
      <c r="Q3" s="645"/>
      <c r="R3" s="645"/>
      <c r="S3" s="634"/>
      <c r="T3" s="634"/>
      <c r="U3" s="634"/>
      <c r="V3" s="634"/>
      <c r="W3" s="634"/>
      <c r="X3" s="634"/>
      <c r="Y3" s="634"/>
      <c r="Z3" s="634"/>
      <c r="AA3" s="634"/>
    </row>
    <row r="4" ht="18.0" customHeight="1" outlineLevel="1">
      <c r="A4" s="645"/>
      <c r="B4" s="645"/>
      <c r="C4" s="645"/>
      <c r="D4" s="645"/>
      <c r="E4" s="645"/>
      <c r="F4" s="645"/>
      <c r="G4" s="647"/>
      <c r="H4" s="645"/>
      <c r="I4" s="645"/>
      <c r="J4" s="645"/>
      <c r="K4" s="645" t="s">
        <v>405</v>
      </c>
      <c r="L4" s="645" t="s">
        <v>5006</v>
      </c>
      <c r="M4" s="645" t="s">
        <v>5007</v>
      </c>
      <c r="N4" s="645" t="s">
        <v>406</v>
      </c>
      <c r="O4" s="645"/>
      <c r="P4" s="648" t="s">
        <v>408</v>
      </c>
      <c r="Q4" s="648" t="s">
        <v>5020</v>
      </c>
      <c r="R4" s="649" t="s">
        <v>405</v>
      </c>
      <c r="S4" s="650"/>
      <c r="T4" s="635"/>
      <c r="U4" s="651"/>
      <c r="V4" s="635"/>
      <c r="W4" s="635"/>
      <c r="X4" s="635"/>
      <c r="Y4" s="635"/>
      <c r="Z4" s="635"/>
      <c r="AA4" s="635"/>
    </row>
    <row r="5" ht="115.5" customHeight="1">
      <c r="A5" s="652" t="s">
        <v>5021</v>
      </c>
      <c r="B5" s="652" t="s">
        <v>5021</v>
      </c>
      <c r="C5" s="652" t="s">
        <v>5021</v>
      </c>
      <c r="D5" s="652" t="s">
        <v>5021</v>
      </c>
      <c r="E5" s="652"/>
      <c r="F5" s="653" t="s">
        <v>5022</v>
      </c>
      <c r="G5" s="654" t="s">
        <v>5023</v>
      </c>
      <c r="H5" s="653" t="s">
        <v>5024</v>
      </c>
      <c r="I5" s="655" t="s">
        <v>5025</v>
      </c>
      <c r="J5" s="656" t="s">
        <v>5026</v>
      </c>
      <c r="K5" s="657" t="s">
        <v>5027</v>
      </c>
      <c r="L5" s="657" t="s">
        <v>5028</v>
      </c>
      <c r="M5" s="657" t="s">
        <v>5029</v>
      </c>
      <c r="N5" s="657" t="s">
        <v>5030</v>
      </c>
      <c r="O5" s="657" t="s">
        <v>5031</v>
      </c>
      <c r="P5" s="657" t="s">
        <v>5032</v>
      </c>
      <c r="Q5" s="657" t="s">
        <v>5033</v>
      </c>
      <c r="R5" s="657" t="s">
        <v>5034</v>
      </c>
      <c r="S5" s="634"/>
      <c r="T5" s="658" t="s">
        <v>5035</v>
      </c>
      <c r="U5" s="634"/>
      <c r="V5" s="634"/>
      <c r="W5" s="634"/>
      <c r="X5" s="634"/>
      <c r="Y5" s="634"/>
      <c r="Z5" s="634"/>
      <c r="AA5" s="634"/>
    </row>
    <row r="6" ht="16.5" customHeight="1">
      <c r="A6" s="643"/>
      <c r="B6" s="643" t="s">
        <v>74</v>
      </c>
      <c r="C6" s="643" t="s">
        <v>429</v>
      </c>
      <c r="D6" s="643" t="s">
        <v>5036</v>
      </c>
      <c r="E6" s="643"/>
      <c r="F6" s="659" t="s">
        <v>5037</v>
      </c>
      <c r="G6" s="660">
        <v>5.0</v>
      </c>
      <c r="H6" s="660" t="s">
        <v>5038</v>
      </c>
      <c r="I6" s="660" t="s">
        <v>5039</v>
      </c>
      <c r="J6" s="661" t="s">
        <v>200</v>
      </c>
      <c r="K6" s="662">
        <v>4610.2726</v>
      </c>
      <c r="L6" s="662">
        <v>3409.9258</v>
      </c>
      <c r="M6" s="662">
        <v>689.69342</v>
      </c>
      <c r="N6" s="662">
        <v>510.61086800000004</v>
      </c>
      <c r="O6" s="663"/>
      <c r="P6" s="662">
        <v>256.29456</v>
      </c>
      <c r="Q6" s="662">
        <v>233.80526</v>
      </c>
      <c r="R6" s="662">
        <v>675564.74</v>
      </c>
      <c r="S6" s="634"/>
      <c r="T6" s="664">
        <f t="shared" ref="T6:T83" si="1">L6+M6</f>
        <v>4099.61922</v>
      </c>
      <c r="U6" s="634"/>
      <c r="V6" s="634"/>
      <c r="W6" s="634"/>
      <c r="X6" s="634"/>
      <c r="Y6" s="634"/>
      <c r="Z6" s="634"/>
      <c r="AA6" s="634"/>
    </row>
    <row r="7" ht="16.5" customHeight="1">
      <c r="A7" s="643"/>
      <c r="B7" s="643" t="s">
        <v>77</v>
      </c>
      <c r="C7" s="643" t="s">
        <v>429</v>
      </c>
      <c r="D7" s="643" t="s">
        <v>5040</v>
      </c>
      <c r="E7" s="643"/>
      <c r="F7" s="665" t="s">
        <v>5041</v>
      </c>
      <c r="G7" s="666">
        <v>10.5</v>
      </c>
      <c r="H7" s="666" t="s">
        <v>5042</v>
      </c>
      <c r="I7" s="666" t="s">
        <v>5043</v>
      </c>
      <c r="J7" s="667" t="s">
        <v>200</v>
      </c>
      <c r="K7" s="668">
        <v>3687.7380000000003</v>
      </c>
      <c r="L7" s="668">
        <v>2822.682</v>
      </c>
      <c r="M7" s="668">
        <v>502.13605714285717</v>
      </c>
      <c r="N7" s="668">
        <v>362.88952857142857</v>
      </c>
      <c r="O7" s="669"/>
      <c r="P7" s="668">
        <v>208.14988571428572</v>
      </c>
      <c r="Q7" s="668">
        <v>190.86183809523808</v>
      </c>
      <c r="R7" s="668">
        <v>464866.54285714286</v>
      </c>
      <c r="S7" s="634"/>
      <c r="T7" s="670">
        <f t="shared" si="1"/>
        <v>3324.818057</v>
      </c>
      <c r="U7" s="634"/>
      <c r="V7" s="634"/>
      <c r="W7" s="634"/>
      <c r="X7" s="634"/>
      <c r="Y7" s="634"/>
      <c r="Z7" s="634"/>
      <c r="AA7" s="634"/>
    </row>
    <row r="8" ht="16.5" customHeight="1">
      <c r="A8" s="643"/>
      <c r="B8" s="643" t="s">
        <v>75</v>
      </c>
      <c r="C8" s="643" t="s">
        <v>429</v>
      </c>
      <c r="D8" s="643" t="s">
        <v>5044</v>
      </c>
      <c r="E8" s="643"/>
      <c r="F8" s="665"/>
      <c r="G8" s="666">
        <v>12.0</v>
      </c>
      <c r="H8" s="666" t="s">
        <v>5045</v>
      </c>
      <c r="I8" s="666" t="s">
        <v>5046</v>
      </c>
      <c r="J8" s="667" t="s">
        <v>200</v>
      </c>
      <c r="K8" s="668">
        <v>3335.3224166666664</v>
      </c>
      <c r="L8" s="668">
        <v>2467.5106666666666</v>
      </c>
      <c r="M8" s="668">
        <v>499.16479166666664</v>
      </c>
      <c r="N8" s="668">
        <v>368.618545</v>
      </c>
      <c r="O8" s="669"/>
      <c r="P8" s="668">
        <v>184.32434999999998</v>
      </c>
      <c r="Q8" s="668">
        <v>168.57606666666666</v>
      </c>
      <c r="R8" s="668">
        <v>452485.45</v>
      </c>
      <c r="S8" s="634"/>
      <c r="T8" s="670">
        <f t="shared" si="1"/>
        <v>2966.675458</v>
      </c>
      <c r="U8" s="634"/>
      <c r="V8" s="634"/>
      <c r="W8" s="634"/>
      <c r="X8" s="634"/>
      <c r="Y8" s="634"/>
      <c r="Z8" s="634"/>
      <c r="AA8" s="634"/>
    </row>
    <row r="9" ht="16.5" customHeight="1">
      <c r="A9" s="643"/>
      <c r="B9" s="643" t="s">
        <v>76</v>
      </c>
      <c r="C9" s="643" t="s">
        <v>429</v>
      </c>
      <c r="D9" s="643" t="s">
        <v>5047</v>
      </c>
      <c r="E9" s="643"/>
      <c r="F9" s="665"/>
      <c r="G9" s="666">
        <v>20.0</v>
      </c>
      <c r="H9" s="666" t="s">
        <v>5048</v>
      </c>
      <c r="I9" s="666" t="s">
        <v>5049</v>
      </c>
      <c r="J9" s="667" t="s">
        <v>200</v>
      </c>
      <c r="K9" s="668">
        <v>2786.2301500000003</v>
      </c>
      <c r="L9" s="668">
        <v>2081.53985</v>
      </c>
      <c r="M9" s="668">
        <v>420.19798000000003</v>
      </c>
      <c r="N9" s="668">
        <v>284.4657545</v>
      </c>
      <c r="O9" s="669"/>
      <c r="P9" s="668">
        <v>155.11586</v>
      </c>
      <c r="Q9" s="668">
        <v>142.327325</v>
      </c>
      <c r="R9" s="668">
        <v>393962.055</v>
      </c>
      <c r="S9" s="634"/>
      <c r="T9" s="670">
        <f t="shared" si="1"/>
        <v>2501.73783</v>
      </c>
      <c r="U9" s="634"/>
      <c r="V9" s="634"/>
      <c r="W9" s="634"/>
      <c r="X9" s="634"/>
      <c r="Y9" s="634"/>
      <c r="Z9" s="634"/>
      <c r="AA9" s="634"/>
    </row>
    <row r="10" ht="16.5" customHeight="1">
      <c r="A10" s="643"/>
      <c r="B10" s="643"/>
      <c r="C10" s="643"/>
      <c r="D10" s="643"/>
      <c r="E10" s="643"/>
      <c r="F10" s="665"/>
      <c r="G10" s="666">
        <v>30.0</v>
      </c>
      <c r="H10" s="666" t="s">
        <v>5050</v>
      </c>
      <c r="I10" s="666" t="s">
        <v>5051</v>
      </c>
      <c r="J10" s="667" t="s">
        <v>200</v>
      </c>
      <c r="K10" s="668">
        <v>2689.6025999999997</v>
      </c>
      <c r="L10" s="668">
        <v>1992.5457333333334</v>
      </c>
      <c r="M10" s="668">
        <v>415.01546666666667</v>
      </c>
      <c r="N10" s="668">
        <v>282.0006193333333</v>
      </c>
      <c r="O10" s="669"/>
      <c r="P10" s="668">
        <v>148.73569</v>
      </c>
      <c r="Q10" s="668">
        <v>136.43947666666665</v>
      </c>
      <c r="R10" s="668">
        <v>317963.48333333334</v>
      </c>
      <c r="S10" s="634"/>
      <c r="T10" s="670">
        <f t="shared" si="1"/>
        <v>2407.5612</v>
      </c>
      <c r="U10" s="634"/>
      <c r="V10" s="634"/>
      <c r="W10" s="634"/>
      <c r="X10" s="634"/>
      <c r="Y10" s="634"/>
      <c r="Z10" s="634"/>
      <c r="AA10" s="634"/>
    </row>
    <row r="11" ht="16.5" customHeight="1">
      <c r="A11" s="643"/>
      <c r="B11" s="643"/>
      <c r="C11" s="643"/>
      <c r="D11" s="643"/>
      <c r="E11" s="643"/>
      <c r="F11" s="665"/>
      <c r="G11" s="666">
        <v>30.0</v>
      </c>
      <c r="H11" s="666" t="s">
        <v>5052</v>
      </c>
      <c r="I11" s="666" t="s">
        <v>5053</v>
      </c>
      <c r="J11" s="667" t="s">
        <v>200</v>
      </c>
      <c r="K11" s="668">
        <v>2636.1622666666667</v>
      </c>
      <c r="L11" s="668">
        <v>1988.6551</v>
      </c>
      <c r="M11" s="668">
        <v>386.08903333333336</v>
      </c>
      <c r="N11" s="668">
        <v>261.392544</v>
      </c>
      <c r="O11" s="669"/>
      <c r="P11" s="668">
        <v>151.25664</v>
      </c>
      <c r="Q11" s="668">
        <v>139.08651666666668</v>
      </c>
      <c r="R11" s="668">
        <v>391373.5333333333</v>
      </c>
      <c r="S11" s="634"/>
      <c r="T11" s="670">
        <f t="shared" si="1"/>
        <v>2374.744133</v>
      </c>
      <c r="U11" s="634"/>
      <c r="V11" s="634"/>
      <c r="W11" s="634"/>
      <c r="X11" s="634"/>
      <c r="Y11" s="634"/>
      <c r="Z11" s="634"/>
      <c r="AA11" s="634"/>
    </row>
    <row r="12" ht="16.5" customHeight="1">
      <c r="A12" s="643"/>
      <c r="B12" s="643"/>
      <c r="C12" s="643"/>
      <c r="D12" s="643"/>
      <c r="E12" s="643"/>
      <c r="F12" s="665"/>
      <c r="G12" s="666">
        <v>30.0</v>
      </c>
      <c r="H12" s="666" t="s">
        <v>5048</v>
      </c>
      <c r="I12" s="666" t="s">
        <v>5054</v>
      </c>
      <c r="J12" s="667" t="s">
        <v>200</v>
      </c>
      <c r="K12" s="668">
        <v>2544.9325000000003</v>
      </c>
      <c r="L12" s="668">
        <v>1899.1345666666666</v>
      </c>
      <c r="M12" s="668">
        <v>382.15826666666663</v>
      </c>
      <c r="N12" s="668">
        <v>263.614939</v>
      </c>
      <c r="O12" s="669"/>
      <c r="P12" s="668">
        <v>140.93763666666666</v>
      </c>
      <c r="Q12" s="668">
        <v>129.41925666666666</v>
      </c>
      <c r="R12" s="668">
        <v>365725.7</v>
      </c>
      <c r="S12" s="634"/>
      <c r="T12" s="670">
        <f t="shared" si="1"/>
        <v>2281.292833</v>
      </c>
      <c r="U12" s="634"/>
      <c r="V12" s="634"/>
      <c r="W12" s="634"/>
      <c r="X12" s="634"/>
      <c r="Y12" s="634"/>
      <c r="Z12" s="634"/>
      <c r="AA12" s="634"/>
    </row>
    <row r="13" ht="16.5" customHeight="1">
      <c r="A13" s="643"/>
      <c r="B13" s="643"/>
      <c r="C13" s="643"/>
      <c r="D13" s="643"/>
      <c r="E13" s="643"/>
      <c r="F13" s="671"/>
      <c r="G13" s="672">
        <v>81.0</v>
      </c>
      <c r="H13" s="672" t="s">
        <v>5055</v>
      </c>
      <c r="I13" s="672" t="s">
        <v>5056</v>
      </c>
      <c r="J13" s="673" t="s">
        <v>200</v>
      </c>
      <c r="K13" s="674">
        <v>2256.7762962962966</v>
      </c>
      <c r="L13" s="674">
        <v>1684.754074074074</v>
      </c>
      <c r="M13" s="674">
        <v>340.7903333333333</v>
      </c>
      <c r="N13" s="674">
        <v>231.19544814814813</v>
      </c>
      <c r="O13" s="675"/>
      <c r="P13" s="674">
        <v>125.10143209876544</v>
      </c>
      <c r="Q13" s="674">
        <v>115.06745679012346</v>
      </c>
      <c r="R13" s="674">
        <v>409065.4197530864</v>
      </c>
      <c r="S13" s="634"/>
      <c r="T13" s="676">
        <f t="shared" si="1"/>
        <v>2025.544407</v>
      </c>
      <c r="U13" s="634"/>
      <c r="V13" s="634"/>
      <c r="W13" s="634"/>
      <c r="X13" s="634"/>
      <c r="Y13" s="634"/>
      <c r="Z13" s="634"/>
      <c r="AA13" s="634"/>
    </row>
    <row r="14" ht="16.5" customHeight="1">
      <c r="A14" s="643"/>
      <c r="B14" s="643"/>
      <c r="C14" s="643"/>
      <c r="D14" s="643"/>
      <c r="E14" s="643"/>
      <c r="F14" s="659" t="s">
        <v>5057</v>
      </c>
      <c r="G14" s="677"/>
      <c r="H14" s="660" t="s">
        <v>2547</v>
      </c>
      <c r="I14" s="660" t="s">
        <v>5058</v>
      </c>
      <c r="J14" s="661" t="s">
        <v>200</v>
      </c>
      <c r="K14" s="662">
        <v>4231.621072618876</v>
      </c>
      <c r="L14" s="662">
        <v>3220.1284437874333</v>
      </c>
      <c r="M14" s="662">
        <v>549.2303957901531</v>
      </c>
      <c r="N14" s="662">
        <v>462.2016905468862</v>
      </c>
      <c r="O14" s="662"/>
      <c r="P14" s="662">
        <v>296.3215824322438</v>
      </c>
      <c r="Q14" s="662">
        <v>254.61668215996022</v>
      </c>
      <c r="R14" s="662">
        <v>443794.7883886978</v>
      </c>
      <c r="S14" s="634"/>
      <c r="T14" s="664">
        <f t="shared" si="1"/>
        <v>3769.35884</v>
      </c>
      <c r="U14" s="634"/>
      <c r="V14" s="634"/>
      <c r="W14" s="634"/>
      <c r="X14" s="634"/>
      <c r="Y14" s="634"/>
      <c r="Z14" s="634"/>
      <c r="AA14" s="634"/>
    </row>
    <row r="15" ht="16.5" customHeight="1">
      <c r="A15" s="643"/>
      <c r="B15" s="643"/>
      <c r="C15" s="643"/>
      <c r="D15" s="643"/>
      <c r="E15" s="643"/>
      <c r="F15" s="665"/>
      <c r="G15" s="678"/>
      <c r="H15" s="666" t="s">
        <v>2549</v>
      </c>
      <c r="I15" s="666" t="s">
        <v>5058</v>
      </c>
      <c r="J15" s="667" t="s">
        <v>200</v>
      </c>
      <c r="K15" s="668">
        <v>4160.991611887643</v>
      </c>
      <c r="L15" s="668">
        <v>3156.442322965027</v>
      </c>
      <c r="M15" s="668">
        <v>547.7719795881686</v>
      </c>
      <c r="N15" s="668">
        <v>456.71904769407627</v>
      </c>
      <c r="O15" s="668"/>
      <c r="P15" s="668">
        <v>289.69213024490284</v>
      </c>
      <c r="Q15" s="668">
        <v>248.9566190385483</v>
      </c>
      <c r="R15" s="668">
        <v>442946.30787504395</v>
      </c>
      <c r="S15" s="634"/>
      <c r="T15" s="670">
        <f t="shared" si="1"/>
        <v>3704.214303</v>
      </c>
      <c r="U15" s="634"/>
      <c r="V15" s="634"/>
      <c r="W15" s="634"/>
      <c r="X15" s="634"/>
      <c r="Y15" s="634"/>
      <c r="Z15" s="634"/>
      <c r="AA15" s="634"/>
    </row>
    <row r="16" ht="16.5" customHeight="1">
      <c r="A16" s="643"/>
      <c r="B16" s="643"/>
      <c r="C16" s="643"/>
      <c r="D16" s="643"/>
      <c r="E16" s="643"/>
      <c r="F16" s="665"/>
      <c r="G16" s="678"/>
      <c r="H16" s="666" t="s">
        <v>2551</v>
      </c>
      <c r="I16" s="666" t="s">
        <v>5058</v>
      </c>
      <c r="J16" s="667" t="s">
        <v>200</v>
      </c>
      <c r="K16" s="668">
        <v>4514.4270980418305</v>
      </c>
      <c r="L16" s="668">
        <v>3486.586301057284</v>
      </c>
      <c r="M16" s="668">
        <v>545.8021002580763</v>
      </c>
      <c r="N16" s="668">
        <v>481.9716093292688</v>
      </c>
      <c r="O16" s="668"/>
      <c r="P16" s="668">
        <v>323.6211236483839</v>
      </c>
      <c r="Q16" s="668">
        <v>277.22420713400123</v>
      </c>
      <c r="R16" s="668">
        <v>430847.2566756484</v>
      </c>
      <c r="S16" s="634"/>
      <c r="T16" s="670">
        <f t="shared" si="1"/>
        <v>4032.388401</v>
      </c>
      <c r="U16" s="634"/>
      <c r="V16" s="634"/>
      <c r="W16" s="634"/>
      <c r="X16" s="634"/>
      <c r="Y16" s="634"/>
      <c r="Z16" s="634"/>
      <c r="AA16" s="634"/>
    </row>
    <row r="17" ht="16.5" customHeight="1">
      <c r="A17" s="643"/>
      <c r="B17" s="643"/>
      <c r="C17" s="643"/>
      <c r="D17" s="643"/>
      <c r="E17" s="643"/>
      <c r="F17" s="671"/>
      <c r="G17" s="679"/>
      <c r="H17" s="672" t="s">
        <v>2553</v>
      </c>
      <c r="I17" s="672" t="s">
        <v>5058</v>
      </c>
      <c r="J17" s="673" t="s">
        <v>200</v>
      </c>
      <c r="K17" s="674">
        <v>4484.231438811139</v>
      </c>
      <c r="L17" s="674">
        <v>3430.7252691779986</v>
      </c>
      <c r="M17" s="674">
        <v>568.3483724544889</v>
      </c>
      <c r="N17" s="674">
        <v>485.08521534789406</v>
      </c>
      <c r="O17" s="674"/>
      <c r="P17" s="674">
        <v>318.900178565913</v>
      </c>
      <c r="Q17" s="674">
        <v>274.9439590405275</v>
      </c>
      <c r="R17" s="674">
        <v>471346.80180812423</v>
      </c>
      <c r="S17" s="634"/>
      <c r="T17" s="676">
        <f t="shared" si="1"/>
        <v>3999.073642</v>
      </c>
      <c r="U17" s="634"/>
      <c r="V17" s="634"/>
      <c r="W17" s="634"/>
      <c r="X17" s="634"/>
      <c r="Y17" s="634"/>
      <c r="Z17" s="634"/>
      <c r="AA17" s="634"/>
    </row>
    <row r="18" ht="16.5" customHeight="1">
      <c r="A18" s="643"/>
      <c r="B18" s="643" t="s">
        <v>102</v>
      </c>
      <c r="C18" s="643" t="s">
        <v>429</v>
      </c>
      <c r="D18" s="643" t="s">
        <v>5059</v>
      </c>
      <c r="E18" s="643"/>
      <c r="F18" s="659" t="s">
        <v>5060</v>
      </c>
      <c r="G18" s="677"/>
      <c r="H18" s="660" t="s">
        <v>2547</v>
      </c>
      <c r="I18" s="660" t="s">
        <v>5058</v>
      </c>
      <c r="J18" s="661" t="s">
        <v>1994</v>
      </c>
      <c r="K18" s="662">
        <v>29874.639568931256</v>
      </c>
      <c r="L18" s="662">
        <v>22670.806791216484</v>
      </c>
      <c r="M18" s="662">
        <v>3944.6569916998264</v>
      </c>
      <c r="N18" s="662">
        <v>3258.7590442680685</v>
      </c>
      <c r="O18" s="662"/>
      <c r="P18" s="662">
        <v>2078.1561267933207</v>
      </c>
      <c r="Q18" s="662">
        <v>1785.5566761281198</v>
      </c>
      <c r="R18" s="662">
        <v>3173582.043514033</v>
      </c>
      <c r="S18" s="634"/>
      <c r="T18" s="664">
        <f t="shared" si="1"/>
        <v>26615.46378</v>
      </c>
      <c r="U18" s="634"/>
      <c r="V18" s="634"/>
      <c r="W18" s="634"/>
      <c r="X18" s="634"/>
      <c r="Y18" s="634"/>
      <c r="Z18" s="634"/>
      <c r="AA18" s="634"/>
    </row>
    <row r="19" ht="16.5" customHeight="1">
      <c r="A19" s="643"/>
      <c r="B19" s="643" t="s">
        <v>104</v>
      </c>
      <c r="C19" s="643" t="s">
        <v>429</v>
      </c>
      <c r="D19" s="643" t="s">
        <v>5061</v>
      </c>
      <c r="E19" s="643"/>
      <c r="F19" s="665"/>
      <c r="G19" s="678"/>
      <c r="H19" s="666" t="s">
        <v>2549</v>
      </c>
      <c r="I19" s="666" t="s">
        <v>5058</v>
      </c>
      <c r="J19" s="667" t="s">
        <v>1994</v>
      </c>
      <c r="K19" s="668">
        <v>29470.66409240477</v>
      </c>
      <c r="L19" s="668">
        <v>22276.84005893804</v>
      </c>
      <c r="M19" s="668">
        <v>3964.5369485518117</v>
      </c>
      <c r="N19" s="668">
        <v>3228.8879865869158</v>
      </c>
      <c r="O19" s="668"/>
      <c r="P19" s="668">
        <v>2034.5277507483236</v>
      </c>
      <c r="Q19" s="668">
        <v>1748.3541985423697</v>
      </c>
      <c r="R19" s="668">
        <v>3189798.9880453385</v>
      </c>
      <c r="S19" s="634"/>
      <c r="T19" s="670">
        <f t="shared" si="1"/>
        <v>26241.37701</v>
      </c>
      <c r="U19" s="634"/>
      <c r="V19" s="634"/>
      <c r="W19" s="634"/>
      <c r="X19" s="634"/>
      <c r="Y19" s="634"/>
      <c r="Z19" s="634"/>
      <c r="AA19" s="634"/>
    </row>
    <row r="20" ht="16.5" customHeight="1">
      <c r="A20" s="643"/>
      <c r="B20" s="643" t="s">
        <v>105</v>
      </c>
      <c r="C20" s="643" t="s">
        <v>429</v>
      </c>
      <c r="D20" s="643" t="s">
        <v>5062</v>
      </c>
      <c r="E20" s="643"/>
      <c r="F20" s="665"/>
      <c r="G20" s="678"/>
      <c r="H20" s="666" t="s">
        <v>2551</v>
      </c>
      <c r="I20" s="666" t="s">
        <v>5058</v>
      </c>
      <c r="J20" s="667" t="s">
        <v>1994</v>
      </c>
      <c r="K20" s="668">
        <v>32306.329791499793</v>
      </c>
      <c r="L20" s="668">
        <v>24952.40602434601</v>
      </c>
      <c r="M20" s="668">
        <v>3902.3254516226953</v>
      </c>
      <c r="N20" s="668">
        <v>3451.1167113447495</v>
      </c>
      <c r="O20" s="668"/>
      <c r="P20" s="668">
        <v>2316.1392266346197</v>
      </c>
      <c r="Q20" s="668">
        <v>1983.906744527574</v>
      </c>
      <c r="R20" s="668">
        <v>3074876.1586754154</v>
      </c>
      <c r="S20" s="634"/>
      <c r="T20" s="670">
        <f t="shared" si="1"/>
        <v>28854.73148</v>
      </c>
      <c r="U20" s="634"/>
      <c r="V20" s="634"/>
      <c r="W20" s="634"/>
      <c r="X20" s="634"/>
      <c r="Y20" s="634"/>
      <c r="Z20" s="634"/>
      <c r="AA20" s="634"/>
    </row>
    <row r="21" ht="16.5" customHeight="1">
      <c r="A21" s="643"/>
      <c r="B21" s="643" t="s">
        <v>106</v>
      </c>
      <c r="C21" s="643" t="s">
        <v>429</v>
      </c>
      <c r="D21" s="643" t="s">
        <v>5063</v>
      </c>
      <c r="E21" s="643"/>
      <c r="F21" s="671"/>
      <c r="G21" s="679"/>
      <c r="H21" s="672" t="s">
        <v>2553</v>
      </c>
      <c r="I21" s="672" t="s">
        <v>5058</v>
      </c>
      <c r="J21" s="673" t="s">
        <v>1994</v>
      </c>
      <c r="K21" s="674">
        <v>30098.271288522337</v>
      </c>
      <c r="L21" s="674">
        <v>23023.664418134635</v>
      </c>
      <c r="M21" s="674">
        <v>3817.65106966143</v>
      </c>
      <c r="N21" s="674">
        <v>3256.467281430376</v>
      </c>
      <c r="O21" s="674"/>
      <c r="P21" s="674">
        <v>2139.258171668491</v>
      </c>
      <c r="Q21" s="674">
        <v>1844.5309501117486</v>
      </c>
      <c r="R21" s="674">
        <v>3166239.1074844813</v>
      </c>
      <c r="S21" s="634"/>
      <c r="T21" s="676">
        <f t="shared" si="1"/>
        <v>26841.31549</v>
      </c>
      <c r="U21" s="634"/>
      <c r="V21" s="634"/>
      <c r="W21" s="634"/>
      <c r="X21" s="634"/>
      <c r="Y21" s="634"/>
      <c r="Z21" s="634"/>
      <c r="AA21" s="634"/>
    </row>
    <row r="22" ht="16.5" customHeight="1">
      <c r="A22" s="643"/>
      <c r="B22" s="643" t="s">
        <v>54</v>
      </c>
      <c r="C22" s="643" t="s">
        <v>429</v>
      </c>
      <c r="D22" s="643" t="s">
        <v>5064</v>
      </c>
      <c r="E22" s="643"/>
      <c r="F22" s="659" t="s">
        <v>2027</v>
      </c>
      <c r="G22" s="677"/>
      <c r="H22" s="660" t="s">
        <v>5065</v>
      </c>
      <c r="I22" s="660" t="s">
        <v>5066</v>
      </c>
      <c r="J22" s="661" t="s">
        <v>200</v>
      </c>
      <c r="K22" s="680">
        <v>8.9833153</v>
      </c>
      <c r="L22" s="680">
        <v>6.6750142</v>
      </c>
      <c r="M22" s="680">
        <v>1.4598594</v>
      </c>
      <c r="N22" s="680">
        <v>0.8484200260000001</v>
      </c>
      <c r="O22" s="680"/>
      <c r="P22" s="663">
        <v>0.50065161</v>
      </c>
      <c r="Q22" s="663">
        <v>0.45315572</v>
      </c>
      <c r="R22" s="662">
        <v>1186.6299</v>
      </c>
      <c r="S22" s="634"/>
      <c r="T22" s="664">
        <f t="shared" si="1"/>
        <v>8.1348736</v>
      </c>
      <c r="U22" s="634"/>
      <c r="V22" s="634"/>
      <c r="W22" s="634"/>
      <c r="X22" s="634"/>
      <c r="Y22" s="634"/>
      <c r="Z22" s="634"/>
      <c r="AA22" s="634"/>
    </row>
    <row r="23" ht="16.5" customHeight="1">
      <c r="A23" s="643"/>
      <c r="B23" s="643" t="s">
        <v>56</v>
      </c>
      <c r="C23" s="643" t="s">
        <v>429</v>
      </c>
      <c r="D23" s="643" t="s">
        <v>5067</v>
      </c>
      <c r="E23" s="643"/>
      <c r="F23" s="665"/>
      <c r="G23" s="678"/>
      <c r="H23" s="666" t="s">
        <v>5068</v>
      </c>
      <c r="I23" s="666" t="s">
        <v>5069</v>
      </c>
      <c r="J23" s="667" t="s">
        <v>200</v>
      </c>
      <c r="K23" s="681">
        <v>26.949902</v>
      </c>
      <c r="L23" s="681">
        <v>20.025007</v>
      </c>
      <c r="M23" s="681">
        <v>4.3795728</v>
      </c>
      <c r="N23" s="681">
        <v>2.54525817</v>
      </c>
      <c r="O23" s="681"/>
      <c r="P23" s="669">
        <v>1.5019522</v>
      </c>
      <c r="Q23" s="669">
        <v>1.3594648</v>
      </c>
      <c r="R23" s="668">
        <v>3559.8833</v>
      </c>
      <c r="S23" s="634"/>
      <c r="T23" s="670">
        <f t="shared" si="1"/>
        <v>24.4045798</v>
      </c>
      <c r="U23" s="634"/>
      <c r="V23" s="634"/>
      <c r="W23" s="634"/>
      <c r="X23" s="634"/>
      <c r="Y23" s="634"/>
      <c r="Z23" s="634"/>
      <c r="AA23" s="634"/>
    </row>
    <row r="24" ht="16.5" customHeight="1">
      <c r="A24" s="643"/>
      <c r="B24" s="643" t="s">
        <v>57</v>
      </c>
      <c r="C24" s="643" t="s">
        <v>429</v>
      </c>
      <c r="D24" s="643" t="s">
        <v>5070</v>
      </c>
      <c r="E24" s="643"/>
      <c r="F24" s="665"/>
      <c r="G24" s="678"/>
      <c r="H24" s="666" t="s">
        <v>5071</v>
      </c>
      <c r="I24" s="666" t="s">
        <v>5072</v>
      </c>
      <c r="J24" s="667" t="s">
        <v>200</v>
      </c>
      <c r="K24" s="681">
        <v>44.916452</v>
      </c>
      <c r="L24" s="681">
        <v>33.374969</v>
      </c>
      <c r="M24" s="681">
        <v>7.2992821</v>
      </c>
      <c r="N24" s="681">
        <v>4.24209355</v>
      </c>
      <c r="O24" s="681"/>
      <c r="P24" s="669">
        <v>2.5032507</v>
      </c>
      <c r="Q24" s="669">
        <v>2.2657719</v>
      </c>
      <c r="R24" s="668">
        <v>5933.1287</v>
      </c>
      <c r="S24" s="634"/>
      <c r="T24" s="670">
        <f t="shared" si="1"/>
        <v>40.6742511</v>
      </c>
      <c r="U24" s="634"/>
      <c r="V24" s="634"/>
      <c r="W24" s="634"/>
      <c r="X24" s="634"/>
      <c r="Y24" s="634"/>
      <c r="Z24" s="634"/>
      <c r="AA24" s="634"/>
    </row>
    <row r="25" ht="16.5" customHeight="1">
      <c r="A25" s="643"/>
      <c r="B25" s="643" t="s">
        <v>67</v>
      </c>
      <c r="C25" s="643" t="s">
        <v>429</v>
      </c>
      <c r="D25" s="643" t="s">
        <v>5073</v>
      </c>
      <c r="E25" s="643"/>
      <c r="F25" s="665"/>
      <c r="G25" s="678"/>
      <c r="H25" s="666" t="s">
        <v>2075</v>
      </c>
      <c r="I25" s="666" t="s">
        <v>5074</v>
      </c>
      <c r="J25" s="667" t="s">
        <v>334</v>
      </c>
      <c r="K25" s="668">
        <v>472.73222</v>
      </c>
      <c r="L25" s="668">
        <v>431.63278</v>
      </c>
      <c r="M25" s="668">
        <v>31.700681</v>
      </c>
      <c r="N25" s="668">
        <v>9.39840888</v>
      </c>
      <c r="O25" s="669"/>
      <c r="P25" s="681">
        <v>25.332376</v>
      </c>
      <c r="Q25" s="681">
        <v>23.247011</v>
      </c>
      <c r="R25" s="668">
        <v>30531.385</v>
      </c>
      <c r="S25" s="634"/>
      <c r="T25" s="670">
        <f t="shared" si="1"/>
        <v>463.333461</v>
      </c>
      <c r="U25" s="634"/>
      <c r="V25" s="634"/>
      <c r="W25" s="634"/>
      <c r="X25" s="634"/>
      <c r="Y25" s="634"/>
      <c r="Z25" s="634"/>
      <c r="AA25" s="634"/>
    </row>
    <row r="26" ht="16.5" customHeight="1">
      <c r="A26" s="643"/>
      <c r="B26" s="643" t="s">
        <v>70</v>
      </c>
      <c r="C26" s="643" t="s">
        <v>429</v>
      </c>
      <c r="D26" s="643" t="s">
        <v>5075</v>
      </c>
      <c r="E26" s="643"/>
      <c r="F26" s="665"/>
      <c r="G26" s="678"/>
      <c r="H26" s="666" t="s">
        <v>2080</v>
      </c>
      <c r="I26" s="666" t="s">
        <v>5076</v>
      </c>
      <c r="J26" s="667" t="s">
        <v>5077</v>
      </c>
      <c r="K26" s="668">
        <v>21525.571</v>
      </c>
      <c r="L26" s="668">
        <v>14955.271</v>
      </c>
      <c r="M26" s="668">
        <v>4761.0655</v>
      </c>
      <c r="N26" s="668">
        <v>1809.2098</v>
      </c>
      <c r="O26" s="669"/>
      <c r="P26" s="668">
        <v>1473.8208</v>
      </c>
      <c r="Q26" s="681">
        <v>993.32955</v>
      </c>
      <c r="R26" s="668">
        <v>3856262.6</v>
      </c>
      <c r="S26" s="634"/>
      <c r="T26" s="670">
        <f t="shared" si="1"/>
        <v>19716.3365</v>
      </c>
      <c r="U26" s="634"/>
      <c r="V26" s="634"/>
      <c r="W26" s="634"/>
      <c r="X26" s="634"/>
      <c r="Y26" s="634"/>
      <c r="Z26" s="634"/>
      <c r="AA26" s="634"/>
    </row>
    <row r="27" ht="16.5" customHeight="1">
      <c r="A27" s="643"/>
      <c r="B27" s="643" t="s">
        <v>71</v>
      </c>
      <c r="C27" s="643" t="s">
        <v>429</v>
      </c>
      <c r="D27" s="643" t="s">
        <v>5078</v>
      </c>
      <c r="E27" s="643"/>
      <c r="F27" s="665"/>
      <c r="G27" s="682"/>
      <c r="H27" s="666" t="s">
        <v>2080</v>
      </c>
      <c r="I27" s="666" t="s">
        <v>5079</v>
      </c>
      <c r="J27" s="667" t="s">
        <v>559</v>
      </c>
      <c r="K27" s="668">
        <v>114.8669</v>
      </c>
      <c r="L27" s="668">
        <v>79.805813</v>
      </c>
      <c r="M27" s="668">
        <v>25.406474</v>
      </c>
      <c r="N27" s="668">
        <v>9.6544863</v>
      </c>
      <c r="O27" s="669"/>
      <c r="P27" s="681">
        <v>7.8647501</v>
      </c>
      <c r="Q27" s="681">
        <v>5.3007045</v>
      </c>
      <c r="R27" s="668">
        <v>20578.174</v>
      </c>
      <c r="S27" s="634"/>
      <c r="T27" s="670">
        <f t="shared" si="1"/>
        <v>105.212287</v>
      </c>
      <c r="U27" s="634"/>
      <c r="V27" s="634"/>
      <c r="W27" s="634"/>
      <c r="X27" s="634"/>
      <c r="Y27" s="634"/>
      <c r="Z27" s="634"/>
      <c r="AA27" s="634"/>
    </row>
    <row r="28" ht="16.5" customHeight="1">
      <c r="A28" s="643"/>
      <c r="B28" s="643" t="s">
        <v>72</v>
      </c>
      <c r="C28" s="643" t="s">
        <v>429</v>
      </c>
      <c r="D28" s="643" t="s">
        <v>5080</v>
      </c>
      <c r="E28" s="643"/>
      <c r="F28" s="683"/>
      <c r="G28" s="682"/>
      <c r="H28" s="666" t="s">
        <v>2087</v>
      </c>
      <c r="I28" s="666" t="s">
        <v>5081</v>
      </c>
      <c r="J28" s="667" t="s">
        <v>5077</v>
      </c>
      <c r="K28" s="668">
        <v>25318.407</v>
      </c>
      <c r="L28" s="668">
        <v>17684.108</v>
      </c>
      <c r="M28" s="668">
        <v>5344.1468</v>
      </c>
      <c r="N28" s="668">
        <v>2290.11936</v>
      </c>
      <c r="O28" s="669"/>
      <c r="P28" s="668">
        <v>1859.1943</v>
      </c>
      <c r="Q28" s="668">
        <v>1166.5682</v>
      </c>
      <c r="R28" s="668">
        <v>4914782.1</v>
      </c>
      <c r="S28" s="634"/>
      <c r="T28" s="670">
        <f t="shared" si="1"/>
        <v>23028.2548</v>
      </c>
      <c r="U28" s="634"/>
      <c r="V28" s="634"/>
      <c r="W28" s="634"/>
      <c r="X28" s="634"/>
      <c r="Y28" s="634"/>
      <c r="Z28" s="634"/>
      <c r="AA28" s="634"/>
    </row>
    <row r="29" ht="16.5" customHeight="1">
      <c r="A29" s="643"/>
      <c r="B29" s="643" t="s">
        <v>73</v>
      </c>
      <c r="C29" s="643" t="s">
        <v>429</v>
      </c>
      <c r="D29" s="643" t="s">
        <v>5082</v>
      </c>
      <c r="E29" s="643"/>
      <c r="F29" s="665"/>
      <c r="G29" s="684"/>
      <c r="H29" s="666" t="s">
        <v>2087</v>
      </c>
      <c r="I29" s="666" t="s">
        <v>5083</v>
      </c>
      <c r="J29" s="667" t="s">
        <v>559</v>
      </c>
      <c r="K29" s="668">
        <v>103.82572</v>
      </c>
      <c r="L29" s="668">
        <v>72.51899</v>
      </c>
      <c r="M29" s="668">
        <v>21.915277</v>
      </c>
      <c r="N29" s="668">
        <v>9.39132151</v>
      </c>
      <c r="O29" s="669"/>
      <c r="P29" s="669">
        <v>7.6241839</v>
      </c>
      <c r="Q29" s="669">
        <v>4.7838631</v>
      </c>
      <c r="R29" s="668">
        <v>20154.538</v>
      </c>
      <c r="S29" s="634"/>
      <c r="T29" s="670">
        <f t="shared" si="1"/>
        <v>94.434267</v>
      </c>
      <c r="U29" s="634"/>
      <c r="V29" s="634"/>
      <c r="W29" s="634"/>
      <c r="X29" s="634"/>
      <c r="Y29" s="634"/>
      <c r="Z29" s="634"/>
      <c r="AA29" s="634"/>
    </row>
    <row r="30" ht="16.5" customHeight="1">
      <c r="A30" s="643"/>
      <c r="B30" s="643" t="s">
        <v>59</v>
      </c>
      <c r="C30" s="643" t="s">
        <v>429</v>
      </c>
      <c r="D30" s="643" t="s">
        <v>5084</v>
      </c>
      <c r="E30" s="643"/>
      <c r="F30" s="665"/>
      <c r="G30" s="682"/>
      <c r="H30" s="666" t="s">
        <v>5085</v>
      </c>
      <c r="I30" s="666" t="s">
        <v>5086</v>
      </c>
      <c r="J30" s="667" t="s">
        <v>200</v>
      </c>
      <c r="K30" s="668">
        <v>47.311247</v>
      </c>
      <c r="L30" s="668">
        <v>35.384642</v>
      </c>
      <c r="M30" s="668">
        <v>7.8178043</v>
      </c>
      <c r="N30" s="668">
        <v>4.108231979999999</v>
      </c>
      <c r="O30" s="669"/>
      <c r="P30" s="669">
        <v>2.3929957</v>
      </c>
      <c r="Q30" s="669">
        <v>2.1493013</v>
      </c>
      <c r="R30" s="668">
        <v>4673.7084</v>
      </c>
      <c r="S30" s="634"/>
      <c r="T30" s="670">
        <f t="shared" si="1"/>
        <v>43.2024463</v>
      </c>
      <c r="U30" s="634"/>
      <c r="V30" s="634"/>
      <c r="W30" s="634"/>
      <c r="X30" s="634"/>
      <c r="Y30" s="634"/>
      <c r="Z30" s="634"/>
      <c r="AA30" s="634"/>
    </row>
    <row r="31" ht="16.5" customHeight="1">
      <c r="A31" s="643"/>
      <c r="B31" s="643" t="s">
        <v>61</v>
      </c>
      <c r="C31" s="643" t="s">
        <v>429</v>
      </c>
      <c r="D31" s="643" t="s">
        <v>5087</v>
      </c>
      <c r="E31" s="643"/>
      <c r="F31" s="683"/>
      <c r="G31" s="683"/>
      <c r="H31" s="666" t="s">
        <v>5088</v>
      </c>
      <c r="I31" s="666" t="s">
        <v>5089</v>
      </c>
      <c r="J31" s="667" t="s">
        <v>200</v>
      </c>
      <c r="K31" s="668">
        <v>115.66495</v>
      </c>
      <c r="L31" s="668">
        <v>93.097292</v>
      </c>
      <c r="M31" s="668">
        <v>14.472614</v>
      </c>
      <c r="N31" s="668">
        <v>8.094494059999999</v>
      </c>
      <c r="O31" s="669"/>
      <c r="P31" s="669">
        <v>6.5616319</v>
      </c>
      <c r="Q31" s="669">
        <v>5.8381917</v>
      </c>
      <c r="R31" s="668">
        <v>13903.533</v>
      </c>
      <c r="S31" s="634"/>
      <c r="T31" s="670">
        <f t="shared" si="1"/>
        <v>107.569906</v>
      </c>
      <c r="U31" s="634"/>
      <c r="V31" s="634"/>
      <c r="W31" s="634"/>
      <c r="X31" s="634"/>
      <c r="Y31" s="634"/>
      <c r="Z31" s="634"/>
      <c r="AA31" s="634"/>
    </row>
    <row r="32" ht="16.5" customHeight="1">
      <c r="A32" s="643"/>
      <c r="B32" s="643" t="s">
        <v>62</v>
      </c>
      <c r="C32" s="643" t="s">
        <v>429</v>
      </c>
      <c r="D32" s="643" t="s">
        <v>5090</v>
      </c>
      <c r="E32" s="643"/>
      <c r="F32" s="683"/>
      <c r="G32" s="683"/>
      <c r="H32" s="666" t="s">
        <v>5091</v>
      </c>
      <c r="I32" s="666" t="s">
        <v>5092</v>
      </c>
      <c r="J32" s="667" t="s">
        <v>200</v>
      </c>
      <c r="K32" s="668">
        <v>87.677227</v>
      </c>
      <c r="L32" s="668">
        <v>68.687667</v>
      </c>
      <c r="M32" s="668">
        <v>13.128494</v>
      </c>
      <c r="N32" s="668">
        <v>5.846724930000001</v>
      </c>
      <c r="O32" s="669"/>
      <c r="P32" s="669">
        <v>5.4353621</v>
      </c>
      <c r="Q32" s="669">
        <v>4.9614768</v>
      </c>
      <c r="R32" s="668">
        <v>10174.587</v>
      </c>
      <c r="S32" s="634"/>
      <c r="T32" s="670">
        <f t="shared" si="1"/>
        <v>81.816161</v>
      </c>
      <c r="U32" s="634"/>
      <c r="V32" s="634"/>
      <c r="W32" s="634"/>
      <c r="X32" s="634"/>
      <c r="Y32" s="634"/>
      <c r="Z32" s="634"/>
      <c r="AA32" s="634"/>
    </row>
    <row r="33" ht="16.5" customHeight="1">
      <c r="A33" s="643"/>
      <c r="B33" s="643" t="s">
        <v>64</v>
      </c>
      <c r="C33" s="643" t="s">
        <v>429</v>
      </c>
      <c r="D33" s="643" t="s">
        <v>5093</v>
      </c>
      <c r="E33" s="643"/>
      <c r="F33" s="665"/>
      <c r="G33" s="683"/>
      <c r="H33" s="666" t="s">
        <v>5094</v>
      </c>
      <c r="I33" s="666" t="s">
        <v>5095</v>
      </c>
      <c r="J33" s="667" t="s">
        <v>200</v>
      </c>
      <c r="K33" s="668">
        <v>85.115837</v>
      </c>
      <c r="L33" s="668">
        <v>68.814187</v>
      </c>
      <c r="M33" s="668">
        <v>10.988174</v>
      </c>
      <c r="N33" s="668">
        <v>5.3134044199999995</v>
      </c>
      <c r="O33" s="669"/>
      <c r="P33" s="669">
        <v>3.0191929</v>
      </c>
      <c r="Q33" s="669">
        <v>2.577672</v>
      </c>
      <c r="R33" s="668">
        <v>3040.0256</v>
      </c>
      <c r="S33" s="634"/>
      <c r="T33" s="670">
        <f t="shared" si="1"/>
        <v>79.802361</v>
      </c>
      <c r="U33" s="634"/>
      <c r="V33" s="634"/>
      <c r="W33" s="634"/>
      <c r="X33" s="634"/>
      <c r="Y33" s="634"/>
      <c r="Z33" s="634"/>
      <c r="AA33" s="634"/>
    </row>
    <row r="34" ht="16.5" customHeight="1">
      <c r="A34" s="643"/>
      <c r="B34" s="643" t="s">
        <v>65</v>
      </c>
      <c r="C34" s="643" t="s">
        <v>429</v>
      </c>
      <c r="D34" s="643" t="s">
        <v>5096</v>
      </c>
      <c r="E34" s="643"/>
      <c r="F34" s="665"/>
      <c r="G34" s="683"/>
      <c r="H34" s="666" t="s">
        <v>5097</v>
      </c>
      <c r="I34" s="666" t="s">
        <v>5098</v>
      </c>
      <c r="J34" s="667" t="s">
        <v>200</v>
      </c>
      <c r="K34" s="668">
        <v>110.93167</v>
      </c>
      <c r="L34" s="668">
        <v>73.308599</v>
      </c>
      <c r="M34" s="668">
        <v>21.532061</v>
      </c>
      <c r="N34" s="668">
        <v>16.09071807</v>
      </c>
      <c r="O34" s="669"/>
      <c r="P34" s="669">
        <v>5.6397607</v>
      </c>
      <c r="Q34" s="669">
        <v>5.1247494</v>
      </c>
      <c r="R34" s="668">
        <v>39371.152</v>
      </c>
      <c r="S34" s="634"/>
      <c r="T34" s="670">
        <f t="shared" si="1"/>
        <v>94.84066</v>
      </c>
      <c r="U34" s="634"/>
      <c r="V34" s="634"/>
      <c r="W34" s="634"/>
      <c r="X34" s="634"/>
      <c r="Y34" s="634"/>
      <c r="Z34" s="634"/>
      <c r="AA34" s="634"/>
    </row>
    <row r="35" ht="16.5" customHeight="1">
      <c r="A35" s="643"/>
      <c r="B35" s="643" t="s">
        <v>66</v>
      </c>
      <c r="C35" s="643" t="s">
        <v>429</v>
      </c>
      <c r="D35" s="643" t="s">
        <v>5099</v>
      </c>
      <c r="E35" s="643"/>
      <c r="F35" s="665"/>
      <c r="G35" s="683"/>
      <c r="H35" s="666" t="s">
        <v>5100</v>
      </c>
      <c r="I35" s="666" t="s">
        <v>5101</v>
      </c>
      <c r="J35" s="667" t="s">
        <v>200</v>
      </c>
      <c r="K35" s="668">
        <v>29.804312</v>
      </c>
      <c r="L35" s="668">
        <v>25.61972</v>
      </c>
      <c r="M35" s="668">
        <v>3.0118722</v>
      </c>
      <c r="N35" s="668">
        <v>1.17121984</v>
      </c>
      <c r="O35" s="669"/>
      <c r="P35" s="669">
        <v>1.6305087</v>
      </c>
      <c r="Q35" s="669">
        <v>1.4580412</v>
      </c>
      <c r="R35" s="668">
        <v>2907.3616</v>
      </c>
      <c r="S35" s="634"/>
      <c r="T35" s="670">
        <f t="shared" si="1"/>
        <v>28.6315922</v>
      </c>
      <c r="U35" s="634"/>
      <c r="V35" s="634"/>
      <c r="W35" s="634"/>
      <c r="X35" s="634"/>
      <c r="Y35" s="634"/>
      <c r="Z35" s="634"/>
      <c r="AA35" s="634"/>
    </row>
    <row r="36" ht="16.5" customHeight="1">
      <c r="A36" s="643" t="s">
        <v>2030</v>
      </c>
      <c r="B36" s="643" t="s">
        <v>54</v>
      </c>
      <c r="C36" s="643" t="s">
        <v>412</v>
      </c>
      <c r="D36" s="643" t="s">
        <v>5102</v>
      </c>
      <c r="E36" s="643"/>
      <c r="F36" s="665"/>
      <c r="G36" s="683"/>
      <c r="H36" s="666" t="s">
        <v>2031</v>
      </c>
      <c r="I36" s="666" t="s">
        <v>5103</v>
      </c>
      <c r="J36" s="667" t="s">
        <v>200</v>
      </c>
      <c r="K36" s="685">
        <v>0.066389493</v>
      </c>
      <c r="L36" s="685">
        <v>0.06126107</v>
      </c>
      <c r="M36" s="685">
        <v>0.0039861449</v>
      </c>
      <c r="N36" s="685">
        <v>0.00114216546</v>
      </c>
      <c r="O36" s="669"/>
      <c r="P36" s="685">
        <v>0.010892845</v>
      </c>
      <c r="Q36" s="685">
        <v>0.010593406</v>
      </c>
      <c r="R36" s="681">
        <v>10.601677</v>
      </c>
      <c r="S36" s="634"/>
      <c r="T36" s="670">
        <f t="shared" si="1"/>
        <v>0.0652472149</v>
      </c>
      <c r="U36" s="634"/>
      <c r="V36" s="634"/>
      <c r="W36" s="634"/>
      <c r="X36" s="634"/>
      <c r="Y36" s="634"/>
      <c r="Z36" s="634"/>
      <c r="AA36" s="634"/>
    </row>
    <row r="37" ht="2.25" customHeight="1">
      <c r="A37" s="643" t="s">
        <v>2036</v>
      </c>
      <c r="B37" s="643" t="s">
        <v>56</v>
      </c>
      <c r="C37" s="643" t="s">
        <v>412</v>
      </c>
      <c r="D37" s="643" t="s">
        <v>5104</v>
      </c>
      <c r="E37" s="643"/>
      <c r="F37" s="665"/>
      <c r="G37" s="683"/>
      <c r="H37" s="666" t="s">
        <v>2037</v>
      </c>
      <c r="I37" s="666" t="s">
        <v>5105</v>
      </c>
      <c r="J37" s="667" t="s">
        <v>200</v>
      </c>
      <c r="K37" s="685">
        <v>0.19916756</v>
      </c>
      <c r="L37" s="685">
        <v>0.18378233</v>
      </c>
      <c r="M37" s="685">
        <v>0.011958403</v>
      </c>
      <c r="N37" s="685">
        <v>0.00342648868</v>
      </c>
      <c r="O37" s="669"/>
      <c r="P37" s="685">
        <v>0.032678733</v>
      </c>
      <c r="Q37" s="685">
        <v>0.031780417</v>
      </c>
      <c r="R37" s="681">
        <v>31.805033</v>
      </c>
      <c r="S37" s="634"/>
      <c r="T37" s="670">
        <f t="shared" si="1"/>
        <v>0.195740733</v>
      </c>
      <c r="U37" s="634"/>
      <c r="V37" s="634"/>
      <c r="W37" s="634"/>
      <c r="X37" s="634"/>
      <c r="Y37" s="634"/>
      <c r="Z37" s="634"/>
      <c r="AA37" s="634"/>
    </row>
    <row r="38" ht="15.75" customHeight="1">
      <c r="A38" s="643" t="s">
        <v>2041</v>
      </c>
      <c r="B38" s="643" t="s">
        <v>57</v>
      </c>
      <c r="C38" s="643" t="s">
        <v>412</v>
      </c>
      <c r="D38" s="643" t="s">
        <v>5106</v>
      </c>
      <c r="E38" s="643"/>
      <c r="F38" s="665"/>
      <c r="G38" s="683"/>
      <c r="H38" s="666" t="s">
        <v>2042</v>
      </c>
      <c r="I38" s="666" t="s">
        <v>5107</v>
      </c>
      <c r="J38" s="667" t="s">
        <v>200</v>
      </c>
      <c r="K38" s="685">
        <v>0.33194747</v>
      </c>
      <c r="L38" s="685">
        <v>0.30630535</v>
      </c>
      <c r="M38" s="685">
        <v>0.019930724</v>
      </c>
      <c r="N38" s="685">
        <v>0.0057108273000000005</v>
      </c>
      <c r="O38" s="669"/>
      <c r="P38" s="685">
        <v>0.054464225</v>
      </c>
      <c r="Q38" s="685">
        <v>0.052967031</v>
      </c>
      <c r="R38" s="681">
        <v>53.008384</v>
      </c>
      <c r="S38" s="634"/>
      <c r="T38" s="670">
        <f t="shared" si="1"/>
        <v>0.326236074</v>
      </c>
      <c r="U38" s="634"/>
      <c r="V38" s="634"/>
      <c r="W38" s="634"/>
      <c r="X38" s="634"/>
      <c r="Y38" s="634"/>
      <c r="Z38" s="634"/>
      <c r="AA38" s="634"/>
    </row>
    <row r="39" ht="15.75" customHeight="1">
      <c r="A39" s="643" t="s">
        <v>2076</v>
      </c>
      <c r="B39" s="643" t="s">
        <v>67</v>
      </c>
      <c r="C39" s="643" t="s">
        <v>412</v>
      </c>
      <c r="D39" s="643" t="s">
        <v>5108</v>
      </c>
      <c r="E39" s="643"/>
      <c r="F39" s="665"/>
      <c r="G39" s="683"/>
      <c r="H39" s="666" t="s">
        <v>2077</v>
      </c>
      <c r="I39" s="666" t="s">
        <v>5109</v>
      </c>
      <c r="J39" s="667" t="s">
        <v>334</v>
      </c>
      <c r="K39" s="669">
        <v>6.2548235</v>
      </c>
      <c r="L39" s="669">
        <v>1.2697351</v>
      </c>
      <c r="M39" s="669">
        <v>4.0682041</v>
      </c>
      <c r="N39" s="669">
        <v>0.916882153</v>
      </c>
      <c r="O39" s="669"/>
      <c r="P39" s="669">
        <v>2.728031</v>
      </c>
      <c r="Q39" s="669">
        <v>2.5218301</v>
      </c>
      <c r="R39" s="668">
        <v>4101.1603</v>
      </c>
      <c r="S39" s="634"/>
      <c r="T39" s="670">
        <f t="shared" si="1"/>
        <v>5.3379392</v>
      </c>
      <c r="U39" s="634"/>
      <c r="V39" s="634"/>
      <c r="W39" s="634"/>
      <c r="X39" s="634"/>
      <c r="Y39" s="634"/>
      <c r="Z39" s="634"/>
      <c r="AA39" s="634"/>
    </row>
    <row r="40" ht="15.75" customHeight="1">
      <c r="A40" s="643" t="s">
        <v>2081</v>
      </c>
      <c r="B40" s="643" t="s">
        <v>70</v>
      </c>
      <c r="C40" s="643" t="s">
        <v>412</v>
      </c>
      <c r="D40" s="643" t="s">
        <v>5110</v>
      </c>
      <c r="E40" s="643"/>
      <c r="F40" s="665"/>
      <c r="G40" s="683"/>
      <c r="H40" s="666" t="s">
        <v>2082</v>
      </c>
      <c r="I40" s="666" t="s">
        <v>5111</v>
      </c>
      <c r="J40" s="667" t="s">
        <v>5077</v>
      </c>
      <c r="K40" s="668">
        <v>176.55971</v>
      </c>
      <c r="L40" s="668">
        <v>121.46654</v>
      </c>
      <c r="M40" s="668">
        <v>41.323653</v>
      </c>
      <c r="N40" s="668">
        <v>13.769316199999999</v>
      </c>
      <c r="O40" s="669"/>
      <c r="P40" s="668">
        <v>706.06212</v>
      </c>
      <c r="Q40" s="668">
        <v>58.924613</v>
      </c>
      <c r="R40" s="668">
        <v>367066.01</v>
      </c>
      <c r="S40" s="634"/>
      <c r="T40" s="670">
        <f t="shared" si="1"/>
        <v>162.790193</v>
      </c>
      <c r="U40" s="634"/>
      <c r="V40" s="634"/>
      <c r="W40" s="634"/>
      <c r="X40" s="634"/>
      <c r="Y40" s="634"/>
      <c r="Z40" s="634"/>
      <c r="AA40" s="634"/>
    </row>
    <row r="41" ht="15.75" customHeight="1">
      <c r="A41" s="643" t="s">
        <v>2085</v>
      </c>
      <c r="B41" s="643" t="s">
        <v>71</v>
      </c>
      <c r="C41" s="643" t="s">
        <v>412</v>
      </c>
      <c r="D41" s="643" t="s">
        <v>5112</v>
      </c>
      <c r="E41" s="643"/>
      <c r="F41" s="665"/>
      <c r="G41" s="683"/>
      <c r="H41" s="666" t="s">
        <v>2082</v>
      </c>
      <c r="I41" s="666" t="s">
        <v>5113</v>
      </c>
      <c r="J41" s="667" t="s">
        <v>559</v>
      </c>
      <c r="K41" s="685">
        <v>0.94217558</v>
      </c>
      <c r="L41" s="685">
        <v>0.64818187</v>
      </c>
      <c r="M41" s="685">
        <v>0.22051541</v>
      </c>
      <c r="N41" s="685">
        <v>0.07347720099999999</v>
      </c>
      <c r="O41" s="685"/>
      <c r="P41" s="685">
        <v>3.7677593</v>
      </c>
      <c r="Q41" s="685">
        <v>0.31443941</v>
      </c>
      <c r="R41" s="668">
        <v>1958.7744</v>
      </c>
      <c r="S41" s="634"/>
      <c r="T41" s="670">
        <f t="shared" si="1"/>
        <v>0.86869728</v>
      </c>
      <c r="U41" s="634"/>
      <c r="V41" s="634"/>
      <c r="W41" s="634"/>
      <c r="X41" s="634"/>
      <c r="Y41" s="634"/>
      <c r="Z41" s="634"/>
      <c r="AA41" s="634"/>
    </row>
    <row r="42" ht="15.75" customHeight="1">
      <c r="A42" s="643" t="s">
        <v>2088</v>
      </c>
      <c r="B42" s="643" t="s">
        <v>72</v>
      </c>
      <c r="C42" s="643" t="s">
        <v>412</v>
      </c>
      <c r="D42" s="643" t="s">
        <v>5114</v>
      </c>
      <c r="E42" s="643"/>
      <c r="F42" s="665"/>
      <c r="G42" s="683"/>
      <c r="H42" s="666" t="s">
        <v>2089</v>
      </c>
      <c r="I42" s="666" t="s">
        <v>5115</v>
      </c>
      <c r="J42" s="667" t="s">
        <v>5077</v>
      </c>
      <c r="K42" s="668">
        <v>234.92716</v>
      </c>
      <c r="L42" s="668">
        <v>162.62268</v>
      </c>
      <c r="M42" s="668">
        <v>54.258117</v>
      </c>
      <c r="N42" s="668">
        <v>18.0460851</v>
      </c>
      <c r="O42" s="669"/>
      <c r="P42" s="668">
        <v>1053.8124</v>
      </c>
      <c r="Q42" s="668">
        <v>77.283457</v>
      </c>
      <c r="R42" s="668">
        <v>545919.59</v>
      </c>
      <c r="S42" s="634"/>
      <c r="T42" s="670">
        <f t="shared" si="1"/>
        <v>216.880797</v>
      </c>
      <c r="U42" s="634"/>
      <c r="V42" s="634"/>
      <c r="W42" s="634"/>
      <c r="X42" s="634"/>
      <c r="Y42" s="634"/>
      <c r="Z42" s="634"/>
      <c r="AA42" s="634"/>
    </row>
    <row r="43" ht="15.75" customHeight="1">
      <c r="A43" s="643" t="s">
        <v>2091</v>
      </c>
      <c r="B43" s="643" t="s">
        <v>73</v>
      </c>
      <c r="C43" s="643" t="s">
        <v>412</v>
      </c>
      <c r="D43" s="643" t="s">
        <v>5116</v>
      </c>
      <c r="E43" s="643"/>
      <c r="F43" s="665"/>
      <c r="G43" s="683"/>
      <c r="H43" s="666" t="s">
        <v>2089</v>
      </c>
      <c r="I43" s="666" t="s">
        <v>5117</v>
      </c>
      <c r="J43" s="667" t="s">
        <v>559</v>
      </c>
      <c r="K43" s="685">
        <v>0.96526871</v>
      </c>
      <c r="L43" s="685">
        <v>0.66818408</v>
      </c>
      <c r="M43" s="685">
        <v>0.22293575</v>
      </c>
      <c r="N43" s="685">
        <v>0.0741477533</v>
      </c>
      <c r="O43" s="685"/>
      <c r="P43" s="685">
        <v>4.3299043</v>
      </c>
      <c r="Q43" s="685">
        <v>0.31754226</v>
      </c>
      <c r="R43" s="668">
        <v>2243.0744</v>
      </c>
      <c r="S43" s="634"/>
      <c r="T43" s="670">
        <f t="shared" si="1"/>
        <v>0.89111983</v>
      </c>
      <c r="U43" s="634"/>
      <c r="V43" s="634"/>
      <c r="W43" s="634"/>
      <c r="X43" s="634"/>
      <c r="Y43" s="634"/>
      <c r="Z43" s="634"/>
      <c r="AA43" s="634"/>
    </row>
    <row r="44" ht="15.75" customHeight="1">
      <c r="A44" s="643" t="s">
        <v>2046</v>
      </c>
      <c r="B44" s="643" t="s">
        <v>59</v>
      </c>
      <c r="C44" s="643" t="s">
        <v>412</v>
      </c>
      <c r="D44" s="643" t="s">
        <v>5118</v>
      </c>
      <c r="E44" s="643"/>
      <c r="F44" s="665"/>
      <c r="G44" s="683"/>
      <c r="H44" s="666" t="s">
        <v>2047</v>
      </c>
      <c r="I44" s="666" t="s">
        <v>5119</v>
      </c>
      <c r="J44" s="667" t="s">
        <v>200</v>
      </c>
      <c r="K44" s="681">
        <v>9.7194731</v>
      </c>
      <c r="L44" s="681">
        <v>6.5165002</v>
      </c>
      <c r="M44" s="681">
        <v>1.8724817</v>
      </c>
      <c r="N44" s="681">
        <v>1.330467594</v>
      </c>
      <c r="O44" s="669"/>
      <c r="P44" s="669">
        <v>0.67398456</v>
      </c>
      <c r="Q44" s="669">
        <v>0.6250995</v>
      </c>
      <c r="R44" s="668">
        <v>806.8508</v>
      </c>
      <c r="S44" s="634"/>
      <c r="T44" s="670">
        <f t="shared" si="1"/>
        <v>8.3889819</v>
      </c>
      <c r="U44" s="634"/>
      <c r="V44" s="634"/>
      <c r="W44" s="634"/>
      <c r="X44" s="634"/>
      <c r="Y44" s="634"/>
      <c r="Z44" s="634"/>
      <c r="AA44" s="634"/>
    </row>
    <row r="45" ht="15.75" customHeight="1">
      <c r="A45" s="643" t="s">
        <v>2051</v>
      </c>
      <c r="B45" s="643" t="s">
        <v>61</v>
      </c>
      <c r="C45" s="643" t="s">
        <v>412</v>
      </c>
      <c r="D45" s="643" t="s">
        <v>5120</v>
      </c>
      <c r="E45" s="643"/>
      <c r="F45" s="665"/>
      <c r="G45" s="683"/>
      <c r="H45" s="666" t="s">
        <v>2052</v>
      </c>
      <c r="I45" s="666" t="s">
        <v>5121</v>
      </c>
      <c r="J45" s="667" t="s">
        <v>200</v>
      </c>
      <c r="K45" s="681">
        <v>11.586771</v>
      </c>
      <c r="L45" s="681">
        <v>7.8067247</v>
      </c>
      <c r="M45" s="681">
        <v>2.2208039</v>
      </c>
      <c r="N45" s="681">
        <v>1.559214066</v>
      </c>
      <c r="O45" s="669"/>
      <c r="P45" s="669">
        <v>1.0571348</v>
      </c>
      <c r="Q45" s="669">
        <v>0.97122917</v>
      </c>
      <c r="R45" s="668">
        <v>1094.1359</v>
      </c>
      <c r="S45" s="634"/>
      <c r="T45" s="670">
        <f t="shared" si="1"/>
        <v>10.0275286</v>
      </c>
      <c r="U45" s="634"/>
      <c r="V45" s="634"/>
      <c r="W45" s="634"/>
      <c r="X45" s="634"/>
      <c r="Y45" s="634"/>
      <c r="Z45" s="634"/>
      <c r="AA45" s="634"/>
    </row>
    <row r="46" ht="15.75" customHeight="1">
      <c r="A46" s="643" t="s">
        <v>2056</v>
      </c>
      <c r="B46" s="643" t="s">
        <v>62</v>
      </c>
      <c r="C46" s="643" t="s">
        <v>412</v>
      </c>
      <c r="D46" s="643" t="s">
        <v>5122</v>
      </c>
      <c r="E46" s="643"/>
      <c r="F46" s="665"/>
      <c r="G46" s="683"/>
      <c r="H46" s="666" t="s">
        <v>2057</v>
      </c>
      <c r="I46" s="666" t="s">
        <v>5123</v>
      </c>
      <c r="J46" s="667" t="s">
        <v>200</v>
      </c>
      <c r="K46" s="669">
        <v>0.13348796</v>
      </c>
      <c r="L46" s="669">
        <v>0.098309791</v>
      </c>
      <c r="M46" s="669">
        <v>0.028520361</v>
      </c>
      <c r="N46" s="669">
        <v>0.00665754078</v>
      </c>
      <c r="O46" s="669"/>
      <c r="P46" s="685">
        <v>0.02270358</v>
      </c>
      <c r="Q46" s="685">
        <v>0.02232139</v>
      </c>
      <c r="R46" s="668">
        <v>17.856565</v>
      </c>
      <c r="S46" s="634"/>
      <c r="T46" s="670">
        <f t="shared" si="1"/>
        <v>0.126830152</v>
      </c>
      <c r="U46" s="634"/>
      <c r="V46" s="634"/>
      <c r="W46" s="634"/>
      <c r="X46" s="634"/>
      <c r="Y46" s="634"/>
      <c r="Z46" s="634"/>
      <c r="AA46" s="634"/>
    </row>
    <row r="47" ht="15.75" customHeight="1">
      <c r="A47" s="643" t="s">
        <v>2061</v>
      </c>
      <c r="B47" s="643" t="s">
        <v>64</v>
      </c>
      <c r="C47" s="643" t="s">
        <v>412</v>
      </c>
      <c r="D47" s="643" t="s">
        <v>5124</v>
      </c>
      <c r="E47" s="643"/>
      <c r="F47" s="665"/>
      <c r="G47" s="683"/>
      <c r="H47" s="666" t="s">
        <v>2062</v>
      </c>
      <c r="I47" s="666" t="s">
        <v>5125</v>
      </c>
      <c r="J47" s="667" t="s">
        <v>200</v>
      </c>
      <c r="K47" s="685">
        <v>0.33604968</v>
      </c>
      <c r="L47" s="685">
        <v>0.3112291</v>
      </c>
      <c r="M47" s="685">
        <v>0.018871649</v>
      </c>
      <c r="N47" s="685">
        <v>0.00594842762</v>
      </c>
      <c r="O47" s="669"/>
      <c r="P47" s="669">
        <v>2.0374019</v>
      </c>
      <c r="Q47" s="669">
        <v>2.0326512</v>
      </c>
      <c r="R47" s="668">
        <v>997.49675</v>
      </c>
      <c r="S47" s="634"/>
      <c r="T47" s="670">
        <f t="shared" si="1"/>
        <v>0.330100749</v>
      </c>
      <c r="U47" s="634"/>
      <c r="V47" s="634"/>
      <c r="W47" s="634"/>
      <c r="X47" s="634"/>
      <c r="Y47" s="634"/>
      <c r="Z47" s="634"/>
      <c r="AA47" s="634"/>
    </row>
    <row r="48" ht="15.75" customHeight="1">
      <c r="A48" s="643" t="s">
        <v>2066</v>
      </c>
      <c r="B48" s="643" t="s">
        <v>65</v>
      </c>
      <c r="C48" s="643" t="s">
        <v>412</v>
      </c>
      <c r="D48" s="643" t="s">
        <v>5126</v>
      </c>
      <c r="E48" s="643"/>
      <c r="F48" s="665"/>
      <c r="G48" s="683"/>
      <c r="H48" s="666" t="s">
        <v>2067</v>
      </c>
      <c r="I48" s="666" t="s">
        <v>5127</v>
      </c>
      <c r="J48" s="667" t="s">
        <v>200</v>
      </c>
      <c r="K48" s="669">
        <v>0.1158037</v>
      </c>
      <c r="L48" s="669">
        <v>0.08594581</v>
      </c>
      <c r="M48" s="669">
        <v>0.024141423</v>
      </c>
      <c r="N48" s="669">
        <v>0.00571624336</v>
      </c>
      <c r="O48" s="669"/>
      <c r="P48" s="685">
        <v>0.13395145</v>
      </c>
      <c r="Q48" s="685">
        <v>0.13340652</v>
      </c>
      <c r="R48" s="668">
        <v>70.393466</v>
      </c>
      <c r="S48" s="634"/>
      <c r="T48" s="670">
        <f t="shared" si="1"/>
        <v>0.110087233</v>
      </c>
      <c r="U48" s="634"/>
      <c r="V48" s="634"/>
      <c r="W48" s="634"/>
      <c r="X48" s="634"/>
      <c r="Y48" s="634"/>
      <c r="Z48" s="634"/>
      <c r="AA48" s="634"/>
    </row>
    <row r="49" ht="15.75" customHeight="1">
      <c r="A49" s="643" t="s">
        <v>2071</v>
      </c>
      <c r="B49" s="643" t="s">
        <v>66</v>
      </c>
      <c r="C49" s="643" t="s">
        <v>412</v>
      </c>
      <c r="D49" s="643" t="s">
        <v>5128</v>
      </c>
      <c r="E49" s="643"/>
      <c r="F49" s="671"/>
      <c r="G49" s="686"/>
      <c r="H49" s="672" t="s">
        <v>5129</v>
      </c>
      <c r="I49" s="672" t="s">
        <v>5130</v>
      </c>
      <c r="J49" s="673" t="s">
        <v>200</v>
      </c>
      <c r="K49" s="687">
        <v>0.023633427</v>
      </c>
      <c r="L49" s="687">
        <v>0.022334713</v>
      </c>
      <c r="M49" s="687">
        <v>9.9982721E-4</v>
      </c>
      <c r="N49" s="687">
        <v>2.98845354E-4</v>
      </c>
      <c r="O49" s="675"/>
      <c r="P49" s="687">
        <v>0.067158622</v>
      </c>
      <c r="Q49" s="687">
        <v>0.066964678</v>
      </c>
      <c r="R49" s="674">
        <v>33.584086</v>
      </c>
      <c r="S49" s="634"/>
      <c r="T49" s="676">
        <f t="shared" si="1"/>
        <v>0.02333454021</v>
      </c>
      <c r="U49" s="634"/>
      <c r="V49" s="634"/>
      <c r="W49" s="634"/>
      <c r="X49" s="634"/>
      <c r="Y49" s="634"/>
      <c r="Z49" s="634"/>
      <c r="AA49" s="634"/>
    </row>
    <row r="50" ht="15.75" customHeight="1">
      <c r="A50" s="643"/>
      <c r="B50" s="643" t="s">
        <v>92</v>
      </c>
      <c r="C50" s="643" t="s">
        <v>429</v>
      </c>
      <c r="D50" s="643" t="s">
        <v>5131</v>
      </c>
      <c r="E50" s="643"/>
      <c r="F50" s="659" t="s">
        <v>2107</v>
      </c>
      <c r="G50" s="688"/>
      <c r="H50" s="660" t="s">
        <v>5132</v>
      </c>
      <c r="I50" s="660" t="s">
        <v>5133</v>
      </c>
      <c r="J50" s="661" t="s">
        <v>5077</v>
      </c>
      <c r="K50" s="662">
        <v>1177.3455</v>
      </c>
      <c r="L50" s="662">
        <v>690.94074</v>
      </c>
      <c r="M50" s="662">
        <v>95.535815</v>
      </c>
      <c r="N50" s="662">
        <v>390.8674154</v>
      </c>
      <c r="O50" s="663"/>
      <c r="P50" s="662">
        <v>38.00606</v>
      </c>
      <c r="Q50" s="680">
        <v>32.833576</v>
      </c>
      <c r="R50" s="662">
        <v>59942.615</v>
      </c>
      <c r="S50" s="634"/>
      <c r="T50" s="664">
        <f t="shared" si="1"/>
        <v>786.476555</v>
      </c>
      <c r="U50" s="634"/>
      <c r="V50" s="634"/>
      <c r="W50" s="634"/>
      <c r="X50" s="634"/>
      <c r="Y50" s="634"/>
      <c r="Z50" s="634"/>
      <c r="AA50" s="634"/>
    </row>
    <row r="51" ht="15.75" customHeight="1">
      <c r="A51" s="643"/>
      <c r="B51" s="643" t="s">
        <v>86</v>
      </c>
      <c r="C51" s="643" t="s">
        <v>429</v>
      </c>
      <c r="D51" s="643" t="s">
        <v>5134</v>
      </c>
      <c r="E51" s="643"/>
      <c r="F51" s="665"/>
      <c r="G51" s="683"/>
      <c r="H51" s="666" t="s">
        <v>2134</v>
      </c>
      <c r="I51" s="666" t="s">
        <v>5135</v>
      </c>
      <c r="J51" s="667" t="s">
        <v>200</v>
      </c>
      <c r="K51" s="668">
        <v>205.90565</v>
      </c>
      <c r="L51" s="668">
        <v>163.8535</v>
      </c>
      <c r="M51" s="668">
        <v>27.693795</v>
      </c>
      <c r="N51" s="668">
        <v>14.35724737</v>
      </c>
      <c r="O51" s="669"/>
      <c r="P51" s="681">
        <v>11.696302</v>
      </c>
      <c r="Q51" s="681">
        <v>10.606876</v>
      </c>
      <c r="R51" s="668">
        <v>44993.575</v>
      </c>
      <c r="S51" s="634"/>
      <c r="T51" s="670">
        <f t="shared" si="1"/>
        <v>191.547295</v>
      </c>
      <c r="U51" s="634"/>
      <c r="V51" s="634"/>
      <c r="W51" s="634"/>
      <c r="X51" s="634"/>
      <c r="Y51" s="634"/>
      <c r="Z51" s="634"/>
      <c r="AA51" s="634"/>
    </row>
    <row r="52" ht="15.75" customHeight="1">
      <c r="A52" s="643"/>
      <c r="B52" s="643" t="s">
        <v>87</v>
      </c>
      <c r="C52" s="643" t="s">
        <v>429</v>
      </c>
      <c r="D52" s="643" t="s">
        <v>5136</v>
      </c>
      <c r="E52" s="643"/>
      <c r="F52" s="665"/>
      <c r="G52" s="683"/>
      <c r="H52" s="666" t="s">
        <v>2139</v>
      </c>
      <c r="I52" s="666" t="s">
        <v>5137</v>
      </c>
      <c r="J52" s="667" t="s">
        <v>200</v>
      </c>
      <c r="K52" s="668">
        <v>125.78682</v>
      </c>
      <c r="L52" s="668">
        <v>100.53489</v>
      </c>
      <c r="M52" s="668">
        <v>16.769729</v>
      </c>
      <c r="N52" s="668">
        <v>8.48128058</v>
      </c>
      <c r="O52" s="669"/>
      <c r="P52" s="681">
        <v>6.5980124</v>
      </c>
      <c r="Q52" s="681">
        <v>5.930595</v>
      </c>
      <c r="R52" s="668">
        <v>21586.701</v>
      </c>
      <c r="S52" s="634"/>
      <c r="T52" s="670">
        <f t="shared" si="1"/>
        <v>117.304619</v>
      </c>
      <c r="U52" s="634"/>
      <c r="V52" s="634"/>
      <c r="W52" s="634"/>
      <c r="X52" s="634"/>
      <c r="Y52" s="634"/>
      <c r="Z52" s="634"/>
      <c r="AA52" s="634"/>
    </row>
    <row r="53" ht="15.75" customHeight="1">
      <c r="A53" s="643"/>
      <c r="B53" s="643" t="s">
        <v>88</v>
      </c>
      <c r="C53" s="643" t="s">
        <v>429</v>
      </c>
      <c r="D53" s="643" t="s">
        <v>5138</v>
      </c>
      <c r="E53" s="643"/>
      <c r="F53" s="665"/>
      <c r="G53" s="683"/>
      <c r="H53" s="666" t="s">
        <v>2144</v>
      </c>
      <c r="I53" s="666" t="s">
        <v>5139</v>
      </c>
      <c r="J53" s="667" t="s">
        <v>200</v>
      </c>
      <c r="K53" s="681">
        <v>58.00232</v>
      </c>
      <c r="L53" s="681">
        <v>47.105598</v>
      </c>
      <c r="M53" s="681">
        <v>7.3670011</v>
      </c>
      <c r="N53" s="681">
        <v>3.52967123</v>
      </c>
      <c r="O53" s="669"/>
      <c r="P53" s="681">
        <v>3.2760901</v>
      </c>
      <c r="Q53" s="681">
        <v>2.9460562</v>
      </c>
      <c r="R53" s="668">
        <v>13265.826</v>
      </c>
      <c r="S53" s="634"/>
      <c r="T53" s="670">
        <f t="shared" si="1"/>
        <v>54.4725991</v>
      </c>
      <c r="U53" s="634"/>
      <c r="V53" s="634"/>
      <c r="W53" s="634"/>
      <c r="X53" s="634"/>
      <c r="Y53" s="634"/>
      <c r="Z53" s="634"/>
      <c r="AA53" s="634"/>
    </row>
    <row r="54" ht="15.75" customHeight="1">
      <c r="A54" s="643"/>
      <c r="B54" s="643" t="s">
        <v>89</v>
      </c>
      <c r="C54" s="643" t="s">
        <v>429</v>
      </c>
      <c r="D54" s="643" t="s">
        <v>5140</v>
      </c>
      <c r="E54" s="643"/>
      <c r="F54" s="665"/>
      <c r="G54" s="683"/>
      <c r="H54" s="666" t="s">
        <v>2149</v>
      </c>
      <c r="I54" s="666" t="s">
        <v>5141</v>
      </c>
      <c r="J54" s="667" t="s">
        <v>200</v>
      </c>
      <c r="K54" s="681">
        <v>55.128698</v>
      </c>
      <c r="L54" s="681">
        <v>47.597675</v>
      </c>
      <c r="M54" s="681">
        <v>5.7230279</v>
      </c>
      <c r="N54" s="681">
        <v>1.8079504990000002</v>
      </c>
      <c r="O54" s="669"/>
      <c r="P54" s="681">
        <v>2.9219887</v>
      </c>
      <c r="Q54" s="681">
        <v>2.6396475</v>
      </c>
      <c r="R54" s="668">
        <v>3222.6885</v>
      </c>
      <c r="S54" s="634"/>
      <c r="T54" s="670">
        <f t="shared" si="1"/>
        <v>53.3207029</v>
      </c>
      <c r="U54" s="634"/>
      <c r="V54" s="634"/>
      <c r="W54" s="634"/>
      <c r="X54" s="634"/>
      <c r="Y54" s="634"/>
      <c r="Z54" s="634"/>
      <c r="AA54" s="634"/>
    </row>
    <row r="55" ht="15.75" customHeight="1">
      <c r="A55" s="643"/>
      <c r="B55" s="643" t="s">
        <v>90</v>
      </c>
      <c r="C55" s="643" t="s">
        <v>429</v>
      </c>
      <c r="D55" s="643" t="s">
        <v>5142</v>
      </c>
      <c r="E55" s="643"/>
      <c r="F55" s="665"/>
      <c r="G55" s="683"/>
      <c r="H55" s="666" t="s">
        <v>5143</v>
      </c>
      <c r="I55" s="666" t="s">
        <v>5144</v>
      </c>
      <c r="J55" s="667" t="s">
        <v>200</v>
      </c>
      <c r="K55" s="681">
        <v>95.555054</v>
      </c>
      <c r="L55" s="681">
        <v>82.501494</v>
      </c>
      <c r="M55" s="681">
        <v>9.9197529</v>
      </c>
      <c r="N55" s="681">
        <v>3.13373016</v>
      </c>
      <c r="O55" s="669"/>
      <c r="P55" s="681">
        <v>5.0646919</v>
      </c>
      <c r="Q55" s="681">
        <v>4.5753074</v>
      </c>
      <c r="R55" s="668">
        <v>5585.8902</v>
      </c>
      <c r="S55" s="634"/>
      <c r="T55" s="670">
        <f t="shared" si="1"/>
        <v>92.4212469</v>
      </c>
      <c r="U55" s="634"/>
      <c r="V55" s="634"/>
      <c r="W55" s="634"/>
      <c r="X55" s="634"/>
      <c r="Y55" s="634"/>
      <c r="Z55" s="634"/>
      <c r="AA55" s="634"/>
    </row>
    <row r="56" ht="15.75" customHeight="1">
      <c r="A56" s="643"/>
      <c r="B56" s="643" t="s">
        <v>91</v>
      </c>
      <c r="C56" s="643" t="s">
        <v>429</v>
      </c>
      <c r="D56" s="643" t="s">
        <v>5145</v>
      </c>
      <c r="E56" s="643"/>
      <c r="F56" s="665"/>
      <c r="G56" s="683"/>
      <c r="H56" s="666" t="s">
        <v>5146</v>
      </c>
      <c r="I56" s="666" t="s">
        <v>5147</v>
      </c>
      <c r="J56" s="667" t="s">
        <v>200</v>
      </c>
      <c r="K56" s="668">
        <v>238.88588</v>
      </c>
      <c r="L56" s="668">
        <v>206.25224</v>
      </c>
      <c r="M56" s="668">
        <v>24.799177</v>
      </c>
      <c r="N56" s="668">
        <v>7.83426112</v>
      </c>
      <c r="O56" s="669"/>
      <c r="P56" s="681">
        <v>12.661629</v>
      </c>
      <c r="Q56" s="681">
        <v>11.438177</v>
      </c>
      <c r="R56" s="668">
        <v>13964.614</v>
      </c>
      <c r="S56" s="634"/>
      <c r="T56" s="670">
        <f t="shared" si="1"/>
        <v>231.051417</v>
      </c>
      <c r="U56" s="634"/>
      <c r="V56" s="634"/>
      <c r="W56" s="634"/>
      <c r="X56" s="634"/>
      <c r="Y56" s="634"/>
      <c r="Z56" s="634"/>
      <c r="AA56" s="634"/>
    </row>
    <row r="57" ht="15.75" customHeight="1">
      <c r="A57" s="643"/>
      <c r="B57" s="643" t="s">
        <v>80</v>
      </c>
      <c r="C57" s="643" t="s">
        <v>429</v>
      </c>
      <c r="D57" s="643" t="s">
        <v>5148</v>
      </c>
      <c r="E57" s="643"/>
      <c r="F57" s="665"/>
      <c r="G57" s="683"/>
      <c r="H57" s="666" t="s">
        <v>5149</v>
      </c>
      <c r="I57" s="666" t="s">
        <v>5150</v>
      </c>
      <c r="J57" s="667" t="s">
        <v>200</v>
      </c>
      <c r="K57" s="668">
        <v>211.13186</v>
      </c>
      <c r="L57" s="668">
        <v>164.10811</v>
      </c>
      <c r="M57" s="668">
        <v>31.364542</v>
      </c>
      <c r="N57" s="668">
        <v>15.651083799999999</v>
      </c>
      <c r="O57" s="669"/>
      <c r="P57" s="681">
        <v>12.326849</v>
      </c>
      <c r="Q57" s="681">
        <v>11.153865</v>
      </c>
      <c r="R57" s="668">
        <v>31434.566</v>
      </c>
      <c r="S57" s="634"/>
      <c r="T57" s="670">
        <f t="shared" si="1"/>
        <v>195.472652</v>
      </c>
      <c r="U57" s="634"/>
      <c r="V57" s="634"/>
      <c r="W57" s="634"/>
      <c r="X57" s="634"/>
      <c r="Y57" s="634"/>
      <c r="Z57" s="634"/>
      <c r="AA57" s="634"/>
    </row>
    <row r="58" ht="15.75" customHeight="1">
      <c r="A58" s="643"/>
      <c r="B58" s="643" t="s">
        <v>82</v>
      </c>
      <c r="C58" s="643" t="s">
        <v>429</v>
      </c>
      <c r="D58" s="643" t="s">
        <v>5151</v>
      </c>
      <c r="E58" s="643"/>
      <c r="F58" s="665"/>
      <c r="G58" s="683"/>
      <c r="H58" s="666" t="s">
        <v>5152</v>
      </c>
      <c r="I58" s="666" t="s">
        <v>5153</v>
      </c>
      <c r="J58" s="667" t="s">
        <v>200</v>
      </c>
      <c r="K58" s="668">
        <v>284.97278</v>
      </c>
      <c r="L58" s="668">
        <v>221.70648</v>
      </c>
      <c r="M58" s="668">
        <v>42.227635</v>
      </c>
      <c r="N58" s="668">
        <v>21.0270077</v>
      </c>
      <c r="O58" s="669"/>
      <c r="P58" s="681">
        <v>16.610554</v>
      </c>
      <c r="Q58" s="681">
        <v>15.030723</v>
      </c>
      <c r="R58" s="668">
        <v>42397.044</v>
      </c>
      <c r="S58" s="634"/>
      <c r="T58" s="670">
        <f t="shared" si="1"/>
        <v>263.934115</v>
      </c>
      <c r="U58" s="634"/>
      <c r="V58" s="634"/>
      <c r="W58" s="634"/>
      <c r="X58" s="634"/>
      <c r="Y58" s="634"/>
      <c r="Z58" s="634"/>
      <c r="AA58" s="634"/>
    </row>
    <row r="59" ht="15.75" customHeight="1">
      <c r="A59" s="643"/>
      <c r="B59" s="643" t="s">
        <v>83</v>
      </c>
      <c r="C59" s="643" t="s">
        <v>429</v>
      </c>
      <c r="D59" s="643" t="s">
        <v>5154</v>
      </c>
      <c r="E59" s="643"/>
      <c r="F59" s="665"/>
      <c r="G59" s="683"/>
      <c r="H59" s="666" t="s">
        <v>5155</v>
      </c>
      <c r="I59" s="666" t="s">
        <v>5156</v>
      </c>
      <c r="J59" s="667" t="s">
        <v>200</v>
      </c>
      <c r="K59" s="668">
        <v>432.65198</v>
      </c>
      <c r="L59" s="668">
        <v>336.90127</v>
      </c>
      <c r="M59" s="668">
        <v>63.95338</v>
      </c>
      <c r="N59" s="668">
        <v>31.778621899999997</v>
      </c>
      <c r="O59" s="669"/>
      <c r="P59" s="681">
        <v>25.177812</v>
      </c>
      <c r="Q59" s="681">
        <v>22.784301</v>
      </c>
      <c r="R59" s="668">
        <v>64321.65</v>
      </c>
      <c r="S59" s="634"/>
      <c r="T59" s="670">
        <f t="shared" si="1"/>
        <v>400.85465</v>
      </c>
      <c r="U59" s="634"/>
      <c r="V59" s="634"/>
      <c r="W59" s="634"/>
      <c r="X59" s="634"/>
      <c r="Y59" s="634"/>
      <c r="Z59" s="634"/>
      <c r="AA59" s="634"/>
    </row>
    <row r="60" ht="15.75" customHeight="1">
      <c r="A60" s="643"/>
      <c r="B60" s="643" t="s">
        <v>84</v>
      </c>
      <c r="C60" s="643" t="s">
        <v>429</v>
      </c>
      <c r="D60" s="643" t="s">
        <v>5157</v>
      </c>
      <c r="E60" s="643"/>
      <c r="F60" s="665"/>
      <c r="G60" s="683"/>
      <c r="H60" s="666" t="s">
        <v>5158</v>
      </c>
      <c r="I60" s="666" t="s">
        <v>5159</v>
      </c>
      <c r="J60" s="667" t="s">
        <v>200</v>
      </c>
      <c r="K60" s="668">
        <v>580.33601</v>
      </c>
      <c r="L60" s="668">
        <v>452.09976</v>
      </c>
      <c r="M60" s="668">
        <v>85.67986</v>
      </c>
      <c r="N60" s="668">
        <v>42.530622</v>
      </c>
      <c r="O60" s="669"/>
      <c r="P60" s="681">
        <v>33.745342</v>
      </c>
      <c r="Q60" s="681">
        <v>30.538124</v>
      </c>
      <c r="R60" s="668">
        <v>86246.911</v>
      </c>
      <c r="S60" s="634"/>
      <c r="T60" s="670">
        <f t="shared" si="1"/>
        <v>537.77962</v>
      </c>
      <c r="U60" s="634"/>
      <c r="V60" s="634"/>
      <c r="W60" s="634"/>
      <c r="X60" s="634"/>
      <c r="Y60" s="634"/>
      <c r="Z60" s="634"/>
      <c r="AA60" s="634"/>
    </row>
    <row r="61" ht="15.75" customHeight="1">
      <c r="A61" s="643"/>
      <c r="B61" s="643" t="s">
        <v>85</v>
      </c>
      <c r="C61" s="643" t="s">
        <v>429</v>
      </c>
      <c r="D61" s="643" t="s">
        <v>5160</v>
      </c>
      <c r="E61" s="643"/>
      <c r="F61" s="665"/>
      <c r="G61" s="683"/>
      <c r="H61" s="666" t="s">
        <v>5161</v>
      </c>
      <c r="I61" s="666" t="s">
        <v>5162</v>
      </c>
      <c r="J61" s="667" t="s">
        <v>200</v>
      </c>
      <c r="K61" s="668">
        <v>728.01732</v>
      </c>
      <c r="L61" s="668">
        <v>567.29625</v>
      </c>
      <c r="M61" s="668">
        <v>107.40589</v>
      </c>
      <c r="N61" s="668">
        <v>53.2823542</v>
      </c>
      <c r="O61" s="669"/>
      <c r="P61" s="681">
        <v>42.312724</v>
      </c>
      <c r="Q61" s="681">
        <v>38.291813</v>
      </c>
      <c r="R61" s="668">
        <v>108171.72</v>
      </c>
      <c r="S61" s="634"/>
      <c r="T61" s="670">
        <f t="shared" si="1"/>
        <v>674.70214</v>
      </c>
      <c r="U61" s="634"/>
      <c r="V61" s="634"/>
      <c r="W61" s="634"/>
      <c r="X61" s="634"/>
      <c r="Y61" s="634"/>
      <c r="Z61" s="634"/>
      <c r="AA61" s="634"/>
    </row>
    <row r="62" ht="15.75" customHeight="1">
      <c r="A62" s="643" t="s">
        <v>2165</v>
      </c>
      <c r="B62" s="643" t="s">
        <v>92</v>
      </c>
      <c r="C62" s="643" t="s">
        <v>412</v>
      </c>
      <c r="D62" s="643" t="s">
        <v>5163</v>
      </c>
      <c r="E62" s="643"/>
      <c r="F62" s="665"/>
      <c r="G62" s="683"/>
      <c r="H62" s="666" t="s">
        <v>2166</v>
      </c>
      <c r="I62" s="666" t="s">
        <v>5164</v>
      </c>
      <c r="J62" s="667" t="s">
        <v>5077</v>
      </c>
      <c r="K62" s="669">
        <v>5.337334</v>
      </c>
      <c r="L62" s="669">
        <v>4.2558616</v>
      </c>
      <c r="M62" s="669">
        <v>0.80867382</v>
      </c>
      <c r="N62" s="669">
        <v>0.272791872</v>
      </c>
      <c r="O62" s="669"/>
      <c r="P62" s="669">
        <v>5.4849622</v>
      </c>
      <c r="Q62" s="669">
        <v>5.403873</v>
      </c>
      <c r="R62" s="668">
        <v>3263.8536</v>
      </c>
      <c r="S62" s="634"/>
      <c r="T62" s="670">
        <f t="shared" si="1"/>
        <v>5.06453542</v>
      </c>
      <c r="U62" s="634"/>
      <c r="V62" s="634"/>
      <c r="W62" s="634"/>
      <c r="X62" s="634"/>
      <c r="Y62" s="634"/>
      <c r="Z62" s="634"/>
      <c r="AA62" s="634"/>
    </row>
    <row r="63" ht="15.75" customHeight="1">
      <c r="A63" s="643" t="s">
        <v>2135</v>
      </c>
      <c r="B63" s="643" t="s">
        <v>86</v>
      </c>
      <c r="C63" s="643" t="s">
        <v>412</v>
      </c>
      <c r="D63" s="643" t="s">
        <v>5165</v>
      </c>
      <c r="E63" s="643"/>
      <c r="F63" s="665"/>
      <c r="G63" s="683"/>
      <c r="H63" s="666" t="s">
        <v>2136</v>
      </c>
      <c r="I63" s="666" t="s">
        <v>5166</v>
      </c>
      <c r="J63" s="667" t="s">
        <v>200</v>
      </c>
      <c r="K63" s="685">
        <v>0.31318215</v>
      </c>
      <c r="L63" s="685">
        <v>0.24362856</v>
      </c>
      <c r="M63" s="685">
        <v>0.055583312</v>
      </c>
      <c r="N63" s="685">
        <v>0.013969552270000001</v>
      </c>
      <c r="O63" s="669"/>
      <c r="P63" s="685">
        <v>0.2990664</v>
      </c>
      <c r="Q63" s="685">
        <v>0.29685191</v>
      </c>
      <c r="R63" s="668">
        <v>181.51006</v>
      </c>
      <c r="S63" s="634"/>
      <c r="T63" s="670">
        <f t="shared" si="1"/>
        <v>0.299211872</v>
      </c>
      <c r="U63" s="634"/>
      <c r="V63" s="634"/>
      <c r="W63" s="634"/>
      <c r="X63" s="634"/>
      <c r="Y63" s="634"/>
      <c r="Z63" s="634"/>
      <c r="AA63" s="634"/>
    </row>
    <row r="64" ht="15.75" customHeight="1">
      <c r="A64" s="643" t="s">
        <v>2140</v>
      </c>
      <c r="B64" s="643" t="s">
        <v>87</v>
      </c>
      <c r="C64" s="643" t="s">
        <v>412</v>
      </c>
      <c r="D64" s="643" t="s">
        <v>5167</v>
      </c>
      <c r="E64" s="643"/>
      <c r="F64" s="665"/>
      <c r="G64" s="683"/>
      <c r="H64" s="666" t="s">
        <v>2141</v>
      </c>
      <c r="I64" s="666" t="s">
        <v>5168</v>
      </c>
      <c r="J64" s="667" t="s">
        <v>200</v>
      </c>
      <c r="K64" s="685">
        <v>0.27653422</v>
      </c>
      <c r="L64" s="685">
        <v>0.23423295</v>
      </c>
      <c r="M64" s="685">
        <v>0.033201635</v>
      </c>
      <c r="N64" s="685">
        <v>0.009099028129999999</v>
      </c>
      <c r="O64" s="669"/>
      <c r="P64" s="685">
        <v>0.72411512</v>
      </c>
      <c r="Q64" s="685">
        <v>0.7210846</v>
      </c>
      <c r="R64" s="668">
        <v>371.18548</v>
      </c>
      <c r="S64" s="634"/>
      <c r="T64" s="670">
        <f t="shared" si="1"/>
        <v>0.267434585</v>
      </c>
      <c r="U64" s="634"/>
      <c r="V64" s="634"/>
      <c r="W64" s="634"/>
      <c r="X64" s="634"/>
      <c r="Y64" s="634"/>
      <c r="Z64" s="634"/>
      <c r="AA64" s="634"/>
    </row>
    <row r="65" ht="15.75" customHeight="1">
      <c r="A65" s="643" t="s">
        <v>2145</v>
      </c>
      <c r="B65" s="643" t="s">
        <v>88</v>
      </c>
      <c r="C65" s="643" t="s">
        <v>412</v>
      </c>
      <c r="D65" s="643" t="s">
        <v>5169</v>
      </c>
      <c r="E65" s="643"/>
      <c r="F65" s="665"/>
      <c r="G65" s="683"/>
      <c r="H65" s="666" t="s">
        <v>2146</v>
      </c>
      <c r="I65" s="666" t="s">
        <v>5170</v>
      </c>
      <c r="J65" s="667" t="s">
        <v>200</v>
      </c>
      <c r="K65" s="685">
        <v>0.060276262</v>
      </c>
      <c r="L65" s="685">
        <v>0.056906087</v>
      </c>
      <c r="M65" s="685">
        <v>0.0026195363</v>
      </c>
      <c r="N65" s="685">
        <v>7.50529511E-4</v>
      </c>
      <c r="O65" s="669"/>
      <c r="P65" s="685">
        <v>0.12589926</v>
      </c>
      <c r="Q65" s="685">
        <v>0.12548881</v>
      </c>
      <c r="R65" s="668">
        <v>65.712228</v>
      </c>
      <c r="S65" s="634"/>
      <c r="T65" s="670">
        <f t="shared" si="1"/>
        <v>0.0595256233</v>
      </c>
      <c r="U65" s="634"/>
      <c r="V65" s="634"/>
      <c r="W65" s="634"/>
      <c r="X65" s="634"/>
      <c r="Y65" s="634"/>
      <c r="Z65" s="634"/>
      <c r="AA65" s="634"/>
    </row>
    <row r="66" ht="15.75" customHeight="1">
      <c r="A66" s="643" t="s">
        <v>2150</v>
      </c>
      <c r="B66" s="643" t="s">
        <v>89</v>
      </c>
      <c r="C66" s="643" t="s">
        <v>412</v>
      </c>
      <c r="D66" s="643" t="s">
        <v>5171</v>
      </c>
      <c r="E66" s="643"/>
      <c r="F66" s="665"/>
      <c r="G66" s="683"/>
      <c r="H66" s="666" t="s">
        <v>2151</v>
      </c>
      <c r="I66" s="666" t="s">
        <v>5172</v>
      </c>
      <c r="J66" s="667" t="s">
        <v>200</v>
      </c>
      <c r="K66" s="669">
        <v>4.7904356</v>
      </c>
      <c r="L66" s="669">
        <v>3.8081617</v>
      </c>
      <c r="M66" s="669">
        <v>0.79580025</v>
      </c>
      <c r="N66" s="669">
        <v>0.18646570280000002</v>
      </c>
      <c r="O66" s="669"/>
      <c r="P66" s="669">
        <v>1.6273</v>
      </c>
      <c r="Q66" s="669">
        <v>1.6115917</v>
      </c>
      <c r="R66" s="668">
        <v>1328.4671</v>
      </c>
      <c r="S66" s="634"/>
      <c r="T66" s="670">
        <f t="shared" si="1"/>
        <v>4.60396195</v>
      </c>
      <c r="U66" s="634"/>
      <c r="V66" s="634"/>
      <c r="W66" s="634"/>
      <c r="X66" s="634"/>
      <c r="Y66" s="634"/>
      <c r="Z66" s="634"/>
      <c r="AA66" s="634"/>
    </row>
    <row r="67" ht="15.75" customHeight="1">
      <c r="A67" s="643" t="s">
        <v>2155</v>
      </c>
      <c r="B67" s="643" t="s">
        <v>90</v>
      </c>
      <c r="C67" s="643" t="s">
        <v>412</v>
      </c>
      <c r="D67" s="643" t="s">
        <v>5173</v>
      </c>
      <c r="E67" s="643"/>
      <c r="F67" s="665"/>
      <c r="G67" s="683"/>
      <c r="H67" s="666" t="s">
        <v>2156</v>
      </c>
      <c r="I67" s="666" t="s">
        <v>5174</v>
      </c>
      <c r="J67" s="667" t="s">
        <v>200</v>
      </c>
      <c r="K67" s="669">
        <v>8.3034484</v>
      </c>
      <c r="L67" s="669">
        <v>6.6008347</v>
      </c>
      <c r="M67" s="669">
        <v>1.3793916</v>
      </c>
      <c r="N67" s="669">
        <v>0.32320827</v>
      </c>
      <c r="O67" s="669"/>
      <c r="P67" s="669">
        <v>2.8206466</v>
      </c>
      <c r="Q67" s="669">
        <v>2.7934188</v>
      </c>
      <c r="R67" s="668">
        <v>2302.6763</v>
      </c>
      <c r="S67" s="634"/>
      <c r="T67" s="670">
        <f t="shared" si="1"/>
        <v>7.9802263</v>
      </c>
      <c r="U67" s="634"/>
      <c r="V67" s="634"/>
      <c r="W67" s="634"/>
      <c r="X67" s="634"/>
      <c r="Y67" s="634"/>
      <c r="Z67" s="634"/>
      <c r="AA67" s="634"/>
    </row>
    <row r="68" ht="15.75" customHeight="1">
      <c r="A68" s="643" t="s">
        <v>2160</v>
      </c>
      <c r="B68" s="643" t="s">
        <v>91</v>
      </c>
      <c r="C68" s="643" t="s">
        <v>412</v>
      </c>
      <c r="D68" s="643" t="s">
        <v>5175</v>
      </c>
      <c r="E68" s="643"/>
      <c r="F68" s="665"/>
      <c r="G68" s="683"/>
      <c r="H68" s="666" t="s">
        <v>2161</v>
      </c>
      <c r="I68" s="666" t="s">
        <v>5176</v>
      </c>
      <c r="J68" s="667" t="s">
        <v>200</v>
      </c>
      <c r="K68" s="681">
        <v>20.758544</v>
      </c>
      <c r="L68" s="681">
        <v>16.502013</v>
      </c>
      <c r="M68" s="681">
        <v>3.4484765</v>
      </c>
      <c r="N68" s="681">
        <v>0.8080200089999999</v>
      </c>
      <c r="O68" s="669"/>
      <c r="P68" s="669">
        <v>7.051613</v>
      </c>
      <c r="Q68" s="669">
        <v>6.9835437</v>
      </c>
      <c r="R68" s="668">
        <v>5756.6818</v>
      </c>
      <c r="S68" s="634"/>
      <c r="T68" s="670">
        <f t="shared" si="1"/>
        <v>19.9504895</v>
      </c>
      <c r="U68" s="634"/>
      <c r="V68" s="634"/>
      <c r="W68" s="634"/>
      <c r="X68" s="634"/>
      <c r="Y68" s="634"/>
      <c r="Z68" s="634"/>
      <c r="AA68" s="634"/>
    </row>
    <row r="69" ht="15.75" customHeight="1">
      <c r="A69" s="643" t="s">
        <v>2110</v>
      </c>
      <c r="B69" s="643" t="s">
        <v>80</v>
      </c>
      <c r="C69" s="643" t="s">
        <v>412</v>
      </c>
      <c r="D69" s="643" t="s">
        <v>5177</v>
      </c>
      <c r="E69" s="643"/>
      <c r="F69" s="665"/>
      <c r="G69" s="683"/>
      <c r="H69" s="666" t="s">
        <v>5178</v>
      </c>
      <c r="I69" s="666" t="s">
        <v>5179</v>
      </c>
      <c r="J69" s="667" t="s">
        <v>200</v>
      </c>
      <c r="K69" s="685">
        <v>0.77357046</v>
      </c>
      <c r="L69" s="685">
        <v>0.64907792</v>
      </c>
      <c r="M69" s="685">
        <v>0.099463231</v>
      </c>
      <c r="N69" s="685">
        <v>0.0250277059</v>
      </c>
      <c r="O69" s="669"/>
      <c r="P69" s="685">
        <v>0.34528233</v>
      </c>
      <c r="Q69" s="685">
        <v>0.33759423</v>
      </c>
      <c r="R69" s="668">
        <v>222.35284</v>
      </c>
      <c r="S69" s="634"/>
      <c r="T69" s="670">
        <f t="shared" si="1"/>
        <v>0.748541151</v>
      </c>
      <c r="U69" s="634"/>
      <c r="V69" s="634"/>
      <c r="W69" s="634"/>
      <c r="X69" s="634"/>
      <c r="Y69" s="634"/>
      <c r="Z69" s="634"/>
      <c r="AA69" s="634"/>
    </row>
    <row r="70" ht="15.75" customHeight="1">
      <c r="A70" s="643" t="s">
        <v>2115</v>
      </c>
      <c r="B70" s="643" t="s">
        <v>82</v>
      </c>
      <c r="C70" s="643" t="s">
        <v>412</v>
      </c>
      <c r="D70" s="643" t="s">
        <v>5180</v>
      </c>
      <c r="E70" s="643"/>
      <c r="F70" s="665"/>
      <c r="G70" s="683"/>
      <c r="H70" s="666" t="s">
        <v>5181</v>
      </c>
      <c r="I70" s="666" t="s">
        <v>5182</v>
      </c>
      <c r="J70" s="667" t="s">
        <v>200</v>
      </c>
      <c r="K70" s="669">
        <v>1.0655222</v>
      </c>
      <c r="L70" s="669">
        <v>0.89629831</v>
      </c>
      <c r="M70" s="669">
        <v>0.1351207</v>
      </c>
      <c r="N70" s="669">
        <v>0.0341009862</v>
      </c>
      <c r="O70" s="669"/>
      <c r="P70" s="685">
        <v>0.48452046</v>
      </c>
      <c r="Q70" s="685">
        <v>0.47362024</v>
      </c>
      <c r="R70" s="668">
        <v>311.00587</v>
      </c>
      <c r="S70" s="634"/>
      <c r="T70" s="670">
        <f t="shared" si="1"/>
        <v>1.03141901</v>
      </c>
      <c r="U70" s="634"/>
      <c r="V70" s="634"/>
      <c r="W70" s="634"/>
      <c r="X70" s="634"/>
      <c r="Y70" s="634"/>
      <c r="Z70" s="634"/>
      <c r="AA70" s="634"/>
    </row>
    <row r="71" ht="15.75" customHeight="1">
      <c r="A71" s="643" t="s">
        <v>2120</v>
      </c>
      <c r="B71" s="643" t="s">
        <v>83</v>
      </c>
      <c r="C71" s="643" t="s">
        <v>412</v>
      </c>
      <c r="D71" s="643" t="s">
        <v>5183</v>
      </c>
      <c r="E71" s="643"/>
      <c r="F71" s="665"/>
      <c r="G71" s="683"/>
      <c r="H71" s="666" t="s">
        <v>5184</v>
      </c>
      <c r="I71" s="666" t="s">
        <v>5185</v>
      </c>
      <c r="J71" s="667" t="s">
        <v>200</v>
      </c>
      <c r="K71" s="669">
        <v>1.6493971</v>
      </c>
      <c r="L71" s="669">
        <v>1.3907132</v>
      </c>
      <c r="M71" s="669">
        <v>0.20643346</v>
      </c>
      <c r="N71" s="669">
        <v>0.052246983000000004</v>
      </c>
      <c r="O71" s="669"/>
      <c r="P71" s="685">
        <v>0.76298991</v>
      </c>
      <c r="Q71" s="685">
        <v>0.74566568</v>
      </c>
      <c r="R71" s="668">
        <v>488.30636</v>
      </c>
      <c r="S71" s="634"/>
      <c r="T71" s="670">
        <f t="shared" si="1"/>
        <v>1.59714666</v>
      </c>
      <c r="U71" s="634"/>
      <c r="V71" s="634"/>
      <c r="W71" s="634"/>
      <c r="X71" s="634"/>
      <c r="Y71" s="634"/>
      <c r="Z71" s="634"/>
      <c r="AA71" s="634"/>
    </row>
    <row r="72" ht="15.75" customHeight="1">
      <c r="A72" s="643" t="s">
        <v>2125</v>
      </c>
      <c r="B72" s="643" t="s">
        <v>84</v>
      </c>
      <c r="C72" s="643" t="s">
        <v>412</v>
      </c>
      <c r="D72" s="643" t="s">
        <v>5186</v>
      </c>
      <c r="E72" s="643"/>
      <c r="F72" s="665"/>
      <c r="G72" s="683"/>
      <c r="H72" s="666" t="s">
        <v>5187</v>
      </c>
      <c r="I72" s="666" t="s">
        <v>5188</v>
      </c>
      <c r="J72" s="667" t="s">
        <v>382</v>
      </c>
      <c r="K72" s="669">
        <v>2.2333076</v>
      </c>
      <c r="L72" s="669">
        <v>1.8851599</v>
      </c>
      <c r="M72" s="669">
        <v>0.27774936</v>
      </c>
      <c r="N72" s="669">
        <v>0.0703937737</v>
      </c>
      <c r="O72" s="669"/>
      <c r="P72" s="669">
        <v>1.0414639</v>
      </c>
      <c r="Q72" s="669">
        <v>1.0177154</v>
      </c>
      <c r="R72" s="668">
        <v>665.61186</v>
      </c>
      <c r="S72" s="634"/>
      <c r="T72" s="670">
        <f t="shared" si="1"/>
        <v>2.16290926</v>
      </c>
      <c r="U72" s="634"/>
      <c r="V72" s="634"/>
      <c r="W72" s="634"/>
      <c r="X72" s="634"/>
      <c r="Y72" s="634"/>
      <c r="Z72" s="634"/>
      <c r="AA72" s="634"/>
    </row>
    <row r="73" ht="15.75" customHeight="1">
      <c r="A73" s="643" t="s">
        <v>2130</v>
      </c>
      <c r="B73" s="643" t="s">
        <v>85</v>
      </c>
      <c r="C73" s="643" t="s">
        <v>412</v>
      </c>
      <c r="D73" s="643" t="s">
        <v>5189</v>
      </c>
      <c r="E73" s="643"/>
      <c r="F73" s="671"/>
      <c r="G73" s="686"/>
      <c r="H73" s="672" t="s">
        <v>5190</v>
      </c>
      <c r="I73" s="672" t="s">
        <v>5191</v>
      </c>
      <c r="J73" s="673" t="s">
        <v>200</v>
      </c>
      <c r="K73" s="675">
        <v>2.8172068</v>
      </c>
      <c r="L73" s="675">
        <v>2.3795968</v>
      </c>
      <c r="M73" s="675">
        <v>0.34906396</v>
      </c>
      <c r="N73" s="675">
        <v>0.0885402183</v>
      </c>
      <c r="O73" s="675"/>
      <c r="P73" s="675">
        <v>1.3199419</v>
      </c>
      <c r="Q73" s="675">
        <v>1.2897693</v>
      </c>
      <c r="R73" s="674">
        <v>842.91832</v>
      </c>
      <c r="S73" s="634"/>
      <c r="T73" s="676">
        <f t="shared" si="1"/>
        <v>2.72866076</v>
      </c>
      <c r="U73" s="634"/>
      <c r="V73" s="634"/>
      <c r="W73" s="634"/>
      <c r="X73" s="634"/>
      <c r="Y73" s="634"/>
      <c r="Z73" s="634"/>
      <c r="AA73" s="634"/>
    </row>
    <row r="74" ht="15.75" customHeight="1">
      <c r="A74" s="643"/>
      <c r="B74" s="643" t="s">
        <v>93</v>
      </c>
      <c r="C74" s="643" t="s">
        <v>429</v>
      </c>
      <c r="D74" s="643" t="s">
        <v>5192</v>
      </c>
      <c r="E74" s="643"/>
      <c r="F74" s="659" t="s">
        <v>2169</v>
      </c>
      <c r="G74" s="688"/>
      <c r="H74" s="660" t="s">
        <v>5193</v>
      </c>
      <c r="I74" s="660" t="s">
        <v>5194</v>
      </c>
      <c r="J74" s="661" t="s">
        <v>200</v>
      </c>
      <c r="K74" s="680">
        <v>74.281619</v>
      </c>
      <c r="L74" s="680">
        <v>62.106078</v>
      </c>
      <c r="M74" s="680">
        <v>7.8842093</v>
      </c>
      <c r="N74" s="680">
        <v>4.28958568</v>
      </c>
      <c r="O74" s="663"/>
      <c r="P74" s="663">
        <v>3.3319075</v>
      </c>
      <c r="Q74" s="663">
        <v>2.9192141</v>
      </c>
      <c r="R74" s="662">
        <v>6391.4883</v>
      </c>
      <c r="S74" s="634"/>
      <c r="T74" s="664">
        <f t="shared" si="1"/>
        <v>69.9902873</v>
      </c>
      <c r="U74" s="634"/>
      <c r="V74" s="634"/>
      <c r="W74" s="634"/>
      <c r="X74" s="634"/>
      <c r="Y74" s="634"/>
      <c r="Z74" s="634"/>
      <c r="AA74" s="634"/>
    </row>
    <row r="75" ht="15.75" customHeight="1">
      <c r="A75" s="643" t="s">
        <v>2172</v>
      </c>
      <c r="B75" s="643" t="s">
        <v>93</v>
      </c>
      <c r="C75" s="643" t="s">
        <v>412</v>
      </c>
      <c r="D75" s="643" t="s">
        <v>5195</v>
      </c>
      <c r="E75" s="643"/>
      <c r="F75" s="665"/>
      <c r="G75" s="683"/>
      <c r="H75" s="666" t="s">
        <v>5196</v>
      </c>
      <c r="I75" s="666" t="s">
        <v>5197</v>
      </c>
      <c r="J75" s="667" t="s">
        <v>200</v>
      </c>
      <c r="K75" s="685">
        <v>0.50885995</v>
      </c>
      <c r="L75" s="685">
        <v>0.44014398</v>
      </c>
      <c r="M75" s="685">
        <v>0.052232181</v>
      </c>
      <c r="N75" s="685">
        <v>0.0164828843</v>
      </c>
      <c r="O75" s="685"/>
      <c r="P75" s="669">
        <v>1.1486645</v>
      </c>
      <c r="Q75" s="669">
        <v>1.1299016</v>
      </c>
      <c r="R75" s="668">
        <v>587.28287</v>
      </c>
      <c r="S75" s="634"/>
      <c r="T75" s="670">
        <f t="shared" si="1"/>
        <v>0.492376161</v>
      </c>
      <c r="U75" s="634"/>
      <c r="V75" s="634"/>
      <c r="W75" s="634"/>
      <c r="X75" s="634"/>
      <c r="Y75" s="634"/>
      <c r="Z75" s="634"/>
      <c r="AA75" s="634"/>
    </row>
    <row r="76" ht="15.75" customHeight="1">
      <c r="A76" s="643"/>
      <c r="B76" s="643" t="s">
        <v>95</v>
      </c>
      <c r="C76" s="643" t="s">
        <v>429</v>
      </c>
      <c r="D76" s="643" t="s">
        <v>5198</v>
      </c>
      <c r="E76" s="643"/>
      <c r="F76" s="665"/>
      <c r="G76" s="683"/>
      <c r="H76" s="666" t="s">
        <v>5199</v>
      </c>
      <c r="I76" s="666" t="s">
        <v>5200</v>
      </c>
      <c r="J76" s="667" t="s">
        <v>200</v>
      </c>
      <c r="K76" s="668">
        <v>178.25166</v>
      </c>
      <c r="L76" s="668">
        <v>145.51755</v>
      </c>
      <c r="M76" s="668">
        <v>20.654546</v>
      </c>
      <c r="N76" s="668">
        <v>12.07298938</v>
      </c>
      <c r="O76" s="669"/>
      <c r="P76" s="669">
        <v>8.0459355</v>
      </c>
      <c r="Q76" s="669">
        <v>7.0322976</v>
      </c>
      <c r="R76" s="668">
        <v>16678.47</v>
      </c>
      <c r="S76" s="634"/>
      <c r="T76" s="670">
        <f t="shared" si="1"/>
        <v>166.172096</v>
      </c>
      <c r="U76" s="634"/>
      <c r="V76" s="634"/>
      <c r="W76" s="634"/>
      <c r="X76" s="634"/>
      <c r="Y76" s="634"/>
      <c r="Z76" s="634"/>
      <c r="AA76" s="634"/>
    </row>
    <row r="77" ht="15.75" customHeight="1">
      <c r="A77" s="643" t="s">
        <v>2177</v>
      </c>
      <c r="B77" s="643" t="s">
        <v>95</v>
      </c>
      <c r="C77" s="643" t="s">
        <v>412</v>
      </c>
      <c r="D77" s="643" t="s">
        <v>5201</v>
      </c>
      <c r="E77" s="643"/>
      <c r="F77" s="665"/>
      <c r="G77" s="683"/>
      <c r="H77" s="666" t="s">
        <v>5202</v>
      </c>
      <c r="I77" s="666" t="s">
        <v>5203</v>
      </c>
      <c r="J77" s="667" t="s">
        <v>200</v>
      </c>
      <c r="K77" s="669">
        <v>1.7751926</v>
      </c>
      <c r="L77" s="669">
        <v>1.5620555</v>
      </c>
      <c r="M77" s="669">
        <v>0.1603881</v>
      </c>
      <c r="N77" s="669">
        <v>0.0527454562</v>
      </c>
      <c r="O77" s="669"/>
      <c r="P77" s="669">
        <v>3.7646474</v>
      </c>
      <c r="Q77" s="669">
        <v>3.6818175</v>
      </c>
      <c r="R77" s="668">
        <v>1949.9449</v>
      </c>
      <c r="S77" s="634"/>
      <c r="T77" s="670">
        <f t="shared" si="1"/>
        <v>1.7224436</v>
      </c>
      <c r="U77" s="634"/>
      <c r="V77" s="634"/>
      <c r="W77" s="634"/>
      <c r="X77" s="634"/>
      <c r="Y77" s="634"/>
      <c r="Z77" s="634"/>
      <c r="AA77" s="634"/>
    </row>
    <row r="78" ht="15.75" customHeight="1">
      <c r="A78" s="643"/>
      <c r="B78" s="643" t="s">
        <v>96</v>
      </c>
      <c r="C78" s="643" t="s">
        <v>429</v>
      </c>
      <c r="D78" s="643" t="s">
        <v>5204</v>
      </c>
      <c r="E78" s="643"/>
      <c r="F78" s="665"/>
      <c r="G78" s="683"/>
      <c r="H78" s="666" t="s">
        <v>5205</v>
      </c>
      <c r="I78" s="666" t="s">
        <v>5206</v>
      </c>
      <c r="J78" s="667" t="s">
        <v>200</v>
      </c>
      <c r="K78" s="668">
        <v>187.43488</v>
      </c>
      <c r="L78" s="668">
        <v>149.39065</v>
      </c>
      <c r="M78" s="668">
        <v>24.233721</v>
      </c>
      <c r="N78" s="668">
        <v>13.8059358</v>
      </c>
      <c r="O78" s="669"/>
      <c r="P78" s="669">
        <v>9.8076635</v>
      </c>
      <c r="Q78" s="669">
        <v>8.7858332</v>
      </c>
      <c r="R78" s="668">
        <v>23219.27</v>
      </c>
      <c r="S78" s="634"/>
      <c r="T78" s="670">
        <f t="shared" si="1"/>
        <v>173.624371</v>
      </c>
      <c r="U78" s="634"/>
      <c r="V78" s="634"/>
      <c r="W78" s="634"/>
      <c r="X78" s="634"/>
      <c r="Y78" s="634"/>
      <c r="Z78" s="634"/>
      <c r="AA78" s="634"/>
    </row>
    <row r="79" ht="15.75" customHeight="1">
      <c r="A79" s="643" t="s">
        <v>2182</v>
      </c>
      <c r="B79" s="643" t="s">
        <v>96</v>
      </c>
      <c r="C79" s="643" t="s">
        <v>412</v>
      </c>
      <c r="D79" s="643" t="s">
        <v>5207</v>
      </c>
      <c r="E79" s="643"/>
      <c r="F79" s="671"/>
      <c r="G79" s="686"/>
      <c r="H79" s="672" t="s">
        <v>5208</v>
      </c>
      <c r="I79" s="672" t="s">
        <v>5209</v>
      </c>
      <c r="J79" s="673" t="s">
        <v>200</v>
      </c>
      <c r="K79" s="675">
        <v>1.2834037</v>
      </c>
      <c r="L79" s="675">
        <v>0.99482785</v>
      </c>
      <c r="M79" s="675">
        <v>0.21957279</v>
      </c>
      <c r="N79" s="675">
        <v>0.06900097220000001</v>
      </c>
      <c r="O79" s="675"/>
      <c r="P79" s="675">
        <v>1.5451253</v>
      </c>
      <c r="Q79" s="675">
        <v>1.5126952</v>
      </c>
      <c r="R79" s="674">
        <v>833.13682</v>
      </c>
      <c r="S79" s="634"/>
      <c r="T79" s="676">
        <f t="shared" si="1"/>
        <v>1.21440064</v>
      </c>
      <c r="U79" s="634"/>
      <c r="V79" s="634"/>
      <c r="W79" s="634"/>
      <c r="X79" s="634"/>
      <c r="Y79" s="634"/>
      <c r="Z79" s="634"/>
      <c r="AA79" s="634"/>
    </row>
    <row r="80" ht="15.75" customHeight="1">
      <c r="A80" s="643"/>
      <c r="B80" s="643" t="s">
        <v>101</v>
      </c>
      <c r="C80" s="643" t="s">
        <v>429</v>
      </c>
      <c r="D80" s="643" t="s">
        <v>5210</v>
      </c>
      <c r="E80" s="643"/>
      <c r="F80" s="659" t="s">
        <v>2187</v>
      </c>
      <c r="G80" s="688"/>
      <c r="H80" s="660" t="s">
        <v>5211</v>
      </c>
      <c r="I80" s="660" t="s">
        <v>5212</v>
      </c>
      <c r="J80" s="661" t="s">
        <v>200</v>
      </c>
      <c r="K80" s="662">
        <v>681.87404</v>
      </c>
      <c r="L80" s="662">
        <v>333.90642</v>
      </c>
      <c r="M80" s="662">
        <v>73.872254</v>
      </c>
      <c r="N80" s="662">
        <v>274.0938486</v>
      </c>
      <c r="O80" s="663"/>
      <c r="P80" s="680">
        <v>22.350683</v>
      </c>
      <c r="Q80" s="680">
        <v>20.227424</v>
      </c>
      <c r="R80" s="662">
        <v>116453.32</v>
      </c>
      <c r="S80" s="634"/>
      <c r="T80" s="664">
        <f t="shared" si="1"/>
        <v>407.778674</v>
      </c>
      <c r="U80" s="634"/>
      <c r="V80" s="634"/>
      <c r="W80" s="634"/>
      <c r="X80" s="634"/>
      <c r="Y80" s="634"/>
      <c r="Z80" s="634"/>
      <c r="AA80" s="634"/>
    </row>
    <row r="81" ht="15.75" customHeight="1">
      <c r="A81" s="643" t="s">
        <v>2195</v>
      </c>
      <c r="B81" s="643" t="s">
        <v>101</v>
      </c>
      <c r="C81" s="643" t="s">
        <v>412</v>
      </c>
      <c r="D81" s="643" t="s">
        <v>5213</v>
      </c>
      <c r="E81" s="643"/>
      <c r="F81" s="665"/>
      <c r="G81" s="683"/>
      <c r="H81" s="666" t="s">
        <v>5214</v>
      </c>
      <c r="I81" s="666" t="s">
        <v>5215</v>
      </c>
      <c r="J81" s="667" t="s">
        <v>200</v>
      </c>
      <c r="K81" s="669">
        <v>3.1688493</v>
      </c>
      <c r="L81" s="669">
        <v>2.5325188</v>
      </c>
      <c r="M81" s="669">
        <v>0.46234982</v>
      </c>
      <c r="N81" s="669">
        <v>0.17396825500000002</v>
      </c>
      <c r="O81" s="669"/>
      <c r="P81" s="669">
        <v>1.4549041</v>
      </c>
      <c r="Q81" s="669">
        <v>1.4387002</v>
      </c>
      <c r="R81" s="668">
        <v>900.35993</v>
      </c>
      <c r="S81" s="634"/>
      <c r="T81" s="670">
        <f t="shared" si="1"/>
        <v>2.99486862</v>
      </c>
      <c r="U81" s="634"/>
      <c r="V81" s="634"/>
      <c r="W81" s="634"/>
      <c r="X81" s="634"/>
      <c r="Y81" s="634"/>
      <c r="Z81" s="634"/>
      <c r="AA81" s="634"/>
    </row>
    <row r="82" ht="15.75" customHeight="1">
      <c r="A82" s="643"/>
      <c r="B82" s="643" t="s">
        <v>100</v>
      </c>
      <c r="C82" s="643" t="s">
        <v>429</v>
      </c>
      <c r="D82" s="643" t="s">
        <v>5216</v>
      </c>
      <c r="E82" s="643"/>
      <c r="F82" s="665"/>
      <c r="G82" s="683"/>
      <c r="H82" s="666" t="s">
        <v>5217</v>
      </c>
      <c r="I82" s="666" t="s">
        <v>5218</v>
      </c>
      <c r="J82" s="667" t="s">
        <v>200</v>
      </c>
      <c r="K82" s="668">
        <v>213.86265</v>
      </c>
      <c r="L82" s="668">
        <v>164.39892</v>
      </c>
      <c r="M82" s="668">
        <v>32.207842</v>
      </c>
      <c r="N82" s="668">
        <v>17.25442906</v>
      </c>
      <c r="O82" s="669"/>
      <c r="P82" s="669">
        <v>9.299579</v>
      </c>
      <c r="Q82" s="669">
        <v>8.3104854</v>
      </c>
      <c r="R82" s="668">
        <v>45355.685</v>
      </c>
      <c r="S82" s="634"/>
      <c r="T82" s="670">
        <f t="shared" si="1"/>
        <v>196.606762</v>
      </c>
      <c r="U82" s="634"/>
      <c r="V82" s="634"/>
      <c r="W82" s="634"/>
      <c r="X82" s="634"/>
      <c r="Y82" s="634"/>
      <c r="Z82" s="634"/>
      <c r="AA82" s="634"/>
    </row>
    <row r="83" ht="15.75" customHeight="1">
      <c r="A83" s="643" t="s">
        <v>2190</v>
      </c>
      <c r="B83" s="643" t="s">
        <v>100</v>
      </c>
      <c r="C83" s="643" t="s">
        <v>412</v>
      </c>
      <c r="D83" s="643" t="s">
        <v>5219</v>
      </c>
      <c r="E83" s="643"/>
      <c r="F83" s="671"/>
      <c r="G83" s="686"/>
      <c r="H83" s="672" t="s">
        <v>5220</v>
      </c>
      <c r="I83" s="672" t="s">
        <v>5221</v>
      </c>
      <c r="J83" s="673" t="s">
        <v>200</v>
      </c>
      <c r="K83" s="675">
        <v>2.9361304</v>
      </c>
      <c r="L83" s="675">
        <v>2.1709276</v>
      </c>
      <c r="M83" s="675">
        <v>0.55603604</v>
      </c>
      <c r="N83" s="675">
        <v>0.209153205</v>
      </c>
      <c r="O83" s="675"/>
      <c r="P83" s="675">
        <v>3.4047916</v>
      </c>
      <c r="Q83" s="675">
        <v>3.3851003</v>
      </c>
      <c r="R83" s="674">
        <v>1820.3819</v>
      </c>
      <c r="S83" s="634"/>
      <c r="T83" s="676">
        <f t="shared" si="1"/>
        <v>2.72696364</v>
      </c>
      <c r="U83" s="634"/>
      <c r="V83" s="634"/>
      <c r="W83" s="634"/>
      <c r="X83" s="634"/>
      <c r="Y83" s="634"/>
      <c r="Z83" s="634"/>
      <c r="AA83" s="634"/>
    </row>
    <row r="84" ht="15.75" customHeight="1">
      <c r="A84" s="643"/>
      <c r="B84" s="643"/>
      <c r="C84" s="643"/>
      <c r="D84" s="643"/>
      <c r="E84" s="689"/>
      <c r="F84" s="643" t="s">
        <v>5222</v>
      </c>
      <c r="G84" s="643"/>
      <c r="H84" s="645"/>
      <c r="I84" s="643"/>
      <c r="J84" s="646"/>
      <c r="K84" s="645"/>
      <c r="L84" s="645"/>
      <c r="M84" s="645"/>
      <c r="N84" s="645"/>
      <c r="O84" s="645"/>
      <c r="P84" s="645"/>
      <c r="Q84" s="645"/>
      <c r="R84" s="645"/>
      <c r="S84" s="634"/>
      <c r="T84" s="634"/>
      <c r="U84" s="634"/>
      <c r="V84" s="634"/>
      <c r="W84" s="634"/>
      <c r="X84" s="634"/>
      <c r="Y84" s="634"/>
      <c r="Z84" s="634"/>
      <c r="AA84" s="634"/>
    </row>
    <row r="85" ht="15.75" customHeight="1">
      <c r="A85" s="643"/>
      <c r="B85" s="643"/>
      <c r="C85" s="643"/>
      <c r="D85" s="643"/>
      <c r="E85" s="643"/>
      <c r="F85" s="643"/>
      <c r="G85" s="643"/>
      <c r="H85" s="645"/>
      <c r="I85" s="643"/>
      <c r="J85" s="646"/>
      <c r="K85" s="645"/>
      <c r="L85" s="645"/>
      <c r="M85" s="645"/>
      <c r="N85" s="645"/>
      <c r="O85" s="645"/>
      <c r="P85" s="645"/>
      <c r="Q85" s="645"/>
      <c r="R85" s="645"/>
      <c r="S85" s="634"/>
      <c r="T85" s="634"/>
      <c r="U85" s="634"/>
      <c r="V85" s="634"/>
      <c r="W85" s="634"/>
      <c r="X85" s="634"/>
      <c r="Y85" s="634"/>
      <c r="Z85" s="634"/>
      <c r="AA85" s="634"/>
    </row>
    <row r="86" ht="15.75" customHeight="1">
      <c r="A86" s="643"/>
      <c r="B86" s="643"/>
      <c r="C86" s="643"/>
      <c r="D86" s="643"/>
      <c r="E86" s="643"/>
      <c r="F86" s="643" t="s">
        <v>5223</v>
      </c>
      <c r="G86" s="643"/>
      <c r="H86" s="645"/>
      <c r="I86" s="643"/>
      <c r="J86" s="646"/>
      <c r="K86" s="645"/>
      <c r="L86" s="645"/>
      <c r="M86" s="645"/>
      <c r="N86" s="645"/>
      <c r="O86" s="645"/>
      <c r="P86" s="645"/>
      <c r="Q86" s="645"/>
      <c r="R86" s="645"/>
      <c r="S86" s="634"/>
      <c r="T86" s="634"/>
      <c r="U86" s="634"/>
      <c r="V86" s="634"/>
      <c r="W86" s="634"/>
      <c r="X86" s="634"/>
      <c r="Y86" s="634"/>
      <c r="Z86" s="634"/>
      <c r="AA86" s="634"/>
    </row>
    <row r="87" ht="15.75" customHeight="1">
      <c r="A87" s="634"/>
      <c r="B87" s="634"/>
      <c r="C87" s="634"/>
      <c r="D87" s="634"/>
      <c r="E87" s="634"/>
      <c r="F87" s="634"/>
      <c r="G87" s="634"/>
      <c r="H87" s="635"/>
      <c r="I87" s="634"/>
      <c r="J87" s="636"/>
      <c r="K87" s="635"/>
      <c r="L87" s="635"/>
      <c r="M87" s="635"/>
      <c r="N87" s="635"/>
      <c r="O87" s="635"/>
      <c r="P87" s="635"/>
      <c r="Q87" s="635"/>
      <c r="R87" s="635"/>
      <c r="S87" s="634"/>
      <c r="T87" s="634"/>
      <c r="U87" s="634"/>
      <c r="V87" s="634"/>
      <c r="W87" s="634"/>
      <c r="X87" s="634"/>
      <c r="Y87" s="634"/>
      <c r="Z87" s="634"/>
      <c r="AA87" s="634"/>
    </row>
    <row r="88" ht="15.75" customHeight="1">
      <c r="A88" s="634"/>
      <c r="B88" s="634"/>
      <c r="C88" s="634"/>
      <c r="D88" s="634"/>
      <c r="E88" s="634"/>
      <c r="F88" s="634"/>
      <c r="G88" s="634"/>
      <c r="H88" s="635"/>
      <c r="I88" s="634"/>
      <c r="J88" s="636"/>
      <c r="K88" s="635"/>
      <c r="L88" s="635"/>
      <c r="M88" s="635"/>
      <c r="N88" s="635"/>
      <c r="O88" s="635"/>
      <c r="P88" s="635"/>
      <c r="Q88" s="635"/>
      <c r="R88" s="635"/>
      <c r="S88" s="634"/>
      <c r="T88" s="634"/>
      <c r="U88" s="634"/>
      <c r="V88" s="634"/>
      <c r="W88" s="634"/>
      <c r="X88" s="634"/>
      <c r="Y88" s="634"/>
      <c r="Z88" s="634"/>
      <c r="AA88" s="634"/>
    </row>
    <row r="89" ht="15.75" customHeight="1">
      <c r="A89" s="634"/>
      <c r="B89" s="634"/>
      <c r="C89" s="634"/>
      <c r="D89" s="634"/>
      <c r="E89" s="634"/>
      <c r="F89" s="634"/>
      <c r="G89" s="634"/>
      <c r="H89" s="635"/>
      <c r="I89" s="634"/>
      <c r="J89" s="636"/>
      <c r="K89" s="635"/>
      <c r="L89" s="635"/>
      <c r="M89" s="635"/>
      <c r="N89" s="635"/>
      <c r="O89" s="635"/>
      <c r="P89" s="635"/>
      <c r="Q89" s="635"/>
      <c r="R89" s="635"/>
      <c r="S89" s="634"/>
      <c r="T89" s="634"/>
      <c r="U89" s="634"/>
      <c r="V89" s="634"/>
      <c r="W89" s="634"/>
      <c r="X89" s="634"/>
      <c r="Y89" s="634"/>
      <c r="Z89" s="634"/>
      <c r="AA89" s="634"/>
    </row>
    <row r="90" ht="15.75" customHeight="1">
      <c r="A90" s="634"/>
      <c r="B90" s="634"/>
      <c r="C90" s="634"/>
      <c r="D90" s="634"/>
      <c r="E90" s="634"/>
      <c r="F90" s="634"/>
      <c r="G90" s="634"/>
      <c r="H90" s="635"/>
      <c r="I90" s="634"/>
      <c r="J90" s="636"/>
      <c r="K90" s="635"/>
      <c r="L90" s="635"/>
      <c r="M90" s="635"/>
      <c r="N90" s="635"/>
      <c r="O90" s="635"/>
      <c r="P90" s="635"/>
      <c r="Q90" s="635"/>
      <c r="R90" s="635"/>
      <c r="S90" s="634"/>
      <c r="T90" s="634"/>
      <c r="U90" s="634"/>
      <c r="V90" s="634"/>
      <c r="W90" s="634"/>
      <c r="X90" s="634"/>
      <c r="Y90" s="634"/>
      <c r="Z90" s="634"/>
      <c r="AA90" s="634"/>
    </row>
    <row r="91" ht="15.75" customHeight="1">
      <c r="A91" s="634"/>
      <c r="B91" s="634"/>
      <c r="C91" s="634"/>
      <c r="D91" s="634"/>
      <c r="E91" s="634"/>
      <c r="F91" s="634"/>
      <c r="G91" s="634"/>
      <c r="H91" s="635"/>
      <c r="I91" s="634"/>
      <c r="J91" s="636"/>
      <c r="K91" s="635"/>
      <c r="L91" s="635"/>
      <c r="M91" s="635"/>
      <c r="N91" s="635"/>
      <c r="O91" s="635"/>
      <c r="P91" s="635"/>
      <c r="Q91" s="635"/>
      <c r="R91" s="635"/>
      <c r="S91" s="634"/>
      <c r="T91" s="634"/>
      <c r="U91" s="634"/>
      <c r="V91" s="634"/>
      <c r="W91" s="634"/>
      <c r="X91" s="634"/>
      <c r="Y91" s="634"/>
      <c r="Z91" s="634"/>
      <c r="AA91" s="634"/>
    </row>
    <row r="92" ht="15.75" customHeight="1">
      <c r="A92" s="634"/>
      <c r="B92" s="634"/>
      <c r="C92" s="634"/>
      <c r="D92" s="634"/>
      <c r="E92" s="634"/>
      <c r="F92" s="634"/>
      <c r="G92" s="634"/>
      <c r="H92" s="635"/>
      <c r="I92" s="634"/>
      <c r="J92" s="636"/>
      <c r="K92" s="635"/>
      <c r="L92" s="635"/>
      <c r="M92" s="635"/>
      <c r="N92" s="635"/>
      <c r="O92" s="635"/>
      <c r="P92" s="635"/>
      <c r="Q92" s="635"/>
      <c r="R92" s="635"/>
      <c r="S92" s="634"/>
      <c r="T92" s="634"/>
      <c r="U92" s="634"/>
      <c r="V92" s="634"/>
      <c r="W92" s="634"/>
      <c r="X92" s="634"/>
      <c r="Y92" s="634"/>
      <c r="Z92" s="634"/>
      <c r="AA92" s="634"/>
    </row>
    <row r="93" ht="15.75" customHeight="1">
      <c r="A93" s="634"/>
      <c r="B93" s="634"/>
      <c r="C93" s="634"/>
      <c r="D93" s="634"/>
      <c r="E93" s="634"/>
      <c r="F93" s="634"/>
      <c r="G93" s="634"/>
      <c r="H93" s="635"/>
      <c r="I93" s="634"/>
      <c r="J93" s="636"/>
      <c r="K93" s="635"/>
      <c r="L93" s="635"/>
      <c r="M93" s="635"/>
      <c r="N93" s="635"/>
      <c r="O93" s="635"/>
      <c r="P93" s="635"/>
      <c r="Q93" s="635"/>
      <c r="R93" s="635"/>
      <c r="S93" s="634"/>
      <c r="T93" s="634"/>
      <c r="U93" s="634"/>
      <c r="V93" s="634"/>
      <c r="W93" s="634"/>
      <c r="X93" s="634"/>
      <c r="Y93" s="634"/>
      <c r="Z93" s="634"/>
      <c r="AA93" s="634"/>
    </row>
    <row r="94" ht="15.75" customHeight="1">
      <c r="A94" s="634"/>
      <c r="B94" s="634"/>
      <c r="C94" s="634"/>
      <c r="D94" s="634"/>
      <c r="E94" s="634"/>
      <c r="F94" s="634"/>
      <c r="G94" s="634"/>
      <c r="H94" s="635"/>
      <c r="I94" s="634"/>
      <c r="J94" s="636"/>
      <c r="K94" s="635"/>
      <c r="L94" s="635"/>
      <c r="M94" s="635"/>
      <c r="N94" s="635"/>
      <c r="O94" s="635"/>
      <c r="P94" s="635"/>
      <c r="Q94" s="635"/>
      <c r="R94" s="635"/>
      <c r="S94" s="634"/>
      <c r="T94" s="634"/>
      <c r="U94" s="634"/>
      <c r="V94" s="634"/>
      <c r="W94" s="634"/>
      <c r="X94" s="634"/>
      <c r="Y94" s="634"/>
      <c r="Z94" s="634"/>
      <c r="AA94" s="634"/>
    </row>
    <row r="95" ht="15.75" customHeight="1">
      <c r="A95" s="634"/>
      <c r="B95" s="634"/>
      <c r="C95" s="634"/>
      <c r="D95" s="634"/>
      <c r="E95" s="634"/>
      <c r="F95" s="634"/>
      <c r="G95" s="634"/>
      <c r="H95" s="635"/>
      <c r="I95" s="634"/>
      <c r="J95" s="636"/>
      <c r="K95" s="635"/>
      <c r="L95" s="635"/>
      <c r="M95" s="635"/>
      <c r="N95" s="635"/>
      <c r="O95" s="635"/>
      <c r="P95" s="635"/>
      <c r="Q95" s="635"/>
      <c r="R95" s="635"/>
      <c r="S95" s="634"/>
      <c r="T95" s="634"/>
      <c r="U95" s="634"/>
      <c r="V95" s="634"/>
      <c r="W95" s="634"/>
      <c r="X95" s="634"/>
      <c r="Y95" s="634"/>
      <c r="Z95" s="634"/>
      <c r="AA95" s="634"/>
    </row>
    <row r="96" ht="15.75" customHeight="1">
      <c r="A96" s="634"/>
      <c r="B96" s="634"/>
      <c r="C96" s="634"/>
      <c r="D96" s="634"/>
      <c r="E96" s="634"/>
      <c r="F96" s="634"/>
      <c r="G96" s="634"/>
      <c r="H96" s="635"/>
      <c r="I96" s="634"/>
      <c r="J96" s="636"/>
      <c r="K96" s="635"/>
      <c r="L96" s="635"/>
      <c r="M96" s="635"/>
      <c r="N96" s="635"/>
      <c r="O96" s="635"/>
      <c r="P96" s="635"/>
      <c r="Q96" s="635"/>
      <c r="R96" s="635"/>
      <c r="S96" s="634"/>
      <c r="T96" s="634"/>
      <c r="U96" s="634"/>
      <c r="V96" s="634"/>
      <c r="W96" s="634"/>
      <c r="X96" s="634"/>
      <c r="Y96" s="634"/>
      <c r="Z96" s="634"/>
      <c r="AA96" s="634"/>
    </row>
    <row r="97" ht="15.75" customHeight="1">
      <c r="A97" s="634"/>
      <c r="B97" s="634"/>
      <c r="C97" s="634"/>
      <c r="D97" s="634"/>
      <c r="E97" s="634"/>
      <c r="F97" s="634"/>
      <c r="G97" s="634"/>
      <c r="H97" s="635"/>
      <c r="I97" s="634"/>
      <c r="J97" s="636"/>
      <c r="K97" s="635"/>
      <c r="L97" s="635"/>
      <c r="M97" s="635"/>
      <c r="N97" s="635"/>
      <c r="O97" s="635"/>
      <c r="P97" s="635"/>
      <c r="Q97" s="635"/>
      <c r="R97" s="635"/>
      <c r="S97" s="634"/>
      <c r="T97" s="634"/>
      <c r="U97" s="634"/>
      <c r="V97" s="634"/>
      <c r="W97" s="634"/>
      <c r="X97" s="634"/>
      <c r="Y97" s="634"/>
      <c r="Z97" s="634"/>
      <c r="AA97" s="634"/>
    </row>
    <row r="98" ht="15.75" customHeight="1">
      <c r="A98" s="634"/>
      <c r="B98" s="634"/>
      <c r="C98" s="634"/>
      <c r="D98" s="634"/>
      <c r="E98" s="634"/>
      <c r="F98" s="634"/>
      <c r="G98" s="634"/>
      <c r="H98" s="635"/>
      <c r="I98" s="634"/>
      <c r="J98" s="636"/>
      <c r="K98" s="635"/>
      <c r="L98" s="635"/>
      <c r="M98" s="635"/>
      <c r="N98" s="635"/>
      <c r="O98" s="635"/>
      <c r="P98" s="635"/>
      <c r="Q98" s="635"/>
      <c r="R98" s="635"/>
      <c r="S98" s="634"/>
      <c r="T98" s="634"/>
      <c r="U98" s="634"/>
      <c r="V98" s="634"/>
      <c r="W98" s="634"/>
      <c r="X98" s="634"/>
      <c r="Y98" s="634"/>
      <c r="Z98" s="634"/>
      <c r="AA98" s="634"/>
    </row>
    <row r="99" ht="15.75" customHeight="1">
      <c r="A99" s="634"/>
      <c r="B99" s="634"/>
      <c r="C99" s="634"/>
      <c r="D99" s="634"/>
      <c r="E99" s="634"/>
      <c r="F99" s="634"/>
      <c r="G99" s="634"/>
      <c r="H99" s="635"/>
      <c r="I99" s="634"/>
      <c r="J99" s="636"/>
      <c r="K99" s="635"/>
      <c r="L99" s="635"/>
      <c r="M99" s="635"/>
      <c r="N99" s="635"/>
      <c r="O99" s="635"/>
      <c r="P99" s="635"/>
      <c r="Q99" s="635"/>
      <c r="R99" s="635"/>
      <c r="S99" s="634"/>
      <c r="T99" s="634"/>
      <c r="U99" s="634"/>
      <c r="V99" s="634"/>
      <c r="W99" s="634"/>
      <c r="X99" s="634"/>
      <c r="Y99" s="634"/>
      <c r="Z99" s="634"/>
      <c r="AA99" s="634"/>
    </row>
    <row r="100" ht="15.75" customHeight="1">
      <c r="A100" s="634"/>
      <c r="B100" s="634"/>
      <c r="C100" s="634"/>
      <c r="D100" s="634"/>
      <c r="E100" s="634"/>
      <c r="F100" s="634"/>
      <c r="G100" s="634"/>
      <c r="H100" s="635"/>
      <c r="I100" s="634"/>
      <c r="J100" s="636"/>
      <c r="K100" s="635"/>
      <c r="L100" s="635"/>
      <c r="M100" s="635"/>
      <c r="N100" s="635"/>
      <c r="O100" s="635"/>
      <c r="P100" s="635"/>
      <c r="Q100" s="635"/>
      <c r="R100" s="635"/>
      <c r="S100" s="634"/>
      <c r="T100" s="634"/>
      <c r="U100" s="634"/>
      <c r="V100" s="634"/>
      <c r="W100" s="634"/>
      <c r="X100" s="634"/>
      <c r="Y100" s="634"/>
      <c r="Z100" s="634"/>
      <c r="AA100" s="634"/>
    </row>
    <row r="101" ht="15.75" customHeight="1">
      <c r="A101" s="634"/>
      <c r="B101" s="634"/>
      <c r="C101" s="634"/>
      <c r="D101" s="634"/>
      <c r="E101" s="634"/>
      <c r="F101" s="634"/>
      <c r="G101" s="634"/>
      <c r="H101" s="635"/>
      <c r="I101" s="634"/>
      <c r="J101" s="636"/>
      <c r="K101" s="635"/>
      <c r="L101" s="635"/>
      <c r="M101" s="635"/>
      <c r="N101" s="635"/>
      <c r="O101" s="635"/>
      <c r="P101" s="635"/>
      <c r="Q101" s="635"/>
      <c r="R101" s="635"/>
      <c r="S101" s="634"/>
      <c r="T101" s="634"/>
      <c r="U101" s="634"/>
      <c r="V101" s="634"/>
      <c r="W101" s="634"/>
      <c r="X101" s="634"/>
      <c r="Y101" s="634"/>
      <c r="Z101" s="634"/>
      <c r="AA101" s="634"/>
    </row>
    <row r="102" ht="15.75" customHeight="1">
      <c r="A102" s="634"/>
      <c r="B102" s="634"/>
      <c r="C102" s="634"/>
      <c r="D102" s="634"/>
      <c r="E102" s="634"/>
      <c r="F102" s="634"/>
      <c r="G102" s="634"/>
      <c r="H102" s="635"/>
      <c r="I102" s="634"/>
      <c r="J102" s="636"/>
      <c r="K102" s="635"/>
      <c r="L102" s="635"/>
      <c r="M102" s="635"/>
      <c r="N102" s="635"/>
      <c r="O102" s="635"/>
      <c r="P102" s="635"/>
      <c r="Q102" s="635"/>
      <c r="R102" s="635"/>
      <c r="S102" s="634"/>
      <c r="T102" s="634"/>
      <c r="U102" s="634"/>
      <c r="V102" s="634"/>
      <c r="W102" s="634"/>
      <c r="X102" s="634"/>
      <c r="Y102" s="634"/>
      <c r="Z102" s="634"/>
      <c r="AA102" s="634"/>
    </row>
    <row r="103" ht="15.75" customHeight="1">
      <c r="A103" s="634"/>
      <c r="B103" s="634"/>
      <c r="C103" s="634"/>
      <c r="D103" s="634"/>
      <c r="E103" s="634"/>
      <c r="F103" s="634"/>
      <c r="G103" s="634"/>
      <c r="H103" s="635"/>
      <c r="I103" s="634"/>
      <c r="J103" s="636"/>
      <c r="K103" s="635"/>
      <c r="L103" s="635"/>
      <c r="M103" s="635"/>
      <c r="N103" s="635"/>
      <c r="O103" s="635"/>
      <c r="P103" s="635"/>
      <c r="Q103" s="635"/>
      <c r="R103" s="635"/>
      <c r="S103" s="634"/>
      <c r="T103" s="634"/>
      <c r="U103" s="634"/>
      <c r="V103" s="634"/>
      <c r="W103" s="634"/>
      <c r="X103" s="634"/>
      <c r="Y103" s="634"/>
      <c r="Z103" s="634"/>
      <c r="AA103" s="634"/>
    </row>
    <row r="104" ht="15.75" customHeight="1">
      <c r="A104" s="634"/>
      <c r="B104" s="634"/>
      <c r="C104" s="634"/>
      <c r="D104" s="634"/>
      <c r="E104" s="634"/>
      <c r="F104" s="634"/>
      <c r="G104" s="634"/>
      <c r="H104" s="635"/>
      <c r="I104" s="634"/>
      <c r="J104" s="636"/>
      <c r="K104" s="635"/>
      <c r="L104" s="635"/>
      <c r="M104" s="635"/>
      <c r="N104" s="635"/>
      <c r="O104" s="635"/>
      <c r="P104" s="635"/>
      <c r="Q104" s="635"/>
      <c r="R104" s="635"/>
      <c r="S104" s="634"/>
      <c r="T104" s="634"/>
      <c r="U104" s="634"/>
      <c r="V104" s="634"/>
      <c r="W104" s="634"/>
      <c r="X104" s="634"/>
      <c r="Y104" s="634"/>
      <c r="Z104" s="634"/>
      <c r="AA104" s="634"/>
    </row>
    <row r="105" ht="15.75" customHeight="1">
      <c r="A105" s="634"/>
      <c r="B105" s="634"/>
      <c r="C105" s="634"/>
      <c r="D105" s="634"/>
      <c r="E105" s="634"/>
      <c r="F105" s="634"/>
      <c r="G105" s="634"/>
      <c r="H105" s="635"/>
      <c r="I105" s="634"/>
      <c r="J105" s="636"/>
      <c r="K105" s="635"/>
      <c r="L105" s="635"/>
      <c r="M105" s="635"/>
      <c r="N105" s="635"/>
      <c r="O105" s="635"/>
      <c r="P105" s="635"/>
      <c r="Q105" s="635"/>
      <c r="R105" s="635"/>
      <c r="S105" s="634"/>
      <c r="T105" s="634"/>
      <c r="U105" s="634"/>
      <c r="V105" s="634"/>
      <c r="W105" s="634"/>
      <c r="X105" s="634"/>
      <c r="Y105" s="634"/>
      <c r="Z105" s="634"/>
      <c r="AA105" s="634"/>
    </row>
    <row r="106" ht="15.75" customHeight="1">
      <c r="A106" s="634"/>
      <c r="B106" s="634"/>
      <c r="C106" s="634"/>
      <c r="D106" s="634"/>
      <c r="E106" s="634"/>
      <c r="F106" s="634"/>
      <c r="G106" s="634"/>
      <c r="H106" s="635"/>
      <c r="I106" s="634"/>
      <c r="J106" s="636"/>
      <c r="K106" s="635"/>
      <c r="L106" s="635"/>
      <c r="M106" s="635"/>
      <c r="N106" s="635"/>
      <c r="O106" s="635"/>
      <c r="P106" s="635"/>
      <c r="Q106" s="635"/>
      <c r="R106" s="635"/>
      <c r="S106" s="634"/>
      <c r="T106" s="634"/>
      <c r="U106" s="634"/>
      <c r="V106" s="634"/>
      <c r="W106" s="634"/>
      <c r="X106" s="634"/>
      <c r="Y106" s="634"/>
      <c r="Z106" s="634"/>
      <c r="AA106" s="634"/>
    </row>
    <row r="107" ht="15.75" customHeight="1">
      <c r="A107" s="634"/>
      <c r="B107" s="634"/>
      <c r="C107" s="634"/>
      <c r="D107" s="634"/>
      <c r="E107" s="634"/>
      <c r="F107" s="634"/>
      <c r="G107" s="634"/>
      <c r="H107" s="635"/>
      <c r="I107" s="634"/>
      <c r="J107" s="636"/>
      <c r="K107" s="635"/>
      <c r="L107" s="635"/>
      <c r="M107" s="635"/>
      <c r="N107" s="635"/>
      <c r="O107" s="635"/>
      <c r="P107" s="635"/>
      <c r="Q107" s="635"/>
      <c r="R107" s="635"/>
      <c r="S107" s="634"/>
      <c r="T107" s="634"/>
      <c r="U107" s="634"/>
      <c r="V107" s="634"/>
      <c r="W107" s="634"/>
      <c r="X107" s="634"/>
      <c r="Y107" s="634"/>
      <c r="Z107" s="634"/>
      <c r="AA107" s="634"/>
    </row>
    <row r="108" ht="15.75" customHeight="1">
      <c r="A108" s="634"/>
      <c r="B108" s="634"/>
      <c r="C108" s="634"/>
      <c r="D108" s="634"/>
      <c r="E108" s="634"/>
      <c r="F108" s="634"/>
      <c r="G108" s="634"/>
      <c r="H108" s="635"/>
      <c r="I108" s="634"/>
      <c r="J108" s="636"/>
      <c r="K108" s="635"/>
      <c r="L108" s="635"/>
      <c r="M108" s="635"/>
      <c r="N108" s="635"/>
      <c r="O108" s="635"/>
      <c r="P108" s="635"/>
      <c r="Q108" s="635"/>
      <c r="R108" s="635"/>
      <c r="S108" s="634"/>
      <c r="T108" s="634"/>
      <c r="U108" s="634"/>
      <c r="V108" s="634"/>
      <c r="W108" s="634"/>
      <c r="X108" s="634"/>
      <c r="Y108" s="634"/>
      <c r="Z108" s="634"/>
      <c r="AA108" s="634"/>
    </row>
    <row r="109" ht="15.75" customHeight="1">
      <c r="A109" s="634"/>
      <c r="B109" s="634"/>
      <c r="C109" s="634"/>
      <c r="D109" s="634"/>
      <c r="E109" s="634"/>
      <c r="F109" s="634"/>
      <c r="G109" s="634"/>
      <c r="H109" s="635"/>
      <c r="I109" s="634"/>
      <c r="J109" s="636"/>
      <c r="K109" s="635"/>
      <c r="L109" s="635"/>
      <c r="M109" s="635"/>
      <c r="N109" s="635"/>
      <c r="O109" s="635"/>
      <c r="P109" s="635"/>
      <c r="Q109" s="635"/>
      <c r="R109" s="635"/>
      <c r="S109" s="634"/>
      <c r="T109" s="634"/>
      <c r="U109" s="634"/>
      <c r="V109" s="634"/>
      <c r="W109" s="634"/>
      <c r="X109" s="634"/>
      <c r="Y109" s="634"/>
      <c r="Z109" s="634"/>
      <c r="AA109" s="634"/>
    </row>
    <row r="110" ht="15.75" customHeight="1">
      <c r="A110" s="634"/>
      <c r="B110" s="634"/>
      <c r="C110" s="634"/>
      <c r="D110" s="634"/>
      <c r="E110" s="634"/>
      <c r="F110" s="634"/>
      <c r="G110" s="634"/>
      <c r="H110" s="635"/>
      <c r="I110" s="634"/>
      <c r="J110" s="636"/>
      <c r="K110" s="635"/>
      <c r="L110" s="635"/>
      <c r="M110" s="635"/>
      <c r="N110" s="635"/>
      <c r="O110" s="635"/>
      <c r="P110" s="635"/>
      <c r="Q110" s="635"/>
      <c r="R110" s="635"/>
      <c r="S110" s="634"/>
      <c r="T110" s="634"/>
      <c r="U110" s="634"/>
      <c r="V110" s="634"/>
      <c r="W110" s="634"/>
      <c r="X110" s="634"/>
      <c r="Y110" s="634"/>
      <c r="Z110" s="634"/>
      <c r="AA110" s="634"/>
    </row>
    <row r="111" ht="15.75" customHeight="1">
      <c r="A111" s="634"/>
      <c r="B111" s="634"/>
      <c r="C111" s="634"/>
      <c r="D111" s="634"/>
      <c r="E111" s="634"/>
      <c r="F111" s="634"/>
      <c r="G111" s="634"/>
      <c r="H111" s="635"/>
      <c r="I111" s="634"/>
      <c r="J111" s="636"/>
      <c r="K111" s="635"/>
      <c r="L111" s="635"/>
      <c r="M111" s="635"/>
      <c r="N111" s="635"/>
      <c r="O111" s="635"/>
      <c r="P111" s="635"/>
      <c r="Q111" s="635"/>
      <c r="R111" s="635"/>
      <c r="S111" s="634"/>
      <c r="T111" s="634"/>
      <c r="U111" s="634"/>
      <c r="V111" s="634"/>
      <c r="W111" s="634"/>
      <c r="X111" s="634"/>
      <c r="Y111" s="634"/>
      <c r="Z111" s="634"/>
      <c r="AA111" s="634"/>
    </row>
    <row r="112" ht="15.75" customHeight="1">
      <c r="A112" s="634"/>
      <c r="B112" s="634"/>
      <c r="C112" s="634"/>
      <c r="D112" s="634"/>
      <c r="E112" s="634"/>
      <c r="F112" s="634"/>
      <c r="G112" s="634"/>
      <c r="H112" s="635"/>
      <c r="I112" s="634"/>
      <c r="J112" s="636"/>
      <c r="K112" s="635"/>
      <c r="L112" s="635"/>
      <c r="M112" s="635"/>
      <c r="N112" s="635"/>
      <c r="O112" s="635"/>
      <c r="P112" s="635"/>
      <c r="Q112" s="635"/>
      <c r="R112" s="635"/>
      <c r="S112" s="634"/>
      <c r="T112" s="634"/>
      <c r="U112" s="634"/>
      <c r="V112" s="634"/>
      <c r="W112" s="634"/>
      <c r="X112" s="634"/>
      <c r="Y112" s="634"/>
      <c r="Z112" s="634"/>
      <c r="AA112" s="634"/>
    </row>
    <row r="113" ht="15.75" customHeight="1">
      <c r="A113" s="634"/>
      <c r="B113" s="634"/>
      <c r="C113" s="634"/>
      <c r="D113" s="634"/>
      <c r="E113" s="634"/>
      <c r="F113" s="634"/>
      <c r="G113" s="634"/>
      <c r="H113" s="635"/>
      <c r="I113" s="634"/>
      <c r="J113" s="636"/>
      <c r="K113" s="635"/>
      <c r="L113" s="635"/>
      <c r="M113" s="635"/>
      <c r="N113" s="635"/>
      <c r="O113" s="635"/>
      <c r="P113" s="635"/>
      <c r="Q113" s="635"/>
      <c r="R113" s="635"/>
      <c r="S113" s="634"/>
      <c r="T113" s="634"/>
      <c r="U113" s="634"/>
      <c r="V113" s="634"/>
      <c r="W113" s="634"/>
      <c r="X113" s="634"/>
      <c r="Y113" s="634"/>
      <c r="Z113" s="634"/>
      <c r="AA113" s="634"/>
    </row>
    <row r="114" ht="15.75" customHeight="1">
      <c r="A114" s="634"/>
      <c r="B114" s="634"/>
      <c r="C114" s="634"/>
      <c r="D114" s="634"/>
      <c r="E114" s="634"/>
      <c r="F114" s="634"/>
      <c r="G114" s="634"/>
      <c r="H114" s="635"/>
      <c r="I114" s="634"/>
      <c r="J114" s="636"/>
      <c r="K114" s="635"/>
      <c r="L114" s="635"/>
      <c r="M114" s="635"/>
      <c r="N114" s="635"/>
      <c r="O114" s="635"/>
      <c r="P114" s="635"/>
      <c r="Q114" s="635"/>
      <c r="R114" s="635"/>
      <c r="S114" s="634"/>
      <c r="T114" s="634"/>
      <c r="U114" s="634"/>
      <c r="V114" s="634"/>
      <c r="W114" s="634"/>
      <c r="X114" s="634"/>
      <c r="Y114" s="634"/>
      <c r="Z114" s="634"/>
      <c r="AA114" s="634"/>
    </row>
    <row r="115" ht="15.75" customHeight="1">
      <c r="A115" s="634"/>
      <c r="B115" s="634"/>
      <c r="C115" s="634"/>
      <c r="D115" s="634"/>
      <c r="E115" s="634"/>
      <c r="F115" s="634"/>
      <c r="G115" s="634"/>
      <c r="H115" s="635"/>
      <c r="I115" s="634"/>
      <c r="J115" s="636"/>
      <c r="K115" s="635"/>
      <c r="L115" s="635"/>
      <c r="M115" s="635"/>
      <c r="N115" s="635"/>
      <c r="O115" s="635"/>
      <c r="P115" s="635"/>
      <c r="Q115" s="635"/>
      <c r="R115" s="635"/>
      <c r="S115" s="634"/>
      <c r="T115" s="634"/>
      <c r="U115" s="634"/>
      <c r="V115" s="634"/>
      <c r="W115" s="634"/>
      <c r="X115" s="634"/>
      <c r="Y115" s="634"/>
      <c r="Z115" s="634"/>
      <c r="AA115" s="634"/>
    </row>
    <row r="116" ht="15.75" customHeight="1">
      <c r="A116" s="634"/>
      <c r="B116" s="634"/>
      <c r="C116" s="634"/>
      <c r="D116" s="634"/>
      <c r="E116" s="634"/>
      <c r="F116" s="634"/>
      <c r="G116" s="634"/>
      <c r="H116" s="635"/>
      <c r="I116" s="634"/>
      <c r="J116" s="636"/>
      <c r="K116" s="635"/>
      <c r="L116" s="635"/>
      <c r="M116" s="635"/>
      <c r="N116" s="635"/>
      <c r="O116" s="635"/>
      <c r="P116" s="635"/>
      <c r="Q116" s="635"/>
      <c r="R116" s="635"/>
      <c r="S116" s="634"/>
      <c r="T116" s="634"/>
      <c r="U116" s="634"/>
      <c r="V116" s="634"/>
      <c r="W116" s="634"/>
      <c r="X116" s="634"/>
      <c r="Y116" s="634"/>
      <c r="Z116" s="634"/>
      <c r="AA116" s="634"/>
    </row>
    <row r="117" ht="15.75" customHeight="1">
      <c r="A117" s="634"/>
      <c r="B117" s="634"/>
      <c r="C117" s="634"/>
      <c r="D117" s="634"/>
      <c r="E117" s="634"/>
      <c r="F117" s="634"/>
      <c r="G117" s="634"/>
      <c r="H117" s="635"/>
      <c r="I117" s="634"/>
      <c r="J117" s="636"/>
      <c r="K117" s="635"/>
      <c r="L117" s="635"/>
      <c r="M117" s="635"/>
      <c r="N117" s="635"/>
      <c r="O117" s="635"/>
      <c r="P117" s="635"/>
      <c r="Q117" s="635"/>
      <c r="R117" s="635"/>
      <c r="S117" s="634"/>
      <c r="T117" s="634"/>
      <c r="U117" s="634"/>
      <c r="V117" s="634"/>
      <c r="W117" s="634"/>
      <c r="X117" s="634"/>
      <c r="Y117" s="634"/>
      <c r="Z117" s="634"/>
      <c r="AA117" s="634"/>
    </row>
    <row r="118" ht="15.75" customHeight="1">
      <c r="A118" s="634"/>
      <c r="B118" s="634"/>
      <c r="C118" s="634"/>
      <c r="D118" s="634"/>
      <c r="E118" s="634"/>
      <c r="F118" s="634"/>
      <c r="G118" s="634"/>
      <c r="H118" s="635"/>
      <c r="I118" s="634"/>
      <c r="J118" s="636"/>
      <c r="K118" s="635"/>
      <c r="L118" s="635"/>
      <c r="M118" s="635"/>
      <c r="N118" s="635"/>
      <c r="O118" s="635"/>
      <c r="P118" s="635"/>
      <c r="Q118" s="635"/>
      <c r="R118" s="635"/>
      <c r="S118" s="634"/>
      <c r="T118" s="634"/>
      <c r="U118" s="634"/>
      <c r="V118" s="634"/>
      <c r="W118" s="634"/>
      <c r="X118" s="634"/>
      <c r="Y118" s="634"/>
      <c r="Z118" s="634"/>
      <c r="AA118" s="634"/>
    </row>
    <row r="119" ht="15.75" customHeight="1">
      <c r="A119" s="634"/>
      <c r="B119" s="634"/>
      <c r="C119" s="634"/>
      <c r="D119" s="634"/>
      <c r="E119" s="634"/>
      <c r="F119" s="634"/>
      <c r="G119" s="634"/>
      <c r="H119" s="635"/>
      <c r="I119" s="634"/>
      <c r="J119" s="636"/>
      <c r="K119" s="635"/>
      <c r="L119" s="635"/>
      <c r="M119" s="635"/>
      <c r="N119" s="635"/>
      <c r="O119" s="635"/>
      <c r="P119" s="635"/>
      <c r="Q119" s="635"/>
      <c r="R119" s="635"/>
      <c r="S119" s="634"/>
      <c r="T119" s="634"/>
      <c r="U119" s="634"/>
      <c r="V119" s="634"/>
      <c r="W119" s="634"/>
      <c r="X119" s="634"/>
      <c r="Y119" s="634"/>
      <c r="Z119" s="634"/>
      <c r="AA119" s="634"/>
    </row>
    <row r="120" ht="15.75" customHeight="1">
      <c r="A120" s="634"/>
      <c r="B120" s="634"/>
      <c r="C120" s="634"/>
      <c r="D120" s="634"/>
      <c r="E120" s="634"/>
      <c r="F120" s="634"/>
      <c r="G120" s="634"/>
      <c r="H120" s="635"/>
      <c r="I120" s="634"/>
      <c r="J120" s="636"/>
      <c r="K120" s="635"/>
      <c r="L120" s="635"/>
      <c r="M120" s="635"/>
      <c r="N120" s="635"/>
      <c r="O120" s="635"/>
      <c r="P120" s="635"/>
      <c r="Q120" s="635"/>
      <c r="R120" s="635"/>
      <c r="S120" s="634"/>
      <c r="T120" s="634"/>
      <c r="U120" s="634"/>
      <c r="V120" s="634"/>
      <c r="W120" s="634"/>
      <c r="X120" s="634"/>
      <c r="Y120" s="634"/>
      <c r="Z120" s="634"/>
      <c r="AA120" s="634"/>
    </row>
    <row r="121" ht="15.75" customHeight="1">
      <c r="A121" s="634"/>
      <c r="B121" s="634"/>
      <c r="C121" s="634"/>
      <c r="D121" s="634"/>
      <c r="E121" s="634"/>
      <c r="F121" s="634"/>
      <c r="G121" s="634"/>
      <c r="H121" s="635"/>
      <c r="I121" s="634"/>
      <c r="J121" s="636"/>
      <c r="K121" s="635"/>
      <c r="L121" s="635"/>
      <c r="M121" s="635"/>
      <c r="N121" s="635"/>
      <c r="O121" s="635"/>
      <c r="P121" s="635"/>
      <c r="Q121" s="635"/>
      <c r="R121" s="635"/>
      <c r="S121" s="634"/>
      <c r="T121" s="634"/>
      <c r="U121" s="634"/>
      <c r="V121" s="634"/>
      <c r="W121" s="634"/>
      <c r="X121" s="634"/>
      <c r="Y121" s="634"/>
      <c r="Z121" s="634"/>
      <c r="AA121" s="634"/>
    </row>
    <row r="122" ht="15.75" customHeight="1">
      <c r="A122" s="634"/>
      <c r="B122" s="634"/>
      <c r="C122" s="634"/>
      <c r="D122" s="634"/>
      <c r="E122" s="634"/>
      <c r="F122" s="634"/>
      <c r="G122" s="634"/>
      <c r="H122" s="635"/>
      <c r="I122" s="634"/>
      <c r="J122" s="636"/>
      <c r="K122" s="635"/>
      <c r="L122" s="635"/>
      <c r="M122" s="635"/>
      <c r="N122" s="635"/>
      <c r="O122" s="635"/>
      <c r="P122" s="635"/>
      <c r="Q122" s="635"/>
      <c r="R122" s="635"/>
      <c r="S122" s="634"/>
      <c r="T122" s="634"/>
      <c r="U122" s="634"/>
      <c r="V122" s="634"/>
      <c r="W122" s="634"/>
      <c r="X122" s="634"/>
      <c r="Y122" s="634"/>
      <c r="Z122" s="634"/>
      <c r="AA122" s="634"/>
    </row>
    <row r="123" ht="15.75" customHeight="1">
      <c r="A123" s="634"/>
      <c r="B123" s="634"/>
      <c r="C123" s="634"/>
      <c r="D123" s="634"/>
      <c r="E123" s="634"/>
      <c r="F123" s="634"/>
      <c r="G123" s="634"/>
      <c r="H123" s="635"/>
      <c r="I123" s="634"/>
      <c r="J123" s="636"/>
      <c r="K123" s="635"/>
      <c r="L123" s="635"/>
      <c r="M123" s="635"/>
      <c r="N123" s="635"/>
      <c r="O123" s="635"/>
      <c r="P123" s="635"/>
      <c r="Q123" s="635"/>
      <c r="R123" s="635"/>
      <c r="S123" s="634"/>
      <c r="T123" s="634"/>
      <c r="U123" s="634"/>
      <c r="V123" s="634"/>
      <c r="W123" s="634"/>
      <c r="X123" s="634"/>
      <c r="Y123" s="634"/>
      <c r="Z123" s="634"/>
      <c r="AA123" s="634"/>
    </row>
    <row r="124" ht="15.75" customHeight="1">
      <c r="A124" s="634"/>
      <c r="B124" s="634"/>
      <c r="C124" s="634"/>
      <c r="D124" s="634"/>
      <c r="E124" s="634"/>
      <c r="F124" s="634"/>
      <c r="G124" s="634"/>
      <c r="H124" s="635"/>
      <c r="I124" s="634"/>
      <c r="J124" s="636"/>
      <c r="K124" s="635"/>
      <c r="L124" s="635"/>
      <c r="M124" s="635"/>
      <c r="N124" s="635"/>
      <c r="O124" s="635"/>
      <c r="P124" s="635"/>
      <c r="Q124" s="635"/>
      <c r="R124" s="635"/>
      <c r="S124" s="634"/>
      <c r="T124" s="634"/>
      <c r="U124" s="634"/>
      <c r="V124" s="634"/>
      <c r="W124" s="634"/>
      <c r="X124" s="634"/>
      <c r="Y124" s="634"/>
      <c r="Z124" s="634"/>
      <c r="AA124" s="634"/>
    </row>
    <row r="125" ht="15.75" customHeight="1">
      <c r="A125" s="634"/>
      <c r="B125" s="634"/>
      <c r="C125" s="634"/>
      <c r="D125" s="634"/>
      <c r="E125" s="634"/>
      <c r="F125" s="634"/>
      <c r="G125" s="634"/>
      <c r="H125" s="635"/>
      <c r="I125" s="634"/>
      <c r="J125" s="636"/>
      <c r="K125" s="635"/>
      <c r="L125" s="635"/>
      <c r="M125" s="635"/>
      <c r="N125" s="635"/>
      <c r="O125" s="635"/>
      <c r="P125" s="635"/>
      <c r="Q125" s="635"/>
      <c r="R125" s="635"/>
      <c r="S125" s="634"/>
      <c r="T125" s="634"/>
      <c r="U125" s="634"/>
      <c r="V125" s="634"/>
      <c r="W125" s="634"/>
      <c r="X125" s="634"/>
      <c r="Y125" s="634"/>
      <c r="Z125" s="634"/>
      <c r="AA125" s="634"/>
    </row>
    <row r="126" ht="15.75" customHeight="1">
      <c r="A126" s="634"/>
      <c r="B126" s="634"/>
      <c r="C126" s="634"/>
      <c r="D126" s="634"/>
      <c r="E126" s="634"/>
      <c r="F126" s="634"/>
      <c r="G126" s="634"/>
      <c r="H126" s="635"/>
      <c r="I126" s="634"/>
      <c r="J126" s="636"/>
      <c r="K126" s="635"/>
      <c r="L126" s="635"/>
      <c r="M126" s="635"/>
      <c r="N126" s="635"/>
      <c r="O126" s="635"/>
      <c r="P126" s="635"/>
      <c r="Q126" s="635"/>
      <c r="R126" s="635"/>
      <c r="S126" s="634"/>
      <c r="T126" s="634"/>
      <c r="U126" s="634"/>
      <c r="V126" s="634"/>
      <c r="W126" s="634"/>
      <c r="X126" s="634"/>
      <c r="Y126" s="634"/>
      <c r="Z126" s="634"/>
      <c r="AA126" s="634"/>
    </row>
    <row r="127" ht="15.75" customHeight="1">
      <c r="A127" s="634"/>
      <c r="B127" s="634"/>
      <c r="C127" s="634"/>
      <c r="D127" s="634"/>
      <c r="E127" s="634"/>
      <c r="F127" s="634"/>
      <c r="G127" s="634"/>
      <c r="H127" s="635"/>
      <c r="I127" s="634"/>
      <c r="J127" s="636"/>
      <c r="K127" s="635"/>
      <c r="L127" s="635"/>
      <c r="M127" s="635"/>
      <c r="N127" s="635"/>
      <c r="O127" s="635"/>
      <c r="P127" s="635"/>
      <c r="Q127" s="635"/>
      <c r="R127" s="635"/>
      <c r="S127" s="634"/>
      <c r="T127" s="634"/>
      <c r="U127" s="634"/>
      <c r="V127" s="634"/>
      <c r="W127" s="634"/>
      <c r="X127" s="634"/>
      <c r="Y127" s="634"/>
      <c r="Z127" s="634"/>
      <c r="AA127" s="634"/>
    </row>
    <row r="128" ht="15.75" customHeight="1">
      <c r="A128" s="634"/>
      <c r="B128" s="634"/>
      <c r="C128" s="634"/>
      <c r="D128" s="634"/>
      <c r="E128" s="634"/>
      <c r="F128" s="634"/>
      <c r="G128" s="634"/>
      <c r="H128" s="635"/>
      <c r="I128" s="634"/>
      <c r="J128" s="636"/>
      <c r="K128" s="635"/>
      <c r="L128" s="635"/>
      <c r="M128" s="635"/>
      <c r="N128" s="635"/>
      <c r="O128" s="635"/>
      <c r="P128" s="635"/>
      <c r="Q128" s="635"/>
      <c r="R128" s="635"/>
      <c r="S128" s="634"/>
      <c r="T128" s="634"/>
      <c r="U128" s="634"/>
      <c r="V128" s="634"/>
      <c r="W128" s="634"/>
      <c r="X128" s="634"/>
      <c r="Y128" s="634"/>
      <c r="Z128" s="634"/>
      <c r="AA128" s="634"/>
    </row>
    <row r="129" ht="15.75" customHeight="1">
      <c r="A129" s="634"/>
      <c r="B129" s="634"/>
      <c r="C129" s="634"/>
      <c r="D129" s="634"/>
      <c r="E129" s="634"/>
      <c r="F129" s="634"/>
      <c r="G129" s="634"/>
      <c r="H129" s="635"/>
      <c r="I129" s="634"/>
      <c r="J129" s="636"/>
      <c r="K129" s="635"/>
      <c r="L129" s="635"/>
      <c r="M129" s="635"/>
      <c r="N129" s="635"/>
      <c r="O129" s="635"/>
      <c r="P129" s="635"/>
      <c r="Q129" s="635"/>
      <c r="R129" s="635"/>
      <c r="S129" s="634"/>
      <c r="T129" s="634"/>
      <c r="U129" s="634"/>
      <c r="V129" s="634"/>
      <c r="W129" s="634"/>
      <c r="X129" s="634"/>
      <c r="Y129" s="634"/>
      <c r="Z129" s="634"/>
      <c r="AA129" s="634"/>
    </row>
    <row r="130" ht="15.75" customHeight="1">
      <c r="A130" s="634"/>
      <c r="B130" s="634"/>
      <c r="C130" s="634"/>
      <c r="D130" s="634"/>
      <c r="E130" s="634"/>
      <c r="F130" s="634"/>
      <c r="G130" s="634"/>
      <c r="H130" s="635"/>
      <c r="I130" s="634"/>
      <c r="J130" s="636"/>
      <c r="K130" s="635"/>
      <c r="L130" s="635"/>
      <c r="M130" s="635"/>
      <c r="N130" s="635"/>
      <c r="O130" s="635"/>
      <c r="P130" s="635"/>
      <c r="Q130" s="635"/>
      <c r="R130" s="635"/>
      <c r="S130" s="634"/>
      <c r="T130" s="634"/>
      <c r="U130" s="634"/>
      <c r="V130" s="634"/>
      <c r="W130" s="634"/>
      <c r="X130" s="634"/>
      <c r="Y130" s="634"/>
      <c r="Z130" s="634"/>
      <c r="AA130" s="634"/>
    </row>
    <row r="131" ht="15.75" customHeight="1">
      <c r="A131" s="634"/>
      <c r="B131" s="634"/>
      <c r="C131" s="634"/>
      <c r="D131" s="634"/>
      <c r="E131" s="634"/>
      <c r="F131" s="634"/>
      <c r="G131" s="634"/>
      <c r="H131" s="635"/>
      <c r="I131" s="634"/>
      <c r="J131" s="636"/>
      <c r="K131" s="635"/>
      <c r="L131" s="635"/>
      <c r="M131" s="635"/>
      <c r="N131" s="635"/>
      <c r="O131" s="635"/>
      <c r="P131" s="635"/>
      <c r="Q131" s="635"/>
      <c r="R131" s="635"/>
      <c r="S131" s="634"/>
      <c r="T131" s="634"/>
      <c r="U131" s="634"/>
      <c r="V131" s="634"/>
      <c r="W131" s="634"/>
      <c r="X131" s="634"/>
      <c r="Y131" s="634"/>
      <c r="Z131" s="634"/>
      <c r="AA131" s="634"/>
    </row>
    <row r="132" ht="15.75" customHeight="1">
      <c r="A132" s="634"/>
      <c r="B132" s="634"/>
      <c r="C132" s="634"/>
      <c r="D132" s="634"/>
      <c r="E132" s="634"/>
      <c r="F132" s="634"/>
      <c r="G132" s="634"/>
      <c r="H132" s="635"/>
      <c r="I132" s="634"/>
      <c r="J132" s="636"/>
      <c r="K132" s="635"/>
      <c r="L132" s="635"/>
      <c r="M132" s="635"/>
      <c r="N132" s="635"/>
      <c r="O132" s="635"/>
      <c r="P132" s="635"/>
      <c r="Q132" s="635"/>
      <c r="R132" s="635"/>
      <c r="S132" s="634"/>
      <c r="T132" s="634"/>
      <c r="U132" s="634"/>
      <c r="V132" s="634"/>
      <c r="W132" s="634"/>
      <c r="X132" s="634"/>
      <c r="Y132" s="634"/>
      <c r="Z132" s="634"/>
      <c r="AA132" s="634"/>
    </row>
    <row r="133" ht="15.75" customHeight="1">
      <c r="A133" s="634"/>
      <c r="B133" s="634"/>
      <c r="C133" s="634"/>
      <c r="D133" s="634"/>
      <c r="E133" s="634"/>
      <c r="F133" s="634"/>
      <c r="G133" s="634"/>
      <c r="H133" s="635"/>
      <c r="I133" s="634"/>
      <c r="J133" s="636"/>
      <c r="K133" s="635"/>
      <c r="L133" s="635"/>
      <c r="M133" s="635"/>
      <c r="N133" s="635"/>
      <c r="O133" s="635"/>
      <c r="P133" s="635"/>
      <c r="Q133" s="635"/>
      <c r="R133" s="635"/>
      <c r="S133" s="634"/>
      <c r="T133" s="634"/>
      <c r="U133" s="634"/>
      <c r="V133" s="634"/>
      <c r="W133" s="634"/>
      <c r="X133" s="634"/>
      <c r="Y133" s="634"/>
      <c r="Z133" s="634"/>
      <c r="AA133" s="634"/>
    </row>
    <row r="134" ht="15.75" customHeight="1">
      <c r="A134" s="634"/>
      <c r="B134" s="634"/>
      <c r="C134" s="634"/>
      <c r="D134" s="634"/>
      <c r="E134" s="634"/>
      <c r="F134" s="634"/>
      <c r="G134" s="634"/>
      <c r="H134" s="635"/>
      <c r="I134" s="634"/>
      <c r="J134" s="636"/>
      <c r="K134" s="635"/>
      <c r="L134" s="635"/>
      <c r="M134" s="635"/>
      <c r="N134" s="635"/>
      <c r="O134" s="635"/>
      <c r="P134" s="635"/>
      <c r="Q134" s="635"/>
      <c r="R134" s="635"/>
      <c r="S134" s="634"/>
      <c r="T134" s="634"/>
      <c r="U134" s="634"/>
      <c r="V134" s="634"/>
      <c r="W134" s="634"/>
      <c r="X134" s="634"/>
      <c r="Y134" s="634"/>
      <c r="Z134" s="634"/>
      <c r="AA134" s="634"/>
    </row>
    <row r="135" ht="15.75" customHeight="1">
      <c r="A135" s="634"/>
      <c r="B135" s="634"/>
      <c r="C135" s="634"/>
      <c r="D135" s="634"/>
      <c r="E135" s="634"/>
      <c r="F135" s="634"/>
      <c r="G135" s="634"/>
      <c r="H135" s="635"/>
      <c r="I135" s="634"/>
      <c r="J135" s="636"/>
      <c r="K135" s="635"/>
      <c r="L135" s="635"/>
      <c r="M135" s="635"/>
      <c r="N135" s="635"/>
      <c r="O135" s="635"/>
      <c r="P135" s="635"/>
      <c r="Q135" s="635"/>
      <c r="R135" s="635"/>
      <c r="S135" s="634"/>
      <c r="T135" s="634"/>
      <c r="U135" s="634"/>
      <c r="V135" s="634"/>
      <c r="W135" s="634"/>
      <c r="X135" s="634"/>
      <c r="Y135" s="634"/>
      <c r="Z135" s="634"/>
      <c r="AA135" s="634"/>
    </row>
    <row r="136" ht="15.75" customHeight="1">
      <c r="A136" s="634"/>
      <c r="B136" s="634"/>
      <c r="C136" s="634"/>
      <c r="D136" s="634"/>
      <c r="E136" s="634"/>
      <c r="F136" s="634"/>
      <c r="G136" s="634"/>
      <c r="H136" s="635"/>
      <c r="I136" s="634"/>
      <c r="J136" s="636"/>
      <c r="K136" s="635"/>
      <c r="L136" s="635"/>
      <c r="M136" s="635"/>
      <c r="N136" s="635"/>
      <c r="O136" s="635"/>
      <c r="P136" s="635"/>
      <c r="Q136" s="635"/>
      <c r="R136" s="635"/>
      <c r="S136" s="634"/>
      <c r="T136" s="634"/>
      <c r="U136" s="634"/>
      <c r="V136" s="634"/>
      <c r="W136" s="634"/>
      <c r="X136" s="634"/>
      <c r="Y136" s="634"/>
      <c r="Z136" s="634"/>
      <c r="AA136" s="634"/>
    </row>
    <row r="137" ht="15.75" customHeight="1">
      <c r="A137" s="634"/>
      <c r="B137" s="634"/>
      <c r="C137" s="634"/>
      <c r="D137" s="634"/>
      <c r="E137" s="634"/>
      <c r="F137" s="634"/>
      <c r="G137" s="634"/>
      <c r="H137" s="635"/>
      <c r="I137" s="634"/>
      <c r="J137" s="636"/>
      <c r="K137" s="635"/>
      <c r="L137" s="635"/>
      <c r="M137" s="635"/>
      <c r="N137" s="635"/>
      <c r="O137" s="635"/>
      <c r="P137" s="635"/>
      <c r="Q137" s="635"/>
      <c r="R137" s="635"/>
      <c r="S137" s="634"/>
      <c r="T137" s="634"/>
      <c r="U137" s="634"/>
      <c r="V137" s="634"/>
      <c r="W137" s="634"/>
      <c r="X137" s="634"/>
      <c r="Y137" s="634"/>
      <c r="Z137" s="634"/>
      <c r="AA137" s="634"/>
    </row>
    <row r="138" ht="15.75" customHeight="1">
      <c r="A138" s="634"/>
      <c r="B138" s="634"/>
      <c r="C138" s="634"/>
      <c r="D138" s="634"/>
      <c r="E138" s="634"/>
      <c r="F138" s="634"/>
      <c r="G138" s="634"/>
      <c r="H138" s="635"/>
      <c r="I138" s="634"/>
      <c r="J138" s="636"/>
      <c r="K138" s="635"/>
      <c r="L138" s="635"/>
      <c r="M138" s="635"/>
      <c r="N138" s="635"/>
      <c r="O138" s="635"/>
      <c r="P138" s="635"/>
      <c r="Q138" s="635"/>
      <c r="R138" s="635"/>
      <c r="S138" s="634"/>
      <c r="T138" s="634"/>
      <c r="U138" s="634"/>
      <c r="V138" s="634"/>
      <c r="W138" s="634"/>
      <c r="X138" s="634"/>
      <c r="Y138" s="634"/>
      <c r="Z138" s="634"/>
      <c r="AA138" s="634"/>
    </row>
    <row r="139" ht="15.75" customHeight="1">
      <c r="A139" s="634"/>
      <c r="B139" s="634"/>
      <c r="C139" s="634"/>
      <c r="D139" s="634"/>
      <c r="E139" s="634"/>
      <c r="F139" s="634"/>
      <c r="G139" s="634"/>
      <c r="H139" s="635"/>
      <c r="I139" s="634"/>
      <c r="J139" s="636"/>
      <c r="K139" s="635"/>
      <c r="L139" s="635"/>
      <c r="M139" s="635"/>
      <c r="N139" s="635"/>
      <c r="O139" s="635"/>
      <c r="P139" s="635"/>
      <c r="Q139" s="635"/>
      <c r="R139" s="635"/>
      <c r="S139" s="634"/>
      <c r="T139" s="634"/>
      <c r="U139" s="634"/>
      <c r="V139" s="634"/>
      <c r="W139" s="634"/>
      <c r="X139" s="634"/>
      <c r="Y139" s="634"/>
      <c r="Z139" s="634"/>
      <c r="AA139" s="634"/>
    </row>
    <row r="140" ht="15.75" customHeight="1">
      <c r="A140" s="634"/>
      <c r="B140" s="634"/>
      <c r="C140" s="634"/>
      <c r="D140" s="634"/>
      <c r="E140" s="634"/>
      <c r="F140" s="634"/>
      <c r="G140" s="634"/>
      <c r="H140" s="635"/>
      <c r="I140" s="634"/>
      <c r="J140" s="636"/>
      <c r="K140" s="635"/>
      <c r="L140" s="635"/>
      <c r="M140" s="635"/>
      <c r="N140" s="635"/>
      <c r="O140" s="635"/>
      <c r="P140" s="635"/>
      <c r="Q140" s="635"/>
      <c r="R140" s="635"/>
      <c r="S140" s="634"/>
      <c r="T140" s="634"/>
      <c r="U140" s="634"/>
      <c r="V140" s="634"/>
      <c r="W140" s="634"/>
      <c r="X140" s="634"/>
      <c r="Y140" s="634"/>
      <c r="Z140" s="634"/>
      <c r="AA140" s="634"/>
    </row>
    <row r="141" ht="15.75" customHeight="1">
      <c r="A141" s="634"/>
      <c r="B141" s="634"/>
      <c r="C141" s="634"/>
      <c r="D141" s="634"/>
      <c r="E141" s="634"/>
      <c r="F141" s="634"/>
      <c r="G141" s="634"/>
      <c r="H141" s="635"/>
      <c r="I141" s="634"/>
      <c r="J141" s="636"/>
      <c r="K141" s="635"/>
      <c r="L141" s="635"/>
      <c r="M141" s="635"/>
      <c r="N141" s="635"/>
      <c r="O141" s="635"/>
      <c r="P141" s="635"/>
      <c r="Q141" s="635"/>
      <c r="R141" s="635"/>
      <c r="S141" s="634"/>
      <c r="T141" s="634"/>
      <c r="U141" s="634"/>
      <c r="V141" s="634"/>
      <c r="W141" s="634"/>
      <c r="X141" s="634"/>
      <c r="Y141" s="634"/>
      <c r="Z141" s="634"/>
      <c r="AA141" s="634"/>
    </row>
    <row r="142" ht="15.75" customHeight="1">
      <c r="A142" s="634"/>
      <c r="B142" s="634"/>
      <c r="C142" s="634"/>
      <c r="D142" s="634"/>
      <c r="E142" s="634"/>
      <c r="F142" s="634"/>
      <c r="G142" s="634"/>
      <c r="H142" s="635"/>
      <c r="I142" s="634"/>
      <c r="J142" s="636"/>
      <c r="K142" s="635"/>
      <c r="L142" s="635"/>
      <c r="M142" s="635"/>
      <c r="N142" s="635"/>
      <c r="O142" s="635"/>
      <c r="P142" s="635"/>
      <c r="Q142" s="635"/>
      <c r="R142" s="635"/>
      <c r="S142" s="634"/>
      <c r="T142" s="634"/>
      <c r="U142" s="634"/>
      <c r="V142" s="634"/>
      <c r="W142" s="634"/>
      <c r="X142" s="634"/>
      <c r="Y142" s="634"/>
      <c r="Z142" s="634"/>
      <c r="AA142" s="634"/>
    </row>
    <row r="143" ht="15.75" customHeight="1">
      <c r="A143" s="634"/>
      <c r="B143" s="634"/>
      <c r="C143" s="634"/>
      <c r="D143" s="634"/>
      <c r="E143" s="634"/>
      <c r="F143" s="634"/>
      <c r="G143" s="634"/>
      <c r="H143" s="635"/>
      <c r="I143" s="634"/>
      <c r="J143" s="636"/>
      <c r="K143" s="635"/>
      <c r="L143" s="635"/>
      <c r="M143" s="635"/>
      <c r="N143" s="635"/>
      <c r="O143" s="635"/>
      <c r="P143" s="635"/>
      <c r="Q143" s="635"/>
      <c r="R143" s="635"/>
      <c r="S143" s="634"/>
      <c r="T143" s="634"/>
      <c r="U143" s="634"/>
      <c r="V143" s="634"/>
      <c r="W143" s="634"/>
      <c r="X143" s="634"/>
      <c r="Y143" s="634"/>
      <c r="Z143" s="634"/>
      <c r="AA143" s="634"/>
    </row>
    <row r="144" ht="15.75" customHeight="1">
      <c r="A144" s="634"/>
      <c r="B144" s="634"/>
      <c r="C144" s="634"/>
      <c r="D144" s="634"/>
      <c r="E144" s="634"/>
      <c r="F144" s="634"/>
      <c r="G144" s="634"/>
      <c r="H144" s="635"/>
      <c r="I144" s="634"/>
      <c r="J144" s="636"/>
      <c r="K144" s="635"/>
      <c r="L144" s="635"/>
      <c r="M144" s="635"/>
      <c r="N144" s="635"/>
      <c r="O144" s="635"/>
      <c r="P144" s="635"/>
      <c r="Q144" s="635"/>
      <c r="R144" s="635"/>
      <c r="S144" s="634"/>
      <c r="T144" s="634"/>
      <c r="U144" s="634"/>
      <c r="V144" s="634"/>
      <c r="W144" s="634"/>
      <c r="X144" s="634"/>
      <c r="Y144" s="634"/>
      <c r="Z144" s="634"/>
      <c r="AA144" s="634"/>
    </row>
    <row r="145" ht="15.75" customHeight="1">
      <c r="A145" s="634"/>
      <c r="B145" s="634"/>
      <c r="C145" s="634"/>
      <c r="D145" s="634"/>
      <c r="E145" s="634"/>
      <c r="F145" s="634"/>
      <c r="G145" s="634"/>
      <c r="H145" s="635"/>
      <c r="I145" s="634"/>
      <c r="J145" s="636"/>
      <c r="K145" s="635"/>
      <c r="L145" s="635"/>
      <c r="M145" s="635"/>
      <c r="N145" s="635"/>
      <c r="O145" s="635"/>
      <c r="P145" s="635"/>
      <c r="Q145" s="635"/>
      <c r="R145" s="635"/>
      <c r="S145" s="634"/>
      <c r="T145" s="634"/>
      <c r="U145" s="634"/>
      <c r="V145" s="634"/>
      <c r="W145" s="634"/>
      <c r="X145" s="634"/>
      <c r="Y145" s="634"/>
      <c r="Z145" s="634"/>
      <c r="AA145" s="634"/>
    </row>
    <row r="146" ht="15.75" customHeight="1">
      <c r="A146" s="634"/>
      <c r="B146" s="634"/>
      <c r="C146" s="634"/>
      <c r="D146" s="634"/>
      <c r="E146" s="634"/>
      <c r="F146" s="634"/>
      <c r="G146" s="634"/>
      <c r="H146" s="635"/>
      <c r="I146" s="634"/>
      <c r="J146" s="636"/>
      <c r="K146" s="635"/>
      <c r="L146" s="635"/>
      <c r="M146" s="635"/>
      <c r="N146" s="635"/>
      <c r="O146" s="635"/>
      <c r="P146" s="635"/>
      <c r="Q146" s="635"/>
      <c r="R146" s="635"/>
      <c r="S146" s="634"/>
      <c r="T146" s="634"/>
      <c r="U146" s="634"/>
      <c r="V146" s="634"/>
      <c r="W146" s="634"/>
      <c r="X146" s="634"/>
      <c r="Y146" s="634"/>
      <c r="Z146" s="634"/>
      <c r="AA146" s="634"/>
    </row>
    <row r="147" ht="15.75" customHeight="1">
      <c r="A147" s="634"/>
      <c r="B147" s="634"/>
      <c r="C147" s="634"/>
      <c r="D147" s="634"/>
      <c r="E147" s="634"/>
      <c r="F147" s="634"/>
      <c r="G147" s="634"/>
      <c r="H147" s="635"/>
      <c r="I147" s="634"/>
      <c r="J147" s="636"/>
      <c r="K147" s="635"/>
      <c r="L147" s="635"/>
      <c r="M147" s="635"/>
      <c r="N147" s="635"/>
      <c r="O147" s="635"/>
      <c r="P147" s="635"/>
      <c r="Q147" s="635"/>
      <c r="R147" s="635"/>
      <c r="S147" s="634"/>
      <c r="T147" s="634"/>
      <c r="U147" s="634"/>
      <c r="V147" s="634"/>
      <c r="W147" s="634"/>
      <c r="X147" s="634"/>
      <c r="Y147" s="634"/>
      <c r="Z147" s="634"/>
      <c r="AA147" s="634"/>
    </row>
    <row r="148" ht="15.75" customHeight="1">
      <c r="A148" s="634"/>
      <c r="B148" s="634"/>
      <c r="C148" s="634"/>
      <c r="D148" s="634"/>
      <c r="E148" s="634"/>
      <c r="F148" s="634"/>
      <c r="G148" s="634"/>
      <c r="H148" s="635"/>
      <c r="I148" s="634"/>
      <c r="J148" s="636"/>
      <c r="K148" s="635"/>
      <c r="L148" s="635"/>
      <c r="M148" s="635"/>
      <c r="N148" s="635"/>
      <c r="O148" s="635"/>
      <c r="P148" s="635"/>
      <c r="Q148" s="635"/>
      <c r="R148" s="635"/>
      <c r="S148" s="634"/>
      <c r="T148" s="634"/>
      <c r="U148" s="634"/>
      <c r="V148" s="634"/>
      <c r="W148" s="634"/>
      <c r="X148" s="634"/>
      <c r="Y148" s="634"/>
      <c r="Z148" s="634"/>
      <c r="AA148" s="634"/>
    </row>
    <row r="149" ht="15.75" customHeight="1">
      <c r="A149" s="634"/>
      <c r="B149" s="634"/>
      <c r="C149" s="634"/>
      <c r="D149" s="634"/>
      <c r="E149" s="634"/>
      <c r="F149" s="634"/>
      <c r="G149" s="634"/>
      <c r="H149" s="635"/>
      <c r="I149" s="634"/>
      <c r="J149" s="636"/>
      <c r="K149" s="635"/>
      <c r="L149" s="635"/>
      <c r="M149" s="635"/>
      <c r="N149" s="635"/>
      <c r="O149" s="635"/>
      <c r="P149" s="635"/>
      <c r="Q149" s="635"/>
      <c r="R149" s="635"/>
      <c r="S149" s="634"/>
      <c r="T149" s="634"/>
      <c r="U149" s="634"/>
      <c r="V149" s="634"/>
      <c r="W149" s="634"/>
      <c r="X149" s="634"/>
      <c r="Y149" s="634"/>
      <c r="Z149" s="634"/>
      <c r="AA149" s="634"/>
    </row>
    <row r="150" ht="15.75" customHeight="1">
      <c r="A150" s="634"/>
      <c r="B150" s="634"/>
      <c r="C150" s="634"/>
      <c r="D150" s="634"/>
      <c r="E150" s="634"/>
      <c r="F150" s="634"/>
      <c r="G150" s="634"/>
      <c r="H150" s="635"/>
      <c r="I150" s="634"/>
      <c r="J150" s="636"/>
      <c r="K150" s="635"/>
      <c r="L150" s="635"/>
      <c r="M150" s="635"/>
      <c r="N150" s="635"/>
      <c r="O150" s="635"/>
      <c r="P150" s="635"/>
      <c r="Q150" s="635"/>
      <c r="R150" s="635"/>
      <c r="S150" s="634"/>
      <c r="T150" s="634"/>
      <c r="U150" s="634"/>
      <c r="V150" s="634"/>
      <c r="W150" s="634"/>
      <c r="X150" s="634"/>
      <c r="Y150" s="634"/>
      <c r="Z150" s="634"/>
      <c r="AA150" s="634"/>
    </row>
    <row r="151" ht="15.75" customHeight="1">
      <c r="A151" s="634"/>
      <c r="B151" s="634"/>
      <c r="C151" s="634"/>
      <c r="D151" s="634"/>
      <c r="E151" s="634"/>
      <c r="F151" s="634"/>
      <c r="G151" s="634"/>
      <c r="H151" s="635"/>
      <c r="I151" s="634"/>
      <c r="J151" s="636"/>
      <c r="K151" s="635"/>
      <c r="L151" s="635"/>
      <c r="M151" s="635"/>
      <c r="N151" s="635"/>
      <c r="O151" s="635"/>
      <c r="P151" s="635"/>
      <c r="Q151" s="635"/>
      <c r="R151" s="635"/>
      <c r="S151" s="634"/>
      <c r="T151" s="634"/>
      <c r="U151" s="634"/>
      <c r="V151" s="634"/>
      <c r="W151" s="634"/>
      <c r="X151" s="634"/>
      <c r="Y151" s="634"/>
      <c r="Z151" s="634"/>
      <c r="AA151" s="634"/>
    </row>
    <row r="152" ht="15.75" customHeight="1">
      <c r="A152" s="634"/>
      <c r="B152" s="634"/>
      <c r="C152" s="634"/>
      <c r="D152" s="634"/>
      <c r="E152" s="634"/>
      <c r="F152" s="634"/>
      <c r="G152" s="634"/>
      <c r="H152" s="635"/>
      <c r="I152" s="634"/>
      <c r="J152" s="636"/>
      <c r="K152" s="635"/>
      <c r="L152" s="635"/>
      <c r="M152" s="635"/>
      <c r="N152" s="635"/>
      <c r="O152" s="635"/>
      <c r="P152" s="635"/>
      <c r="Q152" s="635"/>
      <c r="R152" s="635"/>
      <c r="S152" s="634"/>
      <c r="T152" s="634"/>
      <c r="U152" s="634"/>
      <c r="V152" s="634"/>
      <c r="W152" s="634"/>
      <c r="X152" s="634"/>
      <c r="Y152" s="634"/>
      <c r="Z152" s="634"/>
      <c r="AA152" s="634"/>
    </row>
    <row r="153" ht="15.75" customHeight="1">
      <c r="A153" s="634"/>
      <c r="B153" s="634"/>
      <c r="C153" s="634"/>
      <c r="D153" s="634"/>
      <c r="E153" s="634"/>
      <c r="F153" s="634"/>
      <c r="G153" s="634"/>
      <c r="H153" s="635"/>
      <c r="I153" s="634"/>
      <c r="J153" s="636"/>
      <c r="K153" s="635"/>
      <c r="L153" s="635"/>
      <c r="M153" s="635"/>
      <c r="N153" s="635"/>
      <c r="O153" s="635"/>
      <c r="P153" s="635"/>
      <c r="Q153" s="635"/>
      <c r="R153" s="635"/>
      <c r="S153" s="634"/>
      <c r="T153" s="634"/>
      <c r="U153" s="634"/>
      <c r="V153" s="634"/>
      <c r="W153" s="634"/>
      <c r="X153" s="634"/>
      <c r="Y153" s="634"/>
      <c r="Z153" s="634"/>
      <c r="AA153" s="634"/>
    </row>
    <row r="154" ht="15.75" customHeight="1">
      <c r="A154" s="634"/>
      <c r="B154" s="634"/>
      <c r="C154" s="634"/>
      <c r="D154" s="634"/>
      <c r="E154" s="634"/>
      <c r="F154" s="634"/>
      <c r="G154" s="634"/>
      <c r="H154" s="635"/>
      <c r="I154" s="634"/>
      <c r="J154" s="636"/>
      <c r="K154" s="635"/>
      <c r="L154" s="635"/>
      <c r="M154" s="635"/>
      <c r="N154" s="635"/>
      <c r="O154" s="635"/>
      <c r="P154" s="635"/>
      <c r="Q154" s="635"/>
      <c r="R154" s="635"/>
      <c r="S154" s="634"/>
      <c r="T154" s="634"/>
      <c r="U154" s="634"/>
      <c r="V154" s="634"/>
      <c r="W154" s="634"/>
      <c r="X154" s="634"/>
      <c r="Y154" s="634"/>
      <c r="Z154" s="634"/>
      <c r="AA154" s="634"/>
    </row>
    <row r="155" ht="15.75" customHeight="1">
      <c r="A155" s="634"/>
      <c r="B155" s="634"/>
      <c r="C155" s="634"/>
      <c r="D155" s="634"/>
      <c r="E155" s="634"/>
      <c r="F155" s="634"/>
      <c r="G155" s="634"/>
      <c r="H155" s="635"/>
      <c r="I155" s="634"/>
      <c r="J155" s="636"/>
      <c r="K155" s="635"/>
      <c r="L155" s="635"/>
      <c r="M155" s="635"/>
      <c r="N155" s="635"/>
      <c r="O155" s="635"/>
      <c r="P155" s="635"/>
      <c r="Q155" s="635"/>
      <c r="R155" s="635"/>
      <c r="S155" s="634"/>
      <c r="T155" s="634"/>
      <c r="U155" s="634"/>
      <c r="V155" s="634"/>
      <c r="W155" s="634"/>
      <c r="X155" s="634"/>
      <c r="Y155" s="634"/>
      <c r="Z155" s="634"/>
      <c r="AA155" s="634"/>
    </row>
    <row r="156" ht="15.75" customHeight="1">
      <c r="A156" s="634"/>
      <c r="B156" s="634"/>
      <c r="C156" s="634"/>
      <c r="D156" s="634"/>
      <c r="E156" s="634"/>
      <c r="F156" s="634"/>
      <c r="G156" s="634"/>
      <c r="H156" s="635"/>
      <c r="I156" s="634"/>
      <c r="J156" s="636"/>
      <c r="K156" s="635"/>
      <c r="L156" s="635"/>
      <c r="M156" s="635"/>
      <c r="N156" s="635"/>
      <c r="O156" s="635"/>
      <c r="P156" s="635"/>
      <c r="Q156" s="635"/>
      <c r="R156" s="635"/>
      <c r="S156" s="634"/>
      <c r="T156" s="634"/>
      <c r="U156" s="634"/>
      <c r="V156" s="634"/>
      <c r="W156" s="634"/>
      <c r="X156" s="634"/>
      <c r="Y156" s="634"/>
      <c r="Z156" s="634"/>
      <c r="AA156" s="634"/>
    </row>
    <row r="157" ht="15.75" customHeight="1">
      <c r="A157" s="634"/>
      <c r="B157" s="634"/>
      <c r="C157" s="634"/>
      <c r="D157" s="634"/>
      <c r="E157" s="634"/>
      <c r="F157" s="634"/>
      <c r="G157" s="634"/>
      <c r="H157" s="635"/>
      <c r="I157" s="634"/>
      <c r="J157" s="636"/>
      <c r="K157" s="635"/>
      <c r="L157" s="635"/>
      <c r="M157" s="635"/>
      <c r="N157" s="635"/>
      <c r="O157" s="635"/>
      <c r="P157" s="635"/>
      <c r="Q157" s="635"/>
      <c r="R157" s="635"/>
      <c r="S157" s="634"/>
      <c r="T157" s="634"/>
      <c r="U157" s="634"/>
      <c r="V157" s="634"/>
      <c r="W157" s="634"/>
      <c r="X157" s="634"/>
      <c r="Y157" s="634"/>
      <c r="Z157" s="634"/>
      <c r="AA157" s="634"/>
    </row>
    <row r="158" ht="15.75" customHeight="1">
      <c r="A158" s="634"/>
      <c r="B158" s="634"/>
      <c r="C158" s="634"/>
      <c r="D158" s="634"/>
      <c r="E158" s="634"/>
      <c r="F158" s="634"/>
      <c r="G158" s="634"/>
      <c r="H158" s="635"/>
      <c r="I158" s="634"/>
      <c r="J158" s="636"/>
      <c r="K158" s="635"/>
      <c r="L158" s="635"/>
      <c r="M158" s="635"/>
      <c r="N158" s="635"/>
      <c r="O158" s="635"/>
      <c r="P158" s="635"/>
      <c r="Q158" s="635"/>
      <c r="R158" s="635"/>
      <c r="S158" s="634"/>
      <c r="T158" s="634"/>
      <c r="U158" s="634"/>
      <c r="V158" s="634"/>
      <c r="W158" s="634"/>
      <c r="X158" s="634"/>
      <c r="Y158" s="634"/>
      <c r="Z158" s="634"/>
      <c r="AA158" s="634"/>
    </row>
    <row r="159" ht="15.75" customHeight="1">
      <c r="A159" s="634"/>
      <c r="B159" s="634"/>
      <c r="C159" s="634"/>
      <c r="D159" s="634"/>
      <c r="E159" s="634"/>
      <c r="F159" s="634"/>
      <c r="G159" s="634"/>
      <c r="H159" s="635"/>
      <c r="I159" s="634"/>
      <c r="J159" s="636"/>
      <c r="K159" s="635"/>
      <c r="L159" s="635"/>
      <c r="M159" s="635"/>
      <c r="N159" s="635"/>
      <c r="O159" s="635"/>
      <c r="P159" s="635"/>
      <c r="Q159" s="635"/>
      <c r="R159" s="635"/>
      <c r="S159" s="634"/>
      <c r="T159" s="634"/>
      <c r="U159" s="634"/>
      <c r="V159" s="634"/>
      <c r="W159" s="634"/>
      <c r="X159" s="634"/>
      <c r="Y159" s="634"/>
      <c r="Z159" s="634"/>
      <c r="AA159" s="634"/>
    </row>
    <row r="160" ht="15.75" customHeight="1">
      <c r="A160" s="634"/>
      <c r="B160" s="634"/>
      <c r="C160" s="634"/>
      <c r="D160" s="634"/>
      <c r="E160" s="634"/>
      <c r="F160" s="634"/>
      <c r="G160" s="634"/>
      <c r="H160" s="635"/>
      <c r="I160" s="634"/>
      <c r="J160" s="636"/>
      <c r="K160" s="635"/>
      <c r="L160" s="635"/>
      <c r="M160" s="635"/>
      <c r="N160" s="635"/>
      <c r="O160" s="635"/>
      <c r="P160" s="635"/>
      <c r="Q160" s="635"/>
      <c r="R160" s="635"/>
      <c r="S160" s="634"/>
      <c r="T160" s="634"/>
      <c r="U160" s="634"/>
      <c r="V160" s="634"/>
      <c r="W160" s="634"/>
      <c r="X160" s="634"/>
      <c r="Y160" s="634"/>
      <c r="Z160" s="634"/>
      <c r="AA160" s="634"/>
    </row>
    <row r="161" ht="15.75" customHeight="1">
      <c r="A161" s="634"/>
      <c r="B161" s="634"/>
      <c r="C161" s="634"/>
      <c r="D161" s="634"/>
      <c r="E161" s="634"/>
      <c r="F161" s="634"/>
      <c r="G161" s="634"/>
      <c r="H161" s="635"/>
      <c r="I161" s="634"/>
      <c r="J161" s="636"/>
      <c r="K161" s="635"/>
      <c r="L161" s="635"/>
      <c r="M161" s="635"/>
      <c r="N161" s="635"/>
      <c r="O161" s="635"/>
      <c r="P161" s="635"/>
      <c r="Q161" s="635"/>
      <c r="R161" s="635"/>
      <c r="S161" s="634"/>
      <c r="T161" s="634"/>
      <c r="U161" s="634"/>
      <c r="V161" s="634"/>
      <c r="W161" s="634"/>
      <c r="X161" s="634"/>
      <c r="Y161" s="634"/>
      <c r="Z161" s="634"/>
      <c r="AA161" s="634"/>
    </row>
    <row r="162" ht="15.75" customHeight="1">
      <c r="A162" s="634"/>
      <c r="B162" s="634"/>
      <c r="C162" s="634"/>
      <c r="D162" s="634"/>
      <c r="E162" s="634"/>
      <c r="F162" s="634"/>
      <c r="G162" s="634"/>
      <c r="H162" s="635"/>
      <c r="I162" s="634"/>
      <c r="J162" s="636"/>
      <c r="K162" s="635"/>
      <c r="L162" s="635"/>
      <c r="M162" s="635"/>
      <c r="N162" s="635"/>
      <c r="O162" s="635"/>
      <c r="P162" s="635"/>
      <c r="Q162" s="635"/>
      <c r="R162" s="635"/>
      <c r="S162" s="634"/>
      <c r="T162" s="634"/>
      <c r="U162" s="634"/>
      <c r="V162" s="634"/>
      <c r="W162" s="634"/>
      <c r="X162" s="634"/>
      <c r="Y162" s="634"/>
      <c r="Z162" s="634"/>
      <c r="AA162" s="634"/>
    </row>
    <row r="163" ht="15.75" customHeight="1">
      <c r="A163" s="634"/>
      <c r="B163" s="634"/>
      <c r="C163" s="634"/>
      <c r="D163" s="634"/>
      <c r="E163" s="634"/>
      <c r="F163" s="634"/>
      <c r="G163" s="634"/>
      <c r="H163" s="635"/>
      <c r="I163" s="634"/>
      <c r="J163" s="636"/>
      <c r="K163" s="635"/>
      <c r="L163" s="635"/>
      <c r="M163" s="635"/>
      <c r="N163" s="635"/>
      <c r="O163" s="635"/>
      <c r="P163" s="635"/>
      <c r="Q163" s="635"/>
      <c r="R163" s="635"/>
      <c r="S163" s="634"/>
      <c r="T163" s="634"/>
      <c r="U163" s="634"/>
      <c r="V163" s="634"/>
      <c r="W163" s="634"/>
      <c r="X163" s="634"/>
      <c r="Y163" s="634"/>
      <c r="Z163" s="634"/>
      <c r="AA163" s="634"/>
    </row>
    <row r="164" ht="15.75" customHeight="1">
      <c r="A164" s="634"/>
      <c r="B164" s="634"/>
      <c r="C164" s="634"/>
      <c r="D164" s="634"/>
      <c r="E164" s="634"/>
      <c r="F164" s="634"/>
      <c r="G164" s="634"/>
      <c r="H164" s="635"/>
      <c r="I164" s="634"/>
      <c r="J164" s="636"/>
      <c r="K164" s="635"/>
      <c r="L164" s="635"/>
      <c r="M164" s="635"/>
      <c r="N164" s="635"/>
      <c r="O164" s="635"/>
      <c r="P164" s="635"/>
      <c r="Q164" s="635"/>
      <c r="R164" s="635"/>
      <c r="S164" s="634"/>
      <c r="T164" s="634"/>
      <c r="U164" s="634"/>
      <c r="V164" s="634"/>
      <c r="W164" s="634"/>
      <c r="X164" s="634"/>
      <c r="Y164" s="634"/>
      <c r="Z164" s="634"/>
      <c r="AA164" s="634"/>
    </row>
    <row r="165" ht="15.75" customHeight="1">
      <c r="A165" s="634"/>
      <c r="B165" s="634"/>
      <c r="C165" s="634"/>
      <c r="D165" s="634"/>
      <c r="E165" s="634"/>
      <c r="F165" s="634"/>
      <c r="G165" s="634"/>
      <c r="H165" s="635"/>
      <c r="I165" s="634"/>
      <c r="J165" s="636"/>
      <c r="K165" s="635"/>
      <c r="L165" s="635"/>
      <c r="M165" s="635"/>
      <c r="N165" s="635"/>
      <c r="O165" s="635"/>
      <c r="P165" s="635"/>
      <c r="Q165" s="635"/>
      <c r="R165" s="635"/>
      <c r="S165" s="634"/>
      <c r="T165" s="634"/>
      <c r="U165" s="634"/>
      <c r="V165" s="634"/>
      <c r="W165" s="634"/>
      <c r="X165" s="634"/>
      <c r="Y165" s="634"/>
      <c r="Z165" s="634"/>
      <c r="AA165" s="634"/>
    </row>
    <row r="166" ht="15.75" customHeight="1">
      <c r="A166" s="634"/>
      <c r="B166" s="634"/>
      <c r="C166" s="634"/>
      <c r="D166" s="634"/>
      <c r="E166" s="634"/>
      <c r="F166" s="634"/>
      <c r="G166" s="634"/>
      <c r="H166" s="635"/>
      <c r="I166" s="634"/>
      <c r="J166" s="636"/>
      <c r="K166" s="635"/>
      <c r="L166" s="635"/>
      <c r="M166" s="635"/>
      <c r="N166" s="635"/>
      <c r="O166" s="635"/>
      <c r="P166" s="635"/>
      <c r="Q166" s="635"/>
      <c r="R166" s="635"/>
      <c r="S166" s="634"/>
      <c r="T166" s="634"/>
      <c r="U166" s="634"/>
      <c r="V166" s="634"/>
      <c r="W166" s="634"/>
      <c r="X166" s="634"/>
      <c r="Y166" s="634"/>
      <c r="Z166" s="634"/>
      <c r="AA166" s="634"/>
    </row>
    <row r="167" ht="15.75" customHeight="1">
      <c r="A167" s="634"/>
      <c r="B167" s="634"/>
      <c r="C167" s="634"/>
      <c r="D167" s="634"/>
      <c r="E167" s="634"/>
      <c r="F167" s="634"/>
      <c r="G167" s="634"/>
      <c r="H167" s="635"/>
      <c r="I167" s="634"/>
      <c r="J167" s="636"/>
      <c r="K167" s="635"/>
      <c r="L167" s="635"/>
      <c r="M167" s="635"/>
      <c r="N167" s="635"/>
      <c r="O167" s="635"/>
      <c r="P167" s="635"/>
      <c r="Q167" s="635"/>
      <c r="R167" s="635"/>
      <c r="S167" s="634"/>
      <c r="T167" s="634"/>
      <c r="U167" s="634"/>
      <c r="V167" s="634"/>
      <c r="W167" s="634"/>
      <c r="X167" s="634"/>
      <c r="Y167" s="634"/>
      <c r="Z167" s="634"/>
      <c r="AA167" s="634"/>
    </row>
    <row r="168" ht="15.75" customHeight="1">
      <c r="A168" s="634"/>
      <c r="B168" s="634"/>
      <c r="C168" s="634"/>
      <c r="D168" s="634"/>
      <c r="E168" s="634"/>
      <c r="F168" s="634"/>
      <c r="G168" s="634"/>
      <c r="H168" s="635"/>
      <c r="I168" s="634"/>
      <c r="J168" s="636"/>
      <c r="K168" s="635"/>
      <c r="L168" s="635"/>
      <c r="M168" s="635"/>
      <c r="N168" s="635"/>
      <c r="O168" s="635"/>
      <c r="P168" s="635"/>
      <c r="Q168" s="635"/>
      <c r="R168" s="635"/>
      <c r="S168" s="634"/>
      <c r="T168" s="634"/>
      <c r="U168" s="634"/>
      <c r="V168" s="634"/>
      <c r="W168" s="634"/>
      <c r="X168" s="634"/>
      <c r="Y168" s="634"/>
      <c r="Z168" s="634"/>
      <c r="AA168" s="634"/>
    </row>
    <row r="169" ht="15.75" customHeight="1">
      <c r="A169" s="634"/>
      <c r="B169" s="634"/>
      <c r="C169" s="634"/>
      <c r="D169" s="634"/>
      <c r="E169" s="634"/>
      <c r="F169" s="634"/>
      <c r="G169" s="634"/>
      <c r="H169" s="635"/>
      <c r="I169" s="634"/>
      <c r="J169" s="636"/>
      <c r="K169" s="635"/>
      <c r="L169" s="635"/>
      <c r="M169" s="635"/>
      <c r="N169" s="635"/>
      <c r="O169" s="635"/>
      <c r="P169" s="635"/>
      <c r="Q169" s="635"/>
      <c r="R169" s="635"/>
      <c r="S169" s="634"/>
      <c r="T169" s="634"/>
      <c r="U169" s="634"/>
      <c r="V169" s="634"/>
      <c r="W169" s="634"/>
      <c r="X169" s="634"/>
      <c r="Y169" s="634"/>
      <c r="Z169" s="634"/>
      <c r="AA169" s="634"/>
    </row>
    <row r="170" ht="15.75" customHeight="1">
      <c r="A170" s="634"/>
      <c r="B170" s="634"/>
      <c r="C170" s="634"/>
      <c r="D170" s="634"/>
      <c r="E170" s="634"/>
      <c r="F170" s="634"/>
      <c r="G170" s="634"/>
      <c r="H170" s="635"/>
      <c r="I170" s="634"/>
      <c r="J170" s="636"/>
      <c r="K170" s="635"/>
      <c r="L170" s="635"/>
      <c r="M170" s="635"/>
      <c r="N170" s="635"/>
      <c r="O170" s="635"/>
      <c r="P170" s="635"/>
      <c r="Q170" s="635"/>
      <c r="R170" s="635"/>
      <c r="S170" s="634"/>
      <c r="T170" s="634"/>
      <c r="U170" s="634"/>
      <c r="V170" s="634"/>
      <c r="W170" s="634"/>
      <c r="X170" s="634"/>
      <c r="Y170" s="634"/>
      <c r="Z170" s="634"/>
      <c r="AA170" s="634"/>
    </row>
    <row r="171" ht="15.75" customHeight="1">
      <c r="A171" s="634"/>
      <c r="B171" s="634"/>
      <c r="C171" s="634"/>
      <c r="D171" s="634"/>
      <c r="E171" s="634"/>
      <c r="F171" s="634"/>
      <c r="G171" s="634"/>
      <c r="H171" s="635"/>
      <c r="I171" s="634"/>
      <c r="J171" s="636"/>
      <c r="K171" s="635"/>
      <c r="L171" s="635"/>
      <c r="M171" s="635"/>
      <c r="N171" s="635"/>
      <c r="O171" s="635"/>
      <c r="P171" s="635"/>
      <c r="Q171" s="635"/>
      <c r="R171" s="635"/>
      <c r="S171" s="634"/>
      <c r="T171" s="634"/>
      <c r="U171" s="634"/>
      <c r="V171" s="634"/>
      <c r="W171" s="634"/>
      <c r="X171" s="634"/>
      <c r="Y171" s="634"/>
      <c r="Z171" s="634"/>
      <c r="AA171" s="634"/>
    </row>
    <row r="172" ht="15.75" customHeight="1">
      <c r="A172" s="634"/>
      <c r="B172" s="634"/>
      <c r="C172" s="634"/>
      <c r="D172" s="634"/>
      <c r="E172" s="634"/>
      <c r="F172" s="634"/>
      <c r="G172" s="634"/>
      <c r="H172" s="635"/>
      <c r="I172" s="634"/>
      <c r="J172" s="636"/>
      <c r="K172" s="635"/>
      <c r="L172" s="635"/>
      <c r="M172" s="635"/>
      <c r="N172" s="635"/>
      <c r="O172" s="635"/>
      <c r="P172" s="635"/>
      <c r="Q172" s="635"/>
      <c r="R172" s="635"/>
      <c r="S172" s="634"/>
      <c r="T172" s="634"/>
      <c r="U172" s="634"/>
      <c r="V172" s="634"/>
      <c r="W172" s="634"/>
      <c r="X172" s="634"/>
      <c r="Y172" s="634"/>
      <c r="Z172" s="634"/>
      <c r="AA172" s="634"/>
    </row>
    <row r="173" ht="15.75" customHeight="1">
      <c r="A173" s="634"/>
      <c r="B173" s="634"/>
      <c r="C173" s="634"/>
      <c r="D173" s="634"/>
      <c r="E173" s="634"/>
      <c r="F173" s="634"/>
      <c r="G173" s="634"/>
      <c r="H173" s="635"/>
      <c r="I173" s="634"/>
      <c r="J173" s="636"/>
      <c r="K173" s="635"/>
      <c r="L173" s="635"/>
      <c r="M173" s="635"/>
      <c r="N173" s="635"/>
      <c r="O173" s="635"/>
      <c r="P173" s="635"/>
      <c r="Q173" s="635"/>
      <c r="R173" s="635"/>
      <c r="S173" s="634"/>
      <c r="T173" s="634"/>
      <c r="U173" s="634"/>
      <c r="V173" s="634"/>
      <c r="W173" s="634"/>
      <c r="X173" s="634"/>
      <c r="Y173" s="634"/>
      <c r="Z173" s="634"/>
      <c r="AA173" s="634"/>
    </row>
    <row r="174" ht="15.75" customHeight="1">
      <c r="A174" s="634"/>
      <c r="B174" s="634"/>
      <c r="C174" s="634"/>
      <c r="D174" s="634"/>
      <c r="E174" s="634"/>
      <c r="F174" s="634"/>
      <c r="G174" s="634"/>
      <c r="H174" s="635"/>
      <c r="I174" s="634"/>
      <c r="J174" s="636"/>
      <c r="K174" s="635"/>
      <c r="L174" s="635"/>
      <c r="M174" s="635"/>
      <c r="N174" s="635"/>
      <c r="O174" s="635"/>
      <c r="P174" s="635"/>
      <c r="Q174" s="635"/>
      <c r="R174" s="635"/>
      <c r="S174" s="634"/>
      <c r="T174" s="634"/>
      <c r="U174" s="634"/>
      <c r="V174" s="634"/>
      <c r="W174" s="634"/>
      <c r="X174" s="634"/>
      <c r="Y174" s="634"/>
      <c r="Z174" s="634"/>
      <c r="AA174" s="634"/>
    </row>
    <row r="175" ht="15.75" customHeight="1">
      <c r="A175" s="634"/>
      <c r="B175" s="634"/>
      <c r="C175" s="634"/>
      <c r="D175" s="634"/>
      <c r="E175" s="634"/>
      <c r="F175" s="634"/>
      <c r="G175" s="634"/>
      <c r="H175" s="635"/>
      <c r="I175" s="634"/>
      <c r="J175" s="636"/>
      <c r="K175" s="635"/>
      <c r="L175" s="635"/>
      <c r="M175" s="635"/>
      <c r="N175" s="635"/>
      <c r="O175" s="635"/>
      <c r="P175" s="635"/>
      <c r="Q175" s="635"/>
      <c r="R175" s="635"/>
      <c r="S175" s="634"/>
      <c r="T175" s="634"/>
      <c r="U175" s="634"/>
      <c r="V175" s="634"/>
      <c r="W175" s="634"/>
      <c r="X175" s="634"/>
      <c r="Y175" s="634"/>
      <c r="Z175" s="634"/>
      <c r="AA175" s="634"/>
    </row>
    <row r="176" ht="15.75" customHeight="1">
      <c r="A176" s="634"/>
      <c r="B176" s="634"/>
      <c r="C176" s="634"/>
      <c r="D176" s="634"/>
      <c r="E176" s="634"/>
      <c r="F176" s="634"/>
      <c r="G176" s="634"/>
      <c r="H176" s="635"/>
      <c r="I176" s="634"/>
      <c r="J176" s="636"/>
      <c r="K176" s="635"/>
      <c r="L176" s="635"/>
      <c r="M176" s="635"/>
      <c r="N176" s="635"/>
      <c r="O176" s="635"/>
      <c r="P176" s="635"/>
      <c r="Q176" s="635"/>
      <c r="R176" s="635"/>
      <c r="S176" s="634"/>
      <c r="T176" s="634"/>
      <c r="U176" s="634"/>
      <c r="V176" s="634"/>
      <c r="W176" s="634"/>
      <c r="X176" s="634"/>
      <c r="Y176" s="634"/>
      <c r="Z176" s="634"/>
      <c r="AA176" s="634"/>
    </row>
    <row r="177" ht="15.75" customHeight="1">
      <c r="A177" s="634"/>
      <c r="B177" s="634"/>
      <c r="C177" s="634"/>
      <c r="D177" s="634"/>
      <c r="E177" s="634"/>
      <c r="F177" s="634"/>
      <c r="G177" s="634"/>
      <c r="H177" s="635"/>
      <c r="I177" s="634"/>
      <c r="J177" s="636"/>
      <c r="K177" s="635"/>
      <c r="L177" s="635"/>
      <c r="M177" s="635"/>
      <c r="N177" s="635"/>
      <c r="O177" s="635"/>
      <c r="P177" s="635"/>
      <c r="Q177" s="635"/>
      <c r="R177" s="635"/>
      <c r="S177" s="634"/>
      <c r="T177" s="634"/>
      <c r="U177" s="634"/>
      <c r="V177" s="634"/>
      <c r="W177" s="634"/>
      <c r="X177" s="634"/>
      <c r="Y177" s="634"/>
      <c r="Z177" s="634"/>
      <c r="AA177" s="634"/>
    </row>
    <row r="178" ht="15.75" customHeight="1">
      <c r="A178" s="634"/>
      <c r="B178" s="634"/>
      <c r="C178" s="634"/>
      <c r="D178" s="634"/>
      <c r="E178" s="634"/>
      <c r="F178" s="634"/>
      <c r="G178" s="634"/>
      <c r="H178" s="635"/>
      <c r="I178" s="634"/>
      <c r="J178" s="636"/>
      <c r="K178" s="635"/>
      <c r="L178" s="635"/>
      <c r="M178" s="635"/>
      <c r="N178" s="635"/>
      <c r="O178" s="635"/>
      <c r="P178" s="635"/>
      <c r="Q178" s="635"/>
      <c r="R178" s="635"/>
      <c r="S178" s="634"/>
      <c r="T178" s="634"/>
      <c r="U178" s="634"/>
      <c r="V178" s="634"/>
      <c r="W178" s="634"/>
      <c r="X178" s="634"/>
      <c r="Y178" s="634"/>
      <c r="Z178" s="634"/>
      <c r="AA178" s="634"/>
    </row>
    <row r="179" ht="15.75" customHeight="1">
      <c r="A179" s="634"/>
      <c r="B179" s="634"/>
      <c r="C179" s="634"/>
      <c r="D179" s="634"/>
      <c r="E179" s="634"/>
      <c r="F179" s="634"/>
      <c r="G179" s="634"/>
      <c r="H179" s="635"/>
      <c r="I179" s="634"/>
      <c r="J179" s="636"/>
      <c r="K179" s="635"/>
      <c r="L179" s="635"/>
      <c r="M179" s="635"/>
      <c r="N179" s="635"/>
      <c r="O179" s="635"/>
      <c r="P179" s="635"/>
      <c r="Q179" s="635"/>
      <c r="R179" s="635"/>
      <c r="S179" s="634"/>
      <c r="T179" s="634"/>
      <c r="U179" s="634"/>
      <c r="V179" s="634"/>
      <c r="W179" s="634"/>
      <c r="X179" s="634"/>
      <c r="Y179" s="634"/>
      <c r="Z179" s="634"/>
      <c r="AA179" s="634"/>
    </row>
    <row r="180" ht="15.75" customHeight="1">
      <c r="A180" s="634"/>
      <c r="B180" s="634"/>
      <c r="C180" s="634"/>
      <c r="D180" s="634"/>
      <c r="E180" s="634"/>
      <c r="F180" s="634"/>
      <c r="G180" s="634"/>
      <c r="H180" s="635"/>
      <c r="I180" s="634"/>
      <c r="J180" s="636"/>
      <c r="K180" s="635"/>
      <c r="L180" s="635"/>
      <c r="M180" s="635"/>
      <c r="N180" s="635"/>
      <c r="O180" s="635"/>
      <c r="P180" s="635"/>
      <c r="Q180" s="635"/>
      <c r="R180" s="635"/>
      <c r="S180" s="634"/>
      <c r="T180" s="634"/>
      <c r="U180" s="634"/>
      <c r="V180" s="634"/>
      <c r="W180" s="634"/>
      <c r="X180" s="634"/>
      <c r="Y180" s="634"/>
      <c r="Z180" s="634"/>
      <c r="AA180" s="634"/>
    </row>
    <row r="181" ht="15.75" customHeight="1">
      <c r="A181" s="634"/>
      <c r="B181" s="634"/>
      <c r="C181" s="634"/>
      <c r="D181" s="634"/>
      <c r="E181" s="634"/>
      <c r="F181" s="634"/>
      <c r="G181" s="634"/>
      <c r="H181" s="635"/>
      <c r="I181" s="634"/>
      <c r="J181" s="636"/>
      <c r="K181" s="635"/>
      <c r="L181" s="635"/>
      <c r="M181" s="635"/>
      <c r="N181" s="635"/>
      <c r="O181" s="635"/>
      <c r="P181" s="635"/>
      <c r="Q181" s="635"/>
      <c r="R181" s="635"/>
      <c r="S181" s="634"/>
      <c r="T181" s="634"/>
      <c r="U181" s="634"/>
      <c r="V181" s="634"/>
      <c r="W181" s="634"/>
      <c r="X181" s="634"/>
      <c r="Y181" s="634"/>
      <c r="Z181" s="634"/>
      <c r="AA181" s="634"/>
    </row>
    <row r="182" ht="15.75" customHeight="1">
      <c r="A182" s="634"/>
      <c r="B182" s="634"/>
      <c r="C182" s="634"/>
      <c r="D182" s="634"/>
      <c r="E182" s="634"/>
      <c r="F182" s="634"/>
      <c r="G182" s="634"/>
      <c r="H182" s="635"/>
      <c r="I182" s="634"/>
      <c r="J182" s="636"/>
      <c r="K182" s="635"/>
      <c r="L182" s="635"/>
      <c r="M182" s="635"/>
      <c r="N182" s="635"/>
      <c r="O182" s="635"/>
      <c r="P182" s="635"/>
      <c r="Q182" s="635"/>
      <c r="R182" s="635"/>
      <c r="S182" s="634"/>
      <c r="T182" s="634"/>
      <c r="U182" s="634"/>
      <c r="V182" s="634"/>
      <c r="W182" s="634"/>
      <c r="X182" s="634"/>
      <c r="Y182" s="634"/>
      <c r="Z182" s="634"/>
      <c r="AA182" s="634"/>
    </row>
    <row r="183" ht="15.75" customHeight="1">
      <c r="A183" s="634"/>
      <c r="B183" s="634"/>
      <c r="C183" s="634"/>
      <c r="D183" s="634"/>
      <c r="E183" s="634"/>
      <c r="F183" s="634"/>
      <c r="G183" s="634"/>
      <c r="H183" s="635"/>
      <c r="I183" s="634"/>
      <c r="J183" s="636"/>
      <c r="K183" s="635"/>
      <c r="L183" s="635"/>
      <c r="M183" s="635"/>
      <c r="N183" s="635"/>
      <c r="O183" s="635"/>
      <c r="P183" s="635"/>
      <c r="Q183" s="635"/>
      <c r="R183" s="635"/>
      <c r="S183" s="634"/>
      <c r="T183" s="634"/>
      <c r="U183" s="634"/>
      <c r="V183" s="634"/>
      <c r="W183" s="634"/>
      <c r="X183" s="634"/>
      <c r="Y183" s="634"/>
      <c r="Z183" s="634"/>
      <c r="AA183" s="634"/>
    </row>
    <row r="184" ht="15.75" customHeight="1">
      <c r="A184" s="634"/>
      <c r="B184" s="634"/>
      <c r="C184" s="634"/>
      <c r="D184" s="634"/>
      <c r="E184" s="634"/>
      <c r="F184" s="634"/>
      <c r="G184" s="634"/>
      <c r="H184" s="635"/>
      <c r="I184" s="634"/>
      <c r="J184" s="636"/>
      <c r="K184" s="635"/>
      <c r="L184" s="635"/>
      <c r="M184" s="635"/>
      <c r="N184" s="635"/>
      <c r="O184" s="635"/>
      <c r="P184" s="635"/>
      <c r="Q184" s="635"/>
      <c r="R184" s="635"/>
      <c r="S184" s="634"/>
      <c r="T184" s="634"/>
      <c r="U184" s="634"/>
      <c r="V184" s="634"/>
      <c r="W184" s="634"/>
      <c r="X184" s="634"/>
      <c r="Y184" s="634"/>
      <c r="Z184" s="634"/>
      <c r="AA184" s="634"/>
    </row>
    <row r="185" ht="15.75" customHeight="1">
      <c r="A185" s="634"/>
      <c r="B185" s="634"/>
      <c r="C185" s="634"/>
      <c r="D185" s="634"/>
      <c r="E185" s="634"/>
      <c r="F185" s="634"/>
      <c r="G185" s="634"/>
      <c r="H185" s="635"/>
      <c r="I185" s="634"/>
      <c r="J185" s="636"/>
      <c r="K185" s="635"/>
      <c r="L185" s="635"/>
      <c r="M185" s="635"/>
      <c r="N185" s="635"/>
      <c r="O185" s="635"/>
      <c r="P185" s="635"/>
      <c r="Q185" s="635"/>
      <c r="R185" s="635"/>
      <c r="S185" s="634"/>
      <c r="T185" s="634"/>
      <c r="U185" s="634"/>
      <c r="V185" s="634"/>
      <c r="W185" s="634"/>
      <c r="X185" s="634"/>
      <c r="Y185" s="634"/>
      <c r="Z185" s="634"/>
      <c r="AA185" s="634"/>
    </row>
    <row r="186" ht="15.75" customHeight="1">
      <c r="A186" s="634"/>
      <c r="B186" s="634"/>
      <c r="C186" s="634"/>
      <c r="D186" s="634"/>
      <c r="E186" s="634"/>
      <c r="F186" s="634"/>
      <c r="G186" s="634"/>
      <c r="H186" s="635"/>
      <c r="I186" s="634"/>
      <c r="J186" s="636"/>
      <c r="K186" s="635"/>
      <c r="L186" s="635"/>
      <c r="M186" s="635"/>
      <c r="N186" s="635"/>
      <c r="O186" s="635"/>
      <c r="P186" s="635"/>
      <c r="Q186" s="635"/>
      <c r="R186" s="635"/>
      <c r="S186" s="634"/>
      <c r="T186" s="634"/>
      <c r="U186" s="634"/>
      <c r="V186" s="634"/>
      <c r="W186" s="634"/>
      <c r="X186" s="634"/>
      <c r="Y186" s="634"/>
      <c r="Z186" s="634"/>
      <c r="AA186" s="634"/>
    </row>
    <row r="187" ht="15.75" customHeight="1">
      <c r="A187" s="634"/>
      <c r="B187" s="634"/>
      <c r="C187" s="634"/>
      <c r="D187" s="634"/>
      <c r="E187" s="634"/>
      <c r="F187" s="634"/>
      <c r="G187" s="634"/>
      <c r="H187" s="635"/>
      <c r="I187" s="634"/>
      <c r="J187" s="636"/>
      <c r="K187" s="635"/>
      <c r="L187" s="635"/>
      <c r="M187" s="635"/>
      <c r="N187" s="635"/>
      <c r="O187" s="635"/>
      <c r="P187" s="635"/>
      <c r="Q187" s="635"/>
      <c r="R187" s="635"/>
      <c r="S187" s="634"/>
      <c r="T187" s="634"/>
      <c r="U187" s="634"/>
      <c r="V187" s="634"/>
      <c r="W187" s="634"/>
      <c r="X187" s="634"/>
      <c r="Y187" s="634"/>
      <c r="Z187" s="634"/>
      <c r="AA187" s="634"/>
    </row>
    <row r="188" ht="15.75" customHeight="1">
      <c r="A188" s="634"/>
      <c r="B188" s="634"/>
      <c r="C188" s="634"/>
      <c r="D188" s="634"/>
      <c r="E188" s="634"/>
      <c r="F188" s="634"/>
      <c r="G188" s="634"/>
      <c r="H188" s="635"/>
      <c r="I188" s="634"/>
      <c r="J188" s="636"/>
      <c r="K188" s="635"/>
      <c r="L188" s="635"/>
      <c r="M188" s="635"/>
      <c r="N188" s="635"/>
      <c r="O188" s="635"/>
      <c r="P188" s="635"/>
      <c r="Q188" s="635"/>
      <c r="R188" s="635"/>
      <c r="S188" s="634"/>
      <c r="T188" s="634"/>
      <c r="U188" s="634"/>
      <c r="V188" s="634"/>
      <c r="W188" s="634"/>
      <c r="X188" s="634"/>
      <c r="Y188" s="634"/>
      <c r="Z188" s="634"/>
      <c r="AA188" s="634"/>
    </row>
    <row r="189" ht="15.75" customHeight="1">
      <c r="A189" s="634"/>
      <c r="B189" s="634"/>
      <c r="C189" s="634"/>
      <c r="D189" s="634"/>
      <c r="E189" s="634"/>
      <c r="F189" s="634"/>
      <c r="G189" s="634"/>
      <c r="H189" s="635"/>
      <c r="I189" s="634"/>
      <c r="J189" s="636"/>
      <c r="K189" s="635"/>
      <c r="L189" s="635"/>
      <c r="M189" s="635"/>
      <c r="N189" s="635"/>
      <c r="O189" s="635"/>
      <c r="P189" s="635"/>
      <c r="Q189" s="635"/>
      <c r="R189" s="635"/>
      <c r="S189" s="634"/>
      <c r="T189" s="634"/>
      <c r="U189" s="634"/>
      <c r="V189" s="634"/>
      <c r="W189" s="634"/>
      <c r="X189" s="634"/>
      <c r="Y189" s="634"/>
      <c r="Z189" s="634"/>
      <c r="AA189" s="634"/>
    </row>
    <row r="190" ht="15.75" customHeight="1">
      <c r="A190" s="634"/>
      <c r="B190" s="634"/>
      <c r="C190" s="634"/>
      <c r="D190" s="634"/>
      <c r="E190" s="634"/>
      <c r="F190" s="634"/>
      <c r="G190" s="634"/>
      <c r="H190" s="635"/>
      <c r="I190" s="634"/>
      <c r="J190" s="636"/>
      <c r="K190" s="635"/>
      <c r="L190" s="635"/>
      <c r="M190" s="635"/>
      <c r="N190" s="635"/>
      <c r="O190" s="635"/>
      <c r="P190" s="635"/>
      <c r="Q190" s="635"/>
      <c r="R190" s="635"/>
      <c r="S190" s="634"/>
      <c r="T190" s="634"/>
      <c r="U190" s="634"/>
      <c r="V190" s="634"/>
      <c r="W190" s="634"/>
      <c r="X190" s="634"/>
      <c r="Y190" s="634"/>
      <c r="Z190" s="634"/>
      <c r="AA190" s="634"/>
    </row>
    <row r="191" ht="15.75" customHeight="1">
      <c r="A191" s="634"/>
      <c r="B191" s="634"/>
      <c r="C191" s="634"/>
      <c r="D191" s="634"/>
      <c r="E191" s="634"/>
      <c r="F191" s="634"/>
      <c r="G191" s="634"/>
      <c r="H191" s="635"/>
      <c r="I191" s="634"/>
      <c r="J191" s="636"/>
      <c r="K191" s="635"/>
      <c r="L191" s="635"/>
      <c r="M191" s="635"/>
      <c r="N191" s="635"/>
      <c r="O191" s="635"/>
      <c r="P191" s="635"/>
      <c r="Q191" s="635"/>
      <c r="R191" s="635"/>
      <c r="S191" s="634"/>
      <c r="T191" s="634"/>
      <c r="U191" s="634"/>
      <c r="V191" s="634"/>
      <c r="W191" s="634"/>
      <c r="X191" s="634"/>
      <c r="Y191" s="634"/>
      <c r="Z191" s="634"/>
      <c r="AA191" s="634"/>
    </row>
    <row r="192" ht="15.75" customHeight="1">
      <c r="A192" s="634"/>
      <c r="B192" s="634"/>
      <c r="C192" s="634"/>
      <c r="D192" s="634"/>
      <c r="E192" s="634"/>
      <c r="F192" s="634"/>
      <c r="G192" s="634"/>
      <c r="H192" s="635"/>
      <c r="I192" s="634"/>
      <c r="J192" s="636"/>
      <c r="K192" s="635"/>
      <c r="L192" s="635"/>
      <c r="M192" s="635"/>
      <c r="N192" s="635"/>
      <c r="O192" s="635"/>
      <c r="P192" s="635"/>
      <c r="Q192" s="635"/>
      <c r="R192" s="635"/>
      <c r="S192" s="634"/>
      <c r="T192" s="634"/>
      <c r="U192" s="634"/>
      <c r="V192" s="634"/>
      <c r="W192" s="634"/>
      <c r="X192" s="634"/>
      <c r="Y192" s="634"/>
      <c r="Z192" s="634"/>
      <c r="AA192" s="634"/>
    </row>
    <row r="193" ht="15.75" customHeight="1">
      <c r="A193" s="634"/>
      <c r="B193" s="634"/>
      <c r="C193" s="634"/>
      <c r="D193" s="634"/>
      <c r="E193" s="634"/>
      <c r="F193" s="634"/>
      <c r="G193" s="634"/>
      <c r="H193" s="635"/>
      <c r="I193" s="634"/>
      <c r="J193" s="636"/>
      <c r="K193" s="635"/>
      <c r="L193" s="635"/>
      <c r="M193" s="635"/>
      <c r="N193" s="635"/>
      <c r="O193" s="635"/>
      <c r="P193" s="635"/>
      <c r="Q193" s="635"/>
      <c r="R193" s="635"/>
      <c r="S193" s="634"/>
      <c r="T193" s="634"/>
      <c r="U193" s="634"/>
      <c r="V193" s="634"/>
      <c r="W193" s="634"/>
      <c r="X193" s="634"/>
      <c r="Y193" s="634"/>
      <c r="Z193" s="634"/>
      <c r="AA193" s="634"/>
    </row>
    <row r="194" ht="15.75" customHeight="1">
      <c r="A194" s="634"/>
      <c r="B194" s="634"/>
      <c r="C194" s="634"/>
      <c r="D194" s="634"/>
      <c r="E194" s="634"/>
      <c r="F194" s="634"/>
      <c r="G194" s="634"/>
      <c r="H194" s="635"/>
      <c r="I194" s="634"/>
      <c r="J194" s="636"/>
      <c r="K194" s="635"/>
      <c r="L194" s="635"/>
      <c r="M194" s="635"/>
      <c r="N194" s="635"/>
      <c r="O194" s="635"/>
      <c r="P194" s="635"/>
      <c r="Q194" s="635"/>
      <c r="R194" s="635"/>
      <c r="S194" s="634"/>
      <c r="T194" s="634"/>
      <c r="U194" s="634"/>
      <c r="V194" s="634"/>
      <c r="W194" s="634"/>
      <c r="X194" s="634"/>
      <c r="Y194" s="634"/>
      <c r="Z194" s="634"/>
      <c r="AA194" s="634"/>
    </row>
    <row r="195" ht="15.75" customHeight="1">
      <c r="A195" s="634"/>
      <c r="B195" s="634"/>
      <c r="C195" s="634"/>
      <c r="D195" s="634"/>
      <c r="E195" s="634"/>
      <c r="F195" s="634"/>
      <c r="G195" s="634"/>
      <c r="H195" s="635"/>
      <c r="I195" s="634"/>
      <c r="J195" s="636"/>
      <c r="K195" s="635"/>
      <c r="L195" s="635"/>
      <c r="M195" s="635"/>
      <c r="N195" s="635"/>
      <c r="O195" s="635"/>
      <c r="P195" s="635"/>
      <c r="Q195" s="635"/>
      <c r="R195" s="635"/>
      <c r="S195" s="634"/>
      <c r="T195" s="634"/>
      <c r="U195" s="634"/>
      <c r="V195" s="634"/>
      <c r="W195" s="634"/>
      <c r="X195" s="634"/>
      <c r="Y195" s="634"/>
      <c r="Z195" s="634"/>
      <c r="AA195" s="634"/>
    </row>
    <row r="196" ht="15.75" customHeight="1">
      <c r="A196" s="634"/>
      <c r="B196" s="634"/>
      <c r="C196" s="634"/>
      <c r="D196" s="634"/>
      <c r="E196" s="634"/>
      <c r="F196" s="634"/>
      <c r="G196" s="634"/>
      <c r="H196" s="635"/>
      <c r="I196" s="634"/>
      <c r="J196" s="636"/>
      <c r="K196" s="635"/>
      <c r="L196" s="635"/>
      <c r="M196" s="635"/>
      <c r="N196" s="635"/>
      <c r="O196" s="635"/>
      <c r="P196" s="635"/>
      <c r="Q196" s="635"/>
      <c r="R196" s="635"/>
      <c r="S196" s="634"/>
      <c r="T196" s="634"/>
      <c r="U196" s="634"/>
      <c r="V196" s="634"/>
      <c r="W196" s="634"/>
      <c r="X196" s="634"/>
      <c r="Y196" s="634"/>
      <c r="Z196" s="634"/>
      <c r="AA196" s="634"/>
    </row>
    <row r="197" ht="15.75" customHeight="1">
      <c r="A197" s="634"/>
      <c r="B197" s="634"/>
      <c r="C197" s="634"/>
      <c r="D197" s="634"/>
      <c r="E197" s="634"/>
      <c r="F197" s="634"/>
      <c r="G197" s="634"/>
      <c r="H197" s="635"/>
      <c r="I197" s="634"/>
      <c r="J197" s="636"/>
      <c r="K197" s="635"/>
      <c r="L197" s="635"/>
      <c r="M197" s="635"/>
      <c r="N197" s="635"/>
      <c r="O197" s="635"/>
      <c r="P197" s="635"/>
      <c r="Q197" s="635"/>
      <c r="R197" s="635"/>
      <c r="S197" s="634"/>
      <c r="T197" s="634"/>
      <c r="U197" s="634"/>
      <c r="V197" s="634"/>
      <c r="W197" s="634"/>
      <c r="X197" s="634"/>
      <c r="Y197" s="634"/>
      <c r="Z197" s="634"/>
      <c r="AA197" s="634"/>
    </row>
    <row r="198" ht="15.75" customHeight="1">
      <c r="A198" s="634"/>
      <c r="B198" s="634"/>
      <c r="C198" s="634"/>
      <c r="D198" s="634"/>
      <c r="E198" s="634"/>
      <c r="F198" s="634"/>
      <c r="G198" s="634"/>
      <c r="H198" s="635"/>
      <c r="I198" s="634"/>
      <c r="J198" s="636"/>
      <c r="K198" s="635"/>
      <c r="L198" s="635"/>
      <c r="M198" s="635"/>
      <c r="N198" s="635"/>
      <c r="O198" s="635"/>
      <c r="P198" s="635"/>
      <c r="Q198" s="635"/>
      <c r="R198" s="635"/>
      <c r="S198" s="634"/>
      <c r="T198" s="634"/>
      <c r="U198" s="634"/>
      <c r="V198" s="634"/>
      <c r="W198" s="634"/>
      <c r="X198" s="634"/>
      <c r="Y198" s="634"/>
      <c r="Z198" s="634"/>
      <c r="AA198" s="634"/>
    </row>
    <row r="199" ht="15.75" customHeight="1">
      <c r="A199" s="634"/>
      <c r="B199" s="634"/>
      <c r="C199" s="634"/>
      <c r="D199" s="634"/>
      <c r="E199" s="634"/>
      <c r="F199" s="634"/>
      <c r="G199" s="634"/>
      <c r="H199" s="635"/>
      <c r="I199" s="634"/>
      <c r="J199" s="636"/>
      <c r="K199" s="635"/>
      <c r="L199" s="635"/>
      <c r="M199" s="635"/>
      <c r="N199" s="635"/>
      <c r="O199" s="635"/>
      <c r="P199" s="635"/>
      <c r="Q199" s="635"/>
      <c r="R199" s="635"/>
      <c r="S199" s="634"/>
      <c r="T199" s="634"/>
      <c r="U199" s="634"/>
      <c r="V199" s="634"/>
      <c r="W199" s="634"/>
      <c r="X199" s="634"/>
      <c r="Y199" s="634"/>
      <c r="Z199" s="634"/>
      <c r="AA199" s="634"/>
    </row>
    <row r="200" ht="15.75" customHeight="1">
      <c r="A200" s="634"/>
      <c r="B200" s="634"/>
      <c r="C200" s="634"/>
      <c r="D200" s="634"/>
      <c r="E200" s="634"/>
      <c r="F200" s="634"/>
      <c r="G200" s="634"/>
      <c r="H200" s="635"/>
      <c r="I200" s="634"/>
      <c r="J200" s="636"/>
      <c r="K200" s="635"/>
      <c r="L200" s="635"/>
      <c r="M200" s="635"/>
      <c r="N200" s="635"/>
      <c r="O200" s="635"/>
      <c r="P200" s="635"/>
      <c r="Q200" s="635"/>
      <c r="R200" s="635"/>
      <c r="S200" s="634"/>
      <c r="T200" s="634"/>
      <c r="U200" s="634"/>
      <c r="V200" s="634"/>
      <c r="W200" s="634"/>
      <c r="X200" s="634"/>
      <c r="Y200" s="634"/>
      <c r="Z200" s="634"/>
      <c r="AA200" s="634"/>
    </row>
    <row r="201" ht="15.75" customHeight="1">
      <c r="A201" s="634"/>
      <c r="B201" s="634"/>
      <c r="C201" s="634"/>
      <c r="D201" s="634"/>
      <c r="E201" s="634"/>
      <c r="F201" s="634"/>
      <c r="G201" s="634"/>
      <c r="H201" s="635"/>
      <c r="I201" s="634"/>
      <c r="J201" s="636"/>
      <c r="K201" s="635"/>
      <c r="L201" s="635"/>
      <c r="M201" s="635"/>
      <c r="N201" s="635"/>
      <c r="O201" s="635"/>
      <c r="P201" s="635"/>
      <c r="Q201" s="635"/>
      <c r="R201" s="635"/>
      <c r="S201" s="634"/>
      <c r="T201" s="634"/>
      <c r="U201" s="634"/>
      <c r="V201" s="634"/>
      <c r="W201" s="634"/>
      <c r="X201" s="634"/>
      <c r="Y201" s="634"/>
      <c r="Z201" s="634"/>
      <c r="AA201" s="634"/>
    </row>
    <row r="202" ht="15.75" customHeight="1">
      <c r="A202" s="634"/>
      <c r="B202" s="634"/>
      <c r="C202" s="634"/>
      <c r="D202" s="634"/>
      <c r="E202" s="634"/>
      <c r="F202" s="634"/>
      <c r="G202" s="634"/>
      <c r="H202" s="635"/>
      <c r="I202" s="634"/>
      <c r="J202" s="636"/>
      <c r="K202" s="635"/>
      <c r="L202" s="635"/>
      <c r="M202" s="635"/>
      <c r="N202" s="635"/>
      <c r="O202" s="635"/>
      <c r="P202" s="635"/>
      <c r="Q202" s="635"/>
      <c r="R202" s="635"/>
      <c r="S202" s="634"/>
      <c r="T202" s="634"/>
      <c r="U202" s="634"/>
      <c r="V202" s="634"/>
      <c r="W202" s="634"/>
      <c r="X202" s="634"/>
      <c r="Y202" s="634"/>
      <c r="Z202" s="634"/>
      <c r="AA202" s="634"/>
    </row>
    <row r="203" ht="15.75" customHeight="1">
      <c r="A203" s="634"/>
      <c r="B203" s="634"/>
      <c r="C203" s="634"/>
      <c r="D203" s="634"/>
      <c r="E203" s="634"/>
      <c r="F203" s="634"/>
      <c r="G203" s="634"/>
      <c r="H203" s="635"/>
      <c r="I203" s="634"/>
      <c r="J203" s="636"/>
      <c r="K203" s="635"/>
      <c r="L203" s="635"/>
      <c r="M203" s="635"/>
      <c r="N203" s="635"/>
      <c r="O203" s="635"/>
      <c r="P203" s="635"/>
      <c r="Q203" s="635"/>
      <c r="R203" s="635"/>
      <c r="S203" s="634"/>
      <c r="T203" s="634"/>
      <c r="U203" s="634"/>
      <c r="V203" s="634"/>
      <c r="W203" s="634"/>
      <c r="X203" s="634"/>
      <c r="Y203" s="634"/>
      <c r="Z203" s="634"/>
      <c r="AA203" s="634"/>
    </row>
    <row r="204" ht="15.75" customHeight="1">
      <c r="A204" s="634"/>
      <c r="B204" s="634"/>
      <c r="C204" s="634"/>
      <c r="D204" s="634"/>
      <c r="E204" s="634"/>
      <c r="F204" s="634"/>
      <c r="G204" s="634"/>
      <c r="H204" s="635"/>
      <c r="I204" s="634"/>
      <c r="J204" s="636"/>
      <c r="K204" s="635"/>
      <c r="L204" s="635"/>
      <c r="M204" s="635"/>
      <c r="N204" s="635"/>
      <c r="O204" s="635"/>
      <c r="P204" s="635"/>
      <c r="Q204" s="635"/>
      <c r="R204" s="635"/>
      <c r="S204" s="634"/>
      <c r="T204" s="634"/>
      <c r="U204" s="634"/>
      <c r="V204" s="634"/>
      <c r="W204" s="634"/>
      <c r="X204" s="634"/>
      <c r="Y204" s="634"/>
      <c r="Z204" s="634"/>
      <c r="AA204" s="634"/>
    </row>
    <row r="205" ht="15.75" customHeight="1">
      <c r="A205" s="634"/>
      <c r="B205" s="634"/>
      <c r="C205" s="634"/>
      <c r="D205" s="634"/>
      <c r="E205" s="634"/>
      <c r="F205" s="634"/>
      <c r="G205" s="634"/>
      <c r="H205" s="635"/>
      <c r="I205" s="634"/>
      <c r="J205" s="636"/>
      <c r="K205" s="635"/>
      <c r="L205" s="635"/>
      <c r="M205" s="635"/>
      <c r="N205" s="635"/>
      <c r="O205" s="635"/>
      <c r="P205" s="635"/>
      <c r="Q205" s="635"/>
      <c r="R205" s="635"/>
      <c r="S205" s="634"/>
      <c r="T205" s="634"/>
      <c r="U205" s="634"/>
      <c r="V205" s="634"/>
      <c r="W205" s="634"/>
      <c r="X205" s="634"/>
      <c r="Y205" s="634"/>
      <c r="Z205" s="634"/>
      <c r="AA205" s="634"/>
    </row>
    <row r="206" ht="15.75" customHeight="1">
      <c r="A206" s="634"/>
      <c r="B206" s="634"/>
      <c r="C206" s="634"/>
      <c r="D206" s="634"/>
      <c r="E206" s="634"/>
      <c r="F206" s="634"/>
      <c r="G206" s="634"/>
      <c r="H206" s="635"/>
      <c r="I206" s="634"/>
      <c r="J206" s="636"/>
      <c r="K206" s="635"/>
      <c r="L206" s="635"/>
      <c r="M206" s="635"/>
      <c r="N206" s="635"/>
      <c r="O206" s="635"/>
      <c r="P206" s="635"/>
      <c r="Q206" s="635"/>
      <c r="R206" s="635"/>
      <c r="S206" s="634"/>
      <c r="T206" s="634"/>
      <c r="U206" s="634"/>
      <c r="V206" s="634"/>
      <c r="W206" s="634"/>
      <c r="X206" s="634"/>
      <c r="Y206" s="634"/>
      <c r="Z206" s="634"/>
      <c r="AA206" s="634"/>
    </row>
    <row r="207" ht="15.75" customHeight="1">
      <c r="A207" s="634"/>
      <c r="B207" s="634"/>
      <c r="C207" s="634"/>
      <c r="D207" s="634"/>
      <c r="E207" s="634"/>
      <c r="F207" s="634"/>
      <c r="G207" s="634"/>
      <c r="H207" s="635"/>
      <c r="I207" s="634"/>
      <c r="J207" s="636"/>
      <c r="K207" s="635"/>
      <c r="L207" s="635"/>
      <c r="M207" s="635"/>
      <c r="N207" s="635"/>
      <c r="O207" s="635"/>
      <c r="P207" s="635"/>
      <c r="Q207" s="635"/>
      <c r="R207" s="635"/>
      <c r="S207" s="634"/>
      <c r="T207" s="634"/>
      <c r="U207" s="634"/>
      <c r="V207" s="634"/>
      <c r="W207" s="634"/>
      <c r="X207" s="634"/>
      <c r="Y207" s="634"/>
      <c r="Z207" s="634"/>
      <c r="AA207" s="634"/>
    </row>
    <row r="208" ht="15.75" customHeight="1">
      <c r="A208" s="634"/>
      <c r="B208" s="634"/>
      <c r="C208" s="634"/>
      <c r="D208" s="634"/>
      <c r="E208" s="634"/>
      <c r="F208" s="634"/>
      <c r="G208" s="634"/>
      <c r="H208" s="635"/>
      <c r="I208" s="634"/>
      <c r="J208" s="636"/>
      <c r="K208" s="635"/>
      <c r="L208" s="635"/>
      <c r="M208" s="635"/>
      <c r="N208" s="635"/>
      <c r="O208" s="635"/>
      <c r="P208" s="635"/>
      <c r="Q208" s="635"/>
      <c r="R208" s="635"/>
      <c r="S208" s="634"/>
      <c r="T208" s="634"/>
      <c r="U208" s="634"/>
      <c r="V208" s="634"/>
      <c r="W208" s="634"/>
      <c r="X208" s="634"/>
      <c r="Y208" s="634"/>
      <c r="Z208" s="634"/>
      <c r="AA208" s="634"/>
    </row>
    <row r="209" ht="15.75" customHeight="1">
      <c r="A209" s="634"/>
      <c r="B209" s="634"/>
      <c r="C209" s="634"/>
      <c r="D209" s="634"/>
      <c r="E209" s="634"/>
      <c r="F209" s="634"/>
      <c r="G209" s="634"/>
      <c r="H209" s="635"/>
      <c r="I209" s="634"/>
      <c r="J209" s="636"/>
      <c r="K209" s="635"/>
      <c r="L209" s="635"/>
      <c r="M209" s="635"/>
      <c r="N209" s="635"/>
      <c r="O209" s="635"/>
      <c r="P209" s="635"/>
      <c r="Q209" s="635"/>
      <c r="R209" s="635"/>
      <c r="S209" s="634"/>
      <c r="T209" s="634"/>
      <c r="U209" s="634"/>
      <c r="V209" s="634"/>
      <c r="W209" s="634"/>
      <c r="X209" s="634"/>
      <c r="Y209" s="634"/>
      <c r="Z209" s="634"/>
      <c r="AA209" s="634"/>
    </row>
    <row r="210" ht="15.75" customHeight="1">
      <c r="A210" s="634"/>
      <c r="B210" s="634"/>
      <c r="C210" s="634"/>
      <c r="D210" s="634"/>
      <c r="E210" s="634"/>
      <c r="F210" s="634"/>
      <c r="G210" s="634"/>
      <c r="H210" s="635"/>
      <c r="I210" s="634"/>
      <c r="J210" s="636"/>
      <c r="K210" s="635"/>
      <c r="L210" s="635"/>
      <c r="M210" s="635"/>
      <c r="N210" s="635"/>
      <c r="O210" s="635"/>
      <c r="P210" s="635"/>
      <c r="Q210" s="635"/>
      <c r="R210" s="635"/>
      <c r="S210" s="634"/>
      <c r="T210" s="634"/>
      <c r="U210" s="634"/>
      <c r="V210" s="634"/>
      <c r="W210" s="634"/>
      <c r="X210" s="634"/>
      <c r="Y210" s="634"/>
      <c r="Z210" s="634"/>
      <c r="AA210" s="634"/>
    </row>
    <row r="211" ht="15.75" customHeight="1">
      <c r="A211" s="634"/>
      <c r="B211" s="634"/>
      <c r="C211" s="634"/>
      <c r="D211" s="634"/>
      <c r="E211" s="634"/>
      <c r="F211" s="634"/>
      <c r="G211" s="634"/>
      <c r="H211" s="635"/>
      <c r="I211" s="634"/>
      <c r="J211" s="636"/>
      <c r="K211" s="635"/>
      <c r="L211" s="635"/>
      <c r="M211" s="635"/>
      <c r="N211" s="635"/>
      <c r="O211" s="635"/>
      <c r="P211" s="635"/>
      <c r="Q211" s="635"/>
      <c r="R211" s="635"/>
      <c r="S211" s="634"/>
      <c r="T211" s="634"/>
      <c r="U211" s="634"/>
      <c r="V211" s="634"/>
      <c r="W211" s="634"/>
      <c r="X211" s="634"/>
      <c r="Y211" s="634"/>
      <c r="Z211" s="634"/>
      <c r="AA211" s="634"/>
    </row>
    <row r="212" ht="15.75" customHeight="1">
      <c r="A212" s="634"/>
      <c r="B212" s="634"/>
      <c r="C212" s="634"/>
      <c r="D212" s="634"/>
      <c r="E212" s="634"/>
      <c r="F212" s="634"/>
      <c r="G212" s="634"/>
      <c r="H212" s="635"/>
      <c r="I212" s="634"/>
      <c r="J212" s="636"/>
      <c r="K212" s="635"/>
      <c r="L212" s="635"/>
      <c r="M212" s="635"/>
      <c r="N212" s="635"/>
      <c r="O212" s="635"/>
      <c r="P212" s="635"/>
      <c r="Q212" s="635"/>
      <c r="R212" s="635"/>
      <c r="S212" s="634"/>
      <c r="T212" s="634"/>
      <c r="U212" s="634"/>
      <c r="V212" s="634"/>
      <c r="W212" s="634"/>
      <c r="X212" s="634"/>
      <c r="Y212" s="634"/>
      <c r="Z212" s="634"/>
      <c r="AA212" s="634"/>
    </row>
    <row r="213" ht="15.75" customHeight="1">
      <c r="A213" s="634"/>
      <c r="B213" s="634"/>
      <c r="C213" s="634"/>
      <c r="D213" s="634"/>
      <c r="E213" s="634"/>
      <c r="F213" s="634"/>
      <c r="G213" s="634"/>
      <c r="H213" s="635"/>
      <c r="I213" s="634"/>
      <c r="J213" s="636"/>
      <c r="K213" s="635"/>
      <c r="L213" s="635"/>
      <c r="M213" s="635"/>
      <c r="N213" s="635"/>
      <c r="O213" s="635"/>
      <c r="P213" s="635"/>
      <c r="Q213" s="635"/>
      <c r="R213" s="635"/>
      <c r="S213" s="634"/>
      <c r="T213" s="634"/>
      <c r="U213" s="634"/>
      <c r="V213" s="634"/>
      <c r="W213" s="634"/>
      <c r="X213" s="634"/>
      <c r="Y213" s="634"/>
      <c r="Z213" s="634"/>
      <c r="AA213" s="634"/>
    </row>
    <row r="214" ht="15.75" customHeight="1">
      <c r="A214" s="634"/>
      <c r="B214" s="634"/>
      <c r="C214" s="634"/>
      <c r="D214" s="634"/>
      <c r="E214" s="634"/>
      <c r="F214" s="634"/>
      <c r="G214" s="634"/>
      <c r="H214" s="635"/>
      <c r="I214" s="634"/>
      <c r="J214" s="636"/>
      <c r="K214" s="635"/>
      <c r="L214" s="635"/>
      <c r="M214" s="635"/>
      <c r="N214" s="635"/>
      <c r="O214" s="635"/>
      <c r="P214" s="635"/>
      <c r="Q214" s="635"/>
      <c r="R214" s="635"/>
      <c r="S214" s="634"/>
      <c r="T214" s="634"/>
      <c r="U214" s="634"/>
      <c r="V214" s="634"/>
      <c r="W214" s="634"/>
      <c r="X214" s="634"/>
      <c r="Y214" s="634"/>
      <c r="Z214" s="634"/>
      <c r="AA214" s="634"/>
    </row>
    <row r="215" ht="15.75" customHeight="1">
      <c r="A215" s="634"/>
      <c r="B215" s="634"/>
      <c r="C215" s="634"/>
      <c r="D215" s="634"/>
      <c r="E215" s="634"/>
      <c r="F215" s="634"/>
      <c r="G215" s="634"/>
      <c r="H215" s="635"/>
      <c r="I215" s="634"/>
      <c r="J215" s="636"/>
      <c r="K215" s="635"/>
      <c r="L215" s="635"/>
      <c r="M215" s="635"/>
      <c r="N215" s="635"/>
      <c r="O215" s="635"/>
      <c r="P215" s="635"/>
      <c r="Q215" s="635"/>
      <c r="R215" s="635"/>
      <c r="S215" s="634"/>
      <c r="T215" s="634"/>
      <c r="U215" s="634"/>
      <c r="V215" s="634"/>
      <c r="W215" s="634"/>
      <c r="X215" s="634"/>
      <c r="Y215" s="634"/>
      <c r="Z215" s="634"/>
      <c r="AA215" s="634"/>
    </row>
    <row r="216" ht="15.75" customHeight="1">
      <c r="A216" s="634"/>
      <c r="B216" s="634"/>
      <c r="C216" s="634"/>
      <c r="D216" s="634"/>
      <c r="E216" s="634"/>
      <c r="F216" s="634"/>
      <c r="G216" s="634"/>
      <c r="H216" s="635"/>
      <c r="I216" s="634"/>
      <c r="J216" s="636"/>
      <c r="K216" s="635"/>
      <c r="L216" s="635"/>
      <c r="M216" s="635"/>
      <c r="N216" s="635"/>
      <c r="O216" s="635"/>
      <c r="P216" s="635"/>
      <c r="Q216" s="635"/>
      <c r="R216" s="635"/>
      <c r="S216" s="634"/>
      <c r="T216" s="634"/>
      <c r="U216" s="634"/>
      <c r="V216" s="634"/>
      <c r="W216" s="634"/>
      <c r="X216" s="634"/>
      <c r="Y216" s="634"/>
      <c r="Z216" s="634"/>
      <c r="AA216" s="634"/>
    </row>
    <row r="217" ht="15.75" customHeight="1">
      <c r="A217" s="634"/>
      <c r="B217" s="634"/>
      <c r="C217" s="634"/>
      <c r="D217" s="634"/>
      <c r="E217" s="634"/>
      <c r="F217" s="634"/>
      <c r="G217" s="634"/>
      <c r="H217" s="635"/>
      <c r="I217" s="634"/>
      <c r="J217" s="636"/>
      <c r="K217" s="635"/>
      <c r="L217" s="635"/>
      <c r="M217" s="635"/>
      <c r="N217" s="635"/>
      <c r="O217" s="635"/>
      <c r="P217" s="635"/>
      <c r="Q217" s="635"/>
      <c r="R217" s="635"/>
      <c r="S217" s="634"/>
      <c r="T217" s="634"/>
      <c r="U217" s="634"/>
      <c r="V217" s="634"/>
      <c r="W217" s="634"/>
      <c r="X217" s="634"/>
      <c r="Y217" s="634"/>
      <c r="Z217" s="634"/>
      <c r="AA217" s="634"/>
    </row>
    <row r="218" ht="15.75" customHeight="1">
      <c r="A218" s="634"/>
      <c r="B218" s="634"/>
      <c r="C218" s="634"/>
      <c r="D218" s="634"/>
      <c r="E218" s="634"/>
      <c r="F218" s="634"/>
      <c r="G218" s="634"/>
      <c r="H218" s="635"/>
      <c r="I218" s="634"/>
      <c r="J218" s="636"/>
      <c r="K218" s="635"/>
      <c r="L218" s="635"/>
      <c r="M218" s="635"/>
      <c r="N218" s="635"/>
      <c r="O218" s="635"/>
      <c r="P218" s="635"/>
      <c r="Q218" s="635"/>
      <c r="R218" s="635"/>
      <c r="S218" s="634"/>
      <c r="T218" s="634"/>
      <c r="U218" s="634"/>
      <c r="V218" s="634"/>
      <c r="W218" s="634"/>
      <c r="X218" s="634"/>
      <c r="Y218" s="634"/>
      <c r="Z218" s="634"/>
      <c r="AA218" s="634"/>
    </row>
    <row r="219" ht="15.75" customHeight="1">
      <c r="A219" s="634"/>
      <c r="B219" s="634"/>
      <c r="C219" s="634"/>
      <c r="D219" s="634"/>
      <c r="E219" s="634"/>
      <c r="F219" s="634"/>
      <c r="G219" s="634"/>
      <c r="H219" s="635"/>
      <c r="I219" s="634"/>
      <c r="J219" s="636"/>
      <c r="K219" s="635"/>
      <c r="L219" s="635"/>
      <c r="M219" s="635"/>
      <c r="N219" s="635"/>
      <c r="O219" s="635"/>
      <c r="P219" s="635"/>
      <c r="Q219" s="635"/>
      <c r="R219" s="635"/>
      <c r="S219" s="634"/>
      <c r="T219" s="634"/>
      <c r="U219" s="634"/>
      <c r="V219" s="634"/>
      <c r="W219" s="634"/>
      <c r="X219" s="634"/>
      <c r="Y219" s="634"/>
      <c r="Z219" s="634"/>
      <c r="AA219" s="634"/>
    </row>
    <row r="220" ht="15.75" customHeight="1">
      <c r="A220" s="634"/>
      <c r="B220" s="634"/>
      <c r="C220" s="634"/>
      <c r="D220" s="634"/>
      <c r="E220" s="634"/>
      <c r="F220" s="634"/>
      <c r="G220" s="634"/>
      <c r="H220" s="635"/>
      <c r="I220" s="634"/>
      <c r="J220" s="636"/>
      <c r="K220" s="635"/>
      <c r="L220" s="635"/>
      <c r="M220" s="635"/>
      <c r="N220" s="635"/>
      <c r="O220" s="635"/>
      <c r="P220" s="635"/>
      <c r="Q220" s="635"/>
      <c r="R220" s="635"/>
      <c r="S220" s="634"/>
      <c r="T220" s="634"/>
      <c r="U220" s="634"/>
      <c r="V220" s="634"/>
      <c r="W220" s="634"/>
      <c r="X220" s="634"/>
      <c r="Y220" s="634"/>
      <c r="Z220" s="634"/>
      <c r="AA220" s="634"/>
    </row>
    <row r="221" ht="15.75" customHeight="1">
      <c r="A221" s="634"/>
      <c r="B221" s="634"/>
      <c r="C221" s="634"/>
      <c r="D221" s="634"/>
      <c r="E221" s="634"/>
      <c r="F221" s="634"/>
      <c r="G221" s="634"/>
      <c r="H221" s="635"/>
      <c r="I221" s="634"/>
      <c r="J221" s="636"/>
      <c r="K221" s="635"/>
      <c r="L221" s="635"/>
      <c r="M221" s="635"/>
      <c r="N221" s="635"/>
      <c r="O221" s="635"/>
      <c r="P221" s="635"/>
      <c r="Q221" s="635"/>
      <c r="R221" s="635"/>
      <c r="S221" s="634"/>
      <c r="T221" s="634"/>
      <c r="U221" s="634"/>
      <c r="V221" s="634"/>
      <c r="W221" s="634"/>
      <c r="X221" s="634"/>
      <c r="Y221" s="634"/>
      <c r="Z221" s="634"/>
      <c r="AA221" s="634"/>
    </row>
    <row r="222" ht="15.75" customHeight="1">
      <c r="A222" s="634"/>
      <c r="B222" s="634"/>
      <c r="C222" s="634"/>
      <c r="D222" s="634"/>
      <c r="E222" s="634"/>
      <c r="F222" s="634"/>
      <c r="G222" s="634"/>
      <c r="H222" s="635"/>
      <c r="I222" s="634"/>
      <c r="J222" s="636"/>
      <c r="K222" s="635"/>
      <c r="L222" s="635"/>
      <c r="M222" s="635"/>
      <c r="N222" s="635"/>
      <c r="O222" s="635"/>
      <c r="P222" s="635"/>
      <c r="Q222" s="635"/>
      <c r="R222" s="635"/>
      <c r="S222" s="634"/>
      <c r="T222" s="634"/>
      <c r="U222" s="634"/>
      <c r="V222" s="634"/>
      <c r="W222" s="634"/>
      <c r="X222" s="634"/>
      <c r="Y222" s="634"/>
      <c r="Z222" s="634"/>
      <c r="AA222" s="634"/>
    </row>
    <row r="223" ht="15.75" customHeight="1">
      <c r="A223" s="634"/>
      <c r="B223" s="634"/>
      <c r="C223" s="634"/>
      <c r="D223" s="634"/>
      <c r="E223" s="634"/>
      <c r="F223" s="634"/>
      <c r="G223" s="634"/>
      <c r="H223" s="635"/>
      <c r="I223" s="634"/>
      <c r="J223" s="636"/>
      <c r="K223" s="635"/>
      <c r="L223" s="635"/>
      <c r="M223" s="635"/>
      <c r="N223" s="635"/>
      <c r="O223" s="635"/>
      <c r="P223" s="635"/>
      <c r="Q223" s="635"/>
      <c r="R223" s="635"/>
      <c r="S223" s="634"/>
      <c r="T223" s="634"/>
      <c r="U223" s="634"/>
      <c r="V223" s="634"/>
      <c r="W223" s="634"/>
      <c r="X223" s="634"/>
      <c r="Y223" s="634"/>
      <c r="Z223" s="634"/>
      <c r="AA223" s="634"/>
    </row>
    <row r="224" ht="15.75" customHeight="1">
      <c r="A224" s="634"/>
      <c r="B224" s="634"/>
      <c r="C224" s="634"/>
      <c r="D224" s="634"/>
      <c r="E224" s="634"/>
      <c r="F224" s="634"/>
      <c r="G224" s="634"/>
      <c r="H224" s="635"/>
      <c r="I224" s="634"/>
      <c r="J224" s="636"/>
      <c r="K224" s="635"/>
      <c r="L224" s="635"/>
      <c r="M224" s="635"/>
      <c r="N224" s="635"/>
      <c r="O224" s="635"/>
      <c r="P224" s="635"/>
      <c r="Q224" s="635"/>
      <c r="R224" s="635"/>
      <c r="S224" s="634"/>
      <c r="T224" s="634"/>
      <c r="U224" s="634"/>
      <c r="V224" s="634"/>
      <c r="W224" s="634"/>
      <c r="X224" s="634"/>
      <c r="Y224" s="634"/>
      <c r="Z224" s="634"/>
      <c r="AA224" s="634"/>
    </row>
    <row r="225" ht="15.75" customHeight="1">
      <c r="A225" s="634"/>
      <c r="B225" s="634"/>
      <c r="C225" s="634"/>
      <c r="D225" s="634"/>
      <c r="E225" s="634"/>
      <c r="F225" s="634"/>
      <c r="G225" s="634"/>
      <c r="H225" s="635"/>
      <c r="I225" s="634"/>
      <c r="J225" s="636"/>
      <c r="K225" s="635"/>
      <c r="L225" s="635"/>
      <c r="M225" s="635"/>
      <c r="N225" s="635"/>
      <c r="O225" s="635"/>
      <c r="P225" s="635"/>
      <c r="Q225" s="635"/>
      <c r="R225" s="635"/>
      <c r="S225" s="634"/>
      <c r="T225" s="634"/>
      <c r="U225" s="634"/>
      <c r="V225" s="634"/>
      <c r="W225" s="634"/>
      <c r="X225" s="634"/>
      <c r="Y225" s="634"/>
      <c r="Z225" s="634"/>
      <c r="AA225" s="634"/>
    </row>
    <row r="226" ht="15.75" customHeight="1">
      <c r="A226" s="634"/>
      <c r="B226" s="634"/>
      <c r="C226" s="634"/>
      <c r="D226" s="634"/>
      <c r="E226" s="634"/>
      <c r="F226" s="634"/>
      <c r="G226" s="634"/>
      <c r="H226" s="635"/>
      <c r="I226" s="634"/>
      <c r="J226" s="636"/>
      <c r="K226" s="635"/>
      <c r="L226" s="635"/>
      <c r="M226" s="635"/>
      <c r="N226" s="635"/>
      <c r="O226" s="635"/>
      <c r="P226" s="635"/>
      <c r="Q226" s="635"/>
      <c r="R226" s="635"/>
      <c r="S226" s="634"/>
      <c r="T226" s="634"/>
      <c r="U226" s="634"/>
      <c r="V226" s="634"/>
      <c r="W226" s="634"/>
      <c r="X226" s="634"/>
      <c r="Y226" s="634"/>
      <c r="Z226" s="634"/>
      <c r="AA226" s="634"/>
    </row>
    <row r="227" ht="15.75" customHeight="1">
      <c r="A227" s="634"/>
      <c r="B227" s="634"/>
      <c r="C227" s="634"/>
      <c r="D227" s="634"/>
      <c r="E227" s="634"/>
      <c r="F227" s="634"/>
      <c r="G227" s="634"/>
      <c r="H227" s="635"/>
      <c r="I227" s="634"/>
      <c r="J227" s="636"/>
      <c r="K227" s="635"/>
      <c r="L227" s="635"/>
      <c r="M227" s="635"/>
      <c r="N227" s="635"/>
      <c r="O227" s="635"/>
      <c r="P227" s="635"/>
      <c r="Q227" s="635"/>
      <c r="R227" s="635"/>
      <c r="S227" s="634"/>
      <c r="T227" s="634"/>
      <c r="U227" s="634"/>
      <c r="V227" s="634"/>
      <c r="W227" s="634"/>
      <c r="X227" s="634"/>
      <c r="Y227" s="634"/>
      <c r="Z227" s="634"/>
      <c r="AA227" s="634"/>
    </row>
    <row r="228" ht="15.75" customHeight="1">
      <c r="A228" s="634"/>
      <c r="B228" s="634"/>
      <c r="C228" s="634"/>
      <c r="D228" s="634"/>
      <c r="E228" s="634"/>
      <c r="F228" s="634"/>
      <c r="G228" s="634"/>
      <c r="H228" s="635"/>
      <c r="I228" s="634"/>
      <c r="J228" s="636"/>
      <c r="K228" s="635"/>
      <c r="L228" s="635"/>
      <c r="M228" s="635"/>
      <c r="N228" s="635"/>
      <c r="O228" s="635"/>
      <c r="P228" s="635"/>
      <c r="Q228" s="635"/>
      <c r="R228" s="635"/>
      <c r="S228" s="634"/>
      <c r="T228" s="634"/>
      <c r="U228" s="634"/>
      <c r="V228" s="634"/>
      <c r="W228" s="634"/>
      <c r="X228" s="634"/>
      <c r="Y228" s="634"/>
      <c r="Z228" s="634"/>
      <c r="AA228" s="634"/>
    </row>
    <row r="229" ht="15.75" customHeight="1">
      <c r="A229" s="634"/>
      <c r="B229" s="634"/>
      <c r="C229" s="634"/>
      <c r="D229" s="634"/>
      <c r="E229" s="634"/>
      <c r="F229" s="634"/>
      <c r="G229" s="634"/>
      <c r="H229" s="635"/>
      <c r="I229" s="634"/>
      <c r="J229" s="636"/>
      <c r="K229" s="635"/>
      <c r="L229" s="635"/>
      <c r="M229" s="635"/>
      <c r="N229" s="635"/>
      <c r="O229" s="635"/>
      <c r="P229" s="635"/>
      <c r="Q229" s="635"/>
      <c r="R229" s="635"/>
      <c r="S229" s="634"/>
      <c r="T229" s="634"/>
      <c r="U229" s="634"/>
      <c r="V229" s="634"/>
      <c r="W229" s="634"/>
      <c r="X229" s="634"/>
      <c r="Y229" s="634"/>
      <c r="Z229" s="634"/>
      <c r="AA229" s="634"/>
    </row>
    <row r="230" ht="15.75" customHeight="1">
      <c r="A230" s="634"/>
      <c r="B230" s="634"/>
      <c r="C230" s="634"/>
      <c r="D230" s="634"/>
      <c r="E230" s="634"/>
      <c r="F230" s="634"/>
      <c r="G230" s="634"/>
      <c r="H230" s="635"/>
      <c r="I230" s="634"/>
      <c r="J230" s="636"/>
      <c r="K230" s="635"/>
      <c r="L230" s="635"/>
      <c r="M230" s="635"/>
      <c r="N230" s="635"/>
      <c r="O230" s="635"/>
      <c r="P230" s="635"/>
      <c r="Q230" s="635"/>
      <c r="R230" s="635"/>
      <c r="S230" s="634"/>
      <c r="T230" s="634"/>
      <c r="U230" s="634"/>
      <c r="V230" s="634"/>
      <c r="W230" s="634"/>
      <c r="X230" s="634"/>
      <c r="Y230" s="634"/>
      <c r="Z230" s="634"/>
      <c r="AA230" s="634"/>
    </row>
    <row r="231" ht="15.75" customHeight="1">
      <c r="A231" s="634"/>
      <c r="B231" s="634"/>
      <c r="C231" s="634"/>
      <c r="D231" s="634"/>
      <c r="E231" s="634"/>
      <c r="F231" s="634"/>
      <c r="G231" s="634"/>
      <c r="H231" s="635"/>
      <c r="I231" s="634"/>
      <c r="J231" s="636"/>
      <c r="K231" s="635"/>
      <c r="L231" s="635"/>
      <c r="M231" s="635"/>
      <c r="N231" s="635"/>
      <c r="O231" s="635"/>
      <c r="P231" s="635"/>
      <c r="Q231" s="635"/>
      <c r="R231" s="635"/>
      <c r="S231" s="634"/>
      <c r="T231" s="634"/>
      <c r="U231" s="634"/>
      <c r="V231" s="634"/>
      <c r="W231" s="634"/>
      <c r="X231" s="634"/>
      <c r="Y231" s="634"/>
      <c r="Z231" s="634"/>
      <c r="AA231" s="634"/>
    </row>
    <row r="232" ht="15.75" customHeight="1">
      <c r="A232" s="634"/>
      <c r="B232" s="634"/>
      <c r="C232" s="634"/>
      <c r="D232" s="634"/>
      <c r="E232" s="634"/>
      <c r="F232" s="634"/>
      <c r="G232" s="634"/>
      <c r="H232" s="635"/>
      <c r="I232" s="634"/>
      <c r="J232" s="636"/>
      <c r="K232" s="635"/>
      <c r="L232" s="635"/>
      <c r="M232" s="635"/>
      <c r="N232" s="635"/>
      <c r="O232" s="635"/>
      <c r="P232" s="635"/>
      <c r="Q232" s="635"/>
      <c r="R232" s="635"/>
      <c r="S232" s="634"/>
      <c r="T232" s="634"/>
      <c r="U232" s="634"/>
      <c r="V232" s="634"/>
      <c r="W232" s="634"/>
      <c r="X232" s="634"/>
      <c r="Y232" s="634"/>
      <c r="Z232" s="634"/>
      <c r="AA232" s="634"/>
    </row>
    <row r="233" ht="15.75" customHeight="1">
      <c r="A233" s="634"/>
      <c r="B233" s="634"/>
      <c r="C233" s="634"/>
      <c r="D233" s="634"/>
      <c r="E233" s="634"/>
      <c r="F233" s="634"/>
      <c r="G233" s="634"/>
      <c r="H233" s="635"/>
      <c r="I233" s="634"/>
      <c r="J233" s="636"/>
      <c r="K233" s="635"/>
      <c r="L233" s="635"/>
      <c r="M233" s="635"/>
      <c r="N233" s="635"/>
      <c r="O233" s="635"/>
      <c r="P233" s="635"/>
      <c r="Q233" s="635"/>
      <c r="R233" s="635"/>
      <c r="S233" s="634"/>
      <c r="T233" s="634"/>
      <c r="U233" s="634"/>
      <c r="V233" s="634"/>
      <c r="W233" s="634"/>
      <c r="X233" s="634"/>
      <c r="Y233" s="634"/>
      <c r="Z233" s="634"/>
      <c r="AA233" s="634"/>
    </row>
    <row r="234" ht="15.75" customHeight="1">
      <c r="A234" s="634"/>
      <c r="B234" s="634"/>
      <c r="C234" s="634"/>
      <c r="D234" s="634"/>
      <c r="E234" s="634"/>
      <c r="F234" s="634"/>
      <c r="G234" s="634"/>
      <c r="H234" s="635"/>
      <c r="I234" s="634"/>
      <c r="J234" s="636"/>
      <c r="K234" s="635"/>
      <c r="L234" s="635"/>
      <c r="M234" s="635"/>
      <c r="N234" s="635"/>
      <c r="O234" s="635"/>
      <c r="P234" s="635"/>
      <c r="Q234" s="635"/>
      <c r="R234" s="635"/>
      <c r="S234" s="634"/>
      <c r="T234" s="634"/>
      <c r="U234" s="634"/>
      <c r="V234" s="634"/>
      <c r="W234" s="634"/>
      <c r="X234" s="634"/>
      <c r="Y234" s="634"/>
      <c r="Z234" s="634"/>
      <c r="AA234" s="634"/>
    </row>
    <row r="235" ht="15.75" customHeight="1">
      <c r="A235" s="634"/>
      <c r="B235" s="634"/>
      <c r="C235" s="634"/>
      <c r="D235" s="634"/>
      <c r="E235" s="634"/>
      <c r="F235" s="634"/>
      <c r="G235" s="634"/>
      <c r="H235" s="635"/>
      <c r="I235" s="634"/>
      <c r="J235" s="636"/>
      <c r="K235" s="635"/>
      <c r="L235" s="635"/>
      <c r="M235" s="635"/>
      <c r="N235" s="635"/>
      <c r="O235" s="635"/>
      <c r="P235" s="635"/>
      <c r="Q235" s="635"/>
      <c r="R235" s="635"/>
      <c r="S235" s="634"/>
      <c r="T235" s="634"/>
      <c r="U235" s="634"/>
      <c r="V235" s="634"/>
      <c r="W235" s="634"/>
      <c r="X235" s="634"/>
      <c r="Y235" s="634"/>
      <c r="Z235" s="634"/>
      <c r="AA235" s="634"/>
    </row>
    <row r="236" ht="15.75" customHeight="1">
      <c r="A236" s="634"/>
      <c r="B236" s="634"/>
      <c r="C236" s="634"/>
      <c r="D236" s="634"/>
      <c r="E236" s="634"/>
      <c r="F236" s="634"/>
      <c r="G236" s="634"/>
      <c r="H236" s="635"/>
      <c r="I236" s="634"/>
      <c r="J236" s="636"/>
      <c r="K236" s="635"/>
      <c r="L236" s="635"/>
      <c r="M236" s="635"/>
      <c r="N236" s="635"/>
      <c r="O236" s="635"/>
      <c r="P236" s="635"/>
      <c r="Q236" s="635"/>
      <c r="R236" s="635"/>
      <c r="S236" s="634"/>
      <c r="T236" s="634"/>
      <c r="U236" s="634"/>
      <c r="V236" s="634"/>
      <c r="W236" s="634"/>
      <c r="X236" s="634"/>
      <c r="Y236" s="634"/>
      <c r="Z236" s="634"/>
      <c r="AA236" s="634"/>
    </row>
    <row r="237" ht="15.75" customHeight="1">
      <c r="A237" s="634"/>
      <c r="B237" s="634"/>
      <c r="C237" s="634"/>
      <c r="D237" s="634"/>
      <c r="E237" s="634"/>
      <c r="F237" s="634"/>
      <c r="G237" s="634"/>
      <c r="H237" s="635"/>
      <c r="I237" s="634"/>
      <c r="J237" s="636"/>
      <c r="K237" s="635"/>
      <c r="L237" s="635"/>
      <c r="M237" s="635"/>
      <c r="N237" s="635"/>
      <c r="O237" s="635"/>
      <c r="P237" s="635"/>
      <c r="Q237" s="635"/>
      <c r="R237" s="635"/>
      <c r="S237" s="634"/>
      <c r="T237" s="634"/>
      <c r="U237" s="634"/>
      <c r="V237" s="634"/>
      <c r="W237" s="634"/>
      <c r="X237" s="634"/>
      <c r="Y237" s="634"/>
      <c r="Z237" s="634"/>
      <c r="AA237" s="634"/>
    </row>
    <row r="238" ht="15.75" customHeight="1">
      <c r="A238" s="634"/>
      <c r="B238" s="634"/>
      <c r="C238" s="634"/>
      <c r="D238" s="634"/>
      <c r="E238" s="634"/>
      <c r="F238" s="634"/>
      <c r="G238" s="634"/>
      <c r="H238" s="635"/>
      <c r="I238" s="634"/>
      <c r="J238" s="636"/>
      <c r="K238" s="635"/>
      <c r="L238" s="635"/>
      <c r="M238" s="635"/>
      <c r="N238" s="635"/>
      <c r="O238" s="635"/>
      <c r="P238" s="635"/>
      <c r="Q238" s="635"/>
      <c r="R238" s="635"/>
      <c r="S238" s="634"/>
      <c r="T238" s="634"/>
      <c r="U238" s="634"/>
      <c r="V238" s="634"/>
      <c r="W238" s="634"/>
      <c r="X238" s="634"/>
      <c r="Y238" s="634"/>
      <c r="Z238" s="634"/>
      <c r="AA238" s="634"/>
    </row>
    <row r="239" ht="15.75" customHeight="1">
      <c r="A239" s="634"/>
      <c r="B239" s="634"/>
      <c r="C239" s="634"/>
      <c r="D239" s="634"/>
      <c r="E239" s="634"/>
      <c r="F239" s="634"/>
      <c r="G239" s="634"/>
      <c r="H239" s="635"/>
      <c r="I239" s="634"/>
      <c r="J239" s="636"/>
      <c r="K239" s="635"/>
      <c r="L239" s="635"/>
      <c r="M239" s="635"/>
      <c r="N239" s="635"/>
      <c r="O239" s="635"/>
      <c r="P239" s="635"/>
      <c r="Q239" s="635"/>
      <c r="R239" s="635"/>
      <c r="S239" s="634"/>
      <c r="T239" s="634"/>
      <c r="U239" s="634"/>
      <c r="V239" s="634"/>
      <c r="W239" s="634"/>
      <c r="X239" s="634"/>
      <c r="Y239" s="634"/>
      <c r="Z239" s="634"/>
      <c r="AA239" s="634"/>
    </row>
    <row r="240" ht="15.75" customHeight="1">
      <c r="A240" s="634"/>
      <c r="B240" s="634"/>
      <c r="C240" s="634"/>
      <c r="D240" s="634"/>
      <c r="E240" s="634"/>
      <c r="F240" s="634"/>
      <c r="G240" s="634"/>
      <c r="H240" s="635"/>
      <c r="I240" s="634"/>
      <c r="J240" s="636"/>
      <c r="K240" s="635"/>
      <c r="L240" s="635"/>
      <c r="M240" s="635"/>
      <c r="N240" s="635"/>
      <c r="O240" s="635"/>
      <c r="P240" s="635"/>
      <c r="Q240" s="635"/>
      <c r="R240" s="635"/>
      <c r="S240" s="634"/>
      <c r="T240" s="634"/>
      <c r="U240" s="634"/>
      <c r="V240" s="634"/>
      <c r="W240" s="634"/>
      <c r="X240" s="634"/>
      <c r="Y240" s="634"/>
      <c r="Z240" s="634"/>
      <c r="AA240" s="634"/>
    </row>
    <row r="241" ht="15.75" customHeight="1">
      <c r="A241" s="634"/>
      <c r="B241" s="634"/>
      <c r="C241" s="634"/>
      <c r="D241" s="634"/>
      <c r="E241" s="634"/>
      <c r="F241" s="634"/>
      <c r="G241" s="634"/>
      <c r="H241" s="635"/>
      <c r="I241" s="634"/>
      <c r="J241" s="636"/>
      <c r="K241" s="635"/>
      <c r="L241" s="635"/>
      <c r="M241" s="635"/>
      <c r="N241" s="635"/>
      <c r="O241" s="635"/>
      <c r="P241" s="635"/>
      <c r="Q241" s="635"/>
      <c r="R241" s="635"/>
      <c r="S241" s="634"/>
      <c r="T241" s="634"/>
      <c r="U241" s="634"/>
      <c r="V241" s="634"/>
      <c r="W241" s="634"/>
      <c r="X241" s="634"/>
      <c r="Y241" s="634"/>
      <c r="Z241" s="634"/>
      <c r="AA241" s="634"/>
    </row>
    <row r="242" ht="15.75" customHeight="1">
      <c r="A242" s="634"/>
      <c r="B242" s="634"/>
      <c r="C242" s="634"/>
      <c r="D242" s="634"/>
      <c r="E242" s="634"/>
      <c r="F242" s="634"/>
      <c r="G242" s="634"/>
      <c r="H242" s="635"/>
      <c r="I242" s="634"/>
      <c r="J242" s="636"/>
      <c r="K242" s="635"/>
      <c r="L242" s="635"/>
      <c r="M242" s="635"/>
      <c r="N242" s="635"/>
      <c r="O242" s="635"/>
      <c r="P242" s="635"/>
      <c r="Q242" s="635"/>
      <c r="R242" s="635"/>
      <c r="S242" s="634"/>
      <c r="T242" s="634"/>
      <c r="U242" s="634"/>
      <c r="V242" s="634"/>
      <c r="W242" s="634"/>
      <c r="X242" s="634"/>
      <c r="Y242" s="634"/>
      <c r="Z242" s="634"/>
      <c r="AA242" s="634"/>
    </row>
    <row r="243" ht="15.75" customHeight="1">
      <c r="A243" s="634"/>
      <c r="B243" s="634"/>
      <c r="C243" s="634"/>
      <c r="D243" s="634"/>
      <c r="E243" s="634"/>
      <c r="F243" s="634"/>
      <c r="G243" s="634"/>
      <c r="H243" s="635"/>
      <c r="I243" s="634"/>
      <c r="J243" s="636"/>
      <c r="K243" s="635"/>
      <c r="L243" s="635"/>
      <c r="M243" s="635"/>
      <c r="N243" s="635"/>
      <c r="O243" s="635"/>
      <c r="P243" s="635"/>
      <c r="Q243" s="635"/>
      <c r="R243" s="635"/>
      <c r="S243" s="634"/>
      <c r="T243" s="634"/>
      <c r="U243" s="634"/>
      <c r="V243" s="634"/>
      <c r="W243" s="634"/>
      <c r="X243" s="634"/>
      <c r="Y243" s="634"/>
      <c r="Z243" s="634"/>
      <c r="AA243" s="634"/>
    </row>
    <row r="244" ht="15.75" customHeight="1">
      <c r="A244" s="634"/>
      <c r="B244" s="634"/>
      <c r="C244" s="634"/>
      <c r="D244" s="634"/>
      <c r="E244" s="634"/>
      <c r="F244" s="634"/>
      <c r="G244" s="634"/>
      <c r="H244" s="635"/>
      <c r="I244" s="634"/>
      <c r="J244" s="636"/>
      <c r="K244" s="635"/>
      <c r="L244" s="635"/>
      <c r="M244" s="635"/>
      <c r="N244" s="635"/>
      <c r="O244" s="635"/>
      <c r="P244" s="635"/>
      <c r="Q244" s="635"/>
      <c r="R244" s="635"/>
      <c r="S244" s="634"/>
      <c r="T244" s="634"/>
      <c r="U244" s="634"/>
      <c r="V244" s="634"/>
      <c r="W244" s="634"/>
      <c r="X244" s="634"/>
      <c r="Y244" s="634"/>
      <c r="Z244" s="634"/>
      <c r="AA244" s="634"/>
    </row>
    <row r="245" ht="15.75" customHeight="1">
      <c r="A245" s="634"/>
      <c r="B245" s="634"/>
      <c r="C245" s="634"/>
      <c r="D245" s="634"/>
      <c r="E245" s="634"/>
      <c r="F245" s="634"/>
      <c r="G245" s="634"/>
      <c r="H245" s="635"/>
      <c r="I245" s="634"/>
      <c r="J245" s="636"/>
      <c r="K245" s="635"/>
      <c r="L245" s="635"/>
      <c r="M245" s="635"/>
      <c r="N245" s="635"/>
      <c r="O245" s="635"/>
      <c r="P245" s="635"/>
      <c r="Q245" s="635"/>
      <c r="R245" s="635"/>
      <c r="S245" s="634"/>
      <c r="T245" s="634"/>
      <c r="U245" s="634"/>
      <c r="V245" s="634"/>
      <c r="W245" s="634"/>
      <c r="X245" s="634"/>
      <c r="Y245" s="634"/>
      <c r="Z245" s="634"/>
      <c r="AA245" s="634"/>
    </row>
    <row r="246" ht="15.75" customHeight="1">
      <c r="A246" s="634"/>
      <c r="B246" s="634"/>
      <c r="C246" s="634"/>
      <c r="D246" s="634"/>
      <c r="E246" s="634"/>
      <c r="F246" s="634"/>
      <c r="G246" s="634"/>
      <c r="H246" s="635"/>
      <c r="I246" s="634"/>
      <c r="J246" s="636"/>
      <c r="K246" s="635"/>
      <c r="L246" s="635"/>
      <c r="M246" s="635"/>
      <c r="N246" s="635"/>
      <c r="O246" s="635"/>
      <c r="P246" s="635"/>
      <c r="Q246" s="635"/>
      <c r="R246" s="635"/>
      <c r="S246" s="634"/>
      <c r="T246" s="634"/>
      <c r="U246" s="634"/>
      <c r="V246" s="634"/>
      <c r="W246" s="634"/>
      <c r="X246" s="634"/>
      <c r="Y246" s="634"/>
      <c r="Z246" s="634"/>
      <c r="AA246" s="634"/>
    </row>
    <row r="247" ht="15.75" customHeight="1">
      <c r="A247" s="634"/>
      <c r="B247" s="634"/>
      <c r="C247" s="634"/>
      <c r="D247" s="634"/>
      <c r="E247" s="634"/>
      <c r="F247" s="634"/>
      <c r="G247" s="634"/>
      <c r="H247" s="635"/>
      <c r="I247" s="634"/>
      <c r="J247" s="636"/>
      <c r="K247" s="635"/>
      <c r="L247" s="635"/>
      <c r="M247" s="635"/>
      <c r="N247" s="635"/>
      <c r="O247" s="635"/>
      <c r="P247" s="635"/>
      <c r="Q247" s="635"/>
      <c r="R247" s="635"/>
      <c r="S247" s="634"/>
      <c r="T247" s="634"/>
      <c r="U247" s="634"/>
      <c r="V247" s="634"/>
      <c r="W247" s="634"/>
      <c r="X247" s="634"/>
      <c r="Y247" s="634"/>
      <c r="Z247" s="634"/>
      <c r="AA247" s="634"/>
    </row>
    <row r="248" ht="15.75" customHeight="1">
      <c r="A248" s="634"/>
      <c r="B248" s="634"/>
      <c r="C248" s="634"/>
      <c r="D248" s="634"/>
      <c r="E248" s="634"/>
      <c r="F248" s="634"/>
      <c r="G248" s="634"/>
      <c r="H248" s="635"/>
      <c r="I248" s="634"/>
      <c r="J248" s="636"/>
      <c r="K248" s="635"/>
      <c r="L248" s="635"/>
      <c r="M248" s="635"/>
      <c r="N248" s="635"/>
      <c r="O248" s="635"/>
      <c r="P248" s="635"/>
      <c r="Q248" s="635"/>
      <c r="R248" s="635"/>
      <c r="S248" s="634"/>
      <c r="T248" s="634"/>
      <c r="U248" s="634"/>
      <c r="V248" s="634"/>
      <c r="W248" s="634"/>
      <c r="X248" s="634"/>
      <c r="Y248" s="634"/>
      <c r="Z248" s="634"/>
      <c r="AA248" s="634"/>
    </row>
    <row r="249" ht="15.75" customHeight="1">
      <c r="A249" s="634"/>
      <c r="B249" s="634"/>
      <c r="C249" s="634"/>
      <c r="D249" s="634"/>
      <c r="E249" s="634"/>
      <c r="F249" s="634"/>
      <c r="G249" s="634"/>
      <c r="H249" s="635"/>
      <c r="I249" s="634"/>
      <c r="J249" s="636"/>
      <c r="K249" s="635"/>
      <c r="L249" s="635"/>
      <c r="M249" s="635"/>
      <c r="N249" s="635"/>
      <c r="O249" s="635"/>
      <c r="P249" s="635"/>
      <c r="Q249" s="635"/>
      <c r="R249" s="635"/>
      <c r="S249" s="634"/>
      <c r="T249" s="634"/>
      <c r="U249" s="634"/>
      <c r="V249" s="634"/>
      <c r="W249" s="634"/>
      <c r="X249" s="634"/>
      <c r="Y249" s="634"/>
      <c r="Z249" s="634"/>
      <c r="AA249" s="634"/>
    </row>
    <row r="250" ht="15.75" customHeight="1">
      <c r="A250" s="634"/>
      <c r="B250" s="634"/>
      <c r="C250" s="634"/>
      <c r="D250" s="634"/>
      <c r="E250" s="634"/>
      <c r="F250" s="634"/>
      <c r="G250" s="634"/>
      <c r="H250" s="635"/>
      <c r="I250" s="634"/>
      <c r="J250" s="636"/>
      <c r="K250" s="635"/>
      <c r="L250" s="635"/>
      <c r="M250" s="635"/>
      <c r="N250" s="635"/>
      <c r="O250" s="635"/>
      <c r="P250" s="635"/>
      <c r="Q250" s="635"/>
      <c r="R250" s="635"/>
      <c r="S250" s="634"/>
      <c r="T250" s="634"/>
      <c r="U250" s="634"/>
      <c r="V250" s="634"/>
      <c r="W250" s="634"/>
      <c r="X250" s="634"/>
      <c r="Y250" s="634"/>
      <c r="Z250" s="634"/>
      <c r="AA250" s="634"/>
    </row>
    <row r="251" ht="15.75" customHeight="1">
      <c r="A251" s="634"/>
      <c r="B251" s="634"/>
      <c r="C251" s="634"/>
      <c r="D251" s="634"/>
      <c r="E251" s="634"/>
      <c r="F251" s="634"/>
      <c r="G251" s="634"/>
      <c r="H251" s="635"/>
      <c r="I251" s="634"/>
      <c r="J251" s="636"/>
      <c r="K251" s="635"/>
      <c r="L251" s="635"/>
      <c r="M251" s="635"/>
      <c r="N251" s="635"/>
      <c r="O251" s="635"/>
      <c r="P251" s="635"/>
      <c r="Q251" s="635"/>
      <c r="R251" s="635"/>
      <c r="S251" s="634"/>
      <c r="T251" s="634"/>
      <c r="U251" s="634"/>
      <c r="V251" s="634"/>
      <c r="W251" s="634"/>
      <c r="X251" s="634"/>
      <c r="Y251" s="634"/>
      <c r="Z251" s="634"/>
      <c r="AA251" s="634"/>
    </row>
    <row r="252" ht="15.75" customHeight="1">
      <c r="A252" s="634"/>
      <c r="B252" s="634"/>
      <c r="C252" s="634"/>
      <c r="D252" s="634"/>
      <c r="E252" s="634"/>
      <c r="F252" s="634"/>
      <c r="G252" s="634"/>
      <c r="H252" s="635"/>
      <c r="I252" s="634"/>
      <c r="J252" s="636"/>
      <c r="K252" s="635"/>
      <c r="L252" s="635"/>
      <c r="M252" s="635"/>
      <c r="N252" s="635"/>
      <c r="O252" s="635"/>
      <c r="P252" s="635"/>
      <c r="Q252" s="635"/>
      <c r="R252" s="635"/>
      <c r="S252" s="634"/>
      <c r="T252" s="634"/>
      <c r="U252" s="634"/>
      <c r="V252" s="634"/>
      <c r="W252" s="634"/>
      <c r="X252" s="634"/>
      <c r="Y252" s="634"/>
      <c r="Z252" s="634"/>
      <c r="AA252" s="634"/>
    </row>
    <row r="253" ht="15.75" customHeight="1">
      <c r="A253" s="634"/>
      <c r="B253" s="634"/>
      <c r="C253" s="634"/>
      <c r="D253" s="634"/>
      <c r="E253" s="634"/>
      <c r="F253" s="634"/>
      <c r="G253" s="634"/>
      <c r="H253" s="635"/>
      <c r="I253" s="634"/>
      <c r="J253" s="636"/>
      <c r="K253" s="635"/>
      <c r="L253" s="635"/>
      <c r="M253" s="635"/>
      <c r="N253" s="635"/>
      <c r="O253" s="635"/>
      <c r="P253" s="635"/>
      <c r="Q253" s="635"/>
      <c r="R253" s="635"/>
      <c r="S253" s="634"/>
      <c r="T253" s="634"/>
      <c r="U253" s="634"/>
      <c r="V253" s="634"/>
      <c r="W253" s="634"/>
      <c r="X253" s="634"/>
      <c r="Y253" s="634"/>
      <c r="Z253" s="634"/>
      <c r="AA253" s="634"/>
    </row>
    <row r="254" ht="15.75" customHeight="1">
      <c r="A254" s="634"/>
      <c r="B254" s="634"/>
      <c r="C254" s="634"/>
      <c r="D254" s="634"/>
      <c r="E254" s="634"/>
      <c r="F254" s="634"/>
      <c r="G254" s="634"/>
      <c r="H254" s="635"/>
      <c r="I254" s="634"/>
      <c r="J254" s="636"/>
      <c r="K254" s="635"/>
      <c r="L254" s="635"/>
      <c r="M254" s="635"/>
      <c r="N254" s="635"/>
      <c r="O254" s="635"/>
      <c r="P254" s="635"/>
      <c r="Q254" s="635"/>
      <c r="R254" s="635"/>
      <c r="S254" s="634"/>
      <c r="T254" s="634"/>
      <c r="U254" s="634"/>
      <c r="V254" s="634"/>
      <c r="W254" s="634"/>
      <c r="X254" s="634"/>
      <c r="Y254" s="634"/>
      <c r="Z254" s="634"/>
      <c r="AA254" s="634"/>
    </row>
    <row r="255" ht="15.75" customHeight="1">
      <c r="A255" s="634"/>
      <c r="B255" s="634"/>
      <c r="C255" s="634"/>
      <c r="D255" s="634"/>
      <c r="E255" s="634"/>
      <c r="F255" s="634"/>
      <c r="G255" s="634"/>
      <c r="H255" s="635"/>
      <c r="I255" s="634"/>
      <c r="J255" s="636"/>
      <c r="K255" s="635"/>
      <c r="L255" s="635"/>
      <c r="M255" s="635"/>
      <c r="N255" s="635"/>
      <c r="O255" s="635"/>
      <c r="P255" s="635"/>
      <c r="Q255" s="635"/>
      <c r="R255" s="635"/>
      <c r="S255" s="634"/>
      <c r="T255" s="634"/>
      <c r="U255" s="634"/>
      <c r="V255" s="634"/>
      <c r="W255" s="634"/>
      <c r="X255" s="634"/>
      <c r="Y255" s="634"/>
      <c r="Z255" s="634"/>
      <c r="AA255" s="634"/>
    </row>
    <row r="256" ht="15.75" customHeight="1">
      <c r="A256" s="634"/>
      <c r="B256" s="634"/>
      <c r="C256" s="634"/>
      <c r="D256" s="634"/>
      <c r="E256" s="634"/>
      <c r="F256" s="634"/>
      <c r="G256" s="634"/>
      <c r="H256" s="635"/>
      <c r="I256" s="634"/>
      <c r="J256" s="636"/>
      <c r="K256" s="635"/>
      <c r="L256" s="635"/>
      <c r="M256" s="635"/>
      <c r="N256" s="635"/>
      <c r="O256" s="635"/>
      <c r="P256" s="635"/>
      <c r="Q256" s="635"/>
      <c r="R256" s="635"/>
      <c r="S256" s="634"/>
      <c r="T256" s="634"/>
      <c r="U256" s="634"/>
      <c r="V256" s="634"/>
      <c r="W256" s="634"/>
      <c r="X256" s="634"/>
      <c r="Y256" s="634"/>
      <c r="Z256" s="634"/>
      <c r="AA256" s="634"/>
    </row>
    <row r="257" ht="15.75" customHeight="1">
      <c r="A257" s="634"/>
      <c r="B257" s="634"/>
      <c r="C257" s="634"/>
      <c r="D257" s="634"/>
      <c r="E257" s="634"/>
      <c r="F257" s="634"/>
      <c r="G257" s="634"/>
      <c r="H257" s="635"/>
      <c r="I257" s="634"/>
      <c r="J257" s="636"/>
      <c r="K257" s="635"/>
      <c r="L257" s="635"/>
      <c r="M257" s="635"/>
      <c r="N257" s="635"/>
      <c r="O257" s="635"/>
      <c r="P257" s="635"/>
      <c r="Q257" s="635"/>
      <c r="R257" s="635"/>
      <c r="S257" s="634"/>
      <c r="T257" s="634"/>
      <c r="U257" s="634"/>
      <c r="V257" s="634"/>
      <c r="W257" s="634"/>
      <c r="X257" s="634"/>
      <c r="Y257" s="634"/>
      <c r="Z257" s="634"/>
      <c r="AA257" s="634"/>
    </row>
    <row r="258" ht="15.75" customHeight="1">
      <c r="A258" s="634"/>
      <c r="B258" s="634"/>
      <c r="C258" s="634"/>
      <c r="D258" s="634"/>
      <c r="E258" s="634"/>
      <c r="F258" s="634"/>
      <c r="G258" s="634"/>
      <c r="H258" s="635"/>
      <c r="I258" s="634"/>
      <c r="J258" s="636"/>
      <c r="K258" s="635"/>
      <c r="L258" s="635"/>
      <c r="M258" s="635"/>
      <c r="N258" s="635"/>
      <c r="O258" s="635"/>
      <c r="P258" s="635"/>
      <c r="Q258" s="635"/>
      <c r="R258" s="635"/>
      <c r="S258" s="634"/>
      <c r="T258" s="634"/>
      <c r="U258" s="634"/>
      <c r="V258" s="634"/>
      <c r="W258" s="634"/>
      <c r="X258" s="634"/>
      <c r="Y258" s="634"/>
      <c r="Z258" s="634"/>
      <c r="AA258" s="634"/>
    </row>
    <row r="259" ht="15.75" customHeight="1">
      <c r="A259" s="634"/>
      <c r="B259" s="634"/>
      <c r="C259" s="634"/>
      <c r="D259" s="634"/>
      <c r="E259" s="634"/>
      <c r="F259" s="634"/>
      <c r="G259" s="634"/>
      <c r="H259" s="635"/>
      <c r="I259" s="634"/>
      <c r="J259" s="636"/>
      <c r="K259" s="635"/>
      <c r="L259" s="635"/>
      <c r="M259" s="635"/>
      <c r="N259" s="635"/>
      <c r="O259" s="635"/>
      <c r="P259" s="635"/>
      <c r="Q259" s="635"/>
      <c r="R259" s="635"/>
      <c r="S259" s="634"/>
      <c r="T259" s="634"/>
      <c r="U259" s="634"/>
      <c r="V259" s="634"/>
      <c r="W259" s="634"/>
      <c r="X259" s="634"/>
      <c r="Y259" s="634"/>
      <c r="Z259" s="634"/>
      <c r="AA259" s="634"/>
    </row>
    <row r="260" ht="15.75" customHeight="1">
      <c r="A260" s="634"/>
      <c r="B260" s="634"/>
      <c r="C260" s="634"/>
      <c r="D260" s="634"/>
      <c r="E260" s="634"/>
      <c r="F260" s="634"/>
      <c r="G260" s="634"/>
      <c r="H260" s="635"/>
      <c r="I260" s="634"/>
      <c r="J260" s="636"/>
      <c r="K260" s="635"/>
      <c r="L260" s="635"/>
      <c r="M260" s="635"/>
      <c r="N260" s="635"/>
      <c r="O260" s="635"/>
      <c r="P260" s="635"/>
      <c r="Q260" s="635"/>
      <c r="R260" s="635"/>
      <c r="S260" s="634"/>
      <c r="T260" s="634"/>
      <c r="U260" s="634"/>
      <c r="V260" s="634"/>
      <c r="W260" s="634"/>
      <c r="X260" s="634"/>
      <c r="Y260" s="634"/>
      <c r="Z260" s="634"/>
      <c r="AA260" s="634"/>
    </row>
    <row r="261" ht="15.75" customHeight="1">
      <c r="A261" s="634"/>
      <c r="B261" s="634"/>
      <c r="C261" s="634"/>
      <c r="D261" s="634"/>
      <c r="E261" s="634"/>
      <c r="F261" s="634"/>
      <c r="G261" s="634"/>
      <c r="H261" s="635"/>
      <c r="I261" s="634"/>
      <c r="J261" s="636"/>
      <c r="K261" s="635"/>
      <c r="L261" s="635"/>
      <c r="M261" s="635"/>
      <c r="N261" s="635"/>
      <c r="O261" s="635"/>
      <c r="P261" s="635"/>
      <c r="Q261" s="635"/>
      <c r="R261" s="635"/>
      <c r="S261" s="634"/>
      <c r="T261" s="634"/>
      <c r="U261" s="634"/>
      <c r="V261" s="634"/>
      <c r="W261" s="634"/>
      <c r="X261" s="634"/>
      <c r="Y261" s="634"/>
      <c r="Z261" s="634"/>
      <c r="AA261" s="634"/>
    </row>
    <row r="262" ht="15.75" customHeight="1">
      <c r="A262" s="634"/>
      <c r="B262" s="634"/>
      <c r="C262" s="634"/>
      <c r="D262" s="634"/>
      <c r="E262" s="634"/>
      <c r="F262" s="634"/>
      <c r="G262" s="634"/>
      <c r="H262" s="635"/>
      <c r="I262" s="634"/>
      <c r="J262" s="636"/>
      <c r="K262" s="635"/>
      <c r="L262" s="635"/>
      <c r="M262" s="635"/>
      <c r="N262" s="635"/>
      <c r="O262" s="635"/>
      <c r="P262" s="635"/>
      <c r="Q262" s="635"/>
      <c r="R262" s="635"/>
      <c r="S262" s="634"/>
      <c r="T262" s="634"/>
      <c r="U262" s="634"/>
      <c r="V262" s="634"/>
      <c r="W262" s="634"/>
      <c r="X262" s="634"/>
      <c r="Y262" s="634"/>
      <c r="Z262" s="634"/>
      <c r="AA262" s="634"/>
    </row>
    <row r="263" ht="15.75" customHeight="1">
      <c r="A263" s="634"/>
      <c r="B263" s="634"/>
      <c r="C263" s="634"/>
      <c r="D263" s="634"/>
      <c r="E263" s="634"/>
      <c r="F263" s="634"/>
      <c r="G263" s="634"/>
      <c r="H263" s="635"/>
      <c r="I263" s="634"/>
      <c r="J263" s="636"/>
      <c r="K263" s="635"/>
      <c r="L263" s="635"/>
      <c r="M263" s="635"/>
      <c r="N263" s="635"/>
      <c r="O263" s="635"/>
      <c r="P263" s="635"/>
      <c r="Q263" s="635"/>
      <c r="R263" s="635"/>
      <c r="S263" s="634"/>
      <c r="T263" s="634"/>
      <c r="U263" s="634"/>
      <c r="V263" s="634"/>
      <c r="W263" s="634"/>
      <c r="X263" s="634"/>
      <c r="Y263" s="634"/>
      <c r="Z263" s="634"/>
      <c r="AA263" s="634"/>
    </row>
    <row r="264" ht="15.75" customHeight="1">
      <c r="A264" s="634"/>
      <c r="B264" s="634"/>
      <c r="C264" s="634"/>
      <c r="D264" s="634"/>
      <c r="E264" s="634"/>
      <c r="F264" s="634"/>
      <c r="G264" s="634"/>
      <c r="H264" s="635"/>
      <c r="I264" s="634"/>
      <c r="J264" s="636"/>
      <c r="K264" s="635"/>
      <c r="L264" s="635"/>
      <c r="M264" s="635"/>
      <c r="N264" s="635"/>
      <c r="O264" s="635"/>
      <c r="P264" s="635"/>
      <c r="Q264" s="635"/>
      <c r="R264" s="635"/>
      <c r="S264" s="634"/>
      <c r="T264" s="634"/>
      <c r="U264" s="634"/>
      <c r="V264" s="634"/>
      <c r="W264" s="634"/>
      <c r="X264" s="634"/>
      <c r="Y264" s="634"/>
      <c r="Z264" s="634"/>
      <c r="AA264" s="634"/>
    </row>
    <row r="265" ht="15.75" customHeight="1">
      <c r="A265" s="634"/>
      <c r="B265" s="634"/>
      <c r="C265" s="634"/>
      <c r="D265" s="634"/>
      <c r="E265" s="634"/>
      <c r="F265" s="634"/>
      <c r="G265" s="634"/>
      <c r="H265" s="635"/>
      <c r="I265" s="634"/>
      <c r="J265" s="636"/>
      <c r="K265" s="635"/>
      <c r="L265" s="635"/>
      <c r="M265" s="635"/>
      <c r="N265" s="635"/>
      <c r="O265" s="635"/>
      <c r="P265" s="635"/>
      <c r="Q265" s="635"/>
      <c r="R265" s="635"/>
      <c r="S265" s="634"/>
      <c r="T265" s="634"/>
      <c r="U265" s="634"/>
      <c r="V265" s="634"/>
      <c r="W265" s="634"/>
      <c r="X265" s="634"/>
      <c r="Y265" s="634"/>
      <c r="Z265" s="634"/>
      <c r="AA265" s="634"/>
    </row>
    <row r="266" ht="15.75" customHeight="1">
      <c r="A266" s="634"/>
      <c r="B266" s="634"/>
      <c r="C266" s="634"/>
      <c r="D266" s="634"/>
      <c r="E266" s="634"/>
      <c r="F266" s="634"/>
      <c r="G266" s="634"/>
      <c r="H266" s="635"/>
      <c r="I266" s="634"/>
      <c r="J266" s="636"/>
      <c r="K266" s="635"/>
      <c r="L266" s="635"/>
      <c r="M266" s="635"/>
      <c r="N266" s="635"/>
      <c r="O266" s="635"/>
      <c r="P266" s="635"/>
      <c r="Q266" s="635"/>
      <c r="R266" s="635"/>
      <c r="S266" s="634"/>
      <c r="T266" s="634"/>
      <c r="U266" s="634"/>
      <c r="V266" s="634"/>
      <c r="W266" s="634"/>
      <c r="X266" s="634"/>
      <c r="Y266" s="634"/>
      <c r="Z266" s="634"/>
      <c r="AA266" s="634"/>
    </row>
    <row r="267" ht="15.75" customHeight="1">
      <c r="A267" s="634"/>
      <c r="B267" s="634"/>
      <c r="C267" s="634"/>
      <c r="D267" s="634"/>
      <c r="E267" s="634"/>
      <c r="F267" s="634"/>
      <c r="G267" s="634"/>
      <c r="H267" s="635"/>
      <c r="I267" s="634"/>
      <c r="J267" s="636"/>
      <c r="K267" s="635"/>
      <c r="L267" s="635"/>
      <c r="M267" s="635"/>
      <c r="N267" s="635"/>
      <c r="O267" s="635"/>
      <c r="P267" s="635"/>
      <c r="Q267" s="635"/>
      <c r="R267" s="635"/>
      <c r="S267" s="634"/>
      <c r="T267" s="634"/>
      <c r="U267" s="634"/>
      <c r="V267" s="634"/>
      <c r="W267" s="634"/>
      <c r="X267" s="634"/>
      <c r="Y267" s="634"/>
      <c r="Z267" s="634"/>
      <c r="AA267" s="634"/>
    </row>
    <row r="268" ht="15.75" customHeight="1">
      <c r="A268" s="634"/>
      <c r="B268" s="634"/>
      <c r="C268" s="634"/>
      <c r="D268" s="634"/>
      <c r="E268" s="634"/>
      <c r="F268" s="634"/>
      <c r="G268" s="634"/>
      <c r="H268" s="635"/>
      <c r="I268" s="634"/>
      <c r="J268" s="636"/>
      <c r="K268" s="635"/>
      <c r="L268" s="635"/>
      <c r="M268" s="635"/>
      <c r="N268" s="635"/>
      <c r="O268" s="635"/>
      <c r="P268" s="635"/>
      <c r="Q268" s="635"/>
      <c r="R268" s="635"/>
      <c r="S268" s="634"/>
      <c r="T268" s="634"/>
      <c r="U268" s="634"/>
      <c r="V268" s="634"/>
      <c r="W268" s="634"/>
      <c r="X268" s="634"/>
      <c r="Y268" s="634"/>
      <c r="Z268" s="634"/>
      <c r="AA268" s="634"/>
    </row>
    <row r="269" ht="15.75" customHeight="1">
      <c r="A269" s="634"/>
      <c r="B269" s="634"/>
      <c r="C269" s="634"/>
      <c r="D269" s="634"/>
      <c r="E269" s="634"/>
      <c r="F269" s="634"/>
      <c r="G269" s="634"/>
      <c r="H269" s="635"/>
      <c r="I269" s="634"/>
      <c r="J269" s="636"/>
      <c r="K269" s="635"/>
      <c r="L269" s="635"/>
      <c r="M269" s="635"/>
      <c r="N269" s="635"/>
      <c r="O269" s="635"/>
      <c r="P269" s="635"/>
      <c r="Q269" s="635"/>
      <c r="R269" s="635"/>
      <c r="S269" s="634"/>
      <c r="T269" s="634"/>
      <c r="U269" s="634"/>
      <c r="V269" s="634"/>
      <c r="W269" s="634"/>
      <c r="X269" s="634"/>
      <c r="Y269" s="634"/>
      <c r="Z269" s="634"/>
      <c r="AA269" s="634"/>
    </row>
    <row r="270" ht="15.75" customHeight="1">
      <c r="A270" s="634"/>
      <c r="B270" s="634"/>
      <c r="C270" s="634"/>
      <c r="D270" s="634"/>
      <c r="E270" s="634"/>
      <c r="F270" s="634"/>
      <c r="G270" s="634"/>
      <c r="H270" s="635"/>
      <c r="I270" s="634"/>
      <c r="J270" s="636"/>
      <c r="K270" s="635"/>
      <c r="L270" s="635"/>
      <c r="M270" s="635"/>
      <c r="N270" s="635"/>
      <c r="O270" s="635"/>
      <c r="P270" s="635"/>
      <c r="Q270" s="635"/>
      <c r="R270" s="635"/>
      <c r="S270" s="634"/>
      <c r="T270" s="634"/>
      <c r="U270" s="634"/>
      <c r="V270" s="634"/>
      <c r="W270" s="634"/>
      <c r="X270" s="634"/>
      <c r="Y270" s="634"/>
      <c r="Z270" s="634"/>
      <c r="AA270" s="634"/>
    </row>
    <row r="271" ht="15.75" customHeight="1">
      <c r="A271" s="634"/>
      <c r="B271" s="634"/>
      <c r="C271" s="634"/>
      <c r="D271" s="634"/>
      <c r="E271" s="634"/>
      <c r="F271" s="634"/>
      <c r="G271" s="634"/>
      <c r="H271" s="635"/>
      <c r="I271" s="634"/>
      <c r="J271" s="636"/>
      <c r="K271" s="635"/>
      <c r="L271" s="635"/>
      <c r="M271" s="635"/>
      <c r="N271" s="635"/>
      <c r="O271" s="635"/>
      <c r="P271" s="635"/>
      <c r="Q271" s="635"/>
      <c r="R271" s="635"/>
      <c r="S271" s="634"/>
      <c r="T271" s="634"/>
      <c r="U271" s="634"/>
      <c r="V271" s="634"/>
      <c r="W271" s="634"/>
      <c r="X271" s="634"/>
      <c r="Y271" s="634"/>
      <c r="Z271" s="634"/>
      <c r="AA271" s="634"/>
    </row>
    <row r="272" ht="15.75" customHeight="1">
      <c r="A272" s="634"/>
      <c r="B272" s="634"/>
      <c r="C272" s="634"/>
      <c r="D272" s="634"/>
      <c r="E272" s="634"/>
      <c r="F272" s="634"/>
      <c r="G272" s="634"/>
      <c r="H272" s="635"/>
      <c r="I272" s="634"/>
      <c r="J272" s="636"/>
      <c r="K272" s="635"/>
      <c r="L272" s="635"/>
      <c r="M272" s="635"/>
      <c r="N272" s="635"/>
      <c r="O272" s="635"/>
      <c r="P272" s="635"/>
      <c r="Q272" s="635"/>
      <c r="R272" s="635"/>
      <c r="S272" s="634"/>
      <c r="T272" s="634"/>
      <c r="U272" s="634"/>
      <c r="V272" s="634"/>
      <c r="W272" s="634"/>
      <c r="X272" s="634"/>
      <c r="Y272" s="634"/>
      <c r="Z272" s="634"/>
      <c r="AA272" s="634"/>
    </row>
    <row r="273" ht="15.75" customHeight="1">
      <c r="A273" s="634"/>
      <c r="B273" s="634"/>
      <c r="C273" s="634"/>
      <c r="D273" s="634"/>
      <c r="E273" s="634"/>
      <c r="F273" s="634"/>
      <c r="G273" s="634"/>
      <c r="H273" s="635"/>
      <c r="I273" s="634"/>
      <c r="J273" s="636"/>
      <c r="K273" s="635"/>
      <c r="L273" s="635"/>
      <c r="M273" s="635"/>
      <c r="N273" s="635"/>
      <c r="O273" s="635"/>
      <c r="P273" s="635"/>
      <c r="Q273" s="635"/>
      <c r="R273" s="635"/>
      <c r="S273" s="634"/>
      <c r="T273" s="634"/>
      <c r="U273" s="634"/>
      <c r="V273" s="634"/>
      <c r="W273" s="634"/>
      <c r="X273" s="634"/>
      <c r="Y273" s="634"/>
      <c r="Z273" s="634"/>
      <c r="AA273" s="634"/>
    </row>
    <row r="274" ht="15.75" customHeight="1">
      <c r="A274" s="634"/>
      <c r="B274" s="634"/>
      <c r="C274" s="634"/>
      <c r="D274" s="634"/>
      <c r="E274" s="634"/>
      <c r="F274" s="634"/>
      <c r="G274" s="634"/>
      <c r="H274" s="635"/>
      <c r="I274" s="634"/>
      <c r="J274" s="636"/>
      <c r="K274" s="635"/>
      <c r="L274" s="635"/>
      <c r="M274" s="635"/>
      <c r="N274" s="635"/>
      <c r="O274" s="635"/>
      <c r="P274" s="635"/>
      <c r="Q274" s="635"/>
      <c r="R274" s="635"/>
      <c r="S274" s="634"/>
      <c r="T274" s="634"/>
      <c r="U274" s="634"/>
      <c r="V274" s="634"/>
      <c r="W274" s="634"/>
      <c r="X274" s="634"/>
      <c r="Y274" s="634"/>
      <c r="Z274" s="634"/>
      <c r="AA274" s="634"/>
    </row>
    <row r="275" ht="15.75" customHeight="1">
      <c r="A275" s="634"/>
      <c r="B275" s="634"/>
      <c r="C275" s="634"/>
      <c r="D275" s="634"/>
      <c r="E275" s="634"/>
      <c r="F275" s="634"/>
      <c r="G275" s="634"/>
      <c r="H275" s="635"/>
      <c r="I275" s="634"/>
      <c r="J275" s="636"/>
      <c r="K275" s="635"/>
      <c r="L275" s="635"/>
      <c r="M275" s="635"/>
      <c r="N275" s="635"/>
      <c r="O275" s="635"/>
      <c r="P275" s="635"/>
      <c r="Q275" s="635"/>
      <c r="R275" s="635"/>
      <c r="S275" s="634"/>
      <c r="T275" s="634"/>
      <c r="U275" s="634"/>
      <c r="V275" s="634"/>
      <c r="W275" s="634"/>
      <c r="X275" s="634"/>
      <c r="Y275" s="634"/>
      <c r="Z275" s="634"/>
      <c r="AA275" s="634"/>
    </row>
    <row r="276" ht="15.75" customHeight="1">
      <c r="A276" s="634"/>
      <c r="B276" s="634"/>
      <c r="C276" s="634"/>
      <c r="D276" s="634"/>
      <c r="E276" s="634"/>
      <c r="F276" s="634"/>
      <c r="G276" s="634"/>
      <c r="H276" s="635"/>
      <c r="I276" s="634"/>
      <c r="J276" s="636"/>
      <c r="K276" s="635"/>
      <c r="L276" s="635"/>
      <c r="M276" s="635"/>
      <c r="N276" s="635"/>
      <c r="O276" s="635"/>
      <c r="P276" s="635"/>
      <c r="Q276" s="635"/>
      <c r="R276" s="635"/>
      <c r="S276" s="634"/>
      <c r="T276" s="634"/>
      <c r="U276" s="634"/>
      <c r="V276" s="634"/>
      <c r="W276" s="634"/>
      <c r="X276" s="634"/>
      <c r="Y276" s="634"/>
      <c r="Z276" s="634"/>
      <c r="AA276" s="634"/>
    </row>
    <row r="277" ht="15.75" customHeight="1">
      <c r="A277" s="634"/>
      <c r="B277" s="634"/>
      <c r="C277" s="634"/>
      <c r="D277" s="634"/>
      <c r="E277" s="634"/>
      <c r="F277" s="634"/>
      <c r="G277" s="634"/>
      <c r="H277" s="635"/>
      <c r="I277" s="634"/>
      <c r="J277" s="636"/>
      <c r="K277" s="635"/>
      <c r="L277" s="635"/>
      <c r="M277" s="635"/>
      <c r="N277" s="635"/>
      <c r="O277" s="635"/>
      <c r="P277" s="635"/>
      <c r="Q277" s="635"/>
      <c r="R277" s="635"/>
      <c r="S277" s="634"/>
      <c r="T277" s="634"/>
      <c r="U277" s="634"/>
      <c r="V277" s="634"/>
      <c r="W277" s="634"/>
      <c r="X277" s="634"/>
      <c r="Y277" s="634"/>
      <c r="Z277" s="634"/>
      <c r="AA277" s="634"/>
    </row>
    <row r="278" ht="15.75" customHeight="1">
      <c r="A278" s="634"/>
      <c r="B278" s="634"/>
      <c r="C278" s="634"/>
      <c r="D278" s="634"/>
      <c r="E278" s="634"/>
      <c r="F278" s="634"/>
      <c r="G278" s="634"/>
      <c r="H278" s="635"/>
      <c r="I278" s="634"/>
      <c r="J278" s="636"/>
      <c r="K278" s="635"/>
      <c r="L278" s="635"/>
      <c r="M278" s="635"/>
      <c r="N278" s="635"/>
      <c r="O278" s="635"/>
      <c r="P278" s="635"/>
      <c r="Q278" s="635"/>
      <c r="R278" s="635"/>
      <c r="S278" s="634"/>
      <c r="T278" s="634"/>
      <c r="U278" s="634"/>
      <c r="V278" s="634"/>
      <c r="W278" s="634"/>
      <c r="X278" s="634"/>
      <c r="Y278" s="634"/>
      <c r="Z278" s="634"/>
      <c r="AA278" s="634"/>
    </row>
    <row r="279" ht="15.75" customHeight="1">
      <c r="A279" s="634"/>
      <c r="B279" s="634"/>
      <c r="C279" s="634"/>
      <c r="D279" s="634"/>
      <c r="E279" s="634"/>
      <c r="F279" s="634"/>
      <c r="G279" s="634"/>
      <c r="H279" s="635"/>
      <c r="I279" s="634"/>
      <c r="J279" s="636"/>
      <c r="K279" s="635"/>
      <c r="L279" s="635"/>
      <c r="M279" s="635"/>
      <c r="N279" s="635"/>
      <c r="O279" s="635"/>
      <c r="P279" s="635"/>
      <c r="Q279" s="635"/>
      <c r="R279" s="635"/>
      <c r="S279" s="634"/>
      <c r="T279" s="634"/>
      <c r="U279" s="634"/>
      <c r="V279" s="634"/>
      <c r="W279" s="634"/>
      <c r="X279" s="634"/>
      <c r="Y279" s="634"/>
      <c r="Z279" s="634"/>
      <c r="AA279" s="634"/>
    </row>
    <row r="280" ht="15.75" customHeight="1">
      <c r="A280" s="634"/>
      <c r="B280" s="634"/>
      <c r="C280" s="634"/>
      <c r="D280" s="634"/>
      <c r="E280" s="634"/>
      <c r="F280" s="634"/>
      <c r="G280" s="634"/>
      <c r="H280" s="635"/>
      <c r="I280" s="634"/>
      <c r="J280" s="636"/>
      <c r="K280" s="635"/>
      <c r="L280" s="635"/>
      <c r="M280" s="635"/>
      <c r="N280" s="635"/>
      <c r="O280" s="635"/>
      <c r="P280" s="635"/>
      <c r="Q280" s="635"/>
      <c r="R280" s="635"/>
      <c r="S280" s="634"/>
      <c r="T280" s="634"/>
      <c r="U280" s="634"/>
      <c r="V280" s="634"/>
      <c r="W280" s="634"/>
      <c r="X280" s="634"/>
      <c r="Y280" s="634"/>
      <c r="Z280" s="634"/>
      <c r="AA280" s="634"/>
    </row>
    <row r="281" ht="15.75" customHeight="1">
      <c r="A281" s="634"/>
      <c r="B281" s="634"/>
      <c r="C281" s="634"/>
      <c r="D281" s="634"/>
      <c r="E281" s="634"/>
      <c r="F281" s="634"/>
      <c r="G281" s="634"/>
      <c r="H281" s="635"/>
      <c r="I281" s="634"/>
      <c r="J281" s="636"/>
      <c r="K281" s="635"/>
      <c r="L281" s="635"/>
      <c r="M281" s="635"/>
      <c r="N281" s="635"/>
      <c r="O281" s="635"/>
      <c r="P281" s="635"/>
      <c r="Q281" s="635"/>
      <c r="R281" s="635"/>
      <c r="S281" s="634"/>
      <c r="T281" s="634"/>
      <c r="U281" s="634"/>
      <c r="V281" s="634"/>
      <c r="W281" s="634"/>
      <c r="X281" s="634"/>
      <c r="Y281" s="634"/>
      <c r="Z281" s="634"/>
      <c r="AA281" s="634"/>
    </row>
    <row r="282" ht="15.75" customHeight="1">
      <c r="A282" s="634"/>
      <c r="B282" s="634"/>
      <c r="C282" s="634"/>
      <c r="D282" s="634"/>
      <c r="E282" s="634"/>
      <c r="F282" s="634"/>
      <c r="G282" s="634"/>
      <c r="H282" s="635"/>
      <c r="I282" s="634"/>
      <c r="J282" s="636"/>
      <c r="K282" s="635"/>
      <c r="L282" s="635"/>
      <c r="M282" s="635"/>
      <c r="N282" s="635"/>
      <c r="O282" s="635"/>
      <c r="P282" s="635"/>
      <c r="Q282" s="635"/>
      <c r="R282" s="635"/>
      <c r="S282" s="634"/>
      <c r="T282" s="634"/>
      <c r="U282" s="634"/>
      <c r="V282" s="634"/>
      <c r="W282" s="634"/>
      <c r="X282" s="634"/>
      <c r="Y282" s="634"/>
      <c r="Z282" s="634"/>
      <c r="AA282" s="634"/>
    </row>
    <row r="283" ht="15.75" customHeight="1">
      <c r="A283" s="634"/>
      <c r="B283" s="634"/>
      <c r="C283" s="634"/>
      <c r="D283" s="634"/>
      <c r="E283" s="634"/>
      <c r="F283" s="634"/>
      <c r="G283" s="634"/>
      <c r="H283" s="635"/>
      <c r="I283" s="634"/>
      <c r="J283" s="636"/>
      <c r="K283" s="635"/>
      <c r="L283" s="635"/>
      <c r="M283" s="635"/>
      <c r="N283" s="635"/>
      <c r="O283" s="635"/>
      <c r="P283" s="635"/>
      <c r="Q283" s="635"/>
      <c r="R283" s="635"/>
      <c r="S283" s="634"/>
      <c r="T283" s="634"/>
      <c r="U283" s="634"/>
      <c r="V283" s="634"/>
      <c r="W283" s="634"/>
      <c r="X283" s="634"/>
      <c r="Y283" s="634"/>
      <c r="Z283" s="634"/>
      <c r="AA283" s="634"/>
    </row>
    <row r="284" ht="15.75" customHeight="1">
      <c r="A284" s="634"/>
      <c r="B284" s="634"/>
      <c r="C284" s="634"/>
      <c r="D284" s="634"/>
      <c r="E284" s="634"/>
      <c r="F284" s="634"/>
      <c r="G284" s="634"/>
      <c r="H284" s="635"/>
      <c r="I284" s="634"/>
      <c r="J284" s="636"/>
      <c r="K284" s="635"/>
      <c r="L284" s="635"/>
      <c r="M284" s="635"/>
      <c r="N284" s="635"/>
      <c r="O284" s="635"/>
      <c r="P284" s="635"/>
      <c r="Q284" s="635"/>
      <c r="R284" s="635"/>
      <c r="S284" s="634"/>
      <c r="T284" s="634"/>
      <c r="U284" s="634"/>
      <c r="V284" s="634"/>
      <c r="W284" s="634"/>
      <c r="X284" s="634"/>
      <c r="Y284" s="634"/>
      <c r="Z284" s="634"/>
      <c r="AA284" s="634"/>
    </row>
    <row r="285" ht="15.75" customHeight="1">
      <c r="A285" s="634"/>
      <c r="B285" s="634"/>
      <c r="C285" s="634"/>
      <c r="D285" s="634"/>
      <c r="E285" s="634"/>
      <c r="F285" s="634"/>
      <c r="G285" s="634"/>
      <c r="H285" s="635"/>
      <c r="I285" s="634"/>
      <c r="J285" s="636"/>
      <c r="K285" s="635"/>
      <c r="L285" s="635"/>
      <c r="M285" s="635"/>
      <c r="N285" s="635"/>
      <c r="O285" s="635"/>
      <c r="P285" s="635"/>
      <c r="Q285" s="635"/>
      <c r="R285" s="635"/>
      <c r="S285" s="634"/>
      <c r="T285" s="634"/>
      <c r="U285" s="634"/>
      <c r="V285" s="634"/>
      <c r="W285" s="634"/>
      <c r="X285" s="634"/>
      <c r="Y285" s="634"/>
      <c r="Z285" s="634"/>
      <c r="AA285" s="634"/>
    </row>
    <row r="286" ht="15.75" customHeight="1">
      <c r="A286" s="634"/>
      <c r="B286" s="634"/>
      <c r="C286" s="634"/>
      <c r="D286" s="634"/>
      <c r="E286" s="634"/>
      <c r="F286" s="634"/>
      <c r="G286" s="634"/>
      <c r="H286" s="635"/>
      <c r="I286" s="634"/>
      <c r="J286" s="636"/>
      <c r="K286" s="635"/>
      <c r="L286" s="635"/>
      <c r="M286" s="635"/>
      <c r="N286" s="635"/>
      <c r="O286" s="635"/>
      <c r="P286" s="635"/>
      <c r="Q286" s="635"/>
      <c r="R286" s="635"/>
      <c r="S286" s="634"/>
      <c r="T286" s="634"/>
      <c r="U286" s="634"/>
      <c r="V286" s="634"/>
      <c r="W286" s="634"/>
      <c r="X286" s="634"/>
      <c r="Y286" s="634"/>
      <c r="Z286" s="634"/>
      <c r="AA286" s="634"/>
    </row>
    <row r="287" ht="15.75" customHeight="1">
      <c r="A287" s="634"/>
      <c r="B287" s="634"/>
      <c r="C287" s="634"/>
      <c r="D287" s="634"/>
      <c r="E287" s="634"/>
      <c r="F287" s="634"/>
      <c r="G287" s="634"/>
      <c r="H287" s="635"/>
      <c r="I287" s="634"/>
      <c r="J287" s="636"/>
      <c r="K287" s="635"/>
      <c r="L287" s="635"/>
      <c r="M287" s="635"/>
      <c r="N287" s="635"/>
      <c r="O287" s="635"/>
      <c r="P287" s="635"/>
      <c r="Q287" s="635"/>
      <c r="R287" s="635"/>
      <c r="S287" s="634"/>
      <c r="T287" s="634"/>
      <c r="U287" s="634"/>
      <c r="V287" s="634"/>
      <c r="W287" s="634"/>
      <c r="X287" s="634"/>
      <c r="Y287" s="634"/>
      <c r="Z287" s="634"/>
      <c r="AA287" s="634"/>
    </row>
    <row r="288" ht="15.75" customHeight="1">
      <c r="A288" s="634"/>
      <c r="B288" s="634"/>
      <c r="C288" s="634"/>
      <c r="D288" s="634"/>
      <c r="E288" s="634"/>
      <c r="F288" s="634"/>
      <c r="G288" s="634"/>
      <c r="H288" s="635"/>
      <c r="I288" s="634"/>
      <c r="J288" s="636"/>
      <c r="K288" s="635"/>
      <c r="L288" s="635"/>
      <c r="M288" s="635"/>
      <c r="N288" s="635"/>
      <c r="O288" s="635"/>
      <c r="P288" s="635"/>
      <c r="Q288" s="635"/>
      <c r="R288" s="635"/>
      <c r="S288" s="634"/>
      <c r="T288" s="634"/>
      <c r="U288" s="634"/>
      <c r="V288" s="634"/>
      <c r="W288" s="634"/>
      <c r="X288" s="634"/>
      <c r="Y288" s="634"/>
      <c r="Z288" s="634"/>
      <c r="AA288" s="634"/>
    </row>
    <row r="289" ht="15.75" customHeight="1">
      <c r="A289" s="634"/>
      <c r="B289" s="634"/>
      <c r="C289" s="634"/>
      <c r="D289" s="634"/>
      <c r="E289" s="634"/>
      <c r="F289" s="634"/>
      <c r="G289" s="634"/>
      <c r="H289" s="635"/>
      <c r="I289" s="634"/>
      <c r="J289" s="636"/>
      <c r="K289" s="635"/>
      <c r="L289" s="635"/>
      <c r="M289" s="635"/>
      <c r="N289" s="635"/>
      <c r="O289" s="635"/>
      <c r="P289" s="635"/>
      <c r="Q289" s="635"/>
      <c r="R289" s="635"/>
      <c r="S289" s="634"/>
      <c r="T289" s="634"/>
      <c r="U289" s="634"/>
      <c r="V289" s="634"/>
      <c r="W289" s="634"/>
      <c r="X289" s="634"/>
      <c r="Y289" s="634"/>
      <c r="Z289" s="634"/>
      <c r="AA289" s="634"/>
    </row>
    <row r="290" ht="15.75" customHeight="1">
      <c r="A290" s="634"/>
      <c r="B290" s="634"/>
      <c r="C290" s="634"/>
      <c r="D290" s="634"/>
      <c r="E290" s="634"/>
      <c r="F290" s="634"/>
      <c r="G290" s="634"/>
      <c r="H290" s="635"/>
      <c r="I290" s="634"/>
      <c r="J290" s="636"/>
      <c r="K290" s="635"/>
      <c r="L290" s="635"/>
      <c r="M290" s="635"/>
      <c r="N290" s="635"/>
      <c r="O290" s="635"/>
      <c r="P290" s="635"/>
      <c r="Q290" s="635"/>
      <c r="R290" s="635"/>
      <c r="S290" s="634"/>
      <c r="T290" s="634"/>
      <c r="U290" s="634"/>
      <c r="V290" s="634"/>
      <c r="W290" s="634"/>
      <c r="X290" s="634"/>
      <c r="Y290" s="634"/>
      <c r="Z290" s="634"/>
      <c r="AA290" s="634"/>
    </row>
    <row r="291" ht="15.75" customHeight="1">
      <c r="A291" s="634"/>
      <c r="B291" s="634"/>
      <c r="C291" s="634"/>
      <c r="D291" s="634"/>
      <c r="E291" s="634"/>
      <c r="F291" s="634"/>
      <c r="G291" s="634"/>
      <c r="H291" s="635"/>
      <c r="I291" s="634"/>
      <c r="J291" s="636"/>
      <c r="K291" s="635"/>
      <c r="L291" s="635"/>
      <c r="M291" s="635"/>
      <c r="N291" s="635"/>
      <c r="O291" s="635"/>
      <c r="P291" s="635"/>
      <c r="Q291" s="635"/>
      <c r="R291" s="635"/>
      <c r="S291" s="634"/>
      <c r="T291" s="634"/>
      <c r="U291" s="634"/>
      <c r="V291" s="634"/>
      <c r="W291" s="634"/>
      <c r="X291" s="634"/>
      <c r="Y291" s="634"/>
      <c r="Z291" s="634"/>
      <c r="AA291" s="634"/>
    </row>
    <row r="292" ht="15.75" customHeight="1">
      <c r="A292" s="634"/>
      <c r="B292" s="634"/>
      <c r="C292" s="634"/>
      <c r="D292" s="634"/>
      <c r="E292" s="634"/>
      <c r="F292" s="634"/>
      <c r="G292" s="634"/>
      <c r="H292" s="635"/>
      <c r="I292" s="634"/>
      <c r="J292" s="636"/>
      <c r="K292" s="635"/>
      <c r="L292" s="635"/>
      <c r="M292" s="635"/>
      <c r="N292" s="635"/>
      <c r="O292" s="635"/>
      <c r="P292" s="635"/>
      <c r="Q292" s="635"/>
      <c r="R292" s="635"/>
      <c r="S292" s="634"/>
      <c r="T292" s="634"/>
      <c r="U292" s="634"/>
      <c r="V292" s="634"/>
      <c r="W292" s="634"/>
      <c r="X292" s="634"/>
      <c r="Y292" s="634"/>
      <c r="Z292" s="634"/>
      <c r="AA292" s="634"/>
    </row>
    <row r="293" ht="15.75" customHeight="1">
      <c r="A293" s="634"/>
      <c r="B293" s="634"/>
      <c r="C293" s="634"/>
      <c r="D293" s="634"/>
      <c r="E293" s="634"/>
      <c r="F293" s="634"/>
      <c r="G293" s="634"/>
      <c r="H293" s="635"/>
      <c r="I293" s="634"/>
      <c r="J293" s="636"/>
      <c r="K293" s="635"/>
      <c r="L293" s="635"/>
      <c r="M293" s="635"/>
      <c r="N293" s="635"/>
      <c r="O293" s="635"/>
      <c r="P293" s="635"/>
      <c r="Q293" s="635"/>
      <c r="R293" s="635"/>
      <c r="S293" s="634"/>
      <c r="T293" s="634"/>
      <c r="U293" s="634"/>
      <c r="V293" s="634"/>
      <c r="W293" s="634"/>
      <c r="X293" s="634"/>
      <c r="Y293" s="634"/>
      <c r="Z293" s="634"/>
      <c r="AA293" s="634"/>
    </row>
    <row r="294" ht="15.75" customHeight="1">
      <c r="A294" s="634"/>
      <c r="B294" s="634"/>
      <c r="C294" s="634"/>
      <c r="D294" s="634"/>
      <c r="E294" s="634"/>
      <c r="F294" s="634"/>
      <c r="G294" s="634"/>
      <c r="H294" s="635"/>
      <c r="I294" s="634"/>
      <c r="J294" s="636"/>
      <c r="K294" s="635"/>
      <c r="L294" s="635"/>
      <c r="M294" s="635"/>
      <c r="N294" s="635"/>
      <c r="O294" s="635"/>
      <c r="P294" s="635"/>
      <c r="Q294" s="635"/>
      <c r="R294" s="635"/>
      <c r="S294" s="634"/>
      <c r="T294" s="634"/>
      <c r="U294" s="634"/>
      <c r="V294" s="634"/>
      <c r="W294" s="634"/>
      <c r="X294" s="634"/>
      <c r="Y294" s="634"/>
      <c r="Z294" s="634"/>
      <c r="AA294" s="634"/>
    </row>
    <row r="295" ht="15.75" customHeight="1">
      <c r="A295" s="634"/>
      <c r="B295" s="634"/>
      <c r="C295" s="634"/>
      <c r="D295" s="634"/>
      <c r="E295" s="634"/>
      <c r="F295" s="634"/>
      <c r="G295" s="634"/>
      <c r="H295" s="635"/>
      <c r="I295" s="634"/>
      <c r="J295" s="636"/>
      <c r="K295" s="635"/>
      <c r="L295" s="635"/>
      <c r="M295" s="635"/>
      <c r="N295" s="635"/>
      <c r="O295" s="635"/>
      <c r="P295" s="635"/>
      <c r="Q295" s="635"/>
      <c r="R295" s="635"/>
      <c r="S295" s="634"/>
      <c r="T295" s="634"/>
      <c r="U295" s="634"/>
      <c r="V295" s="634"/>
      <c r="W295" s="634"/>
      <c r="X295" s="634"/>
      <c r="Y295" s="634"/>
      <c r="Z295" s="634"/>
      <c r="AA295" s="634"/>
    </row>
    <row r="296" ht="15.75" customHeight="1">
      <c r="A296" s="634"/>
      <c r="B296" s="634"/>
      <c r="C296" s="634"/>
      <c r="D296" s="634"/>
      <c r="E296" s="634"/>
      <c r="F296" s="634"/>
      <c r="G296" s="634"/>
      <c r="H296" s="635"/>
      <c r="I296" s="634"/>
      <c r="J296" s="636"/>
      <c r="K296" s="635"/>
      <c r="L296" s="635"/>
      <c r="M296" s="635"/>
      <c r="N296" s="635"/>
      <c r="O296" s="635"/>
      <c r="P296" s="635"/>
      <c r="Q296" s="635"/>
      <c r="R296" s="635"/>
      <c r="S296" s="634"/>
      <c r="T296" s="634"/>
      <c r="U296" s="634"/>
      <c r="V296" s="634"/>
      <c r="W296" s="634"/>
      <c r="X296" s="634"/>
      <c r="Y296" s="634"/>
      <c r="Z296" s="634"/>
      <c r="AA296" s="634"/>
    </row>
    <row r="297" ht="15.75" customHeight="1">
      <c r="A297" s="634"/>
      <c r="B297" s="634"/>
      <c r="C297" s="634"/>
      <c r="D297" s="634"/>
      <c r="E297" s="634"/>
      <c r="F297" s="634"/>
      <c r="G297" s="634"/>
      <c r="H297" s="635"/>
      <c r="I297" s="634"/>
      <c r="J297" s="636"/>
      <c r="K297" s="635"/>
      <c r="L297" s="635"/>
      <c r="M297" s="635"/>
      <c r="N297" s="635"/>
      <c r="O297" s="635"/>
      <c r="P297" s="635"/>
      <c r="Q297" s="635"/>
      <c r="R297" s="635"/>
      <c r="S297" s="634"/>
      <c r="T297" s="634"/>
      <c r="U297" s="634"/>
      <c r="V297" s="634"/>
      <c r="W297" s="634"/>
      <c r="X297" s="634"/>
      <c r="Y297" s="634"/>
      <c r="Z297" s="634"/>
      <c r="AA297" s="634"/>
    </row>
    <row r="298" ht="15.75" customHeight="1">
      <c r="A298" s="634"/>
      <c r="B298" s="634"/>
      <c r="C298" s="634"/>
      <c r="D298" s="634"/>
      <c r="E298" s="634"/>
      <c r="F298" s="634"/>
      <c r="G298" s="634"/>
      <c r="H298" s="635"/>
      <c r="I298" s="634"/>
      <c r="J298" s="636"/>
      <c r="K298" s="635"/>
      <c r="L298" s="635"/>
      <c r="M298" s="635"/>
      <c r="N298" s="635"/>
      <c r="O298" s="635"/>
      <c r="P298" s="635"/>
      <c r="Q298" s="635"/>
      <c r="R298" s="635"/>
      <c r="S298" s="634"/>
      <c r="T298" s="634"/>
      <c r="U298" s="634"/>
      <c r="V298" s="634"/>
      <c r="W298" s="634"/>
      <c r="X298" s="634"/>
      <c r="Y298" s="634"/>
      <c r="Z298" s="634"/>
      <c r="AA298" s="634"/>
    </row>
    <row r="299" ht="15.75" customHeight="1">
      <c r="A299" s="634"/>
      <c r="B299" s="634"/>
      <c r="C299" s="634"/>
      <c r="D299" s="634"/>
      <c r="E299" s="634"/>
      <c r="F299" s="634"/>
      <c r="G299" s="634"/>
      <c r="H299" s="635"/>
      <c r="I299" s="634"/>
      <c r="J299" s="636"/>
      <c r="K299" s="635"/>
      <c r="L299" s="635"/>
      <c r="M299" s="635"/>
      <c r="N299" s="635"/>
      <c r="O299" s="635"/>
      <c r="P299" s="635"/>
      <c r="Q299" s="635"/>
      <c r="R299" s="635"/>
      <c r="S299" s="634"/>
      <c r="T299" s="634"/>
      <c r="U299" s="634"/>
      <c r="V299" s="634"/>
      <c r="W299" s="634"/>
      <c r="X299" s="634"/>
      <c r="Y299" s="634"/>
      <c r="Z299" s="634"/>
      <c r="AA299" s="634"/>
    </row>
    <row r="300" ht="15.75" customHeight="1">
      <c r="A300" s="634"/>
      <c r="B300" s="634"/>
      <c r="C300" s="634"/>
      <c r="D300" s="634"/>
      <c r="E300" s="634"/>
      <c r="F300" s="634"/>
      <c r="G300" s="634"/>
      <c r="H300" s="635"/>
      <c r="I300" s="634"/>
      <c r="J300" s="636"/>
      <c r="K300" s="635"/>
      <c r="L300" s="635"/>
      <c r="M300" s="635"/>
      <c r="N300" s="635"/>
      <c r="O300" s="635"/>
      <c r="P300" s="635"/>
      <c r="Q300" s="635"/>
      <c r="R300" s="635"/>
      <c r="S300" s="634"/>
      <c r="T300" s="634"/>
      <c r="U300" s="634"/>
      <c r="V300" s="634"/>
      <c r="W300" s="634"/>
      <c r="X300" s="634"/>
      <c r="Y300" s="634"/>
      <c r="Z300" s="634"/>
      <c r="AA300" s="634"/>
    </row>
    <row r="301" ht="15.75" customHeight="1">
      <c r="A301" s="634"/>
      <c r="B301" s="634"/>
      <c r="C301" s="634"/>
      <c r="D301" s="634"/>
      <c r="E301" s="634"/>
      <c r="F301" s="634"/>
      <c r="G301" s="634"/>
      <c r="H301" s="635"/>
      <c r="I301" s="634"/>
      <c r="J301" s="636"/>
      <c r="K301" s="635"/>
      <c r="L301" s="635"/>
      <c r="M301" s="635"/>
      <c r="N301" s="635"/>
      <c r="O301" s="635"/>
      <c r="P301" s="635"/>
      <c r="Q301" s="635"/>
      <c r="R301" s="635"/>
      <c r="S301" s="634"/>
      <c r="T301" s="634"/>
      <c r="U301" s="634"/>
      <c r="V301" s="634"/>
      <c r="W301" s="634"/>
      <c r="X301" s="634"/>
      <c r="Y301" s="634"/>
      <c r="Z301" s="634"/>
      <c r="AA301" s="634"/>
    </row>
    <row r="302" ht="15.75" customHeight="1">
      <c r="A302" s="634"/>
      <c r="B302" s="634"/>
      <c r="C302" s="634"/>
      <c r="D302" s="634"/>
      <c r="E302" s="634"/>
      <c r="F302" s="634"/>
      <c r="G302" s="634"/>
      <c r="H302" s="635"/>
      <c r="I302" s="634"/>
      <c r="J302" s="636"/>
      <c r="K302" s="635"/>
      <c r="L302" s="635"/>
      <c r="M302" s="635"/>
      <c r="N302" s="635"/>
      <c r="O302" s="635"/>
      <c r="P302" s="635"/>
      <c r="Q302" s="635"/>
      <c r="R302" s="635"/>
      <c r="S302" s="634"/>
      <c r="T302" s="634"/>
      <c r="U302" s="634"/>
      <c r="V302" s="634"/>
      <c r="W302" s="634"/>
      <c r="X302" s="634"/>
      <c r="Y302" s="634"/>
      <c r="Z302" s="634"/>
      <c r="AA302" s="634"/>
    </row>
    <row r="303" ht="15.75" customHeight="1">
      <c r="A303" s="634"/>
      <c r="B303" s="634"/>
      <c r="C303" s="634"/>
      <c r="D303" s="634"/>
      <c r="E303" s="634"/>
      <c r="F303" s="634"/>
      <c r="G303" s="634"/>
      <c r="H303" s="635"/>
      <c r="I303" s="634"/>
      <c r="J303" s="636"/>
      <c r="K303" s="635"/>
      <c r="L303" s="635"/>
      <c r="M303" s="635"/>
      <c r="N303" s="635"/>
      <c r="O303" s="635"/>
      <c r="P303" s="635"/>
      <c r="Q303" s="635"/>
      <c r="R303" s="635"/>
      <c r="S303" s="634"/>
      <c r="T303" s="634"/>
      <c r="U303" s="634"/>
      <c r="V303" s="634"/>
      <c r="W303" s="634"/>
      <c r="X303" s="634"/>
      <c r="Y303" s="634"/>
      <c r="Z303" s="634"/>
      <c r="AA303" s="634"/>
    </row>
    <row r="304" ht="15.75" customHeight="1">
      <c r="A304" s="634"/>
      <c r="B304" s="634"/>
      <c r="C304" s="634"/>
      <c r="D304" s="634"/>
      <c r="E304" s="634"/>
      <c r="F304" s="634"/>
      <c r="G304" s="634"/>
      <c r="H304" s="635"/>
      <c r="I304" s="634"/>
      <c r="J304" s="636"/>
      <c r="K304" s="635"/>
      <c r="L304" s="635"/>
      <c r="M304" s="635"/>
      <c r="N304" s="635"/>
      <c r="O304" s="635"/>
      <c r="P304" s="635"/>
      <c r="Q304" s="635"/>
      <c r="R304" s="635"/>
      <c r="S304" s="634"/>
      <c r="T304" s="634"/>
      <c r="U304" s="634"/>
      <c r="V304" s="634"/>
      <c r="W304" s="634"/>
      <c r="X304" s="634"/>
      <c r="Y304" s="634"/>
      <c r="Z304" s="634"/>
      <c r="AA304" s="634"/>
    </row>
    <row r="305" ht="15.75" customHeight="1">
      <c r="A305" s="634"/>
      <c r="B305" s="634"/>
      <c r="C305" s="634"/>
      <c r="D305" s="634"/>
      <c r="E305" s="634"/>
      <c r="F305" s="634"/>
      <c r="G305" s="634"/>
      <c r="H305" s="635"/>
      <c r="I305" s="634"/>
      <c r="J305" s="636"/>
      <c r="K305" s="635"/>
      <c r="L305" s="635"/>
      <c r="M305" s="635"/>
      <c r="N305" s="635"/>
      <c r="O305" s="635"/>
      <c r="P305" s="635"/>
      <c r="Q305" s="635"/>
      <c r="R305" s="635"/>
      <c r="S305" s="634"/>
      <c r="T305" s="634"/>
      <c r="U305" s="634"/>
      <c r="V305" s="634"/>
      <c r="W305" s="634"/>
      <c r="X305" s="634"/>
      <c r="Y305" s="634"/>
      <c r="Z305" s="634"/>
      <c r="AA305" s="634"/>
    </row>
    <row r="306" ht="15.75" customHeight="1">
      <c r="A306" s="634"/>
      <c r="B306" s="634"/>
      <c r="C306" s="634"/>
      <c r="D306" s="634"/>
      <c r="E306" s="634"/>
      <c r="F306" s="634"/>
      <c r="G306" s="634"/>
      <c r="H306" s="635"/>
      <c r="I306" s="634"/>
      <c r="J306" s="636"/>
      <c r="K306" s="635"/>
      <c r="L306" s="635"/>
      <c r="M306" s="635"/>
      <c r="N306" s="635"/>
      <c r="O306" s="635"/>
      <c r="P306" s="635"/>
      <c r="Q306" s="635"/>
      <c r="R306" s="635"/>
      <c r="S306" s="634"/>
      <c r="T306" s="634"/>
      <c r="U306" s="634"/>
      <c r="V306" s="634"/>
      <c r="W306" s="634"/>
      <c r="X306" s="634"/>
      <c r="Y306" s="634"/>
      <c r="Z306" s="634"/>
      <c r="AA306" s="634"/>
    </row>
    <row r="307" ht="15.75" customHeight="1">
      <c r="A307" s="634"/>
      <c r="B307" s="634"/>
      <c r="C307" s="634"/>
      <c r="D307" s="634"/>
      <c r="E307" s="634"/>
      <c r="F307" s="634"/>
      <c r="G307" s="634"/>
      <c r="H307" s="635"/>
      <c r="I307" s="634"/>
      <c r="J307" s="636"/>
      <c r="K307" s="635"/>
      <c r="L307" s="635"/>
      <c r="M307" s="635"/>
      <c r="N307" s="635"/>
      <c r="O307" s="635"/>
      <c r="P307" s="635"/>
      <c r="Q307" s="635"/>
      <c r="R307" s="635"/>
      <c r="S307" s="634"/>
      <c r="T307" s="634"/>
      <c r="U307" s="634"/>
      <c r="V307" s="634"/>
      <c r="W307" s="634"/>
      <c r="X307" s="634"/>
      <c r="Y307" s="634"/>
      <c r="Z307" s="634"/>
      <c r="AA307" s="634"/>
    </row>
    <row r="308" ht="15.75" customHeight="1">
      <c r="A308" s="634"/>
      <c r="B308" s="634"/>
      <c r="C308" s="634"/>
      <c r="D308" s="634"/>
      <c r="E308" s="634"/>
      <c r="F308" s="634"/>
      <c r="G308" s="634"/>
      <c r="H308" s="635"/>
      <c r="I308" s="634"/>
      <c r="J308" s="636"/>
      <c r="K308" s="635"/>
      <c r="L308" s="635"/>
      <c r="M308" s="635"/>
      <c r="N308" s="635"/>
      <c r="O308" s="635"/>
      <c r="P308" s="635"/>
      <c r="Q308" s="635"/>
      <c r="R308" s="635"/>
      <c r="S308" s="634"/>
      <c r="T308" s="634"/>
      <c r="U308" s="634"/>
      <c r="V308" s="634"/>
      <c r="W308" s="634"/>
      <c r="X308" s="634"/>
      <c r="Y308" s="634"/>
      <c r="Z308" s="634"/>
      <c r="AA308" s="634"/>
    </row>
    <row r="309" ht="15.75" customHeight="1">
      <c r="A309" s="634"/>
      <c r="B309" s="634"/>
      <c r="C309" s="634"/>
      <c r="D309" s="634"/>
      <c r="E309" s="634"/>
      <c r="F309" s="634"/>
      <c r="G309" s="634"/>
      <c r="H309" s="635"/>
      <c r="I309" s="634"/>
      <c r="J309" s="636"/>
      <c r="K309" s="635"/>
      <c r="L309" s="635"/>
      <c r="M309" s="635"/>
      <c r="N309" s="635"/>
      <c r="O309" s="635"/>
      <c r="P309" s="635"/>
      <c r="Q309" s="635"/>
      <c r="R309" s="635"/>
      <c r="S309" s="634"/>
      <c r="T309" s="634"/>
      <c r="U309" s="634"/>
      <c r="V309" s="634"/>
      <c r="W309" s="634"/>
      <c r="X309" s="634"/>
      <c r="Y309" s="634"/>
      <c r="Z309" s="634"/>
      <c r="AA309" s="634"/>
    </row>
    <row r="310" ht="15.75" customHeight="1">
      <c r="A310" s="634"/>
      <c r="B310" s="634"/>
      <c r="C310" s="634"/>
      <c r="D310" s="634"/>
      <c r="E310" s="634"/>
      <c r="F310" s="634"/>
      <c r="G310" s="634"/>
      <c r="H310" s="635"/>
      <c r="I310" s="634"/>
      <c r="J310" s="636"/>
      <c r="K310" s="635"/>
      <c r="L310" s="635"/>
      <c r="M310" s="635"/>
      <c r="N310" s="635"/>
      <c r="O310" s="635"/>
      <c r="P310" s="635"/>
      <c r="Q310" s="635"/>
      <c r="R310" s="635"/>
      <c r="S310" s="634"/>
      <c r="T310" s="634"/>
      <c r="U310" s="634"/>
      <c r="V310" s="634"/>
      <c r="W310" s="634"/>
      <c r="X310" s="634"/>
      <c r="Y310" s="634"/>
      <c r="Z310" s="634"/>
      <c r="AA310" s="634"/>
    </row>
    <row r="311" ht="15.75" customHeight="1">
      <c r="A311" s="634"/>
      <c r="B311" s="634"/>
      <c r="C311" s="634"/>
      <c r="D311" s="634"/>
      <c r="E311" s="634"/>
      <c r="F311" s="634"/>
      <c r="G311" s="634"/>
      <c r="H311" s="635"/>
      <c r="I311" s="634"/>
      <c r="J311" s="636"/>
      <c r="K311" s="635"/>
      <c r="L311" s="635"/>
      <c r="M311" s="635"/>
      <c r="N311" s="635"/>
      <c r="O311" s="635"/>
      <c r="P311" s="635"/>
      <c r="Q311" s="635"/>
      <c r="R311" s="635"/>
      <c r="S311" s="634"/>
      <c r="T311" s="634"/>
      <c r="U311" s="634"/>
      <c r="V311" s="634"/>
      <c r="W311" s="634"/>
      <c r="X311" s="634"/>
      <c r="Y311" s="634"/>
      <c r="Z311" s="634"/>
      <c r="AA311" s="634"/>
    </row>
    <row r="312" ht="15.75" customHeight="1">
      <c r="A312" s="634"/>
      <c r="B312" s="634"/>
      <c r="C312" s="634"/>
      <c r="D312" s="634"/>
      <c r="E312" s="634"/>
      <c r="F312" s="634"/>
      <c r="G312" s="634"/>
      <c r="H312" s="635"/>
      <c r="I312" s="634"/>
      <c r="J312" s="636"/>
      <c r="K312" s="635"/>
      <c r="L312" s="635"/>
      <c r="M312" s="635"/>
      <c r="N312" s="635"/>
      <c r="O312" s="635"/>
      <c r="P312" s="635"/>
      <c r="Q312" s="635"/>
      <c r="R312" s="635"/>
      <c r="S312" s="634"/>
      <c r="T312" s="634"/>
      <c r="U312" s="634"/>
      <c r="V312" s="634"/>
      <c r="W312" s="634"/>
      <c r="X312" s="634"/>
      <c r="Y312" s="634"/>
      <c r="Z312" s="634"/>
      <c r="AA312" s="634"/>
    </row>
    <row r="313" ht="15.75" customHeight="1">
      <c r="A313" s="634"/>
      <c r="B313" s="634"/>
      <c r="C313" s="634"/>
      <c r="D313" s="634"/>
      <c r="E313" s="634"/>
      <c r="F313" s="634"/>
      <c r="G313" s="634"/>
      <c r="H313" s="635"/>
      <c r="I313" s="634"/>
      <c r="J313" s="636"/>
      <c r="K313" s="635"/>
      <c r="L313" s="635"/>
      <c r="M313" s="635"/>
      <c r="N313" s="635"/>
      <c r="O313" s="635"/>
      <c r="P313" s="635"/>
      <c r="Q313" s="635"/>
      <c r="R313" s="635"/>
      <c r="S313" s="634"/>
      <c r="T313" s="634"/>
      <c r="U313" s="634"/>
      <c r="V313" s="634"/>
      <c r="W313" s="634"/>
      <c r="X313" s="634"/>
      <c r="Y313" s="634"/>
      <c r="Z313" s="634"/>
      <c r="AA313" s="634"/>
    </row>
    <row r="314" ht="15.75" customHeight="1">
      <c r="A314" s="634"/>
      <c r="B314" s="634"/>
      <c r="C314" s="634"/>
      <c r="D314" s="634"/>
      <c r="E314" s="634"/>
      <c r="F314" s="634"/>
      <c r="G314" s="634"/>
      <c r="H314" s="635"/>
      <c r="I314" s="634"/>
      <c r="J314" s="636"/>
      <c r="K314" s="635"/>
      <c r="L314" s="635"/>
      <c r="M314" s="635"/>
      <c r="N314" s="635"/>
      <c r="O314" s="635"/>
      <c r="P314" s="635"/>
      <c r="Q314" s="635"/>
      <c r="R314" s="635"/>
      <c r="S314" s="634"/>
      <c r="T314" s="634"/>
      <c r="U314" s="634"/>
      <c r="V314" s="634"/>
      <c r="W314" s="634"/>
      <c r="X314" s="634"/>
      <c r="Y314" s="634"/>
      <c r="Z314" s="634"/>
      <c r="AA314" s="634"/>
    </row>
    <row r="315" ht="15.75" customHeight="1">
      <c r="A315" s="634"/>
      <c r="B315" s="634"/>
      <c r="C315" s="634"/>
      <c r="D315" s="634"/>
      <c r="E315" s="634"/>
      <c r="F315" s="634"/>
      <c r="G315" s="634"/>
      <c r="H315" s="635"/>
      <c r="I315" s="634"/>
      <c r="J315" s="636"/>
      <c r="K315" s="635"/>
      <c r="L315" s="635"/>
      <c r="M315" s="635"/>
      <c r="N315" s="635"/>
      <c r="O315" s="635"/>
      <c r="P315" s="635"/>
      <c r="Q315" s="635"/>
      <c r="R315" s="635"/>
      <c r="S315" s="634"/>
      <c r="T315" s="634"/>
      <c r="U315" s="634"/>
      <c r="V315" s="634"/>
      <c r="W315" s="634"/>
      <c r="X315" s="634"/>
      <c r="Y315" s="634"/>
      <c r="Z315" s="634"/>
      <c r="AA315" s="634"/>
    </row>
    <row r="316" ht="15.75" customHeight="1">
      <c r="A316" s="634"/>
      <c r="B316" s="634"/>
      <c r="C316" s="634"/>
      <c r="D316" s="634"/>
      <c r="E316" s="634"/>
      <c r="F316" s="634"/>
      <c r="G316" s="634"/>
      <c r="H316" s="635"/>
      <c r="I316" s="634"/>
      <c r="J316" s="636"/>
      <c r="K316" s="635"/>
      <c r="L316" s="635"/>
      <c r="M316" s="635"/>
      <c r="N316" s="635"/>
      <c r="O316" s="635"/>
      <c r="P316" s="635"/>
      <c r="Q316" s="635"/>
      <c r="R316" s="635"/>
      <c r="S316" s="634"/>
      <c r="T316" s="634"/>
      <c r="U316" s="634"/>
      <c r="V316" s="634"/>
      <c r="W316" s="634"/>
      <c r="X316" s="634"/>
      <c r="Y316" s="634"/>
      <c r="Z316" s="634"/>
      <c r="AA316" s="634"/>
    </row>
    <row r="317" ht="15.75" customHeight="1">
      <c r="A317" s="634"/>
      <c r="B317" s="634"/>
      <c r="C317" s="634"/>
      <c r="D317" s="634"/>
      <c r="E317" s="634"/>
      <c r="F317" s="634"/>
      <c r="G317" s="634"/>
      <c r="H317" s="635"/>
      <c r="I317" s="634"/>
      <c r="J317" s="636"/>
      <c r="K317" s="635"/>
      <c r="L317" s="635"/>
      <c r="M317" s="635"/>
      <c r="N317" s="635"/>
      <c r="O317" s="635"/>
      <c r="P317" s="635"/>
      <c r="Q317" s="635"/>
      <c r="R317" s="635"/>
      <c r="S317" s="634"/>
      <c r="T317" s="634"/>
      <c r="U317" s="634"/>
      <c r="V317" s="634"/>
      <c r="W317" s="634"/>
      <c r="X317" s="634"/>
      <c r="Y317" s="634"/>
      <c r="Z317" s="634"/>
      <c r="AA317" s="634"/>
    </row>
    <row r="318" ht="15.75" customHeight="1">
      <c r="A318" s="634"/>
      <c r="B318" s="634"/>
      <c r="C318" s="634"/>
      <c r="D318" s="634"/>
      <c r="E318" s="634"/>
      <c r="F318" s="634"/>
      <c r="G318" s="634"/>
      <c r="H318" s="635"/>
      <c r="I318" s="634"/>
      <c r="J318" s="636"/>
      <c r="K318" s="635"/>
      <c r="L318" s="635"/>
      <c r="M318" s="635"/>
      <c r="N318" s="635"/>
      <c r="O318" s="635"/>
      <c r="P318" s="635"/>
      <c r="Q318" s="635"/>
      <c r="R318" s="635"/>
      <c r="S318" s="634"/>
      <c r="T318" s="634"/>
      <c r="U318" s="634"/>
      <c r="V318" s="634"/>
      <c r="W318" s="634"/>
      <c r="X318" s="634"/>
      <c r="Y318" s="634"/>
      <c r="Z318" s="634"/>
      <c r="AA318" s="634"/>
    </row>
    <row r="319" ht="15.75" customHeight="1">
      <c r="A319" s="634"/>
      <c r="B319" s="634"/>
      <c r="C319" s="634"/>
      <c r="D319" s="634"/>
      <c r="E319" s="634"/>
      <c r="F319" s="634"/>
      <c r="G319" s="634"/>
      <c r="H319" s="635"/>
      <c r="I319" s="634"/>
      <c r="J319" s="636"/>
      <c r="K319" s="635"/>
      <c r="L319" s="635"/>
      <c r="M319" s="635"/>
      <c r="N319" s="635"/>
      <c r="O319" s="635"/>
      <c r="P319" s="635"/>
      <c r="Q319" s="635"/>
      <c r="R319" s="635"/>
      <c r="S319" s="634"/>
      <c r="T319" s="634"/>
      <c r="U319" s="634"/>
      <c r="V319" s="634"/>
      <c r="W319" s="634"/>
      <c r="X319" s="634"/>
      <c r="Y319" s="634"/>
      <c r="Z319" s="634"/>
      <c r="AA319" s="634"/>
    </row>
    <row r="320" ht="15.75" customHeight="1">
      <c r="A320" s="634"/>
      <c r="B320" s="634"/>
      <c r="C320" s="634"/>
      <c r="D320" s="634"/>
      <c r="E320" s="634"/>
      <c r="F320" s="634"/>
      <c r="G320" s="634"/>
      <c r="H320" s="635"/>
      <c r="I320" s="634"/>
      <c r="J320" s="636"/>
      <c r="K320" s="635"/>
      <c r="L320" s="635"/>
      <c r="M320" s="635"/>
      <c r="N320" s="635"/>
      <c r="O320" s="635"/>
      <c r="P320" s="635"/>
      <c r="Q320" s="635"/>
      <c r="R320" s="635"/>
      <c r="S320" s="634"/>
      <c r="T320" s="634"/>
      <c r="U320" s="634"/>
      <c r="V320" s="634"/>
      <c r="W320" s="634"/>
      <c r="X320" s="634"/>
      <c r="Y320" s="634"/>
      <c r="Z320" s="634"/>
      <c r="AA320" s="634"/>
    </row>
    <row r="321" ht="15.75" customHeight="1">
      <c r="A321" s="634"/>
      <c r="B321" s="634"/>
      <c r="C321" s="634"/>
      <c r="D321" s="634"/>
      <c r="E321" s="634"/>
      <c r="F321" s="634"/>
      <c r="G321" s="634"/>
      <c r="H321" s="635"/>
      <c r="I321" s="634"/>
      <c r="J321" s="636"/>
      <c r="K321" s="635"/>
      <c r="L321" s="635"/>
      <c r="M321" s="635"/>
      <c r="N321" s="635"/>
      <c r="O321" s="635"/>
      <c r="P321" s="635"/>
      <c r="Q321" s="635"/>
      <c r="R321" s="635"/>
      <c r="S321" s="634"/>
      <c r="T321" s="634"/>
      <c r="U321" s="634"/>
      <c r="V321" s="634"/>
      <c r="W321" s="634"/>
      <c r="X321" s="634"/>
      <c r="Y321" s="634"/>
      <c r="Z321" s="634"/>
      <c r="AA321" s="634"/>
    </row>
    <row r="322" ht="15.75" customHeight="1">
      <c r="A322" s="634"/>
      <c r="B322" s="634"/>
      <c r="C322" s="634"/>
      <c r="D322" s="634"/>
      <c r="E322" s="634"/>
      <c r="F322" s="634"/>
      <c r="G322" s="634"/>
      <c r="H322" s="635"/>
      <c r="I322" s="634"/>
      <c r="J322" s="636"/>
      <c r="K322" s="635"/>
      <c r="L322" s="635"/>
      <c r="M322" s="635"/>
      <c r="N322" s="635"/>
      <c r="O322" s="635"/>
      <c r="P322" s="635"/>
      <c r="Q322" s="635"/>
      <c r="R322" s="635"/>
      <c r="S322" s="634"/>
      <c r="T322" s="634"/>
      <c r="U322" s="634"/>
      <c r="V322" s="634"/>
      <c r="W322" s="634"/>
      <c r="X322" s="634"/>
      <c r="Y322" s="634"/>
      <c r="Z322" s="634"/>
      <c r="AA322" s="634"/>
    </row>
    <row r="323" ht="15.75" customHeight="1">
      <c r="A323" s="634"/>
      <c r="B323" s="634"/>
      <c r="C323" s="634"/>
      <c r="D323" s="634"/>
      <c r="E323" s="634"/>
      <c r="F323" s="634"/>
      <c r="G323" s="634"/>
      <c r="H323" s="635"/>
      <c r="I323" s="634"/>
      <c r="J323" s="636"/>
      <c r="K323" s="635"/>
      <c r="L323" s="635"/>
      <c r="M323" s="635"/>
      <c r="N323" s="635"/>
      <c r="O323" s="635"/>
      <c r="P323" s="635"/>
      <c r="Q323" s="635"/>
      <c r="R323" s="635"/>
      <c r="S323" s="634"/>
      <c r="T323" s="634"/>
      <c r="U323" s="634"/>
      <c r="V323" s="634"/>
      <c r="W323" s="634"/>
      <c r="X323" s="634"/>
      <c r="Y323" s="634"/>
      <c r="Z323" s="634"/>
      <c r="AA323" s="634"/>
    </row>
    <row r="324" ht="15.75" customHeight="1">
      <c r="A324" s="634"/>
      <c r="B324" s="634"/>
      <c r="C324" s="634"/>
      <c r="D324" s="634"/>
      <c r="E324" s="634"/>
      <c r="F324" s="634"/>
      <c r="G324" s="634"/>
      <c r="H324" s="635"/>
      <c r="I324" s="634"/>
      <c r="J324" s="636"/>
      <c r="K324" s="635"/>
      <c r="L324" s="635"/>
      <c r="M324" s="635"/>
      <c r="N324" s="635"/>
      <c r="O324" s="635"/>
      <c r="P324" s="635"/>
      <c r="Q324" s="635"/>
      <c r="R324" s="635"/>
      <c r="S324" s="634"/>
      <c r="T324" s="634"/>
      <c r="U324" s="634"/>
      <c r="V324" s="634"/>
      <c r="W324" s="634"/>
      <c r="X324" s="634"/>
      <c r="Y324" s="634"/>
      <c r="Z324" s="634"/>
      <c r="AA324" s="634"/>
    </row>
    <row r="325" ht="15.75" customHeight="1">
      <c r="A325" s="634"/>
      <c r="B325" s="634"/>
      <c r="C325" s="634"/>
      <c r="D325" s="634"/>
      <c r="E325" s="634"/>
      <c r="F325" s="634"/>
      <c r="G325" s="634"/>
      <c r="H325" s="635"/>
      <c r="I325" s="634"/>
      <c r="J325" s="636"/>
      <c r="K325" s="635"/>
      <c r="L325" s="635"/>
      <c r="M325" s="635"/>
      <c r="N325" s="635"/>
      <c r="O325" s="635"/>
      <c r="P325" s="635"/>
      <c r="Q325" s="635"/>
      <c r="R325" s="635"/>
      <c r="S325" s="634"/>
      <c r="T325" s="634"/>
      <c r="U325" s="634"/>
      <c r="V325" s="634"/>
      <c r="W325" s="634"/>
      <c r="X325" s="634"/>
      <c r="Y325" s="634"/>
      <c r="Z325" s="634"/>
      <c r="AA325" s="634"/>
    </row>
    <row r="326" ht="15.75" customHeight="1">
      <c r="A326" s="634"/>
      <c r="B326" s="634"/>
      <c r="C326" s="634"/>
      <c r="D326" s="634"/>
      <c r="E326" s="634"/>
      <c r="F326" s="634"/>
      <c r="G326" s="634"/>
      <c r="H326" s="635"/>
      <c r="I326" s="634"/>
      <c r="J326" s="636"/>
      <c r="K326" s="635"/>
      <c r="L326" s="635"/>
      <c r="M326" s="635"/>
      <c r="N326" s="635"/>
      <c r="O326" s="635"/>
      <c r="P326" s="635"/>
      <c r="Q326" s="635"/>
      <c r="R326" s="635"/>
      <c r="S326" s="634"/>
      <c r="T326" s="634"/>
      <c r="U326" s="634"/>
      <c r="V326" s="634"/>
      <c r="W326" s="634"/>
      <c r="X326" s="634"/>
      <c r="Y326" s="634"/>
      <c r="Z326" s="634"/>
      <c r="AA326" s="634"/>
    </row>
    <row r="327" ht="15.75" customHeight="1">
      <c r="A327" s="634"/>
      <c r="B327" s="634"/>
      <c r="C327" s="634"/>
      <c r="D327" s="634"/>
      <c r="E327" s="634"/>
      <c r="F327" s="634"/>
      <c r="G327" s="634"/>
      <c r="H327" s="635"/>
      <c r="I327" s="634"/>
      <c r="J327" s="636"/>
      <c r="K327" s="635"/>
      <c r="L327" s="635"/>
      <c r="M327" s="635"/>
      <c r="N327" s="635"/>
      <c r="O327" s="635"/>
      <c r="P327" s="635"/>
      <c r="Q327" s="635"/>
      <c r="R327" s="635"/>
      <c r="S327" s="634"/>
      <c r="T327" s="634"/>
      <c r="U327" s="634"/>
      <c r="V327" s="634"/>
      <c r="W327" s="634"/>
      <c r="X327" s="634"/>
      <c r="Y327" s="634"/>
      <c r="Z327" s="634"/>
      <c r="AA327" s="634"/>
    </row>
    <row r="328" ht="15.75" customHeight="1">
      <c r="A328" s="634"/>
      <c r="B328" s="634"/>
      <c r="C328" s="634"/>
      <c r="D328" s="634"/>
      <c r="E328" s="634"/>
      <c r="F328" s="634"/>
      <c r="G328" s="634"/>
      <c r="H328" s="635"/>
      <c r="I328" s="634"/>
      <c r="J328" s="636"/>
      <c r="K328" s="635"/>
      <c r="L328" s="635"/>
      <c r="M328" s="635"/>
      <c r="N328" s="635"/>
      <c r="O328" s="635"/>
      <c r="P328" s="635"/>
      <c r="Q328" s="635"/>
      <c r="R328" s="635"/>
      <c r="S328" s="634"/>
      <c r="T328" s="634"/>
      <c r="U328" s="634"/>
      <c r="V328" s="634"/>
      <c r="W328" s="634"/>
      <c r="X328" s="634"/>
      <c r="Y328" s="634"/>
      <c r="Z328" s="634"/>
      <c r="AA328" s="634"/>
    </row>
    <row r="329" ht="15.75" customHeight="1">
      <c r="A329" s="634"/>
      <c r="B329" s="634"/>
      <c r="C329" s="634"/>
      <c r="D329" s="634"/>
      <c r="E329" s="634"/>
      <c r="F329" s="634"/>
      <c r="G329" s="634"/>
      <c r="H329" s="635"/>
      <c r="I329" s="634"/>
      <c r="J329" s="636"/>
      <c r="K329" s="635"/>
      <c r="L329" s="635"/>
      <c r="M329" s="635"/>
      <c r="N329" s="635"/>
      <c r="O329" s="635"/>
      <c r="P329" s="635"/>
      <c r="Q329" s="635"/>
      <c r="R329" s="635"/>
      <c r="S329" s="634"/>
      <c r="T329" s="634"/>
      <c r="U329" s="634"/>
      <c r="V329" s="634"/>
      <c r="W329" s="634"/>
      <c r="X329" s="634"/>
      <c r="Y329" s="634"/>
      <c r="Z329" s="634"/>
      <c r="AA329" s="634"/>
    </row>
    <row r="330" ht="15.75" customHeight="1">
      <c r="A330" s="634"/>
      <c r="B330" s="634"/>
      <c r="C330" s="634"/>
      <c r="D330" s="634"/>
      <c r="E330" s="634"/>
      <c r="F330" s="634"/>
      <c r="G330" s="634"/>
      <c r="H330" s="635"/>
      <c r="I330" s="634"/>
      <c r="J330" s="636"/>
      <c r="K330" s="635"/>
      <c r="L330" s="635"/>
      <c r="M330" s="635"/>
      <c r="N330" s="635"/>
      <c r="O330" s="635"/>
      <c r="P330" s="635"/>
      <c r="Q330" s="635"/>
      <c r="R330" s="635"/>
      <c r="S330" s="634"/>
      <c r="T330" s="634"/>
      <c r="U330" s="634"/>
      <c r="V330" s="634"/>
      <c r="W330" s="634"/>
      <c r="X330" s="634"/>
      <c r="Y330" s="634"/>
      <c r="Z330" s="634"/>
      <c r="AA330" s="634"/>
    </row>
    <row r="331" ht="15.75" customHeight="1">
      <c r="A331" s="634"/>
      <c r="B331" s="634"/>
      <c r="C331" s="634"/>
      <c r="D331" s="634"/>
      <c r="E331" s="634"/>
      <c r="F331" s="634"/>
      <c r="G331" s="634"/>
      <c r="H331" s="635"/>
      <c r="I331" s="634"/>
      <c r="J331" s="636"/>
      <c r="K331" s="635"/>
      <c r="L331" s="635"/>
      <c r="M331" s="635"/>
      <c r="N331" s="635"/>
      <c r="O331" s="635"/>
      <c r="P331" s="635"/>
      <c r="Q331" s="635"/>
      <c r="R331" s="635"/>
      <c r="S331" s="634"/>
      <c r="T331" s="634"/>
      <c r="U331" s="634"/>
      <c r="V331" s="634"/>
      <c r="W331" s="634"/>
      <c r="X331" s="634"/>
      <c r="Y331" s="634"/>
      <c r="Z331" s="634"/>
      <c r="AA331" s="634"/>
    </row>
    <row r="332" ht="15.75" customHeight="1">
      <c r="A332" s="634"/>
      <c r="B332" s="634"/>
      <c r="C332" s="634"/>
      <c r="D332" s="634"/>
      <c r="E332" s="634"/>
      <c r="F332" s="634"/>
      <c r="G332" s="634"/>
      <c r="H332" s="635"/>
      <c r="I332" s="634"/>
      <c r="J332" s="636"/>
      <c r="K332" s="635"/>
      <c r="L332" s="635"/>
      <c r="M332" s="635"/>
      <c r="N332" s="635"/>
      <c r="O332" s="635"/>
      <c r="P332" s="635"/>
      <c r="Q332" s="635"/>
      <c r="R332" s="635"/>
      <c r="S332" s="634"/>
      <c r="T332" s="634"/>
      <c r="U332" s="634"/>
      <c r="V332" s="634"/>
      <c r="W332" s="634"/>
      <c r="X332" s="634"/>
      <c r="Y332" s="634"/>
      <c r="Z332" s="634"/>
      <c r="AA332" s="634"/>
    </row>
    <row r="333" ht="15.75" customHeight="1">
      <c r="A333" s="634"/>
      <c r="B333" s="634"/>
      <c r="C333" s="634"/>
      <c r="D333" s="634"/>
      <c r="E333" s="634"/>
      <c r="F333" s="634"/>
      <c r="G333" s="634"/>
      <c r="H333" s="635"/>
      <c r="I333" s="634"/>
      <c r="J333" s="636"/>
      <c r="K333" s="635"/>
      <c r="L333" s="635"/>
      <c r="M333" s="635"/>
      <c r="N333" s="635"/>
      <c r="O333" s="635"/>
      <c r="P333" s="635"/>
      <c r="Q333" s="635"/>
      <c r="R333" s="635"/>
      <c r="S333" s="634"/>
      <c r="T333" s="634"/>
      <c r="U333" s="634"/>
      <c r="V333" s="634"/>
      <c r="W333" s="634"/>
      <c r="X333" s="634"/>
      <c r="Y333" s="634"/>
      <c r="Z333" s="634"/>
      <c r="AA333" s="634"/>
    </row>
    <row r="334" ht="15.75" customHeight="1">
      <c r="A334" s="634"/>
      <c r="B334" s="634"/>
      <c r="C334" s="634"/>
      <c r="D334" s="634"/>
      <c r="E334" s="634"/>
      <c r="F334" s="634"/>
      <c r="G334" s="634"/>
      <c r="H334" s="635"/>
      <c r="I334" s="634"/>
      <c r="J334" s="636"/>
      <c r="K334" s="635"/>
      <c r="L334" s="635"/>
      <c r="M334" s="635"/>
      <c r="N334" s="635"/>
      <c r="O334" s="635"/>
      <c r="P334" s="635"/>
      <c r="Q334" s="635"/>
      <c r="R334" s="635"/>
      <c r="S334" s="634"/>
      <c r="T334" s="634"/>
      <c r="U334" s="634"/>
      <c r="V334" s="634"/>
      <c r="W334" s="634"/>
      <c r="X334" s="634"/>
      <c r="Y334" s="634"/>
      <c r="Z334" s="634"/>
      <c r="AA334" s="634"/>
    </row>
    <row r="335" ht="15.75" customHeight="1">
      <c r="A335" s="634"/>
      <c r="B335" s="634"/>
      <c r="C335" s="634"/>
      <c r="D335" s="634"/>
      <c r="E335" s="634"/>
      <c r="F335" s="634"/>
      <c r="G335" s="634"/>
      <c r="H335" s="635"/>
      <c r="I335" s="634"/>
      <c r="J335" s="636"/>
      <c r="K335" s="635"/>
      <c r="L335" s="635"/>
      <c r="M335" s="635"/>
      <c r="N335" s="635"/>
      <c r="O335" s="635"/>
      <c r="P335" s="635"/>
      <c r="Q335" s="635"/>
      <c r="R335" s="635"/>
      <c r="S335" s="634"/>
      <c r="T335" s="634"/>
      <c r="U335" s="634"/>
      <c r="V335" s="634"/>
      <c r="W335" s="634"/>
      <c r="X335" s="634"/>
      <c r="Y335" s="634"/>
      <c r="Z335" s="634"/>
      <c r="AA335" s="634"/>
    </row>
    <row r="336" ht="15.75" customHeight="1">
      <c r="A336" s="634"/>
      <c r="B336" s="634"/>
      <c r="C336" s="634"/>
      <c r="D336" s="634"/>
      <c r="E336" s="634"/>
      <c r="F336" s="634"/>
      <c r="G336" s="634"/>
      <c r="H336" s="635"/>
      <c r="I336" s="634"/>
      <c r="J336" s="636"/>
      <c r="K336" s="635"/>
      <c r="L336" s="635"/>
      <c r="M336" s="635"/>
      <c r="N336" s="635"/>
      <c r="O336" s="635"/>
      <c r="P336" s="635"/>
      <c r="Q336" s="635"/>
      <c r="R336" s="635"/>
      <c r="S336" s="634"/>
      <c r="T336" s="634"/>
      <c r="U336" s="634"/>
      <c r="V336" s="634"/>
      <c r="W336" s="634"/>
      <c r="X336" s="634"/>
      <c r="Y336" s="634"/>
      <c r="Z336" s="634"/>
      <c r="AA336" s="634"/>
    </row>
    <row r="337" ht="15.75" customHeight="1">
      <c r="A337" s="634"/>
      <c r="B337" s="634"/>
      <c r="C337" s="634"/>
      <c r="D337" s="634"/>
      <c r="E337" s="634"/>
      <c r="F337" s="634"/>
      <c r="G337" s="634"/>
      <c r="H337" s="635"/>
      <c r="I337" s="634"/>
      <c r="J337" s="636"/>
      <c r="K337" s="635"/>
      <c r="L337" s="635"/>
      <c r="M337" s="635"/>
      <c r="N337" s="635"/>
      <c r="O337" s="635"/>
      <c r="P337" s="635"/>
      <c r="Q337" s="635"/>
      <c r="R337" s="635"/>
      <c r="S337" s="634"/>
      <c r="T337" s="634"/>
      <c r="U337" s="634"/>
      <c r="V337" s="634"/>
      <c r="W337" s="634"/>
      <c r="X337" s="634"/>
      <c r="Y337" s="634"/>
      <c r="Z337" s="634"/>
      <c r="AA337" s="634"/>
    </row>
    <row r="338" ht="15.75" customHeight="1">
      <c r="A338" s="634"/>
      <c r="B338" s="634"/>
      <c r="C338" s="634"/>
      <c r="D338" s="634"/>
      <c r="E338" s="634"/>
      <c r="F338" s="634"/>
      <c r="G338" s="634"/>
      <c r="H338" s="635"/>
      <c r="I338" s="634"/>
      <c r="J338" s="636"/>
      <c r="K338" s="635"/>
      <c r="L338" s="635"/>
      <c r="M338" s="635"/>
      <c r="N338" s="635"/>
      <c r="O338" s="635"/>
      <c r="P338" s="635"/>
      <c r="Q338" s="635"/>
      <c r="R338" s="635"/>
      <c r="S338" s="634"/>
      <c r="T338" s="634"/>
      <c r="U338" s="634"/>
      <c r="V338" s="634"/>
      <c r="W338" s="634"/>
      <c r="X338" s="634"/>
      <c r="Y338" s="634"/>
      <c r="Z338" s="634"/>
      <c r="AA338" s="634"/>
    </row>
    <row r="339" ht="15.75" customHeight="1">
      <c r="A339" s="634"/>
      <c r="B339" s="634"/>
      <c r="C339" s="634"/>
      <c r="D339" s="634"/>
      <c r="E339" s="634"/>
      <c r="F339" s="634"/>
      <c r="G339" s="634"/>
      <c r="H339" s="635"/>
      <c r="I339" s="634"/>
      <c r="J339" s="636"/>
      <c r="K339" s="635"/>
      <c r="L339" s="635"/>
      <c r="M339" s="635"/>
      <c r="N339" s="635"/>
      <c r="O339" s="635"/>
      <c r="P339" s="635"/>
      <c r="Q339" s="635"/>
      <c r="R339" s="635"/>
      <c r="S339" s="634"/>
      <c r="T339" s="634"/>
      <c r="U339" s="634"/>
      <c r="V339" s="634"/>
      <c r="W339" s="634"/>
      <c r="X339" s="634"/>
      <c r="Y339" s="634"/>
      <c r="Z339" s="634"/>
      <c r="AA339" s="634"/>
    </row>
    <row r="340" ht="15.75" customHeight="1">
      <c r="A340" s="634"/>
      <c r="B340" s="634"/>
      <c r="C340" s="634"/>
      <c r="D340" s="634"/>
      <c r="E340" s="634"/>
      <c r="F340" s="634"/>
      <c r="G340" s="634"/>
      <c r="H340" s="635"/>
      <c r="I340" s="634"/>
      <c r="J340" s="636"/>
      <c r="K340" s="635"/>
      <c r="L340" s="635"/>
      <c r="M340" s="635"/>
      <c r="N340" s="635"/>
      <c r="O340" s="635"/>
      <c r="P340" s="635"/>
      <c r="Q340" s="635"/>
      <c r="R340" s="635"/>
      <c r="S340" s="634"/>
      <c r="T340" s="634"/>
      <c r="U340" s="634"/>
      <c r="V340" s="634"/>
      <c r="W340" s="634"/>
      <c r="X340" s="634"/>
      <c r="Y340" s="634"/>
      <c r="Z340" s="634"/>
      <c r="AA340" s="634"/>
    </row>
    <row r="341" ht="15.75" customHeight="1">
      <c r="A341" s="634"/>
      <c r="B341" s="634"/>
      <c r="C341" s="634"/>
      <c r="D341" s="634"/>
      <c r="E341" s="634"/>
      <c r="F341" s="634"/>
      <c r="G341" s="634"/>
      <c r="H341" s="635"/>
      <c r="I341" s="634"/>
      <c r="J341" s="636"/>
      <c r="K341" s="635"/>
      <c r="L341" s="635"/>
      <c r="M341" s="635"/>
      <c r="N341" s="635"/>
      <c r="O341" s="635"/>
      <c r="P341" s="635"/>
      <c r="Q341" s="635"/>
      <c r="R341" s="635"/>
      <c r="S341" s="634"/>
      <c r="T341" s="634"/>
      <c r="U341" s="634"/>
      <c r="V341" s="634"/>
      <c r="W341" s="634"/>
      <c r="X341" s="634"/>
      <c r="Y341" s="634"/>
      <c r="Z341" s="634"/>
      <c r="AA341" s="634"/>
    </row>
    <row r="342" ht="15.75" customHeight="1">
      <c r="A342" s="634"/>
      <c r="B342" s="634"/>
      <c r="C342" s="634"/>
      <c r="D342" s="634"/>
      <c r="E342" s="634"/>
      <c r="F342" s="634"/>
      <c r="G342" s="634"/>
      <c r="H342" s="635"/>
      <c r="I342" s="634"/>
      <c r="J342" s="636"/>
      <c r="K342" s="635"/>
      <c r="L342" s="635"/>
      <c r="M342" s="635"/>
      <c r="N342" s="635"/>
      <c r="O342" s="635"/>
      <c r="P342" s="635"/>
      <c r="Q342" s="635"/>
      <c r="R342" s="635"/>
      <c r="S342" s="634"/>
      <c r="T342" s="634"/>
      <c r="U342" s="634"/>
      <c r="V342" s="634"/>
      <c r="W342" s="634"/>
      <c r="X342" s="634"/>
      <c r="Y342" s="634"/>
      <c r="Z342" s="634"/>
      <c r="AA342" s="634"/>
    </row>
    <row r="343" ht="15.75" customHeight="1">
      <c r="A343" s="634"/>
      <c r="B343" s="634"/>
      <c r="C343" s="634"/>
      <c r="D343" s="634"/>
      <c r="E343" s="634"/>
      <c r="F343" s="634"/>
      <c r="G343" s="634"/>
      <c r="H343" s="635"/>
      <c r="I343" s="634"/>
      <c r="J343" s="636"/>
      <c r="K343" s="635"/>
      <c r="L343" s="635"/>
      <c r="M343" s="635"/>
      <c r="N343" s="635"/>
      <c r="O343" s="635"/>
      <c r="P343" s="635"/>
      <c r="Q343" s="635"/>
      <c r="R343" s="635"/>
      <c r="S343" s="634"/>
      <c r="T343" s="634"/>
      <c r="U343" s="634"/>
      <c r="V343" s="634"/>
      <c r="W343" s="634"/>
      <c r="X343" s="634"/>
      <c r="Y343" s="634"/>
      <c r="Z343" s="634"/>
      <c r="AA343" s="634"/>
    </row>
    <row r="344" ht="15.75" customHeight="1">
      <c r="A344" s="634"/>
      <c r="B344" s="634"/>
      <c r="C344" s="634"/>
      <c r="D344" s="634"/>
      <c r="E344" s="634"/>
      <c r="F344" s="634"/>
      <c r="G344" s="634"/>
      <c r="H344" s="635"/>
      <c r="I344" s="634"/>
      <c r="J344" s="636"/>
      <c r="K344" s="635"/>
      <c r="L344" s="635"/>
      <c r="M344" s="635"/>
      <c r="N344" s="635"/>
      <c r="O344" s="635"/>
      <c r="P344" s="635"/>
      <c r="Q344" s="635"/>
      <c r="R344" s="635"/>
      <c r="S344" s="634"/>
      <c r="T344" s="634"/>
      <c r="U344" s="634"/>
      <c r="V344" s="634"/>
      <c r="W344" s="634"/>
      <c r="X344" s="634"/>
      <c r="Y344" s="634"/>
      <c r="Z344" s="634"/>
      <c r="AA344" s="634"/>
    </row>
    <row r="345" ht="15.75" customHeight="1">
      <c r="A345" s="634"/>
      <c r="B345" s="634"/>
      <c r="C345" s="634"/>
      <c r="D345" s="634"/>
      <c r="E345" s="634"/>
      <c r="F345" s="634"/>
      <c r="G345" s="634"/>
      <c r="H345" s="635"/>
      <c r="I345" s="634"/>
      <c r="J345" s="636"/>
      <c r="K345" s="635"/>
      <c r="L345" s="635"/>
      <c r="M345" s="635"/>
      <c r="N345" s="635"/>
      <c r="O345" s="635"/>
      <c r="P345" s="635"/>
      <c r="Q345" s="635"/>
      <c r="R345" s="635"/>
      <c r="S345" s="634"/>
      <c r="T345" s="634"/>
      <c r="U345" s="634"/>
      <c r="V345" s="634"/>
      <c r="W345" s="634"/>
      <c r="X345" s="634"/>
      <c r="Y345" s="634"/>
      <c r="Z345" s="634"/>
      <c r="AA345" s="634"/>
    </row>
    <row r="346" ht="15.75" customHeight="1">
      <c r="A346" s="634"/>
      <c r="B346" s="634"/>
      <c r="C346" s="634"/>
      <c r="D346" s="634"/>
      <c r="E346" s="634"/>
      <c r="F346" s="634"/>
      <c r="G346" s="634"/>
      <c r="H346" s="635"/>
      <c r="I346" s="634"/>
      <c r="J346" s="636"/>
      <c r="K346" s="635"/>
      <c r="L346" s="635"/>
      <c r="M346" s="635"/>
      <c r="N346" s="635"/>
      <c r="O346" s="635"/>
      <c r="P346" s="635"/>
      <c r="Q346" s="635"/>
      <c r="R346" s="635"/>
      <c r="S346" s="634"/>
      <c r="T346" s="634"/>
      <c r="U346" s="634"/>
      <c r="V346" s="634"/>
      <c r="W346" s="634"/>
      <c r="X346" s="634"/>
      <c r="Y346" s="634"/>
      <c r="Z346" s="634"/>
      <c r="AA346" s="634"/>
    </row>
    <row r="347" ht="15.75" customHeight="1">
      <c r="A347" s="634"/>
      <c r="B347" s="634"/>
      <c r="C347" s="634"/>
      <c r="D347" s="634"/>
      <c r="E347" s="634"/>
      <c r="F347" s="634"/>
      <c r="G347" s="634"/>
      <c r="H347" s="635"/>
      <c r="I347" s="634"/>
      <c r="J347" s="636"/>
      <c r="K347" s="635"/>
      <c r="L347" s="635"/>
      <c r="M347" s="635"/>
      <c r="N347" s="635"/>
      <c r="O347" s="635"/>
      <c r="P347" s="635"/>
      <c r="Q347" s="635"/>
      <c r="R347" s="635"/>
      <c r="S347" s="634"/>
      <c r="T347" s="634"/>
      <c r="U347" s="634"/>
      <c r="V347" s="634"/>
      <c r="W347" s="634"/>
      <c r="X347" s="634"/>
      <c r="Y347" s="634"/>
      <c r="Z347" s="634"/>
      <c r="AA347" s="634"/>
    </row>
    <row r="348" ht="15.75" customHeight="1">
      <c r="A348" s="634"/>
      <c r="B348" s="634"/>
      <c r="C348" s="634"/>
      <c r="D348" s="634"/>
      <c r="E348" s="634"/>
      <c r="F348" s="634"/>
      <c r="G348" s="634"/>
      <c r="H348" s="635"/>
      <c r="I348" s="634"/>
      <c r="J348" s="636"/>
      <c r="K348" s="635"/>
      <c r="L348" s="635"/>
      <c r="M348" s="635"/>
      <c r="N348" s="635"/>
      <c r="O348" s="635"/>
      <c r="P348" s="635"/>
      <c r="Q348" s="635"/>
      <c r="R348" s="635"/>
      <c r="S348" s="634"/>
      <c r="T348" s="634"/>
      <c r="U348" s="634"/>
      <c r="V348" s="634"/>
      <c r="W348" s="634"/>
      <c r="X348" s="634"/>
      <c r="Y348" s="634"/>
      <c r="Z348" s="634"/>
      <c r="AA348" s="634"/>
    </row>
    <row r="349" ht="15.75" customHeight="1">
      <c r="A349" s="634"/>
      <c r="B349" s="634"/>
      <c r="C349" s="634"/>
      <c r="D349" s="634"/>
      <c r="E349" s="634"/>
      <c r="F349" s="634"/>
      <c r="G349" s="634"/>
      <c r="H349" s="635"/>
      <c r="I349" s="634"/>
      <c r="J349" s="636"/>
      <c r="K349" s="635"/>
      <c r="L349" s="635"/>
      <c r="M349" s="635"/>
      <c r="N349" s="635"/>
      <c r="O349" s="635"/>
      <c r="P349" s="635"/>
      <c r="Q349" s="635"/>
      <c r="R349" s="635"/>
      <c r="S349" s="634"/>
      <c r="T349" s="634"/>
      <c r="U349" s="634"/>
      <c r="V349" s="634"/>
      <c r="W349" s="634"/>
      <c r="X349" s="634"/>
      <c r="Y349" s="634"/>
      <c r="Z349" s="634"/>
      <c r="AA349" s="634"/>
    </row>
    <row r="350" ht="15.75" customHeight="1">
      <c r="A350" s="634"/>
      <c r="B350" s="634"/>
      <c r="C350" s="634"/>
      <c r="D350" s="634"/>
      <c r="E350" s="634"/>
      <c r="F350" s="634"/>
      <c r="G350" s="634"/>
      <c r="H350" s="635"/>
      <c r="I350" s="634"/>
      <c r="J350" s="636"/>
      <c r="K350" s="635"/>
      <c r="L350" s="635"/>
      <c r="M350" s="635"/>
      <c r="N350" s="635"/>
      <c r="O350" s="635"/>
      <c r="P350" s="635"/>
      <c r="Q350" s="635"/>
      <c r="R350" s="635"/>
      <c r="S350" s="634"/>
      <c r="T350" s="634"/>
      <c r="U350" s="634"/>
      <c r="V350" s="634"/>
      <c r="W350" s="634"/>
      <c r="X350" s="634"/>
      <c r="Y350" s="634"/>
      <c r="Z350" s="634"/>
      <c r="AA350" s="634"/>
    </row>
    <row r="351" ht="15.75" customHeight="1">
      <c r="A351" s="634"/>
      <c r="B351" s="634"/>
      <c r="C351" s="634"/>
      <c r="D351" s="634"/>
      <c r="E351" s="634"/>
      <c r="F351" s="634"/>
      <c r="G351" s="634"/>
      <c r="H351" s="635"/>
      <c r="I351" s="634"/>
      <c r="J351" s="636"/>
      <c r="K351" s="635"/>
      <c r="L351" s="635"/>
      <c r="M351" s="635"/>
      <c r="N351" s="635"/>
      <c r="O351" s="635"/>
      <c r="P351" s="635"/>
      <c r="Q351" s="635"/>
      <c r="R351" s="635"/>
      <c r="S351" s="634"/>
      <c r="T351" s="634"/>
      <c r="U351" s="634"/>
      <c r="V351" s="634"/>
      <c r="W351" s="634"/>
      <c r="X351" s="634"/>
      <c r="Y351" s="634"/>
      <c r="Z351" s="634"/>
      <c r="AA351" s="634"/>
    </row>
    <row r="352" ht="15.75" customHeight="1">
      <c r="A352" s="634"/>
      <c r="B352" s="634"/>
      <c r="C352" s="634"/>
      <c r="D352" s="634"/>
      <c r="E352" s="634"/>
      <c r="F352" s="634"/>
      <c r="G352" s="634"/>
      <c r="H352" s="635"/>
      <c r="I352" s="634"/>
      <c r="J352" s="636"/>
      <c r="K352" s="635"/>
      <c r="L352" s="635"/>
      <c r="M352" s="635"/>
      <c r="N352" s="635"/>
      <c r="O352" s="635"/>
      <c r="P352" s="635"/>
      <c r="Q352" s="635"/>
      <c r="R352" s="635"/>
      <c r="S352" s="634"/>
      <c r="T352" s="634"/>
      <c r="U352" s="634"/>
      <c r="V352" s="634"/>
      <c r="W352" s="634"/>
      <c r="X352" s="634"/>
      <c r="Y352" s="634"/>
      <c r="Z352" s="634"/>
      <c r="AA352" s="634"/>
    </row>
    <row r="353" ht="15.75" customHeight="1">
      <c r="A353" s="634"/>
      <c r="B353" s="634"/>
      <c r="C353" s="634"/>
      <c r="D353" s="634"/>
      <c r="E353" s="634"/>
      <c r="F353" s="634"/>
      <c r="G353" s="634"/>
      <c r="H353" s="635"/>
      <c r="I353" s="634"/>
      <c r="J353" s="636"/>
      <c r="K353" s="635"/>
      <c r="L353" s="635"/>
      <c r="M353" s="635"/>
      <c r="N353" s="635"/>
      <c r="O353" s="635"/>
      <c r="P353" s="635"/>
      <c r="Q353" s="635"/>
      <c r="R353" s="635"/>
      <c r="S353" s="634"/>
      <c r="T353" s="634"/>
      <c r="U353" s="634"/>
      <c r="V353" s="634"/>
      <c r="W353" s="634"/>
      <c r="X353" s="634"/>
      <c r="Y353" s="634"/>
      <c r="Z353" s="634"/>
      <c r="AA353" s="634"/>
    </row>
    <row r="354" ht="15.75" customHeight="1">
      <c r="A354" s="634"/>
      <c r="B354" s="634"/>
      <c r="C354" s="634"/>
      <c r="D354" s="634"/>
      <c r="E354" s="634"/>
      <c r="F354" s="634"/>
      <c r="G354" s="634"/>
      <c r="H354" s="635"/>
      <c r="I354" s="634"/>
      <c r="J354" s="636"/>
      <c r="K354" s="635"/>
      <c r="L354" s="635"/>
      <c r="M354" s="635"/>
      <c r="N354" s="635"/>
      <c r="O354" s="635"/>
      <c r="P354" s="635"/>
      <c r="Q354" s="635"/>
      <c r="R354" s="635"/>
      <c r="S354" s="634"/>
      <c r="T354" s="634"/>
      <c r="U354" s="634"/>
      <c r="V354" s="634"/>
      <c r="W354" s="634"/>
      <c r="X354" s="634"/>
      <c r="Y354" s="634"/>
      <c r="Z354" s="634"/>
      <c r="AA354" s="634"/>
    </row>
    <row r="355" ht="15.75" customHeight="1">
      <c r="A355" s="634"/>
      <c r="B355" s="634"/>
      <c r="C355" s="634"/>
      <c r="D355" s="634"/>
      <c r="E355" s="634"/>
      <c r="F355" s="634"/>
      <c r="G355" s="634"/>
      <c r="H355" s="635"/>
      <c r="I355" s="634"/>
      <c r="J355" s="636"/>
      <c r="K355" s="635"/>
      <c r="L355" s="635"/>
      <c r="M355" s="635"/>
      <c r="N355" s="635"/>
      <c r="O355" s="635"/>
      <c r="P355" s="635"/>
      <c r="Q355" s="635"/>
      <c r="R355" s="635"/>
      <c r="S355" s="634"/>
      <c r="T355" s="634"/>
      <c r="U355" s="634"/>
      <c r="V355" s="634"/>
      <c r="W355" s="634"/>
      <c r="X355" s="634"/>
      <c r="Y355" s="634"/>
      <c r="Z355" s="634"/>
      <c r="AA355" s="634"/>
    </row>
    <row r="356" ht="15.75" customHeight="1">
      <c r="A356" s="634"/>
      <c r="B356" s="634"/>
      <c r="C356" s="634"/>
      <c r="D356" s="634"/>
      <c r="E356" s="634"/>
      <c r="F356" s="634"/>
      <c r="G356" s="634"/>
      <c r="H356" s="635"/>
      <c r="I356" s="634"/>
      <c r="J356" s="636"/>
      <c r="K356" s="635"/>
      <c r="L356" s="635"/>
      <c r="M356" s="635"/>
      <c r="N356" s="635"/>
      <c r="O356" s="635"/>
      <c r="P356" s="635"/>
      <c r="Q356" s="635"/>
      <c r="R356" s="635"/>
      <c r="S356" s="634"/>
      <c r="T356" s="634"/>
      <c r="U356" s="634"/>
      <c r="V356" s="634"/>
      <c r="W356" s="634"/>
      <c r="X356" s="634"/>
      <c r="Y356" s="634"/>
      <c r="Z356" s="634"/>
      <c r="AA356" s="634"/>
    </row>
    <row r="357" ht="15.75" customHeight="1">
      <c r="A357" s="634"/>
      <c r="B357" s="634"/>
      <c r="C357" s="634"/>
      <c r="D357" s="634"/>
      <c r="E357" s="634"/>
      <c r="F357" s="634"/>
      <c r="G357" s="634"/>
      <c r="H357" s="635"/>
      <c r="I357" s="634"/>
      <c r="J357" s="636"/>
      <c r="K357" s="635"/>
      <c r="L357" s="635"/>
      <c r="M357" s="635"/>
      <c r="N357" s="635"/>
      <c r="O357" s="635"/>
      <c r="P357" s="635"/>
      <c r="Q357" s="635"/>
      <c r="R357" s="635"/>
      <c r="S357" s="634"/>
      <c r="T357" s="634"/>
      <c r="U357" s="634"/>
      <c r="V357" s="634"/>
      <c r="W357" s="634"/>
      <c r="X357" s="634"/>
      <c r="Y357" s="634"/>
      <c r="Z357" s="634"/>
      <c r="AA357" s="634"/>
    </row>
    <row r="358" ht="15.75" customHeight="1">
      <c r="A358" s="634"/>
      <c r="B358" s="634"/>
      <c r="C358" s="634"/>
      <c r="D358" s="634"/>
      <c r="E358" s="634"/>
      <c r="F358" s="634"/>
      <c r="G358" s="634"/>
      <c r="H358" s="635"/>
      <c r="I358" s="634"/>
      <c r="J358" s="636"/>
      <c r="K358" s="635"/>
      <c r="L358" s="635"/>
      <c r="M358" s="635"/>
      <c r="N358" s="635"/>
      <c r="O358" s="635"/>
      <c r="P358" s="635"/>
      <c r="Q358" s="635"/>
      <c r="R358" s="635"/>
      <c r="S358" s="634"/>
      <c r="T358" s="634"/>
      <c r="U358" s="634"/>
      <c r="V358" s="634"/>
      <c r="W358" s="634"/>
      <c r="X358" s="634"/>
      <c r="Y358" s="634"/>
      <c r="Z358" s="634"/>
      <c r="AA358" s="634"/>
    </row>
    <row r="359" ht="15.75" customHeight="1">
      <c r="A359" s="634"/>
      <c r="B359" s="634"/>
      <c r="C359" s="634"/>
      <c r="D359" s="634"/>
      <c r="E359" s="634"/>
      <c r="F359" s="634"/>
      <c r="G359" s="634"/>
      <c r="H359" s="635"/>
      <c r="I359" s="634"/>
      <c r="J359" s="636"/>
      <c r="K359" s="635"/>
      <c r="L359" s="635"/>
      <c r="M359" s="635"/>
      <c r="N359" s="635"/>
      <c r="O359" s="635"/>
      <c r="P359" s="635"/>
      <c r="Q359" s="635"/>
      <c r="R359" s="635"/>
      <c r="S359" s="634"/>
      <c r="T359" s="634"/>
      <c r="U359" s="634"/>
      <c r="V359" s="634"/>
      <c r="W359" s="634"/>
      <c r="X359" s="634"/>
      <c r="Y359" s="634"/>
      <c r="Z359" s="634"/>
      <c r="AA359" s="634"/>
    </row>
    <row r="360" ht="15.75" customHeight="1">
      <c r="A360" s="634"/>
      <c r="B360" s="634"/>
      <c r="C360" s="634"/>
      <c r="D360" s="634"/>
      <c r="E360" s="634"/>
      <c r="F360" s="634"/>
      <c r="G360" s="634"/>
      <c r="H360" s="635"/>
      <c r="I360" s="634"/>
      <c r="J360" s="636"/>
      <c r="K360" s="635"/>
      <c r="L360" s="635"/>
      <c r="M360" s="635"/>
      <c r="N360" s="635"/>
      <c r="O360" s="635"/>
      <c r="P360" s="635"/>
      <c r="Q360" s="635"/>
      <c r="R360" s="635"/>
      <c r="S360" s="634"/>
      <c r="T360" s="634"/>
      <c r="U360" s="634"/>
      <c r="V360" s="634"/>
      <c r="W360" s="634"/>
      <c r="X360" s="634"/>
      <c r="Y360" s="634"/>
      <c r="Z360" s="634"/>
      <c r="AA360" s="634"/>
    </row>
    <row r="361" ht="15.75" customHeight="1">
      <c r="A361" s="634"/>
      <c r="B361" s="634"/>
      <c r="C361" s="634"/>
      <c r="D361" s="634"/>
      <c r="E361" s="634"/>
      <c r="F361" s="634"/>
      <c r="G361" s="634"/>
      <c r="H361" s="635"/>
      <c r="I361" s="634"/>
      <c r="J361" s="636"/>
      <c r="K361" s="635"/>
      <c r="L361" s="635"/>
      <c r="M361" s="635"/>
      <c r="N361" s="635"/>
      <c r="O361" s="635"/>
      <c r="P361" s="635"/>
      <c r="Q361" s="635"/>
      <c r="R361" s="635"/>
      <c r="S361" s="634"/>
      <c r="T361" s="634"/>
      <c r="U361" s="634"/>
      <c r="V361" s="634"/>
      <c r="W361" s="634"/>
      <c r="X361" s="634"/>
      <c r="Y361" s="634"/>
      <c r="Z361" s="634"/>
      <c r="AA361" s="634"/>
    </row>
    <row r="362" ht="15.75" customHeight="1">
      <c r="A362" s="634"/>
      <c r="B362" s="634"/>
      <c r="C362" s="634"/>
      <c r="D362" s="634"/>
      <c r="E362" s="634"/>
      <c r="F362" s="634"/>
      <c r="G362" s="634"/>
      <c r="H362" s="635"/>
      <c r="I362" s="634"/>
      <c r="J362" s="636"/>
      <c r="K362" s="635"/>
      <c r="L362" s="635"/>
      <c r="M362" s="635"/>
      <c r="N362" s="635"/>
      <c r="O362" s="635"/>
      <c r="P362" s="635"/>
      <c r="Q362" s="635"/>
      <c r="R362" s="635"/>
      <c r="S362" s="634"/>
      <c r="T362" s="634"/>
      <c r="U362" s="634"/>
      <c r="V362" s="634"/>
      <c r="W362" s="634"/>
      <c r="X362" s="634"/>
      <c r="Y362" s="634"/>
      <c r="Z362" s="634"/>
      <c r="AA362" s="634"/>
    </row>
    <row r="363" ht="15.75" customHeight="1">
      <c r="A363" s="634"/>
      <c r="B363" s="634"/>
      <c r="C363" s="634"/>
      <c r="D363" s="634"/>
      <c r="E363" s="634"/>
      <c r="F363" s="634"/>
      <c r="G363" s="634"/>
      <c r="H363" s="635"/>
      <c r="I363" s="634"/>
      <c r="J363" s="636"/>
      <c r="K363" s="635"/>
      <c r="L363" s="635"/>
      <c r="M363" s="635"/>
      <c r="N363" s="635"/>
      <c r="O363" s="635"/>
      <c r="P363" s="635"/>
      <c r="Q363" s="635"/>
      <c r="R363" s="635"/>
      <c r="S363" s="634"/>
      <c r="T363" s="634"/>
      <c r="U363" s="634"/>
      <c r="V363" s="634"/>
      <c r="W363" s="634"/>
      <c r="X363" s="634"/>
      <c r="Y363" s="634"/>
      <c r="Z363" s="634"/>
      <c r="AA363" s="634"/>
    </row>
    <row r="364" ht="15.75" customHeight="1">
      <c r="A364" s="634"/>
      <c r="B364" s="634"/>
      <c r="C364" s="634"/>
      <c r="D364" s="634"/>
      <c r="E364" s="634"/>
      <c r="F364" s="634"/>
      <c r="G364" s="634"/>
      <c r="H364" s="635"/>
      <c r="I364" s="634"/>
      <c r="J364" s="636"/>
      <c r="K364" s="635"/>
      <c r="L364" s="635"/>
      <c r="M364" s="635"/>
      <c r="N364" s="635"/>
      <c r="O364" s="635"/>
      <c r="P364" s="635"/>
      <c r="Q364" s="635"/>
      <c r="R364" s="635"/>
      <c r="S364" s="634"/>
      <c r="T364" s="634"/>
      <c r="U364" s="634"/>
      <c r="V364" s="634"/>
      <c r="W364" s="634"/>
      <c r="X364" s="634"/>
      <c r="Y364" s="634"/>
      <c r="Z364" s="634"/>
      <c r="AA364" s="634"/>
    </row>
    <row r="365" ht="15.75" customHeight="1">
      <c r="A365" s="634"/>
      <c r="B365" s="634"/>
      <c r="C365" s="634"/>
      <c r="D365" s="634"/>
      <c r="E365" s="634"/>
      <c r="F365" s="634"/>
      <c r="G365" s="634"/>
      <c r="H365" s="635"/>
      <c r="I365" s="634"/>
      <c r="J365" s="636"/>
      <c r="K365" s="635"/>
      <c r="L365" s="635"/>
      <c r="M365" s="635"/>
      <c r="N365" s="635"/>
      <c r="O365" s="635"/>
      <c r="P365" s="635"/>
      <c r="Q365" s="635"/>
      <c r="R365" s="635"/>
      <c r="S365" s="634"/>
      <c r="T365" s="634"/>
      <c r="U365" s="634"/>
      <c r="V365" s="634"/>
      <c r="W365" s="634"/>
      <c r="X365" s="634"/>
      <c r="Y365" s="634"/>
      <c r="Z365" s="634"/>
      <c r="AA365" s="634"/>
    </row>
    <row r="366" ht="15.75" customHeight="1">
      <c r="A366" s="634"/>
      <c r="B366" s="634"/>
      <c r="C366" s="634"/>
      <c r="D366" s="634"/>
      <c r="E366" s="634"/>
      <c r="F366" s="634"/>
      <c r="G366" s="634"/>
      <c r="H366" s="635"/>
      <c r="I366" s="634"/>
      <c r="J366" s="636"/>
      <c r="K366" s="635"/>
      <c r="L366" s="635"/>
      <c r="M366" s="635"/>
      <c r="N366" s="635"/>
      <c r="O366" s="635"/>
      <c r="P366" s="635"/>
      <c r="Q366" s="635"/>
      <c r="R366" s="635"/>
      <c r="S366" s="634"/>
      <c r="T366" s="634"/>
      <c r="U366" s="634"/>
      <c r="V366" s="634"/>
      <c r="W366" s="634"/>
      <c r="X366" s="634"/>
      <c r="Y366" s="634"/>
      <c r="Z366" s="634"/>
      <c r="AA366" s="634"/>
    </row>
    <row r="367" ht="15.75" customHeight="1">
      <c r="A367" s="634"/>
      <c r="B367" s="634"/>
      <c r="C367" s="634"/>
      <c r="D367" s="634"/>
      <c r="E367" s="634"/>
      <c r="F367" s="634"/>
      <c r="G367" s="634"/>
      <c r="H367" s="635"/>
      <c r="I367" s="634"/>
      <c r="J367" s="636"/>
      <c r="K367" s="635"/>
      <c r="L367" s="635"/>
      <c r="M367" s="635"/>
      <c r="N367" s="635"/>
      <c r="O367" s="635"/>
      <c r="P367" s="635"/>
      <c r="Q367" s="635"/>
      <c r="R367" s="635"/>
      <c r="S367" s="634"/>
      <c r="T367" s="634"/>
      <c r="U367" s="634"/>
      <c r="V367" s="634"/>
      <c r="W367" s="634"/>
      <c r="X367" s="634"/>
      <c r="Y367" s="634"/>
      <c r="Z367" s="634"/>
      <c r="AA367" s="634"/>
    </row>
    <row r="368" ht="15.75" customHeight="1">
      <c r="A368" s="634"/>
      <c r="B368" s="634"/>
      <c r="C368" s="634"/>
      <c r="D368" s="634"/>
      <c r="E368" s="634"/>
      <c r="F368" s="634"/>
      <c r="G368" s="634"/>
      <c r="H368" s="635"/>
      <c r="I368" s="634"/>
      <c r="J368" s="636"/>
      <c r="K368" s="635"/>
      <c r="L368" s="635"/>
      <c r="M368" s="635"/>
      <c r="N368" s="635"/>
      <c r="O368" s="635"/>
      <c r="P368" s="635"/>
      <c r="Q368" s="635"/>
      <c r="R368" s="635"/>
      <c r="S368" s="634"/>
      <c r="T368" s="634"/>
      <c r="U368" s="634"/>
      <c r="V368" s="634"/>
      <c r="W368" s="634"/>
      <c r="X368" s="634"/>
      <c r="Y368" s="634"/>
      <c r="Z368" s="634"/>
      <c r="AA368" s="634"/>
    </row>
    <row r="369" ht="15.75" customHeight="1">
      <c r="A369" s="634"/>
      <c r="B369" s="634"/>
      <c r="C369" s="634"/>
      <c r="D369" s="634"/>
      <c r="E369" s="634"/>
      <c r="F369" s="634"/>
      <c r="G369" s="634"/>
      <c r="H369" s="635"/>
      <c r="I369" s="634"/>
      <c r="J369" s="636"/>
      <c r="K369" s="635"/>
      <c r="L369" s="635"/>
      <c r="M369" s="635"/>
      <c r="N369" s="635"/>
      <c r="O369" s="635"/>
      <c r="P369" s="635"/>
      <c r="Q369" s="635"/>
      <c r="R369" s="635"/>
      <c r="S369" s="634"/>
      <c r="T369" s="634"/>
      <c r="U369" s="634"/>
      <c r="V369" s="634"/>
      <c r="W369" s="634"/>
      <c r="X369" s="634"/>
      <c r="Y369" s="634"/>
      <c r="Z369" s="634"/>
      <c r="AA369" s="634"/>
    </row>
    <row r="370" ht="15.75" customHeight="1">
      <c r="A370" s="634"/>
      <c r="B370" s="634"/>
      <c r="C370" s="634"/>
      <c r="D370" s="634"/>
      <c r="E370" s="634"/>
      <c r="F370" s="634"/>
      <c r="G370" s="634"/>
      <c r="H370" s="635"/>
      <c r="I370" s="634"/>
      <c r="J370" s="636"/>
      <c r="K370" s="635"/>
      <c r="L370" s="635"/>
      <c r="M370" s="635"/>
      <c r="N370" s="635"/>
      <c r="O370" s="635"/>
      <c r="P370" s="635"/>
      <c r="Q370" s="635"/>
      <c r="R370" s="635"/>
      <c r="S370" s="634"/>
      <c r="T370" s="634"/>
      <c r="U370" s="634"/>
      <c r="V370" s="634"/>
      <c r="W370" s="634"/>
      <c r="X370" s="634"/>
      <c r="Y370" s="634"/>
      <c r="Z370" s="634"/>
      <c r="AA370" s="634"/>
    </row>
    <row r="371" ht="15.75" customHeight="1">
      <c r="A371" s="634"/>
      <c r="B371" s="634"/>
      <c r="C371" s="634"/>
      <c r="D371" s="634"/>
      <c r="E371" s="634"/>
      <c r="F371" s="634"/>
      <c r="G371" s="634"/>
      <c r="H371" s="635"/>
      <c r="I371" s="634"/>
      <c r="J371" s="636"/>
      <c r="K371" s="635"/>
      <c r="L371" s="635"/>
      <c r="M371" s="635"/>
      <c r="N371" s="635"/>
      <c r="O371" s="635"/>
      <c r="P371" s="635"/>
      <c r="Q371" s="635"/>
      <c r="R371" s="635"/>
      <c r="S371" s="634"/>
      <c r="T371" s="634"/>
      <c r="U371" s="634"/>
      <c r="V371" s="634"/>
      <c r="W371" s="634"/>
      <c r="X371" s="634"/>
      <c r="Y371" s="634"/>
      <c r="Z371" s="634"/>
      <c r="AA371" s="634"/>
    </row>
    <row r="372" ht="15.75" customHeight="1">
      <c r="A372" s="634"/>
      <c r="B372" s="634"/>
      <c r="C372" s="634"/>
      <c r="D372" s="634"/>
      <c r="E372" s="634"/>
      <c r="F372" s="634"/>
      <c r="G372" s="634"/>
      <c r="H372" s="635"/>
      <c r="I372" s="634"/>
      <c r="J372" s="636"/>
      <c r="K372" s="635"/>
      <c r="L372" s="635"/>
      <c r="M372" s="635"/>
      <c r="N372" s="635"/>
      <c r="O372" s="635"/>
      <c r="P372" s="635"/>
      <c r="Q372" s="635"/>
      <c r="R372" s="635"/>
      <c r="S372" s="634"/>
      <c r="T372" s="634"/>
      <c r="U372" s="634"/>
      <c r="V372" s="634"/>
      <c r="W372" s="634"/>
      <c r="X372" s="634"/>
      <c r="Y372" s="634"/>
      <c r="Z372" s="634"/>
      <c r="AA372" s="634"/>
    </row>
    <row r="373" ht="15.75" customHeight="1">
      <c r="A373" s="634"/>
      <c r="B373" s="634"/>
      <c r="C373" s="634"/>
      <c r="D373" s="634"/>
      <c r="E373" s="634"/>
      <c r="F373" s="634"/>
      <c r="G373" s="634"/>
      <c r="H373" s="635"/>
      <c r="I373" s="634"/>
      <c r="J373" s="636"/>
      <c r="K373" s="635"/>
      <c r="L373" s="635"/>
      <c r="M373" s="635"/>
      <c r="N373" s="635"/>
      <c r="O373" s="635"/>
      <c r="P373" s="635"/>
      <c r="Q373" s="635"/>
      <c r="R373" s="635"/>
      <c r="S373" s="634"/>
      <c r="T373" s="634"/>
      <c r="U373" s="634"/>
      <c r="V373" s="634"/>
      <c r="W373" s="634"/>
      <c r="X373" s="634"/>
      <c r="Y373" s="634"/>
      <c r="Z373" s="634"/>
      <c r="AA373" s="634"/>
    </row>
    <row r="374" ht="15.75" customHeight="1">
      <c r="A374" s="634"/>
      <c r="B374" s="634"/>
      <c r="C374" s="634"/>
      <c r="D374" s="634"/>
      <c r="E374" s="634"/>
      <c r="F374" s="634"/>
      <c r="G374" s="634"/>
      <c r="H374" s="635"/>
      <c r="I374" s="634"/>
      <c r="J374" s="636"/>
      <c r="K374" s="635"/>
      <c r="L374" s="635"/>
      <c r="M374" s="635"/>
      <c r="N374" s="635"/>
      <c r="O374" s="635"/>
      <c r="P374" s="635"/>
      <c r="Q374" s="635"/>
      <c r="R374" s="635"/>
      <c r="S374" s="634"/>
      <c r="T374" s="634"/>
      <c r="U374" s="634"/>
      <c r="V374" s="634"/>
      <c r="W374" s="634"/>
      <c r="X374" s="634"/>
      <c r="Y374" s="634"/>
      <c r="Z374" s="634"/>
      <c r="AA374" s="634"/>
    </row>
    <row r="375" ht="15.75" customHeight="1">
      <c r="A375" s="634"/>
      <c r="B375" s="634"/>
      <c r="C375" s="634"/>
      <c r="D375" s="634"/>
      <c r="E375" s="634"/>
      <c r="F375" s="634"/>
      <c r="G375" s="634"/>
      <c r="H375" s="635"/>
      <c r="I375" s="634"/>
      <c r="J375" s="636"/>
      <c r="K375" s="635"/>
      <c r="L375" s="635"/>
      <c r="M375" s="635"/>
      <c r="N375" s="635"/>
      <c r="O375" s="635"/>
      <c r="P375" s="635"/>
      <c r="Q375" s="635"/>
      <c r="R375" s="635"/>
      <c r="S375" s="634"/>
      <c r="T375" s="634"/>
      <c r="U375" s="634"/>
      <c r="V375" s="634"/>
      <c r="W375" s="634"/>
      <c r="X375" s="634"/>
      <c r="Y375" s="634"/>
      <c r="Z375" s="634"/>
      <c r="AA375" s="634"/>
    </row>
    <row r="376" ht="15.75" customHeight="1">
      <c r="A376" s="634"/>
      <c r="B376" s="634"/>
      <c r="C376" s="634"/>
      <c r="D376" s="634"/>
      <c r="E376" s="634"/>
      <c r="F376" s="634"/>
      <c r="G376" s="634"/>
      <c r="H376" s="635"/>
      <c r="I376" s="634"/>
      <c r="J376" s="636"/>
      <c r="K376" s="635"/>
      <c r="L376" s="635"/>
      <c r="M376" s="635"/>
      <c r="N376" s="635"/>
      <c r="O376" s="635"/>
      <c r="P376" s="635"/>
      <c r="Q376" s="635"/>
      <c r="R376" s="635"/>
      <c r="S376" s="634"/>
      <c r="T376" s="634"/>
      <c r="U376" s="634"/>
      <c r="V376" s="634"/>
      <c r="W376" s="634"/>
      <c r="X376" s="634"/>
      <c r="Y376" s="634"/>
      <c r="Z376" s="634"/>
      <c r="AA376" s="634"/>
    </row>
    <row r="377" ht="15.75" customHeight="1">
      <c r="A377" s="634"/>
      <c r="B377" s="634"/>
      <c r="C377" s="634"/>
      <c r="D377" s="634"/>
      <c r="E377" s="634"/>
      <c r="F377" s="634"/>
      <c r="G377" s="634"/>
      <c r="H377" s="635"/>
      <c r="I377" s="634"/>
      <c r="J377" s="636"/>
      <c r="K377" s="635"/>
      <c r="L377" s="635"/>
      <c r="M377" s="635"/>
      <c r="N377" s="635"/>
      <c r="O377" s="635"/>
      <c r="P377" s="635"/>
      <c r="Q377" s="635"/>
      <c r="R377" s="635"/>
      <c r="S377" s="634"/>
      <c r="T377" s="634"/>
      <c r="U377" s="634"/>
      <c r="V377" s="634"/>
      <c r="W377" s="634"/>
      <c r="X377" s="634"/>
      <c r="Y377" s="634"/>
      <c r="Z377" s="634"/>
      <c r="AA377" s="634"/>
    </row>
    <row r="378" ht="15.75" customHeight="1">
      <c r="A378" s="634"/>
      <c r="B378" s="634"/>
      <c r="C378" s="634"/>
      <c r="D378" s="634"/>
      <c r="E378" s="634"/>
      <c r="F378" s="634"/>
      <c r="G378" s="634"/>
      <c r="H378" s="635"/>
      <c r="I378" s="634"/>
      <c r="J378" s="636"/>
      <c r="K378" s="635"/>
      <c r="L378" s="635"/>
      <c r="M378" s="635"/>
      <c r="N378" s="635"/>
      <c r="O378" s="635"/>
      <c r="P378" s="635"/>
      <c r="Q378" s="635"/>
      <c r="R378" s="635"/>
      <c r="S378" s="634"/>
      <c r="T378" s="634"/>
      <c r="U378" s="634"/>
      <c r="V378" s="634"/>
      <c r="W378" s="634"/>
      <c r="X378" s="634"/>
      <c r="Y378" s="634"/>
      <c r="Z378" s="634"/>
      <c r="AA378" s="634"/>
    </row>
    <row r="379" ht="15.75" customHeight="1">
      <c r="A379" s="634"/>
      <c r="B379" s="634"/>
      <c r="C379" s="634"/>
      <c r="D379" s="634"/>
      <c r="E379" s="634"/>
      <c r="F379" s="634"/>
      <c r="G379" s="634"/>
      <c r="H379" s="635"/>
      <c r="I379" s="634"/>
      <c r="J379" s="636"/>
      <c r="K379" s="635"/>
      <c r="L379" s="635"/>
      <c r="M379" s="635"/>
      <c r="N379" s="635"/>
      <c r="O379" s="635"/>
      <c r="P379" s="635"/>
      <c r="Q379" s="635"/>
      <c r="R379" s="635"/>
      <c r="S379" s="634"/>
      <c r="T379" s="634"/>
      <c r="U379" s="634"/>
      <c r="V379" s="634"/>
      <c r="W379" s="634"/>
      <c r="X379" s="634"/>
      <c r="Y379" s="634"/>
      <c r="Z379" s="634"/>
      <c r="AA379" s="634"/>
    </row>
    <row r="380" ht="15.75" customHeight="1">
      <c r="A380" s="634"/>
      <c r="B380" s="634"/>
      <c r="C380" s="634"/>
      <c r="D380" s="634"/>
      <c r="E380" s="634"/>
      <c r="F380" s="634"/>
      <c r="G380" s="634"/>
      <c r="H380" s="635"/>
      <c r="I380" s="634"/>
      <c r="J380" s="636"/>
      <c r="K380" s="635"/>
      <c r="L380" s="635"/>
      <c r="M380" s="635"/>
      <c r="N380" s="635"/>
      <c r="O380" s="635"/>
      <c r="P380" s="635"/>
      <c r="Q380" s="635"/>
      <c r="R380" s="635"/>
      <c r="S380" s="634"/>
      <c r="T380" s="634"/>
      <c r="U380" s="634"/>
      <c r="V380" s="634"/>
      <c r="W380" s="634"/>
      <c r="X380" s="634"/>
      <c r="Y380" s="634"/>
      <c r="Z380" s="634"/>
      <c r="AA380" s="634"/>
    </row>
    <row r="381" ht="15.75" customHeight="1">
      <c r="A381" s="634"/>
      <c r="B381" s="634"/>
      <c r="C381" s="634"/>
      <c r="D381" s="634"/>
      <c r="E381" s="634"/>
      <c r="F381" s="634"/>
      <c r="G381" s="634"/>
      <c r="H381" s="635"/>
      <c r="I381" s="634"/>
      <c r="J381" s="636"/>
      <c r="K381" s="635"/>
      <c r="L381" s="635"/>
      <c r="M381" s="635"/>
      <c r="N381" s="635"/>
      <c r="O381" s="635"/>
      <c r="P381" s="635"/>
      <c r="Q381" s="635"/>
      <c r="R381" s="635"/>
      <c r="S381" s="634"/>
      <c r="T381" s="634"/>
      <c r="U381" s="634"/>
      <c r="V381" s="634"/>
      <c r="W381" s="634"/>
      <c r="X381" s="634"/>
      <c r="Y381" s="634"/>
      <c r="Z381" s="634"/>
      <c r="AA381" s="634"/>
    </row>
    <row r="382" ht="15.75" customHeight="1">
      <c r="A382" s="634"/>
      <c r="B382" s="634"/>
      <c r="C382" s="634"/>
      <c r="D382" s="634"/>
      <c r="E382" s="634"/>
      <c r="F382" s="634"/>
      <c r="G382" s="634"/>
      <c r="H382" s="635"/>
      <c r="I382" s="634"/>
      <c r="J382" s="636"/>
      <c r="K382" s="635"/>
      <c r="L382" s="635"/>
      <c r="M382" s="635"/>
      <c r="N382" s="635"/>
      <c r="O382" s="635"/>
      <c r="P382" s="635"/>
      <c r="Q382" s="635"/>
      <c r="R382" s="635"/>
      <c r="S382" s="634"/>
      <c r="T382" s="634"/>
      <c r="U382" s="634"/>
      <c r="V382" s="634"/>
      <c r="W382" s="634"/>
      <c r="X382" s="634"/>
      <c r="Y382" s="634"/>
      <c r="Z382" s="634"/>
      <c r="AA382" s="634"/>
    </row>
    <row r="383" ht="15.75" customHeight="1">
      <c r="A383" s="634"/>
      <c r="B383" s="634"/>
      <c r="C383" s="634"/>
      <c r="D383" s="634"/>
      <c r="E383" s="634"/>
      <c r="F383" s="634"/>
      <c r="G383" s="634"/>
      <c r="H383" s="635"/>
      <c r="I383" s="634"/>
      <c r="J383" s="636"/>
      <c r="K383" s="635"/>
      <c r="L383" s="635"/>
      <c r="M383" s="635"/>
      <c r="N383" s="635"/>
      <c r="O383" s="635"/>
      <c r="P383" s="635"/>
      <c r="Q383" s="635"/>
      <c r="R383" s="635"/>
      <c r="S383" s="634"/>
      <c r="T383" s="634"/>
      <c r="U383" s="634"/>
      <c r="V383" s="634"/>
      <c r="W383" s="634"/>
      <c r="X383" s="634"/>
      <c r="Y383" s="634"/>
      <c r="Z383" s="634"/>
      <c r="AA383" s="634"/>
    </row>
    <row r="384" ht="15.75" customHeight="1">
      <c r="A384" s="634"/>
      <c r="B384" s="634"/>
      <c r="C384" s="634"/>
      <c r="D384" s="634"/>
      <c r="E384" s="634"/>
      <c r="F384" s="634"/>
      <c r="G384" s="634"/>
      <c r="H384" s="635"/>
      <c r="I384" s="634"/>
      <c r="J384" s="636"/>
      <c r="K384" s="635"/>
      <c r="L384" s="635"/>
      <c r="M384" s="635"/>
      <c r="N384" s="635"/>
      <c r="O384" s="635"/>
      <c r="P384" s="635"/>
      <c r="Q384" s="635"/>
      <c r="R384" s="635"/>
      <c r="S384" s="634"/>
      <c r="T384" s="634"/>
      <c r="U384" s="634"/>
      <c r="V384" s="634"/>
      <c r="W384" s="634"/>
      <c r="X384" s="634"/>
      <c r="Y384" s="634"/>
      <c r="Z384" s="634"/>
      <c r="AA384" s="634"/>
    </row>
    <row r="385" ht="15.75" customHeight="1">
      <c r="A385" s="634"/>
      <c r="B385" s="634"/>
      <c r="C385" s="634"/>
      <c r="D385" s="634"/>
      <c r="E385" s="634"/>
      <c r="F385" s="634"/>
      <c r="G385" s="634"/>
      <c r="H385" s="635"/>
      <c r="I385" s="634"/>
      <c r="J385" s="636"/>
      <c r="K385" s="635"/>
      <c r="L385" s="635"/>
      <c r="M385" s="635"/>
      <c r="N385" s="635"/>
      <c r="O385" s="635"/>
      <c r="P385" s="635"/>
      <c r="Q385" s="635"/>
      <c r="R385" s="635"/>
      <c r="S385" s="634"/>
      <c r="T385" s="634"/>
      <c r="U385" s="634"/>
      <c r="V385" s="634"/>
      <c r="W385" s="634"/>
      <c r="X385" s="634"/>
      <c r="Y385" s="634"/>
      <c r="Z385" s="634"/>
      <c r="AA385" s="634"/>
    </row>
    <row r="386" ht="15.75" customHeight="1">
      <c r="A386" s="634"/>
      <c r="B386" s="634"/>
      <c r="C386" s="634"/>
      <c r="D386" s="634"/>
      <c r="E386" s="634"/>
      <c r="F386" s="634"/>
      <c r="G386" s="634"/>
      <c r="H386" s="635"/>
      <c r="I386" s="634"/>
      <c r="J386" s="636"/>
      <c r="K386" s="635"/>
      <c r="L386" s="635"/>
      <c r="M386" s="635"/>
      <c r="N386" s="635"/>
      <c r="O386" s="635"/>
      <c r="P386" s="635"/>
      <c r="Q386" s="635"/>
      <c r="R386" s="635"/>
      <c r="S386" s="634"/>
      <c r="T386" s="634"/>
      <c r="U386" s="634"/>
      <c r="V386" s="634"/>
      <c r="W386" s="634"/>
      <c r="X386" s="634"/>
      <c r="Y386" s="634"/>
      <c r="Z386" s="634"/>
      <c r="AA386" s="634"/>
    </row>
    <row r="387" ht="15.75" customHeight="1">
      <c r="A387" s="634"/>
      <c r="B387" s="634"/>
      <c r="C387" s="634"/>
      <c r="D387" s="634"/>
      <c r="E387" s="634"/>
      <c r="F387" s="634"/>
      <c r="G387" s="634"/>
      <c r="H387" s="635"/>
      <c r="I387" s="634"/>
      <c r="J387" s="636"/>
      <c r="K387" s="635"/>
      <c r="L387" s="635"/>
      <c r="M387" s="635"/>
      <c r="N387" s="635"/>
      <c r="O387" s="635"/>
      <c r="P387" s="635"/>
      <c r="Q387" s="635"/>
      <c r="R387" s="635"/>
      <c r="S387" s="634"/>
      <c r="T387" s="634"/>
      <c r="U387" s="634"/>
      <c r="V387" s="634"/>
      <c r="W387" s="634"/>
      <c r="X387" s="634"/>
      <c r="Y387" s="634"/>
      <c r="Z387" s="634"/>
      <c r="AA387" s="634"/>
    </row>
    <row r="388" ht="15.75" customHeight="1">
      <c r="A388" s="634"/>
      <c r="B388" s="634"/>
      <c r="C388" s="634"/>
      <c r="D388" s="634"/>
      <c r="E388" s="634"/>
      <c r="F388" s="634"/>
      <c r="G388" s="634"/>
      <c r="H388" s="635"/>
      <c r="I388" s="634"/>
      <c r="J388" s="636"/>
      <c r="K388" s="635"/>
      <c r="L388" s="635"/>
      <c r="M388" s="635"/>
      <c r="N388" s="635"/>
      <c r="O388" s="635"/>
      <c r="P388" s="635"/>
      <c r="Q388" s="635"/>
      <c r="R388" s="635"/>
      <c r="S388" s="634"/>
      <c r="T388" s="634"/>
      <c r="U388" s="634"/>
      <c r="V388" s="634"/>
      <c r="W388" s="634"/>
      <c r="X388" s="634"/>
      <c r="Y388" s="634"/>
      <c r="Z388" s="634"/>
      <c r="AA388" s="634"/>
    </row>
    <row r="389" ht="15.75" customHeight="1">
      <c r="A389" s="634"/>
      <c r="B389" s="634"/>
      <c r="C389" s="634"/>
      <c r="D389" s="634"/>
      <c r="E389" s="634"/>
      <c r="F389" s="634"/>
      <c r="G389" s="634"/>
      <c r="H389" s="635"/>
      <c r="I389" s="634"/>
      <c r="J389" s="636"/>
      <c r="K389" s="635"/>
      <c r="L389" s="635"/>
      <c r="M389" s="635"/>
      <c r="N389" s="635"/>
      <c r="O389" s="635"/>
      <c r="P389" s="635"/>
      <c r="Q389" s="635"/>
      <c r="R389" s="635"/>
      <c r="S389" s="634"/>
      <c r="T389" s="634"/>
      <c r="U389" s="634"/>
      <c r="V389" s="634"/>
      <c r="W389" s="634"/>
      <c r="X389" s="634"/>
      <c r="Y389" s="634"/>
      <c r="Z389" s="634"/>
      <c r="AA389" s="634"/>
    </row>
    <row r="390" ht="15.75" customHeight="1">
      <c r="A390" s="634"/>
      <c r="B390" s="634"/>
      <c r="C390" s="634"/>
      <c r="D390" s="634"/>
      <c r="E390" s="634"/>
      <c r="F390" s="634"/>
      <c r="G390" s="634"/>
      <c r="H390" s="635"/>
      <c r="I390" s="634"/>
      <c r="J390" s="636"/>
      <c r="K390" s="635"/>
      <c r="L390" s="635"/>
      <c r="M390" s="635"/>
      <c r="N390" s="635"/>
      <c r="O390" s="635"/>
      <c r="P390" s="635"/>
      <c r="Q390" s="635"/>
      <c r="R390" s="635"/>
      <c r="S390" s="634"/>
      <c r="T390" s="634"/>
      <c r="U390" s="634"/>
      <c r="V390" s="634"/>
      <c r="W390" s="634"/>
      <c r="X390" s="634"/>
      <c r="Y390" s="634"/>
      <c r="Z390" s="634"/>
      <c r="AA390" s="634"/>
    </row>
    <row r="391" ht="15.75" customHeight="1">
      <c r="A391" s="634"/>
      <c r="B391" s="634"/>
      <c r="C391" s="634"/>
      <c r="D391" s="634"/>
      <c r="E391" s="634"/>
      <c r="F391" s="634"/>
      <c r="G391" s="634"/>
      <c r="H391" s="635"/>
      <c r="I391" s="634"/>
      <c r="J391" s="636"/>
      <c r="K391" s="635"/>
      <c r="L391" s="635"/>
      <c r="M391" s="635"/>
      <c r="N391" s="635"/>
      <c r="O391" s="635"/>
      <c r="P391" s="635"/>
      <c r="Q391" s="635"/>
      <c r="R391" s="635"/>
      <c r="S391" s="634"/>
      <c r="T391" s="634"/>
      <c r="U391" s="634"/>
      <c r="V391" s="634"/>
      <c r="W391" s="634"/>
      <c r="X391" s="634"/>
      <c r="Y391" s="634"/>
      <c r="Z391" s="634"/>
      <c r="AA391" s="634"/>
    </row>
    <row r="392" ht="15.75" customHeight="1">
      <c r="A392" s="634"/>
      <c r="B392" s="634"/>
      <c r="C392" s="634"/>
      <c r="D392" s="634"/>
      <c r="E392" s="634"/>
      <c r="F392" s="634"/>
      <c r="G392" s="634"/>
      <c r="H392" s="635"/>
      <c r="I392" s="634"/>
      <c r="J392" s="636"/>
      <c r="K392" s="635"/>
      <c r="L392" s="635"/>
      <c r="M392" s="635"/>
      <c r="N392" s="635"/>
      <c r="O392" s="635"/>
      <c r="P392" s="635"/>
      <c r="Q392" s="635"/>
      <c r="R392" s="635"/>
      <c r="S392" s="634"/>
      <c r="T392" s="634"/>
      <c r="U392" s="634"/>
      <c r="V392" s="634"/>
      <c r="W392" s="634"/>
      <c r="X392" s="634"/>
      <c r="Y392" s="634"/>
      <c r="Z392" s="634"/>
      <c r="AA392" s="634"/>
    </row>
    <row r="393" ht="15.75" customHeight="1">
      <c r="A393" s="634"/>
      <c r="B393" s="634"/>
      <c r="C393" s="634"/>
      <c r="D393" s="634"/>
      <c r="E393" s="634"/>
      <c r="F393" s="634"/>
      <c r="G393" s="634"/>
      <c r="H393" s="635"/>
      <c r="I393" s="634"/>
      <c r="J393" s="636"/>
      <c r="K393" s="635"/>
      <c r="L393" s="635"/>
      <c r="M393" s="635"/>
      <c r="N393" s="635"/>
      <c r="O393" s="635"/>
      <c r="P393" s="635"/>
      <c r="Q393" s="635"/>
      <c r="R393" s="635"/>
      <c r="S393" s="634"/>
      <c r="T393" s="634"/>
      <c r="U393" s="634"/>
      <c r="V393" s="634"/>
      <c r="W393" s="634"/>
      <c r="X393" s="634"/>
      <c r="Y393" s="634"/>
      <c r="Z393" s="634"/>
      <c r="AA393" s="634"/>
    </row>
    <row r="394" ht="15.75" customHeight="1">
      <c r="A394" s="634"/>
      <c r="B394" s="634"/>
      <c r="C394" s="634"/>
      <c r="D394" s="634"/>
      <c r="E394" s="634"/>
      <c r="F394" s="634"/>
      <c r="G394" s="634"/>
      <c r="H394" s="635"/>
      <c r="I394" s="634"/>
      <c r="J394" s="636"/>
      <c r="K394" s="635"/>
      <c r="L394" s="635"/>
      <c r="M394" s="635"/>
      <c r="N394" s="635"/>
      <c r="O394" s="635"/>
      <c r="P394" s="635"/>
      <c r="Q394" s="635"/>
      <c r="R394" s="635"/>
      <c r="S394" s="634"/>
      <c r="T394" s="634"/>
      <c r="U394" s="634"/>
      <c r="V394" s="634"/>
      <c r="W394" s="634"/>
      <c r="X394" s="634"/>
      <c r="Y394" s="634"/>
      <c r="Z394" s="634"/>
      <c r="AA394" s="634"/>
    </row>
    <row r="395" ht="15.75" customHeight="1">
      <c r="A395" s="634"/>
      <c r="B395" s="634"/>
      <c r="C395" s="634"/>
      <c r="D395" s="634"/>
      <c r="E395" s="634"/>
      <c r="F395" s="634"/>
      <c r="G395" s="634"/>
      <c r="H395" s="635"/>
      <c r="I395" s="634"/>
      <c r="J395" s="636"/>
      <c r="K395" s="635"/>
      <c r="L395" s="635"/>
      <c r="M395" s="635"/>
      <c r="N395" s="635"/>
      <c r="O395" s="635"/>
      <c r="P395" s="635"/>
      <c r="Q395" s="635"/>
      <c r="R395" s="635"/>
      <c r="S395" s="634"/>
      <c r="T395" s="634"/>
      <c r="U395" s="634"/>
      <c r="V395" s="634"/>
      <c r="W395" s="634"/>
      <c r="X395" s="634"/>
      <c r="Y395" s="634"/>
      <c r="Z395" s="634"/>
      <c r="AA395" s="634"/>
    </row>
    <row r="396" ht="15.75" customHeight="1">
      <c r="A396" s="634"/>
      <c r="B396" s="634"/>
      <c r="C396" s="634"/>
      <c r="D396" s="634"/>
      <c r="E396" s="634"/>
      <c r="F396" s="634"/>
      <c r="G396" s="634"/>
      <c r="H396" s="635"/>
      <c r="I396" s="634"/>
      <c r="J396" s="636"/>
      <c r="K396" s="635"/>
      <c r="L396" s="635"/>
      <c r="M396" s="635"/>
      <c r="N396" s="635"/>
      <c r="O396" s="635"/>
      <c r="P396" s="635"/>
      <c r="Q396" s="635"/>
      <c r="R396" s="635"/>
      <c r="S396" s="634"/>
      <c r="T396" s="634"/>
      <c r="U396" s="634"/>
      <c r="V396" s="634"/>
      <c r="W396" s="634"/>
      <c r="X396" s="634"/>
      <c r="Y396" s="634"/>
      <c r="Z396" s="634"/>
      <c r="AA396" s="634"/>
    </row>
    <row r="397" ht="15.75" customHeight="1">
      <c r="A397" s="634"/>
      <c r="B397" s="634"/>
      <c r="C397" s="634"/>
      <c r="D397" s="634"/>
      <c r="E397" s="634"/>
      <c r="F397" s="634"/>
      <c r="G397" s="634"/>
      <c r="H397" s="635"/>
      <c r="I397" s="634"/>
      <c r="J397" s="636"/>
      <c r="K397" s="635"/>
      <c r="L397" s="635"/>
      <c r="M397" s="635"/>
      <c r="N397" s="635"/>
      <c r="O397" s="635"/>
      <c r="P397" s="635"/>
      <c r="Q397" s="635"/>
      <c r="R397" s="635"/>
      <c r="S397" s="634"/>
      <c r="T397" s="634"/>
      <c r="U397" s="634"/>
      <c r="V397" s="634"/>
      <c r="W397" s="634"/>
      <c r="X397" s="634"/>
      <c r="Y397" s="634"/>
      <c r="Z397" s="634"/>
      <c r="AA397" s="634"/>
    </row>
    <row r="398" ht="15.75" customHeight="1">
      <c r="A398" s="634"/>
      <c r="B398" s="634"/>
      <c r="C398" s="634"/>
      <c r="D398" s="634"/>
      <c r="E398" s="634"/>
      <c r="F398" s="634"/>
      <c r="G398" s="634"/>
      <c r="H398" s="635"/>
      <c r="I398" s="634"/>
      <c r="J398" s="636"/>
      <c r="K398" s="635"/>
      <c r="L398" s="635"/>
      <c r="M398" s="635"/>
      <c r="N398" s="635"/>
      <c r="O398" s="635"/>
      <c r="P398" s="635"/>
      <c r="Q398" s="635"/>
      <c r="R398" s="635"/>
      <c r="S398" s="634"/>
      <c r="T398" s="634"/>
      <c r="U398" s="634"/>
      <c r="V398" s="634"/>
      <c r="W398" s="634"/>
      <c r="X398" s="634"/>
      <c r="Y398" s="634"/>
      <c r="Z398" s="634"/>
      <c r="AA398" s="634"/>
    </row>
    <row r="399" ht="15.75" customHeight="1">
      <c r="A399" s="634"/>
      <c r="B399" s="634"/>
      <c r="C399" s="634"/>
      <c r="D399" s="634"/>
      <c r="E399" s="634"/>
      <c r="F399" s="634"/>
      <c r="G399" s="634"/>
      <c r="H399" s="635"/>
      <c r="I399" s="634"/>
      <c r="J399" s="636"/>
      <c r="K399" s="635"/>
      <c r="L399" s="635"/>
      <c r="M399" s="635"/>
      <c r="N399" s="635"/>
      <c r="O399" s="635"/>
      <c r="P399" s="635"/>
      <c r="Q399" s="635"/>
      <c r="R399" s="635"/>
      <c r="S399" s="634"/>
      <c r="T399" s="634"/>
      <c r="U399" s="634"/>
      <c r="V399" s="634"/>
      <c r="W399" s="634"/>
      <c r="X399" s="634"/>
      <c r="Y399" s="634"/>
      <c r="Z399" s="634"/>
      <c r="AA399" s="634"/>
    </row>
    <row r="400" ht="15.75" customHeight="1">
      <c r="A400" s="634"/>
      <c r="B400" s="634"/>
      <c r="C400" s="634"/>
      <c r="D400" s="634"/>
      <c r="E400" s="634"/>
      <c r="F400" s="634"/>
      <c r="G400" s="634"/>
      <c r="H400" s="635"/>
      <c r="I400" s="634"/>
      <c r="J400" s="636"/>
      <c r="K400" s="635"/>
      <c r="L400" s="635"/>
      <c r="M400" s="635"/>
      <c r="N400" s="635"/>
      <c r="O400" s="635"/>
      <c r="P400" s="635"/>
      <c r="Q400" s="635"/>
      <c r="R400" s="635"/>
      <c r="S400" s="634"/>
      <c r="T400" s="634"/>
      <c r="U400" s="634"/>
      <c r="V400" s="634"/>
      <c r="W400" s="634"/>
      <c r="X400" s="634"/>
      <c r="Y400" s="634"/>
      <c r="Z400" s="634"/>
      <c r="AA400" s="634"/>
    </row>
    <row r="401" ht="15.75" customHeight="1">
      <c r="A401" s="634"/>
      <c r="B401" s="634"/>
      <c r="C401" s="634"/>
      <c r="D401" s="634"/>
      <c r="E401" s="634"/>
      <c r="F401" s="634"/>
      <c r="G401" s="634"/>
      <c r="H401" s="635"/>
      <c r="I401" s="634"/>
      <c r="J401" s="636"/>
      <c r="K401" s="635"/>
      <c r="L401" s="635"/>
      <c r="M401" s="635"/>
      <c r="N401" s="635"/>
      <c r="O401" s="635"/>
      <c r="P401" s="635"/>
      <c r="Q401" s="635"/>
      <c r="R401" s="635"/>
      <c r="S401" s="634"/>
      <c r="T401" s="634"/>
      <c r="U401" s="634"/>
      <c r="V401" s="634"/>
      <c r="W401" s="634"/>
      <c r="X401" s="634"/>
      <c r="Y401" s="634"/>
      <c r="Z401" s="634"/>
      <c r="AA401" s="634"/>
    </row>
    <row r="402" ht="15.75" customHeight="1">
      <c r="A402" s="634"/>
      <c r="B402" s="634"/>
      <c r="C402" s="634"/>
      <c r="D402" s="634"/>
      <c r="E402" s="634"/>
      <c r="F402" s="634"/>
      <c r="G402" s="634"/>
      <c r="H402" s="635"/>
      <c r="I402" s="634"/>
      <c r="J402" s="636"/>
      <c r="K402" s="635"/>
      <c r="L402" s="635"/>
      <c r="M402" s="635"/>
      <c r="N402" s="635"/>
      <c r="O402" s="635"/>
      <c r="P402" s="635"/>
      <c r="Q402" s="635"/>
      <c r="R402" s="635"/>
      <c r="S402" s="634"/>
      <c r="T402" s="634"/>
      <c r="U402" s="634"/>
      <c r="V402" s="634"/>
      <c r="W402" s="634"/>
      <c r="X402" s="634"/>
      <c r="Y402" s="634"/>
      <c r="Z402" s="634"/>
      <c r="AA402" s="634"/>
    </row>
    <row r="403" ht="15.75" customHeight="1">
      <c r="A403" s="634"/>
      <c r="B403" s="634"/>
      <c r="C403" s="634"/>
      <c r="D403" s="634"/>
      <c r="E403" s="634"/>
      <c r="F403" s="634"/>
      <c r="G403" s="634"/>
      <c r="H403" s="635"/>
      <c r="I403" s="634"/>
      <c r="J403" s="636"/>
      <c r="K403" s="635"/>
      <c r="L403" s="635"/>
      <c r="M403" s="635"/>
      <c r="N403" s="635"/>
      <c r="O403" s="635"/>
      <c r="P403" s="635"/>
      <c r="Q403" s="635"/>
      <c r="R403" s="635"/>
      <c r="S403" s="634"/>
      <c r="T403" s="634"/>
      <c r="U403" s="634"/>
      <c r="V403" s="634"/>
      <c r="W403" s="634"/>
      <c r="X403" s="634"/>
      <c r="Y403" s="634"/>
      <c r="Z403" s="634"/>
      <c r="AA403" s="634"/>
    </row>
    <row r="404" ht="15.75" customHeight="1">
      <c r="A404" s="634"/>
      <c r="B404" s="634"/>
      <c r="C404" s="634"/>
      <c r="D404" s="634"/>
      <c r="E404" s="634"/>
      <c r="F404" s="634"/>
      <c r="G404" s="634"/>
      <c r="H404" s="635"/>
      <c r="I404" s="634"/>
      <c r="J404" s="636"/>
      <c r="K404" s="635"/>
      <c r="L404" s="635"/>
      <c r="M404" s="635"/>
      <c r="N404" s="635"/>
      <c r="O404" s="635"/>
      <c r="P404" s="635"/>
      <c r="Q404" s="635"/>
      <c r="R404" s="635"/>
      <c r="S404" s="634"/>
      <c r="T404" s="634"/>
      <c r="U404" s="634"/>
      <c r="V404" s="634"/>
      <c r="W404" s="634"/>
      <c r="X404" s="634"/>
      <c r="Y404" s="634"/>
      <c r="Z404" s="634"/>
      <c r="AA404" s="634"/>
    </row>
    <row r="405" ht="15.75" customHeight="1">
      <c r="A405" s="634"/>
      <c r="B405" s="634"/>
      <c r="C405" s="634"/>
      <c r="D405" s="634"/>
      <c r="E405" s="634"/>
      <c r="F405" s="634"/>
      <c r="G405" s="634"/>
      <c r="H405" s="635"/>
      <c r="I405" s="634"/>
      <c r="J405" s="636"/>
      <c r="K405" s="635"/>
      <c r="L405" s="635"/>
      <c r="M405" s="635"/>
      <c r="N405" s="635"/>
      <c r="O405" s="635"/>
      <c r="P405" s="635"/>
      <c r="Q405" s="635"/>
      <c r="R405" s="635"/>
      <c r="S405" s="634"/>
      <c r="T405" s="634"/>
      <c r="U405" s="634"/>
      <c r="V405" s="634"/>
      <c r="W405" s="634"/>
      <c r="X405" s="634"/>
      <c r="Y405" s="634"/>
      <c r="Z405" s="634"/>
      <c r="AA405" s="634"/>
    </row>
    <row r="406" ht="15.75" customHeight="1">
      <c r="A406" s="634"/>
      <c r="B406" s="634"/>
      <c r="C406" s="634"/>
      <c r="D406" s="634"/>
      <c r="E406" s="634"/>
      <c r="F406" s="634"/>
      <c r="G406" s="634"/>
      <c r="H406" s="635"/>
      <c r="I406" s="634"/>
      <c r="J406" s="636"/>
      <c r="K406" s="635"/>
      <c r="L406" s="635"/>
      <c r="M406" s="635"/>
      <c r="N406" s="635"/>
      <c r="O406" s="635"/>
      <c r="P406" s="635"/>
      <c r="Q406" s="635"/>
      <c r="R406" s="635"/>
      <c r="S406" s="634"/>
      <c r="T406" s="634"/>
      <c r="U406" s="634"/>
      <c r="V406" s="634"/>
      <c r="W406" s="634"/>
      <c r="X406" s="634"/>
      <c r="Y406" s="634"/>
      <c r="Z406" s="634"/>
      <c r="AA406" s="634"/>
    </row>
    <row r="407" ht="15.75" customHeight="1">
      <c r="A407" s="634"/>
      <c r="B407" s="634"/>
      <c r="C407" s="634"/>
      <c r="D407" s="634"/>
      <c r="E407" s="634"/>
      <c r="F407" s="634"/>
      <c r="G407" s="634"/>
      <c r="H407" s="635"/>
      <c r="I407" s="634"/>
      <c r="J407" s="636"/>
      <c r="K407" s="635"/>
      <c r="L407" s="635"/>
      <c r="M407" s="635"/>
      <c r="N407" s="635"/>
      <c r="O407" s="635"/>
      <c r="P407" s="635"/>
      <c r="Q407" s="635"/>
      <c r="R407" s="635"/>
      <c r="S407" s="634"/>
      <c r="T407" s="634"/>
      <c r="U407" s="634"/>
      <c r="V407" s="634"/>
      <c r="W407" s="634"/>
      <c r="X407" s="634"/>
      <c r="Y407" s="634"/>
      <c r="Z407" s="634"/>
      <c r="AA407" s="634"/>
    </row>
    <row r="408" ht="15.75" customHeight="1">
      <c r="A408" s="634"/>
      <c r="B408" s="634"/>
      <c r="C408" s="634"/>
      <c r="D408" s="634"/>
      <c r="E408" s="634"/>
      <c r="F408" s="634"/>
      <c r="G408" s="634"/>
      <c r="H408" s="635"/>
      <c r="I408" s="634"/>
      <c r="J408" s="636"/>
      <c r="K408" s="635"/>
      <c r="L408" s="635"/>
      <c r="M408" s="635"/>
      <c r="N408" s="635"/>
      <c r="O408" s="635"/>
      <c r="P408" s="635"/>
      <c r="Q408" s="635"/>
      <c r="R408" s="635"/>
      <c r="S408" s="634"/>
      <c r="T408" s="634"/>
      <c r="U408" s="634"/>
      <c r="V408" s="634"/>
      <c r="W408" s="634"/>
      <c r="X408" s="634"/>
      <c r="Y408" s="634"/>
      <c r="Z408" s="634"/>
      <c r="AA408" s="634"/>
    </row>
    <row r="409" ht="15.75" customHeight="1">
      <c r="A409" s="634"/>
      <c r="B409" s="634"/>
      <c r="C409" s="634"/>
      <c r="D409" s="634"/>
      <c r="E409" s="634"/>
      <c r="F409" s="634"/>
      <c r="G409" s="634"/>
      <c r="H409" s="635"/>
      <c r="I409" s="634"/>
      <c r="J409" s="636"/>
      <c r="K409" s="635"/>
      <c r="L409" s="635"/>
      <c r="M409" s="635"/>
      <c r="N409" s="635"/>
      <c r="O409" s="635"/>
      <c r="P409" s="635"/>
      <c r="Q409" s="635"/>
      <c r="R409" s="635"/>
      <c r="S409" s="634"/>
      <c r="T409" s="634"/>
      <c r="U409" s="634"/>
      <c r="V409" s="634"/>
      <c r="W409" s="634"/>
      <c r="X409" s="634"/>
      <c r="Y409" s="634"/>
      <c r="Z409" s="634"/>
      <c r="AA409" s="634"/>
    </row>
    <row r="410" ht="15.75" customHeight="1">
      <c r="A410" s="634"/>
      <c r="B410" s="634"/>
      <c r="C410" s="634"/>
      <c r="D410" s="634"/>
      <c r="E410" s="634"/>
      <c r="F410" s="634"/>
      <c r="G410" s="634"/>
      <c r="H410" s="635"/>
      <c r="I410" s="634"/>
      <c r="J410" s="636"/>
      <c r="K410" s="635"/>
      <c r="L410" s="635"/>
      <c r="M410" s="635"/>
      <c r="N410" s="635"/>
      <c r="O410" s="635"/>
      <c r="P410" s="635"/>
      <c r="Q410" s="635"/>
      <c r="R410" s="635"/>
      <c r="S410" s="634"/>
      <c r="T410" s="634"/>
      <c r="U410" s="634"/>
      <c r="V410" s="634"/>
      <c r="W410" s="634"/>
      <c r="X410" s="634"/>
      <c r="Y410" s="634"/>
      <c r="Z410" s="634"/>
      <c r="AA410" s="634"/>
    </row>
    <row r="411" ht="15.75" customHeight="1">
      <c r="A411" s="634"/>
      <c r="B411" s="634"/>
      <c r="C411" s="634"/>
      <c r="D411" s="634"/>
      <c r="E411" s="634"/>
      <c r="F411" s="634"/>
      <c r="G411" s="634"/>
      <c r="H411" s="635"/>
      <c r="I411" s="634"/>
      <c r="J411" s="636"/>
      <c r="K411" s="635"/>
      <c r="L411" s="635"/>
      <c r="M411" s="635"/>
      <c r="N411" s="635"/>
      <c r="O411" s="635"/>
      <c r="P411" s="635"/>
      <c r="Q411" s="635"/>
      <c r="R411" s="635"/>
      <c r="S411" s="634"/>
      <c r="T411" s="634"/>
      <c r="U411" s="634"/>
      <c r="V411" s="634"/>
      <c r="W411" s="634"/>
      <c r="X411" s="634"/>
      <c r="Y411" s="634"/>
      <c r="Z411" s="634"/>
      <c r="AA411" s="634"/>
    </row>
    <row r="412" ht="15.75" customHeight="1">
      <c r="A412" s="634"/>
      <c r="B412" s="634"/>
      <c r="C412" s="634"/>
      <c r="D412" s="634"/>
      <c r="E412" s="634"/>
      <c r="F412" s="634"/>
      <c r="G412" s="634"/>
      <c r="H412" s="635"/>
      <c r="I412" s="634"/>
      <c r="J412" s="636"/>
      <c r="K412" s="635"/>
      <c r="L412" s="635"/>
      <c r="M412" s="635"/>
      <c r="N412" s="635"/>
      <c r="O412" s="635"/>
      <c r="P412" s="635"/>
      <c r="Q412" s="635"/>
      <c r="R412" s="635"/>
      <c r="S412" s="634"/>
      <c r="T412" s="634"/>
      <c r="U412" s="634"/>
      <c r="V412" s="634"/>
      <c r="W412" s="634"/>
      <c r="X412" s="634"/>
      <c r="Y412" s="634"/>
      <c r="Z412" s="634"/>
      <c r="AA412" s="634"/>
    </row>
    <row r="413" ht="15.75" customHeight="1">
      <c r="A413" s="634"/>
      <c r="B413" s="634"/>
      <c r="C413" s="634"/>
      <c r="D413" s="634"/>
      <c r="E413" s="634"/>
      <c r="F413" s="634"/>
      <c r="G413" s="634"/>
      <c r="H413" s="635"/>
      <c r="I413" s="634"/>
      <c r="J413" s="636"/>
      <c r="K413" s="635"/>
      <c r="L413" s="635"/>
      <c r="M413" s="635"/>
      <c r="N413" s="635"/>
      <c r="O413" s="635"/>
      <c r="P413" s="635"/>
      <c r="Q413" s="635"/>
      <c r="R413" s="635"/>
      <c r="S413" s="634"/>
      <c r="T413" s="634"/>
      <c r="U413" s="634"/>
      <c r="V413" s="634"/>
      <c r="W413" s="634"/>
      <c r="X413" s="634"/>
      <c r="Y413" s="634"/>
      <c r="Z413" s="634"/>
      <c r="AA413" s="634"/>
    </row>
    <row r="414" ht="15.75" customHeight="1">
      <c r="A414" s="634"/>
      <c r="B414" s="634"/>
      <c r="C414" s="634"/>
      <c r="D414" s="634"/>
      <c r="E414" s="634"/>
      <c r="F414" s="634"/>
      <c r="G414" s="634"/>
      <c r="H414" s="635"/>
      <c r="I414" s="634"/>
      <c r="J414" s="636"/>
      <c r="K414" s="635"/>
      <c r="L414" s="635"/>
      <c r="M414" s="635"/>
      <c r="N414" s="635"/>
      <c r="O414" s="635"/>
      <c r="P414" s="635"/>
      <c r="Q414" s="635"/>
      <c r="R414" s="635"/>
      <c r="S414" s="634"/>
      <c r="T414" s="634"/>
      <c r="U414" s="634"/>
      <c r="V414" s="634"/>
      <c r="W414" s="634"/>
      <c r="X414" s="634"/>
      <c r="Y414" s="634"/>
      <c r="Z414" s="634"/>
      <c r="AA414" s="634"/>
    </row>
    <row r="415" ht="15.75" customHeight="1">
      <c r="A415" s="634"/>
      <c r="B415" s="634"/>
      <c r="C415" s="634"/>
      <c r="D415" s="634"/>
      <c r="E415" s="634"/>
      <c r="F415" s="634"/>
      <c r="G415" s="634"/>
      <c r="H415" s="635"/>
      <c r="I415" s="634"/>
      <c r="J415" s="636"/>
      <c r="K415" s="635"/>
      <c r="L415" s="635"/>
      <c r="M415" s="635"/>
      <c r="N415" s="635"/>
      <c r="O415" s="635"/>
      <c r="P415" s="635"/>
      <c r="Q415" s="635"/>
      <c r="R415" s="635"/>
      <c r="S415" s="634"/>
      <c r="T415" s="634"/>
      <c r="U415" s="634"/>
      <c r="V415" s="634"/>
      <c r="W415" s="634"/>
      <c r="X415" s="634"/>
      <c r="Y415" s="634"/>
      <c r="Z415" s="634"/>
      <c r="AA415" s="634"/>
    </row>
    <row r="416" ht="15.75" customHeight="1">
      <c r="A416" s="634"/>
      <c r="B416" s="634"/>
      <c r="C416" s="634"/>
      <c r="D416" s="634"/>
      <c r="E416" s="634"/>
      <c r="F416" s="634"/>
      <c r="G416" s="634"/>
      <c r="H416" s="635"/>
      <c r="I416" s="634"/>
      <c r="J416" s="636"/>
      <c r="K416" s="635"/>
      <c r="L416" s="635"/>
      <c r="M416" s="635"/>
      <c r="N416" s="635"/>
      <c r="O416" s="635"/>
      <c r="P416" s="635"/>
      <c r="Q416" s="635"/>
      <c r="R416" s="635"/>
      <c r="S416" s="634"/>
      <c r="T416" s="634"/>
      <c r="U416" s="634"/>
      <c r="V416" s="634"/>
      <c r="W416" s="634"/>
      <c r="X416" s="634"/>
      <c r="Y416" s="634"/>
      <c r="Z416" s="634"/>
      <c r="AA416" s="634"/>
    </row>
    <row r="417" ht="15.75" customHeight="1">
      <c r="A417" s="634"/>
      <c r="B417" s="634"/>
      <c r="C417" s="634"/>
      <c r="D417" s="634"/>
      <c r="E417" s="634"/>
      <c r="F417" s="634"/>
      <c r="G417" s="634"/>
      <c r="H417" s="635"/>
      <c r="I417" s="634"/>
      <c r="J417" s="636"/>
      <c r="K417" s="635"/>
      <c r="L417" s="635"/>
      <c r="M417" s="635"/>
      <c r="N417" s="635"/>
      <c r="O417" s="635"/>
      <c r="P417" s="635"/>
      <c r="Q417" s="635"/>
      <c r="R417" s="635"/>
      <c r="S417" s="634"/>
      <c r="T417" s="634"/>
      <c r="U417" s="634"/>
      <c r="V417" s="634"/>
      <c r="W417" s="634"/>
      <c r="X417" s="634"/>
      <c r="Y417" s="634"/>
      <c r="Z417" s="634"/>
      <c r="AA417" s="634"/>
    </row>
    <row r="418" ht="15.75" customHeight="1">
      <c r="A418" s="634"/>
      <c r="B418" s="634"/>
      <c r="C418" s="634"/>
      <c r="D418" s="634"/>
      <c r="E418" s="634"/>
      <c r="F418" s="634"/>
      <c r="G418" s="634"/>
      <c r="H418" s="635"/>
      <c r="I418" s="634"/>
      <c r="J418" s="636"/>
      <c r="K418" s="635"/>
      <c r="L418" s="635"/>
      <c r="M418" s="635"/>
      <c r="N418" s="635"/>
      <c r="O418" s="635"/>
      <c r="P418" s="635"/>
      <c r="Q418" s="635"/>
      <c r="R418" s="635"/>
      <c r="S418" s="634"/>
      <c r="T418" s="634"/>
      <c r="U418" s="634"/>
      <c r="V418" s="634"/>
      <c r="W418" s="634"/>
      <c r="X418" s="634"/>
      <c r="Y418" s="634"/>
      <c r="Z418" s="634"/>
      <c r="AA418" s="634"/>
    </row>
    <row r="419" ht="15.75" customHeight="1">
      <c r="A419" s="634"/>
      <c r="B419" s="634"/>
      <c r="C419" s="634"/>
      <c r="D419" s="634"/>
      <c r="E419" s="634"/>
      <c r="F419" s="634"/>
      <c r="G419" s="634"/>
      <c r="H419" s="635"/>
      <c r="I419" s="634"/>
      <c r="J419" s="636"/>
      <c r="K419" s="635"/>
      <c r="L419" s="635"/>
      <c r="M419" s="635"/>
      <c r="N419" s="635"/>
      <c r="O419" s="635"/>
      <c r="P419" s="635"/>
      <c r="Q419" s="635"/>
      <c r="R419" s="635"/>
      <c r="S419" s="634"/>
      <c r="T419" s="634"/>
      <c r="U419" s="634"/>
      <c r="V419" s="634"/>
      <c r="W419" s="634"/>
      <c r="X419" s="634"/>
      <c r="Y419" s="634"/>
      <c r="Z419" s="634"/>
      <c r="AA419" s="634"/>
    </row>
    <row r="420" ht="15.75" customHeight="1">
      <c r="A420" s="634"/>
      <c r="B420" s="634"/>
      <c r="C420" s="634"/>
      <c r="D420" s="634"/>
      <c r="E420" s="634"/>
      <c r="F420" s="634"/>
      <c r="G420" s="634"/>
      <c r="H420" s="635"/>
      <c r="I420" s="634"/>
      <c r="J420" s="636"/>
      <c r="K420" s="635"/>
      <c r="L420" s="635"/>
      <c r="M420" s="635"/>
      <c r="N420" s="635"/>
      <c r="O420" s="635"/>
      <c r="P420" s="635"/>
      <c r="Q420" s="635"/>
      <c r="R420" s="635"/>
      <c r="S420" s="634"/>
      <c r="T420" s="634"/>
      <c r="U420" s="634"/>
      <c r="V420" s="634"/>
      <c r="W420" s="634"/>
      <c r="X420" s="634"/>
      <c r="Y420" s="634"/>
      <c r="Z420" s="634"/>
      <c r="AA420" s="634"/>
    </row>
    <row r="421" ht="15.75" customHeight="1">
      <c r="A421" s="634"/>
      <c r="B421" s="634"/>
      <c r="C421" s="634"/>
      <c r="D421" s="634"/>
      <c r="E421" s="634"/>
      <c r="F421" s="634"/>
      <c r="G421" s="634"/>
      <c r="H421" s="635"/>
      <c r="I421" s="634"/>
      <c r="J421" s="636"/>
      <c r="K421" s="635"/>
      <c r="L421" s="635"/>
      <c r="M421" s="635"/>
      <c r="N421" s="635"/>
      <c r="O421" s="635"/>
      <c r="P421" s="635"/>
      <c r="Q421" s="635"/>
      <c r="R421" s="635"/>
      <c r="S421" s="634"/>
      <c r="T421" s="634"/>
      <c r="U421" s="634"/>
      <c r="V421" s="634"/>
      <c r="W421" s="634"/>
      <c r="X421" s="634"/>
      <c r="Y421" s="634"/>
      <c r="Z421" s="634"/>
      <c r="AA421" s="634"/>
    </row>
    <row r="422" ht="15.75" customHeight="1">
      <c r="A422" s="634"/>
      <c r="B422" s="634"/>
      <c r="C422" s="634"/>
      <c r="D422" s="634"/>
      <c r="E422" s="634"/>
      <c r="F422" s="634"/>
      <c r="G422" s="634"/>
      <c r="H422" s="635"/>
      <c r="I422" s="634"/>
      <c r="J422" s="636"/>
      <c r="K422" s="635"/>
      <c r="L422" s="635"/>
      <c r="M422" s="635"/>
      <c r="N422" s="635"/>
      <c r="O422" s="635"/>
      <c r="P422" s="635"/>
      <c r="Q422" s="635"/>
      <c r="R422" s="635"/>
      <c r="S422" s="634"/>
      <c r="T422" s="634"/>
      <c r="U422" s="634"/>
      <c r="V422" s="634"/>
      <c r="W422" s="634"/>
      <c r="X422" s="634"/>
      <c r="Y422" s="634"/>
      <c r="Z422" s="634"/>
      <c r="AA422" s="634"/>
    </row>
    <row r="423" ht="15.75" customHeight="1">
      <c r="A423" s="634"/>
      <c r="B423" s="634"/>
      <c r="C423" s="634"/>
      <c r="D423" s="634"/>
      <c r="E423" s="634"/>
      <c r="F423" s="634"/>
      <c r="G423" s="634"/>
      <c r="H423" s="635"/>
      <c r="I423" s="634"/>
      <c r="J423" s="636"/>
      <c r="K423" s="635"/>
      <c r="L423" s="635"/>
      <c r="M423" s="635"/>
      <c r="N423" s="635"/>
      <c r="O423" s="635"/>
      <c r="P423" s="635"/>
      <c r="Q423" s="635"/>
      <c r="R423" s="635"/>
      <c r="S423" s="634"/>
      <c r="T423" s="634"/>
      <c r="U423" s="634"/>
      <c r="V423" s="634"/>
      <c r="W423" s="634"/>
      <c r="X423" s="634"/>
      <c r="Y423" s="634"/>
      <c r="Z423" s="634"/>
      <c r="AA423" s="634"/>
    </row>
    <row r="424" ht="15.75" customHeight="1">
      <c r="A424" s="634"/>
      <c r="B424" s="634"/>
      <c r="C424" s="634"/>
      <c r="D424" s="634"/>
      <c r="E424" s="634"/>
      <c r="F424" s="634"/>
      <c r="G424" s="634"/>
      <c r="H424" s="635"/>
      <c r="I424" s="634"/>
      <c r="J424" s="636"/>
      <c r="K424" s="635"/>
      <c r="L424" s="635"/>
      <c r="M424" s="635"/>
      <c r="N424" s="635"/>
      <c r="O424" s="635"/>
      <c r="P424" s="635"/>
      <c r="Q424" s="635"/>
      <c r="R424" s="635"/>
      <c r="S424" s="634"/>
      <c r="T424" s="634"/>
      <c r="U424" s="634"/>
      <c r="V424" s="634"/>
      <c r="W424" s="634"/>
      <c r="X424" s="634"/>
      <c r="Y424" s="634"/>
      <c r="Z424" s="634"/>
      <c r="AA424" s="634"/>
    </row>
    <row r="425" ht="15.75" customHeight="1">
      <c r="A425" s="634"/>
      <c r="B425" s="634"/>
      <c r="C425" s="634"/>
      <c r="D425" s="634"/>
      <c r="E425" s="634"/>
      <c r="F425" s="634"/>
      <c r="G425" s="634"/>
      <c r="H425" s="635"/>
      <c r="I425" s="634"/>
      <c r="J425" s="636"/>
      <c r="K425" s="635"/>
      <c r="L425" s="635"/>
      <c r="M425" s="635"/>
      <c r="N425" s="635"/>
      <c r="O425" s="635"/>
      <c r="P425" s="635"/>
      <c r="Q425" s="635"/>
      <c r="R425" s="635"/>
      <c r="S425" s="634"/>
      <c r="T425" s="634"/>
      <c r="U425" s="634"/>
      <c r="V425" s="634"/>
      <c r="W425" s="634"/>
      <c r="X425" s="634"/>
      <c r="Y425" s="634"/>
      <c r="Z425" s="634"/>
      <c r="AA425" s="634"/>
    </row>
    <row r="426" ht="15.75" customHeight="1">
      <c r="A426" s="634"/>
      <c r="B426" s="634"/>
      <c r="C426" s="634"/>
      <c r="D426" s="634"/>
      <c r="E426" s="634"/>
      <c r="F426" s="634"/>
      <c r="G426" s="634"/>
      <c r="H426" s="635"/>
      <c r="I426" s="634"/>
      <c r="J426" s="636"/>
      <c r="K426" s="635"/>
      <c r="L426" s="635"/>
      <c r="M426" s="635"/>
      <c r="N426" s="635"/>
      <c r="O426" s="635"/>
      <c r="P426" s="635"/>
      <c r="Q426" s="635"/>
      <c r="R426" s="635"/>
      <c r="S426" s="634"/>
      <c r="T426" s="634"/>
      <c r="U426" s="634"/>
      <c r="V426" s="634"/>
      <c r="W426" s="634"/>
      <c r="X426" s="634"/>
      <c r="Y426" s="634"/>
      <c r="Z426" s="634"/>
      <c r="AA426" s="634"/>
    </row>
    <row r="427" ht="15.75" customHeight="1">
      <c r="A427" s="634"/>
      <c r="B427" s="634"/>
      <c r="C427" s="634"/>
      <c r="D427" s="634"/>
      <c r="E427" s="634"/>
      <c r="F427" s="634"/>
      <c r="G427" s="634"/>
      <c r="H427" s="635"/>
      <c r="I427" s="634"/>
      <c r="J427" s="636"/>
      <c r="K427" s="635"/>
      <c r="L427" s="635"/>
      <c r="M427" s="635"/>
      <c r="N427" s="635"/>
      <c r="O427" s="635"/>
      <c r="P427" s="635"/>
      <c r="Q427" s="635"/>
      <c r="R427" s="635"/>
      <c r="S427" s="634"/>
      <c r="T427" s="634"/>
      <c r="U427" s="634"/>
      <c r="V427" s="634"/>
      <c r="W427" s="634"/>
      <c r="X427" s="634"/>
      <c r="Y427" s="634"/>
      <c r="Z427" s="634"/>
      <c r="AA427" s="634"/>
    </row>
    <row r="428" ht="15.75" customHeight="1">
      <c r="A428" s="634"/>
      <c r="B428" s="634"/>
      <c r="C428" s="634"/>
      <c r="D428" s="634"/>
      <c r="E428" s="634"/>
      <c r="F428" s="634"/>
      <c r="G428" s="634"/>
      <c r="H428" s="635"/>
      <c r="I428" s="634"/>
      <c r="J428" s="636"/>
      <c r="K428" s="635"/>
      <c r="L428" s="635"/>
      <c r="M428" s="635"/>
      <c r="N428" s="635"/>
      <c r="O428" s="635"/>
      <c r="P428" s="635"/>
      <c r="Q428" s="635"/>
      <c r="R428" s="635"/>
      <c r="S428" s="634"/>
      <c r="T428" s="634"/>
      <c r="U428" s="634"/>
      <c r="V428" s="634"/>
      <c r="W428" s="634"/>
      <c r="X428" s="634"/>
      <c r="Y428" s="634"/>
      <c r="Z428" s="634"/>
      <c r="AA428" s="634"/>
    </row>
    <row r="429" ht="15.75" customHeight="1">
      <c r="A429" s="634"/>
      <c r="B429" s="634"/>
      <c r="C429" s="634"/>
      <c r="D429" s="634"/>
      <c r="E429" s="634"/>
      <c r="F429" s="634"/>
      <c r="G429" s="634"/>
      <c r="H429" s="635"/>
      <c r="I429" s="634"/>
      <c r="J429" s="636"/>
      <c r="K429" s="635"/>
      <c r="L429" s="635"/>
      <c r="M429" s="635"/>
      <c r="N429" s="635"/>
      <c r="O429" s="635"/>
      <c r="P429" s="635"/>
      <c r="Q429" s="635"/>
      <c r="R429" s="635"/>
      <c r="S429" s="634"/>
      <c r="T429" s="634"/>
      <c r="U429" s="634"/>
      <c r="V429" s="634"/>
      <c r="W429" s="634"/>
      <c r="X429" s="634"/>
      <c r="Y429" s="634"/>
      <c r="Z429" s="634"/>
      <c r="AA429" s="634"/>
    </row>
    <row r="430" ht="15.75" customHeight="1">
      <c r="A430" s="634"/>
      <c r="B430" s="634"/>
      <c r="C430" s="634"/>
      <c r="D430" s="634"/>
      <c r="E430" s="634"/>
      <c r="F430" s="634"/>
      <c r="G430" s="634"/>
      <c r="H430" s="635"/>
      <c r="I430" s="634"/>
      <c r="J430" s="636"/>
      <c r="K430" s="635"/>
      <c r="L430" s="635"/>
      <c r="M430" s="635"/>
      <c r="N430" s="635"/>
      <c r="O430" s="635"/>
      <c r="P430" s="635"/>
      <c r="Q430" s="635"/>
      <c r="R430" s="635"/>
      <c r="S430" s="634"/>
      <c r="T430" s="634"/>
      <c r="U430" s="634"/>
      <c r="V430" s="634"/>
      <c r="W430" s="634"/>
      <c r="X430" s="634"/>
      <c r="Y430" s="634"/>
      <c r="Z430" s="634"/>
      <c r="AA430" s="634"/>
    </row>
    <row r="431" ht="15.75" customHeight="1">
      <c r="A431" s="634"/>
      <c r="B431" s="634"/>
      <c r="C431" s="634"/>
      <c r="D431" s="634"/>
      <c r="E431" s="634"/>
      <c r="F431" s="634"/>
      <c r="G431" s="634"/>
      <c r="H431" s="635"/>
      <c r="I431" s="634"/>
      <c r="J431" s="636"/>
      <c r="K431" s="635"/>
      <c r="L431" s="635"/>
      <c r="M431" s="635"/>
      <c r="N431" s="635"/>
      <c r="O431" s="635"/>
      <c r="P431" s="635"/>
      <c r="Q431" s="635"/>
      <c r="R431" s="635"/>
      <c r="S431" s="634"/>
      <c r="T431" s="634"/>
      <c r="U431" s="634"/>
      <c r="V431" s="634"/>
      <c r="W431" s="634"/>
      <c r="X431" s="634"/>
      <c r="Y431" s="634"/>
      <c r="Z431" s="634"/>
      <c r="AA431" s="634"/>
    </row>
    <row r="432" ht="15.75" customHeight="1">
      <c r="A432" s="634"/>
      <c r="B432" s="634"/>
      <c r="C432" s="634"/>
      <c r="D432" s="634"/>
      <c r="E432" s="634"/>
      <c r="F432" s="634"/>
      <c r="G432" s="634"/>
      <c r="H432" s="635"/>
      <c r="I432" s="634"/>
      <c r="J432" s="636"/>
      <c r="K432" s="635"/>
      <c r="L432" s="635"/>
      <c r="M432" s="635"/>
      <c r="N432" s="635"/>
      <c r="O432" s="635"/>
      <c r="P432" s="635"/>
      <c r="Q432" s="635"/>
      <c r="R432" s="635"/>
      <c r="S432" s="634"/>
      <c r="T432" s="634"/>
      <c r="U432" s="634"/>
      <c r="V432" s="634"/>
      <c r="W432" s="634"/>
      <c r="X432" s="634"/>
      <c r="Y432" s="634"/>
      <c r="Z432" s="634"/>
      <c r="AA432" s="634"/>
    </row>
    <row r="433" ht="15.75" customHeight="1">
      <c r="A433" s="634"/>
      <c r="B433" s="634"/>
      <c r="C433" s="634"/>
      <c r="D433" s="634"/>
      <c r="E433" s="634"/>
      <c r="F433" s="634"/>
      <c r="G433" s="634"/>
      <c r="H433" s="635"/>
      <c r="I433" s="634"/>
      <c r="J433" s="636"/>
      <c r="K433" s="635"/>
      <c r="L433" s="635"/>
      <c r="M433" s="635"/>
      <c r="N433" s="635"/>
      <c r="O433" s="635"/>
      <c r="P433" s="635"/>
      <c r="Q433" s="635"/>
      <c r="R433" s="635"/>
      <c r="S433" s="634"/>
      <c r="T433" s="634"/>
      <c r="U433" s="634"/>
      <c r="V433" s="634"/>
      <c r="W433" s="634"/>
      <c r="X433" s="634"/>
      <c r="Y433" s="634"/>
      <c r="Z433" s="634"/>
      <c r="AA433" s="634"/>
    </row>
    <row r="434" ht="15.75" customHeight="1">
      <c r="A434" s="634"/>
      <c r="B434" s="634"/>
      <c r="C434" s="634"/>
      <c r="D434" s="634"/>
      <c r="E434" s="634"/>
      <c r="F434" s="634"/>
      <c r="G434" s="634"/>
      <c r="H434" s="635"/>
      <c r="I434" s="634"/>
      <c r="J434" s="636"/>
      <c r="K434" s="635"/>
      <c r="L434" s="635"/>
      <c r="M434" s="635"/>
      <c r="N434" s="635"/>
      <c r="O434" s="635"/>
      <c r="P434" s="635"/>
      <c r="Q434" s="635"/>
      <c r="R434" s="635"/>
      <c r="S434" s="634"/>
      <c r="T434" s="634"/>
      <c r="U434" s="634"/>
      <c r="V434" s="634"/>
      <c r="W434" s="634"/>
      <c r="X434" s="634"/>
      <c r="Y434" s="634"/>
      <c r="Z434" s="634"/>
      <c r="AA434" s="634"/>
    </row>
    <row r="435" ht="15.75" customHeight="1">
      <c r="A435" s="634"/>
      <c r="B435" s="634"/>
      <c r="C435" s="634"/>
      <c r="D435" s="634"/>
      <c r="E435" s="634"/>
      <c r="F435" s="634"/>
      <c r="G435" s="634"/>
      <c r="H435" s="635"/>
      <c r="I435" s="634"/>
      <c r="J435" s="636"/>
      <c r="K435" s="635"/>
      <c r="L435" s="635"/>
      <c r="M435" s="635"/>
      <c r="N435" s="635"/>
      <c r="O435" s="635"/>
      <c r="P435" s="635"/>
      <c r="Q435" s="635"/>
      <c r="R435" s="635"/>
      <c r="S435" s="634"/>
      <c r="T435" s="634"/>
      <c r="U435" s="634"/>
      <c r="V435" s="634"/>
      <c r="W435" s="634"/>
      <c r="X435" s="634"/>
      <c r="Y435" s="634"/>
      <c r="Z435" s="634"/>
      <c r="AA435" s="634"/>
    </row>
    <row r="436" ht="15.75" customHeight="1">
      <c r="A436" s="634"/>
      <c r="B436" s="634"/>
      <c r="C436" s="634"/>
      <c r="D436" s="634"/>
      <c r="E436" s="634"/>
      <c r="F436" s="634"/>
      <c r="G436" s="634"/>
      <c r="H436" s="635"/>
      <c r="I436" s="634"/>
      <c r="J436" s="636"/>
      <c r="K436" s="635"/>
      <c r="L436" s="635"/>
      <c r="M436" s="635"/>
      <c r="N436" s="635"/>
      <c r="O436" s="635"/>
      <c r="P436" s="635"/>
      <c r="Q436" s="635"/>
      <c r="R436" s="635"/>
      <c r="S436" s="634"/>
      <c r="T436" s="634"/>
      <c r="U436" s="634"/>
      <c r="V436" s="634"/>
      <c r="W436" s="634"/>
      <c r="X436" s="634"/>
      <c r="Y436" s="634"/>
      <c r="Z436" s="634"/>
      <c r="AA436" s="634"/>
    </row>
    <row r="437" ht="15.75" customHeight="1">
      <c r="A437" s="634"/>
      <c r="B437" s="634"/>
      <c r="C437" s="634"/>
      <c r="D437" s="634"/>
      <c r="E437" s="634"/>
      <c r="F437" s="634"/>
      <c r="G437" s="634"/>
      <c r="H437" s="635"/>
      <c r="I437" s="634"/>
      <c r="J437" s="636"/>
      <c r="K437" s="635"/>
      <c r="L437" s="635"/>
      <c r="M437" s="635"/>
      <c r="N437" s="635"/>
      <c r="O437" s="635"/>
      <c r="P437" s="635"/>
      <c r="Q437" s="635"/>
      <c r="R437" s="635"/>
      <c r="S437" s="634"/>
      <c r="T437" s="634"/>
      <c r="U437" s="634"/>
      <c r="V437" s="634"/>
      <c r="W437" s="634"/>
      <c r="X437" s="634"/>
      <c r="Y437" s="634"/>
      <c r="Z437" s="634"/>
      <c r="AA437" s="634"/>
    </row>
    <row r="438" ht="15.75" customHeight="1">
      <c r="A438" s="634"/>
      <c r="B438" s="634"/>
      <c r="C438" s="634"/>
      <c r="D438" s="634"/>
      <c r="E438" s="634"/>
      <c r="F438" s="634"/>
      <c r="G438" s="634"/>
      <c r="H438" s="635"/>
      <c r="I438" s="634"/>
      <c r="J438" s="636"/>
      <c r="K438" s="635"/>
      <c r="L438" s="635"/>
      <c r="M438" s="635"/>
      <c r="N438" s="635"/>
      <c r="O438" s="635"/>
      <c r="P438" s="635"/>
      <c r="Q438" s="635"/>
      <c r="R438" s="635"/>
      <c r="S438" s="634"/>
      <c r="T438" s="634"/>
      <c r="U438" s="634"/>
      <c r="V438" s="634"/>
      <c r="W438" s="634"/>
      <c r="X438" s="634"/>
      <c r="Y438" s="634"/>
      <c r="Z438" s="634"/>
      <c r="AA438" s="634"/>
    </row>
    <row r="439" ht="15.75" customHeight="1">
      <c r="A439" s="634"/>
      <c r="B439" s="634"/>
      <c r="C439" s="634"/>
      <c r="D439" s="634"/>
      <c r="E439" s="634"/>
      <c r="F439" s="634"/>
      <c r="G439" s="634"/>
      <c r="H439" s="635"/>
      <c r="I439" s="634"/>
      <c r="J439" s="636"/>
      <c r="K439" s="635"/>
      <c r="L439" s="635"/>
      <c r="M439" s="635"/>
      <c r="N439" s="635"/>
      <c r="O439" s="635"/>
      <c r="P439" s="635"/>
      <c r="Q439" s="635"/>
      <c r="R439" s="635"/>
      <c r="S439" s="634"/>
      <c r="T439" s="634"/>
      <c r="U439" s="634"/>
      <c r="V439" s="634"/>
      <c r="W439" s="634"/>
      <c r="X439" s="634"/>
      <c r="Y439" s="634"/>
      <c r="Z439" s="634"/>
      <c r="AA439" s="634"/>
    </row>
    <row r="440" ht="15.75" customHeight="1">
      <c r="A440" s="634"/>
      <c r="B440" s="634"/>
      <c r="C440" s="634"/>
      <c r="D440" s="634"/>
      <c r="E440" s="634"/>
      <c r="F440" s="634"/>
      <c r="G440" s="634"/>
      <c r="H440" s="635"/>
      <c r="I440" s="634"/>
      <c r="J440" s="636"/>
      <c r="K440" s="635"/>
      <c r="L440" s="635"/>
      <c r="M440" s="635"/>
      <c r="N440" s="635"/>
      <c r="O440" s="635"/>
      <c r="P440" s="635"/>
      <c r="Q440" s="635"/>
      <c r="R440" s="635"/>
      <c r="S440" s="634"/>
      <c r="T440" s="634"/>
      <c r="U440" s="634"/>
      <c r="V440" s="634"/>
      <c r="W440" s="634"/>
      <c r="X440" s="634"/>
      <c r="Y440" s="634"/>
      <c r="Z440" s="634"/>
      <c r="AA440" s="634"/>
    </row>
    <row r="441" ht="15.75" customHeight="1">
      <c r="A441" s="634"/>
      <c r="B441" s="634"/>
      <c r="C441" s="634"/>
      <c r="D441" s="634"/>
      <c r="E441" s="634"/>
      <c r="F441" s="634"/>
      <c r="G441" s="634"/>
      <c r="H441" s="635"/>
      <c r="I441" s="634"/>
      <c r="J441" s="636"/>
      <c r="K441" s="635"/>
      <c r="L441" s="635"/>
      <c r="M441" s="635"/>
      <c r="N441" s="635"/>
      <c r="O441" s="635"/>
      <c r="P441" s="635"/>
      <c r="Q441" s="635"/>
      <c r="R441" s="635"/>
      <c r="S441" s="634"/>
      <c r="T441" s="634"/>
      <c r="U441" s="634"/>
      <c r="V441" s="634"/>
      <c r="W441" s="634"/>
      <c r="X441" s="634"/>
      <c r="Y441" s="634"/>
      <c r="Z441" s="634"/>
      <c r="AA441" s="634"/>
    </row>
    <row r="442" ht="15.75" customHeight="1">
      <c r="A442" s="634"/>
      <c r="B442" s="634"/>
      <c r="C442" s="634"/>
      <c r="D442" s="634"/>
      <c r="E442" s="634"/>
      <c r="F442" s="634"/>
      <c r="G442" s="634"/>
      <c r="H442" s="635"/>
      <c r="I442" s="634"/>
      <c r="J442" s="636"/>
      <c r="K442" s="635"/>
      <c r="L442" s="635"/>
      <c r="M442" s="635"/>
      <c r="N442" s="635"/>
      <c r="O442" s="635"/>
      <c r="P442" s="635"/>
      <c r="Q442" s="635"/>
      <c r="R442" s="635"/>
      <c r="S442" s="634"/>
      <c r="T442" s="634"/>
      <c r="U442" s="634"/>
      <c r="V442" s="634"/>
      <c r="W442" s="634"/>
      <c r="X442" s="634"/>
      <c r="Y442" s="634"/>
      <c r="Z442" s="634"/>
      <c r="AA442" s="634"/>
    </row>
    <row r="443" ht="15.75" customHeight="1">
      <c r="A443" s="634"/>
      <c r="B443" s="634"/>
      <c r="C443" s="634"/>
      <c r="D443" s="634"/>
      <c r="E443" s="634"/>
      <c r="F443" s="634"/>
      <c r="G443" s="634"/>
      <c r="H443" s="635"/>
      <c r="I443" s="634"/>
      <c r="J443" s="636"/>
      <c r="K443" s="635"/>
      <c r="L443" s="635"/>
      <c r="M443" s="635"/>
      <c r="N443" s="635"/>
      <c r="O443" s="635"/>
      <c r="P443" s="635"/>
      <c r="Q443" s="635"/>
      <c r="R443" s="635"/>
      <c r="S443" s="634"/>
      <c r="T443" s="634"/>
      <c r="U443" s="634"/>
      <c r="V443" s="634"/>
      <c r="W443" s="634"/>
      <c r="X443" s="634"/>
      <c r="Y443" s="634"/>
      <c r="Z443" s="634"/>
      <c r="AA443" s="634"/>
    </row>
    <row r="444" ht="15.75" customHeight="1">
      <c r="A444" s="634"/>
      <c r="B444" s="634"/>
      <c r="C444" s="634"/>
      <c r="D444" s="634"/>
      <c r="E444" s="634"/>
      <c r="F444" s="634"/>
      <c r="G444" s="634"/>
      <c r="H444" s="635"/>
      <c r="I444" s="634"/>
      <c r="J444" s="636"/>
      <c r="K444" s="635"/>
      <c r="L444" s="635"/>
      <c r="M444" s="635"/>
      <c r="N444" s="635"/>
      <c r="O444" s="635"/>
      <c r="P444" s="635"/>
      <c r="Q444" s="635"/>
      <c r="R444" s="635"/>
      <c r="S444" s="634"/>
      <c r="T444" s="634"/>
      <c r="U444" s="634"/>
      <c r="V444" s="634"/>
      <c r="W444" s="634"/>
      <c r="X444" s="634"/>
      <c r="Y444" s="634"/>
      <c r="Z444" s="634"/>
      <c r="AA444" s="634"/>
    </row>
    <row r="445" ht="15.75" customHeight="1">
      <c r="A445" s="634"/>
      <c r="B445" s="634"/>
      <c r="C445" s="634"/>
      <c r="D445" s="634"/>
      <c r="E445" s="634"/>
      <c r="F445" s="634"/>
      <c r="G445" s="634"/>
      <c r="H445" s="635"/>
      <c r="I445" s="634"/>
      <c r="J445" s="636"/>
      <c r="K445" s="635"/>
      <c r="L445" s="635"/>
      <c r="M445" s="635"/>
      <c r="N445" s="635"/>
      <c r="O445" s="635"/>
      <c r="P445" s="635"/>
      <c r="Q445" s="635"/>
      <c r="R445" s="635"/>
      <c r="S445" s="634"/>
      <c r="T445" s="634"/>
      <c r="U445" s="634"/>
      <c r="V445" s="634"/>
      <c r="W445" s="634"/>
      <c r="X445" s="634"/>
      <c r="Y445" s="634"/>
      <c r="Z445" s="634"/>
      <c r="AA445" s="634"/>
    </row>
    <row r="446" ht="15.75" customHeight="1">
      <c r="A446" s="634"/>
      <c r="B446" s="634"/>
      <c r="C446" s="634"/>
      <c r="D446" s="634"/>
      <c r="E446" s="634"/>
      <c r="F446" s="634"/>
      <c r="G446" s="634"/>
      <c r="H446" s="635"/>
      <c r="I446" s="634"/>
      <c r="J446" s="636"/>
      <c r="K446" s="635"/>
      <c r="L446" s="635"/>
      <c r="M446" s="635"/>
      <c r="N446" s="635"/>
      <c r="O446" s="635"/>
      <c r="P446" s="635"/>
      <c r="Q446" s="635"/>
      <c r="R446" s="635"/>
      <c r="S446" s="634"/>
      <c r="T446" s="634"/>
      <c r="U446" s="634"/>
      <c r="V446" s="634"/>
      <c r="W446" s="634"/>
      <c r="X446" s="634"/>
      <c r="Y446" s="634"/>
      <c r="Z446" s="634"/>
      <c r="AA446" s="634"/>
    </row>
    <row r="447" ht="15.75" customHeight="1">
      <c r="A447" s="634"/>
      <c r="B447" s="634"/>
      <c r="C447" s="634"/>
      <c r="D447" s="634"/>
      <c r="E447" s="634"/>
      <c r="F447" s="634"/>
      <c r="G447" s="634"/>
      <c r="H447" s="635"/>
      <c r="I447" s="634"/>
      <c r="J447" s="636"/>
      <c r="K447" s="635"/>
      <c r="L447" s="635"/>
      <c r="M447" s="635"/>
      <c r="N447" s="635"/>
      <c r="O447" s="635"/>
      <c r="P447" s="635"/>
      <c r="Q447" s="635"/>
      <c r="R447" s="635"/>
      <c r="S447" s="634"/>
      <c r="T447" s="634"/>
      <c r="U447" s="634"/>
      <c r="V447" s="634"/>
      <c r="W447" s="634"/>
      <c r="X447" s="634"/>
      <c r="Y447" s="634"/>
      <c r="Z447" s="634"/>
      <c r="AA447" s="634"/>
    </row>
    <row r="448" ht="15.75" customHeight="1">
      <c r="A448" s="634"/>
      <c r="B448" s="634"/>
      <c r="C448" s="634"/>
      <c r="D448" s="634"/>
      <c r="E448" s="634"/>
      <c r="F448" s="634"/>
      <c r="G448" s="634"/>
      <c r="H448" s="635"/>
      <c r="I448" s="634"/>
      <c r="J448" s="636"/>
      <c r="K448" s="635"/>
      <c r="L448" s="635"/>
      <c r="M448" s="635"/>
      <c r="N448" s="635"/>
      <c r="O448" s="635"/>
      <c r="P448" s="635"/>
      <c r="Q448" s="635"/>
      <c r="R448" s="635"/>
      <c r="S448" s="634"/>
      <c r="T448" s="634"/>
      <c r="U448" s="634"/>
      <c r="V448" s="634"/>
      <c r="W448" s="634"/>
      <c r="X448" s="634"/>
      <c r="Y448" s="634"/>
      <c r="Z448" s="634"/>
      <c r="AA448" s="634"/>
    </row>
    <row r="449" ht="15.75" customHeight="1">
      <c r="A449" s="634"/>
      <c r="B449" s="634"/>
      <c r="C449" s="634"/>
      <c r="D449" s="634"/>
      <c r="E449" s="634"/>
      <c r="F449" s="634"/>
      <c r="G449" s="634"/>
      <c r="H449" s="635"/>
      <c r="I449" s="634"/>
      <c r="J449" s="636"/>
      <c r="K449" s="635"/>
      <c r="L449" s="635"/>
      <c r="M449" s="635"/>
      <c r="N449" s="635"/>
      <c r="O449" s="635"/>
      <c r="P449" s="635"/>
      <c r="Q449" s="635"/>
      <c r="R449" s="635"/>
      <c r="S449" s="634"/>
      <c r="T449" s="634"/>
      <c r="U449" s="634"/>
      <c r="V449" s="634"/>
      <c r="W449" s="634"/>
      <c r="X449" s="634"/>
      <c r="Y449" s="634"/>
      <c r="Z449" s="634"/>
      <c r="AA449" s="634"/>
    </row>
    <row r="450" ht="15.75" customHeight="1">
      <c r="A450" s="634"/>
      <c r="B450" s="634"/>
      <c r="C450" s="634"/>
      <c r="D450" s="634"/>
      <c r="E450" s="634"/>
      <c r="F450" s="634"/>
      <c r="G450" s="634"/>
      <c r="H450" s="635"/>
      <c r="I450" s="634"/>
      <c r="J450" s="636"/>
      <c r="K450" s="635"/>
      <c r="L450" s="635"/>
      <c r="M450" s="635"/>
      <c r="N450" s="635"/>
      <c r="O450" s="635"/>
      <c r="P450" s="635"/>
      <c r="Q450" s="635"/>
      <c r="R450" s="635"/>
      <c r="S450" s="634"/>
      <c r="T450" s="634"/>
      <c r="U450" s="634"/>
      <c r="V450" s="634"/>
      <c r="W450" s="634"/>
      <c r="X450" s="634"/>
      <c r="Y450" s="634"/>
      <c r="Z450" s="634"/>
      <c r="AA450" s="634"/>
    </row>
    <row r="451" ht="15.75" customHeight="1">
      <c r="A451" s="634"/>
      <c r="B451" s="634"/>
      <c r="C451" s="634"/>
      <c r="D451" s="634"/>
      <c r="E451" s="634"/>
      <c r="F451" s="634"/>
      <c r="G451" s="634"/>
      <c r="H451" s="635"/>
      <c r="I451" s="634"/>
      <c r="J451" s="636"/>
      <c r="K451" s="635"/>
      <c r="L451" s="635"/>
      <c r="M451" s="635"/>
      <c r="N451" s="635"/>
      <c r="O451" s="635"/>
      <c r="P451" s="635"/>
      <c r="Q451" s="635"/>
      <c r="R451" s="635"/>
      <c r="S451" s="634"/>
      <c r="T451" s="634"/>
      <c r="U451" s="634"/>
      <c r="V451" s="634"/>
      <c r="W451" s="634"/>
      <c r="X451" s="634"/>
      <c r="Y451" s="634"/>
      <c r="Z451" s="634"/>
      <c r="AA451" s="634"/>
    </row>
    <row r="452" ht="15.75" customHeight="1">
      <c r="A452" s="634"/>
      <c r="B452" s="634"/>
      <c r="C452" s="634"/>
      <c r="D452" s="634"/>
      <c r="E452" s="634"/>
      <c r="F452" s="634"/>
      <c r="G452" s="634"/>
      <c r="H452" s="635"/>
      <c r="I452" s="634"/>
      <c r="J452" s="636"/>
      <c r="K452" s="635"/>
      <c r="L452" s="635"/>
      <c r="M452" s="635"/>
      <c r="N452" s="635"/>
      <c r="O452" s="635"/>
      <c r="P452" s="635"/>
      <c r="Q452" s="635"/>
      <c r="R452" s="635"/>
      <c r="S452" s="634"/>
      <c r="T452" s="634"/>
      <c r="U452" s="634"/>
      <c r="V452" s="634"/>
      <c r="W452" s="634"/>
      <c r="X452" s="634"/>
      <c r="Y452" s="634"/>
      <c r="Z452" s="634"/>
      <c r="AA452" s="634"/>
    </row>
    <row r="453" ht="15.75" customHeight="1">
      <c r="A453" s="634"/>
      <c r="B453" s="634"/>
      <c r="C453" s="634"/>
      <c r="D453" s="634"/>
      <c r="E453" s="634"/>
      <c r="F453" s="634"/>
      <c r="G453" s="634"/>
      <c r="H453" s="635"/>
      <c r="I453" s="634"/>
      <c r="J453" s="636"/>
      <c r="K453" s="635"/>
      <c r="L453" s="635"/>
      <c r="M453" s="635"/>
      <c r="N453" s="635"/>
      <c r="O453" s="635"/>
      <c r="P453" s="635"/>
      <c r="Q453" s="635"/>
      <c r="R453" s="635"/>
      <c r="S453" s="634"/>
      <c r="T453" s="634"/>
      <c r="U453" s="634"/>
      <c r="V453" s="634"/>
      <c r="W453" s="634"/>
      <c r="X453" s="634"/>
      <c r="Y453" s="634"/>
      <c r="Z453" s="634"/>
      <c r="AA453" s="634"/>
    </row>
    <row r="454" ht="15.75" customHeight="1">
      <c r="A454" s="634"/>
      <c r="B454" s="634"/>
      <c r="C454" s="634"/>
      <c r="D454" s="634"/>
      <c r="E454" s="634"/>
      <c r="F454" s="634"/>
      <c r="G454" s="634"/>
      <c r="H454" s="635"/>
      <c r="I454" s="634"/>
      <c r="J454" s="636"/>
      <c r="K454" s="635"/>
      <c r="L454" s="635"/>
      <c r="M454" s="635"/>
      <c r="N454" s="635"/>
      <c r="O454" s="635"/>
      <c r="P454" s="635"/>
      <c r="Q454" s="635"/>
      <c r="R454" s="635"/>
      <c r="S454" s="634"/>
      <c r="T454" s="634"/>
      <c r="U454" s="634"/>
      <c r="V454" s="634"/>
      <c r="W454" s="634"/>
      <c r="X454" s="634"/>
      <c r="Y454" s="634"/>
      <c r="Z454" s="634"/>
      <c r="AA454" s="634"/>
    </row>
    <row r="455" ht="15.75" customHeight="1">
      <c r="A455" s="634"/>
      <c r="B455" s="634"/>
      <c r="C455" s="634"/>
      <c r="D455" s="634"/>
      <c r="E455" s="634"/>
      <c r="F455" s="634"/>
      <c r="G455" s="634"/>
      <c r="H455" s="635"/>
      <c r="I455" s="634"/>
      <c r="J455" s="636"/>
      <c r="K455" s="635"/>
      <c r="L455" s="635"/>
      <c r="M455" s="635"/>
      <c r="N455" s="635"/>
      <c r="O455" s="635"/>
      <c r="P455" s="635"/>
      <c r="Q455" s="635"/>
      <c r="R455" s="635"/>
      <c r="S455" s="634"/>
      <c r="T455" s="634"/>
      <c r="U455" s="634"/>
      <c r="V455" s="634"/>
      <c r="W455" s="634"/>
      <c r="X455" s="634"/>
      <c r="Y455" s="634"/>
      <c r="Z455" s="634"/>
      <c r="AA455" s="634"/>
    </row>
    <row r="456" ht="15.75" customHeight="1">
      <c r="A456" s="634"/>
      <c r="B456" s="634"/>
      <c r="C456" s="634"/>
      <c r="D456" s="634"/>
      <c r="E456" s="634"/>
      <c r="F456" s="634"/>
      <c r="G456" s="634"/>
      <c r="H456" s="635"/>
      <c r="I456" s="634"/>
      <c r="J456" s="636"/>
      <c r="K456" s="635"/>
      <c r="L456" s="635"/>
      <c r="M456" s="635"/>
      <c r="N456" s="635"/>
      <c r="O456" s="635"/>
      <c r="P456" s="635"/>
      <c r="Q456" s="635"/>
      <c r="R456" s="635"/>
      <c r="S456" s="634"/>
      <c r="T456" s="634"/>
      <c r="U456" s="634"/>
      <c r="V456" s="634"/>
      <c r="W456" s="634"/>
      <c r="X456" s="634"/>
      <c r="Y456" s="634"/>
      <c r="Z456" s="634"/>
      <c r="AA456" s="634"/>
    </row>
    <row r="457" ht="15.75" customHeight="1">
      <c r="A457" s="634"/>
      <c r="B457" s="634"/>
      <c r="C457" s="634"/>
      <c r="D457" s="634"/>
      <c r="E457" s="634"/>
      <c r="F457" s="634"/>
      <c r="G457" s="634"/>
      <c r="H457" s="635"/>
      <c r="I457" s="634"/>
      <c r="J457" s="636"/>
      <c r="K457" s="635"/>
      <c r="L457" s="635"/>
      <c r="M457" s="635"/>
      <c r="N457" s="635"/>
      <c r="O457" s="635"/>
      <c r="P457" s="635"/>
      <c r="Q457" s="635"/>
      <c r="R457" s="635"/>
      <c r="S457" s="634"/>
      <c r="T457" s="634"/>
      <c r="U457" s="634"/>
      <c r="V457" s="634"/>
      <c r="W457" s="634"/>
      <c r="X457" s="634"/>
      <c r="Y457" s="634"/>
      <c r="Z457" s="634"/>
      <c r="AA457" s="634"/>
    </row>
    <row r="458" ht="15.75" customHeight="1">
      <c r="A458" s="634"/>
      <c r="B458" s="634"/>
      <c r="C458" s="634"/>
      <c r="D458" s="634"/>
      <c r="E458" s="634"/>
      <c r="F458" s="634"/>
      <c r="G458" s="634"/>
      <c r="H458" s="635"/>
      <c r="I458" s="634"/>
      <c r="J458" s="636"/>
      <c r="K458" s="635"/>
      <c r="L458" s="635"/>
      <c r="M458" s="635"/>
      <c r="N458" s="635"/>
      <c r="O458" s="635"/>
      <c r="P458" s="635"/>
      <c r="Q458" s="635"/>
      <c r="R458" s="635"/>
      <c r="S458" s="634"/>
      <c r="T458" s="634"/>
      <c r="U458" s="634"/>
      <c r="V458" s="634"/>
      <c r="W458" s="634"/>
      <c r="X458" s="634"/>
      <c r="Y458" s="634"/>
      <c r="Z458" s="634"/>
      <c r="AA458" s="634"/>
    </row>
    <row r="459" ht="15.75" customHeight="1">
      <c r="A459" s="634"/>
      <c r="B459" s="634"/>
      <c r="C459" s="634"/>
      <c r="D459" s="634"/>
      <c r="E459" s="634"/>
      <c r="F459" s="634"/>
      <c r="G459" s="634"/>
      <c r="H459" s="635"/>
      <c r="I459" s="634"/>
      <c r="J459" s="636"/>
      <c r="K459" s="635"/>
      <c r="L459" s="635"/>
      <c r="M459" s="635"/>
      <c r="N459" s="635"/>
      <c r="O459" s="635"/>
      <c r="P459" s="635"/>
      <c r="Q459" s="635"/>
      <c r="R459" s="635"/>
      <c r="S459" s="634"/>
      <c r="T459" s="634"/>
      <c r="U459" s="634"/>
      <c r="V459" s="634"/>
      <c r="W459" s="634"/>
      <c r="X459" s="634"/>
      <c r="Y459" s="634"/>
      <c r="Z459" s="634"/>
      <c r="AA459" s="634"/>
    </row>
    <row r="460" ht="15.75" customHeight="1">
      <c r="A460" s="634"/>
      <c r="B460" s="634"/>
      <c r="C460" s="634"/>
      <c r="D460" s="634"/>
      <c r="E460" s="634"/>
      <c r="F460" s="634"/>
      <c r="G460" s="634"/>
      <c r="H460" s="635"/>
      <c r="I460" s="634"/>
      <c r="J460" s="636"/>
      <c r="K460" s="635"/>
      <c r="L460" s="635"/>
      <c r="M460" s="635"/>
      <c r="N460" s="635"/>
      <c r="O460" s="635"/>
      <c r="P460" s="635"/>
      <c r="Q460" s="635"/>
      <c r="R460" s="635"/>
      <c r="S460" s="634"/>
      <c r="T460" s="634"/>
      <c r="U460" s="634"/>
      <c r="V460" s="634"/>
      <c r="W460" s="634"/>
      <c r="X460" s="634"/>
      <c r="Y460" s="634"/>
      <c r="Z460" s="634"/>
      <c r="AA460" s="634"/>
    </row>
    <row r="461" ht="15.75" customHeight="1">
      <c r="A461" s="634"/>
      <c r="B461" s="634"/>
      <c r="C461" s="634"/>
      <c r="D461" s="634"/>
      <c r="E461" s="634"/>
      <c r="F461" s="634"/>
      <c r="G461" s="634"/>
      <c r="H461" s="635"/>
      <c r="I461" s="634"/>
      <c r="J461" s="636"/>
      <c r="K461" s="635"/>
      <c r="L461" s="635"/>
      <c r="M461" s="635"/>
      <c r="N461" s="635"/>
      <c r="O461" s="635"/>
      <c r="P461" s="635"/>
      <c r="Q461" s="635"/>
      <c r="R461" s="635"/>
      <c r="S461" s="634"/>
      <c r="T461" s="634"/>
      <c r="U461" s="634"/>
      <c r="V461" s="634"/>
      <c r="W461" s="634"/>
      <c r="X461" s="634"/>
      <c r="Y461" s="634"/>
      <c r="Z461" s="634"/>
      <c r="AA461" s="634"/>
    </row>
    <row r="462" ht="15.75" customHeight="1">
      <c r="A462" s="634"/>
      <c r="B462" s="634"/>
      <c r="C462" s="634"/>
      <c r="D462" s="634"/>
      <c r="E462" s="634"/>
      <c r="F462" s="634"/>
      <c r="G462" s="634"/>
      <c r="H462" s="635"/>
      <c r="I462" s="634"/>
      <c r="J462" s="636"/>
      <c r="K462" s="635"/>
      <c r="L462" s="635"/>
      <c r="M462" s="635"/>
      <c r="N462" s="635"/>
      <c r="O462" s="635"/>
      <c r="P462" s="635"/>
      <c r="Q462" s="635"/>
      <c r="R462" s="635"/>
      <c r="S462" s="634"/>
      <c r="T462" s="634"/>
      <c r="U462" s="634"/>
      <c r="V462" s="634"/>
      <c r="W462" s="634"/>
      <c r="X462" s="634"/>
      <c r="Y462" s="634"/>
      <c r="Z462" s="634"/>
      <c r="AA462" s="634"/>
    </row>
    <row r="463" ht="15.75" customHeight="1">
      <c r="A463" s="634"/>
      <c r="B463" s="634"/>
      <c r="C463" s="634"/>
      <c r="D463" s="634"/>
      <c r="E463" s="634"/>
      <c r="F463" s="634"/>
      <c r="G463" s="634"/>
      <c r="H463" s="635"/>
      <c r="I463" s="634"/>
      <c r="J463" s="636"/>
      <c r="K463" s="635"/>
      <c r="L463" s="635"/>
      <c r="M463" s="635"/>
      <c r="N463" s="635"/>
      <c r="O463" s="635"/>
      <c r="P463" s="635"/>
      <c r="Q463" s="635"/>
      <c r="R463" s="635"/>
      <c r="S463" s="634"/>
      <c r="T463" s="634"/>
      <c r="U463" s="634"/>
      <c r="V463" s="634"/>
      <c r="W463" s="634"/>
      <c r="X463" s="634"/>
      <c r="Y463" s="634"/>
      <c r="Z463" s="634"/>
      <c r="AA463" s="634"/>
    </row>
    <row r="464" ht="15.75" customHeight="1">
      <c r="A464" s="634"/>
      <c r="B464" s="634"/>
      <c r="C464" s="634"/>
      <c r="D464" s="634"/>
      <c r="E464" s="634"/>
      <c r="F464" s="634"/>
      <c r="G464" s="634"/>
      <c r="H464" s="635"/>
      <c r="I464" s="634"/>
      <c r="J464" s="636"/>
      <c r="K464" s="635"/>
      <c r="L464" s="635"/>
      <c r="M464" s="635"/>
      <c r="N464" s="635"/>
      <c r="O464" s="635"/>
      <c r="P464" s="635"/>
      <c r="Q464" s="635"/>
      <c r="R464" s="635"/>
      <c r="S464" s="634"/>
      <c r="T464" s="634"/>
      <c r="U464" s="634"/>
      <c r="V464" s="634"/>
      <c r="W464" s="634"/>
      <c r="X464" s="634"/>
      <c r="Y464" s="634"/>
      <c r="Z464" s="634"/>
      <c r="AA464" s="634"/>
    </row>
    <row r="465" ht="15.75" customHeight="1">
      <c r="A465" s="634"/>
      <c r="B465" s="634"/>
      <c r="C465" s="634"/>
      <c r="D465" s="634"/>
      <c r="E465" s="634"/>
      <c r="F465" s="634"/>
      <c r="G465" s="634"/>
      <c r="H465" s="635"/>
      <c r="I465" s="634"/>
      <c r="J465" s="636"/>
      <c r="K465" s="635"/>
      <c r="L465" s="635"/>
      <c r="M465" s="635"/>
      <c r="N465" s="635"/>
      <c r="O465" s="635"/>
      <c r="P465" s="635"/>
      <c r="Q465" s="635"/>
      <c r="R465" s="635"/>
      <c r="S465" s="634"/>
      <c r="T465" s="634"/>
      <c r="U465" s="634"/>
      <c r="V465" s="634"/>
      <c r="W465" s="634"/>
      <c r="X465" s="634"/>
      <c r="Y465" s="634"/>
      <c r="Z465" s="634"/>
      <c r="AA465" s="634"/>
    </row>
    <row r="466" ht="15.75" customHeight="1">
      <c r="A466" s="634"/>
      <c r="B466" s="634"/>
      <c r="C466" s="634"/>
      <c r="D466" s="634"/>
      <c r="E466" s="634"/>
      <c r="F466" s="634"/>
      <c r="G466" s="634"/>
      <c r="H466" s="635"/>
      <c r="I466" s="634"/>
      <c r="J466" s="636"/>
      <c r="K466" s="635"/>
      <c r="L466" s="635"/>
      <c r="M466" s="635"/>
      <c r="N466" s="635"/>
      <c r="O466" s="635"/>
      <c r="P466" s="635"/>
      <c r="Q466" s="635"/>
      <c r="R466" s="635"/>
      <c r="S466" s="634"/>
      <c r="T466" s="634"/>
      <c r="U466" s="634"/>
      <c r="V466" s="634"/>
      <c r="W466" s="634"/>
      <c r="X466" s="634"/>
      <c r="Y466" s="634"/>
      <c r="Z466" s="634"/>
      <c r="AA466" s="634"/>
    </row>
    <row r="467" ht="15.75" customHeight="1">
      <c r="A467" s="634"/>
      <c r="B467" s="634"/>
      <c r="C467" s="634"/>
      <c r="D467" s="634"/>
      <c r="E467" s="634"/>
      <c r="F467" s="634"/>
      <c r="G467" s="634"/>
      <c r="H467" s="635"/>
      <c r="I467" s="634"/>
      <c r="J467" s="636"/>
      <c r="K467" s="635"/>
      <c r="L467" s="635"/>
      <c r="M467" s="635"/>
      <c r="N467" s="635"/>
      <c r="O467" s="635"/>
      <c r="P467" s="635"/>
      <c r="Q467" s="635"/>
      <c r="R467" s="635"/>
      <c r="S467" s="634"/>
      <c r="T467" s="634"/>
      <c r="U467" s="634"/>
      <c r="V467" s="634"/>
      <c r="W467" s="634"/>
      <c r="X467" s="634"/>
      <c r="Y467" s="634"/>
      <c r="Z467" s="634"/>
      <c r="AA467" s="634"/>
    </row>
    <row r="468" ht="15.75" customHeight="1">
      <c r="A468" s="634"/>
      <c r="B468" s="634"/>
      <c r="C468" s="634"/>
      <c r="D468" s="634"/>
      <c r="E468" s="634"/>
      <c r="F468" s="634"/>
      <c r="G468" s="634"/>
      <c r="H468" s="635"/>
      <c r="I468" s="634"/>
      <c r="J468" s="636"/>
      <c r="K468" s="635"/>
      <c r="L468" s="635"/>
      <c r="M468" s="635"/>
      <c r="N468" s="635"/>
      <c r="O468" s="635"/>
      <c r="P468" s="635"/>
      <c r="Q468" s="635"/>
      <c r="R468" s="635"/>
      <c r="S468" s="634"/>
      <c r="T468" s="634"/>
      <c r="U468" s="634"/>
      <c r="V468" s="634"/>
      <c r="W468" s="634"/>
      <c r="X468" s="634"/>
      <c r="Y468" s="634"/>
      <c r="Z468" s="634"/>
      <c r="AA468" s="634"/>
    </row>
    <row r="469" ht="15.75" customHeight="1">
      <c r="A469" s="634"/>
      <c r="B469" s="634"/>
      <c r="C469" s="634"/>
      <c r="D469" s="634"/>
      <c r="E469" s="634"/>
      <c r="F469" s="634"/>
      <c r="G469" s="634"/>
      <c r="H469" s="635"/>
      <c r="I469" s="634"/>
      <c r="J469" s="636"/>
      <c r="K469" s="635"/>
      <c r="L469" s="635"/>
      <c r="M469" s="635"/>
      <c r="N469" s="635"/>
      <c r="O469" s="635"/>
      <c r="P469" s="635"/>
      <c r="Q469" s="635"/>
      <c r="R469" s="635"/>
      <c r="S469" s="634"/>
      <c r="T469" s="634"/>
      <c r="U469" s="634"/>
      <c r="V469" s="634"/>
      <c r="W469" s="634"/>
      <c r="X469" s="634"/>
      <c r="Y469" s="634"/>
      <c r="Z469" s="634"/>
      <c r="AA469" s="634"/>
    </row>
    <row r="470" ht="15.75" customHeight="1">
      <c r="A470" s="634"/>
      <c r="B470" s="634"/>
      <c r="C470" s="634"/>
      <c r="D470" s="634"/>
      <c r="E470" s="634"/>
      <c r="F470" s="634"/>
      <c r="G470" s="634"/>
      <c r="H470" s="635"/>
      <c r="I470" s="634"/>
      <c r="J470" s="636"/>
      <c r="K470" s="635"/>
      <c r="L470" s="635"/>
      <c r="M470" s="635"/>
      <c r="N470" s="635"/>
      <c r="O470" s="635"/>
      <c r="P470" s="635"/>
      <c r="Q470" s="635"/>
      <c r="R470" s="635"/>
      <c r="S470" s="634"/>
      <c r="T470" s="634"/>
      <c r="U470" s="634"/>
      <c r="V470" s="634"/>
      <c r="W470" s="634"/>
      <c r="X470" s="634"/>
      <c r="Y470" s="634"/>
      <c r="Z470" s="634"/>
      <c r="AA470" s="634"/>
    </row>
    <row r="471" ht="15.75" customHeight="1">
      <c r="A471" s="634"/>
      <c r="B471" s="634"/>
      <c r="C471" s="634"/>
      <c r="D471" s="634"/>
      <c r="E471" s="634"/>
      <c r="F471" s="634"/>
      <c r="G471" s="634"/>
      <c r="H471" s="635"/>
      <c r="I471" s="634"/>
      <c r="J471" s="636"/>
      <c r="K471" s="635"/>
      <c r="L471" s="635"/>
      <c r="M471" s="635"/>
      <c r="N471" s="635"/>
      <c r="O471" s="635"/>
      <c r="P471" s="635"/>
      <c r="Q471" s="635"/>
      <c r="R471" s="635"/>
      <c r="S471" s="634"/>
      <c r="T471" s="634"/>
      <c r="U471" s="634"/>
      <c r="V471" s="634"/>
      <c r="W471" s="634"/>
      <c r="X471" s="634"/>
      <c r="Y471" s="634"/>
      <c r="Z471" s="634"/>
      <c r="AA471" s="634"/>
    </row>
    <row r="472" ht="15.75" customHeight="1">
      <c r="A472" s="634"/>
      <c r="B472" s="634"/>
      <c r="C472" s="634"/>
      <c r="D472" s="634"/>
      <c r="E472" s="634"/>
      <c r="F472" s="634"/>
      <c r="G472" s="634"/>
      <c r="H472" s="635"/>
      <c r="I472" s="634"/>
      <c r="J472" s="636"/>
      <c r="K472" s="635"/>
      <c r="L472" s="635"/>
      <c r="M472" s="635"/>
      <c r="N472" s="635"/>
      <c r="O472" s="635"/>
      <c r="P472" s="635"/>
      <c r="Q472" s="635"/>
      <c r="R472" s="635"/>
      <c r="S472" s="634"/>
      <c r="T472" s="634"/>
      <c r="U472" s="634"/>
      <c r="V472" s="634"/>
      <c r="W472" s="634"/>
      <c r="X472" s="634"/>
      <c r="Y472" s="634"/>
      <c r="Z472" s="634"/>
      <c r="AA472" s="634"/>
    </row>
    <row r="473" ht="15.75" customHeight="1">
      <c r="A473" s="634"/>
      <c r="B473" s="634"/>
      <c r="C473" s="634"/>
      <c r="D473" s="634"/>
      <c r="E473" s="634"/>
      <c r="F473" s="634"/>
      <c r="G473" s="634"/>
      <c r="H473" s="635"/>
      <c r="I473" s="634"/>
      <c r="J473" s="636"/>
      <c r="K473" s="635"/>
      <c r="L473" s="635"/>
      <c r="M473" s="635"/>
      <c r="N473" s="635"/>
      <c r="O473" s="635"/>
      <c r="P473" s="635"/>
      <c r="Q473" s="635"/>
      <c r="R473" s="635"/>
      <c r="S473" s="634"/>
      <c r="T473" s="634"/>
      <c r="U473" s="634"/>
      <c r="V473" s="634"/>
      <c r="W473" s="634"/>
      <c r="X473" s="634"/>
      <c r="Y473" s="634"/>
      <c r="Z473" s="634"/>
      <c r="AA473" s="634"/>
    </row>
    <row r="474" ht="15.75" customHeight="1">
      <c r="A474" s="634"/>
      <c r="B474" s="634"/>
      <c r="C474" s="634"/>
      <c r="D474" s="634"/>
      <c r="E474" s="634"/>
      <c r="F474" s="634"/>
      <c r="G474" s="634"/>
      <c r="H474" s="635"/>
      <c r="I474" s="634"/>
      <c r="J474" s="636"/>
      <c r="K474" s="635"/>
      <c r="L474" s="635"/>
      <c r="M474" s="635"/>
      <c r="N474" s="635"/>
      <c r="O474" s="635"/>
      <c r="P474" s="635"/>
      <c r="Q474" s="635"/>
      <c r="R474" s="635"/>
      <c r="S474" s="634"/>
      <c r="T474" s="634"/>
      <c r="U474" s="634"/>
      <c r="V474" s="634"/>
      <c r="W474" s="634"/>
      <c r="X474" s="634"/>
      <c r="Y474" s="634"/>
      <c r="Z474" s="634"/>
      <c r="AA474" s="634"/>
    </row>
    <row r="475" ht="15.75" customHeight="1">
      <c r="A475" s="634"/>
      <c r="B475" s="634"/>
      <c r="C475" s="634"/>
      <c r="D475" s="634"/>
      <c r="E475" s="634"/>
      <c r="F475" s="634"/>
      <c r="G475" s="634"/>
      <c r="H475" s="635"/>
      <c r="I475" s="634"/>
      <c r="J475" s="636"/>
      <c r="K475" s="635"/>
      <c r="L475" s="635"/>
      <c r="M475" s="635"/>
      <c r="N475" s="635"/>
      <c r="O475" s="635"/>
      <c r="P475" s="635"/>
      <c r="Q475" s="635"/>
      <c r="R475" s="635"/>
      <c r="S475" s="634"/>
      <c r="T475" s="634"/>
      <c r="U475" s="634"/>
      <c r="V475" s="634"/>
      <c r="W475" s="634"/>
      <c r="X475" s="634"/>
      <c r="Y475" s="634"/>
      <c r="Z475" s="634"/>
      <c r="AA475" s="634"/>
    </row>
    <row r="476" ht="15.75" customHeight="1">
      <c r="A476" s="634"/>
      <c r="B476" s="634"/>
      <c r="C476" s="634"/>
      <c r="D476" s="634"/>
      <c r="E476" s="634"/>
      <c r="F476" s="634"/>
      <c r="G476" s="634"/>
      <c r="H476" s="635"/>
      <c r="I476" s="634"/>
      <c r="J476" s="636"/>
      <c r="K476" s="635"/>
      <c r="L476" s="635"/>
      <c r="M476" s="635"/>
      <c r="N476" s="635"/>
      <c r="O476" s="635"/>
      <c r="P476" s="635"/>
      <c r="Q476" s="635"/>
      <c r="R476" s="635"/>
      <c r="S476" s="634"/>
      <c r="T476" s="634"/>
      <c r="U476" s="634"/>
      <c r="V476" s="634"/>
      <c r="W476" s="634"/>
      <c r="X476" s="634"/>
      <c r="Y476" s="634"/>
      <c r="Z476" s="634"/>
      <c r="AA476" s="634"/>
    </row>
    <row r="477" ht="15.75" customHeight="1">
      <c r="A477" s="634"/>
      <c r="B477" s="634"/>
      <c r="C477" s="634"/>
      <c r="D477" s="634"/>
      <c r="E477" s="634"/>
      <c r="F477" s="634"/>
      <c r="G477" s="634"/>
      <c r="H477" s="635"/>
      <c r="I477" s="634"/>
      <c r="J477" s="636"/>
      <c r="K477" s="635"/>
      <c r="L477" s="635"/>
      <c r="M477" s="635"/>
      <c r="N477" s="635"/>
      <c r="O477" s="635"/>
      <c r="P477" s="635"/>
      <c r="Q477" s="635"/>
      <c r="R477" s="635"/>
      <c r="S477" s="634"/>
      <c r="T477" s="634"/>
      <c r="U477" s="634"/>
      <c r="V477" s="634"/>
      <c r="W477" s="634"/>
      <c r="X477" s="634"/>
      <c r="Y477" s="634"/>
      <c r="Z477" s="634"/>
      <c r="AA477" s="634"/>
    </row>
    <row r="478" ht="15.75" customHeight="1">
      <c r="A478" s="634"/>
      <c r="B478" s="634"/>
      <c r="C478" s="634"/>
      <c r="D478" s="634"/>
      <c r="E478" s="634"/>
      <c r="F478" s="634"/>
      <c r="G478" s="634"/>
      <c r="H478" s="635"/>
      <c r="I478" s="634"/>
      <c r="J478" s="636"/>
      <c r="K478" s="635"/>
      <c r="L478" s="635"/>
      <c r="M478" s="635"/>
      <c r="N478" s="635"/>
      <c r="O478" s="635"/>
      <c r="P478" s="635"/>
      <c r="Q478" s="635"/>
      <c r="R478" s="635"/>
      <c r="S478" s="634"/>
      <c r="T478" s="634"/>
      <c r="U478" s="634"/>
      <c r="V478" s="634"/>
      <c r="W478" s="634"/>
      <c r="X478" s="634"/>
      <c r="Y478" s="634"/>
      <c r="Z478" s="634"/>
      <c r="AA478" s="634"/>
    </row>
    <row r="479" ht="15.75" customHeight="1">
      <c r="A479" s="634"/>
      <c r="B479" s="634"/>
      <c r="C479" s="634"/>
      <c r="D479" s="634"/>
      <c r="E479" s="634"/>
      <c r="F479" s="634"/>
      <c r="G479" s="634"/>
      <c r="H479" s="635"/>
      <c r="I479" s="634"/>
      <c r="J479" s="636"/>
      <c r="K479" s="635"/>
      <c r="L479" s="635"/>
      <c r="M479" s="635"/>
      <c r="N479" s="635"/>
      <c r="O479" s="635"/>
      <c r="P479" s="635"/>
      <c r="Q479" s="635"/>
      <c r="R479" s="635"/>
      <c r="S479" s="634"/>
      <c r="T479" s="634"/>
      <c r="U479" s="634"/>
      <c r="V479" s="634"/>
      <c r="W479" s="634"/>
      <c r="X479" s="634"/>
      <c r="Y479" s="634"/>
      <c r="Z479" s="634"/>
      <c r="AA479" s="634"/>
    </row>
    <row r="480" ht="15.75" customHeight="1">
      <c r="A480" s="634"/>
      <c r="B480" s="634"/>
      <c r="C480" s="634"/>
      <c r="D480" s="634"/>
      <c r="E480" s="634"/>
      <c r="F480" s="634"/>
      <c r="G480" s="634"/>
      <c r="H480" s="635"/>
      <c r="I480" s="634"/>
      <c r="J480" s="636"/>
      <c r="K480" s="635"/>
      <c r="L480" s="635"/>
      <c r="M480" s="635"/>
      <c r="N480" s="635"/>
      <c r="O480" s="635"/>
      <c r="P480" s="635"/>
      <c r="Q480" s="635"/>
      <c r="R480" s="635"/>
      <c r="S480" s="634"/>
      <c r="T480" s="634"/>
      <c r="U480" s="634"/>
      <c r="V480" s="634"/>
      <c r="W480" s="634"/>
      <c r="X480" s="634"/>
      <c r="Y480" s="634"/>
      <c r="Z480" s="634"/>
      <c r="AA480" s="634"/>
    </row>
    <row r="481" ht="15.75" customHeight="1">
      <c r="A481" s="634"/>
      <c r="B481" s="634"/>
      <c r="C481" s="634"/>
      <c r="D481" s="634"/>
      <c r="E481" s="634"/>
      <c r="F481" s="634"/>
      <c r="G481" s="634"/>
      <c r="H481" s="635"/>
      <c r="I481" s="634"/>
      <c r="J481" s="636"/>
      <c r="K481" s="635"/>
      <c r="L481" s="635"/>
      <c r="M481" s="635"/>
      <c r="N481" s="635"/>
      <c r="O481" s="635"/>
      <c r="P481" s="635"/>
      <c r="Q481" s="635"/>
      <c r="R481" s="635"/>
      <c r="S481" s="634"/>
      <c r="T481" s="634"/>
      <c r="U481" s="634"/>
      <c r="V481" s="634"/>
      <c r="W481" s="634"/>
      <c r="X481" s="634"/>
      <c r="Y481" s="634"/>
      <c r="Z481" s="634"/>
      <c r="AA481" s="634"/>
    </row>
    <row r="482" ht="15.75" customHeight="1">
      <c r="A482" s="634"/>
      <c r="B482" s="634"/>
      <c r="C482" s="634"/>
      <c r="D482" s="634"/>
      <c r="E482" s="634"/>
      <c r="F482" s="634"/>
      <c r="G482" s="634"/>
      <c r="H482" s="635"/>
      <c r="I482" s="634"/>
      <c r="J482" s="636"/>
      <c r="K482" s="635"/>
      <c r="L482" s="635"/>
      <c r="M482" s="635"/>
      <c r="N482" s="635"/>
      <c r="O482" s="635"/>
      <c r="P482" s="635"/>
      <c r="Q482" s="635"/>
      <c r="R482" s="635"/>
      <c r="S482" s="634"/>
      <c r="T482" s="634"/>
      <c r="U482" s="634"/>
      <c r="V482" s="634"/>
      <c r="W482" s="634"/>
      <c r="X482" s="634"/>
      <c r="Y482" s="634"/>
      <c r="Z482" s="634"/>
      <c r="AA482" s="634"/>
    </row>
    <row r="483" ht="15.75" customHeight="1">
      <c r="A483" s="634"/>
      <c r="B483" s="634"/>
      <c r="C483" s="634"/>
      <c r="D483" s="634"/>
      <c r="E483" s="634"/>
      <c r="F483" s="634"/>
      <c r="G483" s="634"/>
      <c r="H483" s="635"/>
      <c r="I483" s="634"/>
      <c r="J483" s="636"/>
      <c r="K483" s="635"/>
      <c r="L483" s="635"/>
      <c r="M483" s="635"/>
      <c r="N483" s="635"/>
      <c r="O483" s="635"/>
      <c r="P483" s="635"/>
      <c r="Q483" s="635"/>
      <c r="R483" s="635"/>
      <c r="S483" s="634"/>
      <c r="T483" s="634"/>
      <c r="U483" s="634"/>
      <c r="V483" s="634"/>
      <c r="W483" s="634"/>
      <c r="X483" s="634"/>
      <c r="Y483" s="634"/>
      <c r="Z483" s="634"/>
      <c r="AA483" s="634"/>
    </row>
    <row r="484" ht="15.75" customHeight="1">
      <c r="A484" s="634"/>
      <c r="B484" s="634"/>
      <c r="C484" s="634"/>
      <c r="D484" s="634"/>
      <c r="E484" s="634"/>
      <c r="F484" s="634"/>
      <c r="G484" s="634"/>
      <c r="H484" s="635"/>
      <c r="I484" s="634"/>
      <c r="J484" s="636"/>
      <c r="K484" s="635"/>
      <c r="L484" s="635"/>
      <c r="M484" s="635"/>
      <c r="N484" s="635"/>
      <c r="O484" s="635"/>
      <c r="P484" s="635"/>
      <c r="Q484" s="635"/>
      <c r="R484" s="635"/>
      <c r="S484" s="634"/>
      <c r="T484" s="634"/>
      <c r="U484" s="634"/>
      <c r="V484" s="634"/>
      <c r="W484" s="634"/>
      <c r="X484" s="634"/>
      <c r="Y484" s="634"/>
      <c r="Z484" s="634"/>
      <c r="AA484" s="634"/>
    </row>
    <row r="485" ht="15.75" customHeight="1">
      <c r="A485" s="634"/>
      <c r="B485" s="634"/>
      <c r="C485" s="634"/>
      <c r="D485" s="634"/>
      <c r="E485" s="634"/>
      <c r="F485" s="634"/>
      <c r="G485" s="634"/>
      <c r="H485" s="635"/>
      <c r="I485" s="634"/>
      <c r="J485" s="636"/>
      <c r="K485" s="635"/>
      <c r="L485" s="635"/>
      <c r="M485" s="635"/>
      <c r="N485" s="635"/>
      <c r="O485" s="635"/>
      <c r="P485" s="635"/>
      <c r="Q485" s="635"/>
      <c r="R485" s="635"/>
      <c r="S485" s="634"/>
      <c r="T485" s="634"/>
      <c r="U485" s="634"/>
      <c r="V485" s="634"/>
      <c r="W485" s="634"/>
      <c r="X485" s="634"/>
      <c r="Y485" s="634"/>
      <c r="Z485" s="634"/>
      <c r="AA485" s="634"/>
    </row>
    <row r="486" ht="15.75" customHeight="1">
      <c r="A486" s="634"/>
      <c r="B486" s="634"/>
      <c r="C486" s="634"/>
      <c r="D486" s="634"/>
      <c r="E486" s="634"/>
      <c r="F486" s="634"/>
      <c r="G486" s="634"/>
      <c r="H486" s="635"/>
      <c r="I486" s="634"/>
      <c r="J486" s="636"/>
      <c r="K486" s="635"/>
      <c r="L486" s="635"/>
      <c r="M486" s="635"/>
      <c r="N486" s="635"/>
      <c r="O486" s="635"/>
      <c r="P486" s="635"/>
      <c r="Q486" s="635"/>
      <c r="R486" s="635"/>
      <c r="S486" s="634"/>
      <c r="T486" s="634"/>
      <c r="U486" s="634"/>
      <c r="V486" s="634"/>
      <c r="W486" s="634"/>
      <c r="X486" s="634"/>
      <c r="Y486" s="634"/>
      <c r="Z486" s="634"/>
      <c r="AA486" s="634"/>
    </row>
    <row r="487" ht="15.75" customHeight="1">
      <c r="A487" s="634"/>
      <c r="B487" s="634"/>
      <c r="C487" s="634"/>
      <c r="D487" s="634"/>
      <c r="E487" s="634"/>
      <c r="F487" s="634"/>
      <c r="G487" s="634"/>
      <c r="H487" s="635"/>
      <c r="I487" s="634"/>
      <c r="J487" s="636"/>
      <c r="K487" s="635"/>
      <c r="L487" s="635"/>
      <c r="M487" s="635"/>
      <c r="N487" s="635"/>
      <c r="O487" s="635"/>
      <c r="P487" s="635"/>
      <c r="Q487" s="635"/>
      <c r="R487" s="635"/>
      <c r="S487" s="634"/>
      <c r="T487" s="634"/>
      <c r="U487" s="634"/>
      <c r="V487" s="634"/>
      <c r="W487" s="634"/>
      <c r="X487" s="634"/>
      <c r="Y487" s="634"/>
      <c r="Z487" s="634"/>
      <c r="AA487" s="634"/>
    </row>
    <row r="488" ht="15.75" customHeight="1">
      <c r="A488" s="634"/>
      <c r="B488" s="634"/>
      <c r="C488" s="634"/>
      <c r="D488" s="634"/>
      <c r="E488" s="634"/>
      <c r="F488" s="634"/>
      <c r="G488" s="634"/>
      <c r="H488" s="635"/>
      <c r="I488" s="634"/>
      <c r="J488" s="636"/>
      <c r="K488" s="635"/>
      <c r="L488" s="635"/>
      <c r="M488" s="635"/>
      <c r="N488" s="635"/>
      <c r="O488" s="635"/>
      <c r="P488" s="635"/>
      <c r="Q488" s="635"/>
      <c r="R488" s="635"/>
      <c r="S488" s="634"/>
      <c r="T488" s="634"/>
      <c r="U488" s="634"/>
      <c r="V488" s="634"/>
      <c r="W488" s="634"/>
      <c r="X488" s="634"/>
      <c r="Y488" s="634"/>
      <c r="Z488" s="634"/>
      <c r="AA488" s="634"/>
    </row>
    <row r="489" ht="15.75" customHeight="1">
      <c r="A489" s="634"/>
      <c r="B489" s="634"/>
      <c r="C489" s="634"/>
      <c r="D489" s="634"/>
      <c r="E489" s="634"/>
      <c r="F489" s="634"/>
      <c r="G489" s="634"/>
      <c r="H489" s="635"/>
      <c r="I489" s="634"/>
      <c r="J489" s="636"/>
      <c r="K489" s="635"/>
      <c r="L489" s="635"/>
      <c r="M489" s="635"/>
      <c r="N489" s="635"/>
      <c r="O489" s="635"/>
      <c r="P489" s="635"/>
      <c r="Q489" s="635"/>
      <c r="R489" s="635"/>
      <c r="S489" s="634"/>
      <c r="T489" s="634"/>
      <c r="U489" s="634"/>
      <c r="V489" s="634"/>
      <c r="W489" s="634"/>
      <c r="X489" s="634"/>
      <c r="Y489" s="634"/>
      <c r="Z489" s="634"/>
      <c r="AA489" s="634"/>
    </row>
    <row r="490" ht="15.75" customHeight="1">
      <c r="A490" s="634"/>
      <c r="B490" s="634"/>
      <c r="C490" s="634"/>
      <c r="D490" s="634"/>
      <c r="E490" s="634"/>
      <c r="F490" s="634"/>
      <c r="G490" s="634"/>
      <c r="H490" s="635"/>
      <c r="I490" s="634"/>
      <c r="J490" s="636"/>
      <c r="K490" s="635"/>
      <c r="L490" s="635"/>
      <c r="M490" s="635"/>
      <c r="N490" s="635"/>
      <c r="O490" s="635"/>
      <c r="P490" s="635"/>
      <c r="Q490" s="635"/>
      <c r="R490" s="635"/>
      <c r="S490" s="634"/>
      <c r="T490" s="634"/>
      <c r="U490" s="634"/>
      <c r="V490" s="634"/>
      <c r="W490" s="634"/>
      <c r="X490" s="634"/>
      <c r="Y490" s="634"/>
      <c r="Z490" s="634"/>
      <c r="AA490" s="634"/>
    </row>
    <row r="491" ht="15.75" customHeight="1">
      <c r="A491" s="634"/>
      <c r="B491" s="634"/>
      <c r="C491" s="634"/>
      <c r="D491" s="634"/>
      <c r="E491" s="634"/>
      <c r="F491" s="634"/>
      <c r="G491" s="634"/>
      <c r="H491" s="635"/>
      <c r="I491" s="634"/>
      <c r="J491" s="636"/>
      <c r="K491" s="635"/>
      <c r="L491" s="635"/>
      <c r="M491" s="635"/>
      <c r="N491" s="635"/>
      <c r="O491" s="635"/>
      <c r="P491" s="635"/>
      <c r="Q491" s="635"/>
      <c r="R491" s="635"/>
      <c r="S491" s="634"/>
      <c r="T491" s="634"/>
      <c r="U491" s="634"/>
      <c r="V491" s="634"/>
      <c r="W491" s="634"/>
      <c r="X491" s="634"/>
      <c r="Y491" s="634"/>
      <c r="Z491" s="634"/>
      <c r="AA491" s="634"/>
    </row>
    <row r="492" ht="15.75" customHeight="1">
      <c r="A492" s="634"/>
      <c r="B492" s="634"/>
      <c r="C492" s="634"/>
      <c r="D492" s="634"/>
      <c r="E492" s="634"/>
      <c r="F492" s="634"/>
      <c r="G492" s="634"/>
      <c r="H492" s="635"/>
      <c r="I492" s="634"/>
      <c r="J492" s="636"/>
      <c r="K492" s="635"/>
      <c r="L492" s="635"/>
      <c r="M492" s="635"/>
      <c r="N492" s="635"/>
      <c r="O492" s="635"/>
      <c r="P492" s="635"/>
      <c r="Q492" s="635"/>
      <c r="R492" s="635"/>
      <c r="S492" s="634"/>
      <c r="T492" s="634"/>
      <c r="U492" s="634"/>
      <c r="V492" s="634"/>
      <c r="W492" s="634"/>
      <c r="X492" s="634"/>
      <c r="Y492" s="634"/>
      <c r="Z492" s="634"/>
      <c r="AA492" s="634"/>
    </row>
    <row r="493" ht="15.75" customHeight="1">
      <c r="A493" s="634"/>
      <c r="B493" s="634"/>
      <c r="C493" s="634"/>
      <c r="D493" s="634"/>
      <c r="E493" s="634"/>
      <c r="F493" s="634"/>
      <c r="G493" s="634"/>
      <c r="H493" s="635"/>
      <c r="I493" s="634"/>
      <c r="J493" s="636"/>
      <c r="K493" s="635"/>
      <c r="L493" s="635"/>
      <c r="M493" s="635"/>
      <c r="N493" s="635"/>
      <c r="O493" s="635"/>
      <c r="P493" s="635"/>
      <c r="Q493" s="635"/>
      <c r="R493" s="635"/>
      <c r="S493" s="634"/>
      <c r="T493" s="634"/>
      <c r="U493" s="634"/>
      <c r="V493" s="634"/>
      <c r="W493" s="634"/>
      <c r="X493" s="634"/>
      <c r="Y493" s="634"/>
      <c r="Z493" s="634"/>
      <c r="AA493" s="634"/>
    </row>
    <row r="494" ht="15.75" customHeight="1">
      <c r="A494" s="634"/>
      <c r="B494" s="634"/>
      <c r="C494" s="634"/>
      <c r="D494" s="634"/>
      <c r="E494" s="634"/>
      <c r="F494" s="634"/>
      <c r="G494" s="634"/>
      <c r="H494" s="635"/>
      <c r="I494" s="634"/>
      <c r="J494" s="636"/>
      <c r="K494" s="635"/>
      <c r="L494" s="635"/>
      <c r="M494" s="635"/>
      <c r="N494" s="635"/>
      <c r="O494" s="635"/>
      <c r="P494" s="635"/>
      <c r="Q494" s="635"/>
      <c r="R494" s="635"/>
      <c r="S494" s="634"/>
      <c r="T494" s="634"/>
      <c r="U494" s="634"/>
      <c r="V494" s="634"/>
      <c r="W494" s="634"/>
      <c r="X494" s="634"/>
      <c r="Y494" s="634"/>
      <c r="Z494" s="634"/>
      <c r="AA494" s="634"/>
    </row>
    <row r="495" ht="15.75" customHeight="1">
      <c r="A495" s="634"/>
      <c r="B495" s="634"/>
      <c r="C495" s="634"/>
      <c r="D495" s="634"/>
      <c r="E495" s="634"/>
      <c r="F495" s="634"/>
      <c r="G495" s="634"/>
      <c r="H495" s="635"/>
      <c r="I495" s="634"/>
      <c r="J495" s="636"/>
      <c r="K495" s="635"/>
      <c r="L495" s="635"/>
      <c r="M495" s="635"/>
      <c r="N495" s="635"/>
      <c r="O495" s="635"/>
      <c r="P495" s="635"/>
      <c r="Q495" s="635"/>
      <c r="R495" s="635"/>
      <c r="S495" s="634"/>
      <c r="T495" s="634"/>
      <c r="U495" s="634"/>
      <c r="V495" s="634"/>
      <c r="W495" s="634"/>
      <c r="X495" s="634"/>
      <c r="Y495" s="634"/>
      <c r="Z495" s="634"/>
      <c r="AA495" s="634"/>
    </row>
    <row r="496" ht="15.75" customHeight="1">
      <c r="A496" s="634"/>
      <c r="B496" s="634"/>
      <c r="C496" s="634"/>
      <c r="D496" s="634"/>
      <c r="E496" s="634"/>
      <c r="F496" s="634"/>
      <c r="G496" s="634"/>
      <c r="H496" s="635"/>
      <c r="I496" s="634"/>
      <c r="J496" s="636"/>
      <c r="K496" s="635"/>
      <c r="L496" s="635"/>
      <c r="M496" s="635"/>
      <c r="N496" s="635"/>
      <c r="O496" s="635"/>
      <c r="P496" s="635"/>
      <c r="Q496" s="635"/>
      <c r="R496" s="635"/>
      <c r="S496" s="634"/>
      <c r="T496" s="634"/>
      <c r="U496" s="634"/>
      <c r="V496" s="634"/>
      <c r="W496" s="634"/>
      <c r="X496" s="634"/>
      <c r="Y496" s="634"/>
      <c r="Z496" s="634"/>
      <c r="AA496" s="634"/>
    </row>
    <row r="497" ht="15.75" customHeight="1">
      <c r="A497" s="634"/>
      <c r="B497" s="634"/>
      <c r="C497" s="634"/>
      <c r="D497" s="634"/>
      <c r="E497" s="634"/>
      <c r="F497" s="634"/>
      <c r="G497" s="634"/>
      <c r="H497" s="635"/>
      <c r="I497" s="634"/>
      <c r="J497" s="636"/>
      <c r="K497" s="635"/>
      <c r="L497" s="635"/>
      <c r="M497" s="635"/>
      <c r="N497" s="635"/>
      <c r="O497" s="635"/>
      <c r="P497" s="635"/>
      <c r="Q497" s="635"/>
      <c r="R497" s="635"/>
      <c r="S497" s="634"/>
      <c r="T497" s="634"/>
      <c r="U497" s="634"/>
      <c r="V497" s="634"/>
      <c r="W497" s="634"/>
      <c r="X497" s="634"/>
      <c r="Y497" s="634"/>
      <c r="Z497" s="634"/>
      <c r="AA497" s="634"/>
    </row>
    <row r="498" ht="15.75" customHeight="1">
      <c r="A498" s="634"/>
      <c r="B498" s="634"/>
      <c r="C498" s="634"/>
      <c r="D498" s="634"/>
      <c r="E498" s="634"/>
      <c r="F498" s="634"/>
      <c r="G498" s="634"/>
      <c r="H498" s="635"/>
      <c r="I498" s="634"/>
      <c r="J498" s="636"/>
      <c r="K498" s="635"/>
      <c r="L498" s="635"/>
      <c r="M498" s="635"/>
      <c r="N498" s="635"/>
      <c r="O498" s="635"/>
      <c r="P498" s="635"/>
      <c r="Q498" s="635"/>
      <c r="R498" s="635"/>
      <c r="S498" s="634"/>
      <c r="T498" s="634"/>
      <c r="U498" s="634"/>
      <c r="V498" s="634"/>
      <c r="W498" s="634"/>
      <c r="X498" s="634"/>
      <c r="Y498" s="634"/>
      <c r="Z498" s="634"/>
      <c r="AA498" s="634"/>
    </row>
    <row r="499" ht="15.75" customHeight="1">
      <c r="A499" s="634"/>
      <c r="B499" s="634"/>
      <c r="C499" s="634"/>
      <c r="D499" s="634"/>
      <c r="E499" s="634"/>
      <c r="F499" s="634"/>
      <c r="G499" s="634"/>
      <c r="H499" s="635"/>
      <c r="I499" s="634"/>
      <c r="J499" s="636"/>
      <c r="K499" s="635"/>
      <c r="L499" s="635"/>
      <c r="M499" s="635"/>
      <c r="N499" s="635"/>
      <c r="O499" s="635"/>
      <c r="P499" s="635"/>
      <c r="Q499" s="635"/>
      <c r="R499" s="635"/>
      <c r="S499" s="634"/>
      <c r="T499" s="634"/>
      <c r="U499" s="634"/>
      <c r="V499" s="634"/>
      <c r="W499" s="634"/>
      <c r="X499" s="634"/>
      <c r="Y499" s="634"/>
      <c r="Z499" s="634"/>
      <c r="AA499" s="634"/>
    </row>
    <row r="500" ht="15.75" customHeight="1">
      <c r="A500" s="634"/>
      <c r="B500" s="634"/>
      <c r="C500" s="634"/>
      <c r="D500" s="634"/>
      <c r="E500" s="634"/>
      <c r="F500" s="634"/>
      <c r="G500" s="634"/>
      <c r="H500" s="635"/>
      <c r="I500" s="634"/>
      <c r="J500" s="636"/>
      <c r="K500" s="635"/>
      <c r="L500" s="635"/>
      <c r="M500" s="635"/>
      <c r="N500" s="635"/>
      <c r="O500" s="635"/>
      <c r="P500" s="635"/>
      <c r="Q500" s="635"/>
      <c r="R500" s="635"/>
      <c r="S500" s="634"/>
      <c r="T500" s="634"/>
      <c r="U500" s="634"/>
      <c r="V500" s="634"/>
      <c r="W500" s="634"/>
      <c r="X500" s="634"/>
      <c r="Y500" s="634"/>
      <c r="Z500" s="634"/>
      <c r="AA500" s="634"/>
    </row>
    <row r="501" ht="15.75" customHeight="1">
      <c r="A501" s="634"/>
      <c r="B501" s="634"/>
      <c r="C501" s="634"/>
      <c r="D501" s="634"/>
      <c r="E501" s="634"/>
      <c r="F501" s="634"/>
      <c r="G501" s="634"/>
      <c r="H501" s="635"/>
      <c r="I501" s="634"/>
      <c r="J501" s="636"/>
      <c r="K501" s="635"/>
      <c r="L501" s="635"/>
      <c r="M501" s="635"/>
      <c r="N501" s="635"/>
      <c r="O501" s="635"/>
      <c r="P501" s="635"/>
      <c r="Q501" s="635"/>
      <c r="R501" s="635"/>
      <c r="S501" s="634"/>
      <c r="T501" s="634"/>
      <c r="U501" s="634"/>
      <c r="V501" s="634"/>
      <c r="W501" s="634"/>
      <c r="X501" s="634"/>
      <c r="Y501" s="634"/>
      <c r="Z501" s="634"/>
      <c r="AA501" s="634"/>
    </row>
    <row r="502" ht="15.75" customHeight="1">
      <c r="A502" s="634"/>
      <c r="B502" s="634"/>
      <c r="C502" s="634"/>
      <c r="D502" s="634"/>
      <c r="E502" s="634"/>
      <c r="F502" s="634"/>
      <c r="G502" s="634"/>
      <c r="H502" s="635"/>
      <c r="I502" s="634"/>
      <c r="J502" s="636"/>
      <c r="K502" s="635"/>
      <c r="L502" s="635"/>
      <c r="M502" s="635"/>
      <c r="N502" s="635"/>
      <c r="O502" s="635"/>
      <c r="P502" s="635"/>
      <c r="Q502" s="635"/>
      <c r="R502" s="635"/>
      <c r="S502" s="634"/>
      <c r="T502" s="634"/>
      <c r="U502" s="634"/>
      <c r="V502" s="634"/>
      <c r="W502" s="634"/>
      <c r="X502" s="634"/>
      <c r="Y502" s="634"/>
      <c r="Z502" s="634"/>
      <c r="AA502" s="634"/>
    </row>
    <row r="503" ht="15.75" customHeight="1">
      <c r="A503" s="634"/>
      <c r="B503" s="634"/>
      <c r="C503" s="634"/>
      <c r="D503" s="634"/>
      <c r="E503" s="634"/>
      <c r="F503" s="634"/>
      <c r="G503" s="634"/>
      <c r="H503" s="635"/>
      <c r="I503" s="634"/>
      <c r="J503" s="636"/>
      <c r="K503" s="635"/>
      <c r="L503" s="635"/>
      <c r="M503" s="635"/>
      <c r="N503" s="635"/>
      <c r="O503" s="635"/>
      <c r="P503" s="635"/>
      <c r="Q503" s="635"/>
      <c r="R503" s="635"/>
      <c r="S503" s="634"/>
      <c r="T503" s="634"/>
      <c r="U503" s="634"/>
      <c r="V503" s="634"/>
      <c r="W503" s="634"/>
      <c r="X503" s="634"/>
      <c r="Y503" s="634"/>
      <c r="Z503" s="634"/>
      <c r="AA503" s="634"/>
    </row>
    <row r="504" ht="15.75" customHeight="1">
      <c r="A504" s="634"/>
      <c r="B504" s="634"/>
      <c r="C504" s="634"/>
      <c r="D504" s="634"/>
      <c r="E504" s="634"/>
      <c r="F504" s="634"/>
      <c r="G504" s="634"/>
      <c r="H504" s="635"/>
      <c r="I504" s="634"/>
      <c r="J504" s="636"/>
      <c r="K504" s="635"/>
      <c r="L504" s="635"/>
      <c r="M504" s="635"/>
      <c r="N504" s="635"/>
      <c r="O504" s="635"/>
      <c r="P504" s="635"/>
      <c r="Q504" s="635"/>
      <c r="R504" s="635"/>
      <c r="S504" s="634"/>
      <c r="T504" s="634"/>
      <c r="U504" s="634"/>
      <c r="V504" s="634"/>
      <c r="W504" s="634"/>
      <c r="X504" s="634"/>
      <c r="Y504" s="634"/>
      <c r="Z504" s="634"/>
      <c r="AA504" s="634"/>
    </row>
    <row r="505" ht="15.75" customHeight="1">
      <c r="A505" s="634"/>
      <c r="B505" s="634"/>
      <c r="C505" s="634"/>
      <c r="D505" s="634"/>
      <c r="E505" s="634"/>
      <c r="F505" s="634"/>
      <c r="G505" s="634"/>
      <c r="H505" s="635"/>
      <c r="I505" s="634"/>
      <c r="J505" s="636"/>
      <c r="K505" s="635"/>
      <c r="L505" s="635"/>
      <c r="M505" s="635"/>
      <c r="N505" s="635"/>
      <c r="O505" s="635"/>
      <c r="P505" s="635"/>
      <c r="Q505" s="635"/>
      <c r="R505" s="635"/>
      <c r="S505" s="634"/>
      <c r="T505" s="634"/>
      <c r="U505" s="634"/>
      <c r="V505" s="634"/>
      <c r="W505" s="634"/>
      <c r="X505" s="634"/>
      <c r="Y505" s="634"/>
      <c r="Z505" s="634"/>
      <c r="AA505" s="634"/>
    </row>
    <row r="506" ht="15.75" customHeight="1">
      <c r="A506" s="634"/>
      <c r="B506" s="634"/>
      <c r="C506" s="634"/>
      <c r="D506" s="634"/>
      <c r="E506" s="634"/>
      <c r="F506" s="634"/>
      <c r="G506" s="634"/>
      <c r="H506" s="635"/>
      <c r="I506" s="634"/>
      <c r="J506" s="636"/>
      <c r="K506" s="635"/>
      <c r="L506" s="635"/>
      <c r="M506" s="635"/>
      <c r="N506" s="635"/>
      <c r="O506" s="635"/>
      <c r="P506" s="635"/>
      <c r="Q506" s="635"/>
      <c r="R506" s="635"/>
      <c r="S506" s="634"/>
      <c r="T506" s="634"/>
      <c r="U506" s="634"/>
      <c r="V506" s="634"/>
      <c r="W506" s="634"/>
      <c r="X506" s="634"/>
      <c r="Y506" s="634"/>
      <c r="Z506" s="634"/>
      <c r="AA506" s="634"/>
    </row>
    <row r="507" ht="15.75" customHeight="1">
      <c r="A507" s="634"/>
      <c r="B507" s="634"/>
      <c r="C507" s="634"/>
      <c r="D507" s="634"/>
      <c r="E507" s="634"/>
      <c r="F507" s="634"/>
      <c r="G507" s="634"/>
      <c r="H507" s="635"/>
      <c r="I507" s="634"/>
      <c r="J507" s="636"/>
      <c r="K507" s="635"/>
      <c r="L507" s="635"/>
      <c r="M507" s="635"/>
      <c r="N507" s="635"/>
      <c r="O507" s="635"/>
      <c r="P507" s="635"/>
      <c r="Q507" s="635"/>
      <c r="R507" s="635"/>
      <c r="S507" s="634"/>
      <c r="T507" s="634"/>
      <c r="U507" s="634"/>
      <c r="V507" s="634"/>
      <c r="W507" s="634"/>
      <c r="X507" s="634"/>
      <c r="Y507" s="634"/>
      <c r="Z507" s="634"/>
      <c r="AA507" s="634"/>
    </row>
    <row r="508" ht="15.75" customHeight="1">
      <c r="A508" s="634"/>
      <c r="B508" s="634"/>
      <c r="C508" s="634"/>
      <c r="D508" s="634"/>
      <c r="E508" s="634"/>
      <c r="F508" s="634"/>
      <c r="G508" s="634"/>
      <c r="H508" s="635"/>
      <c r="I508" s="634"/>
      <c r="J508" s="636"/>
      <c r="K508" s="635"/>
      <c r="L508" s="635"/>
      <c r="M508" s="635"/>
      <c r="N508" s="635"/>
      <c r="O508" s="635"/>
      <c r="P508" s="635"/>
      <c r="Q508" s="635"/>
      <c r="R508" s="635"/>
      <c r="S508" s="634"/>
      <c r="T508" s="634"/>
      <c r="U508" s="634"/>
      <c r="V508" s="634"/>
      <c r="W508" s="634"/>
      <c r="X508" s="634"/>
      <c r="Y508" s="634"/>
      <c r="Z508" s="634"/>
      <c r="AA508" s="634"/>
    </row>
    <row r="509" ht="15.75" customHeight="1">
      <c r="A509" s="634"/>
      <c r="B509" s="634"/>
      <c r="C509" s="634"/>
      <c r="D509" s="634"/>
      <c r="E509" s="634"/>
      <c r="F509" s="634"/>
      <c r="G509" s="634"/>
      <c r="H509" s="635"/>
      <c r="I509" s="634"/>
      <c r="J509" s="636"/>
      <c r="K509" s="635"/>
      <c r="L509" s="635"/>
      <c r="M509" s="635"/>
      <c r="N509" s="635"/>
      <c r="O509" s="635"/>
      <c r="P509" s="635"/>
      <c r="Q509" s="635"/>
      <c r="R509" s="635"/>
      <c r="S509" s="634"/>
      <c r="T509" s="634"/>
      <c r="U509" s="634"/>
      <c r="V509" s="634"/>
      <c r="W509" s="634"/>
      <c r="X509" s="634"/>
      <c r="Y509" s="634"/>
      <c r="Z509" s="634"/>
      <c r="AA509" s="634"/>
    </row>
    <row r="510" ht="15.75" customHeight="1">
      <c r="A510" s="634"/>
      <c r="B510" s="634"/>
      <c r="C510" s="634"/>
      <c r="D510" s="634"/>
      <c r="E510" s="634"/>
      <c r="F510" s="634"/>
      <c r="G510" s="634"/>
      <c r="H510" s="635"/>
      <c r="I510" s="634"/>
      <c r="J510" s="636"/>
      <c r="K510" s="635"/>
      <c r="L510" s="635"/>
      <c r="M510" s="635"/>
      <c r="N510" s="635"/>
      <c r="O510" s="635"/>
      <c r="P510" s="635"/>
      <c r="Q510" s="635"/>
      <c r="R510" s="635"/>
      <c r="S510" s="634"/>
      <c r="T510" s="634"/>
      <c r="U510" s="634"/>
      <c r="V510" s="634"/>
      <c r="W510" s="634"/>
      <c r="X510" s="634"/>
      <c r="Y510" s="634"/>
      <c r="Z510" s="634"/>
      <c r="AA510" s="634"/>
    </row>
    <row r="511" ht="15.75" customHeight="1">
      <c r="A511" s="634"/>
      <c r="B511" s="634"/>
      <c r="C511" s="634"/>
      <c r="D511" s="634"/>
      <c r="E511" s="634"/>
      <c r="F511" s="634"/>
      <c r="G511" s="634"/>
      <c r="H511" s="635"/>
      <c r="I511" s="634"/>
      <c r="J511" s="636"/>
      <c r="K511" s="635"/>
      <c r="L511" s="635"/>
      <c r="M511" s="635"/>
      <c r="N511" s="635"/>
      <c r="O511" s="635"/>
      <c r="P511" s="635"/>
      <c r="Q511" s="635"/>
      <c r="R511" s="635"/>
      <c r="S511" s="634"/>
      <c r="T511" s="634"/>
      <c r="U511" s="634"/>
      <c r="V511" s="634"/>
      <c r="W511" s="634"/>
      <c r="X511" s="634"/>
      <c r="Y511" s="634"/>
      <c r="Z511" s="634"/>
      <c r="AA511" s="634"/>
    </row>
    <row r="512" ht="15.75" customHeight="1">
      <c r="A512" s="634"/>
      <c r="B512" s="634"/>
      <c r="C512" s="634"/>
      <c r="D512" s="634"/>
      <c r="E512" s="634"/>
      <c r="F512" s="634"/>
      <c r="G512" s="634"/>
      <c r="H512" s="635"/>
      <c r="I512" s="634"/>
      <c r="J512" s="636"/>
      <c r="K512" s="635"/>
      <c r="L512" s="635"/>
      <c r="M512" s="635"/>
      <c r="N512" s="635"/>
      <c r="O512" s="635"/>
      <c r="P512" s="635"/>
      <c r="Q512" s="635"/>
      <c r="R512" s="635"/>
      <c r="S512" s="634"/>
      <c r="T512" s="634"/>
      <c r="U512" s="634"/>
      <c r="V512" s="634"/>
      <c r="W512" s="634"/>
      <c r="X512" s="634"/>
      <c r="Y512" s="634"/>
      <c r="Z512" s="634"/>
      <c r="AA512" s="634"/>
    </row>
    <row r="513" ht="15.75" customHeight="1">
      <c r="A513" s="634"/>
      <c r="B513" s="634"/>
      <c r="C513" s="634"/>
      <c r="D513" s="634"/>
      <c r="E513" s="634"/>
      <c r="F513" s="634"/>
      <c r="G513" s="634"/>
      <c r="H513" s="635"/>
      <c r="I513" s="634"/>
      <c r="J513" s="636"/>
      <c r="K513" s="635"/>
      <c r="L513" s="635"/>
      <c r="M513" s="635"/>
      <c r="N513" s="635"/>
      <c r="O513" s="635"/>
      <c r="P513" s="635"/>
      <c r="Q513" s="635"/>
      <c r="R513" s="635"/>
      <c r="S513" s="634"/>
      <c r="T513" s="634"/>
      <c r="U513" s="634"/>
      <c r="V513" s="634"/>
      <c r="W513" s="634"/>
      <c r="X513" s="634"/>
      <c r="Y513" s="634"/>
      <c r="Z513" s="634"/>
      <c r="AA513" s="634"/>
    </row>
    <row r="514" ht="15.75" customHeight="1">
      <c r="A514" s="634"/>
      <c r="B514" s="634"/>
      <c r="C514" s="634"/>
      <c r="D514" s="634"/>
      <c r="E514" s="634"/>
      <c r="F514" s="634"/>
      <c r="G514" s="634"/>
      <c r="H514" s="635"/>
      <c r="I514" s="634"/>
      <c r="J514" s="636"/>
      <c r="K514" s="635"/>
      <c r="L514" s="635"/>
      <c r="M514" s="635"/>
      <c r="N514" s="635"/>
      <c r="O514" s="635"/>
      <c r="P514" s="635"/>
      <c r="Q514" s="635"/>
      <c r="R514" s="635"/>
      <c r="S514" s="634"/>
      <c r="T514" s="634"/>
      <c r="U514" s="634"/>
      <c r="V514" s="634"/>
      <c r="W514" s="634"/>
      <c r="X514" s="634"/>
      <c r="Y514" s="634"/>
      <c r="Z514" s="634"/>
      <c r="AA514" s="634"/>
    </row>
    <row r="515" ht="15.75" customHeight="1">
      <c r="A515" s="634"/>
      <c r="B515" s="634"/>
      <c r="C515" s="634"/>
      <c r="D515" s="634"/>
      <c r="E515" s="634"/>
      <c r="F515" s="634"/>
      <c r="G515" s="634"/>
      <c r="H515" s="635"/>
      <c r="I515" s="634"/>
      <c r="J515" s="636"/>
      <c r="K515" s="635"/>
      <c r="L515" s="635"/>
      <c r="M515" s="635"/>
      <c r="N515" s="635"/>
      <c r="O515" s="635"/>
      <c r="P515" s="635"/>
      <c r="Q515" s="635"/>
      <c r="R515" s="635"/>
      <c r="S515" s="634"/>
      <c r="T515" s="634"/>
      <c r="U515" s="634"/>
      <c r="V515" s="634"/>
      <c r="W515" s="634"/>
      <c r="X515" s="634"/>
      <c r="Y515" s="634"/>
      <c r="Z515" s="634"/>
      <c r="AA515" s="634"/>
    </row>
    <row r="516" ht="15.75" customHeight="1">
      <c r="A516" s="634"/>
      <c r="B516" s="634"/>
      <c r="C516" s="634"/>
      <c r="D516" s="634"/>
      <c r="E516" s="634"/>
      <c r="F516" s="634"/>
      <c r="G516" s="634"/>
      <c r="H516" s="635"/>
      <c r="I516" s="634"/>
      <c r="J516" s="636"/>
      <c r="K516" s="635"/>
      <c r="L516" s="635"/>
      <c r="M516" s="635"/>
      <c r="N516" s="635"/>
      <c r="O516" s="635"/>
      <c r="P516" s="635"/>
      <c r="Q516" s="635"/>
      <c r="R516" s="635"/>
      <c r="S516" s="634"/>
      <c r="T516" s="634"/>
      <c r="U516" s="634"/>
      <c r="V516" s="634"/>
      <c r="W516" s="634"/>
      <c r="X516" s="634"/>
      <c r="Y516" s="634"/>
      <c r="Z516" s="634"/>
      <c r="AA516" s="634"/>
    </row>
    <row r="517" ht="15.75" customHeight="1">
      <c r="A517" s="634"/>
      <c r="B517" s="634"/>
      <c r="C517" s="634"/>
      <c r="D517" s="634"/>
      <c r="E517" s="634"/>
      <c r="F517" s="634"/>
      <c r="G517" s="634"/>
      <c r="H517" s="635"/>
      <c r="I517" s="634"/>
      <c r="J517" s="636"/>
      <c r="K517" s="635"/>
      <c r="L517" s="635"/>
      <c r="M517" s="635"/>
      <c r="N517" s="635"/>
      <c r="O517" s="635"/>
      <c r="P517" s="635"/>
      <c r="Q517" s="635"/>
      <c r="R517" s="635"/>
      <c r="S517" s="634"/>
      <c r="T517" s="634"/>
      <c r="U517" s="634"/>
      <c r="V517" s="634"/>
      <c r="W517" s="634"/>
      <c r="X517" s="634"/>
      <c r="Y517" s="634"/>
      <c r="Z517" s="634"/>
      <c r="AA517" s="634"/>
    </row>
    <row r="518" ht="15.75" customHeight="1">
      <c r="A518" s="634"/>
      <c r="B518" s="634"/>
      <c r="C518" s="634"/>
      <c r="D518" s="634"/>
      <c r="E518" s="634"/>
      <c r="F518" s="634"/>
      <c r="G518" s="634"/>
      <c r="H518" s="635"/>
      <c r="I518" s="634"/>
      <c r="J518" s="636"/>
      <c r="K518" s="635"/>
      <c r="L518" s="635"/>
      <c r="M518" s="635"/>
      <c r="N518" s="635"/>
      <c r="O518" s="635"/>
      <c r="P518" s="635"/>
      <c r="Q518" s="635"/>
      <c r="R518" s="635"/>
      <c r="S518" s="634"/>
      <c r="T518" s="634"/>
      <c r="U518" s="634"/>
      <c r="V518" s="634"/>
      <c r="W518" s="634"/>
      <c r="X518" s="634"/>
      <c r="Y518" s="634"/>
      <c r="Z518" s="634"/>
      <c r="AA518" s="634"/>
    </row>
    <row r="519" ht="15.75" customHeight="1">
      <c r="A519" s="634"/>
      <c r="B519" s="634"/>
      <c r="C519" s="634"/>
      <c r="D519" s="634"/>
      <c r="E519" s="634"/>
      <c r="F519" s="634"/>
      <c r="G519" s="634"/>
      <c r="H519" s="635"/>
      <c r="I519" s="634"/>
      <c r="J519" s="636"/>
      <c r="K519" s="635"/>
      <c r="L519" s="635"/>
      <c r="M519" s="635"/>
      <c r="N519" s="635"/>
      <c r="O519" s="635"/>
      <c r="P519" s="635"/>
      <c r="Q519" s="635"/>
      <c r="R519" s="635"/>
      <c r="S519" s="634"/>
      <c r="T519" s="634"/>
      <c r="U519" s="634"/>
      <c r="V519" s="634"/>
      <c r="W519" s="634"/>
      <c r="X519" s="634"/>
      <c r="Y519" s="634"/>
      <c r="Z519" s="634"/>
      <c r="AA519" s="634"/>
    </row>
    <row r="520" ht="15.75" customHeight="1">
      <c r="A520" s="634"/>
      <c r="B520" s="634"/>
      <c r="C520" s="634"/>
      <c r="D520" s="634"/>
      <c r="E520" s="634"/>
      <c r="F520" s="634"/>
      <c r="G520" s="634"/>
      <c r="H520" s="635"/>
      <c r="I520" s="634"/>
      <c r="J520" s="636"/>
      <c r="K520" s="635"/>
      <c r="L520" s="635"/>
      <c r="M520" s="635"/>
      <c r="N520" s="635"/>
      <c r="O520" s="635"/>
      <c r="P520" s="635"/>
      <c r="Q520" s="635"/>
      <c r="R520" s="635"/>
      <c r="S520" s="634"/>
      <c r="T520" s="634"/>
      <c r="U520" s="634"/>
      <c r="V520" s="634"/>
      <c r="W520" s="634"/>
      <c r="X520" s="634"/>
      <c r="Y520" s="634"/>
      <c r="Z520" s="634"/>
      <c r="AA520" s="634"/>
    </row>
    <row r="521" ht="15.75" customHeight="1">
      <c r="A521" s="634"/>
      <c r="B521" s="634"/>
      <c r="C521" s="634"/>
      <c r="D521" s="634"/>
      <c r="E521" s="634"/>
      <c r="F521" s="634"/>
      <c r="G521" s="634"/>
      <c r="H521" s="635"/>
      <c r="I521" s="634"/>
      <c r="J521" s="636"/>
      <c r="K521" s="635"/>
      <c r="L521" s="635"/>
      <c r="M521" s="635"/>
      <c r="N521" s="635"/>
      <c r="O521" s="635"/>
      <c r="P521" s="635"/>
      <c r="Q521" s="635"/>
      <c r="R521" s="635"/>
      <c r="S521" s="634"/>
      <c r="T521" s="634"/>
      <c r="U521" s="634"/>
      <c r="V521" s="634"/>
      <c r="W521" s="634"/>
      <c r="X521" s="634"/>
      <c r="Y521" s="634"/>
      <c r="Z521" s="634"/>
      <c r="AA521" s="634"/>
    </row>
    <row r="522" ht="15.75" customHeight="1">
      <c r="A522" s="634"/>
      <c r="B522" s="634"/>
      <c r="C522" s="634"/>
      <c r="D522" s="634"/>
      <c r="E522" s="634"/>
      <c r="F522" s="634"/>
      <c r="G522" s="634"/>
      <c r="H522" s="635"/>
      <c r="I522" s="634"/>
      <c r="J522" s="636"/>
      <c r="K522" s="635"/>
      <c r="L522" s="635"/>
      <c r="M522" s="635"/>
      <c r="N522" s="635"/>
      <c r="O522" s="635"/>
      <c r="P522" s="635"/>
      <c r="Q522" s="635"/>
      <c r="R522" s="635"/>
      <c r="S522" s="634"/>
      <c r="T522" s="634"/>
      <c r="U522" s="634"/>
      <c r="V522" s="634"/>
      <c r="W522" s="634"/>
      <c r="X522" s="634"/>
      <c r="Y522" s="634"/>
      <c r="Z522" s="634"/>
      <c r="AA522" s="634"/>
    </row>
    <row r="523" ht="15.75" customHeight="1">
      <c r="A523" s="634"/>
      <c r="B523" s="634"/>
      <c r="C523" s="634"/>
      <c r="D523" s="634"/>
      <c r="E523" s="634"/>
      <c r="F523" s="634"/>
      <c r="G523" s="634"/>
      <c r="H523" s="635"/>
      <c r="I523" s="634"/>
      <c r="J523" s="636"/>
      <c r="K523" s="635"/>
      <c r="L523" s="635"/>
      <c r="M523" s="635"/>
      <c r="N523" s="635"/>
      <c r="O523" s="635"/>
      <c r="P523" s="635"/>
      <c r="Q523" s="635"/>
      <c r="R523" s="635"/>
      <c r="S523" s="634"/>
      <c r="T523" s="634"/>
      <c r="U523" s="634"/>
      <c r="V523" s="634"/>
      <c r="W523" s="634"/>
      <c r="X523" s="634"/>
      <c r="Y523" s="634"/>
      <c r="Z523" s="634"/>
      <c r="AA523" s="634"/>
    </row>
    <row r="524" ht="15.75" customHeight="1">
      <c r="A524" s="634"/>
      <c r="B524" s="634"/>
      <c r="C524" s="634"/>
      <c r="D524" s="634"/>
      <c r="E524" s="634"/>
      <c r="F524" s="634"/>
      <c r="G524" s="634"/>
      <c r="H524" s="635"/>
      <c r="I524" s="634"/>
      <c r="J524" s="636"/>
      <c r="K524" s="635"/>
      <c r="L524" s="635"/>
      <c r="M524" s="635"/>
      <c r="N524" s="635"/>
      <c r="O524" s="635"/>
      <c r="P524" s="635"/>
      <c r="Q524" s="635"/>
      <c r="R524" s="635"/>
      <c r="S524" s="634"/>
      <c r="T524" s="634"/>
      <c r="U524" s="634"/>
      <c r="V524" s="634"/>
      <c r="W524" s="634"/>
      <c r="X524" s="634"/>
      <c r="Y524" s="634"/>
      <c r="Z524" s="634"/>
      <c r="AA524" s="634"/>
    </row>
    <row r="525" ht="15.75" customHeight="1">
      <c r="A525" s="634"/>
      <c r="B525" s="634"/>
      <c r="C525" s="634"/>
      <c r="D525" s="634"/>
      <c r="E525" s="634"/>
      <c r="F525" s="634"/>
      <c r="G525" s="634"/>
      <c r="H525" s="635"/>
      <c r="I525" s="634"/>
      <c r="J525" s="636"/>
      <c r="K525" s="635"/>
      <c r="L525" s="635"/>
      <c r="M525" s="635"/>
      <c r="N525" s="635"/>
      <c r="O525" s="635"/>
      <c r="P525" s="635"/>
      <c r="Q525" s="635"/>
      <c r="R525" s="635"/>
      <c r="S525" s="634"/>
      <c r="T525" s="634"/>
      <c r="U525" s="634"/>
      <c r="V525" s="634"/>
      <c r="W525" s="634"/>
      <c r="X525" s="634"/>
      <c r="Y525" s="634"/>
      <c r="Z525" s="634"/>
      <c r="AA525" s="634"/>
    </row>
    <row r="526" ht="15.75" customHeight="1">
      <c r="A526" s="634"/>
      <c r="B526" s="634"/>
      <c r="C526" s="634"/>
      <c r="D526" s="634"/>
      <c r="E526" s="634"/>
      <c r="F526" s="634"/>
      <c r="G526" s="634"/>
      <c r="H526" s="635"/>
      <c r="I526" s="634"/>
      <c r="J526" s="636"/>
      <c r="K526" s="635"/>
      <c r="L526" s="635"/>
      <c r="M526" s="635"/>
      <c r="N526" s="635"/>
      <c r="O526" s="635"/>
      <c r="P526" s="635"/>
      <c r="Q526" s="635"/>
      <c r="R526" s="635"/>
      <c r="S526" s="634"/>
      <c r="T526" s="634"/>
      <c r="U526" s="634"/>
      <c r="V526" s="634"/>
      <c r="W526" s="634"/>
      <c r="X526" s="634"/>
      <c r="Y526" s="634"/>
      <c r="Z526" s="634"/>
      <c r="AA526" s="634"/>
    </row>
    <row r="527" ht="15.75" customHeight="1">
      <c r="A527" s="634"/>
      <c r="B527" s="634"/>
      <c r="C527" s="634"/>
      <c r="D527" s="634"/>
      <c r="E527" s="634"/>
      <c r="F527" s="634"/>
      <c r="G527" s="634"/>
      <c r="H527" s="635"/>
      <c r="I527" s="634"/>
      <c r="J527" s="636"/>
      <c r="K527" s="635"/>
      <c r="L527" s="635"/>
      <c r="M527" s="635"/>
      <c r="N527" s="635"/>
      <c r="O527" s="635"/>
      <c r="P527" s="635"/>
      <c r="Q527" s="635"/>
      <c r="R527" s="635"/>
      <c r="S527" s="634"/>
      <c r="T527" s="634"/>
      <c r="U527" s="634"/>
      <c r="V527" s="634"/>
      <c r="W527" s="634"/>
      <c r="X527" s="634"/>
      <c r="Y527" s="634"/>
      <c r="Z527" s="634"/>
      <c r="AA527" s="634"/>
    </row>
    <row r="528" ht="15.75" customHeight="1">
      <c r="A528" s="634"/>
      <c r="B528" s="634"/>
      <c r="C528" s="634"/>
      <c r="D528" s="634"/>
      <c r="E528" s="634"/>
      <c r="F528" s="634"/>
      <c r="G528" s="634"/>
      <c r="H528" s="635"/>
      <c r="I528" s="634"/>
      <c r="J528" s="636"/>
      <c r="K528" s="635"/>
      <c r="L528" s="635"/>
      <c r="M528" s="635"/>
      <c r="N528" s="635"/>
      <c r="O528" s="635"/>
      <c r="P528" s="635"/>
      <c r="Q528" s="635"/>
      <c r="R528" s="635"/>
      <c r="S528" s="634"/>
      <c r="T528" s="634"/>
      <c r="U528" s="634"/>
      <c r="V528" s="634"/>
      <c r="W528" s="634"/>
      <c r="X528" s="634"/>
      <c r="Y528" s="634"/>
      <c r="Z528" s="634"/>
      <c r="AA528" s="634"/>
    </row>
    <row r="529" ht="15.75" customHeight="1">
      <c r="A529" s="634"/>
      <c r="B529" s="634"/>
      <c r="C529" s="634"/>
      <c r="D529" s="634"/>
      <c r="E529" s="634"/>
      <c r="F529" s="634"/>
      <c r="G529" s="634"/>
      <c r="H529" s="635"/>
      <c r="I529" s="634"/>
      <c r="J529" s="636"/>
      <c r="K529" s="635"/>
      <c r="L529" s="635"/>
      <c r="M529" s="635"/>
      <c r="N529" s="635"/>
      <c r="O529" s="635"/>
      <c r="P529" s="635"/>
      <c r="Q529" s="635"/>
      <c r="R529" s="635"/>
      <c r="S529" s="634"/>
      <c r="T529" s="634"/>
      <c r="U529" s="634"/>
      <c r="V529" s="634"/>
      <c r="W529" s="634"/>
      <c r="X529" s="634"/>
      <c r="Y529" s="634"/>
      <c r="Z529" s="634"/>
      <c r="AA529" s="634"/>
    </row>
    <row r="530" ht="15.75" customHeight="1">
      <c r="A530" s="634"/>
      <c r="B530" s="634"/>
      <c r="C530" s="634"/>
      <c r="D530" s="634"/>
      <c r="E530" s="634"/>
      <c r="F530" s="634"/>
      <c r="G530" s="634"/>
      <c r="H530" s="635"/>
      <c r="I530" s="634"/>
      <c r="J530" s="636"/>
      <c r="K530" s="635"/>
      <c r="L530" s="635"/>
      <c r="M530" s="635"/>
      <c r="N530" s="635"/>
      <c r="O530" s="635"/>
      <c r="P530" s="635"/>
      <c r="Q530" s="635"/>
      <c r="R530" s="635"/>
      <c r="S530" s="634"/>
      <c r="T530" s="634"/>
      <c r="U530" s="634"/>
      <c r="V530" s="634"/>
      <c r="W530" s="634"/>
      <c r="X530" s="634"/>
      <c r="Y530" s="634"/>
      <c r="Z530" s="634"/>
      <c r="AA530" s="634"/>
    </row>
    <row r="531" ht="15.75" customHeight="1">
      <c r="A531" s="634"/>
      <c r="B531" s="634"/>
      <c r="C531" s="634"/>
      <c r="D531" s="634"/>
      <c r="E531" s="634"/>
      <c r="F531" s="634"/>
      <c r="G531" s="634"/>
      <c r="H531" s="635"/>
      <c r="I531" s="634"/>
      <c r="J531" s="636"/>
      <c r="K531" s="635"/>
      <c r="L531" s="635"/>
      <c r="M531" s="635"/>
      <c r="N531" s="635"/>
      <c r="O531" s="635"/>
      <c r="P531" s="635"/>
      <c r="Q531" s="635"/>
      <c r="R531" s="635"/>
      <c r="S531" s="634"/>
      <c r="T531" s="634"/>
      <c r="U531" s="634"/>
      <c r="V531" s="634"/>
      <c r="W531" s="634"/>
      <c r="X531" s="634"/>
      <c r="Y531" s="634"/>
      <c r="Z531" s="634"/>
      <c r="AA531" s="634"/>
    </row>
    <row r="532" ht="15.75" customHeight="1">
      <c r="A532" s="634"/>
      <c r="B532" s="634"/>
      <c r="C532" s="634"/>
      <c r="D532" s="634"/>
      <c r="E532" s="634"/>
      <c r="F532" s="634"/>
      <c r="G532" s="634"/>
      <c r="H532" s="635"/>
      <c r="I532" s="634"/>
      <c r="J532" s="636"/>
      <c r="K532" s="635"/>
      <c r="L532" s="635"/>
      <c r="M532" s="635"/>
      <c r="N532" s="635"/>
      <c r="O532" s="635"/>
      <c r="P532" s="635"/>
      <c r="Q532" s="635"/>
      <c r="R532" s="635"/>
      <c r="S532" s="634"/>
      <c r="T532" s="634"/>
      <c r="U532" s="634"/>
      <c r="V532" s="634"/>
      <c r="W532" s="634"/>
      <c r="X532" s="634"/>
      <c r="Y532" s="634"/>
      <c r="Z532" s="634"/>
      <c r="AA532" s="634"/>
    </row>
    <row r="533" ht="15.75" customHeight="1">
      <c r="A533" s="634"/>
      <c r="B533" s="634"/>
      <c r="C533" s="634"/>
      <c r="D533" s="634"/>
      <c r="E533" s="634"/>
      <c r="F533" s="634"/>
      <c r="G533" s="634"/>
      <c r="H533" s="635"/>
      <c r="I533" s="634"/>
      <c r="J533" s="636"/>
      <c r="K533" s="635"/>
      <c r="L533" s="635"/>
      <c r="M533" s="635"/>
      <c r="N533" s="635"/>
      <c r="O533" s="635"/>
      <c r="P533" s="635"/>
      <c r="Q533" s="635"/>
      <c r="R533" s="635"/>
      <c r="S533" s="634"/>
      <c r="T533" s="634"/>
      <c r="U533" s="634"/>
      <c r="V533" s="634"/>
      <c r="W533" s="634"/>
      <c r="X533" s="634"/>
      <c r="Y533" s="634"/>
      <c r="Z533" s="634"/>
      <c r="AA533" s="634"/>
    </row>
    <row r="534" ht="15.75" customHeight="1">
      <c r="A534" s="634"/>
      <c r="B534" s="634"/>
      <c r="C534" s="634"/>
      <c r="D534" s="634"/>
      <c r="E534" s="634"/>
      <c r="F534" s="634"/>
      <c r="G534" s="634"/>
      <c r="H534" s="635"/>
      <c r="I534" s="634"/>
      <c r="J534" s="636"/>
      <c r="K534" s="635"/>
      <c r="L534" s="635"/>
      <c r="M534" s="635"/>
      <c r="N534" s="635"/>
      <c r="O534" s="635"/>
      <c r="P534" s="635"/>
      <c r="Q534" s="635"/>
      <c r="R534" s="635"/>
      <c r="S534" s="634"/>
      <c r="T534" s="634"/>
      <c r="U534" s="634"/>
      <c r="V534" s="634"/>
      <c r="W534" s="634"/>
      <c r="X534" s="634"/>
      <c r="Y534" s="634"/>
      <c r="Z534" s="634"/>
      <c r="AA534" s="634"/>
    </row>
    <row r="535" ht="15.75" customHeight="1">
      <c r="A535" s="634"/>
      <c r="B535" s="634"/>
      <c r="C535" s="634"/>
      <c r="D535" s="634"/>
      <c r="E535" s="634"/>
      <c r="F535" s="634"/>
      <c r="G535" s="634"/>
      <c r="H535" s="635"/>
      <c r="I535" s="634"/>
      <c r="J535" s="636"/>
      <c r="K535" s="635"/>
      <c r="L535" s="635"/>
      <c r="M535" s="635"/>
      <c r="N535" s="635"/>
      <c r="O535" s="635"/>
      <c r="P535" s="635"/>
      <c r="Q535" s="635"/>
      <c r="R535" s="635"/>
      <c r="S535" s="634"/>
      <c r="T535" s="634"/>
      <c r="U535" s="634"/>
      <c r="V535" s="634"/>
      <c r="W535" s="634"/>
      <c r="X535" s="634"/>
      <c r="Y535" s="634"/>
      <c r="Z535" s="634"/>
      <c r="AA535" s="634"/>
    </row>
    <row r="536" ht="15.75" customHeight="1">
      <c r="A536" s="634"/>
      <c r="B536" s="634"/>
      <c r="C536" s="634"/>
      <c r="D536" s="634"/>
      <c r="E536" s="634"/>
      <c r="F536" s="634"/>
      <c r="G536" s="634"/>
      <c r="H536" s="635"/>
      <c r="I536" s="634"/>
      <c r="J536" s="636"/>
      <c r="K536" s="635"/>
      <c r="L536" s="635"/>
      <c r="M536" s="635"/>
      <c r="N536" s="635"/>
      <c r="O536" s="635"/>
      <c r="P536" s="635"/>
      <c r="Q536" s="635"/>
      <c r="R536" s="635"/>
      <c r="S536" s="634"/>
      <c r="T536" s="634"/>
      <c r="U536" s="634"/>
      <c r="V536" s="634"/>
      <c r="W536" s="634"/>
      <c r="X536" s="634"/>
      <c r="Y536" s="634"/>
      <c r="Z536" s="634"/>
      <c r="AA536" s="634"/>
    </row>
    <row r="537" ht="15.75" customHeight="1">
      <c r="A537" s="634"/>
      <c r="B537" s="634"/>
      <c r="C537" s="634"/>
      <c r="D537" s="634"/>
      <c r="E537" s="634"/>
      <c r="F537" s="634"/>
      <c r="G537" s="634"/>
      <c r="H537" s="635"/>
      <c r="I537" s="634"/>
      <c r="J537" s="636"/>
      <c r="K537" s="635"/>
      <c r="L537" s="635"/>
      <c r="M537" s="635"/>
      <c r="N537" s="635"/>
      <c r="O537" s="635"/>
      <c r="P537" s="635"/>
      <c r="Q537" s="635"/>
      <c r="R537" s="635"/>
      <c r="S537" s="634"/>
      <c r="T537" s="634"/>
      <c r="U537" s="634"/>
      <c r="V537" s="634"/>
      <c r="W537" s="634"/>
      <c r="X537" s="634"/>
      <c r="Y537" s="634"/>
      <c r="Z537" s="634"/>
      <c r="AA537" s="634"/>
    </row>
    <row r="538" ht="15.75" customHeight="1">
      <c r="A538" s="634"/>
      <c r="B538" s="634"/>
      <c r="C538" s="634"/>
      <c r="D538" s="634"/>
      <c r="E538" s="634"/>
      <c r="F538" s="634"/>
      <c r="G538" s="634"/>
      <c r="H538" s="635"/>
      <c r="I538" s="634"/>
      <c r="J538" s="636"/>
      <c r="K538" s="635"/>
      <c r="L538" s="635"/>
      <c r="M538" s="635"/>
      <c r="N538" s="635"/>
      <c r="O538" s="635"/>
      <c r="P538" s="635"/>
      <c r="Q538" s="635"/>
      <c r="R538" s="635"/>
      <c r="S538" s="634"/>
      <c r="T538" s="634"/>
      <c r="U538" s="634"/>
      <c r="V538" s="634"/>
      <c r="W538" s="634"/>
      <c r="X538" s="634"/>
      <c r="Y538" s="634"/>
      <c r="Z538" s="634"/>
      <c r="AA538" s="634"/>
    </row>
    <row r="539" ht="15.75" customHeight="1">
      <c r="A539" s="634"/>
      <c r="B539" s="634"/>
      <c r="C539" s="634"/>
      <c r="D539" s="634"/>
      <c r="E539" s="634"/>
      <c r="F539" s="634"/>
      <c r="G539" s="634"/>
      <c r="H539" s="635"/>
      <c r="I539" s="634"/>
      <c r="J539" s="636"/>
      <c r="K539" s="635"/>
      <c r="L539" s="635"/>
      <c r="M539" s="635"/>
      <c r="N539" s="635"/>
      <c r="O539" s="635"/>
      <c r="P539" s="635"/>
      <c r="Q539" s="635"/>
      <c r="R539" s="635"/>
      <c r="S539" s="634"/>
      <c r="T539" s="634"/>
      <c r="U539" s="634"/>
      <c r="V539" s="634"/>
      <c r="W539" s="634"/>
      <c r="X539" s="634"/>
      <c r="Y539" s="634"/>
      <c r="Z539" s="634"/>
      <c r="AA539" s="634"/>
    </row>
    <row r="540" ht="15.75" customHeight="1">
      <c r="A540" s="634"/>
      <c r="B540" s="634"/>
      <c r="C540" s="634"/>
      <c r="D540" s="634"/>
      <c r="E540" s="634"/>
      <c r="F540" s="634"/>
      <c r="G540" s="634"/>
      <c r="H540" s="635"/>
      <c r="I540" s="634"/>
      <c r="J540" s="636"/>
      <c r="K540" s="635"/>
      <c r="L540" s="635"/>
      <c r="M540" s="635"/>
      <c r="N540" s="635"/>
      <c r="O540" s="635"/>
      <c r="P540" s="635"/>
      <c r="Q540" s="635"/>
      <c r="R540" s="635"/>
      <c r="S540" s="634"/>
      <c r="T540" s="634"/>
      <c r="U540" s="634"/>
      <c r="V540" s="634"/>
      <c r="W540" s="634"/>
      <c r="X540" s="634"/>
      <c r="Y540" s="634"/>
      <c r="Z540" s="634"/>
      <c r="AA540" s="634"/>
    </row>
    <row r="541" ht="15.75" customHeight="1">
      <c r="A541" s="634"/>
      <c r="B541" s="634"/>
      <c r="C541" s="634"/>
      <c r="D541" s="634"/>
      <c r="E541" s="634"/>
      <c r="F541" s="634"/>
      <c r="G541" s="634"/>
      <c r="H541" s="635"/>
      <c r="I541" s="634"/>
      <c r="J541" s="636"/>
      <c r="K541" s="635"/>
      <c r="L541" s="635"/>
      <c r="M541" s="635"/>
      <c r="N541" s="635"/>
      <c r="O541" s="635"/>
      <c r="P541" s="635"/>
      <c r="Q541" s="635"/>
      <c r="R541" s="635"/>
      <c r="S541" s="634"/>
      <c r="T541" s="634"/>
      <c r="U541" s="634"/>
      <c r="V541" s="634"/>
      <c r="W541" s="634"/>
      <c r="X541" s="634"/>
      <c r="Y541" s="634"/>
      <c r="Z541" s="634"/>
      <c r="AA541" s="634"/>
    </row>
    <row r="542" ht="15.75" customHeight="1">
      <c r="A542" s="634"/>
      <c r="B542" s="634"/>
      <c r="C542" s="634"/>
      <c r="D542" s="634"/>
      <c r="E542" s="634"/>
      <c r="F542" s="634"/>
      <c r="G542" s="634"/>
      <c r="H542" s="635"/>
      <c r="I542" s="634"/>
      <c r="J542" s="636"/>
      <c r="K542" s="635"/>
      <c r="L542" s="635"/>
      <c r="M542" s="635"/>
      <c r="N542" s="635"/>
      <c r="O542" s="635"/>
      <c r="P542" s="635"/>
      <c r="Q542" s="635"/>
      <c r="R542" s="635"/>
      <c r="S542" s="634"/>
      <c r="T542" s="634"/>
      <c r="U542" s="634"/>
      <c r="V542" s="634"/>
      <c r="W542" s="634"/>
      <c r="X542" s="634"/>
      <c r="Y542" s="634"/>
      <c r="Z542" s="634"/>
      <c r="AA542" s="634"/>
    </row>
    <row r="543" ht="15.75" customHeight="1">
      <c r="A543" s="634"/>
      <c r="B543" s="634"/>
      <c r="C543" s="634"/>
      <c r="D543" s="634"/>
      <c r="E543" s="634"/>
      <c r="F543" s="634"/>
      <c r="G543" s="634"/>
      <c r="H543" s="635"/>
      <c r="I543" s="634"/>
      <c r="J543" s="636"/>
      <c r="K543" s="635"/>
      <c r="L543" s="635"/>
      <c r="M543" s="635"/>
      <c r="N543" s="635"/>
      <c r="O543" s="635"/>
      <c r="P543" s="635"/>
      <c r="Q543" s="635"/>
      <c r="R543" s="635"/>
      <c r="S543" s="634"/>
      <c r="T543" s="634"/>
      <c r="U543" s="634"/>
      <c r="V543" s="634"/>
      <c r="W543" s="634"/>
      <c r="X543" s="634"/>
      <c r="Y543" s="634"/>
      <c r="Z543" s="634"/>
      <c r="AA543" s="634"/>
    </row>
    <row r="544" ht="15.75" customHeight="1">
      <c r="A544" s="634"/>
      <c r="B544" s="634"/>
      <c r="C544" s="634"/>
      <c r="D544" s="634"/>
      <c r="E544" s="634"/>
      <c r="F544" s="634"/>
      <c r="G544" s="634"/>
      <c r="H544" s="635"/>
      <c r="I544" s="634"/>
      <c r="J544" s="636"/>
      <c r="K544" s="635"/>
      <c r="L544" s="635"/>
      <c r="M544" s="635"/>
      <c r="N544" s="635"/>
      <c r="O544" s="635"/>
      <c r="P544" s="635"/>
      <c r="Q544" s="635"/>
      <c r="R544" s="635"/>
      <c r="S544" s="634"/>
      <c r="T544" s="634"/>
      <c r="U544" s="634"/>
      <c r="V544" s="634"/>
      <c r="W544" s="634"/>
      <c r="X544" s="634"/>
      <c r="Y544" s="634"/>
      <c r="Z544" s="634"/>
      <c r="AA544" s="634"/>
    </row>
    <row r="545" ht="15.75" customHeight="1">
      <c r="A545" s="634"/>
      <c r="B545" s="634"/>
      <c r="C545" s="634"/>
      <c r="D545" s="634"/>
      <c r="E545" s="634"/>
      <c r="F545" s="634"/>
      <c r="G545" s="634"/>
      <c r="H545" s="635"/>
      <c r="I545" s="634"/>
      <c r="J545" s="636"/>
      <c r="K545" s="635"/>
      <c r="L545" s="635"/>
      <c r="M545" s="635"/>
      <c r="N545" s="635"/>
      <c r="O545" s="635"/>
      <c r="P545" s="635"/>
      <c r="Q545" s="635"/>
      <c r="R545" s="635"/>
      <c r="S545" s="634"/>
      <c r="T545" s="634"/>
      <c r="U545" s="634"/>
      <c r="V545" s="634"/>
      <c r="W545" s="634"/>
      <c r="X545" s="634"/>
      <c r="Y545" s="634"/>
      <c r="Z545" s="634"/>
      <c r="AA545" s="634"/>
    </row>
    <row r="546" ht="15.75" customHeight="1">
      <c r="A546" s="634"/>
      <c r="B546" s="634"/>
      <c r="C546" s="634"/>
      <c r="D546" s="634"/>
      <c r="E546" s="634"/>
      <c r="F546" s="634"/>
      <c r="G546" s="634"/>
      <c r="H546" s="635"/>
      <c r="I546" s="634"/>
      <c r="J546" s="636"/>
      <c r="K546" s="635"/>
      <c r="L546" s="635"/>
      <c r="M546" s="635"/>
      <c r="N546" s="635"/>
      <c r="O546" s="635"/>
      <c r="P546" s="635"/>
      <c r="Q546" s="635"/>
      <c r="R546" s="635"/>
      <c r="S546" s="634"/>
      <c r="T546" s="634"/>
      <c r="U546" s="634"/>
      <c r="V546" s="634"/>
      <c r="W546" s="634"/>
      <c r="X546" s="634"/>
      <c r="Y546" s="634"/>
      <c r="Z546" s="634"/>
      <c r="AA546" s="634"/>
    </row>
    <row r="547" ht="15.75" customHeight="1">
      <c r="A547" s="634"/>
      <c r="B547" s="634"/>
      <c r="C547" s="634"/>
      <c r="D547" s="634"/>
      <c r="E547" s="634"/>
      <c r="F547" s="634"/>
      <c r="G547" s="634"/>
      <c r="H547" s="635"/>
      <c r="I547" s="634"/>
      <c r="J547" s="636"/>
      <c r="K547" s="635"/>
      <c r="L547" s="635"/>
      <c r="M547" s="635"/>
      <c r="N547" s="635"/>
      <c r="O547" s="635"/>
      <c r="P547" s="635"/>
      <c r="Q547" s="635"/>
      <c r="R547" s="635"/>
      <c r="S547" s="634"/>
      <c r="T547" s="634"/>
      <c r="U547" s="634"/>
      <c r="V547" s="634"/>
      <c r="W547" s="634"/>
      <c r="X547" s="634"/>
      <c r="Y547" s="634"/>
      <c r="Z547" s="634"/>
      <c r="AA547" s="634"/>
    </row>
    <row r="548" ht="15.75" customHeight="1">
      <c r="A548" s="634"/>
      <c r="B548" s="634"/>
      <c r="C548" s="634"/>
      <c r="D548" s="634"/>
      <c r="E548" s="634"/>
      <c r="F548" s="634"/>
      <c r="G548" s="634"/>
      <c r="H548" s="635"/>
      <c r="I548" s="634"/>
      <c r="J548" s="636"/>
      <c r="K548" s="635"/>
      <c r="L548" s="635"/>
      <c r="M548" s="635"/>
      <c r="N548" s="635"/>
      <c r="O548" s="635"/>
      <c r="P548" s="635"/>
      <c r="Q548" s="635"/>
      <c r="R548" s="635"/>
      <c r="S548" s="634"/>
      <c r="T548" s="634"/>
      <c r="U548" s="634"/>
      <c r="V548" s="634"/>
      <c r="W548" s="634"/>
      <c r="X548" s="634"/>
      <c r="Y548" s="634"/>
      <c r="Z548" s="634"/>
      <c r="AA548" s="634"/>
    </row>
    <row r="549" ht="15.75" customHeight="1">
      <c r="A549" s="634"/>
      <c r="B549" s="634"/>
      <c r="C549" s="634"/>
      <c r="D549" s="634"/>
      <c r="E549" s="634"/>
      <c r="F549" s="634"/>
      <c r="G549" s="634"/>
      <c r="H549" s="635"/>
      <c r="I549" s="634"/>
      <c r="J549" s="636"/>
      <c r="K549" s="635"/>
      <c r="L549" s="635"/>
      <c r="M549" s="635"/>
      <c r="N549" s="635"/>
      <c r="O549" s="635"/>
      <c r="P549" s="635"/>
      <c r="Q549" s="635"/>
      <c r="R549" s="635"/>
      <c r="S549" s="634"/>
      <c r="T549" s="634"/>
      <c r="U549" s="634"/>
      <c r="V549" s="634"/>
      <c r="W549" s="634"/>
      <c r="X549" s="634"/>
      <c r="Y549" s="634"/>
      <c r="Z549" s="634"/>
      <c r="AA549" s="634"/>
    </row>
    <row r="550" ht="15.75" customHeight="1">
      <c r="A550" s="634"/>
      <c r="B550" s="634"/>
      <c r="C550" s="634"/>
      <c r="D550" s="634"/>
      <c r="E550" s="634"/>
      <c r="F550" s="634"/>
      <c r="G550" s="634"/>
      <c r="H550" s="635"/>
      <c r="I550" s="634"/>
      <c r="J550" s="636"/>
      <c r="K550" s="635"/>
      <c r="L550" s="635"/>
      <c r="M550" s="635"/>
      <c r="N550" s="635"/>
      <c r="O550" s="635"/>
      <c r="P550" s="635"/>
      <c r="Q550" s="635"/>
      <c r="R550" s="635"/>
      <c r="S550" s="634"/>
      <c r="T550" s="634"/>
      <c r="U550" s="634"/>
      <c r="V550" s="634"/>
      <c r="W550" s="634"/>
      <c r="X550" s="634"/>
      <c r="Y550" s="634"/>
      <c r="Z550" s="634"/>
      <c r="AA550" s="634"/>
    </row>
    <row r="551" ht="15.75" customHeight="1">
      <c r="A551" s="634"/>
      <c r="B551" s="634"/>
      <c r="C551" s="634"/>
      <c r="D551" s="634"/>
      <c r="E551" s="634"/>
      <c r="F551" s="634"/>
      <c r="G551" s="634"/>
      <c r="H551" s="635"/>
      <c r="I551" s="634"/>
      <c r="J551" s="636"/>
      <c r="K551" s="635"/>
      <c r="L551" s="635"/>
      <c r="M551" s="635"/>
      <c r="N551" s="635"/>
      <c r="O551" s="635"/>
      <c r="P551" s="635"/>
      <c r="Q551" s="635"/>
      <c r="R551" s="635"/>
      <c r="S551" s="634"/>
      <c r="T551" s="634"/>
      <c r="U551" s="634"/>
      <c r="V551" s="634"/>
      <c r="W551" s="634"/>
      <c r="X551" s="634"/>
      <c r="Y551" s="634"/>
      <c r="Z551" s="634"/>
      <c r="AA551" s="634"/>
    </row>
    <row r="552" ht="15.75" customHeight="1">
      <c r="A552" s="634"/>
      <c r="B552" s="634"/>
      <c r="C552" s="634"/>
      <c r="D552" s="634"/>
      <c r="E552" s="634"/>
      <c r="F552" s="634"/>
      <c r="G552" s="634"/>
      <c r="H552" s="635"/>
      <c r="I552" s="634"/>
      <c r="J552" s="636"/>
      <c r="K552" s="635"/>
      <c r="L552" s="635"/>
      <c r="M552" s="635"/>
      <c r="N552" s="635"/>
      <c r="O552" s="635"/>
      <c r="P552" s="635"/>
      <c r="Q552" s="635"/>
      <c r="R552" s="635"/>
      <c r="S552" s="634"/>
      <c r="T552" s="634"/>
      <c r="U552" s="634"/>
      <c r="V552" s="634"/>
      <c r="W552" s="634"/>
      <c r="X552" s="634"/>
      <c r="Y552" s="634"/>
      <c r="Z552" s="634"/>
      <c r="AA552" s="634"/>
    </row>
    <row r="553" ht="15.75" customHeight="1">
      <c r="A553" s="634"/>
      <c r="B553" s="634"/>
      <c r="C553" s="634"/>
      <c r="D553" s="634"/>
      <c r="E553" s="634"/>
      <c r="F553" s="634"/>
      <c r="G553" s="634"/>
      <c r="H553" s="635"/>
      <c r="I553" s="634"/>
      <c r="J553" s="636"/>
      <c r="K553" s="635"/>
      <c r="L553" s="635"/>
      <c r="M553" s="635"/>
      <c r="N553" s="635"/>
      <c r="O553" s="635"/>
      <c r="P553" s="635"/>
      <c r="Q553" s="635"/>
      <c r="R553" s="635"/>
      <c r="S553" s="634"/>
      <c r="T553" s="634"/>
      <c r="U553" s="634"/>
      <c r="V553" s="634"/>
      <c r="W553" s="634"/>
      <c r="X553" s="634"/>
      <c r="Y553" s="634"/>
      <c r="Z553" s="634"/>
      <c r="AA553" s="634"/>
    </row>
    <row r="554" ht="15.75" customHeight="1">
      <c r="A554" s="634"/>
      <c r="B554" s="634"/>
      <c r="C554" s="634"/>
      <c r="D554" s="634"/>
      <c r="E554" s="634"/>
      <c r="F554" s="634"/>
      <c r="G554" s="634"/>
      <c r="H554" s="635"/>
      <c r="I554" s="634"/>
      <c r="J554" s="636"/>
      <c r="K554" s="635"/>
      <c r="L554" s="635"/>
      <c r="M554" s="635"/>
      <c r="N554" s="635"/>
      <c r="O554" s="635"/>
      <c r="P554" s="635"/>
      <c r="Q554" s="635"/>
      <c r="R554" s="635"/>
      <c r="S554" s="634"/>
      <c r="T554" s="634"/>
      <c r="U554" s="634"/>
      <c r="V554" s="634"/>
      <c r="W554" s="634"/>
      <c r="X554" s="634"/>
      <c r="Y554" s="634"/>
      <c r="Z554" s="634"/>
      <c r="AA554" s="634"/>
    </row>
    <row r="555" ht="15.75" customHeight="1">
      <c r="A555" s="634"/>
      <c r="B555" s="634"/>
      <c r="C555" s="634"/>
      <c r="D555" s="634"/>
      <c r="E555" s="634"/>
      <c r="F555" s="634"/>
      <c r="G555" s="634"/>
      <c r="H555" s="635"/>
      <c r="I555" s="634"/>
      <c r="J555" s="636"/>
      <c r="K555" s="635"/>
      <c r="L555" s="635"/>
      <c r="M555" s="635"/>
      <c r="N555" s="635"/>
      <c r="O555" s="635"/>
      <c r="P555" s="635"/>
      <c r="Q555" s="635"/>
      <c r="R555" s="635"/>
      <c r="S555" s="634"/>
      <c r="T555" s="634"/>
      <c r="U555" s="634"/>
      <c r="V555" s="634"/>
      <c r="W555" s="634"/>
      <c r="X555" s="634"/>
      <c r="Y555" s="634"/>
      <c r="Z555" s="634"/>
      <c r="AA555" s="634"/>
    </row>
    <row r="556" ht="15.75" customHeight="1">
      <c r="A556" s="634"/>
      <c r="B556" s="634"/>
      <c r="C556" s="634"/>
      <c r="D556" s="634"/>
      <c r="E556" s="634"/>
      <c r="F556" s="634"/>
      <c r="G556" s="634"/>
      <c r="H556" s="635"/>
      <c r="I556" s="634"/>
      <c r="J556" s="636"/>
      <c r="K556" s="635"/>
      <c r="L556" s="635"/>
      <c r="M556" s="635"/>
      <c r="N556" s="635"/>
      <c r="O556" s="635"/>
      <c r="P556" s="635"/>
      <c r="Q556" s="635"/>
      <c r="R556" s="635"/>
      <c r="S556" s="634"/>
      <c r="T556" s="634"/>
      <c r="U556" s="634"/>
      <c r="V556" s="634"/>
      <c r="W556" s="634"/>
      <c r="X556" s="634"/>
      <c r="Y556" s="634"/>
      <c r="Z556" s="634"/>
      <c r="AA556" s="634"/>
    </row>
    <row r="557" ht="15.75" customHeight="1">
      <c r="A557" s="634"/>
      <c r="B557" s="634"/>
      <c r="C557" s="634"/>
      <c r="D557" s="634"/>
      <c r="E557" s="634"/>
      <c r="F557" s="634"/>
      <c r="G557" s="634"/>
      <c r="H557" s="635"/>
      <c r="I557" s="634"/>
      <c r="J557" s="636"/>
      <c r="K557" s="635"/>
      <c r="L557" s="635"/>
      <c r="M557" s="635"/>
      <c r="N557" s="635"/>
      <c r="O557" s="635"/>
      <c r="P557" s="635"/>
      <c r="Q557" s="635"/>
      <c r="R557" s="635"/>
      <c r="S557" s="634"/>
      <c r="T557" s="634"/>
      <c r="U557" s="634"/>
      <c r="V557" s="634"/>
      <c r="W557" s="634"/>
      <c r="X557" s="634"/>
      <c r="Y557" s="634"/>
      <c r="Z557" s="634"/>
      <c r="AA557" s="634"/>
    </row>
    <row r="558" ht="15.75" customHeight="1">
      <c r="A558" s="634"/>
      <c r="B558" s="634"/>
      <c r="C558" s="634"/>
      <c r="D558" s="634"/>
      <c r="E558" s="634"/>
      <c r="F558" s="634"/>
      <c r="G558" s="634"/>
      <c r="H558" s="635"/>
      <c r="I558" s="634"/>
      <c r="J558" s="636"/>
      <c r="K558" s="635"/>
      <c r="L558" s="635"/>
      <c r="M558" s="635"/>
      <c r="N558" s="635"/>
      <c r="O558" s="635"/>
      <c r="P558" s="635"/>
      <c r="Q558" s="635"/>
      <c r="R558" s="635"/>
      <c r="S558" s="634"/>
      <c r="T558" s="634"/>
      <c r="U558" s="634"/>
      <c r="V558" s="634"/>
      <c r="W558" s="634"/>
      <c r="X558" s="634"/>
      <c r="Y558" s="634"/>
      <c r="Z558" s="634"/>
      <c r="AA558" s="634"/>
    </row>
    <row r="559" ht="15.75" customHeight="1">
      <c r="A559" s="634"/>
      <c r="B559" s="634"/>
      <c r="C559" s="634"/>
      <c r="D559" s="634"/>
      <c r="E559" s="634"/>
      <c r="F559" s="634"/>
      <c r="G559" s="634"/>
      <c r="H559" s="635"/>
      <c r="I559" s="634"/>
      <c r="J559" s="636"/>
      <c r="K559" s="635"/>
      <c r="L559" s="635"/>
      <c r="M559" s="635"/>
      <c r="N559" s="635"/>
      <c r="O559" s="635"/>
      <c r="P559" s="635"/>
      <c r="Q559" s="635"/>
      <c r="R559" s="635"/>
      <c r="S559" s="634"/>
      <c r="T559" s="634"/>
      <c r="U559" s="634"/>
      <c r="V559" s="634"/>
      <c r="W559" s="634"/>
      <c r="X559" s="634"/>
      <c r="Y559" s="634"/>
      <c r="Z559" s="634"/>
      <c r="AA559" s="634"/>
    </row>
    <row r="560" ht="15.75" customHeight="1">
      <c r="A560" s="634"/>
      <c r="B560" s="634"/>
      <c r="C560" s="634"/>
      <c r="D560" s="634"/>
      <c r="E560" s="634"/>
      <c r="F560" s="634"/>
      <c r="G560" s="634"/>
      <c r="H560" s="635"/>
      <c r="I560" s="634"/>
      <c r="J560" s="636"/>
      <c r="K560" s="635"/>
      <c r="L560" s="635"/>
      <c r="M560" s="635"/>
      <c r="N560" s="635"/>
      <c r="O560" s="635"/>
      <c r="P560" s="635"/>
      <c r="Q560" s="635"/>
      <c r="R560" s="635"/>
      <c r="S560" s="634"/>
      <c r="T560" s="634"/>
      <c r="U560" s="634"/>
      <c r="V560" s="634"/>
      <c r="W560" s="634"/>
      <c r="X560" s="634"/>
      <c r="Y560" s="634"/>
      <c r="Z560" s="634"/>
      <c r="AA560" s="634"/>
    </row>
    <row r="561" ht="15.75" customHeight="1">
      <c r="A561" s="634"/>
      <c r="B561" s="634"/>
      <c r="C561" s="634"/>
      <c r="D561" s="634"/>
      <c r="E561" s="634"/>
      <c r="F561" s="634"/>
      <c r="G561" s="634"/>
      <c r="H561" s="635"/>
      <c r="I561" s="634"/>
      <c r="J561" s="636"/>
      <c r="K561" s="635"/>
      <c r="L561" s="635"/>
      <c r="M561" s="635"/>
      <c r="N561" s="635"/>
      <c r="O561" s="635"/>
      <c r="P561" s="635"/>
      <c r="Q561" s="635"/>
      <c r="R561" s="635"/>
      <c r="S561" s="634"/>
      <c r="T561" s="634"/>
      <c r="U561" s="634"/>
      <c r="V561" s="634"/>
      <c r="W561" s="634"/>
      <c r="X561" s="634"/>
      <c r="Y561" s="634"/>
      <c r="Z561" s="634"/>
      <c r="AA561" s="634"/>
    </row>
    <row r="562" ht="15.75" customHeight="1">
      <c r="A562" s="634"/>
      <c r="B562" s="634"/>
      <c r="C562" s="634"/>
      <c r="D562" s="634"/>
      <c r="E562" s="634"/>
      <c r="F562" s="634"/>
      <c r="G562" s="634"/>
      <c r="H562" s="635"/>
      <c r="I562" s="634"/>
      <c r="J562" s="636"/>
      <c r="K562" s="635"/>
      <c r="L562" s="635"/>
      <c r="M562" s="635"/>
      <c r="N562" s="635"/>
      <c r="O562" s="635"/>
      <c r="P562" s="635"/>
      <c r="Q562" s="635"/>
      <c r="R562" s="635"/>
      <c r="S562" s="634"/>
      <c r="T562" s="634"/>
      <c r="U562" s="634"/>
      <c r="V562" s="634"/>
      <c r="W562" s="634"/>
      <c r="X562" s="634"/>
      <c r="Y562" s="634"/>
      <c r="Z562" s="634"/>
      <c r="AA562" s="634"/>
    </row>
    <row r="563" ht="15.75" customHeight="1">
      <c r="A563" s="634"/>
      <c r="B563" s="634"/>
      <c r="C563" s="634"/>
      <c r="D563" s="634"/>
      <c r="E563" s="634"/>
      <c r="F563" s="634"/>
      <c r="G563" s="634"/>
      <c r="H563" s="635"/>
      <c r="I563" s="634"/>
      <c r="J563" s="636"/>
      <c r="K563" s="635"/>
      <c r="L563" s="635"/>
      <c r="M563" s="635"/>
      <c r="N563" s="635"/>
      <c r="O563" s="635"/>
      <c r="P563" s="635"/>
      <c r="Q563" s="635"/>
      <c r="R563" s="635"/>
      <c r="S563" s="634"/>
      <c r="T563" s="634"/>
      <c r="U563" s="634"/>
      <c r="V563" s="634"/>
      <c r="W563" s="634"/>
      <c r="X563" s="634"/>
      <c r="Y563" s="634"/>
      <c r="Z563" s="634"/>
      <c r="AA563" s="634"/>
    </row>
    <row r="564" ht="15.75" customHeight="1">
      <c r="A564" s="634"/>
      <c r="B564" s="634"/>
      <c r="C564" s="634"/>
      <c r="D564" s="634"/>
      <c r="E564" s="634"/>
      <c r="F564" s="634"/>
      <c r="G564" s="634"/>
      <c r="H564" s="635"/>
      <c r="I564" s="634"/>
      <c r="J564" s="636"/>
      <c r="K564" s="635"/>
      <c r="L564" s="635"/>
      <c r="M564" s="635"/>
      <c r="N564" s="635"/>
      <c r="O564" s="635"/>
      <c r="P564" s="635"/>
      <c r="Q564" s="635"/>
      <c r="R564" s="635"/>
      <c r="S564" s="634"/>
      <c r="T564" s="634"/>
      <c r="U564" s="634"/>
      <c r="V564" s="634"/>
      <c r="W564" s="634"/>
      <c r="X564" s="634"/>
      <c r="Y564" s="634"/>
      <c r="Z564" s="634"/>
      <c r="AA564" s="634"/>
    </row>
    <row r="565" ht="15.75" customHeight="1">
      <c r="A565" s="634"/>
      <c r="B565" s="634"/>
      <c r="C565" s="634"/>
      <c r="D565" s="634"/>
      <c r="E565" s="634"/>
      <c r="F565" s="634"/>
      <c r="G565" s="634"/>
      <c r="H565" s="635"/>
      <c r="I565" s="634"/>
      <c r="J565" s="636"/>
      <c r="K565" s="635"/>
      <c r="L565" s="635"/>
      <c r="M565" s="635"/>
      <c r="N565" s="635"/>
      <c r="O565" s="635"/>
      <c r="P565" s="635"/>
      <c r="Q565" s="635"/>
      <c r="R565" s="635"/>
      <c r="S565" s="634"/>
      <c r="T565" s="634"/>
      <c r="U565" s="634"/>
      <c r="V565" s="634"/>
      <c r="W565" s="634"/>
      <c r="X565" s="634"/>
      <c r="Y565" s="634"/>
      <c r="Z565" s="634"/>
      <c r="AA565" s="634"/>
    </row>
    <row r="566" ht="15.75" customHeight="1">
      <c r="A566" s="634"/>
      <c r="B566" s="634"/>
      <c r="C566" s="634"/>
      <c r="D566" s="634"/>
      <c r="E566" s="634"/>
      <c r="F566" s="634"/>
      <c r="G566" s="634"/>
      <c r="H566" s="635"/>
      <c r="I566" s="634"/>
      <c r="J566" s="636"/>
      <c r="K566" s="635"/>
      <c r="L566" s="635"/>
      <c r="M566" s="635"/>
      <c r="N566" s="635"/>
      <c r="O566" s="635"/>
      <c r="P566" s="635"/>
      <c r="Q566" s="635"/>
      <c r="R566" s="635"/>
      <c r="S566" s="634"/>
      <c r="T566" s="634"/>
      <c r="U566" s="634"/>
      <c r="V566" s="634"/>
      <c r="W566" s="634"/>
      <c r="X566" s="634"/>
      <c r="Y566" s="634"/>
      <c r="Z566" s="634"/>
      <c r="AA566" s="634"/>
    </row>
    <row r="567" ht="15.75" customHeight="1">
      <c r="A567" s="634"/>
      <c r="B567" s="634"/>
      <c r="C567" s="634"/>
      <c r="D567" s="634"/>
      <c r="E567" s="634"/>
      <c r="F567" s="634"/>
      <c r="G567" s="634"/>
      <c r="H567" s="635"/>
      <c r="I567" s="634"/>
      <c r="J567" s="636"/>
      <c r="K567" s="635"/>
      <c r="L567" s="635"/>
      <c r="M567" s="635"/>
      <c r="N567" s="635"/>
      <c r="O567" s="635"/>
      <c r="P567" s="635"/>
      <c r="Q567" s="635"/>
      <c r="R567" s="635"/>
      <c r="S567" s="634"/>
      <c r="T567" s="634"/>
      <c r="U567" s="634"/>
      <c r="V567" s="634"/>
      <c r="W567" s="634"/>
      <c r="X567" s="634"/>
      <c r="Y567" s="634"/>
      <c r="Z567" s="634"/>
      <c r="AA567" s="634"/>
    </row>
    <row r="568" ht="15.75" customHeight="1">
      <c r="A568" s="634"/>
      <c r="B568" s="634"/>
      <c r="C568" s="634"/>
      <c r="D568" s="634"/>
      <c r="E568" s="634"/>
      <c r="F568" s="634"/>
      <c r="G568" s="634"/>
      <c r="H568" s="635"/>
      <c r="I568" s="634"/>
      <c r="J568" s="636"/>
      <c r="K568" s="635"/>
      <c r="L568" s="635"/>
      <c r="M568" s="635"/>
      <c r="N568" s="635"/>
      <c r="O568" s="635"/>
      <c r="P568" s="635"/>
      <c r="Q568" s="635"/>
      <c r="R568" s="635"/>
      <c r="S568" s="634"/>
      <c r="T568" s="634"/>
      <c r="U568" s="634"/>
      <c r="V568" s="634"/>
      <c r="W568" s="634"/>
      <c r="X568" s="634"/>
      <c r="Y568" s="634"/>
      <c r="Z568" s="634"/>
      <c r="AA568" s="634"/>
    </row>
    <row r="569" ht="15.75" customHeight="1">
      <c r="A569" s="634"/>
      <c r="B569" s="634"/>
      <c r="C569" s="634"/>
      <c r="D569" s="634"/>
      <c r="E569" s="634"/>
      <c r="F569" s="634"/>
      <c r="G569" s="634"/>
      <c r="H569" s="635"/>
      <c r="I569" s="634"/>
      <c r="J569" s="636"/>
      <c r="K569" s="635"/>
      <c r="L569" s="635"/>
      <c r="M569" s="635"/>
      <c r="N569" s="635"/>
      <c r="O569" s="635"/>
      <c r="P569" s="635"/>
      <c r="Q569" s="635"/>
      <c r="R569" s="635"/>
      <c r="S569" s="634"/>
      <c r="T569" s="634"/>
      <c r="U569" s="634"/>
      <c r="V569" s="634"/>
      <c r="W569" s="634"/>
      <c r="X569" s="634"/>
      <c r="Y569" s="634"/>
      <c r="Z569" s="634"/>
      <c r="AA569" s="634"/>
    </row>
    <row r="570" ht="15.75" customHeight="1">
      <c r="A570" s="634"/>
      <c r="B570" s="634"/>
      <c r="C570" s="634"/>
      <c r="D570" s="634"/>
      <c r="E570" s="634"/>
      <c r="F570" s="634"/>
      <c r="G570" s="634"/>
      <c r="H570" s="635"/>
      <c r="I570" s="634"/>
      <c r="J570" s="636"/>
      <c r="K570" s="635"/>
      <c r="L570" s="635"/>
      <c r="M570" s="635"/>
      <c r="N570" s="635"/>
      <c r="O570" s="635"/>
      <c r="P570" s="635"/>
      <c r="Q570" s="635"/>
      <c r="R570" s="635"/>
      <c r="S570" s="634"/>
      <c r="T570" s="634"/>
      <c r="U570" s="634"/>
      <c r="V570" s="634"/>
      <c r="W570" s="634"/>
      <c r="X570" s="634"/>
      <c r="Y570" s="634"/>
      <c r="Z570" s="634"/>
      <c r="AA570" s="634"/>
    </row>
    <row r="571" ht="15.75" customHeight="1">
      <c r="A571" s="634"/>
      <c r="B571" s="634"/>
      <c r="C571" s="634"/>
      <c r="D571" s="634"/>
      <c r="E571" s="634"/>
      <c r="F571" s="634"/>
      <c r="G571" s="634"/>
      <c r="H571" s="635"/>
      <c r="I571" s="634"/>
      <c r="J571" s="636"/>
      <c r="K571" s="635"/>
      <c r="L571" s="635"/>
      <c r="M571" s="635"/>
      <c r="N571" s="635"/>
      <c r="O571" s="635"/>
      <c r="P571" s="635"/>
      <c r="Q571" s="635"/>
      <c r="R571" s="635"/>
      <c r="S571" s="634"/>
      <c r="T571" s="634"/>
      <c r="U571" s="634"/>
      <c r="V571" s="634"/>
      <c r="W571" s="634"/>
      <c r="X571" s="634"/>
      <c r="Y571" s="634"/>
      <c r="Z571" s="634"/>
      <c r="AA571" s="634"/>
    </row>
    <row r="572" ht="15.75" customHeight="1">
      <c r="A572" s="634"/>
      <c r="B572" s="634"/>
      <c r="C572" s="634"/>
      <c r="D572" s="634"/>
      <c r="E572" s="634"/>
      <c r="F572" s="634"/>
      <c r="G572" s="634"/>
      <c r="H572" s="635"/>
      <c r="I572" s="634"/>
      <c r="J572" s="636"/>
      <c r="K572" s="635"/>
      <c r="L572" s="635"/>
      <c r="M572" s="635"/>
      <c r="N572" s="635"/>
      <c r="O572" s="635"/>
      <c r="P572" s="635"/>
      <c r="Q572" s="635"/>
      <c r="R572" s="635"/>
      <c r="S572" s="634"/>
      <c r="T572" s="634"/>
      <c r="U572" s="634"/>
      <c r="V572" s="634"/>
      <c r="W572" s="634"/>
      <c r="X572" s="634"/>
      <c r="Y572" s="634"/>
      <c r="Z572" s="634"/>
      <c r="AA572" s="634"/>
    </row>
    <row r="573" ht="15.75" customHeight="1">
      <c r="A573" s="634"/>
      <c r="B573" s="634"/>
      <c r="C573" s="634"/>
      <c r="D573" s="634"/>
      <c r="E573" s="634"/>
      <c r="F573" s="634"/>
      <c r="G573" s="634"/>
      <c r="H573" s="635"/>
      <c r="I573" s="634"/>
      <c r="J573" s="636"/>
      <c r="K573" s="635"/>
      <c r="L573" s="635"/>
      <c r="M573" s="635"/>
      <c r="N573" s="635"/>
      <c r="O573" s="635"/>
      <c r="P573" s="635"/>
      <c r="Q573" s="635"/>
      <c r="R573" s="635"/>
      <c r="S573" s="634"/>
      <c r="T573" s="634"/>
      <c r="U573" s="634"/>
      <c r="V573" s="634"/>
      <c r="W573" s="634"/>
      <c r="X573" s="634"/>
      <c r="Y573" s="634"/>
      <c r="Z573" s="634"/>
      <c r="AA573" s="634"/>
    </row>
    <row r="574" ht="15.75" customHeight="1">
      <c r="A574" s="634"/>
      <c r="B574" s="634"/>
      <c r="C574" s="634"/>
      <c r="D574" s="634"/>
      <c r="E574" s="634"/>
      <c r="F574" s="634"/>
      <c r="G574" s="634"/>
      <c r="H574" s="635"/>
      <c r="I574" s="634"/>
      <c r="J574" s="636"/>
      <c r="K574" s="635"/>
      <c r="L574" s="635"/>
      <c r="M574" s="635"/>
      <c r="N574" s="635"/>
      <c r="O574" s="635"/>
      <c r="P574" s="635"/>
      <c r="Q574" s="635"/>
      <c r="R574" s="635"/>
      <c r="S574" s="634"/>
      <c r="T574" s="634"/>
      <c r="U574" s="634"/>
      <c r="V574" s="634"/>
      <c r="W574" s="634"/>
      <c r="X574" s="634"/>
      <c r="Y574" s="634"/>
      <c r="Z574" s="634"/>
      <c r="AA574" s="634"/>
    </row>
    <row r="575" ht="15.75" customHeight="1">
      <c r="A575" s="634"/>
      <c r="B575" s="634"/>
      <c r="C575" s="634"/>
      <c r="D575" s="634"/>
      <c r="E575" s="634"/>
      <c r="F575" s="634"/>
      <c r="G575" s="634"/>
      <c r="H575" s="635"/>
      <c r="I575" s="634"/>
      <c r="J575" s="636"/>
      <c r="K575" s="635"/>
      <c r="L575" s="635"/>
      <c r="M575" s="635"/>
      <c r="N575" s="635"/>
      <c r="O575" s="635"/>
      <c r="P575" s="635"/>
      <c r="Q575" s="635"/>
      <c r="R575" s="635"/>
      <c r="S575" s="634"/>
      <c r="T575" s="634"/>
      <c r="U575" s="634"/>
      <c r="V575" s="634"/>
      <c r="W575" s="634"/>
      <c r="X575" s="634"/>
      <c r="Y575" s="634"/>
      <c r="Z575" s="634"/>
      <c r="AA575" s="634"/>
    </row>
    <row r="576" ht="15.75" customHeight="1">
      <c r="A576" s="634"/>
      <c r="B576" s="634"/>
      <c r="C576" s="634"/>
      <c r="D576" s="634"/>
      <c r="E576" s="634"/>
      <c r="F576" s="634"/>
      <c r="G576" s="634"/>
      <c r="H576" s="635"/>
      <c r="I576" s="634"/>
      <c r="J576" s="636"/>
      <c r="K576" s="635"/>
      <c r="L576" s="635"/>
      <c r="M576" s="635"/>
      <c r="N576" s="635"/>
      <c r="O576" s="635"/>
      <c r="P576" s="635"/>
      <c r="Q576" s="635"/>
      <c r="R576" s="635"/>
      <c r="S576" s="634"/>
      <c r="T576" s="634"/>
      <c r="U576" s="634"/>
      <c r="V576" s="634"/>
      <c r="W576" s="634"/>
      <c r="X576" s="634"/>
      <c r="Y576" s="634"/>
      <c r="Z576" s="634"/>
      <c r="AA576" s="634"/>
    </row>
    <row r="577" ht="15.75" customHeight="1">
      <c r="A577" s="634"/>
      <c r="B577" s="634"/>
      <c r="C577" s="634"/>
      <c r="D577" s="634"/>
      <c r="E577" s="634"/>
      <c r="F577" s="634"/>
      <c r="G577" s="634"/>
      <c r="H577" s="635"/>
      <c r="I577" s="634"/>
      <c r="J577" s="636"/>
      <c r="K577" s="635"/>
      <c r="L577" s="635"/>
      <c r="M577" s="635"/>
      <c r="N577" s="635"/>
      <c r="O577" s="635"/>
      <c r="P577" s="635"/>
      <c r="Q577" s="635"/>
      <c r="R577" s="635"/>
      <c r="S577" s="634"/>
      <c r="T577" s="634"/>
      <c r="U577" s="634"/>
      <c r="V577" s="634"/>
      <c r="W577" s="634"/>
      <c r="X577" s="634"/>
      <c r="Y577" s="634"/>
      <c r="Z577" s="634"/>
      <c r="AA577" s="634"/>
    </row>
    <row r="578" ht="15.75" customHeight="1">
      <c r="A578" s="634"/>
      <c r="B578" s="634"/>
      <c r="C578" s="634"/>
      <c r="D578" s="634"/>
      <c r="E578" s="634"/>
      <c r="F578" s="634"/>
      <c r="G578" s="634"/>
      <c r="H578" s="635"/>
      <c r="I578" s="634"/>
      <c r="J578" s="636"/>
      <c r="K578" s="635"/>
      <c r="L578" s="635"/>
      <c r="M578" s="635"/>
      <c r="N578" s="635"/>
      <c r="O578" s="635"/>
      <c r="P578" s="635"/>
      <c r="Q578" s="635"/>
      <c r="R578" s="635"/>
      <c r="S578" s="634"/>
      <c r="T578" s="634"/>
      <c r="U578" s="634"/>
      <c r="V578" s="634"/>
      <c r="W578" s="634"/>
      <c r="X578" s="634"/>
      <c r="Y578" s="634"/>
      <c r="Z578" s="634"/>
      <c r="AA578" s="634"/>
    </row>
    <row r="579" ht="15.75" customHeight="1">
      <c r="A579" s="634"/>
      <c r="B579" s="634"/>
      <c r="C579" s="634"/>
      <c r="D579" s="634"/>
      <c r="E579" s="634"/>
      <c r="F579" s="634"/>
      <c r="G579" s="634"/>
      <c r="H579" s="635"/>
      <c r="I579" s="634"/>
      <c r="J579" s="636"/>
      <c r="K579" s="635"/>
      <c r="L579" s="635"/>
      <c r="M579" s="635"/>
      <c r="N579" s="635"/>
      <c r="O579" s="635"/>
      <c r="P579" s="635"/>
      <c r="Q579" s="635"/>
      <c r="R579" s="635"/>
      <c r="S579" s="634"/>
      <c r="T579" s="634"/>
      <c r="U579" s="634"/>
      <c r="V579" s="634"/>
      <c r="W579" s="634"/>
      <c r="X579" s="634"/>
      <c r="Y579" s="634"/>
      <c r="Z579" s="634"/>
      <c r="AA579" s="634"/>
    </row>
    <row r="580" ht="15.75" customHeight="1">
      <c r="A580" s="634"/>
      <c r="B580" s="634"/>
      <c r="C580" s="634"/>
      <c r="D580" s="634"/>
      <c r="E580" s="634"/>
      <c r="F580" s="634"/>
      <c r="G580" s="634"/>
      <c r="H580" s="635"/>
      <c r="I580" s="634"/>
      <c r="J580" s="636"/>
      <c r="K580" s="635"/>
      <c r="L580" s="635"/>
      <c r="M580" s="635"/>
      <c r="N580" s="635"/>
      <c r="O580" s="635"/>
      <c r="P580" s="635"/>
      <c r="Q580" s="635"/>
      <c r="R580" s="635"/>
      <c r="S580" s="634"/>
      <c r="T580" s="634"/>
      <c r="U580" s="634"/>
      <c r="V580" s="634"/>
      <c r="W580" s="634"/>
      <c r="X580" s="634"/>
      <c r="Y580" s="634"/>
      <c r="Z580" s="634"/>
      <c r="AA580" s="634"/>
    </row>
    <row r="581" ht="15.75" customHeight="1">
      <c r="A581" s="634"/>
      <c r="B581" s="634"/>
      <c r="C581" s="634"/>
      <c r="D581" s="634"/>
      <c r="E581" s="634"/>
      <c r="F581" s="634"/>
      <c r="G581" s="634"/>
      <c r="H581" s="635"/>
      <c r="I581" s="634"/>
      <c r="J581" s="636"/>
      <c r="K581" s="635"/>
      <c r="L581" s="635"/>
      <c r="M581" s="635"/>
      <c r="N581" s="635"/>
      <c r="O581" s="635"/>
      <c r="P581" s="635"/>
      <c r="Q581" s="635"/>
      <c r="R581" s="635"/>
      <c r="S581" s="634"/>
      <c r="T581" s="634"/>
      <c r="U581" s="634"/>
      <c r="V581" s="634"/>
      <c r="W581" s="634"/>
      <c r="X581" s="634"/>
      <c r="Y581" s="634"/>
      <c r="Z581" s="634"/>
      <c r="AA581" s="634"/>
    </row>
    <row r="582" ht="15.75" customHeight="1">
      <c r="A582" s="634"/>
      <c r="B582" s="634"/>
      <c r="C582" s="634"/>
      <c r="D582" s="634"/>
      <c r="E582" s="634"/>
      <c r="F582" s="634"/>
      <c r="G582" s="634"/>
      <c r="H582" s="635"/>
      <c r="I582" s="634"/>
      <c r="J582" s="636"/>
      <c r="K582" s="635"/>
      <c r="L582" s="635"/>
      <c r="M582" s="635"/>
      <c r="N582" s="635"/>
      <c r="O582" s="635"/>
      <c r="P582" s="635"/>
      <c r="Q582" s="635"/>
      <c r="R582" s="635"/>
      <c r="S582" s="634"/>
      <c r="T582" s="634"/>
      <c r="U582" s="634"/>
      <c r="V582" s="634"/>
      <c r="W582" s="634"/>
      <c r="X582" s="634"/>
      <c r="Y582" s="634"/>
      <c r="Z582" s="634"/>
      <c r="AA582" s="634"/>
    </row>
    <row r="583" ht="15.75" customHeight="1">
      <c r="A583" s="634"/>
      <c r="B583" s="634"/>
      <c r="C583" s="634"/>
      <c r="D583" s="634"/>
      <c r="E583" s="634"/>
      <c r="F583" s="634"/>
      <c r="G583" s="634"/>
      <c r="H583" s="635"/>
      <c r="I583" s="634"/>
      <c r="J583" s="636"/>
      <c r="K583" s="635"/>
      <c r="L583" s="635"/>
      <c r="M583" s="635"/>
      <c r="N583" s="635"/>
      <c r="O583" s="635"/>
      <c r="P583" s="635"/>
      <c r="Q583" s="635"/>
      <c r="R583" s="635"/>
      <c r="S583" s="634"/>
      <c r="T583" s="634"/>
      <c r="U583" s="634"/>
      <c r="V583" s="634"/>
      <c r="W583" s="634"/>
      <c r="X583" s="634"/>
      <c r="Y583" s="634"/>
      <c r="Z583" s="634"/>
      <c r="AA583" s="634"/>
    </row>
    <row r="584" ht="15.75" customHeight="1">
      <c r="A584" s="634"/>
      <c r="B584" s="634"/>
      <c r="C584" s="634"/>
      <c r="D584" s="634"/>
      <c r="E584" s="634"/>
      <c r="F584" s="634"/>
      <c r="G584" s="634"/>
      <c r="H584" s="635"/>
      <c r="I584" s="634"/>
      <c r="J584" s="636"/>
      <c r="K584" s="635"/>
      <c r="L584" s="635"/>
      <c r="M584" s="635"/>
      <c r="N584" s="635"/>
      <c r="O584" s="635"/>
      <c r="P584" s="635"/>
      <c r="Q584" s="635"/>
      <c r="R584" s="635"/>
      <c r="S584" s="634"/>
      <c r="T584" s="634"/>
      <c r="U584" s="634"/>
      <c r="V584" s="634"/>
      <c r="W584" s="634"/>
      <c r="X584" s="634"/>
      <c r="Y584" s="634"/>
      <c r="Z584" s="634"/>
      <c r="AA584" s="634"/>
    </row>
    <row r="585" ht="15.75" customHeight="1">
      <c r="A585" s="634"/>
      <c r="B585" s="634"/>
      <c r="C585" s="634"/>
      <c r="D585" s="634"/>
      <c r="E585" s="634"/>
      <c r="F585" s="634"/>
      <c r="G585" s="634"/>
      <c r="H585" s="635"/>
      <c r="I585" s="634"/>
      <c r="J585" s="636"/>
      <c r="K585" s="635"/>
      <c r="L585" s="635"/>
      <c r="M585" s="635"/>
      <c r="N585" s="635"/>
      <c r="O585" s="635"/>
      <c r="P585" s="635"/>
      <c r="Q585" s="635"/>
      <c r="R585" s="635"/>
      <c r="S585" s="634"/>
      <c r="T585" s="634"/>
      <c r="U585" s="634"/>
      <c r="V585" s="634"/>
      <c r="W585" s="634"/>
      <c r="X585" s="634"/>
      <c r="Y585" s="634"/>
      <c r="Z585" s="634"/>
      <c r="AA585" s="634"/>
    </row>
    <row r="586" ht="15.75" customHeight="1">
      <c r="A586" s="634"/>
      <c r="B586" s="634"/>
      <c r="C586" s="634"/>
      <c r="D586" s="634"/>
      <c r="E586" s="634"/>
      <c r="F586" s="634"/>
      <c r="G586" s="634"/>
      <c r="H586" s="635"/>
      <c r="I586" s="634"/>
      <c r="J586" s="636"/>
      <c r="K586" s="635"/>
      <c r="L586" s="635"/>
      <c r="M586" s="635"/>
      <c r="N586" s="635"/>
      <c r="O586" s="635"/>
      <c r="P586" s="635"/>
      <c r="Q586" s="635"/>
      <c r="R586" s="635"/>
      <c r="S586" s="634"/>
      <c r="T586" s="634"/>
      <c r="U586" s="634"/>
      <c r="V586" s="634"/>
      <c r="W586" s="634"/>
      <c r="X586" s="634"/>
      <c r="Y586" s="634"/>
      <c r="Z586" s="634"/>
      <c r="AA586" s="634"/>
    </row>
    <row r="587" ht="15.75" customHeight="1">
      <c r="A587" s="634"/>
      <c r="B587" s="634"/>
      <c r="C587" s="634"/>
      <c r="D587" s="634"/>
      <c r="E587" s="634"/>
      <c r="F587" s="634"/>
      <c r="G587" s="634"/>
      <c r="H587" s="635"/>
      <c r="I587" s="634"/>
      <c r="J587" s="636"/>
      <c r="K587" s="635"/>
      <c r="L587" s="635"/>
      <c r="M587" s="635"/>
      <c r="N587" s="635"/>
      <c r="O587" s="635"/>
      <c r="P587" s="635"/>
      <c r="Q587" s="635"/>
      <c r="R587" s="635"/>
      <c r="S587" s="634"/>
      <c r="T587" s="634"/>
      <c r="U587" s="634"/>
      <c r="V587" s="634"/>
      <c r="W587" s="634"/>
      <c r="X587" s="634"/>
      <c r="Y587" s="634"/>
      <c r="Z587" s="634"/>
      <c r="AA587" s="634"/>
    </row>
    <row r="588" ht="15.75" customHeight="1">
      <c r="A588" s="634"/>
      <c r="B588" s="634"/>
      <c r="C588" s="634"/>
      <c r="D588" s="634"/>
      <c r="E588" s="634"/>
      <c r="F588" s="634"/>
      <c r="G588" s="634"/>
      <c r="H588" s="635"/>
      <c r="I588" s="634"/>
      <c r="J588" s="636"/>
      <c r="K588" s="635"/>
      <c r="L588" s="635"/>
      <c r="M588" s="635"/>
      <c r="N588" s="635"/>
      <c r="O588" s="635"/>
      <c r="P588" s="635"/>
      <c r="Q588" s="635"/>
      <c r="R588" s="635"/>
      <c r="S588" s="634"/>
      <c r="T588" s="634"/>
      <c r="U588" s="634"/>
      <c r="V588" s="634"/>
      <c r="W588" s="634"/>
      <c r="X588" s="634"/>
      <c r="Y588" s="634"/>
      <c r="Z588" s="634"/>
      <c r="AA588" s="634"/>
    </row>
    <row r="589" ht="15.75" customHeight="1">
      <c r="A589" s="634"/>
      <c r="B589" s="634"/>
      <c r="C589" s="634"/>
      <c r="D589" s="634"/>
      <c r="E589" s="634"/>
      <c r="F589" s="634"/>
      <c r="G589" s="634"/>
      <c r="H589" s="635"/>
      <c r="I589" s="634"/>
      <c r="J589" s="636"/>
      <c r="K589" s="635"/>
      <c r="L589" s="635"/>
      <c r="M589" s="635"/>
      <c r="N589" s="635"/>
      <c r="O589" s="635"/>
      <c r="P589" s="635"/>
      <c r="Q589" s="635"/>
      <c r="R589" s="635"/>
      <c r="S589" s="634"/>
      <c r="T589" s="634"/>
      <c r="U589" s="634"/>
      <c r="V589" s="634"/>
      <c r="W589" s="634"/>
      <c r="X589" s="634"/>
      <c r="Y589" s="634"/>
      <c r="Z589" s="634"/>
      <c r="AA589" s="634"/>
    </row>
    <row r="590" ht="15.75" customHeight="1">
      <c r="A590" s="634"/>
      <c r="B590" s="634"/>
      <c r="C590" s="634"/>
      <c r="D590" s="634"/>
      <c r="E590" s="634"/>
      <c r="F590" s="634"/>
      <c r="G590" s="634"/>
      <c r="H590" s="635"/>
      <c r="I590" s="634"/>
      <c r="J590" s="636"/>
      <c r="K590" s="635"/>
      <c r="L590" s="635"/>
      <c r="M590" s="635"/>
      <c r="N590" s="635"/>
      <c r="O590" s="635"/>
      <c r="P590" s="635"/>
      <c r="Q590" s="635"/>
      <c r="R590" s="635"/>
      <c r="S590" s="634"/>
      <c r="T590" s="634"/>
      <c r="U590" s="634"/>
      <c r="V590" s="634"/>
      <c r="W590" s="634"/>
      <c r="X590" s="634"/>
      <c r="Y590" s="634"/>
      <c r="Z590" s="634"/>
      <c r="AA590" s="634"/>
    </row>
    <row r="591" ht="15.75" customHeight="1">
      <c r="A591" s="634"/>
      <c r="B591" s="634"/>
      <c r="C591" s="634"/>
      <c r="D591" s="634"/>
      <c r="E591" s="634"/>
      <c r="F591" s="634"/>
      <c r="G591" s="634"/>
      <c r="H591" s="635"/>
      <c r="I591" s="634"/>
      <c r="J591" s="636"/>
      <c r="K591" s="635"/>
      <c r="L591" s="635"/>
      <c r="M591" s="635"/>
      <c r="N591" s="635"/>
      <c r="O591" s="635"/>
      <c r="P591" s="635"/>
      <c r="Q591" s="635"/>
      <c r="R591" s="635"/>
      <c r="S591" s="634"/>
      <c r="T591" s="634"/>
      <c r="U591" s="634"/>
      <c r="V591" s="634"/>
      <c r="W591" s="634"/>
      <c r="X591" s="634"/>
      <c r="Y591" s="634"/>
      <c r="Z591" s="634"/>
      <c r="AA591" s="634"/>
    </row>
    <row r="592" ht="15.75" customHeight="1">
      <c r="A592" s="634"/>
      <c r="B592" s="634"/>
      <c r="C592" s="634"/>
      <c r="D592" s="634"/>
      <c r="E592" s="634"/>
      <c r="F592" s="634"/>
      <c r="G592" s="634"/>
      <c r="H592" s="635"/>
      <c r="I592" s="634"/>
      <c r="J592" s="636"/>
      <c r="K592" s="635"/>
      <c r="L592" s="635"/>
      <c r="M592" s="635"/>
      <c r="N592" s="635"/>
      <c r="O592" s="635"/>
      <c r="P592" s="635"/>
      <c r="Q592" s="635"/>
      <c r="R592" s="635"/>
      <c r="S592" s="634"/>
      <c r="T592" s="634"/>
      <c r="U592" s="634"/>
      <c r="V592" s="634"/>
      <c r="W592" s="634"/>
      <c r="X592" s="634"/>
      <c r="Y592" s="634"/>
      <c r="Z592" s="634"/>
      <c r="AA592" s="634"/>
    </row>
    <row r="593" ht="15.75" customHeight="1">
      <c r="A593" s="634"/>
      <c r="B593" s="634"/>
      <c r="C593" s="634"/>
      <c r="D593" s="634"/>
      <c r="E593" s="634"/>
      <c r="F593" s="634"/>
      <c r="G593" s="634"/>
      <c r="H593" s="635"/>
      <c r="I593" s="634"/>
      <c r="J593" s="636"/>
      <c r="K593" s="635"/>
      <c r="L593" s="635"/>
      <c r="M593" s="635"/>
      <c r="N593" s="635"/>
      <c r="O593" s="635"/>
      <c r="P593" s="635"/>
      <c r="Q593" s="635"/>
      <c r="R593" s="635"/>
      <c r="S593" s="634"/>
      <c r="T593" s="634"/>
      <c r="U593" s="634"/>
      <c r="V593" s="634"/>
      <c r="W593" s="634"/>
      <c r="X593" s="634"/>
      <c r="Y593" s="634"/>
      <c r="Z593" s="634"/>
      <c r="AA593" s="634"/>
    </row>
    <row r="594" ht="15.75" customHeight="1">
      <c r="A594" s="634"/>
      <c r="B594" s="634"/>
      <c r="C594" s="634"/>
      <c r="D594" s="634"/>
      <c r="E594" s="634"/>
      <c r="F594" s="634"/>
      <c r="G594" s="634"/>
      <c r="H594" s="635"/>
      <c r="I594" s="634"/>
      <c r="J594" s="636"/>
      <c r="K594" s="635"/>
      <c r="L594" s="635"/>
      <c r="M594" s="635"/>
      <c r="N594" s="635"/>
      <c r="O594" s="635"/>
      <c r="P594" s="635"/>
      <c r="Q594" s="635"/>
      <c r="R594" s="635"/>
      <c r="S594" s="634"/>
      <c r="T594" s="634"/>
      <c r="U594" s="634"/>
      <c r="V594" s="634"/>
      <c r="W594" s="634"/>
      <c r="X594" s="634"/>
      <c r="Y594" s="634"/>
      <c r="Z594" s="634"/>
      <c r="AA594" s="634"/>
    </row>
    <row r="595" ht="15.75" customHeight="1">
      <c r="A595" s="634"/>
      <c r="B595" s="634"/>
      <c r="C595" s="634"/>
      <c r="D595" s="634"/>
      <c r="E595" s="634"/>
      <c r="F595" s="634"/>
      <c r="G595" s="634"/>
      <c r="H595" s="635"/>
      <c r="I595" s="634"/>
      <c r="J595" s="636"/>
      <c r="K595" s="635"/>
      <c r="L595" s="635"/>
      <c r="M595" s="635"/>
      <c r="N595" s="635"/>
      <c r="O595" s="635"/>
      <c r="P595" s="635"/>
      <c r="Q595" s="635"/>
      <c r="R595" s="635"/>
      <c r="S595" s="634"/>
      <c r="T595" s="634"/>
      <c r="U595" s="634"/>
      <c r="V595" s="634"/>
      <c r="W595" s="634"/>
      <c r="X595" s="634"/>
      <c r="Y595" s="634"/>
      <c r="Z595" s="634"/>
      <c r="AA595" s="634"/>
    </row>
    <row r="596" ht="15.75" customHeight="1">
      <c r="A596" s="634"/>
      <c r="B596" s="634"/>
      <c r="C596" s="634"/>
      <c r="D596" s="634"/>
      <c r="E596" s="634"/>
      <c r="F596" s="634"/>
      <c r="G596" s="634"/>
      <c r="H596" s="635"/>
      <c r="I596" s="634"/>
      <c r="J596" s="636"/>
      <c r="K596" s="635"/>
      <c r="L596" s="635"/>
      <c r="M596" s="635"/>
      <c r="N596" s="635"/>
      <c r="O596" s="635"/>
      <c r="P596" s="635"/>
      <c r="Q596" s="635"/>
      <c r="R596" s="635"/>
      <c r="S596" s="634"/>
      <c r="T596" s="634"/>
      <c r="U596" s="634"/>
      <c r="V596" s="634"/>
      <c r="W596" s="634"/>
      <c r="X596" s="634"/>
      <c r="Y596" s="634"/>
      <c r="Z596" s="634"/>
      <c r="AA596" s="634"/>
    </row>
    <row r="597" ht="15.75" customHeight="1">
      <c r="A597" s="634"/>
      <c r="B597" s="634"/>
      <c r="C597" s="634"/>
      <c r="D597" s="634"/>
      <c r="E597" s="634"/>
      <c r="F597" s="634"/>
      <c r="G597" s="634"/>
      <c r="H597" s="635"/>
      <c r="I597" s="634"/>
      <c r="J597" s="636"/>
      <c r="K597" s="635"/>
      <c r="L597" s="635"/>
      <c r="M597" s="635"/>
      <c r="N597" s="635"/>
      <c r="O597" s="635"/>
      <c r="P597" s="635"/>
      <c r="Q597" s="635"/>
      <c r="R597" s="635"/>
      <c r="S597" s="634"/>
      <c r="T597" s="634"/>
      <c r="U597" s="634"/>
      <c r="V597" s="634"/>
      <c r="W597" s="634"/>
      <c r="X597" s="634"/>
      <c r="Y597" s="634"/>
      <c r="Z597" s="634"/>
      <c r="AA597" s="634"/>
    </row>
    <row r="598" ht="15.75" customHeight="1">
      <c r="A598" s="634"/>
      <c r="B598" s="634"/>
      <c r="C598" s="634"/>
      <c r="D598" s="634"/>
      <c r="E598" s="634"/>
      <c r="F598" s="634"/>
      <c r="G598" s="634"/>
      <c r="H598" s="635"/>
      <c r="I598" s="634"/>
      <c r="J598" s="636"/>
      <c r="K598" s="635"/>
      <c r="L598" s="635"/>
      <c r="M598" s="635"/>
      <c r="N598" s="635"/>
      <c r="O598" s="635"/>
      <c r="P598" s="635"/>
      <c r="Q598" s="635"/>
      <c r="R598" s="635"/>
      <c r="S598" s="634"/>
      <c r="T598" s="634"/>
      <c r="U598" s="634"/>
      <c r="V598" s="634"/>
      <c r="W598" s="634"/>
      <c r="X598" s="634"/>
      <c r="Y598" s="634"/>
      <c r="Z598" s="634"/>
      <c r="AA598" s="634"/>
    </row>
    <row r="599" ht="15.75" customHeight="1">
      <c r="A599" s="634"/>
      <c r="B599" s="634"/>
      <c r="C599" s="634"/>
      <c r="D599" s="634"/>
      <c r="E599" s="634"/>
      <c r="F599" s="634"/>
      <c r="G599" s="634"/>
      <c r="H599" s="635"/>
      <c r="I599" s="634"/>
      <c r="J599" s="636"/>
      <c r="K599" s="635"/>
      <c r="L599" s="635"/>
      <c r="M599" s="635"/>
      <c r="N599" s="635"/>
      <c r="O599" s="635"/>
      <c r="P599" s="635"/>
      <c r="Q599" s="635"/>
      <c r="R599" s="635"/>
      <c r="S599" s="634"/>
      <c r="T599" s="634"/>
      <c r="U599" s="634"/>
      <c r="V599" s="634"/>
      <c r="W599" s="634"/>
      <c r="X599" s="634"/>
      <c r="Y599" s="634"/>
      <c r="Z599" s="634"/>
      <c r="AA599" s="634"/>
    </row>
    <row r="600" ht="15.75" customHeight="1">
      <c r="A600" s="634"/>
      <c r="B600" s="634"/>
      <c r="C600" s="634"/>
      <c r="D600" s="634"/>
      <c r="E600" s="634"/>
      <c r="F600" s="634"/>
      <c r="G600" s="634"/>
      <c r="H600" s="635"/>
      <c r="I600" s="634"/>
      <c r="J600" s="636"/>
      <c r="K600" s="635"/>
      <c r="L600" s="635"/>
      <c r="M600" s="635"/>
      <c r="N600" s="635"/>
      <c r="O600" s="635"/>
      <c r="P600" s="635"/>
      <c r="Q600" s="635"/>
      <c r="R600" s="635"/>
      <c r="S600" s="634"/>
      <c r="T600" s="634"/>
      <c r="U600" s="634"/>
      <c r="V600" s="634"/>
      <c r="W600" s="634"/>
      <c r="X600" s="634"/>
      <c r="Y600" s="634"/>
      <c r="Z600" s="634"/>
      <c r="AA600" s="634"/>
    </row>
    <row r="601" ht="15.75" customHeight="1">
      <c r="A601" s="634"/>
      <c r="B601" s="634"/>
      <c r="C601" s="634"/>
      <c r="D601" s="634"/>
      <c r="E601" s="634"/>
      <c r="F601" s="634"/>
      <c r="G601" s="634"/>
      <c r="H601" s="635"/>
      <c r="I601" s="634"/>
      <c r="J601" s="636"/>
      <c r="K601" s="635"/>
      <c r="L601" s="635"/>
      <c r="M601" s="635"/>
      <c r="N601" s="635"/>
      <c r="O601" s="635"/>
      <c r="P601" s="635"/>
      <c r="Q601" s="635"/>
      <c r="R601" s="635"/>
      <c r="S601" s="634"/>
      <c r="T601" s="634"/>
      <c r="U601" s="634"/>
      <c r="V601" s="634"/>
      <c r="W601" s="634"/>
      <c r="X601" s="634"/>
      <c r="Y601" s="634"/>
      <c r="Z601" s="634"/>
      <c r="AA601" s="634"/>
    </row>
    <row r="602" ht="15.75" customHeight="1">
      <c r="A602" s="634"/>
      <c r="B602" s="634"/>
      <c r="C602" s="634"/>
      <c r="D602" s="634"/>
      <c r="E602" s="634"/>
      <c r="F602" s="634"/>
      <c r="G602" s="634"/>
      <c r="H602" s="635"/>
      <c r="I602" s="634"/>
      <c r="J602" s="636"/>
      <c r="K602" s="635"/>
      <c r="L602" s="635"/>
      <c r="M602" s="635"/>
      <c r="N602" s="635"/>
      <c r="O602" s="635"/>
      <c r="P602" s="635"/>
      <c r="Q602" s="635"/>
      <c r="R602" s="635"/>
      <c r="S602" s="634"/>
      <c r="T602" s="634"/>
      <c r="U602" s="634"/>
      <c r="V602" s="634"/>
      <c r="W602" s="634"/>
      <c r="X602" s="634"/>
      <c r="Y602" s="634"/>
      <c r="Z602" s="634"/>
      <c r="AA602" s="634"/>
    </row>
    <row r="603" ht="15.75" customHeight="1">
      <c r="A603" s="634"/>
      <c r="B603" s="634"/>
      <c r="C603" s="634"/>
      <c r="D603" s="634"/>
      <c r="E603" s="634"/>
      <c r="F603" s="634"/>
      <c r="G603" s="634"/>
      <c r="H603" s="635"/>
      <c r="I603" s="634"/>
      <c r="J603" s="636"/>
      <c r="K603" s="635"/>
      <c r="L603" s="635"/>
      <c r="M603" s="635"/>
      <c r="N603" s="635"/>
      <c r="O603" s="635"/>
      <c r="P603" s="635"/>
      <c r="Q603" s="635"/>
      <c r="R603" s="635"/>
      <c r="S603" s="634"/>
      <c r="T603" s="634"/>
      <c r="U603" s="634"/>
      <c r="V603" s="634"/>
      <c r="W603" s="634"/>
      <c r="X603" s="634"/>
      <c r="Y603" s="634"/>
      <c r="Z603" s="634"/>
      <c r="AA603" s="634"/>
    </row>
    <row r="604" ht="15.75" customHeight="1">
      <c r="A604" s="634"/>
      <c r="B604" s="634"/>
      <c r="C604" s="634"/>
      <c r="D604" s="634"/>
      <c r="E604" s="634"/>
      <c r="F604" s="634"/>
      <c r="G604" s="634"/>
      <c r="H604" s="635"/>
      <c r="I604" s="634"/>
      <c r="J604" s="636"/>
      <c r="K604" s="635"/>
      <c r="L604" s="635"/>
      <c r="M604" s="635"/>
      <c r="N604" s="635"/>
      <c r="O604" s="635"/>
      <c r="P604" s="635"/>
      <c r="Q604" s="635"/>
      <c r="R604" s="635"/>
      <c r="S604" s="634"/>
      <c r="T604" s="634"/>
      <c r="U604" s="634"/>
      <c r="V604" s="634"/>
      <c r="W604" s="634"/>
      <c r="X604" s="634"/>
      <c r="Y604" s="634"/>
      <c r="Z604" s="634"/>
      <c r="AA604" s="634"/>
    </row>
    <row r="605" ht="15.75" customHeight="1">
      <c r="A605" s="634"/>
      <c r="B605" s="634"/>
      <c r="C605" s="634"/>
      <c r="D605" s="634"/>
      <c r="E605" s="634"/>
      <c r="F605" s="634"/>
      <c r="G605" s="634"/>
      <c r="H605" s="635"/>
      <c r="I605" s="634"/>
      <c r="J605" s="636"/>
      <c r="K605" s="635"/>
      <c r="L605" s="635"/>
      <c r="M605" s="635"/>
      <c r="N605" s="635"/>
      <c r="O605" s="635"/>
      <c r="P605" s="635"/>
      <c r="Q605" s="635"/>
      <c r="R605" s="635"/>
      <c r="S605" s="634"/>
      <c r="T605" s="634"/>
      <c r="U605" s="634"/>
      <c r="V605" s="634"/>
      <c r="W605" s="634"/>
      <c r="X605" s="634"/>
      <c r="Y605" s="634"/>
      <c r="Z605" s="634"/>
      <c r="AA605" s="634"/>
    </row>
    <row r="606" ht="15.75" customHeight="1">
      <c r="A606" s="634"/>
      <c r="B606" s="634"/>
      <c r="C606" s="634"/>
      <c r="D606" s="634"/>
      <c r="E606" s="634"/>
      <c r="F606" s="634"/>
      <c r="G606" s="634"/>
      <c r="H606" s="635"/>
      <c r="I606" s="634"/>
      <c r="J606" s="636"/>
      <c r="K606" s="635"/>
      <c r="L606" s="635"/>
      <c r="M606" s="635"/>
      <c r="N606" s="635"/>
      <c r="O606" s="635"/>
      <c r="P606" s="635"/>
      <c r="Q606" s="635"/>
      <c r="R606" s="635"/>
      <c r="S606" s="634"/>
      <c r="T606" s="634"/>
      <c r="U606" s="634"/>
      <c r="V606" s="634"/>
      <c r="W606" s="634"/>
      <c r="X606" s="634"/>
      <c r="Y606" s="634"/>
      <c r="Z606" s="634"/>
      <c r="AA606" s="634"/>
    </row>
    <row r="607" ht="15.75" customHeight="1">
      <c r="A607" s="634"/>
      <c r="B607" s="634"/>
      <c r="C607" s="634"/>
      <c r="D607" s="634"/>
      <c r="E607" s="634"/>
      <c r="F607" s="634"/>
      <c r="G607" s="634"/>
      <c r="H607" s="635"/>
      <c r="I607" s="634"/>
      <c r="J607" s="636"/>
      <c r="K607" s="635"/>
      <c r="L607" s="635"/>
      <c r="M607" s="635"/>
      <c r="N607" s="635"/>
      <c r="O607" s="635"/>
      <c r="P607" s="635"/>
      <c r="Q607" s="635"/>
      <c r="R607" s="635"/>
      <c r="S607" s="634"/>
      <c r="T607" s="634"/>
      <c r="U607" s="634"/>
      <c r="V607" s="634"/>
      <c r="W607" s="634"/>
      <c r="X607" s="634"/>
      <c r="Y607" s="634"/>
      <c r="Z607" s="634"/>
      <c r="AA607" s="634"/>
    </row>
    <row r="608" ht="15.75" customHeight="1">
      <c r="A608" s="634"/>
      <c r="B608" s="634"/>
      <c r="C608" s="634"/>
      <c r="D608" s="634"/>
      <c r="E608" s="634"/>
      <c r="F608" s="634"/>
      <c r="G608" s="634"/>
      <c r="H608" s="635"/>
      <c r="I608" s="634"/>
      <c r="J608" s="636"/>
      <c r="K608" s="635"/>
      <c r="L608" s="635"/>
      <c r="M608" s="635"/>
      <c r="N608" s="635"/>
      <c r="O608" s="635"/>
      <c r="P608" s="635"/>
      <c r="Q608" s="635"/>
      <c r="R608" s="635"/>
      <c r="S608" s="634"/>
      <c r="T608" s="634"/>
      <c r="U608" s="634"/>
      <c r="V608" s="634"/>
      <c r="W608" s="634"/>
      <c r="X608" s="634"/>
      <c r="Y608" s="634"/>
      <c r="Z608" s="634"/>
      <c r="AA608" s="634"/>
    </row>
    <row r="609" ht="15.75" customHeight="1">
      <c r="A609" s="634"/>
      <c r="B609" s="634"/>
      <c r="C609" s="634"/>
      <c r="D609" s="634"/>
      <c r="E609" s="634"/>
      <c r="F609" s="634"/>
      <c r="G609" s="634"/>
      <c r="H609" s="635"/>
      <c r="I609" s="634"/>
      <c r="J609" s="636"/>
      <c r="K609" s="635"/>
      <c r="L609" s="635"/>
      <c r="M609" s="635"/>
      <c r="N609" s="635"/>
      <c r="O609" s="635"/>
      <c r="P609" s="635"/>
      <c r="Q609" s="635"/>
      <c r="R609" s="635"/>
      <c r="S609" s="634"/>
      <c r="T609" s="634"/>
      <c r="U609" s="634"/>
      <c r="V609" s="634"/>
      <c r="W609" s="634"/>
      <c r="X609" s="634"/>
      <c r="Y609" s="634"/>
      <c r="Z609" s="634"/>
      <c r="AA609" s="634"/>
    </row>
    <row r="610" ht="15.75" customHeight="1">
      <c r="A610" s="634"/>
      <c r="B610" s="634"/>
      <c r="C610" s="634"/>
      <c r="D610" s="634"/>
      <c r="E610" s="634"/>
      <c r="F610" s="634"/>
      <c r="G610" s="634"/>
      <c r="H610" s="635"/>
      <c r="I610" s="634"/>
      <c r="J610" s="636"/>
      <c r="K610" s="635"/>
      <c r="L610" s="635"/>
      <c r="M610" s="635"/>
      <c r="N610" s="635"/>
      <c r="O610" s="635"/>
      <c r="P610" s="635"/>
      <c r="Q610" s="635"/>
      <c r="R610" s="635"/>
      <c r="S610" s="634"/>
      <c r="T610" s="634"/>
      <c r="U610" s="634"/>
      <c r="V610" s="634"/>
      <c r="W610" s="634"/>
      <c r="X610" s="634"/>
      <c r="Y610" s="634"/>
      <c r="Z610" s="634"/>
      <c r="AA610" s="634"/>
    </row>
    <row r="611" ht="15.75" customHeight="1">
      <c r="A611" s="634"/>
      <c r="B611" s="634"/>
      <c r="C611" s="634"/>
      <c r="D611" s="634"/>
      <c r="E611" s="634"/>
      <c r="F611" s="634"/>
      <c r="G611" s="634"/>
      <c r="H611" s="635"/>
      <c r="I611" s="634"/>
      <c r="J611" s="636"/>
      <c r="K611" s="635"/>
      <c r="L611" s="635"/>
      <c r="M611" s="635"/>
      <c r="N611" s="635"/>
      <c r="O611" s="635"/>
      <c r="P611" s="635"/>
      <c r="Q611" s="635"/>
      <c r="R611" s="635"/>
      <c r="S611" s="634"/>
      <c r="T611" s="634"/>
      <c r="U611" s="634"/>
      <c r="V611" s="634"/>
      <c r="W611" s="634"/>
      <c r="X611" s="634"/>
      <c r="Y611" s="634"/>
      <c r="Z611" s="634"/>
      <c r="AA611" s="634"/>
    </row>
    <row r="612" ht="15.75" customHeight="1">
      <c r="A612" s="634"/>
      <c r="B612" s="634"/>
      <c r="C612" s="634"/>
      <c r="D612" s="634"/>
      <c r="E612" s="634"/>
      <c r="F612" s="634"/>
      <c r="G612" s="634"/>
      <c r="H612" s="635"/>
      <c r="I612" s="634"/>
      <c r="J612" s="636"/>
      <c r="K612" s="635"/>
      <c r="L612" s="635"/>
      <c r="M612" s="635"/>
      <c r="N612" s="635"/>
      <c r="O612" s="635"/>
      <c r="P612" s="635"/>
      <c r="Q612" s="635"/>
      <c r="R612" s="635"/>
      <c r="S612" s="634"/>
      <c r="T612" s="634"/>
      <c r="U612" s="634"/>
      <c r="V612" s="634"/>
      <c r="W612" s="634"/>
      <c r="X612" s="634"/>
      <c r="Y612" s="634"/>
      <c r="Z612" s="634"/>
      <c r="AA612" s="634"/>
    </row>
    <row r="613" ht="15.75" customHeight="1">
      <c r="A613" s="634"/>
      <c r="B613" s="634"/>
      <c r="C613" s="634"/>
      <c r="D613" s="634"/>
      <c r="E613" s="634"/>
      <c r="F613" s="634"/>
      <c r="G613" s="634"/>
      <c r="H613" s="635"/>
      <c r="I613" s="634"/>
      <c r="J613" s="636"/>
      <c r="K613" s="635"/>
      <c r="L613" s="635"/>
      <c r="M613" s="635"/>
      <c r="N613" s="635"/>
      <c r="O613" s="635"/>
      <c r="P613" s="635"/>
      <c r="Q613" s="635"/>
      <c r="R613" s="635"/>
      <c r="S613" s="634"/>
      <c r="T613" s="634"/>
      <c r="U613" s="634"/>
      <c r="V613" s="634"/>
      <c r="W613" s="634"/>
      <c r="X613" s="634"/>
      <c r="Y613" s="634"/>
      <c r="Z613" s="634"/>
      <c r="AA613" s="634"/>
    </row>
    <row r="614" ht="15.75" customHeight="1">
      <c r="A614" s="634"/>
      <c r="B614" s="634"/>
      <c r="C614" s="634"/>
      <c r="D614" s="634"/>
      <c r="E614" s="634"/>
      <c r="F614" s="634"/>
      <c r="G614" s="634"/>
      <c r="H614" s="635"/>
      <c r="I614" s="634"/>
      <c r="J614" s="636"/>
      <c r="K614" s="635"/>
      <c r="L614" s="635"/>
      <c r="M614" s="635"/>
      <c r="N614" s="635"/>
      <c r="O614" s="635"/>
      <c r="P614" s="635"/>
      <c r="Q614" s="635"/>
      <c r="R614" s="635"/>
      <c r="S614" s="634"/>
      <c r="T614" s="634"/>
      <c r="U614" s="634"/>
      <c r="V614" s="634"/>
      <c r="W614" s="634"/>
      <c r="X614" s="634"/>
      <c r="Y614" s="634"/>
      <c r="Z614" s="634"/>
      <c r="AA614" s="634"/>
    </row>
    <row r="615" ht="15.75" customHeight="1">
      <c r="A615" s="634"/>
      <c r="B615" s="634"/>
      <c r="C615" s="634"/>
      <c r="D615" s="634"/>
      <c r="E615" s="634"/>
      <c r="F615" s="634"/>
      <c r="G615" s="634"/>
      <c r="H615" s="635"/>
      <c r="I615" s="634"/>
      <c r="J615" s="636"/>
      <c r="K615" s="635"/>
      <c r="L615" s="635"/>
      <c r="M615" s="635"/>
      <c r="N615" s="635"/>
      <c r="O615" s="635"/>
      <c r="P615" s="635"/>
      <c r="Q615" s="635"/>
      <c r="R615" s="635"/>
      <c r="S615" s="634"/>
      <c r="T615" s="634"/>
      <c r="U615" s="634"/>
      <c r="V615" s="634"/>
      <c r="W615" s="634"/>
      <c r="X615" s="634"/>
      <c r="Y615" s="634"/>
      <c r="Z615" s="634"/>
      <c r="AA615" s="634"/>
    </row>
    <row r="616" ht="15.75" customHeight="1">
      <c r="A616" s="634"/>
      <c r="B616" s="634"/>
      <c r="C616" s="634"/>
      <c r="D616" s="634"/>
      <c r="E616" s="634"/>
      <c r="F616" s="634"/>
      <c r="G616" s="634"/>
      <c r="H616" s="635"/>
      <c r="I616" s="634"/>
      <c r="J616" s="636"/>
      <c r="K616" s="635"/>
      <c r="L616" s="635"/>
      <c r="M616" s="635"/>
      <c r="N616" s="635"/>
      <c r="O616" s="635"/>
      <c r="P616" s="635"/>
      <c r="Q616" s="635"/>
      <c r="R616" s="635"/>
      <c r="S616" s="634"/>
      <c r="T616" s="634"/>
      <c r="U616" s="634"/>
      <c r="V616" s="634"/>
      <c r="W616" s="634"/>
      <c r="X616" s="634"/>
      <c r="Y616" s="634"/>
      <c r="Z616" s="634"/>
      <c r="AA616" s="634"/>
    </row>
    <row r="617" ht="15.75" customHeight="1">
      <c r="A617" s="634"/>
      <c r="B617" s="634"/>
      <c r="C617" s="634"/>
      <c r="D617" s="634"/>
      <c r="E617" s="634"/>
      <c r="F617" s="634"/>
      <c r="G617" s="634"/>
      <c r="H617" s="635"/>
      <c r="I617" s="634"/>
      <c r="J617" s="636"/>
      <c r="K617" s="635"/>
      <c r="L617" s="635"/>
      <c r="M617" s="635"/>
      <c r="N617" s="635"/>
      <c r="O617" s="635"/>
      <c r="P617" s="635"/>
      <c r="Q617" s="635"/>
      <c r="R617" s="635"/>
      <c r="S617" s="634"/>
      <c r="T617" s="634"/>
      <c r="U617" s="634"/>
      <c r="V617" s="634"/>
      <c r="W617" s="634"/>
      <c r="X617" s="634"/>
      <c r="Y617" s="634"/>
      <c r="Z617" s="634"/>
      <c r="AA617" s="634"/>
    </row>
    <row r="618" ht="15.75" customHeight="1">
      <c r="A618" s="634"/>
      <c r="B618" s="634"/>
      <c r="C618" s="634"/>
      <c r="D618" s="634"/>
      <c r="E618" s="634"/>
      <c r="F618" s="634"/>
      <c r="G618" s="634"/>
      <c r="H618" s="635"/>
      <c r="I618" s="634"/>
      <c r="J618" s="636"/>
      <c r="K618" s="635"/>
      <c r="L618" s="635"/>
      <c r="M618" s="635"/>
      <c r="N618" s="635"/>
      <c r="O618" s="635"/>
      <c r="P618" s="635"/>
      <c r="Q618" s="635"/>
      <c r="R618" s="635"/>
      <c r="S618" s="634"/>
      <c r="T618" s="634"/>
      <c r="U618" s="634"/>
      <c r="V618" s="634"/>
      <c r="W618" s="634"/>
      <c r="X618" s="634"/>
      <c r="Y618" s="634"/>
      <c r="Z618" s="634"/>
      <c r="AA618" s="634"/>
    </row>
    <row r="619" ht="15.75" customHeight="1">
      <c r="A619" s="634"/>
      <c r="B619" s="634"/>
      <c r="C619" s="634"/>
      <c r="D619" s="634"/>
      <c r="E619" s="634"/>
      <c r="F619" s="634"/>
      <c r="G619" s="634"/>
      <c r="H619" s="635"/>
      <c r="I619" s="634"/>
      <c r="J619" s="636"/>
      <c r="K619" s="635"/>
      <c r="L619" s="635"/>
      <c r="M619" s="635"/>
      <c r="N619" s="635"/>
      <c r="O619" s="635"/>
      <c r="P619" s="635"/>
      <c r="Q619" s="635"/>
      <c r="R619" s="635"/>
      <c r="S619" s="634"/>
      <c r="T619" s="634"/>
      <c r="U619" s="634"/>
      <c r="V619" s="634"/>
      <c r="W619" s="634"/>
      <c r="X619" s="634"/>
      <c r="Y619" s="634"/>
      <c r="Z619" s="634"/>
      <c r="AA619" s="634"/>
    </row>
    <row r="620" ht="15.75" customHeight="1">
      <c r="A620" s="634"/>
      <c r="B620" s="634"/>
      <c r="C620" s="634"/>
      <c r="D620" s="634"/>
      <c r="E620" s="634"/>
      <c r="F620" s="634"/>
      <c r="G620" s="634"/>
      <c r="H620" s="635"/>
      <c r="I620" s="634"/>
      <c r="J620" s="636"/>
      <c r="K620" s="635"/>
      <c r="L620" s="635"/>
      <c r="M620" s="635"/>
      <c r="N620" s="635"/>
      <c r="O620" s="635"/>
      <c r="P620" s="635"/>
      <c r="Q620" s="635"/>
      <c r="R620" s="635"/>
      <c r="S620" s="634"/>
      <c r="T620" s="634"/>
      <c r="U620" s="634"/>
      <c r="V620" s="634"/>
      <c r="W620" s="634"/>
      <c r="X620" s="634"/>
      <c r="Y620" s="634"/>
      <c r="Z620" s="634"/>
      <c r="AA620" s="634"/>
    </row>
    <row r="621" ht="15.75" customHeight="1">
      <c r="A621" s="634"/>
      <c r="B621" s="634"/>
      <c r="C621" s="634"/>
      <c r="D621" s="634"/>
      <c r="E621" s="634"/>
      <c r="F621" s="634"/>
      <c r="G621" s="634"/>
      <c r="H621" s="635"/>
      <c r="I621" s="634"/>
      <c r="J621" s="636"/>
      <c r="K621" s="635"/>
      <c r="L621" s="635"/>
      <c r="M621" s="635"/>
      <c r="N621" s="635"/>
      <c r="O621" s="635"/>
      <c r="P621" s="635"/>
      <c r="Q621" s="635"/>
      <c r="R621" s="635"/>
      <c r="S621" s="634"/>
      <c r="T621" s="634"/>
      <c r="U621" s="634"/>
      <c r="V621" s="634"/>
      <c r="W621" s="634"/>
      <c r="X621" s="634"/>
      <c r="Y621" s="634"/>
      <c r="Z621" s="634"/>
      <c r="AA621" s="634"/>
    </row>
    <row r="622" ht="15.75" customHeight="1">
      <c r="A622" s="634"/>
      <c r="B622" s="634"/>
      <c r="C622" s="634"/>
      <c r="D622" s="634"/>
      <c r="E622" s="634"/>
      <c r="F622" s="634"/>
      <c r="G622" s="634"/>
      <c r="H622" s="635"/>
      <c r="I622" s="634"/>
      <c r="J622" s="636"/>
      <c r="K622" s="635"/>
      <c r="L622" s="635"/>
      <c r="M622" s="635"/>
      <c r="N622" s="635"/>
      <c r="O622" s="635"/>
      <c r="P622" s="635"/>
      <c r="Q622" s="635"/>
      <c r="R622" s="635"/>
      <c r="S622" s="634"/>
      <c r="T622" s="634"/>
      <c r="U622" s="634"/>
      <c r="V622" s="634"/>
      <c r="W622" s="634"/>
      <c r="X622" s="634"/>
      <c r="Y622" s="634"/>
      <c r="Z622" s="634"/>
      <c r="AA622" s="634"/>
    </row>
    <row r="623" ht="15.75" customHeight="1">
      <c r="A623" s="634"/>
      <c r="B623" s="634"/>
      <c r="C623" s="634"/>
      <c r="D623" s="634"/>
      <c r="E623" s="634"/>
      <c r="F623" s="634"/>
      <c r="G623" s="634"/>
      <c r="H623" s="635"/>
      <c r="I623" s="634"/>
      <c r="J623" s="636"/>
      <c r="K623" s="635"/>
      <c r="L623" s="635"/>
      <c r="M623" s="635"/>
      <c r="N623" s="635"/>
      <c r="O623" s="635"/>
      <c r="P623" s="635"/>
      <c r="Q623" s="635"/>
      <c r="R623" s="635"/>
      <c r="S623" s="634"/>
      <c r="T623" s="634"/>
      <c r="U623" s="634"/>
      <c r="V623" s="634"/>
      <c r="W623" s="634"/>
      <c r="X623" s="634"/>
      <c r="Y623" s="634"/>
      <c r="Z623" s="634"/>
      <c r="AA623" s="634"/>
    </row>
    <row r="624" ht="15.75" customHeight="1">
      <c r="A624" s="634"/>
      <c r="B624" s="634"/>
      <c r="C624" s="634"/>
      <c r="D624" s="634"/>
      <c r="E624" s="634"/>
      <c r="F624" s="634"/>
      <c r="G624" s="634"/>
      <c r="H624" s="635"/>
      <c r="I624" s="634"/>
      <c r="J624" s="636"/>
      <c r="K624" s="635"/>
      <c r="L624" s="635"/>
      <c r="M624" s="635"/>
      <c r="N624" s="635"/>
      <c r="O624" s="635"/>
      <c r="P624" s="635"/>
      <c r="Q624" s="635"/>
      <c r="R624" s="635"/>
      <c r="S624" s="634"/>
      <c r="T624" s="634"/>
      <c r="U624" s="634"/>
      <c r="V624" s="634"/>
      <c r="W624" s="634"/>
      <c r="X624" s="634"/>
      <c r="Y624" s="634"/>
      <c r="Z624" s="634"/>
      <c r="AA624" s="634"/>
    </row>
    <row r="625" ht="15.75" customHeight="1">
      <c r="A625" s="634"/>
      <c r="B625" s="634"/>
      <c r="C625" s="634"/>
      <c r="D625" s="634"/>
      <c r="E625" s="634"/>
      <c r="F625" s="634"/>
      <c r="G625" s="634"/>
      <c r="H625" s="635"/>
      <c r="I625" s="634"/>
      <c r="J625" s="636"/>
      <c r="K625" s="635"/>
      <c r="L625" s="635"/>
      <c r="M625" s="635"/>
      <c r="N625" s="635"/>
      <c r="O625" s="635"/>
      <c r="P625" s="635"/>
      <c r="Q625" s="635"/>
      <c r="R625" s="635"/>
      <c r="S625" s="634"/>
      <c r="T625" s="634"/>
      <c r="U625" s="634"/>
      <c r="V625" s="634"/>
      <c r="W625" s="634"/>
      <c r="X625" s="634"/>
      <c r="Y625" s="634"/>
      <c r="Z625" s="634"/>
      <c r="AA625" s="634"/>
    </row>
    <row r="626" ht="15.75" customHeight="1">
      <c r="A626" s="634"/>
      <c r="B626" s="634"/>
      <c r="C626" s="634"/>
      <c r="D626" s="634"/>
      <c r="E626" s="634"/>
      <c r="F626" s="634"/>
      <c r="G626" s="634"/>
      <c r="H626" s="635"/>
      <c r="I626" s="634"/>
      <c r="J626" s="636"/>
      <c r="K626" s="635"/>
      <c r="L626" s="635"/>
      <c r="M626" s="635"/>
      <c r="N626" s="635"/>
      <c r="O626" s="635"/>
      <c r="P626" s="635"/>
      <c r="Q626" s="635"/>
      <c r="R626" s="635"/>
      <c r="S626" s="634"/>
      <c r="T626" s="634"/>
      <c r="U626" s="634"/>
      <c r="V626" s="634"/>
      <c r="W626" s="634"/>
      <c r="X626" s="634"/>
      <c r="Y626" s="634"/>
      <c r="Z626" s="634"/>
      <c r="AA626" s="634"/>
    </row>
    <row r="627" ht="15.75" customHeight="1">
      <c r="A627" s="634"/>
      <c r="B627" s="634"/>
      <c r="C627" s="634"/>
      <c r="D627" s="634"/>
      <c r="E627" s="634"/>
      <c r="F627" s="634"/>
      <c r="G627" s="634"/>
      <c r="H627" s="635"/>
      <c r="I627" s="634"/>
      <c r="J627" s="636"/>
      <c r="K627" s="635"/>
      <c r="L627" s="635"/>
      <c r="M627" s="635"/>
      <c r="N627" s="635"/>
      <c r="O627" s="635"/>
      <c r="P627" s="635"/>
      <c r="Q627" s="635"/>
      <c r="R627" s="635"/>
      <c r="S627" s="634"/>
      <c r="T627" s="634"/>
      <c r="U627" s="634"/>
      <c r="V627" s="634"/>
      <c r="W627" s="634"/>
      <c r="X627" s="634"/>
      <c r="Y627" s="634"/>
      <c r="Z627" s="634"/>
      <c r="AA627" s="634"/>
    </row>
    <row r="628" ht="15.75" customHeight="1">
      <c r="A628" s="634"/>
      <c r="B628" s="634"/>
      <c r="C628" s="634"/>
      <c r="D628" s="634"/>
      <c r="E628" s="634"/>
      <c r="F628" s="634"/>
      <c r="G628" s="634"/>
      <c r="H628" s="635"/>
      <c r="I628" s="634"/>
      <c r="J628" s="636"/>
      <c r="K628" s="635"/>
      <c r="L628" s="635"/>
      <c r="M628" s="635"/>
      <c r="N628" s="635"/>
      <c r="O628" s="635"/>
      <c r="P628" s="635"/>
      <c r="Q628" s="635"/>
      <c r="R628" s="635"/>
      <c r="S628" s="634"/>
      <c r="T628" s="634"/>
      <c r="U628" s="634"/>
      <c r="V628" s="634"/>
      <c r="W628" s="634"/>
      <c r="X628" s="634"/>
      <c r="Y628" s="634"/>
      <c r="Z628" s="634"/>
      <c r="AA628" s="634"/>
    </row>
    <row r="629" ht="15.75" customHeight="1">
      <c r="A629" s="634"/>
      <c r="B629" s="634"/>
      <c r="C629" s="634"/>
      <c r="D629" s="634"/>
      <c r="E629" s="634"/>
      <c r="F629" s="634"/>
      <c r="G629" s="634"/>
      <c r="H629" s="635"/>
      <c r="I629" s="634"/>
      <c r="J629" s="636"/>
      <c r="K629" s="635"/>
      <c r="L629" s="635"/>
      <c r="M629" s="635"/>
      <c r="N629" s="635"/>
      <c r="O629" s="635"/>
      <c r="P629" s="635"/>
      <c r="Q629" s="635"/>
      <c r="R629" s="635"/>
      <c r="S629" s="634"/>
      <c r="T629" s="634"/>
      <c r="U629" s="634"/>
      <c r="V629" s="634"/>
      <c r="W629" s="634"/>
      <c r="X629" s="634"/>
      <c r="Y629" s="634"/>
      <c r="Z629" s="634"/>
      <c r="AA629" s="634"/>
    </row>
    <row r="630" ht="15.75" customHeight="1">
      <c r="A630" s="634"/>
      <c r="B630" s="634"/>
      <c r="C630" s="634"/>
      <c r="D630" s="634"/>
      <c r="E630" s="634"/>
      <c r="F630" s="634"/>
      <c r="G630" s="634"/>
      <c r="H630" s="635"/>
      <c r="I630" s="634"/>
      <c r="J630" s="636"/>
      <c r="K630" s="635"/>
      <c r="L630" s="635"/>
      <c r="M630" s="635"/>
      <c r="N630" s="635"/>
      <c r="O630" s="635"/>
      <c r="P630" s="635"/>
      <c r="Q630" s="635"/>
      <c r="R630" s="635"/>
      <c r="S630" s="634"/>
      <c r="T630" s="634"/>
      <c r="U630" s="634"/>
      <c r="V630" s="634"/>
      <c r="W630" s="634"/>
      <c r="X630" s="634"/>
      <c r="Y630" s="634"/>
      <c r="Z630" s="634"/>
      <c r="AA630" s="634"/>
    </row>
    <row r="631" ht="15.75" customHeight="1">
      <c r="A631" s="634"/>
      <c r="B631" s="634"/>
      <c r="C631" s="634"/>
      <c r="D631" s="634"/>
      <c r="E631" s="634"/>
      <c r="F631" s="634"/>
      <c r="G631" s="634"/>
      <c r="H631" s="635"/>
      <c r="I631" s="634"/>
      <c r="J631" s="636"/>
      <c r="K631" s="635"/>
      <c r="L631" s="635"/>
      <c r="M631" s="635"/>
      <c r="N631" s="635"/>
      <c r="O631" s="635"/>
      <c r="P631" s="635"/>
      <c r="Q631" s="635"/>
      <c r="R631" s="635"/>
      <c r="S631" s="634"/>
      <c r="T631" s="634"/>
      <c r="U631" s="634"/>
      <c r="V631" s="634"/>
      <c r="W631" s="634"/>
      <c r="X631" s="634"/>
      <c r="Y631" s="634"/>
      <c r="Z631" s="634"/>
      <c r="AA631" s="634"/>
    </row>
    <row r="632" ht="15.75" customHeight="1">
      <c r="A632" s="634"/>
      <c r="B632" s="634"/>
      <c r="C632" s="634"/>
      <c r="D632" s="634"/>
      <c r="E632" s="634"/>
      <c r="F632" s="634"/>
      <c r="G632" s="634"/>
      <c r="H632" s="635"/>
      <c r="I632" s="634"/>
      <c r="J632" s="636"/>
      <c r="K632" s="635"/>
      <c r="L632" s="635"/>
      <c r="M632" s="635"/>
      <c r="N632" s="635"/>
      <c r="O632" s="635"/>
      <c r="P632" s="635"/>
      <c r="Q632" s="635"/>
      <c r="R632" s="635"/>
      <c r="S632" s="634"/>
      <c r="T632" s="634"/>
      <c r="U632" s="634"/>
      <c r="V632" s="634"/>
      <c r="W632" s="634"/>
      <c r="X632" s="634"/>
      <c r="Y632" s="634"/>
      <c r="Z632" s="634"/>
      <c r="AA632" s="634"/>
    </row>
    <row r="633" ht="15.75" customHeight="1">
      <c r="A633" s="634"/>
      <c r="B633" s="634"/>
      <c r="C633" s="634"/>
      <c r="D633" s="634"/>
      <c r="E633" s="634"/>
      <c r="F633" s="634"/>
      <c r="G633" s="634"/>
      <c r="H633" s="635"/>
      <c r="I633" s="634"/>
      <c r="J633" s="636"/>
      <c r="K633" s="635"/>
      <c r="L633" s="635"/>
      <c r="M633" s="635"/>
      <c r="N633" s="635"/>
      <c r="O633" s="635"/>
      <c r="P633" s="635"/>
      <c r="Q633" s="635"/>
      <c r="R633" s="635"/>
      <c r="S633" s="634"/>
      <c r="T633" s="634"/>
      <c r="U633" s="634"/>
      <c r="V633" s="634"/>
      <c r="W633" s="634"/>
      <c r="X633" s="634"/>
      <c r="Y633" s="634"/>
      <c r="Z633" s="634"/>
      <c r="AA633" s="634"/>
    </row>
    <row r="634" ht="15.75" customHeight="1">
      <c r="A634" s="634"/>
      <c r="B634" s="634"/>
      <c r="C634" s="634"/>
      <c r="D634" s="634"/>
      <c r="E634" s="634"/>
      <c r="F634" s="634"/>
      <c r="G634" s="634"/>
      <c r="H634" s="635"/>
      <c r="I634" s="634"/>
      <c r="J634" s="636"/>
      <c r="K634" s="635"/>
      <c r="L634" s="635"/>
      <c r="M634" s="635"/>
      <c r="N634" s="635"/>
      <c r="O634" s="635"/>
      <c r="P634" s="635"/>
      <c r="Q634" s="635"/>
      <c r="R634" s="635"/>
      <c r="S634" s="634"/>
      <c r="T634" s="634"/>
      <c r="U634" s="634"/>
      <c r="V634" s="634"/>
      <c r="W634" s="634"/>
      <c r="X634" s="634"/>
      <c r="Y634" s="634"/>
      <c r="Z634" s="634"/>
      <c r="AA634" s="634"/>
    </row>
    <row r="635" ht="15.75" customHeight="1">
      <c r="A635" s="634"/>
      <c r="B635" s="634"/>
      <c r="C635" s="634"/>
      <c r="D635" s="634"/>
      <c r="E635" s="634"/>
      <c r="F635" s="634"/>
      <c r="G635" s="634"/>
      <c r="H635" s="635"/>
      <c r="I635" s="634"/>
      <c r="J635" s="636"/>
      <c r="K635" s="635"/>
      <c r="L635" s="635"/>
      <c r="M635" s="635"/>
      <c r="N635" s="635"/>
      <c r="O635" s="635"/>
      <c r="P635" s="635"/>
      <c r="Q635" s="635"/>
      <c r="R635" s="635"/>
      <c r="S635" s="634"/>
      <c r="T635" s="634"/>
      <c r="U635" s="634"/>
      <c r="V635" s="634"/>
      <c r="W635" s="634"/>
      <c r="X635" s="634"/>
      <c r="Y635" s="634"/>
      <c r="Z635" s="634"/>
      <c r="AA635" s="634"/>
    </row>
    <row r="636" ht="15.75" customHeight="1">
      <c r="A636" s="634"/>
      <c r="B636" s="634"/>
      <c r="C636" s="634"/>
      <c r="D636" s="634"/>
      <c r="E636" s="634"/>
      <c r="F636" s="634"/>
      <c r="G636" s="634"/>
      <c r="H636" s="635"/>
      <c r="I636" s="634"/>
      <c r="J636" s="636"/>
      <c r="K636" s="635"/>
      <c r="L636" s="635"/>
      <c r="M636" s="635"/>
      <c r="N636" s="635"/>
      <c r="O636" s="635"/>
      <c r="P636" s="635"/>
      <c r="Q636" s="635"/>
      <c r="R636" s="635"/>
      <c r="S636" s="634"/>
      <c r="T636" s="634"/>
      <c r="U636" s="634"/>
      <c r="V636" s="634"/>
      <c r="W636" s="634"/>
      <c r="X636" s="634"/>
      <c r="Y636" s="634"/>
      <c r="Z636" s="634"/>
      <c r="AA636" s="634"/>
    </row>
    <row r="637" ht="15.75" customHeight="1">
      <c r="A637" s="634"/>
      <c r="B637" s="634"/>
      <c r="C637" s="634"/>
      <c r="D637" s="634"/>
      <c r="E637" s="634"/>
      <c r="F637" s="634"/>
      <c r="G637" s="634"/>
      <c r="H637" s="635"/>
      <c r="I637" s="634"/>
      <c r="J637" s="636"/>
      <c r="K637" s="635"/>
      <c r="L637" s="635"/>
      <c r="M637" s="635"/>
      <c r="N637" s="635"/>
      <c r="O637" s="635"/>
      <c r="P637" s="635"/>
      <c r="Q637" s="635"/>
      <c r="R637" s="635"/>
      <c r="S637" s="634"/>
      <c r="T637" s="634"/>
      <c r="U637" s="634"/>
      <c r="V637" s="634"/>
      <c r="W637" s="634"/>
      <c r="X637" s="634"/>
      <c r="Y637" s="634"/>
      <c r="Z637" s="634"/>
      <c r="AA637" s="634"/>
    </row>
    <row r="638" ht="15.75" customHeight="1">
      <c r="A638" s="634"/>
      <c r="B638" s="634"/>
      <c r="C638" s="634"/>
      <c r="D638" s="634"/>
      <c r="E638" s="634"/>
      <c r="F638" s="634"/>
      <c r="G638" s="634"/>
      <c r="H638" s="635"/>
      <c r="I638" s="634"/>
      <c r="J638" s="636"/>
      <c r="K638" s="635"/>
      <c r="L638" s="635"/>
      <c r="M638" s="635"/>
      <c r="N638" s="635"/>
      <c r="O638" s="635"/>
      <c r="P638" s="635"/>
      <c r="Q638" s="635"/>
      <c r="R638" s="635"/>
      <c r="S638" s="634"/>
      <c r="T638" s="634"/>
      <c r="U638" s="634"/>
      <c r="V638" s="634"/>
      <c r="W638" s="634"/>
      <c r="X638" s="634"/>
      <c r="Y638" s="634"/>
      <c r="Z638" s="634"/>
      <c r="AA638" s="634"/>
    </row>
    <row r="639" ht="15.75" customHeight="1">
      <c r="A639" s="634"/>
      <c r="B639" s="634"/>
      <c r="C639" s="634"/>
      <c r="D639" s="634"/>
      <c r="E639" s="634"/>
      <c r="F639" s="634"/>
      <c r="G639" s="634"/>
      <c r="H639" s="635"/>
      <c r="I639" s="634"/>
      <c r="J639" s="636"/>
      <c r="K639" s="635"/>
      <c r="L639" s="635"/>
      <c r="M639" s="635"/>
      <c r="N639" s="635"/>
      <c r="O639" s="635"/>
      <c r="P639" s="635"/>
      <c r="Q639" s="635"/>
      <c r="R639" s="635"/>
      <c r="S639" s="634"/>
      <c r="T639" s="634"/>
      <c r="U639" s="634"/>
      <c r="V639" s="634"/>
      <c r="W639" s="634"/>
      <c r="X639" s="634"/>
      <c r="Y639" s="634"/>
      <c r="Z639" s="634"/>
      <c r="AA639" s="634"/>
    </row>
    <row r="640" ht="15.75" customHeight="1">
      <c r="A640" s="634"/>
      <c r="B640" s="634"/>
      <c r="C640" s="634"/>
      <c r="D640" s="634"/>
      <c r="E640" s="634"/>
      <c r="F640" s="634"/>
      <c r="G640" s="634"/>
      <c r="H640" s="635"/>
      <c r="I640" s="634"/>
      <c r="J640" s="636"/>
      <c r="K640" s="635"/>
      <c r="L640" s="635"/>
      <c r="M640" s="635"/>
      <c r="N640" s="635"/>
      <c r="O640" s="635"/>
      <c r="P640" s="635"/>
      <c r="Q640" s="635"/>
      <c r="R640" s="635"/>
      <c r="S640" s="634"/>
      <c r="T640" s="634"/>
      <c r="U640" s="634"/>
      <c r="V640" s="634"/>
      <c r="W640" s="634"/>
      <c r="X640" s="634"/>
      <c r="Y640" s="634"/>
      <c r="Z640" s="634"/>
      <c r="AA640" s="634"/>
    </row>
    <row r="641" ht="15.75" customHeight="1">
      <c r="A641" s="634"/>
      <c r="B641" s="634"/>
      <c r="C641" s="634"/>
      <c r="D641" s="634"/>
      <c r="E641" s="634"/>
      <c r="F641" s="634"/>
      <c r="G641" s="634"/>
      <c r="H641" s="635"/>
      <c r="I641" s="634"/>
      <c r="J641" s="636"/>
      <c r="K641" s="635"/>
      <c r="L641" s="635"/>
      <c r="M641" s="635"/>
      <c r="N641" s="635"/>
      <c r="O641" s="635"/>
      <c r="P641" s="635"/>
      <c r="Q641" s="635"/>
      <c r="R641" s="635"/>
      <c r="S641" s="634"/>
      <c r="T641" s="634"/>
      <c r="U641" s="634"/>
      <c r="V641" s="634"/>
      <c r="W641" s="634"/>
      <c r="X641" s="634"/>
      <c r="Y641" s="634"/>
      <c r="Z641" s="634"/>
      <c r="AA641" s="634"/>
    </row>
    <row r="642" ht="15.75" customHeight="1">
      <c r="A642" s="634"/>
      <c r="B642" s="634"/>
      <c r="C642" s="634"/>
      <c r="D642" s="634"/>
      <c r="E642" s="634"/>
      <c r="F642" s="634"/>
      <c r="G642" s="634"/>
      <c r="H642" s="635"/>
      <c r="I642" s="634"/>
      <c r="J642" s="636"/>
      <c r="K642" s="635"/>
      <c r="L642" s="635"/>
      <c r="M642" s="635"/>
      <c r="N642" s="635"/>
      <c r="O642" s="635"/>
      <c r="P642" s="635"/>
      <c r="Q642" s="635"/>
      <c r="R642" s="635"/>
      <c r="S642" s="634"/>
      <c r="T642" s="634"/>
      <c r="U642" s="634"/>
      <c r="V642" s="634"/>
      <c r="W642" s="634"/>
      <c r="X642" s="634"/>
      <c r="Y642" s="634"/>
      <c r="Z642" s="634"/>
      <c r="AA642" s="634"/>
    </row>
    <row r="643" ht="15.75" customHeight="1">
      <c r="A643" s="634"/>
      <c r="B643" s="634"/>
      <c r="C643" s="634"/>
      <c r="D643" s="634"/>
      <c r="E643" s="634"/>
      <c r="F643" s="634"/>
      <c r="G643" s="634"/>
      <c r="H643" s="635"/>
      <c r="I643" s="634"/>
      <c r="J643" s="636"/>
      <c r="K643" s="635"/>
      <c r="L643" s="635"/>
      <c r="M643" s="635"/>
      <c r="N643" s="635"/>
      <c r="O643" s="635"/>
      <c r="P643" s="635"/>
      <c r="Q643" s="635"/>
      <c r="R643" s="635"/>
      <c r="S643" s="634"/>
      <c r="T643" s="634"/>
      <c r="U643" s="634"/>
      <c r="V643" s="634"/>
      <c r="W643" s="634"/>
      <c r="X643" s="634"/>
      <c r="Y643" s="634"/>
      <c r="Z643" s="634"/>
      <c r="AA643" s="634"/>
    </row>
    <row r="644" ht="15.75" customHeight="1">
      <c r="A644" s="634"/>
      <c r="B644" s="634"/>
      <c r="C644" s="634"/>
      <c r="D644" s="634"/>
      <c r="E644" s="634"/>
      <c r="F644" s="634"/>
      <c r="G644" s="634"/>
      <c r="H644" s="635"/>
      <c r="I644" s="634"/>
      <c r="J644" s="636"/>
      <c r="K644" s="635"/>
      <c r="L644" s="635"/>
      <c r="M644" s="635"/>
      <c r="N644" s="635"/>
      <c r="O644" s="635"/>
      <c r="P644" s="635"/>
      <c r="Q644" s="635"/>
      <c r="R644" s="635"/>
      <c r="S644" s="634"/>
      <c r="T644" s="634"/>
      <c r="U644" s="634"/>
      <c r="V644" s="634"/>
      <c r="W644" s="634"/>
      <c r="X644" s="634"/>
      <c r="Y644" s="634"/>
      <c r="Z644" s="634"/>
      <c r="AA644" s="634"/>
    </row>
    <row r="645" ht="15.75" customHeight="1">
      <c r="A645" s="634"/>
      <c r="B645" s="634"/>
      <c r="C645" s="634"/>
      <c r="D645" s="634"/>
      <c r="E645" s="634"/>
      <c r="F645" s="634"/>
      <c r="G645" s="634"/>
      <c r="H645" s="635"/>
      <c r="I645" s="634"/>
      <c r="J645" s="636"/>
      <c r="K645" s="635"/>
      <c r="L645" s="635"/>
      <c r="M645" s="635"/>
      <c r="N645" s="635"/>
      <c r="O645" s="635"/>
      <c r="P645" s="635"/>
      <c r="Q645" s="635"/>
      <c r="R645" s="635"/>
      <c r="S645" s="634"/>
      <c r="T645" s="634"/>
      <c r="U645" s="634"/>
      <c r="V645" s="634"/>
      <c r="W645" s="634"/>
      <c r="X645" s="634"/>
      <c r="Y645" s="634"/>
      <c r="Z645" s="634"/>
      <c r="AA645" s="634"/>
    </row>
    <row r="646" ht="15.75" customHeight="1">
      <c r="A646" s="634"/>
      <c r="B646" s="634"/>
      <c r="C646" s="634"/>
      <c r="D646" s="634"/>
      <c r="E646" s="634"/>
      <c r="F646" s="634"/>
      <c r="G646" s="634"/>
      <c r="H646" s="635"/>
      <c r="I646" s="634"/>
      <c r="J646" s="636"/>
      <c r="K646" s="635"/>
      <c r="L646" s="635"/>
      <c r="M646" s="635"/>
      <c r="N646" s="635"/>
      <c r="O646" s="635"/>
      <c r="P646" s="635"/>
      <c r="Q646" s="635"/>
      <c r="R646" s="635"/>
      <c r="S646" s="634"/>
      <c r="T646" s="634"/>
      <c r="U646" s="634"/>
      <c r="V646" s="634"/>
      <c r="W646" s="634"/>
      <c r="X646" s="634"/>
      <c r="Y646" s="634"/>
      <c r="Z646" s="634"/>
      <c r="AA646" s="634"/>
    </row>
    <row r="647" ht="15.75" customHeight="1">
      <c r="A647" s="634"/>
      <c r="B647" s="634"/>
      <c r="C647" s="634"/>
      <c r="D647" s="634"/>
      <c r="E647" s="634"/>
      <c r="F647" s="634"/>
      <c r="G647" s="634"/>
      <c r="H647" s="635"/>
      <c r="I647" s="634"/>
      <c r="J647" s="636"/>
      <c r="K647" s="635"/>
      <c r="L647" s="635"/>
      <c r="M647" s="635"/>
      <c r="N647" s="635"/>
      <c r="O647" s="635"/>
      <c r="P647" s="635"/>
      <c r="Q647" s="635"/>
      <c r="R647" s="635"/>
      <c r="S647" s="634"/>
      <c r="T647" s="634"/>
      <c r="U647" s="634"/>
      <c r="V647" s="634"/>
      <c r="W647" s="634"/>
      <c r="X647" s="634"/>
      <c r="Y647" s="634"/>
      <c r="Z647" s="634"/>
      <c r="AA647" s="634"/>
    </row>
    <row r="648" ht="15.75" customHeight="1">
      <c r="A648" s="634"/>
      <c r="B648" s="634"/>
      <c r="C648" s="634"/>
      <c r="D648" s="634"/>
      <c r="E648" s="634"/>
      <c r="F648" s="634"/>
      <c r="G648" s="634"/>
      <c r="H648" s="635"/>
      <c r="I648" s="634"/>
      <c r="J648" s="636"/>
      <c r="K648" s="635"/>
      <c r="L648" s="635"/>
      <c r="M648" s="635"/>
      <c r="N648" s="635"/>
      <c r="O648" s="635"/>
      <c r="P648" s="635"/>
      <c r="Q648" s="635"/>
      <c r="R648" s="635"/>
      <c r="S648" s="634"/>
      <c r="T648" s="634"/>
      <c r="U648" s="634"/>
      <c r="V648" s="634"/>
      <c r="W648" s="634"/>
      <c r="X648" s="634"/>
      <c r="Y648" s="634"/>
      <c r="Z648" s="634"/>
      <c r="AA648" s="634"/>
    </row>
    <row r="649" ht="15.75" customHeight="1">
      <c r="A649" s="634"/>
      <c r="B649" s="634"/>
      <c r="C649" s="634"/>
      <c r="D649" s="634"/>
      <c r="E649" s="634"/>
      <c r="F649" s="634"/>
      <c r="G649" s="634"/>
      <c r="H649" s="635"/>
      <c r="I649" s="634"/>
      <c r="J649" s="636"/>
      <c r="K649" s="635"/>
      <c r="L649" s="635"/>
      <c r="M649" s="635"/>
      <c r="N649" s="635"/>
      <c r="O649" s="635"/>
      <c r="P649" s="635"/>
      <c r="Q649" s="635"/>
      <c r="R649" s="635"/>
      <c r="S649" s="634"/>
      <c r="T649" s="634"/>
      <c r="U649" s="634"/>
      <c r="V649" s="634"/>
      <c r="W649" s="634"/>
      <c r="X649" s="634"/>
      <c r="Y649" s="634"/>
      <c r="Z649" s="634"/>
      <c r="AA649" s="634"/>
    </row>
    <row r="650" ht="15.75" customHeight="1">
      <c r="A650" s="634"/>
      <c r="B650" s="634"/>
      <c r="C650" s="634"/>
      <c r="D650" s="634"/>
      <c r="E650" s="634"/>
      <c r="F650" s="634"/>
      <c r="G650" s="634"/>
      <c r="H650" s="635"/>
      <c r="I650" s="634"/>
      <c r="J650" s="636"/>
      <c r="K650" s="635"/>
      <c r="L650" s="635"/>
      <c r="M650" s="635"/>
      <c r="N650" s="635"/>
      <c r="O650" s="635"/>
      <c r="P650" s="635"/>
      <c r="Q650" s="635"/>
      <c r="R650" s="635"/>
      <c r="S650" s="634"/>
      <c r="T650" s="634"/>
      <c r="U650" s="634"/>
      <c r="V650" s="634"/>
      <c r="W650" s="634"/>
      <c r="X650" s="634"/>
      <c r="Y650" s="634"/>
      <c r="Z650" s="634"/>
      <c r="AA650" s="634"/>
    </row>
    <row r="651" ht="15.75" customHeight="1">
      <c r="A651" s="634"/>
      <c r="B651" s="634"/>
      <c r="C651" s="634"/>
      <c r="D651" s="634"/>
      <c r="E651" s="634"/>
      <c r="F651" s="634"/>
      <c r="G651" s="634"/>
      <c r="H651" s="635"/>
      <c r="I651" s="634"/>
      <c r="J651" s="636"/>
      <c r="K651" s="635"/>
      <c r="L651" s="635"/>
      <c r="M651" s="635"/>
      <c r="N651" s="635"/>
      <c r="O651" s="635"/>
      <c r="P651" s="635"/>
      <c r="Q651" s="635"/>
      <c r="R651" s="635"/>
      <c r="S651" s="634"/>
      <c r="T651" s="634"/>
      <c r="U651" s="634"/>
      <c r="V651" s="634"/>
      <c r="W651" s="634"/>
      <c r="X651" s="634"/>
      <c r="Y651" s="634"/>
      <c r="Z651" s="634"/>
      <c r="AA651" s="634"/>
    </row>
    <row r="652" ht="15.75" customHeight="1">
      <c r="A652" s="634"/>
      <c r="B652" s="634"/>
      <c r="C652" s="634"/>
      <c r="D652" s="634"/>
      <c r="E652" s="634"/>
      <c r="F652" s="634"/>
      <c r="G652" s="634"/>
      <c r="H652" s="635"/>
      <c r="I652" s="634"/>
      <c r="J652" s="636"/>
      <c r="K652" s="635"/>
      <c r="L652" s="635"/>
      <c r="M652" s="635"/>
      <c r="N652" s="635"/>
      <c r="O652" s="635"/>
      <c r="P652" s="635"/>
      <c r="Q652" s="635"/>
      <c r="R652" s="635"/>
      <c r="S652" s="634"/>
      <c r="T652" s="634"/>
      <c r="U652" s="634"/>
      <c r="V652" s="634"/>
      <c r="W652" s="634"/>
      <c r="X652" s="634"/>
      <c r="Y652" s="634"/>
      <c r="Z652" s="634"/>
      <c r="AA652" s="634"/>
    </row>
    <row r="653" ht="15.75" customHeight="1">
      <c r="A653" s="634"/>
      <c r="B653" s="634"/>
      <c r="C653" s="634"/>
      <c r="D653" s="634"/>
      <c r="E653" s="634"/>
      <c r="F653" s="634"/>
      <c r="G653" s="634"/>
      <c r="H653" s="635"/>
      <c r="I653" s="634"/>
      <c r="J653" s="636"/>
      <c r="K653" s="635"/>
      <c r="L653" s="635"/>
      <c r="M653" s="635"/>
      <c r="N653" s="635"/>
      <c r="O653" s="635"/>
      <c r="P653" s="635"/>
      <c r="Q653" s="635"/>
      <c r="R653" s="635"/>
      <c r="S653" s="634"/>
      <c r="T653" s="634"/>
      <c r="U653" s="634"/>
      <c r="V653" s="634"/>
      <c r="W653" s="634"/>
      <c r="X653" s="634"/>
      <c r="Y653" s="634"/>
      <c r="Z653" s="634"/>
      <c r="AA653" s="634"/>
    </row>
    <row r="654" ht="15.75" customHeight="1">
      <c r="A654" s="634"/>
      <c r="B654" s="634"/>
      <c r="C654" s="634"/>
      <c r="D654" s="634"/>
      <c r="E654" s="634"/>
      <c r="F654" s="634"/>
      <c r="G654" s="634"/>
      <c r="H654" s="635"/>
      <c r="I654" s="634"/>
      <c r="J654" s="636"/>
      <c r="K654" s="635"/>
      <c r="L654" s="635"/>
      <c r="M654" s="635"/>
      <c r="N654" s="635"/>
      <c r="O654" s="635"/>
      <c r="P654" s="635"/>
      <c r="Q654" s="635"/>
      <c r="R654" s="635"/>
      <c r="S654" s="634"/>
      <c r="T654" s="634"/>
      <c r="U654" s="634"/>
      <c r="V654" s="634"/>
      <c r="W654" s="634"/>
      <c r="X654" s="634"/>
      <c r="Y654" s="634"/>
      <c r="Z654" s="634"/>
      <c r="AA654" s="634"/>
    </row>
    <row r="655" ht="15.75" customHeight="1">
      <c r="A655" s="634"/>
      <c r="B655" s="634"/>
      <c r="C655" s="634"/>
      <c r="D655" s="634"/>
      <c r="E655" s="634"/>
      <c r="F655" s="634"/>
      <c r="G655" s="634"/>
      <c r="H655" s="635"/>
      <c r="I655" s="634"/>
      <c r="J655" s="636"/>
      <c r="K655" s="635"/>
      <c r="L655" s="635"/>
      <c r="M655" s="635"/>
      <c r="N655" s="635"/>
      <c r="O655" s="635"/>
      <c r="P655" s="635"/>
      <c r="Q655" s="635"/>
      <c r="R655" s="635"/>
      <c r="S655" s="634"/>
      <c r="T655" s="634"/>
      <c r="U655" s="634"/>
      <c r="V655" s="634"/>
      <c r="W655" s="634"/>
      <c r="X655" s="634"/>
      <c r="Y655" s="634"/>
      <c r="Z655" s="634"/>
      <c r="AA655" s="634"/>
    </row>
    <row r="656" ht="15.75" customHeight="1">
      <c r="A656" s="634"/>
      <c r="B656" s="634"/>
      <c r="C656" s="634"/>
      <c r="D656" s="634"/>
      <c r="E656" s="634"/>
      <c r="F656" s="634"/>
      <c r="G656" s="634"/>
      <c r="H656" s="635"/>
      <c r="I656" s="634"/>
      <c r="J656" s="636"/>
      <c r="K656" s="635"/>
      <c r="L656" s="635"/>
      <c r="M656" s="635"/>
      <c r="N656" s="635"/>
      <c r="O656" s="635"/>
      <c r="P656" s="635"/>
      <c r="Q656" s="635"/>
      <c r="R656" s="635"/>
      <c r="S656" s="634"/>
      <c r="T656" s="634"/>
      <c r="U656" s="634"/>
      <c r="V656" s="634"/>
      <c r="W656" s="634"/>
      <c r="X656" s="634"/>
      <c r="Y656" s="634"/>
      <c r="Z656" s="634"/>
      <c r="AA656" s="634"/>
    </row>
    <row r="657" ht="15.75" customHeight="1">
      <c r="A657" s="634"/>
      <c r="B657" s="634"/>
      <c r="C657" s="634"/>
      <c r="D657" s="634"/>
      <c r="E657" s="634"/>
      <c r="F657" s="634"/>
      <c r="G657" s="634"/>
      <c r="H657" s="635"/>
      <c r="I657" s="634"/>
      <c r="J657" s="636"/>
      <c r="K657" s="635"/>
      <c r="L657" s="635"/>
      <c r="M657" s="635"/>
      <c r="N657" s="635"/>
      <c r="O657" s="635"/>
      <c r="P657" s="635"/>
      <c r="Q657" s="635"/>
      <c r="R657" s="635"/>
      <c r="S657" s="634"/>
      <c r="T657" s="634"/>
      <c r="U657" s="634"/>
      <c r="V657" s="634"/>
      <c r="W657" s="634"/>
      <c r="X657" s="634"/>
      <c r="Y657" s="634"/>
      <c r="Z657" s="634"/>
      <c r="AA657" s="634"/>
    </row>
    <row r="658" ht="15.75" customHeight="1">
      <c r="A658" s="634"/>
      <c r="B658" s="634"/>
      <c r="C658" s="634"/>
      <c r="D658" s="634"/>
      <c r="E658" s="634"/>
      <c r="F658" s="634"/>
      <c r="G658" s="634"/>
      <c r="H658" s="635"/>
      <c r="I658" s="634"/>
      <c r="J658" s="636"/>
      <c r="K658" s="635"/>
      <c r="L658" s="635"/>
      <c r="M658" s="635"/>
      <c r="N658" s="635"/>
      <c r="O658" s="635"/>
      <c r="P658" s="635"/>
      <c r="Q658" s="635"/>
      <c r="R658" s="635"/>
      <c r="S658" s="634"/>
      <c r="T658" s="634"/>
      <c r="U658" s="634"/>
      <c r="V658" s="634"/>
      <c r="W658" s="634"/>
      <c r="X658" s="634"/>
      <c r="Y658" s="634"/>
      <c r="Z658" s="634"/>
      <c r="AA658" s="634"/>
    </row>
    <row r="659" ht="15.75" customHeight="1">
      <c r="A659" s="634"/>
      <c r="B659" s="634"/>
      <c r="C659" s="634"/>
      <c r="D659" s="634"/>
      <c r="E659" s="634"/>
      <c r="F659" s="634"/>
      <c r="G659" s="634"/>
      <c r="H659" s="635"/>
      <c r="I659" s="634"/>
      <c r="J659" s="636"/>
      <c r="K659" s="635"/>
      <c r="L659" s="635"/>
      <c r="M659" s="635"/>
      <c r="N659" s="635"/>
      <c r="O659" s="635"/>
      <c r="P659" s="635"/>
      <c r="Q659" s="635"/>
      <c r="R659" s="635"/>
      <c r="S659" s="634"/>
      <c r="T659" s="634"/>
      <c r="U659" s="634"/>
      <c r="V659" s="634"/>
      <c r="W659" s="634"/>
      <c r="X659" s="634"/>
      <c r="Y659" s="634"/>
      <c r="Z659" s="634"/>
      <c r="AA659" s="634"/>
    </row>
    <row r="660" ht="15.75" customHeight="1">
      <c r="A660" s="634"/>
      <c r="B660" s="634"/>
      <c r="C660" s="634"/>
      <c r="D660" s="634"/>
      <c r="E660" s="634"/>
      <c r="F660" s="634"/>
      <c r="G660" s="634"/>
      <c r="H660" s="635"/>
      <c r="I660" s="634"/>
      <c r="J660" s="636"/>
      <c r="K660" s="635"/>
      <c r="L660" s="635"/>
      <c r="M660" s="635"/>
      <c r="N660" s="635"/>
      <c r="O660" s="635"/>
      <c r="P660" s="635"/>
      <c r="Q660" s="635"/>
      <c r="R660" s="635"/>
      <c r="S660" s="634"/>
      <c r="T660" s="634"/>
      <c r="U660" s="634"/>
      <c r="V660" s="634"/>
      <c r="W660" s="634"/>
      <c r="X660" s="634"/>
      <c r="Y660" s="634"/>
      <c r="Z660" s="634"/>
      <c r="AA660" s="634"/>
    </row>
    <row r="661" ht="15.75" customHeight="1">
      <c r="A661" s="634"/>
      <c r="B661" s="634"/>
      <c r="C661" s="634"/>
      <c r="D661" s="634"/>
      <c r="E661" s="634"/>
      <c r="F661" s="634"/>
      <c r="G661" s="634"/>
      <c r="H661" s="635"/>
      <c r="I661" s="634"/>
      <c r="J661" s="636"/>
      <c r="K661" s="635"/>
      <c r="L661" s="635"/>
      <c r="M661" s="635"/>
      <c r="N661" s="635"/>
      <c r="O661" s="635"/>
      <c r="P661" s="635"/>
      <c r="Q661" s="635"/>
      <c r="R661" s="635"/>
      <c r="S661" s="634"/>
      <c r="T661" s="634"/>
      <c r="U661" s="634"/>
      <c r="V661" s="634"/>
      <c r="W661" s="634"/>
      <c r="X661" s="634"/>
      <c r="Y661" s="634"/>
      <c r="Z661" s="634"/>
      <c r="AA661" s="634"/>
    </row>
    <row r="662" ht="15.75" customHeight="1">
      <c r="A662" s="634"/>
      <c r="B662" s="634"/>
      <c r="C662" s="634"/>
      <c r="D662" s="634"/>
      <c r="E662" s="634"/>
      <c r="F662" s="634"/>
      <c r="G662" s="634"/>
      <c r="H662" s="635"/>
      <c r="I662" s="634"/>
      <c r="J662" s="636"/>
      <c r="K662" s="635"/>
      <c r="L662" s="635"/>
      <c r="M662" s="635"/>
      <c r="N662" s="635"/>
      <c r="O662" s="635"/>
      <c r="P662" s="635"/>
      <c r="Q662" s="635"/>
      <c r="R662" s="635"/>
      <c r="S662" s="634"/>
      <c r="T662" s="634"/>
      <c r="U662" s="634"/>
      <c r="V662" s="634"/>
      <c r="W662" s="634"/>
      <c r="X662" s="634"/>
      <c r="Y662" s="634"/>
      <c r="Z662" s="634"/>
      <c r="AA662" s="634"/>
    </row>
    <row r="663" ht="15.75" customHeight="1">
      <c r="A663" s="634"/>
      <c r="B663" s="634"/>
      <c r="C663" s="634"/>
      <c r="D663" s="634"/>
      <c r="E663" s="634"/>
      <c r="F663" s="634"/>
      <c r="G663" s="634"/>
      <c r="H663" s="635"/>
      <c r="I663" s="634"/>
      <c r="J663" s="636"/>
      <c r="K663" s="635"/>
      <c r="L663" s="635"/>
      <c r="M663" s="635"/>
      <c r="N663" s="635"/>
      <c r="O663" s="635"/>
      <c r="P663" s="635"/>
      <c r="Q663" s="635"/>
      <c r="R663" s="635"/>
      <c r="S663" s="634"/>
      <c r="T663" s="634"/>
      <c r="U663" s="634"/>
      <c r="V663" s="634"/>
      <c r="W663" s="634"/>
      <c r="X663" s="634"/>
      <c r="Y663" s="634"/>
      <c r="Z663" s="634"/>
      <c r="AA663" s="634"/>
    </row>
    <row r="664" ht="15.75" customHeight="1">
      <c r="A664" s="634"/>
      <c r="B664" s="634"/>
      <c r="C664" s="634"/>
      <c r="D664" s="634"/>
      <c r="E664" s="634"/>
      <c r="F664" s="634"/>
      <c r="G664" s="634"/>
      <c r="H664" s="635"/>
      <c r="I664" s="634"/>
      <c r="J664" s="636"/>
      <c r="K664" s="635"/>
      <c r="L664" s="635"/>
      <c r="M664" s="635"/>
      <c r="N664" s="635"/>
      <c r="O664" s="635"/>
      <c r="P664" s="635"/>
      <c r="Q664" s="635"/>
      <c r="R664" s="635"/>
      <c r="S664" s="634"/>
      <c r="T664" s="634"/>
      <c r="U664" s="634"/>
      <c r="V664" s="634"/>
      <c r="W664" s="634"/>
      <c r="X664" s="634"/>
      <c r="Y664" s="634"/>
      <c r="Z664" s="634"/>
      <c r="AA664" s="634"/>
    </row>
    <row r="665" ht="15.75" customHeight="1">
      <c r="A665" s="634"/>
      <c r="B665" s="634"/>
      <c r="C665" s="634"/>
      <c r="D665" s="634"/>
      <c r="E665" s="634"/>
      <c r="F665" s="634"/>
      <c r="G665" s="634"/>
      <c r="H665" s="635"/>
      <c r="I665" s="634"/>
      <c r="J665" s="636"/>
      <c r="K665" s="635"/>
      <c r="L665" s="635"/>
      <c r="M665" s="635"/>
      <c r="N665" s="635"/>
      <c r="O665" s="635"/>
      <c r="P665" s="635"/>
      <c r="Q665" s="635"/>
      <c r="R665" s="635"/>
      <c r="S665" s="634"/>
      <c r="T665" s="634"/>
      <c r="U665" s="634"/>
      <c r="V665" s="634"/>
      <c r="W665" s="634"/>
      <c r="X665" s="634"/>
      <c r="Y665" s="634"/>
      <c r="Z665" s="634"/>
      <c r="AA665" s="634"/>
    </row>
    <row r="666" ht="15.75" customHeight="1">
      <c r="A666" s="634"/>
      <c r="B666" s="634"/>
      <c r="C666" s="634"/>
      <c r="D666" s="634"/>
      <c r="E666" s="634"/>
      <c r="F666" s="634"/>
      <c r="G666" s="634"/>
      <c r="H666" s="635"/>
      <c r="I666" s="634"/>
      <c r="J666" s="636"/>
      <c r="K666" s="635"/>
      <c r="L666" s="635"/>
      <c r="M666" s="635"/>
      <c r="N666" s="635"/>
      <c r="O666" s="635"/>
      <c r="P666" s="635"/>
      <c r="Q666" s="635"/>
      <c r="R666" s="635"/>
      <c r="S666" s="634"/>
      <c r="T666" s="634"/>
      <c r="U666" s="634"/>
      <c r="V666" s="634"/>
      <c r="W666" s="634"/>
      <c r="X666" s="634"/>
      <c r="Y666" s="634"/>
      <c r="Z666" s="634"/>
      <c r="AA666" s="634"/>
    </row>
    <row r="667" ht="15.75" customHeight="1">
      <c r="A667" s="634"/>
      <c r="B667" s="634"/>
      <c r="C667" s="634"/>
      <c r="D667" s="634"/>
      <c r="E667" s="634"/>
      <c r="F667" s="634"/>
      <c r="G667" s="634"/>
      <c r="H667" s="635"/>
      <c r="I667" s="634"/>
      <c r="J667" s="636"/>
      <c r="K667" s="635"/>
      <c r="L667" s="635"/>
      <c r="M667" s="635"/>
      <c r="N667" s="635"/>
      <c r="O667" s="635"/>
      <c r="P667" s="635"/>
      <c r="Q667" s="635"/>
      <c r="R667" s="635"/>
      <c r="S667" s="634"/>
      <c r="T667" s="634"/>
      <c r="U667" s="634"/>
      <c r="V667" s="634"/>
      <c r="W667" s="634"/>
      <c r="X667" s="634"/>
      <c r="Y667" s="634"/>
      <c r="Z667" s="634"/>
      <c r="AA667" s="634"/>
    </row>
    <row r="668" ht="15.75" customHeight="1">
      <c r="A668" s="634"/>
      <c r="B668" s="634"/>
      <c r="C668" s="634"/>
      <c r="D668" s="634"/>
      <c r="E668" s="634"/>
      <c r="F668" s="634"/>
      <c r="G668" s="634"/>
      <c r="H668" s="635"/>
      <c r="I668" s="634"/>
      <c r="J668" s="636"/>
      <c r="K668" s="635"/>
      <c r="L668" s="635"/>
      <c r="M668" s="635"/>
      <c r="N668" s="635"/>
      <c r="O668" s="635"/>
      <c r="P668" s="635"/>
      <c r="Q668" s="635"/>
      <c r="R668" s="635"/>
      <c r="S668" s="634"/>
      <c r="T668" s="634"/>
      <c r="U668" s="634"/>
      <c r="V668" s="634"/>
      <c r="W668" s="634"/>
      <c r="X668" s="634"/>
      <c r="Y668" s="634"/>
      <c r="Z668" s="634"/>
      <c r="AA668" s="634"/>
    </row>
    <row r="669" ht="15.75" customHeight="1">
      <c r="A669" s="634"/>
      <c r="B669" s="634"/>
      <c r="C669" s="634"/>
      <c r="D669" s="634"/>
      <c r="E669" s="634"/>
      <c r="F669" s="634"/>
      <c r="G669" s="634"/>
      <c r="H669" s="635"/>
      <c r="I669" s="634"/>
      <c r="J669" s="636"/>
      <c r="K669" s="635"/>
      <c r="L669" s="635"/>
      <c r="M669" s="635"/>
      <c r="N669" s="635"/>
      <c r="O669" s="635"/>
      <c r="P669" s="635"/>
      <c r="Q669" s="635"/>
      <c r="R669" s="635"/>
      <c r="S669" s="634"/>
      <c r="T669" s="634"/>
      <c r="U669" s="634"/>
      <c r="V669" s="634"/>
      <c r="W669" s="634"/>
      <c r="X669" s="634"/>
      <c r="Y669" s="634"/>
      <c r="Z669" s="634"/>
      <c r="AA669" s="634"/>
    </row>
    <row r="670" ht="15.75" customHeight="1">
      <c r="A670" s="634"/>
      <c r="B670" s="634"/>
      <c r="C670" s="634"/>
      <c r="D670" s="634"/>
      <c r="E670" s="634"/>
      <c r="F670" s="634"/>
      <c r="G670" s="634"/>
      <c r="H670" s="635"/>
      <c r="I670" s="634"/>
      <c r="J670" s="636"/>
      <c r="K670" s="635"/>
      <c r="L670" s="635"/>
      <c r="M670" s="635"/>
      <c r="N670" s="635"/>
      <c r="O670" s="635"/>
      <c r="P670" s="635"/>
      <c r="Q670" s="635"/>
      <c r="R670" s="635"/>
      <c r="S670" s="634"/>
      <c r="T670" s="634"/>
      <c r="U670" s="634"/>
      <c r="V670" s="634"/>
      <c r="W670" s="634"/>
      <c r="X670" s="634"/>
      <c r="Y670" s="634"/>
      <c r="Z670" s="634"/>
      <c r="AA670" s="634"/>
    </row>
    <row r="671" ht="15.75" customHeight="1">
      <c r="A671" s="634"/>
      <c r="B671" s="634"/>
      <c r="C671" s="634"/>
      <c r="D671" s="634"/>
      <c r="E671" s="634"/>
      <c r="F671" s="634"/>
      <c r="G671" s="634"/>
      <c r="H671" s="635"/>
      <c r="I671" s="634"/>
      <c r="J671" s="636"/>
      <c r="K671" s="635"/>
      <c r="L671" s="635"/>
      <c r="M671" s="635"/>
      <c r="N671" s="635"/>
      <c r="O671" s="635"/>
      <c r="P671" s="635"/>
      <c r="Q671" s="635"/>
      <c r="R671" s="635"/>
      <c r="S671" s="634"/>
      <c r="T671" s="634"/>
      <c r="U671" s="634"/>
      <c r="V671" s="634"/>
      <c r="W671" s="634"/>
      <c r="X671" s="634"/>
      <c r="Y671" s="634"/>
      <c r="Z671" s="634"/>
      <c r="AA671" s="634"/>
    </row>
    <row r="672" ht="15.75" customHeight="1">
      <c r="A672" s="634"/>
      <c r="B672" s="634"/>
      <c r="C672" s="634"/>
      <c r="D672" s="634"/>
      <c r="E672" s="634"/>
      <c r="F672" s="634"/>
      <c r="G672" s="634"/>
      <c r="H672" s="635"/>
      <c r="I672" s="634"/>
      <c r="J672" s="636"/>
      <c r="K672" s="635"/>
      <c r="L672" s="635"/>
      <c r="M672" s="635"/>
      <c r="N672" s="635"/>
      <c r="O672" s="635"/>
      <c r="P672" s="635"/>
      <c r="Q672" s="635"/>
      <c r="R672" s="635"/>
      <c r="S672" s="634"/>
      <c r="T672" s="634"/>
      <c r="U672" s="634"/>
      <c r="V672" s="634"/>
      <c r="W672" s="634"/>
      <c r="X672" s="634"/>
      <c r="Y672" s="634"/>
      <c r="Z672" s="634"/>
      <c r="AA672" s="634"/>
    </row>
    <row r="673" ht="15.75" customHeight="1">
      <c r="A673" s="634"/>
      <c r="B673" s="634"/>
      <c r="C673" s="634"/>
      <c r="D673" s="634"/>
      <c r="E673" s="634"/>
      <c r="F673" s="634"/>
      <c r="G673" s="634"/>
      <c r="H673" s="635"/>
      <c r="I673" s="634"/>
      <c r="J673" s="636"/>
      <c r="K673" s="635"/>
      <c r="L673" s="635"/>
      <c r="M673" s="635"/>
      <c r="N673" s="635"/>
      <c r="O673" s="635"/>
      <c r="P673" s="635"/>
      <c r="Q673" s="635"/>
      <c r="R673" s="635"/>
      <c r="S673" s="634"/>
      <c r="T673" s="634"/>
      <c r="U673" s="634"/>
      <c r="V673" s="634"/>
      <c r="W673" s="634"/>
      <c r="X673" s="634"/>
      <c r="Y673" s="634"/>
      <c r="Z673" s="634"/>
      <c r="AA673" s="634"/>
    </row>
    <row r="674" ht="15.75" customHeight="1">
      <c r="A674" s="634"/>
      <c r="B674" s="634"/>
      <c r="C674" s="634"/>
      <c r="D674" s="634"/>
      <c r="E674" s="634"/>
      <c r="F674" s="634"/>
      <c r="G674" s="634"/>
      <c r="H674" s="635"/>
      <c r="I674" s="634"/>
      <c r="J674" s="636"/>
      <c r="K674" s="635"/>
      <c r="L674" s="635"/>
      <c r="M674" s="635"/>
      <c r="N674" s="635"/>
      <c r="O674" s="635"/>
      <c r="P674" s="635"/>
      <c r="Q674" s="635"/>
      <c r="R674" s="635"/>
      <c r="S674" s="634"/>
      <c r="T674" s="634"/>
      <c r="U674" s="634"/>
      <c r="V674" s="634"/>
      <c r="W674" s="634"/>
      <c r="X674" s="634"/>
      <c r="Y674" s="634"/>
      <c r="Z674" s="634"/>
      <c r="AA674" s="634"/>
    </row>
    <row r="675" ht="15.75" customHeight="1">
      <c r="A675" s="634"/>
      <c r="B675" s="634"/>
      <c r="C675" s="634"/>
      <c r="D675" s="634"/>
      <c r="E675" s="634"/>
      <c r="F675" s="634"/>
      <c r="G675" s="634"/>
      <c r="H675" s="635"/>
      <c r="I675" s="634"/>
      <c r="J675" s="636"/>
      <c r="K675" s="635"/>
      <c r="L675" s="635"/>
      <c r="M675" s="635"/>
      <c r="N675" s="635"/>
      <c r="O675" s="635"/>
      <c r="P675" s="635"/>
      <c r="Q675" s="635"/>
      <c r="R675" s="635"/>
      <c r="S675" s="634"/>
      <c r="T675" s="634"/>
      <c r="U675" s="634"/>
      <c r="V675" s="634"/>
      <c r="W675" s="634"/>
      <c r="X675" s="634"/>
      <c r="Y675" s="634"/>
      <c r="Z675" s="634"/>
      <c r="AA675" s="634"/>
    </row>
    <row r="676" ht="15.75" customHeight="1">
      <c r="A676" s="634"/>
      <c r="B676" s="634"/>
      <c r="C676" s="634"/>
      <c r="D676" s="634"/>
      <c r="E676" s="634"/>
      <c r="F676" s="634"/>
      <c r="G676" s="634"/>
      <c r="H676" s="635"/>
      <c r="I676" s="634"/>
      <c r="J676" s="636"/>
      <c r="K676" s="635"/>
      <c r="L676" s="635"/>
      <c r="M676" s="635"/>
      <c r="N676" s="635"/>
      <c r="O676" s="635"/>
      <c r="P676" s="635"/>
      <c r="Q676" s="635"/>
      <c r="R676" s="635"/>
      <c r="S676" s="634"/>
      <c r="T676" s="634"/>
      <c r="U676" s="634"/>
      <c r="V676" s="634"/>
      <c r="W676" s="634"/>
      <c r="X676" s="634"/>
      <c r="Y676" s="634"/>
      <c r="Z676" s="634"/>
      <c r="AA676" s="634"/>
    </row>
    <row r="677" ht="15.75" customHeight="1">
      <c r="A677" s="634"/>
      <c r="B677" s="634"/>
      <c r="C677" s="634"/>
      <c r="D677" s="634"/>
      <c r="E677" s="634"/>
      <c r="F677" s="634"/>
      <c r="G677" s="634"/>
      <c r="H677" s="635"/>
      <c r="I677" s="634"/>
      <c r="J677" s="636"/>
      <c r="K677" s="635"/>
      <c r="L677" s="635"/>
      <c r="M677" s="635"/>
      <c r="N677" s="635"/>
      <c r="O677" s="635"/>
      <c r="P677" s="635"/>
      <c r="Q677" s="635"/>
      <c r="R677" s="635"/>
      <c r="S677" s="634"/>
      <c r="T677" s="634"/>
      <c r="U677" s="634"/>
      <c r="V677" s="634"/>
      <c r="W677" s="634"/>
      <c r="X677" s="634"/>
      <c r="Y677" s="634"/>
      <c r="Z677" s="634"/>
      <c r="AA677" s="634"/>
    </row>
    <row r="678" ht="15.75" customHeight="1">
      <c r="A678" s="634"/>
      <c r="B678" s="634"/>
      <c r="C678" s="634"/>
      <c r="D678" s="634"/>
      <c r="E678" s="634"/>
      <c r="F678" s="634"/>
      <c r="G678" s="634"/>
      <c r="H678" s="635"/>
      <c r="I678" s="634"/>
      <c r="J678" s="636"/>
      <c r="K678" s="635"/>
      <c r="L678" s="635"/>
      <c r="M678" s="635"/>
      <c r="N678" s="635"/>
      <c r="O678" s="635"/>
      <c r="P678" s="635"/>
      <c r="Q678" s="635"/>
      <c r="R678" s="635"/>
      <c r="S678" s="634"/>
      <c r="T678" s="634"/>
      <c r="U678" s="634"/>
      <c r="V678" s="634"/>
      <c r="W678" s="634"/>
      <c r="X678" s="634"/>
      <c r="Y678" s="634"/>
      <c r="Z678" s="634"/>
      <c r="AA678" s="634"/>
    </row>
    <row r="679" ht="15.75" customHeight="1">
      <c r="A679" s="634"/>
      <c r="B679" s="634"/>
      <c r="C679" s="634"/>
      <c r="D679" s="634"/>
      <c r="E679" s="634"/>
      <c r="F679" s="634"/>
      <c r="G679" s="634"/>
      <c r="H679" s="635"/>
      <c r="I679" s="634"/>
      <c r="J679" s="636"/>
      <c r="K679" s="635"/>
      <c r="L679" s="635"/>
      <c r="M679" s="635"/>
      <c r="N679" s="635"/>
      <c r="O679" s="635"/>
      <c r="P679" s="635"/>
      <c r="Q679" s="635"/>
      <c r="R679" s="635"/>
      <c r="S679" s="634"/>
      <c r="T679" s="634"/>
      <c r="U679" s="634"/>
      <c r="V679" s="634"/>
      <c r="W679" s="634"/>
      <c r="X679" s="634"/>
      <c r="Y679" s="634"/>
      <c r="Z679" s="634"/>
      <c r="AA679" s="634"/>
    </row>
    <row r="680" ht="15.75" customHeight="1">
      <c r="A680" s="634"/>
      <c r="B680" s="634"/>
      <c r="C680" s="634"/>
      <c r="D680" s="634"/>
      <c r="E680" s="634"/>
      <c r="F680" s="634"/>
      <c r="G680" s="634"/>
      <c r="H680" s="635"/>
      <c r="I680" s="634"/>
      <c r="J680" s="636"/>
      <c r="K680" s="635"/>
      <c r="L680" s="635"/>
      <c r="M680" s="635"/>
      <c r="N680" s="635"/>
      <c r="O680" s="635"/>
      <c r="P680" s="635"/>
      <c r="Q680" s="635"/>
      <c r="R680" s="635"/>
      <c r="S680" s="634"/>
      <c r="T680" s="634"/>
      <c r="U680" s="634"/>
      <c r="V680" s="634"/>
      <c r="W680" s="634"/>
      <c r="X680" s="634"/>
      <c r="Y680" s="634"/>
      <c r="Z680" s="634"/>
      <c r="AA680" s="634"/>
    </row>
    <row r="681" ht="15.75" customHeight="1">
      <c r="A681" s="634"/>
      <c r="B681" s="634"/>
      <c r="C681" s="634"/>
      <c r="D681" s="634"/>
      <c r="E681" s="634"/>
      <c r="F681" s="634"/>
      <c r="G681" s="634"/>
      <c r="H681" s="635"/>
      <c r="I681" s="634"/>
      <c r="J681" s="636"/>
      <c r="K681" s="635"/>
      <c r="L681" s="635"/>
      <c r="M681" s="635"/>
      <c r="N681" s="635"/>
      <c r="O681" s="635"/>
      <c r="P681" s="635"/>
      <c r="Q681" s="635"/>
      <c r="R681" s="635"/>
      <c r="S681" s="634"/>
      <c r="T681" s="634"/>
      <c r="U681" s="634"/>
      <c r="V681" s="634"/>
      <c r="W681" s="634"/>
      <c r="X681" s="634"/>
      <c r="Y681" s="634"/>
      <c r="Z681" s="634"/>
      <c r="AA681" s="634"/>
    </row>
    <row r="682" ht="15.75" customHeight="1">
      <c r="A682" s="634"/>
      <c r="B682" s="634"/>
      <c r="C682" s="634"/>
      <c r="D682" s="634"/>
      <c r="E682" s="634"/>
      <c r="F682" s="634"/>
      <c r="G682" s="634"/>
      <c r="H682" s="635"/>
      <c r="I682" s="634"/>
      <c r="J682" s="636"/>
      <c r="K682" s="635"/>
      <c r="L682" s="635"/>
      <c r="M682" s="635"/>
      <c r="N682" s="635"/>
      <c r="O682" s="635"/>
      <c r="P682" s="635"/>
      <c r="Q682" s="635"/>
      <c r="R682" s="635"/>
      <c r="S682" s="634"/>
      <c r="T682" s="634"/>
      <c r="U682" s="634"/>
      <c r="V682" s="634"/>
      <c r="W682" s="634"/>
      <c r="X682" s="634"/>
      <c r="Y682" s="634"/>
      <c r="Z682" s="634"/>
      <c r="AA682" s="634"/>
    </row>
    <row r="683" ht="15.75" customHeight="1">
      <c r="A683" s="634"/>
      <c r="B683" s="634"/>
      <c r="C683" s="634"/>
      <c r="D683" s="634"/>
      <c r="E683" s="634"/>
      <c r="F683" s="634"/>
      <c r="G683" s="634"/>
      <c r="H683" s="635"/>
      <c r="I683" s="634"/>
      <c r="J683" s="636"/>
      <c r="K683" s="635"/>
      <c r="L683" s="635"/>
      <c r="M683" s="635"/>
      <c r="N683" s="635"/>
      <c r="O683" s="635"/>
      <c r="P683" s="635"/>
      <c r="Q683" s="635"/>
      <c r="R683" s="635"/>
      <c r="S683" s="634"/>
      <c r="T683" s="634"/>
      <c r="U683" s="634"/>
      <c r="V683" s="634"/>
      <c r="W683" s="634"/>
      <c r="X683" s="634"/>
      <c r="Y683" s="634"/>
      <c r="Z683" s="634"/>
      <c r="AA683" s="634"/>
    </row>
    <row r="684" ht="15.75" customHeight="1">
      <c r="A684" s="634"/>
      <c r="B684" s="634"/>
      <c r="C684" s="634"/>
      <c r="D684" s="634"/>
      <c r="E684" s="634"/>
      <c r="F684" s="634"/>
      <c r="G684" s="634"/>
      <c r="H684" s="635"/>
      <c r="I684" s="634"/>
      <c r="J684" s="636"/>
      <c r="K684" s="635"/>
      <c r="L684" s="635"/>
      <c r="M684" s="635"/>
      <c r="N684" s="635"/>
      <c r="O684" s="635"/>
      <c r="P684" s="635"/>
      <c r="Q684" s="635"/>
      <c r="R684" s="635"/>
      <c r="S684" s="634"/>
      <c r="T684" s="634"/>
      <c r="U684" s="634"/>
      <c r="V684" s="634"/>
      <c r="W684" s="634"/>
      <c r="X684" s="634"/>
      <c r="Y684" s="634"/>
      <c r="Z684" s="634"/>
      <c r="AA684" s="634"/>
    </row>
    <row r="685" ht="15.75" customHeight="1">
      <c r="A685" s="634"/>
      <c r="B685" s="634"/>
      <c r="C685" s="634"/>
      <c r="D685" s="634"/>
      <c r="E685" s="634"/>
      <c r="F685" s="634"/>
      <c r="G685" s="634"/>
      <c r="H685" s="635"/>
      <c r="I685" s="634"/>
      <c r="J685" s="636"/>
      <c r="K685" s="635"/>
      <c r="L685" s="635"/>
      <c r="M685" s="635"/>
      <c r="N685" s="635"/>
      <c r="O685" s="635"/>
      <c r="P685" s="635"/>
      <c r="Q685" s="635"/>
      <c r="R685" s="635"/>
      <c r="S685" s="634"/>
      <c r="T685" s="634"/>
      <c r="U685" s="634"/>
      <c r="V685" s="634"/>
      <c r="W685" s="634"/>
      <c r="X685" s="634"/>
      <c r="Y685" s="634"/>
      <c r="Z685" s="634"/>
      <c r="AA685" s="634"/>
    </row>
    <row r="686" ht="15.75" customHeight="1">
      <c r="A686" s="634"/>
      <c r="B686" s="634"/>
      <c r="C686" s="634"/>
      <c r="D686" s="634"/>
      <c r="E686" s="634"/>
      <c r="F686" s="634"/>
      <c r="G686" s="634"/>
      <c r="H686" s="635"/>
      <c r="I686" s="634"/>
      <c r="J686" s="636"/>
      <c r="K686" s="635"/>
      <c r="L686" s="635"/>
      <c r="M686" s="635"/>
      <c r="N686" s="635"/>
      <c r="O686" s="635"/>
      <c r="P686" s="635"/>
      <c r="Q686" s="635"/>
      <c r="R686" s="635"/>
      <c r="S686" s="634"/>
      <c r="T686" s="634"/>
      <c r="U686" s="634"/>
      <c r="V686" s="634"/>
      <c r="W686" s="634"/>
      <c r="X686" s="634"/>
      <c r="Y686" s="634"/>
      <c r="Z686" s="634"/>
      <c r="AA686" s="634"/>
    </row>
    <row r="687" ht="15.75" customHeight="1">
      <c r="A687" s="634"/>
      <c r="B687" s="634"/>
      <c r="C687" s="634"/>
      <c r="D687" s="634"/>
      <c r="E687" s="634"/>
      <c r="F687" s="634"/>
      <c r="G687" s="634"/>
      <c r="H687" s="635"/>
      <c r="I687" s="634"/>
      <c r="J687" s="636"/>
      <c r="K687" s="635"/>
      <c r="L687" s="635"/>
      <c r="M687" s="635"/>
      <c r="N687" s="635"/>
      <c r="O687" s="635"/>
      <c r="P687" s="635"/>
      <c r="Q687" s="635"/>
      <c r="R687" s="635"/>
      <c r="S687" s="634"/>
      <c r="T687" s="634"/>
      <c r="U687" s="634"/>
      <c r="V687" s="634"/>
      <c r="W687" s="634"/>
      <c r="X687" s="634"/>
      <c r="Y687" s="634"/>
      <c r="Z687" s="634"/>
      <c r="AA687" s="634"/>
    </row>
    <row r="688" ht="15.75" customHeight="1">
      <c r="A688" s="634"/>
      <c r="B688" s="634"/>
      <c r="C688" s="634"/>
      <c r="D688" s="634"/>
      <c r="E688" s="634"/>
      <c r="F688" s="634"/>
      <c r="G688" s="634"/>
      <c r="H688" s="635"/>
      <c r="I688" s="634"/>
      <c r="J688" s="636"/>
      <c r="K688" s="635"/>
      <c r="L688" s="635"/>
      <c r="M688" s="635"/>
      <c r="N688" s="635"/>
      <c r="O688" s="635"/>
      <c r="P688" s="635"/>
      <c r="Q688" s="635"/>
      <c r="R688" s="635"/>
      <c r="S688" s="634"/>
      <c r="T688" s="634"/>
      <c r="U688" s="634"/>
      <c r="V688" s="634"/>
      <c r="W688" s="634"/>
      <c r="X688" s="634"/>
      <c r="Y688" s="634"/>
      <c r="Z688" s="634"/>
      <c r="AA688" s="634"/>
    </row>
    <row r="689" ht="15.75" customHeight="1">
      <c r="A689" s="634"/>
      <c r="B689" s="634"/>
      <c r="C689" s="634"/>
      <c r="D689" s="634"/>
      <c r="E689" s="634"/>
      <c r="F689" s="634"/>
      <c r="G689" s="634"/>
      <c r="H689" s="635"/>
      <c r="I689" s="634"/>
      <c r="J689" s="636"/>
      <c r="K689" s="635"/>
      <c r="L689" s="635"/>
      <c r="M689" s="635"/>
      <c r="N689" s="635"/>
      <c r="O689" s="635"/>
      <c r="P689" s="635"/>
      <c r="Q689" s="635"/>
      <c r="R689" s="635"/>
      <c r="S689" s="634"/>
      <c r="T689" s="634"/>
      <c r="U689" s="634"/>
      <c r="V689" s="634"/>
      <c r="W689" s="634"/>
      <c r="X689" s="634"/>
      <c r="Y689" s="634"/>
      <c r="Z689" s="634"/>
      <c r="AA689" s="634"/>
    </row>
    <row r="690" ht="15.75" customHeight="1">
      <c r="A690" s="634"/>
      <c r="B690" s="634"/>
      <c r="C690" s="634"/>
      <c r="D690" s="634"/>
      <c r="E690" s="634"/>
      <c r="F690" s="634"/>
      <c r="G690" s="634"/>
      <c r="H690" s="635"/>
      <c r="I690" s="634"/>
      <c r="J690" s="636"/>
      <c r="K690" s="635"/>
      <c r="L690" s="635"/>
      <c r="M690" s="635"/>
      <c r="N690" s="635"/>
      <c r="O690" s="635"/>
      <c r="P690" s="635"/>
      <c r="Q690" s="635"/>
      <c r="R690" s="635"/>
      <c r="S690" s="634"/>
      <c r="T690" s="634"/>
      <c r="U690" s="634"/>
      <c r="V690" s="634"/>
      <c r="W690" s="634"/>
      <c r="X690" s="634"/>
      <c r="Y690" s="634"/>
      <c r="Z690" s="634"/>
      <c r="AA690" s="634"/>
    </row>
    <row r="691" ht="15.75" customHeight="1">
      <c r="A691" s="634"/>
      <c r="B691" s="634"/>
      <c r="C691" s="634"/>
      <c r="D691" s="634"/>
      <c r="E691" s="634"/>
      <c r="F691" s="634"/>
      <c r="G691" s="634"/>
      <c r="H691" s="635"/>
      <c r="I691" s="634"/>
      <c r="J691" s="636"/>
      <c r="K691" s="635"/>
      <c r="L691" s="635"/>
      <c r="M691" s="635"/>
      <c r="N691" s="635"/>
      <c r="O691" s="635"/>
      <c r="P691" s="635"/>
      <c r="Q691" s="635"/>
      <c r="R691" s="635"/>
      <c r="S691" s="634"/>
      <c r="T691" s="634"/>
      <c r="U691" s="634"/>
      <c r="V691" s="634"/>
      <c r="W691" s="634"/>
      <c r="X691" s="634"/>
      <c r="Y691" s="634"/>
      <c r="Z691" s="634"/>
      <c r="AA691" s="634"/>
    </row>
    <row r="692" ht="15.75" customHeight="1">
      <c r="A692" s="634"/>
      <c r="B692" s="634"/>
      <c r="C692" s="634"/>
      <c r="D692" s="634"/>
      <c r="E692" s="634"/>
      <c r="F692" s="634"/>
      <c r="G692" s="634"/>
      <c r="H692" s="635"/>
      <c r="I692" s="634"/>
      <c r="J692" s="636"/>
      <c r="K692" s="635"/>
      <c r="L692" s="635"/>
      <c r="M692" s="635"/>
      <c r="N692" s="635"/>
      <c r="O692" s="635"/>
      <c r="P692" s="635"/>
      <c r="Q692" s="635"/>
      <c r="R692" s="635"/>
      <c r="S692" s="634"/>
      <c r="T692" s="634"/>
      <c r="U692" s="634"/>
      <c r="V692" s="634"/>
      <c r="W692" s="634"/>
      <c r="X692" s="634"/>
      <c r="Y692" s="634"/>
      <c r="Z692" s="634"/>
      <c r="AA692" s="634"/>
    </row>
    <row r="693" ht="15.75" customHeight="1">
      <c r="A693" s="634"/>
      <c r="B693" s="634"/>
      <c r="C693" s="634"/>
      <c r="D693" s="634"/>
      <c r="E693" s="634"/>
      <c r="F693" s="634"/>
      <c r="G693" s="634"/>
      <c r="H693" s="635"/>
      <c r="I693" s="634"/>
      <c r="J693" s="636"/>
      <c r="K693" s="635"/>
      <c r="L693" s="635"/>
      <c r="M693" s="635"/>
      <c r="N693" s="635"/>
      <c r="O693" s="635"/>
      <c r="P693" s="635"/>
      <c r="Q693" s="635"/>
      <c r="R693" s="635"/>
      <c r="S693" s="634"/>
      <c r="T693" s="634"/>
      <c r="U693" s="634"/>
      <c r="V693" s="634"/>
      <c r="W693" s="634"/>
      <c r="X693" s="634"/>
      <c r="Y693" s="634"/>
      <c r="Z693" s="634"/>
      <c r="AA693" s="634"/>
    </row>
    <row r="694" ht="15.75" customHeight="1">
      <c r="A694" s="634"/>
      <c r="B694" s="634"/>
      <c r="C694" s="634"/>
      <c r="D694" s="634"/>
      <c r="E694" s="634"/>
      <c r="F694" s="634"/>
      <c r="G694" s="634"/>
      <c r="H694" s="635"/>
      <c r="I694" s="634"/>
      <c r="J694" s="636"/>
      <c r="K694" s="635"/>
      <c r="L694" s="635"/>
      <c r="M694" s="635"/>
      <c r="N694" s="635"/>
      <c r="O694" s="635"/>
      <c r="P694" s="635"/>
      <c r="Q694" s="635"/>
      <c r="R694" s="635"/>
      <c r="S694" s="634"/>
      <c r="T694" s="634"/>
      <c r="U694" s="634"/>
      <c r="V694" s="634"/>
      <c r="W694" s="634"/>
      <c r="X694" s="634"/>
      <c r="Y694" s="634"/>
      <c r="Z694" s="634"/>
      <c r="AA694" s="634"/>
    </row>
    <row r="695" ht="15.75" customHeight="1">
      <c r="A695" s="634"/>
      <c r="B695" s="634"/>
      <c r="C695" s="634"/>
      <c r="D695" s="634"/>
      <c r="E695" s="634"/>
      <c r="F695" s="634"/>
      <c r="G695" s="634"/>
      <c r="H695" s="635"/>
      <c r="I695" s="634"/>
      <c r="J695" s="636"/>
      <c r="K695" s="635"/>
      <c r="L695" s="635"/>
      <c r="M695" s="635"/>
      <c r="N695" s="635"/>
      <c r="O695" s="635"/>
      <c r="P695" s="635"/>
      <c r="Q695" s="635"/>
      <c r="R695" s="635"/>
      <c r="S695" s="634"/>
      <c r="T695" s="634"/>
      <c r="U695" s="634"/>
      <c r="V695" s="634"/>
      <c r="W695" s="634"/>
      <c r="X695" s="634"/>
      <c r="Y695" s="634"/>
      <c r="Z695" s="634"/>
      <c r="AA695" s="634"/>
    </row>
    <row r="696" ht="15.75" customHeight="1">
      <c r="A696" s="634"/>
      <c r="B696" s="634"/>
      <c r="C696" s="634"/>
      <c r="D696" s="634"/>
      <c r="E696" s="634"/>
      <c r="F696" s="634"/>
      <c r="G696" s="634"/>
      <c r="H696" s="635"/>
      <c r="I696" s="634"/>
      <c r="J696" s="636"/>
      <c r="K696" s="635"/>
      <c r="L696" s="635"/>
      <c r="M696" s="635"/>
      <c r="N696" s="635"/>
      <c r="O696" s="635"/>
      <c r="P696" s="635"/>
      <c r="Q696" s="635"/>
      <c r="R696" s="635"/>
      <c r="S696" s="634"/>
      <c r="T696" s="634"/>
      <c r="U696" s="634"/>
      <c r="V696" s="634"/>
      <c r="W696" s="634"/>
      <c r="X696" s="634"/>
      <c r="Y696" s="634"/>
      <c r="Z696" s="634"/>
      <c r="AA696" s="634"/>
    </row>
    <row r="697" ht="15.75" customHeight="1">
      <c r="A697" s="634"/>
      <c r="B697" s="634"/>
      <c r="C697" s="634"/>
      <c r="D697" s="634"/>
      <c r="E697" s="634"/>
      <c r="F697" s="634"/>
      <c r="G697" s="634"/>
      <c r="H697" s="635"/>
      <c r="I697" s="634"/>
      <c r="J697" s="636"/>
      <c r="K697" s="635"/>
      <c r="L697" s="635"/>
      <c r="M697" s="635"/>
      <c r="N697" s="635"/>
      <c r="O697" s="635"/>
      <c r="P697" s="635"/>
      <c r="Q697" s="635"/>
      <c r="R697" s="635"/>
      <c r="S697" s="634"/>
      <c r="T697" s="634"/>
      <c r="U697" s="634"/>
      <c r="V697" s="634"/>
      <c r="W697" s="634"/>
      <c r="X697" s="634"/>
      <c r="Y697" s="634"/>
      <c r="Z697" s="634"/>
      <c r="AA697" s="634"/>
    </row>
    <row r="698" ht="15.75" customHeight="1">
      <c r="A698" s="634"/>
      <c r="B698" s="634"/>
      <c r="C698" s="634"/>
      <c r="D698" s="634"/>
      <c r="E698" s="634"/>
      <c r="F698" s="634"/>
      <c r="G698" s="634"/>
      <c r="H698" s="635"/>
      <c r="I698" s="634"/>
      <c r="J698" s="636"/>
      <c r="K698" s="635"/>
      <c r="L698" s="635"/>
      <c r="M698" s="635"/>
      <c r="N698" s="635"/>
      <c r="O698" s="635"/>
      <c r="P698" s="635"/>
      <c r="Q698" s="635"/>
      <c r="R698" s="635"/>
      <c r="S698" s="634"/>
      <c r="T698" s="634"/>
      <c r="U698" s="634"/>
      <c r="V698" s="634"/>
      <c r="W698" s="634"/>
      <c r="X698" s="634"/>
      <c r="Y698" s="634"/>
      <c r="Z698" s="634"/>
      <c r="AA698" s="634"/>
    </row>
    <row r="699" ht="15.75" customHeight="1">
      <c r="A699" s="634"/>
      <c r="B699" s="634"/>
      <c r="C699" s="634"/>
      <c r="D699" s="634"/>
      <c r="E699" s="634"/>
      <c r="F699" s="634"/>
      <c r="G699" s="634"/>
      <c r="H699" s="635"/>
      <c r="I699" s="634"/>
      <c r="J699" s="636"/>
      <c r="K699" s="635"/>
      <c r="L699" s="635"/>
      <c r="M699" s="635"/>
      <c r="N699" s="635"/>
      <c r="O699" s="635"/>
      <c r="P699" s="635"/>
      <c r="Q699" s="635"/>
      <c r="R699" s="635"/>
      <c r="S699" s="634"/>
      <c r="T699" s="634"/>
      <c r="U699" s="634"/>
      <c r="V699" s="634"/>
      <c r="W699" s="634"/>
      <c r="X699" s="634"/>
      <c r="Y699" s="634"/>
      <c r="Z699" s="634"/>
      <c r="AA699" s="634"/>
    </row>
    <row r="700" ht="15.75" customHeight="1">
      <c r="A700" s="634"/>
      <c r="B700" s="634"/>
      <c r="C700" s="634"/>
      <c r="D700" s="634"/>
      <c r="E700" s="634"/>
      <c r="F700" s="634"/>
      <c r="G700" s="634"/>
      <c r="H700" s="635"/>
      <c r="I700" s="634"/>
      <c r="J700" s="636"/>
      <c r="K700" s="635"/>
      <c r="L700" s="635"/>
      <c r="M700" s="635"/>
      <c r="N700" s="635"/>
      <c r="O700" s="635"/>
      <c r="P700" s="635"/>
      <c r="Q700" s="635"/>
      <c r="R700" s="635"/>
      <c r="S700" s="634"/>
      <c r="T700" s="634"/>
      <c r="U700" s="634"/>
      <c r="V700" s="634"/>
      <c r="W700" s="634"/>
      <c r="X700" s="634"/>
      <c r="Y700" s="634"/>
      <c r="Z700" s="634"/>
      <c r="AA700" s="634"/>
    </row>
    <row r="701" ht="15.75" customHeight="1">
      <c r="A701" s="634"/>
      <c r="B701" s="634"/>
      <c r="C701" s="634"/>
      <c r="D701" s="634"/>
      <c r="E701" s="634"/>
      <c r="F701" s="634"/>
      <c r="G701" s="634"/>
      <c r="H701" s="635"/>
      <c r="I701" s="634"/>
      <c r="J701" s="636"/>
      <c r="K701" s="635"/>
      <c r="L701" s="635"/>
      <c r="M701" s="635"/>
      <c r="N701" s="635"/>
      <c r="O701" s="635"/>
      <c r="P701" s="635"/>
      <c r="Q701" s="635"/>
      <c r="R701" s="635"/>
      <c r="S701" s="634"/>
      <c r="T701" s="634"/>
      <c r="U701" s="634"/>
      <c r="V701" s="634"/>
      <c r="W701" s="634"/>
      <c r="X701" s="634"/>
      <c r="Y701" s="634"/>
      <c r="Z701" s="634"/>
      <c r="AA701" s="634"/>
    </row>
    <row r="702" ht="15.75" customHeight="1">
      <c r="A702" s="634"/>
      <c r="B702" s="634"/>
      <c r="C702" s="634"/>
      <c r="D702" s="634"/>
      <c r="E702" s="634"/>
      <c r="F702" s="634"/>
      <c r="G702" s="634"/>
      <c r="H702" s="635"/>
      <c r="I702" s="634"/>
      <c r="J702" s="636"/>
      <c r="K702" s="635"/>
      <c r="L702" s="635"/>
      <c r="M702" s="635"/>
      <c r="N702" s="635"/>
      <c r="O702" s="635"/>
      <c r="P702" s="635"/>
      <c r="Q702" s="635"/>
      <c r="R702" s="635"/>
      <c r="S702" s="634"/>
      <c r="T702" s="634"/>
      <c r="U702" s="634"/>
      <c r="V702" s="634"/>
      <c r="W702" s="634"/>
      <c r="X702" s="634"/>
      <c r="Y702" s="634"/>
      <c r="Z702" s="634"/>
      <c r="AA702" s="634"/>
    </row>
    <row r="703" ht="15.75" customHeight="1">
      <c r="A703" s="634"/>
      <c r="B703" s="634"/>
      <c r="C703" s="634"/>
      <c r="D703" s="634"/>
      <c r="E703" s="634"/>
      <c r="F703" s="634"/>
      <c r="G703" s="634"/>
      <c r="H703" s="635"/>
      <c r="I703" s="634"/>
      <c r="J703" s="636"/>
      <c r="K703" s="635"/>
      <c r="L703" s="635"/>
      <c r="M703" s="635"/>
      <c r="N703" s="635"/>
      <c r="O703" s="635"/>
      <c r="P703" s="635"/>
      <c r="Q703" s="635"/>
      <c r="R703" s="635"/>
      <c r="S703" s="634"/>
      <c r="T703" s="634"/>
      <c r="U703" s="634"/>
      <c r="V703" s="634"/>
      <c r="W703" s="634"/>
      <c r="X703" s="634"/>
      <c r="Y703" s="634"/>
      <c r="Z703" s="634"/>
      <c r="AA703" s="634"/>
    </row>
    <row r="704" ht="15.75" customHeight="1">
      <c r="A704" s="634"/>
      <c r="B704" s="634"/>
      <c r="C704" s="634"/>
      <c r="D704" s="634"/>
      <c r="E704" s="634"/>
      <c r="F704" s="634"/>
      <c r="G704" s="634"/>
      <c r="H704" s="635"/>
      <c r="I704" s="634"/>
      <c r="J704" s="636"/>
      <c r="K704" s="635"/>
      <c r="L704" s="635"/>
      <c r="M704" s="635"/>
      <c r="N704" s="635"/>
      <c r="O704" s="635"/>
      <c r="P704" s="635"/>
      <c r="Q704" s="635"/>
      <c r="R704" s="635"/>
      <c r="S704" s="634"/>
      <c r="T704" s="634"/>
      <c r="U704" s="634"/>
      <c r="V704" s="634"/>
      <c r="W704" s="634"/>
      <c r="X704" s="634"/>
      <c r="Y704" s="634"/>
      <c r="Z704" s="634"/>
      <c r="AA704" s="634"/>
    </row>
    <row r="705" ht="15.75" customHeight="1">
      <c r="A705" s="634"/>
      <c r="B705" s="634"/>
      <c r="C705" s="634"/>
      <c r="D705" s="634"/>
      <c r="E705" s="634"/>
      <c r="F705" s="634"/>
      <c r="G705" s="634"/>
      <c r="H705" s="635"/>
      <c r="I705" s="634"/>
      <c r="J705" s="636"/>
      <c r="K705" s="635"/>
      <c r="L705" s="635"/>
      <c r="M705" s="635"/>
      <c r="N705" s="635"/>
      <c r="O705" s="635"/>
      <c r="P705" s="635"/>
      <c r="Q705" s="635"/>
      <c r="R705" s="635"/>
      <c r="S705" s="634"/>
      <c r="T705" s="634"/>
      <c r="U705" s="634"/>
      <c r="V705" s="634"/>
      <c r="W705" s="634"/>
      <c r="X705" s="634"/>
      <c r="Y705" s="634"/>
      <c r="Z705" s="634"/>
      <c r="AA705" s="634"/>
    </row>
    <row r="706" ht="15.75" customHeight="1">
      <c r="A706" s="634"/>
      <c r="B706" s="634"/>
      <c r="C706" s="634"/>
      <c r="D706" s="634"/>
      <c r="E706" s="634"/>
      <c r="F706" s="634"/>
      <c r="G706" s="634"/>
      <c r="H706" s="635"/>
      <c r="I706" s="634"/>
      <c r="J706" s="636"/>
      <c r="K706" s="635"/>
      <c r="L706" s="635"/>
      <c r="M706" s="635"/>
      <c r="N706" s="635"/>
      <c r="O706" s="635"/>
      <c r="P706" s="635"/>
      <c r="Q706" s="635"/>
      <c r="R706" s="635"/>
      <c r="S706" s="634"/>
      <c r="T706" s="634"/>
      <c r="U706" s="634"/>
      <c r="V706" s="634"/>
      <c r="W706" s="634"/>
      <c r="X706" s="634"/>
      <c r="Y706" s="634"/>
      <c r="Z706" s="634"/>
      <c r="AA706" s="634"/>
    </row>
    <row r="707" ht="15.75" customHeight="1">
      <c r="A707" s="634"/>
      <c r="B707" s="634"/>
      <c r="C707" s="634"/>
      <c r="D707" s="634"/>
      <c r="E707" s="634"/>
      <c r="F707" s="634"/>
      <c r="G707" s="634"/>
      <c r="H707" s="635"/>
      <c r="I707" s="634"/>
      <c r="J707" s="636"/>
      <c r="K707" s="635"/>
      <c r="L707" s="635"/>
      <c r="M707" s="635"/>
      <c r="N707" s="635"/>
      <c r="O707" s="635"/>
      <c r="P707" s="635"/>
      <c r="Q707" s="635"/>
      <c r="R707" s="635"/>
      <c r="S707" s="634"/>
      <c r="T707" s="634"/>
      <c r="U707" s="634"/>
      <c r="V707" s="634"/>
      <c r="W707" s="634"/>
      <c r="X707" s="634"/>
      <c r="Y707" s="634"/>
      <c r="Z707" s="634"/>
      <c r="AA707" s="634"/>
    </row>
    <row r="708" ht="15.75" customHeight="1">
      <c r="A708" s="634"/>
      <c r="B708" s="634"/>
      <c r="C708" s="634"/>
      <c r="D708" s="634"/>
      <c r="E708" s="634"/>
      <c r="F708" s="634"/>
      <c r="G708" s="634"/>
      <c r="H708" s="635"/>
      <c r="I708" s="634"/>
      <c r="J708" s="636"/>
      <c r="K708" s="635"/>
      <c r="L708" s="635"/>
      <c r="M708" s="635"/>
      <c r="N708" s="635"/>
      <c r="O708" s="635"/>
      <c r="P708" s="635"/>
      <c r="Q708" s="635"/>
      <c r="R708" s="635"/>
      <c r="S708" s="634"/>
      <c r="T708" s="634"/>
      <c r="U708" s="634"/>
      <c r="V708" s="634"/>
      <c r="W708" s="634"/>
      <c r="X708" s="634"/>
      <c r="Y708" s="634"/>
      <c r="Z708" s="634"/>
      <c r="AA708" s="634"/>
    </row>
    <row r="709" ht="15.75" customHeight="1">
      <c r="A709" s="634"/>
      <c r="B709" s="634"/>
      <c r="C709" s="634"/>
      <c r="D709" s="634"/>
      <c r="E709" s="634"/>
      <c r="F709" s="634"/>
      <c r="G709" s="634"/>
      <c r="H709" s="635"/>
      <c r="I709" s="634"/>
      <c r="J709" s="636"/>
      <c r="K709" s="635"/>
      <c r="L709" s="635"/>
      <c r="M709" s="635"/>
      <c r="N709" s="635"/>
      <c r="O709" s="635"/>
      <c r="P709" s="635"/>
      <c r="Q709" s="635"/>
      <c r="R709" s="635"/>
      <c r="S709" s="634"/>
      <c r="T709" s="634"/>
      <c r="U709" s="634"/>
      <c r="V709" s="634"/>
      <c r="W709" s="634"/>
      <c r="X709" s="634"/>
      <c r="Y709" s="634"/>
      <c r="Z709" s="634"/>
      <c r="AA709" s="634"/>
    </row>
    <row r="710" ht="15.75" customHeight="1">
      <c r="A710" s="634"/>
      <c r="B710" s="634"/>
      <c r="C710" s="634"/>
      <c r="D710" s="634"/>
      <c r="E710" s="634"/>
      <c r="F710" s="634"/>
      <c r="G710" s="634"/>
      <c r="H710" s="635"/>
      <c r="I710" s="634"/>
      <c r="J710" s="636"/>
      <c r="K710" s="635"/>
      <c r="L710" s="635"/>
      <c r="M710" s="635"/>
      <c r="N710" s="635"/>
      <c r="O710" s="635"/>
      <c r="P710" s="635"/>
      <c r="Q710" s="635"/>
      <c r="R710" s="635"/>
      <c r="S710" s="634"/>
      <c r="T710" s="634"/>
      <c r="U710" s="634"/>
      <c r="V710" s="634"/>
      <c r="W710" s="634"/>
      <c r="X710" s="634"/>
      <c r="Y710" s="634"/>
      <c r="Z710" s="634"/>
      <c r="AA710" s="634"/>
    </row>
    <row r="711" ht="15.75" customHeight="1">
      <c r="A711" s="634"/>
      <c r="B711" s="634"/>
      <c r="C711" s="634"/>
      <c r="D711" s="634"/>
      <c r="E711" s="634"/>
      <c r="F711" s="634"/>
      <c r="G711" s="634"/>
      <c r="H711" s="635"/>
      <c r="I711" s="634"/>
      <c r="J711" s="636"/>
      <c r="K711" s="635"/>
      <c r="L711" s="635"/>
      <c r="M711" s="635"/>
      <c r="N711" s="635"/>
      <c r="O711" s="635"/>
      <c r="P711" s="635"/>
      <c r="Q711" s="635"/>
      <c r="R711" s="635"/>
      <c r="S711" s="634"/>
      <c r="T711" s="634"/>
      <c r="U711" s="634"/>
      <c r="V711" s="634"/>
      <c r="W711" s="634"/>
      <c r="X711" s="634"/>
      <c r="Y711" s="634"/>
      <c r="Z711" s="634"/>
      <c r="AA711" s="634"/>
    </row>
    <row r="712" ht="15.75" customHeight="1">
      <c r="A712" s="634"/>
      <c r="B712" s="634"/>
      <c r="C712" s="634"/>
      <c r="D712" s="634"/>
      <c r="E712" s="634"/>
      <c r="F712" s="634"/>
      <c r="G712" s="634"/>
      <c r="H712" s="635"/>
      <c r="I712" s="634"/>
      <c r="J712" s="636"/>
      <c r="K712" s="635"/>
      <c r="L712" s="635"/>
      <c r="M712" s="635"/>
      <c r="N712" s="635"/>
      <c r="O712" s="635"/>
      <c r="P712" s="635"/>
      <c r="Q712" s="635"/>
      <c r="R712" s="635"/>
      <c r="S712" s="634"/>
      <c r="T712" s="634"/>
      <c r="U712" s="634"/>
      <c r="V712" s="634"/>
      <c r="W712" s="634"/>
      <c r="X712" s="634"/>
      <c r="Y712" s="634"/>
      <c r="Z712" s="634"/>
      <c r="AA712" s="634"/>
    </row>
    <row r="713" ht="15.75" customHeight="1">
      <c r="A713" s="634"/>
      <c r="B713" s="634"/>
      <c r="C713" s="634"/>
      <c r="D713" s="634"/>
      <c r="E713" s="634"/>
      <c r="F713" s="634"/>
      <c r="G713" s="634"/>
      <c r="H713" s="635"/>
      <c r="I713" s="634"/>
      <c r="J713" s="636"/>
      <c r="K713" s="635"/>
      <c r="L713" s="635"/>
      <c r="M713" s="635"/>
      <c r="N713" s="635"/>
      <c r="O713" s="635"/>
      <c r="P713" s="635"/>
      <c r="Q713" s="635"/>
      <c r="R713" s="635"/>
      <c r="S713" s="634"/>
      <c r="T713" s="634"/>
      <c r="U713" s="634"/>
      <c r="V713" s="634"/>
      <c r="W713" s="634"/>
      <c r="X713" s="634"/>
      <c r="Y713" s="634"/>
      <c r="Z713" s="634"/>
      <c r="AA713" s="634"/>
    </row>
    <row r="714" ht="15.75" customHeight="1">
      <c r="A714" s="634"/>
      <c r="B714" s="634"/>
      <c r="C714" s="634"/>
      <c r="D714" s="634"/>
      <c r="E714" s="634"/>
      <c r="F714" s="634"/>
      <c r="G714" s="634"/>
      <c r="H714" s="635"/>
      <c r="I714" s="634"/>
      <c r="J714" s="636"/>
      <c r="K714" s="635"/>
      <c r="L714" s="635"/>
      <c r="M714" s="635"/>
      <c r="N714" s="635"/>
      <c r="O714" s="635"/>
      <c r="P714" s="635"/>
      <c r="Q714" s="635"/>
      <c r="R714" s="635"/>
      <c r="S714" s="634"/>
      <c r="T714" s="634"/>
      <c r="U714" s="634"/>
      <c r="V714" s="634"/>
      <c r="W714" s="634"/>
      <c r="X714" s="634"/>
      <c r="Y714" s="634"/>
      <c r="Z714" s="634"/>
      <c r="AA714" s="634"/>
    </row>
    <row r="715" ht="15.75" customHeight="1">
      <c r="A715" s="634"/>
      <c r="B715" s="634"/>
      <c r="C715" s="634"/>
      <c r="D715" s="634"/>
      <c r="E715" s="634"/>
      <c r="F715" s="634"/>
      <c r="G715" s="634"/>
      <c r="H715" s="635"/>
      <c r="I715" s="634"/>
      <c r="J715" s="636"/>
      <c r="K715" s="635"/>
      <c r="L715" s="635"/>
      <c r="M715" s="635"/>
      <c r="N715" s="635"/>
      <c r="O715" s="635"/>
      <c r="P715" s="635"/>
      <c r="Q715" s="635"/>
      <c r="R715" s="635"/>
      <c r="S715" s="634"/>
      <c r="T715" s="634"/>
      <c r="U715" s="634"/>
      <c r="V715" s="634"/>
      <c r="W715" s="634"/>
      <c r="X715" s="634"/>
      <c r="Y715" s="634"/>
      <c r="Z715" s="634"/>
      <c r="AA715" s="634"/>
    </row>
    <row r="716" ht="15.75" customHeight="1">
      <c r="A716" s="634"/>
      <c r="B716" s="634"/>
      <c r="C716" s="634"/>
      <c r="D716" s="634"/>
      <c r="E716" s="634"/>
      <c r="F716" s="634"/>
      <c r="G716" s="634"/>
      <c r="H716" s="635"/>
      <c r="I716" s="634"/>
      <c r="J716" s="636"/>
      <c r="K716" s="635"/>
      <c r="L716" s="635"/>
      <c r="M716" s="635"/>
      <c r="N716" s="635"/>
      <c r="O716" s="635"/>
      <c r="P716" s="635"/>
      <c r="Q716" s="635"/>
      <c r="R716" s="635"/>
      <c r="S716" s="634"/>
      <c r="T716" s="634"/>
      <c r="U716" s="634"/>
      <c r="V716" s="634"/>
      <c r="W716" s="634"/>
      <c r="X716" s="634"/>
      <c r="Y716" s="634"/>
      <c r="Z716" s="634"/>
      <c r="AA716" s="634"/>
    </row>
    <row r="717" ht="15.75" customHeight="1">
      <c r="A717" s="634"/>
      <c r="B717" s="634"/>
      <c r="C717" s="634"/>
      <c r="D717" s="634"/>
      <c r="E717" s="634"/>
      <c r="F717" s="634"/>
      <c r="G717" s="634"/>
      <c r="H717" s="635"/>
      <c r="I717" s="634"/>
      <c r="J717" s="636"/>
      <c r="K717" s="635"/>
      <c r="L717" s="635"/>
      <c r="M717" s="635"/>
      <c r="N717" s="635"/>
      <c r="O717" s="635"/>
      <c r="P717" s="635"/>
      <c r="Q717" s="635"/>
      <c r="R717" s="635"/>
      <c r="S717" s="634"/>
      <c r="T717" s="634"/>
      <c r="U717" s="634"/>
      <c r="V717" s="634"/>
      <c r="W717" s="634"/>
      <c r="X717" s="634"/>
      <c r="Y717" s="634"/>
      <c r="Z717" s="634"/>
      <c r="AA717" s="634"/>
    </row>
    <row r="718" ht="15.75" customHeight="1">
      <c r="A718" s="634"/>
      <c r="B718" s="634"/>
      <c r="C718" s="634"/>
      <c r="D718" s="634"/>
      <c r="E718" s="634"/>
      <c r="F718" s="634"/>
      <c r="G718" s="634"/>
      <c r="H718" s="635"/>
      <c r="I718" s="634"/>
      <c r="J718" s="636"/>
      <c r="K718" s="635"/>
      <c r="L718" s="635"/>
      <c r="M718" s="635"/>
      <c r="N718" s="635"/>
      <c r="O718" s="635"/>
      <c r="P718" s="635"/>
      <c r="Q718" s="635"/>
      <c r="R718" s="635"/>
      <c r="S718" s="634"/>
      <c r="T718" s="634"/>
      <c r="U718" s="634"/>
      <c r="V718" s="634"/>
      <c r="W718" s="634"/>
      <c r="X718" s="634"/>
      <c r="Y718" s="634"/>
      <c r="Z718" s="634"/>
      <c r="AA718" s="634"/>
    </row>
    <row r="719" ht="15.75" customHeight="1">
      <c r="A719" s="634"/>
      <c r="B719" s="634"/>
      <c r="C719" s="634"/>
      <c r="D719" s="634"/>
      <c r="E719" s="634"/>
      <c r="F719" s="634"/>
      <c r="G719" s="634"/>
      <c r="H719" s="635"/>
      <c r="I719" s="634"/>
      <c r="J719" s="636"/>
      <c r="K719" s="635"/>
      <c r="L719" s="635"/>
      <c r="M719" s="635"/>
      <c r="N719" s="635"/>
      <c r="O719" s="635"/>
      <c r="P719" s="635"/>
      <c r="Q719" s="635"/>
      <c r="R719" s="635"/>
      <c r="S719" s="634"/>
      <c r="T719" s="634"/>
      <c r="U719" s="634"/>
      <c r="V719" s="634"/>
      <c r="W719" s="634"/>
      <c r="X719" s="634"/>
      <c r="Y719" s="634"/>
      <c r="Z719" s="634"/>
      <c r="AA719" s="634"/>
    </row>
    <row r="720" ht="15.75" customHeight="1">
      <c r="A720" s="634"/>
      <c r="B720" s="634"/>
      <c r="C720" s="634"/>
      <c r="D720" s="634"/>
      <c r="E720" s="634"/>
      <c r="F720" s="634"/>
      <c r="G720" s="634"/>
      <c r="H720" s="635"/>
      <c r="I720" s="634"/>
      <c r="J720" s="636"/>
      <c r="K720" s="635"/>
      <c r="L720" s="635"/>
      <c r="M720" s="635"/>
      <c r="N720" s="635"/>
      <c r="O720" s="635"/>
      <c r="P720" s="635"/>
      <c r="Q720" s="635"/>
      <c r="R720" s="635"/>
      <c r="S720" s="634"/>
      <c r="T720" s="634"/>
      <c r="U720" s="634"/>
      <c r="V720" s="634"/>
      <c r="W720" s="634"/>
      <c r="X720" s="634"/>
      <c r="Y720" s="634"/>
      <c r="Z720" s="634"/>
      <c r="AA720" s="634"/>
    </row>
    <row r="721" ht="15.75" customHeight="1">
      <c r="A721" s="634"/>
      <c r="B721" s="634"/>
      <c r="C721" s="634"/>
      <c r="D721" s="634"/>
      <c r="E721" s="634"/>
      <c r="F721" s="634"/>
      <c r="G721" s="634"/>
      <c r="H721" s="635"/>
      <c r="I721" s="634"/>
      <c r="J721" s="636"/>
      <c r="K721" s="635"/>
      <c r="L721" s="635"/>
      <c r="M721" s="635"/>
      <c r="N721" s="635"/>
      <c r="O721" s="635"/>
      <c r="P721" s="635"/>
      <c r="Q721" s="635"/>
      <c r="R721" s="635"/>
      <c r="S721" s="634"/>
      <c r="T721" s="634"/>
      <c r="U721" s="634"/>
      <c r="V721" s="634"/>
      <c r="W721" s="634"/>
      <c r="X721" s="634"/>
      <c r="Y721" s="634"/>
      <c r="Z721" s="634"/>
      <c r="AA721" s="634"/>
    </row>
    <row r="722" ht="15.75" customHeight="1">
      <c r="A722" s="634"/>
      <c r="B722" s="634"/>
      <c r="C722" s="634"/>
      <c r="D722" s="634"/>
      <c r="E722" s="634"/>
      <c r="F722" s="634"/>
      <c r="G722" s="634"/>
      <c r="H722" s="635"/>
      <c r="I722" s="634"/>
      <c r="J722" s="636"/>
      <c r="K722" s="635"/>
      <c r="L722" s="635"/>
      <c r="M722" s="635"/>
      <c r="N722" s="635"/>
      <c r="O722" s="635"/>
      <c r="P722" s="635"/>
      <c r="Q722" s="635"/>
      <c r="R722" s="635"/>
      <c r="S722" s="634"/>
      <c r="T722" s="634"/>
      <c r="U722" s="634"/>
      <c r="V722" s="634"/>
      <c r="W722" s="634"/>
      <c r="X722" s="634"/>
      <c r="Y722" s="634"/>
      <c r="Z722" s="634"/>
      <c r="AA722" s="634"/>
    </row>
    <row r="723" ht="15.75" customHeight="1">
      <c r="A723" s="634"/>
      <c r="B723" s="634"/>
      <c r="C723" s="634"/>
      <c r="D723" s="634"/>
      <c r="E723" s="634"/>
      <c r="F723" s="634"/>
      <c r="G723" s="634"/>
      <c r="H723" s="635"/>
      <c r="I723" s="634"/>
      <c r="J723" s="636"/>
      <c r="K723" s="635"/>
      <c r="L723" s="635"/>
      <c r="M723" s="635"/>
      <c r="N723" s="635"/>
      <c r="O723" s="635"/>
      <c r="P723" s="635"/>
      <c r="Q723" s="635"/>
      <c r="R723" s="635"/>
      <c r="S723" s="634"/>
      <c r="T723" s="634"/>
      <c r="U723" s="634"/>
      <c r="V723" s="634"/>
      <c r="W723" s="634"/>
      <c r="X723" s="634"/>
      <c r="Y723" s="634"/>
      <c r="Z723" s="634"/>
      <c r="AA723" s="634"/>
    </row>
    <row r="724" ht="15.75" customHeight="1">
      <c r="A724" s="634"/>
      <c r="B724" s="634"/>
      <c r="C724" s="634"/>
      <c r="D724" s="634"/>
      <c r="E724" s="634"/>
      <c r="F724" s="634"/>
      <c r="G724" s="634"/>
      <c r="H724" s="635"/>
      <c r="I724" s="634"/>
      <c r="J724" s="636"/>
      <c r="K724" s="635"/>
      <c r="L724" s="635"/>
      <c r="M724" s="635"/>
      <c r="N724" s="635"/>
      <c r="O724" s="635"/>
      <c r="P724" s="635"/>
      <c r="Q724" s="635"/>
      <c r="R724" s="635"/>
      <c r="S724" s="634"/>
      <c r="T724" s="634"/>
      <c r="U724" s="634"/>
      <c r="V724" s="634"/>
      <c r="W724" s="634"/>
      <c r="X724" s="634"/>
      <c r="Y724" s="634"/>
      <c r="Z724" s="634"/>
      <c r="AA724" s="634"/>
    </row>
    <row r="725" ht="15.75" customHeight="1">
      <c r="A725" s="634"/>
      <c r="B725" s="634"/>
      <c r="C725" s="634"/>
      <c r="D725" s="634"/>
      <c r="E725" s="634"/>
      <c r="F725" s="634"/>
      <c r="G725" s="634"/>
      <c r="H725" s="635"/>
      <c r="I725" s="634"/>
      <c r="J725" s="636"/>
      <c r="K725" s="635"/>
      <c r="L725" s="635"/>
      <c r="M725" s="635"/>
      <c r="N725" s="635"/>
      <c r="O725" s="635"/>
      <c r="P725" s="635"/>
      <c r="Q725" s="635"/>
      <c r="R725" s="635"/>
      <c r="S725" s="634"/>
      <c r="T725" s="634"/>
      <c r="U725" s="634"/>
      <c r="V725" s="634"/>
      <c r="W725" s="634"/>
      <c r="X725" s="634"/>
      <c r="Y725" s="634"/>
      <c r="Z725" s="634"/>
      <c r="AA725" s="634"/>
    </row>
    <row r="726" ht="15.75" customHeight="1">
      <c r="A726" s="634"/>
      <c r="B726" s="634"/>
      <c r="C726" s="634"/>
      <c r="D726" s="634"/>
      <c r="E726" s="634"/>
      <c r="F726" s="634"/>
      <c r="G726" s="634"/>
      <c r="H726" s="635"/>
      <c r="I726" s="634"/>
      <c r="J726" s="636"/>
      <c r="K726" s="635"/>
      <c r="L726" s="635"/>
      <c r="M726" s="635"/>
      <c r="N726" s="635"/>
      <c r="O726" s="635"/>
      <c r="P726" s="635"/>
      <c r="Q726" s="635"/>
      <c r="R726" s="635"/>
      <c r="S726" s="634"/>
      <c r="T726" s="634"/>
      <c r="U726" s="634"/>
      <c r="V726" s="634"/>
      <c r="W726" s="634"/>
      <c r="X726" s="634"/>
      <c r="Y726" s="634"/>
      <c r="Z726" s="634"/>
      <c r="AA726" s="634"/>
    </row>
    <row r="727" ht="15.75" customHeight="1">
      <c r="A727" s="634"/>
      <c r="B727" s="634"/>
      <c r="C727" s="634"/>
      <c r="D727" s="634"/>
      <c r="E727" s="634"/>
      <c r="F727" s="634"/>
      <c r="G727" s="634"/>
      <c r="H727" s="635"/>
      <c r="I727" s="634"/>
      <c r="J727" s="636"/>
      <c r="K727" s="635"/>
      <c r="L727" s="635"/>
      <c r="M727" s="635"/>
      <c r="N727" s="635"/>
      <c r="O727" s="635"/>
      <c r="P727" s="635"/>
      <c r="Q727" s="635"/>
      <c r="R727" s="635"/>
      <c r="S727" s="634"/>
      <c r="T727" s="634"/>
      <c r="U727" s="634"/>
      <c r="V727" s="634"/>
      <c r="W727" s="634"/>
      <c r="X727" s="634"/>
      <c r="Y727" s="634"/>
      <c r="Z727" s="634"/>
      <c r="AA727" s="634"/>
    </row>
    <row r="728" ht="15.75" customHeight="1">
      <c r="A728" s="634"/>
      <c r="B728" s="634"/>
      <c r="C728" s="634"/>
      <c r="D728" s="634"/>
      <c r="E728" s="634"/>
      <c r="F728" s="634"/>
      <c r="G728" s="634"/>
      <c r="H728" s="635"/>
      <c r="I728" s="634"/>
      <c r="J728" s="636"/>
      <c r="K728" s="635"/>
      <c r="L728" s="635"/>
      <c r="M728" s="635"/>
      <c r="N728" s="635"/>
      <c r="O728" s="635"/>
      <c r="P728" s="635"/>
      <c r="Q728" s="635"/>
      <c r="R728" s="635"/>
      <c r="S728" s="634"/>
      <c r="T728" s="634"/>
      <c r="U728" s="634"/>
      <c r="V728" s="634"/>
      <c r="W728" s="634"/>
      <c r="X728" s="634"/>
      <c r="Y728" s="634"/>
      <c r="Z728" s="634"/>
      <c r="AA728" s="634"/>
    </row>
    <row r="729" ht="15.75" customHeight="1">
      <c r="A729" s="634"/>
      <c r="B729" s="634"/>
      <c r="C729" s="634"/>
      <c r="D729" s="634"/>
      <c r="E729" s="634"/>
      <c r="F729" s="634"/>
      <c r="G729" s="634"/>
      <c r="H729" s="635"/>
      <c r="I729" s="634"/>
      <c r="J729" s="636"/>
      <c r="K729" s="635"/>
      <c r="L729" s="635"/>
      <c r="M729" s="635"/>
      <c r="N729" s="635"/>
      <c r="O729" s="635"/>
      <c r="P729" s="635"/>
      <c r="Q729" s="635"/>
      <c r="R729" s="635"/>
      <c r="S729" s="634"/>
      <c r="T729" s="634"/>
      <c r="U729" s="634"/>
      <c r="V729" s="634"/>
      <c r="W729" s="634"/>
      <c r="X729" s="634"/>
      <c r="Y729" s="634"/>
      <c r="Z729" s="634"/>
      <c r="AA729" s="634"/>
    </row>
    <row r="730" ht="15.75" customHeight="1">
      <c r="A730" s="634"/>
      <c r="B730" s="634"/>
      <c r="C730" s="634"/>
      <c r="D730" s="634"/>
      <c r="E730" s="634"/>
      <c r="F730" s="634"/>
      <c r="G730" s="634"/>
      <c r="H730" s="635"/>
      <c r="I730" s="634"/>
      <c r="J730" s="636"/>
      <c r="K730" s="635"/>
      <c r="L730" s="635"/>
      <c r="M730" s="635"/>
      <c r="N730" s="635"/>
      <c r="O730" s="635"/>
      <c r="P730" s="635"/>
      <c r="Q730" s="635"/>
      <c r="R730" s="635"/>
      <c r="S730" s="634"/>
      <c r="T730" s="634"/>
      <c r="U730" s="634"/>
      <c r="V730" s="634"/>
      <c r="W730" s="634"/>
      <c r="X730" s="634"/>
      <c r="Y730" s="634"/>
      <c r="Z730" s="634"/>
      <c r="AA730" s="634"/>
    </row>
    <row r="731" ht="15.75" customHeight="1">
      <c r="A731" s="634"/>
      <c r="B731" s="634"/>
      <c r="C731" s="634"/>
      <c r="D731" s="634"/>
      <c r="E731" s="634"/>
      <c r="F731" s="634"/>
      <c r="G731" s="634"/>
      <c r="H731" s="635"/>
      <c r="I731" s="634"/>
      <c r="J731" s="636"/>
      <c r="K731" s="635"/>
      <c r="L731" s="635"/>
      <c r="M731" s="635"/>
      <c r="N731" s="635"/>
      <c r="O731" s="635"/>
      <c r="P731" s="635"/>
      <c r="Q731" s="635"/>
      <c r="R731" s="635"/>
      <c r="S731" s="634"/>
      <c r="T731" s="634"/>
      <c r="U731" s="634"/>
      <c r="V731" s="634"/>
      <c r="W731" s="634"/>
      <c r="X731" s="634"/>
      <c r="Y731" s="634"/>
      <c r="Z731" s="634"/>
      <c r="AA731" s="634"/>
    </row>
    <row r="732" ht="15.75" customHeight="1">
      <c r="A732" s="634"/>
      <c r="B732" s="634"/>
      <c r="C732" s="634"/>
      <c r="D732" s="634"/>
      <c r="E732" s="634"/>
      <c r="F732" s="634"/>
      <c r="G732" s="634"/>
      <c r="H732" s="635"/>
      <c r="I732" s="634"/>
      <c r="J732" s="636"/>
      <c r="K732" s="635"/>
      <c r="L732" s="635"/>
      <c r="M732" s="635"/>
      <c r="N732" s="635"/>
      <c r="O732" s="635"/>
      <c r="P732" s="635"/>
      <c r="Q732" s="635"/>
      <c r="R732" s="635"/>
      <c r="S732" s="634"/>
      <c r="T732" s="634"/>
      <c r="U732" s="634"/>
      <c r="V732" s="634"/>
      <c r="W732" s="634"/>
      <c r="X732" s="634"/>
      <c r="Y732" s="634"/>
      <c r="Z732" s="634"/>
      <c r="AA732" s="634"/>
    </row>
    <row r="733" ht="15.75" customHeight="1">
      <c r="A733" s="634"/>
      <c r="B733" s="634"/>
      <c r="C733" s="634"/>
      <c r="D733" s="634"/>
      <c r="E733" s="634"/>
      <c r="F733" s="634"/>
      <c r="G733" s="634"/>
      <c r="H733" s="635"/>
      <c r="I733" s="634"/>
      <c r="J733" s="636"/>
      <c r="K733" s="635"/>
      <c r="L733" s="635"/>
      <c r="M733" s="635"/>
      <c r="N733" s="635"/>
      <c r="O733" s="635"/>
      <c r="P733" s="635"/>
      <c r="Q733" s="635"/>
      <c r="R733" s="635"/>
      <c r="S733" s="634"/>
      <c r="T733" s="634"/>
      <c r="U733" s="634"/>
      <c r="V733" s="634"/>
      <c r="W733" s="634"/>
      <c r="X733" s="634"/>
      <c r="Y733" s="634"/>
      <c r="Z733" s="634"/>
      <c r="AA733" s="634"/>
    </row>
    <row r="734" ht="15.75" customHeight="1">
      <c r="A734" s="634"/>
      <c r="B734" s="634"/>
      <c r="C734" s="634"/>
      <c r="D734" s="634"/>
      <c r="E734" s="634"/>
      <c r="F734" s="634"/>
      <c r="G734" s="634"/>
      <c r="H734" s="635"/>
      <c r="I734" s="634"/>
      <c r="J734" s="636"/>
      <c r="K734" s="635"/>
      <c r="L734" s="635"/>
      <c r="M734" s="635"/>
      <c r="N734" s="635"/>
      <c r="O734" s="635"/>
      <c r="P734" s="635"/>
      <c r="Q734" s="635"/>
      <c r="R734" s="635"/>
      <c r="S734" s="634"/>
      <c r="T734" s="634"/>
      <c r="U734" s="634"/>
      <c r="V734" s="634"/>
      <c r="W734" s="634"/>
      <c r="X734" s="634"/>
      <c r="Y734" s="634"/>
      <c r="Z734" s="634"/>
      <c r="AA734" s="634"/>
    </row>
    <row r="735" ht="15.75" customHeight="1">
      <c r="A735" s="634"/>
      <c r="B735" s="634"/>
      <c r="C735" s="634"/>
      <c r="D735" s="634"/>
      <c r="E735" s="634"/>
      <c r="F735" s="634"/>
      <c r="G735" s="634"/>
      <c r="H735" s="635"/>
      <c r="I735" s="634"/>
      <c r="J735" s="636"/>
      <c r="K735" s="635"/>
      <c r="L735" s="635"/>
      <c r="M735" s="635"/>
      <c r="N735" s="635"/>
      <c r="O735" s="635"/>
      <c r="P735" s="635"/>
      <c r="Q735" s="635"/>
      <c r="R735" s="635"/>
      <c r="S735" s="634"/>
      <c r="T735" s="634"/>
      <c r="U735" s="634"/>
      <c r="V735" s="634"/>
      <c r="W735" s="634"/>
      <c r="X735" s="634"/>
      <c r="Y735" s="634"/>
      <c r="Z735" s="634"/>
      <c r="AA735" s="634"/>
    </row>
    <row r="736" ht="15.75" customHeight="1">
      <c r="A736" s="634"/>
      <c r="B736" s="634"/>
      <c r="C736" s="634"/>
      <c r="D736" s="634"/>
      <c r="E736" s="634"/>
      <c r="F736" s="634"/>
      <c r="G736" s="634"/>
      <c r="H736" s="635"/>
      <c r="I736" s="634"/>
      <c r="J736" s="636"/>
      <c r="K736" s="635"/>
      <c r="L736" s="635"/>
      <c r="M736" s="635"/>
      <c r="N736" s="635"/>
      <c r="O736" s="635"/>
      <c r="P736" s="635"/>
      <c r="Q736" s="635"/>
      <c r="R736" s="635"/>
      <c r="S736" s="634"/>
      <c r="T736" s="634"/>
      <c r="U736" s="634"/>
      <c r="V736" s="634"/>
      <c r="W736" s="634"/>
      <c r="X736" s="634"/>
      <c r="Y736" s="634"/>
      <c r="Z736" s="634"/>
      <c r="AA736" s="634"/>
    </row>
    <row r="737" ht="15.75" customHeight="1">
      <c r="A737" s="634"/>
      <c r="B737" s="634"/>
      <c r="C737" s="634"/>
      <c r="D737" s="634"/>
      <c r="E737" s="634"/>
      <c r="F737" s="634"/>
      <c r="G737" s="634"/>
      <c r="H737" s="635"/>
      <c r="I737" s="634"/>
      <c r="J737" s="636"/>
      <c r="K737" s="635"/>
      <c r="L737" s="635"/>
      <c r="M737" s="635"/>
      <c r="N737" s="635"/>
      <c r="O737" s="635"/>
      <c r="P737" s="635"/>
      <c r="Q737" s="635"/>
      <c r="R737" s="635"/>
      <c r="S737" s="634"/>
      <c r="T737" s="634"/>
      <c r="U737" s="634"/>
      <c r="V737" s="634"/>
      <c r="W737" s="634"/>
      <c r="X737" s="634"/>
      <c r="Y737" s="634"/>
      <c r="Z737" s="634"/>
      <c r="AA737" s="634"/>
    </row>
    <row r="738" ht="15.75" customHeight="1">
      <c r="A738" s="634"/>
      <c r="B738" s="634"/>
      <c r="C738" s="634"/>
      <c r="D738" s="634"/>
      <c r="E738" s="634"/>
      <c r="F738" s="634"/>
      <c r="G738" s="634"/>
      <c r="H738" s="635"/>
      <c r="I738" s="634"/>
      <c r="J738" s="636"/>
      <c r="K738" s="635"/>
      <c r="L738" s="635"/>
      <c r="M738" s="635"/>
      <c r="N738" s="635"/>
      <c r="O738" s="635"/>
      <c r="P738" s="635"/>
      <c r="Q738" s="635"/>
      <c r="R738" s="635"/>
      <c r="S738" s="634"/>
      <c r="T738" s="634"/>
      <c r="U738" s="634"/>
      <c r="V738" s="634"/>
      <c r="W738" s="634"/>
      <c r="X738" s="634"/>
      <c r="Y738" s="634"/>
      <c r="Z738" s="634"/>
      <c r="AA738" s="634"/>
    </row>
    <row r="739" ht="15.75" customHeight="1">
      <c r="A739" s="634"/>
      <c r="B739" s="634"/>
      <c r="C739" s="634"/>
      <c r="D739" s="634"/>
      <c r="E739" s="634"/>
      <c r="F739" s="634"/>
      <c r="G739" s="634"/>
      <c r="H739" s="635"/>
      <c r="I739" s="634"/>
      <c r="J739" s="636"/>
      <c r="K739" s="635"/>
      <c r="L739" s="635"/>
      <c r="M739" s="635"/>
      <c r="N739" s="635"/>
      <c r="O739" s="635"/>
      <c r="P739" s="635"/>
      <c r="Q739" s="635"/>
      <c r="R739" s="635"/>
      <c r="S739" s="634"/>
      <c r="T739" s="634"/>
      <c r="U739" s="634"/>
      <c r="V739" s="634"/>
      <c r="W739" s="634"/>
      <c r="X739" s="634"/>
      <c r="Y739" s="634"/>
      <c r="Z739" s="634"/>
      <c r="AA739" s="634"/>
    </row>
    <row r="740" ht="15.75" customHeight="1">
      <c r="A740" s="634"/>
      <c r="B740" s="634"/>
      <c r="C740" s="634"/>
      <c r="D740" s="634"/>
      <c r="E740" s="634"/>
      <c r="F740" s="634"/>
      <c r="G740" s="634"/>
      <c r="H740" s="635"/>
      <c r="I740" s="634"/>
      <c r="J740" s="636"/>
      <c r="K740" s="635"/>
      <c r="L740" s="635"/>
      <c r="M740" s="635"/>
      <c r="N740" s="635"/>
      <c r="O740" s="635"/>
      <c r="P740" s="635"/>
      <c r="Q740" s="635"/>
      <c r="R740" s="635"/>
      <c r="S740" s="634"/>
      <c r="T740" s="634"/>
      <c r="U740" s="634"/>
      <c r="V740" s="634"/>
      <c r="W740" s="634"/>
      <c r="X740" s="634"/>
      <c r="Y740" s="634"/>
      <c r="Z740" s="634"/>
      <c r="AA740" s="634"/>
    </row>
    <row r="741" ht="15.75" customHeight="1">
      <c r="A741" s="634"/>
      <c r="B741" s="634"/>
      <c r="C741" s="634"/>
      <c r="D741" s="634"/>
      <c r="E741" s="634"/>
      <c r="F741" s="634"/>
      <c r="G741" s="634"/>
      <c r="H741" s="635"/>
      <c r="I741" s="634"/>
      <c r="J741" s="636"/>
      <c r="K741" s="635"/>
      <c r="L741" s="635"/>
      <c r="M741" s="635"/>
      <c r="N741" s="635"/>
      <c r="O741" s="635"/>
      <c r="P741" s="635"/>
      <c r="Q741" s="635"/>
      <c r="R741" s="635"/>
      <c r="S741" s="634"/>
      <c r="T741" s="634"/>
      <c r="U741" s="634"/>
      <c r="V741" s="634"/>
      <c r="W741" s="634"/>
      <c r="X741" s="634"/>
      <c r="Y741" s="634"/>
      <c r="Z741" s="634"/>
      <c r="AA741" s="634"/>
    </row>
    <row r="742" ht="15.75" customHeight="1">
      <c r="A742" s="634"/>
      <c r="B742" s="634"/>
      <c r="C742" s="634"/>
      <c r="D742" s="634"/>
      <c r="E742" s="634"/>
      <c r="F742" s="634"/>
      <c r="G742" s="634"/>
      <c r="H742" s="635"/>
      <c r="I742" s="634"/>
      <c r="J742" s="636"/>
      <c r="K742" s="635"/>
      <c r="L742" s="635"/>
      <c r="M742" s="635"/>
      <c r="N742" s="635"/>
      <c r="O742" s="635"/>
      <c r="P742" s="635"/>
      <c r="Q742" s="635"/>
      <c r="R742" s="635"/>
      <c r="S742" s="634"/>
      <c r="T742" s="634"/>
      <c r="U742" s="634"/>
      <c r="V742" s="634"/>
      <c r="W742" s="634"/>
      <c r="X742" s="634"/>
      <c r="Y742" s="634"/>
      <c r="Z742" s="634"/>
      <c r="AA742" s="634"/>
    </row>
    <row r="743" ht="15.75" customHeight="1">
      <c r="A743" s="634"/>
      <c r="B743" s="634"/>
      <c r="C743" s="634"/>
      <c r="D743" s="634"/>
      <c r="E743" s="634"/>
      <c r="F743" s="634"/>
      <c r="G743" s="634"/>
      <c r="H743" s="635"/>
      <c r="I743" s="634"/>
      <c r="J743" s="636"/>
      <c r="K743" s="635"/>
      <c r="L743" s="635"/>
      <c r="M743" s="635"/>
      <c r="N743" s="635"/>
      <c r="O743" s="635"/>
      <c r="P743" s="635"/>
      <c r="Q743" s="635"/>
      <c r="R743" s="635"/>
      <c r="S743" s="634"/>
      <c r="T743" s="634"/>
      <c r="U743" s="634"/>
      <c r="V743" s="634"/>
      <c r="W743" s="634"/>
      <c r="X743" s="634"/>
      <c r="Y743" s="634"/>
      <c r="Z743" s="634"/>
      <c r="AA743" s="634"/>
    </row>
    <row r="744" ht="15.75" customHeight="1">
      <c r="A744" s="634"/>
      <c r="B744" s="634"/>
      <c r="C744" s="634"/>
      <c r="D744" s="634"/>
      <c r="E744" s="634"/>
      <c r="F744" s="634"/>
      <c r="G744" s="634"/>
      <c r="H744" s="635"/>
      <c r="I744" s="634"/>
      <c r="J744" s="636"/>
      <c r="K744" s="635"/>
      <c r="L744" s="635"/>
      <c r="M744" s="635"/>
      <c r="N744" s="635"/>
      <c r="O744" s="635"/>
      <c r="P744" s="635"/>
      <c r="Q744" s="635"/>
      <c r="R744" s="635"/>
      <c r="S744" s="634"/>
      <c r="T744" s="634"/>
      <c r="U744" s="634"/>
      <c r="V744" s="634"/>
      <c r="W744" s="634"/>
      <c r="X744" s="634"/>
      <c r="Y744" s="634"/>
      <c r="Z744" s="634"/>
      <c r="AA744" s="634"/>
    </row>
    <row r="745" ht="15.75" customHeight="1">
      <c r="A745" s="634"/>
      <c r="B745" s="634"/>
      <c r="C745" s="634"/>
      <c r="D745" s="634"/>
      <c r="E745" s="634"/>
      <c r="F745" s="634"/>
      <c r="G745" s="634"/>
      <c r="H745" s="635"/>
      <c r="I745" s="634"/>
      <c r="J745" s="636"/>
      <c r="K745" s="635"/>
      <c r="L745" s="635"/>
      <c r="M745" s="635"/>
      <c r="N745" s="635"/>
      <c r="O745" s="635"/>
      <c r="P745" s="635"/>
      <c r="Q745" s="635"/>
      <c r="R745" s="635"/>
      <c r="S745" s="634"/>
      <c r="T745" s="634"/>
      <c r="U745" s="634"/>
      <c r="V745" s="634"/>
      <c r="W745" s="634"/>
      <c r="X745" s="634"/>
      <c r="Y745" s="634"/>
      <c r="Z745" s="634"/>
      <c r="AA745" s="634"/>
    </row>
    <row r="746" ht="15.75" customHeight="1">
      <c r="A746" s="634"/>
      <c r="B746" s="634"/>
      <c r="C746" s="634"/>
      <c r="D746" s="634"/>
      <c r="E746" s="634"/>
      <c r="F746" s="634"/>
      <c r="G746" s="634"/>
      <c r="H746" s="635"/>
      <c r="I746" s="634"/>
      <c r="J746" s="636"/>
      <c r="K746" s="635"/>
      <c r="L746" s="635"/>
      <c r="M746" s="635"/>
      <c r="N746" s="635"/>
      <c r="O746" s="635"/>
      <c r="P746" s="635"/>
      <c r="Q746" s="635"/>
      <c r="R746" s="635"/>
      <c r="S746" s="634"/>
      <c r="T746" s="634"/>
      <c r="U746" s="634"/>
      <c r="V746" s="634"/>
      <c r="W746" s="634"/>
      <c r="X746" s="634"/>
      <c r="Y746" s="634"/>
      <c r="Z746" s="634"/>
      <c r="AA746" s="634"/>
    </row>
    <row r="747" ht="15.75" customHeight="1">
      <c r="A747" s="634"/>
      <c r="B747" s="634"/>
      <c r="C747" s="634"/>
      <c r="D747" s="634"/>
      <c r="E747" s="634"/>
      <c r="F747" s="634"/>
      <c r="G747" s="634"/>
      <c r="H747" s="635"/>
      <c r="I747" s="634"/>
      <c r="J747" s="636"/>
      <c r="K747" s="635"/>
      <c r="L747" s="635"/>
      <c r="M747" s="635"/>
      <c r="N747" s="635"/>
      <c r="O747" s="635"/>
      <c r="P747" s="635"/>
      <c r="Q747" s="635"/>
      <c r="R747" s="635"/>
      <c r="S747" s="634"/>
      <c r="T747" s="634"/>
      <c r="U747" s="634"/>
      <c r="V747" s="634"/>
      <c r="W747" s="634"/>
      <c r="X747" s="634"/>
      <c r="Y747" s="634"/>
      <c r="Z747" s="634"/>
      <c r="AA747" s="634"/>
    </row>
    <row r="748" ht="15.75" customHeight="1">
      <c r="A748" s="634"/>
      <c r="B748" s="634"/>
      <c r="C748" s="634"/>
      <c r="D748" s="634"/>
      <c r="E748" s="634"/>
      <c r="F748" s="634"/>
      <c r="G748" s="634"/>
      <c r="H748" s="635"/>
      <c r="I748" s="634"/>
      <c r="J748" s="636"/>
      <c r="K748" s="635"/>
      <c r="L748" s="635"/>
      <c r="M748" s="635"/>
      <c r="N748" s="635"/>
      <c r="O748" s="635"/>
      <c r="P748" s="635"/>
      <c r="Q748" s="635"/>
      <c r="R748" s="635"/>
      <c r="S748" s="634"/>
      <c r="T748" s="634"/>
      <c r="U748" s="634"/>
      <c r="V748" s="634"/>
      <c r="W748" s="634"/>
      <c r="X748" s="634"/>
      <c r="Y748" s="634"/>
      <c r="Z748" s="634"/>
      <c r="AA748" s="634"/>
    </row>
    <row r="749" ht="15.75" customHeight="1">
      <c r="A749" s="634"/>
      <c r="B749" s="634"/>
      <c r="C749" s="634"/>
      <c r="D749" s="634"/>
      <c r="E749" s="634"/>
      <c r="F749" s="634"/>
      <c r="G749" s="634"/>
      <c r="H749" s="635"/>
      <c r="I749" s="634"/>
      <c r="J749" s="636"/>
      <c r="K749" s="635"/>
      <c r="L749" s="635"/>
      <c r="M749" s="635"/>
      <c r="N749" s="635"/>
      <c r="O749" s="635"/>
      <c r="P749" s="635"/>
      <c r="Q749" s="635"/>
      <c r="R749" s="635"/>
      <c r="S749" s="634"/>
      <c r="T749" s="634"/>
      <c r="U749" s="634"/>
      <c r="V749" s="634"/>
      <c r="W749" s="634"/>
      <c r="X749" s="634"/>
      <c r="Y749" s="634"/>
      <c r="Z749" s="634"/>
      <c r="AA749" s="634"/>
    </row>
    <row r="750" ht="15.75" customHeight="1">
      <c r="A750" s="634"/>
      <c r="B750" s="634"/>
      <c r="C750" s="634"/>
      <c r="D750" s="634"/>
      <c r="E750" s="634"/>
      <c r="F750" s="634"/>
      <c r="G750" s="634"/>
      <c r="H750" s="635"/>
      <c r="I750" s="634"/>
      <c r="J750" s="636"/>
      <c r="K750" s="635"/>
      <c r="L750" s="635"/>
      <c r="M750" s="635"/>
      <c r="N750" s="635"/>
      <c r="O750" s="635"/>
      <c r="P750" s="635"/>
      <c r="Q750" s="635"/>
      <c r="R750" s="635"/>
      <c r="S750" s="634"/>
      <c r="T750" s="634"/>
      <c r="U750" s="634"/>
      <c r="V750" s="634"/>
      <c r="W750" s="634"/>
      <c r="X750" s="634"/>
      <c r="Y750" s="634"/>
      <c r="Z750" s="634"/>
      <c r="AA750" s="634"/>
    </row>
    <row r="751" ht="15.75" customHeight="1">
      <c r="A751" s="634"/>
      <c r="B751" s="634"/>
      <c r="C751" s="634"/>
      <c r="D751" s="634"/>
      <c r="E751" s="634"/>
      <c r="F751" s="634"/>
      <c r="G751" s="634"/>
      <c r="H751" s="635"/>
      <c r="I751" s="634"/>
      <c r="J751" s="636"/>
      <c r="K751" s="635"/>
      <c r="L751" s="635"/>
      <c r="M751" s="635"/>
      <c r="N751" s="635"/>
      <c r="O751" s="635"/>
      <c r="P751" s="635"/>
      <c r="Q751" s="635"/>
      <c r="R751" s="635"/>
      <c r="S751" s="634"/>
      <c r="T751" s="634"/>
      <c r="U751" s="634"/>
      <c r="V751" s="634"/>
      <c r="W751" s="634"/>
      <c r="X751" s="634"/>
      <c r="Y751" s="634"/>
      <c r="Z751" s="634"/>
      <c r="AA751" s="634"/>
    </row>
    <row r="752" ht="15.75" customHeight="1">
      <c r="A752" s="634"/>
      <c r="B752" s="634"/>
      <c r="C752" s="634"/>
      <c r="D752" s="634"/>
      <c r="E752" s="634"/>
      <c r="F752" s="634"/>
      <c r="G752" s="634"/>
      <c r="H752" s="635"/>
      <c r="I752" s="634"/>
      <c r="J752" s="636"/>
      <c r="K752" s="635"/>
      <c r="L752" s="635"/>
      <c r="M752" s="635"/>
      <c r="N752" s="635"/>
      <c r="O752" s="635"/>
      <c r="P752" s="635"/>
      <c r="Q752" s="635"/>
      <c r="R752" s="635"/>
      <c r="S752" s="634"/>
      <c r="T752" s="634"/>
      <c r="U752" s="634"/>
      <c r="V752" s="634"/>
      <c r="W752" s="634"/>
      <c r="X752" s="634"/>
      <c r="Y752" s="634"/>
      <c r="Z752" s="634"/>
      <c r="AA752" s="634"/>
    </row>
    <row r="753" ht="15.75" customHeight="1">
      <c r="A753" s="634"/>
      <c r="B753" s="634"/>
      <c r="C753" s="634"/>
      <c r="D753" s="634"/>
      <c r="E753" s="634"/>
      <c r="F753" s="634"/>
      <c r="G753" s="634"/>
      <c r="H753" s="635"/>
      <c r="I753" s="634"/>
      <c r="J753" s="636"/>
      <c r="K753" s="635"/>
      <c r="L753" s="635"/>
      <c r="M753" s="635"/>
      <c r="N753" s="635"/>
      <c r="O753" s="635"/>
      <c r="P753" s="635"/>
      <c r="Q753" s="635"/>
      <c r="R753" s="635"/>
      <c r="S753" s="634"/>
      <c r="T753" s="634"/>
      <c r="U753" s="634"/>
      <c r="V753" s="634"/>
      <c r="W753" s="634"/>
      <c r="X753" s="634"/>
      <c r="Y753" s="634"/>
      <c r="Z753" s="634"/>
      <c r="AA753" s="634"/>
    </row>
    <row r="754" ht="15.75" customHeight="1">
      <c r="A754" s="634"/>
      <c r="B754" s="634"/>
      <c r="C754" s="634"/>
      <c r="D754" s="634"/>
      <c r="E754" s="634"/>
      <c r="F754" s="634"/>
      <c r="G754" s="634"/>
      <c r="H754" s="635"/>
      <c r="I754" s="634"/>
      <c r="J754" s="636"/>
      <c r="K754" s="635"/>
      <c r="L754" s="635"/>
      <c r="M754" s="635"/>
      <c r="N754" s="635"/>
      <c r="O754" s="635"/>
      <c r="P754" s="635"/>
      <c r="Q754" s="635"/>
      <c r="R754" s="635"/>
      <c r="S754" s="634"/>
      <c r="T754" s="634"/>
      <c r="U754" s="634"/>
      <c r="V754" s="634"/>
      <c r="W754" s="634"/>
      <c r="X754" s="634"/>
      <c r="Y754" s="634"/>
      <c r="Z754" s="634"/>
      <c r="AA754" s="634"/>
    </row>
    <row r="755" ht="15.75" customHeight="1">
      <c r="A755" s="634"/>
      <c r="B755" s="634"/>
      <c r="C755" s="634"/>
      <c r="D755" s="634"/>
      <c r="E755" s="634"/>
      <c r="F755" s="634"/>
      <c r="G755" s="634"/>
      <c r="H755" s="635"/>
      <c r="I755" s="634"/>
      <c r="J755" s="636"/>
      <c r="K755" s="635"/>
      <c r="L755" s="635"/>
      <c r="M755" s="635"/>
      <c r="N755" s="635"/>
      <c r="O755" s="635"/>
      <c r="P755" s="635"/>
      <c r="Q755" s="635"/>
      <c r="R755" s="635"/>
      <c r="S755" s="634"/>
      <c r="T755" s="634"/>
      <c r="U755" s="634"/>
      <c r="V755" s="634"/>
      <c r="W755" s="634"/>
      <c r="X755" s="634"/>
      <c r="Y755" s="634"/>
      <c r="Z755" s="634"/>
      <c r="AA755" s="634"/>
    </row>
    <row r="756" ht="15.75" customHeight="1">
      <c r="A756" s="634"/>
      <c r="B756" s="634"/>
      <c r="C756" s="634"/>
      <c r="D756" s="634"/>
      <c r="E756" s="634"/>
      <c r="F756" s="634"/>
      <c r="G756" s="634"/>
      <c r="H756" s="635"/>
      <c r="I756" s="634"/>
      <c r="J756" s="636"/>
      <c r="K756" s="635"/>
      <c r="L756" s="635"/>
      <c r="M756" s="635"/>
      <c r="N756" s="635"/>
      <c r="O756" s="635"/>
      <c r="P756" s="635"/>
      <c r="Q756" s="635"/>
      <c r="R756" s="635"/>
      <c r="S756" s="634"/>
      <c r="T756" s="634"/>
      <c r="U756" s="634"/>
      <c r="V756" s="634"/>
      <c r="W756" s="634"/>
      <c r="X756" s="634"/>
      <c r="Y756" s="634"/>
      <c r="Z756" s="634"/>
      <c r="AA756" s="634"/>
    </row>
    <row r="757" ht="15.75" customHeight="1">
      <c r="A757" s="634"/>
      <c r="B757" s="634"/>
      <c r="C757" s="634"/>
      <c r="D757" s="634"/>
      <c r="E757" s="634"/>
      <c r="F757" s="634"/>
      <c r="G757" s="634"/>
      <c r="H757" s="635"/>
      <c r="I757" s="634"/>
      <c r="J757" s="636"/>
      <c r="K757" s="635"/>
      <c r="L757" s="635"/>
      <c r="M757" s="635"/>
      <c r="N757" s="635"/>
      <c r="O757" s="635"/>
      <c r="P757" s="635"/>
      <c r="Q757" s="635"/>
      <c r="R757" s="635"/>
      <c r="S757" s="634"/>
      <c r="T757" s="634"/>
      <c r="U757" s="634"/>
      <c r="V757" s="634"/>
      <c r="W757" s="634"/>
      <c r="X757" s="634"/>
      <c r="Y757" s="634"/>
      <c r="Z757" s="634"/>
      <c r="AA757" s="634"/>
    </row>
    <row r="758" ht="15.75" customHeight="1">
      <c r="A758" s="634"/>
      <c r="B758" s="634"/>
      <c r="C758" s="634"/>
      <c r="D758" s="634"/>
      <c r="E758" s="634"/>
      <c r="F758" s="634"/>
      <c r="G758" s="634"/>
      <c r="H758" s="635"/>
      <c r="I758" s="634"/>
      <c r="J758" s="636"/>
      <c r="K758" s="635"/>
      <c r="L758" s="635"/>
      <c r="M758" s="635"/>
      <c r="N758" s="635"/>
      <c r="O758" s="635"/>
      <c r="P758" s="635"/>
      <c r="Q758" s="635"/>
      <c r="R758" s="635"/>
      <c r="S758" s="634"/>
      <c r="T758" s="634"/>
      <c r="U758" s="634"/>
      <c r="V758" s="634"/>
      <c r="W758" s="634"/>
      <c r="X758" s="634"/>
      <c r="Y758" s="634"/>
      <c r="Z758" s="634"/>
      <c r="AA758" s="634"/>
    </row>
    <row r="759" ht="15.75" customHeight="1">
      <c r="A759" s="634"/>
      <c r="B759" s="634"/>
      <c r="C759" s="634"/>
      <c r="D759" s="634"/>
      <c r="E759" s="634"/>
      <c r="F759" s="634"/>
      <c r="G759" s="634"/>
      <c r="H759" s="635"/>
      <c r="I759" s="634"/>
      <c r="J759" s="636"/>
      <c r="K759" s="635"/>
      <c r="L759" s="635"/>
      <c r="M759" s="635"/>
      <c r="N759" s="635"/>
      <c r="O759" s="635"/>
      <c r="P759" s="635"/>
      <c r="Q759" s="635"/>
      <c r="R759" s="635"/>
      <c r="S759" s="634"/>
      <c r="T759" s="634"/>
      <c r="U759" s="634"/>
      <c r="V759" s="634"/>
      <c r="W759" s="634"/>
      <c r="X759" s="634"/>
      <c r="Y759" s="634"/>
      <c r="Z759" s="634"/>
      <c r="AA759" s="634"/>
    </row>
    <row r="760" ht="15.75" customHeight="1">
      <c r="A760" s="634"/>
      <c r="B760" s="634"/>
      <c r="C760" s="634"/>
      <c r="D760" s="634"/>
      <c r="E760" s="634"/>
      <c r="F760" s="634"/>
      <c r="G760" s="634"/>
      <c r="H760" s="635"/>
      <c r="I760" s="634"/>
      <c r="J760" s="636"/>
      <c r="K760" s="635"/>
      <c r="L760" s="635"/>
      <c r="M760" s="635"/>
      <c r="N760" s="635"/>
      <c r="O760" s="635"/>
      <c r="P760" s="635"/>
      <c r="Q760" s="635"/>
      <c r="R760" s="635"/>
      <c r="S760" s="634"/>
      <c r="T760" s="634"/>
      <c r="U760" s="634"/>
      <c r="V760" s="634"/>
      <c r="W760" s="634"/>
      <c r="X760" s="634"/>
      <c r="Y760" s="634"/>
      <c r="Z760" s="634"/>
      <c r="AA760" s="634"/>
    </row>
    <row r="761" ht="15.75" customHeight="1">
      <c r="A761" s="634"/>
      <c r="B761" s="634"/>
      <c r="C761" s="634"/>
      <c r="D761" s="634"/>
      <c r="E761" s="634"/>
      <c r="F761" s="634"/>
      <c r="G761" s="634"/>
      <c r="H761" s="635"/>
      <c r="I761" s="634"/>
      <c r="J761" s="636"/>
      <c r="K761" s="635"/>
      <c r="L761" s="635"/>
      <c r="M761" s="635"/>
      <c r="N761" s="635"/>
      <c r="O761" s="635"/>
      <c r="P761" s="635"/>
      <c r="Q761" s="635"/>
      <c r="R761" s="635"/>
      <c r="S761" s="634"/>
      <c r="T761" s="634"/>
      <c r="U761" s="634"/>
      <c r="V761" s="634"/>
      <c r="W761" s="634"/>
      <c r="X761" s="634"/>
      <c r="Y761" s="634"/>
      <c r="Z761" s="634"/>
      <c r="AA761" s="634"/>
    </row>
    <row r="762" ht="15.75" customHeight="1">
      <c r="A762" s="634"/>
      <c r="B762" s="634"/>
      <c r="C762" s="634"/>
      <c r="D762" s="634"/>
      <c r="E762" s="634"/>
      <c r="F762" s="634"/>
      <c r="G762" s="634"/>
      <c r="H762" s="635"/>
      <c r="I762" s="634"/>
      <c r="J762" s="636"/>
      <c r="K762" s="635"/>
      <c r="L762" s="635"/>
      <c r="M762" s="635"/>
      <c r="N762" s="635"/>
      <c r="O762" s="635"/>
      <c r="P762" s="635"/>
      <c r="Q762" s="635"/>
      <c r="R762" s="635"/>
      <c r="S762" s="634"/>
      <c r="T762" s="634"/>
      <c r="U762" s="634"/>
      <c r="V762" s="634"/>
      <c r="W762" s="634"/>
      <c r="X762" s="634"/>
      <c r="Y762" s="634"/>
      <c r="Z762" s="634"/>
      <c r="AA762" s="634"/>
    </row>
    <row r="763" ht="15.75" customHeight="1">
      <c r="A763" s="634"/>
      <c r="B763" s="634"/>
      <c r="C763" s="634"/>
      <c r="D763" s="634"/>
      <c r="E763" s="634"/>
      <c r="F763" s="634"/>
      <c r="G763" s="634"/>
      <c r="H763" s="635"/>
      <c r="I763" s="634"/>
      <c r="J763" s="636"/>
      <c r="K763" s="635"/>
      <c r="L763" s="635"/>
      <c r="M763" s="635"/>
      <c r="N763" s="635"/>
      <c r="O763" s="635"/>
      <c r="P763" s="635"/>
      <c r="Q763" s="635"/>
      <c r="R763" s="635"/>
      <c r="S763" s="634"/>
      <c r="T763" s="634"/>
      <c r="U763" s="634"/>
      <c r="V763" s="634"/>
      <c r="W763" s="634"/>
      <c r="X763" s="634"/>
      <c r="Y763" s="634"/>
      <c r="Z763" s="634"/>
      <c r="AA763" s="634"/>
    </row>
    <row r="764" ht="15.75" customHeight="1">
      <c r="A764" s="634"/>
      <c r="B764" s="634"/>
      <c r="C764" s="634"/>
      <c r="D764" s="634"/>
      <c r="E764" s="634"/>
      <c r="F764" s="634"/>
      <c r="G764" s="634"/>
      <c r="H764" s="635"/>
      <c r="I764" s="634"/>
      <c r="J764" s="636"/>
      <c r="K764" s="635"/>
      <c r="L764" s="635"/>
      <c r="M764" s="635"/>
      <c r="N764" s="635"/>
      <c r="O764" s="635"/>
      <c r="P764" s="635"/>
      <c r="Q764" s="635"/>
      <c r="R764" s="635"/>
      <c r="S764" s="634"/>
      <c r="T764" s="634"/>
      <c r="U764" s="634"/>
      <c r="V764" s="634"/>
      <c r="W764" s="634"/>
      <c r="X764" s="634"/>
      <c r="Y764" s="634"/>
      <c r="Z764" s="634"/>
      <c r="AA764" s="634"/>
    </row>
    <row r="765" ht="15.75" customHeight="1">
      <c r="A765" s="634"/>
      <c r="B765" s="634"/>
      <c r="C765" s="634"/>
      <c r="D765" s="634"/>
      <c r="E765" s="634"/>
      <c r="F765" s="634"/>
      <c r="G765" s="634"/>
      <c r="H765" s="635"/>
      <c r="I765" s="634"/>
      <c r="J765" s="636"/>
      <c r="K765" s="635"/>
      <c r="L765" s="635"/>
      <c r="M765" s="635"/>
      <c r="N765" s="635"/>
      <c r="O765" s="635"/>
      <c r="P765" s="635"/>
      <c r="Q765" s="635"/>
      <c r="R765" s="635"/>
      <c r="S765" s="634"/>
      <c r="T765" s="634"/>
      <c r="U765" s="634"/>
      <c r="V765" s="634"/>
      <c r="W765" s="634"/>
      <c r="X765" s="634"/>
      <c r="Y765" s="634"/>
      <c r="Z765" s="634"/>
      <c r="AA765" s="634"/>
    </row>
    <row r="766" ht="15.75" customHeight="1">
      <c r="A766" s="634"/>
      <c r="B766" s="634"/>
      <c r="C766" s="634"/>
      <c r="D766" s="634"/>
      <c r="E766" s="634"/>
      <c r="F766" s="634"/>
      <c r="G766" s="634"/>
      <c r="H766" s="635"/>
      <c r="I766" s="634"/>
      <c r="J766" s="636"/>
      <c r="K766" s="635"/>
      <c r="L766" s="635"/>
      <c r="M766" s="635"/>
      <c r="N766" s="635"/>
      <c r="O766" s="635"/>
      <c r="P766" s="635"/>
      <c r="Q766" s="635"/>
      <c r="R766" s="635"/>
      <c r="S766" s="634"/>
      <c r="T766" s="634"/>
      <c r="U766" s="634"/>
      <c r="V766" s="634"/>
      <c r="W766" s="634"/>
      <c r="X766" s="634"/>
      <c r="Y766" s="634"/>
      <c r="Z766" s="634"/>
      <c r="AA766" s="634"/>
    </row>
    <row r="767" ht="15.75" customHeight="1">
      <c r="A767" s="634"/>
      <c r="B767" s="634"/>
      <c r="C767" s="634"/>
      <c r="D767" s="634"/>
      <c r="E767" s="634"/>
      <c r="F767" s="634"/>
      <c r="G767" s="634"/>
      <c r="H767" s="635"/>
      <c r="I767" s="634"/>
      <c r="J767" s="636"/>
      <c r="K767" s="635"/>
      <c r="L767" s="635"/>
      <c r="M767" s="635"/>
      <c r="N767" s="635"/>
      <c r="O767" s="635"/>
      <c r="P767" s="635"/>
      <c r="Q767" s="635"/>
      <c r="R767" s="635"/>
      <c r="S767" s="634"/>
      <c r="T767" s="634"/>
      <c r="U767" s="634"/>
      <c r="V767" s="634"/>
      <c r="W767" s="634"/>
      <c r="X767" s="634"/>
      <c r="Y767" s="634"/>
      <c r="Z767" s="634"/>
      <c r="AA767" s="634"/>
    </row>
    <row r="768" ht="15.75" customHeight="1">
      <c r="A768" s="634"/>
      <c r="B768" s="634"/>
      <c r="C768" s="634"/>
      <c r="D768" s="634"/>
      <c r="E768" s="634"/>
      <c r="F768" s="634"/>
      <c r="G768" s="634"/>
      <c r="H768" s="635"/>
      <c r="I768" s="634"/>
      <c r="J768" s="636"/>
      <c r="K768" s="635"/>
      <c r="L768" s="635"/>
      <c r="M768" s="635"/>
      <c r="N768" s="635"/>
      <c r="O768" s="635"/>
      <c r="P768" s="635"/>
      <c r="Q768" s="635"/>
      <c r="R768" s="635"/>
      <c r="S768" s="634"/>
      <c r="T768" s="634"/>
      <c r="U768" s="634"/>
      <c r="V768" s="634"/>
      <c r="W768" s="634"/>
      <c r="X768" s="634"/>
      <c r="Y768" s="634"/>
      <c r="Z768" s="634"/>
      <c r="AA768" s="634"/>
    </row>
    <row r="769" ht="15.75" customHeight="1">
      <c r="A769" s="634"/>
      <c r="B769" s="634"/>
      <c r="C769" s="634"/>
      <c r="D769" s="634"/>
      <c r="E769" s="634"/>
      <c r="F769" s="634"/>
      <c r="G769" s="634"/>
      <c r="H769" s="635"/>
      <c r="I769" s="634"/>
      <c r="J769" s="636"/>
      <c r="K769" s="635"/>
      <c r="L769" s="635"/>
      <c r="M769" s="635"/>
      <c r="N769" s="635"/>
      <c r="O769" s="635"/>
      <c r="P769" s="635"/>
      <c r="Q769" s="635"/>
      <c r="R769" s="635"/>
      <c r="S769" s="634"/>
      <c r="T769" s="634"/>
      <c r="U769" s="634"/>
      <c r="V769" s="634"/>
      <c r="W769" s="634"/>
      <c r="X769" s="634"/>
      <c r="Y769" s="634"/>
      <c r="Z769" s="634"/>
      <c r="AA769" s="634"/>
    </row>
    <row r="770" ht="15.75" customHeight="1">
      <c r="A770" s="634"/>
      <c r="B770" s="634"/>
      <c r="C770" s="634"/>
      <c r="D770" s="634"/>
      <c r="E770" s="634"/>
      <c r="F770" s="634"/>
      <c r="G770" s="634"/>
      <c r="H770" s="635"/>
      <c r="I770" s="634"/>
      <c r="J770" s="636"/>
      <c r="K770" s="635"/>
      <c r="L770" s="635"/>
      <c r="M770" s="635"/>
      <c r="N770" s="635"/>
      <c r="O770" s="635"/>
      <c r="P770" s="635"/>
      <c r="Q770" s="635"/>
      <c r="R770" s="635"/>
      <c r="S770" s="634"/>
      <c r="T770" s="634"/>
      <c r="U770" s="634"/>
      <c r="V770" s="634"/>
      <c r="W770" s="634"/>
      <c r="X770" s="634"/>
      <c r="Y770" s="634"/>
      <c r="Z770" s="634"/>
      <c r="AA770" s="634"/>
    </row>
    <row r="771" ht="15.75" customHeight="1">
      <c r="A771" s="634"/>
      <c r="B771" s="634"/>
      <c r="C771" s="634"/>
      <c r="D771" s="634"/>
      <c r="E771" s="634"/>
      <c r="F771" s="634"/>
      <c r="G771" s="634"/>
      <c r="H771" s="635"/>
      <c r="I771" s="634"/>
      <c r="J771" s="636"/>
      <c r="K771" s="635"/>
      <c r="L771" s="635"/>
      <c r="M771" s="635"/>
      <c r="N771" s="635"/>
      <c r="O771" s="635"/>
      <c r="P771" s="635"/>
      <c r="Q771" s="635"/>
      <c r="R771" s="635"/>
      <c r="S771" s="634"/>
      <c r="T771" s="634"/>
      <c r="U771" s="634"/>
      <c r="V771" s="634"/>
      <c r="W771" s="634"/>
      <c r="X771" s="634"/>
      <c r="Y771" s="634"/>
      <c r="Z771" s="634"/>
      <c r="AA771" s="634"/>
    </row>
    <row r="772" ht="15.75" customHeight="1">
      <c r="A772" s="634"/>
      <c r="B772" s="634"/>
      <c r="C772" s="634"/>
      <c r="D772" s="634"/>
      <c r="E772" s="634"/>
      <c r="F772" s="634"/>
      <c r="G772" s="634"/>
      <c r="H772" s="635"/>
      <c r="I772" s="634"/>
      <c r="J772" s="636"/>
      <c r="K772" s="635"/>
      <c r="L772" s="635"/>
      <c r="M772" s="635"/>
      <c r="N772" s="635"/>
      <c r="O772" s="635"/>
      <c r="P772" s="635"/>
      <c r="Q772" s="635"/>
      <c r="R772" s="635"/>
      <c r="S772" s="634"/>
      <c r="T772" s="634"/>
      <c r="U772" s="634"/>
      <c r="V772" s="634"/>
      <c r="W772" s="634"/>
      <c r="X772" s="634"/>
      <c r="Y772" s="634"/>
      <c r="Z772" s="634"/>
      <c r="AA772" s="634"/>
    </row>
    <row r="773" ht="15.75" customHeight="1">
      <c r="A773" s="634"/>
      <c r="B773" s="634"/>
      <c r="C773" s="634"/>
      <c r="D773" s="634"/>
      <c r="E773" s="634"/>
      <c r="F773" s="634"/>
      <c r="G773" s="634"/>
      <c r="H773" s="635"/>
      <c r="I773" s="634"/>
      <c r="J773" s="636"/>
      <c r="K773" s="635"/>
      <c r="L773" s="635"/>
      <c r="M773" s="635"/>
      <c r="N773" s="635"/>
      <c r="O773" s="635"/>
      <c r="P773" s="635"/>
      <c r="Q773" s="635"/>
      <c r="R773" s="635"/>
      <c r="S773" s="634"/>
      <c r="T773" s="634"/>
      <c r="U773" s="634"/>
      <c r="V773" s="634"/>
      <c r="W773" s="634"/>
      <c r="X773" s="634"/>
      <c r="Y773" s="634"/>
      <c r="Z773" s="634"/>
      <c r="AA773" s="634"/>
    </row>
    <row r="774" ht="15.75" customHeight="1">
      <c r="A774" s="634"/>
      <c r="B774" s="634"/>
      <c r="C774" s="634"/>
      <c r="D774" s="634"/>
      <c r="E774" s="634"/>
      <c r="F774" s="634"/>
      <c r="G774" s="634"/>
      <c r="H774" s="635"/>
      <c r="I774" s="634"/>
      <c r="J774" s="636"/>
      <c r="K774" s="635"/>
      <c r="L774" s="635"/>
      <c r="M774" s="635"/>
      <c r="N774" s="635"/>
      <c r="O774" s="635"/>
      <c r="P774" s="635"/>
      <c r="Q774" s="635"/>
      <c r="R774" s="635"/>
      <c r="S774" s="634"/>
      <c r="T774" s="634"/>
      <c r="U774" s="634"/>
      <c r="V774" s="634"/>
      <c r="W774" s="634"/>
      <c r="X774" s="634"/>
      <c r="Y774" s="634"/>
      <c r="Z774" s="634"/>
      <c r="AA774" s="634"/>
    </row>
    <row r="775" ht="15.75" customHeight="1">
      <c r="A775" s="634"/>
      <c r="B775" s="634"/>
      <c r="C775" s="634"/>
      <c r="D775" s="634"/>
      <c r="E775" s="634"/>
      <c r="F775" s="634"/>
      <c r="G775" s="634"/>
      <c r="H775" s="635"/>
      <c r="I775" s="634"/>
      <c r="J775" s="636"/>
      <c r="K775" s="635"/>
      <c r="L775" s="635"/>
      <c r="M775" s="635"/>
      <c r="N775" s="635"/>
      <c r="O775" s="635"/>
      <c r="P775" s="635"/>
      <c r="Q775" s="635"/>
      <c r="R775" s="635"/>
      <c r="S775" s="634"/>
      <c r="T775" s="634"/>
      <c r="U775" s="634"/>
      <c r="V775" s="634"/>
      <c r="W775" s="634"/>
      <c r="X775" s="634"/>
      <c r="Y775" s="634"/>
      <c r="Z775" s="634"/>
      <c r="AA775" s="634"/>
    </row>
    <row r="776" ht="15.75" customHeight="1">
      <c r="A776" s="634"/>
      <c r="B776" s="634"/>
      <c r="C776" s="634"/>
      <c r="D776" s="634"/>
      <c r="E776" s="634"/>
      <c r="F776" s="634"/>
      <c r="G776" s="634"/>
      <c r="H776" s="635"/>
      <c r="I776" s="634"/>
      <c r="J776" s="636"/>
      <c r="K776" s="635"/>
      <c r="L776" s="635"/>
      <c r="M776" s="635"/>
      <c r="N776" s="635"/>
      <c r="O776" s="635"/>
      <c r="P776" s="635"/>
      <c r="Q776" s="635"/>
      <c r="R776" s="635"/>
      <c r="S776" s="634"/>
      <c r="T776" s="634"/>
      <c r="U776" s="634"/>
      <c r="V776" s="634"/>
      <c r="W776" s="634"/>
      <c r="X776" s="634"/>
      <c r="Y776" s="634"/>
      <c r="Z776" s="634"/>
      <c r="AA776" s="634"/>
    </row>
    <row r="777" ht="15.75" customHeight="1">
      <c r="A777" s="634"/>
      <c r="B777" s="634"/>
      <c r="C777" s="634"/>
      <c r="D777" s="634"/>
      <c r="E777" s="634"/>
      <c r="F777" s="634"/>
      <c r="G777" s="634"/>
      <c r="H777" s="635"/>
      <c r="I777" s="634"/>
      <c r="J777" s="636"/>
      <c r="K777" s="635"/>
      <c r="L777" s="635"/>
      <c r="M777" s="635"/>
      <c r="N777" s="635"/>
      <c r="O777" s="635"/>
      <c r="P777" s="635"/>
      <c r="Q777" s="635"/>
      <c r="R777" s="635"/>
      <c r="S777" s="634"/>
      <c r="T777" s="634"/>
      <c r="U777" s="634"/>
      <c r="V777" s="634"/>
      <c r="W777" s="634"/>
      <c r="X777" s="634"/>
      <c r="Y777" s="634"/>
      <c r="Z777" s="634"/>
      <c r="AA777" s="634"/>
    </row>
    <row r="778" ht="15.75" customHeight="1">
      <c r="A778" s="634"/>
      <c r="B778" s="634"/>
      <c r="C778" s="634"/>
      <c r="D778" s="634"/>
      <c r="E778" s="634"/>
      <c r="F778" s="634"/>
      <c r="G778" s="634"/>
      <c r="H778" s="635"/>
      <c r="I778" s="634"/>
      <c r="J778" s="636"/>
      <c r="K778" s="635"/>
      <c r="L778" s="635"/>
      <c r="M778" s="635"/>
      <c r="N778" s="635"/>
      <c r="O778" s="635"/>
      <c r="P778" s="635"/>
      <c r="Q778" s="635"/>
      <c r="R778" s="635"/>
      <c r="S778" s="634"/>
      <c r="T778" s="634"/>
      <c r="U778" s="634"/>
      <c r="V778" s="634"/>
      <c r="W778" s="634"/>
      <c r="X778" s="634"/>
      <c r="Y778" s="634"/>
      <c r="Z778" s="634"/>
      <c r="AA778" s="634"/>
    </row>
    <row r="779" ht="15.75" customHeight="1">
      <c r="A779" s="634"/>
      <c r="B779" s="634"/>
      <c r="C779" s="634"/>
      <c r="D779" s="634"/>
      <c r="E779" s="634"/>
      <c r="F779" s="634"/>
      <c r="G779" s="634"/>
      <c r="H779" s="635"/>
      <c r="I779" s="634"/>
      <c r="J779" s="636"/>
      <c r="K779" s="635"/>
      <c r="L779" s="635"/>
      <c r="M779" s="635"/>
      <c r="N779" s="635"/>
      <c r="O779" s="635"/>
      <c r="P779" s="635"/>
      <c r="Q779" s="635"/>
      <c r="R779" s="635"/>
      <c r="S779" s="634"/>
      <c r="T779" s="634"/>
      <c r="U779" s="634"/>
      <c r="V779" s="634"/>
      <c r="W779" s="634"/>
      <c r="X779" s="634"/>
      <c r="Y779" s="634"/>
      <c r="Z779" s="634"/>
      <c r="AA779" s="634"/>
    </row>
    <row r="780" ht="15.75" customHeight="1">
      <c r="A780" s="634"/>
      <c r="B780" s="634"/>
      <c r="C780" s="634"/>
      <c r="D780" s="634"/>
      <c r="E780" s="634"/>
      <c r="F780" s="634"/>
      <c r="G780" s="634"/>
      <c r="H780" s="635"/>
      <c r="I780" s="634"/>
      <c r="J780" s="636"/>
      <c r="K780" s="635"/>
      <c r="L780" s="635"/>
      <c r="M780" s="635"/>
      <c r="N780" s="635"/>
      <c r="O780" s="635"/>
      <c r="P780" s="635"/>
      <c r="Q780" s="635"/>
      <c r="R780" s="635"/>
      <c r="S780" s="634"/>
      <c r="T780" s="634"/>
      <c r="U780" s="634"/>
      <c r="V780" s="634"/>
      <c r="W780" s="634"/>
      <c r="X780" s="634"/>
      <c r="Y780" s="634"/>
      <c r="Z780" s="634"/>
      <c r="AA780" s="634"/>
    </row>
    <row r="781" ht="15.75" customHeight="1">
      <c r="A781" s="634"/>
      <c r="B781" s="634"/>
      <c r="C781" s="634"/>
      <c r="D781" s="634"/>
      <c r="E781" s="634"/>
      <c r="F781" s="634"/>
      <c r="G781" s="634"/>
      <c r="H781" s="635"/>
      <c r="I781" s="634"/>
      <c r="J781" s="636"/>
      <c r="K781" s="635"/>
      <c r="L781" s="635"/>
      <c r="M781" s="635"/>
      <c r="N781" s="635"/>
      <c r="O781" s="635"/>
      <c r="P781" s="635"/>
      <c r="Q781" s="635"/>
      <c r="R781" s="635"/>
      <c r="S781" s="634"/>
      <c r="T781" s="634"/>
      <c r="U781" s="634"/>
      <c r="V781" s="634"/>
      <c r="W781" s="634"/>
      <c r="X781" s="634"/>
      <c r="Y781" s="634"/>
      <c r="Z781" s="634"/>
      <c r="AA781" s="634"/>
    </row>
    <row r="782" ht="15.75" customHeight="1">
      <c r="A782" s="634"/>
      <c r="B782" s="634"/>
      <c r="C782" s="634"/>
      <c r="D782" s="634"/>
      <c r="E782" s="634"/>
      <c r="F782" s="634"/>
      <c r="G782" s="634"/>
      <c r="H782" s="635"/>
      <c r="I782" s="634"/>
      <c r="J782" s="636"/>
      <c r="K782" s="635"/>
      <c r="L782" s="635"/>
      <c r="M782" s="635"/>
      <c r="N782" s="635"/>
      <c r="O782" s="635"/>
      <c r="P782" s="635"/>
      <c r="Q782" s="635"/>
      <c r="R782" s="635"/>
      <c r="S782" s="634"/>
      <c r="T782" s="634"/>
      <c r="U782" s="634"/>
      <c r="V782" s="634"/>
      <c r="W782" s="634"/>
      <c r="X782" s="634"/>
      <c r="Y782" s="634"/>
      <c r="Z782" s="634"/>
      <c r="AA782" s="634"/>
    </row>
    <row r="783" ht="15.75" customHeight="1">
      <c r="A783" s="634"/>
      <c r="B783" s="634"/>
      <c r="C783" s="634"/>
      <c r="D783" s="634"/>
      <c r="E783" s="634"/>
      <c r="F783" s="634"/>
      <c r="G783" s="634"/>
      <c r="H783" s="635"/>
      <c r="I783" s="634"/>
      <c r="J783" s="636"/>
      <c r="K783" s="635"/>
      <c r="L783" s="635"/>
      <c r="M783" s="635"/>
      <c r="N783" s="635"/>
      <c r="O783" s="635"/>
      <c r="P783" s="635"/>
      <c r="Q783" s="635"/>
      <c r="R783" s="635"/>
      <c r="S783" s="634"/>
      <c r="T783" s="634"/>
      <c r="U783" s="634"/>
      <c r="V783" s="634"/>
      <c r="W783" s="634"/>
      <c r="X783" s="634"/>
      <c r="Y783" s="634"/>
      <c r="Z783" s="634"/>
      <c r="AA783" s="634"/>
    </row>
    <row r="784" ht="15.75" customHeight="1">
      <c r="A784" s="634"/>
      <c r="B784" s="634"/>
      <c r="C784" s="634"/>
      <c r="D784" s="634"/>
      <c r="E784" s="634"/>
      <c r="F784" s="634"/>
      <c r="G784" s="634"/>
      <c r="H784" s="635"/>
      <c r="I784" s="634"/>
      <c r="J784" s="636"/>
      <c r="K784" s="635"/>
      <c r="L784" s="635"/>
      <c r="M784" s="635"/>
      <c r="N784" s="635"/>
      <c r="O784" s="635"/>
      <c r="P784" s="635"/>
      <c r="Q784" s="635"/>
      <c r="R784" s="635"/>
      <c r="S784" s="634"/>
      <c r="T784" s="634"/>
      <c r="U784" s="634"/>
      <c r="V784" s="634"/>
      <c r="W784" s="634"/>
      <c r="X784" s="634"/>
      <c r="Y784" s="634"/>
      <c r="Z784" s="634"/>
      <c r="AA784" s="634"/>
    </row>
    <row r="785" ht="15.75" customHeight="1">
      <c r="A785" s="634"/>
      <c r="B785" s="634"/>
      <c r="C785" s="634"/>
      <c r="D785" s="634"/>
      <c r="E785" s="634"/>
      <c r="F785" s="634"/>
      <c r="G785" s="634"/>
      <c r="H785" s="635"/>
      <c r="I785" s="634"/>
      <c r="J785" s="636"/>
      <c r="K785" s="635"/>
      <c r="L785" s="635"/>
      <c r="M785" s="635"/>
      <c r="N785" s="635"/>
      <c r="O785" s="635"/>
      <c r="P785" s="635"/>
      <c r="Q785" s="635"/>
      <c r="R785" s="635"/>
      <c r="S785" s="634"/>
      <c r="T785" s="634"/>
      <c r="U785" s="634"/>
      <c r="V785" s="634"/>
      <c r="W785" s="634"/>
      <c r="X785" s="634"/>
      <c r="Y785" s="634"/>
      <c r="Z785" s="634"/>
      <c r="AA785" s="634"/>
    </row>
    <row r="786" ht="15.75" customHeight="1">
      <c r="A786" s="634"/>
      <c r="B786" s="634"/>
      <c r="C786" s="634"/>
      <c r="D786" s="634"/>
      <c r="E786" s="634"/>
      <c r="F786" s="634"/>
      <c r="G786" s="634"/>
      <c r="H786" s="635"/>
      <c r="I786" s="634"/>
      <c r="J786" s="636"/>
      <c r="K786" s="635"/>
      <c r="L786" s="635"/>
      <c r="M786" s="635"/>
      <c r="N786" s="635"/>
      <c r="O786" s="635"/>
      <c r="P786" s="635"/>
      <c r="Q786" s="635"/>
      <c r="R786" s="635"/>
      <c r="S786" s="634"/>
      <c r="T786" s="634"/>
      <c r="U786" s="634"/>
      <c r="V786" s="634"/>
      <c r="W786" s="634"/>
      <c r="X786" s="634"/>
      <c r="Y786" s="634"/>
      <c r="Z786" s="634"/>
      <c r="AA786" s="634"/>
    </row>
    <row r="787" ht="15.75" customHeight="1">
      <c r="A787" s="634"/>
      <c r="B787" s="634"/>
      <c r="C787" s="634"/>
      <c r="D787" s="634"/>
      <c r="E787" s="634"/>
      <c r="F787" s="634"/>
      <c r="G787" s="634"/>
      <c r="H787" s="635"/>
      <c r="I787" s="634"/>
      <c r="J787" s="636"/>
      <c r="K787" s="635"/>
      <c r="L787" s="635"/>
      <c r="M787" s="635"/>
      <c r="N787" s="635"/>
      <c r="O787" s="635"/>
      <c r="P787" s="635"/>
      <c r="Q787" s="635"/>
      <c r="R787" s="635"/>
      <c r="S787" s="634"/>
      <c r="T787" s="634"/>
      <c r="U787" s="634"/>
      <c r="V787" s="634"/>
      <c r="W787" s="634"/>
      <c r="X787" s="634"/>
      <c r="Y787" s="634"/>
      <c r="Z787" s="634"/>
      <c r="AA787" s="634"/>
    </row>
    <row r="788" ht="15.75" customHeight="1">
      <c r="A788" s="634"/>
      <c r="B788" s="634"/>
      <c r="C788" s="634"/>
      <c r="D788" s="634"/>
      <c r="E788" s="634"/>
      <c r="F788" s="634"/>
      <c r="G788" s="634"/>
      <c r="H788" s="635"/>
      <c r="I788" s="634"/>
      <c r="J788" s="636"/>
      <c r="K788" s="635"/>
      <c r="L788" s="635"/>
      <c r="M788" s="635"/>
      <c r="N788" s="635"/>
      <c r="O788" s="635"/>
      <c r="P788" s="635"/>
      <c r="Q788" s="635"/>
      <c r="R788" s="635"/>
      <c r="S788" s="634"/>
      <c r="T788" s="634"/>
      <c r="U788" s="634"/>
      <c r="V788" s="634"/>
      <c r="W788" s="634"/>
      <c r="X788" s="634"/>
      <c r="Y788" s="634"/>
      <c r="Z788" s="634"/>
      <c r="AA788" s="634"/>
    </row>
    <row r="789" ht="15.75" customHeight="1">
      <c r="A789" s="634"/>
      <c r="B789" s="634"/>
      <c r="C789" s="634"/>
      <c r="D789" s="634"/>
      <c r="E789" s="634"/>
      <c r="F789" s="634"/>
      <c r="G789" s="634"/>
      <c r="H789" s="635"/>
      <c r="I789" s="634"/>
      <c r="J789" s="636"/>
      <c r="K789" s="635"/>
      <c r="L789" s="635"/>
      <c r="M789" s="635"/>
      <c r="N789" s="635"/>
      <c r="O789" s="635"/>
      <c r="P789" s="635"/>
      <c r="Q789" s="635"/>
      <c r="R789" s="635"/>
      <c r="S789" s="634"/>
      <c r="T789" s="634"/>
      <c r="U789" s="634"/>
      <c r="V789" s="634"/>
      <c r="W789" s="634"/>
      <c r="X789" s="634"/>
      <c r="Y789" s="634"/>
      <c r="Z789" s="634"/>
      <c r="AA789" s="634"/>
    </row>
    <row r="790" ht="15.75" customHeight="1">
      <c r="A790" s="634"/>
      <c r="B790" s="634"/>
      <c r="C790" s="634"/>
      <c r="D790" s="634"/>
      <c r="E790" s="634"/>
      <c r="F790" s="634"/>
      <c r="G790" s="634"/>
      <c r="H790" s="635"/>
      <c r="I790" s="634"/>
      <c r="J790" s="636"/>
      <c r="K790" s="635"/>
      <c r="L790" s="635"/>
      <c r="M790" s="635"/>
      <c r="N790" s="635"/>
      <c r="O790" s="635"/>
      <c r="P790" s="635"/>
      <c r="Q790" s="635"/>
      <c r="R790" s="635"/>
      <c r="S790" s="634"/>
      <c r="T790" s="634"/>
      <c r="U790" s="634"/>
      <c r="V790" s="634"/>
      <c r="W790" s="634"/>
      <c r="X790" s="634"/>
      <c r="Y790" s="634"/>
      <c r="Z790" s="634"/>
      <c r="AA790" s="634"/>
    </row>
    <row r="791" ht="15.75" customHeight="1">
      <c r="A791" s="634"/>
      <c r="B791" s="634"/>
      <c r="C791" s="634"/>
      <c r="D791" s="634"/>
      <c r="E791" s="634"/>
      <c r="F791" s="634"/>
      <c r="G791" s="634"/>
      <c r="H791" s="635"/>
      <c r="I791" s="634"/>
      <c r="J791" s="636"/>
      <c r="K791" s="635"/>
      <c r="L791" s="635"/>
      <c r="M791" s="635"/>
      <c r="N791" s="635"/>
      <c r="O791" s="635"/>
      <c r="P791" s="635"/>
      <c r="Q791" s="635"/>
      <c r="R791" s="635"/>
      <c r="S791" s="634"/>
      <c r="T791" s="634"/>
      <c r="U791" s="634"/>
      <c r="V791" s="634"/>
      <c r="W791" s="634"/>
      <c r="X791" s="634"/>
      <c r="Y791" s="634"/>
      <c r="Z791" s="634"/>
      <c r="AA791" s="634"/>
    </row>
    <row r="792" ht="15.75" customHeight="1">
      <c r="A792" s="634"/>
      <c r="B792" s="634"/>
      <c r="C792" s="634"/>
      <c r="D792" s="634"/>
      <c r="E792" s="634"/>
      <c r="F792" s="634"/>
      <c r="G792" s="634"/>
      <c r="H792" s="635"/>
      <c r="I792" s="634"/>
      <c r="J792" s="636"/>
      <c r="K792" s="635"/>
      <c r="L792" s="635"/>
      <c r="M792" s="635"/>
      <c r="N792" s="635"/>
      <c r="O792" s="635"/>
      <c r="P792" s="635"/>
      <c r="Q792" s="635"/>
      <c r="R792" s="635"/>
      <c r="S792" s="634"/>
      <c r="T792" s="634"/>
      <c r="U792" s="634"/>
      <c r="V792" s="634"/>
      <c r="W792" s="634"/>
      <c r="X792" s="634"/>
      <c r="Y792" s="634"/>
      <c r="Z792" s="634"/>
      <c r="AA792" s="634"/>
    </row>
    <row r="793" ht="15.75" customHeight="1">
      <c r="A793" s="634"/>
      <c r="B793" s="634"/>
      <c r="C793" s="634"/>
      <c r="D793" s="634"/>
      <c r="E793" s="634"/>
      <c r="F793" s="634"/>
      <c r="G793" s="634"/>
      <c r="H793" s="635"/>
      <c r="I793" s="634"/>
      <c r="J793" s="636"/>
      <c r="K793" s="635"/>
      <c r="L793" s="635"/>
      <c r="M793" s="635"/>
      <c r="N793" s="635"/>
      <c r="O793" s="635"/>
      <c r="P793" s="635"/>
      <c r="Q793" s="635"/>
      <c r="R793" s="635"/>
      <c r="S793" s="634"/>
      <c r="T793" s="634"/>
      <c r="U793" s="634"/>
      <c r="V793" s="634"/>
      <c r="W793" s="634"/>
      <c r="X793" s="634"/>
      <c r="Y793" s="634"/>
      <c r="Z793" s="634"/>
      <c r="AA793" s="634"/>
    </row>
    <row r="794" ht="15.75" customHeight="1">
      <c r="A794" s="634"/>
      <c r="B794" s="634"/>
      <c r="C794" s="634"/>
      <c r="D794" s="634"/>
      <c r="E794" s="634"/>
      <c r="F794" s="634"/>
      <c r="G794" s="634"/>
      <c r="H794" s="635"/>
      <c r="I794" s="634"/>
      <c r="J794" s="636"/>
      <c r="K794" s="635"/>
      <c r="L794" s="635"/>
      <c r="M794" s="635"/>
      <c r="N794" s="635"/>
      <c r="O794" s="635"/>
      <c r="P794" s="635"/>
      <c r="Q794" s="635"/>
      <c r="R794" s="635"/>
      <c r="S794" s="634"/>
      <c r="T794" s="634"/>
      <c r="U794" s="634"/>
      <c r="V794" s="634"/>
      <c r="W794" s="634"/>
      <c r="X794" s="634"/>
      <c r="Y794" s="634"/>
      <c r="Z794" s="634"/>
      <c r="AA794" s="634"/>
    </row>
    <row r="795" ht="15.75" customHeight="1">
      <c r="A795" s="634"/>
      <c r="B795" s="634"/>
      <c r="C795" s="634"/>
      <c r="D795" s="634"/>
      <c r="E795" s="634"/>
      <c r="F795" s="634"/>
      <c r="G795" s="634"/>
      <c r="H795" s="635"/>
      <c r="I795" s="634"/>
      <c r="J795" s="636"/>
      <c r="K795" s="635"/>
      <c r="L795" s="635"/>
      <c r="M795" s="635"/>
      <c r="N795" s="635"/>
      <c r="O795" s="635"/>
      <c r="P795" s="635"/>
      <c r="Q795" s="635"/>
      <c r="R795" s="635"/>
      <c r="S795" s="634"/>
      <c r="T795" s="634"/>
      <c r="U795" s="634"/>
      <c r="V795" s="634"/>
      <c r="W795" s="634"/>
      <c r="X795" s="634"/>
      <c r="Y795" s="634"/>
      <c r="Z795" s="634"/>
      <c r="AA795" s="634"/>
    </row>
    <row r="796" ht="15.75" customHeight="1">
      <c r="A796" s="634"/>
      <c r="B796" s="634"/>
      <c r="C796" s="634"/>
      <c r="D796" s="634"/>
      <c r="E796" s="634"/>
      <c r="F796" s="634"/>
      <c r="G796" s="634"/>
      <c r="H796" s="635"/>
      <c r="I796" s="634"/>
      <c r="J796" s="636"/>
      <c r="K796" s="635"/>
      <c r="L796" s="635"/>
      <c r="M796" s="635"/>
      <c r="N796" s="635"/>
      <c r="O796" s="635"/>
      <c r="P796" s="635"/>
      <c r="Q796" s="635"/>
      <c r="R796" s="635"/>
      <c r="S796" s="634"/>
      <c r="T796" s="634"/>
      <c r="U796" s="634"/>
      <c r="V796" s="634"/>
      <c r="W796" s="634"/>
      <c r="X796" s="634"/>
      <c r="Y796" s="634"/>
      <c r="Z796" s="634"/>
      <c r="AA796" s="634"/>
    </row>
    <row r="797" ht="15.75" customHeight="1">
      <c r="A797" s="634"/>
      <c r="B797" s="634"/>
      <c r="C797" s="634"/>
      <c r="D797" s="634"/>
      <c r="E797" s="634"/>
      <c r="F797" s="634"/>
      <c r="G797" s="634"/>
      <c r="H797" s="635"/>
      <c r="I797" s="634"/>
      <c r="J797" s="636"/>
      <c r="K797" s="635"/>
      <c r="L797" s="635"/>
      <c r="M797" s="635"/>
      <c r="N797" s="635"/>
      <c r="O797" s="635"/>
      <c r="P797" s="635"/>
      <c r="Q797" s="635"/>
      <c r="R797" s="635"/>
      <c r="S797" s="634"/>
      <c r="T797" s="634"/>
      <c r="U797" s="634"/>
      <c r="V797" s="634"/>
      <c r="W797" s="634"/>
      <c r="X797" s="634"/>
      <c r="Y797" s="634"/>
      <c r="Z797" s="634"/>
      <c r="AA797" s="634"/>
    </row>
    <row r="798" ht="15.75" customHeight="1">
      <c r="A798" s="634"/>
      <c r="B798" s="634"/>
      <c r="C798" s="634"/>
      <c r="D798" s="634"/>
      <c r="E798" s="634"/>
      <c r="F798" s="634"/>
      <c r="G798" s="634"/>
      <c r="H798" s="635"/>
      <c r="I798" s="634"/>
      <c r="J798" s="636"/>
      <c r="K798" s="635"/>
      <c r="L798" s="635"/>
      <c r="M798" s="635"/>
      <c r="N798" s="635"/>
      <c r="O798" s="635"/>
      <c r="P798" s="635"/>
      <c r="Q798" s="635"/>
      <c r="R798" s="635"/>
      <c r="S798" s="634"/>
      <c r="T798" s="634"/>
      <c r="U798" s="634"/>
      <c r="V798" s="634"/>
      <c r="W798" s="634"/>
      <c r="X798" s="634"/>
      <c r="Y798" s="634"/>
      <c r="Z798" s="634"/>
      <c r="AA798" s="634"/>
    </row>
    <row r="799" ht="15.75" customHeight="1">
      <c r="A799" s="634"/>
      <c r="B799" s="634"/>
      <c r="C799" s="634"/>
      <c r="D799" s="634"/>
      <c r="E799" s="634"/>
      <c r="F799" s="634"/>
      <c r="G799" s="634"/>
      <c r="H799" s="635"/>
      <c r="I799" s="634"/>
      <c r="J799" s="636"/>
      <c r="K799" s="635"/>
      <c r="L799" s="635"/>
      <c r="M799" s="635"/>
      <c r="N799" s="635"/>
      <c r="O799" s="635"/>
      <c r="P799" s="635"/>
      <c r="Q799" s="635"/>
      <c r="R799" s="635"/>
      <c r="S799" s="634"/>
      <c r="T799" s="634"/>
      <c r="U799" s="634"/>
      <c r="V799" s="634"/>
      <c r="W799" s="634"/>
      <c r="X799" s="634"/>
      <c r="Y799" s="634"/>
      <c r="Z799" s="634"/>
      <c r="AA799" s="634"/>
    </row>
    <row r="800" ht="15.75" customHeight="1">
      <c r="A800" s="634"/>
      <c r="B800" s="634"/>
      <c r="C800" s="634"/>
      <c r="D800" s="634"/>
      <c r="E800" s="634"/>
      <c r="F800" s="634"/>
      <c r="G800" s="634"/>
      <c r="H800" s="635"/>
      <c r="I800" s="634"/>
      <c r="J800" s="636"/>
      <c r="K800" s="635"/>
      <c r="L800" s="635"/>
      <c r="M800" s="635"/>
      <c r="N800" s="635"/>
      <c r="O800" s="635"/>
      <c r="P800" s="635"/>
      <c r="Q800" s="635"/>
      <c r="R800" s="635"/>
      <c r="S800" s="634"/>
      <c r="T800" s="634"/>
      <c r="U800" s="634"/>
      <c r="V800" s="634"/>
      <c r="W800" s="634"/>
      <c r="X800" s="634"/>
      <c r="Y800" s="634"/>
      <c r="Z800" s="634"/>
      <c r="AA800" s="634"/>
    </row>
    <row r="801" ht="15.75" customHeight="1">
      <c r="A801" s="634"/>
      <c r="B801" s="634"/>
      <c r="C801" s="634"/>
      <c r="D801" s="634"/>
      <c r="E801" s="634"/>
      <c r="F801" s="634"/>
      <c r="G801" s="634"/>
      <c r="H801" s="635"/>
      <c r="I801" s="634"/>
      <c r="J801" s="636"/>
      <c r="K801" s="635"/>
      <c r="L801" s="635"/>
      <c r="M801" s="635"/>
      <c r="N801" s="635"/>
      <c r="O801" s="635"/>
      <c r="P801" s="635"/>
      <c r="Q801" s="635"/>
      <c r="R801" s="635"/>
      <c r="S801" s="634"/>
      <c r="T801" s="634"/>
      <c r="U801" s="634"/>
      <c r="V801" s="634"/>
      <c r="W801" s="634"/>
      <c r="X801" s="634"/>
      <c r="Y801" s="634"/>
      <c r="Z801" s="634"/>
      <c r="AA801" s="634"/>
    </row>
    <row r="802" ht="15.75" customHeight="1">
      <c r="A802" s="634"/>
      <c r="B802" s="634"/>
      <c r="C802" s="634"/>
      <c r="D802" s="634"/>
      <c r="E802" s="634"/>
      <c r="F802" s="634"/>
      <c r="G802" s="634"/>
      <c r="H802" s="635"/>
      <c r="I802" s="634"/>
      <c r="J802" s="636"/>
      <c r="K802" s="635"/>
      <c r="L802" s="635"/>
      <c r="M802" s="635"/>
      <c r="N802" s="635"/>
      <c r="O802" s="635"/>
      <c r="P802" s="635"/>
      <c r="Q802" s="635"/>
      <c r="R802" s="635"/>
      <c r="S802" s="634"/>
      <c r="T802" s="634"/>
      <c r="U802" s="634"/>
      <c r="V802" s="634"/>
      <c r="W802" s="634"/>
      <c r="X802" s="634"/>
      <c r="Y802" s="634"/>
      <c r="Z802" s="634"/>
      <c r="AA802" s="634"/>
    </row>
    <row r="803" ht="15.75" customHeight="1">
      <c r="A803" s="634"/>
      <c r="B803" s="634"/>
      <c r="C803" s="634"/>
      <c r="D803" s="634"/>
      <c r="E803" s="634"/>
      <c r="F803" s="634"/>
      <c r="G803" s="634"/>
      <c r="H803" s="635"/>
      <c r="I803" s="634"/>
      <c r="J803" s="636"/>
      <c r="K803" s="635"/>
      <c r="L803" s="635"/>
      <c r="M803" s="635"/>
      <c r="N803" s="635"/>
      <c r="O803" s="635"/>
      <c r="P803" s="635"/>
      <c r="Q803" s="635"/>
      <c r="R803" s="635"/>
      <c r="S803" s="634"/>
      <c r="T803" s="634"/>
      <c r="U803" s="634"/>
      <c r="V803" s="634"/>
      <c r="W803" s="634"/>
      <c r="X803" s="634"/>
      <c r="Y803" s="634"/>
      <c r="Z803" s="634"/>
      <c r="AA803" s="634"/>
    </row>
    <row r="804" ht="15.75" customHeight="1">
      <c r="A804" s="634"/>
      <c r="B804" s="634"/>
      <c r="C804" s="634"/>
      <c r="D804" s="634"/>
      <c r="E804" s="634"/>
      <c r="F804" s="634"/>
      <c r="G804" s="634"/>
      <c r="H804" s="635"/>
      <c r="I804" s="634"/>
      <c r="J804" s="636"/>
      <c r="K804" s="635"/>
      <c r="L804" s="635"/>
      <c r="M804" s="635"/>
      <c r="N804" s="635"/>
      <c r="O804" s="635"/>
      <c r="P804" s="635"/>
      <c r="Q804" s="635"/>
      <c r="R804" s="635"/>
      <c r="S804" s="634"/>
      <c r="T804" s="634"/>
      <c r="U804" s="634"/>
      <c r="V804" s="634"/>
      <c r="W804" s="634"/>
      <c r="X804" s="634"/>
      <c r="Y804" s="634"/>
      <c r="Z804" s="634"/>
      <c r="AA804" s="634"/>
    </row>
    <row r="805" ht="15.75" customHeight="1">
      <c r="A805" s="634"/>
      <c r="B805" s="634"/>
      <c r="C805" s="634"/>
      <c r="D805" s="634"/>
      <c r="E805" s="634"/>
      <c r="F805" s="634"/>
      <c r="G805" s="634"/>
      <c r="H805" s="635"/>
      <c r="I805" s="634"/>
      <c r="J805" s="636"/>
      <c r="K805" s="635"/>
      <c r="L805" s="635"/>
      <c r="M805" s="635"/>
      <c r="N805" s="635"/>
      <c r="O805" s="635"/>
      <c r="P805" s="635"/>
      <c r="Q805" s="635"/>
      <c r="R805" s="635"/>
      <c r="S805" s="634"/>
      <c r="T805" s="634"/>
      <c r="U805" s="634"/>
      <c r="V805" s="634"/>
      <c r="W805" s="634"/>
      <c r="X805" s="634"/>
      <c r="Y805" s="634"/>
      <c r="Z805" s="634"/>
      <c r="AA805" s="634"/>
    </row>
    <row r="806" ht="15.75" customHeight="1">
      <c r="A806" s="634"/>
      <c r="B806" s="634"/>
      <c r="C806" s="634"/>
      <c r="D806" s="634"/>
      <c r="E806" s="634"/>
      <c r="F806" s="634"/>
      <c r="G806" s="634"/>
      <c r="H806" s="635"/>
      <c r="I806" s="634"/>
      <c r="J806" s="636"/>
      <c r="K806" s="635"/>
      <c r="L806" s="635"/>
      <c r="M806" s="635"/>
      <c r="N806" s="635"/>
      <c r="O806" s="635"/>
      <c r="P806" s="635"/>
      <c r="Q806" s="635"/>
      <c r="R806" s="635"/>
      <c r="S806" s="634"/>
      <c r="T806" s="634"/>
      <c r="U806" s="634"/>
      <c r="V806" s="634"/>
      <c r="W806" s="634"/>
      <c r="X806" s="634"/>
      <c r="Y806" s="634"/>
      <c r="Z806" s="634"/>
      <c r="AA806" s="634"/>
    </row>
    <row r="807" ht="15.75" customHeight="1">
      <c r="A807" s="634"/>
      <c r="B807" s="634"/>
      <c r="C807" s="634"/>
      <c r="D807" s="634"/>
      <c r="E807" s="634"/>
      <c r="F807" s="634"/>
      <c r="G807" s="634"/>
      <c r="H807" s="635"/>
      <c r="I807" s="634"/>
      <c r="J807" s="636"/>
      <c r="K807" s="635"/>
      <c r="L807" s="635"/>
      <c r="M807" s="635"/>
      <c r="N807" s="635"/>
      <c r="O807" s="635"/>
      <c r="P807" s="635"/>
      <c r="Q807" s="635"/>
      <c r="R807" s="635"/>
      <c r="S807" s="634"/>
      <c r="T807" s="634"/>
      <c r="U807" s="634"/>
      <c r="V807" s="634"/>
      <c r="W807" s="634"/>
      <c r="X807" s="634"/>
      <c r="Y807" s="634"/>
      <c r="Z807" s="634"/>
      <c r="AA807" s="634"/>
    </row>
    <row r="808" ht="15.75" customHeight="1">
      <c r="A808" s="634"/>
      <c r="B808" s="634"/>
      <c r="C808" s="634"/>
      <c r="D808" s="634"/>
      <c r="E808" s="634"/>
      <c r="F808" s="634"/>
      <c r="G808" s="634"/>
      <c r="H808" s="635"/>
      <c r="I808" s="634"/>
      <c r="J808" s="636"/>
      <c r="K808" s="635"/>
      <c r="L808" s="635"/>
      <c r="M808" s="635"/>
      <c r="N808" s="635"/>
      <c r="O808" s="635"/>
      <c r="P808" s="635"/>
      <c r="Q808" s="635"/>
      <c r="R808" s="635"/>
      <c r="S808" s="634"/>
      <c r="T808" s="634"/>
      <c r="U808" s="634"/>
      <c r="V808" s="634"/>
      <c r="W808" s="634"/>
      <c r="X808" s="634"/>
      <c r="Y808" s="634"/>
      <c r="Z808" s="634"/>
      <c r="AA808" s="634"/>
    </row>
    <row r="809" ht="15.75" customHeight="1">
      <c r="A809" s="634"/>
      <c r="B809" s="634"/>
      <c r="C809" s="634"/>
      <c r="D809" s="634"/>
      <c r="E809" s="634"/>
      <c r="F809" s="634"/>
      <c r="G809" s="634"/>
      <c r="H809" s="635"/>
      <c r="I809" s="634"/>
      <c r="J809" s="636"/>
      <c r="K809" s="635"/>
      <c r="L809" s="635"/>
      <c r="M809" s="635"/>
      <c r="N809" s="635"/>
      <c r="O809" s="635"/>
      <c r="P809" s="635"/>
      <c r="Q809" s="635"/>
      <c r="R809" s="635"/>
      <c r="S809" s="634"/>
      <c r="T809" s="634"/>
      <c r="U809" s="634"/>
      <c r="V809" s="634"/>
      <c r="W809" s="634"/>
      <c r="X809" s="634"/>
      <c r="Y809" s="634"/>
      <c r="Z809" s="634"/>
      <c r="AA809" s="634"/>
    </row>
    <row r="810" ht="15.75" customHeight="1">
      <c r="A810" s="634"/>
      <c r="B810" s="634"/>
      <c r="C810" s="634"/>
      <c r="D810" s="634"/>
      <c r="E810" s="634"/>
      <c r="F810" s="634"/>
      <c r="G810" s="634"/>
      <c r="H810" s="635"/>
      <c r="I810" s="634"/>
      <c r="J810" s="636"/>
      <c r="K810" s="635"/>
      <c r="L810" s="635"/>
      <c r="M810" s="635"/>
      <c r="N810" s="635"/>
      <c r="O810" s="635"/>
      <c r="P810" s="635"/>
      <c r="Q810" s="635"/>
      <c r="R810" s="635"/>
      <c r="S810" s="634"/>
      <c r="T810" s="634"/>
      <c r="U810" s="634"/>
      <c r="V810" s="634"/>
      <c r="W810" s="634"/>
      <c r="X810" s="634"/>
      <c r="Y810" s="634"/>
      <c r="Z810" s="634"/>
      <c r="AA810" s="634"/>
    </row>
    <row r="811" ht="15.75" customHeight="1">
      <c r="A811" s="634"/>
      <c r="B811" s="634"/>
      <c r="C811" s="634"/>
      <c r="D811" s="634"/>
      <c r="E811" s="634"/>
      <c r="F811" s="634"/>
      <c r="G811" s="634"/>
      <c r="H811" s="635"/>
      <c r="I811" s="634"/>
      <c r="J811" s="636"/>
      <c r="K811" s="635"/>
      <c r="L811" s="635"/>
      <c r="M811" s="635"/>
      <c r="N811" s="635"/>
      <c r="O811" s="635"/>
      <c r="P811" s="635"/>
      <c r="Q811" s="635"/>
      <c r="R811" s="635"/>
      <c r="S811" s="634"/>
      <c r="T811" s="634"/>
      <c r="U811" s="634"/>
      <c r="V811" s="634"/>
      <c r="W811" s="634"/>
      <c r="X811" s="634"/>
      <c r="Y811" s="634"/>
      <c r="Z811" s="634"/>
      <c r="AA811" s="634"/>
    </row>
    <row r="812" ht="15.75" customHeight="1">
      <c r="A812" s="634"/>
      <c r="B812" s="634"/>
      <c r="C812" s="634"/>
      <c r="D812" s="634"/>
      <c r="E812" s="634"/>
      <c r="F812" s="634"/>
      <c r="G812" s="634"/>
      <c r="H812" s="635"/>
      <c r="I812" s="634"/>
      <c r="J812" s="636"/>
      <c r="K812" s="635"/>
      <c r="L812" s="635"/>
      <c r="M812" s="635"/>
      <c r="N812" s="635"/>
      <c r="O812" s="635"/>
      <c r="P812" s="635"/>
      <c r="Q812" s="635"/>
      <c r="R812" s="635"/>
      <c r="S812" s="634"/>
      <c r="T812" s="634"/>
      <c r="U812" s="634"/>
      <c r="V812" s="634"/>
      <c r="W812" s="634"/>
      <c r="X812" s="634"/>
      <c r="Y812" s="634"/>
      <c r="Z812" s="634"/>
      <c r="AA812" s="634"/>
    </row>
    <row r="813" ht="15.75" customHeight="1">
      <c r="A813" s="634"/>
      <c r="B813" s="634"/>
      <c r="C813" s="634"/>
      <c r="D813" s="634"/>
      <c r="E813" s="634"/>
      <c r="F813" s="634"/>
      <c r="G813" s="634"/>
      <c r="H813" s="635"/>
      <c r="I813" s="634"/>
      <c r="J813" s="636"/>
      <c r="K813" s="635"/>
      <c r="L813" s="635"/>
      <c r="M813" s="635"/>
      <c r="N813" s="635"/>
      <c r="O813" s="635"/>
      <c r="P813" s="635"/>
      <c r="Q813" s="635"/>
      <c r="R813" s="635"/>
      <c r="S813" s="634"/>
      <c r="T813" s="634"/>
      <c r="U813" s="634"/>
      <c r="V813" s="634"/>
      <c r="W813" s="634"/>
      <c r="X813" s="634"/>
      <c r="Y813" s="634"/>
      <c r="Z813" s="634"/>
      <c r="AA813" s="634"/>
    </row>
    <row r="814" ht="15.75" customHeight="1">
      <c r="A814" s="634"/>
      <c r="B814" s="634"/>
      <c r="C814" s="634"/>
      <c r="D814" s="634"/>
      <c r="E814" s="634"/>
      <c r="F814" s="634"/>
      <c r="G814" s="634"/>
      <c r="H814" s="635"/>
      <c r="I814" s="634"/>
      <c r="J814" s="636"/>
      <c r="K814" s="635"/>
      <c r="L814" s="635"/>
      <c r="M814" s="635"/>
      <c r="N814" s="635"/>
      <c r="O814" s="635"/>
      <c r="P814" s="635"/>
      <c r="Q814" s="635"/>
      <c r="R814" s="635"/>
      <c r="S814" s="634"/>
      <c r="T814" s="634"/>
      <c r="U814" s="634"/>
      <c r="V814" s="634"/>
      <c r="W814" s="634"/>
      <c r="X814" s="634"/>
      <c r="Y814" s="634"/>
      <c r="Z814" s="634"/>
      <c r="AA814" s="634"/>
    </row>
    <row r="815" ht="15.75" customHeight="1">
      <c r="A815" s="634"/>
      <c r="B815" s="634"/>
      <c r="C815" s="634"/>
      <c r="D815" s="634"/>
      <c r="E815" s="634"/>
      <c r="F815" s="634"/>
      <c r="G815" s="634"/>
      <c r="H815" s="635"/>
      <c r="I815" s="634"/>
      <c r="J815" s="636"/>
      <c r="K815" s="635"/>
      <c r="L815" s="635"/>
      <c r="M815" s="635"/>
      <c r="N815" s="635"/>
      <c r="O815" s="635"/>
      <c r="P815" s="635"/>
      <c r="Q815" s="635"/>
      <c r="R815" s="635"/>
      <c r="S815" s="634"/>
      <c r="T815" s="634"/>
      <c r="U815" s="634"/>
      <c r="V815" s="634"/>
      <c r="W815" s="634"/>
      <c r="X815" s="634"/>
      <c r="Y815" s="634"/>
      <c r="Z815" s="634"/>
      <c r="AA815" s="634"/>
    </row>
    <row r="816" ht="15.75" customHeight="1">
      <c r="A816" s="634"/>
      <c r="B816" s="634"/>
      <c r="C816" s="634"/>
      <c r="D816" s="634"/>
      <c r="E816" s="634"/>
      <c r="F816" s="634"/>
      <c r="G816" s="634"/>
      <c r="H816" s="635"/>
      <c r="I816" s="634"/>
      <c r="J816" s="636"/>
      <c r="K816" s="635"/>
      <c r="L816" s="635"/>
      <c r="M816" s="635"/>
      <c r="N816" s="635"/>
      <c r="O816" s="635"/>
      <c r="P816" s="635"/>
      <c r="Q816" s="635"/>
      <c r="R816" s="635"/>
      <c r="S816" s="634"/>
      <c r="T816" s="634"/>
      <c r="U816" s="634"/>
      <c r="V816" s="634"/>
      <c r="W816" s="634"/>
      <c r="X816" s="634"/>
      <c r="Y816" s="634"/>
      <c r="Z816" s="634"/>
      <c r="AA816" s="634"/>
    </row>
    <row r="817" ht="15.75" customHeight="1">
      <c r="A817" s="634"/>
      <c r="B817" s="634"/>
      <c r="C817" s="634"/>
      <c r="D817" s="634"/>
      <c r="E817" s="634"/>
      <c r="F817" s="634"/>
      <c r="G817" s="634"/>
      <c r="H817" s="635"/>
      <c r="I817" s="634"/>
      <c r="J817" s="636"/>
      <c r="K817" s="635"/>
      <c r="L817" s="635"/>
      <c r="M817" s="635"/>
      <c r="N817" s="635"/>
      <c r="O817" s="635"/>
      <c r="P817" s="635"/>
      <c r="Q817" s="635"/>
      <c r="R817" s="635"/>
      <c r="S817" s="634"/>
      <c r="T817" s="634"/>
      <c r="U817" s="634"/>
      <c r="V817" s="634"/>
      <c r="W817" s="634"/>
      <c r="X817" s="634"/>
      <c r="Y817" s="634"/>
      <c r="Z817" s="634"/>
      <c r="AA817" s="634"/>
    </row>
    <row r="818" ht="15.75" customHeight="1">
      <c r="A818" s="634"/>
      <c r="B818" s="634"/>
      <c r="C818" s="634"/>
      <c r="D818" s="634"/>
      <c r="E818" s="634"/>
      <c r="F818" s="634"/>
      <c r="G818" s="634"/>
      <c r="H818" s="635"/>
      <c r="I818" s="634"/>
      <c r="J818" s="636"/>
      <c r="K818" s="635"/>
      <c r="L818" s="635"/>
      <c r="M818" s="635"/>
      <c r="N818" s="635"/>
      <c r="O818" s="635"/>
      <c r="P818" s="635"/>
      <c r="Q818" s="635"/>
      <c r="R818" s="635"/>
      <c r="S818" s="634"/>
      <c r="T818" s="634"/>
      <c r="U818" s="634"/>
      <c r="V818" s="634"/>
      <c r="W818" s="634"/>
      <c r="X818" s="634"/>
      <c r="Y818" s="634"/>
      <c r="Z818" s="634"/>
      <c r="AA818" s="634"/>
    </row>
    <row r="819" ht="15.75" customHeight="1">
      <c r="A819" s="634"/>
      <c r="B819" s="634"/>
      <c r="C819" s="634"/>
      <c r="D819" s="634"/>
      <c r="E819" s="634"/>
      <c r="F819" s="634"/>
      <c r="G819" s="634"/>
      <c r="H819" s="635"/>
      <c r="I819" s="634"/>
      <c r="J819" s="636"/>
      <c r="K819" s="635"/>
      <c r="L819" s="635"/>
      <c r="M819" s="635"/>
      <c r="N819" s="635"/>
      <c r="O819" s="635"/>
      <c r="P819" s="635"/>
      <c r="Q819" s="635"/>
      <c r="R819" s="635"/>
      <c r="S819" s="634"/>
      <c r="T819" s="634"/>
      <c r="U819" s="634"/>
      <c r="V819" s="634"/>
      <c r="W819" s="634"/>
      <c r="X819" s="634"/>
      <c r="Y819" s="634"/>
      <c r="Z819" s="634"/>
      <c r="AA819" s="634"/>
    </row>
    <row r="820" ht="15.75" customHeight="1">
      <c r="A820" s="634"/>
      <c r="B820" s="634"/>
      <c r="C820" s="634"/>
      <c r="D820" s="634"/>
      <c r="E820" s="634"/>
      <c r="F820" s="634"/>
      <c r="G820" s="634"/>
      <c r="H820" s="635"/>
      <c r="I820" s="634"/>
      <c r="J820" s="636"/>
      <c r="K820" s="635"/>
      <c r="L820" s="635"/>
      <c r="M820" s="635"/>
      <c r="N820" s="635"/>
      <c r="O820" s="635"/>
      <c r="P820" s="635"/>
      <c r="Q820" s="635"/>
      <c r="R820" s="635"/>
      <c r="S820" s="634"/>
      <c r="T820" s="634"/>
      <c r="U820" s="634"/>
      <c r="V820" s="634"/>
      <c r="W820" s="634"/>
      <c r="X820" s="634"/>
      <c r="Y820" s="634"/>
      <c r="Z820" s="634"/>
      <c r="AA820" s="634"/>
    </row>
    <row r="821" ht="15.75" customHeight="1">
      <c r="A821" s="634"/>
      <c r="B821" s="634"/>
      <c r="C821" s="634"/>
      <c r="D821" s="634"/>
      <c r="E821" s="634"/>
      <c r="F821" s="634"/>
      <c r="G821" s="634"/>
      <c r="H821" s="635"/>
      <c r="I821" s="634"/>
      <c r="J821" s="636"/>
      <c r="K821" s="635"/>
      <c r="L821" s="635"/>
      <c r="M821" s="635"/>
      <c r="N821" s="635"/>
      <c r="O821" s="635"/>
      <c r="P821" s="635"/>
      <c r="Q821" s="635"/>
      <c r="R821" s="635"/>
      <c r="S821" s="634"/>
      <c r="T821" s="634"/>
      <c r="U821" s="634"/>
      <c r="V821" s="634"/>
      <c r="W821" s="634"/>
      <c r="X821" s="634"/>
      <c r="Y821" s="634"/>
      <c r="Z821" s="634"/>
      <c r="AA821" s="634"/>
    </row>
    <row r="822" ht="15.75" customHeight="1">
      <c r="A822" s="634"/>
      <c r="B822" s="634"/>
      <c r="C822" s="634"/>
      <c r="D822" s="634"/>
      <c r="E822" s="634"/>
      <c r="F822" s="634"/>
      <c r="G822" s="634"/>
      <c r="H822" s="635"/>
      <c r="I822" s="634"/>
      <c r="J822" s="636"/>
      <c r="K822" s="635"/>
      <c r="L822" s="635"/>
      <c r="M822" s="635"/>
      <c r="N822" s="635"/>
      <c r="O822" s="635"/>
      <c r="P822" s="635"/>
      <c r="Q822" s="635"/>
      <c r="R822" s="635"/>
      <c r="S822" s="634"/>
      <c r="T822" s="634"/>
      <c r="U822" s="634"/>
      <c r="V822" s="634"/>
      <c r="W822" s="634"/>
      <c r="X822" s="634"/>
      <c r="Y822" s="634"/>
      <c r="Z822" s="634"/>
      <c r="AA822" s="634"/>
    </row>
    <row r="823" ht="15.75" customHeight="1">
      <c r="A823" s="634"/>
      <c r="B823" s="634"/>
      <c r="C823" s="634"/>
      <c r="D823" s="634"/>
      <c r="E823" s="634"/>
      <c r="F823" s="634"/>
      <c r="G823" s="634"/>
      <c r="H823" s="635"/>
      <c r="I823" s="634"/>
      <c r="J823" s="636"/>
      <c r="K823" s="635"/>
      <c r="L823" s="635"/>
      <c r="M823" s="635"/>
      <c r="N823" s="635"/>
      <c r="O823" s="635"/>
      <c r="P823" s="635"/>
      <c r="Q823" s="635"/>
      <c r="R823" s="635"/>
      <c r="S823" s="634"/>
      <c r="T823" s="634"/>
      <c r="U823" s="634"/>
      <c r="V823" s="634"/>
      <c r="W823" s="634"/>
      <c r="X823" s="634"/>
      <c r="Y823" s="634"/>
      <c r="Z823" s="634"/>
      <c r="AA823" s="634"/>
    </row>
    <row r="824" ht="15.75" customHeight="1">
      <c r="A824" s="634"/>
      <c r="B824" s="634"/>
      <c r="C824" s="634"/>
      <c r="D824" s="634"/>
      <c r="E824" s="634"/>
      <c r="F824" s="634"/>
      <c r="G824" s="634"/>
      <c r="H824" s="635"/>
      <c r="I824" s="634"/>
      <c r="J824" s="636"/>
      <c r="K824" s="635"/>
      <c r="L824" s="635"/>
      <c r="M824" s="635"/>
      <c r="N824" s="635"/>
      <c r="O824" s="635"/>
      <c r="P824" s="635"/>
      <c r="Q824" s="635"/>
      <c r="R824" s="635"/>
      <c r="S824" s="634"/>
      <c r="T824" s="634"/>
      <c r="U824" s="634"/>
      <c r="V824" s="634"/>
      <c r="W824" s="634"/>
      <c r="X824" s="634"/>
      <c r="Y824" s="634"/>
      <c r="Z824" s="634"/>
      <c r="AA824" s="634"/>
    </row>
    <row r="825" ht="15.75" customHeight="1">
      <c r="A825" s="634"/>
      <c r="B825" s="634"/>
      <c r="C825" s="634"/>
      <c r="D825" s="634"/>
      <c r="E825" s="634"/>
      <c r="F825" s="634"/>
      <c r="G825" s="634"/>
      <c r="H825" s="635"/>
      <c r="I825" s="634"/>
      <c r="J825" s="636"/>
      <c r="K825" s="635"/>
      <c r="L825" s="635"/>
      <c r="M825" s="635"/>
      <c r="N825" s="635"/>
      <c r="O825" s="635"/>
      <c r="P825" s="635"/>
      <c r="Q825" s="635"/>
      <c r="R825" s="635"/>
      <c r="S825" s="634"/>
      <c r="T825" s="634"/>
      <c r="U825" s="634"/>
      <c r="V825" s="634"/>
      <c r="W825" s="634"/>
      <c r="X825" s="634"/>
      <c r="Y825" s="634"/>
      <c r="Z825" s="634"/>
      <c r="AA825" s="634"/>
    </row>
    <row r="826" ht="15.75" customHeight="1">
      <c r="A826" s="634"/>
      <c r="B826" s="634"/>
      <c r="C826" s="634"/>
      <c r="D826" s="634"/>
      <c r="E826" s="634"/>
      <c r="F826" s="634"/>
      <c r="G826" s="634"/>
      <c r="H826" s="635"/>
      <c r="I826" s="634"/>
      <c r="J826" s="636"/>
      <c r="K826" s="635"/>
      <c r="L826" s="635"/>
      <c r="M826" s="635"/>
      <c r="N826" s="635"/>
      <c r="O826" s="635"/>
      <c r="P826" s="635"/>
      <c r="Q826" s="635"/>
      <c r="R826" s="635"/>
      <c r="S826" s="634"/>
      <c r="T826" s="634"/>
      <c r="U826" s="634"/>
      <c r="V826" s="634"/>
      <c r="W826" s="634"/>
      <c r="X826" s="634"/>
      <c r="Y826" s="634"/>
      <c r="Z826" s="634"/>
      <c r="AA826" s="634"/>
    </row>
    <row r="827" ht="15.75" customHeight="1">
      <c r="A827" s="634"/>
      <c r="B827" s="634"/>
      <c r="C827" s="634"/>
      <c r="D827" s="634"/>
      <c r="E827" s="634"/>
      <c r="F827" s="634"/>
      <c r="G827" s="634"/>
      <c r="H827" s="635"/>
      <c r="I827" s="634"/>
      <c r="J827" s="636"/>
      <c r="K827" s="635"/>
      <c r="L827" s="635"/>
      <c r="M827" s="635"/>
      <c r="N827" s="635"/>
      <c r="O827" s="635"/>
      <c r="P827" s="635"/>
      <c r="Q827" s="635"/>
      <c r="R827" s="635"/>
      <c r="S827" s="634"/>
      <c r="T827" s="634"/>
      <c r="U827" s="634"/>
      <c r="V827" s="634"/>
      <c r="W827" s="634"/>
      <c r="X827" s="634"/>
      <c r="Y827" s="634"/>
      <c r="Z827" s="634"/>
      <c r="AA827" s="634"/>
    </row>
    <row r="828" ht="15.75" customHeight="1">
      <c r="A828" s="634"/>
      <c r="B828" s="634"/>
      <c r="C828" s="634"/>
      <c r="D828" s="634"/>
      <c r="E828" s="634"/>
      <c r="F828" s="634"/>
      <c r="G828" s="634"/>
      <c r="H828" s="635"/>
      <c r="I828" s="634"/>
      <c r="J828" s="636"/>
      <c r="K828" s="635"/>
      <c r="L828" s="635"/>
      <c r="M828" s="635"/>
      <c r="N828" s="635"/>
      <c r="O828" s="635"/>
      <c r="P828" s="635"/>
      <c r="Q828" s="635"/>
      <c r="R828" s="635"/>
      <c r="S828" s="634"/>
      <c r="T828" s="634"/>
      <c r="U828" s="634"/>
      <c r="V828" s="634"/>
      <c r="W828" s="634"/>
      <c r="X828" s="634"/>
      <c r="Y828" s="634"/>
      <c r="Z828" s="634"/>
      <c r="AA828" s="634"/>
    </row>
    <row r="829" ht="15.75" customHeight="1">
      <c r="A829" s="634"/>
      <c r="B829" s="634"/>
      <c r="C829" s="634"/>
      <c r="D829" s="634"/>
      <c r="E829" s="634"/>
      <c r="F829" s="634"/>
      <c r="G829" s="634"/>
      <c r="H829" s="635"/>
      <c r="I829" s="634"/>
      <c r="J829" s="636"/>
      <c r="K829" s="635"/>
      <c r="L829" s="635"/>
      <c r="M829" s="635"/>
      <c r="N829" s="635"/>
      <c r="O829" s="635"/>
      <c r="P829" s="635"/>
      <c r="Q829" s="635"/>
      <c r="R829" s="635"/>
      <c r="S829" s="634"/>
      <c r="T829" s="634"/>
      <c r="U829" s="634"/>
      <c r="V829" s="634"/>
      <c r="W829" s="634"/>
      <c r="X829" s="634"/>
      <c r="Y829" s="634"/>
      <c r="Z829" s="634"/>
      <c r="AA829" s="634"/>
    </row>
    <row r="830" ht="15.75" customHeight="1">
      <c r="A830" s="634"/>
      <c r="B830" s="634"/>
      <c r="C830" s="634"/>
      <c r="D830" s="634"/>
      <c r="E830" s="634"/>
      <c r="F830" s="634"/>
      <c r="G830" s="634"/>
      <c r="H830" s="635"/>
      <c r="I830" s="634"/>
      <c r="J830" s="636"/>
      <c r="K830" s="635"/>
      <c r="L830" s="635"/>
      <c r="M830" s="635"/>
      <c r="N830" s="635"/>
      <c r="O830" s="635"/>
      <c r="P830" s="635"/>
      <c r="Q830" s="635"/>
      <c r="R830" s="635"/>
      <c r="S830" s="634"/>
      <c r="T830" s="634"/>
      <c r="U830" s="634"/>
      <c r="V830" s="634"/>
      <c r="W830" s="634"/>
      <c r="X830" s="634"/>
      <c r="Y830" s="634"/>
      <c r="Z830" s="634"/>
      <c r="AA830" s="634"/>
    </row>
    <row r="831" ht="15.75" customHeight="1">
      <c r="A831" s="634"/>
      <c r="B831" s="634"/>
      <c r="C831" s="634"/>
      <c r="D831" s="634"/>
      <c r="E831" s="634"/>
      <c r="F831" s="634"/>
      <c r="G831" s="634"/>
      <c r="H831" s="635"/>
      <c r="I831" s="634"/>
      <c r="J831" s="636"/>
      <c r="K831" s="635"/>
      <c r="L831" s="635"/>
      <c r="M831" s="635"/>
      <c r="N831" s="635"/>
      <c r="O831" s="635"/>
      <c r="P831" s="635"/>
      <c r="Q831" s="635"/>
      <c r="R831" s="635"/>
      <c r="S831" s="634"/>
      <c r="T831" s="634"/>
      <c r="U831" s="634"/>
      <c r="V831" s="634"/>
      <c r="W831" s="634"/>
      <c r="X831" s="634"/>
      <c r="Y831" s="634"/>
      <c r="Z831" s="634"/>
      <c r="AA831" s="634"/>
    </row>
    <row r="832" ht="15.75" customHeight="1">
      <c r="A832" s="634"/>
      <c r="B832" s="634"/>
      <c r="C832" s="634"/>
      <c r="D832" s="634"/>
      <c r="E832" s="634"/>
      <c r="F832" s="634"/>
      <c r="G832" s="634"/>
      <c r="H832" s="635"/>
      <c r="I832" s="634"/>
      <c r="J832" s="636"/>
      <c r="K832" s="635"/>
      <c r="L832" s="635"/>
      <c r="M832" s="635"/>
      <c r="N832" s="635"/>
      <c r="O832" s="635"/>
      <c r="P832" s="635"/>
      <c r="Q832" s="635"/>
      <c r="R832" s="635"/>
      <c r="S832" s="634"/>
      <c r="T832" s="634"/>
      <c r="U832" s="634"/>
      <c r="V832" s="634"/>
      <c r="W832" s="634"/>
      <c r="X832" s="634"/>
      <c r="Y832" s="634"/>
      <c r="Z832" s="634"/>
      <c r="AA832" s="634"/>
    </row>
    <row r="833" ht="15.75" customHeight="1">
      <c r="A833" s="634"/>
      <c r="B833" s="634"/>
      <c r="C833" s="634"/>
      <c r="D833" s="634"/>
      <c r="E833" s="634"/>
      <c r="F833" s="634"/>
      <c r="G833" s="634"/>
      <c r="H833" s="635"/>
      <c r="I833" s="634"/>
      <c r="J833" s="636"/>
      <c r="K833" s="635"/>
      <c r="L833" s="635"/>
      <c r="M833" s="635"/>
      <c r="N833" s="635"/>
      <c r="O833" s="635"/>
      <c r="P833" s="635"/>
      <c r="Q833" s="635"/>
      <c r="R833" s="635"/>
      <c r="S833" s="634"/>
      <c r="T833" s="634"/>
      <c r="U833" s="634"/>
      <c r="V833" s="634"/>
      <c r="W833" s="634"/>
      <c r="X833" s="634"/>
      <c r="Y833" s="634"/>
      <c r="Z833" s="634"/>
      <c r="AA833" s="634"/>
    </row>
    <row r="834" ht="15.75" customHeight="1">
      <c r="A834" s="634"/>
      <c r="B834" s="634"/>
      <c r="C834" s="634"/>
      <c r="D834" s="634"/>
      <c r="E834" s="634"/>
      <c r="F834" s="634"/>
      <c r="G834" s="634"/>
      <c r="H834" s="635"/>
      <c r="I834" s="634"/>
      <c r="J834" s="636"/>
      <c r="K834" s="635"/>
      <c r="L834" s="635"/>
      <c r="M834" s="635"/>
      <c r="N834" s="635"/>
      <c r="O834" s="635"/>
      <c r="P834" s="635"/>
      <c r="Q834" s="635"/>
      <c r="R834" s="635"/>
      <c r="S834" s="634"/>
      <c r="T834" s="634"/>
      <c r="U834" s="634"/>
      <c r="V834" s="634"/>
      <c r="W834" s="634"/>
      <c r="X834" s="634"/>
      <c r="Y834" s="634"/>
      <c r="Z834" s="634"/>
      <c r="AA834" s="634"/>
    </row>
    <row r="835" ht="15.75" customHeight="1">
      <c r="A835" s="634"/>
      <c r="B835" s="634"/>
      <c r="C835" s="634"/>
      <c r="D835" s="634"/>
      <c r="E835" s="634"/>
      <c r="F835" s="634"/>
      <c r="G835" s="634"/>
      <c r="H835" s="635"/>
      <c r="I835" s="634"/>
      <c r="J835" s="636"/>
      <c r="K835" s="635"/>
      <c r="L835" s="635"/>
      <c r="M835" s="635"/>
      <c r="N835" s="635"/>
      <c r="O835" s="635"/>
      <c r="P835" s="635"/>
      <c r="Q835" s="635"/>
      <c r="R835" s="635"/>
      <c r="S835" s="634"/>
      <c r="T835" s="634"/>
      <c r="U835" s="634"/>
      <c r="V835" s="634"/>
      <c r="W835" s="634"/>
      <c r="X835" s="634"/>
      <c r="Y835" s="634"/>
      <c r="Z835" s="634"/>
      <c r="AA835" s="634"/>
    </row>
    <row r="836" ht="15.75" customHeight="1">
      <c r="A836" s="634"/>
      <c r="B836" s="634"/>
      <c r="C836" s="634"/>
      <c r="D836" s="634"/>
      <c r="E836" s="634"/>
      <c r="F836" s="634"/>
      <c r="G836" s="634"/>
      <c r="H836" s="635"/>
      <c r="I836" s="634"/>
      <c r="J836" s="636"/>
      <c r="K836" s="635"/>
      <c r="L836" s="635"/>
      <c r="M836" s="635"/>
      <c r="N836" s="635"/>
      <c r="O836" s="635"/>
      <c r="P836" s="635"/>
      <c r="Q836" s="635"/>
      <c r="R836" s="635"/>
      <c r="S836" s="634"/>
      <c r="T836" s="634"/>
      <c r="U836" s="634"/>
      <c r="V836" s="634"/>
      <c r="W836" s="634"/>
      <c r="X836" s="634"/>
      <c r="Y836" s="634"/>
      <c r="Z836" s="634"/>
      <c r="AA836" s="634"/>
    </row>
    <row r="837" ht="15.75" customHeight="1">
      <c r="A837" s="634"/>
      <c r="B837" s="634"/>
      <c r="C837" s="634"/>
      <c r="D837" s="634"/>
      <c r="E837" s="634"/>
      <c r="F837" s="634"/>
      <c r="G837" s="634"/>
      <c r="H837" s="635"/>
      <c r="I837" s="634"/>
      <c r="J837" s="636"/>
      <c r="K837" s="635"/>
      <c r="L837" s="635"/>
      <c r="M837" s="635"/>
      <c r="N837" s="635"/>
      <c r="O837" s="635"/>
      <c r="P837" s="635"/>
      <c r="Q837" s="635"/>
      <c r="R837" s="635"/>
      <c r="S837" s="634"/>
      <c r="T837" s="634"/>
      <c r="U837" s="634"/>
      <c r="V837" s="634"/>
      <c r="W837" s="634"/>
      <c r="X837" s="634"/>
      <c r="Y837" s="634"/>
      <c r="Z837" s="634"/>
      <c r="AA837" s="634"/>
    </row>
    <row r="838" ht="15.75" customHeight="1">
      <c r="A838" s="634"/>
      <c r="B838" s="634"/>
      <c r="C838" s="634"/>
      <c r="D838" s="634"/>
      <c r="E838" s="634"/>
      <c r="F838" s="634"/>
      <c r="G838" s="634"/>
      <c r="H838" s="635"/>
      <c r="I838" s="634"/>
      <c r="J838" s="636"/>
      <c r="K838" s="635"/>
      <c r="L838" s="635"/>
      <c r="M838" s="635"/>
      <c r="N838" s="635"/>
      <c r="O838" s="635"/>
      <c r="P838" s="635"/>
      <c r="Q838" s="635"/>
      <c r="R838" s="635"/>
      <c r="S838" s="634"/>
      <c r="T838" s="634"/>
      <c r="U838" s="634"/>
      <c r="V838" s="634"/>
      <c r="W838" s="634"/>
      <c r="X838" s="634"/>
      <c r="Y838" s="634"/>
      <c r="Z838" s="634"/>
      <c r="AA838" s="634"/>
    </row>
    <row r="839" ht="15.75" customHeight="1">
      <c r="A839" s="634"/>
      <c r="B839" s="634"/>
      <c r="C839" s="634"/>
      <c r="D839" s="634"/>
      <c r="E839" s="634"/>
      <c r="F839" s="634"/>
      <c r="G839" s="634"/>
      <c r="H839" s="635"/>
      <c r="I839" s="634"/>
      <c r="J839" s="636"/>
      <c r="K839" s="635"/>
      <c r="L839" s="635"/>
      <c r="M839" s="635"/>
      <c r="N839" s="635"/>
      <c r="O839" s="635"/>
      <c r="P839" s="635"/>
      <c r="Q839" s="635"/>
      <c r="R839" s="635"/>
      <c r="S839" s="634"/>
      <c r="T839" s="634"/>
      <c r="U839" s="634"/>
      <c r="V839" s="634"/>
      <c r="W839" s="634"/>
      <c r="X839" s="634"/>
      <c r="Y839" s="634"/>
      <c r="Z839" s="634"/>
      <c r="AA839" s="634"/>
    </row>
    <row r="840" ht="15.75" customHeight="1">
      <c r="A840" s="634"/>
      <c r="B840" s="634"/>
      <c r="C840" s="634"/>
      <c r="D840" s="634"/>
      <c r="E840" s="634"/>
      <c r="F840" s="634"/>
      <c r="G840" s="634"/>
      <c r="H840" s="635"/>
      <c r="I840" s="634"/>
      <c r="J840" s="636"/>
      <c r="K840" s="635"/>
      <c r="L840" s="635"/>
      <c r="M840" s="635"/>
      <c r="N840" s="635"/>
      <c r="O840" s="635"/>
      <c r="P840" s="635"/>
      <c r="Q840" s="635"/>
      <c r="R840" s="635"/>
      <c r="S840" s="634"/>
      <c r="T840" s="634"/>
      <c r="U840" s="634"/>
      <c r="V840" s="634"/>
      <c r="W840" s="634"/>
      <c r="X840" s="634"/>
      <c r="Y840" s="634"/>
      <c r="Z840" s="634"/>
      <c r="AA840" s="634"/>
    </row>
    <row r="841" ht="15.75" customHeight="1">
      <c r="A841" s="634"/>
      <c r="B841" s="634"/>
      <c r="C841" s="634"/>
      <c r="D841" s="634"/>
      <c r="E841" s="634"/>
      <c r="F841" s="634"/>
      <c r="G841" s="634"/>
      <c r="H841" s="635"/>
      <c r="I841" s="634"/>
      <c r="J841" s="636"/>
      <c r="K841" s="635"/>
      <c r="L841" s="635"/>
      <c r="M841" s="635"/>
      <c r="N841" s="635"/>
      <c r="O841" s="635"/>
      <c r="P841" s="635"/>
      <c r="Q841" s="635"/>
      <c r="R841" s="635"/>
      <c r="S841" s="634"/>
      <c r="T841" s="634"/>
      <c r="U841" s="634"/>
      <c r="V841" s="634"/>
      <c r="W841" s="634"/>
      <c r="X841" s="634"/>
      <c r="Y841" s="634"/>
      <c r="Z841" s="634"/>
      <c r="AA841" s="634"/>
    </row>
    <row r="842" ht="15.75" customHeight="1">
      <c r="A842" s="634"/>
      <c r="B842" s="634"/>
      <c r="C842" s="634"/>
      <c r="D842" s="634"/>
      <c r="E842" s="634"/>
      <c r="F842" s="634"/>
      <c r="G842" s="634"/>
      <c r="H842" s="635"/>
      <c r="I842" s="634"/>
      <c r="J842" s="636"/>
      <c r="K842" s="635"/>
      <c r="L842" s="635"/>
      <c r="M842" s="635"/>
      <c r="N842" s="635"/>
      <c r="O842" s="635"/>
      <c r="P842" s="635"/>
      <c r="Q842" s="635"/>
      <c r="R842" s="635"/>
      <c r="S842" s="634"/>
      <c r="T842" s="634"/>
      <c r="U842" s="634"/>
      <c r="V842" s="634"/>
      <c r="W842" s="634"/>
      <c r="X842" s="634"/>
      <c r="Y842" s="634"/>
      <c r="Z842" s="634"/>
      <c r="AA842" s="634"/>
    </row>
    <row r="843" ht="15.75" customHeight="1">
      <c r="A843" s="634"/>
      <c r="B843" s="634"/>
      <c r="C843" s="634"/>
      <c r="D843" s="634"/>
      <c r="E843" s="634"/>
      <c r="F843" s="634"/>
      <c r="G843" s="634"/>
      <c r="H843" s="635"/>
      <c r="I843" s="634"/>
      <c r="J843" s="636"/>
      <c r="K843" s="635"/>
      <c r="L843" s="635"/>
      <c r="M843" s="635"/>
      <c r="N843" s="635"/>
      <c r="O843" s="635"/>
      <c r="P843" s="635"/>
      <c r="Q843" s="635"/>
      <c r="R843" s="635"/>
      <c r="S843" s="634"/>
      <c r="T843" s="634"/>
      <c r="U843" s="634"/>
      <c r="V843" s="634"/>
      <c r="W843" s="634"/>
      <c r="X843" s="634"/>
      <c r="Y843" s="634"/>
      <c r="Z843" s="634"/>
      <c r="AA843" s="634"/>
    </row>
    <row r="844" ht="15.75" customHeight="1">
      <c r="A844" s="634"/>
      <c r="B844" s="634"/>
      <c r="C844" s="634"/>
      <c r="D844" s="634"/>
      <c r="E844" s="634"/>
      <c r="F844" s="634"/>
      <c r="G844" s="634"/>
      <c r="H844" s="635"/>
      <c r="I844" s="634"/>
      <c r="J844" s="636"/>
      <c r="K844" s="635"/>
      <c r="L844" s="635"/>
      <c r="M844" s="635"/>
      <c r="N844" s="635"/>
      <c r="O844" s="635"/>
      <c r="P844" s="635"/>
      <c r="Q844" s="635"/>
      <c r="R844" s="635"/>
      <c r="S844" s="634"/>
      <c r="T844" s="634"/>
      <c r="U844" s="634"/>
      <c r="V844" s="634"/>
      <c r="W844" s="634"/>
      <c r="X844" s="634"/>
      <c r="Y844" s="634"/>
      <c r="Z844" s="634"/>
      <c r="AA844" s="634"/>
    </row>
    <row r="845" ht="15.75" customHeight="1">
      <c r="A845" s="634"/>
      <c r="B845" s="634"/>
      <c r="C845" s="634"/>
      <c r="D845" s="634"/>
      <c r="E845" s="634"/>
      <c r="F845" s="634"/>
      <c r="G845" s="634"/>
      <c r="H845" s="635"/>
      <c r="I845" s="634"/>
      <c r="J845" s="636"/>
      <c r="K845" s="635"/>
      <c r="L845" s="635"/>
      <c r="M845" s="635"/>
      <c r="N845" s="635"/>
      <c r="O845" s="635"/>
      <c r="P845" s="635"/>
      <c r="Q845" s="635"/>
      <c r="R845" s="635"/>
      <c r="S845" s="634"/>
      <c r="T845" s="634"/>
      <c r="U845" s="634"/>
      <c r="V845" s="634"/>
      <c r="W845" s="634"/>
      <c r="X845" s="634"/>
      <c r="Y845" s="634"/>
      <c r="Z845" s="634"/>
      <c r="AA845" s="634"/>
    </row>
    <row r="846" ht="15.75" customHeight="1">
      <c r="A846" s="634"/>
      <c r="B846" s="634"/>
      <c r="C846" s="634"/>
      <c r="D846" s="634"/>
      <c r="E846" s="634"/>
      <c r="F846" s="634"/>
      <c r="G846" s="634"/>
      <c r="H846" s="635"/>
      <c r="I846" s="634"/>
      <c r="J846" s="636"/>
      <c r="K846" s="635"/>
      <c r="L846" s="635"/>
      <c r="M846" s="635"/>
      <c r="N846" s="635"/>
      <c r="O846" s="635"/>
      <c r="P846" s="635"/>
      <c r="Q846" s="635"/>
      <c r="R846" s="635"/>
      <c r="S846" s="634"/>
      <c r="T846" s="634"/>
      <c r="U846" s="634"/>
      <c r="V846" s="634"/>
      <c r="W846" s="634"/>
      <c r="X846" s="634"/>
      <c r="Y846" s="634"/>
      <c r="Z846" s="634"/>
      <c r="AA846" s="634"/>
    </row>
    <row r="847" ht="15.75" customHeight="1">
      <c r="A847" s="634"/>
      <c r="B847" s="634"/>
      <c r="C847" s="634"/>
      <c r="D847" s="634"/>
      <c r="E847" s="634"/>
      <c r="F847" s="634"/>
      <c r="G847" s="634"/>
      <c r="H847" s="635"/>
      <c r="I847" s="634"/>
      <c r="J847" s="636"/>
      <c r="K847" s="635"/>
      <c r="L847" s="635"/>
      <c r="M847" s="635"/>
      <c r="N847" s="635"/>
      <c r="O847" s="635"/>
      <c r="P847" s="635"/>
      <c r="Q847" s="635"/>
      <c r="R847" s="635"/>
      <c r="S847" s="634"/>
      <c r="T847" s="634"/>
      <c r="U847" s="634"/>
      <c r="V847" s="634"/>
      <c r="W847" s="634"/>
      <c r="X847" s="634"/>
      <c r="Y847" s="634"/>
      <c r="Z847" s="634"/>
      <c r="AA847" s="634"/>
    </row>
    <row r="848" ht="15.75" customHeight="1">
      <c r="A848" s="634"/>
      <c r="B848" s="634"/>
      <c r="C848" s="634"/>
      <c r="D848" s="634"/>
      <c r="E848" s="634"/>
      <c r="F848" s="634"/>
      <c r="G848" s="634"/>
      <c r="H848" s="635"/>
      <c r="I848" s="634"/>
      <c r="J848" s="636"/>
      <c r="K848" s="635"/>
      <c r="L848" s="635"/>
      <c r="M848" s="635"/>
      <c r="N848" s="635"/>
      <c r="O848" s="635"/>
      <c r="P848" s="635"/>
      <c r="Q848" s="635"/>
      <c r="R848" s="635"/>
      <c r="S848" s="634"/>
      <c r="T848" s="634"/>
      <c r="U848" s="634"/>
      <c r="V848" s="634"/>
      <c r="W848" s="634"/>
      <c r="X848" s="634"/>
      <c r="Y848" s="634"/>
      <c r="Z848" s="634"/>
      <c r="AA848" s="634"/>
    </row>
    <row r="849" ht="15.75" customHeight="1">
      <c r="A849" s="634"/>
      <c r="B849" s="634"/>
      <c r="C849" s="634"/>
      <c r="D849" s="634"/>
      <c r="E849" s="634"/>
      <c r="F849" s="634"/>
      <c r="G849" s="634"/>
      <c r="H849" s="635"/>
      <c r="I849" s="634"/>
      <c r="J849" s="636"/>
      <c r="K849" s="635"/>
      <c r="L849" s="635"/>
      <c r="M849" s="635"/>
      <c r="N849" s="635"/>
      <c r="O849" s="635"/>
      <c r="P849" s="635"/>
      <c r="Q849" s="635"/>
      <c r="R849" s="635"/>
      <c r="S849" s="634"/>
      <c r="T849" s="634"/>
      <c r="U849" s="634"/>
      <c r="V849" s="634"/>
      <c r="W849" s="634"/>
      <c r="X849" s="634"/>
      <c r="Y849" s="634"/>
      <c r="Z849" s="634"/>
      <c r="AA849" s="634"/>
    </row>
    <row r="850" ht="15.75" customHeight="1">
      <c r="A850" s="634"/>
      <c r="B850" s="634"/>
      <c r="C850" s="634"/>
      <c r="D850" s="634"/>
      <c r="E850" s="634"/>
      <c r="F850" s="634"/>
      <c r="G850" s="634"/>
      <c r="H850" s="635"/>
      <c r="I850" s="634"/>
      <c r="J850" s="636"/>
      <c r="K850" s="635"/>
      <c r="L850" s="635"/>
      <c r="M850" s="635"/>
      <c r="N850" s="635"/>
      <c r="O850" s="635"/>
      <c r="P850" s="635"/>
      <c r="Q850" s="635"/>
      <c r="R850" s="635"/>
      <c r="S850" s="634"/>
      <c r="T850" s="634"/>
      <c r="U850" s="634"/>
      <c r="V850" s="634"/>
      <c r="W850" s="634"/>
      <c r="X850" s="634"/>
      <c r="Y850" s="634"/>
      <c r="Z850" s="634"/>
      <c r="AA850" s="634"/>
    </row>
    <row r="851" ht="15.75" customHeight="1">
      <c r="A851" s="634"/>
      <c r="B851" s="634"/>
      <c r="C851" s="634"/>
      <c r="D851" s="634"/>
      <c r="E851" s="634"/>
      <c r="F851" s="634"/>
      <c r="G851" s="634"/>
      <c r="H851" s="635"/>
      <c r="I851" s="634"/>
      <c r="J851" s="636"/>
      <c r="K851" s="635"/>
      <c r="L851" s="635"/>
      <c r="M851" s="635"/>
      <c r="N851" s="635"/>
      <c r="O851" s="635"/>
      <c r="P851" s="635"/>
      <c r="Q851" s="635"/>
      <c r="R851" s="635"/>
      <c r="S851" s="634"/>
      <c r="T851" s="634"/>
      <c r="U851" s="634"/>
      <c r="V851" s="634"/>
      <c r="W851" s="634"/>
      <c r="X851" s="634"/>
      <c r="Y851" s="634"/>
      <c r="Z851" s="634"/>
      <c r="AA851" s="634"/>
    </row>
    <row r="852" ht="15.75" customHeight="1">
      <c r="A852" s="634"/>
      <c r="B852" s="634"/>
      <c r="C852" s="634"/>
      <c r="D852" s="634"/>
      <c r="E852" s="634"/>
      <c r="F852" s="634"/>
      <c r="G852" s="634"/>
      <c r="H852" s="635"/>
      <c r="I852" s="634"/>
      <c r="J852" s="636"/>
      <c r="K852" s="635"/>
      <c r="L852" s="635"/>
      <c r="M852" s="635"/>
      <c r="N852" s="635"/>
      <c r="O852" s="635"/>
      <c r="P852" s="635"/>
      <c r="Q852" s="635"/>
      <c r="R852" s="635"/>
      <c r="S852" s="634"/>
      <c r="T852" s="634"/>
      <c r="U852" s="634"/>
      <c r="V852" s="634"/>
      <c r="W852" s="634"/>
      <c r="X852" s="634"/>
      <c r="Y852" s="634"/>
      <c r="Z852" s="634"/>
      <c r="AA852" s="634"/>
    </row>
    <row r="853" ht="15.75" customHeight="1">
      <c r="A853" s="634"/>
      <c r="B853" s="634"/>
      <c r="C853" s="634"/>
      <c r="D853" s="634"/>
      <c r="E853" s="634"/>
      <c r="F853" s="634"/>
      <c r="G853" s="634"/>
      <c r="H853" s="635"/>
      <c r="I853" s="634"/>
      <c r="J853" s="636"/>
      <c r="K853" s="635"/>
      <c r="L853" s="635"/>
      <c r="M853" s="635"/>
      <c r="N853" s="635"/>
      <c r="O853" s="635"/>
      <c r="P853" s="635"/>
      <c r="Q853" s="635"/>
      <c r="R853" s="635"/>
      <c r="S853" s="634"/>
      <c r="T853" s="634"/>
      <c r="U853" s="634"/>
      <c r="V853" s="634"/>
      <c r="W853" s="634"/>
      <c r="X853" s="634"/>
      <c r="Y853" s="634"/>
      <c r="Z853" s="634"/>
      <c r="AA853" s="634"/>
    </row>
    <row r="854" ht="15.75" customHeight="1">
      <c r="A854" s="634"/>
      <c r="B854" s="634"/>
      <c r="C854" s="634"/>
      <c r="D854" s="634"/>
      <c r="E854" s="634"/>
      <c r="F854" s="634"/>
      <c r="G854" s="634"/>
      <c r="H854" s="635"/>
      <c r="I854" s="634"/>
      <c r="J854" s="636"/>
      <c r="K854" s="635"/>
      <c r="L854" s="635"/>
      <c r="M854" s="635"/>
      <c r="N854" s="635"/>
      <c r="O854" s="635"/>
      <c r="P854" s="635"/>
      <c r="Q854" s="635"/>
      <c r="R854" s="635"/>
      <c r="S854" s="634"/>
      <c r="T854" s="634"/>
      <c r="U854" s="634"/>
      <c r="V854" s="634"/>
      <c r="W854" s="634"/>
      <c r="X854" s="634"/>
      <c r="Y854" s="634"/>
      <c r="Z854" s="634"/>
      <c r="AA854" s="634"/>
    </row>
    <row r="855" ht="15.75" customHeight="1">
      <c r="A855" s="634"/>
      <c r="B855" s="634"/>
      <c r="C855" s="634"/>
      <c r="D855" s="634"/>
      <c r="E855" s="634"/>
      <c r="F855" s="634"/>
      <c r="G855" s="634"/>
      <c r="H855" s="635"/>
      <c r="I855" s="634"/>
      <c r="J855" s="636"/>
      <c r="K855" s="635"/>
      <c r="L855" s="635"/>
      <c r="M855" s="635"/>
      <c r="N855" s="635"/>
      <c r="O855" s="635"/>
      <c r="P855" s="635"/>
      <c r="Q855" s="635"/>
      <c r="R855" s="635"/>
      <c r="S855" s="634"/>
      <c r="T855" s="634"/>
      <c r="U855" s="634"/>
      <c r="V855" s="634"/>
      <c r="W855" s="634"/>
      <c r="X855" s="634"/>
      <c r="Y855" s="634"/>
      <c r="Z855" s="634"/>
      <c r="AA855" s="634"/>
    </row>
    <row r="856" ht="15.75" customHeight="1">
      <c r="A856" s="634"/>
      <c r="B856" s="634"/>
      <c r="C856" s="634"/>
      <c r="D856" s="634"/>
      <c r="E856" s="634"/>
      <c r="F856" s="634"/>
      <c r="G856" s="634"/>
      <c r="H856" s="635"/>
      <c r="I856" s="634"/>
      <c r="J856" s="636"/>
      <c r="K856" s="635"/>
      <c r="L856" s="635"/>
      <c r="M856" s="635"/>
      <c r="N856" s="635"/>
      <c r="O856" s="635"/>
      <c r="P856" s="635"/>
      <c r="Q856" s="635"/>
      <c r="R856" s="635"/>
      <c r="S856" s="634"/>
      <c r="T856" s="634"/>
      <c r="U856" s="634"/>
      <c r="V856" s="634"/>
      <c r="W856" s="634"/>
      <c r="X856" s="634"/>
      <c r="Y856" s="634"/>
      <c r="Z856" s="634"/>
      <c r="AA856" s="634"/>
    </row>
    <row r="857" ht="15.75" customHeight="1">
      <c r="A857" s="634"/>
      <c r="B857" s="634"/>
      <c r="C857" s="634"/>
      <c r="D857" s="634"/>
      <c r="E857" s="634"/>
      <c r="F857" s="634"/>
      <c r="G857" s="634"/>
      <c r="H857" s="635"/>
      <c r="I857" s="634"/>
      <c r="J857" s="636"/>
      <c r="K857" s="635"/>
      <c r="L857" s="635"/>
      <c r="M857" s="635"/>
      <c r="N857" s="635"/>
      <c r="O857" s="635"/>
      <c r="P857" s="635"/>
      <c r="Q857" s="635"/>
      <c r="R857" s="635"/>
      <c r="S857" s="634"/>
      <c r="T857" s="634"/>
      <c r="U857" s="634"/>
      <c r="V857" s="634"/>
      <c r="W857" s="634"/>
      <c r="X857" s="634"/>
      <c r="Y857" s="634"/>
      <c r="Z857" s="634"/>
      <c r="AA857" s="634"/>
    </row>
    <row r="858" ht="15.75" customHeight="1">
      <c r="A858" s="634"/>
      <c r="B858" s="634"/>
      <c r="C858" s="634"/>
      <c r="D858" s="634"/>
      <c r="E858" s="634"/>
      <c r="F858" s="634"/>
      <c r="G858" s="634"/>
      <c r="H858" s="635"/>
      <c r="I858" s="634"/>
      <c r="J858" s="636"/>
      <c r="K858" s="635"/>
      <c r="L858" s="635"/>
      <c r="M858" s="635"/>
      <c r="N858" s="635"/>
      <c r="O858" s="635"/>
      <c r="P858" s="635"/>
      <c r="Q858" s="635"/>
      <c r="R858" s="635"/>
      <c r="S858" s="634"/>
      <c r="T858" s="634"/>
      <c r="U858" s="634"/>
      <c r="V858" s="634"/>
      <c r="W858" s="634"/>
      <c r="X858" s="634"/>
      <c r="Y858" s="634"/>
      <c r="Z858" s="634"/>
      <c r="AA858" s="634"/>
    </row>
    <row r="859" ht="15.75" customHeight="1">
      <c r="A859" s="634"/>
      <c r="B859" s="634"/>
      <c r="C859" s="634"/>
      <c r="D859" s="634"/>
      <c r="E859" s="634"/>
      <c r="F859" s="634"/>
      <c r="G859" s="634"/>
      <c r="H859" s="635"/>
      <c r="I859" s="634"/>
      <c r="J859" s="636"/>
      <c r="K859" s="635"/>
      <c r="L859" s="635"/>
      <c r="M859" s="635"/>
      <c r="N859" s="635"/>
      <c r="O859" s="635"/>
      <c r="P859" s="635"/>
      <c r="Q859" s="635"/>
      <c r="R859" s="635"/>
      <c r="S859" s="634"/>
      <c r="T859" s="634"/>
      <c r="U859" s="634"/>
      <c r="V859" s="634"/>
      <c r="W859" s="634"/>
      <c r="X859" s="634"/>
      <c r="Y859" s="634"/>
      <c r="Z859" s="634"/>
      <c r="AA859" s="634"/>
    </row>
    <row r="860" ht="15.75" customHeight="1">
      <c r="A860" s="634"/>
      <c r="B860" s="634"/>
      <c r="C860" s="634"/>
      <c r="D860" s="634"/>
      <c r="E860" s="634"/>
      <c r="F860" s="634"/>
      <c r="G860" s="634"/>
      <c r="H860" s="635"/>
      <c r="I860" s="634"/>
      <c r="J860" s="636"/>
      <c r="K860" s="635"/>
      <c r="L860" s="635"/>
      <c r="M860" s="635"/>
      <c r="N860" s="635"/>
      <c r="O860" s="635"/>
      <c r="P860" s="635"/>
      <c r="Q860" s="635"/>
      <c r="R860" s="635"/>
      <c r="S860" s="634"/>
      <c r="T860" s="634"/>
      <c r="U860" s="634"/>
      <c r="V860" s="634"/>
      <c r="W860" s="634"/>
      <c r="X860" s="634"/>
      <c r="Y860" s="634"/>
      <c r="Z860" s="634"/>
      <c r="AA860" s="634"/>
    </row>
    <row r="861" ht="15.75" customHeight="1">
      <c r="A861" s="634"/>
      <c r="B861" s="634"/>
      <c r="C861" s="634"/>
      <c r="D861" s="634"/>
      <c r="E861" s="634"/>
      <c r="F861" s="634"/>
      <c r="G861" s="634"/>
      <c r="H861" s="635"/>
      <c r="I861" s="634"/>
      <c r="J861" s="636"/>
      <c r="K861" s="635"/>
      <c r="L861" s="635"/>
      <c r="M861" s="635"/>
      <c r="N861" s="635"/>
      <c r="O861" s="635"/>
      <c r="P861" s="635"/>
      <c r="Q861" s="635"/>
      <c r="R861" s="635"/>
      <c r="S861" s="634"/>
      <c r="T861" s="634"/>
      <c r="U861" s="634"/>
      <c r="V861" s="634"/>
      <c r="W861" s="634"/>
      <c r="X861" s="634"/>
      <c r="Y861" s="634"/>
      <c r="Z861" s="634"/>
      <c r="AA861" s="634"/>
    </row>
    <row r="862" ht="15.75" customHeight="1">
      <c r="A862" s="634"/>
      <c r="B862" s="634"/>
      <c r="C862" s="634"/>
      <c r="D862" s="634"/>
      <c r="E862" s="634"/>
      <c r="F862" s="634"/>
      <c r="G862" s="634"/>
      <c r="H862" s="635"/>
      <c r="I862" s="634"/>
      <c r="J862" s="636"/>
      <c r="K862" s="635"/>
      <c r="L862" s="635"/>
      <c r="M862" s="635"/>
      <c r="N862" s="635"/>
      <c r="O862" s="635"/>
      <c r="P862" s="635"/>
      <c r="Q862" s="635"/>
      <c r="R862" s="635"/>
      <c r="S862" s="634"/>
      <c r="T862" s="634"/>
      <c r="U862" s="634"/>
      <c r="V862" s="634"/>
      <c r="W862" s="634"/>
      <c r="X862" s="634"/>
      <c r="Y862" s="634"/>
      <c r="Z862" s="634"/>
      <c r="AA862" s="634"/>
    </row>
    <row r="863" ht="15.75" customHeight="1">
      <c r="A863" s="634"/>
      <c r="B863" s="634"/>
      <c r="C863" s="634"/>
      <c r="D863" s="634"/>
      <c r="E863" s="634"/>
      <c r="F863" s="634"/>
      <c r="G863" s="634"/>
      <c r="H863" s="635"/>
      <c r="I863" s="634"/>
      <c r="J863" s="636"/>
      <c r="K863" s="635"/>
      <c r="L863" s="635"/>
      <c r="M863" s="635"/>
      <c r="N863" s="635"/>
      <c r="O863" s="635"/>
      <c r="P863" s="635"/>
      <c r="Q863" s="635"/>
      <c r="R863" s="635"/>
      <c r="S863" s="634"/>
      <c r="T863" s="634"/>
      <c r="U863" s="634"/>
      <c r="V863" s="634"/>
      <c r="W863" s="634"/>
      <c r="X863" s="634"/>
      <c r="Y863" s="634"/>
      <c r="Z863" s="634"/>
      <c r="AA863" s="634"/>
    </row>
    <row r="864" ht="15.75" customHeight="1">
      <c r="A864" s="634"/>
      <c r="B864" s="634"/>
      <c r="C864" s="634"/>
      <c r="D864" s="634"/>
      <c r="E864" s="634"/>
      <c r="F864" s="634"/>
      <c r="G864" s="634"/>
      <c r="H864" s="635"/>
      <c r="I864" s="634"/>
      <c r="J864" s="636"/>
      <c r="K864" s="635"/>
      <c r="L864" s="635"/>
      <c r="M864" s="635"/>
      <c r="N864" s="635"/>
      <c r="O864" s="635"/>
      <c r="P864" s="635"/>
      <c r="Q864" s="635"/>
      <c r="R864" s="635"/>
      <c r="S864" s="634"/>
      <c r="T864" s="634"/>
      <c r="U864" s="634"/>
      <c r="V864" s="634"/>
      <c r="W864" s="634"/>
      <c r="X864" s="634"/>
      <c r="Y864" s="634"/>
      <c r="Z864" s="634"/>
      <c r="AA864" s="634"/>
    </row>
    <row r="865" ht="15.75" customHeight="1">
      <c r="A865" s="634"/>
      <c r="B865" s="634"/>
      <c r="C865" s="634"/>
      <c r="D865" s="634"/>
      <c r="E865" s="634"/>
      <c r="F865" s="634"/>
      <c r="G865" s="634"/>
      <c r="H865" s="635"/>
      <c r="I865" s="634"/>
      <c r="J865" s="636"/>
      <c r="K865" s="635"/>
      <c r="L865" s="635"/>
      <c r="M865" s="635"/>
      <c r="N865" s="635"/>
      <c r="O865" s="635"/>
      <c r="P865" s="635"/>
      <c r="Q865" s="635"/>
      <c r="R865" s="635"/>
      <c r="S865" s="634"/>
      <c r="T865" s="634"/>
      <c r="U865" s="634"/>
      <c r="V865" s="634"/>
      <c r="W865" s="634"/>
      <c r="X865" s="634"/>
      <c r="Y865" s="634"/>
      <c r="Z865" s="634"/>
      <c r="AA865" s="634"/>
    </row>
    <row r="866" ht="15.75" customHeight="1">
      <c r="A866" s="634"/>
      <c r="B866" s="634"/>
      <c r="C866" s="634"/>
      <c r="D866" s="634"/>
      <c r="E866" s="634"/>
      <c r="F866" s="634"/>
      <c r="G866" s="634"/>
      <c r="H866" s="635"/>
      <c r="I866" s="634"/>
      <c r="J866" s="636"/>
      <c r="K866" s="635"/>
      <c r="L866" s="635"/>
      <c r="M866" s="635"/>
      <c r="N866" s="635"/>
      <c r="O866" s="635"/>
      <c r="P866" s="635"/>
      <c r="Q866" s="635"/>
      <c r="R866" s="635"/>
      <c r="S866" s="634"/>
      <c r="T866" s="634"/>
      <c r="U866" s="634"/>
      <c r="V866" s="634"/>
      <c r="W866" s="634"/>
      <c r="X866" s="634"/>
      <c r="Y866" s="634"/>
      <c r="Z866" s="634"/>
      <c r="AA866" s="634"/>
    </row>
    <row r="867" ht="15.75" customHeight="1">
      <c r="A867" s="634"/>
      <c r="B867" s="634"/>
      <c r="C867" s="634"/>
      <c r="D867" s="634"/>
      <c r="E867" s="634"/>
      <c r="F867" s="634"/>
      <c r="G867" s="634"/>
      <c r="H867" s="635"/>
      <c r="I867" s="634"/>
      <c r="J867" s="636"/>
      <c r="K867" s="635"/>
      <c r="L867" s="635"/>
      <c r="M867" s="635"/>
      <c r="N867" s="635"/>
      <c r="O867" s="635"/>
      <c r="P867" s="635"/>
      <c r="Q867" s="635"/>
      <c r="R867" s="635"/>
      <c r="S867" s="634"/>
      <c r="T867" s="634"/>
      <c r="U867" s="634"/>
      <c r="V867" s="634"/>
      <c r="W867" s="634"/>
      <c r="X867" s="634"/>
      <c r="Y867" s="634"/>
      <c r="Z867" s="634"/>
      <c r="AA867" s="634"/>
    </row>
    <row r="868" ht="15.75" customHeight="1">
      <c r="A868" s="634"/>
      <c r="B868" s="634"/>
      <c r="C868" s="634"/>
      <c r="D868" s="634"/>
      <c r="E868" s="634"/>
      <c r="F868" s="634"/>
      <c r="G868" s="634"/>
      <c r="H868" s="635"/>
      <c r="I868" s="634"/>
      <c r="J868" s="636"/>
      <c r="K868" s="635"/>
      <c r="L868" s="635"/>
      <c r="M868" s="635"/>
      <c r="N868" s="635"/>
      <c r="O868" s="635"/>
      <c r="P868" s="635"/>
      <c r="Q868" s="635"/>
      <c r="R868" s="635"/>
      <c r="S868" s="634"/>
      <c r="T868" s="634"/>
      <c r="U868" s="634"/>
      <c r="V868" s="634"/>
      <c r="W868" s="634"/>
      <c r="X868" s="634"/>
      <c r="Y868" s="634"/>
      <c r="Z868" s="634"/>
      <c r="AA868" s="634"/>
    </row>
    <row r="869" ht="15.75" customHeight="1">
      <c r="A869" s="634"/>
      <c r="B869" s="634"/>
      <c r="C869" s="634"/>
      <c r="D869" s="634"/>
      <c r="E869" s="634"/>
      <c r="F869" s="634"/>
      <c r="G869" s="634"/>
      <c r="H869" s="635"/>
      <c r="I869" s="634"/>
      <c r="J869" s="636"/>
      <c r="K869" s="635"/>
      <c r="L869" s="635"/>
      <c r="M869" s="635"/>
      <c r="N869" s="635"/>
      <c r="O869" s="635"/>
      <c r="P869" s="635"/>
      <c r="Q869" s="635"/>
      <c r="R869" s="635"/>
      <c r="S869" s="634"/>
      <c r="T869" s="634"/>
      <c r="U869" s="634"/>
      <c r="V869" s="634"/>
      <c r="W869" s="634"/>
      <c r="X869" s="634"/>
      <c r="Y869" s="634"/>
      <c r="Z869" s="634"/>
      <c r="AA869" s="634"/>
    </row>
    <row r="870" ht="15.75" customHeight="1">
      <c r="A870" s="634"/>
      <c r="B870" s="634"/>
      <c r="C870" s="634"/>
      <c r="D870" s="634"/>
      <c r="E870" s="634"/>
      <c r="F870" s="634"/>
      <c r="G870" s="634"/>
      <c r="H870" s="635"/>
      <c r="I870" s="634"/>
      <c r="J870" s="636"/>
      <c r="K870" s="635"/>
      <c r="L870" s="635"/>
      <c r="M870" s="635"/>
      <c r="N870" s="635"/>
      <c r="O870" s="635"/>
      <c r="P870" s="635"/>
      <c r="Q870" s="635"/>
      <c r="R870" s="635"/>
      <c r="S870" s="634"/>
      <c r="T870" s="634"/>
      <c r="U870" s="634"/>
      <c r="V870" s="634"/>
      <c r="W870" s="634"/>
      <c r="X870" s="634"/>
      <c r="Y870" s="634"/>
      <c r="Z870" s="634"/>
      <c r="AA870" s="634"/>
    </row>
    <row r="871" ht="15.75" customHeight="1">
      <c r="A871" s="634"/>
      <c r="B871" s="634"/>
      <c r="C871" s="634"/>
      <c r="D871" s="634"/>
      <c r="E871" s="634"/>
      <c r="F871" s="634"/>
      <c r="G871" s="634"/>
      <c r="H871" s="635"/>
      <c r="I871" s="634"/>
      <c r="J871" s="636"/>
      <c r="K871" s="635"/>
      <c r="L871" s="635"/>
      <c r="M871" s="635"/>
      <c r="N871" s="635"/>
      <c r="O871" s="635"/>
      <c r="P871" s="635"/>
      <c r="Q871" s="635"/>
      <c r="R871" s="635"/>
      <c r="S871" s="634"/>
      <c r="T871" s="634"/>
      <c r="U871" s="634"/>
      <c r="V871" s="634"/>
      <c r="W871" s="634"/>
      <c r="X871" s="634"/>
      <c r="Y871" s="634"/>
      <c r="Z871" s="634"/>
      <c r="AA871" s="634"/>
    </row>
    <row r="872" ht="15.75" customHeight="1">
      <c r="A872" s="634"/>
      <c r="B872" s="634"/>
      <c r="C872" s="634"/>
      <c r="D872" s="634"/>
      <c r="E872" s="634"/>
      <c r="F872" s="634"/>
      <c r="G872" s="634"/>
      <c r="H872" s="635"/>
      <c r="I872" s="634"/>
      <c r="J872" s="636"/>
      <c r="K872" s="635"/>
      <c r="L872" s="635"/>
      <c r="M872" s="635"/>
      <c r="N872" s="635"/>
      <c r="O872" s="635"/>
      <c r="P872" s="635"/>
      <c r="Q872" s="635"/>
      <c r="R872" s="635"/>
      <c r="S872" s="634"/>
      <c r="T872" s="634"/>
      <c r="U872" s="634"/>
      <c r="V872" s="634"/>
      <c r="W872" s="634"/>
      <c r="X872" s="634"/>
      <c r="Y872" s="634"/>
      <c r="Z872" s="634"/>
      <c r="AA872" s="634"/>
    </row>
    <row r="873" ht="15.75" customHeight="1">
      <c r="A873" s="634"/>
      <c r="B873" s="634"/>
      <c r="C873" s="634"/>
      <c r="D873" s="634"/>
      <c r="E873" s="634"/>
      <c r="F873" s="634"/>
      <c r="G873" s="634"/>
      <c r="H873" s="635"/>
      <c r="I873" s="634"/>
      <c r="J873" s="636"/>
      <c r="K873" s="635"/>
      <c r="L873" s="635"/>
      <c r="M873" s="635"/>
      <c r="N873" s="635"/>
      <c r="O873" s="635"/>
      <c r="P873" s="635"/>
      <c r="Q873" s="635"/>
      <c r="R873" s="635"/>
      <c r="S873" s="634"/>
      <c r="T873" s="634"/>
      <c r="U873" s="634"/>
      <c r="V873" s="634"/>
      <c r="W873" s="634"/>
      <c r="X873" s="634"/>
      <c r="Y873" s="634"/>
      <c r="Z873" s="634"/>
      <c r="AA873" s="634"/>
    </row>
    <row r="874" ht="15.75" customHeight="1">
      <c r="A874" s="634"/>
      <c r="B874" s="634"/>
      <c r="C874" s="634"/>
      <c r="D874" s="634"/>
      <c r="E874" s="634"/>
      <c r="F874" s="634"/>
      <c r="G874" s="634"/>
      <c r="H874" s="635"/>
      <c r="I874" s="634"/>
      <c r="J874" s="636"/>
      <c r="K874" s="635"/>
      <c r="L874" s="635"/>
      <c r="M874" s="635"/>
      <c r="N874" s="635"/>
      <c r="O874" s="635"/>
      <c r="P874" s="635"/>
      <c r="Q874" s="635"/>
      <c r="R874" s="635"/>
      <c r="S874" s="634"/>
      <c r="T874" s="634"/>
      <c r="U874" s="634"/>
      <c r="V874" s="634"/>
      <c r="W874" s="634"/>
      <c r="X874" s="634"/>
      <c r="Y874" s="634"/>
      <c r="Z874" s="634"/>
      <c r="AA874" s="634"/>
    </row>
    <row r="875" ht="15.75" customHeight="1">
      <c r="A875" s="634"/>
      <c r="B875" s="634"/>
      <c r="C875" s="634"/>
      <c r="D875" s="634"/>
      <c r="E875" s="634"/>
      <c r="F875" s="634"/>
      <c r="G875" s="634"/>
      <c r="H875" s="635"/>
      <c r="I875" s="634"/>
      <c r="J875" s="636"/>
      <c r="K875" s="635"/>
      <c r="L875" s="635"/>
      <c r="M875" s="635"/>
      <c r="N875" s="635"/>
      <c r="O875" s="635"/>
      <c r="P875" s="635"/>
      <c r="Q875" s="635"/>
      <c r="R875" s="635"/>
      <c r="S875" s="634"/>
      <c r="T875" s="634"/>
      <c r="U875" s="634"/>
      <c r="V875" s="634"/>
      <c r="W875" s="634"/>
      <c r="X875" s="634"/>
      <c r="Y875" s="634"/>
      <c r="Z875" s="634"/>
      <c r="AA875" s="634"/>
    </row>
    <row r="876" ht="15.75" customHeight="1">
      <c r="A876" s="634"/>
      <c r="B876" s="634"/>
      <c r="C876" s="634"/>
      <c r="D876" s="634"/>
      <c r="E876" s="634"/>
      <c r="F876" s="634"/>
      <c r="G876" s="634"/>
      <c r="H876" s="635"/>
      <c r="I876" s="634"/>
      <c r="J876" s="636"/>
      <c r="K876" s="635"/>
      <c r="L876" s="635"/>
      <c r="M876" s="635"/>
      <c r="N876" s="635"/>
      <c r="O876" s="635"/>
      <c r="P876" s="635"/>
      <c r="Q876" s="635"/>
      <c r="R876" s="635"/>
      <c r="S876" s="634"/>
      <c r="T876" s="634"/>
      <c r="U876" s="634"/>
      <c r="V876" s="634"/>
      <c r="W876" s="634"/>
      <c r="X876" s="634"/>
      <c r="Y876" s="634"/>
      <c r="Z876" s="634"/>
      <c r="AA876" s="634"/>
    </row>
    <row r="877" ht="15.75" customHeight="1">
      <c r="A877" s="634"/>
      <c r="B877" s="634"/>
      <c r="C877" s="634"/>
      <c r="D877" s="634"/>
      <c r="E877" s="634"/>
      <c r="F877" s="634"/>
      <c r="G877" s="634"/>
      <c r="H877" s="635"/>
      <c r="I877" s="634"/>
      <c r="J877" s="636"/>
      <c r="K877" s="635"/>
      <c r="L877" s="635"/>
      <c r="M877" s="635"/>
      <c r="N877" s="635"/>
      <c r="O877" s="635"/>
      <c r="P877" s="635"/>
      <c r="Q877" s="635"/>
      <c r="R877" s="635"/>
      <c r="S877" s="634"/>
      <c r="T877" s="634"/>
      <c r="U877" s="634"/>
      <c r="V877" s="634"/>
      <c r="W877" s="634"/>
      <c r="X877" s="634"/>
      <c r="Y877" s="634"/>
      <c r="Z877" s="634"/>
      <c r="AA877" s="634"/>
    </row>
    <row r="878" ht="15.75" customHeight="1">
      <c r="A878" s="634"/>
      <c r="B878" s="634"/>
      <c r="C878" s="634"/>
      <c r="D878" s="634"/>
      <c r="E878" s="634"/>
      <c r="F878" s="634"/>
      <c r="G878" s="634"/>
      <c r="H878" s="635"/>
      <c r="I878" s="634"/>
      <c r="J878" s="636"/>
      <c r="K878" s="635"/>
      <c r="L878" s="635"/>
      <c r="M878" s="635"/>
      <c r="N878" s="635"/>
      <c r="O878" s="635"/>
      <c r="P878" s="635"/>
      <c r="Q878" s="635"/>
      <c r="R878" s="635"/>
      <c r="S878" s="634"/>
      <c r="T878" s="634"/>
      <c r="U878" s="634"/>
      <c r="V878" s="634"/>
      <c r="W878" s="634"/>
      <c r="X878" s="634"/>
      <c r="Y878" s="634"/>
      <c r="Z878" s="634"/>
      <c r="AA878" s="634"/>
    </row>
    <row r="879" ht="15.75" customHeight="1">
      <c r="A879" s="634"/>
      <c r="B879" s="634"/>
      <c r="C879" s="634"/>
      <c r="D879" s="634"/>
      <c r="E879" s="634"/>
      <c r="F879" s="634"/>
      <c r="G879" s="634"/>
      <c r="H879" s="635"/>
      <c r="I879" s="634"/>
      <c r="J879" s="636"/>
      <c r="K879" s="635"/>
      <c r="L879" s="635"/>
      <c r="M879" s="635"/>
      <c r="N879" s="635"/>
      <c r="O879" s="635"/>
      <c r="P879" s="635"/>
      <c r="Q879" s="635"/>
      <c r="R879" s="635"/>
      <c r="S879" s="634"/>
      <c r="T879" s="634"/>
      <c r="U879" s="634"/>
      <c r="V879" s="634"/>
      <c r="W879" s="634"/>
      <c r="X879" s="634"/>
      <c r="Y879" s="634"/>
      <c r="Z879" s="634"/>
      <c r="AA879" s="634"/>
    </row>
    <row r="880" ht="15.75" customHeight="1">
      <c r="A880" s="634"/>
      <c r="B880" s="634"/>
      <c r="C880" s="634"/>
      <c r="D880" s="634"/>
      <c r="E880" s="634"/>
      <c r="F880" s="634"/>
      <c r="G880" s="634"/>
      <c r="H880" s="635"/>
      <c r="I880" s="634"/>
      <c r="J880" s="636"/>
      <c r="K880" s="635"/>
      <c r="L880" s="635"/>
      <c r="M880" s="635"/>
      <c r="N880" s="635"/>
      <c r="O880" s="635"/>
      <c r="P880" s="635"/>
      <c r="Q880" s="635"/>
      <c r="R880" s="635"/>
      <c r="S880" s="634"/>
      <c r="T880" s="634"/>
      <c r="U880" s="634"/>
      <c r="V880" s="634"/>
      <c r="W880" s="634"/>
      <c r="X880" s="634"/>
      <c r="Y880" s="634"/>
      <c r="Z880" s="634"/>
      <c r="AA880" s="634"/>
    </row>
    <row r="881" ht="15.75" customHeight="1">
      <c r="A881" s="634"/>
      <c r="B881" s="634"/>
      <c r="C881" s="634"/>
      <c r="D881" s="634"/>
      <c r="E881" s="634"/>
      <c r="F881" s="634"/>
      <c r="G881" s="634"/>
      <c r="H881" s="635"/>
      <c r="I881" s="634"/>
      <c r="J881" s="636"/>
      <c r="K881" s="635"/>
      <c r="L881" s="635"/>
      <c r="M881" s="635"/>
      <c r="N881" s="635"/>
      <c r="O881" s="635"/>
      <c r="P881" s="635"/>
      <c r="Q881" s="635"/>
      <c r="R881" s="635"/>
      <c r="S881" s="634"/>
      <c r="T881" s="634"/>
      <c r="U881" s="634"/>
      <c r="V881" s="634"/>
      <c r="W881" s="634"/>
      <c r="X881" s="634"/>
      <c r="Y881" s="634"/>
      <c r="Z881" s="634"/>
      <c r="AA881" s="634"/>
    </row>
    <row r="882" ht="15.75" customHeight="1">
      <c r="A882" s="634"/>
      <c r="B882" s="634"/>
      <c r="C882" s="634"/>
      <c r="D882" s="634"/>
      <c r="E882" s="634"/>
      <c r="F882" s="634"/>
      <c r="G882" s="634"/>
      <c r="H882" s="635"/>
      <c r="I882" s="634"/>
      <c r="J882" s="636"/>
      <c r="K882" s="635"/>
      <c r="L882" s="635"/>
      <c r="M882" s="635"/>
      <c r="N882" s="635"/>
      <c r="O882" s="635"/>
      <c r="P882" s="635"/>
      <c r="Q882" s="635"/>
      <c r="R882" s="635"/>
      <c r="S882" s="634"/>
      <c r="T882" s="634"/>
      <c r="U882" s="634"/>
      <c r="V882" s="634"/>
      <c r="W882" s="634"/>
      <c r="X882" s="634"/>
      <c r="Y882" s="634"/>
      <c r="Z882" s="634"/>
      <c r="AA882" s="634"/>
    </row>
    <row r="883" ht="15.75" customHeight="1">
      <c r="A883" s="634"/>
      <c r="B883" s="634"/>
      <c r="C883" s="634"/>
      <c r="D883" s="634"/>
      <c r="E883" s="634"/>
      <c r="F883" s="634"/>
      <c r="G883" s="634"/>
      <c r="H883" s="635"/>
      <c r="I883" s="634"/>
      <c r="J883" s="636"/>
      <c r="K883" s="635"/>
      <c r="L883" s="635"/>
      <c r="M883" s="635"/>
      <c r="N883" s="635"/>
      <c r="O883" s="635"/>
      <c r="P883" s="635"/>
      <c r="Q883" s="635"/>
      <c r="R883" s="635"/>
      <c r="S883" s="634"/>
      <c r="T883" s="634"/>
      <c r="U883" s="634"/>
      <c r="V883" s="634"/>
      <c r="W883" s="634"/>
      <c r="X883" s="634"/>
      <c r="Y883" s="634"/>
      <c r="Z883" s="634"/>
      <c r="AA883" s="634"/>
    </row>
    <row r="884" ht="15.75" customHeight="1">
      <c r="A884" s="634"/>
      <c r="B884" s="634"/>
      <c r="C884" s="634"/>
      <c r="D884" s="634"/>
      <c r="E884" s="634"/>
      <c r="F884" s="634"/>
      <c r="G884" s="634"/>
      <c r="H884" s="635"/>
      <c r="I884" s="634"/>
      <c r="J884" s="636"/>
      <c r="K884" s="635"/>
      <c r="L884" s="635"/>
      <c r="M884" s="635"/>
      <c r="N884" s="635"/>
      <c r="O884" s="635"/>
      <c r="P884" s="635"/>
      <c r="Q884" s="635"/>
      <c r="R884" s="635"/>
      <c r="S884" s="634"/>
      <c r="T884" s="634"/>
      <c r="U884" s="634"/>
      <c r="V884" s="634"/>
      <c r="W884" s="634"/>
      <c r="X884" s="634"/>
      <c r="Y884" s="634"/>
      <c r="Z884" s="634"/>
      <c r="AA884" s="634"/>
    </row>
    <row r="885" ht="15.75" customHeight="1">
      <c r="A885" s="634"/>
      <c r="B885" s="634"/>
      <c r="C885" s="634"/>
      <c r="D885" s="634"/>
      <c r="E885" s="634"/>
      <c r="F885" s="634"/>
      <c r="G885" s="634"/>
      <c r="H885" s="635"/>
      <c r="I885" s="634"/>
      <c r="J885" s="636"/>
      <c r="K885" s="635"/>
      <c r="L885" s="635"/>
      <c r="M885" s="635"/>
      <c r="N885" s="635"/>
      <c r="O885" s="635"/>
      <c r="P885" s="635"/>
      <c r="Q885" s="635"/>
      <c r="R885" s="635"/>
      <c r="S885" s="634"/>
      <c r="T885" s="634"/>
      <c r="U885" s="634"/>
      <c r="V885" s="634"/>
      <c r="W885" s="634"/>
      <c r="X885" s="634"/>
      <c r="Y885" s="634"/>
      <c r="Z885" s="634"/>
      <c r="AA885" s="634"/>
    </row>
    <row r="886" ht="15.75" customHeight="1">
      <c r="A886" s="634"/>
      <c r="B886" s="634"/>
      <c r="C886" s="634"/>
      <c r="D886" s="634"/>
      <c r="E886" s="634"/>
      <c r="F886" s="634"/>
      <c r="G886" s="634"/>
      <c r="H886" s="635"/>
      <c r="I886" s="634"/>
      <c r="J886" s="636"/>
      <c r="K886" s="635"/>
      <c r="L886" s="635"/>
      <c r="M886" s="635"/>
      <c r="N886" s="635"/>
      <c r="O886" s="635"/>
      <c r="P886" s="635"/>
      <c r="Q886" s="635"/>
      <c r="R886" s="635"/>
      <c r="S886" s="634"/>
      <c r="T886" s="634"/>
      <c r="U886" s="634"/>
      <c r="V886" s="634"/>
      <c r="W886" s="634"/>
      <c r="X886" s="634"/>
      <c r="Y886" s="634"/>
      <c r="Z886" s="634"/>
      <c r="AA886" s="634"/>
    </row>
    <row r="887" ht="15.75" customHeight="1">
      <c r="A887" s="634"/>
      <c r="B887" s="634"/>
      <c r="C887" s="634"/>
      <c r="D887" s="634"/>
      <c r="E887" s="634"/>
      <c r="F887" s="634"/>
      <c r="G887" s="634"/>
      <c r="H887" s="635"/>
      <c r="I887" s="634"/>
      <c r="J887" s="636"/>
      <c r="K887" s="635"/>
      <c r="L887" s="635"/>
      <c r="M887" s="635"/>
      <c r="N887" s="635"/>
      <c r="O887" s="635"/>
      <c r="P887" s="635"/>
      <c r="Q887" s="635"/>
      <c r="R887" s="635"/>
      <c r="S887" s="634"/>
      <c r="T887" s="634"/>
      <c r="U887" s="634"/>
      <c r="V887" s="634"/>
      <c r="W887" s="634"/>
      <c r="X887" s="634"/>
      <c r="Y887" s="634"/>
      <c r="Z887" s="634"/>
      <c r="AA887" s="634"/>
    </row>
    <row r="888" ht="15.75" customHeight="1">
      <c r="A888" s="634"/>
      <c r="B888" s="634"/>
      <c r="C888" s="634"/>
      <c r="D888" s="634"/>
      <c r="E888" s="634"/>
      <c r="F888" s="634"/>
      <c r="G888" s="634"/>
      <c r="H888" s="635"/>
      <c r="I888" s="634"/>
      <c r="J888" s="636"/>
      <c r="K888" s="635"/>
      <c r="L888" s="635"/>
      <c r="M888" s="635"/>
      <c r="N888" s="635"/>
      <c r="O888" s="635"/>
      <c r="P888" s="635"/>
      <c r="Q888" s="635"/>
      <c r="R888" s="635"/>
      <c r="S888" s="634"/>
      <c r="T888" s="634"/>
      <c r="U888" s="634"/>
      <c r="V888" s="634"/>
      <c r="W888" s="634"/>
      <c r="X888" s="634"/>
      <c r="Y888" s="634"/>
      <c r="Z888" s="634"/>
      <c r="AA888" s="634"/>
    </row>
    <row r="889" ht="15.75" customHeight="1">
      <c r="A889" s="634"/>
      <c r="B889" s="634"/>
      <c r="C889" s="634"/>
      <c r="D889" s="634"/>
      <c r="E889" s="634"/>
      <c r="F889" s="634"/>
      <c r="G889" s="634"/>
      <c r="H889" s="635"/>
      <c r="I889" s="634"/>
      <c r="J889" s="636"/>
      <c r="K889" s="635"/>
      <c r="L889" s="635"/>
      <c r="M889" s="635"/>
      <c r="N889" s="635"/>
      <c r="O889" s="635"/>
      <c r="P889" s="635"/>
      <c r="Q889" s="635"/>
      <c r="R889" s="635"/>
      <c r="S889" s="634"/>
      <c r="T889" s="634"/>
      <c r="U889" s="634"/>
      <c r="V889" s="634"/>
      <c r="W889" s="634"/>
      <c r="X889" s="634"/>
      <c r="Y889" s="634"/>
      <c r="Z889" s="634"/>
      <c r="AA889" s="634"/>
    </row>
    <row r="890" ht="15.75" customHeight="1">
      <c r="A890" s="634"/>
      <c r="B890" s="634"/>
      <c r="C890" s="634"/>
      <c r="D890" s="634"/>
      <c r="E890" s="634"/>
      <c r="F890" s="634"/>
      <c r="G890" s="634"/>
      <c r="H890" s="635"/>
      <c r="I890" s="634"/>
      <c r="J890" s="636"/>
      <c r="K890" s="635"/>
      <c r="L890" s="635"/>
      <c r="M890" s="635"/>
      <c r="N890" s="635"/>
      <c r="O890" s="635"/>
      <c r="P890" s="635"/>
      <c r="Q890" s="635"/>
      <c r="R890" s="635"/>
      <c r="S890" s="634"/>
      <c r="T890" s="634"/>
      <c r="U890" s="634"/>
      <c r="V890" s="634"/>
      <c r="W890" s="634"/>
      <c r="X890" s="634"/>
      <c r="Y890" s="634"/>
      <c r="Z890" s="634"/>
      <c r="AA890" s="634"/>
    </row>
    <row r="891" ht="15.75" customHeight="1">
      <c r="A891" s="634"/>
      <c r="B891" s="634"/>
      <c r="C891" s="634"/>
      <c r="D891" s="634"/>
      <c r="E891" s="634"/>
      <c r="F891" s="634"/>
      <c r="G891" s="634"/>
      <c r="H891" s="635"/>
      <c r="I891" s="634"/>
      <c r="J891" s="636"/>
      <c r="K891" s="635"/>
      <c r="L891" s="635"/>
      <c r="M891" s="635"/>
      <c r="N891" s="635"/>
      <c r="O891" s="635"/>
      <c r="P891" s="635"/>
      <c r="Q891" s="635"/>
      <c r="R891" s="635"/>
      <c r="S891" s="634"/>
      <c r="T891" s="634"/>
      <c r="U891" s="634"/>
      <c r="V891" s="634"/>
      <c r="W891" s="634"/>
      <c r="X891" s="634"/>
      <c r="Y891" s="634"/>
      <c r="Z891" s="634"/>
      <c r="AA891" s="634"/>
    </row>
    <row r="892" ht="15.75" customHeight="1">
      <c r="A892" s="634"/>
      <c r="B892" s="634"/>
      <c r="C892" s="634"/>
      <c r="D892" s="634"/>
      <c r="E892" s="634"/>
      <c r="F892" s="634"/>
      <c r="G892" s="634"/>
      <c r="H892" s="635"/>
      <c r="I892" s="634"/>
      <c r="J892" s="636"/>
      <c r="K892" s="635"/>
      <c r="L892" s="635"/>
      <c r="M892" s="635"/>
      <c r="N892" s="635"/>
      <c r="O892" s="635"/>
      <c r="P892" s="635"/>
      <c r="Q892" s="635"/>
      <c r="R892" s="635"/>
      <c r="S892" s="634"/>
      <c r="T892" s="634"/>
      <c r="U892" s="634"/>
      <c r="V892" s="634"/>
      <c r="W892" s="634"/>
      <c r="X892" s="634"/>
      <c r="Y892" s="634"/>
      <c r="Z892" s="634"/>
      <c r="AA892" s="634"/>
    </row>
    <row r="893" ht="15.75" customHeight="1">
      <c r="A893" s="634"/>
      <c r="B893" s="634"/>
      <c r="C893" s="634"/>
      <c r="D893" s="634"/>
      <c r="E893" s="634"/>
      <c r="F893" s="634"/>
      <c r="G893" s="634"/>
      <c r="H893" s="635"/>
      <c r="I893" s="634"/>
      <c r="J893" s="636"/>
      <c r="K893" s="635"/>
      <c r="L893" s="635"/>
      <c r="M893" s="635"/>
      <c r="N893" s="635"/>
      <c r="O893" s="635"/>
      <c r="P893" s="635"/>
      <c r="Q893" s="635"/>
      <c r="R893" s="635"/>
      <c r="S893" s="634"/>
      <c r="T893" s="634"/>
      <c r="U893" s="634"/>
      <c r="V893" s="634"/>
      <c r="W893" s="634"/>
      <c r="X893" s="634"/>
      <c r="Y893" s="634"/>
      <c r="Z893" s="634"/>
      <c r="AA893" s="634"/>
    </row>
    <row r="894" ht="15.75" customHeight="1">
      <c r="A894" s="634"/>
      <c r="B894" s="634"/>
      <c r="C894" s="634"/>
      <c r="D894" s="634"/>
      <c r="E894" s="634"/>
      <c r="F894" s="634"/>
      <c r="G894" s="634"/>
      <c r="H894" s="635"/>
      <c r="I894" s="634"/>
      <c r="J894" s="636"/>
      <c r="K894" s="635"/>
      <c r="L894" s="635"/>
      <c r="M894" s="635"/>
      <c r="N894" s="635"/>
      <c r="O894" s="635"/>
      <c r="P894" s="635"/>
      <c r="Q894" s="635"/>
      <c r="R894" s="635"/>
      <c r="S894" s="634"/>
      <c r="T894" s="634"/>
      <c r="U894" s="634"/>
      <c r="V894" s="634"/>
      <c r="W894" s="634"/>
      <c r="X894" s="634"/>
      <c r="Y894" s="634"/>
      <c r="Z894" s="634"/>
      <c r="AA894" s="634"/>
    </row>
    <row r="895" ht="15.75" customHeight="1">
      <c r="A895" s="634"/>
      <c r="B895" s="634"/>
      <c r="C895" s="634"/>
      <c r="D895" s="634"/>
      <c r="E895" s="634"/>
      <c r="F895" s="634"/>
      <c r="G895" s="634"/>
      <c r="H895" s="635"/>
      <c r="I895" s="634"/>
      <c r="J895" s="636"/>
      <c r="K895" s="635"/>
      <c r="L895" s="635"/>
      <c r="M895" s="635"/>
      <c r="N895" s="635"/>
      <c r="O895" s="635"/>
      <c r="P895" s="635"/>
      <c r="Q895" s="635"/>
      <c r="R895" s="635"/>
      <c r="S895" s="634"/>
      <c r="T895" s="634"/>
      <c r="U895" s="634"/>
      <c r="V895" s="634"/>
      <c r="W895" s="634"/>
      <c r="X895" s="634"/>
      <c r="Y895" s="634"/>
      <c r="Z895" s="634"/>
      <c r="AA895" s="634"/>
    </row>
    <row r="896" ht="15.75" customHeight="1">
      <c r="A896" s="634"/>
      <c r="B896" s="634"/>
      <c r="C896" s="634"/>
      <c r="D896" s="634"/>
      <c r="E896" s="634"/>
      <c r="F896" s="634"/>
      <c r="G896" s="634"/>
      <c r="H896" s="635"/>
      <c r="I896" s="634"/>
      <c r="J896" s="636"/>
      <c r="K896" s="635"/>
      <c r="L896" s="635"/>
      <c r="M896" s="635"/>
      <c r="N896" s="635"/>
      <c r="O896" s="635"/>
      <c r="P896" s="635"/>
      <c r="Q896" s="635"/>
      <c r="R896" s="635"/>
      <c r="S896" s="634"/>
      <c r="T896" s="634"/>
      <c r="U896" s="634"/>
      <c r="V896" s="634"/>
      <c r="W896" s="634"/>
      <c r="X896" s="634"/>
      <c r="Y896" s="634"/>
      <c r="Z896" s="634"/>
      <c r="AA896" s="634"/>
    </row>
    <row r="897" ht="15.75" customHeight="1">
      <c r="A897" s="634"/>
      <c r="B897" s="634"/>
      <c r="C897" s="634"/>
      <c r="D897" s="634"/>
      <c r="E897" s="634"/>
      <c r="F897" s="634"/>
      <c r="G897" s="634"/>
      <c r="H897" s="635"/>
      <c r="I897" s="634"/>
      <c r="J897" s="636"/>
      <c r="K897" s="635"/>
      <c r="L897" s="635"/>
      <c r="M897" s="635"/>
      <c r="N897" s="635"/>
      <c r="O897" s="635"/>
      <c r="P897" s="635"/>
      <c r="Q897" s="635"/>
      <c r="R897" s="635"/>
      <c r="S897" s="634"/>
      <c r="T897" s="634"/>
      <c r="U897" s="634"/>
      <c r="V897" s="634"/>
      <c r="W897" s="634"/>
      <c r="X897" s="634"/>
      <c r="Y897" s="634"/>
      <c r="Z897" s="634"/>
      <c r="AA897" s="634"/>
    </row>
    <row r="898" ht="15.75" customHeight="1">
      <c r="A898" s="634"/>
      <c r="B898" s="634"/>
      <c r="C898" s="634"/>
      <c r="D898" s="634"/>
      <c r="E898" s="634"/>
      <c r="F898" s="634"/>
      <c r="G898" s="634"/>
      <c r="H898" s="635"/>
      <c r="I898" s="634"/>
      <c r="J898" s="636"/>
      <c r="K898" s="635"/>
      <c r="L898" s="635"/>
      <c r="M898" s="635"/>
      <c r="N898" s="635"/>
      <c r="O898" s="635"/>
      <c r="P898" s="635"/>
      <c r="Q898" s="635"/>
      <c r="R898" s="635"/>
      <c r="S898" s="634"/>
      <c r="T898" s="634"/>
      <c r="U898" s="634"/>
      <c r="V898" s="634"/>
      <c r="W898" s="634"/>
      <c r="X898" s="634"/>
      <c r="Y898" s="634"/>
      <c r="Z898" s="634"/>
      <c r="AA898" s="634"/>
    </row>
    <row r="899" ht="15.75" customHeight="1">
      <c r="A899" s="634"/>
      <c r="B899" s="634"/>
      <c r="C899" s="634"/>
      <c r="D899" s="634"/>
      <c r="E899" s="634"/>
      <c r="F899" s="634"/>
      <c r="G899" s="634"/>
      <c r="H899" s="635"/>
      <c r="I899" s="634"/>
      <c r="J899" s="636"/>
      <c r="K899" s="635"/>
      <c r="L899" s="635"/>
      <c r="M899" s="635"/>
      <c r="N899" s="635"/>
      <c r="O899" s="635"/>
      <c r="P899" s="635"/>
      <c r="Q899" s="635"/>
      <c r="R899" s="635"/>
      <c r="S899" s="634"/>
      <c r="T899" s="634"/>
      <c r="U899" s="634"/>
      <c r="V899" s="634"/>
      <c r="W899" s="634"/>
      <c r="X899" s="634"/>
      <c r="Y899" s="634"/>
      <c r="Z899" s="634"/>
      <c r="AA899" s="634"/>
    </row>
    <row r="900" ht="15.75" customHeight="1">
      <c r="A900" s="634"/>
      <c r="B900" s="634"/>
      <c r="C900" s="634"/>
      <c r="D900" s="634"/>
      <c r="E900" s="634"/>
      <c r="F900" s="634"/>
      <c r="G900" s="634"/>
      <c r="H900" s="635"/>
      <c r="I900" s="634"/>
      <c r="J900" s="636"/>
      <c r="K900" s="635"/>
      <c r="L900" s="635"/>
      <c r="M900" s="635"/>
      <c r="N900" s="635"/>
      <c r="O900" s="635"/>
      <c r="P900" s="635"/>
      <c r="Q900" s="635"/>
      <c r="R900" s="635"/>
      <c r="S900" s="634"/>
      <c r="T900" s="634"/>
      <c r="U900" s="634"/>
      <c r="V900" s="634"/>
      <c r="W900" s="634"/>
      <c r="X900" s="634"/>
      <c r="Y900" s="634"/>
      <c r="Z900" s="634"/>
      <c r="AA900" s="634"/>
    </row>
    <row r="901" ht="15.75" customHeight="1">
      <c r="A901" s="634"/>
      <c r="B901" s="634"/>
      <c r="C901" s="634"/>
      <c r="D901" s="634"/>
      <c r="E901" s="634"/>
      <c r="F901" s="634"/>
      <c r="G901" s="634"/>
      <c r="H901" s="635"/>
      <c r="I901" s="634"/>
      <c r="J901" s="636"/>
      <c r="K901" s="635"/>
      <c r="L901" s="635"/>
      <c r="M901" s="635"/>
      <c r="N901" s="635"/>
      <c r="O901" s="635"/>
      <c r="P901" s="635"/>
      <c r="Q901" s="635"/>
      <c r="R901" s="635"/>
      <c r="S901" s="634"/>
      <c r="T901" s="634"/>
      <c r="U901" s="634"/>
      <c r="V901" s="634"/>
      <c r="W901" s="634"/>
      <c r="X901" s="634"/>
      <c r="Y901" s="634"/>
      <c r="Z901" s="634"/>
      <c r="AA901" s="634"/>
    </row>
    <row r="902" ht="15.75" customHeight="1">
      <c r="A902" s="634"/>
      <c r="B902" s="634"/>
      <c r="C902" s="634"/>
      <c r="D902" s="634"/>
      <c r="E902" s="634"/>
      <c r="F902" s="634"/>
      <c r="G902" s="634"/>
      <c r="H902" s="635"/>
      <c r="I902" s="634"/>
      <c r="J902" s="636"/>
      <c r="K902" s="635"/>
      <c r="L902" s="635"/>
      <c r="M902" s="635"/>
      <c r="N902" s="635"/>
      <c r="O902" s="635"/>
      <c r="P902" s="635"/>
      <c r="Q902" s="635"/>
      <c r="R902" s="635"/>
      <c r="S902" s="634"/>
      <c r="T902" s="634"/>
      <c r="U902" s="634"/>
      <c r="V902" s="634"/>
      <c r="W902" s="634"/>
      <c r="X902" s="634"/>
      <c r="Y902" s="634"/>
      <c r="Z902" s="634"/>
      <c r="AA902" s="634"/>
    </row>
    <row r="903" ht="15.75" customHeight="1">
      <c r="A903" s="634"/>
      <c r="B903" s="634"/>
      <c r="C903" s="634"/>
      <c r="D903" s="634"/>
      <c r="E903" s="634"/>
      <c r="F903" s="634"/>
      <c r="G903" s="634"/>
      <c r="H903" s="635"/>
      <c r="I903" s="634"/>
      <c r="J903" s="636"/>
      <c r="K903" s="635"/>
      <c r="L903" s="635"/>
      <c r="M903" s="635"/>
      <c r="N903" s="635"/>
      <c r="O903" s="635"/>
      <c r="P903" s="635"/>
      <c r="Q903" s="635"/>
      <c r="R903" s="635"/>
      <c r="S903" s="634"/>
      <c r="T903" s="634"/>
      <c r="U903" s="634"/>
      <c r="V903" s="634"/>
      <c r="W903" s="634"/>
      <c r="X903" s="634"/>
      <c r="Y903" s="634"/>
      <c r="Z903" s="634"/>
      <c r="AA903" s="634"/>
    </row>
    <row r="904" ht="15.75" customHeight="1">
      <c r="A904" s="634"/>
      <c r="B904" s="634"/>
      <c r="C904" s="634"/>
      <c r="D904" s="634"/>
      <c r="E904" s="634"/>
      <c r="F904" s="634"/>
      <c r="G904" s="634"/>
      <c r="H904" s="635"/>
      <c r="I904" s="634"/>
      <c r="J904" s="636"/>
      <c r="K904" s="635"/>
      <c r="L904" s="635"/>
      <c r="M904" s="635"/>
      <c r="N904" s="635"/>
      <c r="O904" s="635"/>
      <c r="P904" s="635"/>
      <c r="Q904" s="635"/>
      <c r="R904" s="635"/>
      <c r="S904" s="634"/>
      <c r="T904" s="634"/>
      <c r="U904" s="634"/>
      <c r="V904" s="634"/>
      <c r="W904" s="634"/>
      <c r="X904" s="634"/>
      <c r="Y904" s="634"/>
      <c r="Z904" s="634"/>
      <c r="AA904" s="634"/>
    </row>
    <row r="905" ht="15.75" customHeight="1">
      <c r="A905" s="634"/>
      <c r="B905" s="634"/>
      <c r="C905" s="634"/>
      <c r="D905" s="634"/>
      <c r="E905" s="634"/>
      <c r="F905" s="634"/>
      <c r="G905" s="634"/>
      <c r="H905" s="635"/>
      <c r="I905" s="634"/>
      <c r="J905" s="636"/>
      <c r="K905" s="635"/>
      <c r="L905" s="635"/>
      <c r="M905" s="635"/>
      <c r="N905" s="635"/>
      <c r="O905" s="635"/>
      <c r="P905" s="635"/>
      <c r="Q905" s="635"/>
      <c r="R905" s="635"/>
      <c r="S905" s="634"/>
      <c r="T905" s="634"/>
      <c r="U905" s="634"/>
      <c r="V905" s="634"/>
      <c r="W905" s="634"/>
      <c r="X905" s="634"/>
      <c r="Y905" s="634"/>
      <c r="Z905" s="634"/>
      <c r="AA905" s="634"/>
    </row>
    <row r="906" ht="15.75" customHeight="1">
      <c r="A906" s="634"/>
      <c r="B906" s="634"/>
      <c r="C906" s="634"/>
      <c r="D906" s="634"/>
      <c r="E906" s="634"/>
      <c r="F906" s="634"/>
      <c r="G906" s="634"/>
      <c r="H906" s="635"/>
      <c r="I906" s="634"/>
      <c r="J906" s="636"/>
      <c r="K906" s="635"/>
      <c r="L906" s="635"/>
      <c r="M906" s="635"/>
      <c r="N906" s="635"/>
      <c r="O906" s="635"/>
      <c r="P906" s="635"/>
      <c r="Q906" s="635"/>
      <c r="R906" s="635"/>
      <c r="S906" s="634"/>
      <c r="T906" s="634"/>
      <c r="U906" s="634"/>
      <c r="V906" s="634"/>
      <c r="W906" s="634"/>
      <c r="X906" s="634"/>
      <c r="Y906" s="634"/>
      <c r="Z906" s="634"/>
      <c r="AA906" s="634"/>
    </row>
    <row r="907" ht="15.75" customHeight="1">
      <c r="A907" s="634"/>
      <c r="B907" s="634"/>
      <c r="C907" s="634"/>
      <c r="D907" s="634"/>
      <c r="E907" s="634"/>
      <c r="F907" s="634"/>
      <c r="G907" s="634"/>
      <c r="H907" s="635"/>
      <c r="I907" s="634"/>
      <c r="J907" s="636"/>
      <c r="K907" s="635"/>
      <c r="L907" s="635"/>
      <c r="M907" s="635"/>
      <c r="N907" s="635"/>
      <c r="O907" s="635"/>
      <c r="P907" s="635"/>
      <c r="Q907" s="635"/>
      <c r="R907" s="635"/>
      <c r="S907" s="634"/>
      <c r="T907" s="634"/>
      <c r="U907" s="634"/>
      <c r="V907" s="634"/>
      <c r="W907" s="634"/>
      <c r="X907" s="634"/>
      <c r="Y907" s="634"/>
      <c r="Z907" s="634"/>
      <c r="AA907" s="634"/>
    </row>
    <row r="908" ht="15.75" customHeight="1">
      <c r="A908" s="634"/>
      <c r="B908" s="634"/>
      <c r="C908" s="634"/>
      <c r="D908" s="634"/>
      <c r="E908" s="634"/>
      <c r="F908" s="634"/>
      <c r="G908" s="634"/>
      <c r="H908" s="635"/>
      <c r="I908" s="634"/>
      <c r="J908" s="636"/>
      <c r="K908" s="635"/>
      <c r="L908" s="635"/>
      <c r="M908" s="635"/>
      <c r="N908" s="635"/>
      <c r="O908" s="635"/>
      <c r="P908" s="635"/>
      <c r="Q908" s="635"/>
      <c r="R908" s="635"/>
      <c r="S908" s="634"/>
      <c r="T908" s="634"/>
      <c r="U908" s="634"/>
      <c r="V908" s="634"/>
      <c r="W908" s="634"/>
      <c r="X908" s="634"/>
      <c r="Y908" s="634"/>
      <c r="Z908" s="634"/>
      <c r="AA908" s="634"/>
    </row>
    <row r="909" ht="15.75" customHeight="1">
      <c r="A909" s="634"/>
      <c r="B909" s="634"/>
      <c r="C909" s="634"/>
      <c r="D909" s="634"/>
      <c r="E909" s="634"/>
      <c r="F909" s="634"/>
      <c r="G909" s="634"/>
      <c r="H909" s="635"/>
      <c r="I909" s="634"/>
      <c r="J909" s="636"/>
      <c r="K909" s="635"/>
      <c r="L909" s="635"/>
      <c r="M909" s="635"/>
      <c r="N909" s="635"/>
      <c r="O909" s="635"/>
      <c r="P909" s="635"/>
      <c r="Q909" s="635"/>
      <c r="R909" s="635"/>
      <c r="S909" s="634"/>
      <c r="T909" s="634"/>
      <c r="U909" s="634"/>
      <c r="V909" s="634"/>
      <c r="W909" s="634"/>
      <c r="X909" s="634"/>
      <c r="Y909" s="634"/>
      <c r="Z909" s="634"/>
      <c r="AA909" s="634"/>
    </row>
    <row r="910" ht="15.75" customHeight="1">
      <c r="A910" s="634"/>
      <c r="B910" s="634"/>
      <c r="C910" s="634"/>
      <c r="D910" s="634"/>
      <c r="E910" s="634"/>
      <c r="F910" s="634"/>
      <c r="G910" s="634"/>
      <c r="H910" s="635"/>
      <c r="I910" s="634"/>
      <c r="J910" s="636"/>
      <c r="K910" s="635"/>
      <c r="L910" s="635"/>
      <c r="M910" s="635"/>
      <c r="N910" s="635"/>
      <c r="O910" s="635"/>
      <c r="P910" s="635"/>
      <c r="Q910" s="635"/>
      <c r="R910" s="635"/>
      <c r="S910" s="634"/>
      <c r="T910" s="634"/>
      <c r="U910" s="634"/>
      <c r="V910" s="634"/>
      <c r="W910" s="634"/>
      <c r="X910" s="634"/>
      <c r="Y910" s="634"/>
      <c r="Z910" s="634"/>
      <c r="AA910" s="634"/>
    </row>
    <row r="911" ht="15.75" customHeight="1">
      <c r="A911" s="634"/>
      <c r="B911" s="634"/>
      <c r="C911" s="634"/>
      <c r="D911" s="634"/>
      <c r="E911" s="634"/>
      <c r="F911" s="634"/>
      <c r="G911" s="634"/>
      <c r="H911" s="635"/>
      <c r="I911" s="634"/>
      <c r="J911" s="636"/>
      <c r="K911" s="635"/>
      <c r="L911" s="635"/>
      <c r="M911" s="635"/>
      <c r="N911" s="635"/>
      <c r="O911" s="635"/>
      <c r="P911" s="635"/>
      <c r="Q911" s="635"/>
      <c r="R911" s="635"/>
      <c r="S911" s="634"/>
      <c r="T911" s="634"/>
      <c r="U911" s="634"/>
      <c r="V911" s="634"/>
      <c r="W911" s="634"/>
      <c r="X911" s="634"/>
      <c r="Y911" s="634"/>
      <c r="Z911" s="634"/>
      <c r="AA911" s="634"/>
    </row>
    <row r="912" ht="15.75" customHeight="1">
      <c r="A912" s="634"/>
      <c r="B912" s="634"/>
      <c r="C912" s="634"/>
      <c r="D912" s="634"/>
      <c r="E912" s="634"/>
      <c r="F912" s="634"/>
      <c r="G912" s="634"/>
      <c r="H912" s="635"/>
      <c r="I912" s="634"/>
      <c r="J912" s="636"/>
      <c r="K912" s="635"/>
      <c r="L912" s="635"/>
      <c r="M912" s="635"/>
      <c r="N912" s="635"/>
      <c r="O912" s="635"/>
      <c r="P912" s="635"/>
      <c r="Q912" s="635"/>
      <c r="R912" s="635"/>
      <c r="S912" s="634"/>
      <c r="T912" s="634"/>
      <c r="U912" s="634"/>
      <c r="V912" s="634"/>
      <c r="W912" s="634"/>
      <c r="X912" s="634"/>
      <c r="Y912" s="634"/>
      <c r="Z912" s="634"/>
      <c r="AA912" s="634"/>
    </row>
    <row r="913" ht="15.75" customHeight="1">
      <c r="A913" s="634"/>
      <c r="B913" s="634"/>
      <c r="C913" s="634"/>
      <c r="D913" s="634"/>
      <c r="E913" s="634"/>
      <c r="F913" s="634"/>
      <c r="G913" s="634"/>
      <c r="H913" s="635"/>
      <c r="I913" s="634"/>
      <c r="J913" s="636"/>
      <c r="K913" s="635"/>
      <c r="L913" s="635"/>
      <c r="M913" s="635"/>
      <c r="N913" s="635"/>
      <c r="O913" s="635"/>
      <c r="P913" s="635"/>
      <c r="Q913" s="635"/>
      <c r="R913" s="635"/>
      <c r="S913" s="634"/>
      <c r="T913" s="634"/>
      <c r="U913" s="634"/>
      <c r="V913" s="634"/>
      <c r="W913" s="634"/>
      <c r="X913" s="634"/>
      <c r="Y913" s="634"/>
      <c r="Z913" s="634"/>
      <c r="AA913" s="634"/>
    </row>
    <row r="914" ht="15.75" customHeight="1">
      <c r="A914" s="634"/>
      <c r="B914" s="634"/>
      <c r="C914" s="634"/>
      <c r="D914" s="634"/>
      <c r="E914" s="634"/>
      <c r="F914" s="634"/>
      <c r="G914" s="634"/>
      <c r="H914" s="635"/>
      <c r="I914" s="634"/>
      <c r="J914" s="636"/>
      <c r="K914" s="635"/>
      <c r="L914" s="635"/>
      <c r="M914" s="635"/>
      <c r="N914" s="635"/>
      <c r="O914" s="635"/>
      <c r="P914" s="635"/>
      <c r="Q914" s="635"/>
      <c r="R914" s="635"/>
      <c r="S914" s="634"/>
      <c r="T914" s="634"/>
      <c r="U914" s="634"/>
      <c r="V914" s="634"/>
      <c r="W914" s="634"/>
      <c r="X914" s="634"/>
      <c r="Y914" s="634"/>
      <c r="Z914" s="634"/>
      <c r="AA914" s="634"/>
    </row>
    <row r="915" ht="15.75" customHeight="1">
      <c r="A915" s="634"/>
      <c r="B915" s="634"/>
      <c r="C915" s="634"/>
      <c r="D915" s="634"/>
      <c r="E915" s="634"/>
      <c r="F915" s="634"/>
      <c r="G915" s="634"/>
      <c r="H915" s="635"/>
      <c r="I915" s="634"/>
      <c r="J915" s="636"/>
      <c r="K915" s="635"/>
      <c r="L915" s="635"/>
      <c r="M915" s="635"/>
      <c r="N915" s="635"/>
      <c r="O915" s="635"/>
      <c r="P915" s="635"/>
      <c r="Q915" s="635"/>
      <c r="R915" s="635"/>
      <c r="S915" s="634"/>
      <c r="T915" s="634"/>
      <c r="U915" s="634"/>
      <c r="V915" s="634"/>
      <c r="W915" s="634"/>
      <c r="X915" s="634"/>
      <c r="Y915" s="634"/>
      <c r="Z915" s="634"/>
      <c r="AA915" s="634"/>
    </row>
    <row r="916" ht="15.75" customHeight="1">
      <c r="A916" s="634"/>
      <c r="B916" s="634"/>
      <c r="C916" s="634"/>
      <c r="D916" s="634"/>
      <c r="E916" s="634"/>
      <c r="F916" s="634"/>
      <c r="G916" s="634"/>
      <c r="H916" s="635"/>
      <c r="I916" s="634"/>
      <c r="J916" s="636"/>
      <c r="K916" s="635"/>
      <c r="L916" s="635"/>
      <c r="M916" s="635"/>
      <c r="N916" s="635"/>
      <c r="O916" s="635"/>
      <c r="P916" s="635"/>
      <c r="Q916" s="635"/>
      <c r="R916" s="635"/>
      <c r="S916" s="634"/>
      <c r="T916" s="634"/>
      <c r="U916" s="634"/>
      <c r="V916" s="634"/>
      <c r="W916" s="634"/>
      <c r="X916" s="634"/>
      <c r="Y916" s="634"/>
      <c r="Z916" s="634"/>
      <c r="AA916" s="634"/>
    </row>
    <row r="917" ht="15.75" customHeight="1">
      <c r="A917" s="634"/>
      <c r="B917" s="634"/>
      <c r="C917" s="634"/>
      <c r="D917" s="634"/>
      <c r="E917" s="634"/>
      <c r="F917" s="634"/>
      <c r="G917" s="634"/>
      <c r="H917" s="635"/>
      <c r="I917" s="634"/>
      <c r="J917" s="636"/>
      <c r="K917" s="635"/>
      <c r="L917" s="635"/>
      <c r="M917" s="635"/>
      <c r="N917" s="635"/>
      <c r="O917" s="635"/>
      <c r="P917" s="635"/>
      <c r="Q917" s="635"/>
      <c r="R917" s="635"/>
      <c r="S917" s="634"/>
      <c r="T917" s="634"/>
      <c r="U917" s="634"/>
      <c r="V917" s="634"/>
      <c r="W917" s="634"/>
      <c r="X917" s="634"/>
      <c r="Y917" s="634"/>
      <c r="Z917" s="634"/>
      <c r="AA917" s="634"/>
    </row>
    <row r="918" ht="15.75" customHeight="1">
      <c r="A918" s="634"/>
      <c r="B918" s="634"/>
      <c r="C918" s="634"/>
      <c r="D918" s="634"/>
      <c r="E918" s="634"/>
      <c r="F918" s="634"/>
      <c r="G918" s="634"/>
      <c r="H918" s="635"/>
      <c r="I918" s="634"/>
      <c r="J918" s="636"/>
      <c r="K918" s="635"/>
      <c r="L918" s="635"/>
      <c r="M918" s="635"/>
      <c r="N918" s="635"/>
      <c r="O918" s="635"/>
      <c r="P918" s="635"/>
      <c r="Q918" s="635"/>
      <c r="R918" s="635"/>
      <c r="S918" s="634"/>
      <c r="T918" s="634"/>
      <c r="U918" s="634"/>
      <c r="V918" s="634"/>
      <c r="W918" s="634"/>
      <c r="X918" s="634"/>
      <c r="Y918" s="634"/>
      <c r="Z918" s="634"/>
      <c r="AA918" s="634"/>
    </row>
    <row r="919" ht="15.75" customHeight="1">
      <c r="A919" s="634"/>
      <c r="B919" s="634"/>
      <c r="C919" s="634"/>
      <c r="D919" s="634"/>
      <c r="E919" s="634"/>
      <c r="F919" s="634"/>
      <c r="G919" s="634"/>
      <c r="H919" s="635"/>
      <c r="I919" s="634"/>
      <c r="J919" s="636"/>
      <c r="K919" s="635"/>
      <c r="L919" s="635"/>
      <c r="M919" s="635"/>
      <c r="N919" s="635"/>
      <c r="O919" s="635"/>
      <c r="P919" s="635"/>
      <c r="Q919" s="635"/>
      <c r="R919" s="635"/>
      <c r="S919" s="634"/>
      <c r="T919" s="634"/>
      <c r="U919" s="634"/>
      <c r="V919" s="634"/>
      <c r="W919" s="634"/>
      <c r="X919" s="634"/>
      <c r="Y919" s="634"/>
      <c r="Z919" s="634"/>
      <c r="AA919" s="634"/>
    </row>
    <row r="920" ht="15.75" customHeight="1">
      <c r="A920" s="634"/>
      <c r="B920" s="634"/>
      <c r="C920" s="634"/>
      <c r="D920" s="634"/>
      <c r="E920" s="634"/>
      <c r="F920" s="634"/>
      <c r="G920" s="634"/>
      <c r="H920" s="635"/>
      <c r="I920" s="634"/>
      <c r="J920" s="636"/>
      <c r="K920" s="635"/>
      <c r="L920" s="635"/>
      <c r="M920" s="635"/>
      <c r="N920" s="635"/>
      <c r="O920" s="635"/>
      <c r="P920" s="635"/>
      <c r="Q920" s="635"/>
      <c r="R920" s="635"/>
      <c r="S920" s="634"/>
      <c r="T920" s="634"/>
      <c r="U920" s="634"/>
      <c r="V920" s="634"/>
      <c r="W920" s="634"/>
      <c r="X920" s="634"/>
      <c r="Y920" s="634"/>
      <c r="Z920" s="634"/>
      <c r="AA920" s="634"/>
    </row>
    <row r="921" ht="15.75" customHeight="1">
      <c r="A921" s="634"/>
      <c r="B921" s="634"/>
      <c r="C921" s="634"/>
      <c r="D921" s="634"/>
      <c r="E921" s="634"/>
      <c r="F921" s="634"/>
      <c r="G921" s="634"/>
      <c r="H921" s="635"/>
      <c r="I921" s="634"/>
      <c r="J921" s="636"/>
      <c r="K921" s="635"/>
      <c r="L921" s="635"/>
      <c r="M921" s="635"/>
      <c r="N921" s="635"/>
      <c r="O921" s="635"/>
      <c r="P921" s="635"/>
      <c r="Q921" s="635"/>
      <c r="R921" s="635"/>
      <c r="S921" s="634"/>
      <c r="T921" s="634"/>
      <c r="U921" s="634"/>
      <c r="V921" s="634"/>
      <c r="W921" s="634"/>
      <c r="X921" s="634"/>
      <c r="Y921" s="634"/>
      <c r="Z921" s="634"/>
      <c r="AA921" s="634"/>
    </row>
    <row r="922" ht="15.75" customHeight="1">
      <c r="A922" s="634"/>
      <c r="B922" s="634"/>
      <c r="C922" s="634"/>
      <c r="D922" s="634"/>
      <c r="E922" s="634"/>
      <c r="F922" s="634"/>
      <c r="G922" s="634"/>
      <c r="H922" s="635"/>
      <c r="I922" s="634"/>
      <c r="J922" s="636"/>
      <c r="K922" s="635"/>
      <c r="L922" s="635"/>
      <c r="M922" s="635"/>
      <c r="N922" s="635"/>
      <c r="O922" s="635"/>
      <c r="P922" s="635"/>
      <c r="Q922" s="635"/>
      <c r="R922" s="635"/>
      <c r="S922" s="634"/>
      <c r="T922" s="634"/>
      <c r="U922" s="634"/>
      <c r="V922" s="634"/>
      <c r="W922" s="634"/>
      <c r="X922" s="634"/>
      <c r="Y922" s="634"/>
      <c r="Z922" s="634"/>
      <c r="AA922" s="634"/>
    </row>
    <row r="923" ht="15.75" customHeight="1">
      <c r="A923" s="634"/>
      <c r="B923" s="634"/>
      <c r="C923" s="634"/>
      <c r="D923" s="634"/>
      <c r="E923" s="634"/>
      <c r="F923" s="634"/>
      <c r="G923" s="634"/>
      <c r="H923" s="635"/>
      <c r="I923" s="634"/>
      <c r="J923" s="636"/>
      <c r="K923" s="635"/>
      <c r="L923" s="635"/>
      <c r="M923" s="635"/>
      <c r="N923" s="635"/>
      <c r="O923" s="635"/>
      <c r="P923" s="635"/>
      <c r="Q923" s="635"/>
      <c r="R923" s="635"/>
      <c r="S923" s="634"/>
      <c r="T923" s="634"/>
      <c r="U923" s="634"/>
      <c r="V923" s="634"/>
      <c r="W923" s="634"/>
      <c r="X923" s="634"/>
      <c r="Y923" s="634"/>
      <c r="Z923" s="634"/>
      <c r="AA923" s="634"/>
    </row>
    <row r="924" ht="15.75" customHeight="1">
      <c r="A924" s="634"/>
      <c r="B924" s="634"/>
      <c r="C924" s="634"/>
      <c r="D924" s="634"/>
      <c r="E924" s="634"/>
      <c r="F924" s="634"/>
      <c r="G924" s="634"/>
      <c r="H924" s="635"/>
      <c r="I924" s="634"/>
      <c r="J924" s="636"/>
      <c r="K924" s="635"/>
      <c r="L924" s="635"/>
      <c r="M924" s="635"/>
      <c r="N924" s="635"/>
      <c r="O924" s="635"/>
      <c r="P924" s="635"/>
      <c r="Q924" s="635"/>
      <c r="R924" s="635"/>
      <c r="S924" s="634"/>
      <c r="T924" s="634"/>
      <c r="U924" s="634"/>
      <c r="V924" s="634"/>
      <c r="W924" s="634"/>
      <c r="X924" s="634"/>
      <c r="Y924" s="634"/>
      <c r="Z924" s="634"/>
      <c r="AA924" s="634"/>
    </row>
    <row r="925" ht="15.75" customHeight="1">
      <c r="A925" s="634"/>
      <c r="B925" s="634"/>
      <c r="C925" s="634"/>
      <c r="D925" s="634"/>
      <c r="E925" s="634"/>
      <c r="F925" s="634"/>
      <c r="G925" s="634"/>
      <c r="H925" s="635"/>
      <c r="I925" s="634"/>
      <c r="J925" s="636"/>
      <c r="K925" s="635"/>
      <c r="L925" s="635"/>
      <c r="M925" s="635"/>
      <c r="N925" s="635"/>
      <c r="O925" s="635"/>
      <c r="P925" s="635"/>
      <c r="Q925" s="635"/>
      <c r="R925" s="635"/>
      <c r="S925" s="634"/>
      <c r="T925" s="634"/>
      <c r="U925" s="634"/>
      <c r="V925" s="634"/>
      <c r="W925" s="634"/>
      <c r="X925" s="634"/>
      <c r="Y925" s="634"/>
      <c r="Z925" s="634"/>
      <c r="AA925" s="634"/>
    </row>
    <row r="926" ht="15.75" customHeight="1">
      <c r="A926" s="634"/>
      <c r="B926" s="634"/>
      <c r="C926" s="634"/>
      <c r="D926" s="634"/>
      <c r="E926" s="634"/>
      <c r="F926" s="634"/>
      <c r="G926" s="634"/>
      <c r="H926" s="635"/>
      <c r="I926" s="634"/>
      <c r="J926" s="636"/>
      <c r="K926" s="635"/>
      <c r="L926" s="635"/>
      <c r="M926" s="635"/>
      <c r="N926" s="635"/>
      <c r="O926" s="635"/>
      <c r="P926" s="635"/>
      <c r="Q926" s="635"/>
      <c r="R926" s="635"/>
      <c r="S926" s="634"/>
      <c r="T926" s="634"/>
      <c r="U926" s="634"/>
      <c r="V926" s="634"/>
      <c r="W926" s="634"/>
      <c r="X926" s="634"/>
      <c r="Y926" s="634"/>
      <c r="Z926" s="634"/>
      <c r="AA926" s="634"/>
    </row>
    <row r="927" ht="15.75" customHeight="1">
      <c r="A927" s="634"/>
      <c r="B927" s="634"/>
      <c r="C927" s="634"/>
      <c r="D927" s="634"/>
      <c r="E927" s="634"/>
      <c r="F927" s="634"/>
      <c r="G927" s="634"/>
      <c r="H927" s="635"/>
      <c r="I927" s="634"/>
      <c r="J927" s="636"/>
      <c r="K927" s="635"/>
      <c r="L927" s="635"/>
      <c r="M927" s="635"/>
      <c r="N927" s="635"/>
      <c r="O927" s="635"/>
      <c r="P927" s="635"/>
      <c r="Q927" s="635"/>
      <c r="R927" s="635"/>
      <c r="S927" s="634"/>
      <c r="T927" s="634"/>
      <c r="U927" s="634"/>
      <c r="V927" s="634"/>
      <c r="W927" s="634"/>
      <c r="X927" s="634"/>
      <c r="Y927" s="634"/>
      <c r="Z927" s="634"/>
      <c r="AA927" s="634"/>
    </row>
    <row r="928" ht="15.75" customHeight="1">
      <c r="A928" s="634"/>
      <c r="B928" s="634"/>
      <c r="C928" s="634"/>
      <c r="D928" s="634"/>
      <c r="E928" s="634"/>
      <c r="F928" s="634"/>
      <c r="G928" s="634"/>
      <c r="H928" s="635"/>
      <c r="I928" s="634"/>
      <c r="J928" s="636"/>
      <c r="K928" s="635"/>
      <c r="L928" s="635"/>
      <c r="M928" s="635"/>
      <c r="N928" s="635"/>
      <c r="O928" s="635"/>
      <c r="P928" s="635"/>
      <c r="Q928" s="635"/>
      <c r="R928" s="635"/>
      <c r="S928" s="634"/>
      <c r="T928" s="634"/>
      <c r="U928" s="634"/>
      <c r="V928" s="634"/>
      <c r="W928" s="634"/>
      <c r="X928" s="634"/>
      <c r="Y928" s="634"/>
      <c r="Z928" s="634"/>
      <c r="AA928" s="634"/>
    </row>
    <row r="929" ht="15.75" customHeight="1">
      <c r="A929" s="634"/>
      <c r="B929" s="634"/>
      <c r="C929" s="634"/>
      <c r="D929" s="634"/>
      <c r="E929" s="634"/>
      <c r="F929" s="634"/>
      <c r="G929" s="634"/>
      <c r="H929" s="635"/>
      <c r="I929" s="634"/>
      <c r="J929" s="636"/>
      <c r="K929" s="635"/>
      <c r="L929" s="635"/>
      <c r="M929" s="635"/>
      <c r="N929" s="635"/>
      <c r="O929" s="635"/>
      <c r="P929" s="635"/>
      <c r="Q929" s="635"/>
      <c r="R929" s="635"/>
      <c r="S929" s="634"/>
      <c r="T929" s="634"/>
      <c r="U929" s="634"/>
      <c r="V929" s="634"/>
      <c r="W929" s="634"/>
      <c r="X929" s="634"/>
      <c r="Y929" s="634"/>
      <c r="Z929" s="634"/>
      <c r="AA929" s="634"/>
    </row>
    <row r="930" ht="15.75" customHeight="1">
      <c r="A930" s="634"/>
      <c r="B930" s="634"/>
      <c r="C930" s="634"/>
      <c r="D930" s="634"/>
      <c r="E930" s="634"/>
      <c r="F930" s="634"/>
      <c r="G930" s="634"/>
      <c r="H930" s="635"/>
      <c r="I930" s="634"/>
      <c r="J930" s="636"/>
      <c r="K930" s="635"/>
      <c r="L930" s="635"/>
      <c r="M930" s="635"/>
      <c r="N930" s="635"/>
      <c r="O930" s="635"/>
      <c r="P930" s="635"/>
      <c r="Q930" s="635"/>
      <c r="R930" s="635"/>
      <c r="S930" s="634"/>
      <c r="T930" s="634"/>
      <c r="U930" s="634"/>
      <c r="V930" s="634"/>
      <c r="W930" s="634"/>
      <c r="X930" s="634"/>
      <c r="Y930" s="634"/>
      <c r="Z930" s="634"/>
      <c r="AA930" s="634"/>
    </row>
    <row r="931" ht="15.75" customHeight="1">
      <c r="A931" s="634"/>
      <c r="B931" s="634"/>
      <c r="C931" s="634"/>
      <c r="D931" s="634"/>
      <c r="E931" s="634"/>
      <c r="F931" s="634"/>
      <c r="G931" s="634"/>
      <c r="H931" s="635"/>
      <c r="I931" s="634"/>
      <c r="J931" s="636"/>
      <c r="K931" s="635"/>
      <c r="L931" s="635"/>
      <c r="M931" s="635"/>
      <c r="N931" s="635"/>
      <c r="O931" s="635"/>
      <c r="P931" s="635"/>
      <c r="Q931" s="635"/>
      <c r="R931" s="635"/>
      <c r="S931" s="634"/>
      <c r="T931" s="634"/>
      <c r="U931" s="634"/>
      <c r="V931" s="634"/>
      <c r="W931" s="634"/>
      <c r="X931" s="634"/>
      <c r="Y931" s="634"/>
      <c r="Z931" s="634"/>
      <c r="AA931" s="634"/>
    </row>
    <row r="932" ht="15.75" customHeight="1">
      <c r="A932" s="634"/>
      <c r="B932" s="634"/>
      <c r="C932" s="634"/>
      <c r="D932" s="634"/>
      <c r="E932" s="634"/>
      <c r="F932" s="634"/>
      <c r="G932" s="634"/>
      <c r="H932" s="635"/>
      <c r="I932" s="634"/>
      <c r="J932" s="636"/>
      <c r="K932" s="635"/>
      <c r="L932" s="635"/>
      <c r="M932" s="635"/>
      <c r="N932" s="635"/>
      <c r="O932" s="635"/>
      <c r="P932" s="635"/>
      <c r="Q932" s="635"/>
      <c r="R932" s="635"/>
      <c r="S932" s="634"/>
      <c r="T932" s="634"/>
      <c r="U932" s="634"/>
      <c r="V932" s="634"/>
      <c r="W932" s="634"/>
      <c r="X932" s="634"/>
      <c r="Y932" s="634"/>
      <c r="Z932" s="634"/>
      <c r="AA932" s="634"/>
    </row>
    <row r="933" ht="15.75" customHeight="1">
      <c r="A933" s="634"/>
      <c r="B933" s="634"/>
      <c r="C933" s="634"/>
      <c r="D933" s="634"/>
      <c r="E933" s="634"/>
      <c r="F933" s="634"/>
      <c r="G933" s="634"/>
      <c r="H933" s="635"/>
      <c r="I933" s="634"/>
      <c r="J933" s="636"/>
      <c r="K933" s="635"/>
      <c r="L933" s="635"/>
      <c r="M933" s="635"/>
      <c r="N933" s="635"/>
      <c r="O933" s="635"/>
      <c r="P933" s="635"/>
      <c r="Q933" s="635"/>
      <c r="R933" s="635"/>
      <c r="S933" s="634"/>
      <c r="T933" s="634"/>
      <c r="U933" s="634"/>
      <c r="V933" s="634"/>
      <c r="W933" s="634"/>
      <c r="X933" s="634"/>
      <c r="Y933" s="634"/>
      <c r="Z933" s="634"/>
      <c r="AA933" s="634"/>
    </row>
    <row r="934" ht="15.75" customHeight="1">
      <c r="A934" s="634"/>
      <c r="B934" s="634"/>
      <c r="C934" s="634"/>
      <c r="D934" s="634"/>
      <c r="E934" s="634"/>
      <c r="F934" s="634"/>
      <c r="G934" s="634"/>
      <c r="H934" s="635"/>
      <c r="I934" s="634"/>
      <c r="J934" s="636"/>
      <c r="K934" s="635"/>
      <c r="L934" s="635"/>
      <c r="M934" s="635"/>
      <c r="N934" s="635"/>
      <c r="O934" s="635"/>
      <c r="P934" s="635"/>
      <c r="Q934" s="635"/>
      <c r="R934" s="635"/>
      <c r="S934" s="634"/>
      <c r="T934" s="634"/>
      <c r="U934" s="634"/>
      <c r="V934" s="634"/>
      <c r="W934" s="634"/>
      <c r="X934" s="634"/>
      <c r="Y934" s="634"/>
      <c r="Z934" s="634"/>
      <c r="AA934" s="634"/>
    </row>
    <row r="935" ht="15.75" customHeight="1">
      <c r="A935" s="634"/>
      <c r="B935" s="634"/>
      <c r="C935" s="634"/>
      <c r="D935" s="634"/>
      <c r="E935" s="634"/>
      <c r="F935" s="634"/>
      <c r="G935" s="634"/>
      <c r="H935" s="635"/>
      <c r="I935" s="634"/>
      <c r="J935" s="636"/>
      <c r="K935" s="635"/>
      <c r="L935" s="635"/>
      <c r="M935" s="635"/>
      <c r="N935" s="635"/>
      <c r="O935" s="635"/>
      <c r="P935" s="635"/>
      <c r="Q935" s="635"/>
      <c r="R935" s="635"/>
      <c r="S935" s="634"/>
      <c r="T935" s="634"/>
      <c r="U935" s="634"/>
      <c r="V935" s="634"/>
      <c r="W935" s="634"/>
      <c r="X935" s="634"/>
      <c r="Y935" s="634"/>
      <c r="Z935" s="634"/>
      <c r="AA935" s="634"/>
    </row>
    <row r="936" ht="15.75" customHeight="1">
      <c r="A936" s="634"/>
      <c r="B936" s="634"/>
      <c r="C936" s="634"/>
      <c r="D936" s="634"/>
      <c r="E936" s="634"/>
      <c r="F936" s="634"/>
      <c r="G936" s="634"/>
      <c r="H936" s="635"/>
      <c r="I936" s="634"/>
      <c r="J936" s="636"/>
      <c r="K936" s="635"/>
      <c r="L936" s="635"/>
      <c r="M936" s="635"/>
      <c r="N936" s="635"/>
      <c r="O936" s="635"/>
      <c r="P936" s="635"/>
      <c r="Q936" s="635"/>
      <c r="R936" s="635"/>
      <c r="S936" s="634"/>
      <c r="T936" s="634"/>
      <c r="U936" s="634"/>
      <c r="V936" s="634"/>
      <c r="W936" s="634"/>
      <c r="X936" s="634"/>
      <c r="Y936" s="634"/>
      <c r="Z936" s="634"/>
      <c r="AA936" s="634"/>
    </row>
    <row r="937" ht="15.75" customHeight="1">
      <c r="A937" s="634"/>
      <c r="B937" s="634"/>
      <c r="C937" s="634"/>
      <c r="D937" s="634"/>
      <c r="E937" s="634"/>
      <c r="F937" s="634"/>
      <c r="G937" s="634"/>
      <c r="H937" s="635"/>
      <c r="I937" s="634"/>
      <c r="J937" s="636"/>
      <c r="K937" s="635"/>
      <c r="L937" s="635"/>
      <c r="M937" s="635"/>
      <c r="N937" s="635"/>
      <c r="O937" s="635"/>
      <c r="P937" s="635"/>
      <c r="Q937" s="635"/>
      <c r="R937" s="635"/>
      <c r="S937" s="634"/>
      <c r="T937" s="634"/>
      <c r="U937" s="634"/>
      <c r="V937" s="634"/>
      <c r="W937" s="634"/>
      <c r="X937" s="634"/>
      <c r="Y937" s="634"/>
      <c r="Z937" s="634"/>
      <c r="AA937" s="634"/>
    </row>
    <row r="938" ht="15.75" customHeight="1">
      <c r="A938" s="634"/>
      <c r="B938" s="634"/>
      <c r="C938" s="634"/>
      <c r="D938" s="634"/>
      <c r="E938" s="634"/>
      <c r="F938" s="634"/>
      <c r="G938" s="634"/>
      <c r="H938" s="635"/>
      <c r="I938" s="634"/>
      <c r="J938" s="636"/>
      <c r="K938" s="635"/>
      <c r="L938" s="635"/>
      <c r="M938" s="635"/>
      <c r="N938" s="635"/>
      <c r="O938" s="635"/>
      <c r="P938" s="635"/>
      <c r="Q938" s="635"/>
      <c r="R938" s="635"/>
      <c r="S938" s="634"/>
      <c r="T938" s="634"/>
      <c r="U938" s="634"/>
      <c r="V938" s="634"/>
      <c r="W938" s="634"/>
      <c r="X938" s="634"/>
      <c r="Y938" s="634"/>
      <c r="Z938" s="634"/>
      <c r="AA938" s="634"/>
    </row>
    <row r="939" ht="15.75" customHeight="1">
      <c r="A939" s="634"/>
      <c r="B939" s="634"/>
      <c r="C939" s="634"/>
      <c r="D939" s="634"/>
      <c r="E939" s="634"/>
      <c r="F939" s="634"/>
      <c r="G939" s="634"/>
      <c r="H939" s="635"/>
      <c r="I939" s="634"/>
      <c r="J939" s="636"/>
      <c r="K939" s="635"/>
      <c r="L939" s="635"/>
      <c r="M939" s="635"/>
      <c r="N939" s="635"/>
      <c r="O939" s="635"/>
      <c r="P939" s="635"/>
      <c r="Q939" s="635"/>
      <c r="R939" s="635"/>
      <c r="S939" s="634"/>
      <c r="T939" s="634"/>
      <c r="U939" s="634"/>
      <c r="V939" s="634"/>
      <c r="W939" s="634"/>
      <c r="X939" s="634"/>
      <c r="Y939" s="634"/>
      <c r="Z939" s="634"/>
      <c r="AA939" s="634"/>
    </row>
    <row r="940" ht="15.75" customHeight="1">
      <c r="A940" s="634"/>
      <c r="B940" s="634"/>
      <c r="C940" s="634"/>
      <c r="D940" s="634"/>
      <c r="E940" s="634"/>
      <c r="F940" s="634"/>
      <c r="G940" s="634"/>
      <c r="H940" s="635"/>
      <c r="I940" s="634"/>
      <c r="J940" s="636"/>
      <c r="K940" s="635"/>
      <c r="L940" s="635"/>
      <c r="M940" s="635"/>
      <c r="N940" s="635"/>
      <c r="O940" s="635"/>
      <c r="P940" s="635"/>
      <c r="Q940" s="635"/>
      <c r="R940" s="635"/>
      <c r="S940" s="634"/>
      <c r="T940" s="634"/>
      <c r="U940" s="634"/>
      <c r="V940" s="634"/>
      <c r="W940" s="634"/>
      <c r="X940" s="634"/>
      <c r="Y940" s="634"/>
      <c r="Z940" s="634"/>
      <c r="AA940" s="634"/>
    </row>
    <row r="941" ht="15.75" customHeight="1">
      <c r="A941" s="634"/>
      <c r="B941" s="634"/>
      <c r="C941" s="634"/>
      <c r="D941" s="634"/>
      <c r="E941" s="634"/>
      <c r="F941" s="634"/>
      <c r="G941" s="634"/>
      <c r="H941" s="635"/>
      <c r="I941" s="634"/>
      <c r="J941" s="636"/>
      <c r="K941" s="635"/>
      <c r="L941" s="635"/>
      <c r="M941" s="635"/>
      <c r="N941" s="635"/>
      <c r="O941" s="635"/>
      <c r="P941" s="635"/>
      <c r="Q941" s="635"/>
      <c r="R941" s="635"/>
      <c r="S941" s="634"/>
      <c r="T941" s="634"/>
      <c r="U941" s="634"/>
      <c r="V941" s="634"/>
      <c r="W941" s="634"/>
      <c r="X941" s="634"/>
      <c r="Y941" s="634"/>
      <c r="Z941" s="634"/>
      <c r="AA941" s="634"/>
    </row>
    <row r="942" ht="15.75" customHeight="1">
      <c r="A942" s="634"/>
      <c r="B942" s="634"/>
      <c r="C942" s="634"/>
      <c r="D942" s="634"/>
      <c r="E942" s="634"/>
      <c r="F942" s="634"/>
      <c r="G942" s="634"/>
      <c r="H942" s="635"/>
      <c r="I942" s="634"/>
      <c r="J942" s="636"/>
      <c r="K942" s="635"/>
      <c r="L942" s="635"/>
      <c r="M942" s="635"/>
      <c r="N942" s="635"/>
      <c r="O942" s="635"/>
      <c r="P942" s="635"/>
      <c r="Q942" s="635"/>
      <c r="R942" s="635"/>
      <c r="S942" s="634"/>
      <c r="T942" s="634"/>
      <c r="U942" s="634"/>
      <c r="V942" s="634"/>
      <c r="W942" s="634"/>
      <c r="X942" s="634"/>
      <c r="Y942" s="634"/>
      <c r="Z942" s="634"/>
      <c r="AA942" s="634"/>
    </row>
    <row r="943" ht="15.75" customHeight="1">
      <c r="A943" s="634"/>
      <c r="B943" s="634"/>
      <c r="C943" s="634"/>
      <c r="D943" s="634"/>
      <c r="E943" s="634"/>
      <c r="F943" s="634"/>
      <c r="G943" s="634"/>
      <c r="H943" s="635"/>
      <c r="I943" s="634"/>
      <c r="J943" s="636"/>
      <c r="K943" s="635"/>
      <c r="L943" s="635"/>
      <c r="M943" s="635"/>
      <c r="N943" s="635"/>
      <c r="O943" s="635"/>
      <c r="P943" s="635"/>
      <c r="Q943" s="635"/>
      <c r="R943" s="635"/>
      <c r="S943" s="634"/>
      <c r="T943" s="634"/>
      <c r="U943" s="634"/>
      <c r="V943" s="634"/>
      <c r="W943" s="634"/>
      <c r="X943" s="634"/>
      <c r="Y943" s="634"/>
      <c r="Z943" s="634"/>
      <c r="AA943" s="634"/>
    </row>
    <row r="944" ht="15.75" customHeight="1">
      <c r="A944" s="634"/>
      <c r="B944" s="634"/>
      <c r="C944" s="634"/>
      <c r="D944" s="634"/>
      <c r="E944" s="634"/>
      <c r="F944" s="634"/>
      <c r="G944" s="634"/>
      <c r="H944" s="635"/>
      <c r="I944" s="634"/>
      <c r="J944" s="636"/>
      <c r="K944" s="635"/>
      <c r="L944" s="635"/>
      <c r="M944" s="635"/>
      <c r="N944" s="635"/>
      <c r="O944" s="635"/>
      <c r="P944" s="635"/>
      <c r="Q944" s="635"/>
      <c r="R944" s="635"/>
      <c r="S944" s="634"/>
      <c r="T944" s="634"/>
      <c r="U944" s="634"/>
      <c r="V944" s="634"/>
      <c r="W944" s="634"/>
      <c r="X944" s="634"/>
      <c r="Y944" s="634"/>
      <c r="Z944" s="634"/>
      <c r="AA944" s="634"/>
    </row>
    <row r="945" ht="15.75" customHeight="1">
      <c r="A945" s="634"/>
      <c r="B945" s="634"/>
      <c r="C945" s="634"/>
      <c r="D945" s="634"/>
      <c r="E945" s="634"/>
      <c r="F945" s="634"/>
      <c r="G945" s="634"/>
      <c r="H945" s="635"/>
      <c r="I945" s="634"/>
      <c r="J945" s="636"/>
      <c r="K945" s="635"/>
      <c r="L945" s="635"/>
      <c r="M945" s="635"/>
      <c r="N945" s="635"/>
      <c r="O945" s="635"/>
      <c r="P945" s="635"/>
      <c r="Q945" s="635"/>
      <c r="R945" s="635"/>
      <c r="S945" s="634"/>
      <c r="T945" s="634"/>
      <c r="U945" s="634"/>
      <c r="V945" s="634"/>
      <c r="W945" s="634"/>
      <c r="X945" s="634"/>
      <c r="Y945" s="634"/>
      <c r="Z945" s="634"/>
      <c r="AA945" s="634"/>
    </row>
    <row r="946" ht="15.75" customHeight="1">
      <c r="A946" s="634"/>
      <c r="B946" s="634"/>
      <c r="C946" s="634"/>
      <c r="D946" s="634"/>
      <c r="E946" s="634"/>
      <c r="F946" s="634"/>
      <c r="G946" s="634"/>
      <c r="H946" s="635"/>
      <c r="I946" s="634"/>
      <c r="J946" s="636"/>
      <c r="K946" s="635"/>
      <c r="L946" s="635"/>
      <c r="M946" s="635"/>
      <c r="N946" s="635"/>
      <c r="O946" s="635"/>
      <c r="P946" s="635"/>
      <c r="Q946" s="635"/>
      <c r="R946" s="635"/>
      <c r="S946" s="634"/>
      <c r="T946" s="634"/>
      <c r="U946" s="634"/>
      <c r="V946" s="634"/>
      <c r="W946" s="634"/>
      <c r="X946" s="634"/>
      <c r="Y946" s="634"/>
      <c r="Z946" s="634"/>
      <c r="AA946" s="634"/>
    </row>
    <row r="947" ht="15.75" customHeight="1">
      <c r="A947" s="634"/>
      <c r="B947" s="634"/>
      <c r="C947" s="634"/>
      <c r="D947" s="634"/>
      <c r="E947" s="634"/>
      <c r="F947" s="634"/>
      <c r="G947" s="634"/>
      <c r="H947" s="635"/>
      <c r="I947" s="634"/>
      <c r="J947" s="636"/>
      <c r="K947" s="635"/>
      <c r="L947" s="635"/>
      <c r="M947" s="635"/>
      <c r="N947" s="635"/>
      <c r="O947" s="635"/>
      <c r="P947" s="635"/>
      <c r="Q947" s="635"/>
      <c r="R947" s="635"/>
      <c r="S947" s="634"/>
      <c r="T947" s="634"/>
      <c r="U947" s="634"/>
      <c r="V947" s="634"/>
      <c r="W947" s="634"/>
      <c r="X947" s="634"/>
      <c r="Y947" s="634"/>
      <c r="Z947" s="634"/>
      <c r="AA947" s="634"/>
    </row>
    <row r="948" ht="15.75" customHeight="1">
      <c r="A948" s="634"/>
      <c r="B948" s="634"/>
      <c r="C948" s="634"/>
      <c r="D948" s="634"/>
      <c r="E948" s="634"/>
      <c r="F948" s="634"/>
      <c r="G948" s="634"/>
      <c r="H948" s="635"/>
      <c r="I948" s="634"/>
      <c r="J948" s="636"/>
      <c r="K948" s="635"/>
      <c r="L948" s="635"/>
      <c r="M948" s="635"/>
      <c r="N948" s="635"/>
      <c r="O948" s="635"/>
      <c r="P948" s="635"/>
      <c r="Q948" s="635"/>
      <c r="R948" s="635"/>
      <c r="S948" s="634"/>
      <c r="T948" s="634"/>
      <c r="U948" s="634"/>
      <c r="V948" s="634"/>
      <c r="W948" s="634"/>
      <c r="X948" s="634"/>
      <c r="Y948" s="634"/>
      <c r="Z948" s="634"/>
      <c r="AA948" s="634"/>
    </row>
    <row r="949" ht="15.75" customHeight="1">
      <c r="A949" s="634"/>
      <c r="B949" s="634"/>
      <c r="C949" s="634"/>
      <c r="D949" s="634"/>
      <c r="E949" s="634"/>
      <c r="F949" s="634"/>
      <c r="G949" s="634"/>
      <c r="H949" s="635"/>
      <c r="I949" s="634"/>
      <c r="J949" s="636"/>
      <c r="K949" s="635"/>
      <c r="L949" s="635"/>
      <c r="M949" s="635"/>
      <c r="N949" s="635"/>
      <c r="O949" s="635"/>
      <c r="P949" s="635"/>
      <c r="Q949" s="635"/>
      <c r="R949" s="635"/>
      <c r="S949" s="634"/>
      <c r="T949" s="634"/>
      <c r="U949" s="634"/>
      <c r="V949" s="634"/>
      <c r="W949" s="634"/>
      <c r="X949" s="634"/>
      <c r="Y949" s="634"/>
      <c r="Z949" s="634"/>
      <c r="AA949" s="634"/>
    </row>
    <row r="950" ht="15.75" customHeight="1">
      <c r="A950" s="634"/>
      <c r="B950" s="634"/>
      <c r="C950" s="634"/>
      <c r="D950" s="634"/>
      <c r="E950" s="634"/>
      <c r="F950" s="634"/>
      <c r="G950" s="634"/>
      <c r="H950" s="635"/>
      <c r="I950" s="634"/>
      <c r="J950" s="636"/>
      <c r="K950" s="635"/>
      <c r="L950" s="635"/>
      <c r="M950" s="635"/>
      <c r="N950" s="635"/>
      <c r="O950" s="635"/>
      <c r="P950" s="635"/>
      <c r="Q950" s="635"/>
      <c r="R950" s="635"/>
      <c r="S950" s="634"/>
      <c r="T950" s="634"/>
      <c r="U950" s="634"/>
      <c r="V950" s="634"/>
      <c r="W950" s="634"/>
      <c r="X950" s="634"/>
      <c r="Y950" s="634"/>
      <c r="Z950" s="634"/>
      <c r="AA950" s="634"/>
    </row>
    <row r="951" ht="15.75" customHeight="1">
      <c r="A951" s="634"/>
      <c r="B951" s="634"/>
      <c r="C951" s="634"/>
      <c r="D951" s="634"/>
      <c r="E951" s="634"/>
      <c r="F951" s="634"/>
      <c r="G951" s="634"/>
      <c r="H951" s="635"/>
      <c r="I951" s="634"/>
      <c r="J951" s="636"/>
      <c r="K951" s="635"/>
      <c r="L951" s="635"/>
      <c r="M951" s="635"/>
      <c r="N951" s="635"/>
      <c r="O951" s="635"/>
      <c r="P951" s="635"/>
      <c r="Q951" s="635"/>
      <c r="R951" s="635"/>
      <c r="S951" s="634"/>
      <c r="T951" s="634"/>
      <c r="U951" s="634"/>
      <c r="V951" s="634"/>
      <c r="W951" s="634"/>
      <c r="X951" s="634"/>
      <c r="Y951" s="634"/>
      <c r="Z951" s="634"/>
      <c r="AA951" s="634"/>
    </row>
    <row r="952" ht="15.75" customHeight="1">
      <c r="A952" s="634"/>
      <c r="B952" s="634"/>
      <c r="C952" s="634"/>
      <c r="D952" s="634"/>
      <c r="E952" s="634"/>
      <c r="F952" s="634"/>
      <c r="G952" s="634"/>
      <c r="H952" s="635"/>
      <c r="I952" s="634"/>
      <c r="J952" s="636"/>
      <c r="K952" s="635"/>
      <c r="L952" s="635"/>
      <c r="M952" s="635"/>
      <c r="N952" s="635"/>
      <c r="O952" s="635"/>
      <c r="P952" s="635"/>
      <c r="Q952" s="635"/>
      <c r="R952" s="635"/>
      <c r="S952" s="634"/>
      <c r="T952" s="634"/>
      <c r="U952" s="634"/>
      <c r="V952" s="634"/>
      <c r="W952" s="634"/>
      <c r="X952" s="634"/>
      <c r="Y952" s="634"/>
      <c r="Z952" s="634"/>
      <c r="AA952" s="634"/>
    </row>
    <row r="953" ht="15.75" customHeight="1">
      <c r="A953" s="634"/>
      <c r="B953" s="634"/>
      <c r="C953" s="634"/>
      <c r="D953" s="634"/>
      <c r="E953" s="634"/>
      <c r="F953" s="634"/>
      <c r="G953" s="634"/>
      <c r="H953" s="635"/>
      <c r="I953" s="634"/>
      <c r="J953" s="636"/>
      <c r="K953" s="635"/>
      <c r="L953" s="635"/>
      <c r="M953" s="635"/>
      <c r="N953" s="635"/>
      <c r="O953" s="635"/>
      <c r="P953" s="635"/>
      <c r="Q953" s="635"/>
      <c r="R953" s="635"/>
      <c r="S953" s="634"/>
      <c r="T953" s="634"/>
      <c r="U953" s="634"/>
      <c r="V953" s="634"/>
      <c r="W953" s="634"/>
      <c r="X953" s="634"/>
      <c r="Y953" s="634"/>
      <c r="Z953" s="634"/>
      <c r="AA953" s="634"/>
    </row>
    <row r="954" ht="15.75" customHeight="1">
      <c r="A954" s="634"/>
      <c r="B954" s="634"/>
      <c r="C954" s="634"/>
      <c r="D954" s="634"/>
      <c r="E954" s="634"/>
      <c r="F954" s="634"/>
      <c r="G954" s="634"/>
      <c r="H954" s="635"/>
      <c r="I954" s="634"/>
      <c r="J954" s="636"/>
      <c r="K954" s="635"/>
      <c r="L954" s="635"/>
      <c r="M954" s="635"/>
      <c r="N954" s="635"/>
      <c r="O954" s="635"/>
      <c r="P954" s="635"/>
      <c r="Q954" s="635"/>
      <c r="R954" s="635"/>
      <c r="S954" s="634"/>
      <c r="T954" s="634"/>
      <c r="U954" s="634"/>
      <c r="V954" s="634"/>
      <c r="W954" s="634"/>
      <c r="X954" s="634"/>
      <c r="Y954" s="634"/>
      <c r="Z954" s="634"/>
      <c r="AA954" s="634"/>
    </row>
    <row r="955" ht="15.75" customHeight="1">
      <c r="A955" s="634"/>
      <c r="B955" s="634"/>
      <c r="C955" s="634"/>
      <c r="D955" s="634"/>
      <c r="E955" s="634"/>
      <c r="F955" s="634"/>
      <c r="G955" s="634"/>
      <c r="H955" s="635"/>
      <c r="I955" s="634"/>
      <c r="J955" s="636"/>
      <c r="K955" s="635"/>
      <c r="L955" s="635"/>
      <c r="M955" s="635"/>
      <c r="N955" s="635"/>
      <c r="O955" s="635"/>
      <c r="P955" s="635"/>
      <c r="Q955" s="635"/>
      <c r="R955" s="635"/>
      <c r="S955" s="634"/>
      <c r="T955" s="634"/>
      <c r="U955" s="634"/>
      <c r="V955" s="634"/>
      <c r="W955" s="634"/>
      <c r="X955" s="634"/>
      <c r="Y955" s="634"/>
      <c r="Z955" s="634"/>
      <c r="AA955" s="634"/>
    </row>
    <row r="956" ht="15.75" customHeight="1">
      <c r="A956" s="634"/>
      <c r="B956" s="634"/>
      <c r="C956" s="634"/>
      <c r="D956" s="634"/>
      <c r="E956" s="634"/>
      <c r="F956" s="634"/>
      <c r="G956" s="634"/>
      <c r="H956" s="635"/>
      <c r="I956" s="634"/>
      <c r="J956" s="636"/>
      <c r="K956" s="635"/>
      <c r="L956" s="635"/>
      <c r="M956" s="635"/>
      <c r="N956" s="635"/>
      <c r="O956" s="635"/>
      <c r="P956" s="635"/>
      <c r="Q956" s="635"/>
      <c r="R956" s="635"/>
      <c r="S956" s="634"/>
      <c r="T956" s="634"/>
      <c r="U956" s="634"/>
      <c r="V956" s="634"/>
      <c r="W956" s="634"/>
      <c r="X956" s="634"/>
      <c r="Y956" s="634"/>
      <c r="Z956" s="634"/>
      <c r="AA956" s="634"/>
    </row>
    <row r="957" ht="15.75" customHeight="1">
      <c r="A957" s="634"/>
      <c r="B957" s="634"/>
      <c r="C957" s="634"/>
      <c r="D957" s="634"/>
      <c r="E957" s="634"/>
      <c r="F957" s="634"/>
      <c r="G957" s="634"/>
      <c r="H957" s="635"/>
      <c r="I957" s="634"/>
      <c r="J957" s="636"/>
      <c r="K957" s="635"/>
      <c r="L957" s="635"/>
      <c r="M957" s="635"/>
      <c r="N957" s="635"/>
      <c r="O957" s="635"/>
      <c r="P957" s="635"/>
      <c r="Q957" s="635"/>
      <c r="R957" s="635"/>
      <c r="S957" s="634"/>
      <c r="T957" s="634"/>
      <c r="U957" s="634"/>
      <c r="V957" s="634"/>
      <c r="W957" s="634"/>
      <c r="X957" s="634"/>
      <c r="Y957" s="634"/>
      <c r="Z957" s="634"/>
      <c r="AA957" s="634"/>
    </row>
    <row r="958" ht="15.75" customHeight="1">
      <c r="A958" s="634"/>
      <c r="B958" s="634"/>
      <c r="C958" s="634"/>
      <c r="D958" s="634"/>
      <c r="E958" s="634"/>
      <c r="F958" s="634"/>
      <c r="G958" s="634"/>
      <c r="H958" s="635"/>
      <c r="I958" s="634"/>
      <c r="J958" s="636"/>
      <c r="K958" s="635"/>
      <c r="L958" s="635"/>
      <c r="M958" s="635"/>
      <c r="N958" s="635"/>
      <c r="O958" s="635"/>
      <c r="P958" s="635"/>
      <c r="Q958" s="635"/>
      <c r="R958" s="635"/>
      <c r="S958" s="634"/>
      <c r="T958" s="634"/>
      <c r="U958" s="634"/>
      <c r="V958" s="634"/>
      <c r="W958" s="634"/>
      <c r="X958" s="634"/>
      <c r="Y958" s="634"/>
      <c r="Z958" s="634"/>
      <c r="AA958" s="634"/>
    </row>
    <row r="959" ht="15.75" customHeight="1">
      <c r="A959" s="634"/>
      <c r="B959" s="634"/>
      <c r="C959" s="634"/>
      <c r="D959" s="634"/>
      <c r="E959" s="634"/>
      <c r="F959" s="634"/>
      <c r="G959" s="634"/>
      <c r="H959" s="635"/>
      <c r="I959" s="634"/>
      <c r="J959" s="636"/>
      <c r="K959" s="635"/>
      <c r="L959" s="635"/>
      <c r="M959" s="635"/>
      <c r="N959" s="635"/>
      <c r="O959" s="635"/>
      <c r="P959" s="635"/>
      <c r="Q959" s="635"/>
      <c r="R959" s="635"/>
      <c r="S959" s="634"/>
      <c r="T959" s="634"/>
      <c r="U959" s="634"/>
      <c r="V959" s="634"/>
      <c r="W959" s="634"/>
      <c r="X959" s="634"/>
      <c r="Y959" s="634"/>
      <c r="Z959" s="634"/>
      <c r="AA959" s="634"/>
    </row>
    <row r="960" ht="15.75" customHeight="1">
      <c r="A960" s="634"/>
      <c r="B960" s="634"/>
      <c r="C960" s="634"/>
      <c r="D960" s="634"/>
      <c r="E960" s="634"/>
      <c r="F960" s="634"/>
      <c r="G960" s="634"/>
      <c r="H960" s="635"/>
      <c r="I960" s="634"/>
      <c r="J960" s="636"/>
      <c r="K960" s="635"/>
      <c r="L960" s="635"/>
      <c r="M960" s="635"/>
      <c r="N960" s="635"/>
      <c r="O960" s="635"/>
      <c r="P960" s="635"/>
      <c r="Q960" s="635"/>
      <c r="R960" s="635"/>
      <c r="S960" s="634"/>
      <c r="T960" s="634"/>
      <c r="U960" s="634"/>
      <c r="V960" s="634"/>
      <c r="W960" s="634"/>
      <c r="X960" s="634"/>
      <c r="Y960" s="634"/>
      <c r="Z960" s="634"/>
      <c r="AA960" s="634"/>
    </row>
    <row r="961" ht="15.75" customHeight="1">
      <c r="A961" s="634"/>
      <c r="B961" s="634"/>
      <c r="C961" s="634"/>
      <c r="D961" s="634"/>
      <c r="E961" s="634"/>
      <c r="F961" s="634"/>
      <c r="G961" s="634"/>
      <c r="H961" s="635"/>
      <c r="I961" s="634"/>
      <c r="J961" s="636"/>
      <c r="K961" s="635"/>
      <c r="L961" s="635"/>
      <c r="M961" s="635"/>
      <c r="N961" s="635"/>
      <c r="O961" s="635"/>
      <c r="P961" s="635"/>
      <c r="Q961" s="635"/>
      <c r="R961" s="635"/>
      <c r="S961" s="634"/>
      <c r="T961" s="634"/>
      <c r="U961" s="634"/>
      <c r="V961" s="634"/>
      <c r="W961" s="634"/>
      <c r="X961" s="634"/>
      <c r="Y961" s="634"/>
      <c r="Z961" s="634"/>
      <c r="AA961" s="634"/>
    </row>
    <row r="962" ht="15.75" customHeight="1">
      <c r="A962" s="634"/>
      <c r="B962" s="634"/>
      <c r="C962" s="634"/>
      <c r="D962" s="634"/>
      <c r="E962" s="634"/>
      <c r="F962" s="634"/>
      <c r="G962" s="634"/>
      <c r="H962" s="635"/>
      <c r="I962" s="634"/>
      <c r="J962" s="636"/>
      <c r="K962" s="635"/>
      <c r="L962" s="635"/>
      <c r="M962" s="635"/>
      <c r="N962" s="635"/>
      <c r="O962" s="635"/>
      <c r="P962" s="635"/>
      <c r="Q962" s="635"/>
      <c r="R962" s="635"/>
      <c r="S962" s="634"/>
      <c r="T962" s="634"/>
      <c r="U962" s="634"/>
      <c r="V962" s="634"/>
      <c r="W962" s="634"/>
      <c r="X962" s="634"/>
      <c r="Y962" s="634"/>
      <c r="Z962" s="634"/>
      <c r="AA962" s="634"/>
    </row>
    <row r="963" ht="15.75" customHeight="1">
      <c r="A963" s="634"/>
      <c r="B963" s="634"/>
      <c r="C963" s="634"/>
      <c r="D963" s="634"/>
      <c r="E963" s="634"/>
      <c r="F963" s="634"/>
      <c r="G963" s="634"/>
      <c r="H963" s="635"/>
      <c r="I963" s="634"/>
      <c r="J963" s="636"/>
      <c r="K963" s="635"/>
      <c r="L963" s="635"/>
      <c r="M963" s="635"/>
      <c r="N963" s="635"/>
      <c r="O963" s="635"/>
      <c r="P963" s="635"/>
      <c r="Q963" s="635"/>
      <c r="R963" s="635"/>
      <c r="S963" s="634"/>
      <c r="T963" s="634"/>
      <c r="U963" s="634"/>
      <c r="V963" s="634"/>
      <c r="W963" s="634"/>
      <c r="X963" s="634"/>
      <c r="Y963" s="634"/>
      <c r="Z963" s="634"/>
      <c r="AA963" s="634"/>
    </row>
    <row r="964" ht="15.75" customHeight="1">
      <c r="A964" s="634"/>
      <c r="B964" s="634"/>
      <c r="C964" s="634"/>
      <c r="D964" s="634"/>
      <c r="E964" s="634"/>
      <c r="F964" s="634"/>
      <c r="G964" s="634"/>
      <c r="H964" s="635"/>
      <c r="I964" s="634"/>
      <c r="J964" s="636"/>
      <c r="K964" s="635"/>
      <c r="L964" s="635"/>
      <c r="M964" s="635"/>
      <c r="N964" s="635"/>
      <c r="O964" s="635"/>
      <c r="P964" s="635"/>
      <c r="Q964" s="635"/>
      <c r="R964" s="635"/>
      <c r="S964" s="634"/>
      <c r="T964" s="634"/>
      <c r="U964" s="634"/>
      <c r="V964" s="634"/>
      <c r="W964" s="634"/>
      <c r="X964" s="634"/>
      <c r="Y964" s="634"/>
      <c r="Z964" s="634"/>
      <c r="AA964" s="634"/>
    </row>
    <row r="965" ht="15.75" customHeight="1">
      <c r="A965" s="634"/>
      <c r="B965" s="634"/>
      <c r="C965" s="634"/>
      <c r="D965" s="634"/>
      <c r="E965" s="634"/>
      <c r="F965" s="634"/>
      <c r="G965" s="634"/>
      <c r="H965" s="635"/>
      <c r="I965" s="634"/>
      <c r="J965" s="636"/>
      <c r="K965" s="635"/>
      <c r="L965" s="635"/>
      <c r="M965" s="635"/>
      <c r="N965" s="635"/>
      <c r="O965" s="635"/>
      <c r="P965" s="635"/>
      <c r="Q965" s="635"/>
      <c r="R965" s="635"/>
      <c r="S965" s="634"/>
      <c r="T965" s="634"/>
      <c r="U965" s="634"/>
      <c r="V965" s="634"/>
      <c r="W965" s="634"/>
      <c r="X965" s="634"/>
      <c r="Y965" s="634"/>
      <c r="Z965" s="634"/>
      <c r="AA965" s="634"/>
    </row>
    <row r="966" ht="15.75" customHeight="1">
      <c r="A966" s="634"/>
      <c r="B966" s="634"/>
      <c r="C966" s="634"/>
      <c r="D966" s="634"/>
      <c r="E966" s="634"/>
      <c r="F966" s="634"/>
      <c r="G966" s="634"/>
      <c r="H966" s="635"/>
      <c r="I966" s="634"/>
      <c r="J966" s="636"/>
      <c r="K966" s="635"/>
      <c r="L966" s="635"/>
      <c r="M966" s="635"/>
      <c r="N966" s="635"/>
      <c r="O966" s="635"/>
      <c r="P966" s="635"/>
      <c r="Q966" s="635"/>
      <c r="R966" s="635"/>
      <c r="S966" s="634"/>
      <c r="T966" s="634"/>
      <c r="U966" s="634"/>
      <c r="V966" s="634"/>
      <c r="W966" s="634"/>
      <c r="X966" s="634"/>
      <c r="Y966" s="634"/>
      <c r="Z966" s="634"/>
      <c r="AA966" s="634"/>
    </row>
    <row r="967" ht="15.75" customHeight="1">
      <c r="A967" s="634"/>
      <c r="B967" s="634"/>
      <c r="C967" s="634"/>
      <c r="D967" s="634"/>
      <c r="E967" s="634"/>
      <c r="F967" s="634"/>
      <c r="G967" s="634"/>
      <c r="H967" s="635"/>
      <c r="I967" s="634"/>
      <c r="J967" s="636"/>
      <c r="K967" s="635"/>
      <c r="L967" s="635"/>
      <c r="M967" s="635"/>
      <c r="N967" s="635"/>
      <c r="O967" s="635"/>
      <c r="P967" s="635"/>
      <c r="Q967" s="635"/>
      <c r="R967" s="635"/>
      <c r="S967" s="634"/>
      <c r="T967" s="634"/>
      <c r="U967" s="634"/>
      <c r="V967" s="634"/>
      <c r="W967" s="634"/>
      <c r="X967" s="634"/>
      <c r="Y967" s="634"/>
      <c r="Z967" s="634"/>
      <c r="AA967" s="634"/>
    </row>
    <row r="968" ht="15.75" customHeight="1">
      <c r="A968" s="634"/>
      <c r="B968" s="634"/>
      <c r="C968" s="634"/>
      <c r="D968" s="634"/>
      <c r="E968" s="634"/>
      <c r="F968" s="634"/>
      <c r="G968" s="634"/>
      <c r="H968" s="635"/>
      <c r="I968" s="634"/>
      <c r="J968" s="636"/>
      <c r="K968" s="635"/>
      <c r="L968" s="635"/>
      <c r="M968" s="635"/>
      <c r="N968" s="635"/>
      <c r="O968" s="635"/>
      <c r="P968" s="635"/>
      <c r="Q968" s="635"/>
      <c r="R968" s="635"/>
      <c r="S968" s="634"/>
      <c r="T968" s="634"/>
      <c r="U968" s="634"/>
      <c r="V968" s="634"/>
      <c r="W968" s="634"/>
      <c r="X968" s="634"/>
      <c r="Y968" s="634"/>
      <c r="Z968" s="634"/>
      <c r="AA968" s="634"/>
    </row>
    <row r="969" ht="15.75" customHeight="1">
      <c r="A969" s="634"/>
      <c r="B969" s="634"/>
      <c r="C969" s="634"/>
      <c r="D969" s="634"/>
      <c r="E969" s="634"/>
      <c r="F969" s="634"/>
      <c r="G969" s="634"/>
      <c r="H969" s="635"/>
      <c r="I969" s="634"/>
      <c r="J969" s="636"/>
      <c r="K969" s="635"/>
      <c r="L969" s="635"/>
      <c r="M969" s="635"/>
      <c r="N969" s="635"/>
      <c r="O969" s="635"/>
      <c r="P969" s="635"/>
      <c r="Q969" s="635"/>
      <c r="R969" s="635"/>
      <c r="S969" s="634"/>
      <c r="T969" s="634"/>
      <c r="U969" s="634"/>
      <c r="V969" s="634"/>
      <c r="W969" s="634"/>
      <c r="X969" s="634"/>
      <c r="Y969" s="634"/>
      <c r="Z969" s="634"/>
      <c r="AA969" s="634"/>
    </row>
    <row r="970" ht="15.75" customHeight="1">
      <c r="A970" s="634"/>
      <c r="B970" s="634"/>
      <c r="C970" s="634"/>
      <c r="D970" s="634"/>
      <c r="E970" s="634"/>
      <c r="F970" s="634"/>
      <c r="G970" s="634"/>
      <c r="H970" s="635"/>
      <c r="I970" s="634"/>
      <c r="J970" s="636"/>
      <c r="K970" s="635"/>
      <c r="L970" s="635"/>
      <c r="M970" s="635"/>
      <c r="N970" s="635"/>
      <c r="O970" s="635"/>
      <c r="P970" s="635"/>
      <c r="Q970" s="635"/>
      <c r="R970" s="635"/>
      <c r="S970" s="634"/>
      <c r="T970" s="634"/>
      <c r="U970" s="634"/>
      <c r="V970" s="634"/>
      <c r="W970" s="634"/>
      <c r="X970" s="634"/>
      <c r="Y970" s="634"/>
      <c r="Z970" s="634"/>
      <c r="AA970" s="634"/>
    </row>
    <row r="971" ht="15.75" customHeight="1">
      <c r="A971" s="634"/>
      <c r="B971" s="634"/>
      <c r="C971" s="634"/>
      <c r="D971" s="634"/>
      <c r="E971" s="634"/>
      <c r="F971" s="634"/>
      <c r="G971" s="634"/>
      <c r="H971" s="635"/>
      <c r="I971" s="634"/>
      <c r="J971" s="636"/>
      <c r="K971" s="635"/>
      <c r="L971" s="635"/>
      <c r="M971" s="635"/>
      <c r="N971" s="635"/>
      <c r="O971" s="635"/>
      <c r="P971" s="635"/>
      <c r="Q971" s="635"/>
      <c r="R971" s="635"/>
      <c r="S971" s="634"/>
      <c r="T971" s="634"/>
      <c r="U971" s="634"/>
      <c r="V971" s="634"/>
      <c r="W971" s="634"/>
      <c r="X971" s="634"/>
      <c r="Y971" s="634"/>
      <c r="Z971" s="634"/>
      <c r="AA971" s="634"/>
    </row>
    <row r="972" ht="15.75" customHeight="1">
      <c r="A972" s="634"/>
      <c r="B972" s="634"/>
      <c r="C972" s="634"/>
      <c r="D972" s="634"/>
      <c r="E972" s="634"/>
      <c r="F972" s="634"/>
      <c r="G972" s="634"/>
      <c r="H972" s="635"/>
      <c r="I972" s="634"/>
      <c r="J972" s="636"/>
      <c r="K972" s="635"/>
      <c r="L972" s="635"/>
      <c r="M972" s="635"/>
      <c r="N972" s="635"/>
      <c r="O972" s="635"/>
      <c r="P972" s="635"/>
      <c r="Q972" s="635"/>
      <c r="R972" s="635"/>
      <c r="S972" s="634"/>
      <c r="T972" s="634"/>
      <c r="U972" s="634"/>
      <c r="V972" s="634"/>
      <c r="W972" s="634"/>
      <c r="X972" s="634"/>
      <c r="Y972" s="634"/>
      <c r="Z972" s="634"/>
      <c r="AA972" s="634"/>
    </row>
    <row r="973" ht="15.75" customHeight="1">
      <c r="A973" s="634"/>
      <c r="B973" s="634"/>
      <c r="C973" s="634"/>
      <c r="D973" s="634"/>
      <c r="E973" s="634"/>
      <c r="F973" s="634"/>
      <c r="G973" s="634"/>
      <c r="H973" s="635"/>
      <c r="I973" s="634"/>
      <c r="J973" s="636"/>
      <c r="K973" s="635"/>
      <c r="L973" s="635"/>
      <c r="M973" s="635"/>
      <c r="N973" s="635"/>
      <c r="O973" s="635"/>
      <c r="P973" s="635"/>
      <c r="Q973" s="635"/>
      <c r="R973" s="635"/>
      <c r="S973" s="634"/>
      <c r="T973" s="634"/>
      <c r="U973" s="634"/>
      <c r="V973" s="634"/>
      <c r="W973" s="634"/>
      <c r="X973" s="634"/>
      <c r="Y973" s="634"/>
      <c r="Z973" s="634"/>
      <c r="AA973" s="634"/>
    </row>
    <row r="974" ht="15.75" customHeight="1">
      <c r="A974" s="634"/>
      <c r="B974" s="634"/>
      <c r="C974" s="634"/>
      <c r="D974" s="634"/>
      <c r="E974" s="634"/>
      <c r="F974" s="634"/>
      <c r="G974" s="634"/>
      <c r="H974" s="635"/>
      <c r="I974" s="634"/>
      <c r="J974" s="636"/>
      <c r="K974" s="635"/>
      <c r="L974" s="635"/>
      <c r="M974" s="635"/>
      <c r="N974" s="635"/>
      <c r="O974" s="635"/>
      <c r="P974" s="635"/>
      <c r="Q974" s="635"/>
      <c r="R974" s="635"/>
      <c r="S974" s="634"/>
      <c r="T974" s="634"/>
      <c r="U974" s="634"/>
      <c r="V974" s="634"/>
      <c r="W974" s="634"/>
      <c r="X974" s="634"/>
      <c r="Y974" s="634"/>
      <c r="Z974" s="634"/>
      <c r="AA974" s="634"/>
    </row>
    <row r="975" ht="15.75" customHeight="1">
      <c r="A975" s="634"/>
      <c r="B975" s="634"/>
      <c r="C975" s="634"/>
      <c r="D975" s="634"/>
      <c r="E975" s="634"/>
      <c r="F975" s="634"/>
      <c r="G975" s="634"/>
      <c r="H975" s="635"/>
      <c r="I975" s="634"/>
      <c r="J975" s="636"/>
      <c r="K975" s="635"/>
      <c r="L975" s="635"/>
      <c r="M975" s="635"/>
      <c r="N975" s="635"/>
      <c r="O975" s="635"/>
      <c r="P975" s="635"/>
      <c r="Q975" s="635"/>
      <c r="R975" s="635"/>
      <c r="S975" s="634"/>
      <c r="T975" s="634"/>
      <c r="U975" s="634"/>
      <c r="V975" s="634"/>
      <c r="W975" s="634"/>
      <c r="X975" s="634"/>
      <c r="Y975" s="634"/>
      <c r="Z975" s="634"/>
      <c r="AA975" s="634"/>
    </row>
    <row r="976" ht="15.75" customHeight="1">
      <c r="A976" s="634"/>
      <c r="B976" s="634"/>
      <c r="C976" s="634"/>
      <c r="D976" s="634"/>
      <c r="E976" s="634"/>
      <c r="F976" s="634"/>
      <c r="G976" s="634"/>
      <c r="H976" s="635"/>
      <c r="I976" s="634"/>
      <c r="J976" s="636"/>
      <c r="K976" s="635"/>
      <c r="L976" s="635"/>
      <c r="M976" s="635"/>
      <c r="N976" s="635"/>
      <c r="O976" s="635"/>
      <c r="P976" s="635"/>
      <c r="Q976" s="635"/>
      <c r="R976" s="635"/>
      <c r="S976" s="634"/>
      <c r="T976" s="634"/>
      <c r="U976" s="634"/>
      <c r="V976" s="634"/>
      <c r="W976" s="634"/>
      <c r="X976" s="634"/>
      <c r="Y976" s="634"/>
      <c r="Z976" s="634"/>
      <c r="AA976" s="634"/>
    </row>
    <row r="977" ht="15.75" customHeight="1">
      <c r="A977" s="634"/>
      <c r="B977" s="634"/>
      <c r="C977" s="634"/>
      <c r="D977" s="634"/>
      <c r="E977" s="634"/>
      <c r="F977" s="634"/>
      <c r="G977" s="634"/>
      <c r="H977" s="635"/>
      <c r="I977" s="634"/>
      <c r="J977" s="636"/>
      <c r="K977" s="635"/>
      <c r="L977" s="635"/>
      <c r="M977" s="635"/>
      <c r="N977" s="635"/>
      <c r="O977" s="635"/>
      <c r="P977" s="635"/>
      <c r="Q977" s="635"/>
      <c r="R977" s="635"/>
      <c r="S977" s="634"/>
      <c r="T977" s="634"/>
      <c r="U977" s="634"/>
      <c r="V977" s="634"/>
      <c r="W977" s="634"/>
      <c r="X977" s="634"/>
      <c r="Y977" s="634"/>
      <c r="Z977" s="634"/>
      <c r="AA977" s="634"/>
    </row>
    <row r="978" ht="15.75" customHeight="1">
      <c r="A978" s="634"/>
      <c r="B978" s="634"/>
      <c r="C978" s="634"/>
      <c r="D978" s="634"/>
      <c r="E978" s="634"/>
      <c r="F978" s="634"/>
      <c r="G978" s="634"/>
      <c r="H978" s="635"/>
      <c r="I978" s="634"/>
      <c r="J978" s="636"/>
      <c r="K978" s="635"/>
      <c r="L978" s="635"/>
      <c r="M978" s="635"/>
      <c r="N978" s="635"/>
      <c r="O978" s="635"/>
      <c r="P978" s="635"/>
      <c r="Q978" s="635"/>
      <c r="R978" s="635"/>
      <c r="S978" s="634"/>
      <c r="T978" s="634"/>
      <c r="U978" s="634"/>
      <c r="V978" s="634"/>
      <c r="W978" s="634"/>
      <c r="X978" s="634"/>
      <c r="Y978" s="634"/>
      <c r="Z978" s="634"/>
      <c r="AA978" s="634"/>
    </row>
    <row r="979" ht="15.75" customHeight="1">
      <c r="A979" s="634"/>
      <c r="B979" s="634"/>
      <c r="C979" s="634"/>
      <c r="D979" s="634"/>
      <c r="E979" s="634"/>
      <c r="F979" s="634"/>
      <c r="G979" s="634"/>
      <c r="H979" s="635"/>
      <c r="I979" s="634"/>
      <c r="J979" s="636"/>
      <c r="K979" s="635"/>
      <c r="L979" s="635"/>
      <c r="M979" s="635"/>
      <c r="N979" s="635"/>
      <c r="O979" s="635"/>
      <c r="P979" s="635"/>
      <c r="Q979" s="635"/>
      <c r="R979" s="635"/>
      <c r="S979" s="634"/>
      <c r="T979" s="634"/>
      <c r="U979" s="634"/>
      <c r="V979" s="634"/>
      <c r="W979" s="634"/>
      <c r="X979" s="634"/>
      <c r="Y979" s="634"/>
      <c r="Z979" s="634"/>
      <c r="AA979" s="634"/>
    </row>
    <row r="980" ht="15.75" customHeight="1">
      <c r="A980" s="634"/>
      <c r="B980" s="634"/>
      <c r="C980" s="634"/>
      <c r="D980" s="634"/>
      <c r="E980" s="634"/>
      <c r="F980" s="634"/>
      <c r="G980" s="634"/>
      <c r="H980" s="635"/>
      <c r="I980" s="634"/>
      <c r="J980" s="636"/>
      <c r="K980" s="635"/>
      <c r="L980" s="635"/>
      <c r="M980" s="635"/>
      <c r="N980" s="635"/>
      <c r="O980" s="635"/>
      <c r="P980" s="635"/>
      <c r="Q980" s="635"/>
      <c r="R980" s="635"/>
      <c r="S980" s="634"/>
      <c r="T980" s="634"/>
      <c r="U980" s="634"/>
      <c r="V980" s="634"/>
      <c r="W980" s="634"/>
      <c r="X980" s="634"/>
      <c r="Y980" s="634"/>
      <c r="Z980" s="634"/>
      <c r="AA980" s="634"/>
    </row>
    <row r="981" ht="15.75" customHeight="1">
      <c r="A981" s="634"/>
      <c r="B981" s="634"/>
      <c r="C981" s="634"/>
      <c r="D981" s="634"/>
      <c r="E981" s="634"/>
      <c r="F981" s="634"/>
      <c r="G981" s="634"/>
      <c r="H981" s="635"/>
      <c r="I981" s="634"/>
      <c r="J981" s="636"/>
      <c r="K981" s="635"/>
      <c r="L981" s="635"/>
      <c r="M981" s="635"/>
      <c r="N981" s="635"/>
      <c r="O981" s="635"/>
      <c r="P981" s="635"/>
      <c r="Q981" s="635"/>
      <c r="R981" s="635"/>
      <c r="S981" s="634"/>
      <c r="T981" s="634"/>
      <c r="U981" s="634"/>
      <c r="V981" s="634"/>
      <c r="W981" s="634"/>
      <c r="X981" s="634"/>
      <c r="Y981" s="634"/>
      <c r="Z981" s="634"/>
      <c r="AA981" s="634"/>
    </row>
    <row r="982" ht="15.75" customHeight="1">
      <c r="A982" s="634"/>
      <c r="B982" s="634"/>
      <c r="C982" s="634"/>
      <c r="D982" s="634"/>
      <c r="E982" s="634"/>
      <c r="F982" s="634"/>
      <c r="G982" s="634"/>
      <c r="H982" s="635"/>
      <c r="I982" s="634"/>
      <c r="J982" s="636"/>
      <c r="K982" s="635"/>
      <c r="L982" s="635"/>
      <c r="M982" s="635"/>
      <c r="N982" s="635"/>
      <c r="O982" s="635"/>
      <c r="P982" s="635"/>
      <c r="Q982" s="635"/>
      <c r="R982" s="635"/>
      <c r="S982" s="634"/>
      <c r="T982" s="634"/>
      <c r="U982" s="634"/>
      <c r="V982" s="634"/>
      <c r="W982" s="634"/>
      <c r="X982" s="634"/>
      <c r="Y982" s="634"/>
      <c r="Z982" s="634"/>
      <c r="AA982" s="634"/>
    </row>
    <row r="983" ht="15.75" customHeight="1">
      <c r="A983" s="634"/>
      <c r="B983" s="634"/>
      <c r="C983" s="634"/>
      <c r="D983" s="634"/>
      <c r="E983" s="634"/>
      <c r="F983" s="634"/>
      <c r="G983" s="634"/>
      <c r="H983" s="635"/>
      <c r="I983" s="634"/>
      <c r="J983" s="636"/>
      <c r="K983" s="635"/>
      <c r="L983" s="635"/>
      <c r="M983" s="635"/>
      <c r="N983" s="635"/>
      <c r="O983" s="635"/>
      <c r="P983" s="635"/>
      <c r="Q983" s="635"/>
      <c r="R983" s="635"/>
      <c r="S983" s="634"/>
      <c r="T983" s="634"/>
      <c r="U983" s="634"/>
      <c r="V983" s="634"/>
      <c r="W983" s="634"/>
      <c r="X983" s="634"/>
      <c r="Y983" s="634"/>
      <c r="Z983" s="634"/>
      <c r="AA983" s="634"/>
    </row>
    <row r="984" ht="15.75" customHeight="1">
      <c r="A984" s="634"/>
      <c r="B984" s="634"/>
      <c r="C984" s="634"/>
      <c r="D984" s="634"/>
      <c r="E984" s="634"/>
      <c r="F984" s="634"/>
      <c r="G984" s="634"/>
      <c r="H984" s="635"/>
      <c r="I984" s="634"/>
      <c r="J984" s="636"/>
      <c r="K984" s="635"/>
      <c r="L984" s="635"/>
      <c r="M984" s="635"/>
      <c r="N984" s="635"/>
      <c r="O984" s="635"/>
      <c r="P984" s="635"/>
      <c r="Q984" s="635"/>
      <c r="R984" s="635"/>
      <c r="S984" s="634"/>
      <c r="T984" s="634"/>
      <c r="U984" s="634"/>
      <c r="V984" s="634"/>
      <c r="W984" s="634"/>
      <c r="X984" s="634"/>
      <c r="Y984" s="634"/>
      <c r="Z984" s="634"/>
      <c r="AA984" s="634"/>
    </row>
    <row r="985" ht="15.75" customHeight="1">
      <c r="A985" s="634"/>
      <c r="B985" s="634"/>
      <c r="C985" s="634"/>
      <c r="D985" s="634"/>
      <c r="E985" s="634"/>
      <c r="F985" s="634"/>
      <c r="G985" s="634"/>
      <c r="H985" s="635"/>
      <c r="I985" s="634"/>
      <c r="J985" s="636"/>
      <c r="K985" s="635"/>
      <c r="L985" s="635"/>
      <c r="M985" s="635"/>
      <c r="N985" s="635"/>
      <c r="O985" s="635"/>
      <c r="P985" s="635"/>
      <c r="Q985" s="635"/>
      <c r="R985" s="635"/>
      <c r="S985" s="634"/>
      <c r="T985" s="634"/>
      <c r="U985" s="634"/>
      <c r="V985" s="634"/>
      <c r="W985" s="634"/>
      <c r="X985" s="634"/>
      <c r="Y985" s="634"/>
      <c r="Z985" s="634"/>
      <c r="AA985" s="634"/>
    </row>
    <row r="986" ht="15.75" customHeight="1">
      <c r="A986" s="634"/>
      <c r="B986" s="634"/>
      <c r="C986" s="634"/>
      <c r="D986" s="634"/>
      <c r="E986" s="634"/>
      <c r="F986" s="634"/>
      <c r="G986" s="634"/>
      <c r="H986" s="635"/>
      <c r="I986" s="634"/>
      <c r="J986" s="636"/>
      <c r="K986" s="635"/>
      <c r="L986" s="635"/>
      <c r="M986" s="635"/>
      <c r="N986" s="635"/>
      <c r="O986" s="635"/>
      <c r="P986" s="635"/>
      <c r="Q986" s="635"/>
      <c r="R986" s="635"/>
      <c r="S986" s="634"/>
      <c r="T986" s="634"/>
      <c r="U986" s="634"/>
      <c r="V986" s="634"/>
      <c r="W986" s="634"/>
      <c r="X986" s="634"/>
      <c r="Y986" s="634"/>
      <c r="Z986" s="634"/>
      <c r="AA986" s="634"/>
    </row>
    <row r="987" ht="15.75" customHeight="1">
      <c r="A987" s="634"/>
      <c r="B987" s="634"/>
      <c r="C987" s="634"/>
      <c r="D987" s="634"/>
      <c r="E987" s="634"/>
      <c r="F987" s="634"/>
      <c r="G987" s="634"/>
      <c r="H987" s="635"/>
      <c r="I987" s="634"/>
      <c r="J987" s="636"/>
      <c r="K987" s="635"/>
      <c r="L987" s="635"/>
      <c r="M987" s="635"/>
      <c r="N987" s="635"/>
      <c r="O987" s="635"/>
      <c r="P987" s="635"/>
      <c r="Q987" s="635"/>
      <c r="R987" s="635"/>
      <c r="S987" s="634"/>
      <c r="T987" s="634"/>
      <c r="U987" s="634"/>
      <c r="V987" s="634"/>
      <c r="W987" s="634"/>
      <c r="X987" s="634"/>
      <c r="Y987" s="634"/>
      <c r="Z987" s="634"/>
      <c r="AA987" s="634"/>
    </row>
    <row r="988" ht="15.75" customHeight="1">
      <c r="A988" s="634"/>
      <c r="B988" s="634"/>
      <c r="C988" s="634"/>
      <c r="D988" s="634"/>
      <c r="E988" s="634"/>
      <c r="F988" s="634"/>
      <c r="G988" s="634"/>
      <c r="H988" s="635"/>
      <c r="I988" s="634"/>
      <c r="J988" s="636"/>
      <c r="K988" s="635"/>
      <c r="L988" s="635"/>
      <c r="M988" s="635"/>
      <c r="N988" s="635"/>
      <c r="O988" s="635"/>
      <c r="P988" s="635"/>
      <c r="Q988" s="635"/>
      <c r="R988" s="635"/>
      <c r="S988" s="634"/>
      <c r="T988" s="634"/>
      <c r="U988" s="634"/>
      <c r="V988" s="634"/>
      <c r="W988" s="634"/>
      <c r="X988" s="634"/>
      <c r="Y988" s="634"/>
      <c r="Z988" s="634"/>
      <c r="AA988" s="634"/>
    </row>
    <row r="989" ht="15.75" customHeight="1">
      <c r="A989" s="634"/>
      <c r="B989" s="634"/>
      <c r="C989" s="634"/>
      <c r="D989" s="634"/>
      <c r="E989" s="634"/>
      <c r="F989" s="634"/>
      <c r="G989" s="634"/>
      <c r="H989" s="635"/>
      <c r="I989" s="634"/>
      <c r="J989" s="636"/>
      <c r="K989" s="635"/>
      <c r="L989" s="635"/>
      <c r="M989" s="635"/>
      <c r="N989" s="635"/>
      <c r="O989" s="635"/>
      <c r="P989" s="635"/>
      <c r="Q989" s="635"/>
      <c r="R989" s="635"/>
      <c r="S989" s="634"/>
      <c r="T989" s="634"/>
      <c r="U989" s="634"/>
      <c r="V989" s="634"/>
      <c r="W989" s="634"/>
      <c r="X989" s="634"/>
      <c r="Y989" s="634"/>
      <c r="Z989" s="634"/>
      <c r="AA989" s="634"/>
    </row>
    <row r="990" ht="15.75" customHeight="1">
      <c r="A990" s="634"/>
      <c r="B990" s="634"/>
      <c r="C990" s="634"/>
      <c r="D990" s="634"/>
      <c r="E990" s="634"/>
      <c r="F990" s="634"/>
      <c r="G990" s="634"/>
      <c r="H990" s="635"/>
      <c r="I990" s="634"/>
      <c r="J990" s="636"/>
      <c r="K990" s="635"/>
      <c r="L990" s="635"/>
      <c r="M990" s="635"/>
      <c r="N990" s="635"/>
      <c r="O990" s="635"/>
      <c r="P990" s="635"/>
      <c r="Q990" s="635"/>
      <c r="R990" s="635"/>
      <c r="S990" s="634"/>
      <c r="T990" s="634"/>
      <c r="U990" s="634"/>
      <c r="V990" s="634"/>
      <c r="W990" s="634"/>
      <c r="X990" s="634"/>
      <c r="Y990" s="634"/>
      <c r="Z990" s="634"/>
      <c r="AA990" s="634"/>
    </row>
    <row r="991" ht="15.75" customHeight="1">
      <c r="A991" s="634"/>
      <c r="B991" s="634"/>
      <c r="C991" s="634"/>
      <c r="D991" s="634"/>
      <c r="E991" s="634"/>
      <c r="F991" s="634"/>
      <c r="G991" s="634"/>
      <c r="H991" s="635"/>
      <c r="I991" s="634"/>
      <c r="J991" s="636"/>
      <c r="K991" s="635"/>
      <c r="L991" s="635"/>
      <c r="M991" s="635"/>
      <c r="N991" s="635"/>
      <c r="O991" s="635"/>
      <c r="P991" s="635"/>
      <c r="Q991" s="635"/>
      <c r="R991" s="635"/>
      <c r="S991" s="634"/>
      <c r="T991" s="634"/>
      <c r="U991" s="634"/>
      <c r="V991" s="634"/>
      <c r="W991" s="634"/>
      <c r="X991" s="634"/>
      <c r="Y991" s="634"/>
      <c r="Z991" s="634"/>
      <c r="AA991" s="634"/>
    </row>
    <row r="992" ht="15.75" customHeight="1">
      <c r="A992" s="634"/>
      <c r="B992" s="634"/>
      <c r="C992" s="634"/>
      <c r="D992" s="634"/>
      <c r="E992" s="634"/>
      <c r="F992" s="634"/>
      <c r="G992" s="634"/>
      <c r="H992" s="635"/>
      <c r="I992" s="634"/>
      <c r="J992" s="636"/>
      <c r="K992" s="635"/>
      <c r="L992" s="635"/>
      <c r="M992" s="635"/>
      <c r="N992" s="635"/>
      <c r="O992" s="635"/>
      <c r="P992" s="635"/>
      <c r="Q992" s="635"/>
      <c r="R992" s="635"/>
      <c r="S992" s="634"/>
      <c r="T992" s="634"/>
      <c r="U992" s="634"/>
      <c r="V992" s="634"/>
      <c r="W992" s="634"/>
      <c r="X992" s="634"/>
      <c r="Y992" s="634"/>
      <c r="Z992" s="634"/>
      <c r="AA992" s="634"/>
    </row>
    <row r="993" ht="15.75" customHeight="1">
      <c r="A993" s="634"/>
      <c r="B993" s="634"/>
      <c r="C993" s="634"/>
      <c r="D993" s="634"/>
      <c r="E993" s="634"/>
      <c r="F993" s="634"/>
      <c r="G993" s="634"/>
      <c r="H993" s="635"/>
      <c r="I993" s="634"/>
      <c r="J993" s="636"/>
      <c r="K993" s="635"/>
      <c r="L993" s="635"/>
      <c r="M993" s="635"/>
      <c r="N993" s="635"/>
      <c r="O993" s="635"/>
      <c r="P993" s="635"/>
      <c r="Q993" s="635"/>
      <c r="R993" s="635"/>
      <c r="S993" s="634"/>
      <c r="T993" s="634"/>
      <c r="U993" s="634"/>
      <c r="V993" s="634"/>
      <c r="W993" s="634"/>
      <c r="X993" s="634"/>
      <c r="Y993" s="634"/>
      <c r="Z993" s="634"/>
      <c r="AA993" s="634"/>
    </row>
    <row r="994" ht="15.75" customHeight="1">
      <c r="A994" s="634"/>
      <c r="B994" s="634"/>
      <c r="C994" s="634"/>
      <c r="D994" s="634"/>
      <c r="E994" s="634"/>
      <c r="F994" s="634"/>
      <c r="G994" s="634"/>
      <c r="H994" s="635"/>
      <c r="I994" s="634"/>
      <c r="J994" s="636"/>
      <c r="K994" s="635"/>
      <c r="L994" s="635"/>
      <c r="M994" s="635"/>
      <c r="N994" s="635"/>
      <c r="O994" s="635"/>
      <c r="P994" s="635"/>
      <c r="Q994" s="635"/>
      <c r="R994" s="635"/>
      <c r="S994" s="634"/>
      <c r="T994" s="634"/>
      <c r="U994" s="634"/>
      <c r="V994" s="634"/>
      <c r="W994" s="634"/>
      <c r="X994" s="634"/>
      <c r="Y994" s="634"/>
      <c r="Z994" s="634"/>
      <c r="AA994" s="634"/>
    </row>
    <row r="995" ht="15.75" customHeight="1">
      <c r="A995" s="634"/>
      <c r="B995" s="634"/>
      <c r="C995" s="634"/>
      <c r="D995" s="634"/>
      <c r="E995" s="634"/>
      <c r="F995" s="634"/>
      <c r="G995" s="634"/>
      <c r="H995" s="635"/>
      <c r="I995" s="634"/>
      <c r="J995" s="636"/>
      <c r="K995" s="635"/>
      <c r="L995" s="635"/>
      <c r="M995" s="635"/>
      <c r="N995" s="635"/>
      <c r="O995" s="635"/>
      <c r="P995" s="635"/>
      <c r="Q995" s="635"/>
      <c r="R995" s="635"/>
      <c r="S995" s="634"/>
      <c r="T995" s="634"/>
      <c r="U995" s="634"/>
      <c r="V995" s="634"/>
      <c r="W995" s="634"/>
      <c r="X995" s="634"/>
      <c r="Y995" s="634"/>
      <c r="Z995" s="634"/>
      <c r="AA995" s="634"/>
    </row>
    <row r="996" ht="15.75" customHeight="1">
      <c r="A996" s="634"/>
      <c r="B996" s="634"/>
      <c r="C996" s="634"/>
      <c r="D996" s="634"/>
      <c r="E996" s="634"/>
      <c r="F996" s="634"/>
      <c r="G996" s="634"/>
      <c r="H996" s="635"/>
      <c r="I996" s="634"/>
      <c r="J996" s="636"/>
      <c r="K996" s="635"/>
      <c r="L996" s="635"/>
      <c r="M996" s="635"/>
      <c r="N996" s="635"/>
      <c r="O996" s="635"/>
      <c r="P996" s="635"/>
      <c r="Q996" s="635"/>
      <c r="R996" s="635"/>
      <c r="S996" s="634"/>
      <c r="T996" s="634"/>
      <c r="U996" s="634"/>
      <c r="V996" s="634"/>
      <c r="W996" s="634"/>
      <c r="X996" s="634"/>
      <c r="Y996" s="634"/>
      <c r="Z996" s="634"/>
      <c r="AA996" s="634"/>
    </row>
    <row r="997" ht="15.75" customHeight="1">
      <c r="A997" s="634"/>
      <c r="B997" s="634"/>
      <c r="C997" s="634"/>
      <c r="D997" s="634"/>
      <c r="E997" s="634"/>
      <c r="F997" s="634"/>
      <c r="G997" s="634"/>
      <c r="H997" s="635"/>
      <c r="I997" s="634"/>
      <c r="J997" s="636"/>
      <c r="K997" s="635"/>
      <c r="L997" s="635"/>
      <c r="M997" s="635"/>
      <c r="N997" s="635"/>
      <c r="O997" s="635"/>
      <c r="P997" s="635"/>
      <c r="Q997" s="635"/>
      <c r="R997" s="635"/>
      <c r="S997" s="634"/>
      <c r="T997" s="634"/>
      <c r="U997" s="634"/>
      <c r="V997" s="634"/>
      <c r="W997" s="634"/>
      <c r="X997" s="634"/>
      <c r="Y997" s="634"/>
      <c r="Z997" s="634"/>
      <c r="AA997" s="634"/>
    </row>
    <row r="998" ht="15.75" customHeight="1">
      <c r="A998" s="634"/>
      <c r="B998" s="634"/>
      <c r="C998" s="634"/>
      <c r="D998" s="634"/>
      <c r="E998" s="634"/>
      <c r="F998" s="634"/>
      <c r="G998" s="634"/>
      <c r="H998" s="635"/>
      <c r="I998" s="634"/>
      <c r="J998" s="636"/>
      <c r="K998" s="635"/>
      <c r="L998" s="635"/>
      <c r="M998" s="635"/>
      <c r="N998" s="635"/>
      <c r="O998" s="635"/>
      <c r="P998" s="635"/>
      <c r="Q998" s="635"/>
      <c r="R998" s="635"/>
      <c r="S998" s="634"/>
      <c r="T998" s="634"/>
      <c r="U998" s="634"/>
      <c r="V998" s="634"/>
      <c r="W998" s="634"/>
      <c r="X998" s="634"/>
      <c r="Y998" s="634"/>
      <c r="Z998" s="634"/>
      <c r="AA998" s="634"/>
    </row>
    <row r="999" ht="15.75" customHeight="1">
      <c r="A999" s="634"/>
      <c r="B999" s="634"/>
      <c r="C999" s="634"/>
      <c r="D999" s="634"/>
      <c r="E999" s="634"/>
      <c r="F999" s="634"/>
      <c r="G999" s="634"/>
      <c r="H999" s="635"/>
      <c r="I999" s="634"/>
      <c r="J999" s="636"/>
      <c r="K999" s="635"/>
      <c r="L999" s="635"/>
      <c r="M999" s="635"/>
      <c r="N999" s="635"/>
      <c r="O999" s="635"/>
      <c r="P999" s="635"/>
      <c r="Q999" s="635"/>
      <c r="R999" s="635"/>
      <c r="S999" s="634"/>
      <c r="T999" s="634"/>
      <c r="U999" s="634"/>
      <c r="V999" s="634"/>
      <c r="W999" s="634"/>
      <c r="X999" s="634"/>
      <c r="Y999" s="634"/>
      <c r="Z999" s="634"/>
      <c r="AA999" s="634"/>
    </row>
    <row r="1000" ht="15.75" customHeight="1">
      <c r="A1000" s="634"/>
      <c r="B1000" s="634"/>
      <c r="C1000" s="634"/>
      <c r="D1000" s="634"/>
      <c r="E1000" s="634"/>
      <c r="F1000" s="634"/>
      <c r="G1000" s="634"/>
      <c r="H1000" s="635"/>
      <c r="I1000" s="634"/>
      <c r="J1000" s="636"/>
      <c r="K1000" s="635"/>
      <c r="L1000" s="635"/>
      <c r="M1000" s="635"/>
      <c r="N1000" s="635"/>
      <c r="O1000" s="635"/>
      <c r="P1000" s="635"/>
      <c r="Q1000" s="635"/>
      <c r="R1000" s="635"/>
      <c r="S1000" s="634"/>
      <c r="T1000" s="634"/>
      <c r="U1000" s="634"/>
      <c r="V1000" s="634"/>
      <c r="W1000" s="634"/>
      <c r="X1000" s="634"/>
      <c r="Y1000" s="634"/>
      <c r="Z1000" s="634"/>
      <c r="AA1000" s="634"/>
    </row>
  </sheetData>
  <hyperlinks>
    <hyperlink display="zurück zum Start" location="null!A1" ref="H2"/>
  </hyperlinks>
  <printOptions/>
  <pageMargins bottom="0.984251968503937" footer="0.0" header="0.0" left="0.7874015748031497" right="0.7874015748031497" top="0.984251968503937"/>
  <pageSetup paperSize="9" orientation="portrait"/>
  <headerFooter>
    <oddHeader>&amp;CPrimärenergiefaktoren von Energiesystemen</oddHeader>
    <oddFooter>&amp;C© ESU-services 2008</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cols>
    <col customWidth="1" min="1" max="1" width="11.43"/>
    <col customWidth="1" min="2" max="2" width="5.71"/>
    <col customWidth="1" min="3" max="3" width="14.14"/>
    <col customWidth="1" min="4" max="4" width="20.43"/>
    <col customWidth="1" min="5" max="5" width="28.57"/>
    <col customWidth="1" hidden="1" min="6" max="6" width="65.71" outlineLevel="1"/>
    <col collapsed="1" customWidth="1" min="7" max="7" width="7.71"/>
    <col customWidth="1" min="8" max="23" width="7.71"/>
    <col customWidth="1" min="24" max="25" width="11.43"/>
    <col customWidth="1" min="26" max="26" width="10.71"/>
  </cols>
  <sheetData>
    <row r="1">
      <c r="A1" s="634"/>
      <c r="B1" s="634"/>
      <c r="C1" s="634"/>
      <c r="D1" s="634"/>
      <c r="E1" s="635"/>
      <c r="F1" s="634"/>
      <c r="G1" s="636"/>
      <c r="H1" s="637" t="s">
        <v>2009</v>
      </c>
      <c r="I1" s="635"/>
      <c r="J1" s="635"/>
      <c r="K1" s="635" t="s">
        <v>2010</v>
      </c>
      <c r="L1" s="635"/>
      <c r="M1" s="637" t="s">
        <v>2376</v>
      </c>
      <c r="N1" s="637" t="s">
        <v>2012</v>
      </c>
      <c r="O1" s="637"/>
      <c r="P1" s="637" t="s">
        <v>420</v>
      </c>
      <c r="Q1" s="637"/>
      <c r="R1" s="637" t="s">
        <v>2011</v>
      </c>
      <c r="S1" s="476"/>
      <c r="T1" s="400"/>
      <c r="U1" s="634"/>
      <c r="V1" s="634"/>
      <c r="W1" s="634"/>
      <c r="X1" s="634"/>
      <c r="Y1" s="634"/>
      <c r="Z1" s="634"/>
    </row>
    <row r="2">
      <c r="A2" s="638"/>
      <c r="B2" s="638"/>
      <c r="C2" s="639" t="s">
        <v>5224</v>
      </c>
      <c r="D2" s="638"/>
      <c r="E2" s="640"/>
      <c r="F2" s="638"/>
      <c r="G2" s="641"/>
      <c r="H2" s="642"/>
      <c r="I2" s="642"/>
      <c r="J2" s="642"/>
      <c r="K2" s="642"/>
      <c r="L2" s="642"/>
      <c r="M2" s="642"/>
      <c r="N2" s="642"/>
      <c r="O2" s="642"/>
      <c r="P2" s="642"/>
      <c r="Q2" s="638"/>
      <c r="R2" s="638"/>
      <c r="S2" s="642"/>
      <c r="T2" s="642"/>
      <c r="U2" s="638"/>
      <c r="V2" s="638"/>
      <c r="W2" s="638"/>
      <c r="X2" s="638"/>
      <c r="Y2" s="638"/>
      <c r="Z2" s="638"/>
    </row>
    <row r="3">
      <c r="A3" s="643"/>
      <c r="B3" s="643"/>
      <c r="C3" s="644" t="s">
        <v>5225</v>
      </c>
      <c r="D3" s="643"/>
      <c r="E3" s="645"/>
      <c r="F3" s="643"/>
      <c r="G3" s="646"/>
      <c r="H3" s="645"/>
      <c r="I3" s="645"/>
      <c r="J3" s="645"/>
      <c r="K3" s="645"/>
      <c r="L3" s="645"/>
      <c r="M3" s="645"/>
      <c r="N3" s="645"/>
      <c r="O3" s="645"/>
      <c r="P3" s="645"/>
      <c r="Q3" s="634"/>
      <c r="R3" s="634"/>
      <c r="S3" s="635"/>
      <c r="T3" s="635"/>
      <c r="U3" s="634"/>
      <c r="V3" s="634"/>
      <c r="W3" s="634"/>
      <c r="X3" s="634"/>
      <c r="Y3" s="634"/>
      <c r="Z3" s="634"/>
    </row>
    <row r="4" ht="115.5" customHeight="1">
      <c r="A4" s="652" t="s">
        <v>5021</v>
      </c>
      <c r="B4" s="652"/>
      <c r="C4" s="653"/>
      <c r="D4" s="653" t="s">
        <v>5226</v>
      </c>
      <c r="E4" s="653" t="s">
        <v>5024</v>
      </c>
      <c r="F4" s="655" t="s">
        <v>5025</v>
      </c>
      <c r="G4" s="656" t="s">
        <v>5026</v>
      </c>
      <c r="H4" s="657" t="s">
        <v>5027</v>
      </c>
      <c r="I4" s="657" t="s">
        <v>5028</v>
      </c>
      <c r="J4" s="657" t="s">
        <v>5029</v>
      </c>
      <c r="K4" s="657" t="s">
        <v>5030</v>
      </c>
      <c r="L4" s="657" t="s">
        <v>5031</v>
      </c>
      <c r="M4" s="657" t="s">
        <v>5227</v>
      </c>
      <c r="N4" s="657" t="s">
        <v>5032</v>
      </c>
      <c r="O4" s="657" t="s">
        <v>5033</v>
      </c>
      <c r="P4" s="657" t="s">
        <v>5034</v>
      </c>
      <c r="Q4" s="635"/>
      <c r="R4" s="658" t="s">
        <v>5035</v>
      </c>
      <c r="S4" s="635"/>
      <c r="T4" s="635"/>
      <c r="U4" s="634"/>
      <c r="V4" s="634"/>
      <c r="W4" s="634"/>
      <c r="X4" s="634"/>
      <c r="Y4" s="634"/>
      <c r="Z4" s="690"/>
    </row>
    <row r="5">
      <c r="A5" s="643" t="s">
        <v>2272</v>
      </c>
      <c r="B5" s="643"/>
      <c r="C5" s="659" t="s">
        <v>5228</v>
      </c>
      <c r="D5" s="677" t="s">
        <v>5229</v>
      </c>
      <c r="E5" s="660" t="s">
        <v>5230</v>
      </c>
      <c r="F5" s="660" t="s">
        <v>5231</v>
      </c>
      <c r="G5" s="691" t="s">
        <v>5005</v>
      </c>
      <c r="H5" s="692">
        <v>1.3107511</v>
      </c>
      <c r="I5" s="693">
        <v>1.2785878</v>
      </c>
      <c r="J5" s="693">
        <v>0.025569692</v>
      </c>
      <c r="K5" s="693">
        <v>0.00659192311</v>
      </c>
      <c r="L5" s="693">
        <v>0.0</v>
      </c>
      <c r="M5" s="693">
        <v>0.0</v>
      </c>
      <c r="N5" s="694">
        <v>0.089573719</v>
      </c>
      <c r="O5" s="694">
        <v>0.086302888</v>
      </c>
      <c r="P5" s="695">
        <v>69.794998</v>
      </c>
      <c r="Q5" s="635"/>
      <c r="R5" s="696">
        <f t="shared" ref="R5:R21" si="1">I5+J5</f>
        <v>1.304157492</v>
      </c>
      <c r="S5" s="635"/>
      <c r="T5" s="635"/>
      <c r="U5" s="634"/>
      <c r="V5" s="634"/>
      <c r="W5" s="634"/>
      <c r="X5" s="634"/>
      <c r="Y5" s="634"/>
      <c r="Z5" s="634"/>
    </row>
    <row r="6">
      <c r="A6" s="643" t="s">
        <v>2274</v>
      </c>
      <c r="B6" s="643"/>
      <c r="C6" s="665"/>
      <c r="D6" s="678"/>
      <c r="E6" s="666" t="s">
        <v>5232</v>
      </c>
      <c r="F6" s="666" t="s">
        <v>5233</v>
      </c>
      <c r="G6" s="697" t="s">
        <v>5005</v>
      </c>
      <c r="H6" s="698">
        <v>1.1659709</v>
      </c>
      <c r="I6" s="699">
        <v>1.1466556</v>
      </c>
      <c r="J6" s="699">
        <v>0.014037594</v>
      </c>
      <c r="K6" s="699">
        <v>0.00527616866</v>
      </c>
      <c r="L6" s="699">
        <v>0.0</v>
      </c>
      <c r="M6" s="699">
        <v>0.0</v>
      </c>
      <c r="N6" s="700">
        <v>0.069082757</v>
      </c>
      <c r="O6" s="700">
        <v>0.062733928</v>
      </c>
      <c r="P6" s="701">
        <v>41.98016</v>
      </c>
      <c r="Q6" s="635"/>
      <c r="R6" s="702">
        <f t="shared" si="1"/>
        <v>1.160693194</v>
      </c>
      <c r="S6" s="635"/>
      <c r="T6" s="635"/>
      <c r="U6" s="634"/>
      <c r="V6" s="634"/>
      <c r="W6" s="634"/>
      <c r="X6" s="634"/>
      <c r="Y6" s="634"/>
      <c r="Z6" s="634"/>
    </row>
    <row r="7">
      <c r="A7" s="643" t="s">
        <v>2276</v>
      </c>
      <c r="B7" s="643"/>
      <c r="C7" s="665"/>
      <c r="D7" s="678"/>
      <c r="E7" s="666" t="s">
        <v>5234</v>
      </c>
      <c r="F7" s="666" t="s">
        <v>5235</v>
      </c>
      <c r="G7" s="697" t="s">
        <v>5005</v>
      </c>
      <c r="H7" s="698">
        <v>1.2645449</v>
      </c>
      <c r="I7" s="699">
        <v>1.2206193</v>
      </c>
      <c r="J7" s="699">
        <v>0.034393299</v>
      </c>
      <c r="K7" s="699">
        <v>0.0095309497</v>
      </c>
      <c r="L7" s="699">
        <v>0.0</v>
      </c>
      <c r="M7" s="699">
        <v>0.0</v>
      </c>
      <c r="N7" s="700">
        <v>0.082351064</v>
      </c>
      <c r="O7" s="700">
        <v>0.078669703</v>
      </c>
      <c r="P7" s="701">
        <v>60.719854</v>
      </c>
      <c r="Q7" s="635"/>
      <c r="R7" s="702">
        <f t="shared" si="1"/>
        <v>1.255012599</v>
      </c>
      <c r="S7" s="635"/>
      <c r="T7" s="635"/>
      <c r="U7" s="634"/>
      <c r="V7" s="634"/>
      <c r="W7" s="634"/>
      <c r="X7" s="634"/>
      <c r="Y7" s="634"/>
      <c r="Z7" s="634"/>
    </row>
    <row r="8">
      <c r="A8" s="643" t="s">
        <v>2278</v>
      </c>
      <c r="B8" s="643"/>
      <c r="C8" s="665"/>
      <c r="D8" s="678"/>
      <c r="E8" s="666" t="s">
        <v>5236</v>
      </c>
      <c r="F8" s="666" t="s">
        <v>5237</v>
      </c>
      <c r="G8" s="697" t="s">
        <v>5005</v>
      </c>
      <c r="H8" s="698">
        <v>2.0451505</v>
      </c>
      <c r="I8" s="699">
        <v>1.9881668</v>
      </c>
      <c r="J8" s="699">
        <v>0.037185199</v>
      </c>
      <c r="K8" s="699">
        <v>0.019798066500000003</v>
      </c>
      <c r="L8" s="699">
        <v>0.0</v>
      </c>
      <c r="M8" s="699">
        <v>0.0</v>
      </c>
      <c r="N8" s="700">
        <v>0.18029188</v>
      </c>
      <c r="O8" s="700">
        <v>0.15151267</v>
      </c>
      <c r="P8" s="701">
        <v>196.65466</v>
      </c>
      <c r="Q8" s="635"/>
      <c r="R8" s="702">
        <f t="shared" si="1"/>
        <v>2.025351999</v>
      </c>
      <c r="S8" s="635"/>
      <c r="T8" s="635"/>
      <c r="U8" s="634"/>
      <c r="V8" s="634"/>
      <c r="W8" s="634"/>
      <c r="X8" s="634"/>
      <c r="Y8" s="634"/>
      <c r="Z8" s="634"/>
    </row>
    <row r="9">
      <c r="A9" s="643" t="s">
        <v>2280</v>
      </c>
      <c r="B9" s="643"/>
      <c r="C9" s="671"/>
      <c r="D9" s="679"/>
      <c r="E9" s="672" t="s">
        <v>5238</v>
      </c>
      <c r="F9" s="672" t="s">
        <v>5239</v>
      </c>
      <c r="G9" s="703" t="s">
        <v>5005</v>
      </c>
      <c r="H9" s="704">
        <v>1.5329257</v>
      </c>
      <c r="I9" s="705">
        <v>1.4982991</v>
      </c>
      <c r="J9" s="705">
        <v>0.022113654</v>
      </c>
      <c r="K9" s="705">
        <v>0.01251256232</v>
      </c>
      <c r="L9" s="705">
        <v>0.0</v>
      </c>
      <c r="M9" s="705">
        <v>0.0</v>
      </c>
      <c r="N9" s="706">
        <v>0.16389926</v>
      </c>
      <c r="O9" s="706">
        <v>0.12801201</v>
      </c>
      <c r="P9" s="707">
        <v>187.76618</v>
      </c>
      <c r="Q9" s="635"/>
      <c r="R9" s="708">
        <f t="shared" si="1"/>
        <v>1.520412754</v>
      </c>
      <c r="S9" s="635"/>
      <c r="T9" s="635"/>
      <c r="U9" s="634"/>
      <c r="V9" s="634"/>
      <c r="W9" s="634"/>
      <c r="X9" s="634"/>
      <c r="Y9" s="634"/>
      <c r="Z9" s="634"/>
    </row>
    <row r="10">
      <c r="A10" s="643" t="s">
        <v>2282</v>
      </c>
      <c r="B10" s="643"/>
      <c r="C10" s="659"/>
      <c r="D10" s="677" t="s">
        <v>5240</v>
      </c>
      <c r="E10" s="660" t="s">
        <v>5241</v>
      </c>
      <c r="F10" s="660" t="s">
        <v>5242</v>
      </c>
      <c r="G10" s="691" t="s">
        <v>5005</v>
      </c>
      <c r="H10" s="692">
        <v>1.7731906</v>
      </c>
      <c r="I10" s="693">
        <v>0.15461137</v>
      </c>
      <c r="J10" s="693">
        <v>0.039770102</v>
      </c>
      <c r="K10" s="693">
        <v>1.57880883629</v>
      </c>
      <c r="L10" s="693">
        <v>0.0</v>
      </c>
      <c r="M10" s="693">
        <v>0.0</v>
      </c>
      <c r="N10" s="694">
        <v>0.012618261</v>
      </c>
      <c r="O10" s="694">
        <v>0.010046702</v>
      </c>
      <c r="P10" s="695">
        <v>42.217727</v>
      </c>
      <c r="Q10" s="635"/>
      <c r="R10" s="696">
        <f t="shared" si="1"/>
        <v>0.194381472</v>
      </c>
      <c r="S10" s="635"/>
      <c r="T10" s="635"/>
      <c r="U10" s="634"/>
      <c r="V10" s="634"/>
      <c r="W10" s="634"/>
      <c r="X10" s="634"/>
      <c r="Y10" s="634"/>
      <c r="Z10" s="634"/>
    </row>
    <row r="11">
      <c r="A11" s="643" t="s">
        <v>2284</v>
      </c>
      <c r="B11" s="643"/>
      <c r="C11" s="665"/>
      <c r="D11" s="678"/>
      <c r="E11" s="666" t="s">
        <v>5243</v>
      </c>
      <c r="F11" s="666" t="s">
        <v>5244</v>
      </c>
      <c r="G11" s="697" t="s">
        <v>5005</v>
      </c>
      <c r="H11" s="698">
        <v>1.7776079</v>
      </c>
      <c r="I11" s="699">
        <v>0.15511869</v>
      </c>
      <c r="J11" s="699">
        <v>0.042962944</v>
      </c>
      <c r="K11" s="699">
        <v>1.5795259181199999</v>
      </c>
      <c r="L11" s="699">
        <v>0.0</v>
      </c>
      <c r="M11" s="699">
        <v>0.0</v>
      </c>
      <c r="N11" s="700">
        <v>0.012659864</v>
      </c>
      <c r="O11" s="700">
        <v>0.010083899</v>
      </c>
      <c r="P11" s="701">
        <v>40.066348</v>
      </c>
      <c r="Q11" s="635"/>
      <c r="R11" s="702">
        <f t="shared" si="1"/>
        <v>0.198081634</v>
      </c>
      <c r="S11" s="635"/>
      <c r="T11" s="635"/>
      <c r="U11" s="634"/>
      <c r="V11" s="634"/>
      <c r="W11" s="634"/>
      <c r="X11" s="634"/>
      <c r="Y11" s="634"/>
      <c r="Z11" s="634"/>
    </row>
    <row r="12">
      <c r="A12" s="643" t="s">
        <v>2286</v>
      </c>
      <c r="B12" s="643"/>
      <c r="C12" s="665"/>
      <c r="D12" s="678"/>
      <c r="E12" s="666" t="s">
        <v>5245</v>
      </c>
      <c r="F12" s="666" t="s">
        <v>5246</v>
      </c>
      <c r="G12" s="697" t="s">
        <v>5005</v>
      </c>
      <c r="H12" s="698">
        <v>1.5167754</v>
      </c>
      <c r="I12" s="699">
        <v>0.052542696</v>
      </c>
      <c r="J12" s="699">
        <v>0.044570654</v>
      </c>
      <c r="K12" s="699">
        <v>1.41966194352</v>
      </c>
      <c r="L12" s="699">
        <v>0.0</v>
      </c>
      <c r="M12" s="699">
        <v>0.0</v>
      </c>
      <c r="N12" s="700">
        <v>0.0055022561</v>
      </c>
      <c r="O12" s="700">
        <v>0.0040994366</v>
      </c>
      <c r="P12" s="701">
        <v>32.156638</v>
      </c>
      <c r="Q12" s="635"/>
      <c r="R12" s="702">
        <f t="shared" si="1"/>
        <v>0.09711335</v>
      </c>
      <c r="S12" s="635"/>
      <c r="T12" s="635"/>
      <c r="U12" s="634"/>
      <c r="V12" s="634"/>
      <c r="W12" s="634"/>
      <c r="X12" s="634"/>
      <c r="Y12" s="634"/>
      <c r="Z12" s="634"/>
    </row>
    <row r="13">
      <c r="A13" s="643" t="s">
        <v>2288</v>
      </c>
      <c r="B13" s="643"/>
      <c r="C13" s="665"/>
      <c r="D13" s="678"/>
      <c r="E13" s="666" t="s">
        <v>5247</v>
      </c>
      <c r="F13" s="666" t="s">
        <v>5248</v>
      </c>
      <c r="G13" s="697" t="s">
        <v>5005</v>
      </c>
      <c r="H13" s="698">
        <v>1.5205302</v>
      </c>
      <c r="I13" s="699">
        <v>0.052973944</v>
      </c>
      <c r="J13" s="699">
        <v>0.047284679</v>
      </c>
      <c r="K13" s="699">
        <v>1.42027142644</v>
      </c>
      <c r="L13" s="699">
        <v>0.0</v>
      </c>
      <c r="M13" s="699">
        <v>0.0</v>
      </c>
      <c r="N13" s="700">
        <v>0.0055376197</v>
      </c>
      <c r="O13" s="700">
        <v>0.0041310553</v>
      </c>
      <c r="P13" s="701">
        <v>29.510798</v>
      </c>
      <c r="Q13" s="635"/>
      <c r="R13" s="702">
        <f t="shared" si="1"/>
        <v>0.100258623</v>
      </c>
      <c r="S13" s="635"/>
      <c r="T13" s="635"/>
      <c r="U13" s="634"/>
      <c r="V13" s="634"/>
      <c r="W13" s="634"/>
      <c r="X13" s="634"/>
      <c r="Y13" s="634"/>
      <c r="Z13" s="634"/>
    </row>
    <row r="14">
      <c r="A14" s="643" t="s">
        <v>2290</v>
      </c>
      <c r="B14" s="643"/>
      <c r="C14" s="665"/>
      <c r="D14" s="678"/>
      <c r="E14" s="666" t="s">
        <v>5249</v>
      </c>
      <c r="F14" s="666" t="s">
        <v>5250</v>
      </c>
      <c r="G14" s="697" t="s">
        <v>5005</v>
      </c>
      <c r="H14" s="698">
        <v>1.533449</v>
      </c>
      <c r="I14" s="699">
        <v>0.1306973</v>
      </c>
      <c r="J14" s="699">
        <v>0.079471367</v>
      </c>
      <c r="K14" s="699">
        <v>1.3232800357999999</v>
      </c>
      <c r="L14" s="699">
        <v>0.0</v>
      </c>
      <c r="M14" s="699">
        <v>0.0</v>
      </c>
      <c r="N14" s="700">
        <v>0.010612237</v>
      </c>
      <c r="O14" s="700">
        <v>0.0089822126</v>
      </c>
      <c r="P14" s="701">
        <v>30.103754</v>
      </c>
      <c r="Q14" s="635"/>
      <c r="R14" s="702">
        <f t="shared" si="1"/>
        <v>0.210168667</v>
      </c>
      <c r="S14" s="635"/>
      <c r="T14" s="635"/>
      <c r="U14" s="634"/>
      <c r="V14" s="634"/>
      <c r="W14" s="634"/>
      <c r="X14" s="634"/>
      <c r="Y14" s="634"/>
      <c r="Z14" s="634"/>
    </row>
    <row r="15">
      <c r="A15" s="643" t="s">
        <v>2292</v>
      </c>
      <c r="B15" s="643"/>
      <c r="C15" s="665"/>
      <c r="D15" s="678"/>
      <c r="E15" s="666" t="s">
        <v>5251</v>
      </c>
      <c r="F15" s="666" t="s">
        <v>5252</v>
      </c>
      <c r="G15" s="697" t="s">
        <v>5005</v>
      </c>
      <c r="H15" s="698">
        <v>1.5369935</v>
      </c>
      <c r="I15" s="699">
        <v>0.13110439</v>
      </c>
      <c r="J15" s="699">
        <v>0.082033406</v>
      </c>
      <c r="K15" s="699">
        <v>1.3238554931</v>
      </c>
      <c r="L15" s="699">
        <v>0.0</v>
      </c>
      <c r="M15" s="699">
        <v>0.0</v>
      </c>
      <c r="N15" s="700">
        <v>0.010645621</v>
      </c>
      <c r="O15" s="700">
        <v>0.0090120606</v>
      </c>
      <c r="P15" s="701">
        <v>28.58775</v>
      </c>
      <c r="Q15" s="635"/>
      <c r="R15" s="702">
        <f t="shared" si="1"/>
        <v>0.213137796</v>
      </c>
      <c r="S15" s="635"/>
      <c r="T15" s="635"/>
      <c r="U15" s="634"/>
      <c r="V15" s="634"/>
      <c r="W15" s="634"/>
      <c r="X15" s="634"/>
      <c r="Y15" s="634"/>
      <c r="Z15" s="634"/>
    </row>
    <row r="16">
      <c r="A16" s="643" t="s">
        <v>2294</v>
      </c>
      <c r="B16" s="643"/>
      <c r="C16" s="671"/>
      <c r="D16" s="679"/>
      <c r="E16" s="672" t="s">
        <v>5253</v>
      </c>
      <c r="F16" s="672" t="s">
        <v>5254</v>
      </c>
      <c r="G16" s="703" t="s">
        <v>5005</v>
      </c>
      <c r="H16" s="698">
        <v>0.3651941</v>
      </c>
      <c r="I16" s="699">
        <v>0.1980844</v>
      </c>
      <c r="J16" s="699">
        <v>0.13176415</v>
      </c>
      <c r="K16" s="699">
        <v>0.0353446524</v>
      </c>
      <c r="L16" s="699">
        <v>1.11</v>
      </c>
      <c r="M16" s="699">
        <v>0.0</v>
      </c>
      <c r="N16" s="700">
        <v>0.039452059</v>
      </c>
      <c r="O16" s="700">
        <v>0.012710198</v>
      </c>
      <c r="P16" s="701">
        <v>33.70582</v>
      </c>
      <c r="Q16" s="635"/>
      <c r="R16" s="702">
        <f t="shared" si="1"/>
        <v>0.32984855</v>
      </c>
      <c r="S16" s="635"/>
      <c r="T16" s="635"/>
      <c r="U16" s="634"/>
      <c r="V16" s="634"/>
      <c r="W16" s="634"/>
      <c r="X16" s="634"/>
      <c r="Y16" s="634"/>
      <c r="Z16" s="634"/>
    </row>
    <row r="17">
      <c r="A17" s="643" t="s">
        <v>2690</v>
      </c>
      <c r="B17" s="643"/>
      <c r="C17" s="659" t="s">
        <v>2923</v>
      </c>
      <c r="D17" s="677" t="s">
        <v>5229</v>
      </c>
      <c r="E17" s="660" t="s">
        <v>5255</v>
      </c>
      <c r="F17" s="660" t="s">
        <v>5256</v>
      </c>
      <c r="G17" s="691" t="s">
        <v>2647</v>
      </c>
      <c r="H17" s="692">
        <v>2.2735607</v>
      </c>
      <c r="I17" s="693">
        <v>2.1201759</v>
      </c>
      <c r="J17" s="693">
        <v>0.12027284</v>
      </c>
      <c r="K17" s="693">
        <v>0.0331047437</v>
      </c>
      <c r="L17" s="693">
        <v>0.0</v>
      </c>
      <c r="M17" s="694">
        <v>0.0</v>
      </c>
      <c r="N17" s="694">
        <v>0.1346342</v>
      </c>
      <c r="O17" s="694">
        <v>0.12704331</v>
      </c>
      <c r="P17" s="695">
        <v>191.5226</v>
      </c>
      <c r="Q17" s="635"/>
      <c r="R17" s="696">
        <f t="shared" si="1"/>
        <v>2.24044874</v>
      </c>
      <c r="S17" s="635"/>
      <c r="T17" s="635"/>
      <c r="U17" s="634"/>
      <c r="V17" s="634"/>
      <c r="W17" s="634"/>
      <c r="X17" s="634"/>
      <c r="Y17" s="634"/>
      <c r="Z17" s="634"/>
    </row>
    <row r="18">
      <c r="A18" s="643" t="s">
        <v>2634</v>
      </c>
      <c r="B18" s="643"/>
      <c r="C18" s="665"/>
      <c r="D18" s="678"/>
      <c r="E18" s="666" t="s">
        <v>5257</v>
      </c>
      <c r="F18" s="666" t="s">
        <v>5258</v>
      </c>
      <c r="G18" s="697" t="s">
        <v>382</v>
      </c>
      <c r="H18" s="698">
        <v>6.0466503</v>
      </c>
      <c r="I18" s="699">
        <v>5.8607437</v>
      </c>
      <c r="J18" s="699">
        <v>0.14043052</v>
      </c>
      <c r="K18" s="699">
        <v>0.0454689418</v>
      </c>
      <c r="L18" s="699">
        <v>0.0</v>
      </c>
      <c r="M18" s="700">
        <v>0.0</v>
      </c>
      <c r="N18" s="700">
        <v>0.41188708</v>
      </c>
      <c r="O18" s="700">
        <v>0.3899968</v>
      </c>
      <c r="P18" s="701">
        <v>488.76255</v>
      </c>
      <c r="Q18" s="635"/>
      <c r="R18" s="702">
        <f t="shared" si="1"/>
        <v>6.00117422</v>
      </c>
      <c r="S18" s="635"/>
      <c r="T18" s="635"/>
      <c r="U18" s="634"/>
      <c r="V18" s="634"/>
      <c r="W18" s="634"/>
      <c r="X18" s="634"/>
      <c r="Y18" s="634"/>
      <c r="Z18" s="634"/>
    </row>
    <row r="19">
      <c r="A19" s="643" t="s">
        <v>2773</v>
      </c>
      <c r="B19" s="643"/>
      <c r="C19" s="665"/>
      <c r="D19" s="678"/>
      <c r="E19" s="666" t="s">
        <v>5259</v>
      </c>
      <c r="F19" s="666" t="s">
        <v>5260</v>
      </c>
      <c r="G19" s="697" t="s">
        <v>2719</v>
      </c>
      <c r="H19" s="698">
        <v>3.0307776</v>
      </c>
      <c r="I19" s="699">
        <v>2.576842</v>
      </c>
      <c r="J19" s="699">
        <v>0.36144338</v>
      </c>
      <c r="K19" s="699">
        <v>0.0924844569</v>
      </c>
      <c r="L19" s="699">
        <v>0.0</v>
      </c>
      <c r="M19" s="700">
        <v>0.0</v>
      </c>
      <c r="N19" s="700">
        <v>0.1758494</v>
      </c>
      <c r="O19" s="700">
        <v>0.16673352</v>
      </c>
      <c r="P19" s="701">
        <v>197.78636</v>
      </c>
      <c r="Q19" s="635"/>
      <c r="R19" s="702">
        <f t="shared" si="1"/>
        <v>2.93828538</v>
      </c>
      <c r="S19" s="635"/>
      <c r="T19" s="635"/>
      <c r="U19" s="634"/>
      <c r="V19" s="634"/>
      <c r="W19" s="634"/>
      <c r="X19" s="634"/>
      <c r="Y19" s="634"/>
      <c r="Z19" s="634"/>
    </row>
    <row r="20">
      <c r="A20" s="643" t="s">
        <v>2761</v>
      </c>
      <c r="B20" s="643"/>
      <c r="C20" s="665"/>
      <c r="D20" s="678"/>
      <c r="E20" s="666" t="s">
        <v>5261</v>
      </c>
      <c r="F20" s="666" t="s">
        <v>5262</v>
      </c>
      <c r="G20" s="697" t="s">
        <v>2719</v>
      </c>
      <c r="H20" s="698">
        <v>3.3662905</v>
      </c>
      <c r="I20" s="699">
        <v>2.8995128</v>
      </c>
      <c r="J20" s="699">
        <v>0.37162514</v>
      </c>
      <c r="K20" s="699">
        <v>0.0951444447</v>
      </c>
      <c r="L20" s="699">
        <v>0.0</v>
      </c>
      <c r="M20" s="700">
        <v>0.0</v>
      </c>
      <c r="N20" s="700">
        <v>0.19939708</v>
      </c>
      <c r="O20" s="700">
        <v>0.18596415</v>
      </c>
      <c r="P20" s="701">
        <v>220.6857</v>
      </c>
      <c r="Q20" s="635"/>
      <c r="R20" s="702">
        <f t="shared" si="1"/>
        <v>3.27113794</v>
      </c>
      <c r="S20" s="635"/>
      <c r="T20" s="635"/>
      <c r="U20" s="634"/>
      <c r="V20" s="634"/>
      <c r="W20" s="634"/>
      <c r="X20" s="634"/>
      <c r="Y20" s="634"/>
      <c r="Z20" s="634"/>
    </row>
    <row r="21" ht="15.75" customHeight="1">
      <c r="A21" s="643" t="s">
        <v>2784</v>
      </c>
      <c r="B21" s="643"/>
      <c r="C21" s="665"/>
      <c r="D21" s="678"/>
      <c r="E21" s="666" t="s">
        <v>5263</v>
      </c>
      <c r="F21" s="666" t="s">
        <v>5264</v>
      </c>
      <c r="G21" s="697" t="s">
        <v>2719</v>
      </c>
      <c r="H21" s="698">
        <v>3.2832744</v>
      </c>
      <c r="I21" s="699">
        <v>2.7281669</v>
      </c>
      <c r="J21" s="699">
        <v>0.44283519</v>
      </c>
      <c r="K21" s="699">
        <v>0.112264952</v>
      </c>
      <c r="L21" s="699">
        <v>0.0</v>
      </c>
      <c r="M21" s="700">
        <v>0.0</v>
      </c>
      <c r="N21" s="700">
        <v>0.1598702</v>
      </c>
      <c r="O21" s="700">
        <v>0.14785183</v>
      </c>
      <c r="P21" s="701">
        <v>171.85344</v>
      </c>
      <c r="Q21" s="635"/>
      <c r="R21" s="702">
        <f t="shared" si="1"/>
        <v>3.17100209</v>
      </c>
      <c r="S21" s="635"/>
      <c r="T21" s="635"/>
      <c r="U21" s="634"/>
      <c r="V21" s="634"/>
      <c r="W21" s="634"/>
      <c r="X21" s="634"/>
      <c r="Y21" s="634"/>
      <c r="Z21" s="634"/>
    </row>
    <row r="22" ht="15.75" customHeight="1">
      <c r="A22" s="643" t="s">
        <v>2778</v>
      </c>
      <c r="B22" s="643"/>
      <c r="C22" s="665"/>
      <c r="D22" s="678"/>
      <c r="E22" s="666" t="s">
        <v>5265</v>
      </c>
      <c r="F22" s="666" t="s">
        <v>5266</v>
      </c>
      <c r="G22" s="697" t="s">
        <v>2719</v>
      </c>
      <c r="H22" s="698">
        <v>2.6562869</v>
      </c>
      <c r="I22" s="699">
        <v>0.88943781</v>
      </c>
      <c r="J22" s="699">
        <v>1.426547</v>
      </c>
      <c r="K22" s="699">
        <v>0.340293252</v>
      </c>
      <c r="L22" s="699">
        <v>0.0</v>
      </c>
      <c r="M22" s="700">
        <v>0.0</v>
      </c>
      <c r="N22" s="700">
        <v>0.058385137</v>
      </c>
      <c r="O22" s="700">
        <v>0.052430309</v>
      </c>
      <c r="P22" s="701">
        <v>163.10975</v>
      </c>
      <c r="Q22" s="635"/>
      <c r="R22" s="702"/>
      <c r="S22" s="635"/>
      <c r="T22" s="635"/>
      <c r="U22" s="634"/>
      <c r="V22" s="634"/>
      <c r="W22" s="634"/>
      <c r="X22" s="634"/>
      <c r="Y22" s="634"/>
      <c r="Z22" s="634"/>
    </row>
    <row r="23" ht="15.75" customHeight="1">
      <c r="A23" s="643" t="s">
        <v>2801</v>
      </c>
      <c r="B23" s="643"/>
      <c r="C23" s="665"/>
      <c r="D23" s="678"/>
      <c r="E23" s="666" t="s">
        <v>5267</v>
      </c>
      <c r="F23" s="666" t="s">
        <v>5268</v>
      </c>
      <c r="G23" s="697" t="s">
        <v>2719</v>
      </c>
      <c r="H23" s="698">
        <v>1.5598877</v>
      </c>
      <c r="I23" s="699">
        <v>1.5011607</v>
      </c>
      <c r="J23" s="699">
        <v>0.041826233</v>
      </c>
      <c r="K23" s="699">
        <v>0.0168975586</v>
      </c>
      <c r="L23" s="699">
        <v>0.0</v>
      </c>
      <c r="M23" s="700">
        <v>0.0</v>
      </c>
      <c r="N23" s="700">
        <v>0.12230369</v>
      </c>
      <c r="O23" s="700">
        <v>0.098145546</v>
      </c>
      <c r="P23" s="701">
        <v>270.99078</v>
      </c>
      <c r="Q23" s="635"/>
      <c r="R23" s="702">
        <f t="shared" ref="R23:R41" si="2">I23+J23</f>
        <v>1.542986933</v>
      </c>
      <c r="S23" s="635"/>
      <c r="T23" s="635"/>
      <c r="U23" s="634"/>
      <c r="V23" s="634"/>
      <c r="W23" s="634"/>
      <c r="X23" s="634"/>
      <c r="Y23" s="634"/>
      <c r="Z23" s="634"/>
    </row>
    <row r="24" ht="15.75" customHeight="1">
      <c r="A24" s="643" t="s">
        <v>2744</v>
      </c>
      <c r="B24" s="643"/>
      <c r="C24" s="665"/>
      <c r="D24" s="678"/>
      <c r="E24" s="672" t="s">
        <v>5269</v>
      </c>
      <c r="F24" s="672" t="s">
        <v>5270</v>
      </c>
      <c r="G24" s="697" t="s">
        <v>2719</v>
      </c>
      <c r="H24" s="704">
        <v>3.4307793</v>
      </c>
      <c r="I24" s="705">
        <v>3.1361921</v>
      </c>
      <c r="J24" s="705">
        <v>0.22663912</v>
      </c>
      <c r="K24" s="705">
        <v>0.067943657</v>
      </c>
      <c r="L24" s="705">
        <v>0.0</v>
      </c>
      <c r="M24" s="706">
        <v>0.0</v>
      </c>
      <c r="N24" s="706">
        <v>0.21988</v>
      </c>
      <c r="O24" s="706">
        <v>0.21073419</v>
      </c>
      <c r="P24" s="707">
        <v>233.39691</v>
      </c>
      <c r="Q24" s="635"/>
      <c r="R24" s="708">
        <f t="shared" si="2"/>
        <v>3.36283122</v>
      </c>
      <c r="S24" s="635"/>
      <c r="T24" s="635"/>
      <c r="U24" s="634"/>
      <c r="V24" s="634"/>
      <c r="W24" s="634"/>
      <c r="X24" s="634"/>
      <c r="Y24" s="634"/>
      <c r="Z24" s="634"/>
    </row>
    <row r="25" ht="15.75" customHeight="1">
      <c r="A25" s="643" t="s">
        <v>2767</v>
      </c>
      <c r="B25" s="643"/>
      <c r="C25" s="671"/>
      <c r="D25" s="709" t="s">
        <v>5240</v>
      </c>
      <c r="E25" s="672" t="s">
        <v>5271</v>
      </c>
      <c r="F25" s="672" t="s">
        <v>5272</v>
      </c>
      <c r="G25" s="710" t="s">
        <v>2719</v>
      </c>
      <c r="H25" s="711">
        <v>1.721103</v>
      </c>
      <c r="I25" s="712">
        <v>0.8710716</v>
      </c>
      <c r="J25" s="712">
        <v>0.67782788</v>
      </c>
      <c r="K25" s="712">
        <v>0.1721973636</v>
      </c>
      <c r="L25" s="712">
        <v>3.3928207912058084</v>
      </c>
      <c r="M25" s="712">
        <v>0.0</v>
      </c>
      <c r="N25" s="713">
        <v>0.098285861</v>
      </c>
      <c r="O25" s="713">
        <v>0.049727575</v>
      </c>
      <c r="P25" s="714">
        <v>154.41487</v>
      </c>
      <c r="Q25" s="635"/>
      <c r="R25" s="715">
        <f t="shared" si="2"/>
        <v>1.54889948</v>
      </c>
      <c r="S25" s="635"/>
      <c r="T25" s="635"/>
      <c r="U25" s="634"/>
      <c r="V25" s="634"/>
      <c r="W25" s="634"/>
      <c r="X25" s="634"/>
      <c r="Y25" s="634"/>
      <c r="Z25" s="634"/>
    </row>
    <row r="26" ht="15.75" customHeight="1">
      <c r="A26" s="643" t="s">
        <v>2311</v>
      </c>
      <c r="B26" s="643"/>
      <c r="C26" s="659" t="s">
        <v>5273</v>
      </c>
      <c r="D26" s="716" t="s">
        <v>5041</v>
      </c>
      <c r="E26" s="660" t="s">
        <v>5274</v>
      </c>
      <c r="F26" s="660" t="s">
        <v>5275</v>
      </c>
      <c r="G26" s="691" t="s">
        <v>5005</v>
      </c>
      <c r="H26" s="692">
        <v>0.50370582</v>
      </c>
      <c r="I26" s="693">
        <v>0.49737778</v>
      </c>
      <c r="J26" s="693">
        <v>0.0043591008</v>
      </c>
      <c r="K26" s="693">
        <v>0.0019682753</v>
      </c>
      <c r="L26" s="693">
        <v>0.5846199999999999</v>
      </c>
      <c r="M26" s="693">
        <v>0.0</v>
      </c>
      <c r="N26" s="694">
        <v>0.030792416</v>
      </c>
      <c r="O26" s="694">
        <v>0.027104686</v>
      </c>
      <c r="P26" s="695">
        <v>19.594731</v>
      </c>
      <c r="Q26" s="635"/>
      <c r="R26" s="717">
        <f t="shared" si="2"/>
        <v>0.5017368808</v>
      </c>
      <c r="S26" s="635"/>
      <c r="T26" s="635"/>
      <c r="U26" s="634"/>
      <c r="V26" s="634"/>
      <c r="W26" s="634"/>
      <c r="X26" s="634"/>
      <c r="Y26" s="634"/>
      <c r="Z26" s="634"/>
    </row>
    <row r="27" ht="17.25" customHeight="1">
      <c r="A27" s="643" t="s">
        <v>2303</v>
      </c>
      <c r="B27" s="643"/>
      <c r="C27" s="683"/>
      <c r="D27" s="682"/>
      <c r="E27" s="666" t="s">
        <v>5276</v>
      </c>
      <c r="F27" s="666" t="s">
        <v>5277</v>
      </c>
      <c r="G27" s="697" t="s">
        <v>5005</v>
      </c>
      <c r="H27" s="698">
        <v>1.6013756</v>
      </c>
      <c r="I27" s="699">
        <v>0.13458917</v>
      </c>
      <c r="J27" s="699">
        <v>0.14023387</v>
      </c>
      <c r="K27" s="699">
        <v>1.3265512679999998</v>
      </c>
      <c r="L27" s="699">
        <v>0.0</v>
      </c>
      <c r="M27" s="699">
        <v>1.2839</v>
      </c>
      <c r="N27" s="700">
        <v>0.010176485</v>
      </c>
      <c r="O27" s="700">
        <v>0.0092688186</v>
      </c>
      <c r="P27" s="701">
        <v>28.356945</v>
      </c>
      <c r="Q27" s="635"/>
      <c r="R27" s="718">
        <f t="shared" si="2"/>
        <v>0.27482304</v>
      </c>
      <c r="S27" s="635"/>
      <c r="T27" s="635"/>
      <c r="U27" s="634"/>
      <c r="V27" s="634"/>
      <c r="W27" s="634"/>
      <c r="X27" s="634"/>
      <c r="Y27" s="634"/>
      <c r="Z27" s="634"/>
    </row>
    <row r="28" ht="15.75" customHeight="1">
      <c r="A28" s="643" t="s">
        <v>2305</v>
      </c>
      <c r="B28" s="643"/>
      <c r="C28" s="665"/>
      <c r="D28" s="684"/>
      <c r="E28" s="666" t="s">
        <v>5278</v>
      </c>
      <c r="F28" s="666" t="s">
        <v>5279</v>
      </c>
      <c r="G28" s="697" t="s">
        <v>5005</v>
      </c>
      <c r="H28" s="698">
        <v>1.8287089</v>
      </c>
      <c r="I28" s="699">
        <v>0.1246343</v>
      </c>
      <c r="J28" s="699">
        <v>0.096342142</v>
      </c>
      <c r="K28" s="699">
        <v>1.6077311400999998</v>
      </c>
      <c r="L28" s="699">
        <v>0.0</v>
      </c>
      <c r="M28" s="699">
        <v>1.5749</v>
      </c>
      <c r="N28" s="700">
        <v>0.0093595411</v>
      </c>
      <c r="O28" s="700">
        <v>0.0085469153</v>
      </c>
      <c r="P28" s="701">
        <v>24.99457</v>
      </c>
      <c r="Q28" s="635"/>
      <c r="R28" s="718">
        <f t="shared" si="2"/>
        <v>0.220976442</v>
      </c>
      <c r="S28" s="635"/>
      <c r="T28" s="635"/>
      <c r="U28" s="634"/>
      <c r="V28" s="634"/>
      <c r="W28" s="634"/>
      <c r="X28" s="634"/>
      <c r="Y28" s="634"/>
      <c r="Z28" s="634"/>
    </row>
    <row r="29" ht="15.75" customHeight="1">
      <c r="A29" s="643" t="s">
        <v>2307</v>
      </c>
      <c r="B29" s="643"/>
      <c r="C29" s="665"/>
      <c r="D29" s="665"/>
      <c r="E29" s="666" t="s">
        <v>5280</v>
      </c>
      <c r="F29" s="666" t="s">
        <v>5281</v>
      </c>
      <c r="G29" s="697" t="s">
        <v>5005</v>
      </c>
      <c r="H29" s="698">
        <v>1.2300437</v>
      </c>
      <c r="I29" s="699">
        <v>0.051725418</v>
      </c>
      <c r="J29" s="699">
        <v>0.034175776</v>
      </c>
      <c r="K29" s="699">
        <v>1.1441418264999998</v>
      </c>
      <c r="L29" s="699">
        <v>0.0</v>
      </c>
      <c r="M29" s="699">
        <v>1.1321</v>
      </c>
      <c r="N29" s="700">
        <v>0.0038615188</v>
      </c>
      <c r="O29" s="700">
        <v>0.0035393738</v>
      </c>
      <c r="P29" s="701">
        <v>11.294971</v>
      </c>
      <c r="Q29" s="635"/>
      <c r="R29" s="718">
        <f t="shared" si="2"/>
        <v>0.085901194</v>
      </c>
      <c r="S29" s="635"/>
      <c r="T29" s="635"/>
      <c r="U29" s="634"/>
      <c r="V29" s="634"/>
      <c r="W29" s="634"/>
      <c r="X29" s="634"/>
      <c r="Y29" s="634"/>
      <c r="Z29" s="634"/>
    </row>
    <row r="30" ht="15.75" customHeight="1">
      <c r="A30" s="643" t="s">
        <v>2309</v>
      </c>
      <c r="B30" s="643"/>
      <c r="C30" s="665"/>
      <c r="D30" s="665"/>
      <c r="E30" s="666" t="s">
        <v>5282</v>
      </c>
      <c r="F30" s="666" t="s">
        <v>5283</v>
      </c>
      <c r="G30" s="697" t="s">
        <v>5005</v>
      </c>
      <c r="H30" s="698">
        <v>1.7293532</v>
      </c>
      <c r="I30" s="699">
        <v>0.11542017</v>
      </c>
      <c r="J30" s="699">
        <v>0.077891901</v>
      </c>
      <c r="K30" s="699">
        <v>1.5360400413</v>
      </c>
      <c r="L30" s="699">
        <v>0.0</v>
      </c>
      <c r="M30" s="699">
        <v>1.5095</v>
      </c>
      <c r="N30" s="700">
        <v>0.0085654062</v>
      </c>
      <c r="O30" s="700">
        <v>0.007840801</v>
      </c>
      <c r="P30" s="701">
        <v>21.248647</v>
      </c>
      <c r="Q30" s="635"/>
      <c r="R30" s="718">
        <f t="shared" si="2"/>
        <v>0.193312071</v>
      </c>
      <c r="S30" s="635"/>
      <c r="T30" s="635"/>
      <c r="U30" s="634"/>
      <c r="V30" s="634"/>
      <c r="W30" s="634"/>
      <c r="X30" s="634"/>
      <c r="Y30" s="634"/>
      <c r="Z30" s="634"/>
    </row>
    <row r="31" ht="15.75" customHeight="1">
      <c r="A31" s="643" t="s">
        <v>2297</v>
      </c>
      <c r="B31" s="643"/>
      <c r="C31" s="665"/>
      <c r="D31" s="665"/>
      <c r="E31" s="666" t="s">
        <v>5284</v>
      </c>
      <c r="F31" s="666" t="s">
        <v>5285</v>
      </c>
      <c r="G31" s="697" t="s">
        <v>5005</v>
      </c>
      <c r="H31" s="698">
        <v>1.7254729</v>
      </c>
      <c r="I31" s="699">
        <v>0.13030971</v>
      </c>
      <c r="J31" s="699">
        <v>0.77749586</v>
      </c>
      <c r="K31" s="699">
        <v>0.8176672576999999</v>
      </c>
      <c r="L31" s="699">
        <v>0.0</v>
      </c>
      <c r="M31" s="699">
        <v>0.64288</v>
      </c>
      <c r="N31" s="700">
        <v>0.017441894</v>
      </c>
      <c r="O31" s="700">
        <v>0.0094621613</v>
      </c>
      <c r="P31" s="701">
        <v>41.321022</v>
      </c>
      <c r="Q31" s="635"/>
      <c r="R31" s="718">
        <f t="shared" si="2"/>
        <v>0.90780557</v>
      </c>
      <c r="S31" s="635"/>
      <c r="T31" s="635"/>
      <c r="U31" s="634"/>
      <c r="V31" s="634"/>
      <c r="W31" s="634"/>
      <c r="X31" s="634"/>
      <c r="Y31" s="634"/>
      <c r="Z31" s="634"/>
    </row>
    <row r="32" ht="15.75" customHeight="1">
      <c r="A32" s="643" t="s">
        <v>2299</v>
      </c>
      <c r="B32" s="643"/>
      <c r="C32" s="665"/>
      <c r="D32" s="665"/>
      <c r="E32" s="666" t="s">
        <v>5286</v>
      </c>
      <c r="F32" s="666" t="s">
        <v>5287</v>
      </c>
      <c r="G32" s="697" t="s">
        <v>5005</v>
      </c>
      <c r="H32" s="698">
        <v>1.5346589</v>
      </c>
      <c r="I32" s="699">
        <v>0.10630868</v>
      </c>
      <c r="J32" s="699">
        <v>0.55874917</v>
      </c>
      <c r="K32" s="699">
        <v>0.8696009199</v>
      </c>
      <c r="L32" s="699">
        <v>0.0</v>
      </c>
      <c r="M32" s="699">
        <v>0.744</v>
      </c>
      <c r="N32" s="700">
        <v>0.01265797</v>
      </c>
      <c r="O32" s="700">
        <v>0.0075040391</v>
      </c>
      <c r="P32" s="701">
        <v>30.469167</v>
      </c>
      <c r="Q32" s="635"/>
      <c r="R32" s="718">
        <f t="shared" si="2"/>
        <v>0.66505785</v>
      </c>
      <c r="S32" s="635"/>
      <c r="T32" s="635"/>
      <c r="U32" s="634"/>
      <c r="V32" s="634"/>
      <c r="W32" s="634"/>
      <c r="X32" s="634"/>
      <c r="Y32" s="634"/>
      <c r="Z32" s="634"/>
    </row>
    <row r="33" ht="15.75" customHeight="1">
      <c r="A33" s="643" t="s">
        <v>2301</v>
      </c>
      <c r="B33" s="643"/>
      <c r="C33" s="665"/>
      <c r="D33" s="678"/>
      <c r="E33" s="666" t="s">
        <v>5288</v>
      </c>
      <c r="F33" s="672" t="s">
        <v>5289</v>
      </c>
      <c r="G33" s="697" t="s">
        <v>5005</v>
      </c>
      <c r="H33" s="704">
        <v>1.6101059</v>
      </c>
      <c r="I33" s="705">
        <v>0.11935202</v>
      </c>
      <c r="J33" s="705">
        <v>0.64083645</v>
      </c>
      <c r="K33" s="705">
        <v>0.8499172895999999</v>
      </c>
      <c r="L33" s="705">
        <v>0.0</v>
      </c>
      <c r="M33" s="705">
        <v>0.70588</v>
      </c>
      <c r="N33" s="706">
        <v>0.013727564</v>
      </c>
      <c r="O33" s="706">
        <v>0.008460366</v>
      </c>
      <c r="P33" s="707">
        <v>34.072601</v>
      </c>
      <c r="Q33" s="635"/>
      <c r="R33" s="719">
        <f t="shared" si="2"/>
        <v>0.76018847</v>
      </c>
      <c r="S33" s="635"/>
      <c r="T33" s="635"/>
      <c r="U33" s="634"/>
      <c r="V33" s="634"/>
      <c r="W33" s="634"/>
      <c r="X33" s="634"/>
      <c r="Y33" s="634"/>
      <c r="Z33" s="634"/>
    </row>
    <row r="34" ht="15.75" customHeight="1">
      <c r="A34" s="643" t="s">
        <v>2375</v>
      </c>
      <c r="B34" s="643"/>
      <c r="C34" s="659" t="s">
        <v>5290</v>
      </c>
      <c r="D34" s="716" t="s">
        <v>5041</v>
      </c>
      <c r="E34" s="660" t="s">
        <v>5274</v>
      </c>
      <c r="F34" s="660" t="s">
        <v>5291</v>
      </c>
      <c r="G34" s="691" t="s">
        <v>5005</v>
      </c>
      <c r="H34" s="692">
        <v>3.3963607</v>
      </c>
      <c r="I34" s="693">
        <v>3.3784719</v>
      </c>
      <c r="J34" s="693">
        <v>0.010847056</v>
      </c>
      <c r="K34" s="693">
        <v>0.007037252470000001</v>
      </c>
      <c r="L34" s="693">
        <v>0.0</v>
      </c>
      <c r="M34" s="693">
        <v>0.0</v>
      </c>
      <c r="N34" s="694">
        <v>0.20811502</v>
      </c>
      <c r="O34" s="694">
        <v>0.18372411</v>
      </c>
      <c r="P34" s="695">
        <v>124.06435</v>
      </c>
      <c r="Q34" s="635"/>
      <c r="R34" s="717">
        <f t="shared" si="2"/>
        <v>3.389318956</v>
      </c>
      <c r="S34" s="635"/>
      <c r="T34" s="635"/>
      <c r="U34" s="634"/>
      <c r="V34" s="634"/>
      <c r="W34" s="634"/>
      <c r="X34" s="634"/>
      <c r="Y34" s="634"/>
      <c r="Z34" s="634"/>
    </row>
    <row r="35" ht="16.5" customHeight="1">
      <c r="A35" s="643" t="s">
        <v>2361</v>
      </c>
      <c r="B35" s="643"/>
      <c r="C35" s="683"/>
      <c r="D35" s="682"/>
      <c r="E35" s="666" t="s">
        <v>5292</v>
      </c>
      <c r="F35" s="666" t="s">
        <v>5293</v>
      </c>
      <c r="G35" s="697" t="s">
        <v>5005</v>
      </c>
      <c r="H35" s="698">
        <v>1.397664</v>
      </c>
      <c r="I35" s="699">
        <v>0.24602854</v>
      </c>
      <c r="J35" s="699">
        <v>0.042600157</v>
      </c>
      <c r="K35" s="699">
        <v>1.109030804</v>
      </c>
      <c r="L35" s="699">
        <v>0.0</v>
      </c>
      <c r="M35" s="699">
        <v>1.0695277777777776</v>
      </c>
      <c r="N35" s="700">
        <v>0.022562735</v>
      </c>
      <c r="O35" s="700">
        <v>0.019392579</v>
      </c>
      <c r="P35" s="701">
        <v>35.908568</v>
      </c>
      <c r="Q35" s="635"/>
      <c r="R35" s="718">
        <f t="shared" si="2"/>
        <v>0.288628697</v>
      </c>
      <c r="S35" s="635"/>
      <c r="T35" s="635"/>
      <c r="U35" s="634"/>
      <c r="V35" s="634"/>
      <c r="W35" s="634"/>
      <c r="X35" s="634"/>
      <c r="Y35" s="634"/>
      <c r="Z35" s="634"/>
    </row>
    <row r="36" ht="15.75" customHeight="1">
      <c r="A36" s="643" t="s">
        <v>2363</v>
      </c>
      <c r="B36" s="643"/>
      <c r="C36" s="665"/>
      <c r="D36" s="682"/>
      <c r="E36" s="666" t="s">
        <v>5294</v>
      </c>
      <c r="F36" s="666" t="s">
        <v>5295</v>
      </c>
      <c r="G36" s="697" t="s">
        <v>5005</v>
      </c>
      <c r="H36" s="698">
        <v>1.3824471</v>
      </c>
      <c r="I36" s="699">
        <v>0.23328459</v>
      </c>
      <c r="J36" s="699">
        <v>0.041547905</v>
      </c>
      <c r="K36" s="699">
        <v>1.1076104428</v>
      </c>
      <c r="L36" s="699">
        <v>0.0</v>
      </c>
      <c r="M36" s="699">
        <v>1.0695277777777776</v>
      </c>
      <c r="N36" s="700">
        <v>0.021303655</v>
      </c>
      <c r="O36" s="700">
        <v>0.018307647</v>
      </c>
      <c r="P36" s="701">
        <v>34.508795</v>
      </c>
      <c r="Q36" s="635"/>
      <c r="R36" s="718">
        <f t="shared" si="2"/>
        <v>0.274832495</v>
      </c>
      <c r="S36" s="635"/>
      <c r="T36" s="635"/>
      <c r="U36" s="634"/>
      <c r="V36" s="634"/>
      <c r="W36" s="634"/>
      <c r="X36" s="634"/>
      <c r="Y36" s="634"/>
      <c r="Z36" s="634"/>
    </row>
    <row r="37" ht="16.5" customHeight="1">
      <c r="A37" s="643" t="s">
        <v>2365</v>
      </c>
      <c r="B37" s="643"/>
      <c r="C37" s="683"/>
      <c r="D37" s="683"/>
      <c r="E37" s="666" t="s">
        <v>5296</v>
      </c>
      <c r="F37" s="666" t="s">
        <v>5297</v>
      </c>
      <c r="G37" s="697" t="s">
        <v>5005</v>
      </c>
      <c r="H37" s="698">
        <v>1.3875015</v>
      </c>
      <c r="I37" s="699">
        <v>0.24206887</v>
      </c>
      <c r="J37" s="699">
        <v>0.03810586</v>
      </c>
      <c r="K37" s="699">
        <v>1.1073220354</v>
      </c>
      <c r="L37" s="699">
        <v>0.0</v>
      </c>
      <c r="M37" s="699">
        <v>1.0695277777777776</v>
      </c>
      <c r="N37" s="700">
        <v>0.022411114</v>
      </c>
      <c r="O37" s="700">
        <v>0.019204737</v>
      </c>
      <c r="P37" s="701">
        <v>31.160337</v>
      </c>
      <c r="Q37" s="635"/>
      <c r="R37" s="718">
        <f t="shared" si="2"/>
        <v>0.28017473</v>
      </c>
      <c r="S37" s="635"/>
      <c r="T37" s="635"/>
      <c r="U37" s="634"/>
      <c r="V37" s="634"/>
      <c r="W37" s="634"/>
      <c r="X37" s="634"/>
      <c r="Y37" s="634"/>
      <c r="Z37" s="634"/>
    </row>
    <row r="38" ht="15.75" customHeight="1">
      <c r="A38" s="643" t="s">
        <v>2367</v>
      </c>
      <c r="B38" s="643"/>
      <c r="C38" s="683"/>
      <c r="D38" s="683"/>
      <c r="E38" s="666" t="s">
        <v>5298</v>
      </c>
      <c r="F38" s="666" t="s">
        <v>5299</v>
      </c>
      <c r="G38" s="697" t="s">
        <v>5005</v>
      </c>
      <c r="H38" s="698">
        <v>1.5208267</v>
      </c>
      <c r="I38" s="699">
        <v>0.34521216</v>
      </c>
      <c r="J38" s="699">
        <v>0.057250742</v>
      </c>
      <c r="K38" s="699">
        <v>1.1183564600000002</v>
      </c>
      <c r="L38" s="699">
        <v>0.0</v>
      </c>
      <c r="M38" s="699">
        <v>1.0695277777777776</v>
      </c>
      <c r="N38" s="700">
        <v>0.032075806</v>
      </c>
      <c r="O38" s="700">
        <v>0.027656692</v>
      </c>
      <c r="P38" s="701">
        <v>48.550075</v>
      </c>
      <c r="Q38" s="635"/>
      <c r="R38" s="718">
        <f t="shared" si="2"/>
        <v>0.402462902</v>
      </c>
      <c r="S38" s="635"/>
      <c r="T38" s="635"/>
      <c r="U38" s="634"/>
      <c r="V38" s="634"/>
      <c r="W38" s="634"/>
      <c r="X38" s="634"/>
      <c r="Y38" s="634"/>
      <c r="Z38" s="634"/>
    </row>
    <row r="39" ht="15.75" customHeight="1">
      <c r="A39" s="643" t="s">
        <v>2369</v>
      </c>
      <c r="B39" s="643"/>
      <c r="C39" s="665"/>
      <c r="D39" s="683"/>
      <c r="E39" s="666" t="s">
        <v>2555</v>
      </c>
      <c r="F39" s="666" t="s">
        <v>5300</v>
      </c>
      <c r="G39" s="697" t="s">
        <v>5005</v>
      </c>
      <c r="H39" s="698">
        <v>1.1564131</v>
      </c>
      <c r="I39" s="699">
        <v>0.06087011</v>
      </c>
      <c r="J39" s="699">
        <v>0.010030724</v>
      </c>
      <c r="K39" s="699">
        <v>1.08551133456</v>
      </c>
      <c r="L39" s="699">
        <v>0.0</v>
      </c>
      <c r="M39" s="699">
        <v>1.075</v>
      </c>
      <c r="N39" s="700">
        <v>0.0048173834</v>
      </c>
      <c r="O39" s="700">
        <v>0.0043359671</v>
      </c>
      <c r="P39" s="701">
        <v>10.591063</v>
      </c>
      <c r="Q39" s="635"/>
      <c r="R39" s="718">
        <f t="shared" si="2"/>
        <v>0.070900834</v>
      </c>
      <c r="S39" s="635"/>
      <c r="T39" s="635"/>
      <c r="U39" s="634"/>
      <c r="V39" s="634"/>
      <c r="W39" s="634"/>
      <c r="X39" s="634"/>
      <c r="Y39" s="634"/>
      <c r="Z39" s="634"/>
    </row>
    <row r="40" ht="15.75" customHeight="1">
      <c r="A40" s="643" t="s">
        <v>2371</v>
      </c>
      <c r="B40" s="643"/>
      <c r="C40" s="665"/>
      <c r="D40" s="683"/>
      <c r="E40" s="666" t="s">
        <v>2413</v>
      </c>
      <c r="F40" s="666" t="s">
        <v>5301</v>
      </c>
      <c r="G40" s="697" t="s">
        <v>5005</v>
      </c>
      <c r="H40" s="698">
        <v>0.81059815</v>
      </c>
      <c r="I40" s="699">
        <v>0.44293091</v>
      </c>
      <c r="J40" s="699">
        <v>0.29036494</v>
      </c>
      <c r="K40" s="699">
        <v>0.07730020119999999</v>
      </c>
      <c r="L40" s="699">
        <v>1.0</v>
      </c>
      <c r="M40" s="699">
        <v>0.0</v>
      </c>
      <c r="N40" s="700">
        <v>0.099573929</v>
      </c>
      <c r="O40" s="700">
        <v>0.027889252</v>
      </c>
      <c r="P40" s="701">
        <v>85.783547</v>
      </c>
      <c r="Q40" s="635"/>
      <c r="R40" s="718">
        <f t="shared" si="2"/>
        <v>0.73329585</v>
      </c>
      <c r="S40" s="635"/>
      <c r="T40" s="635"/>
      <c r="U40" s="634"/>
      <c r="V40" s="634"/>
      <c r="W40" s="634"/>
      <c r="X40" s="634"/>
      <c r="Y40" s="634"/>
      <c r="Z40" s="634"/>
    </row>
    <row r="41" ht="15.75" customHeight="1">
      <c r="A41" s="643" t="s">
        <v>2373</v>
      </c>
      <c r="B41" s="643"/>
      <c r="C41" s="671"/>
      <c r="D41" s="686"/>
      <c r="E41" s="672" t="s">
        <v>2574</v>
      </c>
      <c r="F41" s="672" t="s">
        <v>5302</v>
      </c>
      <c r="G41" s="703" t="s">
        <v>5005</v>
      </c>
      <c r="H41" s="704">
        <v>0.15962665</v>
      </c>
      <c r="I41" s="705">
        <v>0.068995018</v>
      </c>
      <c r="J41" s="705">
        <v>0.054982437</v>
      </c>
      <c r="K41" s="705">
        <v>0.03564908413</v>
      </c>
      <c r="L41" s="705">
        <v>1.0</v>
      </c>
      <c r="M41" s="705">
        <v>0.0</v>
      </c>
      <c r="N41" s="706">
        <v>0.04295691</v>
      </c>
      <c r="O41" s="706">
        <v>0.0049161155</v>
      </c>
      <c r="P41" s="707">
        <v>49.856863</v>
      </c>
      <c r="Q41" s="635"/>
      <c r="R41" s="719">
        <f t="shared" si="2"/>
        <v>0.123977455</v>
      </c>
      <c r="S41" s="635"/>
      <c r="T41" s="635"/>
      <c r="U41" s="634"/>
      <c r="V41" s="634"/>
      <c r="W41" s="634"/>
      <c r="X41" s="634"/>
      <c r="Y41" s="634"/>
      <c r="Z41" s="634"/>
    </row>
    <row r="42" ht="15.75" customHeight="1">
      <c r="A42" s="643"/>
      <c r="B42" s="643"/>
      <c r="C42" s="643" t="s">
        <v>5303</v>
      </c>
      <c r="D42" s="643"/>
      <c r="E42" s="645"/>
      <c r="F42" s="643"/>
      <c r="G42" s="646"/>
      <c r="H42" s="645"/>
      <c r="I42" s="645"/>
      <c r="J42" s="645"/>
      <c r="K42" s="645"/>
      <c r="L42" s="645"/>
      <c r="M42" s="645"/>
      <c r="N42" s="645"/>
      <c r="O42" s="645"/>
      <c r="P42" s="645"/>
      <c r="Q42" s="635"/>
      <c r="R42" s="634"/>
      <c r="S42" s="635"/>
      <c r="T42" s="635"/>
      <c r="U42" s="634"/>
      <c r="V42" s="720"/>
      <c r="W42" s="720"/>
      <c r="X42" s="720"/>
      <c r="Y42" s="634"/>
      <c r="Z42" s="634"/>
    </row>
    <row r="43" ht="15.75" customHeight="1">
      <c r="A43" s="643"/>
      <c r="B43" s="643"/>
      <c r="C43" s="643" t="s">
        <v>5222</v>
      </c>
      <c r="D43" s="643"/>
      <c r="E43" s="721"/>
      <c r="F43" s="643"/>
      <c r="G43" s="646"/>
      <c r="H43" s="645"/>
      <c r="I43" s="645"/>
      <c r="J43" s="645"/>
      <c r="K43" s="645"/>
      <c r="L43" s="645"/>
      <c r="M43" s="645"/>
      <c r="N43" s="645"/>
      <c r="O43" s="645"/>
      <c r="P43" s="645"/>
      <c r="Q43" s="634"/>
      <c r="R43" s="634"/>
      <c r="S43" s="635"/>
      <c r="T43" s="635"/>
      <c r="U43" s="634"/>
      <c r="V43" s="634"/>
      <c r="W43" s="634"/>
      <c r="X43" s="634"/>
      <c r="Y43" s="634"/>
      <c r="Z43" s="634"/>
    </row>
    <row r="44" ht="15.75" customHeight="1">
      <c r="A44" s="643"/>
      <c r="B44" s="643"/>
      <c r="C44" s="643"/>
      <c r="D44" s="643"/>
      <c r="E44" s="645"/>
      <c r="F44" s="643"/>
      <c r="G44" s="646"/>
      <c r="H44" s="645"/>
      <c r="I44" s="645"/>
      <c r="J44" s="645"/>
      <c r="K44" s="645"/>
      <c r="L44" s="645"/>
      <c r="M44" s="645"/>
      <c r="N44" s="645"/>
      <c r="O44" s="645"/>
      <c r="P44" s="645"/>
      <c r="Q44" s="634"/>
      <c r="R44" s="634"/>
      <c r="S44" s="635"/>
      <c r="T44" s="635"/>
      <c r="U44" s="634"/>
      <c r="V44" s="634"/>
      <c r="W44" s="634"/>
      <c r="X44" s="634"/>
      <c r="Y44" s="634"/>
      <c r="Z44" s="634"/>
    </row>
    <row r="45" ht="15.75" customHeight="1">
      <c r="A45" s="643"/>
      <c r="B45" s="643"/>
      <c r="C45" s="643" t="s">
        <v>5223</v>
      </c>
      <c r="D45" s="643"/>
      <c r="E45" s="645"/>
      <c r="F45" s="643"/>
      <c r="G45" s="646"/>
      <c r="H45" s="645"/>
      <c r="I45" s="645"/>
      <c r="J45" s="645"/>
      <c r="K45" s="645"/>
      <c r="L45" s="645"/>
      <c r="M45" s="645"/>
      <c r="N45" s="645"/>
      <c r="O45" s="645"/>
      <c r="P45" s="645"/>
      <c r="Q45" s="634"/>
      <c r="R45" s="634"/>
      <c r="S45" s="635"/>
      <c r="T45" s="635"/>
      <c r="U45" s="634"/>
      <c r="V45" s="634"/>
      <c r="W45" s="634"/>
      <c r="X45" s="634"/>
      <c r="Y45" s="634"/>
      <c r="Z45" s="634"/>
    </row>
    <row r="46" ht="15.75" customHeight="1">
      <c r="A46" s="634"/>
      <c r="B46" s="634"/>
      <c r="C46" s="634"/>
      <c r="D46" s="634"/>
      <c r="E46" s="635"/>
      <c r="F46" s="634"/>
      <c r="G46" s="636"/>
      <c r="H46" s="635"/>
      <c r="I46" s="635"/>
      <c r="J46" s="635"/>
      <c r="K46" s="635"/>
      <c r="L46" s="635"/>
      <c r="M46" s="635"/>
      <c r="N46" s="635"/>
      <c r="O46" s="635"/>
      <c r="P46" s="635"/>
      <c r="Q46" s="634"/>
      <c r="R46" s="634"/>
      <c r="S46" s="635"/>
      <c r="T46" s="635"/>
      <c r="U46" s="634"/>
      <c r="V46" s="634"/>
      <c r="W46" s="634"/>
      <c r="X46" s="634"/>
      <c r="Y46" s="634"/>
      <c r="Z46" s="634"/>
    </row>
    <row r="47" ht="15.75" customHeight="1">
      <c r="A47" s="634"/>
      <c r="B47" s="634"/>
      <c r="C47" s="634"/>
      <c r="D47" s="634"/>
      <c r="E47" s="635"/>
      <c r="F47" s="634"/>
      <c r="G47" s="636"/>
      <c r="H47" s="635"/>
      <c r="I47" s="635"/>
      <c r="J47" s="635"/>
      <c r="K47" s="635"/>
      <c r="L47" s="635"/>
      <c r="M47" s="635"/>
      <c r="N47" s="635"/>
      <c r="O47" s="635"/>
      <c r="P47" s="635"/>
      <c r="Q47" s="634"/>
      <c r="R47" s="634"/>
      <c r="S47" s="635"/>
      <c r="T47" s="635"/>
      <c r="U47" s="634"/>
      <c r="V47" s="634"/>
      <c r="W47" s="634"/>
      <c r="X47" s="634"/>
      <c r="Y47" s="634"/>
      <c r="Z47" s="634"/>
    </row>
    <row r="48" ht="15.75" customHeight="1">
      <c r="A48" s="638"/>
      <c r="B48" s="638"/>
      <c r="C48" s="639" t="s">
        <v>5304</v>
      </c>
      <c r="D48" s="638"/>
      <c r="E48" s="640"/>
      <c r="F48" s="638"/>
      <c r="G48" s="641"/>
      <c r="H48" s="642"/>
      <c r="I48" s="642"/>
      <c r="J48" s="642"/>
      <c r="K48" s="642"/>
      <c r="L48" s="642"/>
      <c r="M48" s="642"/>
      <c r="N48" s="642"/>
      <c r="O48" s="642"/>
      <c r="P48" s="642"/>
      <c r="Q48" s="638"/>
      <c r="R48" s="638"/>
      <c r="S48" s="638"/>
      <c r="T48" s="638"/>
      <c r="U48" s="638"/>
      <c r="V48" s="638"/>
      <c r="W48" s="638"/>
      <c r="X48" s="638"/>
      <c r="Y48" s="638"/>
      <c r="Z48" s="638"/>
    </row>
    <row r="49" ht="15.75" customHeight="1">
      <c r="A49" s="643"/>
      <c r="B49" s="643"/>
      <c r="C49" s="644" t="s">
        <v>5305</v>
      </c>
      <c r="D49" s="643"/>
      <c r="E49" s="645"/>
      <c r="F49" s="643"/>
      <c r="G49" s="646"/>
      <c r="H49" s="645"/>
      <c r="I49" s="645"/>
      <c r="J49" s="645"/>
      <c r="K49" s="645"/>
      <c r="L49" s="645"/>
      <c r="M49" s="700"/>
      <c r="N49" s="700"/>
      <c r="O49" s="645"/>
      <c r="P49" s="645"/>
      <c r="Q49" s="634"/>
      <c r="R49" s="634"/>
      <c r="S49" s="635"/>
      <c r="T49" s="635"/>
      <c r="U49" s="634"/>
      <c r="V49" s="634"/>
      <c r="W49" s="634"/>
      <c r="X49" s="634"/>
      <c r="Y49" s="634"/>
      <c r="Z49" s="634"/>
    </row>
    <row r="50" ht="115.5" customHeight="1">
      <c r="A50" s="652" t="s">
        <v>5021</v>
      </c>
      <c r="B50" s="652"/>
      <c r="C50" s="653"/>
      <c r="D50" s="653" t="s">
        <v>5226</v>
      </c>
      <c r="E50" s="653" t="s">
        <v>5024</v>
      </c>
      <c r="F50" s="655" t="s">
        <v>5025</v>
      </c>
      <c r="G50" s="656" t="s">
        <v>5026</v>
      </c>
      <c r="H50" s="657" t="s">
        <v>5027</v>
      </c>
      <c r="I50" s="657" t="s">
        <v>5028</v>
      </c>
      <c r="J50" s="657" t="s">
        <v>5029</v>
      </c>
      <c r="K50" s="657" t="s">
        <v>5030</v>
      </c>
      <c r="L50" s="657" t="s">
        <v>5031</v>
      </c>
      <c r="M50" s="657"/>
      <c r="N50" s="657" t="s">
        <v>5032</v>
      </c>
      <c r="O50" s="657" t="s">
        <v>5033</v>
      </c>
      <c r="P50" s="657" t="s">
        <v>5034</v>
      </c>
      <c r="Q50" s="722"/>
      <c r="R50" s="658" t="s">
        <v>5035</v>
      </c>
      <c r="S50" s="635"/>
      <c r="T50" s="635"/>
      <c r="U50" s="634"/>
      <c r="V50" s="634"/>
      <c r="W50" s="634"/>
      <c r="X50" s="634"/>
      <c r="Y50" s="634"/>
      <c r="Z50" s="634"/>
    </row>
    <row r="51" ht="15.75" customHeight="1">
      <c r="A51" s="643" t="s">
        <v>2212</v>
      </c>
      <c r="B51" s="643"/>
      <c r="C51" s="659" t="s">
        <v>5228</v>
      </c>
      <c r="D51" s="677" t="s">
        <v>5229</v>
      </c>
      <c r="E51" s="660" t="s">
        <v>2390</v>
      </c>
      <c r="F51" s="660" t="s">
        <v>5306</v>
      </c>
      <c r="G51" s="691" t="s">
        <v>5005</v>
      </c>
      <c r="H51" s="692">
        <v>1.2384485</v>
      </c>
      <c r="I51" s="693">
        <v>1.1919726</v>
      </c>
      <c r="J51" s="693">
        <v>0.037450788</v>
      </c>
      <c r="K51" s="693">
        <v>0.00902361655</v>
      </c>
      <c r="L51" s="693">
        <v>0.0</v>
      </c>
      <c r="M51" s="694"/>
      <c r="N51" s="694">
        <v>0.083504823</v>
      </c>
      <c r="O51" s="694">
        <v>0.08045627</v>
      </c>
      <c r="P51" s="695">
        <v>64.875362</v>
      </c>
      <c r="Q51" s="723"/>
      <c r="R51" s="717">
        <f t="shared" ref="R51:R111" si="3">I51+J51</f>
        <v>1.229423388</v>
      </c>
      <c r="S51" s="635"/>
      <c r="T51" s="635"/>
      <c r="U51" s="634"/>
      <c r="V51" s="634"/>
      <c r="W51" s="634"/>
      <c r="X51" s="634"/>
      <c r="Y51" s="634"/>
      <c r="Z51" s="634"/>
    </row>
    <row r="52" ht="15.75" customHeight="1">
      <c r="A52" s="643" t="s">
        <v>2214</v>
      </c>
      <c r="B52" s="643"/>
      <c r="C52" s="665"/>
      <c r="D52" s="678"/>
      <c r="E52" s="666" t="s">
        <v>2393</v>
      </c>
      <c r="F52" s="666" t="s">
        <v>5307</v>
      </c>
      <c r="G52" s="697" t="s">
        <v>5005</v>
      </c>
      <c r="H52" s="698">
        <v>1.0676543</v>
      </c>
      <c r="I52" s="699">
        <v>1.0510146</v>
      </c>
      <c r="J52" s="699">
        <v>0.012168989</v>
      </c>
      <c r="K52" s="699">
        <v>0.00446935648</v>
      </c>
      <c r="L52" s="699">
        <v>0.0</v>
      </c>
      <c r="M52" s="700"/>
      <c r="N52" s="700">
        <v>0.063276849</v>
      </c>
      <c r="O52" s="700">
        <v>0.057461796</v>
      </c>
      <c r="P52" s="701">
        <v>37.9986</v>
      </c>
      <c r="Q52" s="723"/>
      <c r="R52" s="718">
        <f t="shared" si="3"/>
        <v>1.063183589</v>
      </c>
      <c r="S52" s="635"/>
      <c r="T52" s="635"/>
      <c r="U52" s="634"/>
      <c r="V52" s="634"/>
      <c r="W52" s="634"/>
      <c r="X52" s="634"/>
      <c r="Y52" s="634"/>
      <c r="Z52" s="634"/>
    </row>
    <row r="53" ht="15.75" customHeight="1">
      <c r="A53" s="643" t="s">
        <v>2216</v>
      </c>
      <c r="B53" s="643"/>
      <c r="C53" s="665"/>
      <c r="D53" s="678"/>
      <c r="E53" s="666" t="s">
        <v>2395</v>
      </c>
      <c r="F53" s="666" t="s">
        <v>5308</v>
      </c>
      <c r="G53" s="697" t="s">
        <v>5005</v>
      </c>
      <c r="H53" s="698">
        <v>1.1633195</v>
      </c>
      <c r="I53" s="699">
        <v>1.1239047</v>
      </c>
      <c r="J53" s="699">
        <v>0.03100351</v>
      </c>
      <c r="K53" s="699">
        <v>0.0084100553</v>
      </c>
      <c r="L53" s="699">
        <v>0.0</v>
      </c>
      <c r="M53" s="700"/>
      <c r="N53" s="700">
        <v>0.075804023</v>
      </c>
      <c r="O53" s="700">
        <v>0.072426671</v>
      </c>
      <c r="P53" s="701">
        <v>55.458359</v>
      </c>
      <c r="Q53" s="723"/>
      <c r="R53" s="718">
        <f t="shared" si="3"/>
        <v>1.15490821</v>
      </c>
      <c r="S53" s="635"/>
      <c r="T53" s="635"/>
      <c r="U53" s="634"/>
      <c r="V53" s="634"/>
      <c r="W53" s="634"/>
      <c r="X53" s="634"/>
      <c r="Y53" s="634"/>
      <c r="Z53" s="634"/>
    </row>
    <row r="54" ht="15.75" customHeight="1">
      <c r="A54" s="643" t="s">
        <v>2218</v>
      </c>
      <c r="B54" s="643"/>
      <c r="C54" s="665"/>
      <c r="D54" s="678"/>
      <c r="E54" s="666" t="s">
        <v>2397</v>
      </c>
      <c r="F54" s="666" t="s">
        <v>5309</v>
      </c>
      <c r="G54" s="697" t="s">
        <v>5005</v>
      </c>
      <c r="H54" s="698">
        <v>1.4667806177800002</v>
      </c>
      <c r="I54" s="699">
        <v>1.4288494888800003</v>
      </c>
      <c r="J54" s="699">
        <v>0.024683654</v>
      </c>
      <c r="K54" s="699">
        <v>0.0132474749</v>
      </c>
      <c r="L54" s="699">
        <v>0.0</v>
      </c>
      <c r="M54" s="700"/>
      <c r="N54" s="700">
        <v>0.12190331</v>
      </c>
      <c r="O54" s="700">
        <v>0.10241891</v>
      </c>
      <c r="P54" s="701">
        <v>132.58013</v>
      </c>
      <c r="Q54" s="723"/>
      <c r="R54" s="718">
        <f t="shared" si="3"/>
        <v>1.453533143</v>
      </c>
      <c r="S54" s="635"/>
      <c r="T54" s="635"/>
      <c r="U54" s="634"/>
      <c r="V54" s="634"/>
      <c r="W54" s="634"/>
      <c r="X54" s="634"/>
      <c r="Y54" s="634"/>
      <c r="Z54" s="634"/>
    </row>
    <row r="55" ht="15.75" customHeight="1">
      <c r="A55" s="643" t="s">
        <v>2220</v>
      </c>
      <c r="B55" s="643"/>
      <c r="C55" s="671"/>
      <c r="D55" s="679"/>
      <c r="E55" s="672" t="s">
        <v>2399</v>
      </c>
      <c r="F55" s="672" t="s">
        <v>5310</v>
      </c>
      <c r="G55" s="703" t="s">
        <v>5005</v>
      </c>
      <c r="H55" s="704">
        <v>1.20460180593</v>
      </c>
      <c r="I55" s="705">
        <v>1.18181278254</v>
      </c>
      <c r="J55" s="705">
        <v>0.014475054</v>
      </c>
      <c r="K55" s="705">
        <v>0.00831396939</v>
      </c>
      <c r="L55" s="705">
        <v>0.0</v>
      </c>
      <c r="M55" s="706"/>
      <c r="N55" s="706">
        <v>0.11089217</v>
      </c>
      <c r="O55" s="706">
        <v>0.086562975</v>
      </c>
      <c r="P55" s="707">
        <v>126.67416</v>
      </c>
      <c r="Q55" s="723"/>
      <c r="R55" s="719">
        <f t="shared" si="3"/>
        <v>1.196287837</v>
      </c>
      <c r="S55" s="635"/>
      <c r="T55" s="635"/>
      <c r="U55" s="634"/>
      <c r="V55" s="634"/>
      <c r="W55" s="634"/>
      <c r="X55" s="634"/>
      <c r="Y55" s="634"/>
      <c r="Z55" s="634"/>
    </row>
    <row r="56" ht="15.75" customHeight="1">
      <c r="A56" s="643" t="s">
        <v>2222</v>
      </c>
      <c r="B56" s="643"/>
      <c r="C56" s="659"/>
      <c r="D56" s="677" t="s">
        <v>5240</v>
      </c>
      <c r="E56" s="660" t="s">
        <v>2401</v>
      </c>
      <c r="F56" s="666" t="s">
        <v>5311</v>
      </c>
      <c r="G56" s="691" t="s">
        <v>5005</v>
      </c>
      <c r="H56" s="692">
        <v>1.1103888</v>
      </c>
      <c r="I56" s="693">
        <v>0.092857681</v>
      </c>
      <c r="J56" s="693">
        <v>0.023567966</v>
      </c>
      <c r="K56" s="693">
        <v>0.99396297495</v>
      </c>
      <c r="L56" s="693">
        <v>0.0</v>
      </c>
      <c r="M56" s="694"/>
      <c r="N56" s="694">
        <v>0.0076010379</v>
      </c>
      <c r="O56" s="694">
        <v>0.0060175154</v>
      </c>
      <c r="P56" s="695">
        <v>25.862199</v>
      </c>
      <c r="Q56" s="723"/>
      <c r="R56" s="717">
        <f t="shared" si="3"/>
        <v>0.116425647</v>
      </c>
      <c r="S56" s="635"/>
      <c r="T56" s="635"/>
      <c r="U56" s="634"/>
      <c r="V56" s="634"/>
      <c r="W56" s="634"/>
      <c r="X56" s="634"/>
      <c r="Y56" s="634"/>
      <c r="Z56" s="634"/>
    </row>
    <row r="57" ht="15.75" customHeight="1">
      <c r="A57" s="643" t="s">
        <v>2224</v>
      </c>
      <c r="B57" s="643"/>
      <c r="C57" s="665"/>
      <c r="D57" s="678"/>
      <c r="E57" s="666" t="s">
        <v>2403</v>
      </c>
      <c r="F57" s="666" t="s">
        <v>5312</v>
      </c>
      <c r="G57" s="697" t="s">
        <v>5005</v>
      </c>
      <c r="H57" s="698">
        <v>1.1131712</v>
      </c>
      <c r="I57" s="699">
        <v>0.093177238</v>
      </c>
      <c r="J57" s="699">
        <v>0.025579079</v>
      </c>
      <c r="K57" s="699">
        <v>0.99441466709</v>
      </c>
      <c r="L57" s="699">
        <v>0.0</v>
      </c>
      <c r="M57" s="700"/>
      <c r="N57" s="700">
        <v>0.0076272426</v>
      </c>
      <c r="O57" s="700">
        <v>0.0060409451</v>
      </c>
      <c r="P57" s="701">
        <v>24.507085</v>
      </c>
      <c r="Q57" s="723"/>
      <c r="R57" s="718">
        <f t="shared" si="3"/>
        <v>0.118756317</v>
      </c>
      <c r="S57" s="635"/>
      <c r="T57" s="635"/>
      <c r="U57" s="634"/>
      <c r="V57" s="634"/>
      <c r="W57" s="634"/>
      <c r="X57" s="634"/>
      <c r="Y57" s="634"/>
      <c r="Z57" s="634"/>
    </row>
    <row r="58" ht="15.75" customHeight="1">
      <c r="A58" s="643" t="s">
        <v>2226</v>
      </c>
      <c r="B58" s="643"/>
      <c r="C58" s="665"/>
      <c r="D58" s="678"/>
      <c r="E58" s="666" t="s">
        <v>5313</v>
      </c>
      <c r="F58" s="666" t="s">
        <v>5314</v>
      </c>
      <c r="G58" s="697" t="s">
        <v>5005</v>
      </c>
      <c r="H58" s="698">
        <v>1.1138188</v>
      </c>
      <c r="I58" s="699">
        <v>0.031443903</v>
      </c>
      <c r="J58" s="699">
        <v>0.03132042</v>
      </c>
      <c r="K58" s="699">
        <v>1.05105435753</v>
      </c>
      <c r="L58" s="699">
        <v>0.0</v>
      </c>
      <c r="M58" s="700"/>
      <c r="N58" s="700">
        <v>0.0029774109</v>
      </c>
      <c r="O58" s="700">
        <v>0.0019810931</v>
      </c>
      <c r="P58" s="701">
        <v>22.444472</v>
      </c>
      <c r="Q58" s="723"/>
      <c r="R58" s="718">
        <f t="shared" si="3"/>
        <v>0.062764323</v>
      </c>
      <c r="S58" s="635"/>
      <c r="T58" s="635"/>
      <c r="U58" s="634"/>
      <c r="V58" s="634"/>
      <c r="W58" s="634"/>
      <c r="X58" s="634"/>
      <c r="Y58" s="634"/>
      <c r="Z58" s="634"/>
    </row>
    <row r="59" ht="15.75" customHeight="1">
      <c r="A59" s="643" t="s">
        <v>2228</v>
      </c>
      <c r="B59" s="643"/>
      <c r="C59" s="665"/>
      <c r="D59" s="678"/>
      <c r="E59" s="666" t="s">
        <v>2407</v>
      </c>
      <c r="F59" s="666" t="s">
        <v>5315</v>
      </c>
      <c r="G59" s="697" t="s">
        <v>5005</v>
      </c>
      <c r="H59" s="698">
        <v>1.1166001</v>
      </c>
      <c r="I59" s="699">
        <v>0.031763345</v>
      </c>
      <c r="J59" s="699">
        <v>0.03333081</v>
      </c>
      <c r="K59" s="699">
        <v>1.0515059337500001</v>
      </c>
      <c r="L59" s="699">
        <v>0.0</v>
      </c>
      <c r="M59" s="700"/>
      <c r="N59" s="700">
        <v>0.0030036062</v>
      </c>
      <c r="O59" s="700">
        <v>0.0020045144</v>
      </c>
      <c r="P59" s="701">
        <v>20.484591</v>
      </c>
      <c r="Q59" s="723"/>
      <c r="R59" s="718">
        <f t="shared" si="3"/>
        <v>0.065094155</v>
      </c>
      <c r="S59" s="635"/>
      <c r="T59" s="635"/>
      <c r="U59" s="634"/>
      <c r="V59" s="634"/>
      <c r="W59" s="634"/>
      <c r="X59" s="634"/>
      <c r="Y59" s="634"/>
      <c r="Z59" s="634"/>
    </row>
    <row r="60" ht="15.75" customHeight="1">
      <c r="A60" s="643" t="s">
        <v>2230</v>
      </c>
      <c r="B60" s="643"/>
      <c r="C60" s="665"/>
      <c r="D60" s="678"/>
      <c r="E60" s="666" t="s">
        <v>2409</v>
      </c>
      <c r="F60" s="666" t="s">
        <v>5316</v>
      </c>
      <c r="G60" s="697" t="s">
        <v>5005</v>
      </c>
      <c r="H60" s="698">
        <v>1.1951622</v>
      </c>
      <c r="I60" s="699">
        <v>0.09648716</v>
      </c>
      <c r="J60" s="699">
        <v>0.060833267</v>
      </c>
      <c r="K60" s="699">
        <v>1.0378415959</v>
      </c>
      <c r="L60" s="699">
        <v>0.0</v>
      </c>
      <c r="M60" s="700"/>
      <c r="N60" s="700">
        <v>0.0075586595</v>
      </c>
      <c r="O60" s="700">
        <v>0.0063164707</v>
      </c>
      <c r="P60" s="701">
        <v>22.53344</v>
      </c>
      <c r="Q60" s="723"/>
      <c r="R60" s="718">
        <f t="shared" si="3"/>
        <v>0.157320427</v>
      </c>
      <c r="S60" s="635"/>
      <c r="T60" s="635"/>
      <c r="U60" s="634"/>
      <c r="V60" s="634"/>
      <c r="W60" s="634"/>
      <c r="X60" s="634"/>
      <c r="Y60" s="634"/>
      <c r="Z60" s="634"/>
    </row>
    <row r="61" ht="15.75" customHeight="1">
      <c r="A61" s="643" t="s">
        <v>2232</v>
      </c>
      <c r="B61" s="643"/>
      <c r="C61" s="665"/>
      <c r="D61" s="678"/>
      <c r="E61" s="666" t="s">
        <v>2411</v>
      </c>
      <c r="F61" s="666" t="s">
        <v>5317</v>
      </c>
      <c r="G61" s="697" t="s">
        <v>5005</v>
      </c>
      <c r="H61" s="698">
        <v>1.1979436</v>
      </c>
      <c r="I61" s="699">
        <v>0.096806603</v>
      </c>
      <c r="J61" s="699">
        <v>0.062843657</v>
      </c>
      <c r="K61" s="699">
        <v>1.0382931719000001</v>
      </c>
      <c r="L61" s="699">
        <v>0.0</v>
      </c>
      <c r="M61" s="700"/>
      <c r="N61" s="700">
        <v>0.0075848548</v>
      </c>
      <c r="O61" s="700">
        <v>0.006339892</v>
      </c>
      <c r="P61" s="701">
        <v>21.343857</v>
      </c>
      <c r="Q61" s="723"/>
      <c r="R61" s="718">
        <f t="shared" si="3"/>
        <v>0.15965026</v>
      </c>
      <c r="S61" s="635"/>
      <c r="T61" s="635"/>
      <c r="U61" s="634"/>
      <c r="V61" s="634"/>
      <c r="W61" s="634"/>
      <c r="X61" s="634"/>
      <c r="Y61" s="634"/>
      <c r="Z61" s="634"/>
    </row>
    <row r="62" ht="15.75" customHeight="1">
      <c r="A62" s="643" t="s">
        <v>2234</v>
      </c>
      <c r="B62" s="643"/>
      <c r="C62" s="671"/>
      <c r="D62" s="679"/>
      <c r="E62" s="672" t="s">
        <v>2413</v>
      </c>
      <c r="F62" s="666" t="s">
        <v>5318</v>
      </c>
      <c r="G62" s="703" t="s">
        <v>5005</v>
      </c>
      <c r="H62" s="704">
        <v>0.33151098</v>
      </c>
      <c r="I62" s="705">
        <v>0.17900582</v>
      </c>
      <c r="J62" s="705">
        <v>0.12039344</v>
      </c>
      <c r="K62" s="705">
        <v>0.032110911900000004</v>
      </c>
      <c r="L62" s="705">
        <v>0.0</v>
      </c>
      <c r="M62" s="706"/>
      <c r="N62" s="706">
        <v>0.036037744</v>
      </c>
      <c r="O62" s="706">
        <v>0.01147565</v>
      </c>
      <c r="P62" s="707">
        <v>30.39211</v>
      </c>
      <c r="Q62" s="723"/>
      <c r="R62" s="719">
        <f t="shared" si="3"/>
        <v>0.29939926</v>
      </c>
      <c r="S62" s="635"/>
      <c r="T62" s="635"/>
      <c r="U62" s="634"/>
      <c r="V62" s="634"/>
      <c r="W62" s="634"/>
      <c r="X62" s="634"/>
      <c r="Y62" s="634"/>
      <c r="Z62" s="634"/>
    </row>
    <row r="63" ht="15.75" customHeight="1">
      <c r="A63" s="643" t="s">
        <v>2604</v>
      </c>
      <c r="B63" s="643"/>
      <c r="C63" s="659" t="s">
        <v>2923</v>
      </c>
      <c r="D63" s="677" t="s">
        <v>5229</v>
      </c>
      <c r="E63" s="660" t="s">
        <v>2934</v>
      </c>
      <c r="F63" s="660" t="s">
        <v>5319</v>
      </c>
      <c r="G63" s="691" t="s">
        <v>5005</v>
      </c>
      <c r="H63" s="692">
        <v>1.2230883</v>
      </c>
      <c r="I63" s="693">
        <v>1.2088332</v>
      </c>
      <c r="J63" s="693">
        <v>0.011004154</v>
      </c>
      <c r="K63" s="693">
        <v>0.00324902674</v>
      </c>
      <c r="L63" s="693">
        <v>0.0</v>
      </c>
      <c r="M63" s="694"/>
      <c r="N63" s="694">
        <v>0.085391954</v>
      </c>
      <c r="O63" s="694">
        <v>0.081364043</v>
      </c>
      <c r="P63" s="695">
        <v>111.1054</v>
      </c>
      <c r="Q63" s="723"/>
      <c r="R63" s="717">
        <f t="shared" si="3"/>
        <v>1.219837354</v>
      </c>
      <c r="S63" s="635"/>
      <c r="T63" s="635"/>
      <c r="U63" s="634"/>
      <c r="V63" s="634"/>
      <c r="W63" s="634"/>
      <c r="X63" s="634"/>
      <c r="Y63" s="634"/>
      <c r="Z63" s="634"/>
    </row>
    <row r="64" ht="15.75" customHeight="1">
      <c r="A64" s="643" t="s">
        <v>2598</v>
      </c>
      <c r="B64" s="643"/>
      <c r="C64" s="665"/>
      <c r="D64" s="678"/>
      <c r="E64" s="666" t="s">
        <v>2932</v>
      </c>
      <c r="F64" s="666" t="s">
        <v>5320</v>
      </c>
      <c r="G64" s="697" t="s">
        <v>5005</v>
      </c>
      <c r="H64" s="698">
        <v>1.2442384</v>
      </c>
      <c r="I64" s="699">
        <v>1.2286808</v>
      </c>
      <c r="J64" s="699">
        <v>0.012134199</v>
      </c>
      <c r="K64" s="699">
        <v>0.0034217755499999997</v>
      </c>
      <c r="L64" s="699">
        <v>0.0</v>
      </c>
      <c r="M64" s="700"/>
      <c r="N64" s="700">
        <v>0.086224881</v>
      </c>
      <c r="O64" s="700">
        <v>0.082024749</v>
      </c>
      <c r="P64" s="701">
        <v>99.176837</v>
      </c>
      <c r="Q64" s="723"/>
      <c r="R64" s="718">
        <f t="shared" si="3"/>
        <v>1.240814999</v>
      </c>
      <c r="S64" s="635"/>
      <c r="T64" s="635"/>
      <c r="U64" s="634"/>
      <c r="V64" s="634"/>
      <c r="W64" s="634"/>
      <c r="X64" s="634"/>
      <c r="Y64" s="634"/>
      <c r="Z64" s="634"/>
    </row>
    <row r="65" ht="15.75" customHeight="1">
      <c r="A65" s="643" t="s">
        <v>2610</v>
      </c>
      <c r="B65" s="643"/>
      <c r="C65" s="665"/>
      <c r="D65" s="678"/>
      <c r="E65" s="666" t="s">
        <v>2936</v>
      </c>
      <c r="F65" s="666" t="s">
        <v>5321</v>
      </c>
      <c r="G65" s="697" t="s">
        <v>5005</v>
      </c>
      <c r="H65" s="698">
        <v>1.2102189</v>
      </c>
      <c r="I65" s="699">
        <v>1.1958318</v>
      </c>
      <c r="J65" s="699">
        <v>0.011245403</v>
      </c>
      <c r="K65" s="699">
        <v>0.00314017002</v>
      </c>
      <c r="L65" s="699">
        <v>0.0</v>
      </c>
      <c r="M65" s="700"/>
      <c r="N65" s="700">
        <v>0.084330913</v>
      </c>
      <c r="O65" s="700">
        <v>0.080723083</v>
      </c>
      <c r="P65" s="701">
        <v>81.162155</v>
      </c>
      <c r="Q65" s="723"/>
      <c r="R65" s="718">
        <f t="shared" si="3"/>
        <v>1.207077203</v>
      </c>
      <c r="S65" s="635"/>
      <c r="T65" s="635"/>
      <c r="U65" s="634"/>
      <c r="V65" s="634"/>
      <c r="W65" s="634"/>
      <c r="X65" s="634"/>
      <c r="Y65" s="634"/>
      <c r="Z65" s="634"/>
    </row>
    <row r="66" ht="15.75" customHeight="1">
      <c r="A66" s="643" t="s">
        <v>2582</v>
      </c>
      <c r="B66" s="643"/>
      <c r="C66" s="665"/>
      <c r="D66" s="678"/>
      <c r="E66" s="666" t="s">
        <v>2925</v>
      </c>
      <c r="F66" s="666" t="s">
        <v>5322</v>
      </c>
      <c r="G66" s="697" t="s">
        <v>5005</v>
      </c>
      <c r="H66" s="698">
        <v>1.2750054</v>
      </c>
      <c r="I66" s="699">
        <v>1.25522</v>
      </c>
      <c r="J66" s="699">
        <v>0.015540093</v>
      </c>
      <c r="K66" s="699">
        <v>0.0042436711200000005</v>
      </c>
      <c r="L66" s="699">
        <v>0.0</v>
      </c>
      <c r="M66" s="700"/>
      <c r="N66" s="700">
        <v>0.088933387</v>
      </c>
      <c r="O66" s="700">
        <v>0.083398591</v>
      </c>
      <c r="P66" s="701">
        <v>85.715304</v>
      </c>
      <c r="Q66" s="723"/>
      <c r="R66" s="718">
        <f t="shared" si="3"/>
        <v>1.270760093</v>
      </c>
      <c r="S66" s="635"/>
      <c r="T66" s="635"/>
      <c r="U66" s="634"/>
      <c r="V66" s="634"/>
      <c r="W66" s="634"/>
      <c r="X66" s="634"/>
      <c r="Y66" s="634"/>
      <c r="Z66" s="634"/>
    </row>
    <row r="67" ht="15.75" customHeight="1">
      <c r="A67" s="643" t="s">
        <v>2616</v>
      </c>
      <c r="B67" s="643"/>
      <c r="C67" s="665"/>
      <c r="D67" s="678"/>
      <c r="E67" s="666" t="s">
        <v>2938</v>
      </c>
      <c r="F67" s="666" t="s">
        <v>5323</v>
      </c>
      <c r="G67" s="697" t="s">
        <v>5005</v>
      </c>
      <c r="H67" s="698">
        <v>1.1332778</v>
      </c>
      <c r="I67" s="699">
        <v>1.0885608</v>
      </c>
      <c r="J67" s="699">
        <v>0.035528778</v>
      </c>
      <c r="K67" s="699">
        <v>0.00918709177</v>
      </c>
      <c r="L67" s="699">
        <v>0.0</v>
      </c>
      <c r="M67" s="700"/>
      <c r="N67" s="700">
        <v>0.063820061</v>
      </c>
      <c r="O67" s="700">
        <v>0.059351035</v>
      </c>
      <c r="P67" s="701">
        <v>55.482782</v>
      </c>
      <c r="Q67" s="723"/>
      <c r="R67" s="718">
        <f t="shared" si="3"/>
        <v>1.124089578</v>
      </c>
      <c r="S67" s="635"/>
      <c r="T67" s="635"/>
      <c r="U67" s="634"/>
      <c r="V67" s="634"/>
      <c r="W67" s="634"/>
      <c r="X67" s="634"/>
      <c r="Y67" s="634"/>
      <c r="Z67" s="634"/>
    </row>
    <row r="68" ht="15.75" customHeight="1">
      <c r="A68" s="643" t="s">
        <v>2627</v>
      </c>
      <c r="B68" s="643"/>
      <c r="C68" s="665"/>
      <c r="D68" s="678"/>
      <c r="E68" s="666" t="s">
        <v>2942</v>
      </c>
      <c r="F68" s="666" t="s">
        <v>5324</v>
      </c>
      <c r="G68" s="697" t="s">
        <v>5005</v>
      </c>
      <c r="H68" s="698">
        <v>3.0047281</v>
      </c>
      <c r="I68" s="699">
        <v>0.34509746</v>
      </c>
      <c r="J68" s="699">
        <v>2.1718455</v>
      </c>
      <c r="K68" s="699">
        <v>0.48778489099999994</v>
      </c>
      <c r="L68" s="699">
        <v>0.0</v>
      </c>
      <c r="M68" s="700"/>
      <c r="N68" s="700">
        <v>0.028299049</v>
      </c>
      <c r="O68" s="700">
        <v>0.025302267</v>
      </c>
      <c r="P68" s="701">
        <v>121.73331</v>
      </c>
      <c r="Q68" s="723"/>
      <c r="R68" s="718">
        <f t="shared" si="3"/>
        <v>2.51694296</v>
      </c>
      <c r="S68" s="635"/>
      <c r="T68" s="635"/>
      <c r="U68" s="634"/>
      <c r="V68" s="634"/>
      <c r="W68" s="634"/>
      <c r="X68" s="634"/>
      <c r="Y68" s="634"/>
      <c r="Z68" s="634"/>
    </row>
    <row r="69" ht="15.75" customHeight="1">
      <c r="A69" s="643" t="s">
        <v>2587</v>
      </c>
      <c r="B69" s="643"/>
      <c r="C69" s="665"/>
      <c r="D69" s="678"/>
      <c r="E69" s="666" t="s">
        <v>2928</v>
      </c>
      <c r="F69" s="666" t="s">
        <v>5325</v>
      </c>
      <c r="G69" s="697" t="s">
        <v>5005</v>
      </c>
      <c r="H69" s="698">
        <v>1.2765538</v>
      </c>
      <c r="I69" s="699">
        <v>1.2565787</v>
      </c>
      <c r="J69" s="699">
        <v>0.015672754</v>
      </c>
      <c r="K69" s="699">
        <v>0.00430076768</v>
      </c>
      <c r="L69" s="699">
        <v>0.0</v>
      </c>
      <c r="M69" s="700"/>
      <c r="N69" s="700">
        <v>0.10664941</v>
      </c>
      <c r="O69" s="700">
        <v>0.084317044</v>
      </c>
      <c r="P69" s="701">
        <v>246.0576</v>
      </c>
      <c r="Q69" s="723"/>
      <c r="R69" s="718">
        <f t="shared" si="3"/>
        <v>1.272251454</v>
      </c>
      <c r="S69" s="635"/>
      <c r="T69" s="635"/>
      <c r="U69" s="634"/>
      <c r="V69" s="634"/>
      <c r="W69" s="634"/>
      <c r="X69" s="634"/>
      <c r="Y69" s="634"/>
      <c r="Z69" s="634"/>
    </row>
    <row r="70" ht="15.75" customHeight="1">
      <c r="A70" s="643" t="s">
        <v>2621</v>
      </c>
      <c r="B70" s="643"/>
      <c r="C70" s="665"/>
      <c r="D70" s="678"/>
      <c r="E70" s="666" t="s">
        <v>2940</v>
      </c>
      <c r="F70" s="672" t="s">
        <v>5326</v>
      </c>
      <c r="G70" s="703" t="s">
        <v>5005</v>
      </c>
      <c r="H70" s="704">
        <v>1.2060877</v>
      </c>
      <c r="I70" s="705">
        <v>1.1925951</v>
      </c>
      <c r="J70" s="705">
        <v>0.010435282</v>
      </c>
      <c r="K70" s="705">
        <v>0.00305543773</v>
      </c>
      <c r="L70" s="705">
        <v>0.0</v>
      </c>
      <c r="M70" s="706"/>
      <c r="N70" s="706">
        <v>0.083232556</v>
      </c>
      <c r="O70" s="706">
        <v>0.080318513</v>
      </c>
      <c r="P70" s="707">
        <v>89.403299</v>
      </c>
      <c r="Q70" s="723"/>
      <c r="R70" s="719">
        <f t="shared" si="3"/>
        <v>1.203030382</v>
      </c>
      <c r="S70" s="635"/>
      <c r="T70" s="635"/>
      <c r="U70" s="634"/>
      <c r="V70" s="634"/>
      <c r="W70" s="634"/>
      <c r="X70" s="634"/>
      <c r="Y70" s="634"/>
      <c r="Z70" s="634"/>
    </row>
    <row r="71" ht="15.75" customHeight="1">
      <c r="A71" s="643" t="s">
        <v>2593</v>
      </c>
      <c r="B71" s="643"/>
      <c r="C71" s="671"/>
      <c r="D71" s="709" t="s">
        <v>5240</v>
      </c>
      <c r="E71" s="724" t="s">
        <v>2930</v>
      </c>
      <c r="F71" s="724" t="s">
        <v>5327</v>
      </c>
      <c r="G71" s="710" t="s">
        <v>5005</v>
      </c>
      <c r="H71" s="711">
        <v>0.3469429</v>
      </c>
      <c r="I71" s="712">
        <v>0.16617257</v>
      </c>
      <c r="J71" s="712">
        <v>0.14393974</v>
      </c>
      <c r="K71" s="712">
        <v>0.0368301321</v>
      </c>
      <c r="L71" s="712">
        <v>1.0</v>
      </c>
      <c r="M71" s="713"/>
      <c r="N71" s="713">
        <v>0.031903289</v>
      </c>
      <c r="O71" s="713">
        <v>0.010526431</v>
      </c>
      <c r="P71" s="714">
        <v>44.651712</v>
      </c>
      <c r="Q71" s="723"/>
      <c r="R71" s="715">
        <f t="shared" si="3"/>
        <v>0.31011231</v>
      </c>
      <c r="S71" s="635"/>
      <c r="T71" s="635"/>
      <c r="U71" s="634"/>
      <c r="V71" s="634"/>
      <c r="W71" s="634"/>
      <c r="X71" s="634"/>
      <c r="Y71" s="634"/>
      <c r="Z71" s="634"/>
    </row>
    <row r="72" ht="15.75" customHeight="1">
      <c r="A72" s="643" t="s">
        <v>2237</v>
      </c>
      <c r="B72" s="643"/>
      <c r="C72" s="659" t="s">
        <v>5273</v>
      </c>
      <c r="D72" s="725" t="s">
        <v>2416</v>
      </c>
      <c r="E72" s="660" t="s">
        <v>2418</v>
      </c>
      <c r="F72" s="660" t="s">
        <v>5328</v>
      </c>
      <c r="G72" s="697" t="s">
        <v>5005</v>
      </c>
      <c r="H72" s="692">
        <v>1.6955411</v>
      </c>
      <c r="I72" s="693">
        <v>1.6152888</v>
      </c>
      <c r="J72" s="693">
        <v>0.064797158</v>
      </c>
      <c r="K72" s="693">
        <v>0.01545229952</v>
      </c>
      <c r="L72" s="693">
        <v>0.0</v>
      </c>
      <c r="M72" s="694"/>
      <c r="N72" s="694">
        <v>0.11321233</v>
      </c>
      <c r="O72" s="694">
        <v>0.10906275</v>
      </c>
      <c r="P72" s="695">
        <v>94.667096</v>
      </c>
      <c r="Q72" s="723"/>
      <c r="R72" s="717">
        <f t="shared" si="3"/>
        <v>1.680085958</v>
      </c>
      <c r="S72" s="635"/>
      <c r="T72" s="635"/>
      <c r="U72" s="634"/>
      <c r="V72" s="634"/>
      <c r="W72" s="634"/>
      <c r="X72" s="634"/>
      <c r="Y72" s="634"/>
      <c r="Z72" s="634"/>
    </row>
    <row r="73" ht="15.75" customHeight="1">
      <c r="A73" s="643" t="s">
        <v>2239</v>
      </c>
      <c r="B73" s="643"/>
      <c r="C73" s="665"/>
      <c r="D73" s="726"/>
      <c r="E73" s="666" t="s">
        <v>2420</v>
      </c>
      <c r="F73" s="666" t="s">
        <v>5329</v>
      </c>
      <c r="G73" s="697" t="s">
        <v>5005</v>
      </c>
      <c r="H73" s="698">
        <v>1.5229147</v>
      </c>
      <c r="I73" s="699">
        <v>1.4536613</v>
      </c>
      <c r="J73" s="699">
        <v>0.054513319</v>
      </c>
      <c r="K73" s="699">
        <v>0.01473830819</v>
      </c>
      <c r="L73" s="699">
        <v>0.0</v>
      </c>
      <c r="M73" s="700"/>
      <c r="N73" s="700">
        <v>0.087179358</v>
      </c>
      <c r="O73" s="700">
        <v>0.081565537</v>
      </c>
      <c r="P73" s="701">
        <v>53.940382</v>
      </c>
      <c r="Q73" s="723"/>
      <c r="R73" s="718">
        <f t="shared" si="3"/>
        <v>1.508174619</v>
      </c>
      <c r="S73" s="635"/>
      <c r="T73" s="635"/>
      <c r="U73" s="634"/>
      <c r="V73" s="634"/>
      <c r="W73" s="634"/>
      <c r="X73" s="634"/>
      <c r="Y73" s="634"/>
      <c r="Z73" s="634"/>
    </row>
    <row r="74" ht="15.75" customHeight="1">
      <c r="A74" s="643" t="s">
        <v>2241</v>
      </c>
      <c r="B74" s="643"/>
      <c r="C74" s="665"/>
      <c r="D74" s="726"/>
      <c r="E74" s="666" t="s">
        <v>2422</v>
      </c>
      <c r="F74" s="666" t="s">
        <v>5330</v>
      </c>
      <c r="G74" s="697" t="s">
        <v>5005</v>
      </c>
      <c r="H74" s="698">
        <v>1.7238847</v>
      </c>
      <c r="I74" s="699">
        <v>0.080863181</v>
      </c>
      <c r="J74" s="699">
        <v>0.062035191</v>
      </c>
      <c r="K74" s="699">
        <v>1.5809854402</v>
      </c>
      <c r="L74" s="699">
        <v>0.0</v>
      </c>
      <c r="M74" s="700"/>
      <c r="N74" s="700">
        <v>0.013780435</v>
      </c>
      <c r="O74" s="700">
        <v>0.0050605658</v>
      </c>
      <c r="P74" s="701">
        <v>33.258008</v>
      </c>
      <c r="Q74" s="723"/>
      <c r="R74" s="718">
        <f t="shared" si="3"/>
        <v>0.142898372</v>
      </c>
      <c r="S74" s="635"/>
      <c r="T74" s="635"/>
      <c r="U74" s="634"/>
      <c r="V74" s="634"/>
      <c r="W74" s="634"/>
      <c r="X74" s="634"/>
      <c r="Y74" s="634"/>
      <c r="Z74" s="634"/>
    </row>
    <row r="75" ht="15.75" customHeight="1">
      <c r="A75" s="643" t="s">
        <v>2243</v>
      </c>
      <c r="B75" s="643"/>
      <c r="C75" s="665"/>
      <c r="D75" s="726"/>
      <c r="E75" s="666" t="s">
        <v>2424</v>
      </c>
      <c r="F75" s="666" t="s">
        <v>5331</v>
      </c>
      <c r="G75" s="697" t="s">
        <v>5005</v>
      </c>
      <c r="H75" s="698">
        <v>1.4633584</v>
      </c>
      <c r="I75" s="699">
        <v>0.069627346</v>
      </c>
      <c r="J75" s="699">
        <v>0.058795023</v>
      </c>
      <c r="K75" s="699">
        <v>1.3349351411800001</v>
      </c>
      <c r="L75" s="699">
        <v>0.0</v>
      </c>
      <c r="M75" s="700"/>
      <c r="N75" s="700">
        <v>0.011740245</v>
      </c>
      <c r="O75" s="700">
        <v>0.0043736917</v>
      </c>
      <c r="P75" s="701">
        <v>28.369361</v>
      </c>
      <c r="Q75" s="723"/>
      <c r="R75" s="718">
        <f t="shared" si="3"/>
        <v>0.128422369</v>
      </c>
      <c r="S75" s="635"/>
      <c r="T75" s="635"/>
      <c r="U75" s="634"/>
      <c r="V75" s="634"/>
      <c r="W75" s="634"/>
      <c r="X75" s="634"/>
      <c r="Y75" s="634"/>
      <c r="Z75" s="634"/>
    </row>
    <row r="76" ht="15.75" customHeight="1">
      <c r="A76" s="643" t="s">
        <v>2245</v>
      </c>
      <c r="B76" s="643"/>
      <c r="C76" s="665"/>
      <c r="D76" s="726"/>
      <c r="E76" s="666" t="s">
        <v>2426</v>
      </c>
      <c r="F76" s="666" t="s">
        <v>5332</v>
      </c>
      <c r="G76" s="697" t="s">
        <v>5005</v>
      </c>
      <c r="H76" s="698">
        <v>2.1303143</v>
      </c>
      <c r="I76" s="699">
        <v>0.16546609</v>
      </c>
      <c r="J76" s="699">
        <v>0.97433285</v>
      </c>
      <c r="K76" s="699">
        <v>0.9905146024</v>
      </c>
      <c r="L76" s="699">
        <v>0.0</v>
      </c>
      <c r="M76" s="700"/>
      <c r="N76" s="700">
        <v>0.021679103</v>
      </c>
      <c r="O76" s="700">
        <v>0.012027768</v>
      </c>
      <c r="P76" s="701">
        <v>51.616267</v>
      </c>
      <c r="Q76" s="723"/>
      <c r="R76" s="718">
        <f t="shared" si="3"/>
        <v>1.13979894</v>
      </c>
      <c r="S76" s="635"/>
      <c r="T76" s="635"/>
      <c r="U76" s="634"/>
      <c r="V76" s="634"/>
      <c r="W76" s="634"/>
      <c r="X76" s="634"/>
      <c r="Y76" s="634"/>
      <c r="Z76" s="634"/>
    </row>
    <row r="77" ht="15.75" customHeight="1">
      <c r="A77" s="643" t="s">
        <v>2251</v>
      </c>
      <c r="B77" s="643"/>
      <c r="C77" s="665"/>
      <c r="D77" s="726"/>
      <c r="E77" s="666" t="s">
        <v>2432</v>
      </c>
      <c r="F77" s="666" t="s">
        <v>5333</v>
      </c>
      <c r="G77" s="697" t="s">
        <v>5005</v>
      </c>
      <c r="H77" s="698">
        <v>1.9013375</v>
      </c>
      <c r="I77" s="699">
        <v>0.13666486</v>
      </c>
      <c r="J77" s="699">
        <v>0.71183682</v>
      </c>
      <c r="K77" s="699">
        <v>1.0528350151</v>
      </c>
      <c r="L77" s="699">
        <v>0.0</v>
      </c>
      <c r="M77" s="700"/>
      <c r="N77" s="700">
        <v>0.015938394</v>
      </c>
      <c r="O77" s="700">
        <v>0.0096780212</v>
      </c>
      <c r="P77" s="701">
        <v>38.594042</v>
      </c>
      <c r="Q77" s="723"/>
      <c r="R77" s="718">
        <f t="shared" si="3"/>
        <v>0.84850168</v>
      </c>
      <c r="S77" s="635"/>
      <c r="T77" s="635"/>
      <c r="U77" s="634"/>
      <c r="V77" s="634"/>
      <c r="W77" s="634"/>
      <c r="X77" s="634"/>
      <c r="Y77" s="634"/>
      <c r="Z77" s="634"/>
    </row>
    <row r="78" ht="15.75" customHeight="1">
      <c r="A78" s="643" t="s">
        <v>2247</v>
      </c>
      <c r="B78" s="643"/>
      <c r="C78" s="665"/>
      <c r="D78" s="726"/>
      <c r="E78" s="666" t="s">
        <v>2428</v>
      </c>
      <c r="F78" s="666" t="s">
        <v>5334</v>
      </c>
      <c r="G78" s="697" t="s">
        <v>5005</v>
      </c>
      <c r="H78" s="698">
        <v>1.0662611</v>
      </c>
      <c r="I78" s="699">
        <v>0.13102687</v>
      </c>
      <c r="J78" s="699">
        <v>0.76278064</v>
      </c>
      <c r="K78" s="699">
        <v>0.17245284779999998</v>
      </c>
      <c r="L78" s="699">
        <v>0.8471</v>
      </c>
      <c r="M78" s="700"/>
      <c r="N78" s="700">
        <v>0.011346447</v>
      </c>
      <c r="O78" s="700">
        <v>0.0096229004</v>
      </c>
      <c r="P78" s="701">
        <v>34.4138</v>
      </c>
      <c r="Q78" s="723"/>
      <c r="R78" s="718">
        <f t="shared" si="3"/>
        <v>0.89380751</v>
      </c>
      <c r="S78" s="635"/>
      <c r="T78" s="635"/>
      <c r="U78" s="634"/>
      <c r="V78" s="634"/>
      <c r="W78" s="634"/>
      <c r="X78" s="634"/>
      <c r="Y78" s="634"/>
      <c r="Z78" s="634"/>
    </row>
    <row r="79" ht="15.75" customHeight="1">
      <c r="A79" s="643" t="s">
        <v>2249</v>
      </c>
      <c r="B79" s="643"/>
      <c r="C79" s="665"/>
      <c r="D79" s="726"/>
      <c r="E79" s="666" t="s">
        <v>2430</v>
      </c>
      <c r="F79" s="666" t="s">
        <v>5335</v>
      </c>
      <c r="G79" s="697" t="s">
        <v>5005</v>
      </c>
      <c r="H79" s="698">
        <v>1.9918739</v>
      </c>
      <c r="I79" s="699">
        <v>0.15231686</v>
      </c>
      <c r="J79" s="699">
        <v>0.81034156</v>
      </c>
      <c r="K79" s="699">
        <v>1.0292146465999998</v>
      </c>
      <c r="L79" s="699">
        <v>0.0</v>
      </c>
      <c r="M79" s="700"/>
      <c r="N79" s="700">
        <v>0.017221907</v>
      </c>
      <c r="O79" s="700">
        <v>0.010825614</v>
      </c>
      <c r="P79" s="701">
        <v>42.918163</v>
      </c>
      <c r="Q79" s="723"/>
      <c r="R79" s="718">
        <f t="shared" si="3"/>
        <v>0.96265842</v>
      </c>
      <c r="S79" s="635"/>
      <c r="T79" s="635"/>
      <c r="U79" s="634"/>
      <c r="V79" s="634"/>
      <c r="W79" s="634"/>
      <c r="X79" s="634"/>
      <c r="Y79" s="634"/>
      <c r="Z79" s="634"/>
    </row>
    <row r="80" ht="15.75" customHeight="1">
      <c r="A80" s="643" t="s">
        <v>2253</v>
      </c>
      <c r="B80" s="643"/>
      <c r="C80" s="665"/>
      <c r="D80" s="726"/>
      <c r="E80" s="666" t="s">
        <v>2434</v>
      </c>
      <c r="F80" s="666" t="s">
        <v>5336</v>
      </c>
      <c r="G80" s="697" t="s">
        <v>5005</v>
      </c>
      <c r="H80" s="698">
        <v>1.5249402698745316</v>
      </c>
      <c r="I80" s="699">
        <v>0.1049355053320318</v>
      </c>
      <c r="J80" s="699">
        <v>0.05713136868752773</v>
      </c>
      <c r="K80" s="699">
        <v>1.3628733958549721</v>
      </c>
      <c r="L80" s="699">
        <v>0.0</v>
      </c>
      <c r="M80" s="700"/>
      <c r="N80" s="700">
        <v>0.005759941341111112</v>
      </c>
      <c r="O80" s="700">
        <v>0.005182634107388412</v>
      </c>
      <c r="P80" s="701">
        <v>18.706633567898145</v>
      </c>
      <c r="Q80" s="723"/>
      <c r="R80" s="718">
        <f t="shared" si="3"/>
        <v>0.162066874</v>
      </c>
      <c r="S80" s="635"/>
      <c r="T80" s="635"/>
      <c r="U80" s="634"/>
      <c r="V80" s="634"/>
      <c r="W80" s="634"/>
      <c r="X80" s="634"/>
      <c r="Y80" s="634"/>
      <c r="Z80" s="634"/>
    </row>
    <row r="81" ht="15.75" customHeight="1">
      <c r="A81" s="643" t="s">
        <v>2255</v>
      </c>
      <c r="B81" s="643"/>
      <c r="C81" s="665"/>
      <c r="D81" s="726"/>
      <c r="E81" s="666" t="s">
        <v>2436</v>
      </c>
      <c r="F81" s="666" t="s">
        <v>5337</v>
      </c>
      <c r="G81" s="697" t="s">
        <v>5005</v>
      </c>
      <c r="H81" s="698">
        <v>0.5902871258532149</v>
      </c>
      <c r="I81" s="699">
        <v>0.07346516115005973</v>
      </c>
      <c r="J81" s="699">
        <v>0.0519454028026736</v>
      </c>
      <c r="K81" s="699">
        <v>0.46487656190048154</v>
      </c>
      <c r="L81" s="699">
        <v>0.7923676549506223</v>
      </c>
      <c r="M81" s="700"/>
      <c r="N81" s="700">
        <v>0.004114494298733354</v>
      </c>
      <c r="O81" s="700">
        <v>0.00370190914674323</v>
      </c>
      <c r="P81" s="701">
        <v>13.231040855009303</v>
      </c>
      <c r="Q81" s="723"/>
      <c r="R81" s="718">
        <f t="shared" si="3"/>
        <v>0.125410564</v>
      </c>
      <c r="S81" s="635"/>
      <c r="T81" s="635"/>
      <c r="U81" s="634"/>
      <c r="V81" s="634"/>
      <c r="W81" s="634"/>
      <c r="X81" s="634"/>
      <c r="Y81" s="634"/>
      <c r="Z81" s="634"/>
    </row>
    <row r="82" ht="15.75" customHeight="1">
      <c r="A82" s="643" t="s">
        <v>2257</v>
      </c>
      <c r="B82" s="643"/>
      <c r="C82" s="665"/>
      <c r="D82" s="726"/>
      <c r="E82" s="666" t="s">
        <v>2438</v>
      </c>
      <c r="F82" s="666" t="s">
        <v>5338</v>
      </c>
      <c r="G82" s="697" t="s">
        <v>5005</v>
      </c>
      <c r="H82" s="698">
        <v>0.059746833</v>
      </c>
      <c r="I82" s="699">
        <v>0.0090944436</v>
      </c>
      <c r="J82" s="699">
        <v>0.041337818</v>
      </c>
      <c r="K82" s="699">
        <v>0.009313908780000001</v>
      </c>
      <c r="L82" s="699">
        <v>1.2</v>
      </c>
      <c r="M82" s="700"/>
      <c r="N82" s="700">
        <v>7.4883023E-4</v>
      </c>
      <c r="O82" s="700">
        <v>6.731743E-4</v>
      </c>
      <c r="P82" s="701">
        <v>2.0310416</v>
      </c>
      <c r="Q82" s="723"/>
      <c r="R82" s="718">
        <f t="shared" si="3"/>
        <v>0.0504322616</v>
      </c>
      <c r="S82" s="635"/>
      <c r="T82" s="635"/>
      <c r="U82" s="634"/>
      <c r="V82" s="634"/>
      <c r="W82" s="634"/>
      <c r="X82" s="634"/>
      <c r="Y82" s="634"/>
      <c r="Z82" s="634"/>
    </row>
    <row r="83" ht="15.75" customHeight="1">
      <c r="A83" s="643" t="s">
        <v>2259</v>
      </c>
      <c r="B83" s="643"/>
      <c r="C83" s="665"/>
      <c r="D83" s="726"/>
      <c r="E83" s="666" t="s">
        <v>2440</v>
      </c>
      <c r="F83" s="666" t="s">
        <v>5339</v>
      </c>
      <c r="G83" s="697" t="s">
        <v>5005</v>
      </c>
      <c r="H83" s="698">
        <v>0.62800238</v>
      </c>
      <c r="I83" s="699">
        <v>0.56817378</v>
      </c>
      <c r="J83" s="699">
        <v>0.048338379</v>
      </c>
      <c r="K83" s="699">
        <v>0.01148885014</v>
      </c>
      <c r="L83" s="699">
        <v>0.780758592</v>
      </c>
      <c r="M83" s="700"/>
      <c r="N83" s="700">
        <v>0.040197983</v>
      </c>
      <c r="O83" s="700">
        <v>0.037884427</v>
      </c>
      <c r="P83" s="701">
        <v>33.332162</v>
      </c>
      <c r="Q83" s="723"/>
      <c r="R83" s="718">
        <f t="shared" si="3"/>
        <v>0.616512159</v>
      </c>
      <c r="S83" s="635"/>
      <c r="T83" s="635"/>
      <c r="U83" s="634"/>
      <c r="V83" s="634"/>
      <c r="W83" s="634"/>
      <c r="X83" s="634"/>
      <c r="Y83" s="634"/>
      <c r="Z83" s="634"/>
    </row>
    <row r="84" ht="15.75" customHeight="1">
      <c r="A84" s="643" t="s">
        <v>2261</v>
      </c>
      <c r="B84" s="643"/>
      <c r="C84" s="665"/>
      <c r="D84" s="726"/>
      <c r="E84" s="666" t="s">
        <v>2442</v>
      </c>
      <c r="F84" s="666" t="s">
        <v>5340</v>
      </c>
      <c r="G84" s="697" t="s">
        <v>5005</v>
      </c>
      <c r="H84" s="698">
        <v>0.60693554</v>
      </c>
      <c r="I84" s="699">
        <v>0.55319975</v>
      </c>
      <c r="J84" s="699">
        <v>0.043251758</v>
      </c>
      <c r="K84" s="699">
        <v>0.01048265704</v>
      </c>
      <c r="L84" s="699">
        <v>0.73044</v>
      </c>
      <c r="M84" s="700"/>
      <c r="N84" s="700">
        <v>0.035141412</v>
      </c>
      <c r="O84" s="700">
        <v>0.030288009</v>
      </c>
      <c r="P84" s="701">
        <v>23.328678</v>
      </c>
      <c r="Q84" s="723"/>
      <c r="R84" s="718">
        <f t="shared" si="3"/>
        <v>0.596451508</v>
      </c>
      <c r="S84" s="635"/>
      <c r="T84" s="635"/>
      <c r="U84" s="634"/>
      <c r="V84" s="634"/>
      <c r="W84" s="634"/>
      <c r="X84" s="634"/>
      <c r="Y84" s="634"/>
      <c r="Z84" s="634"/>
    </row>
    <row r="85" ht="15.75" customHeight="1">
      <c r="A85" s="643" t="s">
        <v>2263</v>
      </c>
      <c r="B85" s="643"/>
      <c r="C85" s="665"/>
      <c r="D85" s="726"/>
      <c r="E85" s="666" t="s">
        <v>2444</v>
      </c>
      <c r="F85" s="666" t="s">
        <v>5341</v>
      </c>
      <c r="G85" s="697" t="s">
        <v>5005</v>
      </c>
      <c r="H85" s="698">
        <v>0.23233681</v>
      </c>
      <c r="I85" s="699">
        <v>0.10390182</v>
      </c>
      <c r="J85" s="699">
        <v>0.10272089</v>
      </c>
      <c r="K85" s="699">
        <v>0.02571299765</v>
      </c>
      <c r="L85" s="699">
        <v>1.2</v>
      </c>
      <c r="M85" s="700"/>
      <c r="N85" s="700">
        <v>0.021817562</v>
      </c>
      <c r="O85" s="700">
        <v>0.0066503042</v>
      </c>
      <c r="P85" s="701">
        <v>20.244323</v>
      </c>
      <c r="Q85" s="723"/>
      <c r="R85" s="718">
        <f t="shared" si="3"/>
        <v>0.20662271</v>
      </c>
      <c r="S85" s="635"/>
      <c r="T85" s="635"/>
      <c r="U85" s="634"/>
      <c r="V85" s="634"/>
      <c r="W85" s="634"/>
      <c r="X85" s="634"/>
      <c r="Y85" s="634"/>
      <c r="Z85" s="634"/>
    </row>
    <row r="86" ht="15.75" customHeight="1">
      <c r="A86" s="643" t="s">
        <v>2265</v>
      </c>
      <c r="B86" s="643"/>
      <c r="C86" s="665"/>
      <c r="D86" s="726"/>
      <c r="E86" s="666" t="s">
        <v>2446</v>
      </c>
      <c r="F86" s="666" t="s">
        <v>5342</v>
      </c>
      <c r="G86" s="697" t="s">
        <v>5005</v>
      </c>
      <c r="H86" s="698">
        <v>0.080170801</v>
      </c>
      <c r="I86" s="699">
        <v>0.018837659</v>
      </c>
      <c r="J86" s="699">
        <v>0.047864472</v>
      </c>
      <c r="K86" s="699">
        <v>0.013467992259999999</v>
      </c>
      <c r="L86" s="699">
        <v>1.2</v>
      </c>
      <c r="M86" s="700"/>
      <c r="N86" s="700">
        <v>0.0057065371</v>
      </c>
      <c r="O86" s="700">
        <v>0.0013599086</v>
      </c>
      <c r="P86" s="701">
        <v>7.8364324</v>
      </c>
      <c r="Q86" s="723"/>
      <c r="R86" s="718">
        <f t="shared" si="3"/>
        <v>0.066702131</v>
      </c>
      <c r="S86" s="635"/>
      <c r="T86" s="635"/>
      <c r="U86" s="634"/>
      <c r="V86" s="634"/>
      <c r="W86" s="634"/>
      <c r="X86" s="634"/>
      <c r="Y86" s="634"/>
      <c r="Z86" s="634"/>
    </row>
    <row r="87" ht="15.75" customHeight="1">
      <c r="A87" s="643" t="s">
        <v>2267</v>
      </c>
      <c r="B87" s="643"/>
      <c r="C87" s="665"/>
      <c r="D87" s="726"/>
      <c r="E87" s="666" t="s">
        <v>5343</v>
      </c>
      <c r="F87" s="666" t="s">
        <v>5344</v>
      </c>
      <c r="G87" s="697" t="s">
        <v>5005</v>
      </c>
      <c r="H87" s="698">
        <v>0.87498686</v>
      </c>
      <c r="I87" s="699">
        <v>0.45865944</v>
      </c>
      <c r="J87" s="699">
        <v>0.090617615</v>
      </c>
      <c r="K87" s="699">
        <v>0.32570874</v>
      </c>
      <c r="L87" s="699">
        <v>0.581472</v>
      </c>
      <c r="M87" s="700"/>
      <c r="N87" s="700">
        <v>0.030015997</v>
      </c>
      <c r="O87" s="700">
        <v>0.026596886</v>
      </c>
      <c r="P87" s="701">
        <v>25.81882</v>
      </c>
      <c r="Q87" s="723"/>
      <c r="R87" s="718">
        <f t="shared" si="3"/>
        <v>0.549277055</v>
      </c>
      <c r="S87" s="635"/>
      <c r="T87" s="635"/>
      <c r="U87" s="634"/>
      <c r="V87" s="634"/>
      <c r="W87" s="634"/>
      <c r="X87" s="634"/>
      <c r="Y87" s="634"/>
      <c r="Z87" s="634"/>
    </row>
    <row r="88" ht="15.75" customHeight="1">
      <c r="A88" s="643" t="s">
        <v>2269</v>
      </c>
      <c r="B88" s="643"/>
      <c r="C88" s="665"/>
      <c r="D88" s="726"/>
      <c r="E88" s="666" t="s">
        <v>5345</v>
      </c>
      <c r="F88" s="666" t="s">
        <v>5346</v>
      </c>
      <c r="G88" s="697" t="s">
        <v>5005</v>
      </c>
      <c r="H88" s="704">
        <v>0.71650294</v>
      </c>
      <c r="I88" s="705">
        <v>0.38007739</v>
      </c>
      <c r="J88" s="705">
        <v>0.072292453</v>
      </c>
      <c r="K88" s="705">
        <v>0.264132103</v>
      </c>
      <c r="L88" s="705">
        <v>0.6975600000000001</v>
      </c>
      <c r="M88" s="706"/>
      <c r="N88" s="706">
        <v>0.024656451</v>
      </c>
      <c r="O88" s="706">
        <v>0.021833849</v>
      </c>
      <c r="P88" s="707">
        <v>20.966822</v>
      </c>
      <c r="Q88" s="723"/>
      <c r="R88" s="719">
        <f t="shared" si="3"/>
        <v>0.452369843</v>
      </c>
      <c r="S88" s="635"/>
      <c r="T88" s="635"/>
      <c r="U88" s="634"/>
      <c r="V88" s="634"/>
      <c r="W88" s="634"/>
      <c r="X88" s="634"/>
      <c r="Y88" s="634"/>
      <c r="Z88" s="634"/>
    </row>
    <row r="89" ht="16.5" customHeight="1">
      <c r="A89" s="643" t="s">
        <v>2314</v>
      </c>
      <c r="B89" s="643"/>
      <c r="C89" s="659" t="s">
        <v>5290</v>
      </c>
      <c r="D89" s="677" t="s">
        <v>5347</v>
      </c>
      <c r="E89" s="660" t="s">
        <v>2537</v>
      </c>
      <c r="F89" s="660" t="s">
        <v>5348</v>
      </c>
      <c r="G89" s="691" t="s">
        <v>5005</v>
      </c>
      <c r="H89" s="692">
        <v>4.2141026</v>
      </c>
      <c r="I89" s="693">
        <v>0.064572078</v>
      </c>
      <c r="J89" s="693">
        <v>4.144447</v>
      </c>
      <c r="K89" s="693">
        <v>0.00508340541</v>
      </c>
      <c r="L89" s="693">
        <v>0.0</v>
      </c>
      <c r="M89" s="694"/>
      <c r="N89" s="694">
        <v>0.0064663635</v>
      </c>
      <c r="O89" s="694">
        <v>0.0050296568</v>
      </c>
      <c r="P89" s="695">
        <v>125.82229</v>
      </c>
      <c r="Q89" s="723"/>
      <c r="R89" s="717">
        <f t="shared" si="3"/>
        <v>4.209019078</v>
      </c>
      <c r="S89" s="635"/>
      <c r="T89" s="635"/>
      <c r="U89" s="634"/>
      <c r="V89" s="634"/>
      <c r="W89" s="634"/>
      <c r="X89" s="634"/>
      <c r="Y89" s="634"/>
      <c r="Z89" s="634"/>
    </row>
    <row r="90" ht="15.75" customHeight="1">
      <c r="A90" s="643" t="s">
        <v>2316</v>
      </c>
      <c r="B90" s="643"/>
      <c r="C90" s="665"/>
      <c r="D90" s="683"/>
      <c r="E90" s="666" t="s">
        <v>2539</v>
      </c>
      <c r="F90" s="666" t="s">
        <v>5349</v>
      </c>
      <c r="G90" s="697" t="s">
        <v>5005</v>
      </c>
      <c r="H90" s="698">
        <v>2.221482</v>
      </c>
      <c r="I90" s="699">
        <v>2.2081939</v>
      </c>
      <c r="J90" s="699">
        <v>0.0074368211</v>
      </c>
      <c r="K90" s="699">
        <v>0.00584907682</v>
      </c>
      <c r="L90" s="699">
        <v>0.0</v>
      </c>
      <c r="M90" s="700"/>
      <c r="N90" s="700">
        <v>0.12948526</v>
      </c>
      <c r="O90" s="700">
        <v>0.12080952</v>
      </c>
      <c r="P90" s="701">
        <v>85.554646</v>
      </c>
      <c r="Q90" s="723"/>
      <c r="R90" s="718">
        <f t="shared" si="3"/>
        <v>2.215630721</v>
      </c>
      <c r="S90" s="635"/>
      <c r="T90" s="635"/>
      <c r="U90" s="634"/>
      <c r="V90" s="634"/>
      <c r="W90" s="634"/>
      <c r="X90" s="634"/>
      <c r="Y90" s="634"/>
      <c r="Z90" s="634"/>
    </row>
    <row r="91" ht="15.75" customHeight="1">
      <c r="A91" s="643">
        <v>45.023</v>
      </c>
      <c r="B91" s="643"/>
      <c r="C91" s="665"/>
      <c r="D91" s="684"/>
      <c r="E91" s="666" t="s">
        <v>5350</v>
      </c>
      <c r="F91" s="666" t="s">
        <v>5351</v>
      </c>
      <c r="G91" s="697" t="s">
        <v>5005</v>
      </c>
      <c r="H91" s="698">
        <v>3.9473363</v>
      </c>
      <c r="I91" s="699">
        <v>3.9022552</v>
      </c>
      <c r="J91" s="699">
        <v>0.033435661</v>
      </c>
      <c r="K91" s="699">
        <v>0.0116454048</v>
      </c>
      <c r="L91" s="699">
        <v>0.0</v>
      </c>
      <c r="M91" s="700"/>
      <c r="N91" s="700">
        <v>0.37688384</v>
      </c>
      <c r="O91" s="700">
        <v>0.37047164</v>
      </c>
      <c r="P91" s="701">
        <v>220.15643</v>
      </c>
      <c r="Q91" s="727"/>
      <c r="R91" s="718">
        <f t="shared" si="3"/>
        <v>3.935690861</v>
      </c>
      <c r="S91" s="728"/>
      <c r="T91" s="728"/>
      <c r="U91" s="729"/>
      <c r="V91" s="729"/>
      <c r="W91" s="729"/>
      <c r="X91" s="729"/>
      <c r="Y91" s="729"/>
      <c r="Z91" s="729"/>
    </row>
    <row r="92" ht="15.75" customHeight="1">
      <c r="A92" s="643" t="s">
        <v>2320</v>
      </c>
      <c r="B92" s="643"/>
      <c r="C92" s="665"/>
      <c r="D92" s="683"/>
      <c r="E92" s="666" t="s">
        <v>5352</v>
      </c>
      <c r="F92" s="666" t="s">
        <v>5353</v>
      </c>
      <c r="G92" s="697" t="s">
        <v>5005</v>
      </c>
      <c r="H92" s="698">
        <v>3.944621</v>
      </c>
      <c r="I92" s="699">
        <v>3.8670542</v>
      </c>
      <c r="J92" s="699">
        <v>0.044472429</v>
      </c>
      <c r="K92" s="699">
        <v>0.0330941125</v>
      </c>
      <c r="L92" s="699">
        <v>0.0</v>
      </c>
      <c r="M92" s="700"/>
      <c r="N92" s="700">
        <v>0.34413072</v>
      </c>
      <c r="O92" s="700">
        <v>0.29820952</v>
      </c>
      <c r="P92" s="701">
        <v>213.38862</v>
      </c>
      <c r="Q92" s="723"/>
      <c r="R92" s="718">
        <f t="shared" si="3"/>
        <v>3.911526629</v>
      </c>
      <c r="S92" s="635"/>
      <c r="T92" s="635"/>
      <c r="U92" s="634"/>
      <c r="V92" s="634"/>
      <c r="W92" s="634"/>
      <c r="X92" s="634"/>
      <c r="Y92" s="634"/>
      <c r="Z92" s="634"/>
    </row>
    <row r="93" ht="15.75" customHeight="1">
      <c r="A93" s="643" t="s">
        <v>2322</v>
      </c>
      <c r="B93" s="643"/>
      <c r="C93" s="665"/>
      <c r="D93" s="730"/>
      <c r="E93" s="666" t="s">
        <v>2545</v>
      </c>
      <c r="F93" s="666" t="s">
        <v>5354</v>
      </c>
      <c r="G93" s="697" t="s">
        <v>5005</v>
      </c>
      <c r="H93" s="698">
        <v>3.8300918</v>
      </c>
      <c r="I93" s="699">
        <v>3.7783386</v>
      </c>
      <c r="J93" s="699">
        <v>0.038820778</v>
      </c>
      <c r="K93" s="699">
        <v>0.0129265466</v>
      </c>
      <c r="L93" s="699">
        <v>0.0</v>
      </c>
      <c r="M93" s="700"/>
      <c r="N93" s="700">
        <v>0.28070282</v>
      </c>
      <c r="O93" s="700">
        <v>0.2680889</v>
      </c>
      <c r="P93" s="701">
        <v>302.48319</v>
      </c>
      <c r="Q93" s="723"/>
      <c r="R93" s="718">
        <f t="shared" si="3"/>
        <v>3.817159378</v>
      </c>
      <c r="S93" s="635"/>
      <c r="T93" s="635"/>
      <c r="U93" s="634"/>
      <c r="V93" s="634"/>
      <c r="W93" s="634"/>
      <c r="X93" s="634"/>
      <c r="Y93" s="634"/>
      <c r="Z93" s="634"/>
    </row>
    <row r="94" ht="15.75" customHeight="1">
      <c r="A94" s="643" t="s">
        <v>2324</v>
      </c>
      <c r="B94" s="643"/>
      <c r="C94" s="665"/>
      <c r="D94" s="683"/>
      <c r="E94" s="666" t="s">
        <v>2438</v>
      </c>
      <c r="F94" s="666" t="s">
        <v>5355</v>
      </c>
      <c r="G94" s="697" t="s">
        <v>5005</v>
      </c>
      <c r="H94" s="698">
        <v>0.017879755</v>
      </c>
      <c r="I94" s="699">
        <v>0.013019236</v>
      </c>
      <c r="J94" s="699">
        <v>0.0025880673</v>
      </c>
      <c r="K94" s="699">
        <v>0.002272412026</v>
      </c>
      <c r="L94" s="699">
        <v>1.10612805336</v>
      </c>
      <c r="M94" s="700"/>
      <c r="N94" s="700">
        <v>0.0019241618</v>
      </c>
      <c r="O94" s="700">
        <v>0.0010546924</v>
      </c>
      <c r="P94" s="701">
        <v>8.881384</v>
      </c>
      <c r="Q94" s="723"/>
      <c r="R94" s="718">
        <f t="shared" si="3"/>
        <v>0.0156073033</v>
      </c>
      <c r="S94" s="635"/>
      <c r="T94" s="635"/>
      <c r="U94" s="634"/>
      <c r="V94" s="634"/>
      <c r="W94" s="634"/>
      <c r="X94" s="634"/>
      <c r="Y94" s="634"/>
      <c r="Z94" s="634"/>
    </row>
    <row r="95" ht="15.75" customHeight="1">
      <c r="A95" s="643" t="s">
        <v>2326</v>
      </c>
      <c r="B95" s="643"/>
      <c r="C95" s="665"/>
      <c r="D95" s="683"/>
      <c r="E95" s="666" t="s">
        <v>2424</v>
      </c>
      <c r="F95" s="666" t="s">
        <v>5356</v>
      </c>
      <c r="G95" s="697" t="s">
        <v>5005</v>
      </c>
      <c r="H95" s="698">
        <v>3.877115</v>
      </c>
      <c r="I95" s="699">
        <v>0.18866128</v>
      </c>
      <c r="J95" s="699">
        <v>0.050912772</v>
      </c>
      <c r="K95" s="699">
        <v>3.6375404485700003</v>
      </c>
      <c r="L95" s="699">
        <v>0.0</v>
      </c>
      <c r="M95" s="700"/>
      <c r="N95" s="700">
        <v>0.032704705</v>
      </c>
      <c r="O95" s="700">
        <v>0.011808146</v>
      </c>
      <c r="P95" s="701">
        <v>81.861147</v>
      </c>
      <c r="Q95" s="723"/>
      <c r="R95" s="718">
        <f t="shared" si="3"/>
        <v>0.239574052</v>
      </c>
      <c r="S95" s="635"/>
      <c r="T95" s="635"/>
      <c r="U95" s="634"/>
      <c r="V95" s="634"/>
      <c r="W95" s="634"/>
      <c r="X95" s="634"/>
      <c r="Y95" s="634"/>
      <c r="Z95" s="634"/>
    </row>
    <row r="96" ht="15.75" customHeight="1">
      <c r="A96" s="643" t="s">
        <v>2328</v>
      </c>
      <c r="B96" s="643"/>
      <c r="C96" s="665"/>
      <c r="D96" s="683"/>
      <c r="E96" s="666" t="s">
        <v>2440</v>
      </c>
      <c r="F96" s="666" t="s">
        <v>5357</v>
      </c>
      <c r="G96" s="697" t="s">
        <v>5005</v>
      </c>
      <c r="H96" s="698">
        <v>3.2804242</v>
      </c>
      <c r="I96" s="699">
        <v>3.2268276</v>
      </c>
      <c r="J96" s="699">
        <v>0.040067798</v>
      </c>
      <c r="K96" s="699">
        <v>0.0135246893</v>
      </c>
      <c r="L96" s="699">
        <v>0.0</v>
      </c>
      <c r="M96" s="700"/>
      <c r="N96" s="700">
        <v>0.22862447</v>
      </c>
      <c r="O96" s="700">
        <v>0.21494401</v>
      </c>
      <c r="P96" s="701">
        <v>187.92891</v>
      </c>
      <c r="Q96" s="723"/>
      <c r="R96" s="718">
        <f t="shared" si="3"/>
        <v>3.266895398</v>
      </c>
      <c r="S96" s="635"/>
      <c r="T96" s="635"/>
      <c r="U96" s="634"/>
      <c r="V96" s="634"/>
      <c r="W96" s="634"/>
      <c r="X96" s="634"/>
      <c r="Y96" s="634"/>
      <c r="Z96" s="634"/>
    </row>
    <row r="97" ht="15.75" customHeight="1">
      <c r="A97" s="643" t="s">
        <v>2330</v>
      </c>
      <c r="B97" s="643"/>
      <c r="C97" s="665"/>
      <c r="D97" s="683"/>
      <c r="E97" s="666" t="s">
        <v>2442</v>
      </c>
      <c r="F97" s="666" t="s">
        <v>5358</v>
      </c>
      <c r="G97" s="697" t="s">
        <v>5005</v>
      </c>
      <c r="H97" s="698">
        <v>2.9435521</v>
      </c>
      <c r="I97" s="699">
        <v>2.9243679</v>
      </c>
      <c r="J97" s="699">
        <v>0.011322673</v>
      </c>
      <c r="K97" s="699">
        <v>0.00785758365</v>
      </c>
      <c r="L97" s="699">
        <v>0.0</v>
      </c>
      <c r="M97" s="700"/>
      <c r="N97" s="700">
        <v>0.1858502</v>
      </c>
      <c r="O97" s="700">
        <v>0.15940588</v>
      </c>
      <c r="P97" s="701">
        <v>122.32041</v>
      </c>
      <c r="Q97" s="723"/>
      <c r="R97" s="718">
        <f t="shared" si="3"/>
        <v>2.935690573</v>
      </c>
      <c r="S97" s="635"/>
      <c r="T97" s="635"/>
      <c r="U97" s="634"/>
      <c r="V97" s="634"/>
      <c r="W97" s="634"/>
      <c r="X97" s="634"/>
      <c r="Y97" s="634"/>
      <c r="Z97" s="634"/>
    </row>
    <row r="98" ht="15.75" customHeight="1">
      <c r="A98" s="643" t="s">
        <v>2332</v>
      </c>
      <c r="B98" s="643"/>
      <c r="C98" s="665"/>
      <c r="D98" s="683"/>
      <c r="E98" s="666" t="s">
        <v>2444</v>
      </c>
      <c r="F98" s="666" t="s">
        <v>5359</v>
      </c>
      <c r="G98" s="697" t="s">
        <v>5005</v>
      </c>
      <c r="H98" s="698">
        <v>0.9145051</v>
      </c>
      <c r="I98" s="699">
        <v>0.50295754</v>
      </c>
      <c r="J98" s="699">
        <v>0.32376887</v>
      </c>
      <c r="K98" s="699">
        <v>0.08777633259999999</v>
      </c>
      <c r="L98" s="699">
        <v>1.10612805336</v>
      </c>
      <c r="M98" s="700"/>
      <c r="N98" s="700">
        <v>0.11206568</v>
      </c>
      <c r="O98" s="700">
        <v>0.031903776</v>
      </c>
      <c r="P98" s="701">
        <v>103.76897</v>
      </c>
      <c r="Q98" s="723"/>
      <c r="R98" s="718">
        <f t="shared" si="3"/>
        <v>0.82672641</v>
      </c>
      <c r="S98" s="635"/>
      <c r="T98" s="635"/>
      <c r="U98" s="634"/>
      <c r="V98" s="634"/>
      <c r="W98" s="634"/>
      <c r="X98" s="634"/>
      <c r="Y98" s="634"/>
      <c r="Z98" s="634"/>
    </row>
    <row r="99" ht="15.75" customHeight="1">
      <c r="A99" s="643" t="s">
        <v>2334</v>
      </c>
      <c r="B99" s="643"/>
      <c r="C99" s="665"/>
      <c r="D99" s="683"/>
      <c r="E99" s="666" t="s">
        <v>2446</v>
      </c>
      <c r="F99" s="666" t="s">
        <v>5360</v>
      </c>
      <c r="G99" s="697" t="s">
        <v>5005</v>
      </c>
      <c r="H99" s="698">
        <v>0.19374381</v>
      </c>
      <c r="I99" s="699">
        <v>0.089032508</v>
      </c>
      <c r="J99" s="699">
        <v>0.063163383</v>
      </c>
      <c r="K99" s="699">
        <v>0.04154776205</v>
      </c>
      <c r="L99" s="699">
        <v>1.10612805336</v>
      </c>
      <c r="M99" s="700"/>
      <c r="N99" s="700">
        <v>0.049250699</v>
      </c>
      <c r="O99" s="700">
        <v>0.0064708809</v>
      </c>
      <c r="P99" s="701">
        <v>63.809745</v>
      </c>
      <c r="Q99" s="723"/>
      <c r="R99" s="718">
        <f t="shared" si="3"/>
        <v>0.152195891</v>
      </c>
      <c r="S99" s="635"/>
      <c r="T99" s="635"/>
      <c r="U99" s="634"/>
      <c r="V99" s="634"/>
      <c r="W99" s="634"/>
      <c r="X99" s="634"/>
      <c r="Y99" s="634"/>
      <c r="Z99" s="634"/>
    </row>
    <row r="100" ht="15.75" customHeight="1">
      <c r="A100" s="643" t="s">
        <v>2336</v>
      </c>
      <c r="B100" s="643"/>
      <c r="C100" s="665"/>
      <c r="D100" s="683"/>
      <c r="E100" s="666" t="s">
        <v>5292</v>
      </c>
      <c r="F100" s="666" t="s">
        <v>5361</v>
      </c>
      <c r="G100" s="697" t="s">
        <v>5005</v>
      </c>
      <c r="H100" s="698">
        <v>1.5577157</v>
      </c>
      <c r="I100" s="699">
        <v>0.28407408</v>
      </c>
      <c r="J100" s="699">
        <v>0.049521562</v>
      </c>
      <c r="K100" s="699">
        <v>1.2241150474</v>
      </c>
      <c r="L100" s="699">
        <v>0.0</v>
      </c>
      <c r="M100" s="700"/>
      <c r="N100" s="700">
        <v>0.026782004</v>
      </c>
      <c r="O100" s="700">
        <v>0.022419907</v>
      </c>
      <c r="P100" s="701">
        <v>48.442613</v>
      </c>
      <c r="Q100" s="723"/>
      <c r="R100" s="718">
        <f t="shared" si="3"/>
        <v>0.333595642</v>
      </c>
      <c r="S100" s="635"/>
      <c r="T100" s="635"/>
      <c r="U100" s="634"/>
      <c r="V100" s="634"/>
      <c r="W100" s="634"/>
      <c r="X100" s="634"/>
      <c r="Y100" s="634"/>
      <c r="Z100" s="634"/>
    </row>
    <row r="101" ht="15.75" customHeight="1">
      <c r="A101" s="643" t="s">
        <v>2338</v>
      </c>
      <c r="B101" s="643"/>
      <c r="C101" s="665"/>
      <c r="D101" s="683"/>
      <c r="E101" s="666" t="s">
        <v>5294</v>
      </c>
      <c r="F101" s="666" t="s">
        <v>5362</v>
      </c>
      <c r="G101" s="697" t="s">
        <v>5005</v>
      </c>
      <c r="H101" s="698">
        <v>1.540951</v>
      </c>
      <c r="I101" s="699">
        <v>0.27003381</v>
      </c>
      <c r="J101" s="699">
        <v>0.048362275</v>
      </c>
      <c r="K101" s="699">
        <v>1.2225502524999998</v>
      </c>
      <c r="L101" s="699">
        <v>0.0</v>
      </c>
      <c r="M101" s="700"/>
      <c r="N101" s="700">
        <v>0.025394849</v>
      </c>
      <c r="O101" s="700">
        <v>0.021224615</v>
      </c>
      <c r="P101" s="701">
        <v>46.900455</v>
      </c>
      <c r="Q101" s="723"/>
      <c r="R101" s="718">
        <f t="shared" si="3"/>
        <v>0.318396085</v>
      </c>
      <c r="S101" s="635"/>
      <c r="T101" s="635"/>
      <c r="U101" s="634"/>
      <c r="V101" s="634"/>
      <c r="W101" s="634"/>
      <c r="X101" s="634"/>
      <c r="Y101" s="634"/>
      <c r="Z101" s="634"/>
    </row>
    <row r="102" ht="15.75" customHeight="1">
      <c r="A102" s="643" t="s">
        <v>2340</v>
      </c>
      <c r="B102" s="643"/>
      <c r="C102" s="665"/>
      <c r="D102" s="683"/>
      <c r="E102" s="666" t="s">
        <v>5296</v>
      </c>
      <c r="F102" s="666" t="s">
        <v>5363</v>
      </c>
      <c r="G102" s="697" t="s">
        <v>5005</v>
      </c>
      <c r="H102" s="698">
        <v>1.5465195</v>
      </c>
      <c r="I102" s="699">
        <v>0.27971163</v>
      </c>
      <c r="J102" s="699">
        <v>0.0445701</v>
      </c>
      <c r="K102" s="699">
        <v>1.2222324966</v>
      </c>
      <c r="L102" s="699">
        <v>0.0</v>
      </c>
      <c r="M102" s="700"/>
      <c r="N102" s="700">
        <v>0.026614961</v>
      </c>
      <c r="O102" s="700">
        <v>0.022212957</v>
      </c>
      <c r="P102" s="701">
        <v>43.211387</v>
      </c>
      <c r="Q102" s="723"/>
      <c r="R102" s="718">
        <f t="shared" si="3"/>
        <v>0.32428173</v>
      </c>
      <c r="S102" s="635"/>
      <c r="T102" s="635"/>
      <c r="U102" s="634"/>
      <c r="V102" s="634"/>
      <c r="W102" s="634"/>
      <c r="X102" s="634"/>
      <c r="Y102" s="634"/>
      <c r="Z102" s="634"/>
    </row>
    <row r="103" ht="15.75" customHeight="1">
      <c r="A103" s="643" t="s">
        <v>2342</v>
      </c>
      <c r="B103" s="643"/>
      <c r="C103" s="665"/>
      <c r="D103" s="683"/>
      <c r="E103" s="666" t="s">
        <v>5298</v>
      </c>
      <c r="F103" s="666" t="s">
        <v>5364</v>
      </c>
      <c r="G103" s="697" t="s">
        <v>5005</v>
      </c>
      <c r="H103" s="698">
        <v>1.7001088</v>
      </c>
      <c r="I103" s="699">
        <v>0.3948681</v>
      </c>
      <c r="J103" s="699">
        <v>0.06591472</v>
      </c>
      <c r="K103" s="699">
        <v>1.239317843</v>
      </c>
      <c r="L103" s="699">
        <v>0.0</v>
      </c>
      <c r="M103" s="700"/>
      <c r="N103" s="700">
        <v>0.037404111</v>
      </c>
      <c r="O103" s="700">
        <v>0.031646535</v>
      </c>
      <c r="P103" s="701">
        <v>62.583984</v>
      </c>
      <c r="Q103" s="723"/>
      <c r="R103" s="718">
        <f t="shared" si="3"/>
        <v>0.46078282</v>
      </c>
      <c r="S103" s="635"/>
      <c r="T103" s="635"/>
      <c r="U103" s="634"/>
      <c r="V103" s="634"/>
      <c r="W103" s="634"/>
      <c r="X103" s="634"/>
      <c r="Y103" s="634"/>
      <c r="Z103" s="634"/>
    </row>
    <row r="104" ht="15.75" customHeight="1">
      <c r="A104" s="643" t="s">
        <v>2344</v>
      </c>
      <c r="B104" s="643"/>
      <c r="C104" s="665"/>
      <c r="D104" s="683"/>
      <c r="E104" s="666" t="s">
        <v>2555</v>
      </c>
      <c r="F104" s="666" t="s">
        <v>5365</v>
      </c>
      <c r="G104" s="697" t="s">
        <v>5005</v>
      </c>
      <c r="H104" s="698">
        <v>1.2919246</v>
      </c>
      <c r="I104" s="699">
        <v>0.080081125</v>
      </c>
      <c r="J104" s="699">
        <v>0.013639128</v>
      </c>
      <c r="K104" s="699">
        <v>1.1982032281</v>
      </c>
      <c r="L104" s="699">
        <v>0.0</v>
      </c>
      <c r="M104" s="700"/>
      <c r="N104" s="700">
        <v>0.007231575</v>
      </c>
      <c r="O104" s="700">
        <v>0.0058317192</v>
      </c>
      <c r="P104" s="701">
        <v>20.549782</v>
      </c>
      <c r="Q104" s="723"/>
      <c r="R104" s="718">
        <f t="shared" si="3"/>
        <v>0.093720253</v>
      </c>
      <c r="S104" s="635"/>
      <c r="T104" s="635"/>
      <c r="U104" s="634"/>
      <c r="V104" s="634"/>
      <c r="W104" s="634"/>
      <c r="X104" s="634"/>
      <c r="Y104" s="634"/>
      <c r="Z104" s="634"/>
    </row>
    <row r="105" ht="15.75" customHeight="1">
      <c r="A105" s="643" t="s">
        <v>2346</v>
      </c>
      <c r="B105" s="643"/>
      <c r="C105" s="665"/>
      <c r="D105" s="683"/>
      <c r="E105" s="666" t="s">
        <v>2557</v>
      </c>
      <c r="F105" s="666" t="s">
        <v>5366</v>
      </c>
      <c r="G105" s="697" t="s">
        <v>5005</v>
      </c>
      <c r="H105" s="698">
        <v>1.1968135</v>
      </c>
      <c r="I105" s="699">
        <v>0.023515959</v>
      </c>
      <c r="J105" s="699">
        <v>0.005525335</v>
      </c>
      <c r="K105" s="699">
        <v>1.167772132536</v>
      </c>
      <c r="L105" s="699">
        <v>0.0</v>
      </c>
      <c r="M105" s="700"/>
      <c r="N105" s="700">
        <v>0.0033952782</v>
      </c>
      <c r="O105" s="700">
        <v>0.0024158371</v>
      </c>
      <c r="P105" s="701">
        <v>12.178652</v>
      </c>
      <c r="Q105" s="723"/>
      <c r="R105" s="718">
        <f t="shared" si="3"/>
        <v>0.029041294</v>
      </c>
      <c r="S105" s="635"/>
      <c r="T105" s="635"/>
      <c r="U105" s="634"/>
      <c r="V105" s="634"/>
      <c r="W105" s="634"/>
      <c r="X105" s="634"/>
      <c r="Y105" s="634"/>
      <c r="Z105" s="634"/>
    </row>
    <row r="106" ht="15.75" customHeight="1">
      <c r="A106" s="643" t="s">
        <v>2348</v>
      </c>
      <c r="B106" s="643"/>
      <c r="C106" s="665"/>
      <c r="D106" s="683"/>
      <c r="E106" s="666" t="s">
        <v>2559</v>
      </c>
      <c r="F106" s="666" t="s">
        <v>5367</v>
      </c>
      <c r="G106" s="697" t="s">
        <v>5005</v>
      </c>
      <c r="H106" s="698">
        <v>3.8953096</v>
      </c>
      <c r="I106" s="699">
        <v>0.45621813</v>
      </c>
      <c r="J106" s="699">
        <v>2.8080479</v>
      </c>
      <c r="K106" s="699">
        <v>0.631043177</v>
      </c>
      <c r="L106" s="699">
        <v>0.0</v>
      </c>
      <c r="M106" s="700"/>
      <c r="N106" s="700">
        <v>0.038547216</v>
      </c>
      <c r="O106" s="700">
        <v>0.034318232</v>
      </c>
      <c r="P106" s="701">
        <v>125.26505</v>
      </c>
      <c r="Q106" s="723"/>
      <c r="R106" s="718">
        <f t="shared" si="3"/>
        <v>3.26426603</v>
      </c>
      <c r="S106" s="635"/>
      <c r="T106" s="635"/>
      <c r="U106" s="634"/>
      <c r="V106" s="634"/>
      <c r="W106" s="634"/>
      <c r="X106" s="634"/>
      <c r="Y106" s="634"/>
      <c r="Z106" s="634"/>
    </row>
    <row r="107" ht="15.75" customHeight="1">
      <c r="A107" s="643" t="s">
        <v>2350</v>
      </c>
      <c r="B107" s="643"/>
      <c r="C107" s="665"/>
      <c r="D107" s="683"/>
      <c r="E107" s="666" t="s">
        <v>2436</v>
      </c>
      <c r="F107" s="666" t="s">
        <v>5368</v>
      </c>
      <c r="G107" s="697" t="s">
        <v>5005</v>
      </c>
      <c r="H107" s="698">
        <v>3.3601012439519784</v>
      </c>
      <c r="I107" s="699">
        <v>0.16417833007653762</v>
      </c>
      <c r="J107" s="699">
        <v>0.02705477937851685</v>
      </c>
      <c r="K107" s="699">
        <v>3.168868134496924</v>
      </c>
      <c r="L107" s="699">
        <v>0.0</v>
      </c>
      <c r="M107" s="700"/>
      <c r="N107" s="700">
        <v>0.008584168831611094</v>
      </c>
      <c r="O107" s="700">
        <v>0.00772482658389976</v>
      </c>
      <c r="P107" s="701">
        <v>28.5657399418062</v>
      </c>
      <c r="Q107" s="723"/>
      <c r="R107" s="718">
        <f t="shared" si="3"/>
        <v>0.1912331095</v>
      </c>
      <c r="S107" s="635"/>
      <c r="T107" s="635"/>
      <c r="U107" s="634"/>
      <c r="V107" s="634"/>
      <c r="W107" s="634"/>
      <c r="X107" s="634"/>
      <c r="Y107" s="634"/>
      <c r="Z107" s="634"/>
    </row>
    <row r="108" ht="15.75" customHeight="1">
      <c r="A108" s="643" t="s">
        <v>2352</v>
      </c>
      <c r="B108" s="643"/>
      <c r="C108" s="665"/>
      <c r="D108" s="683"/>
      <c r="E108" s="666" t="s">
        <v>2561</v>
      </c>
      <c r="F108" s="666" t="s">
        <v>5369</v>
      </c>
      <c r="G108" s="697" t="s">
        <v>5005</v>
      </c>
      <c r="H108" s="698">
        <v>2.5038636</v>
      </c>
      <c r="I108" s="699">
        <v>0.069869647</v>
      </c>
      <c r="J108" s="699">
        <v>1.7772661</v>
      </c>
      <c r="K108" s="699">
        <v>0.656727712</v>
      </c>
      <c r="L108" s="699">
        <v>0.0</v>
      </c>
      <c r="M108" s="700"/>
      <c r="N108" s="700">
        <v>0.0074442776</v>
      </c>
      <c r="O108" s="700">
        <v>0.0054114274</v>
      </c>
      <c r="P108" s="701">
        <v>63.481118</v>
      </c>
      <c r="Q108" s="723"/>
      <c r="R108" s="718">
        <f t="shared" si="3"/>
        <v>1.847135747</v>
      </c>
      <c r="S108" s="635"/>
      <c r="T108" s="635"/>
      <c r="U108" s="634"/>
      <c r="V108" s="634"/>
      <c r="W108" s="634"/>
      <c r="X108" s="634"/>
      <c r="Y108" s="634"/>
      <c r="Z108" s="634"/>
    </row>
    <row r="109" ht="15.75" customHeight="1">
      <c r="A109" s="643" t="s">
        <v>2354</v>
      </c>
      <c r="B109" s="643"/>
      <c r="C109" s="665"/>
      <c r="D109" s="683"/>
      <c r="E109" s="666" t="s">
        <v>5370</v>
      </c>
      <c r="F109" s="666" t="s">
        <v>5371</v>
      </c>
      <c r="G109" s="697" t="s">
        <v>5005</v>
      </c>
      <c r="H109" s="698">
        <v>1.2102183</v>
      </c>
      <c r="I109" s="699">
        <v>0.028341241</v>
      </c>
      <c r="J109" s="699">
        <v>0.0075958916</v>
      </c>
      <c r="K109" s="699">
        <v>1.17428107</v>
      </c>
      <c r="L109" s="699">
        <v>0.006456964536777272</v>
      </c>
      <c r="M109" s="700"/>
      <c r="N109" s="700">
        <v>0.0042558227</v>
      </c>
      <c r="O109" s="700">
        <v>0.0027476869</v>
      </c>
      <c r="P109" s="701">
        <v>13.269917</v>
      </c>
      <c r="Q109" s="723"/>
      <c r="R109" s="718">
        <f t="shared" si="3"/>
        <v>0.0359371326</v>
      </c>
      <c r="S109" s="635"/>
      <c r="T109" s="635"/>
      <c r="U109" s="634"/>
      <c r="V109" s="634"/>
      <c r="W109" s="634"/>
      <c r="X109" s="634"/>
      <c r="Y109" s="634"/>
      <c r="Z109" s="634"/>
    </row>
    <row r="110" ht="15.75" customHeight="1">
      <c r="A110" s="643" t="s">
        <v>2356</v>
      </c>
      <c r="B110" s="643"/>
      <c r="C110" s="665"/>
      <c r="D110" s="683"/>
      <c r="E110" s="666" t="s">
        <v>5372</v>
      </c>
      <c r="F110" s="666" t="s">
        <v>5373</v>
      </c>
      <c r="G110" s="697" t="s">
        <v>5005</v>
      </c>
      <c r="H110" s="698">
        <v>3.0047041</v>
      </c>
      <c r="I110" s="699">
        <v>0.3450947</v>
      </c>
      <c r="J110" s="699">
        <v>2.1718281</v>
      </c>
      <c r="K110" s="699">
        <v>0.48778099199999997</v>
      </c>
      <c r="L110" s="699">
        <v>0.023638256621470566</v>
      </c>
      <c r="M110" s="700"/>
      <c r="N110" s="700">
        <v>0.028298823</v>
      </c>
      <c r="O110" s="700">
        <v>0.025302065</v>
      </c>
      <c r="P110" s="701">
        <v>96.447458</v>
      </c>
      <c r="Q110" s="723"/>
      <c r="R110" s="718">
        <f t="shared" si="3"/>
        <v>2.5169228</v>
      </c>
      <c r="S110" s="635"/>
      <c r="T110" s="635"/>
      <c r="U110" s="634"/>
      <c r="V110" s="634"/>
      <c r="W110" s="634"/>
      <c r="X110" s="634"/>
      <c r="Y110" s="634"/>
      <c r="Z110" s="634"/>
    </row>
    <row r="111" ht="15.75" customHeight="1">
      <c r="A111" s="643" t="s">
        <v>2358</v>
      </c>
      <c r="B111" s="643"/>
      <c r="C111" s="671"/>
      <c r="D111" s="686"/>
      <c r="E111" s="672" t="s">
        <v>5374</v>
      </c>
      <c r="F111" s="672" t="s">
        <v>5375</v>
      </c>
      <c r="G111" s="703" t="s">
        <v>5005</v>
      </c>
      <c r="H111" s="704">
        <v>3.1841392</v>
      </c>
      <c r="I111" s="705">
        <v>1.7998147</v>
      </c>
      <c r="J111" s="705">
        <v>1.0852727</v>
      </c>
      <c r="K111" s="705">
        <v>0.29905096</v>
      </c>
      <c r="L111" s="705">
        <v>0.0</v>
      </c>
      <c r="M111" s="706"/>
      <c r="N111" s="706">
        <v>0.14557703</v>
      </c>
      <c r="O111" s="706">
        <v>0.13562957</v>
      </c>
      <c r="P111" s="707">
        <v>152.19176</v>
      </c>
      <c r="Q111" s="723"/>
      <c r="R111" s="719">
        <f t="shared" si="3"/>
        <v>2.8850874</v>
      </c>
      <c r="S111" s="635"/>
      <c r="T111" s="635"/>
      <c r="U111" s="634"/>
      <c r="V111" s="634"/>
      <c r="W111" s="634"/>
      <c r="X111" s="634"/>
      <c r="Y111" s="634"/>
      <c r="Z111" s="634"/>
    </row>
    <row r="112" ht="15.75" customHeight="1">
      <c r="A112" s="643"/>
      <c r="B112" s="643"/>
      <c r="C112" s="643" t="s">
        <v>5376</v>
      </c>
      <c r="D112" s="643"/>
      <c r="E112" s="645"/>
      <c r="F112" s="643"/>
      <c r="G112" s="646"/>
      <c r="H112" s="645"/>
      <c r="I112" s="645"/>
      <c r="J112" s="645"/>
      <c r="K112" s="645"/>
      <c r="L112" s="645"/>
      <c r="M112" s="700"/>
      <c r="N112" s="700"/>
      <c r="O112" s="645"/>
      <c r="P112" s="645"/>
      <c r="Q112" s="635"/>
      <c r="R112" s="634"/>
      <c r="S112" s="635"/>
      <c r="T112" s="635"/>
      <c r="U112" s="634"/>
      <c r="V112" s="634"/>
      <c r="W112" s="634"/>
      <c r="X112" s="634"/>
      <c r="Y112" s="634"/>
      <c r="Z112" s="634"/>
    </row>
    <row r="113" ht="15.75" customHeight="1">
      <c r="A113" s="643"/>
      <c r="B113" s="643"/>
      <c r="C113" s="643" t="s">
        <v>5222</v>
      </c>
      <c r="D113" s="643"/>
      <c r="E113" s="721"/>
      <c r="F113" s="643"/>
      <c r="G113" s="646"/>
      <c r="H113" s="645"/>
      <c r="I113" s="645"/>
      <c r="J113" s="645"/>
      <c r="K113" s="645"/>
      <c r="L113" s="645"/>
      <c r="M113" s="700"/>
      <c r="N113" s="700"/>
      <c r="O113" s="645"/>
      <c r="P113" s="645"/>
      <c r="Q113" s="634"/>
      <c r="R113" s="634"/>
      <c r="S113" s="635"/>
      <c r="T113" s="635"/>
      <c r="U113" s="634"/>
      <c r="V113" s="634"/>
      <c r="W113" s="634"/>
      <c r="X113" s="634"/>
      <c r="Y113" s="634"/>
      <c r="Z113" s="634"/>
    </row>
    <row r="114" ht="15.75" customHeight="1">
      <c r="A114" s="643"/>
      <c r="B114" s="643"/>
      <c r="C114" s="643"/>
      <c r="D114" s="643"/>
      <c r="E114" s="645"/>
      <c r="F114" s="643"/>
      <c r="G114" s="646"/>
      <c r="H114" s="645"/>
      <c r="I114" s="645"/>
      <c r="J114" s="645"/>
      <c r="K114" s="645"/>
      <c r="L114" s="645"/>
      <c r="M114" s="700"/>
      <c r="N114" s="700"/>
      <c r="O114" s="645"/>
      <c r="P114" s="645"/>
      <c r="Q114" s="634"/>
      <c r="R114" s="634"/>
      <c r="S114" s="635"/>
      <c r="T114" s="635"/>
      <c r="U114" s="634"/>
      <c r="V114" s="634"/>
      <c r="W114" s="634"/>
      <c r="X114" s="634"/>
      <c r="Y114" s="634"/>
      <c r="Z114" s="634"/>
    </row>
    <row r="115" ht="15.75" customHeight="1">
      <c r="A115" s="643"/>
      <c r="B115" s="643"/>
      <c r="C115" s="643" t="s">
        <v>5223</v>
      </c>
      <c r="D115" s="643"/>
      <c r="E115" s="645"/>
      <c r="F115" s="643"/>
      <c r="G115" s="646"/>
      <c r="H115" s="645"/>
      <c r="I115" s="645"/>
      <c r="J115" s="645"/>
      <c r="K115" s="645"/>
      <c r="L115" s="645"/>
      <c r="M115" s="700"/>
      <c r="N115" s="700"/>
      <c r="O115" s="645"/>
      <c r="P115" s="645"/>
      <c r="Q115" s="634"/>
      <c r="R115" s="634"/>
      <c r="S115" s="635"/>
      <c r="T115" s="635"/>
      <c r="U115" s="634"/>
      <c r="V115" s="634"/>
      <c r="W115" s="634"/>
      <c r="X115" s="634"/>
      <c r="Y115" s="634"/>
      <c r="Z115" s="634"/>
    </row>
    <row r="116" ht="15.75" customHeight="1">
      <c r="A116" s="634"/>
      <c r="B116" s="634"/>
      <c r="C116" s="634"/>
      <c r="D116" s="634"/>
      <c r="E116" s="635"/>
      <c r="F116" s="634"/>
      <c r="G116" s="636"/>
      <c r="H116" s="635"/>
      <c r="I116" s="635"/>
      <c r="J116" s="635"/>
      <c r="K116" s="635"/>
      <c r="L116" s="635"/>
      <c r="M116" s="635"/>
      <c r="N116" s="635"/>
      <c r="O116" s="635"/>
      <c r="P116" s="635"/>
      <c r="Q116" s="634"/>
      <c r="R116" s="634"/>
      <c r="S116" s="635"/>
      <c r="T116" s="635"/>
      <c r="U116" s="634"/>
      <c r="V116" s="634"/>
      <c r="W116" s="634"/>
      <c r="X116" s="634"/>
      <c r="Y116" s="634"/>
      <c r="Z116" s="634"/>
    </row>
    <row r="117" ht="15.75" customHeight="1">
      <c r="A117" s="634"/>
      <c r="B117" s="634"/>
      <c r="C117" s="634"/>
      <c r="D117" s="634"/>
      <c r="E117" s="635"/>
      <c r="F117" s="634"/>
      <c r="G117" s="636"/>
      <c r="H117" s="635"/>
      <c r="I117" s="635"/>
      <c r="J117" s="635"/>
      <c r="K117" s="635"/>
      <c r="L117" s="635"/>
      <c r="M117" s="635"/>
      <c r="N117" s="635"/>
      <c r="O117" s="635"/>
      <c r="P117" s="635"/>
      <c r="Q117" s="634"/>
      <c r="R117" s="634"/>
      <c r="S117" s="635"/>
      <c r="T117" s="635"/>
      <c r="U117" s="634"/>
      <c r="V117" s="634"/>
      <c r="W117" s="634"/>
      <c r="X117" s="634"/>
      <c r="Y117" s="634"/>
      <c r="Z117" s="634"/>
    </row>
    <row r="118" ht="15.75" customHeight="1">
      <c r="A118" s="634"/>
      <c r="B118" s="634"/>
      <c r="C118" s="634"/>
      <c r="D118" s="634"/>
      <c r="E118" s="635"/>
      <c r="F118" s="634"/>
      <c r="G118" s="636"/>
      <c r="H118" s="635"/>
      <c r="I118" s="635"/>
      <c r="J118" s="635"/>
      <c r="K118" s="635"/>
      <c r="L118" s="635"/>
      <c r="M118" s="635"/>
      <c r="N118" s="635"/>
      <c r="O118" s="635"/>
      <c r="P118" s="635"/>
      <c r="Q118" s="634"/>
      <c r="R118" s="634"/>
      <c r="S118" s="635"/>
      <c r="T118" s="635"/>
      <c r="U118" s="634"/>
      <c r="V118" s="634"/>
      <c r="W118" s="634"/>
      <c r="X118" s="634"/>
      <c r="Y118" s="634"/>
      <c r="Z118" s="634"/>
    </row>
    <row r="119" ht="15.75" customHeight="1">
      <c r="A119" s="634"/>
      <c r="B119" s="634"/>
      <c r="C119" s="634"/>
      <c r="D119" s="634"/>
      <c r="E119" s="635"/>
      <c r="F119" s="634"/>
      <c r="G119" s="636"/>
      <c r="H119" s="635"/>
      <c r="I119" s="635"/>
      <c r="J119" s="635"/>
      <c r="K119" s="635"/>
      <c r="L119" s="635"/>
      <c r="M119" s="635"/>
      <c r="N119" s="635"/>
      <c r="O119" s="635"/>
      <c r="P119" s="635"/>
      <c r="Q119" s="634"/>
      <c r="R119" s="634"/>
      <c r="S119" s="635"/>
      <c r="T119" s="635"/>
      <c r="U119" s="634"/>
      <c r="V119" s="634"/>
      <c r="W119" s="634"/>
      <c r="X119" s="634"/>
      <c r="Y119" s="634"/>
      <c r="Z119" s="634"/>
    </row>
    <row r="120" ht="15.75" customHeight="1">
      <c r="A120" s="634"/>
      <c r="B120" s="634"/>
      <c r="C120" s="634"/>
      <c r="D120" s="634"/>
      <c r="E120" s="635"/>
      <c r="F120" s="634"/>
      <c r="G120" s="636"/>
      <c r="H120" s="635"/>
      <c r="I120" s="635"/>
      <c r="J120" s="635"/>
      <c r="K120" s="635"/>
      <c r="L120" s="635"/>
      <c r="M120" s="635"/>
      <c r="N120" s="635"/>
      <c r="O120" s="635"/>
      <c r="P120" s="635"/>
      <c r="Q120" s="634"/>
      <c r="R120" s="634"/>
      <c r="S120" s="635"/>
      <c r="T120" s="635"/>
      <c r="U120" s="634"/>
      <c r="V120" s="634"/>
      <c r="W120" s="634"/>
      <c r="X120" s="634"/>
      <c r="Y120" s="634"/>
      <c r="Z120" s="634"/>
    </row>
    <row r="121" ht="15.75" customHeight="1">
      <c r="A121" s="634"/>
      <c r="B121" s="634"/>
      <c r="C121" s="634"/>
      <c r="D121" s="634"/>
      <c r="E121" s="635"/>
      <c r="F121" s="634"/>
      <c r="G121" s="636"/>
      <c r="H121" s="635"/>
      <c r="I121" s="635"/>
      <c r="J121" s="635"/>
      <c r="K121" s="635"/>
      <c r="L121" s="635"/>
      <c r="M121" s="635"/>
      <c r="N121" s="635"/>
      <c r="O121" s="635"/>
      <c r="P121" s="635"/>
      <c r="Q121" s="634"/>
      <c r="R121" s="634"/>
      <c r="S121" s="635"/>
      <c r="T121" s="635"/>
      <c r="U121" s="634"/>
      <c r="V121" s="634"/>
      <c r="W121" s="634"/>
      <c r="X121" s="634"/>
      <c r="Y121" s="634"/>
      <c r="Z121" s="634"/>
    </row>
    <row r="122" ht="15.75" customHeight="1">
      <c r="A122" s="634"/>
      <c r="B122" s="634"/>
      <c r="C122" s="634"/>
      <c r="D122" s="634"/>
      <c r="E122" s="635"/>
      <c r="F122" s="634"/>
      <c r="G122" s="636"/>
      <c r="H122" s="635"/>
      <c r="I122" s="635"/>
      <c r="J122" s="635"/>
      <c r="K122" s="635"/>
      <c r="L122" s="635"/>
      <c r="M122" s="635"/>
      <c r="N122" s="635"/>
      <c r="O122" s="635"/>
      <c r="P122" s="635"/>
      <c r="Q122" s="634"/>
      <c r="R122" s="634"/>
      <c r="S122" s="635"/>
      <c r="T122" s="635"/>
      <c r="U122" s="634"/>
      <c r="V122" s="634"/>
      <c r="W122" s="634"/>
      <c r="X122" s="634"/>
      <c r="Y122" s="634"/>
      <c r="Z122" s="634"/>
    </row>
    <row r="123" ht="15.75" customHeight="1">
      <c r="A123" s="634"/>
      <c r="B123" s="634"/>
      <c r="C123" s="634"/>
      <c r="D123" s="634"/>
      <c r="E123" s="635"/>
      <c r="F123" s="634"/>
      <c r="G123" s="636"/>
      <c r="H123" s="635"/>
      <c r="I123" s="635"/>
      <c r="J123" s="635"/>
      <c r="K123" s="635"/>
      <c r="L123" s="635"/>
      <c r="M123" s="635"/>
      <c r="N123" s="635"/>
      <c r="O123" s="635"/>
      <c r="P123" s="635"/>
      <c r="Q123" s="634"/>
      <c r="R123" s="634"/>
      <c r="S123" s="635"/>
      <c r="T123" s="635"/>
      <c r="U123" s="634"/>
      <c r="V123" s="634"/>
      <c r="W123" s="634"/>
      <c r="X123" s="634"/>
      <c r="Y123" s="634"/>
      <c r="Z123" s="634"/>
    </row>
    <row r="124" ht="15.75" customHeight="1">
      <c r="A124" s="634"/>
      <c r="B124" s="634"/>
      <c r="C124" s="634"/>
      <c r="D124" s="634"/>
      <c r="E124" s="635"/>
      <c r="F124" s="634"/>
      <c r="G124" s="636"/>
      <c r="H124" s="635"/>
      <c r="I124" s="635"/>
      <c r="J124" s="635"/>
      <c r="K124" s="635"/>
      <c r="L124" s="635"/>
      <c r="M124" s="635"/>
      <c r="N124" s="635"/>
      <c r="O124" s="635"/>
      <c r="P124" s="635"/>
      <c r="Q124" s="634"/>
      <c r="R124" s="634"/>
      <c r="S124" s="635"/>
      <c r="T124" s="635"/>
      <c r="U124" s="634"/>
      <c r="V124" s="634"/>
      <c r="W124" s="634"/>
      <c r="X124" s="634"/>
      <c r="Y124" s="634"/>
      <c r="Z124" s="634"/>
    </row>
    <row r="125" ht="15.75" customHeight="1">
      <c r="A125" s="634"/>
      <c r="B125" s="634"/>
      <c r="C125" s="634"/>
      <c r="D125" s="634"/>
      <c r="E125" s="635"/>
      <c r="F125" s="634"/>
      <c r="G125" s="636"/>
      <c r="H125" s="635"/>
      <c r="I125" s="635"/>
      <c r="J125" s="635"/>
      <c r="K125" s="635"/>
      <c r="L125" s="635"/>
      <c r="M125" s="635"/>
      <c r="N125" s="635"/>
      <c r="O125" s="635"/>
      <c r="P125" s="635"/>
      <c r="Q125" s="634"/>
      <c r="R125" s="634"/>
      <c r="S125" s="635"/>
      <c r="T125" s="635"/>
      <c r="U125" s="634"/>
      <c r="V125" s="634"/>
      <c r="W125" s="634"/>
      <c r="X125" s="634"/>
      <c r="Y125" s="634"/>
      <c r="Z125" s="634"/>
    </row>
    <row r="126" ht="15.75" customHeight="1">
      <c r="A126" s="634"/>
      <c r="B126" s="634"/>
      <c r="C126" s="634"/>
      <c r="D126" s="634"/>
      <c r="E126" s="635"/>
      <c r="F126" s="634"/>
      <c r="G126" s="636"/>
      <c r="H126" s="635"/>
      <c r="I126" s="635"/>
      <c r="J126" s="635"/>
      <c r="K126" s="635"/>
      <c r="L126" s="635"/>
      <c r="M126" s="635"/>
      <c r="N126" s="635"/>
      <c r="O126" s="635"/>
      <c r="P126" s="635"/>
      <c r="Q126" s="634"/>
      <c r="R126" s="634"/>
      <c r="S126" s="635"/>
      <c r="T126" s="635"/>
      <c r="U126" s="634"/>
      <c r="V126" s="634"/>
      <c r="W126" s="634"/>
      <c r="X126" s="634"/>
      <c r="Y126" s="634"/>
      <c r="Z126" s="634"/>
    </row>
    <row r="127" ht="15.75" customHeight="1">
      <c r="A127" s="634"/>
      <c r="B127" s="634"/>
      <c r="C127" s="634"/>
      <c r="D127" s="634"/>
      <c r="E127" s="635"/>
      <c r="F127" s="634"/>
      <c r="G127" s="636"/>
      <c r="H127" s="635"/>
      <c r="I127" s="635"/>
      <c r="J127" s="635"/>
      <c r="K127" s="635"/>
      <c r="L127" s="635"/>
      <c r="M127" s="635"/>
      <c r="N127" s="635"/>
      <c r="O127" s="635"/>
      <c r="P127" s="635"/>
      <c r="Q127" s="634"/>
      <c r="R127" s="634"/>
      <c r="S127" s="635"/>
      <c r="T127" s="635"/>
      <c r="U127" s="634"/>
      <c r="V127" s="634"/>
      <c r="W127" s="634"/>
      <c r="X127" s="634"/>
      <c r="Y127" s="634"/>
      <c r="Z127" s="634"/>
    </row>
    <row r="128" ht="15.75" customHeight="1">
      <c r="A128" s="634"/>
      <c r="B128" s="634"/>
      <c r="C128" s="634"/>
      <c r="D128" s="634"/>
      <c r="E128" s="635"/>
      <c r="F128" s="634"/>
      <c r="G128" s="636"/>
      <c r="H128" s="635"/>
      <c r="I128" s="635"/>
      <c r="J128" s="635"/>
      <c r="K128" s="635"/>
      <c r="L128" s="635"/>
      <c r="M128" s="635"/>
      <c r="N128" s="635"/>
      <c r="O128" s="635"/>
      <c r="P128" s="635"/>
      <c r="Q128" s="634"/>
      <c r="R128" s="634"/>
      <c r="S128" s="635"/>
      <c r="T128" s="635"/>
      <c r="U128" s="634"/>
      <c r="V128" s="634"/>
      <c r="W128" s="634"/>
      <c r="X128" s="634"/>
      <c r="Y128" s="634"/>
      <c r="Z128" s="634"/>
    </row>
    <row r="129" ht="15.75" customHeight="1">
      <c r="A129" s="634"/>
      <c r="B129" s="634"/>
      <c r="C129" s="634"/>
      <c r="D129" s="634"/>
      <c r="E129" s="635"/>
      <c r="F129" s="634"/>
      <c r="G129" s="636"/>
      <c r="H129" s="635"/>
      <c r="I129" s="635"/>
      <c r="J129" s="635"/>
      <c r="K129" s="635"/>
      <c r="L129" s="635"/>
      <c r="M129" s="635"/>
      <c r="N129" s="635"/>
      <c r="O129" s="635"/>
      <c r="P129" s="635"/>
      <c r="Q129" s="634"/>
      <c r="R129" s="634"/>
      <c r="S129" s="635"/>
      <c r="T129" s="635"/>
      <c r="U129" s="634"/>
      <c r="V129" s="634"/>
      <c r="W129" s="634"/>
      <c r="X129" s="634"/>
      <c r="Y129" s="634"/>
      <c r="Z129" s="634"/>
    </row>
    <row r="130" ht="15.75" customHeight="1">
      <c r="A130" s="634"/>
      <c r="B130" s="634"/>
      <c r="C130" s="634"/>
      <c r="D130" s="634"/>
      <c r="E130" s="635"/>
      <c r="F130" s="634"/>
      <c r="G130" s="636"/>
      <c r="H130" s="635"/>
      <c r="I130" s="635"/>
      <c r="J130" s="635"/>
      <c r="K130" s="635"/>
      <c r="L130" s="635"/>
      <c r="M130" s="635"/>
      <c r="N130" s="635"/>
      <c r="O130" s="635"/>
      <c r="P130" s="635"/>
      <c r="Q130" s="634"/>
      <c r="R130" s="634"/>
      <c r="S130" s="635"/>
      <c r="T130" s="635"/>
      <c r="U130" s="634"/>
      <c r="V130" s="634"/>
      <c r="W130" s="634"/>
      <c r="X130" s="634"/>
      <c r="Y130" s="634"/>
      <c r="Z130" s="634"/>
    </row>
    <row r="131" ht="15.75" customHeight="1">
      <c r="A131" s="634"/>
      <c r="B131" s="634"/>
      <c r="C131" s="634"/>
      <c r="D131" s="634"/>
      <c r="E131" s="635"/>
      <c r="F131" s="634"/>
      <c r="G131" s="636"/>
      <c r="H131" s="635"/>
      <c r="I131" s="635"/>
      <c r="J131" s="635"/>
      <c r="K131" s="635"/>
      <c r="L131" s="635"/>
      <c r="M131" s="635"/>
      <c r="N131" s="635"/>
      <c r="O131" s="635"/>
      <c r="P131" s="635"/>
      <c r="Q131" s="634"/>
      <c r="R131" s="634"/>
      <c r="S131" s="635"/>
      <c r="T131" s="635"/>
      <c r="U131" s="634"/>
      <c r="V131" s="634"/>
      <c r="W131" s="634"/>
      <c r="X131" s="634"/>
      <c r="Y131" s="634"/>
      <c r="Z131" s="634"/>
    </row>
    <row r="132" ht="15.75" customHeight="1">
      <c r="A132" s="634"/>
      <c r="B132" s="634"/>
      <c r="C132" s="634"/>
      <c r="D132" s="634"/>
      <c r="E132" s="635"/>
      <c r="F132" s="634"/>
      <c r="G132" s="636"/>
      <c r="H132" s="635"/>
      <c r="I132" s="635"/>
      <c r="J132" s="635"/>
      <c r="K132" s="635"/>
      <c r="L132" s="635"/>
      <c r="M132" s="635"/>
      <c r="N132" s="635"/>
      <c r="O132" s="635"/>
      <c r="P132" s="635"/>
      <c r="Q132" s="634"/>
      <c r="R132" s="634"/>
      <c r="S132" s="635"/>
      <c r="T132" s="635"/>
      <c r="U132" s="634"/>
      <c r="V132" s="634"/>
      <c r="W132" s="634"/>
      <c r="X132" s="634"/>
      <c r="Y132" s="634"/>
      <c r="Z132" s="634"/>
    </row>
    <row r="133" ht="15.75" customHeight="1">
      <c r="A133" s="634"/>
      <c r="B133" s="634"/>
      <c r="C133" s="634"/>
      <c r="D133" s="634"/>
      <c r="E133" s="635"/>
      <c r="F133" s="634"/>
      <c r="G133" s="636"/>
      <c r="H133" s="635"/>
      <c r="I133" s="635"/>
      <c r="J133" s="635"/>
      <c r="K133" s="635"/>
      <c r="L133" s="635"/>
      <c r="M133" s="635"/>
      <c r="N133" s="635"/>
      <c r="O133" s="635"/>
      <c r="P133" s="635"/>
      <c r="Q133" s="634"/>
      <c r="R133" s="634"/>
      <c r="S133" s="635"/>
      <c r="T133" s="635"/>
      <c r="U133" s="634"/>
      <c r="V133" s="634"/>
      <c r="W133" s="634"/>
      <c r="X133" s="634"/>
      <c r="Y133" s="634"/>
      <c r="Z133" s="634"/>
    </row>
    <row r="134" ht="15.75" customHeight="1">
      <c r="A134" s="634"/>
      <c r="B134" s="634"/>
      <c r="C134" s="634"/>
      <c r="D134" s="634"/>
      <c r="E134" s="635"/>
      <c r="F134" s="634"/>
      <c r="G134" s="636"/>
      <c r="H134" s="635"/>
      <c r="I134" s="635"/>
      <c r="J134" s="635"/>
      <c r="K134" s="635"/>
      <c r="L134" s="635"/>
      <c r="M134" s="635"/>
      <c r="N134" s="635"/>
      <c r="O134" s="635"/>
      <c r="P134" s="635"/>
      <c r="Q134" s="634"/>
      <c r="R134" s="634"/>
      <c r="S134" s="635"/>
      <c r="T134" s="635"/>
      <c r="U134" s="634"/>
      <c r="V134" s="634"/>
      <c r="W134" s="634"/>
      <c r="X134" s="634"/>
      <c r="Y134" s="634"/>
      <c r="Z134" s="634"/>
    </row>
    <row r="135" ht="15.75" customHeight="1">
      <c r="A135" s="634"/>
      <c r="B135" s="634"/>
      <c r="C135" s="634"/>
      <c r="D135" s="634"/>
      <c r="E135" s="635"/>
      <c r="F135" s="634"/>
      <c r="G135" s="636"/>
      <c r="H135" s="635"/>
      <c r="I135" s="635"/>
      <c r="J135" s="635"/>
      <c r="K135" s="635"/>
      <c r="L135" s="635"/>
      <c r="M135" s="635"/>
      <c r="N135" s="635"/>
      <c r="O135" s="635"/>
      <c r="P135" s="635"/>
      <c r="Q135" s="634"/>
      <c r="R135" s="634"/>
      <c r="S135" s="635"/>
      <c r="T135" s="635"/>
      <c r="U135" s="634"/>
      <c r="V135" s="634"/>
      <c r="W135" s="634"/>
      <c r="X135" s="634"/>
      <c r="Y135" s="634"/>
      <c r="Z135" s="634"/>
    </row>
    <row r="136" ht="15.75" customHeight="1">
      <c r="A136" s="634"/>
      <c r="B136" s="634"/>
      <c r="C136" s="634"/>
      <c r="D136" s="634"/>
      <c r="E136" s="635"/>
      <c r="F136" s="634"/>
      <c r="G136" s="636"/>
      <c r="H136" s="635"/>
      <c r="I136" s="635"/>
      <c r="J136" s="635"/>
      <c r="K136" s="635"/>
      <c r="L136" s="635"/>
      <c r="M136" s="635"/>
      <c r="N136" s="635"/>
      <c r="O136" s="635"/>
      <c r="P136" s="635"/>
      <c r="Q136" s="634"/>
      <c r="R136" s="634"/>
      <c r="S136" s="635"/>
      <c r="T136" s="635"/>
      <c r="U136" s="634"/>
      <c r="V136" s="634"/>
      <c r="W136" s="634"/>
      <c r="X136" s="634"/>
      <c r="Y136" s="634"/>
      <c r="Z136" s="634"/>
    </row>
    <row r="137" ht="15.75" customHeight="1">
      <c r="A137" s="634"/>
      <c r="B137" s="634"/>
      <c r="C137" s="634"/>
      <c r="D137" s="634"/>
      <c r="E137" s="635"/>
      <c r="F137" s="634"/>
      <c r="G137" s="636"/>
      <c r="H137" s="635"/>
      <c r="I137" s="635"/>
      <c r="J137" s="635"/>
      <c r="K137" s="635"/>
      <c r="L137" s="635"/>
      <c r="M137" s="635"/>
      <c r="N137" s="635"/>
      <c r="O137" s="635"/>
      <c r="P137" s="635"/>
      <c r="Q137" s="634"/>
      <c r="R137" s="634"/>
      <c r="S137" s="635"/>
      <c r="T137" s="635"/>
      <c r="U137" s="634"/>
      <c r="V137" s="634"/>
      <c r="W137" s="634"/>
      <c r="X137" s="634"/>
      <c r="Y137" s="634"/>
      <c r="Z137" s="634"/>
    </row>
    <row r="138" ht="15.75" customHeight="1">
      <c r="A138" s="634"/>
      <c r="B138" s="634"/>
      <c r="C138" s="634"/>
      <c r="D138" s="634"/>
      <c r="E138" s="635"/>
      <c r="F138" s="634"/>
      <c r="G138" s="636"/>
      <c r="H138" s="635"/>
      <c r="I138" s="635"/>
      <c r="J138" s="635"/>
      <c r="K138" s="635"/>
      <c r="L138" s="635"/>
      <c r="M138" s="635"/>
      <c r="N138" s="635"/>
      <c r="O138" s="635"/>
      <c r="P138" s="635"/>
      <c r="Q138" s="634"/>
      <c r="R138" s="634"/>
      <c r="S138" s="635"/>
      <c r="T138" s="635"/>
      <c r="U138" s="634"/>
      <c r="V138" s="634"/>
      <c r="W138" s="634"/>
      <c r="X138" s="634"/>
      <c r="Y138" s="634"/>
      <c r="Z138" s="634"/>
    </row>
    <row r="139" ht="15.75" customHeight="1">
      <c r="A139" s="634"/>
      <c r="B139" s="634"/>
      <c r="C139" s="634"/>
      <c r="D139" s="634"/>
      <c r="E139" s="635"/>
      <c r="F139" s="634"/>
      <c r="G139" s="636"/>
      <c r="H139" s="635"/>
      <c r="I139" s="635"/>
      <c r="J139" s="635"/>
      <c r="K139" s="635"/>
      <c r="L139" s="635"/>
      <c r="M139" s="635"/>
      <c r="N139" s="635"/>
      <c r="O139" s="635"/>
      <c r="P139" s="635"/>
      <c r="Q139" s="634"/>
      <c r="R139" s="634"/>
      <c r="S139" s="635"/>
      <c r="T139" s="635"/>
      <c r="U139" s="634"/>
      <c r="V139" s="634"/>
      <c r="W139" s="634"/>
      <c r="X139" s="634"/>
      <c r="Y139" s="634"/>
      <c r="Z139" s="634"/>
    </row>
    <row r="140" ht="15.75" customHeight="1">
      <c r="A140" s="634"/>
      <c r="B140" s="634"/>
      <c r="C140" s="634"/>
      <c r="D140" s="634"/>
      <c r="E140" s="635"/>
      <c r="F140" s="634"/>
      <c r="G140" s="636"/>
      <c r="H140" s="635"/>
      <c r="I140" s="635"/>
      <c r="J140" s="635"/>
      <c r="K140" s="635"/>
      <c r="L140" s="635"/>
      <c r="M140" s="635"/>
      <c r="N140" s="635"/>
      <c r="O140" s="635"/>
      <c r="P140" s="635"/>
      <c r="Q140" s="634"/>
      <c r="R140" s="634"/>
      <c r="S140" s="635"/>
      <c r="T140" s="635"/>
      <c r="U140" s="634"/>
      <c r="V140" s="634"/>
      <c r="W140" s="634"/>
      <c r="X140" s="634"/>
      <c r="Y140" s="634"/>
      <c r="Z140" s="634"/>
    </row>
    <row r="141" ht="15.75" customHeight="1">
      <c r="A141" s="634"/>
      <c r="B141" s="634"/>
      <c r="C141" s="634"/>
      <c r="D141" s="634"/>
      <c r="E141" s="635"/>
      <c r="F141" s="634"/>
      <c r="G141" s="636"/>
      <c r="H141" s="635"/>
      <c r="I141" s="635"/>
      <c r="J141" s="635"/>
      <c r="K141" s="635"/>
      <c r="L141" s="635"/>
      <c r="M141" s="635"/>
      <c r="N141" s="635"/>
      <c r="O141" s="635"/>
      <c r="P141" s="635"/>
      <c r="Q141" s="634"/>
      <c r="R141" s="634"/>
      <c r="S141" s="635"/>
      <c r="T141" s="635"/>
      <c r="U141" s="634"/>
      <c r="V141" s="634"/>
      <c r="W141" s="634"/>
      <c r="X141" s="634"/>
      <c r="Y141" s="634"/>
      <c r="Z141" s="634"/>
    </row>
    <row r="142" ht="15.75" customHeight="1">
      <c r="A142" s="634"/>
      <c r="B142" s="634"/>
      <c r="C142" s="634"/>
      <c r="D142" s="634"/>
      <c r="E142" s="635"/>
      <c r="F142" s="634"/>
      <c r="G142" s="636"/>
      <c r="H142" s="635"/>
      <c r="I142" s="635"/>
      <c r="J142" s="635"/>
      <c r="K142" s="635"/>
      <c r="L142" s="635"/>
      <c r="M142" s="635"/>
      <c r="N142" s="635"/>
      <c r="O142" s="635"/>
      <c r="P142" s="635"/>
      <c r="Q142" s="634"/>
      <c r="R142" s="634"/>
      <c r="S142" s="635"/>
      <c r="T142" s="635"/>
      <c r="U142" s="634"/>
      <c r="V142" s="634"/>
      <c r="W142" s="634"/>
      <c r="X142" s="634"/>
      <c r="Y142" s="634"/>
      <c r="Z142" s="634"/>
    </row>
    <row r="143" ht="15.75" customHeight="1">
      <c r="A143" s="634"/>
      <c r="B143" s="634"/>
      <c r="C143" s="634"/>
      <c r="D143" s="634"/>
      <c r="E143" s="635"/>
      <c r="F143" s="634"/>
      <c r="G143" s="636"/>
      <c r="H143" s="635"/>
      <c r="I143" s="635"/>
      <c r="J143" s="635"/>
      <c r="K143" s="635"/>
      <c r="L143" s="635"/>
      <c r="M143" s="635"/>
      <c r="N143" s="635"/>
      <c r="O143" s="635"/>
      <c r="P143" s="635"/>
      <c r="Q143" s="634"/>
      <c r="R143" s="634"/>
      <c r="S143" s="635"/>
      <c r="T143" s="635"/>
      <c r="U143" s="634"/>
      <c r="V143" s="634"/>
      <c r="W143" s="634"/>
      <c r="X143" s="634"/>
      <c r="Y143" s="634"/>
      <c r="Z143" s="634"/>
    </row>
    <row r="144" ht="15.75" customHeight="1">
      <c r="A144" s="634"/>
      <c r="B144" s="634"/>
      <c r="C144" s="634"/>
      <c r="D144" s="634"/>
      <c r="E144" s="635"/>
      <c r="F144" s="634"/>
      <c r="G144" s="636"/>
      <c r="H144" s="635"/>
      <c r="I144" s="635"/>
      <c r="J144" s="635"/>
      <c r="K144" s="635"/>
      <c r="L144" s="635"/>
      <c r="M144" s="635"/>
      <c r="N144" s="635"/>
      <c r="O144" s="635"/>
      <c r="P144" s="635"/>
      <c r="Q144" s="634"/>
      <c r="R144" s="634"/>
      <c r="S144" s="635"/>
      <c r="T144" s="635"/>
      <c r="U144" s="634"/>
      <c r="V144" s="634"/>
      <c r="W144" s="634"/>
      <c r="X144" s="634"/>
      <c r="Y144" s="634"/>
      <c r="Z144" s="634"/>
    </row>
    <row r="145" ht="15.75" customHeight="1">
      <c r="A145" s="634"/>
      <c r="B145" s="634"/>
      <c r="C145" s="634"/>
      <c r="D145" s="634"/>
      <c r="E145" s="635"/>
      <c r="F145" s="634"/>
      <c r="G145" s="636"/>
      <c r="H145" s="635"/>
      <c r="I145" s="635"/>
      <c r="J145" s="635"/>
      <c r="K145" s="635"/>
      <c r="L145" s="635"/>
      <c r="M145" s="635"/>
      <c r="N145" s="635"/>
      <c r="O145" s="635"/>
      <c r="P145" s="635"/>
      <c r="Q145" s="634"/>
      <c r="R145" s="634"/>
      <c r="S145" s="635"/>
      <c r="T145" s="635"/>
      <c r="U145" s="634"/>
      <c r="V145" s="634"/>
      <c r="W145" s="634"/>
      <c r="X145" s="634"/>
      <c r="Y145" s="634"/>
      <c r="Z145" s="634"/>
    </row>
    <row r="146" ht="15.75" customHeight="1">
      <c r="A146" s="634"/>
      <c r="B146" s="634"/>
      <c r="C146" s="634"/>
      <c r="D146" s="634"/>
      <c r="E146" s="635"/>
      <c r="F146" s="634"/>
      <c r="G146" s="636"/>
      <c r="H146" s="635"/>
      <c r="I146" s="635"/>
      <c r="J146" s="635"/>
      <c r="K146" s="635"/>
      <c r="L146" s="635"/>
      <c r="M146" s="635"/>
      <c r="N146" s="635"/>
      <c r="O146" s="635"/>
      <c r="P146" s="635"/>
      <c r="Q146" s="634"/>
      <c r="R146" s="634"/>
      <c r="S146" s="635"/>
      <c r="T146" s="635"/>
      <c r="U146" s="634"/>
      <c r="V146" s="634"/>
      <c r="W146" s="634"/>
      <c r="X146" s="634"/>
      <c r="Y146" s="634"/>
      <c r="Z146" s="634"/>
    </row>
    <row r="147" ht="15.75" customHeight="1">
      <c r="A147" s="634"/>
      <c r="B147" s="634"/>
      <c r="C147" s="634"/>
      <c r="D147" s="634"/>
      <c r="E147" s="635"/>
      <c r="F147" s="634"/>
      <c r="G147" s="636"/>
      <c r="H147" s="635"/>
      <c r="I147" s="635"/>
      <c r="J147" s="635"/>
      <c r="K147" s="635"/>
      <c r="L147" s="635"/>
      <c r="M147" s="635"/>
      <c r="N147" s="635"/>
      <c r="O147" s="635"/>
      <c r="P147" s="635"/>
      <c r="Q147" s="634"/>
      <c r="R147" s="634"/>
      <c r="S147" s="635"/>
      <c r="T147" s="635"/>
      <c r="U147" s="634"/>
      <c r="V147" s="634"/>
      <c r="W147" s="634"/>
      <c r="X147" s="634"/>
      <c r="Y147" s="634"/>
      <c r="Z147" s="634"/>
    </row>
    <row r="148" ht="15.75" customHeight="1">
      <c r="A148" s="634"/>
      <c r="B148" s="634"/>
      <c r="C148" s="634"/>
      <c r="D148" s="634"/>
      <c r="E148" s="635"/>
      <c r="F148" s="634"/>
      <c r="G148" s="636"/>
      <c r="H148" s="635"/>
      <c r="I148" s="635"/>
      <c r="J148" s="635"/>
      <c r="K148" s="635"/>
      <c r="L148" s="635"/>
      <c r="M148" s="635"/>
      <c r="N148" s="635"/>
      <c r="O148" s="635"/>
      <c r="P148" s="635"/>
      <c r="Q148" s="634"/>
      <c r="R148" s="634"/>
      <c r="S148" s="635"/>
      <c r="T148" s="635"/>
      <c r="U148" s="634"/>
      <c r="V148" s="634"/>
      <c r="W148" s="634"/>
      <c r="X148" s="634"/>
      <c r="Y148" s="634"/>
      <c r="Z148" s="634"/>
    </row>
    <row r="149" ht="15.75" customHeight="1">
      <c r="A149" s="634"/>
      <c r="B149" s="634"/>
      <c r="C149" s="634"/>
      <c r="D149" s="634"/>
      <c r="E149" s="635"/>
      <c r="F149" s="634"/>
      <c r="G149" s="636"/>
      <c r="H149" s="635"/>
      <c r="I149" s="635"/>
      <c r="J149" s="635"/>
      <c r="K149" s="635"/>
      <c r="L149" s="635"/>
      <c r="M149" s="635"/>
      <c r="N149" s="635"/>
      <c r="O149" s="635"/>
      <c r="P149" s="635"/>
      <c r="Q149" s="634"/>
      <c r="R149" s="634"/>
      <c r="S149" s="635"/>
      <c r="T149" s="635"/>
      <c r="U149" s="634"/>
      <c r="V149" s="634"/>
      <c r="W149" s="634"/>
      <c r="X149" s="634"/>
      <c r="Y149" s="634"/>
      <c r="Z149" s="634"/>
    </row>
    <row r="150" ht="15.75" customHeight="1">
      <c r="A150" s="634"/>
      <c r="B150" s="634"/>
      <c r="C150" s="634"/>
      <c r="D150" s="634"/>
      <c r="E150" s="635"/>
      <c r="F150" s="634"/>
      <c r="G150" s="636"/>
      <c r="H150" s="635"/>
      <c r="I150" s="635"/>
      <c r="J150" s="635"/>
      <c r="K150" s="635"/>
      <c r="L150" s="635"/>
      <c r="M150" s="635"/>
      <c r="N150" s="635"/>
      <c r="O150" s="635"/>
      <c r="P150" s="635"/>
      <c r="Q150" s="634"/>
      <c r="R150" s="634"/>
      <c r="S150" s="635"/>
      <c r="T150" s="635"/>
      <c r="U150" s="634"/>
      <c r="V150" s="634"/>
      <c r="W150" s="634"/>
      <c r="X150" s="634"/>
      <c r="Y150" s="634"/>
      <c r="Z150" s="634"/>
    </row>
    <row r="151" ht="15.75" customHeight="1">
      <c r="A151" s="634"/>
      <c r="B151" s="634"/>
      <c r="C151" s="634"/>
      <c r="D151" s="634"/>
      <c r="E151" s="635"/>
      <c r="F151" s="634"/>
      <c r="G151" s="636"/>
      <c r="H151" s="635"/>
      <c r="I151" s="635"/>
      <c r="J151" s="635"/>
      <c r="K151" s="635"/>
      <c r="L151" s="635"/>
      <c r="M151" s="635"/>
      <c r="N151" s="635"/>
      <c r="O151" s="635"/>
      <c r="P151" s="635"/>
      <c r="Q151" s="634"/>
      <c r="R151" s="634"/>
      <c r="S151" s="635"/>
      <c r="T151" s="635"/>
      <c r="U151" s="634"/>
      <c r="V151" s="634"/>
      <c r="W151" s="634"/>
      <c r="X151" s="634"/>
      <c r="Y151" s="634"/>
      <c r="Z151" s="634"/>
    </row>
    <row r="152" ht="15.75" customHeight="1">
      <c r="A152" s="634"/>
      <c r="B152" s="634"/>
      <c r="C152" s="634"/>
      <c r="D152" s="634"/>
      <c r="E152" s="635"/>
      <c r="F152" s="634"/>
      <c r="G152" s="636"/>
      <c r="H152" s="635"/>
      <c r="I152" s="635"/>
      <c r="J152" s="635"/>
      <c r="K152" s="635"/>
      <c r="L152" s="635"/>
      <c r="M152" s="635"/>
      <c r="N152" s="635"/>
      <c r="O152" s="635"/>
      <c r="P152" s="635"/>
      <c r="Q152" s="634"/>
      <c r="R152" s="634"/>
      <c r="S152" s="635"/>
      <c r="T152" s="635"/>
      <c r="U152" s="634"/>
      <c r="V152" s="634"/>
      <c r="W152" s="634"/>
      <c r="X152" s="634"/>
      <c r="Y152" s="634"/>
      <c r="Z152" s="634"/>
    </row>
    <row r="153" ht="15.75" customHeight="1">
      <c r="A153" s="634"/>
      <c r="B153" s="634"/>
      <c r="C153" s="634"/>
      <c r="D153" s="634"/>
      <c r="E153" s="635"/>
      <c r="F153" s="634"/>
      <c r="G153" s="636"/>
      <c r="H153" s="635"/>
      <c r="I153" s="635"/>
      <c r="J153" s="635"/>
      <c r="K153" s="635"/>
      <c r="L153" s="635"/>
      <c r="M153" s="635"/>
      <c r="N153" s="635"/>
      <c r="O153" s="635"/>
      <c r="P153" s="635"/>
      <c r="Q153" s="634"/>
      <c r="R153" s="634"/>
      <c r="S153" s="635"/>
      <c r="T153" s="635"/>
      <c r="U153" s="634"/>
      <c r="V153" s="634"/>
      <c r="W153" s="634"/>
      <c r="X153" s="634"/>
      <c r="Y153" s="634"/>
      <c r="Z153" s="634"/>
    </row>
    <row r="154" ht="15.75" customHeight="1">
      <c r="A154" s="634"/>
      <c r="B154" s="634"/>
      <c r="C154" s="634"/>
      <c r="D154" s="634"/>
      <c r="E154" s="635"/>
      <c r="F154" s="634"/>
      <c r="G154" s="636"/>
      <c r="H154" s="635"/>
      <c r="I154" s="635"/>
      <c r="J154" s="635"/>
      <c r="K154" s="635"/>
      <c r="L154" s="635"/>
      <c r="M154" s="635"/>
      <c r="N154" s="635"/>
      <c r="O154" s="635"/>
      <c r="P154" s="635"/>
      <c r="Q154" s="634"/>
      <c r="R154" s="634"/>
      <c r="S154" s="635"/>
      <c r="T154" s="635"/>
      <c r="U154" s="634"/>
      <c r="V154" s="634"/>
      <c r="W154" s="634"/>
      <c r="X154" s="634"/>
      <c r="Y154" s="634"/>
      <c r="Z154" s="634"/>
    </row>
    <row r="155" ht="15.75" customHeight="1">
      <c r="A155" s="634"/>
      <c r="B155" s="634"/>
      <c r="C155" s="634"/>
      <c r="D155" s="634"/>
      <c r="E155" s="635"/>
      <c r="F155" s="634"/>
      <c r="G155" s="636"/>
      <c r="H155" s="635"/>
      <c r="I155" s="635"/>
      <c r="J155" s="635"/>
      <c r="K155" s="635"/>
      <c r="L155" s="635"/>
      <c r="M155" s="635"/>
      <c r="N155" s="635"/>
      <c r="O155" s="635"/>
      <c r="P155" s="635"/>
      <c r="Q155" s="634"/>
      <c r="R155" s="634"/>
      <c r="S155" s="635"/>
      <c r="T155" s="635"/>
      <c r="U155" s="634"/>
      <c r="V155" s="634"/>
      <c r="W155" s="634"/>
      <c r="X155" s="634"/>
      <c r="Y155" s="634"/>
      <c r="Z155" s="634"/>
    </row>
    <row r="156" ht="15.75" customHeight="1">
      <c r="A156" s="634"/>
      <c r="B156" s="634"/>
      <c r="C156" s="634"/>
      <c r="D156" s="634"/>
      <c r="E156" s="635"/>
      <c r="F156" s="634"/>
      <c r="G156" s="636"/>
      <c r="H156" s="635"/>
      <c r="I156" s="635"/>
      <c r="J156" s="635"/>
      <c r="K156" s="635"/>
      <c r="L156" s="635"/>
      <c r="M156" s="635"/>
      <c r="N156" s="635"/>
      <c r="O156" s="635"/>
      <c r="P156" s="635"/>
      <c r="Q156" s="634"/>
      <c r="R156" s="634"/>
      <c r="S156" s="635"/>
      <c r="T156" s="635"/>
      <c r="U156" s="634"/>
      <c r="V156" s="634"/>
      <c r="W156" s="634"/>
      <c r="X156" s="634"/>
      <c r="Y156" s="634"/>
      <c r="Z156" s="634"/>
    </row>
    <row r="157" ht="15.75" customHeight="1">
      <c r="A157" s="634"/>
      <c r="B157" s="634"/>
      <c r="C157" s="634"/>
      <c r="D157" s="634"/>
      <c r="E157" s="635"/>
      <c r="F157" s="634"/>
      <c r="G157" s="636"/>
      <c r="H157" s="635"/>
      <c r="I157" s="635"/>
      <c r="J157" s="635"/>
      <c r="K157" s="635"/>
      <c r="L157" s="635"/>
      <c r="M157" s="635"/>
      <c r="N157" s="635"/>
      <c r="O157" s="635"/>
      <c r="P157" s="635"/>
      <c r="Q157" s="634"/>
      <c r="R157" s="634"/>
      <c r="S157" s="635"/>
      <c r="T157" s="635"/>
      <c r="U157" s="634"/>
      <c r="V157" s="634"/>
      <c r="W157" s="634"/>
      <c r="X157" s="634"/>
      <c r="Y157" s="634"/>
      <c r="Z157" s="634"/>
    </row>
    <row r="158" ht="15.75" customHeight="1">
      <c r="A158" s="634"/>
      <c r="B158" s="634"/>
      <c r="C158" s="634"/>
      <c r="D158" s="634"/>
      <c r="E158" s="635"/>
      <c r="F158" s="634"/>
      <c r="G158" s="636"/>
      <c r="H158" s="635"/>
      <c r="I158" s="635"/>
      <c r="J158" s="635"/>
      <c r="K158" s="635"/>
      <c r="L158" s="635"/>
      <c r="M158" s="635"/>
      <c r="N158" s="635"/>
      <c r="O158" s="635"/>
      <c r="P158" s="635"/>
      <c r="Q158" s="634"/>
      <c r="R158" s="634"/>
      <c r="S158" s="635"/>
      <c r="T158" s="635"/>
      <c r="U158" s="634"/>
      <c r="V158" s="634"/>
      <c r="W158" s="634"/>
      <c r="X158" s="634"/>
      <c r="Y158" s="634"/>
      <c r="Z158" s="634"/>
    </row>
    <row r="159" ht="15.75" customHeight="1">
      <c r="A159" s="634"/>
      <c r="B159" s="634"/>
      <c r="C159" s="634"/>
      <c r="D159" s="634"/>
      <c r="E159" s="635"/>
      <c r="F159" s="634"/>
      <c r="G159" s="636"/>
      <c r="H159" s="635"/>
      <c r="I159" s="635"/>
      <c r="J159" s="635"/>
      <c r="K159" s="635"/>
      <c r="L159" s="635"/>
      <c r="M159" s="635"/>
      <c r="N159" s="635"/>
      <c r="O159" s="635"/>
      <c r="P159" s="635"/>
      <c r="Q159" s="634"/>
      <c r="R159" s="634"/>
      <c r="S159" s="635"/>
      <c r="T159" s="635"/>
      <c r="U159" s="634"/>
      <c r="V159" s="634"/>
      <c r="W159" s="634"/>
      <c r="X159" s="634"/>
      <c r="Y159" s="634"/>
      <c r="Z159" s="634"/>
    </row>
    <row r="160" ht="15.75" customHeight="1">
      <c r="A160" s="634"/>
      <c r="B160" s="634"/>
      <c r="C160" s="634"/>
      <c r="D160" s="634"/>
      <c r="E160" s="635"/>
      <c r="F160" s="634"/>
      <c r="G160" s="636"/>
      <c r="H160" s="635"/>
      <c r="I160" s="635"/>
      <c r="J160" s="635"/>
      <c r="K160" s="635"/>
      <c r="L160" s="635"/>
      <c r="M160" s="635"/>
      <c r="N160" s="635"/>
      <c r="O160" s="635"/>
      <c r="P160" s="635"/>
      <c r="Q160" s="634"/>
      <c r="R160" s="634"/>
      <c r="S160" s="635"/>
      <c r="T160" s="635"/>
      <c r="U160" s="634"/>
      <c r="V160" s="634"/>
      <c r="W160" s="634"/>
      <c r="X160" s="634"/>
      <c r="Y160" s="634"/>
      <c r="Z160" s="634"/>
    </row>
    <row r="161" ht="15.75" customHeight="1">
      <c r="A161" s="634"/>
      <c r="B161" s="634"/>
      <c r="C161" s="634"/>
      <c r="D161" s="634"/>
      <c r="E161" s="635"/>
      <c r="F161" s="634"/>
      <c r="G161" s="636"/>
      <c r="H161" s="635"/>
      <c r="I161" s="635"/>
      <c r="J161" s="635"/>
      <c r="K161" s="635"/>
      <c r="L161" s="635"/>
      <c r="M161" s="635"/>
      <c r="N161" s="635"/>
      <c r="O161" s="635"/>
      <c r="P161" s="635"/>
      <c r="Q161" s="634"/>
      <c r="R161" s="634"/>
      <c r="S161" s="635"/>
      <c r="T161" s="635"/>
      <c r="U161" s="634"/>
      <c r="V161" s="634"/>
      <c r="W161" s="634"/>
      <c r="X161" s="634"/>
      <c r="Y161" s="634"/>
      <c r="Z161" s="634"/>
    </row>
    <row r="162" ht="15.75" customHeight="1">
      <c r="A162" s="634"/>
      <c r="B162" s="634"/>
      <c r="C162" s="634"/>
      <c r="D162" s="634"/>
      <c r="E162" s="635"/>
      <c r="F162" s="634"/>
      <c r="G162" s="636"/>
      <c r="H162" s="635"/>
      <c r="I162" s="635"/>
      <c r="J162" s="635"/>
      <c r="K162" s="635"/>
      <c r="L162" s="635"/>
      <c r="M162" s="635"/>
      <c r="N162" s="635"/>
      <c r="O162" s="635"/>
      <c r="P162" s="635"/>
      <c r="Q162" s="634"/>
      <c r="R162" s="634"/>
      <c r="S162" s="635"/>
      <c r="T162" s="635"/>
      <c r="U162" s="634"/>
      <c r="V162" s="634"/>
      <c r="W162" s="634"/>
      <c r="X162" s="634"/>
      <c r="Y162" s="634"/>
      <c r="Z162" s="634"/>
    </row>
    <row r="163" ht="15.75" customHeight="1">
      <c r="A163" s="634"/>
      <c r="B163" s="634"/>
      <c r="C163" s="634"/>
      <c r="D163" s="634"/>
      <c r="E163" s="635"/>
      <c r="F163" s="634"/>
      <c r="G163" s="636"/>
      <c r="H163" s="635"/>
      <c r="I163" s="635"/>
      <c r="J163" s="635"/>
      <c r="K163" s="635"/>
      <c r="L163" s="635"/>
      <c r="M163" s="635"/>
      <c r="N163" s="635"/>
      <c r="O163" s="635"/>
      <c r="P163" s="635"/>
      <c r="Q163" s="634"/>
      <c r="R163" s="634"/>
      <c r="S163" s="635"/>
      <c r="T163" s="635"/>
      <c r="U163" s="634"/>
      <c r="V163" s="634"/>
      <c r="W163" s="634"/>
      <c r="X163" s="634"/>
      <c r="Y163" s="634"/>
      <c r="Z163" s="634"/>
    </row>
    <row r="164" ht="15.75" customHeight="1">
      <c r="A164" s="634"/>
      <c r="B164" s="634"/>
      <c r="C164" s="634"/>
      <c r="D164" s="634"/>
      <c r="E164" s="635"/>
      <c r="F164" s="634"/>
      <c r="G164" s="636"/>
      <c r="H164" s="635"/>
      <c r="I164" s="635"/>
      <c r="J164" s="635"/>
      <c r="K164" s="635"/>
      <c r="L164" s="635"/>
      <c r="M164" s="635"/>
      <c r="N164" s="635"/>
      <c r="O164" s="635"/>
      <c r="P164" s="635"/>
      <c r="Q164" s="634"/>
      <c r="R164" s="634"/>
      <c r="S164" s="635"/>
      <c r="T164" s="635"/>
      <c r="U164" s="634"/>
      <c r="V164" s="634"/>
      <c r="W164" s="634"/>
      <c r="X164" s="634"/>
      <c r="Y164" s="634"/>
      <c r="Z164" s="634"/>
    </row>
    <row r="165" ht="15.75" customHeight="1">
      <c r="A165" s="634"/>
      <c r="B165" s="634"/>
      <c r="C165" s="634"/>
      <c r="D165" s="634"/>
      <c r="E165" s="635"/>
      <c r="F165" s="634"/>
      <c r="G165" s="636"/>
      <c r="H165" s="635"/>
      <c r="I165" s="635"/>
      <c r="J165" s="635"/>
      <c r="K165" s="635"/>
      <c r="L165" s="635"/>
      <c r="M165" s="635"/>
      <c r="N165" s="635"/>
      <c r="O165" s="635"/>
      <c r="P165" s="635"/>
      <c r="Q165" s="634"/>
      <c r="R165" s="634"/>
      <c r="S165" s="635"/>
      <c r="T165" s="635"/>
      <c r="U165" s="634"/>
      <c r="V165" s="634"/>
      <c r="W165" s="634"/>
      <c r="X165" s="634"/>
      <c r="Y165" s="634"/>
      <c r="Z165" s="634"/>
    </row>
    <row r="166" ht="15.75" customHeight="1">
      <c r="A166" s="634"/>
      <c r="B166" s="634"/>
      <c r="C166" s="634"/>
      <c r="D166" s="634"/>
      <c r="E166" s="635"/>
      <c r="F166" s="634"/>
      <c r="G166" s="636"/>
      <c r="H166" s="635"/>
      <c r="I166" s="635"/>
      <c r="J166" s="635"/>
      <c r="K166" s="635"/>
      <c r="L166" s="635"/>
      <c r="M166" s="635"/>
      <c r="N166" s="635"/>
      <c r="O166" s="635"/>
      <c r="P166" s="635"/>
      <c r="Q166" s="634"/>
      <c r="R166" s="634"/>
      <c r="S166" s="635"/>
      <c r="T166" s="635"/>
      <c r="U166" s="634"/>
      <c r="V166" s="634"/>
      <c r="W166" s="634"/>
      <c r="X166" s="634"/>
      <c r="Y166" s="634"/>
      <c r="Z166" s="634"/>
    </row>
    <row r="167" ht="15.75" customHeight="1">
      <c r="A167" s="634"/>
      <c r="B167" s="634"/>
      <c r="C167" s="634"/>
      <c r="D167" s="634"/>
      <c r="E167" s="635"/>
      <c r="F167" s="634"/>
      <c r="G167" s="636"/>
      <c r="H167" s="635"/>
      <c r="I167" s="635"/>
      <c r="J167" s="635"/>
      <c r="K167" s="635"/>
      <c r="L167" s="635"/>
      <c r="M167" s="635"/>
      <c r="N167" s="635"/>
      <c r="O167" s="635"/>
      <c r="P167" s="635"/>
      <c r="Q167" s="634"/>
      <c r="R167" s="634"/>
      <c r="S167" s="635"/>
      <c r="T167" s="635"/>
      <c r="U167" s="634"/>
      <c r="V167" s="634"/>
      <c r="W167" s="634"/>
      <c r="X167" s="634"/>
      <c r="Y167" s="634"/>
      <c r="Z167" s="634"/>
    </row>
    <row r="168" ht="15.75" customHeight="1">
      <c r="A168" s="634"/>
      <c r="B168" s="634"/>
      <c r="C168" s="634"/>
      <c r="D168" s="634"/>
      <c r="E168" s="635"/>
      <c r="F168" s="634"/>
      <c r="G168" s="636"/>
      <c r="H168" s="635"/>
      <c r="I168" s="635"/>
      <c r="J168" s="635"/>
      <c r="K168" s="635"/>
      <c r="L168" s="635"/>
      <c r="M168" s="635"/>
      <c r="N168" s="635"/>
      <c r="O168" s="635"/>
      <c r="P168" s="635"/>
      <c r="Q168" s="634"/>
      <c r="R168" s="634"/>
      <c r="S168" s="635"/>
      <c r="T168" s="635"/>
      <c r="U168" s="634"/>
      <c r="V168" s="634"/>
      <c r="W168" s="634"/>
      <c r="X168" s="634"/>
      <c r="Y168" s="634"/>
      <c r="Z168" s="634"/>
    </row>
    <row r="169" ht="15.75" customHeight="1">
      <c r="A169" s="634"/>
      <c r="B169" s="634"/>
      <c r="C169" s="634"/>
      <c r="D169" s="634"/>
      <c r="E169" s="635"/>
      <c r="F169" s="634"/>
      <c r="G169" s="636"/>
      <c r="H169" s="635"/>
      <c r="I169" s="635"/>
      <c r="J169" s="635"/>
      <c r="K169" s="635"/>
      <c r="L169" s="635"/>
      <c r="M169" s="635"/>
      <c r="N169" s="635"/>
      <c r="O169" s="635"/>
      <c r="P169" s="635"/>
      <c r="Q169" s="634"/>
      <c r="R169" s="634"/>
      <c r="S169" s="635"/>
      <c r="T169" s="635"/>
      <c r="U169" s="634"/>
      <c r="V169" s="634"/>
      <c r="W169" s="634"/>
      <c r="X169" s="634"/>
      <c r="Y169" s="634"/>
      <c r="Z169" s="634"/>
    </row>
    <row r="170" ht="15.75" customHeight="1">
      <c r="A170" s="634"/>
      <c r="B170" s="634"/>
      <c r="C170" s="634"/>
      <c r="D170" s="634"/>
      <c r="E170" s="635"/>
      <c r="F170" s="634"/>
      <c r="G170" s="636"/>
      <c r="H170" s="635"/>
      <c r="I170" s="635"/>
      <c r="J170" s="635"/>
      <c r="K170" s="635"/>
      <c r="L170" s="635"/>
      <c r="M170" s="635"/>
      <c r="N170" s="635"/>
      <c r="O170" s="635"/>
      <c r="P170" s="635"/>
      <c r="Q170" s="634"/>
      <c r="R170" s="634"/>
      <c r="S170" s="635"/>
      <c r="T170" s="635"/>
      <c r="U170" s="634"/>
      <c r="V170" s="634"/>
      <c r="W170" s="634"/>
      <c r="X170" s="634"/>
      <c r="Y170" s="634"/>
      <c r="Z170" s="634"/>
    </row>
    <row r="171" ht="15.75" customHeight="1">
      <c r="A171" s="634"/>
      <c r="B171" s="634"/>
      <c r="C171" s="634"/>
      <c r="D171" s="634"/>
      <c r="E171" s="635"/>
      <c r="F171" s="634"/>
      <c r="G171" s="636"/>
      <c r="H171" s="635"/>
      <c r="I171" s="635"/>
      <c r="J171" s="635"/>
      <c r="K171" s="635"/>
      <c r="L171" s="635"/>
      <c r="M171" s="635"/>
      <c r="N171" s="635"/>
      <c r="O171" s="635"/>
      <c r="P171" s="635"/>
      <c r="Q171" s="634"/>
      <c r="R171" s="634"/>
      <c r="S171" s="635"/>
      <c r="T171" s="635"/>
      <c r="U171" s="634"/>
      <c r="V171" s="634"/>
      <c r="W171" s="634"/>
      <c r="X171" s="634"/>
      <c r="Y171" s="634"/>
      <c r="Z171" s="634"/>
    </row>
    <row r="172" ht="15.75" customHeight="1">
      <c r="A172" s="634"/>
      <c r="B172" s="634"/>
      <c r="C172" s="634"/>
      <c r="D172" s="634"/>
      <c r="E172" s="635"/>
      <c r="F172" s="634"/>
      <c r="G172" s="636"/>
      <c r="H172" s="635"/>
      <c r="I172" s="635"/>
      <c r="J172" s="635"/>
      <c r="K172" s="635"/>
      <c r="L172" s="635"/>
      <c r="M172" s="635"/>
      <c r="N172" s="635"/>
      <c r="O172" s="635"/>
      <c r="P172" s="635"/>
      <c r="Q172" s="634"/>
      <c r="R172" s="634"/>
      <c r="S172" s="635"/>
      <c r="T172" s="635"/>
      <c r="U172" s="634"/>
      <c r="V172" s="634"/>
      <c r="W172" s="634"/>
      <c r="X172" s="634"/>
      <c r="Y172" s="634"/>
      <c r="Z172" s="634"/>
    </row>
    <row r="173" ht="15.75" customHeight="1">
      <c r="A173" s="634"/>
      <c r="B173" s="634"/>
      <c r="C173" s="634"/>
      <c r="D173" s="634"/>
      <c r="E173" s="635"/>
      <c r="F173" s="634"/>
      <c r="G173" s="636"/>
      <c r="H173" s="635"/>
      <c r="I173" s="635"/>
      <c r="J173" s="635"/>
      <c r="K173" s="635"/>
      <c r="L173" s="635"/>
      <c r="M173" s="635"/>
      <c r="N173" s="635"/>
      <c r="O173" s="635"/>
      <c r="P173" s="635"/>
      <c r="Q173" s="634"/>
      <c r="R173" s="634"/>
      <c r="S173" s="635"/>
      <c r="T173" s="635"/>
      <c r="U173" s="634"/>
      <c r="V173" s="634"/>
      <c r="W173" s="634"/>
      <c r="X173" s="634"/>
      <c r="Y173" s="634"/>
      <c r="Z173" s="634"/>
    </row>
    <row r="174" ht="15.75" customHeight="1">
      <c r="A174" s="634"/>
      <c r="B174" s="634"/>
      <c r="C174" s="634"/>
      <c r="D174" s="634"/>
      <c r="E174" s="635"/>
      <c r="F174" s="634"/>
      <c r="G174" s="636"/>
      <c r="H174" s="635"/>
      <c r="I174" s="635"/>
      <c r="J174" s="635"/>
      <c r="K174" s="635"/>
      <c r="L174" s="635"/>
      <c r="M174" s="635"/>
      <c r="N174" s="635"/>
      <c r="O174" s="635"/>
      <c r="P174" s="635"/>
      <c r="Q174" s="634"/>
      <c r="R174" s="634"/>
      <c r="S174" s="635"/>
      <c r="T174" s="635"/>
      <c r="U174" s="634"/>
      <c r="V174" s="634"/>
      <c r="W174" s="634"/>
      <c r="X174" s="634"/>
      <c r="Y174" s="634"/>
      <c r="Z174" s="634"/>
    </row>
    <row r="175" ht="15.75" customHeight="1">
      <c r="A175" s="634"/>
      <c r="B175" s="634"/>
      <c r="C175" s="634"/>
      <c r="D175" s="634"/>
      <c r="E175" s="635"/>
      <c r="F175" s="634"/>
      <c r="G175" s="636"/>
      <c r="H175" s="635"/>
      <c r="I175" s="635"/>
      <c r="J175" s="635"/>
      <c r="K175" s="635"/>
      <c r="L175" s="635"/>
      <c r="M175" s="635"/>
      <c r="N175" s="635"/>
      <c r="O175" s="635"/>
      <c r="P175" s="635"/>
      <c r="Q175" s="634"/>
      <c r="R175" s="634"/>
      <c r="S175" s="635"/>
      <c r="T175" s="635"/>
      <c r="U175" s="634"/>
      <c r="V175" s="634"/>
      <c r="W175" s="634"/>
      <c r="X175" s="634"/>
      <c r="Y175" s="634"/>
      <c r="Z175" s="634"/>
    </row>
    <row r="176" ht="15.75" customHeight="1">
      <c r="A176" s="634"/>
      <c r="B176" s="634"/>
      <c r="C176" s="634"/>
      <c r="D176" s="634"/>
      <c r="E176" s="635"/>
      <c r="F176" s="634"/>
      <c r="G176" s="636"/>
      <c r="H176" s="635"/>
      <c r="I176" s="635"/>
      <c r="J176" s="635"/>
      <c r="K176" s="635"/>
      <c r="L176" s="635"/>
      <c r="M176" s="635"/>
      <c r="N176" s="635"/>
      <c r="O176" s="635"/>
      <c r="P176" s="635"/>
      <c r="Q176" s="634"/>
      <c r="R176" s="634"/>
      <c r="S176" s="635"/>
      <c r="T176" s="635"/>
      <c r="U176" s="634"/>
      <c r="V176" s="634"/>
      <c r="W176" s="634"/>
      <c r="X176" s="634"/>
      <c r="Y176" s="634"/>
      <c r="Z176" s="634"/>
    </row>
    <row r="177" ht="15.75" customHeight="1">
      <c r="A177" s="634"/>
      <c r="B177" s="634"/>
      <c r="C177" s="634"/>
      <c r="D177" s="634"/>
      <c r="E177" s="635"/>
      <c r="F177" s="634"/>
      <c r="G177" s="636"/>
      <c r="H177" s="635"/>
      <c r="I177" s="635"/>
      <c r="J177" s="635"/>
      <c r="K177" s="635"/>
      <c r="L177" s="635"/>
      <c r="M177" s="635"/>
      <c r="N177" s="635"/>
      <c r="O177" s="635"/>
      <c r="P177" s="635"/>
      <c r="Q177" s="634"/>
      <c r="R177" s="634"/>
      <c r="S177" s="635"/>
      <c r="T177" s="635"/>
      <c r="U177" s="634"/>
      <c r="V177" s="634"/>
      <c r="W177" s="634"/>
      <c r="X177" s="634"/>
      <c r="Y177" s="634"/>
      <c r="Z177" s="634"/>
    </row>
    <row r="178" ht="15.75" customHeight="1">
      <c r="A178" s="634"/>
      <c r="B178" s="634"/>
      <c r="C178" s="634"/>
      <c r="D178" s="634"/>
      <c r="E178" s="635"/>
      <c r="F178" s="634"/>
      <c r="G178" s="636"/>
      <c r="H178" s="635"/>
      <c r="I178" s="635"/>
      <c r="J178" s="635"/>
      <c r="K178" s="635"/>
      <c r="L178" s="635"/>
      <c r="M178" s="635"/>
      <c r="N178" s="635"/>
      <c r="O178" s="635"/>
      <c r="P178" s="635"/>
      <c r="Q178" s="634"/>
      <c r="R178" s="634"/>
      <c r="S178" s="635"/>
      <c r="T178" s="635"/>
      <c r="U178" s="634"/>
      <c r="V178" s="634"/>
      <c r="W178" s="634"/>
      <c r="X178" s="634"/>
      <c r="Y178" s="634"/>
      <c r="Z178" s="634"/>
    </row>
    <row r="179" ht="15.75" customHeight="1">
      <c r="A179" s="634"/>
      <c r="B179" s="634"/>
      <c r="C179" s="634"/>
      <c r="D179" s="634"/>
      <c r="E179" s="635"/>
      <c r="F179" s="634"/>
      <c r="G179" s="636"/>
      <c r="H179" s="635"/>
      <c r="I179" s="635"/>
      <c r="J179" s="635"/>
      <c r="K179" s="635"/>
      <c r="L179" s="635"/>
      <c r="M179" s="635"/>
      <c r="N179" s="635"/>
      <c r="O179" s="635"/>
      <c r="P179" s="635"/>
      <c r="Q179" s="634"/>
      <c r="R179" s="634"/>
      <c r="S179" s="635"/>
      <c r="T179" s="635"/>
      <c r="U179" s="634"/>
      <c r="V179" s="634"/>
      <c r="W179" s="634"/>
      <c r="X179" s="634"/>
      <c r="Y179" s="634"/>
      <c r="Z179" s="634"/>
    </row>
    <row r="180" ht="15.75" customHeight="1">
      <c r="A180" s="634"/>
      <c r="B180" s="634"/>
      <c r="C180" s="634"/>
      <c r="D180" s="634"/>
      <c r="E180" s="635"/>
      <c r="F180" s="634"/>
      <c r="G180" s="636"/>
      <c r="H180" s="635"/>
      <c r="I180" s="635"/>
      <c r="J180" s="635"/>
      <c r="K180" s="635"/>
      <c r="L180" s="635"/>
      <c r="M180" s="635"/>
      <c r="N180" s="635"/>
      <c r="O180" s="635"/>
      <c r="P180" s="635"/>
      <c r="Q180" s="634"/>
      <c r="R180" s="634"/>
      <c r="S180" s="635"/>
      <c r="T180" s="635"/>
      <c r="U180" s="634"/>
      <c r="V180" s="634"/>
      <c r="W180" s="634"/>
      <c r="X180" s="634"/>
      <c r="Y180" s="634"/>
      <c r="Z180" s="634"/>
    </row>
    <row r="181" ht="15.75" customHeight="1">
      <c r="A181" s="634"/>
      <c r="B181" s="634"/>
      <c r="C181" s="634"/>
      <c r="D181" s="634"/>
      <c r="E181" s="635"/>
      <c r="F181" s="634"/>
      <c r="G181" s="636"/>
      <c r="H181" s="635"/>
      <c r="I181" s="635"/>
      <c r="J181" s="635"/>
      <c r="K181" s="635"/>
      <c r="L181" s="635"/>
      <c r="M181" s="635"/>
      <c r="N181" s="635"/>
      <c r="O181" s="635"/>
      <c r="P181" s="635"/>
      <c r="Q181" s="634"/>
      <c r="R181" s="634"/>
      <c r="S181" s="635"/>
      <c r="T181" s="635"/>
      <c r="U181" s="634"/>
      <c r="V181" s="634"/>
      <c r="W181" s="634"/>
      <c r="X181" s="634"/>
      <c r="Y181" s="634"/>
      <c r="Z181" s="634"/>
    </row>
    <row r="182" ht="15.75" customHeight="1">
      <c r="A182" s="634"/>
      <c r="B182" s="634"/>
      <c r="C182" s="634"/>
      <c r="D182" s="634"/>
      <c r="E182" s="635"/>
      <c r="F182" s="634"/>
      <c r="G182" s="636"/>
      <c r="H182" s="635"/>
      <c r="I182" s="635"/>
      <c r="J182" s="635"/>
      <c r="K182" s="635"/>
      <c r="L182" s="635"/>
      <c r="M182" s="635"/>
      <c r="N182" s="635"/>
      <c r="O182" s="635"/>
      <c r="P182" s="635"/>
      <c r="Q182" s="634"/>
      <c r="R182" s="634"/>
      <c r="S182" s="635"/>
      <c r="T182" s="635"/>
      <c r="U182" s="634"/>
      <c r="V182" s="634"/>
      <c r="W182" s="634"/>
      <c r="X182" s="634"/>
      <c r="Y182" s="634"/>
      <c r="Z182" s="634"/>
    </row>
    <row r="183" ht="15.75" customHeight="1">
      <c r="A183" s="634"/>
      <c r="B183" s="634"/>
      <c r="C183" s="634"/>
      <c r="D183" s="634"/>
      <c r="E183" s="635"/>
      <c r="F183" s="634"/>
      <c r="G183" s="636"/>
      <c r="H183" s="635"/>
      <c r="I183" s="635"/>
      <c r="J183" s="635"/>
      <c r="K183" s="635"/>
      <c r="L183" s="635"/>
      <c r="M183" s="635"/>
      <c r="N183" s="635"/>
      <c r="O183" s="635"/>
      <c r="P183" s="635"/>
      <c r="Q183" s="634"/>
      <c r="R183" s="634"/>
      <c r="S183" s="635"/>
      <c r="T183" s="635"/>
      <c r="U183" s="634"/>
      <c r="V183" s="634"/>
      <c r="W183" s="634"/>
      <c r="X183" s="634"/>
      <c r="Y183" s="634"/>
      <c r="Z183" s="634"/>
    </row>
    <row r="184" ht="15.75" customHeight="1">
      <c r="A184" s="634"/>
      <c r="B184" s="634"/>
      <c r="C184" s="634"/>
      <c r="D184" s="634"/>
      <c r="E184" s="635"/>
      <c r="F184" s="634"/>
      <c r="G184" s="636"/>
      <c r="H184" s="635"/>
      <c r="I184" s="635"/>
      <c r="J184" s="635"/>
      <c r="K184" s="635"/>
      <c r="L184" s="635"/>
      <c r="M184" s="635"/>
      <c r="N184" s="635"/>
      <c r="O184" s="635"/>
      <c r="P184" s="635"/>
      <c r="Q184" s="634"/>
      <c r="R184" s="634"/>
      <c r="S184" s="635"/>
      <c r="T184" s="635"/>
      <c r="U184" s="634"/>
      <c r="V184" s="634"/>
      <c r="W184" s="634"/>
      <c r="X184" s="634"/>
      <c r="Y184" s="634"/>
      <c r="Z184" s="634"/>
    </row>
    <row r="185" ht="15.75" customHeight="1">
      <c r="A185" s="634"/>
      <c r="B185" s="634"/>
      <c r="C185" s="634"/>
      <c r="D185" s="634"/>
      <c r="E185" s="635"/>
      <c r="F185" s="634"/>
      <c r="G185" s="636"/>
      <c r="H185" s="635"/>
      <c r="I185" s="635"/>
      <c r="J185" s="635"/>
      <c r="K185" s="635"/>
      <c r="L185" s="635"/>
      <c r="M185" s="635"/>
      <c r="N185" s="635"/>
      <c r="O185" s="635"/>
      <c r="P185" s="635"/>
      <c r="Q185" s="634"/>
      <c r="R185" s="634"/>
      <c r="S185" s="635"/>
      <c r="T185" s="635"/>
      <c r="U185" s="634"/>
      <c r="V185" s="634"/>
      <c r="W185" s="634"/>
      <c r="X185" s="634"/>
      <c r="Y185" s="634"/>
      <c r="Z185" s="634"/>
    </row>
    <row r="186" ht="15.75" customHeight="1">
      <c r="A186" s="634"/>
      <c r="B186" s="634"/>
      <c r="C186" s="634"/>
      <c r="D186" s="634"/>
      <c r="E186" s="635"/>
      <c r="F186" s="634"/>
      <c r="G186" s="636"/>
      <c r="H186" s="635"/>
      <c r="I186" s="635"/>
      <c r="J186" s="635"/>
      <c r="K186" s="635"/>
      <c r="L186" s="635"/>
      <c r="M186" s="635"/>
      <c r="N186" s="635"/>
      <c r="O186" s="635"/>
      <c r="P186" s="635"/>
      <c r="Q186" s="634"/>
      <c r="R186" s="634"/>
      <c r="S186" s="635"/>
      <c r="T186" s="635"/>
      <c r="U186" s="634"/>
      <c r="V186" s="634"/>
      <c r="W186" s="634"/>
      <c r="X186" s="634"/>
      <c r="Y186" s="634"/>
      <c r="Z186" s="634"/>
    </row>
    <row r="187" ht="15.75" customHeight="1">
      <c r="A187" s="634"/>
      <c r="B187" s="634"/>
      <c r="C187" s="634"/>
      <c r="D187" s="634"/>
      <c r="E187" s="635"/>
      <c r="F187" s="634"/>
      <c r="G187" s="636"/>
      <c r="H187" s="635"/>
      <c r="I187" s="635"/>
      <c r="J187" s="635"/>
      <c r="K187" s="635"/>
      <c r="L187" s="635"/>
      <c r="M187" s="635"/>
      <c r="N187" s="635"/>
      <c r="O187" s="635"/>
      <c r="P187" s="635"/>
      <c r="Q187" s="634"/>
      <c r="R187" s="634"/>
      <c r="S187" s="635"/>
      <c r="T187" s="635"/>
      <c r="U187" s="634"/>
      <c r="V187" s="634"/>
      <c r="W187" s="634"/>
      <c r="X187" s="634"/>
      <c r="Y187" s="634"/>
      <c r="Z187" s="634"/>
    </row>
    <row r="188" ht="15.75" customHeight="1">
      <c r="A188" s="634"/>
      <c r="B188" s="634"/>
      <c r="C188" s="634"/>
      <c r="D188" s="634"/>
      <c r="E188" s="635"/>
      <c r="F188" s="634"/>
      <c r="G188" s="636"/>
      <c r="H188" s="635"/>
      <c r="I188" s="635"/>
      <c r="J188" s="635"/>
      <c r="K188" s="635"/>
      <c r="L188" s="635"/>
      <c r="M188" s="635"/>
      <c r="N188" s="635"/>
      <c r="O188" s="635"/>
      <c r="P188" s="635"/>
      <c r="Q188" s="634"/>
      <c r="R188" s="634"/>
      <c r="S188" s="635"/>
      <c r="T188" s="635"/>
      <c r="U188" s="634"/>
      <c r="V188" s="634"/>
      <c r="W188" s="634"/>
      <c r="X188" s="634"/>
      <c r="Y188" s="634"/>
      <c r="Z188" s="634"/>
    </row>
    <row r="189" ht="15.75" customHeight="1">
      <c r="A189" s="634"/>
      <c r="B189" s="634"/>
      <c r="C189" s="634"/>
      <c r="D189" s="634"/>
      <c r="E189" s="635"/>
      <c r="F189" s="634"/>
      <c r="G189" s="636"/>
      <c r="H189" s="635"/>
      <c r="I189" s="635"/>
      <c r="J189" s="635"/>
      <c r="K189" s="635"/>
      <c r="L189" s="635"/>
      <c r="M189" s="635"/>
      <c r="N189" s="635"/>
      <c r="O189" s="635"/>
      <c r="P189" s="635"/>
      <c r="Q189" s="634"/>
      <c r="R189" s="634"/>
      <c r="S189" s="635"/>
      <c r="T189" s="635"/>
      <c r="U189" s="634"/>
      <c r="V189" s="634"/>
      <c r="W189" s="634"/>
      <c r="X189" s="634"/>
      <c r="Y189" s="634"/>
      <c r="Z189" s="634"/>
    </row>
    <row r="190" ht="15.75" customHeight="1">
      <c r="A190" s="634"/>
      <c r="B190" s="634"/>
      <c r="C190" s="634"/>
      <c r="D190" s="634"/>
      <c r="E190" s="635"/>
      <c r="F190" s="634"/>
      <c r="G190" s="636"/>
      <c r="H190" s="635"/>
      <c r="I190" s="635"/>
      <c r="J190" s="635"/>
      <c r="K190" s="635"/>
      <c r="L190" s="635"/>
      <c r="M190" s="635"/>
      <c r="N190" s="635"/>
      <c r="O190" s="635"/>
      <c r="P190" s="635"/>
      <c r="Q190" s="634"/>
      <c r="R190" s="634"/>
      <c r="S190" s="635"/>
      <c r="T190" s="635"/>
      <c r="U190" s="634"/>
      <c r="V190" s="634"/>
      <c r="W190" s="634"/>
      <c r="X190" s="634"/>
      <c r="Y190" s="634"/>
      <c r="Z190" s="634"/>
    </row>
    <row r="191" ht="15.75" customHeight="1">
      <c r="A191" s="634"/>
      <c r="B191" s="634"/>
      <c r="C191" s="634"/>
      <c r="D191" s="634"/>
      <c r="E191" s="635"/>
      <c r="F191" s="634"/>
      <c r="G191" s="636"/>
      <c r="H191" s="635"/>
      <c r="I191" s="635"/>
      <c r="J191" s="635"/>
      <c r="K191" s="635"/>
      <c r="L191" s="635"/>
      <c r="M191" s="635"/>
      <c r="N191" s="635"/>
      <c r="O191" s="635"/>
      <c r="P191" s="635"/>
      <c r="Q191" s="634"/>
      <c r="R191" s="634"/>
      <c r="S191" s="635"/>
      <c r="T191" s="635"/>
      <c r="U191" s="634"/>
      <c r="V191" s="634"/>
      <c r="W191" s="634"/>
      <c r="X191" s="634"/>
      <c r="Y191" s="634"/>
      <c r="Z191" s="634"/>
    </row>
    <row r="192" ht="15.75" customHeight="1">
      <c r="A192" s="634"/>
      <c r="B192" s="634"/>
      <c r="C192" s="634"/>
      <c r="D192" s="634"/>
      <c r="E192" s="635"/>
      <c r="F192" s="634"/>
      <c r="G192" s="636"/>
      <c r="H192" s="635"/>
      <c r="I192" s="635"/>
      <c r="J192" s="635"/>
      <c r="K192" s="635"/>
      <c r="L192" s="635"/>
      <c r="M192" s="635"/>
      <c r="N192" s="635"/>
      <c r="O192" s="635"/>
      <c r="P192" s="635"/>
      <c r="Q192" s="634"/>
      <c r="R192" s="634"/>
      <c r="S192" s="635"/>
      <c r="T192" s="635"/>
      <c r="U192" s="634"/>
      <c r="V192" s="634"/>
      <c r="W192" s="634"/>
      <c r="X192" s="634"/>
      <c r="Y192" s="634"/>
      <c r="Z192" s="634"/>
    </row>
    <row r="193" ht="15.75" customHeight="1">
      <c r="A193" s="634"/>
      <c r="B193" s="634"/>
      <c r="C193" s="634"/>
      <c r="D193" s="634"/>
      <c r="E193" s="635"/>
      <c r="F193" s="634"/>
      <c r="G193" s="636"/>
      <c r="H193" s="635"/>
      <c r="I193" s="635"/>
      <c r="J193" s="635"/>
      <c r="K193" s="635"/>
      <c r="L193" s="635"/>
      <c r="M193" s="635"/>
      <c r="N193" s="635"/>
      <c r="O193" s="635"/>
      <c r="P193" s="635"/>
      <c r="Q193" s="634"/>
      <c r="R193" s="634"/>
      <c r="S193" s="635"/>
      <c r="T193" s="635"/>
      <c r="U193" s="634"/>
      <c r="V193" s="634"/>
      <c r="W193" s="634"/>
      <c r="X193" s="634"/>
      <c r="Y193" s="634"/>
      <c r="Z193" s="634"/>
    </row>
    <row r="194" ht="15.75" customHeight="1">
      <c r="A194" s="634"/>
      <c r="B194" s="634"/>
      <c r="C194" s="634"/>
      <c r="D194" s="634"/>
      <c r="E194" s="635"/>
      <c r="F194" s="634"/>
      <c r="G194" s="636"/>
      <c r="H194" s="635"/>
      <c r="I194" s="635"/>
      <c r="J194" s="635"/>
      <c r="K194" s="635"/>
      <c r="L194" s="635"/>
      <c r="M194" s="635"/>
      <c r="N194" s="635"/>
      <c r="O194" s="635"/>
      <c r="P194" s="635"/>
      <c r="Q194" s="634"/>
      <c r="R194" s="634"/>
      <c r="S194" s="635"/>
      <c r="T194" s="635"/>
      <c r="U194" s="634"/>
      <c r="V194" s="634"/>
      <c r="W194" s="634"/>
      <c r="X194" s="634"/>
      <c r="Y194" s="634"/>
      <c r="Z194" s="634"/>
    </row>
    <row r="195" ht="15.75" customHeight="1">
      <c r="A195" s="634"/>
      <c r="B195" s="634"/>
      <c r="C195" s="634"/>
      <c r="D195" s="634"/>
      <c r="E195" s="635"/>
      <c r="F195" s="634"/>
      <c r="G195" s="636"/>
      <c r="H195" s="635"/>
      <c r="I195" s="635"/>
      <c r="J195" s="635"/>
      <c r="K195" s="635"/>
      <c r="L195" s="635"/>
      <c r="M195" s="635"/>
      <c r="N195" s="635"/>
      <c r="O195" s="635"/>
      <c r="P195" s="635"/>
      <c r="Q195" s="634"/>
      <c r="R195" s="634"/>
      <c r="S195" s="635"/>
      <c r="T195" s="635"/>
      <c r="U195" s="634"/>
      <c r="V195" s="634"/>
      <c r="W195" s="634"/>
      <c r="X195" s="634"/>
      <c r="Y195" s="634"/>
      <c r="Z195" s="634"/>
    </row>
    <row r="196" ht="15.75" customHeight="1">
      <c r="A196" s="634"/>
      <c r="B196" s="634"/>
      <c r="C196" s="634"/>
      <c r="D196" s="634"/>
      <c r="E196" s="635"/>
      <c r="F196" s="634"/>
      <c r="G196" s="636"/>
      <c r="H196" s="635"/>
      <c r="I196" s="635"/>
      <c r="J196" s="635"/>
      <c r="K196" s="635"/>
      <c r="L196" s="635"/>
      <c r="M196" s="635"/>
      <c r="N196" s="635"/>
      <c r="O196" s="635"/>
      <c r="P196" s="635"/>
      <c r="Q196" s="634"/>
      <c r="R196" s="634"/>
      <c r="S196" s="635"/>
      <c r="T196" s="635"/>
      <c r="U196" s="634"/>
      <c r="V196" s="634"/>
      <c r="W196" s="634"/>
      <c r="X196" s="634"/>
      <c r="Y196" s="634"/>
      <c r="Z196" s="634"/>
    </row>
    <row r="197" ht="15.75" customHeight="1">
      <c r="A197" s="634"/>
      <c r="B197" s="634"/>
      <c r="C197" s="634"/>
      <c r="D197" s="634"/>
      <c r="E197" s="635"/>
      <c r="F197" s="634"/>
      <c r="G197" s="636"/>
      <c r="H197" s="635"/>
      <c r="I197" s="635"/>
      <c r="J197" s="635"/>
      <c r="K197" s="635"/>
      <c r="L197" s="635"/>
      <c r="M197" s="635"/>
      <c r="N197" s="635"/>
      <c r="O197" s="635"/>
      <c r="P197" s="635"/>
      <c r="Q197" s="634"/>
      <c r="R197" s="634"/>
      <c r="S197" s="635"/>
      <c r="T197" s="635"/>
      <c r="U197" s="634"/>
      <c r="V197" s="634"/>
      <c r="W197" s="634"/>
      <c r="X197" s="634"/>
      <c r="Y197" s="634"/>
      <c r="Z197" s="634"/>
    </row>
    <row r="198" ht="15.75" customHeight="1">
      <c r="A198" s="634"/>
      <c r="B198" s="634"/>
      <c r="C198" s="634"/>
      <c r="D198" s="634"/>
      <c r="E198" s="635"/>
      <c r="F198" s="634"/>
      <c r="G198" s="636"/>
      <c r="H198" s="635"/>
      <c r="I198" s="635"/>
      <c r="J198" s="635"/>
      <c r="K198" s="635"/>
      <c r="L198" s="635"/>
      <c r="M198" s="635"/>
      <c r="N198" s="635"/>
      <c r="O198" s="635"/>
      <c r="P198" s="635"/>
      <c r="Q198" s="634"/>
      <c r="R198" s="634"/>
      <c r="S198" s="635"/>
      <c r="T198" s="635"/>
      <c r="U198" s="634"/>
      <c r="V198" s="634"/>
      <c r="W198" s="634"/>
      <c r="X198" s="634"/>
      <c r="Y198" s="634"/>
      <c r="Z198" s="634"/>
    </row>
    <row r="199" ht="15.75" customHeight="1">
      <c r="A199" s="634"/>
      <c r="B199" s="634"/>
      <c r="C199" s="634"/>
      <c r="D199" s="634"/>
      <c r="E199" s="635"/>
      <c r="F199" s="634"/>
      <c r="G199" s="636"/>
      <c r="H199" s="635"/>
      <c r="I199" s="635"/>
      <c r="J199" s="635"/>
      <c r="K199" s="635"/>
      <c r="L199" s="635"/>
      <c r="M199" s="635"/>
      <c r="N199" s="635"/>
      <c r="O199" s="635"/>
      <c r="P199" s="635"/>
      <c r="Q199" s="634"/>
      <c r="R199" s="634"/>
      <c r="S199" s="635"/>
      <c r="T199" s="635"/>
      <c r="U199" s="634"/>
      <c r="V199" s="634"/>
      <c r="W199" s="634"/>
      <c r="X199" s="634"/>
      <c r="Y199" s="634"/>
      <c r="Z199" s="634"/>
    </row>
    <row r="200" ht="15.75" customHeight="1">
      <c r="A200" s="634"/>
      <c r="B200" s="634"/>
      <c r="C200" s="634"/>
      <c r="D200" s="634"/>
      <c r="E200" s="635"/>
      <c r="F200" s="634"/>
      <c r="G200" s="636"/>
      <c r="H200" s="635"/>
      <c r="I200" s="635"/>
      <c r="J200" s="635"/>
      <c r="K200" s="635"/>
      <c r="L200" s="635"/>
      <c r="M200" s="635"/>
      <c r="N200" s="635"/>
      <c r="O200" s="635"/>
      <c r="P200" s="635"/>
      <c r="Q200" s="634"/>
      <c r="R200" s="634"/>
      <c r="S200" s="635"/>
      <c r="T200" s="635"/>
      <c r="U200" s="634"/>
      <c r="V200" s="634"/>
      <c r="W200" s="634"/>
      <c r="X200" s="634"/>
      <c r="Y200" s="634"/>
      <c r="Z200" s="634"/>
    </row>
    <row r="201" ht="15.75" customHeight="1">
      <c r="A201" s="634"/>
      <c r="B201" s="634"/>
      <c r="C201" s="634"/>
      <c r="D201" s="634"/>
      <c r="E201" s="635"/>
      <c r="F201" s="634"/>
      <c r="G201" s="636"/>
      <c r="H201" s="635"/>
      <c r="I201" s="635"/>
      <c r="J201" s="635"/>
      <c r="K201" s="635"/>
      <c r="L201" s="635"/>
      <c r="M201" s="635"/>
      <c r="N201" s="635"/>
      <c r="O201" s="635"/>
      <c r="P201" s="635"/>
      <c r="Q201" s="634"/>
      <c r="R201" s="634"/>
      <c r="S201" s="635"/>
      <c r="T201" s="635"/>
      <c r="U201" s="634"/>
      <c r="V201" s="634"/>
      <c r="W201" s="634"/>
      <c r="X201" s="634"/>
      <c r="Y201" s="634"/>
      <c r="Z201" s="634"/>
    </row>
    <row r="202" ht="15.75" customHeight="1">
      <c r="A202" s="634"/>
      <c r="B202" s="634"/>
      <c r="C202" s="634"/>
      <c r="D202" s="634"/>
      <c r="E202" s="635"/>
      <c r="F202" s="634"/>
      <c r="G202" s="636"/>
      <c r="H202" s="635"/>
      <c r="I202" s="635"/>
      <c r="J202" s="635"/>
      <c r="K202" s="635"/>
      <c r="L202" s="635"/>
      <c r="M202" s="635"/>
      <c r="N202" s="635"/>
      <c r="O202" s="635"/>
      <c r="P202" s="635"/>
      <c r="Q202" s="634"/>
      <c r="R202" s="634"/>
      <c r="S202" s="635"/>
      <c r="T202" s="635"/>
      <c r="U202" s="634"/>
      <c r="V202" s="634"/>
      <c r="W202" s="634"/>
      <c r="X202" s="634"/>
      <c r="Y202" s="634"/>
      <c r="Z202" s="634"/>
    </row>
    <row r="203" ht="15.75" customHeight="1">
      <c r="A203" s="634"/>
      <c r="B203" s="634"/>
      <c r="C203" s="634"/>
      <c r="D203" s="634"/>
      <c r="E203" s="635"/>
      <c r="F203" s="634"/>
      <c r="G203" s="636"/>
      <c r="H203" s="635"/>
      <c r="I203" s="635"/>
      <c r="J203" s="635"/>
      <c r="K203" s="635"/>
      <c r="L203" s="635"/>
      <c r="M203" s="635"/>
      <c r="N203" s="635"/>
      <c r="O203" s="635"/>
      <c r="P203" s="635"/>
      <c r="Q203" s="634"/>
      <c r="R203" s="634"/>
      <c r="S203" s="635"/>
      <c r="T203" s="635"/>
      <c r="U203" s="634"/>
      <c r="V203" s="634"/>
      <c r="W203" s="634"/>
      <c r="X203" s="634"/>
      <c r="Y203" s="634"/>
      <c r="Z203" s="634"/>
    </row>
    <row r="204" ht="15.75" customHeight="1">
      <c r="A204" s="634"/>
      <c r="B204" s="634"/>
      <c r="C204" s="634"/>
      <c r="D204" s="634"/>
      <c r="E204" s="635"/>
      <c r="F204" s="634"/>
      <c r="G204" s="636"/>
      <c r="H204" s="635"/>
      <c r="I204" s="635"/>
      <c r="J204" s="635"/>
      <c r="K204" s="635"/>
      <c r="L204" s="635"/>
      <c r="M204" s="635"/>
      <c r="N204" s="635"/>
      <c r="O204" s="635"/>
      <c r="P204" s="635"/>
      <c r="Q204" s="634"/>
      <c r="R204" s="634"/>
      <c r="S204" s="635"/>
      <c r="T204" s="635"/>
      <c r="U204" s="634"/>
      <c r="V204" s="634"/>
      <c r="W204" s="634"/>
      <c r="X204" s="634"/>
      <c r="Y204" s="634"/>
      <c r="Z204" s="634"/>
    </row>
    <row r="205" ht="15.75" customHeight="1">
      <c r="A205" s="634"/>
      <c r="B205" s="634"/>
      <c r="C205" s="634"/>
      <c r="D205" s="634"/>
      <c r="E205" s="635"/>
      <c r="F205" s="634"/>
      <c r="G205" s="636"/>
      <c r="H205" s="635"/>
      <c r="I205" s="635"/>
      <c r="J205" s="635"/>
      <c r="K205" s="635"/>
      <c r="L205" s="635"/>
      <c r="M205" s="635"/>
      <c r="N205" s="635"/>
      <c r="O205" s="635"/>
      <c r="P205" s="635"/>
      <c r="Q205" s="634"/>
      <c r="R205" s="634"/>
      <c r="S205" s="635"/>
      <c r="T205" s="635"/>
      <c r="U205" s="634"/>
      <c r="V205" s="634"/>
      <c r="W205" s="634"/>
      <c r="X205" s="634"/>
      <c r="Y205" s="634"/>
      <c r="Z205" s="634"/>
    </row>
    <row r="206" ht="15.75" customHeight="1">
      <c r="A206" s="634"/>
      <c r="B206" s="634"/>
      <c r="C206" s="634"/>
      <c r="D206" s="634"/>
      <c r="E206" s="635"/>
      <c r="F206" s="634"/>
      <c r="G206" s="636"/>
      <c r="H206" s="635"/>
      <c r="I206" s="635"/>
      <c r="J206" s="635"/>
      <c r="K206" s="635"/>
      <c r="L206" s="635"/>
      <c r="M206" s="635"/>
      <c r="N206" s="635"/>
      <c r="O206" s="635"/>
      <c r="P206" s="635"/>
      <c r="Q206" s="634"/>
      <c r="R206" s="634"/>
      <c r="S206" s="635"/>
      <c r="T206" s="635"/>
      <c r="U206" s="634"/>
      <c r="V206" s="634"/>
      <c r="W206" s="634"/>
      <c r="X206" s="634"/>
      <c r="Y206" s="634"/>
      <c r="Z206" s="634"/>
    </row>
    <row r="207" ht="15.75" customHeight="1">
      <c r="A207" s="634"/>
      <c r="B207" s="634"/>
      <c r="C207" s="634"/>
      <c r="D207" s="634"/>
      <c r="E207" s="635"/>
      <c r="F207" s="634"/>
      <c r="G207" s="636"/>
      <c r="H207" s="635"/>
      <c r="I207" s="635"/>
      <c r="J207" s="635"/>
      <c r="K207" s="635"/>
      <c r="L207" s="635"/>
      <c r="M207" s="635"/>
      <c r="N207" s="635"/>
      <c r="O207" s="635"/>
      <c r="P207" s="635"/>
      <c r="Q207" s="634"/>
      <c r="R207" s="634"/>
      <c r="S207" s="635"/>
      <c r="T207" s="635"/>
      <c r="U207" s="634"/>
      <c r="V207" s="634"/>
      <c r="W207" s="634"/>
      <c r="X207" s="634"/>
      <c r="Y207" s="634"/>
      <c r="Z207" s="634"/>
    </row>
    <row r="208" ht="15.75" customHeight="1">
      <c r="A208" s="634"/>
      <c r="B208" s="634"/>
      <c r="C208" s="634"/>
      <c r="D208" s="634"/>
      <c r="E208" s="635"/>
      <c r="F208" s="634"/>
      <c r="G208" s="636"/>
      <c r="H208" s="635"/>
      <c r="I208" s="635"/>
      <c r="J208" s="635"/>
      <c r="K208" s="635"/>
      <c r="L208" s="635"/>
      <c r="M208" s="635"/>
      <c r="N208" s="635"/>
      <c r="O208" s="635"/>
      <c r="P208" s="635"/>
      <c r="Q208" s="634"/>
      <c r="R208" s="634"/>
      <c r="S208" s="635"/>
      <c r="T208" s="635"/>
      <c r="U208" s="634"/>
      <c r="V208" s="634"/>
      <c r="W208" s="634"/>
      <c r="X208" s="634"/>
      <c r="Y208" s="634"/>
      <c r="Z208" s="634"/>
    </row>
    <row r="209" ht="15.75" customHeight="1">
      <c r="A209" s="634"/>
      <c r="B209" s="634"/>
      <c r="C209" s="634"/>
      <c r="D209" s="634"/>
      <c r="E209" s="635"/>
      <c r="F209" s="634"/>
      <c r="G209" s="636"/>
      <c r="H209" s="635"/>
      <c r="I209" s="635"/>
      <c r="J209" s="635"/>
      <c r="K209" s="635"/>
      <c r="L209" s="635"/>
      <c r="M209" s="635"/>
      <c r="N209" s="635"/>
      <c r="O209" s="635"/>
      <c r="P209" s="635"/>
      <c r="Q209" s="634"/>
      <c r="R209" s="634"/>
      <c r="S209" s="635"/>
      <c r="T209" s="635"/>
      <c r="U209" s="634"/>
      <c r="V209" s="634"/>
      <c r="W209" s="634"/>
      <c r="X209" s="634"/>
      <c r="Y209" s="634"/>
      <c r="Z209" s="634"/>
    </row>
    <row r="210" ht="15.75" customHeight="1">
      <c r="A210" s="634"/>
      <c r="B210" s="634"/>
      <c r="C210" s="634"/>
      <c r="D210" s="634"/>
      <c r="E210" s="635"/>
      <c r="F210" s="634"/>
      <c r="G210" s="636"/>
      <c r="H210" s="635"/>
      <c r="I210" s="635"/>
      <c r="J210" s="635"/>
      <c r="K210" s="635"/>
      <c r="L210" s="635"/>
      <c r="M210" s="635"/>
      <c r="N210" s="635"/>
      <c r="O210" s="635"/>
      <c r="P210" s="635"/>
      <c r="Q210" s="634"/>
      <c r="R210" s="634"/>
      <c r="S210" s="635"/>
      <c r="T210" s="635"/>
      <c r="U210" s="634"/>
      <c r="V210" s="634"/>
      <c r="W210" s="634"/>
      <c r="X210" s="634"/>
      <c r="Y210" s="634"/>
      <c r="Z210" s="634"/>
    </row>
    <row r="211" ht="15.75" customHeight="1">
      <c r="A211" s="634"/>
      <c r="B211" s="634"/>
      <c r="C211" s="634"/>
      <c r="D211" s="634"/>
      <c r="E211" s="635"/>
      <c r="F211" s="634"/>
      <c r="G211" s="636"/>
      <c r="H211" s="635"/>
      <c r="I211" s="635"/>
      <c r="J211" s="635"/>
      <c r="K211" s="635"/>
      <c r="L211" s="635"/>
      <c r="M211" s="635"/>
      <c r="N211" s="635"/>
      <c r="O211" s="635"/>
      <c r="P211" s="635"/>
      <c r="Q211" s="634"/>
      <c r="R211" s="634"/>
      <c r="S211" s="635"/>
      <c r="T211" s="635"/>
      <c r="U211" s="634"/>
      <c r="V211" s="634"/>
      <c r="W211" s="634"/>
      <c r="X211" s="634"/>
      <c r="Y211" s="634"/>
      <c r="Z211" s="634"/>
    </row>
    <row r="212" ht="15.75" customHeight="1">
      <c r="A212" s="634"/>
      <c r="B212" s="634"/>
      <c r="C212" s="634"/>
      <c r="D212" s="634"/>
      <c r="E212" s="635"/>
      <c r="F212" s="634"/>
      <c r="G212" s="636"/>
      <c r="H212" s="635"/>
      <c r="I212" s="635"/>
      <c r="J212" s="635"/>
      <c r="K212" s="635"/>
      <c r="L212" s="635"/>
      <c r="M212" s="635"/>
      <c r="N212" s="635"/>
      <c r="O212" s="635"/>
      <c r="P212" s="635"/>
      <c r="Q212" s="634"/>
      <c r="R212" s="634"/>
      <c r="S212" s="635"/>
      <c r="T212" s="635"/>
      <c r="U212" s="634"/>
      <c r="V212" s="634"/>
      <c r="W212" s="634"/>
      <c r="X212" s="634"/>
      <c r="Y212" s="634"/>
      <c r="Z212" s="634"/>
    </row>
    <row r="213" ht="15.75" customHeight="1">
      <c r="A213" s="634"/>
      <c r="B213" s="634"/>
      <c r="C213" s="634"/>
      <c r="D213" s="634"/>
      <c r="E213" s="635"/>
      <c r="F213" s="634"/>
      <c r="G213" s="636"/>
      <c r="H213" s="635"/>
      <c r="I213" s="635"/>
      <c r="J213" s="635"/>
      <c r="K213" s="635"/>
      <c r="L213" s="635"/>
      <c r="M213" s="635"/>
      <c r="N213" s="635"/>
      <c r="O213" s="635"/>
      <c r="P213" s="635"/>
      <c r="Q213" s="634"/>
      <c r="R213" s="634"/>
      <c r="S213" s="635"/>
      <c r="T213" s="635"/>
      <c r="U213" s="634"/>
      <c r="V213" s="634"/>
      <c r="W213" s="634"/>
      <c r="X213" s="634"/>
      <c r="Y213" s="634"/>
      <c r="Z213" s="634"/>
    </row>
    <row r="214" ht="15.75" customHeight="1">
      <c r="A214" s="634"/>
      <c r="B214" s="634"/>
      <c r="C214" s="634"/>
      <c r="D214" s="634"/>
      <c r="E214" s="635"/>
      <c r="F214" s="634"/>
      <c r="G214" s="636"/>
      <c r="H214" s="635"/>
      <c r="I214" s="635"/>
      <c r="J214" s="635"/>
      <c r="K214" s="635"/>
      <c r="L214" s="635"/>
      <c r="M214" s="635"/>
      <c r="N214" s="635"/>
      <c r="O214" s="635"/>
      <c r="P214" s="635"/>
      <c r="Q214" s="634"/>
      <c r="R214" s="634"/>
      <c r="S214" s="635"/>
      <c r="T214" s="635"/>
      <c r="U214" s="634"/>
      <c r="V214" s="634"/>
      <c r="W214" s="634"/>
      <c r="X214" s="634"/>
      <c r="Y214" s="634"/>
      <c r="Z214" s="634"/>
    </row>
    <row r="215" ht="15.75" customHeight="1">
      <c r="A215" s="634"/>
      <c r="B215" s="634"/>
      <c r="C215" s="634"/>
      <c r="D215" s="634"/>
      <c r="E215" s="635"/>
      <c r="F215" s="634"/>
      <c r="G215" s="636"/>
      <c r="H215" s="635"/>
      <c r="I215" s="635"/>
      <c r="J215" s="635"/>
      <c r="K215" s="635"/>
      <c r="L215" s="635"/>
      <c r="M215" s="635"/>
      <c r="N215" s="635"/>
      <c r="O215" s="635"/>
      <c r="P215" s="635"/>
      <c r="Q215" s="634"/>
      <c r="R215" s="634"/>
      <c r="S215" s="635"/>
      <c r="T215" s="635"/>
      <c r="U215" s="634"/>
      <c r="V215" s="634"/>
      <c r="W215" s="634"/>
      <c r="X215" s="634"/>
      <c r="Y215" s="634"/>
      <c r="Z215" s="634"/>
    </row>
    <row r="216" ht="15.75" customHeight="1">
      <c r="A216" s="634"/>
      <c r="B216" s="634"/>
      <c r="C216" s="634"/>
      <c r="D216" s="634"/>
      <c r="E216" s="635"/>
      <c r="F216" s="634"/>
      <c r="G216" s="636"/>
      <c r="H216" s="635"/>
      <c r="I216" s="635"/>
      <c r="J216" s="635"/>
      <c r="K216" s="635"/>
      <c r="L216" s="635"/>
      <c r="M216" s="635"/>
      <c r="N216" s="635"/>
      <c r="O216" s="635"/>
      <c r="P216" s="635"/>
      <c r="Q216" s="634"/>
      <c r="R216" s="634"/>
      <c r="S216" s="635"/>
      <c r="T216" s="635"/>
      <c r="U216" s="634"/>
      <c r="V216" s="634"/>
      <c r="W216" s="634"/>
      <c r="X216" s="634"/>
      <c r="Y216" s="634"/>
      <c r="Z216" s="634"/>
    </row>
    <row r="217" ht="15.75" customHeight="1">
      <c r="A217" s="634"/>
      <c r="B217" s="634"/>
      <c r="C217" s="634"/>
      <c r="D217" s="634"/>
      <c r="E217" s="635"/>
      <c r="F217" s="634"/>
      <c r="G217" s="636"/>
      <c r="H217" s="635"/>
      <c r="I217" s="635"/>
      <c r="J217" s="635"/>
      <c r="K217" s="635"/>
      <c r="L217" s="635"/>
      <c r="M217" s="635"/>
      <c r="N217" s="635"/>
      <c r="O217" s="635"/>
      <c r="P217" s="635"/>
      <c r="Q217" s="634"/>
      <c r="R217" s="634"/>
      <c r="S217" s="635"/>
      <c r="T217" s="635"/>
      <c r="U217" s="634"/>
      <c r="V217" s="634"/>
      <c r="W217" s="634"/>
      <c r="X217" s="634"/>
      <c r="Y217" s="634"/>
      <c r="Z217" s="634"/>
    </row>
    <row r="218" ht="15.75" customHeight="1">
      <c r="A218" s="634"/>
      <c r="B218" s="634"/>
      <c r="C218" s="634"/>
      <c r="D218" s="634"/>
      <c r="E218" s="635"/>
      <c r="F218" s="634"/>
      <c r="G218" s="636"/>
      <c r="H218" s="635"/>
      <c r="I218" s="635"/>
      <c r="J218" s="635"/>
      <c r="K218" s="635"/>
      <c r="L218" s="635"/>
      <c r="M218" s="635"/>
      <c r="N218" s="635"/>
      <c r="O218" s="635"/>
      <c r="P218" s="635"/>
      <c r="Q218" s="634"/>
      <c r="R218" s="634"/>
      <c r="S218" s="635"/>
      <c r="T218" s="635"/>
      <c r="U218" s="634"/>
      <c r="V218" s="634"/>
      <c r="W218" s="634"/>
      <c r="X218" s="634"/>
      <c r="Y218" s="634"/>
      <c r="Z218" s="634"/>
    </row>
    <row r="219" ht="15.75" customHeight="1">
      <c r="A219" s="634"/>
      <c r="B219" s="634"/>
      <c r="C219" s="634"/>
      <c r="D219" s="634"/>
      <c r="E219" s="635"/>
      <c r="F219" s="634"/>
      <c r="G219" s="636"/>
      <c r="H219" s="635"/>
      <c r="I219" s="635"/>
      <c r="J219" s="635"/>
      <c r="K219" s="635"/>
      <c r="L219" s="635"/>
      <c r="M219" s="635"/>
      <c r="N219" s="635"/>
      <c r="O219" s="635"/>
      <c r="P219" s="635"/>
      <c r="Q219" s="634"/>
      <c r="R219" s="634"/>
      <c r="S219" s="635"/>
      <c r="T219" s="635"/>
      <c r="U219" s="634"/>
      <c r="V219" s="634"/>
      <c r="W219" s="634"/>
      <c r="X219" s="634"/>
      <c r="Y219" s="634"/>
      <c r="Z219" s="634"/>
    </row>
    <row r="220" ht="15.75" customHeight="1">
      <c r="A220" s="634"/>
      <c r="B220" s="634"/>
      <c r="C220" s="634"/>
      <c r="D220" s="634"/>
      <c r="E220" s="635"/>
      <c r="F220" s="634"/>
      <c r="G220" s="636"/>
      <c r="H220" s="635"/>
      <c r="I220" s="635"/>
      <c r="J220" s="635"/>
      <c r="K220" s="635"/>
      <c r="L220" s="635"/>
      <c r="M220" s="635"/>
      <c r="N220" s="635"/>
      <c r="O220" s="635"/>
      <c r="P220" s="635"/>
      <c r="Q220" s="634"/>
      <c r="R220" s="634"/>
      <c r="S220" s="635"/>
      <c r="T220" s="635"/>
      <c r="U220" s="634"/>
      <c r="V220" s="634"/>
      <c r="W220" s="634"/>
      <c r="X220" s="634"/>
      <c r="Y220" s="634"/>
      <c r="Z220" s="634"/>
    </row>
    <row r="221" ht="15.75" customHeight="1">
      <c r="A221" s="634"/>
      <c r="B221" s="634"/>
      <c r="C221" s="634"/>
      <c r="D221" s="634"/>
      <c r="E221" s="635"/>
      <c r="F221" s="634"/>
      <c r="G221" s="636"/>
      <c r="H221" s="635"/>
      <c r="I221" s="635"/>
      <c r="J221" s="635"/>
      <c r="K221" s="635"/>
      <c r="L221" s="635"/>
      <c r="M221" s="635"/>
      <c r="N221" s="635"/>
      <c r="O221" s="635"/>
      <c r="P221" s="635"/>
      <c r="Q221" s="634"/>
      <c r="R221" s="634"/>
      <c r="S221" s="635"/>
      <c r="T221" s="635"/>
      <c r="U221" s="634"/>
      <c r="V221" s="634"/>
      <c r="W221" s="634"/>
      <c r="X221" s="634"/>
      <c r="Y221" s="634"/>
      <c r="Z221" s="634"/>
    </row>
    <row r="222" ht="15.75" customHeight="1">
      <c r="A222" s="634"/>
      <c r="B222" s="634"/>
      <c r="C222" s="634"/>
      <c r="D222" s="634"/>
      <c r="E222" s="635"/>
      <c r="F222" s="634"/>
      <c r="G222" s="636"/>
      <c r="H222" s="635"/>
      <c r="I222" s="635"/>
      <c r="J222" s="635"/>
      <c r="K222" s="635"/>
      <c r="L222" s="635"/>
      <c r="M222" s="635"/>
      <c r="N222" s="635"/>
      <c r="O222" s="635"/>
      <c r="P222" s="635"/>
      <c r="Q222" s="634"/>
      <c r="R222" s="634"/>
      <c r="S222" s="635"/>
      <c r="T222" s="635"/>
      <c r="U222" s="634"/>
      <c r="V222" s="634"/>
      <c r="W222" s="634"/>
      <c r="X222" s="634"/>
      <c r="Y222" s="634"/>
      <c r="Z222" s="634"/>
    </row>
    <row r="223" ht="15.75" customHeight="1">
      <c r="A223" s="634"/>
      <c r="B223" s="634"/>
      <c r="C223" s="634"/>
      <c r="D223" s="634"/>
      <c r="E223" s="635"/>
      <c r="F223" s="634"/>
      <c r="G223" s="636"/>
      <c r="H223" s="635"/>
      <c r="I223" s="635"/>
      <c r="J223" s="635"/>
      <c r="K223" s="635"/>
      <c r="L223" s="635"/>
      <c r="M223" s="635"/>
      <c r="N223" s="635"/>
      <c r="O223" s="635"/>
      <c r="P223" s="635"/>
      <c r="Q223" s="634"/>
      <c r="R223" s="634"/>
      <c r="S223" s="635"/>
      <c r="T223" s="635"/>
      <c r="U223" s="634"/>
      <c r="V223" s="634"/>
      <c r="W223" s="634"/>
      <c r="X223" s="634"/>
      <c r="Y223" s="634"/>
      <c r="Z223" s="634"/>
    </row>
    <row r="224" ht="15.75" customHeight="1">
      <c r="A224" s="634"/>
      <c r="B224" s="634"/>
      <c r="C224" s="634"/>
      <c r="D224" s="634"/>
      <c r="E224" s="635"/>
      <c r="F224" s="634"/>
      <c r="G224" s="636"/>
      <c r="H224" s="635"/>
      <c r="I224" s="635"/>
      <c r="J224" s="635"/>
      <c r="K224" s="635"/>
      <c r="L224" s="635"/>
      <c r="M224" s="635"/>
      <c r="N224" s="635"/>
      <c r="O224" s="635"/>
      <c r="P224" s="635"/>
      <c r="Q224" s="634"/>
      <c r="R224" s="634"/>
      <c r="S224" s="635"/>
      <c r="T224" s="635"/>
      <c r="U224" s="634"/>
      <c r="V224" s="634"/>
      <c r="W224" s="634"/>
      <c r="X224" s="634"/>
      <c r="Y224" s="634"/>
      <c r="Z224" s="634"/>
    </row>
    <row r="225" ht="15.75" customHeight="1">
      <c r="A225" s="634"/>
      <c r="B225" s="634"/>
      <c r="C225" s="634"/>
      <c r="D225" s="634"/>
      <c r="E225" s="635"/>
      <c r="F225" s="634"/>
      <c r="G225" s="636"/>
      <c r="H225" s="635"/>
      <c r="I225" s="635"/>
      <c r="J225" s="635"/>
      <c r="K225" s="635"/>
      <c r="L225" s="635"/>
      <c r="M225" s="635"/>
      <c r="N225" s="635"/>
      <c r="O225" s="635"/>
      <c r="P225" s="635"/>
      <c r="Q225" s="634"/>
      <c r="R225" s="634"/>
      <c r="S225" s="635"/>
      <c r="T225" s="635"/>
      <c r="U225" s="634"/>
      <c r="V225" s="634"/>
      <c r="W225" s="634"/>
      <c r="X225" s="634"/>
      <c r="Y225" s="634"/>
      <c r="Z225" s="634"/>
    </row>
    <row r="226" ht="15.75" customHeight="1">
      <c r="A226" s="634"/>
      <c r="B226" s="634"/>
      <c r="C226" s="634"/>
      <c r="D226" s="634"/>
      <c r="E226" s="635"/>
      <c r="F226" s="634"/>
      <c r="G226" s="636"/>
      <c r="H226" s="635"/>
      <c r="I226" s="635"/>
      <c r="J226" s="635"/>
      <c r="K226" s="635"/>
      <c r="L226" s="635"/>
      <c r="M226" s="635"/>
      <c r="N226" s="635"/>
      <c r="O226" s="635"/>
      <c r="P226" s="635"/>
      <c r="Q226" s="634"/>
      <c r="R226" s="634"/>
      <c r="S226" s="635"/>
      <c r="T226" s="635"/>
      <c r="U226" s="634"/>
      <c r="V226" s="634"/>
      <c r="W226" s="634"/>
      <c r="X226" s="634"/>
      <c r="Y226" s="634"/>
      <c r="Z226" s="634"/>
    </row>
    <row r="227" ht="15.75" customHeight="1">
      <c r="A227" s="634"/>
      <c r="B227" s="634"/>
      <c r="C227" s="634"/>
      <c r="D227" s="634"/>
      <c r="E227" s="635"/>
      <c r="F227" s="634"/>
      <c r="G227" s="636"/>
      <c r="H227" s="635"/>
      <c r="I227" s="635"/>
      <c r="J227" s="635"/>
      <c r="K227" s="635"/>
      <c r="L227" s="635"/>
      <c r="M227" s="635"/>
      <c r="N227" s="635"/>
      <c r="O227" s="635"/>
      <c r="P227" s="635"/>
      <c r="Q227" s="634"/>
      <c r="R227" s="634"/>
      <c r="S227" s="635"/>
      <c r="T227" s="635"/>
      <c r="U227" s="634"/>
      <c r="V227" s="634"/>
      <c r="W227" s="634"/>
      <c r="X227" s="634"/>
      <c r="Y227" s="634"/>
      <c r="Z227" s="634"/>
    </row>
    <row r="228" ht="15.75" customHeight="1">
      <c r="A228" s="634"/>
      <c r="B228" s="634"/>
      <c r="C228" s="634"/>
      <c r="D228" s="634"/>
      <c r="E228" s="635"/>
      <c r="F228" s="634"/>
      <c r="G228" s="636"/>
      <c r="H228" s="635"/>
      <c r="I228" s="635"/>
      <c r="J228" s="635"/>
      <c r="K228" s="635"/>
      <c r="L228" s="635"/>
      <c r="M228" s="635"/>
      <c r="N228" s="635"/>
      <c r="O228" s="635"/>
      <c r="P228" s="635"/>
      <c r="Q228" s="634"/>
      <c r="R228" s="634"/>
      <c r="S228" s="635"/>
      <c r="T228" s="635"/>
      <c r="U228" s="634"/>
      <c r="V228" s="634"/>
      <c r="W228" s="634"/>
      <c r="X228" s="634"/>
      <c r="Y228" s="634"/>
      <c r="Z228" s="634"/>
    </row>
    <row r="229" ht="15.75" customHeight="1">
      <c r="A229" s="634"/>
      <c r="B229" s="634"/>
      <c r="C229" s="634"/>
      <c r="D229" s="634"/>
      <c r="E229" s="635"/>
      <c r="F229" s="634"/>
      <c r="G229" s="636"/>
      <c r="H229" s="635"/>
      <c r="I229" s="635"/>
      <c r="J229" s="635"/>
      <c r="K229" s="635"/>
      <c r="L229" s="635"/>
      <c r="M229" s="635"/>
      <c r="N229" s="635"/>
      <c r="O229" s="635"/>
      <c r="P229" s="635"/>
      <c r="Q229" s="634"/>
      <c r="R229" s="634"/>
      <c r="S229" s="635"/>
      <c r="T229" s="635"/>
      <c r="U229" s="634"/>
      <c r="V229" s="634"/>
      <c r="W229" s="634"/>
      <c r="X229" s="634"/>
      <c r="Y229" s="634"/>
      <c r="Z229" s="634"/>
    </row>
    <row r="230" ht="15.75" customHeight="1">
      <c r="A230" s="634"/>
      <c r="B230" s="634"/>
      <c r="C230" s="634"/>
      <c r="D230" s="634"/>
      <c r="E230" s="635"/>
      <c r="F230" s="634"/>
      <c r="G230" s="636"/>
      <c r="H230" s="635"/>
      <c r="I230" s="635"/>
      <c r="J230" s="635"/>
      <c r="K230" s="635"/>
      <c r="L230" s="635"/>
      <c r="M230" s="635"/>
      <c r="N230" s="635"/>
      <c r="O230" s="635"/>
      <c r="P230" s="635"/>
      <c r="Q230" s="634"/>
      <c r="R230" s="634"/>
      <c r="S230" s="635"/>
      <c r="T230" s="635"/>
      <c r="U230" s="634"/>
      <c r="V230" s="634"/>
      <c r="W230" s="634"/>
      <c r="X230" s="634"/>
      <c r="Y230" s="634"/>
      <c r="Z230" s="634"/>
    </row>
    <row r="231" ht="15.75" customHeight="1">
      <c r="A231" s="634"/>
      <c r="B231" s="634"/>
      <c r="C231" s="634"/>
      <c r="D231" s="634"/>
      <c r="E231" s="635"/>
      <c r="F231" s="634"/>
      <c r="G231" s="636"/>
      <c r="H231" s="635"/>
      <c r="I231" s="635"/>
      <c r="J231" s="635"/>
      <c r="K231" s="635"/>
      <c r="L231" s="635"/>
      <c r="M231" s="635"/>
      <c r="N231" s="635"/>
      <c r="O231" s="635"/>
      <c r="P231" s="635"/>
      <c r="Q231" s="634"/>
      <c r="R231" s="634"/>
      <c r="S231" s="635"/>
      <c r="T231" s="635"/>
      <c r="U231" s="634"/>
      <c r="V231" s="634"/>
      <c r="W231" s="634"/>
      <c r="X231" s="634"/>
      <c r="Y231" s="634"/>
      <c r="Z231" s="634"/>
    </row>
    <row r="232" ht="15.75" customHeight="1">
      <c r="A232" s="634"/>
      <c r="B232" s="634"/>
      <c r="C232" s="634"/>
      <c r="D232" s="634"/>
      <c r="E232" s="635"/>
      <c r="F232" s="634"/>
      <c r="G232" s="636"/>
      <c r="H232" s="635"/>
      <c r="I232" s="635"/>
      <c r="J232" s="635"/>
      <c r="K232" s="635"/>
      <c r="L232" s="635"/>
      <c r="M232" s="635"/>
      <c r="N232" s="635"/>
      <c r="O232" s="635"/>
      <c r="P232" s="635"/>
      <c r="Q232" s="634"/>
      <c r="R232" s="634"/>
      <c r="S232" s="635"/>
      <c r="T232" s="635"/>
      <c r="U232" s="634"/>
      <c r="V232" s="634"/>
      <c r="W232" s="634"/>
      <c r="X232" s="634"/>
      <c r="Y232" s="634"/>
      <c r="Z232" s="634"/>
    </row>
    <row r="233" ht="15.75" customHeight="1">
      <c r="A233" s="634"/>
      <c r="B233" s="634"/>
      <c r="C233" s="634"/>
      <c r="D233" s="634"/>
      <c r="E233" s="635"/>
      <c r="F233" s="634"/>
      <c r="G233" s="636"/>
      <c r="H233" s="635"/>
      <c r="I233" s="635"/>
      <c r="J233" s="635"/>
      <c r="K233" s="635"/>
      <c r="L233" s="635"/>
      <c r="M233" s="635"/>
      <c r="N233" s="635"/>
      <c r="O233" s="635"/>
      <c r="P233" s="635"/>
      <c r="Q233" s="634"/>
      <c r="R233" s="634"/>
      <c r="S233" s="635"/>
      <c r="T233" s="635"/>
      <c r="U233" s="634"/>
      <c r="V233" s="634"/>
      <c r="W233" s="634"/>
      <c r="X233" s="634"/>
      <c r="Y233" s="634"/>
      <c r="Z233" s="634"/>
    </row>
    <row r="234" ht="15.75" customHeight="1">
      <c r="A234" s="634"/>
      <c r="B234" s="634"/>
      <c r="C234" s="634"/>
      <c r="D234" s="634"/>
      <c r="E234" s="635"/>
      <c r="F234" s="634"/>
      <c r="G234" s="636"/>
      <c r="H234" s="635"/>
      <c r="I234" s="635"/>
      <c r="J234" s="635"/>
      <c r="K234" s="635"/>
      <c r="L234" s="635"/>
      <c r="M234" s="635"/>
      <c r="N234" s="635"/>
      <c r="O234" s="635"/>
      <c r="P234" s="635"/>
      <c r="Q234" s="634"/>
      <c r="R234" s="634"/>
      <c r="S234" s="635"/>
      <c r="T234" s="635"/>
      <c r="U234" s="634"/>
      <c r="V234" s="634"/>
      <c r="W234" s="634"/>
      <c r="X234" s="634"/>
      <c r="Y234" s="634"/>
      <c r="Z234" s="634"/>
    </row>
    <row r="235" ht="15.75" customHeight="1">
      <c r="A235" s="634"/>
      <c r="B235" s="634"/>
      <c r="C235" s="634"/>
      <c r="D235" s="634"/>
      <c r="E235" s="635"/>
      <c r="F235" s="634"/>
      <c r="G235" s="636"/>
      <c r="H235" s="635"/>
      <c r="I235" s="635"/>
      <c r="J235" s="635"/>
      <c r="K235" s="635"/>
      <c r="L235" s="635"/>
      <c r="M235" s="635"/>
      <c r="N235" s="635"/>
      <c r="O235" s="635"/>
      <c r="P235" s="635"/>
      <c r="Q235" s="634"/>
      <c r="R235" s="634"/>
      <c r="S235" s="635"/>
      <c r="T235" s="635"/>
      <c r="U235" s="634"/>
      <c r="V235" s="634"/>
      <c r="W235" s="634"/>
      <c r="X235" s="634"/>
      <c r="Y235" s="634"/>
      <c r="Z235" s="634"/>
    </row>
    <row r="236" ht="15.75" customHeight="1">
      <c r="A236" s="634"/>
      <c r="B236" s="634"/>
      <c r="C236" s="634"/>
      <c r="D236" s="634"/>
      <c r="E236" s="635"/>
      <c r="F236" s="634"/>
      <c r="G236" s="636"/>
      <c r="H236" s="635"/>
      <c r="I236" s="635"/>
      <c r="J236" s="635"/>
      <c r="K236" s="635"/>
      <c r="L236" s="635"/>
      <c r="M236" s="635"/>
      <c r="N236" s="635"/>
      <c r="O236" s="635"/>
      <c r="P236" s="635"/>
      <c r="Q236" s="634"/>
      <c r="R236" s="634"/>
      <c r="S236" s="635"/>
      <c r="T236" s="635"/>
      <c r="U236" s="634"/>
      <c r="V236" s="634"/>
      <c r="W236" s="634"/>
      <c r="X236" s="634"/>
      <c r="Y236" s="634"/>
      <c r="Z236" s="634"/>
    </row>
    <row r="237" ht="15.75" customHeight="1">
      <c r="A237" s="634"/>
      <c r="B237" s="634"/>
      <c r="C237" s="634"/>
      <c r="D237" s="634"/>
      <c r="E237" s="635"/>
      <c r="F237" s="634"/>
      <c r="G237" s="636"/>
      <c r="H237" s="635"/>
      <c r="I237" s="635"/>
      <c r="J237" s="635"/>
      <c r="K237" s="635"/>
      <c r="L237" s="635"/>
      <c r="M237" s="635"/>
      <c r="N237" s="635"/>
      <c r="O237" s="635"/>
      <c r="P237" s="635"/>
      <c r="Q237" s="634"/>
      <c r="R237" s="634"/>
      <c r="S237" s="635"/>
      <c r="T237" s="635"/>
      <c r="U237" s="634"/>
      <c r="V237" s="634"/>
      <c r="W237" s="634"/>
      <c r="X237" s="634"/>
      <c r="Y237" s="634"/>
      <c r="Z237" s="634"/>
    </row>
    <row r="238" ht="15.75" customHeight="1">
      <c r="A238" s="634"/>
      <c r="B238" s="634"/>
      <c r="C238" s="634"/>
      <c r="D238" s="634"/>
      <c r="E238" s="635"/>
      <c r="F238" s="634"/>
      <c r="G238" s="636"/>
      <c r="H238" s="635"/>
      <c r="I238" s="635"/>
      <c r="J238" s="635"/>
      <c r="K238" s="635"/>
      <c r="L238" s="635"/>
      <c r="M238" s="635"/>
      <c r="N238" s="635"/>
      <c r="O238" s="635"/>
      <c r="P238" s="635"/>
      <c r="Q238" s="634"/>
      <c r="R238" s="634"/>
      <c r="S238" s="635"/>
      <c r="T238" s="635"/>
      <c r="U238" s="634"/>
      <c r="V238" s="634"/>
      <c r="W238" s="634"/>
      <c r="X238" s="634"/>
      <c r="Y238" s="634"/>
      <c r="Z238" s="634"/>
    </row>
    <row r="239" ht="15.75" customHeight="1">
      <c r="A239" s="634"/>
      <c r="B239" s="634"/>
      <c r="C239" s="634"/>
      <c r="D239" s="634"/>
      <c r="E239" s="635"/>
      <c r="F239" s="634"/>
      <c r="G239" s="636"/>
      <c r="H239" s="635"/>
      <c r="I239" s="635"/>
      <c r="J239" s="635"/>
      <c r="K239" s="635"/>
      <c r="L239" s="635"/>
      <c r="M239" s="635"/>
      <c r="N239" s="635"/>
      <c r="O239" s="635"/>
      <c r="P239" s="635"/>
      <c r="Q239" s="634"/>
      <c r="R239" s="634"/>
      <c r="S239" s="635"/>
      <c r="T239" s="635"/>
      <c r="U239" s="634"/>
      <c r="V239" s="634"/>
      <c r="W239" s="634"/>
      <c r="X239" s="634"/>
      <c r="Y239" s="634"/>
      <c r="Z239" s="634"/>
    </row>
    <row r="240" ht="15.75" customHeight="1">
      <c r="A240" s="634"/>
      <c r="B240" s="634"/>
      <c r="C240" s="634"/>
      <c r="D240" s="634"/>
      <c r="E240" s="635"/>
      <c r="F240" s="634"/>
      <c r="G240" s="636"/>
      <c r="H240" s="635"/>
      <c r="I240" s="635"/>
      <c r="J240" s="635"/>
      <c r="K240" s="635"/>
      <c r="L240" s="635"/>
      <c r="M240" s="635"/>
      <c r="N240" s="635"/>
      <c r="O240" s="635"/>
      <c r="P240" s="635"/>
      <c r="Q240" s="634"/>
      <c r="R240" s="634"/>
      <c r="S240" s="635"/>
      <c r="T240" s="635"/>
      <c r="U240" s="634"/>
      <c r="V240" s="634"/>
      <c r="W240" s="634"/>
      <c r="X240" s="634"/>
      <c r="Y240" s="634"/>
      <c r="Z240" s="634"/>
    </row>
    <row r="241" ht="15.75" customHeight="1">
      <c r="A241" s="634"/>
      <c r="B241" s="634"/>
      <c r="C241" s="634"/>
      <c r="D241" s="634"/>
      <c r="E241" s="635"/>
      <c r="F241" s="634"/>
      <c r="G241" s="636"/>
      <c r="H241" s="635"/>
      <c r="I241" s="635"/>
      <c r="J241" s="635"/>
      <c r="K241" s="635"/>
      <c r="L241" s="635"/>
      <c r="M241" s="635"/>
      <c r="N241" s="635"/>
      <c r="O241" s="635"/>
      <c r="P241" s="635"/>
      <c r="Q241" s="634"/>
      <c r="R241" s="634"/>
      <c r="S241" s="635"/>
      <c r="T241" s="635"/>
      <c r="U241" s="634"/>
      <c r="V241" s="634"/>
      <c r="W241" s="634"/>
      <c r="X241" s="634"/>
      <c r="Y241" s="634"/>
      <c r="Z241" s="634"/>
    </row>
    <row r="242" ht="15.75" customHeight="1">
      <c r="A242" s="634"/>
      <c r="B242" s="634"/>
      <c r="C242" s="634"/>
      <c r="D242" s="634"/>
      <c r="E242" s="635"/>
      <c r="F242" s="634"/>
      <c r="G242" s="636"/>
      <c r="H242" s="635"/>
      <c r="I242" s="635"/>
      <c r="J242" s="635"/>
      <c r="K242" s="635"/>
      <c r="L242" s="635"/>
      <c r="M242" s="635"/>
      <c r="N242" s="635"/>
      <c r="O242" s="635"/>
      <c r="P242" s="635"/>
      <c r="Q242" s="634"/>
      <c r="R242" s="634"/>
      <c r="S242" s="635"/>
      <c r="T242" s="635"/>
      <c r="U242" s="634"/>
      <c r="V242" s="634"/>
      <c r="W242" s="634"/>
      <c r="X242" s="634"/>
      <c r="Y242" s="634"/>
      <c r="Z242" s="634"/>
    </row>
    <row r="243" ht="15.75" customHeight="1">
      <c r="A243" s="634"/>
      <c r="B243" s="634"/>
      <c r="C243" s="634"/>
      <c r="D243" s="634"/>
      <c r="E243" s="635"/>
      <c r="F243" s="634"/>
      <c r="G243" s="636"/>
      <c r="H243" s="635"/>
      <c r="I243" s="635"/>
      <c r="J243" s="635"/>
      <c r="K243" s="635"/>
      <c r="L243" s="635"/>
      <c r="M243" s="635"/>
      <c r="N243" s="635"/>
      <c r="O243" s="635"/>
      <c r="P243" s="635"/>
      <c r="Q243" s="634"/>
      <c r="R243" s="634"/>
      <c r="S243" s="635"/>
      <c r="T243" s="635"/>
      <c r="U243" s="634"/>
      <c r="V243" s="634"/>
      <c r="W243" s="634"/>
      <c r="X243" s="634"/>
      <c r="Y243" s="634"/>
      <c r="Z243" s="634"/>
    </row>
    <row r="244" ht="15.75" customHeight="1">
      <c r="A244" s="634"/>
      <c r="B244" s="634"/>
      <c r="C244" s="634"/>
      <c r="D244" s="634"/>
      <c r="E244" s="635"/>
      <c r="F244" s="634"/>
      <c r="G244" s="636"/>
      <c r="H244" s="635"/>
      <c r="I244" s="635"/>
      <c r="J244" s="635"/>
      <c r="K244" s="635"/>
      <c r="L244" s="635"/>
      <c r="M244" s="635"/>
      <c r="N244" s="635"/>
      <c r="O244" s="635"/>
      <c r="P244" s="635"/>
      <c r="Q244" s="634"/>
      <c r="R244" s="634"/>
      <c r="S244" s="635"/>
      <c r="T244" s="635"/>
      <c r="U244" s="634"/>
      <c r="V244" s="634"/>
      <c r="W244" s="634"/>
      <c r="X244" s="634"/>
      <c r="Y244" s="634"/>
      <c r="Z244" s="634"/>
    </row>
    <row r="245" ht="15.75" customHeight="1">
      <c r="A245" s="634"/>
      <c r="B245" s="634"/>
      <c r="C245" s="634"/>
      <c r="D245" s="634"/>
      <c r="E245" s="635"/>
      <c r="F245" s="634"/>
      <c r="G245" s="636"/>
      <c r="H245" s="635"/>
      <c r="I245" s="635"/>
      <c r="J245" s="635"/>
      <c r="K245" s="635"/>
      <c r="L245" s="635"/>
      <c r="M245" s="635"/>
      <c r="N245" s="635"/>
      <c r="O245" s="635"/>
      <c r="P245" s="635"/>
      <c r="Q245" s="634"/>
      <c r="R245" s="634"/>
      <c r="S245" s="635"/>
      <c r="T245" s="635"/>
      <c r="U245" s="634"/>
      <c r="V245" s="634"/>
      <c r="W245" s="634"/>
      <c r="X245" s="634"/>
      <c r="Y245" s="634"/>
      <c r="Z245" s="634"/>
    </row>
    <row r="246" ht="15.75" customHeight="1">
      <c r="A246" s="634"/>
      <c r="B246" s="634"/>
      <c r="C246" s="634"/>
      <c r="D246" s="634"/>
      <c r="E246" s="635"/>
      <c r="F246" s="634"/>
      <c r="G246" s="636"/>
      <c r="H246" s="635"/>
      <c r="I246" s="635"/>
      <c r="J246" s="635"/>
      <c r="K246" s="635"/>
      <c r="L246" s="635"/>
      <c r="M246" s="635"/>
      <c r="N246" s="635"/>
      <c r="O246" s="635"/>
      <c r="P246" s="635"/>
      <c r="Q246" s="634"/>
      <c r="R246" s="634"/>
      <c r="S246" s="635"/>
      <c r="T246" s="635"/>
      <c r="U246" s="634"/>
      <c r="V246" s="634"/>
      <c r="W246" s="634"/>
      <c r="X246" s="634"/>
      <c r="Y246" s="634"/>
      <c r="Z246" s="634"/>
    </row>
    <row r="247" ht="15.75" customHeight="1">
      <c r="A247" s="634"/>
      <c r="B247" s="634"/>
      <c r="C247" s="634"/>
      <c r="D247" s="634"/>
      <c r="E247" s="635"/>
      <c r="F247" s="634"/>
      <c r="G247" s="636"/>
      <c r="H247" s="635"/>
      <c r="I247" s="635"/>
      <c r="J247" s="635"/>
      <c r="K247" s="635"/>
      <c r="L247" s="635"/>
      <c r="M247" s="635"/>
      <c r="N247" s="635"/>
      <c r="O247" s="635"/>
      <c r="P247" s="635"/>
      <c r="Q247" s="634"/>
      <c r="R247" s="634"/>
      <c r="S247" s="635"/>
      <c r="T247" s="635"/>
      <c r="U247" s="634"/>
      <c r="V247" s="634"/>
      <c r="W247" s="634"/>
      <c r="X247" s="634"/>
      <c r="Y247" s="634"/>
      <c r="Z247" s="634"/>
    </row>
    <row r="248" ht="15.75" customHeight="1">
      <c r="A248" s="634"/>
      <c r="B248" s="634"/>
      <c r="C248" s="634"/>
      <c r="D248" s="634"/>
      <c r="E248" s="635"/>
      <c r="F248" s="634"/>
      <c r="G248" s="636"/>
      <c r="H248" s="635"/>
      <c r="I248" s="635"/>
      <c r="J248" s="635"/>
      <c r="K248" s="635"/>
      <c r="L248" s="635"/>
      <c r="M248" s="635"/>
      <c r="N248" s="635"/>
      <c r="O248" s="635"/>
      <c r="P248" s="635"/>
      <c r="Q248" s="634"/>
      <c r="R248" s="634"/>
      <c r="S248" s="635"/>
      <c r="T248" s="635"/>
      <c r="U248" s="634"/>
      <c r="V248" s="634"/>
      <c r="W248" s="634"/>
      <c r="X248" s="634"/>
      <c r="Y248" s="634"/>
      <c r="Z248" s="634"/>
    </row>
    <row r="249" ht="15.75" customHeight="1">
      <c r="A249" s="634"/>
      <c r="B249" s="634"/>
      <c r="C249" s="634"/>
      <c r="D249" s="634"/>
      <c r="E249" s="635"/>
      <c r="F249" s="634"/>
      <c r="G249" s="636"/>
      <c r="H249" s="635"/>
      <c r="I249" s="635"/>
      <c r="J249" s="635"/>
      <c r="K249" s="635"/>
      <c r="L249" s="635"/>
      <c r="M249" s="635"/>
      <c r="N249" s="635"/>
      <c r="O249" s="635"/>
      <c r="P249" s="635"/>
      <c r="Q249" s="634"/>
      <c r="R249" s="634"/>
      <c r="S249" s="635"/>
      <c r="T249" s="635"/>
      <c r="U249" s="634"/>
      <c r="V249" s="634"/>
      <c r="W249" s="634"/>
      <c r="X249" s="634"/>
      <c r="Y249" s="634"/>
      <c r="Z249" s="634"/>
    </row>
    <row r="250" ht="15.75" customHeight="1">
      <c r="A250" s="634"/>
      <c r="B250" s="634"/>
      <c r="C250" s="634"/>
      <c r="D250" s="634"/>
      <c r="E250" s="635"/>
      <c r="F250" s="634"/>
      <c r="G250" s="636"/>
      <c r="H250" s="635"/>
      <c r="I250" s="635"/>
      <c r="J250" s="635"/>
      <c r="K250" s="635"/>
      <c r="L250" s="635"/>
      <c r="M250" s="635"/>
      <c r="N250" s="635"/>
      <c r="O250" s="635"/>
      <c r="P250" s="635"/>
      <c r="Q250" s="634"/>
      <c r="R250" s="634"/>
      <c r="S250" s="635"/>
      <c r="T250" s="635"/>
      <c r="U250" s="634"/>
      <c r="V250" s="634"/>
      <c r="W250" s="634"/>
      <c r="X250" s="634"/>
      <c r="Y250" s="634"/>
      <c r="Z250" s="634"/>
    </row>
    <row r="251" ht="15.75" customHeight="1">
      <c r="A251" s="634"/>
      <c r="B251" s="634"/>
      <c r="C251" s="634"/>
      <c r="D251" s="634"/>
      <c r="E251" s="635"/>
      <c r="F251" s="634"/>
      <c r="G251" s="636"/>
      <c r="H251" s="635"/>
      <c r="I251" s="635"/>
      <c r="J251" s="635"/>
      <c r="K251" s="635"/>
      <c r="L251" s="635"/>
      <c r="M251" s="635"/>
      <c r="N251" s="635"/>
      <c r="O251" s="635"/>
      <c r="P251" s="635"/>
      <c r="Q251" s="634"/>
      <c r="R251" s="634"/>
      <c r="S251" s="635"/>
      <c r="T251" s="635"/>
      <c r="U251" s="634"/>
      <c r="V251" s="634"/>
      <c r="W251" s="634"/>
      <c r="X251" s="634"/>
      <c r="Y251" s="634"/>
      <c r="Z251" s="634"/>
    </row>
    <row r="252" ht="15.75" customHeight="1">
      <c r="A252" s="634"/>
      <c r="B252" s="634"/>
      <c r="C252" s="634"/>
      <c r="D252" s="634"/>
      <c r="E252" s="635"/>
      <c r="F252" s="634"/>
      <c r="G252" s="636"/>
      <c r="H252" s="635"/>
      <c r="I252" s="635"/>
      <c r="J252" s="635"/>
      <c r="K252" s="635"/>
      <c r="L252" s="635"/>
      <c r="M252" s="635"/>
      <c r="N252" s="635"/>
      <c r="O252" s="635"/>
      <c r="P252" s="635"/>
      <c r="Q252" s="634"/>
      <c r="R252" s="634"/>
      <c r="S252" s="635"/>
      <c r="T252" s="635"/>
      <c r="U252" s="634"/>
      <c r="V252" s="634"/>
      <c r="W252" s="634"/>
      <c r="X252" s="634"/>
      <c r="Y252" s="634"/>
      <c r="Z252" s="634"/>
    </row>
    <row r="253" ht="15.75" customHeight="1">
      <c r="A253" s="634"/>
      <c r="B253" s="634"/>
      <c r="C253" s="634"/>
      <c r="D253" s="634"/>
      <c r="E253" s="635"/>
      <c r="F253" s="634"/>
      <c r="G253" s="636"/>
      <c r="H253" s="635"/>
      <c r="I253" s="635"/>
      <c r="J253" s="635"/>
      <c r="K253" s="635"/>
      <c r="L253" s="635"/>
      <c r="M253" s="635"/>
      <c r="N253" s="635"/>
      <c r="O253" s="635"/>
      <c r="P253" s="635"/>
      <c r="Q253" s="634"/>
      <c r="R253" s="634"/>
      <c r="S253" s="635"/>
      <c r="T253" s="635"/>
      <c r="U253" s="634"/>
      <c r="V253" s="634"/>
      <c r="W253" s="634"/>
      <c r="X253" s="634"/>
      <c r="Y253" s="634"/>
      <c r="Z253" s="634"/>
    </row>
    <row r="254" ht="15.75" customHeight="1">
      <c r="A254" s="634"/>
      <c r="B254" s="634"/>
      <c r="C254" s="634"/>
      <c r="D254" s="634"/>
      <c r="E254" s="635"/>
      <c r="F254" s="634"/>
      <c r="G254" s="636"/>
      <c r="H254" s="635"/>
      <c r="I254" s="635"/>
      <c r="J254" s="635"/>
      <c r="K254" s="635"/>
      <c r="L254" s="635"/>
      <c r="M254" s="635"/>
      <c r="N254" s="635"/>
      <c r="O254" s="635"/>
      <c r="P254" s="635"/>
      <c r="Q254" s="634"/>
      <c r="R254" s="634"/>
      <c r="S254" s="635"/>
      <c r="T254" s="635"/>
      <c r="U254" s="634"/>
      <c r="V254" s="634"/>
      <c r="W254" s="634"/>
      <c r="X254" s="634"/>
      <c r="Y254" s="634"/>
      <c r="Z254" s="634"/>
    </row>
    <row r="255" ht="15.75" customHeight="1">
      <c r="A255" s="634"/>
      <c r="B255" s="634"/>
      <c r="C255" s="634"/>
      <c r="D255" s="634"/>
      <c r="E255" s="635"/>
      <c r="F255" s="634"/>
      <c r="G255" s="636"/>
      <c r="H255" s="635"/>
      <c r="I255" s="635"/>
      <c r="J255" s="635"/>
      <c r="K255" s="635"/>
      <c r="L255" s="635"/>
      <c r="M255" s="635"/>
      <c r="N255" s="635"/>
      <c r="O255" s="635"/>
      <c r="P255" s="635"/>
      <c r="Q255" s="634"/>
      <c r="R255" s="634"/>
      <c r="S255" s="635"/>
      <c r="T255" s="635"/>
      <c r="U255" s="634"/>
      <c r="V255" s="634"/>
      <c r="W255" s="634"/>
      <c r="X255" s="634"/>
      <c r="Y255" s="634"/>
      <c r="Z255" s="634"/>
    </row>
    <row r="256" ht="15.75" customHeight="1">
      <c r="A256" s="634"/>
      <c r="B256" s="634"/>
      <c r="C256" s="634"/>
      <c r="D256" s="634"/>
      <c r="E256" s="635"/>
      <c r="F256" s="634"/>
      <c r="G256" s="636"/>
      <c r="H256" s="635"/>
      <c r="I256" s="635"/>
      <c r="J256" s="635"/>
      <c r="K256" s="635"/>
      <c r="L256" s="635"/>
      <c r="M256" s="635"/>
      <c r="N256" s="635"/>
      <c r="O256" s="635"/>
      <c r="P256" s="635"/>
      <c r="Q256" s="634"/>
      <c r="R256" s="634"/>
      <c r="S256" s="635"/>
      <c r="T256" s="635"/>
      <c r="U256" s="634"/>
      <c r="V256" s="634"/>
      <c r="W256" s="634"/>
      <c r="X256" s="634"/>
      <c r="Y256" s="634"/>
      <c r="Z256" s="634"/>
    </row>
    <row r="257" ht="15.75" customHeight="1">
      <c r="A257" s="634"/>
      <c r="B257" s="634"/>
      <c r="C257" s="634"/>
      <c r="D257" s="634"/>
      <c r="E257" s="635"/>
      <c r="F257" s="634"/>
      <c r="G257" s="636"/>
      <c r="H257" s="635"/>
      <c r="I257" s="635"/>
      <c r="J257" s="635"/>
      <c r="K257" s="635"/>
      <c r="L257" s="635"/>
      <c r="M257" s="635"/>
      <c r="N257" s="635"/>
      <c r="O257" s="635"/>
      <c r="P257" s="635"/>
      <c r="Q257" s="634"/>
      <c r="R257" s="634"/>
      <c r="S257" s="635"/>
      <c r="T257" s="635"/>
      <c r="U257" s="634"/>
      <c r="V257" s="634"/>
      <c r="W257" s="634"/>
      <c r="X257" s="634"/>
      <c r="Y257" s="634"/>
      <c r="Z257" s="634"/>
    </row>
    <row r="258" ht="15.75" customHeight="1">
      <c r="A258" s="634"/>
      <c r="B258" s="634"/>
      <c r="C258" s="634"/>
      <c r="D258" s="634"/>
      <c r="E258" s="635"/>
      <c r="F258" s="634"/>
      <c r="G258" s="636"/>
      <c r="H258" s="635"/>
      <c r="I258" s="635"/>
      <c r="J258" s="635"/>
      <c r="K258" s="635"/>
      <c r="L258" s="635"/>
      <c r="M258" s="635"/>
      <c r="N258" s="635"/>
      <c r="O258" s="635"/>
      <c r="P258" s="635"/>
      <c r="Q258" s="634"/>
      <c r="R258" s="634"/>
      <c r="S258" s="635"/>
      <c r="T258" s="635"/>
      <c r="U258" s="634"/>
      <c r="V258" s="634"/>
      <c r="W258" s="634"/>
      <c r="X258" s="634"/>
      <c r="Y258" s="634"/>
      <c r="Z258" s="634"/>
    </row>
    <row r="259" ht="15.75" customHeight="1">
      <c r="A259" s="634"/>
      <c r="B259" s="634"/>
      <c r="C259" s="634"/>
      <c r="D259" s="634"/>
      <c r="E259" s="635"/>
      <c r="F259" s="634"/>
      <c r="G259" s="636"/>
      <c r="H259" s="635"/>
      <c r="I259" s="635"/>
      <c r="J259" s="635"/>
      <c r="K259" s="635"/>
      <c r="L259" s="635"/>
      <c r="M259" s="635"/>
      <c r="N259" s="635"/>
      <c r="O259" s="635"/>
      <c r="P259" s="635"/>
      <c r="Q259" s="634"/>
      <c r="R259" s="634"/>
      <c r="S259" s="635"/>
      <c r="T259" s="635"/>
      <c r="U259" s="634"/>
      <c r="V259" s="634"/>
      <c r="W259" s="634"/>
      <c r="X259" s="634"/>
      <c r="Y259" s="634"/>
      <c r="Z259" s="634"/>
    </row>
    <row r="260" ht="15.75" customHeight="1">
      <c r="A260" s="634"/>
      <c r="B260" s="634"/>
      <c r="C260" s="634"/>
      <c r="D260" s="634"/>
      <c r="E260" s="635"/>
      <c r="F260" s="634"/>
      <c r="G260" s="636"/>
      <c r="H260" s="635"/>
      <c r="I260" s="635"/>
      <c r="J260" s="635"/>
      <c r="K260" s="635"/>
      <c r="L260" s="635"/>
      <c r="M260" s="635"/>
      <c r="N260" s="635"/>
      <c r="O260" s="635"/>
      <c r="P260" s="635"/>
      <c r="Q260" s="634"/>
      <c r="R260" s="634"/>
      <c r="S260" s="635"/>
      <c r="T260" s="635"/>
      <c r="U260" s="634"/>
      <c r="V260" s="634"/>
      <c r="W260" s="634"/>
      <c r="X260" s="634"/>
      <c r="Y260" s="634"/>
      <c r="Z260" s="634"/>
    </row>
    <row r="261" ht="15.75" customHeight="1">
      <c r="A261" s="634"/>
      <c r="B261" s="634"/>
      <c r="C261" s="634"/>
      <c r="D261" s="634"/>
      <c r="E261" s="635"/>
      <c r="F261" s="634"/>
      <c r="G261" s="636"/>
      <c r="H261" s="635"/>
      <c r="I261" s="635"/>
      <c r="J261" s="635"/>
      <c r="K261" s="635"/>
      <c r="L261" s="635"/>
      <c r="M261" s="635"/>
      <c r="N261" s="635"/>
      <c r="O261" s="635"/>
      <c r="P261" s="635"/>
      <c r="Q261" s="634"/>
      <c r="R261" s="634"/>
      <c r="S261" s="635"/>
      <c r="T261" s="635"/>
      <c r="U261" s="634"/>
      <c r="V261" s="634"/>
      <c r="W261" s="634"/>
      <c r="X261" s="634"/>
      <c r="Y261" s="634"/>
      <c r="Z261" s="634"/>
    </row>
    <row r="262" ht="15.75" customHeight="1">
      <c r="A262" s="634"/>
      <c r="B262" s="634"/>
      <c r="C262" s="634"/>
      <c r="D262" s="634"/>
      <c r="E262" s="635"/>
      <c r="F262" s="634"/>
      <c r="G262" s="636"/>
      <c r="H262" s="635"/>
      <c r="I262" s="635"/>
      <c r="J262" s="635"/>
      <c r="K262" s="635"/>
      <c r="L262" s="635"/>
      <c r="M262" s="635"/>
      <c r="N262" s="635"/>
      <c r="O262" s="635"/>
      <c r="P262" s="635"/>
      <c r="Q262" s="634"/>
      <c r="R262" s="634"/>
      <c r="S262" s="635"/>
      <c r="T262" s="635"/>
      <c r="U262" s="634"/>
      <c r="V262" s="634"/>
      <c r="W262" s="634"/>
      <c r="X262" s="634"/>
      <c r="Y262" s="634"/>
      <c r="Z262" s="634"/>
    </row>
    <row r="263" ht="15.75" customHeight="1">
      <c r="A263" s="634"/>
      <c r="B263" s="634"/>
      <c r="C263" s="634"/>
      <c r="D263" s="634"/>
      <c r="E263" s="635"/>
      <c r="F263" s="634"/>
      <c r="G263" s="636"/>
      <c r="H263" s="635"/>
      <c r="I263" s="635"/>
      <c r="J263" s="635"/>
      <c r="K263" s="635"/>
      <c r="L263" s="635"/>
      <c r="M263" s="635"/>
      <c r="N263" s="635"/>
      <c r="O263" s="635"/>
      <c r="P263" s="635"/>
      <c r="Q263" s="634"/>
      <c r="R263" s="634"/>
      <c r="S263" s="635"/>
      <c r="T263" s="635"/>
      <c r="U263" s="634"/>
      <c r="V263" s="634"/>
      <c r="W263" s="634"/>
      <c r="X263" s="634"/>
      <c r="Y263" s="634"/>
      <c r="Z263" s="634"/>
    </row>
    <row r="264" ht="15.75" customHeight="1">
      <c r="A264" s="634"/>
      <c r="B264" s="634"/>
      <c r="C264" s="634"/>
      <c r="D264" s="634"/>
      <c r="E264" s="635"/>
      <c r="F264" s="634"/>
      <c r="G264" s="636"/>
      <c r="H264" s="635"/>
      <c r="I264" s="635"/>
      <c r="J264" s="635"/>
      <c r="K264" s="635"/>
      <c r="L264" s="635"/>
      <c r="M264" s="635"/>
      <c r="N264" s="635"/>
      <c r="O264" s="635"/>
      <c r="P264" s="635"/>
      <c r="Q264" s="634"/>
      <c r="R264" s="634"/>
      <c r="S264" s="635"/>
      <c r="T264" s="635"/>
      <c r="U264" s="634"/>
      <c r="V264" s="634"/>
      <c r="W264" s="634"/>
      <c r="X264" s="634"/>
      <c r="Y264" s="634"/>
      <c r="Z264" s="634"/>
    </row>
    <row r="265" ht="15.75" customHeight="1">
      <c r="A265" s="634"/>
      <c r="B265" s="634"/>
      <c r="C265" s="634"/>
      <c r="D265" s="634"/>
      <c r="E265" s="635"/>
      <c r="F265" s="634"/>
      <c r="G265" s="636"/>
      <c r="H265" s="635"/>
      <c r="I265" s="635"/>
      <c r="J265" s="635"/>
      <c r="K265" s="635"/>
      <c r="L265" s="635"/>
      <c r="M265" s="635"/>
      <c r="N265" s="635"/>
      <c r="O265" s="635"/>
      <c r="P265" s="635"/>
      <c r="Q265" s="634"/>
      <c r="R265" s="634"/>
      <c r="S265" s="635"/>
      <c r="T265" s="635"/>
      <c r="U265" s="634"/>
      <c r="V265" s="634"/>
      <c r="W265" s="634"/>
      <c r="X265" s="634"/>
      <c r="Y265" s="634"/>
      <c r="Z265" s="634"/>
    </row>
    <row r="266" ht="15.75" customHeight="1">
      <c r="A266" s="634"/>
      <c r="B266" s="634"/>
      <c r="C266" s="634"/>
      <c r="D266" s="634"/>
      <c r="E266" s="635"/>
      <c r="F266" s="634"/>
      <c r="G266" s="636"/>
      <c r="H266" s="635"/>
      <c r="I266" s="635"/>
      <c r="J266" s="635"/>
      <c r="K266" s="635"/>
      <c r="L266" s="635"/>
      <c r="M266" s="635"/>
      <c r="N266" s="635"/>
      <c r="O266" s="635"/>
      <c r="P266" s="635"/>
      <c r="Q266" s="634"/>
      <c r="R266" s="634"/>
      <c r="S266" s="635"/>
      <c r="T266" s="635"/>
      <c r="U266" s="634"/>
      <c r="V266" s="634"/>
      <c r="W266" s="634"/>
      <c r="X266" s="634"/>
      <c r="Y266" s="634"/>
      <c r="Z266" s="634"/>
    </row>
    <row r="267" ht="15.75" customHeight="1">
      <c r="A267" s="634"/>
      <c r="B267" s="634"/>
      <c r="C267" s="634"/>
      <c r="D267" s="634"/>
      <c r="E267" s="635"/>
      <c r="F267" s="634"/>
      <c r="G267" s="636"/>
      <c r="H267" s="635"/>
      <c r="I267" s="635"/>
      <c r="J267" s="635"/>
      <c r="K267" s="635"/>
      <c r="L267" s="635"/>
      <c r="M267" s="635"/>
      <c r="N267" s="635"/>
      <c r="O267" s="635"/>
      <c r="P267" s="635"/>
      <c r="Q267" s="634"/>
      <c r="R267" s="634"/>
      <c r="S267" s="635"/>
      <c r="T267" s="635"/>
      <c r="U267" s="634"/>
      <c r="V267" s="634"/>
      <c r="W267" s="634"/>
      <c r="X267" s="634"/>
      <c r="Y267" s="634"/>
      <c r="Z267" s="634"/>
    </row>
    <row r="268" ht="15.75" customHeight="1">
      <c r="A268" s="634"/>
      <c r="B268" s="634"/>
      <c r="C268" s="634"/>
      <c r="D268" s="634"/>
      <c r="E268" s="635"/>
      <c r="F268" s="634"/>
      <c r="G268" s="636"/>
      <c r="H268" s="635"/>
      <c r="I268" s="635"/>
      <c r="J268" s="635"/>
      <c r="K268" s="635"/>
      <c r="L268" s="635"/>
      <c r="M268" s="635"/>
      <c r="N268" s="635"/>
      <c r="O268" s="635"/>
      <c r="P268" s="635"/>
      <c r="Q268" s="634"/>
      <c r="R268" s="634"/>
      <c r="S268" s="635"/>
      <c r="T268" s="635"/>
      <c r="U268" s="634"/>
      <c r="V268" s="634"/>
      <c r="W268" s="634"/>
      <c r="X268" s="634"/>
      <c r="Y268" s="634"/>
      <c r="Z268" s="634"/>
    </row>
    <row r="269" ht="15.75" customHeight="1">
      <c r="A269" s="634"/>
      <c r="B269" s="634"/>
      <c r="C269" s="634"/>
      <c r="D269" s="634"/>
      <c r="E269" s="635"/>
      <c r="F269" s="634"/>
      <c r="G269" s="636"/>
      <c r="H269" s="635"/>
      <c r="I269" s="635"/>
      <c r="J269" s="635"/>
      <c r="K269" s="635"/>
      <c r="L269" s="635"/>
      <c r="M269" s="635"/>
      <c r="N269" s="635"/>
      <c r="O269" s="635"/>
      <c r="P269" s="635"/>
      <c r="Q269" s="634"/>
      <c r="R269" s="634"/>
      <c r="S269" s="635"/>
      <c r="T269" s="635"/>
      <c r="U269" s="634"/>
      <c r="V269" s="634"/>
      <c r="W269" s="634"/>
      <c r="X269" s="634"/>
      <c r="Y269" s="634"/>
      <c r="Z269" s="634"/>
    </row>
    <row r="270" ht="15.75" customHeight="1">
      <c r="A270" s="634"/>
      <c r="B270" s="634"/>
      <c r="C270" s="634"/>
      <c r="D270" s="634"/>
      <c r="E270" s="635"/>
      <c r="F270" s="634"/>
      <c r="G270" s="636"/>
      <c r="H270" s="635"/>
      <c r="I270" s="635"/>
      <c r="J270" s="635"/>
      <c r="K270" s="635"/>
      <c r="L270" s="635"/>
      <c r="M270" s="635"/>
      <c r="N270" s="635"/>
      <c r="O270" s="635"/>
      <c r="P270" s="635"/>
      <c r="Q270" s="634"/>
      <c r="R270" s="634"/>
      <c r="S270" s="635"/>
      <c r="T270" s="635"/>
      <c r="U270" s="634"/>
      <c r="V270" s="634"/>
      <c r="W270" s="634"/>
      <c r="X270" s="634"/>
      <c r="Y270" s="634"/>
      <c r="Z270" s="634"/>
    </row>
    <row r="271" ht="15.75" customHeight="1">
      <c r="A271" s="634"/>
      <c r="B271" s="634"/>
      <c r="C271" s="634"/>
      <c r="D271" s="634"/>
      <c r="E271" s="635"/>
      <c r="F271" s="634"/>
      <c r="G271" s="636"/>
      <c r="H271" s="635"/>
      <c r="I271" s="635"/>
      <c r="J271" s="635"/>
      <c r="K271" s="635"/>
      <c r="L271" s="635"/>
      <c r="M271" s="635"/>
      <c r="N271" s="635"/>
      <c r="O271" s="635"/>
      <c r="P271" s="635"/>
      <c r="Q271" s="634"/>
      <c r="R271" s="634"/>
      <c r="S271" s="635"/>
      <c r="T271" s="635"/>
      <c r="U271" s="634"/>
      <c r="V271" s="634"/>
      <c r="W271" s="634"/>
      <c r="X271" s="634"/>
      <c r="Y271" s="634"/>
      <c r="Z271" s="634"/>
    </row>
    <row r="272" ht="15.75" customHeight="1">
      <c r="A272" s="634"/>
      <c r="B272" s="634"/>
      <c r="C272" s="634"/>
      <c r="D272" s="634"/>
      <c r="E272" s="635"/>
      <c r="F272" s="634"/>
      <c r="G272" s="636"/>
      <c r="H272" s="635"/>
      <c r="I272" s="635"/>
      <c r="J272" s="635"/>
      <c r="K272" s="635"/>
      <c r="L272" s="635"/>
      <c r="M272" s="635"/>
      <c r="N272" s="635"/>
      <c r="O272" s="635"/>
      <c r="P272" s="635"/>
      <c r="Q272" s="634"/>
      <c r="R272" s="634"/>
      <c r="S272" s="635"/>
      <c r="T272" s="635"/>
      <c r="U272" s="634"/>
      <c r="V272" s="634"/>
      <c r="W272" s="634"/>
      <c r="X272" s="634"/>
      <c r="Y272" s="634"/>
      <c r="Z272" s="634"/>
    </row>
    <row r="273" ht="15.75" customHeight="1">
      <c r="A273" s="634"/>
      <c r="B273" s="634"/>
      <c r="C273" s="634"/>
      <c r="D273" s="634"/>
      <c r="E273" s="635"/>
      <c r="F273" s="634"/>
      <c r="G273" s="636"/>
      <c r="H273" s="635"/>
      <c r="I273" s="635"/>
      <c r="J273" s="635"/>
      <c r="K273" s="635"/>
      <c r="L273" s="635"/>
      <c r="M273" s="635"/>
      <c r="N273" s="635"/>
      <c r="O273" s="635"/>
      <c r="P273" s="635"/>
      <c r="Q273" s="634"/>
      <c r="R273" s="634"/>
      <c r="S273" s="635"/>
      <c r="T273" s="635"/>
      <c r="U273" s="634"/>
      <c r="V273" s="634"/>
      <c r="W273" s="634"/>
      <c r="X273" s="634"/>
      <c r="Y273" s="634"/>
      <c r="Z273" s="634"/>
    </row>
    <row r="274" ht="15.75" customHeight="1">
      <c r="A274" s="634"/>
      <c r="B274" s="634"/>
      <c r="C274" s="634"/>
      <c r="D274" s="634"/>
      <c r="E274" s="635"/>
      <c r="F274" s="634"/>
      <c r="G274" s="636"/>
      <c r="H274" s="635"/>
      <c r="I274" s="635"/>
      <c r="J274" s="635"/>
      <c r="K274" s="635"/>
      <c r="L274" s="635"/>
      <c r="M274" s="635"/>
      <c r="N274" s="635"/>
      <c r="O274" s="635"/>
      <c r="P274" s="635"/>
      <c r="Q274" s="634"/>
      <c r="R274" s="634"/>
      <c r="S274" s="635"/>
      <c r="T274" s="635"/>
      <c r="U274" s="634"/>
      <c r="V274" s="634"/>
      <c r="W274" s="634"/>
      <c r="X274" s="634"/>
      <c r="Y274" s="634"/>
      <c r="Z274" s="634"/>
    </row>
    <row r="275" ht="15.75" customHeight="1">
      <c r="A275" s="634"/>
      <c r="B275" s="634"/>
      <c r="C275" s="634"/>
      <c r="D275" s="634"/>
      <c r="E275" s="635"/>
      <c r="F275" s="634"/>
      <c r="G275" s="636"/>
      <c r="H275" s="635"/>
      <c r="I275" s="635"/>
      <c r="J275" s="635"/>
      <c r="K275" s="635"/>
      <c r="L275" s="635"/>
      <c r="M275" s="635"/>
      <c r="N275" s="635"/>
      <c r="O275" s="635"/>
      <c r="P275" s="635"/>
      <c r="Q275" s="634"/>
      <c r="R275" s="634"/>
      <c r="S275" s="635"/>
      <c r="T275" s="635"/>
      <c r="U275" s="634"/>
      <c r="V275" s="634"/>
      <c r="W275" s="634"/>
      <c r="X275" s="634"/>
      <c r="Y275" s="634"/>
      <c r="Z275" s="634"/>
    </row>
    <row r="276" ht="15.75" customHeight="1">
      <c r="A276" s="634"/>
      <c r="B276" s="634"/>
      <c r="C276" s="634"/>
      <c r="D276" s="634"/>
      <c r="E276" s="635"/>
      <c r="F276" s="634"/>
      <c r="G276" s="636"/>
      <c r="H276" s="635"/>
      <c r="I276" s="635"/>
      <c r="J276" s="635"/>
      <c r="K276" s="635"/>
      <c r="L276" s="635"/>
      <c r="M276" s="635"/>
      <c r="N276" s="635"/>
      <c r="O276" s="635"/>
      <c r="P276" s="635"/>
      <c r="Q276" s="634"/>
      <c r="R276" s="634"/>
      <c r="S276" s="635"/>
      <c r="T276" s="635"/>
      <c r="U276" s="634"/>
      <c r="V276" s="634"/>
      <c r="W276" s="634"/>
      <c r="X276" s="634"/>
      <c r="Y276" s="634"/>
      <c r="Z276" s="634"/>
    </row>
    <row r="277" ht="15.75" customHeight="1">
      <c r="A277" s="634"/>
      <c r="B277" s="634"/>
      <c r="C277" s="634"/>
      <c r="D277" s="634"/>
      <c r="E277" s="635"/>
      <c r="F277" s="634"/>
      <c r="G277" s="636"/>
      <c r="H277" s="635"/>
      <c r="I277" s="635"/>
      <c r="J277" s="635"/>
      <c r="K277" s="635"/>
      <c r="L277" s="635"/>
      <c r="M277" s="635"/>
      <c r="N277" s="635"/>
      <c r="O277" s="635"/>
      <c r="P277" s="635"/>
      <c r="Q277" s="634"/>
      <c r="R277" s="634"/>
      <c r="S277" s="635"/>
      <c r="T277" s="635"/>
      <c r="U277" s="634"/>
      <c r="V277" s="634"/>
      <c r="W277" s="634"/>
      <c r="X277" s="634"/>
      <c r="Y277" s="634"/>
      <c r="Z277" s="634"/>
    </row>
    <row r="278" ht="15.75" customHeight="1">
      <c r="A278" s="634"/>
      <c r="B278" s="634"/>
      <c r="C278" s="634"/>
      <c r="D278" s="634"/>
      <c r="E278" s="635"/>
      <c r="F278" s="634"/>
      <c r="G278" s="636"/>
      <c r="H278" s="635"/>
      <c r="I278" s="635"/>
      <c r="J278" s="635"/>
      <c r="K278" s="635"/>
      <c r="L278" s="635"/>
      <c r="M278" s="635"/>
      <c r="N278" s="635"/>
      <c r="O278" s="635"/>
      <c r="P278" s="635"/>
      <c r="Q278" s="634"/>
      <c r="R278" s="634"/>
      <c r="S278" s="635"/>
      <c r="T278" s="635"/>
      <c r="U278" s="634"/>
      <c r="V278" s="634"/>
      <c r="W278" s="634"/>
      <c r="X278" s="634"/>
      <c r="Y278" s="634"/>
      <c r="Z278" s="634"/>
    </row>
    <row r="279" ht="15.75" customHeight="1">
      <c r="A279" s="634"/>
      <c r="B279" s="634"/>
      <c r="C279" s="634"/>
      <c r="D279" s="634"/>
      <c r="E279" s="635"/>
      <c r="F279" s="634"/>
      <c r="G279" s="636"/>
      <c r="H279" s="635"/>
      <c r="I279" s="635"/>
      <c r="J279" s="635"/>
      <c r="K279" s="635"/>
      <c r="L279" s="635"/>
      <c r="M279" s="635"/>
      <c r="N279" s="635"/>
      <c r="O279" s="635"/>
      <c r="P279" s="635"/>
      <c r="Q279" s="634"/>
      <c r="R279" s="634"/>
      <c r="S279" s="635"/>
      <c r="T279" s="635"/>
      <c r="U279" s="634"/>
      <c r="V279" s="634"/>
      <c r="W279" s="634"/>
      <c r="X279" s="634"/>
      <c r="Y279" s="634"/>
      <c r="Z279" s="634"/>
    </row>
    <row r="280" ht="15.75" customHeight="1">
      <c r="A280" s="634"/>
      <c r="B280" s="634"/>
      <c r="C280" s="634"/>
      <c r="D280" s="634"/>
      <c r="E280" s="635"/>
      <c r="F280" s="634"/>
      <c r="G280" s="636"/>
      <c r="H280" s="635"/>
      <c r="I280" s="635"/>
      <c r="J280" s="635"/>
      <c r="K280" s="635"/>
      <c r="L280" s="635"/>
      <c r="M280" s="635"/>
      <c r="N280" s="635"/>
      <c r="O280" s="635"/>
      <c r="P280" s="635"/>
      <c r="Q280" s="634"/>
      <c r="R280" s="634"/>
      <c r="S280" s="635"/>
      <c r="T280" s="635"/>
      <c r="U280" s="634"/>
      <c r="V280" s="634"/>
      <c r="W280" s="634"/>
      <c r="X280" s="634"/>
      <c r="Y280" s="634"/>
      <c r="Z280" s="634"/>
    </row>
    <row r="281" ht="15.75" customHeight="1">
      <c r="A281" s="634"/>
      <c r="B281" s="634"/>
      <c r="C281" s="634"/>
      <c r="D281" s="634"/>
      <c r="E281" s="635"/>
      <c r="F281" s="634"/>
      <c r="G281" s="636"/>
      <c r="H281" s="635"/>
      <c r="I281" s="635"/>
      <c r="J281" s="635"/>
      <c r="K281" s="635"/>
      <c r="L281" s="635"/>
      <c r="M281" s="635"/>
      <c r="N281" s="635"/>
      <c r="O281" s="635"/>
      <c r="P281" s="635"/>
      <c r="Q281" s="634"/>
      <c r="R281" s="634"/>
      <c r="S281" s="635"/>
      <c r="T281" s="635"/>
      <c r="U281" s="634"/>
      <c r="V281" s="634"/>
      <c r="W281" s="634"/>
      <c r="X281" s="634"/>
      <c r="Y281" s="634"/>
      <c r="Z281" s="634"/>
    </row>
    <row r="282" ht="15.75" customHeight="1">
      <c r="A282" s="634"/>
      <c r="B282" s="634"/>
      <c r="C282" s="634"/>
      <c r="D282" s="634"/>
      <c r="E282" s="635"/>
      <c r="F282" s="634"/>
      <c r="G282" s="636"/>
      <c r="H282" s="635"/>
      <c r="I282" s="635"/>
      <c r="J282" s="635"/>
      <c r="K282" s="635"/>
      <c r="L282" s="635"/>
      <c r="M282" s="635"/>
      <c r="N282" s="635"/>
      <c r="O282" s="635"/>
      <c r="P282" s="635"/>
      <c r="Q282" s="634"/>
      <c r="R282" s="634"/>
      <c r="S282" s="635"/>
      <c r="T282" s="635"/>
      <c r="U282" s="634"/>
      <c r="V282" s="634"/>
      <c r="W282" s="634"/>
      <c r="X282" s="634"/>
      <c r="Y282" s="634"/>
      <c r="Z282" s="634"/>
    </row>
    <row r="283" ht="15.75" customHeight="1">
      <c r="A283" s="634"/>
      <c r="B283" s="634"/>
      <c r="C283" s="634"/>
      <c r="D283" s="634"/>
      <c r="E283" s="635"/>
      <c r="F283" s="634"/>
      <c r="G283" s="636"/>
      <c r="H283" s="635"/>
      <c r="I283" s="635"/>
      <c r="J283" s="635"/>
      <c r="K283" s="635"/>
      <c r="L283" s="635"/>
      <c r="M283" s="635"/>
      <c r="N283" s="635"/>
      <c r="O283" s="635"/>
      <c r="P283" s="635"/>
      <c r="Q283" s="634"/>
      <c r="R283" s="634"/>
      <c r="S283" s="635"/>
      <c r="T283" s="635"/>
      <c r="U283" s="634"/>
      <c r="V283" s="634"/>
      <c r="W283" s="634"/>
      <c r="X283" s="634"/>
      <c r="Y283" s="634"/>
      <c r="Z283" s="634"/>
    </row>
    <row r="284" ht="15.75" customHeight="1">
      <c r="A284" s="634"/>
      <c r="B284" s="634"/>
      <c r="C284" s="634"/>
      <c r="D284" s="634"/>
      <c r="E284" s="635"/>
      <c r="F284" s="634"/>
      <c r="G284" s="636"/>
      <c r="H284" s="635"/>
      <c r="I284" s="635"/>
      <c r="J284" s="635"/>
      <c r="K284" s="635"/>
      <c r="L284" s="635"/>
      <c r="M284" s="635"/>
      <c r="N284" s="635"/>
      <c r="O284" s="635"/>
      <c r="P284" s="635"/>
      <c r="Q284" s="634"/>
      <c r="R284" s="634"/>
      <c r="S284" s="635"/>
      <c r="T284" s="635"/>
      <c r="U284" s="634"/>
      <c r="V284" s="634"/>
      <c r="W284" s="634"/>
      <c r="X284" s="634"/>
      <c r="Y284" s="634"/>
      <c r="Z284" s="634"/>
    </row>
    <row r="285" ht="15.75" customHeight="1">
      <c r="A285" s="634"/>
      <c r="B285" s="634"/>
      <c r="C285" s="634"/>
      <c r="D285" s="634"/>
      <c r="E285" s="635"/>
      <c r="F285" s="634"/>
      <c r="G285" s="636"/>
      <c r="H285" s="635"/>
      <c r="I285" s="635"/>
      <c r="J285" s="635"/>
      <c r="K285" s="635"/>
      <c r="L285" s="635"/>
      <c r="M285" s="635"/>
      <c r="N285" s="635"/>
      <c r="O285" s="635"/>
      <c r="P285" s="635"/>
      <c r="Q285" s="634"/>
      <c r="R285" s="634"/>
      <c r="S285" s="635"/>
      <c r="T285" s="635"/>
      <c r="U285" s="634"/>
      <c r="V285" s="634"/>
      <c r="W285" s="634"/>
      <c r="X285" s="634"/>
      <c r="Y285" s="634"/>
      <c r="Z285" s="634"/>
    </row>
    <row r="286" ht="15.75" customHeight="1">
      <c r="A286" s="634"/>
      <c r="B286" s="634"/>
      <c r="C286" s="634"/>
      <c r="D286" s="634"/>
      <c r="E286" s="635"/>
      <c r="F286" s="634"/>
      <c r="G286" s="636"/>
      <c r="H286" s="635"/>
      <c r="I286" s="635"/>
      <c r="J286" s="635"/>
      <c r="K286" s="635"/>
      <c r="L286" s="635"/>
      <c r="M286" s="635"/>
      <c r="N286" s="635"/>
      <c r="O286" s="635"/>
      <c r="P286" s="635"/>
      <c r="Q286" s="634"/>
      <c r="R286" s="634"/>
      <c r="S286" s="635"/>
      <c r="T286" s="635"/>
      <c r="U286" s="634"/>
      <c r="V286" s="634"/>
      <c r="W286" s="634"/>
      <c r="X286" s="634"/>
      <c r="Y286" s="634"/>
      <c r="Z286" s="634"/>
    </row>
    <row r="287" ht="15.75" customHeight="1">
      <c r="A287" s="634"/>
      <c r="B287" s="634"/>
      <c r="C287" s="634"/>
      <c r="D287" s="634"/>
      <c r="E287" s="635"/>
      <c r="F287" s="634"/>
      <c r="G287" s="636"/>
      <c r="H287" s="635"/>
      <c r="I287" s="635"/>
      <c r="J287" s="635"/>
      <c r="K287" s="635"/>
      <c r="L287" s="635"/>
      <c r="M287" s="635"/>
      <c r="N287" s="635"/>
      <c r="O287" s="635"/>
      <c r="P287" s="635"/>
      <c r="Q287" s="634"/>
      <c r="R287" s="634"/>
      <c r="S287" s="635"/>
      <c r="T287" s="635"/>
      <c r="U287" s="634"/>
      <c r="V287" s="634"/>
      <c r="W287" s="634"/>
      <c r="X287" s="634"/>
      <c r="Y287" s="634"/>
      <c r="Z287" s="634"/>
    </row>
    <row r="288" ht="15.75" customHeight="1">
      <c r="A288" s="634"/>
      <c r="B288" s="634"/>
      <c r="C288" s="634"/>
      <c r="D288" s="634"/>
      <c r="E288" s="635"/>
      <c r="F288" s="634"/>
      <c r="G288" s="636"/>
      <c r="H288" s="635"/>
      <c r="I288" s="635"/>
      <c r="J288" s="635"/>
      <c r="K288" s="635"/>
      <c r="L288" s="635"/>
      <c r="M288" s="635"/>
      <c r="N288" s="635"/>
      <c r="O288" s="635"/>
      <c r="P288" s="635"/>
      <c r="Q288" s="634"/>
      <c r="R288" s="634"/>
      <c r="S288" s="635"/>
      <c r="T288" s="635"/>
      <c r="U288" s="634"/>
      <c r="V288" s="634"/>
      <c r="W288" s="634"/>
      <c r="X288" s="634"/>
      <c r="Y288" s="634"/>
      <c r="Z288" s="634"/>
    </row>
    <row r="289" ht="15.75" customHeight="1">
      <c r="A289" s="634"/>
      <c r="B289" s="634"/>
      <c r="C289" s="634"/>
      <c r="D289" s="634"/>
      <c r="E289" s="635"/>
      <c r="F289" s="634"/>
      <c r="G289" s="636"/>
      <c r="H289" s="635"/>
      <c r="I289" s="635"/>
      <c r="J289" s="635"/>
      <c r="K289" s="635"/>
      <c r="L289" s="635"/>
      <c r="M289" s="635"/>
      <c r="N289" s="635"/>
      <c r="O289" s="635"/>
      <c r="P289" s="635"/>
      <c r="Q289" s="634"/>
      <c r="R289" s="634"/>
      <c r="S289" s="635"/>
      <c r="T289" s="635"/>
      <c r="U289" s="634"/>
      <c r="V289" s="634"/>
      <c r="W289" s="634"/>
      <c r="X289" s="634"/>
      <c r="Y289" s="634"/>
      <c r="Z289" s="634"/>
    </row>
    <row r="290" ht="15.75" customHeight="1">
      <c r="A290" s="634"/>
      <c r="B290" s="634"/>
      <c r="C290" s="634"/>
      <c r="D290" s="634"/>
      <c r="E290" s="635"/>
      <c r="F290" s="634"/>
      <c r="G290" s="636"/>
      <c r="H290" s="635"/>
      <c r="I290" s="635"/>
      <c r="J290" s="635"/>
      <c r="K290" s="635"/>
      <c r="L290" s="635"/>
      <c r="M290" s="635"/>
      <c r="N290" s="635"/>
      <c r="O290" s="635"/>
      <c r="P290" s="635"/>
      <c r="Q290" s="634"/>
      <c r="R290" s="634"/>
      <c r="S290" s="635"/>
      <c r="T290" s="635"/>
      <c r="U290" s="634"/>
      <c r="V290" s="634"/>
      <c r="W290" s="634"/>
      <c r="X290" s="634"/>
      <c r="Y290" s="634"/>
      <c r="Z290" s="634"/>
    </row>
    <row r="291" ht="15.75" customHeight="1">
      <c r="A291" s="634"/>
      <c r="B291" s="634"/>
      <c r="C291" s="634"/>
      <c r="D291" s="634"/>
      <c r="E291" s="635"/>
      <c r="F291" s="634"/>
      <c r="G291" s="636"/>
      <c r="H291" s="635"/>
      <c r="I291" s="635"/>
      <c r="J291" s="635"/>
      <c r="K291" s="635"/>
      <c r="L291" s="635"/>
      <c r="M291" s="635"/>
      <c r="N291" s="635"/>
      <c r="O291" s="635"/>
      <c r="P291" s="635"/>
      <c r="Q291" s="634"/>
      <c r="R291" s="634"/>
      <c r="S291" s="635"/>
      <c r="T291" s="635"/>
      <c r="U291" s="634"/>
      <c r="V291" s="634"/>
      <c r="W291" s="634"/>
      <c r="X291" s="634"/>
      <c r="Y291" s="634"/>
      <c r="Z291" s="634"/>
    </row>
    <row r="292" ht="15.75" customHeight="1">
      <c r="A292" s="634"/>
      <c r="B292" s="634"/>
      <c r="C292" s="634"/>
      <c r="D292" s="634"/>
      <c r="E292" s="635"/>
      <c r="F292" s="634"/>
      <c r="G292" s="636"/>
      <c r="H292" s="635"/>
      <c r="I292" s="635"/>
      <c r="J292" s="635"/>
      <c r="K292" s="635"/>
      <c r="L292" s="635"/>
      <c r="M292" s="635"/>
      <c r="N292" s="635"/>
      <c r="O292" s="635"/>
      <c r="P292" s="635"/>
      <c r="Q292" s="634"/>
      <c r="R292" s="634"/>
      <c r="S292" s="635"/>
      <c r="T292" s="635"/>
      <c r="U292" s="634"/>
      <c r="V292" s="634"/>
      <c r="W292" s="634"/>
      <c r="X292" s="634"/>
      <c r="Y292" s="634"/>
      <c r="Z292" s="634"/>
    </row>
    <row r="293" ht="15.75" customHeight="1">
      <c r="A293" s="634"/>
      <c r="B293" s="634"/>
      <c r="C293" s="634"/>
      <c r="D293" s="634"/>
      <c r="E293" s="635"/>
      <c r="F293" s="634"/>
      <c r="G293" s="636"/>
      <c r="H293" s="635"/>
      <c r="I293" s="635"/>
      <c r="J293" s="635"/>
      <c r="K293" s="635"/>
      <c r="L293" s="635"/>
      <c r="M293" s="635"/>
      <c r="N293" s="635"/>
      <c r="O293" s="635"/>
      <c r="P293" s="635"/>
      <c r="Q293" s="634"/>
      <c r="R293" s="634"/>
      <c r="S293" s="635"/>
      <c r="T293" s="635"/>
      <c r="U293" s="634"/>
      <c r="V293" s="634"/>
      <c r="W293" s="634"/>
      <c r="X293" s="634"/>
      <c r="Y293" s="634"/>
      <c r="Z293" s="634"/>
    </row>
    <row r="294" ht="15.75" customHeight="1">
      <c r="A294" s="634"/>
      <c r="B294" s="634"/>
      <c r="C294" s="634"/>
      <c r="D294" s="634"/>
      <c r="E294" s="635"/>
      <c r="F294" s="634"/>
      <c r="G294" s="636"/>
      <c r="H294" s="635"/>
      <c r="I294" s="635"/>
      <c r="J294" s="635"/>
      <c r="K294" s="635"/>
      <c r="L294" s="635"/>
      <c r="M294" s="635"/>
      <c r="N294" s="635"/>
      <c r="O294" s="635"/>
      <c r="P294" s="635"/>
      <c r="Q294" s="634"/>
      <c r="R294" s="634"/>
      <c r="S294" s="635"/>
      <c r="T294" s="635"/>
      <c r="U294" s="634"/>
      <c r="V294" s="634"/>
      <c r="W294" s="634"/>
      <c r="X294" s="634"/>
      <c r="Y294" s="634"/>
      <c r="Z294" s="634"/>
    </row>
    <row r="295" ht="15.75" customHeight="1">
      <c r="A295" s="634"/>
      <c r="B295" s="634"/>
      <c r="C295" s="634"/>
      <c r="D295" s="634"/>
      <c r="E295" s="635"/>
      <c r="F295" s="634"/>
      <c r="G295" s="636"/>
      <c r="H295" s="635"/>
      <c r="I295" s="635"/>
      <c r="J295" s="635"/>
      <c r="K295" s="635"/>
      <c r="L295" s="635"/>
      <c r="M295" s="635"/>
      <c r="N295" s="635"/>
      <c r="O295" s="635"/>
      <c r="P295" s="635"/>
      <c r="Q295" s="634"/>
      <c r="R295" s="634"/>
      <c r="S295" s="635"/>
      <c r="T295" s="635"/>
      <c r="U295" s="634"/>
      <c r="V295" s="634"/>
      <c r="W295" s="634"/>
      <c r="X295" s="634"/>
      <c r="Y295" s="634"/>
      <c r="Z295" s="634"/>
    </row>
    <row r="296" ht="15.75" customHeight="1">
      <c r="A296" s="634"/>
      <c r="B296" s="634"/>
      <c r="C296" s="634"/>
      <c r="D296" s="634"/>
      <c r="E296" s="635"/>
      <c r="F296" s="634"/>
      <c r="G296" s="636"/>
      <c r="H296" s="635"/>
      <c r="I296" s="635"/>
      <c r="J296" s="635"/>
      <c r="K296" s="635"/>
      <c r="L296" s="635"/>
      <c r="M296" s="635"/>
      <c r="N296" s="635"/>
      <c r="O296" s="635"/>
      <c r="P296" s="635"/>
      <c r="Q296" s="634"/>
      <c r="R296" s="634"/>
      <c r="S296" s="635"/>
      <c r="T296" s="635"/>
      <c r="U296" s="634"/>
      <c r="V296" s="634"/>
      <c r="W296" s="634"/>
      <c r="X296" s="634"/>
      <c r="Y296" s="634"/>
      <c r="Z296" s="634"/>
    </row>
    <row r="297" ht="15.75" customHeight="1">
      <c r="A297" s="634"/>
      <c r="B297" s="634"/>
      <c r="C297" s="634"/>
      <c r="D297" s="634"/>
      <c r="E297" s="635"/>
      <c r="F297" s="634"/>
      <c r="G297" s="636"/>
      <c r="H297" s="635"/>
      <c r="I297" s="635"/>
      <c r="J297" s="635"/>
      <c r="K297" s="635"/>
      <c r="L297" s="635"/>
      <c r="M297" s="635"/>
      <c r="N297" s="635"/>
      <c r="O297" s="635"/>
      <c r="P297" s="635"/>
      <c r="Q297" s="634"/>
      <c r="R297" s="634"/>
      <c r="S297" s="635"/>
      <c r="T297" s="635"/>
      <c r="U297" s="634"/>
      <c r="V297" s="634"/>
      <c r="W297" s="634"/>
      <c r="X297" s="634"/>
      <c r="Y297" s="634"/>
      <c r="Z297" s="634"/>
    </row>
    <row r="298" ht="15.75" customHeight="1">
      <c r="A298" s="634"/>
      <c r="B298" s="634"/>
      <c r="C298" s="634"/>
      <c r="D298" s="634"/>
      <c r="E298" s="635"/>
      <c r="F298" s="634"/>
      <c r="G298" s="636"/>
      <c r="H298" s="635"/>
      <c r="I298" s="635"/>
      <c r="J298" s="635"/>
      <c r="K298" s="635"/>
      <c r="L298" s="635"/>
      <c r="M298" s="635"/>
      <c r="N298" s="635"/>
      <c r="O298" s="635"/>
      <c r="P298" s="635"/>
      <c r="Q298" s="634"/>
      <c r="R298" s="634"/>
      <c r="S298" s="635"/>
      <c r="T298" s="635"/>
      <c r="U298" s="634"/>
      <c r="V298" s="634"/>
      <c r="W298" s="634"/>
      <c r="X298" s="634"/>
      <c r="Y298" s="634"/>
      <c r="Z298" s="634"/>
    </row>
    <row r="299" ht="15.75" customHeight="1">
      <c r="A299" s="634"/>
      <c r="B299" s="634"/>
      <c r="C299" s="634"/>
      <c r="D299" s="634"/>
      <c r="E299" s="635"/>
      <c r="F299" s="634"/>
      <c r="G299" s="636"/>
      <c r="H299" s="635"/>
      <c r="I299" s="635"/>
      <c r="J299" s="635"/>
      <c r="K299" s="635"/>
      <c r="L299" s="635"/>
      <c r="M299" s="635"/>
      <c r="N299" s="635"/>
      <c r="O299" s="635"/>
      <c r="P299" s="635"/>
      <c r="Q299" s="634"/>
      <c r="R299" s="634"/>
      <c r="S299" s="635"/>
      <c r="T299" s="635"/>
      <c r="U299" s="634"/>
      <c r="V299" s="634"/>
      <c r="W299" s="634"/>
      <c r="X299" s="634"/>
      <c r="Y299" s="634"/>
      <c r="Z299" s="634"/>
    </row>
    <row r="300" ht="15.75" customHeight="1">
      <c r="A300" s="634"/>
      <c r="B300" s="634"/>
      <c r="C300" s="634"/>
      <c r="D300" s="634"/>
      <c r="E300" s="635"/>
      <c r="F300" s="634"/>
      <c r="G300" s="636"/>
      <c r="H300" s="635"/>
      <c r="I300" s="635"/>
      <c r="J300" s="635"/>
      <c r="K300" s="635"/>
      <c r="L300" s="635"/>
      <c r="M300" s="635"/>
      <c r="N300" s="635"/>
      <c r="O300" s="635"/>
      <c r="P300" s="635"/>
      <c r="Q300" s="634"/>
      <c r="R300" s="634"/>
      <c r="S300" s="635"/>
      <c r="T300" s="635"/>
      <c r="U300" s="634"/>
      <c r="V300" s="634"/>
      <c r="W300" s="634"/>
      <c r="X300" s="634"/>
      <c r="Y300" s="634"/>
      <c r="Z300" s="634"/>
    </row>
    <row r="301" ht="15.75" customHeight="1">
      <c r="A301" s="634"/>
      <c r="B301" s="634"/>
      <c r="C301" s="634"/>
      <c r="D301" s="634"/>
      <c r="E301" s="635"/>
      <c r="F301" s="634"/>
      <c r="G301" s="636"/>
      <c r="H301" s="635"/>
      <c r="I301" s="635"/>
      <c r="J301" s="635"/>
      <c r="K301" s="635"/>
      <c r="L301" s="635"/>
      <c r="M301" s="635"/>
      <c r="N301" s="635"/>
      <c r="O301" s="635"/>
      <c r="P301" s="635"/>
      <c r="Q301" s="634"/>
      <c r="R301" s="634"/>
      <c r="S301" s="635"/>
      <c r="T301" s="635"/>
      <c r="U301" s="634"/>
      <c r="V301" s="634"/>
      <c r="W301" s="634"/>
      <c r="X301" s="634"/>
      <c r="Y301" s="634"/>
      <c r="Z301" s="634"/>
    </row>
    <row r="302" ht="15.75" customHeight="1">
      <c r="A302" s="634"/>
      <c r="B302" s="634"/>
      <c r="C302" s="634"/>
      <c r="D302" s="634"/>
      <c r="E302" s="635"/>
      <c r="F302" s="634"/>
      <c r="G302" s="636"/>
      <c r="H302" s="635"/>
      <c r="I302" s="635"/>
      <c r="J302" s="635"/>
      <c r="K302" s="635"/>
      <c r="L302" s="635"/>
      <c r="M302" s="635"/>
      <c r="N302" s="635"/>
      <c r="O302" s="635"/>
      <c r="P302" s="635"/>
      <c r="Q302" s="634"/>
      <c r="R302" s="634"/>
      <c r="S302" s="635"/>
      <c r="T302" s="635"/>
      <c r="U302" s="634"/>
      <c r="V302" s="634"/>
      <c r="W302" s="634"/>
      <c r="X302" s="634"/>
      <c r="Y302" s="634"/>
      <c r="Z302" s="634"/>
    </row>
    <row r="303" ht="15.75" customHeight="1">
      <c r="A303" s="634"/>
      <c r="B303" s="634"/>
      <c r="C303" s="634"/>
      <c r="D303" s="634"/>
      <c r="E303" s="635"/>
      <c r="F303" s="634"/>
      <c r="G303" s="636"/>
      <c r="H303" s="635"/>
      <c r="I303" s="635"/>
      <c r="J303" s="635"/>
      <c r="K303" s="635"/>
      <c r="L303" s="635"/>
      <c r="M303" s="635"/>
      <c r="N303" s="635"/>
      <c r="O303" s="635"/>
      <c r="P303" s="635"/>
      <c r="Q303" s="634"/>
      <c r="R303" s="634"/>
      <c r="S303" s="635"/>
      <c r="T303" s="635"/>
      <c r="U303" s="634"/>
      <c r="V303" s="634"/>
      <c r="W303" s="634"/>
      <c r="X303" s="634"/>
      <c r="Y303" s="634"/>
      <c r="Z303" s="634"/>
    </row>
    <row r="304" ht="15.75" customHeight="1">
      <c r="A304" s="634"/>
      <c r="B304" s="634"/>
      <c r="C304" s="634"/>
      <c r="D304" s="634"/>
      <c r="E304" s="635"/>
      <c r="F304" s="634"/>
      <c r="G304" s="636"/>
      <c r="H304" s="635"/>
      <c r="I304" s="635"/>
      <c r="J304" s="635"/>
      <c r="K304" s="635"/>
      <c r="L304" s="635"/>
      <c r="M304" s="635"/>
      <c r="N304" s="635"/>
      <c r="O304" s="635"/>
      <c r="P304" s="635"/>
      <c r="Q304" s="634"/>
      <c r="R304" s="634"/>
      <c r="S304" s="635"/>
      <c r="T304" s="635"/>
      <c r="U304" s="634"/>
      <c r="V304" s="634"/>
      <c r="W304" s="634"/>
      <c r="X304" s="634"/>
      <c r="Y304" s="634"/>
      <c r="Z304" s="634"/>
    </row>
    <row r="305" ht="15.75" customHeight="1">
      <c r="A305" s="634"/>
      <c r="B305" s="634"/>
      <c r="C305" s="634"/>
      <c r="D305" s="634"/>
      <c r="E305" s="635"/>
      <c r="F305" s="634"/>
      <c r="G305" s="636"/>
      <c r="H305" s="635"/>
      <c r="I305" s="635"/>
      <c r="J305" s="635"/>
      <c r="K305" s="635"/>
      <c r="L305" s="635"/>
      <c r="M305" s="635"/>
      <c r="N305" s="635"/>
      <c r="O305" s="635"/>
      <c r="P305" s="635"/>
      <c r="Q305" s="634"/>
      <c r="R305" s="634"/>
      <c r="S305" s="635"/>
      <c r="T305" s="635"/>
      <c r="U305" s="634"/>
      <c r="V305" s="634"/>
      <c r="W305" s="634"/>
      <c r="X305" s="634"/>
      <c r="Y305" s="634"/>
      <c r="Z305" s="634"/>
    </row>
    <row r="306" ht="15.75" customHeight="1">
      <c r="A306" s="634"/>
      <c r="B306" s="634"/>
      <c r="C306" s="634"/>
      <c r="D306" s="634"/>
      <c r="E306" s="635"/>
      <c r="F306" s="634"/>
      <c r="G306" s="636"/>
      <c r="H306" s="635"/>
      <c r="I306" s="635"/>
      <c r="J306" s="635"/>
      <c r="K306" s="635"/>
      <c r="L306" s="635"/>
      <c r="M306" s="635"/>
      <c r="N306" s="635"/>
      <c r="O306" s="635"/>
      <c r="P306" s="635"/>
      <c r="Q306" s="634"/>
      <c r="R306" s="634"/>
      <c r="S306" s="635"/>
      <c r="T306" s="635"/>
      <c r="U306" s="634"/>
      <c r="V306" s="634"/>
      <c r="W306" s="634"/>
      <c r="X306" s="634"/>
      <c r="Y306" s="634"/>
      <c r="Z306" s="634"/>
    </row>
    <row r="307" ht="15.75" customHeight="1">
      <c r="A307" s="634"/>
      <c r="B307" s="634"/>
      <c r="C307" s="634"/>
      <c r="D307" s="634"/>
      <c r="E307" s="635"/>
      <c r="F307" s="634"/>
      <c r="G307" s="636"/>
      <c r="H307" s="635"/>
      <c r="I307" s="635"/>
      <c r="J307" s="635"/>
      <c r="K307" s="635"/>
      <c r="L307" s="635"/>
      <c r="M307" s="635"/>
      <c r="N307" s="635"/>
      <c r="O307" s="635"/>
      <c r="P307" s="635"/>
      <c r="Q307" s="634"/>
      <c r="R307" s="634"/>
      <c r="S307" s="635"/>
      <c r="T307" s="635"/>
      <c r="U307" s="634"/>
      <c r="V307" s="634"/>
      <c r="W307" s="634"/>
      <c r="X307" s="634"/>
      <c r="Y307" s="634"/>
      <c r="Z307" s="634"/>
    </row>
    <row r="308" ht="15.75" customHeight="1">
      <c r="A308" s="634"/>
      <c r="B308" s="634"/>
      <c r="C308" s="634"/>
      <c r="D308" s="634"/>
      <c r="E308" s="635"/>
      <c r="F308" s="634"/>
      <c r="G308" s="636"/>
      <c r="H308" s="635"/>
      <c r="I308" s="635"/>
      <c r="J308" s="635"/>
      <c r="K308" s="635"/>
      <c r="L308" s="635"/>
      <c r="M308" s="635"/>
      <c r="N308" s="635"/>
      <c r="O308" s="635"/>
      <c r="P308" s="635"/>
      <c r="Q308" s="634"/>
      <c r="R308" s="634"/>
      <c r="S308" s="635"/>
      <c r="T308" s="635"/>
      <c r="U308" s="634"/>
      <c r="V308" s="634"/>
      <c r="W308" s="634"/>
      <c r="X308" s="634"/>
      <c r="Y308" s="634"/>
      <c r="Z308" s="634"/>
    </row>
    <row r="309" ht="15.75" customHeight="1">
      <c r="A309" s="634"/>
      <c r="B309" s="634"/>
      <c r="C309" s="634"/>
      <c r="D309" s="634"/>
      <c r="E309" s="635"/>
      <c r="F309" s="634"/>
      <c r="G309" s="636"/>
      <c r="H309" s="635"/>
      <c r="I309" s="635"/>
      <c r="J309" s="635"/>
      <c r="K309" s="635"/>
      <c r="L309" s="635"/>
      <c r="M309" s="635"/>
      <c r="N309" s="635"/>
      <c r="O309" s="635"/>
      <c r="P309" s="635"/>
      <c r="Q309" s="634"/>
      <c r="R309" s="634"/>
      <c r="S309" s="635"/>
      <c r="T309" s="635"/>
      <c r="U309" s="634"/>
      <c r="V309" s="634"/>
      <c r="W309" s="634"/>
      <c r="X309" s="634"/>
      <c r="Y309" s="634"/>
      <c r="Z309" s="634"/>
    </row>
    <row r="310" ht="15.75" customHeight="1">
      <c r="A310" s="634"/>
      <c r="B310" s="634"/>
      <c r="C310" s="634"/>
      <c r="D310" s="634"/>
      <c r="E310" s="635"/>
      <c r="F310" s="634"/>
      <c r="G310" s="636"/>
      <c r="H310" s="635"/>
      <c r="I310" s="635"/>
      <c r="J310" s="635"/>
      <c r="K310" s="635"/>
      <c r="L310" s="635"/>
      <c r="M310" s="635"/>
      <c r="N310" s="635"/>
      <c r="O310" s="635"/>
      <c r="P310" s="635"/>
      <c r="Q310" s="634"/>
      <c r="R310" s="634"/>
      <c r="S310" s="635"/>
      <c r="T310" s="635"/>
      <c r="U310" s="634"/>
      <c r="V310" s="634"/>
      <c r="W310" s="634"/>
      <c r="X310" s="634"/>
      <c r="Y310" s="634"/>
      <c r="Z310" s="634"/>
    </row>
    <row r="311" ht="15.75" customHeight="1">
      <c r="A311" s="634"/>
      <c r="B311" s="634"/>
      <c r="C311" s="634"/>
      <c r="D311" s="634"/>
      <c r="E311" s="635"/>
      <c r="F311" s="634"/>
      <c r="G311" s="636"/>
      <c r="H311" s="635"/>
      <c r="I311" s="635"/>
      <c r="J311" s="635"/>
      <c r="K311" s="635"/>
      <c r="L311" s="635"/>
      <c r="M311" s="635"/>
      <c r="N311" s="635"/>
      <c r="O311" s="635"/>
      <c r="P311" s="635"/>
      <c r="Q311" s="634"/>
      <c r="R311" s="634"/>
      <c r="S311" s="635"/>
      <c r="T311" s="635"/>
      <c r="U311" s="634"/>
      <c r="V311" s="634"/>
      <c r="W311" s="634"/>
      <c r="X311" s="634"/>
      <c r="Y311" s="634"/>
      <c r="Z311" s="634"/>
    </row>
    <row r="312" ht="15.75" customHeight="1">
      <c r="A312" s="634"/>
      <c r="B312" s="634"/>
      <c r="C312" s="634"/>
      <c r="D312" s="634"/>
      <c r="E312" s="635"/>
      <c r="F312" s="634"/>
      <c r="G312" s="636"/>
      <c r="H312" s="635"/>
      <c r="I312" s="635"/>
      <c r="J312" s="635"/>
      <c r="K312" s="635"/>
      <c r="L312" s="635"/>
      <c r="M312" s="635"/>
      <c r="N312" s="635"/>
      <c r="O312" s="635"/>
      <c r="P312" s="635"/>
      <c r="Q312" s="634"/>
      <c r="R312" s="634"/>
      <c r="S312" s="635"/>
      <c r="T312" s="635"/>
      <c r="U312" s="634"/>
      <c r="V312" s="634"/>
      <c r="W312" s="634"/>
      <c r="X312" s="634"/>
      <c r="Y312" s="634"/>
      <c r="Z312" s="634"/>
    </row>
    <row r="313" ht="15.75" customHeight="1">
      <c r="A313" s="634"/>
      <c r="B313" s="634"/>
      <c r="C313" s="634"/>
      <c r="D313" s="634"/>
      <c r="E313" s="635"/>
      <c r="F313" s="634"/>
      <c r="G313" s="636"/>
      <c r="H313" s="635"/>
      <c r="I313" s="635"/>
      <c r="J313" s="635"/>
      <c r="K313" s="635"/>
      <c r="L313" s="635"/>
      <c r="M313" s="635"/>
      <c r="N313" s="635"/>
      <c r="O313" s="635"/>
      <c r="P313" s="635"/>
      <c r="Q313" s="634"/>
      <c r="R313" s="634"/>
      <c r="S313" s="635"/>
      <c r="T313" s="635"/>
      <c r="U313" s="634"/>
      <c r="V313" s="634"/>
      <c r="W313" s="634"/>
      <c r="X313" s="634"/>
      <c r="Y313" s="634"/>
      <c r="Z313" s="634"/>
    </row>
    <row r="314" ht="15.75" customHeight="1">
      <c r="A314" s="634"/>
      <c r="B314" s="634"/>
      <c r="C314" s="634"/>
      <c r="D314" s="634"/>
      <c r="E314" s="635"/>
      <c r="F314" s="634"/>
      <c r="G314" s="636"/>
      <c r="H314" s="635"/>
      <c r="I314" s="635"/>
      <c r="J314" s="635"/>
      <c r="K314" s="635"/>
      <c r="L314" s="635"/>
      <c r="M314" s="635"/>
      <c r="N314" s="635"/>
      <c r="O314" s="635"/>
      <c r="P314" s="635"/>
      <c r="Q314" s="634"/>
      <c r="R314" s="634"/>
      <c r="S314" s="635"/>
      <c r="T314" s="635"/>
      <c r="U314" s="634"/>
      <c r="V314" s="634"/>
      <c r="W314" s="634"/>
      <c r="X314" s="634"/>
      <c r="Y314" s="634"/>
      <c r="Z314" s="634"/>
    </row>
    <row r="315" ht="15.75" customHeight="1">
      <c r="A315" s="634"/>
      <c r="B315" s="634"/>
      <c r="C315" s="634"/>
      <c r="D315" s="634"/>
      <c r="E315" s="635"/>
      <c r="F315" s="634"/>
      <c r="G315" s="636"/>
      <c r="H315" s="635"/>
      <c r="I315" s="635"/>
      <c r="J315" s="635"/>
      <c r="K315" s="635"/>
      <c r="L315" s="635"/>
      <c r="M315" s="635"/>
      <c r="N315" s="635"/>
      <c r="O315" s="635"/>
      <c r="P315" s="635"/>
      <c r="Q315" s="634"/>
      <c r="R315" s="634"/>
      <c r="S315" s="635"/>
      <c r="T315" s="635"/>
      <c r="U315" s="634"/>
      <c r="V315" s="634"/>
      <c r="W315" s="634"/>
      <c r="X315" s="634"/>
      <c r="Y315" s="634"/>
      <c r="Z315" s="634"/>
    </row>
    <row r="316" ht="15.75" customHeight="1">
      <c r="A316" s="634"/>
      <c r="B316" s="634"/>
      <c r="C316" s="634"/>
      <c r="D316" s="634"/>
      <c r="E316" s="635"/>
      <c r="F316" s="634"/>
      <c r="G316" s="636"/>
      <c r="H316" s="635"/>
      <c r="I316" s="635"/>
      <c r="J316" s="635"/>
      <c r="K316" s="635"/>
      <c r="L316" s="635"/>
      <c r="M316" s="635"/>
      <c r="N316" s="635"/>
      <c r="O316" s="635"/>
      <c r="P316" s="635"/>
      <c r="Q316" s="634"/>
      <c r="R316" s="634"/>
      <c r="S316" s="635"/>
      <c r="T316" s="635"/>
      <c r="U316" s="634"/>
      <c r="V316" s="634"/>
      <c r="W316" s="634"/>
      <c r="X316" s="634"/>
      <c r="Y316" s="634"/>
      <c r="Z316" s="634"/>
    </row>
    <row r="317" ht="15.75" customHeight="1">
      <c r="A317" s="634"/>
      <c r="B317" s="634"/>
      <c r="C317" s="634"/>
      <c r="D317" s="634"/>
      <c r="E317" s="635"/>
      <c r="F317" s="634"/>
      <c r="G317" s="636"/>
      <c r="H317" s="635"/>
      <c r="I317" s="635"/>
      <c r="J317" s="635"/>
      <c r="K317" s="635"/>
      <c r="L317" s="635"/>
      <c r="M317" s="635"/>
      <c r="N317" s="635"/>
      <c r="O317" s="635"/>
      <c r="P317" s="635"/>
      <c r="Q317" s="634"/>
      <c r="R317" s="634"/>
      <c r="S317" s="635"/>
      <c r="T317" s="635"/>
      <c r="U317" s="634"/>
      <c r="V317" s="634"/>
      <c r="W317" s="634"/>
      <c r="X317" s="634"/>
      <c r="Y317" s="634"/>
      <c r="Z317" s="634"/>
    </row>
    <row r="318" ht="15.75" customHeight="1">
      <c r="A318" s="634"/>
      <c r="B318" s="634"/>
      <c r="C318" s="634"/>
      <c r="D318" s="634"/>
      <c r="E318" s="635"/>
      <c r="F318" s="634"/>
      <c r="G318" s="636"/>
      <c r="H318" s="635"/>
      <c r="I318" s="635"/>
      <c r="J318" s="635"/>
      <c r="K318" s="635"/>
      <c r="L318" s="635"/>
      <c r="M318" s="635"/>
      <c r="N318" s="635"/>
      <c r="O318" s="635"/>
      <c r="P318" s="635"/>
      <c r="Q318" s="634"/>
      <c r="R318" s="634"/>
      <c r="S318" s="635"/>
      <c r="T318" s="635"/>
      <c r="U318" s="634"/>
      <c r="V318" s="634"/>
      <c r="W318" s="634"/>
      <c r="X318" s="634"/>
      <c r="Y318" s="634"/>
      <c r="Z318" s="634"/>
    </row>
    <row r="319" ht="15.75" customHeight="1">
      <c r="A319" s="634"/>
      <c r="B319" s="634"/>
      <c r="C319" s="634"/>
      <c r="D319" s="634"/>
      <c r="E319" s="635"/>
      <c r="F319" s="634"/>
      <c r="G319" s="636"/>
      <c r="H319" s="635"/>
      <c r="I319" s="635"/>
      <c r="J319" s="635"/>
      <c r="K319" s="635"/>
      <c r="L319" s="635"/>
      <c r="M319" s="635"/>
      <c r="N319" s="635"/>
      <c r="O319" s="635"/>
      <c r="P319" s="635"/>
      <c r="Q319" s="634"/>
      <c r="R319" s="634"/>
      <c r="S319" s="635"/>
      <c r="T319" s="635"/>
      <c r="U319" s="634"/>
      <c r="V319" s="634"/>
      <c r="W319" s="634"/>
      <c r="X319" s="634"/>
      <c r="Y319" s="634"/>
      <c r="Z319" s="634"/>
    </row>
    <row r="320" ht="15.75" customHeight="1">
      <c r="A320" s="634"/>
      <c r="B320" s="634"/>
      <c r="C320" s="634"/>
      <c r="D320" s="634"/>
      <c r="E320" s="635"/>
      <c r="F320" s="634"/>
      <c r="G320" s="636"/>
      <c r="H320" s="635"/>
      <c r="I320" s="635"/>
      <c r="J320" s="635"/>
      <c r="K320" s="635"/>
      <c r="L320" s="635"/>
      <c r="M320" s="635"/>
      <c r="N320" s="635"/>
      <c r="O320" s="635"/>
      <c r="P320" s="635"/>
      <c r="Q320" s="634"/>
      <c r="R320" s="634"/>
      <c r="S320" s="635"/>
      <c r="T320" s="635"/>
      <c r="U320" s="634"/>
      <c r="V320" s="634"/>
      <c r="W320" s="634"/>
      <c r="X320" s="634"/>
      <c r="Y320" s="634"/>
      <c r="Z320" s="634"/>
    </row>
    <row r="321" ht="15.75" customHeight="1">
      <c r="A321" s="634"/>
      <c r="B321" s="634"/>
      <c r="C321" s="634"/>
      <c r="D321" s="634"/>
      <c r="E321" s="635"/>
      <c r="F321" s="634"/>
      <c r="G321" s="636"/>
      <c r="H321" s="635"/>
      <c r="I321" s="635"/>
      <c r="J321" s="635"/>
      <c r="K321" s="635"/>
      <c r="L321" s="635"/>
      <c r="M321" s="635"/>
      <c r="N321" s="635"/>
      <c r="O321" s="635"/>
      <c r="P321" s="635"/>
      <c r="Q321" s="634"/>
      <c r="R321" s="634"/>
      <c r="S321" s="635"/>
      <c r="T321" s="635"/>
      <c r="U321" s="634"/>
      <c r="V321" s="634"/>
      <c r="W321" s="634"/>
      <c r="X321" s="634"/>
      <c r="Y321" s="634"/>
      <c r="Z321" s="634"/>
    </row>
    <row r="322" ht="15.75" customHeight="1">
      <c r="A322" s="634"/>
      <c r="B322" s="634"/>
      <c r="C322" s="634"/>
      <c r="D322" s="634"/>
      <c r="E322" s="635"/>
      <c r="F322" s="634"/>
      <c r="G322" s="636"/>
      <c r="H322" s="635"/>
      <c r="I322" s="635"/>
      <c r="J322" s="635"/>
      <c r="K322" s="635"/>
      <c r="L322" s="635"/>
      <c r="M322" s="635"/>
      <c r="N322" s="635"/>
      <c r="O322" s="635"/>
      <c r="P322" s="635"/>
      <c r="Q322" s="634"/>
      <c r="R322" s="634"/>
      <c r="S322" s="635"/>
      <c r="T322" s="635"/>
      <c r="U322" s="634"/>
      <c r="V322" s="634"/>
      <c r="W322" s="634"/>
      <c r="X322" s="634"/>
      <c r="Y322" s="634"/>
      <c r="Z322" s="634"/>
    </row>
    <row r="323" ht="15.75" customHeight="1">
      <c r="A323" s="634"/>
      <c r="B323" s="634"/>
      <c r="C323" s="634"/>
      <c r="D323" s="634"/>
      <c r="E323" s="635"/>
      <c r="F323" s="634"/>
      <c r="G323" s="636"/>
      <c r="H323" s="635"/>
      <c r="I323" s="635"/>
      <c r="J323" s="635"/>
      <c r="K323" s="635"/>
      <c r="L323" s="635"/>
      <c r="M323" s="635"/>
      <c r="N323" s="635"/>
      <c r="O323" s="635"/>
      <c r="P323" s="635"/>
      <c r="Q323" s="634"/>
      <c r="R323" s="634"/>
      <c r="S323" s="635"/>
      <c r="T323" s="635"/>
      <c r="U323" s="634"/>
      <c r="V323" s="634"/>
      <c r="W323" s="634"/>
      <c r="X323" s="634"/>
      <c r="Y323" s="634"/>
      <c r="Z323" s="634"/>
    </row>
    <row r="324" ht="15.75" customHeight="1">
      <c r="A324" s="634"/>
      <c r="B324" s="634"/>
      <c r="C324" s="634"/>
      <c r="D324" s="634"/>
      <c r="E324" s="635"/>
      <c r="F324" s="634"/>
      <c r="G324" s="636"/>
      <c r="H324" s="635"/>
      <c r="I324" s="635"/>
      <c r="J324" s="635"/>
      <c r="K324" s="635"/>
      <c r="L324" s="635"/>
      <c r="M324" s="635"/>
      <c r="N324" s="635"/>
      <c r="O324" s="635"/>
      <c r="P324" s="635"/>
      <c r="Q324" s="634"/>
      <c r="R324" s="634"/>
      <c r="S324" s="635"/>
      <c r="T324" s="635"/>
      <c r="U324" s="634"/>
      <c r="V324" s="634"/>
      <c r="W324" s="634"/>
      <c r="X324" s="634"/>
      <c r="Y324" s="634"/>
      <c r="Z324" s="634"/>
    </row>
    <row r="325" ht="15.75" customHeight="1">
      <c r="A325" s="634"/>
      <c r="B325" s="634"/>
      <c r="C325" s="634"/>
      <c r="D325" s="634"/>
      <c r="E325" s="635"/>
      <c r="F325" s="634"/>
      <c r="G325" s="636"/>
      <c r="H325" s="635"/>
      <c r="I325" s="635"/>
      <c r="J325" s="635"/>
      <c r="K325" s="635"/>
      <c r="L325" s="635"/>
      <c r="M325" s="635"/>
      <c r="N325" s="635"/>
      <c r="O325" s="635"/>
      <c r="P325" s="635"/>
      <c r="Q325" s="634"/>
      <c r="R325" s="634"/>
      <c r="S325" s="635"/>
      <c r="T325" s="635"/>
      <c r="U325" s="634"/>
      <c r="V325" s="634"/>
      <c r="W325" s="634"/>
      <c r="X325" s="634"/>
      <c r="Y325" s="634"/>
      <c r="Z325" s="634"/>
    </row>
    <row r="326" ht="15.75" customHeight="1">
      <c r="A326" s="634"/>
      <c r="B326" s="634"/>
      <c r="C326" s="634"/>
      <c r="D326" s="634"/>
      <c r="E326" s="635"/>
      <c r="F326" s="634"/>
      <c r="G326" s="636"/>
      <c r="H326" s="635"/>
      <c r="I326" s="635"/>
      <c r="J326" s="635"/>
      <c r="K326" s="635"/>
      <c r="L326" s="635"/>
      <c r="M326" s="635"/>
      <c r="N326" s="635"/>
      <c r="O326" s="635"/>
      <c r="P326" s="635"/>
      <c r="Q326" s="634"/>
      <c r="R326" s="634"/>
      <c r="S326" s="635"/>
      <c r="T326" s="635"/>
      <c r="U326" s="634"/>
      <c r="V326" s="634"/>
      <c r="W326" s="634"/>
      <c r="X326" s="634"/>
      <c r="Y326" s="634"/>
      <c r="Z326" s="634"/>
    </row>
    <row r="327" ht="15.75" customHeight="1">
      <c r="A327" s="634"/>
      <c r="B327" s="634"/>
      <c r="C327" s="634"/>
      <c r="D327" s="634"/>
      <c r="E327" s="635"/>
      <c r="F327" s="634"/>
      <c r="G327" s="636"/>
      <c r="H327" s="635"/>
      <c r="I327" s="635"/>
      <c r="J327" s="635"/>
      <c r="K327" s="635"/>
      <c r="L327" s="635"/>
      <c r="M327" s="635"/>
      <c r="N327" s="635"/>
      <c r="O327" s="635"/>
      <c r="P327" s="635"/>
      <c r="Q327" s="634"/>
      <c r="R327" s="634"/>
      <c r="S327" s="635"/>
      <c r="T327" s="635"/>
      <c r="U327" s="634"/>
      <c r="V327" s="634"/>
      <c r="W327" s="634"/>
      <c r="X327" s="634"/>
      <c r="Y327" s="634"/>
      <c r="Z327" s="634"/>
    </row>
    <row r="328" ht="15.75" customHeight="1">
      <c r="A328" s="634"/>
      <c r="B328" s="634"/>
      <c r="C328" s="634"/>
      <c r="D328" s="634"/>
      <c r="E328" s="635"/>
      <c r="F328" s="634"/>
      <c r="G328" s="636"/>
      <c r="H328" s="635"/>
      <c r="I328" s="635"/>
      <c r="J328" s="635"/>
      <c r="K328" s="635"/>
      <c r="L328" s="635"/>
      <c r="M328" s="635"/>
      <c r="N328" s="635"/>
      <c r="O328" s="635"/>
      <c r="P328" s="635"/>
      <c r="Q328" s="634"/>
      <c r="R328" s="634"/>
      <c r="S328" s="635"/>
      <c r="T328" s="635"/>
      <c r="U328" s="634"/>
      <c r="V328" s="634"/>
      <c r="W328" s="634"/>
      <c r="X328" s="634"/>
      <c r="Y328" s="634"/>
      <c r="Z328" s="634"/>
    </row>
    <row r="329" ht="15.75" customHeight="1">
      <c r="A329" s="634"/>
      <c r="B329" s="634"/>
      <c r="C329" s="634"/>
      <c r="D329" s="634"/>
      <c r="E329" s="635"/>
      <c r="F329" s="634"/>
      <c r="G329" s="636"/>
      <c r="H329" s="635"/>
      <c r="I329" s="635"/>
      <c r="J329" s="635"/>
      <c r="K329" s="635"/>
      <c r="L329" s="635"/>
      <c r="M329" s="635"/>
      <c r="N329" s="635"/>
      <c r="O329" s="635"/>
      <c r="P329" s="635"/>
      <c r="Q329" s="634"/>
      <c r="R329" s="634"/>
      <c r="S329" s="635"/>
      <c r="T329" s="635"/>
      <c r="U329" s="634"/>
      <c r="V329" s="634"/>
      <c r="W329" s="634"/>
      <c r="X329" s="634"/>
      <c r="Y329" s="634"/>
      <c r="Z329" s="634"/>
    </row>
    <row r="330" ht="15.75" customHeight="1">
      <c r="A330" s="634"/>
      <c r="B330" s="634"/>
      <c r="C330" s="634"/>
      <c r="D330" s="634"/>
      <c r="E330" s="635"/>
      <c r="F330" s="634"/>
      <c r="G330" s="636"/>
      <c r="H330" s="635"/>
      <c r="I330" s="635"/>
      <c r="J330" s="635"/>
      <c r="K330" s="635"/>
      <c r="L330" s="635"/>
      <c r="M330" s="635"/>
      <c r="N330" s="635"/>
      <c r="O330" s="635"/>
      <c r="P330" s="635"/>
      <c r="Q330" s="634"/>
      <c r="R330" s="634"/>
      <c r="S330" s="635"/>
      <c r="T330" s="635"/>
      <c r="U330" s="634"/>
      <c r="V330" s="634"/>
      <c r="W330" s="634"/>
      <c r="X330" s="634"/>
      <c r="Y330" s="634"/>
      <c r="Z330" s="634"/>
    </row>
    <row r="331" ht="15.75" customHeight="1">
      <c r="A331" s="634"/>
      <c r="B331" s="634"/>
      <c r="C331" s="634"/>
      <c r="D331" s="634"/>
      <c r="E331" s="635"/>
      <c r="F331" s="634"/>
      <c r="G331" s="636"/>
      <c r="H331" s="635"/>
      <c r="I331" s="635"/>
      <c r="J331" s="635"/>
      <c r="K331" s="635"/>
      <c r="L331" s="635"/>
      <c r="M331" s="635"/>
      <c r="N331" s="635"/>
      <c r="O331" s="635"/>
      <c r="P331" s="635"/>
      <c r="Q331" s="634"/>
      <c r="R331" s="634"/>
      <c r="S331" s="635"/>
      <c r="T331" s="635"/>
      <c r="U331" s="634"/>
      <c r="V331" s="634"/>
      <c r="W331" s="634"/>
      <c r="X331" s="634"/>
      <c r="Y331" s="634"/>
      <c r="Z331" s="634"/>
    </row>
    <row r="332" ht="15.75" customHeight="1">
      <c r="A332" s="634"/>
      <c r="B332" s="634"/>
      <c r="C332" s="634"/>
      <c r="D332" s="634"/>
      <c r="E332" s="635"/>
      <c r="F332" s="634"/>
      <c r="G332" s="636"/>
      <c r="H332" s="635"/>
      <c r="I332" s="635"/>
      <c r="J332" s="635"/>
      <c r="K332" s="635"/>
      <c r="L332" s="635"/>
      <c r="M332" s="635"/>
      <c r="N332" s="635"/>
      <c r="O332" s="635"/>
      <c r="P332" s="635"/>
      <c r="Q332" s="634"/>
      <c r="R332" s="634"/>
      <c r="S332" s="635"/>
      <c r="T332" s="635"/>
      <c r="U332" s="634"/>
      <c r="V332" s="634"/>
      <c r="W332" s="634"/>
      <c r="X332" s="634"/>
      <c r="Y332" s="634"/>
      <c r="Z332" s="634"/>
    </row>
    <row r="333" ht="15.75" customHeight="1">
      <c r="A333" s="634"/>
      <c r="B333" s="634"/>
      <c r="C333" s="634"/>
      <c r="D333" s="634"/>
      <c r="E333" s="635"/>
      <c r="F333" s="634"/>
      <c r="G333" s="636"/>
      <c r="H333" s="635"/>
      <c r="I333" s="635"/>
      <c r="J333" s="635"/>
      <c r="K333" s="635"/>
      <c r="L333" s="635"/>
      <c r="M333" s="635"/>
      <c r="N333" s="635"/>
      <c r="O333" s="635"/>
      <c r="P333" s="635"/>
      <c r="Q333" s="634"/>
      <c r="R333" s="634"/>
      <c r="S333" s="635"/>
      <c r="T333" s="635"/>
      <c r="U333" s="634"/>
      <c r="V333" s="634"/>
      <c r="W333" s="634"/>
      <c r="X333" s="634"/>
      <c r="Y333" s="634"/>
      <c r="Z333" s="634"/>
    </row>
    <row r="334" ht="15.75" customHeight="1">
      <c r="A334" s="634"/>
      <c r="B334" s="634"/>
      <c r="C334" s="634"/>
      <c r="D334" s="634"/>
      <c r="E334" s="635"/>
      <c r="F334" s="634"/>
      <c r="G334" s="636"/>
      <c r="H334" s="635"/>
      <c r="I334" s="635"/>
      <c r="J334" s="635"/>
      <c r="K334" s="635"/>
      <c r="L334" s="635"/>
      <c r="M334" s="635"/>
      <c r="N334" s="635"/>
      <c r="O334" s="635"/>
      <c r="P334" s="635"/>
      <c r="Q334" s="634"/>
      <c r="R334" s="634"/>
      <c r="S334" s="635"/>
      <c r="T334" s="635"/>
      <c r="U334" s="634"/>
      <c r="V334" s="634"/>
      <c r="W334" s="634"/>
      <c r="X334" s="634"/>
      <c r="Y334" s="634"/>
      <c r="Z334" s="634"/>
    </row>
    <row r="335" ht="15.75" customHeight="1">
      <c r="A335" s="634"/>
      <c r="B335" s="634"/>
      <c r="C335" s="634"/>
      <c r="D335" s="634"/>
      <c r="E335" s="635"/>
      <c r="F335" s="634"/>
      <c r="G335" s="636"/>
      <c r="H335" s="635"/>
      <c r="I335" s="635"/>
      <c r="J335" s="635"/>
      <c r="K335" s="635"/>
      <c r="L335" s="635"/>
      <c r="M335" s="635"/>
      <c r="N335" s="635"/>
      <c r="O335" s="635"/>
      <c r="P335" s="635"/>
      <c r="Q335" s="634"/>
      <c r="R335" s="634"/>
      <c r="S335" s="635"/>
      <c r="T335" s="635"/>
      <c r="U335" s="634"/>
      <c r="V335" s="634"/>
      <c r="W335" s="634"/>
      <c r="X335" s="634"/>
      <c r="Y335" s="634"/>
      <c r="Z335" s="634"/>
    </row>
    <row r="336" ht="15.75" customHeight="1">
      <c r="A336" s="634"/>
      <c r="B336" s="634"/>
      <c r="C336" s="634"/>
      <c r="D336" s="634"/>
      <c r="E336" s="635"/>
      <c r="F336" s="634"/>
      <c r="G336" s="636"/>
      <c r="H336" s="635"/>
      <c r="I336" s="635"/>
      <c r="J336" s="635"/>
      <c r="K336" s="635"/>
      <c r="L336" s="635"/>
      <c r="M336" s="635"/>
      <c r="N336" s="635"/>
      <c r="O336" s="635"/>
      <c r="P336" s="635"/>
      <c r="Q336" s="634"/>
      <c r="R336" s="634"/>
      <c r="S336" s="635"/>
      <c r="T336" s="635"/>
      <c r="U336" s="634"/>
      <c r="V336" s="634"/>
      <c r="W336" s="634"/>
      <c r="X336" s="634"/>
      <c r="Y336" s="634"/>
      <c r="Z336" s="634"/>
    </row>
    <row r="337" ht="15.75" customHeight="1">
      <c r="A337" s="634"/>
      <c r="B337" s="634"/>
      <c r="C337" s="634"/>
      <c r="D337" s="634"/>
      <c r="E337" s="635"/>
      <c r="F337" s="634"/>
      <c r="G337" s="636"/>
      <c r="H337" s="635"/>
      <c r="I337" s="635"/>
      <c r="J337" s="635"/>
      <c r="K337" s="635"/>
      <c r="L337" s="635"/>
      <c r="M337" s="635"/>
      <c r="N337" s="635"/>
      <c r="O337" s="635"/>
      <c r="P337" s="635"/>
      <c r="Q337" s="634"/>
      <c r="R337" s="634"/>
      <c r="S337" s="635"/>
      <c r="T337" s="635"/>
      <c r="U337" s="634"/>
      <c r="V337" s="634"/>
      <c r="W337" s="634"/>
      <c r="X337" s="634"/>
      <c r="Y337" s="634"/>
      <c r="Z337" s="634"/>
    </row>
    <row r="338" ht="15.75" customHeight="1">
      <c r="A338" s="634"/>
      <c r="B338" s="634"/>
      <c r="C338" s="634"/>
      <c r="D338" s="634"/>
      <c r="E338" s="635"/>
      <c r="F338" s="634"/>
      <c r="G338" s="636"/>
      <c r="H338" s="635"/>
      <c r="I338" s="635"/>
      <c r="J338" s="635"/>
      <c r="K338" s="635"/>
      <c r="L338" s="635"/>
      <c r="M338" s="635"/>
      <c r="N338" s="635"/>
      <c r="O338" s="635"/>
      <c r="P338" s="635"/>
      <c r="Q338" s="634"/>
      <c r="R338" s="634"/>
      <c r="S338" s="635"/>
      <c r="T338" s="635"/>
      <c r="U338" s="634"/>
      <c r="V338" s="634"/>
      <c r="W338" s="634"/>
      <c r="X338" s="634"/>
      <c r="Y338" s="634"/>
      <c r="Z338" s="634"/>
    </row>
    <row r="339" ht="15.75" customHeight="1">
      <c r="A339" s="634"/>
      <c r="B339" s="634"/>
      <c r="C339" s="634"/>
      <c r="D339" s="634"/>
      <c r="E339" s="635"/>
      <c r="F339" s="634"/>
      <c r="G339" s="636"/>
      <c r="H339" s="635"/>
      <c r="I339" s="635"/>
      <c r="J339" s="635"/>
      <c r="K339" s="635"/>
      <c r="L339" s="635"/>
      <c r="M339" s="635"/>
      <c r="N339" s="635"/>
      <c r="O339" s="635"/>
      <c r="P339" s="635"/>
      <c r="Q339" s="634"/>
      <c r="R339" s="634"/>
      <c r="S339" s="635"/>
      <c r="T339" s="635"/>
      <c r="U339" s="634"/>
      <c r="V339" s="634"/>
      <c r="W339" s="634"/>
      <c r="X339" s="634"/>
      <c r="Y339" s="634"/>
      <c r="Z339" s="634"/>
    </row>
    <row r="340" ht="15.75" customHeight="1">
      <c r="A340" s="634"/>
      <c r="B340" s="634"/>
      <c r="C340" s="634"/>
      <c r="D340" s="634"/>
      <c r="E340" s="635"/>
      <c r="F340" s="634"/>
      <c r="G340" s="636"/>
      <c r="H340" s="635"/>
      <c r="I340" s="635"/>
      <c r="J340" s="635"/>
      <c r="K340" s="635"/>
      <c r="L340" s="635"/>
      <c r="M340" s="635"/>
      <c r="N340" s="635"/>
      <c r="O340" s="635"/>
      <c r="P340" s="635"/>
      <c r="Q340" s="634"/>
      <c r="R340" s="634"/>
      <c r="S340" s="635"/>
      <c r="T340" s="635"/>
      <c r="U340" s="634"/>
      <c r="V340" s="634"/>
      <c r="W340" s="634"/>
      <c r="X340" s="634"/>
      <c r="Y340" s="634"/>
      <c r="Z340" s="634"/>
    </row>
    <row r="341" ht="15.75" customHeight="1">
      <c r="A341" s="634"/>
      <c r="B341" s="634"/>
      <c r="C341" s="634"/>
      <c r="D341" s="634"/>
      <c r="E341" s="635"/>
      <c r="F341" s="634"/>
      <c r="G341" s="636"/>
      <c r="H341" s="635"/>
      <c r="I341" s="635"/>
      <c r="J341" s="635"/>
      <c r="K341" s="635"/>
      <c r="L341" s="635"/>
      <c r="M341" s="635"/>
      <c r="N341" s="635"/>
      <c r="O341" s="635"/>
      <c r="P341" s="635"/>
      <c r="Q341" s="634"/>
      <c r="R341" s="634"/>
      <c r="S341" s="635"/>
      <c r="T341" s="635"/>
      <c r="U341" s="634"/>
      <c r="V341" s="634"/>
      <c r="W341" s="634"/>
      <c r="X341" s="634"/>
      <c r="Y341" s="634"/>
      <c r="Z341" s="634"/>
    </row>
    <row r="342" ht="15.75" customHeight="1">
      <c r="A342" s="634"/>
      <c r="B342" s="634"/>
      <c r="C342" s="634"/>
      <c r="D342" s="634"/>
      <c r="E342" s="635"/>
      <c r="F342" s="634"/>
      <c r="G342" s="636"/>
      <c r="H342" s="635"/>
      <c r="I342" s="635"/>
      <c r="J342" s="635"/>
      <c r="K342" s="635"/>
      <c r="L342" s="635"/>
      <c r="M342" s="635"/>
      <c r="N342" s="635"/>
      <c r="O342" s="635"/>
      <c r="P342" s="635"/>
      <c r="Q342" s="634"/>
      <c r="R342" s="634"/>
      <c r="S342" s="635"/>
      <c r="T342" s="635"/>
      <c r="U342" s="634"/>
      <c r="V342" s="634"/>
      <c r="W342" s="634"/>
      <c r="X342" s="634"/>
      <c r="Y342" s="634"/>
      <c r="Z342" s="634"/>
    </row>
    <row r="343" ht="15.75" customHeight="1">
      <c r="A343" s="634"/>
      <c r="B343" s="634"/>
      <c r="C343" s="634"/>
      <c r="D343" s="634"/>
      <c r="E343" s="635"/>
      <c r="F343" s="634"/>
      <c r="G343" s="636"/>
      <c r="H343" s="635"/>
      <c r="I343" s="635"/>
      <c r="J343" s="635"/>
      <c r="K343" s="635"/>
      <c r="L343" s="635"/>
      <c r="M343" s="635"/>
      <c r="N343" s="635"/>
      <c r="O343" s="635"/>
      <c r="P343" s="635"/>
      <c r="Q343" s="634"/>
      <c r="R343" s="634"/>
      <c r="S343" s="635"/>
      <c r="T343" s="635"/>
      <c r="U343" s="634"/>
      <c r="V343" s="634"/>
      <c r="W343" s="634"/>
      <c r="X343" s="634"/>
      <c r="Y343" s="634"/>
      <c r="Z343" s="634"/>
    </row>
    <row r="344" ht="15.75" customHeight="1">
      <c r="A344" s="634"/>
      <c r="B344" s="634"/>
      <c r="C344" s="634"/>
      <c r="D344" s="634"/>
      <c r="E344" s="635"/>
      <c r="F344" s="634"/>
      <c r="G344" s="636"/>
      <c r="H344" s="635"/>
      <c r="I344" s="635"/>
      <c r="J344" s="635"/>
      <c r="K344" s="635"/>
      <c r="L344" s="635"/>
      <c r="M344" s="635"/>
      <c r="N344" s="635"/>
      <c r="O344" s="635"/>
      <c r="P344" s="635"/>
      <c r="Q344" s="634"/>
      <c r="R344" s="634"/>
      <c r="S344" s="635"/>
      <c r="T344" s="635"/>
      <c r="U344" s="634"/>
      <c r="V344" s="634"/>
      <c r="W344" s="634"/>
      <c r="X344" s="634"/>
      <c r="Y344" s="634"/>
      <c r="Z344" s="634"/>
    </row>
    <row r="345" ht="15.75" customHeight="1">
      <c r="A345" s="634"/>
      <c r="B345" s="634"/>
      <c r="C345" s="634"/>
      <c r="D345" s="634"/>
      <c r="E345" s="635"/>
      <c r="F345" s="634"/>
      <c r="G345" s="636"/>
      <c r="H345" s="635"/>
      <c r="I345" s="635"/>
      <c r="J345" s="635"/>
      <c r="K345" s="635"/>
      <c r="L345" s="635"/>
      <c r="M345" s="635"/>
      <c r="N345" s="635"/>
      <c r="O345" s="635"/>
      <c r="P345" s="635"/>
      <c r="Q345" s="634"/>
      <c r="R345" s="634"/>
      <c r="S345" s="635"/>
      <c r="T345" s="635"/>
      <c r="U345" s="634"/>
      <c r="V345" s="634"/>
      <c r="W345" s="634"/>
      <c r="X345" s="634"/>
      <c r="Y345" s="634"/>
      <c r="Z345" s="634"/>
    </row>
    <row r="346" ht="15.75" customHeight="1">
      <c r="A346" s="634"/>
      <c r="B346" s="634"/>
      <c r="C346" s="634"/>
      <c r="D346" s="634"/>
      <c r="E346" s="635"/>
      <c r="F346" s="634"/>
      <c r="G346" s="636"/>
      <c r="H346" s="635"/>
      <c r="I346" s="635"/>
      <c r="J346" s="635"/>
      <c r="K346" s="635"/>
      <c r="L346" s="635"/>
      <c r="M346" s="635"/>
      <c r="N346" s="635"/>
      <c r="O346" s="635"/>
      <c r="P346" s="635"/>
      <c r="Q346" s="634"/>
      <c r="R346" s="634"/>
      <c r="S346" s="635"/>
      <c r="T346" s="635"/>
      <c r="U346" s="634"/>
      <c r="V346" s="634"/>
      <c r="W346" s="634"/>
      <c r="X346" s="634"/>
      <c r="Y346" s="634"/>
      <c r="Z346" s="634"/>
    </row>
    <row r="347" ht="15.75" customHeight="1">
      <c r="A347" s="634"/>
      <c r="B347" s="634"/>
      <c r="C347" s="634"/>
      <c r="D347" s="634"/>
      <c r="E347" s="635"/>
      <c r="F347" s="634"/>
      <c r="G347" s="636"/>
      <c r="H347" s="635"/>
      <c r="I347" s="635"/>
      <c r="J347" s="635"/>
      <c r="K347" s="635"/>
      <c r="L347" s="635"/>
      <c r="M347" s="635"/>
      <c r="N347" s="635"/>
      <c r="O347" s="635"/>
      <c r="P347" s="635"/>
      <c r="Q347" s="634"/>
      <c r="R347" s="634"/>
      <c r="S347" s="635"/>
      <c r="T347" s="635"/>
      <c r="U347" s="634"/>
      <c r="V347" s="634"/>
      <c r="W347" s="634"/>
      <c r="X347" s="634"/>
      <c r="Y347" s="634"/>
      <c r="Z347" s="634"/>
    </row>
    <row r="348" ht="15.75" customHeight="1">
      <c r="A348" s="634"/>
      <c r="B348" s="634"/>
      <c r="C348" s="634"/>
      <c r="D348" s="634"/>
      <c r="E348" s="635"/>
      <c r="F348" s="634"/>
      <c r="G348" s="636"/>
      <c r="H348" s="635"/>
      <c r="I348" s="635"/>
      <c r="J348" s="635"/>
      <c r="K348" s="635"/>
      <c r="L348" s="635"/>
      <c r="M348" s="635"/>
      <c r="N348" s="635"/>
      <c r="O348" s="635"/>
      <c r="P348" s="635"/>
      <c r="Q348" s="634"/>
      <c r="R348" s="634"/>
      <c r="S348" s="635"/>
      <c r="T348" s="635"/>
      <c r="U348" s="634"/>
      <c r="V348" s="634"/>
      <c r="W348" s="634"/>
      <c r="X348" s="634"/>
      <c r="Y348" s="634"/>
      <c r="Z348" s="634"/>
    </row>
    <row r="349" ht="15.75" customHeight="1">
      <c r="A349" s="634"/>
      <c r="B349" s="634"/>
      <c r="C349" s="634"/>
      <c r="D349" s="634"/>
      <c r="E349" s="635"/>
      <c r="F349" s="634"/>
      <c r="G349" s="636"/>
      <c r="H349" s="635"/>
      <c r="I349" s="635"/>
      <c r="J349" s="635"/>
      <c r="K349" s="635"/>
      <c r="L349" s="635"/>
      <c r="M349" s="635"/>
      <c r="N349" s="635"/>
      <c r="O349" s="635"/>
      <c r="P349" s="635"/>
      <c r="Q349" s="634"/>
      <c r="R349" s="634"/>
      <c r="S349" s="635"/>
      <c r="T349" s="635"/>
      <c r="U349" s="634"/>
      <c r="V349" s="634"/>
      <c r="W349" s="634"/>
      <c r="X349" s="634"/>
      <c r="Y349" s="634"/>
      <c r="Z349" s="634"/>
    </row>
    <row r="350" ht="15.75" customHeight="1">
      <c r="A350" s="634"/>
      <c r="B350" s="634"/>
      <c r="C350" s="634"/>
      <c r="D350" s="634"/>
      <c r="E350" s="635"/>
      <c r="F350" s="634"/>
      <c r="G350" s="636"/>
      <c r="H350" s="635"/>
      <c r="I350" s="635"/>
      <c r="J350" s="635"/>
      <c r="K350" s="635"/>
      <c r="L350" s="635"/>
      <c r="M350" s="635"/>
      <c r="N350" s="635"/>
      <c r="O350" s="635"/>
      <c r="P350" s="635"/>
      <c r="Q350" s="634"/>
      <c r="R350" s="634"/>
      <c r="S350" s="635"/>
      <c r="T350" s="635"/>
      <c r="U350" s="634"/>
      <c r="V350" s="634"/>
      <c r="W350" s="634"/>
      <c r="X350" s="634"/>
      <c r="Y350" s="634"/>
      <c r="Z350" s="634"/>
    </row>
    <row r="351" ht="15.75" customHeight="1">
      <c r="A351" s="634"/>
      <c r="B351" s="634"/>
      <c r="C351" s="634"/>
      <c r="D351" s="634"/>
      <c r="E351" s="635"/>
      <c r="F351" s="634"/>
      <c r="G351" s="636"/>
      <c r="H351" s="635"/>
      <c r="I351" s="635"/>
      <c r="J351" s="635"/>
      <c r="K351" s="635"/>
      <c r="L351" s="635"/>
      <c r="M351" s="635"/>
      <c r="N351" s="635"/>
      <c r="O351" s="635"/>
      <c r="P351" s="635"/>
      <c r="Q351" s="634"/>
      <c r="R351" s="634"/>
      <c r="S351" s="635"/>
      <c r="T351" s="635"/>
      <c r="U351" s="634"/>
      <c r="V351" s="634"/>
      <c r="W351" s="634"/>
      <c r="X351" s="634"/>
      <c r="Y351" s="634"/>
      <c r="Z351" s="634"/>
    </row>
    <row r="352" ht="15.75" customHeight="1">
      <c r="A352" s="634"/>
      <c r="B352" s="634"/>
      <c r="C352" s="634"/>
      <c r="D352" s="634"/>
      <c r="E352" s="635"/>
      <c r="F352" s="634"/>
      <c r="G352" s="636"/>
      <c r="H352" s="635"/>
      <c r="I352" s="635"/>
      <c r="J352" s="635"/>
      <c r="K352" s="635"/>
      <c r="L352" s="635"/>
      <c r="M352" s="635"/>
      <c r="N352" s="635"/>
      <c r="O352" s="635"/>
      <c r="P352" s="635"/>
      <c r="Q352" s="634"/>
      <c r="R352" s="634"/>
      <c r="S352" s="635"/>
      <c r="T352" s="635"/>
      <c r="U352" s="634"/>
      <c r="V352" s="634"/>
      <c r="W352" s="634"/>
      <c r="X352" s="634"/>
      <c r="Y352" s="634"/>
      <c r="Z352" s="634"/>
    </row>
    <row r="353" ht="15.75" customHeight="1">
      <c r="A353" s="634"/>
      <c r="B353" s="634"/>
      <c r="C353" s="634"/>
      <c r="D353" s="634"/>
      <c r="E353" s="635"/>
      <c r="F353" s="634"/>
      <c r="G353" s="636"/>
      <c r="H353" s="635"/>
      <c r="I353" s="635"/>
      <c r="J353" s="635"/>
      <c r="K353" s="635"/>
      <c r="L353" s="635"/>
      <c r="M353" s="635"/>
      <c r="N353" s="635"/>
      <c r="O353" s="635"/>
      <c r="P353" s="635"/>
      <c r="Q353" s="634"/>
      <c r="R353" s="634"/>
      <c r="S353" s="635"/>
      <c r="T353" s="635"/>
      <c r="U353" s="634"/>
      <c r="V353" s="634"/>
      <c r="W353" s="634"/>
      <c r="X353" s="634"/>
      <c r="Y353" s="634"/>
      <c r="Z353" s="634"/>
    </row>
    <row r="354" ht="15.75" customHeight="1">
      <c r="A354" s="634"/>
      <c r="B354" s="634"/>
      <c r="C354" s="634"/>
      <c r="D354" s="634"/>
      <c r="E354" s="635"/>
      <c r="F354" s="634"/>
      <c r="G354" s="636"/>
      <c r="H354" s="635"/>
      <c r="I354" s="635"/>
      <c r="J354" s="635"/>
      <c r="K354" s="635"/>
      <c r="L354" s="635"/>
      <c r="M354" s="635"/>
      <c r="N354" s="635"/>
      <c r="O354" s="635"/>
      <c r="P354" s="635"/>
      <c r="Q354" s="634"/>
      <c r="R354" s="634"/>
      <c r="S354" s="635"/>
      <c r="T354" s="635"/>
      <c r="U354" s="634"/>
      <c r="V354" s="634"/>
      <c r="W354" s="634"/>
      <c r="X354" s="634"/>
      <c r="Y354" s="634"/>
      <c r="Z354" s="634"/>
    </row>
    <row r="355" ht="15.75" customHeight="1">
      <c r="A355" s="634"/>
      <c r="B355" s="634"/>
      <c r="C355" s="634"/>
      <c r="D355" s="634"/>
      <c r="E355" s="635"/>
      <c r="F355" s="634"/>
      <c r="G355" s="636"/>
      <c r="H355" s="635"/>
      <c r="I355" s="635"/>
      <c r="J355" s="635"/>
      <c r="K355" s="635"/>
      <c r="L355" s="635"/>
      <c r="M355" s="635"/>
      <c r="N355" s="635"/>
      <c r="O355" s="635"/>
      <c r="P355" s="635"/>
      <c r="Q355" s="634"/>
      <c r="R355" s="634"/>
      <c r="S355" s="635"/>
      <c r="T355" s="635"/>
      <c r="U355" s="634"/>
      <c r="V355" s="634"/>
      <c r="W355" s="634"/>
      <c r="X355" s="634"/>
      <c r="Y355" s="634"/>
      <c r="Z355" s="634"/>
    </row>
    <row r="356" ht="15.75" customHeight="1">
      <c r="A356" s="634"/>
      <c r="B356" s="634"/>
      <c r="C356" s="634"/>
      <c r="D356" s="634"/>
      <c r="E356" s="635"/>
      <c r="F356" s="634"/>
      <c r="G356" s="636"/>
      <c r="H356" s="635"/>
      <c r="I356" s="635"/>
      <c r="J356" s="635"/>
      <c r="K356" s="635"/>
      <c r="L356" s="635"/>
      <c r="M356" s="635"/>
      <c r="N356" s="635"/>
      <c r="O356" s="635"/>
      <c r="P356" s="635"/>
      <c r="Q356" s="634"/>
      <c r="R356" s="634"/>
      <c r="S356" s="635"/>
      <c r="T356" s="635"/>
      <c r="U356" s="634"/>
      <c r="V356" s="634"/>
      <c r="W356" s="634"/>
      <c r="X356" s="634"/>
      <c r="Y356" s="634"/>
      <c r="Z356" s="634"/>
    </row>
    <row r="357" ht="15.75" customHeight="1">
      <c r="A357" s="634"/>
      <c r="B357" s="634"/>
      <c r="C357" s="634"/>
      <c r="D357" s="634"/>
      <c r="E357" s="635"/>
      <c r="F357" s="634"/>
      <c r="G357" s="636"/>
      <c r="H357" s="635"/>
      <c r="I357" s="635"/>
      <c r="J357" s="635"/>
      <c r="K357" s="635"/>
      <c r="L357" s="635"/>
      <c r="M357" s="635"/>
      <c r="N357" s="635"/>
      <c r="O357" s="635"/>
      <c r="P357" s="635"/>
      <c r="Q357" s="634"/>
      <c r="R357" s="634"/>
      <c r="S357" s="635"/>
      <c r="T357" s="635"/>
      <c r="U357" s="634"/>
      <c r="V357" s="634"/>
      <c r="W357" s="634"/>
      <c r="X357" s="634"/>
      <c r="Y357" s="634"/>
      <c r="Z357" s="634"/>
    </row>
    <row r="358" ht="15.75" customHeight="1">
      <c r="A358" s="634"/>
      <c r="B358" s="634"/>
      <c r="C358" s="634"/>
      <c r="D358" s="634"/>
      <c r="E358" s="635"/>
      <c r="F358" s="634"/>
      <c r="G358" s="636"/>
      <c r="H358" s="635"/>
      <c r="I358" s="635"/>
      <c r="J358" s="635"/>
      <c r="K358" s="635"/>
      <c r="L358" s="635"/>
      <c r="M358" s="635"/>
      <c r="N358" s="635"/>
      <c r="O358" s="635"/>
      <c r="P358" s="635"/>
      <c r="Q358" s="634"/>
      <c r="R358" s="634"/>
      <c r="S358" s="635"/>
      <c r="T358" s="635"/>
      <c r="U358" s="634"/>
      <c r="V358" s="634"/>
      <c r="W358" s="634"/>
      <c r="X358" s="634"/>
      <c r="Y358" s="634"/>
      <c r="Z358" s="634"/>
    </row>
    <row r="359" ht="15.75" customHeight="1">
      <c r="A359" s="634"/>
      <c r="B359" s="634"/>
      <c r="C359" s="634"/>
      <c r="D359" s="634"/>
      <c r="E359" s="635"/>
      <c r="F359" s="634"/>
      <c r="G359" s="636"/>
      <c r="H359" s="635"/>
      <c r="I359" s="635"/>
      <c r="J359" s="635"/>
      <c r="K359" s="635"/>
      <c r="L359" s="635"/>
      <c r="M359" s="635"/>
      <c r="N359" s="635"/>
      <c r="O359" s="635"/>
      <c r="P359" s="635"/>
      <c r="Q359" s="634"/>
      <c r="R359" s="634"/>
      <c r="S359" s="635"/>
      <c r="T359" s="635"/>
      <c r="U359" s="634"/>
      <c r="V359" s="634"/>
      <c r="W359" s="634"/>
      <c r="X359" s="634"/>
      <c r="Y359" s="634"/>
      <c r="Z359" s="634"/>
    </row>
    <row r="360" ht="15.75" customHeight="1">
      <c r="A360" s="634"/>
      <c r="B360" s="634"/>
      <c r="C360" s="634"/>
      <c r="D360" s="634"/>
      <c r="E360" s="635"/>
      <c r="F360" s="634"/>
      <c r="G360" s="636"/>
      <c r="H360" s="635"/>
      <c r="I360" s="635"/>
      <c r="J360" s="635"/>
      <c r="K360" s="635"/>
      <c r="L360" s="635"/>
      <c r="M360" s="635"/>
      <c r="N360" s="635"/>
      <c r="O360" s="635"/>
      <c r="P360" s="635"/>
      <c r="Q360" s="634"/>
      <c r="R360" s="634"/>
      <c r="S360" s="635"/>
      <c r="T360" s="635"/>
      <c r="U360" s="634"/>
      <c r="V360" s="634"/>
      <c r="W360" s="634"/>
      <c r="X360" s="634"/>
      <c r="Y360" s="634"/>
      <c r="Z360" s="634"/>
    </row>
    <row r="361" ht="15.75" customHeight="1">
      <c r="A361" s="634"/>
      <c r="B361" s="634"/>
      <c r="C361" s="634"/>
      <c r="D361" s="634"/>
      <c r="E361" s="635"/>
      <c r="F361" s="634"/>
      <c r="G361" s="636"/>
      <c r="H361" s="635"/>
      <c r="I361" s="635"/>
      <c r="J361" s="635"/>
      <c r="K361" s="635"/>
      <c r="L361" s="635"/>
      <c r="M361" s="635"/>
      <c r="N361" s="635"/>
      <c r="O361" s="635"/>
      <c r="P361" s="635"/>
      <c r="Q361" s="634"/>
      <c r="R361" s="634"/>
      <c r="S361" s="635"/>
      <c r="T361" s="635"/>
      <c r="U361" s="634"/>
      <c r="V361" s="634"/>
      <c r="W361" s="634"/>
      <c r="X361" s="634"/>
      <c r="Y361" s="634"/>
      <c r="Z361" s="634"/>
    </row>
    <row r="362" ht="15.75" customHeight="1">
      <c r="A362" s="634"/>
      <c r="B362" s="634"/>
      <c r="C362" s="634"/>
      <c r="D362" s="634"/>
      <c r="E362" s="635"/>
      <c r="F362" s="634"/>
      <c r="G362" s="636"/>
      <c r="H362" s="635"/>
      <c r="I362" s="635"/>
      <c r="J362" s="635"/>
      <c r="K362" s="635"/>
      <c r="L362" s="635"/>
      <c r="M362" s="635"/>
      <c r="N362" s="635"/>
      <c r="O362" s="635"/>
      <c r="P362" s="635"/>
      <c r="Q362" s="634"/>
      <c r="R362" s="634"/>
      <c r="S362" s="635"/>
      <c r="T362" s="635"/>
      <c r="U362" s="634"/>
      <c r="V362" s="634"/>
      <c r="W362" s="634"/>
      <c r="X362" s="634"/>
      <c r="Y362" s="634"/>
      <c r="Z362" s="634"/>
    </row>
    <row r="363" ht="15.75" customHeight="1">
      <c r="A363" s="634"/>
      <c r="B363" s="634"/>
      <c r="C363" s="634"/>
      <c r="D363" s="634"/>
      <c r="E363" s="635"/>
      <c r="F363" s="634"/>
      <c r="G363" s="636"/>
      <c r="H363" s="635"/>
      <c r="I363" s="635"/>
      <c r="J363" s="635"/>
      <c r="K363" s="635"/>
      <c r="L363" s="635"/>
      <c r="M363" s="635"/>
      <c r="N363" s="635"/>
      <c r="O363" s="635"/>
      <c r="P363" s="635"/>
      <c r="Q363" s="634"/>
      <c r="R363" s="634"/>
      <c r="S363" s="635"/>
      <c r="T363" s="635"/>
      <c r="U363" s="634"/>
      <c r="V363" s="634"/>
      <c r="W363" s="634"/>
      <c r="X363" s="634"/>
      <c r="Y363" s="634"/>
      <c r="Z363" s="634"/>
    </row>
    <row r="364" ht="15.75" customHeight="1">
      <c r="A364" s="634"/>
      <c r="B364" s="634"/>
      <c r="C364" s="634"/>
      <c r="D364" s="634"/>
      <c r="E364" s="635"/>
      <c r="F364" s="634"/>
      <c r="G364" s="636"/>
      <c r="H364" s="635"/>
      <c r="I364" s="635"/>
      <c r="J364" s="635"/>
      <c r="K364" s="635"/>
      <c r="L364" s="635"/>
      <c r="M364" s="635"/>
      <c r="N364" s="635"/>
      <c r="O364" s="635"/>
      <c r="P364" s="635"/>
      <c r="Q364" s="634"/>
      <c r="R364" s="634"/>
      <c r="S364" s="635"/>
      <c r="T364" s="635"/>
      <c r="U364" s="634"/>
      <c r="V364" s="634"/>
      <c r="W364" s="634"/>
      <c r="X364" s="634"/>
      <c r="Y364" s="634"/>
      <c r="Z364" s="634"/>
    </row>
    <row r="365" ht="15.75" customHeight="1">
      <c r="A365" s="634"/>
      <c r="B365" s="634"/>
      <c r="C365" s="634"/>
      <c r="D365" s="634"/>
      <c r="E365" s="635"/>
      <c r="F365" s="634"/>
      <c r="G365" s="636"/>
      <c r="H365" s="635"/>
      <c r="I365" s="635"/>
      <c r="J365" s="635"/>
      <c r="K365" s="635"/>
      <c r="L365" s="635"/>
      <c r="M365" s="635"/>
      <c r="N365" s="635"/>
      <c r="O365" s="635"/>
      <c r="P365" s="635"/>
      <c r="Q365" s="634"/>
      <c r="R365" s="634"/>
      <c r="S365" s="635"/>
      <c r="T365" s="635"/>
      <c r="U365" s="634"/>
      <c r="V365" s="634"/>
      <c r="W365" s="634"/>
      <c r="X365" s="634"/>
      <c r="Y365" s="634"/>
      <c r="Z365" s="634"/>
    </row>
    <row r="366" ht="15.75" customHeight="1">
      <c r="A366" s="634"/>
      <c r="B366" s="634"/>
      <c r="C366" s="634"/>
      <c r="D366" s="634"/>
      <c r="E366" s="635"/>
      <c r="F366" s="634"/>
      <c r="G366" s="636"/>
      <c r="H366" s="635"/>
      <c r="I366" s="635"/>
      <c r="J366" s="635"/>
      <c r="K366" s="635"/>
      <c r="L366" s="635"/>
      <c r="M366" s="635"/>
      <c r="N366" s="635"/>
      <c r="O366" s="635"/>
      <c r="P366" s="635"/>
      <c r="Q366" s="634"/>
      <c r="R366" s="634"/>
      <c r="S366" s="635"/>
      <c r="T366" s="635"/>
      <c r="U366" s="634"/>
      <c r="V366" s="634"/>
      <c r="W366" s="634"/>
      <c r="X366" s="634"/>
      <c r="Y366" s="634"/>
      <c r="Z366" s="634"/>
    </row>
    <row r="367" ht="15.75" customHeight="1">
      <c r="A367" s="634"/>
      <c r="B367" s="634"/>
      <c r="C367" s="634"/>
      <c r="D367" s="634"/>
      <c r="E367" s="635"/>
      <c r="F367" s="634"/>
      <c r="G367" s="636"/>
      <c r="H367" s="635"/>
      <c r="I367" s="635"/>
      <c r="J367" s="635"/>
      <c r="K367" s="635"/>
      <c r="L367" s="635"/>
      <c r="M367" s="635"/>
      <c r="N367" s="635"/>
      <c r="O367" s="635"/>
      <c r="P367" s="635"/>
      <c r="Q367" s="634"/>
      <c r="R367" s="634"/>
      <c r="S367" s="635"/>
      <c r="T367" s="635"/>
      <c r="U367" s="634"/>
      <c r="V367" s="634"/>
      <c r="W367" s="634"/>
      <c r="X367" s="634"/>
      <c r="Y367" s="634"/>
      <c r="Z367" s="634"/>
    </row>
    <row r="368" ht="15.75" customHeight="1">
      <c r="A368" s="634"/>
      <c r="B368" s="634"/>
      <c r="C368" s="634"/>
      <c r="D368" s="634"/>
      <c r="E368" s="635"/>
      <c r="F368" s="634"/>
      <c r="G368" s="636"/>
      <c r="H368" s="635"/>
      <c r="I368" s="635"/>
      <c r="J368" s="635"/>
      <c r="K368" s="635"/>
      <c r="L368" s="635"/>
      <c r="M368" s="635"/>
      <c r="N368" s="635"/>
      <c r="O368" s="635"/>
      <c r="P368" s="635"/>
      <c r="Q368" s="634"/>
      <c r="R368" s="634"/>
      <c r="S368" s="635"/>
      <c r="T368" s="635"/>
      <c r="U368" s="634"/>
      <c r="V368" s="634"/>
      <c r="W368" s="634"/>
      <c r="X368" s="634"/>
      <c r="Y368" s="634"/>
      <c r="Z368" s="634"/>
    </row>
    <row r="369" ht="15.75" customHeight="1">
      <c r="A369" s="634"/>
      <c r="B369" s="634"/>
      <c r="C369" s="634"/>
      <c r="D369" s="634"/>
      <c r="E369" s="635"/>
      <c r="F369" s="634"/>
      <c r="G369" s="636"/>
      <c r="H369" s="635"/>
      <c r="I369" s="635"/>
      <c r="J369" s="635"/>
      <c r="K369" s="635"/>
      <c r="L369" s="635"/>
      <c r="M369" s="635"/>
      <c r="N369" s="635"/>
      <c r="O369" s="635"/>
      <c r="P369" s="635"/>
      <c r="Q369" s="634"/>
      <c r="R369" s="634"/>
      <c r="S369" s="635"/>
      <c r="T369" s="635"/>
      <c r="U369" s="634"/>
      <c r="V369" s="634"/>
      <c r="W369" s="634"/>
      <c r="X369" s="634"/>
      <c r="Y369" s="634"/>
      <c r="Z369" s="634"/>
    </row>
    <row r="370" ht="15.75" customHeight="1">
      <c r="A370" s="634"/>
      <c r="B370" s="634"/>
      <c r="C370" s="634"/>
      <c r="D370" s="634"/>
      <c r="E370" s="635"/>
      <c r="F370" s="634"/>
      <c r="G370" s="636"/>
      <c r="H370" s="635"/>
      <c r="I370" s="635"/>
      <c r="J370" s="635"/>
      <c r="K370" s="635"/>
      <c r="L370" s="635"/>
      <c r="M370" s="635"/>
      <c r="N370" s="635"/>
      <c r="O370" s="635"/>
      <c r="P370" s="635"/>
      <c r="Q370" s="634"/>
      <c r="R370" s="634"/>
      <c r="S370" s="635"/>
      <c r="T370" s="635"/>
      <c r="U370" s="634"/>
      <c r="V370" s="634"/>
      <c r="W370" s="634"/>
      <c r="X370" s="634"/>
      <c r="Y370" s="634"/>
      <c r="Z370" s="634"/>
    </row>
    <row r="371" ht="15.75" customHeight="1">
      <c r="A371" s="634"/>
      <c r="B371" s="634"/>
      <c r="C371" s="634"/>
      <c r="D371" s="634"/>
      <c r="E371" s="635"/>
      <c r="F371" s="634"/>
      <c r="G371" s="636"/>
      <c r="H371" s="635"/>
      <c r="I371" s="635"/>
      <c r="J371" s="635"/>
      <c r="K371" s="635"/>
      <c r="L371" s="635"/>
      <c r="M371" s="635"/>
      <c r="N371" s="635"/>
      <c r="O371" s="635"/>
      <c r="P371" s="635"/>
      <c r="Q371" s="634"/>
      <c r="R371" s="634"/>
      <c r="S371" s="635"/>
      <c r="T371" s="635"/>
      <c r="U371" s="634"/>
      <c r="V371" s="634"/>
      <c r="W371" s="634"/>
      <c r="X371" s="634"/>
      <c r="Y371" s="634"/>
      <c r="Z371" s="634"/>
    </row>
    <row r="372" ht="15.75" customHeight="1">
      <c r="A372" s="634"/>
      <c r="B372" s="634"/>
      <c r="C372" s="634"/>
      <c r="D372" s="634"/>
      <c r="E372" s="635"/>
      <c r="F372" s="634"/>
      <c r="G372" s="636"/>
      <c r="H372" s="635"/>
      <c r="I372" s="635"/>
      <c r="J372" s="635"/>
      <c r="K372" s="635"/>
      <c r="L372" s="635"/>
      <c r="M372" s="635"/>
      <c r="N372" s="635"/>
      <c r="O372" s="635"/>
      <c r="P372" s="635"/>
      <c r="Q372" s="634"/>
      <c r="R372" s="634"/>
      <c r="S372" s="635"/>
      <c r="T372" s="635"/>
      <c r="U372" s="634"/>
      <c r="V372" s="634"/>
      <c r="W372" s="634"/>
      <c r="X372" s="634"/>
      <c r="Y372" s="634"/>
      <c r="Z372" s="634"/>
    </row>
    <row r="373" ht="15.75" customHeight="1">
      <c r="A373" s="634"/>
      <c r="B373" s="634"/>
      <c r="C373" s="634"/>
      <c r="D373" s="634"/>
      <c r="E373" s="635"/>
      <c r="F373" s="634"/>
      <c r="G373" s="636"/>
      <c r="H373" s="635"/>
      <c r="I373" s="635"/>
      <c r="J373" s="635"/>
      <c r="K373" s="635"/>
      <c r="L373" s="635"/>
      <c r="M373" s="635"/>
      <c r="N373" s="635"/>
      <c r="O373" s="635"/>
      <c r="P373" s="635"/>
      <c r="Q373" s="634"/>
      <c r="R373" s="634"/>
      <c r="S373" s="635"/>
      <c r="T373" s="635"/>
      <c r="U373" s="634"/>
      <c r="V373" s="634"/>
      <c r="W373" s="634"/>
      <c r="X373" s="634"/>
      <c r="Y373" s="634"/>
      <c r="Z373" s="634"/>
    </row>
    <row r="374" ht="15.75" customHeight="1">
      <c r="A374" s="634"/>
      <c r="B374" s="634"/>
      <c r="C374" s="634"/>
      <c r="D374" s="634"/>
      <c r="E374" s="635"/>
      <c r="F374" s="634"/>
      <c r="G374" s="636"/>
      <c r="H374" s="635"/>
      <c r="I374" s="635"/>
      <c r="J374" s="635"/>
      <c r="K374" s="635"/>
      <c r="L374" s="635"/>
      <c r="M374" s="635"/>
      <c r="N374" s="635"/>
      <c r="O374" s="635"/>
      <c r="P374" s="635"/>
      <c r="Q374" s="634"/>
      <c r="R374" s="634"/>
      <c r="S374" s="635"/>
      <c r="T374" s="635"/>
      <c r="U374" s="634"/>
      <c r="V374" s="634"/>
      <c r="W374" s="634"/>
      <c r="X374" s="634"/>
      <c r="Y374" s="634"/>
      <c r="Z374" s="634"/>
    </row>
    <row r="375" ht="15.75" customHeight="1">
      <c r="A375" s="634"/>
      <c r="B375" s="634"/>
      <c r="C375" s="634"/>
      <c r="D375" s="634"/>
      <c r="E375" s="635"/>
      <c r="F375" s="634"/>
      <c r="G375" s="636"/>
      <c r="H375" s="635"/>
      <c r="I375" s="635"/>
      <c r="J375" s="635"/>
      <c r="K375" s="635"/>
      <c r="L375" s="635"/>
      <c r="M375" s="635"/>
      <c r="N375" s="635"/>
      <c r="O375" s="635"/>
      <c r="P375" s="635"/>
      <c r="Q375" s="634"/>
      <c r="R375" s="634"/>
      <c r="S375" s="635"/>
      <c r="T375" s="635"/>
      <c r="U375" s="634"/>
      <c r="V375" s="634"/>
      <c r="W375" s="634"/>
      <c r="X375" s="634"/>
      <c r="Y375" s="634"/>
      <c r="Z375" s="634"/>
    </row>
    <row r="376" ht="15.75" customHeight="1">
      <c r="A376" s="634"/>
      <c r="B376" s="634"/>
      <c r="C376" s="634"/>
      <c r="D376" s="634"/>
      <c r="E376" s="635"/>
      <c r="F376" s="634"/>
      <c r="G376" s="636"/>
      <c r="H376" s="635"/>
      <c r="I376" s="635"/>
      <c r="J376" s="635"/>
      <c r="K376" s="635"/>
      <c r="L376" s="635"/>
      <c r="M376" s="635"/>
      <c r="N376" s="635"/>
      <c r="O376" s="635"/>
      <c r="P376" s="635"/>
      <c r="Q376" s="634"/>
      <c r="R376" s="634"/>
      <c r="S376" s="635"/>
      <c r="T376" s="635"/>
      <c r="U376" s="634"/>
      <c r="V376" s="634"/>
      <c r="W376" s="634"/>
      <c r="X376" s="634"/>
      <c r="Y376" s="634"/>
      <c r="Z376" s="634"/>
    </row>
    <row r="377" ht="15.75" customHeight="1">
      <c r="A377" s="634"/>
      <c r="B377" s="634"/>
      <c r="C377" s="634"/>
      <c r="D377" s="634"/>
      <c r="E377" s="635"/>
      <c r="F377" s="634"/>
      <c r="G377" s="636"/>
      <c r="H377" s="635"/>
      <c r="I377" s="635"/>
      <c r="J377" s="635"/>
      <c r="K377" s="635"/>
      <c r="L377" s="635"/>
      <c r="M377" s="635"/>
      <c r="N377" s="635"/>
      <c r="O377" s="635"/>
      <c r="P377" s="635"/>
      <c r="Q377" s="634"/>
      <c r="R377" s="634"/>
      <c r="S377" s="635"/>
      <c r="T377" s="635"/>
      <c r="U377" s="634"/>
      <c r="V377" s="634"/>
      <c r="W377" s="634"/>
      <c r="X377" s="634"/>
      <c r="Y377" s="634"/>
      <c r="Z377" s="634"/>
    </row>
    <row r="378" ht="15.75" customHeight="1">
      <c r="A378" s="634"/>
      <c r="B378" s="634"/>
      <c r="C378" s="634"/>
      <c r="D378" s="634"/>
      <c r="E378" s="635"/>
      <c r="F378" s="634"/>
      <c r="G378" s="636"/>
      <c r="H378" s="635"/>
      <c r="I378" s="635"/>
      <c r="J378" s="635"/>
      <c r="K378" s="635"/>
      <c r="L378" s="635"/>
      <c r="M378" s="635"/>
      <c r="N378" s="635"/>
      <c r="O378" s="635"/>
      <c r="P378" s="635"/>
      <c r="Q378" s="634"/>
      <c r="R378" s="634"/>
      <c r="S378" s="635"/>
      <c r="T378" s="635"/>
      <c r="U378" s="634"/>
      <c r="V378" s="634"/>
      <c r="W378" s="634"/>
      <c r="X378" s="634"/>
      <c r="Y378" s="634"/>
      <c r="Z378" s="634"/>
    </row>
    <row r="379" ht="15.75" customHeight="1">
      <c r="A379" s="634"/>
      <c r="B379" s="634"/>
      <c r="C379" s="634"/>
      <c r="D379" s="634"/>
      <c r="E379" s="635"/>
      <c r="F379" s="634"/>
      <c r="G379" s="636"/>
      <c r="H379" s="635"/>
      <c r="I379" s="635"/>
      <c r="J379" s="635"/>
      <c r="K379" s="635"/>
      <c r="L379" s="635"/>
      <c r="M379" s="635"/>
      <c r="N379" s="635"/>
      <c r="O379" s="635"/>
      <c r="P379" s="635"/>
      <c r="Q379" s="634"/>
      <c r="R379" s="634"/>
      <c r="S379" s="635"/>
      <c r="T379" s="635"/>
      <c r="U379" s="634"/>
      <c r="V379" s="634"/>
      <c r="W379" s="634"/>
      <c r="X379" s="634"/>
      <c r="Y379" s="634"/>
      <c r="Z379" s="634"/>
    </row>
    <row r="380" ht="15.75" customHeight="1">
      <c r="A380" s="634"/>
      <c r="B380" s="634"/>
      <c r="C380" s="634"/>
      <c r="D380" s="634"/>
      <c r="E380" s="635"/>
      <c r="F380" s="634"/>
      <c r="G380" s="636"/>
      <c r="H380" s="635"/>
      <c r="I380" s="635"/>
      <c r="J380" s="635"/>
      <c r="K380" s="635"/>
      <c r="L380" s="635"/>
      <c r="M380" s="635"/>
      <c r="N380" s="635"/>
      <c r="O380" s="635"/>
      <c r="P380" s="635"/>
      <c r="Q380" s="634"/>
      <c r="R380" s="634"/>
      <c r="S380" s="635"/>
      <c r="T380" s="635"/>
      <c r="U380" s="634"/>
      <c r="V380" s="634"/>
      <c r="W380" s="634"/>
      <c r="X380" s="634"/>
      <c r="Y380" s="634"/>
      <c r="Z380" s="634"/>
    </row>
    <row r="381" ht="15.75" customHeight="1">
      <c r="A381" s="634"/>
      <c r="B381" s="634"/>
      <c r="C381" s="634"/>
      <c r="D381" s="634"/>
      <c r="E381" s="635"/>
      <c r="F381" s="634"/>
      <c r="G381" s="636"/>
      <c r="H381" s="635"/>
      <c r="I381" s="635"/>
      <c r="J381" s="635"/>
      <c r="K381" s="635"/>
      <c r="L381" s="635"/>
      <c r="M381" s="635"/>
      <c r="N381" s="635"/>
      <c r="O381" s="635"/>
      <c r="P381" s="635"/>
      <c r="Q381" s="634"/>
      <c r="R381" s="634"/>
      <c r="S381" s="635"/>
      <c r="T381" s="635"/>
      <c r="U381" s="634"/>
      <c r="V381" s="634"/>
      <c r="W381" s="634"/>
      <c r="X381" s="634"/>
      <c r="Y381" s="634"/>
      <c r="Z381" s="634"/>
    </row>
    <row r="382" ht="15.75" customHeight="1">
      <c r="A382" s="634"/>
      <c r="B382" s="634"/>
      <c r="C382" s="634"/>
      <c r="D382" s="634"/>
      <c r="E382" s="635"/>
      <c r="F382" s="634"/>
      <c r="G382" s="636"/>
      <c r="H382" s="635"/>
      <c r="I382" s="635"/>
      <c r="J382" s="635"/>
      <c r="K382" s="635"/>
      <c r="L382" s="635"/>
      <c r="M382" s="635"/>
      <c r="N382" s="635"/>
      <c r="O382" s="635"/>
      <c r="P382" s="635"/>
      <c r="Q382" s="634"/>
      <c r="R382" s="634"/>
      <c r="S382" s="635"/>
      <c r="T382" s="635"/>
      <c r="U382" s="634"/>
      <c r="V382" s="634"/>
      <c r="W382" s="634"/>
      <c r="X382" s="634"/>
      <c r="Y382" s="634"/>
      <c r="Z382" s="634"/>
    </row>
    <row r="383" ht="15.75" customHeight="1">
      <c r="A383" s="634"/>
      <c r="B383" s="634"/>
      <c r="C383" s="634"/>
      <c r="D383" s="634"/>
      <c r="E383" s="635"/>
      <c r="F383" s="634"/>
      <c r="G383" s="636"/>
      <c r="H383" s="635"/>
      <c r="I383" s="635"/>
      <c r="J383" s="635"/>
      <c r="K383" s="635"/>
      <c r="L383" s="635"/>
      <c r="M383" s="635"/>
      <c r="N383" s="635"/>
      <c r="O383" s="635"/>
      <c r="P383" s="635"/>
      <c r="Q383" s="634"/>
      <c r="R383" s="634"/>
      <c r="S383" s="635"/>
      <c r="T383" s="635"/>
      <c r="U383" s="634"/>
      <c r="V383" s="634"/>
      <c r="W383" s="634"/>
      <c r="X383" s="634"/>
      <c r="Y383" s="634"/>
      <c r="Z383" s="634"/>
    </row>
    <row r="384" ht="15.75" customHeight="1">
      <c r="A384" s="634"/>
      <c r="B384" s="634"/>
      <c r="C384" s="634"/>
      <c r="D384" s="634"/>
      <c r="E384" s="635"/>
      <c r="F384" s="634"/>
      <c r="G384" s="636"/>
      <c r="H384" s="635"/>
      <c r="I384" s="635"/>
      <c r="J384" s="635"/>
      <c r="K384" s="635"/>
      <c r="L384" s="635"/>
      <c r="M384" s="635"/>
      <c r="N384" s="635"/>
      <c r="O384" s="635"/>
      <c r="P384" s="635"/>
      <c r="Q384" s="634"/>
      <c r="R384" s="634"/>
      <c r="S384" s="635"/>
      <c r="T384" s="635"/>
      <c r="U384" s="634"/>
      <c r="V384" s="634"/>
      <c r="W384" s="634"/>
      <c r="X384" s="634"/>
      <c r="Y384" s="634"/>
      <c r="Z384" s="634"/>
    </row>
    <row r="385" ht="15.75" customHeight="1">
      <c r="A385" s="634"/>
      <c r="B385" s="634"/>
      <c r="C385" s="634"/>
      <c r="D385" s="634"/>
      <c r="E385" s="635"/>
      <c r="F385" s="634"/>
      <c r="G385" s="636"/>
      <c r="H385" s="635"/>
      <c r="I385" s="635"/>
      <c r="J385" s="635"/>
      <c r="K385" s="635"/>
      <c r="L385" s="635"/>
      <c r="M385" s="635"/>
      <c r="N385" s="635"/>
      <c r="O385" s="635"/>
      <c r="P385" s="635"/>
      <c r="Q385" s="634"/>
      <c r="R385" s="634"/>
      <c r="S385" s="635"/>
      <c r="T385" s="635"/>
      <c r="U385" s="634"/>
      <c r="V385" s="634"/>
      <c r="W385" s="634"/>
      <c r="X385" s="634"/>
      <c r="Y385" s="634"/>
      <c r="Z385" s="634"/>
    </row>
    <row r="386" ht="15.75" customHeight="1">
      <c r="A386" s="634"/>
      <c r="B386" s="634"/>
      <c r="C386" s="634"/>
      <c r="D386" s="634"/>
      <c r="E386" s="635"/>
      <c r="F386" s="634"/>
      <c r="G386" s="636"/>
      <c r="H386" s="635"/>
      <c r="I386" s="635"/>
      <c r="J386" s="635"/>
      <c r="K386" s="635"/>
      <c r="L386" s="635"/>
      <c r="M386" s="635"/>
      <c r="N386" s="635"/>
      <c r="O386" s="635"/>
      <c r="P386" s="635"/>
      <c r="Q386" s="634"/>
      <c r="R386" s="634"/>
      <c r="S386" s="635"/>
      <c r="T386" s="635"/>
      <c r="U386" s="634"/>
      <c r="V386" s="634"/>
      <c r="W386" s="634"/>
      <c r="X386" s="634"/>
      <c r="Y386" s="634"/>
      <c r="Z386" s="634"/>
    </row>
    <row r="387" ht="15.75" customHeight="1">
      <c r="A387" s="634"/>
      <c r="B387" s="634"/>
      <c r="C387" s="634"/>
      <c r="D387" s="634"/>
      <c r="E387" s="635"/>
      <c r="F387" s="634"/>
      <c r="G387" s="636"/>
      <c r="H387" s="635"/>
      <c r="I387" s="635"/>
      <c r="J387" s="635"/>
      <c r="K387" s="635"/>
      <c r="L387" s="635"/>
      <c r="M387" s="635"/>
      <c r="N387" s="635"/>
      <c r="O387" s="635"/>
      <c r="P387" s="635"/>
      <c r="Q387" s="634"/>
      <c r="R387" s="634"/>
      <c r="S387" s="635"/>
      <c r="T387" s="635"/>
      <c r="U387" s="634"/>
      <c r="V387" s="634"/>
      <c r="W387" s="634"/>
      <c r="X387" s="634"/>
      <c r="Y387" s="634"/>
      <c r="Z387" s="634"/>
    </row>
    <row r="388" ht="15.75" customHeight="1">
      <c r="A388" s="634"/>
      <c r="B388" s="634"/>
      <c r="C388" s="634"/>
      <c r="D388" s="634"/>
      <c r="E388" s="635"/>
      <c r="F388" s="634"/>
      <c r="G388" s="636"/>
      <c r="H388" s="635"/>
      <c r="I388" s="635"/>
      <c r="J388" s="635"/>
      <c r="K388" s="635"/>
      <c r="L388" s="635"/>
      <c r="M388" s="635"/>
      <c r="N388" s="635"/>
      <c r="O388" s="635"/>
      <c r="P388" s="635"/>
      <c r="Q388" s="634"/>
      <c r="R388" s="634"/>
      <c r="S388" s="635"/>
      <c r="T388" s="635"/>
      <c r="U388" s="634"/>
      <c r="V388" s="634"/>
      <c r="W388" s="634"/>
      <c r="X388" s="634"/>
      <c r="Y388" s="634"/>
      <c r="Z388" s="634"/>
    </row>
    <row r="389" ht="15.75" customHeight="1">
      <c r="A389" s="634"/>
      <c r="B389" s="634"/>
      <c r="C389" s="634"/>
      <c r="D389" s="634"/>
      <c r="E389" s="635"/>
      <c r="F389" s="634"/>
      <c r="G389" s="636"/>
      <c r="H389" s="635"/>
      <c r="I389" s="635"/>
      <c r="J389" s="635"/>
      <c r="K389" s="635"/>
      <c r="L389" s="635"/>
      <c r="M389" s="635"/>
      <c r="N389" s="635"/>
      <c r="O389" s="635"/>
      <c r="P389" s="635"/>
      <c r="Q389" s="634"/>
      <c r="R389" s="634"/>
      <c r="S389" s="635"/>
      <c r="T389" s="635"/>
      <c r="U389" s="634"/>
      <c r="V389" s="634"/>
      <c r="W389" s="634"/>
      <c r="X389" s="634"/>
      <c r="Y389" s="634"/>
      <c r="Z389" s="634"/>
    </row>
    <row r="390" ht="15.75" customHeight="1">
      <c r="A390" s="634"/>
      <c r="B390" s="634"/>
      <c r="C390" s="634"/>
      <c r="D390" s="634"/>
      <c r="E390" s="635"/>
      <c r="F390" s="634"/>
      <c r="G390" s="636"/>
      <c r="H390" s="635"/>
      <c r="I390" s="635"/>
      <c r="J390" s="635"/>
      <c r="K390" s="635"/>
      <c r="L390" s="635"/>
      <c r="M390" s="635"/>
      <c r="N390" s="635"/>
      <c r="O390" s="635"/>
      <c r="P390" s="635"/>
      <c r="Q390" s="634"/>
      <c r="R390" s="634"/>
      <c r="S390" s="635"/>
      <c r="T390" s="635"/>
      <c r="U390" s="634"/>
      <c r="V390" s="634"/>
      <c r="W390" s="634"/>
      <c r="X390" s="634"/>
      <c r="Y390" s="634"/>
      <c r="Z390" s="634"/>
    </row>
    <row r="391" ht="15.75" customHeight="1">
      <c r="A391" s="634"/>
      <c r="B391" s="634"/>
      <c r="C391" s="634"/>
      <c r="D391" s="634"/>
      <c r="E391" s="635"/>
      <c r="F391" s="634"/>
      <c r="G391" s="636"/>
      <c r="H391" s="635"/>
      <c r="I391" s="635"/>
      <c r="J391" s="635"/>
      <c r="K391" s="635"/>
      <c r="L391" s="635"/>
      <c r="M391" s="635"/>
      <c r="N391" s="635"/>
      <c r="O391" s="635"/>
      <c r="P391" s="635"/>
      <c r="Q391" s="634"/>
      <c r="R391" s="634"/>
      <c r="S391" s="635"/>
      <c r="T391" s="635"/>
      <c r="U391" s="634"/>
      <c r="V391" s="634"/>
      <c r="W391" s="634"/>
      <c r="X391" s="634"/>
      <c r="Y391" s="634"/>
      <c r="Z391" s="634"/>
    </row>
    <row r="392" ht="15.75" customHeight="1">
      <c r="A392" s="634"/>
      <c r="B392" s="634"/>
      <c r="C392" s="634"/>
      <c r="D392" s="634"/>
      <c r="E392" s="635"/>
      <c r="F392" s="634"/>
      <c r="G392" s="636"/>
      <c r="H392" s="635"/>
      <c r="I392" s="635"/>
      <c r="J392" s="635"/>
      <c r="K392" s="635"/>
      <c r="L392" s="635"/>
      <c r="M392" s="635"/>
      <c r="N392" s="635"/>
      <c r="O392" s="635"/>
      <c r="P392" s="635"/>
      <c r="Q392" s="634"/>
      <c r="R392" s="634"/>
      <c r="S392" s="635"/>
      <c r="T392" s="635"/>
      <c r="U392" s="634"/>
      <c r="V392" s="634"/>
      <c r="W392" s="634"/>
      <c r="X392" s="634"/>
      <c r="Y392" s="634"/>
      <c r="Z392" s="634"/>
    </row>
    <row r="393" ht="15.75" customHeight="1">
      <c r="A393" s="634"/>
      <c r="B393" s="634"/>
      <c r="C393" s="634"/>
      <c r="D393" s="634"/>
      <c r="E393" s="635"/>
      <c r="F393" s="634"/>
      <c r="G393" s="636"/>
      <c r="H393" s="635"/>
      <c r="I393" s="635"/>
      <c r="J393" s="635"/>
      <c r="K393" s="635"/>
      <c r="L393" s="635"/>
      <c r="M393" s="635"/>
      <c r="N393" s="635"/>
      <c r="O393" s="635"/>
      <c r="P393" s="635"/>
      <c r="Q393" s="634"/>
      <c r="R393" s="634"/>
      <c r="S393" s="635"/>
      <c r="T393" s="635"/>
      <c r="U393" s="634"/>
      <c r="V393" s="634"/>
      <c r="W393" s="634"/>
      <c r="X393" s="634"/>
      <c r="Y393" s="634"/>
      <c r="Z393" s="634"/>
    </row>
    <row r="394" ht="15.75" customHeight="1">
      <c r="A394" s="634"/>
      <c r="B394" s="634"/>
      <c r="C394" s="634"/>
      <c r="D394" s="634"/>
      <c r="E394" s="635"/>
      <c r="F394" s="634"/>
      <c r="G394" s="636"/>
      <c r="H394" s="635"/>
      <c r="I394" s="635"/>
      <c r="J394" s="635"/>
      <c r="K394" s="635"/>
      <c r="L394" s="635"/>
      <c r="M394" s="635"/>
      <c r="N394" s="635"/>
      <c r="O394" s="635"/>
      <c r="P394" s="635"/>
      <c r="Q394" s="634"/>
      <c r="R394" s="634"/>
      <c r="S394" s="635"/>
      <c r="T394" s="635"/>
      <c r="U394" s="634"/>
      <c r="V394" s="634"/>
      <c r="W394" s="634"/>
      <c r="X394" s="634"/>
      <c r="Y394" s="634"/>
      <c r="Z394" s="634"/>
    </row>
    <row r="395" ht="15.75" customHeight="1">
      <c r="A395" s="634"/>
      <c r="B395" s="634"/>
      <c r="C395" s="634"/>
      <c r="D395" s="634"/>
      <c r="E395" s="635"/>
      <c r="F395" s="634"/>
      <c r="G395" s="636"/>
      <c r="H395" s="635"/>
      <c r="I395" s="635"/>
      <c r="J395" s="635"/>
      <c r="K395" s="635"/>
      <c r="L395" s="635"/>
      <c r="M395" s="635"/>
      <c r="N395" s="635"/>
      <c r="O395" s="635"/>
      <c r="P395" s="635"/>
      <c r="Q395" s="634"/>
      <c r="R395" s="634"/>
      <c r="S395" s="635"/>
      <c r="T395" s="635"/>
      <c r="U395" s="634"/>
      <c r="V395" s="634"/>
      <c r="W395" s="634"/>
      <c r="X395" s="634"/>
      <c r="Y395" s="634"/>
      <c r="Z395" s="634"/>
    </row>
    <row r="396" ht="15.75" customHeight="1">
      <c r="A396" s="634"/>
      <c r="B396" s="634"/>
      <c r="C396" s="634"/>
      <c r="D396" s="634"/>
      <c r="E396" s="635"/>
      <c r="F396" s="634"/>
      <c r="G396" s="636"/>
      <c r="H396" s="635"/>
      <c r="I396" s="635"/>
      <c r="J396" s="635"/>
      <c r="K396" s="635"/>
      <c r="L396" s="635"/>
      <c r="M396" s="635"/>
      <c r="N396" s="635"/>
      <c r="O396" s="635"/>
      <c r="P396" s="635"/>
      <c r="Q396" s="634"/>
      <c r="R396" s="634"/>
      <c r="S396" s="635"/>
      <c r="T396" s="635"/>
      <c r="U396" s="634"/>
      <c r="V396" s="634"/>
      <c r="W396" s="634"/>
      <c r="X396" s="634"/>
      <c r="Y396" s="634"/>
      <c r="Z396" s="634"/>
    </row>
    <row r="397" ht="15.75" customHeight="1">
      <c r="A397" s="634"/>
      <c r="B397" s="634"/>
      <c r="C397" s="634"/>
      <c r="D397" s="634"/>
      <c r="E397" s="635"/>
      <c r="F397" s="634"/>
      <c r="G397" s="636"/>
      <c r="H397" s="635"/>
      <c r="I397" s="635"/>
      <c r="J397" s="635"/>
      <c r="K397" s="635"/>
      <c r="L397" s="635"/>
      <c r="M397" s="635"/>
      <c r="N397" s="635"/>
      <c r="O397" s="635"/>
      <c r="P397" s="635"/>
      <c r="Q397" s="634"/>
      <c r="R397" s="634"/>
      <c r="S397" s="635"/>
      <c r="T397" s="635"/>
      <c r="U397" s="634"/>
      <c r="V397" s="634"/>
      <c r="W397" s="634"/>
      <c r="X397" s="634"/>
      <c r="Y397" s="634"/>
      <c r="Z397" s="634"/>
    </row>
    <row r="398" ht="15.75" customHeight="1">
      <c r="A398" s="634"/>
      <c r="B398" s="634"/>
      <c r="C398" s="634"/>
      <c r="D398" s="634"/>
      <c r="E398" s="635"/>
      <c r="F398" s="634"/>
      <c r="G398" s="636"/>
      <c r="H398" s="635"/>
      <c r="I398" s="635"/>
      <c r="J398" s="635"/>
      <c r="K398" s="635"/>
      <c r="L398" s="635"/>
      <c r="M398" s="635"/>
      <c r="N398" s="635"/>
      <c r="O398" s="635"/>
      <c r="P398" s="635"/>
      <c r="Q398" s="634"/>
      <c r="R398" s="634"/>
      <c r="S398" s="635"/>
      <c r="T398" s="635"/>
      <c r="U398" s="634"/>
      <c r="V398" s="634"/>
      <c r="W398" s="634"/>
      <c r="X398" s="634"/>
      <c r="Y398" s="634"/>
      <c r="Z398" s="634"/>
    </row>
    <row r="399" ht="15.75" customHeight="1">
      <c r="A399" s="634"/>
      <c r="B399" s="634"/>
      <c r="C399" s="634"/>
      <c r="D399" s="634"/>
      <c r="E399" s="635"/>
      <c r="F399" s="634"/>
      <c r="G399" s="636"/>
      <c r="H399" s="635"/>
      <c r="I399" s="635"/>
      <c r="J399" s="635"/>
      <c r="K399" s="635"/>
      <c r="L399" s="635"/>
      <c r="M399" s="635"/>
      <c r="N399" s="635"/>
      <c r="O399" s="635"/>
      <c r="P399" s="635"/>
      <c r="Q399" s="634"/>
      <c r="R399" s="634"/>
      <c r="S399" s="635"/>
      <c r="T399" s="635"/>
      <c r="U399" s="634"/>
      <c r="V399" s="634"/>
      <c r="W399" s="634"/>
      <c r="X399" s="634"/>
      <c r="Y399" s="634"/>
      <c r="Z399" s="634"/>
    </row>
    <row r="400" ht="15.75" customHeight="1">
      <c r="A400" s="634"/>
      <c r="B400" s="634"/>
      <c r="C400" s="634"/>
      <c r="D400" s="634"/>
      <c r="E400" s="635"/>
      <c r="F400" s="634"/>
      <c r="G400" s="636"/>
      <c r="H400" s="635"/>
      <c r="I400" s="635"/>
      <c r="J400" s="635"/>
      <c r="K400" s="635"/>
      <c r="L400" s="635"/>
      <c r="M400" s="635"/>
      <c r="N400" s="635"/>
      <c r="O400" s="635"/>
      <c r="P400" s="635"/>
      <c r="Q400" s="634"/>
      <c r="R400" s="634"/>
      <c r="S400" s="635"/>
      <c r="T400" s="635"/>
      <c r="U400" s="634"/>
      <c r="V400" s="634"/>
      <c r="W400" s="634"/>
      <c r="X400" s="634"/>
      <c r="Y400" s="634"/>
      <c r="Z400" s="634"/>
    </row>
    <row r="401" ht="15.75" customHeight="1">
      <c r="A401" s="634"/>
      <c r="B401" s="634"/>
      <c r="C401" s="634"/>
      <c r="D401" s="634"/>
      <c r="E401" s="635"/>
      <c r="F401" s="634"/>
      <c r="G401" s="636"/>
      <c r="H401" s="635"/>
      <c r="I401" s="635"/>
      <c r="J401" s="635"/>
      <c r="K401" s="635"/>
      <c r="L401" s="635"/>
      <c r="M401" s="635"/>
      <c r="N401" s="635"/>
      <c r="O401" s="635"/>
      <c r="P401" s="635"/>
      <c r="Q401" s="634"/>
      <c r="R401" s="634"/>
      <c r="S401" s="635"/>
      <c r="T401" s="635"/>
      <c r="U401" s="634"/>
      <c r="V401" s="634"/>
      <c r="W401" s="634"/>
      <c r="X401" s="634"/>
      <c r="Y401" s="634"/>
      <c r="Z401" s="634"/>
    </row>
    <row r="402" ht="15.75" customHeight="1">
      <c r="A402" s="634"/>
      <c r="B402" s="634"/>
      <c r="C402" s="634"/>
      <c r="D402" s="634"/>
      <c r="E402" s="635"/>
      <c r="F402" s="634"/>
      <c r="G402" s="636"/>
      <c r="H402" s="635"/>
      <c r="I402" s="635"/>
      <c r="J402" s="635"/>
      <c r="K402" s="635"/>
      <c r="L402" s="635"/>
      <c r="M402" s="635"/>
      <c r="N402" s="635"/>
      <c r="O402" s="635"/>
      <c r="P402" s="635"/>
      <c r="Q402" s="634"/>
      <c r="R402" s="634"/>
      <c r="S402" s="635"/>
      <c r="T402" s="635"/>
      <c r="U402" s="634"/>
      <c r="V402" s="634"/>
      <c r="W402" s="634"/>
      <c r="X402" s="634"/>
      <c r="Y402" s="634"/>
      <c r="Z402" s="634"/>
    </row>
    <row r="403" ht="15.75" customHeight="1">
      <c r="A403" s="634"/>
      <c r="B403" s="634"/>
      <c r="C403" s="634"/>
      <c r="D403" s="634"/>
      <c r="E403" s="635"/>
      <c r="F403" s="634"/>
      <c r="G403" s="636"/>
      <c r="H403" s="635"/>
      <c r="I403" s="635"/>
      <c r="J403" s="635"/>
      <c r="K403" s="635"/>
      <c r="L403" s="635"/>
      <c r="M403" s="635"/>
      <c r="N403" s="635"/>
      <c r="O403" s="635"/>
      <c r="P403" s="635"/>
      <c r="Q403" s="634"/>
      <c r="R403" s="634"/>
      <c r="S403" s="635"/>
      <c r="T403" s="635"/>
      <c r="U403" s="634"/>
      <c r="V403" s="634"/>
      <c r="W403" s="634"/>
      <c r="X403" s="634"/>
      <c r="Y403" s="634"/>
      <c r="Z403" s="634"/>
    </row>
    <row r="404" ht="15.75" customHeight="1">
      <c r="A404" s="634"/>
      <c r="B404" s="634"/>
      <c r="C404" s="634"/>
      <c r="D404" s="634"/>
      <c r="E404" s="635"/>
      <c r="F404" s="634"/>
      <c r="G404" s="636"/>
      <c r="H404" s="635"/>
      <c r="I404" s="635"/>
      <c r="J404" s="635"/>
      <c r="K404" s="635"/>
      <c r="L404" s="635"/>
      <c r="M404" s="635"/>
      <c r="N404" s="635"/>
      <c r="O404" s="635"/>
      <c r="P404" s="635"/>
      <c r="Q404" s="634"/>
      <c r="R404" s="634"/>
      <c r="S404" s="635"/>
      <c r="T404" s="635"/>
      <c r="U404" s="634"/>
      <c r="V404" s="634"/>
      <c r="W404" s="634"/>
      <c r="X404" s="634"/>
      <c r="Y404" s="634"/>
      <c r="Z404" s="634"/>
    </row>
    <row r="405" ht="15.75" customHeight="1">
      <c r="A405" s="634"/>
      <c r="B405" s="634"/>
      <c r="C405" s="634"/>
      <c r="D405" s="634"/>
      <c r="E405" s="635"/>
      <c r="F405" s="634"/>
      <c r="G405" s="636"/>
      <c r="H405" s="635"/>
      <c r="I405" s="635"/>
      <c r="J405" s="635"/>
      <c r="K405" s="635"/>
      <c r="L405" s="635"/>
      <c r="M405" s="635"/>
      <c r="N405" s="635"/>
      <c r="O405" s="635"/>
      <c r="P405" s="635"/>
      <c r="Q405" s="634"/>
      <c r="R405" s="634"/>
      <c r="S405" s="635"/>
      <c r="T405" s="635"/>
      <c r="U405" s="634"/>
      <c r="V405" s="634"/>
      <c r="W405" s="634"/>
      <c r="X405" s="634"/>
      <c r="Y405" s="634"/>
      <c r="Z405" s="634"/>
    </row>
    <row r="406" ht="15.75" customHeight="1">
      <c r="A406" s="634"/>
      <c r="B406" s="634"/>
      <c r="C406" s="634"/>
      <c r="D406" s="634"/>
      <c r="E406" s="635"/>
      <c r="F406" s="634"/>
      <c r="G406" s="636"/>
      <c r="H406" s="635"/>
      <c r="I406" s="635"/>
      <c r="J406" s="635"/>
      <c r="K406" s="635"/>
      <c r="L406" s="635"/>
      <c r="M406" s="635"/>
      <c r="N406" s="635"/>
      <c r="O406" s="635"/>
      <c r="P406" s="635"/>
      <c r="Q406" s="634"/>
      <c r="R406" s="634"/>
      <c r="S406" s="635"/>
      <c r="T406" s="635"/>
      <c r="U406" s="634"/>
      <c r="V406" s="634"/>
      <c r="W406" s="634"/>
      <c r="X406" s="634"/>
      <c r="Y406" s="634"/>
      <c r="Z406" s="634"/>
    </row>
    <row r="407" ht="15.75" customHeight="1">
      <c r="A407" s="634"/>
      <c r="B407" s="634"/>
      <c r="C407" s="634"/>
      <c r="D407" s="634"/>
      <c r="E407" s="635"/>
      <c r="F407" s="634"/>
      <c r="G407" s="636"/>
      <c r="H407" s="635"/>
      <c r="I407" s="635"/>
      <c r="J407" s="635"/>
      <c r="K407" s="635"/>
      <c r="L407" s="635"/>
      <c r="M407" s="635"/>
      <c r="N407" s="635"/>
      <c r="O407" s="635"/>
      <c r="P407" s="635"/>
      <c r="Q407" s="634"/>
      <c r="R407" s="634"/>
      <c r="S407" s="635"/>
      <c r="T407" s="635"/>
      <c r="U407" s="634"/>
      <c r="V407" s="634"/>
      <c r="W407" s="634"/>
      <c r="X407" s="634"/>
      <c r="Y407" s="634"/>
      <c r="Z407" s="634"/>
    </row>
    <row r="408" ht="15.75" customHeight="1">
      <c r="A408" s="634"/>
      <c r="B408" s="634"/>
      <c r="C408" s="634"/>
      <c r="D408" s="634"/>
      <c r="E408" s="635"/>
      <c r="F408" s="634"/>
      <c r="G408" s="636"/>
      <c r="H408" s="635"/>
      <c r="I408" s="635"/>
      <c r="J408" s="635"/>
      <c r="K408" s="635"/>
      <c r="L408" s="635"/>
      <c r="M408" s="635"/>
      <c r="N408" s="635"/>
      <c r="O408" s="635"/>
      <c r="P408" s="635"/>
      <c r="Q408" s="634"/>
      <c r="R408" s="634"/>
      <c r="S408" s="635"/>
      <c r="T408" s="635"/>
      <c r="U408" s="634"/>
      <c r="V408" s="634"/>
      <c r="W408" s="634"/>
      <c r="X408" s="634"/>
      <c r="Y408" s="634"/>
      <c r="Z408" s="634"/>
    </row>
    <row r="409" ht="15.75" customHeight="1">
      <c r="A409" s="634"/>
      <c r="B409" s="634"/>
      <c r="C409" s="634"/>
      <c r="D409" s="634"/>
      <c r="E409" s="635"/>
      <c r="F409" s="634"/>
      <c r="G409" s="636"/>
      <c r="H409" s="635"/>
      <c r="I409" s="635"/>
      <c r="J409" s="635"/>
      <c r="K409" s="635"/>
      <c r="L409" s="635"/>
      <c r="M409" s="635"/>
      <c r="N409" s="635"/>
      <c r="O409" s="635"/>
      <c r="P409" s="635"/>
      <c r="Q409" s="634"/>
      <c r="R409" s="634"/>
      <c r="S409" s="635"/>
      <c r="T409" s="635"/>
      <c r="U409" s="634"/>
      <c r="V409" s="634"/>
      <c r="W409" s="634"/>
      <c r="X409" s="634"/>
      <c r="Y409" s="634"/>
      <c r="Z409" s="634"/>
    </row>
    <row r="410" ht="15.75" customHeight="1">
      <c r="A410" s="634"/>
      <c r="B410" s="634"/>
      <c r="C410" s="634"/>
      <c r="D410" s="634"/>
      <c r="E410" s="635"/>
      <c r="F410" s="634"/>
      <c r="G410" s="636"/>
      <c r="H410" s="635"/>
      <c r="I410" s="635"/>
      <c r="J410" s="635"/>
      <c r="K410" s="635"/>
      <c r="L410" s="635"/>
      <c r="M410" s="635"/>
      <c r="N410" s="635"/>
      <c r="O410" s="635"/>
      <c r="P410" s="635"/>
      <c r="Q410" s="634"/>
      <c r="R410" s="634"/>
      <c r="S410" s="635"/>
      <c r="T410" s="635"/>
      <c r="U410" s="634"/>
      <c r="V410" s="634"/>
      <c r="W410" s="634"/>
      <c r="X410" s="634"/>
      <c r="Y410" s="634"/>
      <c r="Z410" s="634"/>
    </row>
    <row r="411" ht="15.75" customHeight="1">
      <c r="A411" s="634"/>
      <c r="B411" s="634"/>
      <c r="C411" s="634"/>
      <c r="D411" s="634"/>
      <c r="E411" s="635"/>
      <c r="F411" s="634"/>
      <c r="G411" s="636"/>
      <c r="H411" s="635"/>
      <c r="I411" s="635"/>
      <c r="J411" s="635"/>
      <c r="K411" s="635"/>
      <c r="L411" s="635"/>
      <c r="M411" s="635"/>
      <c r="N411" s="635"/>
      <c r="O411" s="635"/>
      <c r="P411" s="635"/>
      <c r="Q411" s="634"/>
      <c r="R411" s="634"/>
      <c r="S411" s="635"/>
      <c r="T411" s="635"/>
      <c r="U411" s="634"/>
      <c r="V411" s="634"/>
      <c r="W411" s="634"/>
      <c r="X411" s="634"/>
      <c r="Y411" s="634"/>
      <c r="Z411" s="634"/>
    </row>
    <row r="412" ht="15.75" customHeight="1">
      <c r="A412" s="634"/>
      <c r="B412" s="634"/>
      <c r="C412" s="634"/>
      <c r="D412" s="634"/>
      <c r="E412" s="635"/>
      <c r="F412" s="634"/>
      <c r="G412" s="636"/>
      <c r="H412" s="635"/>
      <c r="I412" s="635"/>
      <c r="J412" s="635"/>
      <c r="K412" s="635"/>
      <c r="L412" s="635"/>
      <c r="M412" s="635"/>
      <c r="N412" s="635"/>
      <c r="O412" s="635"/>
      <c r="P412" s="635"/>
      <c r="Q412" s="634"/>
      <c r="R412" s="634"/>
      <c r="S412" s="635"/>
      <c r="T412" s="635"/>
      <c r="U412" s="634"/>
      <c r="V412" s="634"/>
      <c r="W412" s="634"/>
      <c r="X412" s="634"/>
      <c r="Y412" s="634"/>
      <c r="Z412" s="634"/>
    </row>
    <row r="413" ht="15.75" customHeight="1">
      <c r="A413" s="634"/>
      <c r="B413" s="634"/>
      <c r="C413" s="634"/>
      <c r="D413" s="634"/>
      <c r="E413" s="635"/>
      <c r="F413" s="634"/>
      <c r="G413" s="636"/>
      <c r="H413" s="635"/>
      <c r="I413" s="635"/>
      <c r="J413" s="635"/>
      <c r="K413" s="635"/>
      <c r="L413" s="635"/>
      <c r="M413" s="635"/>
      <c r="N413" s="635"/>
      <c r="O413" s="635"/>
      <c r="P413" s="635"/>
      <c r="Q413" s="634"/>
      <c r="R413" s="634"/>
      <c r="S413" s="635"/>
      <c r="T413" s="635"/>
      <c r="U413" s="634"/>
      <c r="V413" s="634"/>
      <c r="W413" s="634"/>
      <c r="X413" s="634"/>
      <c r="Y413" s="634"/>
      <c r="Z413" s="634"/>
    </row>
    <row r="414" ht="15.75" customHeight="1">
      <c r="A414" s="634"/>
      <c r="B414" s="634"/>
      <c r="C414" s="634"/>
      <c r="D414" s="634"/>
      <c r="E414" s="635"/>
      <c r="F414" s="634"/>
      <c r="G414" s="636"/>
      <c r="H414" s="635"/>
      <c r="I414" s="635"/>
      <c r="J414" s="635"/>
      <c r="K414" s="635"/>
      <c r="L414" s="635"/>
      <c r="M414" s="635"/>
      <c r="N414" s="635"/>
      <c r="O414" s="635"/>
      <c r="P414" s="635"/>
      <c r="Q414" s="634"/>
      <c r="R414" s="634"/>
      <c r="S414" s="635"/>
      <c r="T414" s="635"/>
      <c r="U414" s="634"/>
      <c r="V414" s="634"/>
      <c r="W414" s="634"/>
      <c r="X414" s="634"/>
      <c r="Y414" s="634"/>
      <c r="Z414" s="634"/>
    </row>
    <row r="415" ht="15.75" customHeight="1">
      <c r="A415" s="634"/>
      <c r="B415" s="634"/>
      <c r="C415" s="634"/>
      <c r="D415" s="634"/>
      <c r="E415" s="635"/>
      <c r="F415" s="634"/>
      <c r="G415" s="636"/>
      <c r="H415" s="635"/>
      <c r="I415" s="635"/>
      <c r="J415" s="635"/>
      <c r="K415" s="635"/>
      <c r="L415" s="635"/>
      <c r="M415" s="635"/>
      <c r="N415" s="635"/>
      <c r="O415" s="635"/>
      <c r="P415" s="635"/>
      <c r="Q415" s="634"/>
      <c r="R415" s="634"/>
      <c r="S415" s="635"/>
      <c r="T415" s="635"/>
      <c r="U415" s="634"/>
      <c r="V415" s="634"/>
      <c r="W415" s="634"/>
      <c r="X415" s="634"/>
      <c r="Y415" s="634"/>
      <c r="Z415" s="634"/>
    </row>
    <row r="416" ht="15.75" customHeight="1">
      <c r="A416" s="634"/>
      <c r="B416" s="634"/>
      <c r="C416" s="634"/>
      <c r="D416" s="634"/>
      <c r="E416" s="635"/>
      <c r="F416" s="634"/>
      <c r="G416" s="636"/>
      <c r="H416" s="635"/>
      <c r="I416" s="635"/>
      <c r="J416" s="635"/>
      <c r="K416" s="635"/>
      <c r="L416" s="635"/>
      <c r="M416" s="635"/>
      <c r="N416" s="635"/>
      <c r="O416" s="635"/>
      <c r="P416" s="635"/>
      <c r="Q416" s="634"/>
      <c r="R416" s="634"/>
      <c r="S416" s="635"/>
      <c r="T416" s="635"/>
      <c r="U416" s="634"/>
      <c r="V416" s="634"/>
      <c r="W416" s="634"/>
      <c r="X416" s="634"/>
      <c r="Y416" s="634"/>
      <c r="Z416" s="634"/>
    </row>
    <row r="417" ht="15.75" customHeight="1">
      <c r="A417" s="634"/>
      <c r="B417" s="634"/>
      <c r="C417" s="634"/>
      <c r="D417" s="634"/>
      <c r="E417" s="635"/>
      <c r="F417" s="634"/>
      <c r="G417" s="636"/>
      <c r="H417" s="635"/>
      <c r="I417" s="635"/>
      <c r="J417" s="635"/>
      <c r="K417" s="635"/>
      <c r="L417" s="635"/>
      <c r="M417" s="635"/>
      <c r="N417" s="635"/>
      <c r="O417" s="635"/>
      <c r="P417" s="635"/>
      <c r="Q417" s="634"/>
      <c r="R417" s="634"/>
      <c r="S417" s="635"/>
      <c r="T417" s="635"/>
      <c r="U417" s="634"/>
      <c r="V417" s="634"/>
      <c r="W417" s="634"/>
      <c r="X417" s="634"/>
      <c r="Y417" s="634"/>
      <c r="Z417" s="634"/>
    </row>
    <row r="418" ht="15.75" customHeight="1">
      <c r="A418" s="634"/>
      <c r="B418" s="634"/>
      <c r="C418" s="634"/>
      <c r="D418" s="634"/>
      <c r="E418" s="635"/>
      <c r="F418" s="634"/>
      <c r="G418" s="636"/>
      <c r="H418" s="635"/>
      <c r="I418" s="635"/>
      <c r="J418" s="635"/>
      <c r="K418" s="635"/>
      <c r="L418" s="635"/>
      <c r="M418" s="635"/>
      <c r="N418" s="635"/>
      <c r="O418" s="635"/>
      <c r="P418" s="635"/>
      <c r="Q418" s="634"/>
      <c r="R418" s="634"/>
      <c r="S418" s="635"/>
      <c r="T418" s="635"/>
      <c r="U418" s="634"/>
      <c r="V418" s="634"/>
      <c r="W418" s="634"/>
      <c r="X418" s="634"/>
      <c r="Y418" s="634"/>
      <c r="Z418" s="634"/>
    </row>
    <row r="419" ht="15.75" customHeight="1">
      <c r="A419" s="634"/>
      <c r="B419" s="634"/>
      <c r="C419" s="634"/>
      <c r="D419" s="634"/>
      <c r="E419" s="635"/>
      <c r="F419" s="634"/>
      <c r="G419" s="636"/>
      <c r="H419" s="635"/>
      <c r="I419" s="635"/>
      <c r="J419" s="635"/>
      <c r="K419" s="635"/>
      <c r="L419" s="635"/>
      <c r="M419" s="635"/>
      <c r="N419" s="635"/>
      <c r="O419" s="635"/>
      <c r="P419" s="635"/>
      <c r="Q419" s="634"/>
      <c r="R419" s="634"/>
      <c r="S419" s="635"/>
      <c r="T419" s="635"/>
      <c r="U419" s="634"/>
      <c r="V419" s="634"/>
      <c r="W419" s="634"/>
      <c r="X419" s="634"/>
      <c r="Y419" s="634"/>
      <c r="Z419" s="634"/>
    </row>
    <row r="420" ht="15.75" customHeight="1">
      <c r="A420" s="634"/>
      <c r="B420" s="634"/>
      <c r="C420" s="634"/>
      <c r="D420" s="634"/>
      <c r="E420" s="635"/>
      <c r="F420" s="634"/>
      <c r="G420" s="636"/>
      <c r="H420" s="635"/>
      <c r="I420" s="635"/>
      <c r="J420" s="635"/>
      <c r="K420" s="635"/>
      <c r="L420" s="635"/>
      <c r="M420" s="635"/>
      <c r="N420" s="635"/>
      <c r="O420" s="635"/>
      <c r="P420" s="635"/>
      <c r="Q420" s="634"/>
      <c r="R420" s="634"/>
      <c r="S420" s="635"/>
      <c r="T420" s="635"/>
      <c r="U420" s="634"/>
      <c r="V420" s="634"/>
      <c r="W420" s="634"/>
      <c r="X420" s="634"/>
      <c r="Y420" s="634"/>
      <c r="Z420" s="634"/>
    </row>
    <row r="421" ht="15.75" customHeight="1">
      <c r="A421" s="634"/>
      <c r="B421" s="634"/>
      <c r="C421" s="634"/>
      <c r="D421" s="634"/>
      <c r="E421" s="635"/>
      <c r="F421" s="634"/>
      <c r="G421" s="636"/>
      <c r="H421" s="635"/>
      <c r="I421" s="635"/>
      <c r="J421" s="635"/>
      <c r="K421" s="635"/>
      <c r="L421" s="635"/>
      <c r="M421" s="635"/>
      <c r="N421" s="635"/>
      <c r="O421" s="635"/>
      <c r="P421" s="635"/>
      <c r="Q421" s="634"/>
      <c r="R421" s="634"/>
      <c r="S421" s="635"/>
      <c r="T421" s="635"/>
      <c r="U421" s="634"/>
      <c r="V421" s="634"/>
      <c r="W421" s="634"/>
      <c r="X421" s="634"/>
      <c r="Y421" s="634"/>
      <c r="Z421" s="634"/>
    </row>
    <row r="422" ht="15.75" customHeight="1">
      <c r="A422" s="634"/>
      <c r="B422" s="634"/>
      <c r="C422" s="634"/>
      <c r="D422" s="634"/>
      <c r="E422" s="635"/>
      <c r="F422" s="634"/>
      <c r="G422" s="636"/>
      <c r="H422" s="635"/>
      <c r="I422" s="635"/>
      <c r="J422" s="635"/>
      <c r="K422" s="635"/>
      <c r="L422" s="635"/>
      <c r="M422" s="635"/>
      <c r="N422" s="635"/>
      <c r="O422" s="635"/>
      <c r="P422" s="635"/>
      <c r="Q422" s="634"/>
      <c r="R422" s="634"/>
      <c r="S422" s="635"/>
      <c r="T422" s="635"/>
      <c r="U422" s="634"/>
      <c r="V422" s="634"/>
      <c r="W422" s="634"/>
      <c r="X422" s="634"/>
      <c r="Y422" s="634"/>
      <c r="Z422" s="634"/>
    </row>
    <row r="423" ht="15.75" customHeight="1">
      <c r="A423" s="634"/>
      <c r="B423" s="634"/>
      <c r="C423" s="634"/>
      <c r="D423" s="634"/>
      <c r="E423" s="635"/>
      <c r="F423" s="634"/>
      <c r="G423" s="636"/>
      <c r="H423" s="635"/>
      <c r="I423" s="635"/>
      <c r="J423" s="635"/>
      <c r="K423" s="635"/>
      <c r="L423" s="635"/>
      <c r="M423" s="635"/>
      <c r="N423" s="635"/>
      <c r="O423" s="635"/>
      <c r="P423" s="635"/>
      <c r="Q423" s="634"/>
      <c r="R423" s="634"/>
      <c r="S423" s="635"/>
      <c r="T423" s="635"/>
      <c r="U423" s="634"/>
      <c r="V423" s="634"/>
      <c r="W423" s="634"/>
      <c r="X423" s="634"/>
      <c r="Y423" s="634"/>
      <c r="Z423" s="634"/>
    </row>
    <row r="424" ht="15.75" customHeight="1">
      <c r="A424" s="634"/>
      <c r="B424" s="634"/>
      <c r="C424" s="634"/>
      <c r="D424" s="634"/>
      <c r="E424" s="635"/>
      <c r="F424" s="634"/>
      <c r="G424" s="636"/>
      <c r="H424" s="635"/>
      <c r="I424" s="635"/>
      <c r="J424" s="635"/>
      <c r="K424" s="635"/>
      <c r="L424" s="635"/>
      <c r="M424" s="635"/>
      <c r="N424" s="635"/>
      <c r="O424" s="635"/>
      <c r="P424" s="635"/>
      <c r="Q424" s="634"/>
      <c r="R424" s="634"/>
      <c r="S424" s="635"/>
      <c r="T424" s="635"/>
      <c r="U424" s="634"/>
      <c r="V424" s="634"/>
      <c r="W424" s="634"/>
      <c r="X424" s="634"/>
      <c r="Y424" s="634"/>
      <c r="Z424" s="634"/>
    </row>
    <row r="425" ht="15.75" customHeight="1">
      <c r="A425" s="634"/>
      <c r="B425" s="634"/>
      <c r="C425" s="634"/>
      <c r="D425" s="634"/>
      <c r="E425" s="635"/>
      <c r="F425" s="634"/>
      <c r="G425" s="636"/>
      <c r="H425" s="635"/>
      <c r="I425" s="635"/>
      <c r="J425" s="635"/>
      <c r="K425" s="635"/>
      <c r="L425" s="635"/>
      <c r="M425" s="635"/>
      <c r="N425" s="635"/>
      <c r="O425" s="635"/>
      <c r="P425" s="635"/>
      <c r="Q425" s="634"/>
      <c r="R425" s="634"/>
      <c r="S425" s="635"/>
      <c r="T425" s="635"/>
      <c r="U425" s="634"/>
      <c r="V425" s="634"/>
      <c r="W425" s="634"/>
      <c r="X425" s="634"/>
      <c r="Y425" s="634"/>
      <c r="Z425" s="634"/>
    </row>
    <row r="426" ht="15.75" customHeight="1">
      <c r="A426" s="634"/>
      <c r="B426" s="634"/>
      <c r="C426" s="634"/>
      <c r="D426" s="634"/>
      <c r="E426" s="635"/>
      <c r="F426" s="634"/>
      <c r="G426" s="636"/>
      <c r="H426" s="635"/>
      <c r="I426" s="635"/>
      <c r="J426" s="635"/>
      <c r="K426" s="635"/>
      <c r="L426" s="635"/>
      <c r="M426" s="635"/>
      <c r="N426" s="635"/>
      <c r="O426" s="635"/>
      <c r="P426" s="635"/>
      <c r="Q426" s="634"/>
      <c r="R426" s="634"/>
      <c r="S426" s="635"/>
      <c r="T426" s="635"/>
      <c r="U426" s="634"/>
      <c r="V426" s="634"/>
      <c r="W426" s="634"/>
      <c r="X426" s="634"/>
      <c r="Y426" s="634"/>
      <c r="Z426" s="634"/>
    </row>
    <row r="427" ht="15.75" customHeight="1">
      <c r="A427" s="634"/>
      <c r="B427" s="634"/>
      <c r="C427" s="634"/>
      <c r="D427" s="634"/>
      <c r="E427" s="635"/>
      <c r="F427" s="634"/>
      <c r="G427" s="636"/>
      <c r="H427" s="635"/>
      <c r="I427" s="635"/>
      <c r="J427" s="635"/>
      <c r="K427" s="635"/>
      <c r="L427" s="635"/>
      <c r="M427" s="635"/>
      <c r="N427" s="635"/>
      <c r="O427" s="635"/>
      <c r="P427" s="635"/>
      <c r="Q427" s="634"/>
      <c r="R427" s="634"/>
      <c r="S427" s="635"/>
      <c r="T427" s="635"/>
      <c r="U427" s="634"/>
      <c r="V427" s="634"/>
      <c r="W427" s="634"/>
      <c r="X427" s="634"/>
      <c r="Y427" s="634"/>
      <c r="Z427" s="634"/>
    </row>
    <row r="428" ht="15.75" customHeight="1">
      <c r="A428" s="634"/>
      <c r="B428" s="634"/>
      <c r="C428" s="634"/>
      <c r="D428" s="634"/>
      <c r="E428" s="635"/>
      <c r="F428" s="634"/>
      <c r="G428" s="636"/>
      <c r="H428" s="635"/>
      <c r="I428" s="635"/>
      <c r="J428" s="635"/>
      <c r="K428" s="635"/>
      <c r="L428" s="635"/>
      <c r="M428" s="635"/>
      <c r="N428" s="635"/>
      <c r="O428" s="635"/>
      <c r="P428" s="635"/>
      <c r="Q428" s="634"/>
      <c r="R428" s="634"/>
      <c r="S428" s="635"/>
      <c r="T428" s="635"/>
      <c r="U428" s="634"/>
      <c r="V428" s="634"/>
      <c r="W428" s="634"/>
      <c r="X428" s="634"/>
      <c r="Y428" s="634"/>
      <c r="Z428" s="634"/>
    </row>
    <row r="429" ht="15.75" customHeight="1">
      <c r="A429" s="634"/>
      <c r="B429" s="634"/>
      <c r="C429" s="634"/>
      <c r="D429" s="634"/>
      <c r="E429" s="635"/>
      <c r="F429" s="634"/>
      <c r="G429" s="636"/>
      <c r="H429" s="635"/>
      <c r="I429" s="635"/>
      <c r="J429" s="635"/>
      <c r="K429" s="635"/>
      <c r="L429" s="635"/>
      <c r="M429" s="635"/>
      <c r="N429" s="635"/>
      <c r="O429" s="635"/>
      <c r="P429" s="635"/>
      <c r="Q429" s="634"/>
      <c r="R429" s="634"/>
      <c r="S429" s="635"/>
      <c r="T429" s="635"/>
      <c r="U429" s="634"/>
      <c r="V429" s="634"/>
      <c r="W429" s="634"/>
      <c r="X429" s="634"/>
      <c r="Y429" s="634"/>
      <c r="Z429" s="634"/>
    </row>
    <row r="430" ht="15.75" customHeight="1">
      <c r="A430" s="634"/>
      <c r="B430" s="634"/>
      <c r="C430" s="634"/>
      <c r="D430" s="634"/>
      <c r="E430" s="635"/>
      <c r="F430" s="634"/>
      <c r="G430" s="636"/>
      <c r="H430" s="635"/>
      <c r="I430" s="635"/>
      <c r="J430" s="635"/>
      <c r="K430" s="635"/>
      <c r="L430" s="635"/>
      <c r="M430" s="635"/>
      <c r="N430" s="635"/>
      <c r="O430" s="635"/>
      <c r="P430" s="635"/>
      <c r="Q430" s="634"/>
      <c r="R430" s="634"/>
      <c r="S430" s="635"/>
      <c r="T430" s="635"/>
      <c r="U430" s="634"/>
      <c r="V430" s="634"/>
      <c r="W430" s="634"/>
      <c r="X430" s="634"/>
      <c r="Y430" s="634"/>
      <c r="Z430" s="634"/>
    </row>
    <row r="431" ht="15.75" customHeight="1">
      <c r="A431" s="634"/>
      <c r="B431" s="634"/>
      <c r="C431" s="634"/>
      <c r="D431" s="634"/>
      <c r="E431" s="635"/>
      <c r="F431" s="634"/>
      <c r="G431" s="636"/>
      <c r="H431" s="635"/>
      <c r="I431" s="635"/>
      <c r="J431" s="635"/>
      <c r="K431" s="635"/>
      <c r="L431" s="635"/>
      <c r="M431" s="635"/>
      <c r="N431" s="635"/>
      <c r="O431" s="635"/>
      <c r="P431" s="635"/>
      <c r="Q431" s="634"/>
      <c r="R431" s="634"/>
      <c r="S431" s="635"/>
      <c r="T431" s="635"/>
      <c r="U431" s="634"/>
      <c r="V431" s="634"/>
      <c r="W431" s="634"/>
      <c r="X431" s="634"/>
      <c r="Y431" s="634"/>
      <c r="Z431" s="634"/>
    </row>
    <row r="432" ht="15.75" customHeight="1">
      <c r="A432" s="634"/>
      <c r="B432" s="634"/>
      <c r="C432" s="634"/>
      <c r="D432" s="634"/>
      <c r="E432" s="635"/>
      <c r="F432" s="634"/>
      <c r="G432" s="636"/>
      <c r="H432" s="635"/>
      <c r="I432" s="635"/>
      <c r="J432" s="635"/>
      <c r="K432" s="635"/>
      <c r="L432" s="635"/>
      <c r="M432" s="635"/>
      <c r="N432" s="635"/>
      <c r="O432" s="635"/>
      <c r="P432" s="635"/>
      <c r="Q432" s="634"/>
      <c r="R432" s="634"/>
      <c r="S432" s="635"/>
      <c r="T432" s="635"/>
      <c r="U432" s="634"/>
      <c r="V432" s="634"/>
      <c r="W432" s="634"/>
      <c r="X432" s="634"/>
      <c r="Y432" s="634"/>
      <c r="Z432" s="634"/>
    </row>
    <row r="433" ht="15.75" customHeight="1">
      <c r="A433" s="634"/>
      <c r="B433" s="634"/>
      <c r="C433" s="634"/>
      <c r="D433" s="634"/>
      <c r="E433" s="635"/>
      <c r="F433" s="634"/>
      <c r="G433" s="636"/>
      <c r="H433" s="635"/>
      <c r="I433" s="635"/>
      <c r="J433" s="635"/>
      <c r="K433" s="635"/>
      <c r="L433" s="635"/>
      <c r="M433" s="635"/>
      <c r="N433" s="635"/>
      <c r="O433" s="635"/>
      <c r="P433" s="635"/>
      <c r="Q433" s="634"/>
      <c r="R433" s="634"/>
      <c r="S433" s="635"/>
      <c r="T433" s="635"/>
      <c r="U433" s="634"/>
      <c r="V433" s="634"/>
      <c r="W433" s="634"/>
      <c r="X433" s="634"/>
      <c r="Y433" s="634"/>
      <c r="Z433" s="634"/>
    </row>
    <row r="434" ht="15.75" customHeight="1">
      <c r="A434" s="634"/>
      <c r="B434" s="634"/>
      <c r="C434" s="634"/>
      <c r="D434" s="634"/>
      <c r="E434" s="635"/>
      <c r="F434" s="634"/>
      <c r="G434" s="636"/>
      <c r="H434" s="635"/>
      <c r="I434" s="635"/>
      <c r="J434" s="635"/>
      <c r="K434" s="635"/>
      <c r="L434" s="635"/>
      <c r="M434" s="635"/>
      <c r="N434" s="635"/>
      <c r="O434" s="635"/>
      <c r="P434" s="635"/>
      <c r="Q434" s="634"/>
      <c r="R434" s="634"/>
      <c r="S434" s="635"/>
      <c r="T434" s="635"/>
      <c r="U434" s="634"/>
      <c r="V434" s="634"/>
      <c r="W434" s="634"/>
      <c r="X434" s="634"/>
      <c r="Y434" s="634"/>
      <c r="Z434" s="634"/>
    </row>
    <row r="435" ht="15.75" customHeight="1">
      <c r="A435" s="634"/>
      <c r="B435" s="634"/>
      <c r="C435" s="634"/>
      <c r="D435" s="634"/>
      <c r="E435" s="635"/>
      <c r="F435" s="634"/>
      <c r="G435" s="636"/>
      <c r="H435" s="635"/>
      <c r="I435" s="635"/>
      <c r="J435" s="635"/>
      <c r="K435" s="635"/>
      <c r="L435" s="635"/>
      <c r="M435" s="635"/>
      <c r="N435" s="635"/>
      <c r="O435" s="635"/>
      <c r="P435" s="635"/>
      <c r="Q435" s="634"/>
      <c r="R435" s="634"/>
      <c r="S435" s="635"/>
      <c r="T435" s="635"/>
      <c r="U435" s="634"/>
      <c r="V435" s="634"/>
      <c r="W435" s="634"/>
      <c r="X435" s="634"/>
      <c r="Y435" s="634"/>
      <c r="Z435" s="634"/>
    </row>
    <row r="436" ht="15.75" customHeight="1">
      <c r="A436" s="634"/>
      <c r="B436" s="634"/>
      <c r="C436" s="634"/>
      <c r="D436" s="634"/>
      <c r="E436" s="635"/>
      <c r="F436" s="634"/>
      <c r="G436" s="636"/>
      <c r="H436" s="635"/>
      <c r="I436" s="635"/>
      <c r="J436" s="635"/>
      <c r="K436" s="635"/>
      <c r="L436" s="635"/>
      <c r="M436" s="635"/>
      <c r="N436" s="635"/>
      <c r="O436" s="635"/>
      <c r="P436" s="635"/>
      <c r="Q436" s="634"/>
      <c r="R436" s="634"/>
      <c r="S436" s="635"/>
      <c r="T436" s="635"/>
      <c r="U436" s="634"/>
      <c r="V436" s="634"/>
      <c r="W436" s="634"/>
      <c r="X436" s="634"/>
      <c r="Y436" s="634"/>
      <c r="Z436" s="634"/>
    </row>
    <row r="437" ht="15.75" customHeight="1">
      <c r="A437" s="634"/>
      <c r="B437" s="634"/>
      <c r="C437" s="634"/>
      <c r="D437" s="634"/>
      <c r="E437" s="635"/>
      <c r="F437" s="634"/>
      <c r="G437" s="636"/>
      <c r="H437" s="635"/>
      <c r="I437" s="635"/>
      <c r="J437" s="635"/>
      <c r="K437" s="635"/>
      <c r="L437" s="635"/>
      <c r="M437" s="635"/>
      <c r="N437" s="635"/>
      <c r="O437" s="635"/>
      <c r="P437" s="635"/>
      <c r="Q437" s="634"/>
      <c r="R437" s="634"/>
      <c r="S437" s="635"/>
      <c r="T437" s="635"/>
      <c r="U437" s="634"/>
      <c r="V437" s="634"/>
      <c r="W437" s="634"/>
      <c r="X437" s="634"/>
      <c r="Y437" s="634"/>
      <c r="Z437" s="634"/>
    </row>
    <row r="438" ht="15.75" customHeight="1">
      <c r="A438" s="634"/>
      <c r="B438" s="634"/>
      <c r="C438" s="634"/>
      <c r="D438" s="634"/>
      <c r="E438" s="635"/>
      <c r="F438" s="634"/>
      <c r="G438" s="636"/>
      <c r="H438" s="635"/>
      <c r="I438" s="635"/>
      <c r="J438" s="635"/>
      <c r="K438" s="635"/>
      <c r="L438" s="635"/>
      <c r="M438" s="635"/>
      <c r="N438" s="635"/>
      <c r="O438" s="635"/>
      <c r="P438" s="635"/>
      <c r="Q438" s="634"/>
      <c r="R438" s="634"/>
      <c r="S438" s="635"/>
      <c r="T438" s="635"/>
      <c r="U438" s="634"/>
      <c r="V438" s="634"/>
      <c r="W438" s="634"/>
      <c r="X438" s="634"/>
      <c r="Y438" s="634"/>
      <c r="Z438" s="634"/>
    </row>
    <row r="439" ht="15.75" customHeight="1">
      <c r="A439" s="634"/>
      <c r="B439" s="634"/>
      <c r="C439" s="634"/>
      <c r="D439" s="634"/>
      <c r="E439" s="635"/>
      <c r="F439" s="634"/>
      <c r="G439" s="636"/>
      <c r="H439" s="635"/>
      <c r="I439" s="635"/>
      <c r="J439" s="635"/>
      <c r="K439" s="635"/>
      <c r="L439" s="635"/>
      <c r="M439" s="635"/>
      <c r="N439" s="635"/>
      <c r="O439" s="635"/>
      <c r="P439" s="635"/>
      <c r="Q439" s="634"/>
      <c r="R439" s="634"/>
      <c r="S439" s="635"/>
      <c r="T439" s="635"/>
      <c r="U439" s="634"/>
      <c r="V439" s="634"/>
      <c r="W439" s="634"/>
      <c r="X439" s="634"/>
      <c r="Y439" s="634"/>
      <c r="Z439" s="634"/>
    </row>
    <row r="440" ht="15.75" customHeight="1">
      <c r="A440" s="634"/>
      <c r="B440" s="634"/>
      <c r="C440" s="634"/>
      <c r="D440" s="634"/>
      <c r="E440" s="635"/>
      <c r="F440" s="634"/>
      <c r="G440" s="636"/>
      <c r="H440" s="635"/>
      <c r="I440" s="635"/>
      <c r="J440" s="635"/>
      <c r="K440" s="635"/>
      <c r="L440" s="635"/>
      <c r="M440" s="635"/>
      <c r="N440" s="635"/>
      <c r="O440" s="635"/>
      <c r="P440" s="635"/>
      <c r="Q440" s="634"/>
      <c r="R440" s="634"/>
      <c r="S440" s="635"/>
      <c r="T440" s="635"/>
      <c r="U440" s="634"/>
      <c r="V440" s="634"/>
      <c r="W440" s="634"/>
      <c r="X440" s="634"/>
      <c r="Y440" s="634"/>
      <c r="Z440" s="634"/>
    </row>
    <row r="441" ht="15.75" customHeight="1">
      <c r="A441" s="634"/>
      <c r="B441" s="634"/>
      <c r="C441" s="634"/>
      <c r="D441" s="634"/>
      <c r="E441" s="635"/>
      <c r="F441" s="634"/>
      <c r="G441" s="636"/>
      <c r="H441" s="635"/>
      <c r="I441" s="635"/>
      <c r="J441" s="635"/>
      <c r="K441" s="635"/>
      <c r="L441" s="635"/>
      <c r="M441" s="635"/>
      <c r="N441" s="635"/>
      <c r="O441" s="635"/>
      <c r="P441" s="635"/>
      <c r="Q441" s="634"/>
      <c r="R441" s="634"/>
      <c r="S441" s="635"/>
      <c r="T441" s="635"/>
      <c r="U441" s="634"/>
      <c r="V441" s="634"/>
      <c r="W441" s="634"/>
      <c r="X441" s="634"/>
      <c r="Y441" s="634"/>
      <c r="Z441" s="634"/>
    </row>
    <row r="442" ht="15.75" customHeight="1">
      <c r="A442" s="634"/>
      <c r="B442" s="634"/>
      <c r="C442" s="634"/>
      <c r="D442" s="634"/>
      <c r="E442" s="635"/>
      <c r="F442" s="634"/>
      <c r="G442" s="636"/>
      <c r="H442" s="635"/>
      <c r="I442" s="635"/>
      <c r="J442" s="635"/>
      <c r="K442" s="635"/>
      <c r="L442" s="635"/>
      <c r="M442" s="635"/>
      <c r="N442" s="635"/>
      <c r="O442" s="635"/>
      <c r="P442" s="635"/>
      <c r="Q442" s="634"/>
      <c r="R442" s="634"/>
      <c r="S442" s="635"/>
      <c r="T442" s="635"/>
      <c r="U442" s="634"/>
      <c r="V442" s="634"/>
      <c r="W442" s="634"/>
      <c r="X442" s="634"/>
      <c r="Y442" s="634"/>
      <c r="Z442" s="634"/>
    </row>
    <row r="443" ht="15.75" customHeight="1">
      <c r="A443" s="634"/>
      <c r="B443" s="634"/>
      <c r="C443" s="634"/>
      <c r="D443" s="634"/>
      <c r="E443" s="635"/>
      <c r="F443" s="634"/>
      <c r="G443" s="636"/>
      <c r="H443" s="635"/>
      <c r="I443" s="635"/>
      <c r="J443" s="635"/>
      <c r="K443" s="635"/>
      <c r="L443" s="635"/>
      <c r="M443" s="635"/>
      <c r="N443" s="635"/>
      <c r="O443" s="635"/>
      <c r="P443" s="635"/>
      <c r="Q443" s="634"/>
      <c r="R443" s="634"/>
      <c r="S443" s="635"/>
      <c r="T443" s="635"/>
      <c r="U443" s="634"/>
      <c r="V443" s="634"/>
      <c r="W443" s="634"/>
      <c r="X443" s="634"/>
      <c r="Y443" s="634"/>
      <c r="Z443" s="634"/>
    </row>
    <row r="444" ht="15.75" customHeight="1">
      <c r="A444" s="634"/>
      <c r="B444" s="634"/>
      <c r="C444" s="634"/>
      <c r="D444" s="634"/>
      <c r="E444" s="635"/>
      <c r="F444" s="634"/>
      <c r="G444" s="636"/>
      <c r="H444" s="635"/>
      <c r="I444" s="635"/>
      <c r="J444" s="635"/>
      <c r="K444" s="635"/>
      <c r="L444" s="635"/>
      <c r="M444" s="635"/>
      <c r="N444" s="635"/>
      <c r="O444" s="635"/>
      <c r="P444" s="635"/>
      <c r="Q444" s="634"/>
      <c r="R444" s="634"/>
      <c r="S444" s="635"/>
      <c r="T444" s="635"/>
      <c r="U444" s="634"/>
      <c r="V444" s="634"/>
      <c r="W444" s="634"/>
      <c r="X444" s="634"/>
      <c r="Y444" s="634"/>
      <c r="Z444" s="634"/>
    </row>
    <row r="445" ht="15.75" customHeight="1">
      <c r="A445" s="634"/>
      <c r="B445" s="634"/>
      <c r="C445" s="634"/>
      <c r="D445" s="634"/>
      <c r="E445" s="635"/>
      <c r="F445" s="634"/>
      <c r="G445" s="636"/>
      <c r="H445" s="635"/>
      <c r="I445" s="635"/>
      <c r="J445" s="635"/>
      <c r="K445" s="635"/>
      <c r="L445" s="635"/>
      <c r="M445" s="635"/>
      <c r="N445" s="635"/>
      <c r="O445" s="635"/>
      <c r="P445" s="635"/>
      <c r="Q445" s="634"/>
      <c r="R445" s="634"/>
      <c r="S445" s="635"/>
      <c r="T445" s="635"/>
      <c r="U445" s="634"/>
      <c r="V445" s="634"/>
      <c r="W445" s="634"/>
      <c r="X445" s="634"/>
      <c r="Y445" s="634"/>
      <c r="Z445" s="634"/>
    </row>
    <row r="446" ht="15.75" customHeight="1">
      <c r="A446" s="634"/>
      <c r="B446" s="634"/>
      <c r="C446" s="634"/>
      <c r="D446" s="634"/>
      <c r="E446" s="635"/>
      <c r="F446" s="634"/>
      <c r="G446" s="636"/>
      <c r="H446" s="635"/>
      <c r="I446" s="635"/>
      <c r="J446" s="635"/>
      <c r="K446" s="635"/>
      <c r="L446" s="635"/>
      <c r="M446" s="635"/>
      <c r="N446" s="635"/>
      <c r="O446" s="635"/>
      <c r="P446" s="635"/>
      <c r="Q446" s="634"/>
      <c r="R446" s="634"/>
      <c r="S446" s="635"/>
      <c r="T446" s="635"/>
      <c r="U446" s="634"/>
      <c r="V446" s="634"/>
      <c r="W446" s="634"/>
      <c r="X446" s="634"/>
      <c r="Y446" s="634"/>
      <c r="Z446" s="634"/>
    </row>
    <row r="447" ht="15.75" customHeight="1">
      <c r="A447" s="634"/>
      <c r="B447" s="634"/>
      <c r="C447" s="634"/>
      <c r="D447" s="634"/>
      <c r="E447" s="635"/>
      <c r="F447" s="634"/>
      <c r="G447" s="636"/>
      <c r="H447" s="635"/>
      <c r="I447" s="635"/>
      <c r="J447" s="635"/>
      <c r="K447" s="635"/>
      <c r="L447" s="635"/>
      <c r="M447" s="635"/>
      <c r="N447" s="635"/>
      <c r="O447" s="635"/>
      <c r="P447" s="635"/>
      <c r="Q447" s="634"/>
      <c r="R447" s="634"/>
      <c r="S447" s="635"/>
      <c r="T447" s="635"/>
      <c r="U447" s="634"/>
      <c r="V447" s="634"/>
      <c r="W447" s="634"/>
      <c r="X447" s="634"/>
      <c r="Y447" s="634"/>
      <c r="Z447" s="634"/>
    </row>
    <row r="448" ht="15.75" customHeight="1">
      <c r="A448" s="634"/>
      <c r="B448" s="634"/>
      <c r="C448" s="634"/>
      <c r="D448" s="634"/>
      <c r="E448" s="635"/>
      <c r="F448" s="634"/>
      <c r="G448" s="636"/>
      <c r="H448" s="635"/>
      <c r="I448" s="635"/>
      <c r="J448" s="635"/>
      <c r="K448" s="635"/>
      <c r="L448" s="635"/>
      <c r="M448" s="635"/>
      <c r="N448" s="635"/>
      <c r="O448" s="635"/>
      <c r="P448" s="635"/>
      <c r="Q448" s="634"/>
      <c r="R448" s="634"/>
      <c r="S448" s="635"/>
      <c r="T448" s="635"/>
      <c r="U448" s="634"/>
      <c r="V448" s="634"/>
      <c r="W448" s="634"/>
      <c r="X448" s="634"/>
      <c r="Y448" s="634"/>
      <c r="Z448" s="634"/>
    </row>
    <row r="449" ht="15.75" customHeight="1">
      <c r="A449" s="634"/>
      <c r="B449" s="634"/>
      <c r="C449" s="634"/>
      <c r="D449" s="634"/>
      <c r="E449" s="635"/>
      <c r="F449" s="634"/>
      <c r="G449" s="636"/>
      <c r="H449" s="635"/>
      <c r="I449" s="635"/>
      <c r="J449" s="635"/>
      <c r="K449" s="635"/>
      <c r="L449" s="635"/>
      <c r="M449" s="635"/>
      <c r="N449" s="635"/>
      <c r="O449" s="635"/>
      <c r="P449" s="635"/>
      <c r="Q449" s="634"/>
      <c r="R449" s="634"/>
      <c r="S449" s="635"/>
      <c r="T449" s="635"/>
      <c r="U449" s="634"/>
      <c r="V449" s="634"/>
      <c r="W449" s="634"/>
      <c r="X449" s="634"/>
      <c r="Y449" s="634"/>
      <c r="Z449" s="634"/>
    </row>
    <row r="450" ht="15.75" customHeight="1">
      <c r="A450" s="634"/>
      <c r="B450" s="634"/>
      <c r="C450" s="634"/>
      <c r="D450" s="634"/>
      <c r="E450" s="635"/>
      <c r="F450" s="634"/>
      <c r="G450" s="636"/>
      <c r="H450" s="635"/>
      <c r="I450" s="635"/>
      <c r="J450" s="635"/>
      <c r="K450" s="635"/>
      <c r="L450" s="635"/>
      <c r="M450" s="635"/>
      <c r="N450" s="635"/>
      <c r="O450" s="635"/>
      <c r="P450" s="635"/>
      <c r="Q450" s="634"/>
      <c r="R450" s="634"/>
      <c r="S450" s="635"/>
      <c r="T450" s="635"/>
      <c r="U450" s="634"/>
      <c r="V450" s="634"/>
      <c r="W450" s="634"/>
      <c r="X450" s="634"/>
      <c r="Y450" s="634"/>
      <c r="Z450" s="634"/>
    </row>
    <row r="451" ht="15.75" customHeight="1">
      <c r="A451" s="634"/>
      <c r="B451" s="634"/>
      <c r="C451" s="634"/>
      <c r="D451" s="634"/>
      <c r="E451" s="635"/>
      <c r="F451" s="634"/>
      <c r="G451" s="636"/>
      <c r="H451" s="635"/>
      <c r="I451" s="635"/>
      <c r="J451" s="635"/>
      <c r="K451" s="635"/>
      <c r="L451" s="635"/>
      <c r="M451" s="635"/>
      <c r="N451" s="635"/>
      <c r="O451" s="635"/>
      <c r="P451" s="635"/>
      <c r="Q451" s="634"/>
      <c r="R451" s="634"/>
      <c r="S451" s="635"/>
      <c r="T451" s="635"/>
      <c r="U451" s="634"/>
      <c r="V451" s="634"/>
      <c r="W451" s="634"/>
      <c r="X451" s="634"/>
      <c r="Y451" s="634"/>
      <c r="Z451" s="634"/>
    </row>
    <row r="452" ht="15.75" customHeight="1">
      <c r="A452" s="634"/>
      <c r="B452" s="634"/>
      <c r="C452" s="634"/>
      <c r="D452" s="634"/>
      <c r="E452" s="635"/>
      <c r="F452" s="634"/>
      <c r="G452" s="636"/>
      <c r="H452" s="635"/>
      <c r="I452" s="635"/>
      <c r="J452" s="635"/>
      <c r="K452" s="635"/>
      <c r="L452" s="635"/>
      <c r="M452" s="635"/>
      <c r="N452" s="635"/>
      <c r="O452" s="635"/>
      <c r="P452" s="635"/>
      <c r="Q452" s="634"/>
      <c r="R452" s="634"/>
      <c r="S452" s="635"/>
      <c r="T452" s="635"/>
      <c r="U452" s="634"/>
      <c r="V452" s="634"/>
      <c r="W452" s="634"/>
      <c r="X452" s="634"/>
      <c r="Y452" s="634"/>
      <c r="Z452" s="634"/>
    </row>
    <row r="453" ht="15.75" customHeight="1">
      <c r="A453" s="634"/>
      <c r="B453" s="634"/>
      <c r="C453" s="634"/>
      <c r="D453" s="634"/>
      <c r="E453" s="635"/>
      <c r="F453" s="634"/>
      <c r="G453" s="636"/>
      <c r="H453" s="635"/>
      <c r="I453" s="635"/>
      <c r="J453" s="635"/>
      <c r="K453" s="635"/>
      <c r="L453" s="635"/>
      <c r="M453" s="635"/>
      <c r="N453" s="635"/>
      <c r="O453" s="635"/>
      <c r="P453" s="635"/>
      <c r="Q453" s="634"/>
      <c r="R453" s="634"/>
      <c r="S453" s="635"/>
      <c r="T453" s="635"/>
      <c r="U453" s="634"/>
      <c r="V453" s="634"/>
      <c r="W453" s="634"/>
      <c r="X453" s="634"/>
      <c r="Y453" s="634"/>
      <c r="Z453" s="634"/>
    </row>
    <row r="454" ht="15.75" customHeight="1">
      <c r="A454" s="634"/>
      <c r="B454" s="634"/>
      <c r="C454" s="634"/>
      <c r="D454" s="634"/>
      <c r="E454" s="635"/>
      <c r="F454" s="634"/>
      <c r="G454" s="636"/>
      <c r="H454" s="635"/>
      <c r="I454" s="635"/>
      <c r="J454" s="635"/>
      <c r="K454" s="635"/>
      <c r="L454" s="635"/>
      <c r="M454" s="635"/>
      <c r="N454" s="635"/>
      <c r="O454" s="635"/>
      <c r="P454" s="635"/>
      <c r="Q454" s="634"/>
      <c r="R454" s="634"/>
      <c r="S454" s="635"/>
      <c r="T454" s="635"/>
      <c r="U454" s="634"/>
      <c r="V454" s="634"/>
      <c r="W454" s="634"/>
      <c r="X454" s="634"/>
      <c r="Y454" s="634"/>
      <c r="Z454" s="634"/>
    </row>
    <row r="455" ht="15.75" customHeight="1">
      <c r="A455" s="634"/>
      <c r="B455" s="634"/>
      <c r="C455" s="634"/>
      <c r="D455" s="634"/>
      <c r="E455" s="635"/>
      <c r="F455" s="634"/>
      <c r="G455" s="636"/>
      <c r="H455" s="635"/>
      <c r="I455" s="635"/>
      <c r="J455" s="635"/>
      <c r="K455" s="635"/>
      <c r="L455" s="635"/>
      <c r="M455" s="635"/>
      <c r="N455" s="635"/>
      <c r="O455" s="635"/>
      <c r="P455" s="635"/>
      <c r="Q455" s="634"/>
      <c r="R455" s="634"/>
      <c r="S455" s="635"/>
      <c r="T455" s="635"/>
      <c r="U455" s="634"/>
      <c r="V455" s="634"/>
      <c r="W455" s="634"/>
      <c r="X455" s="634"/>
      <c r="Y455" s="634"/>
      <c r="Z455" s="634"/>
    </row>
    <row r="456" ht="15.75" customHeight="1">
      <c r="A456" s="634"/>
      <c r="B456" s="634"/>
      <c r="C456" s="634"/>
      <c r="D456" s="634"/>
      <c r="E456" s="635"/>
      <c r="F456" s="634"/>
      <c r="G456" s="636"/>
      <c r="H456" s="635"/>
      <c r="I456" s="635"/>
      <c r="J456" s="635"/>
      <c r="K456" s="635"/>
      <c r="L456" s="635"/>
      <c r="M456" s="635"/>
      <c r="N456" s="635"/>
      <c r="O456" s="635"/>
      <c r="P456" s="635"/>
      <c r="Q456" s="634"/>
      <c r="R456" s="634"/>
      <c r="S456" s="635"/>
      <c r="T456" s="635"/>
      <c r="U456" s="634"/>
      <c r="V456" s="634"/>
      <c r="W456" s="634"/>
      <c r="X456" s="634"/>
      <c r="Y456" s="634"/>
      <c r="Z456" s="634"/>
    </row>
    <row r="457" ht="15.75" customHeight="1">
      <c r="A457" s="634"/>
      <c r="B457" s="634"/>
      <c r="C457" s="634"/>
      <c r="D457" s="634"/>
      <c r="E457" s="635"/>
      <c r="F457" s="634"/>
      <c r="G457" s="636"/>
      <c r="H457" s="635"/>
      <c r="I457" s="635"/>
      <c r="J457" s="635"/>
      <c r="K457" s="635"/>
      <c r="L457" s="635"/>
      <c r="M457" s="635"/>
      <c r="N457" s="635"/>
      <c r="O457" s="635"/>
      <c r="P457" s="635"/>
      <c r="Q457" s="634"/>
      <c r="R457" s="634"/>
      <c r="S457" s="635"/>
      <c r="T457" s="635"/>
      <c r="U457" s="634"/>
      <c r="V457" s="634"/>
      <c r="W457" s="634"/>
      <c r="X457" s="634"/>
      <c r="Y457" s="634"/>
      <c r="Z457" s="634"/>
    </row>
    <row r="458" ht="15.75" customHeight="1">
      <c r="A458" s="634"/>
      <c r="B458" s="634"/>
      <c r="C458" s="634"/>
      <c r="D458" s="634"/>
      <c r="E458" s="635"/>
      <c r="F458" s="634"/>
      <c r="G458" s="636"/>
      <c r="H458" s="635"/>
      <c r="I458" s="635"/>
      <c r="J458" s="635"/>
      <c r="K458" s="635"/>
      <c r="L458" s="635"/>
      <c r="M458" s="635"/>
      <c r="N458" s="635"/>
      <c r="O458" s="635"/>
      <c r="P458" s="635"/>
      <c r="Q458" s="634"/>
      <c r="R458" s="634"/>
      <c r="S458" s="635"/>
      <c r="T458" s="635"/>
      <c r="U458" s="634"/>
      <c r="V458" s="634"/>
      <c r="W458" s="634"/>
      <c r="X458" s="634"/>
      <c r="Y458" s="634"/>
      <c r="Z458" s="634"/>
    </row>
    <row r="459" ht="15.75" customHeight="1">
      <c r="A459" s="634"/>
      <c r="B459" s="634"/>
      <c r="C459" s="634"/>
      <c r="D459" s="634"/>
      <c r="E459" s="635"/>
      <c r="F459" s="634"/>
      <c r="G459" s="636"/>
      <c r="H459" s="635"/>
      <c r="I459" s="635"/>
      <c r="J459" s="635"/>
      <c r="K459" s="635"/>
      <c r="L459" s="635"/>
      <c r="M459" s="635"/>
      <c r="N459" s="635"/>
      <c r="O459" s="635"/>
      <c r="P459" s="635"/>
      <c r="Q459" s="634"/>
      <c r="R459" s="634"/>
      <c r="S459" s="635"/>
      <c r="T459" s="635"/>
      <c r="U459" s="634"/>
      <c r="V459" s="634"/>
      <c r="W459" s="634"/>
      <c r="X459" s="634"/>
      <c r="Y459" s="634"/>
      <c r="Z459" s="634"/>
    </row>
    <row r="460" ht="15.75" customHeight="1">
      <c r="A460" s="634"/>
      <c r="B460" s="634"/>
      <c r="C460" s="634"/>
      <c r="D460" s="634"/>
      <c r="E460" s="635"/>
      <c r="F460" s="634"/>
      <c r="G460" s="636"/>
      <c r="H460" s="635"/>
      <c r="I460" s="635"/>
      <c r="J460" s="635"/>
      <c r="K460" s="635"/>
      <c r="L460" s="635"/>
      <c r="M460" s="635"/>
      <c r="N460" s="635"/>
      <c r="O460" s="635"/>
      <c r="P460" s="635"/>
      <c r="Q460" s="634"/>
      <c r="R460" s="634"/>
      <c r="S460" s="635"/>
      <c r="T460" s="635"/>
      <c r="U460" s="634"/>
      <c r="V460" s="634"/>
      <c r="W460" s="634"/>
      <c r="X460" s="634"/>
      <c r="Y460" s="634"/>
      <c r="Z460" s="634"/>
    </row>
    <row r="461" ht="15.75" customHeight="1">
      <c r="A461" s="634"/>
      <c r="B461" s="634"/>
      <c r="C461" s="634"/>
      <c r="D461" s="634"/>
      <c r="E461" s="635"/>
      <c r="F461" s="634"/>
      <c r="G461" s="636"/>
      <c r="H461" s="635"/>
      <c r="I461" s="635"/>
      <c r="J461" s="635"/>
      <c r="K461" s="635"/>
      <c r="L461" s="635"/>
      <c r="M461" s="635"/>
      <c r="N461" s="635"/>
      <c r="O461" s="635"/>
      <c r="P461" s="635"/>
      <c r="Q461" s="634"/>
      <c r="R461" s="634"/>
      <c r="S461" s="635"/>
      <c r="T461" s="635"/>
      <c r="U461" s="634"/>
      <c r="V461" s="634"/>
      <c r="W461" s="634"/>
      <c r="X461" s="634"/>
      <c r="Y461" s="634"/>
      <c r="Z461" s="634"/>
    </row>
    <row r="462" ht="15.75" customHeight="1">
      <c r="A462" s="634"/>
      <c r="B462" s="634"/>
      <c r="C462" s="634"/>
      <c r="D462" s="634"/>
      <c r="E462" s="635"/>
      <c r="F462" s="634"/>
      <c r="G462" s="636"/>
      <c r="H462" s="635"/>
      <c r="I462" s="635"/>
      <c r="J462" s="635"/>
      <c r="K462" s="635"/>
      <c r="L462" s="635"/>
      <c r="M462" s="635"/>
      <c r="N462" s="635"/>
      <c r="O462" s="635"/>
      <c r="P462" s="635"/>
      <c r="Q462" s="634"/>
      <c r="R462" s="634"/>
      <c r="S462" s="635"/>
      <c r="T462" s="635"/>
      <c r="U462" s="634"/>
      <c r="V462" s="634"/>
      <c r="W462" s="634"/>
      <c r="X462" s="634"/>
      <c r="Y462" s="634"/>
      <c r="Z462" s="634"/>
    </row>
    <row r="463" ht="15.75" customHeight="1">
      <c r="A463" s="634"/>
      <c r="B463" s="634"/>
      <c r="C463" s="634"/>
      <c r="D463" s="634"/>
      <c r="E463" s="635"/>
      <c r="F463" s="634"/>
      <c r="G463" s="636"/>
      <c r="H463" s="635"/>
      <c r="I463" s="635"/>
      <c r="J463" s="635"/>
      <c r="K463" s="635"/>
      <c r="L463" s="635"/>
      <c r="M463" s="635"/>
      <c r="N463" s="635"/>
      <c r="O463" s="635"/>
      <c r="P463" s="635"/>
      <c r="Q463" s="634"/>
      <c r="R463" s="634"/>
      <c r="S463" s="635"/>
      <c r="T463" s="635"/>
      <c r="U463" s="634"/>
      <c r="V463" s="634"/>
      <c r="W463" s="634"/>
      <c r="X463" s="634"/>
      <c r="Y463" s="634"/>
      <c r="Z463" s="634"/>
    </row>
    <row r="464" ht="15.75" customHeight="1">
      <c r="A464" s="634"/>
      <c r="B464" s="634"/>
      <c r="C464" s="634"/>
      <c r="D464" s="634"/>
      <c r="E464" s="635"/>
      <c r="F464" s="634"/>
      <c r="G464" s="636"/>
      <c r="H464" s="635"/>
      <c r="I464" s="635"/>
      <c r="J464" s="635"/>
      <c r="K464" s="635"/>
      <c r="L464" s="635"/>
      <c r="M464" s="635"/>
      <c r="N464" s="635"/>
      <c r="O464" s="635"/>
      <c r="P464" s="635"/>
      <c r="Q464" s="634"/>
      <c r="R464" s="634"/>
      <c r="S464" s="635"/>
      <c r="T464" s="635"/>
      <c r="U464" s="634"/>
      <c r="V464" s="634"/>
      <c r="W464" s="634"/>
      <c r="X464" s="634"/>
      <c r="Y464" s="634"/>
      <c r="Z464" s="634"/>
    </row>
    <row r="465" ht="15.75" customHeight="1">
      <c r="A465" s="634"/>
      <c r="B465" s="634"/>
      <c r="C465" s="634"/>
      <c r="D465" s="634"/>
      <c r="E465" s="635"/>
      <c r="F465" s="634"/>
      <c r="G465" s="636"/>
      <c r="H465" s="635"/>
      <c r="I465" s="635"/>
      <c r="J465" s="635"/>
      <c r="K465" s="635"/>
      <c r="L465" s="635"/>
      <c r="M465" s="635"/>
      <c r="N465" s="635"/>
      <c r="O465" s="635"/>
      <c r="P465" s="635"/>
      <c r="Q465" s="634"/>
      <c r="R465" s="634"/>
      <c r="S465" s="635"/>
      <c r="T465" s="635"/>
      <c r="U465" s="634"/>
      <c r="V465" s="634"/>
      <c r="W465" s="634"/>
      <c r="X465" s="634"/>
      <c r="Y465" s="634"/>
      <c r="Z465" s="634"/>
    </row>
    <row r="466" ht="15.75" customHeight="1">
      <c r="A466" s="634"/>
      <c r="B466" s="634"/>
      <c r="C466" s="634"/>
      <c r="D466" s="634"/>
      <c r="E466" s="635"/>
      <c r="F466" s="634"/>
      <c r="G466" s="636"/>
      <c r="H466" s="635"/>
      <c r="I466" s="635"/>
      <c r="J466" s="635"/>
      <c r="K466" s="635"/>
      <c r="L466" s="635"/>
      <c r="M466" s="635"/>
      <c r="N466" s="635"/>
      <c r="O466" s="635"/>
      <c r="P466" s="635"/>
      <c r="Q466" s="634"/>
      <c r="R466" s="634"/>
      <c r="S466" s="635"/>
      <c r="T466" s="635"/>
      <c r="U466" s="634"/>
      <c r="V466" s="634"/>
      <c r="W466" s="634"/>
      <c r="X466" s="634"/>
      <c r="Y466" s="634"/>
      <c r="Z466" s="634"/>
    </row>
    <row r="467" ht="15.75" customHeight="1">
      <c r="A467" s="634"/>
      <c r="B467" s="634"/>
      <c r="C467" s="634"/>
      <c r="D467" s="634"/>
      <c r="E467" s="635"/>
      <c r="F467" s="634"/>
      <c r="G467" s="636"/>
      <c r="H467" s="635"/>
      <c r="I467" s="635"/>
      <c r="J467" s="635"/>
      <c r="K467" s="635"/>
      <c r="L467" s="635"/>
      <c r="M467" s="635"/>
      <c r="N467" s="635"/>
      <c r="O467" s="635"/>
      <c r="P467" s="635"/>
      <c r="Q467" s="634"/>
      <c r="R467" s="634"/>
      <c r="S467" s="635"/>
      <c r="T467" s="635"/>
      <c r="U467" s="634"/>
      <c r="V467" s="634"/>
      <c r="W467" s="634"/>
      <c r="X467" s="634"/>
      <c r="Y467" s="634"/>
      <c r="Z467" s="634"/>
    </row>
    <row r="468" ht="15.75" customHeight="1">
      <c r="A468" s="634"/>
      <c r="B468" s="634"/>
      <c r="C468" s="634"/>
      <c r="D468" s="634"/>
      <c r="E468" s="635"/>
      <c r="F468" s="634"/>
      <c r="G468" s="636"/>
      <c r="H468" s="635"/>
      <c r="I468" s="635"/>
      <c r="J468" s="635"/>
      <c r="K468" s="635"/>
      <c r="L468" s="635"/>
      <c r="M468" s="635"/>
      <c r="N468" s="635"/>
      <c r="O468" s="635"/>
      <c r="P468" s="635"/>
      <c r="Q468" s="634"/>
      <c r="R468" s="634"/>
      <c r="S468" s="635"/>
      <c r="T468" s="635"/>
      <c r="U468" s="634"/>
      <c r="V468" s="634"/>
      <c r="W468" s="634"/>
      <c r="X468" s="634"/>
      <c r="Y468" s="634"/>
      <c r="Z468" s="634"/>
    </row>
    <row r="469" ht="15.75" customHeight="1">
      <c r="A469" s="634"/>
      <c r="B469" s="634"/>
      <c r="C469" s="634"/>
      <c r="D469" s="634"/>
      <c r="E469" s="635"/>
      <c r="F469" s="634"/>
      <c r="G469" s="636"/>
      <c r="H469" s="635"/>
      <c r="I469" s="635"/>
      <c r="J469" s="635"/>
      <c r="K469" s="635"/>
      <c r="L469" s="635"/>
      <c r="M469" s="635"/>
      <c r="N469" s="635"/>
      <c r="O469" s="635"/>
      <c r="P469" s="635"/>
      <c r="Q469" s="634"/>
      <c r="R469" s="634"/>
      <c r="S469" s="635"/>
      <c r="T469" s="635"/>
      <c r="U469" s="634"/>
      <c r="V469" s="634"/>
      <c r="W469" s="634"/>
      <c r="X469" s="634"/>
      <c r="Y469" s="634"/>
      <c r="Z469" s="634"/>
    </row>
    <row r="470" ht="15.75" customHeight="1">
      <c r="A470" s="634"/>
      <c r="B470" s="634"/>
      <c r="C470" s="634"/>
      <c r="D470" s="634"/>
      <c r="E470" s="635"/>
      <c r="F470" s="634"/>
      <c r="G470" s="636"/>
      <c r="H470" s="635"/>
      <c r="I470" s="635"/>
      <c r="J470" s="635"/>
      <c r="K470" s="635"/>
      <c r="L470" s="635"/>
      <c r="M470" s="635"/>
      <c r="N470" s="635"/>
      <c r="O470" s="635"/>
      <c r="P470" s="635"/>
      <c r="Q470" s="634"/>
      <c r="R470" s="634"/>
      <c r="S470" s="635"/>
      <c r="T470" s="635"/>
      <c r="U470" s="634"/>
      <c r="V470" s="634"/>
      <c r="W470" s="634"/>
      <c r="X470" s="634"/>
      <c r="Y470" s="634"/>
      <c r="Z470" s="634"/>
    </row>
    <row r="471" ht="15.75" customHeight="1">
      <c r="A471" s="634"/>
      <c r="B471" s="634"/>
      <c r="C471" s="634"/>
      <c r="D471" s="634"/>
      <c r="E471" s="635"/>
      <c r="F471" s="634"/>
      <c r="G471" s="636"/>
      <c r="H471" s="635"/>
      <c r="I471" s="635"/>
      <c r="J471" s="635"/>
      <c r="K471" s="635"/>
      <c r="L471" s="635"/>
      <c r="M471" s="635"/>
      <c r="N471" s="635"/>
      <c r="O471" s="635"/>
      <c r="P471" s="635"/>
      <c r="Q471" s="634"/>
      <c r="R471" s="634"/>
      <c r="S471" s="635"/>
      <c r="T471" s="635"/>
      <c r="U471" s="634"/>
      <c r="V471" s="634"/>
      <c r="W471" s="634"/>
      <c r="X471" s="634"/>
      <c r="Y471" s="634"/>
      <c r="Z471" s="634"/>
    </row>
    <row r="472" ht="15.75" customHeight="1">
      <c r="A472" s="634"/>
      <c r="B472" s="634"/>
      <c r="C472" s="634"/>
      <c r="D472" s="634"/>
      <c r="E472" s="635"/>
      <c r="F472" s="634"/>
      <c r="G472" s="636"/>
      <c r="H472" s="635"/>
      <c r="I472" s="635"/>
      <c r="J472" s="635"/>
      <c r="K472" s="635"/>
      <c r="L472" s="635"/>
      <c r="M472" s="635"/>
      <c r="N472" s="635"/>
      <c r="O472" s="635"/>
      <c r="P472" s="635"/>
      <c r="Q472" s="634"/>
      <c r="R472" s="634"/>
      <c r="S472" s="635"/>
      <c r="T472" s="635"/>
      <c r="U472" s="634"/>
      <c r="V472" s="634"/>
      <c r="W472" s="634"/>
      <c r="X472" s="634"/>
      <c r="Y472" s="634"/>
      <c r="Z472" s="634"/>
    </row>
    <row r="473" ht="15.75" customHeight="1">
      <c r="A473" s="634"/>
      <c r="B473" s="634"/>
      <c r="C473" s="634"/>
      <c r="D473" s="634"/>
      <c r="E473" s="635"/>
      <c r="F473" s="634"/>
      <c r="G473" s="636"/>
      <c r="H473" s="635"/>
      <c r="I473" s="635"/>
      <c r="J473" s="635"/>
      <c r="K473" s="635"/>
      <c r="L473" s="635"/>
      <c r="M473" s="635"/>
      <c r="N473" s="635"/>
      <c r="O473" s="635"/>
      <c r="P473" s="635"/>
      <c r="Q473" s="634"/>
      <c r="R473" s="634"/>
      <c r="S473" s="635"/>
      <c r="T473" s="635"/>
      <c r="U473" s="634"/>
      <c r="V473" s="634"/>
      <c r="W473" s="634"/>
      <c r="X473" s="634"/>
      <c r="Y473" s="634"/>
      <c r="Z473" s="634"/>
    </row>
    <row r="474" ht="15.75" customHeight="1">
      <c r="A474" s="634"/>
      <c r="B474" s="634"/>
      <c r="C474" s="634"/>
      <c r="D474" s="634"/>
      <c r="E474" s="635"/>
      <c r="F474" s="634"/>
      <c r="G474" s="636"/>
      <c r="H474" s="635"/>
      <c r="I474" s="635"/>
      <c r="J474" s="635"/>
      <c r="K474" s="635"/>
      <c r="L474" s="635"/>
      <c r="M474" s="635"/>
      <c r="N474" s="635"/>
      <c r="O474" s="635"/>
      <c r="P474" s="635"/>
      <c r="Q474" s="634"/>
      <c r="R474" s="634"/>
      <c r="S474" s="635"/>
      <c r="T474" s="635"/>
      <c r="U474" s="634"/>
      <c r="V474" s="634"/>
      <c r="W474" s="634"/>
      <c r="X474" s="634"/>
      <c r="Y474" s="634"/>
      <c r="Z474" s="634"/>
    </row>
    <row r="475" ht="15.75" customHeight="1">
      <c r="A475" s="634"/>
      <c r="B475" s="634"/>
      <c r="C475" s="634"/>
      <c r="D475" s="634"/>
      <c r="E475" s="635"/>
      <c r="F475" s="634"/>
      <c r="G475" s="636"/>
      <c r="H475" s="635"/>
      <c r="I475" s="635"/>
      <c r="J475" s="635"/>
      <c r="K475" s="635"/>
      <c r="L475" s="635"/>
      <c r="M475" s="635"/>
      <c r="N475" s="635"/>
      <c r="O475" s="635"/>
      <c r="P475" s="635"/>
      <c r="Q475" s="634"/>
      <c r="R475" s="634"/>
      <c r="S475" s="635"/>
      <c r="T475" s="635"/>
      <c r="U475" s="634"/>
      <c r="V475" s="634"/>
      <c r="W475" s="634"/>
      <c r="X475" s="634"/>
      <c r="Y475" s="634"/>
      <c r="Z475" s="634"/>
    </row>
    <row r="476" ht="15.75" customHeight="1">
      <c r="A476" s="634"/>
      <c r="B476" s="634"/>
      <c r="C476" s="634"/>
      <c r="D476" s="634"/>
      <c r="E476" s="635"/>
      <c r="F476" s="634"/>
      <c r="G476" s="636"/>
      <c r="H476" s="635"/>
      <c r="I476" s="635"/>
      <c r="J476" s="635"/>
      <c r="K476" s="635"/>
      <c r="L476" s="635"/>
      <c r="M476" s="635"/>
      <c r="N476" s="635"/>
      <c r="O476" s="635"/>
      <c r="P476" s="635"/>
      <c r="Q476" s="634"/>
      <c r="R476" s="634"/>
      <c r="S476" s="635"/>
      <c r="T476" s="635"/>
      <c r="U476" s="634"/>
      <c r="V476" s="634"/>
      <c r="W476" s="634"/>
      <c r="X476" s="634"/>
      <c r="Y476" s="634"/>
      <c r="Z476" s="634"/>
    </row>
    <row r="477" ht="15.75" customHeight="1">
      <c r="A477" s="634"/>
      <c r="B477" s="634"/>
      <c r="C477" s="634"/>
      <c r="D477" s="634"/>
      <c r="E477" s="635"/>
      <c r="F477" s="634"/>
      <c r="G477" s="636"/>
      <c r="H477" s="635"/>
      <c r="I477" s="635"/>
      <c r="J477" s="635"/>
      <c r="K477" s="635"/>
      <c r="L477" s="635"/>
      <c r="M477" s="635"/>
      <c r="N477" s="635"/>
      <c r="O477" s="635"/>
      <c r="P477" s="635"/>
      <c r="Q477" s="634"/>
      <c r="R477" s="634"/>
      <c r="S477" s="635"/>
      <c r="T477" s="635"/>
      <c r="U477" s="634"/>
      <c r="V477" s="634"/>
      <c r="W477" s="634"/>
      <c r="X477" s="634"/>
      <c r="Y477" s="634"/>
      <c r="Z477" s="634"/>
    </row>
    <row r="478" ht="15.75" customHeight="1">
      <c r="A478" s="634"/>
      <c r="B478" s="634"/>
      <c r="C478" s="634"/>
      <c r="D478" s="634"/>
      <c r="E478" s="635"/>
      <c r="F478" s="634"/>
      <c r="G478" s="636"/>
      <c r="H478" s="635"/>
      <c r="I478" s="635"/>
      <c r="J478" s="635"/>
      <c r="K478" s="635"/>
      <c r="L478" s="635"/>
      <c r="M478" s="635"/>
      <c r="N478" s="635"/>
      <c r="O478" s="635"/>
      <c r="P478" s="635"/>
      <c r="Q478" s="634"/>
      <c r="R478" s="634"/>
      <c r="S478" s="635"/>
      <c r="T478" s="635"/>
      <c r="U478" s="634"/>
      <c r="V478" s="634"/>
      <c r="W478" s="634"/>
      <c r="X478" s="634"/>
      <c r="Y478" s="634"/>
      <c r="Z478" s="634"/>
    </row>
    <row r="479" ht="15.75" customHeight="1">
      <c r="A479" s="634"/>
      <c r="B479" s="634"/>
      <c r="C479" s="634"/>
      <c r="D479" s="634"/>
      <c r="E479" s="635"/>
      <c r="F479" s="634"/>
      <c r="G479" s="636"/>
      <c r="H479" s="635"/>
      <c r="I479" s="635"/>
      <c r="J479" s="635"/>
      <c r="K479" s="635"/>
      <c r="L479" s="635"/>
      <c r="M479" s="635"/>
      <c r="N479" s="635"/>
      <c r="O479" s="635"/>
      <c r="P479" s="635"/>
      <c r="Q479" s="634"/>
      <c r="R479" s="634"/>
      <c r="S479" s="635"/>
      <c r="T479" s="635"/>
      <c r="U479" s="634"/>
      <c r="V479" s="634"/>
      <c r="W479" s="634"/>
      <c r="X479" s="634"/>
      <c r="Y479" s="634"/>
      <c r="Z479" s="634"/>
    </row>
    <row r="480" ht="15.75" customHeight="1">
      <c r="A480" s="634"/>
      <c r="B480" s="634"/>
      <c r="C480" s="634"/>
      <c r="D480" s="634"/>
      <c r="E480" s="635"/>
      <c r="F480" s="634"/>
      <c r="G480" s="636"/>
      <c r="H480" s="635"/>
      <c r="I480" s="635"/>
      <c r="J480" s="635"/>
      <c r="K480" s="635"/>
      <c r="L480" s="635"/>
      <c r="M480" s="635"/>
      <c r="N480" s="635"/>
      <c r="O480" s="635"/>
      <c r="P480" s="635"/>
      <c r="Q480" s="634"/>
      <c r="R480" s="634"/>
      <c r="S480" s="635"/>
      <c r="T480" s="635"/>
      <c r="U480" s="634"/>
      <c r="V480" s="634"/>
      <c r="W480" s="634"/>
      <c r="X480" s="634"/>
      <c r="Y480" s="634"/>
      <c r="Z480" s="634"/>
    </row>
    <row r="481" ht="15.75" customHeight="1">
      <c r="A481" s="634"/>
      <c r="B481" s="634"/>
      <c r="C481" s="634"/>
      <c r="D481" s="634"/>
      <c r="E481" s="635"/>
      <c r="F481" s="634"/>
      <c r="G481" s="636"/>
      <c r="H481" s="635"/>
      <c r="I481" s="635"/>
      <c r="J481" s="635"/>
      <c r="K481" s="635"/>
      <c r="L481" s="635"/>
      <c r="M481" s="635"/>
      <c r="N481" s="635"/>
      <c r="O481" s="635"/>
      <c r="P481" s="635"/>
      <c r="Q481" s="634"/>
      <c r="R481" s="634"/>
      <c r="S481" s="635"/>
      <c r="T481" s="635"/>
      <c r="U481" s="634"/>
      <c r="V481" s="634"/>
      <c r="W481" s="634"/>
      <c r="X481" s="634"/>
      <c r="Y481" s="634"/>
      <c r="Z481" s="634"/>
    </row>
    <row r="482" ht="15.75" customHeight="1">
      <c r="A482" s="634"/>
      <c r="B482" s="634"/>
      <c r="C482" s="634"/>
      <c r="D482" s="634"/>
      <c r="E482" s="635"/>
      <c r="F482" s="634"/>
      <c r="G482" s="636"/>
      <c r="H482" s="635"/>
      <c r="I482" s="635"/>
      <c r="J482" s="635"/>
      <c r="K482" s="635"/>
      <c r="L482" s="635"/>
      <c r="M482" s="635"/>
      <c r="N482" s="635"/>
      <c r="O482" s="635"/>
      <c r="P482" s="635"/>
      <c r="Q482" s="634"/>
      <c r="R482" s="634"/>
      <c r="S482" s="635"/>
      <c r="T482" s="635"/>
      <c r="U482" s="634"/>
      <c r="V482" s="634"/>
      <c r="W482" s="634"/>
      <c r="X482" s="634"/>
      <c r="Y482" s="634"/>
      <c r="Z482" s="634"/>
    </row>
    <row r="483" ht="15.75" customHeight="1">
      <c r="A483" s="634"/>
      <c r="B483" s="634"/>
      <c r="C483" s="634"/>
      <c r="D483" s="634"/>
      <c r="E483" s="635"/>
      <c r="F483" s="634"/>
      <c r="G483" s="636"/>
      <c r="H483" s="635"/>
      <c r="I483" s="635"/>
      <c r="J483" s="635"/>
      <c r="K483" s="635"/>
      <c r="L483" s="635"/>
      <c r="M483" s="635"/>
      <c r="N483" s="635"/>
      <c r="O483" s="635"/>
      <c r="P483" s="635"/>
      <c r="Q483" s="634"/>
      <c r="R483" s="634"/>
      <c r="S483" s="635"/>
      <c r="T483" s="635"/>
      <c r="U483" s="634"/>
      <c r="V483" s="634"/>
      <c r="W483" s="634"/>
      <c r="X483" s="634"/>
      <c r="Y483" s="634"/>
      <c r="Z483" s="634"/>
    </row>
    <row r="484" ht="15.75" customHeight="1">
      <c r="A484" s="634"/>
      <c r="B484" s="634"/>
      <c r="C484" s="634"/>
      <c r="D484" s="634"/>
      <c r="E484" s="635"/>
      <c r="F484" s="634"/>
      <c r="G484" s="636"/>
      <c r="H484" s="635"/>
      <c r="I484" s="635"/>
      <c r="J484" s="635"/>
      <c r="K484" s="635"/>
      <c r="L484" s="635"/>
      <c r="M484" s="635"/>
      <c r="N484" s="635"/>
      <c r="O484" s="635"/>
      <c r="P484" s="635"/>
      <c r="Q484" s="634"/>
      <c r="R484" s="634"/>
      <c r="S484" s="635"/>
      <c r="T484" s="635"/>
      <c r="U484" s="634"/>
      <c r="V484" s="634"/>
      <c r="W484" s="634"/>
      <c r="X484" s="634"/>
      <c r="Y484" s="634"/>
      <c r="Z484" s="634"/>
    </row>
    <row r="485" ht="15.75" customHeight="1">
      <c r="A485" s="634"/>
      <c r="B485" s="634"/>
      <c r="C485" s="634"/>
      <c r="D485" s="634"/>
      <c r="E485" s="635"/>
      <c r="F485" s="634"/>
      <c r="G485" s="636"/>
      <c r="H485" s="635"/>
      <c r="I485" s="635"/>
      <c r="J485" s="635"/>
      <c r="K485" s="635"/>
      <c r="L485" s="635"/>
      <c r="M485" s="635"/>
      <c r="N485" s="635"/>
      <c r="O485" s="635"/>
      <c r="P485" s="635"/>
      <c r="Q485" s="634"/>
      <c r="R485" s="634"/>
      <c r="S485" s="635"/>
      <c r="T485" s="635"/>
      <c r="U485" s="634"/>
      <c r="V485" s="634"/>
      <c r="W485" s="634"/>
      <c r="X485" s="634"/>
      <c r="Y485" s="634"/>
      <c r="Z485" s="634"/>
    </row>
    <row r="486" ht="15.75" customHeight="1">
      <c r="A486" s="634"/>
      <c r="B486" s="634"/>
      <c r="C486" s="634"/>
      <c r="D486" s="634"/>
      <c r="E486" s="635"/>
      <c r="F486" s="634"/>
      <c r="G486" s="636"/>
      <c r="H486" s="635"/>
      <c r="I486" s="635"/>
      <c r="J486" s="635"/>
      <c r="K486" s="635"/>
      <c r="L486" s="635"/>
      <c r="M486" s="635"/>
      <c r="N486" s="635"/>
      <c r="O486" s="635"/>
      <c r="P486" s="635"/>
      <c r="Q486" s="634"/>
      <c r="R486" s="634"/>
      <c r="S486" s="635"/>
      <c r="T486" s="635"/>
      <c r="U486" s="634"/>
      <c r="V486" s="634"/>
      <c r="W486" s="634"/>
      <c r="X486" s="634"/>
      <c r="Y486" s="634"/>
      <c r="Z486" s="634"/>
    </row>
    <row r="487" ht="15.75" customHeight="1">
      <c r="A487" s="634"/>
      <c r="B487" s="634"/>
      <c r="C487" s="634"/>
      <c r="D487" s="634"/>
      <c r="E487" s="635"/>
      <c r="F487" s="634"/>
      <c r="G487" s="636"/>
      <c r="H487" s="635"/>
      <c r="I487" s="635"/>
      <c r="J487" s="635"/>
      <c r="K487" s="635"/>
      <c r="L487" s="635"/>
      <c r="M487" s="635"/>
      <c r="N487" s="635"/>
      <c r="O487" s="635"/>
      <c r="P487" s="635"/>
      <c r="Q487" s="634"/>
      <c r="R487" s="634"/>
      <c r="S487" s="635"/>
      <c r="T487" s="635"/>
      <c r="U487" s="634"/>
      <c r="V487" s="634"/>
      <c r="W487" s="634"/>
      <c r="X487" s="634"/>
      <c r="Y487" s="634"/>
      <c r="Z487" s="634"/>
    </row>
    <row r="488" ht="15.75" customHeight="1">
      <c r="A488" s="634"/>
      <c r="B488" s="634"/>
      <c r="C488" s="634"/>
      <c r="D488" s="634"/>
      <c r="E488" s="635"/>
      <c r="F488" s="634"/>
      <c r="G488" s="636"/>
      <c r="H488" s="635"/>
      <c r="I488" s="635"/>
      <c r="J488" s="635"/>
      <c r="K488" s="635"/>
      <c r="L488" s="635"/>
      <c r="M488" s="635"/>
      <c r="N488" s="635"/>
      <c r="O488" s="635"/>
      <c r="P488" s="635"/>
      <c r="Q488" s="634"/>
      <c r="R488" s="634"/>
      <c r="S488" s="635"/>
      <c r="T488" s="635"/>
      <c r="U488" s="634"/>
      <c r="V488" s="634"/>
      <c r="W488" s="634"/>
      <c r="X488" s="634"/>
      <c r="Y488" s="634"/>
      <c r="Z488" s="634"/>
    </row>
    <row r="489" ht="15.75" customHeight="1">
      <c r="A489" s="634"/>
      <c r="B489" s="634"/>
      <c r="C489" s="634"/>
      <c r="D489" s="634"/>
      <c r="E489" s="635"/>
      <c r="F489" s="634"/>
      <c r="G489" s="636"/>
      <c r="H489" s="635"/>
      <c r="I489" s="635"/>
      <c r="J489" s="635"/>
      <c r="K489" s="635"/>
      <c r="L489" s="635"/>
      <c r="M489" s="635"/>
      <c r="N489" s="635"/>
      <c r="O489" s="635"/>
      <c r="P489" s="635"/>
      <c r="Q489" s="634"/>
      <c r="R489" s="634"/>
      <c r="S489" s="635"/>
      <c r="T489" s="635"/>
      <c r="U489" s="634"/>
      <c r="V489" s="634"/>
      <c r="W489" s="634"/>
      <c r="X489" s="634"/>
      <c r="Y489" s="634"/>
      <c r="Z489" s="634"/>
    </row>
    <row r="490" ht="15.75" customHeight="1">
      <c r="A490" s="634"/>
      <c r="B490" s="634"/>
      <c r="C490" s="634"/>
      <c r="D490" s="634"/>
      <c r="E490" s="635"/>
      <c r="F490" s="634"/>
      <c r="G490" s="636"/>
      <c r="H490" s="635"/>
      <c r="I490" s="635"/>
      <c r="J490" s="635"/>
      <c r="K490" s="635"/>
      <c r="L490" s="635"/>
      <c r="M490" s="635"/>
      <c r="N490" s="635"/>
      <c r="O490" s="635"/>
      <c r="P490" s="635"/>
      <c r="Q490" s="634"/>
      <c r="R490" s="634"/>
      <c r="S490" s="635"/>
      <c r="T490" s="635"/>
      <c r="U490" s="634"/>
      <c r="V490" s="634"/>
      <c r="W490" s="634"/>
      <c r="X490" s="634"/>
      <c r="Y490" s="634"/>
      <c r="Z490" s="634"/>
    </row>
    <row r="491" ht="15.75" customHeight="1">
      <c r="A491" s="634"/>
      <c r="B491" s="634"/>
      <c r="C491" s="634"/>
      <c r="D491" s="634"/>
      <c r="E491" s="635"/>
      <c r="F491" s="634"/>
      <c r="G491" s="636"/>
      <c r="H491" s="635"/>
      <c r="I491" s="635"/>
      <c r="J491" s="635"/>
      <c r="K491" s="635"/>
      <c r="L491" s="635"/>
      <c r="M491" s="635"/>
      <c r="N491" s="635"/>
      <c r="O491" s="635"/>
      <c r="P491" s="635"/>
      <c r="Q491" s="634"/>
      <c r="R491" s="634"/>
      <c r="S491" s="635"/>
      <c r="T491" s="635"/>
      <c r="U491" s="634"/>
      <c r="V491" s="634"/>
      <c r="W491" s="634"/>
      <c r="X491" s="634"/>
      <c r="Y491" s="634"/>
      <c r="Z491" s="634"/>
    </row>
    <row r="492" ht="15.75" customHeight="1">
      <c r="A492" s="634"/>
      <c r="B492" s="634"/>
      <c r="C492" s="634"/>
      <c r="D492" s="634"/>
      <c r="E492" s="635"/>
      <c r="F492" s="634"/>
      <c r="G492" s="636"/>
      <c r="H492" s="635"/>
      <c r="I492" s="635"/>
      <c r="J492" s="635"/>
      <c r="K492" s="635"/>
      <c r="L492" s="635"/>
      <c r="M492" s="635"/>
      <c r="N492" s="635"/>
      <c r="O492" s="635"/>
      <c r="P492" s="635"/>
      <c r="Q492" s="634"/>
      <c r="R492" s="634"/>
      <c r="S492" s="635"/>
      <c r="T492" s="635"/>
      <c r="U492" s="634"/>
      <c r="V492" s="634"/>
      <c r="W492" s="634"/>
      <c r="X492" s="634"/>
      <c r="Y492" s="634"/>
      <c r="Z492" s="634"/>
    </row>
    <row r="493" ht="15.75" customHeight="1">
      <c r="A493" s="634"/>
      <c r="B493" s="634"/>
      <c r="C493" s="634"/>
      <c r="D493" s="634"/>
      <c r="E493" s="635"/>
      <c r="F493" s="634"/>
      <c r="G493" s="636"/>
      <c r="H493" s="635"/>
      <c r="I493" s="635"/>
      <c r="J493" s="635"/>
      <c r="K493" s="635"/>
      <c r="L493" s="635"/>
      <c r="M493" s="635"/>
      <c r="N493" s="635"/>
      <c r="O493" s="635"/>
      <c r="P493" s="635"/>
      <c r="Q493" s="634"/>
      <c r="R493" s="634"/>
      <c r="S493" s="635"/>
      <c r="T493" s="635"/>
      <c r="U493" s="634"/>
      <c r="V493" s="634"/>
      <c r="W493" s="634"/>
      <c r="X493" s="634"/>
      <c r="Y493" s="634"/>
      <c r="Z493" s="634"/>
    </row>
    <row r="494" ht="15.75" customHeight="1">
      <c r="A494" s="634"/>
      <c r="B494" s="634"/>
      <c r="C494" s="634"/>
      <c r="D494" s="634"/>
      <c r="E494" s="635"/>
      <c r="F494" s="634"/>
      <c r="G494" s="636"/>
      <c r="H494" s="635"/>
      <c r="I494" s="635"/>
      <c r="J494" s="635"/>
      <c r="K494" s="635"/>
      <c r="L494" s="635"/>
      <c r="M494" s="635"/>
      <c r="N494" s="635"/>
      <c r="O494" s="635"/>
      <c r="P494" s="635"/>
      <c r="Q494" s="634"/>
      <c r="R494" s="634"/>
      <c r="S494" s="635"/>
      <c r="T494" s="635"/>
      <c r="U494" s="634"/>
      <c r="V494" s="634"/>
      <c r="W494" s="634"/>
      <c r="X494" s="634"/>
      <c r="Y494" s="634"/>
      <c r="Z494" s="634"/>
    </row>
    <row r="495" ht="15.75" customHeight="1">
      <c r="A495" s="634"/>
      <c r="B495" s="634"/>
      <c r="C495" s="634"/>
      <c r="D495" s="634"/>
      <c r="E495" s="635"/>
      <c r="F495" s="634"/>
      <c r="G495" s="636"/>
      <c r="H495" s="635"/>
      <c r="I495" s="635"/>
      <c r="J495" s="635"/>
      <c r="K495" s="635"/>
      <c r="L495" s="635"/>
      <c r="M495" s="635"/>
      <c r="N495" s="635"/>
      <c r="O495" s="635"/>
      <c r="P495" s="635"/>
      <c r="Q495" s="634"/>
      <c r="R495" s="634"/>
      <c r="S495" s="635"/>
      <c r="T495" s="635"/>
      <c r="U495" s="634"/>
      <c r="V495" s="634"/>
      <c r="W495" s="634"/>
      <c r="X495" s="634"/>
      <c r="Y495" s="634"/>
      <c r="Z495" s="634"/>
    </row>
    <row r="496" ht="15.75" customHeight="1">
      <c r="A496" s="634"/>
      <c r="B496" s="634"/>
      <c r="C496" s="634"/>
      <c r="D496" s="634"/>
      <c r="E496" s="635"/>
      <c r="F496" s="634"/>
      <c r="G496" s="636"/>
      <c r="H496" s="635"/>
      <c r="I496" s="635"/>
      <c r="J496" s="635"/>
      <c r="K496" s="635"/>
      <c r="L496" s="635"/>
      <c r="M496" s="635"/>
      <c r="N496" s="635"/>
      <c r="O496" s="635"/>
      <c r="P496" s="635"/>
      <c r="Q496" s="634"/>
      <c r="R496" s="634"/>
      <c r="S496" s="635"/>
      <c r="T496" s="635"/>
      <c r="U496" s="634"/>
      <c r="V496" s="634"/>
      <c r="W496" s="634"/>
      <c r="X496" s="634"/>
      <c r="Y496" s="634"/>
      <c r="Z496" s="634"/>
    </row>
    <row r="497" ht="15.75" customHeight="1">
      <c r="A497" s="634"/>
      <c r="B497" s="634"/>
      <c r="C497" s="634"/>
      <c r="D497" s="634"/>
      <c r="E497" s="635"/>
      <c r="F497" s="634"/>
      <c r="G497" s="636"/>
      <c r="H497" s="635"/>
      <c r="I497" s="635"/>
      <c r="J497" s="635"/>
      <c r="K497" s="635"/>
      <c r="L497" s="635"/>
      <c r="M497" s="635"/>
      <c r="N497" s="635"/>
      <c r="O497" s="635"/>
      <c r="P497" s="635"/>
      <c r="Q497" s="634"/>
      <c r="R497" s="634"/>
      <c r="S497" s="635"/>
      <c r="T497" s="635"/>
      <c r="U497" s="634"/>
      <c r="V497" s="634"/>
      <c r="W497" s="634"/>
      <c r="X497" s="634"/>
      <c r="Y497" s="634"/>
      <c r="Z497" s="634"/>
    </row>
    <row r="498" ht="15.75" customHeight="1">
      <c r="A498" s="634"/>
      <c r="B498" s="634"/>
      <c r="C498" s="634"/>
      <c r="D498" s="634"/>
      <c r="E498" s="635"/>
      <c r="F498" s="634"/>
      <c r="G498" s="636"/>
      <c r="H498" s="635"/>
      <c r="I498" s="635"/>
      <c r="J498" s="635"/>
      <c r="K498" s="635"/>
      <c r="L498" s="635"/>
      <c r="M498" s="635"/>
      <c r="N498" s="635"/>
      <c r="O498" s="635"/>
      <c r="P498" s="635"/>
      <c r="Q498" s="634"/>
      <c r="R498" s="634"/>
      <c r="S498" s="635"/>
      <c r="T498" s="635"/>
      <c r="U498" s="634"/>
      <c r="V498" s="634"/>
      <c r="W498" s="634"/>
      <c r="X498" s="634"/>
      <c r="Y498" s="634"/>
      <c r="Z498" s="634"/>
    </row>
    <row r="499" ht="15.75" customHeight="1">
      <c r="A499" s="634"/>
      <c r="B499" s="634"/>
      <c r="C499" s="634"/>
      <c r="D499" s="634"/>
      <c r="E499" s="635"/>
      <c r="F499" s="634"/>
      <c r="G499" s="636"/>
      <c r="H499" s="635"/>
      <c r="I499" s="635"/>
      <c r="J499" s="635"/>
      <c r="K499" s="635"/>
      <c r="L499" s="635"/>
      <c r="M499" s="635"/>
      <c r="N499" s="635"/>
      <c r="O499" s="635"/>
      <c r="P499" s="635"/>
      <c r="Q499" s="634"/>
      <c r="R499" s="634"/>
      <c r="S499" s="635"/>
      <c r="T499" s="635"/>
      <c r="U499" s="634"/>
      <c r="V499" s="634"/>
      <c r="W499" s="634"/>
      <c r="X499" s="634"/>
      <c r="Y499" s="634"/>
      <c r="Z499" s="634"/>
    </row>
    <row r="500" ht="15.75" customHeight="1">
      <c r="A500" s="634"/>
      <c r="B500" s="634"/>
      <c r="C500" s="634"/>
      <c r="D500" s="634"/>
      <c r="E500" s="635"/>
      <c r="F500" s="634"/>
      <c r="G500" s="636"/>
      <c r="H500" s="635"/>
      <c r="I500" s="635"/>
      <c r="J500" s="635"/>
      <c r="K500" s="635"/>
      <c r="L500" s="635"/>
      <c r="M500" s="635"/>
      <c r="N500" s="635"/>
      <c r="O500" s="635"/>
      <c r="P500" s="635"/>
      <c r="Q500" s="634"/>
      <c r="R500" s="634"/>
      <c r="S500" s="635"/>
      <c r="T500" s="635"/>
      <c r="U500" s="634"/>
      <c r="V500" s="634"/>
      <c r="W500" s="634"/>
      <c r="X500" s="634"/>
      <c r="Y500" s="634"/>
      <c r="Z500" s="634"/>
    </row>
    <row r="501" ht="15.75" customHeight="1">
      <c r="A501" s="634"/>
      <c r="B501" s="634"/>
      <c r="C501" s="634"/>
      <c r="D501" s="634"/>
      <c r="E501" s="635"/>
      <c r="F501" s="634"/>
      <c r="G501" s="636"/>
      <c r="H501" s="635"/>
      <c r="I501" s="635"/>
      <c r="J501" s="635"/>
      <c r="K501" s="635"/>
      <c r="L501" s="635"/>
      <c r="M501" s="635"/>
      <c r="N501" s="635"/>
      <c r="O501" s="635"/>
      <c r="P501" s="635"/>
      <c r="Q501" s="634"/>
      <c r="R501" s="634"/>
      <c r="S501" s="635"/>
      <c r="T501" s="635"/>
      <c r="U501" s="634"/>
      <c r="V501" s="634"/>
      <c r="W501" s="634"/>
      <c r="X501" s="634"/>
      <c r="Y501" s="634"/>
      <c r="Z501" s="634"/>
    </row>
    <row r="502" ht="15.75" customHeight="1">
      <c r="A502" s="634"/>
      <c r="B502" s="634"/>
      <c r="C502" s="634"/>
      <c r="D502" s="634"/>
      <c r="E502" s="635"/>
      <c r="F502" s="634"/>
      <c r="G502" s="636"/>
      <c r="H502" s="635"/>
      <c r="I502" s="635"/>
      <c r="J502" s="635"/>
      <c r="K502" s="635"/>
      <c r="L502" s="635"/>
      <c r="M502" s="635"/>
      <c r="N502" s="635"/>
      <c r="O502" s="635"/>
      <c r="P502" s="635"/>
      <c r="Q502" s="634"/>
      <c r="R502" s="634"/>
      <c r="S502" s="635"/>
      <c r="T502" s="635"/>
      <c r="U502" s="634"/>
      <c r="V502" s="634"/>
      <c r="W502" s="634"/>
      <c r="X502" s="634"/>
      <c r="Y502" s="634"/>
      <c r="Z502" s="634"/>
    </row>
    <row r="503" ht="15.75" customHeight="1">
      <c r="A503" s="634"/>
      <c r="B503" s="634"/>
      <c r="C503" s="634"/>
      <c r="D503" s="634"/>
      <c r="E503" s="635"/>
      <c r="F503" s="634"/>
      <c r="G503" s="636"/>
      <c r="H503" s="635"/>
      <c r="I503" s="635"/>
      <c r="J503" s="635"/>
      <c r="K503" s="635"/>
      <c r="L503" s="635"/>
      <c r="M503" s="635"/>
      <c r="N503" s="635"/>
      <c r="O503" s="635"/>
      <c r="P503" s="635"/>
      <c r="Q503" s="634"/>
      <c r="R503" s="634"/>
      <c r="S503" s="635"/>
      <c r="T503" s="635"/>
      <c r="U503" s="634"/>
      <c r="V503" s="634"/>
      <c r="W503" s="634"/>
      <c r="X503" s="634"/>
      <c r="Y503" s="634"/>
      <c r="Z503" s="634"/>
    </row>
    <row r="504" ht="15.75" customHeight="1">
      <c r="A504" s="634"/>
      <c r="B504" s="634"/>
      <c r="C504" s="634"/>
      <c r="D504" s="634"/>
      <c r="E504" s="635"/>
      <c r="F504" s="634"/>
      <c r="G504" s="636"/>
      <c r="H504" s="635"/>
      <c r="I504" s="635"/>
      <c r="J504" s="635"/>
      <c r="K504" s="635"/>
      <c r="L504" s="635"/>
      <c r="M504" s="635"/>
      <c r="N504" s="635"/>
      <c r="O504" s="635"/>
      <c r="P504" s="635"/>
      <c r="Q504" s="634"/>
      <c r="R504" s="634"/>
      <c r="S504" s="635"/>
      <c r="T504" s="635"/>
      <c r="U504" s="634"/>
      <c r="V504" s="634"/>
      <c r="W504" s="634"/>
      <c r="X504" s="634"/>
      <c r="Y504" s="634"/>
      <c r="Z504" s="634"/>
    </row>
    <row r="505" ht="15.75" customHeight="1">
      <c r="A505" s="634"/>
      <c r="B505" s="634"/>
      <c r="C505" s="634"/>
      <c r="D505" s="634"/>
      <c r="E505" s="635"/>
      <c r="F505" s="634"/>
      <c r="G505" s="636"/>
      <c r="H505" s="635"/>
      <c r="I505" s="635"/>
      <c r="J505" s="635"/>
      <c r="K505" s="635"/>
      <c r="L505" s="635"/>
      <c r="M505" s="635"/>
      <c r="N505" s="635"/>
      <c r="O505" s="635"/>
      <c r="P505" s="635"/>
      <c r="Q505" s="634"/>
      <c r="R505" s="634"/>
      <c r="S505" s="635"/>
      <c r="T505" s="635"/>
      <c r="U505" s="634"/>
      <c r="V505" s="634"/>
      <c r="W505" s="634"/>
      <c r="X505" s="634"/>
      <c r="Y505" s="634"/>
      <c r="Z505" s="634"/>
    </row>
    <row r="506" ht="15.75" customHeight="1">
      <c r="A506" s="634"/>
      <c r="B506" s="634"/>
      <c r="C506" s="634"/>
      <c r="D506" s="634"/>
      <c r="E506" s="635"/>
      <c r="F506" s="634"/>
      <c r="G506" s="636"/>
      <c r="H506" s="635"/>
      <c r="I506" s="635"/>
      <c r="J506" s="635"/>
      <c r="K506" s="635"/>
      <c r="L506" s="635"/>
      <c r="M506" s="635"/>
      <c r="N506" s="635"/>
      <c r="O506" s="635"/>
      <c r="P506" s="635"/>
      <c r="Q506" s="634"/>
      <c r="R506" s="634"/>
      <c r="S506" s="635"/>
      <c r="T506" s="635"/>
      <c r="U506" s="634"/>
      <c r="V506" s="634"/>
      <c r="W506" s="634"/>
      <c r="X506" s="634"/>
      <c r="Y506" s="634"/>
      <c r="Z506" s="634"/>
    </row>
    <row r="507" ht="15.75" customHeight="1">
      <c r="A507" s="634"/>
      <c r="B507" s="634"/>
      <c r="C507" s="634"/>
      <c r="D507" s="634"/>
      <c r="E507" s="635"/>
      <c r="F507" s="634"/>
      <c r="G507" s="636"/>
      <c r="H507" s="635"/>
      <c r="I507" s="635"/>
      <c r="J507" s="635"/>
      <c r="K507" s="635"/>
      <c r="L507" s="635"/>
      <c r="M507" s="635"/>
      <c r="N507" s="635"/>
      <c r="O507" s="635"/>
      <c r="P507" s="635"/>
      <c r="Q507" s="634"/>
      <c r="R507" s="634"/>
      <c r="S507" s="635"/>
      <c r="T507" s="635"/>
      <c r="U507" s="634"/>
      <c r="V507" s="634"/>
      <c r="W507" s="634"/>
      <c r="X507" s="634"/>
      <c r="Y507" s="634"/>
      <c r="Z507" s="634"/>
    </row>
    <row r="508" ht="15.75" customHeight="1">
      <c r="A508" s="634"/>
      <c r="B508" s="634"/>
      <c r="C508" s="634"/>
      <c r="D508" s="634"/>
      <c r="E508" s="635"/>
      <c r="F508" s="634"/>
      <c r="G508" s="636"/>
      <c r="H508" s="635"/>
      <c r="I508" s="635"/>
      <c r="J508" s="635"/>
      <c r="K508" s="635"/>
      <c r="L508" s="635"/>
      <c r="M508" s="635"/>
      <c r="N508" s="635"/>
      <c r="O508" s="635"/>
      <c r="P508" s="635"/>
      <c r="Q508" s="634"/>
      <c r="R508" s="634"/>
      <c r="S508" s="635"/>
      <c r="T508" s="635"/>
      <c r="U508" s="634"/>
      <c r="V508" s="634"/>
      <c r="W508" s="634"/>
      <c r="X508" s="634"/>
      <c r="Y508" s="634"/>
      <c r="Z508" s="634"/>
    </row>
    <row r="509" ht="15.75" customHeight="1">
      <c r="A509" s="634"/>
      <c r="B509" s="634"/>
      <c r="C509" s="634"/>
      <c r="D509" s="634"/>
      <c r="E509" s="635"/>
      <c r="F509" s="634"/>
      <c r="G509" s="636"/>
      <c r="H509" s="635"/>
      <c r="I509" s="635"/>
      <c r="J509" s="635"/>
      <c r="K509" s="635"/>
      <c r="L509" s="635"/>
      <c r="M509" s="635"/>
      <c r="N509" s="635"/>
      <c r="O509" s="635"/>
      <c r="P509" s="635"/>
      <c r="Q509" s="634"/>
      <c r="R509" s="634"/>
      <c r="S509" s="635"/>
      <c r="T509" s="635"/>
      <c r="U509" s="634"/>
      <c r="V509" s="634"/>
      <c r="W509" s="634"/>
      <c r="X509" s="634"/>
      <c r="Y509" s="634"/>
      <c r="Z509" s="634"/>
    </row>
    <row r="510" ht="15.75" customHeight="1">
      <c r="A510" s="634"/>
      <c r="B510" s="634"/>
      <c r="C510" s="634"/>
      <c r="D510" s="634"/>
      <c r="E510" s="635"/>
      <c r="F510" s="634"/>
      <c r="G510" s="636"/>
      <c r="H510" s="635"/>
      <c r="I510" s="635"/>
      <c r="J510" s="635"/>
      <c r="K510" s="635"/>
      <c r="L510" s="635"/>
      <c r="M510" s="635"/>
      <c r="N510" s="635"/>
      <c r="O510" s="635"/>
      <c r="P510" s="635"/>
      <c r="Q510" s="634"/>
      <c r="R510" s="634"/>
      <c r="S510" s="635"/>
      <c r="T510" s="635"/>
      <c r="U510" s="634"/>
      <c r="V510" s="634"/>
      <c r="W510" s="634"/>
      <c r="X510" s="634"/>
      <c r="Y510" s="634"/>
      <c r="Z510" s="634"/>
    </row>
    <row r="511" ht="15.75" customHeight="1">
      <c r="A511" s="634"/>
      <c r="B511" s="634"/>
      <c r="C511" s="634"/>
      <c r="D511" s="634"/>
      <c r="E511" s="635"/>
      <c r="F511" s="634"/>
      <c r="G511" s="636"/>
      <c r="H511" s="635"/>
      <c r="I511" s="635"/>
      <c r="J511" s="635"/>
      <c r="K511" s="635"/>
      <c r="L511" s="635"/>
      <c r="M511" s="635"/>
      <c r="N511" s="635"/>
      <c r="O511" s="635"/>
      <c r="P511" s="635"/>
      <c r="Q511" s="634"/>
      <c r="R511" s="634"/>
      <c r="S511" s="635"/>
      <c r="T511" s="635"/>
      <c r="U511" s="634"/>
      <c r="V511" s="634"/>
      <c r="W511" s="634"/>
      <c r="X511" s="634"/>
      <c r="Y511" s="634"/>
      <c r="Z511" s="634"/>
    </row>
    <row r="512" ht="15.75" customHeight="1">
      <c r="A512" s="634"/>
      <c r="B512" s="634"/>
      <c r="C512" s="634"/>
      <c r="D512" s="634"/>
      <c r="E512" s="635"/>
      <c r="F512" s="634"/>
      <c r="G512" s="636"/>
      <c r="H512" s="635"/>
      <c r="I512" s="635"/>
      <c r="J512" s="635"/>
      <c r="K512" s="635"/>
      <c r="L512" s="635"/>
      <c r="M512" s="635"/>
      <c r="N512" s="635"/>
      <c r="O512" s="635"/>
      <c r="P512" s="635"/>
      <c r="Q512" s="634"/>
      <c r="R512" s="634"/>
      <c r="S512" s="635"/>
      <c r="T512" s="635"/>
      <c r="U512" s="634"/>
      <c r="V512" s="634"/>
      <c r="W512" s="634"/>
      <c r="X512" s="634"/>
      <c r="Y512" s="634"/>
      <c r="Z512" s="634"/>
    </row>
    <row r="513" ht="15.75" customHeight="1">
      <c r="A513" s="634"/>
      <c r="B513" s="634"/>
      <c r="C513" s="634"/>
      <c r="D513" s="634"/>
      <c r="E513" s="635"/>
      <c r="F513" s="634"/>
      <c r="G513" s="636"/>
      <c r="H513" s="635"/>
      <c r="I513" s="635"/>
      <c r="J513" s="635"/>
      <c r="K513" s="635"/>
      <c r="L513" s="635"/>
      <c r="M513" s="635"/>
      <c r="N513" s="635"/>
      <c r="O513" s="635"/>
      <c r="P513" s="635"/>
      <c r="Q513" s="634"/>
      <c r="R513" s="634"/>
      <c r="S513" s="635"/>
      <c r="T513" s="635"/>
      <c r="U513" s="634"/>
      <c r="V513" s="634"/>
      <c r="W513" s="634"/>
      <c r="X513" s="634"/>
      <c r="Y513" s="634"/>
      <c r="Z513" s="634"/>
    </row>
    <row r="514" ht="15.75" customHeight="1">
      <c r="A514" s="634"/>
      <c r="B514" s="634"/>
      <c r="C514" s="634"/>
      <c r="D514" s="634"/>
      <c r="E514" s="635"/>
      <c r="F514" s="634"/>
      <c r="G514" s="636"/>
      <c r="H514" s="635"/>
      <c r="I514" s="635"/>
      <c r="J514" s="635"/>
      <c r="K514" s="635"/>
      <c r="L514" s="635"/>
      <c r="M514" s="635"/>
      <c r="N514" s="635"/>
      <c r="O514" s="635"/>
      <c r="P514" s="635"/>
      <c r="Q514" s="634"/>
      <c r="R514" s="634"/>
      <c r="S514" s="635"/>
      <c r="T514" s="635"/>
      <c r="U514" s="634"/>
      <c r="V514" s="634"/>
      <c r="W514" s="634"/>
      <c r="X514" s="634"/>
      <c r="Y514" s="634"/>
      <c r="Z514" s="634"/>
    </row>
    <row r="515" ht="15.75" customHeight="1">
      <c r="A515" s="634"/>
      <c r="B515" s="634"/>
      <c r="C515" s="634"/>
      <c r="D515" s="634"/>
      <c r="E515" s="635"/>
      <c r="F515" s="634"/>
      <c r="G515" s="636"/>
      <c r="H515" s="635"/>
      <c r="I515" s="635"/>
      <c r="J515" s="635"/>
      <c r="K515" s="635"/>
      <c r="L515" s="635"/>
      <c r="M515" s="635"/>
      <c r="N515" s="635"/>
      <c r="O515" s="635"/>
      <c r="P515" s="635"/>
      <c r="Q515" s="634"/>
      <c r="R515" s="634"/>
      <c r="S515" s="635"/>
      <c r="T515" s="635"/>
      <c r="U515" s="634"/>
      <c r="V515" s="634"/>
      <c r="W515" s="634"/>
      <c r="X515" s="634"/>
      <c r="Y515" s="634"/>
      <c r="Z515" s="634"/>
    </row>
    <row r="516" ht="15.75" customHeight="1">
      <c r="A516" s="634"/>
      <c r="B516" s="634"/>
      <c r="C516" s="634"/>
      <c r="D516" s="634"/>
      <c r="E516" s="635"/>
      <c r="F516" s="634"/>
      <c r="G516" s="636"/>
      <c r="H516" s="635"/>
      <c r="I516" s="635"/>
      <c r="J516" s="635"/>
      <c r="K516" s="635"/>
      <c r="L516" s="635"/>
      <c r="M516" s="635"/>
      <c r="N516" s="635"/>
      <c r="O516" s="635"/>
      <c r="P516" s="635"/>
      <c r="Q516" s="634"/>
      <c r="R516" s="634"/>
      <c r="S516" s="635"/>
      <c r="T516" s="635"/>
      <c r="U516" s="634"/>
      <c r="V516" s="634"/>
      <c r="W516" s="634"/>
      <c r="X516" s="634"/>
      <c r="Y516" s="634"/>
      <c r="Z516" s="634"/>
    </row>
    <row r="517" ht="15.75" customHeight="1">
      <c r="A517" s="634"/>
      <c r="B517" s="634"/>
      <c r="C517" s="634"/>
      <c r="D517" s="634"/>
      <c r="E517" s="635"/>
      <c r="F517" s="634"/>
      <c r="G517" s="636"/>
      <c r="H517" s="635"/>
      <c r="I517" s="635"/>
      <c r="J517" s="635"/>
      <c r="K517" s="635"/>
      <c r="L517" s="635"/>
      <c r="M517" s="635"/>
      <c r="N517" s="635"/>
      <c r="O517" s="635"/>
      <c r="P517" s="635"/>
      <c r="Q517" s="634"/>
      <c r="R517" s="634"/>
      <c r="S517" s="635"/>
      <c r="T517" s="635"/>
      <c r="U517" s="634"/>
      <c r="V517" s="634"/>
      <c r="W517" s="634"/>
      <c r="X517" s="634"/>
      <c r="Y517" s="634"/>
      <c r="Z517" s="634"/>
    </row>
    <row r="518" ht="15.75" customHeight="1">
      <c r="A518" s="634"/>
      <c r="B518" s="634"/>
      <c r="C518" s="634"/>
      <c r="D518" s="634"/>
      <c r="E518" s="635"/>
      <c r="F518" s="634"/>
      <c r="G518" s="636"/>
      <c r="H518" s="635"/>
      <c r="I518" s="635"/>
      <c r="J518" s="635"/>
      <c r="K518" s="635"/>
      <c r="L518" s="635"/>
      <c r="M518" s="635"/>
      <c r="N518" s="635"/>
      <c r="O518" s="635"/>
      <c r="P518" s="635"/>
      <c r="Q518" s="634"/>
      <c r="R518" s="634"/>
      <c r="S518" s="635"/>
      <c r="T518" s="635"/>
      <c r="U518" s="634"/>
      <c r="V518" s="634"/>
      <c r="W518" s="634"/>
      <c r="X518" s="634"/>
      <c r="Y518" s="634"/>
      <c r="Z518" s="634"/>
    </row>
    <row r="519" ht="15.75" customHeight="1">
      <c r="A519" s="634"/>
      <c r="B519" s="634"/>
      <c r="C519" s="634"/>
      <c r="D519" s="634"/>
      <c r="E519" s="635"/>
      <c r="F519" s="634"/>
      <c r="G519" s="636"/>
      <c r="H519" s="635"/>
      <c r="I519" s="635"/>
      <c r="J519" s="635"/>
      <c r="K519" s="635"/>
      <c r="L519" s="635"/>
      <c r="M519" s="635"/>
      <c r="N519" s="635"/>
      <c r="O519" s="635"/>
      <c r="P519" s="635"/>
      <c r="Q519" s="634"/>
      <c r="R519" s="634"/>
      <c r="S519" s="635"/>
      <c r="T519" s="635"/>
      <c r="U519" s="634"/>
      <c r="V519" s="634"/>
      <c r="W519" s="634"/>
      <c r="X519" s="634"/>
      <c r="Y519" s="634"/>
      <c r="Z519" s="634"/>
    </row>
    <row r="520" ht="15.75" customHeight="1">
      <c r="A520" s="634"/>
      <c r="B520" s="634"/>
      <c r="C520" s="634"/>
      <c r="D520" s="634"/>
      <c r="E520" s="635"/>
      <c r="F520" s="634"/>
      <c r="G520" s="636"/>
      <c r="H520" s="635"/>
      <c r="I520" s="635"/>
      <c r="J520" s="635"/>
      <c r="K520" s="635"/>
      <c r="L520" s="635"/>
      <c r="M520" s="635"/>
      <c r="N520" s="635"/>
      <c r="O520" s="635"/>
      <c r="P520" s="635"/>
      <c r="Q520" s="634"/>
      <c r="R520" s="634"/>
      <c r="S520" s="635"/>
      <c r="T520" s="635"/>
      <c r="U520" s="634"/>
      <c r="V520" s="634"/>
      <c r="W520" s="634"/>
      <c r="X520" s="634"/>
      <c r="Y520" s="634"/>
      <c r="Z520" s="634"/>
    </row>
    <row r="521" ht="15.75" customHeight="1">
      <c r="A521" s="634"/>
      <c r="B521" s="634"/>
      <c r="C521" s="634"/>
      <c r="D521" s="634"/>
      <c r="E521" s="635"/>
      <c r="F521" s="634"/>
      <c r="G521" s="636"/>
      <c r="H521" s="635"/>
      <c r="I521" s="635"/>
      <c r="J521" s="635"/>
      <c r="K521" s="635"/>
      <c r="L521" s="635"/>
      <c r="M521" s="635"/>
      <c r="N521" s="635"/>
      <c r="O521" s="635"/>
      <c r="P521" s="635"/>
      <c r="Q521" s="634"/>
      <c r="R521" s="634"/>
      <c r="S521" s="635"/>
      <c r="T521" s="635"/>
      <c r="U521" s="634"/>
      <c r="V521" s="634"/>
      <c r="W521" s="634"/>
      <c r="X521" s="634"/>
      <c r="Y521" s="634"/>
      <c r="Z521" s="634"/>
    </row>
    <row r="522" ht="15.75" customHeight="1">
      <c r="A522" s="634"/>
      <c r="B522" s="634"/>
      <c r="C522" s="634"/>
      <c r="D522" s="634"/>
      <c r="E522" s="635"/>
      <c r="F522" s="634"/>
      <c r="G522" s="636"/>
      <c r="H522" s="635"/>
      <c r="I522" s="635"/>
      <c r="J522" s="635"/>
      <c r="K522" s="635"/>
      <c r="L522" s="635"/>
      <c r="M522" s="635"/>
      <c r="N522" s="635"/>
      <c r="O522" s="635"/>
      <c r="P522" s="635"/>
      <c r="Q522" s="634"/>
      <c r="R522" s="634"/>
      <c r="S522" s="635"/>
      <c r="T522" s="635"/>
      <c r="U522" s="634"/>
      <c r="V522" s="634"/>
      <c r="W522" s="634"/>
      <c r="X522" s="634"/>
      <c r="Y522" s="634"/>
      <c r="Z522" s="634"/>
    </row>
    <row r="523" ht="15.75" customHeight="1">
      <c r="A523" s="634"/>
      <c r="B523" s="634"/>
      <c r="C523" s="634"/>
      <c r="D523" s="634"/>
      <c r="E523" s="635"/>
      <c r="F523" s="634"/>
      <c r="G523" s="636"/>
      <c r="H523" s="635"/>
      <c r="I523" s="635"/>
      <c r="J523" s="635"/>
      <c r="K523" s="635"/>
      <c r="L523" s="635"/>
      <c r="M523" s="635"/>
      <c r="N523" s="635"/>
      <c r="O523" s="635"/>
      <c r="P523" s="635"/>
      <c r="Q523" s="634"/>
      <c r="R523" s="634"/>
      <c r="S523" s="635"/>
      <c r="T523" s="635"/>
      <c r="U523" s="634"/>
      <c r="V523" s="634"/>
      <c r="W523" s="634"/>
      <c r="X523" s="634"/>
      <c r="Y523" s="634"/>
      <c r="Z523" s="634"/>
    </row>
    <row r="524" ht="15.75" customHeight="1">
      <c r="A524" s="634"/>
      <c r="B524" s="634"/>
      <c r="C524" s="634"/>
      <c r="D524" s="634"/>
      <c r="E524" s="635"/>
      <c r="F524" s="634"/>
      <c r="G524" s="636"/>
      <c r="H524" s="635"/>
      <c r="I524" s="635"/>
      <c r="J524" s="635"/>
      <c r="K524" s="635"/>
      <c r="L524" s="635"/>
      <c r="M524" s="635"/>
      <c r="N524" s="635"/>
      <c r="O524" s="635"/>
      <c r="P524" s="635"/>
      <c r="Q524" s="634"/>
      <c r="R524" s="634"/>
      <c r="S524" s="635"/>
      <c r="T524" s="635"/>
      <c r="U524" s="634"/>
      <c r="V524" s="634"/>
      <c r="W524" s="634"/>
      <c r="X524" s="634"/>
      <c r="Y524" s="634"/>
      <c r="Z524" s="634"/>
    </row>
    <row r="525" ht="15.75" customHeight="1">
      <c r="A525" s="634"/>
      <c r="B525" s="634"/>
      <c r="C525" s="634"/>
      <c r="D525" s="634"/>
      <c r="E525" s="635"/>
      <c r="F525" s="634"/>
      <c r="G525" s="636"/>
      <c r="H525" s="635"/>
      <c r="I525" s="635"/>
      <c r="J525" s="635"/>
      <c r="K525" s="635"/>
      <c r="L525" s="635"/>
      <c r="M525" s="635"/>
      <c r="N525" s="635"/>
      <c r="O525" s="635"/>
      <c r="P525" s="635"/>
      <c r="Q525" s="634"/>
      <c r="R525" s="634"/>
      <c r="S525" s="635"/>
      <c r="T525" s="635"/>
      <c r="U525" s="634"/>
      <c r="V525" s="634"/>
      <c r="W525" s="634"/>
      <c r="X525" s="634"/>
      <c r="Y525" s="634"/>
      <c r="Z525" s="634"/>
    </row>
    <row r="526" ht="15.75" customHeight="1">
      <c r="A526" s="634"/>
      <c r="B526" s="634"/>
      <c r="C526" s="634"/>
      <c r="D526" s="634"/>
      <c r="E526" s="635"/>
      <c r="F526" s="634"/>
      <c r="G526" s="636"/>
      <c r="H526" s="635"/>
      <c r="I526" s="635"/>
      <c r="J526" s="635"/>
      <c r="K526" s="635"/>
      <c r="L526" s="635"/>
      <c r="M526" s="635"/>
      <c r="N526" s="635"/>
      <c r="O526" s="635"/>
      <c r="P526" s="635"/>
      <c r="Q526" s="634"/>
      <c r="R526" s="634"/>
      <c r="S526" s="635"/>
      <c r="T526" s="635"/>
      <c r="U526" s="634"/>
      <c r="V526" s="634"/>
      <c r="W526" s="634"/>
      <c r="X526" s="634"/>
      <c r="Y526" s="634"/>
      <c r="Z526" s="634"/>
    </row>
    <row r="527" ht="15.75" customHeight="1">
      <c r="A527" s="634"/>
      <c r="B527" s="634"/>
      <c r="C527" s="634"/>
      <c r="D527" s="634"/>
      <c r="E527" s="635"/>
      <c r="F527" s="634"/>
      <c r="G527" s="636"/>
      <c r="H527" s="635"/>
      <c r="I527" s="635"/>
      <c r="J527" s="635"/>
      <c r="K527" s="635"/>
      <c r="L527" s="635"/>
      <c r="M527" s="635"/>
      <c r="N527" s="635"/>
      <c r="O527" s="635"/>
      <c r="P527" s="635"/>
      <c r="Q527" s="634"/>
      <c r="R527" s="634"/>
      <c r="S527" s="635"/>
      <c r="T527" s="635"/>
      <c r="U527" s="634"/>
      <c r="V527" s="634"/>
      <c r="W527" s="634"/>
      <c r="X527" s="634"/>
      <c r="Y527" s="634"/>
      <c r="Z527" s="634"/>
    </row>
    <row r="528" ht="15.75" customHeight="1">
      <c r="A528" s="634"/>
      <c r="B528" s="634"/>
      <c r="C528" s="634"/>
      <c r="D528" s="634"/>
      <c r="E528" s="635"/>
      <c r="F528" s="634"/>
      <c r="G528" s="636"/>
      <c r="H528" s="635"/>
      <c r="I528" s="635"/>
      <c r="J528" s="635"/>
      <c r="K528" s="635"/>
      <c r="L528" s="635"/>
      <c r="M528" s="635"/>
      <c r="N528" s="635"/>
      <c r="O528" s="635"/>
      <c r="P528" s="635"/>
      <c r="Q528" s="634"/>
      <c r="R528" s="634"/>
      <c r="S528" s="635"/>
      <c r="T528" s="635"/>
      <c r="U528" s="634"/>
      <c r="V528" s="634"/>
      <c r="W528" s="634"/>
      <c r="X528" s="634"/>
      <c r="Y528" s="634"/>
      <c r="Z528" s="634"/>
    </row>
    <row r="529" ht="15.75" customHeight="1">
      <c r="A529" s="634"/>
      <c r="B529" s="634"/>
      <c r="C529" s="634"/>
      <c r="D529" s="634"/>
      <c r="E529" s="635"/>
      <c r="F529" s="634"/>
      <c r="G529" s="636"/>
      <c r="H529" s="635"/>
      <c r="I529" s="635"/>
      <c r="J529" s="635"/>
      <c r="K529" s="635"/>
      <c r="L529" s="635"/>
      <c r="M529" s="635"/>
      <c r="N529" s="635"/>
      <c r="O529" s="635"/>
      <c r="P529" s="635"/>
      <c r="Q529" s="634"/>
      <c r="R529" s="634"/>
      <c r="S529" s="635"/>
      <c r="T529" s="635"/>
      <c r="U529" s="634"/>
      <c r="V529" s="634"/>
      <c r="W529" s="634"/>
      <c r="X529" s="634"/>
      <c r="Y529" s="634"/>
      <c r="Z529" s="634"/>
    </row>
    <row r="530" ht="15.75" customHeight="1">
      <c r="A530" s="634"/>
      <c r="B530" s="634"/>
      <c r="C530" s="634"/>
      <c r="D530" s="634"/>
      <c r="E530" s="635"/>
      <c r="F530" s="634"/>
      <c r="G530" s="636"/>
      <c r="H530" s="635"/>
      <c r="I530" s="635"/>
      <c r="J530" s="635"/>
      <c r="K530" s="635"/>
      <c r="L530" s="635"/>
      <c r="M530" s="635"/>
      <c r="N530" s="635"/>
      <c r="O530" s="635"/>
      <c r="P530" s="635"/>
      <c r="Q530" s="634"/>
      <c r="R530" s="634"/>
      <c r="S530" s="635"/>
      <c r="T530" s="635"/>
      <c r="U530" s="634"/>
      <c r="V530" s="634"/>
      <c r="W530" s="634"/>
      <c r="X530" s="634"/>
      <c r="Y530" s="634"/>
      <c r="Z530" s="634"/>
    </row>
    <row r="531" ht="15.75" customHeight="1">
      <c r="A531" s="634"/>
      <c r="B531" s="634"/>
      <c r="C531" s="634"/>
      <c r="D531" s="634"/>
      <c r="E531" s="635"/>
      <c r="F531" s="634"/>
      <c r="G531" s="636"/>
      <c r="H531" s="635"/>
      <c r="I531" s="635"/>
      <c r="J531" s="635"/>
      <c r="K531" s="635"/>
      <c r="L531" s="635"/>
      <c r="M531" s="635"/>
      <c r="N531" s="635"/>
      <c r="O531" s="635"/>
      <c r="P531" s="635"/>
      <c r="Q531" s="634"/>
      <c r="R531" s="634"/>
      <c r="S531" s="635"/>
      <c r="T531" s="635"/>
      <c r="U531" s="634"/>
      <c r="V531" s="634"/>
      <c r="W531" s="634"/>
      <c r="X531" s="634"/>
      <c r="Y531" s="634"/>
      <c r="Z531" s="634"/>
    </row>
    <row r="532" ht="15.75" customHeight="1">
      <c r="A532" s="634"/>
      <c r="B532" s="634"/>
      <c r="C532" s="634"/>
      <c r="D532" s="634"/>
      <c r="E532" s="635"/>
      <c r="F532" s="634"/>
      <c r="G532" s="636"/>
      <c r="H532" s="635"/>
      <c r="I532" s="635"/>
      <c r="J532" s="635"/>
      <c r="K532" s="635"/>
      <c r="L532" s="635"/>
      <c r="M532" s="635"/>
      <c r="N532" s="635"/>
      <c r="O532" s="635"/>
      <c r="P532" s="635"/>
      <c r="Q532" s="634"/>
      <c r="R532" s="634"/>
      <c r="S532" s="635"/>
      <c r="T532" s="635"/>
      <c r="U532" s="634"/>
      <c r="V532" s="634"/>
      <c r="W532" s="634"/>
      <c r="X532" s="634"/>
      <c r="Y532" s="634"/>
      <c r="Z532" s="634"/>
    </row>
    <row r="533" ht="15.75" customHeight="1">
      <c r="A533" s="634"/>
      <c r="B533" s="634"/>
      <c r="C533" s="634"/>
      <c r="D533" s="634"/>
      <c r="E533" s="635"/>
      <c r="F533" s="634"/>
      <c r="G533" s="636"/>
      <c r="H533" s="635"/>
      <c r="I533" s="635"/>
      <c r="J533" s="635"/>
      <c r="K533" s="635"/>
      <c r="L533" s="635"/>
      <c r="M533" s="635"/>
      <c r="N533" s="635"/>
      <c r="O533" s="635"/>
      <c r="P533" s="635"/>
      <c r="Q533" s="634"/>
      <c r="R533" s="634"/>
      <c r="S533" s="635"/>
      <c r="T533" s="635"/>
      <c r="U533" s="634"/>
      <c r="V533" s="634"/>
      <c r="W533" s="634"/>
      <c r="X533" s="634"/>
      <c r="Y533" s="634"/>
      <c r="Z533" s="634"/>
    </row>
    <row r="534" ht="15.75" customHeight="1">
      <c r="A534" s="634"/>
      <c r="B534" s="634"/>
      <c r="C534" s="634"/>
      <c r="D534" s="634"/>
      <c r="E534" s="635"/>
      <c r="F534" s="634"/>
      <c r="G534" s="636"/>
      <c r="H534" s="635"/>
      <c r="I534" s="635"/>
      <c r="J534" s="635"/>
      <c r="K534" s="635"/>
      <c r="L534" s="635"/>
      <c r="M534" s="635"/>
      <c r="N534" s="635"/>
      <c r="O534" s="635"/>
      <c r="P534" s="635"/>
      <c r="Q534" s="634"/>
      <c r="R534" s="634"/>
      <c r="S534" s="635"/>
      <c r="T534" s="635"/>
      <c r="U534" s="634"/>
      <c r="V534" s="634"/>
      <c r="W534" s="634"/>
      <c r="X534" s="634"/>
      <c r="Y534" s="634"/>
      <c r="Z534" s="634"/>
    </row>
    <row r="535" ht="15.75" customHeight="1">
      <c r="A535" s="634"/>
      <c r="B535" s="634"/>
      <c r="C535" s="634"/>
      <c r="D535" s="634"/>
      <c r="E535" s="635"/>
      <c r="F535" s="634"/>
      <c r="G535" s="636"/>
      <c r="H535" s="635"/>
      <c r="I535" s="635"/>
      <c r="J535" s="635"/>
      <c r="K535" s="635"/>
      <c r="L535" s="635"/>
      <c r="M535" s="635"/>
      <c r="N535" s="635"/>
      <c r="O535" s="635"/>
      <c r="P535" s="635"/>
      <c r="Q535" s="634"/>
      <c r="R535" s="634"/>
      <c r="S535" s="635"/>
      <c r="T535" s="635"/>
      <c r="U535" s="634"/>
      <c r="V535" s="634"/>
      <c r="W535" s="634"/>
      <c r="X535" s="634"/>
      <c r="Y535" s="634"/>
      <c r="Z535" s="634"/>
    </row>
    <row r="536" ht="15.75" customHeight="1">
      <c r="A536" s="634"/>
      <c r="B536" s="634"/>
      <c r="C536" s="634"/>
      <c r="D536" s="634"/>
      <c r="E536" s="635"/>
      <c r="F536" s="634"/>
      <c r="G536" s="636"/>
      <c r="H536" s="635"/>
      <c r="I536" s="635"/>
      <c r="J536" s="635"/>
      <c r="K536" s="635"/>
      <c r="L536" s="635"/>
      <c r="M536" s="635"/>
      <c r="N536" s="635"/>
      <c r="O536" s="635"/>
      <c r="P536" s="635"/>
      <c r="Q536" s="634"/>
      <c r="R536" s="634"/>
      <c r="S536" s="635"/>
      <c r="T536" s="635"/>
      <c r="U536" s="634"/>
      <c r="V536" s="634"/>
      <c r="W536" s="634"/>
      <c r="X536" s="634"/>
      <c r="Y536" s="634"/>
      <c r="Z536" s="634"/>
    </row>
    <row r="537" ht="15.75" customHeight="1">
      <c r="A537" s="634"/>
      <c r="B537" s="634"/>
      <c r="C537" s="634"/>
      <c r="D537" s="634"/>
      <c r="E537" s="635"/>
      <c r="F537" s="634"/>
      <c r="G537" s="636"/>
      <c r="H537" s="635"/>
      <c r="I537" s="635"/>
      <c r="J537" s="635"/>
      <c r="K537" s="635"/>
      <c r="L537" s="635"/>
      <c r="M537" s="635"/>
      <c r="N537" s="635"/>
      <c r="O537" s="635"/>
      <c r="P537" s="635"/>
      <c r="Q537" s="634"/>
      <c r="R537" s="634"/>
      <c r="S537" s="635"/>
      <c r="T537" s="635"/>
      <c r="U537" s="634"/>
      <c r="V537" s="634"/>
      <c r="W537" s="634"/>
      <c r="X537" s="634"/>
      <c r="Y537" s="634"/>
      <c r="Z537" s="634"/>
    </row>
    <row r="538" ht="15.75" customHeight="1">
      <c r="A538" s="634"/>
      <c r="B538" s="634"/>
      <c r="C538" s="634"/>
      <c r="D538" s="634"/>
      <c r="E538" s="635"/>
      <c r="F538" s="634"/>
      <c r="G538" s="636"/>
      <c r="H538" s="635"/>
      <c r="I538" s="635"/>
      <c r="J538" s="635"/>
      <c r="K538" s="635"/>
      <c r="L538" s="635"/>
      <c r="M538" s="635"/>
      <c r="N538" s="635"/>
      <c r="O538" s="635"/>
      <c r="P538" s="635"/>
      <c r="Q538" s="634"/>
      <c r="R538" s="634"/>
      <c r="S538" s="635"/>
      <c r="T538" s="635"/>
      <c r="U538" s="634"/>
      <c r="V538" s="634"/>
      <c r="W538" s="634"/>
      <c r="X538" s="634"/>
      <c r="Y538" s="634"/>
      <c r="Z538" s="634"/>
    </row>
    <row r="539" ht="15.75" customHeight="1">
      <c r="A539" s="634"/>
      <c r="B539" s="634"/>
      <c r="C539" s="634"/>
      <c r="D539" s="634"/>
      <c r="E539" s="635"/>
      <c r="F539" s="634"/>
      <c r="G539" s="636"/>
      <c r="H539" s="635"/>
      <c r="I539" s="635"/>
      <c r="J539" s="635"/>
      <c r="K539" s="635"/>
      <c r="L539" s="635"/>
      <c r="M539" s="635"/>
      <c r="N539" s="635"/>
      <c r="O539" s="635"/>
      <c r="P539" s="635"/>
      <c r="Q539" s="634"/>
      <c r="R539" s="634"/>
      <c r="S539" s="635"/>
      <c r="T539" s="635"/>
      <c r="U539" s="634"/>
      <c r="V539" s="634"/>
      <c r="W539" s="634"/>
      <c r="X539" s="634"/>
      <c r="Y539" s="634"/>
      <c r="Z539" s="634"/>
    </row>
    <row r="540" ht="15.75" customHeight="1">
      <c r="A540" s="634"/>
      <c r="B540" s="634"/>
      <c r="C540" s="634"/>
      <c r="D540" s="634"/>
      <c r="E540" s="635"/>
      <c r="F540" s="634"/>
      <c r="G540" s="636"/>
      <c r="H540" s="635"/>
      <c r="I540" s="635"/>
      <c r="J540" s="635"/>
      <c r="K540" s="635"/>
      <c r="L540" s="635"/>
      <c r="M540" s="635"/>
      <c r="N540" s="635"/>
      <c r="O540" s="635"/>
      <c r="P540" s="635"/>
      <c r="Q540" s="634"/>
      <c r="R540" s="634"/>
      <c r="S540" s="635"/>
      <c r="T540" s="635"/>
      <c r="U540" s="634"/>
      <c r="V540" s="634"/>
      <c r="W540" s="634"/>
      <c r="X540" s="634"/>
      <c r="Y540" s="634"/>
      <c r="Z540" s="634"/>
    </row>
    <row r="541" ht="15.75" customHeight="1">
      <c r="A541" s="634"/>
      <c r="B541" s="634"/>
      <c r="C541" s="634"/>
      <c r="D541" s="634"/>
      <c r="E541" s="635"/>
      <c r="F541" s="634"/>
      <c r="G541" s="636"/>
      <c r="H541" s="635"/>
      <c r="I541" s="635"/>
      <c r="J541" s="635"/>
      <c r="K541" s="635"/>
      <c r="L541" s="635"/>
      <c r="M541" s="635"/>
      <c r="N541" s="635"/>
      <c r="O541" s="635"/>
      <c r="P541" s="635"/>
      <c r="Q541" s="634"/>
      <c r="R541" s="634"/>
      <c r="S541" s="635"/>
      <c r="T541" s="635"/>
      <c r="U541" s="634"/>
      <c r="V541" s="634"/>
      <c r="W541" s="634"/>
      <c r="X541" s="634"/>
      <c r="Y541" s="634"/>
      <c r="Z541" s="634"/>
    </row>
    <row r="542" ht="15.75" customHeight="1">
      <c r="A542" s="634"/>
      <c r="B542" s="634"/>
      <c r="C542" s="634"/>
      <c r="D542" s="634"/>
      <c r="E542" s="635"/>
      <c r="F542" s="634"/>
      <c r="G542" s="636"/>
      <c r="H542" s="635"/>
      <c r="I542" s="635"/>
      <c r="J542" s="635"/>
      <c r="K542" s="635"/>
      <c r="L542" s="635"/>
      <c r="M542" s="635"/>
      <c r="N542" s="635"/>
      <c r="O542" s="635"/>
      <c r="P542" s="635"/>
      <c r="Q542" s="634"/>
      <c r="R542" s="634"/>
      <c r="S542" s="635"/>
      <c r="T542" s="635"/>
      <c r="U542" s="634"/>
      <c r="V542" s="634"/>
      <c r="W542" s="634"/>
      <c r="X542" s="634"/>
      <c r="Y542" s="634"/>
      <c r="Z542" s="634"/>
    </row>
    <row r="543" ht="15.75" customHeight="1">
      <c r="A543" s="634"/>
      <c r="B543" s="634"/>
      <c r="C543" s="634"/>
      <c r="D543" s="634"/>
      <c r="E543" s="635"/>
      <c r="F543" s="634"/>
      <c r="G543" s="636"/>
      <c r="H543" s="635"/>
      <c r="I543" s="635"/>
      <c r="J543" s="635"/>
      <c r="K543" s="635"/>
      <c r="L543" s="635"/>
      <c r="M543" s="635"/>
      <c r="N543" s="635"/>
      <c r="O543" s="635"/>
      <c r="P543" s="635"/>
      <c r="Q543" s="634"/>
      <c r="R543" s="634"/>
      <c r="S543" s="635"/>
      <c r="T543" s="635"/>
      <c r="U543" s="634"/>
      <c r="V543" s="634"/>
      <c r="W543" s="634"/>
      <c r="X543" s="634"/>
      <c r="Y543" s="634"/>
      <c r="Z543" s="634"/>
    </row>
    <row r="544" ht="15.75" customHeight="1">
      <c r="A544" s="634"/>
      <c r="B544" s="634"/>
      <c r="C544" s="634"/>
      <c r="D544" s="634"/>
      <c r="E544" s="635"/>
      <c r="F544" s="634"/>
      <c r="G544" s="636"/>
      <c r="H544" s="635"/>
      <c r="I544" s="635"/>
      <c r="J544" s="635"/>
      <c r="K544" s="635"/>
      <c r="L544" s="635"/>
      <c r="M544" s="635"/>
      <c r="N544" s="635"/>
      <c r="O544" s="635"/>
      <c r="P544" s="635"/>
      <c r="Q544" s="634"/>
      <c r="R544" s="634"/>
      <c r="S544" s="635"/>
      <c r="T544" s="635"/>
      <c r="U544" s="634"/>
      <c r="V544" s="634"/>
      <c r="W544" s="634"/>
      <c r="X544" s="634"/>
      <c r="Y544" s="634"/>
      <c r="Z544" s="634"/>
    </row>
    <row r="545" ht="15.75" customHeight="1">
      <c r="A545" s="634"/>
      <c r="B545" s="634"/>
      <c r="C545" s="634"/>
      <c r="D545" s="634"/>
      <c r="E545" s="635"/>
      <c r="F545" s="634"/>
      <c r="G545" s="636"/>
      <c r="H545" s="635"/>
      <c r="I545" s="635"/>
      <c r="J545" s="635"/>
      <c r="K545" s="635"/>
      <c r="L545" s="635"/>
      <c r="M545" s="635"/>
      <c r="N545" s="635"/>
      <c r="O545" s="635"/>
      <c r="P545" s="635"/>
      <c r="Q545" s="634"/>
      <c r="R545" s="634"/>
      <c r="S545" s="635"/>
      <c r="T545" s="635"/>
      <c r="U545" s="634"/>
      <c r="V545" s="634"/>
      <c r="W545" s="634"/>
      <c r="X545" s="634"/>
      <c r="Y545" s="634"/>
      <c r="Z545" s="634"/>
    </row>
    <row r="546" ht="15.75" customHeight="1">
      <c r="A546" s="634"/>
      <c r="B546" s="634"/>
      <c r="C546" s="634"/>
      <c r="D546" s="634"/>
      <c r="E546" s="635"/>
      <c r="F546" s="634"/>
      <c r="G546" s="636"/>
      <c r="H546" s="635"/>
      <c r="I546" s="635"/>
      <c r="J546" s="635"/>
      <c r="K546" s="635"/>
      <c r="L546" s="635"/>
      <c r="M546" s="635"/>
      <c r="N546" s="635"/>
      <c r="O546" s="635"/>
      <c r="P546" s="635"/>
      <c r="Q546" s="634"/>
      <c r="R546" s="634"/>
      <c r="S546" s="635"/>
      <c r="T546" s="635"/>
      <c r="U546" s="634"/>
      <c r="V546" s="634"/>
      <c r="W546" s="634"/>
      <c r="X546" s="634"/>
      <c r="Y546" s="634"/>
      <c r="Z546" s="634"/>
    </row>
    <row r="547" ht="15.75" customHeight="1">
      <c r="A547" s="634"/>
      <c r="B547" s="634"/>
      <c r="C547" s="634"/>
      <c r="D547" s="634"/>
      <c r="E547" s="635"/>
      <c r="F547" s="634"/>
      <c r="G547" s="636"/>
      <c r="H547" s="635"/>
      <c r="I547" s="635"/>
      <c r="J547" s="635"/>
      <c r="K547" s="635"/>
      <c r="L547" s="635"/>
      <c r="M547" s="635"/>
      <c r="N547" s="635"/>
      <c r="O547" s="635"/>
      <c r="P547" s="635"/>
      <c r="Q547" s="634"/>
      <c r="R547" s="634"/>
      <c r="S547" s="635"/>
      <c r="T547" s="635"/>
      <c r="U547" s="634"/>
      <c r="V547" s="634"/>
      <c r="W547" s="634"/>
      <c r="X547" s="634"/>
      <c r="Y547" s="634"/>
      <c r="Z547" s="634"/>
    </row>
    <row r="548" ht="15.75" customHeight="1">
      <c r="A548" s="634"/>
      <c r="B548" s="634"/>
      <c r="C548" s="634"/>
      <c r="D548" s="634"/>
      <c r="E548" s="635"/>
      <c r="F548" s="634"/>
      <c r="G548" s="636"/>
      <c r="H548" s="635"/>
      <c r="I548" s="635"/>
      <c r="J548" s="635"/>
      <c r="K548" s="635"/>
      <c r="L548" s="635"/>
      <c r="M548" s="635"/>
      <c r="N548" s="635"/>
      <c r="O548" s="635"/>
      <c r="P548" s="635"/>
      <c r="Q548" s="634"/>
      <c r="R548" s="634"/>
      <c r="S548" s="635"/>
      <c r="T548" s="635"/>
      <c r="U548" s="634"/>
      <c r="V548" s="634"/>
      <c r="W548" s="634"/>
      <c r="X548" s="634"/>
      <c r="Y548" s="634"/>
      <c r="Z548" s="634"/>
    </row>
    <row r="549" ht="15.75" customHeight="1">
      <c r="A549" s="634"/>
      <c r="B549" s="634"/>
      <c r="C549" s="634"/>
      <c r="D549" s="634"/>
      <c r="E549" s="635"/>
      <c r="F549" s="634"/>
      <c r="G549" s="636"/>
      <c r="H549" s="635"/>
      <c r="I549" s="635"/>
      <c r="J549" s="635"/>
      <c r="K549" s="635"/>
      <c r="L549" s="635"/>
      <c r="M549" s="635"/>
      <c r="N549" s="635"/>
      <c r="O549" s="635"/>
      <c r="P549" s="635"/>
      <c r="Q549" s="634"/>
      <c r="R549" s="634"/>
      <c r="S549" s="635"/>
      <c r="T549" s="635"/>
      <c r="U549" s="634"/>
      <c r="V549" s="634"/>
      <c r="W549" s="634"/>
      <c r="X549" s="634"/>
      <c r="Y549" s="634"/>
      <c r="Z549" s="634"/>
    </row>
    <row r="550" ht="15.75" customHeight="1">
      <c r="A550" s="634"/>
      <c r="B550" s="634"/>
      <c r="C550" s="634"/>
      <c r="D550" s="634"/>
      <c r="E550" s="635"/>
      <c r="F550" s="634"/>
      <c r="G550" s="636"/>
      <c r="H550" s="635"/>
      <c r="I550" s="635"/>
      <c r="J550" s="635"/>
      <c r="K550" s="635"/>
      <c r="L550" s="635"/>
      <c r="M550" s="635"/>
      <c r="N550" s="635"/>
      <c r="O550" s="635"/>
      <c r="P550" s="635"/>
      <c r="Q550" s="634"/>
      <c r="R550" s="634"/>
      <c r="S550" s="635"/>
      <c r="T550" s="635"/>
      <c r="U550" s="634"/>
      <c r="V550" s="634"/>
      <c r="W550" s="634"/>
      <c r="X550" s="634"/>
      <c r="Y550" s="634"/>
      <c r="Z550" s="634"/>
    </row>
    <row r="551" ht="15.75" customHeight="1">
      <c r="A551" s="634"/>
      <c r="B551" s="634"/>
      <c r="C551" s="634"/>
      <c r="D551" s="634"/>
      <c r="E551" s="635"/>
      <c r="F551" s="634"/>
      <c r="G551" s="636"/>
      <c r="H551" s="635"/>
      <c r="I551" s="635"/>
      <c r="J551" s="635"/>
      <c r="K551" s="635"/>
      <c r="L551" s="635"/>
      <c r="M551" s="635"/>
      <c r="N551" s="635"/>
      <c r="O551" s="635"/>
      <c r="P551" s="635"/>
      <c r="Q551" s="634"/>
      <c r="R551" s="634"/>
      <c r="S551" s="635"/>
      <c r="T551" s="635"/>
      <c r="U551" s="634"/>
      <c r="V551" s="634"/>
      <c r="W551" s="634"/>
      <c r="X551" s="634"/>
      <c r="Y551" s="634"/>
      <c r="Z551" s="634"/>
    </row>
    <row r="552" ht="15.75" customHeight="1">
      <c r="A552" s="634"/>
      <c r="B552" s="634"/>
      <c r="C552" s="634"/>
      <c r="D552" s="634"/>
      <c r="E552" s="635"/>
      <c r="F552" s="634"/>
      <c r="G552" s="636"/>
      <c r="H552" s="635"/>
      <c r="I552" s="635"/>
      <c r="J552" s="635"/>
      <c r="K552" s="635"/>
      <c r="L552" s="635"/>
      <c r="M552" s="635"/>
      <c r="N552" s="635"/>
      <c r="O552" s="635"/>
      <c r="P552" s="635"/>
      <c r="Q552" s="634"/>
      <c r="R552" s="634"/>
      <c r="S552" s="635"/>
      <c r="T552" s="635"/>
      <c r="U552" s="634"/>
      <c r="V552" s="634"/>
      <c r="W552" s="634"/>
      <c r="X552" s="634"/>
      <c r="Y552" s="634"/>
      <c r="Z552" s="634"/>
    </row>
    <row r="553" ht="15.75" customHeight="1">
      <c r="A553" s="634"/>
      <c r="B553" s="634"/>
      <c r="C553" s="634"/>
      <c r="D553" s="634"/>
      <c r="E553" s="635"/>
      <c r="F553" s="634"/>
      <c r="G553" s="636"/>
      <c r="H553" s="635"/>
      <c r="I553" s="635"/>
      <c r="J553" s="635"/>
      <c r="K553" s="635"/>
      <c r="L553" s="635"/>
      <c r="M553" s="635"/>
      <c r="N553" s="635"/>
      <c r="O553" s="635"/>
      <c r="P553" s="635"/>
      <c r="Q553" s="634"/>
      <c r="R553" s="634"/>
      <c r="S553" s="635"/>
      <c r="T553" s="635"/>
      <c r="U553" s="634"/>
      <c r="V553" s="634"/>
      <c r="W553" s="634"/>
      <c r="X553" s="634"/>
      <c r="Y553" s="634"/>
      <c r="Z553" s="634"/>
    </row>
    <row r="554" ht="15.75" customHeight="1">
      <c r="A554" s="634"/>
      <c r="B554" s="634"/>
      <c r="C554" s="634"/>
      <c r="D554" s="634"/>
      <c r="E554" s="635"/>
      <c r="F554" s="634"/>
      <c r="G554" s="636"/>
      <c r="H554" s="635"/>
      <c r="I554" s="635"/>
      <c r="J554" s="635"/>
      <c r="K554" s="635"/>
      <c r="L554" s="635"/>
      <c r="M554" s="635"/>
      <c r="N554" s="635"/>
      <c r="O554" s="635"/>
      <c r="P554" s="635"/>
      <c r="Q554" s="634"/>
      <c r="R554" s="634"/>
      <c r="S554" s="635"/>
      <c r="T554" s="635"/>
      <c r="U554" s="634"/>
      <c r="V554" s="634"/>
      <c r="W554" s="634"/>
      <c r="X554" s="634"/>
      <c r="Y554" s="634"/>
      <c r="Z554" s="634"/>
    </row>
    <row r="555" ht="15.75" customHeight="1">
      <c r="A555" s="634"/>
      <c r="B555" s="634"/>
      <c r="C555" s="634"/>
      <c r="D555" s="634"/>
      <c r="E555" s="635"/>
      <c r="F555" s="634"/>
      <c r="G555" s="636"/>
      <c r="H555" s="635"/>
      <c r="I555" s="635"/>
      <c r="J555" s="635"/>
      <c r="K555" s="635"/>
      <c r="L555" s="635"/>
      <c r="M555" s="635"/>
      <c r="N555" s="635"/>
      <c r="O555" s="635"/>
      <c r="P555" s="635"/>
      <c r="Q555" s="634"/>
      <c r="R555" s="634"/>
      <c r="S555" s="635"/>
      <c r="T555" s="635"/>
      <c r="U555" s="634"/>
      <c r="V555" s="634"/>
      <c r="W555" s="634"/>
      <c r="X555" s="634"/>
      <c r="Y555" s="634"/>
      <c r="Z555" s="634"/>
    </row>
    <row r="556" ht="15.75" customHeight="1">
      <c r="A556" s="634"/>
      <c r="B556" s="634"/>
      <c r="C556" s="634"/>
      <c r="D556" s="634"/>
      <c r="E556" s="635"/>
      <c r="F556" s="634"/>
      <c r="G556" s="636"/>
      <c r="H556" s="635"/>
      <c r="I556" s="635"/>
      <c r="J556" s="635"/>
      <c r="K556" s="635"/>
      <c r="L556" s="635"/>
      <c r="M556" s="635"/>
      <c r="N556" s="635"/>
      <c r="O556" s="635"/>
      <c r="P556" s="635"/>
      <c r="Q556" s="634"/>
      <c r="R556" s="634"/>
      <c r="S556" s="635"/>
      <c r="T556" s="635"/>
      <c r="U556" s="634"/>
      <c r="V556" s="634"/>
      <c r="W556" s="634"/>
      <c r="X556" s="634"/>
      <c r="Y556" s="634"/>
      <c r="Z556" s="634"/>
    </row>
    <row r="557" ht="15.75" customHeight="1">
      <c r="A557" s="634"/>
      <c r="B557" s="634"/>
      <c r="C557" s="634"/>
      <c r="D557" s="634"/>
      <c r="E557" s="635"/>
      <c r="F557" s="634"/>
      <c r="G557" s="636"/>
      <c r="H557" s="635"/>
      <c r="I557" s="635"/>
      <c r="J557" s="635"/>
      <c r="K557" s="635"/>
      <c r="L557" s="635"/>
      <c r="M557" s="635"/>
      <c r="N557" s="635"/>
      <c r="O557" s="635"/>
      <c r="P557" s="635"/>
      <c r="Q557" s="634"/>
      <c r="R557" s="634"/>
      <c r="S557" s="635"/>
      <c r="T557" s="635"/>
      <c r="U557" s="634"/>
      <c r="V557" s="634"/>
      <c r="W557" s="634"/>
      <c r="X557" s="634"/>
      <c r="Y557" s="634"/>
      <c r="Z557" s="634"/>
    </row>
    <row r="558" ht="15.75" customHeight="1">
      <c r="A558" s="634"/>
      <c r="B558" s="634"/>
      <c r="C558" s="634"/>
      <c r="D558" s="634"/>
      <c r="E558" s="635"/>
      <c r="F558" s="634"/>
      <c r="G558" s="636"/>
      <c r="H558" s="635"/>
      <c r="I558" s="635"/>
      <c r="J558" s="635"/>
      <c r="K558" s="635"/>
      <c r="L558" s="635"/>
      <c r="M558" s="635"/>
      <c r="N558" s="635"/>
      <c r="O558" s="635"/>
      <c r="P558" s="635"/>
      <c r="Q558" s="634"/>
      <c r="R558" s="634"/>
      <c r="S558" s="635"/>
      <c r="T558" s="635"/>
      <c r="U558" s="634"/>
      <c r="V558" s="634"/>
      <c r="W558" s="634"/>
      <c r="X558" s="634"/>
      <c r="Y558" s="634"/>
      <c r="Z558" s="634"/>
    </row>
    <row r="559" ht="15.75" customHeight="1">
      <c r="A559" s="634"/>
      <c r="B559" s="634"/>
      <c r="C559" s="634"/>
      <c r="D559" s="634"/>
      <c r="E559" s="635"/>
      <c r="F559" s="634"/>
      <c r="G559" s="636"/>
      <c r="H559" s="635"/>
      <c r="I559" s="635"/>
      <c r="J559" s="635"/>
      <c r="K559" s="635"/>
      <c r="L559" s="635"/>
      <c r="M559" s="635"/>
      <c r="N559" s="635"/>
      <c r="O559" s="635"/>
      <c r="P559" s="635"/>
      <c r="Q559" s="634"/>
      <c r="R559" s="634"/>
      <c r="S559" s="635"/>
      <c r="T559" s="635"/>
      <c r="U559" s="634"/>
      <c r="V559" s="634"/>
      <c r="W559" s="634"/>
      <c r="X559" s="634"/>
      <c r="Y559" s="634"/>
      <c r="Z559" s="634"/>
    </row>
    <row r="560" ht="15.75" customHeight="1">
      <c r="A560" s="634"/>
      <c r="B560" s="634"/>
      <c r="C560" s="634"/>
      <c r="D560" s="634"/>
      <c r="E560" s="635"/>
      <c r="F560" s="634"/>
      <c r="G560" s="636"/>
      <c r="H560" s="635"/>
      <c r="I560" s="635"/>
      <c r="J560" s="635"/>
      <c r="K560" s="635"/>
      <c r="L560" s="635"/>
      <c r="M560" s="635"/>
      <c r="N560" s="635"/>
      <c r="O560" s="635"/>
      <c r="P560" s="635"/>
      <c r="Q560" s="634"/>
      <c r="R560" s="634"/>
      <c r="S560" s="635"/>
      <c r="T560" s="635"/>
      <c r="U560" s="634"/>
      <c r="V560" s="634"/>
      <c r="W560" s="634"/>
      <c r="X560" s="634"/>
      <c r="Y560" s="634"/>
      <c r="Z560" s="634"/>
    </row>
    <row r="561" ht="15.75" customHeight="1">
      <c r="A561" s="634"/>
      <c r="B561" s="634"/>
      <c r="C561" s="634"/>
      <c r="D561" s="634"/>
      <c r="E561" s="635"/>
      <c r="F561" s="634"/>
      <c r="G561" s="636"/>
      <c r="H561" s="635"/>
      <c r="I561" s="635"/>
      <c r="J561" s="635"/>
      <c r="K561" s="635"/>
      <c r="L561" s="635"/>
      <c r="M561" s="635"/>
      <c r="N561" s="635"/>
      <c r="O561" s="635"/>
      <c r="P561" s="635"/>
      <c r="Q561" s="634"/>
      <c r="R561" s="634"/>
      <c r="S561" s="635"/>
      <c r="T561" s="635"/>
      <c r="U561" s="634"/>
      <c r="V561" s="634"/>
      <c r="W561" s="634"/>
      <c r="X561" s="634"/>
      <c r="Y561" s="634"/>
      <c r="Z561" s="634"/>
    </row>
    <row r="562" ht="15.75" customHeight="1">
      <c r="A562" s="634"/>
      <c r="B562" s="634"/>
      <c r="C562" s="634"/>
      <c r="D562" s="634"/>
      <c r="E562" s="635"/>
      <c r="F562" s="634"/>
      <c r="G562" s="636"/>
      <c r="H562" s="635"/>
      <c r="I562" s="635"/>
      <c r="J562" s="635"/>
      <c r="K562" s="635"/>
      <c r="L562" s="635"/>
      <c r="M562" s="635"/>
      <c r="N562" s="635"/>
      <c r="O562" s="635"/>
      <c r="P562" s="635"/>
      <c r="Q562" s="634"/>
      <c r="R562" s="634"/>
      <c r="S562" s="635"/>
      <c r="T562" s="635"/>
      <c r="U562" s="634"/>
      <c r="V562" s="634"/>
      <c r="W562" s="634"/>
      <c r="X562" s="634"/>
      <c r="Y562" s="634"/>
      <c r="Z562" s="634"/>
    </row>
    <row r="563" ht="15.75" customHeight="1">
      <c r="A563" s="634"/>
      <c r="B563" s="634"/>
      <c r="C563" s="634"/>
      <c r="D563" s="634"/>
      <c r="E563" s="635"/>
      <c r="F563" s="634"/>
      <c r="G563" s="636"/>
      <c r="H563" s="635"/>
      <c r="I563" s="635"/>
      <c r="J563" s="635"/>
      <c r="K563" s="635"/>
      <c r="L563" s="635"/>
      <c r="M563" s="635"/>
      <c r="N563" s="635"/>
      <c r="O563" s="635"/>
      <c r="P563" s="635"/>
      <c r="Q563" s="634"/>
      <c r="R563" s="634"/>
      <c r="S563" s="635"/>
      <c r="T563" s="635"/>
      <c r="U563" s="634"/>
      <c r="V563" s="634"/>
      <c r="W563" s="634"/>
      <c r="X563" s="634"/>
      <c r="Y563" s="634"/>
      <c r="Z563" s="634"/>
    </row>
    <row r="564" ht="15.75" customHeight="1">
      <c r="A564" s="634"/>
      <c r="B564" s="634"/>
      <c r="C564" s="634"/>
      <c r="D564" s="634"/>
      <c r="E564" s="635"/>
      <c r="F564" s="634"/>
      <c r="G564" s="636"/>
      <c r="H564" s="635"/>
      <c r="I564" s="635"/>
      <c r="J564" s="635"/>
      <c r="K564" s="635"/>
      <c r="L564" s="635"/>
      <c r="M564" s="635"/>
      <c r="N564" s="635"/>
      <c r="O564" s="635"/>
      <c r="P564" s="635"/>
      <c r="Q564" s="634"/>
      <c r="R564" s="634"/>
      <c r="S564" s="635"/>
      <c r="T564" s="635"/>
      <c r="U564" s="634"/>
      <c r="V564" s="634"/>
      <c r="W564" s="634"/>
      <c r="X564" s="634"/>
      <c r="Y564" s="634"/>
      <c r="Z564" s="634"/>
    </row>
    <row r="565" ht="15.75" customHeight="1">
      <c r="A565" s="634"/>
      <c r="B565" s="634"/>
      <c r="C565" s="634"/>
      <c r="D565" s="634"/>
      <c r="E565" s="635"/>
      <c r="F565" s="634"/>
      <c r="G565" s="636"/>
      <c r="H565" s="635"/>
      <c r="I565" s="635"/>
      <c r="J565" s="635"/>
      <c r="K565" s="635"/>
      <c r="L565" s="635"/>
      <c r="M565" s="635"/>
      <c r="N565" s="635"/>
      <c r="O565" s="635"/>
      <c r="P565" s="635"/>
      <c r="Q565" s="634"/>
      <c r="R565" s="634"/>
      <c r="S565" s="635"/>
      <c r="T565" s="635"/>
      <c r="U565" s="634"/>
      <c r="V565" s="634"/>
      <c r="W565" s="634"/>
      <c r="X565" s="634"/>
      <c r="Y565" s="634"/>
      <c r="Z565" s="634"/>
    </row>
    <row r="566" ht="15.75" customHeight="1">
      <c r="A566" s="634"/>
      <c r="B566" s="634"/>
      <c r="C566" s="634"/>
      <c r="D566" s="634"/>
      <c r="E566" s="635"/>
      <c r="F566" s="634"/>
      <c r="G566" s="636"/>
      <c r="H566" s="635"/>
      <c r="I566" s="635"/>
      <c r="J566" s="635"/>
      <c r="K566" s="635"/>
      <c r="L566" s="635"/>
      <c r="M566" s="635"/>
      <c r="N566" s="635"/>
      <c r="O566" s="635"/>
      <c r="P566" s="635"/>
      <c r="Q566" s="634"/>
      <c r="R566" s="634"/>
      <c r="S566" s="635"/>
      <c r="T566" s="635"/>
      <c r="U566" s="634"/>
      <c r="V566" s="634"/>
      <c r="W566" s="634"/>
      <c r="X566" s="634"/>
      <c r="Y566" s="634"/>
      <c r="Z566" s="634"/>
    </row>
    <row r="567" ht="15.75" customHeight="1">
      <c r="A567" s="634"/>
      <c r="B567" s="634"/>
      <c r="C567" s="634"/>
      <c r="D567" s="634"/>
      <c r="E567" s="635"/>
      <c r="F567" s="634"/>
      <c r="G567" s="636"/>
      <c r="H567" s="635"/>
      <c r="I567" s="635"/>
      <c r="J567" s="635"/>
      <c r="K567" s="635"/>
      <c r="L567" s="635"/>
      <c r="M567" s="635"/>
      <c r="N567" s="635"/>
      <c r="O567" s="635"/>
      <c r="P567" s="635"/>
      <c r="Q567" s="634"/>
      <c r="R567" s="634"/>
      <c r="S567" s="635"/>
      <c r="T567" s="635"/>
      <c r="U567" s="634"/>
      <c r="V567" s="634"/>
      <c r="W567" s="634"/>
      <c r="X567" s="634"/>
      <c r="Y567" s="634"/>
      <c r="Z567" s="634"/>
    </row>
    <row r="568" ht="15.75" customHeight="1">
      <c r="A568" s="634"/>
      <c r="B568" s="634"/>
      <c r="C568" s="634"/>
      <c r="D568" s="634"/>
      <c r="E568" s="635"/>
      <c r="F568" s="634"/>
      <c r="G568" s="636"/>
      <c r="H568" s="635"/>
      <c r="I568" s="635"/>
      <c r="J568" s="635"/>
      <c r="K568" s="635"/>
      <c r="L568" s="635"/>
      <c r="M568" s="635"/>
      <c r="N568" s="635"/>
      <c r="O568" s="635"/>
      <c r="P568" s="635"/>
      <c r="Q568" s="634"/>
      <c r="R568" s="634"/>
      <c r="S568" s="635"/>
      <c r="T568" s="635"/>
      <c r="U568" s="634"/>
      <c r="V568" s="634"/>
      <c r="W568" s="634"/>
      <c r="X568" s="634"/>
      <c r="Y568" s="634"/>
      <c r="Z568" s="634"/>
    </row>
    <row r="569" ht="15.75" customHeight="1">
      <c r="A569" s="634"/>
      <c r="B569" s="634"/>
      <c r="C569" s="634"/>
      <c r="D569" s="634"/>
      <c r="E569" s="635"/>
      <c r="F569" s="634"/>
      <c r="G569" s="636"/>
      <c r="H569" s="635"/>
      <c r="I569" s="635"/>
      <c r="J569" s="635"/>
      <c r="K569" s="635"/>
      <c r="L569" s="635"/>
      <c r="M569" s="635"/>
      <c r="N569" s="635"/>
      <c r="O569" s="635"/>
      <c r="P569" s="635"/>
      <c r="Q569" s="634"/>
      <c r="R569" s="634"/>
      <c r="S569" s="635"/>
      <c r="T569" s="635"/>
      <c r="U569" s="634"/>
      <c r="V569" s="634"/>
      <c r="W569" s="634"/>
      <c r="X569" s="634"/>
      <c r="Y569" s="634"/>
      <c r="Z569" s="634"/>
    </row>
    <row r="570" ht="15.75" customHeight="1">
      <c r="A570" s="634"/>
      <c r="B570" s="634"/>
      <c r="C570" s="634"/>
      <c r="D570" s="634"/>
      <c r="E570" s="635"/>
      <c r="F570" s="634"/>
      <c r="G570" s="636"/>
      <c r="H570" s="635"/>
      <c r="I570" s="635"/>
      <c r="J570" s="635"/>
      <c r="K570" s="635"/>
      <c r="L570" s="635"/>
      <c r="M570" s="635"/>
      <c r="N570" s="635"/>
      <c r="O570" s="635"/>
      <c r="P570" s="635"/>
      <c r="Q570" s="634"/>
      <c r="R570" s="634"/>
      <c r="S570" s="635"/>
      <c r="T570" s="635"/>
      <c r="U570" s="634"/>
      <c r="V570" s="634"/>
      <c r="W570" s="634"/>
      <c r="X570" s="634"/>
      <c r="Y570" s="634"/>
      <c r="Z570" s="634"/>
    </row>
    <row r="571" ht="15.75" customHeight="1">
      <c r="A571" s="634"/>
      <c r="B571" s="634"/>
      <c r="C571" s="634"/>
      <c r="D571" s="634"/>
      <c r="E571" s="635"/>
      <c r="F571" s="634"/>
      <c r="G571" s="636"/>
      <c r="H571" s="635"/>
      <c r="I571" s="635"/>
      <c r="J571" s="635"/>
      <c r="K571" s="635"/>
      <c r="L571" s="635"/>
      <c r="M571" s="635"/>
      <c r="N571" s="635"/>
      <c r="O571" s="635"/>
      <c r="P571" s="635"/>
      <c r="Q571" s="634"/>
      <c r="R571" s="634"/>
      <c r="S571" s="635"/>
      <c r="T571" s="635"/>
      <c r="U571" s="634"/>
      <c r="V571" s="634"/>
      <c r="W571" s="634"/>
      <c r="X571" s="634"/>
      <c r="Y571" s="634"/>
      <c r="Z571" s="634"/>
    </row>
    <row r="572" ht="15.75" customHeight="1">
      <c r="A572" s="634"/>
      <c r="B572" s="634"/>
      <c r="C572" s="634"/>
      <c r="D572" s="634"/>
      <c r="E572" s="635"/>
      <c r="F572" s="634"/>
      <c r="G572" s="636"/>
      <c r="H572" s="635"/>
      <c r="I572" s="635"/>
      <c r="J572" s="635"/>
      <c r="K572" s="635"/>
      <c r="L572" s="635"/>
      <c r="M572" s="635"/>
      <c r="N572" s="635"/>
      <c r="O572" s="635"/>
      <c r="P572" s="635"/>
      <c r="Q572" s="634"/>
      <c r="R572" s="634"/>
      <c r="S572" s="635"/>
      <c r="T572" s="635"/>
      <c r="U572" s="634"/>
      <c r="V572" s="634"/>
      <c r="W572" s="634"/>
      <c r="X572" s="634"/>
      <c r="Y572" s="634"/>
      <c r="Z572" s="634"/>
    </row>
    <row r="573" ht="15.75" customHeight="1">
      <c r="A573" s="634"/>
      <c r="B573" s="634"/>
      <c r="C573" s="634"/>
      <c r="D573" s="634"/>
      <c r="E573" s="635"/>
      <c r="F573" s="634"/>
      <c r="G573" s="636"/>
      <c r="H573" s="635"/>
      <c r="I573" s="635"/>
      <c r="J573" s="635"/>
      <c r="K573" s="635"/>
      <c r="L573" s="635"/>
      <c r="M573" s="635"/>
      <c r="N573" s="635"/>
      <c r="O573" s="635"/>
      <c r="P573" s="635"/>
      <c r="Q573" s="634"/>
      <c r="R573" s="634"/>
      <c r="S573" s="635"/>
      <c r="T573" s="635"/>
      <c r="U573" s="634"/>
      <c r="V573" s="634"/>
      <c r="W573" s="634"/>
      <c r="X573" s="634"/>
      <c r="Y573" s="634"/>
      <c r="Z573" s="634"/>
    </row>
    <row r="574" ht="15.75" customHeight="1">
      <c r="A574" s="634"/>
      <c r="B574" s="634"/>
      <c r="C574" s="634"/>
      <c r="D574" s="634"/>
      <c r="E574" s="635"/>
      <c r="F574" s="634"/>
      <c r="G574" s="636"/>
      <c r="H574" s="635"/>
      <c r="I574" s="635"/>
      <c r="J574" s="635"/>
      <c r="K574" s="635"/>
      <c r="L574" s="635"/>
      <c r="M574" s="635"/>
      <c r="N574" s="635"/>
      <c r="O574" s="635"/>
      <c r="P574" s="635"/>
      <c r="Q574" s="634"/>
      <c r="R574" s="634"/>
      <c r="S574" s="635"/>
      <c r="T574" s="635"/>
      <c r="U574" s="634"/>
      <c r="V574" s="634"/>
      <c r="W574" s="634"/>
      <c r="X574" s="634"/>
      <c r="Y574" s="634"/>
      <c r="Z574" s="634"/>
    </row>
    <row r="575" ht="15.75" customHeight="1">
      <c r="A575" s="634"/>
      <c r="B575" s="634"/>
      <c r="C575" s="634"/>
      <c r="D575" s="634"/>
      <c r="E575" s="635"/>
      <c r="F575" s="634"/>
      <c r="G575" s="636"/>
      <c r="H575" s="635"/>
      <c r="I575" s="635"/>
      <c r="J575" s="635"/>
      <c r="K575" s="635"/>
      <c r="L575" s="635"/>
      <c r="M575" s="635"/>
      <c r="N575" s="635"/>
      <c r="O575" s="635"/>
      <c r="P575" s="635"/>
      <c r="Q575" s="634"/>
      <c r="R575" s="634"/>
      <c r="S575" s="635"/>
      <c r="T575" s="635"/>
      <c r="U575" s="634"/>
      <c r="V575" s="634"/>
      <c r="W575" s="634"/>
      <c r="X575" s="634"/>
      <c r="Y575" s="634"/>
      <c r="Z575" s="634"/>
    </row>
    <row r="576" ht="15.75" customHeight="1">
      <c r="A576" s="634"/>
      <c r="B576" s="634"/>
      <c r="C576" s="634"/>
      <c r="D576" s="634"/>
      <c r="E576" s="635"/>
      <c r="F576" s="634"/>
      <c r="G576" s="636"/>
      <c r="H576" s="635"/>
      <c r="I576" s="635"/>
      <c r="J576" s="635"/>
      <c r="K576" s="635"/>
      <c r="L576" s="635"/>
      <c r="M576" s="635"/>
      <c r="N576" s="635"/>
      <c r="O576" s="635"/>
      <c r="P576" s="635"/>
      <c r="Q576" s="634"/>
      <c r="R576" s="634"/>
      <c r="S576" s="635"/>
      <c r="T576" s="635"/>
      <c r="U576" s="634"/>
      <c r="V576" s="634"/>
      <c r="W576" s="634"/>
      <c r="X576" s="634"/>
      <c r="Y576" s="634"/>
      <c r="Z576" s="634"/>
    </row>
    <row r="577" ht="15.75" customHeight="1">
      <c r="A577" s="634"/>
      <c r="B577" s="634"/>
      <c r="C577" s="634"/>
      <c r="D577" s="634"/>
      <c r="E577" s="635"/>
      <c r="F577" s="634"/>
      <c r="G577" s="636"/>
      <c r="H577" s="635"/>
      <c r="I577" s="635"/>
      <c r="J577" s="635"/>
      <c r="K577" s="635"/>
      <c r="L577" s="635"/>
      <c r="M577" s="635"/>
      <c r="N577" s="635"/>
      <c r="O577" s="635"/>
      <c r="P577" s="635"/>
      <c r="Q577" s="634"/>
      <c r="R577" s="634"/>
      <c r="S577" s="635"/>
      <c r="T577" s="635"/>
      <c r="U577" s="634"/>
      <c r="V577" s="634"/>
      <c r="W577" s="634"/>
      <c r="X577" s="634"/>
      <c r="Y577" s="634"/>
      <c r="Z577" s="634"/>
    </row>
    <row r="578" ht="15.75" customHeight="1">
      <c r="A578" s="634"/>
      <c r="B578" s="634"/>
      <c r="C578" s="634"/>
      <c r="D578" s="634"/>
      <c r="E578" s="635"/>
      <c r="F578" s="634"/>
      <c r="G578" s="636"/>
      <c r="H578" s="635"/>
      <c r="I578" s="635"/>
      <c r="J578" s="635"/>
      <c r="K578" s="635"/>
      <c r="L578" s="635"/>
      <c r="M578" s="635"/>
      <c r="N578" s="635"/>
      <c r="O578" s="635"/>
      <c r="P578" s="635"/>
      <c r="Q578" s="634"/>
      <c r="R578" s="634"/>
      <c r="S578" s="635"/>
      <c r="T578" s="635"/>
      <c r="U578" s="634"/>
      <c r="V578" s="634"/>
      <c r="W578" s="634"/>
      <c r="X578" s="634"/>
      <c r="Y578" s="634"/>
      <c r="Z578" s="634"/>
    </row>
    <row r="579" ht="15.75" customHeight="1">
      <c r="A579" s="634"/>
      <c r="B579" s="634"/>
      <c r="C579" s="634"/>
      <c r="D579" s="634"/>
      <c r="E579" s="635"/>
      <c r="F579" s="634"/>
      <c r="G579" s="636"/>
      <c r="H579" s="635"/>
      <c r="I579" s="635"/>
      <c r="J579" s="635"/>
      <c r="K579" s="635"/>
      <c r="L579" s="635"/>
      <c r="M579" s="635"/>
      <c r="N579" s="635"/>
      <c r="O579" s="635"/>
      <c r="P579" s="635"/>
      <c r="Q579" s="634"/>
      <c r="R579" s="634"/>
      <c r="S579" s="635"/>
      <c r="T579" s="635"/>
      <c r="U579" s="634"/>
      <c r="V579" s="634"/>
      <c r="W579" s="634"/>
      <c r="X579" s="634"/>
      <c r="Y579" s="634"/>
      <c r="Z579" s="634"/>
    </row>
    <row r="580" ht="15.75" customHeight="1">
      <c r="A580" s="634"/>
      <c r="B580" s="634"/>
      <c r="C580" s="634"/>
      <c r="D580" s="634"/>
      <c r="E580" s="635"/>
      <c r="F580" s="634"/>
      <c r="G580" s="636"/>
      <c r="H580" s="635"/>
      <c r="I580" s="635"/>
      <c r="J580" s="635"/>
      <c r="K580" s="635"/>
      <c r="L580" s="635"/>
      <c r="M580" s="635"/>
      <c r="N580" s="635"/>
      <c r="O580" s="635"/>
      <c r="P580" s="635"/>
      <c r="Q580" s="634"/>
      <c r="R580" s="634"/>
      <c r="S580" s="635"/>
      <c r="T580" s="635"/>
      <c r="U580" s="634"/>
      <c r="V580" s="634"/>
      <c r="W580" s="634"/>
      <c r="X580" s="634"/>
      <c r="Y580" s="634"/>
      <c r="Z580" s="634"/>
    </row>
    <row r="581" ht="15.75" customHeight="1">
      <c r="A581" s="634"/>
      <c r="B581" s="634"/>
      <c r="C581" s="634"/>
      <c r="D581" s="634"/>
      <c r="E581" s="635"/>
      <c r="F581" s="634"/>
      <c r="G581" s="636"/>
      <c r="H581" s="635"/>
      <c r="I581" s="635"/>
      <c r="J581" s="635"/>
      <c r="K581" s="635"/>
      <c r="L581" s="635"/>
      <c r="M581" s="635"/>
      <c r="N581" s="635"/>
      <c r="O581" s="635"/>
      <c r="P581" s="635"/>
      <c r="Q581" s="634"/>
      <c r="R581" s="634"/>
      <c r="S581" s="635"/>
      <c r="T581" s="635"/>
      <c r="U581" s="634"/>
      <c r="V581" s="634"/>
      <c r="W581" s="634"/>
      <c r="X581" s="634"/>
      <c r="Y581" s="634"/>
      <c r="Z581" s="634"/>
    </row>
    <row r="582" ht="15.75" customHeight="1">
      <c r="A582" s="634"/>
      <c r="B582" s="634"/>
      <c r="C582" s="634"/>
      <c r="D582" s="634"/>
      <c r="E582" s="635"/>
      <c r="F582" s="634"/>
      <c r="G582" s="636"/>
      <c r="H582" s="635"/>
      <c r="I582" s="635"/>
      <c r="J582" s="635"/>
      <c r="K582" s="635"/>
      <c r="L582" s="635"/>
      <c r="M582" s="635"/>
      <c r="N582" s="635"/>
      <c r="O582" s="635"/>
      <c r="P582" s="635"/>
      <c r="Q582" s="634"/>
      <c r="R582" s="634"/>
      <c r="S582" s="635"/>
      <c r="T582" s="635"/>
      <c r="U582" s="634"/>
      <c r="V582" s="634"/>
      <c r="W582" s="634"/>
      <c r="X582" s="634"/>
      <c r="Y582" s="634"/>
      <c r="Z582" s="634"/>
    </row>
    <row r="583" ht="15.75" customHeight="1">
      <c r="A583" s="634"/>
      <c r="B583" s="634"/>
      <c r="C583" s="634"/>
      <c r="D583" s="634"/>
      <c r="E583" s="635"/>
      <c r="F583" s="634"/>
      <c r="G583" s="636"/>
      <c r="H583" s="635"/>
      <c r="I583" s="635"/>
      <c r="J583" s="635"/>
      <c r="K583" s="635"/>
      <c r="L583" s="635"/>
      <c r="M583" s="635"/>
      <c r="N583" s="635"/>
      <c r="O583" s="635"/>
      <c r="P583" s="635"/>
      <c r="Q583" s="634"/>
      <c r="R583" s="634"/>
      <c r="S583" s="635"/>
      <c r="T583" s="635"/>
      <c r="U583" s="634"/>
      <c r="V583" s="634"/>
      <c r="W583" s="634"/>
      <c r="X583" s="634"/>
      <c r="Y583" s="634"/>
      <c r="Z583" s="634"/>
    </row>
    <row r="584" ht="15.75" customHeight="1">
      <c r="A584" s="634"/>
      <c r="B584" s="634"/>
      <c r="C584" s="634"/>
      <c r="D584" s="634"/>
      <c r="E584" s="635"/>
      <c r="F584" s="634"/>
      <c r="G584" s="636"/>
      <c r="H584" s="635"/>
      <c r="I584" s="635"/>
      <c r="J584" s="635"/>
      <c r="K584" s="635"/>
      <c r="L584" s="635"/>
      <c r="M584" s="635"/>
      <c r="N584" s="635"/>
      <c r="O584" s="635"/>
      <c r="P584" s="635"/>
      <c r="Q584" s="634"/>
      <c r="R584" s="634"/>
      <c r="S584" s="635"/>
      <c r="T584" s="635"/>
      <c r="U584" s="634"/>
      <c r="V584" s="634"/>
      <c r="W584" s="634"/>
      <c r="X584" s="634"/>
      <c r="Y584" s="634"/>
      <c r="Z584" s="634"/>
    </row>
    <row r="585" ht="15.75" customHeight="1">
      <c r="A585" s="634"/>
      <c r="B585" s="634"/>
      <c r="C585" s="634"/>
      <c r="D585" s="634"/>
      <c r="E585" s="635"/>
      <c r="F585" s="634"/>
      <c r="G585" s="636"/>
      <c r="H585" s="635"/>
      <c r="I585" s="635"/>
      <c r="J585" s="635"/>
      <c r="K585" s="635"/>
      <c r="L585" s="635"/>
      <c r="M585" s="635"/>
      <c r="N585" s="635"/>
      <c r="O585" s="635"/>
      <c r="P585" s="635"/>
      <c r="Q585" s="634"/>
      <c r="R585" s="634"/>
      <c r="S585" s="635"/>
      <c r="T585" s="635"/>
      <c r="U585" s="634"/>
      <c r="V585" s="634"/>
      <c r="W585" s="634"/>
      <c r="X585" s="634"/>
      <c r="Y585" s="634"/>
      <c r="Z585" s="634"/>
    </row>
    <row r="586" ht="15.75" customHeight="1">
      <c r="A586" s="634"/>
      <c r="B586" s="634"/>
      <c r="C586" s="634"/>
      <c r="D586" s="634"/>
      <c r="E586" s="635"/>
      <c r="F586" s="634"/>
      <c r="G586" s="636"/>
      <c r="H586" s="635"/>
      <c r="I586" s="635"/>
      <c r="J586" s="635"/>
      <c r="K586" s="635"/>
      <c r="L586" s="635"/>
      <c r="M586" s="635"/>
      <c r="N586" s="635"/>
      <c r="O586" s="635"/>
      <c r="P586" s="635"/>
      <c r="Q586" s="634"/>
      <c r="R586" s="634"/>
      <c r="S586" s="635"/>
      <c r="T586" s="635"/>
      <c r="U586" s="634"/>
      <c r="V586" s="634"/>
      <c r="W586" s="634"/>
      <c r="X586" s="634"/>
      <c r="Y586" s="634"/>
      <c r="Z586" s="634"/>
    </row>
    <row r="587" ht="15.75" customHeight="1">
      <c r="A587" s="634"/>
      <c r="B587" s="634"/>
      <c r="C587" s="634"/>
      <c r="D587" s="634"/>
      <c r="E587" s="635"/>
      <c r="F587" s="634"/>
      <c r="G587" s="636"/>
      <c r="H587" s="635"/>
      <c r="I587" s="635"/>
      <c r="J587" s="635"/>
      <c r="K587" s="635"/>
      <c r="L587" s="635"/>
      <c r="M587" s="635"/>
      <c r="N587" s="635"/>
      <c r="O587" s="635"/>
      <c r="P587" s="635"/>
      <c r="Q587" s="634"/>
      <c r="R587" s="634"/>
      <c r="S587" s="635"/>
      <c r="T587" s="635"/>
      <c r="U587" s="634"/>
      <c r="V587" s="634"/>
      <c r="W587" s="634"/>
      <c r="X587" s="634"/>
      <c r="Y587" s="634"/>
      <c r="Z587" s="634"/>
    </row>
    <row r="588" ht="15.75" customHeight="1">
      <c r="A588" s="634"/>
      <c r="B588" s="634"/>
      <c r="C588" s="634"/>
      <c r="D588" s="634"/>
      <c r="E588" s="635"/>
      <c r="F588" s="634"/>
      <c r="G588" s="636"/>
      <c r="H588" s="635"/>
      <c r="I588" s="635"/>
      <c r="J588" s="635"/>
      <c r="K588" s="635"/>
      <c r="L588" s="635"/>
      <c r="M588" s="635"/>
      <c r="N588" s="635"/>
      <c r="O588" s="635"/>
      <c r="P588" s="635"/>
      <c r="Q588" s="634"/>
      <c r="R588" s="634"/>
      <c r="S588" s="635"/>
      <c r="T588" s="635"/>
      <c r="U588" s="634"/>
      <c r="V588" s="634"/>
      <c r="W588" s="634"/>
      <c r="X588" s="634"/>
      <c r="Y588" s="634"/>
      <c r="Z588" s="634"/>
    </row>
    <row r="589" ht="15.75" customHeight="1">
      <c r="A589" s="634"/>
      <c r="B589" s="634"/>
      <c r="C589" s="634"/>
      <c r="D589" s="634"/>
      <c r="E589" s="635"/>
      <c r="F589" s="634"/>
      <c r="G589" s="636"/>
      <c r="H589" s="635"/>
      <c r="I589" s="635"/>
      <c r="J589" s="635"/>
      <c r="K589" s="635"/>
      <c r="L589" s="635"/>
      <c r="M589" s="635"/>
      <c r="N589" s="635"/>
      <c r="O589" s="635"/>
      <c r="P589" s="635"/>
      <c r="Q589" s="634"/>
      <c r="R589" s="634"/>
      <c r="S589" s="635"/>
      <c r="T589" s="635"/>
      <c r="U589" s="634"/>
      <c r="V589" s="634"/>
      <c r="W589" s="634"/>
      <c r="X589" s="634"/>
      <c r="Y589" s="634"/>
      <c r="Z589" s="634"/>
    </row>
    <row r="590" ht="15.75" customHeight="1">
      <c r="A590" s="634"/>
      <c r="B590" s="634"/>
      <c r="C590" s="634"/>
      <c r="D590" s="634"/>
      <c r="E590" s="635"/>
      <c r="F590" s="634"/>
      <c r="G590" s="636"/>
      <c r="H590" s="635"/>
      <c r="I590" s="635"/>
      <c r="J590" s="635"/>
      <c r="K590" s="635"/>
      <c r="L590" s="635"/>
      <c r="M590" s="635"/>
      <c r="N590" s="635"/>
      <c r="O590" s="635"/>
      <c r="P590" s="635"/>
      <c r="Q590" s="634"/>
      <c r="R590" s="634"/>
      <c r="S590" s="635"/>
      <c r="T590" s="635"/>
      <c r="U590" s="634"/>
      <c r="V590" s="634"/>
      <c r="W590" s="634"/>
      <c r="X590" s="634"/>
      <c r="Y590" s="634"/>
      <c r="Z590" s="634"/>
    </row>
    <row r="591" ht="15.75" customHeight="1">
      <c r="A591" s="634"/>
      <c r="B591" s="634"/>
      <c r="C591" s="634"/>
      <c r="D591" s="634"/>
      <c r="E591" s="635"/>
      <c r="F591" s="634"/>
      <c r="G591" s="636"/>
      <c r="H591" s="635"/>
      <c r="I591" s="635"/>
      <c r="J591" s="635"/>
      <c r="K591" s="635"/>
      <c r="L591" s="635"/>
      <c r="M591" s="635"/>
      <c r="N591" s="635"/>
      <c r="O591" s="635"/>
      <c r="P591" s="635"/>
      <c r="Q591" s="634"/>
      <c r="R591" s="634"/>
      <c r="S591" s="635"/>
      <c r="T591" s="635"/>
      <c r="U591" s="634"/>
      <c r="V591" s="634"/>
      <c r="W591" s="634"/>
      <c r="X591" s="634"/>
      <c r="Y591" s="634"/>
      <c r="Z591" s="634"/>
    </row>
    <row r="592" ht="15.75" customHeight="1">
      <c r="A592" s="634"/>
      <c r="B592" s="634"/>
      <c r="C592" s="634"/>
      <c r="D592" s="634"/>
      <c r="E592" s="635"/>
      <c r="F592" s="634"/>
      <c r="G592" s="636"/>
      <c r="H592" s="635"/>
      <c r="I592" s="635"/>
      <c r="J592" s="635"/>
      <c r="K592" s="635"/>
      <c r="L592" s="635"/>
      <c r="M592" s="635"/>
      <c r="N592" s="635"/>
      <c r="O592" s="635"/>
      <c r="P592" s="635"/>
      <c r="Q592" s="634"/>
      <c r="R592" s="634"/>
      <c r="S592" s="635"/>
      <c r="T592" s="635"/>
      <c r="U592" s="634"/>
      <c r="V592" s="634"/>
      <c r="W592" s="634"/>
      <c r="X592" s="634"/>
      <c r="Y592" s="634"/>
      <c r="Z592" s="634"/>
    </row>
    <row r="593" ht="15.75" customHeight="1">
      <c r="A593" s="634"/>
      <c r="B593" s="634"/>
      <c r="C593" s="634"/>
      <c r="D593" s="634"/>
      <c r="E593" s="635"/>
      <c r="F593" s="634"/>
      <c r="G593" s="636"/>
      <c r="H593" s="635"/>
      <c r="I593" s="635"/>
      <c r="J593" s="635"/>
      <c r="K593" s="635"/>
      <c r="L593" s="635"/>
      <c r="M593" s="635"/>
      <c r="N593" s="635"/>
      <c r="O593" s="635"/>
      <c r="P593" s="635"/>
      <c r="Q593" s="634"/>
      <c r="R593" s="634"/>
      <c r="S593" s="635"/>
      <c r="T593" s="635"/>
      <c r="U593" s="634"/>
      <c r="V593" s="634"/>
      <c r="W593" s="634"/>
      <c r="X593" s="634"/>
      <c r="Y593" s="634"/>
      <c r="Z593" s="634"/>
    </row>
    <row r="594" ht="15.75" customHeight="1">
      <c r="A594" s="634"/>
      <c r="B594" s="634"/>
      <c r="C594" s="634"/>
      <c r="D594" s="634"/>
      <c r="E594" s="635"/>
      <c r="F594" s="634"/>
      <c r="G594" s="636"/>
      <c r="H594" s="635"/>
      <c r="I594" s="635"/>
      <c r="J594" s="635"/>
      <c r="K594" s="635"/>
      <c r="L594" s="635"/>
      <c r="M594" s="635"/>
      <c r="N594" s="635"/>
      <c r="O594" s="635"/>
      <c r="P594" s="635"/>
      <c r="Q594" s="634"/>
      <c r="R594" s="634"/>
      <c r="S594" s="635"/>
      <c r="T594" s="635"/>
      <c r="U594" s="634"/>
      <c r="V594" s="634"/>
      <c r="W594" s="634"/>
      <c r="X594" s="634"/>
      <c r="Y594" s="634"/>
      <c r="Z594" s="634"/>
    </row>
    <row r="595" ht="15.75" customHeight="1">
      <c r="A595" s="634"/>
      <c r="B595" s="634"/>
      <c r="C595" s="634"/>
      <c r="D595" s="634"/>
      <c r="E595" s="635"/>
      <c r="F595" s="634"/>
      <c r="G595" s="636"/>
      <c r="H595" s="635"/>
      <c r="I595" s="635"/>
      <c r="J595" s="635"/>
      <c r="K595" s="635"/>
      <c r="L595" s="635"/>
      <c r="M595" s="635"/>
      <c r="N595" s="635"/>
      <c r="O595" s="635"/>
      <c r="P595" s="635"/>
      <c r="Q595" s="634"/>
      <c r="R595" s="634"/>
      <c r="S595" s="635"/>
      <c r="T595" s="635"/>
      <c r="U595" s="634"/>
      <c r="V595" s="634"/>
      <c r="W595" s="634"/>
      <c r="X595" s="634"/>
      <c r="Y595" s="634"/>
      <c r="Z595" s="634"/>
    </row>
    <row r="596" ht="15.75" customHeight="1">
      <c r="A596" s="634"/>
      <c r="B596" s="634"/>
      <c r="C596" s="634"/>
      <c r="D596" s="634"/>
      <c r="E596" s="635"/>
      <c r="F596" s="634"/>
      <c r="G596" s="636"/>
      <c r="H596" s="635"/>
      <c r="I596" s="635"/>
      <c r="J596" s="635"/>
      <c r="K596" s="635"/>
      <c r="L596" s="635"/>
      <c r="M596" s="635"/>
      <c r="N596" s="635"/>
      <c r="O596" s="635"/>
      <c r="P596" s="635"/>
      <c r="Q596" s="634"/>
      <c r="R596" s="634"/>
      <c r="S596" s="635"/>
      <c r="T596" s="635"/>
      <c r="U596" s="634"/>
      <c r="V596" s="634"/>
      <c r="W596" s="634"/>
      <c r="X596" s="634"/>
      <c r="Y596" s="634"/>
      <c r="Z596" s="634"/>
    </row>
    <row r="597" ht="15.75" customHeight="1">
      <c r="A597" s="634"/>
      <c r="B597" s="634"/>
      <c r="C597" s="634"/>
      <c r="D597" s="634"/>
      <c r="E597" s="635"/>
      <c r="F597" s="634"/>
      <c r="G597" s="636"/>
      <c r="H597" s="635"/>
      <c r="I597" s="635"/>
      <c r="J597" s="635"/>
      <c r="K597" s="635"/>
      <c r="L597" s="635"/>
      <c r="M597" s="635"/>
      <c r="N597" s="635"/>
      <c r="O597" s="635"/>
      <c r="P597" s="635"/>
      <c r="Q597" s="634"/>
      <c r="R597" s="634"/>
      <c r="S597" s="635"/>
      <c r="T597" s="635"/>
      <c r="U597" s="634"/>
      <c r="V597" s="634"/>
      <c r="W597" s="634"/>
      <c r="X597" s="634"/>
      <c r="Y597" s="634"/>
      <c r="Z597" s="634"/>
    </row>
    <row r="598" ht="15.75" customHeight="1">
      <c r="A598" s="634"/>
      <c r="B598" s="634"/>
      <c r="C598" s="634"/>
      <c r="D598" s="634"/>
      <c r="E598" s="635"/>
      <c r="F598" s="634"/>
      <c r="G598" s="636"/>
      <c r="H598" s="635"/>
      <c r="I598" s="635"/>
      <c r="J598" s="635"/>
      <c r="K598" s="635"/>
      <c r="L598" s="635"/>
      <c r="M598" s="635"/>
      <c r="N598" s="635"/>
      <c r="O598" s="635"/>
      <c r="P598" s="635"/>
      <c r="Q598" s="634"/>
      <c r="R598" s="634"/>
      <c r="S598" s="635"/>
      <c r="T598" s="635"/>
      <c r="U598" s="634"/>
      <c r="V598" s="634"/>
      <c r="W598" s="634"/>
      <c r="X598" s="634"/>
      <c r="Y598" s="634"/>
      <c r="Z598" s="634"/>
    </row>
    <row r="599" ht="15.75" customHeight="1">
      <c r="A599" s="634"/>
      <c r="B599" s="634"/>
      <c r="C599" s="634"/>
      <c r="D599" s="634"/>
      <c r="E599" s="635"/>
      <c r="F599" s="634"/>
      <c r="G599" s="636"/>
      <c r="H599" s="635"/>
      <c r="I599" s="635"/>
      <c r="J599" s="635"/>
      <c r="K599" s="635"/>
      <c r="L599" s="635"/>
      <c r="M599" s="635"/>
      <c r="N599" s="635"/>
      <c r="O599" s="635"/>
      <c r="P599" s="635"/>
      <c r="Q599" s="634"/>
      <c r="R599" s="634"/>
      <c r="S599" s="635"/>
      <c r="T599" s="635"/>
      <c r="U599" s="634"/>
      <c r="V599" s="634"/>
      <c r="W599" s="634"/>
      <c r="X599" s="634"/>
      <c r="Y599" s="634"/>
      <c r="Z599" s="634"/>
    </row>
    <row r="600" ht="15.75" customHeight="1">
      <c r="A600" s="634"/>
      <c r="B600" s="634"/>
      <c r="C600" s="634"/>
      <c r="D600" s="634"/>
      <c r="E600" s="635"/>
      <c r="F600" s="634"/>
      <c r="G600" s="636"/>
      <c r="H600" s="635"/>
      <c r="I600" s="635"/>
      <c r="J600" s="635"/>
      <c r="K600" s="635"/>
      <c r="L600" s="635"/>
      <c r="M600" s="635"/>
      <c r="N600" s="635"/>
      <c r="O600" s="635"/>
      <c r="P600" s="635"/>
      <c r="Q600" s="634"/>
      <c r="R600" s="634"/>
      <c r="S600" s="635"/>
      <c r="T600" s="635"/>
      <c r="U600" s="634"/>
      <c r="V600" s="634"/>
      <c r="W600" s="634"/>
      <c r="X600" s="634"/>
      <c r="Y600" s="634"/>
      <c r="Z600" s="634"/>
    </row>
    <row r="601" ht="15.75" customHeight="1">
      <c r="A601" s="634"/>
      <c r="B601" s="634"/>
      <c r="C601" s="634"/>
      <c r="D601" s="634"/>
      <c r="E601" s="635"/>
      <c r="F601" s="634"/>
      <c r="G601" s="636"/>
      <c r="H601" s="635"/>
      <c r="I601" s="635"/>
      <c r="J601" s="635"/>
      <c r="K601" s="635"/>
      <c r="L601" s="635"/>
      <c r="M601" s="635"/>
      <c r="N601" s="635"/>
      <c r="O601" s="635"/>
      <c r="P601" s="635"/>
      <c r="Q601" s="634"/>
      <c r="R601" s="634"/>
      <c r="S601" s="635"/>
      <c r="T601" s="635"/>
      <c r="U601" s="634"/>
      <c r="V601" s="634"/>
      <c r="W601" s="634"/>
      <c r="X601" s="634"/>
      <c r="Y601" s="634"/>
      <c r="Z601" s="634"/>
    </row>
    <row r="602" ht="15.75" customHeight="1">
      <c r="A602" s="634"/>
      <c r="B602" s="634"/>
      <c r="C602" s="634"/>
      <c r="D602" s="634"/>
      <c r="E602" s="635"/>
      <c r="F602" s="634"/>
      <c r="G602" s="636"/>
      <c r="H602" s="635"/>
      <c r="I602" s="635"/>
      <c r="J602" s="635"/>
      <c r="K602" s="635"/>
      <c r="L602" s="635"/>
      <c r="M602" s="635"/>
      <c r="N602" s="635"/>
      <c r="O602" s="635"/>
      <c r="P602" s="635"/>
      <c r="Q602" s="634"/>
      <c r="R602" s="634"/>
      <c r="S602" s="635"/>
      <c r="T602" s="635"/>
      <c r="U602" s="634"/>
      <c r="V602" s="634"/>
      <c r="W602" s="634"/>
      <c r="X602" s="634"/>
      <c r="Y602" s="634"/>
      <c r="Z602" s="634"/>
    </row>
    <row r="603" ht="15.75" customHeight="1">
      <c r="A603" s="634"/>
      <c r="B603" s="634"/>
      <c r="C603" s="634"/>
      <c r="D603" s="634"/>
      <c r="E603" s="635"/>
      <c r="F603" s="634"/>
      <c r="G603" s="636"/>
      <c r="H603" s="635"/>
      <c r="I603" s="635"/>
      <c r="J603" s="635"/>
      <c r="K603" s="635"/>
      <c r="L603" s="635"/>
      <c r="M603" s="635"/>
      <c r="N603" s="635"/>
      <c r="O603" s="635"/>
      <c r="P603" s="635"/>
      <c r="Q603" s="634"/>
      <c r="R603" s="634"/>
      <c r="S603" s="635"/>
      <c r="T603" s="635"/>
      <c r="U603" s="634"/>
      <c r="V603" s="634"/>
      <c r="W603" s="634"/>
      <c r="X603" s="634"/>
      <c r="Y603" s="634"/>
      <c r="Z603" s="634"/>
    </row>
    <row r="604" ht="15.75" customHeight="1">
      <c r="A604" s="634"/>
      <c r="B604" s="634"/>
      <c r="C604" s="634"/>
      <c r="D604" s="634"/>
      <c r="E604" s="635"/>
      <c r="F604" s="634"/>
      <c r="G604" s="636"/>
      <c r="H604" s="635"/>
      <c r="I604" s="635"/>
      <c r="J604" s="635"/>
      <c r="K604" s="635"/>
      <c r="L604" s="635"/>
      <c r="M604" s="635"/>
      <c r="N604" s="635"/>
      <c r="O604" s="635"/>
      <c r="P604" s="635"/>
      <c r="Q604" s="634"/>
      <c r="R604" s="634"/>
      <c r="S604" s="635"/>
      <c r="T604" s="635"/>
      <c r="U604" s="634"/>
      <c r="V604" s="634"/>
      <c r="W604" s="634"/>
      <c r="X604" s="634"/>
      <c r="Y604" s="634"/>
      <c r="Z604" s="634"/>
    </row>
    <row r="605" ht="15.75" customHeight="1">
      <c r="A605" s="634"/>
      <c r="B605" s="634"/>
      <c r="C605" s="634"/>
      <c r="D605" s="634"/>
      <c r="E605" s="635"/>
      <c r="F605" s="634"/>
      <c r="G605" s="636"/>
      <c r="H605" s="635"/>
      <c r="I605" s="635"/>
      <c r="J605" s="635"/>
      <c r="K605" s="635"/>
      <c r="L605" s="635"/>
      <c r="M605" s="635"/>
      <c r="N605" s="635"/>
      <c r="O605" s="635"/>
      <c r="P605" s="635"/>
      <c r="Q605" s="634"/>
      <c r="R605" s="634"/>
      <c r="S605" s="635"/>
      <c r="T605" s="635"/>
      <c r="U605" s="634"/>
      <c r="V605" s="634"/>
      <c r="W605" s="634"/>
      <c r="X605" s="634"/>
      <c r="Y605" s="634"/>
      <c r="Z605" s="634"/>
    </row>
    <row r="606" ht="15.75" customHeight="1">
      <c r="A606" s="634"/>
      <c r="B606" s="634"/>
      <c r="C606" s="634"/>
      <c r="D606" s="634"/>
      <c r="E606" s="635"/>
      <c r="F606" s="634"/>
      <c r="G606" s="636"/>
      <c r="H606" s="635"/>
      <c r="I606" s="635"/>
      <c r="J606" s="635"/>
      <c r="K606" s="635"/>
      <c r="L606" s="635"/>
      <c r="M606" s="635"/>
      <c r="N606" s="635"/>
      <c r="O606" s="635"/>
      <c r="P606" s="635"/>
      <c r="Q606" s="634"/>
      <c r="R606" s="634"/>
      <c r="S606" s="635"/>
      <c r="T606" s="635"/>
      <c r="U606" s="634"/>
      <c r="V606" s="634"/>
      <c r="W606" s="634"/>
      <c r="X606" s="634"/>
      <c r="Y606" s="634"/>
      <c r="Z606" s="634"/>
    </row>
    <row r="607" ht="15.75" customHeight="1">
      <c r="A607" s="634"/>
      <c r="B607" s="634"/>
      <c r="C607" s="634"/>
      <c r="D607" s="634"/>
      <c r="E607" s="635"/>
      <c r="F607" s="634"/>
      <c r="G607" s="636"/>
      <c r="H607" s="635"/>
      <c r="I607" s="635"/>
      <c r="J607" s="635"/>
      <c r="K607" s="635"/>
      <c r="L607" s="635"/>
      <c r="M607" s="635"/>
      <c r="N607" s="635"/>
      <c r="O607" s="635"/>
      <c r="P607" s="635"/>
      <c r="Q607" s="634"/>
      <c r="R607" s="634"/>
      <c r="S607" s="635"/>
      <c r="T607" s="635"/>
      <c r="U607" s="634"/>
      <c r="V607" s="634"/>
      <c r="W607" s="634"/>
      <c r="X607" s="634"/>
      <c r="Y607" s="634"/>
      <c r="Z607" s="634"/>
    </row>
    <row r="608" ht="15.75" customHeight="1">
      <c r="A608" s="634"/>
      <c r="B608" s="634"/>
      <c r="C608" s="634"/>
      <c r="D608" s="634"/>
      <c r="E608" s="635"/>
      <c r="F608" s="634"/>
      <c r="G608" s="636"/>
      <c r="H608" s="635"/>
      <c r="I608" s="635"/>
      <c r="J608" s="635"/>
      <c r="K608" s="635"/>
      <c r="L608" s="635"/>
      <c r="M608" s="635"/>
      <c r="N608" s="635"/>
      <c r="O608" s="635"/>
      <c r="P608" s="635"/>
      <c r="Q608" s="634"/>
      <c r="R608" s="634"/>
      <c r="S608" s="635"/>
      <c r="T608" s="635"/>
      <c r="U608" s="634"/>
      <c r="V608" s="634"/>
      <c r="W608" s="634"/>
      <c r="X608" s="634"/>
      <c r="Y608" s="634"/>
      <c r="Z608" s="634"/>
    </row>
    <row r="609" ht="15.75" customHeight="1">
      <c r="A609" s="634"/>
      <c r="B609" s="634"/>
      <c r="C609" s="634"/>
      <c r="D609" s="634"/>
      <c r="E609" s="635"/>
      <c r="F609" s="634"/>
      <c r="G609" s="636"/>
      <c r="H609" s="635"/>
      <c r="I609" s="635"/>
      <c r="J609" s="635"/>
      <c r="K609" s="635"/>
      <c r="L609" s="635"/>
      <c r="M609" s="635"/>
      <c r="N609" s="635"/>
      <c r="O609" s="635"/>
      <c r="P609" s="635"/>
      <c r="Q609" s="634"/>
      <c r="R609" s="634"/>
      <c r="S609" s="635"/>
      <c r="T609" s="635"/>
      <c r="U609" s="634"/>
      <c r="V609" s="634"/>
      <c r="W609" s="634"/>
      <c r="X609" s="634"/>
      <c r="Y609" s="634"/>
      <c r="Z609" s="634"/>
    </row>
    <row r="610" ht="15.75" customHeight="1">
      <c r="A610" s="634"/>
      <c r="B610" s="634"/>
      <c r="C610" s="634"/>
      <c r="D610" s="634"/>
      <c r="E610" s="635"/>
      <c r="F610" s="634"/>
      <c r="G610" s="636"/>
      <c r="H610" s="635"/>
      <c r="I610" s="635"/>
      <c r="J610" s="635"/>
      <c r="K610" s="635"/>
      <c r="L610" s="635"/>
      <c r="M610" s="635"/>
      <c r="N610" s="635"/>
      <c r="O610" s="635"/>
      <c r="P610" s="635"/>
      <c r="Q610" s="634"/>
      <c r="R610" s="634"/>
      <c r="S610" s="635"/>
      <c r="T610" s="635"/>
      <c r="U610" s="634"/>
      <c r="V610" s="634"/>
      <c r="W610" s="634"/>
      <c r="X610" s="634"/>
      <c r="Y610" s="634"/>
      <c r="Z610" s="634"/>
    </row>
    <row r="611" ht="15.75" customHeight="1">
      <c r="A611" s="634"/>
      <c r="B611" s="634"/>
      <c r="C611" s="634"/>
      <c r="D611" s="634"/>
      <c r="E611" s="635"/>
      <c r="F611" s="634"/>
      <c r="G611" s="636"/>
      <c r="H611" s="635"/>
      <c r="I611" s="635"/>
      <c r="J611" s="635"/>
      <c r="K611" s="635"/>
      <c r="L611" s="635"/>
      <c r="M611" s="635"/>
      <c r="N611" s="635"/>
      <c r="O611" s="635"/>
      <c r="P611" s="635"/>
      <c r="Q611" s="634"/>
      <c r="R611" s="634"/>
      <c r="S611" s="635"/>
      <c r="T611" s="635"/>
      <c r="U611" s="634"/>
      <c r="V611" s="634"/>
      <c r="W611" s="634"/>
      <c r="X611" s="634"/>
      <c r="Y611" s="634"/>
      <c r="Z611" s="634"/>
    </row>
    <row r="612" ht="15.75" customHeight="1">
      <c r="A612" s="634"/>
      <c r="B612" s="634"/>
      <c r="C612" s="634"/>
      <c r="D612" s="634"/>
      <c r="E612" s="635"/>
      <c r="F612" s="634"/>
      <c r="G612" s="636"/>
      <c r="H612" s="635"/>
      <c r="I612" s="635"/>
      <c r="J612" s="635"/>
      <c r="K612" s="635"/>
      <c r="L612" s="635"/>
      <c r="M612" s="635"/>
      <c r="N612" s="635"/>
      <c r="O612" s="635"/>
      <c r="P612" s="635"/>
      <c r="Q612" s="634"/>
      <c r="R612" s="634"/>
      <c r="S612" s="635"/>
      <c r="T612" s="635"/>
      <c r="U612" s="634"/>
      <c r="V612" s="634"/>
      <c r="W612" s="634"/>
      <c r="X612" s="634"/>
      <c r="Y612" s="634"/>
      <c r="Z612" s="634"/>
    </row>
    <row r="613" ht="15.75" customHeight="1">
      <c r="A613" s="634"/>
      <c r="B613" s="634"/>
      <c r="C613" s="634"/>
      <c r="D613" s="634"/>
      <c r="E613" s="635"/>
      <c r="F613" s="634"/>
      <c r="G613" s="636"/>
      <c r="H613" s="635"/>
      <c r="I613" s="635"/>
      <c r="J613" s="635"/>
      <c r="K613" s="635"/>
      <c r="L613" s="635"/>
      <c r="M613" s="635"/>
      <c r="N613" s="635"/>
      <c r="O613" s="635"/>
      <c r="P613" s="635"/>
      <c r="Q613" s="634"/>
      <c r="R613" s="634"/>
      <c r="S613" s="635"/>
      <c r="T613" s="635"/>
      <c r="U613" s="634"/>
      <c r="V613" s="634"/>
      <c r="W613" s="634"/>
      <c r="X613" s="634"/>
      <c r="Y613" s="634"/>
      <c r="Z613" s="634"/>
    </row>
    <row r="614" ht="15.75" customHeight="1">
      <c r="A614" s="634"/>
      <c r="B614" s="634"/>
      <c r="C614" s="634"/>
      <c r="D614" s="634"/>
      <c r="E614" s="635"/>
      <c r="F614" s="634"/>
      <c r="G614" s="636"/>
      <c r="H614" s="635"/>
      <c r="I614" s="635"/>
      <c r="J614" s="635"/>
      <c r="K614" s="635"/>
      <c r="L614" s="635"/>
      <c r="M614" s="635"/>
      <c r="N614" s="635"/>
      <c r="O614" s="635"/>
      <c r="P614" s="635"/>
      <c r="Q614" s="634"/>
      <c r="R614" s="634"/>
      <c r="S614" s="635"/>
      <c r="T614" s="635"/>
      <c r="U614" s="634"/>
      <c r="V614" s="634"/>
      <c r="W614" s="634"/>
      <c r="X614" s="634"/>
      <c r="Y614" s="634"/>
      <c r="Z614" s="634"/>
    </row>
    <row r="615" ht="15.75" customHeight="1">
      <c r="A615" s="634"/>
      <c r="B615" s="634"/>
      <c r="C615" s="634"/>
      <c r="D615" s="634"/>
      <c r="E615" s="635"/>
      <c r="F615" s="634"/>
      <c r="G615" s="636"/>
      <c r="H615" s="635"/>
      <c r="I615" s="635"/>
      <c r="J615" s="635"/>
      <c r="K615" s="635"/>
      <c r="L615" s="635"/>
      <c r="M615" s="635"/>
      <c r="N615" s="635"/>
      <c r="O615" s="635"/>
      <c r="P615" s="635"/>
      <c r="Q615" s="634"/>
      <c r="R615" s="634"/>
      <c r="S615" s="635"/>
      <c r="T615" s="635"/>
      <c r="U615" s="634"/>
      <c r="V615" s="634"/>
      <c r="W615" s="634"/>
      <c r="X615" s="634"/>
      <c r="Y615" s="634"/>
      <c r="Z615" s="634"/>
    </row>
    <row r="616" ht="15.75" customHeight="1">
      <c r="A616" s="634"/>
      <c r="B616" s="634"/>
      <c r="C616" s="634"/>
      <c r="D616" s="634"/>
      <c r="E616" s="635"/>
      <c r="F616" s="634"/>
      <c r="G616" s="636"/>
      <c r="H616" s="635"/>
      <c r="I616" s="635"/>
      <c r="J616" s="635"/>
      <c r="K616" s="635"/>
      <c r="L616" s="635"/>
      <c r="M616" s="635"/>
      <c r="N616" s="635"/>
      <c r="O616" s="635"/>
      <c r="P616" s="635"/>
      <c r="Q616" s="634"/>
      <c r="R616" s="634"/>
      <c r="S616" s="635"/>
      <c r="T616" s="635"/>
      <c r="U616" s="634"/>
      <c r="V616" s="634"/>
      <c r="W616" s="634"/>
      <c r="X616" s="634"/>
      <c r="Y616" s="634"/>
      <c r="Z616" s="634"/>
    </row>
    <row r="617" ht="15.75" customHeight="1">
      <c r="A617" s="634"/>
      <c r="B617" s="634"/>
      <c r="C617" s="634"/>
      <c r="D617" s="634"/>
      <c r="E617" s="635"/>
      <c r="F617" s="634"/>
      <c r="G617" s="636"/>
      <c r="H617" s="635"/>
      <c r="I617" s="635"/>
      <c r="J617" s="635"/>
      <c r="K617" s="635"/>
      <c r="L617" s="635"/>
      <c r="M617" s="635"/>
      <c r="N617" s="635"/>
      <c r="O617" s="635"/>
      <c r="P617" s="635"/>
      <c r="Q617" s="634"/>
      <c r="R617" s="634"/>
      <c r="S617" s="635"/>
      <c r="T617" s="635"/>
      <c r="U617" s="634"/>
      <c r="V617" s="634"/>
      <c r="W617" s="634"/>
      <c r="X617" s="634"/>
      <c r="Y617" s="634"/>
      <c r="Z617" s="634"/>
    </row>
    <row r="618" ht="15.75" customHeight="1">
      <c r="A618" s="634"/>
      <c r="B618" s="634"/>
      <c r="C618" s="634"/>
      <c r="D618" s="634"/>
      <c r="E618" s="635"/>
      <c r="F618" s="634"/>
      <c r="G618" s="636"/>
      <c r="H618" s="635"/>
      <c r="I618" s="635"/>
      <c r="J618" s="635"/>
      <c r="K618" s="635"/>
      <c r="L618" s="635"/>
      <c r="M618" s="635"/>
      <c r="N618" s="635"/>
      <c r="O618" s="635"/>
      <c r="P618" s="635"/>
      <c r="Q618" s="634"/>
      <c r="R618" s="634"/>
      <c r="S618" s="635"/>
      <c r="T618" s="635"/>
      <c r="U618" s="634"/>
      <c r="V618" s="634"/>
      <c r="W618" s="634"/>
      <c r="X618" s="634"/>
      <c r="Y618" s="634"/>
      <c r="Z618" s="634"/>
    </row>
    <row r="619" ht="15.75" customHeight="1">
      <c r="A619" s="634"/>
      <c r="B619" s="634"/>
      <c r="C619" s="634"/>
      <c r="D619" s="634"/>
      <c r="E619" s="635"/>
      <c r="F619" s="634"/>
      <c r="G619" s="636"/>
      <c r="H619" s="635"/>
      <c r="I619" s="635"/>
      <c r="J619" s="635"/>
      <c r="K619" s="635"/>
      <c r="L619" s="635"/>
      <c r="M619" s="635"/>
      <c r="N619" s="635"/>
      <c r="O619" s="635"/>
      <c r="P619" s="635"/>
      <c r="Q619" s="634"/>
      <c r="R619" s="634"/>
      <c r="S619" s="635"/>
      <c r="T619" s="635"/>
      <c r="U619" s="634"/>
      <c r="V619" s="634"/>
      <c r="W619" s="634"/>
      <c r="X619" s="634"/>
      <c r="Y619" s="634"/>
      <c r="Z619" s="634"/>
    </row>
    <row r="620" ht="15.75" customHeight="1">
      <c r="A620" s="634"/>
      <c r="B620" s="634"/>
      <c r="C620" s="634"/>
      <c r="D620" s="634"/>
      <c r="E620" s="635"/>
      <c r="F620" s="634"/>
      <c r="G620" s="636"/>
      <c r="H620" s="635"/>
      <c r="I620" s="635"/>
      <c r="J620" s="635"/>
      <c r="K620" s="635"/>
      <c r="L620" s="635"/>
      <c r="M620" s="635"/>
      <c r="N620" s="635"/>
      <c r="O620" s="635"/>
      <c r="P620" s="635"/>
      <c r="Q620" s="634"/>
      <c r="R620" s="634"/>
      <c r="S620" s="635"/>
      <c r="T620" s="635"/>
      <c r="U620" s="634"/>
      <c r="V620" s="634"/>
      <c r="W620" s="634"/>
      <c r="X620" s="634"/>
      <c r="Y620" s="634"/>
      <c r="Z620" s="634"/>
    </row>
    <row r="621" ht="15.75" customHeight="1">
      <c r="A621" s="634"/>
      <c r="B621" s="634"/>
      <c r="C621" s="634"/>
      <c r="D621" s="634"/>
      <c r="E621" s="635"/>
      <c r="F621" s="634"/>
      <c r="G621" s="636"/>
      <c r="H621" s="635"/>
      <c r="I621" s="635"/>
      <c r="J621" s="635"/>
      <c r="K621" s="635"/>
      <c r="L621" s="635"/>
      <c r="M621" s="635"/>
      <c r="N621" s="635"/>
      <c r="O621" s="635"/>
      <c r="P621" s="635"/>
      <c r="Q621" s="634"/>
      <c r="R621" s="634"/>
      <c r="S621" s="635"/>
      <c r="T621" s="635"/>
      <c r="U621" s="634"/>
      <c r="V621" s="634"/>
      <c r="W621" s="634"/>
      <c r="X621" s="634"/>
      <c r="Y621" s="634"/>
      <c r="Z621" s="634"/>
    </row>
    <row r="622" ht="15.75" customHeight="1">
      <c r="A622" s="634"/>
      <c r="B622" s="634"/>
      <c r="C622" s="634"/>
      <c r="D622" s="634"/>
      <c r="E622" s="635"/>
      <c r="F622" s="634"/>
      <c r="G622" s="636"/>
      <c r="H622" s="635"/>
      <c r="I622" s="635"/>
      <c r="J622" s="635"/>
      <c r="K622" s="635"/>
      <c r="L622" s="635"/>
      <c r="M622" s="635"/>
      <c r="N622" s="635"/>
      <c r="O622" s="635"/>
      <c r="P622" s="635"/>
      <c r="Q622" s="634"/>
      <c r="R622" s="634"/>
      <c r="S622" s="635"/>
      <c r="T622" s="635"/>
      <c r="U622" s="634"/>
      <c r="V622" s="634"/>
      <c r="W622" s="634"/>
      <c r="X622" s="634"/>
      <c r="Y622" s="634"/>
      <c r="Z622" s="634"/>
    </row>
    <row r="623" ht="15.75" customHeight="1">
      <c r="A623" s="634"/>
      <c r="B623" s="634"/>
      <c r="C623" s="634"/>
      <c r="D623" s="634"/>
      <c r="E623" s="635"/>
      <c r="F623" s="634"/>
      <c r="G623" s="636"/>
      <c r="H623" s="635"/>
      <c r="I623" s="635"/>
      <c r="J623" s="635"/>
      <c r="K623" s="635"/>
      <c r="L623" s="635"/>
      <c r="M623" s="635"/>
      <c r="N623" s="635"/>
      <c r="O623" s="635"/>
      <c r="P623" s="635"/>
      <c r="Q623" s="634"/>
      <c r="R623" s="634"/>
      <c r="S623" s="635"/>
      <c r="T623" s="635"/>
      <c r="U623" s="634"/>
      <c r="V623" s="634"/>
      <c r="W623" s="634"/>
      <c r="X623" s="634"/>
      <c r="Y623" s="634"/>
      <c r="Z623" s="634"/>
    </row>
    <row r="624" ht="15.75" customHeight="1">
      <c r="A624" s="634"/>
      <c r="B624" s="634"/>
      <c r="C624" s="634"/>
      <c r="D624" s="634"/>
      <c r="E624" s="635"/>
      <c r="F624" s="634"/>
      <c r="G624" s="636"/>
      <c r="H624" s="635"/>
      <c r="I624" s="635"/>
      <c r="J624" s="635"/>
      <c r="K624" s="635"/>
      <c r="L624" s="635"/>
      <c r="M624" s="635"/>
      <c r="N624" s="635"/>
      <c r="O624" s="635"/>
      <c r="P624" s="635"/>
      <c r="Q624" s="634"/>
      <c r="R624" s="634"/>
      <c r="S624" s="635"/>
      <c r="T624" s="635"/>
      <c r="U624" s="634"/>
      <c r="V624" s="634"/>
      <c r="W624" s="634"/>
      <c r="X624" s="634"/>
      <c r="Y624" s="634"/>
      <c r="Z624" s="634"/>
    </row>
    <row r="625" ht="15.75" customHeight="1">
      <c r="A625" s="634"/>
      <c r="B625" s="634"/>
      <c r="C625" s="634"/>
      <c r="D625" s="634"/>
      <c r="E625" s="635"/>
      <c r="F625" s="634"/>
      <c r="G625" s="636"/>
      <c r="H625" s="635"/>
      <c r="I625" s="635"/>
      <c r="J625" s="635"/>
      <c r="K625" s="635"/>
      <c r="L625" s="635"/>
      <c r="M625" s="635"/>
      <c r="N625" s="635"/>
      <c r="O625" s="635"/>
      <c r="P625" s="635"/>
      <c r="Q625" s="634"/>
      <c r="R625" s="634"/>
      <c r="S625" s="635"/>
      <c r="T625" s="635"/>
      <c r="U625" s="634"/>
      <c r="V625" s="634"/>
      <c r="W625" s="634"/>
      <c r="X625" s="634"/>
      <c r="Y625" s="634"/>
      <c r="Z625" s="634"/>
    </row>
    <row r="626" ht="15.75" customHeight="1">
      <c r="A626" s="634"/>
      <c r="B626" s="634"/>
      <c r="C626" s="634"/>
      <c r="D626" s="634"/>
      <c r="E626" s="635"/>
      <c r="F626" s="634"/>
      <c r="G626" s="636"/>
      <c r="H626" s="635"/>
      <c r="I626" s="635"/>
      <c r="J626" s="635"/>
      <c r="K626" s="635"/>
      <c r="L626" s="635"/>
      <c r="M626" s="635"/>
      <c r="N626" s="635"/>
      <c r="O626" s="635"/>
      <c r="P626" s="635"/>
      <c r="Q626" s="634"/>
      <c r="R626" s="634"/>
      <c r="S626" s="635"/>
      <c r="T626" s="635"/>
      <c r="U626" s="634"/>
      <c r="V626" s="634"/>
      <c r="W626" s="634"/>
      <c r="X626" s="634"/>
      <c r="Y626" s="634"/>
      <c r="Z626" s="634"/>
    </row>
    <row r="627" ht="15.75" customHeight="1">
      <c r="A627" s="634"/>
      <c r="B627" s="634"/>
      <c r="C627" s="634"/>
      <c r="D627" s="634"/>
      <c r="E627" s="635"/>
      <c r="F627" s="634"/>
      <c r="G627" s="636"/>
      <c r="H627" s="635"/>
      <c r="I627" s="635"/>
      <c r="J627" s="635"/>
      <c r="K627" s="635"/>
      <c r="L627" s="635"/>
      <c r="M627" s="635"/>
      <c r="N627" s="635"/>
      <c r="O627" s="635"/>
      <c r="P627" s="635"/>
      <c r="Q627" s="634"/>
      <c r="R627" s="634"/>
      <c r="S627" s="635"/>
      <c r="T627" s="635"/>
      <c r="U627" s="634"/>
      <c r="V627" s="634"/>
      <c r="W627" s="634"/>
      <c r="X627" s="634"/>
      <c r="Y627" s="634"/>
      <c r="Z627" s="634"/>
    </row>
    <row r="628" ht="15.75" customHeight="1">
      <c r="A628" s="634"/>
      <c r="B628" s="634"/>
      <c r="C628" s="634"/>
      <c r="D628" s="634"/>
      <c r="E628" s="635"/>
      <c r="F628" s="634"/>
      <c r="G628" s="636"/>
      <c r="H628" s="635"/>
      <c r="I628" s="635"/>
      <c r="J628" s="635"/>
      <c r="K628" s="635"/>
      <c r="L628" s="635"/>
      <c r="M628" s="635"/>
      <c r="N628" s="635"/>
      <c r="O628" s="635"/>
      <c r="P628" s="635"/>
      <c r="Q628" s="634"/>
      <c r="R628" s="634"/>
      <c r="S628" s="635"/>
      <c r="T628" s="635"/>
      <c r="U628" s="634"/>
      <c r="V628" s="634"/>
      <c r="W628" s="634"/>
      <c r="X628" s="634"/>
      <c r="Y628" s="634"/>
      <c r="Z628" s="634"/>
    </row>
    <row r="629" ht="15.75" customHeight="1">
      <c r="A629" s="634"/>
      <c r="B629" s="634"/>
      <c r="C629" s="634"/>
      <c r="D629" s="634"/>
      <c r="E629" s="635"/>
      <c r="F629" s="634"/>
      <c r="G629" s="636"/>
      <c r="H629" s="635"/>
      <c r="I629" s="635"/>
      <c r="J629" s="635"/>
      <c r="K629" s="635"/>
      <c r="L629" s="635"/>
      <c r="M629" s="635"/>
      <c r="N629" s="635"/>
      <c r="O629" s="635"/>
      <c r="P629" s="635"/>
      <c r="Q629" s="634"/>
      <c r="R629" s="634"/>
      <c r="S629" s="635"/>
      <c r="T629" s="635"/>
      <c r="U629" s="634"/>
      <c r="V629" s="634"/>
      <c r="W629" s="634"/>
      <c r="X629" s="634"/>
      <c r="Y629" s="634"/>
      <c r="Z629" s="634"/>
    </row>
    <row r="630" ht="15.75" customHeight="1">
      <c r="A630" s="634"/>
      <c r="B630" s="634"/>
      <c r="C630" s="634"/>
      <c r="D630" s="634"/>
      <c r="E630" s="635"/>
      <c r="F630" s="634"/>
      <c r="G630" s="636"/>
      <c r="H630" s="635"/>
      <c r="I630" s="635"/>
      <c r="J630" s="635"/>
      <c r="K630" s="635"/>
      <c r="L630" s="635"/>
      <c r="M630" s="635"/>
      <c r="N630" s="635"/>
      <c r="O630" s="635"/>
      <c r="P630" s="635"/>
      <c r="Q630" s="634"/>
      <c r="R630" s="634"/>
      <c r="S630" s="635"/>
      <c r="T630" s="635"/>
      <c r="U630" s="634"/>
      <c r="V630" s="634"/>
      <c r="W630" s="634"/>
      <c r="X630" s="634"/>
      <c r="Y630" s="634"/>
      <c r="Z630" s="634"/>
    </row>
    <row r="631" ht="15.75" customHeight="1">
      <c r="A631" s="634"/>
      <c r="B631" s="634"/>
      <c r="C631" s="634"/>
      <c r="D631" s="634"/>
      <c r="E631" s="635"/>
      <c r="F631" s="634"/>
      <c r="G631" s="636"/>
      <c r="H631" s="635"/>
      <c r="I631" s="635"/>
      <c r="J631" s="635"/>
      <c r="K631" s="635"/>
      <c r="L631" s="635"/>
      <c r="M631" s="635"/>
      <c r="N631" s="635"/>
      <c r="O631" s="635"/>
      <c r="P631" s="635"/>
      <c r="Q631" s="634"/>
      <c r="R631" s="634"/>
      <c r="S631" s="635"/>
      <c r="T631" s="635"/>
      <c r="U631" s="634"/>
      <c r="V631" s="634"/>
      <c r="W631" s="634"/>
      <c r="X631" s="634"/>
      <c r="Y631" s="634"/>
      <c r="Z631" s="634"/>
    </row>
    <row r="632" ht="15.75" customHeight="1">
      <c r="A632" s="634"/>
      <c r="B632" s="634"/>
      <c r="C632" s="634"/>
      <c r="D632" s="634"/>
      <c r="E632" s="635"/>
      <c r="F632" s="634"/>
      <c r="G632" s="636"/>
      <c r="H632" s="635"/>
      <c r="I632" s="635"/>
      <c r="J632" s="635"/>
      <c r="K632" s="635"/>
      <c r="L632" s="635"/>
      <c r="M632" s="635"/>
      <c r="N632" s="635"/>
      <c r="O632" s="635"/>
      <c r="P632" s="635"/>
      <c r="Q632" s="634"/>
      <c r="R632" s="634"/>
      <c r="S632" s="635"/>
      <c r="T632" s="635"/>
      <c r="U632" s="634"/>
      <c r="V632" s="634"/>
      <c r="W632" s="634"/>
      <c r="X632" s="634"/>
      <c r="Y632" s="634"/>
      <c r="Z632" s="634"/>
    </row>
    <row r="633" ht="15.75" customHeight="1">
      <c r="A633" s="634"/>
      <c r="B633" s="634"/>
      <c r="C633" s="634"/>
      <c r="D633" s="634"/>
      <c r="E633" s="635"/>
      <c r="F633" s="634"/>
      <c r="G633" s="636"/>
      <c r="H633" s="635"/>
      <c r="I633" s="635"/>
      <c r="J633" s="635"/>
      <c r="K633" s="635"/>
      <c r="L633" s="635"/>
      <c r="M633" s="635"/>
      <c r="N633" s="635"/>
      <c r="O633" s="635"/>
      <c r="P633" s="635"/>
      <c r="Q633" s="634"/>
      <c r="R633" s="634"/>
      <c r="S633" s="635"/>
      <c r="T633" s="635"/>
      <c r="U633" s="634"/>
      <c r="V633" s="634"/>
      <c r="W633" s="634"/>
      <c r="X633" s="634"/>
      <c r="Y633" s="634"/>
      <c r="Z633" s="634"/>
    </row>
    <row r="634" ht="15.75" customHeight="1">
      <c r="A634" s="634"/>
      <c r="B634" s="634"/>
      <c r="C634" s="634"/>
      <c r="D634" s="634"/>
      <c r="E634" s="635"/>
      <c r="F634" s="634"/>
      <c r="G634" s="636"/>
      <c r="H634" s="635"/>
      <c r="I634" s="635"/>
      <c r="J634" s="635"/>
      <c r="K634" s="635"/>
      <c r="L634" s="635"/>
      <c r="M634" s="635"/>
      <c r="N634" s="635"/>
      <c r="O634" s="635"/>
      <c r="P634" s="635"/>
      <c r="Q634" s="634"/>
      <c r="R634" s="634"/>
      <c r="S634" s="635"/>
      <c r="T634" s="635"/>
      <c r="U634" s="634"/>
      <c r="V634" s="634"/>
      <c r="W634" s="634"/>
      <c r="X634" s="634"/>
      <c r="Y634" s="634"/>
      <c r="Z634" s="634"/>
    </row>
    <row r="635" ht="15.75" customHeight="1">
      <c r="A635" s="634"/>
      <c r="B635" s="634"/>
      <c r="C635" s="634"/>
      <c r="D635" s="634"/>
      <c r="E635" s="635"/>
      <c r="F635" s="634"/>
      <c r="G635" s="636"/>
      <c r="H635" s="635"/>
      <c r="I635" s="635"/>
      <c r="J635" s="635"/>
      <c r="K635" s="635"/>
      <c r="L635" s="635"/>
      <c r="M635" s="635"/>
      <c r="N635" s="635"/>
      <c r="O635" s="635"/>
      <c r="P635" s="635"/>
      <c r="Q635" s="634"/>
      <c r="R635" s="634"/>
      <c r="S635" s="635"/>
      <c r="T635" s="635"/>
      <c r="U635" s="634"/>
      <c r="V635" s="634"/>
      <c r="W635" s="634"/>
      <c r="X635" s="634"/>
      <c r="Y635" s="634"/>
      <c r="Z635" s="634"/>
    </row>
    <row r="636" ht="15.75" customHeight="1">
      <c r="A636" s="634"/>
      <c r="B636" s="634"/>
      <c r="C636" s="634"/>
      <c r="D636" s="634"/>
      <c r="E636" s="635"/>
      <c r="F636" s="634"/>
      <c r="G636" s="636"/>
      <c r="H636" s="635"/>
      <c r="I636" s="635"/>
      <c r="J636" s="635"/>
      <c r="K636" s="635"/>
      <c r="L636" s="635"/>
      <c r="M636" s="635"/>
      <c r="N636" s="635"/>
      <c r="O636" s="635"/>
      <c r="P636" s="635"/>
      <c r="Q636" s="634"/>
      <c r="R636" s="634"/>
      <c r="S636" s="635"/>
      <c r="T636" s="635"/>
      <c r="U636" s="634"/>
      <c r="V636" s="634"/>
      <c r="W636" s="634"/>
      <c r="X636" s="634"/>
      <c r="Y636" s="634"/>
      <c r="Z636" s="634"/>
    </row>
    <row r="637" ht="15.75" customHeight="1">
      <c r="A637" s="634"/>
      <c r="B637" s="634"/>
      <c r="C637" s="634"/>
      <c r="D637" s="634"/>
      <c r="E637" s="635"/>
      <c r="F637" s="634"/>
      <c r="G637" s="636"/>
      <c r="H637" s="635"/>
      <c r="I637" s="635"/>
      <c r="J637" s="635"/>
      <c r="K637" s="635"/>
      <c r="L637" s="635"/>
      <c r="M637" s="635"/>
      <c r="N637" s="635"/>
      <c r="O637" s="635"/>
      <c r="P637" s="635"/>
      <c r="Q637" s="634"/>
      <c r="R637" s="634"/>
      <c r="S637" s="635"/>
      <c r="T637" s="635"/>
      <c r="U637" s="634"/>
      <c r="V637" s="634"/>
      <c r="W637" s="634"/>
      <c r="X637" s="634"/>
      <c r="Y637" s="634"/>
      <c r="Z637" s="634"/>
    </row>
    <row r="638" ht="15.75" customHeight="1">
      <c r="A638" s="634"/>
      <c r="B638" s="634"/>
      <c r="C638" s="634"/>
      <c r="D638" s="634"/>
      <c r="E638" s="635"/>
      <c r="F638" s="634"/>
      <c r="G638" s="636"/>
      <c r="H638" s="635"/>
      <c r="I638" s="635"/>
      <c r="J638" s="635"/>
      <c r="K638" s="635"/>
      <c r="L638" s="635"/>
      <c r="M638" s="635"/>
      <c r="N638" s="635"/>
      <c r="O638" s="635"/>
      <c r="P638" s="635"/>
      <c r="Q638" s="634"/>
      <c r="R638" s="634"/>
      <c r="S638" s="635"/>
      <c r="T638" s="635"/>
      <c r="U638" s="634"/>
      <c r="V638" s="634"/>
      <c r="W638" s="634"/>
      <c r="X638" s="634"/>
      <c r="Y638" s="634"/>
      <c r="Z638" s="634"/>
    </row>
    <row r="639" ht="15.75" customHeight="1">
      <c r="A639" s="634"/>
      <c r="B639" s="634"/>
      <c r="C639" s="634"/>
      <c r="D639" s="634"/>
      <c r="E639" s="635"/>
      <c r="F639" s="634"/>
      <c r="G639" s="636"/>
      <c r="H639" s="635"/>
      <c r="I639" s="635"/>
      <c r="J639" s="635"/>
      <c r="K639" s="635"/>
      <c r="L639" s="635"/>
      <c r="M639" s="635"/>
      <c r="N639" s="635"/>
      <c r="O639" s="635"/>
      <c r="P639" s="635"/>
      <c r="Q639" s="634"/>
      <c r="R639" s="634"/>
      <c r="S639" s="635"/>
      <c r="T639" s="635"/>
      <c r="U639" s="634"/>
      <c r="V639" s="634"/>
      <c r="W639" s="634"/>
      <c r="X639" s="634"/>
      <c r="Y639" s="634"/>
      <c r="Z639" s="634"/>
    </row>
    <row r="640" ht="15.75" customHeight="1">
      <c r="A640" s="634"/>
      <c r="B640" s="634"/>
      <c r="C640" s="634"/>
      <c r="D640" s="634"/>
      <c r="E640" s="635"/>
      <c r="F640" s="634"/>
      <c r="G640" s="636"/>
      <c r="H640" s="635"/>
      <c r="I640" s="635"/>
      <c r="J640" s="635"/>
      <c r="K640" s="635"/>
      <c r="L640" s="635"/>
      <c r="M640" s="635"/>
      <c r="N640" s="635"/>
      <c r="O640" s="635"/>
      <c r="P640" s="635"/>
      <c r="Q640" s="634"/>
      <c r="R640" s="634"/>
      <c r="S640" s="635"/>
      <c r="T640" s="635"/>
      <c r="U640" s="634"/>
      <c r="V640" s="634"/>
      <c r="W640" s="634"/>
      <c r="X640" s="634"/>
      <c r="Y640" s="634"/>
      <c r="Z640" s="634"/>
    </row>
    <row r="641" ht="15.75" customHeight="1">
      <c r="A641" s="634"/>
      <c r="B641" s="634"/>
      <c r="C641" s="634"/>
      <c r="D641" s="634"/>
      <c r="E641" s="635"/>
      <c r="F641" s="634"/>
      <c r="G641" s="636"/>
      <c r="H641" s="635"/>
      <c r="I641" s="635"/>
      <c r="J641" s="635"/>
      <c r="K641" s="635"/>
      <c r="L641" s="635"/>
      <c r="M641" s="635"/>
      <c r="N641" s="635"/>
      <c r="O641" s="635"/>
      <c r="P641" s="635"/>
      <c r="Q641" s="634"/>
      <c r="R641" s="634"/>
      <c r="S641" s="635"/>
      <c r="T641" s="635"/>
      <c r="U641" s="634"/>
      <c r="V641" s="634"/>
      <c r="W641" s="634"/>
      <c r="X641" s="634"/>
      <c r="Y641" s="634"/>
      <c r="Z641" s="634"/>
    </row>
    <row r="642" ht="15.75" customHeight="1">
      <c r="A642" s="634"/>
      <c r="B642" s="634"/>
      <c r="C642" s="634"/>
      <c r="D642" s="634"/>
      <c r="E642" s="635"/>
      <c r="F642" s="634"/>
      <c r="G642" s="636"/>
      <c r="H642" s="635"/>
      <c r="I642" s="635"/>
      <c r="J642" s="635"/>
      <c r="K642" s="635"/>
      <c r="L642" s="635"/>
      <c r="M642" s="635"/>
      <c r="N642" s="635"/>
      <c r="O642" s="635"/>
      <c r="P642" s="635"/>
      <c r="Q642" s="634"/>
      <c r="R642" s="634"/>
      <c r="S642" s="635"/>
      <c r="T642" s="635"/>
      <c r="U642" s="634"/>
      <c r="V642" s="634"/>
      <c r="W642" s="634"/>
      <c r="X642" s="634"/>
      <c r="Y642" s="634"/>
      <c r="Z642" s="634"/>
    </row>
    <row r="643" ht="15.75" customHeight="1">
      <c r="A643" s="634"/>
      <c r="B643" s="634"/>
      <c r="C643" s="634"/>
      <c r="D643" s="634"/>
      <c r="E643" s="635"/>
      <c r="F643" s="634"/>
      <c r="G643" s="636"/>
      <c r="H643" s="635"/>
      <c r="I643" s="635"/>
      <c r="J643" s="635"/>
      <c r="K643" s="635"/>
      <c r="L643" s="635"/>
      <c r="M643" s="635"/>
      <c r="N643" s="635"/>
      <c r="O643" s="635"/>
      <c r="P643" s="635"/>
      <c r="Q643" s="634"/>
      <c r="R643" s="634"/>
      <c r="S643" s="635"/>
      <c r="T643" s="635"/>
      <c r="U643" s="634"/>
      <c r="V643" s="634"/>
      <c r="W643" s="634"/>
      <c r="X643" s="634"/>
      <c r="Y643" s="634"/>
      <c r="Z643" s="634"/>
    </row>
    <row r="644" ht="15.75" customHeight="1">
      <c r="A644" s="634"/>
      <c r="B644" s="634"/>
      <c r="C644" s="634"/>
      <c r="D644" s="634"/>
      <c r="E644" s="635"/>
      <c r="F644" s="634"/>
      <c r="G644" s="636"/>
      <c r="H644" s="635"/>
      <c r="I644" s="635"/>
      <c r="J644" s="635"/>
      <c r="K644" s="635"/>
      <c r="L644" s="635"/>
      <c r="M644" s="635"/>
      <c r="N644" s="635"/>
      <c r="O644" s="635"/>
      <c r="P644" s="635"/>
      <c r="Q644" s="634"/>
      <c r="R644" s="634"/>
      <c r="S644" s="635"/>
      <c r="T644" s="635"/>
      <c r="U644" s="634"/>
      <c r="V644" s="634"/>
      <c r="W644" s="634"/>
      <c r="X644" s="634"/>
      <c r="Y644" s="634"/>
      <c r="Z644" s="634"/>
    </row>
    <row r="645" ht="15.75" customHeight="1">
      <c r="A645" s="634"/>
      <c r="B645" s="634"/>
      <c r="C645" s="634"/>
      <c r="D645" s="634"/>
      <c r="E645" s="635"/>
      <c r="F645" s="634"/>
      <c r="G645" s="636"/>
      <c r="H645" s="635"/>
      <c r="I645" s="635"/>
      <c r="J645" s="635"/>
      <c r="K645" s="635"/>
      <c r="L645" s="635"/>
      <c r="M645" s="635"/>
      <c r="N645" s="635"/>
      <c r="O645" s="635"/>
      <c r="P645" s="635"/>
      <c r="Q645" s="634"/>
      <c r="R645" s="634"/>
      <c r="S645" s="635"/>
      <c r="T645" s="635"/>
      <c r="U645" s="634"/>
      <c r="V645" s="634"/>
      <c r="W645" s="634"/>
      <c r="X645" s="634"/>
      <c r="Y645" s="634"/>
      <c r="Z645" s="634"/>
    </row>
    <row r="646" ht="15.75" customHeight="1">
      <c r="A646" s="634"/>
      <c r="B646" s="634"/>
      <c r="C646" s="634"/>
      <c r="D646" s="634"/>
      <c r="E646" s="635"/>
      <c r="F646" s="634"/>
      <c r="G646" s="636"/>
      <c r="H646" s="635"/>
      <c r="I646" s="635"/>
      <c r="J646" s="635"/>
      <c r="K646" s="635"/>
      <c r="L646" s="635"/>
      <c r="M646" s="635"/>
      <c r="N646" s="635"/>
      <c r="O646" s="635"/>
      <c r="P646" s="635"/>
      <c r="Q646" s="634"/>
      <c r="R646" s="634"/>
      <c r="S646" s="635"/>
      <c r="T646" s="635"/>
      <c r="U646" s="634"/>
      <c r="V646" s="634"/>
      <c r="W646" s="634"/>
      <c r="X646" s="634"/>
      <c r="Y646" s="634"/>
      <c r="Z646" s="634"/>
    </row>
    <row r="647" ht="15.75" customHeight="1">
      <c r="A647" s="634"/>
      <c r="B647" s="634"/>
      <c r="C647" s="634"/>
      <c r="D647" s="634"/>
      <c r="E647" s="635"/>
      <c r="F647" s="634"/>
      <c r="G647" s="636"/>
      <c r="H647" s="635"/>
      <c r="I647" s="635"/>
      <c r="J647" s="635"/>
      <c r="K647" s="635"/>
      <c r="L647" s="635"/>
      <c r="M647" s="635"/>
      <c r="N647" s="635"/>
      <c r="O647" s="635"/>
      <c r="P647" s="635"/>
      <c r="Q647" s="634"/>
      <c r="R647" s="634"/>
      <c r="S647" s="635"/>
      <c r="T647" s="635"/>
      <c r="U647" s="634"/>
      <c r="V647" s="634"/>
      <c r="W647" s="634"/>
      <c r="X647" s="634"/>
      <c r="Y647" s="634"/>
      <c r="Z647" s="634"/>
    </row>
    <row r="648" ht="15.75" customHeight="1">
      <c r="A648" s="634"/>
      <c r="B648" s="634"/>
      <c r="C648" s="634"/>
      <c r="D648" s="634"/>
      <c r="E648" s="635"/>
      <c r="F648" s="634"/>
      <c r="G648" s="636"/>
      <c r="H648" s="635"/>
      <c r="I648" s="635"/>
      <c r="J648" s="635"/>
      <c r="K648" s="635"/>
      <c r="L648" s="635"/>
      <c r="M648" s="635"/>
      <c r="N648" s="635"/>
      <c r="O648" s="635"/>
      <c r="P648" s="635"/>
      <c r="Q648" s="634"/>
      <c r="R648" s="634"/>
      <c r="S648" s="635"/>
      <c r="T648" s="635"/>
      <c r="U648" s="634"/>
      <c r="V648" s="634"/>
      <c r="W648" s="634"/>
      <c r="X648" s="634"/>
      <c r="Y648" s="634"/>
      <c r="Z648" s="634"/>
    </row>
    <row r="649" ht="15.75" customHeight="1">
      <c r="A649" s="634"/>
      <c r="B649" s="634"/>
      <c r="C649" s="634"/>
      <c r="D649" s="634"/>
      <c r="E649" s="635"/>
      <c r="F649" s="634"/>
      <c r="G649" s="636"/>
      <c r="H649" s="635"/>
      <c r="I649" s="635"/>
      <c r="J649" s="635"/>
      <c r="K649" s="635"/>
      <c r="L649" s="635"/>
      <c r="M649" s="635"/>
      <c r="N649" s="635"/>
      <c r="O649" s="635"/>
      <c r="P649" s="635"/>
      <c r="Q649" s="634"/>
      <c r="R649" s="634"/>
      <c r="S649" s="635"/>
      <c r="T649" s="635"/>
      <c r="U649" s="634"/>
      <c r="V649" s="634"/>
      <c r="W649" s="634"/>
      <c r="X649" s="634"/>
      <c r="Y649" s="634"/>
      <c r="Z649" s="634"/>
    </row>
    <row r="650" ht="15.75" customHeight="1">
      <c r="A650" s="634"/>
      <c r="B650" s="634"/>
      <c r="C650" s="634"/>
      <c r="D650" s="634"/>
      <c r="E650" s="635"/>
      <c r="F650" s="634"/>
      <c r="G650" s="636"/>
      <c r="H650" s="635"/>
      <c r="I650" s="635"/>
      <c r="J650" s="635"/>
      <c r="K650" s="635"/>
      <c r="L650" s="635"/>
      <c r="M650" s="635"/>
      <c r="N650" s="635"/>
      <c r="O650" s="635"/>
      <c r="P650" s="635"/>
      <c r="Q650" s="634"/>
      <c r="R650" s="634"/>
      <c r="S650" s="635"/>
      <c r="T650" s="635"/>
      <c r="U650" s="634"/>
      <c r="V650" s="634"/>
      <c r="W650" s="634"/>
      <c r="X650" s="634"/>
      <c r="Y650" s="634"/>
      <c r="Z650" s="634"/>
    </row>
    <row r="651" ht="15.75" customHeight="1">
      <c r="A651" s="634"/>
      <c r="B651" s="634"/>
      <c r="C651" s="634"/>
      <c r="D651" s="634"/>
      <c r="E651" s="635"/>
      <c r="F651" s="634"/>
      <c r="G651" s="636"/>
      <c r="H651" s="635"/>
      <c r="I651" s="635"/>
      <c r="J651" s="635"/>
      <c r="K651" s="635"/>
      <c r="L651" s="635"/>
      <c r="M651" s="635"/>
      <c r="N651" s="635"/>
      <c r="O651" s="635"/>
      <c r="P651" s="635"/>
      <c r="Q651" s="634"/>
      <c r="R651" s="634"/>
      <c r="S651" s="635"/>
      <c r="T651" s="635"/>
      <c r="U651" s="634"/>
      <c r="V651" s="634"/>
      <c r="W651" s="634"/>
      <c r="X651" s="634"/>
      <c r="Y651" s="634"/>
      <c r="Z651" s="634"/>
    </row>
    <row r="652" ht="15.75" customHeight="1">
      <c r="A652" s="634"/>
      <c r="B652" s="634"/>
      <c r="C652" s="634"/>
      <c r="D652" s="634"/>
      <c r="E652" s="635"/>
      <c r="F652" s="634"/>
      <c r="G652" s="636"/>
      <c r="H652" s="635"/>
      <c r="I652" s="635"/>
      <c r="J652" s="635"/>
      <c r="K652" s="635"/>
      <c r="L652" s="635"/>
      <c r="M652" s="635"/>
      <c r="N652" s="635"/>
      <c r="O652" s="635"/>
      <c r="P652" s="635"/>
      <c r="Q652" s="634"/>
      <c r="R652" s="634"/>
      <c r="S652" s="635"/>
      <c r="T652" s="635"/>
      <c r="U652" s="634"/>
      <c r="V652" s="634"/>
      <c r="W652" s="634"/>
      <c r="X652" s="634"/>
      <c r="Y652" s="634"/>
      <c r="Z652" s="634"/>
    </row>
    <row r="653" ht="15.75" customHeight="1">
      <c r="A653" s="634"/>
      <c r="B653" s="634"/>
      <c r="C653" s="634"/>
      <c r="D653" s="634"/>
      <c r="E653" s="635"/>
      <c r="F653" s="634"/>
      <c r="G653" s="636"/>
      <c r="H653" s="635"/>
      <c r="I653" s="635"/>
      <c r="J653" s="635"/>
      <c r="K653" s="635"/>
      <c r="L653" s="635"/>
      <c r="M653" s="635"/>
      <c r="N653" s="635"/>
      <c r="O653" s="635"/>
      <c r="P653" s="635"/>
      <c r="Q653" s="634"/>
      <c r="R653" s="634"/>
      <c r="S653" s="635"/>
      <c r="T653" s="635"/>
      <c r="U653" s="634"/>
      <c r="V653" s="634"/>
      <c r="W653" s="634"/>
      <c r="X653" s="634"/>
      <c r="Y653" s="634"/>
      <c r="Z653" s="634"/>
    </row>
    <row r="654" ht="15.75" customHeight="1">
      <c r="A654" s="634"/>
      <c r="B654" s="634"/>
      <c r="C654" s="634"/>
      <c r="D654" s="634"/>
      <c r="E654" s="635"/>
      <c r="F654" s="634"/>
      <c r="G654" s="636"/>
      <c r="H654" s="635"/>
      <c r="I654" s="635"/>
      <c r="J654" s="635"/>
      <c r="K654" s="635"/>
      <c r="L654" s="635"/>
      <c r="M654" s="635"/>
      <c r="N654" s="635"/>
      <c r="O654" s="635"/>
      <c r="P654" s="635"/>
      <c r="Q654" s="634"/>
      <c r="R654" s="634"/>
      <c r="S654" s="635"/>
      <c r="T654" s="635"/>
      <c r="U654" s="634"/>
      <c r="V654" s="634"/>
      <c r="W654" s="634"/>
      <c r="X654" s="634"/>
      <c r="Y654" s="634"/>
      <c r="Z654" s="634"/>
    </row>
    <row r="655" ht="15.75" customHeight="1">
      <c r="A655" s="634"/>
      <c r="B655" s="634"/>
      <c r="C655" s="634"/>
      <c r="D655" s="634"/>
      <c r="E655" s="635"/>
      <c r="F655" s="634"/>
      <c r="G655" s="636"/>
      <c r="H655" s="635"/>
      <c r="I655" s="635"/>
      <c r="J655" s="635"/>
      <c r="K655" s="635"/>
      <c r="L655" s="635"/>
      <c r="M655" s="635"/>
      <c r="N655" s="635"/>
      <c r="O655" s="635"/>
      <c r="P655" s="635"/>
      <c r="Q655" s="634"/>
      <c r="R655" s="634"/>
      <c r="S655" s="635"/>
      <c r="T655" s="635"/>
      <c r="U655" s="634"/>
      <c r="V655" s="634"/>
      <c r="W655" s="634"/>
      <c r="X655" s="634"/>
      <c r="Y655" s="634"/>
      <c r="Z655" s="634"/>
    </row>
    <row r="656" ht="15.75" customHeight="1">
      <c r="A656" s="634"/>
      <c r="B656" s="634"/>
      <c r="C656" s="634"/>
      <c r="D656" s="634"/>
      <c r="E656" s="635"/>
      <c r="F656" s="634"/>
      <c r="G656" s="636"/>
      <c r="H656" s="635"/>
      <c r="I656" s="635"/>
      <c r="J656" s="635"/>
      <c r="K656" s="635"/>
      <c r="L656" s="635"/>
      <c r="M656" s="635"/>
      <c r="N656" s="635"/>
      <c r="O656" s="635"/>
      <c r="P656" s="635"/>
      <c r="Q656" s="634"/>
      <c r="R656" s="634"/>
      <c r="S656" s="635"/>
      <c r="T656" s="635"/>
      <c r="U656" s="634"/>
      <c r="V656" s="634"/>
      <c r="W656" s="634"/>
      <c r="X656" s="634"/>
      <c r="Y656" s="634"/>
      <c r="Z656" s="634"/>
    </row>
    <row r="657" ht="15.75" customHeight="1">
      <c r="A657" s="634"/>
      <c r="B657" s="634"/>
      <c r="C657" s="634"/>
      <c r="D657" s="634"/>
      <c r="E657" s="635"/>
      <c r="F657" s="634"/>
      <c r="G657" s="636"/>
      <c r="H657" s="635"/>
      <c r="I657" s="635"/>
      <c r="J657" s="635"/>
      <c r="K657" s="635"/>
      <c r="L657" s="635"/>
      <c r="M657" s="635"/>
      <c r="N657" s="635"/>
      <c r="O657" s="635"/>
      <c r="P657" s="635"/>
      <c r="Q657" s="634"/>
      <c r="R657" s="634"/>
      <c r="S657" s="635"/>
      <c r="T657" s="635"/>
      <c r="U657" s="634"/>
      <c r="V657" s="634"/>
      <c r="W657" s="634"/>
      <c r="X657" s="634"/>
      <c r="Y657" s="634"/>
      <c r="Z657" s="634"/>
    </row>
    <row r="658" ht="15.75" customHeight="1">
      <c r="A658" s="634"/>
      <c r="B658" s="634"/>
      <c r="C658" s="634"/>
      <c r="D658" s="634"/>
      <c r="E658" s="635"/>
      <c r="F658" s="634"/>
      <c r="G658" s="636"/>
      <c r="H658" s="635"/>
      <c r="I658" s="635"/>
      <c r="J658" s="635"/>
      <c r="K658" s="635"/>
      <c r="L658" s="635"/>
      <c r="M658" s="635"/>
      <c r="N658" s="635"/>
      <c r="O658" s="635"/>
      <c r="P658" s="635"/>
      <c r="Q658" s="634"/>
      <c r="R658" s="634"/>
      <c r="S658" s="635"/>
      <c r="T658" s="635"/>
      <c r="U658" s="634"/>
      <c r="V658" s="634"/>
      <c r="W658" s="634"/>
      <c r="X658" s="634"/>
      <c r="Y658" s="634"/>
      <c r="Z658" s="634"/>
    </row>
    <row r="659" ht="15.75" customHeight="1">
      <c r="A659" s="634"/>
      <c r="B659" s="634"/>
      <c r="C659" s="634"/>
      <c r="D659" s="634"/>
      <c r="E659" s="635"/>
      <c r="F659" s="634"/>
      <c r="G659" s="636"/>
      <c r="H659" s="635"/>
      <c r="I659" s="635"/>
      <c r="J659" s="635"/>
      <c r="K659" s="635"/>
      <c r="L659" s="635"/>
      <c r="M659" s="635"/>
      <c r="N659" s="635"/>
      <c r="O659" s="635"/>
      <c r="P659" s="635"/>
      <c r="Q659" s="634"/>
      <c r="R659" s="634"/>
      <c r="S659" s="635"/>
      <c r="T659" s="635"/>
      <c r="U659" s="634"/>
      <c r="V659" s="634"/>
      <c r="W659" s="634"/>
      <c r="X659" s="634"/>
      <c r="Y659" s="634"/>
      <c r="Z659" s="634"/>
    </row>
    <row r="660" ht="15.75" customHeight="1">
      <c r="A660" s="634"/>
      <c r="B660" s="634"/>
      <c r="C660" s="634"/>
      <c r="D660" s="634"/>
      <c r="E660" s="635"/>
      <c r="F660" s="634"/>
      <c r="G660" s="636"/>
      <c r="H660" s="635"/>
      <c r="I660" s="635"/>
      <c r="J660" s="635"/>
      <c r="K660" s="635"/>
      <c r="L660" s="635"/>
      <c r="M660" s="635"/>
      <c r="N660" s="635"/>
      <c r="O660" s="635"/>
      <c r="P660" s="635"/>
      <c r="Q660" s="634"/>
      <c r="R660" s="634"/>
      <c r="S660" s="635"/>
      <c r="T660" s="635"/>
      <c r="U660" s="634"/>
      <c r="V660" s="634"/>
      <c r="W660" s="634"/>
      <c r="X660" s="634"/>
      <c r="Y660" s="634"/>
      <c r="Z660" s="634"/>
    </row>
    <row r="661" ht="15.75" customHeight="1">
      <c r="A661" s="634"/>
      <c r="B661" s="634"/>
      <c r="C661" s="634"/>
      <c r="D661" s="634"/>
      <c r="E661" s="635"/>
      <c r="F661" s="634"/>
      <c r="G661" s="636"/>
      <c r="H661" s="635"/>
      <c r="I661" s="635"/>
      <c r="J661" s="635"/>
      <c r="K661" s="635"/>
      <c r="L661" s="635"/>
      <c r="M661" s="635"/>
      <c r="N661" s="635"/>
      <c r="O661" s="635"/>
      <c r="P661" s="635"/>
      <c r="Q661" s="634"/>
      <c r="R661" s="634"/>
      <c r="S661" s="635"/>
      <c r="T661" s="635"/>
      <c r="U661" s="634"/>
      <c r="V661" s="634"/>
      <c r="W661" s="634"/>
      <c r="X661" s="634"/>
      <c r="Y661" s="634"/>
      <c r="Z661" s="634"/>
    </row>
    <row r="662" ht="15.75" customHeight="1">
      <c r="A662" s="634"/>
      <c r="B662" s="634"/>
      <c r="C662" s="634"/>
      <c r="D662" s="634"/>
      <c r="E662" s="635"/>
      <c r="F662" s="634"/>
      <c r="G662" s="636"/>
      <c r="H662" s="635"/>
      <c r="I662" s="635"/>
      <c r="J662" s="635"/>
      <c r="K662" s="635"/>
      <c r="L662" s="635"/>
      <c r="M662" s="635"/>
      <c r="N662" s="635"/>
      <c r="O662" s="635"/>
      <c r="P662" s="635"/>
      <c r="Q662" s="634"/>
      <c r="R662" s="634"/>
      <c r="S662" s="635"/>
      <c r="T662" s="635"/>
      <c r="U662" s="634"/>
      <c r="V662" s="634"/>
      <c r="W662" s="634"/>
      <c r="X662" s="634"/>
      <c r="Y662" s="634"/>
      <c r="Z662" s="634"/>
    </row>
    <row r="663" ht="15.75" customHeight="1">
      <c r="A663" s="634"/>
      <c r="B663" s="634"/>
      <c r="C663" s="634"/>
      <c r="D663" s="634"/>
      <c r="E663" s="635"/>
      <c r="F663" s="634"/>
      <c r="G663" s="636"/>
      <c r="H663" s="635"/>
      <c r="I663" s="635"/>
      <c r="J663" s="635"/>
      <c r="K663" s="635"/>
      <c r="L663" s="635"/>
      <c r="M663" s="635"/>
      <c r="N663" s="635"/>
      <c r="O663" s="635"/>
      <c r="P663" s="635"/>
      <c r="Q663" s="634"/>
      <c r="R663" s="634"/>
      <c r="S663" s="635"/>
      <c r="T663" s="635"/>
      <c r="U663" s="634"/>
      <c r="V663" s="634"/>
      <c r="W663" s="634"/>
      <c r="X663" s="634"/>
      <c r="Y663" s="634"/>
      <c r="Z663" s="634"/>
    </row>
    <row r="664" ht="15.75" customHeight="1">
      <c r="A664" s="634"/>
      <c r="B664" s="634"/>
      <c r="C664" s="634"/>
      <c r="D664" s="634"/>
      <c r="E664" s="635"/>
      <c r="F664" s="634"/>
      <c r="G664" s="636"/>
      <c r="H664" s="635"/>
      <c r="I664" s="635"/>
      <c r="J664" s="635"/>
      <c r="K664" s="635"/>
      <c r="L664" s="635"/>
      <c r="M664" s="635"/>
      <c r="N664" s="635"/>
      <c r="O664" s="635"/>
      <c r="P664" s="635"/>
      <c r="Q664" s="634"/>
      <c r="R664" s="634"/>
      <c r="S664" s="635"/>
      <c r="T664" s="635"/>
      <c r="U664" s="634"/>
      <c r="V664" s="634"/>
      <c r="W664" s="634"/>
      <c r="X664" s="634"/>
      <c r="Y664" s="634"/>
      <c r="Z664" s="634"/>
    </row>
    <row r="665" ht="15.75" customHeight="1">
      <c r="A665" s="634"/>
      <c r="B665" s="634"/>
      <c r="C665" s="634"/>
      <c r="D665" s="634"/>
      <c r="E665" s="635"/>
      <c r="F665" s="634"/>
      <c r="G665" s="636"/>
      <c r="H665" s="635"/>
      <c r="I665" s="635"/>
      <c r="J665" s="635"/>
      <c r="K665" s="635"/>
      <c r="L665" s="635"/>
      <c r="M665" s="635"/>
      <c r="N665" s="635"/>
      <c r="O665" s="635"/>
      <c r="P665" s="635"/>
      <c r="Q665" s="634"/>
      <c r="R665" s="634"/>
      <c r="S665" s="635"/>
      <c r="T665" s="635"/>
      <c r="U665" s="634"/>
      <c r="V665" s="634"/>
      <c r="W665" s="634"/>
      <c r="X665" s="634"/>
      <c r="Y665" s="634"/>
      <c r="Z665" s="634"/>
    </row>
    <row r="666" ht="15.75" customHeight="1">
      <c r="A666" s="634"/>
      <c r="B666" s="634"/>
      <c r="C666" s="634"/>
      <c r="D666" s="634"/>
      <c r="E666" s="635"/>
      <c r="F666" s="634"/>
      <c r="G666" s="636"/>
      <c r="H666" s="635"/>
      <c r="I666" s="635"/>
      <c r="J666" s="635"/>
      <c r="K666" s="635"/>
      <c r="L666" s="635"/>
      <c r="M666" s="635"/>
      <c r="N666" s="635"/>
      <c r="O666" s="635"/>
      <c r="P666" s="635"/>
      <c r="Q666" s="634"/>
      <c r="R666" s="634"/>
      <c r="S666" s="635"/>
      <c r="T666" s="635"/>
      <c r="U666" s="634"/>
      <c r="V666" s="634"/>
      <c r="W666" s="634"/>
      <c r="X666" s="634"/>
      <c r="Y666" s="634"/>
      <c r="Z666" s="634"/>
    </row>
    <row r="667" ht="15.75" customHeight="1">
      <c r="A667" s="634"/>
      <c r="B667" s="634"/>
      <c r="C667" s="634"/>
      <c r="D667" s="634"/>
      <c r="E667" s="635"/>
      <c r="F667" s="634"/>
      <c r="G667" s="636"/>
      <c r="H667" s="635"/>
      <c r="I667" s="635"/>
      <c r="J667" s="635"/>
      <c r="K667" s="635"/>
      <c r="L667" s="635"/>
      <c r="M667" s="635"/>
      <c r="N667" s="635"/>
      <c r="O667" s="635"/>
      <c r="P667" s="635"/>
      <c r="Q667" s="634"/>
      <c r="R667" s="634"/>
      <c r="S667" s="635"/>
      <c r="T667" s="635"/>
      <c r="U667" s="634"/>
      <c r="V667" s="634"/>
      <c r="W667" s="634"/>
      <c r="X667" s="634"/>
      <c r="Y667" s="634"/>
      <c r="Z667" s="634"/>
    </row>
    <row r="668" ht="15.75" customHeight="1">
      <c r="A668" s="634"/>
      <c r="B668" s="634"/>
      <c r="C668" s="634"/>
      <c r="D668" s="634"/>
      <c r="E668" s="635"/>
      <c r="F668" s="634"/>
      <c r="G668" s="636"/>
      <c r="H668" s="635"/>
      <c r="I668" s="635"/>
      <c r="J668" s="635"/>
      <c r="K668" s="635"/>
      <c r="L668" s="635"/>
      <c r="M668" s="635"/>
      <c r="N668" s="635"/>
      <c r="O668" s="635"/>
      <c r="P668" s="635"/>
      <c r="Q668" s="634"/>
      <c r="R668" s="634"/>
      <c r="S668" s="635"/>
      <c r="T668" s="635"/>
      <c r="U668" s="634"/>
      <c r="V668" s="634"/>
      <c r="W668" s="634"/>
      <c r="X668" s="634"/>
      <c r="Y668" s="634"/>
      <c r="Z668" s="634"/>
    </row>
    <row r="669" ht="15.75" customHeight="1">
      <c r="A669" s="634"/>
      <c r="B669" s="634"/>
      <c r="C669" s="634"/>
      <c r="D669" s="634"/>
      <c r="E669" s="635"/>
      <c r="F669" s="634"/>
      <c r="G669" s="636"/>
      <c r="H669" s="635"/>
      <c r="I669" s="635"/>
      <c r="J669" s="635"/>
      <c r="K669" s="635"/>
      <c r="L669" s="635"/>
      <c r="M669" s="635"/>
      <c r="N669" s="635"/>
      <c r="O669" s="635"/>
      <c r="P669" s="635"/>
      <c r="Q669" s="634"/>
      <c r="R669" s="634"/>
      <c r="S669" s="635"/>
      <c r="T669" s="635"/>
      <c r="U669" s="634"/>
      <c r="V669" s="634"/>
      <c r="W669" s="634"/>
      <c r="X669" s="634"/>
      <c r="Y669" s="634"/>
      <c r="Z669" s="634"/>
    </row>
    <row r="670" ht="15.75" customHeight="1">
      <c r="A670" s="634"/>
      <c r="B670" s="634"/>
      <c r="C670" s="634"/>
      <c r="D670" s="634"/>
      <c r="E670" s="635"/>
      <c r="F670" s="634"/>
      <c r="G670" s="636"/>
      <c r="H670" s="635"/>
      <c r="I670" s="635"/>
      <c r="J670" s="635"/>
      <c r="K670" s="635"/>
      <c r="L670" s="635"/>
      <c r="M670" s="635"/>
      <c r="N670" s="635"/>
      <c r="O670" s="635"/>
      <c r="P670" s="635"/>
      <c r="Q670" s="634"/>
      <c r="R670" s="634"/>
      <c r="S670" s="635"/>
      <c r="T670" s="635"/>
      <c r="U670" s="634"/>
      <c r="V670" s="634"/>
      <c r="W670" s="634"/>
      <c r="X670" s="634"/>
      <c r="Y670" s="634"/>
      <c r="Z670" s="634"/>
    </row>
    <row r="671" ht="15.75" customHeight="1">
      <c r="A671" s="634"/>
      <c r="B671" s="634"/>
      <c r="C671" s="634"/>
      <c r="D671" s="634"/>
      <c r="E671" s="635"/>
      <c r="F671" s="634"/>
      <c r="G671" s="636"/>
      <c r="H671" s="635"/>
      <c r="I671" s="635"/>
      <c r="J671" s="635"/>
      <c r="K671" s="635"/>
      <c r="L671" s="635"/>
      <c r="M671" s="635"/>
      <c r="N671" s="635"/>
      <c r="O671" s="635"/>
      <c r="P671" s="635"/>
      <c r="Q671" s="634"/>
      <c r="R671" s="634"/>
      <c r="S671" s="635"/>
      <c r="T671" s="635"/>
      <c r="U671" s="634"/>
      <c r="V671" s="634"/>
      <c r="W671" s="634"/>
      <c r="X671" s="634"/>
      <c r="Y671" s="634"/>
      <c r="Z671" s="634"/>
    </row>
    <row r="672" ht="15.75" customHeight="1">
      <c r="A672" s="634"/>
      <c r="B672" s="634"/>
      <c r="C672" s="634"/>
      <c r="D672" s="634"/>
      <c r="E672" s="635"/>
      <c r="F672" s="634"/>
      <c r="G672" s="636"/>
      <c r="H672" s="635"/>
      <c r="I672" s="635"/>
      <c r="J672" s="635"/>
      <c r="K672" s="635"/>
      <c r="L672" s="635"/>
      <c r="M672" s="635"/>
      <c r="N672" s="635"/>
      <c r="O672" s="635"/>
      <c r="P672" s="635"/>
      <c r="Q672" s="634"/>
      <c r="R672" s="634"/>
      <c r="S672" s="635"/>
      <c r="T672" s="635"/>
      <c r="U672" s="634"/>
      <c r="V672" s="634"/>
      <c r="W672" s="634"/>
      <c r="X672" s="634"/>
      <c r="Y672" s="634"/>
      <c r="Z672" s="634"/>
    </row>
    <row r="673" ht="15.75" customHeight="1">
      <c r="A673" s="634"/>
      <c r="B673" s="634"/>
      <c r="C673" s="634"/>
      <c r="D673" s="634"/>
      <c r="E673" s="635"/>
      <c r="F673" s="634"/>
      <c r="G673" s="636"/>
      <c r="H673" s="635"/>
      <c r="I673" s="635"/>
      <c r="J673" s="635"/>
      <c r="K673" s="635"/>
      <c r="L673" s="635"/>
      <c r="M673" s="635"/>
      <c r="N673" s="635"/>
      <c r="O673" s="635"/>
      <c r="P673" s="635"/>
      <c r="Q673" s="634"/>
      <c r="R673" s="634"/>
      <c r="S673" s="635"/>
      <c r="T673" s="635"/>
      <c r="U673" s="634"/>
      <c r="V673" s="634"/>
      <c r="W673" s="634"/>
      <c r="X673" s="634"/>
      <c r="Y673" s="634"/>
      <c r="Z673" s="634"/>
    </row>
    <row r="674" ht="15.75" customHeight="1">
      <c r="A674" s="634"/>
      <c r="B674" s="634"/>
      <c r="C674" s="634"/>
      <c r="D674" s="634"/>
      <c r="E674" s="635"/>
      <c r="F674" s="634"/>
      <c r="G674" s="636"/>
      <c r="H674" s="635"/>
      <c r="I674" s="635"/>
      <c r="J674" s="635"/>
      <c r="K674" s="635"/>
      <c r="L674" s="635"/>
      <c r="M674" s="635"/>
      <c r="N674" s="635"/>
      <c r="O674" s="635"/>
      <c r="P674" s="635"/>
      <c r="Q674" s="634"/>
      <c r="R674" s="634"/>
      <c r="S674" s="635"/>
      <c r="T674" s="635"/>
      <c r="U674" s="634"/>
      <c r="V674" s="634"/>
      <c r="W674" s="634"/>
      <c r="X674" s="634"/>
      <c r="Y674" s="634"/>
      <c r="Z674" s="634"/>
    </row>
    <row r="675" ht="15.75" customHeight="1">
      <c r="A675" s="634"/>
      <c r="B675" s="634"/>
      <c r="C675" s="634"/>
      <c r="D675" s="634"/>
      <c r="E675" s="635"/>
      <c r="F675" s="634"/>
      <c r="G675" s="636"/>
      <c r="H675" s="635"/>
      <c r="I675" s="635"/>
      <c r="J675" s="635"/>
      <c r="K675" s="635"/>
      <c r="L675" s="635"/>
      <c r="M675" s="635"/>
      <c r="N675" s="635"/>
      <c r="O675" s="635"/>
      <c r="P675" s="635"/>
      <c r="Q675" s="634"/>
      <c r="R675" s="634"/>
      <c r="S675" s="635"/>
      <c r="T675" s="635"/>
      <c r="U675" s="634"/>
      <c r="V675" s="634"/>
      <c r="W675" s="634"/>
      <c r="X675" s="634"/>
      <c r="Y675" s="634"/>
      <c r="Z675" s="634"/>
    </row>
    <row r="676" ht="15.75" customHeight="1">
      <c r="A676" s="634"/>
      <c r="B676" s="634"/>
      <c r="C676" s="634"/>
      <c r="D676" s="634"/>
      <c r="E676" s="635"/>
      <c r="F676" s="634"/>
      <c r="G676" s="636"/>
      <c r="H676" s="635"/>
      <c r="I676" s="635"/>
      <c r="J676" s="635"/>
      <c r="K676" s="635"/>
      <c r="L676" s="635"/>
      <c r="M676" s="635"/>
      <c r="N676" s="635"/>
      <c r="O676" s="635"/>
      <c r="P676" s="635"/>
      <c r="Q676" s="634"/>
      <c r="R676" s="634"/>
      <c r="S676" s="635"/>
      <c r="T676" s="635"/>
      <c r="U676" s="634"/>
      <c r="V676" s="634"/>
      <c r="W676" s="634"/>
      <c r="X676" s="634"/>
      <c r="Y676" s="634"/>
      <c r="Z676" s="634"/>
    </row>
    <row r="677" ht="15.75" customHeight="1">
      <c r="A677" s="634"/>
      <c r="B677" s="634"/>
      <c r="C677" s="634"/>
      <c r="D677" s="634"/>
      <c r="E677" s="635"/>
      <c r="F677" s="634"/>
      <c r="G677" s="636"/>
      <c r="H677" s="635"/>
      <c r="I677" s="635"/>
      <c r="J677" s="635"/>
      <c r="K677" s="635"/>
      <c r="L677" s="635"/>
      <c r="M677" s="635"/>
      <c r="N677" s="635"/>
      <c r="O677" s="635"/>
      <c r="P677" s="635"/>
      <c r="Q677" s="634"/>
      <c r="R677" s="634"/>
      <c r="S677" s="635"/>
      <c r="T677" s="635"/>
      <c r="U677" s="634"/>
      <c r="V677" s="634"/>
      <c r="W677" s="634"/>
      <c r="X677" s="634"/>
      <c r="Y677" s="634"/>
      <c r="Z677" s="634"/>
    </row>
    <row r="678" ht="15.75" customHeight="1">
      <c r="A678" s="634"/>
      <c r="B678" s="634"/>
      <c r="C678" s="634"/>
      <c r="D678" s="634"/>
      <c r="E678" s="635"/>
      <c r="F678" s="634"/>
      <c r="G678" s="636"/>
      <c r="H678" s="635"/>
      <c r="I678" s="635"/>
      <c r="J678" s="635"/>
      <c r="K678" s="635"/>
      <c r="L678" s="635"/>
      <c r="M678" s="635"/>
      <c r="N678" s="635"/>
      <c r="O678" s="635"/>
      <c r="P678" s="635"/>
      <c r="Q678" s="634"/>
      <c r="R678" s="634"/>
      <c r="S678" s="635"/>
      <c r="T678" s="635"/>
      <c r="U678" s="634"/>
      <c r="V678" s="634"/>
      <c r="W678" s="634"/>
      <c r="X678" s="634"/>
      <c r="Y678" s="634"/>
      <c r="Z678" s="634"/>
    </row>
    <row r="679" ht="15.75" customHeight="1">
      <c r="A679" s="634"/>
      <c r="B679" s="634"/>
      <c r="C679" s="634"/>
      <c r="D679" s="634"/>
      <c r="E679" s="635"/>
      <c r="F679" s="634"/>
      <c r="G679" s="636"/>
      <c r="H679" s="635"/>
      <c r="I679" s="635"/>
      <c r="J679" s="635"/>
      <c r="K679" s="635"/>
      <c r="L679" s="635"/>
      <c r="M679" s="635"/>
      <c r="N679" s="635"/>
      <c r="O679" s="635"/>
      <c r="P679" s="635"/>
      <c r="Q679" s="634"/>
      <c r="R679" s="634"/>
      <c r="S679" s="635"/>
      <c r="T679" s="635"/>
      <c r="U679" s="634"/>
      <c r="V679" s="634"/>
      <c r="W679" s="634"/>
      <c r="X679" s="634"/>
      <c r="Y679" s="634"/>
      <c r="Z679" s="634"/>
    </row>
    <row r="680" ht="15.75" customHeight="1">
      <c r="A680" s="634"/>
      <c r="B680" s="634"/>
      <c r="C680" s="634"/>
      <c r="D680" s="634"/>
      <c r="E680" s="635"/>
      <c r="F680" s="634"/>
      <c r="G680" s="636"/>
      <c r="H680" s="635"/>
      <c r="I680" s="635"/>
      <c r="J680" s="635"/>
      <c r="K680" s="635"/>
      <c r="L680" s="635"/>
      <c r="M680" s="635"/>
      <c r="N680" s="635"/>
      <c r="O680" s="635"/>
      <c r="P680" s="635"/>
      <c r="Q680" s="634"/>
      <c r="R680" s="634"/>
      <c r="S680" s="635"/>
      <c r="T680" s="635"/>
      <c r="U680" s="634"/>
      <c r="V680" s="634"/>
      <c r="W680" s="634"/>
      <c r="X680" s="634"/>
      <c r="Y680" s="634"/>
      <c r="Z680" s="634"/>
    </row>
    <row r="681" ht="15.75" customHeight="1">
      <c r="A681" s="634"/>
      <c r="B681" s="634"/>
      <c r="C681" s="634"/>
      <c r="D681" s="634"/>
      <c r="E681" s="635"/>
      <c r="F681" s="634"/>
      <c r="G681" s="636"/>
      <c r="H681" s="635"/>
      <c r="I681" s="635"/>
      <c r="J681" s="635"/>
      <c r="K681" s="635"/>
      <c r="L681" s="635"/>
      <c r="M681" s="635"/>
      <c r="N681" s="635"/>
      <c r="O681" s="635"/>
      <c r="P681" s="635"/>
      <c r="Q681" s="634"/>
      <c r="R681" s="634"/>
      <c r="S681" s="635"/>
      <c r="T681" s="635"/>
      <c r="U681" s="634"/>
      <c r="V681" s="634"/>
      <c r="W681" s="634"/>
      <c r="X681" s="634"/>
      <c r="Y681" s="634"/>
      <c r="Z681" s="634"/>
    </row>
    <row r="682" ht="15.75" customHeight="1">
      <c r="A682" s="634"/>
      <c r="B682" s="634"/>
      <c r="C682" s="634"/>
      <c r="D682" s="634"/>
      <c r="E682" s="635"/>
      <c r="F682" s="634"/>
      <c r="G682" s="636"/>
      <c r="H682" s="635"/>
      <c r="I682" s="635"/>
      <c r="J682" s="635"/>
      <c r="K682" s="635"/>
      <c r="L682" s="635"/>
      <c r="M682" s="635"/>
      <c r="N682" s="635"/>
      <c r="O682" s="635"/>
      <c r="P682" s="635"/>
      <c r="Q682" s="634"/>
      <c r="R682" s="634"/>
      <c r="S682" s="635"/>
      <c r="T682" s="635"/>
      <c r="U682" s="634"/>
      <c r="V682" s="634"/>
      <c r="W682" s="634"/>
      <c r="X682" s="634"/>
      <c r="Y682" s="634"/>
      <c r="Z682" s="634"/>
    </row>
    <row r="683" ht="15.75" customHeight="1">
      <c r="A683" s="634"/>
      <c r="B683" s="634"/>
      <c r="C683" s="634"/>
      <c r="D683" s="634"/>
      <c r="E683" s="635"/>
      <c r="F683" s="634"/>
      <c r="G683" s="636"/>
      <c r="H683" s="635"/>
      <c r="I683" s="635"/>
      <c r="J683" s="635"/>
      <c r="K683" s="635"/>
      <c r="L683" s="635"/>
      <c r="M683" s="635"/>
      <c r="N683" s="635"/>
      <c r="O683" s="635"/>
      <c r="P683" s="635"/>
      <c r="Q683" s="634"/>
      <c r="R683" s="634"/>
      <c r="S683" s="635"/>
      <c r="T683" s="635"/>
      <c r="U683" s="634"/>
      <c r="V683" s="634"/>
      <c r="W683" s="634"/>
      <c r="X683" s="634"/>
      <c r="Y683" s="634"/>
      <c r="Z683" s="634"/>
    </row>
    <row r="684" ht="15.75" customHeight="1">
      <c r="A684" s="634"/>
      <c r="B684" s="634"/>
      <c r="C684" s="634"/>
      <c r="D684" s="634"/>
      <c r="E684" s="635"/>
      <c r="F684" s="634"/>
      <c r="G684" s="636"/>
      <c r="H684" s="635"/>
      <c r="I684" s="635"/>
      <c r="J684" s="635"/>
      <c r="K684" s="635"/>
      <c r="L684" s="635"/>
      <c r="M684" s="635"/>
      <c r="N684" s="635"/>
      <c r="O684" s="635"/>
      <c r="P684" s="635"/>
      <c r="Q684" s="634"/>
      <c r="R684" s="634"/>
      <c r="S684" s="635"/>
      <c r="T684" s="635"/>
      <c r="U684" s="634"/>
      <c r="V684" s="634"/>
      <c r="W684" s="634"/>
      <c r="X684" s="634"/>
      <c r="Y684" s="634"/>
      <c r="Z684" s="634"/>
    </row>
    <row r="685" ht="15.75" customHeight="1">
      <c r="A685" s="634"/>
      <c r="B685" s="634"/>
      <c r="C685" s="634"/>
      <c r="D685" s="634"/>
      <c r="E685" s="635"/>
      <c r="F685" s="634"/>
      <c r="G685" s="636"/>
      <c r="H685" s="635"/>
      <c r="I685" s="635"/>
      <c r="J685" s="635"/>
      <c r="K685" s="635"/>
      <c r="L685" s="635"/>
      <c r="M685" s="635"/>
      <c r="N685" s="635"/>
      <c r="O685" s="635"/>
      <c r="P685" s="635"/>
      <c r="Q685" s="634"/>
      <c r="R685" s="634"/>
      <c r="S685" s="635"/>
      <c r="T685" s="635"/>
      <c r="U685" s="634"/>
      <c r="V685" s="634"/>
      <c r="W685" s="634"/>
      <c r="X685" s="634"/>
      <c r="Y685" s="634"/>
      <c r="Z685" s="634"/>
    </row>
    <row r="686" ht="15.75" customHeight="1">
      <c r="A686" s="634"/>
      <c r="B686" s="634"/>
      <c r="C686" s="634"/>
      <c r="D686" s="634"/>
      <c r="E686" s="635"/>
      <c r="F686" s="634"/>
      <c r="G686" s="636"/>
      <c r="H686" s="635"/>
      <c r="I686" s="635"/>
      <c r="J686" s="635"/>
      <c r="K686" s="635"/>
      <c r="L686" s="635"/>
      <c r="M686" s="635"/>
      <c r="N686" s="635"/>
      <c r="O686" s="635"/>
      <c r="P686" s="635"/>
      <c r="Q686" s="634"/>
      <c r="R686" s="634"/>
      <c r="S686" s="635"/>
      <c r="T686" s="635"/>
      <c r="U686" s="634"/>
      <c r="V686" s="634"/>
      <c r="W686" s="634"/>
      <c r="X686" s="634"/>
      <c r="Y686" s="634"/>
      <c r="Z686" s="634"/>
    </row>
    <row r="687" ht="15.75" customHeight="1">
      <c r="A687" s="634"/>
      <c r="B687" s="634"/>
      <c r="C687" s="634"/>
      <c r="D687" s="634"/>
      <c r="E687" s="635"/>
      <c r="F687" s="634"/>
      <c r="G687" s="636"/>
      <c r="H687" s="635"/>
      <c r="I687" s="635"/>
      <c r="J687" s="635"/>
      <c r="K687" s="635"/>
      <c r="L687" s="635"/>
      <c r="M687" s="635"/>
      <c r="N687" s="635"/>
      <c r="O687" s="635"/>
      <c r="P687" s="635"/>
      <c r="Q687" s="634"/>
      <c r="R687" s="634"/>
      <c r="S687" s="635"/>
      <c r="T687" s="635"/>
      <c r="U687" s="634"/>
      <c r="V687" s="634"/>
      <c r="W687" s="634"/>
      <c r="X687" s="634"/>
      <c r="Y687" s="634"/>
      <c r="Z687" s="634"/>
    </row>
    <row r="688" ht="15.75" customHeight="1">
      <c r="A688" s="634"/>
      <c r="B688" s="634"/>
      <c r="C688" s="634"/>
      <c r="D688" s="634"/>
      <c r="E688" s="635"/>
      <c r="F688" s="634"/>
      <c r="G688" s="636"/>
      <c r="H688" s="635"/>
      <c r="I688" s="635"/>
      <c r="J688" s="635"/>
      <c r="K688" s="635"/>
      <c r="L688" s="635"/>
      <c r="M688" s="635"/>
      <c r="N688" s="635"/>
      <c r="O688" s="635"/>
      <c r="P688" s="635"/>
      <c r="Q688" s="634"/>
      <c r="R688" s="634"/>
      <c r="S688" s="635"/>
      <c r="T688" s="635"/>
      <c r="U688" s="634"/>
      <c r="V688" s="634"/>
      <c r="W688" s="634"/>
      <c r="X688" s="634"/>
      <c r="Y688" s="634"/>
      <c r="Z688" s="634"/>
    </row>
    <row r="689" ht="15.75" customHeight="1">
      <c r="A689" s="634"/>
      <c r="B689" s="634"/>
      <c r="C689" s="634"/>
      <c r="D689" s="634"/>
      <c r="E689" s="635"/>
      <c r="F689" s="634"/>
      <c r="G689" s="636"/>
      <c r="H689" s="635"/>
      <c r="I689" s="635"/>
      <c r="J689" s="635"/>
      <c r="K689" s="635"/>
      <c r="L689" s="635"/>
      <c r="M689" s="635"/>
      <c r="N689" s="635"/>
      <c r="O689" s="635"/>
      <c r="P689" s="635"/>
      <c r="Q689" s="634"/>
      <c r="R689" s="634"/>
      <c r="S689" s="635"/>
      <c r="T689" s="635"/>
      <c r="U689" s="634"/>
      <c r="V689" s="634"/>
      <c r="W689" s="634"/>
      <c r="X689" s="634"/>
      <c r="Y689" s="634"/>
      <c r="Z689" s="634"/>
    </row>
    <row r="690" ht="15.75" customHeight="1">
      <c r="A690" s="634"/>
      <c r="B690" s="634"/>
      <c r="C690" s="634"/>
      <c r="D690" s="634"/>
      <c r="E690" s="635"/>
      <c r="F690" s="634"/>
      <c r="G690" s="636"/>
      <c r="H690" s="635"/>
      <c r="I690" s="635"/>
      <c r="J690" s="635"/>
      <c r="K690" s="635"/>
      <c r="L690" s="635"/>
      <c r="M690" s="635"/>
      <c r="N690" s="635"/>
      <c r="O690" s="635"/>
      <c r="P690" s="635"/>
      <c r="Q690" s="634"/>
      <c r="R690" s="634"/>
      <c r="S690" s="635"/>
      <c r="T690" s="635"/>
      <c r="U690" s="634"/>
      <c r="V690" s="634"/>
      <c r="W690" s="634"/>
      <c r="X690" s="634"/>
      <c r="Y690" s="634"/>
      <c r="Z690" s="634"/>
    </row>
    <row r="691" ht="15.75" customHeight="1">
      <c r="A691" s="634"/>
      <c r="B691" s="634"/>
      <c r="C691" s="634"/>
      <c r="D691" s="634"/>
      <c r="E691" s="635"/>
      <c r="F691" s="634"/>
      <c r="G691" s="636"/>
      <c r="H691" s="635"/>
      <c r="I691" s="635"/>
      <c r="J691" s="635"/>
      <c r="K691" s="635"/>
      <c r="L691" s="635"/>
      <c r="M691" s="635"/>
      <c r="N691" s="635"/>
      <c r="O691" s="635"/>
      <c r="P691" s="635"/>
      <c r="Q691" s="634"/>
      <c r="R691" s="634"/>
      <c r="S691" s="635"/>
      <c r="T691" s="635"/>
      <c r="U691" s="634"/>
      <c r="V691" s="634"/>
      <c r="W691" s="634"/>
      <c r="X691" s="634"/>
      <c r="Y691" s="634"/>
      <c r="Z691" s="634"/>
    </row>
    <row r="692" ht="15.75" customHeight="1">
      <c r="A692" s="634"/>
      <c r="B692" s="634"/>
      <c r="C692" s="634"/>
      <c r="D692" s="634"/>
      <c r="E692" s="635"/>
      <c r="F692" s="634"/>
      <c r="G692" s="636"/>
      <c r="H692" s="635"/>
      <c r="I692" s="635"/>
      <c r="J692" s="635"/>
      <c r="K692" s="635"/>
      <c r="L692" s="635"/>
      <c r="M692" s="635"/>
      <c r="N692" s="635"/>
      <c r="O692" s="635"/>
      <c r="P692" s="635"/>
      <c r="Q692" s="634"/>
      <c r="R692" s="634"/>
      <c r="S692" s="635"/>
      <c r="T692" s="635"/>
      <c r="U692" s="634"/>
      <c r="V692" s="634"/>
      <c r="W692" s="634"/>
      <c r="X692" s="634"/>
      <c r="Y692" s="634"/>
      <c r="Z692" s="634"/>
    </row>
    <row r="693" ht="15.75" customHeight="1">
      <c r="A693" s="634"/>
      <c r="B693" s="634"/>
      <c r="C693" s="634"/>
      <c r="D693" s="634"/>
      <c r="E693" s="635"/>
      <c r="F693" s="634"/>
      <c r="G693" s="636"/>
      <c r="H693" s="635"/>
      <c r="I693" s="635"/>
      <c r="J693" s="635"/>
      <c r="K693" s="635"/>
      <c r="L693" s="635"/>
      <c r="M693" s="635"/>
      <c r="N693" s="635"/>
      <c r="O693" s="635"/>
      <c r="P693" s="635"/>
      <c r="Q693" s="634"/>
      <c r="R693" s="634"/>
      <c r="S693" s="635"/>
      <c r="T693" s="635"/>
      <c r="U693" s="634"/>
      <c r="V693" s="634"/>
      <c r="W693" s="634"/>
      <c r="X693" s="634"/>
      <c r="Y693" s="634"/>
      <c r="Z693" s="634"/>
    </row>
    <row r="694" ht="15.75" customHeight="1">
      <c r="A694" s="634"/>
      <c r="B694" s="634"/>
      <c r="C694" s="634"/>
      <c r="D694" s="634"/>
      <c r="E694" s="635"/>
      <c r="F694" s="634"/>
      <c r="G694" s="636"/>
      <c r="H694" s="635"/>
      <c r="I694" s="635"/>
      <c r="J694" s="635"/>
      <c r="K694" s="635"/>
      <c r="L694" s="635"/>
      <c r="M694" s="635"/>
      <c r="N694" s="635"/>
      <c r="O694" s="635"/>
      <c r="P694" s="635"/>
      <c r="Q694" s="634"/>
      <c r="R694" s="634"/>
      <c r="S694" s="635"/>
      <c r="T694" s="635"/>
      <c r="U694" s="634"/>
      <c r="V694" s="634"/>
      <c r="W694" s="634"/>
      <c r="X694" s="634"/>
      <c r="Y694" s="634"/>
      <c r="Z694" s="634"/>
    </row>
    <row r="695" ht="15.75" customHeight="1">
      <c r="A695" s="634"/>
      <c r="B695" s="634"/>
      <c r="C695" s="634"/>
      <c r="D695" s="634"/>
      <c r="E695" s="635"/>
      <c r="F695" s="634"/>
      <c r="G695" s="636"/>
      <c r="H695" s="635"/>
      <c r="I695" s="635"/>
      <c r="J695" s="635"/>
      <c r="K695" s="635"/>
      <c r="L695" s="635"/>
      <c r="M695" s="635"/>
      <c r="N695" s="635"/>
      <c r="O695" s="635"/>
      <c r="P695" s="635"/>
      <c r="Q695" s="634"/>
      <c r="R695" s="634"/>
      <c r="S695" s="635"/>
      <c r="T695" s="635"/>
      <c r="U695" s="634"/>
      <c r="V695" s="634"/>
      <c r="W695" s="634"/>
      <c r="X695" s="634"/>
      <c r="Y695" s="634"/>
      <c r="Z695" s="634"/>
    </row>
    <row r="696" ht="15.75" customHeight="1">
      <c r="A696" s="634"/>
      <c r="B696" s="634"/>
      <c r="C696" s="634"/>
      <c r="D696" s="634"/>
      <c r="E696" s="635"/>
      <c r="F696" s="634"/>
      <c r="G696" s="636"/>
      <c r="H696" s="635"/>
      <c r="I696" s="635"/>
      <c r="J696" s="635"/>
      <c r="K696" s="635"/>
      <c r="L696" s="635"/>
      <c r="M696" s="635"/>
      <c r="N696" s="635"/>
      <c r="O696" s="635"/>
      <c r="P696" s="635"/>
      <c r="Q696" s="634"/>
      <c r="R696" s="634"/>
      <c r="S696" s="635"/>
      <c r="T696" s="635"/>
      <c r="U696" s="634"/>
      <c r="V696" s="634"/>
      <c r="W696" s="634"/>
      <c r="X696" s="634"/>
      <c r="Y696" s="634"/>
      <c r="Z696" s="634"/>
    </row>
    <row r="697" ht="15.75" customHeight="1">
      <c r="A697" s="634"/>
      <c r="B697" s="634"/>
      <c r="C697" s="634"/>
      <c r="D697" s="634"/>
      <c r="E697" s="635"/>
      <c r="F697" s="634"/>
      <c r="G697" s="636"/>
      <c r="H697" s="635"/>
      <c r="I697" s="635"/>
      <c r="J697" s="635"/>
      <c r="K697" s="635"/>
      <c r="L697" s="635"/>
      <c r="M697" s="635"/>
      <c r="N697" s="635"/>
      <c r="O697" s="635"/>
      <c r="P697" s="635"/>
      <c r="Q697" s="634"/>
      <c r="R697" s="634"/>
      <c r="S697" s="635"/>
      <c r="T697" s="635"/>
      <c r="U697" s="634"/>
      <c r="V697" s="634"/>
      <c r="W697" s="634"/>
      <c r="X697" s="634"/>
      <c r="Y697" s="634"/>
      <c r="Z697" s="634"/>
    </row>
    <row r="698" ht="15.75" customHeight="1">
      <c r="A698" s="634"/>
      <c r="B698" s="634"/>
      <c r="C698" s="634"/>
      <c r="D698" s="634"/>
      <c r="E698" s="635"/>
      <c r="F698" s="634"/>
      <c r="G698" s="636"/>
      <c r="H698" s="635"/>
      <c r="I698" s="635"/>
      <c r="J698" s="635"/>
      <c r="K698" s="635"/>
      <c r="L698" s="635"/>
      <c r="M698" s="635"/>
      <c r="N698" s="635"/>
      <c r="O698" s="635"/>
      <c r="P698" s="635"/>
      <c r="Q698" s="634"/>
      <c r="R698" s="634"/>
      <c r="S698" s="635"/>
      <c r="T698" s="635"/>
      <c r="U698" s="634"/>
      <c r="V698" s="634"/>
      <c r="W698" s="634"/>
      <c r="X698" s="634"/>
      <c r="Y698" s="634"/>
      <c r="Z698" s="634"/>
    </row>
    <row r="699" ht="15.75" customHeight="1">
      <c r="A699" s="634"/>
      <c r="B699" s="634"/>
      <c r="C699" s="634"/>
      <c r="D699" s="634"/>
      <c r="E699" s="635"/>
      <c r="F699" s="634"/>
      <c r="G699" s="636"/>
      <c r="H699" s="635"/>
      <c r="I699" s="635"/>
      <c r="J699" s="635"/>
      <c r="K699" s="635"/>
      <c r="L699" s="635"/>
      <c r="M699" s="635"/>
      <c r="N699" s="635"/>
      <c r="O699" s="635"/>
      <c r="P699" s="635"/>
      <c r="Q699" s="634"/>
      <c r="R699" s="634"/>
      <c r="S699" s="635"/>
      <c r="T699" s="635"/>
      <c r="U699" s="634"/>
      <c r="V699" s="634"/>
      <c r="W699" s="634"/>
      <c r="X699" s="634"/>
      <c r="Y699" s="634"/>
      <c r="Z699" s="634"/>
    </row>
    <row r="700" ht="15.75" customHeight="1">
      <c r="A700" s="634"/>
      <c r="B700" s="634"/>
      <c r="C700" s="634"/>
      <c r="D700" s="634"/>
      <c r="E700" s="635"/>
      <c r="F700" s="634"/>
      <c r="G700" s="636"/>
      <c r="H700" s="635"/>
      <c r="I700" s="635"/>
      <c r="J700" s="635"/>
      <c r="K700" s="635"/>
      <c r="L700" s="635"/>
      <c r="M700" s="635"/>
      <c r="N700" s="635"/>
      <c r="O700" s="635"/>
      <c r="P700" s="635"/>
      <c r="Q700" s="634"/>
      <c r="R700" s="634"/>
      <c r="S700" s="635"/>
      <c r="T700" s="635"/>
      <c r="U700" s="634"/>
      <c r="V700" s="634"/>
      <c r="W700" s="634"/>
      <c r="X700" s="634"/>
      <c r="Y700" s="634"/>
      <c r="Z700" s="634"/>
    </row>
    <row r="701" ht="15.75" customHeight="1">
      <c r="A701" s="634"/>
      <c r="B701" s="634"/>
      <c r="C701" s="634"/>
      <c r="D701" s="634"/>
      <c r="E701" s="635"/>
      <c r="F701" s="634"/>
      <c r="G701" s="636"/>
      <c r="H701" s="635"/>
      <c r="I701" s="635"/>
      <c r="J701" s="635"/>
      <c r="K701" s="635"/>
      <c r="L701" s="635"/>
      <c r="M701" s="635"/>
      <c r="N701" s="635"/>
      <c r="O701" s="635"/>
      <c r="P701" s="635"/>
      <c r="Q701" s="634"/>
      <c r="R701" s="634"/>
      <c r="S701" s="635"/>
      <c r="T701" s="635"/>
      <c r="U701" s="634"/>
      <c r="V701" s="634"/>
      <c r="W701" s="634"/>
      <c r="X701" s="634"/>
      <c r="Y701" s="634"/>
      <c r="Z701" s="634"/>
    </row>
    <row r="702" ht="15.75" customHeight="1">
      <c r="A702" s="634"/>
      <c r="B702" s="634"/>
      <c r="C702" s="634"/>
      <c r="D702" s="634"/>
      <c r="E702" s="635"/>
      <c r="F702" s="634"/>
      <c r="G702" s="636"/>
      <c r="H702" s="635"/>
      <c r="I702" s="635"/>
      <c r="J702" s="635"/>
      <c r="K702" s="635"/>
      <c r="L702" s="635"/>
      <c r="M702" s="635"/>
      <c r="N702" s="635"/>
      <c r="O702" s="635"/>
      <c r="P702" s="635"/>
      <c r="Q702" s="634"/>
      <c r="R702" s="634"/>
      <c r="S702" s="635"/>
      <c r="T702" s="635"/>
      <c r="U702" s="634"/>
      <c r="V702" s="634"/>
      <c r="W702" s="634"/>
      <c r="X702" s="634"/>
      <c r="Y702" s="634"/>
      <c r="Z702" s="634"/>
    </row>
    <row r="703" ht="15.75" customHeight="1">
      <c r="A703" s="634"/>
      <c r="B703" s="634"/>
      <c r="C703" s="634"/>
      <c r="D703" s="634"/>
      <c r="E703" s="635"/>
      <c r="F703" s="634"/>
      <c r="G703" s="636"/>
      <c r="H703" s="635"/>
      <c r="I703" s="635"/>
      <c r="J703" s="635"/>
      <c r="K703" s="635"/>
      <c r="L703" s="635"/>
      <c r="M703" s="635"/>
      <c r="N703" s="635"/>
      <c r="O703" s="635"/>
      <c r="P703" s="635"/>
      <c r="Q703" s="634"/>
      <c r="R703" s="634"/>
      <c r="S703" s="635"/>
      <c r="T703" s="635"/>
      <c r="U703" s="634"/>
      <c r="V703" s="634"/>
      <c r="W703" s="634"/>
      <c r="X703" s="634"/>
      <c r="Y703" s="634"/>
      <c r="Z703" s="634"/>
    </row>
    <row r="704" ht="15.75" customHeight="1">
      <c r="A704" s="634"/>
      <c r="B704" s="634"/>
      <c r="C704" s="634"/>
      <c r="D704" s="634"/>
      <c r="E704" s="635"/>
      <c r="F704" s="634"/>
      <c r="G704" s="636"/>
      <c r="H704" s="635"/>
      <c r="I704" s="635"/>
      <c r="J704" s="635"/>
      <c r="K704" s="635"/>
      <c r="L704" s="635"/>
      <c r="M704" s="635"/>
      <c r="N704" s="635"/>
      <c r="O704" s="635"/>
      <c r="P704" s="635"/>
      <c r="Q704" s="634"/>
      <c r="R704" s="634"/>
      <c r="S704" s="635"/>
      <c r="T704" s="635"/>
      <c r="U704" s="634"/>
      <c r="V704" s="634"/>
      <c r="W704" s="634"/>
      <c r="X704" s="634"/>
      <c r="Y704" s="634"/>
      <c r="Z704" s="634"/>
    </row>
    <row r="705" ht="15.75" customHeight="1">
      <c r="A705" s="634"/>
      <c r="B705" s="634"/>
      <c r="C705" s="634"/>
      <c r="D705" s="634"/>
      <c r="E705" s="635"/>
      <c r="F705" s="634"/>
      <c r="G705" s="636"/>
      <c r="H705" s="635"/>
      <c r="I705" s="635"/>
      <c r="J705" s="635"/>
      <c r="K705" s="635"/>
      <c r="L705" s="635"/>
      <c r="M705" s="635"/>
      <c r="N705" s="635"/>
      <c r="O705" s="635"/>
      <c r="P705" s="635"/>
      <c r="Q705" s="634"/>
      <c r="R705" s="634"/>
      <c r="S705" s="635"/>
      <c r="T705" s="635"/>
      <c r="U705" s="634"/>
      <c r="V705" s="634"/>
      <c r="W705" s="634"/>
      <c r="X705" s="634"/>
      <c r="Y705" s="634"/>
      <c r="Z705" s="634"/>
    </row>
    <row r="706" ht="15.75" customHeight="1">
      <c r="A706" s="634"/>
      <c r="B706" s="634"/>
      <c r="C706" s="634"/>
      <c r="D706" s="634"/>
      <c r="E706" s="635"/>
      <c r="F706" s="634"/>
      <c r="G706" s="636"/>
      <c r="H706" s="635"/>
      <c r="I706" s="635"/>
      <c r="J706" s="635"/>
      <c r="K706" s="635"/>
      <c r="L706" s="635"/>
      <c r="M706" s="635"/>
      <c r="N706" s="635"/>
      <c r="O706" s="635"/>
      <c r="P706" s="635"/>
      <c r="Q706" s="634"/>
      <c r="R706" s="634"/>
      <c r="S706" s="635"/>
      <c r="T706" s="635"/>
      <c r="U706" s="634"/>
      <c r="V706" s="634"/>
      <c r="W706" s="634"/>
      <c r="X706" s="634"/>
      <c r="Y706" s="634"/>
      <c r="Z706" s="634"/>
    </row>
    <row r="707" ht="15.75" customHeight="1">
      <c r="A707" s="634"/>
      <c r="B707" s="634"/>
      <c r="C707" s="634"/>
      <c r="D707" s="634"/>
      <c r="E707" s="635"/>
      <c r="F707" s="634"/>
      <c r="G707" s="636"/>
      <c r="H707" s="635"/>
      <c r="I707" s="635"/>
      <c r="J707" s="635"/>
      <c r="K707" s="635"/>
      <c r="L707" s="635"/>
      <c r="M707" s="635"/>
      <c r="N707" s="635"/>
      <c r="O707" s="635"/>
      <c r="P707" s="635"/>
      <c r="Q707" s="634"/>
      <c r="R707" s="634"/>
      <c r="S707" s="635"/>
      <c r="T707" s="635"/>
      <c r="U707" s="634"/>
      <c r="V707" s="634"/>
      <c r="W707" s="634"/>
      <c r="X707" s="634"/>
      <c r="Y707" s="634"/>
      <c r="Z707" s="634"/>
    </row>
    <row r="708" ht="15.75" customHeight="1">
      <c r="A708" s="634"/>
      <c r="B708" s="634"/>
      <c r="C708" s="634"/>
      <c r="D708" s="634"/>
      <c r="E708" s="635"/>
      <c r="F708" s="634"/>
      <c r="G708" s="636"/>
      <c r="H708" s="635"/>
      <c r="I708" s="635"/>
      <c r="J708" s="635"/>
      <c r="K708" s="635"/>
      <c r="L708" s="635"/>
      <c r="M708" s="635"/>
      <c r="N708" s="635"/>
      <c r="O708" s="635"/>
      <c r="P708" s="635"/>
      <c r="Q708" s="634"/>
      <c r="R708" s="634"/>
      <c r="S708" s="635"/>
      <c r="T708" s="635"/>
      <c r="U708" s="634"/>
      <c r="V708" s="634"/>
      <c r="W708" s="634"/>
      <c r="X708" s="634"/>
      <c r="Y708" s="634"/>
      <c r="Z708" s="634"/>
    </row>
    <row r="709" ht="15.75" customHeight="1">
      <c r="A709" s="634"/>
      <c r="B709" s="634"/>
      <c r="C709" s="634"/>
      <c r="D709" s="634"/>
      <c r="E709" s="635"/>
      <c r="F709" s="634"/>
      <c r="G709" s="636"/>
      <c r="H709" s="635"/>
      <c r="I709" s="635"/>
      <c r="J709" s="635"/>
      <c r="K709" s="635"/>
      <c r="L709" s="635"/>
      <c r="M709" s="635"/>
      <c r="N709" s="635"/>
      <c r="O709" s="635"/>
      <c r="P709" s="635"/>
      <c r="Q709" s="634"/>
      <c r="R709" s="634"/>
      <c r="S709" s="635"/>
      <c r="T709" s="635"/>
      <c r="U709" s="634"/>
      <c r="V709" s="634"/>
      <c r="W709" s="634"/>
      <c r="X709" s="634"/>
      <c r="Y709" s="634"/>
      <c r="Z709" s="634"/>
    </row>
    <row r="710" ht="15.75" customHeight="1">
      <c r="A710" s="634"/>
      <c r="B710" s="634"/>
      <c r="C710" s="634"/>
      <c r="D710" s="634"/>
      <c r="E710" s="635"/>
      <c r="F710" s="634"/>
      <c r="G710" s="636"/>
      <c r="H710" s="635"/>
      <c r="I710" s="635"/>
      <c r="J710" s="635"/>
      <c r="K710" s="635"/>
      <c r="L710" s="635"/>
      <c r="M710" s="635"/>
      <c r="N710" s="635"/>
      <c r="O710" s="635"/>
      <c r="P710" s="635"/>
      <c r="Q710" s="634"/>
      <c r="R710" s="634"/>
      <c r="S710" s="635"/>
      <c r="T710" s="635"/>
      <c r="U710" s="634"/>
      <c r="V710" s="634"/>
      <c r="W710" s="634"/>
      <c r="X710" s="634"/>
      <c r="Y710" s="634"/>
      <c r="Z710" s="634"/>
    </row>
    <row r="711" ht="15.75" customHeight="1">
      <c r="A711" s="634"/>
      <c r="B711" s="634"/>
      <c r="C711" s="634"/>
      <c r="D711" s="634"/>
      <c r="E711" s="635"/>
      <c r="F711" s="634"/>
      <c r="G711" s="636"/>
      <c r="H711" s="635"/>
      <c r="I711" s="635"/>
      <c r="J711" s="635"/>
      <c r="K711" s="635"/>
      <c r="L711" s="635"/>
      <c r="M711" s="635"/>
      <c r="N711" s="635"/>
      <c r="O711" s="635"/>
      <c r="P711" s="635"/>
      <c r="Q711" s="634"/>
      <c r="R711" s="634"/>
      <c r="S711" s="635"/>
      <c r="T711" s="635"/>
      <c r="U711" s="634"/>
      <c r="V711" s="634"/>
      <c r="W711" s="634"/>
      <c r="X711" s="634"/>
      <c r="Y711" s="634"/>
      <c r="Z711" s="634"/>
    </row>
    <row r="712" ht="15.75" customHeight="1">
      <c r="A712" s="634"/>
      <c r="B712" s="634"/>
      <c r="C712" s="634"/>
      <c r="D712" s="634"/>
      <c r="E712" s="635"/>
      <c r="F712" s="634"/>
      <c r="G712" s="636"/>
      <c r="H712" s="635"/>
      <c r="I712" s="635"/>
      <c r="J712" s="635"/>
      <c r="K712" s="635"/>
      <c r="L712" s="635"/>
      <c r="M712" s="635"/>
      <c r="N712" s="635"/>
      <c r="O712" s="635"/>
      <c r="P712" s="635"/>
      <c r="Q712" s="634"/>
      <c r="R712" s="634"/>
      <c r="S712" s="635"/>
      <c r="T712" s="635"/>
      <c r="U712" s="634"/>
      <c r="V712" s="634"/>
      <c r="W712" s="634"/>
      <c r="X712" s="634"/>
      <c r="Y712" s="634"/>
      <c r="Z712" s="634"/>
    </row>
    <row r="713" ht="15.75" customHeight="1">
      <c r="A713" s="634"/>
      <c r="B713" s="634"/>
      <c r="C713" s="634"/>
      <c r="D713" s="634"/>
      <c r="E713" s="635"/>
      <c r="F713" s="634"/>
      <c r="G713" s="636"/>
      <c r="H713" s="635"/>
      <c r="I713" s="635"/>
      <c r="J713" s="635"/>
      <c r="K713" s="635"/>
      <c r="L713" s="635"/>
      <c r="M713" s="635"/>
      <c r="N713" s="635"/>
      <c r="O713" s="635"/>
      <c r="P713" s="635"/>
      <c r="Q713" s="634"/>
      <c r="R713" s="634"/>
      <c r="S713" s="635"/>
      <c r="T713" s="635"/>
      <c r="U713" s="634"/>
      <c r="V713" s="634"/>
      <c r="W713" s="634"/>
      <c r="X713" s="634"/>
      <c r="Y713" s="634"/>
      <c r="Z713" s="634"/>
    </row>
    <row r="714" ht="15.75" customHeight="1">
      <c r="A714" s="634"/>
      <c r="B714" s="634"/>
      <c r="C714" s="634"/>
      <c r="D714" s="634"/>
      <c r="E714" s="635"/>
      <c r="F714" s="634"/>
      <c r="G714" s="636"/>
      <c r="H714" s="635"/>
      <c r="I714" s="635"/>
      <c r="J714" s="635"/>
      <c r="K714" s="635"/>
      <c r="L714" s="635"/>
      <c r="M714" s="635"/>
      <c r="N714" s="635"/>
      <c r="O714" s="635"/>
      <c r="P714" s="635"/>
      <c r="Q714" s="634"/>
      <c r="R714" s="634"/>
      <c r="S714" s="635"/>
      <c r="T714" s="635"/>
      <c r="U714" s="634"/>
      <c r="V714" s="634"/>
      <c r="W714" s="634"/>
      <c r="X714" s="634"/>
      <c r="Y714" s="634"/>
      <c r="Z714" s="634"/>
    </row>
    <row r="715" ht="15.75" customHeight="1">
      <c r="A715" s="634"/>
      <c r="B715" s="634"/>
      <c r="C715" s="634"/>
      <c r="D715" s="634"/>
      <c r="E715" s="635"/>
      <c r="F715" s="634"/>
      <c r="G715" s="636"/>
      <c r="H715" s="635"/>
      <c r="I715" s="635"/>
      <c r="J715" s="635"/>
      <c r="K715" s="635"/>
      <c r="L715" s="635"/>
      <c r="M715" s="635"/>
      <c r="N715" s="635"/>
      <c r="O715" s="635"/>
      <c r="P715" s="635"/>
      <c r="Q715" s="634"/>
      <c r="R715" s="634"/>
      <c r="S715" s="635"/>
      <c r="T715" s="635"/>
      <c r="U715" s="634"/>
      <c r="V715" s="634"/>
      <c r="W715" s="634"/>
      <c r="X715" s="634"/>
      <c r="Y715" s="634"/>
      <c r="Z715" s="634"/>
    </row>
    <row r="716" ht="15.75" customHeight="1">
      <c r="A716" s="634"/>
      <c r="B716" s="634"/>
      <c r="C716" s="634"/>
      <c r="D716" s="634"/>
      <c r="E716" s="635"/>
      <c r="F716" s="634"/>
      <c r="G716" s="636"/>
      <c r="H716" s="635"/>
      <c r="I716" s="635"/>
      <c r="J716" s="635"/>
      <c r="K716" s="635"/>
      <c r="L716" s="635"/>
      <c r="M716" s="635"/>
      <c r="N716" s="635"/>
      <c r="O716" s="635"/>
      <c r="P716" s="635"/>
      <c r="Q716" s="634"/>
      <c r="R716" s="634"/>
      <c r="S716" s="635"/>
      <c r="T716" s="635"/>
      <c r="U716" s="634"/>
      <c r="V716" s="634"/>
      <c r="W716" s="634"/>
      <c r="X716" s="634"/>
      <c r="Y716" s="634"/>
      <c r="Z716" s="634"/>
    </row>
    <row r="717" ht="15.75" customHeight="1">
      <c r="A717" s="634"/>
      <c r="B717" s="634"/>
      <c r="C717" s="634"/>
      <c r="D717" s="634"/>
      <c r="E717" s="635"/>
      <c r="F717" s="634"/>
      <c r="G717" s="636"/>
      <c r="H717" s="635"/>
      <c r="I717" s="635"/>
      <c r="J717" s="635"/>
      <c r="K717" s="635"/>
      <c r="L717" s="635"/>
      <c r="M717" s="635"/>
      <c r="N717" s="635"/>
      <c r="O717" s="635"/>
      <c r="P717" s="635"/>
      <c r="Q717" s="634"/>
      <c r="R717" s="634"/>
      <c r="S717" s="635"/>
      <c r="T717" s="635"/>
      <c r="U717" s="634"/>
      <c r="V717" s="634"/>
      <c r="W717" s="634"/>
      <c r="X717" s="634"/>
      <c r="Y717" s="634"/>
      <c r="Z717" s="634"/>
    </row>
    <row r="718" ht="15.75" customHeight="1">
      <c r="A718" s="634"/>
      <c r="B718" s="634"/>
      <c r="C718" s="634"/>
      <c r="D718" s="634"/>
      <c r="E718" s="635"/>
      <c r="F718" s="634"/>
      <c r="G718" s="636"/>
      <c r="H718" s="635"/>
      <c r="I718" s="635"/>
      <c r="J718" s="635"/>
      <c r="K718" s="635"/>
      <c r="L718" s="635"/>
      <c r="M718" s="635"/>
      <c r="N718" s="635"/>
      <c r="O718" s="635"/>
      <c r="P718" s="635"/>
      <c r="Q718" s="634"/>
      <c r="R718" s="634"/>
      <c r="S718" s="635"/>
      <c r="T718" s="635"/>
      <c r="U718" s="634"/>
      <c r="V718" s="634"/>
      <c r="W718" s="634"/>
      <c r="X718" s="634"/>
      <c r="Y718" s="634"/>
      <c r="Z718" s="634"/>
    </row>
    <row r="719" ht="15.75" customHeight="1">
      <c r="A719" s="634"/>
      <c r="B719" s="634"/>
      <c r="C719" s="634"/>
      <c r="D719" s="634"/>
      <c r="E719" s="635"/>
      <c r="F719" s="634"/>
      <c r="G719" s="636"/>
      <c r="H719" s="635"/>
      <c r="I719" s="635"/>
      <c r="J719" s="635"/>
      <c r="K719" s="635"/>
      <c r="L719" s="635"/>
      <c r="M719" s="635"/>
      <c r="N719" s="635"/>
      <c r="O719" s="635"/>
      <c r="P719" s="635"/>
      <c r="Q719" s="634"/>
      <c r="R719" s="634"/>
      <c r="S719" s="635"/>
      <c r="T719" s="635"/>
      <c r="U719" s="634"/>
      <c r="V719" s="634"/>
      <c r="W719" s="634"/>
      <c r="X719" s="634"/>
      <c r="Y719" s="634"/>
      <c r="Z719" s="634"/>
    </row>
    <row r="720" ht="15.75" customHeight="1">
      <c r="A720" s="634"/>
      <c r="B720" s="634"/>
      <c r="C720" s="634"/>
      <c r="D720" s="634"/>
      <c r="E720" s="635"/>
      <c r="F720" s="634"/>
      <c r="G720" s="636"/>
      <c r="H720" s="635"/>
      <c r="I720" s="635"/>
      <c r="J720" s="635"/>
      <c r="K720" s="635"/>
      <c r="L720" s="635"/>
      <c r="M720" s="635"/>
      <c r="N720" s="635"/>
      <c r="O720" s="635"/>
      <c r="P720" s="635"/>
      <c r="Q720" s="634"/>
      <c r="R720" s="634"/>
      <c r="S720" s="635"/>
      <c r="T720" s="635"/>
      <c r="U720" s="634"/>
      <c r="V720" s="634"/>
      <c r="W720" s="634"/>
      <c r="X720" s="634"/>
      <c r="Y720" s="634"/>
      <c r="Z720" s="634"/>
    </row>
    <row r="721" ht="15.75" customHeight="1">
      <c r="A721" s="634"/>
      <c r="B721" s="634"/>
      <c r="C721" s="634"/>
      <c r="D721" s="634"/>
      <c r="E721" s="635"/>
      <c r="F721" s="634"/>
      <c r="G721" s="636"/>
      <c r="H721" s="635"/>
      <c r="I721" s="635"/>
      <c r="J721" s="635"/>
      <c r="K721" s="635"/>
      <c r="L721" s="635"/>
      <c r="M721" s="635"/>
      <c r="N721" s="635"/>
      <c r="O721" s="635"/>
      <c r="P721" s="635"/>
      <c r="Q721" s="634"/>
      <c r="R721" s="634"/>
      <c r="S721" s="635"/>
      <c r="T721" s="635"/>
      <c r="U721" s="634"/>
      <c r="V721" s="634"/>
      <c r="W721" s="634"/>
      <c r="X721" s="634"/>
      <c r="Y721" s="634"/>
      <c r="Z721" s="634"/>
    </row>
    <row r="722" ht="15.75" customHeight="1">
      <c r="A722" s="634"/>
      <c r="B722" s="634"/>
      <c r="C722" s="634"/>
      <c r="D722" s="634"/>
      <c r="E722" s="635"/>
      <c r="F722" s="634"/>
      <c r="G722" s="636"/>
      <c r="H722" s="635"/>
      <c r="I722" s="635"/>
      <c r="J722" s="635"/>
      <c r="K722" s="635"/>
      <c r="L722" s="635"/>
      <c r="M722" s="635"/>
      <c r="N722" s="635"/>
      <c r="O722" s="635"/>
      <c r="P722" s="635"/>
      <c r="Q722" s="634"/>
      <c r="R722" s="634"/>
      <c r="S722" s="635"/>
      <c r="T722" s="635"/>
      <c r="U722" s="634"/>
      <c r="V722" s="634"/>
      <c r="W722" s="634"/>
      <c r="X722" s="634"/>
      <c r="Y722" s="634"/>
      <c r="Z722" s="634"/>
    </row>
    <row r="723" ht="15.75" customHeight="1">
      <c r="A723" s="634"/>
      <c r="B723" s="634"/>
      <c r="C723" s="634"/>
      <c r="D723" s="634"/>
      <c r="E723" s="635"/>
      <c r="F723" s="634"/>
      <c r="G723" s="636"/>
      <c r="H723" s="635"/>
      <c r="I723" s="635"/>
      <c r="J723" s="635"/>
      <c r="K723" s="635"/>
      <c r="L723" s="635"/>
      <c r="M723" s="635"/>
      <c r="N723" s="635"/>
      <c r="O723" s="635"/>
      <c r="P723" s="635"/>
      <c r="Q723" s="634"/>
      <c r="R723" s="634"/>
      <c r="S723" s="635"/>
      <c r="T723" s="635"/>
      <c r="U723" s="634"/>
      <c r="V723" s="634"/>
      <c r="W723" s="634"/>
      <c r="X723" s="634"/>
      <c r="Y723" s="634"/>
      <c r="Z723" s="634"/>
    </row>
    <row r="724" ht="15.75" customHeight="1">
      <c r="A724" s="634"/>
      <c r="B724" s="634"/>
      <c r="C724" s="634"/>
      <c r="D724" s="634"/>
      <c r="E724" s="635"/>
      <c r="F724" s="634"/>
      <c r="G724" s="636"/>
      <c r="H724" s="635"/>
      <c r="I724" s="635"/>
      <c r="J724" s="635"/>
      <c r="K724" s="635"/>
      <c r="L724" s="635"/>
      <c r="M724" s="635"/>
      <c r="N724" s="635"/>
      <c r="O724" s="635"/>
      <c r="P724" s="635"/>
      <c r="Q724" s="634"/>
      <c r="R724" s="634"/>
      <c r="S724" s="635"/>
      <c r="T724" s="635"/>
      <c r="U724" s="634"/>
      <c r="V724" s="634"/>
      <c r="W724" s="634"/>
      <c r="X724" s="634"/>
      <c r="Y724" s="634"/>
      <c r="Z724" s="634"/>
    </row>
    <row r="725" ht="15.75" customHeight="1">
      <c r="A725" s="634"/>
      <c r="B725" s="634"/>
      <c r="C725" s="634"/>
      <c r="D725" s="634"/>
      <c r="E725" s="635"/>
      <c r="F725" s="634"/>
      <c r="G725" s="636"/>
      <c r="H725" s="635"/>
      <c r="I725" s="635"/>
      <c r="J725" s="635"/>
      <c r="K725" s="635"/>
      <c r="L725" s="635"/>
      <c r="M725" s="635"/>
      <c r="N725" s="635"/>
      <c r="O725" s="635"/>
      <c r="P725" s="635"/>
      <c r="Q725" s="634"/>
      <c r="R725" s="634"/>
      <c r="S725" s="635"/>
      <c r="T725" s="635"/>
      <c r="U725" s="634"/>
      <c r="V725" s="634"/>
      <c r="W725" s="634"/>
      <c r="X725" s="634"/>
      <c r="Y725" s="634"/>
      <c r="Z725" s="634"/>
    </row>
    <row r="726" ht="15.75" customHeight="1">
      <c r="A726" s="634"/>
      <c r="B726" s="634"/>
      <c r="C726" s="634"/>
      <c r="D726" s="634"/>
      <c r="E726" s="635"/>
      <c r="F726" s="634"/>
      <c r="G726" s="636"/>
      <c r="H726" s="635"/>
      <c r="I726" s="635"/>
      <c r="J726" s="635"/>
      <c r="K726" s="635"/>
      <c r="L726" s="635"/>
      <c r="M726" s="635"/>
      <c r="N726" s="635"/>
      <c r="O726" s="635"/>
      <c r="P726" s="635"/>
      <c r="Q726" s="634"/>
      <c r="R726" s="634"/>
      <c r="S726" s="635"/>
      <c r="T726" s="635"/>
      <c r="U726" s="634"/>
      <c r="V726" s="634"/>
      <c r="W726" s="634"/>
      <c r="X726" s="634"/>
      <c r="Y726" s="634"/>
      <c r="Z726" s="634"/>
    </row>
    <row r="727" ht="15.75" customHeight="1">
      <c r="A727" s="634"/>
      <c r="B727" s="634"/>
      <c r="C727" s="634"/>
      <c r="D727" s="634"/>
      <c r="E727" s="635"/>
      <c r="F727" s="634"/>
      <c r="G727" s="636"/>
      <c r="H727" s="635"/>
      <c r="I727" s="635"/>
      <c r="J727" s="635"/>
      <c r="K727" s="635"/>
      <c r="L727" s="635"/>
      <c r="M727" s="635"/>
      <c r="N727" s="635"/>
      <c r="O727" s="635"/>
      <c r="P727" s="635"/>
      <c r="Q727" s="634"/>
      <c r="R727" s="634"/>
      <c r="S727" s="635"/>
      <c r="T727" s="635"/>
      <c r="U727" s="634"/>
      <c r="V727" s="634"/>
      <c r="W727" s="634"/>
      <c r="X727" s="634"/>
      <c r="Y727" s="634"/>
      <c r="Z727" s="634"/>
    </row>
    <row r="728" ht="15.75" customHeight="1">
      <c r="A728" s="634"/>
      <c r="B728" s="634"/>
      <c r="C728" s="634"/>
      <c r="D728" s="634"/>
      <c r="E728" s="635"/>
      <c r="F728" s="634"/>
      <c r="G728" s="636"/>
      <c r="H728" s="635"/>
      <c r="I728" s="635"/>
      <c r="J728" s="635"/>
      <c r="K728" s="635"/>
      <c r="L728" s="635"/>
      <c r="M728" s="635"/>
      <c r="N728" s="635"/>
      <c r="O728" s="635"/>
      <c r="P728" s="635"/>
      <c r="Q728" s="634"/>
      <c r="R728" s="634"/>
      <c r="S728" s="635"/>
      <c r="T728" s="635"/>
      <c r="U728" s="634"/>
      <c r="V728" s="634"/>
      <c r="W728" s="634"/>
      <c r="X728" s="634"/>
      <c r="Y728" s="634"/>
      <c r="Z728" s="634"/>
    </row>
    <row r="729" ht="15.75" customHeight="1">
      <c r="A729" s="634"/>
      <c r="B729" s="634"/>
      <c r="C729" s="634"/>
      <c r="D729" s="634"/>
      <c r="E729" s="635"/>
      <c r="F729" s="634"/>
      <c r="G729" s="636"/>
      <c r="H729" s="635"/>
      <c r="I729" s="635"/>
      <c r="J729" s="635"/>
      <c r="K729" s="635"/>
      <c r="L729" s="635"/>
      <c r="M729" s="635"/>
      <c r="N729" s="635"/>
      <c r="O729" s="635"/>
      <c r="P729" s="635"/>
      <c r="Q729" s="634"/>
      <c r="R729" s="634"/>
      <c r="S729" s="635"/>
      <c r="T729" s="635"/>
      <c r="U729" s="634"/>
      <c r="V729" s="634"/>
      <c r="W729" s="634"/>
      <c r="X729" s="634"/>
      <c r="Y729" s="634"/>
      <c r="Z729" s="634"/>
    </row>
    <row r="730" ht="15.75" customHeight="1">
      <c r="A730" s="634"/>
      <c r="B730" s="634"/>
      <c r="C730" s="634"/>
      <c r="D730" s="634"/>
      <c r="E730" s="635"/>
      <c r="F730" s="634"/>
      <c r="G730" s="636"/>
      <c r="H730" s="635"/>
      <c r="I730" s="635"/>
      <c r="J730" s="635"/>
      <c r="K730" s="635"/>
      <c r="L730" s="635"/>
      <c r="M730" s="635"/>
      <c r="N730" s="635"/>
      <c r="O730" s="635"/>
      <c r="P730" s="635"/>
      <c r="Q730" s="634"/>
      <c r="R730" s="634"/>
      <c r="S730" s="635"/>
      <c r="T730" s="635"/>
      <c r="U730" s="634"/>
      <c r="V730" s="634"/>
      <c r="W730" s="634"/>
      <c r="X730" s="634"/>
      <c r="Y730" s="634"/>
      <c r="Z730" s="634"/>
    </row>
    <row r="731" ht="15.75" customHeight="1">
      <c r="A731" s="634"/>
      <c r="B731" s="634"/>
      <c r="C731" s="634"/>
      <c r="D731" s="634"/>
      <c r="E731" s="635"/>
      <c r="F731" s="634"/>
      <c r="G731" s="636"/>
      <c r="H731" s="635"/>
      <c r="I731" s="635"/>
      <c r="J731" s="635"/>
      <c r="K731" s="635"/>
      <c r="L731" s="635"/>
      <c r="M731" s="635"/>
      <c r="N731" s="635"/>
      <c r="O731" s="635"/>
      <c r="P731" s="635"/>
      <c r="Q731" s="634"/>
      <c r="R731" s="634"/>
      <c r="S731" s="635"/>
      <c r="T731" s="635"/>
      <c r="U731" s="634"/>
      <c r="V731" s="634"/>
      <c r="W731" s="634"/>
      <c r="X731" s="634"/>
      <c r="Y731" s="634"/>
      <c r="Z731" s="634"/>
    </row>
    <row r="732" ht="15.75" customHeight="1">
      <c r="A732" s="634"/>
      <c r="B732" s="634"/>
      <c r="C732" s="634"/>
      <c r="D732" s="634"/>
      <c r="E732" s="635"/>
      <c r="F732" s="634"/>
      <c r="G732" s="636"/>
      <c r="H732" s="635"/>
      <c r="I732" s="635"/>
      <c r="J732" s="635"/>
      <c r="K732" s="635"/>
      <c r="L732" s="635"/>
      <c r="M732" s="635"/>
      <c r="N732" s="635"/>
      <c r="O732" s="635"/>
      <c r="P732" s="635"/>
      <c r="Q732" s="634"/>
      <c r="R732" s="634"/>
      <c r="S732" s="635"/>
      <c r="T732" s="635"/>
      <c r="U732" s="634"/>
      <c r="V732" s="634"/>
      <c r="W732" s="634"/>
      <c r="X732" s="634"/>
      <c r="Y732" s="634"/>
      <c r="Z732" s="634"/>
    </row>
    <row r="733" ht="15.75" customHeight="1">
      <c r="A733" s="634"/>
      <c r="B733" s="634"/>
      <c r="C733" s="634"/>
      <c r="D733" s="634"/>
      <c r="E733" s="635"/>
      <c r="F733" s="634"/>
      <c r="G733" s="636"/>
      <c r="H733" s="635"/>
      <c r="I733" s="635"/>
      <c r="J733" s="635"/>
      <c r="K733" s="635"/>
      <c r="L733" s="635"/>
      <c r="M733" s="635"/>
      <c r="N733" s="635"/>
      <c r="O733" s="635"/>
      <c r="P733" s="635"/>
      <c r="Q733" s="634"/>
      <c r="R733" s="634"/>
      <c r="S733" s="635"/>
      <c r="T733" s="635"/>
      <c r="U733" s="634"/>
      <c r="V733" s="634"/>
      <c r="W733" s="634"/>
      <c r="X733" s="634"/>
      <c r="Y733" s="634"/>
      <c r="Z733" s="634"/>
    </row>
    <row r="734" ht="15.75" customHeight="1">
      <c r="A734" s="634"/>
      <c r="B734" s="634"/>
      <c r="C734" s="634"/>
      <c r="D734" s="634"/>
      <c r="E734" s="635"/>
      <c r="F734" s="634"/>
      <c r="G734" s="636"/>
      <c r="H734" s="635"/>
      <c r="I734" s="635"/>
      <c r="J734" s="635"/>
      <c r="K734" s="635"/>
      <c r="L734" s="635"/>
      <c r="M734" s="635"/>
      <c r="N734" s="635"/>
      <c r="O734" s="635"/>
      <c r="P734" s="635"/>
      <c r="Q734" s="634"/>
      <c r="R734" s="634"/>
      <c r="S734" s="635"/>
      <c r="T734" s="635"/>
      <c r="U734" s="634"/>
      <c r="V734" s="634"/>
      <c r="W734" s="634"/>
      <c r="X734" s="634"/>
      <c r="Y734" s="634"/>
      <c r="Z734" s="634"/>
    </row>
    <row r="735" ht="15.75" customHeight="1">
      <c r="A735" s="634"/>
      <c r="B735" s="634"/>
      <c r="C735" s="634"/>
      <c r="D735" s="634"/>
      <c r="E735" s="635"/>
      <c r="F735" s="634"/>
      <c r="G735" s="636"/>
      <c r="H735" s="635"/>
      <c r="I735" s="635"/>
      <c r="J735" s="635"/>
      <c r="K735" s="635"/>
      <c r="L735" s="635"/>
      <c r="M735" s="635"/>
      <c r="N735" s="635"/>
      <c r="O735" s="635"/>
      <c r="P735" s="635"/>
      <c r="Q735" s="634"/>
      <c r="R735" s="634"/>
      <c r="S735" s="635"/>
      <c r="T735" s="635"/>
      <c r="U735" s="634"/>
      <c r="V735" s="634"/>
      <c r="W735" s="634"/>
      <c r="X735" s="634"/>
      <c r="Y735" s="634"/>
      <c r="Z735" s="634"/>
    </row>
    <row r="736" ht="15.75" customHeight="1">
      <c r="A736" s="634"/>
      <c r="B736" s="634"/>
      <c r="C736" s="634"/>
      <c r="D736" s="634"/>
      <c r="E736" s="635"/>
      <c r="F736" s="634"/>
      <c r="G736" s="636"/>
      <c r="H736" s="635"/>
      <c r="I736" s="635"/>
      <c r="J736" s="635"/>
      <c r="K736" s="635"/>
      <c r="L736" s="635"/>
      <c r="M736" s="635"/>
      <c r="N736" s="635"/>
      <c r="O736" s="635"/>
      <c r="P736" s="635"/>
      <c r="Q736" s="634"/>
      <c r="R736" s="634"/>
      <c r="S736" s="635"/>
      <c r="T736" s="635"/>
      <c r="U736" s="634"/>
      <c r="V736" s="634"/>
      <c r="W736" s="634"/>
      <c r="X736" s="634"/>
      <c r="Y736" s="634"/>
      <c r="Z736" s="634"/>
    </row>
    <row r="737" ht="15.75" customHeight="1">
      <c r="A737" s="634"/>
      <c r="B737" s="634"/>
      <c r="C737" s="634"/>
      <c r="D737" s="634"/>
      <c r="E737" s="635"/>
      <c r="F737" s="634"/>
      <c r="G737" s="636"/>
      <c r="H737" s="635"/>
      <c r="I737" s="635"/>
      <c r="J737" s="635"/>
      <c r="K737" s="635"/>
      <c r="L737" s="635"/>
      <c r="M737" s="635"/>
      <c r="N737" s="635"/>
      <c r="O737" s="635"/>
      <c r="P737" s="635"/>
      <c r="Q737" s="634"/>
      <c r="R737" s="634"/>
      <c r="S737" s="635"/>
      <c r="T737" s="635"/>
      <c r="U737" s="634"/>
      <c r="V737" s="634"/>
      <c r="W737" s="634"/>
      <c r="X737" s="634"/>
      <c r="Y737" s="634"/>
      <c r="Z737" s="634"/>
    </row>
    <row r="738" ht="15.75" customHeight="1">
      <c r="A738" s="634"/>
      <c r="B738" s="634"/>
      <c r="C738" s="634"/>
      <c r="D738" s="634"/>
      <c r="E738" s="635"/>
      <c r="F738" s="634"/>
      <c r="G738" s="636"/>
      <c r="H738" s="635"/>
      <c r="I738" s="635"/>
      <c r="J738" s="635"/>
      <c r="K738" s="635"/>
      <c r="L738" s="635"/>
      <c r="M738" s="635"/>
      <c r="N738" s="635"/>
      <c r="O738" s="635"/>
      <c r="P738" s="635"/>
      <c r="Q738" s="634"/>
      <c r="R738" s="634"/>
      <c r="S738" s="635"/>
      <c r="T738" s="635"/>
      <c r="U738" s="634"/>
      <c r="V738" s="634"/>
      <c r="W738" s="634"/>
      <c r="X738" s="634"/>
      <c r="Y738" s="634"/>
      <c r="Z738" s="634"/>
    </row>
    <row r="739" ht="15.75" customHeight="1">
      <c r="A739" s="634"/>
      <c r="B739" s="634"/>
      <c r="C739" s="634"/>
      <c r="D739" s="634"/>
      <c r="E739" s="635"/>
      <c r="F739" s="634"/>
      <c r="G739" s="636"/>
      <c r="H739" s="635"/>
      <c r="I739" s="635"/>
      <c r="J739" s="635"/>
      <c r="K739" s="635"/>
      <c r="L739" s="635"/>
      <c r="M739" s="635"/>
      <c r="N739" s="635"/>
      <c r="O739" s="635"/>
      <c r="P739" s="635"/>
      <c r="Q739" s="634"/>
      <c r="R739" s="634"/>
      <c r="S739" s="635"/>
      <c r="T739" s="635"/>
      <c r="U739" s="634"/>
      <c r="V739" s="634"/>
      <c r="W739" s="634"/>
      <c r="X739" s="634"/>
      <c r="Y739" s="634"/>
      <c r="Z739" s="634"/>
    </row>
    <row r="740" ht="15.75" customHeight="1">
      <c r="A740" s="634"/>
      <c r="B740" s="634"/>
      <c r="C740" s="634"/>
      <c r="D740" s="634"/>
      <c r="E740" s="635"/>
      <c r="F740" s="634"/>
      <c r="G740" s="636"/>
      <c r="H740" s="635"/>
      <c r="I740" s="635"/>
      <c r="J740" s="635"/>
      <c r="K740" s="635"/>
      <c r="L740" s="635"/>
      <c r="M740" s="635"/>
      <c r="N740" s="635"/>
      <c r="O740" s="635"/>
      <c r="P740" s="635"/>
      <c r="Q740" s="634"/>
      <c r="R740" s="634"/>
      <c r="S740" s="635"/>
      <c r="T740" s="635"/>
      <c r="U740" s="634"/>
      <c r="V740" s="634"/>
      <c r="W740" s="634"/>
      <c r="X740" s="634"/>
      <c r="Y740" s="634"/>
      <c r="Z740" s="634"/>
    </row>
    <row r="741" ht="15.75" customHeight="1">
      <c r="A741" s="634"/>
      <c r="B741" s="634"/>
      <c r="C741" s="634"/>
      <c r="D741" s="634"/>
      <c r="E741" s="635"/>
      <c r="F741" s="634"/>
      <c r="G741" s="636"/>
      <c r="H741" s="635"/>
      <c r="I741" s="635"/>
      <c r="J741" s="635"/>
      <c r="K741" s="635"/>
      <c r="L741" s="635"/>
      <c r="M741" s="635"/>
      <c r="N741" s="635"/>
      <c r="O741" s="635"/>
      <c r="P741" s="635"/>
      <c r="Q741" s="634"/>
      <c r="R741" s="634"/>
      <c r="S741" s="635"/>
      <c r="T741" s="635"/>
      <c r="U741" s="634"/>
      <c r="V741" s="634"/>
      <c r="W741" s="634"/>
      <c r="X741" s="634"/>
      <c r="Y741" s="634"/>
      <c r="Z741" s="634"/>
    </row>
    <row r="742" ht="15.75" customHeight="1">
      <c r="A742" s="634"/>
      <c r="B742" s="634"/>
      <c r="C742" s="634"/>
      <c r="D742" s="634"/>
      <c r="E742" s="635"/>
      <c r="F742" s="634"/>
      <c r="G742" s="636"/>
      <c r="H742" s="635"/>
      <c r="I742" s="635"/>
      <c r="J742" s="635"/>
      <c r="K742" s="635"/>
      <c r="L742" s="635"/>
      <c r="M742" s="635"/>
      <c r="N742" s="635"/>
      <c r="O742" s="635"/>
      <c r="P742" s="635"/>
      <c r="Q742" s="634"/>
      <c r="R742" s="634"/>
      <c r="S742" s="635"/>
      <c r="T742" s="635"/>
      <c r="U742" s="634"/>
      <c r="V742" s="634"/>
      <c r="W742" s="634"/>
      <c r="X742" s="634"/>
      <c r="Y742" s="634"/>
      <c r="Z742" s="634"/>
    </row>
    <row r="743" ht="15.75" customHeight="1">
      <c r="A743" s="634"/>
      <c r="B743" s="634"/>
      <c r="C743" s="634"/>
      <c r="D743" s="634"/>
      <c r="E743" s="635"/>
      <c r="F743" s="634"/>
      <c r="G743" s="636"/>
      <c r="H743" s="635"/>
      <c r="I743" s="635"/>
      <c r="J743" s="635"/>
      <c r="K743" s="635"/>
      <c r="L743" s="635"/>
      <c r="M743" s="635"/>
      <c r="N743" s="635"/>
      <c r="O743" s="635"/>
      <c r="P743" s="635"/>
      <c r="Q743" s="634"/>
      <c r="R743" s="634"/>
      <c r="S743" s="635"/>
      <c r="T743" s="635"/>
      <c r="U743" s="634"/>
      <c r="V743" s="634"/>
      <c r="W743" s="634"/>
      <c r="X743" s="634"/>
      <c r="Y743" s="634"/>
      <c r="Z743" s="634"/>
    </row>
    <row r="744" ht="15.75" customHeight="1">
      <c r="A744" s="634"/>
      <c r="B744" s="634"/>
      <c r="C744" s="634"/>
      <c r="D744" s="634"/>
      <c r="E744" s="635"/>
      <c r="F744" s="634"/>
      <c r="G744" s="636"/>
      <c r="H744" s="635"/>
      <c r="I744" s="635"/>
      <c r="J744" s="635"/>
      <c r="K744" s="635"/>
      <c r="L744" s="635"/>
      <c r="M744" s="635"/>
      <c r="N744" s="635"/>
      <c r="O744" s="635"/>
      <c r="P744" s="635"/>
      <c r="Q744" s="634"/>
      <c r="R744" s="634"/>
      <c r="S744" s="635"/>
      <c r="T744" s="635"/>
      <c r="U744" s="634"/>
      <c r="V744" s="634"/>
      <c r="W744" s="634"/>
      <c r="X744" s="634"/>
      <c r="Y744" s="634"/>
      <c r="Z744" s="634"/>
    </row>
    <row r="745" ht="15.75" customHeight="1">
      <c r="A745" s="634"/>
      <c r="B745" s="634"/>
      <c r="C745" s="634"/>
      <c r="D745" s="634"/>
      <c r="E745" s="635"/>
      <c r="F745" s="634"/>
      <c r="G745" s="636"/>
      <c r="H745" s="635"/>
      <c r="I745" s="635"/>
      <c r="J745" s="635"/>
      <c r="K745" s="635"/>
      <c r="L745" s="635"/>
      <c r="M745" s="635"/>
      <c r="N745" s="635"/>
      <c r="O745" s="635"/>
      <c r="P745" s="635"/>
      <c r="Q745" s="634"/>
      <c r="R745" s="634"/>
      <c r="S745" s="635"/>
      <c r="T745" s="635"/>
      <c r="U745" s="634"/>
      <c r="V745" s="634"/>
      <c r="W745" s="634"/>
      <c r="X745" s="634"/>
      <c r="Y745" s="634"/>
      <c r="Z745" s="634"/>
    </row>
    <row r="746" ht="15.75" customHeight="1">
      <c r="A746" s="634"/>
      <c r="B746" s="634"/>
      <c r="C746" s="634"/>
      <c r="D746" s="634"/>
      <c r="E746" s="635"/>
      <c r="F746" s="634"/>
      <c r="G746" s="636"/>
      <c r="H746" s="635"/>
      <c r="I746" s="635"/>
      <c r="J746" s="635"/>
      <c r="K746" s="635"/>
      <c r="L746" s="635"/>
      <c r="M746" s="635"/>
      <c r="N746" s="635"/>
      <c r="O746" s="635"/>
      <c r="P746" s="635"/>
      <c r="Q746" s="634"/>
      <c r="R746" s="634"/>
      <c r="S746" s="635"/>
      <c r="T746" s="635"/>
      <c r="U746" s="634"/>
      <c r="V746" s="634"/>
      <c r="W746" s="634"/>
      <c r="X746" s="634"/>
      <c r="Y746" s="634"/>
      <c r="Z746" s="634"/>
    </row>
    <row r="747" ht="15.75" customHeight="1">
      <c r="A747" s="634"/>
      <c r="B747" s="634"/>
      <c r="C747" s="634"/>
      <c r="D747" s="634"/>
      <c r="E747" s="635"/>
      <c r="F747" s="634"/>
      <c r="G747" s="636"/>
      <c r="H747" s="635"/>
      <c r="I747" s="635"/>
      <c r="J747" s="635"/>
      <c r="K747" s="635"/>
      <c r="L747" s="635"/>
      <c r="M747" s="635"/>
      <c r="N747" s="635"/>
      <c r="O747" s="635"/>
      <c r="P747" s="635"/>
      <c r="Q747" s="634"/>
      <c r="R747" s="634"/>
      <c r="S747" s="635"/>
      <c r="T747" s="635"/>
      <c r="U747" s="634"/>
      <c r="V747" s="634"/>
      <c r="W747" s="634"/>
      <c r="X747" s="634"/>
      <c r="Y747" s="634"/>
      <c r="Z747" s="634"/>
    </row>
    <row r="748" ht="15.75" customHeight="1">
      <c r="A748" s="634"/>
      <c r="B748" s="634"/>
      <c r="C748" s="634"/>
      <c r="D748" s="634"/>
      <c r="E748" s="635"/>
      <c r="F748" s="634"/>
      <c r="G748" s="636"/>
      <c r="H748" s="635"/>
      <c r="I748" s="635"/>
      <c r="J748" s="635"/>
      <c r="K748" s="635"/>
      <c r="L748" s="635"/>
      <c r="M748" s="635"/>
      <c r="N748" s="635"/>
      <c r="O748" s="635"/>
      <c r="P748" s="635"/>
      <c r="Q748" s="634"/>
      <c r="R748" s="634"/>
      <c r="S748" s="635"/>
      <c r="T748" s="635"/>
      <c r="U748" s="634"/>
      <c r="V748" s="634"/>
      <c r="W748" s="634"/>
      <c r="X748" s="634"/>
      <c r="Y748" s="634"/>
      <c r="Z748" s="634"/>
    </row>
    <row r="749" ht="15.75" customHeight="1">
      <c r="A749" s="634"/>
      <c r="B749" s="634"/>
      <c r="C749" s="634"/>
      <c r="D749" s="634"/>
      <c r="E749" s="635"/>
      <c r="F749" s="634"/>
      <c r="G749" s="636"/>
      <c r="H749" s="635"/>
      <c r="I749" s="635"/>
      <c r="J749" s="635"/>
      <c r="K749" s="635"/>
      <c r="L749" s="635"/>
      <c r="M749" s="635"/>
      <c r="N749" s="635"/>
      <c r="O749" s="635"/>
      <c r="P749" s="635"/>
      <c r="Q749" s="634"/>
      <c r="R749" s="634"/>
      <c r="S749" s="635"/>
      <c r="T749" s="635"/>
      <c r="U749" s="634"/>
      <c r="V749" s="634"/>
      <c r="W749" s="634"/>
      <c r="X749" s="634"/>
      <c r="Y749" s="634"/>
      <c r="Z749" s="634"/>
    </row>
    <row r="750" ht="15.75" customHeight="1">
      <c r="A750" s="634"/>
      <c r="B750" s="634"/>
      <c r="C750" s="634"/>
      <c r="D750" s="634"/>
      <c r="E750" s="635"/>
      <c r="F750" s="634"/>
      <c r="G750" s="636"/>
      <c r="H750" s="635"/>
      <c r="I750" s="635"/>
      <c r="J750" s="635"/>
      <c r="K750" s="635"/>
      <c r="L750" s="635"/>
      <c r="M750" s="635"/>
      <c r="N750" s="635"/>
      <c r="O750" s="635"/>
      <c r="P750" s="635"/>
      <c r="Q750" s="634"/>
      <c r="R750" s="634"/>
      <c r="S750" s="635"/>
      <c r="T750" s="635"/>
      <c r="U750" s="634"/>
      <c r="V750" s="634"/>
      <c r="W750" s="634"/>
      <c r="X750" s="634"/>
      <c r="Y750" s="634"/>
      <c r="Z750" s="634"/>
    </row>
    <row r="751" ht="15.75" customHeight="1">
      <c r="A751" s="634"/>
      <c r="B751" s="634"/>
      <c r="C751" s="634"/>
      <c r="D751" s="634"/>
      <c r="E751" s="635"/>
      <c r="F751" s="634"/>
      <c r="G751" s="636"/>
      <c r="H751" s="635"/>
      <c r="I751" s="635"/>
      <c r="J751" s="635"/>
      <c r="K751" s="635"/>
      <c r="L751" s="635"/>
      <c r="M751" s="635"/>
      <c r="N751" s="635"/>
      <c r="O751" s="635"/>
      <c r="P751" s="635"/>
      <c r="Q751" s="634"/>
      <c r="R751" s="634"/>
      <c r="S751" s="635"/>
      <c r="T751" s="635"/>
      <c r="U751" s="634"/>
      <c r="V751" s="634"/>
      <c r="W751" s="634"/>
      <c r="X751" s="634"/>
      <c r="Y751" s="634"/>
      <c r="Z751" s="634"/>
    </row>
    <row r="752" ht="15.75" customHeight="1">
      <c r="A752" s="634"/>
      <c r="B752" s="634"/>
      <c r="C752" s="634"/>
      <c r="D752" s="634"/>
      <c r="E752" s="635"/>
      <c r="F752" s="634"/>
      <c r="G752" s="636"/>
      <c r="H752" s="635"/>
      <c r="I752" s="635"/>
      <c r="J752" s="635"/>
      <c r="K752" s="635"/>
      <c r="L752" s="635"/>
      <c r="M752" s="635"/>
      <c r="N752" s="635"/>
      <c r="O752" s="635"/>
      <c r="P752" s="635"/>
      <c r="Q752" s="634"/>
      <c r="R752" s="634"/>
      <c r="S752" s="635"/>
      <c r="T752" s="635"/>
      <c r="U752" s="634"/>
      <c r="V752" s="634"/>
      <c r="W752" s="634"/>
      <c r="X752" s="634"/>
      <c r="Y752" s="634"/>
      <c r="Z752" s="634"/>
    </row>
    <row r="753" ht="15.75" customHeight="1">
      <c r="A753" s="634"/>
      <c r="B753" s="634"/>
      <c r="C753" s="634"/>
      <c r="D753" s="634"/>
      <c r="E753" s="635"/>
      <c r="F753" s="634"/>
      <c r="G753" s="636"/>
      <c r="H753" s="635"/>
      <c r="I753" s="635"/>
      <c r="J753" s="635"/>
      <c r="K753" s="635"/>
      <c r="L753" s="635"/>
      <c r="M753" s="635"/>
      <c r="N753" s="635"/>
      <c r="O753" s="635"/>
      <c r="P753" s="635"/>
      <c r="Q753" s="634"/>
      <c r="R753" s="634"/>
      <c r="S753" s="635"/>
      <c r="T753" s="635"/>
      <c r="U753" s="634"/>
      <c r="V753" s="634"/>
      <c r="W753" s="634"/>
      <c r="X753" s="634"/>
      <c r="Y753" s="634"/>
      <c r="Z753" s="634"/>
    </row>
    <row r="754" ht="15.75" customHeight="1">
      <c r="A754" s="634"/>
      <c r="B754" s="634"/>
      <c r="C754" s="634"/>
      <c r="D754" s="634"/>
      <c r="E754" s="635"/>
      <c r="F754" s="634"/>
      <c r="G754" s="636"/>
      <c r="H754" s="635"/>
      <c r="I754" s="635"/>
      <c r="J754" s="635"/>
      <c r="K754" s="635"/>
      <c r="L754" s="635"/>
      <c r="M754" s="635"/>
      <c r="N754" s="635"/>
      <c r="O754" s="635"/>
      <c r="P754" s="635"/>
      <c r="Q754" s="634"/>
      <c r="R754" s="634"/>
      <c r="S754" s="635"/>
      <c r="T754" s="635"/>
      <c r="U754" s="634"/>
      <c r="V754" s="634"/>
      <c r="W754" s="634"/>
      <c r="X754" s="634"/>
      <c r="Y754" s="634"/>
      <c r="Z754" s="634"/>
    </row>
    <row r="755" ht="15.75" customHeight="1">
      <c r="A755" s="634"/>
      <c r="B755" s="634"/>
      <c r="C755" s="634"/>
      <c r="D755" s="634"/>
      <c r="E755" s="635"/>
      <c r="F755" s="634"/>
      <c r="G755" s="636"/>
      <c r="H755" s="635"/>
      <c r="I755" s="635"/>
      <c r="J755" s="635"/>
      <c r="K755" s="635"/>
      <c r="L755" s="635"/>
      <c r="M755" s="635"/>
      <c r="N755" s="635"/>
      <c r="O755" s="635"/>
      <c r="P755" s="635"/>
      <c r="Q755" s="634"/>
      <c r="R755" s="634"/>
      <c r="S755" s="635"/>
      <c r="T755" s="635"/>
      <c r="U755" s="634"/>
      <c r="V755" s="634"/>
      <c r="W755" s="634"/>
      <c r="X755" s="634"/>
      <c r="Y755" s="634"/>
      <c r="Z755" s="634"/>
    </row>
    <row r="756" ht="15.75" customHeight="1">
      <c r="A756" s="634"/>
      <c r="B756" s="634"/>
      <c r="C756" s="634"/>
      <c r="D756" s="634"/>
      <c r="E756" s="635"/>
      <c r="F756" s="634"/>
      <c r="G756" s="636"/>
      <c r="H756" s="635"/>
      <c r="I756" s="635"/>
      <c r="J756" s="635"/>
      <c r="K756" s="635"/>
      <c r="L756" s="635"/>
      <c r="M756" s="635"/>
      <c r="N756" s="635"/>
      <c r="O756" s="635"/>
      <c r="P756" s="635"/>
      <c r="Q756" s="634"/>
      <c r="R756" s="634"/>
      <c r="S756" s="635"/>
      <c r="T756" s="635"/>
      <c r="U756" s="634"/>
      <c r="V756" s="634"/>
      <c r="W756" s="634"/>
      <c r="X756" s="634"/>
      <c r="Y756" s="634"/>
      <c r="Z756" s="634"/>
    </row>
    <row r="757" ht="15.75" customHeight="1">
      <c r="A757" s="634"/>
      <c r="B757" s="634"/>
      <c r="C757" s="634"/>
      <c r="D757" s="634"/>
      <c r="E757" s="635"/>
      <c r="F757" s="634"/>
      <c r="G757" s="636"/>
      <c r="H757" s="635"/>
      <c r="I757" s="635"/>
      <c r="J757" s="635"/>
      <c r="K757" s="635"/>
      <c r="L757" s="635"/>
      <c r="M757" s="635"/>
      <c r="N757" s="635"/>
      <c r="O757" s="635"/>
      <c r="P757" s="635"/>
      <c r="Q757" s="634"/>
      <c r="R757" s="634"/>
      <c r="S757" s="635"/>
      <c r="T757" s="635"/>
      <c r="U757" s="634"/>
      <c r="V757" s="634"/>
      <c r="W757" s="634"/>
      <c r="X757" s="634"/>
      <c r="Y757" s="634"/>
      <c r="Z757" s="634"/>
    </row>
    <row r="758" ht="15.75" customHeight="1">
      <c r="A758" s="634"/>
      <c r="B758" s="634"/>
      <c r="C758" s="634"/>
      <c r="D758" s="634"/>
      <c r="E758" s="635"/>
      <c r="F758" s="634"/>
      <c r="G758" s="636"/>
      <c r="H758" s="635"/>
      <c r="I758" s="635"/>
      <c r="J758" s="635"/>
      <c r="K758" s="635"/>
      <c r="L758" s="635"/>
      <c r="M758" s="635"/>
      <c r="N758" s="635"/>
      <c r="O758" s="635"/>
      <c r="P758" s="635"/>
      <c r="Q758" s="634"/>
      <c r="R758" s="634"/>
      <c r="S758" s="635"/>
      <c r="T758" s="635"/>
      <c r="U758" s="634"/>
      <c r="V758" s="634"/>
      <c r="W758" s="634"/>
      <c r="X758" s="634"/>
      <c r="Y758" s="634"/>
      <c r="Z758" s="634"/>
    </row>
    <row r="759" ht="15.75" customHeight="1">
      <c r="A759" s="634"/>
      <c r="B759" s="634"/>
      <c r="C759" s="634"/>
      <c r="D759" s="634"/>
      <c r="E759" s="635"/>
      <c r="F759" s="634"/>
      <c r="G759" s="636"/>
      <c r="H759" s="635"/>
      <c r="I759" s="635"/>
      <c r="J759" s="635"/>
      <c r="K759" s="635"/>
      <c r="L759" s="635"/>
      <c r="M759" s="635"/>
      <c r="N759" s="635"/>
      <c r="O759" s="635"/>
      <c r="P759" s="635"/>
      <c r="Q759" s="634"/>
      <c r="R759" s="634"/>
      <c r="S759" s="635"/>
      <c r="T759" s="635"/>
      <c r="U759" s="634"/>
      <c r="V759" s="634"/>
      <c r="W759" s="634"/>
      <c r="X759" s="634"/>
      <c r="Y759" s="634"/>
      <c r="Z759" s="634"/>
    </row>
    <row r="760" ht="15.75" customHeight="1">
      <c r="A760" s="634"/>
      <c r="B760" s="634"/>
      <c r="C760" s="634"/>
      <c r="D760" s="634"/>
      <c r="E760" s="635"/>
      <c r="F760" s="634"/>
      <c r="G760" s="636"/>
      <c r="H760" s="635"/>
      <c r="I760" s="635"/>
      <c r="J760" s="635"/>
      <c r="K760" s="635"/>
      <c r="L760" s="635"/>
      <c r="M760" s="635"/>
      <c r="N760" s="635"/>
      <c r="O760" s="635"/>
      <c r="P760" s="635"/>
      <c r="Q760" s="634"/>
      <c r="R760" s="634"/>
      <c r="S760" s="635"/>
      <c r="T760" s="635"/>
      <c r="U760" s="634"/>
      <c r="V760" s="634"/>
      <c r="W760" s="634"/>
      <c r="X760" s="634"/>
      <c r="Y760" s="634"/>
      <c r="Z760" s="634"/>
    </row>
    <row r="761" ht="15.75" customHeight="1">
      <c r="A761" s="634"/>
      <c r="B761" s="634"/>
      <c r="C761" s="634"/>
      <c r="D761" s="634"/>
      <c r="E761" s="635"/>
      <c r="F761" s="634"/>
      <c r="G761" s="636"/>
      <c r="H761" s="635"/>
      <c r="I761" s="635"/>
      <c r="J761" s="635"/>
      <c r="K761" s="635"/>
      <c r="L761" s="635"/>
      <c r="M761" s="635"/>
      <c r="N761" s="635"/>
      <c r="O761" s="635"/>
      <c r="P761" s="635"/>
      <c r="Q761" s="634"/>
      <c r="R761" s="634"/>
      <c r="S761" s="635"/>
      <c r="T761" s="635"/>
      <c r="U761" s="634"/>
      <c r="V761" s="634"/>
      <c r="W761" s="634"/>
      <c r="X761" s="634"/>
      <c r="Y761" s="634"/>
      <c r="Z761" s="634"/>
    </row>
    <row r="762" ht="15.75" customHeight="1">
      <c r="A762" s="634"/>
      <c r="B762" s="634"/>
      <c r="C762" s="634"/>
      <c r="D762" s="634"/>
      <c r="E762" s="635"/>
      <c r="F762" s="634"/>
      <c r="G762" s="636"/>
      <c r="H762" s="635"/>
      <c r="I762" s="635"/>
      <c r="J762" s="635"/>
      <c r="K762" s="635"/>
      <c r="L762" s="635"/>
      <c r="M762" s="635"/>
      <c r="N762" s="635"/>
      <c r="O762" s="635"/>
      <c r="P762" s="635"/>
      <c r="Q762" s="634"/>
      <c r="R762" s="634"/>
      <c r="S762" s="635"/>
      <c r="T762" s="635"/>
      <c r="U762" s="634"/>
      <c r="V762" s="634"/>
      <c r="W762" s="634"/>
      <c r="X762" s="634"/>
      <c r="Y762" s="634"/>
      <c r="Z762" s="634"/>
    </row>
    <row r="763" ht="15.75" customHeight="1">
      <c r="A763" s="634"/>
      <c r="B763" s="634"/>
      <c r="C763" s="634"/>
      <c r="D763" s="634"/>
      <c r="E763" s="635"/>
      <c r="F763" s="634"/>
      <c r="G763" s="636"/>
      <c r="H763" s="635"/>
      <c r="I763" s="635"/>
      <c r="J763" s="635"/>
      <c r="K763" s="635"/>
      <c r="L763" s="635"/>
      <c r="M763" s="635"/>
      <c r="N763" s="635"/>
      <c r="O763" s="635"/>
      <c r="P763" s="635"/>
      <c r="Q763" s="634"/>
      <c r="R763" s="634"/>
      <c r="S763" s="635"/>
      <c r="T763" s="635"/>
      <c r="U763" s="634"/>
      <c r="V763" s="634"/>
      <c r="W763" s="634"/>
      <c r="X763" s="634"/>
      <c r="Y763" s="634"/>
      <c r="Z763" s="634"/>
    </row>
    <row r="764" ht="15.75" customHeight="1">
      <c r="A764" s="634"/>
      <c r="B764" s="634"/>
      <c r="C764" s="634"/>
      <c r="D764" s="634"/>
      <c r="E764" s="635"/>
      <c r="F764" s="634"/>
      <c r="G764" s="636"/>
      <c r="H764" s="635"/>
      <c r="I764" s="635"/>
      <c r="J764" s="635"/>
      <c r="K764" s="635"/>
      <c r="L764" s="635"/>
      <c r="M764" s="635"/>
      <c r="N764" s="635"/>
      <c r="O764" s="635"/>
      <c r="P764" s="635"/>
      <c r="Q764" s="634"/>
      <c r="R764" s="634"/>
      <c r="S764" s="635"/>
      <c r="T764" s="635"/>
      <c r="U764" s="634"/>
      <c r="V764" s="634"/>
      <c r="W764" s="634"/>
      <c r="X764" s="634"/>
      <c r="Y764" s="634"/>
      <c r="Z764" s="634"/>
    </row>
    <row r="765" ht="15.75" customHeight="1">
      <c r="A765" s="634"/>
      <c r="B765" s="634"/>
      <c r="C765" s="634"/>
      <c r="D765" s="634"/>
      <c r="E765" s="635"/>
      <c r="F765" s="634"/>
      <c r="G765" s="636"/>
      <c r="H765" s="635"/>
      <c r="I765" s="635"/>
      <c r="J765" s="635"/>
      <c r="K765" s="635"/>
      <c r="L765" s="635"/>
      <c r="M765" s="635"/>
      <c r="N765" s="635"/>
      <c r="O765" s="635"/>
      <c r="P765" s="635"/>
      <c r="Q765" s="634"/>
      <c r="R765" s="634"/>
      <c r="S765" s="635"/>
      <c r="T765" s="635"/>
      <c r="U765" s="634"/>
      <c r="V765" s="634"/>
      <c r="W765" s="634"/>
      <c r="X765" s="634"/>
      <c r="Y765" s="634"/>
      <c r="Z765" s="634"/>
    </row>
    <row r="766" ht="15.75" customHeight="1">
      <c r="A766" s="634"/>
      <c r="B766" s="634"/>
      <c r="C766" s="634"/>
      <c r="D766" s="634"/>
      <c r="E766" s="635"/>
      <c r="F766" s="634"/>
      <c r="G766" s="636"/>
      <c r="H766" s="635"/>
      <c r="I766" s="635"/>
      <c r="J766" s="635"/>
      <c r="K766" s="635"/>
      <c r="L766" s="635"/>
      <c r="M766" s="635"/>
      <c r="N766" s="635"/>
      <c r="O766" s="635"/>
      <c r="P766" s="635"/>
      <c r="Q766" s="634"/>
      <c r="R766" s="634"/>
      <c r="S766" s="635"/>
      <c r="T766" s="635"/>
      <c r="U766" s="634"/>
      <c r="V766" s="634"/>
      <c r="W766" s="634"/>
      <c r="X766" s="634"/>
      <c r="Y766" s="634"/>
      <c r="Z766" s="634"/>
    </row>
    <row r="767" ht="15.75" customHeight="1">
      <c r="A767" s="634"/>
      <c r="B767" s="634"/>
      <c r="C767" s="634"/>
      <c r="D767" s="634"/>
      <c r="E767" s="635"/>
      <c r="F767" s="634"/>
      <c r="G767" s="636"/>
      <c r="H767" s="635"/>
      <c r="I767" s="635"/>
      <c r="J767" s="635"/>
      <c r="K767" s="635"/>
      <c r="L767" s="635"/>
      <c r="M767" s="635"/>
      <c r="N767" s="635"/>
      <c r="O767" s="635"/>
      <c r="P767" s="635"/>
      <c r="Q767" s="634"/>
      <c r="R767" s="634"/>
      <c r="S767" s="635"/>
      <c r="T767" s="635"/>
      <c r="U767" s="634"/>
      <c r="V767" s="634"/>
      <c r="W767" s="634"/>
      <c r="X767" s="634"/>
      <c r="Y767" s="634"/>
      <c r="Z767" s="634"/>
    </row>
    <row r="768" ht="15.75" customHeight="1">
      <c r="A768" s="634"/>
      <c r="B768" s="634"/>
      <c r="C768" s="634"/>
      <c r="D768" s="634"/>
      <c r="E768" s="635"/>
      <c r="F768" s="634"/>
      <c r="G768" s="636"/>
      <c r="H768" s="635"/>
      <c r="I768" s="635"/>
      <c r="J768" s="635"/>
      <c r="K768" s="635"/>
      <c r="L768" s="635"/>
      <c r="M768" s="635"/>
      <c r="N768" s="635"/>
      <c r="O768" s="635"/>
      <c r="P768" s="635"/>
      <c r="Q768" s="634"/>
      <c r="R768" s="634"/>
      <c r="S768" s="635"/>
      <c r="T768" s="635"/>
      <c r="U768" s="634"/>
      <c r="V768" s="634"/>
      <c r="W768" s="634"/>
      <c r="X768" s="634"/>
      <c r="Y768" s="634"/>
      <c r="Z768" s="634"/>
    </row>
    <row r="769" ht="15.75" customHeight="1">
      <c r="A769" s="634"/>
      <c r="B769" s="634"/>
      <c r="C769" s="634"/>
      <c r="D769" s="634"/>
      <c r="E769" s="635"/>
      <c r="F769" s="634"/>
      <c r="G769" s="636"/>
      <c r="H769" s="635"/>
      <c r="I769" s="635"/>
      <c r="J769" s="635"/>
      <c r="K769" s="635"/>
      <c r="L769" s="635"/>
      <c r="M769" s="635"/>
      <c r="N769" s="635"/>
      <c r="O769" s="635"/>
      <c r="P769" s="635"/>
      <c r="Q769" s="634"/>
      <c r="R769" s="634"/>
      <c r="S769" s="635"/>
      <c r="T769" s="635"/>
      <c r="U769" s="634"/>
      <c r="V769" s="634"/>
      <c r="W769" s="634"/>
      <c r="X769" s="634"/>
      <c r="Y769" s="634"/>
      <c r="Z769" s="634"/>
    </row>
    <row r="770" ht="15.75" customHeight="1">
      <c r="A770" s="634"/>
      <c r="B770" s="634"/>
      <c r="C770" s="634"/>
      <c r="D770" s="634"/>
      <c r="E770" s="635"/>
      <c r="F770" s="634"/>
      <c r="G770" s="636"/>
      <c r="H770" s="635"/>
      <c r="I770" s="635"/>
      <c r="J770" s="635"/>
      <c r="K770" s="635"/>
      <c r="L770" s="635"/>
      <c r="M770" s="635"/>
      <c r="N770" s="635"/>
      <c r="O770" s="635"/>
      <c r="P770" s="635"/>
      <c r="Q770" s="634"/>
      <c r="R770" s="634"/>
      <c r="S770" s="635"/>
      <c r="T770" s="635"/>
      <c r="U770" s="634"/>
      <c r="V770" s="634"/>
      <c r="W770" s="634"/>
      <c r="X770" s="634"/>
      <c r="Y770" s="634"/>
      <c r="Z770" s="634"/>
    </row>
    <row r="771" ht="15.75" customHeight="1">
      <c r="A771" s="634"/>
      <c r="B771" s="634"/>
      <c r="C771" s="634"/>
      <c r="D771" s="634"/>
      <c r="E771" s="635"/>
      <c r="F771" s="634"/>
      <c r="G771" s="636"/>
      <c r="H771" s="635"/>
      <c r="I771" s="635"/>
      <c r="J771" s="635"/>
      <c r="K771" s="635"/>
      <c r="L771" s="635"/>
      <c r="M771" s="635"/>
      <c r="N771" s="635"/>
      <c r="O771" s="635"/>
      <c r="P771" s="635"/>
      <c r="Q771" s="634"/>
      <c r="R771" s="634"/>
      <c r="S771" s="635"/>
      <c r="T771" s="635"/>
      <c r="U771" s="634"/>
      <c r="V771" s="634"/>
      <c r="W771" s="634"/>
      <c r="X771" s="634"/>
      <c r="Y771" s="634"/>
      <c r="Z771" s="634"/>
    </row>
    <row r="772" ht="15.75" customHeight="1">
      <c r="A772" s="634"/>
      <c r="B772" s="634"/>
      <c r="C772" s="634"/>
      <c r="D772" s="634"/>
      <c r="E772" s="635"/>
      <c r="F772" s="634"/>
      <c r="G772" s="636"/>
      <c r="H772" s="635"/>
      <c r="I772" s="635"/>
      <c r="J772" s="635"/>
      <c r="K772" s="635"/>
      <c r="L772" s="635"/>
      <c r="M772" s="635"/>
      <c r="N772" s="635"/>
      <c r="O772" s="635"/>
      <c r="P772" s="635"/>
      <c r="Q772" s="634"/>
      <c r="R772" s="634"/>
      <c r="S772" s="635"/>
      <c r="T772" s="635"/>
      <c r="U772" s="634"/>
      <c r="V772" s="634"/>
      <c r="W772" s="634"/>
      <c r="X772" s="634"/>
      <c r="Y772" s="634"/>
      <c r="Z772" s="634"/>
    </row>
    <row r="773" ht="15.75" customHeight="1">
      <c r="A773" s="634"/>
      <c r="B773" s="634"/>
      <c r="C773" s="634"/>
      <c r="D773" s="634"/>
      <c r="E773" s="635"/>
      <c r="F773" s="634"/>
      <c r="G773" s="636"/>
      <c r="H773" s="635"/>
      <c r="I773" s="635"/>
      <c r="J773" s="635"/>
      <c r="K773" s="635"/>
      <c r="L773" s="635"/>
      <c r="M773" s="635"/>
      <c r="N773" s="635"/>
      <c r="O773" s="635"/>
      <c r="P773" s="635"/>
      <c r="Q773" s="634"/>
      <c r="R773" s="634"/>
      <c r="S773" s="635"/>
      <c r="T773" s="635"/>
      <c r="U773" s="634"/>
      <c r="V773" s="634"/>
      <c r="W773" s="634"/>
      <c r="X773" s="634"/>
      <c r="Y773" s="634"/>
      <c r="Z773" s="634"/>
    </row>
    <row r="774" ht="15.75" customHeight="1">
      <c r="A774" s="634"/>
      <c r="B774" s="634"/>
      <c r="C774" s="634"/>
      <c r="D774" s="634"/>
      <c r="E774" s="635"/>
      <c r="F774" s="634"/>
      <c r="G774" s="636"/>
      <c r="H774" s="635"/>
      <c r="I774" s="635"/>
      <c r="J774" s="635"/>
      <c r="K774" s="635"/>
      <c r="L774" s="635"/>
      <c r="M774" s="635"/>
      <c r="N774" s="635"/>
      <c r="O774" s="635"/>
      <c r="P774" s="635"/>
      <c r="Q774" s="634"/>
      <c r="R774" s="634"/>
      <c r="S774" s="635"/>
      <c r="T774" s="635"/>
      <c r="U774" s="634"/>
      <c r="V774" s="634"/>
      <c r="W774" s="634"/>
      <c r="X774" s="634"/>
      <c r="Y774" s="634"/>
      <c r="Z774" s="634"/>
    </row>
    <row r="775" ht="15.75" customHeight="1">
      <c r="A775" s="634"/>
      <c r="B775" s="634"/>
      <c r="C775" s="634"/>
      <c r="D775" s="634"/>
      <c r="E775" s="635"/>
      <c r="F775" s="634"/>
      <c r="G775" s="636"/>
      <c r="H775" s="635"/>
      <c r="I775" s="635"/>
      <c r="J775" s="635"/>
      <c r="K775" s="635"/>
      <c r="L775" s="635"/>
      <c r="M775" s="635"/>
      <c r="N775" s="635"/>
      <c r="O775" s="635"/>
      <c r="P775" s="635"/>
      <c r="Q775" s="634"/>
      <c r="R775" s="634"/>
      <c r="S775" s="635"/>
      <c r="T775" s="635"/>
      <c r="U775" s="634"/>
      <c r="V775" s="634"/>
      <c r="W775" s="634"/>
      <c r="X775" s="634"/>
      <c r="Y775" s="634"/>
      <c r="Z775" s="634"/>
    </row>
    <row r="776" ht="15.75" customHeight="1">
      <c r="A776" s="634"/>
      <c r="B776" s="634"/>
      <c r="C776" s="634"/>
      <c r="D776" s="634"/>
      <c r="E776" s="635"/>
      <c r="F776" s="634"/>
      <c r="G776" s="636"/>
      <c r="H776" s="635"/>
      <c r="I776" s="635"/>
      <c r="J776" s="635"/>
      <c r="K776" s="635"/>
      <c r="L776" s="635"/>
      <c r="M776" s="635"/>
      <c r="N776" s="635"/>
      <c r="O776" s="635"/>
      <c r="P776" s="635"/>
      <c r="Q776" s="634"/>
      <c r="R776" s="634"/>
      <c r="S776" s="635"/>
      <c r="T776" s="635"/>
      <c r="U776" s="634"/>
      <c r="V776" s="634"/>
      <c r="W776" s="634"/>
      <c r="X776" s="634"/>
      <c r="Y776" s="634"/>
      <c r="Z776" s="634"/>
    </row>
    <row r="777" ht="15.75" customHeight="1">
      <c r="A777" s="634"/>
      <c r="B777" s="634"/>
      <c r="C777" s="634"/>
      <c r="D777" s="634"/>
      <c r="E777" s="635"/>
      <c r="F777" s="634"/>
      <c r="G777" s="636"/>
      <c r="H777" s="635"/>
      <c r="I777" s="635"/>
      <c r="J777" s="635"/>
      <c r="K777" s="635"/>
      <c r="L777" s="635"/>
      <c r="M777" s="635"/>
      <c r="N777" s="635"/>
      <c r="O777" s="635"/>
      <c r="P777" s="635"/>
      <c r="Q777" s="634"/>
      <c r="R777" s="634"/>
      <c r="S777" s="635"/>
      <c r="T777" s="635"/>
      <c r="U777" s="634"/>
      <c r="V777" s="634"/>
      <c r="W777" s="634"/>
      <c r="X777" s="634"/>
      <c r="Y777" s="634"/>
      <c r="Z777" s="634"/>
    </row>
    <row r="778" ht="15.75" customHeight="1">
      <c r="A778" s="634"/>
      <c r="B778" s="634"/>
      <c r="C778" s="634"/>
      <c r="D778" s="634"/>
      <c r="E778" s="635"/>
      <c r="F778" s="634"/>
      <c r="G778" s="636"/>
      <c r="H778" s="635"/>
      <c r="I778" s="635"/>
      <c r="J778" s="635"/>
      <c r="K778" s="635"/>
      <c r="L778" s="635"/>
      <c r="M778" s="635"/>
      <c r="N778" s="635"/>
      <c r="O778" s="635"/>
      <c r="P778" s="635"/>
      <c r="Q778" s="634"/>
      <c r="R778" s="634"/>
      <c r="S778" s="635"/>
      <c r="T778" s="635"/>
      <c r="U778" s="634"/>
      <c r="V778" s="634"/>
      <c r="W778" s="634"/>
      <c r="X778" s="634"/>
      <c r="Y778" s="634"/>
      <c r="Z778" s="634"/>
    </row>
    <row r="779" ht="15.75" customHeight="1">
      <c r="A779" s="634"/>
      <c r="B779" s="634"/>
      <c r="C779" s="634"/>
      <c r="D779" s="634"/>
      <c r="E779" s="635"/>
      <c r="F779" s="634"/>
      <c r="G779" s="636"/>
      <c r="H779" s="635"/>
      <c r="I779" s="635"/>
      <c r="J779" s="635"/>
      <c r="K779" s="635"/>
      <c r="L779" s="635"/>
      <c r="M779" s="635"/>
      <c r="N779" s="635"/>
      <c r="O779" s="635"/>
      <c r="P779" s="635"/>
      <c r="Q779" s="634"/>
      <c r="R779" s="634"/>
      <c r="S779" s="635"/>
      <c r="T779" s="635"/>
      <c r="U779" s="634"/>
      <c r="V779" s="634"/>
      <c r="W779" s="634"/>
      <c r="X779" s="634"/>
      <c r="Y779" s="634"/>
      <c r="Z779" s="634"/>
    </row>
    <row r="780" ht="15.75" customHeight="1">
      <c r="A780" s="634"/>
      <c r="B780" s="634"/>
      <c r="C780" s="634"/>
      <c r="D780" s="634"/>
      <c r="E780" s="635"/>
      <c r="F780" s="634"/>
      <c r="G780" s="636"/>
      <c r="H780" s="635"/>
      <c r="I780" s="635"/>
      <c r="J780" s="635"/>
      <c r="K780" s="635"/>
      <c r="L780" s="635"/>
      <c r="M780" s="635"/>
      <c r="N780" s="635"/>
      <c r="O780" s="635"/>
      <c r="P780" s="635"/>
      <c r="Q780" s="634"/>
      <c r="R780" s="634"/>
      <c r="S780" s="635"/>
      <c r="T780" s="635"/>
      <c r="U780" s="634"/>
      <c r="V780" s="634"/>
      <c r="W780" s="634"/>
      <c r="X780" s="634"/>
      <c r="Y780" s="634"/>
      <c r="Z780" s="634"/>
    </row>
    <row r="781" ht="15.75" customHeight="1">
      <c r="A781" s="634"/>
      <c r="B781" s="634"/>
      <c r="C781" s="634"/>
      <c r="D781" s="634"/>
      <c r="E781" s="635"/>
      <c r="F781" s="634"/>
      <c r="G781" s="636"/>
      <c r="H781" s="635"/>
      <c r="I781" s="635"/>
      <c r="J781" s="635"/>
      <c r="K781" s="635"/>
      <c r="L781" s="635"/>
      <c r="M781" s="635"/>
      <c r="N781" s="635"/>
      <c r="O781" s="635"/>
      <c r="P781" s="635"/>
      <c r="Q781" s="634"/>
      <c r="R781" s="634"/>
      <c r="S781" s="635"/>
      <c r="T781" s="635"/>
      <c r="U781" s="634"/>
      <c r="V781" s="634"/>
      <c r="W781" s="634"/>
      <c r="X781" s="634"/>
      <c r="Y781" s="634"/>
      <c r="Z781" s="634"/>
    </row>
    <row r="782" ht="15.75" customHeight="1">
      <c r="A782" s="634"/>
      <c r="B782" s="634"/>
      <c r="C782" s="634"/>
      <c r="D782" s="634"/>
      <c r="E782" s="635"/>
      <c r="F782" s="634"/>
      <c r="G782" s="636"/>
      <c r="H782" s="635"/>
      <c r="I782" s="635"/>
      <c r="J782" s="635"/>
      <c r="K782" s="635"/>
      <c r="L782" s="635"/>
      <c r="M782" s="635"/>
      <c r="N782" s="635"/>
      <c r="O782" s="635"/>
      <c r="P782" s="635"/>
      <c r="Q782" s="634"/>
      <c r="R782" s="634"/>
      <c r="S782" s="635"/>
      <c r="T782" s="635"/>
      <c r="U782" s="634"/>
      <c r="V782" s="634"/>
      <c r="W782" s="634"/>
      <c r="X782" s="634"/>
      <c r="Y782" s="634"/>
      <c r="Z782" s="634"/>
    </row>
    <row r="783" ht="15.75" customHeight="1">
      <c r="A783" s="634"/>
      <c r="B783" s="634"/>
      <c r="C783" s="634"/>
      <c r="D783" s="634"/>
      <c r="E783" s="635"/>
      <c r="F783" s="634"/>
      <c r="G783" s="636"/>
      <c r="H783" s="635"/>
      <c r="I783" s="635"/>
      <c r="J783" s="635"/>
      <c r="K783" s="635"/>
      <c r="L783" s="635"/>
      <c r="M783" s="635"/>
      <c r="N783" s="635"/>
      <c r="O783" s="635"/>
      <c r="P783" s="635"/>
      <c r="Q783" s="634"/>
      <c r="R783" s="634"/>
      <c r="S783" s="635"/>
      <c r="T783" s="635"/>
      <c r="U783" s="634"/>
      <c r="V783" s="634"/>
      <c r="W783" s="634"/>
      <c r="X783" s="634"/>
      <c r="Y783" s="634"/>
      <c r="Z783" s="634"/>
    </row>
    <row r="784" ht="15.75" customHeight="1">
      <c r="A784" s="634"/>
      <c r="B784" s="634"/>
      <c r="C784" s="634"/>
      <c r="D784" s="634"/>
      <c r="E784" s="635"/>
      <c r="F784" s="634"/>
      <c r="G784" s="636"/>
      <c r="H784" s="635"/>
      <c r="I784" s="635"/>
      <c r="J784" s="635"/>
      <c r="K784" s="635"/>
      <c r="L784" s="635"/>
      <c r="M784" s="635"/>
      <c r="N784" s="635"/>
      <c r="O784" s="635"/>
      <c r="P784" s="635"/>
      <c r="Q784" s="634"/>
      <c r="R784" s="634"/>
      <c r="S784" s="635"/>
      <c r="T784" s="635"/>
      <c r="U784" s="634"/>
      <c r="V784" s="634"/>
      <c r="W784" s="634"/>
      <c r="X784" s="634"/>
      <c r="Y784" s="634"/>
      <c r="Z784" s="634"/>
    </row>
    <row r="785" ht="15.75" customHeight="1">
      <c r="A785" s="634"/>
      <c r="B785" s="634"/>
      <c r="C785" s="634"/>
      <c r="D785" s="634"/>
      <c r="E785" s="635"/>
      <c r="F785" s="634"/>
      <c r="G785" s="636"/>
      <c r="H785" s="635"/>
      <c r="I785" s="635"/>
      <c r="J785" s="635"/>
      <c r="K785" s="635"/>
      <c r="L785" s="635"/>
      <c r="M785" s="635"/>
      <c r="N785" s="635"/>
      <c r="O785" s="635"/>
      <c r="P785" s="635"/>
      <c r="Q785" s="634"/>
      <c r="R785" s="634"/>
      <c r="S785" s="635"/>
      <c r="T785" s="635"/>
      <c r="U785" s="634"/>
      <c r="V785" s="634"/>
      <c r="W785" s="634"/>
      <c r="X785" s="634"/>
      <c r="Y785" s="634"/>
      <c r="Z785" s="634"/>
    </row>
    <row r="786" ht="15.75" customHeight="1">
      <c r="A786" s="634"/>
      <c r="B786" s="634"/>
      <c r="C786" s="634"/>
      <c r="D786" s="634"/>
      <c r="E786" s="635"/>
      <c r="F786" s="634"/>
      <c r="G786" s="636"/>
      <c r="H786" s="635"/>
      <c r="I786" s="635"/>
      <c r="J786" s="635"/>
      <c r="K786" s="635"/>
      <c r="L786" s="635"/>
      <c r="M786" s="635"/>
      <c r="N786" s="635"/>
      <c r="O786" s="635"/>
      <c r="P786" s="635"/>
      <c r="Q786" s="634"/>
      <c r="R786" s="634"/>
      <c r="S786" s="635"/>
      <c r="T786" s="635"/>
      <c r="U786" s="634"/>
      <c r="V786" s="634"/>
      <c r="W786" s="634"/>
      <c r="X786" s="634"/>
      <c r="Y786" s="634"/>
      <c r="Z786" s="634"/>
    </row>
    <row r="787" ht="15.75" customHeight="1">
      <c r="A787" s="634"/>
      <c r="B787" s="634"/>
      <c r="C787" s="634"/>
      <c r="D787" s="634"/>
      <c r="E787" s="635"/>
      <c r="F787" s="634"/>
      <c r="G787" s="636"/>
      <c r="H787" s="635"/>
      <c r="I787" s="635"/>
      <c r="J787" s="635"/>
      <c r="K787" s="635"/>
      <c r="L787" s="635"/>
      <c r="M787" s="635"/>
      <c r="N787" s="635"/>
      <c r="O787" s="635"/>
      <c r="P787" s="635"/>
      <c r="Q787" s="634"/>
      <c r="R787" s="634"/>
      <c r="S787" s="635"/>
      <c r="T787" s="635"/>
      <c r="U787" s="634"/>
      <c r="V787" s="634"/>
      <c r="W787" s="634"/>
      <c r="X787" s="634"/>
      <c r="Y787" s="634"/>
      <c r="Z787" s="634"/>
    </row>
    <row r="788" ht="15.75" customHeight="1">
      <c r="A788" s="634"/>
      <c r="B788" s="634"/>
      <c r="C788" s="634"/>
      <c r="D788" s="634"/>
      <c r="E788" s="635"/>
      <c r="F788" s="634"/>
      <c r="G788" s="636"/>
      <c r="H788" s="635"/>
      <c r="I788" s="635"/>
      <c r="J788" s="635"/>
      <c r="K788" s="635"/>
      <c r="L788" s="635"/>
      <c r="M788" s="635"/>
      <c r="N788" s="635"/>
      <c r="O788" s="635"/>
      <c r="P788" s="635"/>
      <c r="Q788" s="634"/>
      <c r="R788" s="634"/>
      <c r="S788" s="635"/>
      <c r="T788" s="635"/>
      <c r="U788" s="634"/>
      <c r="V788" s="634"/>
      <c r="W788" s="634"/>
      <c r="X788" s="634"/>
      <c r="Y788" s="634"/>
      <c r="Z788" s="634"/>
    </row>
    <row r="789" ht="15.75" customHeight="1">
      <c r="A789" s="634"/>
      <c r="B789" s="634"/>
      <c r="C789" s="634"/>
      <c r="D789" s="634"/>
      <c r="E789" s="635"/>
      <c r="F789" s="634"/>
      <c r="G789" s="636"/>
      <c r="H789" s="635"/>
      <c r="I789" s="635"/>
      <c r="J789" s="635"/>
      <c r="K789" s="635"/>
      <c r="L789" s="635"/>
      <c r="M789" s="635"/>
      <c r="N789" s="635"/>
      <c r="O789" s="635"/>
      <c r="P789" s="635"/>
      <c r="Q789" s="634"/>
      <c r="R789" s="634"/>
      <c r="S789" s="635"/>
      <c r="T789" s="635"/>
      <c r="U789" s="634"/>
      <c r="V789" s="634"/>
      <c r="W789" s="634"/>
      <c r="X789" s="634"/>
      <c r="Y789" s="634"/>
      <c r="Z789" s="634"/>
    </row>
    <row r="790" ht="15.75" customHeight="1">
      <c r="A790" s="634"/>
      <c r="B790" s="634"/>
      <c r="C790" s="634"/>
      <c r="D790" s="634"/>
      <c r="E790" s="635"/>
      <c r="F790" s="634"/>
      <c r="G790" s="636"/>
      <c r="H790" s="635"/>
      <c r="I790" s="635"/>
      <c r="J790" s="635"/>
      <c r="K790" s="635"/>
      <c r="L790" s="635"/>
      <c r="M790" s="635"/>
      <c r="N790" s="635"/>
      <c r="O790" s="635"/>
      <c r="P790" s="635"/>
      <c r="Q790" s="634"/>
      <c r="R790" s="634"/>
      <c r="S790" s="635"/>
      <c r="T790" s="635"/>
      <c r="U790" s="634"/>
      <c r="V790" s="634"/>
      <c r="W790" s="634"/>
      <c r="X790" s="634"/>
      <c r="Y790" s="634"/>
      <c r="Z790" s="634"/>
    </row>
    <row r="791" ht="15.75" customHeight="1">
      <c r="A791" s="634"/>
      <c r="B791" s="634"/>
      <c r="C791" s="634"/>
      <c r="D791" s="634"/>
      <c r="E791" s="635"/>
      <c r="F791" s="634"/>
      <c r="G791" s="636"/>
      <c r="H791" s="635"/>
      <c r="I791" s="635"/>
      <c r="J791" s="635"/>
      <c r="K791" s="635"/>
      <c r="L791" s="635"/>
      <c r="M791" s="635"/>
      <c r="N791" s="635"/>
      <c r="O791" s="635"/>
      <c r="P791" s="635"/>
      <c r="Q791" s="634"/>
      <c r="R791" s="634"/>
      <c r="S791" s="635"/>
      <c r="T791" s="635"/>
      <c r="U791" s="634"/>
      <c r="V791" s="634"/>
      <c r="W791" s="634"/>
      <c r="X791" s="634"/>
      <c r="Y791" s="634"/>
      <c r="Z791" s="634"/>
    </row>
    <row r="792" ht="15.75" customHeight="1">
      <c r="A792" s="634"/>
      <c r="B792" s="634"/>
      <c r="C792" s="634"/>
      <c r="D792" s="634"/>
      <c r="E792" s="635"/>
      <c r="F792" s="634"/>
      <c r="G792" s="636"/>
      <c r="H792" s="635"/>
      <c r="I792" s="635"/>
      <c r="J792" s="635"/>
      <c r="K792" s="635"/>
      <c r="L792" s="635"/>
      <c r="M792" s="635"/>
      <c r="N792" s="635"/>
      <c r="O792" s="635"/>
      <c r="P792" s="635"/>
      <c r="Q792" s="634"/>
      <c r="R792" s="634"/>
      <c r="S792" s="635"/>
      <c r="T792" s="635"/>
      <c r="U792" s="634"/>
      <c r="V792" s="634"/>
      <c r="W792" s="634"/>
      <c r="X792" s="634"/>
      <c r="Y792" s="634"/>
      <c r="Z792" s="634"/>
    </row>
    <row r="793" ht="15.75" customHeight="1">
      <c r="A793" s="634"/>
      <c r="B793" s="634"/>
      <c r="C793" s="634"/>
      <c r="D793" s="634"/>
      <c r="E793" s="635"/>
      <c r="F793" s="634"/>
      <c r="G793" s="636"/>
      <c r="H793" s="635"/>
      <c r="I793" s="635"/>
      <c r="J793" s="635"/>
      <c r="K793" s="635"/>
      <c r="L793" s="635"/>
      <c r="M793" s="635"/>
      <c r="N793" s="635"/>
      <c r="O793" s="635"/>
      <c r="P793" s="635"/>
      <c r="Q793" s="634"/>
      <c r="R793" s="634"/>
      <c r="S793" s="635"/>
      <c r="T793" s="635"/>
      <c r="U793" s="634"/>
      <c r="V793" s="634"/>
      <c r="W793" s="634"/>
      <c r="X793" s="634"/>
      <c r="Y793" s="634"/>
      <c r="Z793" s="634"/>
    </row>
    <row r="794" ht="15.75" customHeight="1">
      <c r="A794" s="634"/>
      <c r="B794" s="634"/>
      <c r="C794" s="634"/>
      <c r="D794" s="634"/>
      <c r="E794" s="635"/>
      <c r="F794" s="634"/>
      <c r="G794" s="636"/>
      <c r="H794" s="635"/>
      <c r="I794" s="635"/>
      <c r="J794" s="635"/>
      <c r="K794" s="635"/>
      <c r="L794" s="635"/>
      <c r="M794" s="635"/>
      <c r="N794" s="635"/>
      <c r="O794" s="635"/>
      <c r="P794" s="635"/>
      <c r="Q794" s="634"/>
      <c r="R794" s="634"/>
      <c r="S794" s="635"/>
      <c r="T794" s="635"/>
      <c r="U794" s="634"/>
      <c r="V794" s="634"/>
      <c r="W794" s="634"/>
      <c r="X794" s="634"/>
      <c r="Y794" s="634"/>
      <c r="Z794" s="634"/>
    </row>
    <row r="795" ht="15.75" customHeight="1">
      <c r="A795" s="634"/>
      <c r="B795" s="634"/>
      <c r="C795" s="634"/>
      <c r="D795" s="634"/>
      <c r="E795" s="635"/>
      <c r="F795" s="634"/>
      <c r="G795" s="636"/>
      <c r="H795" s="635"/>
      <c r="I795" s="635"/>
      <c r="J795" s="635"/>
      <c r="K795" s="635"/>
      <c r="L795" s="635"/>
      <c r="M795" s="635"/>
      <c r="N795" s="635"/>
      <c r="O795" s="635"/>
      <c r="P795" s="635"/>
      <c r="Q795" s="634"/>
      <c r="R795" s="634"/>
      <c r="S795" s="635"/>
      <c r="T795" s="635"/>
      <c r="U795" s="634"/>
      <c r="V795" s="634"/>
      <c r="W795" s="634"/>
      <c r="X795" s="634"/>
      <c r="Y795" s="634"/>
      <c r="Z795" s="634"/>
    </row>
    <row r="796" ht="15.75" customHeight="1">
      <c r="A796" s="634"/>
      <c r="B796" s="634"/>
      <c r="C796" s="634"/>
      <c r="D796" s="634"/>
      <c r="E796" s="635"/>
      <c r="F796" s="634"/>
      <c r="G796" s="636"/>
      <c r="H796" s="635"/>
      <c r="I796" s="635"/>
      <c r="J796" s="635"/>
      <c r="K796" s="635"/>
      <c r="L796" s="635"/>
      <c r="M796" s="635"/>
      <c r="N796" s="635"/>
      <c r="O796" s="635"/>
      <c r="P796" s="635"/>
      <c r="Q796" s="634"/>
      <c r="R796" s="634"/>
      <c r="S796" s="635"/>
      <c r="T796" s="635"/>
      <c r="U796" s="634"/>
      <c r="V796" s="634"/>
      <c r="W796" s="634"/>
      <c r="X796" s="634"/>
      <c r="Y796" s="634"/>
      <c r="Z796" s="634"/>
    </row>
    <row r="797" ht="15.75" customHeight="1">
      <c r="A797" s="634"/>
      <c r="B797" s="634"/>
      <c r="C797" s="634"/>
      <c r="D797" s="634"/>
      <c r="E797" s="635"/>
      <c r="F797" s="634"/>
      <c r="G797" s="636"/>
      <c r="H797" s="635"/>
      <c r="I797" s="635"/>
      <c r="J797" s="635"/>
      <c r="K797" s="635"/>
      <c r="L797" s="635"/>
      <c r="M797" s="635"/>
      <c r="N797" s="635"/>
      <c r="O797" s="635"/>
      <c r="P797" s="635"/>
      <c r="Q797" s="634"/>
      <c r="R797" s="634"/>
      <c r="S797" s="635"/>
      <c r="T797" s="635"/>
      <c r="U797" s="634"/>
      <c r="V797" s="634"/>
      <c r="W797" s="634"/>
      <c r="X797" s="634"/>
      <c r="Y797" s="634"/>
      <c r="Z797" s="634"/>
    </row>
    <row r="798" ht="15.75" customHeight="1">
      <c r="A798" s="634"/>
      <c r="B798" s="634"/>
      <c r="C798" s="634"/>
      <c r="D798" s="634"/>
      <c r="E798" s="635"/>
      <c r="F798" s="634"/>
      <c r="G798" s="636"/>
      <c r="H798" s="635"/>
      <c r="I798" s="635"/>
      <c r="J798" s="635"/>
      <c r="K798" s="635"/>
      <c r="L798" s="635"/>
      <c r="M798" s="635"/>
      <c r="N798" s="635"/>
      <c r="O798" s="635"/>
      <c r="P798" s="635"/>
      <c r="Q798" s="634"/>
      <c r="R798" s="634"/>
      <c r="S798" s="635"/>
      <c r="T798" s="635"/>
      <c r="U798" s="634"/>
      <c r="V798" s="634"/>
      <c r="W798" s="634"/>
      <c r="X798" s="634"/>
      <c r="Y798" s="634"/>
      <c r="Z798" s="634"/>
    </row>
    <row r="799" ht="15.75" customHeight="1">
      <c r="A799" s="634"/>
      <c r="B799" s="634"/>
      <c r="C799" s="634"/>
      <c r="D799" s="634"/>
      <c r="E799" s="635"/>
      <c r="F799" s="634"/>
      <c r="G799" s="636"/>
      <c r="H799" s="635"/>
      <c r="I799" s="635"/>
      <c r="J799" s="635"/>
      <c r="K799" s="635"/>
      <c r="L799" s="635"/>
      <c r="M799" s="635"/>
      <c r="N799" s="635"/>
      <c r="O799" s="635"/>
      <c r="P799" s="635"/>
      <c r="Q799" s="634"/>
      <c r="R799" s="634"/>
      <c r="S799" s="635"/>
      <c r="T799" s="635"/>
      <c r="U799" s="634"/>
      <c r="V799" s="634"/>
      <c r="W799" s="634"/>
      <c r="X799" s="634"/>
      <c r="Y799" s="634"/>
      <c r="Z799" s="634"/>
    </row>
    <row r="800" ht="15.75" customHeight="1">
      <c r="A800" s="634"/>
      <c r="B800" s="634"/>
      <c r="C800" s="634"/>
      <c r="D800" s="634"/>
      <c r="E800" s="635"/>
      <c r="F800" s="634"/>
      <c r="G800" s="636"/>
      <c r="H800" s="635"/>
      <c r="I800" s="635"/>
      <c r="J800" s="635"/>
      <c r="K800" s="635"/>
      <c r="L800" s="635"/>
      <c r="M800" s="635"/>
      <c r="N800" s="635"/>
      <c r="O800" s="635"/>
      <c r="P800" s="635"/>
      <c r="Q800" s="634"/>
      <c r="R800" s="634"/>
      <c r="S800" s="635"/>
      <c r="T800" s="635"/>
      <c r="U800" s="634"/>
      <c r="V800" s="634"/>
      <c r="W800" s="634"/>
      <c r="X800" s="634"/>
      <c r="Y800" s="634"/>
      <c r="Z800" s="634"/>
    </row>
    <row r="801" ht="15.75" customHeight="1">
      <c r="A801" s="634"/>
      <c r="B801" s="634"/>
      <c r="C801" s="634"/>
      <c r="D801" s="634"/>
      <c r="E801" s="635"/>
      <c r="F801" s="634"/>
      <c r="G801" s="636"/>
      <c r="H801" s="635"/>
      <c r="I801" s="635"/>
      <c r="J801" s="635"/>
      <c r="K801" s="635"/>
      <c r="L801" s="635"/>
      <c r="M801" s="635"/>
      <c r="N801" s="635"/>
      <c r="O801" s="635"/>
      <c r="P801" s="635"/>
      <c r="Q801" s="634"/>
      <c r="R801" s="634"/>
      <c r="S801" s="635"/>
      <c r="T801" s="635"/>
      <c r="U801" s="634"/>
      <c r="V801" s="634"/>
      <c r="W801" s="634"/>
      <c r="X801" s="634"/>
      <c r="Y801" s="634"/>
      <c r="Z801" s="634"/>
    </row>
    <row r="802" ht="15.75" customHeight="1">
      <c r="A802" s="634"/>
      <c r="B802" s="634"/>
      <c r="C802" s="634"/>
      <c r="D802" s="634"/>
      <c r="E802" s="635"/>
      <c r="F802" s="634"/>
      <c r="G802" s="636"/>
      <c r="H802" s="635"/>
      <c r="I802" s="635"/>
      <c r="J802" s="635"/>
      <c r="K802" s="635"/>
      <c r="L802" s="635"/>
      <c r="M802" s="635"/>
      <c r="N802" s="635"/>
      <c r="O802" s="635"/>
      <c r="P802" s="635"/>
      <c r="Q802" s="634"/>
      <c r="R802" s="634"/>
      <c r="S802" s="635"/>
      <c r="T802" s="635"/>
      <c r="U802" s="634"/>
      <c r="V802" s="634"/>
      <c r="W802" s="634"/>
      <c r="X802" s="634"/>
      <c r="Y802" s="634"/>
      <c r="Z802" s="634"/>
    </row>
    <row r="803" ht="15.75" customHeight="1">
      <c r="A803" s="634"/>
      <c r="B803" s="634"/>
      <c r="C803" s="634"/>
      <c r="D803" s="634"/>
      <c r="E803" s="635"/>
      <c r="F803" s="634"/>
      <c r="G803" s="636"/>
      <c r="H803" s="635"/>
      <c r="I803" s="635"/>
      <c r="J803" s="635"/>
      <c r="K803" s="635"/>
      <c r="L803" s="635"/>
      <c r="M803" s="635"/>
      <c r="N803" s="635"/>
      <c r="O803" s="635"/>
      <c r="P803" s="635"/>
      <c r="Q803" s="634"/>
      <c r="R803" s="634"/>
      <c r="S803" s="635"/>
      <c r="T803" s="635"/>
      <c r="U803" s="634"/>
      <c r="V803" s="634"/>
      <c r="W803" s="634"/>
      <c r="X803" s="634"/>
      <c r="Y803" s="634"/>
      <c r="Z803" s="634"/>
    </row>
    <row r="804" ht="15.75" customHeight="1">
      <c r="A804" s="634"/>
      <c r="B804" s="634"/>
      <c r="C804" s="634"/>
      <c r="D804" s="634"/>
      <c r="E804" s="635"/>
      <c r="F804" s="634"/>
      <c r="G804" s="636"/>
      <c r="H804" s="635"/>
      <c r="I804" s="635"/>
      <c r="J804" s="635"/>
      <c r="K804" s="635"/>
      <c r="L804" s="635"/>
      <c r="M804" s="635"/>
      <c r="N804" s="635"/>
      <c r="O804" s="635"/>
      <c r="P804" s="635"/>
      <c r="Q804" s="634"/>
      <c r="R804" s="634"/>
      <c r="S804" s="635"/>
      <c r="T804" s="635"/>
      <c r="U804" s="634"/>
      <c r="V804" s="634"/>
      <c r="W804" s="634"/>
      <c r="X804" s="634"/>
      <c r="Y804" s="634"/>
      <c r="Z804" s="634"/>
    </row>
    <row r="805" ht="15.75" customHeight="1">
      <c r="A805" s="634"/>
      <c r="B805" s="634"/>
      <c r="C805" s="634"/>
      <c r="D805" s="634"/>
      <c r="E805" s="635"/>
      <c r="F805" s="634"/>
      <c r="G805" s="636"/>
      <c r="H805" s="635"/>
      <c r="I805" s="635"/>
      <c r="J805" s="635"/>
      <c r="K805" s="635"/>
      <c r="L805" s="635"/>
      <c r="M805" s="635"/>
      <c r="N805" s="635"/>
      <c r="O805" s="635"/>
      <c r="P805" s="635"/>
      <c r="Q805" s="634"/>
      <c r="R805" s="634"/>
      <c r="S805" s="635"/>
      <c r="T805" s="635"/>
      <c r="U805" s="634"/>
      <c r="V805" s="634"/>
      <c r="W805" s="634"/>
      <c r="X805" s="634"/>
      <c r="Y805" s="634"/>
      <c r="Z805" s="634"/>
    </row>
    <row r="806" ht="15.75" customHeight="1">
      <c r="A806" s="634"/>
      <c r="B806" s="634"/>
      <c r="C806" s="634"/>
      <c r="D806" s="634"/>
      <c r="E806" s="635"/>
      <c r="F806" s="634"/>
      <c r="G806" s="636"/>
      <c r="H806" s="635"/>
      <c r="I806" s="635"/>
      <c r="J806" s="635"/>
      <c r="K806" s="635"/>
      <c r="L806" s="635"/>
      <c r="M806" s="635"/>
      <c r="N806" s="635"/>
      <c r="O806" s="635"/>
      <c r="P806" s="635"/>
      <c r="Q806" s="634"/>
      <c r="R806" s="634"/>
      <c r="S806" s="635"/>
      <c r="T806" s="635"/>
      <c r="U806" s="634"/>
      <c r="V806" s="634"/>
      <c r="W806" s="634"/>
      <c r="X806" s="634"/>
      <c r="Y806" s="634"/>
      <c r="Z806" s="634"/>
    </row>
    <row r="807" ht="15.75" customHeight="1">
      <c r="A807" s="634"/>
      <c r="B807" s="634"/>
      <c r="C807" s="634"/>
      <c r="D807" s="634"/>
      <c r="E807" s="635"/>
      <c r="F807" s="634"/>
      <c r="G807" s="636"/>
      <c r="H807" s="635"/>
      <c r="I807" s="635"/>
      <c r="J807" s="635"/>
      <c r="K807" s="635"/>
      <c r="L807" s="635"/>
      <c r="M807" s="635"/>
      <c r="N807" s="635"/>
      <c r="O807" s="635"/>
      <c r="P807" s="635"/>
      <c r="Q807" s="634"/>
      <c r="R807" s="634"/>
      <c r="S807" s="635"/>
      <c r="T807" s="635"/>
      <c r="U807" s="634"/>
      <c r="V807" s="634"/>
      <c r="W807" s="634"/>
      <c r="X807" s="634"/>
      <c r="Y807" s="634"/>
      <c r="Z807" s="634"/>
    </row>
    <row r="808" ht="15.75" customHeight="1">
      <c r="A808" s="634"/>
      <c r="B808" s="634"/>
      <c r="C808" s="634"/>
      <c r="D808" s="634"/>
      <c r="E808" s="635"/>
      <c r="F808" s="634"/>
      <c r="G808" s="636"/>
      <c r="H808" s="635"/>
      <c r="I808" s="635"/>
      <c r="J808" s="635"/>
      <c r="K808" s="635"/>
      <c r="L808" s="635"/>
      <c r="M808" s="635"/>
      <c r="N808" s="635"/>
      <c r="O808" s="635"/>
      <c r="P808" s="635"/>
      <c r="Q808" s="634"/>
      <c r="R808" s="634"/>
      <c r="S808" s="635"/>
      <c r="T808" s="635"/>
      <c r="U808" s="634"/>
      <c r="V808" s="634"/>
      <c r="W808" s="634"/>
      <c r="X808" s="634"/>
      <c r="Y808" s="634"/>
      <c r="Z808" s="634"/>
    </row>
    <row r="809" ht="15.75" customHeight="1">
      <c r="A809" s="634"/>
      <c r="B809" s="634"/>
      <c r="C809" s="634"/>
      <c r="D809" s="634"/>
      <c r="E809" s="635"/>
      <c r="F809" s="634"/>
      <c r="G809" s="636"/>
      <c r="H809" s="635"/>
      <c r="I809" s="635"/>
      <c r="J809" s="635"/>
      <c r="K809" s="635"/>
      <c r="L809" s="635"/>
      <c r="M809" s="635"/>
      <c r="N809" s="635"/>
      <c r="O809" s="635"/>
      <c r="P809" s="635"/>
      <c r="Q809" s="634"/>
      <c r="R809" s="634"/>
      <c r="S809" s="635"/>
      <c r="T809" s="635"/>
      <c r="U809" s="634"/>
      <c r="V809" s="634"/>
      <c r="W809" s="634"/>
      <c r="X809" s="634"/>
      <c r="Y809" s="634"/>
      <c r="Z809" s="634"/>
    </row>
    <row r="810" ht="15.75" customHeight="1">
      <c r="A810" s="634"/>
      <c r="B810" s="634"/>
      <c r="C810" s="634"/>
      <c r="D810" s="634"/>
      <c r="E810" s="635"/>
      <c r="F810" s="634"/>
      <c r="G810" s="636"/>
      <c r="H810" s="635"/>
      <c r="I810" s="635"/>
      <c r="J810" s="635"/>
      <c r="K810" s="635"/>
      <c r="L810" s="635"/>
      <c r="M810" s="635"/>
      <c r="N810" s="635"/>
      <c r="O810" s="635"/>
      <c r="P810" s="635"/>
      <c r="Q810" s="634"/>
      <c r="R810" s="634"/>
      <c r="S810" s="635"/>
      <c r="T810" s="635"/>
      <c r="U810" s="634"/>
      <c r="V810" s="634"/>
      <c r="W810" s="634"/>
      <c r="X810" s="634"/>
      <c r="Y810" s="634"/>
      <c r="Z810" s="634"/>
    </row>
    <row r="811" ht="15.75" customHeight="1">
      <c r="A811" s="634"/>
      <c r="B811" s="634"/>
      <c r="C811" s="634"/>
      <c r="D811" s="634"/>
      <c r="E811" s="635"/>
      <c r="F811" s="634"/>
      <c r="G811" s="636"/>
      <c r="H811" s="635"/>
      <c r="I811" s="635"/>
      <c r="J811" s="635"/>
      <c r="K811" s="635"/>
      <c r="L811" s="635"/>
      <c r="M811" s="635"/>
      <c r="N811" s="635"/>
      <c r="O811" s="635"/>
      <c r="P811" s="635"/>
      <c r="Q811" s="634"/>
      <c r="R811" s="634"/>
      <c r="S811" s="635"/>
      <c r="T811" s="635"/>
      <c r="U811" s="634"/>
      <c r="V811" s="634"/>
      <c r="W811" s="634"/>
      <c r="X811" s="634"/>
      <c r="Y811" s="634"/>
      <c r="Z811" s="634"/>
    </row>
    <row r="812" ht="15.75" customHeight="1">
      <c r="A812" s="634"/>
      <c r="B812" s="634"/>
      <c r="C812" s="634"/>
      <c r="D812" s="634"/>
      <c r="E812" s="635"/>
      <c r="F812" s="634"/>
      <c r="G812" s="636"/>
      <c r="H812" s="635"/>
      <c r="I812" s="635"/>
      <c r="J812" s="635"/>
      <c r="K812" s="635"/>
      <c r="L812" s="635"/>
      <c r="M812" s="635"/>
      <c r="N812" s="635"/>
      <c r="O812" s="635"/>
      <c r="P812" s="635"/>
      <c r="Q812" s="634"/>
      <c r="R812" s="634"/>
      <c r="S812" s="635"/>
      <c r="T812" s="635"/>
      <c r="U812" s="634"/>
      <c r="V812" s="634"/>
      <c r="W812" s="634"/>
      <c r="X812" s="634"/>
      <c r="Y812" s="634"/>
      <c r="Z812" s="634"/>
    </row>
    <row r="813" ht="15.75" customHeight="1">
      <c r="A813" s="634"/>
      <c r="B813" s="634"/>
      <c r="C813" s="634"/>
      <c r="D813" s="634"/>
      <c r="E813" s="635"/>
      <c r="F813" s="634"/>
      <c r="G813" s="636"/>
      <c r="H813" s="635"/>
      <c r="I813" s="635"/>
      <c r="J813" s="635"/>
      <c r="K813" s="635"/>
      <c r="L813" s="635"/>
      <c r="M813" s="635"/>
      <c r="N813" s="635"/>
      <c r="O813" s="635"/>
      <c r="P813" s="635"/>
      <c r="Q813" s="634"/>
      <c r="R813" s="634"/>
      <c r="S813" s="635"/>
      <c r="T813" s="635"/>
      <c r="U813" s="634"/>
      <c r="V813" s="634"/>
      <c r="W813" s="634"/>
      <c r="X813" s="634"/>
      <c r="Y813" s="634"/>
      <c r="Z813" s="634"/>
    </row>
    <row r="814" ht="15.75" customHeight="1">
      <c r="A814" s="634"/>
      <c r="B814" s="634"/>
      <c r="C814" s="634"/>
      <c r="D814" s="634"/>
      <c r="E814" s="635"/>
      <c r="F814" s="634"/>
      <c r="G814" s="636"/>
      <c r="H814" s="635"/>
      <c r="I814" s="635"/>
      <c r="J814" s="635"/>
      <c r="K814" s="635"/>
      <c r="L814" s="635"/>
      <c r="M814" s="635"/>
      <c r="N814" s="635"/>
      <c r="O814" s="635"/>
      <c r="P814" s="635"/>
      <c r="Q814" s="634"/>
      <c r="R814" s="634"/>
      <c r="S814" s="635"/>
      <c r="T814" s="635"/>
      <c r="U814" s="634"/>
      <c r="V814" s="634"/>
      <c r="W814" s="634"/>
      <c r="X814" s="634"/>
      <c r="Y814" s="634"/>
      <c r="Z814" s="634"/>
    </row>
    <row r="815" ht="15.75" customHeight="1">
      <c r="A815" s="634"/>
      <c r="B815" s="634"/>
      <c r="C815" s="634"/>
      <c r="D815" s="634"/>
      <c r="E815" s="635"/>
      <c r="F815" s="634"/>
      <c r="G815" s="636"/>
      <c r="H815" s="635"/>
      <c r="I815" s="635"/>
      <c r="J815" s="635"/>
      <c r="K815" s="635"/>
      <c r="L815" s="635"/>
      <c r="M815" s="635"/>
      <c r="N815" s="635"/>
      <c r="O815" s="635"/>
      <c r="P815" s="635"/>
      <c r="Q815" s="634"/>
      <c r="R815" s="634"/>
      <c r="S815" s="635"/>
      <c r="T815" s="635"/>
      <c r="U815" s="634"/>
      <c r="V815" s="634"/>
      <c r="W815" s="634"/>
      <c r="X815" s="634"/>
      <c r="Y815" s="634"/>
      <c r="Z815" s="634"/>
    </row>
    <row r="816" ht="15.75" customHeight="1">
      <c r="A816" s="634"/>
      <c r="B816" s="634"/>
      <c r="C816" s="634"/>
      <c r="D816" s="634"/>
      <c r="E816" s="635"/>
      <c r="F816" s="634"/>
      <c r="G816" s="636"/>
      <c r="H816" s="635"/>
      <c r="I816" s="635"/>
      <c r="J816" s="635"/>
      <c r="K816" s="635"/>
      <c r="L816" s="635"/>
      <c r="M816" s="635"/>
      <c r="N816" s="635"/>
      <c r="O816" s="635"/>
      <c r="P816" s="635"/>
      <c r="Q816" s="634"/>
      <c r="R816" s="634"/>
      <c r="S816" s="635"/>
      <c r="T816" s="635"/>
      <c r="U816" s="634"/>
      <c r="V816" s="634"/>
      <c r="W816" s="634"/>
      <c r="X816" s="634"/>
      <c r="Y816" s="634"/>
      <c r="Z816" s="634"/>
    </row>
    <row r="817" ht="15.75" customHeight="1">
      <c r="A817" s="634"/>
      <c r="B817" s="634"/>
      <c r="C817" s="634"/>
      <c r="D817" s="634"/>
      <c r="E817" s="635"/>
      <c r="F817" s="634"/>
      <c r="G817" s="636"/>
      <c r="H817" s="635"/>
      <c r="I817" s="635"/>
      <c r="J817" s="635"/>
      <c r="K817" s="635"/>
      <c r="L817" s="635"/>
      <c r="M817" s="635"/>
      <c r="N817" s="635"/>
      <c r="O817" s="635"/>
      <c r="P817" s="635"/>
      <c r="Q817" s="634"/>
      <c r="R817" s="634"/>
      <c r="S817" s="635"/>
      <c r="T817" s="635"/>
      <c r="U817" s="634"/>
      <c r="V817" s="634"/>
      <c r="W817" s="634"/>
      <c r="X817" s="634"/>
      <c r="Y817" s="634"/>
      <c r="Z817" s="634"/>
    </row>
    <row r="818" ht="15.75" customHeight="1">
      <c r="A818" s="634"/>
      <c r="B818" s="634"/>
      <c r="C818" s="634"/>
      <c r="D818" s="634"/>
      <c r="E818" s="635"/>
      <c r="F818" s="634"/>
      <c r="G818" s="636"/>
      <c r="H818" s="635"/>
      <c r="I818" s="635"/>
      <c r="J818" s="635"/>
      <c r="K818" s="635"/>
      <c r="L818" s="635"/>
      <c r="M818" s="635"/>
      <c r="N818" s="635"/>
      <c r="O818" s="635"/>
      <c r="P818" s="635"/>
      <c r="Q818" s="634"/>
      <c r="R818" s="634"/>
      <c r="S818" s="635"/>
      <c r="T818" s="635"/>
      <c r="U818" s="634"/>
      <c r="V818" s="634"/>
      <c r="W818" s="634"/>
      <c r="X818" s="634"/>
      <c r="Y818" s="634"/>
      <c r="Z818" s="634"/>
    </row>
    <row r="819" ht="15.75" customHeight="1">
      <c r="A819" s="634"/>
      <c r="B819" s="634"/>
      <c r="C819" s="634"/>
      <c r="D819" s="634"/>
      <c r="E819" s="635"/>
      <c r="F819" s="634"/>
      <c r="G819" s="636"/>
      <c r="H819" s="635"/>
      <c r="I819" s="635"/>
      <c r="J819" s="635"/>
      <c r="K819" s="635"/>
      <c r="L819" s="635"/>
      <c r="M819" s="635"/>
      <c r="N819" s="635"/>
      <c r="O819" s="635"/>
      <c r="P819" s="635"/>
      <c r="Q819" s="634"/>
      <c r="R819" s="634"/>
      <c r="S819" s="635"/>
      <c r="T819" s="635"/>
      <c r="U819" s="634"/>
      <c r="V819" s="634"/>
      <c r="W819" s="634"/>
      <c r="X819" s="634"/>
      <c r="Y819" s="634"/>
      <c r="Z819" s="634"/>
    </row>
    <row r="820" ht="15.75" customHeight="1">
      <c r="A820" s="634"/>
      <c r="B820" s="634"/>
      <c r="C820" s="634"/>
      <c r="D820" s="634"/>
      <c r="E820" s="635"/>
      <c r="F820" s="634"/>
      <c r="G820" s="636"/>
      <c r="H820" s="635"/>
      <c r="I820" s="635"/>
      <c r="J820" s="635"/>
      <c r="K820" s="635"/>
      <c r="L820" s="635"/>
      <c r="M820" s="635"/>
      <c r="N820" s="635"/>
      <c r="O820" s="635"/>
      <c r="P820" s="635"/>
      <c r="Q820" s="634"/>
      <c r="R820" s="634"/>
      <c r="S820" s="635"/>
      <c r="T820" s="635"/>
      <c r="U820" s="634"/>
      <c r="V820" s="634"/>
      <c r="W820" s="634"/>
      <c r="X820" s="634"/>
      <c r="Y820" s="634"/>
      <c r="Z820" s="634"/>
    </row>
    <row r="821" ht="15.75" customHeight="1">
      <c r="A821" s="634"/>
      <c r="B821" s="634"/>
      <c r="C821" s="634"/>
      <c r="D821" s="634"/>
      <c r="E821" s="635"/>
      <c r="F821" s="634"/>
      <c r="G821" s="636"/>
      <c r="H821" s="635"/>
      <c r="I821" s="635"/>
      <c r="J821" s="635"/>
      <c r="K821" s="635"/>
      <c r="L821" s="635"/>
      <c r="M821" s="635"/>
      <c r="N821" s="635"/>
      <c r="O821" s="635"/>
      <c r="P821" s="635"/>
      <c r="Q821" s="634"/>
      <c r="R821" s="634"/>
      <c r="S821" s="635"/>
      <c r="T821" s="635"/>
      <c r="U821" s="634"/>
      <c r="V821" s="634"/>
      <c r="W821" s="634"/>
      <c r="X821" s="634"/>
      <c r="Y821" s="634"/>
      <c r="Z821" s="634"/>
    </row>
    <row r="822" ht="15.75" customHeight="1">
      <c r="A822" s="634"/>
      <c r="B822" s="634"/>
      <c r="C822" s="634"/>
      <c r="D822" s="634"/>
      <c r="E822" s="635"/>
      <c r="F822" s="634"/>
      <c r="G822" s="636"/>
      <c r="H822" s="635"/>
      <c r="I822" s="635"/>
      <c r="J822" s="635"/>
      <c r="K822" s="635"/>
      <c r="L822" s="635"/>
      <c r="M822" s="635"/>
      <c r="N822" s="635"/>
      <c r="O822" s="635"/>
      <c r="P822" s="635"/>
      <c r="Q822" s="634"/>
      <c r="R822" s="634"/>
      <c r="S822" s="635"/>
      <c r="T822" s="635"/>
      <c r="U822" s="634"/>
      <c r="V822" s="634"/>
      <c r="W822" s="634"/>
      <c r="X822" s="634"/>
      <c r="Y822" s="634"/>
      <c r="Z822" s="634"/>
    </row>
    <row r="823" ht="15.75" customHeight="1">
      <c r="A823" s="634"/>
      <c r="B823" s="634"/>
      <c r="C823" s="634"/>
      <c r="D823" s="634"/>
      <c r="E823" s="635"/>
      <c r="F823" s="634"/>
      <c r="G823" s="636"/>
      <c r="H823" s="635"/>
      <c r="I823" s="635"/>
      <c r="J823" s="635"/>
      <c r="K823" s="635"/>
      <c r="L823" s="635"/>
      <c r="M823" s="635"/>
      <c r="N823" s="635"/>
      <c r="O823" s="635"/>
      <c r="P823" s="635"/>
      <c r="Q823" s="634"/>
      <c r="R823" s="634"/>
      <c r="S823" s="635"/>
      <c r="T823" s="635"/>
      <c r="U823" s="634"/>
      <c r="V823" s="634"/>
      <c r="W823" s="634"/>
      <c r="X823" s="634"/>
      <c r="Y823" s="634"/>
      <c r="Z823" s="634"/>
    </row>
    <row r="824" ht="15.75" customHeight="1">
      <c r="A824" s="634"/>
      <c r="B824" s="634"/>
      <c r="C824" s="634"/>
      <c r="D824" s="634"/>
      <c r="E824" s="635"/>
      <c r="F824" s="634"/>
      <c r="G824" s="636"/>
      <c r="H824" s="635"/>
      <c r="I824" s="635"/>
      <c r="J824" s="635"/>
      <c r="K824" s="635"/>
      <c r="L824" s="635"/>
      <c r="M824" s="635"/>
      <c r="N824" s="635"/>
      <c r="O824" s="635"/>
      <c r="P824" s="635"/>
      <c r="Q824" s="634"/>
      <c r="R824" s="634"/>
      <c r="S824" s="635"/>
      <c r="T824" s="635"/>
      <c r="U824" s="634"/>
      <c r="V824" s="634"/>
      <c r="W824" s="634"/>
      <c r="X824" s="634"/>
      <c r="Y824" s="634"/>
      <c r="Z824" s="634"/>
    </row>
    <row r="825" ht="15.75" customHeight="1">
      <c r="A825" s="634"/>
      <c r="B825" s="634"/>
      <c r="C825" s="634"/>
      <c r="D825" s="634"/>
      <c r="E825" s="635"/>
      <c r="F825" s="634"/>
      <c r="G825" s="636"/>
      <c r="H825" s="635"/>
      <c r="I825" s="635"/>
      <c r="J825" s="635"/>
      <c r="K825" s="635"/>
      <c r="L825" s="635"/>
      <c r="M825" s="635"/>
      <c r="N825" s="635"/>
      <c r="O825" s="635"/>
      <c r="P825" s="635"/>
      <c r="Q825" s="634"/>
      <c r="R825" s="634"/>
      <c r="S825" s="635"/>
      <c r="T825" s="635"/>
      <c r="U825" s="634"/>
      <c r="V825" s="634"/>
      <c r="W825" s="634"/>
      <c r="X825" s="634"/>
      <c r="Y825" s="634"/>
      <c r="Z825" s="634"/>
    </row>
    <row r="826" ht="15.75" customHeight="1">
      <c r="A826" s="634"/>
      <c r="B826" s="634"/>
      <c r="C826" s="634"/>
      <c r="D826" s="634"/>
      <c r="E826" s="635"/>
      <c r="F826" s="634"/>
      <c r="G826" s="636"/>
      <c r="H826" s="635"/>
      <c r="I826" s="635"/>
      <c r="J826" s="635"/>
      <c r="K826" s="635"/>
      <c r="L826" s="635"/>
      <c r="M826" s="635"/>
      <c r="N826" s="635"/>
      <c r="O826" s="635"/>
      <c r="P826" s="635"/>
      <c r="Q826" s="634"/>
      <c r="R826" s="634"/>
      <c r="S826" s="635"/>
      <c r="T826" s="635"/>
      <c r="U826" s="634"/>
      <c r="V826" s="634"/>
      <c r="W826" s="634"/>
      <c r="X826" s="634"/>
      <c r="Y826" s="634"/>
      <c r="Z826" s="634"/>
    </row>
    <row r="827" ht="15.75" customHeight="1">
      <c r="A827" s="634"/>
      <c r="B827" s="634"/>
      <c r="C827" s="634"/>
      <c r="D827" s="634"/>
      <c r="E827" s="635"/>
      <c r="F827" s="634"/>
      <c r="G827" s="636"/>
      <c r="H827" s="635"/>
      <c r="I827" s="635"/>
      <c r="J827" s="635"/>
      <c r="K827" s="635"/>
      <c r="L827" s="635"/>
      <c r="M827" s="635"/>
      <c r="N827" s="635"/>
      <c r="O827" s="635"/>
      <c r="P827" s="635"/>
      <c r="Q827" s="634"/>
      <c r="R827" s="634"/>
      <c r="S827" s="635"/>
      <c r="T827" s="635"/>
      <c r="U827" s="634"/>
      <c r="V827" s="634"/>
      <c r="W827" s="634"/>
      <c r="X827" s="634"/>
      <c r="Y827" s="634"/>
      <c r="Z827" s="634"/>
    </row>
    <row r="828" ht="15.75" customHeight="1">
      <c r="A828" s="634"/>
      <c r="B828" s="634"/>
      <c r="C828" s="634"/>
      <c r="D828" s="634"/>
      <c r="E828" s="635"/>
      <c r="F828" s="634"/>
      <c r="G828" s="636"/>
      <c r="H828" s="635"/>
      <c r="I828" s="635"/>
      <c r="J828" s="635"/>
      <c r="K828" s="635"/>
      <c r="L828" s="635"/>
      <c r="M828" s="635"/>
      <c r="N828" s="635"/>
      <c r="O828" s="635"/>
      <c r="P828" s="635"/>
      <c r="Q828" s="634"/>
      <c r="R828" s="634"/>
      <c r="S828" s="635"/>
      <c r="T828" s="635"/>
      <c r="U828" s="634"/>
      <c r="V828" s="634"/>
      <c r="W828" s="634"/>
      <c r="X828" s="634"/>
      <c r="Y828" s="634"/>
      <c r="Z828" s="634"/>
    </row>
    <row r="829" ht="15.75" customHeight="1">
      <c r="A829" s="634"/>
      <c r="B829" s="634"/>
      <c r="C829" s="634"/>
      <c r="D829" s="634"/>
      <c r="E829" s="635"/>
      <c r="F829" s="634"/>
      <c r="G829" s="636"/>
      <c r="H829" s="635"/>
      <c r="I829" s="635"/>
      <c r="J829" s="635"/>
      <c r="K829" s="635"/>
      <c r="L829" s="635"/>
      <c r="M829" s="635"/>
      <c r="N829" s="635"/>
      <c r="O829" s="635"/>
      <c r="P829" s="635"/>
      <c r="Q829" s="634"/>
      <c r="R829" s="634"/>
      <c r="S829" s="635"/>
      <c r="T829" s="635"/>
      <c r="U829" s="634"/>
      <c r="V829" s="634"/>
      <c r="W829" s="634"/>
      <c r="X829" s="634"/>
      <c r="Y829" s="634"/>
      <c r="Z829" s="634"/>
    </row>
    <row r="830" ht="15.75" customHeight="1">
      <c r="A830" s="634"/>
      <c r="B830" s="634"/>
      <c r="C830" s="634"/>
      <c r="D830" s="634"/>
      <c r="E830" s="635"/>
      <c r="F830" s="634"/>
      <c r="G830" s="636"/>
      <c r="H830" s="635"/>
      <c r="I830" s="635"/>
      <c r="J830" s="635"/>
      <c r="K830" s="635"/>
      <c r="L830" s="635"/>
      <c r="M830" s="635"/>
      <c r="N830" s="635"/>
      <c r="O830" s="635"/>
      <c r="P830" s="635"/>
      <c r="Q830" s="634"/>
      <c r="R830" s="634"/>
      <c r="S830" s="635"/>
      <c r="T830" s="635"/>
      <c r="U830" s="634"/>
      <c r="V830" s="634"/>
      <c r="W830" s="634"/>
      <c r="X830" s="634"/>
      <c r="Y830" s="634"/>
      <c r="Z830" s="634"/>
    </row>
    <row r="831" ht="15.75" customHeight="1">
      <c r="A831" s="634"/>
      <c r="B831" s="634"/>
      <c r="C831" s="634"/>
      <c r="D831" s="634"/>
      <c r="E831" s="635"/>
      <c r="F831" s="634"/>
      <c r="G831" s="636"/>
      <c r="H831" s="635"/>
      <c r="I831" s="635"/>
      <c r="J831" s="635"/>
      <c r="K831" s="635"/>
      <c r="L831" s="635"/>
      <c r="M831" s="635"/>
      <c r="N831" s="635"/>
      <c r="O831" s="635"/>
      <c r="P831" s="635"/>
      <c r="Q831" s="634"/>
      <c r="R831" s="634"/>
      <c r="S831" s="635"/>
      <c r="T831" s="635"/>
      <c r="U831" s="634"/>
      <c r="V831" s="634"/>
      <c r="W831" s="634"/>
      <c r="X831" s="634"/>
      <c r="Y831" s="634"/>
      <c r="Z831" s="634"/>
    </row>
    <row r="832" ht="15.75" customHeight="1">
      <c r="A832" s="634"/>
      <c r="B832" s="634"/>
      <c r="C832" s="634"/>
      <c r="D832" s="634"/>
      <c r="E832" s="635"/>
      <c r="F832" s="634"/>
      <c r="G832" s="636"/>
      <c r="H832" s="635"/>
      <c r="I832" s="635"/>
      <c r="J832" s="635"/>
      <c r="K832" s="635"/>
      <c r="L832" s="635"/>
      <c r="M832" s="635"/>
      <c r="N832" s="635"/>
      <c r="O832" s="635"/>
      <c r="P832" s="635"/>
      <c r="Q832" s="634"/>
      <c r="R832" s="634"/>
      <c r="S832" s="635"/>
      <c r="T832" s="635"/>
      <c r="U832" s="634"/>
      <c r="V832" s="634"/>
      <c r="W832" s="634"/>
      <c r="X832" s="634"/>
      <c r="Y832" s="634"/>
      <c r="Z832" s="634"/>
    </row>
    <row r="833" ht="15.75" customHeight="1">
      <c r="A833" s="634"/>
      <c r="B833" s="634"/>
      <c r="C833" s="634"/>
      <c r="D833" s="634"/>
      <c r="E833" s="635"/>
      <c r="F833" s="634"/>
      <c r="G833" s="636"/>
      <c r="H833" s="635"/>
      <c r="I833" s="635"/>
      <c r="J833" s="635"/>
      <c r="K833" s="635"/>
      <c r="L833" s="635"/>
      <c r="M833" s="635"/>
      <c r="N833" s="635"/>
      <c r="O833" s="635"/>
      <c r="P833" s="635"/>
      <c r="Q833" s="634"/>
      <c r="R833" s="634"/>
      <c r="S833" s="635"/>
      <c r="T833" s="635"/>
      <c r="U833" s="634"/>
      <c r="V833" s="634"/>
      <c r="W833" s="634"/>
      <c r="X833" s="634"/>
      <c r="Y833" s="634"/>
      <c r="Z833" s="634"/>
    </row>
    <row r="834" ht="15.75" customHeight="1">
      <c r="A834" s="634"/>
      <c r="B834" s="634"/>
      <c r="C834" s="634"/>
      <c r="D834" s="634"/>
      <c r="E834" s="635"/>
      <c r="F834" s="634"/>
      <c r="G834" s="636"/>
      <c r="H834" s="635"/>
      <c r="I834" s="635"/>
      <c r="J834" s="635"/>
      <c r="K834" s="635"/>
      <c r="L834" s="635"/>
      <c r="M834" s="635"/>
      <c r="N834" s="635"/>
      <c r="O834" s="635"/>
      <c r="P834" s="635"/>
      <c r="Q834" s="634"/>
      <c r="R834" s="634"/>
      <c r="S834" s="635"/>
      <c r="T834" s="635"/>
      <c r="U834" s="634"/>
      <c r="V834" s="634"/>
      <c r="W834" s="634"/>
      <c r="X834" s="634"/>
      <c r="Y834" s="634"/>
      <c r="Z834" s="634"/>
    </row>
    <row r="835" ht="15.75" customHeight="1">
      <c r="A835" s="634"/>
      <c r="B835" s="634"/>
      <c r="C835" s="634"/>
      <c r="D835" s="634"/>
      <c r="E835" s="635"/>
      <c r="F835" s="634"/>
      <c r="G835" s="636"/>
      <c r="H835" s="635"/>
      <c r="I835" s="635"/>
      <c r="J835" s="635"/>
      <c r="K835" s="635"/>
      <c r="L835" s="635"/>
      <c r="M835" s="635"/>
      <c r="N835" s="635"/>
      <c r="O835" s="635"/>
      <c r="P835" s="635"/>
      <c r="Q835" s="634"/>
      <c r="R835" s="634"/>
      <c r="S835" s="635"/>
      <c r="T835" s="635"/>
      <c r="U835" s="634"/>
      <c r="V835" s="634"/>
      <c r="W835" s="634"/>
      <c r="X835" s="634"/>
      <c r="Y835" s="634"/>
      <c r="Z835" s="634"/>
    </row>
    <row r="836" ht="15.75" customHeight="1">
      <c r="A836" s="634"/>
      <c r="B836" s="634"/>
      <c r="C836" s="634"/>
      <c r="D836" s="634"/>
      <c r="E836" s="635"/>
      <c r="F836" s="634"/>
      <c r="G836" s="636"/>
      <c r="H836" s="635"/>
      <c r="I836" s="635"/>
      <c r="J836" s="635"/>
      <c r="K836" s="635"/>
      <c r="L836" s="635"/>
      <c r="M836" s="635"/>
      <c r="N836" s="635"/>
      <c r="O836" s="635"/>
      <c r="P836" s="635"/>
      <c r="Q836" s="634"/>
      <c r="R836" s="634"/>
      <c r="S836" s="635"/>
      <c r="T836" s="635"/>
      <c r="U836" s="634"/>
      <c r="V836" s="634"/>
      <c r="W836" s="634"/>
      <c r="X836" s="634"/>
      <c r="Y836" s="634"/>
      <c r="Z836" s="634"/>
    </row>
    <row r="837" ht="15.75" customHeight="1">
      <c r="A837" s="634"/>
      <c r="B837" s="634"/>
      <c r="C837" s="634"/>
      <c r="D837" s="634"/>
      <c r="E837" s="635"/>
      <c r="F837" s="634"/>
      <c r="G837" s="636"/>
      <c r="H837" s="635"/>
      <c r="I837" s="635"/>
      <c r="J837" s="635"/>
      <c r="K837" s="635"/>
      <c r="L837" s="635"/>
      <c r="M837" s="635"/>
      <c r="N837" s="635"/>
      <c r="O837" s="635"/>
      <c r="P837" s="635"/>
      <c r="Q837" s="634"/>
      <c r="R837" s="634"/>
      <c r="S837" s="635"/>
      <c r="T837" s="635"/>
      <c r="U837" s="634"/>
      <c r="V837" s="634"/>
      <c r="W837" s="634"/>
      <c r="X837" s="634"/>
      <c r="Y837" s="634"/>
      <c r="Z837" s="634"/>
    </row>
    <row r="838" ht="15.75" customHeight="1">
      <c r="A838" s="634"/>
      <c r="B838" s="634"/>
      <c r="C838" s="634"/>
      <c r="D838" s="634"/>
      <c r="E838" s="635"/>
      <c r="F838" s="634"/>
      <c r="G838" s="636"/>
      <c r="H838" s="635"/>
      <c r="I838" s="635"/>
      <c r="J838" s="635"/>
      <c r="K838" s="635"/>
      <c r="L838" s="635"/>
      <c r="M838" s="635"/>
      <c r="N838" s="635"/>
      <c r="O838" s="635"/>
      <c r="P838" s="635"/>
      <c r="Q838" s="634"/>
      <c r="R838" s="634"/>
      <c r="S838" s="635"/>
      <c r="T838" s="635"/>
      <c r="U838" s="634"/>
      <c r="V838" s="634"/>
      <c r="W838" s="634"/>
      <c r="X838" s="634"/>
      <c r="Y838" s="634"/>
      <c r="Z838" s="634"/>
    </row>
    <row r="839" ht="15.75" customHeight="1">
      <c r="A839" s="634"/>
      <c r="B839" s="634"/>
      <c r="C839" s="634"/>
      <c r="D839" s="634"/>
      <c r="E839" s="635"/>
      <c r="F839" s="634"/>
      <c r="G839" s="636"/>
      <c r="H839" s="635"/>
      <c r="I839" s="635"/>
      <c r="J839" s="635"/>
      <c r="K839" s="635"/>
      <c r="L839" s="635"/>
      <c r="M839" s="635"/>
      <c r="N839" s="635"/>
      <c r="O839" s="635"/>
      <c r="P839" s="635"/>
      <c r="Q839" s="634"/>
      <c r="R839" s="634"/>
      <c r="S839" s="635"/>
      <c r="T839" s="635"/>
      <c r="U839" s="634"/>
      <c r="V839" s="634"/>
      <c r="W839" s="634"/>
      <c r="X839" s="634"/>
      <c r="Y839" s="634"/>
      <c r="Z839" s="634"/>
    </row>
    <row r="840" ht="15.75" customHeight="1">
      <c r="A840" s="634"/>
      <c r="B840" s="634"/>
      <c r="C840" s="634"/>
      <c r="D840" s="634"/>
      <c r="E840" s="635"/>
      <c r="F840" s="634"/>
      <c r="G840" s="636"/>
      <c r="H840" s="635"/>
      <c r="I840" s="635"/>
      <c r="J840" s="635"/>
      <c r="K840" s="635"/>
      <c r="L840" s="635"/>
      <c r="M840" s="635"/>
      <c r="N840" s="635"/>
      <c r="O840" s="635"/>
      <c r="P840" s="635"/>
      <c r="Q840" s="634"/>
      <c r="R840" s="634"/>
      <c r="S840" s="635"/>
      <c r="T840" s="635"/>
      <c r="U840" s="634"/>
      <c r="V840" s="634"/>
      <c r="W840" s="634"/>
      <c r="X840" s="634"/>
      <c r="Y840" s="634"/>
      <c r="Z840" s="634"/>
    </row>
    <row r="841" ht="15.75" customHeight="1">
      <c r="A841" s="634"/>
      <c r="B841" s="634"/>
      <c r="C841" s="634"/>
      <c r="D841" s="634"/>
      <c r="E841" s="635"/>
      <c r="F841" s="634"/>
      <c r="G841" s="636"/>
      <c r="H841" s="635"/>
      <c r="I841" s="635"/>
      <c r="J841" s="635"/>
      <c r="K841" s="635"/>
      <c r="L841" s="635"/>
      <c r="M841" s="635"/>
      <c r="N841" s="635"/>
      <c r="O841" s="635"/>
      <c r="P841" s="635"/>
      <c r="Q841" s="634"/>
      <c r="R841" s="634"/>
      <c r="S841" s="635"/>
      <c r="T841" s="635"/>
      <c r="U841" s="634"/>
      <c r="V841" s="634"/>
      <c r="W841" s="634"/>
      <c r="X841" s="634"/>
      <c r="Y841" s="634"/>
      <c r="Z841" s="634"/>
    </row>
    <row r="842" ht="15.75" customHeight="1">
      <c r="A842" s="634"/>
      <c r="B842" s="634"/>
      <c r="C842" s="634"/>
      <c r="D842" s="634"/>
      <c r="E842" s="635"/>
      <c r="F842" s="634"/>
      <c r="G842" s="636"/>
      <c r="H842" s="635"/>
      <c r="I842" s="635"/>
      <c r="J842" s="635"/>
      <c r="K842" s="635"/>
      <c r="L842" s="635"/>
      <c r="M842" s="635"/>
      <c r="N842" s="635"/>
      <c r="O842" s="635"/>
      <c r="P842" s="635"/>
      <c r="Q842" s="634"/>
      <c r="R842" s="634"/>
      <c r="S842" s="635"/>
      <c r="T842" s="635"/>
      <c r="U842" s="634"/>
      <c r="V842" s="634"/>
      <c r="W842" s="634"/>
      <c r="X842" s="634"/>
      <c r="Y842" s="634"/>
      <c r="Z842" s="634"/>
    </row>
    <row r="843" ht="15.75" customHeight="1">
      <c r="A843" s="634"/>
      <c r="B843" s="634"/>
      <c r="C843" s="634"/>
      <c r="D843" s="634"/>
      <c r="E843" s="635"/>
      <c r="F843" s="634"/>
      <c r="G843" s="636"/>
      <c r="H843" s="635"/>
      <c r="I843" s="635"/>
      <c r="J843" s="635"/>
      <c r="K843" s="635"/>
      <c r="L843" s="635"/>
      <c r="M843" s="635"/>
      <c r="N843" s="635"/>
      <c r="O843" s="635"/>
      <c r="P843" s="635"/>
      <c r="Q843" s="634"/>
      <c r="R843" s="634"/>
      <c r="S843" s="635"/>
      <c r="T843" s="635"/>
      <c r="U843" s="634"/>
      <c r="V843" s="634"/>
      <c r="W843" s="634"/>
      <c r="X843" s="634"/>
      <c r="Y843" s="634"/>
      <c r="Z843" s="634"/>
    </row>
    <row r="844" ht="15.75" customHeight="1">
      <c r="A844" s="634"/>
      <c r="B844" s="634"/>
      <c r="C844" s="634"/>
      <c r="D844" s="634"/>
      <c r="E844" s="635"/>
      <c r="F844" s="634"/>
      <c r="G844" s="636"/>
      <c r="H844" s="635"/>
      <c r="I844" s="635"/>
      <c r="J844" s="635"/>
      <c r="K844" s="635"/>
      <c r="L844" s="635"/>
      <c r="M844" s="635"/>
      <c r="N844" s="635"/>
      <c r="O844" s="635"/>
      <c r="P844" s="635"/>
      <c r="Q844" s="634"/>
      <c r="R844" s="634"/>
      <c r="S844" s="635"/>
      <c r="T844" s="635"/>
      <c r="U844" s="634"/>
      <c r="V844" s="634"/>
      <c r="W844" s="634"/>
      <c r="X844" s="634"/>
      <c r="Y844" s="634"/>
      <c r="Z844" s="634"/>
    </row>
    <row r="845" ht="15.75" customHeight="1">
      <c r="A845" s="634"/>
      <c r="B845" s="634"/>
      <c r="C845" s="634"/>
      <c r="D845" s="634"/>
      <c r="E845" s="635"/>
      <c r="F845" s="634"/>
      <c r="G845" s="636"/>
      <c r="H845" s="635"/>
      <c r="I845" s="635"/>
      <c r="J845" s="635"/>
      <c r="K845" s="635"/>
      <c r="L845" s="635"/>
      <c r="M845" s="635"/>
      <c r="N845" s="635"/>
      <c r="O845" s="635"/>
      <c r="P845" s="635"/>
      <c r="Q845" s="634"/>
      <c r="R845" s="634"/>
      <c r="S845" s="635"/>
      <c r="T845" s="635"/>
      <c r="U845" s="634"/>
      <c r="V845" s="634"/>
      <c r="W845" s="634"/>
      <c r="X845" s="634"/>
      <c r="Y845" s="634"/>
      <c r="Z845" s="634"/>
    </row>
    <row r="846" ht="15.75" customHeight="1">
      <c r="A846" s="634"/>
      <c r="B846" s="634"/>
      <c r="C846" s="634"/>
      <c r="D846" s="634"/>
      <c r="E846" s="635"/>
      <c r="F846" s="634"/>
      <c r="G846" s="636"/>
      <c r="H846" s="635"/>
      <c r="I846" s="635"/>
      <c r="J846" s="635"/>
      <c r="K846" s="635"/>
      <c r="L846" s="635"/>
      <c r="M846" s="635"/>
      <c r="N846" s="635"/>
      <c r="O846" s="635"/>
      <c r="P846" s="635"/>
      <c r="Q846" s="634"/>
      <c r="R846" s="634"/>
      <c r="S846" s="635"/>
      <c r="T846" s="635"/>
      <c r="U846" s="634"/>
      <c r="V846" s="634"/>
      <c r="W846" s="634"/>
      <c r="X846" s="634"/>
      <c r="Y846" s="634"/>
      <c r="Z846" s="634"/>
    </row>
    <row r="847" ht="15.75" customHeight="1">
      <c r="A847" s="634"/>
      <c r="B847" s="634"/>
      <c r="C847" s="634"/>
      <c r="D847" s="634"/>
      <c r="E847" s="635"/>
      <c r="F847" s="634"/>
      <c r="G847" s="636"/>
      <c r="H847" s="635"/>
      <c r="I847" s="635"/>
      <c r="J847" s="635"/>
      <c r="K847" s="635"/>
      <c r="L847" s="635"/>
      <c r="M847" s="635"/>
      <c r="N847" s="635"/>
      <c r="O847" s="635"/>
      <c r="P847" s="635"/>
      <c r="Q847" s="634"/>
      <c r="R847" s="634"/>
      <c r="S847" s="635"/>
      <c r="T847" s="635"/>
      <c r="U847" s="634"/>
      <c r="V847" s="634"/>
      <c r="W847" s="634"/>
      <c r="X847" s="634"/>
      <c r="Y847" s="634"/>
      <c r="Z847" s="634"/>
    </row>
    <row r="848" ht="15.75" customHeight="1">
      <c r="A848" s="634"/>
      <c r="B848" s="634"/>
      <c r="C848" s="634"/>
      <c r="D848" s="634"/>
      <c r="E848" s="635"/>
      <c r="F848" s="634"/>
      <c r="G848" s="636"/>
      <c r="H848" s="635"/>
      <c r="I848" s="635"/>
      <c r="J848" s="635"/>
      <c r="K848" s="635"/>
      <c r="L848" s="635"/>
      <c r="M848" s="635"/>
      <c r="N848" s="635"/>
      <c r="O848" s="635"/>
      <c r="P848" s="635"/>
      <c r="Q848" s="634"/>
      <c r="R848" s="634"/>
      <c r="S848" s="635"/>
      <c r="T848" s="635"/>
      <c r="U848" s="634"/>
      <c r="V848" s="634"/>
      <c r="W848" s="634"/>
      <c r="X848" s="634"/>
      <c r="Y848" s="634"/>
      <c r="Z848" s="634"/>
    </row>
    <row r="849" ht="15.75" customHeight="1">
      <c r="A849" s="634"/>
      <c r="B849" s="634"/>
      <c r="C849" s="634"/>
      <c r="D849" s="634"/>
      <c r="E849" s="635"/>
      <c r="F849" s="634"/>
      <c r="G849" s="636"/>
      <c r="H849" s="635"/>
      <c r="I849" s="635"/>
      <c r="J849" s="635"/>
      <c r="K849" s="635"/>
      <c r="L849" s="635"/>
      <c r="M849" s="635"/>
      <c r="N849" s="635"/>
      <c r="O849" s="635"/>
      <c r="P849" s="635"/>
      <c r="Q849" s="634"/>
      <c r="R849" s="634"/>
      <c r="S849" s="635"/>
      <c r="T849" s="635"/>
      <c r="U849" s="634"/>
      <c r="V849" s="634"/>
      <c r="W849" s="634"/>
      <c r="X849" s="634"/>
      <c r="Y849" s="634"/>
      <c r="Z849" s="634"/>
    </row>
    <row r="850" ht="15.75" customHeight="1">
      <c r="A850" s="634"/>
      <c r="B850" s="634"/>
      <c r="C850" s="634"/>
      <c r="D850" s="634"/>
      <c r="E850" s="635"/>
      <c r="F850" s="634"/>
      <c r="G850" s="636"/>
      <c r="H850" s="635"/>
      <c r="I850" s="635"/>
      <c r="J850" s="635"/>
      <c r="K850" s="635"/>
      <c r="L850" s="635"/>
      <c r="M850" s="635"/>
      <c r="N850" s="635"/>
      <c r="O850" s="635"/>
      <c r="P850" s="635"/>
      <c r="Q850" s="634"/>
      <c r="R850" s="634"/>
      <c r="S850" s="635"/>
      <c r="T850" s="635"/>
      <c r="U850" s="634"/>
      <c r="V850" s="634"/>
      <c r="W850" s="634"/>
      <c r="X850" s="634"/>
      <c r="Y850" s="634"/>
      <c r="Z850" s="634"/>
    </row>
    <row r="851" ht="15.75" customHeight="1">
      <c r="A851" s="634"/>
      <c r="B851" s="634"/>
      <c r="C851" s="634"/>
      <c r="D851" s="634"/>
      <c r="E851" s="635"/>
      <c r="F851" s="634"/>
      <c r="G851" s="636"/>
      <c r="H851" s="635"/>
      <c r="I851" s="635"/>
      <c r="J851" s="635"/>
      <c r="K851" s="635"/>
      <c r="L851" s="635"/>
      <c r="M851" s="635"/>
      <c r="N851" s="635"/>
      <c r="O851" s="635"/>
      <c r="P851" s="635"/>
      <c r="Q851" s="634"/>
      <c r="R851" s="634"/>
      <c r="S851" s="635"/>
      <c r="T851" s="635"/>
      <c r="U851" s="634"/>
      <c r="V851" s="634"/>
      <c r="W851" s="634"/>
      <c r="X851" s="634"/>
      <c r="Y851" s="634"/>
      <c r="Z851" s="634"/>
    </row>
    <row r="852" ht="15.75" customHeight="1">
      <c r="A852" s="634"/>
      <c r="B852" s="634"/>
      <c r="C852" s="634"/>
      <c r="D852" s="634"/>
      <c r="E852" s="635"/>
      <c r="F852" s="634"/>
      <c r="G852" s="636"/>
      <c r="H852" s="635"/>
      <c r="I852" s="635"/>
      <c r="J852" s="635"/>
      <c r="K852" s="635"/>
      <c r="L852" s="635"/>
      <c r="M852" s="635"/>
      <c r="N852" s="635"/>
      <c r="O852" s="635"/>
      <c r="P852" s="635"/>
      <c r="Q852" s="634"/>
      <c r="R852" s="634"/>
      <c r="S852" s="635"/>
      <c r="T852" s="635"/>
      <c r="U852" s="634"/>
      <c r="V852" s="634"/>
      <c r="W852" s="634"/>
      <c r="X852" s="634"/>
      <c r="Y852" s="634"/>
      <c r="Z852" s="634"/>
    </row>
    <row r="853" ht="15.75" customHeight="1">
      <c r="A853" s="634"/>
      <c r="B853" s="634"/>
      <c r="C853" s="634"/>
      <c r="D853" s="634"/>
      <c r="E853" s="635"/>
      <c r="F853" s="634"/>
      <c r="G853" s="636"/>
      <c r="H853" s="635"/>
      <c r="I853" s="635"/>
      <c r="J853" s="635"/>
      <c r="K853" s="635"/>
      <c r="L853" s="635"/>
      <c r="M853" s="635"/>
      <c r="N853" s="635"/>
      <c r="O853" s="635"/>
      <c r="P853" s="635"/>
      <c r="Q853" s="634"/>
      <c r="R853" s="634"/>
      <c r="S853" s="635"/>
      <c r="T853" s="635"/>
      <c r="U853" s="634"/>
      <c r="V853" s="634"/>
      <c r="W853" s="634"/>
      <c r="X853" s="634"/>
      <c r="Y853" s="634"/>
      <c r="Z853" s="634"/>
    </row>
    <row r="854" ht="15.75" customHeight="1">
      <c r="A854" s="634"/>
      <c r="B854" s="634"/>
      <c r="C854" s="634"/>
      <c r="D854" s="634"/>
      <c r="E854" s="635"/>
      <c r="F854" s="634"/>
      <c r="G854" s="636"/>
      <c r="H854" s="635"/>
      <c r="I854" s="635"/>
      <c r="J854" s="635"/>
      <c r="K854" s="635"/>
      <c r="L854" s="635"/>
      <c r="M854" s="635"/>
      <c r="N854" s="635"/>
      <c r="O854" s="635"/>
      <c r="P854" s="635"/>
      <c r="Q854" s="634"/>
      <c r="R854" s="634"/>
      <c r="S854" s="635"/>
      <c r="T854" s="635"/>
      <c r="U854" s="634"/>
      <c r="V854" s="634"/>
      <c r="W854" s="634"/>
      <c r="X854" s="634"/>
      <c r="Y854" s="634"/>
      <c r="Z854" s="634"/>
    </row>
    <row r="855" ht="15.75" customHeight="1">
      <c r="A855" s="634"/>
      <c r="B855" s="634"/>
      <c r="C855" s="634"/>
      <c r="D855" s="634"/>
      <c r="E855" s="635"/>
      <c r="F855" s="634"/>
      <c r="G855" s="636"/>
      <c r="H855" s="635"/>
      <c r="I855" s="635"/>
      <c r="J855" s="635"/>
      <c r="K855" s="635"/>
      <c r="L855" s="635"/>
      <c r="M855" s="635"/>
      <c r="N855" s="635"/>
      <c r="O855" s="635"/>
      <c r="P855" s="635"/>
      <c r="Q855" s="634"/>
      <c r="R855" s="634"/>
      <c r="S855" s="635"/>
      <c r="T855" s="635"/>
      <c r="U855" s="634"/>
      <c r="V855" s="634"/>
      <c r="W855" s="634"/>
      <c r="X855" s="634"/>
      <c r="Y855" s="634"/>
      <c r="Z855" s="634"/>
    </row>
    <row r="856" ht="15.75" customHeight="1">
      <c r="A856" s="634"/>
      <c r="B856" s="634"/>
      <c r="C856" s="634"/>
      <c r="D856" s="634"/>
      <c r="E856" s="635"/>
      <c r="F856" s="634"/>
      <c r="G856" s="636"/>
      <c r="H856" s="635"/>
      <c r="I856" s="635"/>
      <c r="J856" s="635"/>
      <c r="K856" s="635"/>
      <c r="L856" s="635"/>
      <c r="M856" s="635"/>
      <c r="N856" s="635"/>
      <c r="O856" s="635"/>
      <c r="P856" s="635"/>
      <c r="Q856" s="634"/>
      <c r="R856" s="634"/>
      <c r="S856" s="635"/>
      <c r="T856" s="635"/>
      <c r="U856" s="634"/>
      <c r="V856" s="634"/>
      <c r="W856" s="634"/>
      <c r="X856" s="634"/>
      <c r="Y856" s="634"/>
      <c r="Z856" s="634"/>
    </row>
    <row r="857" ht="15.75" customHeight="1">
      <c r="A857" s="634"/>
      <c r="B857" s="634"/>
      <c r="C857" s="634"/>
      <c r="D857" s="634"/>
      <c r="E857" s="635"/>
      <c r="F857" s="634"/>
      <c r="G857" s="636"/>
      <c r="H857" s="635"/>
      <c r="I857" s="635"/>
      <c r="J857" s="635"/>
      <c r="K857" s="635"/>
      <c r="L857" s="635"/>
      <c r="M857" s="635"/>
      <c r="N857" s="635"/>
      <c r="O857" s="635"/>
      <c r="P857" s="635"/>
      <c r="Q857" s="634"/>
      <c r="R857" s="634"/>
      <c r="S857" s="635"/>
      <c r="T857" s="635"/>
      <c r="U857" s="634"/>
      <c r="V857" s="634"/>
      <c r="W857" s="634"/>
      <c r="X857" s="634"/>
      <c r="Y857" s="634"/>
      <c r="Z857" s="634"/>
    </row>
    <row r="858" ht="15.75" customHeight="1">
      <c r="A858" s="634"/>
      <c r="B858" s="634"/>
      <c r="C858" s="634"/>
      <c r="D858" s="634"/>
      <c r="E858" s="635"/>
      <c r="F858" s="634"/>
      <c r="G858" s="636"/>
      <c r="H858" s="635"/>
      <c r="I858" s="635"/>
      <c r="J858" s="635"/>
      <c r="K858" s="635"/>
      <c r="L858" s="635"/>
      <c r="M858" s="635"/>
      <c r="N858" s="635"/>
      <c r="O858" s="635"/>
      <c r="P858" s="635"/>
      <c r="Q858" s="634"/>
      <c r="R858" s="634"/>
      <c r="S858" s="635"/>
      <c r="T858" s="635"/>
      <c r="U858" s="634"/>
      <c r="V858" s="634"/>
      <c r="W858" s="634"/>
      <c r="X858" s="634"/>
      <c r="Y858" s="634"/>
      <c r="Z858" s="634"/>
    </row>
    <row r="859" ht="15.75" customHeight="1">
      <c r="A859" s="634"/>
      <c r="B859" s="634"/>
      <c r="C859" s="634"/>
      <c r="D859" s="634"/>
      <c r="E859" s="635"/>
      <c r="F859" s="634"/>
      <c r="G859" s="636"/>
      <c r="H859" s="635"/>
      <c r="I859" s="635"/>
      <c r="J859" s="635"/>
      <c r="K859" s="635"/>
      <c r="L859" s="635"/>
      <c r="M859" s="635"/>
      <c r="N859" s="635"/>
      <c r="O859" s="635"/>
      <c r="P859" s="635"/>
      <c r="Q859" s="634"/>
      <c r="R859" s="634"/>
      <c r="S859" s="635"/>
      <c r="T859" s="635"/>
      <c r="U859" s="634"/>
      <c r="V859" s="634"/>
      <c r="W859" s="634"/>
      <c r="X859" s="634"/>
      <c r="Y859" s="634"/>
      <c r="Z859" s="634"/>
    </row>
    <row r="860" ht="15.75" customHeight="1">
      <c r="A860" s="634"/>
      <c r="B860" s="634"/>
      <c r="C860" s="634"/>
      <c r="D860" s="634"/>
      <c r="E860" s="635"/>
      <c r="F860" s="634"/>
      <c r="G860" s="636"/>
      <c r="H860" s="635"/>
      <c r="I860" s="635"/>
      <c r="J860" s="635"/>
      <c r="K860" s="635"/>
      <c r="L860" s="635"/>
      <c r="M860" s="635"/>
      <c r="N860" s="635"/>
      <c r="O860" s="635"/>
      <c r="P860" s="635"/>
      <c r="Q860" s="634"/>
      <c r="R860" s="634"/>
      <c r="S860" s="635"/>
      <c r="T860" s="635"/>
      <c r="U860" s="634"/>
      <c r="V860" s="634"/>
      <c r="W860" s="634"/>
      <c r="X860" s="634"/>
      <c r="Y860" s="634"/>
      <c r="Z860" s="634"/>
    </row>
    <row r="861" ht="15.75" customHeight="1">
      <c r="A861" s="634"/>
      <c r="B861" s="634"/>
      <c r="C861" s="634"/>
      <c r="D861" s="634"/>
      <c r="E861" s="635"/>
      <c r="F861" s="634"/>
      <c r="G861" s="636"/>
      <c r="H861" s="635"/>
      <c r="I861" s="635"/>
      <c r="J861" s="635"/>
      <c r="K861" s="635"/>
      <c r="L861" s="635"/>
      <c r="M861" s="635"/>
      <c r="N861" s="635"/>
      <c r="O861" s="635"/>
      <c r="P861" s="635"/>
      <c r="Q861" s="634"/>
      <c r="R861" s="634"/>
      <c r="S861" s="635"/>
      <c r="T861" s="635"/>
      <c r="U861" s="634"/>
      <c r="V861" s="634"/>
      <c r="W861" s="634"/>
      <c r="X861" s="634"/>
      <c r="Y861" s="634"/>
      <c r="Z861" s="634"/>
    </row>
    <row r="862" ht="15.75" customHeight="1">
      <c r="A862" s="634"/>
      <c r="B862" s="634"/>
      <c r="C862" s="634"/>
      <c r="D862" s="634"/>
      <c r="E862" s="635"/>
      <c r="F862" s="634"/>
      <c r="G862" s="636"/>
      <c r="H862" s="635"/>
      <c r="I862" s="635"/>
      <c r="J862" s="635"/>
      <c r="K862" s="635"/>
      <c r="L862" s="635"/>
      <c r="M862" s="635"/>
      <c r="N862" s="635"/>
      <c r="O862" s="635"/>
      <c r="P862" s="635"/>
      <c r="Q862" s="634"/>
      <c r="R862" s="634"/>
      <c r="S862" s="635"/>
      <c r="T862" s="635"/>
      <c r="U862" s="634"/>
      <c r="V862" s="634"/>
      <c r="W862" s="634"/>
      <c r="X862" s="634"/>
      <c r="Y862" s="634"/>
      <c r="Z862" s="634"/>
    </row>
    <row r="863" ht="15.75" customHeight="1">
      <c r="A863" s="634"/>
      <c r="B863" s="634"/>
      <c r="C863" s="634"/>
      <c r="D863" s="634"/>
      <c r="E863" s="635"/>
      <c r="F863" s="634"/>
      <c r="G863" s="636"/>
      <c r="H863" s="635"/>
      <c r="I863" s="635"/>
      <c r="J863" s="635"/>
      <c r="K863" s="635"/>
      <c r="L863" s="635"/>
      <c r="M863" s="635"/>
      <c r="N863" s="635"/>
      <c r="O863" s="635"/>
      <c r="P863" s="635"/>
      <c r="Q863" s="634"/>
      <c r="R863" s="634"/>
      <c r="S863" s="635"/>
      <c r="T863" s="635"/>
      <c r="U863" s="634"/>
      <c r="V863" s="634"/>
      <c r="W863" s="634"/>
      <c r="X863" s="634"/>
      <c r="Y863" s="634"/>
      <c r="Z863" s="634"/>
    </row>
    <row r="864" ht="15.75" customHeight="1">
      <c r="A864" s="634"/>
      <c r="B864" s="634"/>
      <c r="C864" s="634"/>
      <c r="D864" s="634"/>
      <c r="E864" s="635"/>
      <c r="F864" s="634"/>
      <c r="G864" s="636"/>
      <c r="H864" s="635"/>
      <c r="I864" s="635"/>
      <c r="J864" s="635"/>
      <c r="K864" s="635"/>
      <c r="L864" s="635"/>
      <c r="M864" s="635"/>
      <c r="N864" s="635"/>
      <c r="O864" s="635"/>
      <c r="P864" s="635"/>
      <c r="Q864" s="634"/>
      <c r="R864" s="634"/>
      <c r="S864" s="635"/>
      <c r="T864" s="635"/>
      <c r="U864" s="634"/>
      <c r="V864" s="634"/>
      <c r="W864" s="634"/>
      <c r="X864" s="634"/>
      <c r="Y864" s="634"/>
      <c r="Z864" s="634"/>
    </row>
    <row r="865" ht="15.75" customHeight="1">
      <c r="A865" s="634"/>
      <c r="B865" s="634"/>
      <c r="C865" s="634"/>
      <c r="D865" s="634"/>
      <c r="E865" s="635"/>
      <c r="F865" s="634"/>
      <c r="G865" s="636"/>
      <c r="H865" s="635"/>
      <c r="I865" s="635"/>
      <c r="J865" s="635"/>
      <c r="K865" s="635"/>
      <c r="L865" s="635"/>
      <c r="M865" s="635"/>
      <c r="N865" s="635"/>
      <c r="O865" s="635"/>
      <c r="P865" s="635"/>
      <c r="Q865" s="634"/>
      <c r="R865" s="634"/>
      <c r="S865" s="635"/>
      <c r="T865" s="635"/>
      <c r="U865" s="634"/>
      <c r="V865" s="634"/>
      <c r="W865" s="634"/>
      <c r="X865" s="634"/>
      <c r="Y865" s="634"/>
      <c r="Z865" s="634"/>
    </row>
    <row r="866" ht="15.75" customHeight="1">
      <c r="A866" s="634"/>
      <c r="B866" s="634"/>
      <c r="C866" s="634"/>
      <c r="D866" s="634"/>
      <c r="E866" s="635"/>
      <c r="F866" s="634"/>
      <c r="G866" s="636"/>
      <c r="H866" s="635"/>
      <c r="I866" s="635"/>
      <c r="J866" s="635"/>
      <c r="K866" s="635"/>
      <c r="L866" s="635"/>
      <c r="M866" s="635"/>
      <c r="N866" s="635"/>
      <c r="O866" s="635"/>
      <c r="P866" s="635"/>
      <c r="Q866" s="634"/>
      <c r="R866" s="634"/>
      <c r="S866" s="635"/>
      <c r="T866" s="635"/>
      <c r="U866" s="634"/>
      <c r="V866" s="634"/>
      <c r="W866" s="634"/>
      <c r="X866" s="634"/>
      <c r="Y866" s="634"/>
      <c r="Z866" s="634"/>
    </row>
    <row r="867" ht="15.75" customHeight="1">
      <c r="A867" s="634"/>
      <c r="B867" s="634"/>
      <c r="C867" s="634"/>
      <c r="D867" s="634"/>
      <c r="E867" s="635"/>
      <c r="F867" s="634"/>
      <c r="G867" s="636"/>
      <c r="H867" s="635"/>
      <c r="I867" s="635"/>
      <c r="J867" s="635"/>
      <c r="K867" s="635"/>
      <c r="L867" s="635"/>
      <c r="M867" s="635"/>
      <c r="N867" s="635"/>
      <c r="O867" s="635"/>
      <c r="P867" s="635"/>
      <c r="Q867" s="634"/>
      <c r="R867" s="634"/>
      <c r="S867" s="635"/>
      <c r="T867" s="635"/>
      <c r="U867" s="634"/>
      <c r="V867" s="634"/>
      <c r="W867" s="634"/>
      <c r="X867" s="634"/>
      <c r="Y867" s="634"/>
      <c r="Z867" s="634"/>
    </row>
    <row r="868" ht="15.75" customHeight="1">
      <c r="A868" s="634"/>
      <c r="B868" s="634"/>
      <c r="C868" s="634"/>
      <c r="D868" s="634"/>
      <c r="E868" s="635"/>
      <c r="F868" s="634"/>
      <c r="G868" s="636"/>
      <c r="H868" s="635"/>
      <c r="I868" s="635"/>
      <c r="J868" s="635"/>
      <c r="K868" s="635"/>
      <c r="L868" s="635"/>
      <c r="M868" s="635"/>
      <c r="N868" s="635"/>
      <c r="O868" s="635"/>
      <c r="P868" s="635"/>
      <c r="Q868" s="634"/>
      <c r="R868" s="634"/>
      <c r="S868" s="635"/>
      <c r="T868" s="635"/>
      <c r="U868" s="634"/>
      <c r="V868" s="634"/>
      <c r="W868" s="634"/>
      <c r="X868" s="634"/>
      <c r="Y868" s="634"/>
      <c r="Z868" s="634"/>
    </row>
    <row r="869" ht="15.75" customHeight="1">
      <c r="A869" s="634"/>
      <c r="B869" s="634"/>
      <c r="C869" s="634"/>
      <c r="D869" s="634"/>
      <c r="E869" s="635"/>
      <c r="F869" s="634"/>
      <c r="G869" s="636"/>
      <c r="H869" s="635"/>
      <c r="I869" s="635"/>
      <c r="J869" s="635"/>
      <c r="K869" s="635"/>
      <c r="L869" s="635"/>
      <c r="M869" s="635"/>
      <c r="N869" s="635"/>
      <c r="O869" s="635"/>
      <c r="P869" s="635"/>
      <c r="Q869" s="634"/>
      <c r="R869" s="634"/>
      <c r="S869" s="635"/>
      <c r="T869" s="635"/>
      <c r="U869" s="634"/>
      <c r="V869" s="634"/>
      <c r="W869" s="634"/>
      <c r="X869" s="634"/>
      <c r="Y869" s="634"/>
      <c r="Z869" s="634"/>
    </row>
    <row r="870" ht="15.75" customHeight="1">
      <c r="A870" s="634"/>
      <c r="B870" s="634"/>
      <c r="C870" s="634"/>
      <c r="D870" s="634"/>
      <c r="E870" s="635"/>
      <c r="F870" s="634"/>
      <c r="G870" s="636"/>
      <c r="H870" s="635"/>
      <c r="I870" s="635"/>
      <c r="J870" s="635"/>
      <c r="K870" s="635"/>
      <c r="L870" s="635"/>
      <c r="M870" s="635"/>
      <c r="N870" s="635"/>
      <c r="O870" s="635"/>
      <c r="P870" s="635"/>
      <c r="Q870" s="634"/>
      <c r="R870" s="634"/>
      <c r="S870" s="635"/>
      <c r="T870" s="635"/>
      <c r="U870" s="634"/>
      <c r="V870" s="634"/>
      <c r="W870" s="634"/>
      <c r="X870" s="634"/>
      <c r="Y870" s="634"/>
      <c r="Z870" s="634"/>
    </row>
    <row r="871" ht="15.75" customHeight="1">
      <c r="A871" s="634"/>
      <c r="B871" s="634"/>
      <c r="C871" s="634"/>
      <c r="D871" s="634"/>
      <c r="E871" s="635"/>
      <c r="F871" s="634"/>
      <c r="G871" s="636"/>
      <c r="H871" s="635"/>
      <c r="I871" s="635"/>
      <c r="J871" s="635"/>
      <c r="K871" s="635"/>
      <c r="L871" s="635"/>
      <c r="M871" s="635"/>
      <c r="N871" s="635"/>
      <c r="O871" s="635"/>
      <c r="P871" s="635"/>
      <c r="Q871" s="634"/>
      <c r="R871" s="634"/>
      <c r="S871" s="635"/>
      <c r="T871" s="635"/>
      <c r="U871" s="634"/>
      <c r="V871" s="634"/>
      <c r="W871" s="634"/>
      <c r="X871" s="634"/>
      <c r="Y871" s="634"/>
      <c r="Z871" s="634"/>
    </row>
    <row r="872" ht="15.75" customHeight="1">
      <c r="A872" s="634"/>
      <c r="B872" s="634"/>
      <c r="C872" s="634"/>
      <c r="D872" s="634"/>
      <c r="E872" s="635"/>
      <c r="F872" s="634"/>
      <c r="G872" s="636"/>
      <c r="H872" s="635"/>
      <c r="I872" s="635"/>
      <c r="J872" s="635"/>
      <c r="K872" s="635"/>
      <c r="L872" s="635"/>
      <c r="M872" s="635"/>
      <c r="N872" s="635"/>
      <c r="O872" s="635"/>
      <c r="P872" s="635"/>
      <c r="Q872" s="634"/>
      <c r="R872" s="634"/>
      <c r="S872" s="635"/>
      <c r="T872" s="635"/>
      <c r="U872" s="634"/>
      <c r="V872" s="634"/>
      <c r="W872" s="634"/>
      <c r="X872" s="634"/>
      <c r="Y872" s="634"/>
      <c r="Z872" s="634"/>
    </row>
    <row r="873" ht="15.75" customHeight="1">
      <c r="A873" s="634"/>
      <c r="B873" s="634"/>
      <c r="C873" s="634"/>
      <c r="D873" s="634"/>
      <c r="E873" s="635"/>
      <c r="F873" s="634"/>
      <c r="G873" s="636"/>
      <c r="H873" s="635"/>
      <c r="I873" s="635"/>
      <c r="J873" s="635"/>
      <c r="K873" s="635"/>
      <c r="L873" s="635"/>
      <c r="M873" s="635"/>
      <c r="N873" s="635"/>
      <c r="O873" s="635"/>
      <c r="P873" s="635"/>
      <c r="Q873" s="634"/>
      <c r="R873" s="634"/>
      <c r="S873" s="635"/>
      <c r="T873" s="635"/>
      <c r="U873" s="634"/>
      <c r="V873" s="634"/>
      <c r="W873" s="634"/>
      <c r="X873" s="634"/>
      <c r="Y873" s="634"/>
      <c r="Z873" s="634"/>
    </row>
    <row r="874" ht="15.75" customHeight="1">
      <c r="A874" s="634"/>
      <c r="B874" s="634"/>
      <c r="C874" s="634"/>
      <c r="D874" s="634"/>
      <c r="E874" s="635"/>
      <c r="F874" s="634"/>
      <c r="G874" s="636"/>
      <c r="H874" s="635"/>
      <c r="I874" s="635"/>
      <c r="J874" s="635"/>
      <c r="K874" s="635"/>
      <c r="L874" s="635"/>
      <c r="M874" s="635"/>
      <c r="N874" s="635"/>
      <c r="O874" s="635"/>
      <c r="P874" s="635"/>
      <c r="Q874" s="634"/>
      <c r="R874" s="634"/>
      <c r="S874" s="635"/>
      <c r="T874" s="635"/>
      <c r="U874" s="634"/>
      <c r="V874" s="634"/>
      <c r="W874" s="634"/>
      <c r="X874" s="634"/>
      <c r="Y874" s="634"/>
      <c r="Z874" s="634"/>
    </row>
    <row r="875" ht="15.75" customHeight="1">
      <c r="A875" s="634"/>
      <c r="B875" s="634"/>
      <c r="C875" s="634"/>
      <c r="D875" s="634"/>
      <c r="E875" s="635"/>
      <c r="F875" s="634"/>
      <c r="G875" s="636"/>
      <c r="H875" s="635"/>
      <c r="I875" s="635"/>
      <c r="J875" s="635"/>
      <c r="K875" s="635"/>
      <c r="L875" s="635"/>
      <c r="M875" s="635"/>
      <c r="N875" s="635"/>
      <c r="O875" s="635"/>
      <c r="P875" s="635"/>
      <c r="Q875" s="634"/>
      <c r="R875" s="634"/>
      <c r="S875" s="635"/>
      <c r="T875" s="635"/>
      <c r="U875" s="634"/>
      <c r="V875" s="634"/>
      <c r="W875" s="634"/>
      <c r="X875" s="634"/>
      <c r="Y875" s="634"/>
      <c r="Z875" s="634"/>
    </row>
    <row r="876" ht="15.75" customHeight="1">
      <c r="A876" s="634"/>
      <c r="B876" s="634"/>
      <c r="C876" s="634"/>
      <c r="D876" s="634"/>
      <c r="E876" s="635"/>
      <c r="F876" s="634"/>
      <c r="G876" s="636"/>
      <c r="H876" s="635"/>
      <c r="I876" s="635"/>
      <c r="J876" s="635"/>
      <c r="K876" s="635"/>
      <c r="L876" s="635"/>
      <c r="M876" s="635"/>
      <c r="N876" s="635"/>
      <c r="O876" s="635"/>
      <c r="P876" s="635"/>
      <c r="Q876" s="634"/>
      <c r="R876" s="634"/>
      <c r="S876" s="635"/>
      <c r="T876" s="635"/>
      <c r="U876" s="634"/>
      <c r="V876" s="634"/>
      <c r="W876" s="634"/>
      <c r="X876" s="634"/>
      <c r="Y876" s="634"/>
      <c r="Z876" s="634"/>
    </row>
    <row r="877" ht="15.75" customHeight="1">
      <c r="A877" s="634"/>
      <c r="B877" s="634"/>
      <c r="C877" s="634"/>
      <c r="D877" s="634"/>
      <c r="E877" s="635"/>
      <c r="F877" s="634"/>
      <c r="G877" s="636"/>
      <c r="H877" s="635"/>
      <c r="I877" s="635"/>
      <c r="J877" s="635"/>
      <c r="K877" s="635"/>
      <c r="L877" s="635"/>
      <c r="M877" s="635"/>
      <c r="N877" s="635"/>
      <c r="O877" s="635"/>
      <c r="P877" s="635"/>
      <c r="Q877" s="634"/>
      <c r="R877" s="634"/>
      <c r="S877" s="635"/>
      <c r="T877" s="635"/>
      <c r="U877" s="634"/>
      <c r="V877" s="634"/>
      <c r="W877" s="634"/>
      <c r="X877" s="634"/>
      <c r="Y877" s="634"/>
      <c r="Z877" s="634"/>
    </row>
    <row r="878" ht="15.75" customHeight="1">
      <c r="A878" s="634"/>
      <c r="B878" s="634"/>
      <c r="C878" s="634"/>
      <c r="D878" s="634"/>
      <c r="E878" s="635"/>
      <c r="F878" s="634"/>
      <c r="G878" s="636"/>
      <c r="H878" s="635"/>
      <c r="I878" s="635"/>
      <c r="J878" s="635"/>
      <c r="K878" s="635"/>
      <c r="L878" s="635"/>
      <c r="M878" s="635"/>
      <c r="N878" s="635"/>
      <c r="O878" s="635"/>
      <c r="P878" s="635"/>
      <c r="Q878" s="634"/>
      <c r="R878" s="634"/>
      <c r="S878" s="635"/>
      <c r="T878" s="635"/>
      <c r="U878" s="634"/>
      <c r="V878" s="634"/>
      <c r="W878" s="634"/>
      <c r="X878" s="634"/>
      <c r="Y878" s="634"/>
      <c r="Z878" s="634"/>
    </row>
    <row r="879" ht="15.75" customHeight="1">
      <c r="A879" s="634"/>
      <c r="B879" s="634"/>
      <c r="C879" s="634"/>
      <c r="D879" s="634"/>
      <c r="E879" s="635"/>
      <c r="F879" s="634"/>
      <c r="G879" s="636"/>
      <c r="H879" s="635"/>
      <c r="I879" s="635"/>
      <c r="J879" s="635"/>
      <c r="K879" s="635"/>
      <c r="L879" s="635"/>
      <c r="M879" s="635"/>
      <c r="N879" s="635"/>
      <c r="O879" s="635"/>
      <c r="P879" s="635"/>
      <c r="Q879" s="634"/>
      <c r="R879" s="634"/>
      <c r="S879" s="635"/>
      <c r="T879" s="635"/>
      <c r="U879" s="634"/>
      <c r="V879" s="634"/>
      <c r="W879" s="634"/>
      <c r="X879" s="634"/>
      <c r="Y879" s="634"/>
      <c r="Z879" s="634"/>
    </row>
    <row r="880" ht="15.75" customHeight="1">
      <c r="A880" s="634"/>
      <c r="B880" s="634"/>
      <c r="C880" s="634"/>
      <c r="D880" s="634"/>
      <c r="E880" s="635"/>
      <c r="F880" s="634"/>
      <c r="G880" s="636"/>
      <c r="H880" s="635"/>
      <c r="I880" s="635"/>
      <c r="J880" s="635"/>
      <c r="K880" s="635"/>
      <c r="L880" s="635"/>
      <c r="M880" s="635"/>
      <c r="N880" s="635"/>
      <c r="O880" s="635"/>
      <c r="P880" s="635"/>
      <c r="Q880" s="634"/>
      <c r="R880" s="634"/>
      <c r="S880" s="635"/>
      <c r="T880" s="635"/>
      <c r="U880" s="634"/>
      <c r="V880" s="634"/>
      <c r="W880" s="634"/>
      <c r="X880" s="634"/>
      <c r="Y880" s="634"/>
      <c r="Z880" s="634"/>
    </row>
    <row r="881" ht="15.75" customHeight="1">
      <c r="A881" s="634"/>
      <c r="B881" s="634"/>
      <c r="C881" s="634"/>
      <c r="D881" s="634"/>
      <c r="E881" s="635"/>
      <c r="F881" s="634"/>
      <c r="G881" s="636"/>
      <c r="H881" s="635"/>
      <c r="I881" s="635"/>
      <c r="J881" s="635"/>
      <c r="K881" s="635"/>
      <c r="L881" s="635"/>
      <c r="M881" s="635"/>
      <c r="N881" s="635"/>
      <c r="O881" s="635"/>
      <c r="P881" s="635"/>
      <c r="Q881" s="634"/>
      <c r="R881" s="634"/>
      <c r="S881" s="635"/>
      <c r="T881" s="635"/>
      <c r="U881" s="634"/>
      <c r="V881" s="634"/>
      <c r="W881" s="634"/>
      <c r="X881" s="634"/>
      <c r="Y881" s="634"/>
      <c r="Z881" s="634"/>
    </row>
    <row r="882" ht="15.75" customHeight="1">
      <c r="A882" s="634"/>
      <c r="B882" s="634"/>
      <c r="C882" s="634"/>
      <c r="D882" s="634"/>
      <c r="E882" s="635"/>
      <c r="F882" s="634"/>
      <c r="G882" s="636"/>
      <c r="H882" s="635"/>
      <c r="I882" s="635"/>
      <c r="J882" s="635"/>
      <c r="K882" s="635"/>
      <c r="L882" s="635"/>
      <c r="M882" s="635"/>
      <c r="N882" s="635"/>
      <c r="O882" s="635"/>
      <c r="P882" s="635"/>
      <c r="Q882" s="634"/>
      <c r="R882" s="634"/>
      <c r="S882" s="635"/>
      <c r="T882" s="635"/>
      <c r="U882" s="634"/>
      <c r="V882" s="634"/>
      <c r="W882" s="634"/>
      <c r="X882" s="634"/>
      <c r="Y882" s="634"/>
      <c r="Z882" s="634"/>
    </row>
    <row r="883" ht="15.75" customHeight="1">
      <c r="A883" s="634"/>
      <c r="B883" s="634"/>
      <c r="C883" s="634"/>
      <c r="D883" s="634"/>
      <c r="E883" s="635"/>
      <c r="F883" s="634"/>
      <c r="G883" s="636"/>
      <c r="H883" s="635"/>
      <c r="I883" s="635"/>
      <c r="J883" s="635"/>
      <c r="K883" s="635"/>
      <c r="L883" s="635"/>
      <c r="M883" s="635"/>
      <c r="N883" s="635"/>
      <c r="O883" s="635"/>
      <c r="P883" s="635"/>
      <c r="Q883" s="634"/>
      <c r="R883" s="634"/>
      <c r="S883" s="635"/>
      <c r="T883" s="635"/>
      <c r="U883" s="634"/>
      <c r="V883" s="634"/>
      <c r="W883" s="634"/>
      <c r="X883" s="634"/>
      <c r="Y883" s="634"/>
      <c r="Z883" s="634"/>
    </row>
    <row r="884" ht="15.75" customHeight="1">
      <c r="A884" s="634"/>
      <c r="B884" s="634"/>
      <c r="C884" s="634"/>
      <c r="D884" s="634"/>
      <c r="E884" s="635"/>
      <c r="F884" s="634"/>
      <c r="G884" s="636"/>
      <c r="H884" s="635"/>
      <c r="I884" s="635"/>
      <c r="J884" s="635"/>
      <c r="K884" s="635"/>
      <c r="L884" s="635"/>
      <c r="M884" s="635"/>
      <c r="N884" s="635"/>
      <c r="O884" s="635"/>
      <c r="P884" s="635"/>
      <c r="Q884" s="634"/>
      <c r="R884" s="634"/>
      <c r="S884" s="635"/>
      <c r="T884" s="635"/>
      <c r="U884" s="634"/>
      <c r="V884" s="634"/>
      <c r="W884" s="634"/>
      <c r="X884" s="634"/>
      <c r="Y884" s="634"/>
      <c r="Z884" s="634"/>
    </row>
    <row r="885" ht="15.75" customHeight="1">
      <c r="A885" s="634"/>
      <c r="B885" s="634"/>
      <c r="C885" s="634"/>
      <c r="D885" s="634"/>
      <c r="E885" s="635"/>
      <c r="F885" s="634"/>
      <c r="G885" s="636"/>
      <c r="H885" s="635"/>
      <c r="I885" s="635"/>
      <c r="J885" s="635"/>
      <c r="K885" s="635"/>
      <c r="L885" s="635"/>
      <c r="M885" s="635"/>
      <c r="N885" s="635"/>
      <c r="O885" s="635"/>
      <c r="P885" s="635"/>
      <c r="Q885" s="634"/>
      <c r="R885" s="634"/>
      <c r="S885" s="635"/>
      <c r="T885" s="635"/>
      <c r="U885" s="634"/>
      <c r="V885" s="634"/>
      <c r="W885" s="634"/>
      <c r="X885" s="634"/>
      <c r="Y885" s="634"/>
      <c r="Z885" s="634"/>
    </row>
    <row r="886" ht="15.75" customHeight="1">
      <c r="A886" s="634"/>
      <c r="B886" s="634"/>
      <c r="C886" s="634"/>
      <c r="D886" s="634"/>
      <c r="E886" s="635"/>
      <c r="F886" s="634"/>
      <c r="G886" s="636"/>
      <c r="H886" s="635"/>
      <c r="I886" s="635"/>
      <c r="J886" s="635"/>
      <c r="K886" s="635"/>
      <c r="L886" s="635"/>
      <c r="M886" s="635"/>
      <c r="N886" s="635"/>
      <c r="O886" s="635"/>
      <c r="P886" s="635"/>
      <c r="Q886" s="634"/>
      <c r="R886" s="634"/>
      <c r="S886" s="635"/>
      <c r="T886" s="635"/>
      <c r="U886" s="634"/>
      <c r="V886" s="634"/>
      <c r="W886" s="634"/>
      <c r="X886" s="634"/>
      <c r="Y886" s="634"/>
      <c r="Z886" s="634"/>
    </row>
    <row r="887" ht="15.75" customHeight="1">
      <c r="A887" s="634"/>
      <c r="B887" s="634"/>
      <c r="C887" s="634"/>
      <c r="D887" s="634"/>
      <c r="E887" s="635"/>
      <c r="F887" s="634"/>
      <c r="G887" s="636"/>
      <c r="H887" s="635"/>
      <c r="I887" s="635"/>
      <c r="J887" s="635"/>
      <c r="K887" s="635"/>
      <c r="L887" s="635"/>
      <c r="M887" s="635"/>
      <c r="N887" s="635"/>
      <c r="O887" s="635"/>
      <c r="P887" s="635"/>
      <c r="Q887" s="634"/>
      <c r="R887" s="634"/>
      <c r="S887" s="635"/>
      <c r="T887" s="635"/>
      <c r="U887" s="634"/>
      <c r="V887" s="634"/>
      <c r="W887" s="634"/>
      <c r="X887" s="634"/>
      <c r="Y887" s="634"/>
      <c r="Z887" s="634"/>
    </row>
    <row r="888" ht="15.75" customHeight="1">
      <c r="A888" s="634"/>
      <c r="B888" s="634"/>
      <c r="C888" s="634"/>
      <c r="D888" s="634"/>
      <c r="E888" s="635"/>
      <c r="F888" s="634"/>
      <c r="G888" s="636"/>
      <c r="H888" s="635"/>
      <c r="I888" s="635"/>
      <c r="J888" s="635"/>
      <c r="K888" s="635"/>
      <c r="L888" s="635"/>
      <c r="M888" s="635"/>
      <c r="N888" s="635"/>
      <c r="O888" s="635"/>
      <c r="P888" s="635"/>
      <c r="Q888" s="634"/>
      <c r="R888" s="634"/>
      <c r="S888" s="635"/>
      <c r="T888" s="635"/>
      <c r="U888" s="634"/>
      <c r="V888" s="634"/>
      <c r="W888" s="634"/>
      <c r="X888" s="634"/>
      <c r="Y888" s="634"/>
      <c r="Z888" s="634"/>
    </row>
    <row r="889" ht="15.75" customHeight="1">
      <c r="A889" s="634"/>
      <c r="B889" s="634"/>
      <c r="C889" s="634"/>
      <c r="D889" s="634"/>
      <c r="E889" s="635"/>
      <c r="F889" s="634"/>
      <c r="G889" s="636"/>
      <c r="H889" s="635"/>
      <c r="I889" s="635"/>
      <c r="J889" s="635"/>
      <c r="K889" s="635"/>
      <c r="L889" s="635"/>
      <c r="M889" s="635"/>
      <c r="N889" s="635"/>
      <c r="O889" s="635"/>
      <c r="P889" s="635"/>
      <c r="Q889" s="634"/>
      <c r="R889" s="634"/>
      <c r="S889" s="635"/>
      <c r="T889" s="635"/>
      <c r="U889" s="634"/>
      <c r="V889" s="634"/>
      <c r="W889" s="634"/>
      <c r="X889" s="634"/>
      <c r="Y889" s="634"/>
      <c r="Z889" s="634"/>
    </row>
    <row r="890" ht="15.75" customHeight="1">
      <c r="A890" s="634"/>
      <c r="B890" s="634"/>
      <c r="C890" s="634"/>
      <c r="D890" s="634"/>
      <c r="E890" s="635"/>
      <c r="F890" s="634"/>
      <c r="G890" s="636"/>
      <c r="H890" s="635"/>
      <c r="I890" s="635"/>
      <c r="J890" s="635"/>
      <c r="K890" s="635"/>
      <c r="L890" s="635"/>
      <c r="M890" s="635"/>
      <c r="N890" s="635"/>
      <c r="O890" s="635"/>
      <c r="P890" s="635"/>
      <c r="Q890" s="634"/>
      <c r="R890" s="634"/>
      <c r="S890" s="635"/>
      <c r="T890" s="635"/>
      <c r="U890" s="634"/>
      <c r="V890" s="634"/>
      <c r="W890" s="634"/>
      <c r="X890" s="634"/>
      <c r="Y890" s="634"/>
      <c r="Z890" s="634"/>
    </row>
    <row r="891" ht="15.75" customHeight="1">
      <c r="A891" s="634"/>
      <c r="B891" s="634"/>
      <c r="C891" s="634"/>
      <c r="D891" s="634"/>
      <c r="E891" s="635"/>
      <c r="F891" s="634"/>
      <c r="G891" s="636"/>
      <c r="H891" s="635"/>
      <c r="I891" s="635"/>
      <c r="J891" s="635"/>
      <c r="K891" s="635"/>
      <c r="L891" s="635"/>
      <c r="M891" s="635"/>
      <c r="N891" s="635"/>
      <c r="O891" s="635"/>
      <c r="P891" s="635"/>
      <c r="Q891" s="634"/>
      <c r="R891" s="634"/>
      <c r="S891" s="635"/>
      <c r="T891" s="635"/>
      <c r="U891" s="634"/>
      <c r="V891" s="634"/>
      <c r="W891" s="634"/>
      <c r="X891" s="634"/>
      <c r="Y891" s="634"/>
      <c r="Z891" s="634"/>
    </row>
    <row r="892" ht="15.75" customHeight="1">
      <c r="A892" s="634"/>
      <c r="B892" s="634"/>
      <c r="C892" s="634"/>
      <c r="D892" s="634"/>
      <c r="E892" s="635"/>
      <c r="F892" s="634"/>
      <c r="G892" s="636"/>
      <c r="H892" s="635"/>
      <c r="I892" s="635"/>
      <c r="J892" s="635"/>
      <c r="K892" s="635"/>
      <c r="L892" s="635"/>
      <c r="M892" s="635"/>
      <c r="N892" s="635"/>
      <c r="O892" s="635"/>
      <c r="P892" s="635"/>
      <c r="Q892" s="634"/>
      <c r="R892" s="634"/>
      <c r="S892" s="635"/>
      <c r="T892" s="635"/>
      <c r="U892" s="634"/>
      <c r="V892" s="634"/>
      <c r="W892" s="634"/>
      <c r="X892" s="634"/>
      <c r="Y892" s="634"/>
      <c r="Z892" s="634"/>
    </row>
    <row r="893" ht="15.75" customHeight="1">
      <c r="A893" s="634"/>
      <c r="B893" s="634"/>
      <c r="C893" s="634"/>
      <c r="D893" s="634"/>
      <c r="E893" s="635"/>
      <c r="F893" s="634"/>
      <c r="G893" s="636"/>
      <c r="H893" s="635"/>
      <c r="I893" s="635"/>
      <c r="J893" s="635"/>
      <c r="K893" s="635"/>
      <c r="L893" s="635"/>
      <c r="M893" s="635"/>
      <c r="N893" s="635"/>
      <c r="O893" s="635"/>
      <c r="P893" s="635"/>
      <c r="Q893" s="634"/>
      <c r="R893" s="634"/>
      <c r="S893" s="635"/>
      <c r="T893" s="635"/>
      <c r="U893" s="634"/>
      <c r="V893" s="634"/>
      <c r="W893" s="634"/>
      <c r="X893" s="634"/>
      <c r="Y893" s="634"/>
      <c r="Z893" s="634"/>
    </row>
    <row r="894" ht="15.75" customHeight="1">
      <c r="A894" s="634"/>
      <c r="B894" s="634"/>
      <c r="C894" s="634"/>
      <c r="D894" s="634"/>
      <c r="E894" s="635"/>
      <c r="F894" s="634"/>
      <c r="G894" s="636"/>
      <c r="H894" s="635"/>
      <c r="I894" s="635"/>
      <c r="J894" s="635"/>
      <c r="K894" s="635"/>
      <c r="L894" s="635"/>
      <c r="M894" s="635"/>
      <c r="N894" s="635"/>
      <c r="O894" s="635"/>
      <c r="P894" s="635"/>
      <c r="Q894" s="634"/>
      <c r="R894" s="634"/>
      <c r="S894" s="635"/>
      <c r="T894" s="635"/>
      <c r="U894" s="634"/>
      <c r="V894" s="634"/>
      <c r="W894" s="634"/>
      <c r="X894" s="634"/>
      <c r="Y894" s="634"/>
      <c r="Z894" s="634"/>
    </row>
    <row r="895" ht="15.75" customHeight="1">
      <c r="A895" s="634"/>
      <c r="B895" s="634"/>
      <c r="C895" s="634"/>
      <c r="D895" s="634"/>
      <c r="E895" s="635"/>
      <c r="F895" s="634"/>
      <c r="G895" s="636"/>
      <c r="H895" s="635"/>
      <c r="I895" s="635"/>
      <c r="J895" s="635"/>
      <c r="K895" s="635"/>
      <c r="L895" s="635"/>
      <c r="M895" s="635"/>
      <c r="N895" s="635"/>
      <c r="O895" s="635"/>
      <c r="P895" s="635"/>
      <c r="Q895" s="634"/>
      <c r="R895" s="634"/>
      <c r="S895" s="635"/>
      <c r="T895" s="635"/>
      <c r="U895" s="634"/>
      <c r="V895" s="634"/>
      <c r="W895" s="634"/>
      <c r="X895" s="634"/>
      <c r="Y895" s="634"/>
      <c r="Z895" s="634"/>
    </row>
    <row r="896" ht="15.75" customHeight="1">
      <c r="A896" s="634"/>
      <c r="B896" s="634"/>
      <c r="C896" s="634"/>
      <c r="D896" s="634"/>
      <c r="E896" s="635"/>
      <c r="F896" s="634"/>
      <c r="G896" s="636"/>
      <c r="H896" s="635"/>
      <c r="I896" s="635"/>
      <c r="J896" s="635"/>
      <c r="K896" s="635"/>
      <c r="L896" s="635"/>
      <c r="M896" s="635"/>
      <c r="N896" s="635"/>
      <c r="O896" s="635"/>
      <c r="P896" s="635"/>
      <c r="Q896" s="634"/>
      <c r="R896" s="634"/>
      <c r="S896" s="635"/>
      <c r="T896" s="635"/>
      <c r="U896" s="634"/>
      <c r="V896" s="634"/>
      <c r="W896" s="634"/>
      <c r="X896" s="634"/>
      <c r="Y896" s="634"/>
      <c r="Z896" s="634"/>
    </row>
    <row r="897" ht="15.75" customHeight="1">
      <c r="A897" s="634"/>
      <c r="B897" s="634"/>
      <c r="C897" s="634"/>
      <c r="D897" s="634"/>
      <c r="E897" s="635"/>
      <c r="F897" s="634"/>
      <c r="G897" s="636"/>
      <c r="H897" s="635"/>
      <c r="I897" s="635"/>
      <c r="J897" s="635"/>
      <c r="K897" s="635"/>
      <c r="L897" s="635"/>
      <c r="M897" s="635"/>
      <c r="N897" s="635"/>
      <c r="O897" s="635"/>
      <c r="P897" s="635"/>
      <c r="Q897" s="634"/>
      <c r="R897" s="634"/>
      <c r="S897" s="635"/>
      <c r="T897" s="635"/>
      <c r="U897" s="634"/>
      <c r="V897" s="634"/>
      <c r="W897" s="634"/>
      <c r="X897" s="634"/>
      <c r="Y897" s="634"/>
      <c r="Z897" s="634"/>
    </row>
    <row r="898" ht="15.75" customHeight="1">
      <c r="A898" s="634"/>
      <c r="B898" s="634"/>
      <c r="C898" s="634"/>
      <c r="D898" s="634"/>
      <c r="E898" s="635"/>
      <c r="F898" s="634"/>
      <c r="G898" s="636"/>
      <c r="H898" s="635"/>
      <c r="I898" s="635"/>
      <c r="J898" s="635"/>
      <c r="K898" s="635"/>
      <c r="L898" s="635"/>
      <c r="M898" s="635"/>
      <c r="N898" s="635"/>
      <c r="O898" s="635"/>
      <c r="P898" s="635"/>
      <c r="Q898" s="634"/>
      <c r="R898" s="634"/>
      <c r="S898" s="635"/>
      <c r="T898" s="635"/>
      <c r="U898" s="634"/>
      <c r="V898" s="634"/>
      <c r="W898" s="634"/>
      <c r="X898" s="634"/>
      <c r="Y898" s="634"/>
      <c r="Z898" s="634"/>
    </row>
    <row r="899" ht="15.75" customHeight="1">
      <c r="A899" s="634"/>
      <c r="B899" s="634"/>
      <c r="C899" s="634"/>
      <c r="D899" s="634"/>
      <c r="E899" s="635"/>
      <c r="F899" s="634"/>
      <c r="G899" s="636"/>
      <c r="H899" s="635"/>
      <c r="I899" s="635"/>
      <c r="J899" s="635"/>
      <c r="K899" s="635"/>
      <c r="L899" s="635"/>
      <c r="M899" s="635"/>
      <c r="N899" s="635"/>
      <c r="O899" s="635"/>
      <c r="P899" s="635"/>
      <c r="Q899" s="634"/>
      <c r="R899" s="634"/>
      <c r="S899" s="635"/>
      <c r="T899" s="635"/>
      <c r="U899" s="634"/>
      <c r="V899" s="634"/>
      <c r="W899" s="634"/>
      <c r="X899" s="634"/>
      <c r="Y899" s="634"/>
      <c r="Z899" s="634"/>
    </row>
    <row r="900" ht="15.75" customHeight="1">
      <c r="A900" s="634"/>
      <c r="B900" s="634"/>
      <c r="C900" s="634"/>
      <c r="D900" s="634"/>
      <c r="E900" s="635"/>
      <c r="F900" s="634"/>
      <c r="G900" s="636"/>
      <c r="H900" s="635"/>
      <c r="I900" s="635"/>
      <c r="J900" s="635"/>
      <c r="K900" s="635"/>
      <c r="L900" s="635"/>
      <c r="M900" s="635"/>
      <c r="N900" s="635"/>
      <c r="O900" s="635"/>
      <c r="P900" s="635"/>
      <c r="Q900" s="634"/>
      <c r="R900" s="634"/>
      <c r="S900" s="635"/>
      <c r="T900" s="635"/>
      <c r="U900" s="634"/>
      <c r="V900" s="634"/>
      <c r="W900" s="634"/>
      <c r="X900" s="634"/>
      <c r="Y900" s="634"/>
      <c r="Z900" s="634"/>
    </row>
    <row r="901" ht="15.75" customHeight="1">
      <c r="A901" s="634"/>
      <c r="B901" s="634"/>
      <c r="C901" s="634"/>
      <c r="D901" s="634"/>
      <c r="E901" s="635"/>
      <c r="F901" s="634"/>
      <c r="G901" s="636"/>
      <c r="H901" s="635"/>
      <c r="I901" s="635"/>
      <c r="J901" s="635"/>
      <c r="K901" s="635"/>
      <c r="L901" s="635"/>
      <c r="M901" s="635"/>
      <c r="N901" s="635"/>
      <c r="O901" s="635"/>
      <c r="P901" s="635"/>
      <c r="Q901" s="634"/>
      <c r="R901" s="634"/>
      <c r="S901" s="635"/>
      <c r="T901" s="635"/>
      <c r="U901" s="634"/>
      <c r="V901" s="634"/>
      <c r="W901" s="634"/>
      <c r="X901" s="634"/>
      <c r="Y901" s="634"/>
      <c r="Z901" s="634"/>
    </row>
    <row r="902" ht="15.75" customHeight="1">
      <c r="A902" s="634"/>
      <c r="B902" s="634"/>
      <c r="C902" s="634"/>
      <c r="D902" s="634"/>
      <c r="E902" s="635"/>
      <c r="F902" s="634"/>
      <c r="G902" s="636"/>
      <c r="H902" s="635"/>
      <c r="I902" s="635"/>
      <c r="J902" s="635"/>
      <c r="K902" s="635"/>
      <c r="L902" s="635"/>
      <c r="M902" s="635"/>
      <c r="N902" s="635"/>
      <c r="O902" s="635"/>
      <c r="P902" s="635"/>
      <c r="Q902" s="634"/>
      <c r="R902" s="634"/>
      <c r="S902" s="635"/>
      <c r="T902" s="635"/>
      <c r="U902" s="634"/>
      <c r="V902" s="634"/>
      <c r="W902" s="634"/>
      <c r="X902" s="634"/>
      <c r="Y902" s="634"/>
      <c r="Z902" s="634"/>
    </row>
    <row r="903" ht="15.75" customHeight="1">
      <c r="A903" s="634"/>
      <c r="B903" s="634"/>
      <c r="C903" s="634"/>
      <c r="D903" s="634"/>
      <c r="E903" s="635"/>
      <c r="F903" s="634"/>
      <c r="G903" s="636"/>
      <c r="H903" s="635"/>
      <c r="I903" s="635"/>
      <c r="J903" s="635"/>
      <c r="K903" s="635"/>
      <c r="L903" s="635"/>
      <c r="M903" s="635"/>
      <c r="N903" s="635"/>
      <c r="O903" s="635"/>
      <c r="P903" s="635"/>
      <c r="Q903" s="634"/>
      <c r="R903" s="634"/>
      <c r="S903" s="635"/>
      <c r="T903" s="635"/>
      <c r="U903" s="634"/>
      <c r="V903" s="634"/>
      <c r="W903" s="634"/>
      <c r="X903" s="634"/>
      <c r="Y903" s="634"/>
      <c r="Z903" s="634"/>
    </row>
    <row r="904" ht="15.75" customHeight="1">
      <c r="A904" s="634"/>
      <c r="B904" s="634"/>
      <c r="C904" s="634"/>
      <c r="D904" s="634"/>
      <c r="E904" s="635"/>
      <c r="F904" s="634"/>
      <c r="G904" s="636"/>
      <c r="H904" s="635"/>
      <c r="I904" s="635"/>
      <c r="J904" s="635"/>
      <c r="K904" s="635"/>
      <c r="L904" s="635"/>
      <c r="M904" s="635"/>
      <c r="N904" s="635"/>
      <c r="O904" s="635"/>
      <c r="P904" s="635"/>
      <c r="Q904" s="634"/>
      <c r="R904" s="634"/>
      <c r="S904" s="635"/>
      <c r="T904" s="635"/>
      <c r="U904" s="634"/>
      <c r="V904" s="634"/>
      <c r="W904" s="634"/>
      <c r="X904" s="634"/>
      <c r="Y904" s="634"/>
      <c r="Z904" s="634"/>
    </row>
    <row r="905" ht="15.75" customHeight="1">
      <c r="A905" s="634"/>
      <c r="B905" s="634"/>
      <c r="C905" s="634"/>
      <c r="D905" s="634"/>
      <c r="E905" s="635"/>
      <c r="F905" s="634"/>
      <c r="G905" s="636"/>
      <c r="H905" s="635"/>
      <c r="I905" s="635"/>
      <c r="J905" s="635"/>
      <c r="K905" s="635"/>
      <c r="L905" s="635"/>
      <c r="M905" s="635"/>
      <c r="N905" s="635"/>
      <c r="O905" s="635"/>
      <c r="P905" s="635"/>
      <c r="Q905" s="634"/>
      <c r="R905" s="634"/>
      <c r="S905" s="635"/>
      <c r="T905" s="635"/>
      <c r="U905" s="634"/>
      <c r="V905" s="634"/>
      <c r="W905" s="634"/>
      <c r="X905" s="634"/>
      <c r="Y905" s="634"/>
      <c r="Z905" s="634"/>
    </row>
    <row r="906" ht="15.75" customHeight="1">
      <c r="A906" s="634"/>
      <c r="B906" s="634"/>
      <c r="C906" s="634"/>
      <c r="D906" s="634"/>
      <c r="E906" s="635"/>
      <c r="F906" s="634"/>
      <c r="G906" s="636"/>
      <c r="H906" s="635"/>
      <c r="I906" s="635"/>
      <c r="J906" s="635"/>
      <c r="K906" s="635"/>
      <c r="L906" s="635"/>
      <c r="M906" s="635"/>
      <c r="N906" s="635"/>
      <c r="O906" s="635"/>
      <c r="P906" s="635"/>
      <c r="Q906" s="634"/>
      <c r="R906" s="634"/>
      <c r="S906" s="635"/>
      <c r="T906" s="635"/>
      <c r="U906" s="634"/>
      <c r="V906" s="634"/>
      <c r="W906" s="634"/>
      <c r="X906" s="634"/>
      <c r="Y906" s="634"/>
      <c r="Z906" s="634"/>
    </row>
    <row r="907" ht="15.75" customHeight="1">
      <c r="A907" s="634"/>
      <c r="B907" s="634"/>
      <c r="C907" s="634"/>
      <c r="D907" s="634"/>
      <c r="E907" s="635"/>
      <c r="F907" s="634"/>
      <c r="G907" s="636"/>
      <c r="H907" s="635"/>
      <c r="I907" s="635"/>
      <c r="J907" s="635"/>
      <c r="K907" s="635"/>
      <c r="L907" s="635"/>
      <c r="M907" s="635"/>
      <c r="N907" s="635"/>
      <c r="O907" s="635"/>
      <c r="P907" s="635"/>
      <c r="Q907" s="634"/>
      <c r="R907" s="634"/>
      <c r="S907" s="635"/>
      <c r="T907" s="635"/>
      <c r="U907" s="634"/>
      <c r="V907" s="634"/>
      <c r="W907" s="634"/>
      <c r="X907" s="634"/>
      <c r="Y907" s="634"/>
      <c r="Z907" s="634"/>
    </row>
    <row r="908" ht="15.75" customHeight="1">
      <c r="A908" s="634"/>
      <c r="B908" s="634"/>
      <c r="C908" s="634"/>
      <c r="D908" s="634"/>
      <c r="E908" s="635"/>
      <c r="F908" s="634"/>
      <c r="G908" s="636"/>
      <c r="H908" s="635"/>
      <c r="I908" s="635"/>
      <c r="J908" s="635"/>
      <c r="K908" s="635"/>
      <c r="L908" s="635"/>
      <c r="M908" s="635"/>
      <c r="N908" s="635"/>
      <c r="O908" s="635"/>
      <c r="P908" s="635"/>
      <c r="Q908" s="634"/>
      <c r="R908" s="634"/>
      <c r="S908" s="635"/>
      <c r="T908" s="635"/>
      <c r="U908" s="634"/>
      <c r="V908" s="634"/>
      <c r="W908" s="634"/>
      <c r="X908" s="634"/>
      <c r="Y908" s="634"/>
      <c r="Z908" s="634"/>
    </row>
    <row r="909" ht="15.75" customHeight="1">
      <c r="A909" s="634"/>
      <c r="B909" s="634"/>
      <c r="C909" s="634"/>
      <c r="D909" s="634"/>
      <c r="E909" s="635"/>
      <c r="F909" s="634"/>
      <c r="G909" s="636"/>
      <c r="H909" s="635"/>
      <c r="I909" s="635"/>
      <c r="J909" s="635"/>
      <c r="K909" s="635"/>
      <c r="L909" s="635"/>
      <c r="M909" s="635"/>
      <c r="N909" s="635"/>
      <c r="O909" s="635"/>
      <c r="P909" s="635"/>
      <c r="Q909" s="634"/>
      <c r="R909" s="634"/>
      <c r="S909" s="635"/>
      <c r="T909" s="635"/>
      <c r="U909" s="634"/>
      <c r="V909" s="634"/>
      <c r="W909" s="634"/>
      <c r="X909" s="634"/>
      <c r="Y909" s="634"/>
      <c r="Z909" s="634"/>
    </row>
    <row r="910" ht="15.75" customHeight="1">
      <c r="A910" s="634"/>
      <c r="B910" s="634"/>
      <c r="C910" s="634"/>
      <c r="D910" s="634"/>
      <c r="E910" s="635"/>
      <c r="F910" s="634"/>
      <c r="G910" s="636"/>
      <c r="H910" s="635"/>
      <c r="I910" s="635"/>
      <c r="J910" s="635"/>
      <c r="K910" s="635"/>
      <c r="L910" s="635"/>
      <c r="M910" s="635"/>
      <c r="N910" s="635"/>
      <c r="O910" s="635"/>
      <c r="P910" s="635"/>
      <c r="Q910" s="634"/>
      <c r="R910" s="634"/>
      <c r="S910" s="635"/>
      <c r="T910" s="635"/>
      <c r="U910" s="634"/>
      <c r="V910" s="634"/>
      <c r="W910" s="634"/>
      <c r="X910" s="634"/>
      <c r="Y910" s="634"/>
      <c r="Z910" s="634"/>
    </row>
    <row r="911" ht="15.75" customHeight="1">
      <c r="A911" s="634"/>
      <c r="B911" s="634"/>
      <c r="C911" s="634"/>
      <c r="D911" s="634"/>
      <c r="E911" s="635"/>
      <c r="F911" s="634"/>
      <c r="G911" s="636"/>
      <c r="H911" s="635"/>
      <c r="I911" s="635"/>
      <c r="J911" s="635"/>
      <c r="K911" s="635"/>
      <c r="L911" s="635"/>
      <c r="M911" s="635"/>
      <c r="N911" s="635"/>
      <c r="O911" s="635"/>
      <c r="P911" s="635"/>
      <c r="Q911" s="634"/>
      <c r="R911" s="634"/>
      <c r="S911" s="635"/>
      <c r="T911" s="635"/>
      <c r="U911" s="634"/>
      <c r="V911" s="634"/>
      <c r="W911" s="634"/>
      <c r="X911" s="634"/>
      <c r="Y911" s="634"/>
      <c r="Z911" s="634"/>
    </row>
    <row r="912" ht="15.75" customHeight="1">
      <c r="A912" s="634"/>
      <c r="B912" s="634"/>
      <c r="C912" s="634"/>
      <c r="D912" s="634"/>
      <c r="E912" s="635"/>
      <c r="F912" s="634"/>
      <c r="G912" s="636"/>
      <c r="H912" s="635"/>
      <c r="I912" s="635"/>
      <c r="J912" s="635"/>
      <c r="K912" s="635"/>
      <c r="L912" s="635"/>
      <c r="M912" s="635"/>
      <c r="N912" s="635"/>
      <c r="O912" s="635"/>
      <c r="P912" s="635"/>
      <c r="Q912" s="634"/>
      <c r="R912" s="634"/>
      <c r="S912" s="635"/>
      <c r="T912" s="635"/>
      <c r="U912" s="634"/>
      <c r="V912" s="634"/>
      <c r="W912" s="634"/>
      <c r="X912" s="634"/>
      <c r="Y912" s="634"/>
      <c r="Z912" s="634"/>
    </row>
    <row r="913" ht="15.75" customHeight="1">
      <c r="A913" s="634"/>
      <c r="B913" s="634"/>
      <c r="C913" s="634"/>
      <c r="D913" s="634"/>
      <c r="E913" s="635"/>
      <c r="F913" s="634"/>
      <c r="G913" s="636"/>
      <c r="H913" s="635"/>
      <c r="I913" s="635"/>
      <c r="J913" s="635"/>
      <c r="K913" s="635"/>
      <c r="L913" s="635"/>
      <c r="M913" s="635"/>
      <c r="N913" s="635"/>
      <c r="O913" s="635"/>
      <c r="P913" s="635"/>
      <c r="Q913" s="634"/>
      <c r="R913" s="634"/>
      <c r="S913" s="635"/>
      <c r="T913" s="635"/>
      <c r="U913" s="634"/>
      <c r="V913" s="634"/>
      <c r="W913" s="634"/>
      <c r="X913" s="634"/>
      <c r="Y913" s="634"/>
      <c r="Z913" s="634"/>
    </row>
    <row r="914" ht="15.75" customHeight="1">
      <c r="A914" s="634"/>
      <c r="B914" s="634"/>
      <c r="C914" s="634"/>
      <c r="D914" s="634"/>
      <c r="E914" s="635"/>
      <c r="F914" s="634"/>
      <c r="G914" s="636"/>
      <c r="H914" s="635"/>
      <c r="I914" s="635"/>
      <c r="J914" s="635"/>
      <c r="K914" s="635"/>
      <c r="L914" s="635"/>
      <c r="M914" s="635"/>
      <c r="N914" s="635"/>
      <c r="O914" s="635"/>
      <c r="P914" s="635"/>
      <c r="Q914" s="634"/>
      <c r="R914" s="634"/>
      <c r="S914" s="635"/>
      <c r="T914" s="635"/>
      <c r="U914" s="634"/>
      <c r="V914" s="634"/>
      <c r="W914" s="634"/>
      <c r="X914" s="634"/>
      <c r="Y914" s="634"/>
      <c r="Z914" s="634"/>
    </row>
    <row r="915" ht="15.75" customHeight="1">
      <c r="A915" s="634"/>
      <c r="B915" s="634"/>
      <c r="C915" s="634"/>
      <c r="D915" s="634"/>
      <c r="E915" s="635"/>
      <c r="F915" s="634"/>
      <c r="G915" s="636"/>
      <c r="H915" s="635"/>
      <c r="I915" s="635"/>
      <c r="J915" s="635"/>
      <c r="K915" s="635"/>
      <c r="L915" s="635"/>
      <c r="M915" s="635"/>
      <c r="N915" s="635"/>
      <c r="O915" s="635"/>
      <c r="P915" s="635"/>
      <c r="Q915" s="634"/>
      <c r="R915" s="634"/>
      <c r="S915" s="635"/>
      <c r="T915" s="635"/>
      <c r="U915" s="634"/>
      <c r="V915" s="634"/>
      <c r="W915" s="634"/>
      <c r="X915" s="634"/>
      <c r="Y915" s="634"/>
      <c r="Z915" s="634"/>
    </row>
    <row r="916" ht="15.75" customHeight="1">
      <c r="A916" s="634"/>
      <c r="B916" s="634"/>
      <c r="C916" s="634"/>
      <c r="D916" s="634"/>
      <c r="E916" s="635"/>
      <c r="F916" s="634"/>
      <c r="G916" s="636"/>
      <c r="H916" s="635"/>
      <c r="I916" s="635"/>
      <c r="J916" s="635"/>
      <c r="K916" s="635"/>
      <c r="L916" s="635"/>
      <c r="M916" s="635"/>
      <c r="N916" s="635"/>
      <c r="O916" s="635"/>
      <c r="P916" s="635"/>
      <c r="Q916" s="634"/>
      <c r="R916" s="634"/>
      <c r="S916" s="635"/>
      <c r="T916" s="635"/>
      <c r="U916" s="634"/>
      <c r="V916" s="634"/>
      <c r="W916" s="634"/>
      <c r="X916" s="634"/>
      <c r="Y916" s="634"/>
      <c r="Z916" s="634"/>
    </row>
    <row r="917" ht="15.75" customHeight="1">
      <c r="A917" s="634"/>
      <c r="B917" s="634"/>
      <c r="C917" s="634"/>
      <c r="D917" s="634"/>
      <c r="E917" s="635"/>
      <c r="F917" s="634"/>
      <c r="G917" s="636"/>
      <c r="H917" s="635"/>
      <c r="I917" s="635"/>
      <c r="J917" s="635"/>
      <c r="K917" s="635"/>
      <c r="L917" s="635"/>
      <c r="M917" s="635"/>
      <c r="N917" s="635"/>
      <c r="O917" s="635"/>
      <c r="P917" s="635"/>
      <c r="Q917" s="634"/>
      <c r="R917" s="634"/>
      <c r="S917" s="635"/>
      <c r="T917" s="635"/>
      <c r="U917" s="634"/>
      <c r="V917" s="634"/>
      <c r="W917" s="634"/>
      <c r="X917" s="634"/>
      <c r="Y917" s="634"/>
      <c r="Z917" s="634"/>
    </row>
    <row r="918" ht="15.75" customHeight="1">
      <c r="A918" s="634"/>
      <c r="B918" s="634"/>
      <c r="C918" s="634"/>
      <c r="D918" s="634"/>
      <c r="E918" s="635"/>
      <c r="F918" s="634"/>
      <c r="G918" s="636"/>
      <c r="H918" s="635"/>
      <c r="I918" s="635"/>
      <c r="J918" s="635"/>
      <c r="K918" s="635"/>
      <c r="L918" s="635"/>
      <c r="M918" s="635"/>
      <c r="N918" s="635"/>
      <c r="O918" s="635"/>
      <c r="P918" s="635"/>
      <c r="Q918" s="634"/>
      <c r="R918" s="634"/>
      <c r="S918" s="635"/>
      <c r="T918" s="635"/>
      <c r="U918" s="634"/>
      <c r="V918" s="634"/>
      <c r="W918" s="634"/>
      <c r="X918" s="634"/>
      <c r="Y918" s="634"/>
      <c r="Z918" s="634"/>
    </row>
    <row r="919" ht="15.75" customHeight="1">
      <c r="A919" s="634"/>
      <c r="B919" s="634"/>
      <c r="C919" s="634"/>
      <c r="D919" s="634"/>
      <c r="E919" s="635"/>
      <c r="F919" s="634"/>
      <c r="G919" s="636"/>
      <c r="H919" s="635"/>
      <c r="I919" s="635"/>
      <c r="J919" s="635"/>
      <c r="K919" s="635"/>
      <c r="L919" s="635"/>
      <c r="M919" s="635"/>
      <c r="N919" s="635"/>
      <c r="O919" s="635"/>
      <c r="P919" s="635"/>
      <c r="Q919" s="634"/>
      <c r="R919" s="634"/>
      <c r="S919" s="635"/>
      <c r="T919" s="635"/>
      <c r="U919" s="634"/>
      <c r="V919" s="634"/>
      <c r="W919" s="634"/>
      <c r="X919" s="634"/>
      <c r="Y919" s="634"/>
      <c r="Z919" s="634"/>
    </row>
    <row r="920" ht="15.75" customHeight="1">
      <c r="A920" s="634"/>
      <c r="B920" s="634"/>
      <c r="C920" s="634"/>
      <c r="D920" s="634"/>
      <c r="E920" s="635"/>
      <c r="F920" s="634"/>
      <c r="G920" s="636"/>
      <c r="H920" s="635"/>
      <c r="I920" s="635"/>
      <c r="J920" s="635"/>
      <c r="K920" s="635"/>
      <c r="L920" s="635"/>
      <c r="M920" s="635"/>
      <c r="N920" s="635"/>
      <c r="O920" s="635"/>
      <c r="P920" s="635"/>
      <c r="Q920" s="634"/>
      <c r="R920" s="634"/>
      <c r="S920" s="635"/>
      <c r="T920" s="635"/>
      <c r="U920" s="634"/>
      <c r="V920" s="634"/>
      <c r="W920" s="634"/>
      <c r="X920" s="634"/>
      <c r="Y920" s="634"/>
      <c r="Z920" s="634"/>
    </row>
    <row r="921" ht="15.75" customHeight="1">
      <c r="A921" s="634"/>
      <c r="B921" s="634"/>
      <c r="C921" s="634"/>
      <c r="D921" s="634"/>
      <c r="E921" s="635"/>
      <c r="F921" s="634"/>
      <c r="G921" s="636"/>
      <c r="H921" s="635"/>
      <c r="I921" s="635"/>
      <c r="J921" s="635"/>
      <c r="K921" s="635"/>
      <c r="L921" s="635"/>
      <c r="M921" s="635"/>
      <c r="N921" s="635"/>
      <c r="O921" s="635"/>
      <c r="P921" s="635"/>
      <c r="Q921" s="634"/>
      <c r="R921" s="634"/>
      <c r="S921" s="635"/>
      <c r="T921" s="635"/>
      <c r="U921" s="634"/>
      <c r="V921" s="634"/>
      <c r="W921" s="634"/>
      <c r="X921" s="634"/>
      <c r="Y921" s="634"/>
      <c r="Z921" s="634"/>
    </row>
    <row r="922" ht="15.75" customHeight="1">
      <c r="A922" s="634"/>
      <c r="B922" s="634"/>
      <c r="C922" s="634"/>
      <c r="D922" s="634"/>
      <c r="E922" s="635"/>
      <c r="F922" s="634"/>
      <c r="G922" s="636"/>
      <c r="H922" s="635"/>
      <c r="I922" s="635"/>
      <c r="J922" s="635"/>
      <c r="K922" s="635"/>
      <c r="L922" s="635"/>
      <c r="M922" s="635"/>
      <c r="N922" s="635"/>
      <c r="O922" s="635"/>
      <c r="P922" s="635"/>
      <c r="Q922" s="634"/>
      <c r="R922" s="634"/>
      <c r="S922" s="635"/>
      <c r="T922" s="635"/>
      <c r="U922" s="634"/>
      <c r="V922" s="634"/>
      <c r="W922" s="634"/>
      <c r="X922" s="634"/>
      <c r="Y922" s="634"/>
      <c r="Z922" s="634"/>
    </row>
    <row r="923" ht="15.75" customHeight="1">
      <c r="A923" s="634"/>
      <c r="B923" s="634"/>
      <c r="C923" s="634"/>
      <c r="D923" s="634"/>
      <c r="E923" s="635"/>
      <c r="F923" s="634"/>
      <c r="G923" s="636"/>
      <c r="H923" s="635"/>
      <c r="I923" s="635"/>
      <c r="J923" s="635"/>
      <c r="K923" s="635"/>
      <c r="L923" s="635"/>
      <c r="M923" s="635"/>
      <c r="N923" s="635"/>
      <c r="O923" s="635"/>
      <c r="P923" s="635"/>
      <c r="Q923" s="634"/>
      <c r="R923" s="634"/>
      <c r="S923" s="635"/>
      <c r="T923" s="635"/>
      <c r="U923" s="634"/>
      <c r="V923" s="634"/>
      <c r="W923" s="634"/>
      <c r="X923" s="634"/>
      <c r="Y923" s="634"/>
      <c r="Z923" s="634"/>
    </row>
    <row r="924" ht="15.75" customHeight="1">
      <c r="A924" s="634"/>
      <c r="B924" s="634"/>
      <c r="C924" s="634"/>
      <c r="D924" s="634"/>
      <c r="E924" s="635"/>
      <c r="F924" s="634"/>
      <c r="G924" s="636"/>
      <c r="H924" s="635"/>
      <c r="I924" s="635"/>
      <c r="J924" s="635"/>
      <c r="K924" s="635"/>
      <c r="L924" s="635"/>
      <c r="M924" s="635"/>
      <c r="N924" s="635"/>
      <c r="O924" s="635"/>
      <c r="P924" s="635"/>
      <c r="Q924" s="634"/>
      <c r="R924" s="634"/>
      <c r="S924" s="635"/>
      <c r="T924" s="635"/>
      <c r="U924" s="634"/>
      <c r="V924" s="634"/>
      <c r="W924" s="634"/>
      <c r="X924" s="634"/>
      <c r="Y924" s="634"/>
      <c r="Z924" s="634"/>
    </row>
    <row r="925" ht="15.75" customHeight="1">
      <c r="A925" s="634"/>
      <c r="B925" s="634"/>
      <c r="C925" s="634"/>
      <c r="D925" s="634"/>
      <c r="E925" s="635"/>
      <c r="F925" s="634"/>
      <c r="G925" s="636"/>
      <c r="H925" s="635"/>
      <c r="I925" s="635"/>
      <c r="J925" s="635"/>
      <c r="K925" s="635"/>
      <c r="L925" s="635"/>
      <c r="M925" s="635"/>
      <c r="N925" s="635"/>
      <c r="O925" s="635"/>
      <c r="P925" s="635"/>
      <c r="Q925" s="634"/>
      <c r="R925" s="634"/>
      <c r="S925" s="635"/>
      <c r="T925" s="635"/>
      <c r="U925" s="634"/>
      <c r="V925" s="634"/>
      <c r="W925" s="634"/>
      <c r="X925" s="634"/>
      <c r="Y925" s="634"/>
      <c r="Z925" s="634"/>
    </row>
    <row r="926" ht="15.75" customHeight="1">
      <c r="A926" s="634"/>
      <c r="B926" s="634"/>
      <c r="C926" s="634"/>
      <c r="D926" s="634"/>
      <c r="E926" s="635"/>
      <c r="F926" s="634"/>
      <c r="G926" s="636"/>
      <c r="H926" s="635"/>
      <c r="I926" s="635"/>
      <c r="J926" s="635"/>
      <c r="K926" s="635"/>
      <c r="L926" s="635"/>
      <c r="M926" s="635"/>
      <c r="N926" s="635"/>
      <c r="O926" s="635"/>
      <c r="P926" s="635"/>
      <c r="Q926" s="634"/>
      <c r="R926" s="634"/>
      <c r="S926" s="635"/>
      <c r="T926" s="635"/>
      <c r="U926" s="634"/>
      <c r="V926" s="634"/>
      <c r="W926" s="634"/>
      <c r="X926" s="634"/>
      <c r="Y926" s="634"/>
      <c r="Z926" s="634"/>
    </row>
    <row r="927" ht="15.75" customHeight="1">
      <c r="A927" s="634"/>
      <c r="B927" s="634"/>
      <c r="C927" s="634"/>
      <c r="D927" s="634"/>
      <c r="E927" s="635"/>
      <c r="F927" s="634"/>
      <c r="G927" s="636"/>
      <c r="H927" s="635"/>
      <c r="I927" s="635"/>
      <c r="J927" s="635"/>
      <c r="K927" s="635"/>
      <c r="L927" s="635"/>
      <c r="M927" s="635"/>
      <c r="N927" s="635"/>
      <c r="O927" s="635"/>
      <c r="P927" s="635"/>
      <c r="Q927" s="634"/>
      <c r="R927" s="634"/>
      <c r="S927" s="635"/>
      <c r="T927" s="635"/>
      <c r="U927" s="634"/>
      <c r="V927" s="634"/>
      <c r="W927" s="634"/>
      <c r="X927" s="634"/>
      <c r="Y927" s="634"/>
      <c r="Z927" s="634"/>
    </row>
    <row r="928" ht="15.75" customHeight="1">
      <c r="A928" s="634"/>
      <c r="B928" s="634"/>
      <c r="C928" s="634"/>
      <c r="D928" s="634"/>
      <c r="E928" s="635"/>
      <c r="F928" s="634"/>
      <c r="G928" s="636"/>
      <c r="H928" s="635"/>
      <c r="I928" s="635"/>
      <c r="J928" s="635"/>
      <c r="K928" s="635"/>
      <c r="L928" s="635"/>
      <c r="M928" s="635"/>
      <c r="N928" s="635"/>
      <c r="O928" s="635"/>
      <c r="P928" s="635"/>
      <c r="Q928" s="634"/>
      <c r="R928" s="634"/>
      <c r="S928" s="635"/>
      <c r="T928" s="635"/>
      <c r="U928" s="634"/>
      <c r="V928" s="634"/>
      <c r="W928" s="634"/>
      <c r="X928" s="634"/>
      <c r="Y928" s="634"/>
      <c r="Z928" s="634"/>
    </row>
    <row r="929" ht="15.75" customHeight="1">
      <c r="A929" s="634"/>
      <c r="B929" s="634"/>
      <c r="C929" s="634"/>
      <c r="D929" s="634"/>
      <c r="E929" s="635"/>
      <c r="F929" s="634"/>
      <c r="G929" s="636"/>
      <c r="H929" s="635"/>
      <c r="I929" s="635"/>
      <c r="J929" s="635"/>
      <c r="K929" s="635"/>
      <c r="L929" s="635"/>
      <c r="M929" s="635"/>
      <c r="N929" s="635"/>
      <c r="O929" s="635"/>
      <c r="P929" s="635"/>
      <c r="Q929" s="634"/>
      <c r="R929" s="634"/>
      <c r="S929" s="635"/>
      <c r="T929" s="635"/>
      <c r="U929" s="634"/>
      <c r="V929" s="634"/>
      <c r="W929" s="634"/>
      <c r="X929" s="634"/>
      <c r="Y929" s="634"/>
      <c r="Z929" s="634"/>
    </row>
    <row r="930" ht="15.75" customHeight="1">
      <c r="A930" s="634"/>
      <c r="B930" s="634"/>
      <c r="C930" s="634"/>
      <c r="D930" s="634"/>
      <c r="E930" s="635"/>
      <c r="F930" s="634"/>
      <c r="G930" s="636"/>
      <c r="H930" s="635"/>
      <c r="I930" s="635"/>
      <c r="J930" s="635"/>
      <c r="K930" s="635"/>
      <c r="L930" s="635"/>
      <c r="M930" s="635"/>
      <c r="N930" s="635"/>
      <c r="O930" s="635"/>
      <c r="P930" s="635"/>
      <c r="Q930" s="634"/>
      <c r="R930" s="634"/>
      <c r="S930" s="635"/>
      <c r="T930" s="635"/>
      <c r="U930" s="634"/>
      <c r="V930" s="634"/>
      <c r="W930" s="634"/>
      <c r="X930" s="634"/>
      <c r="Y930" s="634"/>
      <c r="Z930" s="634"/>
    </row>
    <row r="931" ht="15.75" customHeight="1">
      <c r="A931" s="634"/>
      <c r="B931" s="634"/>
      <c r="C931" s="634"/>
      <c r="D931" s="634"/>
      <c r="E931" s="635"/>
      <c r="F931" s="634"/>
      <c r="G931" s="636"/>
      <c r="H931" s="635"/>
      <c r="I931" s="635"/>
      <c r="J931" s="635"/>
      <c r="K931" s="635"/>
      <c r="L931" s="635"/>
      <c r="M931" s="635"/>
      <c r="N931" s="635"/>
      <c r="O931" s="635"/>
      <c r="P931" s="635"/>
      <c r="Q931" s="634"/>
      <c r="R931" s="634"/>
      <c r="S931" s="635"/>
      <c r="T931" s="635"/>
      <c r="U931" s="634"/>
      <c r="V931" s="634"/>
      <c r="W931" s="634"/>
      <c r="X931" s="634"/>
      <c r="Y931" s="634"/>
      <c r="Z931" s="634"/>
    </row>
    <row r="932" ht="15.75" customHeight="1">
      <c r="A932" s="634"/>
      <c r="B932" s="634"/>
      <c r="C932" s="634"/>
      <c r="D932" s="634"/>
      <c r="E932" s="635"/>
      <c r="F932" s="634"/>
      <c r="G932" s="636"/>
      <c r="H932" s="635"/>
      <c r="I932" s="635"/>
      <c r="J932" s="635"/>
      <c r="K932" s="635"/>
      <c r="L932" s="635"/>
      <c r="M932" s="635"/>
      <c r="N932" s="635"/>
      <c r="O932" s="635"/>
      <c r="P932" s="635"/>
      <c r="Q932" s="634"/>
      <c r="R932" s="634"/>
      <c r="S932" s="635"/>
      <c r="T932" s="635"/>
      <c r="U932" s="634"/>
      <c r="V932" s="634"/>
      <c r="W932" s="634"/>
      <c r="X932" s="634"/>
      <c r="Y932" s="634"/>
      <c r="Z932" s="634"/>
    </row>
    <row r="933" ht="15.75" customHeight="1">
      <c r="A933" s="634"/>
      <c r="B933" s="634"/>
      <c r="C933" s="634"/>
      <c r="D933" s="634"/>
      <c r="E933" s="635"/>
      <c r="F933" s="634"/>
      <c r="G933" s="636"/>
      <c r="H933" s="635"/>
      <c r="I933" s="635"/>
      <c r="J933" s="635"/>
      <c r="K933" s="635"/>
      <c r="L933" s="635"/>
      <c r="M933" s="635"/>
      <c r="N933" s="635"/>
      <c r="O933" s="635"/>
      <c r="P933" s="635"/>
      <c r="Q933" s="634"/>
      <c r="R933" s="634"/>
      <c r="S933" s="635"/>
      <c r="T933" s="635"/>
      <c r="U933" s="634"/>
      <c r="V933" s="634"/>
      <c r="W933" s="634"/>
      <c r="X933" s="634"/>
      <c r="Y933" s="634"/>
      <c r="Z933" s="634"/>
    </row>
    <row r="934" ht="15.75" customHeight="1">
      <c r="A934" s="634"/>
      <c r="B934" s="634"/>
      <c r="C934" s="634"/>
      <c r="D934" s="634"/>
      <c r="E934" s="635"/>
      <c r="F934" s="634"/>
      <c r="G934" s="636"/>
      <c r="H934" s="635"/>
      <c r="I934" s="635"/>
      <c r="J934" s="635"/>
      <c r="K934" s="635"/>
      <c r="L934" s="635"/>
      <c r="M934" s="635"/>
      <c r="N934" s="635"/>
      <c r="O934" s="635"/>
      <c r="P934" s="635"/>
      <c r="Q934" s="634"/>
      <c r="R934" s="634"/>
      <c r="S934" s="635"/>
      <c r="T934" s="635"/>
      <c r="U934" s="634"/>
      <c r="V934" s="634"/>
      <c r="W934" s="634"/>
      <c r="X934" s="634"/>
      <c r="Y934" s="634"/>
      <c r="Z934" s="634"/>
    </row>
    <row r="935" ht="15.75" customHeight="1">
      <c r="A935" s="634"/>
      <c r="B935" s="634"/>
      <c r="C935" s="634"/>
      <c r="D935" s="634"/>
      <c r="E935" s="635"/>
      <c r="F935" s="634"/>
      <c r="G935" s="636"/>
      <c r="H935" s="635"/>
      <c r="I935" s="635"/>
      <c r="J935" s="635"/>
      <c r="K935" s="635"/>
      <c r="L935" s="635"/>
      <c r="M935" s="635"/>
      <c r="N935" s="635"/>
      <c r="O935" s="635"/>
      <c r="P935" s="635"/>
      <c r="Q935" s="634"/>
      <c r="R935" s="634"/>
      <c r="S935" s="635"/>
      <c r="T935" s="635"/>
      <c r="U935" s="634"/>
      <c r="V935" s="634"/>
      <c r="W935" s="634"/>
      <c r="X935" s="634"/>
      <c r="Y935" s="634"/>
      <c r="Z935" s="634"/>
    </row>
    <row r="936" ht="15.75" customHeight="1">
      <c r="A936" s="634"/>
      <c r="B936" s="634"/>
      <c r="C936" s="634"/>
      <c r="D936" s="634"/>
      <c r="E936" s="635"/>
      <c r="F936" s="634"/>
      <c r="G936" s="636"/>
      <c r="H936" s="635"/>
      <c r="I936" s="635"/>
      <c r="J936" s="635"/>
      <c r="K936" s="635"/>
      <c r="L936" s="635"/>
      <c r="M936" s="635"/>
      <c r="N936" s="635"/>
      <c r="O936" s="635"/>
      <c r="P936" s="635"/>
      <c r="Q936" s="634"/>
      <c r="R936" s="634"/>
      <c r="S936" s="635"/>
      <c r="T936" s="635"/>
      <c r="U936" s="634"/>
      <c r="V936" s="634"/>
      <c r="W936" s="634"/>
      <c r="X936" s="634"/>
      <c r="Y936" s="634"/>
      <c r="Z936" s="634"/>
    </row>
    <row r="937" ht="15.75" customHeight="1">
      <c r="A937" s="634"/>
      <c r="B937" s="634"/>
      <c r="C937" s="634"/>
      <c r="D937" s="634"/>
      <c r="E937" s="635"/>
      <c r="F937" s="634"/>
      <c r="G937" s="636"/>
      <c r="H937" s="635"/>
      <c r="I937" s="635"/>
      <c r="J937" s="635"/>
      <c r="K937" s="635"/>
      <c r="L937" s="635"/>
      <c r="M937" s="635"/>
      <c r="N937" s="635"/>
      <c r="O937" s="635"/>
      <c r="P937" s="635"/>
      <c r="Q937" s="634"/>
      <c r="R937" s="634"/>
      <c r="S937" s="635"/>
      <c r="T937" s="635"/>
      <c r="U937" s="634"/>
      <c r="V937" s="634"/>
      <c r="W937" s="634"/>
      <c r="X937" s="634"/>
      <c r="Y937" s="634"/>
      <c r="Z937" s="634"/>
    </row>
    <row r="938" ht="15.75" customHeight="1">
      <c r="A938" s="634"/>
      <c r="B938" s="634"/>
      <c r="C938" s="634"/>
      <c r="D938" s="634"/>
      <c r="E938" s="635"/>
      <c r="F938" s="634"/>
      <c r="G938" s="636"/>
      <c r="H938" s="635"/>
      <c r="I938" s="635"/>
      <c r="J938" s="635"/>
      <c r="K938" s="635"/>
      <c r="L938" s="635"/>
      <c r="M938" s="635"/>
      <c r="N938" s="635"/>
      <c r="O938" s="635"/>
      <c r="P938" s="635"/>
      <c r="Q938" s="634"/>
      <c r="R938" s="634"/>
      <c r="S938" s="635"/>
      <c r="T938" s="635"/>
      <c r="U938" s="634"/>
      <c r="V938" s="634"/>
      <c r="W938" s="634"/>
      <c r="X938" s="634"/>
      <c r="Y938" s="634"/>
      <c r="Z938" s="634"/>
    </row>
    <row r="939" ht="15.75" customHeight="1">
      <c r="A939" s="634"/>
      <c r="B939" s="634"/>
      <c r="C939" s="634"/>
      <c r="D939" s="634"/>
      <c r="E939" s="635"/>
      <c r="F939" s="634"/>
      <c r="G939" s="636"/>
      <c r="H939" s="635"/>
      <c r="I939" s="635"/>
      <c r="J939" s="635"/>
      <c r="K939" s="635"/>
      <c r="L939" s="635"/>
      <c r="M939" s="635"/>
      <c r="N939" s="635"/>
      <c r="O939" s="635"/>
      <c r="P939" s="635"/>
      <c r="Q939" s="634"/>
      <c r="R939" s="634"/>
      <c r="S939" s="635"/>
      <c r="T939" s="635"/>
      <c r="U939" s="634"/>
      <c r="V939" s="634"/>
      <c r="W939" s="634"/>
      <c r="X939" s="634"/>
      <c r="Y939" s="634"/>
      <c r="Z939" s="634"/>
    </row>
    <row r="940" ht="15.75" customHeight="1">
      <c r="A940" s="634"/>
      <c r="B940" s="634"/>
      <c r="C940" s="634"/>
      <c r="D940" s="634"/>
      <c r="E940" s="635"/>
      <c r="F940" s="634"/>
      <c r="G940" s="636"/>
      <c r="H940" s="635"/>
      <c r="I940" s="635"/>
      <c r="J940" s="635"/>
      <c r="K940" s="635"/>
      <c r="L940" s="635"/>
      <c r="M940" s="635"/>
      <c r="N940" s="635"/>
      <c r="O940" s="635"/>
      <c r="P940" s="635"/>
      <c r="Q940" s="634"/>
      <c r="R940" s="634"/>
      <c r="S940" s="635"/>
      <c r="T940" s="635"/>
      <c r="U940" s="634"/>
      <c r="V940" s="634"/>
      <c r="W940" s="634"/>
      <c r="X940" s="634"/>
      <c r="Y940" s="634"/>
      <c r="Z940" s="634"/>
    </row>
    <row r="941" ht="15.75" customHeight="1">
      <c r="A941" s="634"/>
      <c r="B941" s="634"/>
      <c r="C941" s="634"/>
      <c r="D941" s="634"/>
      <c r="E941" s="635"/>
      <c r="F941" s="634"/>
      <c r="G941" s="636"/>
      <c r="H941" s="635"/>
      <c r="I941" s="635"/>
      <c r="J941" s="635"/>
      <c r="K941" s="635"/>
      <c r="L941" s="635"/>
      <c r="M941" s="635"/>
      <c r="N941" s="635"/>
      <c r="O941" s="635"/>
      <c r="P941" s="635"/>
      <c r="Q941" s="634"/>
      <c r="R941" s="634"/>
      <c r="S941" s="635"/>
      <c r="T941" s="635"/>
      <c r="U941" s="634"/>
      <c r="V941" s="634"/>
      <c r="W941" s="634"/>
      <c r="X941" s="634"/>
      <c r="Y941" s="634"/>
      <c r="Z941" s="634"/>
    </row>
    <row r="942" ht="15.75" customHeight="1">
      <c r="A942" s="634"/>
      <c r="B942" s="634"/>
      <c r="C942" s="634"/>
      <c r="D942" s="634"/>
      <c r="E942" s="635"/>
      <c r="F942" s="634"/>
      <c r="G942" s="636"/>
      <c r="H942" s="635"/>
      <c r="I942" s="635"/>
      <c r="J942" s="635"/>
      <c r="K942" s="635"/>
      <c r="L942" s="635"/>
      <c r="M942" s="635"/>
      <c r="N942" s="635"/>
      <c r="O942" s="635"/>
      <c r="P942" s="635"/>
      <c r="Q942" s="634"/>
      <c r="R942" s="634"/>
      <c r="S942" s="635"/>
      <c r="T942" s="635"/>
      <c r="U942" s="634"/>
      <c r="V942" s="634"/>
      <c r="W942" s="634"/>
      <c r="X942" s="634"/>
      <c r="Y942" s="634"/>
      <c r="Z942" s="634"/>
    </row>
    <row r="943" ht="15.75" customHeight="1">
      <c r="A943" s="634"/>
      <c r="B943" s="634"/>
      <c r="C943" s="634"/>
      <c r="D943" s="634"/>
      <c r="E943" s="635"/>
      <c r="F943" s="634"/>
      <c r="G943" s="636"/>
      <c r="H943" s="635"/>
      <c r="I943" s="635"/>
      <c r="J943" s="635"/>
      <c r="K943" s="635"/>
      <c r="L943" s="635"/>
      <c r="M943" s="635"/>
      <c r="N943" s="635"/>
      <c r="O943" s="635"/>
      <c r="P943" s="635"/>
      <c r="Q943" s="634"/>
      <c r="R943" s="634"/>
      <c r="S943" s="635"/>
      <c r="T943" s="635"/>
      <c r="U943" s="634"/>
      <c r="V943" s="634"/>
      <c r="W943" s="634"/>
      <c r="X943" s="634"/>
      <c r="Y943" s="634"/>
      <c r="Z943" s="634"/>
    </row>
    <row r="944" ht="15.75" customHeight="1">
      <c r="A944" s="634"/>
      <c r="B944" s="634"/>
      <c r="C944" s="634"/>
      <c r="D944" s="634"/>
      <c r="E944" s="635"/>
      <c r="F944" s="634"/>
      <c r="G944" s="636"/>
      <c r="H944" s="635"/>
      <c r="I944" s="635"/>
      <c r="J944" s="635"/>
      <c r="K944" s="635"/>
      <c r="L944" s="635"/>
      <c r="M944" s="635"/>
      <c r="N944" s="635"/>
      <c r="O944" s="635"/>
      <c r="P944" s="635"/>
      <c r="Q944" s="634"/>
      <c r="R944" s="634"/>
      <c r="S944" s="635"/>
      <c r="T944" s="635"/>
      <c r="U944" s="634"/>
      <c r="V944" s="634"/>
      <c r="W944" s="634"/>
      <c r="X944" s="634"/>
      <c r="Y944" s="634"/>
      <c r="Z944" s="634"/>
    </row>
    <row r="945" ht="15.75" customHeight="1">
      <c r="A945" s="634"/>
      <c r="B945" s="634"/>
      <c r="C945" s="634"/>
      <c r="D945" s="634"/>
      <c r="E945" s="635"/>
      <c r="F945" s="634"/>
      <c r="G945" s="636"/>
      <c r="H945" s="635"/>
      <c r="I945" s="635"/>
      <c r="J945" s="635"/>
      <c r="K945" s="635"/>
      <c r="L945" s="635"/>
      <c r="M945" s="635"/>
      <c r="N945" s="635"/>
      <c r="O945" s="635"/>
      <c r="P945" s="635"/>
      <c r="Q945" s="634"/>
      <c r="R945" s="634"/>
      <c r="S945" s="635"/>
      <c r="T945" s="635"/>
      <c r="U945" s="634"/>
      <c r="V945" s="634"/>
      <c r="W945" s="634"/>
      <c r="X945" s="634"/>
      <c r="Y945" s="634"/>
      <c r="Z945" s="634"/>
    </row>
    <row r="946" ht="15.75" customHeight="1">
      <c r="A946" s="634"/>
      <c r="B946" s="634"/>
      <c r="C946" s="634"/>
      <c r="D946" s="634"/>
      <c r="E946" s="635"/>
      <c r="F946" s="634"/>
      <c r="G946" s="636"/>
      <c r="H946" s="635"/>
      <c r="I946" s="635"/>
      <c r="J946" s="635"/>
      <c r="K946" s="635"/>
      <c r="L946" s="635"/>
      <c r="M946" s="635"/>
      <c r="N946" s="635"/>
      <c r="O946" s="635"/>
      <c r="P946" s="635"/>
      <c r="Q946" s="634"/>
      <c r="R946" s="634"/>
      <c r="S946" s="635"/>
      <c r="T946" s="635"/>
      <c r="U946" s="634"/>
      <c r="V946" s="634"/>
      <c r="W946" s="634"/>
      <c r="X946" s="634"/>
      <c r="Y946" s="634"/>
      <c r="Z946" s="634"/>
    </row>
    <row r="947" ht="15.75" customHeight="1">
      <c r="A947" s="634"/>
      <c r="B947" s="634"/>
      <c r="C947" s="634"/>
      <c r="D947" s="634"/>
      <c r="E947" s="635"/>
      <c r="F947" s="634"/>
      <c r="G947" s="636"/>
      <c r="H947" s="635"/>
      <c r="I947" s="635"/>
      <c r="J947" s="635"/>
      <c r="K947" s="635"/>
      <c r="L947" s="635"/>
      <c r="M947" s="635"/>
      <c r="N947" s="635"/>
      <c r="O947" s="635"/>
      <c r="P947" s="635"/>
      <c r="Q947" s="634"/>
      <c r="R947" s="634"/>
      <c r="S947" s="635"/>
      <c r="T947" s="635"/>
      <c r="U947" s="634"/>
      <c r="V947" s="634"/>
      <c r="W947" s="634"/>
      <c r="X947" s="634"/>
      <c r="Y947" s="634"/>
      <c r="Z947" s="634"/>
    </row>
    <row r="948" ht="15.75" customHeight="1">
      <c r="A948" s="634"/>
      <c r="B948" s="634"/>
      <c r="C948" s="634"/>
      <c r="D948" s="634"/>
      <c r="E948" s="635"/>
      <c r="F948" s="634"/>
      <c r="G948" s="636"/>
      <c r="H948" s="635"/>
      <c r="I948" s="635"/>
      <c r="J948" s="635"/>
      <c r="K948" s="635"/>
      <c r="L948" s="635"/>
      <c r="M948" s="635"/>
      <c r="N948" s="635"/>
      <c r="O948" s="635"/>
      <c r="P948" s="635"/>
      <c r="Q948" s="634"/>
      <c r="R948" s="634"/>
      <c r="S948" s="635"/>
      <c r="T948" s="635"/>
      <c r="U948" s="634"/>
      <c r="V948" s="634"/>
      <c r="W948" s="634"/>
      <c r="X948" s="634"/>
      <c r="Y948" s="634"/>
      <c r="Z948" s="634"/>
    </row>
    <row r="949" ht="15.75" customHeight="1">
      <c r="A949" s="634"/>
      <c r="B949" s="634"/>
      <c r="C949" s="634"/>
      <c r="D949" s="634"/>
      <c r="E949" s="635"/>
      <c r="F949" s="634"/>
      <c r="G949" s="636"/>
      <c r="H949" s="635"/>
      <c r="I949" s="635"/>
      <c r="J949" s="635"/>
      <c r="K949" s="635"/>
      <c r="L949" s="635"/>
      <c r="M949" s="635"/>
      <c r="N949" s="635"/>
      <c r="O949" s="635"/>
      <c r="P949" s="635"/>
      <c r="Q949" s="634"/>
      <c r="R949" s="634"/>
      <c r="S949" s="635"/>
      <c r="T949" s="635"/>
      <c r="U949" s="634"/>
      <c r="V949" s="634"/>
      <c r="W949" s="634"/>
      <c r="X949" s="634"/>
      <c r="Y949" s="634"/>
      <c r="Z949" s="634"/>
    </row>
    <row r="950" ht="15.75" customHeight="1">
      <c r="A950" s="634"/>
      <c r="B950" s="634"/>
      <c r="C950" s="634"/>
      <c r="D950" s="634"/>
      <c r="E950" s="635"/>
      <c r="F950" s="634"/>
      <c r="G950" s="636"/>
      <c r="H950" s="635"/>
      <c r="I950" s="635"/>
      <c r="J950" s="635"/>
      <c r="K950" s="635"/>
      <c r="L950" s="635"/>
      <c r="M950" s="635"/>
      <c r="N950" s="635"/>
      <c r="O950" s="635"/>
      <c r="P950" s="635"/>
      <c r="Q950" s="634"/>
      <c r="R950" s="634"/>
      <c r="S950" s="635"/>
      <c r="T950" s="635"/>
      <c r="U950" s="634"/>
      <c r="V950" s="634"/>
      <c r="W950" s="634"/>
      <c r="X950" s="634"/>
      <c r="Y950" s="634"/>
      <c r="Z950" s="634"/>
    </row>
    <row r="951" ht="15.75" customHeight="1">
      <c r="A951" s="634"/>
      <c r="B951" s="634"/>
      <c r="C951" s="634"/>
      <c r="D951" s="634"/>
      <c r="E951" s="635"/>
      <c r="F951" s="634"/>
      <c r="G951" s="636"/>
      <c r="H951" s="635"/>
      <c r="I951" s="635"/>
      <c r="J951" s="635"/>
      <c r="K951" s="635"/>
      <c r="L951" s="635"/>
      <c r="M951" s="635"/>
      <c r="N951" s="635"/>
      <c r="O951" s="635"/>
      <c r="P951" s="635"/>
      <c r="Q951" s="634"/>
      <c r="R951" s="634"/>
      <c r="S951" s="635"/>
      <c r="T951" s="635"/>
      <c r="U951" s="634"/>
      <c r="V951" s="634"/>
      <c r="W951" s="634"/>
      <c r="X951" s="634"/>
      <c r="Y951" s="634"/>
      <c r="Z951" s="634"/>
    </row>
    <row r="952" ht="15.75" customHeight="1">
      <c r="A952" s="634"/>
      <c r="B952" s="634"/>
      <c r="C952" s="634"/>
      <c r="D952" s="634"/>
      <c r="E952" s="635"/>
      <c r="F952" s="634"/>
      <c r="G952" s="636"/>
      <c r="H952" s="635"/>
      <c r="I952" s="635"/>
      <c r="J952" s="635"/>
      <c r="K952" s="635"/>
      <c r="L952" s="635"/>
      <c r="M952" s="635"/>
      <c r="N952" s="635"/>
      <c r="O952" s="635"/>
      <c r="P952" s="635"/>
      <c r="Q952" s="634"/>
      <c r="R952" s="634"/>
      <c r="S952" s="635"/>
      <c r="T952" s="635"/>
      <c r="U952" s="634"/>
      <c r="V952" s="634"/>
      <c r="W952" s="634"/>
      <c r="X952" s="634"/>
      <c r="Y952" s="634"/>
      <c r="Z952" s="634"/>
    </row>
    <row r="953" ht="15.75" customHeight="1">
      <c r="A953" s="634"/>
      <c r="B953" s="634"/>
      <c r="C953" s="634"/>
      <c r="D953" s="634"/>
      <c r="E953" s="635"/>
      <c r="F953" s="634"/>
      <c r="G953" s="636"/>
      <c r="H953" s="635"/>
      <c r="I953" s="635"/>
      <c r="J953" s="635"/>
      <c r="K953" s="635"/>
      <c r="L953" s="635"/>
      <c r="M953" s="635"/>
      <c r="N953" s="635"/>
      <c r="O953" s="635"/>
      <c r="P953" s="635"/>
      <c r="Q953" s="634"/>
      <c r="R953" s="634"/>
      <c r="S953" s="635"/>
      <c r="T953" s="635"/>
      <c r="U953" s="634"/>
      <c r="V953" s="634"/>
      <c r="W953" s="634"/>
      <c r="X953" s="634"/>
      <c r="Y953" s="634"/>
      <c r="Z953" s="634"/>
    </row>
    <row r="954" ht="15.75" customHeight="1">
      <c r="A954" s="634"/>
      <c r="B954" s="634"/>
      <c r="C954" s="634"/>
      <c r="D954" s="634"/>
      <c r="E954" s="635"/>
      <c r="F954" s="634"/>
      <c r="G954" s="636"/>
      <c r="H954" s="635"/>
      <c r="I954" s="635"/>
      <c r="J954" s="635"/>
      <c r="K954" s="635"/>
      <c r="L954" s="635"/>
      <c r="M954" s="635"/>
      <c r="N954" s="635"/>
      <c r="O954" s="635"/>
      <c r="P954" s="635"/>
      <c r="Q954" s="634"/>
      <c r="R954" s="634"/>
      <c r="S954" s="635"/>
      <c r="T954" s="635"/>
      <c r="U954" s="634"/>
      <c r="V954" s="634"/>
      <c r="W954" s="634"/>
      <c r="X954" s="634"/>
      <c r="Y954" s="634"/>
      <c r="Z954" s="634"/>
    </row>
    <row r="955" ht="15.75" customHeight="1">
      <c r="A955" s="634"/>
      <c r="B955" s="634"/>
      <c r="C955" s="634"/>
      <c r="D955" s="634"/>
      <c r="E955" s="635"/>
      <c r="F955" s="634"/>
      <c r="G955" s="636"/>
      <c r="H955" s="635"/>
      <c r="I955" s="635"/>
      <c r="J955" s="635"/>
      <c r="K955" s="635"/>
      <c r="L955" s="635"/>
      <c r="M955" s="635"/>
      <c r="N955" s="635"/>
      <c r="O955" s="635"/>
      <c r="P955" s="635"/>
      <c r="Q955" s="634"/>
      <c r="R955" s="634"/>
      <c r="S955" s="635"/>
      <c r="T955" s="635"/>
      <c r="U955" s="634"/>
      <c r="V955" s="634"/>
      <c r="W955" s="634"/>
      <c r="X955" s="634"/>
      <c r="Y955" s="634"/>
      <c r="Z955" s="634"/>
    </row>
    <row r="956" ht="15.75" customHeight="1">
      <c r="A956" s="634"/>
      <c r="B956" s="634"/>
      <c r="C956" s="634"/>
      <c r="D956" s="634"/>
      <c r="E956" s="635"/>
      <c r="F956" s="634"/>
      <c r="G956" s="636"/>
      <c r="H956" s="635"/>
      <c r="I956" s="635"/>
      <c r="J956" s="635"/>
      <c r="K956" s="635"/>
      <c r="L956" s="635"/>
      <c r="M956" s="635"/>
      <c r="N956" s="635"/>
      <c r="O956" s="635"/>
      <c r="P956" s="635"/>
      <c r="Q956" s="634"/>
      <c r="R956" s="634"/>
      <c r="S956" s="635"/>
      <c r="T956" s="635"/>
      <c r="U956" s="634"/>
      <c r="V956" s="634"/>
      <c r="W956" s="634"/>
      <c r="X956" s="634"/>
      <c r="Y956" s="634"/>
      <c r="Z956" s="634"/>
    </row>
    <row r="957" ht="15.75" customHeight="1">
      <c r="A957" s="634"/>
      <c r="B957" s="634"/>
      <c r="C957" s="634"/>
      <c r="D957" s="634"/>
      <c r="E957" s="635"/>
      <c r="F957" s="634"/>
      <c r="G957" s="636"/>
      <c r="H957" s="635"/>
      <c r="I957" s="635"/>
      <c r="J957" s="635"/>
      <c r="K957" s="635"/>
      <c r="L957" s="635"/>
      <c r="M957" s="635"/>
      <c r="N957" s="635"/>
      <c r="O957" s="635"/>
      <c r="P957" s="635"/>
      <c r="Q957" s="634"/>
      <c r="R957" s="634"/>
      <c r="S957" s="635"/>
      <c r="T957" s="635"/>
      <c r="U957" s="634"/>
      <c r="V957" s="634"/>
      <c r="W957" s="634"/>
      <c r="X957" s="634"/>
      <c r="Y957" s="634"/>
      <c r="Z957" s="634"/>
    </row>
    <row r="958" ht="15.75" customHeight="1">
      <c r="A958" s="634"/>
      <c r="B958" s="634"/>
      <c r="C958" s="634"/>
      <c r="D958" s="634"/>
      <c r="E958" s="635"/>
      <c r="F958" s="634"/>
      <c r="G958" s="636"/>
      <c r="H958" s="635"/>
      <c r="I958" s="635"/>
      <c r="J958" s="635"/>
      <c r="K958" s="635"/>
      <c r="L958" s="635"/>
      <c r="M958" s="635"/>
      <c r="N958" s="635"/>
      <c r="O958" s="635"/>
      <c r="P958" s="635"/>
      <c r="Q958" s="634"/>
      <c r="R958" s="634"/>
      <c r="S958" s="635"/>
      <c r="T958" s="635"/>
      <c r="U958" s="634"/>
      <c r="V958" s="634"/>
      <c r="W958" s="634"/>
      <c r="X958" s="634"/>
      <c r="Y958" s="634"/>
      <c r="Z958" s="634"/>
    </row>
    <row r="959" ht="15.75" customHeight="1">
      <c r="A959" s="634"/>
      <c r="B959" s="634"/>
      <c r="C959" s="634"/>
      <c r="D959" s="634"/>
      <c r="E959" s="635"/>
      <c r="F959" s="634"/>
      <c r="G959" s="636"/>
      <c r="H959" s="635"/>
      <c r="I959" s="635"/>
      <c r="J959" s="635"/>
      <c r="K959" s="635"/>
      <c r="L959" s="635"/>
      <c r="M959" s="635"/>
      <c r="N959" s="635"/>
      <c r="O959" s="635"/>
      <c r="P959" s="635"/>
      <c r="Q959" s="634"/>
      <c r="R959" s="634"/>
      <c r="S959" s="635"/>
      <c r="T959" s="635"/>
      <c r="U959" s="634"/>
      <c r="V959" s="634"/>
      <c r="W959" s="634"/>
      <c r="X959" s="634"/>
      <c r="Y959" s="634"/>
      <c r="Z959" s="634"/>
    </row>
    <row r="960" ht="15.75" customHeight="1">
      <c r="A960" s="634"/>
      <c r="B960" s="634"/>
      <c r="C960" s="634"/>
      <c r="D960" s="634"/>
      <c r="E960" s="635"/>
      <c r="F960" s="634"/>
      <c r="G960" s="636"/>
      <c r="H960" s="635"/>
      <c r="I960" s="635"/>
      <c r="J960" s="635"/>
      <c r="K960" s="635"/>
      <c r="L960" s="635"/>
      <c r="M960" s="635"/>
      <c r="N960" s="635"/>
      <c r="O960" s="635"/>
      <c r="P960" s="635"/>
      <c r="Q960" s="634"/>
      <c r="R960" s="634"/>
      <c r="S960" s="635"/>
      <c r="T960" s="635"/>
      <c r="U960" s="634"/>
      <c r="V960" s="634"/>
      <c r="W960" s="634"/>
      <c r="X960" s="634"/>
      <c r="Y960" s="634"/>
      <c r="Z960" s="634"/>
    </row>
    <row r="961" ht="15.75" customHeight="1">
      <c r="A961" s="634"/>
      <c r="B961" s="634"/>
      <c r="C961" s="634"/>
      <c r="D961" s="634"/>
      <c r="E961" s="635"/>
      <c r="F961" s="634"/>
      <c r="G961" s="636"/>
      <c r="H961" s="635"/>
      <c r="I961" s="635"/>
      <c r="J961" s="635"/>
      <c r="K961" s="635"/>
      <c r="L961" s="635"/>
      <c r="M961" s="635"/>
      <c r="N961" s="635"/>
      <c r="O961" s="635"/>
      <c r="P961" s="635"/>
      <c r="Q961" s="634"/>
      <c r="R961" s="634"/>
      <c r="S961" s="635"/>
      <c r="T961" s="635"/>
      <c r="U961" s="634"/>
      <c r="V961" s="634"/>
      <c r="W961" s="634"/>
      <c r="X961" s="634"/>
      <c r="Y961" s="634"/>
      <c r="Z961" s="634"/>
    </row>
    <row r="962" ht="15.75" customHeight="1">
      <c r="A962" s="634"/>
      <c r="B962" s="634"/>
      <c r="C962" s="634"/>
      <c r="D962" s="634"/>
      <c r="E962" s="635"/>
      <c r="F962" s="634"/>
      <c r="G962" s="636"/>
      <c r="H962" s="635"/>
      <c r="I962" s="635"/>
      <c r="J962" s="635"/>
      <c r="K962" s="635"/>
      <c r="L962" s="635"/>
      <c r="M962" s="635"/>
      <c r="N962" s="635"/>
      <c r="O962" s="635"/>
      <c r="P962" s="635"/>
      <c r="Q962" s="634"/>
      <c r="R962" s="634"/>
      <c r="S962" s="635"/>
      <c r="T962" s="635"/>
      <c r="U962" s="634"/>
      <c r="V962" s="634"/>
      <c r="W962" s="634"/>
      <c r="X962" s="634"/>
      <c r="Y962" s="634"/>
      <c r="Z962" s="634"/>
    </row>
    <row r="963" ht="15.75" customHeight="1">
      <c r="A963" s="634"/>
      <c r="B963" s="634"/>
      <c r="C963" s="634"/>
      <c r="D963" s="634"/>
      <c r="E963" s="635"/>
      <c r="F963" s="634"/>
      <c r="G963" s="636"/>
      <c r="H963" s="635"/>
      <c r="I963" s="635"/>
      <c r="J963" s="635"/>
      <c r="K963" s="635"/>
      <c r="L963" s="635"/>
      <c r="M963" s="635"/>
      <c r="N963" s="635"/>
      <c r="O963" s="635"/>
      <c r="P963" s="635"/>
      <c r="Q963" s="634"/>
      <c r="R963" s="634"/>
      <c r="S963" s="635"/>
      <c r="T963" s="635"/>
      <c r="U963" s="634"/>
      <c r="V963" s="634"/>
      <c r="W963" s="634"/>
      <c r="X963" s="634"/>
      <c r="Y963" s="634"/>
      <c r="Z963" s="634"/>
    </row>
    <row r="964" ht="15.75" customHeight="1">
      <c r="A964" s="634"/>
      <c r="B964" s="634"/>
      <c r="C964" s="634"/>
      <c r="D964" s="634"/>
      <c r="E964" s="635"/>
      <c r="F964" s="634"/>
      <c r="G964" s="636"/>
      <c r="H964" s="635"/>
      <c r="I964" s="635"/>
      <c r="J964" s="635"/>
      <c r="K964" s="635"/>
      <c r="L964" s="635"/>
      <c r="M964" s="635"/>
      <c r="N964" s="635"/>
      <c r="O964" s="635"/>
      <c r="P964" s="635"/>
      <c r="Q964" s="634"/>
      <c r="R964" s="634"/>
      <c r="S964" s="635"/>
      <c r="T964" s="635"/>
      <c r="U964" s="634"/>
      <c r="V964" s="634"/>
      <c r="W964" s="634"/>
      <c r="X964" s="634"/>
      <c r="Y964" s="634"/>
      <c r="Z964" s="634"/>
    </row>
    <row r="965" ht="15.75" customHeight="1">
      <c r="A965" s="634"/>
      <c r="B965" s="634"/>
      <c r="C965" s="634"/>
      <c r="D965" s="634"/>
      <c r="E965" s="635"/>
      <c r="F965" s="634"/>
      <c r="G965" s="636"/>
      <c r="H965" s="635"/>
      <c r="I965" s="635"/>
      <c r="J965" s="635"/>
      <c r="K965" s="635"/>
      <c r="L965" s="635"/>
      <c r="M965" s="635"/>
      <c r="N965" s="635"/>
      <c r="O965" s="635"/>
      <c r="P965" s="635"/>
      <c r="Q965" s="634"/>
      <c r="R965" s="634"/>
      <c r="S965" s="635"/>
      <c r="T965" s="635"/>
      <c r="U965" s="634"/>
      <c r="V965" s="634"/>
      <c r="W965" s="634"/>
      <c r="X965" s="634"/>
      <c r="Y965" s="634"/>
      <c r="Z965" s="634"/>
    </row>
    <row r="966" ht="15.75" customHeight="1">
      <c r="A966" s="634"/>
      <c r="B966" s="634"/>
      <c r="C966" s="634"/>
      <c r="D966" s="634"/>
      <c r="E966" s="635"/>
      <c r="F966" s="634"/>
      <c r="G966" s="636"/>
      <c r="H966" s="635"/>
      <c r="I966" s="635"/>
      <c r="J966" s="635"/>
      <c r="K966" s="635"/>
      <c r="L966" s="635"/>
      <c r="M966" s="635"/>
      <c r="N966" s="635"/>
      <c r="O966" s="635"/>
      <c r="P966" s="635"/>
      <c r="Q966" s="634"/>
      <c r="R966" s="634"/>
      <c r="S966" s="635"/>
      <c r="T966" s="635"/>
      <c r="U966" s="634"/>
      <c r="V966" s="634"/>
      <c r="W966" s="634"/>
      <c r="X966" s="634"/>
      <c r="Y966" s="634"/>
      <c r="Z966" s="634"/>
    </row>
    <row r="967" ht="15.75" customHeight="1">
      <c r="A967" s="634"/>
      <c r="B967" s="634"/>
      <c r="C967" s="634"/>
      <c r="D967" s="634"/>
      <c r="E967" s="635"/>
      <c r="F967" s="634"/>
      <c r="G967" s="636"/>
      <c r="H967" s="635"/>
      <c r="I967" s="635"/>
      <c r="J967" s="635"/>
      <c r="K967" s="635"/>
      <c r="L967" s="635"/>
      <c r="M967" s="635"/>
      <c r="N967" s="635"/>
      <c r="O967" s="635"/>
      <c r="P967" s="635"/>
      <c r="Q967" s="634"/>
      <c r="R967" s="634"/>
      <c r="S967" s="635"/>
      <c r="T967" s="635"/>
      <c r="U967" s="634"/>
      <c r="V967" s="634"/>
      <c r="W967" s="634"/>
      <c r="X967" s="634"/>
      <c r="Y967" s="634"/>
      <c r="Z967" s="634"/>
    </row>
    <row r="968" ht="15.75" customHeight="1">
      <c r="A968" s="634"/>
      <c r="B968" s="634"/>
      <c r="C968" s="634"/>
      <c r="D968" s="634"/>
      <c r="E968" s="635"/>
      <c r="F968" s="634"/>
      <c r="G968" s="636"/>
      <c r="H968" s="635"/>
      <c r="I968" s="635"/>
      <c r="J968" s="635"/>
      <c r="K968" s="635"/>
      <c r="L968" s="635"/>
      <c r="M968" s="635"/>
      <c r="N968" s="635"/>
      <c r="O968" s="635"/>
      <c r="P968" s="635"/>
      <c r="Q968" s="634"/>
      <c r="R968" s="634"/>
      <c r="S968" s="635"/>
      <c r="T968" s="635"/>
      <c r="U968" s="634"/>
      <c r="V968" s="634"/>
      <c r="W968" s="634"/>
      <c r="X968" s="634"/>
      <c r="Y968" s="634"/>
      <c r="Z968" s="634"/>
    </row>
    <row r="969" ht="15.75" customHeight="1">
      <c r="A969" s="634"/>
      <c r="B969" s="634"/>
      <c r="C969" s="634"/>
      <c r="D969" s="634"/>
      <c r="E969" s="635"/>
      <c r="F969" s="634"/>
      <c r="G969" s="636"/>
      <c r="H969" s="635"/>
      <c r="I969" s="635"/>
      <c r="J969" s="635"/>
      <c r="K969" s="635"/>
      <c r="L969" s="635"/>
      <c r="M969" s="635"/>
      <c r="N969" s="635"/>
      <c r="O969" s="635"/>
      <c r="P969" s="635"/>
      <c r="Q969" s="634"/>
      <c r="R969" s="634"/>
      <c r="S969" s="635"/>
      <c r="T969" s="635"/>
      <c r="U969" s="634"/>
      <c r="V969" s="634"/>
      <c r="W969" s="634"/>
      <c r="X969" s="634"/>
      <c r="Y969" s="634"/>
      <c r="Z969" s="634"/>
    </row>
    <row r="970" ht="15.75" customHeight="1">
      <c r="A970" s="634"/>
      <c r="B970" s="634"/>
      <c r="C970" s="634"/>
      <c r="D970" s="634"/>
      <c r="E970" s="635"/>
      <c r="F970" s="634"/>
      <c r="G970" s="636"/>
      <c r="H970" s="635"/>
      <c r="I970" s="635"/>
      <c r="J970" s="635"/>
      <c r="K970" s="635"/>
      <c r="L970" s="635"/>
      <c r="M970" s="635"/>
      <c r="N970" s="635"/>
      <c r="O970" s="635"/>
      <c r="P970" s="635"/>
      <c r="Q970" s="634"/>
      <c r="R970" s="634"/>
      <c r="S970" s="635"/>
      <c r="T970" s="635"/>
      <c r="U970" s="634"/>
      <c r="V970" s="634"/>
      <c r="W970" s="634"/>
      <c r="X970" s="634"/>
      <c r="Y970" s="634"/>
      <c r="Z970" s="634"/>
    </row>
    <row r="971" ht="15.75" customHeight="1">
      <c r="A971" s="634"/>
      <c r="B971" s="634"/>
      <c r="C971" s="634"/>
      <c r="D971" s="634"/>
      <c r="E971" s="635"/>
      <c r="F971" s="634"/>
      <c r="G971" s="636"/>
      <c r="H971" s="635"/>
      <c r="I971" s="635"/>
      <c r="J971" s="635"/>
      <c r="K971" s="635"/>
      <c r="L971" s="635"/>
      <c r="M971" s="635"/>
      <c r="N971" s="635"/>
      <c r="O971" s="635"/>
      <c r="P971" s="635"/>
      <c r="Q971" s="634"/>
      <c r="R971" s="634"/>
      <c r="S971" s="635"/>
      <c r="T971" s="635"/>
      <c r="U971" s="634"/>
      <c r="V971" s="634"/>
      <c r="W971" s="634"/>
      <c r="X971" s="634"/>
      <c r="Y971" s="634"/>
      <c r="Z971" s="634"/>
    </row>
    <row r="972" ht="15.75" customHeight="1">
      <c r="A972" s="634"/>
      <c r="B972" s="634"/>
      <c r="C972" s="634"/>
      <c r="D972" s="634"/>
      <c r="E972" s="635"/>
      <c r="F972" s="634"/>
      <c r="G972" s="636"/>
      <c r="H972" s="635"/>
      <c r="I972" s="635"/>
      <c r="J972" s="635"/>
      <c r="K972" s="635"/>
      <c r="L972" s="635"/>
      <c r="M972" s="635"/>
      <c r="N972" s="635"/>
      <c r="O972" s="635"/>
      <c r="P972" s="635"/>
      <c r="Q972" s="634"/>
      <c r="R972" s="634"/>
      <c r="S972" s="635"/>
      <c r="T972" s="635"/>
      <c r="U972" s="634"/>
      <c r="V972" s="634"/>
      <c r="W972" s="634"/>
      <c r="X972" s="634"/>
      <c r="Y972" s="634"/>
      <c r="Z972" s="634"/>
    </row>
    <row r="973" ht="15.75" customHeight="1">
      <c r="A973" s="634"/>
      <c r="B973" s="634"/>
      <c r="C973" s="634"/>
      <c r="D973" s="634"/>
      <c r="E973" s="635"/>
      <c r="F973" s="634"/>
      <c r="G973" s="636"/>
      <c r="H973" s="635"/>
      <c r="I973" s="635"/>
      <c r="J973" s="635"/>
      <c r="K973" s="635"/>
      <c r="L973" s="635"/>
      <c r="M973" s="635"/>
      <c r="N973" s="635"/>
      <c r="O973" s="635"/>
      <c r="P973" s="635"/>
      <c r="Q973" s="634"/>
      <c r="R973" s="634"/>
      <c r="S973" s="635"/>
      <c r="T973" s="635"/>
      <c r="U973" s="634"/>
      <c r="V973" s="634"/>
      <c r="W973" s="634"/>
      <c r="X973" s="634"/>
      <c r="Y973" s="634"/>
      <c r="Z973" s="634"/>
    </row>
    <row r="974" ht="15.75" customHeight="1">
      <c r="A974" s="634"/>
      <c r="B974" s="634"/>
      <c r="C974" s="634"/>
      <c r="D974" s="634"/>
      <c r="E974" s="635"/>
      <c r="F974" s="634"/>
      <c r="G974" s="636"/>
      <c r="H974" s="635"/>
      <c r="I974" s="635"/>
      <c r="J974" s="635"/>
      <c r="K974" s="635"/>
      <c r="L974" s="635"/>
      <c r="M974" s="635"/>
      <c r="N974" s="635"/>
      <c r="O974" s="635"/>
      <c r="P974" s="635"/>
      <c r="Q974" s="634"/>
      <c r="R974" s="634"/>
      <c r="S974" s="635"/>
      <c r="T974" s="635"/>
      <c r="U974" s="634"/>
      <c r="V974" s="634"/>
      <c r="W974" s="634"/>
      <c r="X974" s="634"/>
      <c r="Y974" s="634"/>
      <c r="Z974" s="634"/>
    </row>
    <row r="975" ht="15.75" customHeight="1">
      <c r="A975" s="634"/>
      <c r="B975" s="634"/>
      <c r="C975" s="634"/>
      <c r="D975" s="634"/>
      <c r="E975" s="635"/>
      <c r="F975" s="634"/>
      <c r="G975" s="636"/>
      <c r="H975" s="635"/>
      <c r="I975" s="635"/>
      <c r="J975" s="635"/>
      <c r="K975" s="635"/>
      <c r="L975" s="635"/>
      <c r="M975" s="635"/>
      <c r="N975" s="635"/>
      <c r="O975" s="635"/>
      <c r="P975" s="635"/>
      <c r="Q975" s="634"/>
      <c r="R975" s="634"/>
      <c r="S975" s="635"/>
      <c r="T975" s="635"/>
      <c r="U975" s="634"/>
      <c r="V975" s="634"/>
      <c r="W975" s="634"/>
      <c r="X975" s="634"/>
      <c r="Y975" s="634"/>
      <c r="Z975" s="634"/>
    </row>
    <row r="976" ht="15.75" customHeight="1">
      <c r="A976" s="634"/>
      <c r="B976" s="634"/>
      <c r="C976" s="634"/>
      <c r="D976" s="634"/>
      <c r="E976" s="635"/>
      <c r="F976" s="634"/>
      <c r="G976" s="636"/>
      <c r="H976" s="635"/>
      <c r="I976" s="635"/>
      <c r="J976" s="635"/>
      <c r="K976" s="635"/>
      <c r="L976" s="635"/>
      <c r="M976" s="635"/>
      <c r="N976" s="635"/>
      <c r="O976" s="635"/>
      <c r="P976" s="635"/>
      <c r="Q976" s="634"/>
      <c r="R976" s="634"/>
      <c r="S976" s="635"/>
      <c r="T976" s="635"/>
      <c r="U976" s="634"/>
      <c r="V976" s="634"/>
      <c r="W976" s="634"/>
      <c r="X976" s="634"/>
      <c r="Y976" s="634"/>
      <c r="Z976" s="634"/>
    </row>
    <row r="977" ht="15.75" customHeight="1">
      <c r="A977" s="634"/>
      <c r="B977" s="634"/>
      <c r="C977" s="634"/>
      <c r="D977" s="634"/>
      <c r="E977" s="635"/>
      <c r="F977" s="634"/>
      <c r="G977" s="636"/>
      <c r="H977" s="635"/>
      <c r="I977" s="635"/>
      <c r="J977" s="635"/>
      <c r="K977" s="635"/>
      <c r="L977" s="635"/>
      <c r="M977" s="635"/>
      <c r="N977" s="635"/>
      <c r="O977" s="635"/>
      <c r="P977" s="635"/>
      <c r="Q977" s="634"/>
      <c r="R977" s="634"/>
      <c r="S977" s="635"/>
      <c r="T977" s="635"/>
      <c r="U977" s="634"/>
      <c r="V977" s="634"/>
      <c r="W977" s="634"/>
      <c r="X977" s="634"/>
      <c r="Y977" s="634"/>
      <c r="Z977" s="634"/>
    </row>
    <row r="978" ht="15.75" customHeight="1">
      <c r="A978" s="634"/>
      <c r="B978" s="634"/>
      <c r="C978" s="634"/>
      <c r="D978" s="634"/>
      <c r="E978" s="635"/>
      <c r="F978" s="634"/>
      <c r="G978" s="636"/>
      <c r="H978" s="635"/>
      <c r="I978" s="635"/>
      <c r="J978" s="635"/>
      <c r="K978" s="635"/>
      <c r="L978" s="635"/>
      <c r="M978" s="635"/>
      <c r="N978" s="635"/>
      <c r="O978" s="635"/>
      <c r="P978" s="635"/>
      <c r="Q978" s="634"/>
      <c r="R978" s="634"/>
      <c r="S978" s="635"/>
      <c r="T978" s="635"/>
      <c r="U978" s="634"/>
      <c r="V978" s="634"/>
      <c r="W978" s="634"/>
      <c r="X978" s="634"/>
      <c r="Y978" s="634"/>
      <c r="Z978" s="634"/>
    </row>
    <row r="979" ht="15.75" customHeight="1">
      <c r="A979" s="634"/>
      <c r="B979" s="634"/>
      <c r="C979" s="634"/>
      <c r="D979" s="634"/>
      <c r="E979" s="635"/>
      <c r="F979" s="634"/>
      <c r="G979" s="636"/>
      <c r="H979" s="635"/>
      <c r="I979" s="635"/>
      <c r="J979" s="635"/>
      <c r="K979" s="635"/>
      <c r="L979" s="635"/>
      <c r="M979" s="635"/>
      <c r="N979" s="635"/>
      <c r="O979" s="635"/>
      <c r="P979" s="635"/>
      <c r="Q979" s="634"/>
      <c r="R979" s="634"/>
      <c r="S979" s="635"/>
      <c r="T979" s="635"/>
      <c r="U979" s="634"/>
      <c r="V979" s="634"/>
      <c r="W979" s="634"/>
      <c r="X979" s="634"/>
      <c r="Y979" s="634"/>
      <c r="Z979" s="634"/>
    </row>
    <row r="980" ht="15.75" customHeight="1">
      <c r="A980" s="634"/>
      <c r="B980" s="634"/>
      <c r="C980" s="634"/>
      <c r="D980" s="634"/>
      <c r="E980" s="635"/>
      <c r="F980" s="634"/>
      <c r="G980" s="636"/>
      <c r="H980" s="635"/>
      <c r="I980" s="635"/>
      <c r="J980" s="635"/>
      <c r="K980" s="635"/>
      <c r="L980" s="635"/>
      <c r="M980" s="635"/>
      <c r="N980" s="635"/>
      <c r="O980" s="635"/>
      <c r="P980" s="635"/>
      <c r="Q980" s="634"/>
      <c r="R980" s="634"/>
      <c r="S980" s="635"/>
      <c r="T980" s="635"/>
      <c r="U980" s="634"/>
      <c r="V980" s="634"/>
      <c r="W980" s="634"/>
      <c r="X980" s="634"/>
      <c r="Y980" s="634"/>
      <c r="Z980" s="634"/>
    </row>
    <row r="981" ht="15.75" customHeight="1">
      <c r="A981" s="634"/>
      <c r="B981" s="634"/>
      <c r="C981" s="634"/>
      <c r="D981" s="634"/>
      <c r="E981" s="635"/>
      <c r="F981" s="634"/>
      <c r="G981" s="636"/>
      <c r="H981" s="635"/>
      <c r="I981" s="635"/>
      <c r="J981" s="635"/>
      <c r="K981" s="635"/>
      <c r="L981" s="635"/>
      <c r="M981" s="635"/>
      <c r="N981" s="635"/>
      <c r="O981" s="635"/>
      <c r="P981" s="635"/>
      <c r="Q981" s="634"/>
      <c r="R981" s="634"/>
      <c r="S981" s="635"/>
      <c r="T981" s="635"/>
      <c r="U981" s="634"/>
      <c r="V981" s="634"/>
      <c r="W981" s="634"/>
      <c r="X981" s="634"/>
      <c r="Y981" s="634"/>
      <c r="Z981" s="634"/>
    </row>
    <row r="982" ht="15.75" customHeight="1">
      <c r="A982" s="634"/>
      <c r="B982" s="634"/>
      <c r="C982" s="634"/>
      <c r="D982" s="634"/>
      <c r="E982" s="635"/>
      <c r="F982" s="634"/>
      <c r="G982" s="636"/>
      <c r="H982" s="635"/>
      <c r="I982" s="635"/>
      <c r="J982" s="635"/>
      <c r="K982" s="635"/>
      <c r="L982" s="635"/>
      <c r="M982" s="635"/>
      <c r="N982" s="635"/>
      <c r="O982" s="635"/>
      <c r="P982" s="635"/>
      <c r="Q982" s="634"/>
      <c r="R982" s="634"/>
      <c r="S982" s="635"/>
      <c r="T982" s="635"/>
      <c r="U982" s="634"/>
      <c r="V982" s="634"/>
      <c r="W982" s="634"/>
      <c r="X982" s="634"/>
      <c r="Y982" s="634"/>
      <c r="Z982" s="634"/>
    </row>
    <row r="983" ht="15.75" customHeight="1">
      <c r="A983" s="634"/>
      <c r="B983" s="634"/>
      <c r="C983" s="634"/>
      <c r="D983" s="634"/>
      <c r="E983" s="635"/>
      <c r="F983" s="634"/>
      <c r="G983" s="636"/>
      <c r="H983" s="635"/>
      <c r="I983" s="635"/>
      <c r="J983" s="635"/>
      <c r="K983" s="635"/>
      <c r="L983" s="635"/>
      <c r="M983" s="635"/>
      <c r="N983" s="635"/>
      <c r="O983" s="635"/>
      <c r="P983" s="635"/>
      <c r="Q983" s="634"/>
      <c r="R983" s="634"/>
      <c r="S983" s="635"/>
      <c r="T983" s="635"/>
      <c r="U983" s="634"/>
      <c r="V983" s="634"/>
      <c r="W983" s="634"/>
      <c r="X983" s="634"/>
      <c r="Y983" s="634"/>
      <c r="Z983" s="634"/>
    </row>
    <row r="984" ht="15.75" customHeight="1">
      <c r="A984" s="634"/>
      <c r="B984" s="634"/>
      <c r="C984" s="634"/>
      <c r="D984" s="634"/>
      <c r="E984" s="635"/>
      <c r="F984" s="634"/>
      <c r="G984" s="636"/>
      <c r="H984" s="635"/>
      <c r="I984" s="635"/>
      <c r="J984" s="635"/>
      <c r="K984" s="635"/>
      <c r="L984" s="635"/>
      <c r="M984" s="635"/>
      <c r="N984" s="635"/>
      <c r="O984" s="635"/>
      <c r="P984" s="635"/>
      <c r="Q984" s="634"/>
      <c r="R984" s="634"/>
      <c r="S984" s="635"/>
      <c r="T984" s="635"/>
      <c r="U984" s="634"/>
      <c r="V984" s="634"/>
      <c r="W984" s="634"/>
      <c r="X984" s="634"/>
      <c r="Y984" s="634"/>
      <c r="Z984" s="634"/>
    </row>
    <row r="985" ht="15.75" customHeight="1">
      <c r="A985" s="634"/>
      <c r="B985" s="634"/>
      <c r="C985" s="634"/>
      <c r="D985" s="634"/>
      <c r="E985" s="635"/>
      <c r="F985" s="634"/>
      <c r="G985" s="636"/>
      <c r="H985" s="635"/>
      <c r="I985" s="635"/>
      <c r="J985" s="635"/>
      <c r="K985" s="635"/>
      <c r="L985" s="635"/>
      <c r="M985" s="635"/>
      <c r="N985" s="635"/>
      <c r="O985" s="635"/>
      <c r="P985" s="635"/>
      <c r="Q985" s="634"/>
      <c r="R985" s="634"/>
      <c r="S985" s="635"/>
      <c r="T985" s="635"/>
      <c r="U985" s="634"/>
      <c r="V985" s="634"/>
      <c r="W985" s="634"/>
      <c r="X985" s="634"/>
      <c r="Y985" s="634"/>
      <c r="Z985" s="634"/>
    </row>
    <row r="986" ht="15.75" customHeight="1">
      <c r="A986" s="634"/>
      <c r="B986" s="634"/>
      <c r="C986" s="634"/>
      <c r="D986" s="634"/>
      <c r="E986" s="635"/>
      <c r="F986" s="634"/>
      <c r="G986" s="636"/>
      <c r="H986" s="635"/>
      <c r="I986" s="635"/>
      <c r="J986" s="635"/>
      <c r="K986" s="635"/>
      <c r="L986" s="635"/>
      <c r="M986" s="635"/>
      <c r="N986" s="635"/>
      <c r="O986" s="635"/>
      <c r="P986" s="635"/>
      <c r="Q986" s="634"/>
      <c r="R986" s="634"/>
      <c r="S986" s="635"/>
      <c r="T986" s="635"/>
      <c r="U986" s="634"/>
      <c r="V986" s="634"/>
      <c r="W986" s="634"/>
      <c r="X986" s="634"/>
      <c r="Y986" s="634"/>
      <c r="Z986" s="634"/>
    </row>
    <row r="987" ht="15.75" customHeight="1">
      <c r="A987" s="634"/>
      <c r="B987" s="634"/>
      <c r="C987" s="634"/>
      <c r="D987" s="634"/>
      <c r="E987" s="635"/>
      <c r="F987" s="634"/>
      <c r="G987" s="636"/>
      <c r="H987" s="635"/>
      <c r="I987" s="635"/>
      <c r="J987" s="635"/>
      <c r="K987" s="635"/>
      <c r="L987" s="635"/>
      <c r="M987" s="635"/>
      <c r="N987" s="635"/>
      <c r="O987" s="635"/>
      <c r="P987" s="635"/>
      <c r="Q987" s="634"/>
      <c r="R987" s="634"/>
      <c r="S987" s="635"/>
      <c r="T987" s="635"/>
      <c r="U987" s="634"/>
      <c r="V987" s="634"/>
      <c r="W987" s="634"/>
      <c r="X987" s="634"/>
      <c r="Y987" s="634"/>
      <c r="Z987" s="634"/>
    </row>
    <row r="988" ht="15.75" customHeight="1">
      <c r="A988" s="634"/>
      <c r="B988" s="634"/>
      <c r="C988" s="634"/>
      <c r="D988" s="634"/>
      <c r="E988" s="635"/>
      <c r="F988" s="634"/>
      <c r="G988" s="636"/>
      <c r="H988" s="635"/>
      <c r="I988" s="635"/>
      <c r="J988" s="635"/>
      <c r="K988" s="635"/>
      <c r="L988" s="635"/>
      <c r="M988" s="635"/>
      <c r="N988" s="635"/>
      <c r="O988" s="635"/>
      <c r="P988" s="635"/>
      <c r="Q988" s="634"/>
      <c r="R988" s="634"/>
      <c r="S988" s="635"/>
      <c r="T988" s="635"/>
      <c r="U988" s="634"/>
      <c r="V988" s="634"/>
      <c r="W988" s="634"/>
      <c r="X988" s="634"/>
      <c r="Y988" s="634"/>
      <c r="Z988" s="634"/>
    </row>
    <row r="989" ht="15.75" customHeight="1">
      <c r="A989" s="634"/>
      <c r="B989" s="634"/>
      <c r="C989" s="634"/>
      <c r="D989" s="634"/>
      <c r="E989" s="635"/>
      <c r="F989" s="634"/>
      <c r="G989" s="636"/>
      <c r="H989" s="635"/>
      <c r="I989" s="635"/>
      <c r="J989" s="635"/>
      <c r="K989" s="635"/>
      <c r="L989" s="635"/>
      <c r="M989" s="635"/>
      <c r="N989" s="635"/>
      <c r="O989" s="635"/>
      <c r="P989" s="635"/>
      <c r="Q989" s="634"/>
      <c r="R989" s="634"/>
      <c r="S989" s="635"/>
      <c r="T989" s="635"/>
      <c r="U989" s="634"/>
      <c r="V989" s="634"/>
      <c r="W989" s="634"/>
      <c r="X989" s="634"/>
      <c r="Y989" s="634"/>
      <c r="Z989" s="634"/>
    </row>
    <row r="990" ht="15.75" customHeight="1">
      <c r="A990" s="634"/>
      <c r="B990" s="634"/>
      <c r="C990" s="634"/>
      <c r="D990" s="634"/>
      <c r="E990" s="635"/>
      <c r="F990" s="634"/>
      <c r="G990" s="636"/>
      <c r="H990" s="635"/>
      <c r="I990" s="635"/>
      <c r="J990" s="635"/>
      <c r="K990" s="635"/>
      <c r="L990" s="635"/>
      <c r="M990" s="635"/>
      <c r="N990" s="635"/>
      <c r="O990" s="635"/>
      <c r="P990" s="635"/>
      <c r="Q990" s="634"/>
      <c r="R990" s="634"/>
      <c r="S990" s="635"/>
      <c r="T990" s="635"/>
      <c r="U990" s="634"/>
      <c r="V990" s="634"/>
      <c r="W990" s="634"/>
      <c r="X990" s="634"/>
      <c r="Y990" s="634"/>
      <c r="Z990" s="634"/>
    </row>
    <row r="991" ht="15.75" customHeight="1">
      <c r="A991" s="634"/>
      <c r="B991" s="634"/>
      <c r="C991" s="634"/>
      <c r="D991" s="634"/>
      <c r="E991" s="635"/>
      <c r="F991" s="634"/>
      <c r="G991" s="636"/>
      <c r="H991" s="635"/>
      <c r="I991" s="635"/>
      <c r="J991" s="635"/>
      <c r="K991" s="635"/>
      <c r="L991" s="635"/>
      <c r="M991" s="635"/>
      <c r="N991" s="635"/>
      <c r="O991" s="635"/>
      <c r="P991" s="635"/>
      <c r="Q991" s="634"/>
      <c r="R991" s="634"/>
      <c r="S991" s="635"/>
      <c r="T991" s="635"/>
      <c r="U991" s="634"/>
      <c r="V991" s="634"/>
      <c r="W991" s="634"/>
      <c r="X991" s="634"/>
      <c r="Y991" s="634"/>
      <c r="Z991" s="634"/>
    </row>
    <row r="992" ht="15.75" customHeight="1">
      <c r="A992" s="634"/>
      <c r="B992" s="634"/>
      <c r="C992" s="634"/>
      <c r="D992" s="634"/>
      <c r="E992" s="635"/>
      <c r="F992" s="634"/>
      <c r="G992" s="636"/>
      <c r="H992" s="635"/>
      <c r="I992" s="635"/>
      <c r="J992" s="635"/>
      <c r="K992" s="635"/>
      <c r="L992" s="635"/>
      <c r="M992" s="635"/>
      <c r="N992" s="635"/>
      <c r="O992" s="635"/>
      <c r="P992" s="635"/>
      <c r="Q992" s="634"/>
      <c r="R992" s="634"/>
      <c r="S992" s="635"/>
      <c r="T992" s="635"/>
      <c r="U992" s="634"/>
      <c r="V992" s="634"/>
      <c r="W992" s="634"/>
      <c r="X992" s="634"/>
      <c r="Y992" s="634"/>
      <c r="Z992" s="634"/>
    </row>
    <row r="993" ht="15.75" customHeight="1">
      <c r="A993" s="634"/>
      <c r="B993" s="634"/>
      <c r="C993" s="634"/>
      <c r="D993" s="634"/>
      <c r="E993" s="635"/>
      <c r="F993" s="634"/>
      <c r="G993" s="636"/>
      <c r="H993" s="635"/>
      <c r="I993" s="635"/>
      <c r="J993" s="635"/>
      <c r="K993" s="635"/>
      <c r="L993" s="635"/>
      <c r="M993" s="635"/>
      <c r="N993" s="635"/>
      <c r="O993" s="635"/>
      <c r="P993" s="635"/>
      <c r="Q993" s="634"/>
      <c r="R993" s="634"/>
      <c r="S993" s="635"/>
      <c r="T993" s="635"/>
      <c r="U993" s="634"/>
      <c r="V993" s="634"/>
      <c r="W993" s="634"/>
      <c r="X993" s="634"/>
      <c r="Y993" s="634"/>
      <c r="Z993" s="634"/>
    </row>
    <row r="994" ht="15.75" customHeight="1">
      <c r="A994" s="634"/>
      <c r="B994" s="634"/>
      <c r="C994" s="634"/>
      <c r="D994" s="634"/>
      <c r="E994" s="635"/>
      <c r="F994" s="634"/>
      <c r="G994" s="636"/>
      <c r="H994" s="635"/>
      <c r="I994" s="635"/>
      <c r="J994" s="635"/>
      <c r="K994" s="635"/>
      <c r="L994" s="635"/>
      <c r="M994" s="635"/>
      <c r="N994" s="635"/>
      <c r="O994" s="635"/>
      <c r="P994" s="635"/>
      <c r="Q994" s="634"/>
      <c r="R994" s="634"/>
      <c r="S994" s="635"/>
      <c r="T994" s="635"/>
      <c r="U994" s="634"/>
      <c r="V994" s="634"/>
      <c r="W994" s="634"/>
      <c r="X994" s="634"/>
      <c r="Y994" s="634"/>
      <c r="Z994" s="634"/>
    </row>
    <row r="995" ht="15.75" customHeight="1">
      <c r="A995" s="634"/>
      <c r="B995" s="634"/>
      <c r="C995" s="634"/>
      <c r="D995" s="634"/>
      <c r="E995" s="635"/>
      <c r="F995" s="634"/>
      <c r="G995" s="636"/>
      <c r="H995" s="635"/>
      <c r="I995" s="635"/>
      <c r="J995" s="635"/>
      <c r="K995" s="635"/>
      <c r="L995" s="635"/>
      <c r="M995" s="635"/>
      <c r="N995" s="635"/>
      <c r="O995" s="635"/>
      <c r="P995" s="635"/>
      <c r="Q995" s="634"/>
      <c r="R995" s="634"/>
      <c r="S995" s="635"/>
      <c r="T995" s="635"/>
      <c r="U995" s="634"/>
      <c r="V995" s="634"/>
      <c r="W995" s="634"/>
      <c r="X995" s="634"/>
      <c r="Y995" s="634"/>
      <c r="Z995" s="634"/>
    </row>
    <row r="996" ht="15.75" customHeight="1">
      <c r="A996" s="634"/>
      <c r="B996" s="634"/>
      <c r="C996" s="634"/>
      <c r="D996" s="634"/>
      <c r="E996" s="635"/>
      <c r="F996" s="634"/>
      <c r="G996" s="636"/>
      <c r="H996" s="635"/>
      <c r="I996" s="635"/>
      <c r="J996" s="635"/>
      <c r="K996" s="635"/>
      <c r="L996" s="635"/>
      <c r="M996" s="635"/>
      <c r="N996" s="635"/>
      <c r="O996" s="635"/>
      <c r="P996" s="635"/>
      <c r="Q996" s="634"/>
      <c r="R996" s="634"/>
      <c r="S996" s="635"/>
      <c r="T996" s="635"/>
      <c r="U996" s="634"/>
      <c r="V996" s="634"/>
      <c r="W996" s="634"/>
      <c r="X996" s="634"/>
      <c r="Y996" s="634"/>
      <c r="Z996" s="634"/>
    </row>
    <row r="997" ht="15.75" customHeight="1">
      <c r="A997" s="634"/>
      <c r="B997" s="634"/>
      <c r="C997" s="634"/>
      <c r="D997" s="634"/>
      <c r="E997" s="635"/>
      <c r="F997" s="634"/>
      <c r="G997" s="636"/>
      <c r="H997" s="635"/>
      <c r="I997" s="635"/>
      <c r="J997" s="635"/>
      <c r="K997" s="635"/>
      <c r="L997" s="635"/>
      <c r="M997" s="635"/>
      <c r="N997" s="635"/>
      <c r="O997" s="635"/>
      <c r="P997" s="635"/>
      <c r="Q997" s="634"/>
      <c r="R997" s="634"/>
      <c r="S997" s="635"/>
      <c r="T997" s="635"/>
      <c r="U997" s="634"/>
      <c r="V997" s="634"/>
      <c r="W997" s="634"/>
      <c r="X997" s="634"/>
      <c r="Y997" s="634"/>
      <c r="Z997" s="634"/>
    </row>
    <row r="998" ht="15.75" customHeight="1">
      <c r="A998" s="634"/>
      <c r="B998" s="634"/>
      <c r="C998" s="634"/>
      <c r="D998" s="634"/>
      <c r="E998" s="635"/>
      <c r="F998" s="634"/>
      <c r="G998" s="636"/>
      <c r="H998" s="635"/>
      <c r="I998" s="635"/>
      <c r="J998" s="635"/>
      <c r="K998" s="635"/>
      <c r="L998" s="635"/>
      <c r="M998" s="635"/>
      <c r="N998" s="635"/>
      <c r="O998" s="635"/>
      <c r="P998" s="635"/>
      <c r="Q998" s="634"/>
      <c r="R998" s="634"/>
      <c r="S998" s="635"/>
      <c r="T998" s="635"/>
      <c r="U998" s="634"/>
      <c r="V998" s="634"/>
      <c r="W998" s="634"/>
      <c r="X998" s="634"/>
      <c r="Y998" s="634"/>
      <c r="Z998" s="634"/>
    </row>
    <row r="999" ht="15.75" customHeight="1">
      <c r="A999" s="634"/>
      <c r="B999" s="634"/>
      <c r="C999" s="634"/>
      <c r="D999" s="634"/>
      <c r="E999" s="635"/>
      <c r="F999" s="634"/>
      <c r="G999" s="636"/>
      <c r="H999" s="635"/>
      <c r="I999" s="635"/>
      <c r="J999" s="635"/>
      <c r="K999" s="635"/>
      <c r="L999" s="635"/>
      <c r="M999" s="635"/>
      <c r="N999" s="635"/>
      <c r="O999" s="635"/>
      <c r="P999" s="635"/>
      <c r="Q999" s="634"/>
      <c r="R999" s="634"/>
      <c r="S999" s="635"/>
      <c r="T999" s="635"/>
      <c r="U999" s="634"/>
      <c r="V999" s="634"/>
      <c r="W999" s="634"/>
      <c r="X999" s="634"/>
      <c r="Y999" s="634"/>
      <c r="Z999" s="634"/>
    </row>
    <row r="1000" ht="15.75" customHeight="1">
      <c r="A1000" s="634"/>
      <c r="B1000" s="634"/>
      <c r="C1000" s="634"/>
      <c r="D1000" s="634"/>
      <c r="E1000" s="635"/>
      <c r="F1000" s="634"/>
      <c r="G1000" s="636"/>
      <c r="H1000" s="635"/>
      <c r="I1000" s="635"/>
      <c r="J1000" s="635"/>
      <c r="K1000" s="635"/>
      <c r="L1000" s="635"/>
      <c r="M1000" s="635"/>
      <c r="N1000" s="635"/>
      <c r="O1000" s="635"/>
      <c r="P1000" s="635"/>
      <c r="Q1000" s="634"/>
      <c r="R1000" s="634"/>
      <c r="S1000" s="635"/>
      <c r="T1000" s="635"/>
      <c r="U1000" s="634"/>
      <c r="V1000" s="634"/>
      <c r="W1000" s="634"/>
      <c r="X1000" s="634"/>
      <c r="Y1000" s="634"/>
      <c r="Z1000" s="634"/>
    </row>
  </sheetData>
  <printOptions/>
  <pageMargins bottom="0.984251968503937" footer="0.0" header="0.0" left="0.7874015748031497" right="0.7874015748031497" top="0.984251968503937"/>
  <pageSetup paperSize="9" orientation="portrait"/>
  <headerFooter>
    <oddHeader>&amp;CPrimärenergiefaktoren von Energiesystemen</oddHeader>
    <oddFooter>&amp;C© ESU-services 2008</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outlineLevelRow="1"/>
  <cols>
    <col customWidth="1" min="1" max="2" width="6.71" outlineLevel="1"/>
    <col customWidth="1" min="3" max="3" width="5.71"/>
    <col customWidth="1" min="4" max="4" width="24.71"/>
    <col customWidth="1" min="5" max="5" width="30.71"/>
    <col customWidth="1" min="6" max="6" width="12.71"/>
    <col customWidth="1" min="7" max="7" width="25.29" outlineLevel="1"/>
    <col customWidth="1" min="8" max="12" width="7.71"/>
    <col customWidth="1" min="13" max="13" width="7.71" outlineLevel="1"/>
    <col customWidth="1" min="14" max="17" width="7.71"/>
    <col customWidth="1" min="18" max="18" width="26.71"/>
    <col customWidth="1" min="19" max="19" width="22.0" outlineLevel="1"/>
    <col customWidth="1" min="20" max="20" width="7.71"/>
    <col customWidth="1" min="21" max="26" width="22.0"/>
  </cols>
  <sheetData>
    <row r="1">
      <c r="A1" s="634"/>
      <c r="B1" s="634"/>
      <c r="C1" s="634"/>
      <c r="D1" s="634"/>
      <c r="E1" s="634"/>
      <c r="F1" s="635"/>
      <c r="G1" s="634"/>
      <c r="H1" s="636"/>
      <c r="I1" s="637" t="s">
        <v>2009</v>
      </c>
      <c r="J1" s="635"/>
      <c r="K1" s="635"/>
      <c r="L1" s="635" t="s">
        <v>2010</v>
      </c>
      <c r="M1" s="635"/>
      <c r="N1" s="637" t="s">
        <v>2012</v>
      </c>
      <c r="O1" s="637"/>
      <c r="P1" s="637" t="s">
        <v>420</v>
      </c>
      <c r="Q1" s="637"/>
      <c r="R1" s="637"/>
      <c r="S1" s="637"/>
      <c r="T1" s="637" t="s">
        <v>2011</v>
      </c>
      <c r="U1" s="634"/>
      <c r="V1" s="634"/>
      <c r="W1" s="634"/>
      <c r="X1" s="634"/>
      <c r="Y1" s="634"/>
      <c r="Z1" s="634"/>
    </row>
    <row r="2">
      <c r="A2" s="638"/>
      <c r="B2" s="638"/>
      <c r="C2" s="638"/>
      <c r="D2" s="639" t="s">
        <v>5377</v>
      </c>
      <c r="E2" s="638"/>
      <c r="F2" s="640" t="s">
        <v>5018</v>
      </c>
      <c r="G2" s="638"/>
      <c r="H2" s="641"/>
      <c r="I2" s="642"/>
      <c r="J2" s="642"/>
      <c r="K2" s="642"/>
      <c r="L2" s="642"/>
      <c r="M2" s="642"/>
      <c r="N2" s="642"/>
      <c r="O2" s="642"/>
      <c r="P2" s="642"/>
      <c r="Q2" s="642"/>
      <c r="R2" s="638"/>
      <c r="S2" s="638"/>
      <c r="T2" s="642"/>
      <c r="U2" s="642"/>
      <c r="V2" s="638"/>
      <c r="W2" s="638"/>
      <c r="X2" s="638"/>
      <c r="Y2" s="638"/>
      <c r="Z2" s="638"/>
    </row>
    <row r="3">
      <c r="A3" s="643"/>
      <c r="B3" s="643"/>
      <c r="C3" s="643"/>
      <c r="D3" s="644" t="s">
        <v>5378</v>
      </c>
      <c r="E3" s="643"/>
      <c r="F3" s="645"/>
      <c r="G3" s="643"/>
      <c r="H3" s="646"/>
      <c r="I3" s="645"/>
      <c r="J3" s="645"/>
      <c r="K3" s="645"/>
      <c r="L3" s="645"/>
      <c r="M3" s="645"/>
      <c r="N3" s="648"/>
      <c r="O3" s="648"/>
      <c r="P3" s="649"/>
      <c r="Q3" s="731"/>
      <c r="R3" s="643"/>
      <c r="S3" s="643"/>
      <c r="T3" s="634"/>
      <c r="U3" s="634"/>
      <c r="V3" s="634"/>
      <c r="W3" s="634"/>
      <c r="X3" s="634"/>
      <c r="Y3" s="634"/>
      <c r="Z3" s="634"/>
    </row>
    <row r="4" outlineLevel="1">
      <c r="A4" s="645"/>
      <c r="B4" s="645"/>
      <c r="C4" s="645"/>
      <c r="D4" s="647"/>
      <c r="E4" s="645"/>
      <c r="F4" s="645"/>
      <c r="G4" s="645"/>
      <c r="H4" s="646"/>
      <c r="I4" s="645" t="s">
        <v>405</v>
      </c>
      <c r="J4" s="645" t="s">
        <v>5006</v>
      </c>
      <c r="K4" s="645" t="s">
        <v>5007</v>
      </c>
      <c r="L4" s="645" t="s">
        <v>406</v>
      </c>
      <c r="M4" s="645"/>
      <c r="N4" s="648" t="s">
        <v>408</v>
      </c>
      <c r="O4" s="648" t="s">
        <v>5020</v>
      </c>
      <c r="P4" s="649" t="s">
        <v>405</v>
      </c>
      <c r="Q4" s="732"/>
      <c r="R4" s="645"/>
      <c r="S4" s="645"/>
      <c r="T4" s="635"/>
      <c r="U4" s="635"/>
      <c r="V4" s="635"/>
      <c r="W4" s="635"/>
      <c r="X4" s="635"/>
      <c r="Y4" s="635"/>
      <c r="Z4" s="635"/>
    </row>
    <row r="5" ht="115.5" customHeight="1">
      <c r="A5" s="652" t="s">
        <v>5021</v>
      </c>
      <c r="B5" s="652" t="s">
        <v>5021</v>
      </c>
      <c r="C5" s="652"/>
      <c r="D5" s="653"/>
      <c r="E5" s="653" t="s">
        <v>5226</v>
      </c>
      <c r="F5" s="653" t="s">
        <v>5379</v>
      </c>
      <c r="G5" s="655" t="s">
        <v>5025</v>
      </c>
      <c r="H5" s="657" t="s">
        <v>5026</v>
      </c>
      <c r="I5" s="657" t="s">
        <v>5027</v>
      </c>
      <c r="J5" s="657" t="s">
        <v>5028</v>
      </c>
      <c r="K5" s="657" t="s">
        <v>5029</v>
      </c>
      <c r="L5" s="657" t="s">
        <v>5030</v>
      </c>
      <c r="M5" s="657" t="s">
        <v>5031</v>
      </c>
      <c r="N5" s="733" t="s">
        <v>5032</v>
      </c>
      <c r="O5" s="733" t="s">
        <v>5033</v>
      </c>
      <c r="P5" s="734" t="s">
        <v>5034</v>
      </c>
      <c r="Q5" s="735" t="s">
        <v>5380</v>
      </c>
      <c r="R5" s="652"/>
      <c r="S5" s="652"/>
      <c r="T5" s="658" t="s">
        <v>5035</v>
      </c>
      <c r="U5" s="690"/>
      <c r="V5" s="690"/>
      <c r="W5" s="690"/>
      <c r="X5" s="690"/>
      <c r="Y5" s="690"/>
      <c r="Z5" s="690"/>
    </row>
    <row r="6" outlineLevel="1">
      <c r="A6" s="643" t="s">
        <v>2634</v>
      </c>
      <c r="B6" s="643" t="s">
        <v>5381</v>
      </c>
      <c r="C6" s="643"/>
      <c r="D6" s="736" t="s">
        <v>2945</v>
      </c>
      <c r="E6" s="737" t="s">
        <v>2947</v>
      </c>
      <c r="F6" s="738" t="s">
        <v>405</v>
      </c>
      <c r="G6" s="739" t="s">
        <v>5382</v>
      </c>
      <c r="H6" s="661" t="s">
        <v>382</v>
      </c>
      <c r="I6" s="663">
        <v>6.0466503</v>
      </c>
      <c r="J6" s="663">
        <v>5.8607437</v>
      </c>
      <c r="K6" s="663">
        <v>0.14043052</v>
      </c>
      <c r="L6" s="663">
        <v>0.045468941799999996</v>
      </c>
      <c r="M6" s="661">
        <v>0.0</v>
      </c>
      <c r="N6" s="740">
        <v>0.41188708</v>
      </c>
      <c r="O6" s="740">
        <v>0.3899968</v>
      </c>
      <c r="P6" s="741">
        <v>488.76255</v>
      </c>
      <c r="Q6" s="742"/>
      <c r="R6" s="652"/>
      <c r="S6" s="645" t="s">
        <v>5383</v>
      </c>
      <c r="T6" s="696">
        <f t="shared" ref="T6:T141" si="1">IF(OR(J6="",K6=""),"",J6+K6)</f>
        <v>6.00117422</v>
      </c>
      <c r="U6" s="634"/>
      <c r="V6" s="634"/>
      <c r="W6" s="634"/>
      <c r="X6" s="634"/>
      <c r="Y6" s="634"/>
      <c r="Z6" s="634"/>
    </row>
    <row r="7" outlineLevel="1">
      <c r="A7" s="643" t="s">
        <v>2634</v>
      </c>
      <c r="B7" s="643" t="s">
        <v>5384</v>
      </c>
      <c r="C7" s="643"/>
      <c r="D7" s="736"/>
      <c r="E7" s="743"/>
      <c r="F7" s="744" t="s">
        <v>2912</v>
      </c>
      <c r="G7" s="745" t="s">
        <v>5385</v>
      </c>
      <c r="H7" s="667" t="s">
        <v>382</v>
      </c>
      <c r="I7" s="669">
        <v>5.3503008</v>
      </c>
      <c r="J7" s="669">
        <v>5.2834023</v>
      </c>
      <c r="K7" s="669">
        <v>0.052177797</v>
      </c>
      <c r="L7" s="669">
        <v>0.0147138434</v>
      </c>
      <c r="M7" s="667">
        <v>0.0</v>
      </c>
      <c r="N7" s="746">
        <v>0.37077225</v>
      </c>
      <c r="O7" s="746">
        <v>0.35271142</v>
      </c>
      <c r="P7" s="747">
        <v>426.46645</v>
      </c>
      <c r="Q7" s="748"/>
      <c r="R7" s="652"/>
      <c r="S7" s="645" t="s">
        <v>5386</v>
      </c>
      <c r="T7" s="696">
        <f t="shared" si="1"/>
        <v>5.335580097</v>
      </c>
      <c r="U7" s="634"/>
      <c r="V7" s="634"/>
      <c r="W7" s="634"/>
      <c r="X7" s="634"/>
      <c r="Y7" s="634"/>
      <c r="Z7" s="634"/>
    </row>
    <row r="8" outlineLevel="1">
      <c r="A8" s="643" t="s">
        <v>2634</v>
      </c>
      <c r="B8" s="643" t="s">
        <v>5387</v>
      </c>
      <c r="C8" s="643"/>
      <c r="D8" s="736"/>
      <c r="E8" s="743"/>
      <c r="F8" s="744" t="s">
        <v>2914</v>
      </c>
      <c r="G8" s="745" t="s">
        <v>5388</v>
      </c>
      <c r="H8" s="667" t="s">
        <v>382</v>
      </c>
      <c r="I8" s="669">
        <v>0.0</v>
      </c>
      <c r="J8" s="669">
        <v>0.0</v>
      </c>
      <c r="K8" s="669">
        <v>0.0</v>
      </c>
      <c r="L8" s="669">
        <v>0.0</v>
      </c>
      <c r="M8" s="667">
        <v>0.0</v>
      </c>
      <c r="N8" s="746">
        <v>0.0</v>
      </c>
      <c r="O8" s="746">
        <v>0.0</v>
      </c>
      <c r="P8" s="747">
        <v>0.0</v>
      </c>
      <c r="Q8" s="748"/>
      <c r="R8" s="652"/>
      <c r="S8" s="645"/>
      <c r="T8" s="696">
        <f t="shared" si="1"/>
        <v>0</v>
      </c>
      <c r="U8" s="634"/>
      <c r="V8" s="634"/>
      <c r="W8" s="634"/>
      <c r="X8" s="634"/>
      <c r="Y8" s="634"/>
      <c r="Z8" s="634"/>
    </row>
    <row r="9" outlineLevel="1">
      <c r="A9" s="643" t="s">
        <v>2634</v>
      </c>
      <c r="B9" s="643" t="s">
        <v>5389</v>
      </c>
      <c r="C9" s="643"/>
      <c r="D9" s="736"/>
      <c r="E9" s="743"/>
      <c r="F9" s="672" t="s">
        <v>2913</v>
      </c>
      <c r="G9" s="749" t="s">
        <v>5390</v>
      </c>
      <c r="H9" s="673" t="s">
        <v>382</v>
      </c>
      <c r="I9" s="675">
        <v>0.69634951</v>
      </c>
      <c r="J9" s="675">
        <v>0.57734129</v>
      </c>
      <c r="K9" s="675">
        <v>0.088252725</v>
      </c>
      <c r="L9" s="675">
        <v>0.030755098199999997</v>
      </c>
      <c r="M9" s="673">
        <v>0.0</v>
      </c>
      <c r="N9" s="750">
        <v>0.041114834</v>
      </c>
      <c r="O9" s="750">
        <v>0.037285373</v>
      </c>
      <c r="P9" s="751">
        <v>62.296106</v>
      </c>
      <c r="Q9" s="752"/>
      <c r="R9" s="652"/>
      <c r="S9" s="645" t="s">
        <v>5391</v>
      </c>
      <c r="T9" s="696">
        <f t="shared" si="1"/>
        <v>0.665594015</v>
      </c>
      <c r="U9" s="634"/>
      <c r="V9" s="634"/>
      <c r="W9" s="634"/>
      <c r="X9" s="634"/>
      <c r="Y9" s="634"/>
      <c r="Z9" s="634"/>
    </row>
    <row r="10" outlineLevel="1">
      <c r="A10" s="643" t="s">
        <v>2636</v>
      </c>
      <c r="B10" s="643" t="s">
        <v>5392</v>
      </c>
      <c r="C10" s="643"/>
      <c r="D10" s="736"/>
      <c r="E10" s="737" t="s">
        <v>2951</v>
      </c>
      <c r="F10" s="738" t="s">
        <v>405</v>
      </c>
      <c r="G10" s="739" t="s">
        <v>5393</v>
      </c>
      <c r="H10" s="661" t="s">
        <v>382</v>
      </c>
      <c r="I10" s="663">
        <v>6.0476717</v>
      </c>
      <c r="J10" s="663">
        <v>5.8617522</v>
      </c>
      <c r="K10" s="663">
        <v>0.14044056</v>
      </c>
      <c r="L10" s="663">
        <v>0.0454717763</v>
      </c>
      <c r="M10" s="661">
        <v>0.0</v>
      </c>
      <c r="N10" s="740">
        <v>0.41196011</v>
      </c>
      <c r="O10" s="740">
        <v>0.39006734</v>
      </c>
      <c r="P10" s="741">
        <v>488.5933</v>
      </c>
      <c r="Q10" s="742"/>
      <c r="R10" s="652"/>
      <c r="S10" s="645" t="s">
        <v>5394</v>
      </c>
      <c r="T10" s="696">
        <f t="shared" si="1"/>
        <v>6.00219276</v>
      </c>
      <c r="U10" s="634"/>
      <c r="V10" s="634"/>
      <c r="W10" s="634"/>
      <c r="X10" s="634"/>
      <c r="Y10" s="634"/>
      <c r="Z10" s="634"/>
    </row>
    <row r="11" outlineLevel="1">
      <c r="A11" s="643" t="s">
        <v>2636</v>
      </c>
      <c r="B11" s="643" t="s">
        <v>5395</v>
      </c>
      <c r="C11" s="643"/>
      <c r="D11" s="736"/>
      <c r="E11" s="743"/>
      <c r="F11" s="744" t="s">
        <v>2912</v>
      </c>
      <c r="G11" s="745" t="s">
        <v>5396</v>
      </c>
      <c r="H11" s="667" t="s">
        <v>382</v>
      </c>
      <c r="I11" s="669">
        <v>5.3513221</v>
      </c>
      <c r="J11" s="669">
        <v>5.2844108</v>
      </c>
      <c r="K11" s="669">
        <v>0.052187832</v>
      </c>
      <c r="L11" s="669">
        <v>0.0147166775</v>
      </c>
      <c r="M11" s="667">
        <v>0.0</v>
      </c>
      <c r="N11" s="746">
        <v>0.37084528</v>
      </c>
      <c r="O11" s="746">
        <v>0.35278197</v>
      </c>
      <c r="P11" s="747">
        <v>426.2972</v>
      </c>
      <c r="Q11" s="748"/>
      <c r="R11" s="652"/>
      <c r="S11" s="645" t="s">
        <v>5397</v>
      </c>
      <c r="T11" s="696">
        <f t="shared" si="1"/>
        <v>5.336598632</v>
      </c>
      <c r="U11" s="634"/>
      <c r="V11" s="634"/>
      <c r="W11" s="634"/>
      <c r="X11" s="634"/>
      <c r="Y11" s="634"/>
      <c r="Z11" s="634"/>
    </row>
    <row r="12" outlineLevel="1">
      <c r="A12" s="643" t="s">
        <v>2636</v>
      </c>
      <c r="B12" s="643" t="s">
        <v>5398</v>
      </c>
      <c r="C12" s="643"/>
      <c r="D12" s="736"/>
      <c r="E12" s="743"/>
      <c r="F12" s="744" t="s">
        <v>2914</v>
      </c>
      <c r="G12" s="745" t="s">
        <v>5399</v>
      </c>
      <c r="H12" s="667" t="s">
        <v>382</v>
      </c>
      <c r="I12" s="669">
        <v>0.0</v>
      </c>
      <c r="J12" s="669">
        <v>0.0</v>
      </c>
      <c r="K12" s="669">
        <v>0.0</v>
      </c>
      <c r="L12" s="669">
        <v>0.0</v>
      </c>
      <c r="M12" s="667">
        <v>0.0</v>
      </c>
      <c r="N12" s="746">
        <v>0.0</v>
      </c>
      <c r="O12" s="746">
        <v>0.0</v>
      </c>
      <c r="P12" s="747">
        <v>0.0</v>
      </c>
      <c r="Q12" s="748"/>
      <c r="R12" s="652"/>
      <c r="S12" s="645"/>
      <c r="T12" s="696">
        <f t="shared" si="1"/>
        <v>0</v>
      </c>
      <c r="U12" s="634"/>
      <c r="V12" s="634"/>
      <c r="W12" s="634"/>
      <c r="X12" s="634"/>
      <c r="Y12" s="634"/>
      <c r="Z12" s="634"/>
    </row>
    <row r="13" outlineLevel="1">
      <c r="A13" s="643" t="s">
        <v>2636</v>
      </c>
      <c r="B13" s="643" t="s">
        <v>5400</v>
      </c>
      <c r="C13" s="643"/>
      <c r="D13" s="736"/>
      <c r="E13" s="753"/>
      <c r="F13" s="672" t="s">
        <v>2913</v>
      </c>
      <c r="G13" s="749" t="s">
        <v>5401</v>
      </c>
      <c r="H13" s="673" t="s">
        <v>382</v>
      </c>
      <c r="I13" s="675">
        <v>0.69634951</v>
      </c>
      <c r="J13" s="675">
        <v>0.57734129</v>
      </c>
      <c r="K13" s="675">
        <v>0.088252725</v>
      </c>
      <c r="L13" s="675">
        <v>0.030755098199999997</v>
      </c>
      <c r="M13" s="673">
        <v>0.0</v>
      </c>
      <c r="N13" s="750">
        <v>0.041114834</v>
      </c>
      <c r="O13" s="750">
        <v>0.037285373</v>
      </c>
      <c r="P13" s="751">
        <v>62.296106</v>
      </c>
      <c r="Q13" s="752"/>
      <c r="R13" s="652"/>
      <c r="S13" s="645" t="s">
        <v>5391</v>
      </c>
      <c r="T13" s="696">
        <f t="shared" si="1"/>
        <v>0.665594015</v>
      </c>
      <c r="U13" s="634"/>
      <c r="V13" s="634"/>
      <c r="W13" s="634"/>
      <c r="X13" s="634"/>
      <c r="Y13" s="634"/>
      <c r="Z13" s="634"/>
    </row>
    <row r="14" outlineLevel="1">
      <c r="A14" s="643" t="s">
        <v>2641</v>
      </c>
      <c r="B14" s="643" t="s">
        <v>5402</v>
      </c>
      <c r="C14" s="643"/>
      <c r="D14" s="736"/>
      <c r="E14" s="737" t="s">
        <v>2954</v>
      </c>
      <c r="F14" s="738" t="s">
        <v>405</v>
      </c>
      <c r="G14" s="739" t="s">
        <v>5403</v>
      </c>
      <c r="H14" s="661" t="s">
        <v>382</v>
      </c>
      <c r="I14" s="663">
        <v>5.8918162</v>
      </c>
      <c r="J14" s="663">
        <v>5.7078455</v>
      </c>
      <c r="K14" s="663">
        <v>0.13892054</v>
      </c>
      <c r="L14" s="663">
        <v>0.0450431369</v>
      </c>
      <c r="M14" s="661">
        <v>0.0</v>
      </c>
      <c r="N14" s="740">
        <v>0.40129766</v>
      </c>
      <c r="O14" s="740">
        <v>0.37978393</v>
      </c>
      <c r="P14" s="741">
        <v>494.0462</v>
      </c>
      <c r="Q14" s="742"/>
      <c r="R14" s="652"/>
      <c r="S14" s="645" t="s">
        <v>5404</v>
      </c>
      <c r="T14" s="696">
        <f t="shared" si="1"/>
        <v>5.84676604</v>
      </c>
      <c r="U14" s="634"/>
      <c r="V14" s="634"/>
      <c r="W14" s="634"/>
      <c r="X14" s="634"/>
      <c r="Y14" s="634"/>
      <c r="Z14" s="634"/>
    </row>
    <row r="15" outlineLevel="1">
      <c r="A15" s="643" t="s">
        <v>2641</v>
      </c>
      <c r="B15" s="643" t="s">
        <v>5405</v>
      </c>
      <c r="C15" s="643"/>
      <c r="D15" s="736"/>
      <c r="E15" s="743"/>
      <c r="F15" s="744" t="s">
        <v>2912</v>
      </c>
      <c r="G15" s="745" t="s">
        <v>5406</v>
      </c>
      <c r="H15" s="667" t="s">
        <v>382</v>
      </c>
      <c r="I15" s="669">
        <v>5.1954667</v>
      </c>
      <c r="J15" s="669">
        <v>5.1305042</v>
      </c>
      <c r="K15" s="669">
        <v>0.050667817</v>
      </c>
      <c r="L15" s="669">
        <v>0.014288038199999999</v>
      </c>
      <c r="M15" s="667">
        <v>0.0</v>
      </c>
      <c r="N15" s="746">
        <v>0.36018282</v>
      </c>
      <c r="O15" s="746">
        <v>0.34249855</v>
      </c>
      <c r="P15" s="747">
        <v>431.75009</v>
      </c>
      <c r="Q15" s="748"/>
      <c r="R15" s="652"/>
      <c r="S15" s="645" t="s">
        <v>5407</v>
      </c>
      <c r="T15" s="696">
        <f t="shared" si="1"/>
        <v>5.181172017</v>
      </c>
      <c r="U15" s="634"/>
      <c r="V15" s="634"/>
      <c r="W15" s="634"/>
      <c r="X15" s="634"/>
      <c r="Y15" s="634"/>
      <c r="Z15" s="634"/>
    </row>
    <row r="16" outlineLevel="1">
      <c r="A16" s="643" t="s">
        <v>2641</v>
      </c>
      <c r="B16" s="643" t="s">
        <v>5408</v>
      </c>
      <c r="C16" s="643"/>
      <c r="D16" s="736"/>
      <c r="E16" s="743"/>
      <c r="F16" s="744" t="s">
        <v>2914</v>
      </c>
      <c r="G16" s="745" t="s">
        <v>5409</v>
      </c>
      <c r="H16" s="667" t="s">
        <v>382</v>
      </c>
      <c r="I16" s="669">
        <v>0.0</v>
      </c>
      <c r="J16" s="669">
        <v>0.0</v>
      </c>
      <c r="K16" s="669">
        <v>0.0</v>
      </c>
      <c r="L16" s="669">
        <v>0.0</v>
      </c>
      <c r="M16" s="667">
        <v>0.0</v>
      </c>
      <c r="N16" s="746">
        <v>0.0</v>
      </c>
      <c r="O16" s="746">
        <v>0.0</v>
      </c>
      <c r="P16" s="747">
        <v>0.0</v>
      </c>
      <c r="Q16" s="748"/>
      <c r="R16" s="652"/>
      <c r="S16" s="645"/>
      <c r="T16" s="696">
        <f t="shared" si="1"/>
        <v>0</v>
      </c>
      <c r="U16" s="634"/>
      <c r="V16" s="634"/>
      <c r="W16" s="634"/>
      <c r="X16" s="634"/>
      <c r="Y16" s="634"/>
      <c r="Z16" s="634"/>
    </row>
    <row r="17" outlineLevel="1">
      <c r="A17" s="643" t="s">
        <v>2641</v>
      </c>
      <c r="B17" s="643" t="s">
        <v>5410</v>
      </c>
      <c r="C17" s="643"/>
      <c r="D17" s="736"/>
      <c r="E17" s="743"/>
      <c r="F17" s="672" t="s">
        <v>2913</v>
      </c>
      <c r="G17" s="749" t="s">
        <v>5411</v>
      </c>
      <c r="H17" s="673" t="s">
        <v>382</v>
      </c>
      <c r="I17" s="675">
        <v>0.69634951</v>
      </c>
      <c r="J17" s="675">
        <v>0.57734129</v>
      </c>
      <c r="K17" s="675">
        <v>0.088252725</v>
      </c>
      <c r="L17" s="675">
        <v>0.030755098199999997</v>
      </c>
      <c r="M17" s="673">
        <v>0.0</v>
      </c>
      <c r="N17" s="750">
        <v>0.041114834</v>
      </c>
      <c r="O17" s="750">
        <v>0.037285373</v>
      </c>
      <c r="P17" s="751">
        <v>62.296106</v>
      </c>
      <c r="Q17" s="752"/>
      <c r="R17" s="652"/>
      <c r="S17" s="645" t="s">
        <v>5391</v>
      </c>
      <c r="T17" s="696">
        <f t="shared" si="1"/>
        <v>0.665594015</v>
      </c>
      <c r="U17" s="634"/>
      <c r="V17" s="634"/>
      <c r="W17" s="634"/>
      <c r="X17" s="634"/>
      <c r="Y17" s="634"/>
      <c r="Z17" s="634"/>
    </row>
    <row r="18" outlineLevel="1">
      <c r="A18" s="643" t="s">
        <v>2648</v>
      </c>
      <c r="B18" s="643" t="s">
        <v>5412</v>
      </c>
      <c r="C18" s="643"/>
      <c r="D18" s="736"/>
      <c r="E18" s="737" t="s">
        <v>2957</v>
      </c>
      <c r="F18" s="738" t="s">
        <v>405</v>
      </c>
      <c r="G18" s="739" t="s">
        <v>5413</v>
      </c>
      <c r="H18" s="661" t="s">
        <v>2647</v>
      </c>
      <c r="I18" s="663">
        <v>0.65859954</v>
      </c>
      <c r="J18" s="663">
        <v>0.61145273</v>
      </c>
      <c r="K18" s="663">
        <v>0.036386695</v>
      </c>
      <c r="L18" s="663">
        <v>0.0107592112</v>
      </c>
      <c r="M18" s="661">
        <v>0.0</v>
      </c>
      <c r="N18" s="740">
        <v>0.047233108</v>
      </c>
      <c r="O18" s="740">
        <v>0.044624639</v>
      </c>
      <c r="P18" s="741">
        <v>61.779446</v>
      </c>
      <c r="Q18" s="742">
        <v>710.0</v>
      </c>
      <c r="R18" s="652"/>
      <c r="S18" s="645" t="s">
        <v>5414</v>
      </c>
      <c r="T18" s="696">
        <f t="shared" si="1"/>
        <v>0.647839425</v>
      </c>
      <c r="U18" s="634"/>
      <c r="V18" s="634"/>
      <c r="W18" s="634"/>
      <c r="X18" s="634"/>
      <c r="Y18" s="634"/>
      <c r="Z18" s="634"/>
    </row>
    <row r="19" outlineLevel="1">
      <c r="A19" s="643" t="s">
        <v>2648</v>
      </c>
      <c r="B19" s="643" t="s">
        <v>5415</v>
      </c>
      <c r="C19" s="643"/>
      <c r="D19" s="736"/>
      <c r="E19" s="743"/>
      <c r="F19" s="744" t="s">
        <v>2912</v>
      </c>
      <c r="G19" s="745" t="s">
        <v>5416</v>
      </c>
      <c r="H19" s="667" t="s">
        <v>2647</v>
      </c>
      <c r="I19" s="669">
        <v>0.52075849</v>
      </c>
      <c r="J19" s="669">
        <v>0.51472789</v>
      </c>
      <c r="K19" s="669">
        <v>0.0046551463</v>
      </c>
      <c r="L19" s="669">
        <v>0.00137466036</v>
      </c>
      <c r="M19" s="667">
        <v>0.0</v>
      </c>
      <c r="N19" s="746">
        <v>0.036549582</v>
      </c>
      <c r="O19" s="746">
        <v>0.034563435</v>
      </c>
      <c r="P19" s="747">
        <v>47.976941</v>
      </c>
      <c r="Q19" s="748">
        <v>710.0</v>
      </c>
      <c r="R19" s="652"/>
      <c r="S19" s="645" t="s">
        <v>5417</v>
      </c>
      <c r="T19" s="696">
        <f t="shared" si="1"/>
        <v>0.5193830363</v>
      </c>
      <c r="U19" s="634"/>
      <c r="V19" s="634"/>
      <c r="W19" s="634"/>
      <c r="X19" s="634"/>
      <c r="Y19" s="634"/>
      <c r="Z19" s="634"/>
    </row>
    <row r="20" outlineLevel="1">
      <c r="A20" s="643" t="s">
        <v>2648</v>
      </c>
      <c r="B20" s="643" t="s">
        <v>5418</v>
      </c>
      <c r="C20" s="643"/>
      <c r="D20" s="736"/>
      <c r="E20" s="743"/>
      <c r="F20" s="744" t="s">
        <v>2914</v>
      </c>
      <c r="G20" s="745" t="s">
        <v>5419</v>
      </c>
      <c r="H20" s="667" t="s">
        <v>2647</v>
      </c>
      <c r="I20" s="669">
        <v>0.12020203</v>
      </c>
      <c r="J20" s="669">
        <v>0.081251368</v>
      </c>
      <c r="K20" s="669">
        <v>0.030263605</v>
      </c>
      <c r="L20" s="669">
        <v>0.0086869562</v>
      </c>
      <c r="M20" s="667">
        <v>0.0</v>
      </c>
      <c r="N20" s="746">
        <v>0.009673727</v>
      </c>
      <c r="O20" s="746">
        <v>0.0091453683</v>
      </c>
      <c r="P20" s="747">
        <v>11.789935</v>
      </c>
      <c r="Q20" s="748">
        <v>710.0</v>
      </c>
      <c r="R20" s="652"/>
      <c r="S20" s="645" t="s">
        <v>5420</v>
      </c>
      <c r="T20" s="696">
        <f t="shared" si="1"/>
        <v>0.111514973</v>
      </c>
      <c r="U20" s="634"/>
      <c r="V20" s="634"/>
      <c r="W20" s="634"/>
      <c r="X20" s="634"/>
      <c r="Y20" s="634"/>
      <c r="Z20" s="634"/>
    </row>
    <row r="21" ht="15.75" customHeight="1" outlineLevel="1">
      <c r="A21" s="643" t="s">
        <v>2648</v>
      </c>
      <c r="B21" s="643" t="s">
        <v>5421</v>
      </c>
      <c r="C21" s="643"/>
      <c r="D21" s="736"/>
      <c r="E21" s="743"/>
      <c r="F21" s="672" t="s">
        <v>2913</v>
      </c>
      <c r="G21" s="749" t="s">
        <v>5422</v>
      </c>
      <c r="H21" s="673" t="s">
        <v>2647</v>
      </c>
      <c r="I21" s="675">
        <v>0.017639033</v>
      </c>
      <c r="J21" s="675">
        <v>0.015473478</v>
      </c>
      <c r="K21" s="675">
        <v>0.0014679427</v>
      </c>
      <c r="L21" s="675">
        <v>6.97594588E-4</v>
      </c>
      <c r="M21" s="673">
        <v>0.0</v>
      </c>
      <c r="N21" s="750">
        <v>0.0010097992</v>
      </c>
      <c r="O21" s="750">
        <v>9.1583572E-4</v>
      </c>
      <c r="P21" s="751">
        <v>2.0125698</v>
      </c>
      <c r="Q21" s="752">
        <v>710.0</v>
      </c>
      <c r="R21" s="652"/>
      <c r="S21" s="645" t="s">
        <v>5423</v>
      </c>
      <c r="T21" s="696">
        <f t="shared" si="1"/>
        <v>0.0169414207</v>
      </c>
      <c r="U21" s="634"/>
      <c r="V21" s="634"/>
      <c r="W21" s="634"/>
      <c r="X21" s="634"/>
      <c r="Y21" s="634"/>
      <c r="Z21" s="634"/>
    </row>
    <row r="22" ht="15.75" customHeight="1" outlineLevel="1">
      <c r="A22" s="643" t="s">
        <v>2669</v>
      </c>
      <c r="B22" s="643" t="s">
        <v>5424</v>
      </c>
      <c r="C22" s="643"/>
      <c r="D22" s="736"/>
      <c r="E22" s="737" t="s">
        <v>2966</v>
      </c>
      <c r="F22" s="738" t="s">
        <v>405</v>
      </c>
      <c r="G22" s="739" t="s">
        <v>5425</v>
      </c>
      <c r="H22" s="661" t="s">
        <v>2647</v>
      </c>
      <c r="I22" s="663">
        <v>0.81166865</v>
      </c>
      <c r="J22" s="663">
        <v>0.16747021</v>
      </c>
      <c r="K22" s="663">
        <v>0.38094944</v>
      </c>
      <c r="L22" s="663">
        <v>0.26324871360999996</v>
      </c>
      <c r="M22" s="661">
        <v>0.0</v>
      </c>
      <c r="N22" s="740">
        <v>0.013494731</v>
      </c>
      <c r="O22" s="740">
        <v>0.012334854</v>
      </c>
      <c r="P22" s="741">
        <v>51.250761</v>
      </c>
      <c r="Q22" s="742">
        <v>343.3</v>
      </c>
      <c r="R22" s="652"/>
      <c r="S22" s="645" t="s">
        <v>5426</v>
      </c>
      <c r="T22" s="696">
        <f t="shared" si="1"/>
        <v>0.54841965</v>
      </c>
      <c r="U22" s="634"/>
      <c r="V22" s="634"/>
      <c r="W22" s="634"/>
      <c r="X22" s="634"/>
      <c r="Y22" s="634"/>
      <c r="Z22" s="634"/>
    </row>
    <row r="23" ht="15.75" customHeight="1" outlineLevel="1">
      <c r="A23" s="643" t="s">
        <v>2669</v>
      </c>
      <c r="B23" s="643" t="s">
        <v>5427</v>
      </c>
      <c r="C23" s="643"/>
      <c r="D23" s="736"/>
      <c r="E23" s="743"/>
      <c r="F23" s="744" t="s">
        <v>2912</v>
      </c>
      <c r="G23" s="745" t="s">
        <v>5428</v>
      </c>
      <c r="H23" s="667" t="s">
        <v>2647</v>
      </c>
      <c r="I23" s="669">
        <v>0.61192381</v>
      </c>
      <c r="J23" s="669">
        <v>0.042675251</v>
      </c>
      <c r="K23" s="669">
        <v>0.32315889</v>
      </c>
      <c r="L23" s="669">
        <v>0.246089611865</v>
      </c>
      <c r="M23" s="667">
        <v>0.0</v>
      </c>
      <c r="N23" s="746">
        <v>0.0034269137</v>
      </c>
      <c r="O23" s="746">
        <v>0.0030145391</v>
      </c>
      <c r="P23" s="747">
        <v>32.750127</v>
      </c>
      <c r="Q23" s="748">
        <v>343.3</v>
      </c>
      <c r="R23" s="652"/>
      <c r="S23" s="645" t="s">
        <v>5429</v>
      </c>
      <c r="T23" s="696">
        <f t="shared" si="1"/>
        <v>0.365834141</v>
      </c>
      <c r="U23" s="634"/>
      <c r="V23" s="634"/>
      <c r="W23" s="634"/>
      <c r="X23" s="634"/>
      <c r="Y23" s="634"/>
      <c r="Z23" s="634"/>
    </row>
    <row r="24" ht="15.75" customHeight="1" outlineLevel="1">
      <c r="A24" s="643" t="s">
        <v>2669</v>
      </c>
      <c r="B24" s="643" t="s">
        <v>5430</v>
      </c>
      <c r="C24" s="643"/>
      <c r="D24" s="736"/>
      <c r="E24" s="743"/>
      <c r="F24" s="744" t="s">
        <v>2914</v>
      </c>
      <c r="G24" s="745" t="s">
        <v>5431</v>
      </c>
      <c r="H24" s="667" t="s">
        <v>2647</v>
      </c>
      <c r="I24" s="669">
        <v>0.11585518</v>
      </c>
      <c r="J24" s="669">
        <v>0.055002111</v>
      </c>
      <c r="K24" s="669">
        <v>0.049096763</v>
      </c>
      <c r="L24" s="669">
        <v>0.01175617194</v>
      </c>
      <c r="M24" s="667">
        <v>0.0</v>
      </c>
      <c r="N24" s="746">
        <v>0.004817456</v>
      </c>
      <c r="O24" s="746">
        <v>0.0044498098</v>
      </c>
      <c r="P24" s="747">
        <v>10.842947</v>
      </c>
      <c r="Q24" s="748">
        <v>343.3</v>
      </c>
      <c r="R24" s="652"/>
      <c r="S24" s="645" t="s">
        <v>5432</v>
      </c>
      <c r="T24" s="696">
        <f t="shared" si="1"/>
        <v>0.104098874</v>
      </c>
      <c r="U24" s="634"/>
      <c r="V24" s="634"/>
      <c r="W24" s="634"/>
      <c r="X24" s="634"/>
      <c r="Y24" s="634"/>
      <c r="Z24" s="634"/>
    </row>
    <row r="25" ht="15.75" customHeight="1" outlineLevel="1">
      <c r="A25" s="643" t="s">
        <v>2669</v>
      </c>
      <c r="B25" s="643" t="s">
        <v>5433</v>
      </c>
      <c r="C25" s="643"/>
      <c r="D25" s="736"/>
      <c r="E25" s="743"/>
      <c r="F25" s="672" t="s">
        <v>2913</v>
      </c>
      <c r="G25" s="749" t="s">
        <v>5434</v>
      </c>
      <c r="H25" s="673" t="s">
        <v>2647</v>
      </c>
      <c r="I25" s="675">
        <v>0.08388966</v>
      </c>
      <c r="J25" s="675">
        <v>0.06979285</v>
      </c>
      <c r="K25" s="675">
        <v>0.0086937901</v>
      </c>
      <c r="L25" s="675">
        <v>0.005402932060000001</v>
      </c>
      <c r="M25" s="673">
        <v>0.0</v>
      </c>
      <c r="N25" s="750">
        <v>0.0052503614</v>
      </c>
      <c r="O25" s="750">
        <v>0.0048705047</v>
      </c>
      <c r="P25" s="751">
        <v>7.6576871</v>
      </c>
      <c r="Q25" s="752">
        <v>343.3</v>
      </c>
      <c r="R25" s="652"/>
      <c r="S25" s="645" t="s">
        <v>5435</v>
      </c>
      <c r="T25" s="696">
        <f t="shared" si="1"/>
        <v>0.0784866401</v>
      </c>
      <c r="U25" s="634"/>
      <c r="V25" s="634"/>
      <c r="W25" s="634"/>
      <c r="X25" s="634"/>
      <c r="Y25" s="634"/>
      <c r="Z25" s="634"/>
    </row>
    <row r="26" ht="15.75" customHeight="1" outlineLevel="1">
      <c r="A26" s="643" t="s">
        <v>2968</v>
      </c>
      <c r="B26" s="643" t="s">
        <v>5436</v>
      </c>
      <c r="C26" s="643"/>
      <c r="D26" s="736"/>
      <c r="E26" s="737" t="s">
        <v>2969</v>
      </c>
      <c r="F26" s="738" t="s">
        <v>405</v>
      </c>
      <c r="G26" s="739" t="s">
        <v>5437</v>
      </c>
      <c r="H26" s="661" t="s">
        <v>2970</v>
      </c>
      <c r="I26" s="662">
        <v>1458.2641</v>
      </c>
      <c r="J26" s="662">
        <v>1439.902</v>
      </c>
      <c r="K26" s="662">
        <v>13.742428</v>
      </c>
      <c r="L26" s="662">
        <v>4.61745729</v>
      </c>
      <c r="M26" s="661">
        <v>0.0</v>
      </c>
      <c r="N26" s="754">
        <v>100.06901</v>
      </c>
      <c r="O26" s="754">
        <v>96.925249</v>
      </c>
      <c r="P26" s="754">
        <v>91042.791</v>
      </c>
      <c r="Q26" s="742"/>
      <c r="R26" s="652"/>
      <c r="S26" s="645" t="s">
        <v>5438</v>
      </c>
      <c r="T26" s="696">
        <f t="shared" si="1"/>
        <v>1453.644428</v>
      </c>
      <c r="U26" s="634"/>
      <c r="V26" s="634"/>
      <c r="W26" s="634"/>
      <c r="X26" s="634"/>
      <c r="Y26" s="634"/>
      <c r="Z26" s="634"/>
    </row>
    <row r="27" ht="15.75" customHeight="1" outlineLevel="1">
      <c r="A27" s="643" t="s">
        <v>2968</v>
      </c>
      <c r="B27" s="643" t="s">
        <v>5439</v>
      </c>
      <c r="C27" s="643"/>
      <c r="D27" s="736"/>
      <c r="E27" s="743"/>
      <c r="F27" s="744" t="s">
        <v>2912</v>
      </c>
      <c r="G27" s="745" t="s">
        <v>5440</v>
      </c>
      <c r="H27" s="667" t="s">
        <v>2970</v>
      </c>
      <c r="I27" s="668">
        <v>1451.9366</v>
      </c>
      <c r="J27" s="668">
        <v>1435.6937</v>
      </c>
      <c r="K27" s="668">
        <v>12.56241</v>
      </c>
      <c r="L27" s="668">
        <v>3.67825818</v>
      </c>
      <c r="M27" s="667">
        <v>0.0</v>
      </c>
      <c r="N27" s="755">
        <v>99.7417</v>
      </c>
      <c r="O27" s="755">
        <v>96.63172</v>
      </c>
      <c r="P27" s="755">
        <v>90559.165</v>
      </c>
      <c r="Q27" s="748"/>
      <c r="R27" s="652"/>
      <c r="S27" s="645" t="s">
        <v>5441</v>
      </c>
      <c r="T27" s="696">
        <f t="shared" si="1"/>
        <v>1448.25611</v>
      </c>
      <c r="U27" s="634"/>
      <c r="V27" s="634"/>
      <c r="W27" s="634"/>
      <c r="X27" s="634"/>
      <c r="Y27" s="634"/>
      <c r="Z27" s="634"/>
    </row>
    <row r="28" ht="15.75" customHeight="1" outlineLevel="1">
      <c r="A28" s="643" t="s">
        <v>2968</v>
      </c>
      <c r="B28" s="643" t="s">
        <v>5442</v>
      </c>
      <c r="C28" s="643"/>
      <c r="D28" s="736"/>
      <c r="E28" s="743"/>
      <c r="F28" s="744" t="s">
        <v>2914</v>
      </c>
      <c r="G28" s="745" t="s">
        <v>5443</v>
      </c>
      <c r="H28" s="667" t="s">
        <v>2970</v>
      </c>
      <c r="I28" s="669">
        <v>0.0</v>
      </c>
      <c r="J28" s="669">
        <v>0.0</v>
      </c>
      <c r="K28" s="669">
        <v>0.0</v>
      </c>
      <c r="L28" s="669">
        <v>0.0</v>
      </c>
      <c r="M28" s="667">
        <v>0.0</v>
      </c>
      <c r="N28" s="746">
        <v>0.0</v>
      </c>
      <c r="O28" s="746">
        <v>0.0</v>
      </c>
      <c r="P28" s="747">
        <v>0.0</v>
      </c>
      <c r="Q28" s="748"/>
      <c r="R28" s="652"/>
      <c r="S28" s="645"/>
      <c r="T28" s="696">
        <f t="shared" si="1"/>
        <v>0</v>
      </c>
      <c r="U28" s="634"/>
      <c r="V28" s="634"/>
      <c r="W28" s="634"/>
      <c r="X28" s="634"/>
      <c r="Y28" s="634"/>
      <c r="Z28" s="634"/>
    </row>
    <row r="29" ht="15.75" customHeight="1" outlineLevel="1">
      <c r="A29" s="643" t="s">
        <v>2968</v>
      </c>
      <c r="B29" s="643" t="s">
        <v>5444</v>
      </c>
      <c r="C29" s="643"/>
      <c r="D29" s="736"/>
      <c r="E29" s="743"/>
      <c r="F29" s="672" t="s">
        <v>2913</v>
      </c>
      <c r="G29" s="749" t="s">
        <v>5445</v>
      </c>
      <c r="H29" s="673" t="s">
        <v>2970</v>
      </c>
      <c r="I29" s="674">
        <v>6.327574</v>
      </c>
      <c r="J29" s="674">
        <v>4.2083392</v>
      </c>
      <c r="K29" s="674">
        <v>1.1800181</v>
      </c>
      <c r="L29" s="674">
        <v>0.939199119</v>
      </c>
      <c r="M29" s="673">
        <v>0.0</v>
      </c>
      <c r="N29" s="756">
        <v>0.32730779</v>
      </c>
      <c r="O29" s="756">
        <v>0.29352932</v>
      </c>
      <c r="P29" s="756">
        <v>483.62545</v>
      </c>
      <c r="Q29" s="752"/>
      <c r="R29" s="652"/>
      <c r="S29" s="645" t="s">
        <v>5446</v>
      </c>
      <c r="T29" s="696">
        <f t="shared" si="1"/>
        <v>5.3883573</v>
      </c>
      <c r="U29" s="634"/>
      <c r="V29" s="634"/>
      <c r="W29" s="634"/>
      <c r="X29" s="634"/>
      <c r="Y29" s="634"/>
      <c r="Z29" s="634"/>
    </row>
    <row r="30" ht="15.75" customHeight="1" outlineLevel="1">
      <c r="A30" s="643" t="s">
        <v>2674</v>
      </c>
      <c r="B30" s="643" t="s">
        <v>5447</v>
      </c>
      <c r="C30" s="643"/>
      <c r="D30" s="736"/>
      <c r="E30" s="737" t="s">
        <v>2973</v>
      </c>
      <c r="F30" s="738" t="s">
        <v>405</v>
      </c>
      <c r="G30" s="739" t="s">
        <v>5448</v>
      </c>
      <c r="H30" s="661" t="s">
        <v>2647</v>
      </c>
      <c r="I30" s="663">
        <v>0.16959165</v>
      </c>
      <c r="J30" s="663">
        <v>0.15409337</v>
      </c>
      <c r="K30" s="663">
        <v>0.012120038</v>
      </c>
      <c r="L30" s="663">
        <v>0.0033780218099999995</v>
      </c>
      <c r="M30" s="661">
        <v>0.0</v>
      </c>
      <c r="N30" s="740">
        <v>0.010935863</v>
      </c>
      <c r="O30" s="740">
        <v>0.010438923</v>
      </c>
      <c r="P30" s="741">
        <v>18.323499</v>
      </c>
      <c r="Q30" s="754">
        <v>32500.0</v>
      </c>
      <c r="R30" s="652"/>
      <c r="S30" s="645" t="s">
        <v>5449</v>
      </c>
      <c r="T30" s="696">
        <f t="shared" si="1"/>
        <v>0.166213408</v>
      </c>
      <c r="U30" s="634"/>
      <c r="V30" s="634"/>
      <c r="W30" s="634"/>
      <c r="X30" s="634"/>
      <c r="Y30" s="634"/>
      <c r="Z30" s="634"/>
    </row>
    <row r="31" ht="15.75" customHeight="1" outlineLevel="1">
      <c r="A31" s="643" t="s">
        <v>2674</v>
      </c>
      <c r="B31" s="643" t="s">
        <v>5450</v>
      </c>
      <c r="C31" s="643"/>
      <c r="D31" s="736"/>
      <c r="E31" s="743"/>
      <c r="F31" s="744" t="s">
        <v>2912</v>
      </c>
      <c r="G31" s="745" t="s">
        <v>5451</v>
      </c>
      <c r="H31" s="667" t="s">
        <v>2647</v>
      </c>
      <c r="I31" s="669">
        <v>0.1357653</v>
      </c>
      <c r="J31" s="669">
        <v>0.13412</v>
      </c>
      <c r="K31" s="669">
        <v>0.0012740572</v>
      </c>
      <c r="L31" s="669">
        <v>3.71037805E-4</v>
      </c>
      <c r="M31" s="667">
        <v>0.0</v>
      </c>
      <c r="N31" s="746">
        <v>0.0093375009</v>
      </c>
      <c r="O31" s="746">
        <v>0.0089619502</v>
      </c>
      <c r="P31" s="747">
        <v>16.515861</v>
      </c>
      <c r="Q31" s="755">
        <v>32500.0</v>
      </c>
      <c r="R31" s="652"/>
      <c r="S31" s="645" t="s">
        <v>5452</v>
      </c>
      <c r="T31" s="696">
        <f t="shared" si="1"/>
        <v>0.1353940572</v>
      </c>
      <c r="U31" s="634"/>
      <c r="V31" s="634"/>
      <c r="W31" s="634"/>
      <c r="X31" s="634"/>
      <c r="Y31" s="634"/>
      <c r="Z31" s="634"/>
    </row>
    <row r="32" ht="15.75" customHeight="1" outlineLevel="1">
      <c r="A32" s="643" t="s">
        <v>2674</v>
      </c>
      <c r="B32" s="643" t="s">
        <v>5453</v>
      </c>
      <c r="C32" s="643"/>
      <c r="D32" s="736"/>
      <c r="E32" s="743"/>
      <c r="F32" s="744" t="s">
        <v>2914</v>
      </c>
      <c r="G32" s="745" t="s">
        <v>5454</v>
      </c>
      <c r="H32" s="667" t="s">
        <v>2647</v>
      </c>
      <c r="I32" s="669">
        <v>0.031052657</v>
      </c>
      <c r="J32" s="669">
        <v>0.017545578</v>
      </c>
      <c r="K32" s="669">
        <v>0.01059557</v>
      </c>
      <c r="L32" s="669">
        <v>0.0029115013699999998</v>
      </c>
      <c r="M32" s="667">
        <v>0.0</v>
      </c>
      <c r="N32" s="746">
        <v>0.0014209631</v>
      </c>
      <c r="O32" s="746">
        <v>0.0013200095</v>
      </c>
      <c r="P32" s="747">
        <v>1.4380662</v>
      </c>
      <c r="Q32" s="755">
        <v>32500.0</v>
      </c>
      <c r="R32" s="652"/>
      <c r="S32" s="645" t="s">
        <v>5455</v>
      </c>
      <c r="T32" s="696">
        <f t="shared" si="1"/>
        <v>0.028141148</v>
      </c>
      <c r="U32" s="634"/>
      <c r="V32" s="634"/>
      <c r="W32" s="634"/>
      <c r="X32" s="634"/>
      <c r="Y32" s="634"/>
      <c r="Z32" s="634"/>
    </row>
    <row r="33" ht="15.75" customHeight="1" outlineLevel="1">
      <c r="A33" s="643" t="s">
        <v>2674</v>
      </c>
      <c r="B33" s="643" t="s">
        <v>5456</v>
      </c>
      <c r="C33" s="643"/>
      <c r="D33" s="736"/>
      <c r="E33" s="743"/>
      <c r="F33" s="672" t="s">
        <v>2913</v>
      </c>
      <c r="G33" s="749" t="s">
        <v>5457</v>
      </c>
      <c r="H33" s="673" t="s">
        <v>2647</v>
      </c>
      <c r="I33" s="675">
        <v>0.0027736801</v>
      </c>
      <c r="J33" s="675">
        <v>0.0024277852</v>
      </c>
      <c r="K33" s="675">
        <v>2.5041069E-4</v>
      </c>
      <c r="L33" s="675">
        <v>9.5482509E-5</v>
      </c>
      <c r="M33" s="673">
        <v>0.0</v>
      </c>
      <c r="N33" s="750">
        <v>1.7739898E-4</v>
      </c>
      <c r="O33" s="750">
        <v>1.569627E-4</v>
      </c>
      <c r="P33" s="751">
        <v>0.36957116</v>
      </c>
      <c r="Q33" s="756">
        <v>32500.0</v>
      </c>
      <c r="R33" s="652"/>
      <c r="S33" s="645" t="s">
        <v>5458</v>
      </c>
      <c r="T33" s="696">
        <f t="shared" si="1"/>
        <v>0.00267819589</v>
      </c>
      <c r="U33" s="634"/>
      <c r="V33" s="634"/>
      <c r="W33" s="634"/>
      <c r="X33" s="634"/>
      <c r="Y33" s="634"/>
      <c r="Z33" s="634"/>
    </row>
    <row r="34" ht="15.75" customHeight="1" outlineLevel="1">
      <c r="A34" s="643" t="s">
        <v>2679</v>
      </c>
      <c r="B34" s="643" t="s">
        <v>5459</v>
      </c>
      <c r="C34" s="643"/>
      <c r="D34" s="736"/>
      <c r="E34" s="737" t="s">
        <v>2975</v>
      </c>
      <c r="F34" s="738" t="s">
        <v>405</v>
      </c>
      <c r="G34" s="739" t="s">
        <v>5460</v>
      </c>
      <c r="H34" s="661" t="s">
        <v>2647</v>
      </c>
      <c r="I34" s="663">
        <v>0.090153395</v>
      </c>
      <c r="J34" s="663">
        <v>0.081375387</v>
      </c>
      <c r="K34" s="663">
        <v>0.0068641627</v>
      </c>
      <c r="L34" s="663">
        <v>0.0019137315400000001</v>
      </c>
      <c r="M34" s="661">
        <v>0.0</v>
      </c>
      <c r="N34" s="740">
        <v>0.0057256363</v>
      </c>
      <c r="O34" s="740">
        <v>0.0054683116</v>
      </c>
      <c r="P34" s="741">
        <v>35.208715</v>
      </c>
      <c r="Q34" s="754">
        <v>71500.0</v>
      </c>
      <c r="R34" s="652"/>
      <c r="S34" s="645" t="s">
        <v>5461</v>
      </c>
      <c r="T34" s="696">
        <f t="shared" si="1"/>
        <v>0.0882395497</v>
      </c>
      <c r="U34" s="634"/>
      <c r="V34" s="634"/>
      <c r="W34" s="634"/>
      <c r="X34" s="634"/>
      <c r="Y34" s="634"/>
      <c r="Z34" s="634"/>
    </row>
    <row r="35" ht="15.75" customHeight="1" outlineLevel="1">
      <c r="A35" s="643" t="s">
        <v>2679</v>
      </c>
      <c r="B35" s="643" t="s">
        <v>5462</v>
      </c>
      <c r="C35" s="643"/>
      <c r="D35" s="736"/>
      <c r="E35" s="743"/>
      <c r="F35" s="744" t="s">
        <v>2912</v>
      </c>
      <c r="G35" s="745" t="s">
        <v>5463</v>
      </c>
      <c r="H35" s="667" t="s">
        <v>2647</v>
      </c>
      <c r="I35" s="669">
        <v>0.07059796</v>
      </c>
      <c r="J35" s="669">
        <v>0.069742402</v>
      </c>
      <c r="K35" s="669">
        <v>6.6250973E-4</v>
      </c>
      <c r="L35" s="669">
        <v>1.92939657E-4</v>
      </c>
      <c r="M35" s="667">
        <v>0.0</v>
      </c>
      <c r="N35" s="746">
        <v>0.0047953083</v>
      </c>
      <c r="O35" s="746">
        <v>0.0046094142</v>
      </c>
      <c r="P35" s="747">
        <v>34.138905</v>
      </c>
      <c r="Q35" s="755">
        <v>71500.0</v>
      </c>
      <c r="R35" s="652"/>
      <c r="S35" s="645" t="s">
        <v>5464</v>
      </c>
      <c r="T35" s="696">
        <f t="shared" si="1"/>
        <v>0.07040491173</v>
      </c>
      <c r="U35" s="634"/>
      <c r="V35" s="634"/>
      <c r="W35" s="634"/>
      <c r="X35" s="634"/>
      <c r="Y35" s="634"/>
      <c r="Z35" s="634"/>
    </row>
    <row r="36" ht="15.75" customHeight="1" outlineLevel="1">
      <c r="A36" s="643" t="s">
        <v>2679</v>
      </c>
      <c r="B36" s="643" t="s">
        <v>5465</v>
      </c>
      <c r="C36" s="643"/>
      <c r="D36" s="736"/>
      <c r="E36" s="743"/>
      <c r="F36" s="744" t="s">
        <v>2914</v>
      </c>
      <c r="G36" s="745" t="s">
        <v>5466</v>
      </c>
      <c r="H36" s="667" t="s">
        <v>2647</v>
      </c>
      <c r="I36" s="669">
        <v>0.017678009</v>
      </c>
      <c r="J36" s="669">
        <v>0.0099885453</v>
      </c>
      <c r="K36" s="669">
        <v>0.0060319663</v>
      </c>
      <c r="L36" s="669">
        <v>0.0016574925699999999</v>
      </c>
      <c r="M36" s="667">
        <v>0.0</v>
      </c>
      <c r="N36" s="746">
        <v>8.0894198E-4</v>
      </c>
      <c r="O36" s="746">
        <v>7.5146997E-4</v>
      </c>
      <c r="P36" s="747">
        <v>0.81867866</v>
      </c>
      <c r="Q36" s="755">
        <v>71500.0</v>
      </c>
      <c r="R36" s="652"/>
      <c r="S36" s="645" t="s">
        <v>5467</v>
      </c>
      <c r="T36" s="696">
        <f t="shared" si="1"/>
        <v>0.0160205116</v>
      </c>
      <c r="U36" s="634"/>
      <c r="V36" s="634"/>
      <c r="W36" s="634"/>
      <c r="X36" s="634"/>
      <c r="Y36" s="634"/>
      <c r="Z36" s="634"/>
    </row>
    <row r="37" ht="15.75" customHeight="1" outlineLevel="1">
      <c r="A37" s="643" t="s">
        <v>2679</v>
      </c>
      <c r="B37" s="643" t="s">
        <v>5468</v>
      </c>
      <c r="C37" s="643"/>
      <c r="D37" s="736"/>
      <c r="E37" s="743"/>
      <c r="F37" s="672" t="s">
        <v>2913</v>
      </c>
      <c r="G37" s="749" t="s">
        <v>5469</v>
      </c>
      <c r="H37" s="673" t="s">
        <v>2647</v>
      </c>
      <c r="I37" s="675">
        <v>0.0018774264</v>
      </c>
      <c r="J37" s="675">
        <v>0.0016444394</v>
      </c>
      <c r="K37" s="675">
        <v>1.6968654E-4</v>
      </c>
      <c r="L37" s="675">
        <v>6.32993577E-5</v>
      </c>
      <c r="M37" s="673">
        <v>0.0</v>
      </c>
      <c r="N37" s="750">
        <v>1.2138603E-4</v>
      </c>
      <c r="O37" s="750">
        <v>1.0742751E-4</v>
      </c>
      <c r="P37" s="751">
        <v>0.25113083</v>
      </c>
      <c r="Q37" s="756">
        <v>71500.0</v>
      </c>
      <c r="R37" s="652"/>
      <c r="S37" s="645" t="s">
        <v>5470</v>
      </c>
      <c r="T37" s="696">
        <f t="shared" si="1"/>
        <v>0.00181412594</v>
      </c>
      <c r="U37" s="634"/>
      <c r="V37" s="634"/>
      <c r="W37" s="634"/>
      <c r="X37" s="634"/>
      <c r="Y37" s="634"/>
      <c r="Z37" s="634"/>
    </row>
    <row r="38" ht="15.75" customHeight="1" outlineLevel="1">
      <c r="A38" s="643" t="s">
        <v>2685</v>
      </c>
      <c r="B38" s="643" t="s">
        <v>5471</v>
      </c>
      <c r="C38" s="643"/>
      <c r="D38" s="736"/>
      <c r="E38" s="737" t="s">
        <v>5472</v>
      </c>
      <c r="F38" s="738" t="s">
        <v>405</v>
      </c>
      <c r="G38" s="739" t="s">
        <v>5473</v>
      </c>
      <c r="H38" s="661" t="s">
        <v>2647</v>
      </c>
      <c r="I38" s="663">
        <v>25.837337</v>
      </c>
      <c r="J38" s="663">
        <v>22.35867</v>
      </c>
      <c r="K38" s="663">
        <v>2.749229</v>
      </c>
      <c r="L38" s="663">
        <v>0.729379368</v>
      </c>
      <c r="M38" s="661">
        <v>0.0</v>
      </c>
      <c r="N38" s="740">
        <v>1.5211273</v>
      </c>
      <c r="O38" s="740">
        <v>1.4187089</v>
      </c>
      <c r="P38" s="741">
        <v>1794.5178</v>
      </c>
      <c r="Q38" s="757">
        <v>0.27000027000027</v>
      </c>
      <c r="R38" s="652"/>
      <c r="S38" s="645" t="s">
        <v>5474</v>
      </c>
      <c r="T38" s="696">
        <f t="shared" si="1"/>
        <v>25.107899</v>
      </c>
      <c r="U38" s="634"/>
      <c r="V38" s="634"/>
      <c r="W38" s="634"/>
      <c r="X38" s="634"/>
      <c r="Y38" s="634"/>
      <c r="Z38" s="634"/>
    </row>
    <row r="39" ht="15.75" customHeight="1" outlineLevel="1">
      <c r="A39" s="643" t="s">
        <v>2685</v>
      </c>
      <c r="B39" s="643" t="s">
        <v>5475</v>
      </c>
      <c r="C39" s="643"/>
      <c r="D39" s="736"/>
      <c r="E39" s="743"/>
      <c r="F39" s="744" t="s">
        <v>2912</v>
      </c>
      <c r="G39" s="745" t="s">
        <v>5476</v>
      </c>
      <c r="H39" s="667" t="s">
        <v>2647</v>
      </c>
      <c r="I39" s="669">
        <v>18.124368</v>
      </c>
      <c r="J39" s="669">
        <v>17.883729</v>
      </c>
      <c r="K39" s="669">
        <v>0.18850062</v>
      </c>
      <c r="L39" s="669">
        <v>0.0521160985</v>
      </c>
      <c r="M39" s="667">
        <v>0.0</v>
      </c>
      <c r="N39" s="746">
        <v>1.262774</v>
      </c>
      <c r="O39" s="746">
        <v>1.1836227</v>
      </c>
      <c r="P39" s="747">
        <v>1294.7319</v>
      </c>
      <c r="Q39" s="758">
        <v>0.27000027000027</v>
      </c>
      <c r="R39" s="652"/>
      <c r="S39" s="645" t="s">
        <v>5477</v>
      </c>
      <c r="T39" s="696">
        <f t="shared" si="1"/>
        <v>18.07222962</v>
      </c>
      <c r="U39" s="634"/>
      <c r="V39" s="634"/>
      <c r="W39" s="634"/>
      <c r="X39" s="634"/>
      <c r="Y39" s="634"/>
      <c r="Z39" s="634"/>
    </row>
    <row r="40" ht="15.75" customHeight="1" outlineLevel="1">
      <c r="A40" s="643" t="s">
        <v>2685</v>
      </c>
      <c r="B40" s="643" t="s">
        <v>5478</v>
      </c>
      <c r="C40" s="643"/>
      <c r="D40" s="736"/>
      <c r="E40" s="743"/>
      <c r="F40" s="744" t="s">
        <v>2914</v>
      </c>
      <c r="G40" s="745" t="s">
        <v>5479</v>
      </c>
      <c r="H40" s="667" t="s">
        <v>2647</v>
      </c>
      <c r="I40" s="669">
        <v>3.895095</v>
      </c>
      <c r="J40" s="669">
        <v>1.8385377</v>
      </c>
      <c r="K40" s="669">
        <v>1.6742033</v>
      </c>
      <c r="L40" s="669">
        <v>0.382351108</v>
      </c>
      <c r="M40" s="667">
        <v>0.0</v>
      </c>
      <c r="N40" s="746">
        <v>0.079773036</v>
      </c>
      <c r="O40" s="746">
        <v>0.071834684</v>
      </c>
      <c r="P40" s="747">
        <v>193.37369</v>
      </c>
      <c r="Q40" s="758">
        <v>0.27000027000027</v>
      </c>
      <c r="R40" s="652"/>
      <c r="S40" s="645" t="s">
        <v>5480</v>
      </c>
      <c r="T40" s="696">
        <f t="shared" si="1"/>
        <v>3.512741</v>
      </c>
      <c r="U40" s="634"/>
      <c r="V40" s="634"/>
      <c r="W40" s="634"/>
      <c r="X40" s="634"/>
      <c r="Y40" s="634"/>
      <c r="Z40" s="634"/>
    </row>
    <row r="41" ht="15.75" customHeight="1" outlineLevel="1">
      <c r="A41" s="643" t="s">
        <v>2685</v>
      </c>
      <c r="B41" s="643" t="s">
        <v>5481</v>
      </c>
      <c r="C41" s="643"/>
      <c r="D41" s="736"/>
      <c r="E41" s="743"/>
      <c r="F41" s="672" t="s">
        <v>2913</v>
      </c>
      <c r="G41" s="749" t="s">
        <v>5482</v>
      </c>
      <c r="H41" s="673" t="s">
        <v>2647</v>
      </c>
      <c r="I41" s="675">
        <v>3.8178746</v>
      </c>
      <c r="J41" s="675">
        <v>2.6364035</v>
      </c>
      <c r="K41" s="675">
        <v>0.88652505</v>
      </c>
      <c r="L41" s="675">
        <v>0.294912167</v>
      </c>
      <c r="M41" s="673">
        <v>0.0</v>
      </c>
      <c r="N41" s="750">
        <v>0.17858026</v>
      </c>
      <c r="O41" s="750">
        <v>0.16325158</v>
      </c>
      <c r="P41" s="751">
        <v>306.41217</v>
      </c>
      <c r="Q41" s="759">
        <v>0.27000027000027</v>
      </c>
      <c r="R41" s="652"/>
      <c r="S41" s="645" t="s">
        <v>5483</v>
      </c>
      <c r="T41" s="696">
        <f t="shared" si="1"/>
        <v>3.52292855</v>
      </c>
      <c r="U41" s="634"/>
      <c r="V41" s="634"/>
      <c r="W41" s="634"/>
      <c r="X41" s="634"/>
      <c r="Y41" s="634"/>
      <c r="Z41" s="634"/>
    </row>
    <row r="42" ht="15.75" customHeight="1" outlineLevel="1">
      <c r="A42" s="643" t="s">
        <v>2690</v>
      </c>
      <c r="B42" s="643" t="s">
        <v>5484</v>
      </c>
      <c r="C42" s="643"/>
      <c r="D42" s="736"/>
      <c r="E42" s="737" t="s">
        <v>2979</v>
      </c>
      <c r="F42" s="738" t="s">
        <v>405</v>
      </c>
      <c r="G42" s="739" t="s">
        <v>5485</v>
      </c>
      <c r="H42" s="661" t="s">
        <v>2647</v>
      </c>
      <c r="I42" s="663">
        <v>2.2735607</v>
      </c>
      <c r="J42" s="663">
        <v>2.1201759</v>
      </c>
      <c r="K42" s="663">
        <v>0.12027284</v>
      </c>
      <c r="L42" s="663">
        <v>0.0331047437</v>
      </c>
      <c r="M42" s="661">
        <v>0.0</v>
      </c>
      <c r="N42" s="740">
        <v>0.1346342</v>
      </c>
      <c r="O42" s="740">
        <v>0.12704331</v>
      </c>
      <c r="P42" s="741">
        <v>191.5226</v>
      </c>
      <c r="Q42" s="757">
        <v>9.41010765952992</v>
      </c>
      <c r="R42" s="652"/>
      <c r="S42" s="645" t="s">
        <v>5486</v>
      </c>
      <c r="T42" s="696">
        <f t="shared" si="1"/>
        <v>2.24044874</v>
      </c>
      <c r="U42" s="634"/>
      <c r="V42" s="634"/>
      <c r="W42" s="634"/>
      <c r="X42" s="634"/>
      <c r="Y42" s="634"/>
      <c r="Z42" s="634"/>
    </row>
    <row r="43" ht="15.75" customHeight="1" outlineLevel="1">
      <c r="A43" s="643" t="s">
        <v>2690</v>
      </c>
      <c r="B43" s="643" t="s">
        <v>5487</v>
      </c>
      <c r="C43" s="643"/>
      <c r="D43" s="736"/>
      <c r="E43" s="743"/>
      <c r="F43" s="744" t="s">
        <v>2912</v>
      </c>
      <c r="G43" s="745" t="s">
        <v>5488</v>
      </c>
      <c r="H43" s="667" t="s">
        <v>2647</v>
      </c>
      <c r="I43" s="669">
        <v>1.5840441</v>
      </c>
      <c r="J43" s="669">
        <v>1.5655821</v>
      </c>
      <c r="K43" s="669">
        <v>0.014251683</v>
      </c>
      <c r="L43" s="669">
        <v>0.00420787437</v>
      </c>
      <c r="M43" s="667">
        <v>0.0</v>
      </c>
      <c r="N43" s="746">
        <v>0.11041859</v>
      </c>
      <c r="O43" s="746">
        <v>0.10523152</v>
      </c>
      <c r="P43" s="747">
        <v>145.25346</v>
      </c>
      <c r="Q43" s="758">
        <v>9.41010765952992</v>
      </c>
      <c r="R43" s="652"/>
      <c r="S43" s="645" t="s">
        <v>5489</v>
      </c>
      <c r="T43" s="696">
        <f t="shared" si="1"/>
        <v>1.579833783</v>
      </c>
      <c r="U43" s="634"/>
      <c r="V43" s="634"/>
      <c r="W43" s="634"/>
      <c r="X43" s="634"/>
      <c r="Y43" s="634"/>
      <c r="Z43" s="634"/>
    </row>
    <row r="44" ht="15.75" customHeight="1" outlineLevel="1">
      <c r="A44" s="643" t="s">
        <v>2690</v>
      </c>
      <c r="B44" s="643" t="s">
        <v>5490</v>
      </c>
      <c r="C44" s="643"/>
      <c r="D44" s="736"/>
      <c r="E44" s="743"/>
      <c r="F44" s="744" t="s">
        <v>2914</v>
      </c>
      <c r="G44" s="745" t="s">
        <v>5491</v>
      </c>
      <c r="H44" s="667" t="s">
        <v>2647</v>
      </c>
      <c r="I44" s="669">
        <v>0.44346547</v>
      </c>
      <c r="J44" s="669">
        <v>0.34805029</v>
      </c>
      <c r="K44" s="669">
        <v>0.077008808</v>
      </c>
      <c r="L44" s="669">
        <v>0.018405809710000002</v>
      </c>
      <c r="M44" s="667">
        <v>0.0</v>
      </c>
      <c r="N44" s="746">
        <v>0.013167123</v>
      </c>
      <c r="O44" s="746">
        <v>0.01187173</v>
      </c>
      <c r="P44" s="747">
        <v>27.688753</v>
      </c>
      <c r="Q44" s="758">
        <v>9.41010765952992</v>
      </c>
      <c r="R44" s="652"/>
      <c r="S44" s="645" t="s">
        <v>5492</v>
      </c>
      <c r="T44" s="696">
        <f t="shared" si="1"/>
        <v>0.425059098</v>
      </c>
      <c r="U44" s="634"/>
      <c r="V44" s="634"/>
      <c r="W44" s="634"/>
      <c r="X44" s="634"/>
      <c r="Y44" s="634"/>
      <c r="Z44" s="634"/>
    </row>
    <row r="45" ht="15.75" customHeight="1" outlineLevel="1">
      <c r="A45" s="643" t="s">
        <v>2690</v>
      </c>
      <c r="B45" s="643" t="s">
        <v>5493</v>
      </c>
      <c r="C45" s="643"/>
      <c r="D45" s="736"/>
      <c r="E45" s="743"/>
      <c r="F45" s="672" t="s">
        <v>2913</v>
      </c>
      <c r="G45" s="749" t="s">
        <v>5494</v>
      </c>
      <c r="H45" s="673" t="s">
        <v>2647</v>
      </c>
      <c r="I45" s="675">
        <v>0.24605117</v>
      </c>
      <c r="J45" s="675">
        <v>0.20654355</v>
      </c>
      <c r="K45" s="675">
        <v>0.029012346</v>
      </c>
      <c r="L45" s="675">
        <v>0.010491059779999999</v>
      </c>
      <c r="M45" s="673">
        <v>0.0</v>
      </c>
      <c r="N45" s="750">
        <v>0.01104849</v>
      </c>
      <c r="O45" s="750">
        <v>0.0099400538</v>
      </c>
      <c r="P45" s="751">
        <v>18.580387</v>
      </c>
      <c r="Q45" s="759">
        <v>9.41010765952992</v>
      </c>
      <c r="R45" s="652"/>
      <c r="S45" s="645" t="s">
        <v>5495</v>
      </c>
      <c r="T45" s="696">
        <f t="shared" si="1"/>
        <v>0.235555896</v>
      </c>
      <c r="U45" s="634"/>
      <c r="V45" s="634"/>
      <c r="W45" s="634"/>
      <c r="X45" s="634"/>
      <c r="Y45" s="634"/>
      <c r="Z45" s="634"/>
    </row>
    <row r="46" ht="15.75" customHeight="1" outlineLevel="1">
      <c r="A46" s="643" t="s">
        <v>2694</v>
      </c>
      <c r="B46" s="643" t="s">
        <v>5496</v>
      </c>
      <c r="C46" s="643"/>
      <c r="D46" s="736"/>
      <c r="E46" s="737" t="s">
        <v>5497</v>
      </c>
      <c r="F46" s="738" t="s">
        <v>405</v>
      </c>
      <c r="G46" s="739" t="s">
        <v>5498</v>
      </c>
      <c r="H46" s="661" t="s">
        <v>2647</v>
      </c>
      <c r="I46" s="663">
        <v>8.8120603</v>
      </c>
      <c r="J46" s="663">
        <v>7.9087026</v>
      </c>
      <c r="K46" s="663">
        <v>0.71679698</v>
      </c>
      <c r="L46" s="663">
        <v>0.18653126</v>
      </c>
      <c r="M46" s="661">
        <v>0.0</v>
      </c>
      <c r="N46" s="740">
        <v>0.51813431</v>
      </c>
      <c r="O46" s="740">
        <v>0.48971538</v>
      </c>
      <c r="P46" s="741">
        <v>794.27354</v>
      </c>
      <c r="Q46" s="757">
        <v>0.9850275807722615</v>
      </c>
      <c r="R46" s="652"/>
      <c r="S46" s="645" t="s">
        <v>5499</v>
      </c>
      <c r="T46" s="696">
        <f t="shared" si="1"/>
        <v>8.62549958</v>
      </c>
      <c r="U46" s="634"/>
      <c r="V46" s="634"/>
      <c r="W46" s="634"/>
      <c r="X46" s="634"/>
      <c r="Y46" s="634"/>
      <c r="Z46" s="634"/>
    </row>
    <row r="47" ht="15.75" customHeight="1" outlineLevel="1">
      <c r="A47" s="643" t="s">
        <v>2694</v>
      </c>
      <c r="B47" s="643" t="s">
        <v>5500</v>
      </c>
      <c r="C47" s="643"/>
      <c r="D47" s="736"/>
      <c r="E47" s="743"/>
      <c r="F47" s="744" t="s">
        <v>2912</v>
      </c>
      <c r="G47" s="745" t="s">
        <v>5501</v>
      </c>
      <c r="H47" s="667" t="s">
        <v>2647</v>
      </c>
      <c r="I47" s="669">
        <v>6.0915509</v>
      </c>
      <c r="J47" s="669">
        <v>6.0205541</v>
      </c>
      <c r="K47" s="669">
        <v>0.05480583</v>
      </c>
      <c r="L47" s="669">
        <v>0.0161816714</v>
      </c>
      <c r="M47" s="667">
        <v>0.0</v>
      </c>
      <c r="N47" s="746">
        <v>0.42618082</v>
      </c>
      <c r="O47" s="746">
        <v>0.40656694</v>
      </c>
      <c r="P47" s="747">
        <v>621.43479</v>
      </c>
      <c r="Q47" s="758">
        <v>0.9850275807722615</v>
      </c>
      <c r="R47" s="652"/>
      <c r="S47" s="645" t="s">
        <v>5502</v>
      </c>
      <c r="T47" s="696">
        <f t="shared" si="1"/>
        <v>6.07535993</v>
      </c>
      <c r="U47" s="634"/>
      <c r="V47" s="634"/>
      <c r="W47" s="634"/>
      <c r="X47" s="634"/>
      <c r="Y47" s="634"/>
      <c r="Z47" s="634"/>
    </row>
    <row r="48" ht="15.75" customHeight="1" outlineLevel="1">
      <c r="A48" s="643" t="s">
        <v>2694</v>
      </c>
      <c r="B48" s="643" t="s">
        <v>5503</v>
      </c>
      <c r="C48" s="643"/>
      <c r="D48" s="736"/>
      <c r="E48" s="743"/>
      <c r="F48" s="744" t="s">
        <v>2914</v>
      </c>
      <c r="G48" s="745" t="s">
        <v>5504</v>
      </c>
      <c r="H48" s="667" t="s">
        <v>2647</v>
      </c>
      <c r="I48" s="669">
        <v>1.48461</v>
      </c>
      <c r="J48" s="669">
        <v>0.877664</v>
      </c>
      <c r="K48" s="669">
        <v>0.49325261</v>
      </c>
      <c r="L48" s="669">
        <v>0.1136920192</v>
      </c>
      <c r="M48" s="667">
        <v>0.0</v>
      </c>
      <c r="N48" s="746">
        <v>0.035614329</v>
      </c>
      <c r="O48" s="746">
        <v>0.032089274</v>
      </c>
      <c r="P48" s="747">
        <v>80.93801</v>
      </c>
      <c r="Q48" s="758">
        <v>0.9850275807722615</v>
      </c>
      <c r="R48" s="652"/>
      <c r="S48" s="645" t="s">
        <v>5505</v>
      </c>
      <c r="T48" s="696">
        <f t="shared" si="1"/>
        <v>1.37091661</v>
      </c>
      <c r="U48" s="634"/>
      <c r="V48" s="634"/>
      <c r="W48" s="634"/>
      <c r="X48" s="634"/>
      <c r="Y48" s="634"/>
      <c r="Z48" s="634"/>
    </row>
    <row r="49" ht="15.75" customHeight="1" outlineLevel="1">
      <c r="A49" s="643" t="s">
        <v>2694</v>
      </c>
      <c r="B49" s="643" t="s">
        <v>5506</v>
      </c>
      <c r="C49" s="643"/>
      <c r="D49" s="736"/>
      <c r="E49" s="743"/>
      <c r="F49" s="672" t="s">
        <v>2913</v>
      </c>
      <c r="G49" s="749" t="s">
        <v>5507</v>
      </c>
      <c r="H49" s="673" t="s">
        <v>2647</v>
      </c>
      <c r="I49" s="675">
        <v>1.2358993</v>
      </c>
      <c r="J49" s="675">
        <v>1.0104845</v>
      </c>
      <c r="K49" s="675">
        <v>0.16873855</v>
      </c>
      <c r="L49" s="675">
        <v>0.0566575674</v>
      </c>
      <c r="M49" s="673">
        <v>0.0</v>
      </c>
      <c r="N49" s="750">
        <v>0.056339169</v>
      </c>
      <c r="O49" s="750">
        <v>0.051059168</v>
      </c>
      <c r="P49" s="751">
        <v>91.900742</v>
      </c>
      <c r="Q49" s="759">
        <v>0.9850275807722615</v>
      </c>
      <c r="R49" s="652"/>
      <c r="S49" s="645" t="s">
        <v>5508</v>
      </c>
      <c r="T49" s="696">
        <f t="shared" si="1"/>
        <v>1.17922305</v>
      </c>
      <c r="U49" s="634"/>
      <c r="V49" s="634"/>
      <c r="W49" s="634"/>
      <c r="X49" s="634"/>
      <c r="Y49" s="634"/>
      <c r="Z49" s="634"/>
    </row>
    <row r="50" ht="15.75" customHeight="1" outlineLevel="1">
      <c r="A50" s="643" t="s">
        <v>2700</v>
      </c>
      <c r="B50" s="643" t="s">
        <v>5509</v>
      </c>
      <c r="C50" s="643"/>
      <c r="D50" s="736"/>
      <c r="E50" s="737" t="s">
        <v>5510</v>
      </c>
      <c r="F50" s="738" t="s">
        <v>405</v>
      </c>
      <c r="G50" s="739" t="s">
        <v>5511</v>
      </c>
      <c r="H50" s="661" t="s">
        <v>2647</v>
      </c>
      <c r="I50" s="663">
        <v>3.6581397</v>
      </c>
      <c r="J50" s="663">
        <v>3.3611336</v>
      </c>
      <c r="K50" s="663">
        <v>0.23536914</v>
      </c>
      <c r="L50" s="663">
        <v>0.061626572500000004</v>
      </c>
      <c r="M50" s="661">
        <v>0.0</v>
      </c>
      <c r="N50" s="740">
        <v>0.21824185</v>
      </c>
      <c r="O50" s="740">
        <v>0.20643926</v>
      </c>
      <c r="P50" s="741">
        <v>303.85588</v>
      </c>
      <c r="Q50" s="757">
        <v>3.2892572857048883</v>
      </c>
      <c r="R50" s="652"/>
      <c r="S50" s="645" t="s">
        <v>5512</v>
      </c>
      <c r="T50" s="696">
        <f t="shared" si="1"/>
        <v>3.59650274</v>
      </c>
      <c r="U50" s="634"/>
      <c r="V50" s="634"/>
      <c r="W50" s="634"/>
      <c r="X50" s="634"/>
      <c r="Y50" s="634"/>
      <c r="Z50" s="634"/>
    </row>
    <row r="51" ht="15.75" customHeight="1" outlineLevel="1">
      <c r="A51" s="643" t="s">
        <v>2700</v>
      </c>
      <c r="B51" s="643" t="s">
        <v>5513</v>
      </c>
      <c r="C51" s="643"/>
      <c r="D51" s="736"/>
      <c r="E51" s="743"/>
      <c r="F51" s="744" t="s">
        <v>2912</v>
      </c>
      <c r="G51" s="745" t="s">
        <v>5514</v>
      </c>
      <c r="H51" s="667" t="s">
        <v>2647</v>
      </c>
      <c r="I51" s="669">
        <v>2.6351709</v>
      </c>
      <c r="J51" s="669">
        <v>2.6044581</v>
      </c>
      <c r="K51" s="669">
        <v>0.023708696</v>
      </c>
      <c r="L51" s="669">
        <v>0.0070001006</v>
      </c>
      <c r="M51" s="667">
        <v>0.0</v>
      </c>
      <c r="N51" s="746">
        <v>0.18370303</v>
      </c>
      <c r="O51" s="746">
        <v>0.17522405</v>
      </c>
      <c r="P51" s="747">
        <v>237.95678</v>
      </c>
      <c r="Q51" s="758">
        <v>3.2892572857048883</v>
      </c>
      <c r="R51" s="652"/>
      <c r="S51" s="645" t="s">
        <v>5515</v>
      </c>
      <c r="T51" s="696">
        <f t="shared" si="1"/>
        <v>2.628166796</v>
      </c>
      <c r="U51" s="634"/>
      <c r="V51" s="634"/>
      <c r="W51" s="634"/>
      <c r="X51" s="634"/>
      <c r="Y51" s="634"/>
      <c r="Z51" s="634"/>
    </row>
    <row r="52" ht="15.75" customHeight="1" outlineLevel="1">
      <c r="A52" s="643" t="s">
        <v>2700</v>
      </c>
      <c r="B52" s="643" t="s">
        <v>5516</v>
      </c>
      <c r="C52" s="643"/>
      <c r="D52" s="736"/>
      <c r="E52" s="743"/>
      <c r="F52" s="744" t="s">
        <v>2914</v>
      </c>
      <c r="G52" s="745" t="s">
        <v>5517</v>
      </c>
      <c r="H52" s="667" t="s">
        <v>2647</v>
      </c>
      <c r="I52" s="669">
        <v>0.65285378</v>
      </c>
      <c r="J52" s="669">
        <v>0.45406556</v>
      </c>
      <c r="K52" s="669">
        <v>0.16112828</v>
      </c>
      <c r="L52" s="669">
        <v>0.0376592188</v>
      </c>
      <c r="M52" s="667">
        <v>0.0</v>
      </c>
      <c r="N52" s="746">
        <v>0.01766692</v>
      </c>
      <c r="O52" s="746">
        <v>0.015924515</v>
      </c>
      <c r="P52" s="747">
        <v>38.37757</v>
      </c>
      <c r="Q52" s="758">
        <v>3.2892572857048883</v>
      </c>
      <c r="R52" s="652"/>
      <c r="S52" s="645" t="s">
        <v>5518</v>
      </c>
      <c r="T52" s="696">
        <f t="shared" si="1"/>
        <v>0.61519384</v>
      </c>
      <c r="U52" s="634"/>
      <c r="V52" s="634"/>
      <c r="W52" s="634"/>
      <c r="X52" s="634"/>
      <c r="Y52" s="634"/>
      <c r="Z52" s="634"/>
    </row>
    <row r="53" ht="15.75" customHeight="1" outlineLevel="1">
      <c r="A53" s="643" t="s">
        <v>2700</v>
      </c>
      <c r="B53" s="643" t="s">
        <v>5519</v>
      </c>
      <c r="C53" s="643"/>
      <c r="D53" s="736"/>
      <c r="E53" s="743"/>
      <c r="F53" s="672" t="s">
        <v>2913</v>
      </c>
      <c r="G53" s="749" t="s">
        <v>5520</v>
      </c>
      <c r="H53" s="673" t="s">
        <v>2647</v>
      </c>
      <c r="I53" s="675">
        <v>0.370115</v>
      </c>
      <c r="J53" s="675">
        <v>0.30260998</v>
      </c>
      <c r="K53" s="675">
        <v>0.050532165</v>
      </c>
      <c r="L53" s="675">
        <v>0.016967252500000002</v>
      </c>
      <c r="M53" s="673">
        <v>0.0</v>
      </c>
      <c r="N53" s="750">
        <v>0.016871902</v>
      </c>
      <c r="O53" s="750">
        <v>0.015290698</v>
      </c>
      <c r="P53" s="751">
        <v>27.521533</v>
      </c>
      <c r="Q53" s="759">
        <v>3.2892572857048883</v>
      </c>
      <c r="R53" s="652"/>
      <c r="S53" s="645" t="s">
        <v>5521</v>
      </c>
      <c r="T53" s="696">
        <f t="shared" si="1"/>
        <v>0.353142145</v>
      </c>
      <c r="U53" s="634"/>
      <c r="V53" s="634"/>
      <c r="W53" s="634"/>
      <c r="X53" s="634"/>
      <c r="Y53" s="634"/>
      <c r="Z53" s="634"/>
    </row>
    <row r="54" ht="15.75" customHeight="1" outlineLevel="1">
      <c r="A54" s="643" t="s">
        <v>2706</v>
      </c>
      <c r="B54" s="643" t="s">
        <v>5522</v>
      </c>
      <c r="C54" s="643"/>
      <c r="D54" s="736"/>
      <c r="E54" s="737" t="s">
        <v>5523</v>
      </c>
      <c r="F54" s="738" t="s">
        <v>405</v>
      </c>
      <c r="G54" s="739" t="s">
        <v>5524</v>
      </c>
      <c r="H54" s="661" t="s">
        <v>2647</v>
      </c>
      <c r="I54" s="663">
        <v>2.8614222</v>
      </c>
      <c r="J54" s="663">
        <v>2.6654383</v>
      </c>
      <c r="K54" s="663">
        <v>0.1541444</v>
      </c>
      <c r="L54" s="663">
        <v>0.0418302896</v>
      </c>
      <c r="M54" s="661">
        <v>0.0</v>
      </c>
      <c r="N54" s="740">
        <v>0.17112914</v>
      </c>
      <c r="O54" s="740">
        <v>0.16175973</v>
      </c>
      <c r="P54" s="741">
        <v>250.51873</v>
      </c>
      <c r="Q54" s="757">
        <v>5.787037037037036</v>
      </c>
      <c r="R54" s="652"/>
      <c r="S54" s="645" t="s">
        <v>5525</v>
      </c>
      <c r="T54" s="696">
        <f t="shared" si="1"/>
        <v>2.8195827</v>
      </c>
      <c r="U54" s="634"/>
      <c r="V54" s="634"/>
      <c r="W54" s="634"/>
      <c r="X54" s="634"/>
      <c r="Y54" s="634"/>
      <c r="Z54" s="634"/>
    </row>
    <row r="55" ht="15.75" customHeight="1" outlineLevel="1">
      <c r="A55" s="643" t="s">
        <v>2706</v>
      </c>
      <c r="B55" s="643" t="s">
        <v>5526</v>
      </c>
      <c r="C55" s="643"/>
      <c r="D55" s="736"/>
      <c r="E55" s="743"/>
      <c r="F55" s="744" t="s">
        <v>2912</v>
      </c>
      <c r="G55" s="745" t="s">
        <v>5527</v>
      </c>
      <c r="H55" s="667" t="s">
        <v>2647</v>
      </c>
      <c r="I55" s="669">
        <v>2.0750307</v>
      </c>
      <c r="J55" s="669">
        <v>2.0508463</v>
      </c>
      <c r="K55" s="669">
        <v>0.018669101</v>
      </c>
      <c r="L55" s="669">
        <v>0.00551213719</v>
      </c>
      <c r="M55" s="667">
        <v>0.0</v>
      </c>
      <c r="N55" s="746">
        <v>0.14354924</v>
      </c>
      <c r="O55" s="746">
        <v>0.13690145</v>
      </c>
      <c r="P55" s="747">
        <v>197.92711</v>
      </c>
      <c r="Q55" s="758">
        <v>5.787037037037036</v>
      </c>
      <c r="R55" s="652"/>
      <c r="S55" s="645" t="s">
        <v>5528</v>
      </c>
      <c r="T55" s="696">
        <f t="shared" si="1"/>
        <v>2.069515401</v>
      </c>
      <c r="U55" s="634"/>
      <c r="V55" s="634"/>
      <c r="W55" s="634"/>
      <c r="X55" s="634"/>
      <c r="Y55" s="634"/>
      <c r="Z55" s="634"/>
    </row>
    <row r="56" ht="15.75" customHeight="1" outlineLevel="1">
      <c r="A56" s="643" t="s">
        <v>2706</v>
      </c>
      <c r="B56" s="643" t="s">
        <v>5529</v>
      </c>
      <c r="C56" s="643"/>
      <c r="D56" s="736"/>
      <c r="E56" s="743"/>
      <c r="F56" s="744" t="s">
        <v>2914</v>
      </c>
      <c r="G56" s="745" t="s">
        <v>5530</v>
      </c>
      <c r="H56" s="667" t="s">
        <v>2647</v>
      </c>
      <c r="I56" s="669">
        <v>0.49391614</v>
      </c>
      <c r="J56" s="669">
        <v>0.37093935</v>
      </c>
      <c r="K56" s="669">
        <v>0.099450631</v>
      </c>
      <c r="L56" s="669">
        <v>0.023525571600000003</v>
      </c>
      <c r="M56" s="667">
        <v>0.0</v>
      </c>
      <c r="N56" s="746">
        <v>0.014173155</v>
      </c>
      <c r="O56" s="746">
        <v>0.012777551</v>
      </c>
      <c r="P56" s="747">
        <v>30.155602</v>
      </c>
      <c r="Q56" s="758">
        <v>5.787037037037036</v>
      </c>
      <c r="R56" s="652"/>
      <c r="S56" s="645" t="s">
        <v>5531</v>
      </c>
      <c r="T56" s="696">
        <f t="shared" si="1"/>
        <v>0.470389981</v>
      </c>
      <c r="U56" s="634"/>
      <c r="V56" s="634"/>
      <c r="W56" s="634"/>
      <c r="X56" s="634"/>
      <c r="Y56" s="634"/>
      <c r="Z56" s="634"/>
    </row>
    <row r="57" ht="15.75" customHeight="1" outlineLevel="1">
      <c r="A57" s="643" t="s">
        <v>2706</v>
      </c>
      <c r="B57" s="643" t="s">
        <v>5532</v>
      </c>
      <c r="C57" s="643"/>
      <c r="D57" s="736"/>
      <c r="E57" s="743"/>
      <c r="F57" s="672" t="s">
        <v>2913</v>
      </c>
      <c r="G57" s="749" t="s">
        <v>5533</v>
      </c>
      <c r="H57" s="673" t="s">
        <v>2647</v>
      </c>
      <c r="I57" s="675">
        <v>0.29247539</v>
      </c>
      <c r="J57" s="675">
        <v>0.24365261</v>
      </c>
      <c r="K57" s="675">
        <v>0.036024667</v>
      </c>
      <c r="L57" s="675">
        <v>0.01279258069</v>
      </c>
      <c r="M57" s="673">
        <v>0.0</v>
      </c>
      <c r="N57" s="750">
        <v>0.013406747</v>
      </c>
      <c r="O57" s="750">
        <v>0.012080732</v>
      </c>
      <c r="P57" s="751">
        <v>22.436019</v>
      </c>
      <c r="Q57" s="759">
        <v>5.787037037037036</v>
      </c>
      <c r="R57" s="652"/>
      <c r="S57" s="645" t="s">
        <v>5534</v>
      </c>
      <c r="T57" s="696">
        <f t="shared" si="1"/>
        <v>0.279677277</v>
      </c>
      <c r="U57" s="634"/>
      <c r="V57" s="634"/>
      <c r="W57" s="634"/>
      <c r="X57" s="634"/>
      <c r="Y57" s="634"/>
      <c r="Z57" s="634"/>
    </row>
    <row r="58" ht="15.75" customHeight="1" outlineLevel="1">
      <c r="A58" s="643" t="s">
        <v>2712</v>
      </c>
      <c r="B58" s="643" t="s">
        <v>5535</v>
      </c>
      <c r="C58" s="643"/>
      <c r="D58" s="736"/>
      <c r="E58" s="737" t="s">
        <v>5536</v>
      </c>
      <c r="F58" s="738" t="s">
        <v>405</v>
      </c>
      <c r="G58" s="739" t="s">
        <v>5537</v>
      </c>
      <c r="H58" s="661" t="s">
        <v>2647</v>
      </c>
      <c r="I58" s="663">
        <v>1.8752408</v>
      </c>
      <c r="J58" s="663">
        <v>1.7540391</v>
      </c>
      <c r="K58" s="663">
        <v>0.094637888</v>
      </c>
      <c r="L58" s="663">
        <v>0.0265579266</v>
      </c>
      <c r="M58" s="661">
        <v>0.0</v>
      </c>
      <c r="N58" s="740">
        <v>0.11011778</v>
      </c>
      <c r="O58" s="740">
        <v>0.10373754</v>
      </c>
      <c r="P58" s="741">
        <v>153.09441</v>
      </c>
      <c r="Q58" s="741">
        <v>11.61</v>
      </c>
      <c r="R58" s="652"/>
      <c r="S58" s="645" t="s">
        <v>5538</v>
      </c>
      <c r="T58" s="696">
        <f t="shared" si="1"/>
        <v>1.848676988</v>
      </c>
      <c r="U58" s="634"/>
      <c r="V58" s="634"/>
      <c r="W58" s="634"/>
      <c r="X58" s="634"/>
      <c r="Y58" s="634"/>
      <c r="Z58" s="634"/>
    </row>
    <row r="59" ht="15.75" customHeight="1" outlineLevel="1">
      <c r="A59" s="643" t="s">
        <v>2712</v>
      </c>
      <c r="B59" s="643" t="s">
        <v>5539</v>
      </c>
      <c r="C59" s="643"/>
      <c r="D59" s="736"/>
      <c r="E59" s="743"/>
      <c r="F59" s="744" t="s">
        <v>2912</v>
      </c>
      <c r="G59" s="745" t="s">
        <v>5540</v>
      </c>
      <c r="H59" s="667" t="s">
        <v>2647</v>
      </c>
      <c r="I59" s="669">
        <v>1.2606333</v>
      </c>
      <c r="J59" s="669">
        <v>1.2459407</v>
      </c>
      <c r="K59" s="669">
        <v>0.011341948</v>
      </c>
      <c r="L59" s="669">
        <v>0.00334876197</v>
      </c>
      <c r="M59" s="667">
        <v>0.0</v>
      </c>
      <c r="N59" s="746">
        <v>0.088429458</v>
      </c>
      <c r="O59" s="746">
        <v>0.084217054</v>
      </c>
      <c r="P59" s="747">
        <v>111.58306</v>
      </c>
      <c r="Q59" s="747">
        <v>11.61</v>
      </c>
      <c r="R59" s="652"/>
      <c r="S59" s="645" t="s">
        <v>5541</v>
      </c>
      <c r="T59" s="696">
        <f t="shared" si="1"/>
        <v>1.257282648</v>
      </c>
      <c r="U59" s="634"/>
      <c r="V59" s="634"/>
      <c r="W59" s="634"/>
      <c r="X59" s="634"/>
      <c r="Y59" s="634"/>
      <c r="Z59" s="634"/>
    </row>
    <row r="60" ht="15.75" customHeight="1" outlineLevel="1">
      <c r="A60" s="643" t="s">
        <v>2712</v>
      </c>
      <c r="B60" s="643" t="s">
        <v>5542</v>
      </c>
      <c r="C60" s="643"/>
      <c r="D60" s="736"/>
      <c r="E60" s="743"/>
      <c r="F60" s="744" t="s">
        <v>2914</v>
      </c>
      <c r="G60" s="745" t="s">
        <v>5543</v>
      </c>
      <c r="H60" s="667" t="s">
        <v>2647</v>
      </c>
      <c r="I60" s="669">
        <v>0.40275403</v>
      </c>
      <c r="J60" s="669">
        <v>0.32879092</v>
      </c>
      <c r="K60" s="669">
        <v>0.059545305</v>
      </c>
      <c r="L60" s="669">
        <v>0.01441727693</v>
      </c>
      <c r="M60" s="667">
        <v>0.0</v>
      </c>
      <c r="N60" s="746">
        <v>0.01233207</v>
      </c>
      <c r="O60" s="746">
        <v>0.01111977</v>
      </c>
      <c r="P60" s="747">
        <v>25.665857</v>
      </c>
      <c r="Q60" s="747">
        <v>11.61</v>
      </c>
      <c r="R60" s="652"/>
      <c r="S60" s="645" t="s">
        <v>5544</v>
      </c>
      <c r="T60" s="696">
        <f t="shared" si="1"/>
        <v>0.388336225</v>
      </c>
      <c r="U60" s="634"/>
      <c r="V60" s="634"/>
      <c r="W60" s="634"/>
      <c r="X60" s="634"/>
      <c r="Y60" s="634"/>
      <c r="Z60" s="634"/>
    </row>
    <row r="61" ht="15.75" customHeight="1" outlineLevel="1">
      <c r="A61" s="643" t="s">
        <v>2712</v>
      </c>
      <c r="B61" s="643" t="s">
        <v>5545</v>
      </c>
      <c r="C61" s="643"/>
      <c r="D61" s="736"/>
      <c r="E61" s="743"/>
      <c r="F61" s="672" t="s">
        <v>2913</v>
      </c>
      <c r="G61" s="749" t="s">
        <v>5546</v>
      </c>
      <c r="H61" s="673" t="s">
        <v>2647</v>
      </c>
      <c r="I61" s="675">
        <v>0.21185341</v>
      </c>
      <c r="J61" s="675">
        <v>0.17930749</v>
      </c>
      <c r="K61" s="675">
        <v>0.023750636</v>
      </c>
      <c r="L61" s="675">
        <v>0.00879188787</v>
      </c>
      <c r="M61" s="673">
        <v>0.0</v>
      </c>
      <c r="N61" s="750">
        <v>0.0093562514</v>
      </c>
      <c r="O61" s="750">
        <v>0.008400718</v>
      </c>
      <c r="P61" s="751">
        <v>15.84549</v>
      </c>
      <c r="Q61" s="751">
        <v>11.61</v>
      </c>
      <c r="R61" s="652"/>
      <c r="S61" s="645" t="s">
        <v>5547</v>
      </c>
      <c r="T61" s="696">
        <f t="shared" si="1"/>
        <v>0.203058126</v>
      </c>
      <c r="U61" s="634"/>
      <c r="V61" s="634"/>
      <c r="W61" s="634"/>
      <c r="X61" s="634"/>
      <c r="Y61" s="634"/>
      <c r="Z61" s="634"/>
    </row>
    <row r="62" ht="15.75" customHeight="1" outlineLevel="1">
      <c r="A62" s="643" t="s">
        <v>2653</v>
      </c>
      <c r="B62" s="643" t="s">
        <v>5548</v>
      </c>
      <c r="C62" s="643"/>
      <c r="D62" s="736"/>
      <c r="E62" s="737" t="s">
        <v>5549</v>
      </c>
      <c r="F62" s="738" t="s">
        <v>405</v>
      </c>
      <c r="G62" s="739" t="s">
        <v>5550</v>
      </c>
      <c r="H62" s="661" t="s">
        <v>2647</v>
      </c>
      <c r="I62" s="663">
        <v>17.115474</v>
      </c>
      <c r="J62" s="663">
        <v>16.709245</v>
      </c>
      <c r="K62" s="663">
        <v>0.31253193</v>
      </c>
      <c r="L62" s="663">
        <v>0.093671157</v>
      </c>
      <c r="M62" s="661">
        <v>0.0</v>
      </c>
      <c r="N62" s="740">
        <v>1.1671656</v>
      </c>
      <c r="O62" s="740">
        <v>1.1250719</v>
      </c>
      <c r="P62" s="741">
        <v>1253.6895</v>
      </c>
      <c r="Q62" s="760">
        <v>24.28</v>
      </c>
      <c r="R62" s="652"/>
      <c r="S62" s="645" t="s">
        <v>5551</v>
      </c>
      <c r="T62" s="696">
        <f t="shared" si="1"/>
        <v>17.02177693</v>
      </c>
      <c r="U62" s="634"/>
      <c r="V62" s="634"/>
      <c r="W62" s="634"/>
      <c r="X62" s="634"/>
      <c r="Y62" s="634"/>
      <c r="Z62" s="634"/>
    </row>
    <row r="63" ht="15.75" customHeight="1" outlineLevel="1">
      <c r="A63" s="643" t="s">
        <v>2653</v>
      </c>
      <c r="B63" s="643" t="s">
        <v>5552</v>
      </c>
      <c r="C63" s="643"/>
      <c r="D63" s="736"/>
      <c r="E63" s="743"/>
      <c r="F63" s="744" t="s">
        <v>2912</v>
      </c>
      <c r="G63" s="745" t="s">
        <v>5553</v>
      </c>
      <c r="H63" s="667" t="s">
        <v>2647</v>
      </c>
      <c r="I63" s="669">
        <v>16.329336</v>
      </c>
      <c r="J63" s="669">
        <v>16.146659</v>
      </c>
      <c r="K63" s="669">
        <v>0.14128428</v>
      </c>
      <c r="L63" s="669">
        <v>0.0413678651</v>
      </c>
      <c r="M63" s="667">
        <v>0.0</v>
      </c>
      <c r="N63" s="746">
        <v>1.1269133</v>
      </c>
      <c r="O63" s="746">
        <v>1.0874597</v>
      </c>
      <c r="P63" s="747">
        <v>1212.2965</v>
      </c>
      <c r="Q63" s="761">
        <v>24.28</v>
      </c>
      <c r="R63" s="652"/>
      <c r="S63" s="645" t="s">
        <v>5554</v>
      </c>
      <c r="T63" s="696">
        <f t="shared" si="1"/>
        <v>16.28794328</v>
      </c>
      <c r="U63" s="634"/>
      <c r="V63" s="634"/>
      <c r="W63" s="634"/>
      <c r="X63" s="634"/>
      <c r="Y63" s="634"/>
      <c r="Z63" s="634"/>
    </row>
    <row r="64" ht="15.75" customHeight="1" outlineLevel="1">
      <c r="A64" s="643" t="s">
        <v>2653</v>
      </c>
      <c r="B64" s="643" t="s">
        <v>5555</v>
      </c>
      <c r="C64" s="643"/>
      <c r="D64" s="736"/>
      <c r="E64" s="743"/>
      <c r="F64" s="744" t="s">
        <v>2914</v>
      </c>
      <c r="G64" s="745" t="s">
        <v>5556</v>
      </c>
      <c r="H64" s="667" t="s">
        <v>2647</v>
      </c>
      <c r="I64" s="669">
        <v>0.74543981</v>
      </c>
      <c r="J64" s="669">
        <v>0.53381163</v>
      </c>
      <c r="K64" s="669">
        <v>0.16281397</v>
      </c>
      <c r="L64" s="669">
        <v>0.0488137936</v>
      </c>
      <c r="M64" s="667">
        <v>0.0</v>
      </c>
      <c r="N64" s="746">
        <v>0.038012135</v>
      </c>
      <c r="O64" s="746">
        <v>0.035535723</v>
      </c>
      <c r="P64" s="747">
        <v>38.96754</v>
      </c>
      <c r="Q64" s="761">
        <v>24.28</v>
      </c>
      <c r="R64" s="652"/>
      <c r="S64" s="645" t="s">
        <v>5557</v>
      </c>
      <c r="T64" s="696">
        <f t="shared" si="1"/>
        <v>0.6966256</v>
      </c>
      <c r="U64" s="634"/>
      <c r="V64" s="634"/>
      <c r="W64" s="634"/>
      <c r="X64" s="634"/>
      <c r="Y64" s="634"/>
      <c r="Z64" s="634"/>
    </row>
    <row r="65" ht="15.75" customHeight="1" outlineLevel="1">
      <c r="A65" s="643" t="s">
        <v>2653</v>
      </c>
      <c r="B65" s="643" t="s">
        <v>5558</v>
      </c>
      <c r="C65" s="643"/>
      <c r="D65" s="736"/>
      <c r="E65" s="743"/>
      <c r="F65" s="672" t="s">
        <v>2913</v>
      </c>
      <c r="G65" s="749" t="s">
        <v>5559</v>
      </c>
      <c r="H65" s="673" t="s">
        <v>2647</v>
      </c>
      <c r="I65" s="675">
        <v>0.040697222</v>
      </c>
      <c r="J65" s="675">
        <v>0.028773999</v>
      </c>
      <c r="K65" s="675">
        <v>0.0084336766</v>
      </c>
      <c r="L65" s="675">
        <v>0.00348949762</v>
      </c>
      <c r="M65" s="673">
        <v>0.0</v>
      </c>
      <c r="N65" s="750">
        <v>0.0022401889</v>
      </c>
      <c r="O65" s="750">
        <v>0.0020764338</v>
      </c>
      <c r="P65" s="751">
        <v>2.4254792</v>
      </c>
      <c r="Q65" s="762">
        <v>24.28</v>
      </c>
      <c r="R65" s="652"/>
      <c r="S65" s="645" t="s">
        <v>5560</v>
      </c>
      <c r="T65" s="696">
        <f t="shared" si="1"/>
        <v>0.0372076756</v>
      </c>
      <c r="U65" s="634"/>
      <c r="V65" s="634"/>
      <c r="W65" s="634"/>
      <c r="X65" s="634"/>
      <c r="Y65" s="634"/>
      <c r="Z65" s="634"/>
    </row>
    <row r="66" ht="15.75" customHeight="1" outlineLevel="1">
      <c r="A66" s="643" t="s">
        <v>2658</v>
      </c>
      <c r="B66" s="643" t="s">
        <v>5561</v>
      </c>
      <c r="C66" s="643"/>
      <c r="D66" s="736"/>
      <c r="E66" s="737" t="s">
        <v>5562</v>
      </c>
      <c r="F66" s="738" t="s">
        <v>405</v>
      </c>
      <c r="G66" s="739" t="s">
        <v>5563</v>
      </c>
      <c r="H66" s="661" t="s">
        <v>2647</v>
      </c>
      <c r="I66" s="663">
        <v>34.254421</v>
      </c>
      <c r="J66" s="663">
        <v>31.323855</v>
      </c>
      <c r="K66" s="663">
        <v>2.2552688</v>
      </c>
      <c r="L66" s="663">
        <v>0.6752539900000001</v>
      </c>
      <c r="M66" s="661">
        <v>0.0</v>
      </c>
      <c r="N66" s="740">
        <v>2.1958208</v>
      </c>
      <c r="O66" s="740">
        <v>2.1045726</v>
      </c>
      <c r="P66" s="741">
        <v>2330.796</v>
      </c>
      <c r="Q66" s="760">
        <v>1.0</v>
      </c>
      <c r="R66" s="652"/>
      <c r="S66" s="645" t="s">
        <v>5564</v>
      </c>
      <c r="T66" s="696">
        <f t="shared" si="1"/>
        <v>33.5791238</v>
      </c>
      <c r="U66" s="634"/>
      <c r="V66" s="634"/>
      <c r="W66" s="634"/>
      <c r="X66" s="634"/>
      <c r="Y66" s="634"/>
      <c r="Z66" s="634"/>
    </row>
    <row r="67" ht="15.75" customHeight="1" outlineLevel="1">
      <c r="A67" s="643" t="s">
        <v>2658</v>
      </c>
      <c r="B67" s="643" t="s">
        <v>5565</v>
      </c>
      <c r="C67" s="643"/>
      <c r="D67" s="736"/>
      <c r="E67" s="743"/>
      <c r="F67" s="744" t="s">
        <v>2912</v>
      </c>
      <c r="G67" s="745" t="s">
        <v>5566</v>
      </c>
      <c r="H67" s="667" t="s">
        <v>2647</v>
      </c>
      <c r="I67" s="669">
        <v>24.913911</v>
      </c>
      <c r="J67" s="669">
        <v>24.635198</v>
      </c>
      <c r="K67" s="669">
        <v>0.21555953</v>
      </c>
      <c r="L67" s="669">
        <v>0.0631155655</v>
      </c>
      <c r="M67" s="667">
        <v>0.0</v>
      </c>
      <c r="N67" s="746">
        <v>1.7193369</v>
      </c>
      <c r="O67" s="746">
        <v>1.659142</v>
      </c>
      <c r="P67" s="747">
        <v>1842.251</v>
      </c>
      <c r="Q67" s="761">
        <v>1.0</v>
      </c>
      <c r="R67" s="652"/>
      <c r="S67" s="645" t="s">
        <v>5567</v>
      </c>
      <c r="T67" s="696">
        <f t="shared" si="1"/>
        <v>24.85075753</v>
      </c>
      <c r="U67" s="634"/>
      <c r="V67" s="634"/>
      <c r="W67" s="634"/>
      <c r="X67" s="634"/>
      <c r="Y67" s="634"/>
      <c r="Z67" s="634"/>
    </row>
    <row r="68" ht="15.75" customHeight="1" outlineLevel="1">
      <c r="A68" s="643" t="s">
        <v>2658</v>
      </c>
      <c r="B68" s="643" t="s">
        <v>5568</v>
      </c>
      <c r="C68" s="643"/>
      <c r="D68" s="736"/>
      <c r="E68" s="743"/>
      <c r="F68" s="744" t="s">
        <v>2914</v>
      </c>
      <c r="G68" s="745" t="s">
        <v>5569</v>
      </c>
      <c r="H68" s="667" t="s">
        <v>2647</v>
      </c>
      <c r="I68" s="669">
        <v>9.3023371</v>
      </c>
      <c r="J68" s="669">
        <v>6.6614308</v>
      </c>
      <c r="K68" s="669">
        <v>2.0317542</v>
      </c>
      <c r="L68" s="669">
        <v>0.60914692</v>
      </c>
      <c r="M68" s="667">
        <v>0.0</v>
      </c>
      <c r="N68" s="746">
        <v>0.47435311</v>
      </c>
      <c r="O68" s="746">
        <v>0.44344999</v>
      </c>
      <c r="P68" s="747">
        <v>486.27561</v>
      </c>
      <c r="Q68" s="761">
        <v>1.0</v>
      </c>
      <c r="R68" s="652"/>
      <c r="S68" s="645" t="s">
        <v>5570</v>
      </c>
      <c r="T68" s="696">
        <f t="shared" si="1"/>
        <v>8.693185</v>
      </c>
      <c r="U68" s="634"/>
      <c r="V68" s="634"/>
      <c r="W68" s="634"/>
      <c r="X68" s="634"/>
      <c r="Y68" s="634"/>
      <c r="Z68" s="634"/>
    </row>
    <row r="69" ht="15.75" customHeight="1" outlineLevel="1">
      <c r="A69" s="643" t="s">
        <v>2658</v>
      </c>
      <c r="B69" s="643" t="s">
        <v>5571</v>
      </c>
      <c r="C69" s="643"/>
      <c r="D69" s="736"/>
      <c r="E69" s="743"/>
      <c r="F69" s="672" t="s">
        <v>2913</v>
      </c>
      <c r="G69" s="749" t="s">
        <v>5572</v>
      </c>
      <c r="H69" s="673" t="s">
        <v>2647</v>
      </c>
      <c r="I69" s="675">
        <v>0.038172902</v>
      </c>
      <c r="J69" s="675">
        <v>0.027226284</v>
      </c>
      <c r="K69" s="675">
        <v>0.0079550696</v>
      </c>
      <c r="L69" s="675">
        <v>0.0029915104000000003</v>
      </c>
      <c r="M69" s="673">
        <v>0.0</v>
      </c>
      <c r="N69" s="750">
        <v>0.0021308042</v>
      </c>
      <c r="O69" s="750">
        <v>0.0019806609</v>
      </c>
      <c r="P69" s="751">
        <v>2.2694738</v>
      </c>
      <c r="Q69" s="762">
        <v>1.0</v>
      </c>
      <c r="R69" s="652"/>
      <c r="S69" s="645" t="s">
        <v>5573</v>
      </c>
      <c r="T69" s="696">
        <f t="shared" si="1"/>
        <v>0.0351813536</v>
      </c>
      <c r="U69" s="634"/>
      <c r="V69" s="634"/>
      <c r="W69" s="634"/>
      <c r="X69" s="634"/>
      <c r="Y69" s="634"/>
      <c r="Z69" s="634"/>
    </row>
    <row r="70" ht="15.75" customHeight="1" outlineLevel="1">
      <c r="A70" s="643" t="s">
        <v>2663</v>
      </c>
      <c r="B70" s="643" t="s">
        <v>5574</v>
      </c>
      <c r="C70" s="643"/>
      <c r="D70" s="736"/>
      <c r="E70" s="737" t="s">
        <v>5575</v>
      </c>
      <c r="F70" s="738" t="s">
        <v>405</v>
      </c>
      <c r="G70" s="739" t="s">
        <v>5576</v>
      </c>
      <c r="H70" s="661" t="s">
        <v>2647</v>
      </c>
      <c r="I70" s="663">
        <v>16.129457</v>
      </c>
      <c r="J70" s="663">
        <v>15.869896</v>
      </c>
      <c r="K70" s="663">
        <v>0.19985033</v>
      </c>
      <c r="L70" s="663">
        <v>0.0596861421</v>
      </c>
      <c r="M70" s="661">
        <v>0.0</v>
      </c>
      <c r="N70" s="740">
        <v>1.1080323</v>
      </c>
      <c r="O70" s="740">
        <v>1.0687782</v>
      </c>
      <c r="P70" s="741">
        <v>1191.7389</v>
      </c>
      <c r="Q70" s="760">
        <v>25.0</v>
      </c>
      <c r="R70" s="652"/>
      <c r="S70" s="645" t="s">
        <v>5577</v>
      </c>
      <c r="T70" s="696">
        <f t="shared" si="1"/>
        <v>16.06974633</v>
      </c>
      <c r="U70" s="634"/>
      <c r="V70" s="634"/>
      <c r="W70" s="634"/>
      <c r="X70" s="634"/>
      <c r="Y70" s="634"/>
      <c r="Z70" s="634"/>
    </row>
    <row r="71" ht="15.75" customHeight="1" outlineLevel="1">
      <c r="A71" s="643" t="s">
        <v>2663</v>
      </c>
      <c r="B71" s="643" t="s">
        <v>5578</v>
      </c>
      <c r="C71" s="643"/>
      <c r="D71" s="736"/>
      <c r="E71" s="743"/>
      <c r="F71" s="744" t="s">
        <v>2912</v>
      </c>
      <c r="G71" s="745" t="s">
        <v>5579</v>
      </c>
      <c r="H71" s="667" t="s">
        <v>2647</v>
      </c>
      <c r="I71" s="669">
        <v>15.839308</v>
      </c>
      <c r="J71" s="669">
        <v>15.662113</v>
      </c>
      <c r="K71" s="669">
        <v>0.13704447</v>
      </c>
      <c r="L71" s="669">
        <v>0.0401264529</v>
      </c>
      <c r="M71" s="667">
        <v>0.0</v>
      </c>
      <c r="N71" s="746">
        <v>1.0930914</v>
      </c>
      <c r="O71" s="746">
        <v>1.0548218</v>
      </c>
      <c r="P71" s="747">
        <v>1176.337</v>
      </c>
      <c r="Q71" s="761">
        <v>25.0</v>
      </c>
      <c r="R71" s="652"/>
      <c r="S71" s="645" t="s">
        <v>5580</v>
      </c>
      <c r="T71" s="696">
        <f t="shared" si="1"/>
        <v>15.79915747</v>
      </c>
      <c r="U71" s="634"/>
      <c r="V71" s="634"/>
      <c r="W71" s="634"/>
      <c r="X71" s="634"/>
      <c r="Y71" s="634"/>
      <c r="Z71" s="634"/>
    </row>
    <row r="72" ht="15.75" customHeight="1" outlineLevel="1">
      <c r="A72" s="643" t="s">
        <v>2663</v>
      </c>
      <c r="B72" s="643" t="s">
        <v>5581</v>
      </c>
      <c r="C72" s="643"/>
      <c r="D72" s="736"/>
      <c r="E72" s="743"/>
      <c r="F72" s="744" t="s">
        <v>2914</v>
      </c>
      <c r="G72" s="745" t="s">
        <v>5582</v>
      </c>
      <c r="H72" s="667" t="s">
        <v>2647</v>
      </c>
      <c r="I72" s="669">
        <v>0.25808504</v>
      </c>
      <c r="J72" s="669">
        <v>0.18481545</v>
      </c>
      <c r="K72" s="669">
        <v>0.056369208</v>
      </c>
      <c r="L72" s="669">
        <v>0.0169002379</v>
      </c>
      <c r="M72" s="667">
        <v>0.0</v>
      </c>
      <c r="N72" s="746">
        <v>0.013160504</v>
      </c>
      <c r="O72" s="746">
        <v>0.012303124</v>
      </c>
      <c r="P72" s="747">
        <v>13.491283</v>
      </c>
      <c r="Q72" s="761">
        <v>25.0</v>
      </c>
      <c r="R72" s="652"/>
      <c r="S72" s="645" t="s">
        <v>5583</v>
      </c>
      <c r="T72" s="696">
        <f t="shared" si="1"/>
        <v>0.241184658</v>
      </c>
      <c r="U72" s="634"/>
      <c r="V72" s="634"/>
      <c r="W72" s="634"/>
      <c r="X72" s="634"/>
      <c r="Y72" s="634"/>
      <c r="Z72" s="634"/>
    </row>
    <row r="73" ht="15.75" customHeight="1" outlineLevel="1">
      <c r="A73" s="643" t="s">
        <v>2663</v>
      </c>
      <c r="B73" s="643" t="s">
        <v>5584</v>
      </c>
      <c r="C73" s="643"/>
      <c r="D73" s="671"/>
      <c r="E73" s="763"/>
      <c r="F73" s="672" t="s">
        <v>2913</v>
      </c>
      <c r="G73" s="749" t="s">
        <v>5585</v>
      </c>
      <c r="H73" s="673" t="s">
        <v>2647</v>
      </c>
      <c r="I73" s="675">
        <v>0.03206369</v>
      </c>
      <c r="J73" s="675">
        <v>0.022967544</v>
      </c>
      <c r="K73" s="675">
        <v>0.0064366568</v>
      </c>
      <c r="L73" s="675">
        <v>0.00265945098</v>
      </c>
      <c r="M73" s="673">
        <v>0.0</v>
      </c>
      <c r="N73" s="750">
        <v>0.0017804324</v>
      </c>
      <c r="O73" s="750">
        <v>0.0016532623</v>
      </c>
      <c r="P73" s="751">
        <v>1.9106467</v>
      </c>
      <c r="Q73" s="762">
        <v>25.0</v>
      </c>
      <c r="R73" s="652"/>
      <c r="S73" s="645" t="s">
        <v>5586</v>
      </c>
      <c r="T73" s="696">
        <f t="shared" si="1"/>
        <v>0.0294042008</v>
      </c>
      <c r="U73" s="634"/>
      <c r="V73" s="634"/>
      <c r="W73" s="634"/>
      <c r="X73" s="634"/>
      <c r="Y73" s="634"/>
      <c r="Z73" s="634"/>
    </row>
    <row r="74" ht="15.75" customHeight="1">
      <c r="A74" s="643" t="s">
        <v>2726</v>
      </c>
      <c r="B74" s="643" t="s">
        <v>5587</v>
      </c>
      <c r="C74" s="643"/>
      <c r="D74" s="764" t="s">
        <v>2990</v>
      </c>
      <c r="E74" s="737" t="s">
        <v>2993</v>
      </c>
      <c r="F74" s="738" t="s">
        <v>405</v>
      </c>
      <c r="G74" s="739" t="s">
        <v>5588</v>
      </c>
      <c r="H74" s="661" t="s">
        <v>2719</v>
      </c>
      <c r="I74" s="663">
        <v>0.63705637</v>
      </c>
      <c r="J74" s="663">
        <v>0.073491895</v>
      </c>
      <c r="K74" s="663">
        <v>0.33585644</v>
      </c>
      <c r="L74" s="663">
        <v>0.22770778154000001</v>
      </c>
      <c r="M74" s="661">
        <v>0.0</v>
      </c>
      <c r="N74" s="740">
        <v>0.006443322</v>
      </c>
      <c r="O74" s="740">
        <v>0.0057432967</v>
      </c>
      <c r="P74" s="741">
        <v>30.689696</v>
      </c>
      <c r="Q74" s="754">
        <v>392.0</v>
      </c>
      <c r="R74" s="652"/>
      <c r="S74" s="645" t="s">
        <v>5589</v>
      </c>
      <c r="T74" s="696">
        <f t="shared" si="1"/>
        <v>0.409348335</v>
      </c>
      <c r="U74" s="634"/>
      <c r="V74" s="634"/>
      <c r="W74" s="634"/>
      <c r="X74" s="634"/>
      <c r="Y74" s="634"/>
      <c r="Z74" s="634"/>
    </row>
    <row r="75" ht="15.75" customHeight="1" outlineLevel="1">
      <c r="A75" s="643" t="s">
        <v>2726</v>
      </c>
      <c r="B75" s="643" t="s">
        <v>5590</v>
      </c>
      <c r="C75" s="643"/>
      <c r="D75" s="736"/>
      <c r="E75" s="743"/>
      <c r="F75" s="744" t="s">
        <v>2912</v>
      </c>
      <c r="G75" s="745" t="s">
        <v>5591</v>
      </c>
      <c r="H75" s="667" t="s">
        <v>2719</v>
      </c>
      <c r="I75" s="669">
        <v>0.49911561</v>
      </c>
      <c r="J75" s="669">
        <v>0.0050953703</v>
      </c>
      <c r="K75" s="669">
        <v>0.28037086</v>
      </c>
      <c r="L75" s="669">
        <v>0.21364937276</v>
      </c>
      <c r="M75" s="667">
        <v>0.0</v>
      </c>
      <c r="N75" s="746">
        <v>7.1752239E-4</v>
      </c>
      <c r="O75" s="746">
        <v>4.7078894E-4</v>
      </c>
      <c r="P75" s="747">
        <v>18.191263</v>
      </c>
      <c r="Q75" s="755">
        <v>392.0</v>
      </c>
      <c r="R75" s="652"/>
      <c r="S75" s="645" t="s">
        <v>5592</v>
      </c>
      <c r="T75" s="696">
        <f t="shared" si="1"/>
        <v>0.2854662303</v>
      </c>
      <c r="U75" s="634"/>
      <c r="V75" s="634"/>
      <c r="W75" s="634"/>
      <c r="X75" s="634"/>
      <c r="Y75" s="634"/>
      <c r="Z75" s="634"/>
    </row>
    <row r="76" ht="15.75" customHeight="1" outlineLevel="1">
      <c r="A76" s="643" t="s">
        <v>2726</v>
      </c>
      <c r="B76" s="643" t="s">
        <v>5593</v>
      </c>
      <c r="C76" s="643"/>
      <c r="D76" s="736"/>
      <c r="E76" s="743"/>
      <c r="F76" s="744" t="s">
        <v>2914</v>
      </c>
      <c r="G76" s="745" t="s">
        <v>5594</v>
      </c>
      <c r="H76" s="667" t="s">
        <v>2719</v>
      </c>
      <c r="I76" s="669">
        <v>0.12428696</v>
      </c>
      <c r="J76" s="669">
        <v>0.059005092</v>
      </c>
      <c r="K76" s="669">
        <v>0.052669961</v>
      </c>
      <c r="L76" s="669">
        <v>0.012611770889999999</v>
      </c>
      <c r="M76" s="667">
        <v>0.0</v>
      </c>
      <c r="N76" s="746">
        <v>0.0051680641</v>
      </c>
      <c r="O76" s="746">
        <v>0.0047736611</v>
      </c>
      <c r="P76" s="747">
        <v>11.632082</v>
      </c>
      <c r="Q76" s="755">
        <v>392.0</v>
      </c>
      <c r="R76" s="652"/>
      <c r="S76" s="645" t="s">
        <v>5595</v>
      </c>
      <c r="T76" s="696">
        <f t="shared" si="1"/>
        <v>0.111675053</v>
      </c>
      <c r="U76" s="634"/>
      <c r="V76" s="634"/>
      <c r="W76" s="634"/>
      <c r="X76" s="634"/>
      <c r="Y76" s="634"/>
      <c r="Z76" s="634"/>
    </row>
    <row r="77" ht="15.75" customHeight="1" outlineLevel="1">
      <c r="A77" s="643" t="s">
        <v>2726</v>
      </c>
      <c r="B77" s="643" t="s">
        <v>5596</v>
      </c>
      <c r="C77" s="643"/>
      <c r="D77" s="736"/>
      <c r="E77" s="753"/>
      <c r="F77" s="672" t="s">
        <v>2913</v>
      </c>
      <c r="G77" s="749" t="s">
        <v>5597</v>
      </c>
      <c r="H77" s="673" t="s">
        <v>2719</v>
      </c>
      <c r="I77" s="675">
        <v>0.013653798</v>
      </c>
      <c r="J77" s="675">
        <v>0.0093914323</v>
      </c>
      <c r="K77" s="675">
        <v>0.0028156266</v>
      </c>
      <c r="L77" s="675">
        <v>0.001446639269</v>
      </c>
      <c r="M77" s="673">
        <v>0.0</v>
      </c>
      <c r="N77" s="750">
        <v>5.5773555E-4</v>
      </c>
      <c r="O77" s="750">
        <v>4.9884669E-4</v>
      </c>
      <c r="P77" s="751">
        <v>0.86635119</v>
      </c>
      <c r="Q77" s="756">
        <v>392.0</v>
      </c>
      <c r="R77" s="652"/>
      <c r="S77" s="645" t="s">
        <v>5598</v>
      </c>
      <c r="T77" s="696">
        <f t="shared" si="1"/>
        <v>0.0122070589</v>
      </c>
      <c r="U77" s="634"/>
      <c r="V77" s="634"/>
      <c r="W77" s="634"/>
      <c r="X77" s="634"/>
      <c r="Y77" s="634"/>
      <c r="Z77" s="634"/>
    </row>
    <row r="78" ht="15.75" customHeight="1" outlineLevel="1">
      <c r="A78" s="643" t="s">
        <v>2732</v>
      </c>
      <c r="B78" s="643" t="s">
        <v>5599</v>
      </c>
      <c r="C78" s="643"/>
      <c r="D78" s="736"/>
      <c r="E78" s="737" t="s">
        <v>2995</v>
      </c>
      <c r="F78" s="738" t="s">
        <v>405</v>
      </c>
      <c r="G78" s="739" t="s">
        <v>5600</v>
      </c>
      <c r="H78" s="661" t="s">
        <v>2719</v>
      </c>
      <c r="I78" s="663">
        <v>1.0409895</v>
      </c>
      <c r="J78" s="663">
        <v>0.70789912</v>
      </c>
      <c r="K78" s="663">
        <v>0.26827262</v>
      </c>
      <c r="L78" s="663">
        <v>0.06481728</v>
      </c>
      <c r="M78" s="661">
        <v>0.0</v>
      </c>
      <c r="N78" s="740">
        <v>0.062261593</v>
      </c>
      <c r="O78" s="740">
        <v>0.057801363</v>
      </c>
      <c r="P78" s="741">
        <v>63.525267</v>
      </c>
      <c r="Q78" s="754">
        <v>309.0</v>
      </c>
      <c r="R78" s="652"/>
      <c r="S78" s="645" t="s">
        <v>5601</v>
      </c>
      <c r="T78" s="696">
        <f t="shared" si="1"/>
        <v>0.97617174</v>
      </c>
      <c r="U78" s="634"/>
      <c r="V78" s="634"/>
      <c r="W78" s="634"/>
      <c r="X78" s="634"/>
      <c r="Y78" s="634"/>
      <c r="Z78" s="634"/>
    </row>
    <row r="79" ht="15.75" customHeight="1" outlineLevel="1">
      <c r="A79" s="643" t="s">
        <v>2732</v>
      </c>
      <c r="B79" s="643" t="s">
        <v>5602</v>
      </c>
      <c r="C79" s="643"/>
      <c r="D79" s="736"/>
      <c r="E79" s="743"/>
      <c r="F79" s="744" t="s">
        <v>2912</v>
      </c>
      <c r="G79" s="745" t="s">
        <v>5603</v>
      </c>
      <c r="H79" s="667" t="s">
        <v>2719</v>
      </c>
      <c r="I79" s="669">
        <v>0.92190401</v>
      </c>
      <c r="J79" s="669">
        <v>0.60788259</v>
      </c>
      <c r="K79" s="669">
        <v>0.25449888</v>
      </c>
      <c r="L79" s="669">
        <v>0.05952235</v>
      </c>
      <c r="M79" s="667">
        <v>0.0</v>
      </c>
      <c r="N79" s="746">
        <v>0.053944374</v>
      </c>
      <c r="O79" s="746">
        <v>0.050136971</v>
      </c>
      <c r="P79" s="747">
        <v>47.468578</v>
      </c>
      <c r="Q79" s="755">
        <v>309.0</v>
      </c>
      <c r="R79" s="652"/>
      <c r="S79" s="645" t="s">
        <v>5604</v>
      </c>
      <c r="T79" s="696">
        <f t="shared" si="1"/>
        <v>0.86238147</v>
      </c>
      <c r="U79" s="634"/>
      <c r="V79" s="634"/>
      <c r="W79" s="634"/>
      <c r="X79" s="634"/>
      <c r="Y79" s="634"/>
      <c r="Z79" s="634"/>
    </row>
    <row r="80" ht="15.75" customHeight="1" outlineLevel="1">
      <c r="A80" s="643" t="s">
        <v>2732</v>
      </c>
      <c r="B80" s="643" t="s">
        <v>5605</v>
      </c>
      <c r="C80" s="643"/>
      <c r="D80" s="736"/>
      <c r="E80" s="743"/>
      <c r="F80" s="744" t="s">
        <v>2914</v>
      </c>
      <c r="G80" s="745" t="s">
        <v>5606</v>
      </c>
      <c r="H80" s="667" t="s">
        <v>2719</v>
      </c>
      <c r="I80" s="669">
        <v>0.094709396</v>
      </c>
      <c r="J80" s="669">
        <v>0.080787438</v>
      </c>
      <c r="K80" s="669">
        <v>0.010232214</v>
      </c>
      <c r="L80" s="669">
        <v>0.00368959182</v>
      </c>
      <c r="M80" s="667">
        <v>0.0</v>
      </c>
      <c r="N80" s="746">
        <v>0.007012753</v>
      </c>
      <c r="O80" s="746">
        <v>0.0065032205</v>
      </c>
      <c r="P80" s="747">
        <v>14.112546</v>
      </c>
      <c r="Q80" s="755">
        <v>309.0</v>
      </c>
      <c r="R80" s="652"/>
      <c r="S80" s="645" t="s">
        <v>5607</v>
      </c>
      <c r="T80" s="696">
        <f t="shared" si="1"/>
        <v>0.091019652</v>
      </c>
      <c r="U80" s="634"/>
      <c r="V80" s="634"/>
      <c r="W80" s="634"/>
      <c r="X80" s="634"/>
      <c r="Y80" s="634"/>
      <c r="Z80" s="634"/>
    </row>
    <row r="81" ht="15.75" customHeight="1" outlineLevel="1">
      <c r="A81" s="643" t="s">
        <v>2732</v>
      </c>
      <c r="B81" s="643" t="s">
        <v>5608</v>
      </c>
      <c r="C81" s="643"/>
      <c r="D81" s="736"/>
      <c r="E81" s="743"/>
      <c r="F81" s="672" t="s">
        <v>2913</v>
      </c>
      <c r="G81" s="749" t="s">
        <v>5609</v>
      </c>
      <c r="H81" s="673" t="s">
        <v>2719</v>
      </c>
      <c r="I81" s="675">
        <v>0.024376076</v>
      </c>
      <c r="J81" s="675">
        <v>0.019229085</v>
      </c>
      <c r="K81" s="675">
        <v>0.0035415274</v>
      </c>
      <c r="L81" s="675">
        <v>0.00160533756</v>
      </c>
      <c r="M81" s="673">
        <v>0.0</v>
      </c>
      <c r="N81" s="750">
        <v>0.0013044653</v>
      </c>
      <c r="O81" s="750">
        <v>0.0011611714</v>
      </c>
      <c r="P81" s="751">
        <v>1.9441427</v>
      </c>
      <c r="Q81" s="756">
        <v>309.0</v>
      </c>
      <c r="R81" s="652"/>
      <c r="S81" s="645" t="s">
        <v>5610</v>
      </c>
      <c r="T81" s="696">
        <f t="shared" si="1"/>
        <v>0.0227706124</v>
      </c>
      <c r="U81" s="634"/>
      <c r="V81" s="634"/>
      <c r="W81" s="634"/>
      <c r="X81" s="634"/>
      <c r="Y81" s="634"/>
      <c r="Z81" s="634"/>
    </row>
    <row r="82" ht="15.75" customHeight="1" outlineLevel="1">
      <c r="A82" s="643" t="s">
        <v>2720</v>
      </c>
      <c r="B82" s="643" t="s">
        <v>5611</v>
      </c>
      <c r="C82" s="643"/>
      <c r="D82" s="736"/>
      <c r="E82" s="737" t="s">
        <v>2992</v>
      </c>
      <c r="F82" s="738" t="s">
        <v>405</v>
      </c>
      <c r="G82" s="739" t="s">
        <v>5612</v>
      </c>
      <c r="H82" s="661" t="s">
        <v>2719</v>
      </c>
      <c r="I82" s="663">
        <v>1.6607469</v>
      </c>
      <c r="J82" s="663">
        <v>1.5400142</v>
      </c>
      <c r="K82" s="663">
        <v>0.095680012</v>
      </c>
      <c r="L82" s="663">
        <v>0.0250504553</v>
      </c>
      <c r="M82" s="661">
        <v>0.0</v>
      </c>
      <c r="N82" s="740">
        <v>0.10401694</v>
      </c>
      <c r="O82" s="740">
        <v>0.099189228</v>
      </c>
      <c r="P82" s="741">
        <v>147.87991</v>
      </c>
      <c r="Q82" s="741">
        <v>14.0</v>
      </c>
      <c r="R82" s="652"/>
      <c r="S82" s="645" t="s">
        <v>5613</v>
      </c>
      <c r="T82" s="696">
        <f t="shared" si="1"/>
        <v>1.635694212</v>
      </c>
      <c r="U82" s="634"/>
      <c r="V82" s="634"/>
      <c r="W82" s="634"/>
      <c r="X82" s="634"/>
      <c r="Y82" s="634"/>
      <c r="Z82" s="634"/>
    </row>
    <row r="83" ht="15.75" customHeight="1" outlineLevel="1">
      <c r="A83" s="643" t="s">
        <v>2720</v>
      </c>
      <c r="B83" s="643" t="s">
        <v>5614</v>
      </c>
      <c r="C83" s="643"/>
      <c r="D83" s="736"/>
      <c r="E83" s="743"/>
      <c r="F83" s="744" t="s">
        <v>2912</v>
      </c>
      <c r="G83" s="745" t="s">
        <v>5615</v>
      </c>
      <c r="H83" s="667" t="s">
        <v>2719</v>
      </c>
      <c r="I83" s="669">
        <v>1.3728767</v>
      </c>
      <c r="J83" s="669">
        <v>1.3565559</v>
      </c>
      <c r="K83" s="669">
        <v>0.012756826</v>
      </c>
      <c r="L83" s="669">
        <v>0.00356222025</v>
      </c>
      <c r="M83" s="667">
        <v>0.0</v>
      </c>
      <c r="N83" s="746">
        <v>0.09539069</v>
      </c>
      <c r="O83" s="746">
        <v>0.091386798</v>
      </c>
      <c r="P83" s="747">
        <v>130.58179</v>
      </c>
      <c r="Q83" s="747">
        <v>14.0</v>
      </c>
      <c r="R83" s="652"/>
      <c r="S83" s="645" t="s">
        <v>5616</v>
      </c>
      <c r="T83" s="696">
        <f t="shared" si="1"/>
        <v>1.369312726</v>
      </c>
      <c r="U83" s="634"/>
      <c r="V83" s="634"/>
      <c r="W83" s="634"/>
      <c r="X83" s="634"/>
      <c r="Y83" s="634"/>
      <c r="Z83" s="634"/>
    </row>
    <row r="84" ht="15.75" customHeight="1" outlineLevel="1">
      <c r="A84" s="643" t="s">
        <v>2720</v>
      </c>
      <c r="B84" s="643" t="s">
        <v>5617</v>
      </c>
      <c r="C84" s="643"/>
      <c r="D84" s="736"/>
      <c r="E84" s="743"/>
      <c r="F84" s="744" t="s">
        <v>2914</v>
      </c>
      <c r="G84" s="745" t="s">
        <v>5618</v>
      </c>
      <c r="H84" s="667" t="s">
        <v>2719</v>
      </c>
      <c r="I84" s="669">
        <v>0.17956531</v>
      </c>
      <c r="J84" s="669">
        <v>0.13178148</v>
      </c>
      <c r="K84" s="669">
        <v>0.038673854</v>
      </c>
      <c r="L84" s="669">
        <v>0.00910976508</v>
      </c>
      <c r="M84" s="667">
        <v>0.0</v>
      </c>
      <c r="N84" s="746">
        <v>0.0050621663</v>
      </c>
      <c r="O84" s="746">
        <v>0.0045634686</v>
      </c>
      <c r="P84" s="747">
        <v>10.837454</v>
      </c>
      <c r="Q84" s="747">
        <v>14.0</v>
      </c>
      <c r="R84" s="652"/>
      <c r="S84" s="645" t="s">
        <v>5619</v>
      </c>
      <c r="T84" s="696">
        <f t="shared" si="1"/>
        <v>0.170455334</v>
      </c>
      <c r="U84" s="634"/>
      <c r="V84" s="634"/>
      <c r="W84" s="634"/>
      <c r="X84" s="634"/>
      <c r="Y84" s="634"/>
      <c r="Z84" s="634"/>
    </row>
    <row r="85" ht="15.75" customHeight="1" outlineLevel="1">
      <c r="A85" s="643" t="s">
        <v>2720</v>
      </c>
      <c r="B85" s="643" t="s">
        <v>5620</v>
      </c>
      <c r="C85" s="643"/>
      <c r="D85" s="736"/>
      <c r="E85" s="743"/>
      <c r="F85" s="672" t="s">
        <v>2913</v>
      </c>
      <c r="G85" s="749" t="s">
        <v>5621</v>
      </c>
      <c r="H85" s="673" t="s">
        <v>2719</v>
      </c>
      <c r="I85" s="675">
        <v>0.10830486</v>
      </c>
      <c r="J85" s="675">
        <v>0.051676776</v>
      </c>
      <c r="K85" s="675">
        <v>0.044249333</v>
      </c>
      <c r="L85" s="675">
        <v>0.01237846997</v>
      </c>
      <c r="M85" s="673">
        <v>0.0</v>
      </c>
      <c r="N85" s="750">
        <v>0.0035640831</v>
      </c>
      <c r="O85" s="750">
        <v>0.0032389613</v>
      </c>
      <c r="P85" s="751">
        <v>6.4606722</v>
      </c>
      <c r="Q85" s="751">
        <v>14.0</v>
      </c>
      <c r="R85" s="652"/>
      <c r="S85" s="645" t="s">
        <v>5622</v>
      </c>
      <c r="T85" s="696">
        <f t="shared" si="1"/>
        <v>0.095926109</v>
      </c>
      <c r="U85" s="634"/>
      <c r="V85" s="634"/>
      <c r="W85" s="634"/>
      <c r="X85" s="634"/>
      <c r="Y85" s="634"/>
      <c r="Z85" s="634"/>
    </row>
    <row r="86" ht="15.75" customHeight="1" outlineLevel="1">
      <c r="A86" s="643" t="s">
        <v>2738</v>
      </c>
      <c r="B86" s="643" t="s">
        <v>5623</v>
      </c>
      <c r="C86" s="643"/>
      <c r="D86" s="736"/>
      <c r="E86" s="737" t="s">
        <v>5549</v>
      </c>
      <c r="F86" s="738" t="s">
        <v>405</v>
      </c>
      <c r="G86" s="739" t="s">
        <v>5624</v>
      </c>
      <c r="H86" s="661" t="s">
        <v>2719</v>
      </c>
      <c r="I86" s="663">
        <v>2.2297771</v>
      </c>
      <c r="J86" s="663">
        <v>2.109571</v>
      </c>
      <c r="K86" s="663">
        <v>0.092432109</v>
      </c>
      <c r="L86" s="663">
        <v>0.027770841399999996</v>
      </c>
      <c r="M86" s="661">
        <v>0.0</v>
      </c>
      <c r="N86" s="740">
        <v>0.1476203</v>
      </c>
      <c r="O86" s="740">
        <v>0.14191137</v>
      </c>
      <c r="P86" s="741">
        <v>157.71422</v>
      </c>
      <c r="Q86" s="754">
        <v>279.2</v>
      </c>
      <c r="R86" s="652"/>
      <c r="S86" s="645" t="s">
        <v>5625</v>
      </c>
      <c r="T86" s="696">
        <f t="shared" si="1"/>
        <v>2.202003109</v>
      </c>
      <c r="U86" s="634"/>
      <c r="V86" s="634"/>
      <c r="W86" s="634"/>
      <c r="X86" s="634"/>
      <c r="Y86" s="634"/>
      <c r="Z86" s="634"/>
    </row>
    <row r="87" ht="15.75" customHeight="1" outlineLevel="1">
      <c r="A87" s="643" t="s">
        <v>2738</v>
      </c>
      <c r="B87" s="643" t="s">
        <v>5626</v>
      </c>
      <c r="C87" s="643"/>
      <c r="D87" s="736"/>
      <c r="E87" s="743"/>
      <c r="F87" s="744" t="s">
        <v>2912</v>
      </c>
      <c r="G87" s="745" t="s">
        <v>5627</v>
      </c>
      <c r="H87" s="667" t="s">
        <v>2719</v>
      </c>
      <c r="I87" s="669">
        <v>1.8806978</v>
      </c>
      <c r="J87" s="669">
        <v>1.8596584</v>
      </c>
      <c r="K87" s="669">
        <v>0.016272127</v>
      </c>
      <c r="L87" s="669">
        <v>0.0047644589600000006</v>
      </c>
      <c r="M87" s="667">
        <v>0.0</v>
      </c>
      <c r="N87" s="746">
        <v>0.12978765</v>
      </c>
      <c r="O87" s="746">
        <v>0.12524368</v>
      </c>
      <c r="P87" s="747">
        <v>139.40993</v>
      </c>
      <c r="Q87" s="755">
        <v>279.2</v>
      </c>
      <c r="R87" s="652"/>
      <c r="S87" s="645" t="s">
        <v>5628</v>
      </c>
      <c r="T87" s="696">
        <f t="shared" si="1"/>
        <v>1.875930527</v>
      </c>
      <c r="U87" s="634"/>
      <c r="V87" s="634"/>
      <c r="W87" s="634"/>
      <c r="X87" s="634"/>
      <c r="Y87" s="634"/>
      <c r="Z87" s="634"/>
    </row>
    <row r="88" ht="15.75" customHeight="1" outlineLevel="1">
      <c r="A88" s="643" t="s">
        <v>2738</v>
      </c>
      <c r="B88" s="643" t="s">
        <v>5629</v>
      </c>
      <c r="C88" s="643"/>
      <c r="D88" s="736"/>
      <c r="E88" s="743"/>
      <c r="F88" s="744" t="s">
        <v>2914</v>
      </c>
      <c r="G88" s="745" t="s">
        <v>5630</v>
      </c>
      <c r="H88" s="667" t="s">
        <v>2719</v>
      </c>
      <c r="I88" s="669">
        <v>0.3413989</v>
      </c>
      <c r="J88" s="669">
        <v>0.24447675</v>
      </c>
      <c r="K88" s="669">
        <v>0.074566064</v>
      </c>
      <c r="L88" s="669">
        <v>0.022355897</v>
      </c>
      <c r="M88" s="667">
        <v>0.0</v>
      </c>
      <c r="N88" s="746">
        <v>0.017408919</v>
      </c>
      <c r="O88" s="746">
        <v>0.016274764</v>
      </c>
      <c r="P88" s="747">
        <v>17.846478</v>
      </c>
      <c r="Q88" s="755">
        <v>279.2</v>
      </c>
      <c r="R88" s="652"/>
      <c r="S88" s="645" t="s">
        <v>5631</v>
      </c>
      <c r="T88" s="696">
        <f t="shared" si="1"/>
        <v>0.319042814</v>
      </c>
      <c r="U88" s="634"/>
      <c r="V88" s="634"/>
      <c r="W88" s="634"/>
      <c r="X88" s="634"/>
      <c r="Y88" s="634"/>
      <c r="Z88" s="634"/>
    </row>
    <row r="89" ht="15.75" customHeight="1" outlineLevel="1">
      <c r="A89" s="643" t="s">
        <v>2738</v>
      </c>
      <c r="B89" s="643" t="s">
        <v>5632</v>
      </c>
      <c r="C89" s="643"/>
      <c r="D89" s="736"/>
      <c r="E89" s="743"/>
      <c r="F89" s="672" t="s">
        <v>2913</v>
      </c>
      <c r="G89" s="749" t="s">
        <v>5633</v>
      </c>
      <c r="H89" s="673" t="s">
        <v>2719</v>
      </c>
      <c r="I89" s="675">
        <v>0.0076803266</v>
      </c>
      <c r="J89" s="675">
        <v>0.0054359148</v>
      </c>
      <c r="K89" s="675">
        <v>0.0015939174</v>
      </c>
      <c r="L89" s="675">
        <v>6.50485608E-4</v>
      </c>
      <c r="M89" s="673">
        <v>0.0</v>
      </c>
      <c r="N89" s="750">
        <v>4.2373059E-4</v>
      </c>
      <c r="O89" s="750">
        <v>3.929328E-4</v>
      </c>
      <c r="P89" s="751">
        <v>0.45781832</v>
      </c>
      <c r="Q89" s="756">
        <v>279.2</v>
      </c>
      <c r="R89" s="652"/>
      <c r="S89" s="645" t="s">
        <v>5634</v>
      </c>
      <c r="T89" s="696">
        <f t="shared" si="1"/>
        <v>0.0070298322</v>
      </c>
      <c r="U89" s="634"/>
      <c r="V89" s="634"/>
      <c r="W89" s="634"/>
      <c r="X89" s="634"/>
      <c r="Y89" s="634"/>
      <c r="Z89" s="634"/>
    </row>
    <row r="90" ht="15.75" customHeight="1" outlineLevel="1">
      <c r="A90" s="643" t="s">
        <v>2744</v>
      </c>
      <c r="B90" s="643" t="s">
        <v>5635</v>
      </c>
      <c r="C90" s="643"/>
      <c r="D90" s="736"/>
      <c r="E90" s="737" t="s">
        <v>5562</v>
      </c>
      <c r="F90" s="738" t="s">
        <v>405</v>
      </c>
      <c r="G90" s="739" t="s">
        <v>5636</v>
      </c>
      <c r="H90" s="661" t="s">
        <v>2719</v>
      </c>
      <c r="I90" s="663">
        <v>3.4307793</v>
      </c>
      <c r="J90" s="663">
        <v>3.1361921</v>
      </c>
      <c r="K90" s="663">
        <v>0.22663912</v>
      </c>
      <c r="L90" s="663">
        <v>0.06794365699999999</v>
      </c>
      <c r="M90" s="661">
        <v>0.0</v>
      </c>
      <c r="N90" s="740">
        <v>0.21988</v>
      </c>
      <c r="O90" s="740">
        <v>0.21073419</v>
      </c>
      <c r="P90" s="741">
        <v>233.39691</v>
      </c>
      <c r="Q90" s="741">
        <v>65.0</v>
      </c>
      <c r="R90" s="652"/>
      <c r="S90" s="645" t="s">
        <v>5637</v>
      </c>
      <c r="T90" s="696">
        <f t="shared" si="1"/>
        <v>3.36283122</v>
      </c>
      <c r="U90" s="634"/>
      <c r="V90" s="634"/>
      <c r="W90" s="634"/>
      <c r="X90" s="634"/>
      <c r="Y90" s="634"/>
      <c r="Z90" s="634"/>
    </row>
    <row r="91" ht="15.75" customHeight="1" outlineLevel="1">
      <c r="A91" s="643" t="s">
        <v>2744</v>
      </c>
      <c r="B91" s="643" t="s">
        <v>5638</v>
      </c>
      <c r="C91" s="643"/>
      <c r="D91" s="736"/>
      <c r="E91" s="743"/>
      <c r="F91" s="744" t="s">
        <v>2912</v>
      </c>
      <c r="G91" s="745" t="s">
        <v>5639</v>
      </c>
      <c r="H91" s="667" t="s">
        <v>2719</v>
      </c>
      <c r="I91" s="669">
        <v>2.4913911</v>
      </c>
      <c r="J91" s="669">
        <v>2.4635198</v>
      </c>
      <c r="K91" s="669">
        <v>0.021555953</v>
      </c>
      <c r="L91" s="669">
        <v>0.00631155666</v>
      </c>
      <c r="M91" s="667">
        <v>0.0</v>
      </c>
      <c r="N91" s="746">
        <v>0.17193369</v>
      </c>
      <c r="O91" s="746">
        <v>0.1659142</v>
      </c>
      <c r="P91" s="747">
        <v>184.2251</v>
      </c>
      <c r="Q91" s="747">
        <v>65.0</v>
      </c>
      <c r="R91" s="652"/>
      <c r="S91" s="645" t="s">
        <v>5640</v>
      </c>
      <c r="T91" s="696">
        <f t="shared" si="1"/>
        <v>2.485075753</v>
      </c>
      <c r="U91" s="634"/>
      <c r="V91" s="634"/>
      <c r="W91" s="634"/>
      <c r="X91" s="634"/>
      <c r="Y91" s="634"/>
      <c r="Z91" s="634"/>
    </row>
    <row r="92" ht="15.75" customHeight="1" outlineLevel="1">
      <c r="A92" s="643" t="s">
        <v>2744</v>
      </c>
      <c r="B92" s="643" t="s">
        <v>5641</v>
      </c>
      <c r="C92" s="643"/>
      <c r="D92" s="736"/>
      <c r="E92" s="743"/>
      <c r="F92" s="744" t="s">
        <v>2914</v>
      </c>
      <c r="G92" s="745" t="s">
        <v>5642</v>
      </c>
      <c r="H92" s="667" t="s">
        <v>2719</v>
      </c>
      <c r="I92" s="669">
        <v>0.93023371</v>
      </c>
      <c r="J92" s="669">
        <v>0.66614308</v>
      </c>
      <c r="K92" s="669">
        <v>0.20317542</v>
      </c>
      <c r="L92" s="669">
        <v>0.060914692000000006</v>
      </c>
      <c r="M92" s="667">
        <v>0.0</v>
      </c>
      <c r="N92" s="746">
        <v>0.047435311</v>
      </c>
      <c r="O92" s="746">
        <v>0.044344999</v>
      </c>
      <c r="P92" s="747">
        <v>48.627561</v>
      </c>
      <c r="Q92" s="747">
        <v>65.0</v>
      </c>
      <c r="R92" s="652"/>
      <c r="S92" s="645" t="s">
        <v>5643</v>
      </c>
      <c r="T92" s="696">
        <f t="shared" si="1"/>
        <v>0.8693185</v>
      </c>
      <c r="U92" s="634"/>
      <c r="V92" s="634"/>
      <c r="W92" s="634"/>
      <c r="X92" s="634"/>
      <c r="Y92" s="634"/>
      <c r="Z92" s="634"/>
    </row>
    <row r="93" ht="15.75" customHeight="1" outlineLevel="1">
      <c r="A93" s="643" t="s">
        <v>2744</v>
      </c>
      <c r="B93" s="643" t="s">
        <v>5644</v>
      </c>
      <c r="C93" s="643"/>
      <c r="D93" s="736"/>
      <c r="E93" s="743"/>
      <c r="F93" s="672" t="s">
        <v>2913</v>
      </c>
      <c r="G93" s="749" t="s">
        <v>5645</v>
      </c>
      <c r="H93" s="673" t="s">
        <v>2719</v>
      </c>
      <c r="I93" s="675">
        <v>0.0091544274</v>
      </c>
      <c r="J93" s="675">
        <v>0.0065292662</v>
      </c>
      <c r="K93" s="675">
        <v>0.0019077435</v>
      </c>
      <c r="L93" s="675">
        <v>7.17408523E-4</v>
      </c>
      <c r="M93" s="673">
        <v>0.0</v>
      </c>
      <c r="N93" s="750">
        <v>5.1099842E-4</v>
      </c>
      <c r="O93" s="750">
        <v>4.7499182E-4</v>
      </c>
      <c r="P93" s="751">
        <v>0.54425344</v>
      </c>
      <c r="Q93" s="751">
        <v>65.0</v>
      </c>
      <c r="R93" s="652"/>
      <c r="S93" s="645" t="s">
        <v>5646</v>
      </c>
      <c r="T93" s="696">
        <f t="shared" si="1"/>
        <v>0.0084370097</v>
      </c>
      <c r="U93" s="634"/>
      <c r="V93" s="634"/>
      <c r="W93" s="634"/>
      <c r="X93" s="634"/>
      <c r="Y93" s="634"/>
      <c r="Z93" s="634"/>
    </row>
    <row r="94" ht="15.75" customHeight="1" outlineLevel="1">
      <c r="A94" s="643" t="s">
        <v>2749</v>
      </c>
      <c r="B94" s="643" t="s">
        <v>5647</v>
      </c>
      <c r="C94" s="643"/>
      <c r="D94" s="736"/>
      <c r="E94" s="737" t="s">
        <v>5575</v>
      </c>
      <c r="F94" s="738" t="s">
        <v>405</v>
      </c>
      <c r="G94" s="739" t="s">
        <v>5648</v>
      </c>
      <c r="H94" s="661" t="s">
        <v>2719</v>
      </c>
      <c r="I94" s="663">
        <v>1.6412921</v>
      </c>
      <c r="J94" s="663">
        <v>1.6072885</v>
      </c>
      <c r="K94" s="663">
        <v>0.026176799</v>
      </c>
      <c r="L94" s="663">
        <v>0.0078242951</v>
      </c>
      <c r="M94" s="661">
        <v>0.0</v>
      </c>
      <c r="N94" s="740">
        <v>0.11224856</v>
      </c>
      <c r="O94" s="740">
        <v>0.10822899</v>
      </c>
      <c r="P94" s="741">
        <v>120.65547</v>
      </c>
      <c r="Q94" s="754">
        <v>320.0</v>
      </c>
      <c r="R94" s="652"/>
      <c r="S94" s="645" t="s">
        <v>5649</v>
      </c>
      <c r="T94" s="696">
        <f t="shared" si="1"/>
        <v>1.633465299</v>
      </c>
      <c r="U94" s="634"/>
      <c r="V94" s="634"/>
      <c r="W94" s="634"/>
      <c r="X94" s="634"/>
      <c r="Y94" s="634"/>
      <c r="Z94" s="634"/>
    </row>
    <row r="95" ht="15.75" customHeight="1" outlineLevel="1">
      <c r="A95" s="643" t="s">
        <v>2749</v>
      </c>
      <c r="B95" s="643" t="s">
        <v>5650</v>
      </c>
      <c r="C95" s="643"/>
      <c r="D95" s="736"/>
      <c r="E95" s="743"/>
      <c r="F95" s="744" t="s">
        <v>2912</v>
      </c>
      <c r="G95" s="745" t="s">
        <v>5651</v>
      </c>
      <c r="H95" s="667" t="s">
        <v>2719</v>
      </c>
      <c r="I95" s="669">
        <v>1.5839308</v>
      </c>
      <c r="J95" s="669">
        <v>1.5662113</v>
      </c>
      <c r="K95" s="669">
        <v>0.013704447</v>
      </c>
      <c r="L95" s="669">
        <v>0.00401264529</v>
      </c>
      <c r="M95" s="667">
        <v>0.0</v>
      </c>
      <c r="N95" s="746">
        <v>0.10930914</v>
      </c>
      <c r="O95" s="746">
        <v>0.10548218</v>
      </c>
      <c r="P95" s="747">
        <v>117.6337</v>
      </c>
      <c r="Q95" s="755">
        <v>320.0</v>
      </c>
      <c r="R95" s="652"/>
      <c r="S95" s="645" t="s">
        <v>5652</v>
      </c>
      <c r="T95" s="696">
        <f t="shared" si="1"/>
        <v>1.579915747</v>
      </c>
      <c r="U95" s="634"/>
      <c r="V95" s="634"/>
      <c r="W95" s="634"/>
      <c r="X95" s="634"/>
      <c r="Y95" s="634"/>
      <c r="Z95" s="634"/>
    </row>
    <row r="96" ht="15.75" customHeight="1" outlineLevel="1">
      <c r="A96" s="643" t="s">
        <v>2749</v>
      </c>
      <c r="B96" s="643" t="s">
        <v>5653</v>
      </c>
      <c r="C96" s="643"/>
      <c r="D96" s="736"/>
      <c r="E96" s="743"/>
      <c r="F96" s="744" t="s">
        <v>2914</v>
      </c>
      <c r="G96" s="745" t="s">
        <v>5654</v>
      </c>
      <c r="H96" s="667" t="s">
        <v>2719</v>
      </c>
      <c r="I96" s="669">
        <v>0.054185331</v>
      </c>
      <c r="J96" s="669">
        <v>0.038802274</v>
      </c>
      <c r="K96" s="669">
        <v>0.011834797</v>
      </c>
      <c r="L96" s="669">
        <v>0.0035482295299999996</v>
      </c>
      <c r="M96" s="667">
        <v>0.0</v>
      </c>
      <c r="N96" s="746">
        <v>0.0027630669</v>
      </c>
      <c r="O96" s="746">
        <v>0.0025830589</v>
      </c>
      <c r="P96" s="747">
        <v>2.8325145</v>
      </c>
      <c r="Q96" s="755">
        <v>320.0</v>
      </c>
      <c r="R96" s="652"/>
      <c r="S96" s="645" t="s">
        <v>5655</v>
      </c>
      <c r="T96" s="696">
        <f t="shared" si="1"/>
        <v>0.050637071</v>
      </c>
      <c r="U96" s="634"/>
      <c r="V96" s="634"/>
      <c r="W96" s="634"/>
      <c r="X96" s="634"/>
      <c r="Y96" s="634"/>
      <c r="Z96" s="634"/>
    </row>
    <row r="97" ht="15.75" customHeight="1" outlineLevel="1">
      <c r="A97" s="643" t="s">
        <v>2749</v>
      </c>
      <c r="B97" s="643" t="s">
        <v>5656</v>
      </c>
      <c r="C97" s="643"/>
      <c r="D97" s="736"/>
      <c r="E97" s="743"/>
      <c r="F97" s="672" t="s">
        <v>2913</v>
      </c>
      <c r="G97" s="749" t="s">
        <v>5657</v>
      </c>
      <c r="H97" s="673" t="s">
        <v>2719</v>
      </c>
      <c r="I97" s="675">
        <v>0.0031759288</v>
      </c>
      <c r="J97" s="675">
        <v>0.0022749498</v>
      </c>
      <c r="K97" s="675">
        <v>6.3755493E-4</v>
      </c>
      <c r="L97" s="675">
        <v>2.6342030400000003E-4</v>
      </c>
      <c r="M97" s="673">
        <v>0.0</v>
      </c>
      <c r="N97" s="750">
        <v>1.7635295E-4</v>
      </c>
      <c r="O97" s="750">
        <v>1.6375668E-4</v>
      </c>
      <c r="P97" s="751">
        <v>0.18925076</v>
      </c>
      <c r="Q97" s="756">
        <v>320.0</v>
      </c>
      <c r="R97" s="652"/>
      <c r="S97" s="645" t="s">
        <v>5658</v>
      </c>
      <c r="T97" s="696">
        <f t="shared" si="1"/>
        <v>0.00291250473</v>
      </c>
      <c r="U97" s="634"/>
      <c r="V97" s="634"/>
      <c r="W97" s="634"/>
      <c r="X97" s="634"/>
      <c r="Y97" s="634"/>
      <c r="Z97" s="634"/>
    </row>
    <row r="98" ht="15.75" customHeight="1" outlineLevel="1">
      <c r="A98" s="643" t="s">
        <v>2755</v>
      </c>
      <c r="B98" s="643" t="s">
        <v>5659</v>
      </c>
      <c r="C98" s="643"/>
      <c r="D98" s="736"/>
      <c r="E98" s="737" t="s">
        <v>3000</v>
      </c>
      <c r="F98" s="738" t="s">
        <v>405</v>
      </c>
      <c r="G98" s="739" t="s">
        <v>5660</v>
      </c>
      <c r="H98" s="661" t="s">
        <v>2719</v>
      </c>
      <c r="I98" s="663">
        <v>3.3106053</v>
      </c>
      <c r="J98" s="663">
        <v>2.8459597</v>
      </c>
      <c r="K98" s="663">
        <v>0.36993476</v>
      </c>
      <c r="L98" s="663">
        <v>0.094702835</v>
      </c>
      <c r="M98" s="661">
        <v>0.0</v>
      </c>
      <c r="N98" s="740">
        <v>0.19548734</v>
      </c>
      <c r="O98" s="740">
        <v>0.18277122</v>
      </c>
      <c r="P98" s="741">
        <v>216.88366</v>
      </c>
      <c r="Q98" s="741">
        <v>1.6</v>
      </c>
      <c r="R98" s="652"/>
      <c r="S98" s="645" t="s">
        <v>5661</v>
      </c>
      <c r="T98" s="696">
        <f t="shared" si="1"/>
        <v>3.21589446</v>
      </c>
      <c r="U98" s="634"/>
      <c r="V98" s="634"/>
      <c r="W98" s="634"/>
      <c r="X98" s="634"/>
      <c r="Y98" s="634"/>
      <c r="Z98" s="634"/>
    </row>
    <row r="99" ht="15.75" customHeight="1" outlineLevel="1">
      <c r="A99" s="643" t="s">
        <v>2755</v>
      </c>
      <c r="B99" s="643" t="s">
        <v>5662</v>
      </c>
      <c r="C99" s="643"/>
      <c r="D99" s="736"/>
      <c r="E99" s="743"/>
      <c r="F99" s="744" t="s">
        <v>2912</v>
      </c>
      <c r="G99" s="745" t="s">
        <v>5663</v>
      </c>
      <c r="H99" s="667" t="s">
        <v>2719</v>
      </c>
      <c r="I99" s="669">
        <v>2.3834148</v>
      </c>
      <c r="J99" s="669">
        <v>2.3476973</v>
      </c>
      <c r="K99" s="669">
        <v>0.028037994</v>
      </c>
      <c r="L99" s="669">
        <v>0.00767658303</v>
      </c>
      <c r="M99" s="667">
        <v>0.0</v>
      </c>
      <c r="N99" s="746">
        <v>0.16622086</v>
      </c>
      <c r="O99" s="746">
        <v>0.15634954</v>
      </c>
      <c r="P99" s="747">
        <v>160.17233</v>
      </c>
      <c r="Q99" s="747">
        <v>1.6</v>
      </c>
      <c r="R99" s="652"/>
      <c r="S99" s="645" t="s">
        <v>5664</v>
      </c>
      <c r="T99" s="696">
        <f t="shared" si="1"/>
        <v>2.375735294</v>
      </c>
      <c r="U99" s="634"/>
      <c r="V99" s="634"/>
      <c r="W99" s="634"/>
      <c r="X99" s="634"/>
      <c r="Y99" s="634"/>
      <c r="Z99" s="634"/>
    </row>
    <row r="100" ht="15.75" customHeight="1" outlineLevel="1">
      <c r="A100" s="643" t="s">
        <v>2755</v>
      </c>
      <c r="B100" s="643" t="s">
        <v>5665</v>
      </c>
      <c r="C100" s="643"/>
      <c r="D100" s="736"/>
      <c r="E100" s="743"/>
      <c r="F100" s="744" t="s">
        <v>2914</v>
      </c>
      <c r="G100" s="745" t="s">
        <v>5666</v>
      </c>
      <c r="H100" s="667" t="s">
        <v>2719</v>
      </c>
      <c r="I100" s="669">
        <v>0.48852568</v>
      </c>
      <c r="J100" s="669">
        <v>0.15741244</v>
      </c>
      <c r="K100" s="669">
        <v>0.26990462</v>
      </c>
      <c r="L100" s="669">
        <v>0.061208402099999996</v>
      </c>
      <c r="M100" s="667">
        <v>0.0</v>
      </c>
      <c r="N100" s="746">
        <v>0.0078505009</v>
      </c>
      <c r="O100" s="746">
        <v>0.0070614297</v>
      </c>
      <c r="P100" s="747">
        <v>21.260754</v>
      </c>
      <c r="Q100" s="747">
        <v>1.6</v>
      </c>
      <c r="R100" s="652"/>
      <c r="S100" s="645" t="s">
        <v>5667</v>
      </c>
      <c r="T100" s="696">
        <f t="shared" si="1"/>
        <v>0.42731706</v>
      </c>
      <c r="U100" s="634"/>
      <c r="V100" s="634"/>
      <c r="W100" s="634"/>
      <c r="X100" s="634"/>
      <c r="Y100" s="634"/>
      <c r="Z100" s="634"/>
    </row>
    <row r="101" ht="15.75" customHeight="1" outlineLevel="1">
      <c r="A101" s="643" t="s">
        <v>2755</v>
      </c>
      <c r="B101" s="643" t="s">
        <v>5668</v>
      </c>
      <c r="C101" s="643"/>
      <c r="D101" s="736"/>
      <c r="E101" s="743"/>
      <c r="F101" s="672" t="s">
        <v>2913</v>
      </c>
      <c r="G101" s="749" t="s">
        <v>5669</v>
      </c>
      <c r="H101" s="673" t="s">
        <v>2719</v>
      </c>
      <c r="I101" s="675">
        <v>0.43866479</v>
      </c>
      <c r="J101" s="675">
        <v>0.34084993</v>
      </c>
      <c r="K101" s="675">
        <v>0.071992146</v>
      </c>
      <c r="L101" s="675">
        <v>0.0258178508</v>
      </c>
      <c r="M101" s="673">
        <v>0.0</v>
      </c>
      <c r="N101" s="750">
        <v>0.021415981</v>
      </c>
      <c r="O101" s="750">
        <v>0.019360251</v>
      </c>
      <c r="P101" s="751">
        <v>35.450581</v>
      </c>
      <c r="Q101" s="751">
        <v>1.6</v>
      </c>
      <c r="R101" s="652"/>
      <c r="S101" s="645" t="s">
        <v>5670</v>
      </c>
      <c r="T101" s="696">
        <f t="shared" si="1"/>
        <v>0.412842076</v>
      </c>
      <c r="U101" s="634"/>
      <c r="V101" s="634"/>
      <c r="W101" s="634"/>
      <c r="X101" s="634"/>
      <c r="Y101" s="634"/>
      <c r="Z101" s="634"/>
    </row>
    <row r="102" ht="15.75" customHeight="1" outlineLevel="1">
      <c r="A102" s="643" t="s">
        <v>2761</v>
      </c>
      <c r="B102" s="643" t="s">
        <v>5671</v>
      </c>
      <c r="C102" s="643"/>
      <c r="D102" s="736"/>
      <c r="E102" s="737" t="s">
        <v>3002</v>
      </c>
      <c r="F102" s="738" t="s">
        <v>405</v>
      </c>
      <c r="G102" s="739" t="s">
        <v>5672</v>
      </c>
      <c r="H102" s="661" t="s">
        <v>2719</v>
      </c>
      <c r="I102" s="663">
        <v>3.3662905</v>
      </c>
      <c r="J102" s="663">
        <v>2.8995128</v>
      </c>
      <c r="K102" s="663">
        <v>0.37162514</v>
      </c>
      <c r="L102" s="663">
        <v>0.0951444447</v>
      </c>
      <c r="M102" s="661">
        <v>0.0</v>
      </c>
      <c r="N102" s="740">
        <v>0.19939708</v>
      </c>
      <c r="O102" s="740">
        <v>0.18596415</v>
      </c>
      <c r="P102" s="741">
        <v>220.6857</v>
      </c>
      <c r="Q102" s="741">
        <v>1.6</v>
      </c>
      <c r="R102" s="652"/>
      <c r="S102" s="645" t="s">
        <v>5673</v>
      </c>
      <c r="T102" s="696">
        <f t="shared" si="1"/>
        <v>3.27113794</v>
      </c>
      <c r="U102" s="634"/>
      <c r="V102" s="634"/>
      <c r="W102" s="634"/>
      <c r="X102" s="634"/>
      <c r="Y102" s="634"/>
      <c r="Z102" s="634"/>
    </row>
    <row r="103" ht="15.75" customHeight="1" outlineLevel="1">
      <c r="A103" s="643" t="s">
        <v>2761</v>
      </c>
      <c r="B103" s="643" t="s">
        <v>5674</v>
      </c>
      <c r="C103" s="643"/>
      <c r="D103" s="736"/>
      <c r="E103" s="743"/>
      <c r="F103" s="744" t="s">
        <v>2912</v>
      </c>
      <c r="G103" s="745" t="s">
        <v>5675</v>
      </c>
      <c r="H103" s="667" t="s">
        <v>2719</v>
      </c>
      <c r="I103" s="669">
        <v>2.4391</v>
      </c>
      <c r="J103" s="669">
        <v>2.4012504</v>
      </c>
      <c r="K103" s="669">
        <v>0.029728377</v>
      </c>
      <c r="L103" s="669">
        <v>0.0081181919</v>
      </c>
      <c r="M103" s="667">
        <v>0.0</v>
      </c>
      <c r="N103" s="746">
        <v>0.1701306</v>
      </c>
      <c r="O103" s="746">
        <v>0.15954247</v>
      </c>
      <c r="P103" s="747">
        <v>163.97437</v>
      </c>
      <c r="Q103" s="747">
        <v>1.6</v>
      </c>
      <c r="R103" s="652"/>
      <c r="S103" s="645" t="s">
        <v>5676</v>
      </c>
      <c r="T103" s="696">
        <f t="shared" si="1"/>
        <v>2.430978777</v>
      </c>
      <c r="U103" s="634"/>
      <c r="V103" s="634"/>
      <c r="W103" s="634"/>
      <c r="X103" s="634"/>
      <c r="Y103" s="634"/>
      <c r="Z103" s="634"/>
    </row>
    <row r="104" ht="15.75" customHeight="1" outlineLevel="1">
      <c r="A104" s="643" t="s">
        <v>2761</v>
      </c>
      <c r="B104" s="643" t="s">
        <v>5677</v>
      </c>
      <c r="C104" s="643"/>
      <c r="D104" s="736"/>
      <c r="E104" s="743"/>
      <c r="F104" s="744" t="s">
        <v>2914</v>
      </c>
      <c r="G104" s="745" t="s">
        <v>5678</v>
      </c>
      <c r="H104" s="667" t="s">
        <v>2719</v>
      </c>
      <c r="I104" s="669">
        <v>0.48852568</v>
      </c>
      <c r="J104" s="669">
        <v>0.15741244</v>
      </c>
      <c r="K104" s="669">
        <v>0.26990462</v>
      </c>
      <c r="L104" s="669">
        <v>0.061208402099999996</v>
      </c>
      <c r="M104" s="667">
        <v>0.0</v>
      </c>
      <c r="N104" s="746">
        <v>0.0078505009</v>
      </c>
      <c r="O104" s="746">
        <v>0.0070614297</v>
      </c>
      <c r="P104" s="747">
        <v>21.260754</v>
      </c>
      <c r="Q104" s="747">
        <v>1.6</v>
      </c>
      <c r="R104" s="652"/>
      <c r="S104" s="645" t="s">
        <v>5679</v>
      </c>
      <c r="T104" s="696">
        <f t="shared" si="1"/>
        <v>0.42731706</v>
      </c>
      <c r="U104" s="634"/>
      <c r="V104" s="634"/>
      <c r="W104" s="634"/>
      <c r="X104" s="634"/>
      <c r="Y104" s="634"/>
      <c r="Z104" s="634"/>
    </row>
    <row r="105" ht="15.75" customHeight="1" outlineLevel="1">
      <c r="A105" s="643" t="s">
        <v>2761</v>
      </c>
      <c r="B105" s="643" t="s">
        <v>5680</v>
      </c>
      <c r="C105" s="643"/>
      <c r="D105" s="736"/>
      <c r="E105" s="743"/>
      <c r="F105" s="672" t="s">
        <v>2913</v>
      </c>
      <c r="G105" s="749" t="s">
        <v>5681</v>
      </c>
      <c r="H105" s="673" t="s">
        <v>2719</v>
      </c>
      <c r="I105" s="675">
        <v>0.43866479</v>
      </c>
      <c r="J105" s="675">
        <v>0.34084993</v>
      </c>
      <c r="K105" s="675">
        <v>0.071992146</v>
      </c>
      <c r="L105" s="675">
        <v>0.0258178508</v>
      </c>
      <c r="M105" s="673">
        <v>0.0</v>
      </c>
      <c r="N105" s="750">
        <v>0.021415981</v>
      </c>
      <c r="O105" s="750">
        <v>0.019360251</v>
      </c>
      <c r="P105" s="751">
        <v>35.450581</v>
      </c>
      <c r="Q105" s="751">
        <v>1.6</v>
      </c>
      <c r="R105" s="652"/>
      <c r="S105" s="645" t="s">
        <v>5682</v>
      </c>
      <c r="T105" s="696">
        <f t="shared" si="1"/>
        <v>0.412842076</v>
      </c>
      <c r="U105" s="634"/>
      <c r="V105" s="634"/>
      <c r="W105" s="634"/>
      <c r="X105" s="634"/>
      <c r="Y105" s="634"/>
      <c r="Z105" s="634"/>
    </row>
    <row r="106" ht="15.75" customHeight="1" outlineLevel="1">
      <c r="A106" s="643" t="s">
        <v>2773</v>
      </c>
      <c r="B106" s="643" t="s">
        <v>5683</v>
      </c>
      <c r="C106" s="643"/>
      <c r="D106" s="736"/>
      <c r="E106" s="737" t="s">
        <v>3006</v>
      </c>
      <c r="F106" s="738" t="s">
        <v>405</v>
      </c>
      <c r="G106" s="739" t="s">
        <v>5684</v>
      </c>
      <c r="H106" s="661" t="s">
        <v>2719</v>
      </c>
      <c r="I106" s="663">
        <v>3.0307776</v>
      </c>
      <c r="J106" s="663">
        <v>2.576842</v>
      </c>
      <c r="K106" s="663">
        <v>0.36144338</v>
      </c>
      <c r="L106" s="663">
        <v>0.0924844569</v>
      </c>
      <c r="M106" s="661">
        <v>0.0</v>
      </c>
      <c r="N106" s="740">
        <v>0.1758494</v>
      </c>
      <c r="O106" s="740">
        <v>0.16673352</v>
      </c>
      <c r="P106" s="741">
        <v>197.78636</v>
      </c>
      <c r="Q106" s="741">
        <v>1.6</v>
      </c>
      <c r="R106" s="652"/>
      <c r="S106" s="645" t="s">
        <v>5685</v>
      </c>
      <c r="T106" s="696">
        <f t="shared" si="1"/>
        <v>2.93828538</v>
      </c>
      <c r="U106" s="634"/>
      <c r="V106" s="634"/>
      <c r="W106" s="634"/>
      <c r="X106" s="634"/>
      <c r="Y106" s="634"/>
      <c r="Z106" s="634"/>
    </row>
    <row r="107" ht="15.75" customHeight="1" outlineLevel="1">
      <c r="A107" s="643" t="s">
        <v>2773</v>
      </c>
      <c r="B107" s="643" t="s">
        <v>5686</v>
      </c>
      <c r="C107" s="643"/>
      <c r="D107" s="736"/>
      <c r="E107" s="743"/>
      <c r="F107" s="744" t="s">
        <v>2912</v>
      </c>
      <c r="G107" s="745" t="s">
        <v>5687</v>
      </c>
      <c r="H107" s="667" t="s">
        <v>2719</v>
      </c>
      <c r="I107" s="669">
        <v>2.103587</v>
      </c>
      <c r="J107" s="669">
        <v>2.0785796</v>
      </c>
      <c r="K107" s="669">
        <v>0.019546616</v>
      </c>
      <c r="L107" s="669">
        <v>0.00545820351</v>
      </c>
      <c r="M107" s="667">
        <v>0.0</v>
      </c>
      <c r="N107" s="746">
        <v>0.14658292</v>
      </c>
      <c r="O107" s="746">
        <v>0.14031184</v>
      </c>
      <c r="P107" s="747">
        <v>141.07503</v>
      </c>
      <c r="Q107" s="747">
        <v>1.6</v>
      </c>
      <c r="R107" s="652"/>
      <c r="S107" s="645" t="s">
        <v>5688</v>
      </c>
      <c r="T107" s="696">
        <f t="shared" si="1"/>
        <v>2.098126216</v>
      </c>
      <c r="U107" s="634"/>
      <c r="V107" s="634"/>
      <c r="W107" s="634"/>
      <c r="X107" s="634"/>
      <c r="Y107" s="634"/>
      <c r="Z107" s="634"/>
    </row>
    <row r="108" ht="15.75" customHeight="1" outlineLevel="1">
      <c r="A108" s="643" t="s">
        <v>2773</v>
      </c>
      <c r="B108" s="643" t="s">
        <v>5689</v>
      </c>
      <c r="C108" s="643"/>
      <c r="D108" s="736"/>
      <c r="E108" s="743"/>
      <c r="F108" s="744" t="s">
        <v>2914</v>
      </c>
      <c r="G108" s="745" t="s">
        <v>5690</v>
      </c>
      <c r="H108" s="667" t="s">
        <v>2719</v>
      </c>
      <c r="I108" s="669">
        <v>0.48852568</v>
      </c>
      <c r="J108" s="669">
        <v>0.15741244</v>
      </c>
      <c r="K108" s="669">
        <v>0.26990462</v>
      </c>
      <c r="L108" s="669">
        <v>0.061208402099999996</v>
      </c>
      <c r="M108" s="667">
        <v>0.0</v>
      </c>
      <c r="N108" s="746">
        <v>0.0078505009</v>
      </c>
      <c r="O108" s="746">
        <v>0.0070614297</v>
      </c>
      <c r="P108" s="747">
        <v>21.260754</v>
      </c>
      <c r="Q108" s="747">
        <v>1.6</v>
      </c>
      <c r="R108" s="652"/>
      <c r="S108" s="645" t="s">
        <v>5691</v>
      </c>
      <c r="T108" s="696">
        <f t="shared" si="1"/>
        <v>0.42731706</v>
      </c>
      <c r="U108" s="634"/>
      <c r="V108" s="634"/>
      <c r="W108" s="634"/>
      <c r="X108" s="634"/>
      <c r="Y108" s="634"/>
      <c r="Z108" s="634"/>
    </row>
    <row r="109" ht="15.75" customHeight="1" outlineLevel="1">
      <c r="A109" s="643" t="s">
        <v>2773</v>
      </c>
      <c r="B109" s="643" t="s">
        <v>5692</v>
      </c>
      <c r="C109" s="643"/>
      <c r="D109" s="736"/>
      <c r="E109" s="743"/>
      <c r="F109" s="672" t="s">
        <v>2913</v>
      </c>
      <c r="G109" s="749" t="s">
        <v>5693</v>
      </c>
      <c r="H109" s="673" t="s">
        <v>2719</v>
      </c>
      <c r="I109" s="675">
        <v>0.43866479</v>
      </c>
      <c r="J109" s="675">
        <v>0.34084993</v>
      </c>
      <c r="K109" s="675">
        <v>0.071992146</v>
      </c>
      <c r="L109" s="675">
        <v>0.0258178508</v>
      </c>
      <c r="M109" s="673">
        <v>0.0</v>
      </c>
      <c r="N109" s="750">
        <v>0.021415981</v>
      </c>
      <c r="O109" s="750">
        <v>0.019360251</v>
      </c>
      <c r="P109" s="751">
        <v>35.450581</v>
      </c>
      <c r="Q109" s="751">
        <v>1.6</v>
      </c>
      <c r="R109" s="652"/>
      <c r="S109" s="645" t="s">
        <v>5694</v>
      </c>
      <c r="T109" s="696">
        <f t="shared" si="1"/>
        <v>0.412842076</v>
      </c>
      <c r="U109" s="634"/>
      <c r="V109" s="634"/>
      <c r="W109" s="634"/>
      <c r="X109" s="634"/>
      <c r="Y109" s="634"/>
      <c r="Z109" s="634"/>
    </row>
    <row r="110" ht="15.75" customHeight="1" outlineLevel="1">
      <c r="A110" s="643" t="s">
        <v>2784</v>
      </c>
      <c r="B110" s="643" t="s">
        <v>5695</v>
      </c>
      <c r="C110" s="643"/>
      <c r="D110" s="736"/>
      <c r="E110" s="737" t="s">
        <v>3010</v>
      </c>
      <c r="F110" s="738" t="s">
        <v>405</v>
      </c>
      <c r="G110" s="739" t="s">
        <v>5696</v>
      </c>
      <c r="H110" s="661" t="s">
        <v>2719</v>
      </c>
      <c r="I110" s="663">
        <v>3.2832744</v>
      </c>
      <c r="J110" s="663">
        <v>2.7281669</v>
      </c>
      <c r="K110" s="663">
        <v>0.44283519</v>
      </c>
      <c r="L110" s="663">
        <v>0.112264952</v>
      </c>
      <c r="M110" s="661">
        <v>0.0</v>
      </c>
      <c r="N110" s="740">
        <v>0.1598702</v>
      </c>
      <c r="O110" s="740">
        <v>0.14785183</v>
      </c>
      <c r="P110" s="741">
        <v>171.85344</v>
      </c>
      <c r="Q110" s="741">
        <v>1.6</v>
      </c>
      <c r="R110" s="652"/>
      <c r="S110" s="645" t="s">
        <v>5697</v>
      </c>
      <c r="T110" s="696">
        <f t="shared" si="1"/>
        <v>3.17100209</v>
      </c>
      <c r="U110" s="634"/>
      <c r="V110" s="634"/>
      <c r="W110" s="634"/>
      <c r="X110" s="634"/>
      <c r="Y110" s="634"/>
      <c r="Z110" s="634"/>
    </row>
    <row r="111" ht="15.75" customHeight="1" outlineLevel="1">
      <c r="A111" s="643" t="s">
        <v>2784</v>
      </c>
      <c r="B111" s="643" t="s">
        <v>5698</v>
      </c>
      <c r="C111" s="643"/>
      <c r="D111" s="736"/>
      <c r="E111" s="743"/>
      <c r="F111" s="744" t="s">
        <v>2912</v>
      </c>
      <c r="G111" s="745" t="s">
        <v>5699</v>
      </c>
      <c r="H111" s="667" t="s">
        <v>2719</v>
      </c>
      <c r="I111" s="669">
        <v>2.3025768</v>
      </c>
      <c r="J111" s="669">
        <v>2.2117216</v>
      </c>
      <c r="K111" s="669">
        <v>0.072186838</v>
      </c>
      <c r="L111" s="669">
        <v>0.018666195049999997</v>
      </c>
      <c r="M111" s="667">
        <v>0.0</v>
      </c>
      <c r="N111" s="746">
        <v>0.12966864</v>
      </c>
      <c r="O111" s="746">
        <v>0.12058854</v>
      </c>
      <c r="P111" s="747">
        <v>112.72908</v>
      </c>
      <c r="Q111" s="747">
        <v>1.6</v>
      </c>
      <c r="R111" s="652"/>
      <c r="S111" s="645" t="s">
        <v>5700</v>
      </c>
      <c r="T111" s="696">
        <f t="shared" si="1"/>
        <v>2.283908438</v>
      </c>
      <c r="U111" s="634"/>
      <c r="V111" s="634"/>
      <c r="W111" s="634"/>
      <c r="X111" s="634"/>
      <c r="Y111" s="634"/>
      <c r="Z111" s="634"/>
    </row>
    <row r="112" ht="15.75" customHeight="1" outlineLevel="1">
      <c r="A112" s="643" t="s">
        <v>2784</v>
      </c>
      <c r="B112" s="643" t="s">
        <v>5701</v>
      </c>
      <c r="C112" s="643"/>
      <c r="D112" s="736"/>
      <c r="E112" s="743"/>
      <c r="F112" s="744" t="s">
        <v>2914</v>
      </c>
      <c r="G112" s="745" t="s">
        <v>5702</v>
      </c>
      <c r="H112" s="667" t="s">
        <v>2719</v>
      </c>
      <c r="I112" s="669">
        <v>0.53957979</v>
      </c>
      <c r="J112" s="669">
        <v>0.17368938</v>
      </c>
      <c r="K112" s="669">
        <v>0.29825363</v>
      </c>
      <c r="L112" s="669">
        <v>0.0676365344</v>
      </c>
      <c r="M112" s="667">
        <v>0.0</v>
      </c>
      <c r="N112" s="746">
        <v>0.0086658153</v>
      </c>
      <c r="O112" s="746">
        <v>0.0077947712</v>
      </c>
      <c r="P112" s="747">
        <v>23.475539</v>
      </c>
      <c r="Q112" s="747">
        <v>1.6</v>
      </c>
      <c r="R112" s="652"/>
      <c r="S112" s="645" t="s">
        <v>5703</v>
      </c>
      <c r="T112" s="696">
        <f t="shared" si="1"/>
        <v>0.47194301</v>
      </c>
      <c r="U112" s="634"/>
      <c r="V112" s="634"/>
      <c r="W112" s="634"/>
      <c r="X112" s="634"/>
      <c r="Y112" s="634"/>
      <c r="Z112" s="634"/>
    </row>
    <row r="113" ht="15.75" customHeight="1" outlineLevel="1">
      <c r="A113" s="643" t="s">
        <v>2784</v>
      </c>
      <c r="B113" s="643" t="s">
        <v>5704</v>
      </c>
      <c r="C113" s="643"/>
      <c r="D113" s="736"/>
      <c r="E113" s="743"/>
      <c r="F113" s="672" t="s">
        <v>2913</v>
      </c>
      <c r="G113" s="749" t="s">
        <v>5705</v>
      </c>
      <c r="H113" s="673" t="s">
        <v>2719</v>
      </c>
      <c r="I113" s="675">
        <v>0.44111778</v>
      </c>
      <c r="J113" s="675">
        <v>0.34275594</v>
      </c>
      <c r="K113" s="675">
        <v>0.072394723</v>
      </c>
      <c r="L113" s="675">
        <v>0.025962222700000002</v>
      </c>
      <c r="M113" s="673">
        <v>0.0</v>
      </c>
      <c r="N113" s="750">
        <v>0.021535738</v>
      </c>
      <c r="O113" s="750">
        <v>0.019468513</v>
      </c>
      <c r="P113" s="751">
        <v>35.648819</v>
      </c>
      <c r="Q113" s="751">
        <v>1.6</v>
      </c>
      <c r="R113" s="652"/>
      <c r="S113" s="645" t="s">
        <v>5706</v>
      </c>
      <c r="T113" s="696">
        <f t="shared" si="1"/>
        <v>0.415150663</v>
      </c>
      <c r="U113" s="634"/>
      <c r="V113" s="634"/>
      <c r="W113" s="634"/>
      <c r="X113" s="634"/>
      <c r="Y113" s="634"/>
      <c r="Z113" s="634"/>
    </row>
    <row r="114" ht="15.75" customHeight="1" outlineLevel="1">
      <c r="A114" s="643" t="s">
        <v>2767</v>
      </c>
      <c r="B114" s="643" t="s">
        <v>5707</v>
      </c>
      <c r="C114" s="643"/>
      <c r="D114" s="736"/>
      <c r="E114" s="737" t="s">
        <v>3004</v>
      </c>
      <c r="F114" s="738" t="s">
        <v>405</v>
      </c>
      <c r="G114" s="739" t="s">
        <v>5708</v>
      </c>
      <c r="H114" s="661" t="s">
        <v>2719</v>
      </c>
      <c r="I114" s="663">
        <v>1.721103</v>
      </c>
      <c r="J114" s="663">
        <v>0.8710716</v>
      </c>
      <c r="K114" s="663">
        <v>0.67782788</v>
      </c>
      <c r="L114" s="663">
        <v>0.1721973636</v>
      </c>
      <c r="M114" s="661">
        <v>1.9020768029200001</v>
      </c>
      <c r="N114" s="740">
        <v>0.098285861</v>
      </c>
      <c r="O114" s="740">
        <v>0.049727575</v>
      </c>
      <c r="P114" s="741">
        <v>154.41487</v>
      </c>
      <c r="Q114" s="741">
        <v>1.6</v>
      </c>
      <c r="R114" s="652"/>
      <c r="S114" s="645" t="s">
        <v>5709</v>
      </c>
      <c r="T114" s="696">
        <f t="shared" si="1"/>
        <v>1.54889948</v>
      </c>
      <c r="U114" s="634"/>
      <c r="V114" s="634"/>
      <c r="W114" s="634"/>
      <c r="X114" s="634"/>
      <c r="Y114" s="634"/>
      <c r="Z114" s="634"/>
    </row>
    <row r="115" ht="15.75" customHeight="1" outlineLevel="1">
      <c r="A115" s="643" t="s">
        <v>2767</v>
      </c>
      <c r="B115" s="643" t="s">
        <v>5710</v>
      </c>
      <c r="C115" s="643"/>
      <c r="D115" s="736"/>
      <c r="E115" s="743"/>
      <c r="F115" s="744" t="s">
        <v>2912</v>
      </c>
      <c r="G115" s="745" t="s">
        <v>5711</v>
      </c>
      <c r="H115" s="667" t="s">
        <v>2719</v>
      </c>
      <c r="I115" s="669">
        <v>0.74040539</v>
      </c>
      <c r="J115" s="669">
        <v>0.35462627</v>
      </c>
      <c r="K115" s="669">
        <v>0.30717953</v>
      </c>
      <c r="L115" s="669">
        <v>0.0785986075</v>
      </c>
      <c r="M115" s="667">
        <v>1.9020768029200001</v>
      </c>
      <c r="N115" s="746">
        <v>0.068084307</v>
      </c>
      <c r="O115" s="746">
        <v>0.022464291</v>
      </c>
      <c r="P115" s="747">
        <v>95.290516</v>
      </c>
      <c r="Q115" s="747">
        <v>1.6</v>
      </c>
      <c r="R115" s="652"/>
      <c r="S115" s="645" t="s">
        <v>5712</v>
      </c>
      <c r="T115" s="696">
        <f t="shared" si="1"/>
        <v>0.6618058</v>
      </c>
      <c r="U115" s="634"/>
      <c r="V115" s="634"/>
      <c r="W115" s="634"/>
      <c r="X115" s="634"/>
      <c r="Y115" s="634"/>
      <c r="Z115" s="634"/>
    </row>
    <row r="116" ht="15.75" customHeight="1" outlineLevel="1">
      <c r="A116" s="643" t="s">
        <v>2767</v>
      </c>
      <c r="B116" s="643" t="s">
        <v>5713</v>
      </c>
      <c r="C116" s="643"/>
      <c r="D116" s="736"/>
      <c r="E116" s="743"/>
      <c r="F116" s="744" t="s">
        <v>2914</v>
      </c>
      <c r="G116" s="745" t="s">
        <v>5714</v>
      </c>
      <c r="H116" s="667" t="s">
        <v>2719</v>
      </c>
      <c r="I116" s="669">
        <v>0.53957979</v>
      </c>
      <c r="J116" s="669">
        <v>0.17368938</v>
      </c>
      <c r="K116" s="669">
        <v>0.29825363</v>
      </c>
      <c r="L116" s="669">
        <v>0.0676365344</v>
      </c>
      <c r="M116" s="667">
        <v>0.0</v>
      </c>
      <c r="N116" s="746">
        <v>0.0086658153</v>
      </c>
      <c r="O116" s="746">
        <v>0.0077947712</v>
      </c>
      <c r="P116" s="747">
        <v>23.475539</v>
      </c>
      <c r="Q116" s="747">
        <v>1.6</v>
      </c>
      <c r="R116" s="652"/>
      <c r="S116" s="645" t="s">
        <v>5715</v>
      </c>
      <c r="T116" s="696">
        <f t="shared" si="1"/>
        <v>0.47194301</v>
      </c>
      <c r="U116" s="634"/>
      <c r="V116" s="634"/>
      <c r="W116" s="634"/>
      <c r="X116" s="634"/>
      <c r="Y116" s="634"/>
      <c r="Z116" s="634"/>
    </row>
    <row r="117" ht="15.75" customHeight="1" outlineLevel="1">
      <c r="A117" s="643" t="s">
        <v>2767</v>
      </c>
      <c r="B117" s="643" t="s">
        <v>5716</v>
      </c>
      <c r="C117" s="643"/>
      <c r="D117" s="736"/>
      <c r="E117" s="743"/>
      <c r="F117" s="672" t="s">
        <v>2913</v>
      </c>
      <c r="G117" s="749" t="s">
        <v>5717</v>
      </c>
      <c r="H117" s="673" t="s">
        <v>2719</v>
      </c>
      <c r="I117" s="675">
        <v>0.44111778</v>
      </c>
      <c r="J117" s="675">
        <v>0.34275594</v>
      </c>
      <c r="K117" s="675">
        <v>0.072394723</v>
      </c>
      <c r="L117" s="675">
        <v>0.025962222700000002</v>
      </c>
      <c r="M117" s="673">
        <v>0.0</v>
      </c>
      <c r="N117" s="750">
        <v>0.021535738</v>
      </c>
      <c r="O117" s="750">
        <v>0.019468513</v>
      </c>
      <c r="P117" s="751">
        <v>35.648819</v>
      </c>
      <c r="Q117" s="751">
        <v>1.6</v>
      </c>
      <c r="R117" s="652"/>
      <c r="S117" s="645" t="s">
        <v>5718</v>
      </c>
      <c r="T117" s="696">
        <f t="shared" si="1"/>
        <v>0.415150663</v>
      </c>
      <c r="U117" s="634"/>
      <c r="V117" s="634"/>
      <c r="W117" s="634"/>
      <c r="X117" s="634"/>
      <c r="Y117" s="634"/>
      <c r="Z117" s="634"/>
    </row>
    <row r="118" ht="15.75" customHeight="1" outlineLevel="1">
      <c r="A118" s="643" t="s">
        <v>2778</v>
      </c>
      <c r="B118" s="643" t="s">
        <v>5719</v>
      </c>
      <c r="C118" s="643"/>
      <c r="D118" s="736"/>
      <c r="E118" s="737" t="s">
        <v>3008</v>
      </c>
      <c r="F118" s="738" t="s">
        <v>405</v>
      </c>
      <c r="G118" s="739" t="s">
        <v>5720</v>
      </c>
      <c r="H118" s="661" t="s">
        <v>2719</v>
      </c>
      <c r="I118" s="663">
        <v>2.6562869</v>
      </c>
      <c r="J118" s="663">
        <v>0.88943781</v>
      </c>
      <c r="K118" s="663">
        <v>1.426547</v>
      </c>
      <c r="L118" s="663">
        <v>0.340293252</v>
      </c>
      <c r="M118" s="661">
        <v>0.0</v>
      </c>
      <c r="N118" s="740">
        <v>0.058385137</v>
      </c>
      <c r="O118" s="740">
        <v>0.052430309</v>
      </c>
      <c r="P118" s="741">
        <v>163.10975</v>
      </c>
      <c r="Q118" s="741">
        <v>1.6</v>
      </c>
      <c r="R118" s="652"/>
      <c r="S118" s="645" t="s">
        <v>5721</v>
      </c>
      <c r="T118" s="696">
        <f t="shared" si="1"/>
        <v>2.31598481</v>
      </c>
      <c r="U118" s="634"/>
      <c r="V118" s="634"/>
      <c r="W118" s="634"/>
      <c r="X118" s="634"/>
      <c r="Y118" s="634"/>
      <c r="Z118" s="634"/>
    </row>
    <row r="119" ht="15.75" customHeight="1" outlineLevel="1">
      <c r="A119" s="643" t="s">
        <v>2778</v>
      </c>
      <c r="B119" s="643" t="s">
        <v>5722</v>
      </c>
      <c r="C119" s="643"/>
      <c r="D119" s="736"/>
      <c r="E119" s="743"/>
      <c r="F119" s="744" t="s">
        <v>2912</v>
      </c>
      <c r="G119" s="745" t="s">
        <v>5723</v>
      </c>
      <c r="H119" s="667" t="s">
        <v>2719</v>
      </c>
      <c r="I119" s="669">
        <v>1.3521168</v>
      </c>
      <c r="J119" s="669">
        <v>0.15529262</v>
      </c>
      <c r="K119" s="669">
        <v>0.97732265</v>
      </c>
      <c r="L119" s="669">
        <v>0.2195014433</v>
      </c>
      <c r="M119" s="667">
        <v>0.0</v>
      </c>
      <c r="N119" s="746">
        <v>0.01273447</v>
      </c>
      <c r="O119" s="746">
        <v>0.011385929</v>
      </c>
      <c r="P119" s="747">
        <v>54.779553</v>
      </c>
      <c r="Q119" s="747">
        <v>1.6</v>
      </c>
      <c r="R119" s="652"/>
      <c r="S119" s="645" t="s">
        <v>5724</v>
      </c>
      <c r="T119" s="696">
        <f t="shared" si="1"/>
        <v>1.13261527</v>
      </c>
      <c r="U119" s="634"/>
      <c r="V119" s="634"/>
      <c r="W119" s="634"/>
      <c r="X119" s="634"/>
      <c r="Y119" s="634"/>
      <c r="Z119" s="634"/>
    </row>
    <row r="120" ht="15.75" customHeight="1" outlineLevel="1">
      <c r="A120" s="643" t="s">
        <v>2778</v>
      </c>
      <c r="B120" s="643" t="s">
        <v>5725</v>
      </c>
      <c r="C120" s="643"/>
      <c r="D120" s="736"/>
      <c r="E120" s="743"/>
      <c r="F120" s="744" t="s">
        <v>2914</v>
      </c>
      <c r="G120" s="745" t="s">
        <v>5726</v>
      </c>
      <c r="H120" s="667" t="s">
        <v>2719</v>
      </c>
      <c r="I120" s="669">
        <v>0.60227414</v>
      </c>
      <c r="J120" s="669">
        <v>0.19406502</v>
      </c>
      <c r="K120" s="669">
        <v>0.33274878</v>
      </c>
      <c r="L120" s="669">
        <v>0.075460072</v>
      </c>
      <c r="M120" s="667">
        <v>0.0</v>
      </c>
      <c r="N120" s="746">
        <v>0.009678432</v>
      </c>
      <c r="O120" s="746">
        <v>0.0087056315</v>
      </c>
      <c r="P120" s="747">
        <v>26.211139</v>
      </c>
      <c r="Q120" s="747">
        <v>1.6</v>
      </c>
      <c r="R120" s="652"/>
      <c r="S120" s="645" t="s">
        <v>5727</v>
      </c>
      <c r="T120" s="696">
        <f t="shared" si="1"/>
        <v>0.5268138</v>
      </c>
      <c r="U120" s="634"/>
      <c r="V120" s="634"/>
      <c r="W120" s="634"/>
      <c r="X120" s="634"/>
      <c r="Y120" s="634"/>
      <c r="Z120" s="634"/>
    </row>
    <row r="121" ht="15.75" customHeight="1" outlineLevel="1">
      <c r="A121" s="643" t="s">
        <v>2778</v>
      </c>
      <c r="B121" s="643" t="s">
        <v>5728</v>
      </c>
      <c r="C121" s="643"/>
      <c r="D121" s="736"/>
      <c r="E121" s="743"/>
      <c r="F121" s="672" t="s">
        <v>2913</v>
      </c>
      <c r="G121" s="749" t="s">
        <v>5729</v>
      </c>
      <c r="H121" s="673" t="s">
        <v>2719</v>
      </c>
      <c r="I121" s="675">
        <v>0.70189591</v>
      </c>
      <c r="J121" s="675">
        <v>0.54008018</v>
      </c>
      <c r="K121" s="675">
        <v>0.11647553</v>
      </c>
      <c r="L121" s="675">
        <v>0.04533173360000001</v>
      </c>
      <c r="M121" s="673">
        <v>0.0</v>
      </c>
      <c r="N121" s="750">
        <v>0.035972235</v>
      </c>
      <c r="O121" s="750">
        <v>0.032338748</v>
      </c>
      <c r="P121" s="751">
        <v>82.119058</v>
      </c>
      <c r="Q121" s="751">
        <v>1.6</v>
      </c>
      <c r="R121" s="652"/>
      <c r="S121" s="645" t="s">
        <v>5730</v>
      </c>
      <c r="T121" s="696">
        <f t="shared" si="1"/>
        <v>0.65655571</v>
      </c>
      <c r="U121" s="634"/>
      <c r="V121" s="634"/>
      <c r="W121" s="634"/>
      <c r="X121" s="634"/>
      <c r="Y121" s="634"/>
      <c r="Z121" s="634"/>
    </row>
    <row r="122" ht="15.75" customHeight="1" outlineLevel="1">
      <c r="A122" s="643" t="s">
        <v>2801</v>
      </c>
      <c r="B122" s="643" t="s">
        <v>5731</v>
      </c>
      <c r="C122" s="643"/>
      <c r="D122" s="736"/>
      <c r="E122" s="737" t="s">
        <v>3016</v>
      </c>
      <c r="F122" s="738" t="s">
        <v>405</v>
      </c>
      <c r="G122" s="739" t="s">
        <v>5732</v>
      </c>
      <c r="H122" s="661" t="s">
        <v>2719</v>
      </c>
      <c r="I122" s="663">
        <v>1.5598877</v>
      </c>
      <c r="J122" s="663">
        <v>1.5011607</v>
      </c>
      <c r="K122" s="663">
        <v>0.041826233</v>
      </c>
      <c r="L122" s="663">
        <v>0.0168975586</v>
      </c>
      <c r="M122" s="661">
        <v>0.0</v>
      </c>
      <c r="N122" s="740">
        <v>0.12230369</v>
      </c>
      <c r="O122" s="740">
        <v>0.098145546</v>
      </c>
      <c r="P122" s="741">
        <v>270.99078</v>
      </c>
      <c r="Q122" s="741">
        <v>1.1000011000011</v>
      </c>
      <c r="R122" s="652"/>
      <c r="S122" s="645" t="s">
        <v>5733</v>
      </c>
      <c r="T122" s="696">
        <f t="shared" si="1"/>
        <v>1.542986933</v>
      </c>
      <c r="U122" s="634"/>
      <c r="V122" s="634"/>
      <c r="W122" s="634"/>
      <c r="X122" s="634"/>
      <c r="Y122" s="634"/>
      <c r="Z122" s="634"/>
    </row>
    <row r="123" ht="15.75" customHeight="1" outlineLevel="1">
      <c r="A123" s="643" t="s">
        <v>2801</v>
      </c>
      <c r="B123" s="643" t="s">
        <v>5734</v>
      </c>
      <c r="C123" s="643"/>
      <c r="D123" s="736"/>
      <c r="E123" s="743"/>
      <c r="F123" s="744" t="s">
        <v>2912</v>
      </c>
      <c r="G123" s="745" t="s">
        <v>5735</v>
      </c>
      <c r="H123" s="667" t="s">
        <v>2719</v>
      </c>
      <c r="I123" s="669">
        <v>1.3189324</v>
      </c>
      <c r="J123" s="669">
        <v>1.2982942</v>
      </c>
      <c r="K123" s="669">
        <v>0.016193053</v>
      </c>
      <c r="L123" s="669">
        <v>0.00444354331</v>
      </c>
      <c r="M123" s="667">
        <v>0.0</v>
      </c>
      <c r="N123" s="746">
        <v>0.11018993</v>
      </c>
      <c r="O123" s="746">
        <v>0.087116176</v>
      </c>
      <c r="P123" s="747">
        <v>254.22615</v>
      </c>
      <c r="Q123" s="747">
        <v>1.1000011000011</v>
      </c>
      <c r="R123" s="652"/>
      <c r="S123" s="645" t="s">
        <v>5736</v>
      </c>
      <c r="T123" s="696">
        <f t="shared" si="1"/>
        <v>1.314487253</v>
      </c>
      <c r="U123" s="634"/>
      <c r="V123" s="634"/>
      <c r="W123" s="634"/>
      <c r="X123" s="634"/>
      <c r="Y123" s="634"/>
      <c r="Z123" s="634"/>
    </row>
    <row r="124" ht="15.75" customHeight="1" outlineLevel="1">
      <c r="A124" s="643" t="s">
        <v>2801</v>
      </c>
      <c r="B124" s="643" t="s">
        <v>5737</v>
      </c>
      <c r="C124" s="643"/>
      <c r="D124" s="736"/>
      <c r="E124" s="743"/>
      <c r="F124" s="744" t="s">
        <v>2914</v>
      </c>
      <c r="G124" s="745" t="s">
        <v>5738</v>
      </c>
      <c r="H124" s="667" t="s">
        <v>2719</v>
      </c>
      <c r="I124" s="669">
        <v>0.025213033</v>
      </c>
      <c r="J124" s="669">
        <v>0.023144695</v>
      </c>
      <c r="K124" s="669">
        <v>0.0016297475</v>
      </c>
      <c r="L124" s="669">
        <v>4.38552882E-4</v>
      </c>
      <c r="M124" s="667">
        <v>0.0</v>
      </c>
      <c r="N124" s="746">
        <v>8.4743959E-4</v>
      </c>
      <c r="O124" s="746">
        <v>7.6431624E-4</v>
      </c>
      <c r="P124" s="747">
        <v>1.7114796</v>
      </c>
      <c r="Q124" s="747">
        <v>1.1000011000011</v>
      </c>
      <c r="R124" s="652"/>
      <c r="S124" s="645" t="s">
        <v>5739</v>
      </c>
      <c r="T124" s="696">
        <f t="shared" si="1"/>
        <v>0.0247744425</v>
      </c>
      <c r="U124" s="634"/>
      <c r="V124" s="634"/>
      <c r="W124" s="634"/>
      <c r="X124" s="634"/>
      <c r="Y124" s="634"/>
      <c r="Z124" s="634"/>
    </row>
    <row r="125" ht="15.75" customHeight="1" outlineLevel="1">
      <c r="A125" s="643" t="s">
        <v>2801</v>
      </c>
      <c r="B125" s="643" t="s">
        <v>5740</v>
      </c>
      <c r="C125" s="643"/>
      <c r="D125" s="736"/>
      <c r="E125" s="743"/>
      <c r="F125" s="672" t="s">
        <v>2913</v>
      </c>
      <c r="G125" s="749" t="s">
        <v>5741</v>
      </c>
      <c r="H125" s="673" t="s">
        <v>2719</v>
      </c>
      <c r="I125" s="675">
        <v>0.21574228</v>
      </c>
      <c r="J125" s="675">
        <v>0.17972184</v>
      </c>
      <c r="K125" s="675">
        <v>0.024003432</v>
      </c>
      <c r="L125" s="675">
        <v>0.012015462729999999</v>
      </c>
      <c r="M125" s="673">
        <v>0.0</v>
      </c>
      <c r="N125" s="750">
        <v>0.011266322</v>
      </c>
      <c r="O125" s="750">
        <v>0.010265053</v>
      </c>
      <c r="P125" s="751">
        <v>15.05315</v>
      </c>
      <c r="Q125" s="751">
        <v>1.1000011000011</v>
      </c>
      <c r="R125" s="652"/>
      <c r="S125" s="645" t="s">
        <v>5742</v>
      </c>
      <c r="T125" s="696">
        <f t="shared" si="1"/>
        <v>0.203725272</v>
      </c>
      <c r="U125" s="634"/>
      <c r="V125" s="634"/>
      <c r="W125" s="634"/>
      <c r="X125" s="634"/>
      <c r="Y125" s="634"/>
      <c r="Z125" s="634"/>
    </row>
    <row r="126" ht="15.75" customHeight="1" outlineLevel="1">
      <c r="A126" s="643" t="s">
        <v>2790</v>
      </c>
      <c r="B126" s="643" t="s">
        <v>5743</v>
      </c>
      <c r="C126" s="643"/>
      <c r="D126" s="736"/>
      <c r="E126" s="737" t="s">
        <v>3012</v>
      </c>
      <c r="F126" s="738" t="s">
        <v>405</v>
      </c>
      <c r="G126" s="739" t="s">
        <v>5744</v>
      </c>
      <c r="H126" s="661" t="s">
        <v>2719</v>
      </c>
      <c r="I126" s="663">
        <v>1.2939886</v>
      </c>
      <c r="J126" s="663">
        <v>0.11042381</v>
      </c>
      <c r="K126" s="663">
        <v>0.69315401</v>
      </c>
      <c r="L126" s="663">
        <v>0.49040963320000003</v>
      </c>
      <c r="M126" s="661">
        <v>0.0</v>
      </c>
      <c r="N126" s="740">
        <v>0.0098850486</v>
      </c>
      <c r="O126" s="740">
        <v>0.0086695058</v>
      </c>
      <c r="P126" s="741">
        <v>51.73347</v>
      </c>
      <c r="Q126" s="741">
        <v>46.1</v>
      </c>
      <c r="R126" s="652"/>
      <c r="S126" s="645" t="s">
        <v>5745</v>
      </c>
      <c r="T126" s="696">
        <f t="shared" si="1"/>
        <v>0.80357782</v>
      </c>
      <c r="U126" s="634"/>
      <c r="V126" s="634"/>
      <c r="W126" s="634"/>
      <c r="X126" s="634"/>
      <c r="Y126" s="634"/>
      <c r="Z126" s="634"/>
    </row>
    <row r="127" ht="15.75" customHeight="1" outlineLevel="1">
      <c r="A127" s="643" t="s">
        <v>2790</v>
      </c>
      <c r="B127" s="643" t="s">
        <v>5746</v>
      </c>
      <c r="C127" s="643"/>
      <c r="D127" s="736"/>
      <c r="E127" s="743"/>
      <c r="F127" s="744" t="s">
        <v>2912</v>
      </c>
      <c r="G127" s="745" t="s">
        <v>5747</v>
      </c>
      <c r="H127" s="667" t="s">
        <v>2719</v>
      </c>
      <c r="I127" s="669">
        <v>1.0936504</v>
      </c>
      <c r="J127" s="669">
        <v>0.011164855</v>
      </c>
      <c r="K127" s="669">
        <v>0.61434203</v>
      </c>
      <c r="L127" s="669">
        <v>0.46814347546</v>
      </c>
      <c r="M127" s="667">
        <v>0.0</v>
      </c>
      <c r="N127" s="746">
        <v>0.0015722182</v>
      </c>
      <c r="O127" s="746">
        <v>0.0010315817</v>
      </c>
      <c r="P127" s="747">
        <v>32.562569</v>
      </c>
      <c r="Q127" s="747">
        <v>46.1</v>
      </c>
      <c r="R127" s="652"/>
      <c r="S127" s="645" t="s">
        <v>5748</v>
      </c>
      <c r="T127" s="696">
        <f t="shared" si="1"/>
        <v>0.625506885</v>
      </c>
      <c r="U127" s="634"/>
      <c r="V127" s="634"/>
      <c r="W127" s="634"/>
      <c r="X127" s="634"/>
      <c r="Y127" s="634"/>
      <c r="Z127" s="634"/>
    </row>
    <row r="128" ht="15.75" customHeight="1" outlineLevel="1">
      <c r="A128" s="643" t="s">
        <v>2790</v>
      </c>
      <c r="B128" s="643" t="s">
        <v>5749</v>
      </c>
      <c r="C128" s="643"/>
      <c r="D128" s="736"/>
      <c r="E128" s="743"/>
      <c r="F128" s="744" t="s">
        <v>2914</v>
      </c>
      <c r="G128" s="745" t="s">
        <v>5750</v>
      </c>
      <c r="H128" s="667" t="s">
        <v>2719</v>
      </c>
      <c r="I128" s="669">
        <v>0.17384842</v>
      </c>
      <c r="J128" s="669">
        <v>0.082534337</v>
      </c>
      <c r="K128" s="669">
        <v>0.073672967</v>
      </c>
      <c r="L128" s="669">
        <v>0.017640920390000002</v>
      </c>
      <c r="M128" s="667">
        <v>0.0</v>
      </c>
      <c r="N128" s="746">
        <v>0.007228914</v>
      </c>
      <c r="O128" s="746">
        <v>0.0066772364</v>
      </c>
      <c r="P128" s="747">
        <v>16.270565</v>
      </c>
      <c r="Q128" s="747">
        <v>46.1</v>
      </c>
      <c r="R128" s="652"/>
      <c r="S128" s="645" t="s">
        <v>5751</v>
      </c>
      <c r="T128" s="696">
        <f t="shared" si="1"/>
        <v>0.156207304</v>
      </c>
      <c r="U128" s="634"/>
      <c r="V128" s="634"/>
      <c r="W128" s="634"/>
      <c r="X128" s="634"/>
      <c r="Y128" s="634"/>
      <c r="Z128" s="634"/>
    </row>
    <row r="129" ht="15.75" customHeight="1" outlineLevel="1">
      <c r="A129" s="643" t="s">
        <v>2790</v>
      </c>
      <c r="B129" s="643" t="s">
        <v>5752</v>
      </c>
      <c r="C129" s="643"/>
      <c r="D129" s="736"/>
      <c r="E129" s="743"/>
      <c r="F129" s="672" t="s">
        <v>2913</v>
      </c>
      <c r="G129" s="749" t="s">
        <v>5753</v>
      </c>
      <c r="H129" s="673" t="s">
        <v>2719</v>
      </c>
      <c r="I129" s="675">
        <v>0.02648985</v>
      </c>
      <c r="J129" s="675">
        <v>0.016724614</v>
      </c>
      <c r="K129" s="675">
        <v>0.0051390155</v>
      </c>
      <c r="L129" s="675">
        <v>0.0046252401120000005</v>
      </c>
      <c r="M129" s="673">
        <v>0.0</v>
      </c>
      <c r="N129" s="750">
        <v>0.0010839164</v>
      </c>
      <c r="O129" s="750">
        <v>9.6068772E-4</v>
      </c>
      <c r="P129" s="751">
        <v>2.9003359</v>
      </c>
      <c r="Q129" s="751">
        <v>46.1</v>
      </c>
      <c r="R129" s="652"/>
      <c r="S129" s="645" t="s">
        <v>5754</v>
      </c>
      <c r="T129" s="696">
        <f t="shared" si="1"/>
        <v>0.0218636295</v>
      </c>
      <c r="U129" s="634"/>
      <c r="V129" s="634"/>
      <c r="W129" s="634"/>
      <c r="X129" s="634"/>
      <c r="Y129" s="634"/>
      <c r="Z129" s="634"/>
    </row>
    <row r="130" ht="15.75" customHeight="1" outlineLevel="1">
      <c r="A130" s="643" t="s">
        <v>2795</v>
      </c>
      <c r="B130" s="643" t="s">
        <v>5755</v>
      </c>
      <c r="C130" s="643"/>
      <c r="D130" s="736"/>
      <c r="E130" s="737" t="s">
        <v>3014</v>
      </c>
      <c r="F130" s="738" t="s">
        <v>405</v>
      </c>
      <c r="G130" s="739" t="s">
        <v>5756</v>
      </c>
      <c r="H130" s="661" t="s">
        <v>2719</v>
      </c>
      <c r="I130" s="663">
        <v>0.85584805</v>
      </c>
      <c r="J130" s="663">
        <v>0.77811806</v>
      </c>
      <c r="K130" s="663">
        <v>0.061632196</v>
      </c>
      <c r="L130" s="663">
        <v>0.01609662768</v>
      </c>
      <c r="M130" s="661">
        <v>0.0</v>
      </c>
      <c r="N130" s="740">
        <v>0.051838298</v>
      </c>
      <c r="O130" s="740">
        <v>0.04937845</v>
      </c>
      <c r="P130" s="741">
        <v>76.650017</v>
      </c>
      <c r="Q130" s="741">
        <v>21.0</v>
      </c>
      <c r="R130" s="652"/>
      <c r="S130" s="645" t="s">
        <v>5757</v>
      </c>
      <c r="T130" s="696">
        <f t="shared" si="1"/>
        <v>0.839750256</v>
      </c>
      <c r="U130" s="634"/>
      <c r="V130" s="634"/>
      <c r="W130" s="634"/>
      <c r="X130" s="634"/>
      <c r="Y130" s="634"/>
      <c r="Z130" s="634"/>
    </row>
    <row r="131" ht="15.75" customHeight="1" outlineLevel="1">
      <c r="A131" s="643" t="s">
        <v>2795</v>
      </c>
      <c r="B131" s="643" t="s">
        <v>5758</v>
      </c>
      <c r="C131" s="643"/>
      <c r="D131" s="736"/>
      <c r="E131" s="743"/>
      <c r="F131" s="744" t="s">
        <v>2912</v>
      </c>
      <c r="G131" s="745" t="s">
        <v>5759</v>
      </c>
      <c r="H131" s="667" t="s">
        <v>2719</v>
      </c>
      <c r="I131" s="669">
        <v>0.6606685</v>
      </c>
      <c r="J131" s="669">
        <v>0.65281446</v>
      </c>
      <c r="K131" s="669">
        <v>0.0061389584</v>
      </c>
      <c r="L131" s="669">
        <v>0.00171424475</v>
      </c>
      <c r="M131" s="667">
        <v>0.0</v>
      </c>
      <c r="N131" s="746">
        <v>0.045944582</v>
      </c>
      <c r="O131" s="746">
        <v>0.044045042</v>
      </c>
      <c r="P131" s="747">
        <v>64.879533</v>
      </c>
      <c r="Q131" s="747">
        <v>21.0</v>
      </c>
      <c r="R131" s="652"/>
      <c r="S131" s="645" t="s">
        <v>5760</v>
      </c>
      <c r="T131" s="696">
        <f t="shared" si="1"/>
        <v>0.6589534184</v>
      </c>
      <c r="U131" s="634"/>
      <c r="V131" s="634"/>
      <c r="W131" s="634"/>
      <c r="X131" s="634"/>
      <c r="Y131" s="634"/>
      <c r="Z131" s="634"/>
    </row>
    <row r="132" ht="15.75" customHeight="1" outlineLevel="1">
      <c r="A132" s="643" t="s">
        <v>2795</v>
      </c>
      <c r="B132" s="643" t="s">
        <v>5761</v>
      </c>
      <c r="C132" s="643"/>
      <c r="D132" s="736"/>
      <c r="E132" s="743"/>
      <c r="F132" s="744" t="s">
        <v>2914</v>
      </c>
      <c r="G132" s="745" t="s">
        <v>5762</v>
      </c>
      <c r="H132" s="667" t="s">
        <v>2719</v>
      </c>
      <c r="I132" s="669">
        <v>0.12296511</v>
      </c>
      <c r="J132" s="669">
        <v>0.090842079</v>
      </c>
      <c r="K132" s="669">
        <v>0.025993074</v>
      </c>
      <c r="L132" s="669">
        <v>0.00612981676</v>
      </c>
      <c r="M132" s="667">
        <v>0.0</v>
      </c>
      <c r="N132" s="746">
        <v>0.0034841749</v>
      </c>
      <c r="O132" s="746">
        <v>0.0031409792</v>
      </c>
      <c r="P132" s="747">
        <v>7.4459095</v>
      </c>
      <c r="Q132" s="747">
        <v>21.0</v>
      </c>
      <c r="R132" s="652"/>
      <c r="S132" s="645" t="s">
        <v>5763</v>
      </c>
      <c r="T132" s="696">
        <f t="shared" si="1"/>
        <v>0.116835153</v>
      </c>
      <c r="U132" s="634"/>
      <c r="V132" s="634"/>
      <c r="W132" s="634"/>
      <c r="X132" s="634"/>
      <c r="Y132" s="634"/>
      <c r="Z132" s="634"/>
    </row>
    <row r="133" ht="15.75" customHeight="1" outlineLevel="1">
      <c r="A133" s="643" t="s">
        <v>2795</v>
      </c>
      <c r="B133" s="643" t="s">
        <v>5764</v>
      </c>
      <c r="C133" s="643"/>
      <c r="D133" s="736"/>
      <c r="E133" s="743"/>
      <c r="F133" s="672" t="s">
        <v>2913</v>
      </c>
      <c r="G133" s="749" t="s">
        <v>5765</v>
      </c>
      <c r="H133" s="673" t="s">
        <v>2719</v>
      </c>
      <c r="I133" s="675">
        <v>0.072214426</v>
      </c>
      <c r="J133" s="675">
        <v>0.03446151</v>
      </c>
      <c r="K133" s="675">
        <v>0.029500163</v>
      </c>
      <c r="L133" s="675">
        <v>0.00825256576</v>
      </c>
      <c r="M133" s="673">
        <v>0.0</v>
      </c>
      <c r="N133" s="750">
        <v>0.0024095406</v>
      </c>
      <c r="O133" s="750">
        <v>0.0021924288</v>
      </c>
      <c r="P133" s="751">
        <v>4.3245735</v>
      </c>
      <c r="Q133" s="751">
        <v>21.0</v>
      </c>
      <c r="R133" s="652"/>
      <c r="S133" s="645" t="s">
        <v>5766</v>
      </c>
      <c r="T133" s="696">
        <f t="shared" si="1"/>
        <v>0.063961673</v>
      </c>
      <c r="U133" s="634"/>
      <c r="V133" s="634"/>
      <c r="W133" s="634"/>
      <c r="X133" s="634"/>
      <c r="Y133" s="634"/>
      <c r="Z133" s="634"/>
    </row>
    <row r="134" ht="15.75" customHeight="1" outlineLevel="1">
      <c r="A134" s="643" t="s">
        <v>2806</v>
      </c>
      <c r="B134" s="643" t="s">
        <v>5767</v>
      </c>
      <c r="C134" s="643"/>
      <c r="D134" s="736"/>
      <c r="E134" s="737" t="s">
        <v>3018</v>
      </c>
      <c r="F134" s="738" t="s">
        <v>405</v>
      </c>
      <c r="G134" s="739" t="s">
        <v>5768</v>
      </c>
      <c r="H134" s="661" t="s">
        <v>2719</v>
      </c>
      <c r="I134" s="663">
        <v>1.2141968</v>
      </c>
      <c r="J134" s="663">
        <v>0.27143161</v>
      </c>
      <c r="K134" s="663">
        <v>0.76802471</v>
      </c>
      <c r="L134" s="663">
        <v>0.17474015069999999</v>
      </c>
      <c r="M134" s="661">
        <v>0.0</v>
      </c>
      <c r="N134" s="740">
        <v>0.02271533</v>
      </c>
      <c r="O134" s="740">
        <v>0.020934657</v>
      </c>
      <c r="P134" s="741">
        <v>55.528841</v>
      </c>
      <c r="Q134" s="741">
        <v>52.9</v>
      </c>
      <c r="R134" s="652"/>
      <c r="S134" s="645" t="s">
        <v>5769</v>
      </c>
      <c r="T134" s="696">
        <f t="shared" si="1"/>
        <v>1.03945632</v>
      </c>
      <c r="U134" s="634"/>
      <c r="V134" s="634"/>
      <c r="W134" s="634"/>
      <c r="X134" s="634"/>
      <c r="Y134" s="634"/>
      <c r="Z134" s="634"/>
    </row>
    <row r="135" ht="15.75" customHeight="1" outlineLevel="1">
      <c r="A135" s="643" t="s">
        <v>2806</v>
      </c>
      <c r="B135" s="643" t="s">
        <v>5770</v>
      </c>
      <c r="C135" s="643"/>
      <c r="D135" s="736"/>
      <c r="E135" s="743"/>
      <c r="F135" s="744" t="s">
        <v>2912</v>
      </c>
      <c r="G135" s="745" t="s">
        <v>5771</v>
      </c>
      <c r="H135" s="667" t="s">
        <v>2719</v>
      </c>
      <c r="I135" s="669">
        <v>0.91270987</v>
      </c>
      <c r="J135" s="669">
        <v>0.10294044</v>
      </c>
      <c r="K135" s="669">
        <v>0.66148297</v>
      </c>
      <c r="L135" s="669">
        <v>0.14828638389999999</v>
      </c>
      <c r="M135" s="667">
        <v>0.0</v>
      </c>
      <c r="N135" s="746">
        <v>0.0084060233</v>
      </c>
      <c r="O135" s="746">
        <v>0.0075117936</v>
      </c>
      <c r="P135" s="747">
        <v>29.517576</v>
      </c>
      <c r="Q135" s="747">
        <v>52.9</v>
      </c>
      <c r="R135" s="652"/>
      <c r="S135" s="645" t="s">
        <v>5772</v>
      </c>
      <c r="T135" s="696">
        <f t="shared" si="1"/>
        <v>0.76442341</v>
      </c>
      <c r="U135" s="634"/>
      <c r="V135" s="634"/>
      <c r="W135" s="634"/>
      <c r="X135" s="634"/>
      <c r="Y135" s="634"/>
      <c r="Z135" s="634"/>
    </row>
    <row r="136" ht="15.75" customHeight="1" outlineLevel="1">
      <c r="A136" s="643" t="s">
        <v>2806</v>
      </c>
      <c r="B136" s="643" t="s">
        <v>5773</v>
      </c>
      <c r="C136" s="643"/>
      <c r="D136" s="736"/>
      <c r="E136" s="743"/>
      <c r="F136" s="744" t="s">
        <v>2914</v>
      </c>
      <c r="G136" s="745" t="s">
        <v>5774</v>
      </c>
      <c r="H136" s="667" t="s">
        <v>2719</v>
      </c>
      <c r="I136" s="669">
        <v>0.24013786</v>
      </c>
      <c r="J136" s="669">
        <v>0.13999866</v>
      </c>
      <c r="K136" s="669">
        <v>0.080121206</v>
      </c>
      <c r="L136" s="669">
        <v>0.02001777045</v>
      </c>
      <c r="M136" s="667">
        <v>0.0</v>
      </c>
      <c r="N136" s="746">
        <v>0.012279817</v>
      </c>
      <c r="O136" s="746">
        <v>0.011548458</v>
      </c>
      <c r="P136" s="747">
        <v>21.663786</v>
      </c>
      <c r="Q136" s="747">
        <v>52.9</v>
      </c>
      <c r="R136" s="652"/>
      <c r="S136" s="645" t="s">
        <v>5775</v>
      </c>
      <c r="T136" s="696">
        <f t="shared" si="1"/>
        <v>0.220119866</v>
      </c>
      <c r="U136" s="634"/>
      <c r="V136" s="634"/>
      <c r="W136" s="634"/>
      <c r="X136" s="634"/>
      <c r="Y136" s="634"/>
      <c r="Z136" s="634"/>
    </row>
    <row r="137" ht="15.75" customHeight="1" outlineLevel="1">
      <c r="A137" s="643" t="s">
        <v>2806</v>
      </c>
      <c r="B137" s="643" t="s">
        <v>5776</v>
      </c>
      <c r="C137" s="643"/>
      <c r="D137" s="736"/>
      <c r="E137" s="743"/>
      <c r="F137" s="672" t="s">
        <v>2913</v>
      </c>
      <c r="G137" s="749" t="s">
        <v>5777</v>
      </c>
      <c r="H137" s="673" t="s">
        <v>2719</v>
      </c>
      <c r="I137" s="675">
        <v>0.061349078</v>
      </c>
      <c r="J137" s="675">
        <v>0.028492506</v>
      </c>
      <c r="K137" s="675">
        <v>0.026420539</v>
      </c>
      <c r="L137" s="675">
        <v>0.00643599898</v>
      </c>
      <c r="M137" s="673">
        <v>0.0</v>
      </c>
      <c r="N137" s="750">
        <v>0.0020294892</v>
      </c>
      <c r="O137" s="750">
        <v>0.0018744057</v>
      </c>
      <c r="P137" s="751">
        <v>4.3474791</v>
      </c>
      <c r="Q137" s="751">
        <v>52.9</v>
      </c>
      <c r="R137" s="652"/>
      <c r="S137" s="645" t="s">
        <v>5778</v>
      </c>
      <c r="T137" s="696">
        <f t="shared" si="1"/>
        <v>0.054913045</v>
      </c>
      <c r="U137" s="634"/>
      <c r="V137" s="634"/>
      <c r="W137" s="634"/>
      <c r="X137" s="634"/>
      <c r="Y137" s="634"/>
      <c r="Z137" s="634"/>
    </row>
    <row r="138" ht="15.75" customHeight="1" outlineLevel="1">
      <c r="A138" s="643" t="s">
        <v>2811</v>
      </c>
      <c r="B138" s="643" t="s">
        <v>5779</v>
      </c>
      <c r="C138" s="643"/>
      <c r="D138" s="736"/>
      <c r="E138" s="737" t="s">
        <v>3019</v>
      </c>
      <c r="F138" s="738" t="s">
        <v>405</v>
      </c>
      <c r="G138" s="739" t="s">
        <v>5780</v>
      </c>
      <c r="H138" s="661" t="s">
        <v>2719</v>
      </c>
      <c r="I138" s="663">
        <v>1.4717398</v>
      </c>
      <c r="J138" s="663">
        <v>0.32299986</v>
      </c>
      <c r="K138" s="663">
        <v>0.93655101</v>
      </c>
      <c r="L138" s="663">
        <v>0.2121883859</v>
      </c>
      <c r="M138" s="661">
        <v>0.0</v>
      </c>
      <c r="N138" s="740">
        <v>0.01993547</v>
      </c>
      <c r="O138" s="740">
        <v>0.01733934</v>
      </c>
      <c r="P138" s="741">
        <v>55.333786</v>
      </c>
      <c r="Q138" s="741">
        <v>26.0</v>
      </c>
      <c r="R138" s="652"/>
      <c r="S138" s="645" t="s">
        <v>5781</v>
      </c>
      <c r="T138" s="696">
        <f t="shared" si="1"/>
        <v>1.25955087</v>
      </c>
      <c r="U138" s="634"/>
      <c r="V138" s="634"/>
      <c r="W138" s="634"/>
      <c r="X138" s="634"/>
      <c r="Y138" s="634"/>
      <c r="Z138" s="634"/>
    </row>
    <row r="139" ht="15.75" customHeight="1" outlineLevel="1">
      <c r="A139" s="643" t="s">
        <v>2811</v>
      </c>
      <c r="B139" s="643" t="s">
        <v>5782</v>
      </c>
      <c r="C139" s="643"/>
      <c r="D139" s="736"/>
      <c r="E139" s="743"/>
      <c r="F139" s="744" t="s">
        <v>2912</v>
      </c>
      <c r="G139" s="745" t="s">
        <v>5783</v>
      </c>
      <c r="H139" s="667" t="s">
        <v>2719</v>
      </c>
      <c r="I139" s="669">
        <v>1.1899032</v>
      </c>
      <c r="J139" s="669">
        <v>0.13420383</v>
      </c>
      <c r="K139" s="669">
        <v>0.8623778</v>
      </c>
      <c r="L139" s="669">
        <v>0.1933215131</v>
      </c>
      <c r="M139" s="667">
        <v>0.0</v>
      </c>
      <c r="N139" s="746">
        <v>0.01158507</v>
      </c>
      <c r="O139" s="746">
        <v>0.0097931531</v>
      </c>
      <c r="P139" s="747">
        <v>38.314363</v>
      </c>
      <c r="Q139" s="747">
        <v>26.0</v>
      </c>
      <c r="R139" s="652"/>
      <c r="S139" s="645" t="s">
        <v>5784</v>
      </c>
      <c r="T139" s="696">
        <f t="shared" si="1"/>
        <v>0.99658163</v>
      </c>
      <c r="U139" s="634"/>
      <c r="V139" s="634"/>
      <c r="W139" s="634"/>
      <c r="X139" s="634"/>
      <c r="Y139" s="634"/>
      <c r="Z139" s="634"/>
    </row>
    <row r="140" ht="15.75" customHeight="1" outlineLevel="1">
      <c r="A140" s="643" t="s">
        <v>2811</v>
      </c>
      <c r="B140" s="643" t="s">
        <v>5785</v>
      </c>
      <c r="C140" s="643"/>
      <c r="D140" s="736"/>
      <c r="E140" s="743"/>
      <c r="F140" s="744" t="s">
        <v>2914</v>
      </c>
      <c r="G140" s="745" t="s">
        <v>5786</v>
      </c>
      <c r="H140" s="667" t="s">
        <v>2719</v>
      </c>
      <c r="I140" s="669">
        <v>0.20556876</v>
      </c>
      <c r="J140" s="669">
        <v>0.15240547</v>
      </c>
      <c r="K140" s="669">
        <v>0.043013027</v>
      </c>
      <c r="L140" s="669">
        <v>0.01015001353</v>
      </c>
      <c r="M140" s="667">
        <v>0.0</v>
      </c>
      <c r="N140" s="746">
        <v>0.005840588</v>
      </c>
      <c r="O140" s="746">
        <v>0.0052653245</v>
      </c>
      <c r="P140" s="747">
        <v>12.469845</v>
      </c>
      <c r="Q140" s="747">
        <v>26.0</v>
      </c>
      <c r="R140" s="652"/>
      <c r="S140" s="645" t="s">
        <v>5787</v>
      </c>
      <c r="T140" s="696">
        <f t="shared" si="1"/>
        <v>0.195418497</v>
      </c>
      <c r="U140" s="634"/>
      <c r="V140" s="634"/>
      <c r="W140" s="634"/>
      <c r="X140" s="634"/>
      <c r="Y140" s="634"/>
      <c r="Z140" s="634"/>
    </row>
    <row r="141" ht="15.75" customHeight="1" outlineLevel="1">
      <c r="A141" s="643" t="s">
        <v>2811</v>
      </c>
      <c r="B141" s="643" t="s">
        <v>5788</v>
      </c>
      <c r="C141" s="643"/>
      <c r="D141" s="671"/>
      <c r="E141" s="763"/>
      <c r="F141" s="672" t="s">
        <v>2913</v>
      </c>
      <c r="G141" s="749" t="s">
        <v>5789</v>
      </c>
      <c r="H141" s="673" t="s">
        <v>2719</v>
      </c>
      <c r="I141" s="675">
        <v>0.076267824</v>
      </c>
      <c r="J141" s="675">
        <v>0.036390567</v>
      </c>
      <c r="K141" s="675">
        <v>0.031160193</v>
      </c>
      <c r="L141" s="675">
        <v>0.00871686637</v>
      </c>
      <c r="M141" s="673">
        <v>0.0</v>
      </c>
      <c r="N141" s="750">
        <v>0.0025098123</v>
      </c>
      <c r="O141" s="750">
        <v>0.0022808629</v>
      </c>
      <c r="P141" s="751">
        <v>4.5495781</v>
      </c>
      <c r="Q141" s="751">
        <v>26.0</v>
      </c>
      <c r="R141" s="652"/>
      <c r="S141" s="645" t="s">
        <v>5790</v>
      </c>
      <c r="T141" s="765">
        <f t="shared" si="1"/>
        <v>0.06755076</v>
      </c>
      <c r="U141" s="634"/>
      <c r="V141" s="634"/>
      <c r="W141" s="634"/>
      <c r="X141" s="634"/>
      <c r="Y141" s="634"/>
      <c r="Z141" s="634"/>
    </row>
    <row r="142" ht="15.75" customHeight="1">
      <c r="A142" s="643"/>
      <c r="B142" s="643"/>
      <c r="C142" s="643"/>
      <c r="D142" s="643"/>
      <c r="E142" s="766" t="s">
        <v>5791</v>
      </c>
      <c r="F142" s="643"/>
      <c r="G142" s="643"/>
      <c r="H142" s="643"/>
      <c r="I142" s="643"/>
      <c r="J142" s="643"/>
      <c r="K142" s="643"/>
      <c r="L142" s="643"/>
      <c r="M142" s="643"/>
      <c r="N142" s="767"/>
      <c r="O142" s="767"/>
      <c r="P142" s="768"/>
      <c r="Q142" s="731"/>
      <c r="R142" s="643"/>
      <c r="S142" s="643"/>
      <c r="T142" s="634"/>
      <c r="U142" s="634"/>
      <c r="V142" s="634"/>
      <c r="W142" s="634"/>
      <c r="X142" s="634"/>
      <c r="Y142" s="634"/>
      <c r="Z142" s="634"/>
    </row>
    <row r="143" ht="15.75" customHeight="1">
      <c r="A143" s="643"/>
      <c r="B143" s="643"/>
      <c r="C143" s="643"/>
      <c r="D143" s="643"/>
      <c r="E143" s="766"/>
      <c r="F143" s="645"/>
      <c r="G143" s="643"/>
      <c r="H143" s="646"/>
      <c r="I143" s="645"/>
      <c r="J143" s="645"/>
      <c r="K143" s="645"/>
      <c r="L143" s="645"/>
      <c r="M143" s="645"/>
      <c r="N143" s="648"/>
      <c r="O143" s="648"/>
      <c r="P143" s="649"/>
      <c r="Q143" s="731"/>
      <c r="R143" s="643"/>
      <c r="S143" s="643"/>
      <c r="T143" s="634"/>
      <c r="U143" s="634"/>
      <c r="V143" s="634"/>
      <c r="W143" s="634"/>
      <c r="X143" s="634"/>
      <c r="Y143" s="634"/>
      <c r="Z143" s="634"/>
    </row>
    <row r="144" ht="15.75" customHeight="1">
      <c r="A144" s="643"/>
      <c r="B144" s="643"/>
      <c r="C144" s="643"/>
      <c r="D144" s="643"/>
      <c r="E144" s="643" t="s">
        <v>5222</v>
      </c>
      <c r="F144" s="645"/>
      <c r="G144" s="643"/>
      <c r="H144" s="646"/>
      <c r="I144" s="645"/>
      <c r="J144" s="645"/>
      <c r="K144" s="645"/>
      <c r="L144" s="645"/>
      <c r="M144" s="645"/>
      <c r="N144" s="648"/>
      <c r="O144" s="648"/>
      <c r="P144" s="649"/>
      <c r="Q144" s="731"/>
      <c r="R144" s="643"/>
      <c r="S144" s="643"/>
      <c r="T144" s="634"/>
      <c r="U144" s="634"/>
      <c r="V144" s="634"/>
      <c r="W144" s="634"/>
      <c r="X144" s="634"/>
      <c r="Y144" s="634"/>
      <c r="Z144" s="634"/>
    </row>
    <row r="145" ht="15.75" customHeight="1">
      <c r="A145" s="643"/>
      <c r="B145" s="643"/>
      <c r="C145" s="643"/>
      <c r="D145" s="643"/>
      <c r="E145" s="643" t="s">
        <v>5792</v>
      </c>
      <c r="F145" s="645"/>
      <c r="G145" s="643"/>
      <c r="H145" s="646"/>
      <c r="I145" s="645"/>
      <c r="J145" s="645"/>
      <c r="K145" s="645"/>
      <c r="L145" s="645"/>
      <c r="M145" s="645"/>
      <c r="N145" s="648"/>
      <c r="O145" s="648"/>
      <c r="P145" s="649"/>
      <c r="Q145" s="731"/>
      <c r="R145" s="643"/>
      <c r="S145" s="643"/>
      <c r="T145" s="634"/>
      <c r="U145" s="634"/>
      <c r="V145" s="634"/>
      <c r="W145" s="634"/>
      <c r="X145" s="634"/>
      <c r="Y145" s="634"/>
      <c r="Z145" s="634"/>
    </row>
    <row r="146" ht="15.75" customHeight="1">
      <c r="A146" s="643"/>
      <c r="B146" s="643"/>
      <c r="C146" s="643"/>
      <c r="D146" s="643"/>
      <c r="E146" s="643"/>
      <c r="F146" s="645"/>
      <c r="G146" s="643"/>
      <c r="H146" s="646"/>
      <c r="I146" s="645"/>
      <c r="J146" s="645"/>
      <c r="K146" s="645"/>
      <c r="L146" s="645"/>
      <c r="M146" s="645"/>
      <c r="N146" s="648"/>
      <c r="O146" s="648"/>
      <c r="P146" s="649"/>
      <c r="Q146" s="731"/>
      <c r="R146" s="643"/>
      <c r="S146" s="643"/>
      <c r="T146" s="634"/>
      <c r="U146" s="634"/>
      <c r="V146" s="634"/>
      <c r="W146" s="634"/>
      <c r="X146" s="634"/>
      <c r="Y146" s="634"/>
      <c r="Z146" s="634"/>
    </row>
    <row r="147" ht="15.75" customHeight="1">
      <c r="A147" s="643"/>
      <c r="B147" s="643"/>
      <c r="C147" s="643"/>
      <c r="D147" s="644" t="s">
        <v>5793</v>
      </c>
      <c r="E147" s="643"/>
      <c r="F147" s="645"/>
      <c r="G147" s="643"/>
      <c r="H147" s="646"/>
      <c r="I147" s="645"/>
      <c r="J147" s="645"/>
      <c r="K147" s="645"/>
      <c r="L147" s="645"/>
      <c r="M147" s="645"/>
      <c r="N147" s="648"/>
      <c r="O147" s="648"/>
      <c r="P147" s="649"/>
      <c r="Q147" s="731"/>
      <c r="R147" s="643"/>
      <c r="S147" s="643"/>
      <c r="T147" s="634"/>
      <c r="U147" s="634"/>
      <c r="V147" s="634"/>
      <c r="W147" s="634"/>
      <c r="X147" s="634"/>
      <c r="Y147" s="634"/>
      <c r="Z147" s="634"/>
    </row>
    <row r="148" ht="115.5" customHeight="1">
      <c r="A148" s="652"/>
      <c r="B148" s="652"/>
      <c r="C148" s="652"/>
      <c r="D148" s="653"/>
      <c r="E148" s="653" t="s">
        <v>5226</v>
      </c>
      <c r="F148" s="653" t="s">
        <v>5379</v>
      </c>
      <c r="G148" s="655" t="s">
        <v>5025</v>
      </c>
      <c r="H148" s="657" t="s">
        <v>5026</v>
      </c>
      <c r="I148" s="657" t="s">
        <v>5027</v>
      </c>
      <c r="J148" s="657" t="s">
        <v>5028</v>
      </c>
      <c r="K148" s="657" t="s">
        <v>5029</v>
      </c>
      <c r="L148" s="657" t="s">
        <v>5030</v>
      </c>
      <c r="M148" s="657" t="s">
        <v>5031</v>
      </c>
      <c r="N148" s="733" t="s">
        <v>5032</v>
      </c>
      <c r="O148" s="733" t="s">
        <v>5033</v>
      </c>
      <c r="P148" s="734" t="s">
        <v>5034</v>
      </c>
      <c r="Q148" s="735" t="s">
        <v>5794</v>
      </c>
      <c r="R148" s="656" t="s">
        <v>5795</v>
      </c>
      <c r="S148" s="643"/>
      <c r="T148" s="658" t="s">
        <v>5035</v>
      </c>
      <c r="U148" s="634"/>
      <c r="V148" s="634"/>
      <c r="W148" s="634"/>
      <c r="X148" s="634"/>
      <c r="Y148" s="634"/>
      <c r="Z148" s="634"/>
    </row>
    <row r="149" ht="15.75" customHeight="1">
      <c r="A149" s="643"/>
      <c r="B149" s="643"/>
      <c r="C149" s="643"/>
      <c r="D149" s="736" t="s">
        <v>2945</v>
      </c>
      <c r="E149" s="737" t="s">
        <v>2947</v>
      </c>
      <c r="F149" s="738" t="s">
        <v>405</v>
      </c>
      <c r="G149" s="739" t="s">
        <v>5382</v>
      </c>
      <c r="H149" s="661" t="s">
        <v>382</v>
      </c>
      <c r="I149" s="663">
        <v>6.0466503</v>
      </c>
      <c r="J149" s="663">
        <v>5.8607437</v>
      </c>
      <c r="K149" s="663">
        <v>0.14043052</v>
      </c>
      <c r="L149" s="663">
        <v>0.045468941799999996</v>
      </c>
      <c r="M149" s="661">
        <v>0.0</v>
      </c>
      <c r="N149" s="740">
        <v>0.41188708</v>
      </c>
      <c r="O149" s="740">
        <v>0.3899968</v>
      </c>
      <c r="P149" s="741">
        <v>488.76255</v>
      </c>
      <c r="Q149" s="769" t="s">
        <v>2208</v>
      </c>
      <c r="R149" s="770" t="s">
        <v>5796</v>
      </c>
      <c r="S149" s="652"/>
      <c r="T149" s="765">
        <f t="shared" ref="T149:T284" si="2">IF(OR(J149="",K149=""),"",J149+K149)</f>
        <v>6.00117422</v>
      </c>
      <c r="U149" s="690"/>
      <c r="V149" s="690"/>
      <c r="W149" s="690"/>
      <c r="X149" s="690"/>
      <c r="Y149" s="690"/>
      <c r="Z149" s="690"/>
    </row>
    <row r="150" ht="15.75" customHeight="1" outlineLevel="1">
      <c r="A150" s="643"/>
      <c r="B150" s="643"/>
      <c r="C150" s="643"/>
      <c r="D150" s="736"/>
      <c r="E150" s="743"/>
      <c r="F150" s="744" t="s">
        <v>2912</v>
      </c>
      <c r="G150" s="745" t="s">
        <v>5385</v>
      </c>
      <c r="H150" s="667" t="s">
        <v>382</v>
      </c>
      <c r="I150" s="669">
        <v>5.3503008</v>
      </c>
      <c r="J150" s="669">
        <v>5.2834023</v>
      </c>
      <c r="K150" s="669">
        <v>0.052177797</v>
      </c>
      <c r="L150" s="669">
        <v>0.0147138434</v>
      </c>
      <c r="M150" s="667">
        <v>0.0</v>
      </c>
      <c r="N150" s="746">
        <v>0.37077225</v>
      </c>
      <c r="O150" s="746">
        <v>0.35271142</v>
      </c>
      <c r="P150" s="747">
        <v>426.46645</v>
      </c>
      <c r="Q150" s="771" t="s">
        <v>2208</v>
      </c>
      <c r="R150" s="772" t="s">
        <v>5796</v>
      </c>
      <c r="S150" s="643"/>
      <c r="T150" s="765">
        <f t="shared" si="2"/>
        <v>5.335580097</v>
      </c>
      <c r="U150" s="634"/>
      <c r="V150" s="634"/>
      <c r="W150" s="634"/>
      <c r="X150" s="634"/>
      <c r="Y150" s="634"/>
      <c r="Z150" s="634"/>
    </row>
    <row r="151" ht="15.75" customHeight="1" outlineLevel="1">
      <c r="A151" s="643"/>
      <c r="B151" s="643"/>
      <c r="C151" s="643"/>
      <c r="D151" s="736"/>
      <c r="E151" s="743"/>
      <c r="F151" s="744" t="s">
        <v>2914</v>
      </c>
      <c r="G151" s="745" t="s">
        <v>5388</v>
      </c>
      <c r="H151" s="667" t="s">
        <v>382</v>
      </c>
      <c r="I151" s="669">
        <v>0.0</v>
      </c>
      <c r="J151" s="669">
        <v>0.0</v>
      </c>
      <c r="K151" s="669">
        <v>0.0</v>
      </c>
      <c r="L151" s="669">
        <v>0.0</v>
      </c>
      <c r="M151" s="667">
        <v>0.0</v>
      </c>
      <c r="N151" s="746">
        <v>0.0</v>
      </c>
      <c r="O151" s="746">
        <v>0.0</v>
      </c>
      <c r="P151" s="747">
        <v>0.0</v>
      </c>
      <c r="Q151" s="771" t="s">
        <v>2208</v>
      </c>
      <c r="R151" s="772"/>
      <c r="S151" s="643"/>
      <c r="T151" s="765">
        <f t="shared" si="2"/>
        <v>0</v>
      </c>
      <c r="U151" s="634"/>
      <c r="V151" s="634"/>
      <c r="W151" s="634"/>
      <c r="X151" s="634"/>
      <c r="Y151" s="634"/>
      <c r="Z151" s="634"/>
    </row>
    <row r="152" ht="15.75" customHeight="1" outlineLevel="1">
      <c r="A152" s="643"/>
      <c r="B152" s="643"/>
      <c r="C152" s="643"/>
      <c r="D152" s="736"/>
      <c r="E152" s="743"/>
      <c r="F152" s="672" t="s">
        <v>2913</v>
      </c>
      <c r="G152" s="749" t="s">
        <v>5390</v>
      </c>
      <c r="H152" s="673" t="s">
        <v>382</v>
      </c>
      <c r="I152" s="675">
        <v>0.69634951</v>
      </c>
      <c r="J152" s="675">
        <v>0.57734129</v>
      </c>
      <c r="K152" s="675">
        <v>0.088252725</v>
      </c>
      <c r="L152" s="675">
        <v>0.030755098199999997</v>
      </c>
      <c r="M152" s="673">
        <v>0.0</v>
      </c>
      <c r="N152" s="750">
        <v>0.041114834</v>
      </c>
      <c r="O152" s="750">
        <v>0.037285373</v>
      </c>
      <c r="P152" s="751">
        <v>62.296106</v>
      </c>
      <c r="Q152" s="773" t="s">
        <v>2208</v>
      </c>
      <c r="R152" s="774"/>
      <c r="S152" s="643"/>
      <c r="T152" s="765">
        <f t="shared" si="2"/>
        <v>0.665594015</v>
      </c>
      <c r="U152" s="634"/>
      <c r="V152" s="634"/>
      <c r="W152" s="634"/>
      <c r="X152" s="634"/>
      <c r="Y152" s="634"/>
      <c r="Z152" s="634"/>
    </row>
    <row r="153" ht="15.75" customHeight="1" outlineLevel="1">
      <c r="A153" s="643"/>
      <c r="B153" s="643"/>
      <c r="C153" s="643"/>
      <c r="D153" s="736"/>
      <c r="E153" s="737" t="s">
        <v>2951</v>
      </c>
      <c r="F153" s="738" t="s">
        <v>405</v>
      </c>
      <c r="G153" s="739" t="s">
        <v>5393</v>
      </c>
      <c r="H153" s="661" t="s">
        <v>382</v>
      </c>
      <c r="I153" s="663">
        <v>6.0476717</v>
      </c>
      <c r="J153" s="663">
        <v>5.8617522</v>
      </c>
      <c r="K153" s="663">
        <v>0.14044056</v>
      </c>
      <c r="L153" s="663">
        <v>0.0454717763</v>
      </c>
      <c r="M153" s="661">
        <v>0.0</v>
      </c>
      <c r="N153" s="740">
        <v>0.41196011</v>
      </c>
      <c r="O153" s="740">
        <v>0.39006734</v>
      </c>
      <c r="P153" s="741">
        <v>488.5933</v>
      </c>
      <c r="Q153" s="769" t="s">
        <v>2208</v>
      </c>
      <c r="R153" s="770" t="s">
        <v>5796</v>
      </c>
      <c r="S153" s="643"/>
      <c r="T153" s="765">
        <f t="shared" si="2"/>
        <v>6.00219276</v>
      </c>
      <c r="U153" s="634"/>
      <c r="V153" s="634"/>
      <c r="W153" s="634"/>
      <c r="X153" s="634"/>
      <c r="Y153" s="634"/>
      <c r="Z153" s="634"/>
    </row>
    <row r="154" ht="15.75" customHeight="1" outlineLevel="1">
      <c r="A154" s="643"/>
      <c r="B154" s="643"/>
      <c r="C154" s="643"/>
      <c r="D154" s="736"/>
      <c r="E154" s="743"/>
      <c r="F154" s="744" t="s">
        <v>2912</v>
      </c>
      <c r="G154" s="745" t="s">
        <v>5396</v>
      </c>
      <c r="H154" s="667" t="s">
        <v>382</v>
      </c>
      <c r="I154" s="669">
        <v>5.3513221</v>
      </c>
      <c r="J154" s="669">
        <v>5.2844108</v>
      </c>
      <c r="K154" s="669">
        <v>0.052187832</v>
      </c>
      <c r="L154" s="669">
        <v>0.0147166775</v>
      </c>
      <c r="M154" s="667">
        <v>0.0</v>
      </c>
      <c r="N154" s="746">
        <v>0.37084528</v>
      </c>
      <c r="O154" s="746">
        <v>0.35278197</v>
      </c>
      <c r="P154" s="747">
        <v>426.2972</v>
      </c>
      <c r="Q154" s="771" t="s">
        <v>2208</v>
      </c>
      <c r="R154" s="772" t="s">
        <v>5796</v>
      </c>
      <c r="S154" s="643"/>
      <c r="T154" s="765">
        <f t="shared" si="2"/>
        <v>5.336598632</v>
      </c>
      <c r="U154" s="634"/>
      <c r="V154" s="634"/>
      <c r="W154" s="634"/>
      <c r="X154" s="634"/>
      <c r="Y154" s="634"/>
      <c r="Z154" s="634"/>
    </row>
    <row r="155" ht="15.75" customHeight="1" outlineLevel="1">
      <c r="A155" s="643"/>
      <c r="B155" s="643"/>
      <c r="C155" s="643"/>
      <c r="D155" s="736"/>
      <c r="E155" s="743"/>
      <c r="F155" s="744" t="s">
        <v>2914</v>
      </c>
      <c r="G155" s="745" t="s">
        <v>5399</v>
      </c>
      <c r="H155" s="667" t="s">
        <v>382</v>
      </c>
      <c r="I155" s="669">
        <v>0.0</v>
      </c>
      <c r="J155" s="669">
        <v>0.0</v>
      </c>
      <c r="K155" s="669">
        <v>0.0</v>
      </c>
      <c r="L155" s="669">
        <v>0.0</v>
      </c>
      <c r="M155" s="667">
        <v>0.0</v>
      </c>
      <c r="N155" s="746">
        <v>0.0</v>
      </c>
      <c r="O155" s="746">
        <v>0.0</v>
      </c>
      <c r="P155" s="747">
        <v>0.0</v>
      </c>
      <c r="Q155" s="771" t="s">
        <v>2208</v>
      </c>
      <c r="R155" s="772"/>
      <c r="S155" s="643"/>
      <c r="T155" s="765">
        <f t="shared" si="2"/>
        <v>0</v>
      </c>
      <c r="U155" s="634"/>
      <c r="V155" s="634"/>
      <c r="W155" s="634"/>
      <c r="X155" s="634"/>
      <c r="Y155" s="634"/>
      <c r="Z155" s="634"/>
    </row>
    <row r="156" ht="15.75" customHeight="1" outlineLevel="1">
      <c r="A156" s="643"/>
      <c r="B156" s="643"/>
      <c r="C156" s="643"/>
      <c r="D156" s="736"/>
      <c r="E156" s="743"/>
      <c r="F156" s="672" t="s">
        <v>2913</v>
      </c>
      <c r="G156" s="749" t="s">
        <v>5401</v>
      </c>
      <c r="H156" s="673" t="s">
        <v>382</v>
      </c>
      <c r="I156" s="675">
        <v>0.69634951</v>
      </c>
      <c r="J156" s="675">
        <v>0.57734129</v>
      </c>
      <c r="K156" s="675">
        <v>0.088252725</v>
      </c>
      <c r="L156" s="675">
        <v>0.030755098199999997</v>
      </c>
      <c r="M156" s="673">
        <v>0.0</v>
      </c>
      <c r="N156" s="750">
        <v>0.041114834</v>
      </c>
      <c r="O156" s="750">
        <v>0.037285373</v>
      </c>
      <c r="P156" s="751">
        <v>62.296106</v>
      </c>
      <c r="Q156" s="773" t="s">
        <v>2208</v>
      </c>
      <c r="R156" s="774"/>
      <c r="S156" s="643"/>
      <c r="T156" s="765">
        <f t="shared" si="2"/>
        <v>0.665594015</v>
      </c>
      <c r="U156" s="634"/>
      <c r="V156" s="634"/>
      <c r="W156" s="634"/>
      <c r="X156" s="634"/>
      <c r="Y156" s="634"/>
      <c r="Z156" s="634"/>
    </row>
    <row r="157" ht="15.75" customHeight="1" outlineLevel="1">
      <c r="A157" s="643"/>
      <c r="B157" s="643"/>
      <c r="C157" s="643"/>
      <c r="D157" s="736"/>
      <c r="E157" s="737" t="s">
        <v>2954</v>
      </c>
      <c r="F157" s="738" t="s">
        <v>405</v>
      </c>
      <c r="G157" s="739" t="s">
        <v>5403</v>
      </c>
      <c r="H157" s="661" t="s">
        <v>382</v>
      </c>
      <c r="I157" s="663">
        <v>5.8918162</v>
      </c>
      <c r="J157" s="663">
        <v>5.7078455</v>
      </c>
      <c r="K157" s="663">
        <v>0.13892054</v>
      </c>
      <c r="L157" s="663">
        <v>0.0450431369</v>
      </c>
      <c r="M157" s="661">
        <v>0.0</v>
      </c>
      <c r="N157" s="740">
        <v>0.40129766</v>
      </c>
      <c r="O157" s="740">
        <v>0.37978393</v>
      </c>
      <c r="P157" s="741">
        <v>494.0462</v>
      </c>
      <c r="Q157" s="769" t="s">
        <v>2208</v>
      </c>
      <c r="R157" s="770" t="s">
        <v>5797</v>
      </c>
      <c r="S157" s="643"/>
      <c r="T157" s="765">
        <f t="shared" si="2"/>
        <v>5.84676604</v>
      </c>
      <c r="U157" s="634"/>
      <c r="V157" s="634"/>
      <c r="W157" s="634"/>
      <c r="X157" s="634"/>
      <c r="Y157" s="634"/>
      <c r="Z157" s="634"/>
    </row>
    <row r="158" ht="15.75" customHeight="1" outlineLevel="1">
      <c r="A158" s="643"/>
      <c r="B158" s="643"/>
      <c r="C158" s="643"/>
      <c r="D158" s="736"/>
      <c r="E158" s="743"/>
      <c r="F158" s="744" t="s">
        <v>2912</v>
      </c>
      <c r="G158" s="745" t="s">
        <v>5406</v>
      </c>
      <c r="H158" s="667" t="s">
        <v>382</v>
      </c>
      <c r="I158" s="669">
        <v>5.1954667</v>
      </c>
      <c r="J158" s="669">
        <v>5.1305042</v>
      </c>
      <c r="K158" s="669">
        <v>0.050667817</v>
      </c>
      <c r="L158" s="669">
        <v>0.014288038199999999</v>
      </c>
      <c r="M158" s="667">
        <v>0.0</v>
      </c>
      <c r="N158" s="746">
        <v>0.36018282</v>
      </c>
      <c r="O158" s="746">
        <v>0.34249855</v>
      </c>
      <c r="P158" s="747">
        <v>431.75009</v>
      </c>
      <c r="Q158" s="771" t="s">
        <v>2208</v>
      </c>
      <c r="R158" s="772" t="s">
        <v>5797</v>
      </c>
      <c r="S158" s="643"/>
      <c r="T158" s="765">
        <f t="shared" si="2"/>
        <v>5.181172017</v>
      </c>
      <c r="U158" s="634"/>
      <c r="V158" s="634"/>
      <c r="W158" s="634"/>
      <c r="X158" s="634"/>
      <c r="Y158" s="634"/>
      <c r="Z158" s="634"/>
    </row>
    <row r="159" ht="15.75" customHeight="1" outlineLevel="1">
      <c r="A159" s="643"/>
      <c r="B159" s="643"/>
      <c r="C159" s="643"/>
      <c r="D159" s="736"/>
      <c r="E159" s="743"/>
      <c r="F159" s="744" t="s">
        <v>2914</v>
      </c>
      <c r="G159" s="745" t="s">
        <v>5409</v>
      </c>
      <c r="H159" s="667" t="s">
        <v>382</v>
      </c>
      <c r="I159" s="669">
        <v>0.0</v>
      </c>
      <c r="J159" s="669">
        <v>0.0</v>
      </c>
      <c r="K159" s="669">
        <v>0.0</v>
      </c>
      <c r="L159" s="669">
        <v>0.0</v>
      </c>
      <c r="M159" s="667">
        <v>0.0</v>
      </c>
      <c r="N159" s="746">
        <v>0.0</v>
      </c>
      <c r="O159" s="746">
        <v>0.0</v>
      </c>
      <c r="P159" s="747">
        <v>0.0</v>
      </c>
      <c r="Q159" s="771" t="s">
        <v>2208</v>
      </c>
      <c r="R159" s="772"/>
      <c r="S159" s="643"/>
      <c r="T159" s="765">
        <f t="shared" si="2"/>
        <v>0</v>
      </c>
      <c r="U159" s="634"/>
      <c r="V159" s="634"/>
      <c r="W159" s="634"/>
      <c r="X159" s="634"/>
      <c r="Y159" s="634"/>
      <c r="Z159" s="634"/>
    </row>
    <row r="160" ht="15.75" customHeight="1" outlineLevel="1">
      <c r="A160" s="643"/>
      <c r="B160" s="643"/>
      <c r="C160" s="643"/>
      <c r="D160" s="736"/>
      <c r="E160" s="743"/>
      <c r="F160" s="672" t="s">
        <v>2913</v>
      </c>
      <c r="G160" s="749" t="s">
        <v>5411</v>
      </c>
      <c r="H160" s="673" t="s">
        <v>382</v>
      </c>
      <c r="I160" s="675">
        <v>0.69634951</v>
      </c>
      <c r="J160" s="675">
        <v>0.57734129</v>
      </c>
      <c r="K160" s="675">
        <v>0.088252725</v>
      </c>
      <c r="L160" s="675">
        <v>0.030755098199999997</v>
      </c>
      <c r="M160" s="673">
        <v>0.0</v>
      </c>
      <c r="N160" s="750">
        <v>0.041114834</v>
      </c>
      <c r="O160" s="750">
        <v>0.037285373</v>
      </c>
      <c r="P160" s="751">
        <v>62.296106</v>
      </c>
      <c r="Q160" s="773" t="s">
        <v>2208</v>
      </c>
      <c r="R160" s="774"/>
      <c r="S160" s="643"/>
      <c r="T160" s="765">
        <f t="shared" si="2"/>
        <v>0.665594015</v>
      </c>
      <c r="U160" s="634"/>
      <c r="V160" s="634"/>
      <c r="W160" s="634"/>
      <c r="X160" s="634"/>
      <c r="Y160" s="634"/>
      <c r="Z160" s="634"/>
    </row>
    <row r="161" ht="15.75" customHeight="1" outlineLevel="1">
      <c r="A161" s="643"/>
      <c r="B161" s="643"/>
      <c r="C161" s="643"/>
      <c r="D161" s="736"/>
      <c r="E161" s="737" t="s">
        <v>2957</v>
      </c>
      <c r="F161" s="738" t="s">
        <v>405</v>
      </c>
      <c r="G161" s="739" t="s">
        <v>5413</v>
      </c>
      <c r="H161" s="661" t="s">
        <v>5798</v>
      </c>
      <c r="I161" s="662">
        <v>467.6056734</v>
      </c>
      <c r="J161" s="662">
        <v>434.1314383</v>
      </c>
      <c r="K161" s="662">
        <v>25.834553449999998</v>
      </c>
      <c r="L161" s="662">
        <v>7.639039952</v>
      </c>
      <c r="M161" s="775">
        <v>0.0</v>
      </c>
      <c r="N161" s="741">
        <v>33.535506680000005</v>
      </c>
      <c r="O161" s="741">
        <v>31.68349369</v>
      </c>
      <c r="P161" s="754">
        <v>43863.40666</v>
      </c>
      <c r="Q161" s="754">
        <v>710.0</v>
      </c>
      <c r="R161" s="770" t="s">
        <v>5799</v>
      </c>
      <c r="S161" s="643"/>
      <c r="T161" s="765">
        <f t="shared" si="2"/>
        <v>459.9659918</v>
      </c>
      <c r="U161" s="634"/>
      <c r="V161" s="634"/>
      <c r="W161" s="634"/>
      <c r="X161" s="634"/>
      <c r="Y161" s="634"/>
      <c r="Z161" s="634"/>
    </row>
    <row r="162" ht="15.75" customHeight="1" outlineLevel="1">
      <c r="A162" s="643"/>
      <c r="B162" s="643"/>
      <c r="C162" s="643"/>
      <c r="D162" s="736"/>
      <c r="E162" s="743"/>
      <c r="F162" s="744" t="s">
        <v>2912</v>
      </c>
      <c r="G162" s="745" t="s">
        <v>5416</v>
      </c>
      <c r="H162" s="667" t="s">
        <v>5798</v>
      </c>
      <c r="I162" s="668">
        <v>369.73852789999995</v>
      </c>
      <c r="J162" s="668">
        <v>365.45680189999996</v>
      </c>
      <c r="K162" s="668">
        <v>3.305153873</v>
      </c>
      <c r="L162" s="668">
        <v>0.9760088556000001</v>
      </c>
      <c r="M162" s="776">
        <v>0.0</v>
      </c>
      <c r="N162" s="747">
        <v>25.95020322</v>
      </c>
      <c r="O162" s="747">
        <v>24.540038850000002</v>
      </c>
      <c r="P162" s="755">
        <v>34063.62811</v>
      </c>
      <c r="Q162" s="755">
        <v>710.0</v>
      </c>
      <c r="R162" s="772" t="s">
        <v>5799</v>
      </c>
      <c r="S162" s="643"/>
      <c r="T162" s="765">
        <f t="shared" si="2"/>
        <v>368.7619558</v>
      </c>
      <c r="U162" s="634"/>
      <c r="V162" s="634"/>
      <c r="W162" s="634"/>
      <c r="X162" s="634"/>
      <c r="Y162" s="634"/>
      <c r="Z162" s="634"/>
    </row>
    <row r="163" ht="15.75" customHeight="1" outlineLevel="1">
      <c r="A163" s="643"/>
      <c r="B163" s="643"/>
      <c r="C163" s="643"/>
      <c r="D163" s="736"/>
      <c r="E163" s="743"/>
      <c r="F163" s="744" t="s">
        <v>2914</v>
      </c>
      <c r="G163" s="745" t="s">
        <v>5419</v>
      </c>
      <c r="H163" s="667" t="s">
        <v>5798</v>
      </c>
      <c r="I163" s="668">
        <v>85.3434413</v>
      </c>
      <c r="J163" s="668">
        <v>57.68847128</v>
      </c>
      <c r="K163" s="668">
        <v>21.487159549999998</v>
      </c>
      <c r="L163" s="668">
        <v>6.167738902</v>
      </c>
      <c r="M163" s="776">
        <v>0.0</v>
      </c>
      <c r="N163" s="747">
        <v>6.86834617</v>
      </c>
      <c r="O163" s="747">
        <v>6.493211493</v>
      </c>
      <c r="P163" s="755">
        <v>8370.85385</v>
      </c>
      <c r="Q163" s="755">
        <v>710.0</v>
      </c>
      <c r="R163" s="772"/>
      <c r="S163" s="643"/>
      <c r="T163" s="765">
        <f t="shared" si="2"/>
        <v>79.17563083</v>
      </c>
      <c r="U163" s="634"/>
      <c r="V163" s="634"/>
      <c r="W163" s="634"/>
      <c r="X163" s="634"/>
      <c r="Y163" s="634"/>
      <c r="Z163" s="634"/>
    </row>
    <row r="164" ht="15.75" customHeight="1" outlineLevel="1">
      <c r="A164" s="643"/>
      <c r="B164" s="643"/>
      <c r="C164" s="643"/>
      <c r="D164" s="736"/>
      <c r="E164" s="743"/>
      <c r="F164" s="672" t="s">
        <v>2913</v>
      </c>
      <c r="G164" s="749" t="s">
        <v>5422</v>
      </c>
      <c r="H164" s="673" t="s">
        <v>5798</v>
      </c>
      <c r="I164" s="674">
        <v>12.523713429999999</v>
      </c>
      <c r="J164" s="674">
        <v>10.98616938</v>
      </c>
      <c r="K164" s="674">
        <v>1.0422393170000002</v>
      </c>
      <c r="L164" s="674">
        <v>0.49529215748</v>
      </c>
      <c r="M164" s="777">
        <v>0.0</v>
      </c>
      <c r="N164" s="751">
        <v>0.7169574320000001</v>
      </c>
      <c r="O164" s="751">
        <v>0.6502433612</v>
      </c>
      <c r="P164" s="756">
        <v>1428.9245580000002</v>
      </c>
      <c r="Q164" s="756">
        <v>710.0</v>
      </c>
      <c r="R164" s="774"/>
      <c r="S164" s="643"/>
      <c r="T164" s="765">
        <f t="shared" si="2"/>
        <v>12.0284087</v>
      </c>
      <c r="U164" s="634"/>
      <c r="V164" s="634"/>
      <c r="W164" s="634"/>
      <c r="X164" s="634"/>
      <c r="Y164" s="634"/>
      <c r="Z164" s="634"/>
    </row>
    <row r="165" ht="15.75" customHeight="1" outlineLevel="1">
      <c r="A165" s="643"/>
      <c r="B165" s="643"/>
      <c r="C165" s="643"/>
      <c r="D165" s="736"/>
      <c r="E165" s="737" t="s">
        <v>2966</v>
      </c>
      <c r="F165" s="738" t="s">
        <v>405</v>
      </c>
      <c r="G165" s="739" t="s">
        <v>5425</v>
      </c>
      <c r="H165" s="661" t="s">
        <v>5798</v>
      </c>
      <c r="I165" s="662">
        <v>278.645847545</v>
      </c>
      <c r="J165" s="662">
        <v>57.492523093</v>
      </c>
      <c r="K165" s="662">
        <v>130.77994275199998</v>
      </c>
      <c r="L165" s="662">
        <v>90.37328338231299</v>
      </c>
      <c r="M165" s="775">
        <v>0.0</v>
      </c>
      <c r="N165" s="757">
        <v>4.6327411523</v>
      </c>
      <c r="O165" s="757">
        <v>4.2345553782</v>
      </c>
      <c r="P165" s="754">
        <v>17594.3862513</v>
      </c>
      <c r="Q165" s="754">
        <v>343.3</v>
      </c>
      <c r="R165" s="770" t="s">
        <v>5800</v>
      </c>
      <c r="S165" s="643"/>
      <c r="T165" s="765">
        <f t="shared" si="2"/>
        <v>188.2724658</v>
      </c>
      <c r="U165" s="634"/>
      <c r="V165" s="634"/>
      <c r="W165" s="634"/>
      <c r="X165" s="634"/>
      <c r="Y165" s="634"/>
      <c r="Z165" s="634"/>
    </row>
    <row r="166" ht="15.75" customHeight="1" outlineLevel="1">
      <c r="A166" s="643"/>
      <c r="B166" s="643"/>
      <c r="C166" s="643"/>
      <c r="D166" s="736"/>
      <c r="E166" s="743"/>
      <c r="F166" s="744" t="s">
        <v>2912</v>
      </c>
      <c r="G166" s="745" t="s">
        <v>5428</v>
      </c>
      <c r="H166" s="667" t="s">
        <v>5798</v>
      </c>
      <c r="I166" s="668">
        <v>210.073443973</v>
      </c>
      <c r="J166" s="668">
        <v>14.650413668299999</v>
      </c>
      <c r="K166" s="668">
        <v>110.94044693699999</v>
      </c>
      <c r="L166" s="668">
        <v>84.48256375325451</v>
      </c>
      <c r="M166" s="776">
        <v>0.0</v>
      </c>
      <c r="N166" s="758">
        <v>1.17645947321</v>
      </c>
      <c r="O166" s="758">
        <v>1.0348912730300002</v>
      </c>
      <c r="P166" s="755">
        <v>11243.1185991</v>
      </c>
      <c r="Q166" s="755">
        <v>343.3</v>
      </c>
      <c r="R166" s="772" t="s">
        <v>5800</v>
      </c>
      <c r="S166" s="643"/>
      <c r="T166" s="765">
        <f t="shared" si="2"/>
        <v>125.5908606</v>
      </c>
      <c r="U166" s="634"/>
      <c r="V166" s="634"/>
      <c r="W166" s="634"/>
      <c r="X166" s="634"/>
      <c r="Y166" s="634"/>
      <c r="Z166" s="634"/>
    </row>
    <row r="167" ht="15.75" customHeight="1" outlineLevel="1">
      <c r="A167" s="643"/>
      <c r="B167" s="643"/>
      <c r="C167" s="643"/>
      <c r="D167" s="736"/>
      <c r="E167" s="743"/>
      <c r="F167" s="744" t="s">
        <v>2914</v>
      </c>
      <c r="G167" s="745" t="s">
        <v>5431</v>
      </c>
      <c r="H167" s="667" t="s">
        <v>5798</v>
      </c>
      <c r="I167" s="668">
        <v>39.773083294</v>
      </c>
      <c r="J167" s="668">
        <v>18.8822247063</v>
      </c>
      <c r="K167" s="668">
        <v>16.8549187379</v>
      </c>
      <c r="L167" s="668">
        <v>4.035893827002</v>
      </c>
      <c r="M167" s="776">
        <v>0.0</v>
      </c>
      <c r="N167" s="758">
        <v>1.6538326448000003</v>
      </c>
      <c r="O167" s="758">
        <v>1.5276197043400002</v>
      </c>
      <c r="P167" s="755">
        <v>3722.3837051000005</v>
      </c>
      <c r="Q167" s="755">
        <v>343.3</v>
      </c>
      <c r="R167" s="772"/>
      <c r="S167" s="643"/>
      <c r="T167" s="765">
        <f t="shared" si="2"/>
        <v>35.73714344</v>
      </c>
      <c r="U167" s="634"/>
      <c r="V167" s="634"/>
      <c r="W167" s="634"/>
      <c r="X167" s="634"/>
      <c r="Y167" s="634"/>
      <c r="Z167" s="634"/>
    </row>
    <row r="168" ht="15.75" customHeight="1" outlineLevel="1">
      <c r="A168" s="643"/>
      <c r="B168" s="643"/>
      <c r="C168" s="643"/>
      <c r="D168" s="736"/>
      <c r="E168" s="743"/>
      <c r="F168" s="672" t="s">
        <v>2913</v>
      </c>
      <c r="G168" s="749" t="s">
        <v>5434</v>
      </c>
      <c r="H168" s="673" t="s">
        <v>5798</v>
      </c>
      <c r="I168" s="674">
        <v>28.799320278000003</v>
      </c>
      <c r="J168" s="674">
        <v>23.959885405</v>
      </c>
      <c r="K168" s="674">
        <v>2.98457814133</v>
      </c>
      <c r="L168" s="674">
        <v>1.8548265761980003</v>
      </c>
      <c r="M168" s="777">
        <v>0.0</v>
      </c>
      <c r="N168" s="759">
        <v>1.80244906862</v>
      </c>
      <c r="O168" s="759">
        <v>1.6720442635100001</v>
      </c>
      <c r="P168" s="756">
        <v>2628.8839814300004</v>
      </c>
      <c r="Q168" s="756">
        <v>343.3</v>
      </c>
      <c r="R168" s="774"/>
      <c r="S168" s="643"/>
      <c r="T168" s="765">
        <f t="shared" si="2"/>
        <v>26.94446355</v>
      </c>
      <c r="U168" s="634"/>
      <c r="V168" s="634"/>
      <c r="W168" s="634"/>
      <c r="X168" s="634"/>
      <c r="Y168" s="634"/>
      <c r="Z168" s="634"/>
    </row>
    <row r="169" ht="15.75" customHeight="1" outlineLevel="1">
      <c r="A169" s="643"/>
      <c r="B169" s="643"/>
      <c r="C169" s="643"/>
      <c r="D169" s="736"/>
      <c r="E169" s="737" t="s">
        <v>2969</v>
      </c>
      <c r="F169" s="738" t="s">
        <v>405</v>
      </c>
      <c r="G169" s="739" t="s">
        <v>5437</v>
      </c>
      <c r="H169" s="661" t="s">
        <v>2970</v>
      </c>
      <c r="I169" s="662">
        <v>1458.2641</v>
      </c>
      <c r="J169" s="662">
        <v>1439.902</v>
      </c>
      <c r="K169" s="662">
        <v>13.742428</v>
      </c>
      <c r="L169" s="662">
        <v>4.61745729</v>
      </c>
      <c r="M169" s="661">
        <v>0.0</v>
      </c>
      <c r="N169" s="754">
        <v>100.06901</v>
      </c>
      <c r="O169" s="754">
        <v>96.925249</v>
      </c>
      <c r="P169" s="754">
        <v>91042.791</v>
      </c>
      <c r="Q169" s="769" t="s">
        <v>2208</v>
      </c>
      <c r="R169" s="770" t="s">
        <v>5801</v>
      </c>
      <c r="S169" s="643"/>
      <c r="T169" s="765">
        <f t="shared" si="2"/>
        <v>1453.644428</v>
      </c>
      <c r="U169" s="634"/>
      <c r="V169" s="634"/>
      <c r="W169" s="634"/>
      <c r="X169" s="634"/>
      <c r="Y169" s="634"/>
      <c r="Z169" s="634"/>
    </row>
    <row r="170" ht="15.75" customHeight="1" outlineLevel="1">
      <c r="A170" s="643"/>
      <c r="B170" s="643"/>
      <c r="C170" s="643"/>
      <c r="D170" s="736"/>
      <c r="E170" s="743"/>
      <c r="F170" s="744" t="s">
        <v>2912</v>
      </c>
      <c r="G170" s="745" t="s">
        <v>5440</v>
      </c>
      <c r="H170" s="667" t="s">
        <v>2970</v>
      </c>
      <c r="I170" s="668">
        <v>1451.9366</v>
      </c>
      <c r="J170" s="668">
        <v>1435.6937</v>
      </c>
      <c r="K170" s="668">
        <v>12.56241</v>
      </c>
      <c r="L170" s="668">
        <v>3.67825818</v>
      </c>
      <c r="M170" s="667">
        <v>0.0</v>
      </c>
      <c r="N170" s="755">
        <v>99.7417</v>
      </c>
      <c r="O170" s="755">
        <v>96.63172</v>
      </c>
      <c r="P170" s="755">
        <v>90559.165</v>
      </c>
      <c r="Q170" s="771" t="s">
        <v>2208</v>
      </c>
      <c r="R170" s="772" t="s">
        <v>5801</v>
      </c>
      <c r="S170" s="643"/>
      <c r="T170" s="765">
        <f t="shared" si="2"/>
        <v>1448.25611</v>
      </c>
      <c r="U170" s="634"/>
      <c r="V170" s="634"/>
      <c r="W170" s="634"/>
      <c r="X170" s="634"/>
      <c r="Y170" s="634"/>
      <c r="Z170" s="634"/>
    </row>
    <row r="171" ht="15.75" customHeight="1" outlineLevel="1">
      <c r="A171" s="643"/>
      <c r="B171" s="643"/>
      <c r="C171" s="643"/>
      <c r="D171" s="736"/>
      <c r="E171" s="743"/>
      <c r="F171" s="744" t="s">
        <v>2914</v>
      </c>
      <c r="G171" s="745" t="s">
        <v>5443</v>
      </c>
      <c r="H171" s="667" t="s">
        <v>2970</v>
      </c>
      <c r="I171" s="669">
        <v>0.0</v>
      </c>
      <c r="J171" s="669">
        <v>0.0</v>
      </c>
      <c r="K171" s="669">
        <v>0.0</v>
      </c>
      <c r="L171" s="669">
        <v>0.0</v>
      </c>
      <c r="M171" s="667">
        <v>0.0</v>
      </c>
      <c r="N171" s="746">
        <v>0.0</v>
      </c>
      <c r="O171" s="746">
        <v>0.0</v>
      </c>
      <c r="P171" s="747">
        <v>0.0</v>
      </c>
      <c r="Q171" s="771" t="s">
        <v>2208</v>
      </c>
      <c r="R171" s="772"/>
      <c r="S171" s="643"/>
      <c r="T171" s="765">
        <f t="shared" si="2"/>
        <v>0</v>
      </c>
      <c r="U171" s="634"/>
      <c r="V171" s="634"/>
      <c r="W171" s="634"/>
      <c r="X171" s="634"/>
      <c r="Y171" s="634"/>
      <c r="Z171" s="634"/>
    </row>
    <row r="172" ht="15.75" customHeight="1" outlineLevel="1">
      <c r="A172" s="643"/>
      <c r="B172" s="643"/>
      <c r="C172" s="643"/>
      <c r="D172" s="736"/>
      <c r="E172" s="743"/>
      <c r="F172" s="672" t="s">
        <v>2913</v>
      </c>
      <c r="G172" s="749" t="s">
        <v>5445</v>
      </c>
      <c r="H172" s="673" t="s">
        <v>2970</v>
      </c>
      <c r="I172" s="674">
        <v>6.327574</v>
      </c>
      <c r="J172" s="674">
        <v>4.2083392</v>
      </c>
      <c r="K172" s="674">
        <v>1.1800181</v>
      </c>
      <c r="L172" s="674">
        <v>0.939199119</v>
      </c>
      <c r="M172" s="673">
        <v>0.0</v>
      </c>
      <c r="N172" s="756">
        <v>0.32730779</v>
      </c>
      <c r="O172" s="756">
        <v>0.29352932</v>
      </c>
      <c r="P172" s="756">
        <v>483.62545</v>
      </c>
      <c r="Q172" s="773" t="s">
        <v>2208</v>
      </c>
      <c r="R172" s="774"/>
      <c r="S172" s="643"/>
      <c r="T172" s="765">
        <f t="shared" si="2"/>
        <v>5.3883573</v>
      </c>
      <c r="U172" s="634"/>
      <c r="V172" s="634"/>
      <c r="W172" s="634"/>
      <c r="X172" s="634"/>
      <c r="Y172" s="634"/>
      <c r="Z172" s="634"/>
    </row>
    <row r="173" ht="15.75" customHeight="1" outlineLevel="1">
      <c r="A173" s="643"/>
      <c r="B173" s="643"/>
      <c r="C173" s="643"/>
      <c r="D173" s="736"/>
      <c r="E173" s="737" t="s">
        <v>2973</v>
      </c>
      <c r="F173" s="738" t="s">
        <v>405</v>
      </c>
      <c r="G173" s="739" t="s">
        <v>5448</v>
      </c>
      <c r="H173" s="661" t="s">
        <v>5798</v>
      </c>
      <c r="I173" s="662">
        <v>5511.728625000001</v>
      </c>
      <c r="J173" s="662">
        <v>5008.034525</v>
      </c>
      <c r="K173" s="662">
        <v>393.901235</v>
      </c>
      <c r="L173" s="662">
        <v>109.78570882499999</v>
      </c>
      <c r="M173" s="775">
        <v>0.0</v>
      </c>
      <c r="N173" s="754">
        <v>355.4155475</v>
      </c>
      <c r="O173" s="754">
        <v>339.2649975</v>
      </c>
      <c r="P173" s="754">
        <v>595513.7175</v>
      </c>
      <c r="Q173" s="754">
        <v>32500.0</v>
      </c>
      <c r="R173" s="770" t="s">
        <v>5802</v>
      </c>
      <c r="S173" s="643"/>
      <c r="T173" s="765">
        <f t="shared" si="2"/>
        <v>5401.93576</v>
      </c>
      <c r="U173" s="634"/>
      <c r="V173" s="634"/>
      <c r="W173" s="634"/>
      <c r="X173" s="634"/>
      <c r="Y173" s="634"/>
      <c r="Z173" s="634"/>
    </row>
    <row r="174" ht="15.75" customHeight="1" outlineLevel="1">
      <c r="A174" s="643"/>
      <c r="B174" s="643"/>
      <c r="C174" s="643"/>
      <c r="D174" s="736"/>
      <c r="E174" s="743"/>
      <c r="F174" s="744" t="s">
        <v>2912</v>
      </c>
      <c r="G174" s="745" t="s">
        <v>5451</v>
      </c>
      <c r="H174" s="667" t="s">
        <v>5798</v>
      </c>
      <c r="I174" s="668">
        <v>4412.37225</v>
      </c>
      <c r="J174" s="668">
        <v>4358.9</v>
      </c>
      <c r="K174" s="668">
        <v>41.406859</v>
      </c>
      <c r="L174" s="668">
        <v>12.0587286625</v>
      </c>
      <c r="M174" s="776">
        <v>0.0</v>
      </c>
      <c r="N174" s="755">
        <v>303.46877925</v>
      </c>
      <c r="O174" s="755">
        <v>291.26338150000004</v>
      </c>
      <c r="P174" s="755">
        <v>536765.4825</v>
      </c>
      <c r="Q174" s="755">
        <v>32500.0</v>
      </c>
      <c r="R174" s="772" t="s">
        <v>5802</v>
      </c>
      <c r="S174" s="643"/>
      <c r="T174" s="765">
        <f t="shared" si="2"/>
        <v>4400.306859</v>
      </c>
      <c r="U174" s="634"/>
      <c r="V174" s="634"/>
      <c r="W174" s="634"/>
      <c r="X174" s="634"/>
      <c r="Y174" s="634"/>
      <c r="Z174" s="634"/>
    </row>
    <row r="175" ht="15.75" customHeight="1" outlineLevel="1">
      <c r="A175" s="643"/>
      <c r="B175" s="643"/>
      <c r="C175" s="643"/>
      <c r="D175" s="736"/>
      <c r="E175" s="743"/>
      <c r="F175" s="744" t="s">
        <v>2914</v>
      </c>
      <c r="G175" s="745" t="s">
        <v>5454</v>
      </c>
      <c r="H175" s="667" t="s">
        <v>5798</v>
      </c>
      <c r="I175" s="668">
        <v>1009.2113525</v>
      </c>
      <c r="J175" s="668">
        <v>570.231285</v>
      </c>
      <c r="K175" s="668">
        <v>344.356025</v>
      </c>
      <c r="L175" s="668">
        <v>94.623794525</v>
      </c>
      <c r="M175" s="776">
        <v>0.0</v>
      </c>
      <c r="N175" s="755">
        <v>46.18130075</v>
      </c>
      <c r="O175" s="755">
        <v>42.90030875</v>
      </c>
      <c r="P175" s="755">
        <v>46737.1515</v>
      </c>
      <c r="Q175" s="755">
        <v>32500.0</v>
      </c>
      <c r="R175" s="772"/>
      <c r="S175" s="643"/>
      <c r="T175" s="765">
        <f t="shared" si="2"/>
        <v>914.58731</v>
      </c>
      <c r="U175" s="634"/>
      <c r="V175" s="634"/>
      <c r="W175" s="634"/>
      <c r="X175" s="634"/>
      <c r="Y175" s="634"/>
      <c r="Z175" s="634"/>
    </row>
    <row r="176" ht="15.75" customHeight="1" outlineLevel="1">
      <c r="A176" s="643"/>
      <c r="B176" s="643"/>
      <c r="C176" s="643"/>
      <c r="D176" s="736"/>
      <c r="E176" s="743"/>
      <c r="F176" s="672" t="s">
        <v>2913</v>
      </c>
      <c r="G176" s="749" t="s">
        <v>5457</v>
      </c>
      <c r="H176" s="673" t="s">
        <v>5798</v>
      </c>
      <c r="I176" s="674">
        <v>90.14460325</v>
      </c>
      <c r="J176" s="674">
        <v>78.903019</v>
      </c>
      <c r="K176" s="674">
        <v>8.138347425000001</v>
      </c>
      <c r="L176" s="674">
        <v>3.1031815425000002</v>
      </c>
      <c r="M176" s="777">
        <v>0.0</v>
      </c>
      <c r="N176" s="756">
        <v>5.76546685</v>
      </c>
      <c r="O176" s="756">
        <v>5.10128775</v>
      </c>
      <c r="P176" s="756">
        <v>12011.0627</v>
      </c>
      <c r="Q176" s="756">
        <v>32500.0</v>
      </c>
      <c r="R176" s="774"/>
      <c r="S176" s="643"/>
      <c r="T176" s="765">
        <f t="shared" si="2"/>
        <v>87.04136643</v>
      </c>
      <c r="U176" s="634"/>
      <c r="V176" s="634"/>
      <c r="W176" s="634"/>
      <c r="X176" s="634"/>
      <c r="Y176" s="634"/>
      <c r="Z176" s="634"/>
    </row>
    <row r="177" ht="15.75" customHeight="1" outlineLevel="1">
      <c r="A177" s="643"/>
      <c r="B177" s="643"/>
      <c r="C177" s="643"/>
      <c r="D177" s="736"/>
      <c r="E177" s="737" t="s">
        <v>2975</v>
      </c>
      <c r="F177" s="738" t="s">
        <v>405</v>
      </c>
      <c r="G177" s="739" t="s">
        <v>5460</v>
      </c>
      <c r="H177" s="661" t="s">
        <v>5798</v>
      </c>
      <c r="I177" s="662">
        <v>6445.9677425</v>
      </c>
      <c r="J177" s="662">
        <v>5818.3401705</v>
      </c>
      <c r="K177" s="662">
        <v>490.78763305</v>
      </c>
      <c r="L177" s="662">
        <v>136.83180511</v>
      </c>
      <c r="M177" s="775">
        <v>0.0</v>
      </c>
      <c r="N177" s="754">
        <v>409.38299545</v>
      </c>
      <c r="O177" s="754">
        <v>390.9842794</v>
      </c>
      <c r="P177" s="754">
        <v>2517423.1225</v>
      </c>
      <c r="Q177" s="754">
        <v>71500.0</v>
      </c>
      <c r="R177" s="770" t="s">
        <v>5803</v>
      </c>
      <c r="S177" s="643"/>
      <c r="T177" s="765">
        <f t="shared" si="2"/>
        <v>6309.127804</v>
      </c>
      <c r="U177" s="634"/>
      <c r="V177" s="634"/>
      <c r="W177" s="634"/>
      <c r="X177" s="634"/>
      <c r="Y177" s="634"/>
      <c r="Z177" s="634"/>
    </row>
    <row r="178" ht="15.75" customHeight="1" outlineLevel="1">
      <c r="A178" s="643"/>
      <c r="B178" s="643"/>
      <c r="C178" s="643"/>
      <c r="D178" s="736"/>
      <c r="E178" s="743"/>
      <c r="F178" s="744" t="s">
        <v>2912</v>
      </c>
      <c r="G178" s="745" t="s">
        <v>5463</v>
      </c>
      <c r="H178" s="667" t="s">
        <v>5798</v>
      </c>
      <c r="I178" s="668">
        <v>5047.75414</v>
      </c>
      <c r="J178" s="668">
        <v>4986.581743</v>
      </c>
      <c r="K178" s="668">
        <v>47.369445695</v>
      </c>
      <c r="L178" s="668">
        <v>13.7951854755</v>
      </c>
      <c r="M178" s="776">
        <v>0.0</v>
      </c>
      <c r="N178" s="755">
        <v>342.86454345000004</v>
      </c>
      <c r="O178" s="755">
        <v>329.5731153</v>
      </c>
      <c r="P178" s="755">
        <v>2440931.7075</v>
      </c>
      <c r="Q178" s="755">
        <v>71500.0</v>
      </c>
      <c r="R178" s="772" t="s">
        <v>5803</v>
      </c>
      <c r="S178" s="643"/>
      <c r="T178" s="765">
        <f t="shared" si="2"/>
        <v>5033.951189</v>
      </c>
      <c r="U178" s="634"/>
      <c r="V178" s="634"/>
      <c r="W178" s="634"/>
      <c r="X178" s="634"/>
      <c r="Y178" s="634"/>
      <c r="Z178" s="634"/>
    </row>
    <row r="179" ht="15.75" customHeight="1" outlineLevel="1">
      <c r="A179" s="643"/>
      <c r="B179" s="643"/>
      <c r="C179" s="643"/>
      <c r="D179" s="736"/>
      <c r="E179" s="743"/>
      <c r="F179" s="744" t="s">
        <v>2914</v>
      </c>
      <c r="G179" s="745" t="s">
        <v>5466</v>
      </c>
      <c r="H179" s="667" t="s">
        <v>5798</v>
      </c>
      <c r="I179" s="668">
        <v>1263.9776435</v>
      </c>
      <c r="J179" s="668">
        <v>714.18098895</v>
      </c>
      <c r="K179" s="668">
        <v>431.28559045000003</v>
      </c>
      <c r="L179" s="668">
        <v>118.51071875499998</v>
      </c>
      <c r="M179" s="776">
        <v>0.0</v>
      </c>
      <c r="N179" s="755">
        <v>57.83935157</v>
      </c>
      <c r="O179" s="755">
        <v>53.730102855</v>
      </c>
      <c r="P179" s="755">
        <v>58535.524190000004</v>
      </c>
      <c r="Q179" s="755">
        <v>71500.0</v>
      </c>
      <c r="R179" s="772"/>
      <c r="S179" s="643"/>
      <c r="T179" s="765">
        <f t="shared" si="2"/>
        <v>1145.466579</v>
      </c>
      <c r="U179" s="634"/>
      <c r="V179" s="634"/>
      <c r="W179" s="634"/>
      <c r="X179" s="634"/>
      <c r="Y179" s="634"/>
      <c r="Z179" s="634"/>
    </row>
    <row r="180" ht="15.75" customHeight="1" outlineLevel="1">
      <c r="A180" s="643"/>
      <c r="B180" s="643"/>
      <c r="C180" s="643"/>
      <c r="D180" s="736"/>
      <c r="E180" s="743"/>
      <c r="F180" s="672" t="s">
        <v>2913</v>
      </c>
      <c r="G180" s="749" t="s">
        <v>5469</v>
      </c>
      <c r="H180" s="673" t="s">
        <v>5798</v>
      </c>
      <c r="I180" s="674">
        <v>134.23598760000002</v>
      </c>
      <c r="J180" s="674">
        <v>117.5774171</v>
      </c>
      <c r="K180" s="674">
        <v>12.132587610000002</v>
      </c>
      <c r="L180" s="674">
        <v>4.52590407555</v>
      </c>
      <c r="M180" s="777">
        <v>0.0</v>
      </c>
      <c r="N180" s="756">
        <v>8.679101144999999</v>
      </c>
      <c r="O180" s="756">
        <v>7.681066964999999</v>
      </c>
      <c r="P180" s="756">
        <v>17955.854345000003</v>
      </c>
      <c r="Q180" s="756">
        <v>71500.0</v>
      </c>
      <c r="R180" s="774"/>
      <c r="S180" s="643"/>
      <c r="T180" s="765">
        <f t="shared" si="2"/>
        <v>129.7100047</v>
      </c>
      <c r="U180" s="634"/>
      <c r="V180" s="634"/>
      <c r="W180" s="634"/>
      <c r="X180" s="634"/>
      <c r="Y180" s="634"/>
      <c r="Z180" s="634"/>
    </row>
    <row r="181" ht="15.75" customHeight="1" outlineLevel="1">
      <c r="A181" s="643"/>
      <c r="B181" s="643"/>
      <c r="C181" s="643"/>
      <c r="D181" s="736"/>
      <c r="E181" s="737" t="s">
        <v>5472</v>
      </c>
      <c r="F181" s="738" t="s">
        <v>405</v>
      </c>
      <c r="G181" s="739" t="s">
        <v>5473</v>
      </c>
      <c r="H181" s="661" t="s">
        <v>5798</v>
      </c>
      <c r="I181" s="663">
        <v>6.976087966087967</v>
      </c>
      <c r="J181" s="663">
        <v>6.036846936846937</v>
      </c>
      <c r="K181" s="663">
        <v>0.7422925722925723</v>
      </c>
      <c r="L181" s="663">
        <v>0.19693262629262628</v>
      </c>
      <c r="M181" s="661">
        <v>0.0</v>
      </c>
      <c r="N181" s="740">
        <v>0.4107047817047817</v>
      </c>
      <c r="O181" s="740">
        <v>0.383051786051786</v>
      </c>
      <c r="P181" s="741">
        <v>484.52029052029053</v>
      </c>
      <c r="Q181" s="757">
        <v>0.27000027000027</v>
      </c>
      <c r="R181" s="770" t="s">
        <v>5804</v>
      </c>
      <c r="S181" s="643"/>
      <c r="T181" s="765">
        <f t="shared" si="2"/>
        <v>6.779139509</v>
      </c>
      <c r="U181" s="634"/>
      <c r="V181" s="634"/>
      <c r="W181" s="634"/>
      <c r="X181" s="634"/>
      <c r="Y181" s="634"/>
      <c r="Z181" s="634"/>
    </row>
    <row r="182" ht="15.75" customHeight="1" outlineLevel="1">
      <c r="A182" s="643"/>
      <c r="B182" s="643"/>
      <c r="C182" s="643"/>
      <c r="D182" s="736"/>
      <c r="E182" s="743"/>
      <c r="F182" s="744" t="s">
        <v>2912</v>
      </c>
      <c r="G182" s="745" t="s">
        <v>5476</v>
      </c>
      <c r="H182" s="667" t="s">
        <v>5798</v>
      </c>
      <c r="I182" s="669">
        <v>4.893584253584254</v>
      </c>
      <c r="J182" s="669">
        <v>4.828611658611658</v>
      </c>
      <c r="K182" s="669">
        <v>0.05089521829521829</v>
      </c>
      <c r="L182" s="669">
        <v>0.014071360666360666</v>
      </c>
      <c r="M182" s="667">
        <v>0.0</v>
      </c>
      <c r="N182" s="746">
        <v>0.34094932094932096</v>
      </c>
      <c r="O182" s="746">
        <v>0.3195784485784485</v>
      </c>
      <c r="P182" s="747">
        <v>349.5779625779626</v>
      </c>
      <c r="Q182" s="758">
        <v>0.27000027000027</v>
      </c>
      <c r="R182" s="772" t="s">
        <v>5804</v>
      </c>
      <c r="S182" s="643"/>
      <c r="T182" s="765">
        <f t="shared" si="2"/>
        <v>4.879506877</v>
      </c>
      <c r="U182" s="634"/>
      <c r="V182" s="634"/>
      <c r="W182" s="634"/>
      <c r="X182" s="634"/>
      <c r="Y182" s="634"/>
      <c r="Z182" s="634"/>
    </row>
    <row r="183" ht="15.75" customHeight="1" outlineLevel="1">
      <c r="A183" s="643"/>
      <c r="B183" s="643"/>
      <c r="C183" s="643"/>
      <c r="D183" s="736"/>
      <c r="E183" s="743"/>
      <c r="F183" s="744" t="s">
        <v>2914</v>
      </c>
      <c r="G183" s="745" t="s">
        <v>5479</v>
      </c>
      <c r="H183" s="667" t="s">
        <v>5798</v>
      </c>
      <c r="I183" s="669">
        <v>1.0516767016767017</v>
      </c>
      <c r="J183" s="669">
        <v>0.49640567540567543</v>
      </c>
      <c r="K183" s="669">
        <v>0.45203534303534304</v>
      </c>
      <c r="L183" s="669">
        <v>0.10323490239490239</v>
      </c>
      <c r="M183" s="667">
        <v>0.0</v>
      </c>
      <c r="N183" s="746">
        <v>0.02153874125874126</v>
      </c>
      <c r="O183" s="746">
        <v>0.019395384075384072</v>
      </c>
      <c r="P183" s="747">
        <v>52.21094851094851</v>
      </c>
      <c r="Q183" s="758">
        <v>0.27000027000027</v>
      </c>
      <c r="R183" s="772"/>
      <c r="S183" s="643"/>
      <c r="T183" s="765">
        <f t="shared" si="2"/>
        <v>0.9484410184</v>
      </c>
      <c r="U183" s="634"/>
      <c r="V183" s="634"/>
      <c r="W183" s="634"/>
      <c r="X183" s="634"/>
      <c r="Y183" s="634"/>
      <c r="Z183" s="634"/>
    </row>
    <row r="184" ht="15.75" customHeight="1" outlineLevel="1">
      <c r="A184" s="643"/>
      <c r="B184" s="643"/>
      <c r="C184" s="643"/>
      <c r="D184" s="736"/>
      <c r="E184" s="743"/>
      <c r="F184" s="672" t="s">
        <v>2913</v>
      </c>
      <c r="G184" s="749" t="s">
        <v>5482</v>
      </c>
      <c r="H184" s="673" t="s">
        <v>5798</v>
      </c>
      <c r="I184" s="675">
        <v>1.0308271728271727</v>
      </c>
      <c r="J184" s="675">
        <v>0.7118296568296568</v>
      </c>
      <c r="K184" s="675">
        <v>0.23936200286200288</v>
      </c>
      <c r="L184" s="675">
        <v>0.07962636471636471</v>
      </c>
      <c r="M184" s="673">
        <v>0.0</v>
      </c>
      <c r="N184" s="750">
        <v>0.048216718416718415</v>
      </c>
      <c r="O184" s="750">
        <v>0.04407797067797068</v>
      </c>
      <c r="P184" s="751">
        <v>82.73136863136862</v>
      </c>
      <c r="Q184" s="759">
        <v>0.27000027000027</v>
      </c>
      <c r="R184" s="774"/>
      <c r="S184" s="643"/>
      <c r="T184" s="765">
        <f t="shared" si="2"/>
        <v>0.9511916597</v>
      </c>
      <c r="U184" s="634"/>
      <c r="V184" s="634"/>
      <c r="W184" s="634"/>
      <c r="X184" s="634"/>
      <c r="Y184" s="634"/>
      <c r="Z184" s="634"/>
    </row>
    <row r="185" ht="15.75" customHeight="1" outlineLevel="1">
      <c r="A185" s="643"/>
      <c r="B185" s="643"/>
      <c r="C185" s="643"/>
      <c r="D185" s="736"/>
      <c r="E185" s="737" t="s">
        <v>2979</v>
      </c>
      <c r="F185" s="738" t="s">
        <v>405</v>
      </c>
      <c r="G185" s="739" t="s">
        <v>5485</v>
      </c>
      <c r="H185" s="661" t="s">
        <v>5798</v>
      </c>
      <c r="I185" s="663">
        <v>21.394450957476206</v>
      </c>
      <c r="J185" s="663">
        <v>19.95108347614074</v>
      </c>
      <c r="K185" s="663">
        <v>1.1317803729174167</v>
      </c>
      <c r="L185" s="663">
        <v>0.3115192022581449</v>
      </c>
      <c r="M185" s="661">
        <v>0.0</v>
      </c>
      <c r="N185" s="740">
        <v>1.2669223166546832</v>
      </c>
      <c r="O185" s="740">
        <v>1.195491224523034</v>
      </c>
      <c r="P185" s="741">
        <v>1802.2482852330852</v>
      </c>
      <c r="Q185" s="757">
        <v>9.41010765952992</v>
      </c>
      <c r="R185" s="770" t="s">
        <v>5805</v>
      </c>
      <c r="S185" s="643"/>
      <c r="T185" s="765">
        <f t="shared" si="2"/>
        <v>21.08286385</v>
      </c>
      <c r="U185" s="634"/>
      <c r="V185" s="634"/>
      <c r="W185" s="634"/>
      <c r="X185" s="634"/>
      <c r="Y185" s="634"/>
      <c r="Z185" s="634"/>
    </row>
    <row r="186" ht="15.75" customHeight="1" outlineLevel="1">
      <c r="A186" s="643"/>
      <c r="B186" s="643"/>
      <c r="C186" s="643"/>
      <c r="D186" s="736"/>
      <c r="E186" s="743"/>
      <c r="F186" s="744" t="s">
        <v>2912</v>
      </c>
      <c r="G186" s="745" t="s">
        <v>5488</v>
      </c>
      <c r="H186" s="667" t="s">
        <v>5798</v>
      </c>
      <c r="I186" s="669">
        <v>14.90602551844318</v>
      </c>
      <c r="J186" s="669">
        <v>14.732296110832939</v>
      </c>
      <c r="K186" s="669">
        <v>0.13410987135949234</v>
      </c>
      <c r="L186" s="669">
        <v>0.039596550839476635</v>
      </c>
      <c r="M186" s="667">
        <v>0.0</v>
      </c>
      <c r="N186" s="746">
        <v>1.0390508195134938</v>
      </c>
      <c r="O186" s="746">
        <v>0.990239932375976</v>
      </c>
      <c r="P186" s="747">
        <v>1366.8506965192228</v>
      </c>
      <c r="Q186" s="758">
        <v>9.41010765952992</v>
      </c>
      <c r="R186" s="772" t="s">
        <v>5805</v>
      </c>
      <c r="S186" s="643"/>
      <c r="T186" s="765">
        <f t="shared" si="2"/>
        <v>14.86640598</v>
      </c>
      <c r="U186" s="634"/>
      <c r="V186" s="634"/>
      <c r="W186" s="634"/>
      <c r="X186" s="634"/>
      <c r="Y186" s="634"/>
      <c r="Z186" s="634"/>
    </row>
    <row r="187" ht="15.75" customHeight="1" outlineLevel="1">
      <c r="A187" s="643"/>
      <c r="B187" s="643"/>
      <c r="C187" s="643"/>
      <c r="D187" s="736"/>
      <c r="E187" s="743"/>
      <c r="F187" s="744" t="s">
        <v>2914</v>
      </c>
      <c r="G187" s="745" t="s">
        <v>5491</v>
      </c>
      <c r="H187" s="667" t="s">
        <v>5798</v>
      </c>
      <c r="I187" s="669">
        <v>4.173057815984036</v>
      </c>
      <c r="J187" s="669">
        <v>3.2751906998306097</v>
      </c>
      <c r="K187" s="669">
        <v>0.724661174012069</v>
      </c>
      <c r="L187" s="669">
        <v>0.1732006509319212</v>
      </c>
      <c r="M187" s="667">
        <v>0.0</v>
      </c>
      <c r="N187" s="746">
        <v>0.12390404499627258</v>
      </c>
      <c r="O187" s="746">
        <v>0.11171425740487115</v>
      </c>
      <c r="P187" s="747">
        <v>260.55414668813205</v>
      </c>
      <c r="Q187" s="758">
        <v>9.41010765952992</v>
      </c>
      <c r="R187" s="772"/>
      <c r="S187" s="643"/>
      <c r="T187" s="765">
        <f t="shared" si="2"/>
        <v>3.999851874</v>
      </c>
      <c r="U187" s="634"/>
      <c r="V187" s="634"/>
      <c r="W187" s="634"/>
      <c r="X187" s="634"/>
      <c r="Y187" s="634"/>
      <c r="Z187" s="634"/>
    </row>
    <row r="188" ht="15.75" customHeight="1" outlineLevel="1">
      <c r="A188" s="643"/>
      <c r="B188" s="643"/>
      <c r="C188" s="643"/>
      <c r="D188" s="736"/>
      <c r="E188" s="743"/>
      <c r="F188" s="672" t="s">
        <v>2913</v>
      </c>
      <c r="G188" s="749" t="s">
        <v>5494</v>
      </c>
      <c r="H188" s="673" t="s">
        <v>5798</v>
      </c>
      <c r="I188" s="675">
        <v>2.3153679994532985</v>
      </c>
      <c r="J188" s="675">
        <v>1.943597041881501</v>
      </c>
      <c r="K188" s="675">
        <v>0.27300929931553225</v>
      </c>
      <c r="L188" s="675">
        <v>0.09872200199236428</v>
      </c>
      <c r="M188" s="673">
        <v>0.0</v>
      </c>
      <c r="N188" s="750">
        <v>0.10396748037523973</v>
      </c>
      <c r="O188" s="750">
        <v>0.09353697639951948</v>
      </c>
      <c r="P188" s="751">
        <v>174.84344202573018</v>
      </c>
      <c r="Q188" s="759">
        <v>9.41010765952992</v>
      </c>
      <c r="R188" s="774"/>
      <c r="S188" s="643"/>
      <c r="T188" s="765">
        <f t="shared" si="2"/>
        <v>2.216606341</v>
      </c>
      <c r="U188" s="634"/>
      <c r="V188" s="634"/>
      <c r="W188" s="634"/>
      <c r="X188" s="634"/>
      <c r="Y188" s="634"/>
      <c r="Z188" s="634"/>
    </row>
    <row r="189" ht="15.75" customHeight="1" outlineLevel="1">
      <c r="A189" s="643"/>
      <c r="B189" s="643"/>
      <c r="C189" s="643"/>
      <c r="D189" s="736"/>
      <c r="E189" s="737" t="s">
        <v>5497</v>
      </c>
      <c r="F189" s="738" t="s">
        <v>405</v>
      </c>
      <c r="G189" s="739" t="s">
        <v>5498</v>
      </c>
      <c r="H189" s="661" t="s">
        <v>5798</v>
      </c>
      <c r="I189" s="663">
        <v>8.68012243892829</v>
      </c>
      <c r="J189" s="663">
        <v>7.790290189125295</v>
      </c>
      <c r="K189" s="663">
        <v>0.7060647951142631</v>
      </c>
      <c r="L189" s="663">
        <v>0.18373843577620172</v>
      </c>
      <c r="M189" s="661">
        <v>0.0</v>
      </c>
      <c r="N189" s="740">
        <v>0.5103765858944049</v>
      </c>
      <c r="O189" s="740">
        <v>0.48238315602836873</v>
      </c>
      <c r="P189" s="741">
        <v>782.3813435776201</v>
      </c>
      <c r="Q189" s="757">
        <v>0.9850275807722615</v>
      </c>
      <c r="R189" s="770" t="s">
        <v>5806</v>
      </c>
      <c r="S189" s="643"/>
      <c r="T189" s="765">
        <f t="shared" si="2"/>
        <v>8.496354984</v>
      </c>
      <c r="U189" s="634"/>
      <c r="V189" s="634"/>
      <c r="W189" s="634"/>
      <c r="X189" s="634"/>
      <c r="Y189" s="634"/>
      <c r="Z189" s="634"/>
    </row>
    <row r="190" ht="15.75" customHeight="1" outlineLevel="1">
      <c r="A190" s="643"/>
      <c r="B190" s="643"/>
      <c r="C190" s="643"/>
      <c r="D190" s="736"/>
      <c r="E190" s="743"/>
      <c r="F190" s="744" t="s">
        <v>2912</v>
      </c>
      <c r="G190" s="745" t="s">
        <v>5501</v>
      </c>
      <c r="H190" s="667" t="s">
        <v>5798</v>
      </c>
      <c r="I190" s="669">
        <v>6.000345646178092</v>
      </c>
      <c r="J190" s="669">
        <v>5.93041184003152</v>
      </c>
      <c r="K190" s="669">
        <v>0.05398525413711583</v>
      </c>
      <c r="L190" s="669">
        <v>0.015939392631993694</v>
      </c>
      <c r="M190" s="667">
        <v>0.0</v>
      </c>
      <c r="N190" s="746">
        <v>0.4197998620961387</v>
      </c>
      <c r="O190" s="746">
        <v>0.40047964933018115</v>
      </c>
      <c r="P190" s="747">
        <v>612.1304078014184</v>
      </c>
      <c r="Q190" s="758">
        <v>0.9850275807722615</v>
      </c>
      <c r="R190" s="772" t="s">
        <v>5806</v>
      </c>
      <c r="S190" s="643"/>
      <c r="T190" s="765">
        <f t="shared" si="2"/>
        <v>5.984397094</v>
      </c>
      <c r="U190" s="634"/>
      <c r="V190" s="634"/>
      <c r="W190" s="634"/>
      <c r="X190" s="634"/>
      <c r="Y190" s="634"/>
      <c r="Z190" s="634"/>
    </row>
    <row r="191" ht="15.75" customHeight="1" outlineLevel="1">
      <c r="A191" s="643"/>
      <c r="B191" s="643"/>
      <c r="C191" s="643"/>
      <c r="D191" s="736"/>
      <c r="E191" s="743"/>
      <c r="F191" s="744" t="s">
        <v>2914</v>
      </c>
      <c r="G191" s="745" t="s">
        <v>5504</v>
      </c>
      <c r="H191" s="667" t="s">
        <v>5798</v>
      </c>
      <c r="I191" s="669">
        <v>1.4623817966903072</v>
      </c>
      <c r="J191" s="669">
        <v>0.8645232466509061</v>
      </c>
      <c r="K191" s="669">
        <v>0.48586742513790376</v>
      </c>
      <c r="L191" s="669">
        <v>0.1119897746256895</v>
      </c>
      <c r="M191" s="667">
        <v>0.0</v>
      </c>
      <c r="N191" s="746">
        <v>0.03508109633569739</v>
      </c>
      <c r="O191" s="746">
        <v>0.03160881993695823</v>
      </c>
      <c r="P191" s="747">
        <v>79.72617218282112</v>
      </c>
      <c r="Q191" s="758">
        <v>0.9850275807722615</v>
      </c>
      <c r="R191" s="772"/>
      <c r="S191" s="643"/>
      <c r="T191" s="765">
        <f t="shared" si="2"/>
        <v>1.350390672</v>
      </c>
      <c r="U191" s="634"/>
      <c r="V191" s="634"/>
      <c r="W191" s="634"/>
      <c r="X191" s="634"/>
      <c r="Y191" s="634"/>
      <c r="Z191" s="634"/>
    </row>
    <row r="192" ht="15.75" customHeight="1" outlineLevel="1">
      <c r="A192" s="643"/>
      <c r="B192" s="643"/>
      <c r="C192" s="643"/>
      <c r="D192" s="736"/>
      <c r="E192" s="743"/>
      <c r="F192" s="672" t="s">
        <v>2913</v>
      </c>
      <c r="G192" s="749" t="s">
        <v>5507</v>
      </c>
      <c r="H192" s="673" t="s">
        <v>5798</v>
      </c>
      <c r="I192" s="675">
        <v>1.2173948975571314</v>
      </c>
      <c r="J192" s="675">
        <v>0.9953551024428683</v>
      </c>
      <c r="K192" s="675">
        <v>0.16621212568951926</v>
      </c>
      <c r="L192" s="675">
        <v>0.05580926654846335</v>
      </c>
      <c r="M192" s="673">
        <v>0.0</v>
      </c>
      <c r="N192" s="750">
        <v>0.05549563534278959</v>
      </c>
      <c r="O192" s="750">
        <v>0.050294688731284475</v>
      </c>
      <c r="P192" s="751">
        <v>90.52476556343576</v>
      </c>
      <c r="Q192" s="759">
        <v>0.9850275807722615</v>
      </c>
      <c r="R192" s="774"/>
      <c r="S192" s="643"/>
      <c r="T192" s="765">
        <f t="shared" si="2"/>
        <v>1.161567228</v>
      </c>
      <c r="U192" s="634"/>
      <c r="V192" s="634"/>
      <c r="W192" s="634"/>
      <c r="X192" s="634"/>
      <c r="Y192" s="634"/>
      <c r="Z192" s="634"/>
    </row>
    <row r="193" ht="15.75" customHeight="1" outlineLevel="1">
      <c r="A193" s="643"/>
      <c r="B193" s="643"/>
      <c r="C193" s="643"/>
      <c r="D193" s="736"/>
      <c r="E193" s="737" t="s">
        <v>5510</v>
      </c>
      <c r="F193" s="738" t="s">
        <v>405</v>
      </c>
      <c r="G193" s="739" t="s">
        <v>5511</v>
      </c>
      <c r="H193" s="661" t="s">
        <v>5798</v>
      </c>
      <c r="I193" s="663">
        <v>12.032562660351294</v>
      </c>
      <c r="J193" s="663">
        <v>11.0556331820275</v>
      </c>
      <c r="K193" s="663">
        <v>0.7741896585750939</v>
      </c>
      <c r="L193" s="663">
        <v>0.20270565258864554</v>
      </c>
      <c r="M193" s="661">
        <v>0.0</v>
      </c>
      <c r="N193" s="740">
        <v>0.7178535951582133</v>
      </c>
      <c r="O193" s="740">
        <v>0.6790318400105257</v>
      </c>
      <c r="P193" s="741">
        <v>999.4601670942703</v>
      </c>
      <c r="Q193" s="757">
        <v>3.2892572857048883</v>
      </c>
      <c r="R193" s="770" t="s">
        <v>5807</v>
      </c>
      <c r="S193" s="643"/>
      <c r="T193" s="765">
        <f t="shared" si="2"/>
        <v>11.82982284</v>
      </c>
      <c r="U193" s="634"/>
      <c r="V193" s="634"/>
      <c r="W193" s="634"/>
      <c r="X193" s="634"/>
      <c r="Y193" s="634"/>
      <c r="Z193" s="634"/>
    </row>
    <row r="194" ht="15.75" customHeight="1" outlineLevel="1">
      <c r="A194" s="643"/>
      <c r="B194" s="643"/>
      <c r="C194" s="643"/>
      <c r="D194" s="736"/>
      <c r="E194" s="743"/>
      <c r="F194" s="744" t="s">
        <v>2912</v>
      </c>
      <c r="G194" s="745" t="s">
        <v>5514</v>
      </c>
      <c r="H194" s="667" t="s">
        <v>5798</v>
      </c>
      <c r="I194" s="669">
        <v>8.667755081902508</v>
      </c>
      <c r="J194" s="669">
        <v>8.56673278073811</v>
      </c>
      <c r="K194" s="669">
        <v>0.07798400105256234</v>
      </c>
      <c r="L194" s="669">
        <v>0.02302513189921716</v>
      </c>
      <c r="M194" s="667">
        <v>0.0</v>
      </c>
      <c r="N194" s="746">
        <v>0.6042465298335636</v>
      </c>
      <c r="O194" s="746">
        <v>0.5763569830932176</v>
      </c>
      <c r="P194" s="747">
        <v>782.7010722978753</v>
      </c>
      <c r="Q194" s="758">
        <v>3.2892572857048883</v>
      </c>
      <c r="R194" s="772" t="s">
        <v>5807</v>
      </c>
      <c r="S194" s="643"/>
      <c r="T194" s="765">
        <f t="shared" si="2"/>
        <v>8.644716782</v>
      </c>
      <c r="U194" s="634"/>
      <c r="V194" s="634"/>
      <c r="W194" s="634"/>
      <c r="X194" s="634"/>
      <c r="Y194" s="634"/>
      <c r="Z194" s="634"/>
    </row>
    <row r="195" ht="15.75" customHeight="1" outlineLevel="1">
      <c r="A195" s="643"/>
      <c r="B195" s="643"/>
      <c r="C195" s="643"/>
      <c r="D195" s="736"/>
      <c r="E195" s="743"/>
      <c r="F195" s="744" t="s">
        <v>2914</v>
      </c>
      <c r="G195" s="745" t="s">
        <v>5517</v>
      </c>
      <c r="H195" s="667" t="s">
        <v>5798</v>
      </c>
      <c r="I195" s="669">
        <v>2.1474040523649767</v>
      </c>
      <c r="J195" s="669">
        <v>1.49353845141767</v>
      </c>
      <c r="K195" s="669">
        <v>0.5299923689230973</v>
      </c>
      <c r="L195" s="669">
        <v>0.1238708598118545</v>
      </c>
      <c r="M195" s="667">
        <v>0.0</v>
      </c>
      <c r="N195" s="746">
        <v>0.0581110453259654</v>
      </c>
      <c r="O195" s="746">
        <v>0.05237982698506678</v>
      </c>
      <c r="P195" s="747">
        <v>126.23370173014935</v>
      </c>
      <c r="Q195" s="758">
        <v>3.2892572857048883</v>
      </c>
      <c r="R195" s="772"/>
      <c r="S195" s="643"/>
      <c r="T195" s="765">
        <f t="shared" si="2"/>
        <v>2.02353082</v>
      </c>
      <c r="U195" s="634"/>
      <c r="V195" s="634"/>
      <c r="W195" s="634"/>
      <c r="X195" s="634"/>
      <c r="Y195" s="634"/>
      <c r="Z195" s="634"/>
    </row>
    <row r="196" ht="15.75" customHeight="1" outlineLevel="1">
      <c r="A196" s="643"/>
      <c r="B196" s="643"/>
      <c r="C196" s="643"/>
      <c r="D196" s="736"/>
      <c r="E196" s="743"/>
      <c r="F196" s="672" t="s">
        <v>2913</v>
      </c>
      <c r="G196" s="749" t="s">
        <v>5520</v>
      </c>
      <c r="H196" s="673" t="s">
        <v>5798</v>
      </c>
      <c r="I196" s="675">
        <v>1.2174034602986648</v>
      </c>
      <c r="J196" s="675">
        <v>0.9953620814420105</v>
      </c>
      <c r="K196" s="675">
        <v>0.16621329188869155</v>
      </c>
      <c r="L196" s="675">
        <v>0.05580965890401949</v>
      </c>
      <c r="M196" s="673">
        <v>0.0</v>
      </c>
      <c r="N196" s="750">
        <v>0.05549602657719888</v>
      </c>
      <c r="O196" s="750">
        <v>0.05029503980001317</v>
      </c>
      <c r="P196" s="751">
        <v>90.52540293401752</v>
      </c>
      <c r="Q196" s="759">
        <v>3.2892572857048883</v>
      </c>
      <c r="R196" s="774"/>
      <c r="S196" s="643"/>
      <c r="T196" s="765">
        <f t="shared" si="2"/>
        <v>1.161575373</v>
      </c>
      <c r="U196" s="634"/>
      <c r="V196" s="634"/>
      <c r="W196" s="634"/>
      <c r="X196" s="634"/>
      <c r="Y196" s="634"/>
      <c r="Z196" s="634"/>
    </row>
    <row r="197" ht="15.75" customHeight="1" outlineLevel="1">
      <c r="A197" s="643"/>
      <c r="B197" s="643"/>
      <c r="C197" s="643"/>
      <c r="D197" s="736"/>
      <c r="E197" s="737" t="s">
        <v>5523</v>
      </c>
      <c r="F197" s="738" t="s">
        <v>405</v>
      </c>
      <c r="G197" s="739" t="s">
        <v>5524</v>
      </c>
      <c r="H197" s="661" t="s">
        <v>5798</v>
      </c>
      <c r="I197" s="663">
        <v>16.559156249999997</v>
      </c>
      <c r="J197" s="663">
        <v>15.424990162037036</v>
      </c>
      <c r="K197" s="663">
        <v>0.8920393518518517</v>
      </c>
      <c r="L197" s="663">
        <v>0.24207343518518515</v>
      </c>
      <c r="M197" s="661">
        <v>0.0</v>
      </c>
      <c r="N197" s="740">
        <v>0.9903306712962963</v>
      </c>
      <c r="O197" s="740">
        <v>0.936109548611111</v>
      </c>
      <c r="P197" s="741">
        <v>1449.7611689814814</v>
      </c>
      <c r="Q197" s="757">
        <v>5.787037037037036</v>
      </c>
      <c r="R197" s="770" t="s">
        <v>5808</v>
      </c>
      <c r="S197" s="643"/>
      <c r="T197" s="765">
        <f t="shared" si="2"/>
        <v>16.31702951</v>
      </c>
      <c r="U197" s="634"/>
      <c r="V197" s="634"/>
      <c r="W197" s="634"/>
      <c r="X197" s="634"/>
      <c r="Y197" s="634"/>
      <c r="Z197" s="634"/>
    </row>
    <row r="198" ht="15.75" customHeight="1" outlineLevel="1">
      <c r="A198" s="643"/>
      <c r="B198" s="643"/>
      <c r="C198" s="643"/>
      <c r="D198" s="736"/>
      <c r="E198" s="743"/>
      <c r="F198" s="744" t="s">
        <v>2912</v>
      </c>
      <c r="G198" s="745" t="s">
        <v>5527</v>
      </c>
      <c r="H198" s="667" t="s">
        <v>5798</v>
      </c>
      <c r="I198" s="669">
        <v>12.008279513888889</v>
      </c>
      <c r="J198" s="669">
        <v>11.868323495370369</v>
      </c>
      <c r="K198" s="669">
        <v>0.10803877893518517</v>
      </c>
      <c r="L198" s="669">
        <v>0.03189894207175926</v>
      </c>
      <c r="M198" s="667">
        <v>0.0</v>
      </c>
      <c r="N198" s="746">
        <v>0.8307247685185184</v>
      </c>
      <c r="O198" s="746">
        <v>0.792253761574074</v>
      </c>
      <c r="P198" s="747">
        <v>1145.4115162037035</v>
      </c>
      <c r="Q198" s="758">
        <v>5.787037037037036</v>
      </c>
      <c r="R198" s="772" t="s">
        <v>5808</v>
      </c>
      <c r="S198" s="643"/>
      <c r="T198" s="765">
        <f t="shared" si="2"/>
        <v>11.97636227</v>
      </c>
      <c r="U198" s="634"/>
      <c r="V198" s="634"/>
      <c r="W198" s="634"/>
      <c r="X198" s="634"/>
      <c r="Y198" s="634"/>
      <c r="Z198" s="634"/>
    </row>
    <row r="199" ht="15.75" customHeight="1" outlineLevel="1">
      <c r="A199" s="643"/>
      <c r="B199" s="643"/>
      <c r="C199" s="643"/>
      <c r="D199" s="736"/>
      <c r="E199" s="743"/>
      <c r="F199" s="744" t="s">
        <v>2914</v>
      </c>
      <c r="G199" s="745" t="s">
        <v>5530</v>
      </c>
      <c r="H199" s="667" t="s">
        <v>5798</v>
      </c>
      <c r="I199" s="669">
        <v>2.85831099537037</v>
      </c>
      <c r="J199" s="669">
        <v>2.146639756944444</v>
      </c>
      <c r="K199" s="669">
        <v>0.5755244849537036</v>
      </c>
      <c r="L199" s="669">
        <v>0.13614335416666667</v>
      </c>
      <c r="M199" s="667">
        <v>0.0</v>
      </c>
      <c r="N199" s="746">
        <v>0.08202057291666666</v>
      </c>
      <c r="O199" s="746">
        <v>0.07394416087962961</v>
      </c>
      <c r="P199" s="747">
        <v>174.51158564814813</v>
      </c>
      <c r="Q199" s="758">
        <v>5.787037037037036</v>
      </c>
      <c r="R199" s="772"/>
      <c r="S199" s="643"/>
      <c r="T199" s="765">
        <f t="shared" si="2"/>
        <v>2.722164242</v>
      </c>
      <c r="U199" s="634"/>
      <c r="V199" s="634"/>
      <c r="W199" s="634"/>
      <c r="X199" s="634"/>
      <c r="Y199" s="634"/>
      <c r="Z199" s="634"/>
    </row>
    <row r="200" ht="15.75" customHeight="1" outlineLevel="1">
      <c r="A200" s="643"/>
      <c r="B200" s="643"/>
      <c r="C200" s="643"/>
      <c r="D200" s="736"/>
      <c r="E200" s="743"/>
      <c r="F200" s="672" t="s">
        <v>2913</v>
      </c>
      <c r="G200" s="749" t="s">
        <v>5533</v>
      </c>
      <c r="H200" s="673" t="s">
        <v>5798</v>
      </c>
      <c r="I200" s="675">
        <v>1.6925659143518517</v>
      </c>
      <c r="J200" s="675">
        <v>1.4100266782407405</v>
      </c>
      <c r="K200" s="675">
        <v>0.20847608217592592</v>
      </c>
      <c r="L200" s="675">
        <v>0.0740311382523148</v>
      </c>
      <c r="M200" s="673">
        <v>0.0</v>
      </c>
      <c r="N200" s="750">
        <v>0.07758534143518518</v>
      </c>
      <c r="O200" s="750">
        <v>0.06991164351851852</v>
      </c>
      <c r="P200" s="751">
        <v>129.83807291666665</v>
      </c>
      <c r="Q200" s="759">
        <v>5.787037037037036</v>
      </c>
      <c r="R200" s="774"/>
      <c r="S200" s="643"/>
      <c r="T200" s="765">
        <f t="shared" si="2"/>
        <v>1.61850276</v>
      </c>
      <c r="U200" s="634"/>
      <c r="V200" s="634"/>
      <c r="W200" s="634"/>
      <c r="X200" s="634"/>
      <c r="Y200" s="634"/>
      <c r="Z200" s="634"/>
    </row>
    <row r="201" ht="15.75" customHeight="1" outlineLevel="1">
      <c r="A201" s="643"/>
      <c r="B201" s="643"/>
      <c r="C201" s="643"/>
      <c r="D201" s="736"/>
      <c r="E201" s="737" t="s">
        <v>5536</v>
      </c>
      <c r="F201" s="738" t="s">
        <v>405</v>
      </c>
      <c r="G201" s="739" t="s">
        <v>5537</v>
      </c>
      <c r="H201" s="661" t="s">
        <v>5798</v>
      </c>
      <c r="I201" s="663">
        <v>21.771545688</v>
      </c>
      <c r="J201" s="663">
        <v>20.364393951</v>
      </c>
      <c r="K201" s="663">
        <v>1.09874587968</v>
      </c>
      <c r="L201" s="663">
        <v>0.308337527826</v>
      </c>
      <c r="M201" s="661">
        <v>0.0</v>
      </c>
      <c r="N201" s="740">
        <v>1.2784674258</v>
      </c>
      <c r="O201" s="740">
        <v>1.2043928394</v>
      </c>
      <c r="P201" s="741">
        <v>1777.4261001</v>
      </c>
      <c r="Q201" s="741">
        <v>11.61</v>
      </c>
      <c r="R201" s="770" t="s">
        <v>5809</v>
      </c>
      <c r="S201" s="643"/>
      <c r="T201" s="765">
        <f t="shared" si="2"/>
        <v>21.46313983</v>
      </c>
      <c r="U201" s="634"/>
      <c r="V201" s="634"/>
      <c r="W201" s="634"/>
      <c r="X201" s="634"/>
      <c r="Y201" s="634"/>
      <c r="Z201" s="634"/>
    </row>
    <row r="202" ht="15.75" customHeight="1" outlineLevel="1">
      <c r="A202" s="643"/>
      <c r="B202" s="643"/>
      <c r="C202" s="643"/>
      <c r="D202" s="736"/>
      <c r="E202" s="743"/>
      <c r="F202" s="744" t="s">
        <v>2912</v>
      </c>
      <c r="G202" s="745" t="s">
        <v>5540</v>
      </c>
      <c r="H202" s="667" t="s">
        <v>5798</v>
      </c>
      <c r="I202" s="669">
        <v>14.635952613</v>
      </c>
      <c r="J202" s="669">
        <v>14.465371527</v>
      </c>
      <c r="K202" s="669">
        <v>0.13168001627999998</v>
      </c>
      <c r="L202" s="669">
        <v>0.0388791264717</v>
      </c>
      <c r="M202" s="667">
        <v>0.0</v>
      </c>
      <c r="N202" s="746">
        <v>1.02666600738</v>
      </c>
      <c r="O202" s="746">
        <v>0.9777599969399999</v>
      </c>
      <c r="P202" s="747">
        <v>1295.4793266</v>
      </c>
      <c r="Q202" s="747">
        <v>11.61</v>
      </c>
      <c r="R202" s="772" t="s">
        <v>5809</v>
      </c>
      <c r="S202" s="643"/>
      <c r="T202" s="765">
        <f t="shared" si="2"/>
        <v>14.59705154</v>
      </c>
      <c r="U202" s="634"/>
      <c r="V202" s="634"/>
      <c r="W202" s="634"/>
      <c r="X202" s="634"/>
      <c r="Y202" s="634"/>
      <c r="Z202" s="634"/>
    </row>
    <row r="203" ht="15.75" customHeight="1" outlineLevel="1">
      <c r="A203" s="643"/>
      <c r="B203" s="643"/>
      <c r="C203" s="643"/>
      <c r="D203" s="736"/>
      <c r="E203" s="743"/>
      <c r="F203" s="744" t="s">
        <v>2914</v>
      </c>
      <c r="G203" s="745" t="s">
        <v>5543</v>
      </c>
      <c r="H203" s="667" t="s">
        <v>5798</v>
      </c>
      <c r="I203" s="669">
        <v>4.6759742883</v>
      </c>
      <c r="J203" s="669">
        <v>3.8172625811999996</v>
      </c>
      <c r="K203" s="669">
        <v>0.69132099105</v>
      </c>
      <c r="L203" s="669">
        <v>0.1673845851573</v>
      </c>
      <c r="M203" s="667">
        <v>0.0</v>
      </c>
      <c r="N203" s="746">
        <v>0.1431753327</v>
      </c>
      <c r="O203" s="746">
        <v>0.1291005297</v>
      </c>
      <c r="P203" s="747">
        <v>297.98059976999997</v>
      </c>
      <c r="Q203" s="747">
        <v>11.61</v>
      </c>
      <c r="R203" s="772"/>
      <c r="S203" s="643"/>
      <c r="T203" s="765">
        <f t="shared" si="2"/>
        <v>4.508583572</v>
      </c>
      <c r="U203" s="634"/>
      <c r="V203" s="634"/>
      <c r="W203" s="634"/>
      <c r="X203" s="634"/>
      <c r="Y203" s="634"/>
      <c r="Z203" s="634"/>
    </row>
    <row r="204" ht="15.75" customHeight="1" outlineLevel="1">
      <c r="A204" s="643"/>
      <c r="B204" s="643"/>
      <c r="C204" s="643"/>
      <c r="D204" s="736"/>
      <c r="E204" s="743"/>
      <c r="F204" s="672" t="s">
        <v>2913</v>
      </c>
      <c r="G204" s="749" t="s">
        <v>5546</v>
      </c>
      <c r="H204" s="673" t="s">
        <v>5798</v>
      </c>
      <c r="I204" s="675">
        <v>2.4596180900999998</v>
      </c>
      <c r="J204" s="675">
        <v>2.0817599589</v>
      </c>
      <c r="K204" s="675">
        <v>0.27574488395999996</v>
      </c>
      <c r="L204" s="675">
        <v>0.1020738181707</v>
      </c>
      <c r="M204" s="673">
        <v>0.0</v>
      </c>
      <c r="N204" s="750">
        <v>0.10862607875399999</v>
      </c>
      <c r="O204" s="750">
        <v>0.09753233598</v>
      </c>
      <c r="P204" s="751">
        <v>183.96613889999998</v>
      </c>
      <c r="Q204" s="751">
        <v>11.61</v>
      </c>
      <c r="R204" s="774"/>
      <c r="S204" s="643"/>
      <c r="T204" s="765">
        <f t="shared" si="2"/>
        <v>2.357504843</v>
      </c>
      <c r="U204" s="634"/>
      <c r="V204" s="634"/>
      <c r="W204" s="634"/>
      <c r="X204" s="634"/>
      <c r="Y204" s="634"/>
      <c r="Z204" s="634"/>
    </row>
    <row r="205" ht="15.75" customHeight="1" outlineLevel="1">
      <c r="A205" s="643"/>
      <c r="B205" s="643"/>
      <c r="C205" s="643"/>
      <c r="D205" s="736"/>
      <c r="E205" s="737" t="s">
        <v>5549</v>
      </c>
      <c r="F205" s="738" t="s">
        <v>405</v>
      </c>
      <c r="G205" s="739" t="s">
        <v>5550</v>
      </c>
      <c r="H205" s="661" t="s">
        <v>5798</v>
      </c>
      <c r="I205" s="680">
        <v>415.56370872</v>
      </c>
      <c r="J205" s="680">
        <v>405.7004686</v>
      </c>
      <c r="K205" s="680">
        <v>7.5882752604000006</v>
      </c>
      <c r="L205" s="680">
        <v>2.27433569196</v>
      </c>
      <c r="M205" s="778">
        <v>0.0</v>
      </c>
      <c r="N205" s="741">
        <v>28.338780768</v>
      </c>
      <c r="O205" s="741">
        <v>27.316745732</v>
      </c>
      <c r="P205" s="754">
        <v>30439.58106</v>
      </c>
      <c r="Q205" s="741">
        <v>24.28</v>
      </c>
      <c r="R205" s="770" t="s">
        <v>5810</v>
      </c>
      <c r="S205" s="643"/>
      <c r="T205" s="765">
        <f t="shared" si="2"/>
        <v>413.2887439</v>
      </c>
      <c r="U205" s="634"/>
      <c r="V205" s="634"/>
      <c r="W205" s="634"/>
      <c r="X205" s="634"/>
      <c r="Y205" s="634"/>
      <c r="Z205" s="634"/>
    </row>
    <row r="206" ht="15.75" customHeight="1" outlineLevel="1">
      <c r="A206" s="643"/>
      <c r="B206" s="643"/>
      <c r="C206" s="643"/>
      <c r="D206" s="736"/>
      <c r="E206" s="743"/>
      <c r="F206" s="744" t="s">
        <v>2912</v>
      </c>
      <c r="G206" s="745" t="s">
        <v>5553</v>
      </c>
      <c r="H206" s="667" t="s">
        <v>5798</v>
      </c>
      <c r="I206" s="681">
        <v>396.47627808000004</v>
      </c>
      <c r="J206" s="681">
        <v>392.04088052000003</v>
      </c>
      <c r="K206" s="681">
        <v>3.4303823184000004</v>
      </c>
      <c r="L206" s="681">
        <v>1.004411764628</v>
      </c>
      <c r="M206" s="779">
        <v>0.0</v>
      </c>
      <c r="N206" s="747">
        <v>27.361454924</v>
      </c>
      <c r="O206" s="747">
        <v>26.403521515999998</v>
      </c>
      <c r="P206" s="755">
        <v>29434.55902</v>
      </c>
      <c r="Q206" s="747">
        <v>24.28</v>
      </c>
      <c r="R206" s="772" t="s">
        <v>5810</v>
      </c>
      <c r="S206" s="643"/>
      <c r="T206" s="765">
        <f t="shared" si="2"/>
        <v>395.4712628</v>
      </c>
      <c r="U206" s="634"/>
      <c r="V206" s="634"/>
      <c r="W206" s="634"/>
      <c r="X206" s="634"/>
      <c r="Y206" s="634"/>
      <c r="Z206" s="634"/>
    </row>
    <row r="207" ht="15.75" customHeight="1" outlineLevel="1">
      <c r="A207" s="643"/>
      <c r="B207" s="643"/>
      <c r="C207" s="643"/>
      <c r="D207" s="736"/>
      <c r="E207" s="743"/>
      <c r="F207" s="744" t="s">
        <v>2914</v>
      </c>
      <c r="G207" s="745" t="s">
        <v>5556</v>
      </c>
      <c r="H207" s="667" t="s">
        <v>5798</v>
      </c>
      <c r="I207" s="681">
        <v>18.0992785868</v>
      </c>
      <c r="J207" s="681">
        <v>12.9609463764</v>
      </c>
      <c r="K207" s="681">
        <v>3.9531231916</v>
      </c>
      <c r="L207" s="681">
        <v>1.1851989086080001</v>
      </c>
      <c r="M207" s="779">
        <v>0.0</v>
      </c>
      <c r="N207" s="747">
        <v>0.9229346378000001</v>
      </c>
      <c r="O207" s="747">
        <v>0.86280735444</v>
      </c>
      <c r="P207" s="755">
        <v>946.1318712000001</v>
      </c>
      <c r="Q207" s="747">
        <v>24.28</v>
      </c>
      <c r="R207" s="772"/>
      <c r="S207" s="643"/>
      <c r="T207" s="765">
        <f t="shared" si="2"/>
        <v>16.91406957</v>
      </c>
      <c r="U207" s="634"/>
      <c r="V207" s="634"/>
      <c r="W207" s="634"/>
      <c r="X207" s="634"/>
      <c r="Y207" s="634"/>
      <c r="Z207" s="634"/>
    </row>
    <row r="208" ht="15.75" customHeight="1" outlineLevel="1">
      <c r="A208" s="643"/>
      <c r="B208" s="643"/>
      <c r="C208" s="643"/>
      <c r="D208" s="736"/>
      <c r="E208" s="743"/>
      <c r="F208" s="672" t="s">
        <v>2913</v>
      </c>
      <c r="G208" s="749" t="s">
        <v>5559</v>
      </c>
      <c r="H208" s="673" t="s">
        <v>5798</v>
      </c>
      <c r="I208" s="780">
        <v>0.98812855016</v>
      </c>
      <c r="J208" s="780">
        <v>0.6986326957200001</v>
      </c>
      <c r="K208" s="780">
        <v>0.20476966784800002</v>
      </c>
      <c r="L208" s="780">
        <v>0.0847250022136</v>
      </c>
      <c r="M208" s="781">
        <v>0.0</v>
      </c>
      <c r="N208" s="751">
        <v>0.054391786492</v>
      </c>
      <c r="O208" s="751">
        <v>0.050415812664000005</v>
      </c>
      <c r="P208" s="756">
        <v>58.890634976</v>
      </c>
      <c r="Q208" s="751">
        <v>24.28</v>
      </c>
      <c r="R208" s="774"/>
      <c r="S208" s="643"/>
      <c r="T208" s="765">
        <f t="shared" si="2"/>
        <v>0.9034023636</v>
      </c>
      <c r="U208" s="634"/>
      <c r="V208" s="634"/>
      <c r="W208" s="634"/>
      <c r="X208" s="634"/>
      <c r="Y208" s="634"/>
      <c r="Z208" s="634"/>
    </row>
    <row r="209" ht="15.75" customHeight="1" outlineLevel="1">
      <c r="A209" s="643"/>
      <c r="B209" s="643"/>
      <c r="C209" s="643"/>
      <c r="D209" s="736"/>
      <c r="E209" s="737" t="s">
        <v>5562</v>
      </c>
      <c r="F209" s="738" t="s">
        <v>405</v>
      </c>
      <c r="G209" s="739" t="s">
        <v>5563</v>
      </c>
      <c r="H209" s="661" t="s">
        <v>5798</v>
      </c>
      <c r="I209" s="680">
        <v>34.254421</v>
      </c>
      <c r="J209" s="680">
        <v>31.323855</v>
      </c>
      <c r="K209" s="680">
        <v>2.2552688</v>
      </c>
      <c r="L209" s="680">
        <v>0.6752539900000001</v>
      </c>
      <c r="M209" s="778">
        <v>0.0</v>
      </c>
      <c r="N209" s="741">
        <v>2.1958208</v>
      </c>
      <c r="O209" s="741">
        <v>2.1045726</v>
      </c>
      <c r="P209" s="754">
        <v>2330.796</v>
      </c>
      <c r="Q209" s="741">
        <v>1.0</v>
      </c>
      <c r="R209" s="770" t="s">
        <v>5811</v>
      </c>
      <c r="S209" s="643"/>
      <c r="T209" s="765">
        <f t="shared" si="2"/>
        <v>33.5791238</v>
      </c>
      <c r="U209" s="634"/>
      <c r="V209" s="634"/>
      <c r="W209" s="634"/>
      <c r="X209" s="634"/>
      <c r="Y209" s="634"/>
      <c r="Z209" s="634"/>
    </row>
    <row r="210" ht="15.75" customHeight="1" outlineLevel="1">
      <c r="A210" s="643"/>
      <c r="B210" s="643"/>
      <c r="C210" s="643"/>
      <c r="D210" s="736"/>
      <c r="E210" s="743"/>
      <c r="F210" s="744" t="s">
        <v>2912</v>
      </c>
      <c r="G210" s="745" t="s">
        <v>5566</v>
      </c>
      <c r="H210" s="667" t="s">
        <v>5798</v>
      </c>
      <c r="I210" s="681">
        <v>24.913911</v>
      </c>
      <c r="J210" s="681">
        <v>24.635198</v>
      </c>
      <c r="K210" s="681">
        <v>0.21555953</v>
      </c>
      <c r="L210" s="681">
        <v>0.0631155655</v>
      </c>
      <c r="M210" s="779">
        <v>0.0</v>
      </c>
      <c r="N210" s="747">
        <v>1.7193369</v>
      </c>
      <c r="O210" s="747">
        <v>1.659142</v>
      </c>
      <c r="P210" s="755">
        <v>1842.251</v>
      </c>
      <c r="Q210" s="747">
        <v>1.0</v>
      </c>
      <c r="R210" s="772" t="s">
        <v>5811</v>
      </c>
      <c r="S210" s="643"/>
      <c r="T210" s="765">
        <f t="shared" si="2"/>
        <v>24.85075753</v>
      </c>
      <c r="U210" s="634"/>
      <c r="V210" s="634"/>
      <c r="W210" s="634"/>
      <c r="X210" s="634"/>
      <c r="Y210" s="634"/>
      <c r="Z210" s="634"/>
    </row>
    <row r="211" ht="15.75" customHeight="1" outlineLevel="1">
      <c r="A211" s="643"/>
      <c r="B211" s="643"/>
      <c r="C211" s="643"/>
      <c r="D211" s="736"/>
      <c r="E211" s="743"/>
      <c r="F211" s="744" t="s">
        <v>2914</v>
      </c>
      <c r="G211" s="745" t="s">
        <v>5569</v>
      </c>
      <c r="H211" s="667" t="s">
        <v>5798</v>
      </c>
      <c r="I211" s="681">
        <v>9.3023371</v>
      </c>
      <c r="J211" s="681">
        <v>6.6614308</v>
      </c>
      <c r="K211" s="681">
        <v>2.0317542</v>
      </c>
      <c r="L211" s="681">
        <v>0.60914692</v>
      </c>
      <c r="M211" s="779">
        <v>0.0</v>
      </c>
      <c r="N211" s="747">
        <v>0.47435311</v>
      </c>
      <c r="O211" s="747">
        <v>0.44344999</v>
      </c>
      <c r="P211" s="755">
        <v>486.27561</v>
      </c>
      <c r="Q211" s="747">
        <v>1.0</v>
      </c>
      <c r="R211" s="772"/>
      <c r="S211" s="643"/>
      <c r="T211" s="765">
        <f t="shared" si="2"/>
        <v>8.693185</v>
      </c>
      <c r="U211" s="634"/>
      <c r="V211" s="634"/>
      <c r="W211" s="634"/>
      <c r="X211" s="634"/>
      <c r="Y211" s="634"/>
      <c r="Z211" s="634"/>
    </row>
    <row r="212" ht="15.75" customHeight="1" outlineLevel="1">
      <c r="A212" s="643"/>
      <c r="B212" s="643"/>
      <c r="C212" s="643"/>
      <c r="D212" s="736"/>
      <c r="E212" s="743"/>
      <c r="F212" s="672" t="s">
        <v>2913</v>
      </c>
      <c r="G212" s="749" t="s">
        <v>5572</v>
      </c>
      <c r="H212" s="673" t="s">
        <v>5798</v>
      </c>
      <c r="I212" s="780">
        <v>0.038172902</v>
      </c>
      <c r="J212" s="780">
        <v>0.027226284</v>
      </c>
      <c r="K212" s="780">
        <v>0.0079550696</v>
      </c>
      <c r="L212" s="780">
        <v>0.0029915104000000003</v>
      </c>
      <c r="M212" s="781">
        <v>0.0</v>
      </c>
      <c r="N212" s="751">
        <v>0.0021308042</v>
      </c>
      <c r="O212" s="751">
        <v>0.0019806609</v>
      </c>
      <c r="P212" s="756">
        <v>2.2694738</v>
      </c>
      <c r="Q212" s="751">
        <v>1.0</v>
      </c>
      <c r="R212" s="774"/>
      <c r="S212" s="643"/>
      <c r="T212" s="765">
        <f t="shared" si="2"/>
        <v>0.0351813536</v>
      </c>
      <c r="U212" s="634"/>
      <c r="V212" s="634"/>
      <c r="W212" s="634"/>
      <c r="X212" s="634"/>
      <c r="Y212" s="634"/>
      <c r="Z212" s="634"/>
    </row>
    <row r="213" ht="15.75" customHeight="1" outlineLevel="1">
      <c r="A213" s="643"/>
      <c r="B213" s="643"/>
      <c r="C213" s="643"/>
      <c r="D213" s="736"/>
      <c r="E213" s="737" t="s">
        <v>5575</v>
      </c>
      <c r="F213" s="738" t="s">
        <v>405</v>
      </c>
      <c r="G213" s="739" t="s">
        <v>5576</v>
      </c>
      <c r="H213" s="661" t="s">
        <v>5798</v>
      </c>
      <c r="I213" s="680">
        <v>403.23642499999994</v>
      </c>
      <c r="J213" s="680">
        <v>396.7474</v>
      </c>
      <c r="K213" s="680">
        <v>4.9962582499999995</v>
      </c>
      <c r="L213" s="680">
        <v>1.4921535525</v>
      </c>
      <c r="M213" s="778">
        <v>0.0</v>
      </c>
      <c r="N213" s="741">
        <v>27.700807500000003</v>
      </c>
      <c r="O213" s="741">
        <v>26.719454999999996</v>
      </c>
      <c r="P213" s="754">
        <v>29793.4725</v>
      </c>
      <c r="Q213" s="741">
        <v>25.0</v>
      </c>
      <c r="R213" s="770" t="s">
        <v>5812</v>
      </c>
      <c r="S213" s="643"/>
      <c r="T213" s="765">
        <f t="shared" si="2"/>
        <v>401.7436583</v>
      </c>
      <c r="U213" s="634"/>
      <c r="V213" s="634"/>
      <c r="W213" s="634"/>
      <c r="X213" s="634"/>
      <c r="Y213" s="634"/>
      <c r="Z213" s="634"/>
    </row>
    <row r="214" ht="15.75" customHeight="1" outlineLevel="1">
      <c r="A214" s="643"/>
      <c r="B214" s="643"/>
      <c r="C214" s="643"/>
      <c r="D214" s="736"/>
      <c r="E214" s="743"/>
      <c r="F214" s="744" t="s">
        <v>2912</v>
      </c>
      <c r="G214" s="745" t="s">
        <v>5579</v>
      </c>
      <c r="H214" s="667" t="s">
        <v>5798</v>
      </c>
      <c r="I214" s="681">
        <v>395.9827</v>
      </c>
      <c r="J214" s="681">
        <v>391.552825</v>
      </c>
      <c r="K214" s="681">
        <v>3.42611175</v>
      </c>
      <c r="L214" s="681">
        <v>1.0031613225</v>
      </c>
      <c r="M214" s="779">
        <v>0.0</v>
      </c>
      <c r="N214" s="747">
        <v>27.327285</v>
      </c>
      <c r="O214" s="747">
        <v>26.370545</v>
      </c>
      <c r="P214" s="755">
        <v>29408.425</v>
      </c>
      <c r="Q214" s="747">
        <v>25.0</v>
      </c>
      <c r="R214" s="772" t="s">
        <v>5812</v>
      </c>
      <c r="S214" s="643"/>
      <c r="T214" s="765">
        <f t="shared" si="2"/>
        <v>394.9789368</v>
      </c>
      <c r="U214" s="634"/>
      <c r="V214" s="634"/>
      <c r="W214" s="634"/>
      <c r="X214" s="634"/>
      <c r="Y214" s="634"/>
      <c r="Z214" s="634"/>
    </row>
    <row r="215" ht="15.75" customHeight="1" outlineLevel="1">
      <c r="A215" s="643"/>
      <c r="B215" s="643"/>
      <c r="C215" s="643"/>
      <c r="D215" s="736"/>
      <c r="E215" s="743"/>
      <c r="F215" s="744" t="s">
        <v>2914</v>
      </c>
      <c r="G215" s="745" t="s">
        <v>5582</v>
      </c>
      <c r="H215" s="667" t="s">
        <v>5798</v>
      </c>
      <c r="I215" s="681">
        <v>6.452126</v>
      </c>
      <c r="J215" s="681">
        <v>4.62038625</v>
      </c>
      <c r="K215" s="681">
        <v>1.4092301999999999</v>
      </c>
      <c r="L215" s="681">
        <v>0.4225059475</v>
      </c>
      <c r="M215" s="779">
        <v>0.0</v>
      </c>
      <c r="N215" s="747">
        <v>0.3290126</v>
      </c>
      <c r="O215" s="747">
        <v>0.3075781</v>
      </c>
      <c r="P215" s="755">
        <v>337.28207499999996</v>
      </c>
      <c r="Q215" s="747">
        <v>25.0</v>
      </c>
      <c r="R215" s="772"/>
      <c r="S215" s="643"/>
      <c r="T215" s="765">
        <f t="shared" si="2"/>
        <v>6.02961645</v>
      </c>
      <c r="U215" s="634"/>
      <c r="V215" s="634"/>
      <c r="W215" s="634"/>
      <c r="X215" s="634"/>
      <c r="Y215" s="634"/>
      <c r="Z215" s="634"/>
    </row>
    <row r="216" ht="15.75" customHeight="1" outlineLevel="1">
      <c r="A216" s="643"/>
      <c r="B216" s="643"/>
      <c r="C216" s="643"/>
      <c r="D216" s="671"/>
      <c r="E216" s="763"/>
      <c r="F216" s="672" t="s">
        <v>2913</v>
      </c>
      <c r="G216" s="749" t="s">
        <v>5585</v>
      </c>
      <c r="H216" s="673" t="s">
        <v>5798</v>
      </c>
      <c r="I216" s="780">
        <v>0.80159225</v>
      </c>
      <c r="J216" s="780">
        <v>0.5741885999999999</v>
      </c>
      <c r="K216" s="780">
        <v>0.16091642</v>
      </c>
      <c r="L216" s="780">
        <v>0.0664862745</v>
      </c>
      <c r="M216" s="781">
        <v>0.0</v>
      </c>
      <c r="N216" s="751">
        <v>0.04451081</v>
      </c>
      <c r="O216" s="751">
        <v>0.041331557500000005</v>
      </c>
      <c r="P216" s="756">
        <v>47.7661675</v>
      </c>
      <c r="Q216" s="751">
        <v>25.0</v>
      </c>
      <c r="R216" s="774"/>
      <c r="S216" s="643"/>
      <c r="T216" s="765">
        <f t="shared" si="2"/>
        <v>0.73510502</v>
      </c>
      <c r="U216" s="634"/>
      <c r="V216" s="634"/>
      <c r="W216" s="634"/>
      <c r="X216" s="634"/>
      <c r="Y216" s="634"/>
      <c r="Z216" s="634"/>
    </row>
    <row r="217" ht="15.75" customHeight="1" outlineLevel="1">
      <c r="A217" s="643" t="s">
        <v>2825</v>
      </c>
      <c r="B217" s="643" t="s">
        <v>5813</v>
      </c>
      <c r="C217" s="643"/>
      <c r="D217" s="764" t="s">
        <v>2990</v>
      </c>
      <c r="E217" s="737" t="s">
        <v>2993</v>
      </c>
      <c r="F217" s="782" t="s">
        <v>405</v>
      </c>
      <c r="G217" s="739" t="s">
        <v>5588</v>
      </c>
      <c r="H217" s="661" t="s">
        <v>5798</v>
      </c>
      <c r="I217" s="662">
        <v>249.72609704</v>
      </c>
      <c r="J217" s="662">
        <v>28.80882284</v>
      </c>
      <c r="K217" s="662">
        <v>131.65572448</v>
      </c>
      <c r="L217" s="662">
        <v>89.26145036368001</v>
      </c>
      <c r="M217" s="775">
        <v>0.0</v>
      </c>
      <c r="N217" s="757">
        <v>2.525782224</v>
      </c>
      <c r="O217" s="757">
        <v>2.2513723064</v>
      </c>
      <c r="P217" s="754">
        <v>12030.360832</v>
      </c>
      <c r="Q217" s="754">
        <v>392.0</v>
      </c>
      <c r="R217" s="770" t="s">
        <v>5814</v>
      </c>
      <c r="S217" s="643"/>
      <c r="T217" s="765">
        <f t="shared" si="2"/>
        <v>160.4645473</v>
      </c>
      <c r="U217" s="634"/>
      <c r="V217" s="634"/>
      <c r="W217" s="634"/>
      <c r="X217" s="634"/>
      <c r="Y217" s="634"/>
      <c r="Z217" s="634"/>
    </row>
    <row r="218" ht="15.75" customHeight="1">
      <c r="A218" s="643" t="s">
        <v>2825</v>
      </c>
      <c r="B218" s="643" t="s">
        <v>5815</v>
      </c>
      <c r="C218" s="643"/>
      <c r="D218" s="736"/>
      <c r="E218" s="743"/>
      <c r="F218" s="783" t="s">
        <v>2912</v>
      </c>
      <c r="G218" s="745" t="s">
        <v>5591</v>
      </c>
      <c r="H218" s="667" t="s">
        <v>5798</v>
      </c>
      <c r="I218" s="668">
        <v>195.65331912</v>
      </c>
      <c r="J218" s="668">
        <v>1.9973851576</v>
      </c>
      <c r="K218" s="668">
        <v>109.90537712</v>
      </c>
      <c r="L218" s="668">
        <v>83.75055412192</v>
      </c>
      <c r="M218" s="776">
        <v>0.0</v>
      </c>
      <c r="N218" s="758">
        <v>0.28126877688</v>
      </c>
      <c r="O218" s="758">
        <v>0.18454926448</v>
      </c>
      <c r="P218" s="755">
        <v>7130.975096</v>
      </c>
      <c r="Q218" s="755">
        <v>392.0</v>
      </c>
      <c r="R218" s="772" t="s">
        <v>5814</v>
      </c>
      <c r="S218" s="643"/>
      <c r="T218" s="765">
        <f t="shared" si="2"/>
        <v>111.9027623</v>
      </c>
      <c r="U218" s="634"/>
      <c r="V218" s="634"/>
      <c r="W218" s="634"/>
      <c r="X218" s="634"/>
      <c r="Y218" s="634"/>
      <c r="Z218" s="634"/>
    </row>
    <row r="219" ht="15.75" customHeight="1" outlineLevel="1">
      <c r="A219" s="643" t="s">
        <v>2825</v>
      </c>
      <c r="B219" s="643" t="s">
        <v>5816</v>
      </c>
      <c r="C219" s="643"/>
      <c r="D219" s="736"/>
      <c r="E219" s="743"/>
      <c r="F219" s="783" t="s">
        <v>2914</v>
      </c>
      <c r="G219" s="745" t="s">
        <v>5594</v>
      </c>
      <c r="H219" s="667" t="s">
        <v>5798</v>
      </c>
      <c r="I219" s="668">
        <v>48.72048832</v>
      </c>
      <c r="J219" s="668">
        <v>23.129996064</v>
      </c>
      <c r="K219" s="668">
        <v>20.646624712</v>
      </c>
      <c r="L219" s="668">
        <v>4.943814188879999</v>
      </c>
      <c r="M219" s="776">
        <v>0.0</v>
      </c>
      <c r="N219" s="758">
        <v>2.0258811272</v>
      </c>
      <c r="O219" s="758">
        <v>1.8712751511999999</v>
      </c>
      <c r="P219" s="755">
        <v>4559.776144</v>
      </c>
      <c r="Q219" s="755">
        <v>392.0</v>
      </c>
      <c r="R219" s="772"/>
      <c r="S219" s="643"/>
      <c r="T219" s="765">
        <f t="shared" si="2"/>
        <v>43.77662078</v>
      </c>
      <c r="U219" s="634"/>
      <c r="V219" s="634"/>
      <c r="W219" s="634"/>
      <c r="X219" s="634"/>
      <c r="Y219" s="634"/>
      <c r="Z219" s="634"/>
    </row>
    <row r="220" ht="15.75" customHeight="1" outlineLevel="1">
      <c r="A220" s="643" t="s">
        <v>2825</v>
      </c>
      <c r="B220" s="643" t="s">
        <v>5817</v>
      </c>
      <c r="C220" s="643"/>
      <c r="D220" s="736"/>
      <c r="E220" s="743"/>
      <c r="F220" s="672" t="s">
        <v>2913</v>
      </c>
      <c r="G220" s="749" t="s">
        <v>5597</v>
      </c>
      <c r="H220" s="673" t="s">
        <v>5798</v>
      </c>
      <c r="I220" s="674">
        <v>5.352288816</v>
      </c>
      <c r="J220" s="674">
        <v>3.6814414616</v>
      </c>
      <c r="K220" s="674">
        <v>1.1037256272</v>
      </c>
      <c r="L220" s="674">
        <v>0.567082593448</v>
      </c>
      <c r="M220" s="777">
        <v>0.0</v>
      </c>
      <c r="N220" s="759">
        <v>0.2186323356</v>
      </c>
      <c r="O220" s="759">
        <v>0.19554790248</v>
      </c>
      <c r="P220" s="756">
        <v>339.60966648000004</v>
      </c>
      <c r="Q220" s="756">
        <v>392.0</v>
      </c>
      <c r="R220" s="774"/>
      <c r="S220" s="643"/>
      <c r="T220" s="765">
        <f t="shared" si="2"/>
        <v>4.785167089</v>
      </c>
      <c r="U220" s="634"/>
      <c r="V220" s="634"/>
      <c r="W220" s="634"/>
      <c r="X220" s="634"/>
      <c r="Y220" s="634"/>
      <c r="Z220" s="634"/>
    </row>
    <row r="221" ht="15.75" customHeight="1" outlineLevel="1">
      <c r="A221" s="643" t="s">
        <v>2831</v>
      </c>
      <c r="B221" s="643" t="s">
        <v>5818</v>
      </c>
      <c r="C221" s="643"/>
      <c r="D221" s="736"/>
      <c r="E221" s="737" t="s">
        <v>2995</v>
      </c>
      <c r="F221" s="782" t="s">
        <v>405</v>
      </c>
      <c r="G221" s="739" t="s">
        <v>5600</v>
      </c>
      <c r="H221" s="661" t="s">
        <v>5798</v>
      </c>
      <c r="I221" s="662">
        <v>321.6657555</v>
      </c>
      <c r="J221" s="662">
        <v>218.74082808</v>
      </c>
      <c r="K221" s="662">
        <v>82.89623958</v>
      </c>
      <c r="L221" s="662">
        <v>20.028539520000002</v>
      </c>
      <c r="M221" s="775">
        <v>0.0</v>
      </c>
      <c r="N221" s="757">
        <v>19.238832237</v>
      </c>
      <c r="O221" s="757">
        <v>17.860621167</v>
      </c>
      <c r="P221" s="754">
        <v>19629.307503</v>
      </c>
      <c r="Q221" s="754">
        <v>309.0</v>
      </c>
      <c r="R221" s="770" t="s">
        <v>5819</v>
      </c>
      <c r="S221" s="643"/>
      <c r="T221" s="765">
        <f t="shared" si="2"/>
        <v>301.6370677</v>
      </c>
      <c r="U221" s="634"/>
      <c r="V221" s="634"/>
      <c r="W221" s="634"/>
      <c r="X221" s="634"/>
      <c r="Y221" s="634"/>
      <c r="Z221" s="634"/>
    </row>
    <row r="222" ht="15.75" customHeight="1" outlineLevel="1">
      <c r="A222" s="643" t="s">
        <v>2831</v>
      </c>
      <c r="B222" s="643" t="s">
        <v>5820</v>
      </c>
      <c r="C222" s="643"/>
      <c r="D222" s="736"/>
      <c r="E222" s="743"/>
      <c r="F222" s="783" t="s">
        <v>2912</v>
      </c>
      <c r="G222" s="745" t="s">
        <v>5603</v>
      </c>
      <c r="H222" s="667" t="s">
        <v>5798</v>
      </c>
      <c r="I222" s="668">
        <v>284.86833909</v>
      </c>
      <c r="J222" s="668">
        <v>187.83572031</v>
      </c>
      <c r="K222" s="668">
        <v>78.64015391999999</v>
      </c>
      <c r="L222" s="668">
        <v>18.39240615</v>
      </c>
      <c r="M222" s="776">
        <v>0.0</v>
      </c>
      <c r="N222" s="758">
        <v>16.668811566000002</v>
      </c>
      <c r="O222" s="758">
        <v>15.492324039000001</v>
      </c>
      <c r="P222" s="755">
        <v>14667.790602000001</v>
      </c>
      <c r="Q222" s="755">
        <v>309.0</v>
      </c>
      <c r="R222" s="772" t="s">
        <v>5819</v>
      </c>
      <c r="S222" s="643"/>
      <c r="T222" s="765">
        <f t="shared" si="2"/>
        <v>266.4758742</v>
      </c>
      <c r="U222" s="634"/>
      <c r="V222" s="634"/>
      <c r="W222" s="634"/>
      <c r="X222" s="634"/>
      <c r="Y222" s="634"/>
      <c r="Z222" s="634"/>
    </row>
    <row r="223" ht="15.75" customHeight="1" outlineLevel="1">
      <c r="A223" s="643" t="s">
        <v>2831</v>
      </c>
      <c r="B223" s="643" t="s">
        <v>5821</v>
      </c>
      <c r="C223" s="643"/>
      <c r="D223" s="736"/>
      <c r="E223" s="743"/>
      <c r="F223" s="783" t="s">
        <v>2914</v>
      </c>
      <c r="G223" s="745" t="s">
        <v>5606</v>
      </c>
      <c r="H223" s="667" t="s">
        <v>5798</v>
      </c>
      <c r="I223" s="668">
        <v>29.265203364</v>
      </c>
      <c r="J223" s="668">
        <v>24.963318342</v>
      </c>
      <c r="K223" s="668">
        <v>3.161754126</v>
      </c>
      <c r="L223" s="668">
        <v>1.14008387238</v>
      </c>
      <c r="M223" s="776">
        <v>0.0</v>
      </c>
      <c r="N223" s="758">
        <v>2.166940677</v>
      </c>
      <c r="O223" s="758">
        <v>2.0094951345000003</v>
      </c>
      <c r="P223" s="755">
        <v>4360.776714</v>
      </c>
      <c r="Q223" s="755">
        <v>309.0</v>
      </c>
      <c r="R223" s="772"/>
      <c r="S223" s="643"/>
      <c r="T223" s="765">
        <f t="shared" si="2"/>
        <v>28.12507247</v>
      </c>
      <c r="U223" s="634"/>
      <c r="V223" s="634"/>
      <c r="W223" s="634"/>
      <c r="X223" s="634"/>
      <c r="Y223" s="634"/>
      <c r="Z223" s="634"/>
    </row>
    <row r="224" ht="15.75" customHeight="1" outlineLevel="1">
      <c r="A224" s="643" t="s">
        <v>2831</v>
      </c>
      <c r="B224" s="643" t="s">
        <v>5822</v>
      </c>
      <c r="C224" s="643"/>
      <c r="D224" s="736"/>
      <c r="E224" s="743"/>
      <c r="F224" s="672" t="s">
        <v>2913</v>
      </c>
      <c r="G224" s="749" t="s">
        <v>5609</v>
      </c>
      <c r="H224" s="673" t="s">
        <v>5798</v>
      </c>
      <c r="I224" s="674">
        <v>7.532207484</v>
      </c>
      <c r="J224" s="674">
        <v>5.941787265</v>
      </c>
      <c r="K224" s="674">
        <v>1.0943319666</v>
      </c>
      <c r="L224" s="674">
        <v>0.49604930604</v>
      </c>
      <c r="M224" s="777">
        <v>0.0</v>
      </c>
      <c r="N224" s="759">
        <v>0.4030797777</v>
      </c>
      <c r="O224" s="759">
        <v>0.3588019626</v>
      </c>
      <c r="P224" s="756">
        <v>600.7400943</v>
      </c>
      <c r="Q224" s="756">
        <v>309.0</v>
      </c>
      <c r="R224" s="774"/>
      <c r="S224" s="643"/>
      <c r="T224" s="765">
        <f t="shared" si="2"/>
        <v>7.036119232</v>
      </c>
      <c r="U224" s="634"/>
      <c r="V224" s="634"/>
      <c r="W224" s="634"/>
      <c r="X224" s="634"/>
      <c r="Y224" s="634"/>
      <c r="Z224" s="634"/>
    </row>
    <row r="225" ht="15.75" customHeight="1" outlineLevel="1">
      <c r="A225" s="643" t="s">
        <v>2819</v>
      </c>
      <c r="B225" s="643" t="s">
        <v>5823</v>
      </c>
      <c r="C225" s="643"/>
      <c r="D225" s="736"/>
      <c r="E225" s="737" t="s">
        <v>2992</v>
      </c>
      <c r="F225" s="782" t="s">
        <v>405</v>
      </c>
      <c r="G225" s="739" t="s">
        <v>5612</v>
      </c>
      <c r="H225" s="661" t="s">
        <v>5798</v>
      </c>
      <c r="I225" s="663">
        <v>23.2504566</v>
      </c>
      <c r="J225" s="663">
        <v>21.560198800000002</v>
      </c>
      <c r="K225" s="663">
        <v>1.339520168</v>
      </c>
      <c r="L225" s="663">
        <v>0.3507063742</v>
      </c>
      <c r="M225" s="661">
        <v>0.0</v>
      </c>
      <c r="N225" s="740">
        <v>1.4562371600000001</v>
      </c>
      <c r="O225" s="740">
        <v>1.3886491920000001</v>
      </c>
      <c r="P225" s="741">
        <v>2070.3187399999997</v>
      </c>
      <c r="Q225" s="741">
        <v>14.0</v>
      </c>
      <c r="R225" s="770" t="s">
        <v>5824</v>
      </c>
      <c r="S225" s="643"/>
      <c r="T225" s="765">
        <f t="shared" si="2"/>
        <v>22.89971897</v>
      </c>
      <c r="U225" s="634"/>
      <c r="V225" s="634"/>
      <c r="W225" s="634"/>
      <c r="X225" s="634"/>
      <c r="Y225" s="634"/>
      <c r="Z225" s="634"/>
    </row>
    <row r="226" ht="15.75" customHeight="1" outlineLevel="1">
      <c r="A226" s="643" t="s">
        <v>2819</v>
      </c>
      <c r="B226" s="643" t="s">
        <v>5825</v>
      </c>
      <c r="C226" s="643"/>
      <c r="D226" s="736"/>
      <c r="E226" s="743"/>
      <c r="F226" s="783" t="s">
        <v>2912</v>
      </c>
      <c r="G226" s="745" t="s">
        <v>5615</v>
      </c>
      <c r="H226" s="667" t="s">
        <v>5798</v>
      </c>
      <c r="I226" s="669">
        <v>19.2202738</v>
      </c>
      <c r="J226" s="669">
        <v>18.9917826</v>
      </c>
      <c r="K226" s="669">
        <v>0.178595564</v>
      </c>
      <c r="L226" s="669">
        <v>0.049871083499999996</v>
      </c>
      <c r="M226" s="667">
        <v>0.0</v>
      </c>
      <c r="N226" s="746">
        <v>1.33546966</v>
      </c>
      <c r="O226" s="746">
        <v>1.279415172</v>
      </c>
      <c r="P226" s="747">
        <v>1828.1450600000003</v>
      </c>
      <c r="Q226" s="747">
        <v>14.0</v>
      </c>
      <c r="R226" s="772" t="s">
        <v>5824</v>
      </c>
      <c r="S226" s="643"/>
      <c r="T226" s="765">
        <f t="shared" si="2"/>
        <v>19.17037816</v>
      </c>
      <c r="U226" s="634"/>
      <c r="V226" s="634"/>
      <c r="W226" s="634"/>
      <c r="X226" s="634"/>
      <c r="Y226" s="634"/>
      <c r="Z226" s="634"/>
    </row>
    <row r="227" ht="15.75" customHeight="1" outlineLevel="1">
      <c r="A227" s="643" t="s">
        <v>2819</v>
      </c>
      <c r="B227" s="643" t="s">
        <v>5826</v>
      </c>
      <c r="C227" s="643"/>
      <c r="D227" s="736"/>
      <c r="E227" s="743"/>
      <c r="F227" s="783" t="s">
        <v>2914</v>
      </c>
      <c r="G227" s="745" t="s">
        <v>5618</v>
      </c>
      <c r="H227" s="667" t="s">
        <v>5798</v>
      </c>
      <c r="I227" s="669">
        <v>2.51391434</v>
      </c>
      <c r="J227" s="669">
        <v>1.84494072</v>
      </c>
      <c r="K227" s="669">
        <v>0.541433956</v>
      </c>
      <c r="L227" s="669">
        <v>0.12753671112</v>
      </c>
      <c r="M227" s="667">
        <v>0.0</v>
      </c>
      <c r="N227" s="746">
        <v>0.0708703282</v>
      </c>
      <c r="O227" s="746">
        <v>0.0638885604</v>
      </c>
      <c r="P227" s="747">
        <v>151.724356</v>
      </c>
      <c r="Q227" s="747">
        <v>14.0</v>
      </c>
      <c r="R227" s="772"/>
      <c r="S227" s="643"/>
      <c r="T227" s="765">
        <f t="shared" si="2"/>
        <v>2.386374676</v>
      </c>
      <c r="U227" s="634"/>
      <c r="V227" s="634"/>
      <c r="W227" s="634"/>
      <c r="X227" s="634"/>
      <c r="Y227" s="634"/>
      <c r="Z227" s="634"/>
    </row>
    <row r="228" ht="15.75" customHeight="1" outlineLevel="1">
      <c r="A228" s="784" t="s">
        <v>2819</v>
      </c>
      <c r="B228" s="643" t="s">
        <v>5827</v>
      </c>
      <c r="C228" s="643"/>
      <c r="D228" s="736"/>
      <c r="E228" s="743"/>
      <c r="F228" s="672" t="s">
        <v>2913</v>
      </c>
      <c r="G228" s="749" t="s">
        <v>5621</v>
      </c>
      <c r="H228" s="673" t="s">
        <v>5798</v>
      </c>
      <c r="I228" s="675">
        <v>1.51626804</v>
      </c>
      <c r="J228" s="675">
        <v>0.723474864</v>
      </c>
      <c r="K228" s="675">
        <v>0.619490662</v>
      </c>
      <c r="L228" s="675">
        <v>0.17329857958</v>
      </c>
      <c r="M228" s="673">
        <v>0.0</v>
      </c>
      <c r="N228" s="750">
        <v>0.0498971634</v>
      </c>
      <c r="O228" s="750">
        <v>0.0453454582</v>
      </c>
      <c r="P228" s="751">
        <v>90.44941080000001</v>
      </c>
      <c r="Q228" s="751">
        <v>14.0</v>
      </c>
      <c r="R228" s="774"/>
      <c r="S228" s="643"/>
      <c r="T228" s="765">
        <f t="shared" si="2"/>
        <v>1.342965526</v>
      </c>
      <c r="U228" s="634"/>
      <c r="V228" s="634"/>
      <c r="W228" s="634"/>
      <c r="X228" s="634"/>
      <c r="Y228" s="634"/>
      <c r="Z228" s="634"/>
    </row>
    <row r="229" ht="15.75" customHeight="1" outlineLevel="1">
      <c r="A229" s="643">
        <v>64.004</v>
      </c>
      <c r="B229" s="643" t="s">
        <v>5828</v>
      </c>
      <c r="C229" s="643"/>
      <c r="D229" s="736"/>
      <c r="E229" s="737" t="s">
        <v>5549</v>
      </c>
      <c r="F229" s="738" t="s">
        <v>405</v>
      </c>
      <c r="G229" s="739" t="s">
        <v>5624</v>
      </c>
      <c r="H229" s="661" t="s">
        <v>5798</v>
      </c>
      <c r="I229" s="662">
        <v>622.55376632</v>
      </c>
      <c r="J229" s="662">
        <v>588.9922231999999</v>
      </c>
      <c r="K229" s="662">
        <v>25.8070448328</v>
      </c>
      <c r="L229" s="662">
        <v>7.753618918879998</v>
      </c>
      <c r="M229" s="775">
        <v>0.0</v>
      </c>
      <c r="N229" s="741">
        <v>41.21558776</v>
      </c>
      <c r="O229" s="741">
        <v>39.621654504</v>
      </c>
      <c r="P229" s="754">
        <v>44033.810224</v>
      </c>
      <c r="Q229" s="754">
        <v>279.2</v>
      </c>
      <c r="R229" s="770" t="s">
        <v>5829</v>
      </c>
      <c r="S229" s="643"/>
      <c r="T229" s="765">
        <f t="shared" si="2"/>
        <v>614.799268</v>
      </c>
      <c r="U229" s="634"/>
      <c r="V229" s="634"/>
      <c r="W229" s="634"/>
      <c r="X229" s="634"/>
      <c r="Y229" s="634"/>
      <c r="Z229" s="634"/>
    </row>
    <row r="230" ht="15.75" customHeight="1" outlineLevel="1">
      <c r="A230" s="643">
        <v>64.004</v>
      </c>
      <c r="B230" s="643" t="s">
        <v>5830</v>
      </c>
      <c r="C230" s="643"/>
      <c r="D230" s="736"/>
      <c r="E230" s="743"/>
      <c r="F230" s="744" t="s">
        <v>2912</v>
      </c>
      <c r="G230" s="745" t="s">
        <v>5627</v>
      </c>
      <c r="H230" s="667" t="s">
        <v>5798</v>
      </c>
      <c r="I230" s="668">
        <v>525.09082576</v>
      </c>
      <c r="J230" s="668">
        <v>519.21662528</v>
      </c>
      <c r="K230" s="668">
        <v>4.5431778584</v>
      </c>
      <c r="L230" s="668">
        <v>1.3302369416320001</v>
      </c>
      <c r="M230" s="776">
        <v>0.0</v>
      </c>
      <c r="N230" s="747">
        <v>36.23671188</v>
      </c>
      <c r="O230" s="747">
        <v>34.968035455999996</v>
      </c>
      <c r="P230" s="755">
        <v>38923.252456</v>
      </c>
      <c r="Q230" s="755">
        <v>279.2</v>
      </c>
      <c r="R230" s="772" t="s">
        <v>5829</v>
      </c>
      <c r="S230" s="643"/>
      <c r="T230" s="765">
        <f t="shared" si="2"/>
        <v>523.7598031</v>
      </c>
      <c r="U230" s="634"/>
      <c r="V230" s="634"/>
      <c r="W230" s="634"/>
      <c r="X230" s="634"/>
      <c r="Y230" s="634"/>
      <c r="Z230" s="634"/>
    </row>
    <row r="231" ht="15.75" customHeight="1" outlineLevel="1">
      <c r="A231" s="643">
        <v>64.004</v>
      </c>
      <c r="B231" s="643" t="s">
        <v>5831</v>
      </c>
      <c r="C231" s="643"/>
      <c r="D231" s="736"/>
      <c r="E231" s="743"/>
      <c r="F231" s="744" t="s">
        <v>2914</v>
      </c>
      <c r="G231" s="745" t="s">
        <v>5630</v>
      </c>
      <c r="H231" s="667" t="s">
        <v>5798</v>
      </c>
      <c r="I231" s="668">
        <v>95.31857287999999</v>
      </c>
      <c r="J231" s="668">
        <v>68.2579086</v>
      </c>
      <c r="K231" s="668">
        <v>20.818845068799998</v>
      </c>
      <c r="L231" s="668">
        <v>6.2417664423999994</v>
      </c>
      <c r="M231" s="776">
        <v>0.0</v>
      </c>
      <c r="N231" s="747">
        <v>4.860570184799999</v>
      </c>
      <c r="O231" s="747">
        <v>4.5439141088</v>
      </c>
      <c r="P231" s="755">
        <v>4982.7366576</v>
      </c>
      <c r="Q231" s="755">
        <v>279.2</v>
      </c>
      <c r="R231" s="772"/>
      <c r="S231" s="643"/>
      <c r="T231" s="765">
        <f t="shared" si="2"/>
        <v>89.07675367</v>
      </c>
      <c r="U231" s="634"/>
      <c r="V231" s="634"/>
      <c r="W231" s="634"/>
      <c r="X231" s="634"/>
      <c r="Y231" s="634"/>
      <c r="Z231" s="634"/>
    </row>
    <row r="232" ht="15.75" customHeight="1" outlineLevel="1">
      <c r="A232" s="643">
        <v>64.004</v>
      </c>
      <c r="B232" s="643" t="s">
        <v>5832</v>
      </c>
      <c r="C232" s="643"/>
      <c r="D232" s="736"/>
      <c r="E232" s="743"/>
      <c r="F232" s="672" t="s">
        <v>2913</v>
      </c>
      <c r="G232" s="749" t="s">
        <v>5633</v>
      </c>
      <c r="H232" s="673" t="s">
        <v>5798</v>
      </c>
      <c r="I232" s="674">
        <v>2.1443471867199997</v>
      </c>
      <c r="J232" s="674">
        <v>1.51770741216</v>
      </c>
      <c r="K232" s="674">
        <v>0.44502173807999995</v>
      </c>
      <c r="L232" s="674">
        <v>0.1816155817536</v>
      </c>
      <c r="M232" s="777">
        <v>0.0</v>
      </c>
      <c r="N232" s="751">
        <v>0.118305580728</v>
      </c>
      <c r="O232" s="751">
        <v>0.10970683776000001</v>
      </c>
      <c r="P232" s="756">
        <v>127.82287494399999</v>
      </c>
      <c r="Q232" s="756">
        <v>279.2</v>
      </c>
      <c r="R232" s="774"/>
      <c r="S232" s="643"/>
      <c r="T232" s="765">
        <f t="shared" si="2"/>
        <v>1.96272915</v>
      </c>
      <c r="U232" s="634"/>
      <c r="V232" s="634"/>
      <c r="W232" s="634"/>
      <c r="X232" s="634"/>
      <c r="Y232" s="634"/>
      <c r="Z232" s="634"/>
    </row>
    <row r="233" ht="15.75" customHeight="1" outlineLevel="1">
      <c r="A233" s="643" t="s">
        <v>2842</v>
      </c>
      <c r="B233" s="643" t="s">
        <v>5833</v>
      </c>
      <c r="C233" s="643"/>
      <c r="D233" s="736"/>
      <c r="E233" s="737" t="s">
        <v>5562</v>
      </c>
      <c r="F233" s="738" t="s">
        <v>405</v>
      </c>
      <c r="G233" s="739" t="s">
        <v>5636</v>
      </c>
      <c r="H233" s="661" t="s">
        <v>5798</v>
      </c>
      <c r="I233" s="662">
        <v>223.00065450000002</v>
      </c>
      <c r="J233" s="662">
        <v>203.8524865</v>
      </c>
      <c r="K233" s="662">
        <v>14.7315428</v>
      </c>
      <c r="L233" s="662">
        <v>4.416337704999999</v>
      </c>
      <c r="M233" s="775">
        <v>0.0</v>
      </c>
      <c r="N233" s="741">
        <v>14.2922</v>
      </c>
      <c r="O233" s="741">
        <v>13.69772235</v>
      </c>
      <c r="P233" s="754">
        <v>15170.799149999999</v>
      </c>
      <c r="Q233" s="741">
        <v>65.0</v>
      </c>
      <c r="R233" s="770" t="s">
        <v>5834</v>
      </c>
      <c r="S233" s="643"/>
      <c r="T233" s="765">
        <f t="shared" si="2"/>
        <v>218.5840293</v>
      </c>
      <c r="U233" s="634"/>
      <c r="V233" s="634"/>
      <c r="W233" s="634"/>
      <c r="X233" s="634"/>
      <c r="Y233" s="634"/>
      <c r="Z233" s="634"/>
    </row>
    <row r="234" ht="15.75" customHeight="1" outlineLevel="1">
      <c r="A234" s="643" t="s">
        <v>2842</v>
      </c>
      <c r="B234" s="643" t="s">
        <v>5835</v>
      </c>
      <c r="C234" s="643"/>
      <c r="D234" s="736"/>
      <c r="E234" s="743"/>
      <c r="F234" s="744" t="s">
        <v>2912</v>
      </c>
      <c r="G234" s="745" t="s">
        <v>5639</v>
      </c>
      <c r="H234" s="667" t="s">
        <v>5798</v>
      </c>
      <c r="I234" s="668">
        <v>161.94042149999999</v>
      </c>
      <c r="J234" s="668">
        <v>160.128787</v>
      </c>
      <c r="K234" s="668">
        <v>1.401136945</v>
      </c>
      <c r="L234" s="668">
        <v>0.4102511829</v>
      </c>
      <c r="M234" s="776">
        <v>0.0</v>
      </c>
      <c r="N234" s="747">
        <v>11.17568985</v>
      </c>
      <c r="O234" s="747">
        <v>10.784423</v>
      </c>
      <c r="P234" s="755">
        <v>11974.6315</v>
      </c>
      <c r="Q234" s="747">
        <v>65.0</v>
      </c>
      <c r="R234" s="772" t="s">
        <v>5834</v>
      </c>
      <c r="S234" s="643"/>
      <c r="T234" s="765">
        <f t="shared" si="2"/>
        <v>161.5299239</v>
      </c>
      <c r="U234" s="634"/>
      <c r="V234" s="634"/>
      <c r="W234" s="634"/>
      <c r="X234" s="634"/>
      <c r="Y234" s="634"/>
      <c r="Z234" s="634"/>
    </row>
    <row r="235" ht="15.75" customHeight="1" outlineLevel="1">
      <c r="A235" s="643" t="s">
        <v>2842</v>
      </c>
      <c r="B235" s="643" t="s">
        <v>5836</v>
      </c>
      <c r="C235" s="643"/>
      <c r="D235" s="736"/>
      <c r="E235" s="743"/>
      <c r="F235" s="744" t="s">
        <v>2914</v>
      </c>
      <c r="G235" s="745" t="s">
        <v>5642</v>
      </c>
      <c r="H235" s="667" t="s">
        <v>5798</v>
      </c>
      <c r="I235" s="668">
        <v>60.46519115</v>
      </c>
      <c r="J235" s="668">
        <v>43.2993002</v>
      </c>
      <c r="K235" s="668">
        <v>13.2064023</v>
      </c>
      <c r="L235" s="668">
        <v>3.9594549800000003</v>
      </c>
      <c r="M235" s="776">
        <v>0.0</v>
      </c>
      <c r="N235" s="747">
        <v>3.083295215</v>
      </c>
      <c r="O235" s="747">
        <v>2.8824249350000004</v>
      </c>
      <c r="P235" s="755">
        <v>3160.791465</v>
      </c>
      <c r="Q235" s="747">
        <v>65.0</v>
      </c>
      <c r="R235" s="772"/>
      <c r="S235" s="643"/>
      <c r="T235" s="765">
        <f t="shared" si="2"/>
        <v>56.5057025</v>
      </c>
      <c r="U235" s="634"/>
      <c r="V235" s="634"/>
      <c r="W235" s="634"/>
      <c r="X235" s="634"/>
      <c r="Y235" s="634"/>
      <c r="Z235" s="634"/>
    </row>
    <row r="236" ht="15.75" customHeight="1" outlineLevel="1">
      <c r="A236" s="643" t="s">
        <v>2842</v>
      </c>
      <c r="B236" s="643" t="s">
        <v>5837</v>
      </c>
      <c r="C236" s="643"/>
      <c r="D236" s="736"/>
      <c r="E236" s="743"/>
      <c r="F236" s="672" t="s">
        <v>2913</v>
      </c>
      <c r="G236" s="749" t="s">
        <v>5645</v>
      </c>
      <c r="H236" s="673" t="s">
        <v>5798</v>
      </c>
      <c r="I236" s="674">
        <v>0.595037781</v>
      </c>
      <c r="J236" s="674">
        <v>0.424402303</v>
      </c>
      <c r="K236" s="674">
        <v>0.1240033275</v>
      </c>
      <c r="L236" s="674">
        <v>0.046631553995</v>
      </c>
      <c r="M236" s="777">
        <v>0.0</v>
      </c>
      <c r="N236" s="751">
        <v>0.0332148973</v>
      </c>
      <c r="O236" s="751">
        <v>0.0308744683</v>
      </c>
      <c r="P236" s="756">
        <v>35.3764736</v>
      </c>
      <c r="Q236" s="751">
        <v>65.0</v>
      </c>
      <c r="R236" s="774"/>
      <c r="S236" s="643"/>
      <c r="T236" s="765">
        <f t="shared" si="2"/>
        <v>0.5484056305</v>
      </c>
      <c r="U236" s="634"/>
      <c r="V236" s="634"/>
      <c r="W236" s="634"/>
      <c r="X236" s="634"/>
      <c r="Y236" s="634"/>
      <c r="Z236" s="634"/>
    </row>
    <row r="237" ht="15.75" customHeight="1" outlineLevel="1">
      <c r="A237" s="643" t="s">
        <v>2848</v>
      </c>
      <c r="B237" s="643" t="s">
        <v>5838</v>
      </c>
      <c r="C237" s="643"/>
      <c r="D237" s="736"/>
      <c r="E237" s="737" t="s">
        <v>5575</v>
      </c>
      <c r="F237" s="738" t="s">
        <v>405</v>
      </c>
      <c r="G237" s="739" t="s">
        <v>5648</v>
      </c>
      <c r="H237" s="661" t="s">
        <v>5798</v>
      </c>
      <c r="I237" s="662">
        <v>525.213472</v>
      </c>
      <c r="J237" s="662">
        <v>514.33232</v>
      </c>
      <c r="K237" s="662">
        <v>8.37657568</v>
      </c>
      <c r="L237" s="662">
        <v>2.503774432</v>
      </c>
      <c r="M237" s="775">
        <v>0.0</v>
      </c>
      <c r="N237" s="741">
        <v>35.9195392</v>
      </c>
      <c r="O237" s="741">
        <v>34.6332768</v>
      </c>
      <c r="P237" s="754">
        <v>38609.7504</v>
      </c>
      <c r="Q237" s="754">
        <v>320.0</v>
      </c>
      <c r="R237" s="770" t="s">
        <v>5839</v>
      </c>
      <c r="S237" s="643"/>
      <c r="T237" s="765">
        <f t="shared" si="2"/>
        <v>522.7088957</v>
      </c>
      <c r="U237" s="634"/>
      <c r="V237" s="634"/>
      <c r="W237" s="634"/>
      <c r="X237" s="634"/>
      <c r="Y237" s="634"/>
      <c r="Z237" s="634"/>
    </row>
    <row r="238" ht="15.75" customHeight="1" outlineLevel="1">
      <c r="A238" s="643" t="s">
        <v>2848</v>
      </c>
      <c r="B238" s="643" t="s">
        <v>5840</v>
      </c>
      <c r="C238" s="643"/>
      <c r="D238" s="736"/>
      <c r="E238" s="743"/>
      <c r="F238" s="744" t="s">
        <v>2912</v>
      </c>
      <c r="G238" s="745" t="s">
        <v>5651</v>
      </c>
      <c r="H238" s="667" t="s">
        <v>5798</v>
      </c>
      <c r="I238" s="668">
        <v>506.857856</v>
      </c>
      <c r="J238" s="668">
        <v>501.187616</v>
      </c>
      <c r="K238" s="668">
        <v>4.38542304</v>
      </c>
      <c r="L238" s="668">
        <v>1.2840464928</v>
      </c>
      <c r="M238" s="776">
        <v>0.0</v>
      </c>
      <c r="N238" s="747">
        <v>34.9789248</v>
      </c>
      <c r="O238" s="747">
        <v>33.7542976</v>
      </c>
      <c r="P238" s="755">
        <v>37642.784</v>
      </c>
      <c r="Q238" s="755">
        <v>320.0</v>
      </c>
      <c r="R238" s="772" t="s">
        <v>5839</v>
      </c>
      <c r="S238" s="643"/>
      <c r="T238" s="765">
        <f t="shared" si="2"/>
        <v>505.573039</v>
      </c>
      <c r="U238" s="634"/>
      <c r="V238" s="634"/>
      <c r="W238" s="634"/>
      <c r="X238" s="634"/>
      <c r="Y238" s="634"/>
      <c r="Z238" s="634"/>
    </row>
    <row r="239" ht="15.75" customHeight="1" outlineLevel="1">
      <c r="A239" s="643" t="s">
        <v>2848</v>
      </c>
      <c r="B239" s="643" t="s">
        <v>5841</v>
      </c>
      <c r="C239" s="643"/>
      <c r="D239" s="736"/>
      <c r="E239" s="743"/>
      <c r="F239" s="744" t="s">
        <v>2914</v>
      </c>
      <c r="G239" s="745" t="s">
        <v>5654</v>
      </c>
      <c r="H239" s="667" t="s">
        <v>5798</v>
      </c>
      <c r="I239" s="668">
        <v>17.33930592</v>
      </c>
      <c r="J239" s="668">
        <v>12.41672768</v>
      </c>
      <c r="K239" s="668">
        <v>3.78713504</v>
      </c>
      <c r="L239" s="668">
        <v>1.1354334495999998</v>
      </c>
      <c r="M239" s="776">
        <v>0.0</v>
      </c>
      <c r="N239" s="747">
        <v>0.884181408</v>
      </c>
      <c r="O239" s="747">
        <v>0.826578848</v>
      </c>
      <c r="P239" s="755">
        <v>906.40464</v>
      </c>
      <c r="Q239" s="755">
        <v>320.0</v>
      </c>
      <c r="R239" s="772"/>
      <c r="S239" s="643"/>
      <c r="T239" s="765">
        <f t="shared" si="2"/>
        <v>16.20386272</v>
      </c>
      <c r="U239" s="634"/>
      <c r="V239" s="634"/>
      <c r="W239" s="634"/>
      <c r="X239" s="634"/>
      <c r="Y239" s="634"/>
      <c r="Z239" s="634"/>
    </row>
    <row r="240" ht="15.75" customHeight="1" outlineLevel="1">
      <c r="A240" s="643" t="s">
        <v>2848</v>
      </c>
      <c r="B240" s="643" t="s">
        <v>5842</v>
      </c>
      <c r="C240" s="643"/>
      <c r="D240" s="736"/>
      <c r="E240" s="743"/>
      <c r="F240" s="672" t="s">
        <v>2913</v>
      </c>
      <c r="G240" s="749" t="s">
        <v>5657</v>
      </c>
      <c r="H240" s="673" t="s">
        <v>5798</v>
      </c>
      <c r="I240" s="674">
        <v>1.016297216</v>
      </c>
      <c r="J240" s="674">
        <v>0.727983936</v>
      </c>
      <c r="K240" s="674">
        <v>0.2040175776</v>
      </c>
      <c r="L240" s="674">
        <v>0.08429449728</v>
      </c>
      <c r="M240" s="777">
        <v>0.0</v>
      </c>
      <c r="N240" s="751">
        <v>0.056432944</v>
      </c>
      <c r="O240" s="751">
        <v>0.0524021376</v>
      </c>
      <c r="P240" s="756">
        <v>60.560243199999995</v>
      </c>
      <c r="Q240" s="756">
        <v>320.0</v>
      </c>
      <c r="R240" s="774"/>
      <c r="S240" s="643"/>
      <c r="T240" s="765">
        <f t="shared" si="2"/>
        <v>0.9320015136</v>
      </c>
      <c r="U240" s="634"/>
      <c r="V240" s="634"/>
      <c r="W240" s="634"/>
      <c r="X240" s="634"/>
      <c r="Y240" s="634"/>
      <c r="Z240" s="634"/>
    </row>
    <row r="241" ht="15.75" customHeight="1" outlineLevel="1">
      <c r="A241" s="643" t="s">
        <v>2854</v>
      </c>
      <c r="B241" s="643" t="s">
        <v>5843</v>
      </c>
      <c r="C241" s="643"/>
      <c r="D241" s="736"/>
      <c r="E241" s="737" t="s">
        <v>3000</v>
      </c>
      <c r="F241" s="738" t="s">
        <v>405</v>
      </c>
      <c r="G241" s="739" t="s">
        <v>5660</v>
      </c>
      <c r="H241" s="661" t="s">
        <v>5798</v>
      </c>
      <c r="I241" s="663">
        <v>5.29696848</v>
      </c>
      <c r="J241" s="663">
        <v>4.55353552</v>
      </c>
      <c r="K241" s="663">
        <v>0.591895616</v>
      </c>
      <c r="L241" s="663">
        <v>0.15152453600000002</v>
      </c>
      <c r="M241" s="661">
        <v>0.0</v>
      </c>
      <c r="N241" s="740">
        <v>0.312779744</v>
      </c>
      <c r="O241" s="740">
        <v>0.29243395200000005</v>
      </c>
      <c r="P241" s="741">
        <v>347.01385600000003</v>
      </c>
      <c r="Q241" s="741">
        <v>1.6</v>
      </c>
      <c r="R241" s="770" t="s">
        <v>5844</v>
      </c>
      <c r="S241" s="643"/>
      <c r="T241" s="765">
        <f t="shared" si="2"/>
        <v>5.145431136</v>
      </c>
      <c r="U241" s="634"/>
      <c r="V241" s="634"/>
      <c r="W241" s="634"/>
      <c r="X241" s="634"/>
      <c r="Y241" s="634"/>
      <c r="Z241" s="634"/>
    </row>
    <row r="242" ht="15.75" customHeight="1" outlineLevel="1">
      <c r="A242" s="643" t="s">
        <v>2854</v>
      </c>
      <c r="B242" s="643" t="s">
        <v>5845</v>
      </c>
      <c r="C242" s="643"/>
      <c r="D242" s="736"/>
      <c r="E242" s="743"/>
      <c r="F242" s="744" t="s">
        <v>2912</v>
      </c>
      <c r="G242" s="745" t="s">
        <v>5663</v>
      </c>
      <c r="H242" s="667" t="s">
        <v>5798</v>
      </c>
      <c r="I242" s="669">
        <v>3.8134636800000004</v>
      </c>
      <c r="J242" s="669">
        <v>3.75631568</v>
      </c>
      <c r="K242" s="669">
        <v>0.0448607904</v>
      </c>
      <c r="L242" s="669">
        <v>0.012282532848</v>
      </c>
      <c r="M242" s="667">
        <v>0.0</v>
      </c>
      <c r="N242" s="746">
        <v>0.265953376</v>
      </c>
      <c r="O242" s="746">
        <v>0.25015926400000005</v>
      </c>
      <c r="P242" s="747">
        <v>256.275728</v>
      </c>
      <c r="Q242" s="747">
        <v>1.6</v>
      </c>
      <c r="R242" s="772" t="s">
        <v>5844</v>
      </c>
      <c r="S242" s="643"/>
      <c r="T242" s="765">
        <f t="shared" si="2"/>
        <v>3.80117647</v>
      </c>
      <c r="U242" s="634"/>
      <c r="V242" s="634"/>
      <c r="W242" s="634"/>
      <c r="X242" s="634"/>
      <c r="Y242" s="634"/>
      <c r="Z242" s="634"/>
    </row>
    <row r="243" ht="15.75" customHeight="1" outlineLevel="1">
      <c r="A243" s="643" t="s">
        <v>2854</v>
      </c>
      <c r="B243" s="643" t="s">
        <v>5846</v>
      </c>
      <c r="C243" s="643"/>
      <c r="D243" s="736"/>
      <c r="E243" s="743"/>
      <c r="F243" s="744" t="s">
        <v>2914</v>
      </c>
      <c r="G243" s="745" t="s">
        <v>5666</v>
      </c>
      <c r="H243" s="667" t="s">
        <v>5798</v>
      </c>
      <c r="I243" s="669">
        <v>0.7816410880000001</v>
      </c>
      <c r="J243" s="669">
        <v>0.25185990399999997</v>
      </c>
      <c r="K243" s="669">
        <v>0.431847392</v>
      </c>
      <c r="L243" s="669">
        <v>0.09793344336</v>
      </c>
      <c r="M243" s="667">
        <v>0.0</v>
      </c>
      <c r="N243" s="746">
        <v>0.01256080144</v>
      </c>
      <c r="O243" s="746">
        <v>0.01129828752</v>
      </c>
      <c r="P243" s="747">
        <v>34.0172064</v>
      </c>
      <c r="Q243" s="747">
        <v>1.6</v>
      </c>
      <c r="R243" s="772"/>
      <c r="S243" s="643"/>
      <c r="T243" s="765">
        <f t="shared" si="2"/>
        <v>0.683707296</v>
      </c>
      <c r="U243" s="634"/>
      <c r="V243" s="634"/>
      <c r="W243" s="634"/>
      <c r="X243" s="634"/>
      <c r="Y243" s="634"/>
      <c r="Z243" s="634"/>
    </row>
    <row r="244" ht="15.75" customHeight="1" outlineLevel="1">
      <c r="A244" s="643" t="s">
        <v>2854</v>
      </c>
      <c r="B244" s="643" t="s">
        <v>5847</v>
      </c>
      <c r="C244" s="643"/>
      <c r="D244" s="736"/>
      <c r="E244" s="743"/>
      <c r="F244" s="672" t="s">
        <v>2913</v>
      </c>
      <c r="G244" s="749" t="s">
        <v>5669</v>
      </c>
      <c r="H244" s="673" t="s">
        <v>5798</v>
      </c>
      <c r="I244" s="675">
        <v>0.7018636640000001</v>
      </c>
      <c r="J244" s="675">
        <v>0.545359888</v>
      </c>
      <c r="K244" s="675">
        <v>0.11518743360000001</v>
      </c>
      <c r="L244" s="675">
        <v>0.04130856128</v>
      </c>
      <c r="M244" s="673">
        <v>0.0</v>
      </c>
      <c r="N244" s="750">
        <v>0.034265569600000004</v>
      </c>
      <c r="O244" s="750">
        <v>0.030976401599999998</v>
      </c>
      <c r="P244" s="751">
        <v>56.720929600000005</v>
      </c>
      <c r="Q244" s="751">
        <v>1.6</v>
      </c>
      <c r="R244" s="774"/>
      <c r="S244" s="643"/>
      <c r="T244" s="765">
        <f t="shared" si="2"/>
        <v>0.6605473216</v>
      </c>
      <c r="U244" s="634"/>
      <c r="V244" s="634"/>
      <c r="W244" s="634"/>
      <c r="X244" s="634"/>
      <c r="Y244" s="634"/>
      <c r="Z244" s="634"/>
    </row>
    <row r="245" ht="15.75" customHeight="1" outlineLevel="1">
      <c r="A245" s="643" t="s">
        <v>2859</v>
      </c>
      <c r="B245" s="643" t="s">
        <v>5848</v>
      </c>
      <c r="C245" s="643"/>
      <c r="D245" s="736"/>
      <c r="E245" s="737" t="s">
        <v>3002</v>
      </c>
      <c r="F245" s="738" t="s">
        <v>405</v>
      </c>
      <c r="G245" s="739" t="s">
        <v>5672</v>
      </c>
      <c r="H245" s="661" t="s">
        <v>5798</v>
      </c>
      <c r="I245" s="663">
        <v>5.3860648</v>
      </c>
      <c r="J245" s="663">
        <v>4.6392204800000005</v>
      </c>
      <c r="K245" s="663">
        <v>0.594600224</v>
      </c>
      <c r="L245" s="663">
        <v>0.15223111152000002</v>
      </c>
      <c r="M245" s="661">
        <v>0.0</v>
      </c>
      <c r="N245" s="740">
        <v>0.319035328</v>
      </c>
      <c r="O245" s="740">
        <v>0.29754264</v>
      </c>
      <c r="P245" s="741">
        <v>353.09712</v>
      </c>
      <c r="Q245" s="741">
        <v>1.6</v>
      </c>
      <c r="R245" s="770" t="s">
        <v>5849</v>
      </c>
      <c r="S245" s="643"/>
      <c r="T245" s="765">
        <f t="shared" si="2"/>
        <v>5.233820704</v>
      </c>
      <c r="U245" s="634"/>
      <c r="V245" s="634"/>
      <c r="W245" s="634"/>
      <c r="X245" s="634"/>
      <c r="Y245" s="634"/>
      <c r="Z245" s="634"/>
    </row>
    <row r="246" ht="15.75" customHeight="1" outlineLevel="1">
      <c r="A246" s="643" t="s">
        <v>2859</v>
      </c>
      <c r="B246" s="643" t="s">
        <v>5850</v>
      </c>
      <c r="C246" s="643"/>
      <c r="D246" s="736"/>
      <c r="E246" s="743"/>
      <c r="F246" s="744" t="s">
        <v>2912</v>
      </c>
      <c r="G246" s="745" t="s">
        <v>5675</v>
      </c>
      <c r="H246" s="667" t="s">
        <v>5798</v>
      </c>
      <c r="I246" s="669">
        <v>3.90256</v>
      </c>
      <c r="J246" s="669">
        <v>3.84200064</v>
      </c>
      <c r="K246" s="669">
        <v>0.0475654032</v>
      </c>
      <c r="L246" s="669">
        <v>0.012989107040000001</v>
      </c>
      <c r="M246" s="667">
        <v>0.0</v>
      </c>
      <c r="N246" s="746">
        <v>0.27220896</v>
      </c>
      <c r="O246" s="746">
        <v>0.255267952</v>
      </c>
      <c r="P246" s="747">
        <v>262.358992</v>
      </c>
      <c r="Q246" s="747">
        <v>1.6</v>
      </c>
      <c r="R246" s="772" t="s">
        <v>5849</v>
      </c>
      <c r="S246" s="643"/>
      <c r="T246" s="765">
        <f t="shared" si="2"/>
        <v>3.889566043</v>
      </c>
      <c r="U246" s="634"/>
      <c r="V246" s="634"/>
      <c r="W246" s="634"/>
      <c r="X246" s="634"/>
      <c r="Y246" s="634"/>
      <c r="Z246" s="634"/>
    </row>
    <row r="247" ht="15.75" customHeight="1" outlineLevel="1">
      <c r="A247" s="643" t="s">
        <v>2859</v>
      </c>
      <c r="B247" s="643" t="s">
        <v>5851</v>
      </c>
      <c r="C247" s="643"/>
      <c r="D247" s="736"/>
      <c r="E247" s="743"/>
      <c r="F247" s="744" t="s">
        <v>2914</v>
      </c>
      <c r="G247" s="745" t="s">
        <v>5678</v>
      </c>
      <c r="H247" s="667" t="s">
        <v>5798</v>
      </c>
      <c r="I247" s="669">
        <v>0.7816410880000001</v>
      </c>
      <c r="J247" s="669">
        <v>0.25185990399999997</v>
      </c>
      <c r="K247" s="669">
        <v>0.431847392</v>
      </c>
      <c r="L247" s="669">
        <v>0.09793344336</v>
      </c>
      <c r="M247" s="667">
        <v>0.0</v>
      </c>
      <c r="N247" s="746">
        <v>0.01256080144</v>
      </c>
      <c r="O247" s="746">
        <v>0.01129828752</v>
      </c>
      <c r="P247" s="747">
        <v>34.0172064</v>
      </c>
      <c r="Q247" s="747">
        <v>1.6</v>
      </c>
      <c r="R247" s="772"/>
      <c r="S247" s="643"/>
      <c r="T247" s="765">
        <f t="shared" si="2"/>
        <v>0.683707296</v>
      </c>
      <c r="U247" s="634"/>
      <c r="V247" s="634"/>
      <c r="W247" s="634"/>
      <c r="X247" s="634"/>
      <c r="Y247" s="634"/>
      <c r="Z247" s="634"/>
    </row>
    <row r="248" ht="15.75" customHeight="1" outlineLevel="1">
      <c r="A248" s="643" t="s">
        <v>2859</v>
      </c>
      <c r="B248" s="643" t="s">
        <v>5852</v>
      </c>
      <c r="C248" s="643"/>
      <c r="D248" s="736"/>
      <c r="E248" s="743"/>
      <c r="F248" s="672" t="s">
        <v>2913</v>
      </c>
      <c r="G248" s="749" t="s">
        <v>5681</v>
      </c>
      <c r="H248" s="673" t="s">
        <v>5798</v>
      </c>
      <c r="I248" s="675">
        <v>0.7018636640000001</v>
      </c>
      <c r="J248" s="675">
        <v>0.545359888</v>
      </c>
      <c r="K248" s="675">
        <v>0.11518743360000001</v>
      </c>
      <c r="L248" s="675">
        <v>0.04130856128</v>
      </c>
      <c r="M248" s="673">
        <v>0.0</v>
      </c>
      <c r="N248" s="750">
        <v>0.034265569600000004</v>
      </c>
      <c r="O248" s="750">
        <v>0.030976401599999998</v>
      </c>
      <c r="P248" s="751">
        <v>56.720929600000005</v>
      </c>
      <c r="Q248" s="751">
        <v>1.6</v>
      </c>
      <c r="R248" s="774"/>
      <c r="S248" s="643"/>
      <c r="T248" s="765">
        <f t="shared" si="2"/>
        <v>0.6605473216</v>
      </c>
      <c r="U248" s="634"/>
      <c r="V248" s="634"/>
      <c r="W248" s="634"/>
      <c r="X248" s="634"/>
      <c r="Y248" s="634"/>
      <c r="Z248" s="634"/>
    </row>
    <row r="249" ht="15.75" customHeight="1" outlineLevel="1">
      <c r="A249" s="643" t="s">
        <v>2870</v>
      </c>
      <c r="B249" s="643" t="s">
        <v>5853</v>
      </c>
      <c r="C249" s="643"/>
      <c r="D249" s="736"/>
      <c r="E249" s="737" t="s">
        <v>3006</v>
      </c>
      <c r="F249" s="738" t="s">
        <v>405</v>
      </c>
      <c r="G249" s="739" t="s">
        <v>5684</v>
      </c>
      <c r="H249" s="661" t="s">
        <v>5798</v>
      </c>
      <c r="I249" s="663">
        <v>4.8492441600000005</v>
      </c>
      <c r="J249" s="663">
        <v>4.1229472000000005</v>
      </c>
      <c r="K249" s="663">
        <v>0.578309408</v>
      </c>
      <c r="L249" s="663">
        <v>0.14797513104</v>
      </c>
      <c r="M249" s="661">
        <v>0.0</v>
      </c>
      <c r="N249" s="740">
        <v>0.28135904</v>
      </c>
      <c r="O249" s="740">
        <v>0.266773632</v>
      </c>
      <c r="P249" s="741">
        <v>316.45817600000004</v>
      </c>
      <c r="Q249" s="741">
        <v>1.6</v>
      </c>
      <c r="R249" s="770" t="s">
        <v>5854</v>
      </c>
      <c r="S249" s="643"/>
      <c r="T249" s="765">
        <f t="shared" si="2"/>
        <v>4.701256608</v>
      </c>
      <c r="U249" s="634"/>
      <c r="V249" s="634"/>
      <c r="W249" s="634"/>
      <c r="X249" s="634"/>
      <c r="Y249" s="634"/>
      <c r="Z249" s="634"/>
    </row>
    <row r="250" ht="15.75" customHeight="1" outlineLevel="1">
      <c r="A250" s="643" t="s">
        <v>2870</v>
      </c>
      <c r="B250" s="643" t="s">
        <v>5855</v>
      </c>
      <c r="C250" s="643"/>
      <c r="D250" s="736"/>
      <c r="E250" s="743"/>
      <c r="F250" s="744" t="s">
        <v>2912</v>
      </c>
      <c r="G250" s="745" t="s">
        <v>5687</v>
      </c>
      <c r="H250" s="667" t="s">
        <v>5798</v>
      </c>
      <c r="I250" s="669">
        <v>3.3657392</v>
      </c>
      <c r="J250" s="669">
        <v>3.32572736</v>
      </c>
      <c r="K250" s="669">
        <v>0.0312745856</v>
      </c>
      <c r="L250" s="669">
        <v>0.008733125616</v>
      </c>
      <c r="M250" s="667">
        <v>0.0</v>
      </c>
      <c r="N250" s="746">
        <v>0.23453267200000003</v>
      </c>
      <c r="O250" s="746">
        <v>0.224498944</v>
      </c>
      <c r="P250" s="747">
        <v>225.72004800000002</v>
      </c>
      <c r="Q250" s="747">
        <v>1.6</v>
      </c>
      <c r="R250" s="772" t="s">
        <v>5854</v>
      </c>
      <c r="S250" s="643"/>
      <c r="T250" s="765">
        <f t="shared" si="2"/>
        <v>3.357001946</v>
      </c>
      <c r="U250" s="634"/>
      <c r="V250" s="634"/>
      <c r="W250" s="634"/>
      <c r="X250" s="634"/>
      <c r="Y250" s="634"/>
      <c r="Z250" s="634"/>
    </row>
    <row r="251" ht="15.75" customHeight="1" outlineLevel="1">
      <c r="A251" s="643" t="s">
        <v>2870</v>
      </c>
      <c r="B251" s="643" t="s">
        <v>5856</v>
      </c>
      <c r="C251" s="643"/>
      <c r="D251" s="736"/>
      <c r="E251" s="743"/>
      <c r="F251" s="744" t="s">
        <v>2914</v>
      </c>
      <c r="G251" s="745" t="s">
        <v>5690</v>
      </c>
      <c r="H251" s="667" t="s">
        <v>5798</v>
      </c>
      <c r="I251" s="669">
        <v>0.7816410880000001</v>
      </c>
      <c r="J251" s="669">
        <v>0.25185990399999997</v>
      </c>
      <c r="K251" s="669">
        <v>0.431847392</v>
      </c>
      <c r="L251" s="669">
        <v>0.09793344336</v>
      </c>
      <c r="M251" s="667">
        <v>0.0</v>
      </c>
      <c r="N251" s="746">
        <v>0.01256080144</v>
      </c>
      <c r="O251" s="746">
        <v>0.01129828752</v>
      </c>
      <c r="P251" s="747">
        <v>34.0172064</v>
      </c>
      <c r="Q251" s="747">
        <v>1.6</v>
      </c>
      <c r="R251" s="772"/>
      <c r="S251" s="643"/>
      <c r="T251" s="765">
        <f t="shared" si="2"/>
        <v>0.683707296</v>
      </c>
      <c r="U251" s="634"/>
      <c r="V251" s="634"/>
      <c r="W251" s="634"/>
      <c r="X251" s="634"/>
      <c r="Y251" s="634"/>
      <c r="Z251" s="634"/>
    </row>
    <row r="252" ht="15.75" customHeight="1" outlineLevel="1">
      <c r="A252" s="643" t="s">
        <v>2870</v>
      </c>
      <c r="B252" s="643" t="s">
        <v>5857</v>
      </c>
      <c r="C252" s="643"/>
      <c r="D252" s="736"/>
      <c r="E252" s="743"/>
      <c r="F252" s="672" t="s">
        <v>2913</v>
      </c>
      <c r="G252" s="749" t="s">
        <v>5693</v>
      </c>
      <c r="H252" s="673" t="s">
        <v>5798</v>
      </c>
      <c r="I252" s="675">
        <v>0.7018636640000001</v>
      </c>
      <c r="J252" s="675">
        <v>0.545359888</v>
      </c>
      <c r="K252" s="675">
        <v>0.11518743360000001</v>
      </c>
      <c r="L252" s="675">
        <v>0.04130856128</v>
      </c>
      <c r="M252" s="673">
        <v>0.0</v>
      </c>
      <c r="N252" s="750">
        <v>0.034265569600000004</v>
      </c>
      <c r="O252" s="750">
        <v>0.030976401599999998</v>
      </c>
      <c r="P252" s="751">
        <v>56.720929600000005</v>
      </c>
      <c r="Q252" s="751">
        <v>1.6</v>
      </c>
      <c r="R252" s="774"/>
      <c r="S252" s="643"/>
      <c r="T252" s="765">
        <f t="shared" si="2"/>
        <v>0.6605473216</v>
      </c>
      <c r="U252" s="634"/>
      <c r="V252" s="634"/>
      <c r="W252" s="634"/>
      <c r="X252" s="634"/>
      <c r="Y252" s="634"/>
      <c r="Z252" s="634"/>
    </row>
    <row r="253" ht="15.75" customHeight="1" outlineLevel="1">
      <c r="A253" s="643" t="s">
        <v>2881</v>
      </c>
      <c r="B253" s="643" t="s">
        <v>5858</v>
      </c>
      <c r="C253" s="643"/>
      <c r="D253" s="736"/>
      <c r="E253" s="737" t="s">
        <v>3010</v>
      </c>
      <c r="F253" s="738" t="s">
        <v>405</v>
      </c>
      <c r="G253" s="739" t="s">
        <v>5696</v>
      </c>
      <c r="H253" s="661" t="s">
        <v>5798</v>
      </c>
      <c r="I253" s="663">
        <v>5.25323904</v>
      </c>
      <c r="J253" s="663">
        <v>4.3650670400000005</v>
      </c>
      <c r="K253" s="663">
        <v>0.708536304</v>
      </c>
      <c r="L253" s="663">
        <v>0.1796239232</v>
      </c>
      <c r="M253" s="661">
        <v>0.0</v>
      </c>
      <c r="N253" s="740">
        <v>0.25579232</v>
      </c>
      <c r="O253" s="740">
        <v>0.236562928</v>
      </c>
      <c r="P253" s="741">
        <v>274.965504</v>
      </c>
      <c r="Q253" s="741">
        <v>1.6</v>
      </c>
      <c r="R253" s="770" t="s">
        <v>5859</v>
      </c>
      <c r="S253" s="643"/>
      <c r="T253" s="765">
        <f t="shared" si="2"/>
        <v>5.073603344</v>
      </c>
      <c r="U253" s="634"/>
      <c r="V253" s="634"/>
      <c r="W253" s="634"/>
      <c r="X253" s="634"/>
      <c r="Y253" s="634"/>
      <c r="Z253" s="634"/>
    </row>
    <row r="254" ht="15.75" customHeight="1" outlineLevel="1">
      <c r="A254" s="643" t="s">
        <v>2881</v>
      </c>
      <c r="B254" s="643" t="s">
        <v>5860</v>
      </c>
      <c r="C254" s="643"/>
      <c r="D254" s="736"/>
      <c r="E254" s="743"/>
      <c r="F254" s="744" t="s">
        <v>2912</v>
      </c>
      <c r="G254" s="745" t="s">
        <v>5699</v>
      </c>
      <c r="H254" s="667" t="s">
        <v>5798</v>
      </c>
      <c r="I254" s="669">
        <v>3.6841228800000003</v>
      </c>
      <c r="J254" s="669">
        <v>3.5387545600000005</v>
      </c>
      <c r="K254" s="669">
        <v>0.1154989408</v>
      </c>
      <c r="L254" s="669">
        <v>0.029865912079999998</v>
      </c>
      <c r="M254" s="667">
        <v>0.0</v>
      </c>
      <c r="N254" s="746">
        <v>0.20746982400000002</v>
      </c>
      <c r="O254" s="746">
        <v>0.192941664</v>
      </c>
      <c r="P254" s="747">
        <v>180.36652800000002</v>
      </c>
      <c r="Q254" s="747">
        <v>1.6</v>
      </c>
      <c r="R254" s="772" t="s">
        <v>5859</v>
      </c>
      <c r="S254" s="643"/>
      <c r="T254" s="765">
        <f t="shared" si="2"/>
        <v>3.654253501</v>
      </c>
      <c r="U254" s="634"/>
      <c r="V254" s="634"/>
      <c r="W254" s="634"/>
      <c r="X254" s="634"/>
      <c r="Y254" s="634"/>
      <c r="Z254" s="634"/>
    </row>
    <row r="255" ht="15.75" customHeight="1" outlineLevel="1">
      <c r="A255" s="643" t="s">
        <v>2881</v>
      </c>
      <c r="B255" s="643" t="s">
        <v>5861</v>
      </c>
      <c r="C255" s="643"/>
      <c r="D255" s="736"/>
      <c r="E255" s="743"/>
      <c r="F255" s="744" t="s">
        <v>2914</v>
      </c>
      <c r="G255" s="745" t="s">
        <v>5702</v>
      </c>
      <c r="H255" s="667" t="s">
        <v>5798</v>
      </c>
      <c r="I255" s="669">
        <v>0.863327664</v>
      </c>
      <c r="J255" s="669">
        <v>0.277903008</v>
      </c>
      <c r="K255" s="669">
        <v>0.477205808</v>
      </c>
      <c r="L255" s="669">
        <v>0.10821845504000001</v>
      </c>
      <c r="M255" s="667">
        <v>0.0</v>
      </c>
      <c r="N255" s="746">
        <v>0.013865304480000002</v>
      </c>
      <c r="O255" s="746">
        <v>0.01247163392</v>
      </c>
      <c r="P255" s="747">
        <v>37.560862400000005</v>
      </c>
      <c r="Q255" s="747">
        <v>1.6</v>
      </c>
      <c r="R255" s="772"/>
      <c r="S255" s="643"/>
      <c r="T255" s="765">
        <f t="shared" si="2"/>
        <v>0.755108816</v>
      </c>
      <c r="U255" s="634"/>
      <c r="V255" s="634"/>
      <c r="W255" s="634"/>
      <c r="X255" s="634"/>
      <c r="Y255" s="634"/>
      <c r="Z255" s="634"/>
    </row>
    <row r="256" ht="15.75" customHeight="1" outlineLevel="1">
      <c r="A256" s="643" t="s">
        <v>2881</v>
      </c>
      <c r="B256" s="643" t="s">
        <v>5862</v>
      </c>
      <c r="C256" s="643"/>
      <c r="D256" s="736"/>
      <c r="E256" s="743"/>
      <c r="F256" s="672" t="s">
        <v>2913</v>
      </c>
      <c r="G256" s="749" t="s">
        <v>5705</v>
      </c>
      <c r="H256" s="673" t="s">
        <v>5798</v>
      </c>
      <c r="I256" s="675">
        <v>0.7057884480000001</v>
      </c>
      <c r="J256" s="675">
        <v>0.548409504</v>
      </c>
      <c r="K256" s="675">
        <v>0.1158315568</v>
      </c>
      <c r="L256" s="675">
        <v>0.041539556320000004</v>
      </c>
      <c r="M256" s="673">
        <v>0.0</v>
      </c>
      <c r="N256" s="750">
        <v>0.0344571808</v>
      </c>
      <c r="O256" s="750">
        <v>0.0311496208</v>
      </c>
      <c r="P256" s="751">
        <v>57.03811040000001</v>
      </c>
      <c r="Q256" s="751">
        <v>1.6</v>
      </c>
      <c r="R256" s="774"/>
      <c r="S256" s="643"/>
      <c r="T256" s="765">
        <f t="shared" si="2"/>
        <v>0.6642410608</v>
      </c>
      <c r="U256" s="634"/>
      <c r="V256" s="634"/>
      <c r="W256" s="634"/>
      <c r="X256" s="634"/>
      <c r="Y256" s="634"/>
      <c r="Z256" s="634"/>
    </row>
    <row r="257" ht="15.75" customHeight="1" outlineLevel="1">
      <c r="A257" s="643" t="s">
        <v>2865</v>
      </c>
      <c r="B257" s="643" t="s">
        <v>5863</v>
      </c>
      <c r="C257" s="643"/>
      <c r="D257" s="736"/>
      <c r="E257" s="737" t="s">
        <v>3004</v>
      </c>
      <c r="F257" s="738" t="s">
        <v>405</v>
      </c>
      <c r="G257" s="739" t="s">
        <v>5708</v>
      </c>
      <c r="H257" s="661" t="s">
        <v>5798</v>
      </c>
      <c r="I257" s="663">
        <v>2.7537648000000003</v>
      </c>
      <c r="J257" s="663">
        <v>1.39371456</v>
      </c>
      <c r="K257" s="663">
        <v>1.0845246080000002</v>
      </c>
      <c r="L257" s="663">
        <v>0.27551578175999997</v>
      </c>
      <c r="M257" s="661">
        <v>3.0433228846720004</v>
      </c>
      <c r="N257" s="740">
        <v>0.15725737760000003</v>
      </c>
      <c r="O257" s="740">
        <v>0.07956412000000002</v>
      </c>
      <c r="P257" s="741">
        <v>247.06379200000003</v>
      </c>
      <c r="Q257" s="741">
        <v>1.6</v>
      </c>
      <c r="R257" s="770" t="s">
        <v>5864</v>
      </c>
      <c r="S257" s="643"/>
      <c r="T257" s="765">
        <f t="shared" si="2"/>
        <v>2.478239168</v>
      </c>
      <c r="U257" s="634"/>
      <c r="V257" s="634"/>
      <c r="W257" s="634"/>
      <c r="X257" s="634"/>
      <c r="Y257" s="634"/>
      <c r="Z257" s="634"/>
    </row>
    <row r="258" ht="15.75" customHeight="1" outlineLevel="1">
      <c r="A258" s="643" t="s">
        <v>2865</v>
      </c>
      <c r="B258" s="643" t="s">
        <v>5865</v>
      </c>
      <c r="C258" s="643"/>
      <c r="D258" s="736"/>
      <c r="E258" s="743"/>
      <c r="F258" s="744" t="s">
        <v>2912</v>
      </c>
      <c r="G258" s="745" t="s">
        <v>5711</v>
      </c>
      <c r="H258" s="667" t="s">
        <v>5798</v>
      </c>
      <c r="I258" s="669">
        <v>1.184648624</v>
      </c>
      <c r="J258" s="669">
        <v>0.5674020320000001</v>
      </c>
      <c r="K258" s="669">
        <v>0.491487248</v>
      </c>
      <c r="L258" s="669">
        <v>0.12575777200000002</v>
      </c>
      <c r="M258" s="667">
        <v>3.0433228846720004</v>
      </c>
      <c r="N258" s="746">
        <v>0.1089348912</v>
      </c>
      <c r="O258" s="746">
        <v>0.035942865600000005</v>
      </c>
      <c r="P258" s="747">
        <v>152.4648256</v>
      </c>
      <c r="Q258" s="747">
        <v>1.6</v>
      </c>
      <c r="R258" s="772" t="s">
        <v>5864</v>
      </c>
      <c r="S258" s="643"/>
      <c r="T258" s="765">
        <f t="shared" si="2"/>
        <v>1.05888928</v>
      </c>
      <c r="U258" s="634"/>
      <c r="V258" s="634"/>
      <c r="W258" s="634"/>
      <c r="X258" s="634"/>
      <c r="Y258" s="634"/>
      <c r="Z258" s="634"/>
    </row>
    <row r="259" ht="15.75" customHeight="1" outlineLevel="1">
      <c r="A259" s="643" t="s">
        <v>2865</v>
      </c>
      <c r="B259" s="643" t="s">
        <v>5866</v>
      </c>
      <c r="C259" s="643"/>
      <c r="D259" s="736"/>
      <c r="E259" s="743"/>
      <c r="F259" s="744" t="s">
        <v>2914</v>
      </c>
      <c r="G259" s="745" t="s">
        <v>5714</v>
      </c>
      <c r="H259" s="667" t="s">
        <v>5798</v>
      </c>
      <c r="I259" s="669">
        <v>0.863327664</v>
      </c>
      <c r="J259" s="669">
        <v>0.277903008</v>
      </c>
      <c r="K259" s="669">
        <v>0.477205808</v>
      </c>
      <c r="L259" s="669">
        <v>0.10821845504000001</v>
      </c>
      <c r="M259" s="667">
        <v>0.0</v>
      </c>
      <c r="N259" s="746">
        <v>0.013865304480000002</v>
      </c>
      <c r="O259" s="746">
        <v>0.01247163392</v>
      </c>
      <c r="P259" s="747">
        <v>37.560862400000005</v>
      </c>
      <c r="Q259" s="747">
        <v>1.6</v>
      </c>
      <c r="R259" s="772"/>
      <c r="S259" s="643"/>
      <c r="T259" s="765">
        <f t="shared" si="2"/>
        <v>0.755108816</v>
      </c>
      <c r="U259" s="634"/>
      <c r="V259" s="634"/>
      <c r="W259" s="634"/>
      <c r="X259" s="634"/>
      <c r="Y259" s="634"/>
      <c r="Z259" s="634"/>
    </row>
    <row r="260" ht="15.75" customHeight="1" outlineLevel="1">
      <c r="A260" s="643" t="s">
        <v>2865</v>
      </c>
      <c r="B260" s="643" t="s">
        <v>5867</v>
      </c>
      <c r="C260" s="643"/>
      <c r="D260" s="736"/>
      <c r="E260" s="743"/>
      <c r="F260" s="672" t="s">
        <v>2913</v>
      </c>
      <c r="G260" s="749" t="s">
        <v>5717</v>
      </c>
      <c r="H260" s="673" t="s">
        <v>5798</v>
      </c>
      <c r="I260" s="675">
        <v>0.7057884480000001</v>
      </c>
      <c r="J260" s="675">
        <v>0.548409504</v>
      </c>
      <c r="K260" s="675">
        <v>0.1158315568</v>
      </c>
      <c r="L260" s="675">
        <v>0.041539556320000004</v>
      </c>
      <c r="M260" s="673">
        <v>0.0</v>
      </c>
      <c r="N260" s="750">
        <v>0.0344571808</v>
      </c>
      <c r="O260" s="750">
        <v>0.0311496208</v>
      </c>
      <c r="P260" s="751">
        <v>57.03811040000001</v>
      </c>
      <c r="Q260" s="751">
        <v>1.6</v>
      </c>
      <c r="R260" s="774"/>
      <c r="S260" s="643"/>
      <c r="T260" s="765">
        <f t="shared" si="2"/>
        <v>0.6642410608</v>
      </c>
      <c r="U260" s="634"/>
      <c r="V260" s="634"/>
      <c r="W260" s="634"/>
      <c r="X260" s="634"/>
      <c r="Y260" s="634"/>
      <c r="Z260" s="634"/>
    </row>
    <row r="261" ht="15.75" customHeight="1" outlineLevel="1">
      <c r="A261" s="643" t="s">
        <v>2876</v>
      </c>
      <c r="B261" s="643" t="s">
        <v>5868</v>
      </c>
      <c r="C261" s="643"/>
      <c r="D261" s="736"/>
      <c r="E261" s="737" t="s">
        <v>3008</v>
      </c>
      <c r="F261" s="738" t="s">
        <v>405</v>
      </c>
      <c r="G261" s="739" t="s">
        <v>5720</v>
      </c>
      <c r="H261" s="661" t="s">
        <v>5798</v>
      </c>
      <c r="I261" s="663">
        <v>4.25005904</v>
      </c>
      <c r="J261" s="663">
        <v>1.423100496</v>
      </c>
      <c r="K261" s="663">
        <v>2.2824752</v>
      </c>
      <c r="L261" s="663">
        <v>0.5444692032</v>
      </c>
      <c r="M261" s="661">
        <v>0.0</v>
      </c>
      <c r="N261" s="740">
        <v>0.0934162192</v>
      </c>
      <c r="O261" s="740">
        <v>0.08388849440000001</v>
      </c>
      <c r="P261" s="741">
        <v>260.9756</v>
      </c>
      <c r="Q261" s="741">
        <v>1.6</v>
      </c>
      <c r="R261" s="770" t="s">
        <v>5869</v>
      </c>
      <c r="S261" s="643"/>
      <c r="T261" s="765">
        <f t="shared" si="2"/>
        <v>3.705575696</v>
      </c>
      <c r="U261" s="634"/>
      <c r="V261" s="634"/>
      <c r="W261" s="634"/>
      <c r="X261" s="634"/>
      <c r="Y261" s="634"/>
      <c r="Z261" s="634"/>
    </row>
    <row r="262" ht="15.75" customHeight="1" outlineLevel="1">
      <c r="A262" s="643" t="s">
        <v>2876</v>
      </c>
      <c r="B262" s="643" t="s">
        <v>5870</v>
      </c>
      <c r="C262" s="643"/>
      <c r="D262" s="736"/>
      <c r="E262" s="743"/>
      <c r="F262" s="744" t="s">
        <v>2912</v>
      </c>
      <c r="G262" s="745" t="s">
        <v>5723</v>
      </c>
      <c r="H262" s="667" t="s">
        <v>5798</v>
      </c>
      <c r="I262" s="669">
        <v>2.16338688</v>
      </c>
      <c r="J262" s="669">
        <v>0.248468192</v>
      </c>
      <c r="K262" s="669">
        <v>1.56371624</v>
      </c>
      <c r="L262" s="669">
        <v>0.35120230928</v>
      </c>
      <c r="M262" s="667">
        <v>0.0</v>
      </c>
      <c r="N262" s="746">
        <v>0.020375152</v>
      </c>
      <c r="O262" s="746">
        <v>0.0182174864</v>
      </c>
      <c r="P262" s="747">
        <v>87.64728480000001</v>
      </c>
      <c r="Q262" s="747">
        <v>1.6</v>
      </c>
      <c r="R262" s="772" t="s">
        <v>5869</v>
      </c>
      <c r="S262" s="643"/>
      <c r="T262" s="765">
        <f t="shared" si="2"/>
        <v>1.812184432</v>
      </c>
      <c r="U262" s="634"/>
      <c r="V262" s="634"/>
      <c r="W262" s="634"/>
      <c r="X262" s="634"/>
      <c r="Y262" s="634"/>
      <c r="Z262" s="634"/>
    </row>
    <row r="263" ht="15.75" customHeight="1" outlineLevel="1">
      <c r="A263" s="643" t="s">
        <v>2876</v>
      </c>
      <c r="B263" s="643" t="s">
        <v>5871</v>
      </c>
      <c r="C263" s="643"/>
      <c r="D263" s="736"/>
      <c r="E263" s="743"/>
      <c r="F263" s="744" t="s">
        <v>2914</v>
      </c>
      <c r="G263" s="745" t="s">
        <v>5726</v>
      </c>
      <c r="H263" s="667" t="s">
        <v>5798</v>
      </c>
      <c r="I263" s="669">
        <v>0.9636386240000001</v>
      </c>
      <c r="J263" s="669">
        <v>0.31050403200000004</v>
      </c>
      <c r="K263" s="669">
        <v>0.532398048</v>
      </c>
      <c r="L263" s="669">
        <v>0.12073611520000001</v>
      </c>
      <c r="M263" s="667">
        <v>0.0</v>
      </c>
      <c r="N263" s="746">
        <v>0.015485491200000001</v>
      </c>
      <c r="O263" s="746">
        <v>0.0139290104</v>
      </c>
      <c r="P263" s="747">
        <v>41.9378224</v>
      </c>
      <c r="Q263" s="747">
        <v>1.6</v>
      </c>
      <c r="R263" s="772"/>
      <c r="S263" s="643"/>
      <c r="T263" s="765">
        <f t="shared" si="2"/>
        <v>0.84290208</v>
      </c>
      <c r="U263" s="634"/>
      <c r="V263" s="634"/>
      <c r="W263" s="634"/>
      <c r="X263" s="634"/>
      <c r="Y263" s="634"/>
      <c r="Z263" s="634"/>
    </row>
    <row r="264" ht="15.75" customHeight="1" outlineLevel="1">
      <c r="A264" s="643" t="s">
        <v>2876</v>
      </c>
      <c r="B264" s="643" t="s">
        <v>5872</v>
      </c>
      <c r="C264" s="643"/>
      <c r="D264" s="736"/>
      <c r="E264" s="743"/>
      <c r="F264" s="672" t="s">
        <v>2913</v>
      </c>
      <c r="G264" s="749" t="s">
        <v>5729</v>
      </c>
      <c r="H264" s="673" t="s">
        <v>5798</v>
      </c>
      <c r="I264" s="675">
        <v>1.123033456</v>
      </c>
      <c r="J264" s="675">
        <v>0.8641282880000001</v>
      </c>
      <c r="K264" s="675">
        <v>0.186360848</v>
      </c>
      <c r="L264" s="675">
        <v>0.07253077376000001</v>
      </c>
      <c r="M264" s="673">
        <v>0.0</v>
      </c>
      <c r="N264" s="750">
        <v>0.057555576</v>
      </c>
      <c r="O264" s="750">
        <v>0.0517419968</v>
      </c>
      <c r="P264" s="751">
        <v>131.3904928</v>
      </c>
      <c r="Q264" s="751">
        <v>1.6</v>
      </c>
      <c r="R264" s="774"/>
      <c r="S264" s="643"/>
      <c r="T264" s="765">
        <f t="shared" si="2"/>
        <v>1.050489136</v>
      </c>
      <c r="U264" s="634"/>
      <c r="V264" s="634"/>
      <c r="W264" s="634"/>
      <c r="X264" s="634"/>
      <c r="Y264" s="634"/>
      <c r="Z264" s="634"/>
    </row>
    <row r="265" ht="15.75" customHeight="1" outlineLevel="1">
      <c r="A265" s="643" t="s">
        <v>2898</v>
      </c>
      <c r="B265" s="643" t="s">
        <v>5873</v>
      </c>
      <c r="C265" s="643"/>
      <c r="D265" s="736"/>
      <c r="E265" s="785" t="s">
        <v>3016</v>
      </c>
      <c r="F265" s="782" t="s">
        <v>405</v>
      </c>
      <c r="G265" s="739" t="s">
        <v>5732</v>
      </c>
      <c r="H265" s="661" t="s">
        <v>5798</v>
      </c>
      <c r="I265" s="663">
        <v>1.715878185878186</v>
      </c>
      <c r="J265" s="663">
        <v>1.6512784212784215</v>
      </c>
      <c r="K265" s="663">
        <v>0.04600890230890231</v>
      </c>
      <c r="L265" s="663">
        <v>0.018587333047333048</v>
      </c>
      <c r="M265" s="661">
        <v>0.0</v>
      </c>
      <c r="N265" s="740">
        <v>0.13453419353419355</v>
      </c>
      <c r="O265" s="740">
        <v>0.10796020856020856</v>
      </c>
      <c r="P265" s="741">
        <v>298.0901560901561</v>
      </c>
      <c r="Q265" s="741">
        <v>1.1000011000011</v>
      </c>
      <c r="R265" s="770" t="s">
        <v>5874</v>
      </c>
      <c r="S265" s="643"/>
      <c r="T265" s="765">
        <f t="shared" si="2"/>
        <v>1.697287324</v>
      </c>
      <c r="U265" s="634"/>
      <c r="V265" s="634"/>
      <c r="W265" s="634"/>
      <c r="X265" s="634"/>
      <c r="Y265" s="634"/>
      <c r="Z265" s="634"/>
    </row>
    <row r="266" ht="15.75" customHeight="1" outlineLevel="1">
      <c r="A266" s="643" t="s">
        <v>2898</v>
      </c>
      <c r="B266" s="643" t="s">
        <v>5875</v>
      </c>
      <c r="C266" s="643"/>
      <c r="D266" s="736"/>
      <c r="E266" s="786"/>
      <c r="F266" s="783" t="s">
        <v>2912</v>
      </c>
      <c r="G266" s="745" t="s">
        <v>5735</v>
      </c>
      <c r="H266" s="667" t="s">
        <v>5798</v>
      </c>
      <c r="I266" s="669">
        <v>1.4508270908270908</v>
      </c>
      <c r="J266" s="669">
        <v>1.4281250481250483</v>
      </c>
      <c r="K266" s="669">
        <v>0.017812376112376113</v>
      </c>
      <c r="L266" s="669">
        <v>0.004887902528902529</v>
      </c>
      <c r="M266" s="667">
        <v>0.0</v>
      </c>
      <c r="N266" s="746">
        <v>0.12120904420904423</v>
      </c>
      <c r="O266" s="746">
        <v>0.09582788942788943</v>
      </c>
      <c r="P266" s="747">
        <v>279.64904464904464</v>
      </c>
      <c r="Q266" s="747">
        <v>1.1000011000011</v>
      </c>
      <c r="R266" s="772" t="s">
        <v>5874</v>
      </c>
      <c r="S266" s="643"/>
      <c r="T266" s="765">
        <f t="shared" si="2"/>
        <v>1.445937424</v>
      </c>
      <c r="U266" s="634"/>
      <c r="V266" s="634"/>
      <c r="W266" s="634"/>
      <c r="X266" s="634"/>
      <c r="Y266" s="634"/>
      <c r="Z266" s="634"/>
    </row>
    <row r="267" ht="15.75" customHeight="1" outlineLevel="1">
      <c r="A267" s="643" t="s">
        <v>2898</v>
      </c>
      <c r="B267" s="643" t="s">
        <v>5876</v>
      </c>
      <c r="C267" s="643"/>
      <c r="D267" s="736"/>
      <c r="E267" s="786"/>
      <c r="F267" s="783" t="s">
        <v>2914</v>
      </c>
      <c r="G267" s="745" t="s">
        <v>5738</v>
      </c>
      <c r="H267" s="667" t="s">
        <v>5798</v>
      </c>
      <c r="I267" s="669">
        <v>0.027734364034364037</v>
      </c>
      <c r="J267" s="669">
        <v>0.02545918995918996</v>
      </c>
      <c r="K267" s="669">
        <v>0.0017927240427240427</v>
      </c>
      <c r="L267" s="669">
        <v>4.8240865260865264E-4</v>
      </c>
      <c r="M267" s="667">
        <v>0.0</v>
      </c>
      <c r="N267" s="746">
        <v>9.321844811844812E-4</v>
      </c>
      <c r="O267" s="746">
        <v>8.407487047487048E-4</v>
      </c>
      <c r="P267" s="747">
        <v>1.8826294426294428</v>
      </c>
      <c r="Q267" s="747">
        <v>1.1000011000011</v>
      </c>
      <c r="R267" s="772"/>
      <c r="S267" s="643"/>
      <c r="T267" s="765">
        <f t="shared" si="2"/>
        <v>0.027251914</v>
      </c>
      <c r="U267" s="634"/>
      <c r="V267" s="634"/>
      <c r="W267" s="634"/>
      <c r="X267" s="634"/>
      <c r="Y267" s="634"/>
      <c r="Z267" s="634"/>
    </row>
    <row r="268" ht="15.75" customHeight="1" outlineLevel="1">
      <c r="A268" s="643" t="s">
        <v>2898</v>
      </c>
      <c r="B268" s="643" t="s">
        <v>5877</v>
      </c>
      <c r="C268" s="643"/>
      <c r="D268" s="736"/>
      <c r="E268" s="786"/>
      <c r="F268" s="672" t="s">
        <v>2913</v>
      </c>
      <c r="G268" s="749" t="s">
        <v>5741</v>
      </c>
      <c r="H268" s="673" t="s">
        <v>5798</v>
      </c>
      <c r="I268" s="675">
        <v>0.23731674531674535</v>
      </c>
      <c r="J268" s="675">
        <v>0.1976942216942217</v>
      </c>
      <c r="K268" s="675">
        <v>0.026403801603801607</v>
      </c>
      <c r="L268" s="675">
        <v>0.01321702222002222</v>
      </c>
      <c r="M268" s="673">
        <v>0.0</v>
      </c>
      <c r="N268" s="750">
        <v>0.012392966592966594</v>
      </c>
      <c r="O268" s="750">
        <v>0.011291569591569591</v>
      </c>
      <c r="P268" s="751">
        <v>16.55848155848156</v>
      </c>
      <c r="Q268" s="751">
        <v>1.1000011000011</v>
      </c>
      <c r="R268" s="774"/>
      <c r="S268" s="643"/>
      <c r="T268" s="765">
        <f t="shared" si="2"/>
        <v>0.2240980233</v>
      </c>
      <c r="U268" s="634"/>
      <c r="V268" s="634"/>
      <c r="W268" s="634"/>
      <c r="X268" s="634"/>
      <c r="Y268" s="634"/>
      <c r="Z268" s="634"/>
    </row>
    <row r="269" ht="15.75" customHeight="1" outlineLevel="1">
      <c r="A269" s="643" t="s">
        <v>2887</v>
      </c>
      <c r="B269" s="643" t="s">
        <v>5878</v>
      </c>
      <c r="C269" s="643"/>
      <c r="D269" s="736"/>
      <c r="E269" s="785" t="s">
        <v>3012</v>
      </c>
      <c r="F269" s="782" t="s">
        <v>405</v>
      </c>
      <c r="G269" s="739" t="s">
        <v>5744</v>
      </c>
      <c r="H269" s="661" t="s">
        <v>5798</v>
      </c>
      <c r="I269" s="680">
        <v>59.65287446000001</v>
      </c>
      <c r="J269" s="680">
        <v>5.090537641</v>
      </c>
      <c r="K269" s="680">
        <v>31.954399861</v>
      </c>
      <c r="L269" s="680">
        <v>22.607884090520002</v>
      </c>
      <c r="M269" s="778">
        <v>0.0</v>
      </c>
      <c r="N269" s="740">
        <v>0.45570074046000003</v>
      </c>
      <c r="O269" s="740">
        <v>0.39966421737999996</v>
      </c>
      <c r="P269" s="754">
        <v>2384.9129669999998</v>
      </c>
      <c r="Q269" s="741">
        <v>46.1</v>
      </c>
      <c r="R269" s="770" t="s">
        <v>5879</v>
      </c>
      <c r="S269" s="643"/>
      <c r="T269" s="765">
        <f t="shared" si="2"/>
        <v>37.0449375</v>
      </c>
      <c r="U269" s="634"/>
      <c r="V269" s="634"/>
      <c r="W269" s="634"/>
      <c r="X269" s="634"/>
      <c r="Y269" s="634"/>
      <c r="Z269" s="634"/>
    </row>
    <row r="270" ht="15.75" customHeight="1" outlineLevel="1">
      <c r="A270" s="643" t="s">
        <v>2887</v>
      </c>
      <c r="B270" s="643" t="s">
        <v>5880</v>
      </c>
      <c r="C270" s="643"/>
      <c r="D270" s="736"/>
      <c r="E270" s="786"/>
      <c r="F270" s="783" t="s">
        <v>2912</v>
      </c>
      <c r="G270" s="745" t="s">
        <v>5747</v>
      </c>
      <c r="H270" s="667" t="s">
        <v>5798</v>
      </c>
      <c r="I270" s="681">
        <v>50.417283440000006</v>
      </c>
      <c r="J270" s="681">
        <v>0.5146998155</v>
      </c>
      <c r="K270" s="681">
        <v>28.321167583</v>
      </c>
      <c r="L270" s="681">
        <v>21.581414218706</v>
      </c>
      <c r="M270" s="779">
        <v>0.0</v>
      </c>
      <c r="N270" s="746">
        <v>0.07247925902</v>
      </c>
      <c r="O270" s="746">
        <v>0.04755591637</v>
      </c>
      <c r="P270" s="755">
        <v>1501.1344309</v>
      </c>
      <c r="Q270" s="747">
        <v>46.1</v>
      </c>
      <c r="R270" s="772" t="s">
        <v>5879</v>
      </c>
      <c r="S270" s="643"/>
      <c r="T270" s="765">
        <f t="shared" si="2"/>
        <v>28.8358674</v>
      </c>
      <c r="U270" s="634"/>
      <c r="V270" s="634"/>
      <c r="W270" s="634"/>
      <c r="X270" s="634"/>
      <c r="Y270" s="634"/>
      <c r="Z270" s="634"/>
    </row>
    <row r="271" ht="15.75" customHeight="1" outlineLevel="1">
      <c r="A271" s="643" t="s">
        <v>2887</v>
      </c>
      <c r="B271" s="643" t="s">
        <v>5881</v>
      </c>
      <c r="C271" s="643"/>
      <c r="D271" s="736"/>
      <c r="E271" s="786"/>
      <c r="F271" s="783" t="s">
        <v>2914</v>
      </c>
      <c r="G271" s="745" t="s">
        <v>5750</v>
      </c>
      <c r="H271" s="667" t="s">
        <v>5798</v>
      </c>
      <c r="I271" s="681">
        <v>8.014412162000001</v>
      </c>
      <c r="J271" s="681">
        <v>3.8048329357</v>
      </c>
      <c r="K271" s="681">
        <v>3.3963237787000002</v>
      </c>
      <c r="L271" s="681">
        <v>0.8132464299790001</v>
      </c>
      <c r="M271" s="779">
        <v>0.0</v>
      </c>
      <c r="N271" s="746">
        <v>0.3332529354</v>
      </c>
      <c r="O271" s="746">
        <v>0.30782059804</v>
      </c>
      <c r="P271" s="755">
        <v>750.0730465</v>
      </c>
      <c r="Q271" s="747">
        <v>46.1</v>
      </c>
      <c r="R271" s="772"/>
      <c r="S271" s="643"/>
      <c r="T271" s="765">
        <f t="shared" si="2"/>
        <v>7.201156714</v>
      </c>
      <c r="U271" s="634"/>
      <c r="V271" s="634"/>
      <c r="W271" s="634"/>
      <c r="X271" s="634"/>
      <c r="Y271" s="634"/>
      <c r="Z271" s="634"/>
    </row>
    <row r="272" ht="15.75" customHeight="1" outlineLevel="1">
      <c r="A272" s="643" t="s">
        <v>2887</v>
      </c>
      <c r="B272" s="643" t="s">
        <v>5882</v>
      </c>
      <c r="C272" s="643"/>
      <c r="D272" s="736"/>
      <c r="E272" s="786"/>
      <c r="F272" s="672" t="s">
        <v>2913</v>
      </c>
      <c r="G272" s="749" t="s">
        <v>5753</v>
      </c>
      <c r="H272" s="673" t="s">
        <v>5798</v>
      </c>
      <c r="I272" s="780">
        <v>1.221182085</v>
      </c>
      <c r="J272" s="780">
        <v>0.7710047054</v>
      </c>
      <c r="K272" s="780">
        <v>0.23690861455</v>
      </c>
      <c r="L272" s="780">
        <v>0.21322356916320004</v>
      </c>
      <c r="M272" s="781">
        <v>0.0</v>
      </c>
      <c r="N272" s="750">
        <v>0.04996854604</v>
      </c>
      <c r="O272" s="750">
        <v>0.044287703892000006</v>
      </c>
      <c r="P272" s="756">
        <v>133.70548499</v>
      </c>
      <c r="Q272" s="751">
        <v>46.1</v>
      </c>
      <c r="R272" s="774"/>
      <c r="S272" s="643"/>
      <c r="T272" s="765">
        <f t="shared" si="2"/>
        <v>1.00791332</v>
      </c>
      <c r="U272" s="634"/>
      <c r="V272" s="634"/>
      <c r="W272" s="634"/>
      <c r="X272" s="634"/>
      <c r="Y272" s="634"/>
      <c r="Z272" s="634"/>
    </row>
    <row r="273" ht="15.75" customHeight="1" outlineLevel="1">
      <c r="A273" s="643" t="s">
        <v>2893</v>
      </c>
      <c r="B273" s="643" t="s">
        <v>5883</v>
      </c>
      <c r="C273" s="643"/>
      <c r="D273" s="736"/>
      <c r="E273" s="785" t="s">
        <v>3014</v>
      </c>
      <c r="F273" s="782" t="s">
        <v>405</v>
      </c>
      <c r="G273" s="739" t="s">
        <v>5756</v>
      </c>
      <c r="H273" s="661" t="s">
        <v>5798</v>
      </c>
      <c r="I273" s="680">
        <v>17.97280905</v>
      </c>
      <c r="J273" s="680">
        <v>16.34047926</v>
      </c>
      <c r="K273" s="680">
        <v>1.294276116</v>
      </c>
      <c r="L273" s="680">
        <v>0.33802918128</v>
      </c>
      <c r="M273" s="778">
        <v>0.0</v>
      </c>
      <c r="N273" s="740">
        <v>1.088604258</v>
      </c>
      <c r="O273" s="740">
        <v>1.03694745</v>
      </c>
      <c r="P273" s="754">
        <v>1609.6503570000002</v>
      </c>
      <c r="Q273" s="741">
        <v>21.0</v>
      </c>
      <c r="R273" s="770" t="s">
        <v>5884</v>
      </c>
      <c r="S273" s="643"/>
      <c r="T273" s="765">
        <f t="shared" si="2"/>
        <v>17.63475538</v>
      </c>
      <c r="U273" s="634"/>
      <c r="V273" s="634"/>
      <c r="W273" s="634"/>
      <c r="X273" s="634"/>
      <c r="Y273" s="634"/>
      <c r="Z273" s="634"/>
    </row>
    <row r="274" ht="15.75" customHeight="1" outlineLevel="1">
      <c r="A274" s="643" t="s">
        <v>2893</v>
      </c>
      <c r="B274" s="643" t="s">
        <v>5885</v>
      </c>
      <c r="C274" s="643"/>
      <c r="D274" s="736"/>
      <c r="E274" s="786"/>
      <c r="F274" s="783" t="s">
        <v>2912</v>
      </c>
      <c r="G274" s="745" t="s">
        <v>5759</v>
      </c>
      <c r="H274" s="667" t="s">
        <v>5798</v>
      </c>
      <c r="I274" s="681">
        <v>13.8740385</v>
      </c>
      <c r="J274" s="681">
        <v>13.70910366</v>
      </c>
      <c r="K274" s="681">
        <v>0.1289181264</v>
      </c>
      <c r="L274" s="681">
        <v>0.03599913975</v>
      </c>
      <c r="M274" s="779">
        <v>0.0</v>
      </c>
      <c r="N274" s="746">
        <v>0.964836222</v>
      </c>
      <c r="O274" s="746">
        <v>0.9249458819999999</v>
      </c>
      <c r="P274" s="755">
        <v>1362.4701929999999</v>
      </c>
      <c r="Q274" s="747">
        <v>21.0</v>
      </c>
      <c r="R274" s="772" t="s">
        <v>5884</v>
      </c>
      <c r="S274" s="643"/>
      <c r="T274" s="765">
        <f t="shared" si="2"/>
        <v>13.83802179</v>
      </c>
      <c r="U274" s="634"/>
      <c r="V274" s="634"/>
      <c r="W274" s="634"/>
      <c r="X274" s="634"/>
      <c r="Y274" s="634"/>
      <c r="Z274" s="634"/>
    </row>
    <row r="275" ht="15.75" customHeight="1" outlineLevel="1">
      <c r="A275" s="643" t="s">
        <v>2893</v>
      </c>
      <c r="B275" s="643" t="s">
        <v>5886</v>
      </c>
      <c r="C275" s="643"/>
      <c r="D275" s="736"/>
      <c r="E275" s="786"/>
      <c r="F275" s="783" t="s">
        <v>2914</v>
      </c>
      <c r="G275" s="745" t="s">
        <v>5762</v>
      </c>
      <c r="H275" s="667" t="s">
        <v>5798</v>
      </c>
      <c r="I275" s="681">
        <v>2.58226731</v>
      </c>
      <c r="J275" s="681">
        <v>1.9076836590000001</v>
      </c>
      <c r="K275" s="681">
        <v>0.545854554</v>
      </c>
      <c r="L275" s="681">
        <v>0.12872615196</v>
      </c>
      <c r="M275" s="779">
        <v>0.0</v>
      </c>
      <c r="N275" s="746">
        <v>0.0731676729</v>
      </c>
      <c r="O275" s="746">
        <v>0.0659605632</v>
      </c>
      <c r="P275" s="755">
        <v>156.3640995</v>
      </c>
      <c r="Q275" s="747">
        <v>21.0</v>
      </c>
      <c r="R275" s="772"/>
      <c r="S275" s="643"/>
      <c r="T275" s="765">
        <f t="shared" si="2"/>
        <v>2.453538213</v>
      </c>
      <c r="U275" s="634"/>
      <c r="V275" s="634"/>
      <c r="W275" s="634"/>
      <c r="X275" s="634"/>
      <c r="Y275" s="634"/>
      <c r="Z275" s="634"/>
    </row>
    <row r="276" ht="15.75" customHeight="1" outlineLevel="1">
      <c r="A276" s="643" t="s">
        <v>2893</v>
      </c>
      <c r="B276" s="643" t="s">
        <v>5887</v>
      </c>
      <c r="C276" s="643"/>
      <c r="D276" s="736"/>
      <c r="E276" s="786"/>
      <c r="F276" s="672" t="s">
        <v>2913</v>
      </c>
      <c r="G276" s="749" t="s">
        <v>5765</v>
      </c>
      <c r="H276" s="673" t="s">
        <v>5798</v>
      </c>
      <c r="I276" s="780">
        <v>1.516502946</v>
      </c>
      <c r="J276" s="780">
        <v>0.72369171</v>
      </c>
      <c r="K276" s="780">
        <v>0.6195034229999999</v>
      </c>
      <c r="L276" s="780">
        <v>0.17330388096000002</v>
      </c>
      <c r="M276" s="781">
        <v>0.0</v>
      </c>
      <c r="N276" s="750">
        <v>0.0506003526</v>
      </c>
      <c r="O276" s="750">
        <v>0.0460410048</v>
      </c>
      <c r="P276" s="756">
        <v>90.81604349999999</v>
      </c>
      <c r="Q276" s="751">
        <v>21.0</v>
      </c>
      <c r="R276" s="774"/>
      <c r="S276" s="643"/>
      <c r="T276" s="765">
        <f t="shared" si="2"/>
        <v>1.343195133</v>
      </c>
      <c r="U276" s="634"/>
      <c r="V276" s="634"/>
      <c r="W276" s="634"/>
      <c r="X276" s="634"/>
      <c r="Y276" s="634"/>
      <c r="Z276" s="634"/>
    </row>
    <row r="277" ht="15.75" customHeight="1" outlineLevel="1">
      <c r="A277" s="643" t="s">
        <v>2902</v>
      </c>
      <c r="B277" s="643" t="s">
        <v>5888</v>
      </c>
      <c r="C277" s="643"/>
      <c r="D277" s="736"/>
      <c r="E277" s="785" t="s">
        <v>3018</v>
      </c>
      <c r="F277" s="782" t="s">
        <v>405</v>
      </c>
      <c r="G277" s="739" t="s">
        <v>5768</v>
      </c>
      <c r="H277" s="661" t="s">
        <v>5798</v>
      </c>
      <c r="I277" s="680">
        <v>64.23101072</v>
      </c>
      <c r="J277" s="680">
        <v>14.358732169</v>
      </c>
      <c r="K277" s="680">
        <v>40.628507159</v>
      </c>
      <c r="L277" s="680">
        <v>9.24375397203</v>
      </c>
      <c r="M277" s="778">
        <v>0.0</v>
      </c>
      <c r="N277" s="740">
        <v>1.201640957</v>
      </c>
      <c r="O277" s="740">
        <v>1.1074433552999998</v>
      </c>
      <c r="P277" s="754">
        <v>2937.4756889</v>
      </c>
      <c r="Q277" s="741">
        <v>52.9</v>
      </c>
      <c r="R277" s="770" t="s">
        <v>5889</v>
      </c>
      <c r="S277" s="643"/>
      <c r="T277" s="765">
        <f t="shared" si="2"/>
        <v>54.98723933</v>
      </c>
      <c r="U277" s="634"/>
      <c r="V277" s="634"/>
      <c r="W277" s="634"/>
      <c r="X277" s="634"/>
      <c r="Y277" s="634"/>
      <c r="Z277" s="634"/>
    </row>
    <row r="278" ht="15.75" customHeight="1" outlineLevel="1">
      <c r="A278" s="643" t="s">
        <v>2902</v>
      </c>
      <c r="B278" s="643" t="s">
        <v>5890</v>
      </c>
      <c r="C278" s="643"/>
      <c r="D278" s="736"/>
      <c r="E278" s="786"/>
      <c r="F278" s="783" t="s">
        <v>2912</v>
      </c>
      <c r="G278" s="745" t="s">
        <v>5771</v>
      </c>
      <c r="H278" s="667" t="s">
        <v>5798</v>
      </c>
      <c r="I278" s="681">
        <v>48.282352123</v>
      </c>
      <c r="J278" s="681">
        <v>5.4455492759999995</v>
      </c>
      <c r="K278" s="681">
        <v>34.992449113</v>
      </c>
      <c r="L278" s="681">
        <v>7.844349708309999</v>
      </c>
      <c r="M278" s="779">
        <v>0.0</v>
      </c>
      <c r="N278" s="746">
        <v>0.44467863257</v>
      </c>
      <c r="O278" s="746">
        <v>0.39737388144</v>
      </c>
      <c r="P278" s="755">
        <v>1561.4797703999998</v>
      </c>
      <c r="Q278" s="747">
        <v>52.9</v>
      </c>
      <c r="R278" s="772" t="s">
        <v>5889</v>
      </c>
      <c r="S278" s="643"/>
      <c r="T278" s="765">
        <f t="shared" si="2"/>
        <v>40.43799839</v>
      </c>
      <c r="U278" s="634"/>
      <c r="V278" s="634"/>
      <c r="W278" s="634"/>
      <c r="X278" s="634"/>
      <c r="Y278" s="634"/>
      <c r="Z278" s="634"/>
    </row>
    <row r="279" ht="15.75" customHeight="1" outlineLevel="1">
      <c r="A279" s="643" t="s">
        <v>2902</v>
      </c>
      <c r="B279" s="643" t="s">
        <v>5891</v>
      </c>
      <c r="C279" s="643"/>
      <c r="D279" s="736"/>
      <c r="E279" s="786"/>
      <c r="F279" s="783" t="s">
        <v>2914</v>
      </c>
      <c r="G279" s="745" t="s">
        <v>5774</v>
      </c>
      <c r="H279" s="667" t="s">
        <v>5798</v>
      </c>
      <c r="I279" s="681">
        <v>12.703292794</v>
      </c>
      <c r="J279" s="681">
        <v>7.405929113999999</v>
      </c>
      <c r="K279" s="681">
        <v>4.2384117973999995</v>
      </c>
      <c r="L279" s="681">
        <v>1.058940056805</v>
      </c>
      <c r="M279" s="779">
        <v>0.0</v>
      </c>
      <c r="N279" s="746">
        <v>0.6496023193</v>
      </c>
      <c r="O279" s="746">
        <v>0.6109134281999999</v>
      </c>
      <c r="P279" s="755">
        <v>1146.0142794</v>
      </c>
      <c r="Q279" s="747">
        <v>52.9</v>
      </c>
      <c r="R279" s="772"/>
      <c r="S279" s="643"/>
      <c r="T279" s="765">
        <f t="shared" si="2"/>
        <v>11.64434091</v>
      </c>
      <c r="U279" s="634"/>
      <c r="V279" s="634"/>
      <c r="W279" s="634"/>
      <c r="X279" s="634"/>
      <c r="Y279" s="634"/>
      <c r="Z279" s="634"/>
    </row>
    <row r="280" ht="15.75" customHeight="1" outlineLevel="1">
      <c r="A280" s="643" t="s">
        <v>2902</v>
      </c>
      <c r="B280" s="643" t="s">
        <v>5892</v>
      </c>
      <c r="C280" s="643"/>
      <c r="D280" s="736"/>
      <c r="E280" s="786"/>
      <c r="F280" s="672" t="s">
        <v>2913</v>
      </c>
      <c r="G280" s="749" t="s">
        <v>5777</v>
      </c>
      <c r="H280" s="673" t="s">
        <v>5798</v>
      </c>
      <c r="I280" s="780">
        <v>3.2453662262</v>
      </c>
      <c r="J280" s="780">
        <v>1.5072535674</v>
      </c>
      <c r="K280" s="780">
        <v>1.3976465131</v>
      </c>
      <c r="L280" s="780">
        <v>0.340464346042</v>
      </c>
      <c r="M280" s="781">
        <v>0.0</v>
      </c>
      <c r="N280" s="750">
        <v>0.10735997868</v>
      </c>
      <c r="O280" s="750">
        <v>0.09915606152999999</v>
      </c>
      <c r="P280" s="756">
        <v>229.98164439</v>
      </c>
      <c r="Q280" s="751">
        <v>52.9</v>
      </c>
      <c r="R280" s="774"/>
      <c r="S280" s="643"/>
      <c r="T280" s="765">
        <f t="shared" si="2"/>
        <v>2.904900081</v>
      </c>
      <c r="U280" s="634"/>
      <c r="V280" s="634"/>
      <c r="W280" s="634"/>
      <c r="X280" s="634"/>
      <c r="Y280" s="634"/>
      <c r="Z280" s="634"/>
    </row>
    <row r="281" ht="15.75" customHeight="1" outlineLevel="1">
      <c r="A281" s="643" t="s">
        <v>2906</v>
      </c>
      <c r="B281" s="643" t="s">
        <v>5893</v>
      </c>
      <c r="C281" s="643"/>
      <c r="D281" s="736"/>
      <c r="E281" s="785" t="s">
        <v>3019</v>
      </c>
      <c r="F281" s="782" t="s">
        <v>405</v>
      </c>
      <c r="G281" s="739" t="s">
        <v>5780</v>
      </c>
      <c r="H281" s="661" t="s">
        <v>5798</v>
      </c>
      <c r="I281" s="680">
        <v>38.2652348</v>
      </c>
      <c r="J281" s="680">
        <v>8.39799636</v>
      </c>
      <c r="K281" s="680">
        <v>24.35032626</v>
      </c>
      <c r="L281" s="680">
        <v>5.5168980334</v>
      </c>
      <c r="M281" s="778">
        <v>0.0</v>
      </c>
      <c r="N281" s="740">
        <v>0.5183222200000001</v>
      </c>
      <c r="O281" s="740">
        <v>0.45082284000000006</v>
      </c>
      <c r="P281" s="754">
        <v>1438.6784360000001</v>
      </c>
      <c r="Q281" s="741">
        <v>26.0</v>
      </c>
      <c r="R281" s="770" t="s">
        <v>5894</v>
      </c>
      <c r="S281" s="643"/>
      <c r="T281" s="765">
        <f t="shared" si="2"/>
        <v>32.74832262</v>
      </c>
      <c r="U281" s="634"/>
      <c r="V281" s="634"/>
      <c r="W281" s="634"/>
      <c r="X281" s="634"/>
      <c r="Y281" s="634"/>
      <c r="Z281" s="634"/>
    </row>
    <row r="282" ht="15.75" customHeight="1" outlineLevel="1">
      <c r="A282" s="643" t="s">
        <v>2906</v>
      </c>
      <c r="B282" s="643" t="s">
        <v>5895</v>
      </c>
      <c r="C282" s="643"/>
      <c r="D282" s="736"/>
      <c r="E282" s="786"/>
      <c r="F282" s="783" t="s">
        <v>2912</v>
      </c>
      <c r="G282" s="745" t="s">
        <v>5783</v>
      </c>
      <c r="H282" s="667" t="s">
        <v>5798</v>
      </c>
      <c r="I282" s="681">
        <v>30.937483200000003</v>
      </c>
      <c r="J282" s="681">
        <v>3.48929958</v>
      </c>
      <c r="K282" s="681">
        <v>22.4218228</v>
      </c>
      <c r="L282" s="681">
        <v>5.0263593406</v>
      </c>
      <c r="M282" s="779">
        <v>0.0</v>
      </c>
      <c r="N282" s="746">
        <v>0.30121181999999996</v>
      </c>
      <c r="O282" s="746">
        <v>0.2546219806</v>
      </c>
      <c r="P282" s="755">
        <v>996.173438</v>
      </c>
      <c r="Q282" s="747">
        <v>26.0</v>
      </c>
      <c r="R282" s="772" t="s">
        <v>5894</v>
      </c>
      <c r="S282" s="643"/>
      <c r="T282" s="765">
        <f t="shared" si="2"/>
        <v>25.91112238</v>
      </c>
      <c r="U282" s="634"/>
      <c r="V282" s="634"/>
      <c r="W282" s="634"/>
      <c r="X282" s="634"/>
      <c r="Y282" s="634"/>
      <c r="Z282" s="634"/>
    </row>
    <row r="283" ht="15.75" customHeight="1" outlineLevel="1">
      <c r="A283" s="643" t="s">
        <v>2906</v>
      </c>
      <c r="B283" s="643" t="s">
        <v>5896</v>
      </c>
      <c r="C283" s="643"/>
      <c r="D283" s="736"/>
      <c r="E283" s="786"/>
      <c r="F283" s="783" t="s">
        <v>2914</v>
      </c>
      <c r="G283" s="745" t="s">
        <v>5786</v>
      </c>
      <c r="H283" s="667" t="s">
        <v>5798</v>
      </c>
      <c r="I283" s="681">
        <v>5.34478776</v>
      </c>
      <c r="J283" s="681">
        <v>3.9625422199999996</v>
      </c>
      <c r="K283" s="681">
        <v>1.118338702</v>
      </c>
      <c r="L283" s="681">
        <v>0.26390035178</v>
      </c>
      <c r="M283" s="779">
        <v>0.0</v>
      </c>
      <c r="N283" s="746">
        <v>0.151855288</v>
      </c>
      <c r="O283" s="746">
        <v>0.13689843699999998</v>
      </c>
      <c r="P283" s="755">
        <v>324.21596999999997</v>
      </c>
      <c r="Q283" s="747">
        <v>26.0</v>
      </c>
      <c r="R283" s="772"/>
      <c r="S283" s="643"/>
      <c r="T283" s="765">
        <f t="shared" si="2"/>
        <v>5.080880922</v>
      </c>
      <c r="U283" s="634"/>
      <c r="V283" s="634"/>
      <c r="W283" s="634"/>
      <c r="X283" s="634"/>
      <c r="Y283" s="634"/>
      <c r="Z283" s="634"/>
    </row>
    <row r="284" ht="15.75" customHeight="1" outlineLevel="1">
      <c r="A284" s="643" t="s">
        <v>2906</v>
      </c>
      <c r="B284" s="643" t="s">
        <v>5897</v>
      </c>
      <c r="C284" s="643"/>
      <c r="D284" s="671"/>
      <c r="E284" s="787"/>
      <c r="F284" s="672" t="s">
        <v>2913</v>
      </c>
      <c r="G284" s="749" t="s">
        <v>5789</v>
      </c>
      <c r="H284" s="673" t="s">
        <v>5798</v>
      </c>
      <c r="I284" s="780">
        <v>1.982963424</v>
      </c>
      <c r="J284" s="780">
        <v>0.9461547419999999</v>
      </c>
      <c r="K284" s="780">
        <v>0.810165018</v>
      </c>
      <c r="L284" s="780">
        <v>0.22663852561999998</v>
      </c>
      <c r="M284" s="781">
        <v>0.0</v>
      </c>
      <c r="N284" s="750">
        <v>0.0652551198</v>
      </c>
      <c r="O284" s="750">
        <v>0.059302435400000006</v>
      </c>
      <c r="P284" s="756">
        <v>118.28903059999999</v>
      </c>
      <c r="Q284" s="751">
        <v>26.0</v>
      </c>
      <c r="R284" s="774"/>
      <c r="S284" s="643"/>
      <c r="T284" s="765">
        <f t="shared" si="2"/>
        <v>1.75631976</v>
      </c>
      <c r="U284" s="634"/>
      <c r="V284" s="634"/>
      <c r="W284" s="634"/>
      <c r="X284" s="634"/>
      <c r="Y284" s="634"/>
      <c r="Z284" s="634"/>
    </row>
    <row r="285" ht="15.75" customHeight="1" outlineLevel="1">
      <c r="A285" s="643"/>
      <c r="B285" s="643"/>
      <c r="C285" s="643"/>
      <c r="D285" s="643"/>
      <c r="E285" s="766" t="s">
        <v>5791</v>
      </c>
      <c r="F285" s="643"/>
      <c r="G285" s="643"/>
      <c r="H285" s="643"/>
      <c r="I285" s="643"/>
      <c r="J285" s="643"/>
      <c r="K285" s="643"/>
      <c r="L285" s="643"/>
      <c r="M285" s="643"/>
      <c r="N285" s="767"/>
      <c r="O285" s="767"/>
      <c r="P285" s="768"/>
      <c r="Q285" s="643"/>
      <c r="R285" s="643"/>
      <c r="S285" s="643"/>
      <c r="T285" s="634"/>
      <c r="U285" s="634"/>
      <c r="V285" s="634"/>
      <c r="W285" s="634"/>
      <c r="X285" s="634"/>
      <c r="Y285" s="634"/>
      <c r="Z285" s="634"/>
    </row>
    <row r="286" ht="15.75" customHeight="1">
      <c r="A286" s="643"/>
      <c r="B286" s="643"/>
      <c r="C286" s="643"/>
      <c r="D286" s="643"/>
      <c r="E286" s="643"/>
      <c r="F286" s="645"/>
      <c r="G286" s="643"/>
      <c r="H286" s="646"/>
      <c r="I286" s="699"/>
      <c r="J286" s="645"/>
      <c r="K286" s="645"/>
      <c r="L286" s="645"/>
      <c r="M286" s="645"/>
      <c r="N286" s="648"/>
      <c r="O286" s="648"/>
      <c r="P286" s="649"/>
      <c r="Q286" s="731"/>
      <c r="R286" s="643"/>
      <c r="S286" s="643"/>
      <c r="T286" s="634"/>
      <c r="U286" s="634"/>
      <c r="V286" s="634"/>
      <c r="W286" s="634"/>
      <c r="X286" s="634"/>
      <c r="Y286" s="634"/>
      <c r="Z286" s="634"/>
    </row>
    <row r="287" ht="15.75" customHeight="1">
      <c r="A287" s="643"/>
      <c r="B287" s="643"/>
      <c r="C287" s="643"/>
      <c r="D287" s="643"/>
      <c r="E287" s="643" t="s">
        <v>5222</v>
      </c>
      <c r="F287" s="645"/>
      <c r="G287" s="643"/>
      <c r="H287" s="646"/>
      <c r="I287" s="645"/>
      <c r="J287" s="645"/>
      <c r="K287" s="645"/>
      <c r="L287" s="645"/>
      <c r="M287" s="645"/>
      <c r="N287" s="648"/>
      <c r="O287" s="648"/>
      <c r="P287" s="649"/>
      <c r="Q287" s="731"/>
      <c r="R287" s="643"/>
      <c r="S287" s="643"/>
      <c r="T287" s="634"/>
      <c r="U287" s="634"/>
      <c r="V287" s="634"/>
      <c r="W287" s="634"/>
      <c r="X287" s="634"/>
      <c r="Y287" s="634"/>
      <c r="Z287" s="634"/>
    </row>
    <row r="288" ht="15.75" customHeight="1">
      <c r="A288" s="643"/>
      <c r="B288" s="643"/>
      <c r="C288" s="643"/>
      <c r="D288" s="643"/>
      <c r="E288" s="643" t="s">
        <v>5792</v>
      </c>
      <c r="F288" s="645"/>
      <c r="G288" s="643"/>
      <c r="H288" s="646"/>
      <c r="I288" s="645"/>
      <c r="J288" s="645"/>
      <c r="K288" s="645"/>
      <c r="L288" s="645"/>
      <c r="M288" s="645"/>
      <c r="N288" s="648"/>
      <c r="O288" s="648"/>
      <c r="P288" s="649"/>
      <c r="Q288" s="731"/>
      <c r="R288" s="643"/>
      <c r="S288" s="643"/>
      <c r="T288" s="634"/>
      <c r="U288" s="634"/>
      <c r="V288" s="634"/>
      <c r="W288" s="634"/>
      <c r="X288" s="634"/>
      <c r="Y288" s="634"/>
      <c r="Z288" s="634"/>
    </row>
    <row r="289" ht="15.75" customHeight="1">
      <c r="A289" s="634"/>
      <c r="B289" s="634"/>
      <c r="C289" s="634"/>
      <c r="D289" s="634"/>
      <c r="E289" s="634"/>
      <c r="F289" s="635"/>
      <c r="G289" s="634"/>
      <c r="H289" s="636"/>
      <c r="I289" s="635"/>
      <c r="J289" s="635"/>
      <c r="K289" s="635"/>
      <c r="L289" s="635"/>
      <c r="M289" s="635"/>
      <c r="N289" s="788"/>
      <c r="O289" s="788"/>
      <c r="P289" s="650"/>
      <c r="Q289" s="789"/>
      <c r="R289" s="634"/>
      <c r="S289" s="634"/>
      <c r="T289" s="634"/>
      <c r="U289" s="634"/>
      <c r="V289" s="634"/>
      <c r="W289" s="634"/>
      <c r="X289" s="634"/>
      <c r="Y289" s="634"/>
      <c r="Z289" s="634"/>
    </row>
    <row r="290" ht="15.75" customHeight="1">
      <c r="A290" s="634"/>
      <c r="B290" s="634"/>
      <c r="C290" s="634"/>
      <c r="D290" s="634"/>
      <c r="E290" s="634"/>
      <c r="F290" s="635"/>
      <c r="G290" s="634"/>
      <c r="H290" s="636"/>
      <c r="I290" s="635"/>
      <c r="J290" s="635"/>
      <c r="K290" s="635"/>
      <c r="L290" s="635"/>
      <c r="M290" s="635"/>
      <c r="N290" s="788"/>
      <c r="O290" s="788"/>
      <c r="P290" s="650"/>
      <c r="Q290" s="789"/>
      <c r="R290" s="634"/>
      <c r="S290" s="634"/>
      <c r="T290" s="634"/>
      <c r="U290" s="634"/>
      <c r="V290" s="634"/>
      <c r="W290" s="634"/>
      <c r="X290" s="634"/>
      <c r="Y290" s="634"/>
      <c r="Z290" s="634"/>
    </row>
    <row r="291" ht="15.75" customHeight="1">
      <c r="A291" s="634"/>
      <c r="B291" s="634"/>
      <c r="C291" s="634"/>
      <c r="D291" s="634"/>
      <c r="E291" s="634"/>
      <c r="F291" s="635"/>
      <c r="G291" s="634"/>
      <c r="H291" s="636"/>
      <c r="I291" s="635"/>
      <c r="J291" s="635"/>
      <c r="K291" s="635"/>
      <c r="L291" s="635"/>
      <c r="M291" s="635"/>
      <c r="N291" s="788"/>
      <c r="O291" s="788"/>
      <c r="P291" s="650"/>
      <c r="Q291" s="789"/>
      <c r="R291" s="634"/>
      <c r="S291" s="634"/>
      <c r="T291" s="634"/>
      <c r="U291" s="634"/>
      <c r="V291" s="634"/>
      <c r="W291" s="634"/>
      <c r="X291" s="634"/>
      <c r="Y291" s="634"/>
      <c r="Z291" s="634"/>
    </row>
    <row r="292" ht="15.75" customHeight="1">
      <c r="A292" s="634"/>
      <c r="B292" s="634"/>
      <c r="C292" s="634"/>
      <c r="D292" s="634"/>
      <c r="E292" s="634"/>
      <c r="F292" s="635"/>
      <c r="G292" s="634"/>
      <c r="H292" s="636"/>
      <c r="I292" s="635"/>
      <c r="J292" s="635"/>
      <c r="K292" s="635"/>
      <c r="L292" s="635"/>
      <c r="M292" s="635"/>
      <c r="N292" s="788"/>
      <c r="O292" s="788"/>
      <c r="P292" s="650"/>
      <c r="Q292" s="789"/>
      <c r="R292" s="634"/>
      <c r="S292" s="634"/>
      <c r="T292" s="634"/>
      <c r="U292" s="634"/>
      <c r="V292" s="634"/>
      <c r="W292" s="634"/>
      <c r="X292" s="634"/>
      <c r="Y292" s="634"/>
      <c r="Z292" s="634"/>
    </row>
    <row r="293" ht="15.75" customHeight="1">
      <c r="A293" s="634"/>
      <c r="B293" s="634"/>
      <c r="C293" s="634"/>
      <c r="D293" s="634"/>
      <c r="E293" s="634"/>
      <c r="F293" s="635"/>
      <c r="G293" s="634"/>
      <c r="H293" s="636"/>
      <c r="I293" s="635"/>
      <c r="J293" s="635"/>
      <c r="K293" s="635"/>
      <c r="L293" s="635"/>
      <c r="M293" s="635"/>
      <c r="N293" s="788"/>
      <c r="O293" s="788"/>
      <c r="P293" s="650"/>
      <c r="Q293" s="789"/>
      <c r="R293" s="634"/>
      <c r="S293" s="634"/>
      <c r="T293" s="634"/>
      <c r="U293" s="634"/>
      <c r="V293" s="634"/>
      <c r="W293" s="634"/>
      <c r="X293" s="634"/>
      <c r="Y293" s="634"/>
      <c r="Z293" s="634"/>
    </row>
    <row r="294" ht="15.75" customHeight="1">
      <c r="A294" s="634"/>
      <c r="B294" s="634"/>
      <c r="C294" s="634"/>
      <c r="D294" s="634"/>
      <c r="E294" s="634"/>
      <c r="F294" s="635"/>
      <c r="G294" s="634"/>
      <c r="H294" s="636"/>
      <c r="I294" s="635"/>
      <c r="J294" s="635"/>
      <c r="K294" s="635"/>
      <c r="L294" s="635"/>
      <c r="M294" s="635"/>
      <c r="N294" s="788"/>
      <c r="O294" s="788"/>
      <c r="P294" s="650"/>
      <c r="Q294" s="789"/>
      <c r="R294" s="634"/>
      <c r="S294" s="634"/>
      <c r="T294" s="634"/>
      <c r="U294" s="634"/>
      <c r="V294" s="634"/>
      <c r="W294" s="634"/>
      <c r="X294" s="634"/>
      <c r="Y294" s="634"/>
      <c r="Z294" s="634"/>
    </row>
    <row r="295" ht="15.75" customHeight="1">
      <c r="A295" s="634"/>
      <c r="B295" s="634"/>
      <c r="C295" s="634"/>
      <c r="D295" s="634"/>
      <c r="E295" s="634"/>
      <c r="F295" s="635"/>
      <c r="G295" s="634"/>
      <c r="H295" s="636"/>
      <c r="I295" s="635"/>
      <c r="J295" s="635"/>
      <c r="K295" s="635"/>
      <c r="L295" s="635"/>
      <c r="M295" s="635"/>
      <c r="N295" s="788"/>
      <c r="O295" s="788"/>
      <c r="P295" s="650"/>
      <c r="Q295" s="789"/>
      <c r="R295" s="634"/>
      <c r="S295" s="634"/>
      <c r="T295" s="634"/>
      <c r="U295" s="634"/>
      <c r="V295" s="634"/>
      <c r="W295" s="634"/>
      <c r="X295" s="634"/>
      <c r="Y295" s="634"/>
      <c r="Z295" s="634"/>
    </row>
    <row r="296" ht="15.75" customHeight="1">
      <c r="A296" s="634"/>
      <c r="B296" s="634"/>
      <c r="C296" s="634"/>
      <c r="D296" s="634"/>
      <c r="E296" s="634"/>
      <c r="F296" s="635"/>
      <c r="G296" s="634"/>
      <c r="H296" s="636"/>
      <c r="I296" s="635"/>
      <c r="J296" s="635"/>
      <c r="K296" s="635"/>
      <c r="L296" s="635"/>
      <c r="M296" s="635"/>
      <c r="N296" s="788"/>
      <c r="O296" s="788"/>
      <c r="P296" s="650"/>
      <c r="Q296" s="789"/>
      <c r="R296" s="634"/>
      <c r="S296" s="634"/>
      <c r="T296" s="634"/>
      <c r="U296" s="634"/>
      <c r="V296" s="634"/>
      <c r="W296" s="634"/>
      <c r="X296" s="634"/>
      <c r="Y296" s="634"/>
      <c r="Z296" s="634"/>
    </row>
    <row r="297" ht="15.75" customHeight="1">
      <c r="A297" s="634"/>
      <c r="B297" s="634"/>
      <c r="C297" s="634"/>
      <c r="D297" s="634"/>
      <c r="E297" s="634"/>
      <c r="F297" s="635"/>
      <c r="G297" s="634"/>
      <c r="H297" s="636"/>
      <c r="I297" s="635"/>
      <c r="J297" s="635"/>
      <c r="K297" s="635"/>
      <c r="L297" s="635"/>
      <c r="M297" s="635"/>
      <c r="N297" s="788"/>
      <c r="O297" s="788"/>
      <c r="P297" s="650"/>
      <c r="Q297" s="789"/>
      <c r="R297" s="634"/>
      <c r="S297" s="634"/>
      <c r="T297" s="634"/>
      <c r="U297" s="634"/>
      <c r="V297" s="634"/>
      <c r="W297" s="634"/>
      <c r="X297" s="634"/>
      <c r="Y297" s="634"/>
      <c r="Z297" s="634"/>
    </row>
    <row r="298" ht="15.75" customHeight="1">
      <c r="A298" s="634"/>
      <c r="B298" s="634"/>
      <c r="C298" s="634"/>
      <c r="D298" s="634"/>
      <c r="E298" s="634"/>
      <c r="F298" s="635"/>
      <c r="G298" s="634"/>
      <c r="H298" s="636"/>
      <c r="I298" s="635"/>
      <c r="J298" s="635"/>
      <c r="K298" s="635"/>
      <c r="L298" s="635"/>
      <c r="M298" s="635"/>
      <c r="N298" s="788"/>
      <c r="O298" s="788"/>
      <c r="P298" s="650"/>
      <c r="Q298" s="789"/>
      <c r="R298" s="634"/>
      <c r="S298" s="634"/>
      <c r="T298" s="634"/>
      <c r="U298" s="634"/>
      <c r="V298" s="634"/>
      <c r="W298" s="634"/>
      <c r="X298" s="634"/>
      <c r="Y298" s="634"/>
      <c r="Z298" s="634"/>
    </row>
    <row r="299" ht="15.75" customHeight="1">
      <c r="A299" s="634"/>
      <c r="B299" s="634"/>
      <c r="C299" s="634"/>
      <c r="D299" s="634"/>
      <c r="E299" s="634"/>
      <c r="F299" s="635"/>
      <c r="G299" s="634"/>
      <c r="H299" s="636"/>
      <c r="I299" s="635"/>
      <c r="J299" s="635"/>
      <c r="K299" s="635"/>
      <c r="L299" s="635"/>
      <c r="M299" s="635"/>
      <c r="N299" s="788"/>
      <c r="O299" s="788"/>
      <c r="P299" s="650"/>
      <c r="Q299" s="789"/>
      <c r="R299" s="634"/>
      <c r="S299" s="634"/>
      <c r="T299" s="634"/>
      <c r="U299" s="634"/>
      <c r="V299" s="634"/>
      <c r="W299" s="634"/>
      <c r="X299" s="634"/>
      <c r="Y299" s="634"/>
      <c r="Z299" s="634"/>
    </row>
    <row r="300" ht="15.75" customHeight="1">
      <c r="A300" s="634"/>
      <c r="B300" s="634"/>
      <c r="C300" s="634"/>
      <c r="D300" s="634"/>
      <c r="E300" s="634"/>
      <c r="F300" s="635"/>
      <c r="G300" s="634"/>
      <c r="H300" s="636"/>
      <c r="I300" s="635"/>
      <c r="J300" s="635"/>
      <c r="K300" s="635"/>
      <c r="L300" s="635"/>
      <c r="M300" s="635"/>
      <c r="N300" s="788"/>
      <c r="O300" s="788"/>
      <c r="P300" s="650"/>
      <c r="Q300" s="789"/>
      <c r="R300" s="634"/>
      <c r="S300" s="634"/>
      <c r="T300" s="634"/>
      <c r="U300" s="634"/>
      <c r="V300" s="634"/>
      <c r="W300" s="634"/>
      <c r="X300" s="634"/>
      <c r="Y300" s="634"/>
      <c r="Z300" s="634"/>
    </row>
    <row r="301" ht="15.75" customHeight="1">
      <c r="A301" s="634"/>
      <c r="B301" s="634"/>
      <c r="C301" s="634"/>
      <c r="D301" s="634"/>
      <c r="E301" s="634"/>
      <c r="F301" s="635"/>
      <c r="G301" s="634"/>
      <c r="H301" s="636"/>
      <c r="I301" s="635"/>
      <c r="J301" s="635"/>
      <c r="K301" s="635"/>
      <c r="L301" s="635"/>
      <c r="M301" s="635"/>
      <c r="N301" s="788"/>
      <c r="O301" s="788"/>
      <c r="P301" s="650"/>
      <c r="Q301" s="789"/>
      <c r="R301" s="634"/>
      <c r="S301" s="634"/>
      <c r="T301" s="634"/>
      <c r="U301" s="634"/>
      <c r="V301" s="634"/>
      <c r="W301" s="634"/>
      <c r="X301" s="634"/>
      <c r="Y301" s="634"/>
      <c r="Z301" s="634"/>
    </row>
    <row r="302" ht="15.75" customHeight="1">
      <c r="A302" s="634"/>
      <c r="B302" s="634"/>
      <c r="C302" s="634"/>
      <c r="D302" s="634"/>
      <c r="E302" s="634"/>
      <c r="F302" s="635"/>
      <c r="G302" s="634"/>
      <c r="H302" s="636"/>
      <c r="I302" s="635"/>
      <c r="J302" s="635"/>
      <c r="K302" s="635"/>
      <c r="L302" s="635"/>
      <c r="M302" s="635"/>
      <c r="N302" s="788"/>
      <c r="O302" s="788"/>
      <c r="P302" s="650"/>
      <c r="Q302" s="789"/>
      <c r="R302" s="634"/>
      <c r="S302" s="634"/>
      <c r="T302" s="634"/>
      <c r="U302" s="634"/>
      <c r="V302" s="634"/>
      <c r="W302" s="634"/>
      <c r="X302" s="634"/>
      <c r="Y302" s="634"/>
      <c r="Z302" s="634"/>
    </row>
    <row r="303" ht="15.75" customHeight="1">
      <c r="A303" s="634"/>
      <c r="B303" s="634"/>
      <c r="C303" s="634"/>
      <c r="D303" s="634"/>
      <c r="E303" s="634"/>
      <c r="F303" s="635"/>
      <c r="G303" s="634"/>
      <c r="H303" s="636"/>
      <c r="I303" s="635"/>
      <c r="J303" s="635"/>
      <c r="K303" s="635"/>
      <c r="L303" s="635"/>
      <c r="M303" s="635"/>
      <c r="N303" s="788"/>
      <c r="O303" s="788"/>
      <c r="P303" s="650"/>
      <c r="Q303" s="789"/>
      <c r="R303" s="634"/>
      <c r="S303" s="634"/>
      <c r="T303" s="634"/>
      <c r="U303" s="634"/>
      <c r="V303" s="634"/>
      <c r="W303" s="634"/>
      <c r="X303" s="634"/>
      <c r="Y303" s="634"/>
      <c r="Z303" s="634"/>
    </row>
    <row r="304" ht="15.75" customHeight="1">
      <c r="A304" s="634"/>
      <c r="B304" s="634"/>
      <c r="C304" s="634"/>
      <c r="D304" s="634"/>
      <c r="E304" s="634"/>
      <c r="F304" s="635"/>
      <c r="G304" s="634"/>
      <c r="H304" s="636"/>
      <c r="I304" s="635"/>
      <c r="J304" s="635"/>
      <c r="K304" s="635"/>
      <c r="L304" s="635"/>
      <c r="M304" s="635"/>
      <c r="N304" s="788"/>
      <c r="O304" s="788"/>
      <c r="P304" s="650"/>
      <c r="Q304" s="789"/>
      <c r="R304" s="634"/>
      <c r="S304" s="634"/>
      <c r="T304" s="634"/>
      <c r="U304" s="634"/>
      <c r="V304" s="634"/>
      <c r="W304" s="634"/>
      <c r="X304" s="634"/>
      <c r="Y304" s="634"/>
      <c r="Z304" s="634"/>
    </row>
    <row r="305" ht="15.75" customHeight="1">
      <c r="A305" s="634"/>
      <c r="B305" s="634"/>
      <c r="C305" s="634"/>
      <c r="D305" s="634"/>
      <c r="E305" s="634"/>
      <c r="F305" s="635"/>
      <c r="G305" s="634"/>
      <c r="H305" s="636"/>
      <c r="I305" s="635"/>
      <c r="J305" s="635"/>
      <c r="K305" s="635"/>
      <c r="L305" s="635"/>
      <c r="M305" s="635"/>
      <c r="N305" s="788"/>
      <c r="O305" s="788"/>
      <c r="P305" s="650"/>
      <c r="Q305" s="789"/>
      <c r="R305" s="634"/>
      <c r="S305" s="634"/>
      <c r="T305" s="634"/>
      <c r="U305" s="634"/>
      <c r="V305" s="634"/>
      <c r="W305" s="634"/>
      <c r="X305" s="634"/>
      <c r="Y305" s="634"/>
      <c r="Z305" s="634"/>
    </row>
    <row r="306" ht="15.75" customHeight="1">
      <c r="A306" s="634"/>
      <c r="B306" s="634"/>
      <c r="C306" s="634"/>
      <c r="D306" s="634"/>
      <c r="E306" s="634"/>
      <c r="F306" s="635"/>
      <c r="G306" s="634"/>
      <c r="H306" s="636"/>
      <c r="I306" s="635"/>
      <c r="J306" s="635"/>
      <c r="K306" s="635"/>
      <c r="L306" s="635"/>
      <c r="M306" s="635"/>
      <c r="N306" s="788"/>
      <c r="O306" s="788"/>
      <c r="P306" s="650"/>
      <c r="Q306" s="789"/>
      <c r="R306" s="634"/>
      <c r="S306" s="634"/>
      <c r="T306" s="634"/>
      <c r="U306" s="634"/>
      <c r="V306" s="634"/>
      <c r="W306" s="634"/>
      <c r="X306" s="634"/>
      <c r="Y306" s="634"/>
      <c r="Z306" s="634"/>
    </row>
    <row r="307" ht="15.75" customHeight="1">
      <c r="A307" s="634"/>
      <c r="B307" s="634"/>
      <c r="C307" s="634"/>
      <c r="D307" s="634"/>
      <c r="E307" s="634"/>
      <c r="F307" s="635"/>
      <c r="G307" s="634"/>
      <c r="H307" s="636"/>
      <c r="I307" s="635"/>
      <c r="J307" s="635"/>
      <c r="K307" s="635"/>
      <c r="L307" s="635"/>
      <c r="M307" s="635"/>
      <c r="N307" s="788"/>
      <c r="O307" s="788"/>
      <c r="P307" s="650"/>
      <c r="Q307" s="789"/>
      <c r="R307" s="634"/>
      <c r="S307" s="634"/>
      <c r="T307" s="634"/>
      <c r="U307" s="634"/>
      <c r="V307" s="634"/>
      <c r="W307" s="634"/>
      <c r="X307" s="634"/>
      <c r="Y307" s="634"/>
      <c r="Z307" s="634"/>
    </row>
    <row r="308" ht="15.75" customHeight="1">
      <c r="A308" s="634"/>
      <c r="B308" s="634"/>
      <c r="C308" s="634"/>
      <c r="D308" s="634"/>
      <c r="E308" s="634"/>
      <c r="F308" s="635"/>
      <c r="G308" s="634"/>
      <c r="H308" s="636"/>
      <c r="I308" s="635"/>
      <c r="J308" s="635"/>
      <c r="K308" s="635"/>
      <c r="L308" s="635"/>
      <c r="M308" s="635"/>
      <c r="N308" s="788"/>
      <c r="O308" s="788"/>
      <c r="P308" s="650"/>
      <c r="Q308" s="789"/>
      <c r="R308" s="634"/>
      <c r="S308" s="634"/>
      <c r="T308" s="634"/>
      <c r="U308" s="634"/>
      <c r="V308" s="634"/>
      <c r="W308" s="634"/>
      <c r="X308" s="634"/>
      <c r="Y308" s="634"/>
      <c r="Z308" s="634"/>
    </row>
    <row r="309" ht="15.75" customHeight="1">
      <c r="A309" s="634"/>
      <c r="B309" s="634"/>
      <c r="C309" s="634"/>
      <c r="D309" s="634"/>
      <c r="E309" s="634"/>
      <c r="F309" s="635"/>
      <c r="G309" s="634"/>
      <c r="H309" s="636"/>
      <c r="I309" s="635"/>
      <c r="J309" s="635"/>
      <c r="K309" s="635"/>
      <c r="L309" s="635"/>
      <c r="M309" s="635"/>
      <c r="N309" s="788"/>
      <c r="O309" s="788"/>
      <c r="P309" s="650"/>
      <c r="Q309" s="789"/>
      <c r="R309" s="634"/>
      <c r="S309" s="634"/>
      <c r="T309" s="634"/>
      <c r="U309" s="634"/>
      <c r="V309" s="634"/>
      <c r="W309" s="634"/>
      <c r="X309" s="634"/>
      <c r="Y309" s="634"/>
      <c r="Z309" s="634"/>
    </row>
    <row r="310" ht="15.75" customHeight="1">
      <c r="A310" s="634"/>
      <c r="B310" s="634"/>
      <c r="C310" s="634"/>
      <c r="D310" s="634"/>
      <c r="E310" s="634"/>
      <c r="F310" s="635"/>
      <c r="G310" s="634"/>
      <c r="H310" s="636"/>
      <c r="I310" s="635"/>
      <c r="J310" s="635"/>
      <c r="K310" s="635"/>
      <c r="L310" s="635"/>
      <c r="M310" s="635"/>
      <c r="N310" s="788"/>
      <c r="O310" s="788"/>
      <c r="P310" s="650"/>
      <c r="Q310" s="789"/>
      <c r="R310" s="634"/>
      <c r="S310" s="634"/>
      <c r="T310" s="634"/>
      <c r="U310" s="634"/>
      <c r="V310" s="634"/>
      <c r="W310" s="634"/>
      <c r="X310" s="634"/>
      <c r="Y310" s="634"/>
      <c r="Z310" s="634"/>
    </row>
    <row r="311" ht="15.75" customHeight="1">
      <c r="A311" s="634"/>
      <c r="B311" s="634"/>
      <c r="C311" s="634"/>
      <c r="D311" s="634"/>
      <c r="E311" s="634"/>
      <c r="F311" s="635"/>
      <c r="G311" s="634"/>
      <c r="H311" s="636"/>
      <c r="I311" s="635"/>
      <c r="J311" s="635"/>
      <c r="K311" s="635"/>
      <c r="L311" s="635"/>
      <c r="M311" s="635"/>
      <c r="N311" s="788"/>
      <c r="O311" s="788"/>
      <c r="P311" s="650"/>
      <c r="Q311" s="789"/>
      <c r="R311" s="634"/>
      <c r="S311" s="634"/>
      <c r="T311" s="634"/>
      <c r="U311" s="634"/>
      <c r="V311" s="634"/>
      <c r="W311" s="634"/>
      <c r="X311" s="634"/>
      <c r="Y311" s="634"/>
      <c r="Z311" s="634"/>
    </row>
    <row r="312" ht="15.75" customHeight="1">
      <c r="A312" s="634"/>
      <c r="B312" s="634"/>
      <c r="C312" s="634"/>
      <c r="D312" s="634"/>
      <c r="E312" s="634"/>
      <c r="F312" s="635"/>
      <c r="G312" s="634"/>
      <c r="H312" s="636"/>
      <c r="I312" s="635"/>
      <c r="J312" s="635"/>
      <c r="K312" s="635"/>
      <c r="L312" s="635"/>
      <c r="M312" s="635"/>
      <c r="N312" s="788"/>
      <c r="O312" s="788"/>
      <c r="P312" s="650"/>
      <c r="Q312" s="789"/>
      <c r="R312" s="634"/>
      <c r="S312" s="634"/>
      <c r="T312" s="634"/>
      <c r="U312" s="634"/>
      <c r="V312" s="634"/>
      <c r="W312" s="634"/>
      <c r="X312" s="634"/>
      <c r="Y312" s="634"/>
      <c r="Z312" s="634"/>
    </row>
    <row r="313" ht="15.75" customHeight="1">
      <c r="A313" s="634"/>
      <c r="B313" s="634"/>
      <c r="C313" s="634"/>
      <c r="D313" s="634"/>
      <c r="E313" s="634"/>
      <c r="F313" s="635"/>
      <c r="G313" s="634"/>
      <c r="H313" s="636"/>
      <c r="I313" s="635"/>
      <c r="J313" s="635"/>
      <c r="K313" s="635"/>
      <c r="L313" s="635"/>
      <c r="M313" s="635"/>
      <c r="N313" s="788"/>
      <c r="O313" s="788"/>
      <c r="P313" s="650"/>
      <c r="Q313" s="789"/>
      <c r="R313" s="634"/>
      <c r="S313" s="634"/>
      <c r="T313" s="634"/>
      <c r="U313" s="634"/>
      <c r="V313" s="634"/>
      <c r="W313" s="634"/>
      <c r="X313" s="634"/>
      <c r="Y313" s="634"/>
      <c r="Z313" s="634"/>
    </row>
    <row r="314" ht="15.75" customHeight="1">
      <c r="A314" s="634"/>
      <c r="B314" s="634"/>
      <c r="C314" s="634"/>
      <c r="D314" s="634"/>
      <c r="E314" s="634"/>
      <c r="F314" s="635"/>
      <c r="G314" s="634"/>
      <c r="H314" s="636"/>
      <c r="I314" s="635"/>
      <c r="J314" s="635"/>
      <c r="K314" s="635"/>
      <c r="L314" s="635"/>
      <c r="M314" s="635"/>
      <c r="N314" s="788"/>
      <c r="O314" s="788"/>
      <c r="P314" s="650"/>
      <c r="Q314" s="789"/>
      <c r="R314" s="634"/>
      <c r="S314" s="634"/>
      <c r="T314" s="634"/>
      <c r="U314" s="634"/>
      <c r="V314" s="634"/>
      <c r="W314" s="634"/>
      <c r="X314" s="634"/>
      <c r="Y314" s="634"/>
      <c r="Z314" s="634"/>
    </row>
    <row r="315" ht="15.75" customHeight="1">
      <c r="A315" s="634"/>
      <c r="B315" s="634"/>
      <c r="C315" s="634"/>
      <c r="D315" s="634"/>
      <c r="E315" s="634"/>
      <c r="F315" s="635"/>
      <c r="G315" s="634"/>
      <c r="H315" s="636"/>
      <c r="I315" s="635"/>
      <c r="J315" s="635"/>
      <c r="K315" s="635"/>
      <c r="L315" s="635"/>
      <c r="M315" s="635"/>
      <c r="N315" s="788"/>
      <c r="O315" s="788"/>
      <c r="P315" s="650"/>
      <c r="Q315" s="789"/>
      <c r="R315" s="634"/>
      <c r="S315" s="634"/>
      <c r="T315" s="634"/>
      <c r="U315" s="634"/>
      <c r="V315" s="634"/>
      <c r="W315" s="634"/>
      <c r="X315" s="634"/>
      <c r="Y315" s="634"/>
      <c r="Z315" s="634"/>
    </row>
    <row r="316" ht="15.75" customHeight="1">
      <c r="A316" s="634"/>
      <c r="B316" s="634"/>
      <c r="C316" s="634"/>
      <c r="D316" s="634"/>
      <c r="E316" s="634"/>
      <c r="F316" s="635"/>
      <c r="G316" s="634"/>
      <c r="H316" s="636"/>
      <c r="I316" s="635"/>
      <c r="J316" s="635"/>
      <c r="K316" s="635"/>
      <c r="L316" s="635"/>
      <c r="M316" s="635"/>
      <c r="N316" s="788"/>
      <c r="O316" s="788"/>
      <c r="P316" s="650"/>
      <c r="Q316" s="789"/>
      <c r="R316" s="634"/>
      <c r="S316" s="634"/>
      <c r="T316" s="634"/>
      <c r="U316" s="634"/>
      <c r="V316" s="634"/>
      <c r="W316" s="634"/>
      <c r="X316" s="634"/>
      <c r="Y316" s="634"/>
      <c r="Z316" s="634"/>
    </row>
    <row r="317" ht="15.75" customHeight="1">
      <c r="A317" s="634"/>
      <c r="B317" s="634"/>
      <c r="C317" s="634"/>
      <c r="D317" s="634"/>
      <c r="E317" s="634"/>
      <c r="F317" s="635"/>
      <c r="G317" s="634"/>
      <c r="H317" s="636"/>
      <c r="I317" s="635"/>
      <c r="J317" s="635"/>
      <c r="K317" s="635"/>
      <c r="L317" s="635"/>
      <c r="M317" s="635"/>
      <c r="N317" s="788"/>
      <c r="O317" s="788"/>
      <c r="P317" s="650"/>
      <c r="Q317" s="789"/>
      <c r="R317" s="634"/>
      <c r="S317" s="634"/>
      <c r="T317" s="634"/>
      <c r="U317" s="634"/>
      <c r="V317" s="634"/>
      <c r="W317" s="634"/>
      <c r="X317" s="634"/>
      <c r="Y317" s="634"/>
      <c r="Z317" s="634"/>
    </row>
    <row r="318" ht="15.75" customHeight="1">
      <c r="A318" s="634"/>
      <c r="B318" s="634"/>
      <c r="C318" s="634"/>
      <c r="D318" s="634"/>
      <c r="E318" s="634"/>
      <c r="F318" s="635"/>
      <c r="G318" s="634"/>
      <c r="H318" s="636"/>
      <c r="I318" s="635"/>
      <c r="J318" s="635"/>
      <c r="K318" s="635"/>
      <c r="L318" s="635"/>
      <c r="M318" s="635"/>
      <c r="N318" s="788"/>
      <c r="O318" s="788"/>
      <c r="P318" s="650"/>
      <c r="Q318" s="789"/>
      <c r="R318" s="634"/>
      <c r="S318" s="634"/>
      <c r="T318" s="634"/>
      <c r="U318" s="634"/>
      <c r="V318" s="634"/>
      <c r="W318" s="634"/>
      <c r="X318" s="634"/>
      <c r="Y318" s="634"/>
      <c r="Z318" s="634"/>
    </row>
    <row r="319" ht="15.75" customHeight="1">
      <c r="A319" s="634"/>
      <c r="B319" s="634"/>
      <c r="C319" s="634"/>
      <c r="D319" s="634"/>
      <c r="E319" s="634"/>
      <c r="F319" s="635"/>
      <c r="G319" s="634"/>
      <c r="H319" s="636"/>
      <c r="I319" s="635"/>
      <c r="J319" s="635"/>
      <c r="K319" s="635"/>
      <c r="L319" s="635"/>
      <c r="M319" s="635"/>
      <c r="N319" s="788"/>
      <c r="O319" s="788"/>
      <c r="P319" s="650"/>
      <c r="Q319" s="789"/>
      <c r="R319" s="634"/>
      <c r="S319" s="634"/>
      <c r="T319" s="634"/>
      <c r="U319" s="634"/>
      <c r="V319" s="634"/>
      <c r="W319" s="634"/>
      <c r="X319" s="634"/>
      <c r="Y319" s="634"/>
      <c r="Z319" s="634"/>
    </row>
    <row r="320" ht="15.75" customHeight="1">
      <c r="A320" s="634"/>
      <c r="B320" s="634"/>
      <c r="C320" s="634"/>
      <c r="D320" s="634"/>
      <c r="E320" s="634"/>
      <c r="F320" s="635"/>
      <c r="G320" s="634"/>
      <c r="H320" s="636"/>
      <c r="I320" s="635"/>
      <c r="J320" s="635"/>
      <c r="K320" s="635"/>
      <c r="L320" s="635"/>
      <c r="M320" s="635"/>
      <c r="N320" s="788"/>
      <c r="O320" s="788"/>
      <c r="P320" s="650"/>
      <c r="Q320" s="789"/>
      <c r="R320" s="634"/>
      <c r="S320" s="634"/>
      <c r="T320" s="634"/>
      <c r="U320" s="634"/>
      <c r="V320" s="634"/>
      <c r="W320" s="634"/>
      <c r="X320" s="634"/>
      <c r="Y320" s="634"/>
      <c r="Z320" s="634"/>
    </row>
    <row r="321" ht="15.75" customHeight="1">
      <c r="A321" s="634"/>
      <c r="B321" s="634"/>
      <c r="C321" s="634"/>
      <c r="D321" s="634"/>
      <c r="E321" s="634"/>
      <c r="F321" s="635"/>
      <c r="G321" s="634"/>
      <c r="H321" s="636"/>
      <c r="I321" s="635"/>
      <c r="J321" s="635"/>
      <c r="K321" s="635"/>
      <c r="L321" s="635"/>
      <c r="M321" s="635"/>
      <c r="N321" s="788"/>
      <c r="O321" s="788"/>
      <c r="P321" s="650"/>
      <c r="Q321" s="789"/>
      <c r="R321" s="634"/>
      <c r="S321" s="634"/>
      <c r="T321" s="634"/>
      <c r="U321" s="634"/>
      <c r="V321" s="634"/>
      <c r="W321" s="634"/>
      <c r="X321" s="634"/>
      <c r="Y321" s="634"/>
      <c r="Z321" s="634"/>
    </row>
    <row r="322" ht="15.75" customHeight="1">
      <c r="A322" s="634"/>
      <c r="B322" s="634"/>
      <c r="C322" s="634"/>
      <c r="D322" s="634"/>
      <c r="E322" s="634"/>
      <c r="F322" s="635"/>
      <c r="G322" s="634"/>
      <c r="H322" s="636"/>
      <c r="I322" s="635"/>
      <c r="J322" s="635"/>
      <c r="K322" s="635"/>
      <c r="L322" s="635"/>
      <c r="M322" s="635"/>
      <c r="N322" s="788"/>
      <c r="O322" s="788"/>
      <c r="P322" s="650"/>
      <c r="Q322" s="789"/>
      <c r="R322" s="634"/>
      <c r="S322" s="634"/>
      <c r="T322" s="634"/>
      <c r="U322" s="634"/>
      <c r="V322" s="634"/>
      <c r="W322" s="634"/>
      <c r="X322" s="634"/>
      <c r="Y322" s="634"/>
      <c r="Z322" s="634"/>
    </row>
    <row r="323" ht="15.75" customHeight="1">
      <c r="A323" s="634"/>
      <c r="B323" s="634"/>
      <c r="C323" s="634"/>
      <c r="D323" s="634"/>
      <c r="E323" s="634"/>
      <c r="F323" s="635"/>
      <c r="G323" s="634"/>
      <c r="H323" s="636"/>
      <c r="I323" s="635"/>
      <c r="J323" s="635"/>
      <c r="K323" s="635"/>
      <c r="L323" s="635"/>
      <c r="M323" s="635"/>
      <c r="N323" s="788"/>
      <c r="O323" s="788"/>
      <c r="P323" s="650"/>
      <c r="Q323" s="789"/>
      <c r="R323" s="634"/>
      <c r="S323" s="634"/>
      <c r="T323" s="634"/>
      <c r="U323" s="634"/>
      <c r="V323" s="634"/>
      <c r="W323" s="634"/>
      <c r="X323" s="634"/>
      <c r="Y323" s="634"/>
      <c r="Z323" s="634"/>
    </row>
    <row r="324" ht="15.75" customHeight="1">
      <c r="A324" s="634"/>
      <c r="B324" s="634"/>
      <c r="C324" s="634"/>
      <c r="D324" s="634"/>
      <c r="E324" s="634"/>
      <c r="F324" s="635"/>
      <c r="G324" s="634"/>
      <c r="H324" s="636"/>
      <c r="I324" s="635"/>
      <c r="J324" s="635"/>
      <c r="K324" s="635"/>
      <c r="L324" s="635"/>
      <c r="M324" s="635"/>
      <c r="N324" s="788"/>
      <c r="O324" s="788"/>
      <c r="P324" s="650"/>
      <c r="Q324" s="789"/>
      <c r="R324" s="634"/>
      <c r="S324" s="634"/>
      <c r="T324" s="634"/>
      <c r="U324" s="634"/>
      <c r="V324" s="634"/>
      <c r="W324" s="634"/>
      <c r="X324" s="634"/>
      <c r="Y324" s="634"/>
      <c r="Z324" s="634"/>
    </row>
    <row r="325" ht="15.75" customHeight="1">
      <c r="A325" s="634"/>
      <c r="B325" s="634"/>
      <c r="C325" s="634"/>
      <c r="D325" s="634"/>
      <c r="E325" s="634"/>
      <c r="F325" s="635"/>
      <c r="G325" s="634"/>
      <c r="H325" s="636"/>
      <c r="I325" s="635"/>
      <c r="J325" s="635"/>
      <c r="K325" s="635"/>
      <c r="L325" s="635"/>
      <c r="M325" s="635"/>
      <c r="N325" s="788"/>
      <c r="O325" s="788"/>
      <c r="P325" s="650"/>
      <c r="Q325" s="789"/>
      <c r="R325" s="634"/>
      <c r="S325" s="634"/>
      <c r="T325" s="634"/>
      <c r="U325" s="634"/>
      <c r="V325" s="634"/>
      <c r="W325" s="634"/>
      <c r="X325" s="634"/>
      <c r="Y325" s="634"/>
      <c r="Z325" s="634"/>
    </row>
    <row r="326" ht="15.75" customHeight="1">
      <c r="A326" s="634"/>
      <c r="B326" s="634"/>
      <c r="C326" s="634"/>
      <c r="D326" s="634"/>
      <c r="E326" s="634"/>
      <c r="F326" s="635"/>
      <c r="G326" s="634"/>
      <c r="H326" s="636"/>
      <c r="I326" s="635"/>
      <c r="J326" s="635"/>
      <c r="K326" s="635"/>
      <c r="L326" s="635"/>
      <c r="M326" s="635"/>
      <c r="N326" s="788"/>
      <c r="O326" s="788"/>
      <c r="P326" s="650"/>
      <c r="Q326" s="789"/>
      <c r="R326" s="634"/>
      <c r="S326" s="634"/>
      <c r="T326" s="634"/>
      <c r="U326" s="634"/>
      <c r="V326" s="634"/>
      <c r="W326" s="634"/>
      <c r="X326" s="634"/>
      <c r="Y326" s="634"/>
      <c r="Z326" s="634"/>
    </row>
    <row r="327" ht="15.75" customHeight="1">
      <c r="A327" s="634"/>
      <c r="B327" s="634"/>
      <c r="C327" s="634"/>
      <c r="D327" s="634"/>
      <c r="E327" s="634"/>
      <c r="F327" s="635"/>
      <c r="G327" s="634"/>
      <c r="H327" s="636"/>
      <c r="I327" s="635"/>
      <c r="J327" s="635"/>
      <c r="K327" s="635"/>
      <c r="L327" s="635"/>
      <c r="M327" s="635"/>
      <c r="N327" s="788"/>
      <c r="O327" s="788"/>
      <c r="P327" s="650"/>
      <c r="Q327" s="789"/>
      <c r="R327" s="634"/>
      <c r="S327" s="634"/>
      <c r="T327" s="634"/>
      <c r="U327" s="634"/>
      <c r="V327" s="634"/>
      <c r="W327" s="634"/>
      <c r="X327" s="634"/>
      <c r="Y327" s="634"/>
      <c r="Z327" s="634"/>
    </row>
    <row r="328" ht="15.75" customHeight="1">
      <c r="A328" s="634"/>
      <c r="B328" s="634"/>
      <c r="C328" s="634"/>
      <c r="D328" s="634"/>
      <c r="E328" s="634"/>
      <c r="F328" s="635"/>
      <c r="G328" s="634"/>
      <c r="H328" s="636"/>
      <c r="I328" s="635"/>
      <c r="J328" s="635"/>
      <c r="K328" s="635"/>
      <c r="L328" s="635"/>
      <c r="M328" s="635"/>
      <c r="N328" s="788"/>
      <c r="O328" s="788"/>
      <c r="P328" s="650"/>
      <c r="Q328" s="789"/>
      <c r="R328" s="634"/>
      <c r="S328" s="634"/>
      <c r="T328" s="634"/>
      <c r="U328" s="634"/>
      <c r="V328" s="634"/>
      <c r="W328" s="634"/>
      <c r="X328" s="634"/>
      <c r="Y328" s="634"/>
      <c r="Z328" s="634"/>
    </row>
    <row r="329" ht="15.75" customHeight="1">
      <c r="A329" s="634"/>
      <c r="B329" s="634"/>
      <c r="C329" s="634"/>
      <c r="D329" s="634"/>
      <c r="E329" s="634"/>
      <c r="F329" s="635"/>
      <c r="G329" s="634"/>
      <c r="H329" s="636"/>
      <c r="I329" s="635"/>
      <c r="J329" s="635"/>
      <c r="K329" s="635"/>
      <c r="L329" s="635"/>
      <c r="M329" s="635"/>
      <c r="N329" s="788"/>
      <c r="O329" s="788"/>
      <c r="P329" s="650"/>
      <c r="Q329" s="789"/>
      <c r="R329" s="634"/>
      <c r="S329" s="634"/>
      <c r="T329" s="634"/>
      <c r="U329" s="634"/>
      <c r="V329" s="634"/>
      <c r="W329" s="634"/>
      <c r="X329" s="634"/>
      <c r="Y329" s="634"/>
      <c r="Z329" s="634"/>
    </row>
    <row r="330" ht="15.75" customHeight="1">
      <c r="A330" s="634"/>
      <c r="B330" s="634"/>
      <c r="C330" s="634"/>
      <c r="D330" s="634"/>
      <c r="E330" s="634"/>
      <c r="F330" s="635"/>
      <c r="G330" s="634"/>
      <c r="H330" s="636"/>
      <c r="I330" s="635"/>
      <c r="J330" s="635"/>
      <c r="K330" s="635"/>
      <c r="L330" s="635"/>
      <c r="M330" s="635"/>
      <c r="N330" s="788"/>
      <c r="O330" s="788"/>
      <c r="P330" s="650"/>
      <c r="Q330" s="789"/>
      <c r="R330" s="634"/>
      <c r="S330" s="634"/>
      <c r="T330" s="634"/>
      <c r="U330" s="634"/>
      <c r="V330" s="634"/>
      <c r="W330" s="634"/>
      <c r="X330" s="634"/>
      <c r="Y330" s="634"/>
      <c r="Z330" s="634"/>
    </row>
    <row r="331" ht="15.75" customHeight="1">
      <c r="A331" s="634"/>
      <c r="B331" s="634"/>
      <c r="C331" s="634"/>
      <c r="D331" s="634"/>
      <c r="E331" s="634"/>
      <c r="F331" s="635"/>
      <c r="G331" s="634"/>
      <c r="H331" s="636"/>
      <c r="I331" s="635"/>
      <c r="J331" s="635"/>
      <c r="K331" s="635"/>
      <c r="L331" s="635"/>
      <c r="M331" s="635"/>
      <c r="N331" s="788"/>
      <c r="O331" s="788"/>
      <c r="P331" s="650"/>
      <c r="Q331" s="789"/>
      <c r="R331" s="634"/>
      <c r="S331" s="634"/>
      <c r="T331" s="634"/>
      <c r="U331" s="634"/>
      <c r="V331" s="634"/>
      <c r="W331" s="634"/>
      <c r="X331" s="634"/>
      <c r="Y331" s="634"/>
      <c r="Z331" s="634"/>
    </row>
    <row r="332" ht="15.75" customHeight="1">
      <c r="A332" s="634"/>
      <c r="B332" s="634"/>
      <c r="C332" s="634"/>
      <c r="D332" s="634"/>
      <c r="E332" s="634"/>
      <c r="F332" s="635"/>
      <c r="G332" s="634"/>
      <c r="H332" s="636"/>
      <c r="I332" s="635"/>
      <c r="J332" s="635"/>
      <c r="K332" s="635"/>
      <c r="L332" s="635"/>
      <c r="M332" s="635"/>
      <c r="N332" s="788"/>
      <c r="O332" s="788"/>
      <c r="P332" s="650"/>
      <c r="Q332" s="789"/>
      <c r="R332" s="634"/>
      <c r="S332" s="634"/>
      <c r="T332" s="634"/>
      <c r="U332" s="634"/>
      <c r="V332" s="634"/>
      <c r="W332" s="634"/>
      <c r="X332" s="634"/>
      <c r="Y332" s="634"/>
      <c r="Z332" s="634"/>
    </row>
    <row r="333" ht="15.75" customHeight="1">
      <c r="A333" s="634"/>
      <c r="B333" s="634"/>
      <c r="C333" s="634"/>
      <c r="D333" s="634"/>
      <c r="E333" s="634"/>
      <c r="F333" s="635"/>
      <c r="G333" s="634"/>
      <c r="H333" s="636"/>
      <c r="I333" s="635"/>
      <c r="J333" s="635"/>
      <c r="K333" s="635"/>
      <c r="L333" s="635"/>
      <c r="M333" s="635"/>
      <c r="N333" s="788"/>
      <c r="O333" s="788"/>
      <c r="P333" s="650"/>
      <c r="Q333" s="789"/>
      <c r="R333" s="634"/>
      <c r="S333" s="634"/>
      <c r="T333" s="634"/>
      <c r="U333" s="634"/>
      <c r="V333" s="634"/>
      <c r="W333" s="634"/>
      <c r="X333" s="634"/>
      <c r="Y333" s="634"/>
      <c r="Z333" s="634"/>
    </row>
    <row r="334" ht="15.75" customHeight="1">
      <c r="A334" s="634"/>
      <c r="B334" s="634"/>
      <c r="C334" s="634"/>
      <c r="D334" s="634"/>
      <c r="E334" s="634"/>
      <c r="F334" s="635"/>
      <c r="G334" s="634"/>
      <c r="H334" s="636"/>
      <c r="I334" s="635"/>
      <c r="J334" s="635"/>
      <c r="K334" s="635"/>
      <c r="L334" s="635"/>
      <c r="M334" s="635"/>
      <c r="N334" s="788"/>
      <c r="O334" s="788"/>
      <c r="P334" s="650"/>
      <c r="Q334" s="789"/>
      <c r="R334" s="634"/>
      <c r="S334" s="634"/>
      <c r="T334" s="634"/>
      <c r="U334" s="634"/>
      <c r="V334" s="634"/>
      <c r="W334" s="634"/>
      <c r="X334" s="634"/>
      <c r="Y334" s="634"/>
      <c r="Z334" s="634"/>
    </row>
    <row r="335" ht="15.75" customHeight="1">
      <c r="A335" s="634"/>
      <c r="B335" s="634"/>
      <c r="C335" s="634"/>
      <c r="D335" s="634"/>
      <c r="E335" s="634"/>
      <c r="F335" s="635"/>
      <c r="G335" s="634"/>
      <c r="H335" s="636"/>
      <c r="I335" s="635"/>
      <c r="J335" s="635"/>
      <c r="K335" s="635"/>
      <c r="L335" s="635"/>
      <c r="M335" s="635"/>
      <c r="N335" s="788"/>
      <c r="O335" s="788"/>
      <c r="P335" s="650"/>
      <c r="Q335" s="789"/>
      <c r="R335" s="634"/>
      <c r="S335" s="634"/>
      <c r="T335" s="634"/>
      <c r="U335" s="634"/>
      <c r="V335" s="634"/>
      <c r="W335" s="634"/>
      <c r="X335" s="634"/>
      <c r="Y335" s="634"/>
      <c r="Z335" s="634"/>
    </row>
    <row r="336" ht="15.75" customHeight="1">
      <c r="A336" s="634"/>
      <c r="B336" s="634"/>
      <c r="C336" s="634"/>
      <c r="D336" s="634"/>
      <c r="E336" s="634"/>
      <c r="F336" s="635"/>
      <c r="G336" s="634"/>
      <c r="H336" s="636"/>
      <c r="I336" s="635"/>
      <c r="J336" s="635"/>
      <c r="K336" s="635"/>
      <c r="L336" s="635"/>
      <c r="M336" s="635"/>
      <c r="N336" s="788"/>
      <c r="O336" s="788"/>
      <c r="P336" s="650"/>
      <c r="Q336" s="789"/>
      <c r="R336" s="634"/>
      <c r="S336" s="634"/>
      <c r="T336" s="634"/>
      <c r="U336" s="634"/>
      <c r="V336" s="634"/>
      <c r="W336" s="634"/>
      <c r="X336" s="634"/>
      <c r="Y336" s="634"/>
      <c r="Z336" s="634"/>
    </row>
    <row r="337" ht="15.75" customHeight="1">
      <c r="A337" s="634"/>
      <c r="B337" s="634"/>
      <c r="C337" s="634"/>
      <c r="D337" s="634"/>
      <c r="E337" s="634"/>
      <c r="F337" s="635"/>
      <c r="G337" s="634"/>
      <c r="H337" s="636"/>
      <c r="I337" s="635"/>
      <c r="J337" s="635"/>
      <c r="K337" s="635"/>
      <c r="L337" s="635"/>
      <c r="M337" s="635"/>
      <c r="N337" s="788"/>
      <c r="O337" s="788"/>
      <c r="P337" s="650"/>
      <c r="Q337" s="789"/>
      <c r="R337" s="634"/>
      <c r="S337" s="634"/>
      <c r="T337" s="634"/>
      <c r="U337" s="634"/>
      <c r="V337" s="634"/>
      <c r="W337" s="634"/>
      <c r="X337" s="634"/>
      <c r="Y337" s="634"/>
      <c r="Z337" s="634"/>
    </row>
    <row r="338" ht="15.75" customHeight="1">
      <c r="A338" s="634"/>
      <c r="B338" s="634"/>
      <c r="C338" s="634"/>
      <c r="D338" s="634"/>
      <c r="E338" s="634"/>
      <c r="F338" s="635"/>
      <c r="G338" s="634"/>
      <c r="H338" s="636"/>
      <c r="I338" s="635"/>
      <c r="J338" s="635"/>
      <c r="K338" s="635"/>
      <c r="L338" s="635"/>
      <c r="M338" s="635"/>
      <c r="N338" s="788"/>
      <c r="O338" s="788"/>
      <c r="P338" s="650"/>
      <c r="Q338" s="789"/>
      <c r="R338" s="634"/>
      <c r="S338" s="634"/>
      <c r="T338" s="634"/>
      <c r="U338" s="634"/>
      <c r="V338" s="634"/>
      <c r="W338" s="634"/>
      <c r="X338" s="634"/>
      <c r="Y338" s="634"/>
      <c r="Z338" s="634"/>
    </row>
    <row r="339" ht="15.75" customHeight="1">
      <c r="A339" s="634"/>
      <c r="B339" s="634"/>
      <c r="C339" s="634"/>
      <c r="D339" s="634"/>
      <c r="E339" s="634"/>
      <c r="F339" s="635"/>
      <c r="G339" s="634"/>
      <c r="H339" s="636"/>
      <c r="I339" s="635"/>
      <c r="J339" s="635"/>
      <c r="K339" s="635"/>
      <c r="L339" s="635"/>
      <c r="M339" s="635"/>
      <c r="N339" s="788"/>
      <c r="O339" s="788"/>
      <c r="P339" s="650"/>
      <c r="Q339" s="789"/>
      <c r="R339" s="634"/>
      <c r="S339" s="634"/>
      <c r="T339" s="634"/>
      <c r="U339" s="634"/>
      <c r="V339" s="634"/>
      <c r="W339" s="634"/>
      <c r="X339" s="634"/>
      <c r="Y339" s="634"/>
      <c r="Z339" s="634"/>
    </row>
    <row r="340" ht="15.75" customHeight="1">
      <c r="A340" s="634"/>
      <c r="B340" s="634"/>
      <c r="C340" s="634"/>
      <c r="D340" s="634"/>
      <c r="E340" s="634"/>
      <c r="F340" s="635"/>
      <c r="G340" s="634"/>
      <c r="H340" s="636"/>
      <c r="I340" s="635"/>
      <c r="J340" s="635"/>
      <c r="K340" s="635"/>
      <c r="L340" s="635"/>
      <c r="M340" s="635"/>
      <c r="N340" s="788"/>
      <c r="O340" s="788"/>
      <c r="P340" s="650"/>
      <c r="Q340" s="789"/>
      <c r="R340" s="634"/>
      <c r="S340" s="634"/>
      <c r="T340" s="634"/>
      <c r="U340" s="634"/>
      <c r="V340" s="634"/>
      <c r="W340" s="634"/>
      <c r="X340" s="634"/>
      <c r="Y340" s="634"/>
      <c r="Z340" s="634"/>
    </row>
    <row r="341" ht="15.75" customHeight="1">
      <c r="A341" s="634"/>
      <c r="B341" s="634"/>
      <c r="C341" s="634"/>
      <c r="D341" s="634"/>
      <c r="E341" s="634"/>
      <c r="F341" s="635"/>
      <c r="G341" s="634"/>
      <c r="H341" s="636"/>
      <c r="I341" s="635"/>
      <c r="J341" s="635"/>
      <c r="K341" s="635"/>
      <c r="L341" s="635"/>
      <c r="M341" s="635"/>
      <c r="N341" s="788"/>
      <c r="O341" s="788"/>
      <c r="P341" s="650"/>
      <c r="Q341" s="789"/>
      <c r="R341" s="634"/>
      <c r="S341" s="634"/>
      <c r="T341" s="634"/>
      <c r="U341" s="634"/>
      <c r="V341" s="634"/>
      <c r="W341" s="634"/>
      <c r="X341" s="634"/>
      <c r="Y341" s="634"/>
      <c r="Z341" s="634"/>
    </row>
    <row r="342" ht="15.75" customHeight="1">
      <c r="A342" s="634"/>
      <c r="B342" s="634"/>
      <c r="C342" s="634"/>
      <c r="D342" s="634"/>
      <c r="E342" s="634"/>
      <c r="F342" s="635"/>
      <c r="G342" s="634"/>
      <c r="H342" s="636"/>
      <c r="I342" s="635"/>
      <c r="J342" s="635"/>
      <c r="K342" s="635"/>
      <c r="L342" s="635"/>
      <c r="M342" s="635"/>
      <c r="N342" s="788"/>
      <c r="O342" s="788"/>
      <c r="P342" s="650"/>
      <c r="Q342" s="789"/>
      <c r="R342" s="634"/>
      <c r="S342" s="634"/>
      <c r="T342" s="634"/>
      <c r="U342" s="634"/>
      <c r="V342" s="634"/>
      <c r="W342" s="634"/>
      <c r="X342" s="634"/>
      <c r="Y342" s="634"/>
      <c r="Z342" s="634"/>
    </row>
    <row r="343" ht="15.75" customHeight="1">
      <c r="A343" s="634"/>
      <c r="B343" s="634"/>
      <c r="C343" s="634"/>
      <c r="D343" s="634"/>
      <c r="E343" s="634"/>
      <c r="F343" s="635"/>
      <c r="G343" s="634"/>
      <c r="H343" s="636"/>
      <c r="I343" s="635"/>
      <c r="J343" s="635"/>
      <c r="K343" s="635"/>
      <c r="L343" s="635"/>
      <c r="M343" s="635"/>
      <c r="N343" s="788"/>
      <c r="O343" s="788"/>
      <c r="P343" s="650"/>
      <c r="Q343" s="789"/>
      <c r="R343" s="634"/>
      <c r="S343" s="634"/>
      <c r="T343" s="634"/>
      <c r="U343" s="634"/>
      <c r="V343" s="634"/>
      <c r="W343" s="634"/>
      <c r="X343" s="634"/>
      <c r="Y343" s="634"/>
      <c r="Z343" s="634"/>
    </row>
    <row r="344" ht="15.75" customHeight="1">
      <c r="A344" s="634"/>
      <c r="B344" s="634"/>
      <c r="C344" s="634"/>
      <c r="D344" s="634"/>
      <c r="E344" s="634"/>
      <c r="F344" s="635"/>
      <c r="G344" s="634"/>
      <c r="H344" s="636"/>
      <c r="I344" s="635"/>
      <c r="J344" s="635"/>
      <c r="K344" s="635"/>
      <c r="L344" s="635"/>
      <c r="M344" s="635"/>
      <c r="N344" s="788"/>
      <c r="O344" s="788"/>
      <c r="P344" s="650"/>
      <c r="Q344" s="789"/>
      <c r="R344" s="634"/>
      <c r="S344" s="634"/>
      <c r="T344" s="634"/>
      <c r="U344" s="634"/>
      <c r="V344" s="634"/>
      <c r="W344" s="634"/>
      <c r="X344" s="634"/>
      <c r="Y344" s="634"/>
      <c r="Z344" s="634"/>
    </row>
    <row r="345" ht="15.75" customHeight="1">
      <c r="A345" s="634"/>
      <c r="B345" s="634"/>
      <c r="C345" s="634"/>
      <c r="D345" s="634"/>
      <c r="E345" s="634"/>
      <c r="F345" s="635"/>
      <c r="G345" s="634"/>
      <c r="H345" s="636"/>
      <c r="I345" s="635"/>
      <c r="J345" s="635"/>
      <c r="K345" s="635"/>
      <c r="L345" s="635"/>
      <c r="M345" s="635"/>
      <c r="N345" s="788"/>
      <c r="O345" s="788"/>
      <c r="P345" s="650"/>
      <c r="Q345" s="789"/>
      <c r="R345" s="634"/>
      <c r="S345" s="634"/>
      <c r="T345" s="634"/>
      <c r="U345" s="634"/>
      <c r="V345" s="634"/>
      <c r="W345" s="634"/>
      <c r="X345" s="634"/>
      <c r="Y345" s="634"/>
      <c r="Z345" s="634"/>
    </row>
    <row r="346" ht="15.75" customHeight="1">
      <c r="A346" s="634"/>
      <c r="B346" s="634"/>
      <c r="C346" s="634"/>
      <c r="D346" s="634"/>
      <c r="E346" s="634"/>
      <c r="F346" s="635"/>
      <c r="G346" s="634"/>
      <c r="H346" s="636"/>
      <c r="I346" s="635"/>
      <c r="J346" s="635"/>
      <c r="K346" s="635"/>
      <c r="L346" s="635"/>
      <c r="M346" s="635"/>
      <c r="N346" s="788"/>
      <c r="O346" s="788"/>
      <c r="P346" s="650"/>
      <c r="Q346" s="789"/>
      <c r="R346" s="634"/>
      <c r="S346" s="634"/>
      <c r="T346" s="634"/>
      <c r="U346" s="634"/>
      <c r="V346" s="634"/>
      <c r="W346" s="634"/>
      <c r="X346" s="634"/>
      <c r="Y346" s="634"/>
      <c r="Z346" s="634"/>
    </row>
    <row r="347" ht="15.75" customHeight="1">
      <c r="A347" s="634"/>
      <c r="B347" s="634"/>
      <c r="C347" s="634"/>
      <c r="D347" s="634"/>
      <c r="E347" s="634"/>
      <c r="F347" s="635"/>
      <c r="G347" s="634"/>
      <c r="H347" s="636"/>
      <c r="I347" s="635"/>
      <c r="J347" s="635"/>
      <c r="K347" s="635"/>
      <c r="L347" s="635"/>
      <c r="M347" s="635"/>
      <c r="N347" s="788"/>
      <c r="O347" s="788"/>
      <c r="P347" s="650"/>
      <c r="Q347" s="789"/>
      <c r="R347" s="634"/>
      <c r="S347" s="634"/>
      <c r="T347" s="634"/>
      <c r="U347" s="634"/>
      <c r="V347" s="634"/>
      <c r="W347" s="634"/>
      <c r="X347" s="634"/>
      <c r="Y347" s="634"/>
      <c r="Z347" s="634"/>
    </row>
    <row r="348" ht="15.75" customHeight="1">
      <c r="A348" s="634"/>
      <c r="B348" s="634"/>
      <c r="C348" s="634"/>
      <c r="D348" s="634"/>
      <c r="E348" s="634"/>
      <c r="F348" s="635"/>
      <c r="G348" s="634"/>
      <c r="H348" s="636"/>
      <c r="I348" s="635"/>
      <c r="J348" s="635"/>
      <c r="K348" s="635"/>
      <c r="L348" s="635"/>
      <c r="M348" s="635"/>
      <c r="N348" s="788"/>
      <c r="O348" s="788"/>
      <c r="P348" s="650"/>
      <c r="Q348" s="789"/>
      <c r="R348" s="634"/>
      <c r="S348" s="634"/>
      <c r="T348" s="634"/>
      <c r="U348" s="634"/>
      <c r="V348" s="634"/>
      <c r="W348" s="634"/>
      <c r="X348" s="634"/>
      <c r="Y348" s="634"/>
      <c r="Z348" s="634"/>
    </row>
    <row r="349" ht="15.75" customHeight="1">
      <c r="A349" s="634"/>
      <c r="B349" s="634"/>
      <c r="C349" s="634"/>
      <c r="D349" s="634"/>
      <c r="E349" s="634"/>
      <c r="F349" s="635"/>
      <c r="G349" s="634"/>
      <c r="H349" s="636"/>
      <c r="I349" s="635"/>
      <c r="J349" s="635"/>
      <c r="K349" s="635"/>
      <c r="L349" s="635"/>
      <c r="M349" s="635"/>
      <c r="N349" s="788"/>
      <c r="O349" s="788"/>
      <c r="P349" s="650"/>
      <c r="Q349" s="789"/>
      <c r="R349" s="634"/>
      <c r="S349" s="634"/>
      <c r="T349" s="634"/>
      <c r="U349" s="634"/>
      <c r="V349" s="634"/>
      <c r="W349" s="634"/>
      <c r="X349" s="634"/>
      <c r="Y349" s="634"/>
      <c r="Z349" s="634"/>
    </row>
    <row r="350" ht="15.75" customHeight="1">
      <c r="A350" s="634"/>
      <c r="B350" s="634"/>
      <c r="C350" s="634"/>
      <c r="D350" s="634"/>
      <c r="E350" s="634"/>
      <c r="F350" s="635"/>
      <c r="G350" s="634"/>
      <c r="H350" s="636"/>
      <c r="I350" s="635"/>
      <c r="J350" s="635"/>
      <c r="K350" s="635"/>
      <c r="L350" s="635"/>
      <c r="M350" s="635"/>
      <c r="N350" s="788"/>
      <c r="O350" s="788"/>
      <c r="P350" s="650"/>
      <c r="Q350" s="789"/>
      <c r="R350" s="634"/>
      <c r="S350" s="634"/>
      <c r="T350" s="634"/>
      <c r="U350" s="634"/>
      <c r="V350" s="634"/>
      <c r="W350" s="634"/>
      <c r="X350" s="634"/>
      <c r="Y350" s="634"/>
      <c r="Z350" s="634"/>
    </row>
    <row r="351" ht="15.75" customHeight="1">
      <c r="A351" s="634"/>
      <c r="B351" s="634"/>
      <c r="C351" s="634"/>
      <c r="D351" s="634"/>
      <c r="E351" s="634"/>
      <c r="F351" s="635"/>
      <c r="G351" s="634"/>
      <c r="H351" s="636"/>
      <c r="I351" s="635"/>
      <c r="J351" s="635"/>
      <c r="K351" s="635"/>
      <c r="L351" s="635"/>
      <c r="M351" s="635"/>
      <c r="N351" s="788"/>
      <c r="O351" s="788"/>
      <c r="P351" s="650"/>
      <c r="Q351" s="789"/>
      <c r="R351" s="634"/>
      <c r="S351" s="634"/>
      <c r="T351" s="634"/>
      <c r="U351" s="634"/>
      <c r="V351" s="634"/>
      <c r="W351" s="634"/>
      <c r="X351" s="634"/>
      <c r="Y351" s="634"/>
      <c r="Z351" s="634"/>
    </row>
    <row r="352" ht="15.75" customHeight="1">
      <c r="A352" s="634"/>
      <c r="B352" s="634"/>
      <c r="C352" s="634"/>
      <c r="D352" s="634"/>
      <c r="E352" s="634"/>
      <c r="F352" s="635"/>
      <c r="G352" s="634"/>
      <c r="H352" s="636"/>
      <c r="I352" s="635"/>
      <c r="J352" s="635"/>
      <c r="K352" s="635"/>
      <c r="L352" s="635"/>
      <c r="M352" s="635"/>
      <c r="N352" s="788"/>
      <c r="O352" s="788"/>
      <c r="P352" s="650"/>
      <c r="Q352" s="789"/>
      <c r="R352" s="634"/>
      <c r="S352" s="634"/>
      <c r="T352" s="634"/>
      <c r="U352" s="634"/>
      <c r="V352" s="634"/>
      <c r="W352" s="634"/>
      <c r="X352" s="634"/>
      <c r="Y352" s="634"/>
      <c r="Z352" s="634"/>
    </row>
    <row r="353" ht="15.75" customHeight="1">
      <c r="A353" s="634"/>
      <c r="B353" s="634"/>
      <c r="C353" s="634"/>
      <c r="D353" s="634"/>
      <c r="E353" s="634"/>
      <c r="F353" s="635"/>
      <c r="G353" s="634"/>
      <c r="H353" s="636"/>
      <c r="I353" s="635"/>
      <c r="J353" s="635"/>
      <c r="K353" s="635"/>
      <c r="L353" s="635"/>
      <c r="M353" s="635"/>
      <c r="N353" s="788"/>
      <c r="O353" s="788"/>
      <c r="P353" s="650"/>
      <c r="Q353" s="789"/>
      <c r="R353" s="634"/>
      <c r="S353" s="634"/>
      <c r="T353" s="634"/>
      <c r="U353" s="634"/>
      <c r="V353" s="634"/>
      <c r="W353" s="634"/>
      <c r="X353" s="634"/>
      <c r="Y353" s="634"/>
      <c r="Z353" s="634"/>
    </row>
    <row r="354" ht="15.75" customHeight="1">
      <c r="A354" s="634"/>
      <c r="B354" s="634"/>
      <c r="C354" s="634"/>
      <c r="D354" s="634"/>
      <c r="E354" s="634"/>
      <c r="F354" s="635"/>
      <c r="G354" s="634"/>
      <c r="H354" s="636"/>
      <c r="I354" s="635"/>
      <c r="J354" s="635"/>
      <c r="K354" s="635"/>
      <c r="L354" s="635"/>
      <c r="M354" s="635"/>
      <c r="N354" s="788"/>
      <c r="O354" s="788"/>
      <c r="P354" s="650"/>
      <c r="Q354" s="789"/>
      <c r="R354" s="634"/>
      <c r="S354" s="634"/>
      <c r="T354" s="634"/>
      <c r="U354" s="634"/>
      <c r="V354" s="634"/>
      <c r="W354" s="634"/>
      <c r="X354" s="634"/>
      <c r="Y354" s="634"/>
      <c r="Z354" s="634"/>
    </row>
    <row r="355" ht="15.75" customHeight="1">
      <c r="A355" s="634"/>
      <c r="B355" s="634"/>
      <c r="C355" s="634"/>
      <c r="D355" s="634"/>
      <c r="E355" s="634"/>
      <c r="F355" s="635"/>
      <c r="G355" s="634"/>
      <c r="H355" s="636"/>
      <c r="I355" s="635"/>
      <c r="J355" s="635"/>
      <c r="K355" s="635"/>
      <c r="L355" s="635"/>
      <c r="M355" s="635"/>
      <c r="N355" s="788"/>
      <c r="O355" s="788"/>
      <c r="P355" s="650"/>
      <c r="Q355" s="789"/>
      <c r="R355" s="634"/>
      <c r="S355" s="634"/>
      <c r="T355" s="634"/>
      <c r="U355" s="634"/>
      <c r="V355" s="634"/>
      <c r="W355" s="634"/>
      <c r="X355" s="634"/>
      <c r="Y355" s="634"/>
      <c r="Z355" s="634"/>
    </row>
    <row r="356" ht="15.75" customHeight="1">
      <c r="A356" s="634"/>
      <c r="B356" s="634"/>
      <c r="C356" s="634"/>
      <c r="D356" s="634"/>
      <c r="E356" s="634"/>
      <c r="F356" s="635"/>
      <c r="G356" s="634"/>
      <c r="H356" s="636"/>
      <c r="I356" s="635"/>
      <c r="J356" s="635"/>
      <c r="K356" s="635"/>
      <c r="L356" s="635"/>
      <c r="M356" s="635"/>
      <c r="N356" s="788"/>
      <c r="O356" s="788"/>
      <c r="P356" s="650"/>
      <c r="Q356" s="789"/>
      <c r="R356" s="634"/>
      <c r="S356" s="634"/>
      <c r="T356" s="634"/>
      <c r="U356" s="634"/>
      <c r="V356" s="634"/>
      <c r="W356" s="634"/>
      <c r="X356" s="634"/>
      <c r="Y356" s="634"/>
      <c r="Z356" s="634"/>
    </row>
    <row r="357" ht="15.75" customHeight="1">
      <c r="A357" s="634"/>
      <c r="B357" s="634"/>
      <c r="C357" s="634"/>
      <c r="D357" s="634"/>
      <c r="E357" s="634"/>
      <c r="F357" s="635"/>
      <c r="G357" s="634"/>
      <c r="H357" s="636"/>
      <c r="I357" s="635"/>
      <c r="J357" s="635"/>
      <c r="K357" s="635"/>
      <c r="L357" s="635"/>
      <c r="M357" s="635"/>
      <c r="N357" s="788"/>
      <c r="O357" s="788"/>
      <c r="P357" s="650"/>
      <c r="Q357" s="789"/>
      <c r="R357" s="634"/>
      <c r="S357" s="634"/>
      <c r="T357" s="634"/>
      <c r="U357" s="634"/>
      <c r="V357" s="634"/>
      <c r="W357" s="634"/>
      <c r="X357" s="634"/>
      <c r="Y357" s="634"/>
      <c r="Z357" s="634"/>
    </row>
    <row r="358" ht="15.75" customHeight="1">
      <c r="A358" s="634"/>
      <c r="B358" s="634"/>
      <c r="C358" s="634"/>
      <c r="D358" s="634"/>
      <c r="E358" s="634"/>
      <c r="F358" s="635"/>
      <c r="G358" s="634"/>
      <c r="H358" s="636"/>
      <c r="I358" s="635"/>
      <c r="J358" s="635"/>
      <c r="K358" s="635"/>
      <c r="L358" s="635"/>
      <c r="M358" s="635"/>
      <c r="N358" s="788"/>
      <c r="O358" s="788"/>
      <c r="P358" s="650"/>
      <c r="Q358" s="789"/>
      <c r="R358" s="634"/>
      <c r="S358" s="634"/>
      <c r="T358" s="634"/>
      <c r="U358" s="634"/>
      <c r="V358" s="634"/>
      <c r="W358" s="634"/>
      <c r="X358" s="634"/>
      <c r="Y358" s="634"/>
      <c r="Z358" s="634"/>
    </row>
    <row r="359" ht="15.75" customHeight="1">
      <c r="A359" s="634"/>
      <c r="B359" s="634"/>
      <c r="C359" s="634"/>
      <c r="D359" s="634"/>
      <c r="E359" s="634"/>
      <c r="F359" s="635"/>
      <c r="G359" s="634"/>
      <c r="H359" s="636"/>
      <c r="I359" s="635"/>
      <c r="J359" s="635"/>
      <c r="K359" s="635"/>
      <c r="L359" s="635"/>
      <c r="M359" s="635"/>
      <c r="N359" s="788"/>
      <c r="O359" s="788"/>
      <c r="P359" s="650"/>
      <c r="Q359" s="789"/>
      <c r="R359" s="634"/>
      <c r="S359" s="634"/>
      <c r="T359" s="634"/>
      <c r="U359" s="634"/>
      <c r="V359" s="634"/>
      <c r="W359" s="634"/>
      <c r="X359" s="634"/>
      <c r="Y359" s="634"/>
      <c r="Z359" s="634"/>
    </row>
    <row r="360" ht="15.75" customHeight="1">
      <c r="A360" s="634"/>
      <c r="B360" s="634"/>
      <c r="C360" s="634"/>
      <c r="D360" s="634"/>
      <c r="E360" s="634"/>
      <c r="F360" s="635"/>
      <c r="G360" s="634"/>
      <c r="H360" s="636"/>
      <c r="I360" s="635"/>
      <c r="J360" s="635"/>
      <c r="K360" s="635"/>
      <c r="L360" s="635"/>
      <c r="M360" s="635"/>
      <c r="N360" s="788"/>
      <c r="O360" s="788"/>
      <c r="P360" s="650"/>
      <c r="Q360" s="789"/>
      <c r="R360" s="634"/>
      <c r="S360" s="634"/>
      <c r="T360" s="634"/>
      <c r="U360" s="634"/>
      <c r="V360" s="634"/>
      <c r="W360" s="634"/>
      <c r="X360" s="634"/>
      <c r="Y360" s="634"/>
      <c r="Z360" s="634"/>
    </row>
    <row r="361" ht="15.75" customHeight="1">
      <c r="A361" s="634"/>
      <c r="B361" s="634"/>
      <c r="C361" s="634"/>
      <c r="D361" s="634"/>
      <c r="E361" s="634"/>
      <c r="F361" s="635"/>
      <c r="G361" s="634"/>
      <c r="H361" s="636"/>
      <c r="I361" s="635"/>
      <c r="J361" s="635"/>
      <c r="K361" s="635"/>
      <c r="L361" s="635"/>
      <c r="M361" s="635"/>
      <c r="N361" s="788"/>
      <c r="O361" s="788"/>
      <c r="P361" s="650"/>
      <c r="Q361" s="789"/>
      <c r="R361" s="634"/>
      <c r="S361" s="634"/>
      <c r="T361" s="634"/>
      <c r="U361" s="634"/>
      <c r="V361" s="634"/>
      <c r="W361" s="634"/>
      <c r="X361" s="634"/>
      <c r="Y361" s="634"/>
      <c r="Z361" s="634"/>
    </row>
    <row r="362" ht="15.75" customHeight="1">
      <c r="A362" s="634"/>
      <c r="B362" s="634"/>
      <c r="C362" s="634"/>
      <c r="D362" s="634"/>
      <c r="E362" s="634"/>
      <c r="F362" s="635"/>
      <c r="G362" s="634"/>
      <c r="H362" s="636"/>
      <c r="I362" s="635"/>
      <c r="J362" s="635"/>
      <c r="K362" s="635"/>
      <c r="L362" s="635"/>
      <c r="M362" s="635"/>
      <c r="N362" s="788"/>
      <c r="O362" s="788"/>
      <c r="P362" s="650"/>
      <c r="Q362" s="789"/>
      <c r="R362" s="634"/>
      <c r="S362" s="634"/>
      <c r="T362" s="634"/>
      <c r="U362" s="634"/>
      <c r="V362" s="634"/>
      <c r="W362" s="634"/>
      <c r="X362" s="634"/>
      <c r="Y362" s="634"/>
      <c r="Z362" s="634"/>
    </row>
    <row r="363" ht="15.75" customHeight="1">
      <c r="A363" s="634"/>
      <c r="B363" s="634"/>
      <c r="C363" s="634"/>
      <c r="D363" s="634"/>
      <c r="E363" s="634"/>
      <c r="F363" s="635"/>
      <c r="G363" s="634"/>
      <c r="H363" s="636"/>
      <c r="I363" s="635"/>
      <c r="J363" s="635"/>
      <c r="K363" s="635"/>
      <c r="L363" s="635"/>
      <c r="M363" s="635"/>
      <c r="N363" s="788"/>
      <c r="O363" s="788"/>
      <c r="P363" s="650"/>
      <c r="Q363" s="789"/>
      <c r="R363" s="634"/>
      <c r="S363" s="634"/>
      <c r="T363" s="634"/>
      <c r="U363" s="634"/>
      <c r="V363" s="634"/>
      <c r="W363" s="634"/>
      <c r="X363" s="634"/>
      <c r="Y363" s="634"/>
      <c r="Z363" s="634"/>
    </row>
    <row r="364" ht="15.75" customHeight="1">
      <c r="A364" s="634"/>
      <c r="B364" s="634"/>
      <c r="C364" s="634"/>
      <c r="D364" s="634"/>
      <c r="E364" s="634"/>
      <c r="F364" s="635"/>
      <c r="G364" s="634"/>
      <c r="H364" s="636"/>
      <c r="I364" s="635"/>
      <c r="J364" s="635"/>
      <c r="K364" s="635"/>
      <c r="L364" s="635"/>
      <c r="M364" s="635"/>
      <c r="N364" s="788"/>
      <c r="O364" s="788"/>
      <c r="P364" s="650"/>
      <c r="Q364" s="789"/>
      <c r="R364" s="634"/>
      <c r="S364" s="634"/>
      <c r="T364" s="634"/>
      <c r="U364" s="634"/>
      <c r="V364" s="634"/>
      <c r="W364" s="634"/>
      <c r="X364" s="634"/>
      <c r="Y364" s="634"/>
      <c r="Z364" s="634"/>
    </row>
    <row r="365" ht="15.75" customHeight="1">
      <c r="A365" s="634"/>
      <c r="B365" s="634"/>
      <c r="C365" s="634"/>
      <c r="D365" s="634"/>
      <c r="E365" s="634"/>
      <c r="F365" s="635"/>
      <c r="G365" s="634"/>
      <c r="H365" s="636"/>
      <c r="I365" s="635"/>
      <c r="J365" s="635"/>
      <c r="K365" s="635"/>
      <c r="L365" s="635"/>
      <c r="M365" s="635"/>
      <c r="N365" s="788"/>
      <c r="O365" s="788"/>
      <c r="P365" s="650"/>
      <c r="Q365" s="789"/>
      <c r="R365" s="634"/>
      <c r="S365" s="634"/>
      <c r="T365" s="634"/>
      <c r="U365" s="634"/>
      <c r="V365" s="634"/>
      <c r="W365" s="634"/>
      <c r="X365" s="634"/>
      <c r="Y365" s="634"/>
      <c r="Z365" s="634"/>
    </row>
    <row r="366" ht="15.75" customHeight="1">
      <c r="A366" s="634"/>
      <c r="B366" s="634"/>
      <c r="C366" s="634"/>
      <c r="D366" s="634"/>
      <c r="E366" s="634"/>
      <c r="F366" s="635"/>
      <c r="G366" s="634"/>
      <c r="H366" s="636"/>
      <c r="I366" s="635"/>
      <c r="J366" s="635"/>
      <c r="K366" s="635"/>
      <c r="L366" s="635"/>
      <c r="M366" s="635"/>
      <c r="N366" s="788"/>
      <c r="O366" s="788"/>
      <c r="P366" s="650"/>
      <c r="Q366" s="789"/>
      <c r="R366" s="634"/>
      <c r="S366" s="634"/>
      <c r="T366" s="634"/>
      <c r="U366" s="634"/>
      <c r="V366" s="634"/>
      <c r="W366" s="634"/>
      <c r="X366" s="634"/>
      <c r="Y366" s="634"/>
      <c r="Z366" s="634"/>
    </row>
    <row r="367" ht="15.75" customHeight="1">
      <c r="A367" s="634"/>
      <c r="B367" s="634"/>
      <c r="C367" s="634"/>
      <c r="D367" s="634"/>
      <c r="E367" s="634"/>
      <c r="F367" s="635"/>
      <c r="G367" s="634"/>
      <c r="H367" s="636"/>
      <c r="I367" s="635"/>
      <c r="J367" s="635"/>
      <c r="K367" s="635"/>
      <c r="L367" s="635"/>
      <c r="M367" s="635"/>
      <c r="N367" s="788"/>
      <c r="O367" s="788"/>
      <c r="P367" s="650"/>
      <c r="Q367" s="789"/>
      <c r="R367" s="634"/>
      <c r="S367" s="634"/>
      <c r="T367" s="634"/>
      <c r="U367" s="634"/>
      <c r="V367" s="634"/>
      <c r="W367" s="634"/>
      <c r="X367" s="634"/>
      <c r="Y367" s="634"/>
      <c r="Z367" s="634"/>
    </row>
    <row r="368" ht="15.75" customHeight="1">
      <c r="A368" s="634"/>
      <c r="B368" s="634"/>
      <c r="C368" s="634"/>
      <c r="D368" s="634"/>
      <c r="E368" s="634"/>
      <c r="F368" s="635"/>
      <c r="G368" s="634"/>
      <c r="H368" s="636"/>
      <c r="I368" s="635"/>
      <c r="J368" s="635"/>
      <c r="K368" s="635"/>
      <c r="L368" s="635"/>
      <c r="M368" s="635"/>
      <c r="N368" s="788"/>
      <c r="O368" s="788"/>
      <c r="P368" s="650"/>
      <c r="Q368" s="789"/>
      <c r="R368" s="634"/>
      <c r="S368" s="634"/>
      <c r="T368" s="634"/>
      <c r="U368" s="634"/>
      <c r="V368" s="634"/>
      <c r="W368" s="634"/>
      <c r="X368" s="634"/>
      <c r="Y368" s="634"/>
      <c r="Z368" s="634"/>
    </row>
    <row r="369" ht="15.75" customHeight="1">
      <c r="A369" s="634"/>
      <c r="B369" s="634"/>
      <c r="C369" s="634"/>
      <c r="D369" s="634"/>
      <c r="E369" s="634"/>
      <c r="F369" s="635"/>
      <c r="G369" s="634"/>
      <c r="H369" s="636"/>
      <c r="I369" s="635"/>
      <c r="J369" s="635"/>
      <c r="K369" s="635"/>
      <c r="L369" s="635"/>
      <c r="M369" s="635"/>
      <c r="N369" s="788"/>
      <c r="O369" s="788"/>
      <c r="P369" s="650"/>
      <c r="Q369" s="789"/>
      <c r="R369" s="634"/>
      <c r="S369" s="634"/>
      <c r="T369" s="634"/>
      <c r="U369" s="634"/>
      <c r="V369" s="634"/>
      <c r="W369" s="634"/>
      <c r="X369" s="634"/>
      <c r="Y369" s="634"/>
      <c r="Z369" s="634"/>
    </row>
    <row r="370" ht="15.75" customHeight="1">
      <c r="A370" s="634"/>
      <c r="B370" s="634"/>
      <c r="C370" s="634"/>
      <c r="D370" s="634"/>
      <c r="E370" s="634"/>
      <c r="F370" s="635"/>
      <c r="G370" s="634"/>
      <c r="H370" s="636"/>
      <c r="I370" s="635"/>
      <c r="J370" s="635"/>
      <c r="K370" s="635"/>
      <c r="L370" s="635"/>
      <c r="M370" s="635"/>
      <c r="N370" s="788"/>
      <c r="O370" s="788"/>
      <c r="P370" s="650"/>
      <c r="Q370" s="789"/>
      <c r="R370" s="634"/>
      <c r="S370" s="634"/>
      <c r="T370" s="634"/>
      <c r="U370" s="634"/>
      <c r="V370" s="634"/>
      <c r="W370" s="634"/>
      <c r="X370" s="634"/>
      <c r="Y370" s="634"/>
      <c r="Z370" s="634"/>
    </row>
    <row r="371" ht="15.75" customHeight="1">
      <c r="A371" s="634"/>
      <c r="B371" s="634"/>
      <c r="C371" s="634"/>
      <c r="D371" s="634"/>
      <c r="E371" s="634"/>
      <c r="F371" s="635"/>
      <c r="G371" s="634"/>
      <c r="H371" s="636"/>
      <c r="I371" s="635"/>
      <c r="J371" s="635"/>
      <c r="K371" s="635"/>
      <c r="L371" s="635"/>
      <c r="M371" s="635"/>
      <c r="N371" s="788"/>
      <c r="O371" s="788"/>
      <c r="P371" s="650"/>
      <c r="Q371" s="789"/>
      <c r="R371" s="634"/>
      <c r="S371" s="634"/>
      <c r="T371" s="634"/>
      <c r="U371" s="634"/>
      <c r="V371" s="634"/>
      <c r="W371" s="634"/>
      <c r="X371" s="634"/>
      <c r="Y371" s="634"/>
      <c r="Z371" s="634"/>
    </row>
    <row r="372" ht="15.75" customHeight="1">
      <c r="A372" s="634"/>
      <c r="B372" s="634"/>
      <c r="C372" s="634"/>
      <c r="D372" s="634"/>
      <c r="E372" s="634"/>
      <c r="F372" s="635"/>
      <c r="G372" s="634"/>
      <c r="H372" s="636"/>
      <c r="I372" s="635"/>
      <c r="J372" s="635"/>
      <c r="K372" s="635"/>
      <c r="L372" s="635"/>
      <c r="M372" s="635"/>
      <c r="N372" s="788"/>
      <c r="O372" s="788"/>
      <c r="P372" s="650"/>
      <c r="Q372" s="789"/>
      <c r="R372" s="634"/>
      <c r="S372" s="634"/>
      <c r="T372" s="634"/>
      <c r="U372" s="634"/>
      <c r="V372" s="634"/>
      <c r="W372" s="634"/>
      <c r="X372" s="634"/>
      <c r="Y372" s="634"/>
      <c r="Z372" s="634"/>
    </row>
    <row r="373" ht="15.75" customHeight="1">
      <c r="A373" s="634"/>
      <c r="B373" s="634"/>
      <c r="C373" s="634"/>
      <c r="D373" s="634"/>
      <c r="E373" s="634"/>
      <c r="F373" s="635"/>
      <c r="G373" s="634"/>
      <c r="H373" s="636"/>
      <c r="I373" s="635"/>
      <c r="J373" s="635"/>
      <c r="K373" s="635"/>
      <c r="L373" s="635"/>
      <c r="M373" s="635"/>
      <c r="N373" s="788"/>
      <c r="O373" s="788"/>
      <c r="P373" s="650"/>
      <c r="Q373" s="789"/>
      <c r="R373" s="634"/>
      <c r="S373" s="634"/>
      <c r="T373" s="634"/>
      <c r="U373" s="634"/>
      <c r="V373" s="634"/>
      <c r="W373" s="634"/>
      <c r="X373" s="634"/>
      <c r="Y373" s="634"/>
      <c r="Z373" s="634"/>
    </row>
    <row r="374" ht="15.75" customHeight="1">
      <c r="A374" s="634"/>
      <c r="B374" s="634"/>
      <c r="C374" s="634"/>
      <c r="D374" s="634"/>
      <c r="E374" s="634"/>
      <c r="F374" s="635"/>
      <c r="G374" s="634"/>
      <c r="H374" s="636"/>
      <c r="I374" s="635"/>
      <c r="J374" s="635"/>
      <c r="K374" s="635"/>
      <c r="L374" s="635"/>
      <c r="M374" s="635"/>
      <c r="N374" s="788"/>
      <c r="O374" s="788"/>
      <c r="P374" s="650"/>
      <c r="Q374" s="789"/>
      <c r="R374" s="634"/>
      <c r="S374" s="634"/>
      <c r="T374" s="634"/>
      <c r="U374" s="634"/>
      <c r="V374" s="634"/>
      <c r="W374" s="634"/>
      <c r="X374" s="634"/>
      <c r="Y374" s="634"/>
      <c r="Z374" s="634"/>
    </row>
    <row r="375" ht="15.75" customHeight="1">
      <c r="A375" s="634"/>
      <c r="B375" s="634"/>
      <c r="C375" s="634"/>
      <c r="D375" s="634"/>
      <c r="E375" s="634"/>
      <c r="F375" s="635"/>
      <c r="G375" s="634"/>
      <c r="H375" s="636"/>
      <c r="I375" s="635"/>
      <c r="J375" s="635"/>
      <c r="K375" s="635"/>
      <c r="L375" s="635"/>
      <c r="M375" s="635"/>
      <c r="N375" s="788"/>
      <c r="O375" s="788"/>
      <c r="P375" s="650"/>
      <c r="Q375" s="789"/>
      <c r="R375" s="634"/>
      <c r="S375" s="634"/>
      <c r="T375" s="634"/>
      <c r="U375" s="634"/>
      <c r="V375" s="634"/>
      <c r="W375" s="634"/>
      <c r="X375" s="634"/>
      <c r="Y375" s="634"/>
      <c r="Z375" s="634"/>
    </row>
    <row r="376" ht="15.75" customHeight="1">
      <c r="A376" s="634"/>
      <c r="B376" s="634"/>
      <c r="C376" s="634"/>
      <c r="D376" s="634"/>
      <c r="E376" s="634"/>
      <c r="F376" s="635"/>
      <c r="G376" s="634"/>
      <c r="H376" s="636"/>
      <c r="I376" s="635"/>
      <c r="J376" s="635"/>
      <c r="K376" s="635"/>
      <c r="L376" s="635"/>
      <c r="M376" s="635"/>
      <c r="N376" s="788"/>
      <c r="O376" s="788"/>
      <c r="P376" s="650"/>
      <c r="Q376" s="789"/>
      <c r="R376" s="634"/>
      <c r="S376" s="634"/>
      <c r="T376" s="634"/>
      <c r="U376" s="634"/>
      <c r="V376" s="634"/>
      <c r="W376" s="634"/>
      <c r="X376" s="634"/>
      <c r="Y376" s="634"/>
      <c r="Z376" s="634"/>
    </row>
    <row r="377" ht="15.75" customHeight="1">
      <c r="A377" s="634"/>
      <c r="B377" s="634"/>
      <c r="C377" s="634"/>
      <c r="D377" s="634"/>
      <c r="E377" s="634"/>
      <c r="F377" s="635"/>
      <c r="G377" s="634"/>
      <c r="H377" s="636"/>
      <c r="I377" s="635"/>
      <c r="J377" s="635"/>
      <c r="K377" s="635"/>
      <c r="L377" s="635"/>
      <c r="M377" s="635"/>
      <c r="N377" s="788"/>
      <c r="O377" s="788"/>
      <c r="P377" s="650"/>
      <c r="Q377" s="789"/>
      <c r="R377" s="634"/>
      <c r="S377" s="634"/>
      <c r="T377" s="634"/>
      <c r="U377" s="634"/>
      <c r="V377" s="634"/>
      <c r="W377" s="634"/>
      <c r="X377" s="634"/>
      <c r="Y377" s="634"/>
      <c r="Z377" s="634"/>
    </row>
    <row r="378" ht="15.75" customHeight="1">
      <c r="A378" s="634"/>
      <c r="B378" s="634"/>
      <c r="C378" s="634"/>
      <c r="D378" s="634"/>
      <c r="E378" s="634"/>
      <c r="F378" s="635"/>
      <c r="G378" s="634"/>
      <c r="H378" s="636"/>
      <c r="I378" s="635"/>
      <c r="J378" s="635"/>
      <c r="K378" s="635"/>
      <c r="L378" s="635"/>
      <c r="M378" s="635"/>
      <c r="N378" s="788"/>
      <c r="O378" s="788"/>
      <c r="P378" s="650"/>
      <c r="Q378" s="789"/>
      <c r="R378" s="634"/>
      <c r="S378" s="634"/>
      <c r="T378" s="634"/>
      <c r="U378" s="634"/>
      <c r="V378" s="634"/>
      <c r="W378" s="634"/>
      <c r="X378" s="634"/>
      <c r="Y378" s="634"/>
      <c r="Z378" s="634"/>
    </row>
    <row r="379" ht="15.75" customHeight="1">
      <c r="A379" s="634"/>
      <c r="B379" s="634"/>
      <c r="C379" s="634"/>
      <c r="D379" s="634"/>
      <c r="E379" s="634"/>
      <c r="F379" s="635"/>
      <c r="G379" s="634"/>
      <c r="H379" s="636"/>
      <c r="I379" s="635"/>
      <c r="J379" s="635"/>
      <c r="K379" s="635"/>
      <c r="L379" s="635"/>
      <c r="M379" s="635"/>
      <c r="N379" s="788"/>
      <c r="O379" s="788"/>
      <c r="P379" s="650"/>
      <c r="Q379" s="789"/>
      <c r="R379" s="634"/>
      <c r="S379" s="634"/>
      <c r="T379" s="634"/>
      <c r="U379" s="634"/>
      <c r="V379" s="634"/>
      <c r="W379" s="634"/>
      <c r="X379" s="634"/>
      <c r="Y379" s="634"/>
      <c r="Z379" s="634"/>
    </row>
    <row r="380" ht="15.75" customHeight="1">
      <c r="A380" s="634"/>
      <c r="B380" s="634"/>
      <c r="C380" s="634"/>
      <c r="D380" s="634"/>
      <c r="E380" s="634"/>
      <c r="F380" s="635"/>
      <c r="G380" s="634"/>
      <c r="H380" s="636"/>
      <c r="I380" s="635"/>
      <c r="J380" s="635"/>
      <c r="K380" s="635"/>
      <c r="L380" s="635"/>
      <c r="M380" s="635"/>
      <c r="N380" s="788"/>
      <c r="O380" s="788"/>
      <c r="P380" s="650"/>
      <c r="Q380" s="789"/>
      <c r="R380" s="634"/>
      <c r="S380" s="634"/>
      <c r="T380" s="634"/>
      <c r="U380" s="634"/>
      <c r="V380" s="634"/>
      <c r="W380" s="634"/>
      <c r="X380" s="634"/>
      <c r="Y380" s="634"/>
      <c r="Z380" s="634"/>
    </row>
    <row r="381" ht="15.75" customHeight="1">
      <c r="A381" s="634"/>
      <c r="B381" s="634"/>
      <c r="C381" s="634"/>
      <c r="D381" s="634"/>
      <c r="E381" s="634"/>
      <c r="F381" s="635"/>
      <c r="G381" s="634"/>
      <c r="H381" s="636"/>
      <c r="I381" s="635"/>
      <c r="J381" s="635"/>
      <c r="K381" s="635"/>
      <c r="L381" s="635"/>
      <c r="M381" s="635"/>
      <c r="N381" s="788"/>
      <c r="O381" s="788"/>
      <c r="P381" s="650"/>
      <c r="Q381" s="789"/>
      <c r="R381" s="634"/>
      <c r="S381" s="634"/>
      <c r="T381" s="634"/>
      <c r="U381" s="634"/>
      <c r="V381" s="634"/>
      <c r="W381" s="634"/>
      <c r="X381" s="634"/>
      <c r="Y381" s="634"/>
      <c r="Z381" s="634"/>
    </row>
    <row r="382" ht="15.75" customHeight="1">
      <c r="A382" s="634"/>
      <c r="B382" s="634"/>
      <c r="C382" s="634"/>
      <c r="D382" s="634"/>
      <c r="E382" s="634"/>
      <c r="F382" s="635"/>
      <c r="G382" s="634"/>
      <c r="H382" s="636"/>
      <c r="I382" s="635"/>
      <c r="J382" s="635"/>
      <c r="K382" s="635"/>
      <c r="L382" s="635"/>
      <c r="M382" s="635"/>
      <c r="N382" s="788"/>
      <c r="O382" s="788"/>
      <c r="P382" s="650"/>
      <c r="Q382" s="789"/>
      <c r="R382" s="634"/>
      <c r="S382" s="634"/>
      <c r="T382" s="634"/>
      <c r="U382" s="634"/>
      <c r="V382" s="634"/>
      <c r="W382" s="634"/>
      <c r="X382" s="634"/>
      <c r="Y382" s="634"/>
      <c r="Z382" s="634"/>
    </row>
    <row r="383" ht="15.75" customHeight="1">
      <c r="A383" s="634"/>
      <c r="B383" s="634"/>
      <c r="C383" s="634"/>
      <c r="D383" s="634"/>
      <c r="E383" s="634"/>
      <c r="F383" s="635"/>
      <c r="G383" s="634"/>
      <c r="H383" s="636"/>
      <c r="I383" s="635"/>
      <c r="J383" s="635"/>
      <c r="K383" s="635"/>
      <c r="L383" s="635"/>
      <c r="M383" s="635"/>
      <c r="N383" s="788"/>
      <c r="O383" s="788"/>
      <c r="P383" s="650"/>
      <c r="Q383" s="789"/>
      <c r="R383" s="634"/>
      <c r="S383" s="634"/>
      <c r="T383" s="634"/>
      <c r="U383" s="634"/>
      <c r="V383" s="634"/>
      <c r="W383" s="634"/>
      <c r="X383" s="634"/>
      <c r="Y383" s="634"/>
      <c r="Z383" s="634"/>
    </row>
    <row r="384" ht="15.75" customHeight="1">
      <c r="A384" s="634"/>
      <c r="B384" s="634"/>
      <c r="C384" s="634"/>
      <c r="D384" s="634"/>
      <c r="E384" s="634"/>
      <c r="F384" s="635"/>
      <c r="G384" s="634"/>
      <c r="H384" s="636"/>
      <c r="I384" s="635"/>
      <c r="J384" s="635"/>
      <c r="K384" s="635"/>
      <c r="L384" s="635"/>
      <c r="M384" s="635"/>
      <c r="N384" s="788"/>
      <c r="O384" s="788"/>
      <c r="P384" s="650"/>
      <c r="Q384" s="789"/>
      <c r="R384" s="634"/>
      <c r="S384" s="634"/>
      <c r="T384" s="634"/>
      <c r="U384" s="634"/>
      <c r="V384" s="634"/>
      <c r="W384" s="634"/>
      <c r="X384" s="634"/>
      <c r="Y384" s="634"/>
      <c r="Z384" s="634"/>
    </row>
    <row r="385" ht="15.75" customHeight="1">
      <c r="A385" s="634"/>
      <c r="B385" s="634"/>
      <c r="C385" s="634"/>
      <c r="D385" s="634"/>
      <c r="E385" s="634"/>
      <c r="F385" s="635"/>
      <c r="G385" s="634"/>
      <c r="H385" s="636"/>
      <c r="I385" s="635"/>
      <c r="J385" s="635"/>
      <c r="K385" s="635"/>
      <c r="L385" s="635"/>
      <c r="M385" s="635"/>
      <c r="N385" s="788"/>
      <c r="O385" s="788"/>
      <c r="P385" s="650"/>
      <c r="Q385" s="789"/>
      <c r="R385" s="634"/>
      <c r="S385" s="634"/>
      <c r="T385" s="634"/>
      <c r="U385" s="634"/>
      <c r="V385" s="634"/>
      <c r="W385" s="634"/>
      <c r="X385" s="634"/>
      <c r="Y385" s="634"/>
      <c r="Z385" s="634"/>
    </row>
    <row r="386" ht="15.75" customHeight="1">
      <c r="A386" s="634"/>
      <c r="B386" s="634"/>
      <c r="C386" s="634"/>
      <c r="D386" s="634"/>
      <c r="E386" s="634"/>
      <c r="F386" s="635"/>
      <c r="G386" s="634"/>
      <c r="H386" s="636"/>
      <c r="I386" s="635"/>
      <c r="J386" s="635"/>
      <c r="K386" s="635"/>
      <c r="L386" s="635"/>
      <c r="M386" s="635"/>
      <c r="N386" s="788"/>
      <c r="O386" s="788"/>
      <c r="P386" s="650"/>
      <c r="Q386" s="789"/>
      <c r="R386" s="634"/>
      <c r="S386" s="634"/>
      <c r="T386" s="634"/>
      <c r="U386" s="634"/>
      <c r="V386" s="634"/>
      <c r="W386" s="634"/>
      <c r="X386" s="634"/>
      <c r="Y386" s="634"/>
      <c r="Z386" s="634"/>
    </row>
    <row r="387" ht="15.75" customHeight="1">
      <c r="A387" s="634"/>
      <c r="B387" s="634"/>
      <c r="C387" s="634"/>
      <c r="D387" s="634"/>
      <c r="E387" s="634"/>
      <c r="F387" s="635"/>
      <c r="G387" s="634"/>
      <c r="H387" s="636"/>
      <c r="I387" s="635"/>
      <c r="J387" s="635"/>
      <c r="K387" s="635"/>
      <c r="L387" s="635"/>
      <c r="M387" s="635"/>
      <c r="N387" s="788"/>
      <c r="O387" s="788"/>
      <c r="P387" s="650"/>
      <c r="Q387" s="789"/>
      <c r="R387" s="634"/>
      <c r="S387" s="634"/>
      <c r="T387" s="634"/>
      <c r="U387" s="634"/>
      <c r="V387" s="634"/>
      <c r="W387" s="634"/>
      <c r="X387" s="634"/>
      <c r="Y387" s="634"/>
      <c r="Z387" s="634"/>
    </row>
    <row r="388" ht="15.75" customHeight="1">
      <c r="A388" s="634"/>
      <c r="B388" s="634"/>
      <c r="C388" s="634"/>
      <c r="D388" s="634"/>
      <c r="E388" s="634"/>
      <c r="F388" s="635"/>
      <c r="G388" s="634"/>
      <c r="H388" s="636"/>
      <c r="I388" s="635"/>
      <c r="J388" s="635"/>
      <c r="K388" s="635"/>
      <c r="L388" s="635"/>
      <c r="M388" s="635"/>
      <c r="N388" s="788"/>
      <c r="O388" s="788"/>
      <c r="P388" s="650"/>
      <c r="Q388" s="789"/>
      <c r="R388" s="634"/>
      <c r="S388" s="634"/>
      <c r="T388" s="634"/>
      <c r="U388" s="634"/>
      <c r="V388" s="634"/>
      <c r="W388" s="634"/>
      <c r="X388" s="634"/>
      <c r="Y388" s="634"/>
      <c r="Z388" s="634"/>
    </row>
    <row r="389" ht="15.75" customHeight="1">
      <c r="A389" s="634"/>
      <c r="B389" s="634"/>
      <c r="C389" s="634"/>
      <c r="D389" s="634"/>
      <c r="E389" s="634"/>
      <c r="F389" s="635"/>
      <c r="G389" s="634"/>
      <c r="H389" s="636"/>
      <c r="I389" s="635"/>
      <c r="J389" s="635"/>
      <c r="K389" s="635"/>
      <c r="L389" s="635"/>
      <c r="M389" s="635"/>
      <c r="N389" s="788"/>
      <c r="O389" s="788"/>
      <c r="P389" s="650"/>
      <c r="Q389" s="789"/>
      <c r="R389" s="634"/>
      <c r="S389" s="634"/>
      <c r="T389" s="634"/>
      <c r="U389" s="634"/>
      <c r="V389" s="634"/>
      <c r="W389" s="634"/>
      <c r="X389" s="634"/>
      <c r="Y389" s="634"/>
      <c r="Z389" s="634"/>
    </row>
    <row r="390" ht="15.75" customHeight="1">
      <c r="A390" s="634"/>
      <c r="B390" s="634"/>
      <c r="C390" s="634"/>
      <c r="D390" s="634"/>
      <c r="E390" s="634"/>
      <c r="F390" s="635"/>
      <c r="G390" s="634"/>
      <c r="H390" s="636"/>
      <c r="I390" s="635"/>
      <c r="J390" s="635"/>
      <c r="K390" s="635"/>
      <c r="L390" s="635"/>
      <c r="M390" s="635"/>
      <c r="N390" s="788"/>
      <c r="O390" s="788"/>
      <c r="P390" s="650"/>
      <c r="Q390" s="789"/>
      <c r="R390" s="634"/>
      <c r="S390" s="634"/>
      <c r="T390" s="634"/>
      <c r="U390" s="634"/>
      <c r="V390" s="634"/>
      <c r="W390" s="634"/>
      <c r="X390" s="634"/>
      <c r="Y390" s="634"/>
      <c r="Z390" s="634"/>
    </row>
    <row r="391" ht="15.75" customHeight="1">
      <c r="A391" s="634"/>
      <c r="B391" s="634"/>
      <c r="C391" s="634"/>
      <c r="D391" s="634"/>
      <c r="E391" s="634"/>
      <c r="F391" s="635"/>
      <c r="G391" s="634"/>
      <c r="H391" s="636"/>
      <c r="I391" s="635"/>
      <c r="J391" s="635"/>
      <c r="K391" s="635"/>
      <c r="L391" s="635"/>
      <c r="M391" s="635"/>
      <c r="N391" s="788"/>
      <c r="O391" s="788"/>
      <c r="P391" s="650"/>
      <c r="Q391" s="789"/>
      <c r="R391" s="634"/>
      <c r="S391" s="634"/>
      <c r="T391" s="634"/>
      <c r="U391" s="634"/>
      <c r="V391" s="634"/>
      <c r="W391" s="634"/>
      <c r="X391" s="634"/>
      <c r="Y391" s="634"/>
      <c r="Z391" s="634"/>
    </row>
    <row r="392" ht="15.75" customHeight="1">
      <c r="A392" s="634"/>
      <c r="B392" s="634"/>
      <c r="C392" s="634"/>
      <c r="D392" s="634"/>
      <c r="E392" s="634"/>
      <c r="F392" s="635"/>
      <c r="G392" s="634"/>
      <c r="H392" s="636"/>
      <c r="I392" s="635"/>
      <c r="J392" s="635"/>
      <c r="K392" s="635"/>
      <c r="L392" s="635"/>
      <c r="M392" s="635"/>
      <c r="N392" s="788"/>
      <c r="O392" s="788"/>
      <c r="P392" s="650"/>
      <c r="Q392" s="789"/>
      <c r="R392" s="634"/>
      <c r="S392" s="634"/>
      <c r="T392" s="634"/>
      <c r="U392" s="634"/>
      <c r="V392" s="634"/>
      <c r="W392" s="634"/>
      <c r="X392" s="634"/>
      <c r="Y392" s="634"/>
      <c r="Z392" s="634"/>
    </row>
    <row r="393" ht="15.75" customHeight="1">
      <c r="A393" s="634"/>
      <c r="B393" s="634"/>
      <c r="C393" s="634"/>
      <c r="D393" s="634"/>
      <c r="E393" s="634"/>
      <c r="F393" s="635"/>
      <c r="G393" s="634"/>
      <c r="H393" s="636"/>
      <c r="I393" s="635"/>
      <c r="J393" s="635"/>
      <c r="K393" s="635"/>
      <c r="L393" s="635"/>
      <c r="M393" s="635"/>
      <c r="N393" s="788"/>
      <c r="O393" s="788"/>
      <c r="P393" s="650"/>
      <c r="Q393" s="789"/>
      <c r="R393" s="634"/>
      <c r="S393" s="634"/>
      <c r="T393" s="634"/>
      <c r="U393" s="634"/>
      <c r="V393" s="634"/>
      <c r="W393" s="634"/>
      <c r="X393" s="634"/>
      <c r="Y393" s="634"/>
      <c r="Z393" s="634"/>
    </row>
    <row r="394" ht="15.75" customHeight="1">
      <c r="A394" s="634"/>
      <c r="B394" s="634"/>
      <c r="C394" s="634"/>
      <c r="D394" s="634"/>
      <c r="E394" s="634"/>
      <c r="F394" s="635"/>
      <c r="G394" s="634"/>
      <c r="H394" s="636"/>
      <c r="I394" s="635"/>
      <c r="J394" s="635"/>
      <c r="K394" s="635"/>
      <c r="L394" s="635"/>
      <c r="M394" s="635"/>
      <c r="N394" s="788"/>
      <c r="O394" s="788"/>
      <c r="P394" s="650"/>
      <c r="Q394" s="789"/>
      <c r="R394" s="634"/>
      <c r="S394" s="634"/>
      <c r="T394" s="634"/>
      <c r="U394" s="634"/>
      <c r="V394" s="634"/>
      <c r="W394" s="634"/>
      <c r="X394" s="634"/>
      <c r="Y394" s="634"/>
      <c r="Z394" s="634"/>
    </row>
    <row r="395" ht="15.75" customHeight="1">
      <c r="A395" s="634"/>
      <c r="B395" s="634"/>
      <c r="C395" s="634"/>
      <c r="D395" s="634"/>
      <c r="E395" s="634"/>
      <c r="F395" s="635"/>
      <c r="G395" s="634"/>
      <c r="H395" s="636"/>
      <c r="I395" s="635"/>
      <c r="J395" s="635"/>
      <c r="K395" s="635"/>
      <c r="L395" s="635"/>
      <c r="M395" s="635"/>
      <c r="N395" s="788"/>
      <c r="O395" s="788"/>
      <c r="P395" s="650"/>
      <c r="Q395" s="789"/>
      <c r="R395" s="634"/>
      <c r="S395" s="634"/>
      <c r="T395" s="634"/>
      <c r="U395" s="634"/>
      <c r="V395" s="634"/>
      <c r="W395" s="634"/>
      <c r="X395" s="634"/>
      <c r="Y395" s="634"/>
      <c r="Z395" s="634"/>
    </row>
    <row r="396" ht="15.75" customHeight="1">
      <c r="A396" s="634"/>
      <c r="B396" s="634"/>
      <c r="C396" s="634"/>
      <c r="D396" s="634"/>
      <c r="E396" s="634"/>
      <c r="F396" s="635"/>
      <c r="G396" s="634"/>
      <c r="H396" s="636"/>
      <c r="I396" s="635"/>
      <c r="J396" s="635"/>
      <c r="K396" s="635"/>
      <c r="L396" s="635"/>
      <c r="M396" s="635"/>
      <c r="N396" s="788"/>
      <c r="O396" s="788"/>
      <c r="P396" s="650"/>
      <c r="Q396" s="789"/>
      <c r="R396" s="634"/>
      <c r="S396" s="634"/>
      <c r="T396" s="634"/>
      <c r="U396" s="634"/>
      <c r="V396" s="634"/>
      <c r="W396" s="634"/>
      <c r="X396" s="634"/>
      <c r="Y396" s="634"/>
      <c r="Z396" s="634"/>
    </row>
    <row r="397" ht="15.75" customHeight="1">
      <c r="A397" s="634"/>
      <c r="B397" s="634"/>
      <c r="C397" s="634"/>
      <c r="D397" s="634"/>
      <c r="E397" s="634"/>
      <c r="F397" s="635"/>
      <c r="G397" s="634"/>
      <c r="H397" s="636"/>
      <c r="I397" s="635"/>
      <c r="J397" s="635"/>
      <c r="K397" s="635"/>
      <c r="L397" s="635"/>
      <c r="M397" s="635"/>
      <c r="N397" s="788"/>
      <c r="O397" s="788"/>
      <c r="P397" s="650"/>
      <c r="Q397" s="789"/>
      <c r="R397" s="634"/>
      <c r="S397" s="634"/>
      <c r="T397" s="634"/>
      <c r="U397" s="634"/>
      <c r="V397" s="634"/>
      <c r="W397" s="634"/>
      <c r="X397" s="634"/>
      <c r="Y397" s="634"/>
      <c r="Z397" s="634"/>
    </row>
    <row r="398" ht="15.75" customHeight="1">
      <c r="A398" s="634"/>
      <c r="B398" s="634"/>
      <c r="C398" s="634"/>
      <c r="D398" s="634"/>
      <c r="E398" s="634"/>
      <c r="F398" s="635"/>
      <c r="G398" s="634"/>
      <c r="H398" s="636"/>
      <c r="I398" s="635"/>
      <c r="J398" s="635"/>
      <c r="K398" s="635"/>
      <c r="L398" s="635"/>
      <c r="M398" s="635"/>
      <c r="N398" s="788"/>
      <c r="O398" s="788"/>
      <c r="P398" s="650"/>
      <c r="Q398" s="789"/>
      <c r="R398" s="634"/>
      <c r="S398" s="634"/>
      <c r="T398" s="634"/>
      <c r="U398" s="634"/>
      <c r="V398" s="634"/>
      <c r="W398" s="634"/>
      <c r="X398" s="634"/>
      <c r="Y398" s="634"/>
      <c r="Z398" s="634"/>
    </row>
    <row r="399" ht="15.75" customHeight="1">
      <c r="A399" s="634"/>
      <c r="B399" s="634"/>
      <c r="C399" s="634"/>
      <c r="D399" s="634"/>
      <c r="E399" s="634"/>
      <c r="F399" s="635"/>
      <c r="G399" s="634"/>
      <c r="H399" s="636"/>
      <c r="I399" s="635"/>
      <c r="J399" s="635"/>
      <c r="K399" s="635"/>
      <c r="L399" s="635"/>
      <c r="M399" s="635"/>
      <c r="N399" s="788"/>
      <c r="O399" s="788"/>
      <c r="P399" s="650"/>
      <c r="Q399" s="789"/>
      <c r="R399" s="634"/>
      <c r="S399" s="634"/>
      <c r="T399" s="634"/>
      <c r="U399" s="634"/>
      <c r="V399" s="634"/>
      <c r="W399" s="634"/>
      <c r="X399" s="634"/>
      <c r="Y399" s="634"/>
      <c r="Z399" s="634"/>
    </row>
    <row r="400" ht="15.75" customHeight="1">
      <c r="A400" s="634"/>
      <c r="B400" s="634"/>
      <c r="C400" s="634"/>
      <c r="D400" s="634"/>
      <c r="E400" s="634"/>
      <c r="F400" s="635"/>
      <c r="G400" s="634"/>
      <c r="H400" s="636"/>
      <c r="I400" s="635"/>
      <c r="J400" s="635"/>
      <c r="K400" s="635"/>
      <c r="L400" s="635"/>
      <c r="M400" s="635"/>
      <c r="N400" s="788"/>
      <c r="O400" s="788"/>
      <c r="P400" s="650"/>
      <c r="Q400" s="789"/>
      <c r="R400" s="634"/>
      <c r="S400" s="634"/>
      <c r="T400" s="634"/>
      <c r="U400" s="634"/>
      <c r="V400" s="634"/>
      <c r="W400" s="634"/>
      <c r="X400" s="634"/>
      <c r="Y400" s="634"/>
      <c r="Z400" s="634"/>
    </row>
    <row r="401" ht="15.75" customHeight="1">
      <c r="A401" s="634"/>
      <c r="B401" s="634"/>
      <c r="C401" s="634"/>
      <c r="D401" s="634"/>
      <c r="E401" s="634"/>
      <c r="F401" s="635"/>
      <c r="G401" s="634"/>
      <c r="H401" s="636"/>
      <c r="I401" s="635"/>
      <c r="J401" s="635"/>
      <c r="K401" s="635"/>
      <c r="L401" s="635"/>
      <c r="M401" s="635"/>
      <c r="N401" s="788"/>
      <c r="O401" s="788"/>
      <c r="P401" s="650"/>
      <c r="Q401" s="789"/>
      <c r="R401" s="634"/>
      <c r="S401" s="634"/>
      <c r="T401" s="634"/>
      <c r="U401" s="634"/>
      <c r="V401" s="634"/>
      <c r="W401" s="634"/>
      <c r="X401" s="634"/>
      <c r="Y401" s="634"/>
      <c r="Z401" s="634"/>
    </row>
    <row r="402" ht="15.75" customHeight="1">
      <c r="A402" s="634"/>
      <c r="B402" s="634"/>
      <c r="C402" s="634"/>
      <c r="D402" s="634"/>
      <c r="E402" s="634"/>
      <c r="F402" s="635"/>
      <c r="G402" s="634"/>
      <c r="H402" s="636"/>
      <c r="I402" s="635"/>
      <c r="J402" s="635"/>
      <c r="K402" s="635"/>
      <c r="L402" s="635"/>
      <c r="M402" s="635"/>
      <c r="N402" s="788"/>
      <c r="O402" s="788"/>
      <c r="P402" s="650"/>
      <c r="Q402" s="789"/>
      <c r="R402" s="634"/>
      <c r="S402" s="634"/>
      <c r="T402" s="634"/>
      <c r="U402" s="634"/>
      <c r="V402" s="634"/>
      <c r="W402" s="634"/>
      <c r="X402" s="634"/>
      <c r="Y402" s="634"/>
      <c r="Z402" s="634"/>
    </row>
    <row r="403" ht="15.75" customHeight="1">
      <c r="A403" s="634"/>
      <c r="B403" s="634"/>
      <c r="C403" s="634"/>
      <c r="D403" s="634"/>
      <c r="E403" s="634"/>
      <c r="F403" s="635"/>
      <c r="G403" s="634"/>
      <c r="H403" s="636"/>
      <c r="I403" s="635"/>
      <c r="J403" s="635"/>
      <c r="K403" s="635"/>
      <c r="L403" s="635"/>
      <c r="M403" s="635"/>
      <c r="N403" s="788"/>
      <c r="O403" s="788"/>
      <c r="P403" s="650"/>
      <c r="Q403" s="789"/>
      <c r="R403" s="634"/>
      <c r="S403" s="634"/>
      <c r="T403" s="634"/>
      <c r="U403" s="634"/>
      <c r="V403" s="634"/>
      <c r="W403" s="634"/>
      <c r="X403" s="634"/>
      <c r="Y403" s="634"/>
      <c r="Z403" s="634"/>
    </row>
    <row r="404" ht="15.75" customHeight="1">
      <c r="A404" s="634"/>
      <c r="B404" s="634"/>
      <c r="C404" s="634"/>
      <c r="D404" s="634"/>
      <c r="E404" s="634"/>
      <c r="F404" s="635"/>
      <c r="G404" s="634"/>
      <c r="H404" s="636"/>
      <c r="I404" s="635"/>
      <c r="J404" s="635"/>
      <c r="K404" s="635"/>
      <c r="L404" s="635"/>
      <c r="M404" s="635"/>
      <c r="N404" s="788"/>
      <c r="O404" s="788"/>
      <c r="P404" s="650"/>
      <c r="Q404" s="789"/>
      <c r="R404" s="634"/>
      <c r="S404" s="634"/>
      <c r="T404" s="634"/>
      <c r="U404" s="634"/>
      <c r="V404" s="634"/>
      <c r="W404" s="634"/>
      <c r="X404" s="634"/>
      <c r="Y404" s="634"/>
      <c r="Z404" s="634"/>
    </row>
    <row r="405" ht="15.75" customHeight="1">
      <c r="A405" s="634"/>
      <c r="B405" s="634"/>
      <c r="C405" s="634"/>
      <c r="D405" s="634"/>
      <c r="E405" s="634"/>
      <c r="F405" s="635"/>
      <c r="G405" s="634"/>
      <c r="H405" s="636"/>
      <c r="I405" s="635"/>
      <c r="J405" s="635"/>
      <c r="K405" s="635"/>
      <c r="L405" s="635"/>
      <c r="M405" s="635"/>
      <c r="N405" s="788"/>
      <c r="O405" s="788"/>
      <c r="P405" s="650"/>
      <c r="Q405" s="789"/>
      <c r="R405" s="634"/>
      <c r="S405" s="634"/>
      <c r="T405" s="634"/>
      <c r="U405" s="634"/>
      <c r="V405" s="634"/>
      <c r="W405" s="634"/>
      <c r="X405" s="634"/>
      <c r="Y405" s="634"/>
      <c r="Z405" s="634"/>
    </row>
    <row r="406" ht="15.75" customHeight="1">
      <c r="A406" s="634"/>
      <c r="B406" s="634"/>
      <c r="C406" s="634"/>
      <c r="D406" s="634"/>
      <c r="E406" s="634"/>
      <c r="F406" s="635"/>
      <c r="G406" s="634"/>
      <c r="H406" s="636"/>
      <c r="I406" s="635"/>
      <c r="J406" s="635"/>
      <c r="K406" s="635"/>
      <c r="L406" s="635"/>
      <c r="M406" s="635"/>
      <c r="N406" s="788"/>
      <c r="O406" s="788"/>
      <c r="P406" s="650"/>
      <c r="Q406" s="789"/>
      <c r="R406" s="634"/>
      <c r="S406" s="634"/>
      <c r="T406" s="634"/>
      <c r="U406" s="634"/>
      <c r="V406" s="634"/>
      <c r="W406" s="634"/>
      <c r="X406" s="634"/>
      <c r="Y406" s="634"/>
      <c r="Z406" s="634"/>
    </row>
    <row r="407" ht="15.75" customHeight="1">
      <c r="A407" s="634"/>
      <c r="B407" s="634"/>
      <c r="C407" s="634"/>
      <c r="D407" s="634"/>
      <c r="E407" s="634"/>
      <c r="F407" s="635"/>
      <c r="G407" s="634"/>
      <c r="H407" s="636"/>
      <c r="I407" s="635"/>
      <c r="J407" s="635"/>
      <c r="K407" s="635"/>
      <c r="L407" s="635"/>
      <c r="M407" s="635"/>
      <c r="N407" s="788"/>
      <c r="O407" s="788"/>
      <c r="P407" s="650"/>
      <c r="Q407" s="789"/>
      <c r="R407" s="634"/>
      <c r="S407" s="634"/>
      <c r="T407" s="634"/>
      <c r="U407" s="634"/>
      <c r="V407" s="634"/>
      <c r="W407" s="634"/>
      <c r="X407" s="634"/>
      <c r="Y407" s="634"/>
      <c r="Z407" s="634"/>
    </row>
    <row r="408" ht="15.75" customHeight="1">
      <c r="A408" s="634"/>
      <c r="B408" s="634"/>
      <c r="C408" s="634"/>
      <c r="D408" s="634"/>
      <c r="E408" s="634"/>
      <c r="F408" s="635"/>
      <c r="G408" s="634"/>
      <c r="H408" s="636"/>
      <c r="I408" s="635"/>
      <c r="J408" s="635"/>
      <c r="K408" s="635"/>
      <c r="L408" s="635"/>
      <c r="M408" s="635"/>
      <c r="N408" s="788"/>
      <c r="O408" s="788"/>
      <c r="P408" s="650"/>
      <c r="Q408" s="789"/>
      <c r="R408" s="634"/>
      <c r="S408" s="634"/>
      <c r="T408" s="634"/>
      <c r="U408" s="634"/>
      <c r="V408" s="634"/>
      <c r="W408" s="634"/>
      <c r="X408" s="634"/>
      <c r="Y408" s="634"/>
      <c r="Z408" s="634"/>
    </row>
    <row r="409" ht="15.75" customHeight="1">
      <c r="A409" s="634"/>
      <c r="B409" s="634"/>
      <c r="C409" s="634"/>
      <c r="D409" s="634"/>
      <c r="E409" s="634"/>
      <c r="F409" s="635"/>
      <c r="G409" s="634"/>
      <c r="H409" s="636"/>
      <c r="I409" s="635"/>
      <c r="J409" s="635"/>
      <c r="K409" s="635"/>
      <c r="L409" s="635"/>
      <c r="M409" s="635"/>
      <c r="N409" s="788"/>
      <c r="O409" s="788"/>
      <c r="P409" s="650"/>
      <c r="Q409" s="789"/>
      <c r="R409" s="634"/>
      <c r="S409" s="634"/>
      <c r="T409" s="634"/>
      <c r="U409" s="634"/>
      <c r="V409" s="634"/>
      <c r="W409" s="634"/>
      <c r="X409" s="634"/>
      <c r="Y409" s="634"/>
      <c r="Z409" s="634"/>
    </row>
    <row r="410" ht="15.75" customHeight="1">
      <c r="A410" s="634"/>
      <c r="B410" s="634"/>
      <c r="C410" s="634"/>
      <c r="D410" s="634"/>
      <c r="E410" s="634"/>
      <c r="F410" s="635"/>
      <c r="G410" s="634"/>
      <c r="H410" s="636"/>
      <c r="I410" s="635"/>
      <c r="J410" s="635"/>
      <c r="K410" s="635"/>
      <c r="L410" s="635"/>
      <c r="M410" s="635"/>
      <c r="N410" s="788"/>
      <c r="O410" s="788"/>
      <c r="P410" s="650"/>
      <c r="Q410" s="789"/>
      <c r="R410" s="634"/>
      <c r="S410" s="634"/>
      <c r="T410" s="634"/>
      <c r="U410" s="634"/>
      <c r="V410" s="634"/>
      <c r="W410" s="634"/>
      <c r="X410" s="634"/>
      <c r="Y410" s="634"/>
      <c r="Z410" s="634"/>
    </row>
    <row r="411" ht="15.75" customHeight="1">
      <c r="A411" s="634"/>
      <c r="B411" s="634"/>
      <c r="C411" s="634"/>
      <c r="D411" s="634"/>
      <c r="E411" s="634"/>
      <c r="F411" s="635"/>
      <c r="G411" s="634"/>
      <c r="H411" s="636"/>
      <c r="I411" s="635"/>
      <c r="J411" s="635"/>
      <c r="K411" s="635"/>
      <c r="L411" s="635"/>
      <c r="M411" s="635"/>
      <c r="N411" s="788"/>
      <c r="O411" s="788"/>
      <c r="P411" s="650"/>
      <c r="Q411" s="789"/>
      <c r="R411" s="634"/>
      <c r="S411" s="634"/>
      <c r="T411" s="634"/>
      <c r="U411" s="634"/>
      <c r="V411" s="634"/>
      <c r="W411" s="634"/>
      <c r="X411" s="634"/>
      <c r="Y411" s="634"/>
      <c r="Z411" s="634"/>
    </row>
    <row r="412" ht="15.75" customHeight="1">
      <c r="A412" s="634"/>
      <c r="B412" s="634"/>
      <c r="C412" s="634"/>
      <c r="D412" s="634"/>
      <c r="E412" s="634"/>
      <c r="F412" s="635"/>
      <c r="G412" s="634"/>
      <c r="H412" s="636"/>
      <c r="I412" s="635"/>
      <c r="J412" s="635"/>
      <c r="K412" s="635"/>
      <c r="L412" s="635"/>
      <c r="M412" s="635"/>
      <c r="N412" s="788"/>
      <c r="O412" s="788"/>
      <c r="P412" s="650"/>
      <c r="Q412" s="789"/>
      <c r="R412" s="634"/>
      <c r="S412" s="634"/>
      <c r="T412" s="634"/>
      <c r="U412" s="634"/>
      <c r="V412" s="634"/>
      <c r="W412" s="634"/>
      <c r="X412" s="634"/>
      <c r="Y412" s="634"/>
      <c r="Z412" s="634"/>
    </row>
    <row r="413" ht="15.75" customHeight="1">
      <c r="A413" s="634"/>
      <c r="B413" s="634"/>
      <c r="C413" s="634"/>
      <c r="D413" s="634"/>
      <c r="E413" s="634"/>
      <c r="F413" s="635"/>
      <c r="G413" s="634"/>
      <c r="H413" s="636"/>
      <c r="I413" s="635"/>
      <c r="J413" s="635"/>
      <c r="K413" s="635"/>
      <c r="L413" s="635"/>
      <c r="M413" s="635"/>
      <c r="N413" s="788"/>
      <c r="O413" s="788"/>
      <c r="P413" s="650"/>
      <c r="Q413" s="789"/>
      <c r="R413" s="634"/>
      <c r="S413" s="634"/>
      <c r="T413" s="634"/>
      <c r="U413" s="634"/>
      <c r="V413" s="634"/>
      <c r="W413" s="634"/>
      <c r="X413" s="634"/>
      <c r="Y413" s="634"/>
      <c r="Z413" s="634"/>
    </row>
    <row r="414" ht="15.75" customHeight="1">
      <c r="A414" s="634"/>
      <c r="B414" s="634"/>
      <c r="C414" s="634"/>
      <c r="D414" s="634"/>
      <c r="E414" s="634"/>
      <c r="F414" s="635"/>
      <c r="G414" s="634"/>
      <c r="H414" s="636"/>
      <c r="I414" s="635"/>
      <c r="J414" s="635"/>
      <c r="K414" s="635"/>
      <c r="L414" s="635"/>
      <c r="M414" s="635"/>
      <c r="N414" s="788"/>
      <c r="O414" s="788"/>
      <c r="P414" s="650"/>
      <c r="Q414" s="789"/>
      <c r="R414" s="634"/>
      <c r="S414" s="634"/>
      <c r="T414" s="634"/>
      <c r="U414" s="634"/>
      <c r="V414" s="634"/>
      <c r="W414" s="634"/>
      <c r="X414" s="634"/>
      <c r="Y414" s="634"/>
      <c r="Z414" s="634"/>
    </row>
    <row r="415" ht="15.75" customHeight="1">
      <c r="A415" s="634"/>
      <c r="B415" s="634"/>
      <c r="C415" s="634"/>
      <c r="D415" s="634"/>
      <c r="E415" s="634"/>
      <c r="F415" s="635"/>
      <c r="G415" s="634"/>
      <c r="H415" s="636"/>
      <c r="I415" s="635"/>
      <c r="J415" s="635"/>
      <c r="K415" s="635"/>
      <c r="L415" s="635"/>
      <c r="M415" s="635"/>
      <c r="N415" s="788"/>
      <c r="O415" s="788"/>
      <c r="P415" s="650"/>
      <c r="Q415" s="789"/>
      <c r="R415" s="634"/>
      <c r="S415" s="634"/>
      <c r="T415" s="634"/>
      <c r="U415" s="634"/>
      <c r="V415" s="634"/>
      <c r="W415" s="634"/>
      <c r="X415" s="634"/>
      <c r="Y415" s="634"/>
      <c r="Z415" s="634"/>
    </row>
    <row r="416" ht="15.75" customHeight="1">
      <c r="A416" s="634"/>
      <c r="B416" s="634"/>
      <c r="C416" s="634"/>
      <c r="D416" s="634"/>
      <c r="E416" s="634"/>
      <c r="F416" s="635"/>
      <c r="G416" s="634"/>
      <c r="H416" s="636"/>
      <c r="I416" s="635"/>
      <c r="J416" s="635"/>
      <c r="K416" s="635"/>
      <c r="L416" s="635"/>
      <c r="M416" s="635"/>
      <c r="N416" s="788"/>
      <c r="O416" s="788"/>
      <c r="P416" s="650"/>
      <c r="Q416" s="789"/>
      <c r="R416" s="634"/>
      <c r="S416" s="634"/>
      <c r="T416" s="634"/>
      <c r="U416" s="634"/>
      <c r="V416" s="634"/>
      <c r="W416" s="634"/>
      <c r="X416" s="634"/>
      <c r="Y416" s="634"/>
      <c r="Z416" s="634"/>
    </row>
    <row r="417" ht="15.75" customHeight="1">
      <c r="A417" s="634"/>
      <c r="B417" s="634"/>
      <c r="C417" s="634"/>
      <c r="D417" s="634"/>
      <c r="E417" s="634"/>
      <c r="F417" s="635"/>
      <c r="G417" s="634"/>
      <c r="H417" s="636"/>
      <c r="I417" s="635"/>
      <c r="J417" s="635"/>
      <c r="K417" s="635"/>
      <c r="L417" s="635"/>
      <c r="M417" s="635"/>
      <c r="N417" s="788"/>
      <c r="O417" s="788"/>
      <c r="P417" s="650"/>
      <c r="Q417" s="789"/>
      <c r="R417" s="634"/>
      <c r="S417" s="634"/>
      <c r="T417" s="634"/>
      <c r="U417" s="634"/>
      <c r="V417" s="634"/>
      <c r="W417" s="634"/>
      <c r="X417" s="634"/>
      <c r="Y417" s="634"/>
      <c r="Z417" s="634"/>
    </row>
    <row r="418" ht="15.75" customHeight="1">
      <c r="A418" s="634"/>
      <c r="B418" s="634"/>
      <c r="C418" s="634"/>
      <c r="D418" s="634"/>
      <c r="E418" s="634"/>
      <c r="F418" s="635"/>
      <c r="G418" s="634"/>
      <c r="H418" s="636"/>
      <c r="I418" s="635"/>
      <c r="J418" s="635"/>
      <c r="K418" s="635"/>
      <c r="L418" s="635"/>
      <c r="M418" s="635"/>
      <c r="N418" s="788"/>
      <c r="O418" s="788"/>
      <c r="P418" s="650"/>
      <c r="Q418" s="789"/>
      <c r="R418" s="634"/>
      <c r="S418" s="634"/>
      <c r="T418" s="634"/>
      <c r="U418" s="634"/>
      <c r="V418" s="634"/>
      <c r="W418" s="634"/>
      <c r="X418" s="634"/>
      <c r="Y418" s="634"/>
      <c r="Z418" s="634"/>
    </row>
    <row r="419" ht="15.75" customHeight="1">
      <c r="A419" s="634"/>
      <c r="B419" s="634"/>
      <c r="C419" s="634"/>
      <c r="D419" s="634"/>
      <c r="E419" s="634"/>
      <c r="F419" s="635"/>
      <c r="G419" s="634"/>
      <c r="H419" s="636"/>
      <c r="I419" s="635"/>
      <c r="J419" s="635"/>
      <c r="K419" s="635"/>
      <c r="L419" s="635"/>
      <c r="M419" s="635"/>
      <c r="N419" s="788"/>
      <c r="O419" s="788"/>
      <c r="P419" s="650"/>
      <c r="Q419" s="789"/>
      <c r="R419" s="634"/>
      <c r="S419" s="634"/>
      <c r="T419" s="634"/>
      <c r="U419" s="634"/>
      <c r="V419" s="634"/>
      <c r="W419" s="634"/>
      <c r="X419" s="634"/>
      <c r="Y419" s="634"/>
      <c r="Z419" s="634"/>
    </row>
    <row r="420" ht="15.75" customHeight="1">
      <c r="A420" s="634"/>
      <c r="B420" s="634"/>
      <c r="C420" s="634"/>
      <c r="D420" s="634"/>
      <c r="E420" s="634"/>
      <c r="F420" s="635"/>
      <c r="G420" s="634"/>
      <c r="H420" s="636"/>
      <c r="I420" s="635"/>
      <c r="J420" s="635"/>
      <c r="K420" s="635"/>
      <c r="L420" s="635"/>
      <c r="M420" s="635"/>
      <c r="N420" s="788"/>
      <c r="O420" s="788"/>
      <c r="P420" s="650"/>
      <c r="Q420" s="789"/>
      <c r="R420" s="634"/>
      <c r="S420" s="634"/>
      <c r="T420" s="634"/>
      <c r="U420" s="634"/>
      <c r="V420" s="634"/>
      <c r="W420" s="634"/>
      <c r="X420" s="634"/>
      <c r="Y420" s="634"/>
      <c r="Z420" s="634"/>
    </row>
    <row r="421" ht="15.75" customHeight="1">
      <c r="A421" s="634"/>
      <c r="B421" s="634"/>
      <c r="C421" s="634"/>
      <c r="D421" s="634"/>
      <c r="E421" s="634"/>
      <c r="F421" s="635"/>
      <c r="G421" s="634"/>
      <c r="H421" s="636"/>
      <c r="I421" s="635"/>
      <c r="J421" s="635"/>
      <c r="K421" s="635"/>
      <c r="L421" s="635"/>
      <c r="M421" s="635"/>
      <c r="N421" s="788"/>
      <c r="O421" s="788"/>
      <c r="P421" s="650"/>
      <c r="Q421" s="789"/>
      <c r="R421" s="634"/>
      <c r="S421" s="634"/>
      <c r="T421" s="634"/>
      <c r="U421" s="634"/>
      <c r="V421" s="634"/>
      <c r="W421" s="634"/>
      <c r="X421" s="634"/>
      <c r="Y421" s="634"/>
      <c r="Z421" s="634"/>
    </row>
    <row r="422" ht="15.75" customHeight="1">
      <c r="A422" s="634"/>
      <c r="B422" s="634"/>
      <c r="C422" s="634"/>
      <c r="D422" s="634"/>
      <c r="E422" s="634"/>
      <c r="F422" s="635"/>
      <c r="G422" s="634"/>
      <c r="H422" s="636"/>
      <c r="I422" s="635"/>
      <c r="J422" s="635"/>
      <c r="K422" s="635"/>
      <c r="L422" s="635"/>
      <c r="M422" s="635"/>
      <c r="N422" s="788"/>
      <c r="O422" s="788"/>
      <c r="P422" s="650"/>
      <c r="Q422" s="789"/>
      <c r="R422" s="634"/>
      <c r="S422" s="634"/>
      <c r="T422" s="634"/>
      <c r="U422" s="634"/>
      <c r="V422" s="634"/>
      <c r="W422" s="634"/>
      <c r="X422" s="634"/>
      <c r="Y422" s="634"/>
      <c r="Z422" s="634"/>
    </row>
    <row r="423" ht="15.75" customHeight="1">
      <c r="A423" s="634"/>
      <c r="B423" s="634"/>
      <c r="C423" s="634"/>
      <c r="D423" s="634"/>
      <c r="E423" s="634"/>
      <c r="F423" s="635"/>
      <c r="G423" s="634"/>
      <c r="H423" s="636"/>
      <c r="I423" s="635"/>
      <c r="J423" s="635"/>
      <c r="K423" s="635"/>
      <c r="L423" s="635"/>
      <c r="M423" s="635"/>
      <c r="N423" s="788"/>
      <c r="O423" s="788"/>
      <c r="P423" s="650"/>
      <c r="Q423" s="789"/>
      <c r="R423" s="634"/>
      <c r="S423" s="634"/>
      <c r="T423" s="634"/>
      <c r="U423" s="634"/>
      <c r="V423" s="634"/>
      <c r="W423" s="634"/>
      <c r="X423" s="634"/>
      <c r="Y423" s="634"/>
      <c r="Z423" s="634"/>
    </row>
    <row r="424" ht="15.75" customHeight="1">
      <c r="A424" s="634"/>
      <c r="B424" s="634"/>
      <c r="C424" s="634"/>
      <c r="D424" s="634"/>
      <c r="E424" s="634"/>
      <c r="F424" s="635"/>
      <c r="G424" s="634"/>
      <c r="H424" s="636"/>
      <c r="I424" s="635"/>
      <c r="J424" s="635"/>
      <c r="K424" s="635"/>
      <c r="L424" s="635"/>
      <c r="M424" s="635"/>
      <c r="N424" s="788"/>
      <c r="O424" s="788"/>
      <c r="P424" s="650"/>
      <c r="Q424" s="789"/>
      <c r="R424" s="634"/>
      <c r="S424" s="634"/>
      <c r="T424" s="634"/>
      <c r="U424" s="634"/>
      <c r="V424" s="634"/>
      <c r="W424" s="634"/>
      <c r="X424" s="634"/>
      <c r="Y424" s="634"/>
      <c r="Z424" s="634"/>
    </row>
    <row r="425" ht="15.75" customHeight="1">
      <c r="A425" s="634"/>
      <c r="B425" s="634"/>
      <c r="C425" s="634"/>
      <c r="D425" s="634"/>
      <c r="E425" s="634"/>
      <c r="F425" s="635"/>
      <c r="G425" s="634"/>
      <c r="H425" s="636"/>
      <c r="I425" s="635"/>
      <c r="J425" s="635"/>
      <c r="K425" s="635"/>
      <c r="L425" s="635"/>
      <c r="M425" s="635"/>
      <c r="N425" s="788"/>
      <c r="O425" s="788"/>
      <c r="P425" s="650"/>
      <c r="Q425" s="789"/>
      <c r="R425" s="634"/>
      <c r="S425" s="634"/>
      <c r="T425" s="634"/>
      <c r="U425" s="634"/>
      <c r="V425" s="634"/>
      <c r="W425" s="634"/>
      <c r="X425" s="634"/>
      <c r="Y425" s="634"/>
      <c r="Z425" s="634"/>
    </row>
    <row r="426" ht="15.75" customHeight="1">
      <c r="A426" s="634"/>
      <c r="B426" s="634"/>
      <c r="C426" s="634"/>
      <c r="D426" s="634"/>
      <c r="E426" s="634"/>
      <c r="F426" s="635"/>
      <c r="G426" s="634"/>
      <c r="H426" s="636"/>
      <c r="I426" s="635"/>
      <c r="J426" s="635"/>
      <c r="K426" s="635"/>
      <c r="L426" s="635"/>
      <c r="M426" s="635"/>
      <c r="N426" s="788"/>
      <c r="O426" s="788"/>
      <c r="P426" s="650"/>
      <c r="Q426" s="789"/>
      <c r="R426" s="634"/>
      <c r="S426" s="634"/>
      <c r="T426" s="634"/>
      <c r="U426" s="634"/>
      <c r="V426" s="634"/>
      <c r="W426" s="634"/>
      <c r="X426" s="634"/>
      <c r="Y426" s="634"/>
      <c r="Z426" s="634"/>
    </row>
    <row r="427" ht="15.75" customHeight="1">
      <c r="A427" s="634"/>
      <c r="B427" s="634"/>
      <c r="C427" s="634"/>
      <c r="D427" s="634"/>
      <c r="E427" s="634"/>
      <c r="F427" s="635"/>
      <c r="G427" s="634"/>
      <c r="H427" s="636"/>
      <c r="I427" s="635"/>
      <c r="J427" s="635"/>
      <c r="K427" s="635"/>
      <c r="L427" s="635"/>
      <c r="M427" s="635"/>
      <c r="N427" s="788"/>
      <c r="O427" s="788"/>
      <c r="P427" s="650"/>
      <c r="Q427" s="789"/>
      <c r="R427" s="634"/>
      <c r="S427" s="634"/>
      <c r="T427" s="634"/>
      <c r="U427" s="634"/>
      <c r="V427" s="634"/>
      <c r="W427" s="634"/>
      <c r="X427" s="634"/>
      <c r="Y427" s="634"/>
      <c r="Z427" s="634"/>
    </row>
    <row r="428" ht="15.75" customHeight="1">
      <c r="A428" s="634"/>
      <c r="B428" s="634"/>
      <c r="C428" s="634"/>
      <c r="D428" s="634"/>
      <c r="E428" s="634"/>
      <c r="F428" s="635"/>
      <c r="G428" s="634"/>
      <c r="H428" s="636"/>
      <c r="I428" s="635"/>
      <c r="J428" s="635"/>
      <c r="K428" s="635"/>
      <c r="L428" s="635"/>
      <c r="M428" s="635"/>
      <c r="N428" s="788"/>
      <c r="O428" s="788"/>
      <c r="P428" s="650"/>
      <c r="Q428" s="789"/>
      <c r="R428" s="634"/>
      <c r="S428" s="634"/>
      <c r="T428" s="634"/>
      <c r="U428" s="634"/>
      <c r="V428" s="634"/>
      <c r="W428" s="634"/>
      <c r="X428" s="634"/>
      <c r="Y428" s="634"/>
      <c r="Z428" s="634"/>
    </row>
    <row r="429" ht="15.75" customHeight="1">
      <c r="A429" s="634"/>
      <c r="B429" s="634"/>
      <c r="C429" s="634"/>
      <c r="D429" s="634"/>
      <c r="E429" s="634"/>
      <c r="F429" s="635"/>
      <c r="G429" s="634"/>
      <c r="H429" s="636"/>
      <c r="I429" s="635"/>
      <c r="J429" s="635"/>
      <c r="K429" s="635"/>
      <c r="L429" s="635"/>
      <c r="M429" s="635"/>
      <c r="N429" s="788"/>
      <c r="O429" s="788"/>
      <c r="P429" s="650"/>
      <c r="Q429" s="789"/>
      <c r="R429" s="634"/>
      <c r="S429" s="634"/>
      <c r="T429" s="634"/>
      <c r="U429" s="634"/>
      <c r="V429" s="634"/>
      <c r="W429" s="634"/>
      <c r="X429" s="634"/>
      <c r="Y429" s="634"/>
      <c r="Z429" s="634"/>
    </row>
    <row r="430" ht="15.75" customHeight="1">
      <c r="A430" s="634"/>
      <c r="B430" s="634"/>
      <c r="C430" s="634"/>
      <c r="D430" s="634"/>
      <c r="E430" s="634"/>
      <c r="F430" s="635"/>
      <c r="G430" s="634"/>
      <c r="H430" s="636"/>
      <c r="I430" s="635"/>
      <c r="J430" s="635"/>
      <c r="K430" s="635"/>
      <c r="L430" s="635"/>
      <c r="M430" s="635"/>
      <c r="N430" s="788"/>
      <c r="O430" s="788"/>
      <c r="P430" s="650"/>
      <c r="Q430" s="789"/>
      <c r="R430" s="634"/>
      <c r="S430" s="634"/>
      <c r="T430" s="634"/>
      <c r="U430" s="634"/>
      <c r="V430" s="634"/>
      <c r="W430" s="634"/>
      <c r="X430" s="634"/>
      <c r="Y430" s="634"/>
      <c r="Z430" s="634"/>
    </row>
    <row r="431" ht="15.75" customHeight="1">
      <c r="A431" s="634"/>
      <c r="B431" s="634"/>
      <c r="C431" s="634"/>
      <c r="D431" s="634"/>
      <c r="E431" s="634"/>
      <c r="F431" s="635"/>
      <c r="G431" s="634"/>
      <c r="H431" s="636"/>
      <c r="I431" s="635"/>
      <c r="J431" s="635"/>
      <c r="K431" s="635"/>
      <c r="L431" s="635"/>
      <c r="M431" s="635"/>
      <c r="N431" s="788"/>
      <c r="O431" s="788"/>
      <c r="P431" s="650"/>
      <c r="Q431" s="789"/>
      <c r="R431" s="634"/>
      <c r="S431" s="634"/>
      <c r="T431" s="634"/>
      <c r="U431" s="634"/>
      <c r="V431" s="634"/>
      <c r="W431" s="634"/>
      <c r="X431" s="634"/>
      <c r="Y431" s="634"/>
      <c r="Z431" s="634"/>
    </row>
    <row r="432" ht="15.75" customHeight="1">
      <c r="A432" s="634"/>
      <c r="B432" s="634"/>
      <c r="C432" s="634"/>
      <c r="D432" s="634"/>
      <c r="E432" s="634"/>
      <c r="F432" s="635"/>
      <c r="G432" s="634"/>
      <c r="H432" s="636"/>
      <c r="I432" s="635"/>
      <c r="J432" s="635"/>
      <c r="K432" s="635"/>
      <c r="L432" s="635"/>
      <c r="M432" s="635"/>
      <c r="N432" s="788"/>
      <c r="O432" s="788"/>
      <c r="P432" s="650"/>
      <c r="Q432" s="789"/>
      <c r="R432" s="634"/>
      <c r="S432" s="634"/>
      <c r="T432" s="634"/>
      <c r="U432" s="634"/>
      <c r="V432" s="634"/>
      <c r="W432" s="634"/>
      <c r="X432" s="634"/>
      <c r="Y432" s="634"/>
      <c r="Z432" s="634"/>
    </row>
    <row r="433" ht="15.75" customHeight="1">
      <c r="A433" s="634"/>
      <c r="B433" s="634"/>
      <c r="C433" s="634"/>
      <c r="D433" s="634"/>
      <c r="E433" s="634"/>
      <c r="F433" s="635"/>
      <c r="G433" s="634"/>
      <c r="H433" s="636"/>
      <c r="I433" s="635"/>
      <c r="J433" s="635"/>
      <c r="K433" s="635"/>
      <c r="L433" s="635"/>
      <c r="M433" s="635"/>
      <c r="N433" s="788"/>
      <c r="O433" s="788"/>
      <c r="P433" s="650"/>
      <c r="Q433" s="789"/>
      <c r="R433" s="634"/>
      <c r="S433" s="634"/>
      <c r="T433" s="634"/>
      <c r="U433" s="634"/>
      <c r="V433" s="634"/>
      <c r="W433" s="634"/>
      <c r="X433" s="634"/>
      <c r="Y433" s="634"/>
      <c r="Z433" s="634"/>
    </row>
    <row r="434" ht="15.75" customHeight="1">
      <c r="A434" s="634"/>
      <c r="B434" s="634"/>
      <c r="C434" s="634"/>
      <c r="D434" s="634"/>
      <c r="E434" s="634"/>
      <c r="F434" s="635"/>
      <c r="G434" s="634"/>
      <c r="H434" s="636"/>
      <c r="I434" s="635"/>
      <c r="J434" s="635"/>
      <c r="K434" s="635"/>
      <c r="L434" s="635"/>
      <c r="M434" s="635"/>
      <c r="N434" s="788"/>
      <c r="O434" s="788"/>
      <c r="P434" s="650"/>
      <c r="Q434" s="789"/>
      <c r="R434" s="634"/>
      <c r="S434" s="634"/>
      <c r="T434" s="634"/>
      <c r="U434" s="634"/>
      <c r="V434" s="634"/>
      <c r="W434" s="634"/>
      <c r="X434" s="634"/>
      <c r="Y434" s="634"/>
      <c r="Z434" s="634"/>
    </row>
    <row r="435" ht="15.75" customHeight="1">
      <c r="A435" s="634"/>
      <c r="B435" s="634"/>
      <c r="C435" s="634"/>
      <c r="D435" s="634"/>
      <c r="E435" s="634"/>
      <c r="F435" s="635"/>
      <c r="G435" s="634"/>
      <c r="H435" s="636"/>
      <c r="I435" s="635"/>
      <c r="J435" s="635"/>
      <c r="K435" s="635"/>
      <c r="L435" s="635"/>
      <c r="M435" s="635"/>
      <c r="N435" s="788"/>
      <c r="O435" s="788"/>
      <c r="P435" s="650"/>
      <c r="Q435" s="789"/>
      <c r="R435" s="634"/>
      <c r="S435" s="634"/>
      <c r="T435" s="634"/>
      <c r="U435" s="634"/>
      <c r="V435" s="634"/>
      <c r="W435" s="634"/>
      <c r="X435" s="634"/>
      <c r="Y435" s="634"/>
      <c r="Z435" s="634"/>
    </row>
    <row r="436" ht="15.75" customHeight="1">
      <c r="A436" s="634"/>
      <c r="B436" s="634"/>
      <c r="C436" s="634"/>
      <c r="D436" s="634"/>
      <c r="E436" s="634"/>
      <c r="F436" s="635"/>
      <c r="G436" s="634"/>
      <c r="H436" s="636"/>
      <c r="I436" s="635"/>
      <c r="J436" s="635"/>
      <c r="K436" s="635"/>
      <c r="L436" s="635"/>
      <c r="M436" s="635"/>
      <c r="N436" s="788"/>
      <c r="O436" s="788"/>
      <c r="P436" s="650"/>
      <c r="Q436" s="789"/>
      <c r="R436" s="634"/>
      <c r="S436" s="634"/>
      <c r="T436" s="634"/>
      <c r="U436" s="634"/>
      <c r="V436" s="634"/>
      <c r="W436" s="634"/>
      <c r="X436" s="634"/>
      <c r="Y436" s="634"/>
      <c r="Z436" s="634"/>
    </row>
    <row r="437" ht="15.75" customHeight="1">
      <c r="A437" s="634"/>
      <c r="B437" s="634"/>
      <c r="C437" s="634"/>
      <c r="D437" s="634"/>
      <c r="E437" s="634"/>
      <c r="F437" s="635"/>
      <c r="G437" s="634"/>
      <c r="H437" s="636"/>
      <c r="I437" s="635"/>
      <c r="J437" s="635"/>
      <c r="K437" s="635"/>
      <c r="L437" s="635"/>
      <c r="M437" s="635"/>
      <c r="N437" s="788"/>
      <c r="O437" s="788"/>
      <c r="P437" s="650"/>
      <c r="Q437" s="789"/>
      <c r="R437" s="634"/>
      <c r="S437" s="634"/>
      <c r="T437" s="634"/>
      <c r="U437" s="634"/>
      <c r="V437" s="634"/>
      <c r="W437" s="634"/>
      <c r="X437" s="634"/>
      <c r="Y437" s="634"/>
      <c r="Z437" s="634"/>
    </row>
    <row r="438" ht="15.75" customHeight="1">
      <c r="A438" s="634"/>
      <c r="B438" s="634"/>
      <c r="C438" s="634"/>
      <c r="D438" s="634"/>
      <c r="E438" s="634"/>
      <c r="F438" s="635"/>
      <c r="G438" s="634"/>
      <c r="H438" s="636"/>
      <c r="I438" s="635"/>
      <c r="J438" s="635"/>
      <c r="K438" s="635"/>
      <c r="L438" s="635"/>
      <c r="M438" s="635"/>
      <c r="N438" s="788"/>
      <c r="O438" s="788"/>
      <c r="P438" s="650"/>
      <c r="Q438" s="789"/>
      <c r="R438" s="634"/>
      <c r="S438" s="634"/>
      <c r="T438" s="634"/>
      <c r="U438" s="634"/>
      <c r="V438" s="634"/>
      <c r="W438" s="634"/>
      <c r="X438" s="634"/>
      <c r="Y438" s="634"/>
      <c r="Z438" s="634"/>
    </row>
    <row r="439" ht="15.75" customHeight="1">
      <c r="A439" s="634"/>
      <c r="B439" s="634"/>
      <c r="C439" s="634"/>
      <c r="D439" s="634"/>
      <c r="E439" s="634"/>
      <c r="F439" s="635"/>
      <c r="G439" s="634"/>
      <c r="H439" s="636"/>
      <c r="I439" s="635"/>
      <c r="J439" s="635"/>
      <c r="K439" s="635"/>
      <c r="L439" s="635"/>
      <c r="M439" s="635"/>
      <c r="N439" s="788"/>
      <c r="O439" s="788"/>
      <c r="P439" s="650"/>
      <c r="Q439" s="789"/>
      <c r="R439" s="634"/>
      <c r="S439" s="634"/>
      <c r="T439" s="634"/>
      <c r="U439" s="634"/>
      <c r="V439" s="634"/>
      <c r="W439" s="634"/>
      <c r="X439" s="634"/>
      <c r="Y439" s="634"/>
      <c r="Z439" s="634"/>
    </row>
    <row r="440" ht="15.75" customHeight="1">
      <c r="A440" s="634"/>
      <c r="B440" s="634"/>
      <c r="C440" s="634"/>
      <c r="D440" s="634"/>
      <c r="E440" s="634"/>
      <c r="F440" s="635"/>
      <c r="G440" s="634"/>
      <c r="H440" s="636"/>
      <c r="I440" s="635"/>
      <c r="J440" s="635"/>
      <c r="K440" s="635"/>
      <c r="L440" s="635"/>
      <c r="M440" s="635"/>
      <c r="N440" s="788"/>
      <c r="O440" s="788"/>
      <c r="P440" s="650"/>
      <c r="Q440" s="789"/>
      <c r="R440" s="634"/>
      <c r="S440" s="634"/>
      <c r="T440" s="634"/>
      <c r="U440" s="634"/>
      <c r="V440" s="634"/>
      <c r="W440" s="634"/>
      <c r="X440" s="634"/>
      <c r="Y440" s="634"/>
      <c r="Z440" s="634"/>
    </row>
    <row r="441" ht="15.75" customHeight="1">
      <c r="A441" s="634"/>
      <c r="B441" s="634"/>
      <c r="C441" s="634"/>
      <c r="D441" s="634"/>
      <c r="E441" s="634"/>
      <c r="F441" s="635"/>
      <c r="G441" s="634"/>
      <c r="H441" s="636"/>
      <c r="I441" s="635"/>
      <c r="J441" s="635"/>
      <c r="K441" s="635"/>
      <c r="L441" s="635"/>
      <c r="M441" s="635"/>
      <c r="N441" s="788"/>
      <c r="O441" s="788"/>
      <c r="P441" s="650"/>
      <c r="Q441" s="789"/>
      <c r="R441" s="634"/>
      <c r="S441" s="634"/>
      <c r="T441" s="634"/>
      <c r="U441" s="634"/>
      <c r="V441" s="634"/>
      <c r="W441" s="634"/>
      <c r="X441" s="634"/>
      <c r="Y441" s="634"/>
      <c r="Z441" s="634"/>
    </row>
    <row r="442" ht="15.75" customHeight="1">
      <c r="A442" s="634"/>
      <c r="B442" s="634"/>
      <c r="C442" s="634"/>
      <c r="D442" s="634"/>
      <c r="E442" s="634"/>
      <c r="F442" s="635"/>
      <c r="G442" s="634"/>
      <c r="H442" s="636"/>
      <c r="I442" s="635"/>
      <c r="J442" s="635"/>
      <c r="K442" s="635"/>
      <c r="L442" s="635"/>
      <c r="M442" s="635"/>
      <c r="N442" s="788"/>
      <c r="O442" s="788"/>
      <c r="P442" s="650"/>
      <c r="Q442" s="789"/>
      <c r="R442" s="634"/>
      <c r="S442" s="634"/>
      <c r="T442" s="634"/>
      <c r="U442" s="634"/>
      <c r="V442" s="634"/>
      <c r="W442" s="634"/>
      <c r="X442" s="634"/>
      <c r="Y442" s="634"/>
      <c r="Z442" s="634"/>
    </row>
    <row r="443" ht="15.75" customHeight="1">
      <c r="A443" s="634"/>
      <c r="B443" s="634"/>
      <c r="C443" s="634"/>
      <c r="D443" s="634"/>
      <c r="E443" s="634"/>
      <c r="F443" s="635"/>
      <c r="G443" s="634"/>
      <c r="H443" s="636"/>
      <c r="I443" s="635"/>
      <c r="J443" s="635"/>
      <c r="K443" s="635"/>
      <c r="L443" s="635"/>
      <c r="M443" s="635"/>
      <c r="N443" s="788"/>
      <c r="O443" s="788"/>
      <c r="P443" s="650"/>
      <c r="Q443" s="789"/>
      <c r="R443" s="634"/>
      <c r="S443" s="634"/>
      <c r="T443" s="634"/>
      <c r="U443" s="634"/>
      <c r="V443" s="634"/>
      <c r="W443" s="634"/>
      <c r="X443" s="634"/>
      <c r="Y443" s="634"/>
      <c r="Z443" s="634"/>
    </row>
    <row r="444" ht="15.75" customHeight="1">
      <c r="A444" s="634"/>
      <c r="B444" s="634"/>
      <c r="C444" s="634"/>
      <c r="D444" s="634"/>
      <c r="E444" s="634"/>
      <c r="F444" s="635"/>
      <c r="G444" s="634"/>
      <c r="H444" s="636"/>
      <c r="I444" s="635"/>
      <c r="J444" s="635"/>
      <c r="K444" s="635"/>
      <c r="L444" s="635"/>
      <c r="M444" s="635"/>
      <c r="N444" s="788"/>
      <c r="O444" s="788"/>
      <c r="P444" s="650"/>
      <c r="Q444" s="789"/>
      <c r="R444" s="634"/>
      <c r="S444" s="634"/>
      <c r="T444" s="634"/>
      <c r="U444" s="634"/>
      <c r="V444" s="634"/>
      <c r="W444" s="634"/>
      <c r="X444" s="634"/>
      <c r="Y444" s="634"/>
      <c r="Z444" s="634"/>
    </row>
    <row r="445" ht="15.75" customHeight="1">
      <c r="A445" s="634"/>
      <c r="B445" s="634"/>
      <c r="C445" s="634"/>
      <c r="D445" s="634"/>
      <c r="E445" s="634"/>
      <c r="F445" s="635"/>
      <c r="G445" s="634"/>
      <c r="H445" s="636"/>
      <c r="I445" s="635"/>
      <c r="J445" s="635"/>
      <c r="K445" s="635"/>
      <c r="L445" s="635"/>
      <c r="M445" s="635"/>
      <c r="N445" s="788"/>
      <c r="O445" s="788"/>
      <c r="P445" s="650"/>
      <c r="Q445" s="789"/>
      <c r="R445" s="634"/>
      <c r="S445" s="634"/>
      <c r="T445" s="634"/>
      <c r="U445" s="634"/>
      <c r="V445" s="634"/>
      <c r="W445" s="634"/>
      <c r="X445" s="634"/>
      <c r="Y445" s="634"/>
      <c r="Z445" s="634"/>
    </row>
    <row r="446" ht="15.75" customHeight="1">
      <c r="A446" s="634"/>
      <c r="B446" s="634"/>
      <c r="C446" s="634"/>
      <c r="D446" s="634"/>
      <c r="E446" s="634"/>
      <c r="F446" s="635"/>
      <c r="G446" s="634"/>
      <c r="H446" s="636"/>
      <c r="I446" s="635"/>
      <c r="J446" s="635"/>
      <c r="K446" s="635"/>
      <c r="L446" s="635"/>
      <c r="M446" s="635"/>
      <c r="N446" s="788"/>
      <c r="O446" s="788"/>
      <c r="P446" s="650"/>
      <c r="Q446" s="789"/>
      <c r="R446" s="634"/>
      <c r="S446" s="634"/>
      <c r="T446" s="634"/>
      <c r="U446" s="634"/>
      <c r="V446" s="634"/>
      <c r="W446" s="634"/>
      <c r="X446" s="634"/>
      <c r="Y446" s="634"/>
      <c r="Z446" s="634"/>
    </row>
    <row r="447" ht="15.75" customHeight="1">
      <c r="A447" s="634"/>
      <c r="B447" s="634"/>
      <c r="C447" s="634"/>
      <c r="D447" s="634"/>
      <c r="E447" s="634"/>
      <c r="F447" s="635"/>
      <c r="G447" s="634"/>
      <c r="H447" s="636"/>
      <c r="I447" s="635"/>
      <c r="J447" s="635"/>
      <c r="K447" s="635"/>
      <c r="L447" s="635"/>
      <c r="M447" s="635"/>
      <c r="N447" s="788"/>
      <c r="O447" s="788"/>
      <c r="P447" s="650"/>
      <c r="Q447" s="789"/>
      <c r="R447" s="634"/>
      <c r="S447" s="634"/>
      <c r="T447" s="634"/>
      <c r="U447" s="634"/>
      <c r="V447" s="634"/>
      <c r="W447" s="634"/>
      <c r="X447" s="634"/>
      <c r="Y447" s="634"/>
      <c r="Z447" s="634"/>
    </row>
    <row r="448" ht="15.75" customHeight="1">
      <c r="A448" s="634"/>
      <c r="B448" s="634"/>
      <c r="C448" s="634"/>
      <c r="D448" s="634"/>
      <c r="E448" s="634"/>
      <c r="F448" s="635"/>
      <c r="G448" s="634"/>
      <c r="H448" s="636"/>
      <c r="I448" s="635"/>
      <c r="J448" s="635"/>
      <c r="K448" s="635"/>
      <c r="L448" s="635"/>
      <c r="M448" s="635"/>
      <c r="N448" s="788"/>
      <c r="O448" s="788"/>
      <c r="P448" s="650"/>
      <c r="Q448" s="789"/>
      <c r="R448" s="634"/>
      <c r="S448" s="634"/>
      <c r="T448" s="634"/>
      <c r="U448" s="634"/>
      <c r="V448" s="634"/>
      <c r="W448" s="634"/>
      <c r="X448" s="634"/>
      <c r="Y448" s="634"/>
      <c r="Z448" s="634"/>
    </row>
    <row r="449" ht="15.75" customHeight="1">
      <c r="A449" s="634"/>
      <c r="B449" s="634"/>
      <c r="C449" s="634"/>
      <c r="D449" s="634"/>
      <c r="E449" s="634"/>
      <c r="F449" s="635"/>
      <c r="G449" s="634"/>
      <c r="H449" s="636"/>
      <c r="I449" s="635"/>
      <c r="J449" s="635"/>
      <c r="K449" s="635"/>
      <c r="L449" s="635"/>
      <c r="M449" s="635"/>
      <c r="N449" s="788"/>
      <c r="O449" s="788"/>
      <c r="P449" s="650"/>
      <c r="Q449" s="789"/>
      <c r="R449" s="634"/>
      <c r="S449" s="634"/>
      <c r="T449" s="634"/>
      <c r="U449" s="634"/>
      <c r="V449" s="634"/>
      <c r="W449" s="634"/>
      <c r="X449" s="634"/>
      <c r="Y449" s="634"/>
      <c r="Z449" s="634"/>
    </row>
    <row r="450" ht="15.75" customHeight="1">
      <c r="A450" s="634"/>
      <c r="B450" s="634"/>
      <c r="C450" s="634"/>
      <c r="D450" s="634"/>
      <c r="E450" s="634"/>
      <c r="F450" s="635"/>
      <c r="G450" s="634"/>
      <c r="H450" s="636"/>
      <c r="I450" s="635"/>
      <c r="J450" s="635"/>
      <c r="K450" s="635"/>
      <c r="L450" s="635"/>
      <c r="M450" s="635"/>
      <c r="N450" s="788"/>
      <c r="O450" s="788"/>
      <c r="P450" s="650"/>
      <c r="Q450" s="789"/>
      <c r="R450" s="634"/>
      <c r="S450" s="634"/>
      <c r="T450" s="634"/>
      <c r="U450" s="634"/>
      <c r="V450" s="634"/>
      <c r="W450" s="634"/>
      <c r="X450" s="634"/>
      <c r="Y450" s="634"/>
      <c r="Z450" s="634"/>
    </row>
    <row r="451" ht="15.75" customHeight="1">
      <c r="A451" s="634"/>
      <c r="B451" s="634"/>
      <c r="C451" s="634"/>
      <c r="D451" s="634"/>
      <c r="E451" s="634"/>
      <c r="F451" s="635"/>
      <c r="G451" s="634"/>
      <c r="H451" s="636"/>
      <c r="I451" s="635"/>
      <c r="J451" s="635"/>
      <c r="K451" s="635"/>
      <c r="L451" s="635"/>
      <c r="M451" s="635"/>
      <c r="N451" s="788"/>
      <c r="O451" s="788"/>
      <c r="P451" s="650"/>
      <c r="Q451" s="789"/>
      <c r="R451" s="634"/>
      <c r="S451" s="634"/>
      <c r="T451" s="634"/>
      <c r="U451" s="634"/>
      <c r="V451" s="634"/>
      <c r="W451" s="634"/>
      <c r="X451" s="634"/>
      <c r="Y451" s="634"/>
      <c r="Z451" s="634"/>
    </row>
    <row r="452" ht="15.75" customHeight="1">
      <c r="A452" s="634"/>
      <c r="B452" s="634"/>
      <c r="C452" s="634"/>
      <c r="D452" s="634"/>
      <c r="E452" s="634"/>
      <c r="F452" s="635"/>
      <c r="G452" s="634"/>
      <c r="H452" s="636"/>
      <c r="I452" s="635"/>
      <c r="J452" s="635"/>
      <c r="K452" s="635"/>
      <c r="L452" s="635"/>
      <c r="M452" s="635"/>
      <c r="N452" s="788"/>
      <c r="O452" s="788"/>
      <c r="P452" s="650"/>
      <c r="Q452" s="789"/>
      <c r="R452" s="634"/>
      <c r="S452" s="634"/>
      <c r="T452" s="634"/>
      <c r="U452" s="634"/>
      <c r="V452" s="634"/>
      <c r="W452" s="634"/>
      <c r="X452" s="634"/>
      <c r="Y452" s="634"/>
      <c r="Z452" s="634"/>
    </row>
    <row r="453" ht="15.75" customHeight="1">
      <c r="A453" s="634"/>
      <c r="B453" s="634"/>
      <c r="C453" s="634"/>
      <c r="D453" s="634"/>
      <c r="E453" s="634"/>
      <c r="F453" s="635"/>
      <c r="G453" s="634"/>
      <c r="H453" s="636"/>
      <c r="I453" s="635"/>
      <c r="J453" s="635"/>
      <c r="K453" s="635"/>
      <c r="L453" s="635"/>
      <c r="M453" s="635"/>
      <c r="N453" s="788"/>
      <c r="O453" s="788"/>
      <c r="P453" s="650"/>
      <c r="Q453" s="789"/>
      <c r="R453" s="634"/>
      <c r="S453" s="634"/>
      <c r="T453" s="634"/>
      <c r="U453" s="634"/>
      <c r="V453" s="634"/>
      <c r="W453" s="634"/>
      <c r="X453" s="634"/>
      <c r="Y453" s="634"/>
      <c r="Z453" s="634"/>
    </row>
    <row r="454" ht="15.75" customHeight="1">
      <c r="A454" s="634"/>
      <c r="B454" s="634"/>
      <c r="C454" s="634"/>
      <c r="D454" s="634"/>
      <c r="E454" s="634"/>
      <c r="F454" s="635"/>
      <c r="G454" s="634"/>
      <c r="H454" s="636"/>
      <c r="I454" s="635"/>
      <c r="J454" s="635"/>
      <c r="K454" s="635"/>
      <c r="L454" s="635"/>
      <c r="M454" s="635"/>
      <c r="N454" s="788"/>
      <c r="O454" s="788"/>
      <c r="P454" s="650"/>
      <c r="Q454" s="789"/>
      <c r="R454" s="634"/>
      <c r="S454" s="634"/>
      <c r="T454" s="634"/>
      <c r="U454" s="634"/>
      <c r="V454" s="634"/>
      <c r="W454" s="634"/>
      <c r="X454" s="634"/>
      <c r="Y454" s="634"/>
      <c r="Z454" s="634"/>
    </row>
    <row r="455" ht="15.75" customHeight="1">
      <c r="A455" s="634"/>
      <c r="B455" s="634"/>
      <c r="C455" s="634"/>
      <c r="D455" s="634"/>
      <c r="E455" s="634"/>
      <c r="F455" s="635"/>
      <c r="G455" s="634"/>
      <c r="H455" s="636"/>
      <c r="I455" s="635"/>
      <c r="J455" s="635"/>
      <c r="K455" s="635"/>
      <c r="L455" s="635"/>
      <c r="M455" s="635"/>
      <c r="N455" s="788"/>
      <c r="O455" s="788"/>
      <c r="P455" s="650"/>
      <c r="Q455" s="789"/>
      <c r="R455" s="634"/>
      <c r="S455" s="634"/>
      <c r="T455" s="634"/>
      <c r="U455" s="634"/>
      <c r="V455" s="634"/>
      <c r="W455" s="634"/>
      <c r="X455" s="634"/>
      <c r="Y455" s="634"/>
      <c r="Z455" s="634"/>
    </row>
    <row r="456" ht="15.75" customHeight="1">
      <c r="A456" s="634"/>
      <c r="B456" s="634"/>
      <c r="C456" s="634"/>
      <c r="D456" s="634"/>
      <c r="E456" s="634"/>
      <c r="F456" s="635"/>
      <c r="G456" s="634"/>
      <c r="H456" s="636"/>
      <c r="I456" s="635"/>
      <c r="J456" s="635"/>
      <c r="K456" s="635"/>
      <c r="L456" s="635"/>
      <c r="M456" s="635"/>
      <c r="N456" s="788"/>
      <c r="O456" s="788"/>
      <c r="P456" s="650"/>
      <c r="Q456" s="789"/>
      <c r="R456" s="634"/>
      <c r="S456" s="634"/>
      <c r="T456" s="634"/>
      <c r="U456" s="634"/>
      <c r="V456" s="634"/>
      <c r="W456" s="634"/>
      <c r="X456" s="634"/>
      <c r="Y456" s="634"/>
      <c r="Z456" s="634"/>
    </row>
    <row r="457" ht="15.75" customHeight="1">
      <c r="A457" s="634"/>
      <c r="B457" s="634"/>
      <c r="C457" s="634"/>
      <c r="D457" s="634"/>
      <c r="E457" s="634"/>
      <c r="F457" s="635"/>
      <c r="G457" s="634"/>
      <c r="H457" s="636"/>
      <c r="I457" s="635"/>
      <c r="J457" s="635"/>
      <c r="K457" s="635"/>
      <c r="L457" s="635"/>
      <c r="M457" s="635"/>
      <c r="N457" s="788"/>
      <c r="O457" s="788"/>
      <c r="P457" s="650"/>
      <c r="Q457" s="789"/>
      <c r="R457" s="634"/>
      <c r="S457" s="634"/>
      <c r="T457" s="634"/>
      <c r="U457" s="634"/>
      <c r="V457" s="634"/>
      <c r="W457" s="634"/>
      <c r="X457" s="634"/>
      <c r="Y457" s="634"/>
      <c r="Z457" s="634"/>
    </row>
    <row r="458" ht="15.75" customHeight="1">
      <c r="A458" s="634"/>
      <c r="B458" s="634"/>
      <c r="C458" s="634"/>
      <c r="D458" s="634"/>
      <c r="E458" s="634"/>
      <c r="F458" s="635"/>
      <c r="G458" s="634"/>
      <c r="H458" s="636"/>
      <c r="I458" s="635"/>
      <c r="J458" s="635"/>
      <c r="K458" s="635"/>
      <c r="L458" s="635"/>
      <c r="M458" s="635"/>
      <c r="N458" s="788"/>
      <c r="O458" s="788"/>
      <c r="P458" s="650"/>
      <c r="Q458" s="789"/>
      <c r="R458" s="634"/>
      <c r="S458" s="634"/>
      <c r="T458" s="634"/>
      <c r="U458" s="634"/>
      <c r="V458" s="634"/>
      <c r="W458" s="634"/>
      <c r="X458" s="634"/>
      <c r="Y458" s="634"/>
      <c r="Z458" s="634"/>
    </row>
    <row r="459" ht="15.75" customHeight="1">
      <c r="A459" s="634"/>
      <c r="B459" s="634"/>
      <c r="C459" s="634"/>
      <c r="D459" s="634"/>
      <c r="E459" s="634"/>
      <c r="F459" s="635"/>
      <c r="G459" s="634"/>
      <c r="H459" s="636"/>
      <c r="I459" s="635"/>
      <c r="J459" s="635"/>
      <c r="K459" s="635"/>
      <c r="L459" s="635"/>
      <c r="M459" s="635"/>
      <c r="N459" s="788"/>
      <c r="O459" s="788"/>
      <c r="P459" s="650"/>
      <c r="Q459" s="789"/>
      <c r="R459" s="634"/>
      <c r="S459" s="634"/>
      <c r="T459" s="634"/>
      <c r="U459" s="634"/>
      <c r="V459" s="634"/>
      <c r="W459" s="634"/>
      <c r="X459" s="634"/>
      <c r="Y459" s="634"/>
      <c r="Z459" s="634"/>
    </row>
    <row r="460" ht="15.75" customHeight="1">
      <c r="A460" s="634"/>
      <c r="B460" s="634"/>
      <c r="C460" s="634"/>
      <c r="D460" s="634"/>
      <c r="E460" s="634"/>
      <c r="F460" s="635"/>
      <c r="G460" s="634"/>
      <c r="H460" s="636"/>
      <c r="I460" s="635"/>
      <c r="J460" s="635"/>
      <c r="K460" s="635"/>
      <c r="L460" s="635"/>
      <c r="M460" s="635"/>
      <c r="N460" s="788"/>
      <c r="O460" s="788"/>
      <c r="P460" s="650"/>
      <c r="Q460" s="789"/>
      <c r="R460" s="634"/>
      <c r="S460" s="634"/>
      <c r="T460" s="634"/>
      <c r="U460" s="634"/>
      <c r="V460" s="634"/>
      <c r="W460" s="634"/>
      <c r="X460" s="634"/>
      <c r="Y460" s="634"/>
      <c r="Z460" s="634"/>
    </row>
    <row r="461" ht="15.75" customHeight="1">
      <c r="A461" s="634"/>
      <c r="B461" s="634"/>
      <c r="C461" s="634"/>
      <c r="D461" s="634"/>
      <c r="E461" s="634"/>
      <c r="F461" s="635"/>
      <c r="G461" s="634"/>
      <c r="H461" s="636"/>
      <c r="I461" s="635"/>
      <c r="J461" s="635"/>
      <c r="K461" s="635"/>
      <c r="L461" s="635"/>
      <c r="M461" s="635"/>
      <c r="N461" s="788"/>
      <c r="O461" s="788"/>
      <c r="P461" s="650"/>
      <c r="Q461" s="789"/>
      <c r="R461" s="634"/>
      <c r="S461" s="634"/>
      <c r="T461" s="634"/>
      <c r="U461" s="634"/>
      <c r="V461" s="634"/>
      <c r="W461" s="634"/>
      <c r="X461" s="634"/>
      <c r="Y461" s="634"/>
      <c r="Z461" s="634"/>
    </row>
    <row r="462" ht="15.75" customHeight="1">
      <c r="A462" s="634"/>
      <c r="B462" s="634"/>
      <c r="C462" s="634"/>
      <c r="D462" s="634"/>
      <c r="E462" s="634"/>
      <c r="F462" s="635"/>
      <c r="G462" s="634"/>
      <c r="H462" s="636"/>
      <c r="I462" s="635"/>
      <c r="J462" s="635"/>
      <c r="K462" s="635"/>
      <c r="L462" s="635"/>
      <c r="M462" s="635"/>
      <c r="N462" s="788"/>
      <c r="O462" s="788"/>
      <c r="P462" s="650"/>
      <c r="Q462" s="789"/>
      <c r="R462" s="634"/>
      <c r="S462" s="634"/>
      <c r="T462" s="634"/>
      <c r="U462" s="634"/>
      <c r="V462" s="634"/>
      <c r="W462" s="634"/>
      <c r="X462" s="634"/>
      <c r="Y462" s="634"/>
      <c r="Z462" s="634"/>
    </row>
    <row r="463" ht="15.75" customHeight="1">
      <c r="A463" s="634"/>
      <c r="B463" s="634"/>
      <c r="C463" s="634"/>
      <c r="D463" s="634"/>
      <c r="E463" s="634"/>
      <c r="F463" s="635"/>
      <c r="G463" s="634"/>
      <c r="H463" s="636"/>
      <c r="I463" s="635"/>
      <c r="J463" s="635"/>
      <c r="K463" s="635"/>
      <c r="L463" s="635"/>
      <c r="M463" s="635"/>
      <c r="N463" s="788"/>
      <c r="O463" s="788"/>
      <c r="P463" s="650"/>
      <c r="Q463" s="789"/>
      <c r="R463" s="634"/>
      <c r="S463" s="634"/>
      <c r="T463" s="634"/>
      <c r="U463" s="634"/>
      <c r="V463" s="634"/>
      <c r="W463" s="634"/>
      <c r="X463" s="634"/>
      <c r="Y463" s="634"/>
      <c r="Z463" s="634"/>
    </row>
    <row r="464" ht="15.75" customHeight="1">
      <c r="A464" s="634"/>
      <c r="B464" s="634"/>
      <c r="C464" s="634"/>
      <c r="D464" s="634"/>
      <c r="E464" s="634"/>
      <c r="F464" s="635"/>
      <c r="G464" s="634"/>
      <c r="H464" s="636"/>
      <c r="I464" s="635"/>
      <c r="J464" s="635"/>
      <c r="K464" s="635"/>
      <c r="L464" s="635"/>
      <c r="M464" s="635"/>
      <c r="N464" s="788"/>
      <c r="O464" s="788"/>
      <c r="P464" s="650"/>
      <c r="Q464" s="789"/>
      <c r="R464" s="634"/>
      <c r="S464" s="634"/>
      <c r="T464" s="634"/>
      <c r="U464" s="634"/>
      <c r="V464" s="634"/>
      <c r="W464" s="634"/>
      <c r="X464" s="634"/>
      <c r="Y464" s="634"/>
      <c r="Z464" s="634"/>
    </row>
    <row r="465" ht="15.75" customHeight="1">
      <c r="A465" s="634"/>
      <c r="B465" s="634"/>
      <c r="C465" s="634"/>
      <c r="D465" s="634"/>
      <c r="E465" s="634"/>
      <c r="F465" s="635"/>
      <c r="G465" s="634"/>
      <c r="H465" s="636"/>
      <c r="I465" s="635"/>
      <c r="J465" s="635"/>
      <c r="K465" s="635"/>
      <c r="L465" s="635"/>
      <c r="M465" s="635"/>
      <c r="N465" s="788"/>
      <c r="O465" s="788"/>
      <c r="P465" s="650"/>
      <c r="Q465" s="789"/>
      <c r="R465" s="634"/>
      <c r="S465" s="634"/>
      <c r="T465" s="634"/>
      <c r="U465" s="634"/>
      <c r="V465" s="634"/>
      <c r="W465" s="634"/>
      <c r="X465" s="634"/>
      <c r="Y465" s="634"/>
      <c r="Z465" s="634"/>
    </row>
    <row r="466" ht="15.75" customHeight="1">
      <c r="A466" s="634"/>
      <c r="B466" s="634"/>
      <c r="C466" s="634"/>
      <c r="D466" s="634"/>
      <c r="E466" s="634"/>
      <c r="F466" s="635"/>
      <c r="G466" s="634"/>
      <c r="H466" s="636"/>
      <c r="I466" s="635"/>
      <c r="J466" s="635"/>
      <c r="K466" s="635"/>
      <c r="L466" s="635"/>
      <c r="M466" s="635"/>
      <c r="N466" s="788"/>
      <c r="O466" s="788"/>
      <c r="P466" s="650"/>
      <c r="Q466" s="789"/>
      <c r="R466" s="634"/>
      <c r="S466" s="634"/>
      <c r="T466" s="634"/>
      <c r="U466" s="634"/>
      <c r="V466" s="634"/>
      <c r="W466" s="634"/>
      <c r="X466" s="634"/>
      <c r="Y466" s="634"/>
      <c r="Z466" s="634"/>
    </row>
    <row r="467" ht="15.75" customHeight="1">
      <c r="A467" s="634"/>
      <c r="B467" s="634"/>
      <c r="C467" s="634"/>
      <c r="D467" s="634"/>
      <c r="E467" s="634"/>
      <c r="F467" s="635"/>
      <c r="G467" s="634"/>
      <c r="H467" s="636"/>
      <c r="I467" s="635"/>
      <c r="J467" s="635"/>
      <c r="K467" s="635"/>
      <c r="L467" s="635"/>
      <c r="M467" s="635"/>
      <c r="N467" s="788"/>
      <c r="O467" s="788"/>
      <c r="P467" s="650"/>
      <c r="Q467" s="789"/>
      <c r="R467" s="634"/>
      <c r="S467" s="634"/>
      <c r="T467" s="634"/>
      <c r="U467" s="634"/>
      <c r="V467" s="634"/>
      <c r="W467" s="634"/>
      <c r="X467" s="634"/>
      <c r="Y467" s="634"/>
      <c r="Z467" s="634"/>
    </row>
    <row r="468" ht="15.75" customHeight="1">
      <c r="A468" s="634"/>
      <c r="B468" s="634"/>
      <c r="C468" s="634"/>
      <c r="D468" s="634"/>
      <c r="E468" s="634"/>
      <c r="F468" s="635"/>
      <c r="G468" s="634"/>
      <c r="H468" s="636"/>
      <c r="I468" s="635"/>
      <c r="J468" s="635"/>
      <c r="K468" s="635"/>
      <c r="L468" s="635"/>
      <c r="M468" s="635"/>
      <c r="N468" s="788"/>
      <c r="O468" s="788"/>
      <c r="P468" s="650"/>
      <c r="Q468" s="789"/>
      <c r="R468" s="634"/>
      <c r="S468" s="634"/>
      <c r="T468" s="634"/>
      <c r="U468" s="634"/>
      <c r="V468" s="634"/>
      <c r="W468" s="634"/>
      <c r="X468" s="634"/>
      <c r="Y468" s="634"/>
      <c r="Z468" s="634"/>
    </row>
    <row r="469" ht="15.75" customHeight="1">
      <c r="A469" s="634"/>
      <c r="B469" s="634"/>
      <c r="C469" s="634"/>
      <c r="D469" s="634"/>
      <c r="E469" s="634"/>
      <c r="F469" s="635"/>
      <c r="G469" s="634"/>
      <c r="H469" s="636"/>
      <c r="I469" s="635"/>
      <c r="J469" s="635"/>
      <c r="K469" s="635"/>
      <c r="L469" s="635"/>
      <c r="M469" s="635"/>
      <c r="N469" s="788"/>
      <c r="O469" s="788"/>
      <c r="P469" s="650"/>
      <c r="Q469" s="789"/>
      <c r="R469" s="634"/>
      <c r="S469" s="634"/>
      <c r="T469" s="634"/>
      <c r="U469" s="634"/>
      <c r="V469" s="634"/>
      <c r="W469" s="634"/>
      <c r="X469" s="634"/>
      <c r="Y469" s="634"/>
      <c r="Z469" s="634"/>
    </row>
    <row r="470" ht="15.75" customHeight="1">
      <c r="A470" s="634"/>
      <c r="B470" s="634"/>
      <c r="C470" s="634"/>
      <c r="D470" s="634"/>
      <c r="E470" s="634"/>
      <c r="F470" s="635"/>
      <c r="G470" s="634"/>
      <c r="H470" s="636"/>
      <c r="I470" s="635"/>
      <c r="J470" s="635"/>
      <c r="K470" s="635"/>
      <c r="L470" s="635"/>
      <c r="M470" s="635"/>
      <c r="N470" s="788"/>
      <c r="O470" s="788"/>
      <c r="P470" s="650"/>
      <c r="Q470" s="789"/>
      <c r="R470" s="634"/>
      <c r="S470" s="634"/>
      <c r="T470" s="634"/>
      <c r="U470" s="634"/>
      <c r="V470" s="634"/>
      <c r="W470" s="634"/>
      <c r="X470" s="634"/>
      <c r="Y470" s="634"/>
      <c r="Z470" s="634"/>
    </row>
    <row r="471" ht="15.75" customHeight="1">
      <c r="A471" s="634"/>
      <c r="B471" s="634"/>
      <c r="C471" s="634"/>
      <c r="D471" s="634"/>
      <c r="E471" s="634"/>
      <c r="F471" s="635"/>
      <c r="G471" s="634"/>
      <c r="H471" s="636"/>
      <c r="I471" s="635"/>
      <c r="J471" s="635"/>
      <c r="K471" s="635"/>
      <c r="L471" s="635"/>
      <c r="M471" s="635"/>
      <c r="N471" s="788"/>
      <c r="O471" s="788"/>
      <c r="P471" s="650"/>
      <c r="Q471" s="789"/>
      <c r="R471" s="634"/>
      <c r="S471" s="634"/>
      <c r="T471" s="634"/>
      <c r="U471" s="634"/>
      <c r="V471" s="634"/>
      <c r="W471" s="634"/>
      <c r="X471" s="634"/>
      <c r="Y471" s="634"/>
      <c r="Z471" s="634"/>
    </row>
    <row r="472" ht="15.75" customHeight="1">
      <c r="A472" s="634"/>
      <c r="B472" s="634"/>
      <c r="C472" s="634"/>
      <c r="D472" s="634"/>
      <c r="E472" s="634"/>
      <c r="F472" s="635"/>
      <c r="G472" s="634"/>
      <c r="H472" s="636"/>
      <c r="I472" s="635"/>
      <c r="J472" s="635"/>
      <c r="K472" s="635"/>
      <c r="L472" s="635"/>
      <c r="M472" s="635"/>
      <c r="N472" s="788"/>
      <c r="O472" s="788"/>
      <c r="P472" s="650"/>
      <c r="Q472" s="789"/>
      <c r="R472" s="634"/>
      <c r="S472" s="634"/>
      <c r="T472" s="634"/>
      <c r="U472" s="634"/>
      <c r="V472" s="634"/>
      <c r="W472" s="634"/>
      <c r="X472" s="634"/>
      <c r="Y472" s="634"/>
      <c r="Z472" s="634"/>
    </row>
    <row r="473" ht="15.75" customHeight="1">
      <c r="A473" s="634"/>
      <c r="B473" s="634"/>
      <c r="C473" s="634"/>
      <c r="D473" s="634"/>
      <c r="E473" s="634"/>
      <c r="F473" s="635"/>
      <c r="G473" s="634"/>
      <c r="H473" s="636"/>
      <c r="I473" s="635"/>
      <c r="J473" s="635"/>
      <c r="K473" s="635"/>
      <c r="L473" s="635"/>
      <c r="M473" s="635"/>
      <c r="N473" s="788"/>
      <c r="O473" s="788"/>
      <c r="P473" s="650"/>
      <c r="Q473" s="789"/>
      <c r="R473" s="634"/>
      <c r="S473" s="634"/>
      <c r="T473" s="634"/>
      <c r="U473" s="634"/>
      <c r="V473" s="634"/>
      <c r="W473" s="634"/>
      <c r="X473" s="634"/>
      <c r="Y473" s="634"/>
      <c r="Z473" s="634"/>
    </row>
    <row r="474" ht="15.75" customHeight="1">
      <c r="A474" s="634"/>
      <c r="B474" s="634"/>
      <c r="C474" s="634"/>
      <c r="D474" s="634"/>
      <c r="E474" s="634"/>
      <c r="F474" s="635"/>
      <c r="G474" s="634"/>
      <c r="H474" s="636"/>
      <c r="I474" s="635"/>
      <c r="J474" s="635"/>
      <c r="K474" s="635"/>
      <c r="L474" s="635"/>
      <c r="M474" s="635"/>
      <c r="N474" s="788"/>
      <c r="O474" s="788"/>
      <c r="P474" s="650"/>
      <c r="Q474" s="789"/>
      <c r="R474" s="634"/>
      <c r="S474" s="634"/>
      <c r="T474" s="634"/>
      <c r="U474" s="634"/>
      <c r="V474" s="634"/>
      <c r="W474" s="634"/>
      <c r="X474" s="634"/>
      <c r="Y474" s="634"/>
      <c r="Z474" s="634"/>
    </row>
    <row r="475" ht="15.75" customHeight="1">
      <c r="A475" s="634"/>
      <c r="B475" s="634"/>
      <c r="C475" s="634"/>
      <c r="D475" s="634"/>
      <c r="E475" s="634"/>
      <c r="F475" s="635"/>
      <c r="G475" s="634"/>
      <c r="H475" s="636"/>
      <c r="I475" s="635"/>
      <c r="J475" s="635"/>
      <c r="K475" s="635"/>
      <c r="L475" s="635"/>
      <c r="M475" s="635"/>
      <c r="N475" s="788"/>
      <c r="O475" s="788"/>
      <c r="P475" s="650"/>
      <c r="Q475" s="789"/>
      <c r="R475" s="634"/>
      <c r="S475" s="634"/>
      <c r="T475" s="634"/>
      <c r="U475" s="634"/>
      <c r="V475" s="634"/>
      <c r="W475" s="634"/>
      <c r="X475" s="634"/>
      <c r="Y475" s="634"/>
      <c r="Z475" s="634"/>
    </row>
    <row r="476" ht="15.75" customHeight="1">
      <c r="A476" s="634"/>
      <c r="B476" s="634"/>
      <c r="C476" s="634"/>
      <c r="D476" s="634"/>
      <c r="E476" s="634"/>
      <c r="F476" s="635"/>
      <c r="G476" s="634"/>
      <c r="H476" s="636"/>
      <c r="I476" s="635"/>
      <c r="J476" s="635"/>
      <c r="K476" s="635"/>
      <c r="L476" s="635"/>
      <c r="M476" s="635"/>
      <c r="N476" s="788"/>
      <c r="O476" s="788"/>
      <c r="P476" s="650"/>
      <c r="Q476" s="789"/>
      <c r="R476" s="634"/>
      <c r="S476" s="634"/>
      <c r="T476" s="634"/>
      <c r="U476" s="634"/>
      <c r="V476" s="634"/>
      <c r="W476" s="634"/>
      <c r="X476" s="634"/>
      <c r="Y476" s="634"/>
      <c r="Z476" s="634"/>
    </row>
    <row r="477" ht="15.75" customHeight="1">
      <c r="A477" s="634"/>
      <c r="B477" s="634"/>
      <c r="C477" s="634"/>
      <c r="D477" s="634"/>
      <c r="E477" s="634"/>
      <c r="F477" s="635"/>
      <c r="G477" s="634"/>
      <c r="H477" s="636"/>
      <c r="I477" s="635"/>
      <c r="J477" s="635"/>
      <c r="K477" s="635"/>
      <c r="L477" s="635"/>
      <c r="M477" s="635"/>
      <c r="N477" s="788"/>
      <c r="O477" s="788"/>
      <c r="P477" s="650"/>
      <c r="Q477" s="789"/>
      <c r="R477" s="634"/>
      <c r="S477" s="634"/>
      <c r="T477" s="634"/>
      <c r="U477" s="634"/>
      <c r="V477" s="634"/>
      <c r="W477" s="634"/>
      <c r="X477" s="634"/>
      <c r="Y477" s="634"/>
      <c r="Z477" s="634"/>
    </row>
    <row r="478" ht="15.75" customHeight="1">
      <c r="A478" s="634"/>
      <c r="B478" s="634"/>
      <c r="C478" s="634"/>
      <c r="D478" s="634"/>
      <c r="E478" s="634"/>
      <c r="F478" s="635"/>
      <c r="G478" s="634"/>
      <c r="H478" s="636"/>
      <c r="I478" s="635"/>
      <c r="J478" s="635"/>
      <c r="K478" s="635"/>
      <c r="L478" s="635"/>
      <c r="M478" s="635"/>
      <c r="N478" s="788"/>
      <c r="O478" s="788"/>
      <c r="P478" s="650"/>
      <c r="Q478" s="789"/>
      <c r="R478" s="634"/>
      <c r="S478" s="634"/>
      <c r="T478" s="634"/>
      <c r="U478" s="634"/>
      <c r="V478" s="634"/>
      <c r="W478" s="634"/>
      <c r="X478" s="634"/>
      <c r="Y478" s="634"/>
      <c r="Z478" s="634"/>
    </row>
    <row r="479" ht="15.75" customHeight="1">
      <c r="A479" s="634"/>
      <c r="B479" s="634"/>
      <c r="C479" s="634"/>
      <c r="D479" s="634"/>
      <c r="E479" s="634"/>
      <c r="F479" s="635"/>
      <c r="G479" s="634"/>
      <c r="H479" s="636"/>
      <c r="I479" s="635"/>
      <c r="J479" s="635"/>
      <c r="K479" s="635"/>
      <c r="L479" s="635"/>
      <c r="M479" s="635"/>
      <c r="N479" s="788"/>
      <c r="O479" s="788"/>
      <c r="P479" s="650"/>
      <c r="Q479" s="789"/>
      <c r="R479" s="634"/>
      <c r="S479" s="634"/>
      <c r="T479" s="634"/>
      <c r="U479" s="634"/>
      <c r="V479" s="634"/>
      <c r="W479" s="634"/>
      <c r="X479" s="634"/>
      <c r="Y479" s="634"/>
      <c r="Z479" s="634"/>
    </row>
    <row r="480" ht="15.75" customHeight="1">
      <c r="A480" s="634"/>
      <c r="B480" s="634"/>
      <c r="C480" s="634"/>
      <c r="D480" s="634"/>
      <c r="E480" s="634"/>
      <c r="F480" s="635"/>
      <c r="G480" s="634"/>
      <c r="H480" s="636"/>
      <c r="I480" s="635"/>
      <c r="J480" s="635"/>
      <c r="K480" s="635"/>
      <c r="L480" s="635"/>
      <c r="M480" s="635"/>
      <c r="N480" s="788"/>
      <c r="O480" s="788"/>
      <c r="P480" s="650"/>
      <c r="Q480" s="789"/>
      <c r="R480" s="634"/>
      <c r="S480" s="634"/>
      <c r="T480" s="634"/>
      <c r="U480" s="634"/>
      <c r="V480" s="634"/>
      <c r="W480" s="634"/>
      <c r="X480" s="634"/>
      <c r="Y480" s="634"/>
      <c r="Z480" s="634"/>
    </row>
    <row r="481" ht="15.75" customHeight="1">
      <c r="A481" s="634"/>
      <c r="B481" s="634"/>
      <c r="C481" s="634"/>
      <c r="D481" s="634"/>
      <c r="E481" s="634"/>
      <c r="F481" s="635"/>
      <c r="G481" s="634"/>
      <c r="H481" s="636"/>
      <c r="I481" s="635"/>
      <c r="J481" s="635"/>
      <c r="K481" s="635"/>
      <c r="L481" s="635"/>
      <c r="M481" s="635"/>
      <c r="N481" s="788"/>
      <c r="O481" s="788"/>
      <c r="P481" s="650"/>
      <c r="Q481" s="789"/>
      <c r="R481" s="634"/>
      <c r="S481" s="634"/>
      <c r="T481" s="634"/>
      <c r="U481" s="634"/>
      <c r="V481" s="634"/>
      <c r="W481" s="634"/>
      <c r="X481" s="634"/>
      <c r="Y481" s="634"/>
      <c r="Z481" s="634"/>
    </row>
    <row r="482" ht="15.75" customHeight="1">
      <c r="A482" s="634"/>
      <c r="B482" s="634"/>
      <c r="C482" s="634"/>
      <c r="D482" s="634"/>
      <c r="E482" s="634"/>
      <c r="F482" s="635"/>
      <c r="G482" s="634"/>
      <c r="H482" s="636"/>
      <c r="I482" s="635"/>
      <c r="J482" s="635"/>
      <c r="K482" s="635"/>
      <c r="L482" s="635"/>
      <c r="M482" s="635"/>
      <c r="N482" s="788"/>
      <c r="O482" s="788"/>
      <c r="P482" s="650"/>
      <c r="Q482" s="789"/>
      <c r="R482" s="634"/>
      <c r="S482" s="634"/>
      <c r="T482" s="634"/>
      <c r="U482" s="634"/>
      <c r="V482" s="634"/>
      <c r="W482" s="634"/>
      <c r="X482" s="634"/>
      <c r="Y482" s="634"/>
      <c r="Z482" s="634"/>
    </row>
    <row r="483" ht="15.75" customHeight="1">
      <c r="A483" s="634"/>
      <c r="B483" s="634"/>
      <c r="C483" s="634"/>
      <c r="D483" s="634"/>
      <c r="E483" s="634"/>
      <c r="F483" s="635"/>
      <c r="G483" s="634"/>
      <c r="H483" s="636"/>
      <c r="I483" s="635"/>
      <c r="J483" s="635"/>
      <c r="K483" s="635"/>
      <c r="L483" s="635"/>
      <c r="M483" s="635"/>
      <c r="N483" s="788"/>
      <c r="O483" s="788"/>
      <c r="P483" s="650"/>
      <c r="Q483" s="789"/>
      <c r="R483" s="634"/>
      <c r="S483" s="634"/>
      <c r="T483" s="634"/>
      <c r="U483" s="634"/>
      <c r="V483" s="634"/>
      <c r="W483" s="634"/>
      <c r="X483" s="634"/>
      <c r="Y483" s="634"/>
      <c r="Z483" s="634"/>
    </row>
    <row r="484" ht="15.75" customHeight="1">
      <c r="A484" s="634"/>
      <c r="B484" s="634"/>
      <c r="C484" s="634"/>
      <c r="D484" s="634"/>
      <c r="E484" s="634"/>
      <c r="F484" s="635"/>
      <c r="G484" s="634"/>
      <c r="H484" s="636"/>
      <c r="I484" s="635"/>
      <c r="J484" s="635"/>
      <c r="K484" s="635"/>
      <c r="L484" s="635"/>
      <c r="M484" s="635"/>
      <c r="N484" s="788"/>
      <c r="O484" s="788"/>
      <c r="P484" s="650"/>
      <c r="Q484" s="789"/>
      <c r="R484" s="634"/>
      <c r="S484" s="634"/>
      <c r="T484" s="634"/>
      <c r="U484" s="634"/>
      <c r="V484" s="634"/>
      <c r="W484" s="634"/>
      <c r="X484" s="634"/>
      <c r="Y484" s="634"/>
      <c r="Z484" s="634"/>
    </row>
    <row r="485" ht="15.75" customHeight="1">
      <c r="A485" s="634"/>
      <c r="B485" s="634"/>
      <c r="C485" s="634"/>
      <c r="D485" s="634"/>
      <c r="E485" s="634"/>
      <c r="F485" s="635"/>
      <c r="G485" s="634"/>
      <c r="H485" s="636"/>
      <c r="I485" s="635"/>
      <c r="J485" s="635"/>
      <c r="K485" s="635"/>
      <c r="L485" s="635"/>
      <c r="M485" s="635"/>
      <c r="N485" s="788"/>
      <c r="O485" s="788"/>
      <c r="P485" s="650"/>
      <c r="Q485" s="789"/>
      <c r="R485" s="634"/>
      <c r="S485" s="634"/>
      <c r="T485" s="634"/>
      <c r="U485" s="634"/>
      <c r="V485" s="634"/>
      <c r="W485" s="634"/>
      <c r="X485" s="634"/>
      <c r="Y485" s="634"/>
      <c r="Z485" s="634"/>
    </row>
    <row r="486" ht="15.75" customHeight="1">
      <c r="A486" s="634"/>
      <c r="B486" s="634"/>
      <c r="C486" s="634"/>
      <c r="D486" s="634"/>
      <c r="E486" s="634"/>
      <c r="F486" s="635"/>
      <c r="G486" s="634"/>
      <c r="H486" s="636"/>
      <c r="I486" s="635"/>
      <c r="J486" s="635"/>
      <c r="K486" s="635"/>
      <c r="L486" s="635"/>
      <c r="M486" s="635"/>
      <c r="N486" s="788"/>
      <c r="O486" s="788"/>
      <c r="P486" s="650"/>
      <c r="Q486" s="789"/>
      <c r="R486" s="634"/>
      <c r="S486" s="634"/>
      <c r="T486" s="634"/>
      <c r="U486" s="634"/>
      <c r="V486" s="634"/>
      <c r="W486" s="634"/>
      <c r="X486" s="634"/>
      <c r="Y486" s="634"/>
      <c r="Z486" s="634"/>
    </row>
    <row r="487" ht="15.75" customHeight="1">
      <c r="A487" s="634"/>
      <c r="B487" s="634"/>
      <c r="C487" s="634"/>
      <c r="D487" s="634"/>
      <c r="E487" s="634"/>
      <c r="F487" s="635"/>
      <c r="G487" s="634"/>
      <c r="H487" s="636"/>
      <c r="I487" s="635"/>
      <c r="J487" s="635"/>
      <c r="K487" s="635"/>
      <c r="L487" s="635"/>
      <c r="M487" s="635"/>
      <c r="N487" s="788"/>
      <c r="O487" s="788"/>
      <c r="P487" s="650"/>
      <c r="Q487" s="789"/>
      <c r="R487" s="634"/>
      <c r="S487" s="634"/>
      <c r="T487" s="634"/>
      <c r="U487" s="634"/>
      <c r="V487" s="634"/>
      <c r="W487" s="634"/>
      <c r="X487" s="634"/>
      <c r="Y487" s="634"/>
      <c r="Z487" s="634"/>
    </row>
    <row r="488" ht="15.75" customHeight="1">
      <c r="A488" s="634"/>
      <c r="B488" s="634"/>
      <c r="C488" s="634"/>
      <c r="D488" s="634"/>
      <c r="E488" s="634"/>
      <c r="F488" s="635"/>
      <c r="G488" s="634"/>
      <c r="H488" s="636"/>
      <c r="I488" s="635"/>
      <c r="J488" s="635"/>
      <c r="K488" s="635"/>
      <c r="L488" s="635"/>
      <c r="M488" s="635"/>
      <c r="N488" s="788"/>
      <c r="O488" s="788"/>
      <c r="P488" s="650"/>
      <c r="Q488" s="789"/>
      <c r="R488" s="634"/>
      <c r="S488" s="634"/>
      <c r="T488" s="634"/>
      <c r="U488" s="634"/>
      <c r="V488" s="634"/>
      <c r="W488" s="634"/>
      <c r="X488" s="634"/>
      <c r="Y488" s="634"/>
      <c r="Z488" s="634"/>
    </row>
    <row r="489" ht="15.75" customHeight="1">
      <c r="A489" s="634"/>
      <c r="B489" s="634"/>
      <c r="C489" s="634"/>
      <c r="D489" s="634"/>
      <c r="E489" s="634"/>
      <c r="F489" s="635"/>
      <c r="G489" s="634"/>
      <c r="H489" s="636"/>
      <c r="I489" s="635"/>
      <c r="J489" s="635"/>
      <c r="K489" s="635"/>
      <c r="L489" s="635"/>
      <c r="M489" s="635"/>
      <c r="N489" s="788"/>
      <c r="O489" s="788"/>
      <c r="P489" s="650"/>
      <c r="Q489" s="789"/>
      <c r="R489" s="634"/>
      <c r="S489" s="634"/>
      <c r="T489" s="634"/>
      <c r="U489" s="634"/>
      <c r="V489" s="634"/>
      <c r="W489" s="634"/>
      <c r="X489" s="634"/>
      <c r="Y489" s="634"/>
      <c r="Z489" s="634"/>
    </row>
    <row r="490" ht="15.75" customHeight="1">
      <c r="A490" s="634"/>
      <c r="B490" s="634"/>
      <c r="C490" s="634"/>
      <c r="D490" s="634"/>
      <c r="E490" s="634"/>
      <c r="F490" s="635"/>
      <c r="G490" s="634"/>
      <c r="H490" s="636"/>
      <c r="I490" s="635"/>
      <c r="J490" s="635"/>
      <c r="K490" s="635"/>
      <c r="L490" s="635"/>
      <c r="M490" s="635"/>
      <c r="N490" s="788"/>
      <c r="O490" s="788"/>
      <c r="P490" s="650"/>
      <c r="Q490" s="789"/>
      <c r="R490" s="634"/>
      <c r="S490" s="634"/>
      <c r="T490" s="634"/>
      <c r="U490" s="634"/>
      <c r="V490" s="634"/>
      <c r="W490" s="634"/>
      <c r="X490" s="634"/>
      <c r="Y490" s="634"/>
      <c r="Z490" s="634"/>
    </row>
    <row r="491" ht="15.75" customHeight="1">
      <c r="A491" s="634"/>
      <c r="B491" s="634"/>
      <c r="C491" s="634"/>
      <c r="D491" s="634"/>
      <c r="E491" s="634"/>
      <c r="F491" s="635"/>
      <c r="G491" s="634"/>
      <c r="H491" s="636"/>
      <c r="I491" s="635"/>
      <c r="J491" s="635"/>
      <c r="K491" s="635"/>
      <c r="L491" s="635"/>
      <c r="M491" s="635"/>
      <c r="N491" s="788"/>
      <c r="O491" s="788"/>
      <c r="P491" s="650"/>
      <c r="Q491" s="789"/>
      <c r="R491" s="634"/>
      <c r="S491" s="634"/>
      <c r="T491" s="634"/>
      <c r="U491" s="634"/>
      <c r="V491" s="634"/>
      <c r="W491" s="634"/>
      <c r="X491" s="634"/>
      <c r="Y491" s="634"/>
      <c r="Z491" s="634"/>
    </row>
    <row r="492" ht="15.75" customHeight="1">
      <c r="A492" s="634"/>
      <c r="B492" s="634"/>
      <c r="C492" s="634"/>
      <c r="D492" s="634"/>
      <c r="E492" s="634"/>
      <c r="F492" s="635"/>
      <c r="G492" s="634"/>
      <c r="H492" s="636"/>
      <c r="I492" s="635"/>
      <c r="J492" s="635"/>
      <c r="K492" s="635"/>
      <c r="L492" s="635"/>
      <c r="M492" s="635"/>
      <c r="N492" s="788"/>
      <c r="O492" s="788"/>
      <c r="P492" s="650"/>
      <c r="Q492" s="789"/>
      <c r="R492" s="634"/>
      <c r="S492" s="634"/>
      <c r="T492" s="634"/>
      <c r="U492" s="634"/>
      <c r="V492" s="634"/>
      <c r="W492" s="634"/>
      <c r="X492" s="634"/>
      <c r="Y492" s="634"/>
      <c r="Z492" s="634"/>
    </row>
    <row r="493" ht="15.75" customHeight="1">
      <c r="A493" s="634"/>
      <c r="B493" s="634"/>
      <c r="C493" s="634"/>
      <c r="D493" s="634"/>
      <c r="E493" s="634"/>
      <c r="F493" s="635"/>
      <c r="G493" s="634"/>
      <c r="H493" s="636"/>
      <c r="I493" s="635"/>
      <c r="J493" s="635"/>
      <c r="K493" s="635"/>
      <c r="L493" s="635"/>
      <c r="M493" s="635"/>
      <c r="N493" s="788"/>
      <c r="O493" s="788"/>
      <c r="P493" s="650"/>
      <c r="Q493" s="789"/>
      <c r="R493" s="634"/>
      <c r="S493" s="634"/>
      <c r="T493" s="634"/>
      <c r="U493" s="634"/>
      <c r="V493" s="634"/>
      <c r="W493" s="634"/>
      <c r="X493" s="634"/>
      <c r="Y493" s="634"/>
      <c r="Z493" s="634"/>
    </row>
    <row r="494" ht="15.75" customHeight="1">
      <c r="A494" s="634"/>
      <c r="B494" s="634"/>
      <c r="C494" s="634"/>
      <c r="D494" s="634"/>
      <c r="E494" s="634"/>
      <c r="F494" s="635"/>
      <c r="G494" s="634"/>
      <c r="H494" s="636"/>
      <c r="I494" s="635"/>
      <c r="J494" s="635"/>
      <c r="K494" s="635"/>
      <c r="L494" s="635"/>
      <c r="M494" s="635"/>
      <c r="N494" s="788"/>
      <c r="O494" s="788"/>
      <c r="P494" s="650"/>
      <c r="Q494" s="789"/>
      <c r="R494" s="634"/>
      <c r="S494" s="634"/>
      <c r="T494" s="634"/>
      <c r="U494" s="634"/>
      <c r="V494" s="634"/>
      <c r="W494" s="634"/>
      <c r="X494" s="634"/>
      <c r="Y494" s="634"/>
      <c r="Z494" s="634"/>
    </row>
    <row r="495" ht="15.75" customHeight="1">
      <c r="A495" s="634"/>
      <c r="B495" s="634"/>
      <c r="C495" s="634"/>
      <c r="D495" s="634"/>
      <c r="E495" s="634"/>
      <c r="F495" s="635"/>
      <c r="G495" s="634"/>
      <c r="H495" s="636"/>
      <c r="I495" s="635"/>
      <c r="J495" s="635"/>
      <c r="K495" s="635"/>
      <c r="L495" s="635"/>
      <c r="M495" s="635"/>
      <c r="N495" s="788"/>
      <c r="O495" s="788"/>
      <c r="P495" s="650"/>
      <c r="Q495" s="789"/>
      <c r="R495" s="634"/>
      <c r="S495" s="634"/>
      <c r="T495" s="634"/>
      <c r="U495" s="634"/>
      <c r="V495" s="634"/>
      <c r="W495" s="634"/>
      <c r="X495" s="634"/>
      <c r="Y495" s="634"/>
      <c r="Z495" s="634"/>
    </row>
    <row r="496" ht="15.75" customHeight="1">
      <c r="A496" s="634"/>
      <c r="B496" s="634"/>
      <c r="C496" s="634"/>
      <c r="D496" s="634"/>
      <c r="E496" s="634"/>
      <c r="F496" s="635"/>
      <c r="G496" s="634"/>
      <c r="H496" s="636"/>
      <c r="I496" s="635"/>
      <c r="J496" s="635"/>
      <c r="K496" s="635"/>
      <c r="L496" s="635"/>
      <c r="M496" s="635"/>
      <c r="N496" s="788"/>
      <c r="O496" s="788"/>
      <c r="P496" s="650"/>
      <c r="Q496" s="789"/>
      <c r="R496" s="634"/>
      <c r="S496" s="634"/>
      <c r="T496" s="634"/>
      <c r="U496" s="634"/>
      <c r="V496" s="634"/>
      <c r="W496" s="634"/>
      <c r="X496" s="634"/>
      <c r="Y496" s="634"/>
      <c r="Z496" s="634"/>
    </row>
    <row r="497" ht="15.75" customHeight="1">
      <c r="A497" s="634"/>
      <c r="B497" s="634"/>
      <c r="C497" s="634"/>
      <c r="D497" s="634"/>
      <c r="E497" s="634"/>
      <c r="F497" s="635"/>
      <c r="G497" s="634"/>
      <c r="H497" s="636"/>
      <c r="I497" s="635"/>
      <c r="J497" s="635"/>
      <c r="K497" s="635"/>
      <c r="L497" s="635"/>
      <c r="M497" s="635"/>
      <c r="N497" s="788"/>
      <c r="O497" s="788"/>
      <c r="P497" s="650"/>
      <c r="Q497" s="789"/>
      <c r="R497" s="634"/>
      <c r="S497" s="634"/>
      <c r="T497" s="634"/>
      <c r="U497" s="634"/>
      <c r="V497" s="634"/>
      <c r="W497" s="634"/>
      <c r="X497" s="634"/>
      <c r="Y497" s="634"/>
      <c r="Z497" s="634"/>
    </row>
    <row r="498" ht="15.75" customHeight="1">
      <c r="A498" s="634"/>
      <c r="B498" s="634"/>
      <c r="C498" s="634"/>
      <c r="D498" s="634"/>
      <c r="E498" s="634"/>
      <c r="F498" s="635"/>
      <c r="G498" s="634"/>
      <c r="H498" s="636"/>
      <c r="I498" s="635"/>
      <c r="J498" s="635"/>
      <c r="K498" s="635"/>
      <c r="L498" s="635"/>
      <c r="M498" s="635"/>
      <c r="N498" s="788"/>
      <c r="O498" s="788"/>
      <c r="P498" s="650"/>
      <c r="Q498" s="789"/>
      <c r="R498" s="634"/>
      <c r="S498" s="634"/>
      <c r="T498" s="634"/>
      <c r="U498" s="634"/>
      <c r="V498" s="634"/>
      <c r="W498" s="634"/>
      <c r="X498" s="634"/>
      <c r="Y498" s="634"/>
      <c r="Z498" s="634"/>
    </row>
    <row r="499" ht="15.75" customHeight="1">
      <c r="A499" s="634"/>
      <c r="B499" s="634"/>
      <c r="C499" s="634"/>
      <c r="D499" s="634"/>
      <c r="E499" s="634"/>
      <c r="F499" s="635"/>
      <c r="G499" s="634"/>
      <c r="H499" s="636"/>
      <c r="I499" s="635"/>
      <c r="J499" s="635"/>
      <c r="K499" s="635"/>
      <c r="L499" s="635"/>
      <c r="M499" s="635"/>
      <c r="N499" s="788"/>
      <c r="O499" s="788"/>
      <c r="P499" s="650"/>
      <c r="Q499" s="789"/>
      <c r="R499" s="634"/>
      <c r="S499" s="634"/>
      <c r="T499" s="634"/>
      <c r="U499" s="634"/>
      <c r="V499" s="634"/>
      <c r="W499" s="634"/>
      <c r="X499" s="634"/>
      <c r="Y499" s="634"/>
      <c r="Z499" s="634"/>
    </row>
    <row r="500" ht="15.75" customHeight="1">
      <c r="A500" s="634"/>
      <c r="B500" s="634"/>
      <c r="C500" s="634"/>
      <c r="D500" s="634"/>
      <c r="E500" s="634"/>
      <c r="F500" s="635"/>
      <c r="G500" s="634"/>
      <c r="H500" s="636"/>
      <c r="I500" s="635"/>
      <c r="J500" s="635"/>
      <c r="K500" s="635"/>
      <c r="L500" s="635"/>
      <c r="M500" s="635"/>
      <c r="N500" s="788"/>
      <c r="O500" s="788"/>
      <c r="P500" s="650"/>
      <c r="Q500" s="789"/>
      <c r="R500" s="634"/>
      <c r="S500" s="634"/>
      <c r="T500" s="634"/>
      <c r="U500" s="634"/>
      <c r="V500" s="634"/>
      <c r="W500" s="634"/>
      <c r="X500" s="634"/>
      <c r="Y500" s="634"/>
      <c r="Z500" s="634"/>
    </row>
    <row r="501" ht="15.75" customHeight="1">
      <c r="A501" s="634"/>
      <c r="B501" s="634"/>
      <c r="C501" s="634"/>
      <c r="D501" s="634"/>
      <c r="E501" s="634"/>
      <c r="F501" s="635"/>
      <c r="G501" s="634"/>
      <c r="H501" s="636"/>
      <c r="I501" s="635"/>
      <c r="J501" s="635"/>
      <c r="K501" s="635"/>
      <c r="L501" s="635"/>
      <c r="M501" s="635"/>
      <c r="N501" s="788"/>
      <c r="O501" s="788"/>
      <c r="P501" s="650"/>
      <c r="Q501" s="789"/>
      <c r="R501" s="634"/>
      <c r="S501" s="634"/>
      <c r="T501" s="634"/>
      <c r="U501" s="634"/>
      <c r="V501" s="634"/>
      <c r="W501" s="634"/>
      <c r="X501" s="634"/>
      <c r="Y501" s="634"/>
      <c r="Z501" s="634"/>
    </row>
    <row r="502" ht="15.75" customHeight="1">
      <c r="A502" s="634"/>
      <c r="B502" s="634"/>
      <c r="C502" s="634"/>
      <c r="D502" s="634"/>
      <c r="E502" s="634"/>
      <c r="F502" s="635"/>
      <c r="G502" s="634"/>
      <c r="H502" s="636"/>
      <c r="I502" s="635"/>
      <c r="J502" s="635"/>
      <c r="K502" s="635"/>
      <c r="L502" s="635"/>
      <c r="M502" s="635"/>
      <c r="N502" s="788"/>
      <c r="O502" s="788"/>
      <c r="P502" s="650"/>
      <c r="Q502" s="789"/>
      <c r="R502" s="634"/>
      <c r="S502" s="634"/>
      <c r="T502" s="634"/>
      <c r="U502" s="634"/>
      <c r="V502" s="634"/>
      <c r="W502" s="634"/>
      <c r="X502" s="634"/>
      <c r="Y502" s="634"/>
      <c r="Z502" s="634"/>
    </row>
    <row r="503" ht="15.75" customHeight="1">
      <c r="A503" s="634"/>
      <c r="B503" s="634"/>
      <c r="C503" s="634"/>
      <c r="D503" s="634"/>
      <c r="E503" s="634"/>
      <c r="F503" s="635"/>
      <c r="G503" s="634"/>
      <c r="H503" s="636"/>
      <c r="I503" s="635"/>
      <c r="J503" s="635"/>
      <c r="K503" s="635"/>
      <c r="L503" s="635"/>
      <c r="M503" s="635"/>
      <c r="N503" s="788"/>
      <c r="O503" s="788"/>
      <c r="P503" s="650"/>
      <c r="Q503" s="789"/>
      <c r="R503" s="634"/>
      <c r="S503" s="634"/>
      <c r="T503" s="634"/>
      <c r="U503" s="634"/>
      <c r="V503" s="634"/>
      <c r="W503" s="634"/>
      <c r="X503" s="634"/>
      <c r="Y503" s="634"/>
      <c r="Z503" s="634"/>
    </row>
    <row r="504" ht="15.75" customHeight="1">
      <c r="A504" s="634"/>
      <c r="B504" s="634"/>
      <c r="C504" s="634"/>
      <c r="D504" s="634"/>
      <c r="E504" s="634"/>
      <c r="F504" s="635"/>
      <c r="G504" s="634"/>
      <c r="H504" s="636"/>
      <c r="I504" s="635"/>
      <c r="J504" s="635"/>
      <c r="K504" s="635"/>
      <c r="L504" s="635"/>
      <c r="M504" s="635"/>
      <c r="N504" s="788"/>
      <c r="O504" s="788"/>
      <c r="P504" s="650"/>
      <c r="Q504" s="789"/>
      <c r="R504" s="634"/>
      <c r="S504" s="634"/>
      <c r="T504" s="634"/>
      <c r="U504" s="634"/>
      <c r="V504" s="634"/>
      <c r="W504" s="634"/>
      <c r="X504" s="634"/>
      <c r="Y504" s="634"/>
      <c r="Z504" s="634"/>
    </row>
    <row r="505" ht="15.75" customHeight="1">
      <c r="A505" s="634"/>
      <c r="B505" s="634"/>
      <c r="C505" s="634"/>
      <c r="D505" s="634"/>
      <c r="E505" s="634"/>
      <c r="F505" s="635"/>
      <c r="G505" s="634"/>
      <c r="H505" s="636"/>
      <c r="I505" s="635"/>
      <c r="J505" s="635"/>
      <c r="K505" s="635"/>
      <c r="L505" s="635"/>
      <c r="M505" s="635"/>
      <c r="N505" s="788"/>
      <c r="O505" s="788"/>
      <c r="P505" s="650"/>
      <c r="Q505" s="789"/>
      <c r="R505" s="634"/>
      <c r="S505" s="634"/>
      <c r="T505" s="634"/>
      <c r="U505" s="634"/>
      <c r="V505" s="634"/>
      <c r="W505" s="634"/>
      <c r="X505" s="634"/>
      <c r="Y505" s="634"/>
      <c r="Z505" s="634"/>
    </row>
    <row r="506" ht="15.75" customHeight="1">
      <c r="A506" s="634"/>
      <c r="B506" s="634"/>
      <c r="C506" s="634"/>
      <c r="D506" s="634"/>
      <c r="E506" s="634"/>
      <c r="F506" s="635"/>
      <c r="G506" s="634"/>
      <c r="H506" s="636"/>
      <c r="I506" s="635"/>
      <c r="J506" s="635"/>
      <c r="K506" s="635"/>
      <c r="L506" s="635"/>
      <c r="M506" s="635"/>
      <c r="N506" s="788"/>
      <c r="O506" s="788"/>
      <c r="P506" s="650"/>
      <c r="Q506" s="789"/>
      <c r="R506" s="634"/>
      <c r="S506" s="634"/>
      <c r="T506" s="634"/>
      <c r="U506" s="634"/>
      <c r="V506" s="634"/>
      <c r="W506" s="634"/>
      <c r="X506" s="634"/>
      <c r="Y506" s="634"/>
      <c r="Z506" s="634"/>
    </row>
    <row r="507" ht="15.75" customHeight="1">
      <c r="A507" s="634"/>
      <c r="B507" s="634"/>
      <c r="C507" s="634"/>
      <c r="D507" s="634"/>
      <c r="E507" s="634"/>
      <c r="F507" s="635"/>
      <c r="G507" s="634"/>
      <c r="H507" s="636"/>
      <c r="I507" s="635"/>
      <c r="J507" s="635"/>
      <c r="K507" s="635"/>
      <c r="L507" s="635"/>
      <c r="M507" s="635"/>
      <c r="N507" s="788"/>
      <c r="O507" s="788"/>
      <c r="P507" s="650"/>
      <c r="Q507" s="789"/>
      <c r="R507" s="634"/>
      <c r="S507" s="634"/>
      <c r="T507" s="634"/>
      <c r="U507" s="634"/>
      <c r="V507" s="634"/>
      <c r="W507" s="634"/>
      <c r="X507" s="634"/>
      <c r="Y507" s="634"/>
      <c r="Z507" s="634"/>
    </row>
    <row r="508" ht="15.75" customHeight="1">
      <c r="A508" s="634"/>
      <c r="B508" s="634"/>
      <c r="C508" s="634"/>
      <c r="D508" s="634"/>
      <c r="E508" s="634"/>
      <c r="F508" s="635"/>
      <c r="G508" s="634"/>
      <c r="H508" s="636"/>
      <c r="I508" s="635"/>
      <c r="J508" s="635"/>
      <c r="K508" s="635"/>
      <c r="L508" s="635"/>
      <c r="M508" s="635"/>
      <c r="N508" s="788"/>
      <c r="O508" s="788"/>
      <c r="P508" s="650"/>
      <c r="Q508" s="789"/>
      <c r="R508" s="634"/>
      <c r="S508" s="634"/>
      <c r="T508" s="634"/>
      <c r="U508" s="634"/>
      <c r="V508" s="634"/>
      <c r="W508" s="634"/>
      <c r="X508" s="634"/>
      <c r="Y508" s="634"/>
      <c r="Z508" s="634"/>
    </row>
    <row r="509" ht="15.75" customHeight="1">
      <c r="A509" s="634"/>
      <c r="B509" s="634"/>
      <c r="C509" s="634"/>
      <c r="D509" s="634"/>
      <c r="E509" s="634"/>
      <c r="F509" s="635"/>
      <c r="G509" s="634"/>
      <c r="H509" s="636"/>
      <c r="I509" s="635"/>
      <c r="J509" s="635"/>
      <c r="K509" s="635"/>
      <c r="L509" s="635"/>
      <c r="M509" s="635"/>
      <c r="N509" s="788"/>
      <c r="O509" s="788"/>
      <c r="P509" s="650"/>
      <c r="Q509" s="789"/>
      <c r="R509" s="634"/>
      <c r="S509" s="634"/>
      <c r="T509" s="634"/>
      <c r="U509" s="634"/>
      <c r="V509" s="634"/>
      <c r="W509" s="634"/>
      <c r="X509" s="634"/>
      <c r="Y509" s="634"/>
      <c r="Z509" s="634"/>
    </row>
    <row r="510" ht="15.75" customHeight="1">
      <c r="A510" s="634"/>
      <c r="B510" s="634"/>
      <c r="C510" s="634"/>
      <c r="D510" s="634"/>
      <c r="E510" s="634"/>
      <c r="F510" s="635"/>
      <c r="G510" s="634"/>
      <c r="H510" s="636"/>
      <c r="I510" s="635"/>
      <c r="J510" s="635"/>
      <c r="K510" s="635"/>
      <c r="L510" s="635"/>
      <c r="M510" s="635"/>
      <c r="N510" s="788"/>
      <c r="O510" s="788"/>
      <c r="P510" s="650"/>
      <c r="Q510" s="789"/>
      <c r="R510" s="634"/>
      <c r="S510" s="634"/>
      <c r="T510" s="634"/>
      <c r="U510" s="634"/>
      <c r="V510" s="634"/>
      <c r="W510" s="634"/>
      <c r="X510" s="634"/>
      <c r="Y510" s="634"/>
      <c r="Z510" s="634"/>
    </row>
    <row r="511" ht="15.75" customHeight="1">
      <c r="A511" s="634"/>
      <c r="B511" s="634"/>
      <c r="C511" s="634"/>
      <c r="D511" s="634"/>
      <c r="E511" s="634"/>
      <c r="F511" s="635"/>
      <c r="G511" s="634"/>
      <c r="H511" s="636"/>
      <c r="I511" s="635"/>
      <c r="J511" s="635"/>
      <c r="K511" s="635"/>
      <c r="L511" s="635"/>
      <c r="M511" s="635"/>
      <c r="N511" s="788"/>
      <c r="O511" s="788"/>
      <c r="P511" s="650"/>
      <c r="Q511" s="789"/>
      <c r="R511" s="634"/>
      <c r="S511" s="634"/>
      <c r="T511" s="634"/>
      <c r="U511" s="634"/>
      <c r="V511" s="634"/>
      <c r="W511" s="634"/>
      <c r="X511" s="634"/>
      <c r="Y511" s="634"/>
      <c r="Z511" s="634"/>
    </row>
    <row r="512" ht="15.75" customHeight="1">
      <c r="A512" s="634"/>
      <c r="B512" s="634"/>
      <c r="C512" s="634"/>
      <c r="D512" s="634"/>
      <c r="E512" s="634"/>
      <c r="F512" s="635"/>
      <c r="G512" s="634"/>
      <c r="H512" s="636"/>
      <c r="I512" s="635"/>
      <c r="J512" s="635"/>
      <c r="K512" s="635"/>
      <c r="L512" s="635"/>
      <c r="M512" s="635"/>
      <c r="N512" s="788"/>
      <c r="O512" s="788"/>
      <c r="P512" s="650"/>
      <c r="Q512" s="789"/>
      <c r="R512" s="634"/>
      <c r="S512" s="634"/>
      <c r="T512" s="634"/>
      <c r="U512" s="634"/>
      <c r="V512" s="634"/>
      <c r="W512" s="634"/>
      <c r="X512" s="634"/>
      <c r="Y512" s="634"/>
      <c r="Z512" s="634"/>
    </row>
    <row r="513" ht="15.75" customHeight="1">
      <c r="A513" s="634"/>
      <c r="B513" s="634"/>
      <c r="C513" s="634"/>
      <c r="D513" s="634"/>
      <c r="E513" s="634"/>
      <c r="F513" s="635"/>
      <c r="G513" s="634"/>
      <c r="H513" s="636"/>
      <c r="I513" s="635"/>
      <c r="J513" s="635"/>
      <c r="K513" s="635"/>
      <c r="L513" s="635"/>
      <c r="M513" s="635"/>
      <c r="N513" s="788"/>
      <c r="O513" s="788"/>
      <c r="P513" s="650"/>
      <c r="Q513" s="789"/>
      <c r="R513" s="634"/>
      <c r="S513" s="634"/>
      <c r="T513" s="634"/>
      <c r="U513" s="634"/>
      <c r="V513" s="634"/>
      <c r="W513" s="634"/>
      <c r="X513" s="634"/>
      <c r="Y513" s="634"/>
      <c r="Z513" s="634"/>
    </row>
    <row r="514" ht="15.75" customHeight="1">
      <c r="A514" s="634"/>
      <c r="B514" s="634"/>
      <c r="C514" s="634"/>
      <c r="D514" s="634"/>
      <c r="E514" s="634"/>
      <c r="F514" s="635"/>
      <c r="G514" s="634"/>
      <c r="H514" s="636"/>
      <c r="I514" s="635"/>
      <c r="J514" s="635"/>
      <c r="K514" s="635"/>
      <c r="L514" s="635"/>
      <c r="M514" s="635"/>
      <c r="N514" s="788"/>
      <c r="O514" s="788"/>
      <c r="P514" s="650"/>
      <c r="Q514" s="789"/>
      <c r="R514" s="634"/>
      <c r="S514" s="634"/>
      <c r="T514" s="634"/>
      <c r="U514" s="634"/>
      <c r="V514" s="634"/>
      <c r="W514" s="634"/>
      <c r="X514" s="634"/>
      <c r="Y514" s="634"/>
      <c r="Z514" s="634"/>
    </row>
    <row r="515" ht="15.75" customHeight="1">
      <c r="A515" s="634"/>
      <c r="B515" s="634"/>
      <c r="C515" s="634"/>
      <c r="D515" s="634"/>
      <c r="E515" s="634"/>
      <c r="F515" s="635"/>
      <c r="G515" s="634"/>
      <c r="H515" s="636"/>
      <c r="I515" s="635"/>
      <c r="J515" s="635"/>
      <c r="K515" s="635"/>
      <c r="L515" s="635"/>
      <c r="M515" s="635"/>
      <c r="N515" s="788"/>
      <c r="O515" s="788"/>
      <c r="P515" s="650"/>
      <c r="Q515" s="789"/>
      <c r="R515" s="634"/>
      <c r="S515" s="634"/>
      <c r="T515" s="634"/>
      <c r="U515" s="634"/>
      <c r="V515" s="634"/>
      <c r="W515" s="634"/>
      <c r="X515" s="634"/>
      <c r="Y515" s="634"/>
      <c r="Z515" s="634"/>
    </row>
    <row r="516" ht="15.75" customHeight="1">
      <c r="A516" s="634"/>
      <c r="B516" s="634"/>
      <c r="C516" s="634"/>
      <c r="D516" s="634"/>
      <c r="E516" s="634"/>
      <c r="F516" s="635"/>
      <c r="G516" s="634"/>
      <c r="H516" s="636"/>
      <c r="I516" s="635"/>
      <c r="J516" s="635"/>
      <c r="K516" s="635"/>
      <c r="L516" s="635"/>
      <c r="M516" s="635"/>
      <c r="N516" s="788"/>
      <c r="O516" s="788"/>
      <c r="P516" s="650"/>
      <c r="Q516" s="789"/>
      <c r="R516" s="634"/>
      <c r="S516" s="634"/>
      <c r="T516" s="634"/>
      <c r="U516" s="634"/>
      <c r="V516" s="634"/>
      <c r="W516" s="634"/>
      <c r="X516" s="634"/>
      <c r="Y516" s="634"/>
      <c r="Z516" s="634"/>
    </row>
    <row r="517" ht="15.75" customHeight="1">
      <c r="A517" s="634"/>
      <c r="B517" s="634"/>
      <c r="C517" s="634"/>
      <c r="D517" s="634"/>
      <c r="E517" s="634"/>
      <c r="F517" s="635"/>
      <c r="G517" s="634"/>
      <c r="H517" s="636"/>
      <c r="I517" s="635"/>
      <c r="J517" s="635"/>
      <c r="K517" s="635"/>
      <c r="L517" s="635"/>
      <c r="M517" s="635"/>
      <c r="N517" s="788"/>
      <c r="O517" s="788"/>
      <c r="P517" s="650"/>
      <c r="Q517" s="789"/>
      <c r="R517" s="634"/>
      <c r="S517" s="634"/>
      <c r="T517" s="634"/>
      <c r="U517" s="634"/>
      <c r="V517" s="634"/>
      <c r="W517" s="634"/>
      <c r="X517" s="634"/>
      <c r="Y517" s="634"/>
      <c r="Z517" s="634"/>
    </row>
    <row r="518" ht="15.75" customHeight="1">
      <c r="A518" s="634"/>
      <c r="B518" s="634"/>
      <c r="C518" s="634"/>
      <c r="D518" s="634"/>
      <c r="E518" s="634"/>
      <c r="F518" s="635"/>
      <c r="G518" s="634"/>
      <c r="H518" s="636"/>
      <c r="I518" s="635"/>
      <c r="J518" s="635"/>
      <c r="K518" s="635"/>
      <c r="L518" s="635"/>
      <c r="M518" s="635"/>
      <c r="N518" s="788"/>
      <c r="O518" s="788"/>
      <c r="P518" s="650"/>
      <c r="Q518" s="789"/>
      <c r="R518" s="634"/>
      <c r="S518" s="634"/>
      <c r="T518" s="634"/>
      <c r="U518" s="634"/>
      <c r="V518" s="634"/>
      <c r="W518" s="634"/>
      <c r="X518" s="634"/>
      <c r="Y518" s="634"/>
      <c r="Z518" s="634"/>
    </row>
    <row r="519" ht="15.75" customHeight="1">
      <c r="A519" s="634"/>
      <c r="B519" s="634"/>
      <c r="C519" s="634"/>
      <c r="D519" s="634"/>
      <c r="E519" s="634"/>
      <c r="F519" s="635"/>
      <c r="G519" s="634"/>
      <c r="H519" s="636"/>
      <c r="I519" s="635"/>
      <c r="J519" s="635"/>
      <c r="K519" s="635"/>
      <c r="L519" s="635"/>
      <c r="M519" s="635"/>
      <c r="N519" s="788"/>
      <c r="O519" s="788"/>
      <c r="P519" s="650"/>
      <c r="Q519" s="789"/>
      <c r="R519" s="634"/>
      <c r="S519" s="634"/>
      <c r="T519" s="634"/>
      <c r="U519" s="634"/>
      <c r="V519" s="634"/>
      <c r="W519" s="634"/>
      <c r="X519" s="634"/>
      <c r="Y519" s="634"/>
      <c r="Z519" s="634"/>
    </row>
    <row r="520" ht="15.75" customHeight="1">
      <c r="A520" s="634"/>
      <c r="B520" s="634"/>
      <c r="C520" s="634"/>
      <c r="D520" s="634"/>
      <c r="E520" s="634"/>
      <c r="F520" s="635"/>
      <c r="G520" s="634"/>
      <c r="H520" s="636"/>
      <c r="I520" s="635"/>
      <c r="J520" s="635"/>
      <c r="K520" s="635"/>
      <c r="L520" s="635"/>
      <c r="M520" s="635"/>
      <c r="N520" s="788"/>
      <c r="O520" s="788"/>
      <c r="P520" s="650"/>
      <c r="Q520" s="789"/>
      <c r="R520" s="634"/>
      <c r="S520" s="634"/>
      <c r="T520" s="634"/>
      <c r="U520" s="634"/>
      <c r="V520" s="634"/>
      <c r="W520" s="634"/>
      <c r="X520" s="634"/>
      <c r="Y520" s="634"/>
      <c r="Z520" s="634"/>
    </row>
    <row r="521" ht="15.75" customHeight="1">
      <c r="A521" s="634"/>
      <c r="B521" s="634"/>
      <c r="C521" s="634"/>
      <c r="D521" s="634"/>
      <c r="E521" s="634"/>
      <c r="F521" s="635"/>
      <c r="G521" s="634"/>
      <c r="H521" s="636"/>
      <c r="I521" s="635"/>
      <c r="J521" s="635"/>
      <c r="K521" s="635"/>
      <c r="L521" s="635"/>
      <c r="M521" s="635"/>
      <c r="N521" s="788"/>
      <c r="O521" s="788"/>
      <c r="P521" s="650"/>
      <c r="Q521" s="789"/>
      <c r="R521" s="634"/>
      <c r="S521" s="634"/>
      <c r="T521" s="634"/>
      <c r="U521" s="634"/>
      <c r="V521" s="634"/>
      <c r="W521" s="634"/>
      <c r="X521" s="634"/>
      <c r="Y521" s="634"/>
      <c r="Z521" s="634"/>
    </row>
    <row r="522" ht="15.75" customHeight="1">
      <c r="A522" s="634"/>
      <c r="B522" s="634"/>
      <c r="C522" s="634"/>
      <c r="D522" s="634"/>
      <c r="E522" s="634"/>
      <c r="F522" s="635"/>
      <c r="G522" s="634"/>
      <c r="H522" s="636"/>
      <c r="I522" s="635"/>
      <c r="J522" s="635"/>
      <c r="K522" s="635"/>
      <c r="L522" s="635"/>
      <c r="M522" s="635"/>
      <c r="N522" s="788"/>
      <c r="O522" s="788"/>
      <c r="P522" s="650"/>
      <c r="Q522" s="789"/>
      <c r="R522" s="634"/>
      <c r="S522" s="634"/>
      <c r="T522" s="634"/>
      <c r="U522" s="634"/>
      <c r="V522" s="634"/>
      <c r="W522" s="634"/>
      <c r="X522" s="634"/>
      <c r="Y522" s="634"/>
      <c r="Z522" s="634"/>
    </row>
    <row r="523" ht="15.75" customHeight="1">
      <c r="A523" s="634"/>
      <c r="B523" s="634"/>
      <c r="C523" s="634"/>
      <c r="D523" s="634"/>
      <c r="E523" s="634"/>
      <c r="F523" s="635"/>
      <c r="G523" s="634"/>
      <c r="H523" s="636"/>
      <c r="I523" s="635"/>
      <c r="J523" s="635"/>
      <c r="K523" s="635"/>
      <c r="L523" s="635"/>
      <c r="M523" s="635"/>
      <c r="N523" s="788"/>
      <c r="O523" s="788"/>
      <c r="P523" s="650"/>
      <c r="Q523" s="789"/>
      <c r="R523" s="634"/>
      <c r="S523" s="634"/>
      <c r="T523" s="634"/>
      <c r="U523" s="634"/>
      <c r="V523" s="634"/>
      <c r="W523" s="634"/>
      <c r="X523" s="634"/>
      <c r="Y523" s="634"/>
      <c r="Z523" s="634"/>
    </row>
    <row r="524" ht="15.75" customHeight="1">
      <c r="A524" s="634"/>
      <c r="B524" s="634"/>
      <c r="C524" s="634"/>
      <c r="D524" s="634"/>
      <c r="E524" s="634"/>
      <c r="F524" s="635"/>
      <c r="G524" s="634"/>
      <c r="H524" s="636"/>
      <c r="I524" s="635"/>
      <c r="J524" s="635"/>
      <c r="K524" s="635"/>
      <c r="L524" s="635"/>
      <c r="M524" s="635"/>
      <c r="N524" s="788"/>
      <c r="O524" s="788"/>
      <c r="P524" s="650"/>
      <c r="Q524" s="789"/>
      <c r="R524" s="634"/>
      <c r="S524" s="634"/>
      <c r="T524" s="634"/>
      <c r="U524" s="634"/>
      <c r="V524" s="634"/>
      <c r="W524" s="634"/>
      <c r="X524" s="634"/>
      <c r="Y524" s="634"/>
      <c r="Z524" s="634"/>
    </row>
    <row r="525" ht="15.75" customHeight="1">
      <c r="A525" s="634"/>
      <c r="B525" s="634"/>
      <c r="C525" s="634"/>
      <c r="D525" s="634"/>
      <c r="E525" s="634"/>
      <c r="F525" s="635"/>
      <c r="G525" s="634"/>
      <c r="H525" s="636"/>
      <c r="I525" s="635"/>
      <c r="J525" s="635"/>
      <c r="K525" s="635"/>
      <c r="L525" s="635"/>
      <c r="M525" s="635"/>
      <c r="N525" s="788"/>
      <c r="O525" s="788"/>
      <c r="P525" s="650"/>
      <c r="Q525" s="789"/>
      <c r="R525" s="634"/>
      <c r="S525" s="634"/>
      <c r="T525" s="634"/>
      <c r="U525" s="634"/>
      <c r="V525" s="634"/>
      <c r="W525" s="634"/>
      <c r="X525" s="634"/>
      <c r="Y525" s="634"/>
      <c r="Z525" s="634"/>
    </row>
    <row r="526" ht="15.75" customHeight="1">
      <c r="A526" s="634"/>
      <c r="B526" s="634"/>
      <c r="C526" s="634"/>
      <c r="D526" s="634"/>
      <c r="E526" s="634"/>
      <c r="F526" s="635"/>
      <c r="G526" s="634"/>
      <c r="H526" s="636"/>
      <c r="I526" s="635"/>
      <c r="J526" s="635"/>
      <c r="K526" s="635"/>
      <c r="L526" s="635"/>
      <c r="M526" s="635"/>
      <c r="N526" s="788"/>
      <c r="O526" s="788"/>
      <c r="P526" s="650"/>
      <c r="Q526" s="789"/>
      <c r="R526" s="634"/>
      <c r="S526" s="634"/>
      <c r="T526" s="634"/>
      <c r="U526" s="634"/>
      <c r="V526" s="634"/>
      <c r="W526" s="634"/>
      <c r="X526" s="634"/>
      <c r="Y526" s="634"/>
      <c r="Z526" s="634"/>
    </row>
    <row r="527" ht="15.75" customHeight="1">
      <c r="A527" s="634"/>
      <c r="B527" s="634"/>
      <c r="C527" s="634"/>
      <c r="D527" s="634"/>
      <c r="E527" s="634"/>
      <c r="F527" s="635"/>
      <c r="G527" s="634"/>
      <c r="H527" s="636"/>
      <c r="I527" s="635"/>
      <c r="J527" s="635"/>
      <c r="K527" s="635"/>
      <c r="L527" s="635"/>
      <c r="M527" s="635"/>
      <c r="N527" s="788"/>
      <c r="O527" s="788"/>
      <c r="P527" s="650"/>
      <c r="Q527" s="789"/>
      <c r="R527" s="634"/>
      <c r="S527" s="634"/>
      <c r="T527" s="634"/>
      <c r="U527" s="634"/>
      <c r="V527" s="634"/>
      <c r="W527" s="634"/>
      <c r="X527" s="634"/>
      <c r="Y527" s="634"/>
      <c r="Z527" s="634"/>
    </row>
    <row r="528" ht="15.75" customHeight="1">
      <c r="A528" s="634"/>
      <c r="B528" s="634"/>
      <c r="C528" s="634"/>
      <c r="D528" s="634"/>
      <c r="E528" s="634"/>
      <c r="F528" s="635"/>
      <c r="G528" s="634"/>
      <c r="H528" s="636"/>
      <c r="I528" s="635"/>
      <c r="J528" s="635"/>
      <c r="K528" s="635"/>
      <c r="L528" s="635"/>
      <c r="M528" s="635"/>
      <c r="N528" s="788"/>
      <c r="O528" s="788"/>
      <c r="P528" s="650"/>
      <c r="Q528" s="789"/>
      <c r="R528" s="634"/>
      <c r="S528" s="634"/>
      <c r="T528" s="634"/>
      <c r="U528" s="634"/>
      <c r="V528" s="634"/>
      <c r="W528" s="634"/>
      <c r="X528" s="634"/>
      <c r="Y528" s="634"/>
      <c r="Z528" s="634"/>
    </row>
    <row r="529" ht="15.75" customHeight="1">
      <c r="A529" s="634"/>
      <c r="B529" s="634"/>
      <c r="C529" s="634"/>
      <c r="D529" s="634"/>
      <c r="E529" s="634"/>
      <c r="F529" s="635"/>
      <c r="G529" s="634"/>
      <c r="H529" s="636"/>
      <c r="I529" s="635"/>
      <c r="J529" s="635"/>
      <c r="K529" s="635"/>
      <c r="L529" s="635"/>
      <c r="M529" s="635"/>
      <c r="N529" s="788"/>
      <c r="O529" s="788"/>
      <c r="P529" s="650"/>
      <c r="Q529" s="789"/>
      <c r="R529" s="634"/>
      <c r="S529" s="634"/>
      <c r="T529" s="634"/>
      <c r="U529" s="634"/>
      <c r="V529" s="634"/>
      <c r="W529" s="634"/>
      <c r="X529" s="634"/>
      <c r="Y529" s="634"/>
      <c r="Z529" s="634"/>
    </row>
    <row r="530" ht="15.75" customHeight="1">
      <c r="A530" s="634"/>
      <c r="B530" s="634"/>
      <c r="C530" s="634"/>
      <c r="D530" s="634"/>
      <c r="E530" s="634"/>
      <c r="F530" s="635"/>
      <c r="G530" s="634"/>
      <c r="H530" s="636"/>
      <c r="I530" s="635"/>
      <c r="J530" s="635"/>
      <c r="K530" s="635"/>
      <c r="L530" s="635"/>
      <c r="M530" s="635"/>
      <c r="N530" s="788"/>
      <c r="O530" s="788"/>
      <c r="P530" s="650"/>
      <c r="Q530" s="789"/>
      <c r="R530" s="634"/>
      <c r="S530" s="634"/>
      <c r="T530" s="634"/>
      <c r="U530" s="634"/>
      <c r="V530" s="634"/>
      <c r="W530" s="634"/>
      <c r="X530" s="634"/>
      <c r="Y530" s="634"/>
      <c r="Z530" s="634"/>
    </row>
    <row r="531" ht="15.75" customHeight="1">
      <c r="A531" s="634"/>
      <c r="B531" s="634"/>
      <c r="C531" s="634"/>
      <c r="D531" s="634"/>
      <c r="E531" s="634"/>
      <c r="F531" s="635"/>
      <c r="G531" s="634"/>
      <c r="H531" s="636"/>
      <c r="I531" s="635"/>
      <c r="J531" s="635"/>
      <c r="K531" s="635"/>
      <c r="L531" s="635"/>
      <c r="M531" s="635"/>
      <c r="N531" s="788"/>
      <c r="O531" s="788"/>
      <c r="P531" s="650"/>
      <c r="Q531" s="789"/>
      <c r="R531" s="634"/>
      <c r="S531" s="634"/>
      <c r="T531" s="634"/>
      <c r="U531" s="634"/>
      <c r="V531" s="634"/>
      <c r="W531" s="634"/>
      <c r="X531" s="634"/>
      <c r="Y531" s="634"/>
      <c r="Z531" s="634"/>
    </row>
    <row r="532" ht="15.75" customHeight="1">
      <c r="A532" s="634"/>
      <c r="B532" s="634"/>
      <c r="C532" s="634"/>
      <c r="D532" s="634"/>
      <c r="E532" s="634"/>
      <c r="F532" s="635"/>
      <c r="G532" s="634"/>
      <c r="H532" s="636"/>
      <c r="I532" s="635"/>
      <c r="J532" s="635"/>
      <c r="K532" s="635"/>
      <c r="L532" s="635"/>
      <c r="M532" s="635"/>
      <c r="N532" s="788"/>
      <c r="O532" s="788"/>
      <c r="P532" s="650"/>
      <c r="Q532" s="789"/>
      <c r="R532" s="634"/>
      <c r="S532" s="634"/>
      <c r="T532" s="634"/>
      <c r="U532" s="634"/>
      <c r="V532" s="634"/>
      <c r="W532" s="634"/>
      <c r="X532" s="634"/>
      <c r="Y532" s="634"/>
      <c r="Z532" s="634"/>
    </row>
    <row r="533" ht="15.75" customHeight="1">
      <c r="A533" s="634"/>
      <c r="B533" s="634"/>
      <c r="C533" s="634"/>
      <c r="D533" s="634"/>
      <c r="E533" s="634"/>
      <c r="F533" s="635"/>
      <c r="G533" s="634"/>
      <c r="H533" s="636"/>
      <c r="I533" s="635"/>
      <c r="J533" s="635"/>
      <c r="K533" s="635"/>
      <c r="L533" s="635"/>
      <c r="M533" s="635"/>
      <c r="N533" s="788"/>
      <c r="O533" s="788"/>
      <c r="P533" s="650"/>
      <c r="Q533" s="789"/>
      <c r="R533" s="634"/>
      <c r="S533" s="634"/>
      <c r="T533" s="634"/>
      <c r="U533" s="634"/>
      <c r="V533" s="634"/>
      <c r="W533" s="634"/>
      <c r="X533" s="634"/>
      <c r="Y533" s="634"/>
      <c r="Z533" s="634"/>
    </row>
    <row r="534" ht="15.75" customHeight="1">
      <c r="A534" s="634"/>
      <c r="B534" s="634"/>
      <c r="C534" s="634"/>
      <c r="D534" s="634"/>
      <c r="E534" s="634"/>
      <c r="F534" s="635"/>
      <c r="G534" s="634"/>
      <c r="H534" s="636"/>
      <c r="I534" s="635"/>
      <c r="J534" s="635"/>
      <c r="K534" s="635"/>
      <c r="L534" s="635"/>
      <c r="M534" s="635"/>
      <c r="N534" s="788"/>
      <c r="O534" s="788"/>
      <c r="P534" s="650"/>
      <c r="Q534" s="789"/>
      <c r="R534" s="634"/>
      <c r="S534" s="634"/>
      <c r="T534" s="634"/>
      <c r="U534" s="634"/>
      <c r="V534" s="634"/>
      <c r="W534" s="634"/>
      <c r="X534" s="634"/>
      <c r="Y534" s="634"/>
      <c r="Z534" s="634"/>
    </row>
    <row r="535" ht="15.75" customHeight="1">
      <c r="A535" s="634"/>
      <c r="B535" s="634"/>
      <c r="C535" s="634"/>
      <c r="D535" s="634"/>
      <c r="E535" s="634"/>
      <c r="F535" s="635"/>
      <c r="G535" s="634"/>
      <c r="H535" s="636"/>
      <c r="I535" s="635"/>
      <c r="J535" s="635"/>
      <c r="K535" s="635"/>
      <c r="L535" s="635"/>
      <c r="M535" s="635"/>
      <c r="N535" s="788"/>
      <c r="O535" s="788"/>
      <c r="P535" s="650"/>
      <c r="Q535" s="789"/>
      <c r="R535" s="634"/>
      <c r="S535" s="634"/>
      <c r="T535" s="634"/>
      <c r="U535" s="634"/>
      <c r="V535" s="634"/>
      <c r="W535" s="634"/>
      <c r="X535" s="634"/>
      <c r="Y535" s="634"/>
      <c r="Z535" s="634"/>
    </row>
    <row r="536" ht="15.75" customHeight="1">
      <c r="A536" s="634"/>
      <c r="B536" s="634"/>
      <c r="C536" s="634"/>
      <c r="D536" s="634"/>
      <c r="E536" s="634"/>
      <c r="F536" s="635"/>
      <c r="G536" s="634"/>
      <c r="H536" s="636"/>
      <c r="I536" s="635"/>
      <c r="J536" s="635"/>
      <c r="K536" s="635"/>
      <c r="L536" s="635"/>
      <c r="M536" s="635"/>
      <c r="N536" s="788"/>
      <c r="O536" s="788"/>
      <c r="P536" s="650"/>
      <c r="Q536" s="789"/>
      <c r="R536" s="634"/>
      <c r="S536" s="634"/>
      <c r="T536" s="634"/>
      <c r="U536" s="634"/>
      <c r="V536" s="634"/>
      <c r="W536" s="634"/>
      <c r="X536" s="634"/>
      <c r="Y536" s="634"/>
      <c r="Z536" s="634"/>
    </row>
    <row r="537" ht="15.75" customHeight="1">
      <c r="A537" s="634"/>
      <c r="B537" s="634"/>
      <c r="C537" s="634"/>
      <c r="D537" s="634"/>
      <c r="E537" s="634"/>
      <c r="F537" s="635"/>
      <c r="G537" s="634"/>
      <c r="H537" s="636"/>
      <c r="I537" s="635"/>
      <c r="J537" s="635"/>
      <c r="K537" s="635"/>
      <c r="L537" s="635"/>
      <c r="M537" s="635"/>
      <c r="N537" s="788"/>
      <c r="O537" s="788"/>
      <c r="P537" s="650"/>
      <c r="Q537" s="789"/>
      <c r="R537" s="634"/>
      <c r="S537" s="634"/>
      <c r="T537" s="634"/>
      <c r="U537" s="634"/>
      <c r="V537" s="634"/>
      <c r="W537" s="634"/>
      <c r="X537" s="634"/>
      <c r="Y537" s="634"/>
      <c r="Z537" s="634"/>
    </row>
    <row r="538" ht="15.75" customHeight="1">
      <c r="A538" s="634"/>
      <c r="B538" s="634"/>
      <c r="C538" s="634"/>
      <c r="D538" s="634"/>
      <c r="E538" s="634"/>
      <c r="F538" s="635"/>
      <c r="G538" s="634"/>
      <c r="H538" s="636"/>
      <c r="I538" s="635"/>
      <c r="J538" s="635"/>
      <c r="K538" s="635"/>
      <c r="L538" s="635"/>
      <c r="M538" s="635"/>
      <c r="N538" s="788"/>
      <c r="O538" s="788"/>
      <c r="P538" s="650"/>
      <c r="Q538" s="789"/>
      <c r="R538" s="634"/>
      <c r="S538" s="634"/>
      <c r="T538" s="634"/>
      <c r="U538" s="634"/>
      <c r="V538" s="634"/>
      <c r="W538" s="634"/>
      <c r="X538" s="634"/>
      <c r="Y538" s="634"/>
      <c r="Z538" s="634"/>
    </row>
    <row r="539" ht="15.75" customHeight="1">
      <c r="A539" s="634"/>
      <c r="B539" s="634"/>
      <c r="C539" s="634"/>
      <c r="D539" s="634"/>
      <c r="E539" s="634"/>
      <c r="F539" s="635"/>
      <c r="G539" s="634"/>
      <c r="H539" s="636"/>
      <c r="I539" s="635"/>
      <c r="J539" s="635"/>
      <c r="K539" s="635"/>
      <c r="L539" s="635"/>
      <c r="M539" s="635"/>
      <c r="N539" s="788"/>
      <c r="O539" s="788"/>
      <c r="P539" s="650"/>
      <c r="Q539" s="789"/>
      <c r="R539" s="634"/>
      <c r="S539" s="634"/>
      <c r="T539" s="634"/>
      <c r="U539" s="634"/>
      <c r="V539" s="634"/>
      <c r="W539" s="634"/>
      <c r="X539" s="634"/>
      <c r="Y539" s="634"/>
      <c r="Z539" s="634"/>
    </row>
    <row r="540" ht="15.75" customHeight="1">
      <c r="A540" s="634"/>
      <c r="B540" s="634"/>
      <c r="C540" s="634"/>
      <c r="D540" s="634"/>
      <c r="E540" s="634"/>
      <c r="F540" s="635"/>
      <c r="G540" s="634"/>
      <c r="H540" s="636"/>
      <c r="I540" s="635"/>
      <c r="J540" s="635"/>
      <c r="K540" s="635"/>
      <c r="L540" s="635"/>
      <c r="M540" s="635"/>
      <c r="N540" s="788"/>
      <c r="O540" s="788"/>
      <c r="P540" s="650"/>
      <c r="Q540" s="789"/>
      <c r="R540" s="634"/>
      <c r="S540" s="634"/>
      <c r="T540" s="634"/>
      <c r="U540" s="634"/>
      <c r="V540" s="634"/>
      <c r="W540" s="634"/>
      <c r="X540" s="634"/>
      <c r="Y540" s="634"/>
      <c r="Z540" s="634"/>
    </row>
    <row r="541" ht="15.75" customHeight="1">
      <c r="A541" s="634"/>
      <c r="B541" s="634"/>
      <c r="C541" s="634"/>
      <c r="D541" s="634"/>
      <c r="E541" s="634"/>
      <c r="F541" s="635"/>
      <c r="G541" s="634"/>
      <c r="H541" s="636"/>
      <c r="I541" s="635"/>
      <c r="J541" s="635"/>
      <c r="K541" s="635"/>
      <c r="L541" s="635"/>
      <c r="M541" s="635"/>
      <c r="N541" s="788"/>
      <c r="O541" s="788"/>
      <c r="P541" s="650"/>
      <c r="Q541" s="789"/>
      <c r="R541" s="634"/>
      <c r="S541" s="634"/>
      <c r="T541" s="634"/>
      <c r="U541" s="634"/>
      <c r="V541" s="634"/>
      <c r="W541" s="634"/>
      <c r="X541" s="634"/>
      <c r="Y541" s="634"/>
      <c r="Z541" s="634"/>
    </row>
    <row r="542" ht="15.75" customHeight="1">
      <c r="A542" s="634"/>
      <c r="B542" s="634"/>
      <c r="C542" s="634"/>
      <c r="D542" s="634"/>
      <c r="E542" s="634"/>
      <c r="F542" s="635"/>
      <c r="G542" s="634"/>
      <c r="H542" s="636"/>
      <c r="I542" s="635"/>
      <c r="J542" s="635"/>
      <c r="K542" s="635"/>
      <c r="L542" s="635"/>
      <c r="M542" s="635"/>
      <c r="N542" s="788"/>
      <c r="O542" s="788"/>
      <c r="P542" s="650"/>
      <c r="Q542" s="789"/>
      <c r="R542" s="634"/>
      <c r="S542" s="634"/>
      <c r="T542" s="634"/>
      <c r="U542" s="634"/>
      <c r="V542" s="634"/>
      <c r="W542" s="634"/>
      <c r="X542" s="634"/>
      <c r="Y542" s="634"/>
      <c r="Z542" s="634"/>
    </row>
    <row r="543" ht="15.75" customHeight="1">
      <c r="A543" s="634"/>
      <c r="B543" s="634"/>
      <c r="C543" s="634"/>
      <c r="D543" s="634"/>
      <c r="E543" s="634"/>
      <c r="F543" s="635"/>
      <c r="G543" s="634"/>
      <c r="H543" s="636"/>
      <c r="I543" s="635"/>
      <c r="J543" s="635"/>
      <c r="K543" s="635"/>
      <c r="L543" s="635"/>
      <c r="M543" s="635"/>
      <c r="N543" s="788"/>
      <c r="O543" s="788"/>
      <c r="P543" s="650"/>
      <c r="Q543" s="789"/>
      <c r="R543" s="634"/>
      <c r="S543" s="634"/>
      <c r="T543" s="634"/>
      <c r="U543" s="634"/>
      <c r="V543" s="634"/>
      <c r="W543" s="634"/>
      <c r="X543" s="634"/>
      <c r="Y543" s="634"/>
      <c r="Z543" s="634"/>
    </row>
    <row r="544" ht="15.75" customHeight="1">
      <c r="A544" s="634"/>
      <c r="B544" s="634"/>
      <c r="C544" s="634"/>
      <c r="D544" s="634"/>
      <c r="E544" s="634"/>
      <c r="F544" s="635"/>
      <c r="G544" s="634"/>
      <c r="H544" s="636"/>
      <c r="I544" s="635"/>
      <c r="J544" s="635"/>
      <c r="K544" s="635"/>
      <c r="L544" s="635"/>
      <c r="M544" s="635"/>
      <c r="N544" s="788"/>
      <c r="O544" s="788"/>
      <c r="P544" s="650"/>
      <c r="Q544" s="789"/>
      <c r="R544" s="634"/>
      <c r="S544" s="634"/>
      <c r="T544" s="634"/>
      <c r="U544" s="634"/>
      <c r="V544" s="634"/>
      <c r="W544" s="634"/>
      <c r="X544" s="634"/>
      <c r="Y544" s="634"/>
      <c r="Z544" s="634"/>
    </row>
    <row r="545" ht="15.75" customHeight="1">
      <c r="A545" s="634"/>
      <c r="B545" s="634"/>
      <c r="C545" s="634"/>
      <c r="D545" s="634"/>
      <c r="E545" s="634"/>
      <c r="F545" s="635"/>
      <c r="G545" s="634"/>
      <c r="H545" s="636"/>
      <c r="I545" s="635"/>
      <c r="J545" s="635"/>
      <c r="K545" s="635"/>
      <c r="L545" s="635"/>
      <c r="M545" s="635"/>
      <c r="N545" s="788"/>
      <c r="O545" s="788"/>
      <c r="P545" s="650"/>
      <c r="Q545" s="789"/>
      <c r="R545" s="634"/>
      <c r="S545" s="634"/>
      <c r="T545" s="634"/>
      <c r="U545" s="634"/>
      <c r="V545" s="634"/>
      <c r="W545" s="634"/>
      <c r="X545" s="634"/>
      <c r="Y545" s="634"/>
      <c r="Z545" s="634"/>
    </row>
    <row r="546" ht="15.75" customHeight="1">
      <c r="A546" s="634"/>
      <c r="B546" s="634"/>
      <c r="C546" s="634"/>
      <c r="D546" s="634"/>
      <c r="E546" s="634"/>
      <c r="F546" s="635"/>
      <c r="G546" s="634"/>
      <c r="H546" s="636"/>
      <c r="I546" s="635"/>
      <c r="J546" s="635"/>
      <c r="K546" s="635"/>
      <c r="L546" s="635"/>
      <c r="M546" s="635"/>
      <c r="N546" s="788"/>
      <c r="O546" s="788"/>
      <c r="P546" s="650"/>
      <c r="Q546" s="789"/>
      <c r="R546" s="634"/>
      <c r="S546" s="634"/>
      <c r="T546" s="634"/>
      <c r="U546" s="634"/>
      <c r="V546" s="634"/>
      <c r="W546" s="634"/>
      <c r="X546" s="634"/>
      <c r="Y546" s="634"/>
      <c r="Z546" s="634"/>
    </row>
    <row r="547" ht="15.75" customHeight="1">
      <c r="A547" s="634"/>
      <c r="B547" s="634"/>
      <c r="C547" s="634"/>
      <c r="D547" s="634"/>
      <c r="E547" s="634"/>
      <c r="F547" s="635"/>
      <c r="G547" s="634"/>
      <c r="H547" s="636"/>
      <c r="I547" s="635"/>
      <c r="J547" s="635"/>
      <c r="K547" s="635"/>
      <c r="L547" s="635"/>
      <c r="M547" s="635"/>
      <c r="N547" s="788"/>
      <c r="O547" s="788"/>
      <c r="P547" s="650"/>
      <c r="Q547" s="789"/>
      <c r="R547" s="634"/>
      <c r="S547" s="634"/>
      <c r="T547" s="634"/>
      <c r="U547" s="634"/>
      <c r="V547" s="634"/>
      <c r="W547" s="634"/>
      <c r="X547" s="634"/>
      <c r="Y547" s="634"/>
      <c r="Z547" s="634"/>
    </row>
    <row r="548" ht="15.75" customHeight="1">
      <c r="A548" s="634"/>
      <c r="B548" s="634"/>
      <c r="C548" s="634"/>
      <c r="D548" s="634"/>
      <c r="E548" s="634"/>
      <c r="F548" s="635"/>
      <c r="G548" s="634"/>
      <c r="H548" s="636"/>
      <c r="I548" s="635"/>
      <c r="J548" s="635"/>
      <c r="K548" s="635"/>
      <c r="L548" s="635"/>
      <c r="M548" s="635"/>
      <c r="N548" s="788"/>
      <c r="O548" s="788"/>
      <c r="P548" s="650"/>
      <c r="Q548" s="789"/>
      <c r="R548" s="634"/>
      <c r="S548" s="634"/>
      <c r="T548" s="634"/>
      <c r="U548" s="634"/>
      <c r="V548" s="634"/>
      <c r="W548" s="634"/>
      <c r="X548" s="634"/>
      <c r="Y548" s="634"/>
      <c r="Z548" s="634"/>
    </row>
    <row r="549" ht="15.75" customHeight="1">
      <c r="A549" s="634"/>
      <c r="B549" s="634"/>
      <c r="C549" s="634"/>
      <c r="D549" s="634"/>
      <c r="E549" s="634"/>
      <c r="F549" s="635"/>
      <c r="G549" s="634"/>
      <c r="H549" s="636"/>
      <c r="I549" s="635"/>
      <c r="J549" s="635"/>
      <c r="K549" s="635"/>
      <c r="L549" s="635"/>
      <c r="M549" s="635"/>
      <c r="N549" s="788"/>
      <c r="O549" s="788"/>
      <c r="P549" s="650"/>
      <c r="Q549" s="789"/>
      <c r="R549" s="634"/>
      <c r="S549" s="634"/>
      <c r="T549" s="634"/>
      <c r="U549" s="634"/>
      <c r="V549" s="634"/>
      <c r="W549" s="634"/>
      <c r="X549" s="634"/>
      <c r="Y549" s="634"/>
      <c r="Z549" s="634"/>
    </row>
    <row r="550" ht="15.75" customHeight="1">
      <c r="A550" s="634"/>
      <c r="B550" s="634"/>
      <c r="C550" s="634"/>
      <c r="D550" s="634"/>
      <c r="E550" s="634"/>
      <c r="F550" s="635"/>
      <c r="G550" s="634"/>
      <c r="H550" s="636"/>
      <c r="I550" s="635"/>
      <c r="J550" s="635"/>
      <c r="K550" s="635"/>
      <c r="L550" s="635"/>
      <c r="M550" s="635"/>
      <c r="N550" s="788"/>
      <c r="O550" s="788"/>
      <c r="P550" s="650"/>
      <c r="Q550" s="789"/>
      <c r="R550" s="634"/>
      <c r="S550" s="634"/>
      <c r="T550" s="634"/>
      <c r="U550" s="634"/>
      <c r="V550" s="634"/>
      <c r="W550" s="634"/>
      <c r="X550" s="634"/>
      <c r="Y550" s="634"/>
      <c r="Z550" s="634"/>
    </row>
    <row r="551" ht="15.75" customHeight="1">
      <c r="A551" s="634"/>
      <c r="B551" s="634"/>
      <c r="C551" s="634"/>
      <c r="D551" s="634"/>
      <c r="E551" s="634"/>
      <c r="F551" s="635"/>
      <c r="G551" s="634"/>
      <c r="H551" s="636"/>
      <c r="I551" s="635"/>
      <c r="J551" s="635"/>
      <c r="K551" s="635"/>
      <c r="L551" s="635"/>
      <c r="M551" s="635"/>
      <c r="N551" s="788"/>
      <c r="O551" s="788"/>
      <c r="P551" s="650"/>
      <c r="Q551" s="789"/>
      <c r="R551" s="634"/>
      <c r="S551" s="634"/>
      <c r="T551" s="634"/>
      <c r="U551" s="634"/>
      <c r="V551" s="634"/>
      <c r="W551" s="634"/>
      <c r="X551" s="634"/>
      <c r="Y551" s="634"/>
      <c r="Z551" s="634"/>
    </row>
    <row r="552" ht="15.75" customHeight="1">
      <c r="A552" s="634"/>
      <c r="B552" s="634"/>
      <c r="C552" s="634"/>
      <c r="D552" s="634"/>
      <c r="E552" s="634"/>
      <c r="F552" s="635"/>
      <c r="G552" s="634"/>
      <c r="H552" s="636"/>
      <c r="I552" s="635"/>
      <c r="J552" s="635"/>
      <c r="K552" s="635"/>
      <c r="L552" s="635"/>
      <c r="M552" s="635"/>
      <c r="N552" s="788"/>
      <c r="O552" s="788"/>
      <c r="P552" s="650"/>
      <c r="Q552" s="789"/>
      <c r="R552" s="634"/>
      <c r="S552" s="634"/>
      <c r="T552" s="634"/>
      <c r="U552" s="634"/>
      <c r="V552" s="634"/>
      <c r="W552" s="634"/>
      <c r="X552" s="634"/>
      <c r="Y552" s="634"/>
      <c r="Z552" s="634"/>
    </row>
    <row r="553" ht="15.75" customHeight="1">
      <c r="A553" s="634"/>
      <c r="B553" s="634"/>
      <c r="C553" s="634"/>
      <c r="D553" s="634"/>
      <c r="E553" s="634"/>
      <c r="F553" s="635"/>
      <c r="G553" s="634"/>
      <c r="H553" s="636"/>
      <c r="I553" s="635"/>
      <c r="J553" s="635"/>
      <c r="K553" s="635"/>
      <c r="L553" s="635"/>
      <c r="M553" s="635"/>
      <c r="N553" s="788"/>
      <c r="O553" s="788"/>
      <c r="P553" s="650"/>
      <c r="Q553" s="789"/>
      <c r="R553" s="634"/>
      <c r="S553" s="634"/>
      <c r="T553" s="634"/>
      <c r="U553" s="634"/>
      <c r="V553" s="634"/>
      <c r="W553" s="634"/>
      <c r="X553" s="634"/>
      <c r="Y553" s="634"/>
      <c r="Z553" s="634"/>
    </row>
    <row r="554" ht="15.75" customHeight="1">
      <c r="A554" s="634"/>
      <c r="B554" s="634"/>
      <c r="C554" s="634"/>
      <c r="D554" s="634"/>
      <c r="E554" s="634"/>
      <c r="F554" s="635"/>
      <c r="G554" s="634"/>
      <c r="H554" s="636"/>
      <c r="I554" s="635"/>
      <c r="J554" s="635"/>
      <c r="K554" s="635"/>
      <c r="L554" s="635"/>
      <c r="M554" s="635"/>
      <c r="N554" s="788"/>
      <c r="O554" s="788"/>
      <c r="P554" s="650"/>
      <c r="Q554" s="789"/>
      <c r="R554" s="634"/>
      <c r="S554" s="634"/>
      <c r="T554" s="634"/>
      <c r="U554" s="634"/>
      <c r="V554" s="634"/>
      <c r="W554" s="634"/>
      <c r="X554" s="634"/>
      <c r="Y554" s="634"/>
      <c r="Z554" s="634"/>
    </row>
    <row r="555" ht="15.75" customHeight="1">
      <c r="A555" s="634"/>
      <c r="B555" s="634"/>
      <c r="C555" s="634"/>
      <c r="D555" s="634"/>
      <c r="E555" s="634"/>
      <c r="F555" s="635"/>
      <c r="G555" s="634"/>
      <c r="H555" s="636"/>
      <c r="I555" s="635"/>
      <c r="J555" s="635"/>
      <c r="K555" s="635"/>
      <c r="L555" s="635"/>
      <c r="M555" s="635"/>
      <c r="N555" s="788"/>
      <c r="O555" s="788"/>
      <c r="P555" s="650"/>
      <c r="Q555" s="789"/>
      <c r="R555" s="634"/>
      <c r="S555" s="634"/>
      <c r="T555" s="634"/>
      <c r="U555" s="634"/>
      <c r="V555" s="634"/>
      <c r="W555" s="634"/>
      <c r="X555" s="634"/>
      <c r="Y555" s="634"/>
      <c r="Z555" s="634"/>
    </row>
    <row r="556" ht="15.75" customHeight="1">
      <c r="A556" s="634"/>
      <c r="B556" s="634"/>
      <c r="C556" s="634"/>
      <c r="D556" s="634"/>
      <c r="E556" s="634"/>
      <c r="F556" s="635"/>
      <c r="G556" s="634"/>
      <c r="H556" s="636"/>
      <c r="I556" s="635"/>
      <c r="J556" s="635"/>
      <c r="K556" s="635"/>
      <c r="L556" s="635"/>
      <c r="M556" s="635"/>
      <c r="N556" s="788"/>
      <c r="O556" s="788"/>
      <c r="P556" s="650"/>
      <c r="Q556" s="789"/>
      <c r="R556" s="634"/>
      <c r="S556" s="634"/>
      <c r="T556" s="634"/>
      <c r="U556" s="634"/>
      <c r="V556" s="634"/>
      <c r="W556" s="634"/>
      <c r="X556" s="634"/>
      <c r="Y556" s="634"/>
      <c r="Z556" s="634"/>
    </row>
    <row r="557" ht="15.75" customHeight="1">
      <c r="A557" s="634"/>
      <c r="B557" s="634"/>
      <c r="C557" s="634"/>
      <c r="D557" s="634"/>
      <c r="E557" s="634"/>
      <c r="F557" s="635"/>
      <c r="G557" s="634"/>
      <c r="H557" s="636"/>
      <c r="I557" s="635"/>
      <c r="J557" s="635"/>
      <c r="K557" s="635"/>
      <c r="L557" s="635"/>
      <c r="M557" s="635"/>
      <c r="N557" s="788"/>
      <c r="O557" s="788"/>
      <c r="P557" s="650"/>
      <c r="Q557" s="789"/>
      <c r="R557" s="634"/>
      <c r="S557" s="634"/>
      <c r="T557" s="634"/>
      <c r="U557" s="634"/>
      <c r="V557" s="634"/>
      <c r="W557" s="634"/>
      <c r="X557" s="634"/>
      <c r="Y557" s="634"/>
      <c r="Z557" s="634"/>
    </row>
    <row r="558" ht="15.75" customHeight="1">
      <c r="A558" s="634"/>
      <c r="B558" s="634"/>
      <c r="C558" s="634"/>
      <c r="D558" s="634"/>
      <c r="E558" s="634"/>
      <c r="F558" s="635"/>
      <c r="G558" s="634"/>
      <c r="H558" s="636"/>
      <c r="I558" s="635"/>
      <c r="J558" s="635"/>
      <c r="K558" s="635"/>
      <c r="L558" s="635"/>
      <c r="M558" s="635"/>
      <c r="N558" s="788"/>
      <c r="O558" s="788"/>
      <c r="P558" s="650"/>
      <c r="Q558" s="789"/>
      <c r="R558" s="634"/>
      <c r="S558" s="634"/>
      <c r="T558" s="634"/>
      <c r="U558" s="634"/>
      <c r="V558" s="634"/>
      <c r="W558" s="634"/>
      <c r="X558" s="634"/>
      <c r="Y558" s="634"/>
      <c r="Z558" s="634"/>
    </row>
    <row r="559" ht="15.75" customHeight="1">
      <c r="A559" s="634"/>
      <c r="B559" s="634"/>
      <c r="C559" s="634"/>
      <c r="D559" s="634"/>
      <c r="E559" s="634"/>
      <c r="F559" s="635"/>
      <c r="G559" s="634"/>
      <c r="H559" s="636"/>
      <c r="I559" s="635"/>
      <c r="J559" s="635"/>
      <c r="K559" s="635"/>
      <c r="L559" s="635"/>
      <c r="M559" s="635"/>
      <c r="N559" s="788"/>
      <c r="O559" s="788"/>
      <c r="P559" s="650"/>
      <c r="Q559" s="789"/>
      <c r="R559" s="634"/>
      <c r="S559" s="634"/>
      <c r="T559" s="634"/>
      <c r="U559" s="634"/>
      <c r="V559" s="634"/>
      <c r="W559" s="634"/>
      <c r="X559" s="634"/>
      <c r="Y559" s="634"/>
      <c r="Z559" s="634"/>
    </row>
    <row r="560" ht="15.75" customHeight="1">
      <c r="A560" s="634"/>
      <c r="B560" s="634"/>
      <c r="C560" s="634"/>
      <c r="D560" s="634"/>
      <c r="E560" s="634"/>
      <c r="F560" s="635"/>
      <c r="G560" s="634"/>
      <c r="H560" s="636"/>
      <c r="I560" s="635"/>
      <c r="J560" s="635"/>
      <c r="K560" s="635"/>
      <c r="L560" s="635"/>
      <c r="M560" s="635"/>
      <c r="N560" s="788"/>
      <c r="O560" s="788"/>
      <c r="P560" s="650"/>
      <c r="Q560" s="789"/>
      <c r="R560" s="634"/>
      <c r="S560" s="634"/>
      <c r="T560" s="634"/>
      <c r="U560" s="634"/>
      <c r="V560" s="634"/>
      <c r="W560" s="634"/>
      <c r="X560" s="634"/>
      <c r="Y560" s="634"/>
      <c r="Z560" s="634"/>
    </row>
    <row r="561" ht="15.75" customHeight="1">
      <c r="A561" s="634"/>
      <c r="B561" s="634"/>
      <c r="C561" s="634"/>
      <c r="D561" s="634"/>
      <c r="E561" s="634"/>
      <c r="F561" s="635"/>
      <c r="G561" s="634"/>
      <c r="H561" s="636"/>
      <c r="I561" s="635"/>
      <c r="J561" s="635"/>
      <c r="K561" s="635"/>
      <c r="L561" s="635"/>
      <c r="M561" s="635"/>
      <c r="N561" s="788"/>
      <c r="O561" s="788"/>
      <c r="P561" s="650"/>
      <c r="Q561" s="789"/>
      <c r="R561" s="634"/>
      <c r="S561" s="634"/>
      <c r="T561" s="634"/>
      <c r="U561" s="634"/>
      <c r="V561" s="634"/>
      <c r="W561" s="634"/>
      <c r="X561" s="634"/>
      <c r="Y561" s="634"/>
      <c r="Z561" s="634"/>
    </row>
    <row r="562" ht="15.75" customHeight="1">
      <c r="A562" s="634"/>
      <c r="B562" s="634"/>
      <c r="C562" s="634"/>
      <c r="D562" s="634"/>
      <c r="E562" s="634"/>
      <c r="F562" s="635"/>
      <c r="G562" s="634"/>
      <c r="H562" s="636"/>
      <c r="I562" s="635"/>
      <c r="J562" s="635"/>
      <c r="K562" s="635"/>
      <c r="L562" s="635"/>
      <c r="M562" s="635"/>
      <c r="N562" s="788"/>
      <c r="O562" s="788"/>
      <c r="P562" s="650"/>
      <c r="Q562" s="789"/>
      <c r="R562" s="634"/>
      <c r="S562" s="634"/>
      <c r="T562" s="634"/>
      <c r="U562" s="634"/>
      <c r="V562" s="634"/>
      <c r="W562" s="634"/>
      <c r="X562" s="634"/>
      <c r="Y562" s="634"/>
      <c r="Z562" s="634"/>
    </row>
    <row r="563" ht="15.75" customHeight="1">
      <c r="A563" s="634"/>
      <c r="B563" s="634"/>
      <c r="C563" s="634"/>
      <c r="D563" s="634"/>
      <c r="E563" s="634"/>
      <c r="F563" s="635"/>
      <c r="G563" s="634"/>
      <c r="H563" s="636"/>
      <c r="I563" s="635"/>
      <c r="J563" s="635"/>
      <c r="K563" s="635"/>
      <c r="L563" s="635"/>
      <c r="M563" s="635"/>
      <c r="N563" s="788"/>
      <c r="O563" s="788"/>
      <c r="P563" s="650"/>
      <c r="Q563" s="789"/>
      <c r="R563" s="634"/>
      <c r="S563" s="634"/>
      <c r="T563" s="634"/>
      <c r="U563" s="634"/>
      <c r="V563" s="634"/>
      <c r="W563" s="634"/>
      <c r="X563" s="634"/>
      <c r="Y563" s="634"/>
      <c r="Z563" s="634"/>
    </row>
    <row r="564" ht="15.75" customHeight="1">
      <c r="A564" s="634"/>
      <c r="B564" s="634"/>
      <c r="C564" s="634"/>
      <c r="D564" s="634"/>
      <c r="E564" s="634"/>
      <c r="F564" s="635"/>
      <c r="G564" s="634"/>
      <c r="H564" s="636"/>
      <c r="I564" s="635"/>
      <c r="J564" s="635"/>
      <c r="K564" s="635"/>
      <c r="L564" s="635"/>
      <c r="M564" s="635"/>
      <c r="N564" s="788"/>
      <c r="O564" s="788"/>
      <c r="P564" s="650"/>
      <c r="Q564" s="789"/>
      <c r="R564" s="634"/>
      <c r="S564" s="634"/>
      <c r="T564" s="634"/>
      <c r="U564" s="634"/>
      <c r="V564" s="634"/>
      <c r="W564" s="634"/>
      <c r="X564" s="634"/>
      <c r="Y564" s="634"/>
      <c r="Z564" s="634"/>
    </row>
    <row r="565" ht="15.75" customHeight="1">
      <c r="A565" s="634"/>
      <c r="B565" s="634"/>
      <c r="C565" s="634"/>
      <c r="D565" s="634"/>
      <c r="E565" s="634"/>
      <c r="F565" s="635"/>
      <c r="G565" s="634"/>
      <c r="H565" s="636"/>
      <c r="I565" s="635"/>
      <c r="J565" s="635"/>
      <c r="K565" s="635"/>
      <c r="L565" s="635"/>
      <c r="M565" s="635"/>
      <c r="N565" s="788"/>
      <c r="O565" s="788"/>
      <c r="P565" s="650"/>
      <c r="Q565" s="789"/>
      <c r="R565" s="634"/>
      <c r="S565" s="634"/>
      <c r="T565" s="634"/>
      <c r="U565" s="634"/>
      <c r="V565" s="634"/>
      <c r="W565" s="634"/>
      <c r="X565" s="634"/>
      <c r="Y565" s="634"/>
      <c r="Z565" s="634"/>
    </row>
    <row r="566" ht="15.75" customHeight="1">
      <c r="A566" s="634"/>
      <c r="B566" s="634"/>
      <c r="C566" s="634"/>
      <c r="D566" s="634"/>
      <c r="E566" s="634"/>
      <c r="F566" s="635"/>
      <c r="G566" s="634"/>
      <c r="H566" s="636"/>
      <c r="I566" s="635"/>
      <c r="J566" s="635"/>
      <c r="K566" s="635"/>
      <c r="L566" s="635"/>
      <c r="M566" s="635"/>
      <c r="N566" s="788"/>
      <c r="O566" s="788"/>
      <c r="P566" s="650"/>
      <c r="Q566" s="789"/>
      <c r="R566" s="634"/>
      <c r="S566" s="634"/>
      <c r="T566" s="634"/>
      <c r="U566" s="634"/>
      <c r="V566" s="634"/>
      <c r="W566" s="634"/>
      <c r="X566" s="634"/>
      <c r="Y566" s="634"/>
      <c r="Z566" s="634"/>
    </row>
    <row r="567" ht="15.75" customHeight="1">
      <c r="A567" s="634"/>
      <c r="B567" s="634"/>
      <c r="C567" s="634"/>
      <c r="D567" s="634"/>
      <c r="E567" s="634"/>
      <c r="F567" s="635"/>
      <c r="G567" s="634"/>
      <c r="H567" s="636"/>
      <c r="I567" s="635"/>
      <c r="J567" s="635"/>
      <c r="K567" s="635"/>
      <c r="L567" s="635"/>
      <c r="M567" s="635"/>
      <c r="N567" s="788"/>
      <c r="O567" s="788"/>
      <c r="P567" s="650"/>
      <c r="Q567" s="789"/>
      <c r="R567" s="634"/>
      <c r="S567" s="634"/>
      <c r="T567" s="634"/>
      <c r="U567" s="634"/>
      <c r="V567" s="634"/>
      <c r="W567" s="634"/>
      <c r="X567" s="634"/>
      <c r="Y567" s="634"/>
      <c r="Z567" s="634"/>
    </row>
    <row r="568" ht="15.75" customHeight="1">
      <c r="A568" s="634"/>
      <c r="B568" s="634"/>
      <c r="C568" s="634"/>
      <c r="D568" s="634"/>
      <c r="E568" s="634"/>
      <c r="F568" s="635"/>
      <c r="G568" s="634"/>
      <c r="H568" s="636"/>
      <c r="I568" s="635"/>
      <c r="J568" s="635"/>
      <c r="K568" s="635"/>
      <c r="L568" s="635"/>
      <c r="M568" s="635"/>
      <c r="N568" s="788"/>
      <c r="O568" s="788"/>
      <c r="P568" s="650"/>
      <c r="Q568" s="789"/>
      <c r="R568" s="634"/>
      <c r="S568" s="634"/>
      <c r="T568" s="634"/>
      <c r="U568" s="634"/>
      <c r="V568" s="634"/>
      <c r="W568" s="634"/>
      <c r="X568" s="634"/>
      <c r="Y568" s="634"/>
      <c r="Z568" s="634"/>
    </row>
    <row r="569" ht="15.75" customHeight="1">
      <c r="A569" s="634"/>
      <c r="B569" s="634"/>
      <c r="C569" s="634"/>
      <c r="D569" s="634"/>
      <c r="E569" s="634"/>
      <c r="F569" s="635"/>
      <c r="G569" s="634"/>
      <c r="H569" s="636"/>
      <c r="I569" s="635"/>
      <c r="J569" s="635"/>
      <c r="K569" s="635"/>
      <c r="L569" s="635"/>
      <c r="M569" s="635"/>
      <c r="N569" s="788"/>
      <c r="O569" s="788"/>
      <c r="P569" s="650"/>
      <c r="Q569" s="789"/>
      <c r="R569" s="634"/>
      <c r="S569" s="634"/>
      <c r="T569" s="634"/>
      <c r="U569" s="634"/>
      <c r="V569" s="634"/>
      <c r="W569" s="634"/>
      <c r="X569" s="634"/>
      <c r="Y569" s="634"/>
      <c r="Z569" s="634"/>
    </row>
    <row r="570" ht="15.75" customHeight="1">
      <c r="A570" s="634"/>
      <c r="B570" s="634"/>
      <c r="C570" s="634"/>
      <c r="D570" s="634"/>
      <c r="E570" s="634"/>
      <c r="F570" s="635"/>
      <c r="G570" s="634"/>
      <c r="H570" s="636"/>
      <c r="I570" s="635"/>
      <c r="J570" s="635"/>
      <c r="K570" s="635"/>
      <c r="L570" s="635"/>
      <c r="M570" s="635"/>
      <c r="N570" s="788"/>
      <c r="O570" s="788"/>
      <c r="P570" s="650"/>
      <c r="Q570" s="789"/>
      <c r="R570" s="634"/>
      <c r="S570" s="634"/>
      <c r="T570" s="634"/>
      <c r="U570" s="634"/>
      <c r="V570" s="634"/>
      <c r="W570" s="634"/>
      <c r="X570" s="634"/>
      <c r="Y570" s="634"/>
      <c r="Z570" s="634"/>
    </row>
    <row r="571" ht="15.75" customHeight="1">
      <c r="A571" s="634"/>
      <c r="B571" s="634"/>
      <c r="C571" s="634"/>
      <c r="D571" s="634"/>
      <c r="E571" s="634"/>
      <c r="F571" s="635"/>
      <c r="G571" s="634"/>
      <c r="H571" s="636"/>
      <c r="I571" s="635"/>
      <c r="J571" s="635"/>
      <c r="K571" s="635"/>
      <c r="L571" s="635"/>
      <c r="M571" s="635"/>
      <c r="N571" s="788"/>
      <c r="O571" s="788"/>
      <c r="P571" s="650"/>
      <c r="Q571" s="789"/>
      <c r="R571" s="634"/>
      <c r="S571" s="634"/>
      <c r="T571" s="634"/>
      <c r="U571" s="634"/>
      <c r="V571" s="634"/>
      <c r="W571" s="634"/>
      <c r="X571" s="634"/>
      <c r="Y571" s="634"/>
      <c r="Z571" s="634"/>
    </row>
    <row r="572" ht="15.75" customHeight="1">
      <c r="A572" s="634"/>
      <c r="B572" s="634"/>
      <c r="C572" s="634"/>
      <c r="D572" s="634"/>
      <c r="E572" s="634"/>
      <c r="F572" s="635"/>
      <c r="G572" s="634"/>
      <c r="H572" s="636"/>
      <c r="I572" s="635"/>
      <c r="J572" s="635"/>
      <c r="K572" s="635"/>
      <c r="L572" s="635"/>
      <c r="M572" s="635"/>
      <c r="N572" s="788"/>
      <c r="O572" s="788"/>
      <c r="P572" s="650"/>
      <c r="Q572" s="789"/>
      <c r="R572" s="634"/>
      <c r="S572" s="634"/>
      <c r="T572" s="634"/>
      <c r="U572" s="634"/>
      <c r="V572" s="634"/>
      <c r="W572" s="634"/>
      <c r="X572" s="634"/>
      <c r="Y572" s="634"/>
      <c r="Z572" s="634"/>
    </row>
    <row r="573" ht="15.75" customHeight="1">
      <c r="A573" s="634"/>
      <c r="B573" s="634"/>
      <c r="C573" s="634"/>
      <c r="D573" s="634"/>
      <c r="E573" s="634"/>
      <c r="F573" s="635"/>
      <c r="G573" s="634"/>
      <c r="H573" s="636"/>
      <c r="I573" s="635"/>
      <c r="J573" s="635"/>
      <c r="K573" s="635"/>
      <c r="L573" s="635"/>
      <c r="M573" s="635"/>
      <c r="N573" s="788"/>
      <c r="O573" s="788"/>
      <c r="P573" s="650"/>
      <c r="Q573" s="789"/>
      <c r="R573" s="634"/>
      <c r="S573" s="634"/>
      <c r="T573" s="634"/>
      <c r="U573" s="634"/>
      <c r="V573" s="634"/>
      <c r="W573" s="634"/>
      <c r="X573" s="634"/>
      <c r="Y573" s="634"/>
      <c r="Z573" s="634"/>
    </row>
    <row r="574" ht="15.75" customHeight="1">
      <c r="A574" s="634"/>
      <c r="B574" s="634"/>
      <c r="C574" s="634"/>
      <c r="D574" s="634"/>
      <c r="E574" s="634"/>
      <c r="F574" s="635"/>
      <c r="G574" s="634"/>
      <c r="H574" s="636"/>
      <c r="I574" s="635"/>
      <c r="J574" s="635"/>
      <c r="K574" s="635"/>
      <c r="L574" s="635"/>
      <c r="M574" s="635"/>
      <c r="N574" s="788"/>
      <c r="O574" s="788"/>
      <c r="P574" s="650"/>
      <c r="Q574" s="789"/>
      <c r="R574" s="634"/>
      <c r="S574" s="634"/>
      <c r="T574" s="634"/>
      <c r="U574" s="634"/>
      <c r="V574" s="634"/>
      <c r="W574" s="634"/>
      <c r="X574" s="634"/>
      <c r="Y574" s="634"/>
      <c r="Z574" s="634"/>
    </row>
    <row r="575" ht="15.75" customHeight="1">
      <c r="A575" s="634"/>
      <c r="B575" s="634"/>
      <c r="C575" s="634"/>
      <c r="D575" s="634"/>
      <c r="E575" s="634"/>
      <c r="F575" s="635"/>
      <c r="G575" s="634"/>
      <c r="H575" s="636"/>
      <c r="I575" s="635"/>
      <c r="J575" s="635"/>
      <c r="K575" s="635"/>
      <c r="L575" s="635"/>
      <c r="M575" s="635"/>
      <c r="N575" s="788"/>
      <c r="O575" s="788"/>
      <c r="P575" s="650"/>
      <c r="Q575" s="789"/>
      <c r="R575" s="634"/>
      <c r="S575" s="634"/>
      <c r="T575" s="634"/>
      <c r="U575" s="634"/>
      <c r="V575" s="634"/>
      <c r="W575" s="634"/>
      <c r="X575" s="634"/>
      <c r="Y575" s="634"/>
      <c r="Z575" s="634"/>
    </row>
    <row r="576" ht="15.75" customHeight="1">
      <c r="A576" s="634"/>
      <c r="B576" s="634"/>
      <c r="C576" s="634"/>
      <c r="D576" s="634"/>
      <c r="E576" s="634"/>
      <c r="F576" s="635"/>
      <c r="G576" s="634"/>
      <c r="H576" s="636"/>
      <c r="I576" s="635"/>
      <c r="J576" s="635"/>
      <c r="K576" s="635"/>
      <c r="L576" s="635"/>
      <c r="M576" s="635"/>
      <c r="N576" s="788"/>
      <c r="O576" s="788"/>
      <c r="P576" s="650"/>
      <c r="Q576" s="789"/>
      <c r="R576" s="634"/>
      <c r="S576" s="634"/>
      <c r="T576" s="634"/>
      <c r="U576" s="634"/>
      <c r="V576" s="634"/>
      <c r="W576" s="634"/>
      <c r="X576" s="634"/>
      <c r="Y576" s="634"/>
      <c r="Z576" s="634"/>
    </row>
    <row r="577" ht="15.75" customHeight="1">
      <c r="A577" s="634"/>
      <c r="B577" s="634"/>
      <c r="C577" s="634"/>
      <c r="D577" s="634"/>
      <c r="E577" s="634"/>
      <c r="F577" s="635"/>
      <c r="G577" s="634"/>
      <c r="H577" s="636"/>
      <c r="I577" s="635"/>
      <c r="J577" s="635"/>
      <c r="K577" s="635"/>
      <c r="L577" s="635"/>
      <c r="M577" s="635"/>
      <c r="N577" s="788"/>
      <c r="O577" s="788"/>
      <c r="P577" s="650"/>
      <c r="Q577" s="789"/>
      <c r="R577" s="634"/>
      <c r="S577" s="634"/>
      <c r="T577" s="634"/>
      <c r="U577" s="634"/>
      <c r="V577" s="634"/>
      <c r="W577" s="634"/>
      <c r="X577" s="634"/>
      <c r="Y577" s="634"/>
      <c r="Z577" s="634"/>
    </row>
    <row r="578" ht="15.75" customHeight="1">
      <c r="A578" s="634"/>
      <c r="B578" s="634"/>
      <c r="C578" s="634"/>
      <c r="D578" s="634"/>
      <c r="E578" s="634"/>
      <c r="F578" s="635"/>
      <c r="G578" s="634"/>
      <c r="H578" s="636"/>
      <c r="I578" s="635"/>
      <c r="J578" s="635"/>
      <c r="K578" s="635"/>
      <c r="L578" s="635"/>
      <c r="M578" s="635"/>
      <c r="N578" s="788"/>
      <c r="O578" s="788"/>
      <c r="P578" s="650"/>
      <c r="Q578" s="789"/>
      <c r="R578" s="634"/>
      <c r="S578" s="634"/>
      <c r="T578" s="634"/>
      <c r="U578" s="634"/>
      <c r="V578" s="634"/>
      <c r="W578" s="634"/>
      <c r="X578" s="634"/>
      <c r="Y578" s="634"/>
      <c r="Z578" s="634"/>
    </row>
    <row r="579" ht="15.75" customHeight="1">
      <c r="A579" s="634"/>
      <c r="B579" s="634"/>
      <c r="C579" s="634"/>
      <c r="D579" s="634"/>
      <c r="E579" s="634"/>
      <c r="F579" s="635"/>
      <c r="G579" s="634"/>
      <c r="H579" s="636"/>
      <c r="I579" s="635"/>
      <c r="J579" s="635"/>
      <c r="K579" s="635"/>
      <c r="L579" s="635"/>
      <c r="M579" s="635"/>
      <c r="N579" s="788"/>
      <c r="O579" s="788"/>
      <c r="P579" s="650"/>
      <c r="Q579" s="789"/>
      <c r="R579" s="634"/>
      <c r="S579" s="634"/>
      <c r="T579" s="634"/>
      <c r="U579" s="634"/>
      <c r="V579" s="634"/>
      <c r="W579" s="634"/>
      <c r="X579" s="634"/>
      <c r="Y579" s="634"/>
      <c r="Z579" s="634"/>
    </row>
    <row r="580" ht="15.75" customHeight="1">
      <c r="A580" s="634"/>
      <c r="B580" s="634"/>
      <c r="C580" s="634"/>
      <c r="D580" s="634"/>
      <c r="E580" s="634"/>
      <c r="F580" s="635"/>
      <c r="G580" s="634"/>
      <c r="H580" s="636"/>
      <c r="I580" s="635"/>
      <c r="J580" s="635"/>
      <c r="K580" s="635"/>
      <c r="L580" s="635"/>
      <c r="M580" s="635"/>
      <c r="N580" s="788"/>
      <c r="O580" s="788"/>
      <c r="P580" s="650"/>
      <c r="Q580" s="789"/>
      <c r="R580" s="634"/>
      <c r="S580" s="634"/>
      <c r="T580" s="634"/>
      <c r="U580" s="634"/>
      <c r="V580" s="634"/>
      <c r="W580" s="634"/>
      <c r="X580" s="634"/>
      <c r="Y580" s="634"/>
      <c r="Z580" s="634"/>
    </row>
    <row r="581" ht="15.75" customHeight="1">
      <c r="A581" s="634"/>
      <c r="B581" s="634"/>
      <c r="C581" s="634"/>
      <c r="D581" s="634"/>
      <c r="E581" s="634"/>
      <c r="F581" s="635"/>
      <c r="G581" s="634"/>
      <c r="H581" s="636"/>
      <c r="I581" s="635"/>
      <c r="J581" s="635"/>
      <c r="K581" s="635"/>
      <c r="L581" s="635"/>
      <c r="M581" s="635"/>
      <c r="N581" s="788"/>
      <c r="O581" s="788"/>
      <c r="P581" s="650"/>
      <c r="Q581" s="789"/>
      <c r="R581" s="634"/>
      <c r="S581" s="634"/>
      <c r="T581" s="634"/>
      <c r="U581" s="634"/>
      <c r="V581" s="634"/>
      <c r="W581" s="634"/>
      <c r="X581" s="634"/>
      <c r="Y581" s="634"/>
      <c r="Z581" s="634"/>
    </row>
    <row r="582" ht="15.75" customHeight="1">
      <c r="A582" s="634"/>
      <c r="B582" s="634"/>
      <c r="C582" s="634"/>
      <c r="D582" s="634"/>
      <c r="E582" s="634"/>
      <c r="F582" s="635"/>
      <c r="G582" s="634"/>
      <c r="H582" s="636"/>
      <c r="I582" s="635"/>
      <c r="J582" s="635"/>
      <c r="K582" s="635"/>
      <c r="L582" s="635"/>
      <c r="M582" s="635"/>
      <c r="N582" s="788"/>
      <c r="O582" s="788"/>
      <c r="P582" s="650"/>
      <c r="Q582" s="789"/>
      <c r="R582" s="634"/>
      <c r="S582" s="634"/>
      <c r="T582" s="634"/>
      <c r="U582" s="634"/>
      <c r="V582" s="634"/>
      <c r="W582" s="634"/>
      <c r="X582" s="634"/>
      <c r="Y582" s="634"/>
      <c r="Z582" s="634"/>
    </row>
    <row r="583" ht="15.75" customHeight="1">
      <c r="A583" s="634"/>
      <c r="B583" s="634"/>
      <c r="C583" s="634"/>
      <c r="D583" s="634"/>
      <c r="E583" s="634"/>
      <c r="F583" s="635"/>
      <c r="G583" s="634"/>
      <c r="H583" s="636"/>
      <c r="I583" s="635"/>
      <c r="J583" s="635"/>
      <c r="K583" s="635"/>
      <c r="L583" s="635"/>
      <c r="M583" s="635"/>
      <c r="N583" s="788"/>
      <c r="O583" s="788"/>
      <c r="P583" s="650"/>
      <c r="Q583" s="789"/>
      <c r="R583" s="634"/>
      <c r="S583" s="634"/>
      <c r="T583" s="634"/>
      <c r="U583" s="634"/>
      <c r="V583" s="634"/>
      <c r="W583" s="634"/>
      <c r="X583" s="634"/>
      <c r="Y583" s="634"/>
      <c r="Z583" s="634"/>
    </row>
    <row r="584" ht="15.75" customHeight="1">
      <c r="A584" s="634"/>
      <c r="B584" s="634"/>
      <c r="C584" s="634"/>
      <c r="D584" s="634"/>
      <c r="E584" s="634"/>
      <c r="F584" s="635"/>
      <c r="G584" s="634"/>
      <c r="H584" s="636"/>
      <c r="I584" s="635"/>
      <c r="J584" s="635"/>
      <c r="K584" s="635"/>
      <c r="L584" s="635"/>
      <c r="M584" s="635"/>
      <c r="N584" s="788"/>
      <c r="O584" s="788"/>
      <c r="P584" s="650"/>
      <c r="Q584" s="789"/>
      <c r="R584" s="634"/>
      <c r="S584" s="634"/>
      <c r="T584" s="634"/>
      <c r="U584" s="634"/>
      <c r="V584" s="634"/>
      <c r="W584" s="634"/>
      <c r="X584" s="634"/>
      <c r="Y584" s="634"/>
      <c r="Z584" s="634"/>
    </row>
    <row r="585" ht="15.75" customHeight="1">
      <c r="A585" s="634"/>
      <c r="B585" s="634"/>
      <c r="C585" s="634"/>
      <c r="D585" s="634"/>
      <c r="E585" s="634"/>
      <c r="F585" s="635"/>
      <c r="G585" s="634"/>
      <c r="H585" s="636"/>
      <c r="I585" s="635"/>
      <c r="J585" s="635"/>
      <c r="K585" s="635"/>
      <c r="L585" s="635"/>
      <c r="M585" s="635"/>
      <c r="N585" s="788"/>
      <c r="O585" s="788"/>
      <c r="P585" s="650"/>
      <c r="Q585" s="789"/>
      <c r="R585" s="634"/>
      <c r="S585" s="634"/>
      <c r="T585" s="634"/>
      <c r="U585" s="634"/>
      <c r="V585" s="634"/>
      <c r="W585" s="634"/>
      <c r="X585" s="634"/>
      <c r="Y585" s="634"/>
      <c r="Z585" s="634"/>
    </row>
    <row r="586" ht="15.75" customHeight="1">
      <c r="A586" s="634"/>
      <c r="B586" s="634"/>
      <c r="C586" s="634"/>
      <c r="D586" s="634"/>
      <c r="E586" s="634"/>
      <c r="F586" s="635"/>
      <c r="G586" s="634"/>
      <c r="H586" s="636"/>
      <c r="I586" s="635"/>
      <c r="J586" s="635"/>
      <c r="K586" s="635"/>
      <c r="L586" s="635"/>
      <c r="M586" s="635"/>
      <c r="N586" s="788"/>
      <c r="O586" s="788"/>
      <c r="P586" s="650"/>
      <c r="Q586" s="789"/>
      <c r="R586" s="634"/>
      <c r="S586" s="634"/>
      <c r="T586" s="634"/>
      <c r="U586" s="634"/>
      <c r="V586" s="634"/>
      <c r="W586" s="634"/>
      <c r="X586" s="634"/>
      <c r="Y586" s="634"/>
      <c r="Z586" s="634"/>
    </row>
    <row r="587" ht="15.75" customHeight="1">
      <c r="A587" s="634"/>
      <c r="B587" s="634"/>
      <c r="C587" s="634"/>
      <c r="D587" s="634"/>
      <c r="E587" s="634"/>
      <c r="F587" s="635"/>
      <c r="G587" s="634"/>
      <c r="H587" s="636"/>
      <c r="I587" s="635"/>
      <c r="J587" s="635"/>
      <c r="K587" s="635"/>
      <c r="L587" s="635"/>
      <c r="M587" s="635"/>
      <c r="N587" s="788"/>
      <c r="O587" s="788"/>
      <c r="P587" s="650"/>
      <c r="Q587" s="789"/>
      <c r="R587" s="634"/>
      <c r="S587" s="634"/>
      <c r="T587" s="634"/>
      <c r="U587" s="634"/>
      <c r="V587" s="634"/>
      <c r="W587" s="634"/>
      <c r="X587" s="634"/>
      <c r="Y587" s="634"/>
      <c r="Z587" s="634"/>
    </row>
    <row r="588" ht="15.75" customHeight="1">
      <c r="A588" s="634"/>
      <c r="B588" s="634"/>
      <c r="C588" s="634"/>
      <c r="D588" s="634"/>
      <c r="E588" s="634"/>
      <c r="F588" s="635"/>
      <c r="G588" s="634"/>
      <c r="H588" s="636"/>
      <c r="I588" s="635"/>
      <c r="J588" s="635"/>
      <c r="K588" s="635"/>
      <c r="L588" s="635"/>
      <c r="M588" s="635"/>
      <c r="N588" s="788"/>
      <c r="O588" s="788"/>
      <c r="P588" s="650"/>
      <c r="Q588" s="789"/>
      <c r="R588" s="634"/>
      <c r="S588" s="634"/>
      <c r="T588" s="634"/>
      <c r="U588" s="634"/>
      <c r="V588" s="634"/>
      <c r="W588" s="634"/>
      <c r="X588" s="634"/>
      <c r="Y588" s="634"/>
      <c r="Z588" s="634"/>
    </row>
    <row r="589" ht="15.75" customHeight="1">
      <c r="A589" s="634"/>
      <c r="B589" s="634"/>
      <c r="C589" s="634"/>
      <c r="D589" s="634"/>
      <c r="E589" s="634"/>
      <c r="F589" s="635"/>
      <c r="G589" s="634"/>
      <c r="H589" s="636"/>
      <c r="I589" s="635"/>
      <c r="J589" s="635"/>
      <c r="K589" s="635"/>
      <c r="L589" s="635"/>
      <c r="M589" s="635"/>
      <c r="N589" s="788"/>
      <c r="O589" s="788"/>
      <c r="P589" s="650"/>
      <c r="Q589" s="789"/>
      <c r="R589" s="634"/>
      <c r="S589" s="634"/>
      <c r="T589" s="634"/>
      <c r="U589" s="634"/>
      <c r="V589" s="634"/>
      <c r="W589" s="634"/>
      <c r="X589" s="634"/>
      <c r="Y589" s="634"/>
      <c r="Z589" s="634"/>
    </row>
    <row r="590" ht="15.75" customHeight="1">
      <c r="A590" s="634"/>
      <c r="B590" s="634"/>
      <c r="C590" s="634"/>
      <c r="D590" s="634"/>
      <c r="E590" s="634"/>
      <c r="F590" s="635"/>
      <c r="G590" s="634"/>
      <c r="H590" s="636"/>
      <c r="I590" s="635"/>
      <c r="J590" s="635"/>
      <c r="K590" s="635"/>
      <c r="L590" s="635"/>
      <c r="M590" s="635"/>
      <c r="N590" s="788"/>
      <c r="O590" s="788"/>
      <c r="P590" s="650"/>
      <c r="Q590" s="789"/>
      <c r="R590" s="634"/>
      <c r="S590" s="634"/>
      <c r="T590" s="634"/>
      <c r="U590" s="634"/>
      <c r="V590" s="634"/>
      <c r="W590" s="634"/>
      <c r="X590" s="634"/>
      <c r="Y590" s="634"/>
      <c r="Z590" s="634"/>
    </row>
    <row r="591" ht="15.75" customHeight="1">
      <c r="A591" s="634"/>
      <c r="B591" s="634"/>
      <c r="C591" s="634"/>
      <c r="D591" s="634"/>
      <c r="E591" s="634"/>
      <c r="F591" s="635"/>
      <c r="G591" s="634"/>
      <c r="H591" s="636"/>
      <c r="I591" s="635"/>
      <c r="J591" s="635"/>
      <c r="K591" s="635"/>
      <c r="L591" s="635"/>
      <c r="M591" s="635"/>
      <c r="N591" s="788"/>
      <c r="O591" s="788"/>
      <c r="P591" s="650"/>
      <c r="Q591" s="789"/>
      <c r="R591" s="634"/>
      <c r="S591" s="634"/>
      <c r="T591" s="634"/>
      <c r="U591" s="634"/>
      <c r="V591" s="634"/>
      <c r="W591" s="634"/>
      <c r="X591" s="634"/>
      <c r="Y591" s="634"/>
      <c r="Z591" s="634"/>
    </row>
    <row r="592" ht="15.75" customHeight="1">
      <c r="A592" s="634"/>
      <c r="B592" s="634"/>
      <c r="C592" s="634"/>
      <c r="D592" s="634"/>
      <c r="E592" s="634"/>
      <c r="F592" s="635"/>
      <c r="G592" s="634"/>
      <c r="H592" s="636"/>
      <c r="I592" s="635"/>
      <c r="J592" s="635"/>
      <c r="K592" s="635"/>
      <c r="L592" s="635"/>
      <c r="M592" s="635"/>
      <c r="N592" s="788"/>
      <c r="O592" s="788"/>
      <c r="P592" s="650"/>
      <c r="Q592" s="789"/>
      <c r="R592" s="634"/>
      <c r="S592" s="634"/>
      <c r="T592" s="634"/>
      <c r="U592" s="634"/>
      <c r="V592" s="634"/>
      <c r="W592" s="634"/>
      <c r="X592" s="634"/>
      <c r="Y592" s="634"/>
      <c r="Z592" s="634"/>
    </row>
    <row r="593" ht="15.75" customHeight="1">
      <c r="A593" s="634"/>
      <c r="B593" s="634"/>
      <c r="C593" s="634"/>
      <c r="D593" s="634"/>
      <c r="E593" s="634"/>
      <c r="F593" s="635"/>
      <c r="G593" s="634"/>
      <c r="H593" s="636"/>
      <c r="I593" s="635"/>
      <c r="J593" s="635"/>
      <c r="K593" s="635"/>
      <c r="L593" s="635"/>
      <c r="M593" s="635"/>
      <c r="N593" s="788"/>
      <c r="O593" s="788"/>
      <c r="P593" s="650"/>
      <c r="Q593" s="789"/>
      <c r="R593" s="634"/>
      <c r="S593" s="634"/>
      <c r="T593" s="634"/>
      <c r="U593" s="634"/>
      <c r="V593" s="634"/>
      <c r="W593" s="634"/>
      <c r="X593" s="634"/>
      <c r="Y593" s="634"/>
      <c r="Z593" s="634"/>
    </row>
    <row r="594" ht="15.75" customHeight="1">
      <c r="A594" s="634"/>
      <c r="B594" s="634"/>
      <c r="C594" s="634"/>
      <c r="D594" s="634"/>
      <c r="E594" s="634"/>
      <c r="F594" s="635"/>
      <c r="G594" s="634"/>
      <c r="H594" s="636"/>
      <c r="I594" s="635"/>
      <c r="J594" s="635"/>
      <c r="K594" s="635"/>
      <c r="L594" s="635"/>
      <c r="M594" s="635"/>
      <c r="N594" s="788"/>
      <c r="O594" s="788"/>
      <c r="P594" s="650"/>
      <c r="Q594" s="789"/>
      <c r="R594" s="634"/>
      <c r="S594" s="634"/>
      <c r="T594" s="634"/>
      <c r="U594" s="634"/>
      <c r="V594" s="634"/>
      <c r="W594" s="634"/>
      <c r="X594" s="634"/>
      <c r="Y594" s="634"/>
      <c r="Z594" s="634"/>
    </row>
    <row r="595" ht="15.75" customHeight="1">
      <c r="A595" s="634"/>
      <c r="B595" s="634"/>
      <c r="C595" s="634"/>
      <c r="D595" s="634"/>
      <c r="E595" s="634"/>
      <c r="F595" s="635"/>
      <c r="G595" s="634"/>
      <c r="H595" s="636"/>
      <c r="I595" s="635"/>
      <c r="J595" s="635"/>
      <c r="K595" s="635"/>
      <c r="L595" s="635"/>
      <c r="M595" s="635"/>
      <c r="N595" s="788"/>
      <c r="O595" s="788"/>
      <c r="P595" s="650"/>
      <c r="Q595" s="789"/>
      <c r="R595" s="634"/>
      <c r="S595" s="634"/>
      <c r="T595" s="634"/>
      <c r="U595" s="634"/>
      <c r="V595" s="634"/>
      <c r="W595" s="634"/>
      <c r="X595" s="634"/>
      <c r="Y595" s="634"/>
      <c r="Z595" s="634"/>
    </row>
    <row r="596" ht="15.75" customHeight="1">
      <c r="A596" s="634"/>
      <c r="B596" s="634"/>
      <c r="C596" s="634"/>
      <c r="D596" s="634"/>
      <c r="E596" s="634"/>
      <c r="F596" s="635"/>
      <c r="G596" s="634"/>
      <c r="H596" s="636"/>
      <c r="I596" s="635"/>
      <c r="J596" s="635"/>
      <c r="K596" s="635"/>
      <c r="L596" s="635"/>
      <c r="M596" s="635"/>
      <c r="N596" s="788"/>
      <c r="O596" s="788"/>
      <c r="P596" s="650"/>
      <c r="Q596" s="789"/>
      <c r="R596" s="634"/>
      <c r="S596" s="634"/>
      <c r="T596" s="634"/>
      <c r="U596" s="634"/>
      <c r="V596" s="634"/>
      <c r="W596" s="634"/>
      <c r="X596" s="634"/>
      <c r="Y596" s="634"/>
      <c r="Z596" s="634"/>
    </row>
    <row r="597" ht="15.75" customHeight="1">
      <c r="A597" s="634"/>
      <c r="B597" s="634"/>
      <c r="C597" s="634"/>
      <c r="D597" s="634"/>
      <c r="E597" s="634"/>
      <c r="F597" s="635"/>
      <c r="G597" s="634"/>
      <c r="H597" s="636"/>
      <c r="I597" s="635"/>
      <c r="J597" s="635"/>
      <c r="K597" s="635"/>
      <c r="L597" s="635"/>
      <c r="M597" s="635"/>
      <c r="N597" s="788"/>
      <c r="O597" s="788"/>
      <c r="P597" s="650"/>
      <c r="Q597" s="789"/>
      <c r="R597" s="634"/>
      <c r="S597" s="634"/>
      <c r="T597" s="634"/>
      <c r="U597" s="634"/>
      <c r="V597" s="634"/>
      <c r="W597" s="634"/>
      <c r="X597" s="634"/>
      <c r="Y597" s="634"/>
      <c r="Z597" s="634"/>
    </row>
    <row r="598" ht="15.75" customHeight="1">
      <c r="A598" s="634"/>
      <c r="B598" s="634"/>
      <c r="C598" s="634"/>
      <c r="D598" s="634"/>
      <c r="E598" s="634"/>
      <c r="F598" s="635"/>
      <c r="G598" s="634"/>
      <c r="H598" s="636"/>
      <c r="I598" s="635"/>
      <c r="J598" s="635"/>
      <c r="K598" s="635"/>
      <c r="L598" s="635"/>
      <c r="M598" s="635"/>
      <c r="N598" s="788"/>
      <c r="O598" s="788"/>
      <c r="P598" s="650"/>
      <c r="Q598" s="789"/>
      <c r="R598" s="634"/>
      <c r="S598" s="634"/>
      <c r="T598" s="634"/>
      <c r="U598" s="634"/>
      <c r="V598" s="634"/>
      <c r="W598" s="634"/>
      <c r="X598" s="634"/>
      <c r="Y598" s="634"/>
      <c r="Z598" s="634"/>
    </row>
    <row r="599" ht="15.75" customHeight="1">
      <c r="A599" s="634"/>
      <c r="B599" s="634"/>
      <c r="C599" s="634"/>
      <c r="D599" s="634"/>
      <c r="E599" s="634"/>
      <c r="F599" s="635"/>
      <c r="G599" s="634"/>
      <c r="H599" s="636"/>
      <c r="I599" s="635"/>
      <c r="J599" s="635"/>
      <c r="K599" s="635"/>
      <c r="L599" s="635"/>
      <c r="M599" s="635"/>
      <c r="N599" s="788"/>
      <c r="O599" s="788"/>
      <c r="P599" s="650"/>
      <c r="Q599" s="789"/>
      <c r="R599" s="634"/>
      <c r="S599" s="634"/>
      <c r="T599" s="634"/>
      <c r="U599" s="634"/>
      <c r="V599" s="634"/>
      <c r="W599" s="634"/>
      <c r="X599" s="634"/>
      <c r="Y599" s="634"/>
      <c r="Z599" s="634"/>
    </row>
    <row r="600" ht="15.75" customHeight="1">
      <c r="A600" s="634"/>
      <c r="B600" s="634"/>
      <c r="C600" s="634"/>
      <c r="D600" s="634"/>
      <c r="E600" s="634"/>
      <c r="F600" s="635"/>
      <c r="G600" s="634"/>
      <c r="H600" s="636"/>
      <c r="I600" s="635"/>
      <c r="J600" s="635"/>
      <c r="K600" s="635"/>
      <c r="L600" s="635"/>
      <c r="M600" s="635"/>
      <c r="N600" s="788"/>
      <c r="O600" s="788"/>
      <c r="P600" s="650"/>
      <c r="Q600" s="789"/>
      <c r="R600" s="634"/>
      <c r="S600" s="634"/>
      <c r="T600" s="634"/>
      <c r="U600" s="634"/>
      <c r="V600" s="634"/>
      <c r="W600" s="634"/>
      <c r="X600" s="634"/>
      <c r="Y600" s="634"/>
      <c r="Z600" s="634"/>
    </row>
    <row r="601" ht="15.75" customHeight="1">
      <c r="A601" s="634"/>
      <c r="B601" s="634"/>
      <c r="C601" s="634"/>
      <c r="D601" s="634"/>
      <c r="E601" s="634"/>
      <c r="F601" s="635"/>
      <c r="G601" s="634"/>
      <c r="H601" s="636"/>
      <c r="I601" s="635"/>
      <c r="J601" s="635"/>
      <c r="K601" s="635"/>
      <c r="L601" s="635"/>
      <c r="M601" s="635"/>
      <c r="N601" s="788"/>
      <c r="O601" s="788"/>
      <c r="P601" s="650"/>
      <c r="Q601" s="789"/>
      <c r="R601" s="634"/>
      <c r="S601" s="634"/>
      <c r="T601" s="634"/>
      <c r="U601" s="634"/>
      <c r="V601" s="634"/>
      <c r="W601" s="634"/>
      <c r="X601" s="634"/>
      <c r="Y601" s="634"/>
      <c r="Z601" s="634"/>
    </row>
    <row r="602" ht="15.75" customHeight="1">
      <c r="A602" s="634"/>
      <c r="B602" s="634"/>
      <c r="C602" s="634"/>
      <c r="D602" s="634"/>
      <c r="E602" s="634"/>
      <c r="F602" s="635"/>
      <c r="G602" s="634"/>
      <c r="H602" s="636"/>
      <c r="I602" s="635"/>
      <c r="J602" s="635"/>
      <c r="K602" s="635"/>
      <c r="L602" s="635"/>
      <c r="M602" s="635"/>
      <c r="N602" s="788"/>
      <c r="O602" s="788"/>
      <c r="P602" s="650"/>
      <c r="Q602" s="789"/>
      <c r="R602" s="634"/>
      <c r="S602" s="634"/>
      <c r="T602" s="634"/>
      <c r="U602" s="634"/>
      <c r="V602" s="634"/>
      <c r="W602" s="634"/>
      <c r="X602" s="634"/>
      <c r="Y602" s="634"/>
      <c r="Z602" s="634"/>
    </row>
    <row r="603" ht="15.75" customHeight="1">
      <c r="A603" s="634"/>
      <c r="B603" s="634"/>
      <c r="C603" s="634"/>
      <c r="D603" s="634"/>
      <c r="E603" s="634"/>
      <c r="F603" s="635"/>
      <c r="G603" s="634"/>
      <c r="H603" s="636"/>
      <c r="I603" s="635"/>
      <c r="J603" s="635"/>
      <c r="K603" s="635"/>
      <c r="L603" s="635"/>
      <c r="M603" s="635"/>
      <c r="N603" s="788"/>
      <c r="O603" s="788"/>
      <c r="P603" s="650"/>
      <c r="Q603" s="789"/>
      <c r="R603" s="634"/>
      <c r="S603" s="634"/>
      <c r="T603" s="634"/>
      <c r="U603" s="634"/>
      <c r="V603" s="634"/>
      <c r="W603" s="634"/>
      <c r="X603" s="634"/>
      <c r="Y603" s="634"/>
      <c r="Z603" s="634"/>
    </row>
    <row r="604" ht="15.75" customHeight="1">
      <c r="A604" s="634"/>
      <c r="B604" s="634"/>
      <c r="C604" s="634"/>
      <c r="D604" s="634"/>
      <c r="E604" s="634"/>
      <c r="F604" s="635"/>
      <c r="G604" s="634"/>
      <c r="H604" s="636"/>
      <c r="I604" s="635"/>
      <c r="J604" s="635"/>
      <c r="K604" s="635"/>
      <c r="L604" s="635"/>
      <c r="M604" s="635"/>
      <c r="N604" s="788"/>
      <c r="O604" s="788"/>
      <c r="P604" s="650"/>
      <c r="Q604" s="789"/>
      <c r="R604" s="634"/>
      <c r="S604" s="634"/>
      <c r="T604" s="634"/>
      <c r="U604" s="634"/>
      <c r="V604" s="634"/>
      <c r="W604" s="634"/>
      <c r="X604" s="634"/>
      <c r="Y604" s="634"/>
      <c r="Z604" s="634"/>
    </row>
    <row r="605" ht="15.75" customHeight="1">
      <c r="A605" s="634"/>
      <c r="B605" s="634"/>
      <c r="C605" s="634"/>
      <c r="D605" s="634"/>
      <c r="E605" s="634"/>
      <c r="F605" s="635"/>
      <c r="G605" s="634"/>
      <c r="H605" s="636"/>
      <c r="I605" s="635"/>
      <c r="J605" s="635"/>
      <c r="K605" s="635"/>
      <c r="L605" s="635"/>
      <c r="M605" s="635"/>
      <c r="N605" s="788"/>
      <c r="O605" s="788"/>
      <c r="P605" s="650"/>
      <c r="Q605" s="789"/>
      <c r="R605" s="634"/>
      <c r="S605" s="634"/>
      <c r="T605" s="634"/>
      <c r="U605" s="634"/>
      <c r="V605" s="634"/>
      <c r="W605" s="634"/>
      <c r="X605" s="634"/>
      <c r="Y605" s="634"/>
      <c r="Z605" s="634"/>
    </row>
    <row r="606" ht="15.75" customHeight="1">
      <c r="A606" s="634"/>
      <c r="B606" s="634"/>
      <c r="C606" s="634"/>
      <c r="D606" s="634"/>
      <c r="E606" s="634"/>
      <c r="F606" s="635"/>
      <c r="G606" s="634"/>
      <c r="H606" s="636"/>
      <c r="I606" s="635"/>
      <c r="J606" s="635"/>
      <c r="K606" s="635"/>
      <c r="L606" s="635"/>
      <c r="M606" s="635"/>
      <c r="N606" s="788"/>
      <c r="O606" s="788"/>
      <c r="P606" s="650"/>
      <c r="Q606" s="789"/>
      <c r="R606" s="634"/>
      <c r="S606" s="634"/>
      <c r="T606" s="634"/>
      <c r="U606" s="634"/>
      <c r="V606" s="634"/>
      <c r="W606" s="634"/>
      <c r="X606" s="634"/>
      <c r="Y606" s="634"/>
      <c r="Z606" s="634"/>
    </row>
    <row r="607" ht="15.75" customHeight="1">
      <c r="A607" s="634"/>
      <c r="B607" s="634"/>
      <c r="C607" s="634"/>
      <c r="D607" s="634"/>
      <c r="E607" s="634"/>
      <c r="F607" s="635"/>
      <c r="G607" s="634"/>
      <c r="H607" s="636"/>
      <c r="I607" s="635"/>
      <c r="J607" s="635"/>
      <c r="K607" s="635"/>
      <c r="L607" s="635"/>
      <c r="M607" s="635"/>
      <c r="N607" s="788"/>
      <c r="O607" s="788"/>
      <c r="P607" s="650"/>
      <c r="Q607" s="789"/>
      <c r="R607" s="634"/>
      <c r="S607" s="634"/>
      <c r="T607" s="634"/>
      <c r="U607" s="634"/>
      <c r="V607" s="634"/>
      <c r="W607" s="634"/>
      <c r="X607" s="634"/>
      <c r="Y607" s="634"/>
      <c r="Z607" s="634"/>
    </row>
    <row r="608" ht="15.75" customHeight="1">
      <c r="A608" s="634"/>
      <c r="B608" s="634"/>
      <c r="C608" s="634"/>
      <c r="D608" s="634"/>
      <c r="E608" s="634"/>
      <c r="F608" s="635"/>
      <c r="G608" s="634"/>
      <c r="H608" s="636"/>
      <c r="I608" s="635"/>
      <c r="J608" s="635"/>
      <c r="K608" s="635"/>
      <c r="L608" s="635"/>
      <c r="M608" s="635"/>
      <c r="N608" s="788"/>
      <c r="O608" s="788"/>
      <c r="P608" s="650"/>
      <c r="Q608" s="789"/>
      <c r="R608" s="634"/>
      <c r="S608" s="634"/>
      <c r="T608" s="634"/>
      <c r="U608" s="634"/>
      <c r="V608" s="634"/>
      <c r="W608" s="634"/>
      <c r="X608" s="634"/>
      <c r="Y608" s="634"/>
      <c r="Z608" s="634"/>
    </row>
    <row r="609" ht="15.75" customHeight="1">
      <c r="A609" s="634"/>
      <c r="B609" s="634"/>
      <c r="C609" s="634"/>
      <c r="D609" s="634"/>
      <c r="E609" s="634"/>
      <c r="F609" s="635"/>
      <c r="G609" s="634"/>
      <c r="H609" s="636"/>
      <c r="I609" s="635"/>
      <c r="J609" s="635"/>
      <c r="K609" s="635"/>
      <c r="L609" s="635"/>
      <c r="M609" s="635"/>
      <c r="N609" s="788"/>
      <c r="O609" s="788"/>
      <c r="P609" s="650"/>
      <c r="Q609" s="789"/>
      <c r="R609" s="634"/>
      <c r="S609" s="634"/>
      <c r="T609" s="634"/>
      <c r="U609" s="634"/>
      <c r="V609" s="634"/>
      <c r="W609" s="634"/>
      <c r="X609" s="634"/>
      <c r="Y609" s="634"/>
      <c r="Z609" s="634"/>
    </row>
    <row r="610" ht="15.75" customHeight="1">
      <c r="A610" s="634"/>
      <c r="B610" s="634"/>
      <c r="C610" s="634"/>
      <c r="D610" s="634"/>
      <c r="E610" s="634"/>
      <c r="F610" s="635"/>
      <c r="G610" s="634"/>
      <c r="H610" s="636"/>
      <c r="I610" s="635"/>
      <c r="J610" s="635"/>
      <c r="K610" s="635"/>
      <c r="L610" s="635"/>
      <c r="M610" s="635"/>
      <c r="N610" s="788"/>
      <c r="O610" s="788"/>
      <c r="P610" s="650"/>
      <c r="Q610" s="789"/>
      <c r="R610" s="634"/>
      <c r="S610" s="634"/>
      <c r="T610" s="634"/>
      <c r="U610" s="634"/>
      <c r="V610" s="634"/>
      <c r="W610" s="634"/>
      <c r="X610" s="634"/>
      <c r="Y610" s="634"/>
      <c r="Z610" s="634"/>
    </row>
    <row r="611" ht="15.75" customHeight="1">
      <c r="A611" s="634"/>
      <c r="B611" s="634"/>
      <c r="C611" s="634"/>
      <c r="D611" s="634"/>
      <c r="E611" s="634"/>
      <c r="F611" s="635"/>
      <c r="G611" s="634"/>
      <c r="H611" s="636"/>
      <c r="I611" s="635"/>
      <c r="J611" s="635"/>
      <c r="K611" s="635"/>
      <c r="L611" s="635"/>
      <c r="M611" s="635"/>
      <c r="N611" s="788"/>
      <c r="O611" s="788"/>
      <c r="P611" s="650"/>
      <c r="Q611" s="789"/>
      <c r="R611" s="634"/>
      <c r="S611" s="634"/>
      <c r="T611" s="634"/>
      <c r="U611" s="634"/>
      <c r="V611" s="634"/>
      <c r="W611" s="634"/>
      <c r="X611" s="634"/>
      <c r="Y611" s="634"/>
      <c r="Z611" s="634"/>
    </row>
    <row r="612" ht="15.75" customHeight="1">
      <c r="A612" s="634"/>
      <c r="B612" s="634"/>
      <c r="C612" s="634"/>
      <c r="D612" s="634"/>
      <c r="E612" s="634"/>
      <c r="F612" s="635"/>
      <c r="G612" s="634"/>
      <c r="H612" s="636"/>
      <c r="I612" s="635"/>
      <c r="J612" s="635"/>
      <c r="K612" s="635"/>
      <c r="L612" s="635"/>
      <c r="M612" s="635"/>
      <c r="N612" s="788"/>
      <c r="O612" s="788"/>
      <c r="P612" s="650"/>
      <c r="Q612" s="789"/>
      <c r="R612" s="634"/>
      <c r="S612" s="634"/>
      <c r="T612" s="634"/>
      <c r="U612" s="634"/>
      <c r="V612" s="634"/>
      <c r="W612" s="634"/>
      <c r="X612" s="634"/>
      <c r="Y612" s="634"/>
      <c r="Z612" s="634"/>
    </row>
    <row r="613" ht="15.75" customHeight="1">
      <c r="A613" s="634"/>
      <c r="B613" s="634"/>
      <c r="C613" s="634"/>
      <c r="D613" s="634"/>
      <c r="E613" s="634"/>
      <c r="F613" s="635"/>
      <c r="G613" s="634"/>
      <c r="H613" s="636"/>
      <c r="I613" s="635"/>
      <c r="J613" s="635"/>
      <c r="K613" s="635"/>
      <c r="L613" s="635"/>
      <c r="M613" s="635"/>
      <c r="N613" s="788"/>
      <c r="O613" s="788"/>
      <c r="P613" s="650"/>
      <c r="Q613" s="789"/>
      <c r="R613" s="634"/>
      <c r="S613" s="634"/>
      <c r="T613" s="634"/>
      <c r="U613" s="634"/>
      <c r="V613" s="634"/>
      <c r="W613" s="634"/>
      <c r="X613" s="634"/>
      <c r="Y613" s="634"/>
      <c r="Z613" s="634"/>
    </row>
    <row r="614" ht="15.75" customHeight="1">
      <c r="A614" s="634"/>
      <c r="B614" s="634"/>
      <c r="C614" s="634"/>
      <c r="D614" s="634"/>
      <c r="E614" s="634"/>
      <c r="F614" s="635"/>
      <c r="G614" s="634"/>
      <c r="H614" s="636"/>
      <c r="I614" s="635"/>
      <c r="J614" s="635"/>
      <c r="K614" s="635"/>
      <c r="L614" s="635"/>
      <c r="M614" s="635"/>
      <c r="N614" s="788"/>
      <c r="O614" s="788"/>
      <c r="P614" s="650"/>
      <c r="Q614" s="789"/>
      <c r="R614" s="634"/>
      <c r="S614" s="634"/>
      <c r="T614" s="634"/>
      <c r="U614" s="634"/>
      <c r="V614" s="634"/>
      <c r="W614" s="634"/>
      <c r="X614" s="634"/>
      <c r="Y614" s="634"/>
      <c r="Z614" s="634"/>
    </row>
    <row r="615" ht="15.75" customHeight="1">
      <c r="A615" s="634"/>
      <c r="B615" s="634"/>
      <c r="C615" s="634"/>
      <c r="D615" s="634"/>
      <c r="E615" s="634"/>
      <c r="F615" s="635"/>
      <c r="G615" s="634"/>
      <c r="H615" s="636"/>
      <c r="I615" s="635"/>
      <c r="J615" s="635"/>
      <c r="K615" s="635"/>
      <c r="L615" s="635"/>
      <c r="M615" s="635"/>
      <c r="N615" s="788"/>
      <c r="O615" s="788"/>
      <c r="P615" s="650"/>
      <c r="Q615" s="789"/>
      <c r="R615" s="634"/>
      <c r="S615" s="634"/>
      <c r="T615" s="634"/>
      <c r="U615" s="634"/>
      <c r="V615" s="634"/>
      <c r="W615" s="634"/>
      <c r="X615" s="634"/>
      <c r="Y615" s="634"/>
      <c r="Z615" s="634"/>
    </row>
    <row r="616" ht="15.75" customHeight="1">
      <c r="A616" s="634"/>
      <c r="B616" s="634"/>
      <c r="C616" s="634"/>
      <c r="D616" s="634"/>
      <c r="E616" s="634"/>
      <c r="F616" s="635"/>
      <c r="G616" s="634"/>
      <c r="H616" s="636"/>
      <c r="I616" s="635"/>
      <c r="J616" s="635"/>
      <c r="K616" s="635"/>
      <c r="L616" s="635"/>
      <c r="M616" s="635"/>
      <c r="N616" s="788"/>
      <c r="O616" s="788"/>
      <c r="P616" s="650"/>
      <c r="Q616" s="789"/>
      <c r="R616" s="634"/>
      <c r="S616" s="634"/>
      <c r="T616" s="634"/>
      <c r="U616" s="634"/>
      <c r="V616" s="634"/>
      <c r="W616" s="634"/>
      <c r="X616" s="634"/>
      <c r="Y616" s="634"/>
      <c r="Z616" s="634"/>
    </row>
    <row r="617" ht="15.75" customHeight="1">
      <c r="A617" s="634"/>
      <c r="B617" s="634"/>
      <c r="C617" s="634"/>
      <c r="D617" s="634"/>
      <c r="E617" s="634"/>
      <c r="F617" s="635"/>
      <c r="G617" s="634"/>
      <c r="H617" s="636"/>
      <c r="I617" s="635"/>
      <c r="J617" s="635"/>
      <c r="K617" s="635"/>
      <c r="L617" s="635"/>
      <c r="M617" s="635"/>
      <c r="N617" s="788"/>
      <c r="O617" s="788"/>
      <c r="P617" s="650"/>
      <c r="Q617" s="789"/>
      <c r="R617" s="634"/>
      <c r="S617" s="634"/>
      <c r="T617" s="634"/>
      <c r="U617" s="634"/>
      <c r="V617" s="634"/>
      <c r="W617" s="634"/>
      <c r="X617" s="634"/>
      <c r="Y617" s="634"/>
      <c r="Z617" s="634"/>
    </row>
    <row r="618" ht="15.75" customHeight="1">
      <c r="A618" s="634"/>
      <c r="B618" s="634"/>
      <c r="C618" s="634"/>
      <c r="D618" s="634"/>
      <c r="E618" s="634"/>
      <c r="F618" s="635"/>
      <c r="G618" s="634"/>
      <c r="H618" s="636"/>
      <c r="I618" s="635"/>
      <c r="J618" s="635"/>
      <c r="K618" s="635"/>
      <c r="L618" s="635"/>
      <c r="M618" s="635"/>
      <c r="N618" s="788"/>
      <c r="O618" s="788"/>
      <c r="P618" s="650"/>
      <c r="Q618" s="789"/>
      <c r="R618" s="634"/>
      <c r="S618" s="634"/>
      <c r="T618" s="634"/>
      <c r="U618" s="634"/>
      <c r="V618" s="634"/>
      <c r="W618" s="634"/>
      <c r="X618" s="634"/>
      <c r="Y618" s="634"/>
      <c r="Z618" s="634"/>
    </row>
    <row r="619" ht="15.75" customHeight="1">
      <c r="A619" s="634"/>
      <c r="B619" s="634"/>
      <c r="C619" s="634"/>
      <c r="D619" s="634"/>
      <c r="E619" s="634"/>
      <c r="F619" s="635"/>
      <c r="G619" s="634"/>
      <c r="H619" s="636"/>
      <c r="I619" s="635"/>
      <c r="J619" s="635"/>
      <c r="K619" s="635"/>
      <c r="L619" s="635"/>
      <c r="M619" s="635"/>
      <c r="N619" s="788"/>
      <c r="O619" s="788"/>
      <c r="P619" s="650"/>
      <c r="Q619" s="789"/>
      <c r="R619" s="634"/>
      <c r="S619" s="634"/>
      <c r="T619" s="634"/>
      <c r="U619" s="634"/>
      <c r="V619" s="634"/>
      <c r="W619" s="634"/>
      <c r="X619" s="634"/>
      <c r="Y619" s="634"/>
      <c r="Z619" s="634"/>
    </row>
    <row r="620" ht="15.75" customHeight="1">
      <c r="A620" s="634"/>
      <c r="B620" s="634"/>
      <c r="C620" s="634"/>
      <c r="D620" s="634"/>
      <c r="E620" s="634"/>
      <c r="F620" s="635"/>
      <c r="G620" s="634"/>
      <c r="H620" s="636"/>
      <c r="I620" s="635"/>
      <c r="J620" s="635"/>
      <c r="K620" s="635"/>
      <c r="L620" s="635"/>
      <c r="M620" s="635"/>
      <c r="N620" s="788"/>
      <c r="O620" s="788"/>
      <c r="P620" s="650"/>
      <c r="Q620" s="789"/>
      <c r="R620" s="634"/>
      <c r="S620" s="634"/>
      <c r="T620" s="634"/>
      <c r="U620" s="634"/>
      <c r="V620" s="634"/>
      <c r="W620" s="634"/>
      <c r="X620" s="634"/>
      <c r="Y620" s="634"/>
      <c r="Z620" s="634"/>
    </row>
    <row r="621" ht="15.75" customHeight="1">
      <c r="A621" s="634"/>
      <c r="B621" s="634"/>
      <c r="C621" s="634"/>
      <c r="D621" s="634"/>
      <c r="E621" s="634"/>
      <c r="F621" s="635"/>
      <c r="G621" s="634"/>
      <c r="H621" s="636"/>
      <c r="I621" s="635"/>
      <c r="J621" s="635"/>
      <c r="K621" s="635"/>
      <c r="L621" s="635"/>
      <c r="M621" s="635"/>
      <c r="N621" s="788"/>
      <c r="O621" s="788"/>
      <c r="P621" s="650"/>
      <c r="Q621" s="789"/>
      <c r="R621" s="634"/>
      <c r="S621" s="634"/>
      <c r="T621" s="634"/>
      <c r="U621" s="634"/>
      <c r="V621" s="634"/>
      <c r="W621" s="634"/>
      <c r="X621" s="634"/>
      <c r="Y621" s="634"/>
      <c r="Z621" s="634"/>
    </row>
    <row r="622" ht="15.75" customHeight="1">
      <c r="A622" s="634"/>
      <c r="B622" s="634"/>
      <c r="C622" s="634"/>
      <c r="D622" s="634"/>
      <c r="E622" s="634"/>
      <c r="F622" s="635"/>
      <c r="G622" s="634"/>
      <c r="H622" s="636"/>
      <c r="I622" s="635"/>
      <c r="J622" s="635"/>
      <c r="K622" s="635"/>
      <c r="L622" s="635"/>
      <c r="M622" s="635"/>
      <c r="N622" s="788"/>
      <c r="O622" s="788"/>
      <c r="P622" s="650"/>
      <c r="Q622" s="789"/>
      <c r="R622" s="634"/>
      <c r="S622" s="634"/>
      <c r="T622" s="634"/>
      <c r="U622" s="634"/>
      <c r="V622" s="634"/>
      <c r="W622" s="634"/>
      <c r="X622" s="634"/>
      <c r="Y622" s="634"/>
      <c r="Z622" s="634"/>
    </row>
    <row r="623" ht="15.75" customHeight="1">
      <c r="A623" s="634"/>
      <c r="B623" s="634"/>
      <c r="C623" s="634"/>
      <c r="D623" s="634"/>
      <c r="E623" s="634"/>
      <c r="F623" s="635"/>
      <c r="G623" s="634"/>
      <c r="H623" s="636"/>
      <c r="I623" s="635"/>
      <c r="J623" s="635"/>
      <c r="K623" s="635"/>
      <c r="L623" s="635"/>
      <c r="M623" s="635"/>
      <c r="N623" s="788"/>
      <c r="O623" s="788"/>
      <c r="P623" s="650"/>
      <c r="Q623" s="789"/>
      <c r="R623" s="634"/>
      <c r="S623" s="634"/>
      <c r="T623" s="634"/>
      <c r="U623" s="634"/>
      <c r="V623" s="634"/>
      <c r="W623" s="634"/>
      <c r="X623" s="634"/>
      <c r="Y623" s="634"/>
      <c r="Z623" s="634"/>
    </row>
    <row r="624" ht="15.75" customHeight="1">
      <c r="A624" s="634"/>
      <c r="B624" s="634"/>
      <c r="C624" s="634"/>
      <c r="D624" s="634"/>
      <c r="E624" s="634"/>
      <c r="F624" s="635"/>
      <c r="G624" s="634"/>
      <c r="H624" s="636"/>
      <c r="I624" s="635"/>
      <c r="J624" s="635"/>
      <c r="K624" s="635"/>
      <c r="L624" s="635"/>
      <c r="M624" s="635"/>
      <c r="N624" s="788"/>
      <c r="O624" s="788"/>
      <c r="P624" s="650"/>
      <c r="Q624" s="789"/>
      <c r="R624" s="634"/>
      <c r="S624" s="634"/>
      <c r="T624" s="634"/>
      <c r="U624" s="634"/>
      <c r="V624" s="634"/>
      <c r="W624" s="634"/>
      <c r="X624" s="634"/>
      <c r="Y624" s="634"/>
      <c r="Z624" s="634"/>
    </row>
    <row r="625" ht="15.75" customHeight="1">
      <c r="A625" s="634"/>
      <c r="B625" s="634"/>
      <c r="C625" s="634"/>
      <c r="D625" s="634"/>
      <c r="E625" s="634"/>
      <c r="F625" s="635"/>
      <c r="G625" s="634"/>
      <c r="H625" s="636"/>
      <c r="I625" s="635"/>
      <c r="J625" s="635"/>
      <c r="K625" s="635"/>
      <c r="L625" s="635"/>
      <c r="M625" s="635"/>
      <c r="N625" s="788"/>
      <c r="O625" s="788"/>
      <c r="P625" s="650"/>
      <c r="Q625" s="789"/>
      <c r="R625" s="634"/>
      <c r="S625" s="634"/>
      <c r="T625" s="634"/>
      <c r="U625" s="634"/>
      <c r="V625" s="634"/>
      <c r="W625" s="634"/>
      <c r="X625" s="634"/>
      <c r="Y625" s="634"/>
      <c r="Z625" s="634"/>
    </row>
    <row r="626" ht="15.75" customHeight="1">
      <c r="A626" s="634"/>
      <c r="B626" s="634"/>
      <c r="C626" s="634"/>
      <c r="D626" s="634"/>
      <c r="E626" s="634"/>
      <c r="F626" s="635"/>
      <c r="G626" s="634"/>
      <c r="H626" s="636"/>
      <c r="I626" s="635"/>
      <c r="J626" s="635"/>
      <c r="K626" s="635"/>
      <c r="L626" s="635"/>
      <c r="M626" s="635"/>
      <c r="N626" s="788"/>
      <c r="O626" s="788"/>
      <c r="P626" s="650"/>
      <c r="Q626" s="789"/>
      <c r="R626" s="634"/>
      <c r="S626" s="634"/>
      <c r="T626" s="634"/>
      <c r="U626" s="634"/>
      <c r="V626" s="634"/>
      <c r="W626" s="634"/>
      <c r="X626" s="634"/>
      <c r="Y626" s="634"/>
      <c r="Z626" s="634"/>
    </row>
    <row r="627" ht="15.75" customHeight="1">
      <c r="A627" s="634"/>
      <c r="B627" s="634"/>
      <c r="C627" s="634"/>
      <c r="D627" s="634"/>
      <c r="E627" s="634"/>
      <c r="F627" s="635"/>
      <c r="G627" s="634"/>
      <c r="H627" s="636"/>
      <c r="I627" s="635"/>
      <c r="J627" s="635"/>
      <c r="K627" s="635"/>
      <c r="L627" s="635"/>
      <c r="M627" s="635"/>
      <c r="N627" s="788"/>
      <c r="O627" s="788"/>
      <c r="P627" s="650"/>
      <c r="Q627" s="789"/>
      <c r="R627" s="634"/>
      <c r="S627" s="634"/>
      <c r="T627" s="634"/>
      <c r="U627" s="634"/>
      <c r="V627" s="634"/>
      <c r="W627" s="634"/>
      <c r="X627" s="634"/>
      <c r="Y627" s="634"/>
      <c r="Z627" s="634"/>
    </row>
    <row r="628" ht="15.75" customHeight="1">
      <c r="A628" s="634"/>
      <c r="B628" s="634"/>
      <c r="C628" s="634"/>
      <c r="D628" s="634"/>
      <c r="E628" s="634"/>
      <c r="F628" s="635"/>
      <c r="G628" s="634"/>
      <c r="H628" s="636"/>
      <c r="I628" s="635"/>
      <c r="J628" s="635"/>
      <c r="K628" s="635"/>
      <c r="L628" s="635"/>
      <c r="M628" s="635"/>
      <c r="N628" s="788"/>
      <c r="O628" s="788"/>
      <c r="P628" s="650"/>
      <c r="Q628" s="789"/>
      <c r="R628" s="634"/>
      <c r="S628" s="634"/>
      <c r="T628" s="634"/>
      <c r="U628" s="634"/>
      <c r="V628" s="634"/>
      <c r="W628" s="634"/>
      <c r="X628" s="634"/>
      <c r="Y628" s="634"/>
      <c r="Z628" s="634"/>
    </row>
    <row r="629" ht="15.75" customHeight="1">
      <c r="A629" s="634"/>
      <c r="B629" s="634"/>
      <c r="C629" s="634"/>
      <c r="D629" s="634"/>
      <c r="E629" s="634"/>
      <c r="F629" s="635"/>
      <c r="G629" s="634"/>
      <c r="H629" s="636"/>
      <c r="I629" s="635"/>
      <c r="J629" s="635"/>
      <c r="K629" s="635"/>
      <c r="L629" s="635"/>
      <c r="M629" s="635"/>
      <c r="N629" s="788"/>
      <c r="O629" s="788"/>
      <c r="P629" s="650"/>
      <c r="Q629" s="789"/>
      <c r="R629" s="634"/>
      <c r="S629" s="634"/>
      <c r="T629" s="634"/>
      <c r="U629" s="634"/>
      <c r="V629" s="634"/>
      <c r="W629" s="634"/>
      <c r="X629" s="634"/>
      <c r="Y629" s="634"/>
      <c r="Z629" s="634"/>
    </row>
    <row r="630" ht="15.75" customHeight="1">
      <c r="A630" s="634"/>
      <c r="B630" s="634"/>
      <c r="C630" s="634"/>
      <c r="D630" s="634"/>
      <c r="E630" s="634"/>
      <c r="F630" s="635"/>
      <c r="G630" s="634"/>
      <c r="H630" s="636"/>
      <c r="I630" s="635"/>
      <c r="J630" s="635"/>
      <c r="K630" s="635"/>
      <c r="L630" s="635"/>
      <c r="M630" s="635"/>
      <c r="N630" s="788"/>
      <c r="O630" s="788"/>
      <c r="P630" s="650"/>
      <c r="Q630" s="789"/>
      <c r="R630" s="634"/>
      <c r="S630" s="634"/>
      <c r="T630" s="634"/>
      <c r="U630" s="634"/>
      <c r="V630" s="634"/>
      <c r="W630" s="634"/>
      <c r="X630" s="634"/>
      <c r="Y630" s="634"/>
      <c r="Z630" s="634"/>
    </row>
    <row r="631" ht="15.75" customHeight="1">
      <c r="A631" s="634"/>
      <c r="B631" s="634"/>
      <c r="C631" s="634"/>
      <c r="D631" s="634"/>
      <c r="E631" s="634"/>
      <c r="F631" s="635"/>
      <c r="G631" s="634"/>
      <c r="H631" s="636"/>
      <c r="I631" s="635"/>
      <c r="J631" s="635"/>
      <c r="K631" s="635"/>
      <c r="L631" s="635"/>
      <c r="M631" s="635"/>
      <c r="N631" s="788"/>
      <c r="O631" s="788"/>
      <c r="P631" s="650"/>
      <c r="Q631" s="789"/>
      <c r="R631" s="634"/>
      <c r="S631" s="634"/>
      <c r="T631" s="634"/>
      <c r="U631" s="634"/>
      <c r="V631" s="634"/>
      <c r="W631" s="634"/>
      <c r="X631" s="634"/>
      <c r="Y631" s="634"/>
      <c r="Z631" s="634"/>
    </row>
    <row r="632" ht="15.75" customHeight="1">
      <c r="A632" s="634"/>
      <c r="B632" s="634"/>
      <c r="C632" s="634"/>
      <c r="D632" s="634"/>
      <c r="E632" s="634"/>
      <c r="F632" s="635"/>
      <c r="G632" s="634"/>
      <c r="H632" s="636"/>
      <c r="I632" s="635"/>
      <c r="J632" s="635"/>
      <c r="K632" s="635"/>
      <c r="L632" s="635"/>
      <c r="M632" s="635"/>
      <c r="N632" s="788"/>
      <c r="O632" s="788"/>
      <c r="P632" s="650"/>
      <c r="Q632" s="789"/>
      <c r="R632" s="634"/>
      <c r="S632" s="634"/>
      <c r="T632" s="634"/>
      <c r="U632" s="634"/>
      <c r="V632" s="634"/>
      <c r="W632" s="634"/>
      <c r="X632" s="634"/>
      <c r="Y632" s="634"/>
      <c r="Z632" s="634"/>
    </row>
    <row r="633" ht="15.75" customHeight="1">
      <c r="A633" s="634"/>
      <c r="B633" s="634"/>
      <c r="C633" s="634"/>
      <c r="D633" s="634"/>
      <c r="E633" s="634"/>
      <c r="F633" s="635"/>
      <c r="G633" s="634"/>
      <c r="H633" s="636"/>
      <c r="I633" s="635"/>
      <c r="J633" s="635"/>
      <c r="K633" s="635"/>
      <c r="L633" s="635"/>
      <c r="M633" s="635"/>
      <c r="N633" s="788"/>
      <c r="O633" s="788"/>
      <c r="P633" s="650"/>
      <c r="Q633" s="789"/>
      <c r="R633" s="634"/>
      <c r="S633" s="634"/>
      <c r="T633" s="634"/>
      <c r="U633" s="634"/>
      <c r="V633" s="634"/>
      <c r="W633" s="634"/>
      <c r="X633" s="634"/>
      <c r="Y633" s="634"/>
      <c r="Z633" s="634"/>
    </row>
    <row r="634" ht="15.75" customHeight="1">
      <c r="A634" s="634"/>
      <c r="B634" s="634"/>
      <c r="C634" s="634"/>
      <c r="D634" s="634"/>
      <c r="E634" s="634"/>
      <c r="F634" s="635"/>
      <c r="G634" s="634"/>
      <c r="H634" s="636"/>
      <c r="I634" s="635"/>
      <c r="J634" s="635"/>
      <c r="K634" s="635"/>
      <c r="L634" s="635"/>
      <c r="M634" s="635"/>
      <c r="N634" s="788"/>
      <c r="O634" s="788"/>
      <c r="P634" s="650"/>
      <c r="Q634" s="789"/>
      <c r="R634" s="634"/>
      <c r="S634" s="634"/>
      <c r="T634" s="634"/>
      <c r="U634" s="634"/>
      <c r="V634" s="634"/>
      <c r="W634" s="634"/>
      <c r="X634" s="634"/>
      <c r="Y634" s="634"/>
      <c r="Z634" s="634"/>
    </row>
    <row r="635" ht="15.75" customHeight="1">
      <c r="A635" s="634"/>
      <c r="B635" s="634"/>
      <c r="C635" s="634"/>
      <c r="D635" s="634"/>
      <c r="E635" s="634"/>
      <c r="F635" s="635"/>
      <c r="G635" s="634"/>
      <c r="H635" s="636"/>
      <c r="I635" s="635"/>
      <c r="J635" s="635"/>
      <c r="K635" s="635"/>
      <c r="L635" s="635"/>
      <c r="M635" s="635"/>
      <c r="N635" s="788"/>
      <c r="O635" s="788"/>
      <c r="P635" s="650"/>
      <c r="Q635" s="789"/>
      <c r="R635" s="634"/>
      <c r="S635" s="634"/>
      <c r="T635" s="634"/>
      <c r="U635" s="634"/>
      <c r="V635" s="634"/>
      <c r="W635" s="634"/>
      <c r="X635" s="634"/>
      <c r="Y635" s="634"/>
      <c r="Z635" s="634"/>
    </row>
    <row r="636" ht="15.75" customHeight="1">
      <c r="A636" s="634"/>
      <c r="B636" s="634"/>
      <c r="C636" s="634"/>
      <c r="D636" s="634"/>
      <c r="E636" s="634"/>
      <c r="F636" s="635"/>
      <c r="G636" s="634"/>
      <c r="H636" s="636"/>
      <c r="I636" s="635"/>
      <c r="J636" s="635"/>
      <c r="K636" s="635"/>
      <c r="L636" s="635"/>
      <c r="M636" s="635"/>
      <c r="N636" s="788"/>
      <c r="O636" s="788"/>
      <c r="P636" s="650"/>
      <c r="Q636" s="789"/>
      <c r="R636" s="634"/>
      <c r="S636" s="634"/>
      <c r="T636" s="634"/>
      <c r="U636" s="634"/>
      <c r="V636" s="634"/>
      <c r="W636" s="634"/>
      <c r="X636" s="634"/>
      <c r="Y636" s="634"/>
      <c r="Z636" s="634"/>
    </row>
    <row r="637" ht="15.75" customHeight="1">
      <c r="A637" s="634"/>
      <c r="B637" s="634"/>
      <c r="C637" s="634"/>
      <c r="D637" s="634"/>
      <c r="E637" s="634"/>
      <c r="F637" s="635"/>
      <c r="G637" s="634"/>
      <c r="H637" s="636"/>
      <c r="I637" s="635"/>
      <c r="J637" s="635"/>
      <c r="K637" s="635"/>
      <c r="L637" s="635"/>
      <c r="M637" s="635"/>
      <c r="N637" s="788"/>
      <c r="O637" s="788"/>
      <c r="P637" s="650"/>
      <c r="Q637" s="789"/>
      <c r="R637" s="634"/>
      <c r="S637" s="634"/>
      <c r="T637" s="634"/>
      <c r="U637" s="634"/>
      <c r="V637" s="634"/>
      <c r="W637" s="634"/>
      <c r="X637" s="634"/>
      <c r="Y637" s="634"/>
      <c r="Z637" s="634"/>
    </row>
    <row r="638" ht="15.75" customHeight="1">
      <c r="A638" s="634"/>
      <c r="B638" s="634"/>
      <c r="C638" s="634"/>
      <c r="D638" s="634"/>
      <c r="E638" s="634"/>
      <c r="F638" s="635"/>
      <c r="G638" s="634"/>
      <c r="H638" s="636"/>
      <c r="I638" s="635"/>
      <c r="J638" s="635"/>
      <c r="K638" s="635"/>
      <c r="L638" s="635"/>
      <c r="M638" s="635"/>
      <c r="N638" s="788"/>
      <c r="O638" s="788"/>
      <c r="P638" s="650"/>
      <c r="Q638" s="789"/>
      <c r="R638" s="634"/>
      <c r="S638" s="634"/>
      <c r="T638" s="634"/>
      <c r="U638" s="634"/>
      <c r="V638" s="634"/>
      <c r="W638" s="634"/>
      <c r="X638" s="634"/>
      <c r="Y638" s="634"/>
      <c r="Z638" s="634"/>
    </row>
    <row r="639" ht="15.75" customHeight="1">
      <c r="A639" s="634"/>
      <c r="B639" s="634"/>
      <c r="C639" s="634"/>
      <c r="D639" s="634"/>
      <c r="E639" s="634"/>
      <c r="F639" s="635"/>
      <c r="G639" s="634"/>
      <c r="H639" s="636"/>
      <c r="I639" s="635"/>
      <c r="J639" s="635"/>
      <c r="K639" s="635"/>
      <c r="L639" s="635"/>
      <c r="M639" s="635"/>
      <c r="N639" s="788"/>
      <c r="O639" s="788"/>
      <c r="P639" s="650"/>
      <c r="Q639" s="789"/>
      <c r="R639" s="634"/>
      <c r="S639" s="634"/>
      <c r="T639" s="634"/>
      <c r="U639" s="634"/>
      <c r="V639" s="634"/>
      <c r="W639" s="634"/>
      <c r="X639" s="634"/>
      <c r="Y639" s="634"/>
      <c r="Z639" s="634"/>
    </row>
    <row r="640" ht="15.75" customHeight="1">
      <c r="A640" s="634"/>
      <c r="B640" s="634"/>
      <c r="C640" s="634"/>
      <c r="D640" s="634"/>
      <c r="E640" s="634"/>
      <c r="F640" s="635"/>
      <c r="G640" s="634"/>
      <c r="H640" s="636"/>
      <c r="I640" s="635"/>
      <c r="J640" s="635"/>
      <c r="K640" s="635"/>
      <c r="L640" s="635"/>
      <c r="M640" s="635"/>
      <c r="N640" s="788"/>
      <c r="O640" s="788"/>
      <c r="P640" s="650"/>
      <c r="Q640" s="789"/>
      <c r="R640" s="634"/>
      <c r="S640" s="634"/>
      <c r="T640" s="634"/>
      <c r="U640" s="634"/>
      <c r="V640" s="634"/>
      <c r="W640" s="634"/>
      <c r="X640" s="634"/>
      <c r="Y640" s="634"/>
      <c r="Z640" s="634"/>
    </row>
    <row r="641" ht="15.75" customHeight="1">
      <c r="A641" s="634"/>
      <c r="B641" s="634"/>
      <c r="C641" s="634"/>
      <c r="D641" s="634"/>
      <c r="E641" s="634"/>
      <c r="F641" s="635"/>
      <c r="G641" s="634"/>
      <c r="H641" s="636"/>
      <c r="I641" s="635"/>
      <c r="J641" s="635"/>
      <c r="K641" s="635"/>
      <c r="L641" s="635"/>
      <c r="M641" s="635"/>
      <c r="N641" s="788"/>
      <c r="O641" s="788"/>
      <c r="P641" s="650"/>
      <c r="Q641" s="789"/>
      <c r="R641" s="634"/>
      <c r="S641" s="634"/>
      <c r="T641" s="634"/>
      <c r="U641" s="634"/>
      <c r="V641" s="634"/>
      <c r="W641" s="634"/>
      <c r="X641" s="634"/>
      <c r="Y641" s="634"/>
      <c r="Z641" s="634"/>
    </row>
    <row r="642" ht="15.75" customHeight="1">
      <c r="A642" s="634"/>
      <c r="B642" s="634"/>
      <c r="C642" s="634"/>
      <c r="D642" s="634"/>
      <c r="E642" s="634"/>
      <c r="F642" s="635"/>
      <c r="G642" s="634"/>
      <c r="H642" s="636"/>
      <c r="I642" s="635"/>
      <c r="J642" s="635"/>
      <c r="K642" s="635"/>
      <c r="L642" s="635"/>
      <c r="M642" s="635"/>
      <c r="N642" s="788"/>
      <c r="O642" s="788"/>
      <c r="P642" s="650"/>
      <c r="Q642" s="789"/>
      <c r="R642" s="634"/>
      <c r="S642" s="634"/>
      <c r="T642" s="634"/>
      <c r="U642" s="634"/>
      <c r="V642" s="634"/>
      <c r="W642" s="634"/>
      <c r="X642" s="634"/>
      <c r="Y642" s="634"/>
      <c r="Z642" s="634"/>
    </row>
    <row r="643" ht="15.75" customHeight="1">
      <c r="A643" s="634"/>
      <c r="B643" s="634"/>
      <c r="C643" s="634"/>
      <c r="D643" s="634"/>
      <c r="E643" s="634"/>
      <c r="F643" s="635"/>
      <c r="G643" s="634"/>
      <c r="H643" s="636"/>
      <c r="I643" s="635"/>
      <c r="J643" s="635"/>
      <c r="K643" s="635"/>
      <c r="L643" s="635"/>
      <c r="M643" s="635"/>
      <c r="N643" s="788"/>
      <c r="O643" s="788"/>
      <c r="P643" s="650"/>
      <c r="Q643" s="789"/>
      <c r="R643" s="634"/>
      <c r="S643" s="634"/>
      <c r="T643" s="634"/>
      <c r="U643" s="634"/>
      <c r="V643" s="634"/>
      <c r="W643" s="634"/>
      <c r="X643" s="634"/>
      <c r="Y643" s="634"/>
      <c r="Z643" s="634"/>
    </row>
    <row r="644" ht="15.75" customHeight="1">
      <c r="A644" s="634"/>
      <c r="B644" s="634"/>
      <c r="C644" s="634"/>
      <c r="D644" s="634"/>
      <c r="E644" s="634"/>
      <c r="F644" s="635"/>
      <c r="G644" s="634"/>
      <c r="H644" s="636"/>
      <c r="I644" s="635"/>
      <c r="J644" s="635"/>
      <c r="K644" s="635"/>
      <c r="L644" s="635"/>
      <c r="M644" s="635"/>
      <c r="N644" s="788"/>
      <c r="O644" s="788"/>
      <c r="P644" s="650"/>
      <c r="Q644" s="789"/>
      <c r="R644" s="634"/>
      <c r="S644" s="634"/>
      <c r="T644" s="634"/>
      <c r="U644" s="634"/>
      <c r="V644" s="634"/>
      <c r="W644" s="634"/>
      <c r="X644" s="634"/>
      <c r="Y644" s="634"/>
      <c r="Z644" s="634"/>
    </row>
    <row r="645" ht="15.75" customHeight="1">
      <c r="A645" s="634"/>
      <c r="B645" s="634"/>
      <c r="C645" s="634"/>
      <c r="D645" s="634"/>
      <c r="E645" s="634"/>
      <c r="F645" s="635"/>
      <c r="G645" s="634"/>
      <c r="H645" s="636"/>
      <c r="I645" s="635"/>
      <c r="J645" s="635"/>
      <c r="K645" s="635"/>
      <c r="L645" s="635"/>
      <c r="M645" s="635"/>
      <c r="N645" s="788"/>
      <c r="O645" s="788"/>
      <c r="P645" s="650"/>
      <c r="Q645" s="789"/>
      <c r="R645" s="634"/>
      <c r="S645" s="634"/>
      <c r="T645" s="634"/>
      <c r="U645" s="634"/>
      <c r="V645" s="634"/>
      <c r="W645" s="634"/>
      <c r="X645" s="634"/>
      <c r="Y645" s="634"/>
      <c r="Z645" s="634"/>
    </row>
    <row r="646" ht="15.75" customHeight="1">
      <c r="A646" s="634"/>
      <c r="B646" s="634"/>
      <c r="C646" s="634"/>
      <c r="D646" s="634"/>
      <c r="E646" s="634"/>
      <c r="F646" s="635"/>
      <c r="G646" s="634"/>
      <c r="H646" s="636"/>
      <c r="I646" s="635"/>
      <c r="J646" s="635"/>
      <c r="K646" s="635"/>
      <c r="L646" s="635"/>
      <c r="M646" s="635"/>
      <c r="N646" s="788"/>
      <c r="O646" s="788"/>
      <c r="P646" s="650"/>
      <c r="Q646" s="789"/>
      <c r="R646" s="634"/>
      <c r="S646" s="634"/>
      <c r="T646" s="634"/>
      <c r="U646" s="634"/>
      <c r="V646" s="634"/>
      <c r="W646" s="634"/>
      <c r="X646" s="634"/>
      <c r="Y646" s="634"/>
      <c r="Z646" s="634"/>
    </row>
    <row r="647" ht="15.75" customHeight="1">
      <c r="A647" s="634"/>
      <c r="B647" s="634"/>
      <c r="C647" s="634"/>
      <c r="D647" s="634"/>
      <c r="E647" s="634"/>
      <c r="F647" s="635"/>
      <c r="G647" s="634"/>
      <c r="H647" s="636"/>
      <c r="I647" s="635"/>
      <c r="J647" s="635"/>
      <c r="K647" s="635"/>
      <c r="L647" s="635"/>
      <c r="M647" s="635"/>
      <c r="N647" s="788"/>
      <c r="O647" s="788"/>
      <c r="P647" s="650"/>
      <c r="Q647" s="789"/>
      <c r="R647" s="634"/>
      <c r="S647" s="634"/>
      <c r="T647" s="634"/>
      <c r="U647" s="634"/>
      <c r="V647" s="634"/>
      <c r="W647" s="634"/>
      <c r="X647" s="634"/>
      <c r="Y647" s="634"/>
      <c r="Z647" s="634"/>
    </row>
    <row r="648" ht="15.75" customHeight="1">
      <c r="A648" s="634"/>
      <c r="B648" s="634"/>
      <c r="C648" s="634"/>
      <c r="D648" s="634"/>
      <c r="E648" s="634"/>
      <c r="F648" s="635"/>
      <c r="G648" s="634"/>
      <c r="H648" s="636"/>
      <c r="I648" s="635"/>
      <c r="J648" s="635"/>
      <c r="K648" s="635"/>
      <c r="L648" s="635"/>
      <c r="M648" s="635"/>
      <c r="N648" s="788"/>
      <c r="O648" s="788"/>
      <c r="P648" s="650"/>
      <c r="Q648" s="789"/>
      <c r="R648" s="634"/>
      <c r="S648" s="634"/>
      <c r="T648" s="634"/>
      <c r="U648" s="634"/>
      <c r="V648" s="634"/>
      <c r="W648" s="634"/>
      <c r="X648" s="634"/>
      <c r="Y648" s="634"/>
      <c r="Z648" s="634"/>
    </row>
    <row r="649" ht="15.75" customHeight="1">
      <c r="A649" s="634"/>
      <c r="B649" s="634"/>
      <c r="C649" s="634"/>
      <c r="D649" s="634"/>
      <c r="E649" s="634"/>
      <c r="F649" s="635"/>
      <c r="G649" s="634"/>
      <c r="H649" s="636"/>
      <c r="I649" s="635"/>
      <c r="J649" s="635"/>
      <c r="K649" s="635"/>
      <c r="L649" s="635"/>
      <c r="M649" s="635"/>
      <c r="N649" s="788"/>
      <c r="O649" s="788"/>
      <c r="P649" s="650"/>
      <c r="Q649" s="789"/>
      <c r="R649" s="634"/>
      <c r="S649" s="634"/>
      <c r="T649" s="634"/>
      <c r="U649" s="634"/>
      <c r="V649" s="634"/>
      <c r="W649" s="634"/>
      <c r="X649" s="634"/>
      <c r="Y649" s="634"/>
      <c r="Z649" s="634"/>
    </row>
    <row r="650" ht="15.75" customHeight="1">
      <c r="A650" s="634"/>
      <c r="B650" s="634"/>
      <c r="C650" s="634"/>
      <c r="D650" s="634"/>
      <c r="E650" s="634"/>
      <c r="F650" s="635"/>
      <c r="G650" s="634"/>
      <c r="H650" s="636"/>
      <c r="I650" s="635"/>
      <c r="J650" s="635"/>
      <c r="K650" s="635"/>
      <c r="L650" s="635"/>
      <c r="M650" s="635"/>
      <c r="N650" s="788"/>
      <c r="O650" s="788"/>
      <c r="P650" s="650"/>
      <c r="Q650" s="789"/>
      <c r="R650" s="634"/>
      <c r="S650" s="634"/>
      <c r="T650" s="634"/>
      <c r="U650" s="634"/>
      <c r="V650" s="634"/>
      <c r="W650" s="634"/>
      <c r="X650" s="634"/>
      <c r="Y650" s="634"/>
      <c r="Z650" s="634"/>
    </row>
    <row r="651" ht="15.75" customHeight="1">
      <c r="A651" s="634"/>
      <c r="B651" s="634"/>
      <c r="C651" s="634"/>
      <c r="D651" s="634"/>
      <c r="E651" s="634"/>
      <c r="F651" s="635"/>
      <c r="G651" s="634"/>
      <c r="H651" s="636"/>
      <c r="I651" s="635"/>
      <c r="J651" s="635"/>
      <c r="K651" s="635"/>
      <c r="L651" s="635"/>
      <c r="M651" s="635"/>
      <c r="N651" s="788"/>
      <c r="O651" s="788"/>
      <c r="P651" s="650"/>
      <c r="Q651" s="789"/>
      <c r="R651" s="634"/>
      <c r="S651" s="634"/>
      <c r="T651" s="634"/>
      <c r="U651" s="634"/>
      <c r="V651" s="634"/>
      <c r="W651" s="634"/>
      <c r="X651" s="634"/>
      <c r="Y651" s="634"/>
      <c r="Z651" s="634"/>
    </row>
    <row r="652" ht="15.75" customHeight="1">
      <c r="A652" s="634"/>
      <c r="B652" s="634"/>
      <c r="C652" s="634"/>
      <c r="D652" s="634"/>
      <c r="E652" s="634"/>
      <c r="F652" s="635"/>
      <c r="G652" s="634"/>
      <c r="H652" s="636"/>
      <c r="I652" s="635"/>
      <c r="J652" s="635"/>
      <c r="K652" s="635"/>
      <c r="L652" s="635"/>
      <c r="M652" s="635"/>
      <c r="N652" s="788"/>
      <c r="O652" s="788"/>
      <c r="P652" s="650"/>
      <c r="Q652" s="789"/>
      <c r="R652" s="634"/>
      <c r="S652" s="634"/>
      <c r="T652" s="634"/>
      <c r="U652" s="634"/>
      <c r="V652" s="634"/>
      <c r="W652" s="634"/>
      <c r="X652" s="634"/>
      <c r="Y652" s="634"/>
      <c r="Z652" s="634"/>
    </row>
    <row r="653" ht="15.75" customHeight="1">
      <c r="A653" s="634"/>
      <c r="B653" s="634"/>
      <c r="C653" s="634"/>
      <c r="D653" s="634"/>
      <c r="E653" s="634"/>
      <c r="F653" s="635"/>
      <c r="G653" s="634"/>
      <c r="H653" s="636"/>
      <c r="I653" s="635"/>
      <c r="J653" s="635"/>
      <c r="K653" s="635"/>
      <c r="L653" s="635"/>
      <c r="M653" s="635"/>
      <c r="N653" s="788"/>
      <c r="O653" s="788"/>
      <c r="P653" s="650"/>
      <c r="Q653" s="789"/>
      <c r="R653" s="634"/>
      <c r="S653" s="634"/>
      <c r="T653" s="634"/>
      <c r="U653" s="634"/>
      <c r="V653" s="634"/>
      <c r="W653" s="634"/>
      <c r="X653" s="634"/>
      <c r="Y653" s="634"/>
      <c r="Z653" s="634"/>
    </row>
    <row r="654" ht="15.75" customHeight="1">
      <c r="A654" s="634"/>
      <c r="B654" s="634"/>
      <c r="C654" s="634"/>
      <c r="D654" s="634"/>
      <c r="E654" s="634"/>
      <c r="F654" s="635"/>
      <c r="G654" s="634"/>
      <c r="H654" s="636"/>
      <c r="I654" s="635"/>
      <c r="J654" s="635"/>
      <c r="K654" s="635"/>
      <c r="L654" s="635"/>
      <c r="M654" s="635"/>
      <c r="N654" s="788"/>
      <c r="O654" s="788"/>
      <c r="P654" s="650"/>
      <c r="Q654" s="789"/>
      <c r="R654" s="634"/>
      <c r="S654" s="634"/>
      <c r="T654" s="634"/>
      <c r="U654" s="634"/>
      <c r="V654" s="634"/>
      <c r="W654" s="634"/>
      <c r="X654" s="634"/>
      <c r="Y654" s="634"/>
      <c r="Z654" s="634"/>
    </row>
    <row r="655" ht="15.75" customHeight="1">
      <c r="A655" s="634"/>
      <c r="B655" s="634"/>
      <c r="C655" s="634"/>
      <c r="D655" s="634"/>
      <c r="E655" s="634"/>
      <c r="F655" s="635"/>
      <c r="G655" s="634"/>
      <c r="H655" s="636"/>
      <c r="I655" s="635"/>
      <c r="J655" s="635"/>
      <c r="K655" s="635"/>
      <c r="L655" s="635"/>
      <c r="M655" s="635"/>
      <c r="N655" s="788"/>
      <c r="O655" s="788"/>
      <c r="P655" s="650"/>
      <c r="Q655" s="789"/>
      <c r="R655" s="634"/>
      <c r="S655" s="634"/>
      <c r="T655" s="634"/>
      <c r="U655" s="634"/>
      <c r="V655" s="634"/>
      <c r="W655" s="634"/>
      <c r="X655" s="634"/>
      <c r="Y655" s="634"/>
      <c r="Z655" s="634"/>
    </row>
    <row r="656" ht="15.75" customHeight="1">
      <c r="A656" s="634"/>
      <c r="B656" s="634"/>
      <c r="C656" s="634"/>
      <c r="D656" s="634"/>
      <c r="E656" s="634"/>
      <c r="F656" s="635"/>
      <c r="G656" s="634"/>
      <c r="H656" s="636"/>
      <c r="I656" s="635"/>
      <c r="J656" s="635"/>
      <c r="K656" s="635"/>
      <c r="L656" s="635"/>
      <c r="M656" s="635"/>
      <c r="N656" s="788"/>
      <c r="O656" s="788"/>
      <c r="P656" s="650"/>
      <c r="Q656" s="789"/>
      <c r="R656" s="634"/>
      <c r="S656" s="634"/>
      <c r="T656" s="634"/>
      <c r="U656" s="634"/>
      <c r="V656" s="634"/>
      <c r="W656" s="634"/>
      <c r="X656" s="634"/>
      <c r="Y656" s="634"/>
      <c r="Z656" s="634"/>
    </row>
    <row r="657" ht="15.75" customHeight="1">
      <c r="A657" s="634"/>
      <c r="B657" s="634"/>
      <c r="C657" s="634"/>
      <c r="D657" s="634"/>
      <c r="E657" s="634"/>
      <c r="F657" s="635"/>
      <c r="G657" s="634"/>
      <c r="H657" s="636"/>
      <c r="I657" s="635"/>
      <c r="J657" s="635"/>
      <c r="K657" s="635"/>
      <c r="L657" s="635"/>
      <c r="M657" s="635"/>
      <c r="N657" s="788"/>
      <c r="O657" s="788"/>
      <c r="P657" s="650"/>
      <c r="Q657" s="789"/>
      <c r="R657" s="634"/>
      <c r="S657" s="634"/>
      <c r="T657" s="634"/>
      <c r="U657" s="634"/>
      <c r="V657" s="634"/>
      <c r="W657" s="634"/>
      <c r="X657" s="634"/>
      <c r="Y657" s="634"/>
      <c r="Z657" s="634"/>
    </row>
    <row r="658" ht="15.75" customHeight="1">
      <c r="A658" s="634"/>
      <c r="B658" s="634"/>
      <c r="C658" s="634"/>
      <c r="D658" s="634"/>
      <c r="E658" s="634"/>
      <c r="F658" s="635"/>
      <c r="G658" s="634"/>
      <c r="H658" s="636"/>
      <c r="I658" s="635"/>
      <c r="J658" s="635"/>
      <c r="K658" s="635"/>
      <c r="L658" s="635"/>
      <c r="M658" s="635"/>
      <c r="N658" s="788"/>
      <c r="O658" s="788"/>
      <c r="P658" s="650"/>
      <c r="Q658" s="789"/>
      <c r="R658" s="634"/>
      <c r="S658" s="634"/>
      <c r="T658" s="634"/>
      <c r="U658" s="634"/>
      <c r="V658" s="634"/>
      <c r="W658" s="634"/>
      <c r="X658" s="634"/>
      <c r="Y658" s="634"/>
      <c r="Z658" s="634"/>
    </row>
    <row r="659" ht="15.75" customHeight="1">
      <c r="A659" s="634"/>
      <c r="B659" s="634"/>
      <c r="C659" s="634"/>
      <c r="D659" s="634"/>
      <c r="E659" s="634"/>
      <c r="F659" s="635"/>
      <c r="G659" s="634"/>
      <c r="H659" s="636"/>
      <c r="I659" s="635"/>
      <c r="J659" s="635"/>
      <c r="K659" s="635"/>
      <c r="L659" s="635"/>
      <c r="M659" s="635"/>
      <c r="N659" s="788"/>
      <c r="O659" s="788"/>
      <c r="P659" s="650"/>
      <c r="Q659" s="789"/>
      <c r="R659" s="634"/>
      <c r="S659" s="634"/>
      <c r="T659" s="634"/>
      <c r="U659" s="634"/>
      <c r="V659" s="634"/>
      <c r="W659" s="634"/>
      <c r="X659" s="634"/>
      <c r="Y659" s="634"/>
      <c r="Z659" s="634"/>
    </row>
    <row r="660" ht="15.75" customHeight="1">
      <c r="A660" s="634"/>
      <c r="B660" s="634"/>
      <c r="C660" s="634"/>
      <c r="D660" s="634"/>
      <c r="E660" s="634"/>
      <c r="F660" s="635"/>
      <c r="G660" s="634"/>
      <c r="H660" s="636"/>
      <c r="I660" s="635"/>
      <c r="J660" s="635"/>
      <c r="K660" s="635"/>
      <c r="L660" s="635"/>
      <c r="M660" s="635"/>
      <c r="N660" s="788"/>
      <c r="O660" s="788"/>
      <c r="P660" s="650"/>
      <c r="Q660" s="789"/>
      <c r="R660" s="634"/>
      <c r="S660" s="634"/>
      <c r="T660" s="634"/>
      <c r="U660" s="634"/>
      <c r="V660" s="634"/>
      <c r="W660" s="634"/>
      <c r="X660" s="634"/>
      <c r="Y660" s="634"/>
      <c r="Z660" s="634"/>
    </row>
    <row r="661" ht="15.75" customHeight="1">
      <c r="A661" s="634"/>
      <c r="B661" s="634"/>
      <c r="C661" s="634"/>
      <c r="D661" s="634"/>
      <c r="E661" s="634"/>
      <c r="F661" s="635"/>
      <c r="G661" s="634"/>
      <c r="H661" s="636"/>
      <c r="I661" s="635"/>
      <c r="J661" s="635"/>
      <c r="K661" s="635"/>
      <c r="L661" s="635"/>
      <c r="M661" s="635"/>
      <c r="N661" s="788"/>
      <c r="O661" s="788"/>
      <c r="P661" s="650"/>
      <c r="Q661" s="789"/>
      <c r="R661" s="634"/>
      <c r="S661" s="634"/>
      <c r="T661" s="634"/>
      <c r="U661" s="634"/>
      <c r="V661" s="634"/>
      <c r="W661" s="634"/>
      <c r="X661" s="634"/>
      <c r="Y661" s="634"/>
      <c r="Z661" s="634"/>
    </row>
    <row r="662" ht="15.75" customHeight="1">
      <c r="A662" s="634"/>
      <c r="B662" s="634"/>
      <c r="C662" s="634"/>
      <c r="D662" s="634"/>
      <c r="E662" s="634"/>
      <c r="F662" s="635"/>
      <c r="G662" s="634"/>
      <c r="H662" s="636"/>
      <c r="I662" s="635"/>
      <c r="J662" s="635"/>
      <c r="K662" s="635"/>
      <c r="L662" s="635"/>
      <c r="M662" s="635"/>
      <c r="N662" s="788"/>
      <c r="O662" s="788"/>
      <c r="P662" s="650"/>
      <c r="Q662" s="789"/>
      <c r="R662" s="634"/>
      <c r="S662" s="634"/>
      <c r="T662" s="634"/>
      <c r="U662" s="634"/>
      <c r="V662" s="634"/>
      <c r="W662" s="634"/>
      <c r="X662" s="634"/>
      <c r="Y662" s="634"/>
      <c r="Z662" s="634"/>
    </row>
    <row r="663" ht="15.75" customHeight="1">
      <c r="A663" s="634"/>
      <c r="B663" s="634"/>
      <c r="C663" s="634"/>
      <c r="D663" s="634"/>
      <c r="E663" s="634"/>
      <c r="F663" s="635"/>
      <c r="G663" s="634"/>
      <c r="H663" s="636"/>
      <c r="I663" s="635"/>
      <c r="J663" s="635"/>
      <c r="K663" s="635"/>
      <c r="L663" s="635"/>
      <c r="M663" s="635"/>
      <c r="N663" s="788"/>
      <c r="O663" s="788"/>
      <c r="P663" s="650"/>
      <c r="Q663" s="789"/>
      <c r="R663" s="634"/>
      <c r="S663" s="634"/>
      <c r="T663" s="634"/>
      <c r="U663" s="634"/>
      <c r="V663" s="634"/>
      <c r="W663" s="634"/>
      <c r="X663" s="634"/>
      <c r="Y663" s="634"/>
      <c r="Z663" s="634"/>
    </row>
    <row r="664" ht="15.75" customHeight="1">
      <c r="A664" s="634"/>
      <c r="B664" s="634"/>
      <c r="C664" s="634"/>
      <c r="D664" s="634"/>
      <c r="E664" s="634"/>
      <c r="F664" s="635"/>
      <c r="G664" s="634"/>
      <c r="H664" s="636"/>
      <c r="I664" s="635"/>
      <c r="J664" s="635"/>
      <c r="K664" s="635"/>
      <c r="L664" s="635"/>
      <c r="M664" s="635"/>
      <c r="N664" s="788"/>
      <c r="O664" s="788"/>
      <c r="P664" s="650"/>
      <c r="Q664" s="789"/>
      <c r="R664" s="634"/>
      <c r="S664" s="634"/>
      <c r="T664" s="634"/>
      <c r="U664" s="634"/>
      <c r="V664" s="634"/>
      <c r="W664" s="634"/>
      <c r="X664" s="634"/>
      <c r="Y664" s="634"/>
      <c r="Z664" s="634"/>
    </row>
    <row r="665" ht="15.75" customHeight="1">
      <c r="A665" s="634"/>
      <c r="B665" s="634"/>
      <c r="C665" s="634"/>
      <c r="D665" s="634"/>
      <c r="E665" s="634"/>
      <c r="F665" s="635"/>
      <c r="G665" s="634"/>
      <c r="H665" s="636"/>
      <c r="I665" s="635"/>
      <c r="J665" s="635"/>
      <c r="K665" s="635"/>
      <c r="L665" s="635"/>
      <c r="M665" s="635"/>
      <c r="N665" s="788"/>
      <c r="O665" s="788"/>
      <c r="P665" s="650"/>
      <c r="Q665" s="789"/>
      <c r="R665" s="634"/>
      <c r="S665" s="634"/>
      <c r="T665" s="634"/>
      <c r="U665" s="634"/>
      <c r="V665" s="634"/>
      <c r="W665" s="634"/>
      <c r="X665" s="634"/>
      <c r="Y665" s="634"/>
      <c r="Z665" s="634"/>
    </row>
    <row r="666" ht="15.75" customHeight="1">
      <c r="A666" s="634"/>
      <c r="B666" s="634"/>
      <c r="C666" s="634"/>
      <c r="D666" s="634"/>
      <c r="E666" s="634"/>
      <c r="F666" s="635"/>
      <c r="G666" s="634"/>
      <c r="H666" s="636"/>
      <c r="I666" s="635"/>
      <c r="J666" s="635"/>
      <c r="K666" s="635"/>
      <c r="L666" s="635"/>
      <c r="M666" s="635"/>
      <c r="N666" s="788"/>
      <c r="O666" s="788"/>
      <c r="P666" s="650"/>
      <c r="Q666" s="789"/>
      <c r="R666" s="634"/>
      <c r="S666" s="634"/>
      <c r="T666" s="634"/>
      <c r="U666" s="634"/>
      <c r="V666" s="634"/>
      <c r="W666" s="634"/>
      <c r="X666" s="634"/>
      <c r="Y666" s="634"/>
      <c r="Z666" s="634"/>
    </row>
    <row r="667" ht="15.75" customHeight="1">
      <c r="A667" s="634"/>
      <c r="B667" s="634"/>
      <c r="C667" s="634"/>
      <c r="D667" s="634"/>
      <c r="E667" s="634"/>
      <c r="F667" s="635"/>
      <c r="G667" s="634"/>
      <c r="H667" s="636"/>
      <c r="I667" s="635"/>
      <c r="J667" s="635"/>
      <c r="K667" s="635"/>
      <c r="L667" s="635"/>
      <c r="M667" s="635"/>
      <c r="N667" s="788"/>
      <c r="O667" s="788"/>
      <c r="P667" s="650"/>
      <c r="Q667" s="789"/>
      <c r="R667" s="634"/>
      <c r="S667" s="634"/>
      <c r="T667" s="634"/>
      <c r="U667" s="634"/>
      <c r="V667" s="634"/>
      <c r="W667" s="634"/>
      <c r="X667" s="634"/>
      <c r="Y667" s="634"/>
      <c r="Z667" s="634"/>
    </row>
    <row r="668" ht="15.75" customHeight="1">
      <c r="A668" s="634"/>
      <c r="B668" s="634"/>
      <c r="C668" s="634"/>
      <c r="D668" s="634"/>
      <c r="E668" s="634"/>
      <c r="F668" s="635"/>
      <c r="G668" s="634"/>
      <c r="H668" s="636"/>
      <c r="I668" s="635"/>
      <c r="J668" s="635"/>
      <c r="K668" s="635"/>
      <c r="L668" s="635"/>
      <c r="M668" s="635"/>
      <c r="N668" s="788"/>
      <c r="O668" s="788"/>
      <c r="P668" s="650"/>
      <c r="Q668" s="789"/>
      <c r="R668" s="634"/>
      <c r="S668" s="634"/>
      <c r="T668" s="634"/>
      <c r="U668" s="634"/>
      <c r="V668" s="634"/>
      <c r="W668" s="634"/>
      <c r="X668" s="634"/>
      <c r="Y668" s="634"/>
      <c r="Z668" s="634"/>
    </row>
    <row r="669" ht="15.75" customHeight="1">
      <c r="A669" s="634"/>
      <c r="B669" s="634"/>
      <c r="C669" s="634"/>
      <c r="D669" s="634"/>
      <c r="E669" s="634"/>
      <c r="F669" s="635"/>
      <c r="G669" s="634"/>
      <c r="H669" s="636"/>
      <c r="I669" s="635"/>
      <c r="J669" s="635"/>
      <c r="K669" s="635"/>
      <c r="L669" s="635"/>
      <c r="M669" s="635"/>
      <c r="N669" s="788"/>
      <c r="O669" s="788"/>
      <c r="P669" s="650"/>
      <c r="Q669" s="789"/>
      <c r="R669" s="634"/>
      <c r="S669" s="634"/>
      <c r="T669" s="634"/>
      <c r="U669" s="634"/>
      <c r="V669" s="634"/>
      <c r="W669" s="634"/>
      <c r="X669" s="634"/>
      <c r="Y669" s="634"/>
      <c r="Z669" s="634"/>
    </row>
    <row r="670" ht="15.75" customHeight="1">
      <c r="A670" s="634"/>
      <c r="B670" s="634"/>
      <c r="C670" s="634"/>
      <c r="D670" s="634"/>
      <c r="E670" s="634"/>
      <c r="F670" s="635"/>
      <c r="G670" s="634"/>
      <c r="H670" s="636"/>
      <c r="I670" s="635"/>
      <c r="J670" s="635"/>
      <c r="K670" s="635"/>
      <c r="L670" s="635"/>
      <c r="M670" s="635"/>
      <c r="N670" s="788"/>
      <c r="O670" s="788"/>
      <c r="P670" s="650"/>
      <c r="Q670" s="789"/>
      <c r="R670" s="634"/>
      <c r="S670" s="634"/>
      <c r="T670" s="634"/>
      <c r="U670" s="634"/>
      <c r="V670" s="634"/>
      <c r="W670" s="634"/>
      <c r="X670" s="634"/>
      <c r="Y670" s="634"/>
      <c r="Z670" s="634"/>
    </row>
    <row r="671" ht="15.75" customHeight="1">
      <c r="A671" s="634"/>
      <c r="B671" s="634"/>
      <c r="C671" s="634"/>
      <c r="D671" s="634"/>
      <c r="E671" s="634"/>
      <c r="F671" s="635"/>
      <c r="G671" s="634"/>
      <c r="H671" s="636"/>
      <c r="I671" s="635"/>
      <c r="J671" s="635"/>
      <c r="K671" s="635"/>
      <c r="L671" s="635"/>
      <c r="M671" s="635"/>
      <c r="N671" s="788"/>
      <c r="O671" s="788"/>
      <c r="P671" s="650"/>
      <c r="Q671" s="789"/>
      <c r="R671" s="634"/>
      <c r="S671" s="634"/>
      <c r="T671" s="634"/>
      <c r="U671" s="634"/>
      <c r="V671" s="634"/>
      <c r="W671" s="634"/>
      <c r="X671" s="634"/>
      <c r="Y671" s="634"/>
      <c r="Z671" s="634"/>
    </row>
    <row r="672" ht="15.75" customHeight="1">
      <c r="A672" s="634"/>
      <c r="B672" s="634"/>
      <c r="C672" s="634"/>
      <c r="D672" s="634"/>
      <c r="E672" s="634"/>
      <c r="F672" s="635"/>
      <c r="G672" s="634"/>
      <c r="H672" s="636"/>
      <c r="I672" s="635"/>
      <c r="J672" s="635"/>
      <c r="K672" s="635"/>
      <c r="L672" s="635"/>
      <c r="M672" s="635"/>
      <c r="N672" s="788"/>
      <c r="O672" s="788"/>
      <c r="P672" s="650"/>
      <c r="Q672" s="789"/>
      <c r="R672" s="634"/>
      <c r="S672" s="634"/>
      <c r="T672" s="634"/>
      <c r="U672" s="634"/>
      <c r="V672" s="634"/>
      <c r="W672" s="634"/>
      <c r="X672" s="634"/>
      <c r="Y672" s="634"/>
      <c r="Z672" s="634"/>
    </row>
    <row r="673" ht="15.75" customHeight="1">
      <c r="A673" s="634"/>
      <c r="B673" s="634"/>
      <c r="C673" s="634"/>
      <c r="D673" s="634"/>
      <c r="E673" s="634"/>
      <c r="F673" s="635"/>
      <c r="G673" s="634"/>
      <c r="H673" s="636"/>
      <c r="I673" s="635"/>
      <c r="J673" s="635"/>
      <c r="K673" s="635"/>
      <c r="L673" s="635"/>
      <c r="M673" s="635"/>
      <c r="N673" s="788"/>
      <c r="O673" s="788"/>
      <c r="P673" s="650"/>
      <c r="Q673" s="789"/>
      <c r="R673" s="634"/>
      <c r="S673" s="634"/>
      <c r="T673" s="634"/>
      <c r="U673" s="634"/>
      <c r="V673" s="634"/>
      <c r="W673" s="634"/>
      <c r="X673" s="634"/>
      <c r="Y673" s="634"/>
      <c r="Z673" s="634"/>
    </row>
    <row r="674" ht="15.75" customHeight="1">
      <c r="A674" s="634"/>
      <c r="B674" s="634"/>
      <c r="C674" s="634"/>
      <c r="D674" s="634"/>
      <c r="E674" s="634"/>
      <c r="F674" s="635"/>
      <c r="G674" s="634"/>
      <c r="H674" s="636"/>
      <c r="I674" s="635"/>
      <c r="J674" s="635"/>
      <c r="K674" s="635"/>
      <c r="L674" s="635"/>
      <c r="M674" s="635"/>
      <c r="N674" s="788"/>
      <c r="O674" s="788"/>
      <c r="P674" s="650"/>
      <c r="Q674" s="789"/>
      <c r="R674" s="634"/>
      <c r="S674" s="634"/>
      <c r="T674" s="634"/>
      <c r="U674" s="634"/>
      <c r="V674" s="634"/>
      <c r="W674" s="634"/>
      <c r="X674" s="634"/>
      <c r="Y674" s="634"/>
      <c r="Z674" s="634"/>
    </row>
    <row r="675" ht="15.75" customHeight="1">
      <c r="A675" s="634"/>
      <c r="B675" s="634"/>
      <c r="C675" s="634"/>
      <c r="D675" s="634"/>
      <c r="E675" s="634"/>
      <c r="F675" s="635"/>
      <c r="G675" s="634"/>
      <c r="H675" s="636"/>
      <c r="I675" s="635"/>
      <c r="J675" s="635"/>
      <c r="K675" s="635"/>
      <c r="L675" s="635"/>
      <c r="M675" s="635"/>
      <c r="N675" s="788"/>
      <c r="O675" s="788"/>
      <c r="P675" s="650"/>
      <c r="Q675" s="789"/>
      <c r="R675" s="634"/>
      <c r="S675" s="634"/>
      <c r="T675" s="634"/>
      <c r="U675" s="634"/>
      <c r="V675" s="634"/>
      <c r="W675" s="634"/>
      <c r="X675" s="634"/>
      <c r="Y675" s="634"/>
      <c r="Z675" s="634"/>
    </row>
    <row r="676" ht="15.75" customHeight="1">
      <c r="A676" s="634"/>
      <c r="B676" s="634"/>
      <c r="C676" s="634"/>
      <c r="D676" s="634"/>
      <c r="E676" s="634"/>
      <c r="F676" s="635"/>
      <c r="G676" s="634"/>
      <c r="H676" s="636"/>
      <c r="I676" s="635"/>
      <c r="J676" s="635"/>
      <c r="K676" s="635"/>
      <c r="L676" s="635"/>
      <c r="M676" s="635"/>
      <c r="N676" s="788"/>
      <c r="O676" s="788"/>
      <c r="P676" s="650"/>
      <c r="Q676" s="789"/>
      <c r="R676" s="634"/>
      <c r="S676" s="634"/>
      <c r="T676" s="634"/>
      <c r="U676" s="634"/>
      <c r="V676" s="634"/>
      <c r="W676" s="634"/>
      <c r="X676" s="634"/>
      <c r="Y676" s="634"/>
      <c r="Z676" s="634"/>
    </row>
    <row r="677" ht="15.75" customHeight="1">
      <c r="A677" s="634"/>
      <c r="B677" s="634"/>
      <c r="C677" s="634"/>
      <c r="D677" s="634"/>
      <c r="E677" s="634"/>
      <c r="F677" s="635"/>
      <c r="G677" s="634"/>
      <c r="H677" s="636"/>
      <c r="I677" s="635"/>
      <c r="J677" s="635"/>
      <c r="K677" s="635"/>
      <c r="L677" s="635"/>
      <c r="M677" s="635"/>
      <c r="N677" s="788"/>
      <c r="O677" s="788"/>
      <c r="P677" s="650"/>
      <c r="Q677" s="789"/>
      <c r="R677" s="634"/>
      <c r="S677" s="634"/>
      <c r="T677" s="634"/>
      <c r="U677" s="634"/>
      <c r="V677" s="634"/>
      <c r="W677" s="634"/>
      <c r="X677" s="634"/>
      <c r="Y677" s="634"/>
      <c r="Z677" s="634"/>
    </row>
    <row r="678" ht="15.75" customHeight="1">
      <c r="A678" s="634"/>
      <c r="B678" s="634"/>
      <c r="C678" s="634"/>
      <c r="D678" s="634"/>
      <c r="E678" s="634"/>
      <c r="F678" s="635"/>
      <c r="G678" s="634"/>
      <c r="H678" s="636"/>
      <c r="I678" s="635"/>
      <c r="J678" s="635"/>
      <c r="K678" s="635"/>
      <c r="L678" s="635"/>
      <c r="M678" s="635"/>
      <c r="N678" s="788"/>
      <c r="O678" s="788"/>
      <c r="P678" s="650"/>
      <c r="Q678" s="789"/>
      <c r="R678" s="634"/>
      <c r="S678" s="634"/>
      <c r="T678" s="634"/>
      <c r="U678" s="634"/>
      <c r="V678" s="634"/>
      <c r="W678" s="634"/>
      <c r="X678" s="634"/>
      <c r="Y678" s="634"/>
      <c r="Z678" s="634"/>
    </row>
    <row r="679" ht="15.75" customHeight="1">
      <c r="A679" s="634"/>
      <c r="B679" s="634"/>
      <c r="C679" s="634"/>
      <c r="D679" s="634"/>
      <c r="E679" s="634"/>
      <c r="F679" s="635"/>
      <c r="G679" s="634"/>
      <c r="H679" s="636"/>
      <c r="I679" s="635"/>
      <c r="J679" s="635"/>
      <c r="K679" s="635"/>
      <c r="L679" s="635"/>
      <c r="M679" s="635"/>
      <c r="N679" s="788"/>
      <c r="O679" s="788"/>
      <c r="P679" s="650"/>
      <c r="Q679" s="789"/>
      <c r="R679" s="634"/>
      <c r="S679" s="634"/>
      <c r="T679" s="634"/>
      <c r="U679" s="634"/>
      <c r="V679" s="634"/>
      <c r="W679" s="634"/>
      <c r="X679" s="634"/>
      <c r="Y679" s="634"/>
      <c r="Z679" s="634"/>
    </row>
    <row r="680" ht="15.75" customHeight="1">
      <c r="A680" s="634"/>
      <c r="B680" s="634"/>
      <c r="C680" s="634"/>
      <c r="D680" s="634"/>
      <c r="E680" s="634"/>
      <c r="F680" s="635"/>
      <c r="G680" s="634"/>
      <c r="H680" s="636"/>
      <c r="I680" s="635"/>
      <c r="J680" s="635"/>
      <c r="K680" s="635"/>
      <c r="L680" s="635"/>
      <c r="M680" s="635"/>
      <c r="N680" s="788"/>
      <c r="O680" s="788"/>
      <c r="P680" s="650"/>
      <c r="Q680" s="789"/>
      <c r="R680" s="634"/>
      <c r="S680" s="634"/>
      <c r="T680" s="634"/>
      <c r="U680" s="634"/>
      <c r="V680" s="634"/>
      <c r="W680" s="634"/>
      <c r="X680" s="634"/>
      <c r="Y680" s="634"/>
      <c r="Z680" s="634"/>
    </row>
    <row r="681" ht="15.75" customHeight="1">
      <c r="A681" s="634"/>
      <c r="B681" s="634"/>
      <c r="C681" s="634"/>
      <c r="D681" s="634"/>
      <c r="E681" s="634"/>
      <c r="F681" s="635"/>
      <c r="G681" s="634"/>
      <c r="H681" s="636"/>
      <c r="I681" s="635"/>
      <c r="J681" s="635"/>
      <c r="K681" s="635"/>
      <c r="L681" s="635"/>
      <c r="M681" s="635"/>
      <c r="N681" s="788"/>
      <c r="O681" s="788"/>
      <c r="P681" s="650"/>
      <c r="Q681" s="789"/>
      <c r="R681" s="634"/>
      <c r="S681" s="634"/>
      <c r="T681" s="634"/>
      <c r="U681" s="634"/>
      <c r="V681" s="634"/>
      <c r="W681" s="634"/>
      <c r="X681" s="634"/>
      <c r="Y681" s="634"/>
      <c r="Z681" s="634"/>
    </row>
    <row r="682" ht="15.75" customHeight="1">
      <c r="A682" s="634"/>
      <c r="B682" s="634"/>
      <c r="C682" s="634"/>
      <c r="D682" s="634"/>
      <c r="E682" s="634"/>
      <c r="F682" s="635"/>
      <c r="G682" s="634"/>
      <c r="H682" s="636"/>
      <c r="I682" s="635"/>
      <c r="J682" s="635"/>
      <c r="K682" s="635"/>
      <c r="L682" s="635"/>
      <c r="M682" s="635"/>
      <c r="N682" s="788"/>
      <c r="O682" s="788"/>
      <c r="P682" s="650"/>
      <c r="Q682" s="789"/>
      <c r="R682" s="634"/>
      <c r="S682" s="634"/>
      <c r="T682" s="634"/>
      <c r="U682" s="634"/>
      <c r="V682" s="634"/>
      <c r="W682" s="634"/>
      <c r="X682" s="634"/>
      <c r="Y682" s="634"/>
      <c r="Z682" s="634"/>
    </row>
    <row r="683" ht="15.75" customHeight="1">
      <c r="A683" s="634"/>
      <c r="B683" s="634"/>
      <c r="C683" s="634"/>
      <c r="D683" s="634"/>
      <c r="E683" s="634"/>
      <c r="F683" s="635"/>
      <c r="G683" s="634"/>
      <c r="H683" s="636"/>
      <c r="I683" s="635"/>
      <c r="J683" s="635"/>
      <c r="K683" s="635"/>
      <c r="L683" s="635"/>
      <c r="M683" s="635"/>
      <c r="N683" s="788"/>
      <c r="O683" s="788"/>
      <c r="P683" s="650"/>
      <c r="Q683" s="789"/>
      <c r="R683" s="634"/>
      <c r="S683" s="634"/>
      <c r="T683" s="634"/>
      <c r="U683" s="634"/>
      <c r="V683" s="634"/>
      <c r="W683" s="634"/>
      <c r="X683" s="634"/>
      <c r="Y683" s="634"/>
      <c r="Z683" s="634"/>
    </row>
    <row r="684" ht="15.75" customHeight="1">
      <c r="A684" s="634"/>
      <c r="B684" s="634"/>
      <c r="C684" s="634"/>
      <c r="D684" s="634"/>
      <c r="E684" s="634"/>
      <c r="F684" s="635"/>
      <c r="G684" s="634"/>
      <c r="H684" s="636"/>
      <c r="I684" s="635"/>
      <c r="J684" s="635"/>
      <c r="K684" s="635"/>
      <c r="L684" s="635"/>
      <c r="M684" s="635"/>
      <c r="N684" s="788"/>
      <c r="O684" s="788"/>
      <c r="P684" s="650"/>
      <c r="Q684" s="789"/>
      <c r="R684" s="634"/>
      <c r="S684" s="634"/>
      <c r="T684" s="634"/>
      <c r="U684" s="634"/>
      <c r="V684" s="634"/>
      <c r="W684" s="634"/>
      <c r="X684" s="634"/>
      <c r="Y684" s="634"/>
      <c r="Z684" s="634"/>
    </row>
    <row r="685" ht="15.75" customHeight="1">
      <c r="A685" s="634"/>
      <c r="B685" s="634"/>
      <c r="C685" s="634"/>
      <c r="D685" s="634"/>
      <c r="E685" s="634"/>
      <c r="F685" s="635"/>
      <c r="G685" s="634"/>
      <c r="H685" s="636"/>
      <c r="I685" s="635"/>
      <c r="J685" s="635"/>
      <c r="K685" s="635"/>
      <c r="L685" s="635"/>
      <c r="M685" s="635"/>
      <c r="N685" s="788"/>
      <c r="O685" s="788"/>
      <c r="P685" s="650"/>
      <c r="Q685" s="789"/>
      <c r="R685" s="634"/>
      <c r="S685" s="634"/>
      <c r="T685" s="634"/>
      <c r="U685" s="634"/>
      <c r="V685" s="634"/>
      <c r="W685" s="634"/>
      <c r="X685" s="634"/>
      <c r="Y685" s="634"/>
      <c r="Z685" s="634"/>
    </row>
    <row r="686" ht="15.75" customHeight="1">
      <c r="A686" s="634"/>
      <c r="B686" s="634"/>
      <c r="C686" s="634"/>
      <c r="D686" s="634"/>
      <c r="E686" s="634"/>
      <c r="F686" s="635"/>
      <c r="G686" s="634"/>
      <c r="H686" s="636"/>
      <c r="I686" s="635"/>
      <c r="J686" s="635"/>
      <c r="K686" s="635"/>
      <c r="L686" s="635"/>
      <c r="M686" s="635"/>
      <c r="N686" s="788"/>
      <c r="O686" s="788"/>
      <c r="P686" s="650"/>
      <c r="Q686" s="789"/>
      <c r="R686" s="634"/>
      <c r="S686" s="634"/>
      <c r="T686" s="634"/>
      <c r="U686" s="634"/>
      <c r="V686" s="634"/>
      <c r="W686" s="634"/>
      <c r="X686" s="634"/>
      <c r="Y686" s="634"/>
      <c r="Z686" s="634"/>
    </row>
    <row r="687" ht="15.75" customHeight="1">
      <c r="A687" s="634"/>
      <c r="B687" s="634"/>
      <c r="C687" s="634"/>
      <c r="D687" s="634"/>
      <c r="E687" s="634"/>
      <c r="F687" s="635"/>
      <c r="G687" s="634"/>
      <c r="H687" s="636"/>
      <c r="I687" s="635"/>
      <c r="J687" s="635"/>
      <c r="K687" s="635"/>
      <c r="L687" s="635"/>
      <c r="M687" s="635"/>
      <c r="N687" s="788"/>
      <c r="O687" s="788"/>
      <c r="P687" s="650"/>
      <c r="Q687" s="789"/>
      <c r="R687" s="634"/>
      <c r="S687" s="634"/>
      <c r="T687" s="634"/>
      <c r="U687" s="634"/>
      <c r="V687" s="634"/>
      <c r="W687" s="634"/>
      <c r="X687" s="634"/>
      <c r="Y687" s="634"/>
      <c r="Z687" s="634"/>
    </row>
    <row r="688" ht="15.75" customHeight="1">
      <c r="A688" s="634"/>
      <c r="B688" s="634"/>
      <c r="C688" s="634"/>
      <c r="D688" s="634"/>
      <c r="E688" s="634"/>
      <c r="F688" s="635"/>
      <c r="G688" s="634"/>
      <c r="H688" s="636"/>
      <c r="I688" s="635"/>
      <c r="J688" s="635"/>
      <c r="K688" s="635"/>
      <c r="L688" s="635"/>
      <c r="M688" s="635"/>
      <c r="N688" s="788"/>
      <c r="O688" s="788"/>
      <c r="P688" s="650"/>
      <c r="Q688" s="789"/>
      <c r="R688" s="634"/>
      <c r="S688" s="634"/>
      <c r="T688" s="634"/>
      <c r="U688" s="634"/>
      <c r="V688" s="634"/>
      <c r="W688" s="634"/>
      <c r="X688" s="634"/>
      <c r="Y688" s="634"/>
      <c r="Z688" s="634"/>
    </row>
    <row r="689" ht="15.75" customHeight="1">
      <c r="A689" s="634"/>
      <c r="B689" s="634"/>
      <c r="C689" s="634"/>
      <c r="D689" s="634"/>
      <c r="E689" s="634"/>
      <c r="F689" s="635"/>
      <c r="G689" s="634"/>
      <c r="H689" s="636"/>
      <c r="I689" s="635"/>
      <c r="J689" s="635"/>
      <c r="K689" s="635"/>
      <c r="L689" s="635"/>
      <c r="M689" s="635"/>
      <c r="N689" s="788"/>
      <c r="O689" s="788"/>
      <c r="P689" s="650"/>
      <c r="Q689" s="789"/>
      <c r="R689" s="634"/>
      <c r="S689" s="634"/>
      <c r="T689" s="634"/>
      <c r="U689" s="634"/>
      <c r="V689" s="634"/>
      <c r="W689" s="634"/>
      <c r="X689" s="634"/>
      <c r="Y689" s="634"/>
      <c r="Z689" s="634"/>
    </row>
    <row r="690" ht="15.75" customHeight="1">
      <c r="A690" s="634"/>
      <c r="B690" s="634"/>
      <c r="C690" s="634"/>
      <c r="D690" s="634"/>
      <c r="E690" s="634"/>
      <c r="F690" s="635"/>
      <c r="G690" s="634"/>
      <c r="H690" s="636"/>
      <c r="I690" s="635"/>
      <c r="J690" s="635"/>
      <c r="K690" s="635"/>
      <c r="L690" s="635"/>
      <c r="M690" s="635"/>
      <c r="N690" s="788"/>
      <c r="O690" s="788"/>
      <c r="P690" s="650"/>
      <c r="Q690" s="789"/>
      <c r="R690" s="634"/>
      <c r="S690" s="634"/>
      <c r="T690" s="634"/>
      <c r="U690" s="634"/>
      <c r="V690" s="634"/>
      <c r="W690" s="634"/>
      <c r="X690" s="634"/>
      <c r="Y690" s="634"/>
      <c r="Z690" s="634"/>
    </row>
    <row r="691" ht="15.75" customHeight="1">
      <c r="A691" s="634"/>
      <c r="B691" s="634"/>
      <c r="C691" s="634"/>
      <c r="D691" s="634"/>
      <c r="E691" s="634"/>
      <c r="F691" s="635"/>
      <c r="G691" s="634"/>
      <c r="H691" s="636"/>
      <c r="I691" s="635"/>
      <c r="J691" s="635"/>
      <c r="K691" s="635"/>
      <c r="L691" s="635"/>
      <c r="M691" s="635"/>
      <c r="N691" s="788"/>
      <c r="O691" s="788"/>
      <c r="P691" s="650"/>
      <c r="Q691" s="789"/>
      <c r="R691" s="634"/>
      <c r="S691" s="634"/>
      <c r="T691" s="634"/>
      <c r="U691" s="634"/>
      <c r="V691" s="634"/>
      <c r="W691" s="634"/>
      <c r="X691" s="634"/>
      <c r="Y691" s="634"/>
      <c r="Z691" s="634"/>
    </row>
    <row r="692" ht="15.75" customHeight="1">
      <c r="A692" s="634"/>
      <c r="B692" s="634"/>
      <c r="C692" s="634"/>
      <c r="D692" s="634"/>
      <c r="E692" s="634"/>
      <c r="F692" s="635"/>
      <c r="G692" s="634"/>
      <c r="H692" s="636"/>
      <c r="I692" s="635"/>
      <c r="J692" s="635"/>
      <c r="K692" s="635"/>
      <c r="L692" s="635"/>
      <c r="M692" s="635"/>
      <c r="N692" s="788"/>
      <c r="O692" s="788"/>
      <c r="P692" s="650"/>
      <c r="Q692" s="789"/>
      <c r="R692" s="634"/>
      <c r="S692" s="634"/>
      <c r="T692" s="634"/>
      <c r="U692" s="634"/>
      <c r="V692" s="634"/>
      <c r="W692" s="634"/>
      <c r="X692" s="634"/>
      <c r="Y692" s="634"/>
      <c r="Z692" s="634"/>
    </row>
    <row r="693" ht="15.75" customHeight="1">
      <c r="A693" s="634"/>
      <c r="B693" s="634"/>
      <c r="C693" s="634"/>
      <c r="D693" s="634"/>
      <c r="E693" s="634"/>
      <c r="F693" s="635"/>
      <c r="G693" s="634"/>
      <c r="H693" s="636"/>
      <c r="I693" s="635"/>
      <c r="J693" s="635"/>
      <c r="K693" s="635"/>
      <c r="L693" s="635"/>
      <c r="M693" s="635"/>
      <c r="N693" s="788"/>
      <c r="O693" s="788"/>
      <c r="P693" s="650"/>
      <c r="Q693" s="789"/>
      <c r="R693" s="634"/>
      <c r="S693" s="634"/>
      <c r="T693" s="634"/>
      <c r="U693" s="634"/>
      <c r="V693" s="634"/>
      <c r="W693" s="634"/>
      <c r="X693" s="634"/>
      <c r="Y693" s="634"/>
      <c r="Z693" s="634"/>
    </row>
    <row r="694" ht="15.75" customHeight="1">
      <c r="A694" s="634"/>
      <c r="B694" s="634"/>
      <c r="C694" s="634"/>
      <c r="D694" s="634"/>
      <c r="E694" s="634"/>
      <c r="F694" s="635"/>
      <c r="G694" s="634"/>
      <c r="H694" s="636"/>
      <c r="I694" s="635"/>
      <c r="J694" s="635"/>
      <c r="K694" s="635"/>
      <c r="L694" s="635"/>
      <c r="M694" s="635"/>
      <c r="N694" s="788"/>
      <c r="O694" s="788"/>
      <c r="P694" s="650"/>
      <c r="Q694" s="789"/>
      <c r="R694" s="634"/>
      <c r="S694" s="634"/>
      <c r="T694" s="634"/>
      <c r="U694" s="634"/>
      <c r="V694" s="634"/>
      <c r="W694" s="634"/>
      <c r="X694" s="634"/>
      <c r="Y694" s="634"/>
      <c r="Z694" s="634"/>
    </row>
    <row r="695" ht="15.75" customHeight="1">
      <c r="A695" s="634"/>
      <c r="B695" s="634"/>
      <c r="C695" s="634"/>
      <c r="D695" s="634"/>
      <c r="E695" s="634"/>
      <c r="F695" s="635"/>
      <c r="G695" s="634"/>
      <c r="H695" s="636"/>
      <c r="I695" s="635"/>
      <c r="J695" s="635"/>
      <c r="K695" s="635"/>
      <c r="L695" s="635"/>
      <c r="M695" s="635"/>
      <c r="N695" s="788"/>
      <c r="O695" s="788"/>
      <c r="P695" s="650"/>
      <c r="Q695" s="789"/>
      <c r="R695" s="634"/>
      <c r="S695" s="634"/>
      <c r="T695" s="634"/>
      <c r="U695" s="634"/>
      <c r="V695" s="634"/>
      <c r="W695" s="634"/>
      <c r="X695" s="634"/>
      <c r="Y695" s="634"/>
      <c r="Z695" s="634"/>
    </row>
    <row r="696" ht="15.75" customHeight="1">
      <c r="A696" s="634"/>
      <c r="B696" s="634"/>
      <c r="C696" s="634"/>
      <c r="D696" s="634"/>
      <c r="E696" s="634"/>
      <c r="F696" s="635"/>
      <c r="G696" s="634"/>
      <c r="H696" s="636"/>
      <c r="I696" s="635"/>
      <c r="J696" s="635"/>
      <c r="K696" s="635"/>
      <c r="L696" s="635"/>
      <c r="M696" s="635"/>
      <c r="N696" s="788"/>
      <c r="O696" s="788"/>
      <c r="P696" s="650"/>
      <c r="Q696" s="789"/>
      <c r="R696" s="634"/>
      <c r="S696" s="634"/>
      <c r="T696" s="634"/>
      <c r="U696" s="634"/>
      <c r="V696" s="634"/>
      <c r="W696" s="634"/>
      <c r="X696" s="634"/>
      <c r="Y696" s="634"/>
      <c r="Z696" s="634"/>
    </row>
    <row r="697" ht="15.75" customHeight="1">
      <c r="A697" s="634"/>
      <c r="B697" s="634"/>
      <c r="C697" s="634"/>
      <c r="D697" s="634"/>
      <c r="E697" s="634"/>
      <c r="F697" s="635"/>
      <c r="G697" s="634"/>
      <c r="H697" s="636"/>
      <c r="I697" s="635"/>
      <c r="J697" s="635"/>
      <c r="K697" s="635"/>
      <c r="L697" s="635"/>
      <c r="M697" s="635"/>
      <c r="N697" s="788"/>
      <c r="O697" s="788"/>
      <c r="P697" s="650"/>
      <c r="Q697" s="789"/>
      <c r="R697" s="634"/>
      <c r="S697" s="634"/>
      <c r="T697" s="634"/>
      <c r="U697" s="634"/>
      <c r="V697" s="634"/>
      <c r="W697" s="634"/>
      <c r="X697" s="634"/>
      <c r="Y697" s="634"/>
      <c r="Z697" s="634"/>
    </row>
    <row r="698" ht="15.75" customHeight="1">
      <c r="A698" s="634"/>
      <c r="B698" s="634"/>
      <c r="C698" s="634"/>
      <c r="D698" s="634"/>
      <c r="E698" s="634"/>
      <c r="F698" s="635"/>
      <c r="G698" s="634"/>
      <c r="H698" s="636"/>
      <c r="I698" s="635"/>
      <c r="J698" s="635"/>
      <c r="K698" s="635"/>
      <c r="L698" s="635"/>
      <c r="M698" s="635"/>
      <c r="N698" s="788"/>
      <c r="O698" s="788"/>
      <c r="P698" s="650"/>
      <c r="Q698" s="789"/>
      <c r="R698" s="634"/>
      <c r="S698" s="634"/>
      <c r="T698" s="634"/>
      <c r="U698" s="634"/>
      <c r="V698" s="634"/>
      <c r="W698" s="634"/>
      <c r="X698" s="634"/>
      <c r="Y698" s="634"/>
      <c r="Z698" s="634"/>
    </row>
    <row r="699" ht="15.75" customHeight="1">
      <c r="A699" s="634"/>
      <c r="B699" s="634"/>
      <c r="C699" s="634"/>
      <c r="D699" s="634"/>
      <c r="E699" s="634"/>
      <c r="F699" s="635"/>
      <c r="G699" s="634"/>
      <c r="H699" s="636"/>
      <c r="I699" s="635"/>
      <c r="J699" s="635"/>
      <c r="K699" s="635"/>
      <c r="L699" s="635"/>
      <c r="M699" s="635"/>
      <c r="N699" s="788"/>
      <c r="O699" s="788"/>
      <c r="P699" s="650"/>
      <c r="Q699" s="789"/>
      <c r="R699" s="634"/>
      <c r="S699" s="634"/>
      <c r="T699" s="634"/>
      <c r="U699" s="634"/>
      <c r="V699" s="634"/>
      <c r="W699" s="634"/>
      <c r="X699" s="634"/>
      <c r="Y699" s="634"/>
      <c r="Z699" s="634"/>
    </row>
    <row r="700" ht="15.75" customHeight="1">
      <c r="A700" s="634"/>
      <c r="B700" s="634"/>
      <c r="C700" s="634"/>
      <c r="D700" s="634"/>
      <c r="E700" s="634"/>
      <c r="F700" s="635"/>
      <c r="G700" s="634"/>
      <c r="H700" s="636"/>
      <c r="I700" s="635"/>
      <c r="J700" s="635"/>
      <c r="K700" s="635"/>
      <c r="L700" s="635"/>
      <c r="M700" s="635"/>
      <c r="N700" s="788"/>
      <c r="O700" s="788"/>
      <c r="P700" s="650"/>
      <c r="Q700" s="789"/>
      <c r="R700" s="634"/>
      <c r="S700" s="634"/>
      <c r="T700" s="634"/>
      <c r="U700" s="634"/>
      <c r="V700" s="634"/>
      <c r="W700" s="634"/>
      <c r="X700" s="634"/>
      <c r="Y700" s="634"/>
      <c r="Z700" s="634"/>
    </row>
    <row r="701" ht="15.75" customHeight="1">
      <c r="A701" s="634"/>
      <c r="B701" s="634"/>
      <c r="C701" s="634"/>
      <c r="D701" s="634"/>
      <c r="E701" s="634"/>
      <c r="F701" s="635"/>
      <c r="G701" s="634"/>
      <c r="H701" s="636"/>
      <c r="I701" s="635"/>
      <c r="J701" s="635"/>
      <c r="K701" s="635"/>
      <c r="L701" s="635"/>
      <c r="M701" s="635"/>
      <c r="N701" s="788"/>
      <c r="O701" s="788"/>
      <c r="P701" s="650"/>
      <c r="Q701" s="789"/>
      <c r="R701" s="634"/>
      <c r="S701" s="634"/>
      <c r="T701" s="634"/>
      <c r="U701" s="634"/>
      <c r="V701" s="634"/>
      <c r="W701" s="634"/>
      <c r="X701" s="634"/>
      <c r="Y701" s="634"/>
      <c r="Z701" s="634"/>
    </row>
    <row r="702" ht="15.75" customHeight="1">
      <c r="A702" s="634"/>
      <c r="B702" s="634"/>
      <c r="C702" s="634"/>
      <c r="D702" s="634"/>
      <c r="E702" s="634"/>
      <c r="F702" s="635"/>
      <c r="G702" s="634"/>
      <c r="H702" s="636"/>
      <c r="I702" s="635"/>
      <c r="J702" s="635"/>
      <c r="K702" s="635"/>
      <c r="L702" s="635"/>
      <c r="M702" s="635"/>
      <c r="N702" s="788"/>
      <c r="O702" s="788"/>
      <c r="P702" s="650"/>
      <c r="Q702" s="789"/>
      <c r="R702" s="634"/>
      <c r="S702" s="634"/>
      <c r="T702" s="634"/>
      <c r="U702" s="634"/>
      <c r="V702" s="634"/>
      <c r="W702" s="634"/>
      <c r="X702" s="634"/>
      <c r="Y702" s="634"/>
      <c r="Z702" s="634"/>
    </row>
    <row r="703" ht="15.75" customHeight="1">
      <c r="A703" s="634"/>
      <c r="B703" s="634"/>
      <c r="C703" s="634"/>
      <c r="D703" s="634"/>
      <c r="E703" s="634"/>
      <c r="F703" s="635"/>
      <c r="G703" s="634"/>
      <c r="H703" s="636"/>
      <c r="I703" s="635"/>
      <c r="J703" s="635"/>
      <c r="K703" s="635"/>
      <c r="L703" s="635"/>
      <c r="M703" s="635"/>
      <c r="N703" s="788"/>
      <c r="O703" s="788"/>
      <c r="P703" s="650"/>
      <c r="Q703" s="789"/>
      <c r="R703" s="634"/>
      <c r="S703" s="634"/>
      <c r="T703" s="634"/>
      <c r="U703" s="634"/>
      <c r="V703" s="634"/>
      <c r="W703" s="634"/>
      <c r="X703" s="634"/>
      <c r="Y703" s="634"/>
      <c r="Z703" s="634"/>
    </row>
    <row r="704" ht="15.75" customHeight="1">
      <c r="A704" s="634"/>
      <c r="B704" s="634"/>
      <c r="C704" s="634"/>
      <c r="D704" s="634"/>
      <c r="E704" s="634"/>
      <c r="F704" s="635"/>
      <c r="G704" s="634"/>
      <c r="H704" s="636"/>
      <c r="I704" s="635"/>
      <c r="J704" s="635"/>
      <c r="K704" s="635"/>
      <c r="L704" s="635"/>
      <c r="M704" s="635"/>
      <c r="N704" s="788"/>
      <c r="O704" s="788"/>
      <c r="P704" s="650"/>
      <c r="Q704" s="789"/>
      <c r="R704" s="634"/>
      <c r="S704" s="634"/>
      <c r="T704" s="634"/>
      <c r="U704" s="634"/>
      <c r="V704" s="634"/>
      <c r="W704" s="634"/>
      <c r="X704" s="634"/>
      <c r="Y704" s="634"/>
      <c r="Z704" s="634"/>
    </row>
    <row r="705" ht="15.75" customHeight="1">
      <c r="A705" s="634"/>
      <c r="B705" s="634"/>
      <c r="C705" s="634"/>
      <c r="D705" s="634"/>
      <c r="E705" s="634"/>
      <c r="F705" s="635"/>
      <c r="G705" s="634"/>
      <c r="H705" s="636"/>
      <c r="I705" s="635"/>
      <c r="J705" s="635"/>
      <c r="K705" s="635"/>
      <c r="L705" s="635"/>
      <c r="M705" s="635"/>
      <c r="N705" s="788"/>
      <c r="O705" s="788"/>
      <c r="P705" s="650"/>
      <c r="Q705" s="789"/>
      <c r="R705" s="634"/>
      <c r="S705" s="634"/>
      <c r="T705" s="634"/>
      <c r="U705" s="634"/>
      <c r="V705" s="634"/>
      <c r="W705" s="634"/>
      <c r="X705" s="634"/>
      <c r="Y705" s="634"/>
      <c r="Z705" s="634"/>
    </row>
    <row r="706" ht="15.75" customHeight="1">
      <c r="A706" s="634"/>
      <c r="B706" s="634"/>
      <c r="C706" s="634"/>
      <c r="D706" s="634"/>
      <c r="E706" s="634"/>
      <c r="F706" s="635"/>
      <c r="G706" s="634"/>
      <c r="H706" s="636"/>
      <c r="I706" s="635"/>
      <c r="J706" s="635"/>
      <c r="K706" s="635"/>
      <c r="L706" s="635"/>
      <c r="M706" s="635"/>
      <c r="N706" s="788"/>
      <c r="O706" s="788"/>
      <c r="P706" s="650"/>
      <c r="Q706" s="789"/>
      <c r="R706" s="634"/>
      <c r="S706" s="634"/>
      <c r="T706" s="634"/>
      <c r="U706" s="634"/>
      <c r="V706" s="634"/>
      <c r="W706" s="634"/>
      <c r="X706" s="634"/>
      <c r="Y706" s="634"/>
      <c r="Z706" s="634"/>
    </row>
    <row r="707" ht="15.75" customHeight="1">
      <c r="A707" s="634"/>
      <c r="B707" s="634"/>
      <c r="C707" s="634"/>
      <c r="D707" s="634"/>
      <c r="E707" s="634"/>
      <c r="F707" s="635"/>
      <c r="G707" s="634"/>
      <c r="H707" s="636"/>
      <c r="I707" s="635"/>
      <c r="J707" s="635"/>
      <c r="K707" s="635"/>
      <c r="L707" s="635"/>
      <c r="M707" s="635"/>
      <c r="N707" s="788"/>
      <c r="O707" s="788"/>
      <c r="P707" s="650"/>
      <c r="Q707" s="789"/>
      <c r="R707" s="634"/>
      <c r="S707" s="634"/>
      <c r="T707" s="634"/>
      <c r="U707" s="634"/>
      <c r="V707" s="634"/>
      <c r="W707" s="634"/>
      <c r="X707" s="634"/>
      <c r="Y707" s="634"/>
      <c r="Z707" s="634"/>
    </row>
    <row r="708" ht="15.75" customHeight="1">
      <c r="A708" s="634"/>
      <c r="B708" s="634"/>
      <c r="C708" s="634"/>
      <c r="D708" s="634"/>
      <c r="E708" s="634"/>
      <c r="F708" s="635"/>
      <c r="G708" s="634"/>
      <c r="H708" s="636"/>
      <c r="I708" s="635"/>
      <c r="J708" s="635"/>
      <c r="K708" s="635"/>
      <c r="L708" s="635"/>
      <c r="M708" s="635"/>
      <c r="N708" s="788"/>
      <c r="O708" s="788"/>
      <c r="P708" s="650"/>
      <c r="Q708" s="789"/>
      <c r="R708" s="634"/>
      <c r="S708" s="634"/>
      <c r="T708" s="634"/>
      <c r="U708" s="634"/>
      <c r="V708" s="634"/>
      <c r="W708" s="634"/>
      <c r="X708" s="634"/>
      <c r="Y708" s="634"/>
      <c r="Z708" s="634"/>
    </row>
    <row r="709" ht="15.75" customHeight="1">
      <c r="A709" s="634"/>
      <c r="B709" s="634"/>
      <c r="C709" s="634"/>
      <c r="D709" s="634"/>
      <c r="E709" s="634"/>
      <c r="F709" s="635"/>
      <c r="G709" s="634"/>
      <c r="H709" s="636"/>
      <c r="I709" s="635"/>
      <c r="J709" s="635"/>
      <c r="K709" s="635"/>
      <c r="L709" s="635"/>
      <c r="M709" s="635"/>
      <c r="N709" s="788"/>
      <c r="O709" s="788"/>
      <c r="P709" s="650"/>
      <c r="Q709" s="789"/>
      <c r="R709" s="634"/>
      <c r="S709" s="634"/>
      <c r="T709" s="634"/>
      <c r="U709" s="634"/>
      <c r="V709" s="634"/>
      <c r="W709" s="634"/>
      <c r="X709" s="634"/>
      <c r="Y709" s="634"/>
      <c r="Z709" s="634"/>
    </row>
    <row r="710" ht="15.75" customHeight="1">
      <c r="A710" s="634"/>
      <c r="B710" s="634"/>
      <c r="C710" s="634"/>
      <c r="D710" s="634"/>
      <c r="E710" s="634"/>
      <c r="F710" s="635"/>
      <c r="G710" s="634"/>
      <c r="H710" s="636"/>
      <c r="I710" s="635"/>
      <c r="J710" s="635"/>
      <c r="K710" s="635"/>
      <c r="L710" s="635"/>
      <c r="M710" s="635"/>
      <c r="N710" s="788"/>
      <c r="O710" s="788"/>
      <c r="P710" s="650"/>
      <c r="Q710" s="789"/>
      <c r="R710" s="634"/>
      <c r="S710" s="634"/>
      <c r="T710" s="634"/>
      <c r="U710" s="634"/>
      <c r="V710" s="634"/>
      <c r="W710" s="634"/>
      <c r="X710" s="634"/>
      <c r="Y710" s="634"/>
      <c r="Z710" s="634"/>
    </row>
    <row r="711" ht="15.75" customHeight="1">
      <c r="A711" s="634"/>
      <c r="B711" s="634"/>
      <c r="C711" s="634"/>
      <c r="D711" s="634"/>
      <c r="E711" s="634"/>
      <c r="F711" s="635"/>
      <c r="G711" s="634"/>
      <c r="H711" s="636"/>
      <c r="I711" s="635"/>
      <c r="J711" s="635"/>
      <c r="K711" s="635"/>
      <c r="L711" s="635"/>
      <c r="M711" s="635"/>
      <c r="N711" s="788"/>
      <c r="O711" s="788"/>
      <c r="P711" s="650"/>
      <c r="Q711" s="789"/>
      <c r="R711" s="634"/>
      <c r="S711" s="634"/>
      <c r="T711" s="634"/>
      <c r="U711" s="634"/>
      <c r="V711" s="634"/>
      <c r="W711" s="634"/>
      <c r="X711" s="634"/>
      <c r="Y711" s="634"/>
      <c r="Z711" s="634"/>
    </row>
    <row r="712" ht="15.75" customHeight="1">
      <c r="A712" s="634"/>
      <c r="B712" s="634"/>
      <c r="C712" s="634"/>
      <c r="D712" s="634"/>
      <c r="E712" s="634"/>
      <c r="F712" s="635"/>
      <c r="G712" s="634"/>
      <c r="H712" s="636"/>
      <c r="I712" s="635"/>
      <c r="J712" s="635"/>
      <c r="K712" s="635"/>
      <c r="L712" s="635"/>
      <c r="M712" s="635"/>
      <c r="N712" s="788"/>
      <c r="O712" s="788"/>
      <c r="P712" s="650"/>
      <c r="Q712" s="789"/>
      <c r="R712" s="634"/>
      <c r="S712" s="634"/>
      <c r="T712" s="634"/>
      <c r="U712" s="634"/>
      <c r="V712" s="634"/>
      <c r="W712" s="634"/>
      <c r="X712" s="634"/>
      <c r="Y712" s="634"/>
      <c r="Z712" s="634"/>
    </row>
    <row r="713" ht="15.75" customHeight="1">
      <c r="A713" s="634"/>
      <c r="B713" s="634"/>
      <c r="C713" s="634"/>
      <c r="D713" s="634"/>
      <c r="E713" s="634"/>
      <c r="F713" s="635"/>
      <c r="G713" s="634"/>
      <c r="H713" s="636"/>
      <c r="I713" s="635"/>
      <c r="J713" s="635"/>
      <c r="K713" s="635"/>
      <c r="L713" s="635"/>
      <c r="M713" s="635"/>
      <c r="N713" s="788"/>
      <c r="O713" s="788"/>
      <c r="P713" s="650"/>
      <c r="Q713" s="789"/>
      <c r="R713" s="634"/>
      <c r="S713" s="634"/>
      <c r="T713" s="634"/>
      <c r="U713" s="634"/>
      <c r="V713" s="634"/>
      <c r="W713" s="634"/>
      <c r="X713" s="634"/>
      <c r="Y713" s="634"/>
      <c r="Z713" s="634"/>
    </row>
    <row r="714" ht="15.75" customHeight="1">
      <c r="A714" s="634"/>
      <c r="B714" s="634"/>
      <c r="C714" s="634"/>
      <c r="D714" s="634"/>
      <c r="E714" s="634"/>
      <c r="F714" s="635"/>
      <c r="G714" s="634"/>
      <c r="H714" s="636"/>
      <c r="I714" s="635"/>
      <c r="J714" s="635"/>
      <c r="K714" s="635"/>
      <c r="L714" s="635"/>
      <c r="M714" s="635"/>
      <c r="N714" s="788"/>
      <c r="O714" s="788"/>
      <c r="P714" s="650"/>
      <c r="Q714" s="789"/>
      <c r="R714" s="634"/>
      <c r="S714" s="634"/>
      <c r="T714" s="634"/>
      <c r="U714" s="634"/>
      <c r="V714" s="634"/>
      <c r="W714" s="634"/>
      <c r="X714" s="634"/>
      <c r="Y714" s="634"/>
      <c r="Z714" s="634"/>
    </row>
    <row r="715" ht="15.75" customHeight="1">
      <c r="A715" s="634"/>
      <c r="B715" s="634"/>
      <c r="C715" s="634"/>
      <c r="D715" s="634"/>
      <c r="E715" s="634"/>
      <c r="F715" s="635"/>
      <c r="G715" s="634"/>
      <c r="H715" s="636"/>
      <c r="I715" s="635"/>
      <c r="J715" s="635"/>
      <c r="K715" s="635"/>
      <c r="L715" s="635"/>
      <c r="M715" s="635"/>
      <c r="N715" s="788"/>
      <c r="O715" s="788"/>
      <c r="P715" s="650"/>
      <c r="Q715" s="789"/>
      <c r="R715" s="634"/>
      <c r="S715" s="634"/>
      <c r="T715" s="634"/>
      <c r="U715" s="634"/>
      <c r="V715" s="634"/>
      <c r="W715" s="634"/>
      <c r="X715" s="634"/>
      <c r="Y715" s="634"/>
      <c r="Z715" s="634"/>
    </row>
    <row r="716" ht="15.75" customHeight="1">
      <c r="A716" s="634"/>
      <c r="B716" s="634"/>
      <c r="C716" s="634"/>
      <c r="D716" s="634"/>
      <c r="E716" s="634"/>
      <c r="F716" s="635"/>
      <c r="G716" s="634"/>
      <c r="H716" s="636"/>
      <c r="I716" s="635"/>
      <c r="J716" s="635"/>
      <c r="K716" s="635"/>
      <c r="L716" s="635"/>
      <c r="M716" s="635"/>
      <c r="N716" s="788"/>
      <c r="O716" s="788"/>
      <c r="P716" s="650"/>
      <c r="Q716" s="789"/>
      <c r="R716" s="634"/>
      <c r="S716" s="634"/>
      <c r="T716" s="634"/>
      <c r="U716" s="634"/>
      <c r="V716" s="634"/>
      <c r="W716" s="634"/>
      <c r="X716" s="634"/>
      <c r="Y716" s="634"/>
      <c r="Z716" s="634"/>
    </row>
    <row r="717" ht="15.75" customHeight="1">
      <c r="A717" s="634"/>
      <c r="B717" s="634"/>
      <c r="C717" s="634"/>
      <c r="D717" s="634"/>
      <c r="E717" s="634"/>
      <c r="F717" s="635"/>
      <c r="G717" s="634"/>
      <c r="H717" s="636"/>
      <c r="I717" s="635"/>
      <c r="J717" s="635"/>
      <c r="K717" s="635"/>
      <c r="L717" s="635"/>
      <c r="M717" s="635"/>
      <c r="N717" s="788"/>
      <c r="O717" s="788"/>
      <c r="P717" s="650"/>
      <c r="Q717" s="789"/>
      <c r="R717" s="634"/>
      <c r="S717" s="634"/>
      <c r="T717" s="634"/>
      <c r="U717" s="634"/>
      <c r="V717" s="634"/>
      <c r="W717" s="634"/>
      <c r="X717" s="634"/>
      <c r="Y717" s="634"/>
      <c r="Z717" s="634"/>
    </row>
    <row r="718" ht="15.75" customHeight="1">
      <c r="A718" s="634"/>
      <c r="B718" s="634"/>
      <c r="C718" s="634"/>
      <c r="D718" s="634"/>
      <c r="E718" s="634"/>
      <c r="F718" s="635"/>
      <c r="G718" s="634"/>
      <c r="H718" s="636"/>
      <c r="I718" s="635"/>
      <c r="J718" s="635"/>
      <c r="K718" s="635"/>
      <c r="L718" s="635"/>
      <c r="M718" s="635"/>
      <c r="N718" s="788"/>
      <c r="O718" s="788"/>
      <c r="P718" s="650"/>
      <c r="Q718" s="789"/>
      <c r="R718" s="634"/>
      <c r="S718" s="634"/>
      <c r="T718" s="634"/>
      <c r="U718" s="634"/>
      <c r="V718" s="634"/>
      <c r="W718" s="634"/>
      <c r="X718" s="634"/>
      <c r="Y718" s="634"/>
      <c r="Z718" s="634"/>
    </row>
    <row r="719" ht="15.75" customHeight="1">
      <c r="A719" s="634"/>
      <c r="B719" s="634"/>
      <c r="C719" s="634"/>
      <c r="D719" s="634"/>
      <c r="E719" s="634"/>
      <c r="F719" s="635"/>
      <c r="G719" s="634"/>
      <c r="H719" s="636"/>
      <c r="I719" s="635"/>
      <c r="J719" s="635"/>
      <c r="K719" s="635"/>
      <c r="L719" s="635"/>
      <c r="M719" s="635"/>
      <c r="N719" s="788"/>
      <c r="O719" s="788"/>
      <c r="P719" s="650"/>
      <c r="Q719" s="789"/>
      <c r="R719" s="634"/>
      <c r="S719" s="634"/>
      <c r="T719" s="634"/>
      <c r="U719" s="634"/>
      <c r="V719" s="634"/>
      <c r="W719" s="634"/>
      <c r="X719" s="634"/>
      <c r="Y719" s="634"/>
      <c r="Z719" s="634"/>
    </row>
    <row r="720" ht="15.75" customHeight="1">
      <c r="A720" s="634"/>
      <c r="B720" s="634"/>
      <c r="C720" s="634"/>
      <c r="D720" s="634"/>
      <c r="E720" s="634"/>
      <c r="F720" s="635"/>
      <c r="G720" s="634"/>
      <c r="H720" s="636"/>
      <c r="I720" s="635"/>
      <c r="J720" s="635"/>
      <c r="K720" s="635"/>
      <c r="L720" s="635"/>
      <c r="M720" s="635"/>
      <c r="N720" s="788"/>
      <c r="O720" s="788"/>
      <c r="P720" s="650"/>
      <c r="Q720" s="789"/>
      <c r="R720" s="634"/>
      <c r="S720" s="634"/>
      <c r="T720" s="634"/>
      <c r="U720" s="634"/>
      <c r="V720" s="634"/>
      <c r="W720" s="634"/>
      <c r="X720" s="634"/>
      <c r="Y720" s="634"/>
      <c r="Z720" s="634"/>
    </row>
    <row r="721" ht="15.75" customHeight="1">
      <c r="A721" s="634"/>
      <c r="B721" s="634"/>
      <c r="C721" s="634"/>
      <c r="D721" s="634"/>
      <c r="E721" s="634"/>
      <c r="F721" s="635"/>
      <c r="G721" s="634"/>
      <c r="H721" s="636"/>
      <c r="I721" s="635"/>
      <c r="J721" s="635"/>
      <c r="K721" s="635"/>
      <c r="L721" s="635"/>
      <c r="M721" s="635"/>
      <c r="N721" s="788"/>
      <c r="O721" s="788"/>
      <c r="P721" s="650"/>
      <c r="Q721" s="789"/>
      <c r="R721" s="634"/>
      <c r="S721" s="634"/>
      <c r="T721" s="634"/>
      <c r="U721" s="634"/>
      <c r="V721" s="634"/>
      <c r="W721" s="634"/>
      <c r="X721" s="634"/>
      <c r="Y721" s="634"/>
      <c r="Z721" s="634"/>
    </row>
    <row r="722" ht="15.75" customHeight="1">
      <c r="A722" s="634"/>
      <c r="B722" s="634"/>
      <c r="C722" s="634"/>
      <c r="D722" s="634"/>
      <c r="E722" s="634"/>
      <c r="F722" s="635"/>
      <c r="G722" s="634"/>
      <c r="H722" s="636"/>
      <c r="I722" s="635"/>
      <c r="J722" s="635"/>
      <c r="K722" s="635"/>
      <c r="L722" s="635"/>
      <c r="M722" s="635"/>
      <c r="N722" s="788"/>
      <c r="O722" s="788"/>
      <c r="P722" s="650"/>
      <c r="Q722" s="789"/>
      <c r="R722" s="634"/>
      <c r="S722" s="634"/>
      <c r="T722" s="634"/>
      <c r="U722" s="634"/>
      <c r="V722" s="634"/>
      <c r="W722" s="634"/>
      <c r="X722" s="634"/>
      <c r="Y722" s="634"/>
      <c r="Z722" s="634"/>
    </row>
    <row r="723" ht="15.75" customHeight="1">
      <c r="A723" s="634"/>
      <c r="B723" s="634"/>
      <c r="C723" s="634"/>
      <c r="D723" s="634"/>
      <c r="E723" s="634"/>
      <c r="F723" s="635"/>
      <c r="G723" s="634"/>
      <c r="H723" s="636"/>
      <c r="I723" s="635"/>
      <c r="J723" s="635"/>
      <c r="K723" s="635"/>
      <c r="L723" s="635"/>
      <c r="M723" s="635"/>
      <c r="N723" s="788"/>
      <c r="O723" s="788"/>
      <c r="P723" s="650"/>
      <c r="Q723" s="789"/>
      <c r="R723" s="634"/>
      <c r="S723" s="634"/>
      <c r="T723" s="634"/>
      <c r="U723" s="634"/>
      <c r="V723" s="634"/>
      <c r="W723" s="634"/>
      <c r="X723" s="634"/>
      <c r="Y723" s="634"/>
      <c r="Z723" s="634"/>
    </row>
    <row r="724" ht="15.75" customHeight="1">
      <c r="A724" s="634"/>
      <c r="B724" s="634"/>
      <c r="C724" s="634"/>
      <c r="D724" s="634"/>
      <c r="E724" s="634"/>
      <c r="F724" s="635"/>
      <c r="G724" s="634"/>
      <c r="H724" s="636"/>
      <c r="I724" s="635"/>
      <c r="J724" s="635"/>
      <c r="K724" s="635"/>
      <c r="L724" s="635"/>
      <c r="M724" s="635"/>
      <c r="N724" s="788"/>
      <c r="O724" s="788"/>
      <c r="P724" s="650"/>
      <c r="Q724" s="789"/>
      <c r="R724" s="634"/>
      <c r="S724" s="634"/>
      <c r="T724" s="634"/>
      <c r="U724" s="634"/>
      <c r="V724" s="634"/>
      <c r="W724" s="634"/>
      <c r="X724" s="634"/>
      <c r="Y724" s="634"/>
      <c r="Z724" s="634"/>
    </row>
    <row r="725" ht="15.75" customHeight="1">
      <c r="A725" s="634"/>
      <c r="B725" s="634"/>
      <c r="C725" s="634"/>
      <c r="D725" s="634"/>
      <c r="E725" s="634"/>
      <c r="F725" s="635"/>
      <c r="G725" s="634"/>
      <c r="H725" s="636"/>
      <c r="I725" s="635"/>
      <c r="J725" s="635"/>
      <c r="K725" s="635"/>
      <c r="L725" s="635"/>
      <c r="M725" s="635"/>
      <c r="N725" s="788"/>
      <c r="O725" s="788"/>
      <c r="P725" s="650"/>
      <c r="Q725" s="789"/>
      <c r="R725" s="634"/>
      <c r="S725" s="634"/>
      <c r="T725" s="634"/>
      <c r="U725" s="634"/>
      <c r="V725" s="634"/>
      <c r="W725" s="634"/>
      <c r="X725" s="634"/>
      <c r="Y725" s="634"/>
      <c r="Z725" s="634"/>
    </row>
    <row r="726" ht="15.75" customHeight="1">
      <c r="A726" s="634"/>
      <c r="B726" s="634"/>
      <c r="C726" s="634"/>
      <c r="D726" s="634"/>
      <c r="E726" s="634"/>
      <c r="F726" s="635"/>
      <c r="G726" s="634"/>
      <c r="H726" s="636"/>
      <c r="I726" s="635"/>
      <c r="J726" s="635"/>
      <c r="K726" s="635"/>
      <c r="L726" s="635"/>
      <c r="M726" s="635"/>
      <c r="N726" s="788"/>
      <c r="O726" s="788"/>
      <c r="P726" s="650"/>
      <c r="Q726" s="789"/>
      <c r="R726" s="634"/>
      <c r="S726" s="634"/>
      <c r="T726" s="634"/>
      <c r="U726" s="634"/>
      <c r="V726" s="634"/>
      <c r="W726" s="634"/>
      <c r="X726" s="634"/>
      <c r="Y726" s="634"/>
      <c r="Z726" s="634"/>
    </row>
    <row r="727" ht="15.75" customHeight="1">
      <c r="A727" s="634"/>
      <c r="B727" s="634"/>
      <c r="C727" s="634"/>
      <c r="D727" s="634"/>
      <c r="E727" s="634"/>
      <c r="F727" s="635"/>
      <c r="G727" s="634"/>
      <c r="H727" s="636"/>
      <c r="I727" s="635"/>
      <c r="J727" s="635"/>
      <c r="K727" s="635"/>
      <c r="L727" s="635"/>
      <c r="M727" s="635"/>
      <c r="N727" s="788"/>
      <c r="O727" s="788"/>
      <c r="P727" s="650"/>
      <c r="Q727" s="789"/>
      <c r="R727" s="634"/>
      <c r="S727" s="634"/>
      <c r="T727" s="634"/>
      <c r="U727" s="634"/>
      <c r="V727" s="634"/>
      <c r="W727" s="634"/>
      <c r="X727" s="634"/>
      <c r="Y727" s="634"/>
      <c r="Z727" s="634"/>
    </row>
    <row r="728" ht="15.75" customHeight="1">
      <c r="A728" s="634"/>
      <c r="B728" s="634"/>
      <c r="C728" s="634"/>
      <c r="D728" s="634"/>
      <c r="E728" s="634"/>
      <c r="F728" s="635"/>
      <c r="G728" s="634"/>
      <c r="H728" s="636"/>
      <c r="I728" s="635"/>
      <c r="J728" s="635"/>
      <c r="K728" s="635"/>
      <c r="L728" s="635"/>
      <c r="M728" s="635"/>
      <c r="N728" s="788"/>
      <c r="O728" s="788"/>
      <c r="P728" s="650"/>
      <c r="Q728" s="789"/>
      <c r="R728" s="634"/>
      <c r="S728" s="634"/>
      <c r="T728" s="634"/>
      <c r="U728" s="634"/>
      <c r="V728" s="634"/>
      <c r="W728" s="634"/>
      <c r="X728" s="634"/>
      <c r="Y728" s="634"/>
      <c r="Z728" s="634"/>
    </row>
    <row r="729" ht="15.75" customHeight="1">
      <c r="A729" s="634"/>
      <c r="B729" s="634"/>
      <c r="C729" s="634"/>
      <c r="D729" s="634"/>
      <c r="E729" s="634"/>
      <c r="F729" s="635"/>
      <c r="G729" s="634"/>
      <c r="H729" s="636"/>
      <c r="I729" s="635"/>
      <c r="J729" s="635"/>
      <c r="K729" s="635"/>
      <c r="L729" s="635"/>
      <c r="M729" s="635"/>
      <c r="N729" s="788"/>
      <c r="O729" s="788"/>
      <c r="P729" s="650"/>
      <c r="Q729" s="789"/>
      <c r="R729" s="634"/>
      <c r="S729" s="634"/>
      <c r="T729" s="634"/>
      <c r="U729" s="634"/>
      <c r="V729" s="634"/>
      <c r="W729" s="634"/>
      <c r="X729" s="634"/>
      <c r="Y729" s="634"/>
      <c r="Z729" s="634"/>
    </row>
    <row r="730" ht="15.75" customHeight="1">
      <c r="A730" s="634"/>
      <c r="B730" s="634"/>
      <c r="C730" s="634"/>
      <c r="D730" s="634"/>
      <c r="E730" s="634"/>
      <c r="F730" s="635"/>
      <c r="G730" s="634"/>
      <c r="H730" s="636"/>
      <c r="I730" s="635"/>
      <c r="J730" s="635"/>
      <c r="K730" s="635"/>
      <c r="L730" s="635"/>
      <c r="M730" s="635"/>
      <c r="N730" s="788"/>
      <c r="O730" s="788"/>
      <c r="P730" s="650"/>
      <c r="Q730" s="789"/>
      <c r="R730" s="634"/>
      <c r="S730" s="634"/>
      <c r="T730" s="634"/>
      <c r="U730" s="634"/>
      <c r="V730" s="634"/>
      <c r="W730" s="634"/>
      <c r="X730" s="634"/>
      <c r="Y730" s="634"/>
      <c r="Z730" s="634"/>
    </row>
    <row r="731" ht="15.75" customHeight="1">
      <c r="A731" s="634"/>
      <c r="B731" s="634"/>
      <c r="C731" s="634"/>
      <c r="D731" s="634"/>
      <c r="E731" s="634"/>
      <c r="F731" s="635"/>
      <c r="G731" s="634"/>
      <c r="H731" s="636"/>
      <c r="I731" s="635"/>
      <c r="J731" s="635"/>
      <c r="K731" s="635"/>
      <c r="L731" s="635"/>
      <c r="M731" s="635"/>
      <c r="N731" s="788"/>
      <c r="O731" s="788"/>
      <c r="P731" s="650"/>
      <c r="Q731" s="789"/>
      <c r="R731" s="634"/>
      <c r="S731" s="634"/>
      <c r="T731" s="634"/>
      <c r="U731" s="634"/>
      <c r="V731" s="634"/>
      <c r="W731" s="634"/>
      <c r="X731" s="634"/>
      <c r="Y731" s="634"/>
      <c r="Z731" s="634"/>
    </row>
    <row r="732" ht="15.75" customHeight="1">
      <c r="A732" s="634"/>
      <c r="B732" s="634"/>
      <c r="C732" s="634"/>
      <c r="D732" s="634"/>
      <c r="E732" s="634"/>
      <c r="F732" s="635"/>
      <c r="G732" s="634"/>
      <c r="H732" s="636"/>
      <c r="I732" s="635"/>
      <c r="J732" s="635"/>
      <c r="K732" s="635"/>
      <c r="L732" s="635"/>
      <c r="M732" s="635"/>
      <c r="N732" s="788"/>
      <c r="O732" s="788"/>
      <c r="P732" s="650"/>
      <c r="Q732" s="789"/>
      <c r="R732" s="634"/>
      <c r="S732" s="634"/>
      <c r="T732" s="634"/>
      <c r="U732" s="634"/>
      <c r="V732" s="634"/>
      <c r="W732" s="634"/>
      <c r="X732" s="634"/>
      <c r="Y732" s="634"/>
      <c r="Z732" s="634"/>
    </row>
    <row r="733" ht="15.75" customHeight="1">
      <c r="A733" s="634"/>
      <c r="B733" s="634"/>
      <c r="C733" s="634"/>
      <c r="D733" s="634"/>
      <c r="E733" s="634"/>
      <c r="F733" s="635"/>
      <c r="G733" s="634"/>
      <c r="H733" s="636"/>
      <c r="I733" s="635"/>
      <c r="J733" s="635"/>
      <c r="K733" s="635"/>
      <c r="L733" s="635"/>
      <c r="M733" s="635"/>
      <c r="N733" s="788"/>
      <c r="O733" s="788"/>
      <c r="P733" s="650"/>
      <c r="Q733" s="789"/>
      <c r="R733" s="634"/>
      <c r="S733" s="634"/>
      <c r="T733" s="634"/>
      <c r="U733" s="634"/>
      <c r="V733" s="634"/>
      <c r="W733" s="634"/>
      <c r="X733" s="634"/>
      <c r="Y733" s="634"/>
      <c r="Z733" s="634"/>
    </row>
    <row r="734" ht="15.75" customHeight="1">
      <c r="A734" s="634"/>
      <c r="B734" s="634"/>
      <c r="C734" s="634"/>
      <c r="D734" s="634"/>
      <c r="E734" s="634"/>
      <c r="F734" s="635"/>
      <c r="G734" s="634"/>
      <c r="H734" s="636"/>
      <c r="I734" s="635"/>
      <c r="J734" s="635"/>
      <c r="K734" s="635"/>
      <c r="L734" s="635"/>
      <c r="M734" s="635"/>
      <c r="N734" s="788"/>
      <c r="O734" s="788"/>
      <c r="P734" s="650"/>
      <c r="Q734" s="789"/>
      <c r="R734" s="634"/>
      <c r="S734" s="634"/>
      <c r="T734" s="634"/>
      <c r="U734" s="634"/>
      <c r="V734" s="634"/>
      <c r="W734" s="634"/>
      <c r="X734" s="634"/>
      <c r="Y734" s="634"/>
      <c r="Z734" s="634"/>
    </row>
    <row r="735" ht="15.75" customHeight="1">
      <c r="A735" s="634"/>
      <c r="B735" s="634"/>
      <c r="C735" s="634"/>
      <c r="D735" s="634"/>
      <c r="E735" s="634"/>
      <c r="F735" s="635"/>
      <c r="G735" s="634"/>
      <c r="H735" s="636"/>
      <c r="I735" s="635"/>
      <c r="J735" s="635"/>
      <c r="K735" s="635"/>
      <c r="L735" s="635"/>
      <c r="M735" s="635"/>
      <c r="N735" s="788"/>
      <c r="O735" s="788"/>
      <c r="P735" s="650"/>
      <c r="Q735" s="789"/>
      <c r="R735" s="634"/>
      <c r="S735" s="634"/>
      <c r="T735" s="634"/>
      <c r="U735" s="634"/>
      <c r="V735" s="634"/>
      <c r="W735" s="634"/>
      <c r="X735" s="634"/>
      <c r="Y735" s="634"/>
      <c r="Z735" s="634"/>
    </row>
    <row r="736" ht="15.75" customHeight="1">
      <c r="A736" s="634"/>
      <c r="B736" s="634"/>
      <c r="C736" s="634"/>
      <c r="D736" s="634"/>
      <c r="E736" s="634"/>
      <c r="F736" s="635"/>
      <c r="G736" s="634"/>
      <c r="H736" s="636"/>
      <c r="I736" s="635"/>
      <c r="J736" s="635"/>
      <c r="K736" s="635"/>
      <c r="L736" s="635"/>
      <c r="M736" s="635"/>
      <c r="N736" s="788"/>
      <c r="O736" s="788"/>
      <c r="P736" s="650"/>
      <c r="Q736" s="789"/>
      <c r="R736" s="634"/>
      <c r="S736" s="634"/>
      <c r="T736" s="634"/>
      <c r="U736" s="634"/>
      <c r="V736" s="634"/>
      <c r="W736" s="634"/>
      <c r="X736" s="634"/>
      <c r="Y736" s="634"/>
      <c r="Z736" s="634"/>
    </row>
    <row r="737" ht="15.75" customHeight="1">
      <c r="A737" s="634"/>
      <c r="B737" s="634"/>
      <c r="C737" s="634"/>
      <c r="D737" s="634"/>
      <c r="E737" s="634"/>
      <c r="F737" s="635"/>
      <c r="G737" s="634"/>
      <c r="H737" s="636"/>
      <c r="I737" s="635"/>
      <c r="J737" s="635"/>
      <c r="K737" s="635"/>
      <c r="L737" s="635"/>
      <c r="M737" s="635"/>
      <c r="N737" s="788"/>
      <c r="O737" s="788"/>
      <c r="P737" s="650"/>
      <c r="Q737" s="789"/>
      <c r="R737" s="634"/>
      <c r="S737" s="634"/>
      <c r="T737" s="634"/>
      <c r="U737" s="634"/>
      <c r="V737" s="634"/>
      <c r="W737" s="634"/>
      <c r="X737" s="634"/>
      <c r="Y737" s="634"/>
      <c r="Z737" s="634"/>
    </row>
    <row r="738" ht="15.75" customHeight="1">
      <c r="A738" s="634"/>
      <c r="B738" s="634"/>
      <c r="C738" s="634"/>
      <c r="D738" s="634"/>
      <c r="E738" s="634"/>
      <c r="F738" s="635"/>
      <c r="G738" s="634"/>
      <c r="H738" s="636"/>
      <c r="I738" s="635"/>
      <c r="J738" s="635"/>
      <c r="K738" s="635"/>
      <c r="L738" s="635"/>
      <c r="M738" s="635"/>
      <c r="N738" s="788"/>
      <c r="O738" s="788"/>
      <c r="P738" s="650"/>
      <c r="Q738" s="789"/>
      <c r="R738" s="634"/>
      <c r="S738" s="634"/>
      <c r="T738" s="634"/>
      <c r="U738" s="634"/>
      <c r="V738" s="634"/>
      <c r="W738" s="634"/>
      <c r="X738" s="634"/>
      <c r="Y738" s="634"/>
      <c r="Z738" s="634"/>
    </row>
    <row r="739" ht="15.75" customHeight="1">
      <c r="A739" s="634"/>
      <c r="B739" s="634"/>
      <c r="C739" s="634"/>
      <c r="D739" s="634"/>
      <c r="E739" s="634"/>
      <c r="F739" s="635"/>
      <c r="G739" s="634"/>
      <c r="H739" s="636"/>
      <c r="I739" s="635"/>
      <c r="J739" s="635"/>
      <c r="K739" s="635"/>
      <c r="L739" s="635"/>
      <c r="M739" s="635"/>
      <c r="N739" s="788"/>
      <c r="O739" s="788"/>
      <c r="P739" s="650"/>
      <c r="Q739" s="789"/>
      <c r="R739" s="634"/>
      <c r="S739" s="634"/>
      <c r="T739" s="634"/>
      <c r="U739" s="634"/>
      <c r="V739" s="634"/>
      <c r="W739" s="634"/>
      <c r="X739" s="634"/>
      <c r="Y739" s="634"/>
      <c r="Z739" s="634"/>
    </row>
    <row r="740" ht="15.75" customHeight="1">
      <c r="A740" s="634"/>
      <c r="B740" s="634"/>
      <c r="C740" s="634"/>
      <c r="D740" s="634"/>
      <c r="E740" s="634"/>
      <c r="F740" s="635"/>
      <c r="G740" s="634"/>
      <c r="H740" s="636"/>
      <c r="I740" s="635"/>
      <c r="J740" s="635"/>
      <c r="K740" s="635"/>
      <c r="L740" s="635"/>
      <c r="M740" s="635"/>
      <c r="N740" s="788"/>
      <c r="O740" s="788"/>
      <c r="P740" s="650"/>
      <c r="Q740" s="789"/>
      <c r="R740" s="634"/>
      <c r="S740" s="634"/>
      <c r="T740" s="634"/>
      <c r="U740" s="634"/>
      <c r="V740" s="634"/>
      <c r="W740" s="634"/>
      <c r="X740" s="634"/>
      <c r="Y740" s="634"/>
      <c r="Z740" s="634"/>
    </row>
    <row r="741" ht="15.75" customHeight="1">
      <c r="A741" s="634"/>
      <c r="B741" s="634"/>
      <c r="C741" s="634"/>
      <c r="D741" s="634"/>
      <c r="E741" s="634"/>
      <c r="F741" s="635"/>
      <c r="G741" s="634"/>
      <c r="H741" s="636"/>
      <c r="I741" s="635"/>
      <c r="J741" s="635"/>
      <c r="K741" s="635"/>
      <c r="L741" s="635"/>
      <c r="M741" s="635"/>
      <c r="N741" s="788"/>
      <c r="O741" s="788"/>
      <c r="P741" s="650"/>
      <c r="Q741" s="789"/>
      <c r="R741" s="634"/>
      <c r="S741" s="634"/>
      <c r="T741" s="634"/>
      <c r="U741" s="634"/>
      <c r="V741" s="634"/>
      <c r="W741" s="634"/>
      <c r="X741" s="634"/>
      <c r="Y741" s="634"/>
      <c r="Z741" s="634"/>
    </row>
    <row r="742" ht="15.75" customHeight="1">
      <c r="A742" s="634"/>
      <c r="B742" s="634"/>
      <c r="C742" s="634"/>
      <c r="D742" s="634"/>
      <c r="E742" s="634"/>
      <c r="F742" s="635"/>
      <c r="G742" s="634"/>
      <c r="H742" s="636"/>
      <c r="I742" s="635"/>
      <c r="J742" s="635"/>
      <c r="K742" s="635"/>
      <c r="L742" s="635"/>
      <c r="M742" s="635"/>
      <c r="N742" s="788"/>
      <c r="O742" s="788"/>
      <c r="P742" s="650"/>
      <c r="Q742" s="789"/>
      <c r="R742" s="634"/>
      <c r="S742" s="634"/>
      <c r="T742" s="634"/>
      <c r="U742" s="634"/>
      <c r="V742" s="634"/>
      <c r="W742" s="634"/>
      <c r="X742" s="634"/>
      <c r="Y742" s="634"/>
      <c r="Z742" s="634"/>
    </row>
    <row r="743" ht="15.75" customHeight="1">
      <c r="A743" s="634"/>
      <c r="B743" s="634"/>
      <c r="C743" s="634"/>
      <c r="D743" s="634"/>
      <c r="E743" s="634"/>
      <c r="F743" s="635"/>
      <c r="G743" s="634"/>
      <c r="H743" s="636"/>
      <c r="I743" s="635"/>
      <c r="J743" s="635"/>
      <c r="K743" s="635"/>
      <c r="L743" s="635"/>
      <c r="M743" s="635"/>
      <c r="N743" s="788"/>
      <c r="O743" s="788"/>
      <c r="P743" s="650"/>
      <c r="Q743" s="789"/>
      <c r="R743" s="634"/>
      <c r="S743" s="634"/>
      <c r="T743" s="634"/>
      <c r="U743" s="634"/>
      <c r="V743" s="634"/>
      <c r="W743" s="634"/>
      <c r="X743" s="634"/>
      <c r="Y743" s="634"/>
      <c r="Z743" s="634"/>
    </row>
    <row r="744" ht="15.75" customHeight="1">
      <c r="A744" s="634"/>
      <c r="B744" s="634"/>
      <c r="C744" s="634"/>
      <c r="D744" s="634"/>
      <c r="E744" s="634"/>
      <c r="F744" s="635"/>
      <c r="G744" s="634"/>
      <c r="H744" s="636"/>
      <c r="I744" s="635"/>
      <c r="J744" s="635"/>
      <c r="K744" s="635"/>
      <c r="L744" s="635"/>
      <c r="M744" s="635"/>
      <c r="N744" s="788"/>
      <c r="O744" s="788"/>
      <c r="P744" s="650"/>
      <c r="Q744" s="789"/>
      <c r="R744" s="634"/>
      <c r="S744" s="634"/>
      <c r="T744" s="634"/>
      <c r="U744" s="634"/>
      <c r="V744" s="634"/>
      <c r="W744" s="634"/>
      <c r="X744" s="634"/>
      <c r="Y744" s="634"/>
      <c r="Z744" s="634"/>
    </row>
    <row r="745" ht="15.75" customHeight="1">
      <c r="A745" s="634"/>
      <c r="B745" s="634"/>
      <c r="C745" s="634"/>
      <c r="D745" s="634"/>
      <c r="E745" s="634"/>
      <c r="F745" s="635"/>
      <c r="G745" s="634"/>
      <c r="H745" s="636"/>
      <c r="I745" s="635"/>
      <c r="J745" s="635"/>
      <c r="K745" s="635"/>
      <c r="L745" s="635"/>
      <c r="M745" s="635"/>
      <c r="N745" s="788"/>
      <c r="O745" s="788"/>
      <c r="P745" s="650"/>
      <c r="Q745" s="789"/>
      <c r="R745" s="634"/>
      <c r="S745" s="634"/>
      <c r="T745" s="634"/>
      <c r="U745" s="634"/>
      <c r="V745" s="634"/>
      <c r="W745" s="634"/>
      <c r="X745" s="634"/>
      <c r="Y745" s="634"/>
      <c r="Z745" s="634"/>
    </row>
    <row r="746" ht="15.75" customHeight="1">
      <c r="A746" s="634"/>
      <c r="B746" s="634"/>
      <c r="C746" s="634"/>
      <c r="D746" s="634"/>
      <c r="E746" s="634"/>
      <c r="F746" s="635"/>
      <c r="G746" s="634"/>
      <c r="H746" s="636"/>
      <c r="I746" s="635"/>
      <c r="J746" s="635"/>
      <c r="K746" s="635"/>
      <c r="L746" s="635"/>
      <c r="M746" s="635"/>
      <c r="N746" s="788"/>
      <c r="O746" s="788"/>
      <c r="P746" s="650"/>
      <c r="Q746" s="789"/>
      <c r="R746" s="634"/>
      <c r="S746" s="634"/>
      <c r="T746" s="634"/>
      <c r="U746" s="634"/>
      <c r="V746" s="634"/>
      <c r="W746" s="634"/>
      <c r="X746" s="634"/>
      <c r="Y746" s="634"/>
      <c r="Z746" s="634"/>
    </row>
    <row r="747" ht="15.75" customHeight="1">
      <c r="A747" s="634"/>
      <c r="B747" s="634"/>
      <c r="C747" s="634"/>
      <c r="D747" s="634"/>
      <c r="E747" s="634"/>
      <c r="F747" s="635"/>
      <c r="G747" s="634"/>
      <c r="H747" s="636"/>
      <c r="I747" s="635"/>
      <c r="J747" s="635"/>
      <c r="K747" s="635"/>
      <c r="L747" s="635"/>
      <c r="M747" s="635"/>
      <c r="N747" s="788"/>
      <c r="O747" s="788"/>
      <c r="P747" s="650"/>
      <c r="Q747" s="789"/>
      <c r="R747" s="634"/>
      <c r="S747" s="634"/>
      <c r="T747" s="634"/>
      <c r="U747" s="634"/>
      <c r="V747" s="634"/>
      <c r="W747" s="634"/>
      <c r="X747" s="634"/>
      <c r="Y747" s="634"/>
      <c r="Z747" s="634"/>
    </row>
    <row r="748" ht="15.75" customHeight="1">
      <c r="A748" s="634"/>
      <c r="B748" s="634"/>
      <c r="C748" s="634"/>
      <c r="D748" s="634"/>
      <c r="E748" s="634"/>
      <c r="F748" s="635"/>
      <c r="G748" s="634"/>
      <c r="H748" s="636"/>
      <c r="I748" s="635"/>
      <c r="J748" s="635"/>
      <c r="K748" s="635"/>
      <c r="L748" s="635"/>
      <c r="M748" s="635"/>
      <c r="N748" s="788"/>
      <c r="O748" s="788"/>
      <c r="P748" s="650"/>
      <c r="Q748" s="789"/>
      <c r="R748" s="634"/>
      <c r="S748" s="634"/>
      <c r="T748" s="634"/>
      <c r="U748" s="634"/>
      <c r="V748" s="634"/>
      <c r="W748" s="634"/>
      <c r="X748" s="634"/>
      <c r="Y748" s="634"/>
      <c r="Z748" s="634"/>
    </row>
    <row r="749" ht="15.75" customHeight="1">
      <c r="A749" s="634"/>
      <c r="B749" s="634"/>
      <c r="C749" s="634"/>
      <c r="D749" s="634"/>
      <c r="E749" s="634"/>
      <c r="F749" s="635"/>
      <c r="G749" s="634"/>
      <c r="H749" s="636"/>
      <c r="I749" s="635"/>
      <c r="J749" s="635"/>
      <c r="K749" s="635"/>
      <c r="L749" s="635"/>
      <c r="M749" s="635"/>
      <c r="N749" s="788"/>
      <c r="O749" s="788"/>
      <c r="P749" s="650"/>
      <c r="Q749" s="789"/>
      <c r="R749" s="634"/>
      <c r="S749" s="634"/>
      <c r="T749" s="634"/>
      <c r="U749" s="634"/>
      <c r="V749" s="634"/>
      <c r="W749" s="634"/>
      <c r="X749" s="634"/>
      <c r="Y749" s="634"/>
      <c r="Z749" s="634"/>
    </row>
    <row r="750" ht="15.75" customHeight="1">
      <c r="A750" s="634"/>
      <c r="B750" s="634"/>
      <c r="C750" s="634"/>
      <c r="D750" s="634"/>
      <c r="E750" s="634"/>
      <c r="F750" s="635"/>
      <c r="G750" s="634"/>
      <c r="H750" s="636"/>
      <c r="I750" s="635"/>
      <c r="J750" s="635"/>
      <c r="K750" s="635"/>
      <c r="L750" s="635"/>
      <c r="M750" s="635"/>
      <c r="N750" s="788"/>
      <c r="O750" s="788"/>
      <c r="P750" s="650"/>
      <c r="Q750" s="789"/>
      <c r="R750" s="634"/>
      <c r="S750" s="634"/>
      <c r="T750" s="634"/>
      <c r="U750" s="634"/>
      <c r="V750" s="634"/>
      <c r="W750" s="634"/>
      <c r="X750" s="634"/>
      <c r="Y750" s="634"/>
      <c r="Z750" s="634"/>
    </row>
    <row r="751" ht="15.75" customHeight="1">
      <c r="A751" s="634"/>
      <c r="B751" s="634"/>
      <c r="C751" s="634"/>
      <c r="D751" s="634"/>
      <c r="E751" s="634"/>
      <c r="F751" s="635"/>
      <c r="G751" s="634"/>
      <c r="H751" s="636"/>
      <c r="I751" s="635"/>
      <c r="J751" s="635"/>
      <c r="K751" s="635"/>
      <c r="L751" s="635"/>
      <c r="M751" s="635"/>
      <c r="N751" s="788"/>
      <c r="O751" s="788"/>
      <c r="P751" s="650"/>
      <c r="Q751" s="789"/>
      <c r="R751" s="634"/>
      <c r="S751" s="634"/>
      <c r="T751" s="634"/>
      <c r="U751" s="634"/>
      <c r="V751" s="634"/>
      <c r="W751" s="634"/>
      <c r="X751" s="634"/>
      <c r="Y751" s="634"/>
      <c r="Z751" s="634"/>
    </row>
    <row r="752" ht="15.75" customHeight="1">
      <c r="A752" s="634"/>
      <c r="B752" s="634"/>
      <c r="C752" s="634"/>
      <c r="D752" s="634"/>
      <c r="E752" s="634"/>
      <c r="F752" s="635"/>
      <c r="G752" s="634"/>
      <c r="H752" s="636"/>
      <c r="I752" s="635"/>
      <c r="J752" s="635"/>
      <c r="K752" s="635"/>
      <c r="L752" s="635"/>
      <c r="M752" s="635"/>
      <c r="N752" s="788"/>
      <c r="O752" s="788"/>
      <c r="P752" s="650"/>
      <c r="Q752" s="789"/>
      <c r="R752" s="634"/>
      <c r="S752" s="634"/>
      <c r="T752" s="634"/>
      <c r="U752" s="634"/>
      <c r="V752" s="634"/>
      <c r="W752" s="634"/>
      <c r="X752" s="634"/>
      <c r="Y752" s="634"/>
      <c r="Z752" s="634"/>
    </row>
    <row r="753" ht="15.75" customHeight="1">
      <c r="A753" s="634"/>
      <c r="B753" s="634"/>
      <c r="C753" s="634"/>
      <c r="D753" s="634"/>
      <c r="E753" s="634"/>
      <c r="F753" s="635"/>
      <c r="G753" s="634"/>
      <c r="H753" s="636"/>
      <c r="I753" s="635"/>
      <c r="J753" s="635"/>
      <c r="K753" s="635"/>
      <c r="L753" s="635"/>
      <c r="M753" s="635"/>
      <c r="N753" s="788"/>
      <c r="O753" s="788"/>
      <c r="P753" s="650"/>
      <c r="Q753" s="789"/>
      <c r="R753" s="634"/>
      <c r="S753" s="634"/>
      <c r="T753" s="634"/>
      <c r="U753" s="634"/>
      <c r="V753" s="634"/>
      <c r="W753" s="634"/>
      <c r="X753" s="634"/>
      <c r="Y753" s="634"/>
      <c r="Z753" s="634"/>
    </row>
    <row r="754" ht="15.75" customHeight="1">
      <c r="A754" s="634"/>
      <c r="B754" s="634"/>
      <c r="C754" s="634"/>
      <c r="D754" s="634"/>
      <c r="E754" s="634"/>
      <c r="F754" s="635"/>
      <c r="G754" s="634"/>
      <c r="H754" s="636"/>
      <c r="I754" s="635"/>
      <c r="J754" s="635"/>
      <c r="K754" s="635"/>
      <c r="L754" s="635"/>
      <c r="M754" s="635"/>
      <c r="N754" s="788"/>
      <c r="O754" s="788"/>
      <c r="P754" s="650"/>
      <c r="Q754" s="789"/>
      <c r="R754" s="634"/>
      <c r="S754" s="634"/>
      <c r="T754" s="634"/>
      <c r="U754" s="634"/>
      <c r="V754" s="634"/>
      <c r="W754" s="634"/>
      <c r="X754" s="634"/>
      <c r="Y754" s="634"/>
      <c r="Z754" s="634"/>
    </row>
    <row r="755" ht="15.75" customHeight="1">
      <c r="A755" s="634"/>
      <c r="B755" s="634"/>
      <c r="C755" s="634"/>
      <c r="D755" s="634"/>
      <c r="E755" s="634"/>
      <c r="F755" s="635"/>
      <c r="G755" s="634"/>
      <c r="H755" s="636"/>
      <c r="I755" s="635"/>
      <c r="J755" s="635"/>
      <c r="K755" s="635"/>
      <c r="L755" s="635"/>
      <c r="M755" s="635"/>
      <c r="N755" s="788"/>
      <c r="O755" s="788"/>
      <c r="P755" s="650"/>
      <c r="Q755" s="789"/>
      <c r="R755" s="634"/>
      <c r="S755" s="634"/>
      <c r="T755" s="634"/>
      <c r="U755" s="634"/>
      <c r="V755" s="634"/>
      <c r="W755" s="634"/>
      <c r="X755" s="634"/>
      <c r="Y755" s="634"/>
      <c r="Z755" s="634"/>
    </row>
    <row r="756" ht="15.75" customHeight="1">
      <c r="A756" s="634"/>
      <c r="B756" s="634"/>
      <c r="C756" s="634"/>
      <c r="D756" s="634"/>
      <c r="E756" s="634"/>
      <c r="F756" s="635"/>
      <c r="G756" s="634"/>
      <c r="H756" s="636"/>
      <c r="I756" s="635"/>
      <c r="J756" s="635"/>
      <c r="K756" s="635"/>
      <c r="L756" s="635"/>
      <c r="M756" s="635"/>
      <c r="N756" s="788"/>
      <c r="O756" s="788"/>
      <c r="P756" s="650"/>
      <c r="Q756" s="789"/>
      <c r="R756" s="634"/>
      <c r="S756" s="634"/>
      <c r="T756" s="634"/>
      <c r="U756" s="634"/>
      <c r="V756" s="634"/>
      <c r="W756" s="634"/>
      <c r="X756" s="634"/>
      <c r="Y756" s="634"/>
      <c r="Z756" s="634"/>
    </row>
    <row r="757" ht="15.75" customHeight="1">
      <c r="A757" s="634"/>
      <c r="B757" s="634"/>
      <c r="C757" s="634"/>
      <c r="D757" s="634"/>
      <c r="E757" s="634"/>
      <c r="F757" s="635"/>
      <c r="G757" s="634"/>
      <c r="H757" s="636"/>
      <c r="I757" s="635"/>
      <c r="J757" s="635"/>
      <c r="K757" s="635"/>
      <c r="L757" s="635"/>
      <c r="M757" s="635"/>
      <c r="N757" s="788"/>
      <c r="O757" s="788"/>
      <c r="P757" s="650"/>
      <c r="Q757" s="789"/>
      <c r="R757" s="634"/>
      <c r="S757" s="634"/>
      <c r="T757" s="634"/>
      <c r="U757" s="634"/>
      <c r="V757" s="634"/>
      <c r="W757" s="634"/>
      <c r="X757" s="634"/>
      <c r="Y757" s="634"/>
      <c r="Z757" s="634"/>
    </row>
    <row r="758" ht="15.75" customHeight="1">
      <c r="A758" s="634"/>
      <c r="B758" s="634"/>
      <c r="C758" s="634"/>
      <c r="D758" s="634"/>
      <c r="E758" s="634"/>
      <c r="F758" s="635"/>
      <c r="G758" s="634"/>
      <c r="H758" s="636"/>
      <c r="I758" s="635"/>
      <c r="J758" s="635"/>
      <c r="K758" s="635"/>
      <c r="L758" s="635"/>
      <c r="M758" s="635"/>
      <c r="N758" s="788"/>
      <c r="O758" s="788"/>
      <c r="P758" s="650"/>
      <c r="Q758" s="789"/>
      <c r="R758" s="634"/>
      <c r="S758" s="634"/>
      <c r="T758" s="634"/>
      <c r="U758" s="634"/>
      <c r="V758" s="634"/>
      <c r="W758" s="634"/>
      <c r="X758" s="634"/>
      <c r="Y758" s="634"/>
      <c r="Z758" s="634"/>
    </row>
    <row r="759" ht="15.75" customHeight="1">
      <c r="A759" s="634"/>
      <c r="B759" s="634"/>
      <c r="C759" s="634"/>
      <c r="D759" s="634"/>
      <c r="E759" s="634"/>
      <c r="F759" s="635"/>
      <c r="G759" s="634"/>
      <c r="H759" s="636"/>
      <c r="I759" s="635"/>
      <c r="J759" s="635"/>
      <c r="K759" s="635"/>
      <c r="L759" s="635"/>
      <c r="M759" s="635"/>
      <c r="N759" s="788"/>
      <c r="O759" s="788"/>
      <c r="P759" s="650"/>
      <c r="Q759" s="789"/>
      <c r="R759" s="634"/>
      <c r="S759" s="634"/>
      <c r="T759" s="634"/>
      <c r="U759" s="634"/>
      <c r="V759" s="634"/>
      <c r="W759" s="634"/>
      <c r="X759" s="634"/>
      <c r="Y759" s="634"/>
      <c r="Z759" s="634"/>
    </row>
    <row r="760" ht="15.75" customHeight="1">
      <c r="A760" s="634"/>
      <c r="B760" s="634"/>
      <c r="C760" s="634"/>
      <c r="D760" s="634"/>
      <c r="E760" s="634"/>
      <c r="F760" s="635"/>
      <c r="G760" s="634"/>
      <c r="H760" s="636"/>
      <c r="I760" s="635"/>
      <c r="J760" s="635"/>
      <c r="K760" s="635"/>
      <c r="L760" s="635"/>
      <c r="M760" s="635"/>
      <c r="N760" s="788"/>
      <c r="O760" s="788"/>
      <c r="P760" s="650"/>
      <c r="Q760" s="789"/>
      <c r="R760" s="634"/>
      <c r="S760" s="634"/>
      <c r="T760" s="634"/>
      <c r="U760" s="634"/>
      <c r="V760" s="634"/>
      <c r="W760" s="634"/>
      <c r="X760" s="634"/>
      <c r="Y760" s="634"/>
      <c r="Z760" s="634"/>
    </row>
    <row r="761" ht="15.75" customHeight="1">
      <c r="A761" s="634"/>
      <c r="B761" s="634"/>
      <c r="C761" s="634"/>
      <c r="D761" s="634"/>
      <c r="E761" s="634"/>
      <c r="F761" s="635"/>
      <c r="G761" s="634"/>
      <c r="H761" s="636"/>
      <c r="I761" s="635"/>
      <c r="J761" s="635"/>
      <c r="K761" s="635"/>
      <c r="L761" s="635"/>
      <c r="M761" s="635"/>
      <c r="N761" s="788"/>
      <c r="O761" s="788"/>
      <c r="P761" s="650"/>
      <c r="Q761" s="789"/>
      <c r="R761" s="634"/>
      <c r="S761" s="634"/>
      <c r="T761" s="634"/>
      <c r="U761" s="634"/>
      <c r="V761" s="634"/>
      <c r="W761" s="634"/>
      <c r="X761" s="634"/>
      <c r="Y761" s="634"/>
      <c r="Z761" s="634"/>
    </row>
    <row r="762" ht="15.75" customHeight="1">
      <c r="A762" s="634"/>
      <c r="B762" s="634"/>
      <c r="C762" s="634"/>
      <c r="D762" s="634"/>
      <c r="E762" s="634"/>
      <c r="F762" s="635"/>
      <c r="G762" s="634"/>
      <c r="H762" s="636"/>
      <c r="I762" s="635"/>
      <c r="J762" s="635"/>
      <c r="K762" s="635"/>
      <c r="L762" s="635"/>
      <c r="M762" s="635"/>
      <c r="N762" s="788"/>
      <c r="O762" s="788"/>
      <c r="P762" s="650"/>
      <c r="Q762" s="789"/>
      <c r="R762" s="634"/>
      <c r="S762" s="634"/>
      <c r="T762" s="634"/>
      <c r="U762" s="634"/>
      <c r="V762" s="634"/>
      <c r="W762" s="634"/>
      <c r="X762" s="634"/>
      <c r="Y762" s="634"/>
      <c r="Z762" s="634"/>
    </row>
    <row r="763" ht="15.75" customHeight="1">
      <c r="A763" s="634"/>
      <c r="B763" s="634"/>
      <c r="C763" s="634"/>
      <c r="D763" s="634"/>
      <c r="E763" s="634"/>
      <c r="F763" s="635"/>
      <c r="G763" s="634"/>
      <c r="H763" s="636"/>
      <c r="I763" s="635"/>
      <c r="J763" s="635"/>
      <c r="K763" s="635"/>
      <c r="L763" s="635"/>
      <c r="M763" s="635"/>
      <c r="N763" s="788"/>
      <c r="O763" s="788"/>
      <c r="P763" s="650"/>
      <c r="Q763" s="789"/>
      <c r="R763" s="634"/>
      <c r="S763" s="634"/>
      <c r="T763" s="634"/>
      <c r="U763" s="634"/>
      <c r="V763" s="634"/>
      <c r="W763" s="634"/>
      <c r="X763" s="634"/>
      <c r="Y763" s="634"/>
      <c r="Z763" s="634"/>
    </row>
    <row r="764" ht="15.75" customHeight="1">
      <c r="A764" s="634"/>
      <c r="B764" s="634"/>
      <c r="C764" s="634"/>
      <c r="D764" s="634"/>
      <c r="E764" s="634"/>
      <c r="F764" s="635"/>
      <c r="G764" s="634"/>
      <c r="H764" s="636"/>
      <c r="I764" s="635"/>
      <c r="J764" s="635"/>
      <c r="K764" s="635"/>
      <c r="L764" s="635"/>
      <c r="M764" s="635"/>
      <c r="N764" s="788"/>
      <c r="O764" s="788"/>
      <c r="P764" s="650"/>
      <c r="Q764" s="789"/>
      <c r="R764" s="634"/>
      <c r="S764" s="634"/>
      <c r="T764" s="634"/>
      <c r="U764" s="634"/>
      <c r="V764" s="634"/>
      <c r="W764" s="634"/>
      <c r="X764" s="634"/>
      <c r="Y764" s="634"/>
      <c r="Z764" s="634"/>
    </row>
    <row r="765" ht="15.75" customHeight="1">
      <c r="A765" s="634"/>
      <c r="B765" s="634"/>
      <c r="C765" s="634"/>
      <c r="D765" s="634"/>
      <c r="E765" s="634"/>
      <c r="F765" s="635"/>
      <c r="G765" s="634"/>
      <c r="H765" s="636"/>
      <c r="I765" s="635"/>
      <c r="J765" s="635"/>
      <c r="K765" s="635"/>
      <c r="L765" s="635"/>
      <c r="M765" s="635"/>
      <c r="N765" s="788"/>
      <c r="O765" s="788"/>
      <c r="P765" s="650"/>
      <c r="Q765" s="789"/>
      <c r="R765" s="634"/>
      <c r="S765" s="634"/>
      <c r="T765" s="634"/>
      <c r="U765" s="634"/>
      <c r="V765" s="634"/>
      <c r="W765" s="634"/>
      <c r="X765" s="634"/>
      <c r="Y765" s="634"/>
      <c r="Z765" s="634"/>
    </row>
    <row r="766" ht="15.75" customHeight="1">
      <c r="A766" s="634"/>
      <c r="B766" s="634"/>
      <c r="C766" s="634"/>
      <c r="D766" s="634"/>
      <c r="E766" s="634"/>
      <c r="F766" s="635"/>
      <c r="G766" s="634"/>
      <c r="H766" s="636"/>
      <c r="I766" s="635"/>
      <c r="J766" s="635"/>
      <c r="K766" s="635"/>
      <c r="L766" s="635"/>
      <c r="M766" s="635"/>
      <c r="N766" s="788"/>
      <c r="O766" s="788"/>
      <c r="P766" s="650"/>
      <c r="Q766" s="789"/>
      <c r="R766" s="634"/>
      <c r="S766" s="634"/>
      <c r="T766" s="634"/>
      <c r="U766" s="634"/>
      <c r="V766" s="634"/>
      <c r="W766" s="634"/>
      <c r="X766" s="634"/>
      <c r="Y766" s="634"/>
      <c r="Z766" s="634"/>
    </row>
    <row r="767" ht="15.75" customHeight="1">
      <c r="A767" s="634"/>
      <c r="B767" s="634"/>
      <c r="C767" s="634"/>
      <c r="D767" s="634"/>
      <c r="E767" s="634"/>
      <c r="F767" s="635"/>
      <c r="G767" s="634"/>
      <c r="H767" s="636"/>
      <c r="I767" s="635"/>
      <c r="J767" s="635"/>
      <c r="K767" s="635"/>
      <c r="L767" s="635"/>
      <c r="M767" s="635"/>
      <c r="N767" s="788"/>
      <c r="O767" s="788"/>
      <c r="P767" s="650"/>
      <c r="Q767" s="789"/>
      <c r="R767" s="634"/>
      <c r="S767" s="634"/>
      <c r="T767" s="634"/>
      <c r="U767" s="634"/>
      <c r="V767" s="634"/>
      <c r="W767" s="634"/>
      <c r="X767" s="634"/>
      <c r="Y767" s="634"/>
      <c r="Z767" s="634"/>
    </row>
    <row r="768" ht="15.75" customHeight="1">
      <c r="A768" s="634"/>
      <c r="B768" s="634"/>
      <c r="C768" s="634"/>
      <c r="D768" s="634"/>
      <c r="E768" s="634"/>
      <c r="F768" s="635"/>
      <c r="G768" s="634"/>
      <c r="H768" s="636"/>
      <c r="I768" s="635"/>
      <c r="J768" s="635"/>
      <c r="K768" s="635"/>
      <c r="L768" s="635"/>
      <c r="M768" s="635"/>
      <c r="N768" s="788"/>
      <c r="O768" s="788"/>
      <c r="P768" s="650"/>
      <c r="Q768" s="789"/>
      <c r="R768" s="634"/>
      <c r="S768" s="634"/>
      <c r="T768" s="634"/>
      <c r="U768" s="634"/>
      <c r="V768" s="634"/>
      <c r="W768" s="634"/>
      <c r="X768" s="634"/>
      <c r="Y768" s="634"/>
      <c r="Z768" s="634"/>
    </row>
    <row r="769" ht="15.75" customHeight="1">
      <c r="A769" s="634"/>
      <c r="B769" s="634"/>
      <c r="C769" s="634"/>
      <c r="D769" s="634"/>
      <c r="E769" s="634"/>
      <c r="F769" s="635"/>
      <c r="G769" s="634"/>
      <c r="H769" s="636"/>
      <c r="I769" s="635"/>
      <c r="J769" s="635"/>
      <c r="K769" s="635"/>
      <c r="L769" s="635"/>
      <c r="M769" s="635"/>
      <c r="N769" s="788"/>
      <c r="O769" s="788"/>
      <c r="P769" s="650"/>
      <c r="Q769" s="789"/>
      <c r="R769" s="634"/>
      <c r="S769" s="634"/>
      <c r="T769" s="634"/>
      <c r="U769" s="634"/>
      <c r="V769" s="634"/>
      <c r="W769" s="634"/>
      <c r="X769" s="634"/>
      <c r="Y769" s="634"/>
      <c r="Z769" s="634"/>
    </row>
    <row r="770" ht="15.75" customHeight="1">
      <c r="A770" s="634"/>
      <c r="B770" s="634"/>
      <c r="C770" s="634"/>
      <c r="D770" s="634"/>
      <c r="E770" s="634"/>
      <c r="F770" s="635"/>
      <c r="G770" s="634"/>
      <c r="H770" s="636"/>
      <c r="I770" s="635"/>
      <c r="J770" s="635"/>
      <c r="K770" s="635"/>
      <c r="L770" s="635"/>
      <c r="M770" s="635"/>
      <c r="N770" s="788"/>
      <c r="O770" s="788"/>
      <c r="P770" s="650"/>
      <c r="Q770" s="789"/>
      <c r="R770" s="634"/>
      <c r="S770" s="634"/>
      <c r="T770" s="634"/>
      <c r="U770" s="634"/>
      <c r="V770" s="634"/>
      <c r="W770" s="634"/>
      <c r="X770" s="634"/>
      <c r="Y770" s="634"/>
      <c r="Z770" s="634"/>
    </row>
    <row r="771" ht="15.75" customHeight="1">
      <c r="A771" s="634"/>
      <c r="B771" s="634"/>
      <c r="C771" s="634"/>
      <c r="D771" s="634"/>
      <c r="E771" s="634"/>
      <c r="F771" s="635"/>
      <c r="G771" s="634"/>
      <c r="H771" s="636"/>
      <c r="I771" s="635"/>
      <c r="J771" s="635"/>
      <c r="K771" s="635"/>
      <c r="L771" s="635"/>
      <c r="M771" s="635"/>
      <c r="N771" s="788"/>
      <c r="O771" s="788"/>
      <c r="P771" s="650"/>
      <c r="Q771" s="789"/>
      <c r="R771" s="634"/>
      <c r="S771" s="634"/>
      <c r="T771" s="634"/>
      <c r="U771" s="634"/>
      <c r="V771" s="634"/>
      <c r="W771" s="634"/>
      <c r="X771" s="634"/>
      <c r="Y771" s="634"/>
      <c r="Z771" s="634"/>
    </row>
    <row r="772" ht="15.75" customHeight="1">
      <c r="A772" s="634"/>
      <c r="B772" s="634"/>
      <c r="C772" s="634"/>
      <c r="D772" s="634"/>
      <c r="E772" s="634"/>
      <c r="F772" s="635"/>
      <c r="G772" s="634"/>
      <c r="H772" s="636"/>
      <c r="I772" s="635"/>
      <c r="J772" s="635"/>
      <c r="K772" s="635"/>
      <c r="L772" s="635"/>
      <c r="M772" s="635"/>
      <c r="N772" s="788"/>
      <c r="O772" s="788"/>
      <c r="P772" s="650"/>
      <c r="Q772" s="789"/>
      <c r="R772" s="634"/>
      <c r="S772" s="634"/>
      <c r="T772" s="634"/>
      <c r="U772" s="634"/>
      <c r="V772" s="634"/>
      <c r="W772" s="634"/>
      <c r="X772" s="634"/>
      <c r="Y772" s="634"/>
      <c r="Z772" s="634"/>
    </row>
    <row r="773" ht="15.75" customHeight="1">
      <c r="A773" s="634"/>
      <c r="B773" s="634"/>
      <c r="C773" s="634"/>
      <c r="D773" s="634"/>
      <c r="E773" s="634"/>
      <c r="F773" s="635"/>
      <c r="G773" s="634"/>
      <c r="H773" s="636"/>
      <c r="I773" s="635"/>
      <c r="J773" s="635"/>
      <c r="K773" s="635"/>
      <c r="L773" s="635"/>
      <c r="M773" s="635"/>
      <c r="N773" s="788"/>
      <c r="O773" s="788"/>
      <c r="P773" s="650"/>
      <c r="Q773" s="789"/>
      <c r="R773" s="634"/>
      <c r="S773" s="634"/>
      <c r="T773" s="634"/>
      <c r="U773" s="634"/>
      <c r="V773" s="634"/>
      <c r="W773" s="634"/>
      <c r="X773" s="634"/>
      <c r="Y773" s="634"/>
      <c r="Z773" s="634"/>
    </row>
    <row r="774" ht="15.75" customHeight="1">
      <c r="A774" s="634"/>
      <c r="B774" s="634"/>
      <c r="C774" s="634"/>
      <c r="D774" s="634"/>
      <c r="E774" s="634"/>
      <c r="F774" s="635"/>
      <c r="G774" s="634"/>
      <c r="H774" s="636"/>
      <c r="I774" s="635"/>
      <c r="J774" s="635"/>
      <c r="K774" s="635"/>
      <c r="L774" s="635"/>
      <c r="M774" s="635"/>
      <c r="N774" s="788"/>
      <c r="O774" s="788"/>
      <c r="P774" s="650"/>
      <c r="Q774" s="789"/>
      <c r="R774" s="634"/>
      <c r="S774" s="634"/>
      <c r="T774" s="634"/>
      <c r="U774" s="634"/>
      <c r="V774" s="634"/>
      <c r="W774" s="634"/>
      <c r="X774" s="634"/>
      <c r="Y774" s="634"/>
      <c r="Z774" s="634"/>
    </row>
    <row r="775" ht="15.75" customHeight="1">
      <c r="A775" s="634"/>
      <c r="B775" s="634"/>
      <c r="C775" s="634"/>
      <c r="D775" s="634"/>
      <c r="E775" s="634"/>
      <c r="F775" s="635"/>
      <c r="G775" s="634"/>
      <c r="H775" s="636"/>
      <c r="I775" s="635"/>
      <c r="J775" s="635"/>
      <c r="K775" s="635"/>
      <c r="L775" s="635"/>
      <c r="M775" s="635"/>
      <c r="N775" s="788"/>
      <c r="O775" s="788"/>
      <c r="P775" s="650"/>
      <c r="Q775" s="789"/>
      <c r="R775" s="634"/>
      <c r="S775" s="634"/>
      <c r="T775" s="634"/>
      <c r="U775" s="634"/>
      <c r="V775" s="634"/>
      <c r="W775" s="634"/>
      <c r="X775" s="634"/>
      <c r="Y775" s="634"/>
      <c r="Z775" s="634"/>
    </row>
    <row r="776" ht="15.75" customHeight="1">
      <c r="A776" s="634"/>
      <c r="B776" s="634"/>
      <c r="C776" s="634"/>
      <c r="D776" s="634"/>
      <c r="E776" s="634"/>
      <c r="F776" s="635"/>
      <c r="G776" s="634"/>
      <c r="H776" s="636"/>
      <c r="I776" s="635"/>
      <c r="J776" s="635"/>
      <c r="K776" s="635"/>
      <c r="L776" s="635"/>
      <c r="M776" s="635"/>
      <c r="N776" s="788"/>
      <c r="O776" s="788"/>
      <c r="P776" s="650"/>
      <c r="Q776" s="789"/>
      <c r="R776" s="634"/>
      <c r="S776" s="634"/>
      <c r="T776" s="634"/>
      <c r="U776" s="634"/>
      <c r="V776" s="634"/>
      <c r="W776" s="634"/>
      <c r="X776" s="634"/>
      <c r="Y776" s="634"/>
      <c r="Z776" s="634"/>
    </row>
    <row r="777" ht="15.75" customHeight="1">
      <c r="A777" s="634"/>
      <c r="B777" s="634"/>
      <c r="C777" s="634"/>
      <c r="D777" s="634"/>
      <c r="E777" s="634"/>
      <c r="F777" s="635"/>
      <c r="G777" s="634"/>
      <c r="H777" s="636"/>
      <c r="I777" s="635"/>
      <c r="J777" s="635"/>
      <c r="K777" s="635"/>
      <c r="L777" s="635"/>
      <c r="M777" s="635"/>
      <c r="N777" s="788"/>
      <c r="O777" s="788"/>
      <c r="P777" s="650"/>
      <c r="Q777" s="789"/>
      <c r="R777" s="634"/>
      <c r="S777" s="634"/>
      <c r="T777" s="634"/>
      <c r="U777" s="634"/>
      <c r="V777" s="634"/>
      <c r="W777" s="634"/>
      <c r="X777" s="634"/>
      <c r="Y777" s="634"/>
      <c r="Z777" s="634"/>
    </row>
    <row r="778" ht="15.75" customHeight="1">
      <c r="A778" s="634"/>
      <c r="B778" s="634"/>
      <c r="C778" s="634"/>
      <c r="D778" s="634"/>
      <c r="E778" s="634"/>
      <c r="F778" s="635"/>
      <c r="G778" s="634"/>
      <c r="H778" s="636"/>
      <c r="I778" s="635"/>
      <c r="J778" s="635"/>
      <c r="K778" s="635"/>
      <c r="L778" s="635"/>
      <c r="M778" s="635"/>
      <c r="N778" s="788"/>
      <c r="O778" s="788"/>
      <c r="P778" s="650"/>
      <c r="Q778" s="789"/>
      <c r="R778" s="634"/>
      <c r="S778" s="634"/>
      <c r="T778" s="634"/>
      <c r="U778" s="634"/>
      <c r="V778" s="634"/>
      <c r="W778" s="634"/>
      <c r="X778" s="634"/>
      <c r="Y778" s="634"/>
      <c r="Z778" s="634"/>
    </row>
    <row r="779" ht="15.75" customHeight="1">
      <c r="A779" s="634"/>
      <c r="B779" s="634"/>
      <c r="C779" s="634"/>
      <c r="D779" s="634"/>
      <c r="E779" s="634"/>
      <c r="F779" s="635"/>
      <c r="G779" s="634"/>
      <c r="H779" s="636"/>
      <c r="I779" s="635"/>
      <c r="J779" s="635"/>
      <c r="K779" s="635"/>
      <c r="L779" s="635"/>
      <c r="M779" s="635"/>
      <c r="N779" s="788"/>
      <c r="O779" s="788"/>
      <c r="P779" s="650"/>
      <c r="Q779" s="789"/>
      <c r="R779" s="634"/>
      <c r="S779" s="634"/>
      <c r="T779" s="634"/>
      <c r="U779" s="634"/>
      <c r="V779" s="634"/>
      <c r="W779" s="634"/>
      <c r="X779" s="634"/>
      <c r="Y779" s="634"/>
      <c r="Z779" s="634"/>
    </row>
    <row r="780" ht="15.75" customHeight="1">
      <c r="A780" s="634"/>
      <c r="B780" s="634"/>
      <c r="C780" s="634"/>
      <c r="D780" s="634"/>
      <c r="E780" s="634"/>
      <c r="F780" s="635"/>
      <c r="G780" s="634"/>
      <c r="H780" s="636"/>
      <c r="I780" s="635"/>
      <c r="J780" s="635"/>
      <c r="K780" s="635"/>
      <c r="L780" s="635"/>
      <c r="M780" s="635"/>
      <c r="N780" s="788"/>
      <c r="O780" s="788"/>
      <c r="P780" s="650"/>
      <c r="Q780" s="789"/>
      <c r="R780" s="634"/>
      <c r="S780" s="634"/>
      <c r="T780" s="634"/>
      <c r="U780" s="634"/>
      <c r="V780" s="634"/>
      <c r="W780" s="634"/>
      <c r="X780" s="634"/>
      <c r="Y780" s="634"/>
      <c r="Z780" s="634"/>
    </row>
    <row r="781" ht="15.75" customHeight="1">
      <c r="A781" s="634"/>
      <c r="B781" s="634"/>
      <c r="C781" s="634"/>
      <c r="D781" s="634"/>
      <c r="E781" s="634"/>
      <c r="F781" s="635"/>
      <c r="G781" s="634"/>
      <c r="H781" s="636"/>
      <c r="I781" s="635"/>
      <c r="J781" s="635"/>
      <c r="K781" s="635"/>
      <c r="L781" s="635"/>
      <c r="M781" s="635"/>
      <c r="N781" s="788"/>
      <c r="O781" s="788"/>
      <c r="P781" s="650"/>
      <c r="Q781" s="789"/>
      <c r="R781" s="634"/>
      <c r="S781" s="634"/>
      <c r="T781" s="634"/>
      <c r="U781" s="634"/>
      <c r="V781" s="634"/>
      <c r="W781" s="634"/>
      <c r="X781" s="634"/>
      <c r="Y781" s="634"/>
      <c r="Z781" s="634"/>
    </row>
    <row r="782" ht="15.75" customHeight="1">
      <c r="A782" s="634"/>
      <c r="B782" s="634"/>
      <c r="C782" s="634"/>
      <c r="D782" s="634"/>
      <c r="E782" s="634"/>
      <c r="F782" s="635"/>
      <c r="G782" s="634"/>
      <c r="H782" s="636"/>
      <c r="I782" s="635"/>
      <c r="J782" s="635"/>
      <c r="K782" s="635"/>
      <c r="L782" s="635"/>
      <c r="M782" s="635"/>
      <c r="N782" s="788"/>
      <c r="O782" s="788"/>
      <c r="P782" s="650"/>
      <c r="Q782" s="789"/>
      <c r="R782" s="634"/>
      <c r="S782" s="634"/>
      <c r="T782" s="634"/>
      <c r="U782" s="634"/>
      <c r="V782" s="634"/>
      <c r="W782" s="634"/>
      <c r="X782" s="634"/>
      <c r="Y782" s="634"/>
      <c r="Z782" s="634"/>
    </row>
    <row r="783" ht="15.75" customHeight="1">
      <c r="A783" s="634"/>
      <c r="B783" s="634"/>
      <c r="C783" s="634"/>
      <c r="D783" s="634"/>
      <c r="E783" s="634"/>
      <c r="F783" s="635"/>
      <c r="G783" s="634"/>
      <c r="H783" s="636"/>
      <c r="I783" s="635"/>
      <c r="J783" s="635"/>
      <c r="K783" s="635"/>
      <c r="L783" s="635"/>
      <c r="M783" s="635"/>
      <c r="N783" s="788"/>
      <c r="O783" s="788"/>
      <c r="P783" s="650"/>
      <c r="Q783" s="789"/>
      <c r="R783" s="634"/>
      <c r="S783" s="634"/>
      <c r="T783" s="634"/>
      <c r="U783" s="634"/>
      <c r="V783" s="634"/>
      <c r="W783" s="634"/>
      <c r="X783" s="634"/>
      <c r="Y783" s="634"/>
      <c r="Z783" s="634"/>
    </row>
    <row r="784" ht="15.75" customHeight="1">
      <c r="A784" s="634"/>
      <c r="B784" s="634"/>
      <c r="C784" s="634"/>
      <c r="D784" s="634"/>
      <c r="E784" s="634"/>
      <c r="F784" s="635"/>
      <c r="G784" s="634"/>
      <c r="H784" s="636"/>
      <c r="I784" s="635"/>
      <c r="J784" s="635"/>
      <c r="K784" s="635"/>
      <c r="L784" s="635"/>
      <c r="M784" s="635"/>
      <c r="N784" s="788"/>
      <c r="O784" s="788"/>
      <c r="P784" s="650"/>
      <c r="Q784" s="789"/>
      <c r="R784" s="634"/>
      <c r="S784" s="634"/>
      <c r="T784" s="634"/>
      <c r="U784" s="634"/>
      <c r="V784" s="634"/>
      <c r="W784" s="634"/>
      <c r="X784" s="634"/>
      <c r="Y784" s="634"/>
      <c r="Z784" s="634"/>
    </row>
    <row r="785" ht="15.75" customHeight="1">
      <c r="A785" s="634"/>
      <c r="B785" s="634"/>
      <c r="C785" s="634"/>
      <c r="D785" s="634"/>
      <c r="E785" s="634"/>
      <c r="F785" s="635"/>
      <c r="G785" s="634"/>
      <c r="H785" s="636"/>
      <c r="I785" s="635"/>
      <c r="J785" s="635"/>
      <c r="K785" s="635"/>
      <c r="L785" s="635"/>
      <c r="M785" s="635"/>
      <c r="N785" s="788"/>
      <c r="O785" s="788"/>
      <c r="P785" s="650"/>
      <c r="Q785" s="789"/>
      <c r="R785" s="634"/>
      <c r="S785" s="634"/>
      <c r="T785" s="634"/>
      <c r="U785" s="634"/>
      <c r="V785" s="634"/>
      <c r="W785" s="634"/>
      <c r="X785" s="634"/>
      <c r="Y785" s="634"/>
      <c r="Z785" s="634"/>
    </row>
    <row r="786" ht="15.75" customHeight="1">
      <c r="A786" s="634"/>
      <c r="B786" s="634"/>
      <c r="C786" s="634"/>
      <c r="D786" s="634"/>
      <c r="E786" s="634"/>
      <c r="F786" s="635"/>
      <c r="G786" s="634"/>
      <c r="H786" s="636"/>
      <c r="I786" s="635"/>
      <c r="J786" s="635"/>
      <c r="K786" s="635"/>
      <c r="L786" s="635"/>
      <c r="M786" s="635"/>
      <c r="N786" s="788"/>
      <c r="O786" s="788"/>
      <c r="P786" s="650"/>
      <c r="Q786" s="789"/>
      <c r="R786" s="634"/>
      <c r="S786" s="634"/>
      <c r="T786" s="634"/>
      <c r="U786" s="634"/>
      <c r="V786" s="634"/>
      <c r="W786" s="634"/>
      <c r="X786" s="634"/>
      <c r="Y786" s="634"/>
      <c r="Z786" s="634"/>
    </row>
    <row r="787" ht="15.75" customHeight="1">
      <c r="A787" s="634"/>
      <c r="B787" s="634"/>
      <c r="C787" s="634"/>
      <c r="D787" s="634"/>
      <c r="E787" s="634"/>
      <c r="F787" s="635"/>
      <c r="G787" s="634"/>
      <c r="H787" s="636"/>
      <c r="I787" s="635"/>
      <c r="J787" s="635"/>
      <c r="K787" s="635"/>
      <c r="L787" s="635"/>
      <c r="M787" s="635"/>
      <c r="N787" s="788"/>
      <c r="O787" s="788"/>
      <c r="P787" s="650"/>
      <c r="Q787" s="789"/>
      <c r="R787" s="634"/>
      <c r="S787" s="634"/>
      <c r="T787" s="634"/>
      <c r="U787" s="634"/>
      <c r="V787" s="634"/>
      <c r="W787" s="634"/>
      <c r="X787" s="634"/>
      <c r="Y787" s="634"/>
      <c r="Z787" s="634"/>
    </row>
    <row r="788" ht="15.75" customHeight="1">
      <c r="A788" s="634"/>
      <c r="B788" s="634"/>
      <c r="C788" s="634"/>
      <c r="D788" s="634"/>
      <c r="E788" s="634"/>
      <c r="F788" s="635"/>
      <c r="G788" s="634"/>
      <c r="H788" s="636"/>
      <c r="I788" s="635"/>
      <c r="J788" s="635"/>
      <c r="K788" s="635"/>
      <c r="L788" s="635"/>
      <c r="M788" s="635"/>
      <c r="N788" s="788"/>
      <c r="O788" s="788"/>
      <c r="P788" s="650"/>
      <c r="Q788" s="789"/>
      <c r="R788" s="634"/>
      <c r="S788" s="634"/>
      <c r="T788" s="634"/>
      <c r="U788" s="634"/>
      <c r="V788" s="634"/>
      <c r="W788" s="634"/>
      <c r="X788" s="634"/>
      <c r="Y788" s="634"/>
      <c r="Z788" s="634"/>
    </row>
    <row r="789" ht="15.75" customHeight="1">
      <c r="A789" s="634"/>
      <c r="B789" s="634"/>
      <c r="C789" s="634"/>
      <c r="D789" s="634"/>
      <c r="E789" s="634"/>
      <c r="F789" s="635"/>
      <c r="G789" s="634"/>
      <c r="H789" s="636"/>
      <c r="I789" s="635"/>
      <c r="J789" s="635"/>
      <c r="K789" s="635"/>
      <c r="L789" s="635"/>
      <c r="M789" s="635"/>
      <c r="N789" s="788"/>
      <c r="O789" s="788"/>
      <c r="P789" s="650"/>
      <c r="Q789" s="789"/>
      <c r="R789" s="634"/>
      <c r="S789" s="634"/>
      <c r="T789" s="634"/>
      <c r="U789" s="634"/>
      <c r="V789" s="634"/>
      <c r="W789" s="634"/>
      <c r="X789" s="634"/>
      <c r="Y789" s="634"/>
      <c r="Z789" s="634"/>
    </row>
    <row r="790" ht="15.75" customHeight="1">
      <c r="A790" s="634"/>
      <c r="B790" s="634"/>
      <c r="C790" s="634"/>
      <c r="D790" s="634"/>
      <c r="E790" s="634"/>
      <c r="F790" s="635"/>
      <c r="G790" s="634"/>
      <c r="H790" s="636"/>
      <c r="I790" s="635"/>
      <c r="J790" s="635"/>
      <c r="K790" s="635"/>
      <c r="L790" s="635"/>
      <c r="M790" s="635"/>
      <c r="N790" s="788"/>
      <c r="O790" s="788"/>
      <c r="P790" s="650"/>
      <c r="Q790" s="789"/>
      <c r="R790" s="634"/>
      <c r="S790" s="634"/>
      <c r="T790" s="634"/>
      <c r="U790" s="634"/>
      <c r="V790" s="634"/>
      <c r="W790" s="634"/>
      <c r="X790" s="634"/>
      <c r="Y790" s="634"/>
      <c r="Z790" s="634"/>
    </row>
    <row r="791" ht="15.75" customHeight="1">
      <c r="A791" s="634"/>
      <c r="B791" s="634"/>
      <c r="C791" s="634"/>
      <c r="D791" s="634"/>
      <c r="E791" s="634"/>
      <c r="F791" s="635"/>
      <c r="G791" s="634"/>
      <c r="H791" s="636"/>
      <c r="I791" s="635"/>
      <c r="J791" s="635"/>
      <c r="K791" s="635"/>
      <c r="L791" s="635"/>
      <c r="M791" s="635"/>
      <c r="N791" s="788"/>
      <c r="O791" s="788"/>
      <c r="P791" s="650"/>
      <c r="Q791" s="789"/>
      <c r="R791" s="634"/>
      <c r="S791" s="634"/>
      <c r="T791" s="634"/>
      <c r="U791" s="634"/>
      <c r="V791" s="634"/>
      <c r="W791" s="634"/>
      <c r="X791" s="634"/>
      <c r="Y791" s="634"/>
      <c r="Z791" s="634"/>
    </row>
    <row r="792" ht="15.75" customHeight="1">
      <c r="A792" s="634"/>
      <c r="B792" s="634"/>
      <c r="C792" s="634"/>
      <c r="D792" s="634"/>
      <c r="E792" s="634"/>
      <c r="F792" s="635"/>
      <c r="G792" s="634"/>
      <c r="H792" s="636"/>
      <c r="I792" s="635"/>
      <c r="J792" s="635"/>
      <c r="K792" s="635"/>
      <c r="L792" s="635"/>
      <c r="M792" s="635"/>
      <c r="N792" s="788"/>
      <c r="O792" s="788"/>
      <c r="P792" s="650"/>
      <c r="Q792" s="789"/>
      <c r="R792" s="634"/>
      <c r="S792" s="634"/>
      <c r="T792" s="634"/>
      <c r="U792" s="634"/>
      <c r="V792" s="634"/>
      <c r="W792" s="634"/>
      <c r="X792" s="634"/>
      <c r="Y792" s="634"/>
      <c r="Z792" s="634"/>
    </row>
    <row r="793" ht="15.75" customHeight="1">
      <c r="A793" s="634"/>
      <c r="B793" s="634"/>
      <c r="C793" s="634"/>
      <c r="D793" s="634"/>
      <c r="E793" s="634"/>
      <c r="F793" s="635"/>
      <c r="G793" s="634"/>
      <c r="H793" s="636"/>
      <c r="I793" s="635"/>
      <c r="J793" s="635"/>
      <c r="K793" s="635"/>
      <c r="L793" s="635"/>
      <c r="M793" s="635"/>
      <c r="N793" s="788"/>
      <c r="O793" s="788"/>
      <c r="P793" s="650"/>
      <c r="Q793" s="789"/>
      <c r="R793" s="634"/>
      <c r="S793" s="634"/>
      <c r="T793" s="634"/>
      <c r="U793" s="634"/>
      <c r="V793" s="634"/>
      <c r="W793" s="634"/>
      <c r="X793" s="634"/>
      <c r="Y793" s="634"/>
      <c r="Z793" s="634"/>
    </row>
    <row r="794" ht="15.75" customHeight="1">
      <c r="A794" s="634"/>
      <c r="B794" s="634"/>
      <c r="C794" s="634"/>
      <c r="D794" s="634"/>
      <c r="E794" s="634"/>
      <c r="F794" s="635"/>
      <c r="G794" s="634"/>
      <c r="H794" s="636"/>
      <c r="I794" s="635"/>
      <c r="J794" s="635"/>
      <c r="K794" s="635"/>
      <c r="L794" s="635"/>
      <c r="M794" s="635"/>
      <c r="N794" s="788"/>
      <c r="O794" s="788"/>
      <c r="P794" s="650"/>
      <c r="Q794" s="789"/>
      <c r="R794" s="634"/>
      <c r="S794" s="634"/>
      <c r="T794" s="634"/>
      <c r="U794" s="634"/>
      <c r="V794" s="634"/>
      <c r="W794" s="634"/>
      <c r="X794" s="634"/>
      <c r="Y794" s="634"/>
      <c r="Z794" s="634"/>
    </row>
    <row r="795" ht="15.75" customHeight="1">
      <c r="A795" s="634"/>
      <c r="B795" s="634"/>
      <c r="C795" s="634"/>
      <c r="D795" s="634"/>
      <c r="E795" s="634"/>
      <c r="F795" s="635"/>
      <c r="G795" s="634"/>
      <c r="H795" s="636"/>
      <c r="I795" s="635"/>
      <c r="J795" s="635"/>
      <c r="K795" s="635"/>
      <c r="L795" s="635"/>
      <c r="M795" s="635"/>
      <c r="N795" s="788"/>
      <c r="O795" s="788"/>
      <c r="P795" s="650"/>
      <c r="Q795" s="789"/>
      <c r="R795" s="634"/>
      <c r="S795" s="634"/>
      <c r="T795" s="634"/>
      <c r="U795" s="634"/>
      <c r="V795" s="634"/>
      <c r="W795" s="634"/>
      <c r="X795" s="634"/>
      <c r="Y795" s="634"/>
      <c r="Z795" s="634"/>
    </row>
    <row r="796" ht="15.75" customHeight="1">
      <c r="A796" s="634"/>
      <c r="B796" s="634"/>
      <c r="C796" s="634"/>
      <c r="D796" s="634"/>
      <c r="E796" s="634"/>
      <c r="F796" s="635"/>
      <c r="G796" s="634"/>
      <c r="H796" s="636"/>
      <c r="I796" s="635"/>
      <c r="J796" s="635"/>
      <c r="K796" s="635"/>
      <c r="L796" s="635"/>
      <c r="M796" s="635"/>
      <c r="N796" s="788"/>
      <c r="O796" s="788"/>
      <c r="P796" s="650"/>
      <c r="Q796" s="789"/>
      <c r="R796" s="634"/>
      <c r="S796" s="634"/>
      <c r="T796" s="634"/>
      <c r="U796" s="634"/>
      <c r="V796" s="634"/>
      <c r="W796" s="634"/>
      <c r="X796" s="634"/>
      <c r="Y796" s="634"/>
      <c r="Z796" s="634"/>
    </row>
    <row r="797" ht="15.75" customHeight="1">
      <c r="A797" s="634"/>
      <c r="B797" s="634"/>
      <c r="C797" s="634"/>
      <c r="D797" s="634"/>
      <c r="E797" s="634"/>
      <c r="F797" s="635"/>
      <c r="G797" s="634"/>
      <c r="H797" s="636"/>
      <c r="I797" s="635"/>
      <c r="J797" s="635"/>
      <c r="K797" s="635"/>
      <c r="L797" s="635"/>
      <c r="M797" s="635"/>
      <c r="N797" s="788"/>
      <c r="O797" s="788"/>
      <c r="P797" s="650"/>
      <c r="Q797" s="789"/>
      <c r="R797" s="634"/>
      <c r="S797" s="634"/>
      <c r="T797" s="634"/>
      <c r="U797" s="634"/>
      <c r="V797" s="634"/>
      <c r="W797" s="634"/>
      <c r="X797" s="634"/>
      <c r="Y797" s="634"/>
      <c r="Z797" s="634"/>
    </row>
    <row r="798" ht="15.75" customHeight="1">
      <c r="A798" s="634"/>
      <c r="B798" s="634"/>
      <c r="C798" s="634"/>
      <c r="D798" s="634"/>
      <c r="E798" s="634"/>
      <c r="F798" s="635"/>
      <c r="G798" s="634"/>
      <c r="H798" s="636"/>
      <c r="I798" s="635"/>
      <c r="J798" s="635"/>
      <c r="K798" s="635"/>
      <c r="L798" s="635"/>
      <c r="M798" s="635"/>
      <c r="N798" s="788"/>
      <c r="O798" s="788"/>
      <c r="P798" s="650"/>
      <c r="Q798" s="789"/>
      <c r="R798" s="634"/>
      <c r="S798" s="634"/>
      <c r="T798" s="634"/>
      <c r="U798" s="634"/>
      <c r="V798" s="634"/>
      <c r="W798" s="634"/>
      <c r="X798" s="634"/>
      <c r="Y798" s="634"/>
      <c r="Z798" s="634"/>
    </row>
    <row r="799" ht="15.75" customHeight="1">
      <c r="A799" s="634"/>
      <c r="B799" s="634"/>
      <c r="C799" s="634"/>
      <c r="D799" s="634"/>
      <c r="E799" s="634"/>
      <c r="F799" s="635"/>
      <c r="G799" s="634"/>
      <c r="H799" s="636"/>
      <c r="I799" s="635"/>
      <c r="J799" s="635"/>
      <c r="K799" s="635"/>
      <c r="L799" s="635"/>
      <c r="M799" s="635"/>
      <c r="N799" s="788"/>
      <c r="O799" s="788"/>
      <c r="P799" s="650"/>
      <c r="Q799" s="789"/>
      <c r="R799" s="634"/>
      <c r="S799" s="634"/>
      <c r="T799" s="634"/>
      <c r="U799" s="634"/>
      <c r="V799" s="634"/>
      <c r="W799" s="634"/>
      <c r="X799" s="634"/>
      <c r="Y799" s="634"/>
      <c r="Z799" s="634"/>
    </row>
    <row r="800" ht="15.75" customHeight="1">
      <c r="A800" s="634"/>
      <c r="B800" s="634"/>
      <c r="C800" s="634"/>
      <c r="D800" s="634"/>
      <c r="E800" s="634"/>
      <c r="F800" s="635"/>
      <c r="G800" s="634"/>
      <c r="H800" s="636"/>
      <c r="I800" s="635"/>
      <c r="J800" s="635"/>
      <c r="K800" s="635"/>
      <c r="L800" s="635"/>
      <c r="M800" s="635"/>
      <c r="N800" s="788"/>
      <c r="O800" s="788"/>
      <c r="P800" s="650"/>
      <c r="Q800" s="789"/>
      <c r="R800" s="634"/>
      <c r="S800" s="634"/>
      <c r="T800" s="634"/>
      <c r="U800" s="634"/>
      <c r="V800" s="634"/>
      <c r="W800" s="634"/>
      <c r="X800" s="634"/>
      <c r="Y800" s="634"/>
      <c r="Z800" s="634"/>
    </row>
    <row r="801" ht="15.75" customHeight="1">
      <c r="A801" s="634"/>
      <c r="B801" s="634"/>
      <c r="C801" s="634"/>
      <c r="D801" s="634"/>
      <c r="E801" s="634"/>
      <c r="F801" s="635"/>
      <c r="G801" s="634"/>
      <c r="H801" s="636"/>
      <c r="I801" s="635"/>
      <c r="J801" s="635"/>
      <c r="K801" s="635"/>
      <c r="L801" s="635"/>
      <c r="M801" s="635"/>
      <c r="N801" s="788"/>
      <c r="O801" s="788"/>
      <c r="P801" s="650"/>
      <c r="Q801" s="789"/>
      <c r="R801" s="634"/>
      <c r="S801" s="634"/>
      <c r="T801" s="634"/>
      <c r="U801" s="634"/>
      <c r="V801" s="634"/>
      <c r="W801" s="634"/>
      <c r="X801" s="634"/>
      <c r="Y801" s="634"/>
      <c r="Z801" s="634"/>
    </row>
    <row r="802" ht="15.75" customHeight="1">
      <c r="A802" s="634"/>
      <c r="B802" s="634"/>
      <c r="C802" s="634"/>
      <c r="D802" s="634"/>
      <c r="E802" s="634"/>
      <c r="F802" s="635"/>
      <c r="G802" s="634"/>
      <c r="H802" s="636"/>
      <c r="I802" s="635"/>
      <c r="J802" s="635"/>
      <c r="K802" s="635"/>
      <c r="L802" s="635"/>
      <c r="M802" s="635"/>
      <c r="N802" s="788"/>
      <c r="O802" s="788"/>
      <c r="P802" s="650"/>
      <c r="Q802" s="789"/>
      <c r="R802" s="634"/>
      <c r="S802" s="634"/>
      <c r="T802" s="634"/>
      <c r="U802" s="634"/>
      <c r="V802" s="634"/>
      <c r="W802" s="634"/>
      <c r="X802" s="634"/>
      <c r="Y802" s="634"/>
      <c r="Z802" s="634"/>
    </row>
    <row r="803" ht="15.75" customHeight="1">
      <c r="A803" s="634"/>
      <c r="B803" s="634"/>
      <c r="C803" s="634"/>
      <c r="D803" s="634"/>
      <c r="E803" s="634"/>
      <c r="F803" s="635"/>
      <c r="G803" s="634"/>
      <c r="H803" s="636"/>
      <c r="I803" s="635"/>
      <c r="J803" s="635"/>
      <c r="K803" s="635"/>
      <c r="L803" s="635"/>
      <c r="M803" s="635"/>
      <c r="N803" s="788"/>
      <c r="O803" s="788"/>
      <c r="P803" s="650"/>
      <c r="Q803" s="789"/>
      <c r="R803" s="634"/>
      <c r="S803" s="634"/>
      <c r="T803" s="634"/>
      <c r="U803" s="634"/>
      <c r="V803" s="634"/>
      <c r="W803" s="634"/>
      <c r="X803" s="634"/>
      <c r="Y803" s="634"/>
      <c r="Z803" s="634"/>
    </row>
    <row r="804" ht="15.75" customHeight="1">
      <c r="A804" s="634"/>
      <c r="B804" s="634"/>
      <c r="C804" s="634"/>
      <c r="D804" s="634"/>
      <c r="E804" s="634"/>
      <c r="F804" s="635"/>
      <c r="G804" s="634"/>
      <c r="H804" s="636"/>
      <c r="I804" s="635"/>
      <c r="J804" s="635"/>
      <c r="K804" s="635"/>
      <c r="L804" s="635"/>
      <c r="M804" s="635"/>
      <c r="N804" s="788"/>
      <c r="O804" s="788"/>
      <c r="P804" s="650"/>
      <c r="Q804" s="789"/>
      <c r="R804" s="634"/>
      <c r="S804" s="634"/>
      <c r="T804" s="634"/>
      <c r="U804" s="634"/>
      <c r="V804" s="634"/>
      <c r="W804" s="634"/>
      <c r="X804" s="634"/>
      <c r="Y804" s="634"/>
      <c r="Z804" s="634"/>
    </row>
    <row r="805" ht="15.75" customHeight="1">
      <c r="A805" s="634"/>
      <c r="B805" s="634"/>
      <c r="C805" s="634"/>
      <c r="D805" s="634"/>
      <c r="E805" s="634"/>
      <c r="F805" s="635"/>
      <c r="G805" s="634"/>
      <c r="H805" s="636"/>
      <c r="I805" s="635"/>
      <c r="J805" s="635"/>
      <c r="K805" s="635"/>
      <c r="L805" s="635"/>
      <c r="M805" s="635"/>
      <c r="N805" s="788"/>
      <c r="O805" s="788"/>
      <c r="P805" s="650"/>
      <c r="Q805" s="789"/>
      <c r="R805" s="634"/>
      <c r="S805" s="634"/>
      <c r="T805" s="634"/>
      <c r="U805" s="634"/>
      <c r="V805" s="634"/>
      <c r="W805" s="634"/>
      <c r="X805" s="634"/>
      <c r="Y805" s="634"/>
      <c r="Z805" s="634"/>
    </row>
    <row r="806" ht="15.75" customHeight="1">
      <c r="A806" s="634"/>
      <c r="B806" s="634"/>
      <c r="C806" s="634"/>
      <c r="D806" s="634"/>
      <c r="E806" s="634"/>
      <c r="F806" s="635"/>
      <c r="G806" s="634"/>
      <c r="H806" s="636"/>
      <c r="I806" s="635"/>
      <c r="J806" s="635"/>
      <c r="K806" s="635"/>
      <c r="L806" s="635"/>
      <c r="M806" s="635"/>
      <c r="N806" s="788"/>
      <c r="O806" s="788"/>
      <c r="P806" s="650"/>
      <c r="Q806" s="789"/>
      <c r="R806" s="634"/>
      <c r="S806" s="634"/>
      <c r="T806" s="634"/>
      <c r="U806" s="634"/>
      <c r="V806" s="634"/>
      <c r="W806" s="634"/>
      <c r="X806" s="634"/>
      <c r="Y806" s="634"/>
      <c r="Z806" s="634"/>
    </row>
    <row r="807" ht="15.75" customHeight="1">
      <c r="A807" s="634"/>
      <c r="B807" s="634"/>
      <c r="C807" s="634"/>
      <c r="D807" s="634"/>
      <c r="E807" s="634"/>
      <c r="F807" s="635"/>
      <c r="G807" s="634"/>
      <c r="H807" s="636"/>
      <c r="I807" s="635"/>
      <c r="J807" s="635"/>
      <c r="K807" s="635"/>
      <c r="L807" s="635"/>
      <c r="M807" s="635"/>
      <c r="N807" s="788"/>
      <c r="O807" s="788"/>
      <c r="P807" s="650"/>
      <c r="Q807" s="789"/>
      <c r="R807" s="634"/>
      <c r="S807" s="634"/>
      <c r="T807" s="634"/>
      <c r="U807" s="634"/>
      <c r="V807" s="634"/>
      <c r="W807" s="634"/>
      <c r="X807" s="634"/>
      <c r="Y807" s="634"/>
      <c r="Z807" s="634"/>
    </row>
    <row r="808" ht="15.75" customHeight="1">
      <c r="A808" s="634"/>
      <c r="B808" s="634"/>
      <c r="C808" s="634"/>
      <c r="D808" s="634"/>
      <c r="E808" s="634"/>
      <c r="F808" s="635"/>
      <c r="G808" s="634"/>
      <c r="H808" s="636"/>
      <c r="I808" s="635"/>
      <c r="J808" s="635"/>
      <c r="K808" s="635"/>
      <c r="L808" s="635"/>
      <c r="M808" s="635"/>
      <c r="N808" s="788"/>
      <c r="O808" s="788"/>
      <c r="P808" s="650"/>
      <c r="Q808" s="789"/>
      <c r="R808" s="634"/>
      <c r="S808" s="634"/>
      <c r="T808" s="634"/>
      <c r="U808" s="634"/>
      <c r="V808" s="634"/>
      <c r="W808" s="634"/>
      <c r="X808" s="634"/>
      <c r="Y808" s="634"/>
      <c r="Z808" s="634"/>
    </row>
    <row r="809" ht="15.75" customHeight="1">
      <c r="A809" s="634"/>
      <c r="B809" s="634"/>
      <c r="C809" s="634"/>
      <c r="D809" s="634"/>
      <c r="E809" s="634"/>
      <c r="F809" s="635"/>
      <c r="G809" s="634"/>
      <c r="H809" s="636"/>
      <c r="I809" s="635"/>
      <c r="J809" s="635"/>
      <c r="K809" s="635"/>
      <c r="L809" s="635"/>
      <c r="M809" s="635"/>
      <c r="N809" s="788"/>
      <c r="O809" s="788"/>
      <c r="P809" s="650"/>
      <c r="Q809" s="789"/>
      <c r="R809" s="634"/>
      <c r="S809" s="634"/>
      <c r="T809" s="634"/>
      <c r="U809" s="634"/>
      <c r="V809" s="634"/>
      <c r="W809" s="634"/>
      <c r="X809" s="634"/>
      <c r="Y809" s="634"/>
      <c r="Z809" s="634"/>
    </row>
    <row r="810" ht="15.75" customHeight="1">
      <c r="A810" s="634"/>
      <c r="B810" s="634"/>
      <c r="C810" s="634"/>
      <c r="D810" s="634"/>
      <c r="E810" s="634"/>
      <c r="F810" s="635"/>
      <c r="G810" s="634"/>
      <c r="H810" s="636"/>
      <c r="I810" s="635"/>
      <c r="J810" s="635"/>
      <c r="K810" s="635"/>
      <c r="L810" s="635"/>
      <c r="M810" s="635"/>
      <c r="N810" s="788"/>
      <c r="O810" s="788"/>
      <c r="P810" s="650"/>
      <c r="Q810" s="789"/>
      <c r="R810" s="634"/>
      <c r="S810" s="634"/>
      <c r="T810" s="634"/>
      <c r="U810" s="634"/>
      <c r="V810" s="634"/>
      <c r="W810" s="634"/>
      <c r="X810" s="634"/>
      <c r="Y810" s="634"/>
      <c r="Z810" s="634"/>
    </row>
    <row r="811" ht="15.75" customHeight="1">
      <c r="A811" s="634"/>
      <c r="B811" s="634"/>
      <c r="C811" s="634"/>
      <c r="D811" s="634"/>
      <c r="E811" s="634"/>
      <c r="F811" s="635"/>
      <c r="G811" s="634"/>
      <c r="H811" s="636"/>
      <c r="I811" s="635"/>
      <c r="J811" s="635"/>
      <c r="K811" s="635"/>
      <c r="L811" s="635"/>
      <c r="M811" s="635"/>
      <c r="N811" s="788"/>
      <c r="O811" s="788"/>
      <c r="P811" s="650"/>
      <c r="Q811" s="789"/>
      <c r="R811" s="634"/>
      <c r="S811" s="634"/>
      <c r="T811" s="634"/>
      <c r="U811" s="634"/>
      <c r="V811" s="634"/>
      <c r="W811" s="634"/>
      <c r="X811" s="634"/>
      <c r="Y811" s="634"/>
      <c r="Z811" s="634"/>
    </row>
    <row r="812" ht="15.75" customHeight="1">
      <c r="A812" s="634"/>
      <c r="B812" s="634"/>
      <c r="C812" s="634"/>
      <c r="D812" s="634"/>
      <c r="E812" s="634"/>
      <c r="F812" s="635"/>
      <c r="G812" s="634"/>
      <c r="H812" s="636"/>
      <c r="I812" s="635"/>
      <c r="J812" s="635"/>
      <c r="K812" s="635"/>
      <c r="L812" s="635"/>
      <c r="M812" s="635"/>
      <c r="N812" s="788"/>
      <c r="O812" s="788"/>
      <c r="P812" s="650"/>
      <c r="Q812" s="789"/>
      <c r="R812" s="634"/>
      <c r="S812" s="634"/>
      <c r="T812" s="634"/>
      <c r="U812" s="634"/>
      <c r="V812" s="634"/>
      <c r="W812" s="634"/>
      <c r="X812" s="634"/>
      <c r="Y812" s="634"/>
      <c r="Z812" s="634"/>
    </row>
    <row r="813" ht="15.75" customHeight="1">
      <c r="A813" s="634"/>
      <c r="B813" s="634"/>
      <c r="C813" s="634"/>
      <c r="D813" s="634"/>
      <c r="E813" s="634"/>
      <c r="F813" s="635"/>
      <c r="G813" s="634"/>
      <c r="H813" s="636"/>
      <c r="I813" s="635"/>
      <c r="J813" s="635"/>
      <c r="K813" s="635"/>
      <c r="L813" s="635"/>
      <c r="M813" s="635"/>
      <c r="N813" s="788"/>
      <c r="O813" s="788"/>
      <c r="P813" s="650"/>
      <c r="Q813" s="789"/>
      <c r="R813" s="634"/>
      <c r="S813" s="634"/>
      <c r="T813" s="634"/>
      <c r="U813" s="634"/>
      <c r="V813" s="634"/>
      <c r="W813" s="634"/>
      <c r="X813" s="634"/>
      <c r="Y813" s="634"/>
      <c r="Z813" s="634"/>
    </row>
    <row r="814" ht="15.75" customHeight="1">
      <c r="A814" s="634"/>
      <c r="B814" s="634"/>
      <c r="C814" s="634"/>
      <c r="D814" s="634"/>
      <c r="E814" s="634"/>
      <c r="F814" s="635"/>
      <c r="G814" s="634"/>
      <c r="H814" s="636"/>
      <c r="I814" s="635"/>
      <c r="J814" s="635"/>
      <c r="K814" s="635"/>
      <c r="L814" s="635"/>
      <c r="M814" s="635"/>
      <c r="N814" s="788"/>
      <c r="O814" s="788"/>
      <c r="P814" s="650"/>
      <c r="Q814" s="789"/>
      <c r="R814" s="634"/>
      <c r="S814" s="634"/>
      <c r="T814" s="634"/>
      <c r="U814" s="634"/>
      <c r="V814" s="634"/>
      <c r="W814" s="634"/>
      <c r="X814" s="634"/>
      <c r="Y814" s="634"/>
      <c r="Z814" s="634"/>
    </row>
    <row r="815" ht="15.75" customHeight="1">
      <c r="A815" s="634"/>
      <c r="B815" s="634"/>
      <c r="C815" s="634"/>
      <c r="D815" s="634"/>
      <c r="E815" s="634"/>
      <c r="F815" s="635"/>
      <c r="G815" s="634"/>
      <c r="H815" s="636"/>
      <c r="I815" s="635"/>
      <c r="J815" s="635"/>
      <c r="K815" s="635"/>
      <c r="L815" s="635"/>
      <c r="M815" s="635"/>
      <c r="N815" s="788"/>
      <c r="O815" s="788"/>
      <c r="P815" s="650"/>
      <c r="Q815" s="789"/>
      <c r="R815" s="634"/>
      <c r="S815" s="634"/>
      <c r="T815" s="634"/>
      <c r="U815" s="634"/>
      <c r="V815" s="634"/>
      <c r="W815" s="634"/>
      <c r="X815" s="634"/>
      <c r="Y815" s="634"/>
      <c r="Z815" s="634"/>
    </row>
    <row r="816" ht="15.75" customHeight="1">
      <c r="A816" s="634"/>
      <c r="B816" s="634"/>
      <c r="C816" s="634"/>
      <c r="D816" s="634"/>
      <c r="E816" s="634"/>
      <c r="F816" s="635"/>
      <c r="G816" s="634"/>
      <c r="H816" s="636"/>
      <c r="I816" s="635"/>
      <c r="J816" s="635"/>
      <c r="K816" s="635"/>
      <c r="L816" s="635"/>
      <c r="M816" s="635"/>
      <c r="N816" s="788"/>
      <c r="O816" s="788"/>
      <c r="P816" s="650"/>
      <c r="Q816" s="789"/>
      <c r="R816" s="634"/>
      <c r="S816" s="634"/>
      <c r="T816" s="634"/>
      <c r="U816" s="634"/>
      <c r="V816" s="634"/>
      <c r="W816" s="634"/>
      <c r="X816" s="634"/>
      <c r="Y816" s="634"/>
      <c r="Z816" s="634"/>
    </row>
    <row r="817" ht="15.75" customHeight="1">
      <c r="A817" s="634"/>
      <c r="B817" s="634"/>
      <c r="C817" s="634"/>
      <c r="D817" s="634"/>
      <c r="E817" s="634"/>
      <c r="F817" s="635"/>
      <c r="G817" s="634"/>
      <c r="H817" s="636"/>
      <c r="I817" s="635"/>
      <c r="J817" s="635"/>
      <c r="K817" s="635"/>
      <c r="L817" s="635"/>
      <c r="M817" s="635"/>
      <c r="N817" s="788"/>
      <c r="O817" s="788"/>
      <c r="P817" s="650"/>
      <c r="Q817" s="789"/>
      <c r="R817" s="634"/>
      <c r="S817" s="634"/>
      <c r="T817" s="634"/>
      <c r="U817" s="634"/>
      <c r="V817" s="634"/>
      <c r="W817" s="634"/>
      <c r="X817" s="634"/>
      <c r="Y817" s="634"/>
      <c r="Z817" s="634"/>
    </row>
    <row r="818" ht="15.75" customHeight="1">
      <c r="A818" s="634"/>
      <c r="B818" s="634"/>
      <c r="C818" s="634"/>
      <c r="D818" s="634"/>
      <c r="E818" s="634"/>
      <c r="F818" s="635"/>
      <c r="G818" s="634"/>
      <c r="H818" s="636"/>
      <c r="I818" s="635"/>
      <c r="J818" s="635"/>
      <c r="K818" s="635"/>
      <c r="L818" s="635"/>
      <c r="M818" s="635"/>
      <c r="N818" s="788"/>
      <c r="O818" s="788"/>
      <c r="P818" s="650"/>
      <c r="Q818" s="789"/>
      <c r="R818" s="634"/>
      <c r="S818" s="634"/>
      <c r="T818" s="634"/>
      <c r="U818" s="634"/>
      <c r="V818" s="634"/>
      <c r="W818" s="634"/>
      <c r="X818" s="634"/>
      <c r="Y818" s="634"/>
      <c r="Z818" s="634"/>
    </row>
    <row r="819" ht="15.75" customHeight="1">
      <c r="A819" s="634"/>
      <c r="B819" s="634"/>
      <c r="C819" s="634"/>
      <c r="D819" s="634"/>
      <c r="E819" s="634"/>
      <c r="F819" s="635"/>
      <c r="G819" s="634"/>
      <c r="H819" s="636"/>
      <c r="I819" s="635"/>
      <c r="J819" s="635"/>
      <c r="K819" s="635"/>
      <c r="L819" s="635"/>
      <c r="M819" s="635"/>
      <c r="N819" s="788"/>
      <c r="O819" s="788"/>
      <c r="P819" s="650"/>
      <c r="Q819" s="789"/>
      <c r="R819" s="634"/>
      <c r="S819" s="634"/>
      <c r="T819" s="634"/>
      <c r="U819" s="634"/>
      <c r="V819" s="634"/>
      <c r="W819" s="634"/>
      <c r="X819" s="634"/>
      <c r="Y819" s="634"/>
      <c r="Z819" s="634"/>
    </row>
    <row r="820" ht="15.75" customHeight="1">
      <c r="A820" s="634"/>
      <c r="B820" s="634"/>
      <c r="C820" s="634"/>
      <c r="D820" s="634"/>
      <c r="E820" s="634"/>
      <c r="F820" s="635"/>
      <c r="G820" s="634"/>
      <c r="H820" s="636"/>
      <c r="I820" s="635"/>
      <c r="J820" s="635"/>
      <c r="K820" s="635"/>
      <c r="L820" s="635"/>
      <c r="M820" s="635"/>
      <c r="N820" s="788"/>
      <c r="O820" s="788"/>
      <c r="P820" s="650"/>
      <c r="Q820" s="789"/>
      <c r="R820" s="634"/>
      <c r="S820" s="634"/>
      <c r="T820" s="634"/>
      <c r="U820" s="634"/>
      <c r="V820" s="634"/>
      <c r="W820" s="634"/>
      <c r="X820" s="634"/>
      <c r="Y820" s="634"/>
      <c r="Z820" s="634"/>
    </row>
    <row r="821" ht="15.75" customHeight="1">
      <c r="A821" s="634"/>
      <c r="B821" s="634"/>
      <c r="C821" s="634"/>
      <c r="D821" s="634"/>
      <c r="E821" s="634"/>
      <c r="F821" s="635"/>
      <c r="G821" s="634"/>
      <c r="H821" s="636"/>
      <c r="I821" s="635"/>
      <c r="J821" s="635"/>
      <c r="K821" s="635"/>
      <c r="L821" s="635"/>
      <c r="M821" s="635"/>
      <c r="N821" s="788"/>
      <c r="O821" s="788"/>
      <c r="P821" s="650"/>
      <c r="Q821" s="789"/>
      <c r="R821" s="634"/>
      <c r="S821" s="634"/>
      <c r="T821" s="634"/>
      <c r="U821" s="634"/>
      <c r="V821" s="634"/>
      <c r="W821" s="634"/>
      <c r="X821" s="634"/>
      <c r="Y821" s="634"/>
      <c r="Z821" s="634"/>
    </row>
    <row r="822" ht="15.75" customHeight="1">
      <c r="A822" s="634"/>
      <c r="B822" s="634"/>
      <c r="C822" s="634"/>
      <c r="D822" s="634"/>
      <c r="E822" s="634"/>
      <c r="F822" s="635"/>
      <c r="G822" s="634"/>
      <c r="H822" s="636"/>
      <c r="I822" s="635"/>
      <c r="J822" s="635"/>
      <c r="K822" s="635"/>
      <c r="L822" s="635"/>
      <c r="M822" s="635"/>
      <c r="N822" s="788"/>
      <c r="O822" s="788"/>
      <c r="P822" s="650"/>
      <c r="Q822" s="789"/>
      <c r="R822" s="634"/>
      <c r="S822" s="634"/>
      <c r="T822" s="634"/>
      <c r="U822" s="634"/>
      <c r="V822" s="634"/>
      <c r="W822" s="634"/>
      <c r="X822" s="634"/>
      <c r="Y822" s="634"/>
      <c r="Z822" s="634"/>
    </row>
    <row r="823" ht="15.75" customHeight="1">
      <c r="A823" s="634"/>
      <c r="B823" s="634"/>
      <c r="C823" s="634"/>
      <c r="D823" s="634"/>
      <c r="E823" s="634"/>
      <c r="F823" s="635"/>
      <c r="G823" s="634"/>
      <c r="H823" s="636"/>
      <c r="I823" s="635"/>
      <c r="J823" s="635"/>
      <c r="K823" s="635"/>
      <c r="L823" s="635"/>
      <c r="M823" s="635"/>
      <c r="N823" s="788"/>
      <c r="O823" s="788"/>
      <c r="P823" s="650"/>
      <c r="Q823" s="789"/>
      <c r="R823" s="634"/>
      <c r="S823" s="634"/>
      <c r="T823" s="634"/>
      <c r="U823" s="634"/>
      <c r="V823" s="634"/>
      <c r="W823" s="634"/>
      <c r="X823" s="634"/>
      <c r="Y823" s="634"/>
      <c r="Z823" s="634"/>
    </row>
    <row r="824" ht="15.75" customHeight="1">
      <c r="A824" s="634"/>
      <c r="B824" s="634"/>
      <c r="C824" s="634"/>
      <c r="D824" s="634"/>
      <c r="E824" s="634"/>
      <c r="F824" s="635"/>
      <c r="G824" s="634"/>
      <c r="H824" s="636"/>
      <c r="I824" s="635"/>
      <c r="J824" s="635"/>
      <c r="K824" s="635"/>
      <c r="L824" s="635"/>
      <c r="M824" s="635"/>
      <c r="N824" s="788"/>
      <c r="O824" s="788"/>
      <c r="P824" s="650"/>
      <c r="Q824" s="789"/>
      <c r="R824" s="634"/>
      <c r="S824" s="634"/>
      <c r="T824" s="634"/>
      <c r="U824" s="634"/>
      <c r="V824" s="634"/>
      <c r="W824" s="634"/>
      <c r="X824" s="634"/>
      <c r="Y824" s="634"/>
      <c r="Z824" s="634"/>
    </row>
    <row r="825" ht="15.75" customHeight="1">
      <c r="A825" s="634"/>
      <c r="B825" s="634"/>
      <c r="C825" s="634"/>
      <c r="D825" s="634"/>
      <c r="E825" s="634"/>
      <c r="F825" s="635"/>
      <c r="G825" s="634"/>
      <c r="H825" s="636"/>
      <c r="I825" s="635"/>
      <c r="J825" s="635"/>
      <c r="K825" s="635"/>
      <c r="L825" s="635"/>
      <c r="M825" s="635"/>
      <c r="N825" s="788"/>
      <c r="O825" s="788"/>
      <c r="P825" s="650"/>
      <c r="Q825" s="789"/>
      <c r="R825" s="634"/>
      <c r="S825" s="634"/>
      <c r="T825" s="634"/>
      <c r="U825" s="634"/>
      <c r="V825" s="634"/>
      <c r="W825" s="634"/>
      <c r="X825" s="634"/>
      <c r="Y825" s="634"/>
      <c r="Z825" s="634"/>
    </row>
    <row r="826" ht="15.75" customHeight="1">
      <c r="A826" s="634"/>
      <c r="B826" s="634"/>
      <c r="C826" s="634"/>
      <c r="D826" s="634"/>
      <c r="E826" s="634"/>
      <c r="F826" s="635"/>
      <c r="G826" s="634"/>
      <c r="H826" s="636"/>
      <c r="I826" s="635"/>
      <c r="J826" s="635"/>
      <c r="K826" s="635"/>
      <c r="L826" s="635"/>
      <c r="M826" s="635"/>
      <c r="N826" s="788"/>
      <c r="O826" s="788"/>
      <c r="P826" s="650"/>
      <c r="Q826" s="789"/>
      <c r="R826" s="634"/>
      <c r="S826" s="634"/>
      <c r="T826" s="634"/>
      <c r="U826" s="634"/>
      <c r="V826" s="634"/>
      <c r="W826" s="634"/>
      <c r="X826" s="634"/>
      <c r="Y826" s="634"/>
      <c r="Z826" s="634"/>
    </row>
    <row r="827" ht="15.75" customHeight="1">
      <c r="A827" s="634"/>
      <c r="B827" s="634"/>
      <c r="C827" s="634"/>
      <c r="D827" s="634"/>
      <c r="E827" s="634"/>
      <c r="F827" s="635"/>
      <c r="G827" s="634"/>
      <c r="H827" s="636"/>
      <c r="I827" s="635"/>
      <c r="J827" s="635"/>
      <c r="K827" s="635"/>
      <c r="L827" s="635"/>
      <c r="M827" s="635"/>
      <c r="N827" s="788"/>
      <c r="O827" s="788"/>
      <c r="P827" s="650"/>
      <c r="Q827" s="789"/>
      <c r="R827" s="634"/>
      <c r="S827" s="634"/>
      <c r="T827" s="634"/>
      <c r="U827" s="634"/>
      <c r="V827" s="634"/>
      <c r="W827" s="634"/>
      <c r="X827" s="634"/>
      <c r="Y827" s="634"/>
      <c r="Z827" s="634"/>
    </row>
    <row r="828" ht="15.75" customHeight="1">
      <c r="A828" s="634"/>
      <c r="B828" s="634"/>
      <c r="C828" s="634"/>
      <c r="D828" s="634"/>
      <c r="E828" s="634"/>
      <c r="F828" s="635"/>
      <c r="G828" s="634"/>
      <c r="H828" s="636"/>
      <c r="I828" s="635"/>
      <c r="J828" s="635"/>
      <c r="K828" s="635"/>
      <c r="L828" s="635"/>
      <c r="M828" s="635"/>
      <c r="N828" s="788"/>
      <c r="O828" s="788"/>
      <c r="P828" s="650"/>
      <c r="Q828" s="789"/>
      <c r="R828" s="634"/>
      <c r="S828" s="634"/>
      <c r="T828" s="634"/>
      <c r="U828" s="634"/>
      <c r="V828" s="634"/>
      <c r="W828" s="634"/>
      <c r="X828" s="634"/>
      <c r="Y828" s="634"/>
      <c r="Z828" s="634"/>
    </row>
    <row r="829" ht="15.75" customHeight="1">
      <c r="A829" s="634"/>
      <c r="B829" s="634"/>
      <c r="C829" s="634"/>
      <c r="D829" s="634"/>
      <c r="E829" s="634"/>
      <c r="F829" s="635"/>
      <c r="G829" s="634"/>
      <c r="H829" s="636"/>
      <c r="I829" s="635"/>
      <c r="J829" s="635"/>
      <c r="K829" s="635"/>
      <c r="L829" s="635"/>
      <c r="M829" s="635"/>
      <c r="N829" s="788"/>
      <c r="O829" s="788"/>
      <c r="P829" s="650"/>
      <c r="Q829" s="789"/>
      <c r="R829" s="634"/>
      <c r="S829" s="634"/>
      <c r="T829" s="634"/>
      <c r="U829" s="634"/>
      <c r="V829" s="634"/>
      <c r="W829" s="634"/>
      <c r="X829" s="634"/>
      <c r="Y829" s="634"/>
      <c r="Z829" s="634"/>
    </row>
    <row r="830" ht="15.75" customHeight="1">
      <c r="A830" s="634"/>
      <c r="B830" s="634"/>
      <c r="C830" s="634"/>
      <c r="D830" s="634"/>
      <c r="E830" s="634"/>
      <c r="F830" s="635"/>
      <c r="G830" s="634"/>
      <c r="H830" s="636"/>
      <c r="I830" s="635"/>
      <c r="J830" s="635"/>
      <c r="K830" s="635"/>
      <c r="L830" s="635"/>
      <c r="M830" s="635"/>
      <c r="N830" s="788"/>
      <c r="O830" s="788"/>
      <c r="P830" s="650"/>
      <c r="Q830" s="789"/>
      <c r="R830" s="634"/>
      <c r="S830" s="634"/>
      <c r="T830" s="634"/>
      <c r="U830" s="634"/>
      <c r="V830" s="634"/>
      <c r="W830" s="634"/>
      <c r="X830" s="634"/>
      <c r="Y830" s="634"/>
      <c r="Z830" s="634"/>
    </row>
    <row r="831" ht="15.75" customHeight="1">
      <c r="A831" s="634"/>
      <c r="B831" s="634"/>
      <c r="C831" s="634"/>
      <c r="D831" s="634"/>
      <c r="E831" s="634"/>
      <c r="F831" s="635"/>
      <c r="G831" s="634"/>
      <c r="H831" s="636"/>
      <c r="I831" s="635"/>
      <c r="J831" s="635"/>
      <c r="K831" s="635"/>
      <c r="L831" s="635"/>
      <c r="M831" s="635"/>
      <c r="N831" s="788"/>
      <c r="O831" s="788"/>
      <c r="P831" s="650"/>
      <c r="Q831" s="789"/>
      <c r="R831" s="634"/>
      <c r="S831" s="634"/>
      <c r="T831" s="634"/>
      <c r="U831" s="634"/>
      <c r="V831" s="634"/>
      <c r="W831" s="634"/>
      <c r="X831" s="634"/>
      <c r="Y831" s="634"/>
      <c r="Z831" s="634"/>
    </row>
    <row r="832" ht="15.75" customHeight="1">
      <c r="A832" s="634"/>
      <c r="B832" s="634"/>
      <c r="C832" s="634"/>
      <c r="D832" s="634"/>
      <c r="E832" s="634"/>
      <c r="F832" s="635"/>
      <c r="G832" s="634"/>
      <c r="H832" s="636"/>
      <c r="I832" s="635"/>
      <c r="J832" s="635"/>
      <c r="K832" s="635"/>
      <c r="L832" s="635"/>
      <c r="M832" s="635"/>
      <c r="N832" s="788"/>
      <c r="O832" s="788"/>
      <c r="P832" s="650"/>
      <c r="Q832" s="789"/>
      <c r="R832" s="634"/>
      <c r="S832" s="634"/>
      <c r="T832" s="634"/>
      <c r="U832" s="634"/>
      <c r="V832" s="634"/>
      <c r="W832" s="634"/>
      <c r="X832" s="634"/>
      <c r="Y832" s="634"/>
      <c r="Z832" s="634"/>
    </row>
    <row r="833" ht="15.75" customHeight="1">
      <c r="A833" s="634"/>
      <c r="B833" s="634"/>
      <c r="C833" s="634"/>
      <c r="D833" s="634"/>
      <c r="E833" s="634"/>
      <c r="F833" s="635"/>
      <c r="G833" s="634"/>
      <c r="H833" s="636"/>
      <c r="I833" s="635"/>
      <c r="J833" s="635"/>
      <c r="K833" s="635"/>
      <c r="L833" s="635"/>
      <c r="M833" s="635"/>
      <c r="N833" s="788"/>
      <c r="O833" s="788"/>
      <c r="P833" s="650"/>
      <c r="Q833" s="789"/>
      <c r="R833" s="634"/>
      <c r="S833" s="634"/>
      <c r="T833" s="634"/>
      <c r="U833" s="634"/>
      <c r="V833" s="634"/>
      <c r="W833" s="634"/>
      <c r="X833" s="634"/>
      <c r="Y833" s="634"/>
      <c r="Z833" s="634"/>
    </row>
    <row r="834" ht="15.75" customHeight="1">
      <c r="A834" s="634"/>
      <c r="B834" s="634"/>
      <c r="C834" s="634"/>
      <c r="D834" s="634"/>
      <c r="E834" s="634"/>
      <c r="F834" s="635"/>
      <c r="G834" s="634"/>
      <c r="H834" s="636"/>
      <c r="I834" s="635"/>
      <c r="J834" s="635"/>
      <c r="K834" s="635"/>
      <c r="L834" s="635"/>
      <c r="M834" s="635"/>
      <c r="N834" s="788"/>
      <c r="O834" s="788"/>
      <c r="P834" s="650"/>
      <c r="Q834" s="789"/>
      <c r="R834" s="634"/>
      <c r="S834" s="634"/>
      <c r="T834" s="634"/>
      <c r="U834" s="634"/>
      <c r="V834" s="634"/>
      <c r="W834" s="634"/>
      <c r="X834" s="634"/>
      <c r="Y834" s="634"/>
      <c r="Z834" s="634"/>
    </row>
    <row r="835" ht="15.75" customHeight="1">
      <c r="A835" s="634"/>
      <c r="B835" s="634"/>
      <c r="C835" s="634"/>
      <c r="D835" s="634"/>
      <c r="E835" s="634"/>
      <c r="F835" s="635"/>
      <c r="G835" s="634"/>
      <c r="H835" s="636"/>
      <c r="I835" s="635"/>
      <c r="J835" s="635"/>
      <c r="K835" s="635"/>
      <c r="L835" s="635"/>
      <c r="M835" s="635"/>
      <c r="N835" s="788"/>
      <c r="O835" s="788"/>
      <c r="P835" s="650"/>
      <c r="Q835" s="789"/>
      <c r="R835" s="634"/>
      <c r="S835" s="634"/>
      <c r="T835" s="634"/>
      <c r="U835" s="634"/>
      <c r="V835" s="634"/>
      <c r="W835" s="634"/>
      <c r="X835" s="634"/>
      <c r="Y835" s="634"/>
      <c r="Z835" s="634"/>
    </row>
    <row r="836" ht="15.75" customHeight="1">
      <c r="A836" s="634"/>
      <c r="B836" s="634"/>
      <c r="C836" s="634"/>
      <c r="D836" s="634"/>
      <c r="E836" s="634"/>
      <c r="F836" s="635"/>
      <c r="G836" s="634"/>
      <c r="H836" s="636"/>
      <c r="I836" s="635"/>
      <c r="J836" s="635"/>
      <c r="K836" s="635"/>
      <c r="L836" s="635"/>
      <c r="M836" s="635"/>
      <c r="N836" s="788"/>
      <c r="O836" s="788"/>
      <c r="P836" s="650"/>
      <c r="Q836" s="789"/>
      <c r="R836" s="634"/>
      <c r="S836" s="634"/>
      <c r="T836" s="634"/>
      <c r="U836" s="634"/>
      <c r="V836" s="634"/>
      <c r="W836" s="634"/>
      <c r="X836" s="634"/>
      <c r="Y836" s="634"/>
      <c r="Z836" s="634"/>
    </row>
    <row r="837" ht="15.75" customHeight="1">
      <c r="A837" s="634"/>
      <c r="B837" s="634"/>
      <c r="C837" s="634"/>
      <c r="D837" s="634"/>
      <c r="E837" s="634"/>
      <c r="F837" s="635"/>
      <c r="G837" s="634"/>
      <c r="H837" s="636"/>
      <c r="I837" s="635"/>
      <c r="J837" s="635"/>
      <c r="K837" s="635"/>
      <c r="L837" s="635"/>
      <c r="M837" s="635"/>
      <c r="N837" s="788"/>
      <c r="O837" s="788"/>
      <c r="P837" s="650"/>
      <c r="Q837" s="789"/>
      <c r="R837" s="634"/>
      <c r="S837" s="634"/>
      <c r="T837" s="634"/>
      <c r="U837" s="634"/>
      <c r="V837" s="634"/>
      <c r="W837" s="634"/>
      <c r="X837" s="634"/>
      <c r="Y837" s="634"/>
      <c r="Z837" s="634"/>
    </row>
    <row r="838" ht="15.75" customHeight="1">
      <c r="A838" s="634"/>
      <c r="B838" s="634"/>
      <c r="C838" s="634"/>
      <c r="D838" s="634"/>
      <c r="E838" s="634"/>
      <c r="F838" s="635"/>
      <c r="G838" s="634"/>
      <c r="H838" s="636"/>
      <c r="I838" s="635"/>
      <c r="J838" s="635"/>
      <c r="K838" s="635"/>
      <c r="L838" s="635"/>
      <c r="M838" s="635"/>
      <c r="N838" s="788"/>
      <c r="O838" s="788"/>
      <c r="P838" s="650"/>
      <c r="Q838" s="789"/>
      <c r="R838" s="634"/>
      <c r="S838" s="634"/>
      <c r="T838" s="634"/>
      <c r="U838" s="634"/>
      <c r="V838" s="634"/>
      <c r="W838" s="634"/>
      <c r="X838" s="634"/>
      <c r="Y838" s="634"/>
      <c r="Z838" s="634"/>
    </row>
    <row r="839" ht="15.75" customHeight="1">
      <c r="A839" s="634"/>
      <c r="B839" s="634"/>
      <c r="C839" s="634"/>
      <c r="D839" s="634"/>
      <c r="E839" s="634"/>
      <c r="F839" s="635"/>
      <c r="G839" s="634"/>
      <c r="H839" s="636"/>
      <c r="I839" s="635"/>
      <c r="J839" s="635"/>
      <c r="K839" s="635"/>
      <c r="L839" s="635"/>
      <c r="M839" s="635"/>
      <c r="N839" s="788"/>
      <c r="O839" s="788"/>
      <c r="P839" s="650"/>
      <c r="Q839" s="789"/>
      <c r="R839" s="634"/>
      <c r="S839" s="634"/>
      <c r="T839" s="634"/>
      <c r="U839" s="634"/>
      <c r="V839" s="634"/>
      <c r="W839" s="634"/>
      <c r="X839" s="634"/>
      <c r="Y839" s="634"/>
      <c r="Z839" s="634"/>
    </row>
    <row r="840" ht="15.75" customHeight="1">
      <c r="A840" s="634"/>
      <c r="B840" s="634"/>
      <c r="C840" s="634"/>
      <c r="D840" s="634"/>
      <c r="E840" s="634"/>
      <c r="F840" s="635"/>
      <c r="G840" s="634"/>
      <c r="H840" s="636"/>
      <c r="I840" s="635"/>
      <c r="J840" s="635"/>
      <c r="K840" s="635"/>
      <c r="L840" s="635"/>
      <c r="M840" s="635"/>
      <c r="N840" s="788"/>
      <c r="O840" s="788"/>
      <c r="P840" s="650"/>
      <c r="Q840" s="789"/>
      <c r="R840" s="634"/>
      <c r="S840" s="634"/>
      <c r="T840" s="634"/>
      <c r="U840" s="634"/>
      <c r="V840" s="634"/>
      <c r="W840" s="634"/>
      <c r="X840" s="634"/>
      <c r="Y840" s="634"/>
      <c r="Z840" s="634"/>
    </row>
    <row r="841" ht="15.75" customHeight="1">
      <c r="A841" s="634"/>
      <c r="B841" s="634"/>
      <c r="C841" s="634"/>
      <c r="D841" s="634"/>
      <c r="E841" s="634"/>
      <c r="F841" s="635"/>
      <c r="G841" s="634"/>
      <c r="H841" s="636"/>
      <c r="I841" s="635"/>
      <c r="J841" s="635"/>
      <c r="K841" s="635"/>
      <c r="L841" s="635"/>
      <c r="M841" s="635"/>
      <c r="N841" s="788"/>
      <c r="O841" s="788"/>
      <c r="P841" s="650"/>
      <c r="Q841" s="789"/>
      <c r="R841" s="634"/>
      <c r="S841" s="634"/>
      <c r="T841" s="634"/>
      <c r="U841" s="634"/>
      <c r="V841" s="634"/>
      <c r="W841" s="634"/>
      <c r="X841" s="634"/>
      <c r="Y841" s="634"/>
      <c r="Z841" s="634"/>
    </row>
    <row r="842" ht="15.75" customHeight="1">
      <c r="A842" s="634"/>
      <c r="B842" s="634"/>
      <c r="C842" s="634"/>
      <c r="D842" s="634"/>
      <c r="E842" s="634"/>
      <c r="F842" s="635"/>
      <c r="G842" s="634"/>
      <c r="H842" s="636"/>
      <c r="I842" s="635"/>
      <c r="J842" s="635"/>
      <c r="K842" s="635"/>
      <c r="L842" s="635"/>
      <c r="M842" s="635"/>
      <c r="N842" s="788"/>
      <c r="O842" s="788"/>
      <c r="P842" s="650"/>
      <c r="Q842" s="789"/>
      <c r="R842" s="634"/>
      <c r="S842" s="634"/>
      <c r="T842" s="634"/>
      <c r="U842" s="634"/>
      <c r="V842" s="634"/>
      <c r="W842" s="634"/>
      <c r="X842" s="634"/>
      <c r="Y842" s="634"/>
      <c r="Z842" s="634"/>
    </row>
    <row r="843" ht="15.75" customHeight="1">
      <c r="A843" s="634"/>
      <c r="B843" s="634"/>
      <c r="C843" s="634"/>
      <c r="D843" s="634"/>
      <c r="E843" s="634"/>
      <c r="F843" s="635"/>
      <c r="G843" s="634"/>
      <c r="H843" s="636"/>
      <c r="I843" s="635"/>
      <c r="J843" s="635"/>
      <c r="K843" s="635"/>
      <c r="L843" s="635"/>
      <c r="M843" s="635"/>
      <c r="N843" s="788"/>
      <c r="O843" s="788"/>
      <c r="P843" s="650"/>
      <c r="Q843" s="789"/>
      <c r="R843" s="634"/>
      <c r="S843" s="634"/>
      <c r="T843" s="634"/>
      <c r="U843" s="634"/>
      <c r="V843" s="634"/>
      <c r="W843" s="634"/>
      <c r="X843" s="634"/>
      <c r="Y843" s="634"/>
      <c r="Z843" s="634"/>
    </row>
    <row r="844" ht="15.75" customHeight="1">
      <c r="A844" s="634"/>
      <c r="B844" s="634"/>
      <c r="C844" s="634"/>
      <c r="D844" s="634"/>
      <c r="E844" s="634"/>
      <c r="F844" s="635"/>
      <c r="G844" s="634"/>
      <c r="H844" s="636"/>
      <c r="I844" s="635"/>
      <c r="J844" s="635"/>
      <c r="K844" s="635"/>
      <c r="L844" s="635"/>
      <c r="M844" s="635"/>
      <c r="N844" s="788"/>
      <c r="O844" s="788"/>
      <c r="P844" s="650"/>
      <c r="Q844" s="789"/>
      <c r="R844" s="634"/>
      <c r="S844" s="634"/>
      <c r="T844" s="634"/>
      <c r="U844" s="634"/>
      <c r="V844" s="634"/>
      <c r="W844" s="634"/>
      <c r="X844" s="634"/>
      <c r="Y844" s="634"/>
      <c r="Z844" s="634"/>
    </row>
    <row r="845" ht="15.75" customHeight="1">
      <c r="A845" s="634"/>
      <c r="B845" s="634"/>
      <c r="C845" s="634"/>
      <c r="D845" s="634"/>
      <c r="E845" s="634"/>
      <c r="F845" s="635"/>
      <c r="G845" s="634"/>
      <c r="H845" s="636"/>
      <c r="I845" s="635"/>
      <c r="J845" s="635"/>
      <c r="K845" s="635"/>
      <c r="L845" s="635"/>
      <c r="M845" s="635"/>
      <c r="N845" s="788"/>
      <c r="O845" s="788"/>
      <c r="P845" s="650"/>
      <c r="Q845" s="789"/>
      <c r="R845" s="634"/>
      <c r="S845" s="634"/>
      <c r="T845" s="634"/>
      <c r="U845" s="634"/>
      <c r="V845" s="634"/>
      <c r="W845" s="634"/>
      <c r="X845" s="634"/>
      <c r="Y845" s="634"/>
      <c r="Z845" s="634"/>
    </row>
    <row r="846" ht="15.75" customHeight="1">
      <c r="A846" s="634"/>
      <c r="B846" s="634"/>
      <c r="C846" s="634"/>
      <c r="D846" s="634"/>
      <c r="E846" s="634"/>
      <c r="F846" s="635"/>
      <c r="G846" s="634"/>
      <c r="H846" s="636"/>
      <c r="I846" s="635"/>
      <c r="J846" s="635"/>
      <c r="K846" s="635"/>
      <c r="L846" s="635"/>
      <c r="M846" s="635"/>
      <c r="N846" s="788"/>
      <c r="O846" s="788"/>
      <c r="P846" s="650"/>
      <c r="Q846" s="789"/>
      <c r="R846" s="634"/>
      <c r="S846" s="634"/>
      <c r="T846" s="634"/>
      <c r="U846" s="634"/>
      <c r="V846" s="634"/>
      <c r="W846" s="634"/>
      <c r="X846" s="634"/>
      <c r="Y846" s="634"/>
      <c r="Z846" s="634"/>
    </row>
    <row r="847" ht="15.75" customHeight="1">
      <c r="A847" s="634"/>
      <c r="B847" s="634"/>
      <c r="C847" s="634"/>
      <c r="D847" s="634"/>
      <c r="E847" s="634"/>
      <c r="F847" s="635"/>
      <c r="G847" s="634"/>
      <c r="H847" s="636"/>
      <c r="I847" s="635"/>
      <c r="J847" s="635"/>
      <c r="K847" s="635"/>
      <c r="L847" s="635"/>
      <c r="M847" s="635"/>
      <c r="N847" s="788"/>
      <c r="O847" s="788"/>
      <c r="P847" s="650"/>
      <c r="Q847" s="789"/>
      <c r="R847" s="634"/>
      <c r="S847" s="634"/>
      <c r="T847" s="634"/>
      <c r="U847" s="634"/>
      <c r="V847" s="634"/>
      <c r="W847" s="634"/>
      <c r="X847" s="634"/>
      <c r="Y847" s="634"/>
      <c r="Z847" s="634"/>
    </row>
    <row r="848" ht="15.75" customHeight="1">
      <c r="A848" s="634"/>
      <c r="B848" s="634"/>
      <c r="C848" s="634"/>
      <c r="D848" s="634"/>
      <c r="E848" s="634"/>
      <c r="F848" s="635"/>
      <c r="G848" s="634"/>
      <c r="H848" s="636"/>
      <c r="I848" s="635"/>
      <c r="J848" s="635"/>
      <c r="K848" s="635"/>
      <c r="L848" s="635"/>
      <c r="M848" s="635"/>
      <c r="N848" s="788"/>
      <c r="O848" s="788"/>
      <c r="P848" s="650"/>
      <c r="Q848" s="789"/>
      <c r="R848" s="634"/>
      <c r="S848" s="634"/>
      <c r="T848" s="634"/>
      <c r="U848" s="634"/>
      <c r="V848" s="634"/>
      <c r="W848" s="634"/>
      <c r="X848" s="634"/>
      <c r="Y848" s="634"/>
      <c r="Z848" s="634"/>
    </row>
    <row r="849" ht="15.75" customHeight="1">
      <c r="A849" s="634"/>
      <c r="B849" s="634"/>
      <c r="C849" s="634"/>
      <c r="D849" s="634"/>
      <c r="E849" s="634"/>
      <c r="F849" s="635"/>
      <c r="G849" s="634"/>
      <c r="H849" s="636"/>
      <c r="I849" s="635"/>
      <c r="J849" s="635"/>
      <c r="K849" s="635"/>
      <c r="L849" s="635"/>
      <c r="M849" s="635"/>
      <c r="N849" s="788"/>
      <c r="O849" s="788"/>
      <c r="P849" s="650"/>
      <c r="Q849" s="789"/>
      <c r="R849" s="634"/>
      <c r="S849" s="634"/>
      <c r="T849" s="634"/>
      <c r="U849" s="634"/>
      <c r="V849" s="634"/>
      <c r="W849" s="634"/>
      <c r="X849" s="634"/>
      <c r="Y849" s="634"/>
      <c r="Z849" s="634"/>
    </row>
    <row r="850" ht="15.75" customHeight="1">
      <c r="A850" s="634"/>
      <c r="B850" s="634"/>
      <c r="C850" s="634"/>
      <c r="D850" s="634"/>
      <c r="E850" s="634"/>
      <c r="F850" s="635"/>
      <c r="G850" s="634"/>
      <c r="H850" s="636"/>
      <c r="I850" s="635"/>
      <c r="J850" s="635"/>
      <c r="K850" s="635"/>
      <c r="L850" s="635"/>
      <c r="M850" s="635"/>
      <c r="N850" s="788"/>
      <c r="O850" s="788"/>
      <c r="P850" s="650"/>
      <c r="Q850" s="789"/>
      <c r="R850" s="634"/>
      <c r="S850" s="634"/>
      <c r="T850" s="634"/>
      <c r="U850" s="634"/>
      <c r="V850" s="634"/>
      <c r="W850" s="634"/>
      <c r="X850" s="634"/>
      <c r="Y850" s="634"/>
      <c r="Z850" s="634"/>
    </row>
    <row r="851" ht="15.75" customHeight="1">
      <c r="A851" s="634"/>
      <c r="B851" s="634"/>
      <c r="C851" s="634"/>
      <c r="D851" s="634"/>
      <c r="E851" s="634"/>
      <c r="F851" s="635"/>
      <c r="G851" s="634"/>
      <c r="H851" s="636"/>
      <c r="I851" s="635"/>
      <c r="J851" s="635"/>
      <c r="K851" s="635"/>
      <c r="L851" s="635"/>
      <c r="M851" s="635"/>
      <c r="N851" s="788"/>
      <c r="O851" s="788"/>
      <c r="P851" s="650"/>
      <c r="Q851" s="789"/>
      <c r="R851" s="634"/>
      <c r="S851" s="634"/>
      <c r="T851" s="634"/>
      <c r="U851" s="634"/>
      <c r="V851" s="634"/>
      <c r="W851" s="634"/>
      <c r="X851" s="634"/>
      <c r="Y851" s="634"/>
      <c r="Z851" s="634"/>
    </row>
    <row r="852" ht="15.75" customHeight="1">
      <c r="A852" s="634"/>
      <c r="B852" s="634"/>
      <c r="C852" s="634"/>
      <c r="D852" s="634"/>
      <c r="E852" s="634"/>
      <c r="F852" s="635"/>
      <c r="G852" s="634"/>
      <c r="H852" s="636"/>
      <c r="I852" s="635"/>
      <c r="J852" s="635"/>
      <c r="K852" s="635"/>
      <c r="L852" s="635"/>
      <c r="M852" s="635"/>
      <c r="N852" s="788"/>
      <c r="O852" s="788"/>
      <c r="P852" s="650"/>
      <c r="Q852" s="789"/>
      <c r="R852" s="634"/>
      <c r="S852" s="634"/>
      <c r="T852" s="634"/>
      <c r="U852" s="634"/>
      <c r="V852" s="634"/>
      <c r="W852" s="634"/>
      <c r="X852" s="634"/>
      <c r="Y852" s="634"/>
      <c r="Z852" s="634"/>
    </row>
    <row r="853" ht="15.75" customHeight="1">
      <c r="A853" s="634"/>
      <c r="B853" s="634"/>
      <c r="C853" s="634"/>
      <c r="D853" s="634"/>
      <c r="E853" s="634"/>
      <c r="F853" s="635"/>
      <c r="G853" s="634"/>
      <c r="H853" s="636"/>
      <c r="I853" s="635"/>
      <c r="J853" s="635"/>
      <c r="K853" s="635"/>
      <c r="L853" s="635"/>
      <c r="M853" s="635"/>
      <c r="N853" s="788"/>
      <c r="O853" s="788"/>
      <c r="P853" s="650"/>
      <c r="Q853" s="789"/>
      <c r="R853" s="634"/>
      <c r="S853" s="634"/>
      <c r="T853" s="634"/>
      <c r="U853" s="634"/>
      <c r="V853" s="634"/>
      <c r="W853" s="634"/>
      <c r="X853" s="634"/>
      <c r="Y853" s="634"/>
      <c r="Z853" s="634"/>
    </row>
    <row r="854" ht="15.75" customHeight="1">
      <c r="A854" s="634"/>
      <c r="B854" s="634"/>
      <c r="C854" s="634"/>
      <c r="D854" s="634"/>
      <c r="E854" s="634"/>
      <c r="F854" s="635"/>
      <c r="G854" s="634"/>
      <c r="H854" s="636"/>
      <c r="I854" s="635"/>
      <c r="J854" s="635"/>
      <c r="K854" s="635"/>
      <c r="L854" s="635"/>
      <c r="M854" s="635"/>
      <c r="N854" s="788"/>
      <c r="O854" s="788"/>
      <c r="P854" s="650"/>
      <c r="Q854" s="789"/>
      <c r="R854" s="634"/>
      <c r="S854" s="634"/>
      <c r="T854" s="634"/>
      <c r="U854" s="634"/>
      <c r="V854" s="634"/>
      <c r="W854" s="634"/>
      <c r="X854" s="634"/>
      <c r="Y854" s="634"/>
      <c r="Z854" s="634"/>
    </row>
    <row r="855" ht="15.75" customHeight="1">
      <c r="A855" s="634"/>
      <c r="B855" s="634"/>
      <c r="C855" s="634"/>
      <c r="D855" s="634"/>
      <c r="E855" s="634"/>
      <c r="F855" s="635"/>
      <c r="G855" s="634"/>
      <c r="H855" s="636"/>
      <c r="I855" s="635"/>
      <c r="J855" s="635"/>
      <c r="K855" s="635"/>
      <c r="L855" s="635"/>
      <c r="M855" s="635"/>
      <c r="N855" s="788"/>
      <c r="O855" s="788"/>
      <c r="P855" s="650"/>
      <c r="Q855" s="789"/>
      <c r="R855" s="634"/>
      <c r="S855" s="634"/>
      <c r="T855" s="634"/>
      <c r="U855" s="634"/>
      <c r="V855" s="634"/>
      <c r="W855" s="634"/>
      <c r="X855" s="634"/>
      <c r="Y855" s="634"/>
      <c r="Z855" s="634"/>
    </row>
    <row r="856" ht="15.75" customHeight="1">
      <c r="A856" s="634"/>
      <c r="B856" s="634"/>
      <c r="C856" s="634"/>
      <c r="D856" s="634"/>
      <c r="E856" s="634"/>
      <c r="F856" s="635"/>
      <c r="G856" s="634"/>
      <c r="H856" s="636"/>
      <c r="I856" s="635"/>
      <c r="J856" s="635"/>
      <c r="K856" s="635"/>
      <c r="L856" s="635"/>
      <c r="M856" s="635"/>
      <c r="N856" s="788"/>
      <c r="O856" s="788"/>
      <c r="P856" s="650"/>
      <c r="Q856" s="789"/>
      <c r="R856" s="634"/>
      <c r="S856" s="634"/>
      <c r="T856" s="634"/>
      <c r="U856" s="634"/>
      <c r="V856" s="634"/>
      <c r="W856" s="634"/>
      <c r="X856" s="634"/>
      <c r="Y856" s="634"/>
      <c r="Z856" s="634"/>
    </row>
    <row r="857" ht="15.75" customHeight="1">
      <c r="A857" s="634"/>
      <c r="B857" s="634"/>
      <c r="C857" s="634"/>
      <c r="D857" s="634"/>
      <c r="E857" s="634"/>
      <c r="F857" s="635"/>
      <c r="G857" s="634"/>
      <c r="H857" s="636"/>
      <c r="I857" s="635"/>
      <c r="J857" s="635"/>
      <c r="K857" s="635"/>
      <c r="L857" s="635"/>
      <c r="M857" s="635"/>
      <c r="N857" s="788"/>
      <c r="O857" s="788"/>
      <c r="P857" s="650"/>
      <c r="Q857" s="789"/>
      <c r="R857" s="634"/>
      <c r="S857" s="634"/>
      <c r="T857" s="634"/>
      <c r="U857" s="634"/>
      <c r="V857" s="634"/>
      <c r="W857" s="634"/>
      <c r="X857" s="634"/>
      <c r="Y857" s="634"/>
      <c r="Z857" s="634"/>
    </row>
    <row r="858" ht="15.75" customHeight="1">
      <c r="A858" s="634"/>
      <c r="B858" s="634"/>
      <c r="C858" s="634"/>
      <c r="D858" s="634"/>
      <c r="E858" s="634"/>
      <c r="F858" s="635"/>
      <c r="G858" s="634"/>
      <c r="H858" s="636"/>
      <c r="I858" s="635"/>
      <c r="J858" s="635"/>
      <c r="K858" s="635"/>
      <c r="L858" s="635"/>
      <c r="M858" s="635"/>
      <c r="N858" s="788"/>
      <c r="O858" s="788"/>
      <c r="P858" s="650"/>
      <c r="Q858" s="789"/>
      <c r="R858" s="634"/>
      <c r="S858" s="634"/>
      <c r="T858" s="634"/>
      <c r="U858" s="634"/>
      <c r="V858" s="634"/>
      <c r="W858" s="634"/>
      <c r="X858" s="634"/>
      <c r="Y858" s="634"/>
      <c r="Z858" s="634"/>
    </row>
    <row r="859" ht="15.75" customHeight="1">
      <c r="A859" s="634"/>
      <c r="B859" s="634"/>
      <c r="C859" s="634"/>
      <c r="D859" s="634"/>
      <c r="E859" s="634"/>
      <c r="F859" s="635"/>
      <c r="G859" s="634"/>
      <c r="H859" s="636"/>
      <c r="I859" s="635"/>
      <c r="J859" s="635"/>
      <c r="K859" s="635"/>
      <c r="L859" s="635"/>
      <c r="M859" s="635"/>
      <c r="N859" s="788"/>
      <c r="O859" s="788"/>
      <c r="P859" s="650"/>
      <c r="Q859" s="789"/>
      <c r="R859" s="634"/>
      <c r="S859" s="634"/>
      <c r="T859" s="634"/>
      <c r="U859" s="634"/>
      <c r="V859" s="634"/>
      <c r="W859" s="634"/>
      <c r="X859" s="634"/>
      <c r="Y859" s="634"/>
      <c r="Z859" s="634"/>
    </row>
    <row r="860" ht="15.75" customHeight="1">
      <c r="A860" s="634"/>
      <c r="B860" s="634"/>
      <c r="C860" s="634"/>
      <c r="D860" s="634"/>
      <c r="E860" s="634"/>
      <c r="F860" s="635"/>
      <c r="G860" s="634"/>
      <c r="H860" s="636"/>
      <c r="I860" s="635"/>
      <c r="J860" s="635"/>
      <c r="K860" s="635"/>
      <c r="L860" s="635"/>
      <c r="M860" s="635"/>
      <c r="N860" s="788"/>
      <c r="O860" s="788"/>
      <c r="P860" s="650"/>
      <c r="Q860" s="789"/>
      <c r="R860" s="634"/>
      <c r="S860" s="634"/>
      <c r="T860" s="634"/>
      <c r="U860" s="634"/>
      <c r="V860" s="634"/>
      <c r="W860" s="634"/>
      <c r="X860" s="634"/>
      <c r="Y860" s="634"/>
      <c r="Z860" s="634"/>
    </row>
    <row r="861" ht="15.75" customHeight="1">
      <c r="A861" s="634"/>
      <c r="B861" s="634"/>
      <c r="C861" s="634"/>
      <c r="D861" s="634"/>
      <c r="E861" s="634"/>
      <c r="F861" s="635"/>
      <c r="G861" s="634"/>
      <c r="H861" s="636"/>
      <c r="I861" s="635"/>
      <c r="J861" s="635"/>
      <c r="K861" s="635"/>
      <c r="L861" s="635"/>
      <c r="M861" s="635"/>
      <c r="N861" s="788"/>
      <c r="O861" s="788"/>
      <c r="P861" s="650"/>
      <c r="Q861" s="789"/>
      <c r="R861" s="634"/>
      <c r="S861" s="634"/>
      <c r="T861" s="634"/>
      <c r="U861" s="634"/>
      <c r="V861" s="634"/>
      <c r="W861" s="634"/>
      <c r="X861" s="634"/>
      <c r="Y861" s="634"/>
      <c r="Z861" s="634"/>
    </row>
    <row r="862" ht="15.75" customHeight="1">
      <c r="A862" s="634"/>
      <c r="B862" s="634"/>
      <c r="C862" s="634"/>
      <c r="D862" s="634"/>
      <c r="E862" s="634"/>
      <c r="F862" s="635"/>
      <c r="G862" s="634"/>
      <c r="H862" s="636"/>
      <c r="I862" s="635"/>
      <c r="J862" s="635"/>
      <c r="K862" s="635"/>
      <c r="L862" s="635"/>
      <c r="M862" s="635"/>
      <c r="N862" s="788"/>
      <c r="O862" s="788"/>
      <c r="P862" s="650"/>
      <c r="Q862" s="789"/>
      <c r="R862" s="634"/>
      <c r="S862" s="634"/>
      <c r="T862" s="634"/>
      <c r="U862" s="634"/>
      <c r="V862" s="634"/>
      <c r="W862" s="634"/>
      <c r="X862" s="634"/>
      <c r="Y862" s="634"/>
      <c r="Z862" s="634"/>
    </row>
    <row r="863" ht="15.75" customHeight="1">
      <c r="A863" s="634"/>
      <c r="B863" s="634"/>
      <c r="C863" s="634"/>
      <c r="D863" s="634"/>
      <c r="E863" s="634"/>
      <c r="F863" s="635"/>
      <c r="G863" s="634"/>
      <c r="H863" s="636"/>
      <c r="I863" s="635"/>
      <c r="J863" s="635"/>
      <c r="K863" s="635"/>
      <c r="L863" s="635"/>
      <c r="M863" s="635"/>
      <c r="N863" s="788"/>
      <c r="O863" s="788"/>
      <c r="P863" s="650"/>
      <c r="Q863" s="789"/>
      <c r="R863" s="634"/>
      <c r="S863" s="634"/>
      <c r="T863" s="634"/>
      <c r="U863" s="634"/>
      <c r="V863" s="634"/>
      <c r="W863" s="634"/>
      <c r="X863" s="634"/>
      <c r="Y863" s="634"/>
      <c r="Z863" s="634"/>
    </row>
    <row r="864" ht="15.75" customHeight="1">
      <c r="A864" s="634"/>
      <c r="B864" s="634"/>
      <c r="C864" s="634"/>
      <c r="D864" s="634"/>
      <c r="E864" s="634"/>
      <c r="F864" s="635"/>
      <c r="G864" s="634"/>
      <c r="H864" s="636"/>
      <c r="I864" s="635"/>
      <c r="J864" s="635"/>
      <c r="K864" s="635"/>
      <c r="L864" s="635"/>
      <c r="M864" s="635"/>
      <c r="N864" s="788"/>
      <c r="O864" s="788"/>
      <c r="P864" s="650"/>
      <c r="Q864" s="789"/>
      <c r="R864" s="634"/>
      <c r="S864" s="634"/>
      <c r="T864" s="634"/>
      <c r="U864" s="634"/>
      <c r="V864" s="634"/>
      <c r="W864" s="634"/>
      <c r="X864" s="634"/>
      <c r="Y864" s="634"/>
      <c r="Z864" s="634"/>
    </row>
    <row r="865" ht="15.75" customHeight="1">
      <c r="A865" s="634"/>
      <c r="B865" s="634"/>
      <c r="C865" s="634"/>
      <c r="D865" s="634"/>
      <c r="E865" s="634"/>
      <c r="F865" s="635"/>
      <c r="G865" s="634"/>
      <c r="H865" s="636"/>
      <c r="I865" s="635"/>
      <c r="J865" s="635"/>
      <c r="K865" s="635"/>
      <c r="L865" s="635"/>
      <c r="M865" s="635"/>
      <c r="N865" s="788"/>
      <c r="O865" s="788"/>
      <c r="P865" s="650"/>
      <c r="Q865" s="789"/>
      <c r="R865" s="634"/>
      <c r="S865" s="634"/>
      <c r="T865" s="634"/>
      <c r="U865" s="634"/>
      <c r="V865" s="634"/>
      <c r="W865" s="634"/>
      <c r="X865" s="634"/>
      <c r="Y865" s="634"/>
      <c r="Z865" s="634"/>
    </row>
    <row r="866" ht="15.75" customHeight="1">
      <c r="A866" s="634"/>
      <c r="B866" s="634"/>
      <c r="C866" s="634"/>
      <c r="D866" s="634"/>
      <c r="E866" s="634"/>
      <c r="F866" s="635"/>
      <c r="G866" s="634"/>
      <c r="H866" s="636"/>
      <c r="I866" s="635"/>
      <c r="J866" s="635"/>
      <c r="K866" s="635"/>
      <c r="L866" s="635"/>
      <c r="M866" s="635"/>
      <c r="N866" s="788"/>
      <c r="O866" s="788"/>
      <c r="P866" s="650"/>
      <c r="Q866" s="789"/>
      <c r="R866" s="634"/>
      <c r="S866" s="634"/>
      <c r="T866" s="634"/>
      <c r="U866" s="634"/>
      <c r="V866" s="634"/>
      <c r="W866" s="634"/>
      <c r="X866" s="634"/>
      <c r="Y866" s="634"/>
      <c r="Z866" s="634"/>
    </row>
    <row r="867" ht="15.75" customHeight="1">
      <c r="A867" s="634"/>
      <c r="B867" s="634"/>
      <c r="C867" s="634"/>
      <c r="D867" s="634"/>
      <c r="E867" s="634"/>
      <c r="F867" s="635"/>
      <c r="G867" s="634"/>
      <c r="H867" s="636"/>
      <c r="I867" s="635"/>
      <c r="J867" s="635"/>
      <c r="K867" s="635"/>
      <c r="L867" s="635"/>
      <c r="M867" s="635"/>
      <c r="N867" s="788"/>
      <c r="O867" s="788"/>
      <c r="P867" s="650"/>
      <c r="Q867" s="789"/>
      <c r="R867" s="634"/>
      <c r="S867" s="634"/>
      <c r="T867" s="634"/>
      <c r="U867" s="634"/>
      <c r="V867" s="634"/>
      <c r="W867" s="634"/>
      <c r="X867" s="634"/>
      <c r="Y867" s="634"/>
      <c r="Z867" s="634"/>
    </row>
    <row r="868" ht="15.75" customHeight="1">
      <c r="A868" s="634"/>
      <c r="B868" s="634"/>
      <c r="C868" s="634"/>
      <c r="D868" s="634"/>
      <c r="E868" s="634"/>
      <c r="F868" s="635"/>
      <c r="G868" s="634"/>
      <c r="H868" s="636"/>
      <c r="I868" s="635"/>
      <c r="J868" s="635"/>
      <c r="K868" s="635"/>
      <c r="L868" s="635"/>
      <c r="M868" s="635"/>
      <c r="N868" s="788"/>
      <c r="O868" s="788"/>
      <c r="P868" s="650"/>
      <c r="Q868" s="789"/>
      <c r="R868" s="634"/>
      <c r="S868" s="634"/>
      <c r="T868" s="634"/>
      <c r="U868" s="634"/>
      <c r="V868" s="634"/>
      <c r="W868" s="634"/>
      <c r="X868" s="634"/>
      <c r="Y868" s="634"/>
      <c r="Z868" s="634"/>
    </row>
    <row r="869" ht="15.75" customHeight="1">
      <c r="A869" s="634"/>
      <c r="B869" s="634"/>
      <c r="C869" s="634"/>
      <c r="D869" s="634"/>
      <c r="E869" s="634"/>
      <c r="F869" s="635"/>
      <c r="G869" s="634"/>
      <c r="H869" s="636"/>
      <c r="I869" s="635"/>
      <c r="J869" s="635"/>
      <c r="K869" s="635"/>
      <c r="L869" s="635"/>
      <c r="M869" s="635"/>
      <c r="N869" s="788"/>
      <c r="O869" s="788"/>
      <c r="P869" s="650"/>
      <c r="Q869" s="789"/>
      <c r="R869" s="634"/>
      <c r="S869" s="634"/>
      <c r="T869" s="634"/>
      <c r="U869" s="634"/>
      <c r="V869" s="634"/>
      <c r="W869" s="634"/>
      <c r="X869" s="634"/>
      <c r="Y869" s="634"/>
      <c r="Z869" s="634"/>
    </row>
    <row r="870" ht="15.75" customHeight="1">
      <c r="A870" s="634"/>
      <c r="B870" s="634"/>
      <c r="C870" s="634"/>
      <c r="D870" s="634"/>
      <c r="E870" s="634"/>
      <c r="F870" s="635"/>
      <c r="G870" s="634"/>
      <c r="H870" s="636"/>
      <c r="I870" s="635"/>
      <c r="J870" s="635"/>
      <c r="K870" s="635"/>
      <c r="L870" s="635"/>
      <c r="M870" s="635"/>
      <c r="N870" s="788"/>
      <c r="O870" s="788"/>
      <c r="P870" s="650"/>
      <c r="Q870" s="789"/>
      <c r="R870" s="634"/>
      <c r="S870" s="634"/>
      <c r="T870" s="634"/>
      <c r="U870" s="634"/>
      <c r="V870" s="634"/>
      <c r="W870" s="634"/>
      <c r="X870" s="634"/>
      <c r="Y870" s="634"/>
      <c r="Z870" s="634"/>
    </row>
    <row r="871" ht="15.75" customHeight="1">
      <c r="A871" s="634"/>
      <c r="B871" s="634"/>
      <c r="C871" s="634"/>
      <c r="D871" s="634"/>
      <c r="E871" s="634"/>
      <c r="F871" s="635"/>
      <c r="G871" s="634"/>
      <c r="H871" s="636"/>
      <c r="I871" s="635"/>
      <c r="J871" s="635"/>
      <c r="K871" s="635"/>
      <c r="L871" s="635"/>
      <c r="M871" s="635"/>
      <c r="N871" s="788"/>
      <c r="O871" s="788"/>
      <c r="P871" s="650"/>
      <c r="Q871" s="789"/>
      <c r="R871" s="634"/>
      <c r="S871" s="634"/>
      <c r="T871" s="634"/>
      <c r="U871" s="634"/>
      <c r="V871" s="634"/>
      <c r="W871" s="634"/>
      <c r="X871" s="634"/>
      <c r="Y871" s="634"/>
      <c r="Z871" s="634"/>
    </row>
    <row r="872" ht="15.75" customHeight="1">
      <c r="A872" s="634"/>
      <c r="B872" s="634"/>
      <c r="C872" s="634"/>
      <c r="D872" s="634"/>
      <c r="E872" s="634"/>
      <c r="F872" s="635"/>
      <c r="G872" s="634"/>
      <c r="H872" s="636"/>
      <c r="I872" s="635"/>
      <c r="J872" s="635"/>
      <c r="K872" s="635"/>
      <c r="L872" s="635"/>
      <c r="M872" s="635"/>
      <c r="N872" s="788"/>
      <c r="O872" s="788"/>
      <c r="P872" s="650"/>
      <c r="Q872" s="789"/>
      <c r="R872" s="634"/>
      <c r="S872" s="634"/>
      <c r="T872" s="634"/>
      <c r="U872" s="634"/>
      <c r="V872" s="634"/>
      <c r="W872" s="634"/>
      <c r="X872" s="634"/>
      <c r="Y872" s="634"/>
      <c r="Z872" s="634"/>
    </row>
    <row r="873" ht="15.75" customHeight="1">
      <c r="A873" s="634"/>
      <c r="B873" s="634"/>
      <c r="C873" s="634"/>
      <c r="D873" s="634"/>
      <c r="E873" s="634"/>
      <c r="F873" s="635"/>
      <c r="G873" s="634"/>
      <c r="H873" s="636"/>
      <c r="I873" s="635"/>
      <c r="J873" s="635"/>
      <c r="K873" s="635"/>
      <c r="L873" s="635"/>
      <c r="M873" s="635"/>
      <c r="N873" s="788"/>
      <c r="O873" s="788"/>
      <c r="P873" s="650"/>
      <c r="Q873" s="789"/>
      <c r="R873" s="634"/>
      <c r="S873" s="634"/>
      <c r="T873" s="634"/>
      <c r="U873" s="634"/>
      <c r="V873" s="634"/>
      <c r="W873" s="634"/>
      <c r="X873" s="634"/>
      <c r="Y873" s="634"/>
      <c r="Z873" s="634"/>
    </row>
    <row r="874" ht="15.75" customHeight="1">
      <c r="A874" s="634"/>
      <c r="B874" s="634"/>
      <c r="C874" s="634"/>
      <c r="D874" s="634"/>
      <c r="E874" s="634"/>
      <c r="F874" s="635"/>
      <c r="G874" s="634"/>
      <c r="H874" s="636"/>
      <c r="I874" s="635"/>
      <c r="J874" s="635"/>
      <c r="K874" s="635"/>
      <c r="L874" s="635"/>
      <c r="M874" s="635"/>
      <c r="N874" s="788"/>
      <c r="O874" s="788"/>
      <c r="P874" s="650"/>
      <c r="Q874" s="789"/>
      <c r="R874" s="634"/>
      <c r="S874" s="634"/>
      <c r="T874" s="634"/>
      <c r="U874" s="634"/>
      <c r="V874" s="634"/>
      <c r="W874" s="634"/>
      <c r="X874" s="634"/>
      <c r="Y874" s="634"/>
      <c r="Z874" s="634"/>
    </row>
    <row r="875" ht="15.75" customHeight="1">
      <c r="A875" s="634"/>
      <c r="B875" s="634"/>
      <c r="C875" s="634"/>
      <c r="D875" s="634"/>
      <c r="E875" s="634"/>
      <c r="F875" s="635"/>
      <c r="G875" s="634"/>
      <c r="H875" s="636"/>
      <c r="I875" s="635"/>
      <c r="J875" s="635"/>
      <c r="K875" s="635"/>
      <c r="L875" s="635"/>
      <c r="M875" s="635"/>
      <c r="N875" s="788"/>
      <c r="O875" s="788"/>
      <c r="P875" s="650"/>
      <c r="Q875" s="789"/>
      <c r="R875" s="634"/>
      <c r="S875" s="634"/>
      <c r="T875" s="634"/>
      <c r="U875" s="634"/>
      <c r="V875" s="634"/>
      <c r="W875" s="634"/>
      <c r="X875" s="634"/>
      <c r="Y875" s="634"/>
      <c r="Z875" s="634"/>
    </row>
    <row r="876" ht="15.75" customHeight="1">
      <c r="A876" s="634"/>
      <c r="B876" s="634"/>
      <c r="C876" s="634"/>
      <c r="D876" s="634"/>
      <c r="E876" s="634"/>
      <c r="F876" s="635"/>
      <c r="G876" s="634"/>
      <c r="H876" s="636"/>
      <c r="I876" s="635"/>
      <c r="J876" s="635"/>
      <c r="K876" s="635"/>
      <c r="L876" s="635"/>
      <c r="M876" s="635"/>
      <c r="N876" s="788"/>
      <c r="O876" s="788"/>
      <c r="P876" s="650"/>
      <c r="Q876" s="789"/>
      <c r="R876" s="634"/>
      <c r="S876" s="634"/>
      <c r="T876" s="634"/>
      <c r="U876" s="634"/>
      <c r="V876" s="634"/>
      <c r="W876" s="634"/>
      <c r="X876" s="634"/>
      <c r="Y876" s="634"/>
      <c r="Z876" s="634"/>
    </row>
    <row r="877" ht="15.75" customHeight="1">
      <c r="A877" s="634"/>
      <c r="B877" s="634"/>
      <c r="C877" s="634"/>
      <c r="D877" s="634"/>
      <c r="E877" s="634"/>
      <c r="F877" s="635"/>
      <c r="G877" s="634"/>
      <c r="H877" s="636"/>
      <c r="I877" s="635"/>
      <c r="J877" s="635"/>
      <c r="K877" s="635"/>
      <c r="L877" s="635"/>
      <c r="M877" s="635"/>
      <c r="N877" s="788"/>
      <c r="O877" s="788"/>
      <c r="P877" s="650"/>
      <c r="Q877" s="789"/>
      <c r="R877" s="634"/>
      <c r="S877" s="634"/>
      <c r="T877" s="634"/>
      <c r="U877" s="634"/>
      <c r="V877" s="634"/>
      <c r="W877" s="634"/>
      <c r="X877" s="634"/>
      <c r="Y877" s="634"/>
      <c r="Z877" s="634"/>
    </row>
    <row r="878" ht="15.75" customHeight="1">
      <c r="A878" s="634"/>
      <c r="B878" s="634"/>
      <c r="C878" s="634"/>
      <c r="D878" s="634"/>
      <c r="E878" s="634"/>
      <c r="F878" s="635"/>
      <c r="G878" s="634"/>
      <c r="H878" s="636"/>
      <c r="I878" s="635"/>
      <c r="J878" s="635"/>
      <c r="K878" s="635"/>
      <c r="L878" s="635"/>
      <c r="M878" s="635"/>
      <c r="N878" s="788"/>
      <c r="O878" s="788"/>
      <c r="P878" s="650"/>
      <c r="Q878" s="789"/>
      <c r="R878" s="634"/>
      <c r="S878" s="634"/>
      <c r="T878" s="634"/>
      <c r="U878" s="634"/>
      <c r="V878" s="634"/>
      <c r="W878" s="634"/>
      <c r="X878" s="634"/>
      <c r="Y878" s="634"/>
      <c r="Z878" s="634"/>
    </row>
    <row r="879" ht="15.75" customHeight="1">
      <c r="A879" s="634"/>
      <c r="B879" s="634"/>
      <c r="C879" s="634"/>
      <c r="D879" s="634"/>
      <c r="E879" s="634"/>
      <c r="F879" s="635"/>
      <c r="G879" s="634"/>
      <c r="H879" s="636"/>
      <c r="I879" s="635"/>
      <c r="J879" s="635"/>
      <c r="K879" s="635"/>
      <c r="L879" s="635"/>
      <c r="M879" s="635"/>
      <c r="N879" s="788"/>
      <c r="O879" s="788"/>
      <c r="P879" s="650"/>
      <c r="Q879" s="789"/>
      <c r="R879" s="634"/>
      <c r="S879" s="634"/>
      <c r="T879" s="634"/>
      <c r="U879" s="634"/>
      <c r="V879" s="634"/>
      <c r="W879" s="634"/>
      <c r="X879" s="634"/>
      <c r="Y879" s="634"/>
      <c r="Z879" s="634"/>
    </row>
    <row r="880" ht="15.75" customHeight="1">
      <c r="A880" s="634"/>
      <c r="B880" s="634"/>
      <c r="C880" s="634"/>
      <c r="D880" s="634"/>
      <c r="E880" s="634"/>
      <c r="F880" s="635"/>
      <c r="G880" s="634"/>
      <c r="H880" s="636"/>
      <c r="I880" s="635"/>
      <c r="J880" s="635"/>
      <c r="K880" s="635"/>
      <c r="L880" s="635"/>
      <c r="M880" s="635"/>
      <c r="N880" s="788"/>
      <c r="O880" s="788"/>
      <c r="P880" s="650"/>
      <c r="Q880" s="789"/>
      <c r="R880" s="634"/>
      <c r="S880" s="634"/>
      <c r="T880" s="634"/>
      <c r="U880" s="634"/>
      <c r="V880" s="634"/>
      <c r="W880" s="634"/>
      <c r="X880" s="634"/>
      <c r="Y880" s="634"/>
      <c r="Z880" s="634"/>
    </row>
    <row r="881" ht="15.75" customHeight="1">
      <c r="A881" s="634"/>
      <c r="B881" s="634"/>
      <c r="C881" s="634"/>
      <c r="D881" s="634"/>
      <c r="E881" s="634"/>
      <c r="F881" s="635"/>
      <c r="G881" s="634"/>
      <c r="H881" s="636"/>
      <c r="I881" s="635"/>
      <c r="J881" s="635"/>
      <c r="K881" s="635"/>
      <c r="L881" s="635"/>
      <c r="M881" s="635"/>
      <c r="N881" s="788"/>
      <c r="O881" s="788"/>
      <c r="P881" s="650"/>
      <c r="Q881" s="789"/>
      <c r="R881" s="634"/>
      <c r="S881" s="634"/>
      <c r="T881" s="634"/>
      <c r="U881" s="634"/>
      <c r="V881" s="634"/>
      <c r="W881" s="634"/>
      <c r="X881" s="634"/>
      <c r="Y881" s="634"/>
      <c r="Z881" s="634"/>
    </row>
    <row r="882" ht="15.75" customHeight="1">
      <c r="A882" s="634"/>
      <c r="B882" s="634"/>
      <c r="C882" s="634"/>
      <c r="D882" s="634"/>
      <c r="E882" s="634"/>
      <c r="F882" s="635"/>
      <c r="G882" s="634"/>
      <c r="H882" s="636"/>
      <c r="I882" s="635"/>
      <c r="J882" s="635"/>
      <c r="K882" s="635"/>
      <c r="L882" s="635"/>
      <c r="M882" s="635"/>
      <c r="N882" s="788"/>
      <c r="O882" s="788"/>
      <c r="P882" s="650"/>
      <c r="Q882" s="789"/>
      <c r="R882" s="634"/>
      <c r="S882" s="634"/>
      <c r="T882" s="634"/>
      <c r="U882" s="634"/>
      <c r="V882" s="634"/>
      <c r="W882" s="634"/>
      <c r="X882" s="634"/>
      <c r="Y882" s="634"/>
      <c r="Z882" s="634"/>
    </row>
    <row r="883" ht="15.75" customHeight="1">
      <c r="A883" s="634"/>
      <c r="B883" s="634"/>
      <c r="C883" s="634"/>
      <c r="D883" s="634"/>
      <c r="E883" s="634"/>
      <c r="F883" s="635"/>
      <c r="G883" s="634"/>
      <c r="H883" s="636"/>
      <c r="I883" s="635"/>
      <c r="J883" s="635"/>
      <c r="K883" s="635"/>
      <c r="L883" s="635"/>
      <c r="M883" s="635"/>
      <c r="N883" s="788"/>
      <c r="O883" s="788"/>
      <c r="P883" s="650"/>
      <c r="Q883" s="789"/>
      <c r="R883" s="634"/>
      <c r="S883" s="634"/>
      <c r="T883" s="634"/>
      <c r="U883" s="634"/>
      <c r="V883" s="634"/>
      <c r="W883" s="634"/>
      <c r="X883" s="634"/>
      <c r="Y883" s="634"/>
      <c r="Z883" s="634"/>
    </row>
    <row r="884" ht="15.75" customHeight="1">
      <c r="A884" s="634"/>
      <c r="B884" s="634"/>
      <c r="C884" s="634"/>
      <c r="D884" s="634"/>
      <c r="E884" s="634"/>
      <c r="F884" s="635"/>
      <c r="G884" s="634"/>
      <c r="H884" s="636"/>
      <c r="I884" s="635"/>
      <c r="J884" s="635"/>
      <c r="K884" s="635"/>
      <c r="L884" s="635"/>
      <c r="M884" s="635"/>
      <c r="N884" s="788"/>
      <c r="O884" s="788"/>
      <c r="P884" s="650"/>
      <c r="Q884" s="789"/>
      <c r="R884" s="634"/>
      <c r="S884" s="634"/>
      <c r="T884" s="634"/>
      <c r="U884" s="634"/>
      <c r="V884" s="634"/>
      <c r="W884" s="634"/>
      <c r="X884" s="634"/>
      <c r="Y884" s="634"/>
      <c r="Z884" s="634"/>
    </row>
    <row r="885" ht="15.75" customHeight="1">
      <c r="A885" s="634"/>
      <c r="B885" s="634"/>
      <c r="C885" s="634"/>
      <c r="D885" s="634"/>
      <c r="E885" s="634"/>
      <c r="F885" s="635"/>
      <c r="G885" s="634"/>
      <c r="H885" s="636"/>
      <c r="I885" s="635"/>
      <c r="J885" s="635"/>
      <c r="K885" s="635"/>
      <c r="L885" s="635"/>
      <c r="M885" s="635"/>
      <c r="N885" s="788"/>
      <c r="O885" s="788"/>
      <c r="P885" s="650"/>
      <c r="Q885" s="789"/>
      <c r="R885" s="634"/>
      <c r="S885" s="634"/>
      <c r="T885" s="634"/>
      <c r="U885" s="634"/>
      <c r="V885" s="634"/>
      <c r="W885" s="634"/>
      <c r="X885" s="634"/>
      <c r="Y885" s="634"/>
      <c r="Z885" s="634"/>
    </row>
    <row r="886" ht="15.75" customHeight="1">
      <c r="A886" s="634"/>
      <c r="B886" s="634"/>
      <c r="C886" s="634"/>
      <c r="D886" s="634"/>
      <c r="E886" s="634"/>
      <c r="F886" s="635"/>
      <c r="G886" s="634"/>
      <c r="H886" s="636"/>
      <c r="I886" s="635"/>
      <c r="J886" s="635"/>
      <c r="K886" s="635"/>
      <c r="L886" s="635"/>
      <c r="M886" s="635"/>
      <c r="N886" s="788"/>
      <c r="O886" s="788"/>
      <c r="P886" s="650"/>
      <c r="Q886" s="789"/>
      <c r="R886" s="634"/>
      <c r="S886" s="634"/>
      <c r="T886" s="634"/>
      <c r="U886" s="634"/>
      <c r="V886" s="634"/>
      <c r="W886" s="634"/>
      <c r="X886" s="634"/>
      <c r="Y886" s="634"/>
      <c r="Z886" s="634"/>
    </row>
    <row r="887" ht="15.75" customHeight="1">
      <c r="A887" s="634"/>
      <c r="B887" s="634"/>
      <c r="C887" s="634"/>
      <c r="D887" s="634"/>
      <c r="E887" s="634"/>
      <c r="F887" s="635"/>
      <c r="G887" s="634"/>
      <c r="H887" s="636"/>
      <c r="I887" s="635"/>
      <c r="J887" s="635"/>
      <c r="K887" s="635"/>
      <c r="L887" s="635"/>
      <c r="M887" s="635"/>
      <c r="N887" s="788"/>
      <c r="O887" s="788"/>
      <c r="P887" s="650"/>
      <c r="Q887" s="789"/>
      <c r="R887" s="634"/>
      <c r="S887" s="634"/>
      <c r="T887" s="634"/>
      <c r="U887" s="634"/>
      <c r="V887" s="634"/>
      <c r="W887" s="634"/>
      <c r="X887" s="634"/>
      <c r="Y887" s="634"/>
      <c r="Z887" s="634"/>
    </row>
    <row r="888" ht="15.75" customHeight="1">
      <c r="A888" s="634"/>
      <c r="B888" s="634"/>
      <c r="C888" s="634"/>
      <c r="D888" s="634"/>
      <c r="E888" s="634"/>
      <c r="F888" s="635"/>
      <c r="G888" s="634"/>
      <c r="H888" s="636"/>
      <c r="I888" s="635"/>
      <c r="J888" s="635"/>
      <c r="K888" s="635"/>
      <c r="L888" s="635"/>
      <c r="M888" s="635"/>
      <c r="N888" s="788"/>
      <c r="O888" s="788"/>
      <c r="P888" s="650"/>
      <c r="Q888" s="789"/>
      <c r="R888" s="634"/>
      <c r="S888" s="634"/>
      <c r="T888" s="634"/>
      <c r="U888" s="634"/>
      <c r="V888" s="634"/>
      <c r="W888" s="634"/>
      <c r="X888" s="634"/>
      <c r="Y888" s="634"/>
      <c r="Z888" s="634"/>
    </row>
    <row r="889" ht="15.75" customHeight="1">
      <c r="A889" s="634"/>
      <c r="B889" s="634"/>
      <c r="C889" s="634"/>
      <c r="D889" s="634"/>
      <c r="E889" s="634"/>
      <c r="F889" s="635"/>
      <c r="G889" s="634"/>
      <c r="H889" s="636"/>
      <c r="I889" s="635"/>
      <c r="J889" s="635"/>
      <c r="K889" s="635"/>
      <c r="L889" s="635"/>
      <c r="M889" s="635"/>
      <c r="N889" s="788"/>
      <c r="O889" s="788"/>
      <c r="P889" s="650"/>
      <c r="Q889" s="789"/>
      <c r="R889" s="634"/>
      <c r="S889" s="634"/>
      <c r="T889" s="634"/>
      <c r="U889" s="634"/>
      <c r="V889" s="634"/>
      <c r="W889" s="634"/>
      <c r="X889" s="634"/>
      <c r="Y889" s="634"/>
      <c r="Z889" s="634"/>
    </row>
    <row r="890" ht="15.75" customHeight="1">
      <c r="A890" s="634"/>
      <c r="B890" s="634"/>
      <c r="C890" s="634"/>
      <c r="D890" s="634"/>
      <c r="E890" s="634"/>
      <c r="F890" s="635"/>
      <c r="G890" s="634"/>
      <c r="H890" s="636"/>
      <c r="I890" s="635"/>
      <c r="J890" s="635"/>
      <c r="K890" s="635"/>
      <c r="L890" s="635"/>
      <c r="M890" s="635"/>
      <c r="N890" s="788"/>
      <c r="O890" s="788"/>
      <c r="P890" s="650"/>
      <c r="Q890" s="789"/>
      <c r="R890" s="634"/>
      <c r="S890" s="634"/>
      <c r="T890" s="634"/>
      <c r="U890" s="634"/>
      <c r="V890" s="634"/>
      <c r="W890" s="634"/>
      <c r="X890" s="634"/>
      <c r="Y890" s="634"/>
      <c r="Z890" s="634"/>
    </row>
    <row r="891" ht="15.75" customHeight="1">
      <c r="A891" s="634"/>
      <c r="B891" s="634"/>
      <c r="C891" s="634"/>
      <c r="D891" s="634"/>
      <c r="E891" s="634"/>
      <c r="F891" s="635"/>
      <c r="G891" s="634"/>
      <c r="H891" s="636"/>
      <c r="I891" s="635"/>
      <c r="J891" s="635"/>
      <c r="K891" s="635"/>
      <c r="L891" s="635"/>
      <c r="M891" s="635"/>
      <c r="N891" s="788"/>
      <c r="O891" s="788"/>
      <c r="P891" s="650"/>
      <c r="Q891" s="789"/>
      <c r="R891" s="634"/>
      <c r="S891" s="634"/>
      <c r="T891" s="634"/>
      <c r="U891" s="634"/>
      <c r="V891" s="634"/>
      <c r="W891" s="634"/>
      <c r="X891" s="634"/>
      <c r="Y891" s="634"/>
      <c r="Z891" s="634"/>
    </row>
    <row r="892" ht="15.75" customHeight="1">
      <c r="A892" s="634"/>
      <c r="B892" s="634"/>
      <c r="C892" s="634"/>
      <c r="D892" s="634"/>
      <c r="E892" s="634"/>
      <c r="F892" s="635"/>
      <c r="G892" s="634"/>
      <c r="H892" s="636"/>
      <c r="I892" s="635"/>
      <c r="J892" s="635"/>
      <c r="K892" s="635"/>
      <c r="L892" s="635"/>
      <c r="M892" s="635"/>
      <c r="N892" s="788"/>
      <c r="O892" s="788"/>
      <c r="P892" s="650"/>
      <c r="Q892" s="789"/>
      <c r="R892" s="634"/>
      <c r="S892" s="634"/>
      <c r="T892" s="634"/>
      <c r="U892" s="634"/>
      <c r="V892" s="634"/>
      <c r="W892" s="634"/>
      <c r="X892" s="634"/>
      <c r="Y892" s="634"/>
      <c r="Z892" s="634"/>
    </row>
    <row r="893" ht="15.75" customHeight="1">
      <c r="A893" s="634"/>
      <c r="B893" s="634"/>
      <c r="C893" s="634"/>
      <c r="D893" s="634"/>
      <c r="E893" s="634"/>
      <c r="F893" s="635"/>
      <c r="G893" s="634"/>
      <c r="H893" s="636"/>
      <c r="I893" s="635"/>
      <c r="J893" s="635"/>
      <c r="K893" s="635"/>
      <c r="L893" s="635"/>
      <c r="M893" s="635"/>
      <c r="N893" s="788"/>
      <c r="O893" s="788"/>
      <c r="P893" s="650"/>
      <c r="Q893" s="789"/>
      <c r="R893" s="634"/>
      <c r="S893" s="634"/>
      <c r="T893" s="634"/>
      <c r="U893" s="634"/>
      <c r="V893" s="634"/>
      <c r="W893" s="634"/>
      <c r="X893" s="634"/>
      <c r="Y893" s="634"/>
      <c r="Z893" s="634"/>
    </row>
    <row r="894" ht="15.75" customHeight="1">
      <c r="A894" s="634"/>
      <c r="B894" s="634"/>
      <c r="C894" s="634"/>
      <c r="D894" s="634"/>
      <c r="E894" s="634"/>
      <c r="F894" s="635"/>
      <c r="G894" s="634"/>
      <c r="H894" s="636"/>
      <c r="I894" s="635"/>
      <c r="J894" s="635"/>
      <c r="K894" s="635"/>
      <c r="L894" s="635"/>
      <c r="M894" s="635"/>
      <c r="N894" s="788"/>
      <c r="O894" s="788"/>
      <c r="P894" s="650"/>
      <c r="Q894" s="789"/>
      <c r="R894" s="634"/>
      <c r="S894" s="634"/>
      <c r="T894" s="634"/>
      <c r="U894" s="634"/>
      <c r="V894" s="634"/>
      <c r="W894" s="634"/>
      <c r="X894" s="634"/>
      <c r="Y894" s="634"/>
      <c r="Z894" s="634"/>
    </row>
    <row r="895" ht="15.75" customHeight="1">
      <c r="A895" s="634"/>
      <c r="B895" s="634"/>
      <c r="C895" s="634"/>
      <c r="D895" s="634"/>
      <c r="E895" s="634"/>
      <c r="F895" s="635"/>
      <c r="G895" s="634"/>
      <c r="H895" s="636"/>
      <c r="I895" s="635"/>
      <c r="J895" s="635"/>
      <c r="K895" s="635"/>
      <c r="L895" s="635"/>
      <c r="M895" s="635"/>
      <c r="N895" s="788"/>
      <c r="O895" s="788"/>
      <c r="P895" s="650"/>
      <c r="Q895" s="789"/>
      <c r="R895" s="634"/>
      <c r="S895" s="634"/>
      <c r="T895" s="634"/>
      <c r="U895" s="634"/>
      <c r="V895" s="634"/>
      <c r="W895" s="634"/>
      <c r="X895" s="634"/>
      <c r="Y895" s="634"/>
      <c r="Z895" s="634"/>
    </row>
    <row r="896" ht="15.75" customHeight="1">
      <c r="A896" s="634"/>
      <c r="B896" s="634"/>
      <c r="C896" s="634"/>
      <c r="D896" s="634"/>
      <c r="E896" s="634"/>
      <c r="F896" s="635"/>
      <c r="G896" s="634"/>
      <c r="H896" s="636"/>
      <c r="I896" s="635"/>
      <c r="J896" s="635"/>
      <c r="K896" s="635"/>
      <c r="L896" s="635"/>
      <c r="M896" s="635"/>
      <c r="N896" s="788"/>
      <c r="O896" s="788"/>
      <c r="P896" s="650"/>
      <c r="Q896" s="789"/>
      <c r="R896" s="634"/>
      <c r="S896" s="634"/>
      <c r="T896" s="634"/>
      <c r="U896" s="634"/>
      <c r="V896" s="634"/>
      <c r="W896" s="634"/>
      <c r="X896" s="634"/>
      <c r="Y896" s="634"/>
      <c r="Z896" s="634"/>
    </row>
    <row r="897" ht="15.75" customHeight="1">
      <c r="A897" s="634"/>
      <c r="B897" s="634"/>
      <c r="C897" s="634"/>
      <c r="D897" s="634"/>
      <c r="E897" s="634"/>
      <c r="F897" s="635"/>
      <c r="G897" s="634"/>
      <c r="H897" s="636"/>
      <c r="I897" s="635"/>
      <c r="J897" s="635"/>
      <c r="K897" s="635"/>
      <c r="L897" s="635"/>
      <c r="M897" s="635"/>
      <c r="N897" s="788"/>
      <c r="O897" s="788"/>
      <c r="P897" s="650"/>
      <c r="Q897" s="789"/>
      <c r="R897" s="634"/>
      <c r="S897" s="634"/>
      <c r="T897" s="634"/>
      <c r="U897" s="634"/>
      <c r="V897" s="634"/>
      <c r="W897" s="634"/>
      <c r="X897" s="634"/>
      <c r="Y897" s="634"/>
      <c r="Z897" s="634"/>
    </row>
    <row r="898" ht="15.75" customHeight="1">
      <c r="A898" s="634"/>
      <c r="B898" s="634"/>
      <c r="C898" s="634"/>
      <c r="D898" s="634"/>
      <c r="E898" s="634"/>
      <c r="F898" s="635"/>
      <c r="G898" s="634"/>
      <c r="H898" s="636"/>
      <c r="I898" s="635"/>
      <c r="J898" s="635"/>
      <c r="K898" s="635"/>
      <c r="L898" s="635"/>
      <c r="M898" s="635"/>
      <c r="N898" s="788"/>
      <c r="O898" s="788"/>
      <c r="P898" s="650"/>
      <c r="Q898" s="789"/>
      <c r="R898" s="634"/>
      <c r="S898" s="634"/>
      <c r="T898" s="634"/>
      <c r="U898" s="634"/>
      <c r="V898" s="634"/>
      <c r="W898" s="634"/>
      <c r="X898" s="634"/>
      <c r="Y898" s="634"/>
      <c r="Z898" s="634"/>
    </row>
    <row r="899" ht="15.75" customHeight="1">
      <c r="A899" s="634"/>
      <c r="B899" s="634"/>
      <c r="C899" s="634"/>
      <c r="D899" s="634"/>
      <c r="E899" s="634"/>
      <c r="F899" s="635"/>
      <c r="G899" s="634"/>
      <c r="H899" s="636"/>
      <c r="I899" s="635"/>
      <c r="J899" s="635"/>
      <c r="K899" s="635"/>
      <c r="L899" s="635"/>
      <c r="M899" s="635"/>
      <c r="N899" s="788"/>
      <c r="O899" s="788"/>
      <c r="P899" s="650"/>
      <c r="Q899" s="789"/>
      <c r="R899" s="634"/>
      <c r="S899" s="634"/>
      <c r="T899" s="634"/>
      <c r="U899" s="634"/>
      <c r="V899" s="634"/>
      <c r="W899" s="634"/>
      <c r="X899" s="634"/>
      <c r="Y899" s="634"/>
      <c r="Z899" s="634"/>
    </row>
    <row r="900" ht="15.75" customHeight="1">
      <c r="A900" s="634"/>
      <c r="B900" s="634"/>
      <c r="C900" s="634"/>
      <c r="D900" s="634"/>
      <c r="E900" s="634"/>
      <c r="F900" s="635"/>
      <c r="G900" s="634"/>
      <c r="H900" s="636"/>
      <c r="I900" s="635"/>
      <c r="J900" s="635"/>
      <c r="K900" s="635"/>
      <c r="L900" s="635"/>
      <c r="M900" s="635"/>
      <c r="N900" s="788"/>
      <c r="O900" s="788"/>
      <c r="P900" s="650"/>
      <c r="Q900" s="789"/>
      <c r="R900" s="634"/>
      <c r="S900" s="634"/>
      <c r="T900" s="634"/>
      <c r="U900" s="634"/>
      <c r="V900" s="634"/>
      <c r="W900" s="634"/>
      <c r="X900" s="634"/>
      <c r="Y900" s="634"/>
      <c r="Z900" s="634"/>
    </row>
    <row r="901" ht="15.75" customHeight="1">
      <c r="A901" s="634"/>
      <c r="B901" s="634"/>
      <c r="C901" s="634"/>
      <c r="D901" s="634"/>
      <c r="E901" s="634"/>
      <c r="F901" s="635"/>
      <c r="G901" s="634"/>
      <c r="H901" s="636"/>
      <c r="I901" s="635"/>
      <c r="J901" s="635"/>
      <c r="K901" s="635"/>
      <c r="L901" s="635"/>
      <c r="M901" s="635"/>
      <c r="N901" s="788"/>
      <c r="O901" s="788"/>
      <c r="P901" s="650"/>
      <c r="Q901" s="789"/>
      <c r="R901" s="634"/>
      <c r="S901" s="634"/>
      <c r="T901" s="634"/>
      <c r="U901" s="634"/>
      <c r="V901" s="634"/>
      <c r="W901" s="634"/>
      <c r="X901" s="634"/>
      <c r="Y901" s="634"/>
      <c r="Z901" s="634"/>
    </row>
    <row r="902" ht="15.75" customHeight="1">
      <c r="A902" s="634"/>
      <c r="B902" s="634"/>
      <c r="C902" s="634"/>
      <c r="D902" s="634"/>
      <c r="E902" s="634"/>
      <c r="F902" s="635"/>
      <c r="G902" s="634"/>
      <c r="H902" s="636"/>
      <c r="I902" s="635"/>
      <c r="J902" s="635"/>
      <c r="K902" s="635"/>
      <c r="L902" s="635"/>
      <c r="M902" s="635"/>
      <c r="N902" s="788"/>
      <c r="O902" s="788"/>
      <c r="P902" s="650"/>
      <c r="Q902" s="789"/>
      <c r="R902" s="634"/>
      <c r="S902" s="634"/>
      <c r="T902" s="634"/>
      <c r="U902" s="634"/>
      <c r="V902" s="634"/>
      <c r="W902" s="634"/>
      <c r="X902" s="634"/>
      <c r="Y902" s="634"/>
      <c r="Z902" s="634"/>
    </row>
    <row r="903" ht="15.75" customHeight="1">
      <c r="A903" s="634"/>
      <c r="B903" s="634"/>
      <c r="C903" s="634"/>
      <c r="D903" s="634"/>
      <c r="E903" s="634"/>
      <c r="F903" s="635"/>
      <c r="G903" s="634"/>
      <c r="H903" s="636"/>
      <c r="I903" s="635"/>
      <c r="J903" s="635"/>
      <c r="K903" s="635"/>
      <c r="L903" s="635"/>
      <c r="M903" s="635"/>
      <c r="N903" s="788"/>
      <c r="O903" s="788"/>
      <c r="P903" s="650"/>
      <c r="Q903" s="789"/>
      <c r="R903" s="634"/>
      <c r="S903" s="634"/>
      <c r="T903" s="634"/>
      <c r="U903" s="634"/>
      <c r="V903" s="634"/>
      <c r="W903" s="634"/>
      <c r="X903" s="634"/>
      <c r="Y903" s="634"/>
      <c r="Z903" s="634"/>
    </row>
    <row r="904" ht="15.75" customHeight="1">
      <c r="A904" s="634"/>
      <c r="B904" s="634"/>
      <c r="C904" s="634"/>
      <c r="D904" s="634"/>
      <c r="E904" s="634"/>
      <c r="F904" s="635"/>
      <c r="G904" s="634"/>
      <c r="H904" s="636"/>
      <c r="I904" s="635"/>
      <c r="J904" s="635"/>
      <c r="K904" s="635"/>
      <c r="L904" s="635"/>
      <c r="M904" s="635"/>
      <c r="N904" s="788"/>
      <c r="O904" s="788"/>
      <c r="P904" s="650"/>
      <c r="Q904" s="789"/>
      <c r="R904" s="634"/>
      <c r="S904" s="634"/>
      <c r="T904" s="634"/>
      <c r="U904" s="634"/>
      <c r="V904" s="634"/>
      <c r="W904" s="634"/>
      <c r="X904" s="634"/>
      <c r="Y904" s="634"/>
      <c r="Z904" s="634"/>
    </row>
    <row r="905" ht="15.75" customHeight="1">
      <c r="A905" s="634"/>
      <c r="B905" s="634"/>
      <c r="C905" s="634"/>
      <c r="D905" s="634"/>
      <c r="E905" s="634"/>
      <c r="F905" s="635"/>
      <c r="G905" s="634"/>
      <c r="H905" s="636"/>
      <c r="I905" s="635"/>
      <c r="J905" s="635"/>
      <c r="K905" s="635"/>
      <c r="L905" s="635"/>
      <c r="M905" s="635"/>
      <c r="N905" s="788"/>
      <c r="O905" s="788"/>
      <c r="P905" s="650"/>
      <c r="Q905" s="789"/>
      <c r="R905" s="634"/>
      <c r="S905" s="634"/>
      <c r="T905" s="634"/>
      <c r="U905" s="634"/>
      <c r="V905" s="634"/>
      <c r="W905" s="634"/>
      <c r="X905" s="634"/>
      <c r="Y905" s="634"/>
      <c r="Z905" s="634"/>
    </row>
    <row r="906" ht="15.75" customHeight="1">
      <c r="A906" s="634"/>
      <c r="B906" s="634"/>
      <c r="C906" s="634"/>
      <c r="D906" s="634"/>
      <c r="E906" s="634"/>
      <c r="F906" s="635"/>
      <c r="G906" s="634"/>
      <c r="H906" s="636"/>
      <c r="I906" s="635"/>
      <c r="J906" s="635"/>
      <c r="K906" s="635"/>
      <c r="L906" s="635"/>
      <c r="M906" s="635"/>
      <c r="N906" s="788"/>
      <c r="O906" s="788"/>
      <c r="P906" s="650"/>
      <c r="Q906" s="789"/>
      <c r="R906" s="634"/>
      <c r="S906" s="634"/>
      <c r="T906" s="634"/>
      <c r="U906" s="634"/>
      <c r="V906" s="634"/>
      <c r="W906" s="634"/>
      <c r="X906" s="634"/>
      <c r="Y906" s="634"/>
      <c r="Z906" s="634"/>
    </row>
    <row r="907" ht="15.75" customHeight="1">
      <c r="A907" s="634"/>
      <c r="B907" s="634"/>
      <c r="C907" s="634"/>
      <c r="D907" s="634"/>
      <c r="E907" s="634"/>
      <c r="F907" s="635"/>
      <c r="G907" s="634"/>
      <c r="H907" s="636"/>
      <c r="I907" s="635"/>
      <c r="J907" s="635"/>
      <c r="K907" s="635"/>
      <c r="L907" s="635"/>
      <c r="M907" s="635"/>
      <c r="N907" s="788"/>
      <c r="O907" s="788"/>
      <c r="P907" s="650"/>
      <c r="Q907" s="789"/>
      <c r="R907" s="634"/>
      <c r="S907" s="634"/>
      <c r="T907" s="634"/>
      <c r="U907" s="634"/>
      <c r="V907" s="634"/>
      <c r="W907" s="634"/>
      <c r="X907" s="634"/>
      <c r="Y907" s="634"/>
      <c r="Z907" s="634"/>
    </row>
    <row r="908" ht="15.75" customHeight="1">
      <c r="A908" s="634"/>
      <c r="B908" s="634"/>
      <c r="C908" s="634"/>
      <c r="D908" s="634"/>
      <c r="E908" s="634"/>
      <c r="F908" s="635"/>
      <c r="G908" s="634"/>
      <c r="H908" s="636"/>
      <c r="I908" s="635"/>
      <c r="J908" s="635"/>
      <c r="K908" s="635"/>
      <c r="L908" s="635"/>
      <c r="M908" s="635"/>
      <c r="N908" s="788"/>
      <c r="O908" s="788"/>
      <c r="P908" s="650"/>
      <c r="Q908" s="789"/>
      <c r="R908" s="634"/>
      <c r="S908" s="634"/>
      <c r="T908" s="634"/>
      <c r="U908" s="634"/>
      <c r="V908" s="634"/>
      <c r="W908" s="634"/>
      <c r="X908" s="634"/>
      <c r="Y908" s="634"/>
      <c r="Z908" s="634"/>
    </row>
    <row r="909" ht="15.75" customHeight="1">
      <c r="A909" s="634"/>
      <c r="B909" s="634"/>
      <c r="C909" s="634"/>
      <c r="D909" s="634"/>
      <c r="E909" s="634"/>
      <c r="F909" s="635"/>
      <c r="G909" s="634"/>
      <c r="H909" s="636"/>
      <c r="I909" s="635"/>
      <c r="J909" s="635"/>
      <c r="K909" s="635"/>
      <c r="L909" s="635"/>
      <c r="M909" s="635"/>
      <c r="N909" s="788"/>
      <c r="O909" s="788"/>
      <c r="P909" s="650"/>
      <c r="Q909" s="789"/>
      <c r="R909" s="634"/>
      <c r="S909" s="634"/>
      <c r="T909" s="634"/>
      <c r="U909" s="634"/>
      <c r="V909" s="634"/>
      <c r="W909" s="634"/>
      <c r="X909" s="634"/>
      <c r="Y909" s="634"/>
      <c r="Z909" s="634"/>
    </row>
    <row r="910" ht="15.75" customHeight="1">
      <c r="A910" s="634"/>
      <c r="B910" s="634"/>
      <c r="C910" s="634"/>
      <c r="D910" s="634"/>
      <c r="E910" s="634"/>
      <c r="F910" s="635"/>
      <c r="G910" s="634"/>
      <c r="H910" s="636"/>
      <c r="I910" s="635"/>
      <c r="J910" s="635"/>
      <c r="K910" s="635"/>
      <c r="L910" s="635"/>
      <c r="M910" s="635"/>
      <c r="N910" s="788"/>
      <c r="O910" s="788"/>
      <c r="P910" s="650"/>
      <c r="Q910" s="789"/>
      <c r="R910" s="634"/>
      <c r="S910" s="634"/>
      <c r="T910" s="634"/>
      <c r="U910" s="634"/>
      <c r="V910" s="634"/>
      <c r="W910" s="634"/>
      <c r="X910" s="634"/>
      <c r="Y910" s="634"/>
      <c r="Z910" s="634"/>
    </row>
    <row r="911" ht="15.75" customHeight="1">
      <c r="A911" s="634"/>
      <c r="B911" s="634"/>
      <c r="C911" s="634"/>
      <c r="D911" s="634"/>
      <c r="E911" s="634"/>
      <c r="F911" s="635"/>
      <c r="G911" s="634"/>
      <c r="H911" s="636"/>
      <c r="I911" s="635"/>
      <c r="J911" s="635"/>
      <c r="K911" s="635"/>
      <c r="L911" s="635"/>
      <c r="M911" s="635"/>
      <c r="N911" s="788"/>
      <c r="O911" s="788"/>
      <c r="P911" s="650"/>
      <c r="Q911" s="789"/>
      <c r="R911" s="634"/>
      <c r="S911" s="634"/>
      <c r="T911" s="634"/>
      <c r="U911" s="634"/>
      <c r="V911" s="634"/>
      <c r="W911" s="634"/>
      <c r="X911" s="634"/>
      <c r="Y911" s="634"/>
      <c r="Z911" s="634"/>
    </row>
    <row r="912" ht="15.75" customHeight="1">
      <c r="A912" s="634"/>
      <c r="B912" s="634"/>
      <c r="C912" s="634"/>
      <c r="D912" s="634"/>
      <c r="E912" s="634"/>
      <c r="F912" s="635"/>
      <c r="G912" s="634"/>
      <c r="H912" s="636"/>
      <c r="I912" s="635"/>
      <c r="J912" s="635"/>
      <c r="K912" s="635"/>
      <c r="L912" s="635"/>
      <c r="M912" s="635"/>
      <c r="N912" s="788"/>
      <c r="O912" s="788"/>
      <c r="P912" s="650"/>
      <c r="Q912" s="789"/>
      <c r="R912" s="634"/>
      <c r="S912" s="634"/>
      <c r="T912" s="634"/>
      <c r="U912" s="634"/>
      <c r="V912" s="634"/>
      <c r="W912" s="634"/>
      <c r="X912" s="634"/>
      <c r="Y912" s="634"/>
      <c r="Z912" s="634"/>
    </row>
    <row r="913" ht="15.75" customHeight="1">
      <c r="A913" s="634"/>
      <c r="B913" s="634"/>
      <c r="C913" s="634"/>
      <c r="D913" s="634"/>
      <c r="E913" s="634"/>
      <c r="F913" s="635"/>
      <c r="G913" s="634"/>
      <c r="H913" s="636"/>
      <c r="I913" s="635"/>
      <c r="J913" s="635"/>
      <c r="K913" s="635"/>
      <c r="L913" s="635"/>
      <c r="M913" s="635"/>
      <c r="N913" s="788"/>
      <c r="O913" s="788"/>
      <c r="P913" s="650"/>
      <c r="Q913" s="789"/>
      <c r="R913" s="634"/>
      <c r="S913" s="634"/>
      <c r="T913" s="634"/>
      <c r="U913" s="634"/>
      <c r="V913" s="634"/>
      <c r="W913" s="634"/>
      <c r="X913" s="634"/>
      <c r="Y913" s="634"/>
      <c r="Z913" s="634"/>
    </row>
    <row r="914" ht="15.75" customHeight="1">
      <c r="A914" s="634"/>
      <c r="B914" s="634"/>
      <c r="C914" s="634"/>
      <c r="D914" s="634"/>
      <c r="E914" s="634"/>
      <c r="F914" s="635"/>
      <c r="G914" s="634"/>
      <c r="H914" s="636"/>
      <c r="I914" s="635"/>
      <c r="J914" s="635"/>
      <c r="K914" s="635"/>
      <c r="L914" s="635"/>
      <c r="M914" s="635"/>
      <c r="N914" s="788"/>
      <c r="O914" s="788"/>
      <c r="P914" s="650"/>
      <c r="Q914" s="789"/>
      <c r="R914" s="634"/>
      <c r="S914" s="634"/>
      <c r="T914" s="634"/>
      <c r="U914" s="634"/>
      <c r="V914" s="634"/>
      <c r="W914" s="634"/>
      <c r="X914" s="634"/>
      <c r="Y914" s="634"/>
      <c r="Z914" s="634"/>
    </row>
    <row r="915" ht="15.75" customHeight="1">
      <c r="A915" s="634"/>
      <c r="B915" s="634"/>
      <c r="C915" s="634"/>
      <c r="D915" s="634"/>
      <c r="E915" s="634"/>
      <c r="F915" s="635"/>
      <c r="G915" s="634"/>
      <c r="H915" s="636"/>
      <c r="I915" s="635"/>
      <c r="J915" s="635"/>
      <c r="K915" s="635"/>
      <c r="L915" s="635"/>
      <c r="M915" s="635"/>
      <c r="N915" s="788"/>
      <c r="O915" s="788"/>
      <c r="P915" s="650"/>
      <c r="Q915" s="789"/>
      <c r="R915" s="634"/>
      <c r="S915" s="634"/>
      <c r="T915" s="634"/>
      <c r="U915" s="634"/>
      <c r="V915" s="634"/>
      <c r="W915" s="634"/>
      <c r="X915" s="634"/>
      <c r="Y915" s="634"/>
      <c r="Z915" s="634"/>
    </row>
    <row r="916" ht="15.75" customHeight="1">
      <c r="A916" s="634"/>
      <c r="B916" s="634"/>
      <c r="C916" s="634"/>
      <c r="D916" s="634"/>
      <c r="E916" s="634"/>
      <c r="F916" s="635"/>
      <c r="G916" s="634"/>
      <c r="H916" s="636"/>
      <c r="I916" s="635"/>
      <c r="J916" s="635"/>
      <c r="K916" s="635"/>
      <c r="L916" s="635"/>
      <c r="M916" s="635"/>
      <c r="N916" s="788"/>
      <c r="O916" s="788"/>
      <c r="P916" s="650"/>
      <c r="Q916" s="789"/>
      <c r="R916" s="634"/>
      <c r="S916" s="634"/>
      <c r="T916" s="634"/>
      <c r="U916" s="634"/>
      <c r="V916" s="634"/>
      <c r="W916" s="634"/>
      <c r="X916" s="634"/>
      <c r="Y916" s="634"/>
      <c r="Z916" s="634"/>
    </row>
    <row r="917" ht="15.75" customHeight="1">
      <c r="A917" s="634"/>
      <c r="B917" s="634"/>
      <c r="C917" s="634"/>
      <c r="D917" s="634"/>
      <c r="E917" s="634"/>
      <c r="F917" s="635"/>
      <c r="G917" s="634"/>
      <c r="H917" s="636"/>
      <c r="I917" s="635"/>
      <c r="J917" s="635"/>
      <c r="K917" s="635"/>
      <c r="L917" s="635"/>
      <c r="M917" s="635"/>
      <c r="N917" s="788"/>
      <c r="O917" s="788"/>
      <c r="P917" s="650"/>
      <c r="Q917" s="789"/>
      <c r="R917" s="634"/>
      <c r="S917" s="634"/>
      <c r="T917" s="634"/>
      <c r="U917" s="634"/>
      <c r="V917" s="634"/>
      <c r="W917" s="634"/>
      <c r="X917" s="634"/>
      <c r="Y917" s="634"/>
      <c r="Z917" s="634"/>
    </row>
    <row r="918" ht="15.75" customHeight="1">
      <c r="A918" s="634"/>
      <c r="B918" s="634"/>
      <c r="C918" s="634"/>
      <c r="D918" s="634"/>
      <c r="E918" s="634"/>
      <c r="F918" s="635"/>
      <c r="G918" s="634"/>
      <c r="H918" s="636"/>
      <c r="I918" s="635"/>
      <c r="J918" s="635"/>
      <c r="K918" s="635"/>
      <c r="L918" s="635"/>
      <c r="M918" s="635"/>
      <c r="N918" s="788"/>
      <c r="O918" s="788"/>
      <c r="P918" s="650"/>
      <c r="Q918" s="789"/>
      <c r="R918" s="634"/>
      <c r="S918" s="634"/>
      <c r="T918" s="634"/>
      <c r="U918" s="634"/>
      <c r="V918" s="634"/>
      <c r="W918" s="634"/>
      <c r="X918" s="634"/>
      <c r="Y918" s="634"/>
      <c r="Z918" s="634"/>
    </row>
    <row r="919" ht="15.75" customHeight="1">
      <c r="A919" s="634"/>
      <c r="B919" s="634"/>
      <c r="C919" s="634"/>
      <c r="D919" s="634"/>
      <c r="E919" s="634"/>
      <c r="F919" s="635"/>
      <c r="G919" s="634"/>
      <c r="H919" s="636"/>
      <c r="I919" s="635"/>
      <c r="J919" s="635"/>
      <c r="K919" s="635"/>
      <c r="L919" s="635"/>
      <c r="M919" s="635"/>
      <c r="N919" s="788"/>
      <c r="O919" s="788"/>
      <c r="P919" s="650"/>
      <c r="Q919" s="789"/>
      <c r="R919" s="634"/>
      <c r="S919" s="634"/>
      <c r="T919" s="634"/>
      <c r="U919" s="634"/>
      <c r="V919" s="634"/>
      <c r="W919" s="634"/>
      <c r="X919" s="634"/>
      <c r="Y919" s="634"/>
      <c r="Z919" s="634"/>
    </row>
    <row r="920" ht="15.75" customHeight="1">
      <c r="A920" s="634"/>
      <c r="B920" s="634"/>
      <c r="C920" s="634"/>
      <c r="D920" s="634"/>
      <c r="E920" s="634"/>
      <c r="F920" s="635"/>
      <c r="G920" s="634"/>
      <c r="H920" s="636"/>
      <c r="I920" s="635"/>
      <c r="J920" s="635"/>
      <c r="K920" s="635"/>
      <c r="L920" s="635"/>
      <c r="M920" s="635"/>
      <c r="N920" s="788"/>
      <c r="O920" s="788"/>
      <c r="P920" s="650"/>
      <c r="Q920" s="789"/>
      <c r="R920" s="634"/>
      <c r="S920" s="634"/>
      <c r="T920" s="634"/>
      <c r="U920" s="634"/>
      <c r="V920" s="634"/>
      <c r="W920" s="634"/>
      <c r="X920" s="634"/>
      <c r="Y920" s="634"/>
      <c r="Z920" s="634"/>
    </row>
    <row r="921" ht="15.75" customHeight="1">
      <c r="A921" s="634"/>
      <c r="B921" s="634"/>
      <c r="C921" s="634"/>
      <c r="D921" s="634"/>
      <c r="E921" s="634"/>
      <c r="F921" s="635"/>
      <c r="G921" s="634"/>
      <c r="H921" s="636"/>
      <c r="I921" s="635"/>
      <c r="J921" s="635"/>
      <c r="K921" s="635"/>
      <c r="L921" s="635"/>
      <c r="M921" s="635"/>
      <c r="N921" s="788"/>
      <c r="O921" s="788"/>
      <c r="P921" s="650"/>
      <c r="Q921" s="789"/>
      <c r="R921" s="634"/>
      <c r="S921" s="634"/>
      <c r="T921" s="634"/>
      <c r="U921" s="634"/>
      <c r="V921" s="634"/>
      <c r="W921" s="634"/>
      <c r="X921" s="634"/>
      <c r="Y921" s="634"/>
      <c r="Z921" s="634"/>
    </row>
    <row r="922" ht="15.75" customHeight="1">
      <c r="A922" s="634"/>
      <c r="B922" s="634"/>
      <c r="C922" s="634"/>
      <c r="D922" s="634"/>
      <c r="E922" s="634"/>
      <c r="F922" s="635"/>
      <c r="G922" s="634"/>
      <c r="H922" s="636"/>
      <c r="I922" s="635"/>
      <c r="J922" s="635"/>
      <c r="K922" s="635"/>
      <c r="L922" s="635"/>
      <c r="M922" s="635"/>
      <c r="N922" s="788"/>
      <c r="O922" s="788"/>
      <c r="P922" s="650"/>
      <c r="Q922" s="789"/>
      <c r="R922" s="634"/>
      <c r="S922" s="634"/>
      <c r="T922" s="634"/>
      <c r="U922" s="634"/>
      <c r="V922" s="634"/>
      <c r="W922" s="634"/>
      <c r="X922" s="634"/>
      <c r="Y922" s="634"/>
      <c r="Z922" s="634"/>
    </row>
    <row r="923" ht="15.75" customHeight="1">
      <c r="A923" s="634"/>
      <c r="B923" s="634"/>
      <c r="C923" s="634"/>
      <c r="D923" s="634"/>
      <c r="E923" s="634"/>
      <c r="F923" s="635"/>
      <c r="G923" s="634"/>
      <c r="H923" s="636"/>
      <c r="I923" s="635"/>
      <c r="J923" s="635"/>
      <c r="K923" s="635"/>
      <c r="L923" s="635"/>
      <c r="M923" s="635"/>
      <c r="N923" s="788"/>
      <c r="O923" s="788"/>
      <c r="P923" s="650"/>
      <c r="Q923" s="789"/>
      <c r="R923" s="634"/>
      <c r="S923" s="634"/>
      <c r="T923" s="634"/>
      <c r="U923" s="634"/>
      <c r="V923" s="634"/>
      <c r="W923" s="634"/>
      <c r="X923" s="634"/>
      <c r="Y923" s="634"/>
      <c r="Z923" s="634"/>
    </row>
    <row r="924" ht="15.75" customHeight="1">
      <c r="A924" s="634"/>
      <c r="B924" s="634"/>
      <c r="C924" s="634"/>
      <c r="D924" s="634"/>
      <c r="E924" s="634"/>
      <c r="F924" s="635"/>
      <c r="G924" s="634"/>
      <c r="H924" s="636"/>
      <c r="I924" s="635"/>
      <c r="J924" s="635"/>
      <c r="K924" s="635"/>
      <c r="L924" s="635"/>
      <c r="M924" s="635"/>
      <c r="N924" s="788"/>
      <c r="O924" s="788"/>
      <c r="P924" s="650"/>
      <c r="Q924" s="789"/>
      <c r="R924" s="634"/>
      <c r="S924" s="634"/>
      <c r="T924" s="634"/>
      <c r="U924" s="634"/>
      <c r="V924" s="634"/>
      <c r="W924" s="634"/>
      <c r="X924" s="634"/>
      <c r="Y924" s="634"/>
      <c r="Z924" s="634"/>
    </row>
    <row r="925" ht="15.75" customHeight="1">
      <c r="A925" s="634"/>
      <c r="B925" s="634"/>
      <c r="C925" s="634"/>
      <c r="D925" s="634"/>
      <c r="E925" s="634"/>
      <c r="F925" s="635"/>
      <c r="G925" s="634"/>
      <c r="H925" s="636"/>
      <c r="I925" s="635"/>
      <c r="J925" s="635"/>
      <c r="K925" s="635"/>
      <c r="L925" s="635"/>
      <c r="M925" s="635"/>
      <c r="N925" s="788"/>
      <c r="O925" s="788"/>
      <c r="P925" s="650"/>
      <c r="Q925" s="789"/>
      <c r="R925" s="634"/>
      <c r="S925" s="634"/>
      <c r="T925" s="634"/>
      <c r="U925" s="634"/>
      <c r="V925" s="634"/>
      <c r="W925" s="634"/>
      <c r="X925" s="634"/>
      <c r="Y925" s="634"/>
      <c r="Z925" s="634"/>
    </row>
    <row r="926" ht="15.75" customHeight="1">
      <c r="A926" s="634"/>
      <c r="B926" s="634"/>
      <c r="C926" s="634"/>
      <c r="D926" s="634"/>
      <c r="E926" s="634"/>
      <c r="F926" s="635"/>
      <c r="G926" s="634"/>
      <c r="H926" s="636"/>
      <c r="I926" s="635"/>
      <c r="J926" s="635"/>
      <c r="K926" s="635"/>
      <c r="L926" s="635"/>
      <c r="M926" s="635"/>
      <c r="N926" s="788"/>
      <c r="O926" s="788"/>
      <c r="P926" s="650"/>
      <c r="Q926" s="789"/>
      <c r="R926" s="634"/>
      <c r="S926" s="634"/>
      <c r="T926" s="634"/>
      <c r="U926" s="634"/>
      <c r="V926" s="634"/>
      <c r="W926" s="634"/>
      <c r="X926" s="634"/>
      <c r="Y926" s="634"/>
      <c r="Z926" s="634"/>
    </row>
    <row r="927" ht="15.75" customHeight="1">
      <c r="A927" s="634"/>
      <c r="B927" s="634"/>
      <c r="C927" s="634"/>
      <c r="D927" s="634"/>
      <c r="E927" s="634"/>
      <c r="F927" s="635"/>
      <c r="G927" s="634"/>
      <c r="H927" s="636"/>
      <c r="I927" s="635"/>
      <c r="J927" s="635"/>
      <c r="K927" s="635"/>
      <c r="L927" s="635"/>
      <c r="M927" s="635"/>
      <c r="N927" s="788"/>
      <c r="O927" s="788"/>
      <c r="P927" s="650"/>
      <c r="Q927" s="789"/>
      <c r="R927" s="634"/>
      <c r="S927" s="634"/>
      <c r="T927" s="634"/>
      <c r="U927" s="634"/>
      <c r="V927" s="634"/>
      <c r="W927" s="634"/>
      <c r="X927" s="634"/>
      <c r="Y927" s="634"/>
      <c r="Z927" s="634"/>
    </row>
    <row r="928" ht="15.75" customHeight="1">
      <c r="A928" s="634"/>
      <c r="B928" s="634"/>
      <c r="C928" s="634"/>
      <c r="D928" s="634"/>
      <c r="E928" s="634"/>
      <c r="F928" s="635"/>
      <c r="G928" s="634"/>
      <c r="H928" s="636"/>
      <c r="I928" s="635"/>
      <c r="J928" s="635"/>
      <c r="K928" s="635"/>
      <c r="L928" s="635"/>
      <c r="M928" s="635"/>
      <c r="N928" s="788"/>
      <c r="O928" s="788"/>
      <c r="P928" s="650"/>
      <c r="Q928" s="789"/>
      <c r="R928" s="634"/>
      <c r="S928" s="634"/>
      <c r="T928" s="634"/>
      <c r="U928" s="634"/>
      <c r="V928" s="634"/>
      <c r="W928" s="634"/>
      <c r="X928" s="634"/>
      <c r="Y928" s="634"/>
      <c r="Z928" s="634"/>
    </row>
    <row r="929" ht="15.75" customHeight="1">
      <c r="A929" s="634"/>
      <c r="B929" s="634"/>
      <c r="C929" s="634"/>
      <c r="D929" s="634"/>
      <c r="E929" s="634"/>
      <c r="F929" s="635"/>
      <c r="G929" s="634"/>
      <c r="H929" s="636"/>
      <c r="I929" s="635"/>
      <c r="J929" s="635"/>
      <c r="K929" s="635"/>
      <c r="L929" s="635"/>
      <c r="M929" s="635"/>
      <c r="N929" s="788"/>
      <c r="O929" s="788"/>
      <c r="P929" s="650"/>
      <c r="Q929" s="789"/>
      <c r="R929" s="634"/>
      <c r="S929" s="634"/>
      <c r="T929" s="634"/>
      <c r="U929" s="634"/>
      <c r="V929" s="634"/>
      <c r="W929" s="634"/>
      <c r="X929" s="634"/>
      <c r="Y929" s="634"/>
      <c r="Z929" s="634"/>
    </row>
    <row r="930" ht="15.75" customHeight="1">
      <c r="A930" s="634"/>
      <c r="B930" s="634"/>
      <c r="C930" s="634"/>
      <c r="D930" s="634"/>
      <c r="E930" s="634"/>
      <c r="F930" s="635"/>
      <c r="G930" s="634"/>
      <c r="H930" s="636"/>
      <c r="I930" s="635"/>
      <c r="J930" s="635"/>
      <c r="K930" s="635"/>
      <c r="L930" s="635"/>
      <c r="M930" s="635"/>
      <c r="N930" s="788"/>
      <c r="O930" s="788"/>
      <c r="P930" s="650"/>
      <c r="Q930" s="789"/>
      <c r="R930" s="634"/>
      <c r="S930" s="634"/>
      <c r="T930" s="634"/>
      <c r="U930" s="634"/>
      <c r="V930" s="634"/>
      <c r="W930" s="634"/>
      <c r="X930" s="634"/>
      <c r="Y930" s="634"/>
      <c r="Z930" s="634"/>
    </row>
    <row r="931" ht="15.75" customHeight="1">
      <c r="A931" s="634"/>
      <c r="B931" s="634"/>
      <c r="C931" s="634"/>
      <c r="D931" s="634"/>
      <c r="E931" s="634"/>
      <c r="F931" s="635"/>
      <c r="G931" s="634"/>
      <c r="H931" s="636"/>
      <c r="I931" s="635"/>
      <c r="J931" s="635"/>
      <c r="K931" s="635"/>
      <c r="L931" s="635"/>
      <c r="M931" s="635"/>
      <c r="N931" s="788"/>
      <c r="O931" s="788"/>
      <c r="P931" s="650"/>
      <c r="Q931" s="789"/>
      <c r="R931" s="634"/>
      <c r="S931" s="634"/>
      <c r="T931" s="634"/>
      <c r="U931" s="634"/>
      <c r="V931" s="634"/>
      <c r="W931" s="634"/>
      <c r="X931" s="634"/>
      <c r="Y931" s="634"/>
      <c r="Z931" s="634"/>
    </row>
    <row r="932" ht="15.75" customHeight="1">
      <c r="A932" s="634"/>
      <c r="B932" s="634"/>
      <c r="C932" s="634"/>
      <c r="D932" s="634"/>
      <c r="E932" s="634"/>
      <c r="F932" s="635"/>
      <c r="G932" s="634"/>
      <c r="H932" s="636"/>
      <c r="I932" s="635"/>
      <c r="J932" s="635"/>
      <c r="K932" s="635"/>
      <c r="L932" s="635"/>
      <c r="M932" s="635"/>
      <c r="N932" s="788"/>
      <c r="O932" s="788"/>
      <c r="P932" s="650"/>
      <c r="Q932" s="789"/>
      <c r="R932" s="634"/>
      <c r="S932" s="634"/>
      <c r="T932" s="634"/>
      <c r="U932" s="634"/>
      <c r="V932" s="634"/>
      <c r="W932" s="634"/>
      <c r="X932" s="634"/>
      <c r="Y932" s="634"/>
      <c r="Z932" s="634"/>
    </row>
    <row r="933" ht="15.75" customHeight="1">
      <c r="A933" s="634"/>
      <c r="B933" s="634"/>
      <c r="C933" s="634"/>
      <c r="D933" s="634"/>
      <c r="E933" s="634"/>
      <c r="F933" s="635"/>
      <c r="G933" s="634"/>
      <c r="H933" s="636"/>
      <c r="I933" s="635"/>
      <c r="J933" s="635"/>
      <c r="K933" s="635"/>
      <c r="L933" s="635"/>
      <c r="M933" s="635"/>
      <c r="N933" s="788"/>
      <c r="O933" s="788"/>
      <c r="P933" s="650"/>
      <c r="Q933" s="789"/>
      <c r="R933" s="634"/>
      <c r="S933" s="634"/>
      <c r="T933" s="634"/>
      <c r="U933" s="634"/>
      <c r="V933" s="634"/>
      <c r="W933" s="634"/>
      <c r="X933" s="634"/>
      <c r="Y933" s="634"/>
      <c r="Z933" s="634"/>
    </row>
    <row r="934" ht="15.75" customHeight="1">
      <c r="A934" s="634"/>
      <c r="B934" s="634"/>
      <c r="C934" s="634"/>
      <c r="D934" s="634"/>
      <c r="E934" s="634"/>
      <c r="F934" s="635"/>
      <c r="G934" s="634"/>
      <c r="H934" s="636"/>
      <c r="I934" s="635"/>
      <c r="J934" s="635"/>
      <c r="K934" s="635"/>
      <c r="L934" s="635"/>
      <c r="M934" s="635"/>
      <c r="N934" s="788"/>
      <c r="O934" s="788"/>
      <c r="P934" s="650"/>
      <c r="Q934" s="789"/>
      <c r="R934" s="634"/>
      <c r="S934" s="634"/>
      <c r="T934" s="634"/>
      <c r="U934" s="634"/>
      <c r="V934" s="634"/>
      <c r="W934" s="634"/>
      <c r="X934" s="634"/>
      <c r="Y934" s="634"/>
      <c r="Z934" s="634"/>
    </row>
    <row r="935" ht="15.75" customHeight="1">
      <c r="A935" s="634"/>
      <c r="B935" s="634"/>
      <c r="C935" s="634"/>
      <c r="D935" s="634"/>
      <c r="E935" s="634"/>
      <c r="F935" s="635"/>
      <c r="G935" s="634"/>
      <c r="H935" s="636"/>
      <c r="I935" s="635"/>
      <c r="J935" s="635"/>
      <c r="K935" s="635"/>
      <c r="L935" s="635"/>
      <c r="M935" s="635"/>
      <c r="N935" s="788"/>
      <c r="O935" s="788"/>
      <c r="P935" s="650"/>
      <c r="Q935" s="789"/>
      <c r="R935" s="634"/>
      <c r="S935" s="634"/>
      <c r="T935" s="634"/>
      <c r="U935" s="634"/>
      <c r="V935" s="634"/>
      <c r="W935" s="634"/>
      <c r="X935" s="634"/>
      <c r="Y935" s="634"/>
      <c r="Z935" s="634"/>
    </row>
    <row r="936" ht="15.75" customHeight="1">
      <c r="A936" s="634"/>
      <c r="B936" s="634"/>
      <c r="C936" s="634"/>
      <c r="D936" s="634"/>
      <c r="E936" s="634"/>
      <c r="F936" s="635"/>
      <c r="G936" s="634"/>
      <c r="H936" s="636"/>
      <c r="I936" s="635"/>
      <c r="J936" s="635"/>
      <c r="K936" s="635"/>
      <c r="L936" s="635"/>
      <c r="M936" s="635"/>
      <c r="N936" s="788"/>
      <c r="O936" s="788"/>
      <c r="P936" s="650"/>
      <c r="Q936" s="789"/>
      <c r="R936" s="634"/>
      <c r="S936" s="634"/>
      <c r="T936" s="634"/>
      <c r="U936" s="634"/>
      <c r="V936" s="634"/>
      <c r="W936" s="634"/>
      <c r="X936" s="634"/>
      <c r="Y936" s="634"/>
      <c r="Z936" s="634"/>
    </row>
    <row r="937" ht="15.75" customHeight="1">
      <c r="A937" s="634"/>
      <c r="B937" s="634"/>
      <c r="C937" s="634"/>
      <c r="D937" s="634"/>
      <c r="E937" s="634"/>
      <c r="F937" s="635"/>
      <c r="G937" s="634"/>
      <c r="H937" s="636"/>
      <c r="I937" s="635"/>
      <c r="J937" s="635"/>
      <c r="K937" s="635"/>
      <c r="L937" s="635"/>
      <c r="M937" s="635"/>
      <c r="N937" s="788"/>
      <c r="O937" s="788"/>
      <c r="P937" s="650"/>
      <c r="Q937" s="789"/>
      <c r="R937" s="634"/>
      <c r="S937" s="634"/>
      <c r="T937" s="634"/>
      <c r="U937" s="634"/>
      <c r="V937" s="634"/>
      <c r="W937" s="634"/>
      <c r="X937" s="634"/>
      <c r="Y937" s="634"/>
      <c r="Z937" s="634"/>
    </row>
    <row r="938" ht="15.75" customHeight="1">
      <c r="A938" s="634"/>
      <c r="B938" s="634"/>
      <c r="C938" s="634"/>
      <c r="D938" s="634"/>
      <c r="E938" s="634"/>
      <c r="F938" s="635"/>
      <c r="G938" s="634"/>
      <c r="H938" s="636"/>
      <c r="I938" s="635"/>
      <c r="J938" s="635"/>
      <c r="K938" s="635"/>
      <c r="L938" s="635"/>
      <c r="M938" s="635"/>
      <c r="N938" s="788"/>
      <c r="O938" s="788"/>
      <c r="P938" s="650"/>
      <c r="Q938" s="789"/>
      <c r="R938" s="634"/>
      <c r="S938" s="634"/>
      <c r="T938" s="634"/>
      <c r="U938" s="634"/>
      <c r="V938" s="634"/>
      <c r="W938" s="634"/>
      <c r="X938" s="634"/>
      <c r="Y938" s="634"/>
      <c r="Z938" s="634"/>
    </row>
    <row r="939" ht="15.75" customHeight="1">
      <c r="A939" s="634"/>
      <c r="B939" s="634"/>
      <c r="C939" s="634"/>
      <c r="D939" s="634"/>
      <c r="E939" s="634"/>
      <c r="F939" s="635"/>
      <c r="G939" s="634"/>
      <c r="H939" s="636"/>
      <c r="I939" s="635"/>
      <c r="J939" s="635"/>
      <c r="K939" s="635"/>
      <c r="L939" s="635"/>
      <c r="M939" s="635"/>
      <c r="N939" s="788"/>
      <c r="O939" s="788"/>
      <c r="P939" s="650"/>
      <c r="Q939" s="789"/>
      <c r="R939" s="634"/>
      <c r="S939" s="634"/>
      <c r="T939" s="634"/>
      <c r="U939" s="634"/>
      <c r="V939" s="634"/>
      <c r="W939" s="634"/>
      <c r="X939" s="634"/>
      <c r="Y939" s="634"/>
      <c r="Z939" s="634"/>
    </row>
    <row r="940" ht="15.75" customHeight="1">
      <c r="A940" s="634"/>
      <c r="B940" s="634"/>
      <c r="C940" s="634"/>
      <c r="D940" s="634"/>
      <c r="E940" s="634"/>
      <c r="F940" s="635"/>
      <c r="G940" s="634"/>
      <c r="H940" s="636"/>
      <c r="I940" s="635"/>
      <c r="J940" s="635"/>
      <c r="K940" s="635"/>
      <c r="L940" s="635"/>
      <c r="M940" s="635"/>
      <c r="N940" s="788"/>
      <c r="O940" s="788"/>
      <c r="P940" s="650"/>
      <c r="Q940" s="789"/>
      <c r="R940" s="634"/>
      <c r="S940" s="634"/>
      <c r="T940" s="634"/>
      <c r="U940" s="634"/>
      <c r="V940" s="634"/>
      <c r="W940" s="634"/>
      <c r="X940" s="634"/>
      <c r="Y940" s="634"/>
      <c r="Z940" s="634"/>
    </row>
    <row r="941" ht="15.75" customHeight="1">
      <c r="A941" s="634"/>
      <c r="B941" s="634"/>
      <c r="C941" s="634"/>
      <c r="D941" s="634"/>
      <c r="E941" s="634"/>
      <c r="F941" s="635"/>
      <c r="G941" s="634"/>
      <c r="H941" s="636"/>
      <c r="I941" s="635"/>
      <c r="J941" s="635"/>
      <c r="K941" s="635"/>
      <c r="L941" s="635"/>
      <c r="M941" s="635"/>
      <c r="N941" s="788"/>
      <c r="O941" s="788"/>
      <c r="P941" s="650"/>
      <c r="Q941" s="789"/>
      <c r="R941" s="634"/>
      <c r="S941" s="634"/>
      <c r="T941" s="634"/>
      <c r="U941" s="634"/>
      <c r="V941" s="634"/>
      <c r="W941" s="634"/>
      <c r="X941" s="634"/>
      <c r="Y941" s="634"/>
      <c r="Z941" s="634"/>
    </row>
    <row r="942" ht="15.75" customHeight="1">
      <c r="A942" s="634"/>
      <c r="B942" s="634"/>
      <c r="C942" s="634"/>
      <c r="D942" s="634"/>
      <c r="E942" s="634"/>
      <c r="F942" s="635"/>
      <c r="G942" s="634"/>
      <c r="H942" s="636"/>
      <c r="I942" s="635"/>
      <c r="J942" s="635"/>
      <c r="K942" s="635"/>
      <c r="L942" s="635"/>
      <c r="M942" s="635"/>
      <c r="N942" s="788"/>
      <c r="O942" s="788"/>
      <c r="P942" s="650"/>
      <c r="Q942" s="789"/>
      <c r="R942" s="634"/>
      <c r="S942" s="634"/>
      <c r="T942" s="634"/>
      <c r="U942" s="634"/>
      <c r="V942" s="634"/>
      <c r="W942" s="634"/>
      <c r="X942" s="634"/>
      <c r="Y942" s="634"/>
      <c r="Z942" s="634"/>
    </row>
    <row r="943" ht="15.75" customHeight="1">
      <c r="A943" s="634"/>
      <c r="B943" s="634"/>
      <c r="C943" s="634"/>
      <c r="D943" s="634"/>
      <c r="E943" s="634"/>
      <c r="F943" s="635"/>
      <c r="G943" s="634"/>
      <c r="H943" s="636"/>
      <c r="I943" s="635"/>
      <c r="J943" s="635"/>
      <c r="K943" s="635"/>
      <c r="L943" s="635"/>
      <c r="M943" s="635"/>
      <c r="N943" s="788"/>
      <c r="O943" s="788"/>
      <c r="P943" s="650"/>
      <c r="Q943" s="789"/>
      <c r="R943" s="634"/>
      <c r="S943" s="634"/>
      <c r="T943" s="634"/>
      <c r="U943" s="634"/>
      <c r="V943" s="634"/>
      <c r="W943" s="634"/>
      <c r="X943" s="634"/>
      <c r="Y943" s="634"/>
      <c r="Z943" s="634"/>
    </row>
    <row r="944" ht="15.75" customHeight="1">
      <c r="A944" s="634"/>
      <c r="B944" s="634"/>
      <c r="C944" s="634"/>
      <c r="D944" s="634"/>
      <c r="E944" s="634"/>
      <c r="F944" s="635"/>
      <c r="G944" s="634"/>
      <c r="H944" s="636"/>
      <c r="I944" s="635"/>
      <c r="J944" s="635"/>
      <c r="K944" s="635"/>
      <c r="L944" s="635"/>
      <c r="M944" s="635"/>
      <c r="N944" s="788"/>
      <c r="O944" s="788"/>
      <c r="P944" s="650"/>
      <c r="Q944" s="789"/>
      <c r="R944" s="634"/>
      <c r="S944" s="634"/>
      <c r="T944" s="634"/>
      <c r="U944" s="634"/>
      <c r="V944" s="634"/>
      <c r="W944" s="634"/>
      <c r="X944" s="634"/>
      <c r="Y944" s="634"/>
      <c r="Z944" s="634"/>
    </row>
    <row r="945" ht="15.75" customHeight="1">
      <c r="A945" s="634"/>
      <c r="B945" s="634"/>
      <c r="C945" s="634"/>
      <c r="D945" s="634"/>
      <c r="E945" s="634"/>
      <c r="F945" s="635"/>
      <c r="G945" s="634"/>
      <c r="H945" s="636"/>
      <c r="I945" s="635"/>
      <c r="J945" s="635"/>
      <c r="K945" s="635"/>
      <c r="L945" s="635"/>
      <c r="M945" s="635"/>
      <c r="N945" s="788"/>
      <c r="O945" s="788"/>
      <c r="P945" s="650"/>
      <c r="Q945" s="789"/>
      <c r="R945" s="634"/>
      <c r="S945" s="634"/>
      <c r="T945" s="634"/>
      <c r="U945" s="634"/>
      <c r="V945" s="634"/>
      <c r="W945" s="634"/>
      <c r="X945" s="634"/>
      <c r="Y945" s="634"/>
      <c r="Z945" s="634"/>
    </row>
    <row r="946" ht="15.75" customHeight="1">
      <c r="A946" s="634"/>
      <c r="B946" s="634"/>
      <c r="C946" s="634"/>
      <c r="D946" s="634"/>
      <c r="E946" s="634"/>
      <c r="F946" s="635"/>
      <c r="G946" s="634"/>
      <c r="H946" s="636"/>
      <c r="I946" s="635"/>
      <c r="J946" s="635"/>
      <c r="K946" s="635"/>
      <c r="L946" s="635"/>
      <c r="M946" s="635"/>
      <c r="N946" s="788"/>
      <c r="O946" s="788"/>
      <c r="P946" s="650"/>
      <c r="Q946" s="789"/>
      <c r="R946" s="634"/>
      <c r="S946" s="634"/>
      <c r="T946" s="634"/>
      <c r="U946" s="634"/>
      <c r="V946" s="634"/>
      <c r="W946" s="634"/>
      <c r="X946" s="634"/>
      <c r="Y946" s="634"/>
      <c r="Z946" s="634"/>
    </row>
    <row r="947" ht="15.75" customHeight="1">
      <c r="A947" s="634"/>
      <c r="B947" s="634"/>
      <c r="C947" s="634"/>
      <c r="D947" s="634"/>
      <c r="E947" s="634"/>
      <c r="F947" s="635"/>
      <c r="G947" s="634"/>
      <c r="H947" s="636"/>
      <c r="I947" s="635"/>
      <c r="J947" s="635"/>
      <c r="K947" s="635"/>
      <c r="L947" s="635"/>
      <c r="M947" s="635"/>
      <c r="N947" s="788"/>
      <c r="O947" s="788"/>
      <c r="P947" s="650"/>
      <c r="Q947" s="789"/>
      <c r="R947" s="634"/>
      <c r="S947" s="634"/>
      <c r="T947" s="634"/>
      <c r="U947" s="634"/>
      <c r="V947" s="634"/>
      <c r="W947" s="634"/>
      <c r="X947" s="634"/>
      <c r="Y947" s="634"/>
      <c r="Z947" s="634"/>
    </row>
    <row r="948" ht="15.75" customHeight="1">
      <c r="A948" s="634"/>
      <c r="B948" s="634"/>
      <c r="C948" s="634"/>
      <c r="D948" s="634"/>
      <c r="E948" s="634"/>
      <c r="F948" s="635"/>
      <c r="G948" s="634"/>
      <c r="H948" s="636"/>
      <c r="I948" s="635"/>
      <c r="J948" s="635"/>
      <c r="K948" s="635"/>
      <c r="L948" s="635"/>
      <c r="M948" s="635"/>
      <c r="N948" s="788"/>
      <c r="O948" s="788"/>
      <c r="P948" s="650"/>
      <c r="Q948" s="789"/>
      <c r="R948" s="634"/>
      <c r="S948" s="634"/>
      <c r="T948" s="634"/>
      <c r="U948" s="634"/>
      <c r="V948" s="634"/>
      <c r="W948" s="634"/>
      <c r="X948" s="634"/>
      <c r="Y948" s="634"/>
      <c r="Z948" s="634"/>
    </row>
    <row r="949" ht="15.75" customHeight="1">
      <c r="A949" s="634"/>
      <c r="B949" s="634"/>
      <c r="C949" s="634"/>
      <c r="D949" s="634"/>
      <c r="E949" s="634"/>
      <c r="F949" s="635"/>
      <c r="G949" s="634"/>
      <c r="H949" s="636"/>
      <c r="I949" s="635"/>
      <c r="J949" s="635"/>
      <c r="K949" s="635"/>
      <c r="L949" s="635"/>
      <c r="M949" s="635"/>
      <c r="N949" s="788"/>
      <c r="O949" s="788"/>
      <c r="P949" s="650"/>
      <c r="Q949" s="789"/>
      <c r="R949" s="634"/>
      <c r="S949" s="634"/>
      <c r="T949" s="634"/>
      <c r="U949" s="634"/>
      <c r="V949" s="634"/>
      <c r="W949" s="634"/>
      <c r="X949" s="634"/>
      <c r="Y949" s="634"/>
      <c r="Z949" s="634"/>
    </row>
    <row r="950" ht="15.75" customHeight="1">
      <c r="A950" s="634"/>
      <c r="B950" s="634"/>
      <c r="C950" s="634"/>
      <c r="D950" s="634"/>
      <c r="E950" s="634"/>
      <c r="F950" s="635"/>
      <c r="G950" s="634"/>
      <c r="H950" s="636"/>
      <c r="I950" s="635"/>
      <c r="J950" s="635"/>
      <c r="K950" s="635"/>
      <c r="L950" s="635"/>
      <c r="M950" s="635"/>
      <c r="N950" s="788"/>
      <c r="O950" s="788"/>
      <c r="P950" s="650"/>
      <c r="Q950" s="789"/>
      <c r="R950" s="634"/>
      <c r="S950" s="634"/>
      <c r="T950" s="634"/>
      <c r="U950" s="634"/>
      <c r="V950" s="634"/>
      <c r="W950" s="634"/>
      <c r="X950" s="634"/>
      <c r="Y950" s="634"/>
      <c r="Z950" s="634"/>
    </row>
    <row r="951" ht="15.75" customHeight="1">
      <c r="A951" s="634"/>
      <c r="B951" s="634"/>
      <c r="C951" s="634"/>
      <c r="D951" s="634"/>
      <c r="E951" s="634"/>
      <c r="F951" s="635"/>
      <c r="G951" s="634"/>
      <c r="H951" s="636"/>
      <c r="I951" s="635"/>
      <c r="J951" s="635"/>
      <c r="K951" s="635"/>
      <c r="L951" s="635"/>
      <c r="M951" s="635"/>
      <c r="N951" s="788"/>
      <c r="O951" s="788"/>
      <c r="P951" s="650"/>
      <c r="Q951" s="789"/>
      <c r="R951" s="634"/>
      <c r="S951" s="634"/>
      <c r="T951" s="634"/>
      <c r="U951" s="634"/>
      <c r="V951" s="634"/>
      <c r="W951" s="634"/>
      <c r="X951" s="634"/>
      <c r="Y951" s="634"/>
      <c r="Z951" s="634"/>
    </row>
    <row r="952" ht="15.75" customHeight="1">
      <c r="A952" s="634"/>
      <c r="B952" s="634"/>
      <c r="C952" s="634"/>
      <c r="D952" s="634"/>
      <c r="E952" s="634"/>
      <c r="F952" s="635"/>
      <c r="G952" s="634"/>
      <c r="H952" s="636"/>
      <c r="I952" s="635"/>
      <c r="J952" s="635"/>
      <c r="K952" s="635"/>
      <c r="L952" s="635"/>
      <c r="M952" s="635"/>
      <c r="N952" s="788"/>
      <c r="O952" s="788"/>
      <c r="P952" s="650"/>
      <c r="Q952" s="789"/>
      <c r="R952" s="634"/>
      <c r="S952" s="634"/>
      <c r="T952" s="634"/>
      <c r="U952" s="634"/>
      <c r="V952" s="634"/>
      <c r="W952" s="634"/>
      <c r="X952" s="634"/>
      <c r="Y952" s="634"/>
      <c r="Z952" s="634"/>
    </row>
    <row r="953" ht="15.75" customHeight="1">
      <c r="A953" s="634"/>
      <c r="B953" s="634"/>
      <c r="C953" s="634"/>
      <c r="D953" s="634"/>
      <c r="E953" s="634"/>
      <c r="F953" s="635"/>
      <c r="G953" s="634"/>
      <c r="H953" s="636"/>
      <c r="I953" s="635"/>
      <c r="J953" s="635"/>
      <c r="K953" s="635"/>
      <c r="L953" s="635"/>
      <c r="M953" s="635"/>
      <c r="N953" s="788"/>
      <c r="O953" s="788"/>
      <c r="P953" s="650"/>
      <c r="Q953" s="789"/>
      <c r="R953" s="634"/>
      <c r="S953" s="634"/>
      <c r="T953" s="634"/>
      <c r="U953" s="634"/>
      <c r="V953" s="634"/>
      <c r="W953" s="634"/>
      <c r="X953" s="634"/>
      <c r="Y953" s="634"/>
      <c r="Z953" s="634"/>
    </row>
    <row r="954" ht="15.75" customHeight="1">
      <c r="A954" s="634"/>
      <c r="B954" s="634"/>
      <c r="C954" s="634"/>
      <c r="D954" s="634"/>
      <c r="E954" s="634"/>
      <c r="F954" s="635"/>
      <c r="G954" s="634"/>
      <c r="H954" s="636"/>
      <c r="I954" s="635"/>
      <c r="J954" s="635"/>
      <c r="K954" s="635"/>
      <c r="L954" s="635"/>
      <c r="M954" s="635"/>
      <c r="N954" s="788"/>
      <c r="O954" s="788"/>
      <c r="P954" s="650"/>
      <c r="Q954" s="789"/>
      <c r="R954" s="634"/>
      <c r="S954" s="634"/>
      <c r="T954" s="634"/>
      <c r="U954" s="634"/>
      <c r="V954" s="634"/>
      <c r="W954" s="634"/>
      <c r="X954" s="634"/>
      <c r="Y954" s="634"/>
      <c r="Z954" s="634"/>
    </row>
    <row r="955" ht="15.75" customHeight="1">
      <c r="A955" s="634"/>
      <c r="B955" s="634"/>
      <c r="C955" s="634"/>
      <c r="D955" s="634"/>
      <c r="E955" s="634"/>
      <c r="F955" s="635"/>
      <c r="G955" s="634"/>
      <c r="H955" s="636"/>
      <c r="I955" s="635"/>
      <c r="J955" s="635"/>
      <c r="K955" s="635"/>
      <c r="L955" s="635"/>
      <c r="M955" s="635"/>
      <c r="N955" s="788"/>
      <c r="O955" s="788"/>
      <c r="P955" s="650"/>
      <c r="Q955" s="789"/>
      <c r="R955" s="634"/>
      <c r="S955" s="634"/>
      <c r="T955" s="634"/>
      <c r="U955" s="634"/>
      <c r="V955" s="634"/>
      <c r="W955" s="634"/>
      <c r="X955" s="634"/>
      <c r="Y955" s="634"/>
      <c r="Z955" s="634"/>
    </row>
    <row r="956" ht="15.75" customHeight="1">
      <c r="A956" s="634"/>
      <c r="B956" s="634"/>
      <c r="C956" s="634"/>
      <c r="D956" s="634"/>
      <c r="E956" s="634"/>
      <c r="F956" s="635"/>
      <c r="G956" s="634"/>
      <c r="H956" s="636"/>
      <c r="I956" s="635"/>
      <c r="J956" s="635"/>
      <c r="K956" s="635"/>
      <c r="L956" s="635"/>
      <c r="M956" s="635"/>
      <c r="N956" s="788"/>
      <c r="O956" s="788"/>
      <c r="P956" s="650"/>
      <c r="Q956" s="789"/>
      <c r="R956" s="634"/>
      <c r="S956" s="634"/>
      <c r="T956" s="634"/>
      <c r="U956" s="634"/>
      <c r="V956" s="634"/>
      <c r="W956" s="634"/>
      <c r="X956" s="634"/>
      <c r="Y956" s="634"/>
      <c r="Z956" s="634"/>
    </row>
    <row r="957" ht="15.75" customHeight="1">
      <c r="A957" s="634"/>
      <c r="B957" s="634"/>
      <c r="C957" s="634"/>
      <c r="D957" s="634"/>
      <c r="E957" s="634"/>
      <c r="F957" s="635"/>
      <c r="G957" s="634"/>
      <c r="H957" s="636"/>
      <c r="I957" s="635"/>
      <c r="J957" s="635"/>
      <c r="K957" s="635"/>
      <c r="L957" s="635"/>
      <c r="M957" s="635"/>
      <c r="N957" s="788"/>
      <c r="O957" s="788"/>
      <c r="P957" s="650"/>
      <c r="Q957" s="789"/>
      <c r="R957" s="634"/>
      <c r="S957" s="634"/>
      <c r="T957" s="634"/>
      <c r="U957" s="634"/>
      <c r="V957" s="634"/>
      <c r="W957" s="634"/>
      <c r="X957" s="634"/>
      <c r="Y957" s="634"/>
      <c r="Z957" s="634"/>
    </row>
    <row r="958" ht="15.75" customHeight="1">
      <c r="A958" s="634"/>
      <c r="B958" s="634"/>
      <c r="C958" s="634"/>
      <c r="D958" s="634"/>
      <c r="E958" s="634"/>
      <c r="F958" s="635"/>
      <c r="G958" s="634"/>
      <c r="H958" s="636"/>
      <c r="I958" s="635"/>
      <c r="J958" s="635"/>
      <c r="K958" s="635"/>
      <c r="L958" s="635"/>
      <c r="M958" s="635"/>
      <c r="N958" s="788"/>
      <c r="O958" s="788"/>
      <c r="P958" s="650"/>
      <c r="Q958" s="789"/>
      <c r="R958" s="634"/>
      <c r="S958" s="634"/>
      <c r="T958" s="634"/>
      <c r="U958" s="634"/>
      <c r="V958" s="634"/>
      <c r="W958" s="634"/>
      <c r="X958" s="634"/>
      <c r="Y958" s="634"/>
      <c r="Z958" s="634"/>
    </row>
    <row r="959" ht="15.75" customHeight="1">
      <c r="A959" s="634"/>
      <c r="B959" s="634"/>
      <c r="C959" s="634"/>
      <c r="D959" s="634"/>
      <c r="E959" s="634"/>
      <c r="F959" s="635"/>
      <c r="G959" s="634"/>
      <c r="H959" s="636"/>
      <c r="I959" s="635"/>
      <c r="J959" s="635"/>
      <c r="K959" s="635"/>
      <c r="L959" s="635"/>
      <c r="M959" s="635"/>
      <c r="N959" s="788"/>
      <c r="O959" s="788"/>
      <c r="P959" s="650"/>
      <c r="Q959" s="789"/>
      <c r="R959" s="634"/>
      <c r="S959" s="634"/>
      <c r="T959" s="634"/>
      <c r="U959" s="634"/>
      <c r="V959" s="634"/>
      <c r="W959" s="634"/>
      <c r="X959" s="634"/>
      <c r="Y959" s="634"/>
      <c r="Z959" s="634"/>
    </row>
    <row r="960" ht="15.75" customHeight="1">
      <c r="A960" s="634"/>
      <c r="B960" s="634"/>
      <c r="C960" s="634"/>
      <c r="D960" s="634"/>
      <c r="E960" s="634"/>
      <c r="F960" s="635"/>
      <c r="G960" s="634"/>
      <c r="H960" s="636"/>
      <c r="I960" s="635"/>
      <c r="J960" s="635"/>
      <c r="K960" s="635"/>
      <c r="L960" s="635"/>
      <c r="M960" s="635"/>
      <c r="N960" s="788"/>
      <c r="O960" s="788"/>
      <c r="P960" s="650"/>
      <c r="Q960" s="789"/>
      <c r="R960" s="634"/>
      <c r="S960" s="634"/>
      <c r="T960" s="634"/>
      <c r="U960" s="634"/>
      <c r="V960" s="634"/>
      <c r="W960" s="634"/>
      <c r="X960" s="634"/>
      <c r="Y960" s="634"/>
      <c r="Z960" s="634"/>
    </row>
    <row r="961" ht="15.75" customHeight="1">
      <c r="A961" s="634"/>
      <c r="B961" s="634"/>
      <c r="C961" s="634"/>
      <c r="D961" s="634"/>
      <c r="E961" s="634"/>
      <c r="F961" s="635"/>
      <c r="G961" s="634"/>
      <c r="H961" s="636"/>
      <c r="I961" s="635"/>
      <c r="J961" s="635"/>
      <c r="K961" s="635"/>
      <c r="L961" s="635"/>
      <c r="M961" s="635"/>
      <c r="N961" s="788"/>
      <c r="O961" s="788"/>
      <c r="P961" s="650"/>
      <c r="Q961" s="789"/>
      <c r="R961" s="634"/>
      <c r="S961" s="634"/>
      <c r="T961" s="634"/>
      <c r="U961" s="634"/>
      <c r="V961" s="634"/>
      <c r="W961" s="634"/>
      <c r="X961" s="634"/>
      <c r="Y961" s="634"/>
      <c r="Z961" s="634"/>
    </row>
    <row r="962" ht="15.75" customHeight="1">
      <c r="A962" s="634"/>
      <c r="B962" s="634"/>
      <c r="C962" s="634"/>
      <c r="D962" s="634"/>
      <c r="E962" s="634"/>
      <c r="F962" s="635"/>
      <c r="G962" s="634"/>
      <c r="H962" s="636"/>
      <c r="I962" s="635"/>
      <c r="J962" s="635"/>
      <c r="K962" s="635"/>
      <c r="L962" s="635"/>
      <c r="M962" s="635"/>
      <c r="N962" s="788"/>
      <c r="O962" s="788"/>
      <c r="P962" s="650"/>
      <c r="Q962" s="789"/>
      <c r="R962" s="634"/>
      <c r="S962" s="634"/>
      <c r="T962" s="634"/>
      <c r="U962" s="634"/>
      <c r="V962" s="634"/>
      <c r="W962" s="634"/>
      <c r="X962" s="634"/>
      <c r="Y962" s="634"/>
      <c r="Z962" s="634"/>
    </row>
    <row r="963" ht="15.75" customHeight="1">
      <c r="A963" s="634"/>
      <c r="B963" s="634"/>
      <c r="C963" s="634"/>
      <c r="D963" s="634"/>
      <c r="E963" s="634"/>
      <c r="F963" s="635"/>
      <c r="G963" s="634"/>
      <c r="H963" s="636"/>
      <c r="I963" s="635"/>
      <c r="J963" s="635"/>
      <c r="K963" s="635"/>
      <c r="L963" s="635"/>
      <c r="M963" s="635"/>
      <c r="N963" s="788"/>
      <c r="O963" s="788"/>
      <c r="P963" s="650"/>
      <c r="Q963" s="789"/>
      <c r="R963" s="634"/>
      <c r="S963" s="634"/>
      <c r="T963" s="634"/>
      <c r="U963" s="634"/>
      <c r="V963" s="634"/>
      <c r="W963" s="634"/>
      <c r="X963" s="634"/>
      <c r="Y963" s="634"/>
      <c r="Z963" s="634"/>
    </row>
    <row r="964" ht="15.75" customHeight="1">
      <c r="A964" s="634"/>
      <c r="B964" s="634"/>
      <c r="C964" s="634"/>
      <c r="D964" s="634"/>
      <c r="E964" s="634"/>
      <c r="F964" s="635"/>
      <c r="G964" s="634"/>
      <c r="H964" s="636"/>
      <c r="I964" s="635"/>
      <c r="J964" s="635"/>
      <c r="K964" s="635"/>
      <c r="L964" s="635"/>
      <c r="M964" s="635"/>
      <c r="N964" s="788"/>
      <c r="O964" s="788"/>
      <c r="P964" s="650"/>
      <c r="Q964" s="789"/>
      <c r="R964" s="634"/>
      <c r="S964" s="634"/>
      <c r="T964" s="634"/>
      <c r="U964" s="634"/>
      <c r="V964" s="634"/>
      <c r="W964" s="634"/>
      <c r="X964" s="634"/>
      <c r="Y964" s="634"/>
      <c r="Z964" s="634"/>
    </row>
    <row r="965" ht="15.75" customHeight="1">
      <c r="A965" s="634"/>
      <c r="B965" s="634"/>
      <c r="C965" s="634"/>
      <c r="D965" s="634"/>
      <c r="E965" s="634"/>
      <c r="F965" s="635"/>
      <c r="G965" s="634"/>
      <c r="H965" s="636"/>
      <c r="I965" s="635"/>
      <c r="J965" s="635"/>
      <c r="K965" s="635"/>
      <c r="L965" s="635"/>
      <c r="M965" s="635"/>
      <c r="N965" s="788"/>
      <c r="O965" s="788"/>
      <c r="P965" s="650"/>
      <c r="Q965" s="789"/>
      <c r="R965" s="634"/>
      <c r="S965" s="634"/>
      <c r="T965" s="634"/>
      <c r="U965" s="634"/>
      <c r="V965" s="634"/>
      <c r="W965" s="634"/>
      <c r="X965" s="634"/>
      <c r="Y965" s="634"/>
      <c r="Z965" s="634"/>
    </row>
    <row r="966" ht="15.75" customHeight="1">
      <c r="A966" s="634"/>
      <c r="B966" s="634"/>
      <c r="C966" s="634"/>
      <c r="D966" s="634"/>
      <c r="E966" s="634"/>
      <c r="F966" s="635"/>
      <c r="G966" s="634"/>
      <c r="H966" s="636"/>
      <c r="I966" s="635"/>
      <c r="J966" s="635"/>
      <c r="K966" s="635"/>
      <c r="L966" s="635"/>
      <c r="M966" s="635"/>
      <c r="N966" s="788"/>
      <c r="O966" s="788"/>
      <c r="P966" s="650"/>
      <c r="Q966" s="789"/>
      <c r="R966" s="634"/>
      <c r="S966" s="634"/>
      <c r="T966" s="634"/>
      <c r="U966" s="634"/>
      <c r="V966" s="634"/>
      <c r="W966" s="634"/>
      <c r="X966" s="634"/>
      <c r="Y966" s="634"/>
      <c r="Z966" s="634"/>
    </row>
    <row r="967" ht="15.75" customHeight="1">
      <c r="A967" s="634"/>
      <c r="B967" s="634"/>
      <c r="C967" s="634"/>
      <c r="D967" s="634"/>
      <c r="E967" s="634"/>
      <c r="F967" s="635"/>
      <c r="G967" s="634"/>
      <c r="H967" s="636"/>
      <c r="I967" s="635"/>
      <c r="J967" s="635"/>
      <c r="K967" s="635"/>
      <c r="L967" s="635"/>
      <c r="M967" s="635"/>
      <c r="N967" s="788"/>
      <c r="O967" s="788"/>
      <c r="P967" s="650"/>
      <c r="Q967" s="789"/>
      <c r="R967" s="634"/>
      <c r="S967" s="634"/>
      <c r="T967" s="634"/>
      <c r="U967" s="634"/>
      <c r="V967" s="634"/>
      <c r="W967" s="634"/>
      <c r="X967" s="634"/>
      <c r="Y967" s="634"/>
      <c r="Z967" s="634"/>
    </row>
    <row r="968" ht="15.75" customHeight="1">
      <c r="A968" s="634"/>
      <c r="B968" s="634"/>
      <c r="C968" s="634"/>
      <c r="D968" s="634"/>
      <c r="E968" s="634"/>
      <c r="F968" s="635"/>
      <c r="G968" s="634"/>
      <c r="H968" s="636"/>
      <c r="I968" s="635"/>
      <c r="J968" s="635"/>
      <c r="K968" s="635"/>
      <c r="L968" s="635"/>
      <c r="M968" s="635"/>
      <c r="N968" s="788"/>
      <c r="O968" s="788"/>
      <c r="P968" s="650"/>
      <c r="Q968" s="789"/>
      <c r="R968" s="634"/>
      <c r="S968" s="634"/>
      <c r="T968" s="634"/>
      <c r="U968" s="634"/>
      <c r="V968" s="634"/>
      <c r="W968" s="634"/>
      <c r="X968" s="634"/>
      <c r="Y968" s="634"/>
      <c r="Z968" s="634"/>
    </row>
    <row r="969" ht="15.75" customHeight="1">
      <c r="A969" s="634"/>
      <c r="B969" s="634"/>
      <c r="C969" s="634"/>
      <c r="D969" s="634"/>
      <c r="E969" s="634"/>
      <c r="F969" s="635"/>
      <c r="G969" s="634"/>
      <c r="H969" s="636"/>
      <c r="I969" s="635"/>
      <c r="J969" s="635"/>
      <c r="K969" s="635"/>
      <c r="L969" s="635"/>
      <c r="M969" s="635"/>
      <c r="N969" s="788"/>
      <c r="O969" s="788"/>
      <c r="P969" s="650"/>
      <c r="Q969" s="789"/>
      <c r="R969" s="634"/>
      <c r="S969" s="634"/>
      <c r="T969" s="634"/>
      <c r="U969" s="634"/>
      <c r="V969" s="634"/>
      <c r="W969" s="634"/>
      <c r="X969" s="634"/>
      <c r="Y969" s="634"/>
      <c r="Z969" s="634"/>
    </row>
    <row r="970" ht="15.75" customHeight="1">
      <c r="A970" s="634"/>
      <c r="B970" s="634"/>
      <c r="C970" s="634"/>
      <c r="D970" s="634"/>
      <c r="E970" s="634"/>
      <c r="F970" s="635"/>
      <c r="G970" s="634"/>
      <c r="H970" s="636"/>
      <c r="I970" s="635"/>
      <c r="J970" s="635"/>
      <c r="K970" s="635"/>
      <c r="L970" s="635"/>
      <c r="M970" s="635"/>
      <c r="N970" s="788"/>
      <c r="O970" s="788"/>
      <c r="P970" s="650"/>
      <c r="Q970" s="789"/>
      <c r="R970" s="634"/>
      <c r="S970" s="634"/>
      <c r="T970" s="634"/>
      <c r="U970" s="634"/>
      <c r="V970" s="634"/>
      <c r="W970" s="634"/>
      <c r="X970" s="634"/>
      <c r="Y970" s="634"/>
      <c r="Z970" s="634"/>
    </row>
    <row r="971" ht="15.75" customHeight="1">
      <c r="A971" s="634"/>
      <c r="B971" s="634"/>
      <c r="C971" s="634"/>
      <c r="D971" s="634"/>
      <c r="E971" s="634"/>
      <c r="F971" s="635"/>
      <c r="G971" s="634"/>
      <c r="H971" s="636"/>
      <c r="I971" s="635"/>
      <c r="J971" s="635"/>
      <c r="K971" s="635"/>
      <c r="L971" s="635"/>
      <c r="M971" s="635"/>
      <c r="N971" s="788"/>
      <c r="O971" s="788"/>
      <c r="P971" s="650"/>
      <c r="Q971" s="789"/>
      <c r="R971" s="634"/>
      <c r="S971" s="634"/>
      <c r="T971" s="634"/>
      <c r="U971" s="634"/>
      <c r="V971" s="634"/>
      <c r="W971" s="634"/>
      <c r="X971" s="634"/>
      <c r="Y971" s="634"/>
      <c r="Z971" s="634"/>
    </row>
    <row r="972" ht="15.75" customHeight="1">
      <c r="A972" s="634"/>
      <c r="B972" s="634"/>
      <c r="C972" s="634"/>
      <c r="D972" s="634"/>
      <c r="E972" s="634"/>
      <c r="F972" s="635"/>
      <c r="G972" s="634"/>
      <c r="H972" s="636"/>
      <c r="I972" s="635"/>
      <c r="J972" s="635"/>
      <c r="K972" s="635"/>
      <c r="L972" s="635"/>
      <c r="M972" s="635"/>
      <c r="N972" s="788"/>
      <c r="O972" s="788"/>
      <c r="P972" s="650"/>
      <c r="Q972" s="789"/>
      <c r="R972" s="634"/>
      <c r="S972" s="634"/>
      <c r="T972" s="634"/>
      <c r="U972" s="634"/>
      <c r="V972" s="634"/>
      <c r="W972" s="634"/>
      <c r="X972" s="634"/>
      <c r="Y972" s="634"/>
      <c r="Z972" s="634"/>
    </row>
    <row r="973" ht="15.75" customHeight="1">
      <c r="A973" s="634"/>
      <c r="B973" s="634"/>
      <c r="C973" s="634"/>
      <c r="D973" s="634"/>
      <c r="E973" s="634"/>
      <c r="F973" s="635"/>
      <c r="G973" s="634"/>
      <c r="H973" s="636"/>
      <c r="I973" s="635"/>
      <c r="J973" s="635"/>
      <c r="K973" s="635"/>
      <c r="L973" s="635"/>
      <c r="M973" s="635"/>
      <c r="N973" s="788"/>
      <c r="O973" s="788"/>
      <c r="P973" s="650"/>
      <c r="Q973" s="789"/>
      <c r="R973" s="634"/>
      <c r="S973" s="634"/>
      <c r="T973" s="634"/>
      <c r="U973" s="634"/>
      <c r="V973" s="634"/>
      <c r="W973" s="634"/>
      <c r="X973" s="634"/>
      <c r="Y973" s="634"/>
      <c r="Z973" s="634"/>
    </row>
    <row r="974" ht="15.75" customHeight="1">
      <c r="A974" s="634"/>
      <c r="B974" s="634"/>
      <c r="C974" s="634"/>
      <c r="D974" s="634"/>
      <c r="E974" s="634"/>
      <c r="F974" s="635"/>
      <c r="G974" s="634"/>
      <c r="H974" s="636"/>
      <c r="I974" s="635"/>
      <c r="J974" s="635"/>
      <c r="K974" s="635"/>
      <c r="L974" s="635"/>
      <c r="M974" s="635"/>
      <c r="N974" s="788"/>
      <c r="O974" s="788"/>
      <c r="P974" s="650"/>
      <c r="Q974" s="789"/>
      <c r="R974" s="634"/>
      <c r="S974" s="634"/>
      <c r="T974" s="634"/>
      <c r="U974" s="634"/>
      <c r="V974" s="634"/>
      <c r="W974" s="634"/>
      <c r="X974" s="634"/>
      <c r="Y974" s="634"/>
      <c r="Z974" s="634"/>
    </row>
    <row r="975" ht="15.75" customHeight="1">
      <c r="A975" s="634"/>
      <c r="B975" s="634"/>
      <c r="C975" s="634"/>
      <c r="D975" s="634"/>
      <c r="E975" s="634"/>
      <c r="F975" s="635"/>
      <c r="G975" s="634"/>
      <c r="H975" s="636"/>
      <c r="I975" s="635"/>
      <c r="J975" s="635"/>
      <c r="K975" s="635"/>
      <c r="L975" s="635"/>
      <c r="M975" s="635"/>
      <c r="N975" s="788"/>
      <c r="O975" s="788"/>
      <c r="P975" s="650"/>
      <c r="Q975" s="789"/>
      <c r="R975" s="634"/>
      <c r="S975" s="634"/>
      <c r="T975" s="634"/>
      <c r="U975" s="634"/>
      <c r="V975" s="634"/>
      <c r="W975" s="634"/>
      <c r="X975" s="634"/>
      <c r="Y975" s="634"/>
      <c r="Z975" s="634"/>
    </row>
    <row r="976" ht="15.75" customHeight="1">
      <c r="A976" s="634"/>
      <c r="B976" s="634"/>
      <c r="C976" s="634"/>
      <c r="D976" s="634"/>
      <c r="E976" s="634"/>
      <c r="F976" s="635"/>
      <c r="G976" s="634"/>
      <c r="H976" s="636"/>
      <c r="I976" s="635"/>
      <c r="J976" s="635"/>
      <c r="K976" s="635"/>
      <c r="L976" s="635"/>
      <c r="M976" s="635"/>
      <c r="N976" s="788"/>
      <c r="O976" s="788"/>
      <c r="P976" s="650"/>
      <c r="Q976" s="789"/>
      <c r="R976" s="634"/>
      <c r="S976" s="634"/>
      <c r="T976" s="634"/>
      <c r="U976" s="634"/>
      <c r="V976" s="634"/>
      <c r="W976" s="634"/>
      <c r="X976" s="634"/>
      <c r="Y976" s="634"/>
      <c r="Z976" s="634"/>
    </row>
    <row r="977" ht="15.75" customHeight="1">
      <c r="A977" s="634"/>
      <c r="B977" s="634"/>
      <c r="C977" s="634"/>
      <c r="D977" s="634"/>
      <c r="E977" s="634"/>
      <c r="F977" s="635"/>
      <c r="G977" s="634"/>
      <c r="H977" s="636"/>
      <c r="I977" s="635"/>
      <c r="J977" s="635"/>
      <c r="K977" s="635"/>
      <c r="L977" s="635"/>
      <c r="M977" s="635"/>
      <c r="N977" s="788"/>
      <c r="O977" s="788"/>
      <c r="P977" s="650"/>
      <c r="Q977" s="789"/>
      <c r="R977" s="634"/>
      <c r="S977" s="634"/>
      <c r="T977" s="634"/>
      <c r="U977" s="634"/>
      <c r="V977" s="634"/>
      <c r="W977" s="634"/>
      <c r="X977" s="634"/>
      <c r="Y977" s="634"/>
      <c r="Z977" s="634"/>
    </row>
    <row r="978" ht="15.75" customHeight="1">
      <c r="A978" s="634"/>
      <c r="B978" s="634"/>
      <c r="C978" s="634"/>
      <c r="D978" s="634"/>
      <c r="E978" s="634"/>
      <c r="F978" s="635"/>
      <c r="G978" s="634"/>
      <c r="H978" s="636"/>
      <c r="I978" s="635"/>
      <c r="J978" s="635"/>
      <c r="K978" s="635"/>
      <c r="L978" s="635"/>
      <c r="M978" s="635"/>
      <c r="N978" s="788"/>
      <c r="O978" s="788"/>
      <c r="P978" s="650"/>
      <c r="Q978" s="789"/>
      <c r="R978" s="634"/>
      <c r="S978" s="634"/>
      <c r="T978" s="634"/>
      <c r="U978" s="634"/>
      <c r="V978" s="634"/>
      <c r="W978" s="634"/>
      <c r="X978" s="634"/>
      <c r="Y978" s="634"/>
      <c r="Z978" s="634"/>
    </row>
    <row r="979" ht="15.75" customHeight="1">
      <c r="A979" s="634"/>
      <c r="B979" s="634"/>
      <c r="C979" s="634"/>
      <c r="D979" s="634"/>
      <c r="E979" s="634"/>
      <c r="F979" s="635"/>
      <c r="G979" s="634"/>
      <c r="H979" s="636"/>
      <c r="I979" s="635"/>
      <c r="J979" s="635"/>
      <c r="K979" s="635"/>
      <c r="L979" s="635"/>
      <c r="M979" s="635"/>
      <c r="N979" s="788"/>
      <c r="O979" s="788"/>
      <c r="P979" s="650"/>
      <c r="Q979" s="789"/>
      <c r="R979" s="634"/>
      <c r="S979" s="634"/>
      <c r="T979" s="634"/>
      <c r="U979" s="634"/>
      <c r="V979" s="634"/>
      <c r="W979" s="634"/>
      <c r="X979" s="634"/>
      <c r="Y979" s="634"/>
      <c r="Z979" s="634"/>
    </row>
    <row r="980" ht="15.75" customHeight="1">
      <c r="A980" s="634"/>
      <c r="B980" s="634"/>
      <c r="C980" s="634"/>
      <c r="D980" s="634"/>
      <c r="E980" s="634"/>
      <c r="F980" s="635"/>
      <c r="G980" s="634"/>
      <c r="H980" s="636"/>
      <c r="I980" s="635"/>
      <c r="J980" s="635"/>
      <c r="K980" s="635"/>
      <c r="L980" s="635"/>
      <c r="M980" s="635"/>
      <c r="N980" s="788"/>
      <c r="O980" s="788"/>
      <c r="P980" s="650"/>
      <c r="Q980" s="789"/>
      <c r="R980" s="634"/>
      <c r="S980" s="634"/>
      <c r="T980" s="634"/>
      <c r="U980" s="634"/>
      <c r="V980" s="634"/>
      <c r="W980" s="634"/>
      <c r="X980" s="634"/>
      <c r="Y980" s="634"/>
      <c r="Z980" s="634"/>
    </row>
    <row r="981" ht="15.75" customHeight="1">
      <c r="A981" s="634"/>
      <c r="B981" s="634"/>
      <c r="C981" s="634"/>
      <c r="D981" s="634"/>
      <c r="E981" s="634"/>
      <c r="F981" s="635"/>
      <c r="G981" s="634"/>
      <c r="H981" s="636"/>
      <c r="I981" s="635"/>
      <c r="J981" s="635"/>
      <c r="K981" s="635"/>
      <c r="L981" s="635"/>
      <c r="M981" s="635"/>
      <c r="N981" s="788"/>
      <c r="O981" s="788"/>
      <c r="P981" s="650"/>
      <c r="Q981" s="789"/>
      <c r="R981" s="634"/>
      <c r="S981" s="634"/>
      <c r="T981" s="634"/>
      <c r="U981" s="634"/>
      <c r="V981" s="634"/>
      <c r="W981" s="634"/>
      <c r="X981" s="634"/>
      <c r="Y981" s="634"/>
      <c r="Z981" s="634"/>
    </row>
    <row r="982" ht="15.75" customHeight="1">
      <c r="A982" s="634"/>
      <c r="B982" s="634"/>
      <c r="C982" s="634"/>
      <c r="D982" s="634"/>
      <c r="E982" s="634"/>
      <c r="F982" s="635"/>
      <c r="G982" s="634"/>
      <c r="H982" s="636"/>
      <c r="I982" s="635"/>
      <c r="J982" s="635"/>
      <c r="K982" s="635"/>
      <c r="L982" s="635"/>
      <c r="M982" s="635"/>
      <c r="N982" s="788"/>
      <c r="O982" s="788"/>
      <c r="P982" s="650"/>
      <c r="Q982" s="789"/>
      <c r="R982" s="634"/>
      <c r="S982" s="634"/>
      <c r="T982" s="634"/>
      <c r="U982" s="634"/>
      <c r="V982" s="634"/>
      <c r="W982" s="634"/>
      <c r="X982" s="634"/>
      <c r="Y982" s="634"/>
      <c r="Z982" s="634"/>
    </row>
    <row r="983" ht="15.75" customHeight="1">
      <c r="A983" s="634"/>
      <c r="B983" s="634"/>
      <c r="C983" s="634"/>
      <c r="D983" s="634"/>
      <c r="E983" s="634"/>
      <c r="F983" s="635"/>
      <c r="G983" s="634"/>
      <c r="H983" s="636"/>
      <c r="I983" s="635"/>
      <c r="J983" s="635"/>
      <c r="K983" s="635"/>
      <c r="L983" s="635"/>
      <c r="M983" s="635"/>
      <c r="N983" s="788"/>
      <c r="O983" s="788"/>
      <c r="P983" s="650"/>
      <c r="Q983" s="789"/>
      <c r="R983" s="634"/>
      <c r="S983" s="634"/>
      <c r="T983" s="634"/>
      <c r="U983" s="634"/>
      <c r="V983" s="634"/>
      <c r="W983" s="634"/>
      <c r="X983" s="634"/>
      <c r="Y983" s="634"/>
      <c r="Z983" s="634"/>
    </row>
    <row r="984" ht="15.75" customHeight="1">
      <c r="A984" s="634"/>
      <c r="B984" s="634"/>
      <c r="C984" s="634"/>
      <c r="D984" s="634"/>
      <c r="E984" s="634"/>
      <c r="F984" s="635"/>
      <c r="G984" s="634"/>
      <c r="H984" s="636"/>
      <c r="I984" s="635"/>
      <c r="J984" s="635"/>
      <c r="K984" s="635"/>
      <c r="L984" s="635"/>
      <c r="M984" s="635"/>
      <c r="N984" s="788"/>
      <c r="O984" s="788"/>
      <c r="P984" s="650"/>
      <c r="Q984" s="789"/>
      <c r="R984" s="634"/>
      <c r="S984" s="634"/>
      <c r="T984" s="634"/>
      <c r="U984" s="634"/>
      <c r="V984" s="634"/>
      <c r="W984" s="634"/>
      <c r="X984" s="634"/>
      <c r="Y984" s="634"/>
      <c r="Z984" s="634"/>
    </row>
    <row r="985" ht="15.75" customHeight="1">
      <c r="A985" s="634"/>
      <c r="B985" s="634"/>
      <c r="C985" s="634"/>
      <c r="D985" s="634"/>
      <c r="E985" s="634"/>
      <c r="F985" s="635"/>
      <c r="G985" s="634"/>
      <c r="H985" s="636"/>
      <c r="I985" s="635"/>
      <c r="J985" s="635"/>
      <c r="K985" s="635"/>
      <c r="L985" s="635"/>
      <c r="M985" s="635"/>
      <c r="N985" s="788"/>
      <c r="O985" s="788"/>
      <c r="P985" s="650"/>
      <c r="Q985" s="789"/>
      <c r="R985" s="634"/>
      <c r="S985" s="634"/>
      <c r="T985" s="634"/>
      <c r="U985" s="634"/>
      <c r="V985" s="634"/>
      <c r="W985" s="634"/>
      <c r="X985" s="634"/>
      <c r="Y985" s="634"/>
      <c r="Z985" s="634"/>
    </row>
    <row r="986" ht="15.75" customHeight="1">
      <c r="A986" s="634"/>
      <c r="B986" s="634"/>
      <c r="C986" s="634"/>
      <c r="D986" s="634"/>
      <c r="E986" s="634"/>
      <c r="F986" s="635"/>
      <c r="G986" s="634"/>
      <c r="H986" s="636"/>
      <c r="I986" s="635"/>
      <c r="J986" s="635"/>
      <c r="K986" s="635"/>
      <c r="L986" s="635"/>
      <c r="M986" s="635"/>
      <c r="N986" s="788"/>
      <c r="O986" s="788"/>
      <c r="P986" s="650"/>
      <c r="Q986" s="789"/>
      <c r="R986" s="634"/>
      <c r="S986" s="634"/>
      <c r="T986" s="634"/>
      <c r="U986" s="634"/>
      <c r="V986" s="634"/>
      <c r="W986" s="634"/>
      <c r="X986" s="634"/>
      <c r="Y986" s="634"/>
      <c r="Z986" s="634"/>
    </row>
    <row r="987" ht="15.75" customHeight="1">
      <c r="A987" s="634"/>
      <c r="B987" s="634"/>
      <c r="C987" s="634"/>
      <c r="D987" s="634"/>
      <c r="E987" s="634"/>
      <c r="F987" s="635"/>
      <c r="G987" s="634"/>
      <c r="H987" s="636"/>
      <c r="I987" s="635"/>
      <c r="J987" s="635"/>
      <c r="K987" s="635"/>
      <c r="L987" s="635"/>
      <c r="M987" s="635"/>
      <c r="N987" s="788"/>
      <c r="O987" s="788"/>
      <c r="P987" s="650"/>
      <c r="Q987" s="789"/>
      <c r="R987" s="634"/>
      <c r="S987" s="634"/>
      <c r="T987" s="634"/>
      <c r="U987" s="634"/>
      <c r="V987" s="634"/>
      <c r="W987" s="634"/>
      <c r="X987" s="634"/>
      <c r="Y987" s="634"/>
      <c r="Z987" s="634"/>
    </row>
    <row r="988" ht="15.75" customHeight="1">
      <c r="A988" s="634"/>
      <c r="B988" s="634"/>
      <c r="C988" s="634"/>
      <c r="D988" s="634"/>
      <c r="E988" s="634"/>
      <c r="F988" s="635"/>
      <c r="G988" s="634"/>
      <c r="H988" s="636"/>
      <c r="I988" s="635"/>
      <c r="J988" s="635"/>
      <c r="K988" s="635"/>
      <c r="L988" s="635"/>
      <c r="M988" s="635"/>
      <c r="N988" s="788"/>
      <c r="O988" s="788"/>
      <c r="P988" s="650"/>
      <c r="Q988" s="789"/>
      <c r="R988" s="634"/>
      <c r="S988" s="634"/>
      <c r="T988" s="634"/>
      <c r="U988" s="634"/>
      <c r="V988" s="634"/>
      <c r="W988" s="634"/>
      <c r="X988" s="634"/>
      <c r="Y988" s="634"/>
      <c r="Z988" s="634"/>
    </row>
    <row r="989" ht="15.75" customHeight="1">
      <c r="A989" s="634"/>
      <c r="B989" s="634"/>
      <c r="C989" s="634"/>
      <c r="D989" s="634"/>
      <c r="E989" s="634"/>
      <c r="F989" s="635"/>
      <c r="G989" s="634"/>
      <c r="H989" s="636"/>
      <c r="I989" s="635"/>
      <c r="J989" s="635"/>
      <c r="K989" s="635"/>
      <c r="L989" s="635"/>
      <c r="M989" s="635"/>
      <c r="N989" s="788"/>
      <c r="O989" s="788"/>
      <c r="P989" s="650"/>
      <c r="Q989" s="789"/>
      <c r="R989" s="634"/>
      <c r="S989" s="634"/>
      <c r="T989" s="634"/>
      <c r="U989" s="634"/>
      <c r="V989" s="634"/>
      <c r="W989" s="634"/>
      <c r="X989" s="634"/>
      <c r="Y989" s="634"/>
      <c r="Z989" s="634"/>
    </row>
    <row r="990" ht="15.75" customHeight="1">
      <c r="A990" s="634"/>
      <c r="B990" s="634"/>
      <c r="C990" s="634"/>
      <c r="D990" s="634"/>
      <c r="E990" s="634"/>
      <c r="F990" s="635"/>
      <c r="G990" s="634"/>
      <c r="H990" s="636"/>
      <c r="I990" s="635"/>
      <c r="J990" s="635"/>
      <c r="K990" s="635"/>
      <c r="L990" s="635"/>
      <c r="M990" s="635"/>
      <c r="N990" s="788"/>
      <c r="O990" s="788"/>
      <c r="P990" s="650"/>
      <c r="Q990" s="789"/>
      <c r="R990" s="634"/>
      <c r="S990" s="634"/>
      <c r="T990" s="634"/>
      <c r="U990" s="634"/>
      <c r="V990" s="634"/>
      <c r="W990" s="634"/>
      <c r="X990" s="634"/>
      <c r="Y990" s="634"/>
      <c r="Z990" s="634"/>
    </row>
    <row r="991" ht="15.75" customHeight="1">
      <c r="A991" s="634"/>
      <c r="B991" s="634"/>
      <c r="C991" s="634"/>
      <c r="D991" s="634"/>
      <c r="E991" s="634"/>
      <c r="F991" s="635"/>
      <c r="G991" s="634"/>
      <c r="H991" s="636"/>
      <c r="I991" s="635"/>
      <c r="J991" s="635"/>
      <c r="K991" s="635"/>
      <c r="L991" s="635"/>
      <c r="M991" s="635"/>
      <c r="N991" s="788"/>
      <c r="O991" s="788"/>
      <c r="P991" s="650"/>
      <c r="Q991" s="789"/>
      <c r="R991" s="634"/>
      <c r="S991" s="634"/>
      <c r="T991" s="634"/>
      <c r="U991" s="634"/>
      <c r="V991" s="634"/>
      <c r="W991" s="634"/>
      <c r="X991" s="634"/>
      <c r="Y991" s="634"/>
      <c r="Z991" s="634"/>
    </row>
    <row r="992" ht="15.75" customHeight="1">
      <c r="A992" s="634"/>
      <c r="B992" s="634"/>
      <c r="C992" s="634"/>
      <c r="D992" s="634"/>
      <c r="E992" s="634"/>
      <c r="F992" s="635"/>
      <c r="G992" s="634"/>
      <c r="H992" s="636"/>
      <c r="I992" s="635"/>
      <c r="J992" s="635"/>
      <c r="K992" s="635"/>
      <c r="L992" s="635"/>
      <c r="M992" s="635"/>
      <c r="N992" s="788"/>
      <c r="O992" s="788"/>
      <c r="P992" s="650"/>
      <c r="Q992" s="789"/>
      <c r="R992" s="634"/>
      <c r="S992" s="634"/>
      <c r="T992" s="634"/>
      <c r="U992" s="634"/>
      <c r="V992" s="634"/>
      <c r="W992" s="634"/>
      <c r="X992" s="634"/>
      <c r="Y992" s="634"/>
      <c r="Z992" s="634"/>
    </row>
    <row r="993" ht="15.75" customHeight="1">
      <c r="A993" s="634"/>
      <c r="B993" s="634"/>
      <c r="C993" s="634"/>
      <c r="D993" s="634"/>
      <c r="E993" s="634"/>
      <c r="F993" s="635"/>
      <c r="G993" s="634"/>
      <c r="H993" s="636"/>
      <c r="I993" s="635"/>
      <c r="J993" s="635"/>
      <c r="K993" s="635"/>
      <c r="L993" s="635"/>
      <c r="M993" s="635"/>
      <c r="N993" s="788"/>
      <c r="O993" s="788"/>
      <c r="P993" s="650"/>
      <c r="Q993" s="789"/>
      <c r="R993" s="634"/>
      <c r="S993" s="634"/>
      <c r="T993" s="634"/>
      <c r="U993" s="634"/>
      <c r="V993" s="634"/>
      <c r="W993" s="634"/>
      <c r="X993" s="634"/>
      <c r="Y993" s="634"/>
      <c r="Z993" s="634"/>
    </row>
    <row r="994" ht="15.75" customHeight="1">
      <c r="A994" s="634"/>
      <c r="B994" s="634"/>
      <c r="C994" s="634"/>
      <c r="D994" s="634"/>
      <c r="E994" s="634"/>
      <c r="F994" s="635"/>
      <c r="G994" s="634"/>
      <c r="H994" s="636"/>
      <c r="I994" s="635"/>
      <c r="J994" s="635"/>
      <c r="K994" s="635"/>
      <c r="L994" s="635"/>
      <c r="M994" s="635"/>
      <c r="N994" s="788"/>
      <c r="O994" s="788"/>
      <c r="P994" s="650"/>
      <c r="Q994" s="789"/>
      <c r="R994" s="634"/>
      <c r="S994" s="634"/>
      <c r="T994" s="634"/>
      <c r="U994" s="634"/>
      <c r="V994" s="634"/>
      <c r="W994" s="634"/>
      <c r="X994" s="634"/>
      <c r="Y994" s="634"/>
      <c r="Z994" s="634"/>
    </row>
    <row r="995" ht="15.75" customHeight="1">
      <c r="A995" s="634"/>
      <c r="B995" s="634"/>
      <c r="C995" s="634"/>
      <c r="D995" s="634"/>
      <c r="E995" s="634"/>
      <c r="F995" s="635"/>
      <c r="G995" s="634"/>
      <c r="H995" s="636"/>
      <c r="I995" s="635"/>
      <c r="J995" s="635"/>
      <c r="K995" s="635"/>
      <c r="L995" s="635"/>
      <c r="M995" s="635"/>
      <c r="N995" s="788"/>
      <c r="O995" s="788"/>
      <c r="P995" s="650"/>
      <c r="Q995" s="789"/>
      <c r="R995" s="634"/>
      <c r="S995" s="634"/>
      <c r="T995" s="634"/>
      <c r="U995" s="634"/>
      <c r="V995" s="634"/>
      <c r="W995" s="634"/>
      <c r="X995" s="634"/>
      <c r="Y995" s="634"/>
      <c r="Z995" s="634"/>
    </row>
    <row r="996" ht="15.75" customHeight="1">
      <c r="A996" s="634"/>
      <c r="B996" s="634"/>
      <c r="C996" s="634"/>
      <c r="D996" s="634"/>
      <c r="E996" s="634"/>
      <c r="F996" s="635"/>
      <c r="G996" s="634"/>
      <c r="H996" s="636"/>
      <c r="I996" s="635"/>
      <c r="J996" s="635"/>
      <c r="K996" s="635"/>
      <c r="L996" s="635"/>
      <c r="M996" s="635"/>
      <c r="N996" s="788"/>
      <c r="O996" s="788"/>
      <c r="P996" s="650"/>
      <c r="Q996" s="789"/>
      <c r="R996" s="634"/>
      <c r="S996" s="634"/>
      <c r="T996" s="634"/>
      <c r="U996" s="634"/>
      <c r="V996" s="634"/>
      <c r="W996" s="634"/>
      <c r="X996" s="634"/>
      <c r="Y996" s="634"/>
      <c r="Z996" s="634"/>
    </row>
    <row r="997" ht="15.75" customHeight="1">
      <c r="A997" s="634"/>
      <c r="B997" s="634"/>
      <c r="C997" s="634"/>
      <c r="D997" s="634"/>
      <c r="E997" s="634"/>
      <c r="F997" s="635"/>
      <c r="G997" s="634"/>
      <c r="H997" s="636"/>
      <c r="I997" s="635"/>
      <c r="J997" s="635"/>
      <c r="K997" s="635"/>
      <c r="L997" s="635"/>
      <c r="M997" s="635"/>
      <c r="N997" s="788"/>
      <c r="O997" s="788"/>
      <c r="P997" s="650"/>
      <c r="Q997" s="789"/>
      <c r="R997" s="634"/>
      <c r="S997" s="634"/>
      <c r="T997" s="634"/>
      <c r="U997" s="634"/>
      <c r="V997" s="634"/>
      <c r="W997" s="634"/>
      <c r="X997" s="634"/>
      <c r="Y997" s="634"/>
      <c r="Z997" s="634"/>
    </row>
    <row r="998" ht="15.75" customHeight="1">
      <c r="A998" s="634"/>
      <c r="B998" s="634"/>
      <c r="C998" s="634"/>
      <c r="D998" s="634"/>
      <c r="E998" s="634"/>
      <c r="F998" s="635"/>
      <c r="G998" s="634"/>
      <c r="H998" s="636"/>
      <c r="I998" s="635"/>
      <c r="J998" s="635"/>
      <c r="K998" s="635"/>
      <c r="L998" s="635"/>
      <c r="M998" s="635"/>
      <c r="N998" s="788"/>
      <c r="O998" s="788"/>
      <c r="P998" s="650"/>
      <c r="Q998" s="789"/>
      <c r="R998" s="634"/>
      <c r="S998" s="634"/>
      <c r="T998" s="634"/>
      <c r="U998" s="634"/>
      <c r="V998" s="634"/>
      <c r="W998" s="634"/>
      <c r="X998" s="634"/>
      <c r="Y998" s="634"/>
      <c r="Z998" s="634"/>
    </row>
    <row r="999" ht="15.75" customHeight="1">
      <c r="A999" s="634"/>
      <c r="B999" s="634"/>
      <c r="C999" s="634"/>
      <c r="D999" s="634"/>
      <c r="E999" s="634"/>
      <c r="F999" s="635"/>
      <c r="G999" s="634"/>
      <c r="H999" s="636"/>
      <c r="I999" s="635"/>
      <c r="J999" s="635"/>
      <c r="K999" s="635"/>
      <c r="L999" s="635"/>
      <c r="M999" s="635"/>
      <c r="N999" s="788"/>
      <c r="O999" s="788"/>
      <c r="P999" s="650"/>
      <c r="Q999" s="789"/>
      <c r="R999" s="634"/>
      <c r="S999" s="634"/>
      <c r="T999" s="634"/>
      <c r="U999" s="634"/>
      <c r="V999" s="634"/>
      <c r="W999" s="634"/>
      <c r="X999" s="634"/>
      <c r="Y999" s="634"/>
      <c r="Z999" s="634"/>
    </row>
    <row r="1000" ht="15.75" customHeight="1">
      <c r="A1000" s="634"/>
      <c r="B1000" s="634"/>
      <c r="C1000" s="634"/>
      <c r="D1000" s="634"/>
      <c r="E1000" s="634"/>
      <c r="F1000" s="635"/>
      <c r="G1000" s="634"/>
      <c r="H1000" s="636"/>
      <c r="I1000" s="635"/>
      <c r="J1000" s="635"/>
      <c r="K1000" s="635"/>
      <c r="L1000" s="635"/>
      <c r="M1000" s="635"/>
      <c r="N1000" s="788"/>
      <c r="O1000" s="788"/>
      <c r="P1000" s="650"/>
      <c r="Q1000" s="789"/>
      <c r="R1000" s="634"/>
      <c r="S1000" s="634"/>
      <c r="T1000" s="634"/>
      <c r="U1000" s="634"/>
      <c r="V1000" s="634"/>
      <c r="W1000" s="634"/>
      <c r="X1000" s="634"/>
      <c r="Y1000" s="634"/>
      <c r="Z1000" s="634"/>
    </row>
  </sheetData>
  <hyperlinks>
    <hyperlink display="zurück zum Start" location="null!A1" ref="F2"/>
  </hyperlinks>
  <printOptions/>
  <pageMargins bottom="0.984251968503937" footer="0.0" header="0.0" left="0.7874015748031497" right="0.7874015748031497" top="0.984251968503937"/>
  <pageSetup paperSize="9" orientation="portrait"/>
  <headerFooter>
    <oddHeader>&amp;CPrimärenergiefaktoren von Energiesystemen</oddHeader>
    <oddFooter>&amp;C© ESU-services 2008</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2" width="10.71"/>
    <col customWidth="1" min="3" max="3" width="14.29"/>
    <col customWidth="1" min="4" max="4" width="17.43"/>
    <col customWidth="1" min="5" max="5" width="13.86"/>
    <col customWidth="1" min="6" max="6" width="19.29"/>
    <col customWidth="1" min="7" max="26" width="10.71"/>
  </cols>
  <sheetData>
    <row r="1" ht="12.75" customHeight="1">
      <c r="A1" s="790" t="s">
        <v>5898</v>
      </c>
      <c r="B1" s="791" t="s">
        <v>5899</v>
      </c>
      <c r="C1" s="791" t="s">
        <v>5900</v>
      </c>
      <c r="D1" s="792" t="s">
        <v>5901</v>
      </c>
      <c r="F1" s="793" t="s">
        <v>5902</v>
      </c>
    </row>
    <row r="2" ht="12.75" customHeight="1">
      <c r="A2" s="794" t="s">
        <v>5903</v>
      </c>
      <c r="B2" s="795">
        <v>357.0</v>
      </c>
      <c r="C2" s="795">
        <v>61.1</v>
      </c>
      <c r="D2" s="796">
        <f t="shared" ref="D2:D3" si="1">C2*B2</f>
        <v>21812.7</v>
      </c>
      <c r="E2" s="630">
        <v>21800.0</v>
      </c>
    </row>
    <row r="3" ht="12.75" customHeight="1">
      <c r="A3" s="794" t="s">
        <v>5904</v>
      </c>
      <c r="B3" s="795">
        <v>9.0</v>
      </c>
      <c r="C3" s="795">
        <v>2850.0</v>
      </c>
      <c r="D3" s="796">
        <f t="shared" si="1"/>
        <v>25650</v>
      </c>
      <c r="E3" s="630">
        <v>25700.0</v>
      </c>
    </row>
    <row r="4" ht="12.75" customHeight="1">
      <c r="A4" s="794" t="s">
        <v>5905</v>
      </c>
      <c r="B4" s="795">
        <v>5.2</v>
      </c>
      <c r="C4" s="795">
        <v>1290.0</v>
      </c>
      <c r="D4" s="797">
        <f>C4*B4/5</f>
        <v>1341.6</v>
      </c>
      <c r="E4" s="630">
        <v>1340.0</v>
      </c>
    </row>
    <row r="5" ht="12.75" customHeight="1">
      <c r="A5" s="794" t="s">
        <v>5906</v>
      </c>
      <c r="B5" s="795">
        <v>11.0</v>
      </c>
      <c r="C5" s="795">
        <v>315.0</v>
      </c>
      <c r="D5" s="796">
        <f t="shared" ref="D5:D8" si="2">C5*B5</f>
        <v>3465</v>
      </c>
      <c r="E5" s="630">
        <v>3470.0</v>
      </c>
    </row>
    <row r="6" ht="12.75" customHeight="1">
      <c r="A6" s="794" t="s">
        <v>5907</v>
      </c>
      <c r="B6" s="795">
        <v>9.0</v>
      </c>
      <c r="C6" s="795">
        <v>1790.0</v>
      </c>
      <c r="D6" s="797">
        <f t="shared" si="2"/>
        <v>16110</v>
      </c>
      <c r="E6" s="630">
        <v>16100.0</v>
      </c>
    </row>
    <row r="7" ht="12.75" customHeight="1">
      <c r="A7" s="794" t="s">
        <v>5908</v>
      </c>
      <c r="B7" s="795">
        <v>1.3</v>
      </c>
      <c r="C7" s="795">
        <v>315.0</v>
      </c>
      <c r="D7" s="796">
        <f t="shared" si="2"/>
        <v>409.5</v>
      </c>
      <c r="E7" s="630">
        <v>410.0</v>
      </c>
    </row>
    <row r="8" ht="12.75" customHeight="1">
      <c r="A8" s="794" t="s">
        <v>5909</v>
      </c>
      <c r="B8" s="795">
        <v>11.3</v>
      </c>
      <c r="C8" s="795">
        <v>315.0</v>
      </c>
      <c r="D8" s="796">
        <f t="shared" si="2"/>
        <v>3559.5</v>
      </c>
      <c r="E8" s="630">
        <v>3560.0</v>
      </c>
    </row>
    <row r="9" ht="12.75" customHeight="1">
      <c r="A9" s="794" t="s">
        <v>405</v>
      </c>
      <c r="B9" s="795">
        <v>404.0</v>
      </c>
      <c r="C9" s="795" t="s">
        <v>438</v>
      </c>
      <c r="D9" s="797">
        <f t="shared" ref="D9:E9" si="3">SUM(D2:D8)</f>
        <v>72348.3</v>
      </c>
      <c r="E9" s="798">
        <f t="shared" si="3"/>
        <v>72380</v>
      </c>
    </row>
    <row r="10" ht="12.75" customHeight="1">
      <c r="A10" s="799" t="s">
        <v>5910</v>
      </c>
      <c r="B10" s="800"/>
      <c r="C10" s="801"/>
      <c r="D10" s="802"/>
    </row>
    <row r="11" ht="12.75" customHeight="1">
      <c r="A11" s="803"/>
      <c r="D11" s="804"/>
    </row>
    <row r="12" ht="12.75" customHeight="1">
      <c r="A12" s="790"/>
      <c r="B12" s="805" t="s">
        <v>5005</v>
      </c>
      <c r="C12" s="791" t="s">
        <v>5911</v>
      </c>
      <c r="D12" s="806" t="s">
        <v>420</v>
      </c>
    </row>
    <row r="13" ht="12.75" customHeight="1">
      <c r="A13" s="794" t="s">
        <v>2393</v>
      </c>
      <c r="B13" s="795">
        <v>250000.0</v>
      </c>
      <c r="C13" s="807">
        <v>41.9</v>
      </c>
      <c r="D13" s="808">
        <f t="shared" ref="D13:D16" si="4">C13*B13</f>
        <v>10475000</v>
      </c>
    </row>
    <row r="14" ht="12.75" customHeight="1">
      <c r="A14" s="794" t="s">
        <v>2390</v>
      </c>
      <c r="B14" s="795">
        <v>250000.0</v>
      </c>
      <c r="C14" s="807">
        <v>66.0</v>
      </c>
      <c r="D14" s="808">
        <f t="shared" si="4"/>
        <v>16500000</v>
      </c>
    </row>
    <row r="15" ht="12.75" customHeight="1">
      <c r="A15" s="809" t="s">
        <v>5912</v>
      </c>
      <c r="B15" s="795">
        <v>250000.0</v>
      </c>
      <c r="C15" s="807">
        <v>28.8</v>
      </c>
      <c r="D15" s="808">
        <f t="shared" si="4"/>
        <v>7200000</v>
      </c>
    </row>
    <row r="16" ht="12.75" customHeight="1">
      <c r="A16" s="810" t="s">
        <v>5913</v>
      </c>
      <c r="B16" s="811">
        <v>250000.0</v>
      </c>
      <c r="C16" s="812">
        <v>32.5</v>
      </c>
      <c r="D16" s="808">
        <f t="shared" si="4"/>
        <v>8125000</v>
      </c>
    </row>
    <row r="17" ht="12.75" customHeight="1">
      <c r="A17" s="813" t="s">
        <v>5372</v>
      </c>
      <c r="B17" s="814"/>
      <c r="C17" s="815"/>
      <c r="D17" s="808"/>
    </row>
    <row r="18" ht="12.75" customHeight="1">
      <c r="D18" s="804"/>
    </row>
    <row r="19" ht="12.75" customHeight="1">
      <c r="A19" s="790"/>
      <c r="B19" s="805" t="s">
        <v>5914</v>
      </c>
      <c r="C19" s="794" t="s">
        <v>5915</v>
      </c>
      <c r="D19" s="806" t="s">
        <v>420</v>
      </c>
    </row>
    <row r="20" ht="12.75" customHeight="1">
      <c r="A20" s="794" t="s">
        <v>5916</v>
      </c>
      <c r="B20" s="791">
        <v>13400.0</v>
      </c>
      <c r="C20" s="816">
        <v>31.0</v>
      </c>
      <c r="D20" s="808">
        <f t="shared" ref="D20:D24" si="5">C20*B20</f>
        <v>415400</v>
      </c>
    </row>
    <row r="21" ht="12.75" customHeight="1">
      <c r="A21" s="794" t="s">
        <v>5917</v>
      </c>
      <c r="B21" s="791">
        <v>13400.0</v>
      </c>
      <c r="C21" s="816" t="str">
        <f>#REF!</f>
        <v>#REF!</v>
      </c>
      <c r="D21" s="808" t="str">
        <f t="shared" si="5"/>
        <v>#REF!</v>
      </c>
    </row>
    <row r="22" ht="12.75" customHeight="1">
      <c r="A22" s="794" t="s">
        <v>3002</v>
      </c>
      <c r="B22" s="791">
        <v>13400.0</v>
      </c>
      <c r="C22" s="816">
        <v>218.0</v>
      </c>
      <c r="D22" s="808">
        <f t="shared" si="5"/>
        <v>2921200</v>
      </c>
    </row>
    <row r="23" ht="12.75" customHeight="1">
      <c r="A23" s="794" t="s">
        <v>3006</v>
      </c>
      <c r="B23" s="791">
        <v>13400.0</v>
      </c>
      <c r="C23" s="816">
        <v>194.0</v>
      </c>
      <c r="D23" s="808">
        <f t="shared" si="5"/>
        <v>2599600</v>
      </c>
    </row>
    <row r="24" ht="12.75" customHeight="1">
      <c r="A24" s="810" t="s">
        <v>5918</v>
      </c>
      <c r="B24" s="817">
        <v>13400.0</v>
      </c>
      <c r="C24" s="818">
        <v>170.0</v>
      </c>
      <c r="D24" s="808">
        <f t="shared" si="5"/>
        <v>2278000</v>
      </c>
    </row>
    <row r="25" ht="12.75" customHeight="1">
      <c r="A25" s="819" t="s">
        <v>5372</v>
      </c>
      <c r="B25" s="820"/>
      <c r="C25" s="821"/>
      <c r="D25" s="822"/>
    </row>
    <row r="26" ht="12.75" customHeight="1">
      <c r="D26" s="804"/>
    </row>
    <row r="27" ht="12.75" customHeight="1">
      <c r="D27" s="804"/>
    </row>
    <row r="28" ht="12.75" customHeight="1">
      <c r="A28" s="790"/>
      <c r="B28" s="805" t="s">
        <v>2647</v>
      </c>
      <c r="C28" s="794" t="s">
        <v>5919</v>
      </c>
      <c r="D28" s="806" t="s">
        <v>420</v>
      </c>
    </row>
    <row r="29" ht="12.75" customHeight="1">
      <c r="A29" s="794" t="s">
        <v>5920</v>
      </c>
      <c r="B29" s="791">
        <v>40000.0</v>
      </c>
      <c r="C29" s="816">
        <v>1763.0</v>
      </c>
      <c r="D29" s="808">
        <f t="shared" ref="D29:D33" si="6">C29*B29</f>
        <v>70520000</v>
      </c>
    </row>
    <row r="30" ht="12.75" customHeight="1">
      <c r="A30" s="794" t="s">
        <v>5921</v>
      </c>
      <c r="B30" s="791">
        <v>40000.0</v>
      </c>
      <c r="C30" s="816">
        <v>195.0</v>
      </c>
      <c r="D30" s="808">
        <f t="shared" si="6"/>
        <v>7800000</v>
      </c>
    </row>
    <row r="31" ht="12.75" customHeight="1">
      <c r="A31" s="794" t="s">
        <v>2966</v>
      </c>
      <c r="B31" s="791">
        <v>40000.0</v>
      </c>
      <c r="C31" s="816">
        <v>51.0</v>
      </c>
      <c r="D31" s="808">
        <f t="shared" si="6"/>
        <v>2040000</v>
      </c>
    </row>
    <row r="32" ht="12.75" customHeight="1">
      <c r="A32" s="794" t="s">
        <v>5922</v>
      </c>
      <c r="B32" s="791">
        <v>40000.0</v>
      </c>
      <c r="C32" s="816">
        <v>18.0</v>
      </c>
      <c r="D32" s="808">
        <f t="shared" si="6"/>
        <v>720000</v>
      </c>
    </row>
    <row r="33" ht="12.75" customHeight="1">
      <c r="A33" s="794" t="s">
        <v>5923</v>
      </c>
      <c r="B33" s="791">
        <v>40000.0</v>
      </c>
      <c r="C33" s="816">
        <v>1165.0</v>
      </c>
      <c r="D33" s="808">
        <f t="shared" si="6"/>
        <v>46600000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2008-06-26T12:03:29Z</dcterms:created>
  <dc:creator>Philippe Stolz, Rolf Frischknecht</dc:creator>
</cp:coreProperties>
</file>